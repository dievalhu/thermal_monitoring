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analisis-termico-main\analisis-termico-main\"/>
    </mc:Choice>
  </mc:AlternateContent>
  <xr:revisionPtr revIDLastSave="0" documentId="13_ncr:1_{55694188-A608-4A70-BDBF-610385B40919}" xr6:coauthVersionLast="47" xr6:coauthVersionMax="47" xr10:uidLastSave="{00000000-0000-0000-0000-000000000000}"/>
  <bookViews>
    <workbookView xWindow="-110" yWindow="-110" windowWidth="19420" windowHeight="11500" xr2:uid="{15F714C6-B47B-4856-AC33-260984B3715C}"/>
  </bookViews>
  <sheets>
    <sheet name="sowing_data" sheetId="2" r:id="rId1"/>
    <sheet name="manual_data" sheetId="1" r:id="rId2"/>
  </sheets>
  <externalReferences>
    <externalReference r:id="rId3"/>
  </externalReferences>
  <definedNames>
    <definedName name="_C1">sowing_data!$C$2:$C$4506</definedName>
    <definedName name="_C2">sowing_data!$D$2:$D$4506</definedName>
    <definedName name="_C3">sowing_data!$E$2:$E$4506</definedName>
    <definedName name="_C4">sowing_data!$F$2:$F$4506</definedName>
    <definedName name="_C5">sowing_data!$G$2:$G$4506</definedName>
    <definedName name="_C6">sowing_data!$H$2:$H$4506</definedName>
    <definedName name="_C7">sowing_data!$I$2:$I$4506</definedName>
    <definedName name="_C8">sowing_data!$J$2:$J$4506</definedName>
    <definedName name="A1_">sowing_data!$K$2:$K$4506</definedName>
    <definedName name="A2_">sowing_data!$L$2:$L$4506</definedName>
    <definedName name="datos_Hojas" localSheetId="0">[1]!Tabla2[#Data]</definedName>
    <definedName name="datos_Hojas">Tabla2[]</definedName>
    <definedName name="DatosExternos_1" localSheetId="0" hidden="1">sowing_data!$A$1:$O$4506</definedName>
    <definedName name="Día_de_la_semana">sowing_data!$Q$2:$Q$4506</definedName>
    <definedName name="Día_del_mes">sowing_data!$P$2:$P$4506</definedName>
    <definedName name="Fecha">sowing_data!$A$2:$A$4506</definedName>
    <definedName name="Hora">sowing_data!$U$2:$U$4506</definedName>
    <definedName name="Hora_completa">sowing_data!$B$2:$B$4506</definedName>
    <definedName name="Mes">sowing_data!$S$2:$S$4506</definedName>
    <definedName name="Proceso">sowing_data!$T$2:$T$4506</definedName>
    <definedName name="Promedio">sowing_data!$M$2:$M$4506</definedName>
    <definedName name="Semana_del_mes">sowing_data!$R$2:$R$4506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6" i="2" l="1"/>
  <c r="T4506" i="2"/>
  <c r="T4506" i="2" a="1"/>
  <c r="T4505" i="2" a="1"/>
  <c r="T4505" i="2" s="1"/>
  <c r="T4504" i="2" a="1"/>
  <c r="T4504" i="2" s="1"/>
  <c r="T4503" i="2" a="1"/>
  <c r="T4503" i="2" s="1"/>
  <c r="T4502" i="2" a="1"/>
  <c r="T4502" i="2" s="1"/>
  <c r="T4501" i="2" a="1"/>
  <c r="T4501" i="2" s="1"/>
  <c r="T4500" i="2"/>
  <c r="T4500" i="2" a="1"/>
  <c r="T4499" i="2" a="1"/>
  <c r="T4499" i="2" s="1"/>
  <c r="T4498" i="2" a="1"/>
  <c r="T4498" i="2" s="1"/>
  <c r="T4497" i="2" a="1"/>
  <c r="T4497" i="2" s="1"/>
  <c r="T4496" i="2" a="1"/>
  <c r="T4496" i="2" s="1"/>
  <c r="T4495" i="2" a="1"/>
  <c r="T4495" i="2" s="1"/>
  <c r="T4494" i="2"/>
  <c r="T4494" i="2" a="1"/>
  <c r="T4493" i="2" a="1"/>
  <c r="T4493" i="2" s="1"/>
  <c r="T4492" i="2"/>
  <c r="T4492" i="2" a="1"/>
  <c r="T4491" i="2" a="1"/>
  <c r="T4491" i="2" s="1"/>
  <c r="T4490" i="2" a="1"/>
  <c r="T4490" i="2" s="1"/>
  <c r="T4489" i="2" a="1"/>
  <c r="T4489" i="2" s="1"/>
  <c r="T4488" i="2"/>
  <c r="T4488" i="2" a="1"/>
  <c r="T4487" i="2" a="1"/>
  <c r="T4487" i="2" s="1"/>
  <c r="T4486" i="2" a="1"/>
  <c r="T4486" i="2" s="1"/>
  <c r="T4485" i="2" a="1"/>
  <c r="T4485" i="2" s="1"/>
  <c r="T4484" i="2" a="1"/>
  <c r="T4484" i="2" s="1"/>
  <c r="T4483" i="2" a="1"/>
  <c r="T4483" i="2" s="1"/>
  <c r="T4482" i="2"/>
  <c r="T4482" i="2" a="1"/>
  <c r="T4481" i="2" a="1"/>
  <c r="T4481" i="2" s="1"/>
  <c r="T4480" i="2"/>
  <c r="T4480" i="2" a="1"/>
  <c r="T4479" i="2"/>
  <c r="T4479" i="2" a="1"/>
  <c r="T4478" i="2"/>
  <c r="T4478" i="2" a="1"/>
  <c r="T4477" i="2" a="1"/>
  <c r="T4477" i="2" s="1"/>
  <c r="T4476" i="2"/>
  <c r="T4476" i="2" a="1"/>
  <c r="T4475" i="2" a="1"/>
  <c r="T4475" i="2" s="1"/>
  <c r="T4474" i="2" a="1"/>
  <c r="T4474" i="2" s="1"/>
  <c r="T4473" i="2" a="1"/>
  <c r="T4473" i="2" s="1"/>
  <c r="T4472" i="2" a="1"/>
  <c r="T4472" i="2" s="1"/>
  <c r="T4471" i="2"/>
  <c r="T4471" i="2" a="1"/>
  <c r="T4470" i="2"/>
  <c r="T4470" i="2" a="1"/>
  <c r="T4469" i="2" a="1"/>
  <c r="T4469" i="2" s="1"/>
  <c r="T4468" i="2" a="1"/>
  <c r="T4468" i="2" s="1"/>
  <c r="T4467" i="2"/>
  <c r="T4467" i="2" a="1"/>
  <c r="T4466" i="2"/>
  <c r="T4466" i="2" a="1"/>
  <c r="T4465" i="2" a="1"/>
  <c r="T4465" i="2" s="1"/>
  <c r="T4464" i="2"/>
  <c r="T4464" i="2" a="1"/>
  <c r="T4463" i="2" a="1"/>
  <c r="T4463" i="2" s="1"/>
  <c r="T4462" i="2" a="1"/>
  <c r="T4462" i="2" s="1"/>
  <c r="T4461" i="2" a="1"/>
  <c r="T4461" i="2" s="1"/>
  <c r="T4460" i="2" a="1"/>
  <c r="T4460" i="2" s="1"/>
  <c r="T4459" i="2" a="1"/>
  <c r="T4459" i="2" s="1"/>
  <c r="T4458" i="2"/>
  <c r="T4458" i="2" a="1"/>
  <c r="T4457" i="2" a="1"/>
  <c r="T4457" i="2" s="1"/>
  <c r="T4456" i="2"/>
  <c r="T4456" i="2" a="1"/>
  <c r="T4455" i="2" a="1"/>
  <c r="T4455" i="2" s="1"/>
  <c r="T4454" i="2"/>
  <c r="T4454" i="2" a="1"/>
  <c r="T4453" i="2"/>
  <c r="T4453" i="2" a="1"/>
  <c r="T4452" i="2"/>
  <c r="T4452" i="2" a="1"/>
  <c r="T4451" i="2" a="1"/>
  <c r="T4451" i="2" s="1"/>
  <c r="T4450" i="2"/>
  <c r="T4450" i="2" a="1"/>
  <c r="T4449" i="2"/>
  <c r="T4449" i="2" a="1"/>
  <c r="T4448" i="2"/>
  <c r="T4448" i="2" a="1"/>
  <c r="T4447" i="2" a="1"/>
  <c r="T4447" i="2" s="1"/>
  <c r="T4446" i="2"/>
  <c r="T4446" i="2" a="1"/>
  <c r="T4445" i="2" a="1"/>
  <c r="T4445" i="2" s="1"/>
  <c r="T4444" i="2"/>
  <c r="T4444" i="2" a="1"/>
  <c r="T4443" i="2"/>
  <c r="T4443" i="2" a="1"/>
  <c r="T4442" i="2"/>
  <c r="T4442" i="2" a="1"/>
  <c r="T4441" i="2"/>
  <c r="T4441" i="2" a="1"/>
  <c r="T4440" i="2"/>
  <c r="T4440" i="2" a="1"/>
  <c r="T4439" i="2" a="1"/>
  <c r="T4439" i="2" s="1"/>
  <c r="T4438" i="2"/>
  <c r="T4438" i="2" a="1"/>
  <c r="T4437" i="2" a="1"/>
  <c r="T4437" i="2" s="1"/>
  <c r="T4436" i="2"/>
  <c r="T4436" i="2" a="1"/>
  <c r="T4435" i="2" a="1"/>
  <c r="T4435" i="2" s="1"/>
  <c r="T4434" i="2"/>
  <c r="T4434" i="2" a="1"/>
  <c r="T4433" i="2" a="1"/>
  <c r="T4433" i="2" s="1"/>
  <c r="T4432" i="2" a="1"/>
  <c r="T4432" i="2" s="1"/>
  <c r="T4431" i="2"/>
  <c r="T4431" i="2" a="1"/>
  <c r="T4430" i="2"/>
  <c r="T4430" i="2" a="1"/>
  <c r="T4429" i="2"/>
  <c r="T4429" i="2" a="1"/>
  <c r="T4428" i="2"/>
  <c r="T4428" i="2" a="1"/>
  <c r="T4427" i="2" a="1"/>
  <c r="T4427" i="2" s="1"/>
  <c r="T4426" i="2" a="1"/>
  <c r="T4426" i="2" s="1"/>
  <c r="T4425" i="2" a="1"/>
  <c r="T4425" i="2" s="1"/>
  <c r="T4424" i="2"/>
  <c r="T4424" i="2" a="1"/>
  <c r="T4423" i="2"/>
  <c r="T4423" i="2" a="1"/>
  <c r="T4422" i="2"/>
  <c r="T4422" i="2" a="1"/>
  <c r="T4421" i="2" a="1"/>
  <c r="T4421" i="2" s="1"/>
  <c r="T4420" i="2"/>
  <c r="T4420" i="2" a="1"/>
  <c r="T4419" i="2"/>
  <c r="T4419" i="2" a="1"/>
  <c r="T4418" i="2" a="1"/>
  <c r="T4418" i="2" s="1"/>
  <c r="T4417" i="2"/>
  <c r="T4417" i="2" a="1"/>
  <c r="T4416" i="2"/>
  <c r="T4416" i="2" a="1"/>
  <c r="T4415" i="2" a="1"/>
  <c r="T4415" i="2" s="1"/>
  <c r="T4414" i="2" a="1"/>
  <c r="T4414" i="2" s="1"/>
  <c r="T4413" i="2" a="1"/>
  <c r="T4413" i="2" s="1"/>
  <c r="T4412" i="2" a="1"/>
  <c r="T4412" i="2" s="1"/>
  <c r="T4411" i="2" a="1"/>
  <c r="T4411" i="2" s="1"/>
  <c r="T4410" i="2"/>
  <c r="T4410" i="2" a="1"/>
  <c r="T4409" i="2" a="1"/>
  <c r="T4409" i="2" s="1"/>
  <c r="T4408" i="2"/>
  <c r="T4408" i="2" a="1"/>
  <c r="T4407" i="2"/>
  <c r="T4407" i="2" a="1"/>
  <c r="T4406" i="2"/>
  <c r="T4406" i="2" a="1"/>
  <c r="T4405" i="2"/>
  <c r="T4405" i="2" a="1"/>
  <c r="T4404" i="2"/>
  <c r="T4404" i="2" a="1"/>
  <c r="T4403" i="2" a="1"/>
  <c r="T4403" i="2" s="1"/>
  <c r="T4402" i="2"/>
  <c r="T4402" i="2" a="1"/>
  <c r="T4401" i="2" a="1"/>
  <c r="T4401" i="2" s="1"/>
  <c r="T4400" i="2" a="1"/>
  <c r="T4400" i="2" s="1"/>
  <c r="T4399" i="2" a="1"/>
  <c r="T4399" i="2" s="1"/>
  <c r="T4398" i="2"/>
  <c r="T4398" i="2" a="1"/>
  <c r="T4397" i="2" a="1"/>
  <c r="T4397" i="2" s="1"/>
  <c r="T4396" i="2" a="1"/>
  <c r="T4396" i="2" s="1"/>
  <c r="T4395" i="2"/>
  <c r="T4395" i="2" a="1"/>
  <c r="T4394" i="2"/>
  <c r="T4394" i="2" a="1"/>
  <c r="T4393" i="2" a="1"/>
  <c r="T4393" i="2" s="1"/>
  <c r="T4392" i="2"/>
  <c r="T4392" i="2" a="1"/>
  <c r="T4391" i="2" a="1"/>
  <c r="T4391" i="2" s="1"/>
  <c r="T4390" i="2"/>
  <c r="T4390" i="2" a="1"/>
  <c r="T4389" i="2" a="1"/>
  <c r="T4389" i="2" s="1"/>
  <c r="T4388" i="2" a="1"/>
  <c r="T4388" i="2" s="1"/>
  <c r="T4387" i="2" a="1"/>
  <c r="T4387" i="2" s="1"/>
  <c r="T4386" i="2"/>
  <c r="T4386" i="2" a="1"/>
  <c r="T4385" i="2" a="1"/>
  <c r="T4385" i="2" s="1"/>
  <c r="T4384" i="2" a="1"/>
  <c r="T4384" i="2" s="1"/>
  <c r="T4383" i="2" a="1"/>
  <c r="T4383" i="2" s="1"/>
  <c r="T4382" i="2"/>
  <c r="T4382" i="2" a="1"/>
  <c r="T4381" i="2"/>
  <c r="T4381" i="2" a="1"/>
  <c r="T4380" i="2"/>
  <c r="T4380" i="2" a="1"/>
  <c r="T4379" i="2" a="1"/>
  <c r="T4379" i="2" s="1"/>
  <c r="T4378" i="2"/>
  <c r="T4378" i="2" a="1"/>
  <c r="T4377" i="2"/>
  <c r="T4377" i="2" a="1"/>
  <c r="T4376" i="2"/>
  <c r="T4376" i="2" a="1"/>
  <c r="T4375" i="2" a="1"/>
  <c r="T4375" i="2" s="1"/>
  <c r="T4374" i="2"/>
  <c r="T4374" i="2" a="1"/>
  <c r="T4373" i="2" a="1"/>
  <c r="T4373" i="2" s="1"/>
  <c r="T4372" i="2"/>
  <c r="T4372" i="2" a="1"/>
  <c r="T4371" i="2"/>
  <c r="T4371" i="2" a="1"/>
  <c r="T4370" i="2"/>
  <c r="T4370" i="2" a="1"/>
  <c r="T4369" i="2"/>
  <c r="T4369" i="2" a="1"/>
  <c r="T4368" i="2"/>
  <c r="T4368" i="2" a="1"/>
  <c r="T4367" i="2" a="1"/>
  <c r="T4367" i="2" s="1"/>
  <c r="T4366" i="2"/>
  <c r="T4366" i="2" a="1"/>
  <c r="T4365" i="2" a="1"/>
  <c r="T4365" i="2" s="1"/>
  <c r="T4364" i="2"/>
  <c r="T4364" i="2" a="1"/>
  <c r="T4363" i="2"/>
  <c r="T4363" i="2" a="1"/>
  <c r="T4362" i="2"/>
  <c r="T4362" i="2" a="1"/>
  <c r="T4361" i="2" a="1"/>
  <c r="T4361" i="2" s="1"/>
  <c r="T4360" i="2"/>
  <c r="T4360" i="2" a="1"/>
  <c r="T4359" i="2"/>
  <c r="T4359" i="2" a="1"/>
  <c r="T4358" i="2"/>
  <c r="T4358" i="2" a="1"/>
  <c r="T4357" i="2"/>
  <c r="T4357" i="2" a="1"/>
  <c r="T4356" i="2"/>
  <c r="T4356" i="2" a="1"/>
  <c r="T4355" i="2" a="1"/>
  <c r="T4355" i="2" s="1"/>
  <c r="T4354" i="2" a="1"/>
  <c r="T4354" i="2" s="1"/>
  <c r="T4353" i="2"/>
  <c r="T4353" i="2" a="1"/>
  <c r="T4352" i="2"/>
  <c r="T4352" i="2" a="1"/>
  <c r="T4351" i="2"/>
  <c r="T4351" i="2" a="1"/>
  <c r="T4350" i="2" a="1"/>
  <c r="T4350" i="2" s="1"/>
  <c r="T4349" i="2"/>
  <c r="T4349" i="2" a="1"/>
  <c r="T4348" i="2"/>
  <c r="T4348" i="2" a="1"/>
  <c r="T4347" i="2" a="1"/>
  <c r="T4347" i="2" s="1"/>
  <c r="T4346" i="2"/>
  <c r="T4346" i="2" a="1"/>
  <c r="T4345" i="2" a="1"/>
  <c r="T4345" i="2" s="1"/>
  <c r="T4344" i="2" a="1"/>
  <c r="T4344" i="2" s="1"/>
  <c r="T4343" i="2" a="1"/>
  <c r="T4343" i="2" s="1"/>
  <c r="T4342" i="2" a="1"/>
  <c r="T4342" i="2" s="1"/>
  <c r="T4341" i="2" a="1"/>
  <c r="T4341" i="2" s="1"/>
  <c r="T4340" i="2" a="1"/>
  <c r="T4340" i="2" s="1"/>
  <c r="T4339" i="2"/>
  <c r="T4339" i="2" a="1"/>
  <c r="T4338" i="2" a="1"/>
  <c r="T4338" i="2" s="1"/>
  <c r="T4337" i="2"/>
  <c r="T4337" i="2" a="1"/>
  <c r="T4336" i="2"/>
  <c r="T4336" i="2" a="1"/>
  <c r="T4335" i="2"/>
  <c r="T4335" i="2" a="1"/>
  <c r="T4334" i="2"/>
  <c r="T4334" i="2" a="1"/>
  <c r="T4333" i="2" a="1"/>
  <c r="T4333" i="2" s="1"/>
  <c r="T4332" i="2" a="1"/>
  <c r="T4332" i="2" s="1"/>
  <c r="T4331" i="2"/>
  <c r="T4331" i="2" a="1"/>
  <c r="T4330" i="2" a="1"/>
  <c r="T4330" i="2" s="1"/>
  <c r="T4329" i="2" a="1"/>
  <c r="T4329" i="2" s="1"/>
  <c r="T4328" i="2" a="1"/>
  <c r="T4328" i="2" s="1"/>
  <c r="T4327" i="2" a="1"/>
  <c r="T4327" i="2" s="1"/>
  <c r="T4326" i="2" a="1"/>
  <c r="T4326" i="2" s="1"/>
  <c r="T4325" i="2"/>
  <c r="T4325" i="2" a="1"/>
  <c r="T4324" i="2"/>
  <c r="T4324" i="2" a="1"/>
  <c r="T4323" i="2"/>
  <c r="T4323" i="2" a="1"/>
  <c r="T4322" i="2"/>
  <c r="T4322" i="2" a="1"/>
  <c r="T4321" i="2"/>
  <c r="T4321" i="2" a="1"/>
  <c r="T4320" i="2" a="1"/>
  <c r="T4320" i="2" s="1"/>
  <c r="T4319" i="2" a="1"/>
  <c r="T4319" i="2" s="1"/>
  <c r="T4318" i="2"/>
  <c r="T4318" i="2" a="1"/>
  <c r="T4317" i="2" a="1"/>
  <c r="T4317" i="2" s="1"/>
  <c r="T4316" i="2" a="1"/>
  <c r="T4316" i="2" s="1"/>
  <c r="T4315" i="2"/>
  <c r="T4315" i="2" a="1"/>
  <c r="T4314" i="2" a="1"/>
  <c r="T4314" i="2" s="1"/>
  <c r="T4313" i="2"/>
  <c r="T4313" i="2" a="1"/>
  <c r="T4312" i="2"/>
  <c r="T4312" i="2" a="1"/>
  <c r="T4311" i="2"/>
  <c r="T4311" i="2" a="1"/>
  <c r="T4310" i="2"/>
  <c r="T4310" i="2" a="1"/>
  <c r="T4309" i="2" a="1"/>
  <c r="T4309" i="2" s="1"/>
  <c r="T4308" i="2" a="1"/>
  <c r="T4308" i="2" s="1"/>
  <c r="T4307" i="2"/>
  <c r="T4307" i="2" a="1"/>
  <c r="T4306" i="2" a="1"/>
  <c r="T4306" i="2" s="1"/>
  <c r="T4305" i="2" a="1"/>
  <c r="T4305" i="2" s="1"/>
  <c r="T4304" i="2" a="1"/>
  <c r="T4304" i="2" s="1"/>
  <c r="T4303" i="2" a="1"/>
  <c r="T4303" i="2" s="1"/>
  <c r="T4302" i="2" a="1"/>
  <c r="T4302" i="2" s="1"/>
  <c r="T4301" i="2" a="1"/>
  <c r="T4301" i="2" s="1"/>
  <c r="T4300" i="2" a="1"/>
  <c r="T4300" i="2" s="1"/>
  <c r="T4299" i="2"/>
  <c r="T4299" i="2" a="1"/>
  <c r="T4298" i="2"/>
  <c r="T4298" i="2" a="1"/>
  <c r="T4297" i="2"/>
  <c r="T4297" i="2" a="1"/>
  <c r="T4296" i="2" a="1"/>
  <c r="T4296" i="2" s="1"/>
  <c r="T4295" i="2"/>
  <c r="T4295" i="2" a="1"/>
  <c r="T4294" i="2"/>
  <c r="T4294" i="2" a="1"/>
  <c r="T4293" i="2"/>
  <c r="T4293" i="2" a="1"/>
  <c r="T4292" i="2" a="1"/>
  <c r="T4292" i="2" s="1"/>
  <c r="T4291" i="2" a="1"/>
  <c r="T4291" i="2" s="1"/>
  <c r="T4290" i="2" a="1"/>
  <c r="T4290" i="2" s="1"/>
  <c r="T4289" i="2" a="1"/>
  <c r="T4289" i="2" s="1"/>
  <c r="T4288" i="2" a="1"/>
  <c r="T4288" i="2" s="1"/>
  <c r="T4287" i="2" a="1"/>
  <c r="T4287" i="2" s="1"/>
  <c r="T4286" i="2" a="1"/>
  <c r="T4286" i="2" s="1"/>
  <c r="T4285" i="2"/>
  <c r="T4285" i="2" a="1"/>
  <c r="T4284" i="2" a="1"/>
  <c r="T4284" i="2" s="1"/>
  <c r="T4283" i="2" a="1"/>
  <c r="T4283" i="2" s="1"/>
  <c r="T4282" i="2" a="1"/>
  <c r="T4282" i="2" s="1"/>
  <c r="T4281" i="2" a="1"/>
  <c r="T4281" i="2" s="1"/>
  <c r="T4280" i="2" a="1"/>
  <c r="T4280" i="2" s="1"/>
  <c r="T4279" i="2" a="1"/>
  <c r="T4279" i="2" s="1"/>
  <c r="T4278" i="2" a="1"/>
  <c r="T4278" i="2" s="1"/>
  <c r="T4277" i="2"/>
  <c r="T4277" i="2" a="1"/>
  <c r="T4276" i="2" a="1"/>
  <c r="T4276" i="2" s="1"/>
  <c r="T4275" i="2" a="1"/>
  <c r="T4275" i="2" s="1"/>
  <c r="T4274" i="2"/>
  <c r="T4274" i="2" a="1"/>
  <c r="T4273" i="2"/>
  <c r="T4273" i="2" a="1"/>
  <c r="T4272" i="2" a="1"/>
  <c r="T4272" i="2" s="1"/>
  <c r="T4271" i="2" a="1"/>
  <c r="T4271" i="2" s="1"/>
  <c r="T4270" i="2" a="1"/>
  <c r="T4270" i="2" s="1"/>
  <c r="T4269" i="2" a="1"/>
  <c r="T4269" i="2" s="1"/>
  <c r="T4268" i="2" a="1"/>
  <c r="T4268" i="2" s="1"/>
  <c r="T4267" i="2"/>
  <c r="T4267" i="2" a="1"/>
  <c r="T4266" i="2" a="1"/>
  <c r="T4266" i="2" s="1"/>
  <c r="T4265" i="2"/>
  <c r="T4265" i="2" a="1"/>
  <c r="T4264" i="2"/>
  <c r="T4264" i="2" a="1"/>
  <c r="T4263" i="2"/>
  <c r="T4263" i="2" a="1"/>
  <c r="T4262" i="2" a="1"/>
  <c r="T4262" i="2" s="1"/>
  <c r="T4261" i="2" a="1"/>
  <c r="T4261" i="2" s="1"/>
  <c r="T4260" i="2" a="1"/>
  <c r="T4260" i="2" s="1"/>
  <c r="T4259" i="2"/>
  <c r="T4259" i="2" a="1"/>
  <c r="T4258" i="2" a="1"/>
  <c r="T4258" i="2" s="1"/>
  <c r="T4257" i="2" a="1"/>
  <c r="T4257" i="2" s="1"/>
  <c r="T4256" i="2" a="1"/>
  <c r="T4256" i="2" s="1"/>
  <c r="T4255" i="2" a="1"/>
  <c r="T4255" i="2" s="1"/>
  <c r="T4254" i="2" a="1"/>
  <c r="T4254" i="2" s="1"/>
  <c r="T4253" i="2" a="1"/>
  <c r="T4253" i="2" s="1"/>
  <c r="T4252" i="2"/>
  <c r="T4252" i="2" a="1"/>
  <c r="T4251" i="2"/>
  <c r="T4251" i="2" a="1"/>
  <c r="T4250" i="2"/>
  <c r="T4250" i="2" a="1"/>
  <c r="T4249" i="2"/>
  <c r="T4249" i="2" a="1"/>
  <c r="T4248" i="2" a="1"/>
  <c r="T4248" i="2" s="1"/>
  <c r="T4247" i="2" a="1"/>
  <c r="T4247" i="2" s="1"/>
  <c r="T4246" i="2"/>
  <c r="T4246" i="2" a="1"/>
  <c r="T4245" i="2" a="1"/>
  <c r="T4245" i="2" s="1"/>
  <c r="T4244" i="2" a="1"/>
  <c r="T4244" i="2" s="1"/>
  <c r="T4243" i="2" a="1"/>
  <c r="T4243" i="2" s="1"/>
  <c r="T4242" i="2" a="1"/>
  <c r="T4242" i="2" s="1"/>
  <c r="T4241" i="2"/>
  <c r="T4241" i="2" a="1"/>
  <c r="T4240" i="2"/>
  <c r="T4240" i="2" a="1"/>
  <c r="T4239" i="2"/>
  <c r="T4239" i="2" a="1"/>
  <c r="T4238" i="2"/>
  <c r="T4238" i="2" a="1"/>
  <c r="T4237" i="2" a="1"/>
  <c r="T4237" i="2" s="1"/>
  <c r="T4236" i="2" a="1"/>
  <c r="T4236" i="2" s="1"/>
  <c r="T4235" i="2" a="1"/>
  <c r="T4235" i="2" s="1"/>
  <c r="T4234" i="2" a="1"/>
  <c r="T4234" i="2" s="1"/>
  <c r="T4233" i="2"/>
  <c r="T4233" i="2" a="1"/>
  <c r="T4232" i="2" a="1"/>
  <c r="T4232" i="2" s="1"/>
  <c r="T4231" i="2" a="1"/>
  <c r="T4231" i="2" s="1"/>
  <c r="T4230" i="2" a="1"/>
  <c r="T4230" i="2" s="1"/>
  <c r="T4229" i="2"/>
  <c r="T4229" i="2" a="1"/>
  <c r="T4228" i="2"/>
  <c r="T4228" i="2" a="1"/>
  <c r="T4227" i="2"/>
  <c r="T4227" i="2" a="1"/>
  <c r="T4226" i="2"/>
  <c r="T4226" i="2" a="1"/>
  <c r="T4225" i="2"/>
  <c r="T4225" i="2" a="1"/>
  <c r="T4224" i="2" a="1"/>
  <c r="T4224" i="2" s="1"/>
  <c r="T4223" i="2"/>
  <c r="T4223" i="2" a="1"/>
  <c r="T4222" i="2"/>
  <c r="T4222" i="2" a="1"/>
  <c r="T4221" i="2" a="1"/>
  <c r="T4221" i="2" s="1"/>
  <c r="T4220" i="2" a="1"/>
  <c r="T4220" i="2" s="1"/>
  <c r="T4219" i="2" a="1"/>
  <c r="T4219" i="2" s="1"/>
  <c r="T4218" i="2" a="1"/>
  <c r="T4218" i="2" s="1"/>
  <c r="T4217" i="2"/>
  <c r="T4217" i="2" a="1"/>
  <c r="T4216" i="2"/>
  <c r="T4216" i="2" a="1"/>
  <c r="T4215" i="2"/>
  <c r="T4215" i="2" a="1"/>
  <c r="T4214" i="2" a="1"/>
  <c r="T4214" i="2" s="1"/>
  <c r="T4213" i="2"/>
  <c r="T4213" i="2" a="1"/>
  <c r="T4212" i="2" a="1"/>
  <c r="T4212" i="2" s="1"/>
  <c r="T4211" i="2" a="1"/>
  <c r="T4211" i="2" s="1"/>
  <c r="T4210" i="2"/>
  <c r="T4210" i="2" a="1"/>
  <c r="T4209" i="2"/>
  <c r="T4209" i="2" a="1"/>
  <c r="T4208" i="2" a="1"/>
  <c r="T4208" i="2" s="1"/>
  <c r="T4207" i="2" a="1"/>
  <c r="T4207" i="2" s="1"/>
  <c r="T4206" i="2" a="1"/>
  <c r="T4206" i="2" s="1"/>
  <c r="T4205" i="2"/>
  <c r="T4205" i="2" a="1"/>
  <c r="T4204" i="2" a="1"/>
  <c r="T4204" i="2" s="1"/>
  <c r="T4203" i="2" a="1"/>
  <c r="T4203" i="2" s="1"/>
  <c r="T4202" i="2"/>
  <c r="T4202" i="2" a="1"/>
  <c r="T4201" i="2"/>
  <c r="T4201" i="2" a="1"/>
  <c r="T4200" i="2" a="1"/>
  <c r="T4200" i="2" s="1"/>
  <c r="T4199" i="2" a="1"/>
  <c r="T4199" i="2" s="1"/>
  <c r="T4198" i="2" a="1"/>
  <c r="T4198" i="2" s="1"/>
  <c r="T4197" i="2" a="1"/>
  <c r="T4197" i="2" s="1"/>
  <c r="T4196" i="2" a="1"/>
  <c r="T4196" i="2" s="1"/>
  <c r="T4195" i="2"/>
  <c r="T4195" i="2" a="1"/>
  <c r="T4194" i="2" a="1"/>
  <c r="T4194" i="2" s="1"/>
  <c r="T4193" i="2"/>
  <c r="T4193" i="2" a="1"/>
  <c r="T4192" i="2"/>
  <c r="T4192" i="2" a="1"/>
  <c r="T4191" i="2"/>
  <c r="T4191" i="2" a="1"/>
  <c r="T4190" i="2" a="1"/>
  <c r="T4190" i="2" s="1"/>
  <c r="T4189" i="2" a="1"/>
  <c r="T4189" i="2" s="1"/>
  <c r="T4188" i="2" a="1"/>
  <c r="T4188" i="2" s="1"/>
  <c r="T4187" i="2"/>
  <c r="T4187" i="2" a="1"/>
  <c r="T4186" i="2" a="1"/>
  <c r="T4186" i="2" s="1"/>
  <c r="T4185" i="2" a="1"/>
  <c r="T4185" i="2" s="1"/>
  <c r="T4184" i="2" a="1"/>
  <c r="T4184" i="2" s="1"/>
  <c r="T4183" i="2"/>
  <c r="T4183" i="2" a="1"/>
  <c r="T4182" i="2" a="1"/>
  <c r="T4182" i="2" s="1"/>
  <c r="T4181" i="2"/>
  <c r="T4181" i="2" a="1"/>
  <c r="T4180" i="2"/>
  <c r="T4180" i="2" a="1"/>
  <c r="T4179" i="2"/>
  <c r="T4179" i="2" a="1"/>
  <c r="T4178" i="2"/>
  <c r="T4178" i="2" a="1"/>
  <c r="T4177" i="2"/>
  <c r="T4177" i="2" a="1"/>
  <c r="T4176" i="2" a="1"/>
  <c r="T4176" i="2" s="1"/>
  <c r="T4175" i="2" a="1"/>
  <c r="T4175" i="2" s="1"/>
  <c r="T4174" i="2" a="1"/>
  <c r="T4174" i="2" s="1"/>
  <c r="T4173" i="2" a="1"/>
  <c r="T4173" i="2" s="1"/>
  <c r="T4172" i="2" a="1"/>
  <c r="T4172" i="2" s="1"/>
  <c r="T4171" i="2" a="1"/>
  <c r="T4171" i="2" s="1"/>
  <c r="T4170" i="2" a="1"/>
  <c r="T4170" i="2" s="1"/>
  <c r="T4169" i="2"/>
  <c r="T4169" i="2" a="1"/>
  <c r="T4168" i="2"/>
  <c r="T4168" i="2" a="1"/>
  <c r="T4167" i="2"/>
  <c r="T4167" i="2" a="1"/>
  <c r="T4166" i="2"/>
  <c r="T4166" i="2" a="1"/>
  <c r="T4165" i="2"/>
  <c r="T4165" i="2" a="1"/>
  <c r="T4164" i="2" a="1"/>
  <c r="T4164" i="2" s="1"/>
  <c r="T4163" i="2" a="1"/>
  <c r="T4163" i="2" s="1"/>
  <c r="T4162" i="2"/>
  <c r="T4162" i="2" a="1"/>
  <c r="T4161" i="2"/>
  <c r="T4161" i="2" a="1"/>
  <c r="T4160" i="2" a="1"/>
  <c r="T4160" i="2" s="1"/>
  <c r="T4159" i="2" a="1"/>
  <c r="T4159" i="2" s="1"/>
  <c r="T4158" i="2" a="1"/>
  <c r="T4158" i="2" s="1"/>
  <c r="T4157" i="2"/>
  <c r="T4157" i="2" a="1"/>
  <c r="T4156" i="2"/>
  <c r="T4156" i="2" a="1"/>
  <c r="T4155" i="2" a="1"/>
  <c r="T4155" i="2" s="1"/>
  <c r="T4154" i="2"/>
  <c r="T4154" i="2" a="1"/>
  <c r="T4153" i="2"/>
  <c r="T4153" i="2" a="1"/>
  <c r="T4152" i="2" a="1"/>
  <c r="T4152" i="2" s="1"/>
  <c r="T4151" i="2"/>
  <c r="T4151" i="2" a="1"/>
  <c r="T4150" i="2" a="1"/>
  <c r="T4150" i="2" s="1"/>
  <c r="T4149" i="2" a="1"/>
  <c r="T4149" i="2" s="1"/>
  <c r="T4148" i="2" a="1"/>
  <c r="T4148" i="2" s="1"/>
  <c r="T4147" i="2" a="1"/>
  <c r="T4147" i="2" s="1"/>
  <c r="T4146" i="2" a="1"/>
  <c r="T4146" i="2" s="1"/>
  <c r="T4145" i="2"/>
  <c r="T4145" i="2" a="1"/>
  <c r="T4144" i="2" a="1"/>
  <c r="T4144" i="2" s="1"/>
  <c r="T4143" i="2" a="1"/>
  <c r="T4143" i="2" s="1"/>
  <c r="T4142" i="2" a="1"/>
  <c r="T4142" i="2" s="1"/>
  <c r="T4141" i="2"/>
  <c r="T4141" i="2" a="1"/>
  <c r="T4140" i="2" a="1"/>
  <c r="T4140" i="2" s="1"/>
  <c r="T4139" i="2" a="1"/>
  <c r="T4139" i="2" s="1"/>
  <c r="T4138" i="2"/>
  <c r="T4138" i="2" a="1"/>
  <c r="T4137" i="2"/>
  <c r="T4137" i="2" a="1"/>
  <c r="T4136" i="2" a="1"/>
  <c r="T4136" i="2" s="1"/>
  <c r="T4135" i="2" a="1"/>
  <c r="T4135" i="2" s="1"/>
  <c r="T4134" i="2" a="1"/>
  <c r="T4134" i="2" s="1"/>
  <c r="T4133" i="2"/>
  <c r="T4133" i="2" a="1"/>
  <c r="T4132" i="2"/>
  <c r="T4132" i="2" a="1"/>
  <c r="T4131" i="2" a="1"/>
  <c r="T4131" i="2" s="1"/>
  <c r="T4130" i="2"/>
  <c r="T4130" i="2" a="1"/>
  <c r="T4129" i="2"/>
  <c r="T4129" i="2" a="1"/>
  <c r="T4128" i="2" a="1"/>
  <c r="T4128" i="2" s="1"/>
  <c r="T4127" i="2" a="1"/>
  <c r="T4127" i="2" s="1"/>
  <c r="T4126" i="2" a="1"/>
  <c r="T4126" i="2" s="1"/>
  <c r="T4125" i="2"/>
  <c r="T4125" i="2" a="1"/>
  <c r="T4124" i="2" a="1"/>
  <c r="T4124" i="2" s="1"/>
  <c r="T4123" i="2" a="1"/>
  <c r="T4123" i="2" s="1"/>
  <c r="T4122" i="2" a="1"/>
  <c r="T4122" i="2" s="1"/>
  <c r="T4121" i="2"/>
  <c r="T4121" i="2" a="1"/>
  <c r="T4120" i="2"/>
  <c r="T4120" i="2" a="1"/>
  <c r="T4119" i="2"/>
  <c r="T4119" i="2" a="1"/>
  <c r="T4118" i="2"/>
  <c r="T4118" i="2" a="1"/>
  <c r="T4117" i="2"/>
  <c r="T4117" i="2" a="1"/>
  <c r="T4116" i="2" a="1"/>
  <c r="T4116" i="2" s="1"/>
  <c r="T4115" i="2" a="1"/>
  <c r="T4115" i="2" s="1"/>
  <c r="T4114" i="2" a="1"/>
  <c r="T4114" i="2" s="1"/>
  <c r="T4113" i="2" a="1"/>
  <c r="T4113" i="2" s="1"/>
  <c r="T4112" i="2"/>
  <c r="T4112" i="2" a="1"/>
  <c r="T4111" i="2"/>
  <c r="T4111" i="2" a="1"/>
  <c r="T4110" i="2" a="1"/>
  <c r="T4110" i="2" s="1"/>
  <c r="T4109" i="2" a="1"/>
  <c r="T4109" i="2" s="1"/>
  <c r="T4108" i="2"/>
  <c r="T4108" i="2" a="1"/>
  <c r="T4107" i="2"/>
  <c r="T4107" i="2" a="1"/>
  <c r="T4106" i="2"/>
  <c r="T4106" i="2" a="1"/>
  <c r="T4105" i="2"/>
  <c r="T4105" i="2" a="1"/>
  <c r="T4104" i="2" a="1"/>
  <c r="T4104" i="2" s="1"/>
  <c r="T4103" i="2"/>
  <c r="T4103" i="2" a="1"/>
  <c r="T4102" i="2" a="1"/>
  <c r="T4102" i="2" s="1"/>
  <c r="T4101" i="2" a="1"/>
  <c r="T4101" i="2" s="1"/>
  <c r="T4100" i="2" a="1"/>
  <c r="T4100" i="2" s="1"/>
  <c r="T4099" i="2" a="1"/>
  <c r="T4099" i="2" s="1"/>
  <c r="T4098" i="2" a="1"/>
  <c r="T4098" i="2" s="1"/>
  <c r="T4097" i="2"/>
  <c r="T4097" i="2" a="1"/>
  <c r="T4096" i="2"/>
  <c r="T4096" i="2" a="1"/>
  <c r="T4095" i="2"/>
  <c r="T4095" i="2" a="1"/>
  <c r="T4094" i="2"/>
  <c r="T4094" i="2" a="1"/>
  <c r="T4093" i="2"/>
  <c r="T4093" i="2" a="1"/>
  <c r="T4092" i="2" a="1"/>
  <c r="T4092" i="2" s="1"/>
  <c r="T4091" i="2" a="1"/>
  <c r="T4091" i="2" s="1"/>
  <c r="T4090" i="2"/>
  <c r="T4090" i="2" a="1"/>
  <c r="T4089" i="2"/>
  <c r="T4089" i="2" a="1"/>
  <c r="T4088" i="2" a="1"/>
  <c r="T4088" i="2" s="1"/>
  <c r="T4087" i="2" a="1"/>
  <c r="T4087" i="2" s="1"/>
  <c r="T4086" i="2" a="1"/>
  <c r="T4086" i="2" s="1"/>
  <c r="T4085" i="2"/>
  <c r="T4085" i="2" a="1"/>
  <c r="T4084" i="2"/>
  <c r="T4084" i="2" a="1"/>
  <c r="T4083" i="2"/>
  <c r="T4083" i="2" a="1"/>
  <c r="T4082" i="2"/>
  <c r="T4082" i="2" a="1"/>
  <c r="T4081" i="2"/>
  <c r="T4081" i="2" a="1"/>
  <c r="T4080" i="2" a="1"/>
  <c r="T4080" i="2" s="1"/>
  <c r="T4079" i="2" a="1"/>
  <c r="T4079" i="2" s="1"/>
  <c r="T4078" i="2" a="1"/>
  <c r="T4078" i="2" s="1"/>
  <c r="T4077" i="2"/>
  <c r="T4077" i="2" a="1"/>
  <c r="T4076" i="2" a="1"/>
  <c r="T4076" i="2" s="1"/>
  <c r="T4075" i="2" a="1"/>
  <c r="T4075" i="2" s="1"/>
  <c r="T4074" i="2" a="1"/>
  <c r="T4074" i="2" s="1"/>
  <c r="T4073" i="2"/>
  <c r="T4073" i="2" a="1"/>
  <c r="T4072" i="2" a="1"/>
  <c r="T4072" i="2" s="1"/>
  <c r="T4071" i="2" a="1"/>
  <c r="T4071" i="2" s="1"/>
  <c r="T4070" i="2"/>
  <c r="T4070" i="2" a="1"/>
  <c r="T4069" i="2"/>
  <c r="T4069" i="2" a="1"/>
  <c r="T4068" i="2" a="1"/>
  <c r="T4068" i="2" s="1"/>
  <c r="T4067" i="2" a="1"/>
  <c r="T4067" i="2" s="1"/>
  <c r="T4066" i="2"/>
  <c r="T4066" i="2" a="1"/>
  <c r="T4065" i="2" a="1"/>
  <c r="T4065" i="2" s="1"/>
  <c r="T4064" i="2" a="1"/>
  <c r="T4064" i="2" s="1"/>
  <c r="T4063" i="2" a="1"/>
  <c r="T4063" i="2" s="1"/>
  <c r="T4062" i="2" a="1"/>
  <c r="T4062" i="2" s="1"/>
  <c r="T4061" i="2"/>
  <c r="T4061" i="2" a="1"/>
  <c r="T4060" i="2"/>
  <c r="T4060" i="2" a="1"/>
  <c r="T4059" i="2"/>
  <c r="T4059" i="2" a="1"/>
  <c r="T4058" i="2"/>
  <c r="T4058" i="2" a="1"/>
  <c r="T4057" i="2"/>
  <c r="T4057" i="2" a="1"/>
  <c r="T4056" i="2" a="1"/>
  <c r="T4056" i="2" s="1"/>
  <c r="T4055" i="2" a="1"/>
  <c r="T4055" i="2" s="1"/>
  <c r="T4054" i="2" a="1"/>
  <c r="T4054" i="2" s="1"/>
  <c r="T4053" i="2" a="1"/>
  <c r="T4053" i="2" s="1"/>
  <c r="T4052" i="2"/>
  <c r="T4052" i="2" a="1"/>
  <c r="T4051" i="2" a="1"/>
  <c r="T4051" i="2" s="1"/>
  <c r="T4050" i="2" a="1"/>
  <c r="T4050" i="2" s="1"/>
  <c r="T4049" i="2"/>
  <c r="T4049" i="2" a="1"/>
  <c r="T4048" i="2"/>
  <c r="T4048" i="2" a="1"/>
  <c r="T4047" i="2" a="1"/>
  <c r="T4047" i="2" s="1"/>
  <c r="T4046" i="2" a="1"/>
  <c r="T4046" i="2" s="1"/>
  <c r="T4045" i="2"/>
  <c r="T4045" i="2" a="1"/>
  <c r="T4044" i="2" a="1"/>
  <c r="T4044" i="2" s="1"/>
  <c r="T4043" i="2" a="1"/>
  <c r="T4043" i="2" s="1"/>
  <c r="T4042" i="2" a="1"/>
  <c r="T4042" i="2" s="1"/>
  <c r="T4041" i="2" a="1"/>
  <c r="T4041" i="2" s="1"/>
  <c r="T4040" i="2" a="1"/>
  <c r="T4040" i="2" s="1"/>
  <c r="T4039" i="2"/>
  <c r="T4039" i="2" a="1"/>
  <c r="T4038" i="2" a="1"/>
  <c r="T4038" i="2" s="1"/>
  <c r="T4037" i="2"/>
  <c r="T4037" i="2" a="1"/>
  <c r="T4036" i="2"/>
  <c r="T4036" i="2" a="1"/>
  <c r="T4035" i="2"/>
  <c r="T4035" i="2" a="1"/>
  <c r="T4034" i="2"/>
  <c r="T4034" i="2" a="1"/>
  <c r="T4033" i="2"/>
  <c r="T4033" i="2" a="1"/>
  <c r="T4032" i="2" a="1"/>
  <c r="T4032" i="2" s="1"/>
  <c r="T4031" i="2"/>
  <c r="T4031" i="2" a="1"/>
  <c r="T4030" i="2" a="1"/>
  <c r="T4030" i="2" s="1"/>
  <c r="T4029" i="2" a="1"/>
  <c r="T4029" i="2" s="1"/>
  <c r="T4028" i="2" a="1"/>
  <c r="T4028" i="2" s="1"/>
  <c r="T4027" i="2"/>
  <c r="T4027" i="2" a="1"/>
  <c r="T4026" i="2" a="1"/>
  <c r="T4026" i="2" s="1"/>
  <c r="T4025" i="2" a="1"/>
  <c r="T4025" i="2" s="1"/>
  <c r="T4024" i="2"/>
  <c r="T4024" i="2" a="1"/>
  <c r="T4023" i="2"/>
  <c r="T4023" i="2" a="1"/>
  <c r="T4022" i="2"/>
  <c r="T4022" i="2" a="1"/>
  <c r="T4021" i="2"/>
  <c r="T4021" i="2" a="1"/>
  <c r="T4020" i="2" a="1"/>
  <c r="T4020" i="2" s="1"/>
  <c r="T4019" i="2"/>
  <c r="T4019" i="2" a="1"/>
  <c r="T4018" i="2"/>
  <c r="T4018" i="2" a="1"/>
  <c r="T4017" i="2"/>
  <c r="T4017" i="2" a="1"/>
  <c r="T4016" i="2" a="1"/>
  <c r="T4016" i="2" s="1"/>
  <c r="T4015" i="2" a="1"/>
  <c r="T4015" i="2" s="1"/>
  <c r="T4014" i="2" a="1"/>
  <c r="T4014" i="2" s="1"/>
  <c r="T4013" i="2"/>
  <c r="T4013" i="2" a="1"/>
  <c r="T4012" i="2"/>
  <c r="T4012" i="2" a="1"/>
  <c r="T4011" i="2" a="1"/>
  <c r="T4011" i="2" s="1"/>
  <c r="T4010" i="2"/>
  <c r="T4010" i="2" a="1"/>
  <c r="T4009" i="2"/>
  <c r="T4009" i="2" a="1"/>
  <c r="T4008" i="2" a="1"/>
  <c r="T4008" i="2" s="1"/>
  <c r="T4007" i="2" a="1"/>
  <c r="T4007" i="2" s="1"/>
  <c r="T4006" i="2"/>
  <c r="T4006" i="2" a="1"/>
  <c r="T4005" i="2"/>
  <c r="T4005" i="2" a="1"/>
  <c r="T4004" i="2" a="1"/>
  <c r="T4004" i="2" s="1"/>
  <c r="T4003" i="2" a="1"/>
  <c r="T4003" i="2" s="1"/>
  <c r="T4002" i="2" a="1"/>
  <c r="T4002" i="2" s="1"/>
  <c r="T4001" i="2" a="1"/>
  <c r="T4001" i="2" s="1"/>
  <c r="T4000" i="2" a="1"/>
  <c r="T4000" i="2" s="1"/>
  <c r="T3999" i="2" a="1"/>
  <c r="T3999" i="2" s="1"/>
  <c r="T3998" i="2" a="1"/>
  <c r="T3998" i="2" s="1"/>
  <c r="T3997" i="2"/>
  <c r="T3997" i="2" a="1"/>
  <c r="T3996" i="2" a="1"/>
  <c r="T3996" i="2" s="1"/>
  <c r="T3995" i="2" a="1"/>
  <c r="T3995" i="2" s="1"/>
  <c r="T3994" i="2" a="1"/>
  <c r="T3994" i="2" s="1"/>
  <c r="T3993" i="2" a="1"/>
  <c r="T3993" i="2" s="1"/>
  <c r="T3992" i="2" a="1"/>
  <c r="T3992" i="2" s="1"/>
  <c r="T3991" i="2" a="1"/>
  <c r="T3991" i="2" s="1"/>
  <c r="T3990" i="2" a="1"/>
  <c r="T3990" i="2" s="1"/>
  <c r="T3989" i="2"/>
  <c r="T3989" i="2" a="1"/>
  <c r="T3988" i="2"/>
  <c r="T3988" i="2" a="1"/>
  <c r="T3987" i="2"/>
  <c r="T3987" i="2" a="1"/>
  <c r="T3986" i="2" a="1"/>
  <c r="T3986" i="2" s="1"/>
  <c r="T3985" i="2"/>
  <c r="T3985" i="2" a="1"/>
  <c r="T3984" i="2" a="1"/>
  <c r="T3984" i="2" s="1"/>
  <c r="T3983" i="2" a="1"/>
  <c r="T3983" i="2" s="1"/>
  <c r="T3982" i="2" a="1"/>
  <c r="T3982" i="2" s="1"/>
  <c r="T3981" i="2"/>
  <c r="T3981" i="2" a="1"/>
  <c r="T3980" i="2" a="1"/>
  <c r="T3980" i="2" s="1"/>
  <c r="T3979" i="2" a="1"/>
  <c r="T3979" i="2" s="1"/>
  <c r="T3978" i="2" a="1"/>
  <c r="T3978" i="2" s="1"/>
  <c r="T3977" i="2"/>
  <c r="T3977" i="2" a="1"/>
  <c r="T3976" i="2"/>
  <c r="T3976" i="2" a="1"/>
  <c r="T3975" i="2"/>
  <c r="T3975" i="2" a="1"/>
  <c r="T3974" i="2"/>
  <c r="T3974" i="2" a="1"/>
  <c r="T3973" i="2"/>
  <c r="T3973" i="2" a="1"/>
  <c r="T3972" i="2" a="1"/>
  <c r="T3972" i="2" s="1"/>
  <c r="T3971" i="2"/>
  <c r="T3971" i="2" a="1"/>
  <c r="T3970" i="2" a="1"/>
  <c r="T3970" i="2" s="1"/>
  <c r="T3969" i="2" a="1"/>
  <c r="T3969" i="2" s="1"/>
  <c r="T3968" i="2" a="1"/>
  <c r="T3968" i="2" s="1"/>
  <c r="T3967" i="2" a="1"/>
  <c r="T3967" i="2" s="1"/>
  <c r="T3966" i="2" a="1"/>
  <c r="T3966" i="2" s="1"/>
  <c r="T3965" i="2"/>
  <c r="T3965" i="2" a="1"/>
  <c r="T3964" i="2"/>
  <c r="T3964" i="2" a="1"/>
  <c r="T3963" i="2"/>
  <c r="T3963" i="2" a="1"/>
  <c r="T3962" i="2"/>
  <c r="T3962" i="2" a="1"/>
  <c r="T3961" i="2"/>
  <c r="T3961" i="2" a="1"/>
  <c r="T3960" i="2" a="1"/>
  <c r="T3960" i="2" s="1"/>
  <c r="T3959" i="2" a="1"/>
  <c r="T3959" i="2" s="1"/>
  <c r="T3958" i="2" a="1"/>
  <c r="T3958" i="2" s="1"/>
  <c r="T3957" i="2" a="1"/>
  <c r="T3957" i="2" s="1"/>
  <c r="T3956" i="2" a="1"/>
  <c r="T3956" i="2" s="1"/>
  <c r="T3955" i="2" a="1"/>
  <c r="T3955" i="2" s="1"/>
  <c r="T3954" i="2" a="1"/>
  <c r="T3954" i="2" s="1"/>
  <c r="T3953" i="2"/>
  <c r="T3953" i="2" a="1"/>
  <c r="T3952" i="2"/>
  <c r="T3952" i="2" a="1"/>
  <c r="T3951" i="2"/>
  <c r="T3951" i="2" a="1"/>
  <c r="T3950" i="2"/>
  <c r="T3950" i="2" a="1"/>
  <c r="T3949" i="2"/>
  <c r="T3949" i="2" a="1"/>
  <c r="T3948" i="2" a="1"/>
  <c r="T3948" i="2" s="1"/>
  <c r="T3947" i="2"/>
  <c r="T3947" i="2" a="1"/>
  <c r="T3946" i="2" a="1"/>
  <c r="T3946" i="2" s="1"/>
  <c r="T3945" i="2" a="1"/>
  <c r="T3945" i="2" s="1"/>
  <c r="T3944" i="2" a="1"/>
  <c r="T3944" i="2" s="1"/>
  <c r="T3943" i="2" a="1"/>
  <c r="T3943" i="2" s="1"/>
  <c r="T3942" i="2" a="1"/>
  <c r="T3942" i="2" s="1"/>
  <c r="T3941" i="2" a="1"/>
  <c r="T3941" i="2" s="1"/>
  <c r="T3940" i="2" a="1"/>
  <c r="T3940" i="2" s="1"/>
  <c r="T3939" i="2"/>
  <c r="T3939" i="2" a="1"/>
  <c r="T3938" i="2"/>
  <c r="T3938" i="2" a="1"/>
  <c r="T3937" i="2"/>
  <c r="T3937" i="2" a="1"/>
  <c r="T3936" i="2" a="1"/>
  <c r="T3936" i="2" s="1"/>
  <c r="T3935" i="2"/>
  <c r="T3935" i="2" a="1"/>
  <c r="T3934" i="2"/>
  <c r="T3934" i="2" a="1"/>
  <c r="T3933" i="2" a="1"/>
  <c r="T3933" i="2" s="1"/>
  <c r="T3932" i="2"/>
  <c r="T3932" i="2" a="1"/>
  <c r="T3931" i="2" a="1"/>
  <c r="T3931" i="2" s="1"/>
  <c r="T3930" i="2" a="1"/>
  <c r="T3930" i="2" s="1"/>
  <c r="T3929" i="2" a="1"/>
  <c r="T3929" i="2" s="1"/>
  <c r="T3928" i="2"/>
  <c r="T3928" i="2" a="1"/>
  <c r="T3927" i="2" a="1"/>
  <c r="T3927" i="2" s="1"/>
  <c r="T3926" i="2"/>
  <c r="T3926" i="2" a="1"/>
  <c r="T3925" i="2"/>
  <c r="T3925" i="2" a="1"/>
  <c r="T3924" i="2" a="1"/>
  <c r="T3924" i="2" s="1"/>
  <c r="T3923" i="2" a="1"/>
  <c r="T3923" i="2" s="1"/>
  <c r="T3922" i="2" a="1"/>
  <c r="T3922" i="2" s="1"/>
  <c r="T3921" i="2"/>
  <c r="T3921" i="2" a="1"/>
  <c r="T3920" i="2"/>
  <c r="T3920" i="2" a="1"/>
  <c r="T3919" i="2"/>
  <c r="T3919" i="2" a="1"/>
  <c r="T3918" i="2" a="1"/>
  <c r="T3918" i="2" s="1"/>
  <c r="T3917" i="2"/>
  <c r="T3917" i="2" a="1"/>
  <c r="T3916" i="2"/>
  <c r="T3916" i="2" a="1"/>
  <c r="T3915" i="2" a="1"/>
  <c r="T3915" i="2" s="1"/>
  <c r="T3914" i="2"/>
  <c r="T3914" i="2" a="1"/>
  <c r="T3913" i="2" a="1"/>
  <c r="T3913" i="2" s="1"/>
  <c r="T3912" i="2" a="1"/>
  <c r="T3912" i="2" s="1"/>
  <c r="T3911" i="2" a="1"/>
  <c r="T3911" i="2" s="1"/>
  <c r="T3910" i="2" a="1"/>
  <c r="T3910" i="2" s="1"/>
  <c r="T3909" i="2" a="1"/>
  <c r="T3909" i="2" s="1"/>
  <c r="T3908" i="2" a="1"/>
  <c r="T3908" i="2" s="1"/>
  <c r="T3907" i="2" a="1"/>
  <c r="T3907" i="2" s="1"/>
  <c r="T3906" i="2" a="1"/>
  <c r="T3906" i="2" s="1"/>
  <c r="T3905" i="2"/>
  <c r="T3905" i="2" a="1"/>
  <c r="T3904" i="2"/>
  <c r="T3904" i="2" a="1"/>
  <c r="T3903" i="2"/>
  <c r="T3903" i="2" a="1"/>
  <c r="T3902" i="2"/>
  <c r="T3902" i="2" a="1"/>
  <c r="T3901" i="2" a="1"/>
  <c r="T3901" i="2" s="1"/>
  <c r="T3900" i="2" a="1"/>
  <c r="T3900" i="2" s="1"/>
  <c r="T3899" i="2"/>
  <c r="T3899" i="2" a="1"/>
  <c r="T3898" i="2" a="1"/>
  <c r="T3898" i="2" s="1"/>
  <c r="T3897" i="2" a="1"/>
  <c r="T3897" i="2" s="1"/>
  <c r="T3896" i="2" a="1"/>
  <c r="T3896" i="2" s="1"/>
  <c r="T3895" i="2" a="1"/>
  <c r="T3895" i="2" s="1"/>
  <c r="T3894" i="2" a="1"/>
  <c r="T3894" i="2" s="1"/>
  <c r="T3893" i="2" a="1"/>
  <c r="T3893" i="2" s="1"/>
  <c r="T3892" i="2"/>
  <c r="T3892" i="2" a="1"/>
  <c r="T3891" i="2"/>
  <c r="T3891" i="2" a="1"/>
  <c r="T3890" i="2"/>
  <c r="T3890" i="2" a="1"/>
  <c r="T3889" i="2"/>
  <c r="T3889" i="2" a="1"/>
  <c r="T3888" i="2" a="1"/>
  <c r="T3888" i="2" s="1"/>
  <c r="T3887" i="2" a="1"/>
  <c r="T3887" i="2" s="1"/>
  <c r="T3886" i="2" a="1"/>
  <c r="T3886" i="2" s="1"/>
  <c r="T3885" i="2" a="1"/>
  <c r="T3885" i="2" s="1"/>
  <c r="T3884" i="2" a="1"/>
  <c r="T3884" i="2" s="1"/>
  <c r="T3883" i="2"/>
  <c r="T3883" i="2" a="1"/>
  <c r="T3882" i="2" a="1"/>
  <c r="T3882" i="2" s="1"/>
  <c r="T3881" i="2"/>
  <c r="T3881" i="2" a="1"/>
  <c r="T3880" i="2"/>
  <c r="T3880" i="2" a="1"/>
  <c r="T3879" i="2"/>
  <c r="T3879" i="2" a="1"/>
  <c r="T3878" i="2"/>
  <c r="T3878" i="2" a="1"/>
  <c r="T3877" i="2"/>
  <c r="T3877" i="2" a="1"/>
  <c r="T3876" i="2" a="1"/>
  <c r="T3876" i="2" s="1"/>
  <c r="T3875" i="2"/>
  <c r="T3875" i="2" a="1"/>
  <c r="T3874" i="2" a="1"/>
  <c r="T3874" i="2" s="1"/>
  <c r="T3873" i="2" a="1"/>
  <c r="T3873" i="2" s="1"/>
  <c r="T3872" i="2" a="1"/>
  <c r="T3872" i="2" s="1"/>
  <c r="T3871" i="2" a="1"/>
  <c r="T3871" i="2" s="1"/>
  <c r="T3870" i="2" a="1"/>
  <c r="T3870" i="2" s="1"/>
  <c r="T3869" i="2" a="1"/>
  <c r="T3869" i="2" s="1"/>
  <c r="T3868" i="2"/>
  <c r="T3868" i="2" a="1"/>
  <c r="T3867" i="2"/>
  <c r="T3867" i="2" a="1"/>
  <c r="T3866" i="2"/>
  <c r="T3866" i="2" a="1"/>
  <c r="T3865" i="2"/>
  <c r="T3865" i="2" a="1"/>
  <c r="T3864" i="2" a="1"/>
  <c r="T3864" i="2" s="1"/>
  <c r="T3863" i="2" a="1"/>
  <c r="T3863" i="2" s="1"/>
  <c r="T3862" i="2" a="1"/>
  <c r="T3862" i="2" s="1"/>
  <c r="T3861" i="2"/>
  <c r="T3861" i="2" a="1"/>
  <c r="T3860" i="2" a="1"/>
  <c r="T3860" i="2" s="1"/>
  <c r="T3859" i="2" a="1"/>
  <c r="T3859" i="2" s="1"/>
  <c r="T3858" i="2" a="1"/>
  <c r="T3858" i="2" s="1"/>
  <c r="T3857" i="2"/>
  <c r="T3857" i="2" a="1"/>
  <c r="T3856" i="2"/>
  <c r="T3856" i="2" a="1"/>
  <c r="T3855" i="2" a="1"/>
  <c r="T3855" i="2" s="1"/>
  <c r="T3854" i="2"/>
  <c r="T3854" i="2" a="1"/>
  <c r="T3853" i="2"/>
  <c r="T3853" i="2" a="1"/>
  <c r="T3852" i="2" a="1"/>
  <c r="T3852" i="2" s="1"/>
  <c r="T3851" i="2" a="1"/>
  <c r="T3851" i="2" s="1"/>
  <c r="T3850" i="2"/>
  <c r="T3850" i="2" a="1"/>
  <c r="T3849" i="2"/>
  <c r="T3849" i="2" a="1"/>
  <c r="T3848" i="2" a="1"/>
  <c r="T3848" i="2" s="1"/>
  <c r="T3847" i="2"/>
  <c r="T3847" i="2" a="1"/>
  <c r="T3846" i="2" a="1"/>
  <c r="T3846" i="2" s="1"/>
  <c r="T3845" i="2"/>
  <c r="T3845" i="2" a="1"/>
  <c r="T3844" i="2"/>
  <c r="T3844" i="2" a="1"/>
  <c r="T3843" i="2"/>
  <c r="T3843" i="2" a="1"/>
  <c r="T3842" i="2" a="1"/>
  <c r="T3842" i="2" s="1"/>
  <c r="T3841" i="2" a="1"/>
  <c r="T3841" i="2" s="1"/>
  <c r="T3840" i="2"/>
  <c r="T3840" i="2" a="1"/>
  <c r="T3839" i="2"/>
  <c r="T3839" i="2" a="1"/>
  <c r="T3838" i="2" a="1"/>
  <c r="T3838" i="2" s="1"/>
  <c r="T3837" i="2"/>
  <c r="T3837" i="2" a="1"/>
  <c r="T3836" i="2" a="1"/>
  <c r="T3836" i="2" s="1"/>
  <c r="T3835" i="2"/>
  <c r="T3835" i="2" a="1"/>
  <c r="T3834" i="2"/>
  <c r="T3834" i="2" a="1"/>
  <c r="T3833" i="2"/>
  <c r="T3833" i="2" a="1"/>
  <c r="T3832" i="2"/>
  <c r="T3832" i="2" a="1"/>
  <c r="T3831" i="2"/>
  <c r="T3831" i="2" a="1"/>
  <c r="T3830" i="2" a="1"/>
  <c r="T3830" i="2" s="1"/>
  <c r="T3829" i="2" a="1"/>
  <c r="T3829" i="2" s="1"/>
  <c r="T3828" i="2"/>
  <c r="T3828" i="2" a="1"/>
  <c r="T3827" i="2"/>
  <c r="T3827" i="2" a="1"/>
  <c r="T3826" i="2"/>
  <c r="T3826" i="2" a="1"/>
  <c r="T3825" i="2"/>
  <c r="T3825" i="2" a="1"/>
  <c r="T3824" i="2" a="1"/>
  <c r="T3824" i="2" s="1"/>
  <c r="T3823" i="2"/>
  <c r="T3823" i="2" a="1"/>
  <c r="T3822" i="2"/>
  <c r="T3822" i="2" a="1"/>
  <c r="T3821" i="2"/>
  <c r="T3821" i="2" a="1"/>
  <c r="T3820" i="2" a="1"/>
  <c r="T3820" i="2" s="1"/>
  <c r="T3819" i="2"/>
  <c r="T3819" i="2" a="1"/>
  <c r="T3818" i="2" a="1"/>
  <c r="T3818" i="2" s="1"/>
  <c r="T3817" i="2" a="1"/>
  <c r="T3817" i="2" s="1"/>
  <c r="T3816" i="2"/>
  <c r="T3816" i="2" a="1"/>
  <c r="T3815" i="2"/>
  <c r="T3815" i="2" a="1"/>
  <c r="T3814" i="2" a="1"/>
  <c r="T3814" i="2" s="1"/>
  <c r="T3813" i="2"/>
  <c r="T3813" i="2" a="1"/>
  <c r="T3812" i="2" a="1"/>
  <c r="T3812" i="2" s="1"/>
  <c r="T3811" i="2" a="1"/>
  <c r="T3811" i="2" s="1"/>
  <c r="T3810" i="2"/>
  <c r="T3810" i="2" a="1"/>
  <c r="T3809" i="2"/>
  <c r="T3809" i="2" a="1"/>
  <c r="T3808" i="2" a="1"/>
  <c r="T3808" i="2" s="1"/>
  <c r="T3807" i="2"/>
  <c r="T3807" i="2" a="1"/>
  <c r="T3806" i="2" a="1"/>
  <c r="T3806" i="2" s="1"/>
  <c r="T3805" i="2"/>
  <c r="T3805" i="2" a="1"/>
  <c r="T3804" i="2"/>
  <c r="T3804" i="2" a="1"/>
  <c r="T3803" i="2"/>
  <c r="T3803" i="2" a="1"/>
  <c r="T3802" i="2" a="1"/>
  <c r="T3802" i="2" s="1"/>
  <c r="T3801" i="2"/>
  <c r="T3801" i="2" a="1"/>
  <c r="T3800" i="2" a="1"/>
  <c r="T3800" i="2" s="1"/>
  <c r="T3799" i="2"/>
  <c r="T3799" i="2" a="1"/>
  <c r="T3798" i="2"/>
  <c r="T3798" i="2" a="1"/>
  <c r="T3797" i="2"/>
  <c r="T3797" i="2" a="1"/>
  <c r="T3796" i="2"/>
  <c r="T3796" i="2" a="1"/>
  <c r="T3795" i="2"/>
  <c r="T3795" i="2" a="1"/>
  <c r="T3794" i="2" a="1"/>
  <c r="T3794" i="2" s="1"/>
  <c r="T3793" i="2" a="1"/>
  <c r="T3793" i="2" s="1"/>
  <c r="T3792" i="2"/>
  <c r="T3792" i="2" a="1"/>
  <c r="T3791" i="2"/>
  <c r="T3791" i="2" a="1"/>
  <c r="T3790" i="2" a="1"/>
  <c r="T3790" i="2" s="1"/>
  <c r="T3789" i="2"/>
  <c r="T3789" i="2" a="1"/>
  <c r="T3788" i="2" a="1"/>
  <c r="T3788" i="2" s="1"/>
  <c r="T3787" i="2" a="1"/>
  <c r="T3787" i="2" s="1"/>
  <c r="T3786" i="2"/>
  <c r="T3786" i="2" a="1"/>
  <c r="T3785" i="2"/>
  <c r="T3785" i="2" a="1"/>
  <c r="T3784" i="2"/>
  <c r="T3784" i="2" a="1"/>
  <c r="T3783" i="2"/>
  <c r="T3783" i="2" a="1"/>
  <c r="T3782" i="2" a="1"/>
  <c r="T3782" i="2" s="1"/>
  <c r="T3781" i="2" a="1"/>
  <c r="T3781" i="2" s="1"/>
  <c r="T3780" i="2"/>
  <c r="T3780" i="2" a="1"/>
  <c r="T3779" i="2"/>
  <c r="T3779" i="2" a="1"/>
  <c r="T3778" i="2"/>
  <c r="T3778" i="2" a="1"/>
  <c r="T3777" i="2"/>
  <c r="T3777" i="2" a="1"/>
  <c r="T3776" i="2" a="1"/>
  <c r="T3776" i="2" s="1"/>
  <c r="T3775" i="2" a="1"/>
  <c r="T3775" i="2" s="1"/>
  <c r="T3774" i="2"/>
  <c r="T3774" i="2" a="1"/>
  <c r="T3773" i="2"/>
  <c r="T3773" i="2" a="1"/>
  <c r="T3772" i="2" a="1"/>
  <c r="T3772" i="2" s="1"/>
  <c r="T3771" i="2" a="1"/>
  <c r="T3771" i="2" s="1"/>
  <c r="T3770" i="2" a="1"/>
  <c r="T3770" i="2" s="1"/>
  <c r="T3769" i="2"/>
  <c r="T3769" i="2" a="1"/>
  <c r="T3768" i="2"/>
  <c r="T3768" i="2" a="1"/>
  <c r="T3767" i="2"/>
  <c r="T3767" i="2" a="1"/>
  <c r="T3766" i="2"/>
  <c r="T3766" i="2" a="1"/>
  <c r="T3765" i="2" a="1"/>
  <c r="T3765" i="2" s="1"/>
  <c r="T3764" i="2" a="1"/>
  <c r="T3764" i="2" s="1"/>
  <c r="T3763" i="2"/>
  <c r="T3763" i="2" a="1"/>
  <c r="T3762" i="2"/>
  <c r="T3762" i="2" a="1"/>
  <c r="T3761" i="2"/>
  <c r="T3761" i="2" a="1"/>
  <c r="T3760" i="2" a="1"/>
  <c r="T3760" i="2" s="1"/>
  <c r="T3759" i="2" a="1"/>
  <c r="T3759" i="2" s="1"/>
  <c r="T3758" i="2" a="1"/>
  <c r="T3758" i="2" s="1"/>
  <c r="T3757" i="2"/>
  <c r="T3757" i="2" a="1"/>
  <c r="T3756" i="2"/>
  <c r="T3756" i="2" a="1"/>
  <c r="T3755" i="2"/>
  <c r="T3755" i="2" a="1"/>
  <c r="T3754" i="2" a="1"/>
  <c r="T3754" i="2" s="1"/>
  <c r="T3753" i="2" a="1"/>
  <c r="T3753" i="2" s="1"/>
  <c r="T3752" i="2" a="1"/>
  <c r="T3752" i="2" s="1"/>
  <c r="T3751" i="2"/>
  <c r="T3751" i="2" a="1"/>
  <c r="T3750" i="2"/>
  <c r="T3750" i="2" a="1"/>
  <c r="T3749" i="2"/>
  <c r="T3749" i="2" a="1"/>
  <c r="T3748" i="2"/>
  <c r="T3748" i="2" a="1"/>
  <c r="T3747" i="2" a="1"/>
  <c r="T3747" i="2" s="1"/>
  <c r="T3746" i="2" a="1"/>
  <c r="T3746" i="2" s="1"/>
  <c r="T3745" i="2" a="1"/>
  <c r="T3745" i="2" s="1"/>
  <c r="T3744" i="2"/>
  <c r="T3744" i="2" a="1"/>
  <c r="T3743" i="2"/>
  <c r="T3743" i="2" a="1"/>
  <c r="T3742" i="2"/>
  <c r="T3742" i="2" a="1"/>
  <c r="T3741" i="2" a="1"/>
  <c r="T3741" i="2" s="1"/>
  <c r="T3740" i="2" a="1"/>
  <c r="T3740" i="2" s="1"/>
  <c r="T3739" i="2" a="1"/>
  <c r="T3739" i="2" s="1"/>
  <c r="T3738" i="2"/>
  <c r="T3738" i="2" a="1"/>
  <c r="T3737" i="2"/>
  <c r="T3737" i="2" a="1"/>
  <c r="T3736" i="2"/>
  <c r="T3736" i="2" a="1"/>
  <c r="T3735" i="2" a="1"/>
  <c r="T3735" i="2" s="1"/>
  <c r="T3734" i="2" a="1"/>
  <c r="T3734" i="2" s="1"/>
  <c r="T3733" i="2"/>
  <c r="T3733" i="2" a="1"/>
  <c r="T3732" i="2"/>
  <c r="T3732" i="2" a="1"/>
  <c r="T3731" i="2"/>
  <c r="T3731" i="2" a="1"/>
  <c r="T3730" i="2" a="1"/>
  <c r="T3730" i="2" s="1"/>
  <c r="T3729" i="2" a="1"/>
  <c r="T3729" i="2" s="1"/>
  <c r="T3728" i="2" a="1"/>
  <c r="T3728" i="2" s="1"/>
  <c r="T3727" i="2"/>
  <c r="T3727" i="2" a="1"/>
  <c r="T3726" i="2"/>
  <c r="T3726" i="2" a="1"/>
  <c r="T3725" i="2"/>
  <c r="T3725" i="2" a="1"/>
  <c r="T3724" i="2" a="1"/>
  <c r="T3724" i="2" s="1"/>
  <c r="T3723" i="2" a="1"/>
  <c r="T3723" i="2" s="1"/>
  <c r="T3722" i="2" a="1"/>
  <c r="T3722" i="2" s="1"/>
  <c r="T3721" i="2" a="1"/>
  <c r="T3721" i="2" s="1"/>
  <c r="T3720" i="2"/>
  <c r="T3720" i="2" a="1"/>
  <c r="T3719" i="2"/>
  <c r="T3719" i="2" a="1"/>
  <c r="T3718" i="2" a="1"/>
  <c r="T3718" i="2" s="1"/>
  <c r="T3717" i="2" a="1"/>
  <c r="T3717" i="2" s="1"/>
  <c r="T3716" i="2" a="1"/>
  <c r="T3716" i="2" s="1"/>
  <c r="T3715" i="2"/>
  <c r="T3715" i="2" a="1"/>
  <c r="T3714" i="2"/>
  <c r="T3714" i="2" a="1"/>
  <c r="T3713" i="2"/>
  <c r="T3713" i="2" a="1"/>
  <c r="T3712" i="2"/>
  <c r="T3712" i="2" a="1"/>
  <c r="T3711" i="2" a="1"/>
  <c r="T3711" i="2" s="1"/>
  <c r="T3710" i="2" a="1"/>
  <c r="T3710" i="2" s="1"/>
  <c r="T3709" i="2" a="1"/>
  <c r="T3709" i="2" s="1"/>
  <c r="T3708" i="2"/>
  <c r="T3708" i="2" a="1"/>
  <c r="T3707" i="2"/>
  <c r="T3707" i="2" a="1"/>
  <c r="T3706" i="2"/>
  <c r="T3706" i="2" a="1"/>
  <c r="T3705" i="2" a="1"/>
  <c r="T3705" i="2" s="1"/>
  <c r="T3704" i="2" a="1"/>
  <c r="T3704" i="2" s="1"/>
  <c r="T3703" i="2" a="1"/>
  <c r="T3703" i="2" s="1"/>
  <c r="T3702" i="2"/>
  <c r="T3702" i="2" a="1"/>
  <c r="T3701" i="2"/>
  <c r="T3701" i="2" a="1"/>
  <c r="T3700" i="2"/>
  <c r="T3700" i="2" a="1"/>
  <c r="T3699" i="2" a="1"/>
  <c r="T3699" i="2" s="1"/>
  <c r="T3698" i="2" a="1"/>
  <c r="T3698" i="2" s="1"/>
  <c r="T3697" i="2"/>
  <c r="T3697" i="2" a="1"/>
  <c r="T3696" i="2"/>
  <c r="T3696" i="2" a="1"/>
  <c r="T3695" i="2"/>
  <c r="T3695" i="2" a="1"/>
  <c r="T3694" i="2"/>
  <c r="T3694" i="2" a="1"/>
  <c r="T3693" i="2" a="1"/>
  <c r="T3693" i="2" s="1"/>
  <c r="T3692" i="2" a="1"/>
  <c r="T3692" i="2" s="1"/>
  <c r="T3691" i="2"/>
  <c r="T3691" i="2" a="1"/>
  <c r="T3690" i="2"/>
  <c r="T3690" i="2" a="1"/>
  <c r="T3689" i="2"/>
  <c r="T3689" i="2" a="1"/>
  <c r="T3688" i="2" a="1"/>
  <c r="T3688" i="2" s="1"/>
  <c r="T3687" i="2" a="1"/>
  <c r="T3687" i="2" s="1"/>
  <c r="T3686" i="2" a="1"/>
  <c r="T3686" i="2" s="1"/>
  <c r="T3685" i="2" a="1"/>
  <c r="T3685" i="2" s="1"/>
  <c r="T3684" i="2"/>
  <c r="T3684" i="2" a="1"/>
  <c r="T3683" i="2"/>
  <c r="T3683" i="2" a="1"/>
  <c r="T3682" i="2" a="1"/>
  <c r="T3682" i="2" s="1"/>
  <c r="T3681" i="2" a="1"/>
  <c r="T3681" i="2" s="1"/>
  <c r="T3680" i="2" a="1"/>
  <c r="T3680" i="2" s="1"/>
  <c r="T3679" i="2"/>
  <c r="T3679" i="2" a="1"/>
  <c r="T3678" i="2"/>
  <c r="T3678" i="2" a="1"/>
  <c r="T3677" i="2"/>
  <c r="T3677" i="2" a="1"/>
  <c r="T3676" i="2"/>
  <c r="T3676" i="2" a="1"/>
  <c r="T3675" i="2" a="1"/>
  <c r="T3675" i="2" s="1"/>
  <c r="T3674" i="2" a="1"/>
  <c r="T3674" i="2" s="1"/>
  <c r="T3673" i="2" a="1"/>
  <c r="T3673" i="2" s="1"/>
  <c r="T3672" i="2"/>
  <c r="T3672" i="2" a="1"/>
  <c r="T3671" i="2"/>
  <c r="T3671" i="2" a="1"/>
  <c r="T3670" i="2"/>
  <c r="T3670" i="2" a="1"/>
  <c r="T3669" i="2" a="1"/>
  <c r="T3669" i="2" s="1"/>
  <c r="T3668" i="2" a="1"/>
  <c r="T3668" i="2" s="1"/>
  <c r="T3667" i="2" a="1"/>
  <c r="T3667" i="2" s="1"/>
  <c r="T3666" i="2"/>
  <c r="T3666" i="2" a="1"/>
  <c r="T3665" i="2"/>
  <c r="T3665" i="2" a="1"/>
  <c r="T3664" i="2"/>
  <c r="T3664" i="2" a="1"/>
  <c r="T3663" i="2" a="1"/>
  <c r="T3663" i="2" s="1"/>
  <c r="T3662" i="2" a="1"/>
  <c r="T3662" i="2" s="1"/>
  <c r="T3661" i="2"/>
  <c r="T3661" i="2" a="1"/>
  <c r="T3660" i="2"/>
  <c r="T3660" i="2" a="1"/>
  <c r="T3659" i="2"/>
  <c r="T3659" i="2" a="1"/>
  <c r="T3658" i="2"/>
  <c r="T3658" i="2" a="1"/>
  <c r="T3657" i="2" a="1"/>
  <c r="T3657" i="2" s="1"/>
  <c r="T3656" i="2" a="1"/>
  <c r="T3656" i="2" s="1"/>
  <c r="T3655" i="2"/>
  <c r="T3655" i="2" a="1"/>
  <c r="T3654" i="2"/>
  <c r="T3654" i="2" a="1"/>
  <c r="T3653" i="2"/>
  <c r="T3653" i="2" a="1"/>
  <c r="T3652" i="2" a="1"/>
  <c r="T3652" i="2" s="1"/>
  <c r="T3651" i="2" a="1"/>
  <c r="T3651" i="2" s="1"/>
  <c r="T3650" i="2" a="1"/>
  <c r="T3650" i="2" s="1"/>
  <c r="T3649" i="2" a="1"/>
  <c r="T3649" i="2" s="1"/>
  <c r="T3648" i="2"/>
  <c r="T3648" i="2" a="1"/>
  <c r="T3647" i="2"/>
  <c r="T3647" i="2" a="1"/>
  <c r="T3646" i="2" a="1"/>
  <c r="T3646" i="2" s="1"/>
  <c r="T3645" i="2" a="1"/>
  <c r="T3645" i="2" s="1"/>
  <c r="T3644" i="2" a="1"/>
  <c r="T3644" i="2" s="1"/>
  <c r="T3643" i="2" a="1"/>
  <c r="T3643" i="2" s="1"/>
  <c r="T3642" i="2"/>
  <c r="T3642" i="2" a="1"/>
  <c r="T3641" i="2"/>
  <c r="T3641" i="2" a="1"/>
  <c r="T3640" i="2"/>
  <c r="T3640" i="2" a="1"/>
  <c r="T3639" i="2" a="1"/>
  <c r="T3639" i="2" s="1"/>
  <c r="T3638" i="2" a="1"/>
  <c r="T3638" i="2" s="1"/>
  <c r="T3637" i="2" a="1"/>
  <c r="T3637" i="2" s="1"/>
  <c r="T3636" i="2"/>
  <c r="T3636" i="2" a="1"/>
  <c r="T3635" i="2"/>
  <c r="T3635" i="2" a="1"/>
  <c r="T3634" i="2"/>
  <c r="T3634" i="2" a="1"/>
  <c r="T3633" i="2" a="1"/>
  <c r="T3633" i="2" s="1"/>
  <c r="T3632" i="2" a="1"/>
  <c r="T3632" i="2" s="1"/>
  <c r="T3631" i="2" a="1"/>
  <c r="T3631" i="2" s="1"/>
  <c r="T3630" i="2"/>
  <c r="T3630" i="2" a="1"/>
  <c r="T3629" i="2"/>
  <c r="T3629" i="2" a="1"/>
  <c r="T3628" i="2" a="1"/>
  <c r="T3628" i="2" s="1"/>
  <c r="T3627" i="2" a="1"/>
  <c r="T3627" i="2" s="1"/>
  <c r="T3626" i="2" a="1"/>
  <c r="T3626" i="2" s="1"/>
  <c r="T3625" i="2"/>
  <c r="T3625" i="2" a="1"/>
  <c r="T3624" i="2"/>
  <c r="T3624" i="2" a="1"/>
  <c r="T3623" i="2"/>
  <c r="T3623" i="2" a="1"/>
  <c r="T3622" i="2" a="1"/>
  <c r="T3622" i="2" s="1"/>
  <c r="T3621" i="2" a="1"/>
  <c r="T3621" i="2" s="1"/>
  <c r="T3620" i="2" a="1"/>
  <c r="T3620" i="2" s="1"/>
  <c r="T3619" i="2"/>
  <c r="T3619" i="2" a="1"/>
  <c r="T3618" i="2"/>
  <c r="T3618" i="2" a="1"/>
  <c r="T3617" i="2"/>
  <c r="T3617" i="2" a="1"/>
  <c r="T3616" i="2" a="1"/>
  <c r="T3616" i="2" s="1"/>
  <c r="T3615" i="2" a="1"/>
  <c r="T3615" i="2" s="1"/>
  <c r="T3614" i="2" a="1"/>
  <c r="T3614" i="2" s="1"/>
  <c r="T3613" i="2" a="1"/>
  <c r="T3613" i="2" s="1"/>
  <c r="T3612" i="2"/>
  <c r="T3612" i="2" a="1"/>
  <c r="T3611" i="2"/>
  <c r="T3611" i="2" a="1"/>
  <c r="T3610" i="2" a="1"/>
  <c r="T3610" i="2" s="1"/>
  <c r="T3609" i="2" a="1"/>
  <c r="T3609" i="2" s="1"/>
  <c r="T3608" i="2" a="1"/>
  <c r="T3608" i="2" s="1"/>
  <c r="T3607" i="2"/>
  <c r="T3607" i="2" a="1"/>
  <c r="T3606" i="2"/>
  <c r="T3606" i="2" a="1"/>
  <c r="T3605" i="2"/>
  <c r="T3605" i="2" a="1"/>
  <c r="T3604" i="2"/>
  <c r="T3604" i="2" a="1"/>
  <c r="T3603" i="2" a="1"/>
  <c r="T3603" i="2" s="1"/>
  <c r="T3602" i="2" a="1"/>
  <c r="T3602" i="2" s="1"/>
  <c r="T3601" i="2" a="1"/>
  <c r="T3601" i="2" s="1"/>
  <c r="T3600" i="2"/>
  <c r="T3600" i="2" a="1"/>
  <c r="T3599" i="2" a="1"/>
  <c r="T3599" i="2" s="1"/>
  <c r="T3598" i="2" a="1"/>
  <c r="T3598" i="2" s="1"/>
  <c r="T3597" i="2"/>
  <c r="T3597" i="2" a="1"/>
  <c r="T3596" i="2" a="1"/>
  <c r="T3596" i="2" s="1"/>
  <c r="T3595" i="2" a="1"/>
  <c r="T3595" i="2" s="1"/>
  <c r="T3594" i="2"/>
  <c r="T3594" i="2" a="1"/>
  <c r="T3593" i="2" a="1"/>
  <c r="T3593" i="2" s="1"/>
  <c r="T3592" i="2"/>
  <c r="T3592" i="2" a="1"/>
  <c r="T3591" i="2" a="1"/>
  <c r="T3591" i="2" s="1"/>
  <c r="T3590" i="2"/>
  <c r="T3590" i="2" a="1"/>
  <c r="T3589" i="2" a="1"/>
  <c r="T3589" i="2" s="1"/>
  <c r="T3588" i="2"/>
  <c r="T3588" i="2" a="1"/>
  <c r="T3587" i="2" a="1"/>
  <c r="T3587" i="2" s="1"/>
  <c r="T3586" i="2" a="1"/>
  <c r="T3586" i="2" s="1"/>
  <c r="T3585" i="2" a="1"/>
  <c r="T3585" i="2" s="1"/>
  <c r="T3584" i="2"/>
  <c r="T3584" i="2" a="1"/>
  <c r="T3583" i="2" a="1"/>
  <c r="T3583" i="2" s="1"/>
  <c r="T3582" i="2"/>
  <c r="T3582" i="2" a="1"/>
  <c r="T3581" i="2" a="1"/>
  <c r="T3581" i="2" s="1"/>
  <c r="T3580" i="2"/>
  <c r="T3580" i="2" a="1"/>
  <c r="T3579" i="2"/>
  <c r="T3579" i="2" a="1"/>
  <c r="T3578" i="2"/>
  <c r="T3578" i="2" a="1"/>
  <c r="T3577" i="2" a="1"/>
  <c r="T3577" i="2" s="1"/>
  <c r="T3576" i="2"/>
  <c r="T3576" i="2" a="1"/>
  <c r="T3575" i="2" a="1"/>
  <c r="T3575" i="2" s="1"/>
  <c r="T3574" i="2" a="1"/>
  <c r="T3574" i="2" s="1"/>
  <c r="T3573" i="2" a="1"/>
  <c r="T3573" i="2" s="1"/>
  <c r="T3572" i="2" a="1"/>
  <c r="T3572" i="2" s="1"/>
  <c r="T3571" i="2"/>
  <c r="T3571" i="2" a="1"/>
  <c r="T3570" i="2"/>
  <c r="T3570" i="2" a="1"/>
  <c r="T3569" i="2" a="1"/>
  <c r="T3569" i="2" s="1"/>
  <c r="T3568" i="2"/>
  <c r="T3568" i="2" a="1"/>
  <c r="T3567" i="2"/>
  <c r="T3567" i="2" a="1"/>
  <c r="T3566" i="2"/>
  <c r="T3566" i="2" a="1"/>
  <c r="T3565" i="2" a="1"/>
  <c r="T3565" i="2" s="1"/>
  <c r="T3564" i="2"/>
  <c r="T3564" i="2" a="1"/>
  <c r="T3563" i="2" a="1"/>
  <c r="T3563" i="2" s="1"/>
  <c r="T3562" i="2" a="1"/>
  <c r="T3562" i="2" s="1"/>
  <c r="T3561" i="2" a="1"/>
  <c r="T3561" i="2" s="1"/>
  <c r="T3560" i="2" a="1"/>
  <c r="T3560" i="2" s="1"/>
  <c r="T3559" i="2" a="1"/>
  <c r="T3559" i="2" s="1"/>
  <c r="T3558" i="2"/>
  <c r="T3558" i="2" a="1"/>
  <c r="T3557" i="2" a="1"/>
  <c r="T3557" i="2" s="1"/>
  <c r="T3556" i="2"/>
  <c r="T3556" i="2" a="1"/>
  <c r="T3555" i="2" a="1"/>
  <c r="T3555" i="2" s="1"/>
  <c r="T3554" i="2"/>
  <c r="T3554" i="2" a="1"/>
  <c r="T3553" i="2"/>
  <c r="T3553" i="2" a="1"/>
  <c r="T3552" i="2"/>
  <c r="T3552" i="2" a="1"/>
  <c r="T3551" i="2" a="1"/>
  <c r="T3551" i="2" s="1"/>
  <c r="T3550" i="2"/>
  <c r="T3550" i="2" a="1"/>
  <c r="T3549" i="2"/>
  <c r="T3549" i="2" a="1"/>
  <c r="T3548" i="2"/>
  <c r="T3548" i="2" a="1"/>
  <c r="T3547" i="2" a="1"/>
  <c r="T3547" i="2" s="1"/>
  <c r="T3546" i="2"/>
  <c r="T3546" i="2" a="1"/>
  <c r="T3545" i="2" a="1"/>
  <c r="T3545" i="2" s="1"/>
  <c r="T3544" i="2" a="1"/>
  <c r="T3544" i="2" s="1"/>
  <c r="T3543" i="2"/>
  <c r="T3543" i="2" a="1"/>
  <c r="T3542" i="2"/>
  <c r="T3542" i="2" a="1"/>
  <c r="T3541" i="2"/>
  <c r="T3541" i="2" a="1"/>
  <c r="T3540" i="2"/>
  <c r="T3540" i="2" a="1"/>
  <c r="T3539" i="2" a="1"/>
  <c r="T3539" i="2" s="1"/>
  <c r="T3538" i="2"/>
  <c r="T3538" i="2" a="1"/>
  <c r="T3537" i="2"/>
  <c r="T3537" i="2" a="1"/>
  <c r="T3536" i="2"/>
  <c r="T3536" i="2" a="1"/>
  <c r="T3535" i="2" a="1"/>
  <c r="T3535" i="2" s="1"/>
  <c r="T3534" i="2"/>
  <c r="T3534" i="2" a="1"/>
  <c r="T3533" i="2" a="1"/>
  <c r="T3533" i="2" s="1"/>
  <c r="T3532" i="2" a="1"/>
  <c r="T3532" i="2" s="1"/>
  <c r="T3531" i="2"/>
  <c r="T3531" i="2" a="1"/>
  <c r="T3530" i="2"/>
  <c r="T3530" i="2" a="1"/>
  <c r="T3529" i="2"/>
  <c r="T3529" i="2" a="1"/>
  <c r="T3528" i="2"/>
  <c r="T3528" i="2" a="1"/>
  <c r="T3527" i="2" a="1"/>
  <c r="T3527" i="2" s="1"/>
  <c r="T3526" i="2" a="1"/>
  <c r="T3526" i="2" s="1"/>
  <c r="T3525" i="2" a="1"/>
  <c r="T3525" i="2" s="1"/>
  <c r="T3524" i="2"/>
  <c r="T3524" i="2" a="1"/>
  <c r="T3523" i="2"/>
  <c r="T3523" i="2" a="1"/>
  <c r="T3522" i="2"/>
  <c r="T3522" i="2" a="1"/>
  <c r="T3521" i="2" a="1"/>
  <c r="T3521" i="2" s="1"/>
  <c r="T3520" i="2"/>
  <c r="T3520" i="2" a="1"/>
  <c r="T3519" i="2" a="1"/>
  <c r="T3519" i="2" s="1"/>
  <c r="T3518" i="2" a="1"/>
  <c r="T3518" i="2" s="1"/>
  <c r="T3517" i="2" a="1"/>
  <c r="T3517" i="2" s="1"/>
  <c r="T3516" i="2"/>
  <c r="T3516" i="2" a="1"/>
  <c r="T3515" i="2" a="1"/>
  <c r="T3515" i="2" s="1"/>
  <c r="T3514" i="2" a="1"/>
  <c r="T3514" i="2" s="1"/>
  <c r="T3513" i="2" a="1"/>
  <c r="T3513" i="2" s="1"/>
  <c r="T3512" i="2" a="1"/>
  <c r="T3512" i="2" s="1"/>
  <c r="T3511" i="2" a="1"/>
  <c r="T3511" i="2" s="1"/>
  <c r="T3510" i="2"/>
  <c r="T3510" i="2" a="1"/>
  <c r="T3509" i="2" a="1"/>
  <c r="T3509" i="2" s="1"/>
  <c r="T3508" i="2"/>
  <c r="T3508" i="2" a="1"/>
  <c r="T3507" i="2"/>
  <c r="T3507" i="2" a="1"/>
  <c r="T3506" i="2"/>
  <c r="T3506" i="2" a="1"/>
  <c r="T3505" i="2" a="1"/>
  <c r="T3505" i="2" s="1"/>
  <c r="T3504" i="2"/>
  <c r="T3504" i="2" a="1"/>
  <c r="T3503" i="2" a="1"/>
  <c r="T3503" i="2" s="1"/>
  <c r="T3502" i="2"/>
  <c r="T3502" i="2" a="1"/>
  <c r="T3501" i="2" a="1"/>
  <c r="T3501" i="2" s="1"/>
  <c r="T3500" i="2" a="1"/>
  <c r="T3500" i="2" s="1"/>
  <c r="T3499" i="2" a="1"/>
  <c r="T3499" i="2" s="1"/>
  <c r="T3498" i="2"/>
  <c r="T3498" i="2" a="1"/>
  <c r="T3497" i="2" a="1"/>
  <c r="T3497" i="2" s="1"/>
  <c r="T3496" i="2" a="1"/>
  <c r="T3496" i="2" s="1"/>
  <c r="T3495" i="2"/>
  <c r="T3495" i="2" a="1"/>
  <c r="T3494" i="2"/>
  <c r="T3494" i="2" a="1"/>
  <c r="T3493" i="2" a="1"/>
  <c r="T3493" i="2" s="1"/>
  <c r="T3492" i="2"/>
  <c r="T3492" i="2" a="1"/>
  <c r="T3491" i="2" a="1"/>
  <c r="T3491" i="2" s="1"/>
  <c r="T3490" i="2"/>
  <c r="T3490" i="2" a="1"/>
  <c r="T3489" i="2" a="1"/>
  <c r="T3489" i="2" s="1"/>
  <c r="T3488" i="2" a="1"/>
  <c r="T3488" i="2" s="1"/>
  <c r="T3487" i="2" a="1"/>
  <c r="T3487" i="2" s="1"/>
  <c r="T3486" i="2"/>
  <c r="T3486" i="2" a="1"/>
  <c r="T3485" i="2" a="1"/>
  <c r="T3485" i="2" s="1"/>
  <c r="T3484" i="2" a="1"/>
  <c r="T3484" i="2" s="1"/>
  <c r="T3483" i="2" a="1"/>
  <c r="T3483" i="2" s="1"/>
  <c r="T3482" i="2"/>
  <c r="T3482" i="2" a="1"/>
  <c r="T3481" i="2"/>
  <c r="T3481" i="2" a="1"/>
  <c r="T3480" i="2"/>
  <c r="T3480" i="2" a="1"/>
  <c r="T3479" i="2" a="1"/>
  <c r="T3479" i="2" s="1"/>
  <c r="T3478" i="2"/>
  <c r="T3478" i="2" a="1"/>
  <c r="T3477" i="2"/>
  <c r="T3477" i="2" a="1"/>
  <c r="T3476" i="2"/>
  <c r="T3476" i="2" a="1"/>
  <c r="T3475" i="2" a="1"/>
  <c r="T3475" i="2" s="1"/>
  <c r="T3474" i="2" a="1"/>
  <c r="T3474" i="2" s="1"/>
  <c r="T3473" i="2" a="1"/>
  <c r="T3473" i="2" s="1"/>
  <c r="T3472" i="2"/>
  <c r="T3472" i="2" a="1"/>
  <c r="T3471" i="2" a="1"/>
  <c r="T3471" i="2" s="1"/>
  <c r="T3470" i="2"/>
  <c r="T3470" i="2" a="1"/>
  <c r="T3469" i="2"/>
  <c r="T3469" i="2" a="1"/>
  <c r="T3468" i="2"/>
  <c r="T3468" i="2" a="1"/>
  <c r="T3467" i="2" a="1"/>
  <c r="T3467" i="2" s="1"/>
  <c r="T3466" i="2"/>
  <c r="T3466" i="2" a="1"/>
  <c r="T3465" i="2"/>
  <c r="T3465" i="2" a="1"/>
  <c r="T3464" i="2"/>
  <c r="T3464" i="2" a="1"/>
  <c r="T3463" i="2" a="1"/>
  <c r="T3463" i="2" s="1"/>
  <c r="T3462" i="2" a="1"/>
  <c r="T3462" i="2" s="1"/>
  <c r="T3461" i="2" a="1"/>
  <c r="T3461" i="2" s="1"/>
  <c r="T3460" i="2"/>
  <c r="T3460" i="2" a="1"/>
  <c r="T3459" i="2"/>
  <c r="T3459" i="2" a="1"/>
  <c r="T3458" i="2"/>
  <c r="T3458" i="2" a="1"/>
  <c r="T3457" i="2" a="1"/>
  <c r="T3457" i="2" s="1"/>
  <c r="T3456" i="2"/>
  <c r="T3456" i="2" a="1"/>
  <c r="T3455" i="2" a="1"/>
  <c r="T3455" i="2" s="1"/>
  <c r="T3454" i="2" a="1"/>
  <c r="T3454" i="2" s="1"/>
  <c r="T3453" i="2"/>
  <c r="T3453" i="2" a="1"/>
  <c r="T3452" i="2"/>
  <c r="T3452" i="2" a="1"/>
  <c r="T3451" i="2"/>
  <c r="T3451" i="2" a="1"/>
  <c r="T3450" i="2" a="1"/>
  <c r="T3450" i="2" s="1"/>
  <c r="T3449" i="2" a="1"/>
  <c r="T3449" i="2" s="1"/>
  <c r="T3448" i="2"/>
  <c r="T3448" i="2" a="1"/>
  <c r="T3447" i="2" a="1"/>
  <c r="T3447" i="2" s="1"/>
  <c r="T3446" i="2" a="1"/>
  <c r="T3446" i="2" s="1"/>
  <c r="T3445" i="2"/>
  <c r="T3445" i="2" a="1"/>
  <c r="T3444" i="2" a="1"/>
  <c r="T3444" i="2" s="1"/>
  <c r="T3443" i="2" a="1"/>
  <c r="T3443" i="2" s="1"/>
  <c r="T3442" i="2" a="1"/>
  <c r="T3442" i="2" s="1"/>
  <c r="T3441" i="2" a="1"/>
  <c r="T3441" i="2" s="1"/>
  <c r="T3440" i="2"/>
  <c r="T3440" i="2" a="1"/>
  <c r="T3439" i="2" a="1"/>
  <c r="T3439" i="2" s="1"/>
  <c r="T3438" i="2"/>
  <c r="T3438" i="2" a="1"/>
  <c r="T3437" i="2" a="1"/>
  <c r="T3437" i="2" s="1"/>
  <c r="T3436" i="2"/>
  <c r="T3436" i="2" a="1"/>
  <c r="T3435" i="2"/>
  <c r="T3435" i="2" a="1"/>
  <c r="T3434" i="2" a="1"/>
  <c r="T3434" i="2" s="1"/>
  <c r="T3433" i="2" a="1"/>
  <c r="T3433" i="2" s="1"/>
  <c r="T3432" i="2" a="1"/>
  <c r="T3432" i="2" s="1"/>
  <c r="T3431" i="2" a="1"/>
  <c r="T3431" i="2" s="1"/>
  <c r="T3430" i="2"/>
  <c r="T3430" i="2" a="1"/>
  <c r="T3429" i="2" a="1"/>
  <c r="T3429" i="2" s="1"/>
  <c r="T3428" i="2" a="1"/>
  <c r="T3428" i="2" s="1"/>
  <c r="T3427" i="2"/>
  <c r="T3427" i="2" a="1"/>
  <c r="T3426" i="2"/>
  <c r="T3426" i="2" a="1"/>
  <c r="T3425" i="2" a="1"/>
  <c r="T3425" i="2" s="1"/>
  <c r="T3424" i="2" a="1"/>
  <c r="T3424" i="2" s="1"/>
  <c r="T3423" i="2"/>
  <c r="T3423" i="2" a="1"/>
  <c r="T3422" i="2"/>
  <c r="T3422" i="2" a="1"/>
  <c r="T3421" i="2"/>
  <c r="T3421" i="2" a="1"/>
  <c r="T3420" i="2" a="1"/>
  <c r="T3420" i="2" s="1"/>
  <c r="T3419" i="2" a="1"/>
  <c r="T3419" i="2" s="1"/>
  <c r="T3418" i="2" a="1"/>
  <c r="T3418" i="2" s="1"/>
  <c r="T3417" i="2"/>
  <c r="T3417" i="2" a="1"/>
  <c r="T3416" i="2" a="1"/>
  <c r="T3416" i="2" s="1"/>
  <c r="T3415" i="2" a="1"/>
  <c r="T3415" i="2" s="1"/>
  <c r="T3414" i="2" a="1"/>
  <c r="T3414" i="2" s="1"/>
  <c r="T3413" i="2" a="1"/>
  <c r="T3413" i="2" s="1"/>
  <c r="T3412" i="2" a="1"/>
  <c r="T3412" i="2" s="1"/>
  <c r="T3411" i="2" a="1"/>
  <c r="T3411" i="2" s="1"/>
  <c r="T3410" i="2"/>
  <c r="T3410" i="2" a="1"/>
  <c r="T3409" i="2"/>
  <c r="T3409" i="2" a="1"/>
  <c r="T3408" i="2" a="1"/>
  <c r="T3408" i="2" s="1"/>
  <c r="T3407" i="2" a="1"/>
  <c r="T3407" i="2" s="1"/>
  <c r="T3406" i="2" a="1"/>
  <c r="T3406" i="2" s="1"/>
  <c r="T3405" i="2" a="1"/>
  <c r="T3405" i="2" s="1"/>
  <c r="T3404" i="2" a="1"/>
  <c r="T3404" i="2" s="1"/>
  <c r="T3403" i="2" a="1"/>
  <c r="T3403" i="2" s="1"/>
  <c r="T3402" i="2" a="1"/>
  <c r="T3402" i="2" s="1"/>
  <c r="T3401" i="2" a="1"/>
  <c r="T3401" i="2" s="1"/>
  <c r="T3400" i="2" a="1"/>
  <c r="T3400" i="2" s="1"/>
  <c r="T3399" i="2"/>
  <c r="T3399" i="2" a="1"/>
  <c r="T3398" i="2"/>
  <c r="T3398" i="2" a="1"/>
  <c r="T3397" i="2"/>
  <c r="T3397" i="2" a="1"/>
  <c r="T3396" i="2"/>
  <c r="T3396" i="2" a="1"/>
  <c r="T3395" i="2" a="1"/>
  <c r="T3395" i="2" s="1"/>
  <c r="T3394" i="2"/>
  <c r="T3394" i="2" a="1"/>
  <c r="T3393" i="2" a="1"/>
  <c r="T3393" i="2" s="1"/>
  <c r="T3392" i="2" a="1"/>
  <c r="T3392" i="2" s="1"/>
  <c r="T3391" i="2"/>
  <c r="T3391" i="2" a="1"/>
  <c r="T3390" i="2" a="1"/>
  <c r="T3390" i="2" s="1"/>
  <c r="T3389" i="2" a="1"/>
  <c r="T3389" i="2" s="1"/>
  <c r="T3388" i="2"/>
  <c r="T3388" i="2" a="1"/>
  <c r="T3387" i="2"/>
  <c r="T3387" i="2" a="1"/>
  <c r="T3386" i="2" a="1"/>
  <c r="T3386" i="2" s="1"/>
  <c r="T3385" i="2" a="1"/>
  <c r="T3385" i="2" s="1"/>
  <c r="T3384" i="2"/>
  <c r="T3384" i="2" a="1"/>
  <c r="T3383" i="2" a="1"/>
  <c r="T3383" i="2" s="1"/>
  <c r="T3382" i="2" a="1"/>
  <c r="T3382" i="2" s="1"/>
  <c r="T3381" i="2"/>
  <c r="T3381" i="2" a="1"/>
  <c r="T3380" i="2"/>
  <c r="T3380" i="2" a="1"/>
  <c r="T3379" i="2" a="1"/>
  <c r="T3379" i="2" s="1"/>
  <c r="T3378" i="2" a="1"/>
  <c r="T3378" i="2" s="1"/>
  <c r="T3377" i="2" a="1"/>
  <c r="T3377" i="2" s="1"/>
  <c r="T3376" i="2"/>
  <c r="T3376" i="2" a="1"/>
  <c r="T3375" i="2" a="1"/>
  <c r="T3375" i="2" s="1"/>
  <c r="T3374" i="2"/>
  <c r="T3374" i="2" a="1"/>
  <c r="T3373" i="2" a="1"/>
  <c r="T3373" i="2" s="1"/>
  <c r="T3372" i="2"/>
  <c r="T3372" i="2" a="1"/>
  <c r="T3371" i="2" a="1"/>
  <c r="T3371" i="2" s="1"/>
  <c r="T3370" i="2" a="1"/>
  <c r="T3370" i="2" s="1"/>
  <c r="T3369" i="2" a="1"/>
  <c r="T3369" i="2" s="1"/>
  <c r="T3368" i="2" a="1"/>
  <c r="T3368" i="2" s="1"/>
  <c r="T3367" i="2"/>
  <c r="T3367" i="2" a="1"/>
  <c r="T3366" i="2"/>
  <c r="T3366" i="2" a="1"/>
  <c r="T3365" i="2" a="1"/>
  <c r="T3365" i="2" s="1"/>
  <c r="T3364" i="2"/>
  <c r="T3364" i="2" a="1"/>
  <c r="T3363" i="2"/>
  <c r="T3363" i="2" a="1"/>
  <c r="T3362" i="2"/>
  <c r="T3362" i="2" a="1"/>
  <c r="T3361" i="2"/>
  <c r="T3361" i="2" a="1"/>
  <c r="T3360" i="2"/>
  <c r="T3360" i="2" a="1"/>
  <c r="T3359" i="2" a="1"/>
  <c r="T3359" i="2" s="1"/>
  <c r="T3358" i="2"/>
  <c r="T3358" i="2" a="1"/>
  <c r="T3357" i="2" a="1"/>
  <c r="T3357" i="2" s="1"/>
  <c r="T3356" i="2" a="1"/>
  <c r="T3356" i="2" s="1"/>
  <c r="T3355" i="2"/>
  <c r="T3355" i="2" a="1"/>
  <c r="T3354" i="2" a="1"/>
  <c r="T3354" i="2" s="1"/>
  <c r="T3353" i="2" a="1"/>
  <c r="T3353" i="2" s="1"/>
  <c r="T3352" i="2"/>
  <c r="T3352" i="2" a="1"/>
  <c r="T3351" i="2"/>
  <c r="T3351" i="2" a="1"/>
  <c r="T3350" i="2"/>
  <c r="T3350" i="2" a="1"/>
  <c r="T3349" i="2"/>
  <c r="T3349" i="2" a="1"/>
  <c r="T3348" i="2"/>
  <c r="T3348" i="2" a="1"/>
  <c r="T3347" i="2" a="1"/>
  <c r="T3347" i="2" s="1"/>
  <c r="T3346" i="2"/>
  <c r="T3346" i="2" a="1"/>
  <c r="T3345" i="2"/>
  <c r="T3345" i="2" a="1"/>
  <c r="T3344" i="2" a="1"/>
  <c r="T3344" i="2" s="1"/>
  <c r="T3343" i="2" a="1"/>
  <c r="T3343" i="2" s="1"/>
  <c r="T3342" i="2"/>
  <c r="T3342" i="2" a="1"/>
  <c r="T3341" i="2" a="1"/>
  <c r="T3341" i="2" s="1"/>
  <c r="T3340" i="2"/>
  <c r="T3340" i="2" a="1"/>
  <c r="T3339" i="2"/>
  <c r="T3339" i="2" a="1"/>
  <c r="T3338" i="2"/>
  <c r="T3338" i="2" a="1"/>
  <c r="T3337" i="2"/>
  <c r="T3337" i="2" a="1"/>
  <c r="T3336" i="2"/>
  <c r="T3336" i="2" a="1"/>
  <c r="T3335" i="2" a="1"/>
  <c r="T3335" i="2" s="1"/>
  <c r="T3334" i="2" a="1"/>
  <c r="T3334" i="2" s="1"/>
  <c r="T3333" i="2" a="1"/>
  <c r="T3333" i="2" s="1"/>
  <c r="T3332" i="2"/>
  <c r="T3332" i="2" a="1"/>
  <c r="T3331" i="2" a="1"/>
  <c r="T3331" i="2" s="1"/>
  <c r="T3330" i="2" a="1"/>
  <c r="T3330" i="2" s="1"/>
  <c r="T3329" i="2" a="1"/>
  <c r="T3329" i="2" s="1"/>
  <c r="T3328" i="2" a="1"/>
  <c r="T3328" i="2" s="1"/>
  <c r="T3327" i="2" a="1"/>
  <c r="T3327" i="2" s="1"/>
  <c r="T3326" i="2"/>
  <c r="T3326" i="2" a="1"/>
  <c r="T3325" i="2"/>
  <c r="T3325" i="2" a="1"/>
  <c r="T3324" i="2"/>
  <c r="T3324" i="2" a="1"/>
  <c r="T3323" i="2" a="1"/>
  <c r="T3323" i="2" s="1"/>
  <c r="T3322" i="2" a="1"/>
  <c r="T3322" i="2" s="1"/>
  <c r="T3321" i="2" a="1"/>
  <c r="T3321" i="2" s="1"/>
  <c r="T3320" i="2"/>
  <c r="T3320" i="2" a="1"/>
  <c r="T3319" i="2" a="1"/>
  <c r="T3319" i="2" s="1"/>
  <c r="T3318" i="2" a="1"/>
  <c r="T3318" i="2" s="1"/>
  <c r="T3317" i="2" a="1"/>
  <c r="T3317" i="2" s="1"/>
  <c r="T3316" i="2"/>
  <c r="T3316" i="2" a="1"/>
  <c r="T3315" i="2" a="1"/>
  <c r="T3315" i="2" s="1"/>
  <c r="T3314" i="2" a="1"/>
  <c r="T3314" i="2" s="1"/>
  <c r="T3313" i="2" a="1"/>
  <c r="T3313" i="2" s="1"/>
  <c r="T3312" i="2"/>
  <c r="T3312" i="2" a="1"/>
  <c r="T3311" i="2" a="1"/>
  <c r="T3311" i="2" s="1"/>
  <c r="T3310" i="2" a="1"/>
  <c r="T3310" i="2" s="1"/>
  <c r="T3309" i="2"/>
  <c r="T3309" i="2" a="1"/>
  <c r="T3308" i="2" a="1"/>
  <c r="T3308" i="2" s="1"/>
  <c r="T3307" i="2" a="1"/>
  <c r="T3307" i="2" s="1"/>
  <c r="T3306" i="2" a="1"/>
  <c r="T3306" i="2" s="1"/>
  <c r="T3305" i="2" a="1"/>
  <c r="T3305" i="2" s="1"/>
  <c r="T3304" i="2"/>
  <c r="T3304" i="2" a="1"/>
  <c r="T3303" i="2"/>
  <c r="T3303" i="2" a="1"/>
  <c r="T3302" i="2" a="1"/>
  <c r="T3302" i="2" s="1"/>
  <c r="T3301" i="2" a="1"/>
  <c r="T3301" i="2" s="1"/>
  <c r="T3300" i="2" a="1"/>
  <c r="T3300" i="2" s="1"/>
  <c r="T3299" i="2" a="1"/>
  <c r="T3299" i="2" s="1"/>
  <c r="T3298" i="2" a="1"/>
  <c r="T3298" i="2" s="1"/>
  <c r="T3297" i="2" a="1"/>
  <c r="T3297" i="2" s="1"/>
  <c r="T3296" i="2"/>
  <c r="T3296" i="2" a="1"/>
  <c r="T3295" i="2"/>
  <c r="T3295" i="2" a="1"/>
  <c r="T3294" i="2" a="1"/>
  <c r="T3294" i="2" s="1"/>
  <c r="T3293" i="2" a="1"/>
  <c r="T3293" i="2" s="1"/>
  <c r="T3292" i="2"/>
  <c r="T3292" i="2" a="1"/>
  <c r="T3291" i="2"/>
  <c r="T3291" i="2" a="1"/>
  <c r="T3290" i="2" a="1"/>
  <c r="T3290" i="2" s="1"/>
  <c r="T3289" i="2"/>
  <c r="T3289" i="2" a="1"/>
  <c r="T3288" i="2" a="1"/>
  <c r="T3288" i="2" s="1"/>
  <c r="T3287" i="2" a="1"/>
  <c r="T3287" i="2" s="1"/>
  <c r="T3286" i="2" a="1"/>
  <c r="T3286" i="2" s="1"/>
  <c r="T3285" i="2" a="1"/>
  <c r="T3285" i="2" s="1"/>
  <c r="T3284" i="2" a="1"/>
  <c r="T3284" i="2" s="1"/>
  <c r="T3283" i="2"/>
  <c r="T3283" i="2" a="1"/>
  <c r="T3282" i="2"/>
  <c r="T3282" i="2" a="1"/>
  <c r="T3281" i="2" a="1"/>
  <c r="T3281" i="2" s="1"/>
  <c r="T3280" i="2" a="1"/>
  <c r="T3280" i="2" s="1"/>
  <c r="T3279" i="2"/>
  <c r="T3279" i="2" a="1"/>
  <c r="T3278" i="2"/>
  <c r="T3278" i="2" a="1"/>
  <c r="T3277" i="2" a="1"/>
  <c r="T3277" i="2" s="1"/>
  <c r="T3276" i="2"/>
  <c r="T3276" i="2" a="1"/>
  <c r="T3275" i="2" a="1"/>
  <c r="T3275" i="2" s="1"/>
  <c r="T3274" i="2"/>
  <c r="T3274" i="2" a="1"/>
  <c r="T3273" i="2" a="1"/>
  <c r="T3273" i="2" s="1"/>
  <c r="T3272" i="2" a="1"/>
  <c r="T3272" i="2" s="1"/>
  <c r="T3271" i="2" a="1"/>
  <c r="T3271" i="2" s="1"/>
  <c r="T3270" i="2" a="1"/>
  <c r="T3270" i="2" s="1"/>
  <c r="T3269" i="2" a="1"/>
  <c r="T3269" i="2" s="1"/>
  <c r="T3268" i="2" a="1"/>
  <c r="T3268" i="2" s="1"/>
  <c r="T3267" i="2"/>
  <c r="T3267" i="2" a="1"/>
  <c r="T3266" i="2"/>
  <c r="T3266" i="2" a="1"/>
  <c r="T3265" i="2"/>
  <c r="T3265" i="2" a="1"/>
  <c r="T3264" i="2"/>
  <c r="T3264" i="2" a="1"/>
  <c r="T3263" i="2" a="1"/>
  <c r="T3263" i="2" s="1"/>
  <c r="T3262" i="2" a="1"/>
  <c r="T3262" i="2" s="1"/>
  <c r="T3261" i="2"/>
  <c r="T3261" i="2" a="1"/>
  <c r="T3260" i="2"/>
  <c r="T3260" i="2" a="1"/>
  <c r="T3259" i="2" a="1"/>
  <c r="T3259" i="2" s="1"/>
  <c r="T3258" i="2" a="1"/>
  <c r="T3258" i="2" s="1"/>
  <c r="T3257" i="2" a="1"/>
  <c r="T3257" i="2" s="1"/>
  <c r="T3256" i="2"/>
  <c r="T3256" i="2" a="1"/>
  <c r="T3255" i="2" a="1"/>
  <c r="T3255" i="2" s="1"/>
  <c r="T3254" i="2" a="1"/>
  <c r="T3254" i="2" s="1"/>
  <c r="T3253" i="2"/>
  <c r="T3253" i="2" a="1"/>
  <c r="T3252" i="2"/>
  <c r="T3252" i="2" a="1"/>
  <c r="T3251" i="2" a="1"/>
  <c r="T3251" i="2" s="1"/>
  <c r="T3250" i="2" a="1"/>
  <c r="T3250" i="2" s="1"/>
  <c r="T3249" i="2" a="1"/>
  <c r="T3249" i="2" s="1"/>
  <c r="T3248" i="2" a="1"/>
  <c r="T3248" i="2" s="1"/>
  <c r="T3247" i="2"/>
  <c r="T3247" i="2" a="1"/>
  <c r="T3246" i="2" a="1"/>
  <c r="T3246" i="2" s="1"/>
  <c r="T3245" i="2" a="1"/>
  <c r="T3245" i="2" s="1"/>
  <c r="T3244" i="2" a="1"/>
  <c r="T3244" i="2" s="1"/>
  <c r="T3243" i="2"/>
  <c r="T3243" i="2" a="1"/>
  <c r="T3242" i="2"/>
  <c r="T3242" i="2" a="1"/>
  <c r="T3241" i="2" a="1"/>
  <c r="T3241" i="2" s="1"/>
  <c r="T3240" i="2"/>
  <c r="T3240" i="2" a="1"/>
  <c r="T3239" i="2" a="1"/>
  <c r="T3239" i="2" s="1"/>
  <c r="T3238" i="2" a="1"/>
  <c r="T3238" i="2" s="1"/>
  <c r="T3237" i="2" a="1"/>
  <c r="T3237" i="2" s="1"/>
  <c r="T3236" i="2" a="1"/>
  <c r="T3236" i="2" s="1"/>
  <c r="T3235" i="2" a="1"/>
  <c r="T3235" i="2" s="1"/>
  <c r="T3234" i="2" a="1"/>
  <c r="T3234" i="2" s="1"/>
  <c r="T3233" i="2" a="1"/>
  <c r="T3233" i="2" s="1"/>
  <c r="T3232" i="2"/>
  <c r="T3232" i="2" a="1"/>
  <c r="T3231" i="2" a="1"/>
  <c r="T3231" i="2" s="1"/>
  <c r="T3230" i="2" a="1"/>
  <c r="T3230" i="2" s="1"/>
  <c r="T3229" i="2" a="1"/>
  <c r="T3229" i="2" s="1"/>
  <c r="T3228" i="2"/>
  <c r="T3228" i="2" a="1"/>
  <c r="T3227" i="2" a="1"/>
  <c r="T3227" i="2" s="1"/>
  <c r="T3226" i="2" a="1"/>
  <c r="T3226" i="2" s="1"/>
  <c r="T3225" i="2" a="1"/>
  <c r="T3225" i="2" s="1"/>
  <c r="T3224" i="2"/>
  <c r="T3224" i="2" a="1"/>
  <c r="T3223" i="2" a="1"/>
  <c r="T3223" i="2" s="1"/>
  <c r="T3222" i="2" a="1"/>
  <c r="T3222" i="2" s="1"/>
  <c r="T3221" i="2" a="1"/>
  <c r="T3221" i="2" s="1"/>
  <c r="T3220" i="2"/>
  <c r="T3220" i="2" a="1"/>
  <c r="T3219" i="2"/>
  <c r="T3219" i="2" a="1"/>
  <c r="T3218" i="2"/>
  <c r="T3218" i="2" a="1"/>
  <c r="T3217" i="2" a="1"/>
  <c r="T3217" i="2" s="1"/>
  <c r="T3216" i="2" a="1"/>
  <c r="T3216" i="2" s="1"/>
  <c r="T3215" i="2" a="1"/>
  <c r="T3215" i="2" s="1"/>
  <c r="T3214" i="2" a="1"/>
  <c r="T3214" i="2" s="1"/>
  <c r="T3213" i="2" a="1"/>
  <c r="T3213" i="2" s="1"/>
  <c r="T3212" i="2" a="1"/>
  <c r="T3212" i="2" s="1"/>
  <c r="T3211" i="2"/>
  <c r="T3211" i="2" a="1"/>
  <c r="T3210" i="2"/>
  <c r="T3210" i="2" a="1"/>
  <c r="T3209" i="2" a="1"/>
  <c r="T3209" i="2" s="1"/>
  <c r="T3208" i="2" a="1"/>
  <c r="T3208" i="2" s="1"/>
  <c r="T3207" i="2"/>
  <c r="T3207" i="2" a="1"/>
  <c r="T3206" i="2"/>
  <c r="T3206" i="2" a="1"/>
  <c r="T3205" i="2" a="1"/>
  <c r="T3205" i="2" s="1"/>
  <c r="T3204" i="2"/>
  <c r="T3204" i="2" a="1"/>
  <c r="T3203" i="2" a="1"/>
  <c r="T3203" i="2" s="1"/>
  <c r="T3202" i="2"/>
  <c r="T3202" i="2" a="1"/>
  <c r="T3201" i="2"/>
  <c r="T3201" i="2" a="1"/>
  <c r="T3200" i="2" a="1"/>
  <c r="T3200" i="2" s="1"/>
  <c r="T3199" i="2" a="1"/>
  <c r="T3199" i="2" s="1"/>
  <c r="T3198" i="2"/>
  <c r="T3198" i="2" a="1"/>
  <c r="T3197" i="2" a="1"/>
  <c r="T3197" i="2" s="1"/>
  <c r="T3196" i="2"/>
  <c r="T3196" i="2" a="1"/>
  <c r="T3195" i="2" a="1"/>
  <c r="T3195" i="2" s="1"/>
  <c r="T3194" i="2"/>
  <c r="T3194" i="2" a="1"/>
  <c r="T3193" i="2"/>
  <c r="T3193" i="2" a="1"/>
  <c r="T3192" i="2"/>
  <c r="T3192" i="2" a="1"/>
  <c r="T3191" i="2" a="1"/>
  <c r="T3191" i="2" s="1"/>
  <c r="T3190" i="2"/>
  <c r="T3190" i="2" a="1"/>
  <c r="T3189" i="2"/>
  <c r="T3189" i="2" a="1"/>
  <c r="T3188" i="2" a="1"/>
  <c r="T3188" i="2" s="1"/>
  <c r="T3187" i="2" a="1"/>
  <c r="T3187" i="2" s="1"/>
  <c r="T3186" i="2" a="1"/>
  <c r="T3186" i="2" s="1"/>
  <c r="T3185" i="2" a="1"/>
  <c r="T3185" i="2" s="1"/>
  <c r="T3184" i="2" a="1"/>
  <c r="T3184" i="2" s="1"/>
  <c r="T3183" i="2" a="1"/>
  <c r="T3183" i="2" s="1"/>
  <c r="T3182" i="2"/>
  <c r="T3182" i="2" a="1"/>
  <c r="T3181" i="2"/>
  <c r="T3181" i="2" a="1"/>
  <c r="T3180" i="2"/>
  <c r="T3180" i="2" a="1"/>
  <c r="T3179" i="2" a="1"/>
  <c r="T3179" i="2" s="1"/>
  <c r="T3178" i="2"/>
  <c r="T3178" i="2" a="1"/>
  <c r="T3177" i="2"/>
  <c r="T3177" i="2" a="1"/>
  <c r="T3176" i="2" a="1"/>
  <c r="T3176" i="2" s="1"/>
  <c r="T3175" i="2"/>
  <c r="T3175" i="2" a="1"/>
  <c r="T3174" i="2" a="1"/>
  <c r="T3174" i="2" s="1"/>
  <c r="T3173" i="2" a="1"/>
  <c r="T3173" i="2" s="1"/>
  <c r="T3172" i="2" a="1"/>
  <c r="T3172" i="2" s="1"/>
  <c r="T3171" i="2"/>
  <c r="T3171" i="2" a="1"/>
  <c r="T3170" i="2" a="1"/>
  <c r="T3170" i="2" s="1"/>
  <c r="T3169" i="2" a="1"/>
  <c r="T3169" i="2" s="1"/>
  <c r="T3168" i="2"/>
  <c r="T3168" i="2" a="1"/>
  <c r="T3167" i="2" a="1"/>
  <c r="T3167" i="2" s="1"/>
  <c r="T3166" i="2" a="1"/>
  <c r="T3166" i="2" s="1"/>
  <c r="T3165" i="2" a="1"/>
  <c r="T3165" i="2" s="1"/>
  <c r="T3164" i="2" a="1"/>
  <c r="T3164" i="2" s="1"/>
  <c r="T3163" i="2"/>
  <c r="T3163" i="2" a="1"/>
  <c r="T3162" i="2"/>
  <c r="T3162" i="2" a="1"/>
  <c r="T3161" i="2" a="1"/>
  <c r="T3161" i="2" s="1"/>
  <c r="T3160" i="2"/>
  <c r="T3160" i="2" a="1"/>
  <c r="T3159" i="2"/>
  <c r="T3159" i="2" a="1"/>
  <c r="T3158" i="2"/>
  <c r="T3158" i="2" a="1"/>
  <c r="T3157" i="2"/>
  <c r="T3157" i="2" a="1"/>
  <c r="T3156" i="2" a="1"/>
  <c r="T3156" i="2" s="1"/>
  <c r="T3155" i="2" a="1"/>
  <c r="T3155" i="2" s="1"/>
  <c r="T3154" i="2" a="1"/>
  <c r="T3154" i="2" s="1"/>
  <c r="T3153" i="2" a="1"/>
  <c r="T3153" i="2" s="1"/>
  <c r="T3152" i="2" a="1"/>
  <c r="T3152" i="2" s="1"/>
  <c r="T3151" i="2" a="1"/>
  <c r="T3151" i="2" s="1"/>
  <c r="T3150" i="2" a="1"/>
  <c r="T3150" i="2" s="1"/>
  <c r="T3149" i="2" a="1"/>
  <c r="T3149" i="2" s="1"/>
  <c r="T3148" i="2"/>
  <c r="T3148" i="2" a="1"/>
  <c r="T3147" i="2"/>
  <c r="T3147" i="2" a="1"/>
  <c r="T3146" i="2" a="1"/>
  <c r="T3146" i="2" s="1"/>
  <c r="T3145" i="2" a="1"/>
  <c r="T3145" i="2" s="1"/>
  <c r="T3144" i="2" a="1"/>
  <c r="T3144" i="2" s="1"/>
  <c r="T3143" i="2" a="1"/>
  <c r="T3143" i="2" s="1"/>
  <c r="T3142" i="2" a="1"/>
  <c r="T3142" i="2" s="1"/>
  <c r="T3141" i="2" a="1"/>
  <c r="T3141" i="2" s="1"/>
  <c r="T3140" i="2" a="1"/>
  <c r="T3140" i="2" s="1"/>
  <c r="T3139" i="2"/>
  <c r="T3139" i="2" a="1"/>
  <c r="T3138" i="2"/>
  <c r="T3138" i="2" a="1"/>
  <c r="T3137" i="2" a="1"/>
  <c r="T3137" i="2" s="1"/>
  <c r="T3136" i="2" a="1"/>
  <c r="T3136" i="2" s="1"/>
  <c r="T3135" i="2"/>
  <c r="T3135" i="2" a="1"/>
  <c r="T3134" i="2"/>
  <c r="T3134" i="2" a="1"/>
  <c r="T3133" i="2"/>
  <c r="T3133" i="2" a="1"/>
  <c r="T3132" i="2" a="1"/>
  <c r="T3132" i="2" s="1"/>
  <c r="T3131" i="2" a="1"/>
  <c r="T3131" i="2" s="1"/>
  <c r="T3130" i="2" a="1"/>
  <c r="T3130" i="2" s="1"/>
  <c r="T3129" i="2" a="1"/>
  <c r="T3129" i="2" s="1"/>
  <c r="T3128" i="2" a="1"/>
  <c r="T3128" i="2" s="1"/>
  <c r="T3127" i="2" a="1"/>
  <c r="T3127" i="2" s="1"/>
  <c r="T3126" i="2" a="1"/>
  <c r="T3126" i="2" s="1"/>
  <c r="T3125" i="2" a="1"/>
  <c r="T3125" i="2" s="1"/>
  <c r="T3124" i="2" a="1"/>
  <c r="T3124" i="2" s="1"/>
  <c r="T3123" i="2" a="1"/>
  <c r="T3123" i="2" s="1"/>
  <c r="T3122" i="2"/>
  <c r="T3122" i="2" a="1"/>
  <c r="T3121" i="2"/>
  <c r="T3121" i="2" a="1"/>
  <c r="T3120" i="2" a="1"/>
  <c r="T3120" i="2" s="1"/>
  <c r="T3119" i="2" a="1"/>
  <c r="T3119" i="2" s="1"/>
  <c r="T3118" i="2"/>
  <c r="T3118" i="2" a="1"/>
  <c r="T3117" i="2" a="1"/>
  <c r="T3117" i="2" s="1"/>
  <c r="T3116" i="2"/>
  <c r="T3116" i="2" a="1"/>
  <c r="T3115" i="2" a="1"/>
  <c r="T3115" i="2" s="1"/>
  <c r="T3114" i="2" a="1"/>
  <c r="T3114" i="2" s="1"/>
  <c r="T3113" i="2" a="1"/>
  <c r="T3113" i="2" s="1"/>
  <c r="T3112" i="2" a="1"/>
  <c r="T3112" i="2" s="1"/>
  <c r="T3111" i="2"/>
  <c r="T3111" i="2" a="1"/>
  <c r="T3110" i="2" a="1"/>
  <c r="T3110" i="2" s="1"/>
  <c r="T3109" i="2"/>
  <c r="T3109" i="2" a="1"/>
  <c r="T3108" i="2"/>
  <c r="T3108" i="2" a="1"/>
  <c r="T3107" i="2" a="1"/>
  <c r="T3107" i="2" s="1"/>
  <c r="T3106" i="2" a="1"/>
  <c r="T3106" i="2" s="1"/>
  <c r="T3105" i="2"/>
  <c r="T3105" i="2" a="1"/>
  <c r="T3104" i="2"/>
  <c r="T3104" i="2" a="1"/>
  <c r="T3103" i="2"/>
  <c r="T3103" i="2" a="1"/>
  <c r="T3102" i="2" a="1"/>
  <c r="T3102" i="2" s="1"/>
  <c r="T3101" i="2" a="1"/>
  <c r="T3101" i="2" s="1"/>
  <c r="T3100" i="2" a="1"/>
  <c r="T3100" i="2" s="1"/>
  <c r="T3099" i="2" a="1"/>
  <c r="T3099" i="2" s="1"/>
  <c r="T3098" i="2"/>
  <c r="T3098" i="2" a="1"/>
  <c r="T3097" i="2"/>
  <c r="T3097" i="2" a="1"/>
  <c r="T3096" i="2"/>
  <c r="T3096" i="2" a="1"/>
  <c r="T3095" i="2" a="1"/>
  <c r="T3095" i="2" s="1"/>
  <c r="T3094" i="2" a="1"/>
  <c r="T3094" i="2" s="1"/>
  <c r="T3093" i="2" a="1"/>
  <c r="T3093" i="2" s="1"/>
  <c r="T3092" i="2" a="1"/>
  <c r="T3092" i="2" s="1"/>
  <c r="T3091" i="2" a="1"/>
  <c r="T3091" i="2" s="1"/>
  <c r="T3090" i="2"/>
  <c r="T3090" i="2" a="1"/>
  <c r="T3089" i="2" a="1"/>
  <c r="T3089" i="2" s="1"/>
  <c r="T3088" i="2" a="1"/>
  <c r="T3088" i="2" s="1"/>
  <c r="T3087" i="2"/>
  <c r="T3087" i="2" a="1"/>
  <c r="T3086" i="2" a="1"/>
  <c r="T3086" i="2" s="1"/>
  <c r="T3085" i="2" a="1"/>
  <c r="T3085" i="2" s="1"/>
  <c r="T3084" i="2" a="1"/>
  <c r="T3084" i="2" s="1"/>
  <c r="T3083" i="2" a="1"/>
  <c r="T3083" i="2" s="1"/>
  <c r="T3082" i="2" a="1"/>
  <c r="T3082" i="2" s="1"/>
  <c r="T3081" i="2"/>
  <c r="T3081" i="2" a="1"/>
  <c r="T3080" i="2"/>
  <c r="T3080" i="2" a="1"/>
  <c r="T3079" i="2" a="1"/>
  <c r="T3079" i="2" s="1"/>
  <c r="T3078" i="2" a="1"/>
  <c r="T3078" i="2" s="1"/>
  <c r="T3077" i="2" a="1"/>
  <c r="T3077" i="2" s="1"/>
  <c r="T3076" i="2" a="1"/>
  <c r="T3076" i="2" s="1"/>
  <c r="T3075" i="2"/>
  <c r="T3075" i="2" a="1"/>
  <c r="T3074" i="2" a="1"/>
  <c r="T3074" i="2" s="1"/>
  <c r="T3073" i="2"/>
  <c r="T3073" i="2" a="1"/>
  <c r="T3072" i="2" a="1"/>
  <c r="T3072" i="2" s="1"/>
  <c r="T3071" i="2" a="1"/>
  <c r="T3071" i="2" s="1"/>
  <c r="T3070" i="2" a="1"/>
  <c r="T3070" i="2" s="1"/>
  <c r="T3069" i="2" a="1"/>
  <c r="T3069" i="2" s="1"/>
  <c r="T3068" i="2"/>
  <c r="T3068" i="2" a="1"/>
  <c r="T3067" i="2" a="1"/>
  <c r="T3067" i="2" s="1"/>
  <c r="T3066" i="2"/>
  <c r="T3066" i="2" a="1"/>
  <c r="T3065" i="2" a="1"/>
  <c r="T3065" i="2" s="1"/>
  <c r="T3064" i="2" a="1"/>
  <c r="T3064" i="2" s="1"/>
  <c r="T3063" i="2" a="1"/>
  <c r="T3063" i="2" s="1"/>
  <c r="T3062" i="2"/>
  <c r="T3062" i="2" a="1"/>
  <c r="T3061" i="2"/>
  <c r="T3061" i="2" a="1"/>
  <c r="T3060" i="2" a="1"/>
  <c r="T3060" i="2" s="1"/>
  <c r="T3059" i="2" a="1"/>
  <c r="T3059" i="2" s="1"/>
  <c r="T3058" i="2" a="1"/>
  <c r="T3058" i="2" s="1"/>
  <c r="T3057" i="2" a="1"/>
  <c r="T3057" i="2" s="1"/>
  <c r="T3056" i="2" a="1"/>
  <c r="T3056" i="2" s="1"/>
  <c r="T3055" i="2"/>
  <c r="T3055" i="2" a="1"/>
  <c r="T3054" i="2"/>
  <c r="T3054" i="2" a="1"/>
  <c r="T3053" i="2" a="1"/>
  <c r="T3053" i="2" s="1"/>
  <c r="T3052" i="2" a="1"/>
  <c r="T3052" i="2" s="1"/>
  <c r="T3051" i="2" a="1"/>
  <c r="T3051" i="2" s="1"/>
  <c r="T3050" i="2" a="1"/>
  <c r="T3050" i="2" s="1"/>
  <c r="T3049" i="2" a="1"/>
  <c r="T3049" i="2" s="1"/>
  <c r="T3048" i="2"/>
  <c r="T3048" i="2" a="1"/>
  <c r="T3047" i="2" a="1"/>
  <c r="T3047" i="2" s="1"/>
  <c r="T3046" i="2" a="1"/>
  <c r="T3046" i="2" s="1"/>
  <c r="T3045" i="2"/>
  <c r="T3045" i="2" a="1"/>
  <c r="T3044" i="2"/>
  <c r="T3044" i="2" a="1"/>
  <c r="T3043" i="2" a="1"/>
  <c r="T3043" i="2" s="1"/>
  <c r="T3042" i="2" a="1"/>
  <c r="T3042" i="2" s="1"/>
  <c r="T3041" i="2" a="1"/>
  <c r="T3041" i="2" s="1"/>
  <c r="T3040" i="2" a="1"/>
  <c r="T3040" i="2" s="1"/>
  <c r="T3039" i="2"/>
  <c r="T3039" i="2" a="1"/>
  <c r="T3038" i="2"/>
  <c r="T3038" i="2" a="1"/>
  <c r="T3037" i="2"/>
  <c r="T3037" i="2" a="1"/>
  <c r="T3036" i="2" a="1"/>
  <c r="T3036" i="2" s="1"/>
  <c r="T3035" i="2" a="1"/>
  <c r="T3035" i="2" s="1"/>
  <c r="T3034" i="2" a="1"/>
  <c r="T3034" i="2" s="1"/>
  <c r="T3033" i="2" a="1"/>
  <c r="T3033" i="2" s="1"/>
  <c r="T3032" i="2"/>
  <c r="T3032" i="2" a="1"/>
  <c r="T3031" i="2" a="1"/>
  <c r="T3031" i="2" s="1"/>
  <c r="T3030" i="2" a="1"/>
  <c r="T3030" i="2" s="1"/>
  <c r="T3029" i="2" a="1"/>
  <c r="T3029" i="2" s="1"/>
  <c r="T3028" i="2" a="1"/>
  <c r="T3028" i="2" s="1"/>
  <c r="T3027" i="2" a="1"/>
  <c r="T3027" i="2" s="1"/>
  <c r="T3026" i="2"/>
  <c r="T3026" i="2" a="1"/>
  <c r="T3025" i="2"/>
  <c r="T3025" i="2" a="1"/>
  <c r="T3024" i="2"/>
  <c r="T3024" i="2" a="1"/>
  <c r="T3023" i="2" a="1"/>
  <c r="T3023" i="2" s="1"/>
  <c r="T3022" i="2" a="1"/>
  <c r="T3022" i="2" s="1"/>
  <c r="T3021" i="2" a="1"/>
  <c r="T3021" i="2" s="1"/>
  <c r="T3020" i="2" a="1"/>
  <c r="T3020" i="2" s="1"/>
  <c r="T3019" i="2"/>
  <c r="T3019" i="2" a="1"/>
  <c r="T3018" i="2"/>
  <c r="T3018" i="2" a="1"/>
  <c r="T3017" i="2" a="1"/>
  <c r="T3017" i="2" s="1"/>
  <c r="T3016" i="2" a="1"/>
  <c r="T3016" i="2" s="1"/>
  <c r="T3015" i="2"/>
  <c r="T3015" i="2" a="1"/>
  <c r="T3014" i="2" a="1"/>
  <c r="T3014" i="2" s="1"/>
  <c r="T3013" i="2" a="1"/>
  <c r="T3013" i="2" s="1"/>
  <c r="T3012" i="2"/>
  <c r="T3012" i="2" a="1"/>
  <c r="T3011" i="2" a="1"/>
  <c r="T3011" i="2" s="1"/>
  <c r="T3010" i="2" a="1"/>
  <c r="T3010" i="2" s="1"/>
  <c r="T3009" i="2"/>
  <c r="T3009" i="2" a="1"/>
  <c r="T3008" i="2" a="1"/>
  <c r="T3008" i="2" s="1"/>
  <c r="T3007" i="2" a="1"/>
  <c r="T3007" i="2" s="1"/>
  <c r="T3006" i="2" a="1"/>
  <c r="T3006" i="2" s="1"/>
  <c r="T3005" i="2" a="1"/>
  <c r="T3005" i="2" s="1"/>
  <c r="T3004" i="2"/>
  <c r="T3004" i="2" a="1"/>
  <c r="T3003" i="2" a="1"/>
  <c r="T3003" i="2" s="1"/>
  <c r="T3002" i="2"/>
  <c r="T3002" i="2" a="1"/>
  <c r="T3001" i="2"/>
  <c r="T3001" i="2" a="1"/>
  <c r="T3000" i="2" a="1"/>
  <c r="T3000" i="2" s="1"/>
  <c r="T2999" i="2" a="1"/>
  <c r="T2999" i="2" s="1"/>
  <c r="T2998" i="2"/>
  <c r="T2998" i="2" a="1"/>
  <c r="T2997" i="2" a="1"/>
  <c r="T2997" i="2" s="1"/>
  <c r="T2996" i="2" a="1"/>
  <c r="T2996" i="2" s="1"/>
  <c r="T2995" i="2" a="1"/>
  <c r="T2995" i="2" s="1"/>
  <c r="T2994" i="2"/>
  <c r="T2994" i="2" a="1"/>
  <c r="T2993" i="2"/>
  <c r="T2993" i="2" a="1"/>
  <c r="T2992" i="2"/>
  <c r="T2992" i="2" a="1"/>
  <c r="T2991" i="2" a="1"/>
  <c r="T2991" i="2" s="1"/>
  <c r="T2990" i="2"/>
  <c r="T2990" i="2" a="1"/>
  <c r="T2989" i="2"/>
  <c r="T2989" i="2" a="1"/>
  <c r="T2988" i="2" a="1"/>
  <c r="T2988" i="2" s="1"/>
  <c r="T2987" i="2" a="1"/>
  <c r="T2987" i="2" s="1"/>
  <c r="T2986" i="2"/>
  <c r="T2986" i="2" a="1"/>
  <c r="T2985" i="2" a="1"/>
  <c r="T2985" i="2" s="1"/>
  <c r="T2984" i="2"/>
  <c r="T2984" i="2" a="1"/>
  <c r="T2983" i="2"/>
  <c r="T2983" i="2" a="1"/>
  <c r="T2982" i="2"/>
  <c r="T2982" i="2" a="1"/>
  <c r="T2981" i="2"/>
  <c r="T2981" i="2" a="1"/>
  <c r="T2980" i="2"/>
  <c r="T2980" i="2" a="1"/>
  <c r="T2979" i="2" a="1"/>
  <c r="T2979" i="2" s="1"/>
  <c r="T2978" i="2" a="1"/>
  <c r="T2978" i="2" s="1"/>
  <c r="T2977" i="2" a="1"/>
  <c r="T2977" i="2" s="1"/>
  <c r="T2976" i="2" a="1"/>
  <c r="T2976" i="2" s="1"/>
  <c r="T2975" i="2" a="1"/>
  <c r="T2975" i="2" s="1"/>
  <c r="T2974" i="2"/>
  <c r="T2974" i="2" a="1"/>
  <c r="T2973" i="2" a="1"/>
  <c r="T2973" i="2" s="1"/>
  <c r="T2972" i="2" a="1"/>
  <c r="T2972" i="2" s="1"/>
  <c r="T2971" i="2"/>
  <c r="T2971" i="2" a="1"/>
  <c r="T2970" i="2"/>
  <c r="T2970" i="2" a="1"/>
  <c r="T2969" i="2" a="1"/>
  <c r="T2969" i="2" s="1"/>
  <c r="T2968" i="2"/>
  <c r="T2968" i="2" a="1"/>
  <c r="T2967" i="2" a="1"/>
  <c r="T2967" i="2" s="1"/>
  <c r="T2966" i="2" a="1"/>
  <c r="T2966" i="2" s="1"/>
  <c r="T2965" i="2" a="1"/>
  <c r="T2965" i="2" s="1"/>
  <c r="T2964" i="2"/>
  <c r="T2964" i="2" a="1"/>
  <c r="T2963" i="2"/>
  <c r="T2963" i="2" a="1"/>
  <c r="T2962" i="2" a="1"/>
  <c r="T2962" i="2" s="1"/>
  <c r="T2961" i="2" a="1"/>
  <c r="T2961" i="2" s="1"/>
  <c r="T2960" i="2"/>
  <c r="T2960" i="2" a="1"/>
  <c r="T2959" i="2"/>
  <c r="T2959" i="2" a="1"/>
  <c r="T2958" i="2"/>
  <c r="T2958" i="2" a="1"/>
  <c r="T2957" i="2" a="1"/>
  <c r="T2957" i="2" s="1"/>
  <c r="T2956" i="2" a="1"/>
  <c r="T2956" i="2" s="1"/>
  <c r="T2955" i="2" a="1"/>
  <c r="T2955" i="2" s="1"/>
  <c r="T2954" i="2" a="1"/>
  <c r="T2954" i="2" s="1"/>
  <c r="T2953" i="2" a="1"/>
  <c r="T2953" i="2" s="1"/>
  <c r="T2952" i="2"/>
  <c r="T2952" i="2" a="1"/>
  <c r="T2951" i="2"/>
  <c r="T2951" i="2" a="1"/>
  <c r="T2950" i="2"/>
  <c r="T2950" i="2" a="1"/>
  <c r="T2949" i="2" a="1"/>
  <c r="T2949" i="2" s="1"/>
  <c r="T2948" i="2"/>
  <c r="T2948" i="2" a="1"/>
  <c r="T2947" i="2"/>
  <c r="T2947" i="2" a="1"/>
  <c r="T2946" i="2" a="1"/>
  <c r="T2946" i="2" s="1"/>
  <c r="T2945" i="2" a="1"/>
  <c r="T2945" i="2" s="1"/>
  <c r="T2944" i="2"/>
  <c r="T2944" i="2" a="1"/>
  <c r="T2943" i="2" a="1"/>
  <c r="T2943" i="2" s="1"/>
  <c r="T2942" i="2"/>
  <c r="T2942" i="2" a="1"/>
  <c r="T2941" i="2" a="1"/>
  <c r="T2941" i="2" s="1"/>
  <c r="T2940" i="2" a="1"/>
  <c r="T2940" i="2" s="1"/>
  <c r="T2939" i="2" a="1"/>
  <c r="T2939" i="2" s="1"/>
  <c r="T2938" i="2"/>
  <c r="T2938" i="2" a="1"/>
  <c r="T2937" i="2" a="1"/>
  <c r="T2937" i="2" s="1"/>
  <c r="T2936" i="2"/>
  <c r="T2936" i="2" a="1"/>
  <c r="T2935" i="2"/>
  <c r="T2935" i="2" a="1"/>
  <c r="T2934" i="2"/>
  <c r="T2934" i="2" a="1"/>
  <c r="T2933" i="2" a="1"/>
  <c r="T2933" i="2" s="1"/>
  <c r="T2932" i="2" a="1"/>
  <c r="T2932" i="2" s="1"/>
  <c r="T2931" i="2" a="1"/>
  <c r="T2931" i="2" s="1"/>
  <c r="T2930" i="2" a="1"/>
  <c r="T2930" i="2" s="1"/>
  <c r="T2929" i="2"/>
  <c r="T2929" i="2" a="1"/>
  <c r="T2928" i="2" a="1"/>
  <c r="T2928" i="2" s="1"/>
  <c r="T2927" i="2" a="1"/>
  <c r="T2927" i="2" s="1"/>
  <c r="T2926" i="2" a="1"/>
  <c r="T2926" i="2" s="1"/>
  <c r="T2925" i="2" a="1"/>
  <c r="T2925" i="2" s="1"/>
  <c r="T2924" i="2"/>
  <c r="T2924" i="2" a="1"/>
  <c r="T2923" i="2" a="1"/>
  <c r="T2923" i="2" s="1"/>
  <c r="T2922" i="2"/>
  <c r="T2922" i="2" a="1"/>
  <c r="T2921" i="2"/>
  <c r="T2921" i="2" a="1"/>
  <c r="T2920" i="2" a="1"/>
  <c r="T2920" i="2" s="1"/>
  <c r="T2919" i="2" a="1"/>
  <c r="T2919" i="2" s="1"/>
  <c r="T2918" i="2" a="1"/>
  <c r="T2918" i="2" s="1"/>
  <c r="T2917" i="2" a="1"/>
  <c r="T2917" i="2" s="1"/>
  <c r="T2916" i="2" a="1"/>
  <c r="T2916" i="2" s="1"/>
  <c r="T2915" i="2" a="1"/>
  <c r="T2915" i="2" s="1"/>
  <c r="T2914" i="2" a="1"/>
  <c r="T2914" i="2" s="1"/>
  <c r="T2913" i="2" a="1"/>
  <c r="T2913" i="2" s="1"/>
  <c r="T2912" i="2" a="1"/>
  <c r="T2912" i="2" s="1"/>
  <c r="T2911" i="2" a="1"/>
  <c r="T2911" i="2" s="1"/>
  <c r="T2910" i="2" a="1"/>
  <c r="T2910" i="2" s="1"/>
  <c r="T2909" i="2"/>
  <c r="T2909" i="2" a="1"/>
  <c r="T2908" i="2"/>
  <c r="T2908" i="2" a="1"/>
  <c r="T2907" i="2" a="1"/>
  <c r="T2907" i="2" s="1"/>
  <c r="T2906" i="2"/>
  <c r="T2906" i="2" a="1"/>
  <c r="T2905" i="2" a="1"/>
  <c r="T2905" i="2" s="1"/>
  <c r="T2904" i="2" a="1"/>
  <c r="T2904" i="2" s="1"/>
  <c r="T2903" i="2"/>
  <c r="T2903" i="2" a="1"/>
  <c r="T2902" i="2" a="1"/>
  <c r="T2902" i="2" s="1"/>
  <c r="T2901" i="2" a="1"/>
  <c r="T2901" i="2" s="1"/>
  <c r="T2900" i="2"/>
  <c r="T2900" i="2" a="1"/>
  <c r="T2899" i="2"/>
  <c r="T2899" i="2" a="1"/>
  <c r="T2898" i="2" a="1"/>
  <c r="T2898" i="2" s="1"/>
  <c r="T2897" i="2" a="1"/>
  <c r="T2897" i="2" s="1"/>
  <c r="T2896" i="2"/>
  <c r="T2896" i="2" a="1"/>
  <c r="T2895" i="2" a="1"/>
  <c r="T2895" i="2" s="1"/>
  <c r="T2894" i="2" a="1"/>
  <c r="T2894" i="2" s="1"/>
  <c r="T2893" i="2"/>
  <c r="T2893" i="2" a="1"/>
  <c r="T2892" i="2"/>
  <c r="T2892" i="2" a="1"/>
  <c r="T2891" i="2" a="1"/>
  <c r="T2891" i="2" s="1"/>
  <c r="T2890" i="2" a="1"/>
  <c r="T2890" i="2" s="1"/>
  <c r="T2889" i="2" a="1"/>
  <c r="T2889" i="2" s="1"/>
  <c r="T2888" i="2"/>
  <c r="T2888" i="2" a="1"/>
  <c r="T2887" i="2"/>
  <c r="T2887" i="2" a="1"/>
  <c r="T2886" i="2" a="1"/>
  <c r="T2886" i="2" s="1"/>
  <c r="T2885" i="2" a="1"/>
  <c r="T2885" i="2" s="1"/>
  <c r="T2884" i="2"/>
  <c r="T2884" i="2" a="1"/>
  <c r="T2883" i="2" a="1"/>
  <c r="T2883" i="2" s="1"/>
  <c r="T2882" i="2" a="1"/>
  <c r="T2882" i="2" s="1"/>
  <c r="T2881" i="2" a="1"/>
  <c r="T2881" i="2" s="1"/>
  <c r="T2880" i="2" a="1"/>
  <c r="T2880" i="2" s="1"/>
  <c r="T2879" i="2"/>
  <c r="T2879" i="2" a="1"/>
  <c r="T2878" i="2"/>
  <c r="T2878" i="2" a="1"/>
  <c r="T2877" i="2" a="1"/>
  <c r="T2877" i="2" s="1"/>
  <c r="T2876" i="2"/>
  <c r="T2876" i="2" a="1"/>
  <c r="T2875" i="2"/>
  <c r="T2875" i="2" a="1"/>
  <c r="T2874" i="2" a="1"/>
  <c r="T2874" i="2" s="1"/>
  <c r="T2873" i="2" a="1"/>
  <c r="T2873" i="2" s="1"/>
  <c r="T2872" i="2" a="1"/>
  <c r="T2872" i="2" s="1"/>
  <c r="T2871" i="2" a="1"/>
  <c r="T2871" i="2" s="1"/>
  <c r="T2870" i="2"/>
  <c r="T2870" i="2" a="1"/>
  <c r="T2869" i="2" a="1"/>
  <c r="T2869" i="2" s="1"/>
  <c r="T2868" i="2" a="1"/>
  <c r="T2868" i="2" s="1"/>
  <c r="T2867" i="2" a="1"/>
  <c r="T2867" i="2" s="1"/>
  <c r="T2866" i="2" a="1"/>
  <c r="T2866" i="2" s="1"/>
  <c r="T2865" i="2" a="1"/>
  <c r="T2865" i="2" s="1"/>
  <c r="T2864" i="2" a="1"/>
  <c r="T2864" i="2" s="1"/>
  <c r="T2863" i="2"/>
  <c r="T2863" i="2" a="1"/>
  <c r="T2862" i="2"/>
  <c r="T2862" i="2" a="1"/>
  <c r="T2861" i="2"/>
  <c r="T2861" i="2" a="1"/>
  <c r="T2860" i="2" a="1"/>
  <c r="T2860" i="2" s="1"/>
  <c r="T2859" i="2" a="1"/>
  <c r="T2859" i="2" s="1"/>
  <c r="T2858" i="2"/>
  <c r="T2858" i="2" a="1"/>
  <c r="T2857" i="2"/>
  <c r="T2857" i="2" a="1"/>
  <c r="T2856" i="2" a="1"/>
  <c r="T2856" i="2" s="1"/>
  <c r="T2855" i="2" a="1"/>
  <c r="T2855" i="2" s="1"/>
  <c r="T2854" i="2" a="1"/>
  <c r="T2854" i="2" s="1"/>
  <c r="T2853" i="2" a="1"/>
  <c r="T2853" i="2" s="1"/>
  <c r="T2852" i="2" a="1"/>
  <c r="T2852" i="2" s="1"/>
  <c r="T2851" i="2" a="1"/>
  <c r="T2851" i="2" s="1"/>
  <c r="T2850" i="2"/>
  <c r="T2850" i="2" a="1"/>
  <c r="T2849" i="2"/>
  <c r="T2849" i="2" a="1"/>
  <c r="T2848" i="2"/>
  <c r="T2848" i="2" a="1"/>
  <c r="T2847" i="2" a="1"/>
  <c r="T2847" i="2" s="1"/>
  <c r="T2846" i="2" a="1"/>
  <c r="T2846" i="2" s="1"/>
  <c r="T2845" i="2" a="1"/>
  <c r="T2845" i="2" s="1"/>
  <c r="T2844" i="2"/>
  <c r="T2844" i="2" a="1"/>
  <c r="T2843" i="2" a="1"/>
  <c r="T2843" i="2" s="1"/>
  <c r="T2842" i="2" a="1"/>
  <c r="T2842" i="2" s="1"/>
  <c r="T2841" i="2" a="1"/>
  <c r="T2841" i="2" s="1"/>
  <c r="T2840" i="2"/>
  <c r="T2840" i="2" a="1"/>
  <c r="T2839" i="2"/>
  <c r="T2839" i="2" a="1"/>
  <c r="T2838" i="2" a="1"/>
  <c r="T2838" i="2" s="1"/>
  <c r="T2837" i="2"/>
  <c r="T2837" i="2" a="1"/>
  <c r="T2836" i="2"/>
  <c r="T2836" i="2" a="1"/>
  <c r="T2835" i="2" a="1"/>
  <c r="T2835" i="2" s="1"/>
  <c r="T2834" i="2" a="1"/>
  <c r="T2834" i="2" s="1"/>
  <c r="T2833" i="2" a="1"/>
  <c r="T2833" i="2" s="1"/>
  <c r="T2832" i="2" a="1"/>
  <c r="T2832" i="2" s="1"/>
  <c r="T2831" i="2" a="1"/>
  <c r="T2831" i="2" s="1"/>
  <c r="T2830" i="2" a="1"/>
  <c r="T2830" i="2" s="1"/>
  <c r="T2829" i="2" a="1"/>
  <c r="T2829" i="2" s="1"/>
  <c r="T2828" i="2"/>
  <c r="T2828" i="2" a="1"/>
  <c r="T2827" i="2"/>
  <c r="T2827" i="2" a="1"/>
  <c r="T2826" i="2" a="1"/>
  <c r="T2826" i="2" s="1"/>
  <c r="T2825" i="2" a="1"/>
  <c r="T2825" i="2" s="1"/>
  <c r="T2824" i="2"/>
  <c r="T2824" i="2" a="1"/>
  <c r="T2823" i="2" a="1"/>
  <c r="T2823" i="2" s="1"/>
  <c r="T2822" i="2" a="1"/>
  <c r="T2822" i="2" s="1"/>
  <c r="T2821" i="2"/>
  <c r="T2821" i="2" a="1"/>
  <c r="T2820" i="2"/>
  <c r="T2820" i="2" a="1"/>
  <c r="T2819" i="2" a="1"/>
  <c r="T2819" i="2" s="1"/>
  <c r="T2818" i="2" a="1"/>
  <c r="T2818" i="2" s="1"/>
  <c r="T2817" i="2" a="1"/>
  <c r="T2817" i="2" s="1"/>
  <c r="T2816" i="2"/>
  <c r="T2816" i="2" a="1"/>
  <c r="T2815" i="2" a="1"/>
  <c r="T2815" i="2" s="1"/>
  <c r="T2814" i="2" a="1"/>
  <c r="T2814" i="2" s="1"/>
  <c r="T2813" i="2"/>
  <c r="T2813" i="2" a="1"/>
  <c r="T2812" i="2"/>
  <c r="T2812" i="2" a="1"/>
  <c r="T2811" i="2" a="1"/>
  <c r="T2811" i="2" s="1"/>
  <c r="T2810" i="2" a="1"/>
  <c r="T2810" i="2" s="1"/>
  <c r="T2809" i="2" a="1"/>
  <c r="T2809" i="2" s="1"/>
  <c r="T2808" i="2"/>
  <c r="T2808" i="2" a="1"/>
  <c r="T2807" i="2"/>
  <c r="T2807" i="2" a="1"/>
  <c r="T2806" i="2" a="1"/>
  <c r="T2806" i="2" s="1"/>
  <c r="T2805" i="2" a="1"/>
  <c r="T2805" i="2" s="1"/>
  <c r="T2804" i="2"/>
  <c r="T2804" i="2" a="1"/>
  <c r="T2803" i="2"/>
  <c r="T2803" i="2" a="1"/>
  <c r="T2802" i="2" a="1"/>
  <c r="T2802" i="2" s="1"/>
  <c r="T2801" i="2" a="1"/>
  <c r="T2801" i="2" s="1"/>
  <c r="T2800" i="2" a="1"/>
  <c r="T2800" i="2" s="1"/>
  <c r="T2799" i="2" a="1"/>
  <c r="T2799" i="2" s="1"/>
  <c r="T2798" i="2" a="1"/>
  <c r="T2798" i="2" s="1"/>
  <c r="T2797" i="2" a="1"/>
  <c r="T2797" i="2" s="1"/>
  <c r="T2796" i="2" a="1"/>
  <c r="T2796" i="2" s="1"/>
  <c r="T2795" i="2" a="1"/>
  <c r="T2795" i="2" s="1"/>
  <c r="T2794" i="2"/>
  <c r="T2794" i="2" a="1"/>
  <c r="T2793" i="2" a="1"/>
  <c r="T2793" i="2" s="1"/>
  <c r="T2792" i="2" a="1"/>
  <c r="T2792" i="2" s="1"/>
  <c r="T2791" i="2"/>
  <c r="T2791" i="2" a="1"/>
  <c r="T2790" i="2"/>
  <c r="T2790" i="2" a="1"/>
  <c r="T2789" i="2" a="1"/>
  <c r="T2789" i="2" s="1"/>
  <c r="T2788" i="2" a="1"/>
  <c r="T2788" i="2" s="1"/>
  <c r="T2787" i="2" a="1"/>
  <c r="T2787" i="2" s="1"/>
  <c r="T2786" i="2"/>
  <c r="T2786" i="2" a="1"/>
  <c r="T2785" i="2" a="1"/>
  <c r="T2785" i="2" s="1"/>
  <c r="T2784" i="2" a="1"/>
  <c r="T2784" i="2" s="1"/>
  <c r="T2783" i="2" a="1"/>
  <c r="T2783" i="2" s="1"/>
  <c r="T2782" i="2"/>
  <c r="T2782" i="2" a="1"/>
  <c r="T2781" i="2" a="1"/>
  <c r="T2781" i="2" s="1"/>
  <c r="T2780" i="2" a="1"/>
  <c r="T2780" i="2" s="1"/>
  <c r="T2779" i="2" a="1"/>
  <c r="T2779" i="2" s="1"/>
  <c r="T2778" i="2"/>
  <c r="T2778" i="2" a="1"/>
  <c r="T2777" i="2"/>
  <c r="T2777" i="2" a="1"/>
  <c r="T2776" i="2"/>
  <c r="T2776" i="2" a="1"/>
  <c r="T2775" i="2" a="1"/>
  <c r="T2775" i="2" s="1"/>
  <c r="T2774" i="2"/>
  <c r="T2774" i="2" a="1"/>
  <c r="T2773" i="2"/>
  <c r="T2773" i="2" a="1"/>
  <c r="T2772" i="2"/>
  <c r="T2772" i="2" a="1"/>
  <c r="T2771" i="2" a="1"/>
  <c r="T2771" i="2" s="1"/>
  <c r="T2770" i="2" a="1"/>
  <c r="T2770" i="2" s="1"/>
  <c r="T2769" i="2" a="1"/>
  <c r="T2769" i="2" s="1"/>
  <c r="T2768" i="2"/>
  <c r="T2768" i="2" a="1"/>
  <c r="T2767" i="2" a="1"/>
  <c r="T2767" i="2" s="1"/>
  <c r="T2766" i="2"/>
  <c r="T2766" i="2" a="1"/>
  <c r="T2765" i="2"/>
  <c r="T2765" i="2" a="1"/>
  <c r="T2764" i="2"/>
  <c r="T2764" i="2" a="1"/>
  <c r="T2763" i="2" a="1"/>
  <c r="T2763" i="2" s="1"/>
  <c r="T2762" i="2" a="1"/>
  <c r="T2762" i="2" s="1"/>
  <c r="T2761" i="2"/>
  <c r="T2761" i="2" a="1"/>
  <c r="T2760" i="2" a="1"/>
  <c r="T2760" i="2" s="1"/>
  <c r="T2759" i="2"/>
  <c r="T2759" i="2" a="1"/>
  <c r="T2758" i="2" a="1"/>
  <c r="T2758" i="2" s="1"/>
  <c r="T2757" i="2" a="1"/>
  <c r="T2757" i="2" s="1"/>
  <c r="T2756" i="2" a="1"/>
  <c r="T2756" i="2" s="1"/>
  <c r="T2755" i="2"/>
  <c r="T2755" i="2" a="1"/>
  <c r="T2754" i="2"/>
  <c r="T2754" i="2" a="1"/>
  <c r="T2753" i="2" a="1"/>
  <c r="T2753" i="2" s="1"/>
  <c r="T2752" i="2"/>
  <c r="T2752" i="2" a="1"/>
  <c r="T2751" i="2" a="1"/>
  <c r="T2751" i="2" s="1"/>
  <c r="T2750" i="2" a="1"/>
  <c r="T2750" i="2" s="1"/>
  <c r="T2749" i="2" a="1"/>
  <c r="T2749" i="2" s="1"/>
  <c r="T2748" i="2" a="1"/>
  <c r="T2748" i="2" s="1"/>
  <c r="T2747" i="2" a="1"/>
  <c r="T2747" i="2" s="1"/>
  <c r="T2746" i="2"/>
  <c r="T2746" i="2" a="1"/>
  <c r="T2745" i="2" a="1"/>
  <c r="T2745" i="2" s="1"/>
  <c r="T2744" i="2"/>
  <c r="T2744" i="2" a="1"/>
  <c r="T2743" i="2" a="1"/>
  <c r="T2743" i="2" s="1"/>
  <c r="T2742" i="2" a="1"/>
  <c r="T2742" i="2" s="1"/>
  <c r="T2741" i="2"/>
  <c r="T2741" i="2" a="1"/>
  <c r="T2740" i="2"/>
  <c r="T2740" i="2" a="1"/>
  <c r="T2739" i="2" a="1"/>
  <c r="T2739" i="2" s="1"/>
  <c r="T2738" i="2" a="1"/>
  <c r="T2738" i="2" s="1"/>
  <c r="T2737" i="2" a="1"/>
  <c r="T2737" i="2" s="1"/>
  <c r="T2736" i="2"/>
  <c r="T2736" i="2" a="1"/>
  <c r="T2735" i="2" a="1"/>
  <c r="T2735" i="2" s="1"/>
  <c r="T2734" i="2" a="1"/>
  <c r="T2734" i="2" s="1"/>
  <c r="T2733" i="2" a="1"/>
  <c r="T2733" i="2" s="1"/>
  <c r="T2732" i="2"/>
  <c r="T2732" i="2" a="1"/>
  <c r="T2731" i="2"/>
  <c r="T2731" i="2" a="1"/>
  <c r="T2730" i="2" a="1"/>
  <c r="T2730" i="2" s="1"/>
  <c r="T2729" i="2" a="1"/>
  <c r="T2729" i="2" s="1"/>
  <c r="T2728" i="2" a="1"/>
  <c r="T2728" i="2" s="1"/>
  <c r="T2727" i="2" a="1"/>
  <c r="T2727" i="2" s="1"/>
  <c r="T2726" i="2" a="1"/>
  <c r="T2726" i="2" s="1"/>
  <c r="T2725" i="2" a="1"/>
  <c r="T2725" i="2" s="1"/>
  <c r="T2724" i="2" a="1"/>
  <c r="T2724" i="2" s="1"/>
  <c r="T2723" i="2"/>
  <c r="T2723" i="2" a="1"/>
  <c r="T2722" i="2"/>
  <c r="T2722" i="2" a="1"/>
  <c r="T2721" i="2" a="1"/>
  <c r="T2721" i="2" s="1"/>
  <c r="T2720" i="2" a="1"/>
  <c r="T2720" i="2" s="1"/>
  <c r="T2719" i="2"/>
  <c r="T2719" i="2" a="1"/>
  <c r="T2718" i="2"/>
  <c r="T2718" i="2" a="1"/>
  <c r="T2717" i="2" a="1"/>
  <c r="T2717" i="2" s="1"/>
  <c r="T2716" i="2" a="1"/>
  <c r="T2716" i="2" s="1"/>
  <c r="T2715" i="2" a="1"/>
  <c r="T2715" i="2" s="1"/>
  <c r="T2714" i="2" a="1"/>
  <c r="T2714" i="2" s="1"/>
  <c r="T2713" i="2" a="1"/>
  <c r="T2713" i="2" s="1"/>
  <c r="T2712" i="2" a="1"/>
  <c r="T2712" i="2" s="1"/>
  <c r="T2711" i="2" a="1"/>
  <c r="T2711" i="2" s="1"/>
  <c r="T2710" i="2"/>
  <c r="T2710" i="2" a="1"/>
  <c r="T2709" i="2" a="1"/>
  <c r="T2709" i="2" s="1"/>
  <c r="T2708" i="2" a="1"/>
  <c r="T2708" i="2" s="1"/>
  <c r="T2707" i="2" a="1"/>
  <c r="T2707" i="2" s="1"/>
  <c r="T2706" i="2"/>
  <c r="T2706" i="2" a="1"/>
  <c r="T2705" i="2"/>
  <c r="T2705" i="2" a="1"/>
  <c r="T2704" i="2" a="1"/>
  <c r="T2704" i="2" s="1"/>
  <c r="T2703" i="2" a="1"/>
  <c r="T2703" i="2" s="1"/>
  <c r="T2702" i="2"/>
  <c r="T2702" i="2" a="1"/>
  <c r="T2701" i="2"/>
  <c r="T2701" i="2" a="1"/>
  <c r="T2700" i="2" a="1"/>
  <c r="T2700" i="2" s="1"/>
  <c r="T2699" i="2" a="1"/>
  <c r="T2699" i="2" s="1"/>
  <c r="T2698" i="2" a="1"/>
  <c r="T2698" i="2" s="1"/>
  <c r="T2697" i="2" a="1"/>
  <c r="T2697" i="2" s="1"/>
  <c r="T2696" i="2" a="1"/>
  <c r="T2696" i="2" s="1"/>
  <c r="T2695" i="2" a="1"/>
  <c r="T2695" i="2" s="1"/>
  <c r="T2694" i="2" a="1"/>
  <c r="T2694" i="2" s="1"/>
  <c r="T2693" i="2"/>
  <c r="T2693" i="2" a="1"/>
  <c r="T2692" i="2"/>
  <c r="T2692" i="2" a="1"/>
  <c r="T2691" i="2" a="1"/>
  <c r="T2691" i="2" s="1"/>
  <c r="T2690" i="2"/>
  <c r="T2690" i="2" a="1"/>
  <c r="T2689" i="2" a="1"/>
  <c r="T2689" i="2" s="1"/>
  <c r="T2688" i="2"/>
  <c r="T2688" i="2" a="1"/>
  <c r="T2687" i="2"/>
  <c r="T2687" i="2" a="1"/>
  <c r="T2686" i="2" a="1"/>
  <c r="T2686" i="2" s="1"/>
  <c r="T2685" i="2" a="1"/>
  <c r="T2685" i="2" s="1"/>
  <c r="T2684" i="2"/>
  <c r="T2684" i="2" a="1"/>
  <c r="T2683" i="2"/>
  <c r="T2683" i="2" a="1"/>
  <c r="T2682" i="2" a="1"/>
  <c r="T2682" i="2" s="1"/>
  <c r="T2681" i="2"/>
  <c r="T2681" i="2" a="1"/>
  <c r="T2680" i="2"/>
  <c r="T2680" i="2" a="1"/>
  <c r="T2679" i="2" a="1"/>
  <c r="T2679" i="2" s="1"/>
  <c r="T2678" i="2" a="1"/>
  <c r="T2678" i="2" s="1"/>
  <c r="T2677" i="2"/>
  <c r="T2677" i="2" a="1"/>
  <c r="T2676" i="2"/>
  <c r="T2676" i="2" a="1"/>
  <c r="T2675" i="2" a="1"/>
  <c r="T2675" i="2" s="1"/>
  <c r="T2674" i="2"/>
  <c r="T2674" i="2" a="1"/>
  <c r="T2673" i="2" a="1"/>
  <c r="T2673" i="2" s="1"/>
  <c r="T2672" i="2"/>
  <c r="T2672" i="2" a="1"/>
  <c r="T2671" i="2" a="1"/>
  <c r="T2671" i="2" s="1"/>
  <c r="T2670" i="2" a="1"/>
  <c r="T2670" i="2" s="1"/>
  <c r="T2669" i="2" a="1"/>
  <c r="T2669" i="2" s="1"/>
  <c r="T2668" i="2" a="1"/>
  <c r="T2668" i="2" s="1"/>
  <c r="T2667" i="2" a="1"/>
  <c r="T2667" i="2" s="1"/>
  <c r="T2666" i="2" a="1"/>
  <c r="T2666" i="2" s="1"/>
  <c r="T2665" i="2" a="1"/>
  <c r="T2665" i="2" s="1"/>
  <c r="T2664" i="2" a="1"/>
  <c r="T2664" i="2" s="1"/>
  <c r="T2663" i="2"/>
  <c r="T2663" i="2" a="1"/>
  <c r="T2662" i="2"/>
  <c r="T2662" i="2" a="1"/>
  <c r="T2661" i="2" a="1"/>
  <c r="T2661" i="2" s="1"/>
  <c r="T2660" i="2"/>
  <c r="T2660" i="2" a="1"/>
  <c r="T2659" i="2"/>
  <c r="T2659" i="2" a="1"/>
  <c r="T2658" i="2" a="1"/>
  <c r="T2658" i="2" s="1"/>
  <c r="T2657" i="2" a="1"/>
  <c r="T2657" i="2" s="1"/>
  <c r="T2656" i="2"/>
  <c r="T2656" i="2" a="1"/>
  <c r="T2655" i="2" a="1"/>
  <c r="T2655" i="2" s="1"/>
  <c r="T2654" i="2" a="1"/>
  <c r="T2654" i="2" s="1"/>
  <c r="T2653" i="2" a="1"/>
  <c r="T2653" i="2" s="1"/>
  <c r="T2652" i="2" a="1"/>
  <c r="T2652" i="2" s="1"/>
  <c r="T2651" i="2"/>
  <c r="T2651" i="2" a="1"/>
  <c r="T2650" i="2" a="1"/>
  <c r="T2650" i="2" s="1"/>
  <c r="T2649" i="2" a="1"/>
  <c r="T2649" i="2" s="1"/>
  <c r="T2648" i="2"/>
  <c r="T2648" i="2" a="1"/>
  <c r="T2647" i="2"/>
  <c r="T2647" i="2" a="1"/>
  <c r="T2646" i="2"/>
  <c r="T2646" i="2" a="1"/>
  <c r="T2645" i="2" a="1"/>
  <c r="T2645" i="2" s="1"/>
  <c r="T2644" i="2" a="1"/>
  <c r="T2644" i="2" s="1"/>
  <c r="T2643" i="2" a="1"/>
  <c r="T2643" i="2" s="1"/>
  <c r="T2642" i="2" a="1"/>
  <c r="T2642" i="2" s="1"/>
  <c r="T2641" i="2" a="1"/>
  <c r="T2641" i="2" s="1"/>
  <c r="T2640" i="2" a="1"/>
  <c r="T2640" i="2" s="1"/>
  <c r="T2639" i="2" a="1"/>
  <c r="T2639" i="2" s="1"/>
  <c r="T2638" i="2"/>
  <c r="T2638" i="2" a="1"/>
  <c r="T2637" i="2" a="1"/>
  <c r="T2637" i="2" s="1"/>
  <c r="T2636" i="2" a="1"/>
  <c r="T2636" i="2" s="1"/>
  <c r="T2635" i="2" a="1"/>
  <c r="T2635" i="2" s="1"/>
  <c r="T2634" i="2"/>
  <c r="T2634" i="2" a="1"/>
  <c r="T2633" i="2"/>
  <c r="T2633" i="2" a="1"/>
  <c r="T2632" i="2" a="1"/>
  <c r="T2632" i="2" s="1"/>
  <c r="T2631" i="2" a="1"/>
  <c r="T2631" i="2" s="1"/>
  <c r="T2630" i="2"/>
  <c r="T2630" i="2" a="1"/>
  <c r="T2629" i="2" a="1"/>
  <c r="T2629" i="2" s="1"/>
  <c r="T2628" i="2" a="1"/>
  <c r="T2628" i="2" s="1"/>
  <c r="T2627" i="2" a="1"/>
  <c r="T2627" i="2" s="1"/>
  <c r="T2626" i="2" a="1"/>
  <c r="T2626" i="2" s="1"/>
  <c r="T2625" i="2" a="1"/>
  <c r="T2625" i="2" s="1"/>
  <c r="T2624" i="2" a="1"/>
  <c r="T2624" i="2" s="1"/>
  <c r="T2623" i="2" a="1"/>
  <c r="T2623" i="2" s="1"/>
  <c r="T2622" i="2" a="1"/>
  <c r="T2622" i="2" s="1"/>
  <c r="T2621" i="2"/>
  <c r="T2621" i="2" a="1"/>
  <c r="T2620" i="2"/>
  <c r="T2620" i="2" a="1"/>
  <c r="T2619" i="2" a="1"/>
  <c r="T2619" i="2" s="1"/>
  <c r="T2618" i="2" a="1"/>
  <c r="T2618" i="2" s="1"/>
  <c r="T2617" i="2"/>
  <c r="T2617" i="2" a="1"/>
  <c r="T2616" i="2"/>
  <c r="T2616" i="2" a="1"/>
  <c r="T2615" i="2" a="1"/>
  <c r="T2615" i="2" s="1"/>
  <c r="T2614" i="2" a="1"/>
  <c r="T2614" i="2" s="1"/>
  <c r="T2613" i="2" a="1"/>
  <c r="T2613" i="2" s="1"/>
  <c r="T2612" i="2"/>
  <c r="T2612" i="2" a="1"/>
  <c r="T2611" i="2" a="1"/>
  <c r="T2611" i="2" s="1"/>
  <c r="T2610" i="2"/>
  <c r="T2610" i="2" a="1"/>
  <c r="T2609" i="2"/>
  <c r="T2609" i="2" a="1"/>
  <c r="T2608" i="2"/>
  <c r="T2608" i="2" a="1"/>
  <c r="T2607" i="2" a="1"/>
  <c r="T2607" i="2" s="1"/>
  <c r="T2606" i="2" a="1"/>
  <c r="T2606" i="2" s="1"/>
  <c r="T2605" i="2"/>
  <c r="T2605" i="2" a="1"/>
  <c r="T2604" i="2" a="1"/>
  <c r="T2604" i="2" s="1"/>
  <c r="T2603" i="2"/>
  <c r="T2603" i="2" a="1"/>
  <c r="T2602" i="2"/>
  <c r="T2602" i="2" a="1"/>
  <c r="T2601" i="2" a="1"/>
  <c r="T2601" i="2" s="1"/>
  <c r="T2600" i="2"/>
  <c r="T2600" i="2" a="1"/>
  <c r="T2599" i="2" a="1"/>
  <c r="T2599" i="2" s="1"/>
  <c r="T2598" i="2"/>
  <c r="T2598" i="2" a="1"/>
  <c r="T2597" i="2" a="1"/>
  <c r="T2597" i="2" s="1"/>
  <c r="T2596" i="2" a="1"/>
  <c r="T2596" i="2" s="1"/>
  <c r="T2595" i="2" a="1"/>
  <c r="T2595" i="2" s="1"/>
  <c r="T2594" i="2" a="1"/>
  <c r="T2594" i="2" s="1"/>
  <c r="T2593" i="2" a="1"/>
  <c r="T2593" i="2" s="1"/>
  <c r="T2592" i="2" a="1"/>
  <c r="T2592" i="2" s="1"/>
  <c r="T2591" i="2"/>
  <c r="T2591" i="2" a="1"/>
  <c r="T2590" i="2"/>
  <c r="T2590" i="2" a="1"/>
  <c r="T2589" i="2" a="1"/>
  <c r="T2589" i="2" s="1"/>
  <c r="T2588" i="2"/>
  <c r="T2588" i="2" a="1"/>
  <c r="T2587" i="2"/>
  <c r="T2587" i="2" a="1"/>
  <c r="T2586" i="2" a="1"/>
  <c r="T2586" i="2" s="1"/>
  <c r="T2585" i="2" a="1"/>
  <c r="T2585" i="2" s="1"/>
  <c r="T2584" i="2" a="1"/>
  <c r="T2584" i="2" s="1"/>
  <c r="T2583" i="2" a="1"/>
  <c r="T2583" i="2" s="1"/>
  <c r="T2582" i="2"/>
  <c r="T2582" i="2" a="1"/>
  <c r="T2581" i="2" a="1"/>
  <c r="T2581" i="2" s="1"/>
  <c r="T2580" i="2" a="1"/>
  <c r="T2580" i="2" s="1"/>
  <c r="T2579" i="2" a="1"/>
  <c r="T2579" i="2" s="1"/>
  <c r="T2578" i="2" a="1"/>
  <c r="T2578" i="2" s="1"/>
  <c r="T2577" i="2" a="1"/>
  <c r="T2577" i="2" s="1"/>
  <c r="T2576" i="2" a="1"/>
  <c r="T2576" i="2" s="1"/>
  <c r="T2575" i="2"/>
  <c r="T2575" i="2" a="1"/>
  <c r="T2574" i="2"/>
  <c r="T2574" i="2" a="1"/>
  <c r="T2573" i="2" a="1"/>
  <c r="T2573" i="2" s="1"/>
  <c r="T2572" i="2" a="1"/>
  <c r="T2572" i="2" s="1"/>
  <c r="T2571" i="2" a="1"/>
  <c r="T2571" i="2" s="1"/>
  <c r="T2570" i="2" a="1"/>
  <c r="T2570" i="2" s="1"/>
  <c r="T2569" i="2" a="1"/>
  <c r="T2569" i="2" s="1"/>
  <c r="T2568" i="2" a="1"/>
  <c r="T2568" i="2" s="1"/>
  <c r="T2567" i="2" a="1"/>
  <c r="T2567" i="2" s="1"/>
  <c r="T2566" i="2"/>
  <c r="T2566" i="2" a="1"/>
  <c r="T2565" i="2" a="1"/>
  <c r="T2565" i="2" s="1"/>
  <c r="T2564" i="2" a="1"/>
  <c r="T2564" i="2" s="1"/>
  <c r="T2563" i="2" a="1"/>
  <c r="T2563" i="2" s="1"/>
  <c r="T2562" i="2"/>
  <c r="T2562" i="2" a="1"/>
  <c r="T2561" i="2"/>
  <c r="T2561" i="2" a="1"/>
  <c r="T2560" i="2" a="1"/>
  <c r="T2560" i="2" s="1"/>
  <c r="T2559" i="2" a="1"/>
  <c r="T2559" i="2" s="1"/>
  <c r="T2558" i="2" a="1"/>
  <c r="T2558" i="2" s="1"/>
  <c r="T2557" i="2" a="1"/>
  <c r="T2557" i="2" s="1"/>
  <c r="T2556" i="2" a="1"/>
  <c r="T2556" i="2" s="1"/>
  <c r="T2555" i="2" a="1"/>
  <c r="T2555" i="2" s="1"/>
  <c r="T2554" i="2" a="1"/>
  <c r="T2554" i="2" s="1"/>
  <c r="T2553" i="2" a="1"/>
  <c r="T2553" i="2" s="1"/>
  <c r="T2552" i="2" a="1"/>
  <c r="T2552" i="2" s="1"/>
  <c r="T2551" i="2" a="1"/>
  <c r="T2551" i="2" s="1"/>
  <c r="T2550" i="2"/>
  <c r="T2550" i="2" a="1"/>
  <c r="T2549" i="2"/>
  <c r="T2549" i="2" a="1"/>
  <c r="T2548" i="2"/>
  <c r="T2548" i="2" a="1"/>
  <c r="T2547" i="2" a="1"/>
  <c r="T2547" i="2" s="1"/>
  <c r="T2546" i="2"/>
  <c r="T2546" i="2" a="1"/>
  <c r="T2545" i="2"/>
  <c r="T2545" i="2" a="1"/>
  <c r="T2544" i="2" a="1"/>
  <c r="T2544" i="2" s="1"/>
  <c r="T2543" i="2" a="1"/>
  <c r="T2543" i="2" s="1"/>
  <c r="T2542" i="2" a="1"/>
  <c r="T2542" i="2" s="1"/>
  <c r="T2541" i="2" a="1"/>
  <c r="T2541" i="2" s="1"/>
  <c r="T2540" i="2" a="1"/>
  <c r="T2540" i="2" s="1"/>
  <c r="T2539" i="2"/>
  <c r="T2539" i="2" a="1"/>
  <c r="T2538" i="2"/>
  <c r="T2538" i="2" a="1"/>
  <c r="T2537" i="2"/>
  <c r="T2537" i="2" a="1"/>
  <c r="T2536" i="2"/>
  <c r="T2536" i="2" a="1"/>
  <c r="T2535" i="2" a="1"/>
  <c r="T2535" i="2" s="1"/>
  <c r="T2534" i="2" a="1"/>
  <c r="T2534" i="2" s="1"/>
  <c r="T2533" i="2" a="1"/>
  <c r="T2533" i="2" s="1"/>
  <c r="T2532" i="2"/>
  <c r="T2532" i="2" a="1"/>
  <c r="T2531" i="2"/>
  <c r="T2531" i="2" a="1"/>
  <c r="T2530" i="2"/>
  <c r="T2530" i="2" a="1"/>
  <c r="T2529" i="2" a="1"/>
  <c r="T2529" i="2" s="1"/>
  <c r="T2528" i="2"/>
  <c r="T2528" i="2" a="1"/>
  <c r="T2527" i="2" a="1"/>
  <c r="T2527" i="2" s="1"/>
  <c r="T2526" i="2" a="1"/>
  <c r="T2526" i="2" s="1"/>
  <c r="T2525" i="2" a="1"/>
  <c r="T2525" i="2" s="1"/>
  <c r="T2524" i="2" a="1"/>
  <c r="T2524" i="2" s="1"/>
  <c r="T2523" i="2" a="1"/>
  <c r="T2523" i="2" s="1"/>
  <c r="T2522" i="2" a="1"/>
  <c r="T2522" i="2" s="1"/>
  <c r="T2521" i="2" a="1"/>
  <c r="T2521" i="2" s="1"/>
  <c r="T2520" i="2" a="1"/>
  <c r="T2520" i="2" s="1"/>
  <c r="T2519" i="2" a="1"/>
  <c r="T2519" i="2" s="1"/>
  <c r="T2518" i="2"/>
  <c r="T2518" i="2" a="1"/>
  <c r="T2517" i="2" a="1"/>
  <c r="T2517" i="2" s="1"/>
  <c r="T2516" i="2"/>
  <c r="T2516" i="2" a="1"/>
  <c r="T2515" i="2"/>
  <c r="T2515" i="2" a="1"/>
  <c r="T2514" i="2"/>
  <c r="T2514" i="2" a="1"/>
  <c r="T2513" i="2"/>
  <c r="T2513" i="2" a="1"/>
  <c r="T2512" i="2" a="1"/>
  <c r="T2512" i="2" s="1"/>
  <c r="T2511" i="2" a="1"/>
  <c r="T2511" i="2" s="1"/>
  <c r="T2510" i="2"/>
  <c r="T2510" i="2" a="1"/>
  <c r="T2509" i="2" a="1"/>
  <c r="T2509" i="2" s="1"/>
  <c r="T2508" i="2" a="1"/>
  <c r="T2508" i="2" s="1"/>
  <c r="T2507" i="2" a="1"/>
  <c r="T2507" i="2" s="1"/>
  <c r="T2506" i="2" a="1"/>
  <c r="T2506" i="2" s="1"/>
  <c r="T2505" i="2" a="1"/>
  <c r="T2505" i="2" s="1"/>
  <c r="T2504" i="2" a="1"/>
  <c r="T2504" i="2" s="1"/>
  <c r="T2503" i="2"/>
  <c r="T2503" i="2" a="1"/>
  <c r="T2502" i="2"/>
  <c r="T2502" i="2" a="1"/>
  <c r="T2501" i="2"/>
  <c r="T2501" i="2" a="1"/>
  <c r="T2500" i="2"/>
  <c r="T2500" i="2" a="1"/>
  <c r="T2499" i="2" a="1"/>
  <c r="T2499" i="2" s="1"/>
  <c r="T2498" i="2" a="1"/>
  <c r="T2498" i="2" s="1"/>
  <c r="T2497" i="2"/>
  <c r="T2497" i="2" a="1"/>
  <c r="T2496" i="2" a="1"/>
  <c r="T2496" i="2" s="1"/>
  <c r="T2495" i="2" a="1"/>
  <c r="T2495" i="2" s="1"/>
  <c r="T2494" i="2" a="1"/>
  <c r="T2494" i="2" s="1"/>
  <c r="T2493" i="2" a="1"/>
  <c r="T2493" i="2" s="1"/>
  <c r="T2492" i="2"/>
  <c r="T2492" i="2" a="1"/>
  <c r="T2491" i="2"/>
  <c r="T2491" i="2" a="1"/>
  <c r="T2490" i="2"/>
  <c r="T2490" i="2" a="1"/>
  <c r="T2489" i="2"/>
  <c r="T2489" i="2" a="1"/>
  <c r="T2488" i="2" a="1"/>
  <c r="T2488" i="2" s="1"/>
  <c r="T2487" i="2" a="1"/>
  <c r="T2487" i="2" s="1"/>
  <c r="T2486" i="2" a="1"/>
  <c r="T2486" i="2" s="1"/>
  <c r="T2485" i="2"/>
  <c r="T2485" i="2" a="1"/>
  <c r="T2484" i="2"/>
  <c r="T2484" i="2" a="1"/>
  <c r="T2483" i="2" a="1"/>
  <c r="T2483" i="2" s="1"/>
  <c r="T2482" i="2" a="1"/>
  <c r="T2482" i="2" s="1"/>
  <c r="T2481" i="2" a="1"/>
  <c r="T2481" i="2" s="1"/>
  <c r="T2480" i="2" a="1"/>
  <c r="T2480" i="2" s="1"/>
  <c r="T2479" i="2"/>
  <c r="T2479" i="2" a="1"/>
  <c r="T2478" i="2" a="1"/>
  <c r="T2478" i="2" s="1"/>
  <c r="T2477" i="2"/>
  <c r="T2477" i="2" a="1"/>
  <c r="T2476" i="2"/>
  <c r="T2476" i="2" a="1"/>
  <c r="T2475" i="2" a="1"/>
  <c r="T2475" i="2" s="1"/>
  <c r="T2474" i="2"/>
  <c r="T2474" i="2" a="1"/>
  <c r="T2473" i="2"/>
  <c r="T2473" i="2" a="1"/>
  <c r="T2472" i="2" a="1"/>
  <c r="T2472" i="2" s="1"/>
  <c r="T2471" i="2" a="1"/>
  <c r="T2471" i="2" s="1"/>
  <c r="T2470" i="2" a="1"/>
  <c r="T2470" i="2" s="1"/>
  <c r="T2469" i="2" a="1"/>
  <c r="T2469" i="2" s="1"/>
  <c r="T2468" i="2"/>
  <c r="T2468" i="2" a="1"/>
  <c r="T2467" i="2"/>
  <c r="T2467" i="2" a="1"/>
  <c r="T2466" i="2"/>
  <c r="T2466" i="2" a="1"/>
  <c r="T2465" i="2" a="1"/>
  <c r="T2465" i="2" s="1"/>
  <c r="T2464" i="2"/>
  <c r="T2464" i="2" a="1"/>
  <c r="T2463" i="2" a="1"/>
  <c r="T2463" i="2" s="1"/>
  <c r="T2462" i="2" a="1"/>
  <c r="T2462" i="2" s="1"/>
  <c r="T2461" i="2"/>
  <c r="T2461" i="2" a="1"/>
  <c r="T2460" i="2"/>
  <c r="T2460" i="2" a="1"/>
  <c r="T2459" i="2"/>
  <c r="T2459" i="2" a="1"/>
  <c r="T2458" i="2" a="1"/>
  <c r="T2458" i="2" s="1"/>
  <c r="T2457" i="2" a="1"/>
  <c r="T2457" i="2" s="1"/>
  <c r="T2456" i="2"/>
  <c r="T2456" i="2" a="1"/>
  <c r="T2455" i="2"/>
  <c r="T2455" i="2" a="1"/>
  <c r="T2454" i="2" a="1"/>
  <c r="T2454" i="2" s="1"/>
  <c r="T2453" i="2" a="1"/>
  <c r="T2453" i="2" s="1"/>
  <c r="T2452" i="2" a="1"/>
  <c r="T2452" i="2" s="1"/>
  <c r="T2451" i="2" a="1"/>
  <c r="T2451" i="2" s="1"/>
  <c r="T2450" i="2" a="1"/>
  <c r="T2450" i="2" s="1"/>
  <c r="T2449" i="2" a="1"/>
  <c r="T2449" i="2" s="1"/>
  <c r="T2448" i="2" a="1"/>
  <c r="T2448" i="2" s="1"/>
  <c r="T2447" i="2"/>
  <c r="T2447" i="2" a="1"/>
  <c r="T2446" i="2"/>
  <c r="T2446" i="2" a="1"/>
  <c r="T2445" i="2" a="1"/>
  <c r="T2445" i="2" s="1"/>
  <c r="T2444" i="2"/>
  <c r="T2444" i="2" a="1"/>
  <c r="T2443" i="2"/>
  <c r="T2443" i="2" a="1"/>
  <c r="T2442" i="2" a="1"/>
  <c r="T2442" i="2" s="1"/>
  <c r="T2441" i="2"/>
  <c r="T2441" i="2" a="1"/>
  <c r="T2440" i="2" a="1"/>
  <c r="T2440" i="2" s="1"/>
  <c r="T2439" i="2" a="1"/>
  <c r="T2439" i="2" s="1"/>
  <c r="T2438" i="2" a="1"/>
  <c r="T2438" i="2" s="1"/>
  <c r="T2437" i="2" a="1"/>
  <c r="T2437" i="2" s="1"/>
  <c r="T2436" i="2" a="1"/>
  <c r="T2436" i="2" s="1"/>
  <c r="T2435" i="2" a="1"/>
  <c r="T2435" i="2" s="1"/>
  <c r="T2434" i="2"/>
  <c r="T2434" i="2" a="1"/>
  <c r="T2433" i="2" a="1"/>
  <c r="T2433" i="2" s="1"/>
  <c r="T2432" i="2" a="1"/>
  <c r="T2432" i="2" s="1"/>
  <c r="T2431" i="2"/>
  <c r="T2431" i="2" a="1"/>
  <c r="T2430" i="2"/>
  <c r="T2430" i="2" a="1"/>
  <c r="T2429" i="2" a="1"/>
  <c r="T2429" i="2" s="1"/>
  <c r="T2428" i="2"/>
  <c r="T2428" i="2" a="1"/>
  <c r="T2427" i="2" a="1"/>
  <c r="T2427" i="2" s="1"/>
  <c r="T2426" i="2"/>
  <c r="T2426" i="2" a="1"/>
  <c r="T2425" i="2"/>
  <c r="T2425" i="2" a="1"/>
  <c r="T2424" i="2" a="1"/>
  <c r="T2424" i="2" s="1"/>
  <c r="T2423" i="2" a="1"/>
  <c r="T2423" i="2" s="1"/>
  <c r="T2422" i="2" a="1"/>
  <c r="T2422" i="2" s="1"/>
  <c r="T2421" i="2" a="1"/>
  <c r="T2421" i="2" s="1"/>
  <c r="T2420" i="2" a="1"/>
  <c r="T2420" i="2" s="1"/>
  <c r="T2419" i="2" a="1"/>
  <c r="T2419" i="2" s="1"/>
  <c r="T2418" i="2"/>
  <c r="T2418" i="2" a="1"/>
  <c r="T2417" i="2"/>
  <c r="T2417" i="2" a="1"/>
  <c r="T2416" i="2" a="1"/>
  <c r="T2416" i="2" s="1"/>
  <c r="T2415" i="2" a="1"/>
  <c r="T2415" i="2" s="1"/>
  <c r="T2414" i="2" a="1"/>
  <c r="T2414" i="2" s="1"/>
  <c r="T2413" i="2" a="1"/>
  <c r="T2413" i="2" s="1"/>
  <c r="T2412" i="2"/>
  <c r="T2412" i="2" a="1"/>
  <c r="T2411" i="2" a="1"/>
  <c r="T2411" i="2" s="1"/>
  <c r="T2410" i="2" a="1"/>
  <c r="T2410" i="2" s="1"/>
  <c r="T2409" i="2" a="1"/>
  <c r="T2409" i="2" s="1"/>
  <c r="T2408" i="2" a="1"/>
  <c r="T2408" i="2" s="1"/>
  <c r="T2407" i="2" a="1"/>
  <c r="T2407" i="2" s="1"/>
  <c r="T2406" i="2" a="1"/>
  <c r="T2406" i="2" s="1"/>
  <c r="T2405" i="2"/>
  <c r="T2405" i="2" a="1"/>
  <c r="T2404" i="2"/>
  <c r="T2404" i="2" a="1"/>
  <c r="T2403" i="2" a="1"/>
  <c r="T2403" i="2" s="1"/>
  <c r="T2402" i="2" a="1"/>
  <c r="T2402" i="2" s="1"/>
  <c r="T2401" i="2" a="1"/>
  <c r="T2401" i="2" s="1"/>
  <c r="T2400" i="2" a="1"/>
  <c r="T2400" i="2" s="1"/>
  <c r="T2399" i="2" a="1"/>
  <c r="T2399" i="2" s="1"/>
  <c r="T2398" i="2" a="1"/>
  <c r="T2398" i="2" s="1"/>
  <c r="T2397" i="2" a="1"/>
  <c r="T2397" i="2" s="1"/>
  <c r="T2396" i="2"/>
  <c r="T2396" i="2" a="1"/>
  <c r="T2395" i="2" a="1"/>
  <c r="T2395" i="2" s="1"/>
  <c r="T2394" i="2" a="1"/>
  <c r="T2394" i="2" s="1"/>
  <c r="T2393" i="2"/>
  <c r="T2393" i="2" a="1"/>
  <c r="T2392" i="2"/>
  <c r="T2392" i="2" a="1"/>
  <c r="T2391" i="2" a="1"/>
  <c r="T2391" i="2" s="1"/>
  <c r="T2390" i="2" a="1"/>
  <c r="T2390" i="2" s="1"/>
  <c r="T2389" i="2"/>
  <c r="T2389" i="2" a="1"/>
  <c r="T2388" i="2" a="1"/>
  <c r="T2388" i="2" s="1"/>
  <c r="T2387" i="2" a="1"/>
  <c r="T2387" i="2" s="1"/>
  <c r="T2386" i="2" a="1"/>
  <c r="T2386" i="2" s="1"/>
  <c r="T2385" i="2" a="1"/>
  <c r="T2385" i="2" s="1"/>
  <c r="T2384" i="2"/>
  <c r="T2384" i="2" a="1"/>
  <c r="T2383" i="2" a="1"/>
  <c r="T2383" i="2" s="1"/>
  <c r="T2382" i="2" a="1"/>
  <c r="T2382" i="2" s="1"/>
  <c r="T2381" i="2"/>
  <c r="T2381" i="2" a="1"/>
  <c r="T2380" i="2" a="1"/>
  <c r="T2380" i="2" s="1"/>
  <c r="T2379" i="2" a="1"/>
  <c r="T2379" i="2" s="1"/>
  <c r="T2378" i="2" a="1"/>
  <c r="T2378" i="2" s="1"/>
  <c r="T2377" i="2" a="1"/>
  <c r="T2377" i="2" s="1"/>
  <c r="T2376" i="2"/>
  <c r="T2376" i="2" a="1"/>
  <c r="T2375" i="2"/>
  <c r="T2375" i="2" a="1"/>
  <c r="T2374" i="2" a="1"/>
  <c r="T2374" i="2" s="1"/>
  <c r="T2373" i="2" a="1"/>
  <c r="T2373" i="2" s="1"/>
  <c r="T2372" i="2"/>
  <c r="T2372" i="2" a="1"/>
  <c r="T2371" i="2"/>
  <c r="T2371" i="2" a="1"/>
  <c r="T2370" i="2"/>
  <c r="T2370" i="2" a="1"/>
  <c r="T2369" i="2" a="1"/>
  <c r="T2369" i="2" s="1"/>
  <c r="T2368" i="2" a="1"/>
  <c r="T2368" i="2" s="1"/>
  <c r="T2367" i="2" a="1"/>
  <c r="T2367" i="2" s="1"/>
  <c r="T2366" i="2" a="1"/>
  <c r="T2366" i="2" s="1"/>
  <c r="T2365" i="2" a="1"/>
  <c r="T2365" i="2" s="1"/>
  <c r="T2364" i="2" a="1"/>
  <c r="T2364" i="2" s="1"/>
  <c r="T2363" i="2" a="1"/>
  <c r="T2363" i="2" s="1"/>
  <c r="T2362" i="2"/>
  <c r="T2362" i="2" a="1"/>
  <c r="T2361" i="2" a="1"/>
  <c r="T2361" i="2" s="1"/>
  <c r="T2360" i="2" a="1"/>
  <c r="T2360" i="2" s="1"/>
  <c r="T2359" i="2"/>
  <c r="T2359" i="2" a="1"/>
  <c r="T2358" i="2"/>
  <c r="T2358" i="2" a="1"/>
  <c r="T2357" i="2" a="1"/>
  <c r="T2357" i="2" s="1"/>
  <c r="T2356" i="2" a="1"/>
  <c r="T2356" i="2" s="1"/>
  <c r="T2355" i="2" a="1"/>
  <c r="T2355" i="2" s="1"/>
  <c r="T2354" i="2"/>
  <c r="T2354" i="2" a="1"/>
  <c r="T2353" i="2"/>
  <c r="T2353" i="2" a="1"/>
  <c r="T2352" i="2" a="1"/>
  <c r="T2352" i="2" s="1"/>
  <c r="T2351" i="2" a="1"/>
  <c r="T2351" i="2" s="1"/>
  <c r="T2350" i="2"/>
  <c r="T2350" i="2" a="1"/>
  <c r="T2349" i="2" a="1"/>
  <c r="T2349" i="2" s="1"/>
  <c r="T2348" i="2" a="1"/>
  <c r="T2348" i="2" s="1"/>
  <c r="T2347" i="2" a="1"/>
  <c r="T2347" i="2" s="1"/>
  <c r="T2346" i="2"/>
  <c r="T2346" i="2" a="1"/>
  <c r="T2345" i="2"/>
  <c r="T2345" i="2" a="1"/>
  <c r="T2344" i="2"/>
  <c r="T2344" i="2" a="1"/>
  <c r="T2343" i="2" a="1"/>
  <c r="T2343" i="2" s="1"/>
  <c r="T2342" i="2" a="1"/>
  <c r="T2342" i="2" s="1"/>
  <c r="T2341" i="2"/>
  <c r="T2341" i="2" a="1"/>
  <c r="T2340" i="2"/>
  <c r="T2340" i="2" a="1"/>
  <c r="T2339" i="2" a="1"/>
  <c r="T2339" i="2" s="1"/>
  <c r="T2338" i="2" a="1"/>
  <c r="T2338" i="2" s="1"/>
  <c r="T2337" i="2" a="1"/>
  <c r="T2337" i="2" s="1"/>
  <c r="T2336" i="2"/>
  <c r="T2336" i="2" a="1"/>
  <c r="T2335" i="2"/>
  <c r="T2335" i="2" a="1"/>
  <c r="T2334" i="2" a="1"/>
  <c r="T2334" i="2" s="1"/>
  <c r="T2333" i="2"/>
  <c r="T2333" i="2" a="1"/>
  <c r="T2332" i="2"/>
  <c r="T2332" i="2" a="1"/>
  <c r="T2331" i="2" a="1"/>
  <c r="T2331" i="2" s="1"/>
  <c r="T2330" i="2" a="1"/>
  <c r="T2330" i="2" s="1"/>
  <c r="T2329" i="2" a="1"/>
  <c r="T2329" i="2" s="1"/>
  <c r="T2328" i="2" a="1"/>
  <c r="T2328" i="2" s="1"/>
  <c r="T2327" i="2"/>
  <c r="T2327" i="2" a="1"/>
  <c r="T2326" i="2" a="1"/>
  <c r="T2326" i="2" s="1"/>
  <c r="T2325" i="2" a="1"/>
  <c r="T2325" i="2" s="1"/>
  <c r="T2324" i="2" a="1"/>
  <c r="T2324" i="2" s="1"/>
  <c r="T2323" i="2" a="1"/>
  <c r="T2323" i="2" s="1"/>
  <c r="T2322" i="2" a="1"/>
  <c r="T2322" i="2" s="1"/>
  <c r="T2321" i="2" a="1"/>
  <c r="T2321" i="2" s="1"/>
  <c r="T2320" i="2"/>
  <c r="T2320" i="2" a="1"/>
  <c r="T2319" i="2" a="1"/>
  <c r="T2319" i="2" s="1"/>
  <c r="T2318" i="2" a="1"/>
  <c r="T2318" i="2" s="1"/>
  <c r="T2317" i="2"/>
  <c r="T2317" i="2" a="1"/>
  <c r="T2316" i="2" a="1"/>
  <c r="T2316" i="2" s="1"/>
  <c r="T2315" i="2" a="1"/>
  <c r="T2315" i="2" s="1"/>
  <c r="T2314" i="2" a="1"/>
  <c r="T2314" i="2" s="1"/>
  <c r="T2313" i="2" a="1"/>
  <c r="T2313" i="2" s="1"/>
  <c r="T2312" i="2"/>
  <c r="T2312" i="2" a="1"/>
  <c r="T2311" i="2" a="1"/>
  <c r="T2311" i="2" s="1"/>
  <c r="T2310" i="2"/>
  <c r="T2310" i="2" a="1"/>
  <c r="T2309" i="2"/>
  <c r="T2309" i="2" a="1"/>
  <c r="T2308" i="2" a="1"/>
  <c r="T2308" i="2" s="1"/>
  <c r="T2307" i="2" a="1"/>
  <c r="T2307" i="2" s="1"/>
  <c r="T2306" i="2" a="1"/>
  <c r="T2306" i="2" s="1"/>
  <c r="T2305" i="2" a="1"/>
  <c r="T2305" i="2" s="1"/>
  <c r="T2304" i="2"/>
  <c r="T2304" i="2" a="1"/>
  <c r="T2303" i="2" a="1"/>
  <c r="T2303" i="2" s="1"/>
  <c r="T2302" i="2"/>
  <c r="T2302" i="2" a="1"/>
  <c r="T2301" i="2" a="1"/>
  <c r="T2301" i="2" s="1"/>
  <c r="T2300" i="2"/>
  <c r="T2300" i="2" a="1"/>
  <c r="T2299" i="2"/>
  <c r="T2299" i="2" a="1"/>
  <c r="T2298" i="2" a="1"/>
  <c r="T2298" i="2" s="1"/>
  <c r="T2297" i="2" a="1"/>
  <c r="T2297" i="2" s="1"/>
  <c r="T2296" i="2" a="1"/>
  <c r="T2296" i="2" s="1"/>
  <c r="T2295" i="2" a="1"/>
  <c r="T2295" i="2" s="1"/>
  <c r="T2294" i="2"/>
  <c r="T2294" i="2" a="1"/>
  <c r="T2293" i="2" a="1"/>
  <c r="T2293" i="2" s="1"/>
  <c r="T2292" i="2" a="1"/>
  <c r="T2292" i="2" s="1"/>
  <c r="T2291" i="2"/>
  <c r="T2291" i="2" a="1"/>
  <c r="T2290" i="2"/>
  <c r="T2290" i="2" a="1"/>
  <c r="T2289" i="2" a="1"/>
  <c r="T2289" i="2" s="1"/>
  <c r="T2288" i="2" a="1"/>
  <c r="T2288" i="2" s="1"/>
  <c r="T2287" i="2"/>
  <c r="T2287" i="2" a="1"/>
  <c r="T2286" i="2"/>
  <c r="T2286" i="2" a="1"/>
  <c r="T2285" i="2" a="1"/>
  <c r="T2285" i="2" s="1"/>
  <c r="T2284" i="2" a="1"/>
  <c r="T2284" i="2" s="1"/>
  <c r="T2283" i="2" a="1"/>
  <c r="T2283" i="2" s="1"/>
  <c r="T2282" i="2" a="1"/>
  <c r="T2282" i="2" s="1"/>
  <c r="T2281" i="2" a="1"/>
  <c r="T2281" i="2" s="1"/>
  <c r="T2280" i="2" a="1"/>
  <c r="T2280" i="2" s="1"/>
  <c r="T2279" i="2" a="1"/>
  <c r="T2279" i="2" s="1"/>
  <c r="T2278" i="2" a="1"/>
  <c r="T2278" i="2" s="1"/>
  <c r="T2277" i="2" a="1"/>
  <c r="T2277" i="2" s="1"/>
  <c r="T2276" i="2" a="1"/>
  <c r="T2276" i="2" s="1"/>
  <c r="T2275" i="2" a="1"/>
  <c r="T2275" i="2" s="1"/>
  <c r="T2274" i="2"/>
  <c r="T2274" i="2" a="1"/>
  <c r="T2273" i="2"/>
  <c r="T2273" i="2" a="1"/>
  <c r="T2272" i="2" a="1"/>
  <c r="T2272" i="2" s="1"/>
  <c r="T2271" i="2" a="1"/>
  <c r="T2271" i="2" s="1"/>
  <c r="T2270" i="2"/>
  <c r="T2270" i="2" a="1"/>
  <c r="T2269" i="2"/>
  <c r="T2269" i="2" a="1"/>
  <c r="T2268" i="2" a="1"/>
  <c r="T2268" i="2" s="1"/>
  <c r="T2267" i="2" a="1"/>
  <c r="T2267" i="2" s="1"/>
  <c r="T2266" i="2" a="1"/>
  <c r="T2266" i="2" s="1"/>
  <c r="T2265" i="2" a="1"/>
  <c r="T2265" i="2" s="1"/>
  <c r="T2264" i="2" a="1"/>
  <c r="T2264" i="2" s="1"/>
  <c r="T2263" i="2" a="1"/>
  <c r="T2263" i="2" s="1"/>
  <c r="T2262" i="2" a="1"/>
  <c r="T2262" i="2" s="1"/>
  <c r="T2261" i="2"/>
  <c r="T2261" i="2" a="1"/>
  <c r="T2260" i="2"/>
  <c r="T2260" i="2" a="1"/>
  <c r="T2259" i="2" a="1"/>
  <c r="T2259" i="2" s="1"/>
  <c r="T2258" i="2" a="1"/>
  <c r="T2258" i="2" s="1"/>
  <c r="T2257" i="2" a="1"/>
  <c r="T2257" i="2" s="1"/>
  <c r="T2256" i="2"/>
  <c r="T2256" i="2" a="1"/>
  <c r="T2255" i="2"/>
  <c r="T2255" i="2" a="1"/>
  <c r="T2254" i="2" a="1"/>
  <c r="T2254" i="2" s="1"/>
  <c r="T2253" i="2" a="1"/>
  <c r="T2253" i="2" s="1"/>
  <c r="T2252" i="2" a="1"/>
  <c r="T2252" i="2" s="1"/>
  <c r="T2251" i="2" a="1"/>
  <c r="T2251" i="2" s="1"/>
  <c r="T2250" i="2" a="1"/>
  <c r="T2250" i="2" s="1"/>
  <c r="T2249" i="2"/>
  <c r="T2249" i="2" a="1"/>
  <c r="T2248" i="2"/>
  <c r="T2248" i="2" a="1"/>
  <c r="T2247" i="2" a="1"/>
  <c r="T2247" i="2" s="1"/>
  <c r="T2246" i="2" a="1"/>
  <c r="T2246" i="2" s="1"/>
  <c r="T2245" i="2" a="1"/>
  <c r="T2245" i="2" s="1"/>
  <c r="T2244" i="2" a="1"/>
  <c r="T2244" i="2" s="1"/>
  <c r="T2243" i="2"/>
  <c r="T2243" i="2" a="1"/>
  <c r="T2242" i="2"/>
  <c r="T2242" i="2" a="1"/>
  <c r="T2241" i="2" a="1"/>
  <c r="T2241" i="2" s="1"/>
  <c r="T2240" i="2"/>
  <c r="T2240" i="2" a="1"/>
  <c r="T2239" i="2" a="1"/>
  <c r="T2239" i="2" s="1"/>
  <c r="T2238" i="2" a="1"/>
  <c r="T2238" i="2" s="1"/>
  <c r="T2237" i="2" a="1"/>
  <c r="T2237" i="2" s="1"/>
  <c r="T2236" i="2" a="1"/>
  <c r="T2236" i="2" s="1"/>
  <c r="T2235" i="2" a="1"/>
  <c r="T2235" i="2" s="1"/>
  <c r="T2234" i="2" a="1"/>
  <c r="T2234" i="2" s="1"/>
  <c r="T2233" i="2" a="1"/>
  <c r="T2233" i="2" s="1"/>
  <c r="T2232" i="2"/>
  <c r="T2232" i="2" a="1"/>
  <c r="T2231" i="2" a="1"/>
  <c r="T2231" i="2" s="1"/>
  <c r="T2230" i="2" a="1"/>
  <c r="T2230" i="2" s="1"/>
  <c r="T2229" i="2" a="1"/>
  <c r="T2229" i="2" s="1"/>
  <c r="T2228" i="2" a="1"/>
  <c r="T2228" i="2" s="1"/>
  <c r="T2227" i="2" a="1"/>
  <c r="T2227" i="2" s="1"/>
  <c r="T2226" i="2"/>
  <c r="T2226" i="2" a="1"/>
  <c r="T2225" i="2"/>
  <c r="T2225" i="2" a="1"/>
  <c r="T2224" i="2" a="1"/>
  <c r="T2224" i="2" s="1"/>
  <c r="T2223" i="2" a="1"/>
  <c r="T2223" i="2" s="1"/>
  <c r="T2222" i="2" a="1"/>
  <c r="T2222" i="2" s="1"/>
  <c r="T2221" i="2" a="1"/>
  <c r="T2221" i="2" s="1"/>
  <c r="T2220" i="2"/>
  <c r="T2220" i="2" a="1"/>
  <c r="T2219" i="2"/>
  <c r="T2219" i="2" a="1"/>
  <c r="T2218" i="2"/>
  <c r="T2218" i="2" a="1"/>
  <c r="T2217" i="2" a="1"/>
  <c r="T2217" i="2" s="1"/>
  <c r="T2216" i="2" a="1"/>
  <c r="T2216" i="2" s="1"/>
  <c r="T2215" i="2" a="1"/>
  <c r="T2215" i="2" s="1"/>
  <c r="T2214" i="2" a="1"/>
  <c r="T2214" i="2" s="1"/>
  <c r="T2213" i="2"/>
  <c r="T2213" i="2" a="1"/>
  <c r="T2212" i="2"/>
  <c r="T2212" i="2" a="1"/>
  <c r="T2211" i="2"/>
  <c r="T2211" i="2" a="1"/>
  <c r="T2210" i="2" a="1"/>
  <c r="T2210" i="2" s="1"/>
  <c r="T2209" i="2" a="1"/>
  <c r="T2209" i="2" s="1"/>
  <c r="T2208" i="2" a="1"/>
  <c r="T2208" i="2" s="1"/>
  <c r="T2207" i="2"/>
  <c r="T2207" i="2" a="1"/>
  <c r="T2206" i="2"/>
  <c r="T2206" i="2" a="1"/>
  <c r="T2205" i="2"/>
  <c r="T2205" i="2" a="1"/>
  <c r="T2204" i="2" a="1"/>
  <c r="T2204" i="2" s="1"/>
  <c r="T2203" i="2" a="1"/>
  <c r="T2203" i="2" s="1"/>
  <c r="T2202" i="2" a="1"/>
  <c r="T2202" i="2" s="1"/>
  <c r="T2201" i="2" a="1"/>
  <c r="T2201" i="2" s="1"/>
  <c r="T2200" i="2" a="1"/>
  <c r="T2200" i="2" s="1"/>
  <c r="T2199" i="2"/>
  <c r="T2199" i="2" a="1"/>
  <c r="T2198" i="2" a="1"/>
  <c r="T2198" i="2" s="1"/>
  <c r="T2197" i="2" a="1"/>
  <c r="T2197" i="2" s="1"/>
  <c r="T2196" i="2"/>
  <c r="T2196" i="2" a="1"/>
  <c r="T2195" i="2" a="1"/>
  <c r="T2195" i="2" s="1"/>
  <c r="T2194" i="2" a="1"/>
  <c r="T2194" i="2" s="1"/>
  <c r="T2193" i="2"/>
  <c r="T2193" i="2" a="1"/>
  <c r="T2192" i="2" a="1"/>
  <c r="T2192" i="2" s="1"/>
  <c r="T2191" i="2" a="1"/>
  <c r="T2191" i="2" s="1"/>
  <c r="T2190" i="2"/>
  <c r="T2190" i="2" a="1"/>
  <c r="T2189" i="2"/>
  <c r="T2189" i="2" a="1"/>
  <c r="T2188" i="2" a="1"/>
  <c r="T2188" i="2" s="1"/>
  <c r="T2187" i="2" a="1"/>
  <c r="T2187" i="2" s="1"/>
  <c r="T2186" i="2" a="1"/>
  <c r="T2186" i="2" s="1"/>
  <c r="T2185" i="2" a="1"/>
  <c r="T2185" i="2" s="1"/>
  <c r="T2184" i="2"/>
  <c r="T2184" i="2" a="1"/>
  <c r="T2183" i="2"/>
  <c r="T2183" i="2" a="1"/>
  <c r="T2182" i="2"/>
  <c r="T2182" i="2" a="1"/>
  <c r="T2181" i="2" a="1"/>
  <c r="T2181" i="2" s="1"/>
  <c r="T2180" i="2" a="1"/>
  <c r="T2180" i="2" s="1"/>
  <c r="T2179" i="2" a="1"/>
  <c r="T2179" i="2" s="1"/>
  <c r="T2178" i="2" a="1"/>
  <c r="T2178" i="2" s="1"/>
  <c r="T2177" i="2"/>
  <c r="T2177" i="2" a="1"/>
  <c r="T2176" i="2"/>
  <c r="T2176" i="2" a="1"/>
  <c r="T2175" i="2"/>
  <c r="T2175" i="2" a="1"/>
  <c r="T2174" i="2" a="1"/>
  <c r="T2174" i="2" s="1"/>
  <c r="T2173" i="2" a="1"/>
  <c r="T2173" i="2" s="1"/>
  <c r="T2172" i="2" a="1"/>
  <c r="T2172" i="2" s="1"/>
  <c r="T2171" i="2" a="1"/>
  <c r="T2171" i="2" s="1"/>
  <c r="T2170" i="2"/>
  <c r="T2170" i="2" a="1"/>
  <c r="T2169" i="2"/>
  <c r="T2169" i="2" a="1"/>
  <c r="T2168" i="2" a="1"/>
  <c r="T2168" i="2" s="1"/>
  <c r="T2167" i="2" a="1"/>
  <c r="T2167" i="2" s="1"/>
  <c r="T2166" i="2" a="1"/>
  <c r="T2166" i="2" s="1"/>
  <c r="T2165" i="2" a="1"/>
  <c r="T2165" i="2" s="1"/>
  <c r="T2164" i="2" a="1"/>
  <c r="T2164" i="2" s="1"/>
  <c r="T2163" i="2"/>
  <c r="T2163" i="2" a="1"/>
  <c r="T2162" i="2" a="1"/>
  <c r="T2162" i="2" s="1"/>
  <c r="T2161" i="2" a="1"/>
  <c r="T2161" i="2" s="1"/>
  <c r="T2160" i="2"/>
  <c r="T2160" i="2" a="1"/>
  <c r="T2159" i="2" a="1"/>
  <c r="T2159" i="2" s="1"/>
  <c r="T2158" i="2" a="1"/>
  <c r="T2158" i="2" s="1"/>
  <c r="T2157" i="2" a="1"/>
  <c r="T2157" i="2" s="1"/>
  <c r="T2156" i="2" a="1"/>
  <c r="T2156" i="2" s="1"/>
  <c r="T2155" i="2" a="1"/>
  <c r="T2155" i="2" s="1"/>
  <c r="T2154" i="2"/>
  <c r="T2154" i="2" a="1"/>
  <c r="T2153" i="2"/>
  <c r="T2153" i="2" a="1"/>
  <c r="T2152" i="2" a="1"/>
  <c r="T2152" i="2" s="1"/>
  <c r="T2151" i="2" a="1"/>
  <c r="T2151" i="2" s="1"/>
  <c r="T2150" i="2" a="1"/>
  <c r="T2150" i="2" s="1"/>
  <c r="T2149" i="2" a="1"/>
  <c r="T2149" i="2" s="1"/>
  <c r="T2148" i="2"/>
  <c r="T2148" i="2" a="1"/>
  <c r="T2147" i="2"/>
  <c r="T2147" i="2" a="1"/>
  <c r="T2146" i="2"/>
  <c r="T2146" i="2" a="1"/>
  <c r="T2145" i="2" a="1"/>
  <c r="T2145" i="2" s="1"/>
  <c r="T2144" i="2" a="1"/>
  <c r="T2144" i="2" s="1"/>
  <c r="T2143" i="2" a="1"/>
  <c r="T2143" i="2" s="1"/>
  <c r="T2142" i="2"/>
  <c r="T2142" i="2" a="1"/>
  <c r="T2141" i="2"/>
  <c r="T2141" i="2" a="1"/>
  <c r="T2140" i="2"/>
  <c r="T2140" i="2" a="1"/>
  <c r="T2139" i="2"/>
  <c r="T2139" i="2" a="1"/>
  <c r="T2138" i="2" a="1"/>
  <c r="T2138" i="2" s="1"/>
  <c r="T2137" i="2" a="1"/>
  <c r="T2137" i="2" s="1"/>
  <c r="T2136" i="2" a="1"/>
  <c r="T2136" i="2" s="1"/>
  <c r="T2135" i="2"/>
  <c r="T2135" i="2" a="1"/>
  <c r="T2134" i="2"/>
  <c r="T2134" i="2" a="1"/>
  <c r="T2133" i="2"/>
  <c r="T2133" i="2" a="1"/>
  <c r="T2132" i="2" a="1"/>
  <c r="T2132" i="2" s="1"/>
  <c r="T2131" i="2" a="1"/>
  <c r="T2131" i="2" s="1"/>
  <c r="T2130" i="2" a="1"/>
  <c r="T2130" i="2" s="1"/>
  <c r="T2129" i="2" a="1"/>
  <c r="T2129" i="2" s="1"/>
  <c r="T2128" i="2"/>
  <c r="T2128" i="2" a="1"/>
  <c r="T2127" i="2"/>
  <c r="T2127" i="2" a="1"/>
  <c r="T2126" i="2" a="1"/>
  <c r="T2126" i="2" s="1"/>
  <c r="T2125" i="2" a="1"/>
  <c r="T2125" i="2" s="1"/>
  <c r="T2124" i="2"/>
  <c r="T2124" i="2" a="1"/>
  <c r="T2123" i="2" a="1"/>
  <c r="T2123" i="2" s="1"/>
  <c r="T2122" i="2" a="1"/>
  <c r="T2122" i="2" s="1"/>
  <c r="T2121" i="2" a="1"/>
  <c r="T2121" i="2" s="1"/>
  <c r="T2120" i="2" a="1"/>
  <c r="T2120" i="2" s="1"/>
  <c r="T2119" i="2" a="1"/>
  <c r="T2119" i="2" s="1"/>
  <c r="T2118" i="2"/>
  <c r="T2118" i="2" a="1"/>
  <c r="T2117" i="2"/>
  <c r="T2117" i="2" a="1"/>
  <c r="T2116" i="2" a="1"/>
  <c r="T2116" i="2" s="1"/>
  <c r="T2115" i="2"/>
  <c r="T2115" i="2" a="1"/>
  <c r="T2114" i="2" a="1"/>
  <c r="T2114" i="2" s="1"/>
  <c r="T2113" i="2" a="1"/>
  <c r="T2113" i="2" s="1"/>
  <c r="T2112" i="2"/>
  <c r="T2112" i="2" a="1"/>
  <c r="T2111" i="2"/>
  <c r="T2111" i="2" a="1"/>
  <c r="T2110" i="2"/>
  <c r="T2110" i="2" a="1"/>
  <c r="T2109" i="2" a="1"/>
  <c r="T2109" i="2" s="1"/>
  <c r="T2108" i="2" a="1"/>
  <c r="T2108" i="2" s="1"/>
  <c r="T2107" i="2" a="1"/>
  <c r="T2107" i="2" s="1"/>
  <c r="T2106" i="2" a="1"/>
  <c r="T2106" i="2" s="1"/>
  <c r="T2105" i="2"/>
  <c r="T2105" i="2" a="1"/>
  <c r="T2104" i="2"/>
  <c r="T2104" i="2" a="1"/>
  <c r="T2103" i="2"/>
  <c r="T2103" i="2" a="1"/>
  <c r="T2102" i="2" a="1"/>
  <c r="T2102" i="2" s="1"/>
  <c r="T2101" i="2" a="1"/>
  <c r="T2101" i="2" s="1"/>
  <c r="T2100" i="2" a="1"/>
  <c r="T2100" i="2" s="1"/>
  <c r="T2099" i="2" a="1"/>
  <c r="T2099" i="2" s="1"/>
  <c r="T2098" i="2"/>
  <c r="T2098" i="2" a="1"/>
  <c r="T2097" i="2"/>
  <c r="T2097" i="2" a="1"/>
  <c r="T2096" i="2" a="1"/>
  <c r="T2096" i="2" s="1"/>
  <c r="T2095" i="2" a="1"/>
  <c r="T2095" i="2" s="1"/>
  <c r="T2094" i="2" a="1"/>
  <c r="T2094" i="2" s="1"/>
  <c r="T2093" i="2" a="1"/>
  <c r="T2093" i="2" s="1"/>
  <c r="T2092" i="2"/>
  <c r="T2092" i="2" a="1"/>
  <c r="T2091" i="2"/>
  <c r="T2091" i="2" a="1"/>
  <c r="T2090" i="2" a="1"/>
  <c r="T2090" i="2" s="1"/>
  <c r="T2089" i="2" a="1"/>
  <c r="T2089" i="2" s="1"/>
  <c r="T2088" i="2"/>
  <c r="T2088" i="2" a="1"/>
  <c r="T2087" i="2" a="1"/>
  <c r="T2087" i="2" s="1"/>
  <c r="T2086" i="2" a="1"/>
  <c r="T2086" i="2" s="1"/>
  <c r="T2085" i="2" a="1"/>
  <c r="T2085" i="2" s="1"/>
  <c r="T2084" i="2" a="1"/>
  <c r="T2084" i="2" s="1"/>
  <c r="T2083" i="2" a="1"/>
  <c r="T2083" i="2" s="1"/>
  <c r="T2082" i="2"/>
  <c r="T2082" i="2" a="1"/>
  <c r="T2081" i="2"/>
  <c r="T2081" i="2" a="1"/>
  <c r="T2080" i="2" a="1"/>
  <c r="T2080" i="2" s="1"/>
  <c r="T2079" i="2"/>
  <c r="T2079" i="2" a="1"/>
  <c r="T2078" i="2" a="1"/>
  <c r="T2078" i="2" s="1"/>
  <c r="T2077" i="2" a="1"/>
  <c r="T2077" i="2" s="1"/>
  <c r="T2076" i="2"/>
  <c r="T2076" i="2" a="1"/>
  <c r="T2075" i="2"/>
  <c r="T2075" i="2" a="1"/>
  <c r="T2074" i="2"/>
  <c r="T2074" i="2" a="1"/>
  <c r="T2073" i="2" a="1"/>
  <c r="T2073" i="2" s="1"/>
  <c r="T2072" i="2" a="1"/>
  <c r="T2072" i="2" s="1"/>
  <c r="T2071" i="2" a="1"/>
  <c r="T2071" i="2" s="1"/>
  <c r="T2070" i="2" a="1"/>
  <c r="T2070" i="2" s="1"/>
  <c r="T2069" i="2"/>
  <c r="T2069" i="2" a="1"/>
  <c r="T2068" i="2"/>
  <c r="T2068" i="2" a="1"/>
  <c r="T2067" i="2"/>
  <c r="T2067" i="2" a="1"/>
  <c r="T2066" i="2" a="1"/>
  <c r="T2066" i="2" s="1"/>
  <c r="T2065" i="2" a="1"/>
  <c r="T2065" i="2" s="1"/>
  <c r="T2064" i="2"/>
  <c r="T2064" i="2" a="1"/>
  <c r="T2063" i="2" a="1"/>
  <c r="T2063" i="2" s="1"/>
  <c r="T2062" i="2"/>
  <c r="T2062" i="2" a="1"/>
  <c r="T2061" i="2"/>
  <c r="T2061" i="2" a="1"/>
  <c r="T2060" i="2" a="1"/>
  <c r="T2060" i="2" s="1"/>
  <c r="T2059" i="2" a="1"/>
  <c r="T2059" i="2" s="1"/>
  <c r="T2058" i="2" a="1"/>
  <c r="T2058" i="2" s="1"/>
  <c r="T2057" i="2" a="1"/>
  <c r="T2057" i="2" s="1"/>
  <c r="T2056" i="2"/>
  <c r="T2056" i="2" a="1"/>
  <c r="T2055" i="2"/>
  <c r="T2055" i="2" a="1"/>
  <c r="T2054" i="2" a="1"/>
  <c r="T2054" i="2" s="1"/>
  <c r="T2053" i="2" a="1"/>
  <c r="T2053" i="2" s="1"/>
  <c r="T2052" i="2"/>
  <c r="T2052" i="2" a="1"/>
  <c r="T2051" i="2" a="1"/>
  <c r="T2051" i="2" s="1"/>
  <c r="T2050" i="2"/>
  <c r="T2050" i="2" a="1"/>
  <c r="T2049" i="2"/>
  <c r="T2049" i="2" a="1"/>
  <c r="T2048" i="2" a="1"/>
  <c r="T2048" i="2" s="1"/>
  <c r="T2047" i="2" a="1"/>
  <c r="T2047" i="2" s="1"/>
  <c r="T2046" i="2"/>
  <c r="T2046" i="2" a="1"/>
  <c r="T2045" i="2"/>
  <c r="T2045" i="2" a="1"/>
  <c r="T2044" i="2" a="1"/>
  <c r="T2044" i="2" s="1"/>
  <c r="T2043" i="2"/>
  <c r="T2043" i="2" a="1"/>
  <c r="T2042" i="2" a="1"/>
  <c r="T2042" i="2" s="1"/>
  <c r="T2041" i="2" a="1"/>
  <c r="T2041" i="2" s="1"/>
  <c r="T2040" i="2"/>
  <c r="T2040" i="2" a="1"/>
  <c r="T2039" i="2"/>
  <c r="T2039" i="2" a="1"/>
  <c r="T2038" i="2"/>
  <c r="T2038" i="2" a="1"/>
  <c r="T2037" i="2" a="1"/>
  <c r="T2037" i="2" s="1"/>
  <c r="T2036" i="2" a="1"/>
  <c r="T2036" i="2" s="1"/>
  <c r="T2035" i="2" a="1"/>
  <c r="T2035" i="2" s="1"/>
  <c r="T2034" i="2"/>
  <c r="T2034" i="2" a="1"/>
  <c r="T2033" i="2"/>
  <c r="T2033" i="2" a="1"/>
  <c r="T2032" i="2"/>
  <c r="T2032" i="2" a="1"/>
  <c r="T2031" i="2"/>
  <c r="T2031" i="2" a="1"/>
  <c r="T2030" i="2" a="1"/>
  <c r="T2030" i="2" s="1"/>
  <c r="T2029" i="2" a="1"/>
  <c r="T2029" i="2" s="1"/>
  <c r="T2028" i="2" a="1"/>
  <c r="T2028" i="2" s="1"/>
  <c r="T2027" i="2"/>
  <c r="T2027" i="2" a="1"/>
  <c r="T2026" i="2"/>
  <c r="T2026" i="2" a="1"/>
  <c r="T2025" i="2"/>
  <c r="T2025" i="2" a="1"/>
  <c r="T2024" i="2" a="1"/>
  <c r="T2024" i="2" s="1"/>
  <c r="T2023" i="2" a="1"/>
  <c r="T2023" i="2" s="1"/>
  <c r="T2022" i="2" a="1"/>
  <c r="T2022" i="2" s="1"/>
  <c r="T2021" i="2" a="1"/>
  <c r="T2021" i="2" s="1"/>
  <c r="T2020" i="2"/>
  <c r="T2020" i="2" a="1"/>
  <c r="T2019" i="2"/>
  <c r="T2019" i="2" a="1"/>
  <c r="T2018" i="2" a="1"/>
  <c r="T2018" i="2" s="1"/>
  <c r="T2017" i="2" a="1"/>
  <c r="T2017" i="2" s="1"/>
  <c r="T2016" i="2"/>
  <c r="T2016" i="2" a="1"/>
  <c r="T2015" i="2" a="1"/>
  <c r="T2015" i="2" s="1"/>
  <c r="T2014" i="2"/>
  <c r="T2014" i="2" a="1"/>
  <c r="T2013" i="2" a="1"/>
  <c r="T2013" i="2" s="1"/>
  <c r="T2012" i="2" a="1"/>
  <c r="T2012" i="2" s="1"/>
  <c r="T2011" i="2" a="1"/>
  <c r="T2011" i="2" s="1"/>
  <c r="T2010" i="2"/>
  <c r="T2010" i="2" a="1"/>
  <c r="T2009" i="2"/>
  <c r="T2009" i="2" a="1"/>
  <c r="T2008" i="2" a="1"/>
  <c r="T2008" i="2" s="1"/>
  <c r="T2007" i="2" a="1"/>
  <c r="T2007" i="2" s="1"/>
  <c r="T2006" i="2" a="1"/>
  <c r="T2006" i="2" s="1"/>
  <c r="T2005" i="2" a="1"/>
  <c r="T2005" i="2" s="1"/>
  <c r="T2004" i="2"/>
  <c r="T2004" i="2" a="1"/>
  <c r="T2003" i="2"/>
  <c r="T2003" i="2" a="1"/>
  <c r="T2002" i="2"/>
  <c r="T2002" i="2" a="1"/>
  <c r="T2001" i="2" a="1"/>
  <c r="T2001" i="2" s="1"/>
  <c r="T2000" i="2" a="1"/>
  <c r="T2000" i="2" s="1"/>
  <c r="T1999" i="2" a="1"/>
  <c r="T1999" i="2" s="1"/>
  <c r="T1998" i="2"/>
  <c r="T1998" i="2" a="1"/>
  <c r="T1997" i="2"/>
  <c r="T1997" i="2" a="1"/>
  <c r="T1996" i="2"/>
  <c r="T1996" i="2" a="1"/>
  <c r="T1995" i="2"/>
  <c r="T1995" i="2" a="1"/>
  <c r="T1994" i="2" a="1"/>
  <c r="T1994" i="2" s="1"/>
  <c r="T1993" i="2" a="1"/>
  <c r="T1993" i="2" s="1"/>
  <c r="T1992" i="2" a="1"/>
  <c r="T1992" i="2" s="1"/>
  <c r="T1991" i="2"/>
  <c r="T1991" i="2" a="1"/>
  <c r="T1990" i="2"/>
  <c r="T1990" i="2" a="1"/>
  <c r="T1989" i="2"/>
  <c r="T1989" i="2" a="1"/>
  <c r="T1988" i="2" a="1"/>
  <c r="T1988" i="2" s="1"/>
  <c r="T1987" i="2" a="1"/>
  <c r="T1987" i="2" s="1"/>
  <c r="T1986" i="2" a="1"/>
  <c r="T1986" i="2" s="1"/>
  <c r="T1985" i="2" a="1"/>
  <c r="T1985" i="2" s="1"/>
  <c r="T1984" i="2" a="1"/>
  <c r="T1984" i="2" s="1"/>
  <c r="T1983" i="2"/>
  <c r="T1983" i="2" a="1"/>
  <c r="T1982" i="2" a="1"/>
  <c r="T1982" i="2" s="1"/>
  <c r="T1981" i="2" a="1"/>
  <c r="T1981" i="2" s="1"/>
  <c r="T1980" i="2"/>
  <c r="T1980" i="2" a="1"/>
  <c r="T1979" i="2" a="1"/>
  <c r="T1979" i="2" s="1"/>
  <c r="T1978" i="2" a="1"/>
  <c r="T1978" i="2" s="1"/>
  <c r="T1977" i="2" a="1"/>
  <c r="T1977" i="2" s="1"/>
  <c r="T1976" i="2" a="1"/>
  <c r="T1976" i="2" s="1"/>
  <c r="T1975" i="2" a="1"/>
  <c r="T1975" i="2" s="1"/>
  <c r="T1974" i="2"/>
  <c r="T1974" i="2" a="1"/>
  <c r="T1973" i="2"/>
  <c r="T1973" i="2" a="1"/>
  <c r="T1972" i="2" a="1"/>
  <c r="T1972" i="2" s="1"/>
  <c r="T1971" i="2"/>
  <c r="T1971" i="2" a="1"/>
  <c r="T1970" i="2" a="1"/>
  <c r="T1970" i="2" s="1"/>
  <c r="T1969" i="2" a="1"/>
  <c r="T1969" i="2" s="1"/>
  <c r="T1968" i="2"/>
  <c r="T1968" i="2" a="1"/>
  <c r="T1967" i="2"/>
  <c r="T1967" i="2" a="1"/>
  <c r="T1966" i="2"/>
  <c r="T1966" i="2" a="1"/>
  <c r="T1965" i="2" a="1"/>
  <c r="T1965" i="2" s="1"/>
  <c r="T1964" i="2" a="1"/>
  <c r="T1964" i="2" s="1"/>
  <c r="T1963" i="2" a="1"/>
  <c r="T1963" i="2" s="1"/>
  <c r="T1962" i="2" a="1"/>
  <c r="T1962" i="2" s="1"/>
  <c r="T1961" i="2"/>
  <c r="T1961" i="2" a="1"/>
  <c r="T1960" i="2"/>
  <c r="T1960" i="2" a="1"/>
  <c r="T1959" i="2"/>
  <c r="T1959" i="2" a="1"/>
  <c r="T1958" i="2" a="1"/>
  <c r="T1958" i="2" s="1"/>
  <c r="T1957" i="2" a="1"/>
  <c r="T1957" i="2" s="1"/>
  <c r="T1956" i="2"/>
  <c r="T1956" i="2" a="1"/>
  <c r="T1955" i="2" a="1"/>
  <c r="T1955" i="2" s="1"/>
  <c r="T1954" i="2"/>
  <c r="T1954" i="2" a="1"/>
  <c r="T1953" i="2"/>
  <c r="T1953" i="2" a="1"/>
  <c r="T1952" i="2" a="1"/>
  <c r="T1952" i="2" s="1"/>
  <c r="T1951" i="2" a="1"/>
  <c r="T1951" i="2" s="1"/>
  <c r="T1950" i="2" a="1"/>
  <c r="T1950" i="2" s="1"/>
  <c r="T1949" i="2" a="1"/>
  <c r="T1949" i="2" s="1"/>
  <c r="T1948" i="2"/>
  <c r="T1948" i="2" a="1"/>
  <c r="T1947" i="2"/>
  <c r="T1947" i="2" a="1"/>
  <c r="T1946" i="2" a="1"/>
  <c r="T1946" i="2" s="1"/>
  <c r="T1945" i="2" a="1"/>
  <c r="T1945" i="2" s="1"/>
  <c r="T1944" i="2"/>
  <c r="T1944" i="2" a="1"/>
  <c r="T1943" i="2" a="1"/>
  <c r="T1943" i="2" s="1"/>
  <c r="T1942" i="2"/>
  <c r="T1942" i="2" a="1"/>
  <c r="T1941" i="2"/>
  <c r="T1941" i="2" a="1"/>
  <c r="T1940" i="2" a="1"/>
  <c r="T1940" i="2" s="1"/>
  <c r="T1939" i="2" a="1"/>
  <c r="T1939" i="2" s="1"/>
  <c r="T1938" i="2"/>
  <c r="T1938" i="2" a="1"/>
  <c r="T1937" i="2"/>
  <c r="T1937" i="2" a="1"/>
  <c r="T1936" i="2" a="1"/>
  <c r="T1936" i="2" s="1"/>
  <c r="T1935" i="2" a="1"/>
  <c r="T1935" i="2" s="1"/>
  <c r="T1934" i="2" a="1"/>
  <c r="T1934" i="2" s="1"/>
  <c r="T1933" i="2" a="1"/>
  <c r="T1933" i="2" s="1"/>
  <c r="T1932" i="2"/>
  <c r="T1932" i="2" a="1"/>
  <c r="T1931" i="2"/>
  <c r="T1931" i="2" a="1"/>
  <c r="T1930" i="2"/>
  <c r="T1930" i="2" a="1"/>
  <c r="T1929" i="2" a="1"/>
  <c r="T1929" i="2" s="1"/>
  <c r="T1928" i="2" a="1"/>
  <c r="T1928" i="2" s="1"/>
  <c r="T1927" i="2" a="1"/>
  <c r="T1927" i="2" s="1"/>
  <c r="T1926" i="2"/>
  <c r="T1926" i="2" a="1"/>
  <c r="T1925" i="2"/>
  <c r="T1925" i="2" a="1"/>
  <c r="T1924" i="2"/>
  <c r="T1924" i="2" a="1"/>
  <c r="T1923" i="2"/>
  <c r="T1923" i="2" a="1"/>
  <c r="T1922" i="2" a="1"/>
  <c r="T1922" i="2" s="1"/>
  <c r="T1921" i="2" a="1"/>
  <c r="T1921" i="2" s="1"/>
  <c r="T1920" i="2" a="1"/>
  <c r="T1920" i="2" s="1"/>
  <c r="T1919" i="2"/>
  <c r="T1919" i="2" a="1"/>
  <c r="T1918" i="2"/>
  <c r="T1918" i="2" a="1"/>
  <c r="T1917" i="2"/>
  <c r="T1917" i="2" a="1"/>
  <c r="T1916" i="2" a="1"/>
  <c r="T1916" i="2" s="1"/>
  <c r="T1915" i="2" a="1"/>
  <c r="T1915" i="2" s="1"/>
  <c r="T1914" i="2" a="1"/>
  <c r="T1914" i="2" s="1"/>
  <c r="T1913" i="2" a="1"/>
  <c r="T1913" i="2" s="1"/>
  <c r="T1912" i="2" a="1"/>
  <c r="T1912" i="2" s="1"/>
  <c r="T1911" i="2"/>
  <c r="T1911" i="2" a="1"/>
  <c r="T1910" i="2" a="1"/>
  <c r="T1910" i="2" s="1"/>
  <c r="T1909" i="2" a="1"/>
  <c r="T1909" i="2" s="1"/>
  <c r="T1908" i="2"/>
  <c r="T1908" i="2" a="1"/>
  <c r="T1907" i="2" a="1"/>
  <c r="T1907" i="2" s="1"/>
  <c r="T1906" i="2" a="1"/>
  <c r="T1906" i="2" s="1"/>
  <c r="T1905" i="2" a="1"/>
  <c r="T1905" i="2" s="1"/>
  <c r="T1904" i="2" a="1"/>
  <c r="T1904" i="2" s="1"/>
  <c r="T1903" i="2" a="1"/>
  <c r="T1903" i="2" s="1"/>
  <c r="T1902" i="2"/>
  <c r="T1902" i="2" a="1"/>
  <c r="T1901" i="2"/>
  <c r="T1901" i="2" a="1"/>
  <c r="T1900" i="2" a="1"/>
  <c r="T1900" i="2" s="1"/>
  <c r="T1899" i="2" a="1"/>
  <c r="T1899" i="2" s="1"/>
  <c r="T1898" i="2" a="1"/>
  <c r="T1898" i="2" s="1"/>
  <c r="T1897" i="2" a="1"/>
  <c r="T1897" i="2" s="1"/>
  <c r="T1896" i="2"/>
  <c r="T1896" i="2" a="1"/>
  <c r="T1895" i="2"/>
  <c r="T1895" i="2" a="1"/>
  <c r="T1894" i="2"/>
  <c r="T1894" i="2" a="1"/>
  <c r="T1893" i="2" a="1"/>
  <c r="T1893" i="2" s="1"/>
  <c r="T1892" i="2" a="1"/>
  <c r="T1892" i="2" s="1"/>
  <c r="T1891" i="2" a="1"/>
  <c r="T1891" i="2" s="1"/>
  <c r="T1890" i="2" a="1"/>
  <c r="T1890" i="2" s="1"/>
  <c r="T1889" i="2"/>
  <c r="T1889" i="2" a="1"/>
  <c r="T1888" i="2"/>
  <c r="T1888" i="2" a="1"/>
  <c r="T1887" i="2"/>
  <c r="T1887" i="2" a="1"/>
  <c r="T1886" i="2" a="1"/>
  <c r="T1886" i="2" s="1"/>
  <c r="T1885" i="2" a="1"/>
  <c r="T1885" i="2" s="1"/>
  <c r="T1884" i="2" a="1"/>
  <c r="T1884" i="2" s="1"/>
  <c r="T1883" i="2" a="1"/>
  <c r="T1883" i="2" s="1"/>
  <c r="T1882" i="2"/>
  <c r="T1882" i="2" a="1"/>
  <c r="T1881" i="2"/>
  <c r="T1881" i="2" a="1"/>
  <c r="T1880" i="2" a="1"/>
  <c r="T1880" i="2" s="1"/>
  <c r="T1879" i="2" a="1"/>
  <c r="T1879" i="2" s="1"/>
  <c r="T1878" i="2" a="1"/>
  <c r="T1878" i="2" s="1"/>
  <c r="T1877" i="2" a="1"/>
  <c r="T1877" i="2" s="1"/>
  <c r="T1876" i="2" a="1"/>
  <c r="T1876" i="2" s="1"/>
  <c r="T1875" i="2"/>
  <c r="T1875" i="2" a="1"/>
  <c r="T1874" i="2" a="1"/>
  <c r="T1874" i="2" s="1"/>
  <c r="T1873" i="2" a="1"/>
  <c r="T1873" i="2" s="1"/>
  <c r="T1872" i="2"/>
  <c r="T1872" i="2" a="1"/>
  <c r="T1871" i="2" a="1"/>
  <c r="T1871" i="2" s="1"/>
  <c r="T1870" i="2" a="1"/>
  <c r="T1870" i="2" s="1"/>
  <c r="T1869" i="2" a="1"/>
  <c r="T1869" i="2" s="1"/>
  <c r="T1868" i="2" a="1"/>
  <c r="T1868" i="2" s="1"/>
  <c r="T1867" i="2" a="1"/>
  <c r="T1867" i="2" s="1"/>
  <c r="T1866" i="2"/>
  <c r="T1866" i="2" a="1"/>
  <c r="T1865" i="2"/>
  <c r="T1865" i="2" a="1"/>
  <c r="T1864" i="2" a="1"/>
  <c r="T1864" i="2" s="1"/>
  <c r="T1863" i="2"/>
  <c r="T1863" i="2" a="1"/>
  <c r="T1862" i="2" a="1"/>
  <c r="T1862" i="2" s="1"/>
  <c r="T1861" i="2" a="1"/>
  <c r="T1861" i="2" s="1"/>
  <c r="T1860" i="2"/>
  <c r="T1860" i="2" a="1"/>
  <c r="T1859" i="2"/>
  <c r="T1859" i="2" a="1"/>
  <c r="T1858" i="2"/>
  <c r="T1858" i="2" a="1"/>
  <c r="T1857" i="2" a="1"/>
  <c r="T1857" i="2" s="1"/>
  <c r="T1856" i="2" a="1"/>
  <c r="T1856" i="2" s="1"/>
  <c r="T1855" i="2" a="1"/>
  <c r="T1855" i="2" s="1"/>
  <c r="T1854" i="2" a="1"/>
  <c r="T1854" i="2" s="1"/>
  <c r="T1853" i="2"/>
  <c r="T1853" i="2" a="1"/>
  <c r="T1852" i="2"/>
  <c r="T1852" i="2" a="1"/>
  <c r="T1851" i="2"/>
  <c r="T1851" i="2" a="1"/>
  <c r="T1850" i="2" a="1"/>
  <c r="T1850" i="2" s="1"/>
  <c r="T1849" i="2" a="1"/>
  <c r="T1849" i="2" s="1"/>
  <c r="T1848" i="2"/>
  <c r="T1848" i="2" a="1"/>
  <c r="T1847" i="2" a="1"/>
  <c r="T1847" i="2" s="1"/>
  <c r="T1846" i="2"/>
  <c r="T1846" i="2" a="1"/>
  <c r="T1845" i="2"/>
  <c r="T1845" i="2" a="1"/>
  <c r="T1844" i="2" a="1"/>
  <c r="T1844" i="2" s="1"/>
  <c r="T1843" i="2" a="1"/>
  <c r="T1843" i="2" s="1"/>
  <c r="T1842" i="2" a="1"/>
  <c r="T1842" i="2" s="1"/>
  <c r="T1841" i="2" a="1"/>
  <c r="T1841" i="2" s="1"/>
  <c r="T1840" i="2"/>
  <c r="T1840" i="2" a="1"/>
  <c r="T1839" i="2"/>
  <c r="T1839" i="2" a="1"/>
  <c r="T1838" i="2" a="1"/>
  <c r="T1838" i="2" s="1"/>
  <c r="T1837" i="2" a="1"/>
  <c r="T1837" i="2" s="1"/>
  <c r="T1836" i="2"/>
  <c r="T1836" i="2" a="1"/>
  <c r="T1835" i="2" a="1"/>
  <c r="T1835" i="2" s="1"/>
  <c r="T1834" i="2"/>
  <c r="T1834" i="2" a="1"/>
  <c r="T1833" i="2"/>
  <c r="T1833" i="2" a="1"/>
  <c r="T1832" i="2" a="1"/>
  <c r="T1832" i="2" s="1"/>
  <c r="T1831" i="2" a="1"/>
  <c r="T1831" i="2" s="1"/>
  <c r="T1830" i="2"/>
  <c r="T1830" i="2" a="1"/>
  <c r="T1829" i="2"/>
  <c r="T1829" i="2" a="1"/>
  <c r="T1828" i="2" a="1"/>
  <c r="T1828" i="2" s="1"/>
  <c r="T1827" i="2" a="1"/>
  <c r="T1827" i="2" s="1"/>
  <c r="T1826" i="2" a="1"/>
  <c r="T1826" i="2" s="1"/>
  <c r="T1825" i="2" a="1"/>
  <c r="T1825" i="2" s="1"/>
  <c r="T1824" i="2"/>
  <c r="T1824" i="2" a="1"/>
  <c r="T1823" i="2"/>
  <c r="T1823" i="2" a="1"/>
  <c r="T1822" i="2"/>
  <c r="T1822" i="2" a="1"/>
  <c r="T1821" i="2" a="1"/>
  <c r="T1821" i="2" s="1"/>
  <c r="T1820" i="2" a="1"/>
  <c r="T1820" i="2" s="1"/>
  <c r="T1819" i="2" a="1"/>
  <c r="T1819" i="2" s="1"/>
  <c r="T1818" i="2"/>
  <c r="T1818" i="2" a="1"/>
  <c r="T1817" i="2"/>
  <c r="T1817" i="2" a="1"/>
  <c r="T1816" i="2"/>
  <c r="T1816" i="2" a="1"/>
  <c r="T1815" i="2"/>
  <c r="T1815" i="2" a="1"/>
  <c r="T1814" i="2" a="1"/>
  <c r="T1814" i="2" s="1"/>
  <c r="T1813" i="2" a="1"/>
  <c r="T1813" i="2" s="1"/>
  <c r="T1812" i="2" a="1"/>
  <c r="T1812" i="2" s="1"/>
  <c r="T1811" i="2"/>
  <c r="T1811" i="2" a="1"/>
  <c r="T1810" i="2"/>
  <c r="T1810" i="2" a="1"/>
  <c r="T1809" i="2"/>
  <c r="T1809" i="2" a="1"/>
  <c r="T1808" i="2" a="1"/>
  <c r="T1808" i="2" s="1"/>
  <c r="T1807" i="2" a="1"/>
  <c r="T1807" i="2" s="1"/>
  <c r="T1806" i="2" a="1"/>
  <c r="T1806" i="2" s="1"/>
  <c r="T1805" i="2" a="1"/>
  <c r="T1805" i="2" s="1"/>
  <c r="T1804" i="2" a="1"/>
  <c r="T1804" i="2" s="1"/>
  <c r="T1803" i="2"/>
  <c r="T1803" i="2" a="1"/>
  <c r="T1802" i="2" a="1"/>
  <c r="T1802" i="2" s="1"/>
  <c r="T1801" i="2" a="1"/>
  <c r="T1801" i="2" s="1"/>
  <c r="T1800" i="2"/>
  <c r="T1800" i="2" a="1"/>
  <c r="T1799" i="2" a="1"/>
  <c r="T1799" i="2" s="1"/>
  <c r="T1798" i="2" a="1"/>
  <c r="T1798" i="2" s="1"/>
  <c r="T1797" i="2" a="1"/>
  <c r="T1797" i="2" s="1"/>
  <c r="T1796" i="2" a="1"/>
  <c r="T1796" i="2" s="1"/>
  <c r="T1795" i="2" a="1"/>
  <c r="T1795" i="2" s="1"/>
  <c r="T1794" i="2"/>
  <c r="T1794" i="2" a="1"/>
  <c r="T1793" i="2"/>
  <c r="T1793" i="2" a="1"/>
  <c r="T1792" i="2" a="1"/>
  <c r="T1792" i="2" s="1"/>
  <c r="T1791" i="2"/>
  <c r="T1791" i="2" a="1"/>
  <c r="T1790" i="2" a="1"/>
  <c r="T1790" i="2" s="1"/>
  <c r="T1789" i="2" a="1"/>
  <c r="T1789" i="2" s="1"/>
  <c r="T1788" i="2"/>
  <c r="T1788" i="2" a="1"/>
  <c r="T1787" i="2"/>
  <c r="T1787" i="2" a="1"/>
  <c r="T1786" i="2"/>
  <c r="T1786" i="2" a="1"/>
  <c r="T1785" i="2" a="1"/>
  <c r="T1785" i="2" s="1"/>
  <c r="T1784" i="2" a="1"/>
  <c r="T1784" i="2" s="1"/>
  <c r="T1783" i="2" a="1"/>
  <c r="T1783" i="2" s="1"/>
  <c r="T1782" i="2" a="1"/>
  <c r="T1782" i="2" s="1"/>
  <c r="T1781" i="2"/>
  <c r="T1781" i="2" a="1"/>
  <c r="T1780" i="2"/>
  <c r="T1780" i="2" a="1"/>
  <c r="T1779" i="2"/>
  <c r="T1779" i="2" a="1"/>
  <c r="T1778" i="2" a="1"/>
  <c r="T1778" i="2" s="1"/>
  <c r="T1777" i="2" a="1"/>
  <c r="T1777" i="2" s="1"/>
  <c r="T1776" i="2" a="1"/>
  <c r="T1776" i="2" s="1"/>
  <c r="T1775" i="2" a="1"/>
  <c r="T1775" i="2" s="1"/>
  <c r="T1774" i="2" a="1"/>
  <c r="T1774" i="2" s="1"/>
  <c r="T1773" i="2" a="1"/>
  <c r="T1773" i="2" s="1"/>
  <c r="T1772" i="2" a="1"/>
  <c r="T1772" i="2" s="1"/>
  <c r="T1771" i="2" a="1"/>
  <c r="T1771" i="2" s="1"/>
  <c r="T1770" i="2" a="1"/>
  <c r="T1770" i="2" s="1"/>
  <c r="T1769" i="2"/>
  <c r="T1769" i="2" a="1"/>
  <c r="T1768" i="2" a="1"/>
  <c r="T1768" i="2" s="1"/>
  <c r="T1767" i="2" a="1"/>
  <c r="T1767" i="2" s="1"/>
  <c r="T1766" i="2"/>
  <c r="T1766" i="2" a="1"/>
  <c r="T1765" i="2" a="1"/>
  <c r="T1765" i="2" s="1"/>
  <c r="T1764" i="2" a="1"/>
  <c r="T1764" i="2" s="1"/>
  <c r="T1763" i="2" a="1"/>
  <c r="T1763" i="2" s="1"/>
  <c r="T1762" i="2" a="1"/>
  <c r="T1762" i="2" s="1"/>
  <c r="T1761" i="2" a="1"/>
  <c r="T1761" i="2" s="1"/>
  <c r="T1760" i="2"/>
  <c r="T1760" i="2" a="1"/>
  <c r="T1759" i="2" a="1"/>
  <c r="T1759" i="2" s="1"/>
  <c r="T1758" i="2" a="1"/>
  <c r="T1758" i="2" s="1"/>
  <c r="T1757" i="2" a="1"/>
  <c r="T1757" i="2" s="1"/>
  <c r="T1756" i="2" a="1"/>
  <c r="T1756" i="2" s="1"/>
  <c r="T1755" i="2" a="1"/>
  <c r="T1755" i="2" s="1"/>
  <c r="T1754" i="2" a="1"/>
  <c r="T1754" i="2" s="1"/>
  <c r="T1753" i="2"/>
  <c r="T1753" i="2" a="1"/>
  <c r="T1752" i="2"/>
  <c r="T1752" i="2" a="1"/>
  <c r="T1751" i="2" a="1"/>
  <c r="T1751" i="2" s="1"/>
  <c r="T1750" i="2" a="1"/>
  <c r="T1750" i="2" s="1"/>
  <c r="T1749" i="2" a="1"/>
  <c r="T1749" i="2" s="1"/>
  <c r="T1748" i="2" a="1"/>
  <c r="T1748" i="2" s="1"/>
  <c r="T1747" i="2"/>
  <c r="T1747" i="2" a="1"/>
  <c r="T1746" i="2" a="1"/>
  <c r="T1746" i="2" s="1"/>
  <c r="T1745" i="2"/>
  <c r="T1745" i="2" a="1"/>
  <c r="T1744" i="2" a="1"/>
  <c r="T1744" i="2" s="1"/>
  <c r="T1743" i="2" a="1"/>
  <c r="T1743" i="2" s="1"/>
  <c r="T1742" i="2" a="1"/>
  <c r="T1742" i="2" s="1"/>
  <c r="T1741" i="2" a="1"/>
  <c r="T1741" i="2" s="1"/>
  <c r="T1740" i="2" a="1"/>
  <c r="T1740" i="2" s="1"/>
  <c r="T1739" i="2"/>
  <c r="T1739" i="2" a="1"/>
  <c r="T1738" i="2" a="1"/>
  <c r="T1738" i="2" s="1"/>
  <c r="T1737" i="2" a="1"/>
  <c r="T1737" i="2" s="1"/>
  <c r="T1736" i="2" a="1"/>
  <c r="T1736" i="2" s="1"/>
  <c r="T1735" i="2" a="1"/>
  <c r="T1735" i="2" s="1"/>
  <c r="T1734" i="2" a="1"/>
  <c r="T1734" i="2" s="1"/>
  <c r="T1733" i="2"/>
  <c r="T1733" i="2" a="1"/>
  <c r="T1732" i="2" a="1"/>
  <c r="T1732" i="2" s="1"/>
  <c r="T1731" i="2" a="1"/>
  <c r="T1731" i="2" s="1"/>
  <c r="T1730" i="2" a="1"/>
  <c r="T1730" i="2" s="1"/>
  <c r="T1729" i="2" a="1"/>
  <c r="T1729" i="2" s="1"/>
  <c r="T1728" i="2" a="1"/>
  <c r="T1728" i="2" s="1"/>
  <c r="T1727" i="2" a="1"/>
  <c r="T1727" i="2" s="1"/>
  <c r="T1726" i="2" a="1"/>
  <c r="T1726" i="2" s="1"/>
  <c r="T1725" i="2" a="1"/>
  <c r="T1725" i="2" s="1"/>
  <c r="T1724" i="2"/>
  <c r="T1724" i="2" a="1"/>
  <c r="T1723" i="2" a="1"/>
  <c r="T1723" i="2" s="1"/>
  <c r="T1722" i="2" a="1"/>
  <c r="T1722" i="2" s="1"/>
  <c r="T1721" i="2" a="1"/>
  <c r="T1721" i="2" s="1"/>
  <c r="T1720" i="2" a="1"/>
  <c r="T1720" i="2" s="1"/>
  <c r="T1719" i="2" a="1"/>
  <c r="T1719" i="2" s="1"/>
  <c r="T1718" i="2" a="1"/>
  <c r="T1718" i="2" s="1"/>
  <c r="T1717" i="2"/>
  <c r="T1717" i="2" a="1"/>
  <c r="T1716" i="2" a="1"/>
  <c r="T1716" i="2" s="1"/>
  <c r="T1715" i="2" a="1"/>
  <c r="T1715" i="2" s="1"/>
  <c r="T1714" i="2" a="1"/>
  <c r="T1714" i="2" s="1"/>
  <c r="T1713" i="2" a="1"/>
  <c r="T1713" i="2" s="1"/>
  <c r="T1712" i="2" a="1"/>
  <c r="T1712" i="2" s="1"/>
  <c r="T1711" i="2" a="1"/>
  <c r="T1711" i="2" s="1"/>
  <c r="T1710" i="2"/>
  <c r="T1710" i="2" a="1"/>
  <c r="T1709" i="2"/>
  <c r="T1709" i="2" a="1"/>
  <c r="T1708" i="2" a="1"/>
  <c r="T1708" i="2" s="1"/>
  <c r="T1707" i="2" a="1"/>
  <c r="T1707" i="2" s="1"/>
  <c r="T1706" i="2" a="1"/>
  <c r="T1706" i="2" s="1"/>
  <c r="T1705" i="2" a="1"/>
  <c r="T1705" i="2" s="1"/>
  <c r="T1704" i="2" a="1"/>
  <c r="T1704" i="2" s="1"/>
  <c r="T1703" i="2" a="1"/>
  <c r="T1703" i="2" s="1"/>
  <c r="T1702" i="2" a="1"/>
  <c r="T1702" i="2" s="1"/>
  <c r="T1701" i="2" a="1"/>
  <c r="T1701" i="2" s="1"/>
  <c r="T1700" i="2" a="1"/>
  <c r="T1700" i="2" s="1"/>
  <c r="T1699" i="2" a="1"/>
  <c r="T1699" i="2" s="1"/>
  <c r="T1698" i="2" a="1"/>
  <c r="T1698" i="2" s="1"/>
  <c r="T1697" i="2"/>
  <c r="T1697" i="2" a="1"/>
  <c r="T1696" i="2" a="1"/>
  <c r="T1696" i="2" s="1"/>
  <c r="T1695" i="2" a="1"/>
  <c r="T1695" i="2" s="1"/>
  <c r="T1694" i="2"/>
  <c r="T1694" i="2" a="1"/>
  <c r="T1693" i="2" a="1"/>
  <c r="T1693" i="2" s="1"/>
  <c r="T1692" i="2" a="1"/>
  <c r="T1692" i="2" s="1"/>
  <c r="T1691" i="2" a="1"/>
  <c r="T1691" i="2" s="1"/>
  <c r="T1690" i="2" a="1"/>
  <c r="T1690" i="2" s="1"/>
  <c r="T1689" i="2" a="1"/>
  <c r="T1689" i="2" s="1"/>
  <c r="T1688" i="2" a="1"/>
  <c r="T1688" i="2" s="1"/>
  <c r="T1687" i="2" a="1"/>
  <c r="T1687" i="2" s="1"/>
  <c r="T1686" i="2" a="1"/>
  <c r="T1686" i="2" s="1"/>
  <c r="T1685" i="2" a="1"/>
  <c r="T1685" i="2" s="1"/>
  <c r="T1684" i="2" a="1"/>
  <c r="T1684" i="2" s="1"/>
  <c r="T1683" i="2" a="1"/>
  <c r="T1683" i="2" s="1"/>
  <c r="T1682" i="2" a="1"/>
  <c r="T1682" i="2" s="1"/>
  <c r="T1681" i="2"/>
  <c r="T1681" i="2" a="1"/>
  <c r="T1680" i="2" a="1"/>
  <c r="T1680" i="2" s="1"/>
  <c r="T1679" i="2" a="1"/>
  <c r="T1679" i="2" s="1"/>
  <c r="T1678" i="2" a="1"/>
  <c r="T1678" i="2" s="1"/>
  <c r="T1677" i="2" a="1"/>
  <c r="T1677" i="2" s="1"/>
  <c r="T1676" i="2" a="1"/>
  <c r="T1676" i="2" s="1"/>
  <c r="T1675" i="2" a="1"/>
  <c r="T1675" i="2" s="1"/>
  <c r="T1674" i="2"/>
  <c r="T1674" i="2" a="1"/>
  <c r="T1673" i="2"/>
  <c r="T1673" i="2" a="1"/>
  <c r="T1672" i="2" a="1"/>
  <c r="T1672" i="2" s="1"/>
  <c r="T1671" i="2" a="1"/>
  <c r="T1671" i="2" s="1"/>
  <c r="T1670" i="2" a="1"/>
  <c r="T1670" i="2" s="1"/>
  <c r="T1669" i="2" a="1"/>
  <c r="T1669" i="2" s="1"/>
  <c r="T1668" i="2" a="1"/>
  <c r="T1668" i="2" s="1"/>
  <c r="T1667" i="2" a="1"/>
  <c r="T1667" i="2" s="1"/>
  <c r="T1666" i="2" a="1"/>
  <c r="T1666" i="2" s="1"/>
  <c r="T1665" i="2" a="1"/>
  <c r="T1665" i="2" s="1"/>
  <c r="T1664" i="2" a="1"/>
  <c r="T1664" i="2" s="1"/>
  <c r="T1663" i="2" a="1"/>
  <c r="T1663" i="2" s="1"/>
  <c r="T1662" i="2" a="1"/>
  <c r="T1662" i="2" s="1"/>
  <c r="T1661" i="2"/>
  <c r="T1661" i="2" a="1"/>
  <c r="T1660" i="2" a="1"/>
  <c r="T1660" i="2" s="1"/>
  <c r="T1659" i="2" a="1"/>
  <c r="T1659" i="2" s="1"/>
  <c r="T1658" i="2" a="1"/>
  <c r="T1658" i="2" s="1"/>
  <c r="T1657" i="2" a="1"/>
  <c r="T1657" i="2" s="1"/>
  <c r="T1656" i="2" a="1"/>
  <c r="T1656" i="2" s="1"/>
  <c r="T1655" i="2" a="1"/>
  <c r="T1655" i="2" s="1"/>
  <c r="T1654" i="2" a="1"/>
  <c r="T1654" i="2" s="1"/>
  <c r="T1653" i="2" a="1"/>
  <c r="T1653" i="2" s="1"/>
  <c r="T1652" i="2" a="1"/>
  <c r="T1652" i="2" s="1"/>
  <c r="T1651" i="2" a="1"/>
  <c r="T1651" i="2" s="1"/>
  <c r="T1650" i="2" a="1"/>
  <c r="T1650" i="2" s="1"/>
  <c r="T1649" i="2" a="1"/>
  <c r="T1649" i="2" s="1"/>
  <c r="T1648" i="2" a="1"/>
  <c r="T1648" i="2" s="1"/>
  <c r="T1647" i="2" a="1"/>
  <c r="T1647" i="2" s="1"/>
  <c r="T1646" i="2" a="1"/>
  <c r="T1646" i="2" s="1"/>
  <c r="T1645" i="2"/>
  <c r="T1645" i="2" a="1"/>
  <c r="T1644" i="2" a="1"/>
  <c r="T1644" i="2" s="1"/>
  <c r="T1643" i="2" a="1"/>
  <c r="T1643" i="2" s="1"/>
  <c r="T1642" i="2" a="1"/>
  <c r="T1642" i="2" s="1"/>
  <c r="T1641" i="2" a="1"/>
  <c r="T1641" i="2" s="1"/>
  <c r="T1640" i="2" a="1"/>
  <c r="T1640" i="2" s="1"/>
  <c r="T1639" i="2" a="1"/>
  <c r="T1639" i="2" s="1"/>
  <c r="T1638" i="2" a="1"/>
  <c r="T1638" i="2" s="1"/>
  <c r="T1637" i="2"/>
  <c r="T1637" i="2" a="1"/>
  <c r="T1636" i="2" a="1"/>
  <c r="T1636" i="2" s="1"/>
  <c r="T1635" i="2" a="1"/>
  <c r="T1635" i="2" s="1"/>
  <c r="T1634" i="2" a="1"/>
  <c r="T1634" i="2" s="1"/>
  <c r="T1633" i="2" a="1"/>
  <c r="T1633" i="2" s="1"/>
  <c r="T1632" i="2" a="1"/>
  <c r="T1632" i="2" s="1"/>
  <c r="T1631" i="2" a="1"/>
  <c r="T1631" i="2" s="1"/>
  <c r="T1630" i="2" a="1"/>
  <c r="T1630" i="2" s="1"/>
  <c r="T1629" i="2" a="1"/>
  <c r="T1629" i="2" s="1"/>
  <c r="T1628" i="2" a="1"/>
  <c r="T1628" i="2" s="1"/>
  <c r="T1627" i="2" a="1"/>
  <c r="T1627" i="2" s="1"/>
  <c r="T1626" i="2" a="1"/>
  <c r="T1626" i="2" s="1"/>
  <c r="T1625" i="2"/>
  <c r="T1625" i="2" a="1"/>
  <c r="T1624" i="2" a="1"/>
  <c r="T1624" i="2" s="1"/>
  <c r="T1623" i="2" a="1"/>
  <c r="T1623" i="2" s="1"/>
  <c r="T1622" i="2" a="1"/>
  <c r="T1622" i="2" s="1"/>
  <c r="T1621" i="2" a="1"/>
  <c r="T1621" i="2" s="1"/>
  <c r="T1620" i="2" a="1"/>
  <c r="T1620" i="2" s="1"/>
  <c r="T1619" i="2" a="1"/>
  <c r="T1619" i="2" s="1"/>
  <c r="T1618" i="2" a="1"/>
  <c r="T1618" i="2" s="1"/>
  <c r="T1617" i="2" a="1"/>
  <c r="T1617" i="2" s="1"/>
  <c r="T1616" i="2" a="1"/>
  <c r="T1616" i="2" s="1"/>
  <c r="T1615" i="2" a="1"/>
  <c r="T1615" i="2" s="1"/>
  <c r="T1614" i="2" a="1"/>
  <c r="T1614" i="2" s="1"/>
  <c r="T1613" i="2" a="1"/>
  <c r="T1613" i="2" s="1"/>
  <c r="T1612" i="2" a="1"/>
  <c r="T1612" i="2" s="1"/>
  <c r="T1611" i="2" a="1"/>
  <c r="T1611" i="2" s="1"/>
  <c r="T1610" i="2" a="1"/>
  <c r="T1610" i="2" s="1"/>
  <c r="T1609" i="2"/>
  <c r="T1609" i="2" a="1"/>
  <c r="T1608" i="2" a="1"/>
  <c r="T1608" i="2" s="1"/>
  <c r="T1607" i="2" a="1"/>
  <c r="T1607" i="2" s="1"/>
  <c r="T1606" i="2" a="1"/>
  <c r="T1606" i="2" s="1"/>
  <c r="T1605" i="2" a="1"/>
  <c r="T1605" i="2" s="1"/>
  <c r="T1604" i="2" a="1"/>
  <c r="T1604" i="2" s="1"/>
  <c r="T1603" i="2" a="1"/>
  <c r="T1603" i="2" s="1"/>
  <c r="T1602" i="2" a="1"/>
  <c r="T1602" i="2" s="1"/>
  <c r="T1601" i="2"/>
  <c r="T1601" i="2" a="1"/>
  <c r="T1600" i="2" a="1"/>
  <c r="T1600" i="2" s="1"/>
  <c r="T1599" i="2" a="1"/>
  <c r="T1599" i="2" s="1"/>
  <c r="T1598" i="2" a="1"/>
  <c r="T1598" i="2" s="1"/>
  <c r="T1597" i="2" a="1"/>
  <c r="T1597" i="2" s="1"/>
  <c r="T1596" i="2" a="1"/>
  <c r="T1596" i="2" s="1"/>
  <c r="T1595" i="2" a="1"/>
  <c r="T1595" i="2" s="1"/>
  <c r="T1594" i="2" a="1"/>
  <c r="T1594" i="2" s="1"/>
  <c r="T1593" i="2" a="1"/>
  <c r="T1593" i="2" s="1"/>
  <c r="T1592" i="2" a="1"/>
  <c r="T1592" i="2" s="1"/>
  <c r="T1591" i="2" a="1"/>
  <c r="T1591" i="2" s="1"/>
  <c r="T1590" i="2" a="1"/>
  <c r="T1590" i="2" s="1"/>
  <c r="T1589" i="2"/>
  <c r="T1589" i="2" a="1"/>
  <c r="T1588" i="2" a="1"/>
  <c r="T1588" i="2" s="1"/>
  <c r="T1587" i="2" a="1"/>
  <c r="T1587" i="2" s="1"/>
  <c r="T1586" i="2"/>
  <c r="T1586" i="2" a="1"/>
  <c r="T1585" i="2" a="1"/>
  <c r="T1585" i="2" s="1"/>
  <c r="T1584" i="2" a="1"/>
  <c r="T1584" i="2" s="1"/>
  <c r="T1583" i="2" a="1"/>
  <c r="T1583" i="2" s="1"/>
  <c r="T1582" i="2" a="1"/>
  <c r="T1582" i="2" s="1"/>
  <c r="T1581" i="2" a="1"/>
  <c r="T1581" i="2" s="1"/>
  <c r="T1580" i="2" a="1"/>
  <c r="T1580" i="2" s="1"/>
  <c r="T1579" i="2" a="1"/>
  <c r="T1579" i="2" s="1"/>
  <c r="T1578" i="2" a="1"/>
  <c r="T1578" i="2" s="1"/>
  <c r="T1577" i="2" a="1"/>
  <c r="T1577" i="2" s="1"/>
  <c r="T1576" i="2" a="1"/>
  <c r="T1576" i="2" s="1"/>
  <c r="T1575" i="2" a="1"/>
  <c r="T1575" i="2" s="1"/>
  <c r="T1574" i="2" a="1"/>
  <c r="T1574" i="2" s="1"/>
  <c r="T1573" i="2"/>
  <c r="T1573" i="2" a="1"/>
  <c r="T1572" i="2" a="1"/>
  <c r="T1572" i="2" s="1"/>
  <c r="T1571" i="2" a="1"/>
  <c r="T1571" i="2" s="1"/>
  <c r="T1570" i="2" a="1"/>
  <c r="T1570" i="2" s="1"/>
  <c r="T1569" i="2" a="1"/>
  <c r="T1569" i="2" s="1"/>
  <c r="T1568" i="2" a="1"/>
  <c r="T1568" i="2" s="1"/>
  <c r="T1567" i="2" a="1"/>
  <c r="T1567" i="2" s="1"/>
  <c r="T1566" i="2"/>
  <c r="T1566" i="2" a="1"/>
  <c r="T1565" i="2"/>
  <c r="T1565" i="2" a="1"/>
  <c r="T1564" i="2" a="1"/>
  <c r="T1564" i="2" s="1"/>
  <c r="T1563" i="2" a="1"/>
  <c r="T1563" i="2" s="1"/>
  <c r="T1562" i="2" a="1"/>
  <c r="T1562" i="2" s="1"/>
  <c r="T1561" i="2" a="1"/>
  <c r="T1561" i="2" s="1"/>
  <c r="T1560" i="2" a="1"/>
  <c r="T1560" i="2" s="1"/>
  <c r="T1559" i="2" a="1"/>
  <c r="T1559" i="2" s="1"/>
  <c r="T1558" i="2" a="1"/>
  <c r="T1558" i="2" s="1"/>
  <c r="T1557" i="2" a="1"/>
  <c r="T1557" i="2" s="1"/>
  <c r="T1556" i="2" a="1"/>
  <c r="T1556" i="2" s="1"/>
  <c r="T1555" i="2" a="1"/>
  <c r="T1555" i="2" s="1"/>
  <c r="T1554" i="2" a="1"/>
  <c r="T1554" i="2" s="1"/>
  <c r="T1553" i="2"/>
  <c r="T1553" i="2" a="1"/>
  <c r="T1552" i="2" a="1"/>
  <c r="T1552" i="2" s="1"/>
  <c r="T1551" i="2" a="1"/>
  <c r="T1551" i="2" s="1"/>
  <c r="T1550" i="2"/>
  <c r="T1550" i="2" a="1"/>
  <c r="T1549" i="2" a="1"/>
  <c r="T1549" i="2" s="1"/>
  <c r="T1548" i="2" a="1"/>
  <c r="T1548" i="2" s="1"/>
  <c r="T1547" i="2" a="1"/>
  <c r="T1547" i="2" s="1"/>
  <c r="T1546" i="2" a="1"/>
  <c r="T1546" i="2" s="1"/>
  <c r="T1545" i="2" a="1"/>
  <c r="T1545" i="2" s="1"/>
  <c r="T1544" i="2" a="1"/>
  <c r="T1544" i="2" s="1"/>
  <c r="T1543" i="2" a="1"/>
  <c r="T1543" i="2" s="1"/>
  <c r="T1542" i="2" a="1"/>
  <c r="T1542" i="2" s="1"/>
  <c r="T1541" i="2" a="1"/>
  <c r="T1541" i="2" s="1"/>
  <c r="T1540" i="2" a="1"/>
  <c r="T1540" i="2" s="1"/>
  <c r="T1539" i="2" a="1"/>
  <c r="T1539" i="2" s="1"/>
  <c r="T1538" i="2" a="1"/>
  <c r="T1538" i="2" s="1"/>
  <c r="T1537" i="2"/>
  <c r="T1537" i="2" a="1"/>
  <c r="T1536" i="2" a="1"/>
  <c r="T1536" i="2" s="1"/>
  <c r="T1535" i="2" a="1"/>
  <c r="T1535" i="2" s="1"/>
  <c r="T1534" i="2" a="1"/>
  <c r="T1534" i="2" s="1"/>
  <c r="T1533" i="2" a="1"/>
  <c r="T1533" i="2" s="1"/>
  <c r="T1532" i="2" a="1"/>
  <c r="T1532" i="2" s="1"/>
  <c r="T1531" i="2" a="1"/>
  <c r="T1531" i="2" s="1"/>
  <c r="T1530" i="2"/>
  <c r="T1530" i="2" a="1"/>
  <c r="T1529" i="2"/>
  <c r="T1529" i="2" a="1"/>
  <c r="T1528" i="2" a="1"/>
  <c r="T1528" i="2" s="1"/>
  <c r="T1527" i="2" a="1"/>
  <c r="T1527" i="2" s="1"/>
  <c r="T1526" i="2" a="1"/>
  <c r="T1526" i="2" s="1"/>
  <c r="T1525" i="2" a="1"/>
  <c r="T1525" i="2" s="1"/>
  <c r="T1524" i="2" a="1"/>
  <c r="T1524" i="2" s="1"/>
  <c r="T1523" i="2" a="1"/>
  <c r="T1523" i="2" s="1"/>
  <c r="T1522" i="2" a="1"/>
  <c r="T1522" i="2" s="1"/>
  <c r="T1521" i="2" a="1"/>
  <c r="T1521" i="2" s="1"/>
  <c r="T1520" i="2" a="1"/>
  <c r="T1520" i="2" s="1"/>
  <c r="T1519" i="2" a="1"/>
  <c r="T1519" i="2" s="1"/>
  <c r="T1518" i="2" a="1"/>
  <c r="T1518" i="2" s="1"/>
  <c r="T1517" i="2"/>
  <c r="T1517" i="2" a="1"/>
  <c r="T1516" i="2" a="1"/>
  <c r="T1516" i="2" s="1"/>
  <c r="T1515" i="2" a="1"/>
  <c r="T1515" i="2" s="1"/>
  <c r="T1514" i="2" a="1"/>
  <c r="T1514" i="2" s="1"/>
  <c r="T1513" i="2" a="1"/>
  <c r="T1513" i="2" s="1"/>
  <c r="T1512" i="2" a="1"/>
  <c r="T1512" i="2" s="1"/>
  <c r="T1511" i="2" a="1"/>
  <c r="T1511" i="2" s="1"/>
  <c r="T1510" i="2" a="1"/>
  <c r="T1510" i="2" s="1"/>
  <c r="T1509" i="2" a="1"/>
  <c r="T1509" i="2" s="1"/>
  <c r="T1508" i="2" a="1"/>
  <c r="T1508" i="2" s="1"/>
  <c r="T1507" i="2" a="1"/>
  <c r="T1507" i="2" s="1"/>
  <c r="T1506" i="2" a="1"/>
  <c r="T1506" i="2" s="1"/>
  <c r="T1505" i="2" a="1"/>
  <c r="T1505" i="2" s="1"/>
  <c r="T1504" i="2" a="1"/>
  <c r="T1504" i="2" s="1"/>
  <c r="T1503" i="2" a="1"/>
  <c r="T1503" i="2" s="1"/>
  <c r="T1502" i="2" a="1"/>
  <c r="T1502" i="2" s="1"/>
  <c r="T1501" i="2"/>
  <c r="T1501" i="2" a="1"/>
  <c r="T1500" i="2" a="1"/>
  <c r="T1500" i="2" s="1"/>
  <c r="T1499" i="2" a="1"/>
  <c r="T1499" i="2" s="1"/>
  <c r="T1498" i="2" a="1"/>
  <c r="T1498" i="2" s="1"/>
  <c r="T1497" i="2" a="1"/>
  <c r="T1497" i="2" s="1"/>
  <c r="T1496" i="2" a="1"/>
  <c r="T1496" i="2" s="1"/>
  <c r="T1495" i="2" a="1"/>
  <c r="T1495" i="2" s="1"/>
  <c r="T1494" i="2" a="1"/>
  <c r="T1494" i="2" s="1"/>
  <c r="T1493" i="2"/>
  <c r="T1493" i="2" a="1"/>
  <c r="T1492" i="2" a="1"/>
  <c r="T1492" i="2" s="1"/>
  <c r="T1491" i="2" a="1"/>
  <c r="T1491" i="2" s="1"/>
  <c r="T1490" i="2" a="1"/>
  <c r="T1490" i="2" s="1"/>
  <c r="T1489" i="2" a="1"/>
  <c r="T1489" i="2" s="1"/>
  <c r="T1488" i="2" a="1"/>
  <c r="T1488" i="2" s="1"/>
  <c r="T1487" i="2" a="1"/>
  <c r="T1487" i="2" s="1"/>
  <c r="T1486" i="2" a="1"/>
  <c r="T1486" i="2" s="1"/>
  <c r="T1485" i="2" a="1"/>
  <c r="T1485" i="2" s="1"/>
  <c r="T1484" i="2" a="1"/>
  <c r="T1484" i="2" s="1"/>
  <c r="T1483" i="2" a="1"/>
  <c r="T1483" i="2" s="1"/>
  <c r="T1482" i="2" a="1"/>
  <c r="T1482" i="2" s="1"/>
  <c r="T1481" i="2"/>
  <c r="T1481" i="2" a="1"/>
  <c r="T1480" i="2" a="1"/>
  <c r="T1480" i="2" s="1"/>
  <c r="T1479" i="2" a="1"/>
  <c r="T1479" i="2" s="1"/>
  <c r="T1478" i="2" a="1"/>
  <c r="T1478" i="2" s="1"/>
  <c r="T1477" i="2" a="1"/>
  <c r="T1477" i="2" s="1"/>
  <c r="T1476" i="2" a="1"/>
  <c r="T1476" i="2" s="1"/>
  <c r="T1475" i="2" a="1"/>
  <c r="T1475" i="2" s="1"/>
  <c r="T1474" i="2" a="1"/>
  <c r="T1474" i="2" s="1"/>
  <c r="T1473" i="2" a="1"/>
  <c r="T1473" i="2" s="1"/>
  <c r="T1472" i="2" a="1"/>
  <c r="T1472" i="2" s="1"/>
  <c r="T1471" i="2" a="1"/>
  <c r="T1471" i="2" s="1"/>
  <c r="T1470" i="2" a="1"/>
  <c r="T1470" i="2" s="1"/>
  <c r="T1469" i="2" a="1"/>
  <c r="T1469" i="2" s="1"/>
  <c r="T1468" i="2" a="1"/>
  <c r="T1468" i="2" s="1"/>
  <c r="T1467" i="2" a="1"/>
  <c r="T1467" i="2" s="1"/>
  <c r="T1466" i="2" a="1"/>
  <c r="T1466" i="2" s="1"/>
  <c r="T1465" i="2"/>
  <c r="T1465" i="2" a="1"/>
  <c r="T1464" i="2" a="1"/>
  <c r="T1464" i="2" s="1"/>
  <c r="T1463" i="2" a="1"/>
  <c r="T1463" i="2" s="1"/>
  <c r="T1462" i="2" a="1"/>
  <c r="T1462" i="2" s="1"/>
  <c r="T1461" i="2" a="1"/>
  <c r="T1461" i="2" s="1"/>
  <c r="T1460" i="2" a="1"/>
  <c r="T1460" i="2" s="1"/>
  <c r="T1459" i="2" a="1"/>
  <c r="T1459" i="2" s="1"/>
  <c r="T1458" i="2" a="1"/>
  <c r="T1458" i="2" s="1"/>
  <c r="T1457" i="2"/>
  <c r="T1457" i="2" a="1"/>
  <c r="T1456" i="2" a="1"/>
  <c r="T1456" i="2" s="1"/>
  <c r="T1455" i="2" a="1"/>
  <c r="T1455" i="2" s="1"/>
  <c r="T1454" i="2" a="1"/>
  <c r="T1454" i="2" s="1"/>
  <c r="T1453" i="2" a="1"/>
  <c r="T1453" i="2" s="1"/>
  <c r="T1452" i="2" a="1"/>
  <c r="T1452" i="2" s="1"/>
  <c r="T1451" i="2" a="1"/>
  <c r="T1451" i="2" s="1"/>
  <c r="T1450" i="2" a="1"/>
  <c r="T1450" i="2" s="1"/>
  <c r="T1449" i="2" a="1"/>
  <c r="T1449" i="2" s="1"/>
  <c r="T1448" i="2" a="1"/>
  <c r="T1448" i="2" s="1"/>
  <c r="T1447" i="2" a="1"/>
  <c r="T1447" i="2" s="1"/>
  <c r="T1446" i="2" a="1"/>
  <c r="T1446" i="2" s="1"/>
  <c r="T1445" i="2"/>
  <c r="T1445" i="2" a="1"/>
  <c r="T1444" i="2" a="1"/>
  <c r="T1444" i="2" s="1"/>
  <c r="T1443" i="2" a="1"/>
  <c r="T1443" i="2" s="1"/>
  <c r="T1442" i="2"/>
  <c r="T1442" i="2" a="1"/>
  <c r="T1441" i="2" a="1"/>
  <c r="T1441" i="2" s="1"/>
  <c r="T1440" i="2" a="1"/>
  <c r="T1440" i="2" s="1"/>
  <c r="T1439" i="2" a="1"/>
  <c r="T1439" i="2" s="1"/>
  <c r="T1438" i="2" a="1"/>
  <c r="T1438" i="2" s="1"/>
  <c r="T1437" i="2" a="1"/>
  <c r="T1437" i="2" s="1"/>
  <c r="T1436" i="2" a="1"/>
  <c r="T1436" i="2" s="1"/>
  <c r="T1435" i="2" a="1"/>
  <c r="T1435" i="2" s="1"/>
  <c r="T1434" i="2" a="1"/>
  <c r="T1434" i="2" s="1"/>
  <c r="T1433" i="2" a="1"/>
  <c r="T1433" i="2" s="1"/>
  <c r="T1432" i="2" a="1"/>
  <c r="T1432" i="2" s="1"/>
  <c r="T1431" i="2" a="1"/>
  <c r="T1431" i="2" s="1"/>
  <c r="T1430" i="2" a="1"/>
  <c r="T1430" i="2" s="1"/>
  <c r="T1429" i="2"/>
  <c r="T1429" i="2" a="1"/>
  <c r="T1428" i="2" a="1"/>
  <c r="T1428" i="2" s="1"/>
  <c r="T1427" i="2" a="1"/>
  <c r="T1427" i="2" s="1"/>
  <c r="T1426" i="2" a="1"/>
  <c r="T1426" i="2" s="1"/>
  <c r="T1425" i="2" a="1"/>
  <c r="T1425" i="2" s="1"/>
  <c r="T1424" i="2" a="1"/>
  <c r="T1424" i="2" s="1"/>
  <c r="T1423" i="2" a="1"/>
  <c r="T1423" i="2" s="1"/>
  <c r="T1422" i="2"/>
  <c r="T1422" i="2" a="1"/>
  <c r="T1421" i="2"/>
  <c r="T1421" i="2" a="1"/>
  <c r="T1420" i="2" a="1"/>
  <c r="T1420" i="2" s="1"/>
  <c r="T1419" i="2" a="1"/>
  <c r="T1419" i="2" s="1"/>
  <c r="T1418" i="2" a="1"/>
  <c r="T1418" i="2" s="1"/>
  <c r="T1417" i="2" a="1"/>
  <c r="T1417" i="2" s="1"/>
  <c r="T1416" i="2" a="1"/>
  <c r="T1416" i="2" s="1"/>
  <c r="T1415" i="2" a="1"/>
  <c r="T1415" i="2" s="1"/>
  <c r="T1414" i="2" a="1"/>
  <c r="T1414" i="2" s="1"/>
  <c r="T1413" i="2" a="1"/>
  <c r="T1413" i="2" s="1"/>
  <c r="T1412" i="2" a="1"/>
  <c r="T1412" i="2" s="1"/>
  <c r="T1411" i="2" a="1"/>
  <c r="T1411" i="2" s="1"/>
  <c r="T1410" i="2" a="1"/>
  <c r="T1410" i="2" s="1"/>
  <c r="T1409" i="2"/>
  <c r="T1409" i="2" a="1"/>
  <c r="T1408" i="2" a="1"/>
  <c r="T1408" i="2" s="1"/>
  <c r="T1407" i="2" a="1"/>
  <c r="T1407" i="2" s="1"/>
  <c r="T1406" i="2"/>
  <c r="T1406" i="2" a="1"/>
  <c r="T1405" i="2" a="1"/>
  <c r="T1405" i="2" s="1"/>
  <c r="T1404" i="2" a="1"/>
  <c r="T1404" i="2" s="1"/>
  <c r="T1403" i="2" a="1"/>
  <c r="T1403" i="2" s="1"/>
  <c r="T1402" i="2" a="1"/>
  <c r="T1402" i="2" s="1"/>
  <c r="T1401" i="2" a="1"/>
  <c r="T1401" i="2" s="1"/>
  <c r="T1400" i="2" a="1"/>
  <c r="T1400" i="2" s="1"/>
  <c r="T1399" i="2" a="1"/>
  <c r="T1399" i="2" s="1"/>
  <c r="T1398" i="2" a="1"/>
  <c r="T1398" i="2" s="1"/>
  <c r="T1397" i="2" a="1"/>
  <c r="T1397" i="2" s="1"/>
  <c r="T1396" i="2" a="1"/>
  <c r="T1396" i="2" s="1"/>
  <c r="T1395" i="2" a="1"/>
  <c r="T1395" i="2" s="1"/>
  <c r="T1394" i="2" a="1"/>
  <c r="T1394" i="2" s="1"/>
  <c r="T1393" i="2"/>
  <c r="T1393" i="2" a="1"/>
  <c r="T1392" i="2" a="1"/>
  <c r="T1392" i="2" s="1"/>
  <c r="T1391" i="2" a="1"/>
  <c r="T1391" i="2" s="1"/>
  <c r="T1390" i="2" a="1"/>
  <c r="T1390" i="2" s="1"/>
  <c r="T1389" i="2" a="1"/>
  <c r="T1389" i="2" s="1"/>
  <c r="T1388" i="2" a="1"/>
  <c r="T1388" i="2" s="1"/>
  <c r="T1387" i="2"/>
  <c r="T1387" i="2" a="1"/>
  <c r="T1386" i="2"/>
  <c r="T1386" i="2" a="1"/>
  <c r="T1385" i="2"/>
  <c r="T1385" i="2" a="1"/>
  <c r="T1384" i="2" a="1"/>
  <c r="T1384" i="2" s="1"/>
  <c r="T1383" i="2" a="1"/>
  <c r="T1383" i="2" s="1"/>
  <c r="T1382" i="2" a="1"/>
  <c r="T1382" i="2" s="1"/>
  <c r="T1381" i="2" a="1"/>
  <c r="T1381" i="2" s="1"/>
  <c r="T1380" i="2" a="1"/>
  <c r="T1380" i="2" s="1"/>
  <c r="T1379" i="2" a="1"/>
  <c r="T1379" i="2" s="1"/>
  <c r="T1378" i="2" a="1"/>
  <c r="T1378" i="2" s="1"/>
  <c r="T1377" i="2" a="1"/>
  <c r="T1377" i="2" s="1"/>
  <c r="T1376" i="2" a="1"/>
  <c r="T1376" i="2" s="1"/>
  <c r="T1375" i="2" a="1"/>
  <c r="T1375" i="2" s="1"/>
  <c r="T1374" i="2" a="1"/>
  <c r="T1374" i="2" s="1"/>
  <c r="T1373" i="2"/>
  <c r="T1373" i="2" a="1"/>
  <c r="T1372" i="2" a="1"/>
  <c r="T1372" i="2" s="1"/>
  <c r="T1371" i="2" a="1"/>
  <c r="T1371" i="2" s="1"/>
  <c r="T1370" i="2" a="1"/>
  <c r="T1370" i="2" s="1"/>
  <c r="T1369" i="2" a="1"/>
  <c r="T1369" i="2" s="1"/>
  <c r="T1368" i="2" a="1"/>
  <c r="T1368" i="2" s="1"/>
  <c r="T1367" i="2" a="1"/>
  <c r="T1367" i="2" s="1"/>
  <c r="T1366" i="2" a="1"/>
  <c r="T1366" i="2" s="1"/>
  <c r="T1365" i="2" a="1"/>
  <c r="T1365" i="2" s="1"/>
  <c r="T1364" i="2" a="1"/>
  <c r="T1364" i="2" s="1"/>
  <c r="T1363" i="2" a="1"/>
  <c r="T1363" i="2" s="1"/>
  <c r="T1362" i="2" a="1"/>
  <c r="T1362" i="2" s="1"/>
  <c r="T1361" i="2" a="1"/>
  <c r="T1361" i="2" s="1"/>
  <c r="T1360" i="2" a="1"/>
  <c r="T1360" i="2" s="1"/>
  <c r="T1359" i="2" a="1"/>
  <c r="T1359" i="2" s="1"/>
  <c r="T1358" i="2"/>
  <c r="T1358" i="2" a="1"/>
  <c r="T1357" i="2"/>
  <c r="T1357" i="2" a="1"/>
  <c r="T1356" i="2" a="1"/>
  <c r="T1356" i="2" s="1"/>
  <c r="T1355" i="2" a="1"/>
  <c r="T1355" i="2" s="1"/>
  <c r="T1354" i="2" a="1"/>
  <c r="T1354" i="2" s="1"/>
  <c r="T1353" i="2" a="1"/>
  <c r="T1353" i="2" s="1"/>
  <c r="T1352" i="2" a="1"/>
  <c r="T1352" i="2" s="1"/>
  <c r="T1351" i="2" a="1"/>
  <c r="T1351" i="2" s="1"/>
  <c r="T1350" i="2" a="1"/>
  <c r="T1350" i="2" s="1"/>
  <c r="T1349" i="2"/>
  <c r="T1349" i="2" a="1"/>
  <c r="T1348" i="2" a="1"/>
  <c r="T1348" i="2" s="1"/>
  <c r="T1347" i="2" a="1"/>
  <c r="T1347" i="2" s="1"/>
  <c r="T1346" i="2" a="1"/>
  <c r="T1346" i="2" s="1"/>
  <c r="T1345" i="2" a="1"/>
  <c r="T1345" i="2" s="1"/>
  <c r="T1344" i="2" a="1"/>
  <c r="T1344" i="2" s="1"/>
  <c r="T1343" i="2" a="1"/>
  <c r="T1343" i="2" s="1"/>
  <c r="T1342" i="2" a="1"/>
  <c r="T1342" i="2" s="1"/>
  <c r="T1341" i="2" a="1"/>
  <c r="T1341" i="2" s="1"/>
  <c r="T1340" i="2" a="1"/>
  <c r="T1340" i="2" s="1"/>
  <c r="T1339" i="2" a="1"/>
  <c r="T1339" i="2" s="1"/>
  <c r="T1338" i="2" a="1"/>
  <c r="T1338" i="2" s="1"/>
  <c r="T1337" i="2"/>
  <c r="T1337" i="2" a="1"/>
  <c r="T1336" i="2" a="1"/>
  <c r="T1336" i="2" s="1"/>
  <c r="T1335" i="2" a="1"/>
  <c r="T1335" i="2" s="1"/>
  <c r="T1334" i="2" a="1"/>
  <c r="T1334" i="2" s="1"/>
  <c r="T1333" i="2" a="1"/>
  <c r="T1333" i="2" s="1"/>
  <c r="T1332" i="2" a="1"/>
  <c r="T1332" i="2" s="1"/>
  <c r="T1331" i="2" a="1"/>
  <c r="T1331" i="2" s="1"/>
  <c r="T1330" i="2" a="1"/>
  <c r="T1330" i="2" s="1"/>
  <c r="T1329" i="2" a="1"/>
  <c r="T1329" i="2" s="1"/>
  <c r="T1328" i="2" a="1"/>
  <c r="T1328" i="2" s="1"/>
  <c r="T1327" i="2" a="1"/>
  <c r="T1327" i="2" s="1"/>
  <c r="T1326" i="2" a="1"/>
  <c r="T1326" i="2" s="1"/>
  <c r="T1325" i="2" a="1"/>
  <c r="T1325" i="2" s="1"/>
  <c r="T1324" i="2" a="1"/>
  <c r="T1324" i="2" s="1"/>
  <c r="T1323" i="2" a="1"/>
  <c r="T1323" i="2" s="1"/>
  <c r="T1322" i="2" a="1"/>
  <c r="T1322" i="2" s="1"/>
  <c r="T1321" i="2"/>
  <c r="T1321" i="2" a="1"/>
  <c r="T1320" i="2" a="1"/>
  <c r="T1320" i="2" s="1"/>
  <c r="T1319" i="2" a="1"/>
  <c r="T1319" i="2" s="1"/>
  <c r="T1318" i="2" a="1"/>
  <c r="T1318" i="2" s="1"/>
  <c r="T1317" i="2" a="1"/>
  <c r="T1317" i="2" s="1"/>
  <c r="T1316" i="2" a="1"/>
  <c r="T1316" i="2" s="1"/>
  <c r="T1315" i="2" a="1"/>
  <c r="T1315" i="2" s="1"/>
  <c r="T1314" i="2" a="1"/>
  <c r="T1314" i="2" s="1"/>
  <c r="T1313" i="2"/>
  <c r="T1313" i="2" a="1"/>
  <c r="T1312" i="2" a="1"/>
  <c r="T1312" i="2" s="1"/>
  <c r="T1311" i="2" a="1"/>
  <c r="T1311" i="2" s="1"/>
  <c r="T1310" i="2" a="1"/>
  <c r="T1310" i="2" s="1"/>
  <c r="T1309" i="2" a="1"/>
  <c r="T1309" i="2" s="1"/>
  <c r="T1308" i="2"/>
  <c r="T1308" i="2" a="1"/>
  <c r="T1307" i="2" a="1"/>
  <c r="T1307" i="2" s="1"/>
  <c r="T1306" i="2" a="1"/>
  <c r="T1306" i="2" s="1"/>
  <c r="T1305" i="2" a="1"/>
  <c r="T1305" i="2" s="1"/>
  <c r="T1304" i="2" a="1"/>
  <c r="T1304" i="2" s="1"/>
  <c r="T1303" i="2" a="1"/>
  <c r="T1303" i="2" s="1"/>
  <c r="T1302" i="2" a="1"/>
  <c r="T1302" i="2" s="1"/>
  <c r="T1301" i="2"/>
  <c r="T1301" i="2" a="1"/>
  <c r="T1300" i="2" a="1"/>
  <c r="T1300" i="2" s="1"/>
  <c r="T1299" i="2" a="1"/>
  <c r="T1299" i="2" s="1"/>
  <c r="T1298" i="2"/>
  <c r="T1298" i="2" a="1"/>
  <c r="T1297" i="2" a="1"/>
  <c r="T1297" i="2" s="1"/>
  <c r="T1296" i="2" a="1"/>
  <c r="T1296" i="2" s="1"/>
  <c r="T1295" i="2" a="1"/>
  <c r="T1295" i="2" s="1"/>
  <c r="T1294" i="2" a="1"/>
  <c r="T1294" i="2" s="1"/>
  <c r="T1293" i="2" a="1"/>
  <c r="T1293" i="2" s="1"/>
  <c r="T1292" i="2" a="1"/>
  <c r="T1292" i="2" s="1"/>
  <c r="T1291" i="2" a="1"/>
  <c r="T1291" i="2" s="1"/>
  <c r="T1290" i="2" a="1"/>
  <c r="T1290" i="2" s="1"/>
  <c r="T1289" i="2" a="1"/>
  <c r="T1289" i="2" s="1"/>
  <c r="T1288" i="2" a="1"/>
  <c r="T1288" i="2" s="1"/>
  <c r="T1287" i="2" a="1"/>
  <c r="T1287" i="2" s="1"/>
  <c r="T1286" i="2" a="1"/>
  <c r="T1286" i="2" s="1"/>
  <c r="T1285" i="2"/>
  <c r="T1285" i="2" a="1"/>
  <c r="T1284" i="2" a="1"/>
  <c r="T1284" i="2" s="1"/>
  <c r="T1283" i="2" a="1"/>
  <c r="T1283" i="2" s="1"/>
  <c r="T1282" i="2" a="1"/>
  <c r="T1282" i="2" s="1"/>
  <c r="T1281" i="2" a="1"/>
  <c r="T1281" i="2" s="1"/>
  <c r="T1280" i="2" a="1"/>
  <c r="T1280" i="2" s="1"/>
  <c r="T1279" i="2" a="1"/>
  <c r="T1279" i="2" s="1"/>
  <c r="T1278" i="2"/>
  <c r="T1278" i="2" a="1"/>
  <c r="T1277" i="2"/>
  <c r="T1277" i="2" a="1"/>
  <c r="T1276" i="2" a="1"/>
  <c r="T1276" i="2" s="1"/>
  <c r="T1275" i="2" a="1"/>
  <c r="T1275" i="2" s="1"/>
  <c r="T1274" i="2" a="1"/>
  <c r="T1274" i="2" s="1"/>
  <c r="T1273" i="2" a="1"/>
  <c r="T1273" i="2" s="1"/>
  <c r="T1272" i="2"/>
  <c r="T1272" i="2" a="1"/>
  <c r="T1271" i="2" a="1"/>
  <c r="T1271" i="2" s="1"/>
  <c r="T1270" i="2" a="1"/>
  <c r="T1270" i="2" s="1"/>
  <c r="T1269" i="2" a="1"/>
  <c r="T1269" i="2" s="1"/>
  <c r="T1268" i="2" a="1"/>
  <c r="T1268" i="2" s="1"/>
  <c r="T1267" i="2" a="1"/>
  <c r="T1267" i="2" s="1"/>
  <c r="T1266" i="2" a="1"/>
  <c r="T1266" i="2" s="1"/>
  <c r="T1265" i="2"/>
  <c r="T1265" i="2" a="1"/>
  <c r="T1264" i="2" a="1"/>
  <c r="T1264" i="2" s="1"/>
  <c r="T1263" i="2" a="1"/>
  <c r="T1263" i="2" s="1"/>
  <c r="T1262" i="2"/>
  <c r="T1262" i="2" a="1"/>
  <c r="T1261" i="2" a="1"/>
  <c r="T1261" i="2" s="1"/>
  <c r="T1260" i="2" a="1"/>
  <c r="T1260" i="2" s="1"/>
  <c r="T1259" i="2" a="1"/>
  <c r="T1259" i="2" s="1"/>
  <c r="T1258" i="2" a="1"/>
  <c r="T1258" i="2" s="1"/>
  <c r="T1257" i="2" a="1"/>
  <c r="T1257" i="2" s="1"/>
  <c r="T1256" i="2" a="1"/>
  <c r="T1256" i="2" s="1"/>
  <c r="T1255" i="2" a="1"/>
  <c r="T1255" i="2" s="1"/>
  <c r="T1254" i="2" a="1"/>
  <c r="T1254" i="2" s="1"/>
  <c r="T1253" i="2" a="1"/>
  <c r="T1253" i="2" s="1"/>
  <c r="T1252" i="2" a="1"/>
  <c r="T1252" i="2" s="1"/>
  <c r="T1251" i="2" a="1"/>
  <c r="T1251" i="2" s="1"/>
  <c r="T1250" i="2" a="1"/>
  <c r="T1250" i="2" s="1"/>
  <c r="T1249" i="2"/>
  <c r="T1249" i="2" a="1"/>
  <c r="T1248" i="2" a="1"/>
  <c r="T1248" i="2" s="1"/>
  <c r="T1247" i="2" a="1"/>
  <c r="T1247" i="2" s="1"/>
  <c r="T1246" i="2" a="1"/>
  <c r="T1246" i="2" s="1"/>
  <c r="T1245" i="2" a="1"/>
  <c r="T1245" i="2" s="1"/>
  <c r="T1244" i="2" a="1"/>
  <c r="T1244" i="2" s="1"/>
  <c r="T1243" i="2" a="1"/>
  <c r="T1243" i="2" s="1"/>
  <c r="T1242" i="2"/>
  <c r="T1242" i="2" a="1"/>
  <c r="T1241" i="2"/>
  <c r="T1241" i="2" a="1"/>
  <c r="T1240" i="2" a="1"/>
  <c r="T1240" i="2" s="1"/>
  <c r="T1239" i="2" a="1"/>
  <c r="T1239" i="2" s="1"/>
  <c r="T1238" i="2" a="1"/>
  <c r="T1238" i="2" s="1"/>
  <c r="T1237" i="2" a="1"/>
  <c r="T1237" i="2" s="1"/>
  <c r="T1236" i="2" a="1"/>
  <c r="T1236" i="2" s="1"/>
  <c r="T1235" i="2" a="1"/>
  <c r="T1235" i="2" s="1"/>
  <c r="T1234" i="2" a="1"/>
  <c r="T1234" i="2" s="1"/>
  <c r="T1233" i="2" a="1"/>
  <c r="T1233" i="2" s="1"/>
  <c r="T1232" i="2" a="1"/>
  <c r="T1232" i="2" s="1"/>
  <c r="T1231" i="2" a="1"/>
  <c r="T1231" i="2" s="1"/>
  <c r="T1230" i="2" a="1"/>
  <c r="T1230" i="2" s="1"/>
  <c r="T1229" i="2"/>
  <c r="T1229" i="2" a="1"/>
  <c r="T1228" i="2" a="1"/>
  <c r="T1228" i="2" s="1"/>
  <c r="T1227" i="2" a="1"/>
  <c r="T1227" i="2" s="1"/>
  <c r="T1226" i="2" a="1"/>
  <c r="T1226" i="2" s="1"/>
  <c r="T1225" i="2" a="1"/>
  <c r="T1225" i="2" s="1"/>
  <c r="T1224" i="2" a="1"/>
  <c r="T1224" i="2" s="1"/>
  <c r="T1223" i="2" a="1"/>
  <c r="T1223" i="2" s="1"/>
  <c r="T1222" i="2" a="1"/>
  <c r="T1222" i="2" s="1"/>
  <c r="T1221" i="2" a="1"/>
  <c r="T1221" i="2" s="1"/>
  <c r="T1220" i="2" a="1"/>
  <c r="T1220" i="2" s="1"/>
  <c r="T1219" i="2" a="1"/>
  <c r="T1219" i="2" s="1"/>
  <c r="T1218" i="2" a="1"/>
  <c r="T1218" i="2" s="1"/>
  <c r="T1217" i="2" a="1"/>
  <c r="T1217" i="2" s="1"/>
  <c r="T1216" i="2" a="1"/>
  <c r="T1216" i="2" s="1"/>
  <c r="T1215" i="2" a="1"/>
  <c r="T1215" i="2" s="1"/>
  <c r="T1214" i="2" a="1"/>
  <c r="T1214" i="2" s="1"/>
  <c r="T1213" i="2"/>
  <c r="T1213" i="2" a="1"/>
  <c r="T1212" i="2" a="1"/>
  <c r="T1212" i="2" s="1"/>
  <c r="T1211" i="2" a="1"/>
  <c r="T1211" i="2" s="1"/>
  <c r="T1210" i="2" a="1"/>
  <c r="T1210" i="2" s="1"/>
  <c r="T1209" i="2" a="1"/>
  <c r="T1209" i="2" s="1"/>
  <c r="T1208" i="2" a="1"/>
  <c r="T1208" i="2" s="1"/>
  <c r="T1207" i="2" a="1"/>
  <c r="T1207" i="2" s="1"/>
  <c r="T1206" i="2" a="1"/>
  <c r="T1206" i="2" s="1"/>
  <c r="T1205" i="2"/>
  <c r="T1205" i="2" a="1"/>
  <c r="T1204" i="2" a="1"/>
  <c r="T1204" i="2" s="1"/>
  <c r="T1203" i="2" a="1"/>
  <c r="T1203" i="2" s="1"/>
  <c r="T1202" i="2" a="1"/>
  <c r="T1202" i="2" s="1"/>
  <c r="T1201" i="2" a="1"/>
  <c r="T1201" i="2" s="1"/>
  <c r="T1200" i="2" a="1"/>
  <c r="T1200" i="2" s="1"/>
  <c r="T1199" i="2" a="1"/>
  <c r="T1199" i="2" s="1"/>
  <c r="T1198" i="2" a="1"/>
  <c r="T1198" i="2" s="1"/>
  <c r="T1197" i="2" a="1"/>
  <c r="T1197" i="2" s="1"/>
  <c r="T1196" i="2" a="1"/>
  <c r="T1196" i="2" s="1"/>
  <c r="T1195" i="2" a="1"/>
  <c r="T1195" i="2" s="1"/>
  <c r="T1194" i="2" a="1"/>
  <c r="T1194" i="2" s="1"/>
  <c r="T1193" i="2"/>
  <c r="T1193" i="2" a="1"/>
  <c r="T1192" i="2" a="1"/>
  <c r="T1192" i="2" s="1"/>
  <c r="T1191" i="2" a="1"/>
  <c r="T1191" i="2" s="1"/>
  <c r="T1190" i="2" a="1"/>
  <c r="T1190" i="2" s="1"/>
  <c r="T1189" i="2" a="1"/>
  <c r="T1189" i="2" s="1"/>
  <c r="T1188" i="2" a="1"/>
  <c r="T1188" i="2" s="1"/>
  <c r="T1187" i="2" a="1"/>
  <c r="T1187" i="2" s="1"/>
  <c r="T1186" i="2" a="1"/>
  <c r="T1186" i="2" s="1"/>
  <c r="T1185" i="2" a="1"/>
  <c r="T1185" i="2" s="1"/>
  <c r="T1184" i="2" a="1"/>
  <c r="T1184" i="2" s="1"/>
  <c r="T1183" i="2" a="1"/>
  <c r="T1183" i="2" s="1"/>
  <c r="T1182" i="2" a="1"/>
  <c r="T1182" i="2" s="1"/>
  <c r="T1181" i="2" a="1"/>
  <c r="T1181" i="2" s="1"/>
  <c r="T1180" i="2" a="1"/>
  <c r="T1180" i="2" s="1"/>
  <c r="T1179" i="2" a="1"/>
  <c r="T1179" i="2" s="1"/>
  <c r="T1178" i="2" a="1"/>
  <c r="T1178" i="2" s="1"/>
  <c r="T1177" i="2"/>
  <c r="T1177" i="2" a="1"/>
  <c r="T1176" i="2" a="1"/>
  <c r="T1176" i="2" s="1"/>
  <c r="T1175" i="2" a="1"/>
  <c r="T1175" i="2" s="1"/>
  <c r="T1174" i="2" a="1"/>
  <c r="T1174" i="2" s="1"/>
  <c r="T1173" i="2" a="1"/>
  <c r="T1173" i="2" s="1"/>
  <c r="T1172" i="2" a="1"/>
  <c r="T1172" i="2" s="1"/>
  <c r="T1171" i="2" a="1"/>
  <c r="T1171" i="2" s="1"/>
  <c r="T1170" i="2" a="1"/>
  <c r="T1170" i="2" s="1"/>
  <c r="T1169" i="2"/>
  <c r="T1169" i="2" a="1"/>
  <c r="T1168" i="2" a="1"/>
  <c r="T1168" i="2" s="1"/>
  <c r="T1167" i="2" a="1"/>
  <c r="T1167" i="2" s="1"/>
  <c r="T1166" i="2" a="1"/>
  <c r="T1166" i="2" s="1"/>
  <c r="T1165" i="2" a="1"/>
  <c r="T1165" i="2" s="1"/>
  <c r="T1164" i="2"/>
  <c r="T1164" i="2" a="1"/>
  <c r="T1163" i="2" a="1"/>
  <c r="T1163" i="2" s="1"/>
  <c r="T1162" i="2" a="1"/>
  <c r="T1162" i="2" s="1"/>
  <c r="T1161" i="2" a="1"/>
  <c r="T1161" i="2" s="1"/>
  <c r="T1160" i="2" a="1"/>
  <c r="T1160" i="2" s="1"/>
  <c r="T1159" i="2" a="1"/>
  <c r="T1159" i="2" s="1"/>
  <c r="T1158" i="2" a="1"/>
  <c r="T1158" i="2" s="1"/>
  <c r="T1157" i="2"/>
  <c r="T1157" i="2" a="1"/>
  <c r="T1156" i="2" a="1"/>
  <c r="T1156" i="2" s="1"/>
  <c r="T1155" i="2" a="1"/>
  <c r="T1155" i="2" s="1"/>
  <c r="T1154" i="2"/>
  <c r="T1154" i="2" a="1"/>
  <c r="T1153" i="2" a="1"/>
  <c r="T1153" i="2" s="1"/>
  <c r="T1152" i="2" a="1"/>
  <c r="T1152" i="2" s="1"/>
  <c r="T1151" i="2" a="1"/>
  <c r="T1151" i="2" s="1"/>
  <c r="T1150" i="2" a="1"/>
  <c r="T1150" i="2" s="1"/>
  <c r="T1149" i="2" a="1"/>
  <c r="T1149" i="2" s="1"/>
  <c r="T1148" i="2" a="1"/>
  <c r="T1148" i="2" s="1"/>
  <c r="T1147" i="2" a="1"/>
  <c r="T1147" i="2" s="1"/>
  <c r="T1146" i="2" a="1"/>
  <c r="T1146" i="2" s="1"/>
  <c r="T1145" i="2" a="1"/>
  <c r="T1145" i="2" s="1"/>
  <c r="T1144" i="2" a="1"/>
  <c r="T1144" i="2" s="1"/>
  <c r="T1143" i="2" a="1"/>
  <c r="T1143" i="2" s="1"/>
  <c r="T1142" i="2" a="1"/>
  <c r="T1142" i="2" s="1"/>
  <c r="T1141" i="2"/>
  <c r="T1141" i="2" a="1"/>
  <c r="T1140" i="2" a="1"/>
  <c r="T1140" i="2" s="1"/>
  <c r="T1139" i="2" a="1"/>
  <c r="T1139" i="2" s="1"/>
  <c r="T1138" i="2" a="1"/>
  <c r="T1138" i="2" s="1"/>
  <c r="T1137" i="2" a="1"/>
  <c r="T1137" i="2" s="1"/>
  <c r="T1136" i="2" a="1"/>
  <c r="T1136" i="2" s="1"/>
  <c r="T1135" i="2" a="1"/>
  <c r="T1135" i="2" s="1"/>
  <c r="T1134" i="2"/>
  <c r="T1134" i="2" a="1"/>
  <c r="T1133" i="2"/>
  <c r="T1133" i="2" a="1"/>
  <c r="T1132" i="2" a="1"/>
  <c r="T1132" i="2" s="1"/>
  <c r="T1131" i="2" a="1"/>
  <c r="T1131" i="2" s="1"/>
  <c r="T1130" i="2" a="1"/>
  <c r="T1130" i="2" s="1"/>
  <c r="T1129" i="2" a="1"/>
  <c r="T1129" i="2" s="1"/>
  <c r="T1128" i="2" a="1"/>
  <c r="T1128" i="2" s="1"/>
  <c r="T1127" i="2" a="1"/>
  <c r="T1127" i="2" s="1"/>
  <c r="T1126" i="2" a="1"/>
  <c r="T1126" i="2" s="1"/>
  <c r="T1125" i="2" a="1"/>
  <c r="T1125" i="2" s="1"/>
  <c r="T1124" i="2" a="1"/>
  <c r="T1124" i="2" s="1"/>
  <c r="T1123" i="2" a="1"/>
  <c r="T1123" i="2" s="1"/>
  <c r="T1122" i="2" a="1"/>
  <c r="T1122" i="2" s="1"/>
  <c r="T1121" i="2"/>
  <c r="T1121" i="2" a="1"/>
  <c r="T1120" i="2" a="1"/>
  <c r="T1120" i="2" s="1"/>
  <c r="T1119" i="2" a="1"/>
  <c r="T1119" i="2" s="1"/>
  <c r="T1118" i="2"/>
  <c r="T1118" i="2" a="1"/>
  <c r="T1117" i="2" a="1"/>
  <c r="T1117" i="2" s="1"/>
  <c r="T1116" i="2" a="1"/>
  <c r="T1116" i="2" s="1"/>
  <c r="T1115" i="2" a="1"/>
  <c r="T1115" i="2" s="1"/>
  <c r="T1114" i="2" a="1"/>
  <c r="T1114" i="2" s="1"/>
  <c r="T1113" i="2" a="1"/>
  <c r="T1113" i="2" s="1"/>
  <c r="T1112" i="2" a="1"/>
  <c r="T1112" i="2" s="1"/>
  <c r="T1111" i="2" a="1"/>
  <c r="T1111" i="2" s="1"/>
  <c r="T1110" i="2" a="1"/>
  <c r="T1110" i="2" s="1"/>
  <c r="T1109" i="2" a="1"/>
  <c r="T1109" i="2" s="1"/>
  <c r="T1108" i="2" a="1"/>
  <c r="T1108" i="2" s="1"/>
  <c r="T1107" i="2" a="1"/>
  <c r="T1107" i="2" s="1"/>
  <c r="T1106" i="2" a="1"/>
  <c r="T1106" i="2" s="1"/>
  <c r="T1105" i="2"/>
  <c r="T1105" i="2" a="1"/>
  <c r="T1104" i="2" a="1"/>
  <c r="T1104" i="2" s="1"/>
  <c r="T1103" i="2" a="1"/>
  <c r="T1103" i="2" s="1"/>
  <c r="T1102" i="2" a="1"/>
  <c r="T1102" i="2" s="1"/>
  <c r="T1101" i="2" a="1"/>
  <c r="T1101" i="2" s="1"/>
  <c r="T1100" i="2" a="1"/>
  <c r="T1100" i="2" s="1"/>
  <c r="T1099" i="2" a="1"/>
  <c r="T1099" i="2" s="1"/>
  <c r="T1098" i="2"/>
  <c r="T1098" i="2" a="1"/>
  <c r="T1097" i="2"/>
  <c r="T1097" i="2" a="1"/>
  <c r="T1096" i="2" a="1"/>
  <c r="T1096" i="2" s="1"/>
  <c r="T1095" i="2" a="1"/>
  <c r="T1095" i="2" s="1"/>
  <c r="T1094" i="2" a="1"/>
  <c r="T1094" i="2" s="1"/>
  <c r="T1093" i="2" a="1"/>
  <c r="T1093" i="2" s="1"/>
  <c r="T1092" i="2" a="1"/>
  <c r="T1092" i="2" s="1"/>
  <c r="T1091" i="2" a="1"/>
  <c r="T1091" i="2" s="1"/>
  <c r="T1090" i="2" a="1"/>
  <c r="T1090" i="2" s="1"/>
  <c r="T1089" i="2" a="1"/>
  <c r="T1089" i="2" s="1"/>
  <c r="T1088" i="2" a="1"/>
  <c r="T1088" i="2" s="1"/>
  <c r="T1087" i="2" a="1"/>
  <c r="T1087" i="2" s="1"/>
  <c r="T1086" i="2" a="1"/>
  <c r="T1086" i="2" s="1"/>
  <c r="T1085" i="2"/>
  <c r="T1085" i="2" a="1"/>
  <c r="T1084" i="2" a="1"/>
  <c r="T1084" i="2" s="1"/>
  <c r="T1083" i="2" a="1"/>
  <c r="T1083" i="2" s="1"/>
  <c r="T1082" i="2" a="1"/>
  <c r="T1082" i="2" s="1"/>
  <c r="T1081" i="2" a="1"/>
  <c r="T1081" i="2" s="1"/>
  <c r="T1080" i="2" a="1"/>
  <c r="T1080" i="2" s="1"/>
  <c r="T1079" i="2" a="1"/>
  <c r="T1079" i="2" s="1"/>
  <c r="T1078" i="2" a="1"/>
  <c r="T1078" i="2" s="1"/>
  <c r="T1077" i="2" a="1"/>
  <c r="T1077" i="2" s="1"/>
  <c r="T1076" i="2" a="1"/>
  <c r="T1076" i="2" s="1"/>
  <c r="T1075" i="2" a="1"/>
  <c r="T1075" i="2" s="1"/>
  <c r="T1074" i="2" a="1"/>
  <c r="T1074" i="2" s="1"/>
  <c r="T1073" i="2" a="1"/>
  <c r="T1073" i="2" s="1"/>
  <c r="T1072" i="2" a="1"/>
  <c r="T1072" i="2" s="1"/>
  <c r="T1071" i="2" a="1"/>
  <c r="T1071" i="2" s="1"/>
  <c r="T1070" i="2" a="1"/>
  <c r="T1070" i="2" s="1"/>
  <c r="T1069" i="2"/>
  <c r="T1069" i="2" a="1"/>
  <c r="T1068" i="2" a="1"/>
  <c r="T1068" i="2" s="1"/>
  <c r="T1067" i="2" a="1"/>
  <c r="T1067" i="2" s="1"/>
  <c r="T1066" i="2" a="1"/>
  <c r="T1066" i="2" s="1"/>
  <c r="T1065" i="2" a="1"/>
  <c r="T1065" i="2" s="1"/>
  <c r="T1064" i="2" a="1"/>
  <c r="T1064" i="2" s="1"/>
  <c r="T1063" i="2" a="1"/>
  <c r="T1063" i="2" s="1"/>
  <c r="T1062" i="2" a="1"/>
  <c r="T1062" i="2" s="1"/>
  <c r="T1061" i="2"/>
  <c r="T1061" i="2" a="1"/>
  <c r="T1060" i="2" a="1"/>
  <c r="T1060" i="2" s="1"/>
  <c r="T1059" i="2" a="1"/>
  <c r="T1059" i="2" s="1"/>
  <c r="T1058" i="2" a="1"/>
  <c r="T1058" i="2" s="1"/>
  <c r="T1057" i="2" a="1"/>
  <c r="T1057" i="2" s="1"/>
  <c r="T1056" i="2" a="1"/>
  <c r="T1056" i="2" s="1"/>
  <c r="T1055" i="2" a="1"/>
  <c r="T1055" i="2" s="1"/>
  <c r="T1054" i="2" a="1"/>
  <c r="T1054" i="2" s="1"/>
  <c r="T1053" i="2" a="1"/>
  <c r="T1053" i="2" s="1"/>
  <c r="T1052" i="2" a="1"/>
  <c r="T1052" i="2" s="1"/>
  <c r="T1051" i="2" a="1"/>
  <c r="T1051" i="2" s="1"/>
  <c r="T1050" i="2" a="1"/>
  <c r="T1050" i="2" s="1"/>
  <c r="T1049" i="2"/>
  <c r="T1049" i="2" a="1"/>
  <c r="T1048" i="2" a="1"/>
  <c r="T1048" i="2" s="1"/>
  <c r="T1047" i="2" a="1"/>
  <c r="T1047" i="2" s="1"/>
  <c r="T1046" i="2" a="1"/>
  <c r="T1046" i="2" s="1"/>
  <c r="T1045" i="2" a="1"/>
  <c r="T1045" i="2" s="1"/>
  <c r="T1044" i="2" a="1"/>
  <c r="T1044" i="2" s="1"/>
  <c r="T1043" i="2" a="1"/>
  <c r="T1043" i="2" s="1"/>
  <c r="T1042" i="2" a="1"/>
  <c r="T1042" i="2" s="1"/>
  <c r="T1041" i="2" a="1"/>
  <c r="T1041" i="2" s="1"/>
  <c r="T1040" i="2" a="1"/>
  <c r="T1040" i="2" s="1"/>
  <c r="T1039" i="2" a="1"/>
  <c r="T1039" i="2" s="1"/>
  <c r="T1038" i="2" a="1"/>
  <c r="T1038" i="2" s="1"/>
  <c r="T1037" i="2" a="1"/>
  <c r="T1037" i="2" s="1"/>
  <c r="T1036" i="2" a="1"/>
  <c r="T1036" i="2" s="1"/>
  <c r="T1035" i="2" a="1"/>
  <c r="T1035" i="2" s="1"/>
  <c r="T1034" i="2" a="1"/>
  <c r="T1034" i="2" s="1"/>
  <c r="T1033" i="2"/>
  <c r="T1033" i="2" a="1"/>
  <c r="T1032" i="2" a="1"/>
  <c r="T1032" i="2" s="1"/>
  <c r="T1031" i="2" a="1"/>
  <c r="T1031" i="2" s="1"/>
  <c r="T1030" i="2" a="1"/>
  <c r="T1030" i="2" s="1"/>
  <c r="T1029" i="2" a="1"/>
  <c r="T1029" i="2" s="1"/>
  <c r="T1028" i="2" a="1"/>
  <c r="T1028" i="2" s="1"/>
  <c r="T1027" i="2" a="1"/>
  <c r="T1027" i="2" s="1"/>
  <c r="T1026" i="2" a="1"/>
  <c r="T1026" i="2" s="1"/>
  <c r="T1025" i="2"/>
  <c r="T1025" i="2" a="1"/>
  <c r="T1024" i="2" a="1"/>
  <c r="T1024" i="2" s="1"/>
  <c r="T1023" i="2" a="1"/>
  <c r="T1023" i="2" s="1"/>
  <c r="T1022" i="2" a="1"/>
  <c r="T1022" i="2" s="1"/>
  <c r="T1021" i="2" a="1"/>
  <c r="T1021" i="2" s="1"/>
  <c r="T1020" i="2"/>
  <c r="T1020" i="2" a="1"/>
  <c r="T1019" i="2" a="1"/>
  <c r="T1019" i="2" s="1"/>
  <c r="T1018" i="2" a="1"/>
  <c r="T1018" i="2" s="1"/>
  <c r="T1017" i="2" a="1"/>
  <c r="T1017" i="2" s="1"/>
  <c r="T1016" i="2" a="1"/>
  <c r="T1016" i="2" s="1"/>
  <c r="T1015" i="2" a="1"/>
  <c r="T1015" i="2" s="1"/>
  <c r="T1014" i="2" a="1"/>
  <c r="T1014" i="2" s="1"/>
  <c r="T1013" i="2"/>
  <c r="T1013" i="2" a="1"/>
  <c r="T1012" i="2" a="1"/>
  <c r="T1012" i="2" s="1"/>
  <c r="T1011" i="2" a="1"/>
  <c r="T1011" i="2" s="1"/>
  <c r="T1010" i="2"/>
  <c r="T1010" i="2" a="1"/>
  <c r="T1009" i="2" a="1"/>
  <c r="T1009" i="2" s="1"/>
  <c r="T1008" i="2" a="1"/>
  <c r="T1008" i="2" s="1"/>
  <c r="T1007" i="2" a="1"/>
  <c r="T1007" i="2" s="1"/>
  <c r="T1006" i="2" a="1"/>
  <c r="T1006" i="2" s="1"/>
  <c r="T1005" i="2" a="1"/>
  <c r="T1005" i="2" s="1"/>
  <c r="T1004" i="2" a="1"/>
  <c r="T1004" i="2" s="1"/>
  <c r="T1003" i="2" a="1"/>
  <c r="T1003" i="2" s="1"/>
  <c r="T1002" i="2" a="1"/>
  <c r="T1002" i="2" s="1"/>
  <c r="T1001" i="2" a="1"/>
  <c r="T1001" i="2" s="1"/>
  <c r="T1000" i="2" a="1"/>
  <c r="T1000" i="2" s="1"/>
  <c r="T999" i="2" a="1"/>
  <c r="T999" i="2" s="1"/>
  <c r="T998" i="2" a="1"/>
  <c r="T998" i="2" s="1"/>
  <c r="T997" i="2"/>
  <c r="T997" i="2" a="1"/>
  <c r="T996" i="2" a="1"/>
  <c r="T996" i="2" s="1"/>
  <c r="T995" i="2" a="1"/>
  <c r="T995" i="2" s="1"/>
  <c r="T994" i="2" a="1"/>
  <c r="T994" i="2" s="1"/>
  <c r="T993" i="2" a="1"/>
  <c r="T993" i="2" s="1"/>
  <c r="T992" i="2" a="1"/>
  <c r="T992" i="2" s="1"/>
  <c r="T991" i="2" a="1"/>
  <c r="T991" i="2" s="1"/>
  <c r="T990" i="2"/>
  <c r="T990" i="2" a="1"/>
  <c r="T989" i="2"/>
  <c r="T989" i="2" a="1"/>
  <c r="T988" i="2" a="1"/>
  <c r="T988" i="2" s="1"/>
  <c r="T987" i="2" a="1"/>
  <c r="T987" i="2" s="1"/>
  <c r="T986" i="2" a="1"/>
  <c r="T986" i="2" s="1"/>
  <c r="T985" i="2" a="1"/>
  <c r="T985" i="2" s="1"/>
  <c r="T984" i="2" a="1"/>
  <c r="T984" i="2" s="1"/>
  <c r="T983" i="2" a="1"/>
  <c r="T983" i="2" s="1"/>
  <c r="T982" i="2" a="1"/>
  <c r="T982" i="2" s="1"/>
  <c r="T981" i="2" a="1"/>
  <c r="T981" i="2" s="1"/>
  <c r="T980" i="2" a="1"/>
  <c r="T980" i="2" s="1"/>
  <c r="T979" i="2" a="1"/>
  <c r="T979" i="2" s="1"/>
  <c r="T978" i="2" a="1"/>
  <c r="T978" i="2" s="1"/>
  <c r="T977" i="2"/>
  <c r="T977" i="2" a="1"/>
  <c r="T976" i="2" a="1"/>
  <c r="T976" i="2" s="1"/>
  <c r="T975" i="2" a="1"/>
  <c r="T975" i="2" s="1"/>
  <c r="T974" i="2"/>
  <c r="T974" i="2" a="1"/>
  <c r="T973" i="2" a="1"/>
  <c r="T973" i="2" s="1"/>
  <c r="T972" i="2" a="1"/>
  <c r="T972" i="2" s="1"/>
  <c r="T971" i="2" a="1"/>
  <c r="T971" i="2" s="1"/>
  <c r="T970" i="2" a="1"/>
  <c r="T970" i="2" s="1"/>
  <c r="T969" i="2" a="1"/>
  <c r="T969" i="2" s="1"/>
  <c r="T968" i="2" a="1"/>
  <c r="T968" i="2" s="1"/>
  <c r="T967" i="2" a="1"/>
  <c r="T967" i="2" s="1"/>
  <c r="T966" i="2" a="1"/>
  <c r="T966" i="2" s="1"/>
  <c r="T965" i="2" a="1"/>
  <c r="T965" i="2" s="1"/>
  <c r="T964" i="2" a="1"/>
  <c r="T964" i="2" s="1"/>
  <c r="T963" i="2" a="1"/>
  <c r="T963" i="2" s="1"/>
  <c r="T962" i="2" a="1"/>
  <c r="T962" i="2" s="1"/>
  <c r="T961" i="2"/>
  <c r="T961" i="2" a="1"/>
  <c r="T960" i="2" a="1"/>
  <c r="T960" i="2" s="1"/>
  <c r="T959" i="2" a="1"/>
  <c r="T959" i="2" s="1"/>
  <c r="T958" i="2" a="1"/>
  <c r="T958" i="2" s="1"/>
  <c r="T957" i="2" a="1"/>
  <c r="T957" i="2" s="1"/>
  <c r="T956" i="2" a="1"/>
  <c r="T956" i="2" s="1"/>
  <c r="T955" i="2" a="1"/>
  <c r="T955" i="2" s="1"/>
  <c r="T954" i="2"/>
  <c r="T954" i="2" a="1"/>
  <c r="T953" i="2"/>
  <c r="T953" i="2" a="1"/>
  <c r="T952" i="2" a="1"/>
  <c r="T952" i="2" s="1"/>
  <c r="T951" i="2" a="1"/>
  <c r="T951" i="2" s="1"/>
  <c r="T950" i="2" a="1"/>
  <c r="T950" i="2" s="1"/>
  <c r="T949" i="2" a="1"/>
  <c r="T949" i="2" s="1"/>
  <c r="T948" i="2" a="1"/>
  <c r="T948" i="2" s="1"/>
  <c r="T947" i="2" a="1"/>
  <c r="T947" i="2" s="1"/>
  <c r="T946" i="2" a="1"/>
  <c r="T946" i="2" s="1"/>
  <c r="T945" i="2" a="1"/>
  <c r="T945" i="2" s="1"/>
  <c r="T944" i="2" a="1"/>
  <c r="T944" i="2" s="1"/>
  <c r="T943" i="2" a="1"/>
  <c r="T943" i="2" s="1"/>
  <c r="T942" i="2" a="1"/>
  <c r="T942" i="2" s="1"/>
  <c r="T941" i="2"/>
  <c r="T941" i="2" a="1"/>
  <c r="T940" i="2" a="1"/>
  <c r="T940" i="2" s="1"/>
  <c r="T939" i="2" a="1"/>
  <c r="T939" i="2" s="1"/>
  <c r="T938" i="2" a="1"/>
  <c r="T938" i="2" s="1"/>
  <c r="T937" i="2" a="1"/>
  <c r="T937" i="2" s="1"/>
  <c r="T936" i="2" a="1"/>
  <c r="T936" i="2" s="1"/>
  <c r="T935" i="2" a="1"/>
  <c r="T935" i="2" s="1"/>
  <c r="T934" i="2" a="1"/>
  <c r="T934" i="2" s="1"/>
  <c r="T933" i="2" a="1"/>
  <c r="T933" i="2" s="1"/>
  <c r="T932" i="2" a="1"/>
  <c r="T932" i="2" s="1"/>
  <c r="T931" i="2" a="1"/>
  <c r="T931" i="2" s="1"/>
  <c r="T930" i="2" a="1"/>
  <c r="T930" i="2" s="1"/>
  <c r="T929" i="2" a="1"/>
  <c r="T929" i="2" s="1"/>
  <c r="T928" i="2" a="1"/>
  <c r="T928" i="2" s="1"/>
  <c r="T927" i="2" a="1"/>
  <c r="T927" i="2" s="1"/>
  <c r="T926" i="2"/>
  <c r="T926" i="2" a="1"/>
  <c r="T925" i="2"/>
  <c r="T925" i="2" a="1"/>
  <c r="T924" i="2" a="1"/>
  <c r="T924" i="2" s="1"/>
  <c r="T923" i="2" a="1"/>
  <c r="T923" i="2" s="1"/>
  <c r="T922" i="2" a="1"/>
  <c r="T922" i="2" s="1"/>
  <c r="T921" i="2" a="1"/>
  <c r="T921" i="2" s="1"/>
  <c r="T920" i="2" a="1"/>
  <c r="T920" i="2" s="1"/>
  <c r="T919" i="2" a="1"/>
  <c r="T919" i="2" s="1"/>
  <c r="T918" i="2" a="1"/>
  <c r="T918" i="2" s="1"/>
  <c r="T917" i="2"/>
  <c r="T917" i="2" a="1"/>
  <c r="T916" i="2" a="1"/>
  <c r="T916" i="2" s="1"/>
  <c r="T915" i="2" a="1"/>
  <c r="T915" i="2" s="1"/>
  <c r="T914" i="2" a="1"/>
  <c r="T914" i="2" s="1"/>
  <c r="T913" i="2" a="1"/>
  <c r="T913" i="2" s="1"/>
  <c r="T912" i="2" a="1"/>
  <c r="T912" i="2" s="1"/>
  <c r="T911" i="2" a="1"/>
  <c r="T911" i="2" s="1"/>
  <c r="T910" i="2" a="1"/>
  <c r="T910" i="2" s="1"/>
  <c r="T909" i="2" a="1"/>
  <c r="T909" i="2" s="1"/>
  <c r="T908" i="2" a="1"/>
  <c r="T908" i="2" s="1"/>
  <c r="T907" i="2" a="1"/>
  <c r="T907" i="2" s="1"/>
  <c r="T906" i="2" a="1"/>
  <c r="T906" i="2" s="1"/>
  <c r="T905" i="2"/>
  <c r="T905" i="2" a="1"/>
  <c r="T904" i="2" a="1"/>
  <c r="T904" i="2" s="1"/>
  <c r="T903" i="2" a="1"/>
  <c r="T903" i="2" s="1"/>
  <c r="T902" i="2" a="1"/>
  <c r="T902" i="2" s="1"/>
  <c r="T901" i="2" a="1"/>
  <c r="T901" i="2" s="1"/>
  <c r="T900" i="2" a="1"/>
  <c r="T900" i="2" s="1"/>
  <c r="T899" i="2" a="1"/>
  <c r="T899" i="2" s="1"/>
  <c r="T898" i="2" a="1"/>
  <c r="T898" i="2" s="1"/>
  <c r="T897" i="2" a="1"/>
  <c r="T897" i="2" s="1"/>
  <c r="T896" i="2" a="1"/>
  <c r="T896" i="2" s="1"/>
  <c r="T895" i="2" a="1"/>
  <c r="T895" i="2" s="1"/>
  <c r="T894" i="2" a="1"/>
  <c r="T894" i="2" s="1"/>
  <c r="T893" i="2" a="1"/>
  <c r="T893" i="2" s="1"/>
  <c r="T892" i="2" a="1"/>
  <c r="T892" i="2" s="1"/>
  <c r="T891" i="2" a="1"/>
  <c r="T891" i="2" s="1"/>
  <c r="T890" i="2" a="1"/>
  <c r="T890" i="2" s="1"/>
  <c r="T889" i="2"/>
  <c r="T889" i="2" a="1"/>
  <c r="T888" i="2" a="1"/>
  <c r="T888" i="2" s="1"/>
  <c r="T887" i="2" a="1"/>
  <c r="T887" i="2" s="1"/>
  <c r="T886" i="2" a="1"/>
  <c r="T886" i="2" s="1"/>
  <c r="T885" i="2" a="1"/>
  <c r="T885" i="2" s="1"/>
  <c r="T884" i="2" a="1"/>
  <c r="T884" i="2" s="1"/>
  <c r="T883" i="2" a="1"/>
  <c r="T883" i="2" s="1"/>
  <c r="T882" i="2" a="1"/>
  <c r="T882" i="2" s="1"/>
  <c r="T881" i="2"/>
  <c r="T881" i="2" a="1"/>
  <c r="T880" i="2" a="1"/>
  <c r="T880" i="2" s="1"/>
  <c r="T879" i="2" a="1"/>
  <c r="T879" i="2" s="1"/>
  <c r="T878" i="2" a="1"/>
  <c r="T878" i="2" s="1"/>
  <c r="T877" i="2" a="1"/>
  <c r="T877" i="2" s="1"/>
  <c r="T876" i="2"/>
  <c r="T876" i="2" a="1"/>
  <c r="T875" i="2" a="1"/>
  <c r="T875" i="2" s="1"/>
  <c r="T874" i="2" a="1"/>
  <c r="T874" i="2" s="1"/>
  <c r="T873" i="2" a="1"/>
  <c r="T873" i="2" s="1"/>
  <c r="T872" i="2" a="1"/>
  <c r="T872" i="2" s="1"/>
  <c r="T871" i="2" a="1"/>
  <c r="T871" i="2" s="1"/>
  <c r="T870" i="2" a="1"/>
  <c r="T870" i="2" s="1"/>
  <c r="T869" i="2"/>
  <c r="T869" i="2" a="1"/>
  <c r="T868" i="2" a="1"/>
  <c r="T868" i="2" s="1"/>
  <c r="T867" i="2" a="1"/>
  <c r="T867" i="2" s="1"/>
  <c r="T866" i="2"/>
  <c r="T866" i="2" a="1"/>
  <c r="T865" i="2" a="1"/>
  <c r="T865" i="2" s="1"/>
  <c r="T864" i="2" a="1"/>
  <c r="T864" i="2" s="1"/>
  <c r="T863" i="2" a="1"/>
  <c r="T863" i="2" s="1"/>
  <c r="T862" i="2" a="1"/>
  <c r="T862" i="2" s="1"/>
  <c r="T861" i="2" a="1"/>
  <c r="T861" i="2" s="1"/>
  <c r="T860" i="2" a="1"/>
  <c r="T860" i="2" s="1"/>
  <c r="T859" i="2" a="1"/>
  <c r="T859" i="2" s="1"/>
  <c r="T858" i="2" a="1"/>
  <c r="T858" i="2" s="1"/>
  <c r="T857" i="2" a="1"/>
  <c r="T857" i="2" s="1"/>
  <c r="T856" i="2" a="1"/>
  <c r="T856" i="2" s="1"/>
  <c r="T855" i="2" a="1"/>
  <c r="T855" i="2" s="1"/>
  <c r="T854" i="2" a="1"/>
  <c r="T854" i="2" s="1"/>
  <c r="T853" i="2"/>
  <c r="T853" i="2" a="1"/>
  <c r="T852" i="2" a="1"/>
  <c r="T852" i="2" s="1"/>
  <c r="T851" i="2" a="1"/>
  <c r="T851" i="2" s="1"/>
  <c r="T850" i="2" a="1"/>
  <c r="T850" i="2" s="1"/>
  <c r="T849" i="2" a="1"/>
  <c r="T849" i="2" s="1"/>
  <c r="T848" i="2" a="1"/>
  <c r="T848" i="2" s="1"/>
  <c r="T847" i="2" a="1"/>
  <c r="T847" i="2" s="1"/>
  <c r="T846" i="2"/>
  <c r="T846" i="2" a="1"/>
  <c r="T845" i="2"/>
  <c r="T845" i="2" a="1"/>
  <c r="T844" i="2" a="1"/>
  <c r="T844" i="2" s="1"/>
  <c r="T843" i="2" a="1"/>
  <c r="T843" i="2" s="1"/>
  <c r="T842" i="2" a="1"/>
  <c r="T842" i="2" s="1"/>
  <c r="T841" i="2" a="1"/>
  <c r="T841" i="2" s="1"/>
  <c r="T840" i="2" a="1"/>
  <c r="T840" i="2" s="1"/>
  <c r="T839" i="2" a="1"/>
  <c r="T839" i="2" s="1"/>
  <c r="T838" i="2" a="1"/>
  <c r="T838" i="2" s="1"/>
  <c r="T837" i="2" a="1"/>
  <c r="T837" i="2" s="1"/>
  <c r="T836" i="2" a="1"/>
  <c r="T836" i="2" s="1"/>
  <c r="T835" i="2" a="1"/>
  <c r="T835" i="2" s="1"/>
  <c r="T834" i="2" a="1"/>
  <c r="T834" i="2" s="1"/>
  <c r="T833" i="2"/>
  <c r="T833" i="2" a="1"/>
  <c r="T832" i="2" a="1"/>
  <c r="T832" i="2" s="1"/>
  <c r="T831" i="2" a="1"/>
  <c r="T831" i="2" s="1"/>
  <c r="T830" i="2"/>
  <c r="T830" i="2" a="1"/>
  <c r="T829" i="2" a="1"/>
  <c r="T829" i="2" s="1"/>
  <c r="T828" i="2" a="1"/>
  <c r="T828" i="2" s="1"/>
  <c r="T827" i="2" a="1"/>
  <c r="T827" i="2" s="1"/>
  <c r="T826" i="2" a="1"/>
  <c r="T826" i="2" s="1"/>
  <c r="T825" i="2" a="1"/>
  <c r="T825" i="2" s="1"/>
  <c r="T824" i="2" a="1"/>
  <c r="T824" i="2" s="1"/>
  <c r="T823" i="2" a="1"/>
  <c r="T823" i="2" s="1"/>
  <c r="T822" i="2" a="1"/>
  <c r="T822" i="2" s="1"/>
  <c r="T821" i="2" a="1"/>
  <c r="T821" i="2" s="1"/>
  <c r="T820" i="2" a="1"/>
  <c r="T820" i="2" s="1"/>
  <c r="T819" i="2" a="1"/>
  <c r="T819" i="2" s="1"/>
  <c r="T818" i="2" a="1"/>
  <c r="T818" i="2" s="1"/>
  <c r="T817" i="2"/>
  <c r="T817" i="2" a="1"/>
  <c r="T816" i="2" a="1"/>
  <c r="T816" i="2" s="1"/>
  <c r="T815" i="2" a="1"/>
  <c r="T815" i="2" s="1"/>
  <c r="T814" i="2" a="1"/>
  <c r="T814" i="2" s="1"/>
  <c r="T813" i="2" a="1"/>
  <c r="T813" i="2" s="1"/>
  <c r="T812" i="2" a="1"/>
  <c r="T812" i="2" s="1"/>
  <c r="T811" i="2"/>
  <c r="T811" i="2" a="1"/>
  <c r="T810" i="2"/>
  <c r="T810" i="2" a="1"/>
  <c r="T809" i="2"/>
  <c r="T809" i="2" a="1"/>
  <c r="T808" i="2" a="1"/>
  <c r="T808" i="2" s="1"/>
  <c r="T807" i="2" a="1"/>
  <c r="T807" i="2" s="1"/>
  <c r="T806" i="2" a="1"/>
  <c r="T806" i="2" s="1"/>
  <c r="T805" i="2" a="1"/>
  <c r="T805" i="2" s="1"/>
  <c r="T804" i="2" a="1"/>
  <c r="T804" i="2" s="1"/>
  <c r="T803" i="2"/>
  <c r="T803" i="2" a="1"/>
  <c r="T802" i="2" a="1"/>
  <c r="T802" i="2" s="1"/>
  <c r="T801" i="2" a="1"/>
  <c r="T801" i="2" s="1"/>
  <c r="T800" i="2" a="1"/>
  <c r="T800" i="2" s="1"/>
  <c r="T799" i="2" a="1"/>
  <c r="T799" i="2" s="1"/>
  <c r="T798" i="2" a="1"/>
  <c r="T798" i="2" s="1"/>
  <c r="T797" i="2"/>
  <c r="T797" i="2" a="1"/>
  <c r="T796" i="2" a="1"/>
  <c r="T796" i="2" s="1"/>
  <c r="T795" i="2" a="1"/>
  <c r="T795" i="2" s="1"/>
  <c r="T794" i="2" a="1"/>
  <c r="T794" i="2" s="1"/>
  <c r="T793" i="2" a="1"/>
  <c r="T793" i="2" s="1"/>
  <c r="T792" i="2" a="1"/>
  <c r="T792" i="2" s="1"/>
  <c r="T791" i="2" a="1"/>
  <c r="T791" i="2" s="1"/>
  <c r="T790" i="2" a="1"/>
  <c r="T790" i="2" s="1"/>
  <c r="T789" i="2" a="1"/>
  <c r="T789" i="2" s="1"/>
  <c r="T788" i="2" a="1"/>
  <c r="T788" i="2" s="1"/>
  <c r="T787" i="2" a="1"/>
  <c r="T787" i="2" s="1"/>
  <c r="T786" i="2" a="1"/>
  <c r="T786" i="2" s="1"/>
  <c r="T785" i="2" a="1"/>
  <c r="T785" i="2" s="1"/>
  <c r="T784" i="2" a="1"/>
  <c r="T784" i="2" s="1"/>
  <c r="T783" i="2" a="1"/>
  <c r="T783" i="2" s="1"/>
  <c r="T782" i="2"/>
  <c r="T782" i="2" a="1"/>
  <c r="T781" i="2"/>
  <c r="T781" i="2" a="1"/>
  <c r="T780" i="2" a="1"/>
  <c r="T780" i="2" s="1"/>
  <c r="T779" i="2" a="1"/>
  <c r="T779" i="2" s="1"/>
  <c r="T778" i="2" a="1"/>
  <c r="T778" i="2" s="1"/>
  <c r="T777" i="2" a="1"/>
  <c r="T777" i="2" s="1"/>
  <c r="T776" i="2" a="1"/>
  <c r="T776" i="2" s="1"/>
  <c r="T775" i="2" a="1"/>
  <c r="T775" i="2" s="1"/>
  <c r="T774" i="2" a="1"/>
  <c r="T774" i="2" s="1"/>
  <c r="T773" i="2"/>
  <c r="T773" i="2" a="1"/>
  <c r="T772" i="2" a="1"/>
  <c r="T772" i="2" s="1"/>
  <c r="T771" i="2" a="1"/>
  <c r="T771" i="2" s="1"/>
  <c r="T770" i="2" a="1"/>
  <c r="T770" i="2" s="1"/>
  <c r="T769" i="2" a="1"/>
  <c r="T769" i="2" s="1"/>
  <c r="T768" i="2" a="1"/>
  <c r="T768" i="2" s="1"/>
  <c r="T767" i="2" a="1"/>
  <c r="T767" i="2" s="1"/>
  <c r="T766" i="2" a="1"/>
  <c r="T766" i="2" s="1"/>
  <c r="T765" i="2" a="1"/>
  <c r="T765" i="2" s="1"/>
  <c r="T764" i="2" a="1"/>
  <c r="T764" i="2" s="1"/>
  <c r="T763" i="2" a="1"/>
  <c r="T763" i="2" s="1"/>
  <c r="T762" i="2" a="1"/>
  <c r="T762" i="2" s="1"/>
  <c r="T761" i="2"/>
  <c r="T761" i="2" a="1"/>
  <c r="T760" i="2" a="1"/>
  <c r="T760" i="2" s="1"/>
  <c r="T759" i="2" a="1"/>
  <c r="T759" i="2" s="1"/>
  <c r="T758" i="2" a="1"/>
  <c r="T758" i="2" s="1"/>
  <c r="T757" i="2" a="1"/>
  <c r="T757" i="2" s="1"/>
  <c r="T756" i="2" a="1"/>
  <c r="T756" i="2" s="1"/>
  <c r="T755" i="2" a="1"/>
  <c r="T755" i="2" s="1"/>
  <c r="T754" i="2" a="1"/>
  <c r="T754" i="2" s="1"/>
  <c r="T753" i="2" a="1"/>
  <c r="T753" i="2" s="1"/>
  <c r="T752" i="2" a="1"/>
  <c r="T752" i="2" s="1"/>
  <c r="T751" i="2" a="1"/>
  <c r="T751" i="2" s="1"/>
  <c r="T750" i="2" a="1"/>
  <c r="T750" i="2" s="1"/>
  <c r="T749" i="2" a="1"/>
  <c r="T749" i="2" s="1"/>
  <c r="T748" i="2" a="1"/>
  <c r="T748" i="2" s="1"/>
  <c r="T747" i="2" a="1"/>
  <c r="T747" i="2" s="1"/>
  <c r="T746" i="2" a="1"/>
  <c r="T746" i="2" s="1"/>
  <c r="T745" i="2"/>
  <c r="T745" i="2" a="1"/>
  <c r="T744" i="2" a="1"/>
  <c r="T744" i="2" s="1"/>
  <c r="T743" i="2" a="1"/>
  <c r="T743" i="2" s="1"/>
  <c r="T742" i="2" a="1"/>
  <c r="T742" i="2" s="1"/>
  <c r="T741" i="2" a="1"/>
  <c r="T741" i="2" s="1"/>
  <c r="T740" i="2" a="1"/>
  <c r="T740" i="2" s="1"/>
  <c r="T739" i="2" a="1"/>
  <c r="T739" i="2" s="1"/>
  <c r="T738" i="2" a="1"/>
  <c r="T738" i="2" s="1"/>
  <c r="T737" i="2"/>
  <c r="T737" i="2" a="1"/>
  <c r="T736" i="2" a="1"/>
  <c r="T736" i="2" s="1"/>
  <c r="T735" i="2" a="1"/>
  <c r="T735" i="2" s="1"/>
  <c r="T734" i="2" a="1"/>
  <c r="T734" i="2" s="1"/>
  <c r="T733" i="2" a="1"/>
  <c r="T733" i="2" s="1"/>
  <c r="T732" i="2"/>
  <c r="T732" i="2" a="1"/>
  <c r="T731" i="2" a="1"/>
  <c r="T731" i="2" s="1"/>
  <c r="T730" i="2" a="1"/>
  <c r="T730" i="2" s="1"/>
  <c r="T729" i="2" a="1"/>
  <c r="T729" i="2" s="1"/>
  <c r="T728" i="2" a="1"/>
  <c r="T728" i="2" s="1"/>
  <c r="T727" i="2" a="1"/>
  <c r="T727" i="2" s="1"/>
  <c r="T726" i="2" a="1"/>
  <c r="T726" i="2" s="1"/>
  <c r="T725" i="2"/>
  <c r="T725" i="2" a="1"/>
  <c r="T724" i="2" a="1"/>
  <c r="T724" i="2" s="1"/>
  <c r="T723" i="2" a="1"/>
  <c r="T723" i="2" s="1"/>
  <c r="T722" i="2"/>
  <c r="T722" i="2" a="1"/>
  <c r="T721" i="2" a="1"/>
  <c r="T721" i="2" s="1"/>
  <c r="T720" i="2" a="1"/>
  <c r="T720" i="2" s="1"/>
  <c r="T719" i="2" a="1"/>
  <c r="T719" i="2" s="1"/>
  <c r="T718" i="2" a="1"/>
  <c r="T718" i="2" s="1"/>
  <c r="T717" i="2" a="1"/>
  <c r="T717" i="2" s="1"/>
  <c r="T716" i="2" a="1"/>
  <c r="T716" i="2" s="1"/>
  <c r="T715" i="2" a="1"/>
  <c r="T715" i="2" s="1"/>
  <c r="T714" i="2" a="1"/>
  <c r="T714" i="2" s="1"/>
  <c r="T713" i="2" a="1"/>
  <c r="T713" i="2" s="1"/>
  <c r="T712" i="2" a="1"/>
  <c r="T712" i="2" s="1"/>
  <c r="T711" i="2" a="1"/>
  <c r="T711" i="2" s="1"/>
  <c r="T710" i="2" a="1"/>
  <c r="T710" i="2" s="1"/>
  <c r="T709" i="2"/>
  <c r="T709" i="2" a="1"/>
  <c r="T708" i="2" a="1"/>
  <c r="T708" i="2" s="1"/>
  <c r="T707" i="2" a="1"/>
  <c r="T707" i="2" s="1"/>
  <c r="T706" i="2" a="1"/>
  <c r="T706" i="2" s="1"/>
  <c r="T705" i="2" a="1"/>
  <c r="T705" i="2" s="1"/>
  <c r="T704" i="2" a="1"/>
  <c r="T704" i="2" s="1"/>
  <c r="T703" i="2" a="1"/>
  <c r="T703" i="2" s="1"/>
  <c r="T702" i="2"/>
  <c r="T702" i="2" a="1"/>
  <c r="T701" i="2"/>
  <c r="T701" i="2" a="1"/>
  <c r="T700" i="2" a="1"/>
  <c r="T700" i="2" s="1"/>
  <c r="T699" i="2" a="1"/>
  <c r="T699" i="2" s="1"/>
  <c r="T698" i="2" a="1"/>
  <c r="T698" i="2" s="1"/>
  <c r="T697" i="2" a="1"/>
  <c r="T697" i="2" s="1"/>
  <c r="T696" i="2"/>
  <c r="T696" i="2" a="1"/>
  <c r="T695" i="2" a="1"/>
  <c r="T695" i="2" s="1"/>
  <c r="T694" i="2" a="1"/>
  <c r="T694" i="2" s="1"/>
  <c r="T693" i="2" a="1"/>
  <c r="T693" i="2" s="1"/>
  <c r="T692" i="2" a="1"/>
  <c r="T692" i="2" s="1"/>
  <c r="T691" i="2" a="1"/>
  <c r="T691" i="2" s="1"/>
  <c r="T690" i="2" a="1"/>
  <c r="T690" i="2" s="1"/>
  <c r="T689" i="2"/>
  <c r="T689" i="2" a="1"/>
  <c r="T688" i="2" a="1"/>
  <c r="T688" i="2" s="1"/>
  <c r="T687" i="2" a="1"/>
  <c r="T687" i="2" s="1"/>
  <c r="T686" i="2"/>
  <c r="T686" i="2" a="1"/>
  <c r="T685" i="2" a="1"/>
  <c r="T685" i="2" s="1"/>
  <c r="T684" i="2" a="1"/>
  <c r="T684" i="2" s="1"/>
  <c r="T683" i="2" a="1"/>
  <c r="T683" i="2" s="1"/>
  <c r="T682" i="2" a="1"/>
  <c r="T682" i="2" s="1"/>
  <c r="T681" i="2" a="1"/>
  <c r="T681" i="2" s="1"/>
  <c r="T680" i="2" a="1"/>
  <c r="T680" i="2" s="1"/>
  <c r="T679" i="2" a="1"/>
  <c r="T679" i="2" s="1"/>
  <c r="T678" i="2" a="1"/>
  <c r="T678" i="2" s="1"/>
  <c r="T677" i="2" a="1"/>
  <c r="T677" i="2" s="1"/>
  <c r="T676" i="2" a="1"/>
  <c r="T676" i="2" s="1"/>
  <c r="T675" i="2" a="1"/>
  <c r="T675" i="2" s="1"/>
  <c r="T674" i="2" a="1"/>
  <c r="T674" i="2" s="1"/>
  <c r="T673" i="2"/>
  <c r="T673" i="2" a="1"/>
  <c r="T672" i="2" a="1"/>
  <c r="T672" i="2" s="1"/>
  <c r="T671" i="2" a="1"/>
  <c r="T671" i="2" s="1"/>
  <c r="T670" i="2" a="1"/>
  <c r="T670" i="2" s="1"/>
  <c r="T669" i="2" a="1"/>
  <c r="T669" i="2" s="1"/>
  <c r="T668" i="2" a="1"/>
  <c r="T668" i="2" s="1"/>
  <c r="T667" i="2" a="1"/>
  <c r="T667" i="2" s="1"/>
  <c r="T666" i="2"/>
  <c r="T666" i="2" a="1"/>
  <c r="T665" i="2"/>
  <c r="T665" i="2" a="1"/>
  <c r="T664" i="2" a="1"/>
  <c r="T664" i="2" s="1"/>
  <c r="T663" i="2" a="1"/>
  <c r="T663" i="2" s="1"/>
  <c r="T662" i="2" a="1"/>
  <c r="T662" i="2" s="1"/>
  <c r="T661" i="2" a="1"/>
  <c r="T661" i="2" s="1"/>
  <c r="T660" i="2" a="1"/>
  <c r="T660" i="2" s="1"/>
  <c r="T659" i="2" a="1"/>
  <c r="T659" i="2" s="1"/>
  <c r="T658" i="2" a="1"/>
  <c r="T658" i="2" s="1"/>
  <c r="T657" i="2" a="1"/>
  <c r="T657" i="2" s="1"/>
  <c r="T656" i="2" a="1"/>
  <c r="T656" i="2" s="1"/>
  <c r="T655" i="2" a="1"/>
  <c r="T655" i="2" s="1"/>
  <c r="T654" i="2" a="1"/>
  <c r="T654" i="2" s="1"/>
  <c r="T653" i="2"/>
  <c r="T653" i="2" a="1"/>
  <c r="T652" i="2" a="1"/>
  <c r="T652" i="2" s="1"/>
  <c r="T651" i="2" a="1"/>
  <c r="T651" i="2" s="1"/>
  <c r="T650" i="2" a="1"/>
  <c r="T650" i="2" s="1"/>
  <c r="T649" i="2" a="1"/>
  <c r="T649" i="2" s="1"/>
  <c r="T648" i="2" a="1"/>
  <c r="T648" i="2" s="1"/>
  <c r="T647" i="2" a="1"/>
  <c r="T647" i="2" s="1"/>
  <c r="T646" i="2" a="1"/>
  <c r="T646" i="2" s="1"/>
  <c r="T645" i="2" a="1"/>
  <c r="T645" i="2" s="1"/>
  <c r="T644" i="2" a="1"/>
  <c r="T644" i="2" s="1"/>
  <c r="T643" i="2" a="1"/>
  <c r="T643" i="2" s="1"/>
  <c r="T642" i="2" a="1"/>
  <c r="T642" i="2" s="1"/>
  <c r="T641" i="2" a="1"/>
  <c r="T641" i="2" s="1"/>
  <c r="T640" i="2" a="1"/>
  <c r="T640" i="2" s="1"/>
  <c r="T639" i="2" a="1"/>
  <c r="T639" i="2" s="1"/>
  <c r="T638" i="2" a="1"/>
  <c r="T638" i="2" s="1"/>
  <c r="T637" i="2"/>
  <c r="T637" i="2" a="1"/>
  <c r="T636" i="2" a="1"/>
  <c r="T636" i="2" s="1"/>
  <c r="T635" i="2" a="1"/>
  <c r="T635" i="2" s="1"/>
  <c r="T634" i="2" a="1"/>
  <c r="T634" i="2" s="1"/>
  <c r="T633" i="2" a="1"/>
  <c r="T633" i="2" s="1"/>
  <c r="T632" i="2" a="1"/>
  <c r="T632" i="2" s="1"/>
  <c r="T631" i="2" a="1"/>
  <c r="T631" i="2" s="1"/>
  <c r="T630" i="2" a="1"/>
  <c r="T630" i="2" s="1"/>
  <c r="T629" i="2"/>
  <c r="T629" i="2" a="1"/>
  <c r="T628" i="2" a="1"/>
  <c r="T628" i="2" s="1"/>
  <c r="T627" i="2" a="1"/>
  <c r="T627" i="2" s="1"/>
  <c r="T626" i="2" a="1"/>
  <c r="T626" i="2" s="1"/>
  <c r="T625" i="2" a="1"/>
  <c r="T625" i="2" s="1"/>
  <c r="T624" i="2" a="1"/>
  <c r="T624" i="2" s="1"/>
  <c r="T623" i="2" a="1"/>
  <c r="T623" i="2" s="1"/>
  <c r="T622" i="2" a="1"/>
  <c r="T622" i="2" s="1"/>
  <c r="T621" i="2" a="1"/>
  <c r="T621" i="2" s="1"/>
  <c r="T620" i="2" a="1"/>
  <c r="T620" i="2" s="1"/>
  <c r="T619" i="2" a="1"/>
  <c r="T619" i="2" s="1"/>
  <c r="T618" i="2" a="1"/>
  <c r="T618" i="2" s="1"/>
  <c r="T617" i="2"/>
  <c r="T617" i="2" a="1"/>
  <c r="T616" i="2" a="1"/>
  <c r="T616" i="2" s="1"/>
  <c r="T615" i="2" a="1"/>
  <c r="T615" i="2" s="1"/>
  <c r="T614" i="2" a="1"/>
  <c r="T614" i="2" s="1"/>
  <c r="T613" i="2" a="1"/>
  <c r="T613" i="2" s="1"/>
  <c r="T612" i="2" a="1"/>
  <c r="T612" i="2" s="1"/>
  <c r="T611" i="2" a="1"/>
  <c r="T611" i="2" s="1"/>
  <c r="T610" i="2" a="1"/>
  <c r="T610" i="2" s="1"/>
  <c r="T609" i="2" a="1"/>
  <c r="T609" i="2" s="1"/>
  <c r="T608" i="2" a="1"/>
  <c r="T608" i="2" s="1"/>
  <c r="T607" i="2" a="1"/>
  <c r="T607" i="2" s="1"/>
  <c r="T606" i="2" a="1"/>
  <c r="T606" i="2" s="1"/>
  <c r="T605" i="2" a="1"/>
  <c r="T605" i="2" s="1"/>
  <c r="T604" i="2" a="1"/>
  <c r="T604" i="2" s="1"/>
  <c r="T603" i="2" a="1"/>
  <c r="T603" i="2" s="1"/>
  <c r="T602" i="2" a="1"/>
  <c r="T602" i="2" s="1"/>
  <c r="T601" i="2"/>
  <c r="T601" i="2" a="1"/>
  <c r="T600" i="2" a="1"/>
  <c r="T600" i="2" s="1"/>
  <c r="T599" i="2" a="1"/>
  <c r="T599" i="2" s="1"/>
  <c r="T598" i="2" a="1"/>
  <c r="T598" i="2" s="1"/>
  <c r="T597" i="2" a="1"/>
  <c r="T597" i="2" s="1"/>
  <c r="T596" i="2" a="1"/>
  <c r="T596" i="2" s="1"/>
  <c r="T595" i="2" a="1"/>
  <c r="T595" i="2" s="1"/>
  <c r="T594" i="2" a="1"/>
  <c r="T594" i="2" s="1"/>
  <c r="T593" i="2"/>
  <c r="T593" i="2" a="1"/>
  <c r="T592" i="2" a="1"/>
  <c r="T592" i="2" s="1"/>
  <c r="T591" i="2" a="1"/>
  <c r="T591" i="2" s="1"/>
  <c r="T590" i="2" a="1"/>
  <c r="T590" i="2" s="1"/>
  <c r="T589" i="2" a="1"/>
  <c r="T589" i="2" s="1"/>
  <c r="T588" i="2"/>
  <c r="T588" i="2" a="1"/>
  <c r="T587" i="2" a="1"/>
  <c r="T587" i="2" s="1"/>
  <c r="T586" i="2" a="1"/>
  <c r="T586" i="2" s="1"/>
  <c r="T585" i="2" a="1"/>
  <c r="T585" i="2" s="1"/>
  <c r="T584" i="2" a="1"/>
  <c r="T584" i="2" s="1"/>
  <c r="T583" i="2" a="1"/>
  <c r="T583" i="2" s="1"/>
  <c r="T582" i="2" a="1"/>
  <c r="T582" i="2" s="1"/>
  <c r="T581" i="2"/>
  <c r="T581" i="2" a="1"/>
  <c r="T580" i="2" a="1"/>
  <c r="T580" i="2" s="1"/>
  <c r="T579" i="2" a="1"/>
  <c r="T579" i="2" s="1"/>
  <c r="T578" i="2"/>
  <c r="T578" i="2" a="1"/>
  <c r="T577" i="2" a="1"/>
  <c r="T577" i="2" s="1"/>
  <c r="T576" i="2" a="1"/>
  <c r="T576" i="2" s="1"/>
  <c r="T575" i="2" a="1"/>
  <c r="T575" i="2" s="1"/>
  <c r="T574" i="2" a="1"/>
  <c r="T574" i="2" s="1"/>
  <c r="T573" i="2" a="1"/>
  <c r="T573" i="2" s="1"/>
  <c r="T572" i="2" a="1"/>
  <c r="T572" i="2" s="1"/>
  <c r="T571" i="2" a="1"/>
  <c r="T571" i="2" s="1"/>
  <c r="T570" i="2" a="1"/>
  <c r="T570" i="2" s="1"/>
  <c r="T569" i="2" a="1"/>
  <c r="T569" i="2" s="1"/>
  <c r="T568" i="2" a="1"/>
  <c r="T568" i="2" s="1"/>
  <c r="T567" i="2" a="1"/>
  <c r="T567" i="2" s="1"/>
  <c r="T566" i="2" a="1"/>
  <c r="T566" i="2" s="1"/>
  <c r="T565" i="2"/>
  <c r="T565" i="2" a="1"/>
  <c r="T564" i="2" a="1"/>
  <c r="T564" i="2" s="1"/>
  <c r="T563" i="2" a="1"/>
  <c r="T563" i="2" s="1"/>
  <c r="T562" i="2" a="1"/>
  <c r="T562" i="2" s="1"/>
  <c r="T561" i="2" a="1"/>
  <c r="T561" i="2" s="1"/>
  <c r="T560" i="2" a="1"/>
  <c r="T560" i="2" s="1"/>
  <c r="T559" i="2" a="1"/>
  <c r="T559" i="2" s="1"/>
  <c r="T558" i="2"/>
  <c r="T558" i="2" a="1"/>
  <c r="T557" i="2"/>
  <c r="T557" i="2" a="1"/>
  <c r="T556" i="2" a="1"/>
  <c r="T556" i="2" s="1"/>
  <c r="T555" i="2" a="1"/>
  <c r="T555" i="2" s="1"/>
  <c r="T554" i="2" a="1"/>
  <c r="T554" i="2" s="1"/>
  <c r="T553" i="2" a="1"/>
  <c r="T553" i="2" s="1"/>
  <c r="T552" i="2" a="1"/>
  <c r="T552" i="2" s="1"/>
  <c r="T551" i="2" a="1"/>
  <c r="T551" i="2" s="1"/>
  <c r="T550" i="2" a="1"/>
  <c r="T550" i="2" s="1"/>
  <c r="T549" i="2" a="1"/>
  <c r="T549" i="2" s="1"/>
  <c r="T548" i="2" a="1"/>
  <c r="T548" i="2" s="1"/>
  <c r="T547" i="2" a="1"/>
  <c r="T547" i="2" s="1"/>
  <c r="T546" i="2" a="1"/>
  <c r="T546" i="2" s="1"/>
  <c r="T545" i="2"/>
  <c r="T545" i="2" a="1"/>
  <c r="T544" i="2" a="1"/>
  <c r="T544" i="2" s="1"/>
  <c r="T543" i="2" a="1"/>
  <c r="T543" i="2" s="1"/>
  <c r="T542" i="2"/>
  <c r="T542" i="2" a="1"/>
  <c r="T541" i="2" a="1"/>
  <c r="T541" i="2" s="1"/>
  <c r="T540" i="2" a="1"/>
  <c r="T540" i="2" s="1"/>
  <c r="T539" i="2" a="1"/>
  <c r="T539" i="2" s="1"/>
  <c r="T538" i="2" a="1"/>
  <c r="T538" i="2" s="1"/>
  <c r="T537" i="2" a="1"/>
  <c r="T537" i="2" s="1"/>
  <c r="T536" i="2" a="1"/>
  <c r="T536" i="2" s="1"/>
  <c r="T535" i="2" a="1"/>
  <c r="T535" i="2" s="1"/>
  <c r="T534" i="2" a="1"/>
  <c r="T534" i="2" s="1"/>
  <c r="T533" i="2" a="1"/>
  <c r="T533" i="2" s="1"/>
  <c r="T532" i="2" a="1"/>
  <c r="T532" i="2" s="1"/>
  <c r="T531" i="2" a="1"/>
  <c r="T531" i="2" s="1"/>
  <c r="T530" i="2" a="1"/>
  <c r="T530" i="2" s="1"/>
  <c r="T529" i="2"/>
  <c r="T529" i="2" a="1"/>
  <c r="T528" i="2" a="1"/>
  <c r="T528" i="2" s="1"/>
  <c r="T527" i="2" a="1"/>
  <c r="T527" i="2" s="1"/>
  <c r="T526" i="2" a="1"/>
  <c r="T526" i="2" s="1"/>
  <c r="T525" i="2" a="1"/>
  <c r="T525" i="2" s="1"/>
  <c r="T524" i="2" a="1"/>
  <c r="T524" i="2" s="1"/>
  <c r="T523" i="2" a="1"/>
  <c r="T523" i="2" s="1"/>
  <c r="T522" i="2"/>
  <c r="T522" i="2" a="1"/>
  <c r="T521" i="2"/>
  <c r="T521" i="2" a="1"/>
  <c r="T520" i="2" a="1"/>
  <c r="T520" i="2" s="1"/>
  <c r="T519" i="2" a="1"/>
  <c r="T519" i="2" s="1"/>
  <c r="T518" i="2" a="1"/>
  <c r="T518" i="2" s="1"/>
  <c r="T517" i="2" a="1"/>
  <c r="T517" i="2" s="1"/>
  <c r="T516" i="2" a="1"/>
  <c r="T516" i="2" s="1"/>
  <c r="T515" i="2" a="1"/>
  <c r="T515" i="2" s="1"/>
  <c r="T514" i="2" a="1"/>
  <c r="T514" i="2" s="1"/>
  <c r="T513" i="2" a="1"/>
  <c r="T513" i="2" s="1"/>
  <c r="T512" i="2" a="1"/>
  <c r="T512" i="2" s="1"/>
  <c r="T511" i="2" a="1"/>
  <c r="T511" i="2" s="1"/>
  <c r="T510" i="2" a="1"/>
  <c r="T510" i="2" s="1"/>
  <c r="T509" i="2"/>
  <c r="T509" i="2" a="1"/>
  <c r="T508" i="2" a="1"/>
  <c r="T508" i="2" s="1"/>
  <c r="T507" i="2" a="1"/>
  <c r="T507" i="2" s="1"/>
  <c r="T506" i="2" a="1"/>
  <c r="T506" i="2" s="1"/>
  <c r="T505" i="2" a="1"/>
  <c r="T505" i="2" s="1"/>
  <c r="T504" i="2" a="1"/>
  <c r="T504" i="2" s="1"/>
  <c r="T503" i="2" a="1"/>
  <c r="T503" i="2" s="1"/>
  <c r="T502" i="2" a="1"/>
  <c r="T502" i="2" s="1"/>
  <c r="T501" i="2" a="1"/>
  <c r="T501" i="2" s="1"/>
  <c r="T500" i="2" a="1"/>
  <c r="T500" i="2" s="1"/>
  <c r="T499" i="2" a="1"/>
  <c r="T499" i="2" s="1"/>
  <c r="T498" i="2" a="1"/>
  <c r="T498" i="2" s="1"/>
  <c r="T497" i="2" a="1"/>
  <c r="T497" i="2" s="1"/>
  <c r="T496" i="2" a="1"/>
  <c r="T496" i="2" s="1"/>
  <c r="T495" i="2" a="1"/>
  <c r="T495" i="2" s="1"/>
  <c r="T494" i="2" a="1"/>
  <c r="T494" i="2" s="1"/>
  <c r="T493" i="2"/>
  <c r="T493" i="2" a="1"/>
  <c r="T492" i="2" a="1"/>
  <c r="T492" i="2" s="1"/>
  <c r="T491" i="2" a="1"/>
  <c r="T491" i="2" s="1"/>
  <c r="T490" i="2" a="1"/>
  <c r="T490" i="2" s="1"/>
  <c r="T489" i="2" a="1"/>
  <c r="T489" i="2" s="1"/>
  <c r="T488" i="2" a="1"/>
  <c r="T488" i="2" s="1"/>
  <c r="T487" i="2" a="1"/>
  <c r="T487" i="2" s="1"/>
  <c r="T486" i="2" a="1"/>
  <c r="T486" i="2" s="1"/>
  <c r="T485" i="2"/>
  <c r="T485" i="2" a="1"/>
  <c r="T484" i="2" a="1"/>
  <c r="T484" i="2" s="1"/>
  <c r="T483" i="2" a="1"/>
  <c r="T483" i="2" s="1"/>
  <c r="T482" i="2" a="1"/>
  <c r="T482" i="2" s="1"/>
  <c r="T481" i="2" a="1"/>
  <c r="T481" i="2" s="1"/>
  <c r="T480" i="2" a="1"/>
  <c r="T480" i="2" s="1"/>
  <c r="T479" i="2" a="1"/>
  <c r="T479" i="2" s="1"/>
  <c r="T478" i="2" a="1"/>
  <c r="T478" i="2" s="1"/>
  <c r="T477" i="2" a="1"/>
  <c r="T477" i="2" s="1"/>
  <c r="T476" i="2" a="1"/>
  <c r="T476" i="2" s="1"/>
  <c r="T475" i="2" a="1"/>
  <c r="T475" i="2" s="1"/>
  <c r="T474" i="2" a="1"/>
  <c r="T474" i="2" s="1"/>
  <c r="T473" i="2"/>
  <c r="T473" i="2" a="1"/>
  <c r="T472" i="2" a="1"/>
  <c r="T472" i="2" s="1"/>
  <c r="T471" i="2" a="1"/>
  <c r="T471" i="2" s="1"/>
  <c r="T470" i="2" a="1"/>
  <c r="T470" i="2" s="1"/>
  <c r="T469" i="2" a="1"/>
  <c r="T469" i="2" s="1"/>
  <c r="T468" i="2" a="1"/>
  <c r="T468" i="2" s="1"/>
  <c r="T467" i="2" a="1"/>
  <c r="T467" i="2" s="1"/>
  <c r="T466" i="2" a="1"/>
  <c r="T466" i="2" s="1"/>
  <c r="T465" i="2" a="1"/>
  <c r="T465" i="2" s="1"/>
  <c r="T464" i="2" a="1"/>
  <c r="T464" i="2" s="1"/>
  <c r="T463" i="2" a="1"/>
  <c r="T463" i="2" s="1"/>
  <c r="T462" i="2" a="1"/>
  <c r="T462" i="2" s="1"/>
  <c r="T461" i="2" a="1"/>
  <c r="T461" i="2" s="1"/>
  <c r="T460" i="2" a="1"/>
  <c r="T460" i="2" s="1"/>
  <c r="T459" i="2" a="1"/>
  <c r="T459" i="2" s="1"/>
  <c r="T458" i="2" a="1"/>
  <c r="T458" i="2" s="1"/>
  <c r="T457" i="2"/>
  <c r="T457" i="2" a="1"/>
  <c r="T456" i="2" a="1"/>
  <c r="T456" i="2" s="1"/>
  <c r="T455" i="2" a="1"/>
  <c r="T455" i="2" s="1"/>
  <c r="T454" i="2" a="1"/>
  <c r="T454" i="2" s="1"/>
  <c r="T453" i="2" a="1"/>
  <c r="T453" i="2" s="1"/>
  <c r="T452" i="2" a="1"/>
  <c r="T452" i="2" s="1"/>
  <c r="T451" i="2" a="1"/>
  <c r="T451" i="2" s="1"/>
  <c r="T450" i="2" a="1"/>
  <c r="T450" i="2" s="1"/>
  <c r="T449" i="2"/>
  <c r="T449" i="2" a="1"/>
  <c r="T448" i="2" a="1"/>
  <c r="T448" i="2" s="1"/>
  <c r="T447" i="2" a="1"/>
  <c r="T447" i="2" s="1"/>
  <c r="T446" i="2" a="1"/>
  <c r="T446" i="2" s="1"/>
  <c r="T445" i="2" a="1"/>
  <c r="T445" i="2" s="1"/>
  <c r="T444" i="2"/>
  <c r="T444" i="2" a="1"/>
  <c r="T443" i="2" a="1"/>
  <c r="T443" i="2" s="1"/>
  <c r="T442" i="2" a="1"/>
  <c r="T442" i="2" s="1"/>
  <c r="T441" i="2" a="1"/>
  <c r="T441" i="2" s="1"/>
  <c r="T440" i="2" a="1"/>
  <c r="T440" i="2" s="1"/>
  <c r="T439" i="2" a="1"/>
  <c r="T439" i="2" s="1"/>
  <c r="T438" i="2" a="1"/>
  <c r="T438" i="2" s="1"/>
  <c r="T437" i="2"/>
  <c r="T437" i="2" a="1"/>
  <c r="T436" i="2" a="1"/>
  <c r="T436" i="2" s="1"/>
  <c r="T435" i="2" a="1"/>
  <c r="T435" i="2" s="1"/>
  <c r="T434" i="2"/>
  <c r="T434" i="2" a="1"/>
  <c r="T433" i="2" a="1"/>
  <c r="T433" i="2" s="1"/>
  <c r="T432" i="2" a="1"/>
  <c r="T432" i="2" s="1"/>
  <c r="T431" i="2" a="1"/>
  <c r="T431" i="2" s="1"/>
  <c r="T430" i="2" a="1"/>
  <c r="T430" i="2" s="1"/>
  <c r="T429" i="2" a="1"/>
  <c r="T429" i="2" s="1"/>
  <c r="T428" i="2" a="1"/>
  <c r="T428" i="2" s="1"/>
  <c r="T427" i="2" a="1"/>
  <c r="T427" i="2" s="1"/>
  <c r="T426" i="2" a="1"/>
  <c r="T426" i="2" s="1"/>
  <c r="T425" i="2" a="1"/>
  <c r="T425" i="2" s="1"/>
  <c r="T424" i="2" a="1"/>
  <c r="T424" i="2" s="1"/>
  <c r="T423" i="2" a="1"/>
  <c r="T423" i="2" s="1"/>
  <c r="T422" i="2" a="1"/>
  <c r="T422" i="2" s="1"/>
  <c r="T421" i="2"/>
  <c r="T421" i="2" a="1"/>
  <c r="T420" i="2" a="1"/>
  <c r="T420" i="2" s="1"/>
  <c r="T419" i="2" a="1"/>
  <c r="T419" i="2" s="1"/>
  <c r="T418" i="2" a="1"/>
  <c r="T418" i="2" s="1"/>
  <c r="T417" i="2" a="1"/>
  <c r="T417" i="2" s="1"/>
  <c r="T416" i="2" a="1"/>
  <c r="T416" i="2" s="1"/>
  <c r="T415" i="2" a="1"/>
  <c r="T415" i="2" s="1"/>
  <c r="T414" i="2"/>
  <c r="T414" i="2" a="1"/>
  <c r="T413" i="2"/>
  <c r="T413" i="2" a="1"/>
  <c r="T412" i="2" a="1"/>
  <c r="T412" i="2" s="1"/>
  <c r="T411" i="2" a="1"/>
  <c r="T411" i="2" s="1"/>
  <c r="T410" i="2" a="1"/>
  <c r="T410" i="2" s="1"/>
  <c r="T409" i="2" a="1"/>
  <c r="T409" i="2" s="1"/>
  <c r="T408" i="2" a="1"/>
  <c r="T408" i="2" s="1"/>
  <c r="T407" i="2" a="1"/>
  <c r="T407" i="2" s="1"/>
  <c r="T406" i="2" a="1"/>
  <c r="T406" i="2" s="1"/>
  <c r="T405" i="2" a="1"/>
  <c r="T405" i="2" s="1"/>
  <c r="T404" i="2" a="1"/>
  <c r="T404" i="2" s="1"/>
  <c r="T403" i="2" a="1"/>
  <c r="T403" i="2" s="1"/>
  <c r="T402" i="2" a="1"/>
  <c r="T402" i="2" s="1"/>
  <c r="T401" i="2"/>
  <c r="T401" i="2" a="1"/>
  <c r="T400" i="2" a="1"/>
  <c r="T400" i="2" s="1"/>
  <c r="T399" i="2" a="1"/>
  <c r="T399" i="2" s="1"/>
  <c r="T398" i="2"/>
  <c r="T398" i="2" a="1"/>
  <c r="T397" i="2" a="1"/>
  <c r="T397" i="2" s="1"/>
  <c r="T396" i="2" a="1"/>
  <c r="T396" i="2" s="1"/>
  <c r="T395" i="2" a="1"/>
  <c r="T395" i="2" s="1"/>
  <c r="T394" i="2" a="1"/>
  <c r="T394" i="2" s="1"/>
  <c r="T393" i="2" a="1"/>
  <c r="T393" i="2" s="1"/>
  <c r="T392" i="2" a="1"/>
  <c r="T392" i="2" s="1"/>
  <c r="T391" i="2" a="1"/>
  <c r="T391" i="2" s="1"/>
  <c r="T390" i="2" a="1"/>
  <c r="T390" i="2" s="1"/>
  <c r="T389" i="2" a="1"/>
  <c r="T389" i="2" s="1"/>
  <c r="T388" i="2" a="1"/>
  <c r="T388" i="2" s="1"/>
  <c r="T387" i="2" a="1"/>
  <c r="T387" i="2" s="1"/>
  <c r="T386" i="2" a="1"/>
  <c r="T386" i="2" s="1"/>
  <c r="T385" i="2"/>
  <c r="T385" i="2" a="1"/>
  <c r="T384" i="2" a="1"/>
  <c r="T384" i="2" s="1"/>
  <c r="T383" i="2" a="1"/>
  <c r="T383" i="2" s="1"/>
  <c r="T382" i="2" a="1"/>
  <c r="T382" i="2" s="1"/>
  <c r="T381" i="2" a="1"/>
  <c r="T381" i="2" s="1"/>
  <c r="T380" i="2" a="1"/>
  <c r="T380" i="2" s="1"/>
  <c r="T379" i="2" a="1"/>
  <c r="T379" i="2" s="1"/>
  <c r="T378" i="2"/>
  <c r="T378" i="2" a="1"/>
  <c r="T377" i="2"/>
  <c r="T377" i="2" a="1"/>
  <c r="T376" i="2" a="1"/>
  <c r="T376" i="2" s="1"/>
  <c r="T375" i="2" a="1"/>
  <c r="T375" i="2" s="1"/>
  <c r="T374" i="2" a="1"/>
  <c r="T374" i="2" s="1"/>
  <c r="T373" i="2" a="1"/>
  <c r="T373" i="2" s="1"/>
  <c r="T372" i="2" a="1"/>
  <c r="T372" i="2" s="1"/>
  <c r="T371" i="2" a="1"/>
  <c r="T371" i="2" s="1"/>
  <c r="T370" i="2" a="1"/>
  <c r="T370" i="2" s="1"/>
  <c r="T369" i="2" a="1"/>
  <c r="T369" i="2" s="1"/>
  <c r="T368" i="2" a="1"/>
  <c r="T368" i="2" s="1"/>
  <c r="T367" i="2" a="1"/>
  <c r="T367" i="2" s="1"/>
  <c r="T366" i="2" a="1"/>
  <c r="T366" i="2" s="1"/>
  <c r="T365" i="2"/>
  <c r="T365" i="2" a="1"/>
  <c r="T364" i="2" a="1"/>
  <c r="T364" i="2" s="1"/>
  <c r="T363" i="2" a="1"/>
  <c r="T363" i="2" s="1"/>
  <c r="T362" i="2" a="1"/>
  <c r="T362" i="2" s="1"/>
  <c r="T361" i="2" a="1"/>
  <c r="T361" i="2" s="1"/>
  <c r="T360" i="2" a="1"/>
  <c r="T360" i="2" s="1"/>
  <c r="T359" i="2" a="1"/>
  <c r="T359" i="2" s="1"/>
  <c r="T358" i="2" a="1"/>
  <c r="T358" i="2" s="1"/>
  <c r="T357" i="2" a="1"/>
  <c r="T357" i="2" s="1"/>
  <c r="T356" i="2" a="1"/>
  <c r="T356" i="2" s="1"/>
  <c r="T355" i="2" a="1"/>
  <c r="T355" i="2" s="1"/>
  <c r="T354" i="2" a="1"/>
  <c r="T354" i="2" s="1"/>
  <c r="T353" i="2" a="1"/>
  <c r="T353" i="2" s="1"/>
  <c r="T352" i="2" a="1"/>
  <c r="T352" i="2" s="1"/>
  <c r="T351" i="2" a="1"/>
  <c r="T351" i="2" s="1"/>
  <c r="T350" i="2"/>
  <c r="T350" i="2" a="1"/>
  <c r="T349" i="2"/>
  <c r="T349" i="2" a="1"/>
  <c r="T348" i="2" a="1"/>
  <c r="T348" i="2" s="1"/>
  <c r="T347" i="2" a="1"/>
  <c r="T347" i="2" s="1"/>
  <c r="T346" i="2" a="1"/>
  <c r="T346" i="2" s="1"/>
  <c r="T345" i="2" a="1"/>
  <c r="T345" i="2" s="1"/>
  <c r="T344" i="2" a="1"/>
  <c r="T344" i="2" s="1"/>
  <c r="T343" i="2" a="1"/>
  <c r="T343" i="2" s="1"/>
  <c r="T342" i="2" a="1"/>
  <c r="T342" i="2" s="1"/>
  <c r="T341" i="2"/>
  <c r="T341" i="2" a="1"/>
  <c r="T340" i="2" a="1"/>
  <c r="T340" i="2" s="1"/>
  <c r="T339" i="2" a="1"/>
  <c r="T339" i="2" s="1"/>
  <c r="T338" i="2" a="1"/>
  <c r="T338" i="2" s="1"/>
  <c r="T337" i="2" a="1"/>
  <c r="T337" i="2" s="1"/>
  <c r="T336" i="2" a="1"/>
  <c r="T336" i="2" s="1"/>
  <c r="T335" i="2" a="1"/>
  <c r="T335" i="2" s="1"/>
  <c r="T334" i="2" a="1"/>
  <c r="T334" i="2" s="1"/>
  <c r="T333" i="2" a="1"/>
  <c r="T333" i="2" s="1"/>
  <c r="T332" i="2" a="1"/>
  <c r="T332" i="2" s="1"/>
  <c r="T331" i="2" a="1"/>
  <c r="T331" i="2" s="1"/>
  <c r="T330" i="2" a="1"/>
  <c r="T330" i="2" s="1"/>
  <c r="T329" i="2"/>
  <c r="T329" i="2" a="1"/>
  <c r="T328" i="2" a="1"/>
  <c r="T328" i="2" s="1"/>
  <c r="T327" i="2" a="1"/>
  <c r="T327" i="2" s="1"/>
  <c r="T326" i="2" a="1"/>
  <c r="T326" i="2" s="1"/>
  <c r="T325" i="2" a="1"/>
  <c r="T325" i="2" s="1"/>
  <c r="T324" i="2" a="1"/>
  <c r="T324" i="2" s="1"/>
  <c r="T323" i="2" a="1"/>
  <c r="T323" i="2" s="1"/>
  <c r="T322" i="2" a="1"/>
  <c r="T322" i="2" s="1"/>
  <c r="T321" i="2"/>
  <c r="T321" i="2" a="1"/>
  <c r="T320" i="2"/>
  <c r="T320" i="2" a="1"/>
  <c r="T319" i="2"/>
  <c r="T319" i="2" a="1"/>
  <c r="T318" i="2"/>
  <c r="T318" i="2" a="1"/>
  <c r="T317" i="2" a="1"/>
  <c r="T317" i="2" s="1"/>
  <c r="T316" i="2" a="1"/>
  <c r="T316" i="2" s="1"/>
  <c r="T315" i="2"/>
  <c r="T315" i="2" a="1"/>
  <c r="T314" i="2" a="1"/>
  <c r="T314" i="2" s="1"/>
  <c r="T313" i="2"/>
  <c r="T313" i="2" a="1"/>
  <c r="T312" i="2"/>
  <c r="T312" i="2" a="1"/>
  <c r="T311" i="2" a="1"/>
  <c r="T311" i="2" s="1"/>
  <c r="T310" i="2" a="1"/>
  <c r="T310" i="2" s="1"/>
  <c r="T309" i="2" a="1"/>
  <c r="T309" i="2" s="1"/>
  <c r="T308" i="2"/>
  <c r="T308" i="2" a="1"/>
  <c r="T307" i="2"/>
  <c r="T307" i="2" a="1"/>
  <c r="T306" i="2"/>
  <c r="T306" i="2" a="1"/>
  <c r="T305" i="2" a="1"/>
  <c r="T305" i="2" s="1"/>
  <c r="T304" i="2" a="1"/>
  <c r="T304" i="2" s="1"/>
  <c r="T303" i="2" a="1"/>
  <c r="T303" i="2" s="1"/>
  <c r="T302" i="2"/>
  <c r="T302" i="2" a="1"/>
  <c r="T301" i="2"/>
  <c r="T301" i="2" a="1"/>
  <c r="T300" i="2"/>
  <c r="T300" i="2" a="1"/>
  <c r="T299" i="2" a="1"/>
  <c r="T299" i="2" s="1"/>
  <c r="T298" i="2" a="1"/>
  <c r="T298" i="2" s="1"/>
  <c r="T297" i="2" a="1"/>
  <c r="T297" i="2" s="1"/>
  <c r="T296" i="2" a="1"/>
  <c r="T296" i="2" s="1"/>
  <c r="T295" i="2"/>
  <c r="T295" i="2" a="1"/>
  <c r="T294" i="2"/>
  <c r="T294" i="2" a="1"/>
  <c r="T293" i="2" a="1"/>
  <c r="T293" i="2" s="1"/>
  <c r="T292" i="2" a="1"/>
  <c r="T292" i="2" s="1"/>
  <c r="T291" i="2" a="1"/>
  <c r="T291" i="2" s="1"/>
  <c r="T290" i="2" a="1"/>
  <c r="T290" i="2" s="1"/>
  <c r="T289" i="2"/>
  <c r="T289" i="2" a="1"/>
  <c r="T288" i="2"/>
  <c r="T288" i="2" a="1"/>
  <c r="T287" i="2" a="1"/>
  <c r="T287" i="2" s="1"/>
  <c r="T286" i="2"/>
  <c r="T286" i="2" a="1"/>
  <c r="T285" i="2" a="1"/>
  <c r="T285" i="2" s="1"/>
  <c r="T284" i="2" a="1"/>
  <c r="T284" i="2" s="1"/>
  <c r="T283" i="2"/>
  <c r="T283" i="2" a="1"/>
  <c r="T282" i="2"/>
  <c r="T282" i="2" a="1"/>
  <c r="T281" i="2" a="1"/>
  <c r="T281" i="2" s="1"/>
  <c r="T280" i="2" a="1"/>
  <c r="T280" i="2" s="1"/>
  <c r="T279" i="2"/>
  <c r="T279" i="2" a="1"/>
  <c r="T278" i="2" a="1"/>
  <c r="T278" i="2" s="1"/>
  <c r="T277" i="2"/>
  <c r="T277" i="2" a="1"/>
  <c r="T276" i="2"/>
  <c r="T276" i="2" a="1"/>
  <c r="T275" i="2" a="1"/>
  <c r="T275" i="2" s="1"/>
  <c r="T274" i="2"/>
  <c r="T274" i="2" a="1"/>
  <c r="T273" i="2"/>
  <c r="T273" i="2" a="1"/>
  <c r="T272" i="2" a="1"/>
  <c r="T272" i="2" s="1"/>
  <c r="T271" i="2"/>
  <c r="T271" i="2" a="1"/>
  <c r="T270" i="2"/>
  <c r="T270" i="2" a="1"/>
  <c r="T269" i="2" a="1"/>
  <c r="T269" i="2" s="1"/>
  <c r="T268" i="2" a="1"/>
  <c r="T268" i="2" s="1"/>
  <c r="T267" i="2" a="1"/>
  <c r="T267" i="2" s="1"/>
  <c r="T266" i="2" a="1"/>
  <c r="T266" i="2" s="1"/>
  <c r="T265" i="2"/>
  <c r="T265" i="2" a="1"/>
  <c r="T264" i="2"/>
  <c r="T264" i="2" a="1"/>
  <c r="T263" i="2" a="1"/>
  <c r="T263" i="2" s="1"/>
  <c r="T262" i="2" a="1"/>
  <c r="T262" i="2" s="1"/>
  <c r="T261" i="2"/>
  <c r="T261" i="2" a="1"/>
  <c r="T260" i="2" a="1"/>
  <c r="T260" i="2" s="1"/>
  <c r="T259" i="2"/>
  <c r="T259" i="2" a="1"/>
  <c r="T258" i="2"/>
  <c r="T258" i="2" a="1"/>
  <c r="T257" i="2" a="1"/>
  <c r="T257" i="2" s="1"/>
  <c r="T256" i="2"/>
  <c r="T256" i="2" a="1"/>
  <c r="T255" i="2" a="1"/>
  <c r="T255" i="2" s="1"/>
  <c r="T254" i="2" a="1"/>
  <c r="T254" i="2" s="1"/>
  <c r="T253" i="2"/>
  <c r="T253" i="2" a="1"/>
  <c r="T252" i="2"/>
  <c r="T252" i="2" a="1"/>
  <c r="T251" i="2" a="1"/>
  <c r="T251" i="2" s="1"/>
  <c r="T250" i="2"/>
  <c r="T250" i="2" a="1"/>
  <c r="T249" i="2" a="1"/>
  <c r="T249" i="2" s="1"/>
  <c r="T248" i="2"/>
  <c r="T248" i="2" a="1"/>
  <c r="T247" i="2"/>
  <c r="T247" i="2" a="1"/>
  <c r="T246" i="2"/>
  <c r="T246" i="2" a="1"/>
  <c r="T245" i="2" a="1"/>
  <c r="T245" i="2" s="1"/>
  <c r="T244" i="2" a="1"/>
  <c r="T244" i="2" s="1"/>
  <c r="T243" i="2"/>
  <c r="T243" i="2" a="1"/>
  <c r="T242" i="2" a="1"/>
  <c r="T242" i="2" s="1"/>
  <c r="T241" i="2"/>
  <c r="T241" i="2" a="1"/>
  <c r="T240" i="2"/>
  <c r="T240" i="2" a="1"/>
  <c r="T239" i="2" a="1"/>
  <c r="T239" i="2" s="1"/>
  <c r="T238" i="2" a="1"/>
  <c r="T238" i="2" s="1"/>
  <c r="T237" i="2" a="1"/>
  <c r="T237" i="2" s="1"/>
  <c r="T236" i="2" a="1"/>
  <c r="T236" i="2" s="1"/>
  <c r="T235" i="2"/>
  <c r="T235" i="2" a="1"/>
  <c r="T234" i="2"/>
  <c r="T234" i="2" a="1"/>
  <c r="T233" i="2" a="1"/>
  <c r="T233" i="2" s="1"/>
  <c r="T232" i="2" a="1"/>
  <c r="T232" i="2" s="1"/>
  <c r="T231" i="2" a="1"/>
  <c r="T231" i="2" s="1"/>
  <c r="T230" i="2"/>
  <c r="T230" i="2" a="1"/>
  <c r="T229" i="2"/>
  <c r="T229" i="2" a="1"/>
  <c r="T228" i="2"/>
  <c r="T228" i="2" a="1"/>
  <c r="T227" i="2" a="1"/>
  <c r="T227" i="2" s="1"/>
  <c r="T226" i="2" a="1"/>
  <c r="T226" i="2" s="1"/>
  <c r="T225" i="2"/>
  <c r="T225" i="2" a="1"/>
  <c r="T224" i="2"/>
  <c r="T224" i="2" a="1"/>
  <c r="T223" i="2"/>
  <c r="T223" i="2" a="1"/>
  <c r="T222" i="2"/>
  <c r="T222" i="2" a="1"/>
  <c r="T221" i="2" a="1"/>
  <c r="T221" i="2" s="1"/>
  <c r="T220" i="2" a="1"/>
  <c r="T220" i="2" s="1"/>
  <c r="T219" i="2" a="1"/>
  <c r="T219" i="2" s="1"/>
  <c r="T218" i="2"/>
  <c r="T218" i="2" a="1"/>
  <c r="T217" i="2"/>
  <c r="T217" i="2" a="1"/>
  <c r="T216" i="2"/>
  <c r="T216" i="2" a="1"/>
  <c r="T215" i="2" a="1"/>
  <c r="T215" i="2" s="1"/>
  <c r="T214" i="2" a="1"/>
  <c r="T214" i="2" s="1"/>
  <c r="T213" i="2" a="1"/>
  <c r="T213" i="2" s="1"/>
  <c r="T212" i="2" a="1"/>
  <c r="T212" i="2" s="1"/>
  <c r="T211" i="2"/>
  <c r="T211" i="2" a="1"/>
  <c r="T210" i="2"/>
  <c r="T210" i="2" a="1"/>
  <c r="T209" i="2" a="1"/>
  <c r="T209" i="2" s="1"/>
  <c r="T208" i="2" a="1"/>
  <c r="T208" i="2" s="1"/>
  <c r="T207" i="2" a="1"/>
  <c r="T207" i="2" s="1"/>
  <c r="T206" i="2" a="1"/>
  <c r="T206" i="2" s="1"/>
  <c r="T205" i="2"/>
  <c r="T205" i="2" a="1"/>
  <c r="T204" i="2"/>
  <c r="T204" i="2" a="1"/>
  <c r="T203" i="2" a="1"/>
  <c r="T203" i="2" s="1"/>
  <c r="T202" i="2"/>
  <c r="T202" i="2" a="1"/>
  <c r="T201" i="2" a="1"/>
  <c r="T201" i="2" s="1"/>
  <c r="T200" i="2" a="1"/>
  <c r="T200" i="2" s="1"/>
  <c r="T199" i="2"/>
  <c r="T199" i="2" a="1"/>
  <c r="T198" i="2"/>
  <c r="T198" i="2" a="1"/>
  <c r="T197" i="2" a="1"/>
  <c r="T197" i="2" s="1"/>
  <c r="T196" i="2" a="1"/>
  <c r="T196" i="2" s="1"/>
  <c r="T195" i="2" a="1"/>
  <c r="T195" i="2" s="1"/>
  <c r="T194" i="2" a="1"/>
  <c r="T194" i="2" s="1"/>
  <c r="T193" i="2"/>
  <c r="T193" i="2" a="1"/>
  <c r="T192" i="2"/>
  <c r="T192" i="2" a="1"/>
  <c r="T191" i="2" a="1"/>
  <c r="T191" i="2" s="1"/>
  <c r="T190" i="2" a="1"/>
  <c r="T190" i="2" s="1"/>
  <c r="T189" i="2"/>
  <c r="T189" i="2" a="1"/>
  <c r="T188" i="2"/>
  <c r="T188" i="2" a="1"/>
  <c r="T187" i="2"/>
  <c r="T187" i="2" a="1"/>
  <c r="T186" i="2"/>
  <c r="T186" i="2" a="1"/>
  <c r="T185" i="2" a="1"/>
  <c r="T185" i="2" s="1"/>
  <c r="T184" i="2"/>
  <c r="T184" i="2" a="1"/>
  <c r="T183" i="2" a="1"/>
  <c r="T183" i="2" s="1"/>
  <c r="T182" i="2" a="1"/>
  <c r="T182" i="2" s="1"/>
  <c r="T181" i="2"/>
  <c r="T181" i="2" a="1"/>
  <c r="T180" i="2"/>
  <c r="T180" i="2" a="1"/>
  <c r="T179" i="2" a="1"/>
  <c r="T179" i="2" s="1"/>
  <c r="T178" i="2" a="1"/>
  <c r="T178" i="2" s="1"/>
  <c r="T177" i="2" a="1"/>
  <c r="T177" i="2" s="1"/>
  <c r="T176" i="2"/>
  <c r="T176" i="2" a="1"/>
  <c r="T175" i="2"/>
  <c r="T175" i="2" a="1"/>
  <c r="T174" i="2"/>
  <c r="T174" i="2" a="1"/>
  <c r="T173" i="2" a="1"/>
  <c r="T173" i="2" s="1"/>
  <c r="T172" i="2" a="1"/>
  <c r="T172" i="2" s="1"/>
  <c r="T171" i="2"/>
  <c r="T171" i="2" a="1"/>
  <c r="T170" i="2" a="1"/>
  <c r="T170" i="2" s="1"/>
  <c r="T169" i="2"/>
  <c r="T169" i="2" a="1"/>
  <c r="T168" i="2"/>
  <c r="T168" i="2" a="1"/>
  <c r="T167" i="2" a="1"/>
  <c r="T167" i="2" s="1"/>
  <c r="T166" i="2"/>
  <c r="T166" i="2" a="1"/>
  <c r="T165" i="2" a="1"/>
  <c r="T165" i="2" s="1"/>
  <c r="T164" i="2" a="1"/>
  <c r="T164" i="2" s="1"/>
  <c r="T163" i="2"/>
  <c r="T163" i="2" a="1"/>
  <c r="T162" i="2"/>
  <c r="T162" i="2" a="1"/>
  <c r="T161" i="2" a="1"/>
  <c r="T161" i="2" s="1"/>
  <c r="T160" i="2"/>
  <c r="T160" i="2" a="1"/>
  <c r="T159" i="2"/>
  <c r="T159" i="2" a="1"/>
  <c r="T158" i="2"/>
  <c r="T158" i="2" a="1"/>
  <c r="T157" i="2"/>
  <c r="T157" i="2" a="1"/>
  <c r="T156" i="2"/>
  <c r="T156" i="2" a="1"/>
  <c r="T155" i="2" a="1"/>
  <c r="T155" i="2" s="1"/>
  <c r="T154" i="2"/>
  <c r="T154" i="2" a="1"/>
  <c r="T153" i="2" a="1"/>
  <c r="T153" i="2" s="1"/>
  <c r="T152" i="2"/>
  <c r="T152" i="2" a="1"/>
  <c r="T151" i="2"/>
  <c r="T151" i="2" a="1"/>
  <c r="T150" i="2"/>
  <c r="T150" i="2" a="1"/>
  <c r="T149" i="2" a="1"/>
  <c r="T149" i="2" s="1"/>
  <c r="T148" i="2"/>
  <c r="T148" i="2" a="1"/>
  <c r="T147" i="2"/>
  <c r="T147" i="2" a="1"/>
  <c r="T146" i="2"/>
  <c r="T146" i="2" a="1"/>
  <c r="T145" i="2"/>
  <c r="T145" i="2" a="1"/>
  <c r="T144" i="2"/>
  <c r="T144" i="2" a="1"/>
  <c r="T143" i="2" a="1"/>
  <c r="T143" i="2" s="1"/>
  <c r="T142" i="2" a="1"/>
  <c r="T142" i="2" s="1"/>
  <c r="T141" i="2"/>
  <c r="T141" i="2" a="1"/>
  <c r="T140" i="2" a="1"/>
  <c r="T140" i="2" s="1"/>
  <c r="T139" i="2"/>
  <c r="T139" i="2" a="1"/>
  <c r="T138" i="2"/>
  <c r="T138" i="2" a="1"/>
  <c r="T137" i="2" a="1"/>
  <c r="T137" i="2" s="1"/>
  <c r="T136" i="2" a="1"/>
  <c r="T136" i="2" s="1"/>
  <c r="T135" i="2" a="1"/>
  <c r="T135" i="2" s="1"/>
  <c r="T134" i="2" a="1"/>
  <c r="T134" i="2" s="1"/>
  <c r="T133" i="2"/>
  <c r="T133" i="2" a="1"/>
  <c r="T132" i="2"/>
  <c r="T132" i="2" a="1"/>
  <c r="T131" i="2" a="1"/>
  <c r="T131" i="2" s="1"/>
  <c r="T130" i="2"/>
  <c r="T130" i="2" a="1"/>
  <c r="T129" i="2" a="1"/>
  <c r="T129" i="2" s="1"/>
  <c r="T128" i="2" a="1"/>
  <c r="T128" i="2" s="1"/>
  <c r="T127" i="2"/>
  <c r="T127" i="2" a="1"/>
  <c r="T126" i="2"/>
  <c r="T126" i="2" a="1"/>
  <c r="T125" i="2" a="1"/>
  <c r="T125" i="2" s="1"/>
  <c r="T124" i="2" a="1"/>
  <c r="T124" i="2" s="1"/>
  <c r="T123" i="2" a="1"/>
  <c r="T123" i="2" s="1"/>
  <c r="T122" i="2" a="1"/>
  <c r="T122" i="2" s="1"/>
  <c r="T121" i="2"/>
  <c r="T121" i="2" a="1"/>
  <c r="T120" i="2"/>
  <c r="T120" i="2" a="1"/>
  <c r="T119" i="2" a="1"/>
  <c r="T119" i="2" s="1"/>
  <c r="T118" i="2" a="1"/>
  <c r="T118" i="2" s="1"/>
  <c r="T117" i="2"/>
  <c r="T117" i="2" a="1"/>
  <c r="T116" i="2" a="1"/>
  <c r="T116" i="2" s="1"/>
  <c r="T115" i="2"/>
  <c r="T115" i="2" a="1"/>
  <c r="T114" i="2"/>
  <c r="T114" i="2" a="1"/>
  <c r="T113" i="2" a="1"/>
  <c r="T113" i="2" s="1"/>
  <c r="T112" i="2"/>
  <c r="T112" i="2" a="1"/>
  <c r="T111" i="2" a="1"/>
  <c r="T111" i="2" s="1"/>
  <c r="T110" i="2" a="1"/>
  <c r="T110" i="2" s="1"/>
  <c r="T109" i="2"/>
  <c r="T109" i="2" a="1"/>
  <c r="T108" i="2"/>
  <c r="T108" i="2" a="1"/>
  <c r="T107" i="2" a="1"/>
  <c r="T107" i="2" s="1"/>
  <c r="T106" i="2" a="1"/>
  <c r="T106" i="2" s="1"/>
  <c r="T105" i="2" a="1"/>
  <c r="T105" i="2" s="1"/>
  <c r="T104" i="2"/>
  <c r="T104" i="2" a="1"/>
  <c r="T103" i="2"/>
  <c r="T103" i="2" a="1"/>
  <c r="T102" i="2"/>
  <c r="T102" i="2" a="1"/>
  <c r="T101" i="2" a="1"/>
  <c r="T101" i="2" s="1"/>
  <c r="T100" i="2" a="1"/>
  <c r="T100" i="2" s="1"/>
  <c r="T99" i="2"/>
  <c r="T99" i="2" a="1"/>
  <c r="T98" i="2" a="1"/>
  <c r="T98" i="2" s="1"/>
  <c r="T97" i="2"/>
  <c r="T97" i="2" a="1"/>
  <c r="T96" i="2"/>
  <c r="T96" i="2" a="1"/>
  <c r="T95" i="2" a="1"/>
  <c r="T95" i="2" s="1"/>
  <c r="T94" i="2" a="1"/>
  <c r="T94" i="2" s="1"/>
  <c r="T93" i="2" a="1"/>
  <c r="T93" i="2" s="1"/>
  <c r="T92" i="2" a="1"/>
  <c r="T92" i="2" s="1"/>
  <c r="T91" i="2"/>
  <c r="T91" i="2" a="1"/>
  <c r="T90" i="2"/>
  <c r="T90" i="2" a="1"/>
  <c r="T89" i="2" a="1"/>
  <c r="T89" i="2" s="1"/>
  <c r="T88" i="2"/>
  <c r="T88" i="2" a="1"/>
  <c r="T87" i="2" a="1"/>
  <c r="T87" i="2" s="1"/>
  <c r="T86" i="2"/>
  <c r="T86" i="2" a="1"/>
  <c r="T85" i="2"/>
  <c r="T85" i="2" a="1"/>
  <c r="T84" i="2"/>
  <c r="T84" i="2" a="1"/>
  <c r="T83" i="2" a="1"/>
  <c r="T83" i="2" s="1"/>
  <c r="T82" i="2"/>
  <c r="T82" i="2" a="1"/>
  <c r="T81" i="2" a="1"/>
  <c r="T81" i="2" s="1"/>
  <c r="T80" i="2" a="1"/>
  <c r="T80" i="2" s="1"/>
  <c r="T79" i="2"/>
  <c r="T79" i="2" a="1"/>
  <c r="T78" i="2"/>
  <c r="T78" i="2" a="1"/>
  <c r="T77" i="2" a="1"/>
  <c r="T77" i="2" s="1"/>
  <c r="T76" i="2" a="1"/>
  <c r="T76" i="2" s="1"/>
  <c r="T75" i="2"/>
  <c r="T75" i="2" a="1"/>
  <c r="T74" i="2" a="1"/>
  <c r="T74" i="2" s="1"/>
  <c r="T73" i="2"/>
  <c r="T73" i="2" a="1"/>
  <c r="T72" i="2"/>
  <c r="T72" i="2" a="1"/>
  <c r="T71" i="2" a="1"/>
  <c r="T71" i="2" s="1"/>
  <c r="T70" i="2"/>
  <c r="T70" i="2" a="1"/>
  <c r="T69" i="2"/>
  <c r="T69" i="2" a="1"/>
  <c r="T68" i="2" a="1"/>
  <c r="T68" i="2" s="1"/>
  <c r="T67" i="2"/>
  <c r="T67" i="2" a="1"/>
  <c r="T66" i="2"/>
  <c r="T66" i="2" a="1"/>
  <c r="T65" i="2" a="1"/>
  <c r="T65" i="2" s="1"/>
  <c r="T64" i="2" a="1"/>
  <c r="T64" i="2" s="1"/>
  <c r="T63" i="2"/>
  <c r="T63" i="2" a="1"/>
  <c r="T62" i="2"/>
  <c r="T62" i="2" a="1"/>
  <c r="T61" i="2"/>
  <c r="T61" i="2" a="1"/>
  <c r="T60" i="2"/>
  <c r="T60" i="2" a="1"/>
  <c r="T59" i="2" a="1"/>
  <c r="T59" i="2" s="1"/>
  <c r="T58" i="2"/>
  <c r="T58" i="2" a="1"/>
  <c r="T57" i="2" a="1"/>
  <c r="T57" i="2" s="1"/>
  <c r="T56" i="2" a="1"/>
  <c r="T56" i="2" s="1"/>
  <c r="T55" i="2"/>
  <c r="T55" i="2" a="1"/>
  <c r="T54" i="2"/>
  <c r="T54" i="2" a="1"/>
  <c r="T53" i="2" a="1"/>
  <c r="T53" i="2" s="1"/>
  <c r="T52" i="2" a="1"/>
  <c r="T52" i="2" s="1"/>
  <c r="T51" i="2" a="1"/>
  <c r="T51" i="2" s="1"/>
  <c r="T50" i="2" a="1"/>
  <c r="T50" i="2" s="1"/>
  <c r="T49" i="2"/>
  <c r="T49" i="2" a="1"/>
  <c r="T48" i="2"/>
  <c r="T48" i="2" a="1"/>
  <c r="T47" i="2" a="1"/>
  <c r="T47" i="2" s="1"/>
  <c r="T46" i="2" a="1"/>
  <c r="T46" i="2" s="1"/>
  <c r="T45" i="2"/>
  <c r="T45" i="2" a="1"/>
  <c r="T44" i="2" a="1"/>
  <c r="T44" i="2" s="1"/>
  <c r="T43" i="2"/>
  <c r="T43" i="2" a="1"/>
  <c r="T42" i="2"/>
  <c r="T42" i="2" a="1"/>
  <c r="T41" i="2" a="1"/>
  <c r="T41" i="2" s="1"/>
  <c r="T40" i="2"/>
  <c r="T40" i="2" a="1"/>
  <c r="T39" i="2" a="1"/>
  <c r="T39" i="2" s="1"/>
  <c r="T38" i="2" a="1"/>
  <c r="T38" i="2" s="1"/>
  <c r="T37" i="2"/>
  <c r="T37" i="2" a="1"/>
  <c r="T36" i="2"/>
  <c r="T36" i="2" a="1"/>
  <c r="T35" i="2" a="1"/>
  <c r="T35" i="2" s="1"/>
  <c r="T34" i="2"/>
  <c r="T34" i="2" a="1"/>
  <c r="T33" i="2" a="1"/>
  <c r="T33" i="2" s="1"/>
  <c r="T32" i="2"/>
  <c r="T32" i="2" a="1"/>
  <c r="T31" i="2"/>
  <c r="T31" i="2" a="1"/>
  <c r="T30" i="2"/>
  <c r="T30" i="2" a="1"/>
  <c r="T29" i="2" a="1"/>
  <c r="T29" i="2" s="1"/>
  <c r="T28" i="2" a="1"/>
  <c r="T28" i="2" s="1"/>
  <c r="T27" i="2"/>
  <c r="T27" i="2" a="1"/>
  <c r="T26" i="2" a="1"/>
  <c r="T26" i="2" s="1"/>
  <c r="T25" i="2"/>
  <c r="T25" i="2" a="1"/>
  <c r="T24" i="2"/>
  <c r="T24" i="2" a="1"/>
  <c r="T23" i="2" a="1"/>
  <c r="T23" i="2" s="1"/>
  <c r="T22" i="2" a="1"/>
  <c r="T22" i="2" s="1"/>
  <c r="T21" i="2" a="1"/>
  <c r="T21" i="2" s="1"/>
  <c r="T20" i="2" a="1"/>
  <c r="T20" i="2" s="1"/>
  <c r="T19" i="2"/>
  <c r="T19" i="2" a="1"/>
  <c r="T18" i="2"/>
  <c r="T18" i="2" a="1"/>
  <c r="T17" i="2" a="1"/>
  <c r="T17" i="2" s="1"/>
  <c r="T16" i="2" a="1"/>
  <c r="T16" i="2" s="1"/>
  <c r="T15" i="2" a="1"/>
  <c r="T15" i="2" s="1"/>
  <c r="T14" i="2"/>
  <c r="T14" i="2" a="1"/>
  <c r="T13" i="2"/>
  <c r="T13" i="2" a="1"/>
  <c r="T12" i="2"/>
  <c r="T12" i="2" a="1"/>
  <c r="T11" i="2" a="1"/>
  <c r="T11" i="2" s="1"/>
  <c r="T10" i="2" a="1"/>
  <c r="T10" i="2" s="1"/>
  <c r="T9" i="2" a="1"/>
  <c r="T9" i="2" s="1"/>
  <c r="T8" i="2" a="1"/>
  <c r="T8" i="2" s="1"/>
  <c r="T7" i="2"/>
  <c r="T7" i="2" a="1"/>
  <c r="T6" i="2"/>
  <c r="T6" i="2" a="1"/>
  <c r="T5" i="2" a="1"/>
  <c r="T5" i="2" s="1"/>
  <c r="T4" i="2" a="1"/>
  <c r="T4" i="2" s="1"/>
  <c r="T3" i="2" a="1"/>
  <c r="T3" i="2" s="1"/>
  <c r="T2" i="2" a="1"/>
  <c r="T2" i="2" s="1"/>
  <c r="U4506" i="2"/>
  <c r="S4506" i="2"/>
  <c r="V4506" i="2" s="1" a="1"/>
  <c r="V4506" i="2" s="1"/>
  <c r="R4506" i="2"/>
  <c r="Q4506" i="2"/>
  <c r="P4506" i="2"/>
  <c r="U4505" i="2"/>
  <c r="S4505" i="2"/>
  <c r="V4505" i="2" s="1" a="1"/>
  <c r="V4505" i="2" s="1"/>
  <c r="R4505" i="2"/>
  <c r="Q4505" i="2"/>
  <c r="P4505" i="2"/>
  <c r="U4504" i="2"/>
  <c r="S4504" i="2"/>
  <c r="V4504" i="2" s="1" a="1"/>
  <c r="V4504" i="2" s="1"/>
  <c r="R4504" i="2"/>
  <c r="Q4504" i="2"/>
  <c r="P4504" i="2"/>
  <c r="U4503" i="2"/>
  <c r="S4503" i="2"/>
  <c r="V4503" i="2" s="1" a="1"/>
  <c r="V4503" i="2" s="1"/>
  <c r="R4503" i="2"/>
  <c r="Q4503" i="2"/>
  <c r="P4503" i="2"/>
  <c r="U4502" i="2"/>
  <c r="S4502" i="2"/>
  <c r="V4502" i="2" s="1" a="1"/>
  <c r="V4502" i="2" s="1"/>
  <c r="R4502" i="2"/>
  <c r="Q4502" i="2"/>
  <c r="P4502" i="2"/>
  <c r="U4501" i="2"/>
  <c r="S4501" i="2"/>
  <c r="R4501" i="2"/>
  <c r="Q4501" i="2"/>
  <c r="P4501" i="2"/>
  <c r="V4500" i="2" a="1"/>
  <c r="V4500" i="2" s="1"/>
  <c r="U4500" i="2"/>
  <c r="S4500" i="2"/>
  <c r="R4500" i="2"/>
  <c r="Q4500" i="2"/>
  <c r="P4500" i="2"/>
  <c r="V4499" i="2" a="1"/>
  <c r="V4499" i="2" s="1"/>
  <c r="U4499" i="2"/>
  <c r="S4499" i="2"/>
  <c r="R4499" i="2"/>
  <c r="Q4499" i="2"/>
  <c r="P4499" i="2"/>
  <c r="V4498" i="2"/>
  <c r="V4498" i="2" a="1"/>
  <c r="U4498" i="2"/>
  <c r="S4498" i="2"/>
  <c r="R4498" i="2"/>
  <c r="Q4498" i="2"/>
  <c r="P4498" i="2"/>
  <c r="V4497" i="2" a="1"/>
  <c r="V4497" i="2" s="1"/>
  <c r="U4497" i="2"/>
  <c r="S4497" i="2"/>
  <c r="R4497" i="2"/>
  <c r="Q4497" i="2"/>
  <c r="P4497" i="2"/>
  <c r="V4496" i="2"/>
  <c r="U4496" i="2"/>
  <c r="S4496" i="2"/>
  <c r="V4496" i="2" s="1" a="1"/>
  <c r="R4496" i="2"/>
  <c r="Q4496" i="2"/>
  <c r="P4496" i="2"/>
  <c r="U4495" i="2"/>
  <c r="S4495" i="2"/>
  <c r="V4495" i="2" s="1" a="1"/>
  <c r="V4495" i="2" s="1"/>
  <c r="R4495" i="2"/>
  <c r="Q4495" i="2"/>
  <c r="P4495" i="2"/>
  <c r="U4494" i="2"/>
  <c r="S4494" i="2"/>
  <c r="V4494" i="2" s="1" a="1"/>
  <c r="V4494" i="2" s="1"/>
  <c r="R4494" i="2"/>
  <c r="Q4494" i="2"/>
  <c r="P4494" i="2"/>
  <c r="U4493" i="2"/>
  <c r="S4493" i="2"/>
  <c r="R4493" i="2"/>
  <c r="Q4493" i="2"/>
  <c r="P4493" i="2"/>
  <c r="V4492" i="2" a="1"/>
  <c r="V4492" i="2" s="1"/>
  <c r="U4492" i="2"/>
  <c r="S4492" i="2"/>
  <c r="R4492" i="2"/>
  <c r="Q4492" i="2"/>
  <c r="P4492" i="2"/>
  <c r="V4491" i="2" a="1"/>
  <c r="V4491" i="2" s="1"/>
  <c r="U4491" i="2"/>
  <c r="S4491" i="2"/>
  <c r="R4491" i="2"/>
  <c r="Q4491" i="2"/>
  <c r="P4491" i="2"/>
  <c r="V4490" i="2"/>
  <c r="V4490" i="2" a="1"/>
  <c r="U4490" i="2"/>
  <c r="S4490" i="2"/>
  <c r="R4490" i="2"/>
  <c r="Q4490" i="2"/>
  <c r="P4490" i="2"/>
  <c r="V4489" i="2" a="1"/>
  <c r="V4489" i="2" s="1"/>
  <c r="U4489" i="2"/>
  <c r="S4489" i="2"/>
  <c r="R4489" i="2"/>
  <c r="Q4489" i="2"/>
  <c r="P4489" i="2"/>
  <c r="U4488" i="2"/>
  <c r="S4488" i="2"/>
  <c r="V4488" i="2" s="1" a="1"/>
  <c r="V4488" i="2" s="1"/>
  <c r="R4488" i="2"/>
  <c r="Q4488" i="2"/>
  <c r="P4488" i="2"/>
  <c r="U4487" i="2"/>
  <c r="S4487" i="2"/>
  <c r="V4487" i="2" s="1" a="1"/>
  <c r="V4487" i="2" s="1"/>
  <c r="R4487" i="2"/>
  <c r="Q4487" i="2"/>
  <c r="P4487" i="2"/>
  <c r="U4486" i="2"/>
  <c r="S4486" i="2"/>
  <c r="V4486" i="2" s="1" a="1"/>
  <c r="V4486" i="2" s="1"/>
  <c r="R4486" i="2"/>
  <c r="Q4486" i="2"/>
  <c r="P4486" i="2"/>
  <c r="U4485" i="2"/>
  <c r="S4485" i="2"/>
  <c r="R4485" i="2"/>
  <c r="Q4485" i="2"/>
  <c r="P4485" i="2"/>
  <c r="V4484" i="2" a="1"/>
  <c r="V4484" i="2" s="1"/>
  <c r="U4484" i="2"/>
  <c r="S4484" i="2"/>
  <c r="R4484" i="2"/>
  <c r="Q4484" i="2"/>
  <c r="P4484" i="2"/>
  <c r="V4483" i="2" a="1"/>
  <c r="V4483" i="2" s="1"/>
  <c r="U4483" i="2"/>
  <c r="S4483" i="2"/>
  <c r="R4483" i="2"/>
  <c r="Q4483" i="2"/>
  <c r="P4483" i="2"/>
  <c r="V4482" i="2"/>
  <c r="V4482" i="2" a="1"/>
  <c r="U4482" i="2"/>
  <c r="S4482" i="2"/>
  <c r="R4482" i="2"/>
  <c r="Q4482" i="2"/>
  <c r="P4482" i="2"/>
  <c r="V4481" i="2" a="1"/>
  <c r="V4481" i="2" s="1"/>
  <c r="U4481" i="2"/>
  <c r="S4481" i="2"/>
  <c r="R4481" i="2"/>
  <c r="Q4481" i="2"/>
  <c r="P4481" i="2"/>
  <c r="U4480" i="2"/>
  <c r="S4480" i="2"/>
  <c r="V4480" i="2" s="1" a="1"/>
  <c r="V4480" i="2" s="1"/>
  <c r="R4480" i="2"/>
  <c r="Q4480" i="2"/>
  <c r="P4480" i="2"/>
  <c r="U4479" i="2"/>
  <c r="S4479" i="2"/>
  <c r="V4479" i="2" s="1" a="1"/>
  <c r="V4479" i="2" s="1"/>
  <c r="R4479" i="2"/>
  <c r="Q4479" i="2"/>
  <c r="P4479" i="2"/>
  <c r="U4478" i="2"/>
  <c r="S4478" i="2"/>
  <c r="V4478" i="2" s="1" a="1"/>
  <c r="V4478" i="2" s="1"/>
  <c r="R4478" i="2"/>
  <c r="Q4478" i="2"/>
  <c r="P4478" i="2"/>
  <c r="U4477" i="2"/>
  <c r="S4477" i="2"/>
  <c r="R4477" i="2"/>
  <c r="Q4477" i="2"/>
  <c r="P4477" i="2"/>
  <c r="V4476" i="2" a="1"/>
  <c r="V4476" i="2" s="1"/>
  <c r="U4476" i="2"/>
  <c r="S4476" i="2"/>
  <c r="R4476" i="2"/>
  <c r="Q4476" i="2"/>
  <c r="P4476" i="2"/>
  <c r="V4475" i="2" a="1"/>
  <c r="V4475" i="2" s="1"/>
  <c r="U4475" i="2"/>
  <c r="S4475" i="2"/>
  <c r="R4475" i="2"/>
  <c r="Q4475" i="2"/>
  <c r="P4475" i="2"/>
  <c r="V4474" i="2"/>
  <c r="V4474" i="2" a="1"/>
  <c r="U4474" i="2"/>
  <c r="S4474" i="2"/>
  <c r="R4474" i="2"/>
  <c r="Q4474" i="2"/>
  <c r="P4474" i="2"/>
  <c r="V4473" i="2" a="1"/>
  <c r="V4473" i="2" s="1"/>
  <c r="U4473" i="2"/>
  <c r="S4473" i="2"/>
  <c r="R4473" i="2"/>
  <c r="Q4473" i="2"/>
  <c r="P4473" i="2"/>
  <c r="U4472" i="2"/>
  <c r="S4472" i="2"/>
  <c r="V4472" i="2" s="1" a="1"/>
  <c r="V4472" i="2" s="1"/>
  <c r="R4472" i="2"/>
  <c r="Q4472" i="2"/>
  <c r="P4472" i="2"/>
  <c r="U4471" i="2"/>
  <c r="S4471" i="2"/>
  <c r="V4471" i="2" s="1" a="1"/>
  <c r="V4471" i="2" s="1"/>
  <c r="R4471" i="2"/>
  <c r="Q4471" i="2"/>
  <c r="P4471" i="2"/>
  <c r="U4470" i="2"/>
  <c r="S4470" i="2"/>
  <c r="V4470" i="2" s="1" a="1"/>
  <c r="V4470" i="2" s="1"/>
  <c r="R4470" i="2"/>
  <c r="Q4470" i="2"/>
  <c r="P4470" i="2"/>
  <c r="U4469" i="2"/>
  <c r="S4469" i="2"/>
  <c r="R4469" i="2"/>
  <c r="Q4469" i="2"/>
  <c r="P4469" i="2"/>
  <c r="V4468" i="2" a="1"/>
  <c r="V4468" i="2" s="1"/>
  <c r="U4468" i="2"/>
  <c r="S4468" i="2"/>
  <c r="R4468" i="2"/>
  <c r="Q4468" i="2"/>
  <c r="P4468" i="2"/>
  <c r="V4467" i="2" a="1"/>
  <c r="V4467" i="2" s="1"/>
  <c r="U4467" i="2"/>
  <c r="S4467" i="2"/>
  <c r="R4467" i="2"/>
  <c r="Q4467" i="2"/>
  <c r="P4467" i="2"/>
  <c r="V4466" i="2"/>
  <c r="V4466" i="2" a="1"/>
  <c r="U4466" i="2"/>
  <c r="S4466" i="2"/>
  <c r="R4466" i="2"/>
  <c r="Q4466" i="2"/>
  <c r="P4466" i="2"/>
  <c r="V4465" i="2" a="1"/>
  <c r="V4465" i="2" s="1"/>
  <c r="U4465" i="2"/>
  <c r="S4465" i="2"/>
  <c r="R4465" i="2"/>
  <c r="Q4465" i="2"/>
  <c r="P4465" i="2"/>
  <c r="V4464" i="2"/>
  <c r="U4464" i="2"/>
  <c r="S4464" i="2"/>
  <c r="V4464" i="2" s="1" a="1"/>
  <c r="R4464" i="2"/>
  <c r="Q4464" i="2"/>
  <c r="P4464" i="2"/>
  <c r="U4463" i="2"/>
  <c r="S4463" i="2"/>
  <c r="V4463" i="2" s="1" a="1"/>
  <c r="V4463" i="2" s="1"/>
  <c r="R4463" i="2"/>
  <c r="Q4463" i="2"/>
  <c r="P4463" i="2"/>
  <c r="U4462" i="2"/>
  <c r="S4462" i="2"/>
  <c r="V4462" i="2" s="1" a="1"/>
  <c r="V4462" i="2" s="1"/>
  <c r="R4462" i="2"/>
  <c r="Q4462" i="2"/>
  <c r="P4462" i="2"/>
  <c r="U4461" i="2"/>
  <c r="S4461" i="2"/>
  <c r="R4461" i="2"/>
  <c r="Q4461" i="2"/>
  <c r="P4461" i="2"/>
  <c r="V4460" i="2" a="1"/>
  <c r="V4460" i="2" s="1"/>
  <c r="U4460" i="2"/>
  <c r="S4460" i="2"/>
  <c r="R4460" i="2"/>
  <c r="Q4460" i="2"/>
  <c r="P4460" i="2"/>
  <c r="V4459" i="2" a="1"/>
  <c r="V4459" i="2" s="1"/>
  <c r="U4459" i="2"/>
  <c r="S4459" i="2"/>
  <c r="R4459" i="2"/>
  <c r="Q4459" i="2"/>
  <c r="P4459" i="2"/>
  <c r="V4458" i="2"/>
  <c r="V4458" i="2" a="1"/>
  <c r="U4458" i="2"/>
  <c r="S4458" i="2"/>
  <c r="R4458" i="2"/>
  <c r="Q4458" i="2"/>
  <c r="P4458" i="2"/>
  <c r="V4457" i="2" a="1"/>
  <c r="V4457" i="2" s="1"/>
  <c r="U4457" i="2"/>
  <c r="S4457" i="2"/>
  <c r="R4457" i="2"/>
  <c r="Q4457" i="2"/>
  <c r="P4457" i="2"/>
  <c r="U4456" i="2"/>
  <c r="S4456" i="2"/>
  <c r="V4456" i="2" s="1" a="1"/>
  <c r="V4456" i="2" s="1"/>
  <c r="R4456" i="2"/>
  <c r="Q4456" i="2"/>
  <c r="P4456" i="2"/>
  <c r="U4455" i="2"/>
  <c r="S4455" i="2"/>
  <c r="V4455" i="2" s="1" a="1"/>
  <c r="V4455" i="2" s="1"/>
  <c r="R4455" i="2"/>
  <c r="Q4455" i="2"/>
  <c r="P4455" i="2"/>
  <c r="U4454" i="2"/>
  <c r="S4454" i="2"/>
  <c r="V4454" i="2" s="1" a="1"/>
  <c r="V4454" i="2" s="1"/>
  <c r="R4454" i="2"/>
  <c r="Q4454" i="2"/>
  <c r="P4454" i="2"/>
  <c r="U4453" i="2"/>
  <c r="S4453" i="2"/>
  <c r="R4453" i="2"/>
  <c r="Q4453" i="2"/>
  <c r="P4453" i="2"/>
  <c r="V4452" i="2" a="1"/>
  <c r="V4452" i="2" s="1"/>
  <c r="U4452" i="2"/>
  <c r="S4452" i="2"/>
  <c r="R4452" i="2"/>
  <c r="Q4452" i="2"/>
  <c r="P4452" i="2"/>
  <c r="V4451" i="2" a="1"/>
  <c r="V4451" i="2" s="1"/>
  <c r="U4451" i="2"/>
  <c r="S4451" i="2"/>
  <c r="R4451" i="2"/>
  <c r="Q4451" i="2"/>
  <c r="P4451" i="2"/>
  <c r="V4450" i="2"/>
  <c r="V4450" i="2" a="1"/>
  <c r="U4450" i="2"/>
  <c r="S4450" i="2"/>
  <c r="R4450" i="2"/>
  <c r="Q4450" i="2"/>
  <c r="P4450" i="2"/>
  <c r="V4449" i="2" a="1"/>
  <c r="V4449" i="2" s="1"/>
  <c r="U4449" i="2"/>
  <c r="S4449" i="2"/>
  <c r="R4449" i="2"/>
  <c r="Q4449" i="2"/>
  <c r="P4449" i="2"/>
  <c r="V4448" i="2"/>
  <c r="U4448" i="2"/>
  <c r="S4448" i="2"/>
  <c r="V4448" i="2" s="1" a="1"/>
  <c r="R4448" i="2"/>
  <c r="Q4448" i="2"/>
  <c r="P4448" i="2"/>
  <c r="U4447" i="2"/>
  <c r="S4447" i="2"/>
  <c r="V4447" i="2" s="1" a="1"/>
  <c r="V4447" i="2" s="1"/>
  <c r="R4447" i="2"/>
  <c r="Q4447" i="2"/>
  <c r="P4447" i="2"/>
  <c r="U4446" i="2"/>
  <c r="S4446" i="2"/>
  <c r="V4446" i="2" s="1" a="1"/>
  <c r="V4446" i="2" s="1"/>
  <c r="R4446" i="2"/>
  <c r="Q4446" i="2"/>
  <c r="P4446" i="2"/>
  <c r="U4445" i="2"/>
  <c r="S4445" i="2"/>
  <c r="R4445" i="2"/>
  <c r="Q4445" i="2"/>
  <c r="P4445" i="2"/>
  <c r="V4444" i="2" a="1"/>
  <c r="V4444" i="2" s="1"/>
  <c r="U4444" i="2"/>
  <c r="S4444" i="2"/>
  <c r="R4444" i="2"/>
  <c r="Q4444" i="2"/>
  <c r="P4444" i="2"/>
  <c r="V4443" i="2" a="1"/>
  <c r="V4443" i="2" s="1"/>
  <c r="U4443" i="2"/>
  <c r="S4443" i="2"/>
  <c r="R4443" i="2"/>
  <c r="Q4443" i="2"/>
  <c r="P4443" i="2"/>
  <c r="V4442" i="2"/>
  <c r="V4442" i="2" a="1"/>
  <c r="U4442" i="2"/>
  <c r="S4442" i="2"/>
  <c r="R4442" i="2"/>
  <c r="Q4442" i="2"/>
  <c r="P4442" i="2"/>
  <c r="V4441" i="2" a="1"/>
  <c r="V4441" i="2" s="1"/>
  <c r="U4441" i="2"/>
  <c r="S4441" i="2"/>
  <c r="R4441" i="2"/>
  <c r="Q4441" i="2"/>
  <c r="P4441" i="2"/>
  <c r="V4440" i="2"/>
  <c r="U4440" i="2"/>
  <c r="S4440" i="2"/>
  <c r="V4440" i="2" s="1" a="1"/>
  <c r="R4440" i="2"/>
  <c r="Q4440" i="2"/>
  <c r="P4440" i="2"/>
  <c r="U4439" i="2"/>
  <c r="S4439" i="2"/>
  <c r="V4439" i="2" s="1" a="1"/>
  <c r="V4439" i="2" s="1"/>
  <c r="R4439" i="2"/>
  <c r="Q4439" i="2"/>
  <c r="P4439" i="2"/>
  <c r="U4438" i="2"/>
  <c r="S4438" i="2"/>
  <c r="V4438" i="2" s="1" a="1"/>
  <c r="V4438" i="2" s="1"/>
  <c r="R4438" i="2"/>
  <c r="Q4438" i="2"/>
  <c r="P4438" i="2"/>
  <c r="U4437" i="2"/>
  <c r="S4437" i="2"/>
  <c r="R4437" i="2"/>
  <c r="Q4437" i="2"/>
  <c r="P4437" i="2"/>
  <c r="V4436" i="2" a="1"/>
  <c r="V4436" i="2" s="1"/>
  <c r="U4436" i="2"/>
  <c r="S4436" i="2"/>
  <c r="R4436" i="2"/>
  <c r="Q4436" i="2"/>
  <c r="P4436" i="2"/>
  <c r="V4435" i="2" a="1"/>
  <c r="V4435" i="2" s="1"/>
  <c r="U4435" i="2"/>
  <c r="S4435" i="2"/>
  <c r="R4435" i="2"/>
  <c r="Q4435" i="2"/>
  <c r="P4435" i="2"/>
  <c r="V4434" i="2"/>
  <c r="V4434" i="2" a="1"/>
  <c r="U4434" i="2"/>
  <c r="S4434" i="2"/>
  <c r="R4434" i="2"/>
  <c r="Q4434" i="2"/>
  <c r="P4434" i="2"/>
  <c r="V4433" i="2" a="1"/>
  <c r="V4433" i="2" s="1"/>
  <c r="U4433" i="2"/>
  <c r="S4433" i="2"/>
  <c r="R4433" i="2"/>
  <c r="Q4433" i="2"/>
  <c r="P4433" i="2"/>
  <c r="V4432" i="2"/>
  <c r="U4432" i="2"/>
  <c r="S4432" i="2"/>
  <c r="V4432" i="2" s="1" a="1"/>
  <c r="R4432" i="2"/>
  <c r="Q4432" i="2"/>
  <c r="P4432" i="2"/>
  <c r="U4431" i="2"/>
  <c r="S4431" i="2"/>
  <c r="R4431" i="2"/>
  <c r="Q4431" i="2"/>
  <c r="P4431" i="2"/>
  <c r="U4430" i="2"/>
  <c r="S4430" i="2"/>
  <c r="V4430" i="2" s="1" a="1"/>
  <c r="V4430" i="2" s="1"/>
  <c r="R4430" i="2"/>
  <c r="Q4430" i="2"/>
  <c r="P4430" i="2"/>
  <c r="U4429" i="2"/>
  <c r="S4429" i="2"/>
  <c r="R4429" i="2"/>
  <c r="Q4429" i="2"/>
  <c r="P4429" i="2"/>
  <c r="V4428" i="2" a="1"/>
  <c r="V4428" i="2" s="1"/>
  <c r="U4428" i="2"/>
  <c r="S4428" i="2"/>
  <c r="R4428" i="2"/>
  <c r="Q4428" i="2"/>
  <c r="P4428" i="2"/>
  <c r="V4427" i="2" a="1"/>
  <c r="V4427" i="2" s="1"/>
  <c r="U4427" i="2"/>
  <c r="S4427" i="2"/>
  <c r="R4427" i="2"/>
  <c r="Q4427" i="2"/>
  <c r="P4427" i="2"/>
  <c r="V4426" i="2"/>
  <c r="V4426" i="2" a="1"/>
  <c r="U4426" i="2"/>
  <c r="S4426" i="2"/>
  <c r="R4426" i="2"/>
  <c r="Q4426" i="2"/>
  <c r="P4426" i="2"/>
  <c r="V4425" i="2" a="1"/>
  <c r="V4425" i="2" s="1"/>
  <c r="U4425" i="2"/>
  <c r="S4425" i="2"/>
  <c r="R4425" i="2"/>
  <c r="Q4425" i="2"/>
  <c r="P4425" i="2"/>
  <c r="V4424" i="2"/>
  <c r="U4424" i="2"/>
  <c r="S4424" i="2"/>
  <c r="V4424" i="2" s="1" a="1"/>
  <c r="R4424" i="2"/>
  <c r="Q4424" i="2"/>
  <c r="P4424" i="2"/>
  <c r="U4423" i="2"/>
  <c r="S4423" i="2"/>
  <c r="R4423" i="2"/>
  <c r="Q4423" i="2"/>
  <c r="P4423" i="2"/>
  <c r="U4422" i="2"/>
  <c r="S4422" i="2"/>
  <c r="V4422" i="2" s="1" a="1"/>
  <c r="V4422" i="2" s="1"/>
  <c r="R4422" i="2"/>
  <c r="Q4422" i="2"/>
  <c r="P4422" i="2"/>
  <c r="U4421" i="2"/>
  <c r="S4421" i="2"/>
  <c r="R4421" i="2"/>
  <c r="Q4421" i="2"/>
  <c r="P4421" i="2"/>
  <c r="V4420" i="2" a="1"/>
  <c r="V4420" i="2" s="1"/>
  <c r="U4420" i="2"/>
  <c r="S4420" i="2"/>
  <c r="R4420" i="2"/>
  <c r="Q4420" i="2"/>
  <c r="P4420" i="2"/>
  <c r="V4419" i="2" a="1"/>
  <c r="V4419" i="2" s="1"/>
  <c r="U4419" i="2"/>
  <c r="S4419" i="2"/>
  <c r="R4419" i="2"/>
  <c r="Q4419" i="2"/>
  <c r="P4419" i="2"/>
  <c r="V4418" i="2"/>
  <c r="V4418" i="2" a="1"/>
  <c r="U4418" i="2"/>
  <c r="S4418" i="2"/>
  <c r="R4418" i="2"/>
  <c r="Q4418" i="2"/>
  <c r="P4418" i="2"/>
  <c r="V4417" i="2" a="1"/>
  <c r="V4417" i="2" s="1"/>
  <c r="U4417" i="2"/>
  <c r="S4417" i="2"/>
  <c r="R4417" i="2"/>
  <c r="Q4417" i="2"/>
  <c r="P4417" i="2"/>
  <c r="U4416" i="2"/>
  <c r="S4416" i="2"/>
  <c r="V4416" i="2" s="1" a="1"/>
  <c r="V4416" i="2" s="1"/>
  <c r="R4416" i="2"/>
  <c r="Q4416" i="2"/>
  <c r="P4416" i="2"/>
  <c r="U4415" i="2"/>
  <c r="S4415" i="2"/>
  <c r="R4415" i="2"/>
  <c r="Q4415" i="2"/>
  <c r="P4415" i="2"/>
  <c r="U4414" i="2"/>
  <c r="S4414" i="2"/>
  <c r="V4414" i="2" s="1" a="1"/>
  <c r="V4414" i="2" s="1"/>
  <c r="R4414" i="2"/>
  <c r="Q4414" i="2"/>
  <c r="P4414" i="2"/>
  <c r="U4413" i="2"/>
  <c r="S4413" i="2"/>
  <c r="R4413" i="2"/>
  <c r="Q4413" i="2"/>
  <c r="P4413" i="2"/>
  <c r="V4412" i="2" a="1"/>
  <c r="V4412" i="2" s="1"/>
  <c r="U4412" i="2"/>
  <c r="S4412" i="2"/>
  <c r="R4412" i="2"/>
  <c r="Q4412" i="2"/>
  <c r="P4412" i="2"/>
  <c r="V4411" i="2" a="1"/>
  <c r="V4411" i="2" s="1"/>
  <c r="U4411" i="2"/>
  <c r="S4411" i="2"/>
  <c r="R4411" i="2"/>
  <c r="Q4411" i="2"/>
  <c r="P4411" i="2"/>
  <c r="V4410" i="2"/>
  <c r="V4410" i="2" a="1"/>
  <c r="U4410" i="2"/>
  <c r="S4410" i="2"/>
  <c r="R4410" i="2"/>
  <c r="Q4410" i="2"/>
  <c r="P4410" i="2"/>
  <c r="V4409" i="2" a="1"/>
  <c r="V4409" i="2" s="1"/>
  <c r="U4409" i="2"/>
  <c r="S4409" i="2"/>
  <c r="R4409" i="2"/>
  <c r="Q4409" i="2"/>
  <c r="P4409" i="2"/>
  <c r="V4408" i="2"/>
  <c r="U4408" i="2"/>
  <c r="S4408" i="2"/>
  <c r="V4408" i="2" s="1" a="1"/>
  <c r="R4408" i="2"/>
  <c r="Q4408" i="2"/>
  <c r="P4408" i="2"/>
  <c r="U4407" i="2"/>
  <c r="S4407" i="2"/>
  <c r="R4407" i="2"/>
  <c r="Q4407" i="2"/>
  <c r="P4407" i="2"/>
  <c r="U4406" i="2"/>
  <c r="S4406" i="2"/>
  <c r="V4406" i="2" s="1" a="1"/>
  <c r="V4406" i="2" s="1"/>
  <c r="R4406" i="2"/>
  <c r="Q4406" i="2"/>
  <c r="P4406" i="2"/>
  <c r="U4405" i="2"/>
  <c r="S4405" i="2"/>
  <c r="R4405" i="2"/>
  <c r="Q4405" i="2"/>
  <c r="P4405" i="2"/>
  <c r="V4404" i="2" a="1"/>
  <c r="V4404" i="2" s="1"/>
  <c r="U4404" i="2"/>
  <c r="S4404" i="2"/>
  <c r="R4404" i="2"/>
  <c r="Q4404" i="2"/>
  <c r="P4404" i="2"/>
  <c r="V4403" i="2"/>
  <c r="V4403" i="2" a="1"/>
  <c r="U4403" i="2"/>
  <c r="S4403" i="2"/>
  <c r="R4403" i="2"/>
  <c r="Q4403" i="2"/>
  <c r="P4403" i="2"/>
  <c r="V4402" i="2"/>
  <c r="V4402" i="2" a="1"/>
  <c r="U4402" i="2"/>
  <c r="S4402" i="2"/>
  <c r="R4402" i="2"/>
  <c r="Q4402" i="2"/>
  <c r="P4402" i="2"/>
  <c r="V4401" i="2" a="1"/>
  <c r="V4401" i="2" s="1"/>
  <c r="U4401" i="2"/>
  <c r="S4401" i="2"/>
  <c r="R4401" i="2"/>
  <c r="Q4401" i="2"/>
  <c r="P4401" i="2"/>
  <c r="U4400" i="2"/>
  <c r="S4400" i="2"/>
  <c r="R4400" i="2"/>
  <c r="Q4400" i="2"/>
  <c r="P4400" i="2"/>
  <c r="V4399" i="2" a="1"/>
  <c r="V4399" i="2" s="1"/>
  <c r="U4399" i="2"/>
  <c r="S4399" i="2"/>
  <c r="R4399" i="2"/>
  <c r="Q4399" i="2"/>
  <c r="P4399" i="2"/>
  <c r="V4398" i="2"/>
  <c r="U4398" i="2"/>
  <c r="S4398" i="2"/>
  <c r="V4398" i="2" s="1" a="1"/>
  <c r="R4398" i="2"/>
  <c r="Q4398" i="2"/>
  <c r="P4398" i="2"/>
  <c r="U4397" i="2"/>
  <c r="S4397" i="2"/>
  <c r="R4397" i="2"/>
  <c r="Q4397" i="2"/>
  <c r="P4397" i="2"/>
  <c r="V4396" i="2" a="1"/>
  <c r="V4396" i="2" s="1"/>
  <c r="U4396" i="2"/>
  <c r="S4396" i="2"/>
  <c r="R4396" i="2"/>
  <c r="Q4396" i="2"/>
  <c r="P4396" i="2"/>
  <c r="U4395" i="2"/>
  <c r="S4395" i="2"/>
  <c r="R4395" i="2"/>
  <c r="Q4395" i="2"/>
  <c r="P4395" i="2"/>
  <c r="V4394" i="2"/>
  <c r="V4394" i="2" a="1"/>
  <c r="U4394" i="2"/>
  <c r="S4394" i="2"/>
  <c r="R4394" i="2"/>
  <c r="Q4394" i="2"/>
  <c r="P4394" i="2"/>
  <c r="V4393" i="2" a="1"/>
  <c r="V4393" i="2" s="1"/>
  <c r="U4393" i="2"/>
  <c r="S4393" i="2"/>
  <c r="R4393" i="2"/>
  <c r="Q4393" i="2"/>
  <c r="P4393" i="2"/>
  <c r="U4392" i="2"/>
  <c r="S4392" i="2"/>
  <c r="R4392" i="2"/>
  <c r="Q4392" i="2"/>
  <c r="P4392" i="2"/>
  <c r="V4391" i="2" a="1"/>
  <c r="V4391" i="2" s="1"/>
  <c r="U4391" i="2"/>
  <c r="S4391" i="2"/>
  <c r="R4391" i="2"/>
  <c r="Q4391" i="2"/>
  <c r="P4391" i="2"/>
  <c r="V4390" i="2"/>
  <c r="U4390" i="2"/>
  <c r="S4390" i="2"/>
  <c r="V4390" i="2" s="1" a="1"/>
  <c r="R4390" i="2"/>
  <c r="Q4390" i="2"/>
  <c r="P4390" i="2"/>
  <c r="U4389" i="2"/>
  <c r="S4389" i="2"/>
  <c r="V4389" i="2" s="1" a="1"/>
  <c r="V4389" i="2" s="1"/>
  <c r="R4389" i="2"/>
  <c r="Q4389" i="2"/>
  <c r="P4389" i="2"/>
  <c r="V4388" i="2" a="1"/>
  <c r="V4388" i="2" s="1"/>
  <c r="U4388" i="2"/>
  <c r="S4388" i="2"/>
  <c r="R4388" i="2"/>
  <c r="Q4388" i="2"/>
  <c r="P4388" i="2"/>
  <c r="U4387" i="2"/>
  <c r="S4387" i="2"/>
  <c r="R4387" i="2"/>
  <c r="Q4387" i="2"/>
  <c r="P4387" i="2"/>
  <c r="V4386" i="2" a="1"/>
  <c r="V4386" i="2" s="1"/>
  <c r="U4386" i="2"/>
  <c r="S4386" i="2"/>
  <c r="R4386" i="2"/>
  <c r="Q4386" i="2"/>
  <c r="P4386" i="2"/>
  <c r="V4385" i="2" a="1"/>
  <c r="V4385" i="2" s="1"/>
  <c r="U4385" i="2"/>
  <c r="S4385" i="2"/>
  <c r="R4385" i="2"/>
  <c r="Q4385" i="2"/>
  <c r="P4385" i="2"/>
  <c r="U4384" i="2"/>
  <c r="S4384" i="2"/>
  <c r="R4384" i="2"/>
  <c r="Q4384" i="2"/>
  <c r="P4384" i="2"/>
  <c r="U4383" i="2"/>
  <c r="S4383" i="2"/>
  <c r="V4383" i="2" s="1" a="1"/>
  <c r="V4383" i="2" s="1"/>
  <c r="R4383" i="2"/>
  <c r="Q4383" i="2"/>
  <c r="P4383" i="2"/>
  <c r="U4382" i="2"/>
  <c r="S4382" i="2"/>
  <c r="V4382" i="2" s="1" a="1"/>
  <c r="V4382" i="2" s="1"/>
  <c r="R4382" i="2"/>
  <c r="Q4382" i="2"/>
  <c r="P4382" i="2"/>
  <c r="U4381" i="2"/>
  <c r="S4381" i="2"/>
  <c r="V4381" i="2" s="1" a="1"/>
  <c r="V4381" i="2" s="1"/>
  <c r="R4381" i="2"/>
  <c r="Q4381" i="2"/>
  <c r="P4381" i="2"/>
  <c r="V4380" i="2" a="1"/>
  <c r="V4380" i="2" s="1"/>
  <c r="U4380" i="2"/>
  <c r="S4380" i="2"/>
  <c r="R4380" i="2"/>
  <c r="Q4380" i="2"/>
  <c r="P4380" i="2"/>
  <c r="U4379" i="2"/>
  <c r="S4379" i="2"/>
  <c r="R4379" i="2"/>
  <c r="Q4379" i="2"/>
  <c r="P4379" i="2"/>
  <c r="V4378" i="2"/>
  <c r="V4378" i="2" a="1"/>
  <c r="U4378" i="2"/>
  <c r="S4378" i="2"/>
  <c r="R4378" i="2"/>
  <c r="Q4378" i="2"/>
  <c r="P4378" i="2"/>
  <c r="V4377" i="2"/>
  <c r="V4377" i="2" a="1"/>
  <c r="U4377" i="2"/>
  <c r="S4377" i="2"/>
  <c r="R4377" i="2"/>
  <c r="Q4377" i="2"/>
  <c r="P4377" i="2"/>
  <c r="U4376" i="2"/>
  <c r="S4376" i="2"/>
  <c r="R4376" i="2"/>
  <c r="Q4376" i="2"/>
  <c r="P4376" i="2"/>
  <c r="U4375" i="2"/>
  <c r="S4375" i="2"/>
  <c r="V4375" i="2" s="1" a="1"/>
  <c r="V4375" i="2" s="1"/>
  <c r="R4375" i="2"/>
  <c r="Q4375" i="2"/>
  <c r="P4375" i="2"/>
  <c r="U4374" i="2"/>
  <c r="S4374" i="2"/>
  <c r="V4374" i="2" s="1" a="1"/>
  <c r="V4374" i="2" s="1"/>
  <c r="R4374" i="2"/>
  <c r="Q4374" i="2"/>
  <c r="P4374" i="2"/>
  <c r="U4373" i="2"/>
  <c r="S4373" i="2"/>
  <c r="V4373" i="2" s="1" a="1"/>
  <c r="V4373" i="2" s="1"/>
  <c r="R4373" i="2"/>
  <c r="Q4373" i="2"/>
  <c r="P4373" i="2"/>
  <c r="V4372" i="2" a="1"/>
  <c r="V4372" i="2" s="1"/>
  <c r="U4372" i="2"/>
  <c r="S4372" i="2"/>
  <c r="R4372" i="2"/>
  <c r="Q4372" i="2"/>
  <c r="P4372" i="2"/>
  <c r="V4371" i="2"/>
  <c r="V4371" i="2" a="1"/>
  <c r="U4371" i="2"/>
  <c r="S4371" i="2"/>
  <c r="R4371" i="2"/>
  <c r="Q4371" i="2"/>
  <c r="P4371" i="2"/>
  <c r="V4370" i="2"/>
  <c r="V4370" i="2" a="1"/>
  <c r="U4370" i="2"/>
  <c r="S4370" i="2"/>
  <c r="R4370" i="2"/>
  <c r="Q4370" i="2"/>
  <c r="P4370" i="2"/>
  <c r="V4369" i="2"/>
  <c r="V4369" i="2" a="1"/>
  <c r="U4369" i="2"/>
  <c r="S4369" i="2"/>
  <c r="R4369" i="2"/>
  <c r="Q4369" i="2"/>
  <c r="P4369" i="2"/>
  <c r="U4368" i="2"/>
  <c r="S4368" i="2"/>
  <c r="R4368" i="2"/>
  <c r="Q4368" i="2"/>
  <c r="P4368" i="2"/>
  <c r="V4367" i="2" a="1"/>
  <c r="V4367" i="2" s="1"/>
  <c r="U4367" i="2"/>
  <c r="S4367" i="2"/>
  <c r="R4367" i="2"/>
  <c r="Q4367" i="2"/>
  <c r="P4367" i="2"/>
  <c r="V4366" i="2" a="1"/>
  <c r="V4366" i="2" s="1"/>
  <c r="U4366" i="2"/>
  <c r="S4366" i="2"/>
  <c r="R4366" i="2"/>
  <c r="Q4366" i="2"/>
  <c r="P4366" i="2"/>
  <c r="V4365" i="2"/>
  <c r="U4365" i="2"/>
  <c r="S4365" i="2"/>
  <c r="V4365" i="2" s="1" a="1"/>
  <c r="R4365" i="2"/>
  <c r="Q4365" i="2"/>
  <c r="P4365" i="2"/>
  <c r="V4364" i="2" a="1"/>
  <c r="V4364" i="2" s="1"/>
  <c r="U4364" i="2"/>
  <c r="S4364" i="2"/>
  <c r="R4364" i="2"/>
  <c r="Q4364" i="2"/>
  <c r="P4364" i="2"/>
  <c r="V4363" i="2"/>
  <c r="V4363" i="2" a="1"/>
  <c r="U4363" i="2"/>
  <c r="S4363" i="2"/>
  <c r="R4363" i="2"/>
  <c r="Q4363" i="2"/>
  <c r="P4363" i="2"/>
  <c r="V4362" i="2"/>
  <c r="V4362" i="2" a="1"/>
  <c r="U4362" i="2"/>
  <c r="S4362" i="2"/>
  <c r="R4362" i="2"/>
  <c r="Q4362" i="2"/>
  <c r="P4362" i="2"/>
  <c r="V4361" i="2"/>
  <c r="V4361" i="2" a="1"/>
  <c r="U4361" i="2"/>
  <c r="S4361" i="2"/>
  <c r="R4361" i="2"/>
  <c r="Q4361" i="2"/>
  <c r="P4361" i="2"/>
  <c r="U4360" i="2"/>
  <c r="S4360" i="2"/>
  <c r="R4360" i="2"/>
  <c r="Q4360" i="2"/>
  <c r="P4360" i="2"/>
  <c r="V4359" i="2" a="1"/>
  <c r="V4359" i="2" s="1"/>
  <c r="U4359" i="2"/>
  <c r="S4359" i="2"/>
  <c r="R4359" i="2"/>
  <c r="Q4359" i="2"/>
  <c r="P4359" i="2"/>
  <c r="V4358" i="2" a="1"/>
  <c r="V4358" i="2" s="1"/>
  <c r="U4358" i="2"/>
  <c r="S4358" i="2"/>
  <c r="R4358" i="2"/>
  <c r="Q4358" i="2"/>
  <c r="P4358" i="2"/>
  <c r="V4357" i="2"/>
  <c r="U4357" i="2"/>
  <c r="S4357" i="2"/>
  <c r="V4357" i="2" s="1" a="1"/>
  <c r="R4357" i="2"/>
  <c r="Q4357" i="2"/>
  <c r="P4357" i="2"/>
  <c r="V4356" i="2" a="1"/>
  <c r="V4356" i="2" s="1"/>
  <c r="U4356" i="2"/>
  <c r="S4356" i="2"/>
  <c r="R4356" i="2"/>
  <c r="Q4356" i="2"/>
  <c r="P4356" i="2"/>
  <c r="V4355" i="2"/>
  <c r="V4355" i="2" a="1"/>
  <c r="U4355" i="2"/>
  <c r="S4355" i="2"/>
  <c r="R4355" i="2"/>
  <c r="Q4355" i="2"/>
  <c r="P4355" i="2"/>
  <c r="V4354" i="2"/>
  <c r="V4354" i="2" a="1"/>
  <c r="U4354" i="2"/>
  <c r="S4354" i="2"/>
  <c r="R4354" i="2"/>
  <c r="Q4354" i="2"/>
  <c r="P4354" i="2"/>
  <c r="V4353" i="2"/>
  <c r="V4353" i="2" a="1"/>
  <c r="U4353" i="2"/>
  <c r="S4353" i="2"/>
  <c r="R4353" i="2"/>
  <c r="Q4353" i="2"/>
  <c r="P4353" i="2"/>
  <c r="U4352" i="2"/>
  <c r="S4352" i="2"/>
  <c r="R4352" i="2"/>
  <c r="Q4352" i="2"/>
  <c r="P4352" i="2"/>
  <c r="V4351" i="2" a="1"/>
  <c r="V4351" i="2" s="1"/>
  <c r="U4351" i="2"/>
  <c r="S4351" i="2"/>
  <c r="R4351" i="2"/>
  <c r="Q4351" i="2"/>
  <c r="P4351" i="2"/>
  <c r="V4350" i="2" a="1"/>
  <c r="V4350" i="2" s="1"/>
  <c r="U4350" i="2"/>
  <c r="S4350" i="2"/>
  <c r="R4350" i="2"/>
  <c r="Q4350" i="2"/>
  <c r="P4350" i="2"/>
  <c r="V4349" i="2"/>
  <c r="U4349" i="2"/>
  <c r="S4349" i="2"/>
  <c r="V4349" i="2" s="1" a="1"/>
  <c r="R4349" i="2"/>
  <c r="Q4349" i="2"/>
  <c r="P4349" i="2"/>
  <c r="V4348" i="2" a="1"/>
  <c r="V4348" i="2" s="1"/>
  <c r="U4348" i="2"/>
  <c r="S4348" i="2"/>
  <c r="R4348" i="2"/>
  <c r="Q4348" i="2"/>
  <c r="P4348" i="2"/>
  <c r="U4347" i="2"/>
  <c r="S4347" i="2"/>
  <c r="V4347" i="2" s="1" a="1"/>
  <c r="V4347" i="2" s="1"/>
  <c r="R4347" i="2"/>
  <c r="Q4347" i="2"/>
  <c r="P4347" i="2"/>
  <c r="V4346" i="2"/>
  <c r="V4346" i="2" a="1"/>
  <c r="U4346" i="2"/>
  <c r="S4346" i="2"/>
  <c r="R4346" i="2"/>
  <c r="Q4346" i="2"/>
  <c r="P4346" i="2"/>
  <c r="V4345" i="2" a="1"/>
  <c r="V4345" i="2" s="1"/>
  <c r="U4345" i="2"/>
  <c r="S4345" i="2"/>
  <c r="R4345" i="2"/>
  <c r="Q4345" i="2"/>
  <c r="P4345" i="2"/>
  <c r="U4344" i="2"/>
  <c r="S4344" i="2"/>
  <c r="R4344" i="2"/>
  <c r="Q4344" i="2"/>
  <c r="P4344" i="2"/>
  <c r="U4343" i="2"/>
  <c r="S4343" i="2"/>
  <c r="V4343" i="2" s="1" a="1"/>
  <c r="V4343" i="2" s="1"/>
  <c r="R4343" i="2"/>
  <c r="Q4343" i="2"/>
  <c r="P4343" i="2"/>
  <c r="U4342" i="2"/>
  <c r="S4342" i="2"/>
  <c r="R4342" i="2"/>
  <c r="Q4342" i="2"/>
  <c r="P4342" i="2"/>
  <c r="U4341" i="2"/>
  <c r="S4341" i="2"/>
  <c r="R4341" i="2"/>
  <c r="Q4341" i="2"/>
  <c r="P4341" i="2"/>
  <c r="U4340" i="2"/>
  <c r="S4340" i="2"/>
  <c r="R4340" i="2"/>
  <c r="Q4340" i="2"/>
  <c r="P4340" i="2"/>
  <c r="V4339" i="2" a="1"/>
  <c r="V4339" i="2" s="1"/>
  <c r="U4339" i="2"/>
  <c r="S4339" i="2"/>
  <c r="R4339" i="2"/>
  <c r="Q4339" i="2"/>
  <c r="P4339" i="2"/>
  <c r="U4338" i="2"/>
  <c r="S4338" i="2"/>
  <c r="V4338" i="2" s="1" a="1"/>
  <c r="V4338" i="2" s="1"/>
  <c r="R4338" i="2"/>
  <c r="Q4338" i="2"/>
  <c r="P4338" i="2"/>
  <c r="V4337" i="2" a="1"/>
  <c r="V4337" i="2" s="1"/>
  <c r="U4337" i="2"/>
  <c r="S4337" i="2"/>
  <c r="R4337" i="2"/>
  <c r="Q4337" i="2"/>
  <c r="P4337" i="2"/>
  <c r="V4336" i="2" a="1"/>
  <c r="V4336" i="2" s="1"/>
  <c r="U4336" i="2"/>
  <c r="S4336" i="2"/>
  <c r="R4336" i="2"/>
  <c r="Q4336" i="2"/>
  <c r="P4336" i="2"/>
  <c r="V4335" i="2" a="1"/>
  <c r="V4335" i="2" s="1"/>
  <c r="U4335" i="2"/>
  <c r="S4335" i="2"/>
  <c r="R4335" i="2"/>
  <c r="Q4335" i="2"/>
  <c r="P4335" i="2"/>
  <c r="U4334" i="2"/>
  <c r="S4334" i="2"/>
  <c r="V4334" i="2" s="1" a="1"/>
  <c r="V4334" i="2" s="1"/>
  <c r="R4334" i="2"/>
  <c r="Q4334" i="2"/>
  <c r="P4334" i="2"/>
  <c r="V4333" i="2"/>
  <c r="V4333" i="2" a="1"/>
  <c r="U4333" i="2"/>
  <c r="S4333" i="2"/>
  <c r="R4333" i="2"/>
  <c r="Q4333" i="2"/>
  <c r="P4333" i="2"/>
  <c r="V4332" i="2" a="1"/>
  <c r="V4332" i="2" s="1"/>
  <c r="U4332" i="2"/>
  <c r="S4332" i="2"/>
  <c r="R4332" i="2"/>
  <c r="Q4332" i="2"/>
  <c r="P4332" i="2"/>
  <c r="U4331" i="2"/>
  <c r="S4331" i="2"/>
  <c r="R4331" i="2"/>
  <c r="Q4331" i="2"/>
  <c r="P4331" i="2"/>
  <c r="V4330" i="2" a="1"/>
  <c r="V4330" i="2" s="1"/>
  <c r="U4330" i="2"/>
  <c r="S4330" i="2"/>
  <c r="R4330" i="2"/>
  <c r="Q4330" i="2"/>
  <c r="P4330" i="2"/>
  <c r="U4329" i="2"/>
  <c r="S4329" i="2"/>
  <c r="V4329" i="2" s="1" a="1"/>
  <c r="V4329" i="2" s="1"/>
  <c r="R4329" i="2"/>
  <c r="Q4329" i="2"/>
  <c r="P4329" i="2"/>
  <c r="U4328" i="2"/>
  <c r="S4328" i="2"/>
  <c r="R4328" i="2"/>
  <c r="Q4328" i="2"/>
  <c r="P4328" i="2"/>
  <c r="V4327" i="2" a="1"/>
  <c r="V4327" i="2" s="1"/>
  <c r="U4327" i="2"/>
  <c r="S4327" i="2"/>
  <c r="R4327" i="2"/>
  <c r="Q4327" i="2"/>
  <c r="P4327" i="2"/>
  <c r="V4326" i="2"/>
  <c r="U4326" i="2"/>
  <c r="S4326" i="2"/>
  <c r="V4326" i="2" s="1" a="1"/>
  <c r="R4326" i="2"/>
  <c r="Q4326" i="2"/>
  <c r="P4326" i="2"/>
  <c r="V4325" i="2"/>
  <c r="V4325" i="2" a="1"/>
  <c r="U4325" i="2"/>
  <c r="S4325" i="2"/>
  <c r="R4325" i="2"/>
  <c r="Q4325" i="2"/>
  <c r="P4325" i="2"/>
  <c r="V4324" i="2" a="1"/>
  <c r="V4324" i="2" s="1"/>
  <c r="U4324" i="2"/>
  <c r="S4324" i="2"/>
  <c r="R4324" i="2"/>
  <c r="Q4324" i="2"/>
  <c r="P4324" i="2"/>
  <c r="U4323" i="2"/>
  <c r="S4323" i="2"/>
  <c r="R4323" i="2"/>
  <c r="Q4323" i="2"/>
  <c r="P4323" i="2"/>
  <c r="V4322" i="2" a="1"/>
  <c r="V4322" i="2" s="1"/>
  <c r="U4322" i="2"/>
  <c r="S4322" i="2"/>
  <c r="R4322" i="2"/>
  <c r="Q4322" i="2"/>
  <c r="P4322" i="2"/>
  <c r="U4321" i="2"/>
  <c r="S4321" i="2"/>
  <c r="V4321" i="2" s="1" a="1"/>
  <c r="V4321" i="2" s="1"/>
  <c r="R4321" i="2"/>
  <c r="Q4321" i="2"/>
  <c r="P4321" i="2"/>
  <c r="U4320" i="2"/>
  <c r="S4320" i="2"/>
  <c r="R4320" i="2"/>
  <c r="Q4320" i="2"/>
  <c r="P4320" i="2"/>
  <c r="V4319" i="2" a="1"/>
  <c r="V4319" i="2" s="1"/>
  <c r="U4319" i="2"/>
  <c r="S4319" i="2"/>
  <c r="R4319" i="2"/>
  <c r="Q4319" i="2"/>
  <c r="P4319" i="2"/>
  <c r="U4318" i="2"/>
  <c r="S4318" i="2"/>
  <c r="V4318" i="2" s="1" a="1"/>
  <c r="V4318" i="2" s="1"/>
  <c r="R4318" i="2"/>
  <c r="Q4318" i="2"/>
  <c r="P4318" i="2"/>
  <c r="V4317" i="2"/>
  <c r="V4317" i="2" a="1"/>
  <c r="U4317" i="2"/>
  <c r="S4317" i="2"/>
  <c r="R4317" i="2"/>
  <c r="Q4317" i="2"/>
  <c r="P4317" i="2"/>
  <c r="V4316" i="2" a="1"/>
  <c r="V4316" i="2" s="1"/>
  <c r="U4316" i="2"/>
  <c r="S4316" i="2"/>
  <c r="R4316" i="2"/>
  <c r="Q4316" i="2"/>
  <c r="P4316" i="2"/>
  <c r="U4315" i="2"/>
  <c r="S4315" i="2"/>
  <c r="R4315" i="2"/>
  <c r="Q4315" i="2"/>
  <c r="P4315" i="2"/>
  <c r="V4314" i="2" a="1"/>
  <c r="V4314" i="2" s="1"/>
  <c r="U4314" i="2"/>
  <c r="S4314" i="2"/>
  <c r="R4314" i="2"/>
  <c r="Q4314" i="2"/>
  <c r="P4314" i="2"/>
  <c r="U4313" i="2"/>
  <c r="S4313" i="2"/>
  <c r="V4313" i="2" s="1" a="1"/>
  <c r="V4313" i="2" s="1"/>
  <c r="R4313" i="2"/>
  <c r="Q4313" i="2"/>
  <c r="P4313" i="2"/>
  <c r="U4312" i="2"/>
  <c r="S4312" i="2"/>
  <c r="R4312" i="2"/>
  <c r="Q4312" i="2"/>
  <c r="P4312" i="2"/>
  <c r="V4311" i="2" a="1"/>
  <c r="V4311" i="2" s="1"/>
  <c r="U4311" i="2"/>
  <c r="S4311" i="2"/>
  <c r="R4311" i="2"/>
  <c r="Q4311" i="2"/>
  <c r="P4311" i="2"/>
  <c r="U4310" i="2"/>
  <c r="S4310" i="2"/>
  <c r="V4310" i="2" s="1" a="1"/>
  <c r="V4310" i="2" s="1"/>
  <c r="R4310" i="2"/>
  <c r="Q4310" i="2"/>
  <c r="P4310" i="2"/>
  <c r="V4309" i="2"/>
  <c r="V4309" i="2" a="1"/>
  <c r="U4309" i="2"/>
  <c r="S4309" i="2"/>
  <c r="R4309" i="2"/>
  <c r="Q4309" i="2"/>
  <c r="P4309" i="2"/>
  <c r="V4308" i="2" a="1"/>
  <c r="V4308" i="2" s="1"/>
  <c r="U4308" i="2"/>
  <c r="S4308" i="2"/>
  <c r="R4308" i="2"/>
  <c r="Q4308" i="2"/>
  <c r="P4308" i="2"/>
  <c r="U4307" i="2"/>
  <c r="S4307" i="2"/>
  <c r="R4307" i="2"/>
  <c r="Q4307" i="2"/>
  <c r="P4307" i="2"/>
  <c r="V4306" i="2" a="1"/>
  <c r="V4306" i="2" s="1"/>
  <c r="U4306" i="2"/>
  <c r="S4306" i="2"/>
  <c r="R4306" i="2"/>
  <c r="Q4306" i="2"/>
  <c r="P4306" i="2"/>
  <c r="U4305" i="2"/>
  <c r="S4305" i="2"/>
  <c r="V4305" i="2" s="1" a="1"/>
  <c r="V4305" i="2" s="1"/>
  <c r="R4305" i="2"/>
  <c r="Q4305" i="2"/>
  <c r="P4305" i="2"/>
  <c r="U4304" i="2"/>
  <c r="S4304" i="2"/>
  <c r="R4304" i="2"/>
  <c r="Q4304" i="2"/>
  <c r="P4304" i="2"/>
  <c r="V4303" i="2" a="1"/>
  <c r="V4303" i="2" s="1"/>
  <c r="U4303" i="2"/>
  <c r="S4303" i="2"/>
  <c r="R4303" i="2"/>
  <c r="Q4303" i="2"/>
  <c r="P4303" i="2"/>
  <c r="U4302" i="2"/>
  <c r="S4302" i="2"/>
  <c r="R4302" i="2"/>
  <c r="Q4302" i="2"/>
  <c r="P4302" i="2"/>
  <c r="V4301" i="2"/>
  <c r="V4301" i="2" a="1"/>
  <c r="U4301" i="2"/>
  <c r="S4301" i="2"/>
  <c r="R4301" i="2"/>
  <c r="Q4301" i="2"/>
  <c r="P4301" i="2"/>
  <c r="V4300" i="2" a="1"/>
  <c r="V4300" i="2" s="1"/>
  <c r="U4300" i="2"/>
  <c r="S4300" i="2"/>
  <c r="R4300" i="2"/>
  <c r="Q4300" i="2"/>
  <c r="P4300" i="2"/>
  <c r="U4299" i="2"/>
  <c r="S4299" i="2"/>
  <c r="R4299" i="2"/>
  <c r="Q4299" i="2"/>
  <c r="P4299" i="2"/>
  <c r="V4298" i="2" a="1"/>
  <c r="V4298" i="2" s="1"/>
  <c r="U4298" i="2"/>
  <c r="S4298" i="2"/>
  <c r="R4298" i="2"/>
  <c r="Q4298" i="2"/>
  <c r="P4298" i="2"/>
  <c r="U4297" i="2"/>
  <c r="S4297" i="2"/>
  <c r="V4297" i="2" s="1" a="1"/>
  <c r="V4297" i="2" s="1"/>
  <c r="R4297" i="2"/>
  <c r="Q4297" i="2"/>
  <c r="P4297" i="2"/>
  <c r="U4296" i="2"/>
  <c r="S4296" i="2"/>
  <c r="R4296" i="2"/>
  <c r="Q4296" i="2"/>
  <c r="P4296" i="2"/>
  <c r="V4295" i="2" a="1"/>
  <c r="V4295" i="2" s="1"/>
  <c r="U4295" i="2"/>
  <c r="S4295" i="2"/>
  <c r="R4295" i="2"/>
  <c r="Q4295" i="2"/>
  <c r="P4295" i="2"/>
  <c r="U4294" i="2"/>
  <c r="S4294" i="2"/>
  <c r="R4294" i="2"/>
  <c r="Q4294" i="2"/>
  <c r="P4294" i="2"/>
  <c r="V4293" i="2"/>
  <c r="V4293" i="2" a="1"/>
  <c r="U4293" i="2"/>
  <c r="S4293" i="2"/>
  <c r="R4293" i="2"/>
  <c r="Q4293" i="2"/>
  <c r="P4293" i="2"/>
  <c r="V4292" i="2" a="1"/>
  <c r="V4292" i="2" s="1"/>
  <c r="U4292" i="2"/>
  <c r="S4292" i="2"/>
  <c r="R4292" i="2"/>
  <c r="Q4292" i="2"/>
  <c r="P4292" i="2"/>
  <c r="U4291" i="2"/>
  <c r="S4291" i="2"/>
  <c r="R4291" i="2"/>
  <c r="Q4291" i="2"/>
  <c r="P4291" i="2"/>
  <c r="V4290" i="2" a="1"/>
  <c r="V4290" i="2" s="1"/>
  <c r="U4290" i="2"/>
  <c r="S4290" i="2"/>
  <c r="R4290" i="2"/>
  <c r="Q4290" i="2"/>
  <c r="P4290" i="2"/>
  <c r="U4289" i="2"/>
  <c r="S4289" i="2"/>
  <c r="V4289" i="2" s="1" a="1"/>
  <c r="V4289" i="2" s="1"/>
  <c r="R4289" i="2"/>
  <c r="Q4289" i="2"/>
  <c r="P4289" i="2"/>
  <c r="U4288" i="2"/>
  <c r="S4288" i="2"/>
  <c r="R4288" i="2"/>
  <c r="Q4288" i="2"/>
  <c r="P4288" i="2"/>
  <c r="V4287" i="2" a="1"/>
  <c r="V4287" i="2" s="1"/>
  <c r="U4287" i="2"/>
  <c r="S4287" i="2"/>
  <c r="R4287" i="2"/>
  <c r="Q4287" i="2"/>
  <c r="P4287" i="2"/>
  <c r="U4286" i="2"/>
  <c r="S4286" i="2"/>
  <c r="R4286" i="2"/>
  <c r="Q4286" i="2"/>
  <c r="P4286" i="2"/>
  <c r="V4285" i="2"/>
  <c r="V4285" i="2" a="1"/>
  <c r="U4285" i="2"/>
  <c r="S4285" i="2"/>
  <c r="R4285" i="2"/>
  <c r="Q4285" i="2"/>
  <c r="P4285" i="2"/>
  <c r="V4284" i="2" a="1"/>
  <c r="V4284" i="2" s="1"/>
  <c r="U4284" i="2"/>
  <c r="S4284" i="2"/>
  <c r="R4284" i="2"/>
  <c r="Q4284" i="2"/>
  <c r="P4284" i="2"/>
  <c r="U4283" i="2"/>
  <c r="S4283" i="2"/>
  <c r="R4283" i="2"/>
  <c r="Q4283" i="2"/>
  <c r="P4283" i="2"/>
  <c r="V4282" i="2" a="1"/>
  <c r="V4282" i="2" s="1"/>
  <c r="U4282" i="2"/>
  <c r="S4282" i="2"/>
  <c r="R4282" i="2"/>
  <c r="Q4282" i="2"/>
  <c r="P4282" i="2"/>
  <c r="V4281" i="2"/>
  <c r="U4281" i="2"/>
  <c r="S4281" i="2"/>
  <c r="V4281" i="2" s="1" a="1"/>
  <c r="R4281" i="2"/>
  <c r="Q4281" i="2"/>
  <c r="P4281" i="2"/>
  <c r="U4280" i="2"/>
  <c r="S4280" i="2"/>
  <c r="R4280" i="2"/>
  <c r="Q4280" i="2"/>
  <c r="P4280" i="2"/>
  <c r="V4279" i="2" a="1"/>
  <c r="V4279" i="2" s="1"/>
  <c r="U4279" i="2"/>
  <c r="S4279" i="2"/>
  <c r="R4279" i="2"/>
  <c r="Q4279" i="2"/>
  <c r="P4279" i="2"/>
  <c r="U4278" i="2"/>
  <c r="S4278" i="2"/>
  <c r="R4278" i="2"/>
  <c r="Q4278" i="2"/>
  <c r="P4278" i="2"/>
  <c r="V4277" i="2"/>
  <c r="V4277" i="2" a="1"/>
  <c r="U4277" i="2"/>
  <c r="S4277" i="2"/>
  <c r="R4277" i="2"/>
  <c r="Q4277" i="2"/>
  <c r="P4277" i="2"/>
  <c r="V4276" i="2" a="1"/>
  <c r="V4276" i="2" s="1"/>
  <c r="U4276" i="2"/>
  <c r="S4276" i="2"/>
  <c r="R4276" i="2"/>
  <c r="Q4276" i="2"/>
  <c r="P4276" i="2"/>
  <c r="U4275" i="2"/>
  <c r="S4275" i="2"/>
  <c r="R4275" i="2"/>
  <c r="Q4275" i="2"/>
  <c r="P4275" i="2"/>
  <c r="V4274" i="2" a="1"/>
  <c r="V4274" i="2" s="1"/>
  <c r="U4274" i="2"/>
  <c r="S4274" i="2"/>
  <c r="R4274" i="2"/>
  <c r="Q4274" i="2"/>
  <c r="P4274" i="2"/>
  <c r="U4273" i="2"/>
  <c r="S4273" i="2"/>
  <c r="V4273" i="2" s="1" a="1"/>
  <c r="V4273" i="2" s="1"/>
  <c r="R4273" i="2"/>
  <c r="Q4273" i="2"/>
  <c r="P4273" i="2"/>
  <c r="U4272" i="2"/>
  <c r="S4272" i="2"/>
  <c r="R4272" i="2"/>
  <c r="Q4272" i="2"/>
  <c r="P4272" i="2"/>
  <c r="V4271" i="2" a="1"/>
  <c r="V4271" i="2" s="1"/>
  <c r="U4271" i="2"/>
  <c r="S4271" i="2"/>
  <c r="R4271" i="2"/>
  <c r="Q4271" i="2"/>
  <c r="P4271" i="2"/>
  <c r="U4270" i="2"/>
  <c r="S4270" i="2"/>
  <c r="R4270" i="2"/>
  <c r="Q4270" i="2"/>
  <c r="P4270" i="2"/>
  <c r="V4269" i="2"/>
  <c r="V4269" i="2" a="1"/>
  <c r="U4269" i="2"/>
  <c r="S4269" i="2"/>
  <c r="R4269" i="2"/>
  <c r="Q4269" i="2"/>
  <c r="P4269" i="2"/>
  <c r="V4268" i="2" a="1"/>
  <c r="V4268" i="2" s="1"/>
  <c r="U4268" i="2"/>
  <c r="S4268" i="2"/>
  <c r="R4268" i="2"/>
  <c r="Q4268" i="2"/>
  <c r="P4268" i="2"/>
  <c r="U4267" i="2"/>
  <c r="S4267" i="2"/>
  <c r="R4267" i="2"/>
  <c r="Q4267" i="2"/>
  <c r="P4267" i="2"/>
  <c r="U4266" i="2"/>
  <c r="S4266" i="2"/>
  <c r="V4266" i="2" s="1" a="1"/>
  <c r="V4266" i="2" s="1"/>
  <c r="R4266" i="2"/>
  <c r="Q4266" i="2"/>
  <c r="P4266" i="2"/>
  <c r="V4265" i="2"/>
  <c r="U4265" i="2"/>
  <c r="S4265" i="2"/>
  <c r="V4265" i="2" s="1" a="1"/>
  <c r="R4265" i="2"/>
  <c r="Q4265" i="2"/>
  <c r="P4265" i="2"/>
  <c r="U4264" i="2"/>
  <c r="S4264" i="2"/>
  <c r="R4264" i="2"/>
  <c r="Q4264" i="2"/>
  <c r="P4264" i="2"/>
  <c r="V4263" i="2" a="1"/>
  <c r="V4263" i="2" s="1"/>
  <c r="U4263" i="2"/>
  <c r="S4263" i="2"/>
  <c r="R4263" i="2"/>
  <c r="Q4263" i="2"/>
  <c r="P4263" i="2"/>
  <c r="V4262" i="2" a="1"/>
  <c r="V4262" i="2" s="1"/>
  <c r="U4262" i="2"/>
  <c r="S4262" i="2"/>
  <c r="R4262" i="2"/>
  <c r="Q4262" i="2"/>
  <c r="P4262" i="2"/>
  <c r="V4261" i="2"/>
  <c r="V4261" i="2" a="1"/>
  <c r="U4261" i="2"/>
  <c r="S4261" i="2"/>
  <c r="R4261" i="2"/>
  <c r="Q4261" i="2"/>
  <c r="P4261" i="2"/>
  <c r="V4260" i="2" a="1"/>
  <c r="V4260" i="2" s="1"/>
  <c r="U4260" i="2"/>
  <c r="S4260" i="2"/>
  <c r="R4260" i="2"/>
  <c r="Q4260" i="2"/>
  <c r="P4260" i="2"/>
  <c r="U4259" i="2"/>
  <c r="S4259" i="2"/>
  <c r="R4259" i="2"/>
  <c r="Q4259" i="2"/>
  <c r="P4259" i="2"/>
  <c r="U4258" i="2"/>
  <c r="S4258" i="2"/>
  <c r="V4258" i="2" s="1" a="1"/>
  <c r="V4258" i="2" s="1"/>
  <c r="R4258" i="2"/>
  <c r="Q4258" i="2"/>
  <c r="P4258" i="2"/>
  <c r="U4257" i="2"/>
  <c r="S4257" i="2"/>
  <c r="V4257" i="2" s="1" a="1"/>
  <c r="V4257" i="2" s="1"/>
  <c r="R4257" i="2"/>
  <c r="Q4257" i="2"/>
  <c r="P4257" i="2"/>
  <c r="U4256" i="2"/>
  <c r="S4256" i="2"/>
  <c r="V4256" i="2" s="1" a="1"/>
  <c r="V4256" i="2" s="1"/>
  <c r="R4256" i="2"/>
  <c r="Q4256" i="2"/>
  <c r="P4256" i="2"/>
  <c r="V4255" i="2" a="1"/>
  <c r="V4255" i="2" s="1"/>
  <c r="U4255" i="2"/>
  <c r="S4255" i="2"/>
  <c r="R4255" i="2"/>
  <c r="Q4255" i="2"/>
  <c r="P4255" i="2"/>
  <c r="U4254" i="2"/>
  <c r="S4254" i="2"/>
  <c r="R4254" i="2"/>
  <c r="Q4254" i="2"/>
  <c r="P4254" i="2"/>
  <c r="V4253" i="2"/>
  <c r="V4253" i="2" a="1"/>
  <c r="U4253" i="2"/>
  <c r="S4253" i="2"/>
  <c r="R4253" i="2"/>
  <c r="Q4253" i="2"/>
  <c r="P4253" i="2"/>
  <c r="V4252" i="2"/>
  <c r="V4252" i="2" a="1"/>
  <c r="U4252" i="2"/>
  <c r="S4252" i="2"/>
  <c r="R4252" i="2"/>
  <c r="Q4252" i="2"/>
  <c r="P4252" i="2"/>
  <c r="U4251" i="2"/>
  <c r="S4251" i="2"/>
  <c r="R4251" i="2"/>
  <c r="Q4251" i="2"/>
  <c r="P4251" i="2"/>
  <c r="V4250" i="2" a="1"/>
  <c r="V4250" i="2" s="1"/>
  <c r="U4250" i="2"/>
  <c r="S4250" i="2"/>
  <c r="R4250" i="2"/>
  <c r="Q4250" i="2"/>
  <c r="P4250" i="2"/>
  <c r="V4249" i="2"/>
  <c r="U4249" i="2"/>
  <c r="S4249" i="2"/>
  <c r="V4249" i="2" s="1" a="1"/>
  <c r="R4249" i="2"/>
  <c r="Q4249" i="2"/>
  <c r="P4249" i="2"/>
  <c r="U4248" i="2"/>
  <c r="S4248" i="2"/>
  <c r="V4248" i="2" s="1" a="1"/>
  <c r="V4248" i="2" s="1"/>
  <c r="R4248" i="2"/>
  <c r="Q4248" i="2"/>
  <c r="P4248" i="2"/>
  <c r="V4247" i="2" a="1"/>
  <c r="V4247" i="2" s="1"/>
  <c r="U4247" i="2"/>
  <c r="S4247" i="2"/>
  <c r="R4247" i="2"/>
  <c r="Q4247" i="2"/>
  <c r="P4247" i="2"/>
  <c r="U4246" i="2"/>
  <c r="S4246" i="2"/>
  <c r="R4246" i="2"/>
  <c r="Q4246" i="2"/>
  <c r="P4246" i="2"/>
  <c r="V4245" i="2" a="1"/>
  <c r="V4245" i="2" s="1"/>
  <c r="U4245" i="2"/>
  <c r="S4245" i="2"/>
  <c r="R4245" i="2"/>
  <c r="Q4245" i="2"/>
  <c r="P4245" i="2"/>
  <c r="V4244" i="2" a="1"/>
  <c r="V4244" i="2" s="1"/>
  <c r="U4244" i="2"/>
  <c r="S4244" i="2"/>
  <c r="R4244" i="2"/>
  <c r="Q4244" i="2"/>
  <c r="P4244" i="2"/>
  <c r="U4243" i="2"/>
  <c r="S4243" i="2"/>
  <c r="R4243" i="2"/>
  <c r="Q4243" i="2"/>
  <c r="P4243" i="2"/>
  <c r="U4242" i="2"/>
  <c r="S4242" i="2"/>
  <c r="V4242" i="2" s="1" a="1"/>
  <c r="V4242" i="2" s="1"/>
  <c r="R4242" i="2"/>
  <c r="Q4242" i="2"/>
  <c r="P4242" i="2"/>
  <c r="U4241" i="2"/>
  <c r="S4241" i="2"/>
  <c r="V4241" i="2" s="1" a="1"/>
  <c r="V4241" i="2" s="1"/>
  <c r="R4241" i="2"/>
  <c r="Q4241" i="2"/>
  <c r="P4241" i="2"/>
  <c r="U4240" i="2"/>
  <c r="S4240" i="2"/>
  <c r="V4240" i="2" s="1" a="1"/>
  <c r="V4240" i="2" s="1"/>
  <c r="R4240" i="2"/>
  <c r="Q4240" i="2"/>
  <c r="P4240" i="2"/>
  <c r="V4239" i="2" a="1"/>
  <c r="V4239" i="2" s="1"/>
  <c r="U4239" i="2"/>
  <c r="S4239" i="2"/>
  <c r="R4239" i="2"/>
  <c r="Q4239" i="2"/>
  <c r="P4239" i="2"/>
  <c r="V4238" i="2"/>
  <c r="V4238" i="2" a="1"/>
  <c r="U4238" i="2"/>
  <c r="S4238" i="2"/>
  <c r="R4238" i="2"/>
  <c r="Q4238" i="2"/>
  <c r="P4238" i="2"/>
  <c r="V4237" i="2"/>
  <c r="V4237" i="2" a="1"/>
  <c r="U4237" i="2"/>
  <c r="S4237" i="2"/>
  <c r="R4237" i="2"/>
  <c r="Q4237" i="2"/>
  <c r="P4237" i="2"/>
  <c r="V4236" i="2"/>
  <c r="V4236" i="2" a="1"/>
  <c r="U4236" i="2"/>
  <c r="S4236" i="2"/>
  <c r="R4236" i="2"/>
  <c r="Q4236" i="2"/>
  <c r="P4236" i="2"/>
  <c r="U4235" i="2"/>
  <c r="S4235" i="2"/>
  <c r="R4235" i="2"/>
  <c r="Q4235" i="2"/>
  <c r="P4235" i="2"/>
  <c r="V4234" i="2" a="1"/>
  <c r="V4234" i="2" s="1"/>
  <c r="U4234" i="2"/>
  <c r="S4234" i="2"/>
  <c r="R4234" i="2"/>
  <c r="Q4234" i="2"/>
  <c r="P4234" i="2"/>
  <c r="V4233" i="2"/>
  <c r="U4233" i="2"/>
  <c r="S4233" i="2"/>
  <c r="V4233" i="2" s="1" a="1"/>
  <c r="R4233" i="2"/>
  <c r="Q4233" i="2"/>
  <c r="P4233" i="2"/>
  <c r="U4232" i="2"/>
  <c r="S4232" i="2"/>
  <c r="V4232" i="2" s="1" a="1"/>
  <c r="V4232" i="2" s="1"/>
  <c r="R4232" i="2"/>
  <c r="Q4232" i="2"/>
  <c r="P4232" i="2"/>
  <c r="V4231" i="2" a="1"/>
  <c r="V4231" i="2" s="1"/>
  <c r="U4231" i="2"/>
  <c r="S4231" i="2"/>
  <c r="R4231" i="2"/>
  <c r="Q4231" i="2"/>
  <c r="P4231" i="2"/>
  <c r="V4230" i="2" a="1"/>
  <c r="V4230" i="2" s="1"/>
  <c r="U4230" i="2"/>
  <c r="S4230" i="2"/>
  <c r="R4230" i="2"/>
  <c r="Q4230" i="2"/>
  <c r="P4230" i="2"/>
  <c r="V4229" i="2" a="1"/>
  <c r="V4229" i="2" s="1"/>
  <c r="U4229" i="2"/>
  <c r="S4229" i="2"/>
  <c r="R4229" i="2"/>
  <c r="Q4229" i="2"/>
  <c r="P4229" i="2"/>
  <c r="V4228" i="2" a="1"/>
  <c r="V4228" i="2" s="1"/>
  <c r="U4228" i="2"/>
  <c r="S4228" i="2"/>
  <c r="R4228" i="2"/>
  <c r="Q4228" i="2"/>
  <c r="P4228" i="2"/>
  <c r="U4227" i="2"/>
  <c r="S4227" i="2"/>
  <c r="R4227" i="2"/>
  <c r="Q4227" i="2"/>
  <c r="P4227" i="2"/>
  <c r="U4226" i="2"/>
  <c r="S4226" i="2"/>
  <c r="V4226" i="2" s="1" a="1"/>
  <c r="V4226" i="2" s="1"/>
  <c r="R4226" i="2"/>
  <c r="Q4226" i="2"/>
  <c r="P4226" i="2"/>
  <c r="V4225" i="2"/>
  <c r="U4225" i="2"/>
  <c r="S4225" i="2"/>
  <c r="V4225" i="2" s="1" a="1"/>
  <c r="R4225" i="2"/>
  <c r="Q4225" i="2"/>
  <c r="P4225" i="2"/>
  <c r="U4224" i="2"/>
  <c r="S4224" i="2"/>
  <c r="V4224" i="2" s="1" a="1"/>
  <c r="V4224" i="2" s="1"/>
  <c r="R4224" i="2"/>
  <c r="Q4224" i="2"/>
  <c r="P4224" i="2"/>
  <c r="V4223" i="2" a="1"/>
  <c r="V4223" i="2" s="1"/>
  <c r="U4223" i="2"/>
  <c r="S4223" i="2"/>
  <c r="R4223" i="2"/>
  <c r="Q4223" i="2"/>
  <c r="P4223" i="2"/>
  <c r="U4222" i="2"/>
  <c r="S4222" i="2"/>
  <c r="R4222" i="2"/>
  <c r="Q4222" i="2"/>
  <c r="P4222" i="2"/>
  <c r="U4221" i="2"/>
  <c r="S4221" i="2"/>
  <c r="V4221" i="2" s="1" a="1"/>
  <c r="V4221" i="2" s="1"/>
  <c r="R4221" i="2"/>
  <c r="Q4221" i="2"/>
  <c r="P4221" i="2"/>
  <c r="V4220" i="2" a="1"/>
  <c r="V4220" i="2" s="1"/>
  <c r="U4220" i="2"/>
  <c r="S4220" i="2"/>
  <c r="R4220" i="2"/>
  <c r="Q4220" i="2"/>
  <c r="P4220" i="2"/>
  <c r="U4219" i="2"/>
  <c r="S4219" i="2"/>
  <c r="R4219" i="2"/>
  <c r="Q4219" i="2"/>
  <c r="P4219" i="2"/>
  <c r="U4218" i="2"/>
  <c r="S4218" i="2"/>
  <c r="V4218" i="2" s="1" a="1"/>
  <c r="V4218" i="2" s="1"/>
  <c r="R4218" i="2"/>
  <c r="Q4218" i="2"/>
  <c r="P4218" i="2"/>
  <c r="U4217" i="2"/>
  <c r="S4217" i="2"/>
  <c r="V4217" i="2" s="1" a="1"/>
  <c r="V4217" i="2" s="1"/>
  <c r="R4217" i="2"/>
  <c r="Q4217" i="2"/>
  <c r="P4217" i="2"/>
  <c r="U4216" i="2"/>
  <c r="S4216" i="2"/>
  <c r="V4216" i="2" s="1" a="1"/>
  <c r="V4216" i="2" s="1"/>
  <c r="R4216" i="2"/>
  <c r="Q4216" i="2"/>
  <c r="P4216" i="2"/>
  <c r="V4215" i="2" a="1"/>
  <c r="V4215" i="2" s="1"/>
  <c r="U4215" i="2"/>
  <c r="S4215" i="2"/>
  <c r="R4215" i="2"/>
  <c r="Q4215" i="2"/>
  <c r="P4215" i="2"/>
  <c r="U4214" i="2"/>
  <c r="S4214" i="2"/>
  <c r="R4214" i="2"/>
  <c r="Q4214" i="2"/>
  <c r="P4214" i="2"/>
  <c r="U4213" i="2"/>
  <c r="S4213" i="2"/>
  <c r="V4213" i="2" s="1" a="1"/>
  <c r="V4213" i="2" s="1"/>
  <c r="R4213" i="2"/>
  <c r="Q4213" i="2"/>
  <c r="P4213" i="2"/>
  <c r="U4212" i="2"/>
  <c r="S4212" i="2"/>
  <c r="V4212" i="2" s="1" a="1"/>
  <c r="V4212" i="2" s="1"/>
  <c r="R4212" i="2"/>
  <c r="Q4212" i="2"/>
  <c r="P4212" i="2"/>
  <c r="U4211" i="2"/>
  <c r="S4211" i="2"/>
  <c r="V4211" i="2" s="1" a="1"/>
  <c r="V4211" i="2" s="1"/>
  <c r="R4211" i="2"/>
  <c r="Q4211" i="2"/>
  <c r="P4211" i="2"/>
  <c r="U4210" i="2"/>
  <c r="S4210" i="2"/>
  <c r="V4210" i="2" s="1" a="1"/>
  <c r="V4210" i="2" s="1"/>
  <c r="R4210" i="2"/>
  <c r="Q4210" i="2"/>
  <c r="P4210" i="2"/>
  <c r="U4209" i="2"/>
  <c r="S4209" i="2"/>
  <c r="V4209" i="2" s="1" a="1"/>
  <c r="V4209" i="2" s="1"/>
  <c r="R4209" i="2"/>
  <c r="Q4209" i="2"/>
  <c r="P4209" i="2"/>
  <c r="U4208" i="2"/>
  <c r="S4208" i="2"/>
  <c r="V4208" i="2" s="1" a="1"/>
  <c r="V4208" i="2" s="1"/>
  <c r="R4208" i="2"/>
  <c r="Q4208" i="2"/>
  <c r="P4208" i="2"/>
  <c r="V4207" i="2" a="1"/>
  <c r="V4207" i="2" s="1"/>
  <c r="U4207" i="2"/>
  <c r="S4207" i="2"/>
  <c r="R4207" i="2"/>
  <c r="Q4207" i="2"/>
  <c r="P4207" i="2"/>
  <c r="V4206" i="2"/>
  <c r="V4206" i="2" a="1"/>
  <c r="U4206" i="2"/>
  <c r="S4206" i="2"/>
  <c r="R4206" i="2"/>
  <c r="Q4206" i="2"/>
  <c r="P4206" i="2"/>
  <c r="U4205" i="2"/>
  <c r="S4205" i="2"/>
  <c r="R4205" i="2"/>
  <c r="Q4205" i="2"/>
  <c r="P4205" i="2"/>
  <c r="V4204" i="2" a="1"/>
  <c r="V4204" i="2" s="1"/>
  <c r="U4204" i="2"/>
  <c r="S4204" i="2"/>
  <c r="R4204" i="2"/>
  <c r="Q4204" i="2"/>
  <c r="P4204" i="2"/>
  <c r="V4203" i="2"/>
  <c r="V4203" i="2" a="1"/>
  <c r="U4203" i="2"/>
  <c r="S4203" i="2"/>
  <c r="R4203" i="2"/>
  <c r="Q4203" i="2"/>
  <c r="P4203" i="2"/>
  <c r="U4202" i="2"/>
  <c r="S4202" i="2"/>
  <c r="V4202" i="2" s="1" a="1"/>
  <c r="V4202" i="2" s="1"/>
  <c r="R4202" i="2"/>
  <c r="Q4202" i="2"/>
  <c r="P4202" i="2"/>
  <c r="U4201" i="2"/>
  <c r="S4201" i="2"/>
  <c r="V4201" i="2" s="1" a="1"/>
  <c r="V4201" i="2" s="1"/>
  <c r="R4201" i="2"/>
  <c r="Q4201" i="2"/>
  <c r="P4201" i="2"/>
  <c r="U4200" i="2"/>
  <c r="S4200" i="2"/>
  <c r="V4200" i="2" s="1" a="1"/>
  <c r="V4200" i="2" s="1"/>
  <c r="R4200" i="2"/>
  <c r="Q4200" i="2"/>
  <c r="P4200" i="2"/>
  <c r="U4199" i="2"/>
  <c r="S4199" i="2"/>
  <c r="V4199" i="2" s="1" a="1"/>
  <c r="V4199" i="2" s="1"/>
  <c r="R4199" i="2"/>
  <c r="Q4199" i="2"/>
  <c r="P4199" i="2"/>
  <c r="V4198" i="2" a="1"/>
  <c r="V4198" i="2" s="1"/>
  <c r="U4198" i="2"/>
  <c r="S4198" i="2"/>
  <c r="R4198" i="2"/>
  <c r="Q4198" i="2"/>
  <c r="P4198" i="2"/>
  <c r="U4197" i="2"/>
  <c r="S4197" i="2"/>
  <c r="R4197" i="2"/>
  <c r="Q4197" i="2"/>
  <c r="P4197" i="2"/>
  <c r="V4196" i="2" a="1"/>
  <c r="V4196" i="2" s="1"/>
  <c r="U4196" i="2"/>
  <c r="S4196" i="2"/>
  <c r="R4196" i="2"/>
  <c r="Q4196" i="2"/>
  <c r="P4196" i="2"/>
  <c r="V4195" i="2"/>
  <c r="V4195" i="2" a="1"/>
  <c r="U4195" i="2"/>
  <c r="S4195" i="2"/>
  <c r="R4195" i="2"/>
  <c r="Q4195" i="2"/>
  <c r="P4195" i="2"/>
  <c r="U4194" i="2"/>
  <c r="S4194" i="2"/>
  <c r="V4194" i="2" s="1" a="1"/>
  <c r="V4194" i="2" s="1"/>
  <c r="R4194" i="2"/>
  <c r="Q4194" i="2"/>
  <c r="P4194" i="2"/>
  <c r="V4193" i="2" a="1"/>
  <c r="V4193" i="2" s="1"/>
  <c r="U4193" i="2"/>
  <c r="S4193" i="2"/>
  <c r="R4193" i="2"/>
  <c r="Q4193" i="2"/>
  <c r="P4193" i="2"/>
  <c r="U4192" i="2"/>
  <c r="S4192" i="2"/>
  <c r="V4192" i="2" s="1" a="1"/>
  <c r="V4192" i="2" s="1"/>
  <c r="R4192" i="2"/>
  <c r="Q4192" i="2"/>
  <c r="P4192" i="2"/>
  <c r="U4191" i="2"/>
  <c r="S4191" i="2"/>
  <c r="V4191" i="2" s="1" a="1"/>
  <c r="V4191" i="2" s="1"/>
  <c r="R4191" i="2"/>
  <c r="Q4191" i="2"/>
  <c r="P4191" i="2"/>
  <c r="V4190" i="2" a="1"/>
  <c r="V4190" i="2" s="1"/>
  <c r="U4190" i="2"/>
  <c r="S4190" i="2"/>
  <c r="R4190" i="2"/>
  <c r="Q4190" i="2"/>
  <c r="P4190" i="2"/>
  <c r="U4189" i="2"/>
  <c r="S4189" i="2"/>
  <c r="R4189" i="2"/>
  <c r="Q4189" i="2"/>
  <c r="P4189" i="2"/>
  <c r="V4188" i="2" a="1"/>
  <c r="V4188" i="2" s="1"/>
  <c r="U4188" i="2"/>
  <c r="S4188" i="2"/>
  <c r="R4188" i="2"/>
  <c r="Q4188" i="2"/>
  <c r="P4188" i="2"/>
  <c r="V4187" i="2"/>
  <c r="V4187" i="2" a="1"/>
  <c r="U4187" i="2"/>
  <c r="S4187" i="2"/>
  <c r="R4187" i="2"/>
  <c r="Q4187" i="2"/>
  <c r="P4187" i="2"/>
  <c r="U4186" i="2"/>
  <c r="S4186" i="2"/>
  <c r="V4186" i="2" s="1" a="1"/>
  <c r="V4186" i="2" s="1"/>
  <c r="R4186" i="2"/>
  <c r="Q4186" i="2"/>
  <c r="P4186" i="2"/>
  <c r="V4185" i="2" a="1"/>
  <c r="V4185" i="2" s="1"/>
  <c r="U4185" i="2"/>
  <c r="S4185" i="2"/>
  <c r="R4185" i="2"/>
  <c r="Q4185" i="2"/>
  <c r="P4185" i="2"/>
  <c r="U4184" i="2"/>
  <c r="S4184" i="2"/>
  <c r="V4184" i="2" s="1" a="1"/>
  <c r="V4184" i="2" s="1"/>
  <c r="R4184" i="2"/>
  <c r="Q4184" i="2"/>
  <c r="P4184" i="2"/>
  <c r="U4183" i="2"/>
  <c r="S4183" i="2"/>
  <c r="V4183" i="2" s="1" a="1"/>
  <c r="V4183" i="2" s="1"/>
  <c r="R4183" i="2"/>
  <c r="Q4183" i="2"/>
  <c r="P4183" i="2"/>
  <c r="V4182" i="2" a="1"/>
  <c r="V4182" i="2" s="1"/>
  <c r="U4182" i="2"/>
  <c r="S4182" i="2"/>
  <c r="R4182" i="2"/>
  <c r="Q4182" i="2"/>
  <c r="P4182" i="2"/>
  <c r="U4181" i="2"/>
  <c r="S4181" i="2"/>
  <c r="R4181" i="2"/>
  <c r="Q4181" i="2"/>
  <c r="P4181" i="2"/>
  <c r="V4180" i="2" a="1"/>
  <c r="V4180" i="2" s="1"/>
  <c r="U4180" i="2"/>
  <c r="S4180" i="2"/>
  <c r="R4180" i="2"/>
  <c r="Q4180" i="2"/>
  <c r="P4180" i="2"/>
  <c r="V4179" i="2"/>
  <c r="V4179" i="2" a="1"/>
  <c r="U4179" i="2"/>
  <c r="S4179" i="2"/>
  <c r="R4179" i="2"/>
  <c r="Q4179" i="2"/>
  <c r="P4179" i="2"/>
  <c r="U4178" i="2"/>
  <c r="S4178" i="2"/>
  <c r="V4178" i="2" s="1" a="1"/>
  <c r="V4178" i="2" s="1"/>
  <c r="R4178" i="2"/>
  <c r="Q4178" i="2"/>
  <c r="P4178" i="2"/>
  <c r="V4177" i="2" a="1"/>
  <c r="V4177" i="2" s="1"/>
  <c r="U4177" i="2"/>
  <c r="S4177" i="2"/>
  <c r="R4177" i="2"/>
  <c r="Q4177" i="2"/>
  <c r="P4177" i="2"/>
  <c r="U4176" i="2"/>
  <c r="S4176" i="2"/>
  <c r="V4176" i="2" s="1" a="1"/>
  <c r="V4176" i="2" s="1"/>
  <c r="R4176" i="2"/>
  <c r="Q4176" i="2"/>
  <c r="P4176" i="2"/>
  <c r="U4175" i="2"/>
  <c r="S4175" i="2"/>
  <c r="V4175" i="2" s="1" a="1"/>
  <c r="V4175" i="2" s="1"/>
  <c r="R4175" i="2"/>
  <c r="Q4175" i="2"/>
  <c r="P4175" i="2"/>
  <c r="V4174" i="2" a="1"/>
  <c r="V4174" i="2" s="1"/>
  <c r="U4174" i="2"/>
  <c r="S4174" i="2"/>
  <c r="R4174" i="2"/>
  <c r="Q4174" i="2"/>
  <c r="P4174" i="2"/>
  <c r="U4173" i="2"/>
  <c r="S4173" i="2"/>
  <c r="R4173" i="2"/>
  <c r="Q4173" i="2"/>
  <c r="P4173" i="2"/>
  <c r="V4172" i="2" a="1"/>
  <c r="V4172" i="2" s="1"/>
  <c r="U4172" i="2"/>
  <c r="S4172" i="2"/>
  <c r="R4172" i="2"/>
  <c r="Q4172" i="2"/>
  <c r="P4172" i="2"/>
  <c r="V4171" i="2"/>
  <c r="V4171" i="2" a="1"/>
  <c r="U4171" i="2"/>
  <c r="S4171" i="2"/>
  <c r="R4171" i="2"/>
  <c r="Q4171" i="2"/>
  <c r="P4171" i="2"/>
  <c r="U4170" i="2"/>
  <c r="S4170" i="2"/>
  <c r="R4170" i="2"/>
  <c r="Q4170" i="2"/>
  <c r="P4170" i="2"/>
  <c r="U4169" i="2"/>
  <c r="S4169" i="2"/>
  <c r="V4169" i="2" s="1" a="1"/>
  <c r="V4169" i="2" s="1"/>
  <c r="R4169" i="2"/>
  <c r="Q4169" i="2"/>
  <c r="P4169" i="2"/>
  <c r="U4168" i="2"/>
  <c r="S4168" i="2"/>
  <c r="V4168" i="2" s="1" a="1"/>
  <c r="V4168" i="2" s="1"/>
  <c r="R4168" i="2"/>
  <c r="Q4168" i="2"/>
  <c r="P4168" i="2"/>
  <c r="U4167" i="2"/>
  <c r="S4167" i="2"/>
  <c r="V4167" i="2" s="1" a="1"/>
  <c r="V4167" i="2" s="1"/>
  <c r="R4167" i="2"/>
  <c r="Q4167" i="2"/>
  <c r="P4167" i="2"/>
  <c r="V4166" i="2" a="1"/>
  <c r="V4166" i="2" s="1"/>
  <c r="U4166" i="2"/>
  <c r="S4166" i="2"/>
  <c r="R4166" i="2"/>
  <c r="Q4166" i="2"/>
  <c r="P4166" i="2"/>
  <c r="U4165" i="2"/>
  <c r="S4165" i="2"/>
  <c r="R4165" i="2"/>
  <c r="Q4165" i="2"/>
  <c r="P4165" i="2"/>
  <c r="V4164" i="2" a="1"/>
  <c r="V4164" i="2" s="1"/>
  <c r="U4164" i="2"/>
  <c r="S4164" i="2"/>
  <c r="R4164" i="2"/>
  <c r="Q4164" i="2"/>
  <c r="P4164" i="2"/>
  <c r="V4163" i="2"/>
  <c r="V4163" i="2" a="1"/>
  <c r="U4163" i="2"/>
  <c r="S4163" i="2"/>
  <c r="R4163" i="2"/>
  <c r="Q4163" i="2"/>
  <c r="P4163" i="2"/>
  <c r="U4162" i="2"/>
  <c r="S4162" i="2"/>
  <c r="R4162" i="2"/>
  <c r="Q4162" i="2"/>
  <c r="P4162" i="2"/>
  <c r="V4161" i="2" a="1"/>
  <c r="V4161" i="2" s="1"/>
  <c r="U4161" i="2"/>
  <c r="S4161" i="2"/>
  <c r="R4161" i="2"/>
  <c r="Q4161" i="2"/>
  <c r="P4161" i="2"/>
  <c r="U4160" i="2"/>
  <c r="S4160" i="2"/>
  <c r="R4160" i="2"/>
  <c r="Q4160" i="2"/>
  <c r="P4160" i="2"/>
  <c r="U4159" i="2"/>
  <c r="S4159" i="2"/>
  <c r="V4159" i="2" s="1" a="1"/>
  <c r="V4159" i="2" s="1"/>
  <c r="R4159" i="2"/>
  <c r="Q4159" i="2"/>
  <c r="P4159" i="2"/>
  <c r="V4158" i="2" a="1"/>
  <c r="V4158" i="2" s="1"/>
  <c r="U4158" i="2"/>
  <c r="S4158" i="2"/>
  <c r="R4158" i="2"/>
  <c r="Q4158" i="2"/>
  <c r="P4158" i="2"/>
  <c r="U4157" i="2"/>
  <c r="S4157" i="2"/>
  <c r="R4157" i="2"/>
  <c r="Q4157" i="2"/>
  <c r="P4157" i="2"/>
  <c r="V4156" i="2" a="1"/>
  <c r="V4156" i="2" s="1"/>
  <c r="U4156" i="2"/>
  <c r="S4156" i="2"/>
  <c r="R4156" i="2"/>
  <c r="Q4156" i="2"/>
  <c r="P4156" i="2"/>
  <c r="V4155" i="2"/>
  <c r="V4155" i="2" a="1"/>
  <c r="U4155" i="2"/>
  <c r="S4155" i="2"/>
  <c r="R4155" i="2"/>
  <c r="Q4155" i="2"/>
  <c r="P4155" i="2"/>
  <c r="U4154" i="2"/>
  <c r="S4154" i="2"/>
  <c r="R4154" i="2"/>
  <c r="Q4154" i="2"/>
  <c r="P4154" i="2"/>
  <c r="V4153" i="2" a="1"/>
  <c r="V4153" i="2" s="1"/>
  <c r="U4153" i="2"/>
  <c r="S4153" i="2"/>
  <c r="R4153" i="2"/>
  <c r="Q4153" i="2"/>
  <c r="P4153" i="2"/>
  <c r="U4152" i="2"/>
  <c r="S4152" i="2"/>
  <c r="R4152" i="2"/>
  <c r="Q4152" i="2"/>
  <c r="P4152" i="2"/>
  <c r="U4151" i="2"/>
  <c r="S4151" i="2"/>
  <c r="V4151" i="2" s="1" a="1"/>
  <c r="V4151" i="2" s="1"/>
  <c r="R4151" i="2"/>
  <c r="Q4151" i="2"/>
  <c r="P4151" i="2"/>
  <c r="V4150" i="2" a="1"/>
  <c r="V4150" i="2" s="1"/>
  <c r="U4150" i="2"/>
  <c r="S4150" i="2"/>
  <c r="R4150" i="2"/>
  <c r="Q4150" i="2"/>
  <c r="P4150" i="2"/>
  <c r="U4149" i="2"/>
  <c r="S4149" i="2"/>
  <c r="R4149" i="2"/>
  <c r="Q4149" i="2"/>
  <c r="P4149" i="2"/>
  <c r="V4148" i="2" a="1"/>
  <c r="V4148" i="2" s="1"/>
  <c r="U4148" i="2"/>
  <c r="S4148" i="2"/>
  <c r="R4148" i="2"/>
  <c r="Q4148" i="2"/>
  <c r="P4148" i="2"/>
  <c r="V4147" i="2" a="1"/>
  <c r="V4147" i="2" s="1"/>
  <c r="U4147" i="2"/>
  <c r="S4147" i="2"/>
  <c r="R4147" i="2"/>
  <c r="Q4147" i="2"/>
  <c r="P4147" i="2"/>
  <c r="U4146" i="2"/>
  <c r="S4146" i="2"/>
  <c r="R4146" i="2"/>
  <c r="Q4146" i="2"/>
  <c r="P4146" i="2"/>
  <c r="V4145" i="2" a="1"/>
  <c r="V4145" i="2" s="1"/>
  <c r="U4145" i="2"/>
  <c r="S4145" i="2"/>
  <c r="R4145" i="2"/>
  <c r="Q4145" i="2"/>
  <c r="P4145" i="2"/>
  <c r="U4144" i="2"/>
  <c r="S4144" i="2"/>
  <c r="V4144" i="2" s="1" a="1"/>
  <c r="V4144" i="2" s="1"/>
  <c r="R4144" i="2"/>
  <c r="Q4144" i="2"/>
  <c r="P4144" i="2"/>
  <c r="U4143" i="2"/>
  <c r="S4143" i="2"/>
  <c r="V4143" i="2" s="1" a="1"/>
  <c r="V4143" i="2" s="1"/>
  <c r="R4143" i="2"/>
  <c r="Q4143" i="2"/>
  <c r="P4143" i="2"/>
  <c r="V4142" i="2" a="1"/>
  <c r="V4142" i="2" s="1"/>
  <c r="U4142" i="2"/>
  <c r="S4142" i="2"/>
  <c r="R4142" i="2"/>
  <c r="Q4142" i="2"/>
  <c r="P4142" i="2"/>
  <c r="U4141" i="2"/>
  <c r="S4141" i="2"/>
  <c r="R4141" i="2"/>
  <c r="Q4141" i="2"/>
  <c r="P4141" i="2"/>
  <c r="V4140" i="2"/>
  <c r="V4140" i="2" a="1"/>
  <c r="U4140" i="2"/>
  <c r="S4140" i="2"/>
  <c r="R4140" i="2"/>
  <c r="Q4140" i="2"/>
  <c r="P4140" i="2"/>
  <c r="V4139" i="2"/>
  <c r="V4139" i="2" a="1"/>
  <c r="U4139" i="2"/>
  <c r="S4139" i="2"/>
  <c r="R4139" i="2"/>
  <c r="Q4139" i="2"/>
  <c r="P4139" i="2"/>
  <c r="U4138" i="2"/>
  <c r="S4138" i="2"/>
  <c r="R4138" i="2"/>
  <c r="Q4138" i="2"/>
  <c r="P4138" i="2"/>
  <c r="V4137" i="2" a="1"/>
  <c r="V4137" i="2" s="1"/>
  <c r="U4137" i="2"/>
  <c r="S4137" i="2"/>
  <c r="R4137" i="2"/>
  <c r="Q4137" i="2"/>
  <c r="P4137" i="2"/>
  <c r="V4136" i="2"/>
  <c r="U4136" i="2"/>
  <c r="S4136" i="2"/>
  <c r="V4136" i="2" s="1" a="1"/>
  <c r="R4136" i="2"/>
  <c r="Q4136" i="2"/>
  <c r="P4136" i="2"/>
  <c r="U4135" i="2"/>
  <c r="S4135" i="2"/>
  <c r="V4135" i="2" s="1" a="1"/>
  <c r="V4135" i="2" s="1"/>
  <c r="R4135" i="2"/>
  <c r="Q4135" i="2"/>
  <c r="P4135" i="2"/>
  <c r="V4134" i="2" a="1"/>
  <c r="V4134" i="2" s="1"/>
  <c r="U4134" i="2"/>
  <c r="S4134" i="2"/>
  <c r="R4134" i="2"/>
  <c r="Q4134" i="2"/>
  <c r="P4134" i="2"/>
  <c r="U4133" i="2"/>
  <c r="S4133" i="2"/>
  <c r="R4133" i="2"/>
  <c r="Q4133" i="2"/>
  <c r="P4133" i="2"/>
  <c r="V4132" i="2" a="1"/>
  <c r="V4132" i="2" s="1"/>
  <c r="U4132" i="2"/>
  <c r="S4132" i="2"/>
  <c r="R4132" i="2"/>
  <c r="Q4132" i="2"/>
  <c r="P4132" i="2"/>
  <c r="V4131" i="2" a="1"/>
  <c r="V4131" i="2" s="1"/>
  <c r="U4131" i="2"/>
  <c r="S4131" i="2"/>
  <c r="R4131" i="2"/>
  <c r="Q4131" i="2"/>
  <c r="P4131" i="2"/>
  <c r="U4130" i="2"/>
  <c r="S4130" i="2"/>
  <c r="R4130" i="2"/>
  <c r="Q4130" i="2"/>
  <c r="P4130" i="2"/>
  <c r="V4129" i="2" a="1"/>
  <c r="V4129" i="2" s="1"/>
  <c r="U4129" i="2"/>
  <c r="S4129" i="2"/>
  <c r="R4129" i="2"/>
  <c r="Q4129" i="2"/>
  <c r="P4129" i="2"/>
  <c r="U4128" i="2"/>
  <c r="S4128" i="2"/>
  <c r="V4128" i="2" s="1" a="1"/>
  <c r="V4128" i="2" s="1"/>
  <c r="R4128" i="2"/>
  <c r="Q4128" i="2"/>
  <c r="P4128" i="2"/>
  <c r="U4127" i="2"/>
  <c r="S4127" i="2"/>
  <c r="V4127" i="2" s="1" a="1"/>
  <c r="V4127" i="2" s="1"/>
  <c r="R4127" i="2"/>
  <c r="Q4127" i="2"/>
  <c r="P4127" i="2"/>
  <c r="V4126" i="2" a="1"/>
  <c r="V4126" i="2" s="1"/>
  <c r="U4126" i="2"/>
  <c r="S4126" i="2"/>
  <c r="R4126" i="2"/>
  <c r="Q4126" i="2"/>
  <c r="P4126" i="2"/>
  <c r="V4125" i="2"/>
  <c r="V4125" i="2" a="1"/>
  <c r="U4125" i="2"/>
  <c r="S4125" i="2"/>
  <c r="R4125" i="2"/>
  <c r="Q4125" i="2"/>
  <c r="P4125" i="2"/>
  <c r="V4124" i="2"/>
  <c r="V4124" i="2" a="1"/>
  <c r="U4124" i="2"/>
  <c r="S4124" i="2"/>
  <c r="R4124" i="2"/>
  <c r="Q4124" i="2"/>
  <c r="P4124" i="2"/>
  <c r="V4123" i="2"/>
  <c r="V4123" i="2" a="1"/>
  <c r="U4123" i="2"/>
  <c r="S4123" i="2"/>
  <c r="R4123" i="2"/>
  <c r="Q4123" i="2"/>
  <c r="P4123" i="2"/>
  <c r="U4122" i="2"/>
  <c r="S4122" i="2"/>
  <c r="R4122" i="2"/>
  <c r="Q4122" i="2"/>
  <c r="P4122" i="2"/>
  <c r="U4121" i="2"/>
  <c r="S4121" i="2"/>
  <c r="V4121" i="2" s="1" a="1"/>
  <c r="V4121" i="2" s="1"/>
  <c r="R4121" i="2"/>
  <c r="Q4121" i="2"/>
  <c r="P4121" i="2"/>
  <c r="V4120" i="2"/>
  <c r="U4120" i="2"/>
  <c r="S4120" i="2"/>
  <c r="V4120" i="2" s="1" a="1"/>
  <c r="R4120" i="2"/>
  <c r="Q4120" i="2"/>
  <c r="P4120" i="2"/>
  <c r="U4119" i="2"/>
  <c r="S4119" i="2"/>
  <c r="V4119" i="2" s="1" a="1"/>
  <c r="V4119" i="2" s="1"/>
  <c r="R4119" i="2"/>
  <c r="Q4119" i="2"/>
  <c r="P4119" i="2"/>
  <c r="V4118" i="2" a="1"/>
  <c r="V4118" i="2" s="1"/>
  <c r="U4118" i="2"/>
  <c r="S4118" i="2"/>
  <c r="R4118" i="2"/>
  <c r="Q4118" i="2"/>
  <c r="P4118" i="2"/>
  <c r="U4117" i="2"/>
  <c r="S4117" i="2"/>
  <c r="R4117" i="2"/>
  <c r="Q4117" i="2"/>
  <c r="P4117" i="2"/>
  <c r="V4116" i="2" a="1"/>
  <c r="V4116" i="2" s="1"/>
  <c r="U4116" i="2"/>
  <c r="S4116" i="2"/>
  <c r="R4116" i="2"/>
  <c r="Q4116" i="2"/>
  <c r="P4116" i="2"/>
  <c r="V4115" i="2" a="1"/>
  <c r="V4115" i="2" s="1"/>
  <c r="U4115" i="2"/>
  <c r="S4115" i="2"/>
  <c r="R4115" i="2"/>
  <c r="Q4115" i="2"/>
  <c r="P4115" i="2"/>
  <c r="U4114" i="2"/>
  <c r="S4114" i="2"/>
  <c r="R4114" i="2"/>
  <c r="Q4114" i="2"/>
  <c r="P4114" i="2"/>
  <c r="V4113" i="2" a="1"/>
  <c r="V4113" i="2" s="1"/>
  <c r="U4113" i="2"/>
  <c r="S4113" i="2"/>
  <c r="R4113" i="2"/>
  <c r="Q4113" i="2"/>
  <c r="P4113" i="2"/>
  <c r="U4112" i="2"/>
  <c r="S4112" i="2"/>
  <c r="V4112" i="2" s="1" a="1"/>
  <c r="V4112" i="2" s="1"/>
  <c r="R4112" i="2"/>
  <c r="Q4112" i="2"/>
  <c r="P4112" i="2"/>
  <c r="U4111" i="2"/>
  <c r="S4111" i="2"/>
  <c r="V4111" i="2" s="1" a="1"/>
  <c r="V4111" i="2" s="1"/>
  <c r="R4111" i="2"/>
  <c r="Q4111" i="2"/>
  <c r="P4111" i="2"/>
  <c r="V4110" i="2" a="1"/>
  <c r="V4110" i="2" s="1"/>
  <c r="U4110" i="2"/>
  <c r="S4110" i="2"/>
  <c r="R4110" i="2"/>
  <c r="Q4110" i="2"/>
  <c r="P4110" i="2"/>
  <c r="V4109" i="2"/>
  <c r="V4109" i="2" a="1"/>
  <c r="U4109" i="2"/>
  <c r="S4109" i="2"/>
  <c r="R4109" i="2"/>
  <c r="Q4109" i="2"/>
  <c r="P4109" i="2"/>
  <c r="V4108" i="2"/>
  <c r="V4108" i="2" a="1"/>
  <c r="U4108" i="2"/>
  <c r="S4108" i="2"/>
  <c r="R4108" i="2"/>
  <c r="Q4108" i="2"/>
  <c r="P4108" i="2"/>
  <c r="V4107" i="2"/>
  <c r="V4107" i="2" a="1"/>
  <c r="U4107" i="2"/>
  <c r="S4107" i="2"/>
  <c r="R4107" i="2"/>
  <c r="Q4107" i="2"/>
  <c r="P4107" i="2"/>
  <c r="U4106" i="2"/>
  <c r="S4106" i="2"/>
  <c r="R4106" i="2"/>
  <c r="Q4106" i="2"/>
  <c r="P4106" i="2"/>
  <c r="U4105" i="2"/>
  <c r="S4105" i="2"/>
  <c r="R4105" i="2"/>
  <c r="Q4105" i="2"/>
  <c r="P4105" i="2"/>
  <c r="U4104" i="2"/>
  <c r="S4104" i="2"/>
  <c r="R4104" i="2"/>
  <c r="Q4104" i="2"/>
  <c r="P4104" i="2"/>
  <c r="U4103" i="2"/>
  <c r="S4103" i="2"/>
  <c r="R4103" i="2"/>
  <c r="Q4103" i="2"/>
  <c r="P4103" i="2"/>
  <c r="V4102" i="2" a="1"/>
  <c r="V4102" i="2" s="1"/>
  <c r="U4102" i="2"/>
  <c r="S4102" i="2"/>
  <c r="R4102" i="2"/>
  <c r="Q4102" i="2"/>
  <c r="P4102" i="2"/>
  <c r="V4101" i="2"/>
  <c r="V4101" i="2" a="1"/>
  <c r="U4101" i="2"/>
  <c r="S4101" i="2"/>
  <c r="R4101" i="2"/>
  <c r="Q4101" i="2"/>
  <c r="P4101" i="2"/>
  <c r="V4100" i="2"/>
  <c r="V4100" i="2" a="1"/>
  <c r="U4100" i="2"/>
  <c r="S4100" i="2"/>
  <c r="R4100" i="2"/>
  <c r="Q4100" i="2"/>
  <c r="P4100" i="2"/>
  <c r="V4099" i="2"/>
  <c r="V4099" i="2" a="1"/>
  <c r="U4099" i="2"/>
  <c r="S4099" i="2"/>
  <c r="R4099" i="2"/>
  <c r="Q4099" i="2"/>
  <c r="P4099" i="2"/>
  <c r="U4098" i="2"/>
  <c r="S4098" i="2"/>
  <c r="R4098" i="2"/>
  <c r="Q4098" i="2"/>
  <c r="P4098" i="2"/>
  <c r="U4097" i="2"/>
  <c r="S4097" i="2"/>
  <c r="R4097" i="2"/>
  <c r="Q4097" i="2"/>
  <c r="P4097" i="2"/>
  <c r="U4096" i="2"/>
  <c r="S4096" i="2"/>
  <c r="R4096" i="2"/>
  <c r="Q4096" i="2"/>
  <c r="P4096" i="2"/>
  <c r="U4095" i="2"/>
  <c r="S4095" i="2"/>
  <c r="R4095" i="2"/>
  <c r="Q4095" i="2"/>
  <c r="P4095" i="2"/>
  <c r="V4094" i="2" a="1"/>
  <c r="V4094" i="2" s="1"/>
  <c r="U4094" i="2"/>
  <c r="S4094" i="2"/>
  <c r="R4094" i="2"/>
  <c r="Q4094" i="2"/>
  <c r="P4094" i="2"/>
  <c r="U4093" i="2"/>
  <c r="S4093" i="2"/>
  <c r="R4093" i="2"/>
  <c r="Q4093" i="2"/>
  <c r="P4093" i="2"/>
  <c r="V4092" i="2"/>
  <c r="V4092" i="2" a="1"/>
  <c r="U4092" i="2"/>
  <c r="S4092" i="2"/>
  <c r="R4092" i="2"/>
  <c r="Q4092" i="2"/>
  <c r="P4092" i="2"/>
  <c r="U4091" i="2"/>
  <c r="S4091" i="2"/>
  <c r="R4091" i="2"/>
  <c r="Q4091" i="2"/>
  <c r="P4091" i="2"/>
  <c r="U4090" i="2"/>
  <c r="S4090" i="2"/>
  <c r="R4090" i="2"/>
  <c r="Q4090" i="2"/>
  <c r="P4090" i="2"/>
  <c r="U4089" i="2"/>
  <c r="S4089" i="2"/>
  <c r="R4089" i="2"/>
  <c r="Q4089" i="2"/>
  <c r="P4089" i="2"/>
  <c r="U4088" i="2"/>
  <c r="S4088" i="2"/>
  <c r="R4088" i="2"/>
  <c r="Q4088" i="2"/>
  <c r="P4088" i="2"/>
  <c r="U4087" i="2"/>
  <c r="S4087" i="2"/>
  <c r="R4087" i="2"/>
  <c r="Q4087" i="2"/>
  <c r="P4087" i="2"/>
  <c r="V4086" i="2" a="1"/>
  <c r="V4086" i="2" s="1"/>
  <c r="U4086" i="2"/>
  <c r="S4086" i="2"/>
  <c r="R4086" i="2"/>
  <c r="Q4086" i="2"/>
  <c r="P4086" i="2"/>
  <c r="U4085" i="2"/>
  <c r="S4085" i="2"/>
  <c r="R4085" i="2"/>
  <c r="Q4085" i="2"/>
  <c r="P4085" i="2"/>
  <c r="V4084" i="2" a="1"/>
  <c r="V4084" i="2" s="1"/>
  <c r="U4084" i="2"/>
  <c r="S4084" i="2"/>
  <c r="R4084" i="2"/>
  <c r="Q4084" i="2"/>
  <c r="P4084" i="2"/>
  <c r="V4083" i="2" a="1"/>
  <c r="V4083" i="2" s="1"/>
  <c r="U4083" i="2"/>
  <c r="S4083" i="2"/>
  <c r="R4083" i="2"/>
  <c r="Q4083" i="2"/>
  <c r="P4083" i="2"/>
  <c r="V4082" i="2" a="1"/>
  <c r="V4082" i="2" s="1"/>
  <c r="U4082" i="2"/>
  <c r="S4082" i="2"/>
  <c r="R4082" i="2"/>
  <c r="Q4082" i="2"/>
  <c r="P4082" i="2"/>
  <c r="V4081" i="2" a="1"/>
  <c r="V4081" i="2" s="1"/>
  <c r="U4081" i="2"/>
  <c r="S4081" i="2"/>
  <c r="R4081" i="2"/>
  <c r="Q4081" i="2"/>
  <c r="P4081" i="2"/>
  <c r="V4080" i="2"/>
  <c r="U4080" i="2"/>
  <c r="S4080" i="2"/>
  <c r="V4080" i="2" s="1" a="1"/>
  <c r="R4080" i="2"/>
  <c r="Q4080" i="2"/>
  <c r="P4080" i="2"/>
  <c r="U4079" i="2"/>
  <c r="S4079" i="2"/>
  <c r="V4079" i="2" s="1" a="1"/>
  <c r="V4079" i="2" s="1"/>
  <c r="R4079" i="2"/>
  <c r="Q4079" i="2"/>
  <c r="P4079" i="2"/>
  <c r="V4078" i="2" a="1"/>
  <c r="V4078" i="2" s="1"/>
  <c r="U4078" i="2"/>
  <c r="S4078" i="2"/>
  <c r="R4078" i="2"/>
  <c r="Q4078" i="2"/>
  <c r="P4078" i="2"/>
  <c r="U4077" i="2"/>
  <c r="S4077" i="2"/>
  <c r="V4077" i="2" s="1" a="1"/>
  <c r="V4077" i="2" s="1"/>
  <c r="R4077" i="2"/>
  <c r="Q4077" i="2"/>
  <c r="P4077" i="2"/>
  <c r="U4076" i="2"/>
  <c r="S4076" i="2"/>
  <c r="R4076" i="2"/>
  <c r="Q4076" i="2"/>
  <c r="P4076" i="2"/>
  <c r="V4075" i="2" a="1"/>
  <c r="V4075" i="2" s="1"/>
  <c r="U4075" i="2"/>
  <c r="S4075" i="2"/>
  <c r="R4075" i="2"/>
  <c r="Q4075" i="2"/>
  <c r="P4075" i="2"/>
  <c r="U4074" i="2"/>
  <c r="S4074" i="2"/>
  <c r="R4074" i="2"/>
  <c r="Q4074" i="2"/>
  <c r="P4074" i="2"/>
  <c r="V4073" i="2" a="1"/>
  <c r="V4073" i="2" s="1"/>
  <c r="U4073" i="2"/>
  <c r="S4073" i="2"/>
  <c r="R4073" i="2"/>
  <c r="Q4073" i="2"/>
  <c r="P4073" i="2"/>
  <c r="V4072" i="2" a="1"/>
  <c r="V4072" i="2" s="1"/>
  <c r="U4072" i="2"/>
  <c r="S4072" i="2"/>
  <c r="R4072" i="2"/>
  <c r="Q4072" i="2"/>
  <c r="P4072" i="2"/>
  <c r="V4071" i="2"/>
  <c r="U4071" i="2"/>
  <c r="S4071" i="2"/>
  <c r="V4071" i="2" s="1" a="1"/>
  <c r="R4071" i="2"/>
  <c r="Q4071" i="2"/>
  <c r="P4071" i="2"/>
  <c r="V4070" i="2" a="1"/>
  <c r="V4070" i="2" s="1"/>
  <c r="U4070" i="2"/>
  <c r="S4070" i="2"/>
  <c r="R4070" i="2"/>
  <c r="Q4070" i="2"/>
  <c r="P4070" i="2"/>
  <c r="U4069" i="2"/>
  <c r="S4069" i="2"/>
  <c r="V4069" i="2" s="1" a="1"/>
  <c r="V4069" i="2" s="1"/>
  <c r="R4069" i="2"/>
  <c r="Q4069" i="2"/>
  <c r="P4069" i="2"/>
  <c r="U4068" i="2"/>
  <c r="S4068" i="2"/>
  <c r="R4068" i="2"/>
  <c r="Q4068" i="2"/>
  <c r="P4068" i="2"/>
  <c r="V4067" i="2" a="1"/>
  <c r="V4067" i="2" s="1"/>
  <c r="U4067" i="2"/>
  <c r="S4067" i="2"/>
  <c r="R4067" i="2"/>
  <c r="Q4067" i="2"/>
  <c r="P4067" i="2"/>
  <c r="U4066" i="2"/>
  <c r="S4066" i="2"/>
  <c r="R4066" i="2"/>
  <c r="Q4066" i="2"/>
  <c r="P4066" i="2"/>
  <c r="V4065" i="2" a="1"/>
  <c r="V4065" i="2" s="1"/>
  <c r="U4065" i="2"/>
  <c r="S4065" i="2"/>
  <c r="R4065" i="2"/>
  <c r="Q4065" i="2"/>
  <c r="P4065" i="2"/>
  <c r="V4064" i="2" a="1"/>
  <c r="V4064" i="2" s="1"/>
  <c r="U4064" i="2"/>
  <c r="S4064" i="2"/>
  <c r="R4064" i="2"/>
  <c r="Q4064" i="2"/>
  <c r="P4064" i="2"/>
  <c r="V4063" i="2"/>
  <c r="U4063" i="2"/>
  <c r="S4063" i="2"/>
  <c r="V4063" i="2" s="1" a="1"/>
  <c r="R4063" i="2"/>
  <c r="Q4063" i="2"/>
  <c r="P4063" i="2"/>
  <c r="V4062" i="2" a="1"/>
  <c r="V4062" i="2" s="1"/>
  <c r="U4062" i="2"/>
  <c r="S4062" i="2"/>
  <c r="R4062" i="2"/>
  <c r="Q4062" i="2"/>
  <c r="P4062" i="2"/>
  <c r="U4061" i="2"/>
  <c r="S4061" i="2"/>
  <c r="V4061" i="2" s="1" a="1"/>
  <c r="V4061" i="2" s="1"/>
  <c r="R4061" i="2"/>
  <c r="Q4061" i="2"/>
  <c r="P4061" i="2"/>
  <c r="U4060" i="2"/>
  <c r="S4060" i="2"/>
  <c r="R4060" i="2"/>
  <c r="Q4060" i="2"/>
  <c r="P4060" i="2"/>
  <c r="V4059" i="2" a="1"/>
  <c r="V4059" i="2" s="1"/>
  <c r="U4059" i="2"/>
  <c r="S4059" i="2"/>
  <c r="R4059" i="2"/>
  <c r="Q4059" i="2"/>
  <c r="P4059" i="2"/>
  <c r="U4058" i="2"/>
  <c r="S4058" i="2"/>
  <c r="R4058" i="2"/>
  <c r="Q4058" i="2"/>
  <c r="P4058" i="2"/>
  <c r="V4057" i="2" a="1"/>
  <c r="V4057" i="2" s="1"/>
  <c r="U4057" i="2"/>
  <c r="S4057" i="2"/>
  <c r="R4057" i="2"/>
  <c r="Q4057" i="2"/>
  <c r="P4057" i="2"/>
  <c r="V4056" i="2" a="1"/>
  <c r="V4056" i="2" s="1"/>
  <c r="U4056" i="2"/>
  <c r="S4056" i="2"/>
  <c r="R4056" i="2"/>
  <c r="Q4056" i="2"/>
  <c r="P4056" i="2"/>
  <c r="U4055" i="2"/>
  <c r="S4055" i="2"/>
  <c r="R4055" i="2"/>
  <c r="Q4055" i="2"/>
  <c r="P4055" i="2"/>
  <c r="V4054" i="2" a="1"/>
  <c r="V4054" i="2" s="1"/>
  <c r="U4054" i="2"/>
  <c r="S4054" i="2"/>
  <c r="R4054" i="2"/>
  <c r="Q4054" i="2"/>
  <c r="P4054" i="2"/>
  <c r="U4053" i="2"/>
  <c r="S4053" i="2"/>
  <c r="V4053" i="2" s="1" a="1"/>
  <c r="V4053" i="2" s="1"/>
  <c r="R4053" i="2"/>
  <c r="Q4053" i="2"/>
  <c r="P4053" i="2"/>
  <c r="U4052" i="2"/>
  <c r="S4052" i="2"/>
  <c r="R4052" i="2"/>
  <c r="Q4052" i="2"/>
  <c r="P4052" i="2"/>
  <c r="V4051" i="2" a="1"/>
  <c r="V4051" i="2" s="1"/>
  <c r="U4051" i="2"/>
  <c r="S4051" i="2"/>
  <c r="R4051" i="2"/>
  <c r="Q4051" i="2"/>
  <c r="P4051" i="2"/>
  <c r="U4050" i="2"/>
  <c r="S4050" i="2"/>
  <c r="R4050" i="2"/>
  <c r="Q4050" i="2"/>
  <c r="P4050" i="2"/>
  <c r="V4049" i="2" a="1"/>
  <c r="V4049" i="2" s="1"/>
  <c r="U4049" i="2"/>
  <c r="S4049" i="2"/>
  <c r="R4049" i="2"/>
  <c r="Q4049" i="2"/>
  <c r="P4049" i="2"/>
  <c r="V4048" i="2" a="1"/>
  <c r="V4048" i="2" s="1"/>
  <c r="U4048" i="2"/>
  <c r="S4048" i="2"/>
  <c r="R4048" i="2"/>
  <c r="Q4048" i="2"/>
  <c r="P4048" i="2"/>
  <c r="U4047" i="2"/>
  <c r="S4047" i="2"/>
  <c r="R4047" i="2"/>
  <c r="Q4047" i="2"/>
  <c r="P4047" i="2"/>
  <c r="V4046" i="2" a="1"/>
  <c r="V4046" i="2" s="1"/>
  <c r="U4046" i="2"/>
  <c r="S4046" i="2"/>
  <c r="R4046" i="2"/>
  <c r="Q4046" i="2"/>
  <c r="P4046" i="2"/>
  <c r="U4045" i="2"/>
  <c r="S4045" i="2"/>
  <c r="V4045" i="2" s="1" a="1"/>
  <c r="V4045" i="2" s="1"/>
  <c r="R4045" i="2"/>
  <c r="Q4045" i="2"/>
  <c r="P4045" i="2"/>
  <c r="U4044" i="2"/>
  <c r="S4044" i="2"/>
  <c r="R4044" i="2"/>
  <c r="Q4044" i="2"/>
  <c r="P4044" i="2"/>
  <c r="V4043" i="2" a="1"/>
  <c r="V4043" i="2" s="1"/>
  <c r="U4043" i="2"/>
  <c r="S4043" i="2"/>
  <c r="R4043" i="2"/>
  <c r="Q4043" i="2"/>
  <c r="P4043" i="2"/>
  <c r="U4042" i="2"/>
  <c r="S4042" i="2"/>
  <c r="R4042" i="2"/>
  <c r="Q4042" i="2"/>
  <c r="P4042" i="2"/>
  <c r="V4041" i="2" a="1"/>
  <c r="V4041" i="2" s="1"/>
  <c r="U4041" i="2"/>
  <c r="S4041" i="2"/>
  <c r="R4041" i="2"/>
  <c r="Q4041" i="2"/>
  <c r="P4041" i="2"/>
  <c r="V4040" i="2" a="1"/>
  <c r="V4040" i="2" s="1"/>
  <c r="U4040" i="2"/>
  <c r="S4040" i="2"/>
  <c r="R4040" i="2"/>
  <c r="Q4040" i="2"/>
  <c r="P4040" i="2"/>
  <c r="U4039" i="2"/>
  <c r="S4039" i="2"/>
  <c r="R4039" i="2"/>
  <c r="Q4039" i="2"/>
  <c r="P4039" i="2"/>
  <c r="V4038" i="2" a="1"/>
  <c r="V4038" i="2" s="1"/>
  <c r="U4038" i="2"/>
  <c r="S4038" i="2"/>
  <c r="R4038" i="2"/>
  <c r="Q4038" i="2"/>
  <c r="P4038" i="2"/>
  <c r="U4037" i="2"/>
  <c r="S4037" i="2"/>
  <c r="V4037" i="2" s="1" a="1"/>
  <c r="V4037" i="2" s="1"/>
  <c r="R4037" i="2"/>
  <c r="Q4037" i="2"/>
  <c r="P4037" i="2"/>
  <c r="U4036" i="2"/>
  <c r="S4036" i="2"/>
  <c r="R4036" i="2"/>
  <c r="Q4036" i="2"/>
  <c r="P4036" i="2"/>
  <c r="V4035" i="2" a="1"/>
  <c r="V4035" i="2" s="1"/>
  <c r="U4035" i="2"/>
  <c r="S4035" i="2"/>
  <c r="R4035" i="2"/>
  <c r="Q4035" i="2"/>
  <c r="P4035" i="2"/>
  <c r="U4034" i="2"/>
  <c r="S4034" i="2"/>
  <c r="R4034" i="2"/>
  <c r="Q4034" i="2"/>
  <c r="P4034" i="2"/>
  <c r="V4033" i="2" a="1"/>
  <c r="V4033" i="2" s="1"/>
  <c r="U4033" i="2"/>
  <c r="S4033" i="2"/>
  <c r="R4033" i="2"/>
  <c r="Q4033" i="2"/>
  <c r="P4033" i="2"/>
  <c r="V4032" i="2" a="1"/>
  <c r="V4032" i="2" s="1"/>
  <c r="U4032" i="2"/>
  <c r="S4032" i="2"/>
  <c r="R4032" i="2"/>
  <c r="Q4032" i="2"/>
  <c r="P4032" i="2"/>
  <c r="U4031" i="2"/>
  <c r="S4031" i="2"/>
  <c r="R4031" i="2"/>
  <c r="Q4031" i="2"/>
  <c r="P4031" i="2"/>
  <c r="V4030" i="2" a="1"/>
  <c r="V4030" i="2" s="1"/>
  <c r="U4030" i="2"/>
  <c r="S4030" i="2"/>
  <c r="R4030" i="2"/>
  <c r="Q4030" i="2"/>
  <c r="P4030" i="2"/>
  <c r="U4029" i="2"/>
  <c r="S4029" i="2"/>
  <c r="V4029" i="2" s="1" a="1"/>
  <c r="V4029" i="2" s="1"/>
  <c r="R4029" i="2"/>
  <c r="Q4029" i="2"/>
  <c r="P4029" i="2"/>
  <c r="U4028" i="2"/>
  <c r="S4028" i="2"/>
  <c r="R4028" i="2"/>
  <c r="Q4028" i="2"/>
  <c r="P4028" i="2"/>
  <c r="V4027" i="2" a="1"/>
  <c r="V4027" i="2" s="1"/>
  <c r="U4027" i="2"/>
  <c r="S4027" i="2"/>
  <c r="R4027" i="2"/>
  <c r="Q4027" i="2"/>
  <c r="P4027" i="2"/>
  <c r="U4026" i="2"/>
  <c r="S4026" i="2"/>
  <c r="R4026" i="2"/>
  <c r="Q4026" i="2"/>
  <c r="P4026" i="2"/>
  <c r="V4025" i="2" a="1"/>
  <c r="V4025" i="2" s="1"/>
  <c r="U4025" i="2"/>
  <c r="S4025" i="2"/>
  <c r="R4025" i="2"/>
  <c r="Q4025" i="2"/>
  <c r="P4025" i="2"/>
  <c r="V4024" i="2" a="1"/>
  <c r="V4024" i="2" s="1"/>
  <c r="U4024" i="2"/>
  <c r="S4024" i="2"/>
  <c r="R4024" i="2"/>
  <c r="Q4024" i="2"/>
  <c r="P4024" i="2"/>
  <c r="U4023" i="2"/>
  <c r="S4023" i="2"/>
  <c r="R4023" i="2"/>
  <c r="Q4023" i="2"/>
  <c r="P4023" i="2"/>
  <c r="V4022" i="2" a="1"/>
  <c r="V4022" i="2" s="1"/>
  <c r="U4022" i="2"/>
  <c r="S4022" i="2"/>
  <c r="R4022" i="2"/>
  <c r="Q4022" i="2"/>
  <c r="P4022" i="2"/>
  <c r="U4021" i="2"/>
  <c r="S4021" i="2"/>
  <c r="V4021" i="2" s="1" a="1"/>
  <c r="V4021" i="2" s="1"/>
  <c r="R4021" i="2"/>
  <c r="Q4021" i="2"/>
  <c r="P4021" i="2"/>
  <c r="U4020" i="2"/>
  <c r="S4020" i="2"/>
  <c r="R4020" i="2"/>
  <c r="Q4020" i="2"/>
  <c r="P4020" i="2"/>
  <c r="V4019" i="2" a="1"/>
  <c r="V4019" i="2" s="1"/>
  <c r="U4019" i="2"/>
  <c r="S4019" i="2"/>
  <c r="R4019" i="2"/>
  <c r="Q4019" i="2"/>
  <c r="P4019" i="2"/>
  <c r="U4018" i="2"/>
  <c r="S4018" i="2"/>
  <c r="R4018" i="2"/>
  <c r="Q4018" i="2"/>
  <c r="P4018" i="2"/>
  <c r="V4017" i="2" a="1"/>
  <c r="V4017" i="2" s="1"/>
  <c r="U4017" i="2"/>
  <c r="S4017" i="2"/>
  <c r="R4017" i="2"/>
  <c r="Q4017" i="2"/>
  <c r="P4017" i="2"/>
  <c r="V4016" i="2" a="1"/>
  <c r="V4016" i="2" s="1"/>
  <c r="U4016" i="2"/>
  <c r="S4016" i="2"/>
  <c r="R4016" i="2"/>
  <c r="Q4016" i="2"/>
  <c r="P4016" i="2"/>
  <c r="U4015" i="2"/>
  <c r="S4015" i="2"/>
  <c r="R4015" i="2"/>
  <c r="Q4015" i="2"/>
  <c r="P4015" i="2"/>
  <c r="V4014" i="2" a="1"/>
  <c r="V4014" i="2" s="1"/>
  <c r="U4014" i="2"/>
  <c r="S4014" i="2"/>
  <c r="R4014" i="2"/>
  <c r="Q4014" i="2"/>
  <c r="P4014" i="2"/>
  <c r="V4013" i="2"/>
  <c r="U4013" i="2"/>
  <c r="S4013" i="2"/>
  <c r="V4013" i="2" s="1" a="1"/>
  <c r="R4013" i="2"/>
  <c r="Q4013" i="2"/>
  <c r="P4013" i="2"/>
  <c r="U4012" i="2"/>
  <c r="S4012" i="2"/>
  <c r="V4012" i="2" s="1" a="1"/>
  <c r="V4012" i="2" s="1"/>
  <c r="R4012" i="2"/>
  <c r="Q4012" i="2"/>
  <c r="P4012" i="2"/>
  <c r="V4011" i="2" a="1"/>
  <c r="V4011" i="2" s="1"/>
  <c r="U4011" i="2"/>
  <c r="S4011" i="2"/>
  <c r="R4011" i="2"/>
  <c r="Q4011" i="2"/>
  <c r="P4011" i="2"/>
  <c r="U4010" i="2"/>
  <c r="S4010" i="2"/>
  <c r="R4010" i="2"/>
  <c r="Q4010" i="2"/>
  <c r="P4010" i="2"/>
  <c r="V4009" i="2" a="1"/>
  <c r="V4009" i="2" s="1"/>
  <c r="U4009" i="2"/>
  <c r="S4009" i="2"/>
  <c r="R4009" i="2"/>
  <c r="Q4009" i="2"/>
  <c r="P4009" i="2"/>
  <c r="V4008" i="2"/>
  <c r="V4008" i="2" a="1"/>
  <c r="U4008" i="2"/>
  <c r="S4008" i="2"/>
  <c r="R4008" i="2"/>
  <c r="Q4008" i="2"/>
  <c r="P4008" i="2"/>
  <c r="U4007" i="2"/>
  <c r="S4007" i="2"/>
  <c r="R4007" i="2"/>
  <c r="Q4007" i="2"/>
  <c r="P4007" i="2"/>
  <c r="V4006" i="2" a="1"/>
  <c r="V4006" i="2" s="1"/>
  <c r="U4006" i="2"/>
  <c r="S4006" i="2"/>
  <c r="R4006" i="2"/>
  <c r="Q4006" i="2"/>
  <c r="P4006" i="2"/>
  <c r="U4005" i="2"/>
  <c r="S4005" i="2"/>
  <c r="R4005" i="2"/>
  <c r="Q4005" i="2"/>
  <c r="P4005" i="2"/>
  <c r="U4004" i="2"/>
  <c r="S4004" i="2"/>
  <c r="V4004" i="2" s="1" a="1"/>
  <c r="V4004" i="2" s="1"/>
  <c r="R4004" i="2"/>
  <c r="Q4004" i="2"/>
  <c r="P4004" i="2"/>
  <c r="V4003" i="2" a="1"/>
  <c r="V4003" i="2" s="1"/>
  <c r="U4003" i="2"/>
  <c r="S4003" i="2"/>
  <c r="R4003" i="2"/>
  <c r="Q4003" i="2"/>
  <c r="P4003" i="2"/>
  <c r="U4002" i="2"/>
  <c r="S4002" i="2"/>
  <c r="R4002" i="2"/>
  <c r="Q4002" i="2"/>
  <c r="P4002" i="2"/>
  <c r="V4001" i="2" a="1"/>
  <c r="V4001" i="2" s="1"/>
  <c r="U4001" i="2"/>
  <c r="S4001" i="2"/>
  <c r="R4001" i="2"/>
  <c r="Q4001" i="2"/>
  <c r="P4001" i="2"/>
  <c r="V4000" i="2" a="1"/>
  <c r="V4000" i="2" s="1"/>
  <c r="U4000" i="2"/>
  <c r="S4000" i="2"/>
  <c r="R4000" i="2"/>
  <c r="Q4000" i="2"/>
  <c r="P4000" i="2"/>
  <c r="U3999" i="2"/>
  <c r="S3999" i="2"/>
  <c r="R3999" i="2"/>
  <c r="Q3999" i="2"/>
  <c r="P3999" i="2"/>
  <c r="V3998" i="2" a="1"/>
  <c r="V3998" i="2" s="1"/>
  <c r="U3998" i="2"/>
  <c r="S3998" i="2"/>
  <c r="R3998" i="2"/>
  <c r="Q3998" i="2"/>
  <c r="P3998" i="2"/>
  <c r="U3997" i="2"/>
  <c r="S3997" i="2"/>
  <c r="R3997" i="2"/>
  <c r="Q3997" i="2"/>
  <c r="P3997" i="2"/>
  <c r="U3996" i="2"/>
  <c r="S3996" i="2"/>
  <c r="V3996" i="2" s="1" a="1"/>
  <c r="V3996" i="2" s="1"/>
  <c r="R3996" i="2"/>
  <c r="Q3996" i="2"/>
  <c r="P3996" i="2"/>
  <c r="V3995" i="2" a="1"/>
  <c r="V3995" i="2" s="1"/>
  <c r="U3995" i="2"/>
  <c r="S3995" i="2"/>
  <c r="R3995" i="2"/>
  <c r="Q3995" i="2"/>
  <c r="P3995" i="2"/>
  <c r="U3994" i="2"/>
  <c r="S3994" i="2"/>
  <c r="R3994" i="2"/>
  <c r="Q3994" i="2"/>
  <c r="P3994" i="2"/>
  <c r="V3993" i="2" a="1"/>
  <c r="V3993" i="2" s="1"/>
  <c r="U3993" i="2"/>
  <c r="S3993" i="2"/>
  <c r="R3993" i="2"/>
  <c r="Q3993" i="2"/>
  <c r="P3993" i="2"/>
  <c r="V3992" i="2"/>
  <c r="V3992" i="2" a="1"/>
  <c r="U3992" i="2"/>
  <c r="S3992" i="2"/>
  <c r="R3992" i="2"/>
  <c r="Q3992" i="2"/>
  <c r="P3992" i="2"/>
  <c r="U3991" i="2"/>
  <c r="S3991" i="2"/>
  <c r="R3991" i="2"/>
  <c r="Q3991" i="2"/>
  <c r="P3991" i="2"/>
  <c r="V3990" i="2" a="1"/>
  <c r="V3990" i="2" s="1"/>
  <c r="U3990" i="2"/>
  <c r="S3990" i="2"/>
  <c r="R3990" i="2"/>
  <c r="Q3990" i="2"/>
  <c r="P3990" i="2"/>
  <c r="U3989" i="2"/>
  <c r="S3989" i="2"/>
  <c r="R3989" i="2"/>
  <c r="Q3989" i="2"/>
  <c r="P3989" i="2"/>
  <c r="U3988" i="2"/>
  <c r="S3988" i="2"/>
  <c r="V3988" i="2" s="1" a="1"/>
  <c r="V3988" i="2" s="1"/>
  <c r="R3988" i="2"/>
  <c r="Q3988" i="2"/>
  <c r="P3988" i="2"/>
  <c r="V3987" i="2" a="1"/>
  <c r="V3987" i="2" s="1"/>
  <c r="U3987" i="2"/>
  <c r="S3987" i="2"/>
  <c r="R3987" i="2"/>
  <c r="Q3987" i="2"/>
  <c r="P3987" i="2"/>
  <c r="U3986" i="2"/>
  <c r="S3986" i="2"/>
  <c r="R3986" i="2"/>
  <c r="Q3986" i="2"/>
  <c r="P3986" i="2"/>
  <c r="V3985" i="2" a="1"/>
  <c r="V3985" i="2" s="1"/>
  <c r="U3985" i="2"/>
  <c r="S3985" i="2"/>
  <c r="R3985" i="2"/>
  <c r="Q3985" i="2"/>
  <c r="P3985" i="2"/>
  <c r="V3984" i="2" a="1"/>
  <c r="V3984" i="2" s="1"/>
  <c r="U3984" i="2"/>
  <c r="S3984" i="2"/>
  <c r="R3984" i="2"/>
  <c r="Q3984" i="2"/>
  <c r="P3984" i="2"/>
  <c r="U3983" i="2"/>
  <c r="S3983" i="2"/>
  <c r="R3983" i="2"/>
  <c r="Q3983" i="2"/>
  <c r="P3983" i="2"/>
  <c r="V3982" i="2" a="1"/>
  <c r="V3982" i="2" s="1"/>
  <c r="U3982" i="2"/>
  <c r="S3982" i="2"/>
  <c r="R3982" i="2"/>
  <c r="Q3982" i="2"/>
  <c r="P3982" i="2"/>
  <c r="V3981" i="2" a="1"/>
  <c r="V3981" i="2" s="1"/>
  <c r="U3981" i="2"/>
  <c r="S3981" i="2"/>
  <c r="R3981" i="2"/>
  <c r="Q3981" i="2"/>
  <c r="P3981" i="2"/>
  <c r="U3980" i="2"/>
  <c r="S3980" i="2"/>
  <c r="V3980" i="2" s="1" a="1"/>
  <c r="V3980" i="2" s="1"/>
  <c r="R3980" i="2"/>
  <c r="Q3980" i="2"/>
  <c r="P3980" i="2"/>
  <c r="U3979" i="2"/>
  <c r="S3979" i="2"/>
  <c r="R3979" i="2"/>
  <c r="Q3979" i="2"/>
  <c r="P3979" i="2"/>
  <c r="U3978" i="2"/>
  <c r="S3978" i="2"/>
  <c r="V3978" i="2" s="1" a="1"/>
  <c r="V3978" i="2" s="1"/>
  <c r="R3978" i="2"/>
  <c r="Q3978" i="2"/>
  <c r="P3978" i="2"/>
  <c r="U3977" i="2"/>
  <c r="S3977" i="2"/>
  <c r="R3977" i="2"/>
  <c r="Q3977" i="2"/>
  <c r="P3977" i="2"/>
  <c r="V3976" i="2"/>
  <c r="V3976" i="2" a="1"/>
  <c r="U3976" i="2"/>
  <c r="S3976" i="2"/>
  <c r="R3976" i="2"/>
  <c r="Q3976" i="2"/>
  <c r="P3976" i="2"/>
  <c r="V3975" i="2" a="1"/>
  <c r="V3975" i="2" s="1"/>
  <c r="U3975" i="2"/>
  <c r="S3975" i="2"/>
  <c r="R3975" i="2"/>
  <c r="Q3975" i="2"/>
  <c r="P3975" i="2"/>
  <c r="V3974" i="2" a="1"/>
  <c r="V3974" i="2" s="1"/>
  <c r="U3974" i="2"/>
  <c r="S3974" i="2"/>
  <c r="R3974" i="2"/>
  <c r="Q3974" i="2"/>
  <c r="P3974" i="2"/>
  <c r="V3973" i="2" a="1"/>
  <c r="V3973" i="2" s="1"/>
  <c r="U3973" i="2"/>
  <c r="S3973" i="2"/>
  <c r="R3973" i="2"/>
  <c r="Q3973" i="2"/>
  <c r="P3973" i="2"/>
  <c r="V3972" i="2"/>
  <c r="U3972" i="2"/>
  <c r="S3972" i="2"/>
  <c r="V3972" i="2" s="1" a="1"/>
  <c r="R3972" i="2"/>
  <c r="Q3972" i="2"/>
  <c r="P3972" i="2"/>
  <c r="V3971" i="2" a="1"/>
  <c r="V3971" i="2" s="1"/>
  <c r="U3971" i="2"/>
  <c r="S3971" i="2"/>
  <c r="R3971" i="2"/>
  <c r="Q3971" i="2"/>
  <c r="P3971" i="2"/>
  <c r="U3970" i="2"/>
  <c r="S3970" i="2"/>
  <c r="V3970" i="2" s="1" a="1"/>
  <c r="V3970" i="2" s="1"/>
  <c r="R3970" i="2"/>
  <c r="Q3970" i="2"/>
  <c r="P3970" i="2"/>
  <c r="V3969" i="2" a="1"/>
  <c r="V3969" i="2" s="1"/>
  <c r="U3969" i="2"/>
  <c r="S3969" i="2"/>
  <c r="R3969" i="2"/>
  <c r="Q3969" i="2"/>
  <c r="P3969" i="2"/>
  <c r="V3968" i="2" a="1"/>
  <c r="V3968" i="2" s="1"/>
  <c r="U3968" i="2"/>
  <c r="S3968" i="2"/>
  <c r="R3968" i="2"/>
  <c r="Q3968" i="2"/>
  <c r="P3968" i="2"/>
  <c r="V3967" i="2"/>
  <c r="V3967" i="2" a="1"/>
  <c r="U3967" i="2"/>
  <c r="S3967" i="2"/>
  <c r="R3967" i="2"/>
  <c r="Q3967" i="2"/>
  <c r="P3967" i="2"/>
  <c r="U3966" i="2"/>
  <c r="S3966" i="2"/>
  <c r="V3966" i="2" s="1" a="1"/>
  <c r="V3966" i="2" s="1"/>
  <c r="R3966" i="2"/>
  <c r="Q3966" i="2"/>
  <c r="P3966" i="2"/>
  <c r="U3965" i="2"/>
  <c r="S3965" i="2"/>
  <c r="R3965" i="2"/>
  <c r="Q3965" i="2"/>
  <c r="P3965" i="2"/>
  <c r="U3964" i="2"/>
  <c r="S3964" i="2"/>
  <c r="R3964" i="2"/>
  <c r="Q3964" i="2"/>
  <c r="P3964" i="2"/>
  <c r="U3963" i="2"/>
  <c r="S3963" i="2"/>
  <c r="R3963" i="2"/>
  <c r="Q3963" i="2"/>
  <c r="P3963" i="2"/>
  <c r="V3962" i="2" a="1"/>
  <c r="V3962" i="2" s="1"/>
  <c r="U3962" i="2"/>
  <c r="S3962" i="2"/>
  <c r="R3962" i="2"/>
  <c r="Q3962" i="2"/>
  <c r="P3962" i="2"/>
  <c r="U3961" i="2"/>
  <c r="S3961" i="2"/>
  <c r="R3961" i="2"/>
  <c r="Q3961" i="2"/>
  <c r="P3961" i="2"/>
  <c r="V3960" i="2"/>
  <c r="V3960" i="2" a="1"/>
  <c r="U3960" i="2"/>
  <c r="S3960" i="2"/>
  <c r="R3960" i="2"/>
  <c r="Q3960" i="2"/>
  <c r="P3960" i="2"/>
  <c r="V3959" i="2" a="1"/>
  <c r="V3959" i="2" s="1"/>
  <c r="U3959" i="2"/>
  <c r="S3959" i="2"/>
  <c r="R3959" i="2"/>
  <c r="Q3959" i="2"/>
  <c r="P3959" i="2"/>
  <c r="V3958" i="2" a="1"/>
  <c r="V3958" i="2" s="1"/>
  <c r="U3958" i="2"/>
  <c r="S3958" i="2"/>
  <c r="R3958" i="2"/>
  <c r="Q3958" i="2"/>
  <c r="P3958" i="2"/>
  <c r="V3957" i="2" a="1"/>
  <c r="V3957" i="2" s="1"/>
  <c r="U3957" i="2"/>
  <c r="S3957" i="2"/>
  <c r="R3957" i="2"/>
  <c r="Q3957" i="2"/>
  <c r="P3957" i="2"/>
  <c r="V3956" i="2"/>
  <c r="U3956" i="2"/>
  <c r="S3956" i="2"/>
  <c r="V3956" i="2" s="1" a="1"/>
  <c r="R3956" i="2"/>
  <c r="Q3956" i="2"/>
  <c r="P3956" i="2"/>
  <c r="U3955" i="2"/>
  <c r="S3955" i="2"/>
  <c r="V3955" i="2" s="1" a="1"/>
  <c r="V3955" i="2" s="1"/>
  <c r="R3955" i="2"/>
  <c r="Q3955" i="2"/>
  <c r="P3955" i="2"/>
  <c r="V3954" i="2" a="1"/>
  <c r="V3954" i="2" s="1"/>
  <c r="U3954" i="2"/>
  <c r="S3954" i="2"/>
  <c r="R3954" i="2"/>
  <c r="Q3954" i="2"/>
  <c r="P3954" i="2"/>
  <c r="V3953" i="2" a="1"/>
  <c r="V3953" i="2" s="1"/>
  <c r="U3953" i="2"/>
  <c r="S3953" i="2"/>
  <c r="R3953" i="2"/>
  <c r="Q3953" i="2"/>
  <c r="P3953" i="2"/>
  <c r="U3952" i="2"/>
  <c r="S3952" i="2"/>
  <c r="R3952" i="2"/>
  <c r="Q3952" i="2"/>
  <c r="P3952" i="2"/>
  <c r="V3951" i="2" a="1"/>
  <c r="V3951" i="2" s="1"/>
  <c r="U3951" i="2"/>
  <c r="S3951" i="2"/>
  <c r="R3951" i="2"/>
  <c r="Q3951" i="2"/>
  <c r="P3951" i="2"/>
  <c r="U3950" i="2"/>
  <c r="S3950" i="2"/>
  <c r="R3950" i="2"/>
  <c r="Q3950" i="2"/>
  <c r="P3950" i="2"/>
  <c r="U3949" i="2"/>
  <c r="S3949" i="2"/>
  <c r="R3949" i="2"/>
  <c r="Q3949" i="2"/>
  <c r="P3949" i="2"/>
  <c r="V3948" i="2" a="1"/>
  <c r="V3948" i="2" s="1"/>
  <c r="U3948" i="2"/>
  <c r="S3948" i="2"/>
  <c r="R3948" i="2"/>
  <c r="Q3948" i="2"/>
  <c r="P3948" i="2"/>
  <c r="U3947" i="2"/>
  <c r="S3947" i="2"/>
  <c r="V3947" i="2" s="1" a="1"/>
  <c r="V3947" i="2" s="1"/>
  <c r="R3947" i="2"/>
  <c r="Q3947" i="2"/>
  <c r="P3947" i="2"/>
  <c r="V3946" i="2" a="1"/>
  <c r="V3946" i="2" s="1"/>
  <c r="U3946" i="2"/>
  <c r="S3946" i="2"/>
  <c r="R3946" i="2"/>
  <c r="Q3946" i="2"/>
  <c r="P3946" i="2"/>
  <c r="V3945" i="2" a="1"/>
  <c r="V3945" i="2" s="1"/>
  <c r="U3945" i="2"/>
  <c r="S3945" i="2"/>
  <c r="R3945" i="2"/>
  <c r="Q3945" i="2"/>
  <c r="P3945" i="2"/>
  <c r="U3944" i="2"/>
  <c r="S3944" i="2"/>
  <c r="R3944" i="2"/>
  <c r="Q3944" i="2"/>
  <c r="P3944" i="2"/>
  <c r="V3943" i="2" a="1"/>
  <c r="V3943" i="2" s="1"/>
  <c r="U3943" i="2"/>
  <c r="S3943" i="2"/>
  <c r="R3943" i="2"/>
  <c r="Q3943" i="2"/>
  <c r="P3943" i="2"/>
  <c r="U3942" i="2"/>
  <c r="S3942" i="2"/>
  <c r="R3942" i="2"/>
  <c r="Q3942" i="2"/>
  <c r="P3942" i="2"/>
  <c r="U3941" i="2"/>
  <c r="S3941" i="2"/>
  <c r="R3941" i="2"/>
  <c r="Q3941" i="2"/>
  <c r="P3941" i="2"/>
  <c r="V3940" i="2" a="1"/>
  <c r="V3940" i="2" s="1"/>
  <c r="U3940" i="2"/>
  <c r="S3940" i="2"/>
  <c r="R3940" i="2"/>
  <c r="Q3940" i="2"/>
  <c r="P3940" i="2"/>
  <c r="V3939" i="2"/>
  <c r="U3939" i="2"/>
  <c r="S3939" i="2"/>
  <c r="V3939" i="2" s="1" a="1"/>
  <c r="R3939" i="2"/>
  <c r="Q3939" i="2"/>
  <c r="P3939" i="2"/>
  <c r="V3938" i="2" a="1"/>
  <c r="V3938" i="2" s="1"/>
  <c r="U3938" i="2"/>
  <c r="S3938" i="2"/>
  <c r="R3938" i="2"/>
  <c r="Q3938" i="2"/>
  <c r="P3938" i="2"/>
  <c r="V3937" i="2" a="1"/>
  <c r="V3937" i="2" s="1"/>
  <c r="U3937" i="2"/>
  <c r="S3937" i="2"/>
  <c r="R3937" i="2"/>
  <c r="Q3937" i="2"/>
  <c r="P3937" i="2"/>
  <c r="U3936" i="2"/>
  <c r="S3936" i="2"/>
  <c r="R3936" i="2"/>
  <c r="Q3936" i="2"/>
  <c r="P3936" i="2"/>
  <c r="V3935" i="2" a="1"/>
  <c r="V3935" i="2" s="1"/>
  <c r="U3935" i="2"/>
  <c r="S3935" i="2"/>
  <c r="R3935" i="2"/>
  <c r="Q3935" i="2"/>
  <c r="P3935" i="2"/>
  <c r="U3934" i="2"/>
  <c r="S3934" i="2"/>
  <c r="R3934" i="2"/>
  <c r="Q3934" i="2"/>
  <c r="P3934" i="2"/>
  <c r="U3933" i="2"/>
  <c r="S3933" i="2"/>
  <c r="R3933" i="2"/>
  <c r="Q3933" i="2"/>
  <c r="P3933" i="2"/>
  <c r="V3932" i="2" a="1"/>
  <c r="V3932" i="2" s="1"/>
  <c r="U3932" i="2"/>
  <c r="S3932" i="2"/>
  <c r="R3932" i="2"/>
  <c r="Q3932" i="2"/>
  <c r="P3932" i="2"/>
  <c r="V3931" i="2"/>
  <c r="U3931" i="2"/>
  <c r="S3931" i="2"/>
  <c r="V3931" i="2" s="1" a="1"/>
  <c r="R3931" i="2"/>
  <c r="Q3931" i="2"/>
  <c r="P3931" i="2"/>
  <c r="V3930" i="2" a="1"/>
  <c r="V3930" i="2" s="1"/>
  <c r="U3930" i="2"/>
  <c r="S3930" i="2"/>
  <c r="R3930" i="2"/>
  <c r="Q3930" i="2"/>
  <c r="P3930" i="2"/>
  <c r="V3929" i="2" a="1"/>
  <c r="V3929" i="2" s="1"/>
  <c r="U3929" i="2"/>
  <c r="S3929" i="2"/>
  <c r="R3929" i="2"/>
  <c r="Q3929" i="2"/>
  <c r="P3929" i="2"/>
  <c r="U3928" i="2"/>
  <c r="S3928" i="2"/>
  <c r="R3928" i="2"/>
  <c r="Q3928" i="2"/>
  <c r="P3928" i="2"/>
  <c r="V3927" i="2" a="1"/>
  <c r="V3927" i="2" s="1"/>
  <c r="U3927" i="2"/>
  <c r="S3927" i="2"/>
  <c r="R3927" i="2"/>
  <c r="Q3927" i="2"/>
  <c r="P3927" i="2"/>
  <c r="U3926" i="2"/>
  <c r="S3926" i="2"/>
  <c r="R3926" i="2"/>
  <c r="Q3926" i="2"/>
  <c r="P3926" i="2"/>
  <c r="U3925" i="2"/>
  <c r="S3925" i="2"/>
  <c r="R3925" i="2"/>
  <c r="Q3925" i="2"/>
  <c r="P3925" i="2"/>
  <c r="V3924" i="2" a="1"/>
  <c r="V3924" i="2" s="1"/>
  <c r="U3924" i="2"/>
  <c r="S3924" i="2"/>
  <c r="R3924" i="2"/>
  <c r="Q3924" i="2"/>
  <c r="P3924" i="2"/>
  <c r="U3923" i="2"/>
  <c r="S3923" i="2"/>
  <c r="V3923" i="2" s="1" a="1"/>
  <c r="V3923" i="2" s="1"/>
  <c r="R3923" i="2"/>
  <c r="Q3923" i="2"/>
  <c r="P3923" i="2"/>
  <c r="V3922" i="2" a="1"/>
  <c r="V3922" i="2" s="1"/>
  <c r="U3922" i="2"/>
  <c r="S3922" i="2"/>
  <c r="R3922" i="2"/>
  <c r="Q3922" i="2"/>
  <c r="P3922" i="2"/>
  <c r="V3921" i="2" a="1"/>
  <c r="V3921" i="2" s="1"/>
  <c r="U3921" i="2"/>
  <c r="S3921" i="2"/>
  <c r="R3921" i="2"/>
  <c r="Q3921" i="2"/>
  <c r="P3921" i="2"/>
  <c r="U3920" i="2"/>
  <c r="S3920" i="2"/>
  <c r="R3920" i="2"/>
  <c r="Q3920" i="2"/>
  <c r="P3920" i="2"/>
  <c r="V3919" i="2" a="1"/>
  <c r="V3919" i="2" s="1"/>
  <c r="U3919" i="2"/>
  <c r="S3919" i="2"/>
  <c r="R3919" i="2"/>
  <c r="Q3919" i="2"/>
  <c r="P3919" i="2"/>
  <c r="U3918" i="2"/>
  <c r="S3918" i="2"/>
  <c r="R3918" i="2"/>
  <c r="Q3918" i="2"/>
  <c r="P3918" i="2"/>
  <c r="U3917" i="2"/>
  <c r="S3917" i="2"/>
  <c r="R3917" i="2"/>
  <c r="Q3917" i="2"/>
  <c r="P3917" i="2"/>
  <c r="V3916" i="2" a="1"/>
  <c r="V3916" i="2" s="1"/>
  <c r="U3916" i="2"/>
  <c r="S3916" i="2"/>
  <c r="R3916" i="2"/>
  <c r="Q3916" i="2"/>
  <c r="P3916" i="2"/>
  <c r="U3915" i="2"/>
  <c r="S3915" i="2"/>
  <c r="V3915" i="2" s="1" a="1"/>
  <c r="V3915" i="2" s="1"/>
  <c r="R3915" i="2"/>
  <c r="Q3915" i="2"/>
  <c r="P3915" i="2"/>
  <c r="V3914" i="2" a="1"/>
  <c r="V3914" i="2" s="1"/>
  <c r="U3914" i="2"/>
  <c r="S3914" i="2"/>
  <c r="R3914" i="2"/>
  <c r="Q3914" i="2"/>
  <c r="P3914" i="2"/>
  <c r="V3913" i="2" a="1"/>
  <c r="V3913" i="2" s="1"/>
  <c r="U3913" i="2"/>
  <c r="S3913" i="2"/>
  <c r="R3913" i="2"/>
  <c r="Q3913" i="2"/>
  <c r="P3913" i="2"/>
  <c r="U3912" i="2"/>
  <c r="S3912" i="2"/>
  <c r="R3912" i="2"/>
  <c r="Q3912" i="2"/>
  <c r="P3912" i="2"/>
  <c r="V3911" i="2" a="1"/>
  <c r="V3911" i="2" s="1"/>
  <c r="U3911" i="2"/>
  <c r="S3911" i="2"/>
  <c r="R3911" i="2"/>
  <c r="Q3911" i="2"/>
  <c r="P3911" i="2"/>
  <c r="U3910" i="2"/>
  <c r="S3910" i="2"/>
  <c r="R3910" i="2"/>
  <c r="Q3910" i="2"/>
  <c r="P3910" i="2"/>
  <c r="U3909" i="2"/>
  <c r="S3909" i="2"/>
  <c r="R3909" i="2"/>
  <c r="Q3909" i="2"/>
  <c r="P3909" i="2"/>
  <c r="V3908" i="2" a="1"/>
  <c r="V3908" i="2" s="1"/>
  <c r="U3908" i="2"/>
  <c r="S3908" i="2"/>
  <c r="R3908" i="2"/>
  <c r="Q3908" i="2"/>
  <c r="P3908" i="2"/>
  <c r="V3907" i="2"/>
  <c r="U3907" i="2"/>
  <c r="S3907" i="2"/>
  <c r="V3907" i="2" s="1" a="1"/>
  <c r="R3907" i="2"/>
  <c r="Q3907" i="2"/>
  <c r="P3907" i="2"/>
  <c r="V3906" i="2" a="1"/>
  <c r="V3906" i="2" s="1"/>
  <c r="U3906" i="2"/>
  <c r="S3906" i="2"/>
  <c r="R3906" i="2"/>
  <c r="Q3906" i="2"/>
  <c r="P3906" i="2"/>
  <c r="V3905" i="2" a="1"/>
  <c r="V3905" i="2" s="1"/>
  <c r="U3905" i="2"/>
  <c r="S3905" i="2"/>
  <c r="R3905" i="2"/>
  <c r="Q3905" i="2"/>
  <c r="P3905" i="2"/>
  <c r="U3904" i="2"/>
  <c r="S3904" i="2"/>
  <c r="R3904" i="2"/>
  <c r="Q3904" i="2"/>
  <c r="P3904" i="2"/>
  <c r="V3903" i="2" a="1"/>
  <c r="V3903" i="2" s="1"/>
  <c r="U3903" i="2"/>
  <c r="S3903" i="2"/>
  <c r="R3903" i="2"/>
  <c r="Q3903" i="2"/>
  <c r="P3903" i="2"/>
  <c r="U3902" i="2"/>
  <c r="S3902" i="2"/>
  <c r="R3902" i="2"/>
  <c r="Q3902" i="2"/>
  <c r="P3902" i="2"/>
  <c r="U3901" i="2"/>
  <c r="S3901" i="2"/>
  <c r="R3901" i="2"/>
  <c r="Q3901" i="2"/>
  <c r="P3901" i="2"/>
  <c r="V3900" i="2" a="1"/>
  <c r="V3900" i="2" s="1"/>
  <c r="U3900" i="2"/>
  <c r="S3900" i="2"/>
  <c r="R3900" i="2"/>
  <c r="Q3900" i="2"/>
  <c r="P3900" i="2"/>
  <c r="U3899" i="2"/>
  <c r="S3899" i="2"/>
  <c r="R3899" i="2"/>
  <c r="Q3899" i="2"/>
  <c r="P3899" i="2"/>
  <c r="V3898" i="2" a="1"/>
  <c r="V3898" i="2" s="1"/>
  <c r="U3898" i="2"/>
  <c r="S3898" i="2"/>
  <c r="R3898" i="2"/>
  <c r="Q3898" i="2"/>
  <c r="P3898" i="2"/>
  <c r="V3897" i="2" a="1"/>
  <c r="V3897" i="2" s="1"/>
  <c r="U3897" i="2"/>
  <c r="S3897" i="2"/>
  <c r="R3897" i="2"/>
  <c r="Q3897" i="2"/>
  <c r="P3897" i="2"/>
  <c r="U3896" i="2"/>
  <c r="S3896" i="2"/>
  <c r="R3896" i="2"/>
  <c r="Q3896" i="2"/>
  <c r="P3896" i="2"/>
  <c r="V3895" i="2" a="1"/>
  <c r="V3895" i="2" s="1"/>
  <c r="U3895" i="2"/>
  <c r="S3895" i="2"/>
  <c r="R3895" i="2"/>
  <c r="Q3895" i="2"/>
  <c r="P3895" i="2"/>
  <c r="U3894" i="2"/>
  <c r="S3894" i="2"/>
  <c r="R3894" i="2"/>
  <c r="Q3894" i="2"/>
  <c r="P3894" i="2"/>
  <c r="U3893" i="2"/>
  <c r="S3893" i="2"/>
  <c r="R3893" i="2"/>
  <c r="Q3893" i="2"/>
  <c r="P3893" i="2"/>
  <c r="V3892" i="2" a="1"/>
  <c r="V3892" i="2" s="1"/>
  <c r="U3892" i="2"/>
  <c r="S3892" i="2"/>
  <c r="R3892" i="2"/>
  <c r="Q3892" i="2"/>
  <c r="P3892" i="2"/>
  <c r="U3891" i="2"/>
  <c r="S3891" i="2"/>
  <c r="R3891" i="2"/>
  <c r="Q3891" i="2"/>
  <c r="P3891" i="2"/>
  <c r="V3890" i="2" a="1"/>
  <c r="V3890" i="2" s="1"/>
  <c r="U3890" i="2"/>
  <c r="S3890" i="2"/>
  <c r="R3890" i="2"/>
  <c r="Q3890" i="2"/>
  <c r="P3890" i="2"/>
  <c r="V3889" i="2" a="1"/>
  <c r="V3889" i="2" s="1"/>
  <c r="U3889" i="2"/>
  <c r="S3889" i="2"/>
  <c r="R3889" i="2"/>
  <c r="Q3889" i="2"/>
  <c r="P3889" i="2"/>
  <c r="U3888" i="2"/>
  <c r="S3888" i="2"/>
  <c r="R3888" i="2"/>
  <c r="Q3888" i="2"/>
  <c r="P3888" i="2"/>
  <c r="V3887" i="2" a="1"/>
  <c r="V3887" i="2" s="1"/>
  <c r="U3887" i="2"/>
  <c r="S3887" i="2"/>
  <c r="R3887" i="2"/>
  <c r="Q3887" i="2"/>
  <c r="P3887" i="2"/>
  <c r="U3886" i="2"/>
  <c r="S3886" i="2"/>
  <c r="R3886" i="2"/>
  <c r="Q3886" i="2"/>
  <c r="P3886" i="2"/>
  <c r="U3885" i="2"/>
  <c r="S3885" i="2"/>
  <c r="R3885" i="2"/>
  <c r="Q3885" i="2"/>
  <c r="P3885" i="2"/>
  <c r="V3884" i="2" a="1"/>
  <c r="V3884" i="2" s="1"/>
  <c r="U3884" i="2"/>
  <c r="S3884" i="2"/>
  <c r="R3884" i="2"/>
  <c r="Q3884" i="2"/>
  <c r="P3884" i="2"/>
  <c r="U3883" i="2"/>
  <c r="S3883" i="2"/>
  <c r="R3883" i="2"/>
  <c r="Q3883" i="2"/>
  <c r="P3883" i="2"/>
  <c r="V3882" i="2" a="1"/>
  <c r="V3882" i="2" s="1"/>
  <c r="U3882" i="2"/>
  <c r="S3882" i="2"/>
  <c r="R3882" i="2"/>
  <c r="Q3882" i="2"/>
  <c r="P3882" i="2"/>
  <c r="V3881" i="2" a="1"/>
  <c r="V3881" i="2" s="1"/>
  <c r="U3881" i="2"/>
  <c r="S3881" i="2"/>
  <c r="R3881" i="2"/>
  <c r="Q3881" i="2"/>
  <c r="P3881" i="2"/>
  <c r="U3880" i="2"/>
  <c r="S3880" i="2"/>
  <c r="R3880" i="2"/>
  <c r="Q3880" i="2"/>
  <c r="P3880" i="2"/>
  <c r="V3879" i="2" a="1"/>
  <c r="V3879" i="2" s="1"/>
  <c r="U3879" i="2"/>
  <c r="S3879" i="2"/>
  <c r="R3879" i="2"/>
  <c r="Q3879" i="2"/>
  <c r="P3879" i="2"/>
  <c r="U3878" i="2"/>
  <c r="S3878" i="2"/>
  <c r="R3878" i="2"/>
  <c r="Q3878" i="2"/>
  <c r="P3878" i="2"/>
  <c r="U3877" i="2"/>
  <c r="S3877" i="2"/>
  <c r="V3877" i="2" s="1" a="1"/>
  <c r="V3877" i="2" s="1"/>
  <c r="R3877" i="2"/>
  <c r="Q3877" i="2"/>
  <c r="P3877" i="2"/>
  <c r="V3876" i="2" a="1"/>
  <c r="V3876" i="2" s="1"/>
  <c r="U3876" i="2"/>
  <c r="S3876" i="2"/>
  <c r="R3876" i="2"/>
  <c r="Q3876" i="2"/>
  <c r="P3876" i="2"/>
  <c r="U3875" i="2"/>
  <c r="S3875" i="2"/>
  <c r="R3875" i="2"/>
  <c r="Q3875" i="2"/>
  <c r="P3875" i="2"/>
  <c r="V3874" i="2" a="1"/>
  <c r="V3874" i="2" s="1"/>
  <c r="U3874" i="2"/>
  <c r="S3874" i="2"/>
  <c r="R3874" i="2"/>
  <c r="Q3874" i="2"/>
  <c r="P3874" i="2"/>
  <c r="V3873" i="2" a="1"/>
  <c r="V3873" i="2" s="1"/>
  <c r="U3873" i="2"/>
  <c r="S3873" i="2"/>
  <c r="R3873" i="2"/>
  <c r="Q3873" i="2"/>
  <c r="P3873" i="2"/>
  <c r="U3872" i="2"/>
  <c r="S3872" i="2"/>
  <c r="R3872" i="2"/>
  <c r="Q3872" i="2"/>
  <c r="P3872" i="2"/>
  <c r="V3871" i="2" a="1"/>
  <c r="V3871" i="2" s="1"/>
  <c r="U3871" i="2"/>
  <c r="S3871" i="2"/>
  <c r="R3871" i="2"/>
  <c r="Q3871" i="2"/>
  <c r="P3871" i="2"/>
  <c r="V3870" i="2" a="1"/>
  <c r="V3870" i="2" s="1"/>
  <c r="U3870" i="2"/>
  <c r="S3870" i="2"/>
  <c r="R3870" i="2"/>
  <c r="Q3870" i="2"/>
  <c r="P3870" i="2"/>
  <c r="U3869" i="2"/>
  <c r="S3869" i="2"/>
  <c r="V3869" i="2" s="1" a="1"/>
  <c r="V3869" i="2" s="1"/>
  <c r="R3869" i="2"/>
  <c r="Q3869" i="2"/>
  <c r="P3869" i="2"/>
  <c r="V3868" i="2" a="1"/>
  <c r="V3868" i="2" s="1"/>
  <c r="U3868" i="2"/>
  <c r="S3868" i="2"/>
  <c r="R3868" i="2"/>
  <c r="Q3868" i="2"/>
  <c r="P3868" i="2"/>
  <c r="U3867" i="2"/>
  <c r="S3867" i="2"/>
  <c r="R3867" i="2"/>
  <c r="Q3867" i="2"/>
  <c r="P3867" i="2"/>
  <c r="V3866" i="2" a="1"/>
  <c r="V3866" i="2" s="1"/>
  <c r="U3866" i="2"/>
  <c r="S3866" i="2"/>
  <c r="R3866" i="2"/>
  <c r="Q3866" i="2"/>
  <c r="P3866" i="2"/>
  <c r="V3865" i="2" a="1"/>
  <c r="V3865" i="2" s="1"/>
  <c r="U3865" i="2"/>
  <c r="S3865" i="2"/>
  <c r="R3865" i="2"/>
  <c r="Q3865" i="2"/>
  <c r="P3865" i="2"/>
  <c r="U3864" i="2"/>
  <c r="S3864" i="2"/>
  <c r="R3864" i="2"/>
  <c r="Q3864" i="2"/>
  <c r="P3864" i="2"/>
  <c r="V3863" i="2" a="1"/>
  <c r="V3863" i="2" s="1"/>
  <c r="U3863" i="2"/>
  <c r="S3863" i="2"/>
  <c r="R3863" i="2"/>
  <c r="Q3863" i="2"/>
  <c r="P3863" i="2"/>
  <c r="V3862" i="2" a="1"/>
  <c r="V3862" i="2" s="1"/>
  <c r="U3862" i="2"/>
  <c r="S3862" i="2"/>
  <c r="R3862" i="2"/>
  <c r="Q3862" i="2"/>
  <c r="P3862" i="2"/>
  <c r="U3861" i="2"/>
  <c r="S3861" i="2"/>
  <c r="V3861" i="2" s="1" a="1"/>
  <c r="V3861" i="2" s="1"/>
  <c r="R3861" i="2"/>
  <c r="Q3861" i="2"/>
  <c r="P3861" i="2"/>
  <c r="V3860" i="2" a="1"/>
  <c r="V3860" i="2" s="1"/>
  <c r="U3860" i="2"/>
  <c r="S3860" i="2"/>
  <c r="R3860" i="2"/>
  <c r="Q3860" i="2"/>
  <c r="P3860" i="2"/>
  <c r="U3859" i="2"/>
  <c r="S3859" i="2"/>
  <c r="R3859" i="2"/>
  <c r="Q3859" i="2"/>
  <c r="P3859" i="2"/>
  <c r="V3858" i="2" a="1"/>
  <c r="V3858" i="2" s="1"/>
  <c r="U3858" i="2"/>
  <c r="S3858" i="2"/>
  <c r="R3858" i="2"/>
  <c r="Q3858" i="2"/>
  <c r="P3858" i="2"/>
  <c r="V3857" i="2" a="1"/>
  <c r="V3857" i="2" s="1"/>
  <c r="U3857" i="2"/>
  <c r="S3857" i="2"/>
  <c r="R3857" i="2"/>
  <c r="Q3857" i="2"/>
  <c r="P3857" i="2"/>
  <c r="U3856" i="2"/>
  <c r="S3856" i="2"/>
  <c r="R3856" i="2"/>
  <c r="Q3856" i="2"/>
  <c r="P3856" i="2"/>
  <c r="V3855" i="2" a="1"/>
  <c r="V3855" i="2" s="1"/>
  <c r="U3855" i="2"/>
  <c r="S3855" i="2"/>
  <c r="R3855" i="2"/>
  <c r="Q3855" i="2"/>
  <c r="P3855" i="2"/>
  <c r="V3854" i="2" a="1"/>
  <c r="V3854" i="2" s="1"/>
  <c r="U3854" i="2"/>
  <c r="S3854" i="2"/>
  <c r="R3854" i="2"/>
  <c r="Q3854" i="2"/>
  <c r="P3854" i="2"/>
  <c r="U3853" i="2"/>
  <c r="S3853" i="2"/>
  <c r="V3853" i="2" s="1" a="1"/>
  <c r="V3853" i="2" s="1"/>
  <c r="R3853" i="2"/>
  <c r="Q3853" i="2"/>
  <c r="P3853" i="2"/>
  <c r="V3852" i="2" a="1"/>
  <c r="V3852" i="2" s="1"/>
  <c r="U3852" i="2"/>
  <c r="S3852" i="2"/>
  <c r="R3852" i="2"/>
  <c r="Q3852" i="2"/>
  <c r="P3852" i="2"/>
  <c r="U3851" i="2"/>
  <c r="S3851" i="2"/>
  <c r="R3851" i="2"/>
  <c r="Q3851" i="2"/>
  <c r="P3851" i="2"/>
  <c r="V3850" i="2" a="1"/>
  <c r="V3850" i="2" s="1"/>
  <c r="U3850" i="2"/>
  <c r="S3850" i="2"/>
  <c r="R3850" i="2"/>
  <c r="Q3850" i="2"/>
  <c r="P3850" i="2"/>
  <c r="V3849" i="2" a="1"/>
  <c r="V3849" i="2" s="1"/>
  <c r="U3849" i="2"/>
  <c r="S3849" i="2"/>
  <c r="R3849" i="2"/>
  <c r="Q3849" i="2"/>
  <c r="P3849" i="2"/>
  <c r="U3848" i="2"/>
  <c r="S3848" i="2"/>
  <c r="R3848" i="2"/>
  <c r="Q3848" i="2"/>
  <c r="P3848" i="2"/>
  <c r="V3847" i="2" a="1"/>
  <c r="V3847" i="2" s="1"/>
  <c r="U3847" i="2"/>
  <c r="S3847" i="2"/>
  <c r="R3847" i="2"/>
  <c r="Q3847" i="2"/>
  <c r="P3847" i="2"/>
  <c r="V3846" i="2" a="1"/>
  <c r="V3846" i="2" s="1"/>
  <c r="U3846" i="2"/>
  <c r="S3846" i="2"/>
  <c r="R3846" i="2"/>
  <c r="Q3846" i="2"/>
  <c r="P3846" i="2"/>
  <c r="U3845" i="2"/>
  <c r="S3845" i="2"/>
  <c r="V3845" i="2" s="1" a="1"/>
  <c r="V3845" i="2" s="1"/>
  <c r="R3845" i="2"/>
  <c r="Q3845" i="2"/>
  <c r="P3845" i="2"/>
  <c r="V3844" i="2" a="1"/>
  <c r="V3844" i="2" s="1"/>
  <c r="U3844" i="2"/>
  <c r="S3844" i="2"/>
  <c r="R3844" i="2"/>
  <c r="Q3844" i="2"/>
  <c r="P3844" i="2"/>
  <c r="U3843" i="2"/>
  <c r="S3843" i="2"/>
  <c r="R3843" i="2"/>
  <c r="Q3843" i="2"/>
  <c r="P3843" i="2"/>
  <c r="V3842" i="2" a="1"/>
  <c r="V3842" i="2" s="1"/>
  <c r="U3842" i="2"/>
  <c r="S3842" i="2"/>
  <c r="R3842" i="2"/>
  <c r="Q3842" i="2"/>
  <c r="P3842" i="2"/>
  <c r="V3841" i="2" a="1"/>
  <c r="V3841" i="2" s="1"/>
  <c r="U3841" i="2"/>
  <c r="S3841" i="2"/>
  <c r="R3841" i="2"/>
  <c r="Q3841" i="2"/>
  <c r="P3841" i="2"/>
  <c r="U3840" i="2"/>
  <c r="S3840" i="2"/>
  <c r="R3840" i="2"/>
  <c r="Q3840" i="2"/>
  <c r="P3840" i="2"/>
  <c r="V3839" i="2" a="1"/>
  <c r="V3839" i="2" s="1"/>
  <c r="U3839" i="2"/>
  <c r="S3839" i="2"/>
  <c r="R3839" i="2"/>
  <c r="Q3839" i="2"/>
  <c r="P3839" i="2"/>
  <c r="V3838" i="2" a="1"/>
  <c r="V3838" i="2" s="1"/>
  <c r="U3838" i="2"/>
  <c r="S3838" i="2"/>
  <c r="R3838" i="2"/>
  <c r="Q3838" i="2"/>
  <c r="P3838" i="2"/>
  <c r="U3837" i="2"/>
  <c r="S3837" i="2"/>
  <c r="V3837" i="2" s="1" a="1"/>
  <c r="V3837" i="2" s="1"/>
  <c r="R3837" i="2"/>
  <c r="Q3837" i="2"/>
  <c r="P3837" i="2"/>
  <c r="V3836" i="2" a="1"/>
  <c r="V3836" i="2" s="1"/>
  <c r="U3836" i="2"/>
  <c r="S3836" i="2"/>
  <c r="R3836" i="2"/>
  <c r="Q3836" i="2"/>
  <c r="P3836" i="2"/>
  <c r="U3835" i="2"/>
  <c r="S3835" i="2"/>
  <c r="R3835" i="2"/>
  <c r="Q3835" i="2"/>
  <c r="P3835" i="2"/>
  <c r="V3834" i="2" a="1"/>
  <c r="V3834" i="2" s="1"/>
  <c r="U3834" i="2"/>
  <c r="S3834" i="2"/>
  <c r="R3834" i="2"/>
  <c r="Q3834" i="2"/>
  <c r="P3834" i="2"/>
  <c r="V3833" i="2" a="1"/>
  <c r="V3833" i="2" s="1"/>
  <c r="U3833" i="2"/>
  <c r="S3833" i="2"/>
  <c r="R3833" i="2"/>
  <c r="Q3833" i="2"/>
  <c r="P3833" i="2"/>
  <c r="U3832" i="2"/>
  <c r="S3832" i="2"/>
  <c r="R3832" i="2"/>
  <c r="Q3832" i="2"/>
  <c r="P3832" i="2"/>
  <c r="V3831" i="2" a="1"/>
  <c r="V3831" i="2" s="1"/>
  <c r="U3831" i="2"/>
  <c r="S3831" i="2"/>
  <c r="R3831" i="2"/>
  <c r="Q3831" i="2"/>
  <c r="P3831" i="2"/>
  <c r="V3830" i="2" a="1"/>
  <c r="V3830" i="2" s="1"/>
  <c r="U3830" i="2"/>
  <c r="S3830" i="2"/>
  <c r="R3830" i="2"/>
  <c r="Q3830" i="2"/>
  <c r="P3830" i="2"/>
  <c r="U3829" i="2"/>
  <c r="S3829" i="2"/>
  <c r="V3829" i="2" s="1" a="1"/>
  <c r="V3829" i="2" s="1"/>
  <c r="R3829" i="2"/>
  <c r="Q3829" i="2"/>
  <c r="P3829" i="2"/>
  <c r="V3828" i="2" a="1"/>
  <c r="V3828" i="2" s="1"/>
  <c r="U3828" i="2"/>
  <c r="S3828" i="2"/>
  <c r="R3828" i="2"/>
  <c r="Q3828" i="2"/>
  <c r="P3828" i="2"/>
  <c r="U3827" i="2"/>
  <c r="S3827" i="2"/>
  <c r="R3827" i="2"/>
  <c r="Q3827" i="2"/>
  <c r="P3827" i="2"/>
  <c r="V3826" i="2" a="1"/>
  <c r="V3826" i="2" s="1"/>
  <c r="U3826" i="2"/>
  <c r="S3826" i="2"/>
  <c r="R3826" i="2"/>
  <c r="Q3826" i="2"/>
  <c r="P3826" i="2"/>
  <c r="V3825" i="2" a="1"/>
  <c r="V3825" i="2" s="1"/>
  <c r="U3825" i="2"/>
  <c r="S3825" i="2"/>
  <c r="R3825" i="2"/>
  <c r="Q3825" i="2"/>
  <c r="P3825" i="2"/>
  <c r="U3824" i="2"/>
  <c r="S3824" i="2"/>
  <c r="R3824" i="2"/>
  <c r="Q3824" i="2"/>
  <c r="P3824" i="2"/>
  <c r="V3823" i="2" a="1"/>
  <c r="V3823" i="2" s="1"/>
  <c r="U3823" i="2"/>
  <c r="S3823" i="2"/>
  <c r="R3823" i="2"/>
  <c r="Q3823" i="2"/>
  <c r="P3823" i="2"/>
  <c r="V3822" i="2" a="1"/>
  <c r="V3822" i="2" s="1"/>
  <c r="U3822" i="2"/>
  <c r="S3822" i="2"/>
  <c r="R3822" i="2"/>
  <c r="Q3822" i="2"/>
  <c r="P3822" i="2"/>
  <c r="U3821" i="2"/>
  <c r="S3821" i="2"/>
  <c r="V3821" i="2" s="1" a="1"/>
  <c r="V3821" i="2" s="1"/>
  <c r="R3821" i="2"/>
  <c r="Q3821" i="2"/>
  <c r="P3821" i="2"/>
  <c r="V3820" i="2" a="1"/>
  <c r="V3820" i="2" s="1"/>
  <c r="U3820" i="2"/>
  <c r="S3820" i="2"/>
  <c r="R3820" i="2"/>
  <c r="Q3820" i="2"/>
  <c r="P3820" i="2"/>
  <c r="V3819" i="2" a="1"/>
  <c r="V3819" i="2" s="1"/>
  <c r="U3819" i="2"/>
  <c r="S3819" i="2"/>
  <c r="R3819" i="2"/>
  <c r="Q3819" i="2"/>
  <c r="P3819" i="2"/>
  <c r="V3818" i="2" a="1"/>
  <c r="V3818" i="2" s="1"/>
  <c r="U3818" i="2"/>
  <c r="S3818" i="2"/>
  <c r="R3818" i="2"/>
  <c r="Q3818" i="2"/>
  <c r="P3818" i="2"/>
  <c r="V3817" i="2" a="1"/>
  <c r="V3817" i="2" s="1"/>
  <c r="U3817" i="2"/>
  <c r="S3817" i="2"/>
  <c r="R3817" i="2"/>
  <c r="Q3817" i="2"/>
  <c r="P3817" i="2"/>
  <c r="U3816" i="2"/>
  <c r="S3816" i="2"/>
  <c r="R3816" i="2"/>
  <c r="Q3816" i="2"/>
  <c r="P3816" i="2"/>
  <c r="U3815" i="2"/>
  <c r="S3815" i="2"/>
  <c r="V3815" i="2" s="1" a="1"/>
  <c r="V3815" i="2" s="1"/>
  <c r="R3815" i="2"/>
  <c r="Q3815" i="2"/>
  <c r="P3815" i="2"/>
  <c r="U3814" i="2"/>
  <c r="S3814" i="2"/>
  <c r="V3814" i="2" s="1" a="1"/>
  <c r="V3814" i="2" s="1"/>
  <c r="R3814" i="2"/>
  <c r="Q3814" i="2"/>
  <c r="P3814" i="2"/>
  <c r="U3813" i="2"/>
  <c r="S3813" i="2"/>
  <c r="V3813" i="2" s="1" a="1"/>
  <c r="V3813" i="2" s="1"/>
  <c r="R3813" i="2"/>
  <c r="Q3813" i="2"/>
  <c r="P3813" i="2"/>
  <c r="V3812" i="2" a="1"/>
  <c r="V3812" i="2" s="1"/>
  <c r="U3812" i="2"/>
  <c r="S3812" i="2"/>
  <c r="R3812" i="2"/>
  <c r="Q3812" i="2"/>
  <c r="P3812" i="2"/>
  <c r="U3811" i="2"/>
  <c r="S3811" i="2"/>
  <c r="R3811" i="2"/>
  <c r="Q3811" i="2"/>
  <c r="P3811" i="2"/>
  <c r="V3810" i="2" a="1"/>
  <c r="V3810" i="2" s="1"/>
  <c r="U3810" i="2"/>
  <c r="S3810" i="2"/>
  <c r="R3810" i="2"/>
  <c r="Q3810" i="2"/>
  <c r="P3810" i="2"/>
  <c r="V3809" i="2"/>
  <c r="V3809" i="2" a="1"/>
  <c r="U3809" i="2"/>
  <c r="S3809" i="2"/>
  <c r="R3809" i="2"/>
  <c r="Q3809" i="2"/>
  <c r="P3809" i="2"/>
  <c r="V3808" i="2"/>
  <c r="V3808" i="2" a="1"/>
  <c r="U3808" i="2"/>
  <c r="S3808" i="2"/>
  <c r="R3808" i="2"/>
  <c r="Q3808" i="2"/>
  <c r="P3808" i="2"/>
  <c r="V3807" i="2" a="1"/>
  <c r="V3807" i="2" s="1"/>
  <c r="U3807" i="2"/>
  <c r="S3807" i="2"/>
  <c r="R3807" i="2"/>
  <c r="Q3807" i="2"/>
  <c r="P3807" i="2"/>
  <c r="U3806" i="2"/>
  <c r="S3806" i="2"/>
  <c r="R3806" i="2"/>
  <c r="Q3806" i="2"/>
  <c r="P3806" i="2"/>
  <c r="U3805" i="2"/>
  <c r="S3805" i="2"/>
  <c r="V3805" i="2" s="1" a="1"/>
  <c r="V3805" i="2" s="1"/>
  <c r="R3805" i="2"/>
  <c r="Q3805" i="2"/>
  <c r="P3805" i="2"/>
  <c r="U3804" i="2"/>
  <c r="S3804" i="2"/>
  <c r="V3804" i="2" s="1" a="1"/>
  <c r="V3804" i="2" s="1"/>
  <c r="R3804" i="2"/>
  <c r="Q3804" i="2"/>
  <c r="P3804" i="2"/>
  <c r="U3803" i="2"/>
  <c r="S3803" i="2"/>
  <c r="R3803" i="2"/>
  <c r="Q3803" i="2"/>
  <c r="P3803" i="2"/>
  <c r="V3802" i="2" a="1"/>
  <c r="V3802" i="2" s="1"/>
  <c r="U3802" i="2"/>
  <c r="S3802" i="2"/>
  <c r="R3802" i="2"/>
  <c r="Q3802" i="2"/>
  <c r="P3802" i="2"/>
  <c r="V3801" i="2"/>
  <c r="V3801" i="2" a="1"/>
  <c r="U3801" i="2"/>
  <c r="S3801" i="2"/>
  <c r="R3801" i="2"/>
  <c r="Q3801" i="2"/>
  <c r="P3801" i="2"/>
  <c r="V3800" i="2"/>
  <c r="V3800" i="2" a="1"/>
  <c r="U3800" i="2"/>
  <c r="S3800" i="2"/>
  <c r="R3800" i="2"/>
  <c r="Q3800" i="2"/>
  <c r="P3800" i="2"/>
  <c r="V3799" i="2" a="1"/>
  <c r="V3799" i="2" s="1"/>
  <c r="U3799" i="2"/>
  <c r="S3799" i="2"/>
  <c r="R3799" i="2"/>
  <c r="Q3799" i="2"/>
  <c r="P3799" i="2"/>
  <c r="U3798" i="2"/>
  <c r="S3798" i="2"/>
  <c r="R3798" i="2"/>
  <c r="Q3798" i="2"/>
  <c r="P3798" i="2"/>
  <c r="U3797" i="2"/>
  <c r="S3797" i="2"/>
  <c r="V3797" i="2" s="1" a="1"/>
  <c r="V3797" i="2" s="1"/>
  <c r="R3797" i="2"/>
  <c r="Q3797" i="2"/>
  <c r="P3797" i="2"/>
  <c r="U3796" i="2"/>
  <c r="S3796" i="2"/>
  <c r="V3796" i="2" s="1" a="1"/>
  <c r="V3796" i="2" s="1"/>
  <c r="R3796" i="2"/>
  <c r="Q3796" i="2"/>
  <c r="P3796" i="2"/>
  <c r="U3795" i="2"/>
  <c r="S3795" i="2"/>
  <c r="R3795" i="2"/>
  <c r="Q3795" i="2"/>
  <c r="P3795" i="2"/>
  <c r="V3794" i="2" a="1"/>
  <c r="V3794" i="2" s="1"/>
  <c r="U3794" i="2"/>
  <c r="S3794" i="2"/>
  <c r="R3794" i="2"/>
  <c r="Q3794" i="2"/>
  <c r="P3794" i="2"/>
  <c r="V3793" i="2"/>
  <c r="V3793" i="2" a="1"/>
  <c r="U3793" i="2"/>
  <c r="S3793" i="2"/>
  <c r="R3793" i="2"/>
  <c r="Q3793" i="2"/>
  <c r="P3793" i="2"/>
  <c r="V3792" i="2"/>
  <c r="V3792" i="2" a="1"/>
  <c r="U3792" i="2"/>
  <c r="S3792" i="2"/>
  <c r="R3792" i="2"/>
  <c r="Q3792" i="2"/>
  <c r="P3792" i="2"/>
  <c r="V3791" i="2" a="1"/>
  <c r="V3791" i="2" s="1"/>
  <c r="U3791" i="2"/>
  <c r="S3791" i="2"/>
  <c r="R3791" i="2"/>
  <c r="Q3791" i="2"/>
  <c r="P3791" i="2"/>
  <c r="U3790" i="2"/>
  <c r="S3790" i="2"/>
  <c r="R3790" i="2"/>
  <c r="Q3790" i="2"/>
  <c r="P3790" i="2"/>
  <c r="U3789" i="2"/>
  <c r="S3789" i="2"/>
  <c r="V3789" i="2" s="1" a="1"/>
  <c r="V3789" i="2" s="1"/>
  <c r="R3789" i="2"/>
  <c r="Q3789" i="2"/>
  <c r="P3789" i="2"/>
  <c r="U3788" i="2"/>
  <c r="S3788" i="2"/>
  <c r="V3788" i="2" s="1" a="1"/>
  <c r="V3788" i="2" s="1"/>
  <c r="R3788" i="2"/>
  <c r="Q3788" i="2"/>
  <c r="P3788" i="2"/>
  <c r="U3787" i="2"/>
  <c r="S3787" i="2"/>
  <c r="R3787" i="2"/>
  <c r="Q3787" i="2"/>
  <c r="P3787" i="2"/>
  <c r="V3786" i="2" a="1"/>
  <c r="V3786" i="2" s="1"/>
  <c r="U3786" i="2"/>
  <c r="S3786" i="2"/>
  <c r="R3786" i="2"/>
  <c r="Q3786" i="2"/>
  <c r="P3786" i="2"/>
  <c r="V3785" i="2"/>
  <c r="V3785" i="2" a="1"/>
  <c r="U3785" i="2"/>
  <c r="S3785" i="2"/>
  <c r="R3785" i="2"/>
  <c r="Q3785" i="2"/>
  <c r="P3785" i="2"/>
  <c r="V3784" i="2"/>
  <c r="V3784" i="2" a="1"/>
  <c r="U3784" i="2"/>
  <c r="S3784" i="2"/>
  <c r="R3784" i="2"/>
  <c r="Q3784" i="2"/>
  <c r="P3784" i="2"/>
  <c r="V3783" i="2" a="1"/>
  <c r="V3783" i="2" s="1"/>
  <c r="U3783" i="2"/>
  <c r="S3783" i="2"/>
  <c r="R3783" i="2"/>
  <c r="Q3783" i="2"/>
  <c r="P3783" i="2"/>
  <c r="U3782" i="2"/>
  <c r="S3782" i="2"/>
  <c r="R3782" i="2"/>
  <c r="Q3782" i="2"/>
  <c r="P3782" i="2"/>
  <c r="U3781" i="2"/>
  <c r="S3781" i="2"/>
  <c r="V3781" i="2" s="1" a="1"/>
  <c r="V3781" i="2" s="1"/>
  <c r="R3781" i="2"/>
  <c r="Q3781" i="2"/>
  <c r="P3781" i="2"/>
  <c r="U3780" i="2"/>
  <c r="S3780" i="2"/>
  <c r="V3780" i="2" s="1" a="1"/>
  <c r="V3780" i="2" s="1"/>
  <c r="R3780" i="2"/>
  <c r="Q3780" i="2"/>
  <c r="P3780" i="2"/>
  <c r="U3779" i="2"/>
  <c r="S3779" i="2"/>
  <c r="R3779" i="2"/>
  <c r="Q3779" i="2"/>
  <c r="P3779" i="2"/>
  <c r="V3778" i="2" a="1"/>
  <c r="V3778" i="2" s="1"/>
  <c r="U3778" i="2"/>
  <c r="S3778" i="2"/>
  <c r="R3778" i="2"/>
  <c r="Q3778" i="2"/>
  <c r="P3778" i="2"/>
  <c r="V3777" i="2" a="1"/>
  <c r="V3777" i="2" s="1"/>
  <c r="U3777" i="2"/>
  <c r="S3777" i="2"/>
  <c r="R3777" i="2"/>
  <c r="Q3777" i="2"/>
  <c r="P3777" i="2"/>
  <c r="V3776" i="2"/>
  <c r="V3776" i="2" a="1"/>
  <c r="U3776" i="2"/>
  <c r="S3776" i="2"/>
  <c r="R3776" i="2"/>
  <c r="Q3776" i="2"/>
  <c r="P3776" i="2"/>
  <c r="V3775" i="2" a="1"/>
  <c r="V3775" i="2" s="1"/>
  <c r="U3775" i="2"/>
  <c r="S3775" i="2"/>
  <c r="R3775" i="2"/>
  <c r="Q3775" i="2"/>
  <c r="P3775" i="2"/>
  <c r="U3774" i="2"/>
  <c r="S3774" i="2"/>
  <c r="R3774" i="2"/>
  <c r="Q3774" i="2"/>
  <c r="P3774" i="2"/>
  <c r="U3773" i="2"/>
  <c r="S3773" i="2"/>
  <c r="V3773" i="2" s="1" a="1"/>
  <c r="V3773" i="2" s="1"/>
  <c r="R3773" i="2"/>
  <c r="Q3773" i="2"/>
  <c r="P3773" i="2"/>
  <c r="U3772" i="2"/>
  <c r="S3772" i="2"/>
  <c r="V3772" i="2" s="1" a="1"/>
  <c r="V3772" i="2" s="1"/>
  <c r="R3772" i="2"/>
  <c r="Q3772" i="2"/>
  <c r="P3772" i="2"/>
  <c r="U3771" i="2"/>
  <c r="S3771" i="2"/>
  <c r="R3771" i="2"/>
  <c r="Q3771" i="2"/>
  <c r="P3771" i="2"/>
  <c r="V3770" i="2" a="1"/>
  <c r="V3770" i="2" s="1"/>
  <c r="U3770" i="2"/>
  <c r="S3770" i="2"/>
  <c r="R3770" i="2"/>
  <c r="Q3770" i="2"/>
  <c r="P3770" i="2"/>
  <c r="V3769" i="2" a="1"/>
  <c r="V3769" i="2" s="1"/>
  <c r="U3769" i="2"/>
  <c r="S3769" i="2"/>
  <c r="R3769" i="2"/>
  <c r="Q3769" i="2"/>
  <c r="P3769" i="2"/>
  <c r="V3768" i="2"/>
  <c r="V3768" i="2" a="1"/>
  <c r="U3768" i="2"/>
  <c r="S3768" i="2"/>
  <c r="R3768" i="2"/>
  <c r="Q3768" i="2"/>
  <c r="P3768" i="2"/>
  <c r="V3767" i="2" a="1"/>
  <c r="V3767" i="2" s="1"/>
  <c r="U3767" i="2"/>
  <c r="S3767" i="2"/>
  <c r="R3767" i="2"/>
  <c r="Q3767" i="2"/>
  <c r="P3767" i="2"/>
  <c r="V3766" i="2" a="1"/>
  <c r="V3766" i="2" s="1"/>
  <c r="U3766" i="2"/>
  <c r="S3766" i="2"/>
  <c r="R3766" i="2"/>
  <c r="Q3766" i="2"/>
  <c r="P3766" i="2"/>
  <c r="U3765" i="2"/>
  <c r="S3765" i="2"/>
  <c r="V3765" i="2" s="1" a="1"/>
  <c r="V3765" i="2" s="1"/>
  <c r="R3765" i="2"/>
  <c r="Q3765" i="2"/>
  <c r="P3765" i="2"/>
  <c r="U3764" i="2"/>
  <c r="S3764" i="2"/>
  <c r="V3764" i="2" s="1" a="1"/>
  <c r="V3764" i="2" s="1"/>
  <c r="R3764" i="2"/>
  <c r="Q3764" i="2"/>
  <c r="P3764" i="2"/>
  <c r="U3763" i="2"/>
  <c r="S3763" i="2"/>
  <c r="R3763" i="2"/>
  <c r="Q3763" i="2"/>
  <c r="P3763" i="2"/>
  <c r="V3762" i="2" a="1"/>
  <c r="V3762" i="2" s="1"/>
  <c r="U3762" i="2"/>
  <c r="S3762" i="2"/>
  <c r="R3762" i="2"/>
  <c r="Q3762" i="2"/>
  <c r="P3762" i="2"/>
  <c r="V3761" i="2" a="1"/>
  <c r="V3761" i="2" s="1"/>
  <c r="U3761" i="2"/>
  <c r="S3761" i="2"/>
  <c r="R3761" i="2"/>
  <c r="Q3761" i="2"/>
  <c r="P3761" i="2"/>
  <c r="V3760" i="2"/>
  <c r="V3760" i="2" a="1"/>
  <c r="U3760" i="2"/>
  <c r="S3760" i="2"/>
  <c r="R3760" i="2"/>
  <c r="Q3760" i="2"/>
  <c r="P3760" i="2"/>
  <c r="V3759" i="2" a="1"/>
  <c r="V3759" i="2" s="1"/>
  <c r="U3759" i="2"/>
  <c r="S3759" i="2"/>
  <c r="R3759" i="2"/>
  <c r="Q3759" i="2"/>
  <c r="P3759" i="2"/>
  <c r="U3758" i="2"/>
  <c r="S3758" i="2"/>
  <c r="R3758" i="2"/>
  <c r="Q3758" i="2"/>
  <c r="P3758" i="2"/>
  <c r="V3757" i="2"/>
  <c r="U3757" i="2"/>
  <c r="S3757" i="2"/>
  <c r="V3757" i="2" s="1" a="1"/>
  <c r="R3757" i="2"/>
  <c r="Q3757" i="2"/>
  <c r="P3757" i="2"/>
  <c r="U3756" i="2"/>
  <c r="S3756" i="2"/>
  <c r="V3756" i="2" s="1" a="1"/>
  <c r="V3756" i="2" s="1"/>
  <c r="R3756" i="2"/>
  <c r="Q3756" i="2"/>
  <c r="P3756" i="2"/>
  <c r="U3755" i="2"/>
  <c r="S3755" i="2"/>
  <c r="R3755" i="2"/>
  <c r="Q3755" i="2"/>
  <c r="P3755" i="2"/>
  <c r="V3754" i="2" a="1"/>
  <c r="V3754" i="2" s="1"/>
  <c r="U3754" i="2"/>
  <c r="S3754" i="2"/>
  <c r="R3754" i="2"/>
  <c r="Q3754" i="2"/>
  <c r="P3754" i="2"/>
  <c r="V3753" i="2" a="1"/>
  <c r="V3753" i="2" s="1"/>
  <c r="U3753" i="2"/>
  <c r="S3753" i="2"/>
  <c r="R3753" i="2"/>
  <c r="Q3753" i="2"/>
  <c r="P3753" i="2"/>
  <c r="V3752" i="2"/>
  <c r="V3752" i="2" a="1"/>
  <c r="U3752" i="2"/>
  <c r="S3752" i="2"/>
  <c r="R3752" i="2"/>
  <c r="Q3752" i="2"/>
  <c r="P3752" i="2"/>
  <c r="V3751" i="2" a="1"/>
  <c r="V3751" i="2" s="1"/>
  <c r="U3751" i="2"/>
  <c r="S3751" i="2"/>
  <c r="R3751" i="2"/>
  <c r="Q3751" i="2"/>
  <c r="P3751" i="2"/>
  <c r="V3750" i="2"/>
  <c r="V3750" i="2" a="1"/>
  <c r="U3750" i="2"/>
  <c r="S3750" i="2"/>
  <c r="R3750" i="2"/>
  <c r="Q3750" i="2"/>
  <c r="P3750" i="2"/>
  <c r="V3749" i="2" a="1"/>
  <c r="V3749" i="2" s="1"/>
  <c r="U3749" i="2"/>
  <c r="S3749" i="2"/>
  <c r="R3749" i="2"/>
  <c r="Q3749" i="2"/>
  <c r="P3749" i="2"/>
  <c r="U3748" i="2"/>
  <c r="S3748" i="2"/>
  <c r="V3748" i="2" s="1" a="1"/>
  <c r="V3748" i="2" s="1"/>
  <c r="R3748" i="2"/>
  <c r="Q3748" i="2"/>
  <c r="P3748" i="2"/>
  <c r="U3747" i="2"/>
  <c r="S3747" i="2"/>
  <c r="R3747" i="2"/>
  <c r="Q3747" i="2"/>
  <c r="P3747" i="2"/>
  <c r="U3746" i="2"/>
  <c r="S3746" i="2"/>
  <c r="R3746" i="2"/>
  <c r="Q3746" i="2"/>
  <c r="P3746" i="2"/>
  <c r="U3745" i="2"/>
  <c r="S3745" i="2"/>
  <c r="V3745" i="2" s="1" a="1"/>
  <c r="V3745" i="2" s="1"/>
  <c r="R3745" i="2"/>
  <c r="Q3745" i="2"/>
  <c r="P3745" i="2"/>
  <c r="V3744" i="2"/>
  <c r="V3744" i="2" a="1"/>
  <c r="U3744" i="2"/>
  <c r="S3744" i="2"/>
  <c r="R3744" i="2"/>
  <c r="Q3744" i="2"/>
  <c r="P3744" i="2"/>
  <c r="V3743" i="2" a="1"/>
  <c r="V3743" i="2" s="1"/>
  <c r="U3743" i="2"/>
  <c r="S3743" i="2"/>
  <c r="R3743" i="2"/>
  <c r="Q3743" i="2"/>
  <c r="P3743" i="2"/>
  <c r="U3742" i="2"/>
  <c r="S3742" i="2"/>
  <c r="R3742" i="2"/>
  <c r="Q3742" i="2"/>
  <c r="P3742" i="2"/>
  <c r="U3741" i="2"/>
  <c r="S3741" i="2"/>
  <c r="R3741" i="2"/>
  <c r="Q3741" i="2"/>
  <c r="P3741" i="2"/>
  <c r="U3740" i="2"/>
  <c r="S3740" i="2"/>
  <c r="V3740" i="2" s="1" a="1"/>
  <c r="V3740" i="2" s="1"/>
  <c r="R3740" i="2"/>
  <c r="Q3740" i="2"/>
  <c r="P3740" i="2"/>
  <c r="U3739" i="2"/>
  <c r="S3739" i="2"/>
  <c r="R3739" i="2"/>
  <c r="Q3739" i="2"/>
  <c r="P3739" i="2"/>
  <c r="U3738" i="2"/>
  <c r="S3738" i="2"/>
  <c r="V3738" i="2" s="1" a="1"/>
  <c r="V3738" i="2" s="1"/>
  <c r="R3738" i="2"/>
  <c r="Q3738" i="2"/>
  <c r="P3738" i="2"/>
  <c r="U3737" i="2"/>
  <c r="S3737" i="2"/>
  <c r="V3737" i="2" s="1" a="1"/>
  <c r="V3737" i="2" s="1"/>
  <c r="R3737" i="2"/>
  <c r="Q3737" i="2"/>
  <c r="P3737" i="2"/>
  <c r="V3736" i="2"/>
  <c r="V3736" i="2" a="1"/>
  <c r="U3736" i="2"/>
  <c r="S3736" i="2"/>
  <c r="R3736" i="2"/>
  <c r="Q3736" i="2"/>
  <c r="P3736" i="2"/>
  <c r="V3735" i="2" a="1"/>
  <c r="V3735" i="2" s="1"/>
  <c r="U3735" i="2"/>
  <c r="S3735" i="2"/>
  <c r="R3735" i="2"/>
  <c r="Q3735" i="2"/>
  <c r="P3735" i="2"/>
  <c r="V3734" i="2" a="1"/>
  <c r="V3734" i="2" s="1"/>
  <c r="U3734" i="2"/>
  <c r="S3734" i="2"/>
  <c r="R3734" i="2"/>
  <c r="Q3734" i="2"/>
  <c r="P3734" i="2"/>
  <c r="U3733" i="2"/>
  <c r="S3733" i="2"/>
  <c r="V3733" i="2" s="1" a="1"/>
  <c r="V3733" i="2" s="1"/>
  <c r="R3733" i="2"/>
  <c r="Q3733" i="2"/>
  <c r="P3733" i="2"/>
  <c r="V3732" i="2"/>
  <c r="U3732" i="2"/>
  <c r="S3732" i="2"/>
  <c r="V3732" i="2" s="1" a="1"/>
  <c r="R3732" i="2"/>
  <c r="Q3732" i="2"/>
  <c r="P3732" i="2"/>
  <c r="U3731" i="2"/>
  <c r="S3731" i="2"/>
  <c r="R3731" i="2"/>
  <c r="Q3731" i="2"/>
  <c r="P3731" i="2"/>
  <c r="V3730" i="2" a="1"/>
  <c r="V3730" i="2" s="1"/>
  <c r="U3730" i="2"/>
  <c r="S3730" i="2"/>
  <c r="R3730" i="2"/>
  <c r="Q3730" i="2"/>
  <c r="P3730" i="2"/>
  <c r="U3729" i="2"/>
  <c r="S3729" i="2"/>
  <c r="R3729" i="2"/>
  <c r="Q3729" i="2"/>
  <c r="P3729" i="2"/>
  <c r="V3728" i="2"/>
  <c r="V3728" i="2" a="1"/>
  <c r="U3728" i="2"/>
  <c r="S3728" i="2"/>
  <c r="R3728" i="2"/>
  <c r="Q3728" i="2"/>
  <c r="P3728" i="2"/>
  <c r="V3727" i="2" a="1"/>
  <c r="V3727" i="2" s="1"/>
  <c r="U3727" i="2"/>
  <c r="S3727" i="2"/>
  <c r="R3727" i="2"/>
  <c r="Q3727" i="2"/>
  <c r="P3727" i="2"/>
  <c r="V3726" i="2" a="1"/>
  <c r="V3726" i="2" s="1"/>
  <c r="U3726" i="2"/>
  <c r="S3726" i="2"/>
  <c r="R3726" i="2"/>
  <c r="Q3726" i="2"/>
  <c r="P3726" i="2"/>
  <c r="V3725" i="2" a="1"/>
  <c r="V3725" i="2" s="1"/>
  <c r="U3725" i="2"/>
  <c r="S3725" i="2"/>
  <c r="R3725" i="2"/>
  <c r="Q3725" i="2"/>
  <c r="P3725" i="2"/>
  <c r="V3724" i="2"/>
  <c r="U3724" i="2"/>
  <c r="S3724" i="2"/>
  <c r="V3724" i="2" s="1" a="1"/>
  <c r="R3724" i="2"/>
  <c r="Q3724" i="2"/>
  <c r="P3724" i="2"/>
  <c r="V3723" i="2" a="1"/>
  <c r="V3723" i="2" s="1"/>
  <c r="U3723" i="2"/>
  <c r="S3723" i="2"/>
  <c r="R3723" i="2"/>
  <c r="Q3723" i="2"/>
  <c r="P3723" i="2"/>
  <c r="V3722" i="2"/>
  <c r="V3722" i="2" a="1"/>
  <c r="U3722" i="2"/>
  <c r="S3722" i="2"/>
  <c r="R3722" i="2"/>
  <c r="Q3722" i="2"/>
  <c r="P3722" i="2"/>
  <c r="U3721" i="2"/>
  <c r="S3721" i="2"/>
  <c r="V3721" i="2" s="1" a="1"/>
  <c r="V3721" i="2" s="1"/>
  <c r="R3721" i="2"/>
  <c r="Q3721" i="2"/>
  <c r="P3721" i="2"/>
  <c r="V3720" i="2" a="1"/>
  <c r="V3720" i="2" s="1"/>
  <c r="U3720" i="2"/>
  <c r="S3720" i="2"/>
  <c r="R3720" i="2"/>
  <c r="Q3720" i="2"/>
  <c r="P3720" i="2"/>
  <c r="V3719" i="2" a="1"/>
  <c r="V3719" i="2" s="1"/>
  <c r="U3719" i="2"/>
  <c r="S3719" i="2"/>
  <c r="R3719" i="2"/>
  <c r="Q3719" i="2"/>
  <c r="P3719" i="2"/>
  <c r="V3718" i="2" a="1"/>
  <c r="V3718" i="2" s="1"/>
  <c r="U3718" i="2"/>
  <c r="S3718" i="2"/>
  <c r="R3718" i="2"/>
  <c r="Q3718" i="2"/>
  <c r="P3718" i="2"/>
  <c r="U3717" i="2"/>
  <c r="S3717" i="2"/>
  <c r="R3717" i="2"/>
  <c r="Q3717" i="2"/>
  <c r="P3717" i="2"/>
  <c r="U3716" i="2"/>
  <c r="S3716" i="2"/>
  <c r="R3716" i="2"/>
  <c r="Q3716" i="2"/>
  <c r="P3716" i="2"/>
  <c r="U3715" i="2"/>
  <c r="S3715" i="2"/>
  <c r="R3715" i="2"/>
  <c r="Q3715" i="2"/>
  <c r="P3715" i="2"/>
  <c r="U3714" i="2"/>
  <c r="S3714" i="2"/>
  <c r="V3714" i="2" s="1" a="1"/>
  <c r="V3714" i="2" s="1"/>
  <c r="R3714" i="2"/>
  <c r="Q3714" i="2"/>
  <c r="P3714" i="2"/>
  <c r="V3713" i="2" a="1"/>
  <c r="V3713" i="2" s="1"/>
  <c r="U3713" i="2"/>
  <c r="S3713" i="2"/>
  <c r="R3713" i="2"/>
  <c r="Q3713" i="2"/>
  <c r="P3713" i="2"/>
  <c r="V3712" i="2"/>
  <c r="V3712" i="2" a="1"/>
  <c r="U3712" i="2"/>
  <c r="S3712" i="2"/>
  <c r="R3712" i="2"/>
  <c r="Q3712" i="2"/>
  <c r="P3712" i="2"/>
  <c r="V3711" i="2" a="1"/>
  <c r="V3711" i="2" s="1"/>
  <c r="U3711" i="2"/>
  <c r="S3711" i="2"/>
  <c r="R3711" i="2"/>
  <c r="Q3711" i="2"/>
  <c r="P3711" i="2"/>
  <c r="V3710" i="2" a="1"/>
  <c r="V3710" i="2" s="1"/>
  <c r="U3710" i="2"/>
  <c r="S3710" i="2"/>
  <c r="R3710" i="2"/>
  <c r="Q3710" i="2"/>
  <c r="P3710" i="2"/>
  <c r="V3709" i="2" a="1"/>
  <c r="V3709" i="2" s="1"/>
  <c r="U3709" i="2"/>
  <c r="S3709" i="2"/>
  <c r="R3709" i="2"/>
  <c r="Q3709" i="2"/>
  <c r="P3709" i="2"/>
  <c r="V3708" i="2"/>
  <c r="U3708" i="2"/>
  <c r="S3708" i="2"/>
  <c r="V3708" i="2" s="1" a="1"/>
  <c r="R3708" i="2"/>
  <c r="Q3708" i="2"/>
  <c r="P3708" i="2"/>
  <c r="V3707" i="2" a="1"/>
  <c r="V3707" i="2" s="1"/>
  <c r="U3707" i="2"/>
  <c r="S3707" i="2"/>
  <c r="R3707" i="2"/>
  <c r="Q3707" i="2"/>
  <c r="P3707" i="2"/>
  <c r="V3706" i="2"/>
  <c r="V3706" i="2" a="1"/>
  <c r="U3706" i="2"/>
  <c r="S3706" i="2"/>
  <c r="R3706" i="2"/>
  <c r="Q3706" i="2"/>
  <c r="P3706" i="2"/>
  <c r="U3705" i="2"/>
  <c r="S3705" i="2"/>
  <c r="V3705" i="2" s="1" a="1"/>
  <c r="V3705" i="2" s="1"/>
  <c r="R3705" i="2"/>
  <c r="Q3705" i="2"/>
  <c r="P3705" i="2"/>
  <c r="V3704" i="2" a="1"/>
  <c r="V3704" i="2" s="1"/>
  <c r="U3704" i="2"/>
  <c r="S3704" i="2"/>
  <c r="R3704" i="2"/>
  <c r="Q3704" i="2"/>
  <c r="P3704" i="2"/>
  <c r="V3703" i="2" a="1"/>
  <c r="V3703" i="2" s="1"/>
  <c r="U3703" i="2"/>
  <c r="S3703" i="2"/>
  <c r="R3703" i="2"/>
  <c r="Q3703" i="2"/>
  <c r="P3703" i="2"/>
  <c r="V3702" i="2" a="1"/>
  <c r="V3702" i="2" s="1"/>
  <c r="U3702" i="2"/>
  <c r="S3702" i="2"/>
  <c r="R3702" i="2"/>
  <c r="Q3702" i="2"/>
  <c r="P3702" i="2"/>
  <c r="U3701" i="2"/>
  <c r="S3701" i="2"/>
  <c r="R3701" i="2"/>
  <c r="Q3701" i="2"/>
  <c r="P3701" i="2"/>
  <c r="U3700" i="2"/>
  <c r="S3700" i="2"/>
  <c r="R3700" i="2"/>
  <c r="Q3700" i="2"/>
  <c r="P3700" i="2"/>
  <c r="U3699" i="2"/>
  <c r="S3699" i="2"/>
  <c r="R3699" i="2"/>
  <c r="Q3699" i="2"/>
  <c r="P3699" i="2"/>
  <c r="U3698" i="2"/>
  <c r="S3698" i="2"/>
  <c r="V3698" i="2" s="1" a="1"/>
  <c r="V3698" i="2" s="1"/>
  <c r="R3698" i="2"/>
  <c r="Q3698" i="2"/>
  <c r="P3698" i="2"/>
  <c r="V3697" i="2" a="1"/>
  <c r="V3697" i="2" s="1"/>
  <c r="U3697" i="2"/>
  <c r="S3697" i="2"/>
  <c r="R3697" i="2"/>
  <c r="Q3697" i="2"/>
  <c r="P3697" i="2"/>
  <c r="U3696" i="2"/>
  <c r="S3696" i="2"/>
  <c r="R3696" i="2"/>
  <c r="Q3696" i="2"/>
  <c r="P3696" i="2"/>
  <c r="V3695" i="2" a="1"/>
  <c r="V3695" i="2" s="1"/>
  <c r="U3695" i="2"/>
  <c r="S3695" i="2"/>
  <c r="R3695" i="2"/>
  <c r="Q3695" i="2"/>
  <c r="P3695" i="2"/>
  <c r="V3694" i="2"/>
  <c r="V3694" i="2" a="1"/>
  <c r="U3694" i="2"/>
  <c r="S3694" i="2"/>
  <c r="R3694" i="2"/>
  <c r="Q3694" i="2"/>
  <c r="P3694" i="2"/>
  <c r="U3693" i="2"/>
  <c r="S3693" i="2"/>
  <c r="V3693" i="2" s="1" a="1"/>
  <c r="V3693" i="2" s="1"/>
  <c r="R3693" i="2"/>
  <c r="Q3693" i="2"/>
  <c r="P3693" i="2"/>
  <c r="V3692" i="2" a="1"/>
  <c r="V3692" i="2" s="1"/>
  <c r="U3692" i="2"/>
  <c r="S3692" i="2"/>
  <c r="R3692" i="2"/>
  <c r="Q3692" i="2"/>
  <c r="P3692" i="2"/>
  <c r="U3691" i="2"/>
  <c r="S3691" i="2"/>
  <c r="R3691" i="2"/>
  <c r="Q3691" i="2"/>
  <c r="P3691" i="2"/>
  <c r="U3690" i="2"/>
  <c r="S3690" i="2"/>
  <c r="V3690" i="2" s="1" a="1"/>
  <c r="V3690" i="2" s="1"/>
  <c r="R3690" i="2"/>
  <c r="Q3690" i="2"/>
  <c r="P3690" i="2"/>
  <c r="V3689" i="2" a="1"/>
  <c r="V3689" i="2" s="1"/>
  <c r="U3689" i="2"/>
  <c r="S3689" i="2"/>
  <c r="R3689" i="2"/>
  <c r="Q3689" i="2"/>
  <c r="P3689" i="2"/>
  <c r="U3688" i="2"/>
  <c r="S3688" i="2"/>
  <c r="R3688" i="2"/>
  <c r="Q3688" i="2"/>
  <c r="P3688" i="2"/>
  <c r="V3687" i="2" a="1"/>
  <c r="V3687" i="2" s="1"/>
  <c r="U3687" i="2"/>
  <c r="S3687" i="2"/>
  <c r="R3687" i="2"/>
  <c r="Q3687" i="2"/>
  <c r="P3687" i="2"/>
  <c r="V3686" i="2"/>
  <c r="V3686" i="2" a="1"/>
  <c r="U3686" i="2"/>
  <c r="S3686" i="2"/>
  <c r="R3686" i="2"/>
  <c r="Q3686" i="2"/>
  <c r="P3686" i="2"/>
  <c r="U3685" i="2"/>
  <c r="S3685" i="2"/>
  <c r="V3685" i="2" s="1" a="1"/>
  <c r="V3685" i="2" s="1"/>
  <c r="R3685" i="2"/>
  <c r="Q3685" i="2"/>
  <c r="P3685" i="2"/>
  <c r="V3684" i="2" a="1"/>
  <c r="V3684" i="2" s="1"/>
  <c r="U3684" i="2"/>
  <c r="S3684" i="2"/>
  <c r="R3684" i="2"/>
  <c r="Q3684" i="2"/>
  <c r="P3684" i="2"/>
  <c r="U3683" i="2"/>
  <c r="S3683" i="2"/>
  <c r="R3683" i="2"/>
  <c r="Q3683" i="2"/>
  <c r="P3683" i="2"/>
  <c r="U3682" i="2"/>
  <c r="S3682" i="2"/>
  <c r="V3682" i="2" s="1" a="1"/>
  <c r="V3682" i="2" s="1"/>
  <c r="R3682" i="2"/>
  <c r="Q3682" i="2"/>
  <c r="P3682" i="2"/>
  <c r="V3681" i="2" a="1"/>
  <c r="V3681" i="2" s="1"/>
  <c r="U3681" i="2"/>
  <c r="S3681" i="2"/>
  <c r="R3681" i="2"/>
  <c r="Q3681" i="2"/>
  <c r="P3681" i="2"/>
  <c r="U3680" i="2"/>
  <c r="S3680" i="2"/>
  <c r="R3680" i="2"/>
  <c r="Q3680" i="2"/>
  <c r="P3680" i="2"/>
  <c r="V3679" i="2" a="1"/>
  <c r="V3679" i="2" s="1"/>
  <c r="U3679" i="2"/>
  <c r="S3679" i="2"/>
  <c r="R3679" i="2"/>
  <c r="Q3679" i="2"/>
  <c r="P3679" i="2"/>
  <c r="V3678" i="2"/>
  <c r="V3678" i="2" a="1"/>
  <c r="U3678" i="2"/>
  <c r="S3678" i="2"/>
  <c r="R3678" i="2"/>
  <c r="Q3678" i="2"/>
  <c r="P3678" i="2"/>
  <c r="U3677" i="2"/>
  <c r="S3677" i="2"/>
  <c r="R3677" i="2"/>
  <c r="Q3677" i="2"/>
  <c r="P3677" i="2"/>
  <c r="V3676" i="2" a="1"/>
  <c r="V3676" i="2" s="1"/>
  <c r="U3676" i="2"/>
  <c r="S3676" i="2"/>
  <c r="R3676" i="2"/>
  <c r="Q3676" i="2"/>
  <c r="P3676" i="2"/>
  <c r="U3675" i="2"/>
  <c r="S3675" i="2"/>
  <c r="R3675" i="2"/>
  <c r="Q3675" i="2"/>
  <c r="P3675" i="2"/>
  <c r="U3674" i="2"/>
  <c r="S3674" i="2"/>
  <c r="V3674" i="2" s="1" a="1"/>
  <c r="V3674" i="2" s="1"/>
  <c r="R3674" i="2"/>
  <c r="Q3674" i="2"/>
  <c r="P3674" i="2"/>
  <c r="V3673" i="2" a="1"/>
  <c r="V3673" i="2" s="1"/>
  <c r="U3673" i="2"/>
  <c r="S3673" i="2"/>
  <c r="R3673" i="2"/>
  <c r="Q3673" i="2"/>
  <c r="P3673" i="2"/>
  <c r="U3672" i="2"/>
  <c r="S3672" i="2"/>
  <c r="R3672" i="2"/>
  <c r="Q3672" i="2"/>
  <c r="P3672" i="2"/>
  <c r="V3671" i="2" a="1"/>
  <c r="V3671" i="2" s="1"/>
  <c r="U3671" i="2"/>
  <c r="S3671" i="2"/>
  <c r="R3671" i="2"/>
  <c r="Q3671" i="2"/>
  <c r="P3671" i="2"/>
  <c r="V3670" i="2"/>
  <c r="V3670" i="2" a="1"/>
  <c r="U3670" i="2"/>
  <c r="S3670" i="2"/>
  <c r="R3670" i="2"/>
  <c r="Q3670" i="2"/>
  <c r="P3670" i="2"/>
  <c r="U3669" i="2"/>
  <c r="S3669" i="2"/>
  <c r="R3669" i="2"/>
  <c r="Q3669" i="2"/>
  <c r="P3669" i="2"/>
  <c r="V3668" i="2" a="1"/>
  <c r="V3668" i="2" s="1"/>
  <c r="U3668" i="2"/>
  <c r="S3668" i="2"/>
  <c r="R3668" i="2"/>
  <c r="Q3668" i="2"/>
  <c r="P3668" i="2"/>
  <c r="V3667" i="2" a="1"/>
  <c r="V3667" i="2" s="1"/>
  <c r="U3667" i="2"/>
  <c r="S3667" i="2"/>
  <c r="R3667" i="2"/>
  <c r="Q3667" i="2"/>
  <c r="P3667" i="2"/>
  <c r="U3666" i="2"/>
  <c r="S3666" i="2"/>
  <c r="V3666" i="2" s="1" a="1"/>
  <c r="V3666" i="2" s="1"/>
  <c r="R3666" i="2"/>
  <c r="Q3666" i="2"/>
  <c r="P3666" i="2"/>
  <c r="V3665" i="2" a="1"/>
  <c r="V3665" i="2" s="1"/>
  <c r="U3665" i="2"/>
  <c r="S3665" i="2"/>
  <c r="R3665" i="2"/>
  <c r="Q3665" i="2"/>
  <c r="P3665" i="2"/>
  <c r="U3664" i="2"/>
  <c r="S3664" i="2"/>
  <c r="R3664" i="2"/>
  <c r="Q3664" i="2"/>
  <c r="P3664" i="2"/>
  <c r="V3663" i="2" a="1"/>
  <c r="V3663" i="2" s="1"/>
  <c r="U3663" i="2"/>
  <c r="S3663" i="2"/>
  <c r="R3663" i="2"/>
  <c r="Q3663" i="2"/>
  <c r="P3663" i="2"/>
  <c r="V3662" i="2" a="1"/>
  <c r="V3662" i="2" s="1"/>
  <c r="U3662" i="2"/>
  <c r="S3662" i="2"/>
  <c r="R3662" i="2"/>
  <c r="Q3662" i="2"/>
  <c r="P3662" i="2"/>
  <c r="U3661" i="2"/>
  <c r="S3661" i="2"/>
  <c r="R3661" i="2"/>
  <c r="Q3661" i="2"/>
  <c r="P3661" i="2"/>
  <c r="V3660" i="2" a="1"/>
  <c r="V3660" i="2" s="1"/>
  <c r="U3660" i="2"/>
  <c r="S3660" i="2"/>
  <c r="R3660" i="2"/>
  <c r="Q3660" i="2"/>
  <c r="P3660" i="2"/>
  <c r="U3659" i="2"/>
  <c r="S3659" i="2"/>
  <c r="R3659" i="2"/>
  <c r="Q3659" i="2"/>
  <c r="P3659" i="2"/>
  <c r="V3658" i="2"/>
  <c r="U3658" i="2"/>
  <c r="S3658" i="2"/>
  <c r="V3658" i="2" s="1" a="1"/>
  <c r="R3658" i="2"/>
  <c r="Q3658" i="2"/>
  <c r="P3658" i="2"/>
  <c r="V3657" i="2" a="1"/>
  <c r="V3657" i="2" s="1"/>
  <c r="U3657" i="2"/>
  <c r="S3657" i="2"/>
  <c r="R3657" i="2"/>
  <c r="Q3657" i="2"/>
  <c r="P3657" i="2"/>
  <c r="U3656" i="2"/>
  <c r="S3656" i="2"/>
  <c r="R3656" i="2"/>
  <c r="Q3656" i="2"/>
  <c r="P3656" i="2"/>
  <c r="U3655" i="2"/>
  <c r="S3655" i="2"/>
  <c r="V3655" i="2" s="1" a="1"/>
  <c r="V3655" i="2" s="1"/>
  <c r="R3655" i="2"/>
  <c r="Q3655" i="2"/>
  <c r="P3655" i="2"/>
  <c r="V3654" i="2"/>
  <c r="V3654" i="2" a="1"/>
  <c r="U3654" i="2"/>
  <c r="S3654" i="2"/>
  <c r="R3654" i="2"/>
  <c r="Q3654" i="2"/>
  <c r="P3654" i="2"/>
  <c r="U3653" i="2"/>
  <c r="S3653" i="2"/>
  <c r="R3653" i="2"/>
  <c r="Q3653" i="2"/>
  <c r="P3653" i="2"/>
  <c r="V3652" i="2" a="1"/>
  <c r="V3652" i="2" s="1"/>
  <c r="U3652" i="2"/>
  <c r="S3652" i="2"/>
  <c r="R3652" i="2"/>
  <c r="Q3652" i="2"/>
  <c r="P3652" i="2"/>
  <c r="V3651" i="2"/>
  <c r="V3651" i="2" a="1"/>
  <c r="U3651" i="2"/>
  <c r="S3651" i="2"/>
  <c r="R3651" i="2"/>
  <c r="Q3651" i="2"/>
  <c r="P3651" i="2"/>
  <c r="V3650" i="2"/>
  <c r="U3650" i="2"/>
  <c r="S3650" i="2"/>
  <c r="V3650" i="2" s="1" a="1"/>
  <c r="R3650" i="2"/>
  <c r="Q3650" i="2"/>
  <c r="P3650" i="2"/>
  <c r="V3649" i="2" a="1"/>
  <c r="V3649" i="2" s="1"/>
  <c r="U3649" i="2"/>
  <c r="S3649" i="2"/>
  <c r="R3649" i="2"/>
  <c r="Q3649" i="2"/>
  <c r="P3649" i="2"/>
  <c r="U3648" i="2"/>
  <c r="S3648" i="2"/>
  <c r="R3648" i="2"/>
  <c r="Q3648" i="2"/>
  <c r="P3648" i="2"/>
  <c r="U3647" i="2"/>
  <c r="S3647" i="2"/>
  <c r="V3647" i="2" s="1" a="1"/>
  <c r="V3647" i="2" s="1"/>
  <c r="R3647" i="2"/>
  <c r="Q3647" i="2"/>
  <c r="P3647" i="2"/>
  <c r="V3646" i="2"/>
  <c r="V3646" i="2" a="1"/>
  <c r="U3646" i="2"/>
  <c r="S3646" i="2"/>
  <c r="R3646" i="2"/>
  <c r="Q3646" i="2"/>
  <c r="P3646" i="2"/>
  <c r="U3645" i="2"/>
  <c r="S3645" i="2"/>
  <c r="R3645" i="2"/>
  <c r="Q3645" i="2"/>
  <c r="P3645" i="2"/>
  <c r="V3644" i="2" a="1"/>
  <c r="V3644" i="2" s="1"/>
  <c r="U3644" i="2"/>
  <c r="S3644" i="2"/>
  <c r="R3644" i="2"/>
  <c r="Q3644" i="2"/>
  <c r="P3644" i="2"/>
  <c r="U3643" i="2"/>
  <c r="S3643" i="2"/>
  <c r="R3643" i="2"/>
  <c r="Q3643" i="2"/>
  <c r="P3643" i="2"/>
  <c r="U3642" i="2"/>
  <c r="S3642" i="2"/>
  <c r="V3642" i="2" s="1" a="1"/>
  <c r="V3642" i="2" s="1"/>
  <c r="R3642" i="2"/>
  <c r="Q3642" i="2"/>
  <c r="P3642" i="2"/>
  <c r="V3641" i="2" a="1"/>
  <c r="V3641" i="2" s="1"/>
  <c r="U3641" i="2"/>
  <c r="S3641" i="2"/>
  <c r="R3641" i="2"/>
  <c r="Q3641" i="2"/>
  <c r="P3641" i="2"/>
  <c r="U3640" i="2"/>
  <c r="S3640" i="2"/>
  <c r="R3640" i="2"/>
  <c r="Q3640" i="2"/>
  <c r="P3640" i="2"/>
  <c r="U3639" i="2"/>
  <c r="S3639" i="2"/>
  <c r="V3639" i="2" s="1" a="1"/>
  <c r="V3639" i="2" s="1"/>
  <c r="R3639" i="2"/>
  <c r="Q3639" i="2"/>
  <c r="P3639" i="2"/>
  <c r="V3638" i="2"/>
  <c r="V3638" i="2" a="1"/>
  <c r="U3638" i="2"/>
  <c r="S3638" i="2"/>
  <c r="R3638" i="2"/>
  <c r="Q3638" i="2"/>
  <c r="P3638" i="2"/>
  <c r="U3637" i="2"/>
  <c r="S3637" i="2"/>
  <c r="R3637" i="2"/>
  <c r="Q3637" i="2"/>
  <c r="P3637" i="2"/>
  <c r="V3636" i="2" a="1"/>
  <c r="V3636" i="2" s="1"/>
  <c r="U3636" i="2"/>
  <c r="S3636" i="2"/>
  <c r="R3636" i="2"/>
  <c r="Q3636" i="2"/>
  <c r="P3636" i="2"/>
  <c r="V3635" i="2"/>
  <c r="V3635" i="2" a="1"/>
  <c r="U3635" i="2"/>
  <c r="S3635" i="2"/>
  <c r="R3635" i="2"/>
  <c r="Q3635" i="2"/>
  <c r="P3635" i="2"/>
  <c r="V3634" i="2"/>
  <c r="U3634" i="2"/>
  <c r="S3634" i="2"/>
  <c r="V3634" i="2" s="1" a="1"/>
  <c r="R3634" i="2"/>
  <c r="Q3634" i="2"/>
  <c r="P3634" i="2"/>
  <c r="V3633" i="2" a="1"/>
  <c r="V3633" i="2" s="1"/>
  <c r="U3633" i="2"/>
  <c r="S3633" i="2"/>
  <c r="R3633" i="2"/>
  <c r="Q3633" i="2"/>
  <c r="P3633" i="2"/>
  <c r="U3632" i="2"/>
  <c r="S3632" i="2"/>
  <c r="R3632" i="2"/>
  <c r="Q3632" i="2"/>
  <c r="P3632" i="2"/>
  <c r="U3631" i="2"/>
  <c r="S3631" i="2"/>
  <c r="V3631" i="2" s="1" a="1"/>
  <c r="V3631" i="2" s="1"/>
  <c r="R3631" i="2"/>
  <c r="Q3631" i="2"/>
  <c r="P3631" i="2"/>
  <c r="V3630" i="2"/>
  <c r="V3630" i="2" a="1"/>
  <c r="U3630" i="2"/>
  <c r="S3630" i="2"/>
  <c r="R3630" i="2"/>
  <c r="Q3630" i="2"/>
  <c r="P3630" i="2"/>
  <c r="U3629" i="2"/>
  <c r="S3629" i="2"/>
  <c r="R3629" i="2"/>
  <c r="Q3629" i="2"/>
  <c r="P3629" i="2"/>
  <c r="V3628" i="2" a="1"/>
  <c r="V3628" i="2" s="1"/>
  <c r="U3628" i="2"/>
  <c r="S3628" i="2"/>
  <c r="R3628" i="2"/>
  <c r="Q3628" i="2"/>
  <c r="P3628" i="2"/>
  <c r="U3627" i="2"/>
  <c r="S3627" i="2"/>
  <c r="R3627" i="2"/>
  <c r="Q3627" i="2"/>
  <c r="P3627" i="2"/>
  <c r="U3626" i="2"/>
  <c r="S3626" i="2"/>
  <c r="V3626" i="2" s="1" a="1"/>
  <c r="V3626" i="2" s="1"/>
  <c r="R3626" i="2"/>
  <c r="Q3626" i="2"/>
  <c r="P3626" i="2"/>
  <c r="V3625" i="2" a="1"/>
  <c r="V3625" i="2" s="1"/>
  <c r="U3625" i="2"/>
  <c r="S3625" i="2"/>
  <c r="R3625" i="2"/>
  <c r="Q3625" i="2"/>
  <c r="P3625" i="2"/>
  <c r="U3624" i="2"/>
  <c r="S3624" i="2"/>
  <c r="R3624" i="2"/>
  <c r="Q3624" i="2"/>
  <c r="P3624" i="2"/>
  <c r="U3623" i="2"/>
  <c r="S3623" i="2"/>
  <c r="V3623" i="2" s="1" a="1"/>
  <c r="V3623" i="2" s="1"/>
  <c r="R3623" i="2"/>
  <c r="Q3623" i="2"/>
  <c r="P3623" i="2"/>
  <c r="V3622" i="2"/>
  <c r="V3622" i="2" a="1"/>
  <c r="U3622" i="2"/>
  <c r="S3622" i="2"/>
  <c r="R3622" i="2"/>
  <c r="Q3622" i="2"/>
  <c r="P3622" i="2"/>
  <c r="U3621" i="2"/>
  <c r="S3621" i="2"/>
  <c r="R3621" i="2"/>
  <c r="Q3621" i="2"/>
  <c r="P3621" i="2"/>
  <c r="V3620" i="2" a="1"/>
  <c r="V3620" i="2" s="1"/>
  <c r="U3620" i="2"/>
  <c r="S3620" i="2"/>
  <c r="R3620" i="2"/>
  <c r="Q3620" i="2"/>
  <c r="P3620" i="2"/>
  <c r="V3619" i="2"/>
  <c r="V3619" i="2" a="1"/>
  <c r="U3619" i="2"/>
  <c r="S3619" i="2"/>
  <c r="R3619" i="2"/>
  <c r="Q3619" i="2"/>
  <c r="P3619" i="2"/>
  <c r="V3618" i="2"/>
  <c r="U3618" i="2"/>
  <c r="S3618" i="2"/>
  <c r="V3618" i="2" s="1" a="1"/>
  <c r="R3618" i="2"/>
  <c r="Q3618" i="2"/>
  <c r="P3618" i="2"/>
  <c r="V3617" i="2" a="1"/>
  <c r="V3617" i="2" s="1"/>
  <c r="U3617" i="2"/>
  <c r="S3617" i="2"/>
  <c r="R3617" i="2"/>
  <c r="Q3617" i="2"/>
  <c r="P3617" i="2"/>
  <c r="U3616" i="2"/>
  <c r="S3616" i="2"/>
  <c r="R3616" i="2"/>
  <c r="Q3616" i="2"/>
  <c r="P3616" i="2"/>
  <c r="U3615" i="2"/>
  <c r="S3615" i="2"/>
  <c r="V3615" i="2" s="1" a="1"/>
  <c r="V3615" i="2" s="1"/>
  <c r="R3615" i="2"/>
  <c r="Q3615" i="2"/>
  <c r="P3615" i="2"/>
  <c r="U3614" i="2"/>
  <c r="S3614" i="2"/>
  <c r="V3614" i="2" s="1" a="1"/>
  <c r="V3614" i="2" s="1"/>
  <c r="R3614" i="2"/>
  <c r="Q3614" i="2"/>
  <c r="P3614" i="2"/>
  <c r="U3613" i="2"/>
  <c r="S3613" i="2"/>
  <c r="V3613" i="2" s="1" a="1"/>
  <c r="V3613" i="2" s="1"/>
  <c r="R3613" i="2"/>
  <c r="Q3613" i="2"/>
  <c r="P3613" i="2"/>
  <c r="U3612" i="2"/>
  <c r="S3612" i="2"/>
  <c r="V3612" i="2" s="1" a="1"/>
  <c r="V3612" i="2" s="1"/>
  <c r="R3612" i="2"/>
  <c r="Q3612" i="2"/>
  <c r="P3612" i="2"/>
  <c r="U3611" i="2"/>
  <c r="S3611" i="2"/>
  <c r="V3611" i="2" s="1" a="1"/>
  <c r="V3611" i="2" s="1"/>
  <c r="R3611" i="2"/>
  <c r="Q3611" i="2"/>
  <c r="P3611" i="2"/>
  <c r="U3610" i="2"/>
  <c r="S3610" i="2"/>
  <c r="R3610" i="2"/>
  <c r="Q3610" i="2"/>
  <c r="P3610" i="2"/>
  <c r="V3609" i="2" a="1"/>
  <c r="V3609" i="2" s="1"/>
  <c r="U3609" i="2"/>
  <c r="S3609" i="2"/>
  <c r="R3609" i="2"/>
  <c r="Q3609" i="2"/>
  <c r="P3609" i="2"/>
  <c r="U3608" i="2"/>
  <c r="S3608" i="2"/>
  <c r="R3608" i="2"/>
  <c r="Q3608" i="2"/>
  <c r="P3608" i="2"/>
  <c r="U3607" i="2"/>
  <c r="S3607" i="2"/>
  <c r="V3607" i="2" s="1" a="1"/>
  <c r="V3607" i="2" s="1"/>
  <c r="R3607" i="2"/>
  <c r="Q3607" i="2"/>
  <c r="P3607" i="2"/>
  <c r="V3606" i="2"/>
  <c r="V3606" i="2" a="1"/>
  <c r="U3606" i="2"/>
  <c r="S3606" i="2"/>
  <c r="R3606" i="2"/>
  <c r="Q3606" i="2"/>
  <c r="P3606" i="2"/>
  <c r="V3605" i="2"/>
  <c r="U3605" i="2"/>
  <c r="S3605" i="2"/>
  <c r="V3605" i="2" s="1" a="1"/>
  <c r="R3605" i="2"/>
  <c r="Q3605" i="2"/>
  <c r="P3605" i="2"/>
  <c r="V3604" i="2" a="1"/>
  <c r="V3604" i="2" s="1"/>
  <c r="U3604" i="2"/>
  <c r="S3604" i="2"/>
  <c r="R3604" i="2"/>
  <c r="Q3604" i="2"/>
  <c r="P3604" i="2"/>
  <c r="U3603" i="2"/>
  <c r="S3603" i="2"/>
  <c r="R3603" i="2"/>
  <c r="Q3603" i="2"/>
  <c r="P3603" i="2"/>
  <c r="V3602" i="2" a="1"/>
  <c r="V3602" i="2" s="1"/>
  <c r="U3602" i="2"/>
  <c r="S3602" i="2"/>
  <c r="R3602" i="2"/>
  <c r="Q3602" i="2"/>
  <c r="P3602" i="2"/>
  <c r="V3601" i="2"/>
  <c r="V3601" i="2" a="1"/>
  <c r="U3601" i="2"/>
  <c r="S3601" i="2"/>
  <c r="R3601" i="2"/>
  <c r="Q3601" i="2"/>
  <c r="P3601" i="2"/>
  <c r="U3600" i="2"/>
  <c r="S3600" i="2"/>
  <c r="R3600" i="2"/>
  <c r="Q3600" i="2"/>
  <c r="P3600" i="2"/>
  <c r="U3599" i="2"/>
  <c r="S3599" i="2"/>
  <c r="V3599" i="2" s="1" a="1"/>
  <c r="V3599" i="2" s="1"/>
  <c r="R3599" i="2"/>
  <c r="Q3599" i="2"/>
  <c r="P3599" i="2"/>
  <c r="U3598" i="2"/>
  <c r="S3598" i="2"/>
  <c r="V3598" i="2" s="1" a="1"/>
  <c r="V3598" i="2" s="1"/>
  <c r="R3598" i="2"/>
  <c r="Q3598" i="2"/>
  <c r="P3598" i="2"/>
  <c r="U3597" i="2"/>
  <c r="S3597" i="2"/>
  <c r="V3597" i="2" s="1" a="1"/>
  <c r="V3597" i="2" s="1"/>
  <c r="R3597" i="2"/>
  <c r="Q3597" i="2"/>
  <c r="P3597" i="2"/>
  <c r="U3596" i="2"/>
  <c r="S3596" i="2"/>
  <c r="V3596" i="2" s="1" a="1"/>
  <c r="V3596" i="2" s="1"/>
  <c r="R3596" i="2"/>
  <c r="Q3596" i="2"/>
  <c r="P3596" i="2"/>
  <c r="U3595" i="2"/>
  <c r="S3595" i="2"/>
  <c r="V3595" i="2" s="1" a="1"/>
  <c r="V3595" i="2" s="1"/>
  <c r="R3595" i="2"/>
  <c r="Q3595" i="2"/>
  <c r="P3595" i="2"/>
  <c r="U3594" i="2"/>
  <c r="S3594" i="2"/>
  <c r="R3594" i="2"/>
  <c r="Q3594" i="2"/>
  <c r="P3594" i="2"/>
  <c r="V3593" i="2" a="1"/>
  <c r="V3593" i="2" s="1"/>
  <c r="U3593" i="2"/>
  <c r="S3593" i="2"/>
  <c r="R3593" i="2"/>
  <c r="Q3593" i="2"/>
  <c r="P3593" i="2"/>
  <c r="U3592" i="2"/>
  <c r="S3592" i="2"/>
  <c r="R3592" i="2"/>
  <c r="Q3592" i="2"/>
  <c r="P3592" i="2"/>
  <c r="U3591" i="2"/>
  <c r="S3591" i="2"/>
  <c r="V3591" i="2" s="1" a="1"/>
  <c r="V3591" i="2" s="1"/>
  <c r="R3591" i="2"/>
  <c r="Q3591" i="2"/>
  <c r="P3591" i="2"/>
  <c r="V3590" i="2"/>
  <c r="V3590" i="2" a="1"/>
  <c r="U3590" i="2"/>
  <c r="S3590" i="2"/>
  <c r="R3590" i="2"/>
  <c r="Q3590" i="2"/>
  <c r="P3590" i="2"/>
  <c r="V3589" i="2"/>
  <c r="U3589" i="2"/>
  <c r="S3589" i="2"/>
  <c r="V3589" i="2" s="1" a="1"/>
  <c r="R3589" i="2"/>
  <c r="Q3589" i="2"/>
  <c r="P3589" i="2"/>
  <c r="V3588" i="2" a="1"/>
  <c r="V3588" i="2" s="1"/>
  <c r="U3588" i="2"/>
  <c r="S3588" i="2"/>
  <c r="R3588" i="2"/>
  <c r="Q3588" i="2"/>
  <c r="P3588" i="2"/>
  <c r="U3587" i="2"/>
  <c r="S3587" i="2"/>
  <c r="R3587" i="2"/>
  <c r="Q3587" i="2"/>
  <c r="P3587" i="2"/>
  <c r="V3586" i="2" a="1"/>
  <c r="V3586" i="2" s="1"/>
  <c r="U3586" i="2"/>
  <c r="S3586" i="2"/>
  <c r="R3586" i="2"/>
  <c r="Q3586" i="2"/>
  <c r="P3586" i="2"/>
  <c r="V3585" i="2"/>
  <c r="V3585" i="2" a="1"/>
  <c r="U3585" i="2"/>
  <c r="S3585" i="2"/>
  <c r="R3585" i="2"/>
  <c r="Q3585" i="2"/>
  <c r="P3585" i="2"/>
  <c r="U3584" i="2"/>
  <c r="S3584" i="2"/>
  <c r="V3584" i="2" s="1" a="1"/>
  <c r="V3584" i="2" s="1"/>
  <c r="R3584" i="2"/>
  <c r="Q3584" i="2"/>
  <c r="P3584" i="2"/>
  <c r="V3583" i="2" a="1"/>
  <c r="V3583" i="2" s="1"/>
  <c r="U3583" i="2"/>
  <c r="S3583" i="2"/>
  <c r="R3583" i="2"/>
  <c r="Q3583" i="2"/>
  <c r="P3583" i="2"/>
  <c r="U3582" i="2"/>
  <c r="S3582" i="2"/>
  <c r="R3582" i="2"/>
  <c r="Q3582" i="2"/>
  <c r="P3582" i="2"/>
  <c r="U3581" i="2"/>
  <c r="S3581" i="2"/>
  <c r="V3581" i="2" s="1" a="1"/>
  <c r="V3581" i="2" s="1"/>
  <c r="R3581" i="2"/>
  <c r="Q3581" i="2"/>
  <c r="P3581" i="2"/>
  <c r="V3580" i="2"/>
  <c r="V3580" i="2" a="1"/>
  <c r="U3580" i="2"/>
  <c r="S3580" i="2"/>
  <c r="R3580" i="2"/>
  <c r="Q3580" i="2"/>
  <c r="P3580" i="2"/>
  <c r="U3579" i="2"/>
  <c r="S3579" i="2"/>
  <c r="R3579" i="2"/>
  <c r="Q3579" i="2"/>
  <c r="P3579" i="2"/>
  <c r="V3578" i="2" a="1"/>
  <c r="V3578" i="2" s="1"/>
  <c r="U3578" i="2"/>
  <c r="S3578" i="2"/>
  <c r="R3578" i="2"/>
  <c r="Q3578" i="2"/>
  <c r="P3578" i="2"/>
  <c r="V3577" i="2"/>
  <c r="V3577" i="2" a="1"/>
  <c r="U3577" i="2"/>
  <c r="S3577" i="2"/>
  <c r="R3577" i="2"/>
  <c r="Q3577" i="2"/>
  <c r="P3577" i="2"/>
  <c r="U3576" i="2"/>
  <c r="S3576" i="2"/>
  <c r="V3576" i="2" s="1" a="1"/>
  <c r="V3576" i="2" s="1"/>
  <c r="R3576" i="2"/>
  <c r="Q3576" i="2"/>
  <c r="P3576" i="2"/>
  <c r="V3575" i="2" a="1"/>
  <c r="V3575" i="2" s="1"/>
  <c r="U3575" i="2"/>
  <c r="S3575" i="2"/>
  <c r="R3575" i="2"/>
  <c r="Q3575" i="2"/>
  <c r="P3575" i="2"/>
  <c r="U3574" i="2"/>
  <c r="S3574" i="2"/>
  <c r="R3574" i="2"/>
  <c r="Q3574" i="2"/>
  <c r="P3574" i="2"/>
  <c r="U3573" i="2"/>
  <c r="S3573" i="2"/>
  <c r="V3573" i="2" s="1" a="1"/>
  <c r="V3573" i="2" s="1"/>
  <c r="R3573" i="2"/>
  <c r="Q3573" i="2"/>
  <c r="P3573" i="2"/>
  <c r="V3572" i="2"/>
  <c r="V3572" i="2" a="1"/>
  <c r="U3572" i="2"/>
  <c r="S3572" i="2"/>
  <c r="R3572" i="2"/>
  <c r="Q3572" i="2"/>
  <c r="P3572" i="2"/>
  <c r="U3571" i="2"/>
  <c r="S3571" i="2"/>
  <c r="R3571" i="2"/>
  <c r="Q3571" i="2"/>
  <c r="P3571" i="2"/>
  <c r="V3570" i="2" a="1"/>
  <c r="V3570" i="2" s="1"/>
  <c r="U3570" i="2"/>
  <c r="S3570" i="2"/>
  <c r="R3570" i="2"/>
  <c r="Q3570" i="2"/>
  <c r="P3570" i="2"/>
  <c r="V3569" i="2"/>
  <c r="V3569" i="2" a="1"/>
  <c r="U3569" i="2"/>
  <c r="S3569" i="2"/>
  <c r="R3569" i="2"/>
  <c r="Q3569" i="2"/>
  <c r="P3569" i="2"/>
  <c r="U3568" i="2"/>
  <c r="S3568" i="2"/>
  <c r="V3568" i="2" s="1" a="1"/>
  <c r="V3568" i="2" s="1"/>
  <c r="R3568" i="2"/>
  <c r="Q3568" i="2"/>
  <c r="P3568" i="2"/>
  <c r="V3567" i="2" a="1"/>
  <c r="V3567" i="2" s="1"/>
  <c r="U3567" i="2"/>
  <c r="S3567" i="2"/>
  <c r="R3567" i="2"/>
  <c r="Q3567" i="2"/>
  <c r="P3567" i="2"/>
  <c r="U3566" i="2"/>
  <c r="S3566" i="2"/>
  <c r="R3566" i="2"/>
  <c r="Q3566" i="2"/>
  <c r="P3566" i="2"/>
  <c r="U3565" i="2"/>
  <c r="S3565" i="2"/>
  <c r="V3565" i="2" s="1" a="1"/>
  <c r="V3565" i="2" s="1"/>
  <c r="R3565" i="2"/>
  <c r="Q3565" i="2"/>
  <c r="P3565" i="2"/>
  <c r="V3564" i="2"/>
  <c r="V3564" i="2" a="1"/>
  <c r="U3564" i="2"/>
  <c r="S3564" i="2"/>
  <c r="R3564" i="2"/>
  <c r="Q3564" i="2"/>
  <c r="P3564" i="2"/>
  <c r="U3563" i="2"/>
  <c r="S3563" i="2"/>
  <c r="R3563" i="2"/>
  <c r="Q3563" i="2"/>
  <c r="P3563" i="2"/>
  <c r="V3562" i="2" a="1"/>
  <c r="V3562" i="2" s="1"/>
  <c r="U3562" i="2"/>
  <c r="S3562" i="2"/>
  <c r="R3562" i="2"/>
  <c r="Q3562" i="2"/>
  <c r="P3562" i="2"/>
  <c r="V3561" i="2"/>
  <c r="V3561" i="2" a="1"/>
  <c r="U3561" i="2"/>
  <c r="S3561" i="2"/>
  <c r="R3561" i="2"/>
  <c r="Q3561" i="2"/>
  <c r="P3561" i="2"/>
  <c r="U3560" i="2"/>
  <c r="S3560" i="2"/>
  <c r="V3560" i="2" s="1" a="1"/>
  <c r="V3560" i="2" s="1"/>
  <c r="R3560" i="2"/>
  <c r="Q3560" i="2"/>
  <c r="P3560" i="2"/>
  <c r="V3559" i="2" a="1"/>
  <c r="V3559" i="2" s="1"/>
  <c r="U3559" i="2"/>
  <c r="S3559" i="2"/>
  <c r="R3559" i="2"/>
  <c r="Q3559" i="2"/>
  <c r="P3559" i="2"/>
  <c r="U3558" i="2"/>
  <c r="S3558" i="2"/>
  <c r="R3558" i="2"/>
  <c r="Q3558" i="2"/>
  <c r="P3558" i="2"/>
  <c r="U3557" i="2"/>
  <c r="S3557" i="2"/>
  <c r="V3557" i="2" s="1" a="1"/>
  <c r="V3557" i="2" s="1"/>
  <c r="R3557" i="2"/>
  <c r="Q3557" i="2"/>
  <c r="P3557" i="2"/>
  <c r="V3556" i="2"/>
  <c r="V3556" i="2" a="1"/>
  <c r="U3556" i="2"/>
  <c r="S3556" i="2"/>
  <c r="R3556" i="2"/>
  <c r="Q3556" i="2"/>
  <c r="P3556" i="2"/>
  <c r="U3555" i="2"/>
  <c r="S3555" i="2"/>
  <c r="R3555" i="2"/>
  <c r="Q3555" i="2"/>
  <c r="P3555" i="2"/>
  <c r="V3554" i="2" a="1"/>
  <c r="V3554" i="2" s="1"/>
  <c r="U3554" i="2"/>
  <c r="S3554" i="2"/>
  <c r="R3554" i="2"/>
  <c r="Q3554" i="2"/>
  <c r="P3554" i="2"/>
  <c r="V3553" i="2"/>
  <c r="V3553" i="2" a="1"/>
  <c r="U3553" i="2"/>
  <c r="S3553" i="2"/>
  <c r="R3553" i="2"/>
  <c r="Q3553" i="2"/>
  <c r="P3553" i="2"/>
  <c r="U3552" i="2"/>
  <c r="S3552" i="2"/>
  <c r="V3552" i="2" s="1" a="1"/>
  <c r="V3552" i="2" s="1"/>
  <c r="R3552" i="2"/>
  <c r="Q3552" i="2"/>
  <c r="P3552" i="2"/>
  <c r="V3551" i="2" a="1"/>
  <c r="V3551" i="2" s="1"/>
  <c r="U3551" i="2"/>
  <c r="S3551" i="2"/>
  <c r="R3551" i="2"/>
  <c r="Q3551" i="2"/>
  <c r="P3551" i="2"/>
  <c r="U3550" i="2"/>
  <c r="S3550" i="2"/>
  <c r="R3550" i="2"/>
  <c r="Q3550" i="2"/>
  <c r="P3550" i="2"/>
  <c r="U3549" i="2"/>
  <c r="S3549" i="2"/>
  <c r="V3549" i="2" s="1" a="1"/>
  <c r="V3549" i="2" s="1"/>
  <c r="R3549" i="2"/>
  <c r="Q3549" i="2"/>
  <c r="P3549" i="2"/>
  <c r="V3548" i="2"/>
  <c r="V3548" i="2" a="1"/>
  <c r="U3548" i="2"/>
  <c r="S3548" i="2"/>
  <c r="R3548" i="2"/>
  <c r="Q3548" i="2"/>
  <c r="P3548" i="2"/>
  <c r="U3547" i="2"/>
  <c r="S3547" i="2"/>
  <c r="R3547" i="2"/>
  <c r="Q3547" i="2"/>
  <c r="P3547" i="2"/>
  <c r="V3546" i="2" a="1"/>
  <c r="V3546" i="2" s="1"/>
  <c r="U3546" i="2"/>
  <c r="S3546" i="2"/>
  <c r="R3546" i="2"/>
  <c r="Q3546" i="2"/>
  <c r="P3546" i="2"/>
  <c r="V3545" i="2"/>
  <c r="V3545" i="2" a="1"/>
  <c r="U3545" i="2"/>
  <c r="S3545" i="2"/>
  <c r="R3545" i="2"/>
  <c r="Q3545" i="2"/>
  <c r="P3545" i="2"/>
  <c r="U3544" i="2"/>
  <c r="S3544" i="2"/>
  <c r="V3544" i="2" s="1" a="1"/>
  <c r="V3544" i="2" s="1"/>
  <c r="R3544" i="2"/>
  <c r="Q3544" i="2"/>
  <c r="P3544" i="2"/>
  <c r="V3543" i="2" a="1"/>
  <c r="V3543" i="2" s="1"/>
  <c r="U3543" i="2"/>
  <c r="S3543" i="2"/>
  <c r="R3543" i="2"/>
  <c r="Q3543" i="2"/>
  <c r="P3543" i="2"/>
  <c r="U3542" i="2"/>
  <c r="S3542" i="2"/>
  <c r="R3542" i="2"/>
  <c r="Q3542" i="2"/>
  <c r="P3542" i="2"/>
  <c r="U3541" i="2"/>
  <c r="S3541" i="2"/>
  <c r="V3541" i="2" s="1" a="1"/>
  <c r="V3541" i="2" s="1"/>
  <c r="R3541" i="2"/>
  <c r="Q3541" i="2"/>
  <c r="P3541" i="2"/>
  <c r="V3540" i="2"/>
  <c r="V3540" i="2" a="1"/>
  <c r="U3540" i="2"/>
  <c r="S3540" i="2"/>
  <c r="R3540" i="2"/>
  <c r="Q3540" i="2"/>
  <c r="P3540" i="2"/>
  <c r="U3539" i="2"/>
  <c r="S3539" i="2"/>
  <c r="R3539" i="2"/>
  <c r="Q3539" i="2"/>
  <c r="P3539" i="2"/>
  <c r="V3538" i="2" a="1"/>
  <c r="V3538" i="2" s="1"/>
  <c r="U3538" i="2"/>
  <c r="S3538" i="2"/>
  <c r="R3538" i="2"/>
  <c r="Q3538" i="2"/>
  <c r="P3538" i="2"/>
  <c r="V3537" i="2"/>
  <c r="V3537" i="2" a="1"/>
  <c r="U3537" i="2"/>
  <c r="S3537" i="2"/>
  <c r="R3537" i="2"/>
  <c r="Q3537" i="2"/>
  <c r="P3537" i="2"/>
  <c r="U3536" i="2"/>
  <c r="S3536" i="2"/>
  <c r="V3536" i="2" s="1" a="1"/>
  <c r="V3536" i="2" s="1"/>
  <c r="R3536" i="2"/>
  <c r="Q3536" i="2"/>
  <c r="P3536" i="2"/>
  <c r="V3535" i="2" a="1"/>
  <c r="V3535" i="2" s="1"/>
  <c r="U3535" i="2"/>
  <c r="S3535" i="2"/>
  <c r="R3535" i="2"/>
  <c r="Q3535" i="2"/>
  <c r="P3535" i="2"/>
  <c r="U3534" i="2"/>
  <c r="S3534" i="2"/>
  <c r="R3534" i="2"/>
  <c r="Q3534" i="2"/>
  <c r="P3534" i="2"/>
  <c r="U3533" i="2"/>
  <c r="S3533" i="2"/>
  <c r="V3533" i="2" s="1" a="1"/>
  <c r="V3533" i="2" s="1"/>
  <c r="R3533" i="2"/>
  <c r="Q3533" i="2"/>
  <c r="P3533" i="2"/>
  <c r="V3532" i="2"/>
  <c r="V3532" i="2" a="1"/>
  <c r="U3532" i="2"/>
  <c r="S3532" i="2"/>
  <c r="R3532" i="2"/>
  <c r="Q3532" i="2"/>
  <c r="P3532" i="2"/>
  <c r="U3531" i="2"/>
  <c r="S3531" i="2"/>
  <c r="R3531" i="2"/>
  <c r="Q3531" i="2"/>
  <c r="P3531" i="2"/>
  <c r="V3530" i="2" a="1"/>
  <c r="V3530" i="2" s="1"/>
  <c r="U3530" i="2"/>
  <c r="S3530" i="2"/>
  <c r="R3530" i="2"/>
  <c r="Q3530" i="2"/>
  <c r="P3530" i="2"/>
  <c r="V3529" i="2"/>
  <c r="V3529" i="2" a="1"/>
  <c r="U3529" i="2"/>
  <c r="S3529" i="2"/>
  <c r="R3529" i="2"/>
  <c r="Q3529" i="2"/>
  <c r="P3529" i="2"/>
  <c r="U3528" i="2"/>
  <c r="S3528" i="2"/>
  <c r="V3528" i="2" s="1" a="1"/>
  <c r="V3528" i="2" s="1"/>
  <c r="R3528" i="2"/>
  <c r="Q3528" i="2"/>
  <c r="P3528" i="2"/>
  <c r="V3527" i="2" a="1"/>
  <c r="V3527" i="2" s="1"/>
  <c r="U3527" i="2"/>
  <c r="S3527" i="2"/>
  <c r="R3527" i="2"/>
  <c r="Q3527" i="2"/>
  <c r="P3527" i="2"/>
  <c r="U3526" i="2"/>
  <c r="S3526" i="2"/>
  <c r="R3526" i="2"/>
  <c r="Q3526" i="2"/>
  <c r="P3526" i="2"/>
  <c r="U3525" i="2"/>
  <c r="S3525" i="2"/>
  <c r="V3525" i="2" s="1" a="1"/>
  <c r="V3525" i="2" s="1"/>
  <c r="R3525" i="2"/>
  <c r="Q3525" i="2"/>
  <c r="P3525" i="2"/>
  <c r="V3524" i="2"/>
  <c r="V3524" i="2" a="1"/>
  <c r="U3524" i="2"/>
  <c r="S3524" i="2"/>
  <c r="R3524" i="2"/>
  <c r="Q3524" i="2"/>
  <c r="P3524" i="2"/>
  <c r="U3523" i="2"/>
  <c r="S3523" i="2"/>
  <c r="R3523" i="2"/>
  <c r="Q3523" i="2"/>
  <c r="P3523" i="2"/>
  <c r="V3522" i="2" a="1"/>
  <c r="V3522" i="2" s="1"/>
  <c r="U3522" i="2"/>
  <c r="S3522" i="2"/>
  <c r="R3522" i="2"/>
  <c r="Q3522" i="2"/>
  <c r="P3522" i="2"/>
  <c r="V3521" i="2"/>
  <c r="V3521" i="2" a="1"/>
  <c r="U3521" i="2"/>
  <c r="S3521" i="2"/>
  <c r="R3521" i="2"/>
  <c r="Q3521" i="2"/>
  <c r="P3521" i="2"/>
  <c r="U3520" i="2"/>
  <c r="S3520" i="2"/>
  <c r="V3520" i="2" s="1" a="1"/>
  <c r="V3520" i="2" s="1"/>
  <c r="R3520" i="2"/>
  <c r="Q3520" i="2"/>
  <c r="P3520" i="2"/>
  <c r="V3519" i="2" a="1"/>
  <c r="V3519" i="2" s="1"/>
  <c r="U3519" i="2"/>
  <c r="S3519" i="2"/>
  <c r="R3519" i="2"/>
  <c r="Q3519" i="2"/>
  <c r="P3519" i="2"/>
  <c r="U3518" i="2"/>
  <c r="S3518" i="2"/>
  <c r="R3518" i="2"/>
  <c r="Q3518" i="2"/>
  <c r="P3518" i="2"/>
  <c r="U3517" i="2"/>
  <c r="S3517" i="2"/>
  <c r="V3517" i="2" s="1" a="1"/>
  <c r="V3517" i="2" s="1"/>
  <c r="R3517" i="2"/>
  <c r="Q3517" i="2"/>
  <c r="P3517" i="2"/>
  <c r="V3516" i="2"/>
  <c r="V3516" i="2" a="1"/>
  <c r="U3516" i="2"/>
  <c r="S3516" i="2"/>
  <c r="R3516" i="2"/>
  <c r="Q3516" i="2"/>
  <c r="P3516" i="2"/>
  <c r="U3515" i="2"/>
  <c r="S3515" i="2"/>
  <c r="R3515" i="2"/>
  <c r="Q3515" i="2"/>
  <c r="P3515" i="2"/>
  <c r="V3514" i="2" a="1"/>
  <c r="V3514" i="2" s="1"/>
  <c r="U3514" i="2"/>
  <c r="S3514" i="2"/>
  <c r="R3514" i="2"/>
  <c r="Q3514" i="2"/>
  <c r="P3514" i="2"/>
  <c r="V3513" i="2"/>
  <c r="V3513" i="2" a="1"/>
  <c r="U3513" i="2"/>
  <c r="S3513" i="2"/>
  <c r="R3513" i="2"/>
  <c r="Q3513" i="2"/>
  <c r="P3513" i="2"/>
  <c r="U3512" i="2"/>
  <c r="S3512" i="2"/>
  <c r="V3512" i="2" s="1" a="1"/>
  <c r="V3512" i="2" s="1"/>
  <c r="R3512" i="2"/>
  <c r="Q3512" i="2"/>
  <c r="P3512" i="2"/>
  <c r="V3511" i="2" a="1"/>
  <c r="V3511" i="2" s="1"/>
  <c r="U3511" i="2"/>
  <c r="S3511" i="2"/>
  <c r="R3511" i="2"/>
  <c r="Q3511" i="2"/>
  <c r="P3511" i="2"/>
  <c r="U3510" i="2"/>
  <c r="S3510" i="2"/>
  <c r="R3510" i="2"/>
  <c r="Q3510" i="2"/>
  <c r="P3510" i="2"/>
  <c r="U3509" i="2"/>
  <c r="S3509" i="2"/>
  <c r="V3509" i="2" s="1" a="1"/>
  <c r="V3509" i="2" s="1"/>
  <c r="R3509" i="2"/>
  <c r="Q3509" i="2"/>
  <c r="P3509" i="2"/>
  <c r="V3508" i="2"/>
  <c r="V3508" i="2" a="1"/>
  <c r="U3508" i="2"/>
  <c r="S3508" i="2"/>
  <c r="R3508" i="2"/>
  <c r="Q3508" i="2"/>
  <c r="P3508" i="2"/>
  <c r="U3507" i="2"/>
  <c r="S3507" i="2"/>
  <c r="R3507" i="2"/>
  <c r="Q3507" i="2"/>
  <c r="P3507" i="2"/>
  <c r="V3506" i="2" a="1"/>
  <c r="V3506" i="2" s="1"/>
  <c r="U3506" i="2"/>
  <c r="S3506" i="2"/>
  <c r="R3506" i="2"/>
  <c r="Q3506" i="2"/>
  <c r="P3506" i="2"/>
  <c r="V3505" i="2"/>
  <c r="V3505" i="2" a="1"/>
  <c r="U3505" i="2"/>
  <c r="S3505" i="2"/>
  <c r="R3505" i="2"/>
  <c r="Q3505" i="2"/>
  <c r="P3505" i="2"/>
  <c r="U3504" i="2"/>
  <c r="S3504" i="2"/>
  <c r="V3504" i="2" s="1" a="1"/>
  <c r="V3504" i="2" s="1"/>
  <c r="R3504" i="2"/>
  <c r="Q3504" i="2"/>
  <c r="P3504" i="2"/>
  <c r="V3503" i="2" a="1"/>
  <c r="V3503" i="2" s="1"/>
  <c r="U3503" i="2"/>
  <c r="S3503" i="2"/>
  <c r="R3503" i="2"/>
  <c r="Q3503" i="2"/>
  <c r="P3503" i="2"/>
  <c r="U3502" i="2"/>
  <c r="S3502" i="2"/>
  <c r="R3502" i="2"/>
  <c r="Q3502" i="2"/>
  <c r="P3502" i="2"/>
  <c r="U3501" i="2"/>
  <c r="S3501" i="2"/>
  <c r="V3501" i="2" s="1" a="1"/>
  <c r="V3501" i="2" s="1"/>
  <c r="R3501" i="2"/>
  <c r="Q3501" i="2"/>
  <c r="P3501" i="2"/>
  <c r="V3500" i="2"/>
  <c r="V3500" i="2" a="1"/>
  <c r="U3500" i="2"/>
  <c r="S3500" i="2"/>
  <c r="R3500" i="2"/>
  <c r="Q3500" i="2"/>
  <c r="P3500" i="2"/>
  <c r="U3499" i="2"/>
  <c r="S3499" i="2"/>
  <c r="R3499" i="2"/>
  <c r="Q3499" i="2"/>
  <c r="P3499" i="2"/>
  <c r="V3498" i="2" a="1"/>
  <c r="V3498" i="2" s="1"/>
  <c r="U3498" i="2"/>
  <c r="S3498" i="2"/>
  <c r="R3498" i="2"/>
  <c r="Q3498" i="2"/>
  <c r="P3498" i="2"/>
  <c r="V3497" i="2"/>
  <c r="V3497" i="2" a="1"/>
  <c r="U3497" i="2"/>
  <c r="S3497" i="2"/>
  <c r="R3497" i="2"/>
  <c r="Q3497" i="2"/>
  <c r="P3497" i="2"/>
  <c r="U3496" i="2"/>
  <c r="S3496" i="2"/>
  <c r="V3496" i="2" s="1" a="1"/>
  <c r="V3496" i="2" s="1"/>
  <c r="R3496" i="2"/>
  <c r="Q3496" i="2"/>
  <c r="P3496" i="2"/>
  <c r="V3495" i="2" a="1"/>
  <c r="V3495" i="2" s="1"/>
  <c r="U3495" i="2"/>
  <c r="S3495" i="2"/>
  <c r="R3495" i="2"/>
  <c r="Q3495" i="2"/>
  <c r="P3495" i="2"/>
  <c r="U3494" i="2"/>
  <c r="S3494" i="2"/>
  <c r="R3494" i="2"/>
  <c r="Q3494" i="2"/>
  <c r="P3494" i="2"/>
  <c r="U3493" i="2"/>
  <c r="S3493" i="2"/>
  <c r="V3493" i="2" s="1" a="1"/>
  <c r="V3493" i="2" s="1"/>
  <c r="R3493" i="2"/>
  <c r="Q3493" i="2"/>
  <c r="P3493" i="2"/>
  <c r="V3492" i="2"/>
  <c r="V3492" i="2" a="1"/>
  <c r="U3492" i="2"/>
  <c r="S3492" i="2"/>
  <c r="R3492" i="2"/>
  <c r="Q3492" i="2"/>
  <c r="P3492" i="2"/>
  <c r="U3491" i="2"/>
  <c r="S3491" i="2"/>
  <c r="R3491" i="2"/>
  <c r="Q3491" i="2"/>
  <c r="P3491" i="2"/>
  <c r="V3490" i="2" a="1"/>
  <c r="V3490" i="2" s="1"/>
  <c r="U3490" i="2"/>
  <c r="S3490" i="2"/>
  <c r="R3490" i="2"/>
  <c r="Q3490" i="2"/>
  <c r="P3490" i="2"/>
  <c r="V3489" i="2"/>
  <c r="V3489" i="2" a="1"/>
  <c r="U3489" i="2"/>
  <c r="S3489" i="2"/>
  <c r="R3489" i="2"/>
  <c r="Q3489" i="2"/>
  <c r="P3489" i="2"/>
  <c r="U3488" i="2"/>
  <c r="S3488" i="2"/>
  <c r="V3488" i="2" s="1" a="1"/>
  <c r="V3488" i="2" s="1"/>
  <c r="R3488" i="2"/>
  <c r="Q3488" i="2"/>
  <c r="P3488" i="2"/>
  <c r="V3487" i="2" a="1"/>
  <c r="V3487" i="2" s="1"/>
  <c r="U3487" i="2"/>
  <c r="S3487" i="2"/>
  <c r="R3487" i="2"/>
  <c r="Q3487" i="2"/>
  <c r="P3487" i="2"/>
  <c r="U3486" i="2"/>
  <c r="S3486" i="2"/>
  <c r="R3486" i="2"/>
  <c r="Q3486" i="2"/>
  <c r="P3486" i="2"/>
  <c r="U3485" i="2"/>
  <c r="S3485" i="2"/>
  <c r="V3485" i="2" s="1" a="1"/>
  <c r="V3485" i="2" s="1"/>
  <c r="R3485" i="2"/>
  <c r="Q3485" i="2"/>
  <c r="P3485" i="2"/>
  <c r="V3484" i="2"/>
  <c r="V3484" i="2" a="1"/>
  <c r="U3484" i="2"/>
  <c r="S3484" i="2"/>
  <c r="R3484" i="2"/>
  <c r="Q3484" i="2"/>
  <c r="P3484" i="2"/>
  <c r="U3483" i="2"/>
  <c r="S3483" i="2"/>
  <c r="R3483" i="2"/>
  <c r="Q3483" i="2"/>
  <c r="P3483" i="2"/>
  <c r="V3482" i="2" a="1"/>
  <c r="V3482" i="2" s="1"/>
  <c r="U3482" i="2"/>
  <c r="S3482" i="2"/>
  <c r="R3482" i="2"/>
  <c r="Q3482" i="2"/>
  <c r="P3482" i="2"/>
  <c r="V3481" i="2"/>
  <c r="V3481" i="2" a="1"/>
  <c r="U3481" i="2"/>
  <c r="S3481" i="2"/>
  <c r="R3481" i="2"/>
  <c r="Q3481" i="2"/>
  <c r="P3481" i="2"/>
  <c r="U3480" i="2"/>
  <c r="S3480" i="2"/>
  <c r="V3480" i="2" s="1" a="1"/>
  <c r="V3480" i="2" s="1"/>
  <c r="R3480" i="2"/>
  <c r="Q3480" i="2"/>
  <c r="P3480" i="2"/>
  <c r="V3479" i="2" a="1"/>
  <c r="V3479" i="2" s="1"/>
  <c r="U3479" i="2"/>
  <c r="S3479" i="2"/>
  <c r="R3479" i="2"/>
  <c r="Q3479" i="2"/>
  <c r="P3479" i="2"/>
  <c r="U3478" i="2"/>
  <c r="S3478" i="2"/>
  <c r="R3478" i="2"/>
  <c r="Q3478" i="2"/>
  <c r="P3478" i="2"/>
  <c r="U3477" i="2"/>
  <c r="S3477" i="2"/>
  <c r="V3477" i="2" s="1" a="1"/>
  <c r="V3477" i="2" s="1"/>
  <c r="R3477" i="2"/>
  <c r="Q3477" i="2"/>
  <c r="P3477" i="2"/>
  <c r="V3476" i="2"/>
  <c r="V3476" i="2" a="1"/>
  <c r="U3476" i="2"/>
  <c r="S3476" i="2"/>
  <c r="R3476" i="2"/>
  <c r="Q3476" i="2"/>
  <c r="P3476" i="2"/>
  <c r="U3475" i="2"/>
  <c r="S3475" i="2"/>
  <c r="R3475" i="2"/>
  <c r="Q3475" i="2"/>
  <c r="P3475" i="2"/>
  <c r="V3474" i="2" a="1"/>
  <c r="V3474" i="2" s="1"/>
  <c r="U3474" i="2"/>
  <c r="S3474" i="2"/>
  <c r="R3474" i="2"/>
  <c r="Q3474" i="2"/>
  <c r="P3474" i="2"/>
  <c r="V3473" i="2" a="1"/>
  <c r="V3473" i="2" s="1"/>
  <c r="U3473" i="2"/>
  <c r="S3473" i="2"/>
  <c r="R3473" i="2"/>
  <c r="Q3473" i="2"/>
  <c r="P3473" i="2"/>
  <c r="U3472" i="2"/>
  <c r="S3472" i="2"/>
  <c r="V3472" i="2" s="1" a="1"/>
  <c r="V3472" i="2" s="1"/>
  <c r="R3472" i="2"/>
  <c r="Q3472" i="2"/>
  <c r="P3472" i="2"/>
  <c r="V3471" i="2" a="1"/>
  <c r="V3471" i="2" s="1"/>
  <c r="U3471" i="2"/>
  <c r="S3471" i="2"/>
  <c r="R3471" i="2"/>
  <c r="Q3471" i="2"/>
  <c r="P3471" i="2"/>
  <c r="U3470" i="2"/>
  <c r="S3470" i="2"/>
  <c r="R3470" i="2"/>
  <c r="Q3470" i="2"/>
  <c r="P3470" i="2"/>
  <c r="U3469" i="2"/>
  <c r="S3469" i="2"/>
  <c r="V3469" i="2" s="1" a="1"/>
  <c r="V3469" i="2" s="1"/>
  <c r="R3469" i="2"/>
  <c r="Q3469" i="2"/>
  <c r="P3469" i="2"/>
  <c r="V3468" i="2"/>
  <c r="V3468" i="2" a="1"/>
  <c r="U3468" i="2"/>
  <c r="S3468" i="2"/>
  <c r="R3468" i="2"/>
  <c r="Q3468" i="2"/>
  <c r="P3468" i="2"/>
  <c r="U3467" i="2"/>
  <c r="S3467" i="2"/>
  <c r="R3467" i="2"/>
  <c r="Q3467" i="2"/>
  <c r="P3467" i="2"/>
  <c r="V3466" i="2" a="1"/>
  <c r="V3466" i="2" s="1"/>
  <c r="U3466" i="2"/>
  <c r="S3466" i="2"/>
  <c r="R3466" i="2"/>
  <c r="Q3466" i="2"/>
  <c r="P3466" i="2"/>
  <c r="V3465" i="2" a="1"/>
  <c r="V3465" i="2" s="1"/>
  <c r="U3465" i="2"/>
  <c r="S3465" i="2"/>
  <c r="R3465" i="2"/>
  <c r="Q3465" i="2"/>
  <c r="P3465" i="2"/>
  <c r="U3464" i="2"/>
  <c r="S3464" i="2"/>
  <c r="V3464" i="2" s="1" a="1"/>
  <c r="V3464" i="2" s="1"/>
  <c r="R3464" i="2"/>
  <c r="Q3464" i="2"/>
  <c r="P3464" i="2"/>
  <c r="V3463" i="2" a="1"/>
  <c r="V3463" i="2" s="1"/>
  <c r="U3463" i="2"/>
  <c r="S3463" i="2"/>
  <c r="R3463" i="2"/>
  <c r="Q3463" i="2"/>
  <c r="P3463" i="2"/>
  <c r="U3462" i="2"/>
  <c r="S3462" i="2"/>
  <c r="R3462" i="2"/>
  <c r="Q3462" i="2"/>
  <c r="P3462" i="2"/>
  <c r="U3461" i="2"/>
  <c r="S3461" i="2"/>
  <c r="V3461" i="2" s="1" a="1"/>
  <c r="V3461" i="2" s="1"/>
  <c r="R3461" i="2"/>
  <c r="Q3461" i="2"/>
  <c r="P3461" i="2"/>
  <c r="V3460" i="2"/>
  <c r="V3460" i="2" a="1"/>
  <c r="U3460" i="2"/>
  <c r="S3460" i="2"/>
  <c r="R3460" i="2"/>
  <c r="Q3460" i="2"/>
  <c r="P3460" i="2"/>
  <c r="U3459" i="2"/>
  <c r="S3459" i="2"/>
  <c r="R3459" i="2"/>
  <c r="Q3459" i="2"/>
  <c r="P3459" i="2"/>
  <c r="V3458" i="2" a="1"/>
  <c r="V3458" i="2" s="1"/>
  <c r="U3458" i="2"/>
  <c r="S3458" i="2"/>
  <c r="R3458" i="2"/>
  <c r="Q3458" i="2"/>
  <c r="P3458" i="2"/>
  <c r="V3457" i="2"/>
  <c r="V3457" i="2" a="1"/>
  <c r="U3457" i="2"/>
  <c r="S3457" i="2"/>
  <c r="R3457" i="2"/>
  <c r="Q3457" i="2"/>
  <c r="P3457" i="2"/>
  <c r="U3456" i="2"/>
  <c r="S3456" i="2"/>
  <c r="V3456" i="2" s="1" a="1"/>
  <c r="V3456" i="2" s="1"/>
  <c r="R3456" i="2"/>
  <c r="Q3456" i="2"/>
  <c r="P3456" i="2"/>
  <c r="V3455" i="2" a="1"/>
  <c r="V3455" i="2" s="1"/>
  <c r="U3455" i="2"/>
  <c r="S3455" i="2"/>
  <c r="R3455" i="2"/>
  <c r="Q3455" i="2"/>
  <c r="P3455" i="2"/>
  <c r="U3454" i="2"/>
  <c r="S3454" i="2"/>
  <c r="R3454" i="2"/>
  <c r="Q3454" i="2"/>
  <c r="P3454" i="2"/>
  <c r="U3453" i="2"/>
  <c r="S3453" i="2"/>
  <c r="R3453" i="2"/>
  <c r="Q3453" i="2"/>
  <c r="P3453" i="2"/>
  <c r="V3452" i="2"/>
  <c r="V3452" i="2" a="1"/>
  <c r="U3452" i="2"/>
  <c r="S3452" i="2"/>
  <c r="R3452" i="2"/>
  <c r="Q3452" i="2"/>
  <c r="P3452" i="2"/>
  <c r="U3451" i="2"/>
  <c r="S3451" i="2"/>
  <c r="R3451" i="2"/>
  <c r="Q3451" i="2"/>
  <c r="P3451" i="2"/>
  <c r="V3450" i="2" a="1"/>
  <c r="V3450" i="2" s="1"/>
  <c r="U3450" i="2"/>
  <c r="S3450" i="2"/>
  <c r="R3450" i="2"/>
  <c r="Q3450" i="2"/>
  <c r="P3450" i="2"/>
  <c r="V3449" i="2" a="1"/>
  <c r="V3449" i="2" s="1"/>
  <c r="U3449" i="2"/>
  <c r="S3449" i="2"/>
  <c r="R3449" i="2"/>
  <c r="Q3449" i="2"/>
  <c r="P3449" i="2"/>
  <c r="V3448" i="2"/>
  <c r="U3448" i="2"/>
  <c r="S3448" i="2"/>
  <c r="V3448" i="2" s="1" a="1"/>
  <c r="R3448" i="2"/>
  <c r="Q3448" i="2"/>
  <c r="P3448" i="2"/>
  <c r="V3447" i="2" a="1"/>
  <c r="V3447" i="2" s="1"/>
  <c r="U3447" i="2"/>
  <c r="S3447" i="2"/>
  <c r="R3447" i="2"/>
  <c r="Q3447" i="2"/>
  <c r="P3447" i="2"/>
  <c r="U3446" i="2"/>
  <c r="S3446" i="2"/>
  <c r="R3446" i="2"/>
  <c r="Q3446" i="2"/>
  <c r="P3446" i="2"/>
  <c r="U3445" i="2"/>
  <c r="S3445" i="2"/>
  <c r="R3445" i="2"/>
  <c r="Q3445" i="2"/>
  <c r="P3445" i="2"/>
  <c r="V3444" i="2"/>
  <c r="V3444" i="2" a="1"/>
  <c r="U3444" i="2"/>
  <c r="S3444" i="2"/>
  <c r="R3444" i="2"/>
  <c r="Q3444" i="2"/>
  <c r="P3444" i="2"/>
  <c r="U3443" i="2"/>
  <c r="S3443" i="2"/>
  <c r="R3443" i="2"/>
  <c r="Q3443" i="2"/>
  <c r="P3443" i="2"/>
  <c r="V3442" i="2" a="1"/>
  <c r="V3442" i="2" s="1"/>
  <c r="U3442" i="2"/>
  <c r="S3442" i="2"/>
  <c r="R3442" i="2"/>
  <c r="Q3442" i="2"/>
  <c r="P3442" i="2"/>
  <c r="V3441" i="2" a="1"/>
  <c r="V3441" i="2" s="1"/>
  <c r="U3441" i="2"/>
  <c r="S3441" i="2"/>
  <c r="R3441" i="2"/>
  <c r="Q3441" i="2"/>
  <c r="P3441" i="2"/>
  <c r="V3440" i="2"/>
  <c r="U3440" i="2"/>
  <c r="S3440" i="2"/>
  <c r="V3440" i="2" s="1" a="1"/>
  <c r="R3440" i="2"/>
  <c r="Q3440" i="2"/>
  <c r="P3440" i="2"/>
  <c r="V3439" i="2" a="1"/>
  <c r="V3439" i="2" s="1"/>
  <c r="U3439" i="2"/>
  <c r="S3439" i="2"/>
  <c r="R3439" i="2"/>
  <c r="Q3439" i="2"/>
  <c r="P3439" i="2"/>
  <c r="U3438" i="2"/>
  <c r="S3438" i="2"/>
  <c r="R3438" i="2"/>
  <c r="Q3438" i="2"/>
  <c r="P3438" i="2"/>
  <c r="U3437" i="2"/>
  <c r="S3437" i="2"/>
  <c r="R3437" i="2"/>
  <c r="Q3437" i="2"/>
  <c r="P3437" i="2"/>
  <c r="V3436" i="2"/>
  <c r="V3436" i="2" a="1"/>
  <c r="U3436" i="2"/>
  <c r="S3436" i="2"/>
  <c r="R3436" i="2"/>
  <c r="Q3436" i="2"/>
  <c r="P3436" i="2"/>
  <c r="U3435" i="2"/>
  <c r="S3435" i="2"/>
  <c r="R3435" i="2"/>
  <c r="Q3435" i="2"/>
  <c r="P3435" i="2"/>
  <c r="V3434" i="2" a="1"/>
  <c r="V3434" i="2" s="1"/>
  <c r="U3434" i="2"/>
  <c r="S3434" i="2"/>
  <c r="R3434" i="2"/>
  <c r="Q3434" i="2"/>
  <c r="P3434" i="2"/>
  <c r="V3433" i="2" a="1"/>
  <c r="V3433" i="2" s="1"/>
  <c r="U3433" i="2"/>
  <c r="S3433" i="2"/>
  <c r="R3433" i="2"/>
  <c r="Q3433" i="2"/>
  <c r="P3433" i="2"/>
  <c r="U3432" i="2"/>
  <c r="S3432" i="2"/>
  <c r="V3432" i="2" s="1" a="1"/>
  <c r="V3432" i="2" s="1"/>
  <c r="R3432" i="2"/>
  <c r="Q3432" i="2"/>
  <c r="P3432" i="2"/>
  <c r="V3431" i="2" a="1"/>
  <c r="V3431" i="2" s="1"/>
  <c r="U3431" i="2"/>
  <c r="S3431" i="2"/>
  <c r="R3431" i="2"/>
  <c r="Q3431" i="2"/>
  <c r="P3431" i="2"/>
  <c r="U3430" i="2"/>
  <c r="S3430" i="2"/>
  <c r="R3430" i="2"/>
  <c r="Q3430" i="2"/>
  <c r="P3430" i="2"/>
  <c r="V3429" i="2" a="1"/>
  <c r="V3429" i="2" s="1"/>
  <c r="U3429" i="2"/>
  <c r="S3429" i="2"/>
  <c r="R3429" i="2"/>
  <c r="Q3429" i="2"/>
  <c r="P3429" i="2"/>
  <c r="V3428" i="2"/>
  <c r="V3428" i="2" a="1"/>
  <c r="U3428" i="2"/>
  <c r="S3428" i="2"/>
  <c r="R3428" i="2"/>
  <c r="Q3428" i="2"/>
  <c r="P3428" i="2"/>
  <c r="U3427" i="2"/>
  <c r="S3427" i="2"/>
  <c r="R3427" i="2"/>
  <c r="Q3427" i="2"/>
  <c r="P3427" i="2"/>
  <c r="V3426" i="2" a="1"/>
  <c r="V3426" i="2" s="1"/>
  <c r="U3426" i="2"/>
  <c r="S3426" i="2"/>
  <c r="R3426" i="2"/>
  <c r="Q3426" i="2"/>
  <c r="P3426" i="2"/>
  <c r="U3425" i="2"/>
  <c r="S3425" i="2"/>
  <c r="R3425" i="2"/>
  <c r="Q3425" i="2"/>
  <c r="P3425" i="2"/>
  <c r="U3424" i="2"/>
  <c r="S3424" i="2"/>
  <c r="V3424" i="2" s="1" a="1"/>
  <c r="V3424" i="2" s="1"/>
  <c r="R3424" i="2"/>
  <c r="Q3424" i="2"/>
  <c r="P3424" i="2"/>
  <c r="V3423" i="2" a="1"/>
  <c r="V3423" i="2" s="1"/>
  <c r="U3423" i="2"/>
  <c r="S3423" i="2"/>
  <c r="R3423" i="2"/>
  <c r="Q3423" i="2"/>
  <c r="P3423" i="2"/>
  <c r="U3422" i="2"/>
  <c r="S3422" i="2"/>
  <c r="R3422" i="2"/>
  <c r="Q3422" i="2"/>
  <c r="P3422" i="2"/>
  <c r="V3421" i="2" a="1"/>
  <c r="V3421" i="2" s="1"/>
  <c r="U3421" i="2"/>
  <c r="S3421" i="2"/>
  <c r="R3421" i="2"/>
  <c r="Q3421" i="2"/>
  <c r="P3421" i="2"/>
  <c r="V3420" i="2"/>
  <c r="V3420" i="2" a="1"/>
  <c r="U3420" i="2"/>
  <c r="S3420" i="2"/>
  <c r="R3420" i="2"/>
  <c r="Q3420" i="2"/>
  <c r="P3420" i="2"/>
  <c r="U3419" i="2"/>
  <c r="S3419" i="2"/>
  <c r="R3419" i="2"/>
  <c r="Q3419" i="2"/>
  <c r="P3419" i="2"/>
  <c r="V3418" i="2" a="1"/>
  <c r="V3418" i="2" s="1"/>
  <c r="U3418" i="2"/>
  <c r="S3418" i="2"/>
  <c r="R3418" i="2"/>
  <c r="Q3418" i="2"/>
  <c r="P3418" i="2"/>
  <c r="V3417" i="2" a="1"/>
  <c r="V3417" i="2" s="1"/>
  <c r="U3417" i="2"/>
  <c r="S3417" i="2"/>
  <c r="R3417" i="2"/>
  <c r="Q3417" i="2"/>
  <c r="P3417" i="2"/>
  <c r="V3416" i="2"/>
  <c r="U3416" i="2"/>
  <c r="S3416" i="2"/>
  <c r="V3416" i="2" s="1" a="1"/>
  <c r="R3416" i="2"/>
  <c r="Q3416" i="2"/>
  <c r="P3416" i="2"/>
  <c r="V3415" i="2" a="1"/>
  <c r="V3415" i="2" s="1"/>
  <c r="U3415" i="2"/>
  <c r="S3415" i="2"/>
  <c r="R3415" i="2"/>
  <c r="Q3415" i="2"/>
  <c r="P3415" i="2"/>
  <c r="U3414" i="2"/>
  <c r="S3414" i="2"/>
  <c r="R3414" i="2"/>
  <c r="Q3414" i="2"/>
  <c r="P3414" i="2"/>
  <c r="U3413" i="2"/>
  <c r="S3413" i="2"/>
  <c r="R3413" i="2"/>
  <c r="Q3413" i="2"/>
  <c r="P3413" i="2"/>
  <c r="V3412" i="2" a="1"/>
  <c r="V3412" i="2" s="1"/>
  <c r="U3412" i="2"/>
  <c r="S3412" i="2"/>
  <c r="R3412" i="2"/>
  <c r="Q3412" i="2"/>
  <c r="P3412" i="2"/>
  <c r="U3411" i="2"/>
  <c r="S3411" i="2"/>
  <c r="R3411" i="2"/>
  <c r="Q3411" i="2"/>
  <c r="P3411" i="2"/>
  <c r="V3410" i="2" a="1"/>
  <c r="V3410" i="2" s="1"/>
  <c r="U3410" i="2"/>
  <c r="S3410" i="2"/>
  <c r="R3410" i="2"/>
  <c r="Q3410" i="2"/>
  <c r="P3410" i="2"/>
  <c r="U3409" i="2"/>
  <c r="S3409" i="2"/>
  <c r="R3409" i="2"/>
  <c r="Q3409" i="2"/>
  <c r="P3409" i="2"/>
  <c r="U3408" i="2"/>
  <c r="S3408" i="2"/>
  <c r="V3408" i="2" s="1" a="1"/>
  <c r="V3408" i="2" s="1"/>
  <c r="R3408" i="2"/>
  <c r="Q3408" i="2"/>
  <c r="P3408" i="2"/>
  <c r="V3407" i="2" a="1"/>
  <c r="V3407" i="2" s="1"/>
  <c r="U3407" i="2"/>
  <c r="S3407" i="2"/>
  <c r="R3407" i="2"/>
  <c r="Q3407" i="2"/>
  <c r="P3407" i="2"/>
  <c r="U3406" i="2"/>
  <c r="S3406" i="2"/>
  <c r="R3406" i="2"/>
  <c r="Q3406" i="2"/>
  <c r="P3406" i="2"/>
  <c r="V3405" i="2" a="1"/>
  <c r="V3405" i="2" s="1"/>
  <c r="U3405" i="2"/>
  <c r="S3405" i="2"/>
  <c r="R3405" i="2"/>
  <c r="Q3405" i="2"/>
  <c r="P3405" i="2"/>
  <c r="V3404" i="2"/>
  <c r="V3404" i="2" a="1"/>
  <c r="U3404" i="2"/>
  <c r="S3404" i="2"/>
  <c r="R3404" i="2"/>
  <c r="Q3404" i="2"/>
  <c r="P3404" i="2"/>
  <c r="U3403" i="2"/>
  <c r="S3403" i="2"/>
  <c r="R3403" i="2"/>
  <c r="Q3403" i="2"/>
  <c r="P3403" i="2"/>
  <c r="V3402" i="2" a="1"/>
  <c r="V3402" i="2" s="1"/>
  <c r="U3402" i="2"/>
  <c r="S3402" i="2"/>
  <c r="R3402" i="2"/>
  <c r="Q3402" i="2"/>
  <c r="P3402" i="2"/>
  <c r="V3401" i="2" a="1"/>
  <c r="V3401" i="2" s="1"/>
  <c r="U3401" i="2"/>
  <c r="S3401" i="2"/>
  <c r="R3401" i="2"/>
  <c r="Q3401" i="2"/>
  <c r="P3401" i="2"/>
  <c r="V3400" i="2"/>
  <c r="U3400" i="2"/>
  <c r="S3400" i="2"/>
  <c r="V3400" i="2" s="1" a="1"/>
  <c r="R3400" i="2"/>
  <c r="Q3400" i="2"/>
  <c r="P3400" i="2"/>
  <c r="V3399" i="2" a="1"/>
  <c r="V3399" i="2" s="1"/>
  <c r="U3399" i="2"/>
  <c r="S3399" i="2"/>
  <c r="R3399" i="2"/>
  <c r="Q3399" i="2"/>
  <c r="P3399" i="2"/>
  <c r="U3398" i="2"/>
  <c r="S3398" i="2"/>
  <c r="R3398" i="2"/>
  <c r="Q3398" i="2"/>
  <c r="P3398" i="2"/>
  <c r="U3397" i="2"/>
  <c r="S3397" i="2"/>
  <c r="R3397" i="2"/>
  <c r="Q3397" i="2"/>
  <c r="P3397" i="2"/>
  <c r="V3396" i="2" a="1"/>
  <c r="V3396" i="2" s="1"/>
  <c r="U3396" i="2"/>
  <c r="S3396" i="2"/>
  <c r="R3396" i="2"/>
  <c r="Q3396" i="2"/>
  <c r="P3396" i="2"/>
  <c r="U3395" i="2"/>
  <c r="S3395" i="2"/>
  <c r="R3395" i="2"/>
  <c r="Q3395" i="2"/>
  <c r="P3395" i="2"/>
  <c r="V3394" i="2" a="1"/>
  <c r="V3394" i="2" s="1"/>
  <c r="U3394" i="2"/>
  <c r="S3394" i="2"/>
  <c r="R3394" i="2"/>
  <c r="Q3394" i="2"/>
  <c r="P3394" i="2"/>
  <c r="U3393" i="2"/>
  <c r="S3393" i="2"/>
  <c r="R3393" i="2"/>
  <c r="Q3393" i="2"/>
  <c r="P3393" i="2"/>
  <c r="U3392" i="2"/>
  <c r="S3392" i="2"/>
  <c r="V3392" i="2" s="1" a="1"/>
  <c r="V3392" i="2" s="1"/>
  <c r="R3392" i="2"/>
  <c r="Q3392" i="2"/>
  <c r="P3392" i="2"/>
  <c r="V3391" i="2" a="1"/>
  <c r="V3391" i="2" s="1"/>
  <c r="U3391" i="2"/>
  <c r="S3391" i="2"/>
  <c r="R3391" i="2"/>
  <c r="Q3391" i="2"/>
  <c r="P3391" i="2"/>
  <c r="U3390" i="2"/>
  <c r="S3390" i="2"/>
  <c r="R3390" i="2"/>
  <c r="Q3390" i="2"/>
  <c r="P3390" i="2"/>
  <c r="V3389" i="2" a="1"/>
  <c r="V3389" i="2" s="1"/>
  <c r="U3389" i="2"/>
  <c r="S3389" i="2"/>
  <c r="R3389" i="2"/>
  <c r="Q3389" i="2"/>
  <c r="P3389" i="2"/>
  <c r="V3388" i="2"/>
  <c r="V3388" i="2" a="1"/>
  <c r="U3388" i="2"/>
  <c r="S3388" i="2"/>
  <c r="R3388" i="2"/>
  <c r="Q3388" i="2"/>
  <c r="P3388" i="2"/>
  <c r="U3387" i="2"/>
  <c r="S3387" i="2"/>
  <c r="R3387" i="2"/>
  <c r="Q3387" i="2"/>
  <c r="P3387" i="2"/>
  <c r="V3386" i="2" a="1"/>
  <c r="V3386" i="2" s="1"/>
  <c r="U3386" i="2"/>
  <c r="S3386" i="2"/>
  <c r="R3386" i="2"/>
  <c r="Q3386" i="2"/>
  <c r="P3386" i="2"/>
  <c r="V3385" i="2" a="1"/>
  <c r="V3385" i="2" s="1"/>
  <c r="U3385" i="2"/>
  <c r="S3385" i="2"/>
  <c r="R3385" i="2"/>
  <c r="Q3385" i="2"/>
  <c r="P3385" i="2"/>
  <c r="V3384" i="2"/>
  <c r="U3384" i="2"/>
  <c r="S3384" i="2"/>
  <c r="V3384" i="2" s="1" a="1"/>
  <c r="R3384" i="2"/>
  <c r="Q3384" i="2"/>
  <c r="P3384" i="2"/>
  <c r="V3383" i="2" a="1"/>
  <c r="V3383" i="2" s="1"/>
  <c r="U3383" i="2"/>
  <c r="S3383" i="2"/>
  <c r="R3383" i="2"/>
  <c r="Q3383" i="2"/>
  <c r="P3383" i="2"/>
  <c r="U3382" i="2"/>
  <c r="S3382" i="2"/>
  <c r="R3382" i="2"/>
  <c r="Q3382" i="2"/>
  <c r="P3382" i="2"/>
  <c r="U3381" i="2"/>
  <c r="S3381" i="2"/>
  <c r="R3381" i="2"/>
  <c r="Q3381" i="2"/>
  <c r="P3381" i="2"/>
  <c r="V3380" i="2" a="1"/>
  <c r="V3380" i="2" s="1"/>
  <c r="U3380" i="2"/>
  <c r="S3380" i="2"/>
  <c r="R3380" i="2"/>
  <c r="Q3380" i="2"/>
  <c r="P3380" i="2"/>
  <c r="U3379" i="2"/>
  <c r="S3379" i="2"/>
  <c r="R3379" i="2"/>
  <c r="Q3379" i="2"/>
  <c r="P3379" i="2"/>
  <c r="V3378" i="2" a="1"/>
  <c r="V3378" i="2" s="1"/>
  <c r="U3378" i="2"/>
  <c r="S3378" i="2"/>
  <c r="R3378" i="2"/>
  <c r="Q3378" i="2"/>
  <c r="P3378" i="2"/>
  <c r="U3377" i="2"/>
  <c r="S3377" i="2"/>
  <c r="R3377" i="2"/>
  <c r="Q3377" i="2"/>
  <c r="P3377" i="2"/>
  <c r="U3376" i="2"/>
  <c r="S3376" i="2"/>
  <c r="V3376" i="2" s="1" a="1"/>
  <c r="V3376" i="2" s="1"/>
  <c r="R3376" i="2"/>
  <c r="Q3376" i="2"/>
  <c r="P3376" i="2"/>
  <c r="V3375" i="2" a="1"/>
  <c r="V3375" i="2" s="1"/>
  <c r="U3375" i="2"/>
  <c r="S3375" i="2"/>
  <c r="R3375" i="2"/>
  <c r="Q3375" i="2"/>
  <c r="P3375" i="2"/>
  <c r="U3374" i="2"/>
  <c r="S3374" i="2"/>
  <c r="R3374" i="2"/>
  <c r="Q3374" i="2"/>
  <c r="P3374" i="2"/>
  <c r="V3373" i="2" a="1"/>
  <c r="V3373" i="2" s="1"/>
  <c r="U3373" i="2"/>
  <c r="S3373" i="2"/>
  <c r="R3373" i="2"/>
  <c r="Q3373" i="2"/>
  <c r="P3373" i="2"/>
  <c r="V3372" i="2"/>
  <c r="V3372" i="2" a="1"/>
  <c r="U3372" i="2"/>
  <c r="S3372" i="2"/>
  <c r="R3372" i="2"/>
  <c r="Q3372" i="2"/>
  <c r="P3372" i="2"/>
  <c r="U3371" i="2"/>
  <c r="S3371" i="2"/>
  <c r="R3371" i="2"/>
  <c r="Q3371" i="2"/>
  <c r="P3371" i="2"/>
  <c r="V3370" i="2" a="1"/>
  <c r="V3370" i="2" s="1"/>
  <c r="U3370" i="2"/>
  <c r="S3370" i="2"/>
  <c r="R3370" i="2"/>
  <c r="Q3370" i="2"/>
  <c r="P3370" i="2"/>
  <c r="V3369" i="2" a="1"/>
  <c r="V3369" i="2" s="1"/>
  <c r="U3369" i="2"/>
  <c r="S3369" i="2"/>
  <c r="R3369" i="2"/>
  <c r="Q3369" i="2"/>
  <c r="P3369" i="2"/>
  <c r="U3368" i="2"/>
  <c r="S3368" i="2"/>
  <c r="V3368" i="2" s="1" a="1"/>
  <c r="V3368" i="2" s="1"/>
  <c r="R3368" i="2"/>
  <c r="Q3368" i="2"/>
  <c r="P3368" i="2"/>
  <c r="V3367" i="2" a="1"/>
  <c r="V3367" i="2" s="1"/>
  <c r="U3367" i="2"/>
  <c r="S3367" i="2"/>
  <c r="R3367" i="2"/>
  <c r="Q3367" i="2"/>
  <c r="P3367" i="2"/>
  <c r="U3366" i="2"/>
  <c r="S3366" i="2"/>
  <c r="R3366" i="2"/>
  <c r="Q3366" i="2"/>
  <c r="P3366" i="2"/>
  <c r="U3365" i="2"/>
  <c r="S3365" i="2"/>
  <c r="R3365" i="2"/>
  <c r="Q3365" i="2"/>
  <c r="P3365" i="2"/>
  <c r="V3364" i="2"/>
  <c r="V3364" i="2" a="1"/>
  <c r="U3364" i="2"/>
  <c r="S3364" i="2"/>
  <c r="R3364" i="2"/>
  <c r="Q3364" i="2"/>
  <c r="P3364" i="2"/>
  <c r="U3363" i="2"/>
  <c r="S3363" i="2"/>
  <c r="R3363" i="2"/>
  <c r="Q3363" i="2"/>
  <c r="P3363" i="2"/>
  <c r="V3362" i="2" a="1"/>
  <c r="V3362" i="2" s="1"/>
  <c r="U3362" i="2"/>
  <c r="S3362" i="2"/>
  <c r="R3362" i="2"/>
  <c r="Q3362" i="2"/>
  <c r="P3362" i="2"/>
  <c r="U3361" i="2"/>
  <c r="S3361" i="2"/>
  <c r="R3361" i="2"/>
  <c r="Q3361" i="2"/>
  <c r="P3361" i="2"/>
  <c r="U3360" i="2"/>
  <c r="S3360" i="2"/>
  <c r="V3360" i="2" s="1" a="1"/>
  <c r="V3360" i="2" s="1"/>
  <c r="R3360" i="2"/>
  <c r="Q3360" i="2"/>
  <c r="P3360" i="2"/>
  <c r="V3359" i="2" a="1"/>
  <c r="V3359" i="2" s="1"/>
  <c r="U3359" i="2"/>
  <c r="S3359" i="2"/>
  <c r="R3359" i="2"/>
  <c r="Q3359" i="2"/>
  <c r="P3359" i="2"/>
  <c r="U3358" i="2"/>
  <c r="S3358" i="2"/>
  <c r="R3358" i="2"/>
  <c r="Q3358" i="2"/>
  <c r="P3358" i="2"/>
  <c r="V3357" i="2" a="1"/>
  <c r="V3357" i="2" s="1"/>
  <c r="U3357" i="2"/>
  <c r="S3357" i="2"/>
  <c r="R3357" i="2"/>
  <c r="Q3357" i="2"/>
  <c r="P3357" i="2"/>
  <c r="V3356" i="2"/>
  <c r="V3356" i="2" a="1"/>
  <c r="U3356" i="2"/>
  <c r="S3356" i="2"/>
  <c r="R3356" i="2"/>
  <c r="Q3356" i="2"/>
  <c r="P3356" i="2"/>
  <c r="U3355" i="2"/>
  <c r="S3355" i="2"/>
  <c r="R3355" i="2"/>
  <c r="Q3355" i="2"/>
  <c r="P3355" i="2"/>
  <c r="V3354" i="2" a="1"/>
  <c r="V3354" i="2" s="1"/>
  <c r="U3354" i="2"/>
  <c r="S3354" i="2"/>
  <c r="R3354" i="2"/>
  <c r="Q3354" i="2"/>
  <c r="P3354" i="2"/>
  <c r="V3353" i="2" a="1"/>
  <c r="V3353" i="2" s="1"/>
  <c r="U3353" i="2"/>
  <c r="S3353" i="2"/>
  <c r="R3353" i="2"/>
  <c r="Q3353" i="2"/>
  <c r="P3353" i="2"/>
  <c r="U3352" i="2"/>
  <c r="S3352" i="2"/>
  <c r="V3352" i="2" s="1" a="1"/>
  <c r="V3352" i="2" s="1"/>
  <c r="R3352" i="2"/>
  <c r="Q3352" i="2"/>
  <c r="P3352" i="2"/>
  <c r="V3351" i="2" a="1"/>
  <c r="V3351" i="2" s="1"/>
  <c r="U3351" i="2"/>
  <c r="S3351" i="2"/>
  <c r="R3351" i="2"/>
  <c r="Q3351" i="2"/>
  <c r="P3351" i="2"/>
  <c r="U3350" i="2"/>
  <c r="S3350" i="2"/>
  <c r="R3350" i="2"/>
  <c r="Q3350" i="2"/>
  <c r="P3350" i="2"/>
  <c r="U3349" i="2"/>
  <c r="S3349" i="2"/>
  <c r="V3349" i="2" s="1" a="1"/>
  <c r="V3349" i="2" s="1"/>
  <c r="R3349" i="2"/>
  <c r="Q3349" i="2"/>
  <c r="P3349" i="2"/>
  <c r="V3348" i="2"/>
  <c r="V3348" i="2" a="1"/>
  <c r="U3348" i="2"/>
  <c r="S3348" i="2"/>
  <c r="R3348" i="2"/>
  <c r="Q3348" i="2"/>
  <c r="P3348" i="2"/>
  <c r="U3347" i="2"/>
  <c r="S3347" i="2"/>
  <c r="R3347" i="2"/>
  <c r="Q3347" i="2"/>
  <c r="P3347" i="2"/>
  <c r="U3346" i="2"/>
  <c r="S3346" i="2"/>
  <c r="V3346" i="2" s="1" a="1"/>
  <c r="V3346" i="2" s="1"/>
  <c r="R3346" i="2"/>
  <c r="Q3346" i="2"/>
  <c r="P3346" i="2"/>
  <c r="V3345" i="2" a="1"/>
  <c r="V3345" i="2" s="1"/>
  <c r="U3345" i="2"/>
  <c r="S3345" i="2"/>
  <c r="R3345" i="2"/>
  <c r="Q3345" i="2"/>
  <c r="P3345" i="2"/>
  <c r="V3344" i="2"/>
  <c r="U3344" i="2"/>
  <c r="S3344" i="2"/>
  <c r="V3344" i="2" s="1" a="1"/>
  <c r="R3344" i="2"/>
  <c r="Q3344" i="2"/>
  <c r="P3344" i="2"/>
  <c r="V3343" i="2" a="1"/>
  <c r="V3343" i="2" s="1"/>
  <c r="U3343" i="2"/>
  <c r="S3343" i="2"/>
  <c r="R3343" i="2"/>
  <c r="Q3343" i="2"/>
  <c r="P3343" i="2"/>
  <c r="U3342" i="2"/>
  <c r="S3342" i="2"/>
  <c r="R3342" i="2"/>
  <c r="Q3342" i="2"/>
  <c r="P3342" i="2"/>
  <c r="V3341" i="2" a="1"/>
  <c r="V3341" i="2" s="1"/>
  <c r="U3341" i="2"/>
  <c r="S3341" i="2"/>
  <c r="R3341" i="2"/>
  <c r="Q3341" i="2"/>
  <c r="P3341" i="2"/>
  <c r="V3340" i="2"/>
  <c r="V3340" i="2" a="1"/>
  <c r="U3340" i="2"/>
  <c r="S3340" i="2"/>
  <c r="R3340" i="2"/>
  <c r="Q3340" i="2"/>
  <c r="P3340" i="2"/>
  <c r="V3339" i="2"/>
  <c r="V3339" i="2" a="1"/>
  <c r="U3339" i="2"/>
  <c r="S3339" i="2"/>
  <c r="R3339" i="2"/>
  <c r="Q3339" i="2"/>
  <c r="P3339" i="2"/>
  <c r="V3338" i="2"/>
  <c r="V3338" i="2" a="1"/>
  <c r="U3338" i="2"/>
  <c r="S3338" i="2"/>
  <c r="R3338" i="2"/>
  <c r="Q3338" i="2"/>
  <c r="P3338" i="2"/>
  <c r="U3337" i="2"/>
  <c r="S3337" i="2"/>
  <c r="V3337" i="2" s="1" a="1"/>
  <c r="V3337" i="2" s="1"/>
  <c r="R3337" i="2"/>
  <c r="Q3337" i="2"/>
  <c r="P3337" i="2"/>
  <c r="U3336" i="2"/>
  <c r="S3336" i="2"/>
  <c r="V3336" i="2" s="1" a="1"/>
  <c r="V3336" i="2" s="1"/>
  <c r="R3336" i="2"/>
  <c r="Q3336" i="2"/>
  <c r="P3336" i="2"/>
  <c r="U3335" i="2"/>
  <c r="S3335" i="2"/>
  <c r="V3335" i="2" s="1" a="1"/>
  <c r="V3335" i="2" s="1"/>
  <c r="R3335" i="2"/>
  <c r="Q3335" i="2"/>
  <c r="P3335" i="2"/>
  <c r="V3334" i="2" a="1"/>
  <c r="V3334" i="2" s="1"/>
  <c r="U3334" i="2"/>
  <c r="S3334" i="2"/>
  <c r="R3334" i="2"/>
  <c r="Q3334" i="2"/>
  <c r="P3334" i="2"/>
  <c r="U3333" i="2"/>
  <c r="S3333" i="2"/>
  <c r="R3333" i="2"/>
  <c r="Q3333" i="2"/>
  <c r="P3333" i="2"/>
  <c r="V3332" i="2"/>
  <c r="V3332" i="2" a="1"/>
  <c r="U3332" i="2"/>
  <c r="S3332" i="2"/>
  <c r="R3332" i="2"/>
  <c r="Q3332" i="2"/>
  <c r="P3332" i="2"/>
  <c r="V3331" i="2" a="1"/>
  <c r="V3331" i="2" s="1"/>
  <c r="U3331" i="2"/>
  <c r="S3331" i="2"/>
  <c r="R3331" i="2"/>
  <c r="Q3331" i="2"/>
  <c r="P3331" i="2"/>
  <c r="V3330" i="2" a="1"/>
  <c r="V3330" i="2" s="1"/>
  <c r="U3330" i="2"/>
  <c r="S3330" i="2"/>
  <c r="R3330" i="2"/>
  <c r="Q3330" i="2"/>
  <c r="P3330" i="2"/>
  <c r="V3329" i="2" a="1"/>
  <c r="V3329" i="2" s="1"/>
  <c r="U3329" i="2"/>
  <c r="S3329" i="2"/>
  <c r="R3329" i="2"/>
  <c r="Q3329" i="2"/>
  <c r="P3329" i="2"/>
  <c r="V3328" i="2"/>
  <c r="U3328" i="2"/>
  <c r="S3328" i="2"/>
  <c r="V3328" i="2" s="1" a="1"/>
  <c r="R3328" i="2"/>
  <c r="Q3328" i="2"/>
  <c r="P3328" i="2"/>
  <c r="V3327" i="2" a="1"/>
  <c r="V3327" i="2" s="1"/>
  <c r="U3327" i="2"/>
  <c r="S3327" i="2"/>
  <c r="R3327" i="2"/>
  <c r="Q3327" i="2"/>
  <c r="P3327" i="2"/>
  <c r="U3326" i="2"/>
  <c r="S3326" i="2"/>
  <c r="R3326" i="2"/>
  <c r="Q3326" i="2"/>
  <c r="P3326" i="2"/>
  <c r="V3325" i="2" a="1"/>
  <c r="V3325" i="2" s="1"/>
  <c r="U3325" i="2"/>
  <c r="S3325" i="2"/>
  <c r="R3325" i="2"/>
  <c r="Q3325" i="2"/>
  <c r="P3325" i="2"/>
  <c r="V3324" i="2"/>
  <c r="V3324" i="2" a="1"/>
  <c r="U3324" i="2"/>
  <c r="S3324" i="2"/>
  <c r="R3324" i="2"/>
  <c r="Q3324" i="2"/>
  <c r="P3324" i="2"/>
  <c r="V3323" i="2"/>
  <c r="V3323" i="2" a="1"/>
  <c r="U3323" i="2"/>
  <c r="S3323" i="2"/>
  <c r="R3323" i="2"/>
  <c r="Q3323" i="2"/>
  <c r="P3323" i="2"/>
  <c r="V3322" i="2"/>
  <c r="V3322" i="2" a="1"/>
  <c r="U3322" i="2"/>
  <c r="S3322" i="2"/>
  <c r="R3322" i="2"/>
  <c r="Q3322" i="2"/>
  <c r="P3322" i="2"/>
  <c r="U3321" i="2"/>
  <c r="S3321" i="2"/>
  <c r="V3321" i="2" s="1" a="1"/>
  <c r="V3321" i="2" s="1"/>
  <c r="R3321" i="2"/>
  <c r="Q3321" i="2"/>
  <c r="P3321" i="2"/>
  <c r="U3320" i="2"/>
  <c r="S3320" i="2"/>
  <c r="V3320" i="2" s="1" a="1"/>
  <c r="V3320" i="2" s="1"/>
  <c r="R3320" i="2"/>
  <c r="Q3320" i="2"/>
  <c r="P3320" i="2"/>
  <c r="U3319" i="2"/>
  <c r="S3319" i="2"/>
  <c r="V3319" i="2" s="1" a="1"/>
  <c r="V3319" i="2" s="1"/>
  <c r="R3319" i="2"/>
  <c r="Q3319" i="2"/>
  <c r="P3319" i="2"/>
  <c r="V3318" i="2" a="1"/>
  <c r="V3318" i="2" s="1"/>
  <c r="U3318" i="2"/>
  <c r="S3318" i="2"/>
  <c r="R3318" i="2"/>
  <c r="Q3318" i="2"/>
  <c r="P3318" i="2"/>
  <c r="U3317" i="2"/>
  <c r="S3317" i="2"/>
  <c r="R3317" i="2"/>
  <c r="Q3317" i="2"/>
  <c r="P3317" i="2"/>
  <c r="V3316" i="2"/>
  <c r="V3316" i="2" a="1"/>
  <c r="U3316" i="2"/>
  <c r="S3316" i="2"/>
  <c r="R3316" i="2"/>
  <c r="Q3316" i="2"/>
  <c r="P3316" i="2"/>
  <c r="V3315" i="2" a="1"/>
  <c r="V3315" i="2" s="1"/>
  <c r="U3315" i="2"/>
  <c r="S3315" i="2"/>
  <c r="R3315" i="2"/>
  <c r="Q3315" i="2"/>
  <c r="P3315" i="2"/>
  <c r="V3314" i="2" a="1"/>
  <c r="V3314" i="2" s="1"/>
  <c r="U3314" i="2"/>
  <c r="S3314" i="2"/>
  <c r="R3314" i="2"/>
  <c r="Q3314" i="2"/>
  <c r="P3314" i="2"/>
  <c r="V3313" i="2" a="1"/>
  <c r="V3313" i="2" s="1"/>
  <c r="U3313" i="2"/>
  <c r="S3313" i="2"/>
  <c r="R3313" i="2"/>
  <c r="Q3313" i="2"/>
  <c r="P3313" i="2"/>
  <c r="V3312" i="2"/>
  <c r="U3312" i="2"/>
  <c r="S3312" i="2"/>
  <c r="V3312" i="2" s="1" a="1"/>
  <c r="R3312" i="2"/>
  <c r="Q3312" i="2"/>
  <c r="P3312" i="2"/>
  <c r="V3311" i="2" a="1"/>
  <c r="V3311" i="2" s="1"/>
  <c r="U3311" i="2"/>
  <c r="S3311" i="2"/>
  <c r="R3311" i="2"/>
  <c r="Q3311" i="2"/>
  <c r="P3311" i="2"/>
  <c r="U3310" i="2"/>
  <c r="S3310" i="2"/>
  <c r="V3310" i="2" s="1" a="1"/>
  <c r="V3310" i="2" s="1"/>
  <c r="R3310" i="2"/>
  <c r="Q3310" i="2"/>
  <c r="P3310" i="2"/>
  <c r="V3309" i="2" a="1"/>
  <c r="V3309" i="2" s="1"/>
  <c r="U3309" i="2"/>
  <c r="S3309" i="2"/>
  <c r="R3309" i="2"/>
  <c r="Q3309" i="2"/>
  <c r="P3309" i="2"/>
  <c r="V3308" i="2"/>
  <c r="V3308" i="2" a="1"/>
  <c r="U3308" i="2"/>
  <c r="S3308" i="2"/>
  <c r="R3308" i="2"/>
  <c r="Q3308" i="2"/>
  <c r="P3308" i="2"/>
  <c r="V3307" i="2"/>
  <c r="V3307" i="2" a="1"/>
  <c r="U3307" i="2"/>
  <c r="S3307" i="2"/>
  <c r="R3307" i="2"/>
  <c r="Q3307" i="2"/>
  <c r="P3307" i="2"/>
  <c r="V3306" i="2"/>
  <c r="V3306" i="2" a="1"/>
  <c r="U3306" i="2"/>
  <c r="S3306" i="2"/>
  <c r="R3306" i="2"/>
  <c r="Q3306" i="2"/>
  <c r="P3306" i="2"/>
  <c r="U3305" i="2"/>
  <c r="S3305" i="2"/>
  <c r="V3305" i="2" s="1" a="1"/>
  <c r="V3305" i="2" s="1"/>
  <c r="R3305" i="2"/>
  <c r="Q3305" i="2"/>
  <c r="P3305" i="2"/>
  <c r="U3304" i="2"/>
  <c r="S3304" i="2"/>
  <c r="V3304" i="2" s="1" a="1"/>
  <c r="V3304" i="2" s="1"/>
  <c r="R3304" i="2"/>
  <c r="Q3304" i="2"/>
  <c r="P3304" i="2"/>
  <c r="U3303" i="2"/>
  <c r="S3303" i="2"/>
  <c r="V3303" i="2" s="1" a="1"/>
  <c r="V3303" i="2" s="1"/>
  <c r="R3303" i="2"/>
  <c r="Q3303" i="2"/>
  <c r="P3303" i="2"/>
  <c r="V3302" i="2"/>
  <c r="V3302" i="2" a="1"/>
  <c r="U3302" i="2"/>
  <c r="S3302" i="2"/>
  <c r="R3302" i="2"/>
  <c r="Q3302" i="2"/>
  <c r="P3302" i="2"/>
  <c r="U3301" i="2"/>
  <c r="S3301" i="2"/>
  <c r="R3301" i="2"/>
  <c r="Q3301" i="2"/>
  <c r="P3301" i="2"/>
  <c r="U3300" i="2"/>
  <c r="S3300" i="2"/>
  <c r="V3300" i="2" s="1" a="1"/>
  <c r="V3300" i="2" s="1"/>
  <c r="R3300" i="2"/>
  <c r="Q3300" i="2"/>
  <c r="P3300" i="2"/>
  <c r="V3299" i="2" a="1"/>
  <c r="V3299" i="2" s="1"/>
  <c r="U3299" i="2"/>
  <c r="S3299" i="2"/>
  <c r="R3299" i="2"/>
  <c r="Q3299" i="2"/>
  <c r="P3299" i="2"/>
  <c r="U3298" i="2"/>
  <c r="S3298" i="2"/>
  <c r="V3298" i="2" s="1" a="1"/>
  <c r="V3298" i="2" s="1"/>
  <c r="R3298" i="2"/>
  <c r="Q3298" i="2"/>
  <c r="P3298" i="2"/>
  <c r="V3297" i="2" a="1"/>
  <c r="V3297" i="2" s="1"/>
  <c r="U3297" i="2"/>
  <c r="S3297" i="2"/>
  <c r="R3297" i="2"/>
  <c r="Q3297" i="2"/>
  <c r="P3297" i="2"/>
  <c r="V3296" i="2"/>
  <c r="V3296" i="2" a="1"/>
  <c r="U3296" i="2"/>
  <c r="S3296" i="2"/>
  <c r="R3296" i="2"/>
  <c r="Q3296" i="2"/>
  <c r="P3296" i="2"/>
  <c r="U3295" i="2"/>
  <c r="S3295" i="2"/>
  <c r="V3295" i="2" s="1" a="1"/>
  <c r="V3295" i="2" s="1"/>
  <c r="R3295" i="2"/>
  <c r="Q3295" i="2"/>
  <c r="P3295" i="2"/>
  <c r="V3294" i="2" a="1"/>
  <c r="V3294" i="2" s="1"/>
  <c r="U3294" i="2"/>
  <c r="S3294" i="2"/>
  <c r="R3294" i="2"/>
  <c r="Q3294" i="2"/>
  <c r="P3294" i="2"/>
  <c r="U3293" i="2"/>
  <c r="S3293" i="2"/>
  <c r="R3293" i="2"/>
  <c r="Q3293" i="2"/>
  <c r="P3293" i="2"/>
  <c r="U3292" i="2"/>
  <c r="S3292" i="2"/>
  <c r="V3292" i="2" s="1" a="1"/>
  <c r="V3292" i="2" s="1"/>
  <c r="R3292" i="2"/>
  <c r="Q3292" i="2"/>
  <c r="P3292" i="2"/>
  <c r="V3291" i="2" a="1"/>
  <c r="V3291" i="2" s="1"/>
  <c r="U3291" i="2"/>
  <c r="S3291" i="2"/>
  <c r="R3291" i="2"/>
  <c r="Q3291" i="2"/>
  <c r="P3291" i="2"/>
  <c r="U3290" i="2"/>
  <c r="S3290" i="2"/>
  <c r="R3290" i="2"/>
  <c r="Q3290" i="2"/>
  <c r="P3290" i="2"/>
  <c r="V3289" i="2" a="1"/>
  <c r="V3289" i="2" s="1"/>
  <c r="U3289" i="2"/>
  <c r="S3289" i="2"/>
  <c r="R3289" i="2"/>
  <c r="Q3289" i="2"/>
  <c r="P3289" i="2"/>
  <c r="V3288" i="2"/>
  <c r="V3288" i="2" a="1"/>
  <c r="U3288" i="2"/>
  <c r="S3288" i="2"/>
  <c r="R3288" i="2"/>
  <c r="Q3288" i="2"/>
  <c r="P3288" i="2"/>
  <c r="U3287" i="2"/>
  <c r="S3287" i="2"/>
  <c r="V3287" i="2" s="1" a="1"/>
  <c r="V3287" i="2" s="1"/>
  <c r="R3287" i="2"/>
  <c r="Q3287" i="2"/>
  <c r="P3287" i="2"/>
  <c r="V3286" i="2" a="1"/>
  <c r="V3286" i="2" s="1"/>
  <c r="U3286" i="2"/>
  <c r="S3286" i="2"/>
  <c r="R3286" i="2"/>
  <c r="Q3286" i="2"/>
  <c r="P3286" i="2"/>
  <c r="U3285" i="2"/>
  <c r="S3285" i="2"/>
  <c r="R3285" i="2"/>
  <c r="Q3285" i="2"/>
  <c r="P3285" i="2"/>
  <c r="U3284" i="2"/>
  <c r="S3284" i="2"/>
  <c r="V3284" i="2" s="1" a="1"/>
  <c r="V3284" i="2" s="1"/>
  <c r="R3284" i="2"/>
  <c r="Q3284" i="2"/>
  <c r="P3284" i="2"/>
  <c r="V3283" i="2" a="1"/>
  <c r="V3283" i="2" s="1"/>
  <c r="U3283" i="2"/>
  <c r="S3283" i="2"/>
  <c r="R3283" i="2"/>
  <c r="Q3283" i="2"/>
  <c r="P3283" i="2"/>
  <c r="U3282" i="2"/>
  <c r="S3282" i="2"/>
  <c r="R3282" i="2"/>
  <c r="Q3282" i="2"/>
  <c r="P3282" i="2"/>
  <c r="V3281" i="2" a="1"/>
  <c r="V3281" i="2" s="1"/>
  <c r="U3281" i="2"/>
  <c r="S3281" i="2"/>
  <c r="R3281" i="2"/>
  <c r="Q3281" i="2"/>
  <c r="P3281" i="2"/>
  <c r="V3280" i="2"/>
  <c r="V3280" i="2" a="1"/>
  <c r="U3280" i="2"/>
  <c r="S3280" i="2"/>
  <c r="R3280" i="2"/>
  <c r="Q3280" i="2"/>
  <c r="P3280" i="2"/>
  <c r="U3279" i="2"/>
  <c r="S3279" i="2"/>
  <c r="V3279" i="2" s="1" a="1"/>
  <c r="V3279" i="2" s="1"/>
  <c r="R3279" i="2"/>
  <c r="Q3279" i="2"/>
  <c r="P3279" i="2"/>
  <c r="V3278" i="2" a="1"/>
  <c r="V3278" i="2" s="1"/>
  <c r="U3278" i="2"/>
  <c r="S3278" i="2"/>
  <c r="R3278" i="2"/>
  <c r="Q3278" i="2"/>
  <c r="P3278" i="2"/>
  <c r="U3277" i="2"/>
  <c r="S3277" i="2"/>
  <c r="R3277" i="2"/>
  <c r="Q3277" i="2"/>
  <c r="P3277" i="2"/>
  <c r="U3276" i="2"/>
  <c r="S3276" i="2"/>
  <c r="V3276" i="2" s="1" a="1"/>
  <c r="V3276" i="2" s="1"/>
  <c r="R3276" i="2"/>
  <c r="Q3276" i="2"/>
  <c r="P3276" i="2"/>
  <c r="V3275" i="2" a="1"/>
  <c r="V3275" i="2" s="1"/>
  <c r="U3275" i="2"/>
  <c r="S3275" i="2"/>
  <c r="R3275" i="2"/>
  <c r="Q3275" i="2"/>
  <c r="P3275" i="2"/>
  <c r="U3274" i="2"/>
  <c r="S3274" i="2"/>
  <c r="R3274" i="2"/>
  <c r="Q3274" i="2"/>
  <c r="P3274" i="2"/>
  <c r="V3273" i="2" a="1"/>
  <c r="V3273" i="2" s="1"/>
  <c r="U3273" i="2"/>
  <c r="S3273" i="2"/>
  <c r="R3273" i="2"/>
  <c r="Q3273" i="2"/>
  <c r="P3273" i="2"/>
  <c r="V3272" i="2"/>
  <c r="V3272" i="2" a="1"/>
  <c r="U3272" i="2"/>
  <c r="S3272" i="2"/>
  <c r="R3272" i="2"/>
  <c r="Q3272" i="2"/>
  <c r="P3272" i="2"/>
  <c r="U3271" i="2"/>
  <c r="S3271" i="2"/>
  <c r="V3271" i="2" s="1" a="1"/>
  <c r="V3271" i="2" s="1"/>
  <c r="R3271" i="2"/>
  <c r="Q3271" i="2"/>
  <c r="P3271" i="2"/>
  <c r="V3270" i="2" a="1"/>
  <c r="V3270" i="2" s="1"/>
  <c r="U3270" i="2"/>
  <c r="S3270" i="2"/>
  <c r="R3270" i="2"/>
  <c r="Q3270" i="2"/>
  <c r="P3270" i="2"/>
  <c r="U3269" i="2"/>
  <c r="S3269" i="2"/>
  <c r="R3269" i="2"/>
  <c r="Q3269" i="2"/>
  <c r="P3269" i="2"/>
  <c r="U3268" i="2"/>
  <c r="S3268" i="2"/>
  <c r="V3268" i="2" s="1" a="1"/>
  <c r="V3268" i="2" s="1"/>
  <c r="R3268" i="2"/>
  <c r="Q3268" i="2"/>
  <c r="P3268" i="2"/>
  <c r="V3267" i="2" a="1"/>
  <c r="V3267" i="2" s="1"/>
  <c r="U3267" i="2"/>
  <c r="S3267" i="2"/>
  <c r="R3267" i="2"/>
  <c r="Q3267" i="2"/>
  <c r="P3267" i="2"/>
  <c r="U3266" i="2"/>
  <c r="S3266" i="2"/>
  <c r="R3266" i="2"/>
  <c r="Q3266" i="2"/>
  <c r="P3266" i="2"/>
  <c r="V3265" i="2" a="1"/>
  <c r="V3265" i="2" s="1"/>
  <c r="U3265" i="2"/>
  <c r="S3265" i="2"/>
  <c r="R3265" i="2"/>
  <c r="Q3265" i="2"/>
  <c r="P3265" i="2"/>
  <c r="V3264" i="2"/>
  <c r="V3264" i="2" a="1"/>
  <c r="U3264" i="2"/>
  <c r="S3264" i="2"/>
  <c r="R3264" i="2"/>
  <c r="Q3264" i="2"/>
  <c r="P3264" i="2"/>
  <c r="U3263" i="2"/>
  <c r="S3263" i="2"/>
  <c r="V3263" i="2" s="1" a="1"/>
  <c r="V3263" i="2" s="1"/>
  <c r="R3263" i="2"/>
  <c r="Q3263" i="2"/>
  <c r="P3263" i="2"/>
  <c r="V3262" i="2" a="1"/>
  <c r="V3262" i="2" s="1"/>
  <c r="U3262" i="2"/>
  <c r="S3262" i="2"/>
  <c r="R3262" i="2"/>
  <c r="Q3262" i="2"/>
  <c r="P3262" i="2"/>
  <c r="U3261" i="2"/>
  <c r="S3261" i="2"/>
  <c r="R3261" i="2"/>
  <c r="Q3261" i="2"/>
  <c r="P3261" i="2"/>
  <c r="U3260" i="2"/>
  <c r="S3260" i="2"/>
  <c r="V3260" i="2" s="1" a="1"/>
  <c r="V3260" i="2" s="1"/>
  <c r="R3260" i="2"/>
  <c r="Q3260" i="2"/>
  <c r="P3260" i="2"/>
  <c r="V3259" i="2" a="1"/>
  <c r="V3259" i="2" s="1"/>
  <c r="U3259" i="2"/>
  <c r="S3259" i="2"/>
  <c r="R3259" i="2"/>
  <c r="Q3259" i="2"/>
  <c r="P3259" i="2"/>
  <c r="U3258" i="2"/>
  <c r="S3258" i="2"/>
  <c r="R3258" i="2"/>
  <c r="Q3258" i="2"/>
  <c r="P3258" i="2"/>
  <c r="V3257" i="2" a="1"/>
  <c r="V3257" i="2" s="1"/>
  <c r="U3257" i="2"/>
  <c r="S3257" i="2"/>
  <c r="R3257" i="2"/>
  <c r="Q3257" i="2"/>
  <c r="P3257" i="2"/>
  <c r="V3256" i="2"/>
  <c r="V3256" i="2" a="1"/>
  <c r="U3256" i="2"/>
  <c r="S3256" i="2"/>
  <c r="R3256" i="2"/>
  <c r="Q3256" i="2"/>
  <c r="P3256" i="2"/>
  <c r="U3255" i="2"/>
  <c r="S3255" i="2"/>
  <c r="V3255" i="2" s="1" a="1"/>
  <c r="V3255" i="2" s="1"/>
  <c r="R3255" i="2"/>
  <c r="Q3255" i="2"/>
  <c r="P3255" i="2"/>
  <c r="V3254" i="2" a="1"/>
  <c r="V3254" i="2" s="1"/>
  <c r="U3254" i="2"/>
  <c r="S3254" i="2"/>
  <c r="R3254" i="2"/>
  <c r="Q3254" i="2"/>
  <c r="P3254" i="2"/>
  <c r="U3253" i="2"/>
  <c r="S3253" i="2"/>
  <c r="R3253" i="2"/>
  <c r="Q3253" i="2"/>
  <c r="P3253" i="2"/>
  <c r="U3252" i="2"/>
  <c r="S3252" i="2"/>
  <c r="V3252" i="2" s="1" a="1"/>
  <c r="V3252" i="2" s="1"/>
  <c r="R3252" i="2"/>
  <c r="Q3252" i="2"/>
  <c r="P3252" i="2"/>
  <c r="V3251" i="2" a="1"/>
  <c r="V3251" i="2" s="1"/>
  <c r="U3251" i="2"/>
  <c r="S3251" i="2"/>
  <c r="R3251" i="2"/>
  <c r="Q3251" i="2"/>
  <c r="P3251" i="2"/>
  <c r="U3250" i="2"/>
  <c r="S3250" i="2"/>
  <c r="R3250" i="2"/>
  <c r="Q3250" i="2"/>
  <c r="P3250" i="2"/>
  <c r="V3249" i="2" a="1"/>
  <c r="V3249" i="2" s="1"/>
  <c r="U3249" i="2"/>
  <c r="S3249" i="2"/>
  <c r="R3249" i="2"/>
  <c r="Q3249" i="2"/>
  <c r="P3249" i="2"/>
  <c r="V3248" i="2"/>
  <c r="V3248" i="2" a="1"/>
  <c r="U3248" i="2"/>
  <c r="S3248" i="2"/>
  <c r="R3248" i="2"/>
  <c r="Q3248" i="2"/>
  <c r="P3248" i="2"/>
  <c r="U3247" i="2"/>
  <c r="S3247" i="2"/>
  <c r="V3247" i="2" s="1" a="1"/>
  <c r="V3247" i="2" s="1"/>
  <c r="R3247" i="2"/>
  <c r="Q3247" i="2"/>
  <c r="P3247" i="2"/>
  <c r="V3246" i="2" a="1"/>
  <c r="V3246" i="2" s="1"/>
  <c r="U3246" i="2"/>
  <c r="S3246" i="2"/>
  <c r="R3246" i="2"/>
  <c r="Q3246" i="2"/>
  <c r="P3246" i="2"/>
  <c r="U3245" i="2"/>
  <c r="S3245" i="2"/>
  <c r="R3245" i="2"/>
  <c r="Q3245" i="2"/>
  <c r="P3245" i="2"/>
  <c r="U3244" i="2"/>
  <c r="S3244" i="2"/>
  <c r="V3244" i="2" s="1" a="1"/>
  <c r="V3244" i="2" s="1"/>
  <c r="R3244" i="2"/>
  <c r="Q3244" i="2"/>
  <c r="P3244" i="2"/>
  <c r="V3243" i="2" a="1"/>
  <c r="V3243" i="2" s="1"/>
  <c r="U3243" i="2"/>
  <c r="S3243" i="2"/>
  <c r="R3243" i="2"/>
  <c r="Q3243" i="2"/>
  <c r="P3243" i="2"/>
  <c r="U3242" i="2"/>
  <c r="S3242" i="2"/>
  <c r="R3242" i="2"/>
  <c r="Q3242" i="2"/>
  <c r="P3242" i="2"/>
  <c r="V3241" i="2" a="1"/>
  <c r="V3241" i="2" s="1"/>
  <c r="U3241" i="2"/>
  <c r="S3241" i="2"/>
  <c r="R3241" i="2"/>
  <c r="Q3241" i="2"/>
  <c r="P3241" i="2"/>
  <c r="V3240" i="2"/>
  <c r="V3240" i="2" a="1"/>
  <c r="U3240" i="2"/>
  <c r="S3240" i="2"/>
  <c r="R3240" i="2"/>
  <c r="Q3240" i="2"/>
  <c r="P3240" i="2"/>
  <c r="U3239" i="2"/>
  <c r="S3239" i="2"/>
  <c r="V3239" i="2" s="1" a="1"/>
  <c r="V3239" i="2" s="1"/>
  <c r="R3239" i="2"/>
  <c r="Q3239" i="2"/>
  <c r="P3239" i="2"/>
  <c r="V3238" i="2" a="1"/>
  <c r="V3238" i="2" s="1"/>
  <c r="U3238" i="2"/>
  <c r="S3238" i="2"/>
  <c r="R3238" i="2"/>
  <c r="Q3238" i="2"/>
  <c r="P3238" i="2"/>
  <c r="U3237" i="2"/>
  <c r="S3237" i="2"/>
  <c r="R3237" i="2"/>
  <c r="Q3237" i="2"/>
  <c r="P3237" i="2"/>
  <c r="U3236" i="2"/>
  <c r="S3236" i="2"/>
  <c r="V3236" i="2" s="1" a="1"/>
  <c r="V3236" i="2" s="1"/>
  <c r="R3236" i="2"/>
  <c r="Q3236" i="2"/>
  <c r="P3236" i="2"/>
  <c r="V3235" i="2" a="1"/>
  <c r="V3235" i="2" s="1"/>
  <c r="U3235" i="2"/>
  <c r="S3235" i="2"/>
  <c r="R3235" i="2"/>
  <c r="Q3235" i="2"/>
  <c r="P3235" i="2"/>
  <c r="U3234" i="2"/>
  <c r="S3234" i="2"/>
  <c r="R3234" i="2"/>
  <c r="Q3234" i="2"/>
  <c r="P3234" i="2"/>
  <c r="V3233" i="2" a="1"/>
  <c r="V3233" i="2" s="1"/>
  <c r="U3233" i="2"/>
  <c r="S3233" i="2"/>
  <c r="R3233" i="2"/>
  <c r="Q3233" i="2"/>
  <c r="P3233" i="2"/>
  <c r="V3232" i="2"/>
  <c r="V3232" i="2" a="1"/>
  <c r="U3232" i="2"/>
  <c r="S3232" i="2"/>
  <c r="R3232" i="2"/>
  <c r="Q3232" i="2"/>
  <c r="P3232" i="2"/>
  <c r="U3231" i="2"/>
  <c r="S3231" i="2"/>
  <c r="V3231" i="2" s="1" a="1"/>
  <c r="V3231" i="2" s="1"/>
  <c r="R3231" i="2"/>
  <c r="Q3231" i="2"/>
  <c r="P3231" i="2"/>
  <c r="V3230" i="2" a="1"/>
  <c r="V3230" i="2" s="1"/>
  <c r="U3230" i="2"/>
  <c r="S3230" i="2"/>
  <c r="R3230" i="2"/>
  <c r="Q3230" i="2"/>
  <c r="P3230" i="2"/>
  <c r="U3229" i="2"/>
  <c r="S3229" i="2"/>
  <c r="R3229" i="2"/>
  <c r="Q3229" i="2"/>
  <c r="P3229" i="2"/>
  <c r="U3228" i="2"/>
  <c r="S3228" i="2"/>
  <c r="V3228" i="2" s="1" a="1"/>
  <c r="V3228" i="2" s="1"/>
  <c r="R3228" i="2"/>
  <c r="Q3228" i="2"/>
  <c r="P3228" i="2"/>
  <c r="V3227" i="2" a="1"/>
  <c r="V3227" i="2" s="1"/>
  <c r="U3227" i="2"/>
  <c r="S3227" i="2"/>
  <c r="R3227" i="2"/>
  <c r="Q3227" i="2"/>
  <c r="P3227" i="2"/>
  <c r="U3226" i="2"/>
  <c r="S3226" i="2"/>
  <c r="R3226" i="2"/>
  <c r="Q3226" i="2"/>
  <c r="P3226" i="2"/>
  <c r="V3225" i="2" a="1"/>
  <c r="V3225" i="2" s="1"/>
  <c r="U3225" i="2"/>
  <c r="S3225" i="2"/>
  <c r="R3225" i="2"/>
  <c r="Q3225" i="2"/>
  <c r="P3225" i="2"/>
  <c r="V3224" i="2"/>
  <c r="V3224" i="2" a="1"/>
  <c r="U3224" i="2"/>
  <c r="S3224" i="2"/>
  <c r="R3224" i="2"/>
  <c r="Q3224" i="2"/>
  <c r="P3224" i="2"/>
  <c r="V3223" i="2"/>
  <c r="U3223" i="2"/>
  <c r="S3223" i="2"/>
  <c r="V3223" i="2" s="1" a="1"/>
  <c r="R3223" i="2"/>
  <c r="Q3223" i="2"/>
  <c r="P3223" i="2"/>
  <c r="V3222" i="2" a="1"/>
  <c r="V3222" i="2" s="1"/>
  <c r="U3222" i="2"/>
  <c r="S3222" i="2"/>
  <c r="R3222" i="2"/>
  <c r="Q3222" i="2"/>
  <c r="P3222" i="2"/>
  <c r="U3221" i="2"/>
  <c r="S3221" i="2"/>
  <c r="R3221" i="2"/>
  <c r="Q3221" i="2"/>
  <c r="P3221" i="2"/>
  <c r="U3220" i="2"/>
  <c r="S3220" i="2"/>
  <c r="V3220" i="2" s="1" a="1"/>
  <c r="V3220" i="2" s="1"/>
  <c r="R3220" i="2"/>
  <c r="Q3220" i="2"/>
  <c r="P3220" i="2"/>
  <c r="V3219" i="2" a="1"/>
  <c r="V3219" i="2" s="1"/>
  <c r="U3219" i="2"/>
  <c r="S3219" i="2"/>
  <c r="R3219" i="2"/>
  <c r="Q3219" i="2"/>
  <c r="P3219" i="2"/>
  <c r="U3218" i="2"/>
  <c r="S3218" i="2"/>
  <c r="R3218" i="2"/>
  <c r="Q3218" i="2"/>
  <c r="P3218" i="2"/>
  <c r="V3217" i="2" a="1"/>
  <c r="V3217" i="2" s="1"/>
  <c r="U3217" i="2"/>
  <c r="S3217" i="2"/>
  <c r="R3217" i="2"/>
  <c r="Q3217" i="2"/>
  <c r="P3217" i="2"/>
  <c r="V3216" i="2"/>
  <c r="V3216" i="2" a="1"/>
  <c r="U3216" i="2"/>
  <c r="S3216" i="2"/>
  <c r="R3216" i="2"/>
  <c r="Q3216" i="2"/>
  <c r="P3216" i="2"/>
  <c r="U3215" i="2"/>
  <c r="S3215" i="2"/>
  <c r="R3215" i="2"/>
  <c r="Q3215" i="2"/>
  <c r="P3215" i="2"/>
  <c r="V3214" i="2" a="1"/>
  <c r="V3214" i="2" s="1"/>
  <c r="U3214" i="2"/>
  <c r="S3214" i="2"/>
  <c r="R3214" i="2"/>
  <c r="Q3214" i="2"/>
  <c r="P3214" i="2"/>
  <c r="U3213" i="2"/>
  <c r="S3213" i="2"/>
  <c r="R3213" i="2"/>
  <c r="Q3213" i="2"/>
  <c r="P3213" i="2"/>
  <c r="U3212" i="2"/>
  <c r="S3212" i="2"/>
  <c r="V3212" i="2" s="1" a="1"/>
  <c r="V3212" i="2" s="1"/>
  <c r="R3212" i="2"/>
  <c r="Q3212" i="2"/>
  <c r="P3212" i="2"/>
  <c r="V3211" i="2" a="1"/>
  <c r="V3211" i="2" s="1"/>
  <c r="U3211" i="2"/>
  <c r="S3211" i="2"/>
  <c r="R3211" i="2"/>
  <c r="Q3211" i="2"/>
  <c r="P3211" i="2"/>
  <c r="U3210" i="2"/>
  <c r="S3210" i="2"/>
  <c r="R3210" i="2"/>
  <c r="Q3210" i="2"/>
  <c r="P3210" i="2"/>
  <c r="V3209" i="2" a="1"/>
  <c r="V3209" i="2" s="1"/>
  <c r="U3209" i="2"/>
  <c r="S3209" i="2"/>
  <c r="R3209" i="2"/>
  <c r="Q3209" i="2"/>
  <c r="P3209" i="2"/>
  <c r="V3208" i="2"/>
  <c r="V3208" i="2" a="1"/>
  <c r="U3208" i="2"/>
  <c r="S3208" i="2"/>
  <c r="R3208" i="2"/>
  <c r="Q3208" i="2"/>
  <c r="P3208" i="2"/>
  <c r="U3207" i="2"/>
  <c r="S3207" i="2"/>
  <c r="R3207" i="2"/>
  <c r="Q3207" i="2"/>
  <c r="P3207" i="2"/>
  <c r="V3206" i="2" a="1"/>
  <c r="V3206" i="2" s="1"/>
  <c r="U3206" i="2"/>
  <c r="S3206" i="2"/>
  <c r="R3206" i="2"/>
  <c r="Q3206" i="2"/>
  <c r="P3206" i="2"/>
  <c r="U3205" i="2"/>
  <c r="S3205" i="2"/>
  <c r="R3205" i="2"/>
  <c r="Q3205" i="2"/>
  <c r="P3205" i="2"/>
  <c r="U3204" i="2"/>
  <c r="S3204" i="2"/>
  <c r="V3204" i="2" s="1" a="1"/>
  <c r="V3204" i="2" s="1"/>
  <c r="R3204" i="2"/>
  <c r="Q3204" i="2"/>
  <c r="P3204" i="2"/>
  <c r="V3203" i="2" a="1"/>
  <c r="V3203" i="2" s="1"/>
  <c r="U3203" i="2"/>
  <c r="S3203" i="2"/>
  <c r="R3203" i="2"/>
  <c r="Q3203" i="2"/>
  <c r="P3203" i="2"/>
  <c r="U3202" i="2"/>
  <c r="S3202" i="2"/>
  <c r="R3202" i="2"/>
  <c r="Q3202" i="2"/>
  <c r="P3202" i="2"/>
  <c r="V3201" i="2" a="1"/>
  <c r="V3201" i="2" s="1"/>
  <c r="U3201" i="2"/>
  <c r="S3201" i="2"/>
  <c r="R3201" i="2"/>
  <c r="Q3201" i="2"/>
  <c r="P3201" i="2"/>
  <c r="V3200" i="2"/>
  <c r="V3200" i="2" a="1"/>
  <c r="U3200" i="2"/>
  <c r="S3200" i="2"/>
  <c r="R3200" i="2"/>
  <c r="Q3200" i="2"/>
  <c r="P3200" i="2"/>
  <c r="U3199" i="2"/>
  <c r="S3199" i="2"/>
  <c r="R3199" i="2"/>
  <c r="Q3199" i="2"/>
  <c r="P3199" i="2"/>
  <c r="V3198" i="2" a="1"/>
  <c r="V3198" i="2" s="1"/>
  <c r="U3198" i="2"/>
  <c r="S3198" i="2"/>
  <c r="R3198" i="2"/>
  <c r="Q3198" i="2"/>
  <c r="P3198" i="2"/>
  <c r="U3197" i="2"/>
  <c r="S3197" i="2"/>
  <c r="R3197" i="2"/>
  <c r="Q3197" i="2"/>
  <c r="P3197" i="2"/>
  <c r="U3196" i="2"/>
  <c r="S3196" i="2"/>
  <c r="V3196" i="2" s="1" a="1"/>
  <c r="V3196" i="2" s="1"/>
  <c r="R3196" i="2"/>
  <c r="Q3196" i="2"/>
  <c r="P3196" i="2"/>
  <c r="V3195" i="2" a="1"/>
  <c r="V3195" i="2" s="1"/>
  <c r="U3195" i="2"/>
  <c r="S3195" i="2"/>
  <c r="R3195" i="2"/>
  <c r="Q3195" i="2"/>
  <c r="P3195" i="2"/>
  <c r="U3194" i="2"/>
  <c r="S3194" i="2"/>
  <c r="R3194" i="2"/>
  <c r="Q3194" i="2"/>
  <c r="P3194" i="2"/>
  <c r="V3193" i="2" a="1"/>
  <c r="V3193" i="2" s="1"/>
  <c r="U3193" i="2"/>
  <c r="S3193" i="2"/>
  <c r="R3193" i="2"/>
  <c r="Q3193" i="2"/>
  <c r="P3193" i="2"/>
  <c r="V3192" i="2"/>
  <c r="V3192" i="2" a="1"/>
  <c r="U3192" i="2"/>
  <c r="S3192" i="2"/>
  <c r="R3192" i="2"/>
  <c r="Q3192" i="2"/>
  <c r="P3192" i="2"/>
  <c r="U3191" i="2"/>
  <c r="S3191" i="2"/>
  <c r="R3191" i="2"/>
  <c r="Q3191" i="2"/>
  <c r="P3191" i="2"/>
  <c r="V3190" i="2" a="1"/>
  <c r="V3190" i="2" s="1"/>
  <c r="U3190" i="2"/>
  <c r="S3190" i="2"/>
  <c r="R3190" i="2"/>
  <c r="Q3190" i="2"/>
  <c r="P3190" i="2"/>
  <c r="U3189" i="2"/>
  <c r="S3189" i="2"/>
  <c r="R3189" i="2"/>
  <c r="Q3189" i="2"/>
  <c r="P3189" i="2"/>
  <c r="U3188" i="2"/>
  <c r="S3188" i="2"/>
  <c r="R3188" i="2"/>
  <c r="Q3188" i="2"/>
  <c r="P3188" i="2"/>
  <c r="V3187" i="2" a="1"/>
  <c r="V3187" i="2" s="1"/>
  <c r="U3187" i="2"/>
  <c r="S3187" i="2"/>
  <c r="R3187" i="2"/>
  <c r="Q3187" i="2"/>
  <c r="P3187" i="2"/>
  <c r="U3186" i="2"/>
  <c r="S3186" i="2"/>
  <c r="R3186" i="2"/>
  <c r="Q3186" i="2"/>
  <c r="P3186" i="2"/>
  <c r="V3185" i="2" a="1"/>
  <c r="V3185" i="2" s="1"/>
  <c r="U3185" i="2"/>
  <c r="S3185" i="2"/>
  <c r="R3185" i="2"/>
  <c r="Q3185" i="2"/>
  <c r="P3185" i="2"/>
  <c r="V3184" i="2" a="1"/>
  <c r="V3184" i="2" s="1"/>
  <c r="U3184" i="2"/>
  <c r="S3184" i="2"/>
  <c r="R3184" i="2"/>
  <c r="Q3184" i="2"/>
  <c r="P3184" i="2"/>
  <c r="U3183" i="2"/>
  <c r="S3183" i="2"/>
  <c r="R3183" i="2"/>
  <c r="Q3183" i="2"/>
  <c r="P3183" i="2"/>
  <c r="V3182" i="2" a="1"/>
  <c r="V3182" i="2" s="1"/>
  <c r="U3182" i="2"/>
  <c r="S3182" i="2"/>
  <c r="R3182" i="2"/>
  <c r="Q3182" i="2"/>
  <c r="P3182" i="2"/>
  <c r="U3181" i="2"/>
  <c r="S3181" i="2"/>
  <c r="R3181" i="2"/>
  <c r="Q3181" i="2"/>
  <c r="P3181" i="2"/>
  <c r="U3180" i="2"/>
  <c r="S3180" i="2"/>
  <c r="V3180" i="2" s="1" a="1"/>
  <c r="V3180" i="2" s="1"/>
  <c r="R3180" i="2"/>
  <c r="Q3180" i="2"/>
  <c r="P3180" i="2"/>
  <c r="V3179" i="2" a="1"/>
  <c r="V3179" i="2" s="1"/>
  <c r="U3179" i="2"/>
  <c r="S3179" i="2"/>
  <c r="R3179" i="2"/>
  <c r="Q3179" i="2"/>
  <c r="P3179" i="2"/>
  <c r="U3178" i="2"/>
  <c r="S3178" i="2"/>
  <c r="R3178" i="2"/>
  <c r="Q3178" i="2"/>
  <c r="P3178" i="2"/>
  <c r="V3177" i="2" a="1"/>
  <c r="V3177" i="2" s="1"/>
  <c r="U3177" i="2"/>
  <c r="S3177" i="2"/>
  <c r="R3177" i="2"/>
  <c r="Q3177" i="2"/>
  <c r="P3177" i="2"/>
  <c r="V3176" i="2"/>
  <c r="V3176" i="2" a="1"/>
  <c r="U3176" i="2"/>
  <c r="S3176" i="2"/>
  <c r="R3176" i="2"/>
  <c r="Q3176" i="2"/>
  <c r="P3176" i="2"/>
  <c r="U3175" i="2"/>
  <c r="S3175" i="2"/>
  <c r="R3175" i="2"/>
  <c r="Q3175" i="2"/>
  <c r="P3175" i="2"/>
  <c r="V3174" i="2" a="1"/>
  <c r="V3174" i="2" s="1"/>
  <c r="U3174" i="2"/>
  <c r="S3174" i="2"/>
  <c r="R3174" i="2"/>
  <c r="Q3174" i="2"/>
  <c r="P3174" i="2"/>
  <c r="U3173" i="2"/>
  <c r="S3173" i="2"/>
  <c r="R3173" i="2"/>
  <c r="Q3173" i="2"/>
  <c r="P3173" i="2"/>
  <c r="U3172" i="2"/>
  <c r="S3172" i="2"/>
  <c r="V3172" i="2" s="1" a="1"/>
  <c r="V3172" i="2" s="1"/>
  <c r="R3172" i="2"/>
  <c r="Q3172" i="2"/>
  <c r="P3172" i="2"/>
  <c r="V3171" i="2" a="1"/>
  <c r="V3171" i="2" s="1"/>
  <c r="U3171" i="2"/>
  <c r="S3171" i="2"/>
  <c r="R3171" i="2"/>
  <c r="Q3171" i="2"/>
  <c r="P3171" i="2"/>
  <c r="U3170" i="2"/>
  <c r="S3170" i="2"/>
  <c r="R3170" i="2"/>
  <c r="Q3170" i="2"/>
  <c r="P3170" i="2"/>
  <c r="V3169" i="2" a="1"/>
  <c r="V3169" i="2" s="1"/>
  <c r="U3169" i="2"/>
  <c r="S3169" i="2"/>
  <c r="R3169" i="2"/>
  <c r="Q3169" i="2"/>
  <c r="P3169" i="2"/>
  <c r="V3168" i="2" a="1"/>
  <c r="V3168" i="2" s="1"/>
  <c r="U3168" i="2"/>
  <c r="S3168" i="2"/>
  <c r="R3168" i="2"/>
  <c r="Q3168" i="2"/>
  <c r="P3168" i="2"/>
  <c r="U3167" i="2"/>
  <c r="S3167" i="2"/>
  <c r="R3167" i="2"/>
  <c r="Q3167" i="2"/>
  <c r="P3167" i="2"/>
  <c r="V3166" i="2" a="1"/>
  <c r="V3166" i="2" s="1"/>
  <c r="U3166" i="2"/>
  <c r="S3166" i="2"/>
  <c r="R3166" i="2"/>
  <c r="Q3166" i="2"/>
  <c r="P3166" i="2"/>
  <c r="U3165" i="2"/>
  <c r="S3165" i="2"/>
  <c r="R3165" i="2"/>
  <c r="Q3165" i="2"/>
  <c r="P3165" i="2"/>
  <c r="U3164" i="2"/>
  <c r="S3164" i="2"/>
  <c r="V3164" i="2" s="1" a="1"/>
  <c r="V3164" i="2" s="1"/>
  <c r="R3164" i="2"/>
  <c r="Q3164" i="2"/>
  <c r="P3164" i="2"/>
  <c r="V3163" i="2" a="1"/>
  <c r="V3163" i="2" s="1"/>
  <c r="U3163" i="2"/>
  <c r="S3163" i="2"/>
  <c r="R3163" i="2"/>
  <c r="Q3163" i="2"/>
  <c r="P3163" i="2"/>
  <c r="U3162" i="2"/>
  <c r="S3162" i="2"/>
  <c r="R3162" i="2"/>
  <c r="Q3162" i="2"/>
  <c r="P3162" i="2"/>
  <c r="V3161" i="2" a="1"/>
  <c r="V3161" i="2" s="1"/>
  <c r="U3161" i="2"/>
  <c r="S3161" i="2"/>
  <c r="R3161" i="2"/>
  <c r="Q3161" i="2"/>
  <c r="P3161" i="2"/>
  <c r="V3160" i="2"/>
  <c r="V3160" i="2" a="1"/>
  <c r="U3160" i="2"/>
  <c r="S3160" i="2"/>
  <c r="R3160" i="2"/>
  <c r="Q3160" i="2"/>
  <c r="P3160" i="2"/>
  <c r="U3159" i="2"/>
  <c r="S3159" i="2"/>
  <c r="R3159" i="2"/>
  <c r="Q3159" i="2"/>
  <c r="P3159" i="2"/>
  <c r="V3158" i="2" a="1"/>
  <c r="V3158" i="2" s="1"/>
  <c r="U3158" i="2"/>
  <c r="S3158" i="2"/>
  <c r="R3158" i="2"/>
  <c r="Q3158" i="2"/>
  <c r="P3158" i="2"/>
  <c r="U3157" i="2"/>
  <c r="S3157" i="2"/>
  <c r="R3157" i="2"/>
  <c r="Q3157" i="2"/>
  <c r="P3157" i="2"/>
  <c r="U3156" i="2"/>
  <c r="S3156" i="2"/>
  <c r="V3156" i="2" s="1" a="1"/>
  <c r="V3156" i="2" s="1"/>
  <c r="R3156" i="2"/>
  <c r="Q3156" i="2"/>
  <c r="P3156" i="2"/>
  <c r="V3155" i="2" a="1"/>
  <c r="V3155" i="2" s="1"/>
  <c r="U3155" i="2"/>
  <c r="S3155" i="2"/>
  <c r="R3155" i="2"/>
  <c r="Q3155" i="2"/>
  <c r="P3155" i="2"/>
  <c r="U3154" i="2"/>
  <c r="S3154" i="2"/>
  <c r="R3154" i="2"/>
  <c r="Q3154" i="2"/>
  <c r="P3154" i="2"/>
  <c r="V3153" i="2" a="1"/>
  <c r="V3153" i="2" s="1"/>
  <c r="U3153" i="2"/>
  <c r="S3153" i="2"/>
  <c r="R3153" i="2"/>
  <c r="Q3153" i="2"/>
  <c r="P3153" i="2"/>
  <c r="V3152" i="2" a="1"/>
  <c r="V3152" i="2" s="1"/>
  <c r="U3152" i="2"/>
  <c r="S3152" i="2"/>
  <c r="R3152" i="2"/>
  <c r="Q3152" i="2"/>
  <c r="P3152" i="2"/>
  <c r="U3151" i="2"/>
  <c r="S3151" i="2"/>
  <c r="R3151" i="2"/>
  <c r="Q3151" i="2"/>
  <c r="P3151" i="2"/>
  <c r="V3150" i="2" a="1"/>
  <c r="V3150" i="2" s="1"/>
  <c r="U3150" i="2"/>
  <c r="S3150" i="2"/>
  <c r="R3150" i="2"/>
  <c r="Q3150" i="2"/>
  <c r="P3150" i="2"/>
  <c r="U3149" i="2"/>
  <c r="S3149" i="2"/>
  <c r="R3149" i="2"/>
  <c r="Q3149" i="2"/>
  <c r="P3149" i="2"/>
  <c r="U3148" i="2"/>
  <c r="S3148" i="2"/>
  <c r="V3148" i="2" s="1" a="1"/>
  <c r="V3148" i="2" s="1"/>
  <c r="R3148" i="2"/>
  <c r="Q3148" i="2"/>
  <c r="P3148" i="2"/>
  <c r="V3147" i="2" a="1"/>
  <c r="V3147" i="2" s="1"/>
  <c r="U3147" i="2"/>
  <c r="S3147" i="2"/>
  <c r="R3147" i="2"/>
  <c r="Q3147" i="2"/>
  <c r="P3147" i="2"/>
  <c r="U3146" i="2"/>
  <c r="S3146" i="2"/>
  <c r="R3146" i="2"/>
  <c r="Q3146" i="2"/>
  <c r="P3146" i="2"/>
  <c r="V3145" i="2" a="1"/>
  <c r="V3145" i="2" s="1"/>
  <c r="U3145" i="2"/>
  <c r="S3145" i="2"/>
  <c r="R3145" i="2"/>
  <c r="Q3145" i="2"/>
  <c r="P3145" i="2"/>
  <c r="V3144" i="2" a="1"/>
  <c r="V3144" i="2" s="1"/>
  <c r="U3144" i="2"/>
  <c r="S3144" i="2"/>
  <c r="R3144" i="2"/>
  <c r="Q3144" i="2"/>
  <c r="P3144" i="2"/>
  <c r="U3143" i="2"/>
  <c r="S3143" i="2"/>
  <c r="R3143" i="2"/>
  <c r="Q3143" i="2"/>
  <c r="P3143" i="2"/>
  <c r="V3142" i="2" a="1"/>
  <c r="V3142" i="2" s="1"/>
  <c r="U3142" i="2"/>
  <c r="S3142" i="2"/>
  <c r="R3142" i="2"/>
  <c r="Q3142" i="2"/>
  <c r="P3142" i="2"/>
  <c r="U3141" i="2"/>
  <c r="S3141" i="2"/>
  <c r="R3141" i="2"/>
  <c r="Q3141" i="2"/>
  <c r="P3141" i="2"/>
  <c r="U3140" i="2"/>
  <c r="S3140" i="2"/>
  <c r="V3140" i="2" s="1" a="1"/>
  <c r="V3140" i="2" s="1"/>
  <c r="R3140" i="2"/>
  <c r="Q3140" i="2"/>
  <c r="P3140" i="2"/>
  <c r="V3139" i="2" a="1"/>
  <c r="V3139" i="2" s="1"/>
  <c r="U3139" i="2"/>
  <c r="S3139" i="2"/>
  <c r="R3139" i="2"/>
  <c r="Q3139" i="2"/>
  <c r="P3139" i="2"/>
  <c r="U3138" i="2"/>
  <c r="S3138" i="2"/>
  <c r="R3138" i="2"/>
  <c r="Q3138" i="2"/>
  <c r="P3138" i="2"/>
  <c r="V3137" i="2" a="1"/>
  <c r="V3137" i="2" s="1"/>
  <c r="U3137" i="2"/>
  <c r="S3137" i="2"/>
  <c r="R3137" i="2"/>
  <c r="Q3137" i="2"/>
  <c r="P3137" i="2"/>
  <c r="V3136" i="2"/>
  <c r="V3136" i="2" a="1"/>
  <c r="U3136" i="2"/>
  <c r="S3136" i="2"/>
  <c r="R3136" i="2"/>
  <c r="Q3136" i="2"/>
  <c r="P3136" i="2"/>
  <c r="U3135" i="2"/>
  <c r="S3135" i="2"/>
  <c r="R3135" i="2"/>
  <c r="Q3135" i="2"/>
  <c r="P3135" i="2"/>
  <c r="V3134" i="2" a="1"/>
  <c r="V3134" i="2" s="1"/>
  <c r="U3134" i="2"/>
  <c r="S3134" i="2"/>
  <c r="R3134" i="2"/>
  <c r="Q3134" i="2"/>
  <c r="P3134" i="2"/>
  <c r="U3133" i="2"/>
  <c r="S3133" i="2"/>
  <c r="R3133" i="2"/>
  <c r="Q3133" i="2"/>
  <c r="P3133" i="2"/>
  <c r="U3132" i="2"/>
  <c r="S3132" i="2"/>
  <c r="V3132" i="2" s="1" a="1"/>
  <c r="V3132" i="2" s="1"/>
  <c r="R3132" i="2"/>
  <c r="Q3132" i="2"/>
  <c r="P3132" i="2"/>
  <c r="V3131" i="2" a="1"/>
  <c r="V3131" i="2" s="1"/>
  <c r="U3131" i="2"/>
  <c r="S3131" i="2"/>
  <c r="R3131" i="2"/>
  <c r="Q3131" i="2"/>
  <c r="P3131" i="2"/>
  <c r="U3130" i="2"/>
  <c r="S3130" i="2"/>
  <c r="R3130" i="2"/>
  <c r="Q3130" i="2"/>
  <c r="P3130" i="2"/>
  <c r="V3129" i="2" a="1"/>
  <c r="V3129" i="2" s="1"/>
  <c r="U3129" i="2"/>
  <c r="S3129" i="2"/>
  <c r="R3129" i="2"/>
  <c r="Q3129" i="2"/>
  <c r="P3129" i="2"/>
  <c r="V3128" i="2"/>
  <c r="V3128" i="2" a="1"/>
  <c r="U3128" i="2"/>
  <c r="S3128" i="2"/>
  <c r="R3128" i="2"/>
  <c r="Q3128" i="2"/>
  <c r="P3128" i="2"/>
  <c r="U3127" i="2"/>
  <c r="S3127" i="2"/>
  <c r="R3127" i="2"/>
  <c r="Q3127" i="2"/>
  <c r="P3127" i="2"/>
  <c r="V3126" i="2" a="1"/>
  <c r="V3126" i="2" s="1"/>
  <c r="U3126" i="2"/>
  <c r="S3126" i="2"/>
  <c r="R3126" i="2"/>
  <c r="Q3126" i="2"/>
  <c r="P3126" i="2"/>
  <c r="V3125" i="2"/>
  <c r="V3125" i="2" a="1"/>
  <c r="U3125" i="2"/>
  <c r="S3125" i="2"/>
  <c r="R3125" i="2"/>
  <c r="Q3125" i="2"/>
  <c r="P3125" i="2"/>
  <c r="V3124" i="2"/>
  <c r="U3124" i="2"/>
  <c r="S3124" i="2"/>
  <c r="V3124" i="2" s="1" a="1"/>
  <c r="R3124" i="2"/>
  <c r="Q3124" i="2"/>
  <c r="P3124" i="2"/>
  <c r="V3123" i="2" a="1"/>
  <c r="V3123" i="2" s="1"/>
  <c r="U3123" i="2"/>
  <c r="S3123" i="2"/>
  <c r="R3123" i="2"/>
  <c r="Q3123" i="2"/>
  <c r="P3123" i="2"/>
  <c r="U3122" i="2"/>
  <c r="S3122" i="2"/>
  <c r="R3122" i="2"/>
  <c r="Q3122" i="2"/>
  <c r="P3122" i="2"/>
  <c r="U3121" i="2"/>
  <c r="S3121" i="2"/>
  <c r="V3121" i="2" s="1" a="1"/>
  <c r="V3121" i="2" s="1"/>
  <c r="R3121" i="2"/>
  <c r="Q3121" i="2"/>
  <c r="P3121" i="2"/>
  <c r="V3120" i="2"/>
  <c r="V3120" i="2" a="1"/>
  <c r="U3120" i="2"/>
  <c r="S3120" i="2"/>
  <c r="R3120" i="2"/>
  <c r="Q3120" i="2"/>
  <c r="P3120" i="2"/>
  <c r="U3119" i="2"/>
  <c r="S3119" i="2"/>
  <c r="R3119" i="2"/>
  <c r="Q3119" i="2"/>
  <c r="P3119" i="2"/>
  <c r="V3118" i="2" a="1"/>
  <c r="V3118" i="2" s="1"/>
  <c r="U3118" i="2"/>
  <c r="S3118" i="2"/>
  <c r="R3118" i="2"/>
  <c r="Q3118" i="2"/>
  <c r="P3118" i="2"/>
  <c r="U3117" i="2"/>
  <c r="S3117" i="2"/>
  <c r="R3117" i="2"/>
  <c r="Q3117" i="2"/>
  <c r="P3117" i="2"/>
  <c r="U3116" i="2"/>
  <c r="S3116" i="2"/>
  <c r="V3116" i="2" s="1" a="1"/>
  <c r="V3116" i="2" s="1"/>
  <c r="R3116" i="2"/>
  <c r="Q3116" i="2"/>
  <c r="P3116" i="2"/>
  <c r="V3115" i="2" a="1"/>
  <c r="V3115" i="2" s="1"/>
  <c r="U3115" i="2"/>
  <c r="S3115" i="2"/>
  <c r="R3115" i="2"/>
  <c r="Q3115" i="2"/>
  <c r="P3115" i="2"/>
  <c r="U3114" i="2"/>
  <c r="S3114" i="2"/>
  <c r="R3114" i="2"/>
  <c r="Q3114" i="2"/>
  <c r="P3114" i="2"/>
  <c r="U3113" i="2"/>
  <c r="S3113" i="2"/>
  <c r="V3113" i="2" s="1" a="1"/>
  <c r="V3113" i="2" s="1"/>
  <c r="R3113" i="2"/>
  <c r="Q3113" i="2"/>
  <c r="P3113" i="2"/>
  <c r="V3112" i="2"/>
  <c r="V3112" i="2" a="1"/>
  <c r="U3112" i="2"/>
  <c r="S3112" i="2"/>
  <c r="R3112" i="2"/>
  <c r="Q3112" i="2"/>
  <c r="P3112" i="2"/>
  <c r="U3111" i="2"/>
  <c r="S3111" i="2"/>
  <c r="R3111" i="2"/>
  <c r="Q3111" i="2"/>
  <c r="P3111" i="2"/>
  <c r="V3110" i="2" a="1"/>
  <c r="V3110" i="2" s="1"/>
  <c r="U3110" i="2"/>
  <c r="S3110" i="2"/>
  <c r="R3110" i="2"/>
  <c r="Q3110" i="2"/>
  <c r="P3110" i="2"/>
  <c r="V3109" i="2"/>
  <c r="V3109" i="2" a="1"/>
  <c r="U3109" i="2"/>
  <c r="S3109" i="2"/>
  <c r="R3109" i="2"/>
  <c r="Q3109" i="2"/>
  <c r="P3109" i="2"/>
  <c r="V3108" i="2"/>
  <c r="U3108" i="2"/>
  <c r="S3108" i="2"/>
  <c r="V3108" i="2" s="1" a="1"/>
  <c r="R3108" i="2"/>
  <c r="Q3108" i="2"/>
  <c r="P3108" i="2"/>
  <c r="V3107" i="2" a="1"/>
  <c r="V3107" i="2" s="1"/>
  <c r="U3107" i="2"/>
  <c r="S3107" i="2"/>
  <c r="R3107" i="2"/>
  <c r="Q3107" i="2"/>
  <c r="P3107" i="2"/>
  <c r="V3106" i="2"/>
  <c r="U3106" i="2"/>
  <c r="S3106" i="2"/>
  <c r="V3106" i="2" s="1" a="1"/>
  <c r="R3106" i="2"/>
  <c r="Q3106" i="2"/>
  <c r="P3106" i="2"/>
  <c r="V3105" i="2" a="1"/>
  <c r="V3105" i="2" s="1"/>
  <c r="U3105" i="2"/>
  <c r="S3105" i="2"/>
  <c r="R3105" i="2"/>
  <c r="Q3105" i="2"/>
  <c r="P3105" i="2"/>
  <c r="V3104" i="2" a="1"/>
  <c r="V3104" i="2" s="1"/>
  <c r="U3104" i="2"/>
  <c r="S3104" i="2"/>
  <c r="R3104" i="2"/>
  <c r="Q3104" i="2"/>
  <c r="P3104" i="2"/>
  <c r="V3103" i="2"/>
  <c r="V3103" i="2" a="1"/>
  <c r="U3103" i="2"/>
  <c r="S3103" i="2"/>
  <c r="R3103" i="2"/>
  <c r="Q3103" i="2"/>
  <c r="P3103" i="2"/>
  <c r="V3102" i="2"/>
  <c r="V3102" i="2" a="1"/>
  <c r="U3102" i="2"/>
  <c r="S3102" i="2"/>
  <c r="R3102" i="2"/>
  <c r="Q3102" i="2"/>
  <c r="P3102" i="2"/>
  <c r="V3101" i="2"/>
  <c r="V3101" i="2" a="1"/>
  <c r="U3101" i="2"/>
  <c r="S3101" i="2"/>
  <c r="R3101" i="2"/>
  <c r="Q3101" i="2"/>
  <c r="P3101" i="2"/>
  <c r="V3100" i="2"/>
  <c r="U3100" i="2"/>
  <c r="S3100" i="2"/>
  <c r="V3100" i="2" s="1" a="1"/>
  <c r="R3100" i="2"/>
  <c r="Q3100" i="2"/>
  <c r="P3100" i="2"/>
  <c r="V3099" i="2" a="1"/>
  <c r="V3099" i="2" s="1"/>
  <c r="U3099" i="2"/>
  <c r="S3099" i="2"/>
  <c r="R3099" i="2"/>
  <c r="Q3099" i="2"/>
  <c r="P3099" i="2"/>
  <c r="V3098" i="2"/>
  <c r="U3098" i="2"/>
  <c r="S3098" i="2"/>
  <c r="V3098" i="2" s="1" a="1"/>
  <c r="R3098" i="2"/>
  <c r="Q3098" i="2"/>
  <c r="P3098" i="2"/>
  <c r="V3097" i="2" a="1"/>
  <c r="V3097" i="2" s="1"/>
  <c r="U3097" i="2"/>
  <c r="S3097" i="2"/>
  <c r="R3097" i="2"/>
  <c r="Q3097" i="2"/>
  <c r="P3097" i="2"/>
  <c r="V3096" i="2" a="1"/>
  <c r="V3096" i="2" s="1"/>
  <c r="U3096" i="2"/>
  <c r="S3096" i="2"/>
  <c r="R3096" i="2"/>
  <c r="Q3096" i="2"/>
  <c r="P3096" i="2"/>
  <c r="V3095" i="2"/>
  <c r="V3095" i="2" a="1"/>
  <c r="U3095" i="2"/>
  <c r="S3095" i="2"/>
  <c r="R3095" i="2"/>
  <c r="Q3095" i="2"/>
  <c r="P3095" i="2"/>
  <c r="V3094" i="2"/>
  <c r="V3094" i="2" a="1"/>
  <c r="U3094" i="2"/>
  <c r="S3094" i="2"/>
  <c r="R3094" i="2"/>
  <c r="Q3094" i="2"/>
  <c r="P3094" i="2"/>
  <c r="V3093" i="2"/>
  <c r="V3093" i="2" a="1"/>
  <c r="U3093" i="2"/>
  <c r="S3093" i="2"/>
  <c r="R3093" i="2"/>
  <c r="Q3093" i="2"/>
  <c r="P3093" i="2"/>
  <c r="V3092" i="2"/>
  <c r="U3092" i="2"/>
  <c r="S3092" i="2"/>
  <c r="V3092" i="2" s="1" a="1"/>
  <c r="R3092" i="2"/>
  <c r="Q3092" i="2"/>
  <c r="P3092" i="2"/>
  <c r="V3091" i="2" a="1"/>
  <c r="V3091" i="2" s="1"/>
  <c r="U3091" i="2"/>
  <c r="S3091" i="2"/>
  <c r="R3091" i="2"/>
  <c r="Q3091" i="2"/>
  <c r="P3091" i="2"/>
  <c r="V3090" i="2" a="1"/>
  <c r="V3090" i="2" s="1"/>
  <c r="U3090" i="2"/>
  <c r="S3090" i="2"/>
  <c r="R3090" i="2"/>
  <c r="Q3090" i="2"/>
  <c r="P3090" i="2"/>
  <c r="U3089" i="2"/>
  <c r="S3089" i="2"/>
  <c r="R3089" i="2"/>
  <c r="Q3089" i="2"/>
  <c r="P3089" i="2"/>
  <c r="V3088" i="2"/>
  <c r="V3088" i="2" a="1"/>
  <c r="U3088" i="2"/>
  <c r="S3088" i="2"/>
  <c r="R3088" i="2"/>
  <c r="Q3088" i="2"/>
  <c r="P3088" i="2"/>
  <c r="V3087" i="2" a="1"/>
  <c r="V3087" i="2" s="1"/>
  <c r="U3087" i="2"/>
  <c r="S3087" i="2"/>
  <c r="R3087" i="2"/>
  <c r="Q3087" i="2"/>
  <c r="P3087" i="2"/>
  <c r="V3086" i="2" a="1"/>
  <c r="V3086" i="2" s="1"/>
  <c r="U3086" i="2"/>
  <c r="S3086" i="2"/>
  <c r="R3086" i="2"/>
  <c r="Q3086" i="2"/>
  <c r="P3086" i="2"/>
  <c r="U3085" i="2"/>
  <c r="S3085" i="2"/>
  <c r="V3085" i="2" s="1" a="1"/>
  <c r="V3085" i="2" s="1"/>
  <c r="R3085" i="2"/>
  <c r="Q3085" i="2"/>
  <c r="P3085" i="2"/>
  <c r="U3084" i="2"/>
  <c r="S3084" i="2"/>
  <c r="V3084" i="2" s="1" a="1"/>
  <c r="V3084" i="2" s="1"/>
  <c r="R3084" i="2"/>
  <c r="Q3084" i="2"/>
  <c r="P3084" i="2"/>
  <c r="U3083" i="2"/>
  <c r="S3083" i="2"/>
  <c r="V3083" i="2" s="1" a="1"/>
  <c r="V3083" i="2" s="1"/>
  <c r="R3083" i="2"/>
  <c r="Q3083" i="2"/>
  <c r="P3083" i="2"/>
  <c r="U3082" i="2"/>
  <c r="S3082" i="2"/>
  <c r="R3082" i="2"/>
  <c r="Q3082" i="2"/>
  <c r="P3082" i="2"/>
  <c r="V3081" i="2" a="1"/>
  <c r="V3081" i="2" s="1"/>
  <c r="U3081" i="2"/>
  <c r="S3081" i="2"/>
  <c r="R3081" i="2"/>
  <c r="Q3081" i="2"/>
  <c r="P3081" i="2"/>
  <c r="V3080" i="2"/>
  <c r="V3080" i="2" a="1"/>
  <c r="U3080" i="2"/>
  <c r="S3080" i="2"/>
  <c r="R3080" i="2"/>
  <c r="Q3080" i="2"/>
  <c r="P3080" i="2"/>
  <c r="V3079" i="2" a="1"/>
  <c r="V3079" i="2" s="1"/>
  <c r="U3079" i="2"/>
  <c r="S3079" i="2"/>
  <c r="R3079" i="2"/>
  <c r="Q3079" i="2"/>
  <c r="P3079" i="2"/>
  <c r="V3078" i="2" a="1"/>
  <c r="V3078" i="2" s="1"/>
  <c r="U3078" i="2"/>
  <c r="S3078" i="2"/>
  <c r="R3078" i="2"/>
  <c r="Q3078" i="2"/>
  <c r="P3078" i="2"/>
  <c r="V3077" i="2" a="1"/>
  <c r="V3077" i="2" s="1"/>
  <c r="U3077" i="2"/>
  <c r="S3077" i="2"/>
  <c r="R3077" i="2"/>
  <c r="Q3077" i="2"/>
  <c r="P3077" i="2"/>
  <c r="V3076" i="2"/>
  <c r="U3076" i="2"/>
  <c r="S3076" i="2"/>
  <c r="V3076" i="2" s="1" a="1"/>
  <c r="R3076" i="2"/>
  <c r="Q3076" i="2"/>
  <c r="P3076" i="2"/>
  <c r="V3075" i="2" a="1"/>
  <c r="V3075" i="2" s="1"/>
  <c r="U3075" i="2"/>
  <c r="S3075" i="2"/>
  <c r="R3075" i="2"/>
  <c r="Q3075" i="2"/>
  <c r="P3075" i="2"/>
  <c r="V3074" i="2" a="1"/>
  <c r="V3074" i="2" s="1"/>
  <c r="U3074" i="2"/>
  <c r="S3074" i="2"/>
  <c r="R3074" i="2"/>
  <c r="Q3074" i="2"/>
  <c r="P3074" i="2"/>
  <c r="U3073" i="2"/>
  <c r="S3073" i="2"/>
  <c r="R3073" i="2"/>
  <c r="Q3073" i="2"/>
  <c r="P3073" i="2"/>
  <c r="V3072" i="2"/>
  <c r="V3072" i="2" a="1"/>
  <c r="U3072" i="2"/>
  <c r="S3072" i="2"/>
  <c r="R3072" i="2"/>
  <c r="Q3072" i="2"/>
  <c r="P3072" i="2"/>
  <c r="V3071" i="2" a="1"/>
  <c r="V3071" i="2" s="1"/>
  <c r="U3071" i="2"/>
  <c r="S3071" i="2"/>
  <c r="R3071" i="2"/>
  <c r="Q3071" i="2"/>
  <c r="P3071" i="2"/>
  <c r="V3070" i="2" a="1"/>
  <c r="V3070" i="2" s="1"/>
  <c r="U3070" i="2"/>
  <c r="S3070" i="2"/>
  <c r="R3070" i="2"/>
  <c r="Q3070" i="2"/>
  <c r="P3070" i="2"/>
  <c r="U3069" i="2"/>
  <c r="S3069" i="2"/>
  <c r="V3069" i="2" s="1" a="1"/>
  <c r="V3069" i="2" s="1"/>
  <c r="R3069" i="2"/>
  <c r="Q3069" i="2"/>
  <c r="P3069" i="2"/>
  <c r="U3068" i="2"/>
  <c r="S3068" i="2"/>
  <c r="V3068" i="2" s="1" a="1"/>
  <c r="V3068" i="2" s="1"/>
  <c r="R3068" i="2"/>
  <c r="Q3068" i="2"/>
  <c r="P3068" i="2"/>
  <c r="U3067" i="2"/>
  <c r="S3067" i="2"/>
  <c r="V3067" i="2" s="1" a="1"/>
  <c r="V3067" i="2" s="1"/>
  <c r="R3067" i="2"/>
  <c r="Q3067" i="2"/>
  <c r="P3067" i="2"/>
  <c r="U3066" i="2"/>
  <c r="S3066" i="2"/>
  <c r="R3066" i="2"/>
  <c r="Q3066" i="2"/>
  <c r="P3066" i="2"/>
  <c r="V3065" i="2" a="1"/>
  <c r="V3065" i="2" s="1"/>
  <c r="U3065" i="2"/>
  <c r="S3065" i="2"/>
  <c r="R3065" i="2"/>
  <c r="Q3065" i="2"/>
  <c r="P3065" i="2"/>
  <c r="V3064" i="2"/>
  <c r="V3064" i="2" a="1"/>
  <c r="U3064" i="2"/>
  <c r="S3064" i="2"/>
  <c r="R3064" i="2"/>
  <c r="Q3064" i="2"/>
  <c r="P3064" i="2"/>
  <c r="V3063" i="2" a="1"/>
  <c r="V3063" i="2" s="1"/>
  <c r="U3063" i="2"/>
  <c r="S3063" i="2"/>
  <c r="R3063" i="2"/>
  <c r="Q3063" i="2"/>
  <c r="P3063" i="2"/>
  <c r="V3062" i="2" a="1"/>
  <c r="V3062" i="2" s="1"/>
  <c r="U3062" i="2"/>
  <c r="S3062" i="2"/>
  <c r="R3062" i="2"/>
  <c r="Q3062" i="2"/>
  <c r="P3062" i="2"/>
  <c r="V3061" i="2" a="1"/>
  <c r="V3061" i="2" s="1"/>
  <c r="U3061" i="2"/>
  <c r="S3061" i="2"/>
  <c r="R3061" i="2"/>
  <c r="Q3061" i="2"/>
  <c r="P3061" i="2"/>
  <c r="V3060" i="2"/>
  <c r="U3060" i="2"/>
  <c r="S3060" i="2"/>
  <c r="V3060" i="2" s="1" a="1"/>
  <c r="R3060" i="2"/>
  <c r="Q3060" i="2"/>
  <c r="P3060" i="2"/>
  <c r="V3059" i="2" a="1"/>
  <c r="V3059" i="2" s="1"/>
  <c r="U3059" i="2"/>
  <c r="S3059" i="2"/>
  <c r="R3059" i="2"/>
  <c r="Q3059" i="2"/>
  <c r="P3059" i="2"/>
  <c r="V3058" i="2" a="1"/>
  <c r="V3058" i="2" s="1"/>
  <c r="U3058" i="2"/>
  <c r="S3058" i="2"/>
  <c r="R3058" i="2"/>
  <c r="Q3058" i="2"/>
  <c r="P3058" i="2"/>
  <c r="U3057" i="2"/>
  <c r="S3057" i="2"/>
  <c r="R3057" i="2"/>
  <c r="Q3057" i="2"/>
  <c r="P3057" i="2"/>
  <c r="V3056" i="2"/>
  <c r="V3056" i="2" a="1"/>
  <c r="U3056" i="2"/>
  <c r="S3056" i="2"/>
  <c r="R3056" i="2"/>
  <c r="Q3056" i="2"/>
  <c r="P3056" i="2"/>
  <c r="V3055" i="2" a="1"/>
  <c r="V3055" i="2" s="1"/>
  <c r="U3055" i="2"/>
  <c r="S3055" i="2"/>
  <c r="R3055" i="2"/>
  <c r="Q3055" i="2"/>
  <c r="P3055" i="2"/>
  <c r="V3054" i="2" a="1"/>
  <c r="V3054" i="2" s="1"/>
  <c r="U3054" i="2"/>
  <c r="S3054" i="2"/>
  <c r="R3054" i="2"/>
  <c r="Q3054" i="2"/>
  <c r="P3054" i="2"/>
  <c r="U3053" i="2"/>
  <c r="S3053" i="2"/>
  <c r="V3053" i="2" s="1" a="1"/>
  <c r="V3053" i="2" s="1"/>
  <c r="R3053" i="2"/>
  <c r="Q3053" i="2"/>
  <c r="P3053" i="2"/>
  <c r="U3052" i="2"/>
  <c r="S3052" i="2"/>
  <c r="V3052" i="2" s="1" a="1"/>
  <c r="V3052" i="2" s="1"/>
  <c r="R3052" i="2"/>
  <c r="Q3052" i="2"/>
  <c r="P3052" i="2"/>
  <c r="U3051" i="2"/>
  <c r="S3051" i="2"/>
  <c r="V3051" i="2" s="1" a="1"/>
  <c r="V3051" i="2" s="1"/>
  <c r="R3051" i="2"/>
  <c r="Q3051" i="2"/>
  <c r="P3051" i="2"/>
  <c r="U3050" i="2"/>
  <c r="S3050" i="2"/>
  <c r="R3050" i="2"/>
  <c r="Q3050" i="2"/>
  <c r="P3050" i="2"/>
  <c r="V3049" i="2" a="1"/>
  <c r="V3049" i="2" s="1"/>
  <c r="U3049" i="2"/>
  <c r="S3049" i="2"/>
  <c r="R3049" i="2"/>
  <c r="Q3049" i="2"/>
  <c r="P3049" i="2"/>
  <c r="V3048" i="2"/>
  <c r="V3048" i="2" a="1"/>
  <c r="U3048" i="2"/>
  <c r="S3048" i="2"/>
  <c r="R3048" i="2"/>
  <c r="Q3048" i="2"/>
  <c r="P3048" i="2"/>
  <c r="V3047" i="2" a="1"/>
  <c r="V3047" i="2" s="1"/>
  <c r="U3047" i="2"/>
  <c r="S3047" i="2"/>
  <c r="R3047" i="2"/>
  <c r="Q3047" i="2"/>
  <c r="P3047" i="2"/>
  <c r="V3046" i="2" a="1"/>
  <c r="V3046" i="2" s="1"/>
  <c r="U3046" i="2"/>
  <c r="S3046" i="2"/>
  <c r="R3046" i="2"/>
  <c r="Q3046" i="2"/>
  <c r="P3046" i="2"/>
  <c r="V3045" i="2" a="1"/>
  <c r="V3045" i="2" s="1"/>
  <c r="U3045" i="2"/>
  <c r="S3045" i="2"/>
  <c r="R3045" i="2"/>
  <c r="Q3045" i="2"/>
  <c r="P3045" i="2"/>
  <c r="V3044" i="2"/>
  <c r="U3044" i="2"/>
  <c r="S3044" i="2"/>
  <c r="V3044" i="2" s="1" a="1"/>
  <c r="R3044" i="2"/>
  <c r="Q3044" i="2"/>
  <c r="P3044" i="2"/>
  <c r="V3043" i="2" a="1"/>
  <c r="V3043" i="2" s="1"/>
  <c r="U3043" i="2"/>
  <c r="S3043" i="2"/>
  <c r="R3043" i="2"/>
  <c r="Q3043" i="2"/>
  <c r="P3043" i="2"/>
  <c r="V3042" i="2" a="1"/>
  <c r="V3042" i="2" s="1"/>
  <c r="U3042" i="2"/>
  <c r="S3042" i="2"/>
  <c r="R3042" i="2"/>
  <c r="Q3042" i="2"/>
  <c r="P3042" i="2"/>
  <c r="U3041" i="2"/>
  <c r="S3041" i="2"/>
  <c r="R3041" i="2"/>
  <c r="Q3041" i="2"/>
  <c r="P3041" i="2"/>
  <c r="U3040" i="2"/>
  <c r="S3040" i="2"/>
  <c r="V3040" i="2" s="1" a="1"/>
  <c r="V3040" i="2" s="1"/>
  <c r="R3040" i="2"/>
  <c r="Q3040" i="2"/>
  <c r="P3040" i="2"/>
  <c r="U3039" i="2"/>
  <c r="S3039" i="2"/>
  <c r="V3039" i="2" s="1" a="1"/>
  <c r="V3039" i="2" s="1"/>
  <c r="R3039" i="2"/>
  <c r="Q3039" i="2"/>
  <c r="P3039" i="2"/>
  <c r="U3038" i="2"/>
  <c r="S3038" i="2"/>
  <c r="R3038" i="2"/>
  <c r="Q3038" i="2"/>
  <c r="P3038" i="2"/>
  <c r="V3037" i="2" a="1"/>
  <c r="V3037" i="2" s="1"/>
  <c r="U3037" i="2"/>
  <c r="S3037" i="2"/>
  <c r="R3037" i="2"/>
  <c r="Q3037" i="2"/>
  <c r="P3037" i="2"/>
  <c r="V3036" i="2"/>
  <c r="V3036" i="2" a="1"/>
  <c r="U3036" i="2"/>
  <c r="S3036" i="2"/>
  <c r="R3036" i="2"/>
  <c r="Q3036" i="2"/>
  <c r="P3036" i="2"/>
  <c r="V3035" i="2" a="1"/>
  <c r="V3035" i="2" s="1"/>
  <c r="U3035" i="2"/>
  <c r="S3035" i="2"/>
  <c r="R3035" i="2"/>
  <c r="Q3035" i="2"/>
  <c r="P3035" i="2"/>
  <c r="V3034" i="2" a="1"/>
  <c r="V3034" i="2" s="1"/>
  <c r="U3034" i="2"/>
  <c r="S3034" i="2"/>
  <c r="R3034" i="2"/>
  <c r="Q3034" i="2"/>
  <c r="P3034" i="2"/>
  <c r="U3033" i="2"/>
  <c r="S3033" i="2"/>
  <c r="R3033" i="2"/>
  <c r="Q3033" i="2"/>
  <c r="P3033" i="2"/>
  <c r="U3032" i="2"/>
  <c r="S3032" i="2"/>
  <c r="V3032" i="2" s="1" a="1"/>
  <c r="V3032" i="2" s="1"/>
  <c r="R3032" i="2"/>
  <c r="Q3032" i="2"/>
  <c r="P3032" i="2"/>
  <c r="U3031" i="2"/>
  <c r="S3031" i="2"/>
  <c r="V3031" i="2" s="1" a="1"/>
  <c r="V3031" i="2" s="1"/>
  <c r="R3031" i="2"/>
  <c r="Q3031" i="2"/>
  <c r="P3031" i="2"/>
  <c r="U3030" i="2"/>
  <c r="S3030" i="2"/>
  <c r="R3030" i="2"/>
  <c r="Q3030" i="2"/>
  <c r="P3030" i="2"/>
  <c r="V3029" i="2" a="1"/>
  <c r="V3029" i="2" s="1"/>
  <c r="U3029" i="2"/>
  <c r="S3029" i="2"/>
  <c r="R3029" i="2"/>
  <c r="Q3029" i="2"/>
  <c r="P3029" i="2"/>
  <c r="V3028" i="2"/>
  <c r="V3028" i="2" a="1"/>
  <c r="U3028" i="2"/>
  <c r="S3028" i="2"/>
  <c r="R3028" i="2"/>
  <c r="Q3028" i="2"/>
  <c r="P3028" i="2"/>
  <c r="V3027" i="2" a="1"/>
  <c r="V3027" i="2" s="1"/>
  <c r="U3027" i="2"/>
  <c r="S3027" i="2"/>
  <c r="R3027" i="2"/>
  <c r="Q3027" i="2"/>
  <c r="P3027" i="2"/>
  <c r="V3026" i="2" a="1"/>
  <c r="V3026" i="2" s="1"/>
  <c r="U3026" i="2"/>
  <c r="S3026" i="2"/>
  <c r="R3026" i="2"/>
  <c r="Q3026" i="2"/>
  <c r="P3026" i="2"/>
  <c r="U3025" i="2"/>
  <c r="S3025" i="2"/>
  <c r="R3025" i="2"/>
  <c r="Q3025" i="2"/>
  <c r="P3025" i="2"/>
  <c r="U3024" i="2"/>
  <c r="S3024" i="2"/>
  <c r="V3024" i="2" s="1" a="1"/>
  <c r="V3024" i="2" s="1"/>
  <c r="R3024" i="2"/>
  <c r="Q3024" i="2"/>
  <c r="P3024" i="2"/>
  <c r="U3023" i="2"/>
  <c r="S3023" i="2"/>
  <c r="V3023" i="2" s="1" a="1"/>
  <c r="V3023" i="2" s="1"/>
  <c r="R3023" i="2"/>
  <c r="Q3023" i="2"/>
  <c r="P3023" i="2"/>
  <c r="U3022" i="2"/>
  <c r="S3022" i="2"/>
  <c r="R3022" i="2"/>
  <c r="Q3022" i="2"/>
  <c r="P3022" i="2"/>
  <c r="V3021" i="2" a="1"/>
  <c r="V3021" i="2" s="1"/>
  <c r="U3021" i="2"/>
  <c r="S3021" i="2"/>
  <c r="R3021" i="2"/>
  <c r="Q3021" i="2"/>
  <c r="P3021" i="2"/>
  <c r="V3020" i="2"/>
  <c r="V3020" i="2" a="1"/>
  <c r="U3020" i="2"/>
  <c r="S3020" i="2"/>
  <c r="R3020" i="2"/>
  <c r="Q3020" i="2"/>
  <c r="P3020" i="2"/>
  <c r="V3019" i="2" a="1"/>
  <c r="V3019" i="2" s="1"/>
  <c r="U3019" i="2"/>
  <c r="S3019" i="2"/>
  <c r="R3019" i="2"/>
  <c r="Q3019" i="2"/>
  <c r="P3019" i="2"/>
  <c r="V3018" i="2" a="1"/>
  <c r="V3018" i="2" s="1"/>
  <c r="U3018" i="2"/>
  <c r="S3018" i="2"/>
  <c r="R3018" i="2"/>
  <c r="Q3018" i="2"/>
  <c r="P3018" i="2"/>
  <c r="U3017" i="2"/>
  <c r="S3017" i="2"/>
  <c r="R3017" i="2"/>
  <c r="Q3017" i="2"/>
  <c r="P3017" i="2"/>
  <c r="U3016" i="2"/>
  <c r="S3016" i="2"/>
  <c r="V3016" i="2" s="1" a="1"/>
  <c r="V3016" i="2" s="1"/>
  <c r="R3016" i="2"/>
  <c r="Q3016" i="2"/>
  <c r="P3016" i="2"/>
  <c r="U3015" i="2"/>
  <c r="S3015" i="2"/>
  <c r="V3015" i="2" s="1" a="1"/>
  <c r="V3015" i="2" s="1"/>
  <c r="R3015" i="2"/>
  <c r="Q3015" i="2"/>
  <c r="P3015" i="2"/>
  <c r="U3014" i="2"/>
  <c r="S3014" i="2"/>
  <c r="R3014" i="2"/>
  <c r="Q3014" i="2"/>
  <c r="P3014" i="2"/>
  <c r="V3013" i="2" a="1"/>
  <c r="V3013" i="2" s="1"/>
  <c r="U3013" i="2"/>
  <c r="S3013" i="2"/>
  <c r="R3013" i="2"/>
  <c r="Q3013" i="2"/>
  <c r="P3013" i="2"/>
  <c r="V3012" i="2"/>
  <c r="V3012" i="2" a="1"/>
  <c r="U3012" i="2"/>
  <c r="S3012" i="2"/>
  <c r="R3012" i="2"/>
  <c r="Q3012" i="2"/>
  <c r="P3012" i="2"/>
  <c r="V3011" i="2" a="1"/>
  <c r="V3011" i="2" s="1"/>
  <c r="U3011" i="2"/>
  <c r="S3011" i="2"/>
  <c r="R3011" i="2"/>
  <c r="Q3011" i="2"/>
  <c r="P3011" i="2"/>
  <c r="V3010" i="2" a="1"/>
  <c r="V3010" i="2" s="1"/>
  <c r="U3010" i="2"/>
  <c r="S3010" i="2"/>
  <c r="R3010" i="2"/>
  <c r="Q3010" i="2"/>
  <c r="P3010" i="2"/>
  <c r="U3009" i="2"/>
  <c r="S3009" i="2"/>
  <c r="R3009" i="2"/>
  <c r="Q3009" i="2"/>
  <c r="P3009" i="2"/>
  <c r="U3008" i="2"/>
  <c r="S3008" i="2"/>
  <c r="V3008" i="2" s="1" a="1"/>
  <c r="V3008" i="2" s="1"/>
  <c r="R3008" i="2"/>
  <c r="Q3008" i="2"/>
  <c r="P3008" i="2"/>
  <c r="U3007" i="2"/>
  <c r="S3007" i="2"/>
  <c r="V3007" i="2" s="1" a="1"/>
  <c r="V3007" i="2" s="1"/>
  <c r="R3007" i="2"/>
  <c r="Q3007" i="2"/>
  <c r="P3007" i="2"/>
  <c r="U3006" i="2"/>
  <c r="S3006" i="2"/>
  <c r="R3006" i="2"/>
  <c r="Q3006" i="2"/>
  <c r="P3006" i="2"/>
  <c r="V3005" i="2" a="1"/>
  <c r="V3005" i="2" s="1"/>
  <c r="U3005" i="2"/>
  <c r="S3005" i="2"/>
  <c r="R3005" i="2"/>
  <c r="Q3005" i="2"/>
  <c r="P3005" i="2"/>
  <c r="V3004" i="2"/>
  <c r="V3004" i="2" a="1"/>
  <c r="U3004" i="2"/>
  <c r="S3004" i="2"/>
  <c r="R3004" i="2"/>
  <c r="Q3004" i="2"/>
  <c r="P3004" i="2"/>
  <c r="V3003" i="2" a="1"/>
  <c r="V3003" i="2" s="1"/>
  <c r="U3003" i="2"/>
  <c r="S3003" i="2"/>
  <c r="R3003" i="2"/>
  <c r="Q3003" i="2"/>
  <c r="P3003" i="2"/>
  <c r="V3002" i="2" a="1"/>
  <c r="V3002" i="2" s="1"/>
  <c r="U3002" i="2"/>
  <c r="S3002" i="2"/>
  <c r="R3002" i="2"/>
  <c r="Q3002" i="2"/>
  <c r="P3002" i="2"/>
  <c r="U3001" i="2"/>
  <c r="S3001" i="2"/>
  <c r="R3001" i="2"/>
  <c r="Q3001" i="2"/>
  <c r="P3001" i="2"/>
  <c r="U3000" i="2"/>
  <c r="S3000" i="2"/>
  <c r="V3000" i="2" s="1" a="1"/>
  <c r="V3000" i="2" s="1"/>
  <c r="R3000" i="2"/>
  <c r="Q3000" i="2"/>
  <c r="P3000" i="2"/>
  <c r="U2999" i="2"/>
  <c r="S2999" i="2"/>
  <c r="V2999" i="2" s="1" a="1"/>
  <c r="V2999" i="2" s="1"/>
  <c r="R2999" i="2"/>
  <c r="Q2999" i="2"/>
  <c r="P2999" i="2"/>
  <c r="U2998" i="2"/>
  <c r="S2998" i="2"/>
  <c r="R2998" i="2"/>
  <c r="Q2998" i="2"/>
  <c r="P2998" i="2"/>
  <c r="V2997" i="2" a="1"/>
  <c r="V2997" i="2" s="1"/>
  <c r="U2997" i="2"/>
  <c r="S2997" i="2"/>
  <c r="R2997" i="2"/>
  <c r="Q2997" i="2"/>
  <c r="P2997" i="2"/>
  <c r="V2996" i="2"/>
  <c r="V2996" i="2" a="1"/>
  <c r="U2996" i="2"/>
  <c r="S2996" i="2"/>
  <c r="R2996" i="2"/>
  <c r="Q2996" i="2"/>
  <c r="P2996" i="2"/>
  <c r="V2995" i="2" a="1"/>
  <c r="V2995" i="2" s="1"/>
  <c r="U2995" i="2"/>
  <c r="S2995" i="2"/>
  <c r="R2995" i="2"/>
  <c r="Q2995" i="2"/>
  <c r="P2995" i="2"/>
  <c r="V2994" i="2" a="1"/>
  <c r="V2994" i="2" s="1"/>
  <c r="U2994" i="2"/>
  <c r="S2994" i="2"/>
  <c r="R2994" i="2"/>
  <c r="Q2994" i="2"/>
  <c r="P2994" i="2"/>
  <c r="U2993" i="2"/>
  <c r="S2993" i="2"/>
  <c r="R2993" i="2"/>
  <c r="Q2993" i="2"/>
  <c r="P2993" i="2"/>
  <c r="U2992" i="2"/>
  <c r="S2992" i="2"/>
  <c r="V2992" i="2" s="1" a="1"/>
  <c r="V2992" i="2" s="1"/>
  <c r="R2992" i="2"/>
  <c r="Q2992" i="2"/>
  <c r="P2992" i="2"/>
  <c r="U2991" i="2"/>
  <c r="S2991" i="2"/>
  <c r="V2991" i="2" s="1" a="1"/>
  <c r="V2991" i="2" s="1"/>
  <c r="R2991" i="2"/>
  <c r="Q2991" i="2"/>
  <c r="P2991" i="2"/>
  <c r="U2990" i="2"/>
  <c r="S2990" i="2"/>
  <c r="R2990" i="2"/>
  <c r="Q2990" i="2"/>
  <c r="P2990" i="2"/>
  <c r="V2989" i="2" a="1"/>
  <c r="V2989" i="2" s="1"/>
  <c r="U2989" i="2"/>
  <c r="S2989" i="2"/>
  <c r="R2989" i="2"/>
  <c r="Q2989" i="2"/>
  <c r="P2989" i="2"/>
  <c r="V2988" i="2"/>
  <c r="V2988" i="2" a="1"/>
  <c r="U2988" i="2"/>
  <c r="S2988" i="2"/>
  <c r="R2988" i="2"/>
  <c r="Q2988" i="2"/>
  <c r="P2988" i="2"/>
  <c r="V2987" i="2" a="1"/>
  <c r="V2987" i="2" s="1"/>
  <c r="U2987" i="2"/>
  <c r="S2987" i="2"/>
  <c r="R2987" i="2"/>
  <c r="Q2987" i="2"/>
  <c r="P2987" i="2"/>
  <c r="V2986" i="2" a="1"/>
  <c r="V2986" i="2" s="1"/>
  <c r="U2986" i="2"/>
  <c r="S2986" i="2"/>
  <c r="R2986" i="2"/>
  <c r="Q2986" i="2"/>
  <c r="P2986" i="2"/>
  <c r="U2985" i="2"/>
  <c r="S2985" i="2"/>
  <c r="R2985" i="2"/>
  <c r="Q2985" i="2"/>
  <c r="P2985" i="2"/>
  <c r="U2984" i="2"/>
  <c r="S2984" i="2"/>
  <c r="V2984" i="2" s="1" a="1"/>
  <c r="V2984" i="2" s="1"/>
  <c r="R2984" i="2"/>
  <c r="Q2984" i="2"/>
  <c r="P2984" i="2"/>
  <c r="U2983" i="2"/>
  <c r="S2983" i="2"/>
  <c r="V2983" i="2" s="1" a="1"/>
  <c r="V2983" i="2" s="1"/>
  <c r="R2983" i="2"/>
  <c r="Q2983" i="2"/>
  <c r="P2983" i="2"/>
  <c r="U2982" i="2"/>
  <c r="S2982" i="2"/>
  <c r="R2982" i="2"/>
  <c r="Q2982" i="2"/>
  <c r="P2982" i="2"/>
  <c r="V2981" i="2" a="1"/>
  <c r="V2981" i="2" s="1"/>
  <c r="U2981" i="2"/>
  <c r="S2981" i="2"/>
  <c r="R2981" i="2"/>
  <c r="Q2981" i="2"/>
  <c r="P2981" i="2"/>
  <c r="V2980" i="2"/>
  <c r="V2980" i="2" a="1"/>
  <c r="U2980" i="2"/>
  <c r="S2980" i="2"/>
  <c r="R2980" i="2"/>
  <c r="Q2980" i="2"/>
  <c r="P2980" i="2"/>
  <c r="V2979" i="2" a="1"/>
  <c r="V2979" i="2" s="1"/>
  <c r="U2979" i="2"/>
  <c r="S2979" i="2"/>
  <c r="R2979" i="2"/>
  <c r="Q2979" i="2"/>
  <c r="P2979" i="2"/>
  <c r="V2978" i="2" a="1"/>
  <c r="V2978" i="2" s="1"/>
  <c r="U2978" i="2"/>
  <c r="S2978" i="2"/>
  <c r="R2978" i="2"/>
  <c r="Q2978" i="2"/>
  <c r="P2978" i="2"/>
  <c r="U2977" i="2"/>
  <c r="S2977" i="2"/>
  <c r="R2977" i="2"/>
  <c r="Q2977" i="2"/>
  <c r="P2977" i="2"/>
  <c r="U2976" i="2"/>
  <c r="S2976" i="2"/>
  <c r="V2976" i="2" s="1" a="1"/>
  <c r="V2976" i="2" s="1"/>
  <c r="R2976" i="2"/>
  <c r="Q2976" i="2"/>
  <c r="P2976" i="2"/>
  <c r="U2975" i="2"/>
  <c r="S2975" i="2"/>
  <c r="V2975" i="2" s="1" a="1"/>
  <c r="V2975" i="2" s="1"/>
  <c r="R2975" i="2"/>
  <c r="Q2975" i="2"/>
  <c r="P2975" i="2"/>
  <c r="U2974" i="2"/>
  <c r="S2974" i="2"/>
  <c r="R2974" i="2"/>
  <c r="Q2974" i="2"/>
  <c r="P2974" i="2"/>
  <c r="V2973" i="2" a="1"/>
  <c r="V2973" i="2" s="1"/>
  <c r="U2973" i="2"/>
  <c r="S2973" i="2"/>
  <c r="R2973" i="2"/>
  <c r="Q2973" i="2"/>
  <c r="P2973" i="2"/>
  <c r="V2972" i="2"/>
  <c r="V2972" i="2" a="1"/>
  <c r="U2972" i="2"/>
  <c r="S2972" i="2"/>
  <c r="R2972" i="2"/>
  <c r="Q2972" i="2"/>
  <c r="P2972" i="2"/>
  <c r="V2971" i="2" a="1"/>
  <c r="V2971" i="2" s="1"/>
  <c r="U2971" i="2"/>
  <c r="S2971" i="2"/>
  <c r="R2971" i="2"/>
  <c r="Q2971" i="2"/>
  <c r="P2971" i="2"/>
  <c r="V2970" i="2" a="1"/>
  <c r="V2970" i="2" s="1"/>
  <c r="U2970" i="2"/>
  <c r="S2970" i="2"/>
  <c r="R2970" i="2"/>
  <c r="Q2970" i="2"/>
  <c r="P2970" i="2"/>
  <c r="U2969" i="2"/>
  <c r="S2969" i="2"/>
  <c r="R2969" i="2"/>
  <c r="Q2969" i="2"/>
  <c r="P2969" i="2"/>
  <c r="U2968" i="2"/>
  <c r="S2968" i="2"/>
  <c r="V2968" i="2" s="1" a="1"/>
  <c r="V2968" i="2" s="1"/>
  <c r="R2968" i="2"/>
  <c r="Q2968" i="2"/>
  <c r="P2968" i="2"/>
  <c r="U2967" i="2"/>
  <c r="S2967" i="2"/>
  <c r="V2967" i="2" s="1" a="1"/>
  <c r="V2967" i="2" s="1"/>
  <c r="R2967" i="2"/>
  <c r="Q2967" i="2"/>
  <c r="P2967" i="2"/>
  <c r="U2966" i="2"/>
  <c r="S2966" i="2"/>
  <c r="R2966" i="2"/>
  <c r="Q2966" i="2"/>
  <c r="P2966" i="2"/>
  <c r="V2965" i="2" a="1"/>
  <c r="V2965" i="2" s="1"/>
  <c r="U2965" i="2"/>
  <c r="S2965" i="2"/>
  <c r="R2965" i="2"/>
  <c r="Q2965" i="2"/>
  <c r="P2965" i="2"/>
  <c r="V2964" i="2"/>
  <c r="V2964" i="2" a="1"/>
  <c r="U2964" i="2"/>
  <c r="S2964" i="2"/>
  <c r="R2964" i="2"/>
  <c r="Q2964" i="2"/>
  <c r="P2964" i="2"/>
  <c r="V2963" i="2" a="1"/>
  <c r="V2963" i="2" s="1"/>
  <c r="U2963" i="2"/>
  <c r="S2963" i="2"/>
  <c r="R2963" i="2"/>
  <c r="Q2963" i="2"/>
  <c r="P2963" i="2"/>
  <c r="V2962" i="2" a="1"/>
  <c r="V2962" i="2" s="1"/>
  <c r="U2962" i="2"/>
  <c r="S2962" i="2"/>
  <c r="R2962" i="2"/>
  <c r="Q2962" i="2"/>
  <c r="P2962" i="2"/>
  <c r="U2961" i="2"/>
  <c r="S2961" i="2"/>
  <c r="R2961" i="2"/>
  <c r="Q2961" i="2"/>
  <c r="P2961" i="2"/>
  <c r="U2960" i="2"/>
  <c r="S2960" i="2"/>
  <c r="V2960" i="2" s="1" a="1"/>
  <c r="V2960" i="2" s="1"/>
  <c r="R2960" i="2"/>
  <c r="Q2960" i="2"/>
  <c r="P2960" i="2"/>
  <c r="U2959" i="2"/>
  <c r="S2959" i="2"/>
  <c r="V2959" i="2" s="1" a="1"/>
  <c r="V2959" i="2" s="1"/>
  <c r="R2959" i="2"/>
  <c r="Q2959" i="2"/>
  <c r="P2959" i="2"/>
  <c r="U2958" i="2"/>
  <c r="S2958" i="2"/>
  <c r="R2958" i="2"/>
  <c r="Q2958" i="2"/>
  <c r="P2958" i="2"/>
  <c r="V2957" i="2" a="1"/>
  <c r="V2957" i="2" s="1"/>
  <c r="U2957" i="2"/>
  <c r="S2957" i="2"/>
  <c r="R2957" i="2"/>
  <c r="Q2957" i="2"/>
  <c r="P2957" i="2"/>
  <c r="V2956" i="2"/>
  <c r="V2956" i="2" a="1"/>
  <c r="U2956" i="2"/>
  <c r="S2956" i="2"/>
  <c r="R2956" i="2"/>
  <c r="Q2956" i="2"/>
  <c r="P2956" i="2"/>
  <c r="V2955" i="2" a="1"/>
  <c r="V2955" i="2" s="1"/>
  <c r="U2955" i="2"/>
  <c r="S2955" i="2"/>
  <c r="R2955" i="2"/>
  <c r="Q2955" i="2"/>
  <c r="P2955" i="2"/>
  <c r="V2954" i="2" a="1"/>
  <c r="V2954" i="2" s="1"/>
  <c r="U2954" i="2"/>
  <c r="S2954" i="2"/>
  <c r="R2954" i="2"/>
  <c r="Q2954" i="2"/>
  <c r="P2954" i="2"/>
  <c r="U2953" i="2"/>
  <c r="S2953" i="2"/>
  <c r="R2953" i="2"/>
  <c r="Q2953" i="2"/>
  <c r="P2953" i="2"/>
  <c r="U2952" i="2"/>
  <c r="S2952" i="2"/>
  <c r="V2952" i="2" s="1" a="1"/>
  <c r="V2952" i="2" s="1"/>
  <c r="R2952" i="2"/>
  <c r="Q2952" i="2"/>
  <c r="P2952" i="2"/>
  <c r="U2951" i="2"/>
  <c r="S2951" i="2"/>
  <c r="V2951" i="2" s="1" a="1"/>
  <c r="V2951" i="2" s="1"/>
  <c r="R2951" i="2"/>
  <c r="Q2951" i="2"/>
  <c r="P2951" i="2"/>
  <c r="U2950" i="2"/>
  <c r="S2950" i="2"/>
  <c r="R2950" i="2"/>
  <c r="Q2950" i="2"/>
  <c r="P2950" i="2"/>
  <c r="V2949" i="2" a="1"/>
  <c r="V2949" i="2" s="1"/>
  <c r="U2949" i="2"/>
  <c r="S2949" i="2"/>
  <c r="R2949" i="2"/>
  <c r="Q2949" i="2"/>
  <c r="P2949" i="2"/>
  <c r="V2948" i="2"/>
  <c r="V2948" i="2" a="1"/>
  <c r="U2948" i="2"/>
  <c r="S2948" i="2"/>
  <c r="R2948" i="2"/>
  <c r="Q2948" i="2"/>
  <c r="P2948" i="2"/>
  <c r="V2947" i="2" a="1"/>
  <c r="V2947" i="2" s="1"/>
  <c r="U2947" i="2"/>
  <c r="S2947" i="2"/>
  <c r="R2947" i="2"/>
  <c r="Q2947" i="2"/>
  <c r="P2947" i="2"/>
  <c r="V2946" i="2" a="1"/>
  <c r="V2946" i="2" s="1"/>
  <c r="U2946" i="2"/>
  <c r="S2946" i="2"/>
  <c r="R2946" i="2"/>
  <c r="Q2946" i="2"/>
  <c r="P2946" i="2"/>
  <c r="U2945" i="2"/>
  <c r="S2945" i="2"/>
  <c r="R2945" i="2"/>
  <c r="Q2945" i="2"/>
  <c r="P2945" i="2"/>
  <c r="U2944" i="2"/>
  <c r="S2944" i="2"/>
  <c r="V2944" i="2" s="1" a="1"/>
  <c r="V2944" i="2" s="1"/>
  <c r="R2944" i="2"/>
  <c r="Q2944" i="2"/>
  <c r="P2944" i="2"/>
  <c r="U2943" i="2"/>
  <c r="S2943" i="2"/>
  <c r="V2943" i="2" s="1" a="1"/>
  <c r="V2943" i="2" s="1"/>
  <c r="R2943" i="2"/>
  <c r="Q2943" i="2"/>
  <c r="P2943" i="2"/>
  <c r="U2942" i="2"/>
  <c r="S2942" i="2"/>
  <c r="R2942" i="2"/>
  <c r="Q2942" i="2"/>
  <c r="P2942" i="2"/>
  <c r="V2941" i="2" a="1"/>
  <c r="V2941" i="2" s="1"/>
  <c r="U2941" i="2"/>
  <c r="S2941" i="2"/>
  <c r="R2941" i="2"/>
  <c r="Q2941" i="2"/>
  <c r="P2941" i="2"/>
  <c r="V2940" i="2"/>
  <c r="V2940" i="2" a="1"/>
  <c r="U2940" i="2"/>
  <c r="S2940" i="2"/>
  <c r="R2940" i="2"/>
  <c r="Q2940" i="2"/>
  <c r="P2940" i="2"/>
  <c r="V2939" i="2" a="1"/>
  <c r="V2939" i="2" s="1"/>
  <c r="U2939" i="2"/>
  <c r="S2939" i="2"/>
  <c r="R2939" i="2"/>
  <c r="Q2939" i="2"/>
  <c r="P2939" i="2"/>
  <c r="V2938" i="2" a="1"/>
  <c r="V2938" i="2" s="1"/>
  <c r="U2938" i="2"/>
  <c r="S2938" i="2"/>
  <c r="R2938" i="2"/>
  <c r="Q2938" i="2"/>
  <c r="P2938" i="2"/>
  <c r="U2937" i="2"/>
  <c r="S2937" i="2"/>
  <c r="R2937" i="2"/>
  <c r="Q2937" i="2"/>
  <c r="P2937" i="2"/>
  <c r="U2936" i="2"/>
  <c r="S2936" i="2"/>
  <c r="V2936" i="2" s="1" a="1"/>
  <c r="V2936" i="2" s="1"/>
  <c r="R2936" i="2"/>
  <c r="Q2936" i="2"/>
  <c r="P2936" i="2"/>
  <c r="U2935" i="2"/>
  <c r="S2935" i="2"/>
  <c r="V2935" i="2" s="1" a="1"/>
  <c r="V2935" i="2" s="1"/>
  <c r="R2935" i="2"/>
  <c r="Q2935" i="2"/>
  <c r="P2935" i="2"/>
  <c r="U2934" i="2"/>
  <c r="S2934" i="2"/>
  <c r="R2934" i="2"/>
  <c r="Q2934" i="2"/>
  <c r="P2934" i="2"/>
  <c r="V2933" i="2" a="1"/>
  <c r="V2933" i="2" s="1"/>
  <c r="U2933" i="2"/>
  <c r="S2933" i="2"/>
  <c r="R2933" i="2"/>
  <c r="Q2933" i="2"/>
  <c r="P2933" i="2"/>
  <c r="V2932" i="2"/>
  <c r="V2932" i="2" a="1"/>
  <c r="U2932" i="2"/>
  <c r="S2932" i="2"/>
  <c r="R2932" i="2"/>
  <c r="Q2932" i="2"/>
  <c r="P2932" i="2"/>
  <c r="V2931" i="2" a="1"/>
  <c r="V2931" i="2" s="1"/>
  <c r="U2931" i="2"/>
  <c r="S2931" i="2"/>
  <c r="R2931" i="2"/>
  <c r="Q2931" i="2"/>
  <c r="P2931" i="2"/>
  <c r="V2930" i="2" a="1"/>
  <c r="V2930" i="2" s="1"/>
  <c r="U2930" i="2"/>
  <c r="S2930" i="2"/>
  <c r="R2930" i="2"/>
  <c r="Q2930" i="2"/>
  <c r="P2930" i="2"/>
  <c r="U2929" i="2"/>
  <c r="S2929" i="2"/>
  <c r="R2929" i="2"/>
  <c r="Q2929" i="2"/>
  <c r="P2929" i="2"/>
  <c r="U2928" i="2"/>
  <c r="S2928" i="2"/>
  <c r="V2928" i="2" s="1" a="1"/>
  <c r="V2928" i="2" s="1"/>
  <c r="R2928" i="2"/>
  <c r="Q2928" i="2"/>
  <c r="P2928" i="2"/>
  <c r="U2927" i="2"/>
  <c r="S2927" i="2"/>
  <c r="V2927" i="2" s="1" a="1"/>
  <c r="V2927" i="2" s="1"/>
  <c r="R2927" i="2"/>
  <c r="Q2927" i="2"/>
  <c r="P2927" i="2"/>
  <c r="U2926" i="2"/>
  <c r="S2926" i="2"/>
  <c r="R2926" i="2"/>
  <c r="Q2926" i="2"/>
  <c r="P2926" i="2"/>
  <c r="V2925" i="2" a="1"/>
  <c r="V2925" i="2" s="1"/>
  <c r="U2925" i="2"/>
  <c r="S2925" i="2"/>
  <c r="R2925" i="2"/>
  <c r="Q2925" i="2"/>
  <c r="P2925" i="2"/>
  <c r="V2924" i="2"/>
  <c r="V2924" i="2" a="1"/>
  <c r="U2924" i="2"/>
  <c r="S2924" i="2"/>
  <c r="R2924" i="2"/>
  <c r="Q2924" i="2"/>
  <c r="P2924" i="2"/>
  <c r="V2923" i="2" a="1"/>
  <c r="V2923" i="2" s="1"/>
  <c r="U2923" i="2"/>
  <c r="S2923" i="2"/>
  <c r="R2923" i="2"/>
  <c r="Q2923" i="2"/>
  <c r="P2923" i="2"/>
  <c r="V2922" i="2" a="1"/>
  <c r="V2922" i="2" s="1"/>
  <c r="U2922" i="2"/>
  <c r="S2922" i="2"/>
  <c r="R2922" i="2"/>
  <c r="Q2922" i="2"/>
  <c r="P2922" i="2"/>
  <c r="U2921" i="2"/>
  <c r="S2921" i="2"/>
  <c r="R2921" i="2"/>
  <c r="Q2921" i="2"/>
  <c r="P2921" i="2"/>
  <c r="U2920" i="2"/>
  <c r="S2920" i="2"/>
  <c r="V2920" i="2" s="1" a="1"/>
  <c r="V2920" i="2" s="1"/>
  <c r="R2920" i="2"/>
  <c r="Q2920" i="2"/>
  <c r="P2920" i="2"/>
  <c r="U2919" i="2"/>
  <c r="S2919" i="2"/>
  <c r="V2919" i="2" s="1" a="1"/>
  <c r="V2919" i="2" s="1"/>
  <c r="R2919" i="2"/>
  <c r="Q2919" i="2"/>
  <c r="P2919" i="2"/>
  <c r="U2918" i="2"/>
  <c r="S2918" i="2"/>
  <c r="R2918" i="2"/>
  <c r="Q2918" i="2"/>
  <c r="P2918" i="2"/>
  <c r="V2917" i="2" a="1"/>
  <c r="V2917" i="2" s="1"/>
  <c r="U2917" i="2"/>
  <c r="S2917" i="2"/>
  <c r="R2917" i="2"/>
  <c r="Q2917" i="2"/>
  <c r="P2917" i="2"/>
  <c r="V2916" i="2"/>
  <c r="V2916" i="2" a="1"/>
  <c r="U2916" i="2"/>
  <c r="S2916" i="2"/>
  <c r="R2916" i="2"/>
  <c r="Q2916" i="2"/>
  <c r="P2916" i="2"/>
  <c r="V2915" i="2" a="1"/>
  <c r="V2915" i="2" s="1"/>
  <c r="U2915" i="2"/>
  <c r="S2915" i="2"/>
  <c r="R2915" i="2"/>
  <c r="Q2915" i="2"/>
  <c r="P2915" i="2"/>
  <c r="V2914" i="2" a="1"/>
  <c r="V2914" i="2" s="1"/>
  <c r="U2914" i="2"/>
  <c r="S2914" i="2"/>
  <c r="R2914" i="2"/>
  <c r="Q2914" i="2"/>
  <c r="P2914" i="2"/>
  <c r="U2913" i="2"/>
  <c r="S2913" i="2"/>
  <c r="R2913" i="2"/>
  <c r="Q2913" i="2"/>
  <c r="P2913" i="2"/>
  <c r="U2912" i="2"/>
  <c r="S2912" i="2"/>
  <c r="V2912" i="2" s="1" a="1"/>
  <c r="V2912" i="2" s="1"/>
  <c r="R2912" i="2"/>
  <c r="Q2912" i="2"/>
  <c r="P2912" i="2"/>
  <c r="U2911" i="2"/>
  <c r="S2911" i="2"/>
  <c r="V2911" i="2" s="1" a="1"/>
  <c r="V2911" i="2" s="1"/>
  <c r="R2911" i="2"/>
  <c r="Q2911" i="2"/>
  <c r="P2911" i="2"/>
  <c r="U2910" i="2"/>
  <c r="S2910" i="2"/>
  <c r="R2910" i="2"/>
  <c r="Q2910" i="2"/>
  <c r="P2910" i="2"/>
  <c r="V2909" i="2" a="1"/>
  <c r="V2909" i="2" s="1"/>
  <c r="U2909" i="2"/>
  <c r="S2909" i="2"/>
  <c r="R2909" i="2"/>
  <c r="Q2909" i="2"/>
  <c r="P2909" i="2"/>
  <c r="V2908" i="2"/>
  <c r="V2908" i="2" a="1"/>
  <c r="U2908" i="2"/>
  <c r="S2908" i="2"/>
  <c r="R2908" i="2"/>
  <c r="Q2908" i="2"/>
  <c r="P2908" i="2"/>
  <c r="V2907" i="2" a="1"/>
  <c r="V2907" i="2" s="1"/>
  <c r="U2907" i="2"/>
  <c r="S2907" i="2"/>
  <c r="R2907" i="2"/>
  <c r="Q2907" i="2"/>
  <c r="P2907" i="2"/>
  <c r="V2906" i="2" a="1"/>
  <c r="V2906" i="2" s="1"/>
  <c r="U2906" i="2"/>
  <c r="S2906" i="2"/>
  <c r="R2906" i="2"/>
  <c r="Q2906" i="2"/>
  <c r="P2906" i="2"/>
  <c r="V2905" i="2" a="1"/>
  <c r="V2905" i="2" s="1"/>
  <c r="U2905" i="2"/>
  <c r="S2905" i="2"/>
  <c r="R2905" i="2"/>
  <c r="Q2905" i="2"/>
  <c r="P2905" i="2"/>
  <c r="U2904" i="2"/>
  <c r="S2904" i="2"/>
  <c r="V2904" i="2" s="1" a="1"/>
  <c r="V2904" i="2" s="1"/>
  <c r="R2904" i="2"/>
  <c r="Q2904" i="2"/>
  <c r="P2904" i="2"/>
  <c r="V2903" i="2" a="1"/>
  <c r="V2903" i="2" s="1"/>
  <c r="U2903" i="2"/>
  <c r="S2903" i="2"/>
  <c r="R2903" i="2"/>
  <c r="Q2903" i="2"/>
  <c r="P2903" i="2"/>
  <c r="U2902" i="2"/>
  <c r="S2902" i="2"/>
  <c r="V2902" i="2" s="1" a="1"/>
  <c r="V2902" i="2" s="1"/>
  <c r="R2902" i="2"/>
  <c r="Q2902" i="2"/>
  <c r="P2902" i="2"/>
  <c r="U2901" i="2"/>
  <c r="S2901" i="2"/>
  <c r="R2901" i="2"/>
  <c r="Q2901" i="2"/>
  <c r="P2901" i="2"/>
  <c r="V2900" i="2"/>
  <c r="V2900" i="2" a="1"/>
  <c r="U2900" i="2"/>
  <c r="S2900" i="2"/>
  <c r="R2900" i="2"/>
  <c r="Q2900" i="2"/>
  <c r="P2900" i="2"/>
  <c r="U2899" i="2"/>
  <c r="S2899" i="2"/>
  <c r="R2899" i="2"/>
  <c r="Q2899" i="2"/>
  <c r="P2899" i="2"/>
  <c r="V2898" i="2"/>
  <c r="V2898" i="2" a="1"/>
  <c r="U2898" i="2"/>
  <c r="S2898" i="2"/>
  <c r="R2898" i="2"/>
  <c r="Q2898" i="2"/>
  <c r="P2898" i="2"/>
  <c r="U2897" i="2"/>
  <c r="S2897" i="2"/>
  <c r="R2897" i="2"/>
  <c r="Q2897" i="2"/>
  <c r="P2897" i="2"/>
  <c r="V2896" i="2"/>
  <c r="U2896" i="2"/>
  <c r="S2896" i="2"/>
  <c r="V2896" i="2" s="1" a="1"/>
  <c r="R2896" i="2"/>
  <c r="Q2896" i="2"/>
  <c r="P2896" i="2"/>
  <c r="U2895" i="2"/>
  <c r="S2895" i="2"/>
  <c r="R2895" i="2"/>
  <c r="Q2895" i="2"/>
  <c r="P2895" i="2"/>
  <c r="V2894" i="2"/>
  <c r="U2894" i="2"/>
  <c r="S2894" i="2"/>
  <c r="V2894" i="2" s="1" a="1"/>
  <c r="R2894" i="2"/>
  <c r="Q2894" i="2"/>
  <c r="P2894" i="2"/>
  <c r="V2893" i="2" a="1"/>
  <c r="V2893" i="2" s="1"/>
  <c r="U2893" i="2"/>
  <c r="S2893" i="2"/>
  <c r="R2893" i="2"/>
  <c r="Q2893" i="2"/>
  <c r="P2893" i="2"/>
  <c r="V2892" i="2"/>
  <c r="V2892" i="2" a="1"/>
  <c r="U2892" i="2"/>
  <c r="S2892" i="2"/>
  <c r="R2892" i="2"/>
  <c r="Q2892" i="2"/>
  <c r="P2892" i="2"/>
  <c r="V2891" i="2" a="1"/>
  <c r="V2891" i="2" s="1"/>
  <c r="U2891" i="2"/>
  <c r="S2891" i="2"/>
  <c r="R2891" i="2"/>
  <c r="Q2891" i="2"/>
  <c r="P2891" i="2"/>
  <c r="V2890" i="2" a="1"/>
  <c r="V2890" i="2" s="1"/>
  <c r="U2890" i="2"/>
  <c r="S2890" i="2"/>
  <c r="R2890" i="2"/>
  <c r="Q2890" i="2"/>
  <c r="P2890" i="2"/>
  <c r="V2889" i="2" a="1"/>
  <c r="V2889" i="2" s="1"/>
  <c r="U2889" i="2"/>
  <c r="S2889" i="2"/>
  <c r="R2889" i="2"/>
  <c r="Q2889" i="2"/>
  <c r="P2889" i="2"/>
  <c r="U2888" i="2"/>
  <c r="S2888" i="2"/>
  <c r="V2888" i="2" s="1" a="1"/>
  <c r="V2888" i="2" s="1"/>
  <c r="R2888" i="2"/>
  <c r="Q2888" i="2"/>
  <c r="P2888" i="2"/>
  <c r="V2887" i="2" a="1"/>
  <c r="V2887" i="2" s="1"/>
  <c r="U2887" i="2"/>
  <c r="S2887" i="2"/>
  <c r="R2887" i="2"/>
  <c r="Q2887" i="2"/>
  <c r="P2887" i="2"/>
  <c r="U2886" i="2"/>
  <c r="S2886" i="2"/>
  <c r="V2886" i="2" s="1" a="1"/>
  <c r="V2886" i="2" s="1"/>
  <c r="R2886" i="2"/>
  <c r="Q2886" i="2"/>
  <c r="P2886" i="2"/>
  <c r="V2885" i="2" a="1"/>
  <c r="V2885" i="2" s="1"/>
  <c r="U2885" i="2"/>
  <c r="S2885" i="2"/>
  <c r="R2885" i="2"/>
  <c r="Q2885" i="2"/>
  <c r="P2885" i="2"/>
  <c r="V2884" i="2"/>
  <c r="V2884" i="2" a="1"/>
  <c r="U2884" i="2"/>
  <c r="S2884" i="2"/>
  <c r="R2884" i="2"/>
  <c r="Q2884" i="2"/>
  <c r="P2884" i="2"/>
  <c r="U2883" i="2"/>
  <c r="S2883" i="2"/>
  <c r="R2883" i="2"/>
  <c r="Q2883" i="2"/>
  <c r="P2883" i="2"/>
  <c r="V2882" i="2"/>
  <c r="V2882" i="2" a="1"/>
  <c r="U2882" i="2"/>
  <c r="S2882" i="2"/>
  <c r="R2882" i="2"/>
  <c r="Q2882" i="2"/>
  <c r="P2882" i="2"/>
  <c r="U2881" i="2"/>
  <c r="S2881" i="2"/>
  <c r="R2881" i="2"/>
  <c r="Q2881" i="2"/>
  <c r="P2881" i="2"/>
  <c r="V2880" i="2"/>
  <c r="U2880" i="2"/>
  <c r="S2880" i="2"/>
  <c r="V2880" i="2" s="1" a="1"/>
  <c r="R2880" i="2"/>
  <c r="Q2880" i="2"/>
  <c r="P2880" i="2"/>
  <c r="U2879" i="2"/>
  <c r="S2879" i="2"/>
  <c r="R2879" i="2"/>
  <c r="Q2879" i="2"/>
  <c r="P2879" i="2"/>
  <c r="V2878" i="2"/>
  <c r="U2878" i="2"/>
  <c r="S2878" i="2"/>
  <c r="V2878" i="2" s="1" a="1"/>
  <c r="R2878" i="2"/>
  <c r="Q2878" i="2"/>
  <c r="P2878" i="2"/>
  <c r="V2877" i="2" a="1"/>
  <c r="V2877" i="2" s="1"/>
  <c r="U2877" i="2"/>
  <c r="S2877" i="2"/>
  <c r="R2877" i="2"/>
  <c r="Q2877" i="2"/>
  <c r="P2877" i="2"/>
  <c r="V2876" i="2"/>
  <c r="V2876" i="2" a="1"/>
  <c r="U2876" i="2"/>
  <c r="S2876" i="2"/>
  <c r="R2876" i="2"/>
  <c r="Q2876" i="2"/>
  <c r="P2876" i="2"/>
  <c r="U2875" i="2"/>
  <c r="S2875" i="2"/>
  <c r="R2875" i="2"/>
  <c r="Q2875" i="2"/>
  <c r="P2875" i="2"/>
  <c r="V2874" i="2"/>
  <c r="V2874" i="2" a="1"/>
  <c r="U2874" i="2"/>
  <c r="S2874" i="2"/>
  <c r="R2874" i="2"/>
  <c r="Q2874" i="2"/>
  <c r="P2874" i="2"/>
  <c r="U2873" i="2"/>
  <c r="S2873" i="2"/>
  <c r="R2873" i="2"/>
  <c r="Q2873" i="2"/>
  <c r="P2873" i="2"/>
  <c r="V2872" i="2"/>
  <c r="U2872" i="2"/>
  <c r="S2872" i="2"/>
  <c r="V2872" i="2" s="1" a="1"/>
  <c r="R2872" i="2"/>
  <c r="Q2872" i="2"/>
  <c r="P2872" i="2"/>
  <c r="V2871" i="2" a="1"/>
  <c r="V2871" i="2" s="1"/>
  <c r="U2871" i="2"/>
  <c r="S2871" i="2"/>
  <c r="R2871" i="2"/>
  <c r="Q2871" i="2"/>
  <c r="P2871" i="2"/>
  <c r="V2870" i="2"/>
  <c r="U2870" i="2"/>
  <c r="S2870" i="2"/>
  <c r="V2870" i="2" s="1" a="1"/>
  <c r="R2870" i="2"/>
  <c r="Q2870" i="2"/>
  <c r="P2870" i="2"/>
  <c r="V2869" i="2" a="1"/>
  <c r="V2869" i="2" s="1"/>
  <c r="U2869" i="2"/>
  <c r="S2869" i="2"/>
  <c r="R2869" i="2"/>
  <c r="Q2869" i="2"/>
  <c r="P2869" i="2"/>
  <c r="V2868" i="2" a="1"/>
  <c r="V2868" i="2" s="1"/>
  <c r="U2868" i="2"/>
  <c r="S2868" i="2"/>
  <c r="R2868" i="2"/>
  <c r="Q2868" i="2"/>
  <c r="P2868" i="2"/>
  <c r="U2867" i="2"/>
  <c r="S2867" i="2"/>
  <c r="R2867" i="2"/>
  <c r="Q2867" i="2"/>
  <c r="P2867" i="2"/>
  <c r="V2866" i="2"/>
  <c r="V2866" i="2" a="1"/>
  <c r="U2866" i="2"/>
  <c r="S2866" i="2"/>
  <c r="R2866" i="2"/>
  <c r="Q2866" i="2"/>
  <c r="P2866" i="2"/>
  <c r="U2865" i="2"/>
  <c r="S2865" i="2"/>
  <c r="R2865" i="2"/>
  <c r="Q2865" i="2"/>
  <c r="P2865" i="2"/>
  <c r="V2864" i="2"/>
  <c r="U2864" i="2"/>
  <c r="S2864" i="2"/>
  <c r="V2864" i="2" s="1" a="1"/>
  <c r="R2864" i="2"/>
  <c r="Q2864" i="2"/>
  <c r="P2864" i="2"/>
  <c r="U2863" i="2"/>
  <c r="S2863" i="2"/>
  <c r="V2863" i="2" s="1" a="1"/>
  <c r="V2863" i="2" s="1"/>
  <c r="R2863" i="2"/>
  <c r="Q2863" i="2"/>
  <c r="P2863" i="2"/>
  <c r="U2862" i="2"/>
  <c r="S2862" i="2"/>
  <c r="V2862" i="2" s="1" a="1"/>
  <c r="V2862" i="2" s="1"/>
  <c r="R2862" i="2"/>
  <c r="Q2862" i="2"/>
  <c r="P2862" i="2"/>
  <c r="U2861" i="2"/>
  <c r="S2861" i="2"/>
  <c r="V2861" i="2" s="1" a="1"/>
  <c r="V2861" i="2" s="1"/>
  <c r="R2861" i="2"/>
  <c r="Q2861" i="2"/>
  <c r="P2861" i="2"/>
  <c r="V2860" i="2" a="1"/>
  <c r="V2860" i="2" s="1"/>
  <c r="U2860" i="2"/>
  <c r="S2860" i="2"/>
  <c r="R2860" i="2"/>
  <c r="Q2860" i="2"/>
  <c r="P2860" i="2"/>
  <c r="U2859" i="2"/>
  <c r="S2859" i="2"/>
  <c r="R2859" i="2"/>
  <c r="Q2859" i="2"/>
  <c r="P2859" i="2"/>
  <c r="V2858" i="2"/>
  <c r="V2858" i="2" a="1"/>
  <c r="U2858" i="2"/>
  <c r="S2858" i="2"/>
  <c r="R2858" i="2"/>
  <c r="Q2858" i="2"/>
  <c r="P2858" i="2"/>
  <c r="U2857" i="2"/>
  <c r="S2857" i="2"/>
  <c r="R2857" i="2"/>
  <c r="Q2857" i="2"/>
  <c r="P2857" i="2"/>
  <c r="U2856" i="2"/>
  <c r="S2856" i="2"/>
  <c r="V2856" i="2" s="1" a="1"/>
  <c r="V2856" i="2" s="1"/>
  <c r="R2856" i="2"/>
  <c r="Q2856" i="2"/>
  <c r="P2856" i="2"/>
  <c r="U2855" i="2"/>
  <c r="S2855" i="2"/>
  <c r="V2855" i="2" s="1" a="1"/>
  <c r="V2855" i="2" s="1"/>
  <c r="R2855" i="2"/>
  <c r="Q2855" i="2"/>
  <c r="P2855" i="2"/>
  <c r="U2854" i="2"/>
  <c r="S2854" i="2"/>
  <c r="V2854" i="2" s="1" a="1"/>
  <c r="V2854" i="2" s="1"/>
  <c r="R2854" i="2"/>
  <c r="Q2854" i="2"/>
  <c r="P2854" i="2"/>
  <c r="U2853" i="2"/>
  <c r="S2853" i="2"/>
  <c r="V2853" i="2" s="1" a="1"/>
  <c r="V2853" i="2" s="1"/>
  <c r="R2853" i="2"/>
  <c r="Q2853" i="2"/>
  <c r="P2853" i="2"/>
  <c r="V2852" i="2" a="1"/>
  <c r="V2852" i="2" s="1"/>
  <c r="U2852" i="2"/>
  <c r="S2852" i="2"/>
  <c r="R2852" i="2"/>
  <c r="Q2852" i="2"/>
  <c r="P2852" i="2"/>
  <c r="U2851" i="2"/>
  <c r="S2851" i="2"/>
  <c r="R2851" i="2"/>
  <c r="Q2851" i="2"/>
  <c r="P2851" i="2"/>
  <c r="V2850" i="2"/>
  <c r="V2850" i="2" a="1"/>
  <c r="U2850" i="2"/>
  <c r="S2850" i="2"/>
  <c r="R2850" i="2"/>
  <c r="Q2850" i="2"/>
  <c r="P2850" i="2"/>
  <c r="U2849" i="2"/>
  <c r="S2849" i="2"/>
  <c r="R2849" i="2"/>
  <c r="Q2849" i="2"/>
  <c r="P2849" i="2"/>
  <c r="U2848" i="2"/>
  <c r="S2848" i="2"/>
  <c r="V2848" i="2" s="1" a="1"/>
  <c r="V2848" i="2" s="1"/>
  <c r="R2848" i="2"/>
  <c r="Q2848" i="2"/>
  <c r="P2848" i="2"/>
  <c r="U2847" i="2"/>
  <c r="S2847" i="2"/>
  <c r="V2847" i="2" s="1" a="1"/>
  <c r="V2847" i="2" s="1"/>
  <c r="R2847" i="2"/>
  <c r="Q2847" i="2"/>
  <c r="P2847" i="2"/>
  <c r="U2846" i="2"/>
  <c r="S2846" i="2"/>
  <c r="V2846" i="2" s="1" a="1"/>
  <c r="V2846" i="2" s="1"/>
  <c r="R2846" i="2"/>
  <c r="Q2846" i="2"/>
  <c r="P2846" i="2"/>
  <c r="U2845" i="2"/>
  <c r="S2845" i="2"/>
  <c r="V2845" i="2" s="1" a="1"/>
  <c r="V2845" i="2" s="1"/>
  <c r="R2845" i="2"/>
  <c r="Q2845" i="2"/>
  <c r="P2845" i="2"/>
  <c r="V2844" i="2" a="1"/>
  <c r="V2844" i="2" s="1"/>
  <c r="U2844" i="2"/>
  <c r="S2844" i="2"/>
  <c r="R2844" i="2"/>
  <c r="Q2844" i="2"/>
  <c r="P2844" i="2"/>
  <c r="U2843" i="2"/>
  <c r="S2843" i="2"/>
  <c r="R2843" i="2"/>
  <c r="Q2843" i="2"/>
  <c r="P2843" i="2"/>
  <c r="V2842" i="2"/>
  <c r="V2842" i="2" a="1"/>
  <c r="U2842" i="2"/>
  <c r="S2842" i="2"/>
  <c r="R2842" i="2"/>
  <c r="Q2842" i="2"/>
  <c r="P2842" i="2"/>
  <c r="U2841" i="2"/>
  <c r="S2841" i="2"/>
  <c r="R2841" i="2"/>
  <c r="Q2841" i="2"/>
  <c r="P2841" i="2"/>
  <c r="U2840" i="2"/>
  <c r="S2840" i="2"/>
  <c r="V2840" i="2" s="1" a="1"/>
  <c r="V2840" i="2" s="1"/>
  <c r="R2840" i="2"/>
  <c r="Q2840" i="2"/>
  <c r="P2840" i="2"/>
  <c r="U2839" i="2"/>
  <c r="S2839" i="2"/>
  <c r="V2839" i="2" s="1" a="1"/>
  <c r="V2839" i="2" s="1"/>
  <c r="R2839" i="2"/>
  <c r="Q2839" i="2"/>
  <c r="P2839" i="2"/>
  <c r="U2838" i="2"/>
  <c r="S2838" i="2"/>
  <c r="V2838" i="2" s="1" a="1"/>
  <c r="V2838" i="2" s="1"/>
  <c r="R2838" i="2"/>
  <c r="Q2838" i="2"/>
  <c r="P2838" i="2"/>
  <c r="U2837" i="2"/>
  <c r="S2837" i="2"/>
  <c r="V2837" i="2" s="1" a="1"/>
  <c r="V2837" i="2" s="1"/>
  <c r="R2837" i="2"/>
  <c r="Q2837" i="2"/>
  <c r="P2837" i="2"/>
  <c r="V2836" i="2" a="1"/>
  <c r="V2836" i="2" s="1"/>
  <c r="U2836" i="2"/>
  <c r="S2836" i="2"/>
  <c r="R2836" i="2"/>
  <c r="Q2836" i="2"/>
  <c r="P2836" i="2"/>
  <c r="U2835" i="2"/>
  <c r="S2835" i="2"/>
  <c r="R2835" i="2"/>
  <c r="Q2835" i="2"/>
  <c r="P2835" i="2"/>
  <c r="V2834" i="2"/>
  <c r="V2834" i="2" a="1"/>
  <c r="U2834" i="2"/>
  <c r="S2834" i="2"/>
  <c r="R2834" i="2"/>
  <c r="Q2834" i="2"/>
  <c r="P2834" i="2"/>
  <c r="U2833" i="2"/>
  <c r="S2833" i="2"/>
  <c r="R2833" i="2"/>
  <c r="Q2833" i="2"/>
  <c r="P2833" i="2"/>
  <c r="U2832" i="2"/>
  <c r="S2832" i="2"/>
  <c r="V2832" i="2" s="1" a="1"/>
  <c r="V2832" i="2" s="1"/>
  <c r="R2832" i="2"/>
  <c r="Q2832" i="2"/>
  <c r="P2832" i="2"/>
  <c r="U2831" i="2"/>
  <c r="S2831" i="2"/>
  <c r="V2831" i="2" s="1" a="1"/>
  <c r="V2831" i="2" s="1"/>
  <c r="R2831" i="2"/>
  <c r="Q2831" i="2"/>
  <c r="P2831" i="2"/>
  <c r="U2830" i="2"/>
  <c r="S2830" i="2"/>
  <c r="V2830" i="2" s="1" a="1"/>
  <c r="V2830" i="2" s="1"/>
  <c r="R2830" i="2"/>
  <c r="Q2830" i="2"/>
  <c r="P2830" i="2"/>
  <c r="U2829" i="2"/>
  <c r="S2829" i="2"/>
  <c r="V2829" i="2" s="1" a="1"/>
  <c r="V2829" i="2" s="1"/>
  <c r="R2829" i="2"/>
  <c r="Q2829" i="2"/>
  <c r="P2829" i="2"/>
  <c r="V2828" i="2" a="1"/>
  <c r="V2828" i="2" s="1"/>
  <c r="U2828" i="2"/>
  <c r="S2828" i="2"/>
  <c r="R2828" i="2"/>
  <c r="Q2828" i="2"/>
  <c r="P2828" i="2"/>
  <c r="U2827" i="2"/>
  <c r="S2827" i="2"/>
  <c r="R2827" i="2"/>
  <c r="Q2827" i="2"/>
  <c r="P2827" i="2"/>
  <c r="V2826" i="2"/>
  <c r="V2826" i="2" a="1"/>
  <c r="U2826" i="2"/>
  <c r="S2826" i="2"/>
  <c r="R2826" i="2"/>
  <c r="Q2826" i="2"/>
  <c r="P2826" i="2"/>
  <c r="U2825" i="2"/>
  <c r="S2825" i="2"/>
  <c r="R2825" i="2"/>
  <c r="Q2825" i="2"/>
  <c r="P2825" i="2"/>
  <c r="U2824" i="2"/>
  <c r="S2824" i="2"/>
  <c r="V2824" i="2" s="1" a="1"/>
  <c r="V2824" i="2" s="1"/>
  <c r="R2824" i="2"/>
  <c r="Q2824" i="2"/>
  <c r="P2824" i="2"/>
  <c r="U2823" i="2"/>
  <c r="S2823" i="2"/>
  <c r="V2823" i="2" s="1" a="1"/>
  <c r="V2823" i="2" s="1"/>
  <c r="R2823" i="2"/>
  <c r="Q2823" i="2"/>
  <c r="P2823" i="2"/>
  <c r="U2822" i="2"/>
  <c r="S2822" i="2"/>
  <c r="V2822" i="2" s="1" a="1"/>
  <c r="V2822" i="2" s="1"/>
  <c r="R2822" i="2"/>
  <c r="Q2822" i="2"/>
  <c r="P2822" i="2"/>
  <c r="U2821" i="2"/>
  <c r="S2821" i="2"/>
  <c r="V2821" i="2" s="1" a="1"/>
  <c r="V2821" i="2" s="1"/>
  <c r="R2821" i="2"/>
  <c r="Q2821" i="2"/>
  <c r="P2821" i="2"/>
  <c r="V2820" i="2" a="1"/>
  <c r="V2820" i="2" s="1"/>
  <c r="U2820" i="2"/>
  <c r="S2820" i="2"/>
  <c r="R2820" i="2"/>
  <c r="Q2820" i="2"/>
  <c r="P2820" i="2"/>
  <c r="U2819" i="2"/>
  <c r="S2819" i="2"/>
  <c r="R2819" i="2"/>
  <c r="Q2819" i="2"/>
  <c r="P2819" i="2"/>
  <c r="V2818" i="2"/>
  <c r="V2818" i="2" a="1"/>
  <c r="U2818" i="2"/>
  <c r="S2818" i="2"/>
  <c r="R2818" i="2"/>
  <c r="Q2818" i="2"/>
  <c r="P2818" i="2"/>
  <c r="U2817" i="2"/>
  <c r="S2817" i="2"/>
  <c r="R2817" i="2"/>
  <c r="Q2817" i="2"/>
  <c r="P2817" i="2"/>
  <c r="U2816" i="2"/>
  <c r="S2816" i="2"/>
  <c r="V2816" i="2" s="1" a="1"/>
  <c r="V2816" i="2" s="1"/>
  <c r="R2816" i="2"/>
  <c r="Q2816" i="2"/>
  <c r="P2816" i="2"/>
  <c r="U2815" i="2"/>
  <c r="S2815" i="2"/>
  <c r="V2815" i="2" s="1" a="1"/>
  <c r="V2815" i="2" s="1"/>
  <c r="R2815" i="2"/>
  <c r="Q2815" i="2"/>
  <c r="P2815" i="2"/>
  <c r="U2814" i="2"/>
  <c r="S2814" i="2"/>
  <c r="V2814" i="2" s="1" a="1"/>
  <c r="V2814" i="2" s="1"/>
  <c r="R2814" i="2"/>
  <c r="Q2814" i="2"/>
  <c r="P2814" i="2"/>
  <c r="U2813" i="2"/>
  <c r="S2813" i="2"/>
  <c r="V2813" i="2" s="1" a="1"/>
  <c r="V2813" i="2" s="1"/>
  <c r="R2813" i="2"/>
  <c r="Q2813" i="2"/>
  <c r="P2813" i="2"/>
  <c r="V2812" i="2" a="1"/>
  <c r="V2812" i="2" s="1"/>
  <c r="U2812" i="2"/>
  <c r="S2812" i="2"/>
  <c r="R2812" i="2"/>
  <c r="Q2812" i="2"/>
  <c r="P2812" i="2"/>
  <c r="U2811" i="2"/>
  <c r="S2811" i="2"/>
  <c r="R2811" i="2"/>
  <c r="Q2811" i="2"/>
  <c r="P2811" i="2"/>
  <c r="V2810" i="2"/>
  <c r="V2810" i="2" a="1"/>
  <c r="U2810" i="2"/>
  <c r="S2810" i="2"/>
  <c r="R2810" i="2"/>
  <c r="Q2810" i="2"/>
  <c r="P2810" i="2"/>
  <c r="U2809" i="2"/>
  <c r="S2809" i="2"/>
  <c r="R2809" i="2"/>
  <c r="Q2809" i="2"/>
  <c r="P2809" i="2"/>
  <c r="U2808" i="2"/>
  <c r="S2808" i="2"/>
  <c r="V2808" i="2" s="1" a="1"/>
  <c r="V2808" i="2" s="1"/>
  <c r="R2808" i="2"/>
  <c r="Q2808" i="2"/>
  <c r="P2808" i="2"/>
  <c r="U2807" i="2"/>
  <c r="S2807" i="2"/>
  <c r="V2807" i="2" s="1" a="1"/>
  <c r="V2807" i="2" s="1"/>
  <c r="R2807" i="2"/>
  <c r="Q2807" i="2"/>
  <c r="P2807" i="2"/>
  <c r="U2806" i="2"/>
  <c r="S2806" i="2"/>
  <c r="V2806" i="2" s="1" a="1"/>
  <c r="V2806" i="2" s="1"/>
  <c r="R2806" i="2"/>
  <c r="Q2806" i="2"/>
  <c r="P2806" i="2"/>
  <c r="U2805" i="2"/>
  <c r="S2805" i="2"/>
  <c r="V2805" i="2" s="1" a="1"/>
  <c r="V2805" i="2" s="1"/>
  <c r="R2805" i="2"/>
  <c r="Q2805" i="2"/>
  <c r="P2805" i="2"/>
  <c r="V2804" i="2" a="1"/>
  <c r="V2804" i="2" s="1"/>
  <c r="U2804" i="2"/>
  <c r="S2804" i="2"/>
  <c r="R2804" i="2"/>
  <c r="Q2804" i="2"/>
  <c r="P2804" i="2"/>
  <c r="U2803" i="2"/>
  <c r="S2803" i="2"/>
  <c r="R2803" i="2"/>
  <c r="Q2803" i="2"/>
  <c r="P2803" i="2"/>
  <c r="V2802" i="2"/>
  <c r="V2802" i="2" a="1"/>
  <c r="U2802" i="2"/>
  <c r="S2802" i="2"/>
  <c r="R2802" i="2"/>
  <c r="Q2802" i="2"/>
  <c r="P2802" i="2"/>
  <c r="U2801" i="2"/>
  <c r="S2801" i="2"/>
  <c r="R2801" i="2"/>
  <c r="Q2801" i="2"/>
  <c r="P2801" i="2"/>
  <c r="U2800" i="2"/>
  <c r="S2800" i="2"/>
  <c r="V2800" i="2" s="1" a="1"/>
  <c r="V2800" i="2" s="1"/>
  <c r="R2800" i="2"/>
  <c r="Q2800" i="2"/>
  <c r="P2800" i="2"/>
  <c r="U2799" i="2"/>
  <c r="S2799" i="2"/>
  <c r="V2799" i="2" s="1" a="1"/>
  <c r="V2799" i="2" s="1"/>
  <c r="R2799" i="2"/>
  <c r="Q2799" i="2"/>
  <c r="P2799" i="2"/>
  <c r="U2798" i="2"/>
  <c r="S2798" i="2"/>
  <c r="V2798" i="2" s="1" a="1"/>
  <c r="V2798" i="2" s="1"/>
  <c r="R2798" i="2"/>
  <c r="Q2798" i="2"/>
  <c r="P2798" i="2"/>
  <c r="U2797" i="2"/>
  <c r="S2797" i="2"/>
  <c r="V2797" i="2" s="1" a="1"/>
  <c r="V2797" i="2" s="1"/>
  <c r="R2797" i="2"/>
  <c r="Q2797" i="2"/>
  <c r="P2797" i="2"/>
  <c r="V2796" i="2" a="1"/>
  <c r="V2796" i="2" s="1"/>
  <c r="U2796" i="2"/>
  <c r="S2796" i="2"/>
  <c r="R2796" i="2"/>
  <c r="Q2796" i="2"/>
  <c r="P2796" i="2"/>
  <c r="U2795" i="2"/>
  <c r="S2795" i="2"/>
  <c r="R2795" i="2"/>
  <c r="Q2795" i="2"/>
  <c r="P2795" i="2"/>
  <c r="V2794" i="2"/>
  <c r="V2794" i="2" a="1"/>
  <c r="U2794" i="2"/>
  <c r="S2794" i="2"/>
  <c r="R2794" i="2"/>
  <c r="Q2794" i="2"/>
  <c r="P2794" i="2"/>
  <c r="U2793" i="2"/>
  <c r="S2793" i="2"/>
  <c r="R2793" i="2"/>
  <c r="Q2793" i="2"/>
  <c r="P2793" i="2"/>
  <c r="U2792" i="2"/>
  <c r="S2792" i="2"/>
  <c r="V2792" i="2" s="1" a="1"/>
  <c r="V2792" i="2" s="1"/>
  <c r="R2792" i="2"/>
  <c r="Q2792" i="2"/>
  <c r="P2792" i="2"/>
  <c r="U2791" i="2"/>
  <c r="S2791" i="2"/>
  <c r="V2791" i="2" s="1" a="1"/>
  <c r="V2791" i="2" s="1"/>
  <c r="R2791" i="2"/>
  <c r="Q2791" i="2"/>
  <c r="P2791" i="2"/>
  <c r="U2790" i="2"/>
  <c r="S2790" i="2"/>
  <c r="V2790" i="2" s="1" a="1"/>
  <c r="V2790" i="2" s="1"/>
  <c r="R2790" i="2"/>
  <c r="Q2790" i="2"/>
  <c r="P2790" i="2"/>
  <c r="U2789" i="2"/>
  <c r="S2789" i="2"/>
  <c r="V2789" i="2" s="1" a="1"/>
  <c r="V2789" i="2" s="1"/>
  <c r="R2789" i="2"/>
  <c r="Q2789" i="2"/>
  <c r="P2789" i="2"/>
  <c r="V2788" i="2" a="1"/>
  <c r="V2788" i="2" s="1"/>
  <c r="U2788" i="2"/>
  <c r="S2788" i="2"/>
  <c r="R2788" i="2"/>
  <c r="Q2788" i="2"/>
  <c r="P2788" i="2"/>
  <c r="U2787" i="2"/>
  <c r="S2787" i="2"/>
  <c r="R2787" i="2"/>
  <c r="Q2787" i="2"/>
  <c r="P2787" i="2"/>
  <c r="V2786" i="2"/>
  <c r="V2786" i="2" a="1"/>
  <c r="U2786" i="2"/>
  <c r="S2786" i="2"/>
  <c r="R2786" i="2"/>
  <c r="Q2786" i="2"/>
  <c r="P2786" i="2"/>
  <c r="U2785" i="2"/>
  <c r="S2785" i="2"/>
  <c r="R2785" i="2"/>
  <c r="Q2785" i="2"/>
  <c r="P2785" i="2"/>
  <c r="U2784" i="2"/>
  <c r="S2784" i="2"/>
  <c r="V2784" i="2" s="1" a="1"/>
  <c r="V2784" i="2" s="1"/>
  <c r="R2784" i="2"/>
  <c r="Q2784" i="2"/>
  <c r="P2784" i="2"/>
  <c r="U2783" i="2"/>
  <c r="S2783" i="2"/>
  <c r="V2783" i="2" s="1" a="1"/>
  <c r="V2783" i="2" s="1"/>
  <c r="R2783" i="2"/>
  <c r="Q2783" i="2"/>
  <c r="P2783" i="2"/>
  <c r="U2782" i="2"/>
  <c r="S2782" i="2"/>
  <c r="V2782" i="2" s="1" a="1"/>
  <c r="V2782" i="2" s="1"/>
  <c r="R2782" i="2"/>
  <c r="Q2782" i="2"/>
  <c r="P2782" i="2"/>
  <c r="U2781" i="2"/>
  <c r="S2781" i="2"/>
  <c r="V2781" i="2" s="1" a="1"/>
  <c r="V2781" i="2" s="1"/>
  <c r="R2781" i="2"/>
  <c r="Q2781" i="2"/>
  <c r="P2781" i="2"/>
  <c r="V2780" i="2" a="1"/>
  <c r="V2780" i="2" s="1"/>
  <c r="U2780" i="2"/>
  <c r="S2780" i="2"/>
  <c r="R2780" i="2"/>
  <c r="Q2780" i="2"/>
  <c r="P2780" i="2"/>
  <c r="U2779" i="2"/>
  <c r="S2779" i="2"/>
  <c r="R2779" i="2"/>
  <c r="Q2779" i="2"/>
  <c r="P2779" i="2"/>
  <c r="V2778" i="2"/>
  <c r="V2778" i="2" a="1"/>
  <c r="U2778" i="2"/>
  <c r="S2778" i="2"/>
  <c r="R2778" i="2"/>
  <c r="Q2778" i="2"/>
  <c r="P2778" i="2"/>
  <c r="U2777" i="2"/>
  <c r="S2777" i="2"/>
  <c r="R2777" i="2"/>
  <c r="Q2777" i="2"/>
  <c r="P2777" i="2"/>
  <c r="U2776" i="2"/>
  <c r="S2776" i="2"/>
  <c r="V2776" i="2" s="1" a="1"/>
  <c r="V2776" i="2" s="1"/>
  <c r="R2776" i="2"/>
  <c r="Q2776" i="2"/>
  <c r="P2776" i="2"/>
  <c r="U2775" i="2"/>
  <c r="S2775" i="2"/>
  <c r="V2775" i="2" s="1" a="1"/>
  <c r="V2775" i="2" s="1"/>
  <c r="R2775" i="2"/>
  <c r="Q2775" i="2"/>
  <c r="P2775" i="2"/>
  <c r="U2774" i="2"/>
  <c r="S2774" i="2"/>
  <c r="V2774" i="2" s="1" a="1"/>
  <c r="V2774" i="2" s="1"/>
  <c r="R2774" i="2"/>
  <c r="Q2774" i="2"/>
  <c r="P2774" i="2"/>
  <c r="U2773" i="2"/>
  <c r="S2773" i="2"/>
  <c r="V2773" i="2" s="1" a="1"/>
  <c r="V2773" i="2" s="1"/>
  <c r="R2773" i="2"/>
  <c r="Q2773" i="2"/>
  <c r="P2773" i="2"/>
  <c r="V2772" i="2" a="1"/>
  <c r="V2772" i="2" s="1"/>
  <c r="U2772" i="2"/>
  <c r="S2772" i="2"/>
  <c r="R2772" i="2"/>
  <c r="Q2772" i="2"/>
  <c r="P2772" i="2"/>
  <c r="U2771" i="2"/>
  <c r="S2771" i="2"/>
  <c r="R2771" i="2"/>
  <c r="Q2771" i="2"/>
  <c r="P2771" i="2"/>
  <c r="V2770" i="2"/>
  <c r="V2770" i="2" a="1"/>
  <c r="U2770" i="2"/>
  <c r="S2770" i="2"/>
  <c r="R2770" i="2"/>
  <c r="Q2770" i="2"/>
  <c r="P2770" i="2"/>
  <c r="U2769" i="2"/>
  <c r="S2769" i="2"/>
  <c r="R2769" i="2"/>
  <c r="Q2769" i="2"/>
  <c r="P2769" i="2"/>
  <c r="U2768" i="2"/>
  <c r="S2768" i="2"/>
  <c r="V2768" i="2" s="1" a="1"/>
  <c r="V2768" i="2" s="1"/>
  <c r="R2768" i="2"/>
  <c r="Q2768" i="2"/>
  <c r="P2768" i="2"/>
  <c r="U2767" i="2"/>
  <c r="S2767" i="2"/>
  <c r="V2767" i="2" s="1" a="1"/>
  <c r="V2767" i="2" s="1"/>
  <c r="R2767" i="2"/>
  <c r="Q2767" i="2"/>
  <c r="P2767" i="2"/>
  <c r="U2766" i="2"/>
  <c r="S2766" i="2"/>
  <c r="V2766" i="2" s="1" a="1"/>
  <c r="V2766" i="2" s="1"/>
  <c r="R2766" i="2"/>
  <c r="Q2766" i="2"/>
  <c r="P2766" i="2"/>
  <c r="U2765" i="2"/>
  <c r="S2765" i="2"/>
  <c r="V2765" i="2" s="1" a="1"/>
  <c r="V2765" i="2" s="1"/>
  <c r="R2765" i="2"/>
  <c r="Q2765" i="2"/>
  <c r="P2765" i="2"/>
  <c r="V2764" i="2" a="1"/>
  <c r="V2764" i="2" s="1"/>
  <c r="U2764" i="2"/>
  <c r="S2764" i="2"/>
  <c r="R2764" i="2"/>
  <c r="Q2764" i="2"/>
  <c r="P2764" i="2"/>
  <c r="U2763" i="2"/>
  <c r="S2763" i="2"/>
  <c r="R2763" i="2"/>
  <c r="Q2763" i="2"/>
  <c r="P2763" i="2"/>
  <c r="V2762" i="2"/>
  <c r="V2762" i="2" a="1"/>
  <c r="U2762" i="2"/>
  <c r="S2762" i="2"/>
  <c r="R2762" i="2"/>
  <c r="Q2762" i="2"/>
  <c r="P2762" i="2"/>
  <c r="U2761" i="2"/>
  <c r="S2761" i="2"/>
  <c r="R2761" i="2"/>
  <c r="Q2761" i="2"/>
  <c r="P2761" i="2"/>
  <c r="U2760" i="2"/>
  <c r="S2760" i="2"/>
  <c r="V2760" i="2" s="1" a="1"/>
  <c r="V2760" i="2" s="1"/>
  <c r="R2760" i="2"/>
  <c r="Q2760" i="2"/>
  <c r="P2760" i="2"/>
  <c r="U2759" i="2"/>
  <c r="S2759" i="2"/>
  <c r="V2759" i="2" s="1" a="1"/>
  <c r="V2759" i="2" s="1"/>
  <c r="R2759" i="2"/>
  <c r="Q2759" i="2"/>
  <c r="P2759" i="2"/>
  <c r="U2758" i="2"/>
  <c r="S2758" i="2"/>
  <c r="R2758" i="2"/>
  <c r="Q2758" i="2"/>
  <c r="P2758" i="2"/>
  <c r="U2757" i="2"/>
  <c r="S2757" i="2"/>
  <c r="V2757" i="2" s="1" a="1"/>
  <c r="V2757" i="2" s="1"/>
  <c r="R2757" i="2"/>
  <c r="Q2757" i="2"/>
  <c r="P2757" i="2"/>
  <c r="V2756" i="2" a="1"/>
  <c r="V2756" i="2" s="1"/>
  <c r="U2756" i="2"/>
  <c r="S2756" i="2"/>
  <c r="R2756" i="2"/>
  <c r="Q2756" i="2"/>
  <c r="P2756" i="2"/>
  <c r="V2755" i="2"/>
  <c r="V2755" i="2" a="1"/>
  <c r="U2755" i="2"/>
  <c r="S2755" i="2"/>
  <c r="R2755" i="2"/>
  <c r="Q2755" i="2"/>
  <c r="P2755" i="2"/>
  <c r="V2754" i="2"/>
  <c r="V2754" i="2" a="1"/>
  <c r="U2754" i="2"/>
  <c r="S2754" i="2"/>
  <c r="R2754" i="2"/>
  <c r="Q2754" i="2"/>
  <c r="P2754" i="2"/>
  <c r="V2753" i="2"/>
  <c r="V2753" i="2" a="1"/>
  <c r="U2753" i="2"/>
  <c r="S2753" i="2"/>
  <c r="R2753" i="2"/>
  <c r="Q2753" i="2"/>
  <c r="P2753" i="2"/>
  <c r="V2752" i="2"/>
  <c r="U2752" i="2"/>
  <c r="S2752" i="2"/>
  <c r="V2752" i="2" s="1" a="1"/>
  <c r="R2752" i="2"/>
  <c r="Q2752" i="2"/>
  <c r="P2752" i="2"/>
  <c r="V2751" i="2" a="1"/>
  <c r="V2751" i="2" s="1"/>
  <c r="U2751" i="2"/>
  <c r="S2751" i="2"/>
  <c r="R2751" i="2"/>
  <c r="Q2751" i="2"/>
  <c r="P2751" i="2"/>
  <c r="V2750" i="2" a="1"/>
  <c r="V2750" i="2" s="1"/>
  <c r="U2750" i="2"/>
  <c r="S2750" i="2"/>
  <c r="R2750" i="2"/>
  <c r="Q2750" i="2"/>
  <c r="P2750" i="2"/>
  <c r="V2749" i="2"/>
  <c r="V2749" i="2" a="1"/>
  <c r="U2749" i="2"/>
  <c r="S2749" i="2"/>
  <c r="R2749" i="2"/>
  <c r="Q2749" i="2"/>
  <c r="P2749" i="2"/>
  <c r="V2748" i="2"/>
  <c r="V2748" i="2" a="1"/>
  <c r="U2748" i="2"/>
  <c r="S2748" i="2"/>
  <c r="R2748" i="2"/>
  <c r="Q2748" i="2"/>
  <c r="P2748" i="2"/>
  <c r="U2747" i="2"/>
  <c r="S2747" i="2"/>
  <c r="R2747" i="2"/>
  <c r="Q2747" i="2"/>
  <c r="P2747" i="2"/>
  <c r="U2746" i="2"/>
  <c r="S2746" i="2"/>
  <c r="R2746" i="2"/>
  <c r="Q2746" i="2"/>
  <c r="P2746" i="2"/>
  <c r="U2745" i="2"/>
  <c r="S2745" i="2"/>
  <c r="V2745" i="2" s="1" a="1"/>
  <c r="V2745" i="2" s="1"/>
  <c r="R2745" i="2"/>
  <c r="Q2745" i="2"/>
  <c r="P2745" i="2"/>
  <c r="U2744" i="2"/>
  <c r="S2744" i="2"/>
  <c r="V2744" i="2" s="1" a="1"/>
  <c r="V2744" i="2" s="1"/>
  <c r="R2744" i="2"/>
  <c r="Q2744" i="2"/>
  <c r="P2744" i="2"/>
  <c r="U2743" i="2"/>
  <c r="S2743" i="2"/>
  <c r="V2743" i="2" s="1" a="1"/>
  <c r="V2743" i="2" s="1"/>
  <c r="R2743" i="2"/>
  <c r="Q2743" i="2"/>
  <c r="P2743" i="2"/>
  <c r="U2742" i="2"/>
  <c r="S2742" i="2"/>
  <c r="V2742" i="2" s="1" a="1"/>
  <c r="V2742" i="2" s="1"/>
  <c r="R2742" i="2"/>
  <c r="Q2742" i="2"/>
  <c r="P2742" i="2"/>
  <c r="U2741" i="2"/>
  <c r="S2741" i="2"/>
  <c r="R2741" i="2"/>
  <c r="Q2741" i="2"/>
  <c r="P2741" i="2"/>
  <c r="V2740" i="2" a="1"/>
  <c r="V2740" i="2" s="1"/>
  <c r="U2740" i="2"/>
  <c r="S2740" i="2"/>
  <c r="R2740" i="2"/>
  <c r="Q2740" i="2"/>
  <c r="P2740" i="2"/>
  <c r="V2739" i="2" a="1"/>
  <c r="V2739" i="2" s="1"/>
  <c r="U2739" i="2"/>
  <c r="S2739" i="2"/>
  <c r="R2739" i="2"/>
  <c r="Q2739" i="2"/>
  <c r="P2739" i="2"/>
  <c r="V2738" i="2"/>
  <c r="V2738" i="2" a="1"/>
  <c r="U2738" i="2"/>
  <c r="S2738" i="2"/>
  <c r="R2738" i="2"/>
  <c r="Q2738" i="2"/>
  <c r="P2738" i="2"/>
  <c r="V2737" i="2" a="1"/>
  <c r="V2737" i="2" s="1"/>
  <c r="U2737" i="2"/>
  <c r="S2737" i="2"/>
  <c r="R2737" i="2"/>
  <c r="Q2737" i="2"/>
  <c r="P2737" i="2"/>
  <c r="U2736" i="2"/>
  <c r="S2736" i="2"/>
  <c r="R2736" i="2"/>
  <c r="Q2736" i="2"/>
  <c r="P2736" i="2"/>
  <c r="U2735" i="2"/>
  <c r="S2735" i="2"/>
  <c r="V2735" i="2" s="1" a="1"/>
  <c r="V2735" i="2" s="1"/>
  <c r="R2735" i="2"/>
  <c r="Q2735" i="2"/>
  <c r="P2735" i="2"/>
  <c r="U2734" i="2"/>
  <c r="S2734" i="2"/>
  <c r="V2734" i="2" s="1" a="1"/>
  <c r="V2734" i="2" s="1"/>
  <c r="R2734" i="2"/>
  <c r="Q2734" i="2"/>
  <c r="P2734" i="2"/>
  <c r="U2733" i="2"/>
  <c r="S2733" i="2"/>
  <c r="V2733" i="2" s="1" a="1"/>
  <c r="V2733" i="2" s="1"/>
  <c r="R2733" i="2"/>
  <c r="Q2733" i="2"/>
  <c r="P2733" i="2"/>
  <c r="V2732" i="2" a="1"/>
  <c r="V2732" i="2" s="1"/>
  <c r="U2732" i="2"/>
  <c r="S2732" i="2"/>
  <c r="R2732" i="2"/>
  <c r="Q2732" i="2"/>
  <c r="P2732" i="2"/>
  <c r="V2731" i="2" a="1"/>
  <c r="V2731" i="2" s="1"/>
  <c r="U2731" i="2"/>
  <c r="S2731" i="2"/>
  <c r="R2731" i="2"/>
  <c r="Q2731" i="2"/>
  <c r="P2731" i="2"/>
  <c r="V2730" i="2" a="1"/>
  <c r="V2730" i="2" s="1"/>
  <c r="U2730" i="2"/>
  <c r="S2730" i="2"/>
  <c r="R2730" i="2"/>
  <c r="Q2730" i="2"/>
  <c r="P2730" i="2"/>
  <c r="V2729" i="2" a="1"/>
  <c r="V2729" i="2" s="1"/>
  <c r="U2729" i="2"/>
  <c r="S2729" i="2"/>
  <c r="R2729" i="2"/>
  <c r="Q2729" i="2"/>
  <c r="P2729" i="2"/>
  <c r="U2728" i="2"/>
  <c r="S2728" i="2"/>
  <c r="R2728" i="2"/>
  <c r="Q2728" i="2"/>
  <c r="P2728" i="2"/>
  <c r="U2727" i="2"/>
  <c r="S2727" i="2"/>
  <c r="V2727" i="2" s="1" a="1"/>
  <c r="V2727" i="2" s="1"/>
  <c r="R2727" i="2"/>
  <c r="Q2727" i="2"/>
  <c r="P2727" i="2"/>
  <c r="U2726" i="2"/>
  <c r="S2726" i="2"/>
  <c r="V2726" i="2" s="1" a="1"/>
  <c r="V2726" i="2" s="1"/>
  <c r="R2726" i="2"/>
  <c r="Q2726" i="2"/>
  <c r="P2726" i="2"/>
  <c r="U2725" i="2"/>
  <c r="S2725" i="2"/>
  <c r="V2725" i="2" s="1" a="1"/>
  <c r="V2725" i="2" s="1"/>
  <c r="R2725" i="2"/>
  <c r="Q2725" i="2"/>
  <c r="P2725" i="2"/>
  <c r="V2724" i="2" a="1"/>
  <c r="V2724" i="2" s="1"/>
  <c r="U2724" i="2"/>
  <c r="S2724" i="2"/>
  <c r="R2724" i="2"/>
  <c r="Q2724" i="2"/>
  <c r="P2724" i="2"/>
  <c r="V2723" i="2"/>
  <c r="V2723" i="2" a="1"/>
  <c r="U2723" i="2"/>
  <c r="S2723" i="2"/>
  <c r="R2723" i="2"/>
  <c r="Q2723" i="2"/>
  <c r="P2723" i="2"/>
  <c r="V2722" i="2"/>
  <c r="V2722" i="2" a="1"/>
  <c r="U2722" i="2"/>
  <c r="S2722" i="2"/>
  <c r="R2722" i="2"/>
  <c r="Q2722" i="2"/>
  <c r="P2722" i="2"/>
  <c r="V2721" i="2"/>
  <c r="V2721" i="2" a="1"/>
  <c r="U2721" i="2"/>
  <c r="S2721" i="2"/>
  <c r="R2721" i="2"/>
  <c r="Q2721" i="2"/>
  <c r="P2721" i="2"/>
  <c r="U2720" i="2"/>
  <c r="S2720" i="2"/>
  <c r="R2720" i="2"/>
  <c r="Q2720" i="2"/>
  <c r="P2720" i="2"/>
  <c r="U2719" i="2"/>
  <c r="S2719" i="2"/>
  <c r="R2719" i="2"/>
  <c r="Q2719" i="2"/>
  <c r="P2719" i="2"/>
  <c r="U2718" i="2"/>
  <c r="S2718" i="2"/>
  <c r="V2718" i="2" s="1" a="1"/>
  <c r="V2718" i="2" s="1"/>
  <c r="R2718" i="2"/>
  <c r="Q2718" i="2"/>
  <c r="P2718" i="2"/>
  <c r="U2717" i="2"/>
  <c r="S2717" i="2"/>
  <c r="V2717" i="2" s="1" a="1"/>
  <c r="V2717" i="2" s="1"/>
  <c r="R2717" i="2"/>
  <c r="Q2717" i="2"/>
  <c r="P2717" i="2"/>
  <c r="V2716" i="2" a="1"/>
  <c r="V2716" i="2" s="1"/>
  <c r="U2716" i="2"/>
  <c r="S2716" i="2"/>
  <c r="R2716" i="2"/>
  <c r="Q2716" i="2"/>
  <c r="P2716" i="2"/>
  <c r="V2715" i="2" a="1"/>
  <c r="V2715" i="2" s="1"/>
  <c r="U2715" i="2"/>
  <c r="S2715" i="2"/>
  <c r="R2715" i="2"/>
  <c r="Q2715" i="2"/>
  <c r="P2715" i="2"/>
  <c r="V2714" i="2"/>
  <c r="V2714" i="2" a="1"/>
  <c r="U2714" i="2"/>
  <c r="S2714" i="2"/>
  <c r="R2714" i="2"/>
  <c r="Q2714" i="2"/>
  <c r="P2714" i="2"/>
  <c r="V2713" i="2" a="1"/>
  <c r="V2713" i="2" s="1"/>
  <c r="U2713" i="2"/>
  <c r="S2713" i="2"/>
  <c r="R2713" i="2"/>
  <c r="Q2713" i="2"/>
  <c r="P2713" i="2"/>
  <c r="U2712" i="2"/>
  <c r="S2712" i="2"/>
  <c r="R2712" i="2"/>
  <c r="Q2712" i="2"/>
  <c r="P2712" i="2"/>
  <c r="U2711" i="2"/>
  <c r="S2711" i="2"/>
  <c r="V2711" i="2" s="1" a="1"/>
  <c r="V2711" i="2" s="1"/>
  <c r="R2711" i="2"/>
  <c r="Q2711" i="2"/>
  <c r="P2711" i="2"/>
  <c r="U2710" i="2"/>
  <c r="S2710" i="2"/>
  <c r="V2710" i="2" s="1" a="1"/>
  <c r="V2710" i="2" s="1"/>
  <c r="R2710" i="2"/>
  <c r="Q2710" i="2"/>
  <c r="P2710" i="2"/>
  <c r="U2709" i="2"/>
  <c r="S2709" i="2"/>
  <c r="R2709" i="2"/>
  <c r="Q2709" i="2"/>
  <c r="P2709" i="2"/>
  <c r="V2708" i="2" a="1"/>
  <c r="V2708" i="2" s="1"/>
  <c r="U2708" i="2"/>
  <c r="S2708" i="2"/>
  <c r="R2708" i="2"/>
  <c r="Q2708" i="2"/>
  <c r="P2708" i="2"/>
  <c r="V2707" i="2" a="1"/>
  <c r="V2707" i="2" s="1"/>
  <c r="U2707" i="2"/>
  <c r="S2707" i="2"/>
  <c r="R2707" i="2"/>
  <c r="Q2707" i="2"/>
  <c r="P2707" i="2"/>
  <c r="V2706" i="2"/>
  <c r="V2706" i="2" a="1"/>
  <c r="U2706" i="2"/>
  <c r="S2706" i="2"/>
  <c r="R2706" i="2"/>
  <c r="Q2706" i="2"/>
  <c r="P2706" i="2"/>
  <c r="V2705" i="2" a="1"/>
  <c r="V2705" i="2" s="1"/>
  <c r="U2705" i="2"/>
  <c r="S2705" i="2"/>
  <c r="R2705" i="2"/>
  <c r="Q2705" i="2"/>
  <c r="P2705" i="2"/>
  <c r="U2704" i="2"/>
  <c r="S2704" i="2"/>
  <c r="R2704" i="2"/>
  <c r="Q2704" i="2"/>
  <c r="P2704" i="2"/>
  <c r="U2703" i="2"/>
  <c r="S2703" i="2"/>
  <c r="V2703" i="2" s="1" a="1"/>
  <c r="V2703" i="2" s="1"/>
  <c r="R2703" i="2"/>
  <c r="Q2703" i="2"/>
  <c r="P2703" i="2"/>
  <c r="U2702" i="2"/>
  <c r="S2702" i="2"/>
  <c r="V2702" i="2" s="1" a="1"/>
  <c r="V2702" i="2" s="1"/>
  <c r="R2702" i="2"/>
  <c r="Q2702" i="2"/>
  <c r="P2702" i="2"/>
  <c r="U2701" i="2"/>
  <c r="S2701" i="2"/>
  <c r="V2701" i="2" s="1" a="1"/>
  <c r="V2701" i="2" s="1"/>
  <c r="R2701" i="2"/>
  <c r="Q2701" i="2"/>
  <c r="P2701" i="2"/>
  <c r="V2700" i="2" a="1"/>
  <c r="V2700" i="2" s="1"/>
  <c r="U2700" i="2"/>
  <c r="S2700" i="2"/>
  <c r="R2700" i="2"/>
  <c r="Q2700" i="2"/>
  <c r="P2700" i="2"/>
  <c r="V2699" i="2" a="1"/>
  <c r="V2699" i="2" s="1"/>
  <c r="U2699" i="2"/>
  <c r="S2699" i="2"/>
  <c r="R2699" i="2"/>
  <c r="Q2699" i="2"/>
  <c r="P2699" i="2"/>
  <c r="V2698" i="2" a="1"/>
  <c r="V2698" i="2" s="1"/>
  <c r="U2698" i="2"/>
  <c r="S2698" i="2"/>
  <c r="R2698" i="2"/>
  <c r="Q2698" i="2"/>
  <c r="P2698" i="2"/>
  <c r="V2697" i="2" a="1"/>
  <c r="V2697" i="2" s="1"/>
  <c r="U2697" i="2"/>
  <c r="S2697" i="2"/>
  <c r="R2697" i="2"/>
  <c r="Q2697" i="2"/>
  <c r="P2697" i="2"/>
  <c r="U2696" i="2"/>
  <c r="S2696" i="2"/>
  <c r="R2696" i="2"/>
  <c r="Q2696" i="2"/>
  <c r="P2696" i="2"/>
  <c r="U2695" i="2"/>
  <c r="S2695" i="2"/>
  <c r="V2695" i="2" s="1" a="1"/>
  <c r="V2695" i="2" s="1"/>
  <c r="R2695" i="2"/>
  <c r="Q2695" i="2"/>
  <c r="P2695" i="2"/>
  <c r="U2694" i="2"/>
  <c r="S2694" i="2"/>
  <c r="V2694" i="2" s="1" a="1"/>
  <c r="V2694" i="2" s="1"/>
  <c r="R2694" i="2"/>
  <c r="Q2694" i="2"/>
  <c r="P2694" i="2"/>
  <c r="U2693" i="2"/>
  <c r="S2693" i="2"/>
  <c r="V2693" i="2" s="1" a="1"/>
  <c r="V2693" i="2" s="1"/>
  <c r="R2693" i="2"/>
  <c r="Q2693" i="2"/>
  <c r="P2693" i="2"/>
  <c r="V2692" i="2" a="1"/>
  <c r="V2692" i="2" s="1"/>
  <c r="U2692" i="2"/>
  <c r="S2692" i="2"/>
  <c r="R2692" i="2"/>
  <c r="Q2692" i="2"/>
  <c r="P2692" i="2"/>
  <c r="V2691" i="2"/>
  <c r="V2691" i="2" a="1"/>
  <c r="U2691" i="2"/>
  <c r="S2691" i="2"/>
  <c r="R2691" i="2"/>
  <c r="Q2691" i="2"/>
  <c r="P2691" i="2"/>
  <c r="V2690" i="2"/>
  <c r="V2690" i="2" a="1"/>
  <c r="U2690" i="2"/>
  <c r="S2690" i="2"/>
  <c r="R2690" i="2"/>
  <c r="Q2690" i="2"/>
  <c r="P2690" i="2"/>
  <c r="V2689" i="2"/>
  <c r="V2689" i="2" a="1"/>
  <c r="U2689" i="2"/>
  <c r="S2689" i="2"/>
  <c r="R2689" i="2"/>
  <c r="Q2689" i="2"/>
  <c r="P2689" i="2"/>
  <c r="U2688" i="2"/>
  <c r="S2688" i="2"/>
  <c r="R2688" i="2"/>
  <c r="Q2688" i="2"/>
  <c r="P2688" i="2"/>
  <c r="U2687" i="2"/>
  <c r="S2687" i="2"/>
  <c r="R2687" i="2"/>
  <c r="Q2687" i="2"/>
  <c r="P2687" i="2"/>
  <c r="U2686" i="2"/>
  <c r="S2686" i="2"/>
  <c r="V2686" i="2" s="1" a="1"/>
  <c r="V2686" i="2" s="1"/>
  <c r="R2686" i="2"/>
  <c r="Q2686" i="2"/>
  <c r="P2686" i="2"/>
  <c r="U2685" i="2"/>
  <c r="S2685" i="2"/>
  <c r="V2685" i="2" s="1" a="1"/>
  <c r="V2685" i="2" s="1"/>
  <c r="R2685" i="2"/>
  <c r="Q2685" i="2"/>
  <c r="P2685" i="2"/>
  <c r="V2684" i="2" a="1"/>
  <c r="V2684" i="2" s="1"/>
  <c r="U2684" i="2"/>
  <c r="S2684" i="2"/>
  <c r="R2684" i="2"/>
  <c r="Q2684" i="2"/>
  <c r="P2684" i="2"/>
  <c r="V2683" i="2" a="1"/>
  <c r="V2683" i="2" s="1"/>
  <c r="U2683" i="2"/>
  <c r="S2683" i="2"/>
  <c r="R2683" i="2"/>
  <c r="Q2683" i="2"/>
  <c r="P2683" i="2"/>
  <c r="V2682" i="2"/>
  <c r="V2682" i="2" a="1"/>
  <c r="U2682" i="2"/>
  <c r="S2682" i="2"/>
  <c r="R2682" i="2"/>
  <c r="Q2682" i="2"/>
  <c r="P2682" i="2"/>
  <c r="V2681" i="2" a="1"/>
  <c r="V2681" i="2" s="1"/>
  <c r="U2681" i="2"/>
  <c r="S2681" i="2"/>
  <c r="R2681" i="2"/>
  <c r="Q2681" i="2"/>
  <c r="P2681" i="2"/>
  <c r="U2680" i="2"/>
  <c r="S2680" i="2"/>
  <c r="R2680" i="2"/>
  <c r="Q2680" i="2"/>
  <c r="P2680" i="2"/>
  <c r="U2679" i="2"/>
  <c r="S2679" i="2"/>
  <c r="V2679" i="2" s="1" a="1"/>
  <c r="V2679" i="2" s="1"/>
  <c r="R2679" i="2"/>
  <c r="Q2679" i="2"/>
  <c r="P2679" i="2"/>
  <c r="U2678" i="2"/>
  <c r="S2678" i="2"/>
  <c r="V2678" i="2" s="1" a="1"/>
  <c r="V2678" i="2" s="1"/>
  <c r="R2678" i="2"/>
  <c r="Q2678" i="2"/>
  <c r="P2678" i="2"/>
  <c r="U2677" i="2"/>
  <c r="S2677" i="2"/>
  <c r="R2677" i="2"/>
  <c r="Q2677" i="2"/>
  <c r="P2677" i="2"/>
  <c r="V2676" i="2" a="1"/>
  <c r="V2676" i="2" s="1"/>
  <c r="U2676" i="2"/>
  <c r="S2676" i="2"/>
  <c r="R2676" i="2"/>
  <c r="Q2676" i="2"/>
  <c r="P2676" i="2"/>
  <c r="V2675" i="2" a="1"/>
  <c r="V2675" i="2" s="1"/>
  <c r="U2675" i="2"/>
  <c r="S2675" i="2"/>
  <c r="R2675" i="2"/>
  <c r="Q2675" i="2"/>
  <c r="P2675" i="2"/>
  <c r="V2674" i="2"/>
  <c r="V2674" i="2" a="1"/>
  <c r="U2674" i="2"/>
  <c r="S2674" i="2"/>
  <c r="R2674" i="2"/>
  <c r="Q2674" i="2"/>
  <c r="P2674" i="2"/>
  <c r="V2673" i="2" a="1"/>
  <c r="V2673" i="2" s="1"/>
  <c r="U2673" i="2"/>
  <c r="S2673" i="2"/>
  <c r="R2673" i="2"/>
  <c r="Q2673" i="2"/>
  <c r="P2673" i="2"/>
  <c r="U2672" i="2"/>
  <c r="S2672" i="2"/>
  <c r="R2672" i="2"/>
  <c r="Q2672" i="2"/>
  <c r="P2672" i="2"/>
  <c r="U2671" i="2"/>
  <c r="S2671" i="2"/>
  <c r="V2671" i="2" s="1" a="1"/>
  <c r="V2671" i="2" s="1"/>
  <c r="R2671" i="2"/>
  <c r="Q2671" i="2"/>
  <c r="P2671" i="2"/>
  <c r="U2670" i="2"/>
  <c r="S2670" i="2"/>
  <c r="R2670" i="2"/>
  <c r="Q2670" i="2"/>
  <c r="P2670" i="2"/>
  <c r="U2669" i="2"/>
  <c r="S2669" i="2"/>
  <c r="V2669" i="2" s="1" a="1"/>
  <c r="V2669" i="2" s="1"/>
  <c r="R2669" i="2"/>
  <c r="Q2669" i="2"/>
  <c r="P2669" i="2"/>
  <c r="V2668" i="2" a="1"/>
  <c r="V2668" i="2" s="1"/>
  <c r="U2668" i="2"/>
  <c r="S2668" i="2"/>
  <c r="R2668" i="2"/>
  <c r="Q2668" i="2"/>
  <c r="P2668" i="2"/>
  <c r="V2667" i="2"/>
  <c r="V2667" i="2" a="1"/>
  <c r="U2667" i="2"/>
  <c r="S2667" i="2"/>
  <c r="R2667" i="2"/>
  <c r="Q2667" i="2"/>
  <c r="P2667" i="2"/>
  <c r="V2666" i="2" a="1"/>
  <c r="V2666" i="2" s="1"/>
  <c r="U2666" i="2"/>
  <c r="S2666" i="2"/>
  <c r="R2666" i="2"/>
  <c r="Q2666" i="2"/>
  <c r="P2666" i="2"/>
  <c r="V2665" i="2" a="1"/>
  <c r="V2665" i="2" s="1"/>
  <c r="U2665" i="2"/>
  <c r="S2665" i="2"/>
  <c r="R2665" i="2"/>
  <c r="Q2665" i="2"/>
  <c r="P2665" i="2"/>
  <c r="V2664" i="2" a="1"/>
  <c r="V2664" i="2" s="1"/>
  <c r="U2664" i="2"/>
  <c r="S2664" i="2"/>
  <c r="R2664" i="2"/>
  <c r="Q2664" i="2"/>
  <c r="P2664" i="2"/>
  <c r="U2663" i="2"/>
  <c r="S2663" i="2"/>
  <c r="V2663" i="2" s="1" a="1"/>
  <c r="V2663" i="2" s="1"/>
  <c r="R2663" i="2"/>
  <c r="Q2663" i="2"/>
  <c r="P2663" i="2"/>
  <c r="U2662" i="2"/>
  <c r="S2662" i="2"/>
  <c r="R2662" i="2"/>
  <c r="Q2662" i="2"/>
  <c r="P2662" i="2"/>
  <c r="U2661" i="2"/>
  <c r="S2661" i="2"/>
  <c r="V2661" i="2" s="1" a="1"/>
  <c r="V2661" i="2" s="1"/>
  <c r="R2661" i="2"/>
  <c r="Q2661" i="2"/>
  <c r="P2661" i="2"/>
  <c r="U2660" i="2"/>
  <c r="S2660" i="2"/>
  <c r="R2660" i="2"/>
  <c r="Q2660" i="2"/>
  <c r="P2660" i="2"/>
  <c r="V2659" i="2"/>
  <c r="V2659" i="2" a="1"/>
  <c r="U2659" i="2"/>
  <c r="S2659" i="2"/>
  <c r="R2659" i="2"/>
  <c r="Q2659" i="2"/>
  <c r="P2659" i="2"/>
  <c r="V2658" i="2" a="1"/>
  <c r="V2658" i="2" s="1"/>
  <c r="U2658" i="2"/>
  <c r="S2658" i="2"/>
  <c r="R2658" i="2"/>
  <c r="Q2658" i="2"/>
  <c r="P2658" i="2"/>
  <c r="V2657" i="2" a="1"/>
  <c r="V2657" i="2" s="1"/>
  <c r="U2657" i="2"/>
  <c r="S2657" i="2"/>
  <c r="R2657" i="2"/>
  <c r="Q2657" i="2"/>
  <c r="P2657" i="2"/>
  <c r="V2656" i="2" a="1"/>
  <c r="V2656" i="2" s="1"/>
  <c r="U2656" i="2"/>
  <c r="S2656" i="2"/>
  <c r="R2656" i="2"/>
  <c r="Q2656" i="2"/>
  <c r="P2656" i="2"/>
  <c r="U2655" i="2"/>
  <c r="S2655" i="2"/>
  <c r="V2655" i="2" s="1" a="1"/>
  <c r="V2655" i="2" s="1"/>
  <c r="R2655" i="2"/>
  <c r="Q2655" i="2"/>
  <c r="P2655" i="2"/>
  <c r="U2654" i="2"/>
  <c r="S2654" i="2"/>
  <c r="R2654" i="2"/>
  <c r="Q2654" i="2"/>
  <c r="P2654" i="2"/>
  <c r="U2653" i="2"/>
  <c r="S2653" i="2"/>
  <c r="V2653" i="2" s="1" a="1"/>
  <c r="V2653" i="2" s="1"/>
  <c r="R2653" i="2"/>
  <c r="Q2653" i="2"/>
  <c r="P2653" i="2"/>
  <c r="U2652" i="2"/>
  <c r="S2652" i="2"/>
  <c r="R2652" i="2"/>
  <c r="Q2652" i="2"/>
  <c r="P2652" i="2"/>
  <c r="V2651" i="2"/>
  <c r="V2651" i="2" a="1"/>
  <c r="U2651" i="2"/>
  <c r="S2651" i="2"/>
  <c r="R2651" i="2"/>
  <c r="Q2651" i="2"/>
  <c r="P2651" i="2"/>
  <c r="V2650" i="2" a="1"/>
  <c r="V2650" i="2" s="1"/>
  <c r="U2650" i="2"/>
  <c r="S2650" i="2"/>
  <c r="R2650" i="2"/>
  <c r="Q2650" i="2"/>
  <c r="P2650" i="2"/>
  <c r="V2649" i="2" a="1"/>
  <c r="V2649" i="2" s="1"/>
  <c r="U2649" i="2"/>
  <c r="S2649" i="2"/>
  <c r="R2649" i="2"/>
  <c r="Q2649" i="2"/>
  <c r="P2649" i="2"/>
  <c r="V2648" i="2" a="1"/>
  <c r="V2648" i="2" s="1"/>
  <c r="U2648" i="2"/>
  <c r="S2648" i="2"/>
  <c r="R2648" i="2"/>
  <c r="Q2648" i="2"/>
  <c r="P2648" i="2"/>
  <c r="U2647" i="2"/>
  <c r="S2647" i="2"/>
  <c r="V2647" i="2" s="1" a="1"/>
  <c r="V2647" i="2" s="1"/>
  <c r="R2647" i="2"/>
  <c r="Q2647" i="2"/>
  <c r="P2647" i="2"/>
  <c r="U2646" i="2"/>
  <c r="S2646" i="2"/>
  <c r="R2646" i="2"/>
  <c r="Q2646" i="2"/>
  <c r="P2646" i="2"/>
  <c r="U2645" i="2"/>
  <c r="S2645" i="2"/>
  <c r="V2645" i="2" s="1" a="1"/>
  <c r="V2645" i="2" s="1"/>
  <c r="R2645" i="2"/>
  <c r="Q2645" i="2"/>
  <c r="P2645" i="2"/>
  <c r="U2644" i="2"/>
  <c r="S2644" i="2"/>
  <c r="R2644" i="2"/>
  <c r="Q2644" i="2"/>
  <c r="P2644" i="2"/>
  <c r="V2643" i="2"/>
  <c r="V2643" i="2" a="1"/>
  <c r="U2643" i="2"/>
  <c r="S2643" i="2"/>
  <c r="R2643" i="2"/>
  <c r="Q2643" i="2"/>
  <c r="P2643" i="2"/>
  <c r="U2642" i="2"/>
  <c r="S2642" i="2"/>
  <c r="R2642" i="2"/>
  <c r="Q2642" i="2"/>
  <c r="P2642" i="2"/>
  <c r="V2641" i="2" a="1"/>
  <c r="V2641" i="2" s="1"/>
  <c r="U2641" i="2"/>
  <c r="S2641" i="2"/>
  <c r="R2641" i="2"/>
  <c r="Q2641" i="2"/>
  <c r="P2641" i="2"/>
  <c r="U2640" i="2"/>
  <c r="S2640" i="2"/>
  <c r="R2640" i="2"/>
  <c r="Q2640" i="2"/>
  <c r="P2640" i="2"/>
  <c r="U2639" i="2"/>
  <c r="S2639" i="2"/>
  <c r="V2639" i="2" s="1" a="1"/>
  <c r="V2639" i="2" s="1"/>
  <c r="R2639" i="2"/>
  <c r="Q2639" i="2"/>
  <c r="P2639" i="2"/>
  <c r="U2638" i="2"/>
  <c r="S2638" i="2"/>
  <c r="R2638" i="2"/>
  <c r="Q2638" i="2"/>
  <c r="P2638" i="2"/>
  <c r="U2637" i="2"/>
  <c r="S2637" i="2"/>
  <c r="V2637" i="2" s="1" a="1"/>
  <c r="V2637" i="2" s="1"/>
  <c r="R2637" i="2"/>
  <c r="Q2637" i="2"/>
  <c r="P2637" i="2"/>
  <c r="U2636" i="2"/>
  <c r="S2636" i="2"/>
  <c r="R2636" i="2"/>
  <c r="Q2636" i="2"/>
  <c r="P2636" i="2"/>
  <c r="V2635" i="2"/>
  <c r="V2635" i="2" a="1"/>
  <c r="U2635" i="2"/>
  <c r="S2635" i="2"/>
  <c r="R2635" i="2"/>
  <c r="Q2635" i="2"/>
  <c r="P2635" i="2"/>
  <c r="U2634" i="2"/>
  <c r="S2634" i="2"/>
  <c r="R2634" i="2"/>
  <c r="Q2634" i="2"/>
  <c r="P2634" i="2"/>
  <c r="V2633" i="2" a="1"/>
  <c r="V2633" i="2" s="1"/>
  <c r="U2633" i="2"/>
  <c r="S2633" i="2"/>
  <c r="R2633" i="2"/>
  <c r="Q2633" i="2"/>
  <c r="P2633" i="2"/>
  <c r="U2632" i="2"/>
  <c r="S2632" i="2"/>
  <c r="R2632" i="2"/>
  <c r="Q2632" i="2"/>
  <c r="P2632" i="2"/>
  <c r="U2631" i="2"/>
  <c r="S2631" i="2"/>
  <c r="V2631" i="2" s="1" a="1"/>
  <c r="V2631" i="2" s="1"/>
  <c r="R2631" i="2"/>
  <c r="Q2631" i="2"/>
  <c r="P2631" i="2"/>
  <c r="U2630" i="2"/>
  <c r="S2630" i="2"/>
  <c r="R2630" i="2"/>
  <c r="Q2630" i="2"/>
  <c r="P2630" i="2"/>
  <c r="U2629" i="2"/>
  <c r="S2629" i="2"/>
  <c r="V2629" i="2" s="1" a="1"/>
  <c r="V2629" i="2" s="1"/>
  <c r="R2629" i="2"/>
  <c r="Q2629" i="2"/>
  <c r="P2629" i="2"/>
  <c r="U2628" i="2"/>
  <c r="S2628" i="2"/>
  <c r="R2628" i="2"/>
  <c r="Q2628" i="2"/>
  <c r="P2628" i="2"/>
  <c r="U2627" i="2"/>
  <c r="S2627" i="2"/>
  <c r="V2627" i="2" s="1" a="1"/>
  <c r="V2627" i="2" s="1"/>
  <c r="R2627" i="2"/>
  <c r="Q2627" i="2"/>
  <c r="P2627" i="2"/>
  <c r="U2626" i="2"/>
  <c r="S2626" i="2"/>
  <c r="V2626" i="2" s="1" a="1"/>
  <c r="V2626" i="2" s="1"/>
  <c r="R2626" i="2"/>
  <c r="Q2626" i="2"/>
  <c r="P2626" i="2"/>
  <c r="V2625" i="2"/>
  <c r="V2625" i="2" a="1"/>
  <c r="U2625" i="2"/>
  <c r="S2625" i="2"/>
  <c r="R2625" i="2"/>
  <c r="Q2625" i="2"/>
  <c r="P2625" i="2"/>
  <c r="U2624" i="2"/>
  <c r="S2624" i="2"/>
  <c r="R2624" i="2"/>
  <c r="Q2624" i="2"/>
  <c r="P2624" i="2"/>
  <c r="U2623" i="2"/>
  <c r="S2623" i="2"/>
  <c r="R2623" i="2"/>
  <c r="Q2623" i="2"/>
  <c r="P2623" i="2"/>
  <c r="V2622" i="2" a="1"/>
  <c r="V2622" i="2" s="1"/>
  <c r="U2622" i="2"/>
  <c r="S2622" i="2"/>
  <c r="R2622" i="2"/>
  <c r="Q2622" i="2"/>
  <c r="P2622" i="2"/>
  <c r="V2621" i="2"/>
  <c r="U2621" i="2"/>
  <c r="S2621" i="2"/>
  <c r="V2621" i="2" s="1" a="1"/>
  <c r="R2621" i="2"/>
  <c r="Q2621" i="2"/>
  <c r="P2621" i="2"/>
  <c r="V2620" i="2" a="1"/>
  <c r="V2620" i="2" s="1"/>
  <c r="U2620" i="2"/>
  <c r="S2620" i="2"/>
  <c r="R2620" i="2"/>
  <c r="Q2620" i="2"/>
  <c r="P2620" i="2"/>
  <c r="V2619" i="2"/>
  <c r="V2619" i="2" a="1"/>
  <c r="U2619" i="2"/>
  <c r="S2619" i="2"/>
  <c r="R2619" i="2"/>
  <c r="Q2619" i="2"/>
  <c r="P2619" i="2"/>
  <c r="V2618" i="2" a="1"/>
  <c r="V2618" i="2" s="1"/>
  <c r="U2618" i="2"/>
  <c r="S2618" i="2"/>
  <c r="R2618" i="2"/>
  <c r="Q2618" i="2"/>
  <c r="P2618" i="2"/>
  <c r="V2617" i="2" a="1"/>
  <c r="V2617" i="2" s="1"/>
  <c r="U2617" i="2"/>
  <c r="S2617" i="2"/>
  <c r="R2617" i="2"/>
  <c r="Q2617" i="2"/>
  <c r="P2617" i="2"/>
  <c r="V2616" i="2"/>
  <c r="V2616" i="2" a="1"/>
  <c r="U2616" i="2"/>
  <c r="S2616" i="2"/>
  <c r="R2616" i="2"/>
  <c r="Q2616" i="2"/>
  <c r="P2616" i="2"/>
  <c r="V2615" i="2"/>
  <c r="V2615" i="2" a="1"/>
  <c r="U2615" i="2"/>
  <c r="S2615" i="2"/>
  <c r="R2615" i="2"/>
  <c r="Q2615" i="2"/>
  <c r="P2615" i="2"/>
  <c r="U2614" i="2"/>
  <c r="S2614" i="2"/>
  <c r="R2614" i="2"/>
  <c r="Q2614" i="2"/>
  <c r="P2614" i="2"/>
  <c r="U2613" i="2"/>
  <c r="S2613" i="2"/>
  <c r="V2613" i="2" s="1" a="1"/>
  <c r="V2613" i="2" s="1"/>
  <c r="R2613" i="2"/>
  <c r="Q2613" i="2"/>
  <c r="P2613" i="2"/>
  <c r="U2612" i="2"/>
  <c r="S2612" i="2"/>
  <c r="R2612" i="2"/>
  <c r="Q2612" i="2"/>
  <c r="P2612" i="2"/>
  <c r="U2611" i="2"/>
  <c r="S2611" i="2"/>
  <c r="V2611" i="2" s="1" a="1"/>
  <c r="V2611" i="2" s="1"/>
  <c r="R2611" i="2"/>
  <c r="Q2611" i="2"/>
  <c r="P2611" i="2"/>
  <c r="U2610" i="2"/>
  <c r="S2610" i="2"/>
  <c r="V2610" i="2" s="1" a="1"/>
  <c r="V2610" i="2" s="1"/>
  <c r="R2610" i="2"/>
  <c r="Q2610" i="2"/>
  <c r="P2610" i="2"/>
  <c r="V2609" i="2"/>
  <c r="V2609" i="2" a="1"/>
  <c r="U2609" i="2"/>
  <c r="S2609" i="2"/>
  <c r="R2609" i="2"/>
  <c r="Q2609" i="2"/>
  <c r="P2609" i="2"/>
  <c r="U2608" i="2"/>
  <c r="S2608" i="2"/>
  <c r="R2608" i="2"/>
  <c r="Q2608" i="2"/>
  <c r="P2608" i="2"/>
  <c r="U2607" i="2"/>
  <c r="S2607" i="2"/>
  <c r="R2607" i="2"/>
  <c r="Q2607" i="2"/>
  <c r="P2607" i="2"/>
  <c r="V2606" i="2" a="1"/>
  <c r="V2606" i="2" s="1"/>
  <c r="U2606" i="2"/>
  <c r="S2606" i="2"/>
  <c r="R2606" i="2"/>
  <c r="Q2606" i="2"/>
  <c r="P2606" i="2"/>
  <c r="V2605" i="2"/>
  <c r="U2605" i="2"/>
  <c r="S2605" i="2"/>
  <c r="V2605" i="2" s="1" a="1"/>
  <c r="R2605" i="2"/>
  <c r="Q2605" i="2"/>
  <c r="P2605" i="2"/>
  <c r="V2604" i="2" a="1"/>
  <c r="V2604" i="2" s="1"/>
  <c r="U2604" i="2"/>
  <c r="S2604" i="2"/>
  <c r="R2604" i="2"/>
  <c r="Q2604" i="2"/>
  <c r="P2604" i="2"/>
  <c r="V2603" i="2"/>
  <c r="V2603" i="2" a="1"/>
  <c r="U2603" i="2"/>
  <c r="S2603" i="2"/>
  <c r="R2603" i="2"/>
  <c r="Q2603" i="2"/>
  <c r="P2603" i="2"/>
  <c r="V2602" i="2"/>
  <c r="V2602" i="2" a="1"/>
  <c r="U2602" i="2"/>
  <c r="S2602" i="2"/>
  <c r="R2602" i="2"/>
  <c r="Q2602" i="2"/>
  <c r="P2602" i="2"/>
  <c r="V2601" i="2" a="1"/>
  <c r="V2601" i="2" s="1"/>
  <c r="U2601" i="2"/>
  <c r="S2601" i="2"/>
  <c r="R2601" i="2"/>
  <c r="Q2601" i="2"/>
  <c r="P2601" i="2"/>
  <c r="V2600" i="2"/>
  <c r="V2600" i="2" a="1"/>
  <c r="U2600" i="2"/>
  <c r="S2600" i="2"/>
  <c r="R2600" i="2"/>
  <c r="Q2600" i="2"/>
  <c r="P2600" i="2"/>
  <c r="V2599" i="2"/>
  <c r="V2599" i="2" a="1"/>
  <c r="U2599" i="2"/>
  <c r="S2599" i="2"/>
  <c r="R2599" i="2"/>
  <c r="Q2599" i="2"/>
  <c r="P2599" i="2"/>
  <c r="U2598" i="2"/>
  <c r="S2598" i="2"/>
  <c r="R2598" i="2"/>
  <c r="Q2598" i="2"/>
  <c r="P2598" i="2"/>
  <c r="U2597" i="2"/>
  <c r="S2597" i="2"/>
  <c r="V2597" i="2" s="1" a="1"/>
  <c r="V2597" i="2" s="1"/>
  <c r="R2597" i="2"/>
  <c r="Q2597" i="2"/>
  <c r="P2597" i="2"/>
  <c r="U2596" i="2"/>
  <c r="S2596" i="2"/>
  <c r="R2596" i="2"/>
  <c r="Q2596" i="2"/>
  <c r="P2596" i="2"/>
  <c r="U2595" i="2"/>
  <c r="S2595" i="2"/>
  <c r="V2595" i="2" s="1" a="1"/>
  <c r="V2595" i="2" s="1"/>
  <c r="R2595" i="2"/>
  <c r="Q2595" i="2"/>
  <c r="P2595" i="2"/>
  <c r="U2594" i="2"/>
  <c r="S2594" i="2"/>
  <c r="V2594" i="2" s="1" a="1"/>
  <c r="V2594" i="2" s="1"/>
  <c r="R2594" i="2"/>
  <c r="Q2594" i="2"/>
  <c r="P2594" i="2"/>
  <c r="V2593" i="2"/>
  <c r="V2593" i="2" a="1"/>
  <c r="U2593" i="2"/>
  <c r="S2593" i="2"/>
  <c r="R2593" i="2"/>
  <c r="Q2593" i="2"/>
  <c r="P2593" i="2"/>
  <c r="U2592" i="2"/>
  <c r="S2592" i="2"/>
  <c r="R2592" i="2"/>
  <c r="Q2592" i="2"/>
  <c r="P2592" i="2"/>
  <c r="U2591" i="2"/>
  <c r="S2591" i="2"/>
  <c r="R2591" i="2"/>
  <c r="Q2591" i="2"/>
  <c r="P2591" i="2"/>
  <c r="V2590" i="2" a="1"/>
  <c r="V2590" i="2" s="1"/>
  <c r="U2590" i="2"/>
  <c r="S2590" i="2"/>
  <c r="R2590" i="2"/>
  <c r="Q2590" i="2"/>
  <c r="P2590" i="2"/>
  <c r="V2589" i="2"/>
  <c r="U2589" i="2"/>
  <c r="S2589" i="2"/>
  <c r="V2589" i="2" s="1" a="1"/>
  <c r="R2589" i="2"/>
  <c r="Q2589" i="2"/>
  <c r="P2589" i="2"/>
  <c r="V2588" i="2" a="1"/>
  <c r="V2588" i="2" s="1"/>
  <c r="U2588" i="2"/>
  <c r="S2588" i="2"/>
  <c r="R2588" i="2"/>
  <c r="Q2588" i="2"/>
  <c r="P2588" i="2"/>
  <c r="V2587" i="2"/>
  <c r="V2587" i="2" a="1"/>
  <c r="U2587" i="2"/>
  <c r="S2587" i="2"/>
  <c r="R2587" i="2"/>
  <c r="Q2587" i="2"/>
  <c r="P2587" i="2"/>
  <c r="V2586" i="2"/>
  <c r="V2586" i="2" a="1"/>
  <c r="U2586" i="2"/>
  <c r="S2586" i="2"/>
  <c r="R2586" i="2"/>
  <c r="Q2586" i="2"/>
  <c r="P2586" i="2"/>
  <c r="V2585" i="2" a="1"/>
  <c r="V2585" i="2" s="1"/>
  <c r="U2585" i="2"/>
  <c r="S2585" i="2"/>
  <c r="R2585" i="2"/>
  <c r="Q2585" i="2"/>
  <c r="P2585" i="2"/>
  <c r="U2584" i="2"/>
  <c r="S2584" i="2"/>
  <c r="R2584" i="2"/>
  <c r="Q2584" i="2"/>
  <c r="P2584" i="2"/>
  <c r="U2583" i="2"/>
  <c r="S2583" i="2"/>
  <c r="V2583" i="2" s="1" a="1"/>
  <c r="V2583" i="2" s="1"/>
  <c r="R2583" i="2"/>
  <c r="Q2583" i="2"/>
  <c r="P2583" i="2"/>
  <c r="U2582" i="2"/>
  <c r="S2582" i="2"/>
  <c r="V2582" i="2" s="1" a="1"/>
  <c r="V2582" i="2" s="1"/>
  <c r="R2582" i="2"/>
  <c r="Q2582" i="2"/>
  <c r="P2582" i="2"/>
  <c r="U2581" i="2"/>
  <c r="S2581" i="2"/>
  <c r="R2581" i="2"/>
  <c r="Q2581" i="2"/>
  <c r="P2581" i="2"/>
  <c r="V2580" i="2" a="1"/>
  <c r="V2580" i="2" s="1"/>
  <c r="U2580" i="2"/>
  <c r="S2580" i="2"/>
  <c r="R2580" i="2"/>
  <c r="Q2580" i="2"/>
  <c r="P2580" i="2"/>
  <c r="V2579" i="2"/>
  <c r="V2579" i="2" a="1"/>
  <c r="U2579" i="2"/>
  <c r="S2579" i="2"/>
  <c r="R2579" i="2"/>
  <c r="Q2579" i="2"/>
  <c r="P2579" i="2"/>
  <c r="V2578" i="2"/>
  <c r="V2578" i="2" a="1"/>
  <c r="U2578" i="2"/>
  <c r="S2578" i="2"/>
  <c r="R2578" i="2"/>
  <c r="Q2578" i="2"/>
  <c r="P2578" i="2"/>
  <c r="V2577" i="2" a="1"/>
  <c r="V2577" i="2" s="1"/>
  <c r="U2577" i="2"/>
  <c r="S2577" i="2"/>
  <c r="R2577" i="2"/>
  <c r="Q2577" i="2"/>
  <c r="P2577" i="2"/>
  <c r="U2576" i="2"/>
  <c r="S2576" i="2"/>
  <c r="R2576" i="2"/>
  <c r="Q2576" i="2"/>
  <c r="P2576" i="2"/>
  <c r="U2575" i="2"/>
  <c r="S2575" i="2"/>
  <c r="V2575" i="2" s="1" a="1"/>
  <c r="V2575" i="2" s="1"/>
  <c r="R2575" i="2"/>
  <c r="Q2575" i="2"/>
  <c r="P2575" i="2"/>
  <c r="U2574" i="2"/>
  <c r="S2574" i="2"/>
  <c r="V2574" i="2" s="1" a="1"/>
  <c r="V2574" i="2" s="1"/>
  <c r="R2574" i="2"/>
  <c r="Q2574" i="2"/>
  <c r="P2574" i="2"/>
  <c r="U2573" i="2"/>
  <c r="S2573" i="2"/>
  <c r="R2573" i="2"/>
  <c r="Q2573" i="2"/>
  <c r="P2573" i="2"/>
  <c r="V2572" i="2" a="1"/>
  <c r="V2572" i="2" s="1"/>
  <c r="U2572" i="2"/>
  <c r="S2572" i="2"/>
  <c r="R2572" i="2"/>
  <c r="Q2572" i="2"/>
  <c r="P2572" i="2"/>
  <c r="V2571" i="2"/>
  <c r="V2571" i="2" a="1"/>
  <c r="U2571" i="2"/>
  <c r="S2571" i="2"/>
  <c r="R2571" i="2"/>
  <c r="Q2571" i="2"/>
  <c r="P2571" i="2"/>
  <c r="V2570" i="2"/>
  <c r="V2570" i="2" a="1"/>
  <c r="U2570" i="2"/>
  <c r="S2570" i="2"/>
  <c r="R2570" i="2"/>
  <c r="Q2570" i="2"/>
  <c r="P2570" i="2"/>
  <c r="V2569" i="2" a="1"/>
  <c r="V2569" i="2" s="1"/>
  <c r="U2569" i="2"/>
  <c r="S2569" i="2"/>
  <c r="R2569" i="2"/>
  <c r="Q2569" i="2"/>
  <c r="P2569" i="2"/>
  <c r="U2568" i="2"/>
  <c r="S2568" i="2"/>
  <c r="R2568" i="2"/>
  <c r="Q2568" i="2"/>
  <c r="P2568" i="2"/>
  <c r="U2567" i="2"/>
  <c r="S2567" i="2"/>
  <c r="V2567" i="2" s="1" a="1"/>
  <c r="V2567" i="2" s="1"/>
  <c r="R2567" i="2"/>
  <c r="Q2567" i="2"/>
  <c r="P2567" i="2"/>
  <c r="U2566" i="2"/>
  <c r="S2566" i="2"/>
  <c r="V2566" i="2" s="1" a="1"/>
  <c r="V2566" i="2" s="1"/>
  <c r="R2566" i="2"/>
  <c r="Q2566" i="2"/>
  <c r="P2566" i="2"/>
  <c r="U2565" i="2"/>
  <c r="S2565" i="2"/>
  <c r="R2565" i="2"/>
  <c r="Q2565" i="2"/>
  <c r="P2565" i="2"/>
  <c r="V2564" i="2" a="1"/>
  <c r="V2564" i="2" s="1"/>
  <c r="U2564" i="2"/>
  <c r="S2564" i="2"/>
  <c r="R2564" i="2"/>
  <c r="Q2564" i="2"/>
  <c r="P2564" i="2"/>
  <c r="V2563" i="2"/>
  <c r="V2563" i="2" a="1"/>
  <c r="U2563" i="2"/>
  <c r="S2563" i="2"/>
  <c r="R2563" i="2"/>
  <c r="Q2563" i="2"/>
  <c r="P2563" i="2"/>
  <c r="V2562" i="2"/>
  <c r="V2562" i="2" a="1"/>
  <c r="U2562" i="2"/>
  <c r="S2562" i="2"/>
  <c r="R2562" i="2"/>
  <c r="Q2562" i="2"/>
  <c r="P2562" i="2"/>
  <c r="V2561" i="2" a="1"/>
  <c r="V2561" i="2" s="1"/>
  <c r="U2561" i="2"/>
  <c r="S2561" i="2"/>
  <c r="R2561" i="2"/>
  <c r="Q2561" i="2"/>
  <c r="P2561" i="2"/>
  <c r="U2560" i="2"/>
  <c r="S2560" i="2"/>
  <c r="R2560" i="2"/>
  <c r="Q2560" i="2"/>
  <c r="P2560" i="2"/>
  <c r="U2559" i="2"/>
  <c r="S2559" i="2"/>
  <c r="V2559" i="2" s="1" a="1"/>
  <c r="V2559" i="2" s="1"/>
  <c r="R2559" i="2"/>
  <c r="Q2559" i="2"/>
  <c r="P2559" i="2"/>
  <c r="U2558" i="2"/>
  <c r="S2558" i="2"/>
  <c r="V2558" i="2" s="1" a="1"/>
  <c r="V2558" i="2" s="1"/>
  <c r="R2558" i="2"/>
  <c r="Q2558" i="2"/>
  <c r="P2558" i="2"/>
  <c r="U2557" i="2"/>
  <c r="S2557" i="2"/>
  <c r="R2557" i="2"/>
  <c r="Q2557" i="2"/>
  <c r="P2557" i="2"/>
  <c r="V2556" i="2" a="1"/>
  <c r="V2556" i="2" s="1"/>
  <c r="U2556" i="2"/>
  <c r="S2556" i="2"/>
  <c r="R2556" i="2"/>
  <c r="Q2556" i="2"/>
  <c r="P2556" i="2"/>
  <c r="V2555" i="2"/>
  <c r="V2555" i="2" a="1"/>
  <c r="U2555" i="2"/>
  <c r="S2555" i="2"/>
  <c r="R2555" i="2"/>
  <c r="Q2555" i="2"/>
  <c r="P2555" i="2"/>
  <c r="V2554" i="2"/>
  <c r="V2554" i="2" a="1"/>
  <c r="U2554" i="2"/>
  <c r="S2554" i="2"/>
  <c r="R2554" i="2"/>
  <c r="Q2554" i="2"/>
  <c r="P2554" i="2"/>
  <c r="V2553" i="2" a="1"/>
  <c r="V2553" i="2" s="1"/>
  <c r="U2553" i="2"/>
  <c r="S2553" i="2"/>
  <c r="R2553" i="2"/>
  <c r="Q2553" i="2"/>
  <c r="P2553" i="2"/>
  <c r="U2552" i="2"/>
  <c r="S2552" i="2"/>
  <c r="R2552" i="2"/>
  <c r="Q2552" i="2"/>
  <c r="P2552" i="2"/>
  <c r="U2551" i="2"/>
  <c r="S2551" i="2"/>
  <c r="V2551" i="2" s="1" a="1"/>
  <c r="V2551" i="2" s="1"/>
  <c r="R2551" i="2"/>
  <c r="Q2551" i="2"/>
  <c r="P2551" i="2"/>
  <c r="U2550" i="2"/>
  <c r="S2550" i="2"/>
  <c r="V2550" i="2" s="1" a="1"/>
  <c r="V2550" i="2" s="1"/>
  <c r="R2550" i="2"/>
  <c r="Q2550" i="2"/>
  <c r="P2550" i="2"/>
  <c r="U2549" i="2"/>
  <c r="S2549" i="2"/>
  <c r="R2549" i="2"/>
  <c r="Q2549" i="2"/>
  <c r="P2549" i="2"/>
  <c r="V2548" i="2" a="1"/>
  <c r="V2548" i="2" s="1"/>
  <c r="U2548" i="2"/>
  <c r="S2548" i="2"/>
  <c r="R2548" i="2"/>
  <c r="Q2548" i="2"/>
  <c r="P2548" i="2"/>
  <c r="V2547" i="2"/>
  <c r="V2547" i="2" a="1"/>
  <c r="U2547" i="2"/>
  <c r="S2547" i="2"/>
  <c r="R2547" i="2"/>
  <c r="Q2547" i="2"/>
  <c r="P2547" i="2"/>
  <c r="V2546" i="2"/>
  <c r="V2546" i="2" a="1"/>
  <c r="U2546" i="2"/>
  <c r="S2546" i="2"/>
  <c r="R2546" i="2"/>
  <c r="Q2546" i="2"/>
  <c r="P2546" i="2"/>
  <c r="V2545" i="2" a="1"/>
  <c r="V2545" i="2" s="1"/>
  <c r="U2545" i="2"/>
  <c r="S2545" i="2"/>
  <c r="R2545" i="2"/>
  <c r="Q2545" i="2"/>
  <c r="P2545" i="2"/>
  <c r="U2544" i="2"/>
  <c r="S2544" i="2"/>
  <c r="R2544" i="2"/>
  <c r="Q2544" i="2"/>
  <c r="P2544" i="2"/>
  <c r="U2543" i="2"/>
  <c r="S2543" i="2"/>
  <c r="V2543" i="2" s="1" a="1"/>
  <c r="V2543" i="2" s="1"/>
  <c r="R2543" i="2"/>
  <c r="Q2543" i="2"/>
  <c r="P2543" i="2"/>
  <c r="U2542" i="2"/>
  <c r="S2542" i="2"/>
  <c r="V2542" i="2" s="1" a="1"/>
  <c r="V2542" i="2" s="1"/>
  <c r="R2542" i="2"/>
  <c r="Q2542" i="2"/>
  <c r="P2542" i="2"/>
  <c r="U2541" i="2"/>
  <c r="S2541" i="2"/>
  <c r="R2541" i="2"/>
  <c r="Q2541" i="2"/>
  <c r="P2541" i="2"/>
  <c r="V2540" i="2" a="1"/>
  <c r="V2540" i="2" s="1"/>
  <c r="U2540" i="2"/>
  <c r="S2540" i="2"/>
  <c r="R2540" i="2"/>
  <c r="Q2540" i="2"/>
  <c r="P2540" i="2"/>
  <c r="V2539" i="2"/>
  <c r="V2539" i="2" a="1"/>
  <c r="U2539" i="2"/>
  <c r="S2539" i="2"/>
  <c r="R2539" i="2"/>
  <c r="Q2539" i="2"/>
  <c r="P2539" i="2"/>
  <c r="V2538" i="2"/>
  <c r="V2538" i="2" a="1"/>
  <c r="U2538" i="2"/>
  <c r="S2538" i="2"/>
  <c r="R2538" i="2"/>
  <c r="Q2538" i="2"/>
  <c r="P2538" i="2"/>
  <c r="V2537" i="2" a="1"/>
  <c r="V2537" i="2" s="1"/>
  <c r="U2537" i="2"/>
  <c r="S2537" i="2"/>
  <c r="R2537" i="2"/>
  <c r="Q2537" i="2"/>
  <c r="P2537" i="2"/>
  <c r="U2536" i="2"/>
  <c r="S2536" i="2"/>
  <c r="R2536" i="2"/>
  <c r="Q2536" i="2"/>
  <c r="P2536" i="2"/>
  <c r="U2535" i="2"/>
  <c r="S2535" i="2"/>
  <c r="V2535" i="2" s="1" a="1"/>
  <c r="V2535" i="2" s="1"/>
  <c r="R2535" i="2"/>
  <c r="Q2535" i="2"/>
  <c r="P2535" i="2"/>
  <c r="U2534" i="2"/>
  <c r="S2534" i="2"/>
  <c r="V2534" i="2" s="1" a="1"/>
  <c r="V2534" i="2" s="1"/>
  <c r="R2534" i="2"/>
  <c r="Q2534" i="2"/>
  <c r="P2534" i="2"/>
  <c r="U2533" i="2"/>
  <c r="S2533" i="2"/>
  <c r="R2533" i="2"/>
  <c r="Q2533" i="2"/>
  <c r="P2533" i="2"/>
  <c r="V2532" i="2" a="1"/>
  <c r="V2532" i="2" s="1"/>
  <c r="U2532" i="2"/>
  <c r="S2532" i="2"/>
  <c r="R2532" i="2"/>
  <c r="Q2532" i="2"/>
  <c r="P2532" i="2"/>
  <c r="V2531" i="2"/>
  <c r="V2531" i="2" a="1"/>
  <c r="U2531" i="2"/>
  <c r="S2531" i="2"/>
  <c r="R2531" i="2"/>
  <c r="Q2531" i="2"/>
  <c r="P2531" i="2"/>
  <c r="V2530" i="2"/>
  <c r="V2530" i="2" a="1"/>
  <c r="U2530" i="2"/>
  <c r="S2530" i="2"/>
  <c r="R2530" i="2"/>
  <c r="Q2530" i="2"/>
  <c r="P2530" i="2"/>
  <c r="V2529" i="2" a="1"/>
  <c r="V2529" i="2" s="1"/>
  <c r="U2529" i="2"/>
  <c r="S2529" i="2"/>
  <c r="R2529" i="2"/>
  <c r="Q2529" i="2"/>
  <c r="P2529" i="2"/>
  <c r="U2528" i="2"/>
  <c r="S2528" i="2"/>
  <c r="R2528" i="2"/>
  <c r="Q2528" i="2"/>
  <c r="P2528" i="2"/>
  <c r="U2527" i="2"/>
  <c r="S2527" i="2"/>
  <c r="V2527" i="2" s="1" a="1"/>
  <c r="V2527" i="2" s="1"/>
  <c r="R2527" i="2"/>
  <c r="Q2527" i="2"/>
  <c r="P2527" i="2"/>
  <c r="U2526" i="2"/>
  <c r="S2526" i="2"/>
  <c r="V2526" i="2" s="1" a="1"/>
  <c r="V2526" i="2" s="1"/>
  <c r="R2526" i="2"/>
  <c r="Q2526" i="2"/>
  <c r="P2526" i="2"/>
  <c r="U2525" i="2"/>
  <c r="S2525" i="2"/>
  <c r="R2525" i="2"/>
  <c r="Q2525" i="2"/>
  <c r="P2525" i="2"/>
  <c r="V2524" i="2" a="1"/>
  <c r="V2524" i="2" s="1"/>
  <c r="U2524" i="2"/>
  <c r="S2524" i="2"/>
  <c r="R2524" i="2"/>
  <c r="Q2524" i="2"/>
  <c r="P2524" i="2"/>
  <c r="V2523" i="2"/>
  <c r="V2523" i="2" a="1"/>
  <c r="U2523" i="2"/>
  <c r="S2523" i="2"/>
  <c r="R2523" i="2"/>
  <c r="Q2523" i="2"/>
  <c r="P2523" i="2"/>
  <c r="V2522" i="2"/>
  <c r="V2522" i="2" a="1"/>
  <c r="U2522" i="2"/>
  <c r="S2522" i="2"/>
  <c r="R2522" i="2"/>
  <c r="Q2522" i="2"/>
  <c r="P2522" i="2"/>
  <c r="V2521" i="2" a="1"/>
  <c r="V2521" i="2" s="1"/>
  <c r="U2521" i="2"/>
  <c r="S2521" i="2"/>
  <c r="R2521" i="2"/>
  <c r="Q2521" i="2"/>
  <c r="P2521" i="2"/>
  <c r="U2520" i="2"/>
  <c r="S2520" i="2"/>
  <c r="R2520" i="2"/>
  <c r="Q2520" i="2"/>
  <c r="P2520" i="2"/>
  <c r="U2519" i="2"/>
  <c r="S2519" i="2"/>
  <c r="V2519" i="2" s="1" a="1"/>
  <c r="V2519" i="2" s="1"/>
  <c r="R2519" i="2"/>
  <c r="Q2519" i="2"/>
  <c r="P2519" i="2"/>
  <c r="U2518" i="2"/>
  <c r="S2518" i="2"/>
  <c r="V2518" i="2" s="1" a="1"/>
  <c r="V2518" i="2" s="1"/>
  <c r="R2518" i="2"/>
  <c r="Q2518" i="2"/>
  <c r="P2518" i="2"/>
  <c r="U2517" i="2"/>
  <c r="S2517" i="2"/>
  <c r="R2517" i="2"/>
  <c r="Q2517" i="2"/>
  <c r="P2517" i="2"/>
  <c r="V2516" i="2" a="1"/>
  <c r="V2516" i="2" s="1"/>
  <c r="U2516" i="2"/>
  <c r="S2516" i="2"/>
  <c r="R2516" i="2"/>
  <c r="Q2516" i="2"/>
  <c r="P2516" i="2"/>
  <c r="V2515" i="2"/>
  <c r="V2515" i="2" a="1"/>
  <c r="U2515" i="2"/>
  <c r="S2515" i="2"/>
  <c r="R2515" i="2"/>
  <c r="Q2515" i="2"/>
  <c r="P2515" i="2"/>
  <c r="V2514" i="2"/>
  <c r="V2514" i="2" a="1"/>
  <c r="U2514" i="2"/>
  <c r="S2514" i="2"/>
  <c r="R2514" i="2"/>
  <c r="Q2514" i="2"/>
  <c r="P2514" i="2"/>
  <c r="V2513" i="2" a="1"/>
  <c r="V2513" i="2" s="1"/>
  <c r="U2513" i="2"/>
  <c r="S2513" i="2"/>
  <c r="R2513" i="2"/>
  <c r="Q2513" i="2"/>
  <c r="P2513" i="2"/>
  <c r="U2512" i="2"/>
  <c r="S2512" i="2"/>
  <c r="R2512" i="2"/>
  <c r="Q2512" i="2"/>
  <c r="P2512" i="2"/>
  <c r="U2511" i="2"/>
  <c r="S2511" i="2"/>
  <c r="V2511" i="2" s="1" a="1"/>
  <c r="V2511" i="2" s="1"/>
  <c r="R2511" i="2"/>
  <c r="Q2511" i="2"/>
  <c r="P2511" i="2"/>
  <c r="U2510" i="2"/>
  <c r="S2510" i="2"/>
  <c r="V2510" i="2" s="1" a="1"/>
  <c r="V2510" i="2" s="1"/>
  <c r="R2510" i="2"/>
  <c r="Q2510" i="2"/>
  <c r="P2510" i="2"/>
  <c r="U2509" i="2"/>
  <c r="S2509" i="2"/>
  <c r="R2509" i="2"/>
  <c r="Q2509" i="2"/>
  <c r="P2509" i="2"/>
  <c r="V2508" i="2" a="1"/>
  <c r="V2508" i="2" s="1"/>
  <c r="U2508" i="2"/>
  <c r="S2508" i="2"/>
  <c r="R2508" i="2"/>
  <c r="Q2508" i="2"/>
  <c r="P2508" i="2"/>
  <c r="V2507" i="2"/>
  <c r="V2507" i="2" a="1"/>
  <c r="U2507" i="2"/>
  <c r="S2507" i="2"/>
  <c r="R2507" i="2"/>
  <c r="Q2507" i="2"/>
  <c r="P2507" i="2"/>
  <c r="V2506" i="2"/>
  <c r="V2506" i="2" a="1"/>
  <c r="U2506" i="2"/>
  <c r="S2506" i="2"/>
  <c r="R2506" i="2"/>
  <c r="Q2506" i="2"/>
  <c r="P2506" i="2"/>
  <c r="V2505" i="2" a="1"/>
  <c r="V2505" i="2" s="1"/>
  <c r="U2505" i="2"/>
  <c r="S2505" i="2"/>
  <c r="R2505" i="2"/>
  <c r="Q2505" i="2"/>
  <c r="P2505" i="2"/>
  <c r="U2504" i="2"/>
  <c r="S2504" i="2"/>
  <c r="R2504" i="2"/>
  <c r="Q2504" i="2"/>
  <c r="P2504" i="2"/>
  <c r="U2503" i="2"/>
  <c r="S2503" i="2"/>
  <c r="V2503" i="2" s="1" a="1"/>
  <c r="V2503" i="2" s="1"/>
  <c r="R2503" i="2"/>
  <c r="Q2503" i="2"/>
  <c r="P2503" i="2"/>
  <c r="U2502" i="2"/>
  <c r="S2502" i="2"/>
  <c r="V2502" i="2" s="1" a="1"/>
  <c r="V2502" i="2" s="1"/>
  <c r="R2502" i="2"/>
  <c r="Q2502" i="2"/>
  <c r="P2502" i="2"/>
  <c r="U2501" i="2"/>
  <c r="S2501" i="2"/>
  <c r="R2501" i="2"/>
  <c r="Q2501" i="2"/>
  <c r="P2501" i="2"/>
  <c r="V2500" i="2" a="1"/>
  <c r="V2500" i="2" s="1"/>
  <c r="U2500" i="2"/>
  <c r="S2500" i="2"/>
  <c r="R2500" i="2"/>
  <c r="Q2500" i="2"/>
  <c r="P2500" i="2"/>
  <c r="V2499" i="2" a="1"/>
  <c r="V2499" i="2" s="1"/>
  <c r="U2499" i="2"/>
  <c r="S2499" i="2"/>
  <c r="R2499" i="2"/>
  <c r="Q2499" i="2"/>
  <c r="P2499" i="2"/>
  <c r="V2498" i="2"/>
  <c r="V2498" i="2" a="1"/>
  <c r="U2498" i="2"/>
  <c r="S2498" i="2"/>
  <c r="R2498" i="2"/>
  <c r="Q2498" i="2"/>
  <c r="P2498" i="2"/>
  <c r="V2497" i="2" a="1"/>
  <c r="V2497" i="2" s="1"/>
  <c r="U2497" i="2"/>
  <c r="S2497" i="2"/>
  <c r="R2497" i="2"/>
  <c r="Q2497" i="2"/>
  <c r="P2497" i="2"/>
  <c r="U2496" i="2"/>
  <c r="S2496" i="2"/>
  <c r="R2496" i="2"/>
  <c r="Q2496" i="2"/>
  <c r="P2496" i="2"/>
  <c r="U2495" i="2"/>
  <c r="S2495" i="2"/>
  <c r="V2495" i="2" s="1" a="1"/>
  <c r="V2495" i="2" s="1"/>
  <c r="R2495" i="2"/>
  <c r="Q2495" i="2"/>
  <c r="P2495" i="2"/>
  <c r="U2494" i="2"/>
  <c r="S2494" i="2"/>
  <c r="V2494" i="2" s="1" a="1"/>
  <c r="V2494" i="2" s="1"/>
  <c r="R2494" i="2"/>
  <c r="Q2494" i="2"/>
  <c r="P2494" i="2"/>
  <c r="U2493" i="2"/>
  <c r="S2493" i="2"/>
  <c r="R2493" i="2"/>
  <c r="Q2493" i="2"/>
  <c r="P2493" i="2"/>
  <c r="V2492" i="2" a="1"/>
  <c r="V2492" i="2" s="1"/>
  <c r="U2492" i="2"/>
  <c r="S2492" i="2"/>
  <c r="R2492" i="2"/>
  <c r="Q2492" i="2"/>
  <c r="P2492" i="2"/>
  <c r="V2491" i="2" a="1"/>
  <c r="V2491" i="2" s="1"/>
  <c r="U2491" i="2"/>
  <c r="S2491" i="2"/>
  <c r="R2491" i="2"/>
  <c r="Q2491" i="2"/>
  <c r="P2491" i="2"/>
  <c r="V2490" i="2"/>
  <c r="V2490" i="2" a="1"/>
  <c r="U2490" i="2"/>
  <c r="S2490" i="2"/>
  <c r="R2490" i="2"/>
  <c r="Q2490" i="2"/>
  <c r="P2490" i="2"/>
  <c r="V2489" i="2" a="1"/>
  <c r="V2489" i="2" s="1"/>
  <c r="U2489" i="2"/>
  <c r="S2489" i="2"/>
  <c r="R2489" i="2"/>
  <c r="Q2489" i="2"/>
  <c r="P2489" i="2"/>
  <c r="U2488" i="2"/>
  <c r="S2488" i="2"/>
  <c r="R2488" i="2"/>
  <c r="Q2488" i="2"/>
  <c r="P2488" i="2"/>
  <c r="U2487" i="2"/>
  <c r="S2487" i="2"/>
  <c r="V2487" i="2" s="1" a="1"/>
  <c r="V2487" i="2" s="1"/>
  <c r="R2487" i="2"/>
  <c r="Q2487" i="2"/>
  <c r="P2487" i="2"/>
  <c r="U2486" i="2"/>
  <c r="S2486" i="2"/>
  <c r="V2486" i="2" s="1" a="1"/>
  <c r="V2486" i="2" s="1"/>
  <c r="R2486" i="2"/>
  <c r="Q2486" i="2"/>
  <c r="P2486" i="2"/>
  <c r="U2485" i="2"/>
  <c r="S2485" i="2"/>
  <c r="R2485" i="2"/>
  <c r="Q2485" i="2"/>
  <c r="P2485" i="2"/>
  <c r="V2484" i="2" a="1"/>
  <c r="V2484" i="2" s="1"/>
  <c r="U2484" i="2"/>
  <c r="S2484" i="2"/>
  <c r="R2484" i="2"/>
  <c r="Q2484" i="2"/>
  <c r="P2484" i="2"/>
  <c r="V2483" i="2"/>
  <c r="V2483" i="2" a="1"/>
  <c r="U2483" i="2"/>
  <c r="S2483" i="2"/>
  <c r="R2483" i="2"/>
  <c r="Q2483" i="2"/>
  <c r="P2483" i="2"/>
  <c r="V2482" i="2"/>
  <c r="V2482" i="2" a="1"/>
  <c r="U2482" i="2"/>
  <c r="S2482" i="2"/>
  <c r="R2482" i="2"/>
  <c r="Q2482" i="2"/>
  <c r="P2482" i="2"/>
  <c r="V2481" i="2" a="1"/>
  <c r="V2481" i="2" s="1"/>
  <c r="U2481" i="2"/>
  <c r="S2481" i="2"/>
  <c r="R2481" i="2"/>
  <c r="Q2481" i="2"/>
  <c r="P2481" i="2"/>
  <c r="U2480" i="2"/>
  <c r="S2480" i="2"/>
  <c r="R2480" i="2"/>
  <c r="Q2480" i="2"/>
  <c r="P2480" i="2"/>
  <c r="U2479" i="2"/>
  <c r="S2479" i="2"/>
  <c r="V2479" i="2" s="1" a="1"/>
  <c r="V2479" i="2" s="1"/>
  <c r="R2479" i="2"/>
  <c r="Q2479" i="2"/>
  <c r="P2479" i="2"/>
  <c r="U2478" i="2"/>
  <c r="S2478" i="2"/>
  <c r="V2478" i="2" s="1" a="1"/>
  <c r="V2478" i="2" s="1"/>
  <c r="R2478" i="2"/>
  <c r="Q2478" i="2"/>
  <c r="P2478" i="2"/>
  <c r="U2477" i="2"/>
  <c r="S2477" i="2"/>
  <c r="V2477" i="2" s="1" a="1"/>
  <c r="V2477" i="2" s="1"/>
  <c r="R2477" i="2"/>
  <c r="Q2477" i="2"/>
  <c r="P2477" i="2"/>
  <c r="V2476" i="2" a="1"/>
  <c r="V2476" i="2" s="1"/>
  <c r="U2476" i="2"/>
  <c r="S2476" i="2"/>
  <c r="R2476" i="2"/>
  <c r="Q2476" i="2"/>
  <c r="P2476" i="2"/>
  <c r="V2475" i="2" a="1"/>
  <c r="V2475" i="2" s="1"/>
  <c r="U2475" i="2"/>
  <c r="S2475" i="2"/>
  <c r="R2475" i="2"/>
  <c r="Q2475" i="2"/>
  <c r="P2475" i="2"/>
  <c r="V2474" i="2" a="1"/>
  <c r="V2474" i="2" s="1"/>
  <c r="U2474" i="2"/>
  <c r="S2474" i="2"/>
  <c r="R2474" i="2"/>
  <c r="Q2474" i="2"/>
  <c r="P2474" i="2"/>
  <c r="V2473" i="2" a="1"/>
  <c r="V2473" i="2" s="1"/>
  <c r="U2473" i="2"/>
  <c r="S2473" i="2"/>
  <c r="R2473" i="2"/>
  <c r="Q2473" i="2"/>
  <c r="P2473" i="2"/>
  <c r="U2472" i="2"/>
  <c r="S2472" i="2"/>
  <c r="R2472" i="2"/>
  <c r="Q2472" i="2"/>
  <c r="P2472" i="2"/>
  <c r="U2471" i="2"/>
  <c r="S2471" i="2"/>
  <c r="V2471" i="2" s="1" a="1"/>
  <c r="V2471" i="2" s="1"/>
  <c r="R2471" i="2"/>
  <c r="Q2471" i="2"/>
  <c r="P2471" i="2"/>
  <c r="U2470" i="2"/>
  <c r="S2470" i="2"/>
  <c r="V2470" i="2" s="1" a="1"/>
  <c r="V2470" i="2" s="1"/>
  <c r="R2470" i="2"/>
  <c r="Q2470" i="2"/>
  <c r="P2470" i="2"/>
  <c r="U2469" i="2"/>
  <c r="S2469" i="2"/>
  <c r="V2469" i="2" s="1" a="1"/>
  <c r="V2469" i="2" s="1"/>
  <c r="R2469" i="2"/>
  <c r="Q2469" i="2"/>
  <c r="P2469" i="2"/>
  <c r="V2468" i="2" a="1"/>
  <c r="V2468" i="2" s="1"/>
  <c r="U2468" i="2"/>
  <c r="S2468" i="2"/>
  <c r="R2468" i="2"/>
  <c r="Q2468" i="2"/>
  <c r="P2468" i="2"/>
  <c r="V2467" i="2" a="1"/>
  <c r="V2467" i="2" s="1"/>
  <c r="U2467" i="2"/>
  <c r="S2467" i="2"/>
  <c r="R2467" i="2"/>
  <c r="Q2467" i="2"/>
  <c r="P2467" i="2"/>
  <c r="V2466" i="2"/>
  <c r="V2466" i="2" a="1"/>
  <c r="U2466" i="2"/>
  <c r="S2466" i="2"/>
  <c r="R2466" i="2"/>
  <c r="Q2466" i="2"/>
  <c r="P2466" i="2"/>
  <c r="V2465" i="2" a="1"/>
  <c r="V2465" i="2" s="1"/>
  <c r="U2465" i="2"/>
  <c r="S2465" i="2"/>
  <c r="R2465" i="2"/>
  <c r="Q2465" i="2"/>
  <c r="P2465" i="2"/>
  <c r="U2464" i="2"/>
  <c r="S2464" i="2"/>
  <c r="R2464" i="2"/>
  <c r="Q2464" i="2"/>
  <c r="P2464" i="2"/>
  <c r="U2463" i="2"/>
  <c r="S2463" i="2"/>
  <c r="V2463" i="2" s="1" a="1"/>
  <c r="V2463" i="2" s="1"/>
  <c r="R2463" i="2"/>
  <c r="Q2463" i="2"/>
  <c r="P2463" i="2"/>
  <c r="U2462" i="2"/>
  <c r="S2462" i="2"/>
  <c r="V2462" i="2" s="1" a="1"/>
  <c r="V2462" i="2" s="1"/>
  <c r="R2462" i="2"/>
  <c r="Q2462" i="2"/>
  <c r="P2462" i="2"/>
  <c r="U2461" i="2"/>
  <c r="S2461" i="2"/>
  <c r="V2461" i="2" s="1" a="1"/>
  <c r="V2461" i="2" s="1"/>
  <c r="R2461" i="2"/>
  <c r="Q2461" i="2"/>
  <c r="P2461" i="2"/>
  <c r="V2460" i="2" a="1"/>
  <c r="V2460" i="2" s="1"/>
  <c r="U2460" i="2"/>
  <c r="S2460" i="2"/>
  <c r="R2460" i="2"/>
  <c r="Q2460" i="2"/>
  <c r="P2460" i="2"/>
  <c r="V2459" i="2"/>
  <c r="V2459" i="2" a="1"/>
  <c r="U2459" i="2"/>
  <c r="S2459" i="2"/>
  <c r="R2459" i="2"/>
  <c r="Q2459" i="2"/>
  <c r="P2459" i="2"/>
  <c r="V2458" i="2" a="1"/>
  <c r="V2458" i="2" s="1"/>
  <c r="U2458" i="2"/>
  <c r="S2458" i="2"/>
  <c r="R2458" i="2"/>
  <c r="Q2458" i="2"/>
  <c r="P2458" i="2"/>
  <c r="V2457" i="2"/>
  <c r="V2457" i="2" a="1"/>
  <c r="U2457" i="2"/>
  <c r="S2457" i="2"/>
  <c r="R2457" i="2"/>
  <c r="Q2457" i="2"/>
  <c r="P2457" i="2"/>
  <c r="U2456" i="2"/>
  <c r="S2456" i="2"/>
  <c r="R2456" i="2"/>
  <c r="Q2456" i="2"/>
  <c r="P2456" i="2"/>
  <c r="U2455" i="2"/>
  <c r="S2455" i="2"/>
  <c r="V2455" i="2" s="1" a="1"/>
  <c r="V2455" i="2" s="1"/>
  <c r="R2455" i="2"/>
  <c r="Q2455" i="2"/>
  <c r="P2455" i="2"/>
  <c r="U2454" i="2"/>
  <c r="S2454" i="2"/>
  <c r="R2454" i="2"/>
  <c r="Q2454" i="2"/>
  <c r="P2454" i="2"/>
  <c r="U2453" i="2"/>
  <c r="S2453" i="2"/>
  <c r="V2453" i="2" s="1" a="1"/>
  <c r="V2453" i="2" s="1"/>
  <c r="R2453" i="2"/>
  <c r="Q2453" i="2"/>
  <c r="P2453" i="2"/>
  <c r="V2452" i="2" a="1"/>
  <c r="V2452" i="2" s="1"/>
  <c r="U2452" i="2"/>
  <c r="S2452" i="2"/>
  <c r="R2452" i="2"/>
  <c r="Q2452" i="2"/>
  <c r="P2452" i="2"/>
  <c r="V2451" i="2" a="1"/>
  <c r="V2451" i="2" s="1"/>
  <c r="U2451" i="2"/>
  <c r="S2451" i="2"/>
  <c r="R2451" i="2"/>
  <c r="Q2451" i="2"/>
  <c r="P2451" i="2"/>
  <c r="V2450" i="2"/>
  <c r="V2450" i="2" a="1"/>
  <c r="U2450" i="2"/>
  <c r="S2450" i="2"/>
  <c r="R2450" i="2"/>
  <c r="Q2450" i="2"/>
  <c r="P2450" i="2"/>
  <c r="V2449" i="2" a="1"/>
  <c r="V2449" i="2" s="1"/>
  <c r="U2449" i="2"/>
  <c r="S2449" i="2"/>
  <c r="R2449" i="2"/>
  <c r="Q2449" i="2"/>
  <c r="P2449" i="2"/>
  <c r="U2448" i="2"/>
  <c r="S2448" i="2"/>
  <c r="R2448" i="2"/>
  <c r="Q2448" i="2"/>
  <c r="P2448" i="2"/>
  <c r="U2447" i="2"/>
  <c r="S2447" i="2"/>
  <c r="V2447" i="2" s="1" a="1"/>
  <c r="V2447" i="2" s="1"/>
  <c r="R2447" i="2"/>
  <c r="Q2447" i="2"/>
  <c r="P2447" i="2"/>
  <c r="U2446" i="2"/>
  <c r="S2446" i="2"/>
  <c r="V2446" i="2" s="1" a="1"/>
  <c r="V2446" i="2" s="1"/>
  <c r="R2446" i="2"/>
  <c r="Q2446" i="2"/>
  <c r="P2446" i="2"/>
  <c r="U2445" i="2"/>
  <c r="S2445" i="2"/>
  <c r="V2445" i="2" s="1" a="1"/>
  <c r="V2445" i="2" s="1"/>
  <c r="R2445" i="2"/>
  <c r="Q2445" i="2"/>
  <c r="P2445" i="2"/>
  <c r="V2444" i="2" a="1"/>
  <c r="V2444" i="2" s="1"/>
  <c r="U2444" i="2"/>
  <c r="S2444" i="2"/>
  <c r="R2444" i="2"/>
  <c r="Q2444" i="2"/>
  <c r="P2444" i="2"/>
  <c r="V2443" i="2" a="1"/>
  <c r="V2443" i="2" s="1"/>
  <c r="U2443" i="2"/>
  <c r="S2443" i="2"/>
  <c r="R2443" i="2"/>
  <c r="Q2443" i="2"/>
  <c r="P2443" i="2"/>
  <c r="V2442" i="2" a="1"/>
  <c r="V2442" i="2" s="1"/>
  <c r="U2442" i="2"/>
  <c r="S2442" i="2"/>
  <c r="R2442" i="2"/>
  <c r="Q2442" i="2"/>
  <c r="P2442" i="2"/>
  <c r="V2441" i="2" a="1"/>
  <c r="V2441" i="2" s="1"/>
  <c r="U2441" i="2"/>
  <c r="S2441" i="2"/>
  <c r="R2441" i="2"/>
  <c r="Q2441" i="2"/>
  <c r="P2441" i="2"/>
  <c r="V2440" i="2" a="1"/>
  <c r="V2440" i="2" s="1"/>
  <c r="U2440" i="2"/>
  <c r="S2440" i="2"/>
  <c r="R2440" i="2"/>
  <c r="Q2440" i="2"/>
  <c r="P2440" i="2"/>
  <c r="U2439" i="2"/>
  <c r="S2439" i="2"/>
  <c r="V2439" i="2" s="1" a="1"/>
  <c r="V2439" i="2" s="1"/>
  <c r="R2439" i="2"/>
  <c r="Q2439" i="2"/>
  <c r="P2439" i="2"/>
  <c r="U2438" i="2"/>
  <c r="S2438" i="2"/>
  <c r="R2438" i="2"/>
  <c r="Q2438" i="2"/>
  <c r="P2438" i="2"/>
  <c r="U2437" i="2"/>
  <c r="S2437" i="2"/>
  <c r="V2437" i="2" s="1" a="1"/>
  <c r="V2437" i="2" s="1"/>
  <c r="R2437" i="2"/>
  <c r="Q2437" i="2"/>
  <c r="P2437" i="2"/>
  <c r="V2436" i="2" a="1"/>
  <c r="V2436" i="2" s="1"/>
  <c r="U2436" i="2"/>
  <c r="S2436" i="2"/>
  <c r="R2436" i="2"/>
  <c r="Q2436" i="2"/>
  <c r="P2436" i="2"/>
  <c r="V2435" i="2" a="1"/>
  <c r="V2435" i="2" s="1"/>
  <c r="U2435" i="2"/>
  <c r="S2435" i="2"/>
  <c r="R2435" i="2"/>
  <c r="Q2435" i="2"/>
  <c r="P2435" i="2"/>
  <c r="U2434" i="2"/>
  <c r="S2434" i="2"/>
  <c r="R2434" i="2"/>
  <c r="Q2434" i="2"/>
  <c r="P2434" i="2"/>
  <c r="V2433" i="2"/>
  <c r="V2433" i="2" a="1"/>
  <c r="U2433" i="2"/>
  <c r="S2433" i="2"/>
  <c r="R2433" i="2"/>
  <c r="Q2433" i="2"/>
  <c r="P2433" i="2"/>
  <c r="U2432" i="2"/>
  <c r="S2432" i="2"/>
  <c r="R2432" i="2"/>
  <c r="Q2432" i="2"/>
  <c r="P2432" i="2"/>
  <c r="V2431" i="2"/>
  <c r="U2431" i="2"/>
  <c r="S2431" i="2"/>
  <c r="V2431" i="2" s="1" a="1"/>
  <c r="R2431" i="2"/>
  <c r="Q2431" i="2"/>
  <c r="P2431" i="2"/>
  <c r="V2430" i="2" a="1"/>
  <c r="V2430" i="2" s="1"/>
  <c r="U2430" i="2"/>
  <c r="S2430" i="2"/>
  <c r="R2430" i="2"/>
  <c r="Q2430" i="2"/>
  <c r="P2430" i="2"/>
  <c r="V2429" i="2"/>
  <c r="U2429" i="2"/>
  <c r="S2429" i="2"/>
  <c r="V2429" i="2" s="1" a="1"/>
  <c r="R2429" i="2"/>
  <c r="Q2429" i="2"/>
  <c r="P2429" i="2"/>
  <c r="V2428" i="2" a="1"/>
  <c r="V2428" i="2" s="1"/>
  <c r="U2428" i="2"/>
  <c r="S2428" i="2"/>
  <c r="R2428" i="2"/>
  <c r="Q2428" i="2"/>
  <c r="P2428" i="2"/>
  <c r="V2427" i="2" a="1"/>
  <c r="V2427" i="2" s="1"/>
  <c r="U2427" i="2"/>
  <c r="S2427" i="2"/>
  <c r="R2427" i="2"/>
  <c r="Q2427" i="2"/>
  <c r="P2427" i="2"/>
  <c r="U2426" i="2"/>
  <c r="S2426" i="2"/>
  <c r="R2426" i="2"/>
  <c r="Q2426" i="2"/>
  <c r="P2426" i="2"/>
  <c r="V2425" i="2"/>
  <c r="V2425" i="2" a="1"/>
  <c r="U2425" i="2"/>
  <c r="S2425" i="2"/>
  <c r="R2425" i="2"/>
  <c r="Q2425" i="2"/>
  <c r="P2425" i="2"/>
  <c r="U2424" i="2"/>
  <c r="S2424" i="2"/>
  <c r="R2424" i="2"/>
  <c r="Q2424" i="2"/>
  <c r="P2424" i="2"/>
  <c r="V2423" i="2"/>
  <c r="U2423" i="2"/>
  <c r="S2423" i="2"/>
  <c r="V2423" i="2" s="1" a="1"/>
  <c r="R2423" i="2"/>
  <c r="Q2423" i="2"/>
  <c r="P2423" i="2"/>
  <c r="U2422" i="2"/>
  <c r="S2422" i="2"/>
  <c r="V2422" i="2" s="1" a="1"/>
  <c r="V2422" i="2" s="1"/>
  <c r="R2422" i="2"/>
  <c r="Q2422" i="2"/>
  <c r="P2422" i="2"/>
  <c r="U2421" i="2"/>
  <c r="S2421" i="2"/>
  <c r="V2421" i="2" s="1" a="1"/>
  <c r="V2421" i="2" s="1"/>
  <c r="R2421" i="2"/>
  <c r="Q2421" i="2"/>
  <c r="P2421" i="2"/>
  <c r="U2420" i="2"/>
  <c r="S2420" i="2"/>
  <c r="V2420" i="2" s="1" a="1"/>
  <c r="V2420" i="2" s="1"/>
  <c r="R2420" i="2"/>
  <c r="Q2420" i="2"/>
  <c r="P2420" i="2"/>
  <c r="V2419" i="2" a="1"/>
  <c r="V2419" i="2" s="1"/>
  <c r="U2419" i="2"/>
  <c r="S2419" i="2"/>
  <c r="R2419" i="2"/>
  <c r="Q2419" i="2"/>
  <c r="P2419" i="2"/>
  <c r="U2418" i="2"/>
  <c r="S2418" i="2"/>
  <c r="R2418" i="2"/>
  <c r="Q2418" i="2"/>
  <c r="P2418" i="2"/>
  <c r="V2417" i="2"/>
  <c r="V2417" i="2" a="1"/>
  <c r="U2417" i="2"/>
  <c r="S2417" i="2"/>
  <c r="R2417" i="2"/>
  <c r="Q2417" i="2"/>
  <c r="P2417" i="2"/>
  <c r="U2416" i="2"/>
  <c r="S2416" i="2"/>
  <c r="R2416" i="2"/>
  <c r="Q2416" i="2"/>
  <c r="P2416" i="2"/>
  <c r="U2415" i="2"/>
  <c r="S2415" i="2"/>
  <c r="V2415" i="2" s="1" a="1"/>
  <c r="V2415" i="2" s="1"/>
  <c r="R2415" i="2"/>
  <c r="Q2415" i="2"/>
  <c r="P2415" i="2"/>
  <c r="U2414" i="2"/>
  <c r="S2414" i="2"/>
  <c r="V2414" i="2" s="1" a="1"/>
  <c r="V2414" i="2" s="1"/>
  <c r="R2414" i="2"/>
  <c r="Q2414" i="2"/>
  <c r="P2414" i="2"/>
  <c r="U2413" i="2"/>
  <c r="S2413" i="2"/>
  <c r="V2413" i="2" s="1" a="1"/>
  <c r="V2413" i="2" s="1"/>
  <c r="R2413" i="2"/>
  <c r="Q2413" i="2"/>
  <c r="P2413" i="2"/>
  <c r="U2412" i="2"/>
  <c r="S2412" i="2"/>
  <c r="V2412" i="2" s="1" a="1"/>
  <c r="V2412" i="2" s="1"/>
  <c r="R2412" i="2"/>
  <c r="Q2412" i="2"/>
  <c r="P2412" i="2"/>
  <c r="V2411" i="2" a="1"/>
  <c r="V2411" i="2" s="1"/>
  <c r="U2411" i="2"/>
  <c r="S2411" i="2"/>
  <c r="R2411" i="2"/>
  <c r="Q2411" i="2"/>
  <c r="P2411" i="2"/>
  <c r="U2410" i="2"/>
  <c r="S2410" i="2"/>
  <c r="R2410" i="2"/>
  <c r="Q2410" i="2"/>
  <c r="P2410" i="2"/>
  <c r="V2409" i="2"/>
  <c r="V2409" i="2" a="1"/>
  <c r="U2409" i="2"/>
  <c r="S2409" i="2"/>
  <c r="R2409" i="2"/>
  <c r="Q2409" i="2"/>
  <c r="P2409" i="2"/>
  <c r="U2408" i="2"/>
  <c r="S2408" i="2"/>
  <c r="R2408" i="2"/>
  <c r="Q2408" i="2"/>
  <c r="P2408" i="2"/>
  <c r="U2407" i="2"/>
  <c r="S2407" i="2"/>
  <c r="V2407" i="2" s="1" a="1"/>
  <c r="V2407" i="2" s="1"/>
  <c r="R2407" i="2"/>
  <c r="Q2407" i="2"/>
  <c r="P2407" i="2"/>
  <c r="U2406" i="2"/>
  <c r="S2406" i="2"/>
  <c r="V2406" i="2" s="1" a="1"/>
  <c r="V2406" i="2" s="1"/>
  <c r="R2406" i="2"/>
  <c r="Q2406" i="2"/>
  <c r="P2406" i="2"/>
  <c r="U2405" i="2"/>
  <c r="S2405" i="2"/>
  <c r="V2405" i="2" s="1" a="1"/>
  <c r="V2405" i="2" s="1"/>
  <c r="R2405" i="2"/>
  <c r="Q2405" i="2"/>
  <c r="P2405" i="2"/>
  <c r="U2404" i="2"/>
  <c r="S2404" i="2"/>
  <c r="V2404" i="2" s="1" a="1"/>
  <c r="V2404" i="2" s="1"/>
  <c r="R2404" i="2"/>
  <c r="Q2404" i="2"/>
  <c r="P2404" i="2"/>
  <c r="V2403" i="2" a="1"/>
  <c r="V2403" i="2" s="1"/>
  <c r="U2403" i="2"/>
  <c r="S2403" i="2"/>
  <c r="R2403" i="2"/>
  <c r="Q2403" i="2"/>
  <c r="P2403" i="2"/>
  <c r="U2402" i="2"/>
  <c r="S2402" i="2"/>
  <c r="R2402" i="2"/>
  <c r="Q2402" i="2"/>
  <c r="P2402" i="2"/>
  <c r="V2401" i="2"/>
  <c r="V2401" i="2" a="1"/>
  <c r="U2401" i="2"/>
  <c r="S2401" i="2"/>
  <c r="R2401" i="2"/>
  <c r="Q2401" i="2"/>
  <c r="P2401" i="2"/>
  <c r="U2400" i="2"/>
  <c r="S2400" i="2"/>
  <c r="R2400" i="2"/>
  <c r="Q2400" i="2"/>
  <c r="P2400" i="2"/>
  <c r="U2399" i="2"/>
  <c r="S2399" i="2"/>
  <c r="V2399" i="2" s="1" a="1"/>
  <c r="V2399" i="2" s="1"/>
  <c r="R2399" i="2"/>
  <c r="Q2399" i="2"/>
  <c r="P2399" i="2"/>
  <c r="U2398" i="2"/>
  <c r="S2398" i="2"/>
  <c r="V2398" i="2" s="1" a="1"/>
  <c r="V2398" i="2" s="1"/>
  <c r="R2398" i="2"/>
  <c r="Q2398" i="2"/>
  <c r="P2398" i="2"/>
  <c r="U2397" i="2"/>
  <c r="S2397" i="2"/>
  <c r="V2397" i="2" s="1" a="1"/>
  <c r="V2397" i="2" s="1"/>
  <c r="R2397" i="2"/>
  <c r="Q2397" i="2"/>
  <c r="P2397" i="2"/>
  <c r="U2396" i="2"/>
  <c r="S2396" i="2"/>
  <c r="V2396" i="2" s="1" a="1"/>
  <c r="V2396" i="2" s="1"/>
  <c r="R2396" i="2"/>
  <c r="Q2396" i="2"/>
  <c r="P2396" i="2"/>
  <c r="V2395" i="2" a="1"/>
  <c r="V2395" i="2" s="1"/>
  <c r="U2395" i="2"/>
  <c r="S2395" i="2"/>
  <c r="R2395" i="2"/>
  <c r="Q2395" i="2"/>
  <c r="P2395" i="2"/>
  <c r="U2394" i="2"/>
  <c r="S2394" i="2"/>
  <c r="R2394" i="2"/>
  <c r="Q2394" i="2"/>
  <c r="P2394" i="2"/>
  <c r="U2393" i="2"/>
  <c r="S2393" i="2"/>
  <c r="R2393" i="2"/>
  <c r="Q2393" i="2"/>
  <c r="P2393" i="2"/>
  <c r="U2392" i="2"/>
  <c r="S2392" i="2"/>
  <c r="V2392" i="2" s="1" a="1"/>
  <c r="V2392" i="2" s="1"/>
  <c r="R2392" i="2"/>
  <c r="Q2392" i="2"/>
  <c r="P2392" i="2"/>
  <c r="U2391" i="2"/>
  <c r="S2391" i="2"/>
  <c r="V2391" i="2" s="1" a="1"/>
  <c r="V2391" i="2" s="1"/>
  <c r="R2391" i="2"/>
  <c r="Q2391" i="2"/>
  <c r="P2391" i="2"/>
  <c r="U2390" i="2"/>
  <c r="S2390" i="2"/>
  <c r="V2390" i="2" s="1" a="1"/>
  <c r="V2390" i="2" s="1"/>
  <c r="R2390" i="2"/>
  <c r="Q2390" i="2"/>
  <c r="P2390" i="2"/>
  <c r="U2389" i="2"/>
  <c r="S2389" i="2"/>
  <c r="V2389" i="2" s="1" a="1"/>
  <c r="V2389" i="2" s="1"/>
  <c r="R2389" i="2"/>
  <c r="Q2389" i="2"/>
  <c r="P2389" i="2"/>
  <c r="V2388" i="2" a="1"/>
  <c r="V2388" i="2" s="1"/>
  <c r="U2388" i="2"/>
  <c r="S2388" i="2"/>
  <c r="R2388" i="2"/>
  <c r="Q2388" i="2"/>
  <c r="P2388" i="2"/>
  <c r="V2387" i="2" a="1"/>
  <c r="V2387" i="2" s="1"/>
  <c r="U2387" i="2"/>
  <c r="S2387" i="2"/>
  <c r="R2387" i="2"/>
  <c r="Q2387" i="2"/>
  <c r="P2387" i="2"/>
  <c r="V2386" i="2"/>
  <c r="V2386" i="2" a="1"/>
  <c r="U2386" i="2"/>
  <c r="S2386" i="2"/>
  <c r="R2386" i="2"/>
  <c r="Q2386" i="2"/>
  <c r="P2386" i="2"/>
  <c r="V2385" i="2"/>
  <c r="V2385" i="2" a="1"/>
  <c r="U2385" i="2"/>
  <c r="S2385" i="2"/>
  <c r="R2385" i="2"/>
  <c r="Q2385" i="2"/>
  <c r="P2385" i="2"/>
  <c r="V2384" i="2"/>
  <c r="V2384" i="2" a="1"/>
  <c r="U2384" i="2"/>
  <c r="S2384" i="2"/>
  <c r="R2384" i="2"/>
  <c r="Q2384" i="2"/>
  <c r="P2384" i="2"/>
  <c r="V2383" i="2"/>
  <c r="U2383" i="2"/>
  <c r="S2383" i="2"/>
  <c r="V2383" i="2" s="1" a="1"/>
  <c r="R2383" i="2"/>
  <c r="Q2383" i="2"/>
  <c r="P2383" i="2"/>
  <c r="V2382" i="2" a="1"/>
  <c r="V2382" i="2" s="1"/>
  <c r="U2382" i="2"/>
  <c r="S2382" i="2"/>
  <c r="R2382" i="2"/>
  <c r="Q2382" i="2"/>
  <c r="P2382" i="2"/>
  <c r="V2381" i="2"/>
  <c r="V2381" i="2" a="1"/>
  <c r="U2381" i="2"/>
  <c r="S2381" i="2"/>
  <c r="R2381" i="2"/>
  <c r="Q2381" i="2"/>
  <c r="P2381" i="2"/>
  <c r="U2380" i="2"/>
  <c r="S2380" i="2"/>
  <c r="V2380" i="2" s="1" a="1"/>
  <c r="V2380" i="2" s="1"/>
  <c r="R2380" i="2"/>
  <c r="Q2380" i="2"/>
  <c r="P2380" i="2"/>
  <c r="V2379" i="2" a="1"/>
  <c r="V2379" i="2" s="1"/>
  <c r="U2379" i="2"/>
  <c r="S2379" i="2"/>
  <c r="R2379" i="2"/>
  <c r="Q2379" i="2"/>
  <c r="P2379" i="2"/>
  <c r="U2378" i="2"/>
  <c r="S2378" i="2"/>
  <c r="R2378" i="2"/>
  <c r="Q2378" i="2"/>
  <c r="P2378" i="2"/>
  <c r="U2377" i="2"/>
  <c r="S2377" i="2"/>
  <c r="R2377" i="2"/>
  <c r="Q2377" i="2"/>
  <c r="P2377" i="2"/>
  <c r="U2376" i="2"/>
  <c r="S2376" i="2"/>
  <c r="V2376" i="2" s="1" a="1"/>
  <c r="V2376" i="2" s="1"/>
  <c r="R2376" i="2"/>
  <c r="Q2376" i="2"/>
  <c r="P2376" i="2"/>
  <c r="U2375" i="2"/>
  <c r="S2375" i="2"/>
  <c r="V2375" i="2" s="1" a="1"/>
  <c r="V2375" i="2" s="1"/>
  <c r="R2375" i="2"/>
  <c r="Q2375" i="2"/>
  <c r="P2375" i="2"/>
  <c r="U2374" i="2"/>
  <c r="S2374" i="2"/>
  <c r="V2374" i="2" s="1" a="1"/>
  <c r="V2374" i="2" s="1"/>
  <c r="R2374" i="2"/>
  <c r="Q2374" i="2"/>
  <c r="P2374" i="2"/>
  <c r="U2373" i="2"/>
  <c r="S2373" i="2"/>
  <c r="V2373" i="2" s="1" a="1"/>
  <c r="V2373" i="2" s="1"/>
  <c r="R2373" i="2"/>
  <c r="Q2373" i="2"/>
  <c r="P2373" i="2"/>
  <c r="V2372" i="2" a="1"/>
  <c r="V2372" i="2" s="1"/>
  <c r="U2372" i="2"/>
  <c r="S2372" i="2"/>
  <c r="R2372" i="2"/>
  <c r="Q2372" i="2"/>
  <c r="P2372" i="2"/>
  <c r="V2371" i="2" a="1"/>
  <c r="V2371" i="2" s="1"/>
  <c r="U2371" i="2"/>
  <c r="S2371" i="2"/>
  <c r="R2371" i="2"/>
  <c r="Q2371" i="2"/>
  <c r="P2371" i="2"/>
  <c r="V2370" i="2"/>
  <c r="V2370" i="2" a="1"/>
  <c r="U2370" i="2"/>
  <c r="S2370" i="2"/>
  <c r="R2370" i="2"/>
  <c r="Q2370" i="2"/>
  <c r="P2370" i="2"/>
  <c r="V2369" i="2"/>
  <c r="V2369" i="2" a="1"/>
  <c r="U2369" i="2"/>
  <c r="S2369" i="2"/>
  <c r="R2369" i="2"/>
  <c r="Q2369" i="2"/>
  <c r="P2369" i="2"/>
  <c r="U2368" i="2"/>
  <c r="S2368" i="2"/>
  <c r="V2368" i="2" s="1" a="1"/>
  <c r="V2368" i="2" s="1"/>
  <c r="R2368" i="2"/>
  <c r="Q2368" i="2"/>
  <c r="P2368" i="2"/>
  <c r="U2367" i="2"/>
  <c r="S2367" i="2"/>
  <c r="R2367" i="2"/>
  <c r="Q2367" i="2"/>
  <c r="P2367" i="2"/>
  <c r="U2366" i="2"/>
  <c r="S2366" i="2"/>
  <c r="V2366" i="2" s="1" a="1"/>
  <c r="V2366" i="2" s="1"/>
  <c r="R2366" i="2"/>
  <c r="Q2366" i="2"/>
  <c r="P2366" i="2"/>
  <c r="U2365" i="2"/>
  <c r="S2365" i="2"/>
  <c r="V2365" i="2" s="1" a="1"/>
  <c r="V2365" i="2" s="1"/>
  <c r="R2365" i="2"/>
  <c r="Q2365" i="2"/>
  <c r="P2365" i="2"/>
  <c r="V2364" i="2" a="1"/>
  <c r="V2364" i="2" s="1"/>
  <c r="U2364" i="2"/>
  <c r="S2364" i="2"/>
  <c r="R2364" i="2"/>
  <c r="Q2364" i="2"/>
  <c r="P2364" i="2"/>
  <c r="V2363" i="2" a="1"/>
  <c r="V2363" i="2" s="1"/>
  <c r="U2363" i="2"/>
  <c r="S2363" i="2"/>
  <c r="R2363" i="2"/>
  <c r="Q2363" i="2"/>
  <c r="P2363" i="2"/>
  <c r="V2362" i="2"/>
  <c r="V2362" i="2" a="1"/>
  <c r="U2362" i="2"/>
  <c r="S2362" i="2"/>
  <c r="R2362" i="2"/>
  <c r="Q2362" i="2"/>
  <c r="P2362" i="2"/>
  <c r="V2361" i="2"/>
  <c r="V2361" i="2" a="1"/>
  <c r="U2361" i="2"/>
  <c r="S2361" i="2"/>
  <c r="R2361" i="2"/>
  <c r="Q2361" i="2"/>
  <c r="P2361" i="2"/>
  <c r="U2360" i="2"/>
  <c r="S2360" i="2"/>
  <c r="V2360" i="2" s="1" a="1"/>
  <c r="V2360" i="2" s="1"/>
  <c r="R2360" i="2"/>
  <c r="Q2360" i="2"/>
  <c r="P2360" i="2"/>
  <c r="U2359" i="2"/>
  <c r="S2359" i="2"/>
  <c r="R2359" i="2"/>
  <c r="Q2359" i="2"/>
  <c r="P2359" i="2"/>
  <c r="U2358" i="2"/>
  <c r="S2358" i="2"/>
  <c r="V2358" i="2" s="1" a="1"/>
  <c r="V2358" i="2" s="1"/>
  <c r="R2358" i="2"/>
  <c r="Q2358" i="2"/>
  <c r="P2358" i="2"/>
  <c r="U2357" i="2"/>
  <c r="S2357" i="2"/>
  <c r="V2357" i="2" s="1" a="1"/>
  <c r="V2357" i="2" s="1"/>
  <c r="R2357" i="2"/>
  <c r="Q2357" i="2"/>
  <c r="P2357" i="2"/>
  <c r="V2356" i="2" a="1"/>
  <c r="V2356" i="2" s="1"/>
  <c r="U2356" i="2"/>
  <c r="S2356" i="2"/>
  <c r="R2356" i="2"/>
  <c r="Q2356" i="2"/>
  <c r="P2356" i="2"/>
  <c r="V2355" i="2" a="1"/>
  <c r="V2355" i="2" s="1"/>
  <c r="U2355" i="2"/>
  <c r="S2355" i="2"/>
  <c r="R2355" i="2"/>
  <c r="Q2355" i="2"/>
  <c r="P2355" i="2"/>
  <c r="V2354" i="2"/>
  <c r="V2354" i="2" a="1"/>
  <c r="U2354" i="2"/>
  <c r="S2354" i="2"/>
  <c r="R2354" i="2"/>
  <c r="Q2354" i="2"/>
  <c r="P2354" i="2"/>
  <c r="V2353" i="2"/>
  <c r="V2353" i="2" a="1"/>
  <c r="U2353" i="2"/>
  <c r="S2353" i="2"/>
  <c r="R2353" i="2"/>
  <c r="Q2353" i="2"/>
  <c r="P2353" i="2"/>
  <c r="U2352" i="2"/>
  <c r="S2352" i="2"/>
  <c r="V2352" i="2" s="1" a="1"/>
  <c r="V2352" i="2" s="1"/>
  <c r="R2352" i="2"/>
  <c r="Q2352" i="2"/>
  <c r="P2352" i="2"/>
  <c r="U2351" i="2"/>
  <c r="S2351" i="2"/>
  <c r="R2351" i="2"/>
  <c r="Q2351" i="2"/>
  <c r="P2351" i="2"/>
  <c r="U2350" i="2"/>
  <c r="S2350" i="2"/>
  <c r="V2350" i="2" s="1" a="1"/>
  <c r="V2350" i="2" s="1"/>
  <c r="R2350" i="2"/>
  <c r="Q2350" i="2"/>
  <c r="P2350" i="2"/>
  <c r="U2349" i="2"/>
  <c r="S2349" i="2"/>
  <c r="V2349" i="2" s="1" a="1"/>
  <c r="V2349" i="2" s="1"/>
  <c r="R2349" i="2"/>
  <c r="Q2349" i="2"/>
  <c r="P2349" i="2"/>
  <c r="V2348" i="2" a="1"/>
  <c r="V2348" i="2" s="1"/>
  <c r="U2348" i="2"/>
  <c r="S2348" i="2"/>
  <c r="R2348" i="2"/>
  <c r="Q2348" i="2"/>
  <c r="P2348" i="2"/>
  <c r="V2347" i="2" a="1"/>
  <c r="V2347" i="2" s="1"/>
  <c r="U2347" i="2"/>
  <c r="S2347" i="2"/>
  <c r="R2347" i="2"/>
  <c r="Q2347" i="2"/>
  <c r="P2347" i="2"/>
  <c r="V2346" i="2"/>
  <c r="V2346" i="2" a="1"/>
  <c r="U2346" i="2"/>
  <c r="S2346" i="2"/>
  <c r="R2346" i="2"/>
  <c r="Q2346" i="2"/>
  <c r="P2346" i="2"/>
  <c r="V2345" i="2"/>
  <c r="V2345" i="2" a="1"/>
  <c r="U2345" i="2"/>
  <c r="S2345" i="2"/>
  <c r="R2345" i="2"/>
  <c r="Q2345" i="2"/>
  <c r="P2345" i="2"/>
  <c r="U2344" i="2"/>
  <c r="S2344" i="2"/>
  <c r="V2344" i="2" s="1" a="1"/>
  <c r="V2344" i="2" s="1"/>
  <c r="R2344" i="2"/>
  <c r="Q2344" i="2"/>
  <c r="P2344" i="2"/>
  <c r="U2343" i="2"/>
  <c r="S2343" i="2"/>
  <c r="R2343" i="2"/>
  <c r="Q2343" i="2"/>
  <c r="P2343" i="2"/>
  <c r="U2342" i="2"/>
  <c r="S2342" i="2"/>
  <c r="V2342" i="2" s="1" a="1"/>
  <c r="V2342" i="2" s="1"/>
  <c r="R2342" i="2"/>
  <c r="Q2342" i="2"/>
  <c r="P2342" i="2"/>
  <c r="U2341" i="2"/>
  <c r="S2341" i="2"/>
  <c r="V2341" i="2" s="1" a="1"/>
  <c r="V2341" i="2" s="1"/>
  <c r="R2341" i="2"/>
  <c r="Q2341" i="2"/>
  <c r="P2341" i="2"/>
  <c r="V2340" i="2" a="1"/>
  <c r="V2340" i="2" s="1"/>
  <c r="U2340" i="2"/>
  <c r="S2340" i="2"/>
  <c r="R2340" i="2"/>
  <c r="Q2340" i="2"/>
  <c r="P2340" i="2"/>
  <c r="V2339" i="2" a="1"/>
  <c r="V2339" i="2" s="1"/>
  <c r="U2339" i="2"/>
  <c r="S2339" i="2"/>
  <c r="R2339" i="2"/>
  <c r="Q2339" i="2"/>
  <c r="P2339" i="2"/>
  <c r="V2338" i="2"/>
  <c r="V2338" i="2" a="1"/>
  <c r="U2338" i="2"/>
  <c r="S2338" i="2"/>
  <c r="R2338" i="2"/>
  <c r="Q2338" i="2"/>
  <c r="P2338" i="2"/>
  <c r="V2337" i="2"/>
  <c r="V2337" i="2" a="1"/>
  <c r="U2337" i="2"/>
  <c r="S2337" i="2"/>
  <c r="R2337" i="2"/>
  <c r="Q2337" i="2"/>
  <c r="P2337" i="2"/>
  <c r="U2336" i="2"/>
  <c r="S2336" i="2"/>
  <c r="V2336" i="2" s="1" a="1"/>
  <c r="V2336" i="2" s="1"/>
  <c r="R2336" i="2"/>
  <c r="Q2336" i="2"/>
  <c r="P2336" i="2"/>
  <c r="U2335" i="2"/>
  <c r="S2335" i="2"/>
  <c r="R2335" i="2"/>
  <c r="Q2335" i="2"/>
  <c r="P2335" i="2"/>
  <c r="U2334" i="2"/>
  <c r="S2334" i="2"/>
  <c r="V2334" i="2" s="1" a="1"/>
  <c r="V2334" i="2" s="1"/>
  <c r="R2334" i="2"/>
  <c r="Q2334" i="2"/>
  <c r="P2334" i="2"/>
  <c r="U2333" i="2"/>
  <c r="S2333" i="2"/>
  <c r="V2333" i="2" s="1" a="1"/>
  <c r="V2333" i="2" s="1"/>
  <c r="R2333" i="2"/>
  <c r="Q2333" i="2"/>
  <c r="P2333" i="2"/>
  <c r="V2332" i="2" a="1"/>
  <c r="V2332" i="2" s="1"/>
  <c r="U2332" i="2"/>
  <c r="S2332" i="2"/>
  <c r="R2332" i="2"/>
  <c r="Q2332" i="2"/>
  <c r="P2332" i="2"/>
  <c r="V2331" i="2" a="1"/>
  <c r="V2331" i="2" s="1"/>
  <c r="U2331" i="2"/>
  <c r="S2331" i="2"/>
  <c r="R2331" i="2"/>
  <c r="Q2331" i="2"/>
  <c r="P2331" i="2"/>
  <c r="V2330" i="2"/>
  <c r="V2330" i="2" a="1"/>
  <c r="U2330" i="2"/>
  <c r="S2330" i="2"/>
  <c r="R2330" i="2"/>
  <c r="Q2330" i="2"/>
  <c r="P2330" i="2"/>
  <c r="V2329" i="2"/>
  <c r="V2329" i="2" a="1"/>
  <c r="U2329" i="2"/>
  <c r="S2329" i="2"/>
  <c r="R2329" i="2"/>
  <c r="Q2329" i="2"/>
  <c r="P2329" i="2"/>
  <c r="U2328" i="2"/>
  <c r="S2328" i="2"/>
  <c r="V2328" i="2" s="1" a="1"/>
  <c r="V2328" i="2" s="1"/>
  <c r="R2328" i="2"/>
  <c r="Q2328" i="2"/>
  <c r="P2328" i="2"/>
  <c r="U2327" i="2"/>
  <c r="S2327" i="2"/>
  <c r="R2327" i="2"/>
  <c r="Q2327" i="2"/>
  <c r="P2327" i="2"/>
  <c r="U2326" i="2"/>
  <c r="S2326" i="2"/>
  <c r="V2326" i="2" s="1" a="1"/>
  <c r="V2326" i="2" s="1"/>
  <c r="R2326" i="2"/>
  <c r="Q2326" i="2"/>
  <c r="P2326" i="2"/>
  <c r="U2325" i="2"/>
  <c r="S2325" i="2"/>
  <c r="V2325" i="2" s="1" a="1"/>
  <c r="V2325" i="2" s="1"/>
  <c r="R2325" i="2"/>
  <c r="Q2325" i="2"/>
  <c r="P2325" i="2"/>
  <c r="V2324" i="2" a="1"/>
  <c r="V2324" i="2" s="1"/>
  <c r="U2324" i="2"/>
  <c r="S2324" i="2"/>
  <c r="R2324" i="2"/>
  <c r="Q2324" i="2"/>
  <c r="P2324" i="2"/>
  <c r="V2323" i="2" a="1"/>
  <c r="V2323" i="2" s="1"/>
  <c r="U2323" i="2"/>
  <c r="S2323" i="2"/>
  <c r="R2323" i="2"/>
  <c r="Q2323" i="2"/>
  <c r="P2323" i="2"/>
  <c r="V2322" i="2"/>
  <c r="V2322" i="2" a="1"/>
  <c r="U2322" i="2"/>
  <c r="S2322" i="2"/>
  <c r="R2322" i="2"/>
  <c r="Q2322" i="2"/>
  <c r="P2322" i="2"/>
  <c r="V2321" i="2"/>
  <c r="V2321" i="2" a="1"/>
  <c r="U2321" i="2"/>
  <c r="S2321" i="2"/>
  <c r="R2321" i="2"/>
  <c r="Q2321" i="2"/>
  <c r="P2321" i="2"/>
  <c r="U2320" i="2"/>
  <c r="S2320" i="2"/>
  <c r="V2320" i="2" s="1" a="1"/>
  <c r="V2320" i="2" s="1"/>
  <c r="R2320" i="2"/>
  <c r="Q2320" i="2"/>
  <c r="P2320" i="2"/>
  <c r="U2319" i="2"/>
  <c r="S2319" i="2"/>
  <c r="R2319" i="2"/>
  <c r="Q2319" i="2"/>
  <c r="P2319" i="2"/>
  <c r="U2318" i="2"/>
  <c r="S2318" i="2"/>
  <c r="V2318" i="2" s="1" a="1"/>
  <c r="V2318" i="2" s="1"/>
  <c r="R2318" i="2"/>
  <c r="Q2318" i="2"/>
  <c r="P2318" i="2"/>
  <c r="U2317" i="2"/>
  <c r="S2317" i="2"/>
  <c r="V2317" i="2" s="1" a="1"/>
  <c r="V2317" i="2" s="1"/>
  <c r="R2317" i="2"/>
  <c r="Q2317" i="2"/>
  <c r="P2317" i="2"/>
  <c r="V2316" i="2" a="1"/>
  <c r="V2316" i="2" s="1"/>
  <c r="U2316" i="2"/>
  <c r="S2316" i="2"/>
  <c r="R2316" i="2"/>
  <c r="Q2316" i="2"/>
  <c r="P2316" i="2"/>
  <c r="V2315" i="2" a="1"/>
  <c r="V2315" i="2" s="1"/>
  <c r="U2315" i="2"/>
  <c r="S2315" i="2"/>
  <c r="R2315" i="2"/>
  <c r="Q2315" i="2"/>
  <c r="P2315" i="2"/>
  <c r="V2314" i="2"/>
  <c r="V2314" i="2" a="1"/>
  <c r="U2314" i="2"/>
  <c r="S2314" i="2"/>
  <c r="R2314" i="2"/>
  <c r="Q2314" i="2"/>
  <c r="P2314" i="2"/>
  <c r="V2313" i="2"/>
  <c r="V2313" i="2" a="1"/>
  <c r="U2313" i="2"/>
  <c r="S2313" i="2"/>
  <c r="R2313" i="2"/>
  <c r="Q2313" i="2"/>
  <c r="P2313" i="2"/>
  <c r="U2312" i="2"/>
  <c r="S2312" i="2"/>
  <c r="V2312" i="2" s="1" a="1"/>
  <c r="V2312" i="2" s="1"/>
  <c r="R2312" i="2"/>
  <c r="Q2312" i="2"/>
  <c r="P2312" i="2"/>
  <c r="U2311" i="2"/>
  <c r="S2311" i="2"/>
  <c r="R2311" i="2"/>
  <c r="Q2311" i="2"/>
  <c r="P2311" i="2"/>
  <c r="U2310" i="2"/>
  <c r="S2310" i="2"/>
  <c r="V2310" i="2" s="1" a="1"/>
  <c r="V2310" i="2" s="1"/>
  <c r="R2310" i="2"/>
  <c r="Q2310" i="2"/>
  <c r="P2310" i="2"/>
  <c r="U2309" i="2"/>
  <c r="S2309" i="2"/>
  <c r="V2309" i="2" s="1" a="1"/>
  <c r="V2309" i="2" s="1"/>
  <c r="R2309" i="2"/>
  <c r="Q2309" i="2"/>
  <c r="P2309" i="2"/>
  <c r="V2308" i="2" a="1"/>
  <c r="V2308" i="2" s="1"/>
  <c r="U2308" i="2"/>
  <c r="S2308" i="2"/>
  <c r="R2308" i="2"/>
  <c r="Q2308" i="2"/>
  <c r="P2308" i="2"/>
  <c r="V2307" i="2" a="1"/>
  <c r="V2307" i="2" s="1"/>
  <c r="U2307" i="2"/>
  <c r="S2307" i="2"/>
  <c r="R2307" i="2"/>
  <c r="Q2307" i="2"/>
  <c r="P2307" i="2"/>
  <c r="V2306" i="2"/>
  <c r="V2306" i="2" a="1"/>
  <c r="U2306" i="2"/>
  <c r="S2306" i="2"/>
  <c r="R2306" i="2"/>
  <c r="Q2306" i="2"/>
  <c r="P2306" i="2"/>
  <c r="V2305" i="2"/>
  <c r="V2305" i="2" a="1"/>
  <c r="U2305" i="2"/>
  <c r="S2305" i="2"/>
  <c r="R2305" i="2"/>
  <c r="Q2305" i="2"/>
  <c r="P2305" i="2"/>
  <c r="U2304" i="2"/>
  <c r="S2304" i="2"/>
  <c r="V2304" i="2" s="1" a="1"/>
  <c r="V2304" i="2" s="1"/>
  <c r="R2304" i="2"/>
  <c r="Q2304" i="2"/>
  <c r="P2304" i="2"/>
  <c r="U2303" i="2"/>
  <c r="S2303" i="2"/>
  <c r="R2303" i="2"/>
  <c r="Q2303" i="2"/>
  <c r="P2303" i="2"/>
  <c r="U2302" i="2"/>
  <c r="S2302" i="2"/>
  <c r="V2302" i="2" s="1" a="1"/>
  <c r="V2302" i="2" s="1"/>
  <c r="R2302" i="2"/>
  <c r="Q2302" i="2"/>
  <c r="P2302" i="2"/>
  <c r="U2301" i="2"/>
  <c r="S2301" i="2"/>
  <c r="V2301" i="2" s="1" a="1"/>
  <c r="V2301" i="2" s="1"/>
  <c r="R2301" i="2"/>
  <c r="Q2301" i="2"/>
  <c r="P2301" i="2"/>
  <c r="V2300" i="2" a="1"/>
  <c r="V2300" i="2" s="1"/>
  <c r="U2300" i="2"/>
  <c r="S2300" i="2"/>
  <c r="R2300" i="2"/>
  <c r="Q2300" i="2"/>
  <c r="P2300" i="2"/>
  <c r="V2299" i="2" a="1"/>
  <c r="V2299" i="2" s="1"/>
  <c r="U2299" i="2"/>
  <c r="S2299" i="2"/>
  <c r="R2299" i="2"/>
  <c r="Q2299" i="2"/>
  <c r="P2299" i="2"/>
  <c r="V2298" i="2"/>
  <c r="V2298" i="2" a="1"/>
  <c r="U2298" i="2"/>
  <c r="S2298" i="2"/>
  <c r="R2298" i="2"/>
  <c r="Q2298" i="2"/>
  <c r="P2298" i="2"/>
  <c r="V2297" i="2"/>
  <c r="V2297" i="2" a="1"/>
  <c r="U2297" i="2"/>
  <c r="S2297" i="2"/>
  <c r="R2297" i="2"/>
  <c r="Q2297" i="2"/>
  <c r="P2297" i="2"/>
  <c r="U2296" i="2"/>
  <c r="S2296" i="2"/>
  <c r="V2296" i="2" s="1" a="1"/>
  <c r="V2296" i="2" s="1"/>
  <c r="R2296" i="2"/>
  <c r="Q2296" i="2"/>
  <c r="P2296" i="2"/>
  <c r="U2295" i="2"/>
  <c r="S2295" i="2"/>
  <c r="R2295" i="2"/>
  <c r="Q2295" i="2"/>
  <c r="P2295" i="2"/>
  <c r="U2294" i="2"/>
  <c r="S2294" i="2"/>
  <c r="V2294" i="2" s="1" a="1"/>
  <c r="V2294" i="2" s="1"/>
  <c r="R2294" i="2"/>
  <c r="Q2294" i="2"/>
  <c r="P2294" i="2"/>
  <c r="U2293" i="2"/>
  <c r="S2293" i="2"/>
  <c r="V2293" i="2" s="1" a="1"/>
  <c r="V2293" i="2" s="1"/>
  <c r="R2293" i="2"/>
  <c r="Q2293" i="2"/>
  <c r="P2293" i="2"/>
  <c r="V2292" i="2" a="1"/>
  <c r="V2292" i="2" s="1"/>
  <c r="U2292" i="2"/>
  <c r="S2292" i="2"/>
  <c r="R2292" i="2"/>
  <c r="Q2292" i="2"/>
  <c r="P2292" i="2"/>
  <c r="V2291" i="2" a="1"/>
  <c r="V2291" i="2" s="1"/>
  <c r="U2291" i="2"/>
  <c r="S2291" i="2"/>
  <c r="R2291" i="2"/>
  <c r="Q2291" i="2"/>
  <c r="P2291" i="2"/>
  <c r="V2290" i="2"/>
  <c r="V2290" i="2" a="1"/>
  <c r="U2290" i="2"/>
  <c r="S2290" i="2"/>
  <c r="R2290" i="2"/>
  <c r="Q2290" i="2"/>
  <c r="P2290" i="2"/>
  <c r="V2289" i="2"/>
  <c r="V2289" i="2" a="1"/>
  <c r="U2289" i="2"/>
  <c r="S2289" i="2"/>
  <c r="R2289" i="2"/>
  <c r="Q2289" i="2"/>
  <c r="P2289" i="2"/>
  <c r="U2288" i="2"/>
  <c r="S2288" i="2"/>
  <c r="V2288" i="2" s="1" a="1"/>
  <c r="V2288" i="2" s="1"/>
  <c r="R2288" i="2"/>
  <c r="Q2288" i="2"/>
  <c r="P2288" i="2"/>
  <c r="U2287" i="2"/>
  <c r="S2287" i="2"/>
  <c r="R2287" i="2"/>
  <c r="Q2287" i="2"/>
  <c r="P2287" i="2"/>
  <c r="U2286" i="2"/>
  <c r="S2286" i="2"/>
  <c r="V2286" i="2" s="1" a="1"/>
  <c r="V2286" i="2" s="1"/>
  <c r="R2286" i="2"/>
  <c r="Q2286" i="2"/>
  <c r="P2286" i="2"/>
  <c r="U2285" i="2"/>
  <c r="S2285" i="2"/>
  <c r="V2285" i="2" s="1" a="1"/>
  <c r="V2285" i="2" s="1"/>
  <c r="R2285" i="2"/>
  <c r="Q2285" i="2"/>
  <c r="P2285" i="2"/>
  <c r="V2284" i="2" a="1"/>
  <c r="V2284" i="2" s="1"/>
  <c r="U2284" i="2"/>
  <c r="S2284" i="2"/>
  <c r="R2284" i="2"/>
  <c r="Q2284" i="2"/>
  <c r="P2284" i="2"/>
  <c r="V2283" i="2" a="1"/>
  <c r="V2283" i="2" s="1"/>
  <c r="U2283" i="2"/>
  <c r="S2283" i="2"/>
  <c r="R2283" i="2"/>
  <c r="Q2283" i="2"/>
  <c r="P2283" i="2"/>
  <c r="V2282" i="2"/>
  <c r="V2282" i="2" a="1"/>
  <c r="U2282" i="2"/>
  <c r="S2282" i="2"/>
  <c r="R2282" i="2"/>
  <c r="Q2282" i="2"/>
  <c r="P2282" i="2"/>
  <c r="V2281" i="2"/>
  <c r="V2281" i="2" a="1"/>
  <c r="U2281" i="2"/>
  <c r="S2281" i="2"/>
  <c r="R2281" i="2"/>
  <c r="Q2281" i="2"/>
  <c r="P2281" i="2"/>
  <c r="U2280" i="2"/>
  <c r="S2280" i="2"/>
  <c r="V2280" i="2" s="1" a="1"/>
  <c r="V2280" i="2" s="1"/>
  <c r="R2280" i="2"/>
  <c r="Q2280" i="2"/>
  <c r="P2280" i="2"/>
  <c r="U2279" i="2"/>
  <c r="S2279" i="2"/>
  <c r="R2279" i="2"/>
  <c r="Q2279" i="2"/>
  <c r="P2279" i="2"/>
  <c r="U2278" i="2"/>
  <c r="S2278" i="2"/>
  <c r="V2278" i="2" s="1" a="1"/>
  <c r="V2278" i="2" s="1"/>
  <c r="R2278" i="2"/>
  <c r="Q2278" i="2"/>
  <c r="P2278" i="2"/>
  <c r="U2277" i="2"/>
  <c r="S2277" i="2"/>
  <c r="V2277" i="2" s="1" a="1"/>
  <c r="V2277" i="2" s="1"/>
  <c r="R2277" i="2"/>
  <c r="Q2277" i="2"/>
  <c r="P2277" i="2"/>
  <c r="V2276" i="2" a="1"/>
  <c r="V2276" i="2" s="1"/>
  <c r="U2276" i="2"/>
  <c r="S2276" i="2"/>
  <c r="R2276" i="2"/>
  <c r="Q2276" i="2"/>
  <c r="P2276" i="2"/>
  <c r="V2275" i="2" a="1"/>
  <c r="V2275" i="2" s="1"/>
  <c r="U2275" i="2"/>
  <c r="S2275" i="2"/>
  <c r="R2275" i="2"/>
  <c r="Q2275" i="2"/>
  <c r="P2275" i="2"/>
  <c r="V2274" i="2" a="1"/>
  <c r="V2274" i="2" s="1"/>
  <c r="U2274" i="2"/>
  <c r="S2274" i="2"/>
  <c r="R2274" i="2"/>
  <c r="Q2274" i="2"/>
  <c r="P2274" i="2"/>
  <c r="V2273" i="2"/>
  <c r="V2273" i="2" a="1"/>
  <c r="U2273" i="2"/>
  <c r="S2273" i="2"/>
  <c r="R2273" i="2"/>
  <c r="Q2273" i="2"/>
  <c r="P2273" i="2"/>
  <c r="U2272" i="2"/>
  <c r="S2272" i="2"/>
  <c r="V2272" i="2" s="1" a="1"/>
  <c r="V2272" i="2" s="1"/>
  <c r="R2272" i="2"/>
  <c r="Q2272" i="2"/>
  <c r="P2272" i="2"/>
  <c r="U2271" i="2"/>
  <c r="S2271" i="2"/>
  <c r="R2271" i="2"/>
  <c r="Q2271" i="2"/>
  <c r="P2271" i="2"/>
  <c r="U2270" i="2"/>
  <c r="S2270" i="2"/>
  <c r="V2270" i="2" s="1" a="1"/>
  <c r="V2270" i="2" s="1"/>
  <c r="R2270" i="2"/>
  <c r="Q2270" i="2"/>
  <c r="P2270" i="2"/>
  <c r="U2269" i="2"/>
  <c r="S2269" i="2"/>
  <c r="V2269" i="2" s="1" a="1"/>
  <c r="V2269" i="2" s="1"/>
  <c r="R2269" i="2"/>
  <c r="Q2269" i="2"/>
  <c r="P2269" i="2"/>
  <c r="V2268" i="2" a="1"/>
  <c r="V2268" i="2" s="1"/>
  <c r="U2268" i="2"/>
  <c r="S2268" i="2"/>
  <c r="R2268" i="2"/>
  <c r="Q2268" i="2"/>
  <c r="P2268" i="2"/>
  <c r="V2267" i="2" a="1"/>
  <c r="V2267" i="2" s="1"/>
  <c r="U2267" i="2"/>
  <c r="S2267" i="2"/>
  <c r="R2267" i="2"/>
  <c r="Q2267" i="2"/>
  <c r="P2267" i="2"/>
  <c r="V2266" i="2"/>
  <c r="V2266" i="2" a="1"/>
  <c r="U2266" i="2"/>
  <c r="S2266" i="2"/>
  <c r="R2266" i="2"/>
  <c r="Q2266" i="2"/>
  <c r="P2266" i="2"/>
  <c r="V2265" i="2"/>
  <c r="V2265" i="2" a="1"/>
  <c r="U2265" i="2"/>
  <c r="S2265" i="2"/>
  <c r="R2265" i="2"/>
  <c r="Q2265" i="2"/>
  <c r="P2265" i="2"/>
  <c r="U2264" i="2"/>
  <c r="S2264" i="2"/>
  <c r="V2264" i="2" s="1" a="1"/>
  <c r="V2264" i="2" s="1"/>
  <c r="R2264" i="2"/>
  <c r="Q2264" i="2"/>
  <c r="P2264" i="2"/>
  <c r="U2263" i="2"/>
  <c r="S2263" i="2"/>
  <c r="R2263" i="2"/>
  <c r="Q2263" i="2"/>
  <c r="P2263" i="2"/>
  <c r="U2262" i="2"/>
  <c r="S2262" i="2"/>
  <c r="V2262" i="2" s="1" a="1"/>
  <c r="V2262" i="2" s="1"/>
  <c r="R2262" i="2"/>
  <c r="Q2262" i="2"/>
  <c r="P2262" i="2"/>
  <c r="U2261" i="2"/>
  <c r="S2261" i="2"/>
  <c r="V2261" i="2" s="1" a="1"/>
  <c r="V2261" i="2" s="1"/>
  <c r="R2261" i="2"/>
  <c r="Q2261" i="2"/>
  <c r="P2261" i="2"/>
  <c r="V2260" i="2" a="1"/>
  <c r="V2260" i="2" s="1"/>
  <c r="U2260" i="2"/>
  <c r="S2260" i="2"/>
  <c r="R2260" i="2"/>
  <c r="Q2260" i="2"/>
  <c r="P2260" i="2"/>
  <c r="V2259" i="2" a="1"/>
  <c r="V2259" i="2" s="1"/>
  <c r="U2259" i="2"/>
  <c r="S2259" i="2"/>
  <c r="R2259" i="2"/>
  <c r="Q2259" i="2"/>
  <c r="P2259" i="2"/>
  <c r="V2258" i="2"/>
  <c r="V2258" i="2" a="1"/>
  <c r="U2258" i="2"/>
  <c r="S2258" i="2"/>
  <c r="R2258" i="2"/>
  <c r="Q2258" i="2"/>
  <c r="P2258" i="2"/>
  <c r="V2257" i="2"/>
  <c r="V2257" i="2" a="1"/>
  <c r="U2257" i="2"/>
  <c r="S2257" i="2"/>
  <c r="R2257" i="2"/>
  <c r="Q2257" i="2"/>
  <c r="P2257" i="2"/>
  <c r="U2256" i="2"/>
  <c r="S2256" i="2"/>
  <c r="V2256" i="2" s="1" a="1"/>
  <c r="V2256" i="2" s="1"/>
  <c r="R2256" i="2"/>
  <c r="Q2256" i="2"/>
  <c r="P2256" i="2"/>
  <c r="U2255" i="2"/>
  <c r="S2255" i="2"/>
  <c r="R2255" i="2"/>
  <c r="Q2255" i="2"/>
  <c r="P2255" i="2"/>
  <c r="U2254" i="2"/>
  <c r="S2254" i="2"/>
  <c r="V2254" i="2" s="1" a="1"/>
  <c r="V2254" i="2" s="1"/>
  <c r="R2254" i="2"/>
  <c r="Q2254" i="2"/>
  <c r="P2254" i="2"/>
  <c r="U2253" i="2"/>
  <c r="S2253" i="2"/>
  <c r="V2253" i="2" s="1" a="1"/>
  <c r="V2253" i="2" s="1"/>
  <c r="R2253" i="2"/>
  <c r="Q2253" i="2"/>
  <c r="P2253" i="2"/>
  <c r="V2252" i="2" a="1"/>
  <c r="V2252" i="2" s="1"/>
  <c r="U2252" i="2"/>
  <c r="S2252" i="2"/>
  <c r="R2252" i="2"/>
  <c r="Q2252" i="2"/>
  <c r="P2252" i="2"/>
  <c r="V2251" i="2" a="1"/>
  <c r="V2251" i="2" s="1"/>
  <c r="U2251" i="2"/>
  <c r="S2251" i="2"/>
  <c r="R2251" i="2"/>
  <c r="Q2251" i="2"/>
  <c r="P2251" i="2"/>
  <c r="V2250" i="2"/>
  <c r="V2250" i="2" a="1"/>
  <c r="U2250" i="2"/>
  <c r="S2250" i="2"/>
  <c r="R2250" i="2"/>
  <c r="Q2250" i="2"/>
  <c r="P2250" i="2"/>
  <c r="V2249" i="2"/>
  <c r="V2249" i="2" a="1"/>
  <c r="U2249" i="2"/>
  <c r="S2249" i="2"/>
  <c r="R2249" i="2"/>
  <c r="Q2249" i="2"/>
  <c r="P2249" i="2"/>
  <c r="U2248" i="2"/>
  <c r="S2248" i="2"/>
  <c r="V2248" i="2" s="1" a="1"/>
  <c r="V2248" i="2" s="1"/>
  <c r="R2248" i="2"/>
  <c r="Q2248" i="2"/>
  <c r="P2248" i="2"/>
  <c r="U2247" i="2"/>
  <c r="S2247" i="2"/>
  <c r="R2247" i="2"/>
  <c r="Q2247" i="2"/>
  <c r="P2247" i="2"/>
  <c r="U2246" i="2"/>
  <c r="S2246" i="2"/>
  <c r="V2246" i="2" s="1" a="1"/>
  <c r="V2246" i="2" s="1"/>
  <c r="R2246" i="2"/>
  <c r="Q2246" i="2"/>
  <c r="P2246" i="2"/>
  <c r="U2245" i="2"/>
  <c r="S2245" i="2"/>
  <c r="V2245" i="2" s="1" a="1"/>
  <c r="V2245" i="2" s="1"/>
  <c r="R2245" i="2"/>
  <c r="Q2245" i="2"/>
  <c r="P2245" i="2"/>
  <c r="V2244" i="2" a="1"/>
  <c r="V2244" i="2" s="1"/>
  <c r="U2244" i="2"/>
  <c r="S2244" i="2"/>
  <c r="R2244" i="2"/>
  <c r="Q2244" i="2"/>
  <c r="P2244" i="2"/>
  <c r="V2243" i="2" a="1"/>
  <c r="V2243" i="2" s="1"/>
  <c r="U2243" i="2"/>
  <c r="S2243" i="2"/>
  <c r="R2243" i="2"/>
  <c r="Q2243" i="2"/>
  <c r="P2243" i="2"/>
  <c r="V2242" i="2"/>
  <c r="V2242" i="2" a="1"/>
  <c r="U2242" i="2"/>
  <c r="S2242" i="2"/>
  <c r="R2242" i="2"/>
  <c r="Q2242" i="2"/>
  <c r="P2242" i="2"/>
  <c r="V2241" i="2"/>
  <c r="V2241" i="2" a="1"/>
  <c r="U2241" i="2"/>
  <c r="S2241" i="2"/>
  <c r="R2241" i="2"/>
  <c r="Q2241" i="2"/>
  <c r="P2241" i="2"/>
  <c r="U2240" i="2"/>
  <c r="S2240" i="2"/>
  <c r="R2240" i="2"/>
  <c r="Q2240" i="2"/>
  <c r="P2240" i="2"/>
  <c r="U2239" i="2"/>
  <c r="S2239" i="2"/>
  <c r="V2239" i="2" s="1" a="1"/>
  <c r="V2239" i="2" s="1"/>
  <c r="R2239" i="2"/>
  <c r="Q2239" i="2"/>
  <c r="P2239" i="2"/>
  <c r="U2238" i="2"/>
  <c r="S2238" i="2"/>
  <c r="V2238" i="2" s="1" a="1"/>
  <c r="V2238" i="2" s="1"/>
  <c r="R2238" i="2"/>
  <c r="Q2238" i="2"/>
  <c r="P2238" i="2"/>
  <c r="U2237" i="2"/>
  <c r="S2237" i="2"/>
  <c r="V2237" i="2" s="1" a="1"/>
  <c r="V2237" i="2" s="1"/>
  <c r="R2237" i="2"/>
  <c r="Q2237" i="2"/>
  <c r="P2237" i="2"/>
  <c r="V2236" i="2" a="1"/>
  <c r="V2236" i="2" s="1"/>
  <c r="U2236" i="2"/>
  <c r="S2236" i="2"/>
  <c r="R2236" i="2"/>
  <c r="Q2236" i="2"/>
  <c r="P2236" i="2"/>
  <c r="V2235" i="2" a="1"/>
  <c r="V2235" i="2" s="1"/>
  <c r="U2235" i="2"/>
  <c r="S2235" i="2"/>
  <c r="R2235" i="2"/>
  <c r="Q2235" i="2"/>
  <c r="P2235" i="2"/>
  <c r="V2234" i="2"/>
  <c r="V2234" i="2" a="1"/>
  <c r="U2234" i="2"/>
  <c r="S2234" i="2"/>
  <c r="R2234" i="2"/>
  <c r="Q2234" i="2"/>
  <c r="P2234" i="2"/>
  <c r="V2233" i="2"/>
  <c r="V2233" i="2" a="1"/>
  <c r="U2233" i="2"/>
  <c r="S2233" i="2"/>
  <c r="R2233" i="2"/>
  <c r="Q2233" i="2"/>
  <c r="P2233" i="2"/>
  <c r="U2232" i="2"/>
  <c r="S2232" i="2"/>
  <c r="R2232" i="2"/>
  <c r="Q2232" i="2"/>
  <c r="P2232" i="2"/>
  <c r="U2231" i="2"/>
  <c r="S2231" i="2"/>
  <c r="V2231" i="2" s="1" a="1"/>
  <c r="V2231" i="2" s="1"/>
  <c r="R2231" i="2"/>
  <c r="Q2231" i="2"/>
  <c r="P2231" i="2"/>
  <c r="U2230" i="2"/>
  <c r="S2230" i="2"/>
  <c r="V2230" i="2" s="1" a="1"/>
  <c r="V2230" i="2" s="1"/>
  <c r="R2230" i="2"/>
  <c r="Q2230" i="2"/>
  <c r="P2230" i="2"/>
  <c r="U2229" i="2"/>
  <c r="S2229" i="2"/>
  <c r="V2229" i="2" s="1" a="1"/>
  <c r="V2229" i="2" s="1"/>
  <c r="R2229" i="2"/>
  <c r="Q2229" i="2"/>
  <c r="P2229" i="2"/>
  <c r="V2228" i="2" a="1"/>
  <c r="V2228" i="2" s="1"/>
  <c r="U2228" i="2"/>
  <c r="S2228" i="2"/>
  <c r="R2228" i="2"/>
  <c r="Q2228" i="2"/>
  <c r="P2228" i="2"/>
  <c r="U2227" i="2"/>
  <c r="S2227" i="2"/>
  <c r="R2227" i="2"/>
  <c r="Q2227" i="2"/>
  <c r="P2227" i="2"/>
  <c r="V2226" i="2"/>
  <c r="V2226" i="2" a="1"/>
  <c r="U2226" i="2"/>
  <c r="S2226" i="2"/>
  <c r="R2226" i="2"/>
  <c r="Q2226" i="2"/>
  <c r="P2226" i="2"/>
  <c r="V2225" i="2"/>
  <c r="V2225" i="2" a="1"/>
  <c r="U2225" i="2"/>
  <c r="S2225" i="2"/>
  <c r="R2225" i="2"/>
  <c r="Q2225" i="2"/>
  <c r="P2225" i="2"/>
  <c r="U2224" i="2"/>
  <c r="S2224" i="2"/>
  <c r="R2224" i="2"/>
  <c r="Q2224" i="2"/>
  <c r="P2224" i="2"/>
  <c r="V2223" i="2" a="1"/>
  <c r="V2223" i="2" s="1"/>
  <c r="U2223" i="2"/>
  <c r="S2223" i="2"/>
  <c r="R2223" i="2"/>
  <c r="Q2223" i="2"/>
  <c r="P2223" i="2"/>
  <c r="V2222" i="2"/>
  <c r="U2222" i="2"/>
  <c r="S2222" i="2"/>
  <c r="V2222" i="2" s="1" a="1"/>
  <c r="R2222" i="2"/>
  <c r="Q2222" i="2"/>
  <c r="P2222" i="2"/>
  <c r="U2221" i="2"/>
  <c r="S2221" i="2"/>
  <c r="V2221" i="2" s="1" a="1"/>
  <c r="V2221" i="2" s="1"/>
  <c r="R2221" i="2"/>
  <c r="Q2221" i="2"/>
  <c r="P2221" i="2"/>
  <c r="V2220" i="2" a="1"/>
  <c r="V2220" i="2" s="1"/>
  <c r="U2220" i="2"/>
  <c r="S2220" i="2"/>
  <c r="R2220" i="2"/>
  <c r="Q2220" i="2"/>
  <c r="P2220" i="2"/>
  <c r="V2219" i="2" a="1"/>
  <c r="V2219" i="2" s="1"/>
  <c r="U2219" i="2"/>
  <c r="S2219" i="2"/>
  <c r="R2219" i="2"/>
  <c r="Q2219" i="2"/>
  <c r="P2219" i="2"/>
  <c r="U2218" i="2"/>
  <c r="S2218" i="2"/>
  <c r="V2218" i="2" s="1" a="1"/>
  <c r="V2218" i="2" s="1"/>
  <c r="R2218" i="2"/>
  <c r="Q2218" i="2"/>
  <c r="P2218" i="2"/>
  <c r="V2217" i="2"/>
  <c r="V2217" i="2" a="1"/>
  <c r="U2217" i="2"/>
  <c r="S2217" i="2"/>
  <c r="R2217" i="2"/>
  <c r="Q2217" i="2"/>
  <c r="P2217" i="2"/>
  <c r="U2216" i="2"/>
  <c r="S2216" i="2"/>
  <c r="R2216" i="2"/>
  <c r="Q2216" i="2"/>
  <c r="P2216" i="2"/>
  <c r="U2215" i="2"/>
  <c r="S2215" i="2"/>
  <c r="R2215" i="2"/>
  <c r="Q2215" i="2"/>
  <c r="P2215" i="2"/>
  <c r="U2214" i="2"/>
  <c r="S2214" i="2"/>
  <c r="R2214" i="2"/>
  <c r="Q2214" i="2"/>
  <c r="P2214" i="2"/>
  <c r="U2213" i="2"/>
  <c r="S2213" i="2"/>
  <c r="V2213" i="2" s="1" a="1"/>
  <c r="V2213" i="2" s="1"/>
  <c r="R2213" i="2"/>
  <c r="Q2213" i="2"/>
  <c r="P2213" i="2"/>
  <c r="V2212" i="2" a="1"/>
  <c r="V2212" i="2" s="1"/>
  <c r="U2212" i="2"/>
  <c r="S2212" i="2"/>
  <c r="R2212" i="2"/>
  <c r="Q2212" i="2"/>
  <c r="P2212" i="2"/>
  <c r="V2211" i="2"/>
  <c r="V2211" i="2" a="1"/>
  <c r="U2211" i="2"/>
  <c r="S2211" i="2"/>
  <c r="R2211" i="2"/>
  <c r="Q2211" i="2"/>
  <c r="P2211" i="2"/>
  <c r="V2210" i="2" a="1"/>
  <c r="V2210" i="2" s="1"/>
  <c r="U2210" i="2"/>
  <c r="S2210" i="2"/>
  <c r="R2210" i="2"/>
  <c r="Q2210" i="2"/>
  <c r="P2210" i="2"/>
  <c r="V2209" i="2"/>
  <c r="V2209" i="2" a="1"/>
  <c r="U2209" i="2"/>
  <c r="S2209" i="2"/>
  <c r="R2209" i="2"/>
  <c r="Q2209" i="2"/>
  <c r="P2209" i="2"/>
  <c r="U2208" i="2"/>
  <c r="S2208" i="2"/>
  <c r="R2208" i="2"/>
  <c r="Q2208" i="2"/>
  <c r="P2208" i="2"/>
  <c r="V2207" i="2" a="1"/>
  <c r="V2207" i="2" s="1"/>
  <c r="U2207" i="2"/>
  <c r="S2207" i="2"/>
  <c r="R2207" i="2"/>
  <c r="Q2207" i="2"/>
  <c r="P2207" i="2"/>
  <c r="V2206" i="2"/>
  <c r="V2206" i="2" a="1"/>
  <c r="U2206" i="2"/>
  <c r="S2206" i="2"/>
  <c r="R2206" i="2"/>
  <c r="Q2206" i="2"/>
  <c r="P2206" i="2"/>
  <c r="V2205" i="2"/>
  <c r="U2205" i="2"/>
  <c r="S2205" i="2"/>
  <c r="V2205" i="2" s="1" a="1"/>
  <c r="R2205" i="2"/>
  <c r="Q2205" i="2"/>
  <c r="P2205" i="2"/>
  <c r="V2204" i="2" a="1"/>
  <c r="V2204" i="2" s="1"/>
  <c r="U2204" i="2"/>
  <c r="S2204" i="2"/>
  <c r="R2204" i="2"/>
  <c r="Q2204" i="2"/>
  <c r="P2204" i="2"/>
  <c r="V2203" i="2"/>
  <c r="V2203" i="2" a="1"/>
  <c r="U2203" i="2"/>
  <c r="S2203" i="2"/>
  <c r="R2203" i="2"/>
  <c r="Q2203" i="2"/>
  <c r="P2203" i="2"/>
  <c r="V2202" i="2"/>
  <c r="V2202" i="2" a="1"/>
  <c r="U2202" i="2"/>
  <c r="S2202" i="2"/>
  <c r="R2202" i="2"/>
  <c r="Q2202" i="2"/>
  <c r="P2202" i="2"/>
  <c r="V2201" i="2"/>
  <c r="V2201" i="2" a="1"/>
  <c r="U2201" i="2"/>
  <c r="S2201" i="2"/>
  <c r="R2201" i="2"/>
  <c r="Q2201" i="2"/>
  <c r="P2201" i="2"/>
  <c r="U2200" i="2"/>
  <c r="S2200" i="2"/>
  <c r="R2200" i="2"/>
  <c r="Q2200" i="2"/>
  <c r="P2200" i="2"/>
  <c r="U2199" i="2"/>
  <c r="S2199" i="2"/>
  <c r="V2199" i="2" s="1" a="1"/>
  <c r="V2199" i="2" s="1"/>
  <c r="R2199" i="2"/>
  <c r="Q2199" i="2"/>
  <c r="P2199" i="2"/>
  <c r="V2198" i="2"/>
  <c r="V2198" i="2" a="1"/>
  <c r="U2198" i="2"/>
  <c r="S2198" i="2"/>
  <c r="R2198" i="2"/>
  <c r="Q2198" i="2"/>
  <c r="P2198" i="2"/>
  <c r="V2197" i="2"/>
  <c r="U2197" i="2"/>
  <c r="S2197" i="2"/>
  <c r="V2197" i="2" s="1" a="1"/>
  <c r="R2197" i="2"/>
  <c r="Q2197" i="2"/>
  <c r="P2197" i="2"/>
  <c r="V2196" i="2" a="1"/>
  <c r="V2196" i="2" s="1"/>
  <c r="U2196" i="2"/>
  <c r="S2196" i="2"/>
  <c r="R2196" i="2"/>
  <c r="Q2196" i="2"/>
  <c r="P2196" i="2"/>
  <c r="U2195" i="2"/>
  <c r="S2195" i="2"/>
  <c r="R2195" i="2"/>
  <c r="Q2195" i="2"/>
  <c r="P2195" i="2"/>
  <c r="U2194" i="2"/>
  <c r="S2194" i="2"/>
  <c r="V2194" i="2" s="1" a="1"/>
  <c r="V2194" i="2" s="1"/>
  <c r="R2194" i="2"/>
  <c r="Q2194" i="2"/>
  <c r="P2194" i="2"/>
  <c r="V2193" i="2"/>
  <c r="V2193" i="2" a="1"/>
  <c r="U2193" i="2"/>
  <c r="S2193" i="2"/>
  <c r="R2193" i="2"/>
  <c r="Q2193" i="2"/>
  <c r="P2193" i="2"/>
  <c r="U2192" i="2"/>
  <c r="S2192" i="2"/>
  <c r="R2192" i="2"/>
  <c r="Q2192" i="2"/>
  <c r="P2192" i="2"/>
  <c r="U2191" i="2"/>
  <c r="S2191" i="2"/>
  <c r="R2191" i="2"/>
  <c r="Q2191" i="2"/>
  <c r="P2191" i="2"/>
  <c r="U2190" i="2"/>
  <c r="S2190" i="2"/>
  <c r="V2190" i="2" s="1" a="1"/>
  <c r="V2190" i="2" s="1"/>
  <c r="R2190" i="2"/>
  <c r="Q2190" i="2"/>
  <c r="P2190" i="2"/>
  <c r="U2189" i="2"/>
  <c r="S2189" i="2"/>
  <c r="V2189" i="2" s="1" a="1"/>
  <c r="V2189" i="2" s="1"/>
  <c r="R2189" i="2"/>
  <c r="Q2189" i="2"/>
  <c r="P2189" i="2"/>
  <c r="U2188" i="2"/>
  <c r="S2188" i="2"/>
  <c r="R2188" i="2"/>
  <c r="Q2188" i="2"/>
  <c r="P2188" i="2"/>
  <c r="U2187" i="2"/>
  <c r="S2187" i="2"/>
  <c r="R2187" i="2"/>
  <c r="Q2187" i="2"/>
  <c r="P2187" i="2"/>
  <c r="U2186" i="2"/>
  <c r="S2186" i="2"/>
  <c r="R2186" i="2"/>
  <c r="Q2186" i="2"/>
  <c r="P2186" i="2"/>
  <c r="V2185" i="2"/>
  <c r="V2185" i="2" a="1"/>
  <c r="U2185" i="2"/>
  <c r="S2185" i="2"/>
  <c r="R2185" i="2"/>
  <c r="Q2185" i="2"/>
  <c r="P2185" i="2"/>
  <c r="U2184" i="2"/>
  <c r="S2184" i="2"/>
  <c r="R2184" i="2"/>
  <c r="Q2184" i="2"/>
  <c r="P2184" i="2"/>
  <c r="U2183" i="2"/>
  <c r="S2183" i="2"/>
  <c r="V2183" i="2" s="1" a="1"/>
  <c r="V2183" i="2" s="1"/>
  <c r="R2183" i="2"/>
  <c r="Q2183" i="2"/>
  <c r="P2183" i="2"/>
  <c r="U2182" i="2"/>
  <c r="S2182" i="2"/>
  <c r="V2182" i="2" s="1" a="1"/>
  <c r="V2182" i="2" s="1"/>
  <c r="R2182" i="2"/>
  <c r="Q2182" i="2"/>
  <c r="P2182" i="2"/>
  <c r="U2181" i="2"/>
  <c r="S2181" i="2"/>
  <c r="V2181" i="2" s="1" a="1"/>
  <c r="V2181" i="2" s="1"/>
  <c r="R2181" i="2"/>
  <c r="Q2181" i="2"/>
  <c r="P2181" i="2"/>
  <c r="U2180" i="2"/>
  <c r="S2180" i="2"/>
  <c r="V2180" i="2" s="1" a="1"/>
  <c r="V2180" i="2" s="1"/>
  <c r="R2180" i="2"/>
  <c r="Q2180" i="2"/>
  <c r="P2180" i="2"/>
  <c r="U2179" i="2"/>
  <c r="S2179" i="2"/>
  <c r="V2179" i="2" s="1" a="1"/>
  <c r="V2179" i="2" s="1"/>
  <c r="R2179" i="2"/>
  <c r="Q2179" i="2"/>
  <c r="P2179" i="2"/>
  <c r="V2178" i="2" a="1"/>
  <c r="V2178" i="2" s="1"/>
  <c r="U2178" i="2"/>
  <c r="S2178" i="2"/>
  <c r="R2178" i="2"/>
  <c r="Q2178" i="2"/>
  <c r="P2178" i="2"/>
  <c r="V2177" i="2"/>
  <c r="V2177" i="2" a="1"/>
  <c r="U2177" i="2"/>
  <c r="S2177" i="2"/>
  <c r="R2177" i="2"/>
  <c r="Q2177" i="2"/>
  <c r="P2177" i="2"/>
  <c r="V2176" i="2"/>
  <c r="V2176" i="2" a="1"/>
  <c r="U2176" i="2"/>
  <c r="S2176" i="2"/>
  <c r="R2176" i="2"/>
  <c r="Q2176" i="2"/>
  <c r="P2176" i="2"/>
  <c r="V2175" i="2"/>
  <c r="V2175" i="2" a="1"/>
  <c r="U2175" i="2"/>
  <c r="S2175" i="2"/>
  <c r="R2175" i="2"/>
  <c r="Q2175" i="2"/>
  <c r="P2175" i="2"/>
  <c r="V2174" i="2"/>
  <c r="V2174" i="2" a="1"/>
  <c r="U2174" i="2"/>
  <c r="S2174" i="2"/>
  <c r="R2174" i="2"/>
  <c r="Q2174" i="2"/>
  <c r="P2174" i="2"/>
  <c r="V2173" i="2"/>
  <c r="U2173" i="2"/>
  <c r="S2173" i="2"/>
  <c r="V2173" i="2" s="1" a="1"/>
  <c r="R2173" i="2"/>
  <c r="Q2173" i="2"/>
  <c r="P2173" i="2"/>
  <c r="V2172" i="2" a="1"/>
  <c r="V2172" i="2" s="1"/>
  <c r="U2172" i="2"/>
  <c r="S2172" i="2"/>
  <c r="R2172" i="2"/>
  <c r="Q2172" i="2"/>
  <c r="P2172" i="2"/>
  <c r="V2171" i="2"/>
  <c r="V2171" i="2" a="1"/>
  <c r="U2171" i="2"/>
  <c r="S2171" i="2"/>
  <c r="R2171" i="2"/>
  <c r="Q2171" i="2"/>
  <c r="P2171" i="2"/>
  <c r="U2170" i="2"/>
  <c r="S2170" i="2"/>
  <c r="R2170" i="2"/>
  <c r="Q2170" i="2"/>
  <c r="P2170" i="2"/>
  <c r="V2169" i="2"/>
  <c r="V2169" i="2" a="1"/>
  <c r="U2169" i="2"/>
  <c r="S2169" i="2"/>
  <c r="R2169" i="2"/>
  <c r="Q2169" i="2"/>
  <c r="P2169" i="2"/>
  <c r="U2168" i="2"/>
  <c r="S2168" i="2"/>
  <c r="R2168" i="2"/>
  <c r="Q2168" i="2"/>
  <c r="P2168" i="2"/>
  <c r="U2167" i="2"/>
  <c r="S2167" i="2"/>
  <c r="V2167" i="2" s="1" a="1"/>
  <c r="V2167" i="2" s="1"/>
  <c r="R2167" i="2"/>
  <c r="Q2167" i="2"/>
  <c r="P2167" i="2"/>
  <c r="U2166" i="2"/>
  <c r="S2166" i="2"/>
  <c r="V2166" i="2" s="1" a="1"/>
  <c r="V2166" i="2" s="1"/>
  <c r="R2166" i="2"/>
  <c r="Q2166" i="2"/>
  <c r="P2166" i="2"/>
  <c r="U2165" i="2"/>
  <c r="S2165" i="2"/>
  <c r="V2165" i="2" s="1" a="1"/>
  <c r="V2165" i="2" s="1"/>
  <c r="R2165" i="2"/>
  <c r="Q2165" i="2"/>
  <c r="P2165" i="2"/>
  <c r="U2164" i="2"/>
  <c r="S2164" i="2"/>
  <c r="V2164" i="2" s="1" a="1"/>
  <c r="V2164" i="2" s="1"/>
  <c r="R2164" i="2"/>
  <c r="Q2164" i="2"/>
  <c r="P2164" i="2"/>
  <c r="U2163" i="2"/>
  <c r="S2163" i="2"/>
  <c r="V2163" i="2" s="1" a="1"/>
  <c r="V2163" i="2" s="1"/>
  <c r="R2163" i="2"/>
  <c r="Q2163" i="2"/>
  <c r="P2163" i="2"/>
  <c r="V2162" i="2" a="1"/>
  <c r="V2162" i="2" s="1"/>
  <c r="U2162" i="2"/>
  <c r="S2162" i="2"/>
  <c r="R2162" i="2"/>
  <c r="Q2162" i="2"/>
  <c r="P2162" i="2"/>
  <c r="V2161" i="2" a="1"/>
  <c r="V2161" i="2" s="1"/>
  <c r="U2161" i="2"/>
  <c r="S2161" i="2"/>
  <c r="R2161" i="2"/>
  <c r="Q2161" i="2"/>
  <c r="P2161" i="2"/>
  <c r="V2160" i="2"/>
  <c r="V2160" i="2" a="1"/>
  <c r="U2160" i="2"/>
  <c r="S2160" i="2"/>
  <c r="R2160" i="2"/>
  <c r="Q2160" i="2"/>
  <c r="P2160" i="2"/>
  <c r="V2159" i="2"/>
  <c r="V2159" i="2" a="1"/>
  <c r="U2159" i="2"/>
  <c r="S2159" i="2"/>
  <c r="R2159" i="2"/>
  <c r="Q2159" i="2"/>
  <c r="P2159" i="2"/>
  <c r="V2158" i="2"/>
  <c r="V2158" i="2" a="1"/>
  <c r="U2158" i="2"/>
  <c r="S2158" i="2"/>
  <c r="R2158" i="2"/>
  <c r="Q2158" i="2"/>
  <c r="P2158" i="2"/>
  <c r="V2157" i="2"/>
  <c r="U2157" i="2"/>
  <c r="S2157" i="2"/>
  <c r="V2157" i="2" s="1" a="1"/>
  <c r="R2157" i="2"/>
  <c r="Q2157" i="2"/>
  <c r="P2157" i="2"/>
  <c r="V2156" i="2" a="1"/>
  <c r="V2156" i="2" s="1"/>
  <c r="U2156" i="2"/>
  <c r="S2156" i="2"/>
  <c r="R2156" i="2"/>
  <c r="Q2156" i="2"/>
  <c r="P2156" i="2"/>
  <c r="V2155" i="2"/>
  <c r="V2155" i="2" a="1"/>
  <c r="U2155" i="2"/>
  <c r="S2155" i="2"/>
  <c r="R2155" i="2"/>
  <c r="Q2155" i="2"/>
  <c r="P2155" i="2"/>
  <c r="U2154" i="2"/>
  <c r="S2154" i="2"/>
  <c r="R2154" i="2"/>
  <c r="Q2154" i="2"/>
  <c r="P2154" i="2"/>
  <c r="V2153" i="2"/>
  <c r="V2153" i="2" a="1"/>
  <c r="U2153" i="2"/>
  <c r="S2153" i="2"/>
  <c r="R2153" i="2"/>
  <c r="Q2153" i="2"/>
  <c r="P2153" i="2"/>
  <c r="U2152" i="2"/>
  <c r="S2152" i="2"/>
  <c r="R2152" i="2"/>
  <c r="Q2152" i="2"/>
  <c r="P2152" i="2"/>
  <c r="U2151" i="2"/>
  <c r="S2151" i="2"/>
  <c r="V2151" i="2" s="1" a="1"/>
  <c r="V2151" i="2" s="1"/>
  <c r="R2151" i="2"/>
  <c r="Q2151" i="2"/>
  <c r="P2151" i="2"/>
  <c r="U2150" i="2"/>
  <c r="S2150" i="2"/>
  <c r="V2150" i="2" s="1" a="1"/>
  <c r="V2150" i="2" s="1"/>
  <c r="R2150" i="2"/>
  <c r="Q2150" i="2"/>
  <c r="P2150" i="2"/>
  <c r="U2149" i="2"/>
  <c r="S2149" i="2"/>
  <c r="V2149" i="2" s="1" a="1"/>
  <c r="V2149" i="2" s="1"/>
  <c r="R2149" i="2"/>
  <c r="Q2149" i="2"/>
  <c r="P2149" i="2"/>
  <c r="U2148" i="2"/>
  <c r="S2148" i="2"/>
  <c r="V2148" i="2" s="1" a="1"/>
  <c r="V2148" i="2" s="1"/>
  <c r="R2148" i="2"/>
  <c r="Q2148" i="2"/>
  <c r="P2148" i="2"/>
  <c r="U2147" i="2"/>
  <c r="S2147" i="2"/>
  <c r="V2147" i="2" s="1" a="1"/>
  <c r="V2147" i="2" s="1"/>
  <c r="R2147" i="2"/>
  <c r="Q2147" i="2"/>
  <c r="P2147" i="2"/>
  <c r="V2146" i="2" a="1"/>
  <c r="V2146" i="2" s="1"/>
  <c r="U2146" i="2"/>
  <c r="S2146" i="2"/>
  <c r="R2146" i="2"/>
  <c r="Q2146" i="2"/>
  <c r="P2146" i="2"/>
  <c r="V2145" i="2" a="1"/>
  <c r="V2145" i="2" s="1"/>
  <c r="U2145" i="2"/>
  <c r="S2145" i="2"/>
  <c r="R2145" i="2"/>
  <c r="Q2145" i="2"/>
  <c r="P2145" i="2"/>
  <c r="V2144" i="2"/>
  <c r="V2144" i="2" a="1"/>
  <c r="U2144" i="2"/>
  <c r="S2144" i="2"/>
  <c r="R2144" i="2"/>
  <c r="Q2144" i="2"/>
  <c r="P2144" i="2"/>
  <c r="V2143" i="2"/>
  <c r="V2143" i="2" a="1"/>
  <c r="U2143" i="2"/>
  <c r="S2143" i="2"/>
  <c r="R2143" i="2"/>
  <c r="Q2143" i="2"/>
  <c r="P2143" i="2"/>
  <c r="V2142" i="2"/>
  <c r="V2142" i="2" a="1"/>
  <c r="U2142" i="2"/>
  <c r="S2142" i="2"/>
  <c r="R2142" i="2"/>
  <c r="Q2142" i="2"/>
  <c r="P2142" i="2"/>
  <c r="V2141" i="2"/>
  <c r="U2141" i="2"/>
  <c r="S2141" i="2"/>
  <c r="V2141" i="2" s="1" a="1"/>
  <c r="R2141" i="2"/>
  <c r="Q2141" i="2"/>
  <c r="P2141" i="2"/>
  <c r="V2140" i="2" a="1"/>
  <c r="V2140" i="2" s="1"/>
  <c r="U2140" i="2"/>
  <c r="S2140" i="2"/>
  <c r="R2140" i="2"/>
  <c r="Q2140" i="2"/>
  <c r="P2140" i="2"/>
  <c r="V2139" i="2"/>
  <c r="V2139" i="2" a="1"/>
  <c r="U2139" i="2"/>
  <c r="S2139" i="2"/>
  <c r="R2139" i="2"/>
  <c r="Q2139" i="2"/>
  <c r="P2139" i="2"/>
  <c r="U2138" i="2"/>
  <c r="S2138" i="2"/>
  <c r="R2138" i="2"/>
  <c r="Q2138" i="2"/>
  <c r="P2138" i="2"/>
  <c r="V2137" i="2"/>
  <c r="V2137" i="2" a="1"/>
  <c r="U2137" i="2"/>
  <c r="S2137" i="2"/>
  <c r="R2137" i="2"/>
  <c r="Q2137" i="2"/>
  <c r="P2137" i="2"/>
  <c r="U2136" i="2"/>
  <c r="S2136" i="2"/>
  <c r="R2136" i="2"/>
  <c r="Q2136" i="2"/>
  <c r="P2136" i="2"/>
  <c r="U2135" i="2"/>
  <c r="S2135" i="2"/>
  <c r="V2135" i="2" s="1" a="1"/>
  <c r="V2135" i="2" s="1"/>
  <c r="R2135" i="2"/>
  <c r="Q2135" i="2"/>
  <c r="P2135" i="2"/>
  <c r="U2134" i="2"/>
  <c r="S2134" i="2"/>
  <c r="V2134" i="2" s="1" a="1"/>
  <c r="V2134" i="2" s="1"/>
  <c r="R2134" i="2"/>
  <c r="Q2134" i="2"/>
  <c r="P2134" i="2"/>
  <c r="U2133" i="2"/>
  <c r="S2133" i="2"/>
  <c r="V2133" i="2" s="1" a="1"/>
  <c r="V2133" i="2" s="1"/>
  <c r="R2133" i="2"/>
  <c r="Q2133" i="2"/>
  <c r="P2133" i="2"/>
  <c r="U2132" i="2"/>
  <c r="S2132" i="2"/>
  <c r="V2132" i="2" s="1" a="1"/>
  <c r="V2132" i="2" s="1"/>
  <c r="R2132" i="2"/>
  <c r="Q2132" i="2"/>
  <c r="P2132" i="2"/>
  <c r="U2131" i="2"/>
  <c r="S2131" i="2"/>
  <c r="V2131" i="2" s="1" a="1"/>
  <c r="V2131" i="2" s="1"/>
  <c r="R2131" i="2"/>
  <c r="Q2131" i="2"/>
  <c r="P2131" i="2"/>
  <c r="V2130" i="2" a="1"/>
  <c r="V2130" i="2" s="1"/>
  <c r="U2130" i="2"/>
  <c r="S2130" i="2"/>
  <c r="R2130" i="2"/>
  <c r="Q2130" i="2"/>
  <c r="P2130" i="2"/>
  <c r="V2129" i="2" a="1"/>
  <c r="V2129" i="2" s="1"/>
  <c r="U2129" i="2"/>
  <c r="S2129" i="2"/>
  <c r="R2129" i="2"/>
  <c r="Q2129" i="2"/>
  <c r="P2129" i="2"/>
  <c r="V2128" i="2"/>
  <c r="V2128" i="2" a="1"/>
  <c r="U2128" i="2"/>
  <c r="S2128" i="2"/>
  <c r="R2128" i="2"/>
  <c r="Q2128" i="2"/>
  <c r="P2128" i="2"/>
  <c r="V2127" i="2"/>
  <c r="V2127" i="2" a="1"/>
  <c r="U2127" i="2"/>
  <c r="S2127" i="2"/>
  <c r="R2127" i="2"/>
  <c r="Q2127" i="2"/>
  <c r="P2127" i="2"/>
  <c r="V2126" i="2"/>
  <c r="V2126" i="2" a="1"/>
  <c r="U2126" i="2"/>
  <c r="S2126" i="2"/>
  <c r="R2126" i="2"/>
  <c r="Q2126" i="2"/>
  <c r="P2126" i="2"/>
  <c r="U2125" i="2"/>
  <c r="S2125" i="2"/>
  <c r="R2125" i="2"/>
  <c r="Q2125" i="2"/>
  <c r="P2125" i="2"/>
  <c r="U2124" i="2"/>
  <c r="S2124" i="2"/>
  <c r="V2124" i="2" s="1" a="1"/>
  <c r="V2124" i="2" s="1"/>
  <c r="R2124" i="2"/>
  <c r="Q2124" i="2"/>
  <c r="P2124" i="2"/>
  <c r="U2123" i="2"/>
  <c r="S2123" i="2"/>
  <c r="V2123" i="2" s="1" a="1"/>
  <c r="V2123" i="2" s="1"/>
  <c r="R2123" i="2"/>
  <c r="Q2123" i="2"/>
  <c r="P2123" i="2"/>
  <c r="U2122" i="2"/>
  <c r="S2122" i="2"/>
  <c r="V2122" i="2" s="1" a="1"/>
  <c r="V2122" i="2" s="1"/>
  <c r="R2122" i="2"/>
  <c r="Q2122" i="2"/>
  <c r="P2122" i="2"/>
  <c r="V2121" i="2" a="1"/>
  <c r="V2121" i="2" s="1"/>
  <c r="U2121" i="2"/>
  <c r="S2121" i="2"/>
  <c r="R2121" i="2"/>
  <c r="Q2121" i="2"/>
  <c r="P2121" i="2"/>
  <c r="V2120" i="2"/>
  <c r="V2120" i="2" a="1"/>
  <c r="U2120" i="2"/>
  <c r="S2120" i="2"/>
  <c r="R2120" i="2"/>
  <c r="Q2120" i="2"/>
  <c r="P2120" i="2"/>
  <c r="V2119" i="2"/>
  <c r="V2119" i="2" a="1"/>
  <c r="U2119" i="2"/>
  <c r="S2119" i="2"/>
  <c r="R2119" i="2"/>
  <c r="Q2119" i="2"/>
  <c r="P2119" i="2"/>
  <c r="V2118" i="2"/>
  <c r="V2118" i="2" a="1"/>
  <c r="U2118" i="2"/>
  <c r="S2118" i="2"/>
  <c r="R2118" i="2"/>
  <c r="Q2118" i="2"/>
  <c r="P2118" i="2"/>
  <c r="U2117" i="2"/>
  <c r="S2117" i="2"/>
  <c r="R2117" i="2"/>
  <c r="Q2117" i="2"/>
  <c r="P2117" i="2"/>
  <c r="U2116" i="2"/>
  <c r="S2116" i="2"/>
  <c r="V2116" i="2" s="1" a="1"/>
  <c r="V2116" i="2" s="1"/>
  <c r="R2116" i="2"/>
  <c r="Q2116" i="2"/>
  <c r="P2116" i="2"/>
  <c r="U2115" i="2"/>
  <c r="S2115" i="2"/>
  <c r="V2115" i="2" s="1" a="1"/>
  <c r="V2115" i="2" s="1"/>
  <c r="R2115" i="2"/>
  <c r="Q2115" i="2"/>
  <c r="P2115" i="2"/>
  <c r="U2114" i="2"/>
  <c r="S2114" i="2"/>
  <c r="V2114" i="2" s="1" a="1"/>
  <c r="V2114" i="2" s="1"/>
  <c r="R2114" i="2"/>
  <c r="Q2114" i="2"/>
  <c r="P2114" i="2"/>
  <c r="V2113" i="2" a="1"/>
  <c r="V2113" i="2" s="1"/>
  <c r="U2113" i="2"/>
  <c r="S2113" i="2"/>
  <c r="R2113" i="2"/>
  <c r="Q2113" i="2"/>
  <c r="P2113" i="2"/>
  <c r="V2112" i="2"/>
  <c r="V2112" i="2" a="1"/>
  <c r="U2112" i="2"/>
  <c r="S2112" i="2"/>
  <c r="R2112" i="2"/>
  <c r="Q2112" i="2"/>
  <c r="P2112" i="2"/>
  <c r="V2111" i="2"/>
  <c r="V2111" i="2" a="1"/>
  <c r="U2111" i="2"/>
  <c r="S2111" i="2"/>
  <c r="R2111" i="2"/>
  <c r="Q2111" i="2"/>
  <c r="P2111" i="2"/>
  <c r="V2110" i="2"/>
  <c r="V2110" i="2" a="1"/>
  <c r="U2110" i="2"/>
  <c r="S2110" i="2"/>
  <c r="R2110" i="2"/>
  <c r="Q2110" i="2"/>
  <c r="P2110" i="2"/>
  <c r="U2109" i="2"/>
  <c r="S2109" i="2"/>
  <c r="R2109" i="2"/>
  <c r="Q2109" i="2"/>
  <c r="P2109" i="2"/>
  <c r="U2108" i="2"/>
  <c r="S2108" i="2"/>
  <c r="V2108" i="2" s="1" a="1"/>
  <c r="V2108" i="2" s="1"/>
  <c r="R2108" i="2"/>
  <c r="Q2108" i="2"/>
  <c r="P2108" i="2"/>
  <c r="U2107" i="2"/>
  <c r="S2107" i="2"/>
  <c r="V2107" i="2" s="1" a="1"/>
  <c r="V2107" i="2" s="1"/>
  <c r="R2107" i="2"/>
  <c r="Q2107" i="2"/>
  <c r="P2107" i="2"/>
  <c r="U2106" i="2"/>
  <c r="S2106" i="2"/>
  <c r="V2106" i="2" s="1" a="1"/>
  <c r="V2106" i="2" s="1"/>
  <c r="R2106" i="2"/>
  <c r="Q2106" i="2"/>
  <c r="P2106" i="2"/>
  <c r="V2105" i="2" a="1"/>
  <c r="V2105" i="2" s="1"/>
  <c r="U2105" i="2"/>
  <c r="S2105" i="2"/>
  <c r="R2105" i="2"/>
  <c r="Q2105" i="2"/>
  <c r="P2105" i="2"/>
  <c r="V2104" i="2" a="1"/>
  <c r="V2104" i="2" s="1"/>
  <c r="U2104" i="2"/>
  <c r="S2104" i="2"/>
  <c r="R2104" i="2"/>
  <c r="Q2104" i="2"/>
  <c r="P2104" i="2"/>
  <c r="V2103" i="2"/>
  <c r="V2103" i="2" a="1"/>
  <c r="U2103" i="2"/>
  <c r="S2103" i="2"/>
  <c r="R2103" i="2"/>
  <c r="Q2103" i="2"/>
  <c r="P2103" i="2"/>
  <c r="V2102" i="2"/>
  <c r="V2102" i="2" a="1"/>
  <c r="U2102" i="2"/>
  <c r="S2102" i="2"/>
  <c r="R2102" i="2"/>
  <c r="Q2102" i="2"/>
  <c r="P2102" i="2"/>
  <c r="U2101" i="2"/>
  <c r="S2101" i="2"/>
  <c r="R2101" i="2"/>
  <c r="Q2101" i="2"/>
  <c r="P2101" i="2"/>
  <c r="U2100" i="2"/>
  <c r="S2100" i="2"/>
  <c r="V2100" i="2" s="1" a="1"/>
  <c r="V2100" i="2" s="1"/>
  <c r="R2100" i="2"/>
  <c r="Q2100" i="2"/>
  <c r="P2100" i="2"/>
  <c r="U2099" i="2"/>
  <c r="S2099" i="2"/>
  <c r="V2099" i="2" s="1" a="1"/>
  <c r="V2099" i="2" s="1"/>
  <c r="R2099" i="2"/>
  <c r="Q2099" i="2"/>
  <c r="P2099" i="2"/>
  <c r="U2098" i="2"/>
  <c r="S2098" i="2"/>
  <c r="V2098" i="2" s="1" a="1"/>
  <c r="V2098" i="2" s="1"/>
  <c r="R2098" i="2"/>
  <c r="Q2098" i="2"/>
  <c r="P2098" i="2"/>
  <c r="V2097" i="2" a="1"/>
  <c r="V2097" i="2" s="1"/>
  <c r="U2097" i="2"/>
  <c r="S2097" i="2"/>
  <c r="R2097" i="2"/>
  <c r="Q2097" i="2"/>
  <c r="P2097" i="2"/>
  <c r="V2096" i="2"/>
  <c r="V2096" i="2" a="1"/>
  <c r="U2096" i="2"/>
  <c r="S2096" i="2"/>
  <c r="R2096" i="2"/>
  <c r="Q2096" i="2"/>
  <c r="P2096" i="2"/>
  <c r="V2095" i="2"/>
  <c r="V2095" i="2" a="1"/>
  <c r="U2095" i="2"/>
  <c r="S2095" i="2"/>
  <c r="R2095" i="2"/>
  <c r="Q2095" i="2"/>
  <c r="P2095" i="2"/>
  <c r="V2094" i="2"/>
  <c r="V2094" i="2" a="1"/>
  <c r="U2094" i="2"/>
  <c r="S2094" i="2"/>
  <c r="R2094" i="2"/>
  <c r="Q2094" i="2"/>
  <c r="P2094" i="2"/>
  <c r="U2093" i="2"/>
  <c r="S2093" i="2"/>
  <c r="R2093" i="2"/>
  <c r="Q2093" i="2"/>
  <c r="P2093" i="2"/>
  <c r="U2092" i="2"/>
  <c r="S2092" i="2"/>
  <c r="V2092" i="2" s="1" a="1"/>
  <c r="V2092" i="2" s="1"/>
  <c r="R2092" i="2"/>
  <c r="Q2092" i="2"/>
  <c r="P2092" i="2"/>
  <c r="U2091" i="2"/>
  <c r="S2091" i="2"/>
  <c r="V2091" i="2" s="1" a="1"/>
  <c r="V2091" i="2" s="1"/>
  <c r="R2091" i="2"/>
  <c r="Q2091" i="2"/>
  <c r="P2091" i="2"/>
  <c r="U2090" i="2"/>
  <c r="S2090" i="2"/>
  <c r="V2090" i="2" s="1" a="1"/>
  <c r="V2090" i="2" s="1"/>
  <c r="R2090" i="2"/>
  <c r="Q2090" i="2"/>
  <c r="P2090" i="2"/>
  <c r="V2089" i="2" a="1"/>
  <c r="V2089" i="2" s="1"/>
  <c r="U2089" i="2"/>
  <c r="S2089" i="2"/>
  <c r="R2089" i="2"/>
  <c r="Q2089" i="2"/>
  <c r="P2089" i="2"/>
  <c r="V2088" i="2"/>
  <c r="V2088" i="2" a="1"/>
  <c r="U2088" i="2"/>
  <c r="S2088" i="2"/>
  <c r="R2088" i="2"/>
  <c r="Q2088" i="2"/>
  <c r="P2088" i="2"/>
  <c r="V2087" i="2"/>
  <c r="V2087" i="2" a="1"/>
  <c r="U2087" i="2"/>
  <c r="S2087" i="2"/>
  <c r="R2087" i="2"/>
  <c r="Q2087" i="2"/>
  <c r="P2087" i="2"/>
  <c r="V2086" i="2"/>
  <c r="V2086" i="2" a="1"/>
  <c r="U2086" i="2"/>
  <c r="S2086" i="2"/>
  <c r="R2086" i="2"/>
  <c r="Q2086" i="2"/>
  <c r="P2086" i="2"/>
  <c r="U2085" i="2"/>
  <c r="S2085" i="2"/>
  <c r="R2085" i="2"/>
  <c r="Q2085" i="2"/>
  <c r="P2085" i="2"/>
  <c r="U2084" i="2"/>
  <c r="S2084" i="2"/>
  <c r="V2084" i="2" s="1" a="1"/>
  <c r="V2084" i="2" s="1"/>
  <c r="R2084" i="2"/>
  <c r="Q2084" i="2"/>
  <c r="P2084" i="2"/>
  <c r="U2083" i="2"/>
  <c r="S2083" i="2"/>
  <c r="R2083" i="2"/>
  <c r="Q2083" i="2"/>
  <c r="P2083" i="2"/>
  <c r="U2082" i="2"/>
  <c r="S2082" i="2"/>
  <c r="V2082" i="2" s="1" a="1"/>
  <c r="V2082" i="2" s="1"/>
  <c r="R2082" i="2"/>
  <c r="Q2082" i="2"/>
  <c r="P2082" i="2"/>
  <c r="V2081" i="2" a="1"/>
  <c r="V2081" i="2" s="1"/>
  <c r="U2081" i="2"/>
  <c r="S2081" i="2"/>
  <c r="R2081" i="2"/>
  <c r="Q2081" i="2"/>
  <c r="P2081" i="2"/>
  <c r="V2080" i="2" a="1"/>
  <c r="V2080" i="2" s="1"/>
  <c r="U2080" i="2"/>
  <c r="S2080" i="2"/>
  <c r="R2080" i="2"/>
  <c r="Q2080" i="2"/>
  <c r="P2080" i="2"/>
  <c r="V2079" i="2" a="1"/>
  <c r="V2079" i="2" s="1"/>
  <c r="U2079" i="2"/>
  <c r="S2079" i="2"/>
  <c r="R2079" i="2"/>
  <c r="Q2079" i="2"/>
  <c r="P2079" i="2"/>
  <c r="V2078" i="2"/>
  <c r="V2078" i="2" a="1"/>
  <c r="U2078" i="2"/>
  <c r="S2078" i="2"/>
  <c r="R2078" i="2"/>
  <c r="Q2078" i="2"/>
  <c r="P2078" i="2"/>
  <c r="U2077" i="2"/>
  <c r="S2077" i="2"/>
  <c r="R2077" i="2"/>
  <c r="Q2077" i="2"/>
  <c r="P2077" i="2"/>
  <c r="U2076" i="2"/>
  <c r="S2076" i="2"/>
  <c r="R2076" i="2"/>
  <c r="Q2076" i="2"/>
  <c r="P2076" i="2"/>
  <c r="U2075" i="2"/>
  <c r="S2075" i="2"/>
  <c r="V2075" i="2" s="1" a="1"/>
  <c r="V2075" i="2" s="1"/>
  <c r="R2075" i="2"/>
  <c r="Q2075" i="2"/>
  <c r="P2075" i="2"/>
  <c r="U2074" i="2"/>
  <c r="S2074" i="2"/>
  <c r="V2074" i="2" s="1" a="1"/>
  <c r="V2074" i="2" s="1"/>
  <c r="R2074" i="2"/>
  <c r="Q2074" i="2"/>
  <c r="P2074" i="2"/>
  <c r="V2073" i="2" a="1"/>
  <c r="V2073" i="2" s="1"/>
  <c r="U2073" i="2"/>
  <c r="S2073" i="2"/>
  <c r="R2073" i="2"/>
  <c r="Q2073" i="2"/>
  <c r="P2073" i="2"/>
  <c r="V2072" i="2" a="1"/>
  <c r="V2072" i="2" s="1"/>
  <c r="U2072" i="2"/>
  <c r="S2072" i="2"/>
  <c r="R2072" i="2"/>
  <c r="Q2072" i="2"/>
  <c r="P2072" i="2"/>
  <c r="V2071" i="2" a="1"/>
  <c r="V2071" i="2" s="1"/>
  <c r="U2071" i="2"/>
  <c r="S2071" i="2"/>
  <c r="R2071" i="2"/>
  <c r="Q2071" i="2"/>
  <c r="P2071" i="2"/>
  <c r="V2070" i="2"/>
  <c r="V2070" i="2" a="1"/>
  <c r="U2070" i="2"/>
  <c r="S2070" i="2"/>
  <c r="R2070" i="2"/>
  <c r="Q2070" i="2"/>
  <c r="P2070" i="2"/>
  <c r="U2069" i="2"/>
  <c r="S2069" i="2"/>
  <c r="R2069" i="2"/>
  <c r="Q2069" i="2"/>
  <c r="P2069" i="2"/>
  <c r="U2068" i="2"/>
  <c r="S2068" i="2"/>
  <c r="V2068" i="2" s="1" a="1"/>
  <c r="V2068" i="2" s="1"/>
  <c r="R2068" i="2"/>
  <c r="Q2068" i="2"/>
  <c r="P2068" i="2"/>
  <c r="U2067" i="2"/>
  <c r="S2067" i="2"/>
  <c r="V2067" i="2" s="1" a="1"/>
  <c r="V2067" i="2" s="1"/>
  <c r="R2067" i="2"/>
  <c r="Q2067" i="2"/>
  <c r="P2067" i="2"/>
  <c r="U2066" i="2"/>
  <c r="S2066" i="2"/>
  <c r="V2066" i="2" s="1" a="1"/>
  <c r="V2066" i="2" s="1"/>
  <c r="R2066" i="2"/>
  <c r="Q2066" i="2"/>
  <c r="P2066" i="2"/>
  <c r="V2065" i="2" a="1"/>
  <c r="V2065" i="2" s="1"/>
  <c r="U2065" i="2"/>
  <c r="S2065" i="2"/>
  <c r="R2065" i="2"/>
  <c r="Q2065" i="2"/>
  <c r="P2065" i="2"/>
  <c r="V2064" i="2"/>
  <c r="V2064" i="2" a="1"/>
  <c r="U2064" i="2"/>
  <c r="S2064" i="2"/>
  <c r="R2064" i="2"/>
  <c r="Q2064" i="2"/>
  <c r="P2064" i="2"/>
  <c r="V2063" i="2"/>
  <c r="V2063" i="2" a="1"/>
  <c r="U2063" i="2"/>
  <c r="S2063" i="2"/>
  <c r="R2063" i="2"/>
  <c r="Q2063" i="2"/>
  <c r="P2063" i="2"/>
  <c r="V2062" i="2"/>
  <c r="V2062" i="2" a="1"/>
  <c r="U2062" i="2"/>
  <c r="S2062" i="2"/>
  <c r="R2062" i="2"/>
  <c r="Q2062" i="2"/>
  <c r="P2062" i="2"/>
  <c r="U2061" i="2"/>
  <c r="S2061" i="2"/>
  <c r="R2061" i="2"/>
  <c r="Q2061" i="2"/>
  <c r="P2061" i="2"/>
  <c r="U2060" i="2"/>
  <c r="S2060" i="2"/>
  <c r="V2060" i="2" s="1" a="1"/>
  <c r="V2060" i="2" s="1"/>
  <c r="R2060" i="2"/>
  <c r="Q2060" i="2"/>
  <c r="P2060" i="2"/>
  <c r="U2059" i="2"/>
  <c r="S2059" i="2"/>
  <c r="V2059" i="2" s="1" a="1"/>
  <c r="V2059" i="2" s="1"/>
  <c r="R2059" i="2"/>
  <c r="Q2059" i="2"/>
  <c r="P2059" i="2"/>
  <c r="U2058" i="2"/>
  <c r="S2058" i="2"/>
  <c r="V2058" i="2" s="1" a="1"/>
  <c r="V2058" i="2" s="1"/>
  <c r="R2058" i="2"/>
  <c r="Q2058" i="2"/>
  <c r="P2058" i="2"/>
  <c r="V2057" i="2" a="1"/>
  <c r="V2057" i="2" s="1"/>
  <c r="U2057" i="2"/>
  <c r="S2057" i="2"/>
  <c r="R2057" i="2"/>
  <c r="Q2057" i="2"/>
  <c r="P2057" i="2"/>
  <c r="V2056" i="2" a="1"/>
  <c r="V2056" i="2" s="1"/>
  <c r="U2056" i="2"/>
  <c r="S2056" i="2"/>
  <c r="R2056" i="2"/>
  <c r="Q2056" i="2"/>
  <c r="P2056" i="2"/>
  <c r="V2055" i="2" a="1"/>
  <c r="V2055" i="2" s="1"/>
  <c r="U2055" i="2"/>
  <c r="S2055" i="2"/>
  <c r="R2055" i="2"/>
  <c r="Q2055" i="2"/>
  <c r="P2055" i="2"/>
  <c r="V2054" i="2"/>
  <c r="V2054" i="2" a="1"/>
  <c r="U2054" i="2"/>
  <c r="S2054" i="2"/>
  <c r="R2054" i="2"/>
  <c r="Q2054" i="2"/>
  <c r="P2054" i="2"/>
  <c r="U2053" i="2"/>
  <c r="S2053" i="2"/>
  <c r="R2053" i="2"/>
  <c r="Q2053" i="2"/>
  <c r="P2053" i="2"/>
  <c r="U2052" i="2"/>
  <c r="S2052" i="2"/>
  <c r="V2052" i="2" s="1" a="1"/>
  <c r="V2052" i="2" s="1"/>
  <c r="R2052" i="2"/>
  <c r="Q2052" i="2"/>
  <c r="P2052" i="2"/>
  <c r="U2051" i="2"/>
  <c r="S2051" i="2"/>
  <c r="V2051" i="2" s="1" a="1"/>
  <c r="V2051" i="2" s="1"/>
  <c r="R2051" i="2"/>
  <c r="Q2051" i="2"/>
  <c r="P2051" i="2"/>
  <c r="U2050" i="2"/>
  <c r="S2050" i="2"/>
  <c r="V2050" i="2" s="1" a="1"/>
  <c r="V2050" i="2" s="1"/>
  <c r="R2050" i="2"/>
  <c r="Q2050" i="2"/>
  <c r="P2050" i="2"/>
  <c r="V2049" i="2" a="1"/>
  <c r="V2049" i="2" s="1"/>
  <c r="U2049" i="2"/>
  <c r="S2049" i="2"/>
  <c r="R2049" i="2"/>
  <c r="Q2049" i="2"/>
  <c r="P2049" i="2"/>
  <c r="V2048" i="2"/>
  <c r="V2048" i="2" a="1"/>
  <c r="U2048" i="2"/>
  <c r="S2048" i="2"/>
  <c r="R2048" i="2"/>
  <c r="Q2048" i="2"/>
  <c r="P2048" i="2"/>
  <c r="V2047" i="2"/>
  <c r="V2047" i="2" a="1"/>
  <c r="U2047" i="2"/>
  <c r="S2047" i="2"/>
  <c r="R2047" i="2"/>
  <c r="Q2047" i="2"/>
  <c r="P2047" i="2"/>
  <c r="V2046" i="2"/>
  <c r="V2046" i="2" a="1"/>
  <c r="U2046" i="2"/>
  <c r="S2046" i="2"/>
  <c r="R2046" i="2"/>
  <c r="Q2046" i="2"/>
  <c r="P2046" i="2"/>
  <c r="U2045" i="2"/>
  <c r="S2045" i="2"/>
  <c r="R2045" i="2"/>
  <c r="Q2045" i="2"/>
  <c r="P2045" i="2"/>
  <c r="U2044" i="2"/>
  <c r="S2044" i="2"/>
  <c r="V2044" i="2" s="1" a="1"/>
  <c r="V2044" i="2" s="1"/>
  <c r="R2044" i="2"/>
  <c r="Q2044" i="2"/>
  <c r="P2044" i="2"/>
  <c r="U2043" i="2"/>
  <c r="S2043" i="2"/>
  <c r="V2043" i="2" s="1" a="1"/>
  <c r="V2043" i="2" s="1"/>
  <c r="R2043" i="2"/>
  <c r="Q2043" i="2"/>
  <c r="P2043" i="2"/>
  <c r="U2042" i="2"/>
  <c r="S2042" i="2"/>
  <c r="V2042" i="2" s="1" a="1"/>
  <c r="V2042" i="2" s="1"/>
  <c r="R2042" i="2"/>
  <c r="Q2042" i="2"/>
  <c r="P2042" i="2"/>
  <c r="V2041" i="2" a="1"/>
  <c r="V2041" i="2" s="1"/>
  <c r="U2041" i="2"/>
  <c r="S2041" i="2"/>
  <c r="R2041" i="2"/>
  <c r="Q2041" i="2"/>
  <c r="P2041" i="2"/>
  <c r="V2040" i="2" a="1"/>
  <c r="V2040" i="2" s="1"/>
  <c r="U2040" i="2"/>
  <c r="S2040" i="2"/>
  <c r="R2040" i="2"/>
  <c r="Q2040" i="2"/>
  <c r="P2040" i="2"/>
  <c r="V2039" i="2" a="1"/>
  <c r="V2039" i="2" s="1"/>
  <c r="U2039" i="2"/>
  <c r="S2039" i="2"/>
  <c r="R2039" i="2"/>
  <c r="Q2039" i="2"/>
  <c r="P2039" i="2"/>
  <c r="V2038" i="2"/>
  <c r="V2038" i="2" a="1"/>
  <c r="U2038" i="2"/>
  <c r="S2038" i="2"/>
  <c r="R2038" i="2"/>
  <c r="Q2038" i="2"/>
  <c r="P2038" i="2"/>
  <c r="U2037" i="2"/>
  <c r="S2037" i="2"/>
  <c r="R2037" i="2"/>
  <c r="Q2037" i="2"/>
  <c r="P2037" i="2"/>
  <c r="U2036" i="2"/>
  <c r="S2036" i="2"/>
  <c r="V2036" i="2" s="1" a="1"/>
  <c r="V2036" i="2" s="1"/>
  <c r="R2036" i="2"/>
  <c r="Q2036" i="2"/>
  <c r="P2036" i="2"/>
  <c r="U2035" i="2"/>
  <c r="S2035" i="2"/>
  <c r="V2035" i="2" s="1" a="1"/>
  <c r="V2035" i="2" s="1"/>
  <c r="R2035" i="2"/>
  <c r="Q2035" i="2"/>
  <c r="P2035" i="2"/>
  <c r="U2034" i="2"/>
  <c r="S2034" i="2"/>
  <c r="V2034" i="2" s="1" a="1"/>
  <c r="V2034" i="2" s="1"/>
  <c r="R2034" i="2"/>
  <c r="Q2034" i="2"/>
  <c r="P2034" i="2"/>
  <c r="V2033" i="2" a="1"/>
  <c r="V2033" i="2" s="1"/>
  <c r="U2033" i="2"/>
  <c r="S2033" i="2"/>
  <c r="R2033" i="2"/>
  <c r="Q2033" i="2"/>
  <c r="P2033" i="2"/>
  <c r="V2032" i="2"/>
  <c r="V2032" i="2" a="1"/>
  <c r="U2032" i="2"/>
  <c r="S2032" i="2"/>
  <c r="R2032" i="2"/>
  <c r="Q2032" i="2"/>
  <c r="P2032" i="2"/>
  <c r="V2031" i="2"/>
  <c r="V2031" i="2" a="1"/>
  <c r="U2031" i="2"/>
  <c r="S2031" i="2"/>
  <c r="R2031" i="2"/>
  <c r="Q2031" i="2"/>
  <c r="P2031" i="2"/>
  <c r="V2030" i="2"/>
  <c r="V2030" i="2" a="1"/>
  <c r="U2030" i="2"/>
  <c r="S2030" i="2"/>
  <c r="R2030" i="2"/>
  <c r="Q2030" i="2"/>
  <c r="P2030" i="2"/>
  <c r="U2029" i="2"/>
  <c r="S2029" i="2"/>
  <c r="R2029" i="2"/>
  <c r="Q2029" i="2"/>
  <c r="P2029" i="2"/>
  <c r="U2028" i="2"/>
  <c r="S2028" i="2"/>
  <c r="V2028" i="2" s="1" a="1"/>
  <c r="V2028" i="2" s="1"/>
  <c r="R2028" i="2"/>
  <c r="Q2028" i="2"/>
  <c r="P2028" i="2"/>
  <c r="U2027" i="2"/>
  <c r="S2027" i="2"/>
  <c r="V2027" i="2" s="1" a="1"/>
  <c r="V2027" i="2" s="1"/>
  <c r="R2027" i="2"/>
  <c r="Q2027" i="2"/>
  <c r="P2027" i="2"/>
  <c r="U2026" i="2"/>
  <c r="S2026" i="2"/>
  <c r="V2026" i="2" s="1" a="1"/>
  <c r="V2026" i="2" s="1"/>
  <c r="R2026" i="2"/>
  <c r="Q2026" i="2"/>
  <c r="P2026" i="2"/>
  <c r="V2025" i="2" a="1"/>
  <c r="V2025" i="2" s="1"/>
  <c r="U2025" i="2"/>
  <c r="S2025" i="2"/>
  <c r="R2025" i="2"/>
  <c r="Q2025" i="2"/>
  <c r="P2025" i="2"/>
  <c r="V2024" i="2"/>
  <c r="V2024" i="2" a="1"/>
  <c r="U2024" i="2"/>
  <c r="S2024" i="2"/>
  <c r="R2024" i="2"/>
  <c r="Q2024" i="2"/>
  <c r="P2024" i="2"/>
  <c r="V2023" i="2"/>
  <c r="V2023" i="2" a="1"/>
  <c r="U2023" i="2"/>
  <c r="S2023" i="2"/>
  <c r="R2023" i="2"/>
  <c r="Q2023" i="2"/>
  <c r="P2023" i="2"/>
  <c r="V2022" i="2"/>
  <c r="V2022" i="2" a="1"/>
  <c r="U2022" i="2"/>
  <c r="S2022" i="2"/>
  <c r="R2022" i="2"/>
  <c r="Q2022" i="2"/>
  <c r="P2022" i="2"/>
  <c r="U2021" i="2"/>
  <c r="S2021" i="2"/>
  <c r="R2021" i="2"/>
  <c r="Q2021" i="2"/>
  <c r="P2021" i="2"/>
  <c r="U2020" i="2"/>
  <c r="S2020" i="2"/>
  <c r="V2020" i="2" s="1" a="1"/>
  <c r="V2020" i="2" s="1"/>
  <c r="R2020" i="2"/>
  <c r="Q2020" i="2"/>
  <c r="P2020" i="2"/>
  <c r="U2019" i="2"/>
  <c r="S2019" i="2"/>
  <c r="V2019" i="2" s="1" a="1"/>
  <c r="V2019" i="2" s="1"/>
  <c r="R2019" i="2"/>
  <c r="Q2019" i="2"/>
  <c r="P2019" i="2"/>
  <c r="U2018" i="2"/>
  <c r="S2018" i="2"/>
  <c r="V2018" i="2" s="1" a="1"/>
  <c r="V2018" i="2" s="1"/>
  <c r="R2018" i="2"/>
  <c r="Q2018" i="2"/>
  <c r="P2018" i="2"/>
  <c r="V2017" i="2" a="1"/>
  <c r="V2017" i="2" s="1"/>
  <c r="U2017" i="2"/>
  <c r="S2017" i="2"/>
  <c r="R2017" i="2"/>
  <c r="Q2017" i="2"/>
  <c r="P2017" i="2"/>
  <c r="V2016" i="2"/>
  <c r="V2016" i="2" a="1"/>
  <c r="U2016" i="2"/>
  <c r="S2016" i="2"/>
  <c r="R2016" i="2"/>
  <c r="Q2016" i="2"/>
  <c r="P2016" i="2"/>
  <c r="V2015" i="2"/>
  <c r="V2015" i="2" a="1"/>
  <c r="U2015" i="2"/>
  <c r="S2015" i="2"/>
  <c r="R2015" i="2"/>
  <c r="Q2015" i="2"/>
  <c r="P2015" i="2"/>
  <c r="V2014" i="2"/>
  <c r="V2014" i="2" a="1"/>
  <c r="U2014" i="2"/>
  <c r="S2014" i="2"/>
  <c r="R2014" i="2"/>
  <c r="Q2014" i="2"/>
  <c r="P2014" i="2"/>
  <c r="U2013" i="2"/>
  <c r="S2013" i="2"/>
  <c r="R2013" i="2"/>
  <c r="Q2013" i="2"/>
  <c r="P2013" i="2"/>
  <c r="U2012" i="2"/>
  <c r="S2012" i="2"/>
  <c r="V2012" i="2" s="1" a="1"/>
  <c r="V2012" i="2" s="1"/>
  <c r="R2012" i="2"/>
  <c r="Q2012" i="2"/>
  <c r="P2012" i="2"/>
  <c r="U2011" i="2"/>
  <c r="S2011" i="2"/>
  <c r="V2011" i="2" s="1" a="1"/>
  <c r="V2011" i="2" s="1"/>
  <c r="R2011" i="2"/>
  <c r="Q2011" i="2"/>
  <c r="P2011" i="2"/>
  <c r="U2010" i="2"/>
  <c r="S2010" i="2"/>
  <c r="V2010" i="2" s="1" a="1"/>
  <c r="V2010" i="2" s="1"/>
  <c r="R2010" i="2"/>
  <c r="Q2010" i="2"/>
  <c r="P2010" i="2"/>
  <c r="V2009" i="2" a="1"/>
  <c r="V2009" i="2" s="1"/>
  <c r="U2009" i="2"/>
  <c r="S2009" i="2"/>
  <c r="R2009" i="2"/>
  <c r="Q2009" i="2"/>
  <c r="P2009" i="2"/>
  <c r="V2008" i="2"/>
  <c r="V2008" i="2" a="1"/>
  <c r="U2008" i="2"/>
  <c r="S2008" i="2"/>
  <c r="R2008" i="2"/>
  <c r="Q2008" i="2"/>
  <c r="P2008" i="2"/>
  <c r="V2007" i="2" a="1"/>
  <c r="V2007" i="2" s="1"/>
  <c r="U2007" i="2"/>
  <c r="S2007" i="2"/>
  <c r="R2007" i="2"/>
  <c r="Q2007" i="2"/>
  <c r="P2007" i="2"/>
  <c r="V2006" i="2"/>
  <c r="V2006" i="2" a="1"/>
  <c r="U2006" i="2"/>
  <c r="S2006" i="2"/>
  <c r="R2006" i="2"/>
  <c r="Q2006" i="2"/>
  <c r="P2006" i="2"/>
  <c r="U2005" i="2"/>
  <c r="S2005" i="2"/>
  <c r="R2005" i="2"/>
  <c r="Q2005" i="2"/>
  <c r="P2005" i="2"/>
  <c r="U2004" i="2"/>
  <c r="S2004" i="2"/>
  <c r="V2004" i="2" s="1" a="1"/>
  <c r="V2004" i="2" s="1"/>
  <c r="R2004" i="2"/>
  <c r="Q2004" i="2"/>
  <c r="P2004" i="2"/>
  <c r="U2003" i="2"/>
  <c r="S2003" i="2"/>
  <c r="R2003" i="2"/>
  <c r="Q2003" i="2"/>
  <c r="P2003" i="2"/>
  <c r="U2002" i="2"/>
  <c r="S2002" i="2"/>
  <c r="V2002" i="2" s="1" a="1"/>
  <c r="V2002" i="2" s="1"/>
  <c r="R2002" i="2"/>
  <c r="Q2002" i="2"/>
  <c r="P2002" i="2"/>
  <c r="V2001" i="2" a="1"/>
  <c r="V2001" i="2" s="1"/>
  <c r="U2001" i="2"/>
  <c r="S2001" i="2"/>
  <c r="R2001" i="2"/>
  <c r="Q2001" i="2"/>
  <c r="P2001" i="2"/>
  <c r="V2000" i="2" a="1"/>
  <c r="V2000" i="2" s="1"/>
  <c r="U2000" i="2"/>
  <c r="S2000" i="2"/>
  <c r="R2000" i="2"/>
  <c r="Q2000" i="2"/>
  <c r="P2000" i="2"/>
  <c r="V1999" i="2" a="1"/>
  <c r="V1999" i="2" s="1"/>
  <c r="U1999" i="2"/>
  <c r="S1999" i="2"/>
  <c r="R1999" i="2"/>
  <c r="Q1999" i="2"/>
  <c r="P1999" i="2"/>
  <c r="V1998" i="2"/>
  <c r="V1998" i="2" a="1"/>
  <c r="U1998" i="2"/>
  <c r="S1998" i="2"/>
  <c r="R1998" i="2"/>
  <c r="Q1998" i="2"/>
  <c r="P1998" i="2"/>
  <c r="U1997" i="2"/>
  <c r="S1997" i="2"/>
  <c r="R1997" i="2"/>
  <c r="Q1997" i="2"/>
  <c r="P1997" i="2"/>
  <c r="U1996" i="2"/>
  <c r="S1996" i="2"/>
  <c r="R1996" i="2"/>
  <c r="Q1996" i="2"/>
  <c r="P1996" i="2"/>
  <c r="U1995" i="2"/>
  <c r="S1995" i="2"/>
  <c r="V1995" i="2" s="1" a="1"/>
  <c r="V1995" i="2" s="1"/>
  <c r="R1995" i="2"/>
  <c r="Q1995" i="2"/>
  <c r="P1995" i="2"/>
  <c r="U1994" i="2"/>
  <c r="S1994" i="2"/>
  <c r="V1994" i="2" s="1" a="1"/>
  <c r="V1994" i="2" s="1"/>
  <c r="R1994" i="2"/>
  <c r="Q1994" i="2"/>
  <c r="P1994" i="2"/>
  <c r="V1993" i="2" a="1"/>
  <c r="V1993" i="2" s="1"/>
  <c r="U1993" i="2"/>
  <c r="S1993" i="2"/>
  <c r="R1993" i="2"/>
  <c r="Q1993" i="2"/>
  <c r="P1993" i="2"/>
  <c r="V1992" i="2" a="1"/>
  <c r="V1992" i="2" s="1"/>
  <c r="U1992" i="2"/>
  <c r="S1992" i="2"/>
  <c r="R1992" i="2"/>
  <c r="Q1992" i="2"/>
  <c r="P1992" i="2"/>
  <c r="V1991" i="2" a="1"/>
  <c r="V1991" i="2" s="1"/>
  <c r="U1991" i="2"/>
  <c r="S1991" i="2"/>
  <c r="R1991" i="2"/>
  <c r="Q1991" i="2"/>
  <c r="P1991" i="2"/>
  <c r="V1990" i="2"/>
  <c r="V1990" i="2" a="1"/>
  <c r="U1990" i="2"/>
  <c r="S1990" i="2"/>
  <c r="R1990" i="2"/>
  <c r="Q1990" i="2"/>
  <c r="P1990" i="2"/>
  <c r="U1989" i="2"/>
  <c r="S1989" i="2"/>
  <c r="R1989" i="2"/>
  <c r="Q1989" i="2"/>
  <c r="P1989" i="2"/>
  <c r="U1988" i="2"/>
  <c r="S1988" i="2"/>
  <c r="V1988" i="2" s="1" a="1"/>
  <c r="V1988" i="2" s="1"/>
  <c r="R1988" i="2"/>
  <c r="Q1988" i="2"/>
  <c r="P1988" i="2"/>
  <c r="U1987" i="2"/>
  <c r="S1987" i="2"/>
  <c r="V1987" i="2" s="1" a="1"/>
  <c r="V1987" i="2" s="1"/>
  <c r="R1987" i="2"/>
  <c r="Q1987" i="2"/>
  <c r="P1987" i="2"/>
  <c r="U1986" i="2"/>
  <c r="S1986" i="2"/>
  <c r="V1986" i="2" s="1" a="1"/>
  <c r="V1986" i="2" s="1"/>
  <c r="R1986" i="2"/>
  <c r="Q1986" i="2"/>
  <c r="P1986" i="2"/>
  <c r="V1985" i="2" a="1"/>
  <c r="V1985" i="2" s="1"/>
  <c r="U1985" i="2"/>
  <c r="S1985" i="2"/>
  <c r="R1985" i="2"/>
  <c r="Q1985" i="2"/>
  <c r="P1985" i="2"/>
  <c r="V1984" i="2"/>
  <c r="V1984" i="2" a="1"/>
  <c r="U1984" i="2"/>
  <c r="S1984" i="2"/>
  <c r="R1984" i="2"/>
  <c r="Q1984" i="2"/>
  <c r="P1984" i="2"/>
  <c r="V1983" i="2"/>
  <c r="V1983" i="2" a="1"/>
  <c r="U1983" i="2"/>
  <c r="S1983" i="2"/>
  <c r="R1983" i="2"/>
  <c r="Q1983" i="2"/>
  <c r="P1983" i="2"/>
  <c r="V1982" i="2"/>
  <c r="V1982" i="2" a="1"/>
  <c r="U1982" i="2"/>
  <c r="S1982" i="2"/>
  <c r="R1982" i="2"/>
  <c r="Q1982" i="2"/>
  <c r="P1982" i="2"/>
  <c r="U1981" i="2"/>
  <c r="S1981" i="2"/>
  <c r="R1981" i="2"/>
  <c r="Q1981" i="2"/>
  <c r="P1981" i="2"/>
  <c r="U1980" i="2"/>
  <c r="S1980" i="2"/>
  <c r="V1980" i="2" s="1" a="1"/>
  <c r="V1980" i="2" s="1"/>
  <c r="R1980" i="2"/>
  <c r="Q1980" i="2"/>
  <c r="P1980" i="2"/>
  <c r="U1979" i="2"/>
  <c r="S1979" i="2"/>
  <c r="V1979" i="2" s="1" a="1"/>
  <c r="V1979" i="2" s="1"/>
  <c r="R1979" i="2"/>
  <c r="Q1979" i="2"/>
  <c r="P1979" i="2"/>
  <c r="U1978" i="2"/>
  <c r="S1978" i="2"/>
  <c r="V1978" i="2" s="1" a="1"/>
  <c r="V1978" i="2" s="1"/>
  <c r="R1978" i="2"/>
  <c r="Q1978" i="2"/>
  <c r="P1978" i="2"/>
  <c r="V1977" i="2" a="1"/>
  <c r="V1977" i="2" s="1"/>
  <c r="U1977" i="2"/>
  <c r="S1977" i="2"/>
  <c r="R1977" i="2"/>
  <c r="Q1977" i="2"/>
  <c r="P1977" i="2"/>
  <c r="V1976" i="2" a="1"/>
  <c r="V1976" i="2" s="1"/>
  <c r="U1976" i="2"/>
  <c r="S1976" i="2"/>
  <c r="R1976" i="2"/>
  <c r="Q1976" i="2"/>
  <c r="P1976" i="2"/>
  <c r="V1975" i="2" a="1"/>
  <c r="V1975" i="2" s="1"/>
  <c r="U1975" i="2"/>
  <c r="S1975" i="2"/>
  <c r="R1975" i="2"/>
  <c r="Q1975" i="2"/>
  <c r="P1975" i="2"/>
  <c r="V1974" i="2"/>
  <c r="V1974" i="2" a="1"/>
  <c r="U1974" i="2"/>
  <c r="S1974" i="2"/>
  <c r="R1974" i="2"/>
  <c r="Q1974" i="2"/>
  <c r="P1974" i="2"/>
  <c r="U1973" i="2"/>
  <c r="S1973" i="2"/>
  <c r="R1973" i="2"/>
  <c r="Q1973" i="2"/>
  <c r="P1973" i="2"/>
  <c r="U1972" i="2"/>
  <c r="S1972" i="2"/>
  <c r="V1972" i="2" s="1" a="1"/>
  <c r="V1972" i="2" s="1"/>
  <c r="R1972" i="2"/>
  <c r="Q1972" i="2"/>
  <c r="P1972" i="2"/>
  <c r="U1971" i="2"/>
  <c r="S1971" i="2"/>
  <c r="V1971" i="2" s="1" a="1"/>
  <c r="V1971" i="2" s="1"/>
  <c r="R1971" i="2"/>
  <c r="Q1971" i="2"/>
  <c r="P1971" i="2"/>
  <c r="U1970" i="2"/>
  <c r="S1970" i="2"/>
  <c r="V1970" i="2" s="1" a="1"/>
  <c r="V1970" i="2" s="1"/>
  <c r="R1970" i="2"/>
  <c r="Q1970" i="2"/>
  <c r="P1970" i="2"/>
  <c r="V1969" i="2" a="1"/>
  <c r="V1969" i="2" s="1"/>
  <c r="U1969" i="2"/>
  <c r="S1969" i="2"/>
  <c r="R1969" i="2"/>
  <c r="Q1969" i="2"/>
  <c r="P1969" i="2"/>
  <c r="V1968" i="2"/>
  <c r="V1968" i="2" a="1"/>
  <c r="U1968" i="2"/>
  <c r="S1968" i="2"/>
  <c r="R1968" i="2"/>
  <c r="Q1968" i="2"/>
  <c r="P1968" i="2"/>
  <c r="V1967" i="2"/>
  <c r="V1967" i="2" a="1"/>
  <c r="U1967" i="2"/>
  <c r="S1967" i="2"/>
  <c r="R1967" i="2"/>
  <c r="Q1967" i="2"/>
  <c r="P1967" i="2"/>
  <c r="V1966" i="2"/>
  <c r="V1966" i="2" a="1"/>
  <c r="U1966" i="2"/>
  <c r="S1966" i="2"/>
  <c r="R1966" i="2"/>
  <c r="Q1966" i="2"/>
  <c r="P1966" i="2"/>
  <c r="U1965" i="2"/>
  <c r="S1965" i="2"/>
  <c r="R1965" i="2"/>
  <c r="Q1965" i="2"/>
  <c r="P1965" i="2"/>
  <c r="U1964" i="2"/>
  <c r="S1964" i="2"/>
  <c r="V1964" i="2" s="1" a="1"/>
  <c r="V1964" i="2" s="1"/>
  <c r="R1964" i="2"/>
  <c r="Q1964" i="2"/>
  <c r="P1964" i="2"/>
  <c r="U1963" i="2"/>
  <c r="S1963" i="2"/>
  <c r="V1963" i="2" s="1" a="1"/>
  <c r="V1963" i="2" s="1"/>
  <c r="R1963" i="2"/>
  <c r="Q1963" i="2"/>
  <c r="P1963" i="2"/>
  <c r="U1962" i="2"/>
  <c r="S1962" i="2"/>
  <c r="V1962" i="2" s="1" a="1"/>
  <c r="V1962" i="2" s="1"/>
  <c r="R1962" i="2"/>
  <c r="Q1962" i="2"/>
  <c r="P1962" i="2"/>
  <c r="V1961" i="2" a="1"/>
  <c r="V1961" i="2" s="1"/>
  <c r="U1961" i="2"/>
  <c r="S1961" i="2"/>
  <c r="R1961" i="2"/>
  <c r="Q1961" i="2"/>
  <c r="P1961" i="2"/>
  <c r="V1960" i="2" a="1"/>
  <c r="V1960" i="2" s="1"/>
  <c r="U1960" i="2"/>
  <c r="S1960" i="2"/>
  <c r="R1960" i="2"/>
  <c r="Q1960" i="2"/>
  <c r="P1960" i="2"/>
  <c r="V1959" i="2" a="1"/>
  <c r="V1959" i="2" s="1"/>
  <c r="U1959" i="2"/>
  <c r="S1959" i="2"/>
  <c r="R1959" i="2"/>
  <c r="Q1959" i="2"/>
  <c r="P1959" i="2"/>
  <c r="V1958" i="2"/>
  <c r="V1958" i="2" a="1"/>
  <c r="U1958" i="2"/>
  <c r="S1958" i="2"/>
  <c r="R1958" i="2"/>
  <c r="Q1958" i="2"/>
  <c r="P1958" i="2"/>
  <c r="U1957" i="2"/>
  <c r="S1957" i="2"/>
  <c r="R1957" i="2"/>
  <c r="Q1957" i="2"/>
  <c r="P1957" i="2"/>
  <c r="U1956" i="2"/>
  <c r="S1956" i="2"/>
  <c r="V1956" i="2" s="1" a="1"/>
  <c r="V1956" i="2" s="1"/>
  <c r="R1956" i="2"/>
  <c r="Q1956" i="2"/>
  <c r="P1956" i="2"/>
  <c r="U1955" i="2"/>
  <c r="S1955" i="2"/>
  <c r="V1955" i="2" s="1" a="1"/>
  <c r="V1955" i="2" s="1"/>
  <c r="R1955" i="2"/>
  <c r="Q1955" i="2"/>
  <c r="P1955" i="2"/>
  <c r="U1954" i="2"/>
  <c r="S1954" i="2"/>
  <c r="V1954" i="2" s="1" a="1"/>
  <c r="V1954" i="2" s="1"/>
  <c r="R1954" i="2"/>
  <c r="Q1954" i="2"/>
  <c r="P1954" i="2"/>
  <c r="V1953" i="2" a="1"/>
  <c r="V1953" i="2" s="1"/>
  <c r="U1953" i="2"/>
  <c r="S1953" i="2"/>
  <c r="R1953" i="2"/>
  <c r="Q1953" i="2"/>
  <c r="P1953" i="2"/>
  <c r="V1952" i="2"/>
  <c r="V1952" i="2" a="1"/>
  <c r="U1952" i="2"/>
  <c r="S1952" i="2"/>
  <c r="R1952" i="2"/>
  <c r="Q1952" i="2"/>
  <c r="P1952" i="2"/>
  <c r="V1951" i="2"/>
  <c r="V1951" i="2" a="1"/>
  <c r="U1951" i="2"/>
  <c r="S1951" i="2"/>
  <c r="R1951" i="2"/>
  <c r="Q1951" i="2"/>
  <c r="P1951" i="2"/>
  <c r="V1950" i="2"/>
  <c r="V1950" i="2" a="1"/>
  <c r="U1950" i="2"/>
  <c r="S1950" i="2"/>
  <c r="R1950" i="2"/>
  <c r="Q1950" i="2"/>
  <c r="P1950" i="2"/>
  <c r="U1949" i="2"/>
  <c r="S1949" i="2"/>
  <c r="R1949" i="2"/>
  <c r="Q1949" i="2"/>
  <c r="P1949" i="2"/>
  <c r="U1948" i="2"/>
  <c r="S1948" i="2"/>
  <c r="V1948" i="2" s="1" a="1"/>
  <c r="V1948" i="2" s="1"/>
  <c r="R1948" i="2"/>
  <c r="Q1948" i="2"/>
  <c r="P1948" i="2"/>
  <c r="U1947" i="2"/>
  <c r="S1947" i="2"/>
  <c r="R1947" i="2"/>
  <c r="Q1947" i="2"/>
  <c r="P1947" i="2"/>
  <c r="U1946" i="2"/>
  <c r="S1946" i="2"/>
  <c r="V1946" i="2" s="1" a="1"/>
  <c r="V1946" i="2" s="1"/>
  <c r="R1946" i="2"/>
  <c r="Q1946" i="2"/>
  <c r="P1946" i="2"/>
  <c r="V1945" i="2" a="1"/>
  <c r="V1945" i="2" s="1"/>
  <c r="U1945" i="2"/>
  <c r="S1945" i="2"/>
  <c r="R1945" i="2"/>
  <c r="Q1945" i="2"/>
  <c r="P1945" i="2"/>
  <c r="V1944" i="2"/>
  <c r="V1944" i="2" a="1"/>
  <c r="U1944" i="2"/>
  <c r="S1944" i="2"/>
  <c r="R1944" i="2"/>
  <c r="Q1944" i="2"/>
  <c r="P1944" i="2"/>
  <c r="U1943" i="2"/>
  <c r="S1943" i="2"/>
  <c r="R1943" i="2"/>
  <c r="Q1943" i="2"/>
  <c r="P1943" i="2"/>
  <c r="V1942" i="2"/>
  <c r="V1942" i="2" a="1"/>
  <c r="U1942" i="2"/>
  <c r="S1942" i="2"/>
  <c r="R1942" i="2"/>
  <c r="Q1942" i="2"/>
  <c r="P1942" i="2"/>
  <c r="V1941" i="2" a="1"/>
  <c r="V1941" i="2" s="1"/>
  <c r="U1941" i="2"/>
  <c r="S1941" i="2"/>
  <c r="R1941" i="2"/>
  <c r="Q1941" i="2"/>
  <c r="P1941" i="2"/>
  <c r="U1940" i="2"/>
  <c r="S1940" i="2"/>
  <c r="R1940" i="2"/>
  <c r="Q1940" i="2"/>
  <c r="P1940" i="2"/>
  <c r="U1939" i="2"/>
  <c r="S1939" i="2"/>
  <c r="R1939" i="2"/>
  <c r="Q1939" i="2"/>
  <c r="P1939" i="2"/>
  <c r="U1938" i="2"/>
  <c r="S1938" i="2"/>
  <c r="V1938" i="2" s="1" a="1"/>
  <c r="V1938" i="2" s="1"/>
  <c r="R1938" i="2"/>
  <c r="Q1938" i="2"/>
  <c r="P1938" i="2"/>
  <c r="V1937" i="2" a="1"/>
  <c r="V1937" i="2" s="1"/>
  <c r="U1937" i="2"/>
  <c r="S1937" i="2"/>
  <c r="R1937" i="2"/>
  <c r="Q1937" i="2"/>
  <c r="P1937" i="2"/>
  <c r="V1936" i="2" a="1"/>
  <c r="V1936" i="2" s="1"/>
  <c r="U1936" i="2"/>
  <c r="S1936" i="2"/>
  <c r="R1936" i="2"/>
  <c r="Q1936" i="2"/>
  <c r="P1936" i="2"/>
  <c r="V1935" i="2" a="1"/>
  <c r="V1935" i="2" s="1"/>
  <c r="U1935" i="2"/>
  <c r="S1935" i="2"/>
  <c r="R1935" i="2"/>
  <c r="Q1935" i="2"/>
  <c r="P1935" i="2"/>
  <c r="V1934" i="2"/>
  <c r="V1934" i="2" a="1"/>
  <c r="U1934" i="2"/>
  <c r="S1934" i="2"/>
  <c r="R1934" i="2"/>
  <c r="Q1934" i="2"/>
  <c r="P1934" i="2"/>
  <c r="V1933" i="2" a="1"/>
  <c r="V1933" i="2" s="1"/>
  <c r="U1933" i="2"/>
  <c r="S1933" i="2"/>
  <c r="R1933" i="2"/>
  <c r="Q1933" i="2"/>
  <c r="P1933" i="2"/>
  <c r="U1932" i="2"/>
  <c r="S1932" i="2"/>
  <c r="V1932" i="2" s="1" a="1"/>
  <c r="V1932" i="2" s="1"/>
  <c r="R1932" i="2"/>
  <c r="Q1932" i="2"/>
  <c r="P1932" i="2"/>
  <c r="U1931" i="2"/>
  <c r="S1931" i="2"/>
  <c r="V1931" i="2" s="1" a="1"/>
  <c r="V1931" i="2" s="1"/>
  <c r="R1931" i="2"/>
  <c r="Q1931" i="2"/>
  <c r="P1931" i="2"/>
  <c r="U1930" i="2"/>
  <c r="S1930" i="2"/>
  <c r="V1930" i="2" s="1" a="1"/>
  <c r="V1930" i="2" s="1"/>
  <c r="R1930" i="2"/>
  <c r="Q1930" i="2"/>
  <c r="P1930" i="2"/>
  <c r="U1929" i="2"/>
  <c r="S1929" i="2"/>
  <c r="R1929" i="2"/>
  <c r="Q1929" i="2"/>
  <c r="P1929" i="2"/>
  <c r="V1928" i="2"/>
  <c r="V1928" i="2" a="1"/>
  <c r="U1928" i="2"/>
  <c r="S1928" i="2"/>
  <c r="R1928" i="2"/>
  <c r="Q1928" i="2"/>
  <c r="P1928" i="2"/>
  <c r="U1927" i="2"/>
  <c r="S1927" i="2"/>
  <c r="R1927" i="2"/>
  <c r="Q1927" i="2"/>
  <c r="P1927" i="2"/>
  <c r="V1926" i="2"/>
  <c r="V1926" i="2" a="1"/>
  <c r="U1926" i="2"/>
  <c r="S1926" i="2"/>
  <c r="R1926" i="2"/>
  <c r="Q1926" i="2"/>
  <c r="P1926" i="2"/>
  <c r="V1925" i="2" a="1"/>
  <c r="V1925" i="2" s="1"/>
  <c r="U1925" i="2"/>
  <c r="S1925" i="2"/>
  <c r="R1925" i="2"/>
  <c r="Q1925" i="2"/>
  <c r="P1925" i="2"/>
  <c r="U1924" i="2"/>
  <c r="S1924" i="2"/>
  <c r="V1924" i="2" s="1" a="1"/>
  <c r="V1924" i="2" s="1"/>
  <c r="R1924" i="2"/>
  <c r="Q1924" i="2"/>
  <c r="P1924" i="2"/>
  <c r="V1923" i="2" a="1"/>
  <c r="V1923" i="2" s="1"/>
  <c r="U1923" i="2"/>
  <c r="S1923" i="2"/>
  <c r="R1923" i="2"/>
  <c r="Q1923" i="2"/>
  <c r="P1923" i="2"/>
  <c r="V1922" i="2"/>
  <c r="U1922" i="2"/>
  <c r="S1922" i="2"/>
  <c r="V1922" i="2" s="1" a="1"/>
  <c r="R1922" i="2"/>
  <c r="Q1922" i="2"/>
  <c r="P1922" i="2"/>
  <c r="V1921" i="2" a="1"/>
  <c r="V1921" i="2" s="1"/>
  <c r="U1921" i="2"/>
  <c r="S1921" i="2"/>
  <c r="R1921" i="2"/>
  <c r="Q1921" i="2"/>
  <c r="P1921" i="2"/>
  <c r="V1920" i="2" a="1"/>
  <c r="V1920" i="2" s="1"/>
  <c r="U1920" i="2"/>
  <c r="S1920" i="2"/>
  <c r="R1920" i="2"/>
  <c r="Q1920" i="2"/>
  <c r="P1920" i="2"/>
  <c r="V1919" i="2" a="1"/>
  <c r="V1919" i="2" s="1"/>
  <c r="U1919" i="2"/>
  <c r="S1919" i="2"/>
  <c r="R1919" i="2"/>
  <c r="Q1919" i="2"/>
  <c r="P1919" i="2"/>
  <c r="V1918" i="2"/>
  <c r="V1918" i="2" a="1"/>
  <c r="U1918" i="2"/>
  <c r="S1918" i="2"/>
  <c r="R1918" i="2"/>
  <c r="Q1918" i="2"/>
  <c r="P1918" i="2"/>
  <c r="U1917" i="2"/>
  <c r="S1917" i="2"/>
  <c r="R1917" i="2"/>
  <c r="Q1917" i="2"/>
  <c r="P1917" i="2"/>
  <c r="V1916" i="2"/>
  <c r="U1916" i="2"/>
  <c r="S1916" i="2"/>
  <c r="V1916" i="2" s="1" a="1"/>
  <c r="R1916" i="2"/>
  <c r="Q1916" i="2"/>
  <c r="P1916" i="2"/>
  <c r="V1915" i="2" a="1"/>
  <c r="V1915" i="2" s="1"/>
  <c r="U1915" i="2"/>
  <c r="S1915" i="2"/>
  <c r="R1915" i="2"/>
  <c r="Q1915" i="2"/>
  <c r="P1915" i="2"/>
  <c r="V1914" i="2"/>
  <c r="U1914" i="2"/>
  <c r="S1914" i="2"/>
  <c r="V1914" i="2" s="1" a="1"/>
  <c r="R1914" i="2"/>
  <c r="Q1914" i="2"/>
  <c r="P1914" i="2"/>
  <c r="V1913" i="2" a="1"/>
  <c r="V1913" i="2" s="1"/>
  <c r="U1913" i="2"/>
  <c r="S1913" i="2"/>
  <c r="R1913" i="2"/>
  <c r="Q1913" i="2"/>
  <c r="P1913" i="2"/>
  <c r="V1912" i="2" a="1"/>
  <c r="V1912" i="2" s="1"/>
  <c r="U1912" i="2"/>
  <c r="S1912" i="2"/>
  <c r="R1912" i="2"/>
  <c r="Q1912" i="2"/>
  <c r="P1912" i="2"/>
  <c r="U1911" i="2"/>
  <c r="S1911" i="2"/>
  <c r="R1911" i="2"/>
  <c r="Q1911" i="2"/>
  <c r="P1911" i="2"/>
  <c r="V1910" i="2"/>
  <c r="V1910" i="2" a="1"/>
  <c r="U1910" i="2"/>
  <c r="S1910" i="2"/>
  <c r="R1910" i="2"/>
  <c r="Q1910" i="2"/>
  <c r="P1910" i="2"/>
  <c r="U1909" i="2"/>
  <c r="S1909" i="2"/>
  <c r="R1909" i="2"/>
  <c r="Q1909" i="2"/>
  <c r="P1909" i="2"/>
  <c r="V1908" i="2"/>
  <c r="U1908" i="2"/>
  <c r="S1908" i="2"/>
  <c r="V1908" i="2" s="1" a="1"/>
  <c r="R1908" i="2"/>
  <c r="Q1908" i="2"/>
  <c r="P1908" i="2"/>
  <c r="V1907" i="2" a="1"/>
  <c r="V1907" i="2" s="1"/>
  <c r="U1907" i="2"/>
  <c r="S1907" i="2"/>
  <c r="R1907" i="2"/>
  <c r="Q1907" i="2"/>
  <c r="P1907" i="2"/>
  <c r="V1906" i="2"/>
  <c r="U1906" i="2"/>
  <c r="S1906" i="2"/>
  <c r="V1906" i="2" s="1" a="1"/>
  <c r="R1906" i="2"/>
  <c r="Q1906" i="2"/>
  <c r="P1906" i="2"/>
  <c r="V1905" i="2" a="1"/>
  <c r="V1905" i="2" s="1"/>
  <c r="U1905" i="2"/>
  <c r="S1905" i="2"/>
  <c r="R1905" i="2"/>
  <c r="Q1905" i="2"/>
  <c r="P1905" i="2"/>
  <c r="U1904" i="2"/>
  <c r="S1904" i="2"/>
  <c r="R1904" i="2"/>
  <c r="Q1904" i="2"/>
  <c r="P1904" i="2"/>
  <c r="V1903" i="2"/>
  <c r="V1903" i="2" a="1"/>
  <c r="U1903" i="2"/>
  <c r="S1903" i="2"/>
  <c r="R1903" i="2"/>
  <c r="Q1903" i="2"/>
  <c r="P1903" i="2"/>
  <c r="V1902" i="2" a="1"/>
  <c r="V1902" i="2" s="1"/>
  <c r="U1902" i="2"/>
  <c r="S1902" i="2"/>
  <c r="R1902" i="2"/>
  <c r="Q1902" i="2"/>
  <c r="P1902" i="2"/>
  <c r="U1901" i="2"/>
  <c r="S1901" i="2"/>
  <c r="R1901" i="2"/>
  <c r="Q1901" i="2"/>
  <c r="P1901" i="2"/>
  <c r="U1900" i="2"/>
  <c r="S1900" i="2"/>
  <c r="R1900" i="2"/>
  <c r="Q1900" i="2"/>
  <c r="P1900" i="2"/>
  <c r="U1899" i="2"/>
  <c r="S1899" i="2"/>
  <c r="R1899" i="2"/>
  <c r="Q1899" i="2"/>
  <c r="P1899" i="2"/>
  <c r="U1898" i="2"/>
  <c r="S1898" i="2"/>
  <c r="V1898" i="2" s="1" a="1"/>
  <c r="V1898" i="2" s="1"/>
  <c r="R1898" i="2"/>
  <c r="Q1898" i="2"/>
  <c r="P1898" i="2"/>
  <c r="U1897" i="2"/>
  <c r="S1897" i="2"/>
  <c r="R1897" i="2"/>
  <c r="Q1897" i="2"/>
  <c r="P1897" i="2"/>
  <c r="V1896" i="2" a="1"/>
  <c r="V1896" i="2" s="1"/>
  <c r="U1896" i="2"/>
  <c r="S1896" i="2"/>
  <c r="R1896" i="2"/>
  <c r="Q1896" i="2"/>
  <c r="P1896" i="2"/>
  <c r="V1895" i="2"/>
  <c r="U1895" i="2"/>
  <c r="S1895" i="2"/>
  <c r="V1895" i="2" s="1" a="1"/>
  <c r="R1895" i="2"/>
  <c r="Q1895" i="2"/>
  <c r="P1895" i="2"/>
  <c r="V1894" i="2" a="1"/>
  <c r="V1894" i="2" s="1"/>
  <c r="U1894" i="2"/>
  <c r="S1894" i="2"/>
  <c r="R1894" i="2"/>
  <c r="Q1894" i="2"/>
  <c r="P1894" i="2"/>
  <c r="V1893" i="2" a="1"/>
  <c r="V1893" i="2" s="1"/>
  <c r="U1893" i="2"/>
  <c r="S1893" i="2"/>
  <c r="R1893" i="2"/>
  <c r="Q1893" i="2"/>
  <c r="P1893" i="2"/>
  <c r="V1892" i="2" a="1"/>
  <c r="V1892" i="2" s="1"/>
  <c r="U1892" i="2"/>
  <c r="S1892" i="2"/>
  <c r="R1892" i="2"/>
  <c r="Q1892" i="2"/>
  <c r="P1892" i="2"/>
  <c r="V1891" i="2" a="1"/>
  <c r="V1891" i="2" s="1"/>
  <c r="U1891" i="2"/>
  <c r="S1891" i="2"/>
  <c r="R1891" i="2"/>
  <c r="Q1891" i="2"/>
  <c r="P1891" i="2"/>
  <c r="V1890" i="2"/>
  <c r="U1890" i="2"/>
  <c r="S1890" i="2"/>
  <c r="V1890" i="2" s="1" a="1"/>
  <c r="R1890" i="2"/>
  <c r="Q1890" i="2"/>
  <c r="P1890" i="2"/>
  <c r="V1889" i="2" a="1"/>
  <c r="V1889" i="2" s="1"/>
  <c r="U1889" i="2"/>
  <c r="S1889" i="2"/>
  <c r="R1889" i="2"/>
  <c r="Q1889" i="2"/>
  <c r="P1889" i="2"/>
  <c r="U1888" i="2"/>
  <c r="S1888" i="2"/>
  <c r="R1888" i="2"/>
  <c r="Q1888" i="2"/>
  <c r="P1888" i="2"/>
  <c r="V1887" i="2"/>
  <c r="V1887" i="2" a="1"/>
  <c r="U1887" i="2"/>
  <c r="S1887" i="2"/>
  <c r="R1887" i="2"/>
  <c r="Q1887" i="2"/>
  <c r="P1887" i="2"/>
  <c r="V1886" i="2" a="1"/>
  <c r="V1886" i="2" s="1"/>
  <c r="U1886" i="2"/>
  <c r="S1886" i="2"/>
  <c r="R1886" i="2"/>
  <c r="Q1886" i="2"/>
  <c r="P1886" i="2"/>
  <c r="V1885" i="2"/>
  <c r="V1885" i="2" a="1"/>
  <c r="U1885" i="2"/>
  <c r="S1885" i="2"/>
  <c r="R1885" i="2"/>
  <c r="Q1885" i="2"/>
  <c r="P1885" i="2"/>
  <c r="V1884" i="2"/>
  <c r="V1884" i="2" a="1"/>
  <c r="U1884" i="2"/>
  <c r="S1884" i="2"/>
  <c r="R1884" i="2"/>
  <c r="Q1884" i="2"/>
  <c r="P1884" i="2"/>
  <c r="U1883" i="2"/>
  <c r="S1883" i="2"/>
  <c r="R1883" i="2"/>
  <c r="Q1883" i="2"/>
  <c r="P1883" i="2"/>
  <c r="U1882" i="2"/>
  <c r="S1882" i="2"/>
  <c r="V1882" i="2" s="1" a="1"/>
  <c r="V1882" i="2" s="1"/>
  <c r="R1882" i="2"/>
  <c r="Q1882" i="2"/>
  <c r="P1882" i="2"/>
  <c r="U1881" i="2"/>
  <c r="S1881" i="2"/>
  <c r="R1881" i="2"/>
  <c r="Q1881" i="2"/>
  <c r="P1881" i="2"/>
  <c r="V1880" i="2" a="1"/>
  <c r="V1880" i="2" s="1"/>
  <c r="U1880" i="2"/>
  <c r="S1880" i="2"/>
  <c r="R1880" i="2"/>
  <c r="Q1880" i="2"/>
  <c r="P1880" i="2"/>
  <c r="V1879" i="2"/>
  <c r="U1879" i="2"/>
  <c r="S1879" i="2"/>
  <c r="V1879" i="2" s="1" a="1"/>
  <c r="R1879" i="2"/>
  <c r="Q1879" i="2"/>
  <c r="P1879" i="2"/>
  <c r="V1878" i="2" a="1"/>
  <c r="V1878" i="2" s="1"/>
  <c r="U1878" i="2"/>
  <c r="S1878" i="2"/>
  <c r="R1878" i="2"/>
  <c r="Q1878" i="2"/>
  <c r="P1878" i="2"/>
  <c r="V1877" i="2" a="1"/>
  <c r="V1877" i="2" s="1"/>
  <c r="U1877" i="2"/>
  <c r="S1877" i="2"/>
  <c r="R1877" i="2"/>
  <c r="Q1877" i="2"/>
  <c r="P1877" i="2"/>
  <c r="V1876" i="2" a="1"/>
  <c r="V1876" i="2" s="1"/>
  <c r="U1876" i="2"/>
  <c r="S1876" i="2"/>
  <c r="R1876" i="2"/>
  <c r="Q1876" i="2"/>
  <c r="P1876" i="2"/>
  <c r="V1875" i="2" a="1"/>
  <c r="V1875" i="2" s="1"/>
  <c r="U1875" i="2"/>
  <c r="S1875" i="2"/>
  <c r="R1875" i="2"/>
  <c r="Q1875" i="2"/>
  <c r="P1875" i="2"/>
  <c r="V1874" i="2"/>
  <c r="U1874" i="2"/>
  <c r="S1874" i="2"/>
  <c r="V1874" i="2" s="1" a="1"/>
  <c r="R1874" i="2"/>
  <c r="Q1874" i="2"/>
  <c r="P1874" i="2"/>
  <c r="V1873" i="2" a="1"/>
  <c r="V1873" i="2" s="1"/>
  <c r="U1873" i="2"/>
  <c r="S1873" i="2"/>
  <c r="R1873" i="2"/>
  <c r="Q1873" i="2"/>
  <c r="P1873" i="2"/>
  <c r="U1872" i="2"/>
  <c r="S1872" i="2"/>
  <c r="R1872" i="2"/>
  <c r="Q1872" i="2"/>
  <c r="P1872" i="2"/>
  <c r="V1871" i="2"/>
  <c r="V1871" i="2" a="1"/>
  <c r="U1871" i="2"/>
  <c r="S1871" i="2"/>
  <c r="R1871" i="2"/>
  <c r="Q1871" i="2"/>
  <c r="P1871" i="2"/>
  <c r="V1870" i="2" a="1"/>
  <c r="V1870" i="2" s="1"/>
  <c r="U1870" i="2"/>
  <c r="S1870" i="2"/>
  <c r="R1870" i="2"/>
  <c r="Q1870" i="2"/>
  <c r="P1870" i="2"/>
  <c r="V1869" i="2"/>
  <c r="V1869" i="2" a="1"/>
  <c r="U1869" i="2"/>
  <c r="S1869" i="2"/>
  <c r="R1869" i="2"/>
  <c r="Q1869" i="2"/>
  <c r="P1869" i="2"/>
  <c r="V1868" i="2"/>
  <c r="V1868" i="2" a="1"/>
  <c r="U1868" i="2"/>
  <c r="S1868" i="2"/>
  <c r="R1868" i="2"/>
  <c r="Q1868" i="2"/>
  <c r="P1868" i="2"/>
  <c r="U1867" i="2"/>
  <c r="S1867" i="2"/>
  <c r="R1867" i="2"/>
  <c r="Q1867" i="2"/>
  <c r="P1867" i="2"/>
  <c r="U1866" i="2"/>
  <c r="S1866" i="2"/>
  <c r="V1866" i="2" s="1" a="1"/>
  <c r="V1866" i="2" s="1"/>
  <c r="R1866" i="2"/>
  <c r="Q1866" i="2"/>
  <c r="P1866" i="2"/>
  <c r="U1865" i="2"/>
  <c r="S1865" i="2"/>
  <c r="R1865" i="2"/>
  <c r="Q1865" i="2"/>
  <c r="P1865" i="2"/>
  <c r="V1864" i="2" a="1"/>
  <c r="V1864" i="2" s="1"/>
  <c r="U1864" i="2"/>
  <c r="S1864" i="2"/>
  <c r="R1864" i="2"/>
  <c r="Q1864" i="2"/>
  <c r="P1864" i="2"/>
  <c r="U1863" i="2"/>
  <c r="S1863" i="2"/>
  <c r="V1863" i="2" s="1" a="1"/>
  <c r="V1863" i="2" s="1"/>
  <c r="R1863" i="2"/>
  <c r="Q1863" i="2"/>
  <c r="P1863" i="2"/>
  <c r="V1862" i="2"/>
  <c r="V1862" i="2" a="1"/>
  <c r="U1862" i="2"/>
  <c r="S1862" i="2"/>
  <c r="R1862" i="2"/>
  <c r="Q1862" i="2"/>
  <c r="P1862" i="2"/>
  <c r="V1861" i="2" a="1"/>
  <c r="V1861" i="2" s="1"/>
  <c r="U1861" i="2"/>
  <c r="S1861" i="2"/>
  <c r="R1861" i="2"/>
  <c r="Q1861" i="2"/>
  <c r="P1861" i="2"/>
  <c r="V1860" i="2" a="1"/>
  <c r="V1860" i="2" s="1"/>
  <c r="U1860" i="2"/>
  <c r="S1860" i="2"/>
  <c r="R1860" i="2"/>
  <c r="Q1860" i="2"/>
  <c r="P1860" i="2"/>
  <c r="V1859" i="2" a="1"/>
  <c r="V1859" i="2" s="1"/>
  <c r="U1859" i="2"/>
  <c r="S1859" i="2"/>
  <c r="R1859" i="2"/>
  <c r="Q1859" i="2"/>
  <c r="P1859" i="2"/>
  <c r="V1858" i="2"/>
  <c r="U1858" i="2"/>
  <c r="S1858" i="2"/>
  <c r="V1858" i="2" s="1" a="1"/>
  <c r="R1858" i="2"/>
  <c r="Q1858" i="2"/>
  <c r="P1858" i="2"/>
  <c r="V1857" i="2" a="1"/>
  <c r="V1857" i="2" s="1"/>
  <c r="U1857" i="2"/>
  <c r="S1857" i="2"/>
  <c r="R1857" i="2"/>
  <c r="Q1857" i="2"/>
  <c r="P1857" i="2"/>
  <c r="U1856" i="2"/>
  <c r="S1856" i="2"/>
  <c r="R1856" i="2"/>
  <c r="Q1856" i="2"/>
  <c r="P1856" i="2"/>
  <c r="V1855" i="2"/>
  <c r="V1855" i="2" a="1"/>
  <c r="U1855" i="2"/>
  <c r="S1855" i="2"/>
  <c r="R1855" i="2"/>
  <c r="Q1855" i="2"/>
  <c r="P1855" i="2"/>
  <c r="V1854" i="2" a="1"/>
  <c r="V1854" i="2" s="1"/>
  <c r="U1854" i="2"/>
  <c r="S1854" i="2"/>
  <c r="R1854" i="2"/>
  <c r="Q1854" i="2"/>
  <c r="P1854" i="2"/>
  <c r="V1853" i="2"/>
  <c r="V1853" i="2" a="1"/>
  <c r="U1853" i="2"/>
  <c r="S1853" i="2"/>
  <c r="R1853" i="2"/>
  <c r="Q1853" i="2"/>
  <c r="P1853" i="2"/>
  <c r="V1852" i="2"/>
  <c r="V1852" i="2" a="1"/>
  <c r="U1852" i="2"/>
  <c r="S1852" i="2"/>
  <c r="R1852" i="2"/>
  <c r="Q1852" i="2"/>
  <c r="P1852" i="2"/>
  <c r="U1851" i="2"/>
  <c r="S1851" i="2"/>
  <c r="R1851" i="2"/>
  <c r="Q1851" i="2"/>
  <c r="P1851" i="2"/>
  <c r="U1850" i="2"/>
  <c r="S1850" i="2"/>
  <c r="V1850" i="2" s="1" a="1"/>
  <c r="V1850" i="2" s="1"/>
  <c r="R1850" i="2"/>
  <c r="Q1850" i="2"/>
  <c r="P1850" i="2"/>
  <c r="V1849" i="2" a="1"/>
  <c r="V1849" i="2" s="1"/>
  <c r="U1849" i="2"/>
  <c r="S1849" i="2"/>
  <c r="R1849" i="2"/>
  <c r="Q1849" i="2"/>
  <c r="P1849" i="2"/>
  <c r="U1848" i="2"/>
  <c r="S1848" i="2"/>
  <c r="V1848" i="2" s="1" a="1"/>
  <c r="V1848" i="2" s="1"/>
  <c r="R1848" i="2"/>
  <c r="Q1848" i="2"/>
  <c r="P1848" i="2"/>
  <c r="U1847" i="2"/>
  <c r="S1847" i="2"/>
  <c r="V1847" i="2" s="1" a="1"/>
  <c r="V1847" i="2" s="1"/>
  <c r="R1847" i="2"/>
  <c r="Q1847" i="2"/>
  <c r="P1847" i="2"/>
  <c r="V1846" i="2" a="1"/>
  <c r="V1846" i="2" s="1"/>
  <c r="U1846" i="2"/>
  <c r="S1846" i="2"/>
  <c r="R1846" i="2"/>
  <c r="Q1846" i="2"/>
  <c r="P1846" i="2"/>
  <c r="U1845" i="2"/>
  <c r="S1845" i="2"/>
  <c r="R1845" i="2"/>
  <c r="Q1845" i="2"/>
  <c r="P1845" i="2"/>
  <c r="V1844" i="2"/>
  <c r="V1844" i="2" a="1"/>
  <c r="U1844" i="2"/>
  <c r="S1844" i="2"/>
  <c r="R1844" i="2"/>
  <c r="Q1844" i="2"/>
  <c r="P1844" i="2"/>
  <c r="V1843" i="2" a="1"/>
  <c r="V1843" i="2" s="1"/>
  <c r="U1843" i="2"/>
  <c r="S1843" i="2"/>
  <c r="R1843" i="2"/>
  <c r="Q1843" i="2"/>
  <c r="P1843" i="2"/>
  <c r="U1842" i="2"/>
  <c r="S1842" i="2"/>
  <c r="R1842" i="2"/>
  <c r="Q1842" i="2"/>
  <c r="P1842" i="2"/>
  <c r="V1841" i="2" a="1"/>
  <c r="V1841" i="2" s="1"/>
  <c r="U1841" i="2"/>
  <c r="S1841" i="2"/>
  <c r="R1841" i="2"/>
  <c r="Q1841" i="2"/>
  <c r="P1841" i="2"/>
  <c r="U1840" i="2"/>
  <c r="S1840" i="2"/>
  <c r="V1840" i="2" s="1" a="1"/>
  <c r="V1840" i="2" s="1"/>
  <c r="R1840" i="2"/>
  <c r="Q1840" i="2"/>
  <c r="P1840" i="2"/>
  <c r="U1839" i="2"/>
  <c r="S1839" i="2"/>
  <c r="V1839" i="2" s="1" a="1"/>
  <c r="V1839" i="2" s="1"/>
  <c r="R1839" i="2"/>
  <c r="Q1839" i="2"/>
  <c r="P1839" i="2"/>
  <c r="V1838" i="2" a="1"/>
  <c r="V1838" i="2" s="1"/>
  <c r="U1838" i="2"/>
  <c r="S1838" i="2"/>
  <c r="R1838" i="2"/>
  <c r="Q1838" i="2"/>
  <c r="P1838" i="2"/>
  <c r="U1837" i="2"/>
  <c r="S1837" i="2"/>
  <c r="R1837" i="2"/>
  <c r="Q1837" i="2"/>
  <c r="P1837" i="2"/>
  <c r="V1836" i="2"/>
  <c r="V1836" i="2" a="1"/>
  <c r="U1836" i="2"/>
  <c r="S1836" i="2"/>
  <c r="R1836" i="2"/>
  <c r="Q1836" i="2"/>
  <c r="P1836" i="2"/>
  <c r="V1835" i="2" a="1"/>
  <c r="V1835" i="2" s="1"/>
  <c r="U1835" i="2"/>
  <c r="S1835" i="2"/>
  <c r="R1835" i="2"/>
  <c r="Q1835" i="2"/>
  <c r="P1835" i="2"/>
  <c r="U1834" i="2"/>
  <c r="S1834" i="2"/>
  <c r="R1834" i="2"/>
  <c r="Q1834" i="2"/>
  <c r="P1834" i="2"/>
  <c r="V1833" i="2" a="1"/>
  <c r="V1833" i="2" s="1"/>
  <c r="U1833" i="2"/>
  <c r="S1833" i="2"/>
  <c r="R1833" i="2"/>
  <c r="Q1833" i="2"/>
  <c r="P1833" i="2"/>
  <c r="V1832" i="2"/>
  <c r="U1832" i="2"/>
  <c r="S1832" i="2"/>
  <c r="V1832" i="2" s="1" a="1"/>
  <c r="R1832" i="2"/>
  <c r="Q1832" i="2"/>
  <c r="P1832" i="2"/>
  <c r="U1831" i="2"/>
  <c r="S1831" i="2"/>
  <c r="V1831" i="2" s="1" a="1"/>
  <c r="V1831" i="2" s="1"/>
  <c r="R1831" i="2"/>
  <c r="Q1831" i="2"/>
  <c r="P1831" i="2"/>
  <c r="V1830" i="2" a="1"/>
  <c r="V1830" i="2" s="1"/>
  <c r="U1830" i="2"/>
  <c r="S1830" i="2"/>
  <c r="R1830" i="2"/>
  <c r="Q1830" i="2"/>
  <c r="P1830" i="2"/>
  <c r="U1829" i="2"/>
  <c r="S1829" i="2"/>
  <c r="R1829" i="2"/>
  <c r="Q1829" i="2"/>
  <c r="P1829" i="2"/>
  <c r="V1828" i="2"/>
  <c r="V1828" i="2" a="1"/>
  <c r="U1828" i="2"/>
  <c r="S1828" i="2"/>
  <c r="R1828" i="2"/>
  <c r="Q1828" i="2"/>
  <c r="P1828" i="2"/>
  <c r="V1827" i="2" a="1"/>
  <c r="V1827" i="2" s="1"/>
  <c r="U1827" i="2"/>
  <c r="S1827" i="2"/>
  <c r="R1827" i="2"/>
  <c r="Q1827" i="2"/>
  <c r="P1827" i="2"/>
  <c r="U1826" i="2"/>
  <c r="S1826" i="2"/>
  <c r="R1826" i="2"/>
  <c r="Q1826" i="2"/>
  <c r="P1826" i="2"/>
  <c r="V1825" i="2" a="1"/>
  <c r="V1825" i="2" s="1"/>
  <c r="U1825" i="2"/>
  <c r="S1825" i="2"/>
  <c r="R1825" i="2"/>
  <c r="Q1825" i="2"/>
  <c r="P1825" i="2"/>
  <c r="V1824" i="2"/>
  <c r="U1824" i="2"/>
  <c r="S1824" i="2"/>
  <c r="V1824" i="2" s="1" a="1"/>
  <c r="R1824" i="2"/>
  <c r="Q1824" i="2"/>
  <c r="P1824" i="2"/>
  <c r="U1823" i="2"/>
  <c r="S1823" i="2"/>
  <c r="V1823" i="2" s="1" a="1"/>
  <c r="V1823" i="2" s="1"/>
  <c r="R1823" i="2"/>
  <c r="Q1823" i="2"/>
  <c r="P1823" i="2"/>
  <c r="V1822" i="2" a="1"/>
  <c r="V1822" i="2" s="1"/>
  <c r="U1822" i="2"/>
  <c r="S1822" i="2"/>
  <c r="R1822" i="2"/>
  <c r="Q1822" i="2"/>
  <c r="P1822" i="2"/>
  <c r="U1821" i="2"/>
  <c r="S1821" i="2"/>
  <c r="R1821" i="2"/>
  <c r="Q1821" i="2"/>
  <c r="P1821" i="2"/>
  <c r="V1820" i="2"/>
  <c r="V1820" i="2" a="1"/>
  <c r="U1820" i="2"/>
  <c r="S1820" i="2"/>
  <c r="R1820" i="2"/>
  <c r="Q1820" i="2"/>
  <c r="P1820" i="2"/>
  <c r="V1819" i="2" a="1"/>
  <c r="V1819" i="2" s="1"/>
  <c r="U1819" i="2"/>
  <c r="S1819" i="2"/>
  <c r="R1819" i="2"/>
  <c r="Q1819" i="2"/>
  <c r="P1819" i="2"/>
  <c r="U1818" i="2"/>
  <c r="S1818" i="2"/>
  <c r="R1818" i="2"/>
  <c r="Q1818" i="2"/>
  <c r="P1818" i="2"/>
  <c r="V1817" i="2" a="1"/>
  <c r="V1817" i="2" s="1"/>
  <c r="U1817" i="2"/>
  <c r="S1817" i="2"/>
  <c r="R1817" i="2"/>
  <c r="Q1817" i="2"/>
  <c r="P1817" i="2"/>
  <c r="U1816" i="2"/>
  <c r="S1816" i="2"/>
  <c r="V1816" i="2" s="1" a="1"/>
  <c r="V1816" i="2" s="1"/>
  <c r="R1816" i="2"/>
  <c r="Q1816" i="2"/>
  <c r="P1816" i="2"/>
  <c r="U1815" i="2"/>
  <c r="S1815" i="2"/>
  <c r="V1815" i="2" s="1" a="1"/>
  <c r="V1815" i="2" s="1"/>
  <c r="R1815" i="2"/>
  <c r="Q1815" i="2"/>
  <c r="P1815" i="2"/>
  <c r="V1814" i="2" a="1"/>
  <c r="V1814" i="2" s="1"/>
  <c r="U1814" i="2"/>
  <c r="S1814" i="2"/>
  <c r="R1814" i="2"/>
  <c r="Q1814" i="2"/>
  <c r="P1814" i="2"/>
  <c r="U1813" i="2"/>
  <c r="S1813" i="2"/>
  <c r="R1813" i="2"/>
  <c r="Q1813" i="2"/>
  <c r="P1813" i="2"/>
  <c r="V1812" i="2"/>
  <c r="V1812" i="2" a="1"/>
  <c r="U1812" i="2"/>
  <c r="S1812" i="2"/>
  <c r="R1812" i="2"/>
  <c r="Q1812" i="2"/>
  <c r="P1812" i="2"/>
  <c r="V1811" i="2" a="1"/>
  <c r="V1811" i="2" s="1"/>
  <c r="U1811" i="2"/>
  <c r="S1811" i="2"/>
  <c r="R1811" i="2"/>
  <c r="Q1811" i="2"/>
  <c r="P1811" i="2"/>
  <c r="U1810" i="2"/>
  <c r="S1810" i="2"/>
  <c r="R1810" i="2"/>
  <c r="Q1810" i="2"/>
  <c r="P1810" i="2"/>
  <c r="V1809" i="2" a="1"/>
  <c r="V1809" i="2" s="1"/>
  <c r="U1809" i="2"/>
  <c r="S1809" i="2"/>
  <c r="R1809" i="2"/>
  <c r="Q1809" i="2"/>
  <c r="P1809" i="2"/>
  <c r="V1808" i="2"/>
  <c r="U1808" i="2"/>
  <c r="S1808" i="2"/>
  <c r="V1808" i="2" s="1" a="1"/>
  <c r="R1808" i="2"/>
  <c r="Q1808" i="2"/>
  <c r="P1808" i="2"/>
  <c r="U1807" i="2"/>
  <c r="S1807" i="2"/>
  <c r="V1807" i="2" s="1" a="1"/>
  <c r="V1807" i="2" s="1"/>
  <c r="R1807" i="2"/>
  <c r="Q1807" i="2"/>
  <c r="P1807" i="2"/>
  <c r="V1806" i="2" a="1"/>
  <c r="V1806" i="2" s="1"/>
  <c r="U1806" i="2"/>
  <c r="S1806" i="2"/>
  <c r="R1806" i="2"/>
  <c r="Q1806" i="2"/>
  <c r="P1806" i="2"/>
  <c r="U1805" i="2"/>
  <c r="S1805" i="2"/>
  <c r="R1805" i="2"/>
  <c r="Q1805" i="2"/>
  <c r="P1805" i="2"/>
  <c r="V1804" i="2"/>
  <c r="V1804" i="2" a="1"/>
  <c r="U1804" i="2"/>
  <c r="S1804" i="2"/>
  <c r="R1804" i="2"/>
  <c r="Q1804" i="2"/>
  <c r="P1804" i="2"/>
  <c r="V1803" i="2" a="1"/>
  <c r="V1803" i="2" s="1"/>
  <c r="U1803" i="2"/>
  <c r="S1803" i="2"/>
  <c r="R1803" i="2"/>
  <c r="Q1803" i="2"/>
  <c r="P1803" i="2"/>
  <c r="U1802" i="2"/>
  <c r="S1802" i="2"/>
  <c r="R1802" i="2"/>
  <c r="Q1802" i="2"/>
  <c r="P1802" i="2"/>
  <c r="V1801" i="2" a="1"/>
  <c r="V1801" i="2" s="1"/>
  <c r="U1801" i="2"/>
  <c r="S1801" i="2"/>
  <c r="R1801" i="2"/>
  <c r="Q1801" i="2"/>
  <c r="P1801" i="2"/>
  <c r="V1800" i="2"/>
  <c r="U1800" i="2"/>
  <c r="S1800" i="2"/>
  <c r="V1800" i="2" s="1" a="1"/>
  <c r="R1800" i="2"/>
  <c r="Q1800" i="2"/>
  <c r="P1800" i="2"/>
  <c r="U1799" i="2"/>
  <c r="S1799" i="2"/>
  <c r="V1799" i="2" s="1" a="1"/>
  <c r="V1799" i="2" s="1"/>
  <c r="R1799" i="2"/>
  <c r="Q1799" i="2"/>
  <c r="P1799" i="2"/>
  <c r="V1798" i="2" a="1"/>
  <c r="V1798" i="2" s="1"/>
  <c r="U1798" i="2"/>
  <c r="S1798" i="2"/>
  <c r="R1798" i="2"/>
  <c r="Q1798" i="2"/>
  <c r="P1798" i="2"/>
  <c r="U1797" i="2"/>
  <c r="S1797" i="2"/>
  <c r="R1797" i="2"/>
  <c r="Q1797" i="2"/>
  <c r="P1797" i="2"/>
  <c r="V1796" i="2"/>
  <c r="V1796" i="2" a="1"/>
  <c r="U1796" i="2"/>
  <c r="S1796" i="2"/>
  <c r="R1796" i="2"/>
  <c r="Q1796" i="2"/>
  <c r="P1796" i="2"/>
  <c r="V1795" i="2" a="1"/>
  <c r="V1795" i="2" s="1"/>
  <c r="U1795" i="2"/>
  <c r="S1795" i="2"/>
  <c r="R1795" i="2"/>
  <c r="Q1795" i="2"/>
  <c r="P1795" i="2"/>
  <c r="U1794" i="2"/>
  <c r="S1794" i="2"/>
  <c r="R1794" i="2"/>
  <c r="Q1794" i="2"/>
  <c r="P1794" i="2"/>
  <c r="V1793" i="2" a="1"/>
  <c r="V1793" i="2" s="1"/>
  <c r="U1793" i="2"/>
  <c r="S1793" i="2"/>
  <c r="R1793" i="2"/>
  <c r="Q1793" i="2"/>
  <c r="P1793" i="2"/>
  <c r="U1792" i="2"/>
  <c r="S1792" i="2"/>
  <c r="V1792" i="2" s="1" a="1"/>
  <c r="V1792" i="2" s="1"/>
  <c r="R1792" i="2"/>
  <c r="Q1792" i="2"/>
  <c r="P1792" i="2"/>
  <c r="U1791" i="2"/>
  <c r="S1791" i="2"/>
  <c r="V1791" i="2" s="1" a="1"/>
  <c r="V1791" i="2" s="1"/>
  <c r="R1791" i="2"/>
  <c r="Q1791" i="2"/>
  <c r="P1791" i="2"/>
  <c r="V1790" i="2" a="1"/>
  <c r="V1790" i="2" s="1"/>
  <c r="U1790" i="2"/>
  <c r="S1790" i="2"/>
  <c r="R1790" i="2"/>
  <c r="Q1790" i="2"/>
  <c r="P1790" i="2"/>
  <c r="U1789" i="2"/>
  <c r="S1789" i="2"/>
  <c r="R1789" i="2"/>
  <c r="Q1789" i="2"/>
  <c r="P1789" i="2"/>
  <c r="V1788" i="2"/>
  <c r="V1788" i="2" a="1"/>
  <c r="U1788" i="2"/>
  <c r="S1788" i="2"/>
  <c r="R1788" i="2"/>
  <c r="Q1788" i="2"/>
  <c r="P1788" i="2"/>
  <c r="V1787" i="2" a="1"/>
  <c r="V1787" i="2" s="1"/>
  <c r="U1787" i="2"/>
  <c r="S1787" i="2"/>
  <c r="R1787" i="2"/>
  <c r="Q1787" i="2"/>
  <c r="P1787" i="2"/>
  <c r="U1786" i="2"/>
  <c r="S1786" i="2"/>
  <c r="R1786" i="2"/>
  <c r="Q1786" i="2"/>
  <c r="P1786" i="2"/>
  <c r="V1785" i="2" a="1"/>
  <c r="V1785" i="2" s="1"/>
  <c r="U1785" i="2"/>
  <c r="S1785" i="2"/>
  <c r="R1785" i="2"/>
  <c r="Q1785" i="2"/>
  <c r="P1785" i="2"/>
  <c r="U1784" i="2"/>
  <c r="S1784" i="2"/>
  <c r="V1784" i="2" s="1" a="1"/>
  <c r="V1784" i="2" s="1"/>
  <c r="R1784" i="2"/>
  <c r="Q1784" i="2"/>
  <c r="P1784" i="2"/>
  <c r="U1783" i="2"/>
  <c r="S1783" i="2"/>
  <c r="V1783" i="2" s="1" a="1"/>
  <c r="V1783" i="2" s="1"/>
  <c r="R1783" i="2"/>
  <c r="Q1783" i="2"/>
  <c r="P1783" i="2"/>
  <c r="V1782" i="2" a="1"/>
  <c r="V1782" i="2" s="1"/>
  <c r="U1782" i="2"/>
  <c r="S1782" i="2"/>
  <c r="R1782" i="2"/>
  <c r="Q1782" i="2"/>
  <c r="P1782" i="2"/>
  <c r="U1781" i="2"/>
  <c r="S1781" i="2"/>
  <c r="R1781" i="2"/>
  <c r="Q1781" i="2"/>
  <c r="P1781" i="2"/>
  <c r="V1780" i="2"/>
  <c r="V1780" i="2" a="1"/>
  <c r="U1780" i="2"/>
  <c r="S1780" i="2"/>
  <c r="R1780" i="2"/>
  <c r="Q1780" i="2"/>
  <c r="P1780" i="2"/>
  <c r="V1779" i="2" a="1"/>
  <c r="V1779" i="2" s="1"/>
  <c r="U1779" i="2"/>
  <c r="S1779" i="2"/>
  <c r="R1779" i="2"/>
  <c r="Q1779" i="2"/>
  <c r="P1779" i="2"/>
  <c r="U1778" i="2"/>
  <c r="S1778" i="2"/>
  <c r="R1778" i="2"/>
  <c r="Q1778" i="2"/>
  <c r="P1778" i="2"/>
  <c r="V1777" i="2" a="1"/>
  <c r="V1777" i="2" s="1"/>
  <c r="U1777" i="2"/>
  <c r="S1777" i="2"/>
  <c r="R1777" i="2"/>
  <c r="Q1777" i="2"/>
  <c r="P1777" i="2"/>
  <c r="U1776" i="2"/>
  <c r="S1776" i="2"/>
  <c r="V1776" i="2" s="1" a="1"/>
  <c r="V1776" i="2" s="1"/>
  <c r="R1776" i="2"/>
  <c r="Q1776" i="2"/>
  <c r="P1776" i="2"/>
  <c r="U1775" i="2"/>
  <c r="S1775" i="2"/>
  <c r="V1775" i="2" s="1" a="1"/>
  <c r="V1775" i="2" s="1"/>
  <c r="R1775" i="2"/>
  <c r="Q1775" i="2"/>
  <c r="P1775" i="2"/>
  <c r="V1774" i="2" a="1"/>
  <c r="V1774" i="2" s="1"/>
  <c r="U1774" i="2"/>
  <c r="S1774" i="2"/>
  <c r="R1774" i="2"/>
  <c r="Q1774" i="2"/>
  <c r="P1774" i="2"/>
  <c r="U1773" i="2"/>
  <c r="S1773" i="2"/>
  <c r="R1773" i="2"/>
  <c r="Q1773" i="2"/>
  <c r="P1773" i="2"/>
  <c r="V1772" i="2"/>
  <c r="V1772" i="2" a="1"/>
  <c r="U1772" i="2"/>
  <c r="S1772" i="2"/>
  <c r="R1772" i="2"/>
  <c r="Q1772" i="2"/>
  <c r="P1772" i="2"/>
  <c r="V1771" i="2" a="1"/>
  <c r="V1771" i="2" s="1"/>
  <c r="U1771" i="2"/>
  <c r="S1771" i="2"/>
  <c r="R1771" i="2"/>
  <c r="Q1771" i="2"/>
  <c r="P1771" i="2"/>
  <c r="U1770" i="2"/>
  <c r="S1770" i="2"/>
  <c r="R1770" i="2"/>
  <c r="Q1770" i="2"/>
  <c r="P1770" i="2"/>
  <c r="V1769" i="2" a="1"/>
  <c r="V1769" i="2" s="1"/>
  <c r="U1769" i="2"/>
  <c r="S1769" i="2"/>
  <c r="R1769" i="2"/>
  <c r="Q1769" i="2"/>
  <c r="P1769" i="2"/>
  <c r="V1768" i="2"/>
  <c r="U1768" i="2"/>
  <c r="S1768" i="2"/>
  <c r="V1768" i="2" s="1" a="1"/>
  <c r="R1768" i="2"/>
  <c r="Q1768" i="2"/>
  <c r="P1768" i="2"/>
  <c r="U1767" i="2"/>
  <c r="S1767" i="2"/>
  <c r="V1767" i="2" s="1" a="1"/>
  <c r="V1767" i="2" s="1"/>
  <c r="R1767" i="2"/>
  <c r="Q1767" i="2"/>
  <c r="P1767" i="2"/>
  <c r="V1766" i="2" a="1"/>
  <c r="V1766" i="2" s="1"/>
  <c r="U1766" i="2"/>
  <c r="S1766" i="2"/>
  <c r="R1766" i="2"/>
  <c r="Q1766" i="2"/>
  <c r="P1766" i="2"/>
  <c r="U1765" i="2"/>
  <c r="S1765" i="2"/>
  <c r="R1765" i="2"/>
  <c r="Q1765" i="2"/>
  <c r="P1765" i="2"/>
  <c r="V1764" i="2"/>
  <c r="V1764" i="2" a="1"/>
  <c r="U1764" i="2"/>
  <c r="S1764" i="2"/>
  <c r="R1764" i="2"/>
  <c r="Q1764" i="2"/>
  <c r="P1764" i="2"/>
  <c r="V1763" i="2" a="1"/>
  <c r="V1763" i="2" s="1"/>
  <c r="U1763" i="2"/>
  <c r="S1763" i="2"/>
  <c r="R1763" i="2"/>
  <c r="Q1763" i="2"/>
  <c r="P1763" i="2"/>
  <c r="U1762" i="2"/>
  <c r="S1762" i="2"/>
  <c r="R1762" i="2"/>
  <c r="Q1762" i="2"/>
  <c r="P1762" i="2"/>
  <c r="V1761" i="2" a="1"/>
  <c r="V1761" i="2" s="1"/>
  <c r="U1761" i="2"/>
  <c r="S1761" i="2"/>
  <c r="R1761" i="2"/>
  <c r="Q1761" i="2"/>
  <c r="P1761" i="2"/>
  <c r="V1760" i="2"/>
  <c r="U1760" i="2"/>
  <c r="S1760" i="2"/>
  <c r="V1760" i="2" s="1" a="1"/>
  <c r="R1760" i="2"/>
  <c r="Q1760" i="2"/>
  <c r="P1760" i="2"/>
  <c r="U1759" i="2"/>
  <c r="S1759" i="2"/>
  <c r="V1759" i="2" s="1" a="1"/>
  <c r="V1759" i="2" s="1"/>
  <c r="R1759" i="2"/>
  <c r="Q1759" i="2"/>
  <c r="P1759" i="2"/>
  <c r="V1758" i="2" a="1"/>
  <c r="V1758" i="2" s="1"/>
  <c r="U1758" i="2"/>
  <c r="S1758" i="2"/>
  <c r="R1758" i="2"/>
  <c r="Q1758" i="2"/>
  <c r="P1758" i="2"/>
  <c r="U1757" i="2"/>
  <c r="S1757" i="2"/>
  <c r="R1757" i="2"/>
  <c r="Q1757" i="2"/>
  <c r="P1757" i="2"/>
  <c r="V1756" i="2"/>
  <c r="V1756" i="2" a="1"/>
  <c r="U1756" i="2"/>
  <c r="S1756" i="2"/>
  <c r="R1756" i="2"/>
  <c r="Q1756" i="2"/>
  <c r="P1756" i="2"/>
  <c r="V1755" i="2" a="1"/>
  <c r="V1755" i="2" s="1"/>
  <c r="U1755" i="2"/>
  <c r="S1755" i="2"/>
  <c r="R1755" i="2"/>
  <c r="Q1755" i="2"/>
  <c r="P1755" i="2"/>
  <c r="U1754" i="2"/>
  <c r="S1754" i="2"/>
  <c r="R1754" i="2"/>
  <c r="Q1754" i="2"/>
  <c r="P1754" i="2"/>
  <c r="V1753" i="2" a="1"/>
  <c r="V1753" i="2" s="1"/>
  <c r="U1753" i="2"/>
  <c r="S1753" i="2"/>
  <c r="R1753" i="2"/>
  <c r="Q1753" i="2"/>
  <c r="P1753" i="2"/>
  <c r="U1752" i="2"/>
  <c r="S1752" i="2"/>
  <c r="V1752" i="2" s="1" a="1"/>
  <c r="V1752" i="2" s="1"/>
  <c r="R1752" i="2"/>
  <c r="Q1752" i="2"/>
  <c r="P1752" i="2"/>
  <c r="U1751" i="2"/>
  <c r="S1751" i="2"/>
  <c r="V1751" i="2" s="1" a="1"/>
  <c r="V1751" i="2" s="1"/>
  <c r="R1751" i="2"/>
  <c r="Q1751" i="2"/>
  <c r="P1751" i="2"/>
  <c r="V1750" i="2" a="1"/>
  <c r="V1750" i="2" s="1"/>
  <c r="U1750" i="2"/>
  <c r="S1750" i="2"/>
  <c r="R1750" i="2"/>
  <c r="Q1750" i="2"/>
  <c r="P1750" i="2"/>
  <c r="V1749" i="2" a="1"/>
  <c r="V1749" i="2" s="1"/>
  <c r="U1749" i="2"/>
  <c r="S1749" i="2"/>
  <c r="R1749" i="2"/>
  <c r="Q1749" i="2"/>
  <c r="P1749" i="2"/>
  <c r="V1748" i="2"/>
  <c r="V1748" i="2" a="1"/>
  <c r="U1748" i="2"/>
  <c r="S1748" i="2"/>
  <c r="R1748" i="2"/>
  <c r="Q1748" i="2"/>
  <c r="P1748" i="2"/>
  <c r="V1747" i="2" a="1"/>
  <c r="V1747" i="2" s="1"/>
  <c r="U1747" i="2"/>
  <c r="S1747" i="2"/>
  <c r="R1747" i="2"/>
  <c r="Q1747" i="2"/>
  <c r="P1747" i="2"/>
  <c r="U1746" i="2"/>
  <c r="S1746" i="2"/>
  <c r="R1746" i="2"/>
  <c r="Q1746" i="2"/>
  <c r="P1746" i="2"/>
  <c r="V1745" i="2" a="1"/>
  <c r="V1745" i="2" s="1"/>
  <c r="U1745" i="2"/>
  <c r="S1745" i="2"/>
  <c r="R1745" i="2"/>
  <c r="Q1745" i="2"/>
  <c r="P1745" i="2"/>
  <c r="U1744" i="2"/>
  <c r="S1744" i="2"/>
  <c r="V1744" i="2" s="1" a="1"/>
  <c r="V1744" i="2" s="1"/>
  <c r="R1744" i="2"/>
  <c r="Q1744" i="2"/>
  <c r="P1744" i="2"/>
  <c r="U1743" i="2"/>
  <c r="S1743" i="2"/>
  <c r="V1743" i="2" s="1" a="1"/>
  <c r="V1743" i="2" s="1"/>
  <c r="R1743" i="2"/>
  <c r="Q1743" i="2"/>
  <c r="P1743" i="2"/>
  <c r="V1742" i="2" a="1"/>
  <c r="V1742" i="2" s="1"/>
  <c r="U1742" i="2"/>
  <c r="S1742" i="2"/>
  <c r="R1742" i="2"/>
  <c r="Q1742" i="2"/>
  <c r="P1742" i="2"/>
  <c r="U1741" i="2"/>
  <c r="S1741" i="2"/>
  <c r="R1741" i="2"/>
  <c r="Q1741" i="2"/>
  <c r="P1741" i="2"/>
  <c r="V1740" i="2"/>
  <c r="V1740" i="2" a="1"/>
  <c r="U1740" i="2"/>
  <c r="S1740" i="2"/>
  <c r="R1740" i="2"/>
  <c r="Q1740" i="2"/>
  <c r="P1740" i="2"/>
  <c r="V1739" i="2" a="1"/>
  <c r="V1739" i="2" s="1"/>
  <c r="U1739" i="2"/>
  <c r="S1739" i="2"/>
  <c r="R1739" i="2"/>
  <c r="Q1739" i="2"/>
  <c r="P1739" i="2"/>
  <c r="U1738" i="2"/>
  <c r="S1738" i="2"/>
  <c r="R1738" i="2"/>
  <c r="Q1738" i="2"/>
  <c r="P1738" i="2"/>
  <c r="V1737" i="2" a="1"/>
  <c r="V1737" i="2" s="1"/>
  <c r="U1737" i="2"/>
  <c r="S1737" i="2"/>
  <c r="R1737" i="2"/>
  <c r="Q1737" i="2"/>
  <c r="P1737" i="2"/>
  <c r="U1736" i="2"/>
  <c r="S1736" i="2"/>
  <c r="V1736" i="2" s="1" a="1"/>
  <c r="V1736" i="2" s="1"/>
  <c r="R1736" i="2"/>
  <c r="Q1736" i="2"/>
  <c r="P1736" i="2"/>
  <c r="U1735" i="2"/>
  <c r="S1735" i="2"/>
  <c r="R1735" i="2"/>
  <c r="Q1735" i="2"/>
  <c r="P1735" i="2"/>
  <c r="V1734" i="2" a="1"/>
  <c r="V1734" i="2" s="1"/>
  <c r="U1734" i="2"/>
  <c r="S1734" i="2"/>
  <c r="R1734" i="2"/>
  <c r="Q1734" i="2"/>
  <c r="P1734" i="2"/>
  <c r="V1733" i="2" a="1"/>
  <c r="V1733" i="2" s="1"/>
  <c r="U1733" i="2"/>
  <c r="S1733" i="2"/>
  <c r="R1733" i="2"/>
  <c r="Q1733" i="2"/>
  <c r="P1733" i="2"/>
  <c r="V1732" i="2"/>
  <c r="V1732" i="2" a="1"/>
  <c r="U1732" i="2"/>
  <c r="S1732" i="2"/>
  <c r="R1732" i="2"/>
  <c r="Q1732" i="2"/>
  <c r="P1732" i="2"/>
  <c r="V1731" i="2" a="1"/>
  <c r="V1731" i="2" s="1"/>
  <c r="U1731" i="2"/>
  <c r="S1731" i="2"/>
  <c r="R1731" i="2"/>
  <c r="Q1731" i="2"/>
  <c r="P1731" i="2"/>
  <c r="U1730" i="2"/>
  <c r="S1730" i="2"/>
  <c r="R1730" i="2"/>
  <c r="Q1730" i="2"/>
  <c r="P1730" i="2"/>
  <c r="U1729" i="2"/>
  <c r="S1729" i="2"/>
  <c r="V1729" i="2" s="1" a="1"/>
  <c r="V1729" i="2" s="1"/>
  <c r="R1729" i="2"/>
  <c r="Q1729" i="2"/>
  <c r="P1729" i="2"/>
  <c r="V1728" i="2"/>
  <c r="U1728" i="2"/>
  <c r="S1728" i="2"/>
  <c r="V1728" i="2" s="1" a="1"/>
  <c r="R1728" i="2"/>
  <c r="Q1728" i="2"/>
  <c r="P1728" i="2"/>
  <c r="U1727" i="2"/>
  <c r="S1727" i="2"/>
  <c r="R1727" i="2"/>
  <c r="Q1727" i="2"/>
  <c r="P1727" i="2"/>
  <c r="V1726" i="2" a="1"/>
  <c r="V1726" i="2" s="1"/>
  <c r="U1726" i="2"/>
  <c r="S1726" i="2"/>
  <c r="R1726" i="2"/>
  <c r="Q1726" i="2"/>
  <c r="P1726" i="2"/>
  <c r="V1725" i="2" a="1"/>
  <c r="V1725" i="2" s="1"/>
  <c r="U1725" i="2"/>
  <c r="S1725" i="2"/>
  <c r="R1725" i="2"/>
  <c r="Q1725" i="2"/>
  <c r="P1725" i="2"/>
  <c r="V1724" i="2"/>
  <c r="V1724" i="2" a="1"/>
  <c r="U1724" i="2"/>
  <c r="S1724" i="2"/>
  <c r="R1724" i="2"/>
  <c r="Q1724" i="2"/>
  <c r="P1724" i="2"/>
  <c r="V1723" i="2" a="1"/>
  <c r="V1723" i="2" s="1"/>
  <c r="U1723" i="2"/>
  <c r="S1723" i="2"/>
  <c r="R1723" i="2"/>
  <c r="Q1723" i="2"/>
  <c r="P1723" i="2"/>
  <c r="U1722" i="2"/>
  <c r="S1722" i="2"/>
  <c r="R1722" i="2"/>
  <c r="Q1722" i="2"/>
  <c r="P1722" i="2"/>
  <c r="V1721" i="2" a="1"/>
  <c r="V1721" i="2" s="1"/>
  <c r="U1721" i="2"/>
  <c r="S1721" i="2"/>
  <c r="R1721" i="2"/>
  <c r="Q1721" i="2"/>
  <c r="P1721" i="2"/>
  <c r="U1720" i="2"/>
  <c r="S1720" i="2"/>
  <c r="V1720" i="2" s="1" a="1"/>
  <c r="V1720" i="2" s="1"/>
  <c r="R1720" i="2"/>
  <c r="Q1720" i="2"/>
  <c r="P1720" i="2"/>
  <c r="U1719" i="2"/>
  <c r="S1719" i="2"/>
  <c r="R1719" i="2"/>
  <c r="Q1719" i="2"/>
  <c r="P1719" i="2"/>
  <c r="V1718" i="2" a="1"/>
  <c r="V1718" i="2" s="1"/>
  <c r="U1718" i="2"/>
  <c r="S1718" i="2"/>
  <c r="R1718" i="2"/>
  <c r="Q1718" i="2"/>
  <c r="P1718" i="2"/>
  <c r="U1717" i="2"/>
  <c r="S1717" i="2"/>
  <c r="R1717" i="2"/>
  <c r="Q1717" i="2"/>
  <c r="P1717" i="2"/>
  <c r="V1716" i="2"/>
  <c r="V1716" i="2" a="1"/>
  <c r="U1716" i="2"/>
  <c r="S1716" i="2"/>
  <c r="R1716" i="2"/>
  <c r="Q1716" i="2"/>
  <c r="P1716" i="2"/>
  <c r="V1715" i="2" a="1"/>
  <c r="V1715" i="2" s="1"/>
  <c r="U1715" i="2"/>
  <c r="S1715" i="2"/>
  <c r="R1715" i="2"/>
  <c r="Q1715" i="2"/>
  <c r="P1715" i="2"/>
  <c r="U1714" i="2"/>
  <c r="S1714" i="2"/>
  <c r="R1714" i="2"/>
  <c r="Q1714" i="2"/>
  <c r="P1714" i="2"/>
  <c r="V1713" i="2" a="1"/>
  <c r="V1713" i="2" s="1"/>
  <c r="U1713" i="2"/>
  <c r="S1713" i="2"/>
  <c r="R1713" i="2"/>
  <c r="Q1713" i="2"/>
  <c r="P1713" i="2"/>
  <c r="V1712" i="2"/>
  <c r="U1712" i="2"/>
  <c r="S1712" i="2"/>
  <c r="V1712" i="2" s="1" a="1"/>
  <c r="R1712" i="2"/>
  <c r="Q1712" i="2"/>
  <c r="P1712" i="2"/>
  <c r="U1711" i="2"/>
  <c r="S1711" i="2"/>
  <c r="R1711" i="2"/>
  <c r="Q1711" i="2"/>
  <c r="P1711" i="2"/>
  <c r="V1710" i="2" a="1"/>
  <c r="V1710" i="2" s="1"/>
  <c r="U1710" i="2"/>
  <c r="S1710" i="2"/>
  <c r="R1710" i="2"/>
  <c r="Q1710" i="2"/>
  <c r="P1710" i="2"/>
  <c r="U1709" i="2"/>
  <c r="S1709" i="2"/>
  <c r="R1709" i="2"/>
  <c r="Q1709" i="2"/>
  <c r="P1709" i="2"/>
  <c r="V1708" i="2"/>
  <c r="V1708" i="2" a="1"/>
  <c r="U1708" i="2"/>
  <c r="S1708" i="2"/>
  <c r="R1708" i="2"/>
  <c r="Q1708" i="2"/>
  <c r="P1708" i="2"/>
  <c r="V1707" i="2" a="1"/>
  <c r="V1707" i="2" s="1"/>
  <c r="U1707" i="2"/>
  <c r="S1707" i="2"/>
  <c r="R1707" i="2"/>
  <c r="Q1707" i="2"/>
  <c r="P1707" i="2"/>
  <c r="U1706" i="2"/>
  <c r="S1706" i="2"/>
  <c r="R1706" i="2"/>
  <c r="Q1706" i="2"/>
  <c r="P1706" i="2"/>
  <c r="U1705" i="2"/>
  <c r="S1705" i="2"/>
  <c r="V1705" i="2" s="1" a="1"/>
  <c r="V1705" i="2" s="1"/>
  <c r="R1705" i="2"/>
  <c r="Q1705" i="2"/>
  <c r="P1705" i="2"/>
  <c r="V1704" i="2"/>
  <c r="U1704" i="2"/>
  <c r="S1704" i="2"/>
  <c r="V1704" i="2" s="1" a="1"/>
  <c r="R1704" i="2"/>
  <c r="Q1704" i="2"/>
  <c r="P1704" i="2"/>
  <c r="U1703" i="2"/>
  <c r="S1703" i="2"/>
  <c r="R1703" i="2"/>
  <c r="Q1703" i="2"/>
  <c r="P1703" i="2"/>
  <c r="V1702" i="2" a="1"/>
  <c r="V1702" i="2" s="1"/>
  <c r="U1702" i="2"/>
  <c r="S1702" i="2"/>
  <c r="R1702" i="2"/>
  <c r="Q1702" i="2"/>
  <c r="P1702" i="2"/>
  <c r="V1701" i="2"/>
  <c r="V1701" i="2" a="1"/>
  <c r="U1701" i="2"/>
  <c r="S1701" i="2"/>
  <c r="R1701" i="2"/>
  <c r="Q1701" i="2"/>
  <c r="P1701" i="2"/>
  <c r="V1700" i="2"/>
  <c r="V1700" i="2" a="1"/>
  <c r="U1700" i="2"/>
  <c r="S1700" i="2"/>
  <c r="R1700" i="2"/>
  <c r="Q1700" i="2"/>
  <c r="P1700" i="2"/>
  <c r="V1699" i="2" a="1"/>
  <c r="V1699" i="2" s="1"/>
  <c r="U1699" i="2"/>
  <c r="S1699" i="2"/>
  <c r="R1699" i="2"/>
  <c r="Q1699" i="2"/>
  <c r="P1699" i="2"/>
  <c r="U1698" i="2"/>
  <c r="S1698" i="2"/>
  <c r="R1698" i="2"/>
  <c r="Q1698" i="2"/>
  <c r="P1698" i="2"/>
  <c r="U1697" i="2"/>
  <c r="S1697" i="2"/>
  <c r="V1697" i="2" s="1" a="1"/>
  <c r="V1697" i="2" s="1"/>
  <c r="R1697" i="2"/>
  <c r="Q1697" i="2"/>
  <c r="P1697" i="2"/>
  <c r="U1696" i="2"/>
  <c r="S1696" i="2"/>
  <c r="V1696" i="2" s="1" a="1"/>
  <c r="V1696" i="2" s="1"/>
  <c r="R1696" i="2"/>
  <c r="Q1696" i="2"/>
  <c r="P1696" i="2"/>
  <c r="U1695" i="2"/>
  <c r="S1695" i="2"/>
  <c r="R1695" i="2"/>
  <c r="Q1695" i="2"/>
  <c r="P1695" i="2"/>
  <c r="V1694" i="2" a="1"/>
  <c r="V1694" i="2" s="1"/>
  <c r="U1694" i="2"/>
  <c r="S1694" i="2"/>
  <c r="R1694" i="2"/>
  <c r="Q1694" i="2"/>
  <c r="P1694" i="2"/>
  <c r="V1693" i="2" a="1"/>
  <c r="V1693" i="2" s="1"/>
  <c r="U1693" i="2"/>
  <c r="S1693" i="2"/>
  <c r="R1693" i="2"/>
  <c r="Q1693" i="2"/>
  <c r="P1693" i="2"/>
  <c r="V1692" i="2"/>
  <c r="V1692" i="2" a="1"/>
  <c r="U1692" i="2"/>
  <c r="S1692" i="2"/>
  <c r="R1692" i="2"/>
  <c r="Q1692" i="2"/>
  <c r="P1692" i="2"/>
  <c r="V1691" i="2" a="1"/>
  <c r="V1691" i="2" s="1"/>
  <c r="U1691" i="2"/>
  <c r="S1691" i="2"/>
  <c r="R1691" i="2"/>
  <c r="Q1691" i="2"/>
  <c r="P1691" i="2"/>
  <c r="U1690" i="2"/>
  <c r="S1690" i="2"/>
  <c r="R1690" i="2"/>
  <c r="Q1690" i="2"/>
  <c r="P1690" i="2"/>
  <c r="V1689" i="2" a="1"/>
  <c r="V1689" i="2" s="1"/>
  <c r="U1689" i="2"/>
  <c r="S1689" i="2"/>
  <c r="R1689" i="2"/>
  <c r="Q1689" i="2"/>
  <c r="P1689" i="2"/>
  <c r="V1688" i="2"/>
  <c r="U1688" i="2"/>
  <c r="S1688" i="2"/>
  <c r="V1688" i="2" s="1" a="1"/>
  <c r="R1688" i="2"/>
  <c r="Q1688" i="2"/>
  <c r="P1688" i="2"/>
  <c r="U1687" i="2"/>
  <c r="S1687" i="2"/>
  <c r="R1687" i="2"/>
  <c r="Q1687" i="2"/>
  <c r="P1687" i="2"/>
  <c r="V1686" i="2" a="1"/>
  <c r="V1686" i="2" s="1"/>
  <c r="U1686" i="2"/>
  <c r="S1686" i="2"/>
  <c r="R1686" i="2"/>
  <c r="Q1686" i="2"/>
  <c r="P1686" i="2"/>
  <c r="V1685" i="2" a="1"/>
  <c r="V1685" i="2" s="1"/>
  <c r="U1685" i="2"/>
  <c r="S1685" i="2"/>
  <c r="R1685" i="2"/>
  <c r="Q1685" i="2"/>
  <c r="P1685" i="2"/>
  <c r="V1684" i="2"/>
  <c r="V1684" i="2" a="1"/>
  <c r="U1684" i="2"/>
  <c r="S1684" i="2"/>
  <c r="R1684" i="2"/>
  <c r="Q1684" i="2"/>
  <c r="P1684" i="2"/>
  <c r="V1683" i="2" a="1"/>
  <c r="V1683" i="2" s="1"/>
  <c r="U1683" i="2"/>
  <c r="S1683" i="2"/>
  <c r="R1683" i="2"/>
  <c r="Q1683" i="2"/>
  <c r="P1683" i="2"/>
  <c r="U1682" i="2"/>
  <c r="S1682" i="2"/>
  <c r="R1682" i="2"/>
  <c r="Q1682" i="2"/>
  <c r="P1682" i="2"/>
  <c r="U1681" i="2"/>
  <c r="S1681" i="2"/>
  <c r="R1681" i="2"/>
  <c r="Q1681" i="2"/>
  <c r="P1681" i="2"/>
  <c r="U1680" i="2"/>
  <c r="S1680" i="2"/>
  <c r="V1680" i="2" s="1" a="1"/>
  <c r="V1680" i="2" s="1"/>
  <c r="R1680" i="2"/>
  <c r="Q1680" i="2"/>
  <c r="P1680" i="2"/>
  <c r="U1679" i="2"/>
  <c r="S1679" i="2"/>
  <c r="R1679" i="2"/>
  <c r="Q1679" i="2"/>
  <c r="P1679" i="2"/>
  <c r="V1678" i="2" a="1"/>
  <c r="V1678" i="2" s="1"/>
  <c r="U1678" i="2"/>
  <c r="S1678" i="2"/>
  <c r="R1678" i="2"/>
  <c r="Q1678" i="2"/>
  <c r="P1678" i="2"/>
  <c r="U1677" i="2"/>
  <c r="S1677" i="2"/>
  <c r="R1677" i="2"/>
  <c r="Q1677" i="2"/>
  <c r="P1677" i="2"/>
  <c r="V1676" i="2"/>
  <c r="V1676" i="2" a="1"/>
  <c r="U1676" i="2"/>
  <c r="S1676" i="2"/>
  <c r="R1676" i="2"/>
  <c r="Q1676" i="2"/>
  <c r="P1676" i="2"/>
  <c r="V1675" i="2" a="1"/>
  <c r="V1675" i="2" s="1"/>
  <c r="U1675" i="2"/>
  <c r="S1675" i="2"/>
  <c r="R1675" i="2"/>
  <c r="Q1675" i="2"/>
  <c r="P1675" i="2"/>
  <c r="U1674" i="2"/>
  <c r="S1674" i="2"/>
  <c r="R1674" i="2"/>
  <c r="Q1674" i="2"/>
  <c r="P1674" i="2"/>
  <c r="U1673" i="2"/>
  <c r="S1673" i="2"/>
  <c r="V1673" i="2" s="1" a="1"/>
  <c r="V1673" i="2" s="1"/>
  <c r="R1673" i="2"/>
  <c r="Q1673" i="2"/>
  <c r="P1673" i="2"/>
  <c r="U1672" i="2"/>
  <c r="S1672" i="2"/>
  <c r="V1672" i="2" s="1" a="1"/>
  <c r="V1672" i="2" s="1"/>
  <c r="R1672" i="2"/>
  <c r="Q1672" i="2"/>
  <c r="P1672" i="2"/>
  <c r="U1671" i="2"/>
  <c r="S1671" i="2"/>
  <c r="R1671" i="2"/>
  <c r="Q1671" i="2"/>
  <c r="P1671" i="2"/>
  <c r="V1670" i="2" a="1"/>
  <c r="V1670" i="2" s="1"/>
  <c r="U1670" i="2"/>
  <c r="S1670" i="2"/>
  <c r="R1670" i="2"/>
  <c r="Q1670" i="2"/>
  <c r="P1670" i="2"/>
  <c r="U1669" i="2"/>
  <c r="S1669" i="2"/>
  <c r="R1669" i="2"/>
  <c r="Q1669" i="2"/>
  <c r="P1669" i="2"/>
  <c r="V1668" i="2"/>
  <c r="V1668" i="2" a="1"/>
  <c r="U1668" i="2"/>
  <c r="S1668" i="2"/>
  <c r="R1668" i="2"/>
  <c r="Q1668" i="2"/>
  <c r="P1668" i="2"/>
  <c r="V1667" i="2" a="1"/>
  <c r="V1667" i="2" s="1"/>
  <c r="U1667" i="2"/>
  <c r="S1667" i="2"/>
  <c r="R1667" i="2"/>
  <c r="Q1667" i="2"/>
  <c r="P1667" i="2"/>
  <c r="U1666" i="2"/>
  <c r="S1666" i="2"/>
  <c r="R1666" i="2"/>
  <c r="Q1666" i="2"/>
  <c r="P1666" i="2"/>
  <c r="U1665" i="2"/>
  <c r="S1665" i="2"/>
  <c r="V1665" i="2" s="1" a="1"/>
  <c r="V1665" i="2" s="1"/>
  <c r="R1665" i="2"/>
  <c r="Q1665" i="2"/>
  <c r="P1665" i="2"/>
  <c r="V1664" i="2"/>
  <c r="U1664" i="2"/>
  <c r="S1664" i="2"/>
  <c r="V1664" i="2" s="1" a="1"/>
  <c r="R1664" i="2"/>
  <c r="Q1664" i="2"/>
  <c r="P1664" i="2"/>
  <c r="U1663" i="2"/>
  <c r="S1663" i="2"/>
  <c r="R1663" i="2"/>
  <c r="Q1663" i="2"/>
  <c r="P1663" i="2"/>
  <c r="V1662" i="2" a="1"/>
  <c r="V1662" i="2" s="1"/>
  <c r="U1662" i="2"/>
  <c r="S1662" i="2"/>
  <c r="R1662" i="2"/>
  <c r="Q1662" i="2"/>
  <c r="P1662" i="2"/>
  <c r="V1661" i="2" a="1"/>
  <c r="V1661" i="2" s="1"/>
  <c r="U1661" i="2"/>
  <c r="S1661" i="2"/>
  <c r="R1661" i="2"/>
  <c r="Q1661" i="2"/>
  <c r="P1661" i="2"/>
  <c r="V1660" i="2"/>
  <c r="V1660" i="2" a="1"/>
  <c r="U1660" i="2"/>
  <c r="S1660" i="2"/>
  <c r="R1660" i="2"/>
  <c r="Q1660" i="2"/>
  <c r="P1660" i="2"/>
  <c r="V1659" i="2" a="1"/>
  <c r="V1659" i="2" s="1"/>
  <c r="U1659" i="2"/>
  <c r="S1659" i="2"/>
  <c r="R1659" i="2"/>
  <c r="Q1659" i="2"/>
  <c r="P1659" i="2"/>
  <c r="U1658" i="2"/>
  <c r="S1658" i="2"/>
  <c r="R1658" i="2"/>
  <c r="Q1658" i="2"/>
  <c r="P1658" i="2"/>
  <c r="V1657" i="2" a="1"/>
  <c r="V1657" i="2" s="1"/>
  <c r="U1657" i="2"/>
  <c r="S1657" i="2"/>
  <c r="R1657" i="2"/>
  <c r="Q1657" i="2"/>
  <c r="P1657" i="2"/>
  <c r="U1656" i="2"/>
  <c r="S1656" i="2"/>
  <c r="V1656" i="2" s="1" a="1"/>
  <c r="V1656" i="2" s="1"/>
  <c r="R1656" i="2"/>
  <c r="Q1656" i="2"/>
  <c r="P1656" i="2"/>
  <c r="U1655" i="2"/>
  <c r="S1655" i="2"/>
  <c r="R1655" i="2"/>
  <c r="Q1655" i="2"/>
  <c r="P1655" i="2"/>
  <c r="V1654" i="2" a="1"/>
  <c r="V1654" i="2" s="1"/>
  <c r="U1654" i="2"/>
  <c r="S1654" i="2"/>
  <c r="R1654" i="2"/>
  <c r="Q1654" i="2"/>
  <c r="P1654" i="2"/>
  <c r="U1653" i="2"/>
  <c r="S1653" i="2"/>
  <c r="R1653" i="2"/>
  <c r="Q1653" i="2"/>
  <c r="P1653" i="2"/>
  <c r="V1652" i="2" a="1"/>
  <c r="V1652" i="2" s="1"/>
  <c r="U1652" i="2"/>
  <c r="S1652" i="2"/>
  <c r="R1652" i="2"/>
  <c r="Q1652" i="2"/>
  <c r="P1652" i="2"/>
  <c r="V1651" i="2" a="1"/>
  <c r="V1651" i="2" s="1"/>
  <c r="U1651" i="2"/>
  <c r="S1651" i="2"/>
  <c r="R1651" i="2"/>
  <c r="Q1651" i="2"/>
  <c r="P1651" i="2"/>
  <c r="U1650" i="2"/>
  <c r="S1650" i="2"/>
  <c r="R1650" i="2"/>
  <c r="Q1650" i="2"/>
  <c r="P1650" i="2"/>
  <c r="U1649" i="2"/>
  <c r="S1649" i="2"/>
  <c r="V1649" i="2" s="1" a="1"/>
  <c r="V1649" i="2" s="1"/>
  <c r="R1649" i="2"/>
  <c r="Q1649" i="2"/>
  <c r="P1649" i="2"/>
  <c r="U1648" i="2"/>
  <c r="S1648" i="2"/>
  <c r="V1648" i="2" s="1" a="1"/>
  <c r="V1648" i="2" s="1"/>
  <c r="R1648" i="2"/>
  <c r="Q1648" i="2"/>
  <c r="P1648" i="2"/>
  <c r="U1647" i="2"/>
  <c r="S1647" i="2"/>
  <c r="V1647" i="2" s="1" a="1"/>
  <c r="V1647" i="2" s="1"/>
  <c r="R1647" i="2"/>
  <c r="Q1647" i="2"/>
  <c r="P1647" i="2"/>
  <c r="V1646" i="2" a="1"/>
  <c r="V1646" i="2" s="1"/>
  <c r="U1646" i="2"/>
  <c r="S1646" i="2"/>
  <c r="R1646" i="2"/>
  <c r="Q1646" i="2"/>
  <c r="P1646" i="2"/>
  <c r="U1645" i="2"/>
  <c r="S1645" i="2"/>
  <c r="R1645" i="2"/>
  <c r="Q1645" i="2"/>
  <c r="P1645" i="2"/>
  <c r="V1644" i="2"/>
  <c r="V1644" i="2" a="1"/>
  <c r="U1644" i="2"/>
  <c r="S1644" i="2"/>
  <c r="R1644" i="2"/>
  <c r="Q1644" i="2"/>
  <c r="P1644" i="2"/>
  <c r="V1643" i="2"/>
  <c r="V1643" i="2" a="1"/>
  <c r="U1643" i="2"/>
  <c r="S1643" i="2"/>
  <c r="R1643" i="2"/>
  <c r="Q1643" i="2"/>
  <c r="P1643" i="2"/>
  <c r="U1642" i="2"/>
  <c r="S1642" i="2"/>
  <c r="R1642" i="2"/>
  <c r="Q1642" i="2"/>
  <c r="P1642" i="2"/>
  <c r="U1641" i="2"/>
  <c r="S1641" i="2"/>
  <c r="V1641" i="2" s="1" a="1"/>
  <c r="V1641" i="2" s="1"/>
  <c r="R1641" i="2"/>
  <c r="Q1641" i="2"/>
  <c r="P1641" i="2"/>
  <c r="V1640" i="2"/>
  <c r="U1640" i="2"/>
  <c r="S1640" i="2"/>
  <c r="V1640" i="2" s="1" a="1"/>
  <c r="R1640" i="2"/>
  <c r="Q1640" i="2"/>
  <c r="P1640" i="2"/>
  <c r="U1639" i="2"/>
  <c r="S1639" i="2"/>
  <c r="V1639" i="2" s="1" a="1"/>
  <c r="V1639" i="2" s="1"/>
  <c r="R1639" i="2"/>
  <c r="Q1639" i="2"/>
  <c r="P1639" i="2"/>
  <c r="V1638" i="2" a="1"/>
  <c r="V1638" i="2" s="1"/>
  <c r="U1638" i="2"/>
  <c r="S1638" i="2"/>
  <c r="R1638" i="2"/>
  <c r="Q1638" i="2"/>
  <c r="P1638" i="2"/>
  <c r="U1637" i="2"/>
  <c r="S1637" i="2"/>
  <c r="R1637" i="2"/>
  <c r="Q1637" i="2"/>
  <c r="P1637" i="2"/>
  <c r="V1636" i="2" a="1"/>
  <c r="V1636" i="2" s="1"/>
  <c r="U1636" i="2"/>
  <c r="S1636" i="2"/>
  <c r="R1636" i="2"/>
  <c r="Q1636" i="2"/>
  <c r="P1636" i="2"/>
  <c r="V1635" i="2" a="1"/>
  <c r="V1635" i="2" s="1"/>
  <c r="U1635" i="2"/>
  <c r="S1635" i="2"/>
  <c r="R1635" i="2"/>
  <c r="Q1635" i="2"/>
  <c r="P1635" i="2"/>
  <c r="U1634" i="2"/>
  <c r="S1634" i="2"/>
  <c r="R1634" i="2"/>
  <c r="Q1634" i="2"/>
  <c r="P1634" i="2"/>
  <c r="U1633" i="2"/>
  <c r="S1633" i="2"/>
  <c r="V1633" i="2" s="1" a="1"/>
  <c r="V1633" i="2" s="1"/>
  <c r="R1633" i="2"/>
  <c r="Q1633" i="2"/>
  <c r="P1633" i="2"/>
  <c r="U1632" i="2"/>
  <c r="S1632" i="2"/>
  <c r="V1632" i="2" s="1" a="1"/>
  <c r="V1632" i="2" s="1"/>
  <c r="R1632" i="2"/>
  <c r="Q1632" i="2"/>
  <c r="P1632" i="2"/>
  <c r="U1631" i="2"/>
  <c r="S1631" i="2"/>
  <c r="V1631" i="2" s="1" a="1"/>
  <c r="V1631" i="2" s="1"/>
  <c r="R1631" i="2"/>
  <c r="Q1631" i="2"/>
  <c r="P1631" i="2"/>
  <c r="V1630" i="2" a="1"/>
  <c r="V1630" i="2" s="1"/>
  <c r="U1630" i="2"/>
  <c r="S1630" i="2"/>
  <c r="R1630" i="2"/>
  <c r="Q1630" i="2"/>
  <c r="P1630" i="2"/>
  <c r="U1629" i="2"/>
  <c r="S1629" i="2"/>
  <c r="R1629" i="2"/>
  <c r="Q1629" i="2"/>
  <c r="P1629" i="2"/>
  <c r="V1628" i="2"/>
  <c r="V1628" i="2" a="1"/>
  <c r="U1628" i="2"/>
  <c r="S1628" i="2"/>
  <c r="R1628" i="2"/>
  <c r="Q1628" i="2"/>
  <c r="P1628" i="2"/>
  <c r="V1627" i="2"/>
  <c r="V1627" i="2" a="1"/>
  <c r="U1627" i="2"/>
  <c r="S1627" i="2"/>
  <c r="R1627" i="2"/>
  <c r="Q1627" i="2"/>
  <c r="P1627" i="2"/>
  <c r="U1626" i="2"/>
  <c r="S1626" i="2"/>
  <c r="R1626" i="2"/>
  <c r="Q1626" i="2"/>
  <c r="P1626" i="2"/>
  <c r="U1625" i="2"/>
  <c r="S1625" i="2"/>
  <c r="V1625" i="2" s="1" a="1"/>
  <c r="V1625" i="2" s="1"/>
  <c r="R1625" i="2"/>
  <c r="Q1625" i="2"/>
  <c r="P1625" i="2"/>
  <c r="V1624" i="2"/>
  <c r="U1624" i="2"/>
  <c r="S1624" i="2"/>
  <c r="V1624" i="2" s="1" a="1"/>
  <c r="R1624" i="2"/>
  <c r="Q1624" i="2"/>
  <c r="P1624" i="2"/>
  <c r="U1623" i="2"/>
  <c r="S1623" i="2"/>
  <c r="V1623" i="2" s="1" a="1"/>
  <c r="V1623" i="2" s="1"/>
  <c r="R1623" i="2"/>
  <c r="Q1623" i="2"/>
  <c r="P1623" i="2"/>
  <c r="V1622" i="2" a="1"/>
  <c r="V1622" i="2" s="1"/>
  <c r="U1622" i="2"/>
  <c r="S1622" i="2"/>
  <c r="R1622" i="2"/>
  <c r="Q1622" i="2"/>
  <c r="P1622" i="2"/>
  <c r="U1621" i="2"/>
  <c r="S1621" i="2"/>
  <c r="R1621" i="2"/>
  <c r="Q1621" i="2"/>
  <c r="P1621" i="2"/>
  <c r="V1620" i="2" a="1"/>
  <c r="V1620" i="2" s="1"/>
  <c r="U1620" i="2"/>
  <c r="S1620" i="2"/>
  <c r="R1620" i="2"/>
  <c r="Q1620" i="2"/>
  <c r="P1620" i="2"/>
  <c r="V1619" i="2" a="1"/>
  <c r="V1619" i="2" s="1"/>
  <c r="U1619" i="2"/>
  <c r="S1619" i="2"/>
  <c r="R1619" i="2"/>
  <c r="Q1619" i="2"/>
  <c r="P1619" i="2"/>
  <c r="U1618" i="2"/>
  <c r="S1618" i="2"/>
  <c r="R1618" i="2"/>
  <c r="Q1618" i="2"/>
  <c r="P1618" i="2"/>
  <c r="U1617" i="2"/>
  <c r="S1617" i="2"/>
  <c r="V1617" i="2" s="1" a="1"/>
  <c r="V1617" i="2" s="1"/>
  <c r="R1617" i="2"/>
  <c r="Q1617" i="2"/>
  <c r="P1617" i="2"/>
  <c r="U1616" i="2"/>
  <c r="S1616" i="2"/>
  <c r="V1616" i="2" s="1" a="1"/>
  <c r="V1616" i="2" s="1"/>
  <c r="R1616" i="2"/>
  <c r="Q1616" i="2"/>
  <c r="P1616" i="2"/>
  <c r="U1615" i="2"/>
  <c r="S1615" i="2"/>
  <c r="V1615" i="2" s="1" a="1"/>
  <c r="V1615" i="2" s="1"/>
  <c r="R1615" i="2"/>
  <c r="Q1615" i="2"/>
  <c r="P1615" i="2"/>
  <c r="V1614" i="2"/>
  <c r="V1614" i="2" a="1"/>
  <c r="U1614" i="2"/>
  <c r="S1614" i="2"/>
  <c r="R1614" i="2"/>
  <c r="Q1614" i="2"/>
  <c r="P1614" i="2"/>
  <c r="U1613" i="2"/>
  <c r="S1613" i="2"/>
  <c r="R1613" i="2"/>
  <c r="Q1613" i="2"/>
  <c r="P1613" i="2"/>
  <c r="V1612" i="2" a="1"/>
  <c r="V1612" i="2" s="1"/>
  <c r="U1612" i="2"/>
  <c r="S1612" i="2"/>
  <c r="R1612" i="2"/>
  <c r="Q1612" i="2"/>
  <c r="P1612" i="2"/>
  <c r="U1611" i="2"/>
  <c r="S1611" i="2"/>
  <c r="R1611" i="2"/>
  <c r="Q1611" i="2"/>
  <c r="P1611" i="2"/>
  <c r="U1610" i="2"/>
  <c r="S1610" i="2"/>
  <c r="V1610" i="2" s="1" a="1"/>
  <c r="V1610" i="2" s="1"/>
  <c r="R1610" i="2"/>
  <c r="Q1610" i="2"/>
  <c r="P1610" i="2"/>
  <c r="V1609" i="2" a="1"/>
  <c r="V1609" i="2" s="1"/>
  <c r="U1609" i="2"/>
  <c r="S1609" i="2"/>
  <c r="R1609" i="2"/>
  <c r="Q1609" i="2"/>
  <c r="P1609" i="2"/>
  <c r="V1608" i="2"/>
  <c r="U1608" i="2"/>
  <c r="S1608" i="2"/>
  <c r="V1608" i="2" s="1" a="1"/>
  <c r="R1608" i="2"/>
  <c r="Q1608" i="2"/>
  <c r="P1608" i="2"/>
  <c r="V1607" i="2" a="1"/>
  <c r="V1607" i="2" s="1"/>
  <c r="U1607" i="2"/>
  <c r="S1607" i="2"/>
  <c r="R1607" i="2"/>
  <c r="Q1607" i="2"/>
  <c r="P1607" i="2"/>
  <c r="V1606" i="2"/>
  <c r="V1606" i="2" a="1"/>
  <c r="U1606" i="2"/>
  <c r="S1606" i="2"/>
  <c r="R1606" i="2"/>
  <c r="Q1606" i="2"/>
  <c r="P1606" i="2"/>
  <c r="U1605" i="2"/>
  <c r="S1605" i="2"/>
  <c r="R1605" i="2"/>
  <c r="Q1605" i="2"/>
  <c r="P1605" i="2"/>
  <c r="V1604" i="2" a="1"/>
  <c r="V1604" i="2" s="1"/>
  <c r="U1604" i="2"/>
  <c r="S1604" i="2"/>
  <c r="R1604" i="2"/>
  <c r="Q1604" i="2"/>
  <c r="P1604" i="2"/>
  <c r="U1603" i="2"/>
  <c r="S1603" i="2"/>
  <c r="R1603" i="2"/>
  <c r="Q1603" i="2"/>
  <c r="P1603" i="2"/>
  <c r="U1602" i="2"/>
  <c r="S1602" i="2"/>
  <c r="V1602" i="2" s="1" a="1"/>
  <c r="V1602" i="2" s="1"/>
  <c r="R1602" i="2"/>
  <c r="Q1602" i="2"/>
  <c r="P1602" i="2"/>
  <c r="V1601" i="2" a="1"/>
  <c r="V1601" i="2" s="1"/>
  <c r="U1601" i="2"/>
  <c r="S1601" i="2"/>
  <c r="R1601" i="2"/>
  <c r="Q1601" i="2"/>
  <c r="P1601" i="2"/>
  <c r="V1600" i="2"/>
  <c r="U1600" i="2"/>
  <c r="S1600" i="2"/>
  <c r="V1600" i="2" s="1" a="1"/>
  <c r="R1600" i="2"/>
  <c r="Q1600" i="2"/>
  <c r="P1600" i="2"/>
  <c r="V1599" i="2" a="1"/>
  <c r="V1599" i="2" s="1"/>
  <c r="U1599" i="2"/>
  <c r="S1599" i="2"/>
  <c r="R1599" i="2"/>
  <c r="Q1599" i="2"/>
  <c r="P1599" i="2"/>
  <c r="V1598" i="2"/>
  <c r="V1598" i="2" a="1"/>
  <c r="U1598" i="2"/>
  <c r="S1598" i="2"/>
  <c r="R1598" i="2"/>
  <c r="Q1598" i="2"/>
  <c r="P1598" i="2"/>
  <c r="U1597" i="2"/>
  <c r="S1597" i="2"/>
  <c r="R1597" i="2"/>
  <c r="Q1597" i="2"/>
  <c r="P1597" i="2"/>
  <c r="V1596" i="2" a="1"/>
  <c r="V1596" i="2" s="1"/>
  <c r="U1596" i="2"/>
  <c r="S1596" i="2"/>
  <c r="R1596" i="2"/>
  <c r="Q1596" i="2"/>
  <c r="P1596" i="2"/>
  <c r="U1595" i="2"/>
  <c r="S1595" i="2"/>
  <c r="R1595" i="2"/>
  <c r="Q1595" i="2"/>
  <c r="P1595" i="2"/>
  <c r="U1594" i="2"/>
  <c r="S1594" i="2"/>
  <c r="V1594" i="2" s="1" a="1"/>
  <c r="V1594" i="2" s="1"/>
  <c r="R1594" i="2"/>
  <c r="Q1594" i="2"/>
  <c r="P1594" i="2"/>
  <c r="V1593" i="2" a="1"/>
  <c r="V1593" i="2" s="1"/>
  <c r="U1593" i="2"/>
  <c r="S1593" i="2"/>
  <c r="R1593" i="2"/>
  <c r="Q1593" i="2"/>
  <c r="P1593" i="2"/>
  <c r="V1592" i="2"/>
  <c r="U1592" i="2"/>
  <c r="S1592" i="2"/>
  <c r="V1592" i="2" s="1" a="1"/>
  <c r="R1592" i="2"/>
  <c r="Q1592" i="2"/>
  <c r="P1592" i="2"/>
  <c r="V1591" i="2" a="1"/>
  <c r="V1591" i="2" s="1"/>
  <c r="U1591" i="2"/>
  <c r="S1591" i="2"/>
  <c r="R1591" i="2"/>
  <c r="Q1591" i="2"/>
  <c r="P1591" i="2"/>
  <c r="V1590" i="2"/>
  <c r="V1590" i="2" a="1"/>
  <c r="U1590" i="2"/>
  <c r="S1590" i="2"/>
  <c r="R1590" i="2"/>
  <c r="Q1590" i="2"/>
  <c r="P1590" i="2"/>
  <c r="U1589" i="2"/>
  <c r="S1589" i="2"/>
  <c r="R1589" i="2"/>
  <c r="Q1589" i="2"/>
  <c r="P1589" i="2"/>
  <c r="V1588" i="2" a="1"/>
  <c r="V1588" i="2" s="1"/>
  <c r="U1588" i="2"/>
  <c r="S1588" i="2"/>
  <c r="R1588" i="2"/>
  <c r="Q1588" i="2"/>
  <c r="P1588" i="2"/>
  <c r="U1587" i="2"/>
  <c r="S1587" i="2"/>
  <c r="R1587" i="2"/>
  <c r="Q1587" i="2"/>
  <c r="P1587" i="2"/>
  <c r="U1586" i="2"/>
  <c r="S1586" i="2"/>
  <c r="V1586" i="2" s="1" a="1"/>
  <c r="V1586" i="2" s="1"/>
  <c r="R1586" i="2"/>
  <c r="Q1586" i="2"/>
  <c r="P1586" i="2"/>
  <c r="V1585" i="2" a="1"/>
  <c r="V1585" i="2" s="1"/>
  <c r="U1585" i="2"/>
  <c r="S1585" i="2"/>
  <c r="R1585" i="2"/>
  <c r="Q1585" i="2"/>
  <c r="P1585" i="2"/>
  <c r="V1584" i="2"/>
  <c r="U1584" i="2"/>
  <c r="S1584" i="2"/>
  <c r="V1584" i="2" s="1" a="1"/>
  <c r="R1584" i="2"/>
  <c r="Q1584" i="2"/>
  <c r="P1584" i="2"/>
  <c r="V1583" i="2" a="1"/>
  <c r="V1583" i="2" s="1"/>
  <c r="U1583" i="2"/>
  <c r="S1583" i="2"/>
  <c r="R1583" i="2"/>
  <c r="Q1583" i="2"/>
  <c r="P1583" i="2"/>
  <c r="U1582" i="2"/>
  <c r="S1582" i="2"/>
  <c r="V1582" i="2" s="1" a="1"/>
  <c r="V1582" i="2" s="1"/>
  <c r="R1582" i="2"/>
  <c r="Q1582" i="2"/>
  <c r="P1582" i="2"/>
  <c r="V1581" i="2" a="1"/>
  <c r="V1581" i="2" s="1"/>
  <c r="U1581" i="2"/>
  <c r="S1581" i="2"/>
  <c r="R1581" i="2"/>
  <c r="Q1581" i="2"/>
  <c r="P1581" i="2"/>
  <c r="U1580" i="2"/>
  <c r="S1580" i="2"/>
  <c r="R1580" i="2"/>
  <c r="Q1580" i="2"/>
  <c r="P1580" i="2"/>
  <c r="U1579" i="2"/>
  <c r="S1579" i="2"/>
  <c r="V1579" i="2" s="1" a="1"/>
  <c r="V1579" i="2" s="1"/>
  <c r="R1579" i="2"/>
  <c r="Q1579" i="2"/>
  <c r="P1579" i="2"/>
  <c r="V1578" i="2" a="1"/>
  <c r="V1578" i="2" s="1"/>
  <c r="U1578" i="2"/>
  <c r="S1578" i="2"/>
  <c r="R1578" i="2"/>
  <c r="Q1578" i="2"/>
  <c r="P1578" i="2"/>
  <c r="U1577" i="2"/>
  <c r="S1577" i="2"/>
  <c r="R1577" i="2"/>
  <c r="Q1577" i="2"/>
  <c r="P1577" i="2"/>
  <c r="V1576" i="2" a="1"/>
  <c r="V1576" i="2" s="1"/>
  <c r="U1576" i="2"/>
  <c r="S1576" i="2"/>
  <c r="R1576" i="2"/>
  <c r="Q1576" i="2"/>
  <c r="P1576" i="2"/>
  <c r="V1575" i="2"/>
  <c r="V1575" i="2" a="1"/>
  <c r="U1575" i="2"/>
  <c r="S1575" i="2"/>
  <c r="R1575" i="2"/>
  <c r="Q1575" i="2"/>
  <c r="P1575" i="2"/>
  <c r="V1574" i="2"/>
  <c r="U1574" i="2"/>
  <c r="S1574" i="2"/>
  <c r="V1574" i="2" s="1" a="1"/>
  <c r="R1574" i="2"/>
  <c r="Q1574" i="2"/>
  <c r="P1574" i="2"/>
  <c r="V1573" i="2" a="1"/>
  <c r="V1573" i="2" s="1"/>
  <c r="U1573" i="2"/>
  <c r="S1573" i="2"/>
  <c r="R1573" i="2"/>
  <c r="Q1573" i="2"/>
  <c r="P1573" i="2"/>
  <c r="U1572" i="2"/>
  <c r="S1572" i="2"/>
  <c r="R1572" i="2"/>
  <c r="Q1572" i="2"/>
  <c r="P1572" i="2"/>
  <c r="U1571" i="2"/>
  <c r="S1571" i="2"/>
  <c r="V1571" i="2" s="1" a="1"/>
  <c r="V1571" i="2" s="1"/>
  <c r="R1571" i="2"/>
  <c r="Q1571" i="2"/>
  <c r="P1571" i="2"/>
  <c r="V1570" i="2" a="1"/>
  <c r="V1570" i="2" s="1"/>
  <c r="U1570" i="2"/>
  <c r="S1570" i="2"/>
  <c r="R1570" i="2"/>
  <c r="Q1570" i="2"/>
  <c r="P1570" i="2"/>
  <c r="U1569" i="2"/>
  <c r="S1569" i="2"/>
  <c r="R1569" i="2"/>
  <c r="Q1569" i="2"/>
  <c r="P1569" i="2"/>
  <c r="V1568" i="2" a="1"/>
  <c r="V1568" i="2" s="1"/>
  <c r="U1568" i="2"/>
  <c r="S1568" i="2"/>
  <c r="R1568" i="2"/>
  <c r="Q1568" i="2"/>
  <c r="P1568" i="2"/>
  <c r="V1567" i="2" a="1"/>
  <c r="V1567" i="2" s="1"/>
  <c r="U1567" i="2"/>
  <c r="S1567" i="2"/>
  <c r="R1567" i="2"/>
  <c r="Q1567" i="2"/>
  <c r="P1567" i="2"/>
  <c r="U1566" i="2"/>
  <c r="S1566" i="2"/>
  <c r="V1566" i="2" s="1" a="1"/>
  <c r="V1566" i="2" s="1"/>
  <c r="R1566" i="2"/>
  <c r="Q1566" i="2"/>
  <c r="P1566" i="2"/>
  <c r="V1565" i="2" a="1"/>
  <c r="V1565" i="2" s="1"/>
  <c r="U1565" i="2"/>
  <c r="S1565" i="2"/>
  <c r="R1565" i="2"/>
  <c r="Q1565" i="2"/>
  <c r="P1565" i="2"/>
  <c r="U1564" i="2"/>
  <c r="S1564" i="2"/>
  <c r="R1564" i="2"/>
  <c r="Q1564" i="2"/>
  <c r="P1564" i="2"/>
  <c r="U1563" i="2"/>
  <c r="S1563" i="2"/>
  <c r="V1563" i="2" s="1" a="1"/>
  <c r="V1563" i="2" s="1"/>
  <c r="R1563" i="2"/>
  <c r="Q1563" i="2"/>
  <c r="P1563" i="2"/>
  <c r="V1562" i="2" a="1"/>
  <c r="V1562" i="2" s="1"/>
  <c r="U1562" i="2"/>
  <c r="S1562" i="2"/>
  <c r="R1562" i="2"/>
  <c r="Q1562" i="2"/>
  <c r="P1562" i="2"/>
  <c r="U1561" i="2"/>
  <c r="S1561" i="2"/>
  <c r="R1561" i="2"/>
  <c r="Q1561" i="2"/>
  <c r="P1561" i="2"/>
  <c r="V1560" i="2" a="1"/>
  <c r="V1560" i="2" s="1"/>
  <c r="U1560" i="2"/>
  <c r="S1560" i="2"/>
  <c r="R1560" i="2"/>
  <c r="Q1560" i="2"/>
  <c r="P1560" i="2"/>
  <c r="V1559" i="2"/>
  <c r="V1559" i="2" a="1"/>
  <c r="U1559" i="2"/>
  <c r="S1559" i="2"/>
  <c r="R1559" i="2"/>
  <c r="Q1559" i="2"/>
  <c r="P1559" i="2"/>
  <c r="V1558" i="2"/>
  <c r="U1558" i="2"/>
  <c r="S1558" i="2"/>
  <c r="V1558" i="2" s="1" a="1"/>
  <c r="R1558" i="2"/>
  <c r="Q1558" i="2"/>
  <c r="P1558" i="2"/>
  <c r="V1557" i="2" a="1"/>
  <c r="V1557" i="2" s="1"/>
  <c r="U1557" i="2"/>
  <c r="S1557" i="2"/>
  <c r="R1557" i="2"/>
  <c r="Q1557" i="2"/>
  <c r="P1557" i="2"/>
  <c r="U1556" i="2"/>
  <c r="S1556" i="2"/>
  <c r="R1556" i="2"/>
  <c r="Q1556" i="2"/>
  <c r="P1556" i="2"/>
  <c r="U1555" i="2"/>
  <c r="S1555" i="2"/>
  <c r="V1555" i="2" s="1" a="1"/>
  <c r="V1555" i="2" s="1"/>
  <c r="R1555" i="2"/>
  <c r="Q1555" i="2"/>
  <c r="P1555" i="2"/>
  <c r="V1554" i="2" a="1"/>
  <c r="V1554" i="2" s="1"/>
  <c r="U1554" i="2"/>
  <c r="S1554" i="2"/>
  <c r="R1554" i="2"/>
  <c r="Q1554" i="2"/>
  <c r="P1554" i="2"/>
  <c r="U1553" i="2"/>
  <c r="S1553" i="2"/>
  <c r="R1553" i="2"/>
  <c r="Q1553" i="2"/>
  <c r="P1553" i="2"/>
  <c r="V1552" i="2" a="1"/>
  <c r="V1552" i="2" s="1"/>
  <c r="U1552" i="2"/>
  <c r="S1552" i="2"/>
  <c r="R1552" i="2"/>
  <c r="Q1552" i="2"/>
  <c r="P1552" i="2"/>
  <c r="V1551" i="2" a="1"/>
  <c r="V1551" i="2" s="1"/>
  <c r="U1551" i="2"/>
  <c r="S1551" i="2"/>
  <c r="R1551" i="2"/>
  <c r="Q1551" i="2"/>
  <c r="P1551" i="2"/>
  <c r="U1550" i="2"/>
  <c r="S1550" i="2"/>
  <c r="V1550" i="2" s="1" a="1"/>
  <c r="V1550" i="2" s="1"/>
  <c r="R1550" i="2"/>
  <c r="Q1550" i="2"/>
  <c r="P1550" i="2"/>
  <c r="V1549" i="2" a="1"/>
  <c r="V1549" i="2" s="1"/>
  <c r="U1549" i="2"/>
  <c r="S1549" i="2"/>
  <c r="R1549" i="2"/>
  <c r="Q1549" i="2"/>
  <c r="P1549" i="2"/>
  <c r="U1548" i="2"/>
  <c r="S1548" i="2"/>
  <c r="R1548" i="2"/>
  <c r="Q1548" i="2"/>
  <c r="P1548" i="2"/>
  <c r="U1547" i="2"/>
  <c r="S1547" i="2"/>
  <c r="V1547" i="2" s="1" a="1"/>
  <c r="V1547" i="2" s="1"/>
  <c r="R1547" i="2"/>
  <c r="Q1547" i="2"/>
  <c r="P1547" i="2"/>
  <c r="V1546" i="2" a="1"/>
  <c r="V1546" i="2" s="1"/>
  <c r="U1546" i="2"/>
  <c r="S1546" i="2"/>
  <c r="R1546" i="2"/>
  <c r="Q1546" i="2"/>
  <c r="P1546" i="2"/>
  <c r="U1545" i="2"/>
  <c r="S1545" i="2"/>
  <c r="R1545" i="2"/>
  <c r="Q1545" i="2"/>
  <c r="P1545" i="2"/>
  <c r="V1544" i="2" a="1"/>
  <c r="V1544" i="2" s="1"/>
  <c r="U1544" i="2"/>
  <c r="S1544" i="2"/>
  <c r="R1544" i="2"/>
  <c r="Q1544" i="2"/>
  <c r="P1544" i="2"/>
  <c r="V1543" i="2"/>
  <c r="V1543" i="2" a="1"/>
  <c r="U1543" i="2"/>
  <c r="S1543" i="2"/>
  <c r="R1543" i="2"/>
  <c r="Q1543" i="2"/>
  <c r="P1543" i="2"/>
  <c r="V1542" i="2"/>
  <c r="U1542" i="2"/>
  <c r="S1542" i="2"/>
  <c r="V1542" i="2" s="1" a="1"/>
  <c r="R1542" i="2"/>
  <c r="Q1542" i="2"/>
  <c r="P1542" i="2"/>
  <c r="V1541" i="2" a="1"/>
  <c r="V1541" i="2" s="1"/>
  <c r="U1541" i="2"/>
  <c r="S1541" i="2"/>
  <c r="R1541" i="2"/>
  <c r="Q1541" i="2"/>
  <c r="P1541" i="2"/>
  <c r="U1540" i="2"/>
  <c r="S1540" i="2"/>
  <c r="R1540" i="2"/>
  <c r="Q1540" i="2"/>
  <c r="P1540" i="2"/>
  <c r="U1539" i="2"/>
  <c r="S1539" i="2"/>
  <c r="V1539" i="2" s="1" a="1"/>
  <c r="V1539" i="2" s="1"/>
  <c r="R1539" i="2"/>
  <c r="Q1539" i="2"/>
  <c r="P1539" i="2"/>
  <c r="V1538" i="2" a="1"/>
  <c r="V1538" i="2" s="1"/>
  <c r="U1538" i="2"/>
  <c r="S1538" i="2"/>
  <c r="R1538" i="2"/>
  <c r="Q1538" i="2"/>
  <c r="P1538" i="2"/>
  <c r="U1537" i="2"/>
  <c r="S1537" i="2"/>
  <c r="R1537" i="2"/>
  <c r="Q1537" i="2"/>
  <c r="P1537" i="2"/>
  <c r="V1536" i="2" a="1"/>
  <c r="V1536" i="2" s="1"/>
  <c r="U1536" i="2"/>
  <c r="S1536" i="2"/>
  <c r="R1536" i="2"/>
  <c r="Q1536" i="2"/>
  <c r="P1536" i="2"/>
  <c r="V1535" i="2" a="1"/>
  <c r="V1535" i="2" s="1"/>
  <c r="U1535" i="2"/>
  <c r="S1535" i="2"/>
  <c r="R1535" i="2"/>
  <c r="Q1535" i="2"/>
  <c r="P1535" i="2"/>
  <c r="U1534" i="2"/>
  <c r="S1534" i="2"/>
  <c r="V1534" i="2" s="1" a="1"/>
  <c r="V1534" i="2" s="1"/>
  <c r="R1534" i="2"/>
  <c r="Q1534" i="2"/>
  <c r="P1534" i="2"/>
  <c r="V1533" i="2" a="1"/>
  <c r="V1533" i="2" s="1"/>
  <c r="U1533" i="2"/>
  <c r="S1533" i="2"/>
  <c r="R1533" i="2"/>
  <c r="Q1533" i="2"/>
  <c r="P1533" i="2"/>
  <c r="U1532" i="2"/>
  <c r="S1532" i="2"/>
  <c r="R1532" i="2"/>
  <c r="Q1532" i="2"/>
  <c r="P1532" i="2"/>
  <c r="U1531" i="2"/>
  <c r="S1531" i="2"/>
  <c r="V1531" i="2" s="1" a="1"/>
  <c r="V1531" i="2" s="1"/>
  <c r="R1531" i="2"/>
  <c r="Q1531" i="2"/>
  <c r="P1531" i="2"/>
  <c r="V1530" i="2" a="1"/>
  <c r="V1530" i="2" s="1"/>
  <c r="U1530" i="2"/>
  <c r="S1530" i="2"/>
  <c r="R1530" i="2"/>
  <c r="Q1530" i="2"/>
  <c r="P1530" i="2"/>
  <c r="U1529" i="2"/>
  <c r="S1529" i="2"/>
  <c r="R1529" i="2"/>
  <c r="Q1529" i="2"/>
  <c r="P1529" i="2"/>
  <c r="V1528" i="2" a="1"/>
  <c r="V1528" i="2" s="1"/>
  <c r="U1528" i="2"/>
  <c r="S1528" i="2"/>
  <c r="R1528" i="2"/>
  <c r="Q1528" i="2"/>
  <c r="P1528" i="2"/>
  <c r="V1527" i="2"/>
  <c r="V1527" i="2" a="1"/>
  <c r="U1527" i="2"/>
  <c r="S1527" i="2"/>
  <c r="R1527" i="2"/>
  <c r="Q1527" i="2"/>
  <c r="P1527" i="2"/>
  <c r="V1526" i="2"/>
  <c r="U1526" i="2"/>
  <c r="S1526" i="2"/>
  <c r="V1526" i="2" s="1" a="1"/>
  <c r="R1526" i="2"/>
  <c r="Q1526" i="2"/>
  <c r="P1526" i="2"/>
  <c r="V1525" i="2" a="1"/>
  <c r="V1525" i="2" s="1"/>
  <c r="U1525" i="2"/>
  <c r="S1525" i="2"/>
  <c r="R1525" i="2"/>
  <c r="Q1525" i="2"/>
  <c r="P1525" i="2"/>
  <c r="U1524" i="2"/>
  <c r="S1524" i="2"/>
  <c r="R1524" i="2"/>
  <c r="Q1524" i="2"/>
  <c r="P1524" i="2"/>
  <c r="U1523" i="2"/>
  <c r="S1523" i="2"/>
  <c r="V1523" i="2" s="1" a="1"/>
  <c r="V1523" i="2" s="1"/>
  <c r="R1523" i="2"/>
  <c r="Q1523" i="2"/>
  <c r="P1523" i="2"/>
  <c r="V1522" i="2" a="1"/>
  <c r="V1522" i="2" s="1"/>
  <c r="U1522" i="2"/>
  <c r="S1522" i="2"/>
  <c r="R1522" i="2"/>
  <c r="Q1522" i="2"/>
  <c r="P1522" i="2"/>
  <c r="U1521" i="2"/>
  <c r="S1521" i="2"/>
  <c r="R1521" i="2"/>
  <c r="Q1521" i="2"/>
  <c r="P1521" i="2"/>
  <c r="V1520" i="2" a="1"/>
  <c r="V1520" i="2" s="1"/>
  <c r="U1520" i="2"/>
  <c r="S1520" i="2"/>
  <c r="R1520" i="2"/>
  <c r="Q1520" i="2"/>
  <c r="P1520" i="2"/>
  <c r="V1519" i="2"/>
  <c r="V1519" i="2" a="1"/>
  <c r="U1519" i="2"/>
  <c r="S1519" i="2"/>
  <c r="R1519" i="2"/>
  <c r="Q1519" i="2"/>
  <c r="P1519" i="2"/>
  <c r="U1518" i="2"/>
  <c r="S1518" i="2"/>
  <c r="V1518" i="2" s="1" a="1"/>
  <c r="V1518" i="2" s="1"/>
  <c r="R1518" i="2"/>
  <c r="Q1518" i="2"/>
  <c r="P1518" i="2"/>
  <c r="V1517" i="2" a="1"/>
  <c r="V1517" i="2" s="1"/>
  <c r="U1517" i="2"/>
  <c r="S1517" i="2"/>
  <c r="R1517" i="2"/>
  <c r="Q1517" i="2"/>
  <c r="P1517" i="2"/>
  <c r="U1516" i="2"/>
  <c r="S1516" i="2"/>
  <c r="R1516" i="2"/>
  <c r="Q1516" i="2"/>
  <c r="P1516" i="2"/>
  <c r="U1515" i="2"/>
  <c r="S1515" i="2"/>
  <c r="V1515" i="2" s="1" a="1"/>
  <c r="V1515" i="2" s="1"/>
  <c r="R1515" i="2"/>
  <c r="Q1515" i="2"/>
  <c r="P1515" i="2"/>
  <c r="V1514" i="2" a="1"/>
  <c r="V1514" i="2" s="1"/>
  <c r="U1514" i="2"/>
  <c r="S1514" i="2"/>
  <c r="R1514" i="2"/>
  <c r="Q1514" i="2"/>
  <c r="P1514" i="2"/>
  <c r="U1513" i="2"/>
  <c r="S1513" i="2"/>
  <c r="R1513" i="2"/>
  <c r="Q1513" i="2"/>
  <c r="P1513" i="2"/>
  <c r="V1512" i="2" a="1"/>
  <c r="V1512" i="2" s="1"/>
  <c r="U1512" i="2"/>
  <c r="S1512" i="2"/>
  <c r="R1512" i="2"/>
  <c r="Q1512" i="2"/>
  <c r="P1512" i="2"/>
  <c r="V1511" i="2"/>
  <c r="V1511" i="2" a="1"/>
  <c r="U1511" i="2"/>
  <c r="S1511" i="2"/>
  <c r="R1511" i="2"/>
  <c r="Q1511" i="2"/>
  <c r="P1511" i="2"/>
  <c r="V1510" i="2"/>
  <c r="U1510" i="2"/>
  <c r="S1510" i="2"/>
  <c r="V1510" i="2" s="1" a="1"/>
  <c r="R1510" i="2"/>
  <c r="Q1510" i="2"/>
  <c r="P1510" i="2"/>
  <c r="V1509" i="2" a="1"/>
  <c r="V1509" i="2" s="1"/>
  <c r="U1509" i="2"/>
  <c r="S1509" i="2"/>
  <c r="R1509" i="2"/>
  <c r="Q1509" i="2"/>
  <c r="P1509" i="2"/>
  <c r="U1508" i="2"/>
  <c r="S1508" i="2"/>
  <c r="R1508" i="2"/>
  <c r="Q1508" i="2"/>
  <c r="P1508" i="2"/>
  <c r="U1507" i="2"/>
  <c r="S1507" i="2"/>
  <c r="V1507" i="2" s="1" a="1"/>
  <c r="V1507" i="2" s="1"/>
  <c r="R1507" i="2"/>
  <c r="Q1507" i="2"/>
  <c r="P1507" i="2"/>
  <c r="V1506" i="2" a="1"/>
  <c r="V1506" i="2" s="1"/>
  <c r="U1506" i="2"/>
  <c r="S1506" i="2"/>
  <c r="R1506" i="2"/>
  <c r="Q1506" i="2"/>
  <c r="P1506" i="2"/>
  <c r="U1505" i="2"/>
  <c r="S1505" i="2"/>
  <c r="R1505" i="2"/>
  <c r="Q1505" i="2"/>
  <c r="P1505" i="2"/>
  <c r="V1504" i="2" a="1"/>
  <c r="V1504" i="2" s="1"/>
  <c r="U1504" i="2"/>
  <c r="S1504" i="2"/>
  <c r="R1504" i="2"/>
  <c r="Q1504" i="2"/>
  <c r="P1504" i="2"/>
  <c r="V1503" i="2"/>
  <c r="V1503" i="2" a="1"/>
  <c r="U1503" i="2"/>
  <c r="S1503" i="2"/>
  <c r="R1503" i="2"/>
  <c r="Q1503" i="2"/>
  <c r="P1503" i="2"/>
  <c r="U1502" i="2"/>
  <c r="S1502" i="2"/>
  <c r="V1502" i="2" s="1" a="1"/>
  <c r="V1502" i="2" s="1"/>
  <c r="R1502" i="2"/>
  <c r="Q1502" i="2"/>
  <c r="P1502" i="2"/>
  <c r="V1501" i="2" a="1"/>
  <c r="V1501" i="2" s="1"/>
  <c r="U1501" i="2"/>
  <c r="S1501" i="2"/>
  <c r="R1501" i="2"/>
  <c r="Q1501" i="2"/>
  <c r="P1501" i="2"/>
  <c r="U1500" i="2"/>
  <c r="S1500" i="2"/>
  <c r="R1500" i="2"/>
  <c r="Q1500" i="2"/>
  <c r="P1500" i="2"/>
  <c r="U1499" i="2"/>
  <c r="S1499" i="2"/>
  <c r="V1499" i="2" s="1" a="1"/>
  <c r="V1499" i="2" s="1"/>
  <c r="R1499" i="2"/>
  <c r="Q1499" i="2"/>
  <c r="P1499" i="2"/>
  <c r="V1498" i="2" a="1"/>
  <c r="V1498" i="2" s="1"/>
  <c r="U1498" i="2"/>
  <c r="S1498" i="2"/>
  <c r="R1498" i="2"/>
  <c r="Q1498" i="2"/>
  <c r="P1498" i="2"/>
  <c r="U1497" i="2"/>
  <c r="S1497" i="2"/>
  <c r="R1497" i="2"/>
  <c r="Q1497" i="2"/>
  <c r="P1497" i="2"/>
  <c r="V1496" i="2" a="1"/>
  <c r="V1496" i="2" s="1"/>
  <c r="U1496" i="2"/>
  <c r="S1496" i="2"/>
  <c r="R1496" i="2"/>
  <c r="Q1496" i="2"/>
  <c r="P1496" i="2"/>
  <c r="V1495" i="2"/>
  <c r="V1495" i="2" a="1"/>
  <c r="U1495" i="2"/>
  <c r="S1495" i="2"/>
  <c r="R1495" i="2"/>
  <c r="Q1495" i="2"/>
  <c r="P1495" i="2"/>
  <c r="U1494" i="2"/>
  <c r="S1494" i="2"/>
  <c r="V1494" i="2" s="1" a="1"/>
  <c r="V1494" i="2" s="1"/>
  <c r="R1494" i="2"/>
  <c r="Q1494" i="2"/>
  <c r="P1494" i="2"/>
  <c r="V1493" i="2" a="1"/>
  <c r="V1493" i="2" s="1"/>
  <c r="U1493" i="2"/>
  <c r="S1493" i="2"/>
  <c r="R1493" i="2"/>
  <c r="Q1493" i="2"/>
  <c r="P1493" i="2"/>
  <c r="U1492" i="2"/>
  <c r="S1492" i="2"/>
  <c r="R1492" i="2"/>
  <c r="Q1492" i="2"/>
  <c r="P1492" i="2"/>
  <c r="U1491" i="2"/>
  <c r="S1491" i="2"/>
  <c r="V1491" i="2" s="1" a="1"/>
  <c r="V1491" i="2" s="1"/>
  <c r="R1491" i="2"/>
  <c r="Q1491" i="2"/>
  <c r="P1491" i="2"/>
  <c r="V1490" i="2" a="1"/>
  <c r="V1490" i="2" s="1"/>
  <c r="U1490" i="2"/>
  <c r="S1490" i="2"/>
  <c r="R1490" i="2"/>
  <c r="Q1490" i="2"/>
  <c r="P1490" i="2"/>
  <c r="U1489" i="2"/>
  <c r="S1489" i="2"/>
  <c r="R1489" i="2"/>
  <c r="Q1489" i="2"/>
  <c r="P1489" i="2"/>
  <c r="V1488" i="2" a="1"/>
  <c r="V1488" i="2" s="1"/>
  <c r="U1488" i="2"/>
  <c r="S1488" i="2"/>
  <c r="R1488" i="2"/>
  <c r="Q1488" i="2"/>
  <c r="P1488" i="2"/>
  <c r="V1487" i="2"/>
  <c r="V1487" i="2" a="1"/>
  <c r="U1487" i="2"/>
  <c r="S1487" i="2"/>
  <c r="R1487" i="2"/>
  <c r="Q1487" i="2"/>
  <c r="P1487" i="2"/>
  <c r="U1486" i="2"/>
  <c r="S1486" i="2"/>
  <c r="V1486" i="2" s="1" a="1"/>
  <c r="V1486" i="2" s="1"/>
  <c r="R1486" i="2"/>
  <c r="Q1486" i="2"/>
  <c r="P1486" i="2"/>
  <c r="V1485" i="2" a="1"/>
  <c r="V1485" i="2" s="1"/>
  <c r="U1485" i="2"/>
  <c r="S1485" i="2"/>
  <c r="R1485" i="2"/>
  <c r="Q1485" i="2"/>
  <c r="P1485" i="2"/>
  <c r="U1484" i="2"/>
  <c r="S1484" i="2"/>
  <c r="R1484" i="2"/>
  <c r="Q1484" i="2"/>
  <c r="P1484" i="2"/>
  <c r="U1483" i="2"/>
  <c r="S1483" i="2"/>
  <c r="V1483" i="2" s="1" a="1"/>
  <c r="V1483" i="2" s="1"/>
  <c r="R1483" i="2"/>
  <c r="Q1483" i="2"/>
  <c r="P1483" i="2"/>
  <c r="V1482" i="2" a="1"/>
  <c r="V1482" i="2" s="1"/>
  <c r="U1482" i="2"/>
  <c r="S1482" i="2"/>
  <c r="R1482" i="2"/>
  <c r="Q1482" i="2"/>
  <c r="P1482" i="2"/>
  <c r="U1481" i="2"/>
  <c r="S1481" i="2"/>
  <c r="R1481" i="2"/>
  <c r="Q1481" i="2"/>
  <c r="P1481" i="2"/>
  <c r="V1480" i="2" a="1"/>
  <c r="V1480" i="2" s="1"/>
  <c r="U1480" i="2"/>
  <c r="S1480" i="2"/>
  <c r="R1480" i="2"/>
  <c r="Q1480" i="2"/>
  <c r="P1480" i="2"/>
  <c r="V1479" i="2"/>
  <c r="V1479" i="2" a="1"/>
  <c r="U1479" i="2"/>
  <c r="S1479" i="2"/>
  <c r="R1479" i="2"/>
  <c r="Q1479" i="2"/>
  <c r="P1479" i="2"/>
  <c r="U1478" i="2"/>
  <c r="S1478" i="2"/>
  <c r="V1478" i="2" s="1" a="1"/>
  <c r="V1478" i="2" s="1"/>
  <c r="R1478" i="2"/>
  <c r="Q1478" i="2"/>
  <c r="P1478" i="2"/>
  <c r="V1477" i="2" a="1"/>
  <c r="V1477" i="2" s="1"/>
  <c r="U1477" i="2"/>
  <c r="S1477" i="2"/>
  <c r="R1477" i="2"/>
  <c r="Q1477" i="2"/>
  <c r="P1477" i="2"/>
  <c r="U1476" i="2"/>
  <c r="S1476" i="2"/>
  <c r="R1476" i="2"/>
  <c r="Q1476" i="2"/>
  <c r="P1476" i="2"/>
  <c r="U1475" i="2"/>
  <c r="S1475" i="2"/>
  <c r="V1475" i="2" s="1" a="1"/>
  <c r="V1475" i="2" s="1"/>
  <c r="R1475" i="2"/>
  <c r="Q1475" i="2"/>
  <c r="P1475" i="2"/>
  <c r="V1474" i="2" a="1"/>
  <c r="V1474" i="2" s="1"/>
  <c r="U1474" i="2"/>
  <c r="S1474" i="2"/>
  <c r="R1474" i="2"/>
  <c r="Q1474" i="2"/>
  <c r="P1474" i="2"/>
  <c r="U1473" i="2"/>
  <c r="S1473" i="2"/>
  <c r="R1473" i="2"/>
  <c r="Q1473" i="2"/>
  <c r="P1473" i="2"/>
  <c r="V1472" i="2" a="1"/>
  <c r="V1472" i="2" s="1"/>
  <c r="U1472" i="2"/>
  <c r="S1472" i="2"/>
  <c r="R1472" i="2"/>
  <c r="Q1472" i="2"/>
  <c r="P1472" i="2"/>
  <c r="V1471" i="2"/>
  <c r="V1471" i="2" a="1"/>
  <c r="U1471" i="2"/>
  <c r="S1471" i="2"/>
  <c r="R1471" i="2"/>
  <c r="Q1471" i="2"/>
  <c r="P1471" i="2"/>
  <c r="U1470" i="2"/>
  <c r="S1470" i="2"/>
  <c r="V1470" i="2" s="1" a="1"/>
  <c r="V1470" i="2" s="1"/>
  <c r="R1470" i="2"/>
  <c r="Q1470" i="2"/>
  <c r="P1470" i="2"/>
  <c r="V1469" i="2" a="1"/>
  <c r="V1469" i="2" s="1"/>
  <c r="U1469" i="2"/>
  <c r="S1469" i="2"/>
  <c r="R1469" i="2"/>
  <c r="Q1469" i="2"/>
  <c r="P1469" i="2"/>
  <c r="U1468" i="2"/>
  <c r="S1468" i="2"/>
  <c r="R1468" i="2"/>
  <c r="Q1468" i="2"/>
  <c r="P1468" i="2"/>
  <c r="U1467" i="2"/>
  <c r="S1467" i="2"/>
  <c r="V1467" i="2" s="1" a="1"/>
  <c r="V1467" i="2" s="1"/>
  <c r="R1467" i="2"/>
  <c r="Q1467" i="2"/>
  <c r="P1467" i="2"/>
  <c r="V1466" i="2" a="1"/>
  <c r="V1466" i="2" s="1"/>
  <c r="U1466" i="2"/>
  <c r="S1466" i="2"/>
  <c r="R1466" i="2"/>
  <c r="Q1466" i="2"/>
  <c r="P1466" i="2"/>
  <c r="U1465" i="2"/>
  <c r="S1465" i="2"/>
  <c r="R1465" i="2"/>
  <c r="Q1465" i="2"/>
  <c r="P1465" i="2"/>
  <c r="V1464" i="2" a="1"/>
  <c r="V1464" i="2" s="1"/>
  <c r="U1464" i="2"/>
  <c r="S1464" i="2"/>
  <c r="R1464" i="2"/>
  <c r="Q1464" i="2"/>
  <c r="P1464" i="2"/>
  <c r="V1463" i="2"/>
  <c r="V1463" i="2" a="1"/>
  <c r="U1463" i="2"/>
  <c r="S1463" i="2"/>
  <c r="R1463" i="2"/>
  <c r="Q1463" i="2"/>
  <c r="P1463" i="2"/>
  <c r="U1462" i="2"/>
  <c r="S1462" i="2"/>
  <c r="V1462" i="2" s="1" a="1"/>
  <c r="V1462" i="2" s="1"/>
  <c r="R1462" i="2"/>
  <c r="Q1462" i="2"/>
  <c r="P1462" i="2"/>
  <c r="V1461" i="2" a="1"/>
  <c r="V1461" i="2" s="1"/>
  <c r="U1461" i="2"/>
  <c r="S1461" i="2"/>
  <c r="R1461" i="2"/>
  <c r="Q1461" i="2"/>
  <c r="P1461" i="2"/>
  <c r="U1460" i="2"/>
  <c r="S1460" i="2"/>
  <c r="R1460" i="2"/>
  <c r="Q1460" i="2"/>
  <c r="P1460" i="2"/>
  <c r="U1459" i="2"/>
  <c r="S1459" i="2"/>
  <c r="V1459" i="2" s="1" a="1"/>
  <c r="V1459" i="2" s="1"/>
  <c r="R1459" i="2"/>
  <c r="Q1459" i="2"/>
  <c r="P1459" i="2"/>
  <c r="V1458" i="2" a="1"/>
  <c r="V1458" i="2" s="1"/>
  <c r="U1458" i="2"/>
  <c r="S1458" i="2"/>
  <c r="R1458" i="2"/>
  <c r="Q1458" i="2"/>
  <c r="P1458" i="2"/>
  <c r="U1457" i="2"/>
  <c r="S1457" i="2"/>
  <c r="R1457" i="2"/>
  <c r="Q1457" i="2"/>
  <c r="P1457" i="2"/>
  <c r="V1456" i="2" a="1"/>
  <c r="V1456" i="2" s="1"/>
  <c r="U1456" i="2"/>
  <c r="S1456" i="2"/>
  <c r="R1456" i="2"/>
  <c r="Q1456" i="2"/>
  <c r="P1456" i="2"/>
  <c r="V1455" i="2"/>
  <c r="V1455" i="2" a="1"/>
  <c r="U1455" i="2"/>
  <c r="S1455" i="2"/>
  <c r="R1455" i="2"/>
  <c r="Q1455" i="2"/>
  <c r="P1455" i="2"/>
  <c r="U1454" i="2"/>
  <c r="S1454" i="2"/>
  <c r="V1454" i="2" s="1" a="1"/>
  <c r="V1454" i="2" s="1"/>
  <c r="R1454" i="2"/>
  <c r="Q1454" i="2"/>
  <c r="P1454" i="2"/>
  <c r="V1453" i="2" a="1"/>
  <c r="V1453" i="2" s="1"/>
  <c r="U1453" i="2"/>
  <c r="S1453" i="2"/>
  <c r="R1453" i="2"/>
  <c r="Q1453" i="2"/>
  <c r="P1453" i="2"/>
  <c r="U1452" i="2"/>
  <c r="S1452" i="2"/>
  <c r="R1452" i="2"/>
  <c r="Q1452" i="2"/>
  <c r="P1452" i="2"/>
  <c r="U1451" i="2"/>
  <c r="S1451" i="2"/>
  <c r="V1451" i="2" s="1" a="1"/>
  <c r="V1451" i="2" s="1"/>
  <c r="R1451" i="2"/>
  <c r="Q1451" i="2"/>
  <c r="P1451" i="2"/>
  <c r="V1450" i="2" a="1"/>
  <c r="V1450" i="2" s="1"/>
  <c r="U1450" i="2"/>
  <c r="S1450" i="2"/>
  <c r="R1450" i="2"/>
  <c r="Q1450" i="2"/>
  <c r="P1450" i="2"/>
  <c r="U1449" i="2"/>
  <c r="S1449" i="2"/>
  <c r="R1449" i="2"/>
  <c r="Q1449" i="2"/>
  <c r="P1449" i="2"/>
  <c r="V1448" i="2" a="1"/>
  <c r="V1448" i="2" s="1"/>
  <c r="U1448" i="2"/>
  <c r="S1448" i="2"/>
  <c r="R1448" i="2"/>
  <c r="Q1448" i="2"/>
  <c r="P1448" i="2"/>
  <c r="V1447" i="2"/>
  <c r="V1447" i="2" a="1"/>
  <c r="U1447" i="2"/>
  <c r="S1447" i="2"/>
  <c r="R1447" i="2"/>
  <c r="Q1447" i="2"/>
  <c r="P1447" i="2"/>
  <c r="U1446" i="2"/>
  <c r="S1446" i="2"/>
  <c r="V1446" i="2" s="1" a="1"/>
  <c r="V1446" i="2" s="1"/>
  <c r="R1446" i="2"/>
  <c r="Q1446" i="2"/>
  <c r="P1446" i="2"/>
  <c r="V1445" i="2" a="1"/>
  <c r="V1445" i="2" s="1"/>
  <c r="U1445" i="2"/>
  <c r="S1445" i="2"/>
  <c r="R1445" i="2"/>
  <c r="Q1445" i="2"/>
  <c r="P1445" i="2"/>
  <c r="U1444" i="2"/>
  <c r="S1444" i="2"/>
  <c r="R1444" i="2"/>
  <c r="Q1444" i="2"/>
  <c r="P1444" i="2"/>
  <c r="U1443" i="2"/>
  <c r="S1443" i="2"/>
  <c r="V1443" i="2" s="1" a="1"/>
  <c r="V1443" i="2" s="1"/>
  <c r="R1443" i="2"/>
  <c r="Q1443" i="2"/>
  <c r="P1443" i="2"/>
  <c r="V1442" i="2" a="1"/>
  <c r="V1442" i="2" s="1"/>
  <c r="U1442" i="2"/>
  <c r="S1442" i="2"/>
  <c r="R1442" i="2"/>
  <c r="Q1442" i="2"/>
  <c r="P1442" i="2"/>
  <c r="U1441" i="2"/>
  <c r="S1441" i="2"/>
  <c r="R1441" i="2"/>
  <c r="Q1441" i="2"/>
  <c r="P1441" i="2"/>
  <c r="V1440" i="2" a="1"/>
  <c r="V1440" i="2" s="1"/>
  <c r="U1440" i="2"/>
  <c r="S1440" i="2"/>
  <c r="R1440" i="2"/>
  <c r="Q1440" i="2"/>
  <c r="P1440" i="2"/>
  <c r="V1439" i="2"/>
  <c r="V1439" i="2" a="1"/>
  <c r="U1439" i="2"/>
  <c r="S1439" i="2"/>
  <c r="R1439" i="2"/>
  <c r="Q1439" i="2"/>
  <c r="P1439" i="2"/>
  <c r="U1438" i="2"/>
  <c r="S1438" i="2"/>
  <c r="V1438" i="2" s="1" a="1"/>
  <c r="V1438" i="2" s="1"/>
  <c r="R1438" i="2"/>
  <c r="Q1438" i="2"/>
  <c r="P1438" i="2"/>
  <c r="V1437" i="2" a="1"/>
  <c r="V1437" i="2" s="1"/>
  <c r="U1437" i="2"/>
  <c r="S1437" i="2"/>
  <c r="R1437" i="2"/>
  <c r="Q1437" i="2"/>
  <c r="P1437" i="2"/>
  <c r="U1436" i="2"/>
  <c r="S1436" i="2"/>
  <c r="R1436" i="2"/>
  <c r="Q1436" i="2"/>
  <c r="P1436" i="2"/>
  <c r="U1435" i="2"/>
  <c r="S1435" i="2"/>
  <c r="V1435" i="2" s="1" a="1"/>
  <c r="V1435" i="2" s="1"/>
  <c r="R1435" i="2"/>
  <c r="Q1435" i="2"/>
  <c r="P1435" i="2"/>
  <c r="V1434" i="2" a="1"/>
  <c r="V1434" i="2" s="1"/>
  <c r="U1434" i="2"/>
  <c r="S1434" i="2"/>
  <c r="R1434" i="2"/>
  <c r="Q1434" i="2"/>
  <c r="P1434" i="2"/>
  <c r="U1433" i="2"/>
  <c r="S1433" i="2"/>
  <c r="R1433" i="2"/>
  <c r="Q1433" i="2"/>
  <c r="P1433" i="2"/>
  <c r="V1432" i="2" a="1"/>
  <c r="V1432" i="2" s="1"/>
  <c r="U1432" i="2"/>
  <c r="S1432" i="2"/>
  <c r="R1432" i="2"/>
  <c r="Q1432" i="2"/>
  <c r="P1432" i="2"/>
  <c r="V1431" i="2"/>
  <c r="V1431" i="2" a="1"/>
  <c r="U1431" i="2"/>
  <c r="S1431" i="2"/>
  <c r="R1431" i="2"/>
  <c r="Q1431" i="2"/>
  <c r="P1431" i="2"/>
  <c r="U1430" i="2"/>
  <c r="S1430" i="2"/>
  <c r="V1430" i="2" s="1" a="1"/>
  <c r="V1430" i="2" s="1"/>
  <c r="R1430" i="2"/>
  <c r="Q1430" i="2"/>
  <c r="P1430" i="2"/>
  <c r="V1429" i="2" a="1"/>
  <c r="V1429" i="2" s="1"/>
  <c r="U1429" i="2"/>
  <c r="S1429" i="2"/>
  <c r="R1429" i="2"/>
  <c r="Q1429" i="2"/>
  <c r="P1429" i="2"/>
  <c r="U1428" i="2"/>
  <c r="S1428" i="2"/>
  <c r="R1428" i="2"/>
  <c r="Q1428" i="2"/>
  <c r="P1428" i="2"/>
  <c r="U1427" i="2"/>
  <c r="S1427" i="2"/>
  <c r="V1427" i="2" s="1" a="1"/>
  <c r="V1427" i="2" s="1"/>
  <c r="R1427" i="2"/>
  <c r="Q1427" i="2"/>
  <c r="P1427" i="2"/>
  <c r="V1426" i="2" a="1"/>
  <c r="V1426" i="2" s="1"/>
  <c r="U1426" i="2"/>
  <c r="S1426" i="2"/>
  <c r="R1426" i="2"/>
  <c r="Q1426" i="2"/>
  <c r="P1426" i="2"/>
  <c r="U1425" i="2"/>
  <c r="S1425" i="2"/>
  <c r="R1425" i="2"/>
  <c r="Q1425" i="2"/>
  <c r="P1425" i="2"/>
  <c r="V1424" i="2" a="1"/>
  <c r="V1424" i="2" s="1"/>
  <c r="U1424" i="2"/>
  <c r="S1424" i="2"/>
  <c r="R1424" i="2"/>
  <c r="Q1424" i="2"/>
  <c r="P1424" i="2"/>
  <c r="V1423" i="2"/>
  <c r="V1423" i="2" a="1"/>
  <c r="U1423" i="2"/>
  <c r="S1423" i="2"/>
  <c r="R1423" i="2"/>
  <c r="Q1423" i="2"/>
  <c r="P1423" i="2"/>
  <c r="U1422" i="2"/>
  <c r="S1422" i="2"/>
  <c r="V1422" i="2" s="1" a="1"/>
  <c r="V1422" i="2" s="1"/>
  <c r="R1422" i="2"/>
  <c r="Q1422" i="2"/>
  <c r="P1422" i="2"/>
  <c r="V1421" i="2" a="1"/>
  <c r="V1421" i="2" s="1"/>
  <c r="U1421" i="2"/>
  <c r="S1421" i="2"/>
  <c r="R1421" i="2"/>
  <c r="Q1421" i="2"/>
  <c r="P1421" i="2"/>
  <c r="U1420" i="2"/>
  <c r="S1420" i="2"/>
  <c r="R1420" i="2"/>
  <c r="Q1420" i="2"/>
  <c r="P1420" i="2"/>
  <c r="U1419" i="2"/>
  <c r="S1419" i="2"/>
  <c r="V1419" i="2" s="1" a="1"/>
  <c r="V1419" i="2" s="1"/>
  <c r="R1419" i="2"/>
  <c r="Q1419" i="2"/>
  <c r="P1419" i="2"/>
  <c r="V1418" i="2" a="1"/>
  <c r="V1418" i="2" s="1"/>
  <c r="U1418" i="2"/>
  <c r="S1418" i="2"/>
  <c r="R1418" i="2"/>
  <c r="Q1418" i="2"/>
  <c r="P1418" i="2"/>
  <c r="U1417" i="2"/>
  <c r="S1417" i="2"/>
  <c r="R1417" i="2"/>
  <c r="Q1417" i="2"/>
  <c r="P1417" i="2"/>
  <c r="V1416" i="2" a="1"/>
  <c r="V1416" i="2" s="1"/>
  <c r="U1416" i="2"/>
  <c r="S1416" i="2"/>
  <c r="R1416" i="2"/>
  <c r="Q1416" i="2"/>
  <c r="P1416" i="2"/>
  <c r="V1415" i="2"/>
  <c r="V1415" i="2" a="1"/>
  <c r="U1415" i="2"/>
  <c r="S1415" i="2"/>
  <c r="R1415" i="2"/>
  <c r="Q1415" i="2"/>
  <c r="P1415" i="2"/>
  <c r="U1414" i="2"/>
  <c r="S1414" i="2"/>
  <c r="V1414" i="2" s="1" a="1"/>
  <c r="V1414" i="2" s="1"/>
  <c r="R1414" i="2"/>
  <c r="Q1414" i="2"/>
  <c r="P1414" i="2"/>
  <c r="V1413" i="2" a="1"/>
  <c r="V1413" i="2" s="1"/>
  <c r="U1413" i="2"/>
  <c r="S1413" i="2"/>
  <c r="R1413" i="2"/>
  <c r="Q1413" i="2"/>
  <c r="P1413" i="2"/>
  <c r="U1412" i="2"/>
  <c r="S1412" i="2"/>
  <c r="R1412" i="2"/>
  <c r="Q1412" i="2"/>
  <c r="P1412" i="2"/>
  <c r="U1411" i="2"/>
  <c r="S1411" i="2"/>
  <c r="V1411" i="2" s="1" a="1"/>
  <c r="V1411" i="2" s="1"/>
  <c r="R1411" i="2"/>
  <c r="Q1411" i="2"/>
  <c r="P1411" i="2"/>
  <c r="V1410" i="2" a="1"/>
  <c r="V1410" i="2" s="1"/>
  <c r="U1410" i="2"/>
  <c r="S1410" i="2"/>
  <c r="R1410" i="2"/>
  <c r="Q1410" i="2"/>
  <c r="P1410" i="2"/>
  <c r="U1409" i="2"/>
  <c r="S1409" i="2"/>
  <c r="R1409" i="2"/>
  <c r="Q1409" i="2"/>
  <c r="P1409" i="2"/>
  <c r="V1408" i="2" a="1"/>
  <c r="V1408" i="2" s="1"/>
  <c r="U1408" i="2"/>
  <c r="S1408" i="2"/>
  <c r="R1408" i="2"/>
  <c r="Q1408" i="2"/>
  <c r="P1408" i="2"/>
  <c r="V1407" i="2"/>
  <c r="V1407" i="2" a="1"/>
  <c r="U1407" i="2"/>
  <c r="S1407" i="2"/>
  <c r="R1407" i="2"/>
  <c r="Q1407" i="2"/>
  <c r="P1407" i="2"/>
  <c r="U1406" i="2"/>
  <c r="S1406" i="2"/>
  <c r="V1406" i="2" s="1" a="1"/>
  <c r="V1406" i="2" s="1"/>
  <c r="R1406" i="2"/>
  <c r="Q1406" i="2"/>
  <c r="P1406" i="2"/>
  <c r="V1405" i="2" a="1"/>
  <c r="V1405" i="2" s="1"/>
  <c r="U1405" i="2"/>
  <c r="S1405" i="2"/>
  <c r="R1405" i="2"/>
  <c r="Q1405" i="2"/>
  <c r="P1405" i="2"/>
  <c r="U1404" i="2"/>
  <c r="S1404" i="2"/>
  <c r="R1404" i="2"/>
  <c r="Q1404" i="2"/>
  <c r="P1404" i="2"/>
  <c r="U1403" i="2"/>
  <c r="S1403" i="2"/>
  <c r="V1403" i="2" s="1" a="1"/>
  <c r="V1403" i="2" s="1"/>
  <c r="R1403" i="2"/>
  <c r="Q1403" i="2"/>
  <c r="P1403" i="2"/>
  <c r="V1402" i="2" a="1"/>
  <c r="V1402" i="2" s="1"/>
  <c r="U1402" i="2"/>
  <c r="S1402" i="2"/>
  <c r="R1402" i="2"/>
  <c r="Q1402" i="2"/>
  <c r="P1402" i="2"/>
  <c r="U1401" i="2"/>
  <c r="S1401" i="2"/>
  <c r="R1401" i="2"/>
  <c r="Q1401" i="2"/>
  <c r="P1401" i="2"/>
  <c r="V1400" i="2" a="1"/>
  <c r="V1400" i="2" s="1"/>
  <c r="U1400" i="2"/>
  <c r="S1400" i="2"/>
  <c r="R1400" i="2"/>
  <c r="Q1400" i="2"/>
  <c r="P1400" i="2"/>
  <c r="V1399" i="2"/>
  <c r="V1399" i="2" a="1"/>
  <c r="U1399" i="2"/>
  <c r="S1399" i="2"/>
  <c r="R1399" i="2"/>
  <c r="Q1399" i="2"/>
  <c r="P1399" i="2"/>
  <c r="U1398" i="2"/>
  <c r="S1398" i="2"/>
  <c r="V1398" i="2" s="1" a="1"/>
  <c r="V1398" i="2" s="1"/>
  <c r="R1398" i="2"/>
  <c r="Q1398" i="2"/>
  <c r="P1398" i="2"/>
  <c r="V1397" i="2" a="1"/>
  <c r="V1397" i="2" s="1"/>
  <c r="U1397" i="2"/>
  <c r="S1397" i="2"/>
  <c r="R1397" i="2"/>
  <c r="Q1397" i="2"/>
  <c r="P1397" i="2"/>
  <c r="U1396" i="2"/>
  <c r="S1396" i="2"/>
  <c r="R1396" i="2"/>
  <c r="Q1396" i="2"/>
  <c r="P1396" i="2"/>
  <c r="U1395" i="2"/>
  <c r="S1395" i="2"/>
  <c r="V1395" i="2" s="1" a="1"/>
  <c r="V1395" i="2" s="1"/>
  <c r="R1395" i="2"/>
  <c r="Q1395" i="2"/>
  <c r="P1395" i="2"/>
  <c r="V1394" i="2" a="1"/>
  <c r="V1394" i="2" s="1"/>
  <c r="U1394" i="2"/>
  <c r="S1394" i="2"/>
  <c r="R1394" i="2"/>
  <c r="Q1394" i="2"/>
  <c r="P1394" i="2"/>
  <c r="U1393" i="2"/>
  <c r="S1393" i="2"/>
  <c r="R1393" i="2"/>
  <c r="Q1393" i="2"/>
  <c r="P1393" i="2"/>
  <c r="V1392" i="2" a="1"/>
  <c r="V1392" i="2" s="1"/>
  <c r="U1392" i="2"/>
  <c r="S1392" i="2"/>
  <c r="R1392" i="2"/>
  <c r="Q1392" i="2"/>
  <c r="P1392" i="2"/>
  <c r="V1391" i="2"/>
  <c r="V1391" i="2" a="1"/>
  <c r="U1391" i="2"/>
  <c r="S1391" i="2"/>
  <c r="R1391" i="2"/>
  <c r="Q1391" i="2"/>
  <c r="P1391" i="2"/>
  <c r="U1390" i="2"/>
  <c r="S1390" i="2"/>
  <c r="V1390" i="2" s="1" a="1"/>
  <c r="V1390" i="2" s="1"/>
  <c r="R1390" i="2"/>
  <c r="Q1390" i="2"/>
  <c r="P1390" i="2"/>
  <c r="V1389" i="2" a="1"/>
  <c r="V1389" i="2" s="1"/>
  <c r="U1389" i="2"/>
  <c r="S1389" i="2"/>
  <c r="R1389" i="2"/>
  <c r="Q1389" i="2"/>
  <c r="P1389" i="2"/>
  <c r="U1388" i="2"/>
  <c r="S1388" i="2"/>
  <c r="R1388" i="2"/>
  <c r="Q1388" i="2"/>
  <c r="P1388" i="2"/>
  <c r="U1387" i="2"/>
  <c r="S1387" i="2"/>
  <c r="V1387" i="2" s="1" a="1"/>
  <c r="V1387" i="2" s="1"/>
  <c r="R1387" i="2"/>
  <c r="Q1387" i="2"/>
  <c r="P1387" i="2"/>
  <c r="V1386" i="2" a="1"/>
  <c r="V1386" i="2" s="1"/>
  <c r="U1386" i="2"/>
  <c r="S1386" i="2"/>
  <c r="R1386" i="2"/>
  <c r="Q1386" i="2"/>
  <c r="P1386" i="2"/>
  <c r="U1385" i="2"/>
  <c r="S1385" i="2"/>
  <c r="R1385" i="2"/>
  <c r="Q1385" i="2"/>
  <c r="P1385" i="2"/>
  <c r="V1384" i="2" a="1"/>
  <c r="V1384" i="2" s="1"/>
  <c r="U1384" i="2"/>
  <c r="S1384" i="2"/>
  <c r="R1384" i="2"/>
  <c r="Q1384" i="2"/>
  <c r="P1384" i="2"/>
  <c r="V1383" i="2"/>
  <c r="V1383" i="2" a="1"/>
  <c r="U1383" i="2"/>
  <c r="S1383" i="2"/>
  <c r="R1383" i="2"/>
  <c r="Q1383" i="2"/>
  <c r="P1383" i="2"/>
  <c r="U1382" i="2"/>
  <c r="S1382" i="2"/>
  <c r="V1382" i="2" s="1" a="1"/>
  <c r="V1382" i="2" s="1"/>
  <c r="R1382" i="2"/>
  <c r="Q1382" i="2"/>
  <c r="P1382" i="2"/>
  <c r="V1381" i="2" a="1"/>
  <c r="V1381" i="2" s="1"/>
  <c r="U1381" i="2"/>
  <c r="S1381" i="2"/>
  <c r="R1381" i="2"/>
  <c r="Q1381" i="2"/>
  <c r="P1381" i="2"/>
  <c r="U1380" i="2"/>
  <c r="S1380" i="2"/>
  <c r="R1380" i="2"/>
  <c r="Q1380" i="2"/>
  <c r="P1380" i="2"/>
  <c r="U1379" i="2"/>
  <c r="S1379" i="2"/>
  <c r="V1379" i="2" s="1" a="1"/>
  <c r="V1379" i="2" s="1"/>
  <c r="R1379" i="2"/>
  <c r="Q1379" i="2"/>
  <c r="P1379" i="2"/>
  <c r="V1378" i="2" a="1"/>
  <c r="V1378" i="2" s="1"/>
  <c r="U1378" i="2"/>
  <c r="S1378" i="2"/>
  <c r="R1378" i="2"/>
  <c r="Q1378" i="2"/>
  <c r="P1378" i="2"/>
  <c r="U1377" i="2"/>
  <c r="S1377" i="2"/>
  <c r="R1377" i="2"/>
  <c r="Q1377" i="2"/>
  <c r="P1377" i="2"/>
  <c r="V1376" i="2" a="1"/>
  <c r="V1376" i="2" s="1"/>
  <c r="U1376" i="2"/>
  <c r="S1376" i="2"/>
  <c r="R1376" i="2"/>
  <c r="Q1376" i="2"/>
  <c r="P1376" i="2"/>
  <c r="V1375" i="2"/>
  <c r="V1375" i="2" a="1"/>
  <c r="U1375" i="2"/>
  <c r="S1375" i="2"/>
  <c r="R1375" i="2"/>
  <c r="Q1375" i="2"/>
  <c r="P1375" i="2"/>
  <c r="U1374" i="2"/>
  <c r="S1374" i="2"/>
  <c r="V1374" i="2" s="1" a="1"/>
  <c r="V1374" i="2" s="1"/>
  <c r="R1374" i="2"/>
  <c r="Q1374" i="2"/>
  <c r="P1374" i="2"/>
  <c r="V1373" i="2" a="1"/>
  <c r="V1373" i="2" s="1"/>
  <c r="U1373" i="2"/>
  <c r="S1373" i="2"/>
  <c r="R1373" i="2"/>
  <c r="Q1373" i="2"/>
  <c r="P1373" i="2"/>
  <c r="U1372" i="2"/>
  <c r="S1372" i="2"/>
  <c r="R1372" i="2"/>
  <c r="Q1372" i="2"/>
  <c r="P1372" i="2"/>
  <c r="U1371" i="2"/>
  <c r="S1371" i="2"/>
  <c r="V1371" i="2" s="1" a="1"/>
  <c r="V1371" i="2" s="1"/>
  <c r="R1371" i="2"/>
  <c r="Q1371" i="2"/>
  <c r="P1371" i="2"/>
  <c r="V1370" i="2" a="1"/>
  <c r="V1370" i="2" s="1"/>
  <c r="U1370" i="2"/>
  <c r="S1370" i="2"/>
  <c r="R1370" i="2"/>
  <c r="Q1370" i="2"/>
  <c r="P1370" i="2"/>
  <c r="U1369" i="2"/>
  <c r="S1369" i="2"/>
  <c r="R1369" i="2"/>
  <c r="Q1369" i="2"/>
  <c r="P1369" i="2"/>
  <c r="V1368" i="2" a="1"/>
  <c r="V1368" i="2" s="1"/>
  <c r="U1368" i="2"/>
  <c r="S1368" i="2"/>
  <c r="R1368" i="2"/>
  <c r="Q1368" i="2"/>
  <c r="P1368" i="2"/>
  <c r="V1367" i="2"/>
  <c r="V1367" i="2" a="1"/>
  <c r="U1367" i="2"/>
  <c r="S1367" i="2"/>
  <c r="R1367" i="2"/>
  <c r="Q1367" i="2"/>
  <c r="P1367" i="2"/>
  <c r="U1366" i="2"/>
  <c r="S1366" i="2"/>
  <c r="V1366" i="2" s="1" a="1"/>
  <c r="V1366" i="2" s="1"/>
  <c r="R1366" i="2"/>
  <c r="Q1366" i="2"/>
  <c r="P1366" i="2"/>
  <c r="V1365" i="2" a="1"/>
  <c r="V1365" i="2" s="1"/>
  <c r="U1365" i="2"/>
  <c r="S1365" i="2"/>
  <c r="R1365" i="2"/>
  <c r="Q1365" i="2"/>
  <c r="P1365" i="2"/>
  <c r="U1364" i="2"/>
  <c r="S1364" i="2"/>
  <c r="R1364" i="2"/>
  <c r="Q1364" i="2"/>
  <c r="P1364" i="2"/>
  <c r="U1363" i="2"/>
  <c r="S1363" i="2"/>
  <c r="V1363" i="2" s="1" a="1"/>
  <c r="V1363" i="2" s="1"/>
  <c r="R1363" i="2"/>
  <c r="Q1363" i="2"/>
  <c r="P1363" i="2"/>
  <c r="V1362" i="2" a="1"/>
  <c r="V1362" i="2" s="1"/>
  <c r="U1362" i="2"/>
  <c r="S1362" i="2"/>
  <c r="R1362" i="2"/>
  <c r="Q1362" i="2"/>
  <c r="P1362" i="2"/>
  <c r="U1361" i="2"/>
  <c r="S1361" i="2"/>
  <c r="R1361" i="2"/>
  <c r="Q1361" i="2"/>
  <c r="P1361" i="2"/>
  <c r="V1360" i="2" a="1"/>
  <c r="V1360" i="2" s="1"/>
  <c r="U1360" i="2"/>
  <c r="S1360" i="2"/>
  <c r="R1360" i="2"/>
  <c r="Q1360" i="2"/>
  <c r="P1360" i="2"/>
  <c r="V1359" i="2"/>
  <c r="V1359" i="2" a="1"/>
  <c r="U1359" i="2"/>
  <c r="S1359" i="2"/>
  <c r="R1359" i="2"/>
  <c r="Q1359" i="2"/>
  <c r="P1359" i="2"/>
  <c r="U1358" i="2"/>
  <c r="S1358" i="2"/>
  <c r="V1358" i="2" s="1" a="1"/>
  <c r="V1358" i="2" s="1"/>
  <c r="R1358" i="2"/>
  <c r="Q1358" i="2"/>
  <c r="P1358" i="2"/>
  <c r="V1357" i="2" a="1"/>
  <c r="V1357" i="2" s="1"/>
  <c r="U1357" i="2"/>
  <c r="S1357" i="2"/>
  <c r="R1357" i="2"/>
  <c r="Q1357" i="2"/>
  <c r="P1357" i="2"/>
  <c r="U1356" i="2"/>
  <c r="S1356" i="2"/>
  <c r="R1356" i="2"/>
  <c r="Q1356" i="2"/>
  <c r="P1356" i="2"/>
  <c r="U1355" i="2"/>
  <c r="S1355" i="2"/>
  <c r="V1355" i="2" s="1" a="1"/>
  <c r="V1355" i="2" s="1"/>
  <c r="R1355" i="2"/>
  <c r="Q1355" i="2"/>
  <c r="P1355" i="2"/>
  <c r="V1354" i="2" a="1"/>
  <c r="V1354" i="2" s="1"/>
  <c r="U1354" i="2"/>
  <c r="S1354" i="2"/>
  <c r="R1354" i="2"/>
  <c r="Q1354" i="2"/>
  <c r="P1354" i="2"/>
  <c r="U1353" i="2"/>
  <c r="S1353" i="2"/>
  <c r="R1353" i="2"/>
  <c r="Q1353" i="2"/>
  <c r="P1353" i="2"/>
  <c r="V1352" i="2" a="1"/>
  <c r="V1352" i="2" s="1"/>
  <c r="U1352" i="2"/>
  <c r="S1352" i="2"/>
  <c r="R1352" i="2"/>
  <c r="Q1352" i="2"/>
  <c r="P1352" i="2"/>
  <c r="V1351" i="2"/>
  <c r="V1351" i="2" a="1"/>
  <c r="U1351" i="2"/>
  <c r="S1351" i="2"/>
  <c r="R1351" i="2"/>
  <c r="Q1351" i="2"/>
  <c r="P1351" i="2"/>
  <c r="U1350" i="2"/>
  <c r="S1350" i="2"/>
  <c r="V1350" i="2" s="1" a="1"/>
  <c r="V1350" i="2" s="1"/>
  <c r="R1350" i="2"/>
  <c r="Q1350" i="2"/>
  <c r="P1350" i="2"/>
  <c r="V1349" i="2" a="1"/>
  <c r="V1349" i="2" s="1"/>
  <c r="U1349" i="2"/>
  <c r="S1349" i="2"/>
  <c r="R1349" i="2"/>
  <c r="Q1349" i="2"/>
  <c r="P1349" i="2"/>
  <c r="U1348" i="2"/>
  <c r="S1348" i="2"/>
  <c r="R1348" i="2"/>
  <c r="Q1348" i="2"/>
  <c r="P1348" i="2"/>
  <c r="U1347" i="2"/>
  <c r="S1347" i="2"/>
  <c r="V1347" i="2" s="1" a="1"/>
  <c r="V1347" i="2" s="1"/>
  <c r="R1347" i="2"/>
  <c r="Q1347" i="2"/>
  <c r="P1347" i="2"/>
  <c r="V1346" i="2" a="1"/>
  <c r="V1346" i="2" s="1"/>
  <c r="U1346" i="2"/>
  <c r="S1346" i="2"/>
  <c r="R1346" i="2"/>
  <c r="Q1346" i="2"/>
  <c r="P1346" i="2"/>
  <c r="U1345" i="2"/>
  <c r="S1345" i="2"/>
  <c r="R1345" i="2"/>
  <c r="Q1345" i="2"/>
  <c r="P1345" i="2"/>
  <c r="V1344" i="2" a="1"/>
  <c r="V1344" i="2" s="1"/>
  <c r="U1344" i="2"/>
  <c r="S1344" i="2"/>
  <c r="R1344" i="2"/>
  <c r="Q1344" i="2"/>
  <c r="P1344" i="2"/>
  <c r="V1343" i="2" a="1"/>
  <c r="V1343" i="2" s="1"/>
  <c r="U1343" i="2"/>
  <c r="S1343" i="2"/>
  <c r="R1343" i="2"/>
  <c r="Q1343" i="2"/>
  <c r="P1343" i="2"/>
  <c r="U1342" i="2"/>
  <c r="S1342" i="2"/>
  <c r="R1342" i="2"/>
  <c r="Q1342" i="2"/>
  <c r="P1342" i="2"/>
  <c r="V1341" i="2" a="1"/>
  <c r="V1341" i="2" s="1"/>
  <c r="U1341" i="2"/>
  <c r="S1341" i="2"/>
  <c r="R1341" i="2"/>
  <c r="Q1341" i="2"/>
  <c r="P1341" i="2"/>
  <c r="U1340" i="2"/>
  <c r="S1340" i="2"/>
  <c r="R1340" i="2"/>
  <c r="Q1340" i="2"/>
  <c r="P1340" i="2"/>
  <c r="U1339" i="2"/>
  <c r="S1339" i="2"/>
  <c r="V1339" i="2" s="1" a="1"/>
  <c r="V1339" i="2" s="1"/>
  <c r="R1339" i="2"/>
  <c r="Q1339" i="2"/>
  <c r="P1339" i="2"/>
  <c r="V1338" i="2" a="1"/>
  <c r="V1338" i="2" s="1"/>
  <c r="U1338" i="2"/>
  <c r="S1338" i="2"/>
  <c r="R1338" i="2"/>
  <c r="Q1338" i="2"/>
  <c r="P1338" i="2"/>
  <c r="U1337" i="2"/>
  <c r="S1337" i="2"/>
  <c r="R1337" i="2"/>
  <c r="Q1337" i="2"/>
  <c r="P1337" i="2"/>
  <c r="V1336" i="2" a="1"/>
  <c r="V1336" i="2" s="1"/>
  <c r="U1336" i="2"/>
  <c r="S1336" i="2"/>
  <c r="R1336" i="2"/>
  <c r="Q1336" i="2"/>
  <c r="P1336" i="2"/>
  <c r="V1335" i="2"/>
  <c r="V1335" i="2" a="1"/>
  <c r="U1335" i="2"/>
  <c r="S1335" i="2"/>
  <c r="R1335" i="2"/>
  <c r="Q1335" i="2"/>
  <c r="P1335" i="2"/>
  <c r="U1334" i="2"/>
  <c r="S1334" i="2"/>
  <c r="R1334" i="2"/>
  <c r="Q1334" i="2"/>
  <c r="P1334" i="2"/>
  <c r="V1333" i="2" a="1"/>
  <c r="V1333" i="2" s="1"/>
  <c r="U1333" i="2"/>
  <c r="S1333" i="2"/>
  <c r="R1333" i="2"/>
  <c r="Q1333" i="2"/>
  <c r="P1333" i="2"/>
  <c r="U1332" i="2"/>
  <c r="S1332" i="2"/>
  <c r="R1332" i="2"/>
  <c r="Q1332" i="2"/>
  <c r="P1332" i="2"/>
  <c r="U1331" i="2"/>
  <c r="S1331" i="2"/>
  <c r="V1331" i="2" s="1" a="1"/>
  <c r="V1331" i="2" s="1"/>
  <c r="R1331" i="2"/>
  <c r="Q1331" i="2"/>
  <c r="P1331" i="2"/>
  <c r="V1330" i="2" a="1"/>
  <c r="V1330" i="2" s="1"/>
  <c r="U1330" i="2"/>
  <c r="S1330" i="2"/>
  <c r="R1330" i="2"/>
  <c r="Q1330" i="2"/>
  <c r="P1330" i="2"/>
  <c r="U1329" i="2"/>
  <c r="S1329" i="2"/>
  <c r="R1329" i="2"/>
  <c r="Q1329" i="2"/>
  <c r="P1329" i="2"/>
  <c r="V1328" i="2" a="1"/>
  <c r="V1328" i="2" s="1"/>
  <c r="U1328" i="2"/>
  <c r="S1328" i="2"/>
  <c r="R1328" i="2"/>
  <c r="Q1328" i="2"/>
  <c r="P1328" i="2"/>
  <c r="V1327" i="2"/>
  <c r="V1327" i="2" a="1"/>
  <c r="U1327" i="2"/>
  <c r="S1327" i="2"/>
  <c r="R1327" i="2"/>
  <c r="Q1327" i="2"/>
  <c r="P1327" i="2"/>
  <c r="U1326" i="2"/>
  <c r="S1326" i="2"/>
  <c r="R1326" i="2"/>
  <c r="Q1326" i="2"/>
  <c r="P1326" i="2"/>
  <c r="V1325" i="2" a="1"/>
  <c r="V1325" i="2" s="1"/>
  <c r="U1325" i="2"/>
  <c r="S1325" i="2"/>
  <c r="R1325" i="2"/>
  <c r="Q1325" i="2"/>
  <c r="P1325" i="2"/>
  <c r="U1324" i="2"/>
  <c r="S1324" i="2"/>
  <c r="R1324" i="2"/>
  <c r="Q1324" i="2"/>
  <c r="P1324" i="2"/>
  <c r="U1323" i="2"/>
  <c r="S1323" i="2"/>
  <c r="R1323" i="2"/>
  <c r="Q1323" i="2"/>
  <c r="P1323" i="2"/>
  <c r="V1322" i="2" a="1"/>
  <c r="V1322" i="2" s="1"/>
  <c r="U1322" i="2"/>
  <c r="S1322" i="2"/>
  <c r="R1322" i="2"/>
  <c r="Q1322" i="2"/>
  <c r="P1322" i="2"/>
  <c r="U1321" i="2"/>
  <c r="S1321" i="2"/>
  <c r="R1321" i="2"/>
  <c r="Q1321" i="2"/>
  <c r="P1321" i="2"/>
  <c r="V1320" i="2" a="1"/>
  <c r="V1320" i="2" s="1"/>
  <c r="U1320" i="2"/>
  <c r="S1320" i="2"/>
  <c r="R1320" i="2"/>
  <c r="Q1320" i="2"/>
  <c r="P1320" i="2"/>
  <c r="V1319" i="2"/>
  <c r="V1319" i="2" a="1"/>
  <c r="U1319" i="2"/>
  <c r="S1319" i="2"/>
  <c r="R1319" i="2"/>
  <c r="Q1319" i="2"/>
  <c r="P1319" i="2"/>
  <c r="U1318" i="2"/>
  <c r="S1318" i="2"/>
  <c r="R1318" i="2"/>
  <c r="Q1318" i="2"/>
  <c r="P1318" i="2"/>
  <c r="V1317" i="2" a="1"/>
  <c r="V1317" i="2" s="1"/>
  <c r="U1317" i="2"/>
  <c r="S1317" i="2"/>
  <c r="R1317" i="2"/>
  <c r="Q1317" i="2"/>
  <c r="P1317" i="2"/>
  <c r="U1316" i="2"/>
  <c r="S1316" i="2"/>
  <c r="R1316" i="2"/>
  <c r="Q1316" i="2"/>
  <c r="P1316" i="2"/>
  <c r="U1315" i="2"/>
  <c r="S1315" i="2"/>
  <c r="V1315" i="2" s="1" a="1"/>
  <c r="V1315" i="2" s="1"/>
  <c r="R1315" i="2"/>
  <c r="Q1315" i="2"/>
  <c r="P1315" i="2"/>
  <c r="V1314" i="2" a="1"/>
  <c r="V1314" i="2" s="1"/>
  <c r="U1314" i="2"/>
  <c r="S1314" i="2"/>
  <c r="R1314" i="2"/>
  <c r="Q1314" i="2"/>
  <c r="P1314" i="2"/>
  <c r="U1313" i="2"/>
  <c r="S1313" i="2"/>
  <c r="R1313" i="2"/>
  <c r="Q1313" i="2"/>
  <c r="P1313" i="2"/>
  <c r="V1312" i="2" a="1"/>
  <c r="V1312" i="2" s="1"/>
  <c r="U1312" i="2"/>
  <c r="S1312" i="2"/>
  <c r="R1312" i="2"/>
  <c r="Q1312" i="2"/>
  <c r="P1312" i="2"/>
  <c r="V1311" i="2" a="1"/>
  <c r="V1311" i="2" s="1"/>
  <c r="U1311" i="2"/>
  <c r="S1311" i="2"/>
  <c r="R1311" i="2"/>
  <c r="Q1311" i="2"/>
  <c r="P1311" i="2"/>
  <c r="U1310" i="2"/>
  <c r="S1310" i="2"/>
  <c r="R1310" i="2"/>
  <c r="Q1310" i="2"/>
  <c r="P1310" i="2"/>
  <c r="V1309" i="2" a="1"/>
  <c r="V1309" i="2" s="1"/>
  <c r="U1309" i="2"/>
  <c r="S1309" i="2"/>
  <c r="R1309" i="2"/>
  <c r="Q1309" i="2"/>
  <c r="P1309" i="2"/>
  <c r="U1308" i="2"/>
  <c r="S1308" i="2"/>
  <c r="R1308" i="2"/>
  <c r="Q1308" i="2"/>
  <c r="P1308" i="2"/>
  <c r="U1307" i="2"/>
  <c r="S1307" i="2"/>
  <c r="V1307" i="2" s="1" a="1"/>
  <c r="V1307" i="2" s="1"/>
  <c r="R1307" i="2"/>
  <c r="Q1307" i="2"/>
  <c r="P1307" i="2"/>
  <c r="V1306" i="2" a="1"/>
  <c r="V1306" i="2" s="1"/>
  <c r="U1306" i="2"/>
  <c r="S1306" i="2"/>
  <c r="R1306" i="2"/>
  <c r="Q1306" i="2"/>
  <c r="P1306" i="2"/>
  <c r="U1305" i="2"/>
  <c r="S1305" i="2"/>
  <c r="R1305" i="2"/>
  <c r="Q1305" i="2"/>
  <c r="P1305" i="2"/>
  <c r="V1304" i="2" a="1"/>
  <c r="V1304" i="2" s="1"/>
  <c r="U1304" i="2"/>
  <c r="S1304" i="2"/>
  <c r="R1304" i="2"/>
  <c r="Q1304" i="2"/>
  <c r="P1304" i="2"/>
  <c r="V1303" i="2"/>
  <c r="V1303" i="2" a="1"/>
  <c r="U1303" i="2"/>
  <c r="S1303" i="2"/>
  <c r="R1303" i="2"/>
  <c r="Q1303" i="2"/>
  <c r="P1303" i="2"/>
  <c r="U1302" i="2"/>
  <c r="S1302" i="2"/>
  <c r="R1302" i="2"/>
  <c r="Q1302" i="2"/>
  <c r="P1302" i="2"/>
  <c r="V1301" i="2" a="1"/>
  <c r="V1301" i="2" s="1"/>
  <c r="U1301" i="2"/>
  <c r="S1301" i="2"/>
  <c r="R1301" i="2"/>
  <c r="Q1301" i="2"/>
  <c r="P1301" i="2"/>
  <c r="U1300" i="2"/>
  <c r="S1300" i="2"/>
  <c r="R1300" i="2"/>
  <c r="Q1300" i="2"/>
  <c r="P1300" i="2"/>
  <c r="U1299" i="2"/>
  <c r="S1299" i="2"/>
  <c r="V1299" i="2" s="1" a="1"/>
  <c r="V1299" i="2" s="1"/>
  <c r="R1299" i="2"/>
  <c r="Q1299" i="2"/>
  <c r="P1299" i="2"/>
  <c r="V1298" i="2" a="1"/>
  <c r="V1298" i="2" s="1"/>
  <c r="U1298" i="2"/>
  <c r="S1298" i="2"/>
  <c r="R1298" i="2"/>
  <c r="Q1298" i="2"/>
  <c r="P1298" i="2"/>
  <c r="U1297" i="2"/>
  <c r="S1297" i="2"/>
  <c r="R1297" i="2"/>
  <c r="Q1297" i="2"/>
  <c r="P1297" i="2"/>
  <c r="V1296" i="2" a="1"/>
  <c r="V1296" i="2" s="1"/>
  <c r="U1296" i="2"/>
  <c r="S1296" i="2"/>
  <c r="R1296" i="2"/>
  <c r="Q1296" i="2"/>
  <c r="P1296" i="2"/>
  <c r="V1295" i="2"/>
  <c r="V1295" i="2" a="1"/>
  <c r="U1295" i="2"/>
  <c r="S1295" i="2"/>
  <c r="R1295" i="2"/>
  <c r="Q1295" i="2"/>
  <c r="P1295" i="2"/>
  <c r="U1294" i="2"/>
  <c r="S1294" i="2"/>
  <c r="R1294" i="2"/>
  <c r="Q1294" i="2"/>
  <c r="P1294" i="2"/>
  <c r="V1293" i="2" a="1"/>
  <c r="V1293" i="2" s="1"/>
  <c r="U1293" i="2"/>
  <c r="S1293" i="2"/>
  <c r="R1293" i="2"/>
  <c r="Q1293" i="2"/>
  <c r="P1293" i="2"/>
  <c r="U1292" i="2"/>
  <c r="S1292" i="2"/>
  <c r="R1292" i="2"/>
  <c r="Q1292" i="2"/>
  <c r="P1292" i="2"/>
  <c r="U1291" i="2"/>
  <c r="S1291" i="2"/>
  <c r="R1291" i="2"/>
  <c r="Q1291" i="2"/>
  <c r="P1291" i="2"/>
  <c r="V1290" i="2" a="1"/>
  <c r="V1290" i="2" s="1"/>
  <c r="U1290" i="2"/>
  <c r="S1290" i="2"/>
  <c r="R1290" i="2"/>
  <c r="Q1290" i="2"/>
  <c r="P1290" i="2"/>
  <c r="U1289" i="2"/>
  <c r="S1289" i="2"/>
  <c r="R1289" i="2"/>
  <c r="Q1289" i="2"/>
  <c r="P1289" i="2"/>
  <c r="V1288" i="2" a="1"/>
  <c r="V1288" i="2" s="1"/>
  <c r="U1288" i="2"/>
  <c r="S1288" i="2"/>
  <c r="R1288" i="2"/>
  <c r="Q1288" i="2"/>
  <c r="P1288" i="2"/>
  <c r="V1287" i="2"/>
  <c r="V1287" i="2" a="1"/>
  <c r="U1287" i="2"/>
  <c r="S1287" i="2"/>
  <c r="R1287" i="2"/>
  <c r="Q1287" i="2"/>
  <c r="P1287" i="2"/>
  <c r="U1286" i="2"/>
  <c r="S1286" i="2"/>
  <c r="R1286" i="2"/>
  <c r="Q1286" i="2"/>
  <c r="P1286" i="2"/>
  <c r="V1285" i="2" a="1"/>
  <c r="V1285" i="2" s="1"/>
  <c r="U1285" i="2"/>
  <c r="S1285" i="2"/>
  <c r="R1285" i="2"/>
  <c r="Q1285" i="2"/>
  <c r="P1285" i="2"/>
  <c r="U1284" i="2"/>
  <c r="S1284" i="2"/>
  <c r="R1284" i="2"/>
  <c r="Q1284" i="2"/>
  <c r="P1284" i="2"/>
  <c r="U1283" i="2"/>
  <c r="S1283" i="2"/>
  <c r="V1283" i="2" s="1" a="1"/>
  <c r="V1283" i="2" s="1"/>
  <c r="R1283" i="2"/>
  <c r="Q1283" i="2"/>
  <c r="P1283" i="2"/>
  <c r="V1282" i="2" a="1"/>
  <c r="V1282" i="2" s="1"/>
  <c r="U1282" i="2"/>
  <c r="S1282" i="2"/>
  <c r="R1282" i="2"/>
  <c r="Q1282" i="2"/>
  <c r="P1282" i="2"/>
  <c r="U1281" i="2"/>
  <c r="S1281" i="2"/>
  <c r="R1281" i="2"/>
  <c r="Q1281" i="2"/>
  <c r="P1281" i="2"/>
  <c r="V1280" i="2" a="1"/>
  <c r="V1280" i="2" s="1"/>
  <c r="U1280" i="2"/>
  <c r="S1280" i="2"/>
  <c r="R1280" i="2"/>
  <c r="Q1280" i="2"/>
  <c r="P1280" i="2"/>
  <c r="V1279" i="2" a="1"/>
  <c r="V1279" i="2" s="1"/>
  <c r="U1279" i="2"/>
  <c r="S1279" i="2"/>
  <c r="R1279" i="2"/>
  <c r="Q1279" i="2"/>
  <c r="P1279" i="2"/>
  <c r="U1278" i="2"/>
  <c r="S1278" i="2"/>
  <c r="R1278" i="2"/>
  <c r="Q1278" i="2"/>
  <c r="P1278" i="2"/>
  <c r="V1277" i="2" a="1"/>
  <c r="V1277" i="2" s="1"/>
  <c r="U1277" i="2"/>
  <c r="S1277" i="2"/>
  <c r="R1277" i="2"/>
  <c r="Q1277" i="2"/>
  <c r="P1277" i="2"/>
  <c r="U1276" i="2"/>
  <c r="S1276" i="2"/>
  <c r="R1276" i="2"/>
  <c r="Q1276" i="2"/>
  <c r="P1276" i="2"/>
  <c r="U1275" i="2"/>
  <c r="S1275" i="2"/>
  <c r="V1275" i="2" s="1" a="1"/>
  <c r="V1275" i="2" s="1"/>
  <c r="R1275" i="2"/>
  <c r="Q1275" i="2"/>
  <c r="P1275" i="2"/>
  <c r="V1274" i="2" a="1"/>
  <c r="V1274" i="2" s="1"/>
  <c r="U1274" i="2"/>
  <c r="S1274" i="2"/>
  <c r="R1274" i="2"/>
  <c r="Q1274" i="2"/>
  <c r="P1274" i="2"/>
  <c r="U1273" i="2"/>
  <c r="S1273" i="2"/>
  <c r="R1273" i="2"/>
  <c r="Q1273" i="2"/>
  <c r="P1273" i="2"/>
  <c r="V1272" i="2" a="1"/>
  <c r="V1272" i="2" s="1"/>
  <c r="U1272" i="2"/>
  <c r="S1272" i="2"/>
  <c r="R1272" i="2"/>
  <c r="Q1272" i="2"/>
  <c r="P1272" i="2"/>
  <c r="V1271" i="2"/>
  <c r="V1271" i="2" a="1"/>
  <c r="U1271" i="2"/>
  <c r="S1271" i="2"/>
  <c r="R1271" i="2"/>
  <c r="Q1271" i="2"/>
  <c r="P1271" i="2"/>
  <c r="U1270" i="2"/>
  <c r="S1270" i="2"/>
  <c r="R1270" i="2"/>
  <c r="Q1270" i="2"/>
  <c r="P1270" i="2"/>
  <c r="V1269" i="2" a="1"/>
  <c r="V1269" i="2" s="1"/>
  <c r="U1269" i="2"/>
  <c r="S1269" i="2"/>
  <c r="R1269" i="2"/>
  <c r="Q1269" i="2"/>
  <c r="P1269" i="2"/>
  <c r="U1268" i="2"/>
  <c r="S1268" i="2"/>
  <c r="R1268" i="2"/>
  <c r="Q1268" i="2"/>
  <c r="P1268" i="2"/>
  <c r="U1267" i="2"/>
  <c r="S1267" i="2"/>
  <c r="V1267" i="2" s="1" a="1"/>
  <c r="V1267" i="2" s="1"/>
  <c r="R1267" i="2"/>
  <c r="Q1267" i="2"/>
  <c r="P1267" i="2"/>
  <c r="V1266" i="2" a="1"/>
  <c r="V1266" i="2" s="1"/>
  <c r="U1266" i="2"/>
  <c r="S1266" i="2"/>
  <c r="R1266" i="2"/>
  <c r="Q1266" i="2"/>
  <c r="P1266" i="2"/>
  <c r="U1265" i="2"/>
  <c r="S1265" i="2"/>
  <c r="R1265" i="2"/>
  <c r="Q1265" i="2"/>
  <c r="P1265" i="2"/>
  <c r="V1264" i="2" a="1"/>
  <c r="V1264" i="2" s="1"/>
  <c r="U1264" i="2"/>
  <c r="S1264" i="2"/>
  <c r="R1264" i="2"/>
  <c r="Q1264" i="2"/>
  <c r="P1264" i="2"/>
  <c r="V1263" i="2"/>
  <c r="V1263" i="2" a="1"/>
  <c r="U1263" i="2"/>
  <c r="S1263" i="2"/>
  <c r="R1263" i="2"/>
  <c r="Q1263" i="2"/>
  <c r="P1263" i="2"/>
  <c r="U1262" i="2"/>
  <c r="S1262" i="2"/>
  <c r="R1262" i="2"/>
  <c r="Q1262" i="2"/>
  <c r="P1262" i="2"/>
  <c r="V1261" i="2" a="1"/>
  <c r="V1261" i="2" s="1"/>
  <c r="U1261" i="2"/>
  <c r="S1261" i="2"/>
  <c r="R1261" i="2"/>
  <c r="Q1261" i="2"/>
  <c r="P1261" i="2"/>
  <c r="U1260" i="2"/>
  <c r="S1260" i="2"/>
  <c r="R1260" i="2"/>
  <c r="Q1260" i="2"/>
  <c r="P1260" i="2"/>
  <c r="U1259" i="2"/>
  <c r="S1259" i="2"/>
  <c r="R1259" i="2"/>
  <c r="Q1259" i="2"/>
  <c r="P1259" i="2"/>
  <c r="V1258" i="2" a="1"/>
  <c r="V1258" i="2" s="1"/>
  <c r="U1258" i="2"/>
  <c r="S1258" i="2"/>
  <c r="R1258" i="2"/>
  <c r="Q1258" i="2"/>
  <c r="P1258" i="2"/>
  <c r="U1257" i="2"/>
  <c r="S1257" i="2"/>
  <c r="R1257" i="2"/>
  <c r="Q1257" i="2"/>
  <c r="P1257" i="2"/>
  <c r="V1256" i="2" a="1"/>
  <c r="V1256" i="2" s="1"/>
  <c r="U1256" i="2"/>
  <c r="S1256" i="2"/>
  <c r="R1256" i="2"/>
  <c r="Q1256" i="2"/>
  <c r="P1256" i="2"/>
  <c r="V1255" i="2"/>
  <c r="V1255" i="2" a="1"/>
  <c r="U1255" i="2"/>
  <c r="S1255" i="2"/>
  <c r="R1255" i="2"/>
  <c r="Q1255" i="2"/>
  <c r="P1255" i="2"/>
  <c r="U1254" i="2"/>
  <c r="S1254" i="2"/>
  <c r="R1254" i="2"/>
  <c r="Q1254" i="2"/>
  <c r="P1254" i="2"/>
  <c r="V1253" i="2" a="1"/>
  <c r="V1253" i="2" s="1"/>
  <c r="U1253" i="2"/>
  <c r="S1253" i="2"/>
  <c r="R1253" i="2"/>
  <c r="Q1253" i="2"/>
  <c r="P1253" i="2"/>
  <c r="U1252" i="2"/>
  <c r="S1252" i="2"/>
  <c r="R1252" i="2"/>
  <c r="Q1252" i="2"/>
  <c r="P1252" i="2"/>
  <c r="U1251" i="2"/>
  <c r="S1251" i="2"/>
  <c r="V1251" i="2" s="1" a="1"/>
  <c r="V1251" i="2" s="1"/>
  <c r="R1251" i="2"/>
  <c r="Q1251" i="2"/>
  <c r="P1251" i="2"/>
  <c r="V1250" i="2" a="1"/>
  <c r="V1250" i="2" s="1"/>
  <c r="U1250" i="2"/>
  <c r="S1250" i="2"/>
  <c r="R1250" i="2"/>
  <c r="Q1250" i="2"/>
  <c r="P1250" i="2"/>
  <c r="U1249" i="2"/>
  <c r="S1249" i="2"/>
  <c r="R1249" i="2"/>
  <c r="Q1249" i="2"/>
  <c r="P1249" i="2"/>
  <c r="V1248" i="2" a="1"/>
  <c r="V1248" i="2" s="1"/>
  <c r="U1248" i="2"/>
  <c r="S1248" i="2"/>
  <c r="R1248" i="2"/>
  <c r="Q1248" i="2"/>
  <c r="P1248" i="2"/>
  <c r="V1247" i="2" a="1"/>
  <c r="V1247" i="2" s="1"/>
  <c r="U1247" i="2"/>
  <c r="S1247" i="2"/>
  <c r="R1247" i="2"/>
  <c r="Q1247" i="2"/>
  <c r="P1247" i="2"/>
  <c r="U1246" i="2"/>
  <c r="S1246" i="2"/>
  <c r="R1246" i="2"/>
  <c r="Q1246" i="2"/>
  <c r="P1246" i="2"/>
  <c r="V1245" i="2" a="1"/>
  <c r="V1245" i="2" s="1"/>
  <c r="U1245" i="2"/>
  <c r="S1245" i="2"/>
  <c r="R1245" i="2"/>
  <c r="Q1245" i="2"/>
  <c r="P1245" i="2"/>
  <c r="U1244" i="2"/>
  <c r="S1244" i="2"/>
  <c r="R1244" i="2"/>
  <c r="Q1244" i="2"/>
  <c r="P1244" i="2"/>
  <c r="U1243" i="2"/>
  <c r="S1243" i="2"/>
  <c r="V1243" i="2" s="1" a="1"/>
  <c r="V1243" i="2" s="1"/>
  <c r="R1243" i="2"/>
  <c r="Q1243" i="2"/>
  <c r="P1243" i="2"/>
  <c r="V1242" i="2" a="1"/>
  <c r="V1242" i="2" s="1"/>
  <c r="U1242" i="2"/>
  <c r="S1242" i="2"/>
  <c r="R1242" i="2"/>
  <c r="Q1242" i="2"/>
  <c r="P1242" i="2"/>
  <c r="U1241" i="2"/>
  <c r="S1241" i="2"/>
  <c r="R1241" i="2"/>
  <c r="Q1241" i="2"/>
  <c r="P1241" i="2"/>
  <c r="V1240" i="2" a="1"/>
  <c r="V1240" i="2" s="1"/>
  <c r="U1240" i="2"/>
  <c r="S1240" i="2"/>
  <c r="R1240" i="2"/>
  <c r="Q1240" i="2"/>
  <c r="P1240" i="2"/>
  <c r="V1239" i="2"/>
  <c r="V1239" i="2" a="1"/>
  <c r="U1239" i="2"/>
  <c r="S1239" i="2"/>
  <c r="R1239" i="2"/>
  <c r="Q1239" i="2"/>
  <c r="P1239" i="2"/>
  <c r="U1238" i="2"/>
  <c r="S1238" i="2"/>
  <c r="R1238" i="2"/>
  <c r="Q1238" i="2"/>
  <c r="P1238" i="2"/>
  <c r="V1237" i="2" a="1"/>
  <c r="V1237" i="2" s="1"/>
  <c r="U1237" i="2"/>
  <c r="S1237" i="2"/>
  <c r="R1237" i="2"/>
  <c r="Q1237" i="2"/>
  <c r="P1237" i="2"/>
  <c r="U1236" i="2"/>
  <c r="S1236" i="2"/>
  <c r="R1236" i="2"/>
  <c r="Q1236" i="2"/>
  <c r="P1236" i="2"/>
  <c r="U1235" i="2"/>
  <c r="S1235" i="2"/>
  <c r="V1235" i="2" s="1" a="1"/>
  <c r="V1235" i="2" s="1"/>
  <c r="R1235" i="2"/>
  <c r="Q1235" i="2"/>
  <c r="P1235" i="2"/>
  <c r="V1234" i="2" a="1"/>
  <c r="V1234" i="2" s="1"/>
  <c r="U1234" i="2"/>
  <c r="S1234" i="2"/>
  <c r="R1234" i="2"/>
  <c r="Q1234" i="2"/>
  <c r="P1234" i="2"/>
  <c r="U1233" i="2"/>
  <c r="S1233" i="2"/>
  <c r="R1233" i="2"/>
  <c r="Q1233" i="2"/>
  <c r="P1233" i="2"/>
  <c r="V1232" i="2" a="1"/>
  <c r="V1232" i="2" s="1"/>
  <c r="U1232" i="2"/>
  <c r="S1232" i="2"/>
  <c r="R1232" i="2"/>
  <c r="Q1232" i="2"/>
  <c r="P1232" i="2"/>
  <c r="V1231" i="2"/>
  <c r="V1231" i="2" a="1"/>
  <c r="U1231" i="2"/>
  <c r="S1231" i="2"/>
  <c r="R1231" i="2"/>
  <c r="Q1231" i="2"/>
  <c r="P1231" i="2"/>
  <c r="U1230" i="2"/>
  <c r="S1230" i="2"/>
  <c r="R1230" i="2"/>
  <c r="Q1230" i="2"/>
  <c r="P1230" i="2"/>
  <c r="V1229" i="2" a="1"/>
  <c r="V1229" i="2" s="1"/>
  <c r="U1229" i="2"/>
  <c r="S1229" i="2"/>
  <c r="R1229" i="2"/>
  <c r="Q1229" i="2"/>
  <c r="P1229" i="2"/>
  <c r="U1228" i="2"/>
  <c r="S1228" i="2"/>
  <c r="R1228" i="2"/>
  <c r="Q1228" i="2"/>
  <c r="P1228" i="2"/>
  <c r="U1227" i="2"/>
  <c r="S1227" i="2"/>
  <c r="R1227" i="2"/>
  <c r="Q1227" i="2"/>
  <c r="P1227" i="2"/>
  <c r="V1226" i="2" a="1"/>
  <c r="V1226" i="2" s="1"/>
  <c r="U1226" i="2"/>
  <c r="S1226" i="2"/>
  <c r="R1226" i="2"/>
  <c r="Q1226" i="2"/>
  <c r="P1226" i="2"/>
  <c r="U1225" i="2"/>
  <c r="S1225" i="2"/>
  <c r="R1225" i="2"/>
  <c r="Q1225" i="2"/>
  <c r="P1225" i="2"/>
  <c r="V1224" i="2" a="1"/>
  <c r="V1224" i="2" s="1"/>
  <c r="U1224" i="2"/>
  <c r="S1224" i="2"/>
  <c r="R1224" i="2"/>
  <c r="Q1224" i="2"/>
  <c r="P1224" i="2"/>
  <c r="V1223" i="2"/>
  <c r="V1223" i="2" a="1"/>
  <c r="U1223" i="2"/>
  <c r="S1223" i="2"/>
  <c r="R1223" i="2"/>
  <c r="Q1223" i="2"/>
  <c r="P1223" i="2"/>
  <c r="U1222" i="2"/>
  <c r="S1222" i="2"/>
  <c r="R1222" i="2"/>
  <c r="Q1222" i="2"/>
  <c r="P1222" i="2"/>
  <c r="V1221" i="2" a="1"/>
  <c r="V1221" i="2" s="1"/>
  <c r="U1221" i="2"/>
  <c r="S1221" i="2"/>
  <c r="R1221" i="2"/>
  <c r="Q1221" i="2"/>
  <c r="P1221" i="2"/>
  <c r="U1220" i="2"/>
  <c r="S1220" i="2"/>
  <c r="R1220" i="2"/>
  <c r="Q1220" i="2"/>
  <c r="P1220" i="2"/>
  <c r="U1219" i="2"/>
  <c r="S1219" i="2"/>
  <c r="V1219" i="2" s="1" a="1"/>
  <c r="V1219" i="2" s="1"/>
  <c r="R1219" i="2"/>
  <c r="Q1219" i="2"/>
  <c r="P1219" i="2"/>
  <c r="V1218" i="2" a="1"/>
  <c r="V1218" i="2" s="1"/>
  <c r="U1218" i="2"/>
  <c r="S1218" i="2"/>
  <c r="R1218" i="2"/>
  <c r="Q1218" i="2"/>
  <c r="P1218" i="2"/>
  <c r="U1217" i="2"/>
  <c r="S1217" i="2"/>
  <c r="R1217" i="2"/>
  <c r="Q1217" i="2"/>
  <c r="P1217" i="2"/>
  <c r="V1216" i="2" a="1"/>
  <c r="V1216" i="2" s="1"/>
  <c r="U1216" i="2"/>
  <c r="S1216" i="2"/>
  <c r="R1216" i="2"/>
  <c r="Q1216" i="2"/>
  <c r="P1216" i="2"/>
  <c r="V1215" i="2" a="1"/>
  <c r="V1215" i="2" s="1"/>
  <c r="U1215" i="2"/>
  <c r="S1215" i="2"/>
  <c r="R1215" i="2"/>
  <c r="Q1215" i="2"/>
  <c r="P1215" i="2"/>
  <c r="U1214" i="2"/>
  <c r="S1214" i="2"/>
  <c r="R1214" i="2"/>
  <c r="Q1214" i="2"/>
  <c r="P1214" i="2"/>
  <c r="V1213" i="2" a="1"/>
  <c r="V1213" i="2" s="1"/>
  <c r="U1213" i="2"/>
  <c r="S1213" i="2"/>
  <c r="R1213" i="2"/>
  <c r="Q1213" i="2"/>
  <c r="P1213" i="2"/>
  <c r="U1212" i="2"/>
  <c r="S1212" i="2"/>
  <c r="R1212" i="2"/>
  <c r="Q1212" i="2"/>
  <c r="P1212" i="2"/>
  <c r="U1211" i="2"/>
  <c r="S1211" i="2"/>
  <c r="V1211" i="2" s="1" a="1"/>
  <c r="V1211" i="2" s="1"/>
  <c r="R1211" i="2"/>
  <c r="Q1211" i="2"/>
  <c r="P1211" i="2"/>
  <c r="V1210" i="2" a="1"/>
  <c r="V1210" i="2" s="1"/>
  <c r="U1210" i="2"/>
  <c r="S1210" i="2"/>
  <c r="R1210" i="2"/>
  <c r="Q1210" i="2"/>
  <c r="P1210" i="2"/>
  <c r="U1209" i="2"/>
  <c r="S1209" i="2"/>
  <c r="R1209" i="2"/>
  <c r="Q1209" i="2"/>
  <c r="P1209" i="2"/>
  <c r="V1208" i="2" a="1"/>
  <c r="V1208" i="2" s="1"/>
  <c r="U1208" i="2"/>
  <c r="S1208" i="2"/>
  <c r="R1208" i="2"/>
  <c r="Q1208" i="2"/>
  <c r="P1208" i="2"/>
  <c r="V1207" i="2"/>
  <c r="V1207" i="2" a="1"/>
  <c r="U1207" i="2"/>
  <c r="S1207" i="2"/>
  <c r="R1207" i="2"/>
  <c r="Q1207" i="2"/>
  <c r="P1207" i="2"/>
  <c r="U1206" i="2"/>
  <c r="S1206" i="2"/>
  <c r="R1206" i="2"/>
  <c r="Q1206" i="2"/>
  <c r="P1206" i="2"/>
  <c r="V1205" i="2" a="1"/>
  <c r="V1205" i="2" s="1"/>
  <c r="U1205" i="2"/>
  <c r="S1205" i="2"/>
  <c r="R1205" i="2"/>
  <c r="Q1205" i="2"/>
  <c r="P1205" i="2"/>
  <c r="U1204" i="2"/>
  <c r="S1204" i="2"/>
  <c r="R1204" i="2"/>
  <c r="Q1204" i="2"/>
  <c r="P1204" i="2"/>
  <c r="U1203" i="2"/>
  <c r="S1203" i="2"/>
  <c r="V1203" i="2" s="1" a="1"/>
  <c r="V1203" i="2" s="1"/>
  <c r="R1203" i="2"/>
  <c r="Q1203" i="2"/>
  <c r="P1203" i="2"/>
  <c r="V1202" i="2" a="1"/>
  <c r="V1202" i="2" s="1"/>
  <c r="U1202" i="2"/>
  <c r="S1202" i="2"/>
  <c r="R1202" i="2"/>
  <c r="Q1202" i="2"/>
  <c r="P1202" i="2"/>
  <c r="U1201" i="2"/>
  <c r="S1201" i="2"/>
  <c r="R1201" i="2"/>
  <c r="Q1201" i="2"/>
  <c r="P1201" i="2"/>
  <c r="V1200" i="2" a="1"/>
  <c r="V1200" i="2" s="1"/>
  <c r="U1200" i="2"/>
  <c r="S1200" i="2"/>
  <c r="R1200" i="2"/>
  <c r="Q1200" i="2"/>
  <c r="P1200" i="2"/>
  <c r="V1199" i="2"/>
  <c r="V1199" i="2" a="1"/>
  <c r="U1199" i="2"/>
  <c r="S1199" i="2"/>
  <c r="R1199" i="2"/>
  <c r="Q1199" i="2"/>
  <c r="P1199" i="2"/>
  <c r="U1198" i="2"/>
  <c r="S1198" i="2"/>
  <c r="R1198" i="2"/>
  <c r="Q1198" i="2"/>
  <c r="P1198" i="2"/>
  <c r="V1197" i="2" a="1"/>
  <c r="V1197" i="2" s="1"/>
  <c r="U1197" i="2"/>
  <c r="S1197" i="2"/>
  <c r="R1197" i="2"/>
  <c r="Q1197" i="2"/>
  <c r="P1197" i="2"/>
  <c r="U1196" i="2"/>
  <c r="S1196" i="2"/>
  <c r="R1196" i="2"/>
  <c r="Q1196" i="2"/>
  <c r="P1196" i="2"/>
  <c r="U1195" i="2"/>
  <c r="S1195" i="2"/>
  <c r="R1195" i="2"/>
  <c r="Q1195" i="2"/>
  <c r="P1195" i="2"/>
  <c r="V1194" i="2" a="1"/>
  <c r="V1194" i="2" s="1"/>
  <c r="U1194" i="2"/>
  <c r="S1194" i="2"/>
  <c r="R1194" i="2"/>
  <c r="Q1194" i="2"/>
  <c r="P1194" i="2"/>
  <c r="U1193" i="2"/>
  <c r="S1193" i="2"/>
  <c r="R1193" i="2"/>
  <c r="Q1193" i="2"/>
  <c r="P1193" i="2"/>
  <c r="V1192" i="2" a="1"/>
  <c r="V1192" i="2" s="1"/>
  <c r="U1192" i="2"/>
  <c r="S1192" i="2"/>
  <c r="R1192" i="2"/>
  <c r="Q1192" i="2"/>
  <c r="P1192" i="2"/>
  <c r="V1191" i="2"/>
  <c r="V1191" i="2" a="1"/>
  <c r="U1191" i="2"/>
  <c r="S1191" i="2"/>
  <c r="R1191" i="2"/>
  <c r="Q1191" i="2"/>
  <c r="P1191" i="2"/>
  <c r="U1190" i="2"/>
  <c r="S1190" i="2"/>
  <c r="R1190" i="2"/>
  <c r="Q1190" i="2"/>
  <c r="P1190" i="2"/>
  <c r="V1189" i="2" a="1"/>
  <c r="V1189" i="2" s="1"/>
  <c r="U1189" i="2"/>
  <c r="S1189" i="2"/>
  <c r="R1189" i="2"/>
  <c r="Q1189" i="2"/>
  <c r="P1189" i="2"/>
  <c r="U1188" i="2"/>
  <c r="S1188" i="2"/>
  <c r="R1188" i="2"/>
  <c r="Q1188" i="2"/>
  <c r="P1188" i="2"/>
  <c r="U1187" i="2"/>
  <c r="S1187" i="2"/>
  <c r="V1187" i="2" s="1" a="1"/>
  <c r="V1187" i="2" s="1"/>
  <c r="R1187" i="2"/>
  <c r="Q1187" i="2"/>
  <c r="P1187" i="2"/>
  <c r="V1186" i="2" a="1"/>
  <c r="V1186" i="2" s="1"/>
  <c r="U1186" i="2"/>
  <c r="S1186" i="2"/>
  <c r="R1186" i="2"/>
  <c r="Q1186" i="2"/>
  <c r="P1186" i="2"/>
  <c r="U1185" i="2"/>
  <c r="S1185" i="2"/>
  <c r="R1185" i="2"/>
  <c r="Q1185" i="2"/>
  <c r="P1185" i="2"/>
  <c r="V1184" i="2" a="1"/>
  <c r="V1184" i="2" s="1"/>
  <c r="U1184" i="2"/>
  <c r="S1184" i="2"/>
  <c r="R1184" i="2"/>
  <c r="Q1184" i="2"/>
  <c r="P1184" i="2"/>
  <c r="V1183" i="2" a="1"/>
  <c r="V1183" i="2" s="1"/>
  <c r="U1183" i="2"/>
  <c r="S1183" i="2"/>
  <c r="R1183" i="2"/>
  <c r="Q1183" i="2"/>
  <c r="P1183" i="2"/>
  <c r="U1182" i="2"/>
  <c r="S1182" i="2"/>
  <c r="R1182" i="2"/>
  <c r="Q1182" i="2"/>
  <c r="P1182" i="2"/>
  <c r="V1181" i="2" a="1"/>
  <c r="V1181" i="2" s="1"/>
  <c r="U1181" i="2"/>
  <c r="S1181" i="2"/>
  <c r="R1181" i="2"/>
  <c r="Q1181" i="2"/>
  <c r="P1181" i="2"/>
  <c r="U1180" i="2"/>
  <c r="S1180" i="2"/>
  <c r="R1180" i="2"/>
  <c r="Q1180" i="2"/>
  <c r="P1180" i="2"/>
  <c r="U1179" i="2"/>
  <c r="S1179" i="2"/>
  <c r="V1179" i="2" s="1" a="1"/>
  <c r="V1179" i="2" s="1"/>
  <c r="R1179" i="2"/>
  <c r="Q1179" i="2"/>
  <c r="P1179" i="2"/>
  <c r="V1178" i="2" a="1"/>
  <c r="V1178" i="2" s="1"/>
  <c r="U1178" i="2"/>
  <c r="S1178" i="2"/>
  <c r="R1178" i="2"/>
  <c r="Q1178" i="2"/>
  <c r="P1178" i="2"/>
  <c r="U1177" i="2"/>
  <c r="S1177" i="2"/>
  <c r="R1177" i="2"/>
  <c r="Q1177" i="2"/>
  <c r="P1177" i="2"/>
  <c r="V1176" i="2" a="1"/>
  <c r="V1176" i="2" s="1"/>
  <c r="U1176" i="2"/>
  <c r="S1176" i="2"/>
  <c r="R1176" i="2"/>
  <c r="Q1176" i="2"/>
  <c r="P1176" i="2"/>
  <c r="V1175" i="2"/>
  <c r="V1175" i="2" a="1"/>
  <c r="U1175" i="2"/>
  <c r="S1175" i="2"/>
  <c r="R1175" i="2"/>
  <c r="Q1175" i="2"/>
  <c r="P1175" i="2"/>
  <c r="U1174" i="2"/>
  <c r="S1174" i="2"/>
  <c r="R1174" i="2"/>
  <c r="Q1174" i="2"/>
  <c r="P1174" i="2"/>
  <c r="V1173" i="2" a="1"/>
  <c r="V1173" i="2" s="1"/>
  <c r="U1173" i="2"/>
  <c r="S1173" i="2"/>
  <c r="R1173" i="2"/>
  <c r="Q1173" i="2"/>
  <c r="P1173" i="2"/>
  <c r="V1172" i="2" a="1"/>
  <c r="V1172" i="2" s="1"/>
  <c r="U1172" i="2"/>
  <c r="S1172" i="2"/>
  <c r="R1172" i="2"/>
  <c r="Q1172" i="2"/>
  <c r="P1172" i="2"/>
  <c r="U1171" i="2"/>
  <c r="S1171" i="2"/>
  <c r="V1171" i="2" s="1" a="1"/>
  <c r="V1171" i="2" s="1"/>
  <c r="R1171" i="2"/>
  <c r="Q1171" i="2"/>
  <c r="P1171" i="2"/>
  <c r="V1170" i="2" a="1"/>
  <c r="V1170" i="2" s="1"/>
  <c r="U1170" i="2"/>
  <c r="S1170" i="2"/>
  <c r="R1170" i="2"/>
  <c r="Q1170" i="2"/>
  <c r="P1170" i="2"/>
  <c r="U1169" i="2"/>
  <c r="S1169" i="2"/>
  <c r="R1169" i="2"/>
  <c r="Q1169" i="2"/>
  <c r="P1169" i="2"/>
  <c r="V1168" i="2" a="1"/>
  <c r="V1168" i="2" s="1"/>
  <c r="U1168" i="2"/>
  <c r="S1168" i="2"/>
  <c r="R1168" i="2"/>
  <c r="Q1168" i="2"/>
  <c r="P1168" i="2"/>
  <c r="V1167" i="2" a="1"/>
  <c r="V1167" i="2" s="1"/>
  <c r="U1167" i="2"/>
  <c r="S1167" i="2"/>
  <c r="R1167" i="2"/>
  <c r="Q1167" i="2"/>
  <c r="P1167" i="2"/>
  <c r="U1166" i="2"/>
  <c r="S1166" i="2"/>
  <c r="R1166" i="2"/>
  <c r="Q1166" i="2"/>
  <c r="P1166" i="2"/>
  <c r="V1165" i="2" a="1"/>
  <c r="V1165" i="2" s="1"/>
  <c r="U1165" i="2"/>
  <c r="S1165" i="2"/>
  <c r="R1165" i="2"/>
  <c r="Q1165" i="2"/>
  <c r="P1165" i="2"/>
  <c r="U1164" i="2"/>
  <c r="S1164" i="2"/>
  <c r="R1164" i="2"/>
  <c r="Q1164" i="2"/>
  <c r="P1164" i="2"/>
  <c r="V1163" i="2"/>
  <c r="U1163" i="2"/>
  <c r="S1163" i="2"/>
  <c r="V1163" i="2" s="1" a="1"/>
  <c r="R1163" i="2"/>
  <c r="Q1163" i="2"/>
  <c r="P1163" i="2"/>
  <c r="V1162" i="2" a="1"/>
  <c r="V1162" i="2" s="1"/>
  <c r="U1162" i="2"/>
  <c r="S1162" i="2"/>
  <c r="R1162" i="2"/>
  <c r="Q1162" i="2"/>
  <c r="P1162" i="2"/>
  <c r="U1161" i="2"/>
  <c r="S1161" i="2"/>
  <c r="R1161" i="2"/>
  <c r="Q1161" i="2"/>
  <c r="P1161" i="2"/>
  <c r="U1160" i="2"/>
  <c r="S1160" i="2"/>
  <c r="R1160" i="2"/>
  <c r="Q1160" i="2"/>
  <c r="P1160" i="2"/>
  <c r="V1159" i="2" a="1"/>
  <c r="V1159" i="2" s="1"/>
  <c r="U1159" i="2"/>
  <c r="S1159" i="2"/>
  <c r="R1159" i="2"/>
  <c r="Q1159" i="2"/>
  <c r="P1159" i="2"/>
  <c r="U1158" i="2"/>
  <c r="S1158" i="2"/>
  <c r="R1158" i="2"/>
  <c r="Q1158" i="2"/>
  <c r="P1158" i="2"/>
  <c r="V1157" i="2" a="1"/>
  <c r="V1157" i="2" s="1"/>
  <c r="U1157" i="2"/>
  <c r="S1157" i="2"/>
  <c r="R1157" i="2"/>
  <c r="Q1157" i="2"/>
  <c r="P1157" i="2"/>
  <c r="U1156" i="2"/>
  <c r="S1156" i="2"/>
  <c r="R1156" i="2"/>
  <c r="Q1156" i="2"/>
  <c r="P1156" i="2"/>
  <c r="U1155" i="2"/>
  <c r="S1155" i="2"/>
  <c r="V1155" i="2" s="1" a="1"/>
  <c r="V1155" i="2" s="1"/>
  <c r="R1155" i="2"/>
  <c r="Q1155" i="2"/>
  <c r="P1155" i="2"/>
  <c r="V1154" i="2" a="1"/>
  <c r="V1154" i="2" s="1"/>
  <c r="U1154" i="2"/>
  <c r="S1154" i="2"/>
  <c r="R1154" i="2"/>
  <c r="Q1154" i="2"/>
  <c r="P1154" i="2"/>
  <c r="U1153" i="2"/>
  <c r="S1153" i="2"/>
  <c r="R1153" i="2"/>
  <c r="Q1153" i="2"/>
  <c r="P1153" i="2"/>
  <c r="U1152" i="2"/>
  <c r="S1152" i="2"/>
  <c r="R1152" i="2"/>
  <c r="Q1152" i="2"/>
  <c r="P1152" i="2"/>
  <c r="V1151" i="2"/>
  <c r="V1151" i="2" a="1"/>
  <c r="U1151" i="2"/>
  <c r="S1151" i="2"/>
  <c r="R1151" i="2"/>
  <c r="Q1151" i="2"/>
  <c r="P1151" i="2"/>
  <c r="U1150" i="2"/>
  <c r="S1150" i="2"/>
  <c r="R1150" i="2"/>
  <c r="Q1150" i="2"/>
  <c r="P1150" i="2"/>
  <c r="V1149" i="2" a="1"/>
  <c r="V1149" i="2" s="1"/>
  <c r="U1149" i="2"/>
  <c r="S1149" i="2"/>
  <c r="R1149" i="2"/>
  <c r="Q1149" i="2"/>
  <c r="P1149" i="2"/>
  <c r="U1148" i="2"/>
  <c r="S1148" i="2"/>
  <c r="R1148" i="2"/>
  <c r="Q1148" i="2"/>
  <c r="P1148" i="2"/>
  <c r="U1147" i="2"/>
  <c r="S1147" i="2"/>
  <c r="R1147" i="2"/>
  <c r="Q1147" i="2"/>
  <c r="P1147" i="2"/>
  <c r="V1146" i="2" a="1"/>
  <c r="V1146" i="2" s="1"/>
  <c r="U1146" i="2"/>
  <c r="S1146" i="2"/>
  <c r="R1146" i="2"/>
  <c r="Q1146" i="2"/>
  <c r="P1146" i="2"/>
  <c r="U1145" i="2"/>
  <c r="S1145" i="2"/>
  <c r="R1145" i="2"/>
  <c r="Q1145" i="2"/>
  <c r="P1145" i="2"/>
  <c r="V1144" i="2" a="1"/>
  <c r="V1144" i="2" s="1"/>
  <c r="U1144" i="2"/>
  <c r="S1144" i="2"/>
  <c r="R1144" i="2"/>
  <c r="Q1144" i="2"/>
  <c r="P1144" i="2"/>
  <c r="V1143" i="2"/>
  <c r="V1143" i="2" a="1"/>
  <c r="U1143" i="2"/>
  <c r="S1143" i="2"/>
  <c r="R1143" i="2"/>
  <c r="Q1143" i="2"/>
  <c r="P1143" i="2"/>
  <c r="U1142" i="2"/>
  <c r="S1142" i="2"/>
  <c r="R1142" i="2"/>
  <c r="Q1142" i="2"/>
  <c r="P1142" i="2"/>
  <c r="V1141" i="2" a="1"/>
  <c r="V1141" i="2" s="1"/>
  <c r="U1141" i="2"/>
  <c r="S1141" i="2"/>
  <c r="R1141" i="2"/>
  <c r="Q1141" i="2"/>
  <c r="P1141" i="2"/>
  <c r="V1140" i="2" a="1"/>
  <c r="V1140" i="2" s="1"/>
  <c r="U1140" i="2"/>
  <c r="S1140" i="2"/>
  <c r="R1140" i="2"/>
  <c r="Q1140" i="2"/>
  <c r="P1140" i="2"/>
  <c r="U1139" i="2"/>
  <c r="S1139" i="2"/>
  <c r="V1139" i="2" s="1" a="1"/>
  <c r="V1139" i="2" s="1"/>
  <c r="R1139" i="2"/>
  <c r="Q1139" i="2"/>
  <c r="P1139" i="2"/>
  <c r="V1138" i="2" a="1"/>
  <c r="V1138" i="2" s="1"/>
  <c r="U1138" i="2"/>
  <c r="S1138" i="2"/>
  <c r="R1138" i="2"/>
  <c r="Q1138" i="2"/>
  <c r="P1138" i="2"/>
  <c r="U1137" i="2"/>
  <c r="S1137" i="2"/>
  <c r="R1137" i="2"/>
  <c r="Q1137" i="2"/>
  <c r="P1137" i="2"/>
  <c r="V1136" i="2" a="1"/>
  <c r="V1136" i="2" s="1"/>
  <c r="U1136" i="2"/>
  <c r="S1136" i="2"/>
  <c r="R1136" i="2"/>
  <c r="Q1136" i="2"/>
  <c r="P1136" i="2"/>
  <c r="V1135" i="2" a="1"/>
  <c r="V1135" i="2" s="1"/>
  <c r="U1135" i="2"/>
  <c r="S1135" i="2"/>
  <c r="R1135" i="2"/>
  <c r="Q1135" i="2"/>
  <c r="P1135" i="2"/>
  <c r="U1134" i="2"/>
  <c r="S1134" i="2"/>
  <c r="R1134" i="2"/>
  <c r="Q1134" i="2"/>
  <c r="P1134" i="2"/>
  <c r="V1133" i="2" a="1"/>
  <c r="V1133" i="2" s="1"/>
  <c r="U1133" i="2"/>
  <c r="S1133" i="2"/>
  <c r="R1133" i="2"/>
  <c r="Q1133" i="2"/>
  <c r="P1133" i="2"/>
  <c r="V1132" i="2"/>
  <c r="V1132" i="2" a="1"/>
  <c r="U1132" i="2"/>
  <c r="S1132" i="2"/>
  <c r="R1132" i="2"/>
  <c r="Q1132" i="2"/>
  <c r="P1132" i="2"/>
  <c r="V1131" i="2"/>
  <c r="U1131" i="2"/>
  <c r="S1131" i="2"/>
  <c r="V1131" i="2" s="1" a="1"/>
  <c r="R1131" i="2"/>
  <c r="Q1131" i="2"/>
  <c r="P1131" i="2"/>
  <c r="V1130" i="2" a="1"/>
  <c r="V1130" i="2" s="1"/>
  <c r="U1130" i="2"/>
  <c r="S1130" i="2"/>
  <c r="R1130" i="2"/>
  <c r="Q1130" i="2"/>
  <c r="P1130" i="2"/>
  <c r="U1129" i="2"/>
  <c r="S1129" i="2"/>
  <c r="R1129" i="2"/>
  <c r="Q1129" i="2"/>
  <c r="P1129" i="2"/>
  <c r="U1128" i="2"/>
  <c r="S1128" i="2"/>
  <c r="V1128" i="2" s="1" a="1"/>
  <c r="V1128" i="2" s="1"/>
  <c r="R1128" i="2"/>
  <c r="Q1128" i="2"/>
  <c r="P1128" i="2"/>
  <c r="V1127" i="2"/>
  <c r="V1127" i="2" a="1"/>
  <c r="U1127" i="2"/>
  <c r="S1127" i="2"/>
  <c r="R1127" i="2"/>
  <c r="Q1127" i="2"/>
  <c r="P1127" i="2"/>
  <c r="U1126" i="2"/>
  <c r="S1126" i="2"/>
  <c r="R1126" i="2"/>
  <c r="Q1126" i="2"/>
  <c r="P1126" i="2"/>
  <c r="V1125" i="2" a="1"/>
  <c r="V1125" i="2" s="1"/>
  <c r="U1125" i="2"/>
  <c r="S1125" i="2"/>
  <c r="R1125" i="2"/>
  <c r="Q1125" i="2"/>
  <c r="P1125" i="2"/>
  <c r="U1124" i="2"/>
  <c r="S1124" i="2"/>
  <c r="R1124" i="2"/>
  <c r="Q1124" i="2"/>
  <c r="P1124" i="2"/>
  <c r="U1123" i="2"/>
  <c r="S1123" i="2"/>
  <c r="V1123" i="2" s="1" a="1"/>
  <c r="V1123" i="2" s="1"/>
  <c r="R1123" i="2"/>
  <c r="Q1123" i="2"/>
  <c r="P1123" i="2"/>
  <c r="V1122" i="2" a="1"/>
  <c r="V1122" i="2" s="1"/>
  <c r="U1122" i="2"/>
  <c r="S1122" i="2"/>
  <c r="R1122" i="2"/>
  <c r="Q1122" i="2"/>
  <c r="P1122" i="2"/>
  <c r="U1121" i="2"/>
  <c r="S1121" i="2"/>
  <c r="R1121" i="2"/>
  <c r="Q1121" i="2"/>
  <c r="P1121" i="2"/>
  <c r="U1120" i="2"/>
  <c r="S1120" i="2"/>
  <c r="V1120" i="2" s="1" a="1"/>
  <c r="V1120" i="2" s="1"/>
  <c r="R1120" i="2"/>
  <c r="Q1120" i="2"/>
  <c r="P1120" i="2"/>
  <c r="V1119" i="2"/>
  <c r="V1119" i="2" a="1"/>
  <c r="U1119" i="2"/>
  <c r="S1119" i="2"/>
  <c r="R1119" i="2"/>
  <c r="Q1119" i="2"/>
  <c r="P1119" i="2"/>
  <c r="U1118" i="2"/>
  <c r="S1118" i="2"/>
  <c r="R1118" i="2"/>
  <c r="Q1118" i="2"/>
  <c r="P1118" i="2"/>
  <c r="V1117" i="2" a="1"/>
  <c r="V1117" i="2" s="1"/>
  <c r="U1117" i="2"/>
  <c r="S1117" i="2"/>
  <c r="R1117" i="2"/>
  <c r="Q1117" i="2"/>
  <c r="P1117" i="2"/>
  <c r="V1116" i="2"/>
  <c r="V1116" i="2" a="1"/>
  <c r="U1116" i="2"/>
  <c r="S1116" i="2"/>
  <c r="R1116" i="2"/>
  <c r="Q1116" i="2"/>
  <c r="P1116" i="2"/>
  <c r="V1115" i="2"/>
  <c r="U1115" i="2"/>
  <c r="S1115" i="2"/>
  <c r="V1115" i="2" s="1" a="1"/>
  <c r="R1115" i="2"/>
  <c r="Q1115" i="2"/>
  <c r="P1115" i="2"/>
  <c r="V1114" i="2" a="1"/>
  <c r="V1114" i="2" s="1"/>
  <c r="U1114" i="2"/>
  <c r="S1114" i="2"/>
  <c r="R1114" i="2"/>
  <c r="Q1114" i="2"/>
  <c r="P1114" i="2"/>
  <c r="U1113" i="2"/>
  <c r="S1113" i="2"/>
  <c r="R1113" i="2"/>
  <c r="Q1113" i="2"/>
  <c r="P1113" i="2"/>
  <c r="U1112" i="2"/>
  <c r="S1112" i="2"/>
  <c r="V1112" i="2" s="1" a="1"/>
  <c r="V1112" i="2" s="1"/>
  <c r="R1112" i="2"/>
  <c r="Q1112" i="2"/>
  <c r="P1112" i="2"/>
  <c r="V1111" i="2"/>
  <c r="V1111" i="2" a="1"/>
  <c r="U1111" i="2"/>
  <c r="S1111" i="2"/>
  <c r="R1111" i="2"/>
  <c r="Q1111" i="2"/>
  <c r="P1111" i="2"/>
  <c r="U1110" i="2"/>
  <c r="S1110" i="2"/>
  <c r="R1110" i="2"/>
  <c r="Q1110" i="2"/>
  <c r="P1110" i="2"/>
  <c r="V1109" i="2" a="1"/>
  <c r="V1109" i="2" s="1"/>
  <c r="U1109" i="2"/>
  <c r="S1109" i="2"/>
  <c r="R1109" i="2"/>
  <c r="Q1109" i="2"/>
  <c r="P1109" i="2"/>
  <c r="U1108" i="2"/>
  <c r="S1108" i="2"/>
  <c r="R1108" i="2"/>
  <c r="Q1108" i="2"/>
  <c r="P1108" i="2"/>
  <c r="U1107" i="2"/>
  <c r="S1107" i="2"/>
  <c r="V1107" i="2" s="1" a="1"/>
  <c r="V1107" i="2" s="1"/>
  <c r="R1107" i="2"/>
  <c r="Q1107" i="2"/>
  <c r="P1107" i="2"/>
  <c r="V1106" i="2" a="1"/>
  <c r="V1106" i="2" s="1"/>
  <c r="U1106" i="2"/>
  <c r="S1106" i="2"/>
  <c r="R1106" i="2"/>
  <c r="Q1106" i="2"/>
  <c r="P1106" i="2"/>
  <c r="U1105" i="2"/>
  <c r="S1105" i="2"/>
  <c r="R1105" i="2"/>
  <c r="Q1105" i="2"/>
  <c r="P1105" i="2"/>
  <c r="U1104" i="2"/>
  <c r="S1104" i="2"/>
  <c r="V1104" i="2" s="1" a="1"/>
  <c r="V1104" i="2" s="1"/>
  <c r="R1104" i="2"/>
  <c r="Q1104" i="2"/>
  <c r="P1104" i="2"/>
  <c r="V1103" i="2"/>
  <c r="V1103" i="2" a="1"/>
  <c r="U1103" i="2"/>
  <c r="S1103" i="2"/>
  <c r="R1103" i="2"/>
  <c r="Q1103" i="2"/>
  <c r="P1103" i="2"/>
  <c r="U1102" i="2"/>
  <c r="S1102" i="2"/>
  <c r="R1102" i="2"/>
  <c r="Q1102" i="2"/>
  <c r="P1102" i="2"/>
  <c r="V1101" i="2" a="1"/>
  <c r="V1101" i="2" s="1"/>
  <c r="U1101" i="2"/>
  <c r="S1101" i="2"/>
  <c r="R1101" i="2"/>
  <c r="Q1101" i="2"/>
  <c r="P1101" i="2"/>
  <c r="V1100" i="2"/>
  <c r="V1100" i="2" a="1"/>
  <c r="U1100" i="2"/>
  <c r="S1100" i="2"/>
  <c r="R1100" i="2"/>
  <c r="Q1100" i="2"/>
  <c r="P1100" i="2"/>
  <c r="V1099" i="2"/>
  <c r="U1099" i="2"/>
  <c r="S1099" i="2"/>
  <c r="V1099" i="2" s="1" a="1"/>
  <c r="R1099" i="2"/>
  <c r="Q1099" i="2"/>
  <c r="P1099" i="2"/>
  <c r="V1098" i="2" a="1"/>
  <c r="V1098" i="2" s="1"/>
  <c r="U1098" i="2"/>
  <c r="S1098" i="2"/>
  <c r="R1098" i="2"/>
  <c r="Q1098" i="2"/>
  <c r="P1098" i="2"/>
  <c r="U1097" i="2"/>
  <c r="S1097" i="2"/>
  <c r="R1097" i="2"/>
  <c r="Q1097" i="2"/>
  <c r="P1097" i="2"/>
  <c r="U1096" i="2"/>
  <c r="S1096" i="2"/>
  <c r="V1096" i="2" s="1" a="1"/>
  <c r="V1096" i="2" s="1"/>
  <c r="R1096" i="2"/>
  <c r="Q1096" i="2"/>
  <c r="P1096" i="2"/>
  <c r="V1095" i="2"/>
  <c r="V1095" i="2" a="1"/>
  <c r="U1095" i="2"/>
  <c r="S1095" i="2"/>
  <c r="R1095" i="2"/>
  <c r="Q1095" i="2"/>
  <c r="P1095" i="2"/>
  <c r="U1094" i="2"/>
  <c r="S1094" i="2"/>
  <c r="R1094" i="2"/>
  <c r="Q1094" i="2"/>
  <c r="P1094" i="2"/>
  <c r="V1093" i="2" a="1"/>
  <c r="V1093" i="2" s="1"/>
  <c r="U1093" i="2"/>
  <c r="S1093" i="2"/>
  <c r="R1093" i="2"/>
  <c r="Q1093" i="2"/>
  <c r="P1093" i="2"/>
  <c r="U1092" i="2"/>
  <c r="S1092" i="2"/>
  <c r="R1092" i="2"/>
  <c r="Q1092" i="2"/>
  <c r="P1092" i="2"/>
  <c r="U1091" i="2"/>
  <c r="S1091" i="2"/>
  <c r="R1091" i="2"/>
  <c r="Q1091" i="2"/>
  <c r="P1091" i="2"/>
  <c r="V1090" i="2" a="1"/>
  <c r="V1090" i="2" s="1"/>
  <c r="U1090" i="2"/>
  <c r="S1090" i="2"/>
  <c r="R1090" i="2"/>
  <c r="Q1090" i="2"/>
  <c r="P1090" i="2"/>
  <c r="U1089" i="2"/>
  <c r="S1089" i="2"/>
  <c r="R1089" i="2"/>
  <c r="Q1089" i="2"/>
  <c r="P1089" i="2"/>
  <c r="U1088" i="2"/>
  <c r="S1088" i="2"/>
  <c r="V1088" i="2" s="1" a="1"/>
  <c r="V1088" i="2" s="1"/>
  <c r="R1088" i="2"/>
  <c r="Q1088" i="2"/>
  <c r="P1088" i="2"/>
  <c r="U1087" i="2"/>
  <c r="S1087" i="2"/>
  <c r="R1087" i="2"/>
  <c r="Q1087" i="2"/>
  <c r="P1087" i="2"/>
  <c r="U1086" i="2"/>
  <c r="S1086" i="2"/>
  <c r="R1086" i="2"/>
  <c r="Q1086" i="2"/>
  <c r="P1086" i="2"/>
  <c r="V1085" i="2" a="1"/>
  <c r="V1085" i="2" s="1"/>
  <c r="U1085" i="2"/>
  <c r="S1085" i="2"/>
  <c r="R1085" i="2"/>
  <c r="Q1085" i="2"/>
  <c r="P1085" i="2"/>
  <c r="U1084" i="2"/>
  <c r="S1084" i="2"/>
  <c r="R1084" i="2"/>
  <c r="Q1084" i="2"/>
  <c r="P1084" i="2"/>
  <c r="U1083" i="2"/>
  <c r="S1083" i="2"/>
  <c r="R1083" i="2"/>
  <c r="Q1083" i="2"/>
  <c r="P1083" i="2"/>
  <c r="V1082" i="2" a="1"/>
  <c r="V1082" i="2" s="1"/>
  <c r="U1082" i="2"/>
  <c r="S1082" i="2"/>
  <c r="R1082" i="2"/>
  <c r="Q1082" i="2"/>
  <c r="P1082" i="2"/>
  <c r="U1081" i="2"/>
  <c r="S1081" i="2"/>
  <c r="R1081" i="2"/>
  <c r="Q1081" i="2"/>
  <c r="P1081" i="2"/>
  <c r="U1080" i="2"/>
  <c r="S1080" i="2"/>
  <c r="V1080" i="2" s="1" a="1"/>
  <c r="V1080" i="2" s="1"/>
  <c r="R1080" i="2"/>
  <c r="Q1080" i="2"/>
  <c r="P1080" i="2"/>
  <c r="U1079" i="2"/>
  <c r="S1079" i="2"/>
  <c r="R1079" i="2"/>
  <c r="Q1079" i="2"/>
  <c r="P1079" i="2"/>
  <c r="U1078" i="2"/>
  <c r="S1078" i="2"/>
  <c r="R1078" i="2"/>
  <c r="Q1078" i="2"/>
  <c r="P1078" i="2"/>
  <c r="V1077" i="2" a="1"/>
  <c r="V1077" i="2" s="1"/>
  <c r="U1077" i="2"/>
  <c r="S1077" i="2"/>
  <c r="R1077" i="2"/>
  <c r="Q1077" i="2"/>
  <c r="P1077" i="2"/>
  <c r="U1076" i="2"/>
  <c r="S1076" i="2"/>
  <c r="R1076" i="2"/>
  <c r="Q1076" i="2"/>
  <c r="P1076" i="2"/>
  <c r="U1075" i="2"/>
  <c r="S1075" i="2"/>
  <c r="R1075" i="2"/>
  <c r="Q1075" i="2"/>
  <c r="P1075" i="2"/>
  <c r="V1074" i="2" a="1"/>
  <c r="V1074" i="2" s="1"/>
  <c r="U1074" i="2"/>
  <c r="S1074" i="2"/>
  <c r="R1074" i="2"/>
  <c r="Q1074" i="2"/>
  <c r="P1074" i="2"/>
  <c r="U1073" i="2"/>
  <c r="S1073" i="2"/>
  <c r="R1073" i="2"/>
  <c r="Q1073" i="2"/>
  <c r="P1073" i="2"/>
  <c r="U1072" i="2"/>
  <c r="S1072" i="2"/>
  <c r="V1072" i="2" s="1" a="1"/>
  <c r="V1072" i="2" s="1"/>
  <c r="R1072" i="2"/>
  <c r="Q1072" i="2"/>
  <c r="P1072" i="2"/>
  <c r="U1071" i="2"/>
  <c r="S1071" i="2"/>
  <c r="R1071" i="2"/>
  <c r="Q1071" i="2"/>
  <c r="P1071" i="2"/>
  <c r="U1070" i="2"/>
  <c r="S1070" i="2"/>
  <c r="R1070" i="2"/>
  <c r="Q1070" i="2"/>
  <c r="P1070" i="2"/>
  <c r="V1069" i="2" a="1"/>
  <c r="V1069" i="2" s="1"/>
  <c r="U1069" i="2"/>
  <c r="S1069" i="2"/>
  <c r="R1069" i="2"/>
  <c r="Q1069" i="2"/>
  <c r="P1069" i="2"/>
  <c r="U1068" i="2"/>
  <c r="S1068" i="2"/>
  <c r="R1068" i="2"/>
  <c r="Q1068" i="2"/>
  <c r="P1068" i="2"/>
  <c r="U1067" i="2"/>
  <c r="S1067" i="2"/>
  <c r="R1067" i="2"/>
  <c r="Q1067" i="2"/>
  <c r="P1067" i="2"/>
  <c r="V1066" i="2" a="1"/>
  <c r="V1066" i="2" s="1"/>
  <c r="U1066" i="2"/>
  <c r="S1066" i="2"/>
  <c r="R1066" i="2"/>
  <c r="Q1066" i="2"/>
  <c r="P1066" i="2"/>
  <c r="U1065" i="2"/>
  <c r="S1065" i="2"/>
  <c r="R1065" i="2"/>
  <c r="Q1065" i="2"/>
  <c r="P1065" i="2"/>
  <c r="U1064" i="2"/>
  <c r="S1064" i="2"/>
  <c r="V1064" i="2" s="1" a="1"/>
  <c r="V1064" i="2" s="1"/>
  <c r="R1064" i="2"/>
  <c r="Q1064" i="2"/>
  <c r="P1064" i="2"/>
  <c r="U1063" i="2"/>
  <c r="S1063" i="2"/>
  <c r="R1063" i="2"/>
  <c r="Q1063" i="2"/>
  <c r="P1063" i="2"/>
  <c r="U1062" i="2"/>
  <c r="S1062" i="2"/>
  <c r="R1062" i="2"/>
  <c r="Q1062" i="2"/>
  <c r="P1062" i="2"/>
  <c r="V1061" i="2" a="1"/>
  <c r="V1061" i="2" s="1"/>
  <c r="U1061" i="2"/>
  <c r="S1061" i="2"/>
  <c r="R1061" i="2"/>
  <c r="Q1061" i="2"/>
  <c r="P1061" i="2"/>
  <c r="U1060" i="2"/>
  <c r="S1060" i="2"/>
  <c r="R1060" i="2"/>
  <c r="Q1060" i="2"/>
  <c r="P1060" i="2"/>
  <c r="U1059" i="2"/>
  <c r="S1059" i="2"/>
  <c r="R1059" i="2"/>
  <c r="Q1059" i="2"/>
  <c r="P1059" i="2"/>
  <c r="V1058" i="2" a="1"/>
  <c r="V1058" i="2" s="1"/>
  <c r="U1058" i="2"/>
  <c r="S1058" i="2"/>
  <c r="R1058" i="2"/>
  <c r="Q1058" i="2"/>
  <c r="P1058" i="2"/>
  <c r="U1057" i="2"/>
  <c r="S1057" i="2"/>
  <c r="R1057" i="2"/>
  <c r="Q1057" i="2"/>
  <c r="P1057" i="2"/>
  <c r="U1056" i="2"/>
  <c r="S1056" i="2"/>
  <c r="V1056" i="2" s="1" a="1"/>
  <c r="V1056" i="2" s="1"/>
  <c r="R1056" i="2"/>
  <c r="Q1056" i="2"/>
  <c r="P1056" i="2"/>
  <c r="U1055" i="2"/>
  <c r="S1055" i="2"/>
  <c r="R1055" i="2"/>
  <c r="Q1055" i="2"/>
  <c r="P1055" i="2"/>
  <c r="U1054" i="2"/>
  <c r="S1054" i="2"/>
  <c r="R1054" i="2"/>
  <c r="Q1054" i="2"/>
  <c r="P1054" i="2"/>
  <c r="V1053" i="2" a="1"/>
  <c r="V1053" i="2" s="1"/>
  <c r="U1053" i="2"/>
  <c r="S1053" i="2"/>
  <c r="R1053" i="2"/>
  <c r="Q1053" i="2"/>
  <c r="P1053" i="2"/>
  <c r="U1052" i="2"/>
  <c r="S1052" i="2"/>
  <c r="R1052" i="2"/>
  <c r="Q1052" i="2"/>
  <c r="P1052" i="2"/>
  <c r="U1051" i="2"/>
  <c r="S1051" i="2"/>
  <c r="R1051" i="2"/>
  <c r="Q1051" i="2"/>
  <c r="P1051" i="2"/>
  <c r="V1050" i="2" a="1"/>
  <c r="V1050" i="2" s="1"/>
  <c r="U1050" i="2"/>
  <c r="S1050" i="2"/>
  <c r="R1050" i="2"/>
  <c r="Q1050" i="2"/>
  <c r="P1050" i="2"/>
  <c r="U1049" i="2"/>
  <c r="S1049" i="2"/>
  <c r="R1049" i="2"/>
  <c r="Q1049" i="2"/>
  <c r="P1049" i="2"/>
  <c r="U1048" i="2"/>
  <c r="S1048" i="2"/>
  <c r="V1048" i="2" s="1" a="1"/>
  <c r="V1048" i="2" s="1"/>
  <c r="R1048" i="2"/>
  <c r="Q1048" i="2"/>
  <c r="P1048" i="2"/>
  <c r="U1047" i="2"/>
  <c r="S1047" i="2"/>
  <c r="R1047" i="2"/>
  <c r="Q1047" i="2"/>
  <c r="P1047" i="2"/>
  <c r="U1046" i="2"/>
  <c r="S1046" i="2"/>
  <c r="R1046" i="2"/>
  <c r="Q1046" i="2"/>
  <c r="P1046" i="2"/>
  <c r="V1045" i="2" a="1"/>
  <c r="V1045" i="2" s="1"/>
  <c r="U1045" i="2"/>
  <c r="S1045" i="2"/>
  <c r="R1045" i="2"/>
  <c r="Q1045" i="2"/>
  <c r="P1045" i="2"/>
  <c r="U1044" i="2"/>
  <c r="S1044" i="2"/>
  <c r="R1044" i="2"/>
  <c r="Q1044" i="2"/>
  <c r="P1044" i="2"/>
  <c r="U1043" i="2"/>
  <c r="S1043" i="2"/>
  <c r="R1043" i="2"/>
  <c r="Q1043" i="2"/>
  <c r="P1043" i="2"/>
  <c r="V1042" i="2" a="1"/>
  <c r="V1042" i="2" s="1"/>
  <c r="U1042" i="2"/>
  <c r="S1042" i="2"/>
  <c r="R1042" i="2"/>
  <c r="Q1042" i="2"/>
  <c r="P1042" i="2"/>
  <c r="U1041" i="2"/>
  <c r="S1041" i="2"/>
  <c r="R1041" i="2"/>
  <c r="Q1041" i="2"/>
  <c r="P1041" i="2"/>
  <c r="U1040" i="2"/>
  <c r="S1040" i="2"/>
  <c r="V1040" i="2" s="1" a="1"/>
  <c r="V1040" i="2" s="1"/>
  <c r="R1040" i="2"/>
  <c r="Q1040" i="2"/>
  <c r="P1040" i="2"/>
  <c r="U1039" i="2"/>
  <c r="S1039" i="2"/>
  <c r="R1039" i="2"/>
  <c r="Q1039" i="2"/>
  <c r="P1039" i="2"/>
  <c r="U1038" i="2"/>
  <c r="S1038" i="2"/>
  <c r="R1038" i="2"/>
  <c r="Q1038" i="2"/>
  <c r="P1038" i="2"/>
  <c r="V1037" i="2" a="1"/>
  <c r="V1037" i="2" s="1"/>
  <c r="U1037" i="2"/>
  <c r="S1037" i="2"/>
  <c r="R1037" i="2"/>
  <c r="Q1037" i="2"/>
  <c r="P1037" i="2"/>
  <c r="U1036" i="2"/>
  <c r="S1036" i="2"/>
  <c r="R1036" i="2"/>
  <c r="Q1036" i="2"/>
  <c r="P1036" i="2"/>
  <c r="U1035" i="2"/>
  <c r="S1035" i="2"/>
  <c r="R1035" i="2"/>
  <c r="Q1035" i="2"/>
  <c r="P1035" i="2"/>
  <c r="V1034" i="2" a="1"/>
  <c r="V1034" i="2" s="1"/>
  <c r="U1034" i="2"/>
  <c r="S1034" i="2"/>
  <c r="R1034" i="2"/>
  <c r="Q1034" i="2"/>
  <c r="P1034" i="2"/>
  <c r="U1033" i="2"/>
  <c r="S1033" i="2"/>
  <c r="R1033" i="2"/>
  <c r="Q1033" i="2"/>
  <c r="P1033" i="2"/>
  <c r="U1032" i="2"/>
  <c r="S1032" i="2"/>
  <c r="V1032" i="2" s="1" a="1"/>
  <c r="V1032" i="2" s="1"/>
  <c r="R1032" i="2"/>
  <c r="Q1032" i="2"/>
  <c r="P1032" i="2"/>
  <c r="U1031" i="2"/>
  <c r="S1031" i="2"/>
  <c r="R1031" i="2"/>
  <c r="Q1031" i="2"/>
  <c r="P1031" i="2"/>
  <c r="U1030" i="2"/>
  <c r="S1030" i="2"/>
  <c r="R1030" i="2"/>
  <c r="Q1030" i="2"/>
  <c r="P1030" i="2"/>
  <c r="V1029" i="2" a="1"/>
  <c r="V1029" i="2" s="1"/>
  <c r="U1029" i="2"/>
  <c r="S1029" i="2"/>
  <c r="R1029" i="2"/>
  <c r="Q1029" i="2"/>
  <c r="P1029" i="2"/>
  <c r="U1028" i="2"/>
  <c r="S1028" i="2"/>
  <c r="R1028" i="2"/>
  <c r="Q1028" i="2"/>
  <c r="P1028" i="2"/>
  <c r="U1027" i="2"/>
  <c r="S1027" i="2"/>
  <c r="R1027" i="2"/>
  <c r="Q1027" i="2"/>
  <c r="P1027" i="2"/>
  <c r="V1026" i="2" a="1"/>
  <c r="V1026" i="2" s="1"/>
  <c r="U1026" i="2"/>
  <c r="S1026" i="2"/>
  <c r="R1026" i="2"/>
  <c r="Q1026" i="2"/>
  <c r="P1026" i="2"/>
  <c r="U1025" i="2"/>
  <c r="S1025" i="2"/>
  <c r="R1025" i="2"/>
  <c r="Q1025" i="2"/>
  <c r="P1025" i="2"/>
  <c r="U1024" i="2"/>
  <c r="S1024" i="2"/>
  <c r="V1024" i="2" s="1" a="1"/>
  <c r="V1024" i="2" s="1"/>
  <c r="R1024" i="2"/>
  <c r="Q1024" i="2"/>
  <c r="P1024" i="2"/>
  <c r="U1023" i="2"/>
  <c r="S1023" i="2"/>
  <c r="R1023" i="2"/>
  <c r="Q1023" i="2"/>
  <c r="P1023" i="2"/>
  <c r="U1022" i="2"/>
  <c r="S1022" i="2"/>
  <c r="R1022" i="2"/>
  <c r="Q1022" i="2"/>
  <c r="P1022" i="2"/>
  <c r="V1021" i="2" a="1"/>
  <c r="V1021" i="2" s="1"/>
  <c r="U1021" i="2"/>
  <c r="S1021" i="2"/>
  <c r="R1021" i="2"/>
  <c r="Q1021" i="2"/>
  <c r="P1021" i="2"/>
  <c r="U1020" i="2"/>
  <c r="S1020" i="2"/>
  <c r="R1020" i="2"/>
  <c r="Q1020" i="2"/>
  <c r="P1020" i="2"/>
  <c r="U1019" i="2"/>
  <c r="S1019" i="2"/>
  <c r="R1019" i="2"/>
  <c r="Q1019" i="2"/>
  <c r="P1019" i="2"/>
  <c r="V1018" i="2" a="1"/>
  <c r="V1018" i="2" s="1"/>
  <c r="U1018" i="2"/>
  <c r="S1018" i="2"/>
  <c r="R1018" i="2"/>
  <c r="Q1018" i="2"/>
  <c r="P1018" i="2"/>
  <c r="U1017" i="2"/>
  <c r="S1017" i="2"/>
  <c r="R1017" i="2"/>
  <c r="Q1017" i="2"/>
  <c r="P1017" i="2"/>
  <c r="U1016" i="2"/>
  <c r="S1016" i="2"/>
  <c r="V1016" i="2" s="1" a="1"/>
  <c r="V1016" i="2" s="1"/>
  <c r="R1016" i="2"/>
  <c r="Q1016" i="2"/>
  <c r="P1016" i="2"/>
  <c r="U1015" i="2"/>
  <c r="S1015" i="2"/>
  <c r="R1015" i="2"/>
  <c r="Q1015" i="2"/>
  <c r="P1015" i="2"/>
  <c r="U1014" i="2"/>
  <c r="S1014" i="2"/>
  <c r="R1014" i="2"/>
  <c r="Q1014" i="2"/>
  <c r="P1014" i="2"/>
  <c r="V1013" i="2" a="1"/>
  <c r="V1013" i="2" s="1"/>
  <c r="U1013" i="2"/>
  <c r="S1013" i="2"/>
  <c r="R1013" i="2"/>
  <c r="Q1013" i="2"/>
  <c r="P1013" i="2"/>
  <c r="U1012" i="2"/>
  <c r="S1012" i="2"/>
  <c r="R1012" i="2"/>
  <c r="Q1012" i="2"/>
  <c r="P1012" i="2"/>
  <c r="U1011" i="2"/>
  <c r="S1011" i="2"/>
  <c r="R1011" i="2"/>
  <c r="Q1011" i="2"/>
  <c r="P1011" i="2"/>
  <c r="V1010" i="2" a="1"/>
  <c r="V1010" i="2" s="1"/>
  <c r="U1010" i="2"/>
  <c r="S1010" i="2"/>
  <c r="R1010" i="2"/>
  <c r="Q1010" i="2"/>
  <c r="P1010" i="2"/>
  <c r="U1009" i="2"/>
  <c r="S1009" i="2"/>
  <c r="R1009" i="2"/>
  <c r="Q1009" i="2"/>
  <c r="P1009" i="2"/>
  <c r="U1008" i="2"/>
  <c r="S1008" i="2"/>
  <c r="V1008" i="2" s="1" a="1"/>
  <c r="V1008" i="2" s="1"/>
  <c r="R1008" i="2"/>
  <c r="Q1008" i="2"/>
  <c r="P1008" i="2"/>
  <c r="U1007" i="2"/>
  <c r="S1007" i="2"/>
  <c r="R1007" i="2"/>
  <c r="Q1007" i="2"/>
  <c r="P1007" i="2"/>
  <c r="U1006" i="2"/>
  <c r="S1006" i="2"/>
  <c r="R1006" i="2"/>
  <c r="Q1006" i="2"/>
  <c r="P1006" i="2"/>
  <c r="V1005" i="2" a="1"/>
  <c r="V1005" i="2" s="1"/>
  <c r="U1005" i="2"/>
  <c r="S1005" i="2"/>
  <c r="R1005" i="2"/>
  <c r="Q1005" i="2"/>
  <c r="P1005" i="2"/>
  <c r="U1004" i="2"/>
  <c r="S1004" i="2"/>
  <c r="R1004" i="2"/>
  <c r="Q1004" i="2"/>
  <c r="P1004" i="2"/>
  <c r="U1003" i="2"/>
  <c r="S1003" i="2"/>
  <c r="R1003" i="2"/>
  <c r="Q1003" i="2"/>
  <c r="P1003" i="2"/>
  <c r="V1002" i="2" a="1"/>
  <c r="V1002" i="2" s="1"/>
  <c r="U1002" i="2"/>
  <c r="S1002" i="2"/>
  <c r="R1002" i="2"/>
  <c r="Q1002" i="2"/>
  <c r="P1002" i="2"/>
  <c r="U1001" i="2"/>
  <c r="S1001" i="2"/>
  <c r="R1001" i="2"/>
  <c r="Q1001" i="2"/>
  <c r="P1001" i="2"/>
  <c r="U1000" i="2"/>
  <c r="S1000" i="2"/>
  <c r="V1000" i="2" s="1" a="1"/>
  <c r="V1000" i="2" s="1"/>
  <c r="R1000" i="2"/>
  <c r="Q1000" i="2"/>
  <c r="P1000" i="2"/>
  <c r="U999" i="2"/>
  <c r="S999" i="2"/>
  <c r="R999" i="2"/>
  <c r="Q999" i="2"/>
  <c r="P999" i="2"/>
  <c r="U998" i="2"/>
  <c r="S998" i="2"/>
  <c r="R998" i="2"/>
  <c r="Q998" i="2"/>
  <c r="P998" i="2"/>
  <c r="V997" i="2" a="1"/>
  <c r="V997" i="2" s="1"/>
  <c r="U997" i="2"/>
  <c r="S997" i="2"/>
  <c r="R997" i="2"/>
  <c r="Q997" i="2"/>
  <c r="P997" i="2"/>
  <c r="U996" i="2"/>
  <c r="S996" i="2"/>
  <c r="R996" i="2"/>
  <c r="Q996" i="2"/>
  <c r="P996" i="2"/>
  <c r="U995" i="2"/>
  <c r="S995" i="2"/>
  <c r="R995" i="2"/>
  <c r="Q995" i="2"/>
  <c r="P995" i="2"/>
  <c r="V994" i="2" a="1"/>
  <c r="V994" i="2" s="1"/>
  <c r="U994" i="2"/>
  <c r="S994" i="2"/>
  <c r="R994" i="2"/>
  <c r="Q994" i="2"/>
  <c r="P994" i="2"/>
  <c r="U993" i="2"/>
  <c r="S993" i="2"/>
  <c r="R993" i="2"/>
  <c r="Q993" i="2"/>
  <c r="P993" i="2"/>
  <c r="U992" i="2"/>
  <c r="S992" i="2"/>
  <c r="V992" i="2" s="1" a="1"/>
  <c r="V992" i="2" s="1"/>
  <c r="R992" i="2"/>
  <c r="Q992" i="2"/>
  <c r="P992" i="2"/>
  <c r="U991" i="2"/>
  <c r="S991" i="2"/>
  <c r="R991" i="2"/>
  <c r="Q991" i="2"/>
  <c r="P991" i="2"/>
  <c r="U990" i="2"/>
  <c r="S990" i="2"/>
  <c r="R990" i="2"/>
  <c r="Q990" i="2"/>
  <c r="P990" i="2"/>
  <c r="V989" i="2" a="1"/>
  <c r="V989" i="2" s="1"/>
  <c r="U989" i="2"/>
  <c r="S989" i="2"/>
  <c r="R989" i="2"/>
  <c r="Q989" i="2"/>
  <c r="P989" i="2"/>
  <c r="U988" i="2"/>
  <c r="S988" i="2"/>
  <c r="R988" i="2"/>
  <c r="Q988" i="2"/>
  <c r="P988" i="2"/>
  <c r="U987" i="2"/>
  <c r="S987" i="2"/>
  <c r="R987" i="2"/>
  <c r="Q987" i="2"/>
  <c r="P987" i="2"/>
  <c r="V986" i="2" a="1"/>
  <c r="V986" i="2" s="1"/>
  <c r="U986" i="2"/>
  <c r="S986" i="2"/>
  <c r="R986" i="2"/>
  <c r="Q986" i="2"/>
  <c r="P986" i="2"/>
  <c r="U985" i="2"/>
  <c r="S985" i="2"/>
  <c r="R985" i="2"/>
  <c r="Q985" i="2"/>
  <c r="P985" i="2"/>
  <c r="U984" i="2"/>
  <c r="S984" i="2"/>
  <c r="V984" i="2" s="1" a="1"/>
  <c r="V984" i="2" s="1"/>
  <c r="R984" i="2"/>
  <c r="Q984" i="2"/>
  <c r="P984" i="2"/>
  <c r="U983" i="2"/>
  <c r="S983" i="2"/>
  <c r="R983" i="2"/>
  <c r="Q983" i="2"/>
  <c r="P983" i="2"/>
  <c r="U982" i="2"/>
  <c r="S982" i="2"/>
  <c r="R982" i="2"/>
  <c r="Q982" i="2"/>
  <c r="P982" i="2"/>
  <c r="U981" i="2"/>
  <c r="S981" i="2"/>
  <c r="R981" i="2"/>
  <c r="Q981" i="2"/>
  <c r="P981" i="2"/>
  <c r="U980" i="2"/>
  <c r="S980" i="2"/>
  <c r="V980" i="2" s="1" a="1"/>
  <c r="V980" i="2" s="1"/>
  <c r="R980" i="2"/>
  <c r="Q980" i="2"/>
  <c r="P980" i="2"/>
  <c r="U979" i="2"/>
  <c r="S979" i="2"/>
  <c r="V979" i="2" s="1" a="1"/>
  <c r="V979" i="2" s="1"/>
  <c r="R979" i="2"/>
  <c r="Q979" i="2"/>
  <c r="P979" i="2"/>
  <c r="U978" i="2"/>
  <c r="S978" i="2"/>
  <c r="R978" i="2"/>
  <c r="Q978" i="2"/>
  <c r="P978" i="2"/>
  <c r="V977" i="2" a="1"/>
  <c r="V977" i="2" s="1"/>
  <c r="U977" i="2"/>
  <c r="S977" i="2"/>
  <c r="R977" i="2"/>
  <c r="Q977" i="2"/>
  <c r="P977" i="2"/>
  <c r="V976" i="2"/>
  <c r="V976" i="2" a="1"/>
  <c r="U976" i="2"/>
  <c r="S976" i="2"/>
  <c r="R976" i="2"/>
  <c r="Q976" i="2"/>
  <c r="P976" i="2"/>
  <c r="V975" i="2"/>
  <c r="V975" i="2" a="1"/>
  <c r="U975" i="2"/>
  <c r="S975" i="2"/>
  <c r="R975" i="2"/>
  <c r="Q975" i="2"/>
  <c r="P975" i="2"/>
  <c r="V974" i="2" a="1"/>
  <c r="V974" i="2" s="1"/>
  <c r="U974" i="2"/>
  <c r="S974" i="2"/>
  <c r="R974" i="2"/>
  <c r="Q974" i="2"/>
  <c r="P974" i="2"/>
  <c r="U973" i="2"/>
  <c r="S973" i="2"/>
  <c r="R973" i="2"/>
  <c r="Q973" i="2"/>
  <c r="P973" i="2"/>
  <c r="U972" i="2"/>
  <c r="S972" i="2"/>
  <c r="V972" i="2" s="1" a="1"/>
  <c r="V972" i="2" s="1"/>
  <c r="R972" i="2"/>
  <c r="Q972" i="2"/>
  <c r="P972" i="2"/>
  <c r="U971" i="2"/>
  <c r="S971" i="2"/>
  <c r="V971" i="2" s="1" a="1"/>
  <c r="V971" i="2" s="1"/>
  <c r="R971" i="2"/>
  <c r="Q971" i="2"/>
  <c r="P971" i="2"/>
  <c r="U970" i="2"/>
  <c r="S970" i="2"/>
  <c r="R970" i="2"/>
  <c r="Q970" i="2"/>
  <c r="P970" i="2"/>
  <c r="V969" i="2" a="1"/>
  <c r="V969" i="2" s="1"/>
  <c r="U969" i="2"/>
  <c r="S969" i="2"/>
  <c r="R969" i="2"/>
  <c r="Q969" i="2"/>
  <c r="P969" i="2"/>
  <c r="V968" i="2"/>
  <c r="V968" i="2" a="1"/>
  <c r="U968" i="2"/>
  <c r="S968" i="2"/>
  <c r="R968" i="2"/>
  <c r="Q968" i="2"/>
  <c r="P968" i="2"/>
  <c r="V967" i="2"/>
  <c r="V967" i="2" a="1"/>
  <c r="U967" i="2"/>
  <c r="S967" i="2"/>
  <c r="R967" i="2"/>
  <c r="Q967" i="2"/>
  <c r="P967" i="2"/>
  <c r="V966" i="2" a="1"/>
  <c r="V966" i="2" s="1"/>
  <c r="U966" i="2"/>
  <c r="S966" i="2"/>
  <c r="R966" i="2"/>
  <c r="Q966" i="2"/>
  <c r="P966" i="2"/>
  <c r="U965" i="2"/>
  <c r="S965" i="2"/>
  <c r="R965" i="2"/>
  <c r="Q965" i="2"/>
  <c r="P965" i="2"/>
  <c r="U964" i="2"/>
  <c r="S964" i="2"/>
  <c r="V964" i="2" s="1" a="1"/>
  <c r="V964" i="2" s="1"/>
  <c r="R964" i="2"/>
  <c r="Q964" i="2"/>
  <c r="P964" i="2"/>
  <c r="U963" i="2"/>
  <c r="S963" i="2"/>
  <c r="V963" i="2" s="1" a="1"/>
  <c r="V963" i="2" s="1"/>
  <c r="R963" i="2"/>
  <c r="Q963" i="2"/>
  <c r="P963" i="2"/>
  <c r="U962" i="2"/>
  <c r="S962" i="2"/>
  <c r="R962" i="2"/>
  <c r="Q962" i="2"/>
  <c r="P962" i="2"/>
  <c r="V961" i="2" a="1"/>
  <c r="V961" i="2" s="1"/>
  <c r="U961" i="2"/>
  <c r="S961" i="2"/>
  <c r="R961" i="2"/>
  <c r="Q961" i="2"/>
  <c r="P961" i="2"/>
  <c r="V960" i="2"/>
  <c r="V960" i="2" a="1"/>
  <c r="U960" i="2"/>
  <c r="S960" i="2"/>
  <c r="R960" i="2"/>
  <c r="Q960" i="2"/>
  <c r="P960" i="2"/>
  <c r="V959" i="2"/>
  <c r="V959" i="2" a="1"/>
  <c r="U959" i="2"/>
  <c r="S959" i="2"/>
  <c r="R959" i="2"/>
  <c r="Q959" i="2"/>
  <c r="P959" i="2"/>
  <c r="V958" i="2" a="1"/>
  <c r="V958" i="2" s="1"/>
  <c r="U958" i="2"/>
  <c r="S958" i="2"/>
  <c r="R958" i="2"/>
  <c r="Q958" i="2"/>
  <c r="P958" i="2"/>
  <c r="U957" i="2"/>
  <c r="S957" i="2"/>
  <c r="R957" i="2"/>
  <c r="Q957" i="2"/>
  <c r="P957" i="2"/>
  <c r="U956" i="2"/>
  <c r="S956" i="2"/>
  <c r="V956" i="2" s="1" a="1"/>
  <c r="V956" i="2" s="1"/>
  <c r="R956" i="2"/>
  <c r="Q956" i="2"/>
  <c r="P956" i="2"/>
  <c r="U955" i="2"/>
  <c r="S955" i="2"/>
  <c r="V955" i="2" s="1" a="1"/>
  <c r="V955" i="2" s="1"/>
  <c r="R955" i="2"/>
  <c r="Q955" i="2"/>
  <c r="P955" i="2"/>
  <c r="U954" i="2"/>
  <c r="S954" i="2"/>
  <c r="R954" i="2"/>
  <c r="Q954" i="2"/>
  <c r="P954" i="2"/>
  <c r="V953" i="2" a="1"/>
  <c r="V953" i="2" s="1"/>
  <c r="U953" i="2"/>
  <c r="S953" i="2"/>
  <c r="R953" i="2"/>
  <c r="Q953" i="2"/>
  <c r="P953" i="2"/>
  <c r="V952" i="2"/>
  <c r="V952" i="2" a="1"/>
  <c r="U952" i="2"/>
  <c r="S952" i="2"/>
  <c r="R952" i="2"/>
  <c r="Q952" i="2"/>
  <c r="P952" i="2"/>
  <c r="V951" i="2"/>
  <c r="V951" i="2" a="1"/>
  <c r="U951" i="2"/>
  <c r="S951" i="2"/>
  <c r="R951" i="2"/>
  <c r="Q951" i="2"/>
  <c r="P951" i="2"/>
  <c r="V950" i="2" a="1"/>
  <c r="V950" i="2" s="1"/>
  <c r="U950" i="2"/>
  <c r="S950" i="2"/>
  <c r="R950" i="2"/>
  <c r="Q950" i="2"/>
  <c r="P950" i="2"/>
  <c r="U949" i="2"/>
  <c r="S949" i="2"/>
  <c r="R949" i="2"/>
  <c r="Q949" i="2"/>
  <c r="P949" i="2"/>
  <c r="U948" i="2"/>
  <c r="S948" i="2"/>
  <c r="V948" i="2" s="1" a="1"/>
  <c r="V948" i="2" s="1"/>
  <c r="R948" i="2"/>
  <c r="Q948" i="2"/>
  <c r="P948" i="2"/>
  <c r="U947" i="2"/>
  <c r="S947" i="2"/>
  <c r="V947" i="2" s="1" a="1"/>
  <c r="V947" i="2" s="1"/>
  <c r="R947" i="2"/>
  <c r="Q947" i="2"/>
  <c r="P947" i="2"/>
  <c r="U946" i="2"/>
  <c r="S946" i="2"/>
  <c r="R946" i="2"/>
  <c r="Q946" i="2"/>
  <c r="P946" i="2"/>
  <c r="V945" i="2" a="1"/>
  <c r="V945" i="2" s="1"/>
  <c r="U945" i="2"/>
  <c r="S945" i="2"/>
  <c r="R945" i="2"/>
  <c r="Q945" i="2"/>
  <c r="P945" i="2"/>
  <c r="V944" i="2"/>
  <c r="V944" i="2" a="1"/>
  <c r="U944" i="2"/>
  <c r="S944" i="2"/>
  <c r="R944" i="2"/>
  <c r="Q944" i="2"/>
  <c r="P944" i="2"/>
  <c r="V943" i="2"/>
  <c r="V943" i="2" a="1"/>
  <c r="U943" i="2"/>
  <c r="S943" i="2"/>
  <c r="R943" i="2"/>
  <c r="Q943" i="2"/>
  <c r="P943" i="2"/>
  <c r="V942" i="2" a="1"/>
  <c r="V942" i="2" s="1"/>
  <c r="U942" i="2"/>
  <c r="S942" i="2"/>
  <c r="R942" i="2"/>
  <c r="Q942" i="2"/>
  <c r="P942" i="2"/>
  <c r="U941" i="2"/>
  <c r="S941" i="2"/>
  <c r="R941" i="2"/>
  <c r="Q941" i="2"/>
  <c r="P941" i="2"/>
  <c r="U940" i="2"/>
  <c r="S940" i="2"/>
  <c r="V940" i="2" s="1" a="1"/>
  <c r="V940" i="2" s="1"/>
  <c r="R940" i="2"/>
  <c r="Q940" i="2"/>
  <c r="P940" i="2"/>
  <c r="U939" i="2"/>
  <c r="S939" i="2"/>
  <c r="V939" i="2" s="1" a="1"/>
  <c r="V939" i="2" s="1"/>
  <c r="R939" i="2"/>
  <c r="Q939" i="2"/>
  <c r="P939" i="2"/>
  <c r="U938" i="2"/>
  <c r="S938" i="2"/>
  <c r="R938" i="2"/>
  <c r="Q938" i="2"/>
  <c r="P938" i="2"/>
  <c r="V937" i="2" a="1"/>
  <c r="V937" i="2" s="1"/>
  <c r="U937" i="2"/>
  <c r="S937" i="2"/>
  <c r="R937" i="2"/>
  <c r="Q937" i="2"/>
  <c r="P937" i="2"/>
  <c r="V936" i="2"/>
  <c r="V936" i="2" a="1"/>
  <c r="U936" i="2"/>
  <c r="S936" i="2"/>
  <c r="R936" i="2"/>
  <c r="Q936" i="2"/>
  <c r="P936" i="2"/>
  <c r="V935" i="2"/>
  <c r="V935" i="2" a="1"/>
  <c r="U935" i="2"/>
  <c r="S935" i="2"/>
  <c r="R935" i="2"/>
  <c r="Q935" i="2"/>
  <c r="P935" i="2"/>
  <c r="V934" i="2" a="1"/>
  <c r="V934" i="2" s="1"/>
  <c r="U934" i="2"/>
  <c r="S934" i="2"/>
  <c r="R934" i="2"/>
  <c r="Q934" i="2"/>
  <c r="P934" i="2"/>
  <c r="U933" i="2"/>
  <c r="S933" i="2"/>
  <c r="R933" i="2"/>
  <c r="Q933" i="2"/>
  <c r="P933" i="2"/>
  <c r="U932" i="2"/>
  <c r="S932" i="2"/>
  <c r="V932" i="2" s="1" a="1"/>
  <c r="V932" i="2" s="1"/>
  <c r="R932" i="2"/>
  <c r="Q932" i="2"/>
  <c r="P932" i="2"/>
  <c r="U931" i="2"/>
  <c r="S931" i="2"/>
  <c r="V931" i="2" s="1" a="1"/>
  <c r="V931" i="2" s="1"/>
  <c r="R931" i="2"/>
  <c r="Q931" i="2"/>
  <c r="P931" i="2"/>
  <c r="U930" i="2"/>
  <c r="S930" i="2"/>
  <c r="R930" i="2"/>
  <c r="Q930" i="2"/>
  <c r="P930" i="2"/>
  <c r="V929" i="2" a="1"/>
  <c r="V929" i="2" s="1"/>
  <c r="U929" i="2"/>
  <c r="S929" i="2"/>
  <c r="R929" i="2"/>
  <c r="Q929" i="2"/>
  <c r="P929" i="2"/>
  <c r="V928" i="2"/>
  <c r="V928" i="2" a="1"/>
  <c r="U928" i="2"/>
  <c r="S928" i="2"/>
  <c r="R928" i="2"/>
  <c r="Q928" i="2"/>
  <c r="P928" i="2"/>
  <c r="V927" i="2"/>
  <c r="V927" i="2" a="1"/>
  <c r="U927" i="2"/>
  <c r="S927" i="2"/>
  <c r="R927" i="2"/>
  <c r="Q927" i="2"/>
  <c r="P927" i="2"/>
  <c r="V926" i="2" a="1"/>
  <c r="V926" i="2" s="1"/>
  <c r="U926" i="2"/>
  <c r="S926" i="2"/>
  <c r="R926" i="2"/>
  <c r="Q926" i="2"/>
  <c r="P926" i="2"/>
  <c r="U925" i="2"/>
  <c r="S925" i="2"/>
  <c r="R925" i="2"/>
  <c r="Q925" i="2"/>
  <c r="P925" i="2"/>
  <c r="U924" i="2"/>
  <c r="S924" i="2"/>
  <c r="V924" i="2" s="1" a="1"/>
  <c r="V924" i="2" s="1"/>
  <c r="R924" i="2"/>
  <c r="Q924" i="2"/>
  <c r="P924" i="2"/>
  <c r="U923" i="2"/>
  <c r="S923" i="2"/>
  <c r="V923" i="2" s="1" a="1"/>
  <c r="V923" i="2" s="1"/>
  <c r="R923" i="2"/>
  <c r="Q923" i="2"/>
  <c r="P923" i="2"/>
  <c r="U922" i="2"/>
  <c r="S922" i="2"/>
  <c r="R922" i="2"/>
  <c r="Q922" i="2"/>
  <c r="P922" i="2"/>
  <c r="V921" i="2" a="1"/>
  <c r="V921" i="2" s="1"/>
  <c r="U921" i="2"/>
  <c r="S921" i="2"/>
  <c r="R921" i="2"/>
  <c r="Q921" i="2"/>
  <c r="P921" i="2"/>
  <c r="V920" i="2"/>
  <c r="V920" i="2" a="1"/>
  <c r="U920" i="2"/>
  <c r="S920" i="2"/>
  <c r="R920" i="2"/>
  <c r="Q920" i="2"/>
  <c r="P920" i="2"/>
  <c r="V919" i="2"/>
  <c r="V919" i="2" a="1"/>
  <c r="U919" i="2"/>
  <c r="S919" i="2"/>
  <c r="R919" i="2"/>
  <c r="Q919" i="2"/>
  <c r="P919" i="2"/>
  <c r="V918" i="2" a="1"/>
  <c r="V918" i="2" s="1"/>
  <c r="U918" i="2"/>
  <c r="S918" i="2"/>
  <c r="R918" i="2"/>
  <c r="Q918" i="2"/>
  <c r="P918" i="2"/>
  <c r="U917" i="2"/>
  <c r="S917" i="2"/>
  <c r="R917" i="2"/>
  <c r="Q917" i="2"/>
  <c r="P917" i="2"/>
  <c r="U916" i="2"/>
  <c r="S916" i="2"/>
  <c r="V916" i="2" s="1" a="1"/>
  <c r="V916" i="2" s="1"/>
  <c r="R916" i="2"/>
  <c r="Q916" i="2"/>
  <c r="P916" i="2"/>
  <c r="U915" i="2"/>
  <c r="S915" i="2"/>
  <c r="V915" i="2" s="1" a="1"/>
  <c r="V915" i="2" s="1"/>
  <c r="R915" i="2"/>
  <c r="Q915" i="2"/>
  <c r="P915" i="2"/>
  <c r="U914" i="2"/>
  <c r="S914" i="2"/>
  <c r="R914" i="2"/>
  <c r="Q914" i="2"/>
  <c r="P914" i="2"/>
  <c r="V913" i="2" a="1"/>
  <c r="V913" i="2" s="1"/>
  <c r="U913" i="2"/>
  <c r="S913" i="2"/>
  <c r="R913" i="2"/>
  <c r="Q913" i="2"/>
  <c r="P913" i="2"/>
  <c r="V912" i="2"/>
  <c r="V912" i="2" a="1"/>
  <c r="U912" i="2"/>
  <c r="S912" i="2"/>
  <c r="R912" i="2"/>
  <c r="Q912" i="2"/>
  <c r="P912" i="2"/>
  <c r="V911" i="2"/>
  <c r="V911" i="2" a="1"/>
  <c r="U911" i="2"/>
  <c r="S911" i="2"/>
  <c r="R911" i="2"/>
  <c r="Q911" i="2"/>
  <c r="P911" i="2"/>
  <c r="V910" i="2" a="1"/>
  <c r="V910" i="2" s="1"/>
  <c r="U910" i="2"/>
  <c r="S910" i="2"/>
  <c r="R910" i="2"/>
  <c r="Q910" i="2"/>
  <c r="P910" i="2"/>
  <c r="U909" i="2"/>
  <c r="S909" i="2"/>
  <c r="R909" i="2"/>
  <c r="Q909" i="2"/>
  <c r="P909" i="2"/>
  <c r="U908" i="2"/>
  <c r="S908" i="2"/>
  <c r="V908" i="2" s="1" a="1"/>
  <c r="V908" i="2" s="1"/>
  <c r="R908" i="2"/>
  <c r="Q908" i="2"/>
  <c r="P908" i="2"/>
  <c r="U907" i="2"/>
  <c r="S907" i="2"/>
  <c r="V907" i="2" s="1" a="1"/>
  <c r="V907" i="2" s="1"/>
  <c r="R907" i="2"/>
  <c r="Q907" i="2"/>
  <c r="P907" i="2"/>
  <c r="U906" i="2"/>
  <c r="S906" i="2"/>
  <c r="R906" i="2"/>
  <c r="Q906" i="2"/>
  <c r="P906" i="2"/>
  <c r="V905" i="2" a="1"/>
  <c r="V905" i="2" s="1"/>
  <c r="U905" i="2"/>
  <c r="S905" i="2"/>
  <c r="R905" i="2"/>
  <c r="Q905" i="2"/>
  <c r="P905" i="2"/>
  <c r="V904" i="2"/>
  <c r="V904" i="2" a="1"/>
  <c r="U904" i="2"/>
  <c r="S904" i="2"/>
  <c r="R904" i="2"/>
  <c r="Q904" i="2"/>
  <c r="P904" i="2"/>
  <c r="V903" i="2"/>
  <c r="V903" i="2" a="1"/>
  <c r="U903" i="2"/>
  <c r="S903" i="2"/>
  <c r="R903" i="2"/>
  <c r="Q903" i="2"/>
  <c r="P903" i="2"/>
  <c r="V902" i="2" a="1"/>
  <c r="V902" i="2" s="1"/>
  <c r="U902" i="2"/>
  <c r="S902" i="2"/>
  <c r="R902" i="2"/>
  <c r="Q902" i="2"/>
  <c r="P902" i="2"/>
  <c r="U901" i="2"/>
  <c r="S901" i="2"/>
  <c r="R901" i="2"/>
  <c r="Q901" i="2"/>
  <c r="P901" i="2"/>
  <c r="U900" i="2"/>
  <c r="S900" i="2"/>
  <c r="V900" i="2" s="1" a="1"/>
  <c r="V900" i="2" s="1"/>
  <c r="R900" i="2"/>
  <c r="Q900" i="2"/>
  <c r="P900" i="2"/>
  <c r="U899" i="2"/>
  <c r="S899" i="2"/>
  <c r="V899" i="2" s="1" a="1"/>
  <c r="V899" i="2" s="1"/>
  <c r="R899" i="2"/>
  <c r="Q899" i="2"/>
  <c r="P899" i="2"/>
  <c r="U898" i="2"/>
  <c r="S898" i="2"/>
  <c r="R898" i="2"/>
  <c r="Q898" i="2"/>
  <c r="P898" i="2"/>
  <c r="V897" i="2" a="1"/>
  <c r="V897" i="2" s="1"/>
  <c r="U897" i="2"/>
  <c r="S897" i="2"/>
  <c r="R897" i="2"/>
  <c r="Q897" i="2"/>
  <c r="P897" i="2"/>
  <c r="V896" i="2"/>
  <c r="V896" i="2" a="1"/>
  <c r="U896" i="2"/>
  <c r="S896" i="2"/>
  <c r="R896" i="2"/>
  <c r="Q896" i="2"/>
  <c r="P896" i="2"/>
  <c r="V895" i="2"/>
  <c r="V895" i="2" a="1"/>
  <c r="U895" i="2"/>
  <c r="S895" i="2"/>
  <c r="R895" i="2"/>
  <c r="Q895" i="2"/>
  <c r="P895" i="2"/>
  <c r="V894" i="2" a="1"/>
  <c r="V894" i="2" s="1"/>
  <c r="U894" i="2"/>
  <c r="S894" i="2"/>
  <c r="R894" i="2"/>
  <c r="Q894" i="2"/>
  <c r="P894" i="2"/>
  <c r="U893" i="2"/>
  <c r="S893" i="2"/>
  <c r="R893" i="2"/>
  <c r="Q893" i="2"/>
  <c r="P893" i="2"/>
  <c r="U892" i="2"/>
  <c r="S892" i="2"/>
  <c r="V892" i="2" s="1" a="1"/>
  <c r="V892" i="2" s="1"/>
  <c r="R892" i="2"/>
  <c r="Q892" i="2"/>
  <c r="P892" i="2"/>
  <c r="U891" i="2"/>
  <c r="S891" i="2"/>
  <c r="V891" i="2" s="1" a="1"/>
  <c r="V891" i="2" s="1"/>
  <c r="R891" i="2"/>
  <c r="Q891" i="2"/>
  <c r="P891" i="2"/>
  <c r="U890" i="2"/>
  <c r="S890" i="2"/>
  <c r="R890" i="2"/>
  <c r="Q890" i="2"/>
  <c r="P890" i="2"/>
  <c r="V889" i="2" a="1"/>
  <c r="V889" i="2" s="1"/>
  <c r="U889" i="2"/>
  <c r="S889" i="2"/>
  <c r="R889" i="2"/>
  <c r="Q889" i="2"/>
  <c r="P889" i="2"/>
  <c r="V888" i="2"/>
  <c r="V888" i="2" a="1"/>
  <c r="U888" i="2"/>
  <c r="S888" i="2"/>
  <c r="R888" i="2"/>
  <c r="Q888" i="2"/>
  <c r="P888" i="2"/>
  <c r="V887" i="2"/>
  <c r="V887" i="2" a="1"/>
  <c r="U887" i="2"/>
  <c r="S887" i="2"/>
  <c r="R887" i="2"/>
  <c r="Q887" i="2"/>
  <c r="P887" i="2"/>
  <c r="V886" i="2" a="1"/>
  <c r="V886" i="2" s="1"/>
  <c r="U886" i="2"/>
  <c r="S886" i="2"/>
  <c r="R886" i="2"/>
  <c r="Q886" i="2"/>
  <c r="P886" i="2"/>
  <c r="U885" i="2"/>
  <c r="S885" i="2"/>
  <c r="R885" i="2"/>
  <c r="Q885" i="2"/>
  <c r="P885" i="2"/>
  <c r="U884" i="2"/>
  <c r="S884" i="2"/>
  <c r="V884" i="2" s="1" a="1"/>
  <c r="V884" i="2" s="1"/>
  <c r="R884" i="2"/>
  <c r="Q884" i="2"/>
  <c r="P884" i="2"/>
  <c r="U883" i="2"/>
  <c r="S883" i="2"/>
  <c r="V883" i="2" s="1" a="1"/>
  <c r="V883" i="2" s="1"/>
  <c r="R883" i="2"/>
  <c r="Q883" i="2"/>
  <c r="P883" i="2"/>
  <c r="U882" i="2"/>
  <c r="S882" i="2"/>
  <c r="R882" i="2"/>
  <c r="Q882" i="2"/>
  <c r="P882" i="2"/>
  <c r="V881" i="2" a="1"/>
  <c r="V881" i="2" s="1"/>
  <c r="U881" i="2"/>
  <c r="S881" i="2"/>
  <c r="R881" i="2"/>
  <c r="Q881" i="2"/>
  <c r="P881" i="2"/>
  <c r="V880" i="2"/>
  <c r="V880" i="2" a="1"/>
  <c r="U880" i="2"/>
  <c r="S880" i="2"/>
  <c r="R880" i="2"/>
  <c r="Q880" i="2"/>
  <c r="P880" i="2"/>
  <c r="V879" i="2"/>
  <c r="V879" i="2" a="1"/>
  <c r="U879" i="2"/>
  <c r="S879" i="2"/>
  <c r="R879" i="2"/>
  <c r="Q879" i="2"/>
  <c r="P879" i="2"/>
  <c r="V878" i="2" a="1"/>
  <c r="V878" i="2" s="1"/>
  <c r="U878" i="2"/>
  <c r="S878" i="2"/>
  <c r="R878" i="2"/>
  <c r="Q878" i="2"/>
  <c r="P878" i="2"/>
  <c r="U877" i="2"/>
  <c r="S877" i="2"/>
  <c r="R877" i="2"/>
  <c r="Q877" i="2"/>
  <c r="P877" i="2"/>
  <c r="U876" i="2"/>
  <c r="S876" i="2"/>
  <c r="V876" i="2" s="1" a="1"/>
  <c r="V876" i="2" s="1"/>
  <c r="R876" i="2"/>
  <c r="Q876" i="2"/>
  <c r="P876" i="2"/>
  <c r="U875" i="2"/>
  <c r="S875" i="2"/>
  <c r="V875" i="2" s="1" a="1"/>
  <c r="V875" i="2" s="1"/>
  <c r="R875" i="2"/>
  <c r="Q875" i="2"/>
  <c r="P875" i="2"/>
  <c r="U874" i="2"/>
  <c r="S874" i="2"/>
  <c r="R874" i="2"/>
  <c r="Q874" i="2"/>
  <c r="P874" i="2"/>
  <c r="V873" i="2" a="1"/>
  <c r="V873" i="2" s="1"/>
  <c r="U873" i="2"/>
  <c r="S873" i="2"/>
  <c r="R873" i="2"/>
  <c r="Q873" i="2"/>
  <c r="P873" i="2"/>
  <c r="V872" i="2"/>
  <c r="V872" i="2" a="1"/>
  <c r="U872" i="2"/>
  <c r="S872" i="2"/>
  <c r="R872" i="2"/>
  <c r="Q872" i="2"/>
  <c r="P872" i="2"/>
  <c r="V871" i="2"/>
  <c r="V871" i="2" a="1"/>
  <c r="U871" i="2"/>
  <c r="S871" i="2"/>
  <c r="R871" i="2"/>
  <c r="Q871" i="2"/>
  <c r="P871" i="2"/>
  <c r="V870" i="2" a="1"/>
  <c r="V870" i="2" s="1"/>
  <c r="U870" i="2"/>
  <c r="S870" i="2"/>
  <c r="R870" i="2"/>
  <c r="Q870" i="2"/>
  <c r="P870" i="2"/>
  <c r="U869" i="2"/>
  <c r="S869" i="2"/>
  <c r="R869" i="2"/>
  <c r="Q869" i="2"/>
  <c r="P869" i="2"/>
  <c r="U868" i="2"/>
  <c r="S868" i="2"/>
  <c r="V868" i="2" s="1" a="1"/>
  <c r="V868" i="2" s="1"/>
  <c r="R868" i="2"/>
  <c r="Q868" i="2"/>
  <c r="P868" i="2"/>
  <c r="U867" i="2"/>
  <c r="S867" i="2"/>
  <c r="V867" i="2" s="1" a="1"/>
  <c r="V867" i="2" s="1"/>
  <c r="R867" i="2"/>
  <c r="Q867" i="2"/>
  <c r="P867" i="2"/>
  <c r="U866" i="2"/>
  <c r="S866" i="2"/>
  <c r="R866" i="2"/>
  <c r="Q866" i="2"/>
  <c r="P866" i="2"/>
  <c r="V865" i="2" a="1"/>
  <c r="V865" i="2" s="1"/>
  <c r="U865" i="2"/>
  <c r="S865" i="2"/>
  <c r="R865" i="2"/>
  <c r="Q865" i="2"/>
  <c r="P865" i="2"/>
  <c r="V864" i="2"/>
  <c r="V864" i="2" a="1"/>
  <c r="U864" i="2"/>
  <c r="S864" i="2"/>
  <c r="R864" i="2"/>
  <c r="Q864" i="2"/>
  <c r="P864" i="2"/>
  <c r="V863" i="2"/>
  <c r="V863" i="2" a="1"/>
  <c r="U863" i="2"/>
  <c r="S863" i="2"/>
  <c r="R863" i="2"/>
  <c r="Q863" i="2"/>
  <c r="P863" i="2"/>
  <c r="V862" i="2" a="1"/>
  <c r="V862" i="2" s="1"/>
  <c r="U862" i="2"/>
  <c r="S862" i="2"/>
  <c r="R862" i="2"/>
  <c r="Q862" i="2"/>
  <c r="P862" i="2"/>
  <c r="U861" i="2"/>
  <c r="S861" i="2"/>
  <c r="R861" i="2"/>
  <c r="Q861" i="2"/>
  <c r="P861" i="2"/>
  <c r="U860" i="2"/>
  <c r="S860" i="2"/>
  <c r="V860" i="2" s="1" a="1"/>
  <c r="V860" i="2" s="1"/>
  <c r="R860" i="2"/>
  <c r="Q860" i="2"/>
  <c r="P860" i="2"/>
  <c r="U859" i="2"/>
  <c r="S859" i="2"/>
  <c r="V859" i="2" s="1" a="1"/>
  <c r="V859" i="2" s="1"/>
  <c r="R859" i="2"/>
  <c r="Q859" i="2"/>
  <c r="P859" i="2"/>
  <c r="U858" i="2"/>
  <c r="S858" i="2"/>
  <c r="R858" i="2"/>
  <c r="Q858" i="2"/>
  <c r="P858" i="2"/>
  <c r="V857" i="2" a="1"/>
  <c r="V857" i="2" s="1"/>
  <c r="U857" i="2"/>
  <c r="S857" i="2"/>
  <c r="R857" i="2"/>
  <c r="Q857" i="2"/>
  <c r="P857" i="2"/>
  <c r="V856" i="2"/>
  <c r="V856" i="2" a="1"/>
  <c r="U856" i="2"/>
  <c r="S856" i="2"/>
  <c r="R856" i="2"/>
  <c r="Q856" i="2"/>
  <c r="P856" i="2"/>
  <c r="V855" i="2"/>
  <c r="V855" i="2" a="1"/>
  <c r="U855" i="2"/>
  <c r="S855" i="2"/>
  <c r="R855" i="2"/>
  <c r="Q855" i="2"/>
  <c r="P855" i="2"/>
  <c r="V854" i="2" a="1"/>
  <c r="V854" i="2" s="1"/>
  <c r="U854" i="2"/>
  <c r="S854" i="2"/>
  <c r="R854" i="2"/>
  <c r="Q854" i="2"/>
  <c r="P854" i="2"/>
  <c r="U853" i="2"/>
  <c r="S853" i="2"/>
  <c r="R853" i="2"/>
  <c r="Q853" i="2"/>
  <c r="P853" i="2"/>
  <c r="U852" i="2"/>
  <c r="S852" i="2"/>
  <c r="V852" i="2" s="1" a="1"/>
  <c r="V852" i="2" s="1"/>
  <c r="R852" i="2"/>
  <c r="Q852" i="2"/>
  <c r="P852" i="2"/>
  <c r="U851" i="2"/>
  <c r="S851" i="2"/>
  <c r="V851" i="2" s="1" a="1"/>
  <c r="V851" i="2" s="1"/>
  <c r="R851" i="2"/>
  <c r="Q851" i="2"/>
  <c r="P851" i="2"/>
  <c r="U850" i="2"/>
  <c r="S850" i="2"/>
  <c r="R850" i="2"/>
  <c r="Q850" i="2"/>
  <c r="P850" i="2"/>
  <c r="V849" i="2" a="1"/>
  <c r="V849" i="2" s="1"/>
  <c r="U849" i="2"/>
  <c r="S849" i="2"/>
  <c r="R849" i="2"/>
  <c r="Q849" i="2"/>
  <c r="P849" i="2"/>
  <c r="V848" i="2"/>
  <c r="V848" i="2" a="1"/>
  <c r="U848" i="2"/>
  <c r="S848" i="2"/>
  <c r="R848" i="2"/>
  <c r="Q848" i="2"/>
  <c r="P848" i="2"/>
  <c r="V847" i="2"/>
  <c r="V847" i="2" a="1"/>
  <c r="U847" i="2"/>
  <c r="S847" i="2"/>
  <c r="R847" i="2"/>
  <c r="Q847" i="2"/>
  <c r="P847" i="2"/>
  <c r="V846" i="2" a="1"/>
  <c r="V846" i="2" s="1"/>
  <c r="U846" i="2"/>
  <c r="S846" i="2"/>
  <c r="R846" i="2"/>
  <c r="Q846" i="2"/>
  <c r="P846" i="2"/>
  <c r="U845" i="2"/>
  <c r="S845" i="2"/>
  <c r="R845" i="2"/>
  <c r="Q845" i="2"/>
  <c r="P845" i="2"/>
  <c r="U844" i="2"/>
  <c r="S844" i="2"/>
  <c r="V844" i="2" s="1" a="1"/>
  <c r="V844" i="2" s="1"/>
  <c r="R844" i="2"/>
  <c r="Q844" i="2"/>
  <c r="P844" i="2"/>
  <c r="U843" i="2"/>
  <c r="S843" i="2"/>
  <c r="V843" i="2" s="1" a="1"/>
  <c r="V843" i="2" s="1"/>
  <c r="R843" i="2"/>
  <c r="Q843" i="2"/>
  <c r="P843" i="2"/>
  <c r="U842" i="2"/>
  <c r="S842" i="2"/>
  <c r="R842" i="2"/>
  <c r="Q842" i="2"/>
  <c r="P842" i="2"/>
  <c r="V841" i="2" a="1"/>
  <c r="V841" i="2" s="1"/>
  <c r="U841" i="2"/>
  <c r="S841" i="2"/>
  <c r="R841" i="2"/>
  <c r="Q841" i="2"/>
  <c r="P841" i="2"/>
  <c r="V840" i="2"/>
  <c r="V840" i="2" a="1"/>
  <c r="U840" i="2"/>
  <c r="S840" i="2"/>
  <c r="R840" i="2"/>
  <c r="Q840" i="2"/>
  <c r="P840" i="2"/>
  <c r="V839" i="2"/>
  <c r="V839" i="2" a="1"/>
  <c r="U839" i="2"/>
  <c r="S839" i="2"/>
  <c r="R839" i="2"/>
  <c r="Q839" i="2"/>
  <c r="P839" i="2"/>
  <c r="V838" i="2" a="1"/>
  <c r="V838" i="2" s="1"/>
  <c r="U838" i="2"/>
  <c r="S838" i="2"/>
  <c r="R838" i="2"/>
  <c r="Q838" i="2"/>
  <c r="P838" i="2"/>
  <c r="U837" i="2"/>
  <c r="S837" i="2"/>
  <c r="R837" i="2"/>
  <c r="Q837" i="2"/>
  <c r="P837" i="2"/>
  <c r="U836" i="2"/>
  <c r="S836" i="2"/>
  <c r="V836" i="2" s="1" a="1"/>
  <c r="V836" i="2" s="1"/>
  <c r="R836" i="2"/>
  <c r="Q836" i="2"/>
  <c r="P836" i="2"/>
  <c r="U835" i="2"/>
  <c r="S835" i="2"/>
  <c r="V835" i="2" s="1" a="1"/>
  <c r="V835" i="2" s="1"/>
  <c r="R835" i="2"/>
  <c r="Q835" i="2"/>
  <c r="P835" i="2"/>
  <c r="U834" i="2"/>
  <c r="S834" i="2"/>
  <c r="R834" i="2"/>
  <c r="Q834" i="2"/>
  <c r="P834" i="2"/>
  <c r="V833" i="2" a="1"/>
  <c r="V833" i="2" s="1"/>
  <c r="U833" i="2"/>
  <c r="S833" i="2"/>
  <c r="R833" i="2"/>
  <c r="Q833" i="2"/>
  <c r="P833" i="2"/>
  <c r="V832" i="2"/>
  <c r="V832" i="2" a="1"/>
  <c r="U832" i="2"/>
  <c r="S832" i="2"/>
  <c r="R832" i="2"/>
  <c r="Q832" i="2"/>
  <c r="P832" i="2"/>
  <c r="V831" i="2"/>
  <c r="V831" i="2" a="1"/>
  <c r="U831" i="2"/>
  <c r="S831" i="2"/>
  <c r="R831" i="2"/>
  <c r="Q831" i="2"/>
  <c r="P831" i="2"/>
  <c r="V830" i="2" a="1"/>
  <c r="V830" i="2" s="1"/>
  <c r="U830" i="2"/>
  <c r="S830" i="2"/>
  <c r="R830" i="2"/>
  <c r="Q830" i="2"/>
  <c r="P830" i="2"/>
  <c r="U829" i="2"/>
  <c r="S829" i="2"/>
  <c r="R829" i="2"/>
  <c r="Q829" i="2"/>
  <c r="P829" i="2"/>
  <c r="U828" i="2"/>
  <c r="S828" i="2"/>
  <c r="V828" i="2" s="1" a="1"/>
  <c r="V828" i="2" s="1"/>
  <c r="R828" i="2"/>
  <c r="Q828" i="2"/>
  <c r="P828" i="2"/>
  <c r="U827" i="2"/>
  <c r="S827" i="2"/>
  <c r="V827" i="2" s="1" a="1"/>
  <c r="V827" i="2" s="1"/>
  <c r="R827" i="2"/>
  <c r="Q827" i="2"/>
  <c r="P827" i="2"/>
  <c r="U826" i="2"/>
  <c r="S826" i="2"/>
  <c r="R826" i="2"/>
  <c r="Q826" i="2"/>
  <c r="P826" i="2"/>
  <c r="V825" i="2" a="1"/>
  <c r="V825" i="2" s="1"/>
  <c r="U825" i="2"/>
  <c r="S825" i="2"/>
  <c r="R825" i="2"/>
  <c r="Q825" i="2"/>
  <c r="P825" i="2"/>
  <c r="V824" i="2"/>
  <c r="V824" i="2" a="1"/>
  <c r="U824" i="2"/>
  <c r="S824" i="2"/>
  <c r="R824" i="2"/>
  <c r="Q824" i="2"/>
  <c r="P824" i="2"/>
  <c r="V823" i="2"/>
  <c r="V823" i="2" a="1"/>
  <c r="U823" i="2"/>
  <c r="S823" i="2"/>
  <c r="R823" i="2"/>
  <c r="Q823" i="2"/>
  <c r="P823" i="2"/>
  <c r="V822" i="2" a="1"/>
  <c r="V822" i="2" s="1"/>
  <c r="U822" i="2"/>
  <c r="S822" i="2"/>
  <c r="R822" i="2"/>
  <c r="Q822" i="2"/>
  <c r="P822" i="2"/>
  <c r="U821" i="2"/>
  <c r="S821" i="2"/>
  <c r="R821" i="2"/>
  <c r="Q821" i="2"/>
  <c r="P821" i="2"/>
  <c r="U820" i="2"/>
  <c r="S820" i="2"/>
  <c r="V820" i="2" s="1" a="1"/>
  <c r="V820" i="2" s="1"/>
  <c r="R820" i="2"/>
  <c r="Q820" i="2"/>
  <c r="P820" i="2"/>
  <c r="U819" i="2"/>
  <c r="S819" i="2"/>
  <c r="V819" i="2" s="1" a="1"/>
  <c r="V819" i="2" s="1"/>
  <c r="R819" i="2"/>
  <c r="Q819" i="2"/>
  <c r="P819" i="2"/>
  <c r="U818" i="2"/>
  <c r="S818" i="2"/>
  <c r="R818" i="2"/>
  <c r="Q818" i="2"/>
  <c r="P818" i="2"/>
  <c r="V817" i="2" a="1"/>
  <c r="V817" i="2" s="1"/>
  <c r="U817" i="2"/>
  <c r="S817" i="2"/>
  <c r="R817" i="2"/>
  <c r="Q817" i="2"/>
  <c r="P817" i="2"/>
  <c r="V816" i="2"/>
  <c r="V816" i="2" a="1"/>
  <c r="U816" i="2"/>
  <c r="S816" i="2"/>
  <c r="R816" i="2"/>
  <c r="Q816" i="2"/>
  <c r="P816" i="2"/>
  <c r="V815" i="2"/>
  <c r="V815" i="2" a="1"/>
  <c r="U815" i="2"/>
  <c r="S815" i="2"/>
  <c r="R815" i="2"/>
  <c r="Q815" i="2"/>
  <c r="P815" i="2"/>
  <c r="V814" i="2" a="1"/>
  <c r="V814" i="2" s="1"/>
  <c r="U814" i="2"/>
  <c r="S814" i="2"/>
  <c r="R814" i="2"/>
  <c r="Q814" i="2"/>
  <c r="P814" i="2"/>
  <c r="U813" i="2"/>
  <c r="S813" i="2"/>
  <c r="R813" i="2"/>
  <c r="Q813" i="2"/>
  <c r="P813" i="2"/>
  <c r="U812" i="2"/>
  <c r="S812" i="2"/>
  <c r="V812" i="2" s="1" a="1"/>
  <c r="V812" i="2" s="1"/>
  <c r="R812" i="2"/>
  <c r="Q812" i="2"/>
  <c r="P812" i="2"/>
  <c r="U811" i="2"/>
  <c r="S811" i="2"/>
  <c r="V811" i="2" s="1" a="1"/>
  <c r="V811" i="2" s="1"/>
  <c r="R811" i="2"/>
  <c r="Q811" i="2"/>
  <c r="P811" i="2"/>
  <c r="U810" i="2"/>
  <c r="S810" i="2"/>
  <c r="R810" i="2"/>
  <c r="Q810" i="2"/>
  <c r="P810" i="2"/>
  <c r="V809" i="2" a="1"/>
  <c r="V809" i="2" s="1"/>
  <c r="U809" i="2"/>
  <c r="S809" i="2"/>
  <c r="R809" i="2"/>
  <c r="Q809" i="2"/>
  <c r="P809" i="2"/>
  <c r="V808" i="2"/>
  <c r="V808" i="2" a="1"/>
  <c r="U808" i="2"/>
  <c r="S808" i="2"/>
  <c r="R808" i="2"/>
  <c r="Q808" i="2"/>
  <c r="P808" i="2"/>
  <c r="V807" i="2"/>
  <c r="V807" i="2" a="1"/>
  <c r="U807" i="2"/>
  <c r="S807" i="2"/>
  <c r="R807" i="2"/>
  <c r="Q807" i="2"/>
  <c r="P807" i="2"/>
  <c r="V806" i="2" a="1"/>
  <c r="V806" i="2" s="1"/>
  <c r="U806" i="2"/>
  <c r="S806" i="2"/>
  <c r="R806" i="2"/>
  <c r="Q806" i="2"/>
  <c r="P806" i="2"/>
  <c r="U805" i="2"/>
  <c r="S805" i="2"/>
  <c r="R805" i="2"/>
  <c r="Q805" i="2"/>
  <c r="P805" i="2"/>
  <c r="U804" i="2"/>
  <c r="S804" i="2"/>
  <c r="V804" i="2" s="1" a="1"/>
  <c r="V804" i="2" s="1"/>
  <c r="R804" i="2"/>
  <c r="Q804" i="2"/>
  <c r="P804" i="2"/>
  <c r="U803" i="2"/>
  <c r="S803" i="2"/>
  <c r="V803" i="2" s="1" a="1"/>
  <c r="V803" i="2" s="1"/>
  <c r="R803" i="2"/>
  <c r="Q803" i="2"/>
  <c r="P803" i="2"/>
  <c r="U802" i="2"/>
  <c r="S802" i="2"/>
  <c r="R802" i="2"/>
  <c r="Q802" i="2"/>
  <c r="P802" i="2"/>
  <c r="V801" i="2" a="1"/>
  <c r="V801" i="2" s="1"/>
  <c r="U801" i="2"/>
  <c r="S801" i="2"/>
  <c r="R801" i="2"/>
  <c r="Q801" i="2"/>
  <c r="P801" i="2"/>
  <c r="V800" i="2" a="1"/>
  <c r="V800" i="2" s="1"/>
  <c r="U800" i="2"/>
  <c r="S800" i="2"/>
  <c r="R800" i="2"/>
  <c r="Q800" i="2"/>
  <c r="P800" i="2"/>
  <c r="V799" i="2"/>
  <c r="V799" i="2" a="1"/>
  <c r="U799" i="2"/>
  <c r="S799" i="2"/>
  <c r="R799" i="2"/>
  <c r="Q799" i="2"/>
  <c r="P799" i="2"/>
  <c r="V798" i="2" a="1"/>
  <c r="V798" i="2" s="1"/>
  <c r="U798" i="2"/>
  <c r="S798" i="2"/>
  <c r="R798" i="2"/>
  <c r="Q798" i="2"/>
  <c r="P798" i="2"/>
  <c r="U797" i="2"/>
  <c r="S797" i="2"/>
  <c r="R797" i="2"/>
  <c r="Q797" i="2"/>
  <c r="P797" i="2"/>
  <c r="U796" i="2"/>
  <c r="S796" i="2"/>
  <c r="V796" i="2" s="1" a="1"/>
  <c r="V796" i="2" s="1"/>
  <c r="R796" i="2"/>
  <c r="Q796" i="2"/>
  <c r="P796" i="2"/>
  <c r="U795" i="2"/>
  <c r="S795" i="2"/>
  <c r="V795" i="2" s="1" a="1"/>
  <c r="V795" i="2" s="1"/>
  <c r="R795" i="2"/>
  <c r="Q795" i="2"/>
  <c r="P795" i="2"/>
  <c r="U794" i="2"/>
  <c r="S794" i="2"/>
  <c r="R794" i="2"/>
  <c r="Q794" i="2"/>
  <c r="P794" i="2"/>
  <c r="V793" i="2" a="1"/>
  <c r="V793" i="2" s="1"/>
  <c r="U793" i="2"/>
  <c r="S793" i="2"/>
  <c r="R793" i="2"/>
  <c r="Q793" i="2"/>
  <c r="P793" i="2"/>
  <c r="V792" i="2" a="1"/>
  <c r="V792" i="2" s="1"/>
  <c r="U792" i="2"/>
  <c r="S792" i="2"/>
  <c r="R792" i="2"/>
  <c r="Q792" i="2"/>
  <c r="P792" i="2"/>
  <c r="V791" i="2"/>
  <c r="V791" i="2" a="1"/>
  <c r="U791" i="2"/>
  <c r="S791" i="2"/>
  <c r="R791" i="2"/>
  <c r="Q791" i="2"/>
  <c r="P791" i="2"/>
  <c r="V790" i="2" a="1"/>
  <c r="V790" i="2" s="1"/>
  <c r="U790" i="2"/>
  <c r="S790" i="2"/>
  <c r="R790" i="2"/>
  <c r="Q790" i="2"/>
  <c r="P790" i="2"/>
  <c r="U789" i="2"/>
  <c r="S789" i="2"/>
  <c r="R789" i="2"/>
  <c r="Q789" i="2"/>
  <c r="P789" i="2"/>
  <c r="V788" i="2" a="1"/>
  <c r="V788" i="2" s="1"/>
  <c r="U788" i="2"/>
  <c r="S788" i="2"/>
  <c r="R788" i="2"/>
  <c r="Q788" i="2"/>
  <c r="P788" i="2"/>
  <c r="V787" i="2"/>
  <c r="U787" i="2"/>
  <c r="S787" i="2"/>
  <c r="V787" i="2" s="1" a="1"/>
  <c r="R787" i="2"/>
  <c r="Q787" i="2"/>
  <c r="P787" i="2"/>
  <c r="U786" i="2"/>
  <c r="S786" i="2"/>
  <c r="R786" i="2"/>
  <c r="Q786" i="2"/>
  <c r="P786" i="2"/>
  <c r="V785" i="2" a="1"/>
  <c r="V785" i="2" s="1"/>
  <c r="U785" i="2"/>
  <c r="S785" i="2"/>
  <c r="R785" i="2"/>
  <c r="Q785" i="2"/>
  <c r="P785" i="2"/>
  <c r="V784" i="2" a="1"/>
  <c r="V784" i="2" s="1"/>
  <c r="U784" i="2"/>
  <c r="S784" i="2"/>
  <c r="R784" i="2"/>
  <c r="Q784" i="2"/>
  <c r="P784" i="2"/>
  <c r="V783" i="2"/>
  <c r="V783" i="2" a="1"/>
  <c r="U783" i="2"/>
  <c r="S783" i="2"/>
  <c r="R783" i="2"/>
  <c r="Q783" i="2"/>
  <c r="P783" i="2"/>
  <c r="V782" i="2" a="1"/>
  <c r="V782" i="2" s="1"/>
  <c r="U782" i="2"/>
  <c r="S782" i="2"/>
  <c r="R782" i="2"/>
  <c r="Q782" i="2"/>
  <c r="P782" i="2"/>
  <c r="U781" i="2"/>
  <c r="S781" i="2"/>
  <c r="R781" i="2"/>
  <c r="Q781" i="2"/>
  <c r="P781" i="2"/>
  <c r="U780" i="2"/>
  <c r="S780" i="2"/>
  <c r="V780" i="2" s="1" a="1"/>
  <c r="V780" i="2" s="1"/>
  <c r="R780" i="2"/>
  <c r="Q780" i="2"/>
  <c r="P780" i="2"/>
  <c r="U779" i="2"/>
  <c r="S779" i="2"/>
  <c r="V779" i="2" s="1" a="1"/>
  <c r="V779" i="2" s="1"/>
  <c r="R779" i="2"/>
  <c r="Q779" i="2"/>
  <c r="P779" i="2"/>
  <c r="U778" i="2"/>
  <c r="S778" i="2"/>
  <c r="R778" i="2"/>
  <c r="Q778" i="2"/>
  <c r="P778" i="2"/>
  <c r="V777" i="2" a="1"/>
  <c r="V777" i="2" s="1"/>
  <c r="U777" i="2"/>
  <c r="S777" i="2"/>
  <c r="R777" i="2"/>
  <c r="Q777" i="2"/>
  <c r="P777" i="2"/>
  <c r="U776" i="2"/>
  <c r="S776" i="2"/>
  <c r="R776" i="2"/>
  <c r="Q776" i="2"/>
  <c r="P776" i="2"/>
  <c r="V775" i="2"/>
  <c r="V775" i="2" a="1"/>
  <c r="U775" i="2"/>
  <c r="S775" i="2"/>
  <c r="R775" i="2"/>
  <c r="Q775" i="2"/>
  <c r="P775" i="2"/>
  <c r="V774" i="2" a="1"/>
  <c r="V774" i="2" s="1"/>
  <c r="U774" i="2"/>
  <c r="S774" i="2"/>
  <c r="R774" i="2"/>
  <c r="Q774" i="2"/>
  <c r="P774" i="2"/>
  <c r="U773" i="2"/>
  <c r="S773" i="2"/>
  <c r="R773" i="2"/>
  <c r="Q773" i="2"/>
  <c r="P773" i="2"/>
  <c r="V772" i="2" a="1"/>
  <c r="V772" i="2" s="1"/>
  <c r="U772" i="2"/>
  <c r="S772" i="2"/>
  <c r="R772" i="2"/>
  <c r="Q772" i="2"/>
  <c r="P772" i="2"/>
  <c r="U771" i="2"/>
  <c r="S771" i="2"/>
  <c r="V771" i="2" s="1" a="1"/>
  <c r="V771" i="2" s="1"/>
  <c r="R771" i="2"/>
  <c r="Q771" i="2"/>
  <c r="P771" i="2"/>
  <c r="U770" i="2"/>
  <c r="S770" i="2"/>
  <c r="R770" i="2"/>
  <c r="Q770" i="2"/>
  <c r="P770" i="2"/>
  <c r="V769" i="2" a="1"/>
  <c r="V769" i="2" s="1"/>
  <c r="U769" i="2"/>
  <c r="S769" i="2"/>
  <c r="R769" i="2"/>
  <c r="Q769" i="2"/>
  <c r="P769" i="2"/>
  <c r="U768" i="2"/>
  <c r="S768" i="2"/>
  <c r="R768" i="2"/>
  <c r="Q768" i="2"/>
  <c r="P768" i="2"/>
  <c r="V767" i="2"/>
  <c r="V767" i="2" a="1"/>
  <c r="U767" i="2"/>
  <c r="S767" i="2"/>
  <c r="R767" i="2"/>
  <c r="Q767" i="2"/>
  <c r="P767" i="2"/>
  <c r="V766" i="2" a="1"/>
  <c r="V766" i="2" s="1"/>
  <c r="U766" i="2"/>
  <c r="S766" i="2"/>
  <c r="R766" i="2"/>
  <c r="Q766" i="2"/>
  <c r="P766" i="2"/>
  <c r="U765" i="2"/>
  <c r="S765" i="2"/>
  <c r="R765" i="2"/>
  <c r="Q765" i="2"/>
  <c r="P765" i="2"/>
  <c r="V764" i="2" a="1"/>
  <c r="V764" i="2" s="1"/>
  <c r="U764" i="2"/>
  <c r="S764" i="2"/>
  <c r="R764" i="2"/>
  <c r="Q764" i="2"/>
  <c r="P764" i="2"/>
  <c r="V763" i="2"/>
  <c r="U763" i="2"/>
  <c r="S763" i="2"/>
  <c r="V763" i="2" s="1" a="1"/>
  <c r="R763" i="2"/>
  <c r="Q763" i="2"/>
  <c r="P763" i="2"/>
  <c r="U762" i="2"/>
  <c r="S762" i="2"/>
  <c r="R762" i="2"/>
  <c r="Q762" i="2"/>
  <c r="P762" i="2"/>
  <c r="V761" i="2" a="1"/>
  <c r="V761" i="2" s="1"/>
  <c r="U761" i="2"/>
  <c r="S761" i="2"/>
  <c r="R761" i="2"/>
  <c r="Q761" i="2"/>
  <c r="P761" i="2"/>
  <c r="V760" i="2"/>
  <c r="V760" i="2" a="1"/>
  <c r="U760" i="2"/>
  <c r="S760" i="2"/>
  <c r="R760" i="2"/>
  <c r="Q760" i="2"/>
  <c r="P760" i="2"/>
  <c r="V759" i="2"/>
  <c r="V759" i="2" a="1"/>
  <c r="U759" i="2"/>
  <c r="S759" i="2"/>
  <c r="R759" i="2"/>
  <c r="Q759" i="2"/>
  <c r="P759" i="2"/>
  <c r="V758" i="2" a="1"/>
  <c r="V758" i="2" s="1"/>
  <c r="U758" i="2"/>
  <c r="S758" i="2"/>
  <c r="R758" i="2"/>
  <c r="Q758" i="2"/>
  <c r="P758" i="2"/>
  <c r="U757" i="2"/>
  <c r="S757" i="2"/>
  <c r="R757" i="2"/>
  <c r="Q757" i="2"/>
  <c r="P757" i="2"/>
  <c r="U756" i="2"/>
  <c r="S756" i="2"/>
  <c r="V756" i="2" s="1" a="1"/>
  <c r="V756" i="2" s="1"/>
  <c r="R756" i="2"/>
  <c r="Q756" i="2"/>
  <c r="P756" i="2"/>
  <c r="U755" i="2"/>
  <c r="S755" i="2"/>
  <c r="V755" i="2" s="1" a="1"/>
  <c r="V755" i="2" s="1"/>
  <c r="R755" i="2"/>
  <c r="Q755" i="2"/>
  <c r="P755" i="2"/>
  <c r="U754" i="2"/>
  <c r="S754" i="2"/>
  <c r="R754" i="2"/>
  <c r="Q754" i="2"/>
  <c r="P754" i="2"/>
  <c r="V753" i="2" a="1"/>
  <c r="V753" i="2" s="1"/>
  <c r="U753" i="2"/>
  <c r="S753" i="2"/>
  <c r="R753" i="2"/>
  <c r="Q753" i="2"/>
  <c r="P753" i="2"/>
  <c r="U752" i="2"/>
  <c r="S752" i="2"/>
  <c r="R752" i="2"/>
  <c r="Q752" i="2"/>
  <c r="P752" i="2"/>
  <c r="V751" i="2"/>
  <c r="V751" i="2" a="1"/>
  <c r="U751" i="2"/>
  <c r="S751" i="2"/>
  <c r="R751" i="2"/>
  <c r="Q751" i="2"/>
  <c r="P751" i="2"/>
  <c r="V750" i="2" a="1"/>
  <c r="V750" i="2" s="1"/>
  <c r="U750" i="2"/>
  <c r="S750" i="2"/>
  <c r="R750" i="2"/>
  <c r="Q750" i="2"/>
  <c r="P750" i="2"/>
  <c r="U749" i="2"/>
  <c r="S749" i="2"/>
  <c r="R749" i="2"/>
  <c r="Q749" i="2"/>
  <c r="P749" i="2"/>
  <c r="V748" i="2" a="1"/>
  <c r="V748" i="2" s="1"/>
  <c r="U748" i="2"/>
  <c r="S748" i="2"/>
  <c r="R748" i="2"/>
  <c r="Q748" i="2"/>
  <c r="P748" i="2"/>
  <c r="U747" i="2"/>
  <c r="S747" i="2"/>
  <c r="V747" i="2" s="1" a="1"/>
  <c r="V747" i="2" s="1"/>
  <c r="R747" i="2"/>
  <c r="Q747" i="2"/>
  <c r="P747" i="2"/>
  <c r="U746" i="2"/>
  <c r="S746" i="2"/>
  <c r="R746" i="2"/>
  <c r="Q746" i="2"/>
  <c r="P746" i="2"/>
  <c r="V745" i="2" a="1"/>
  <c r="V745" i="2" s="1"/>
  <c r="U745" i="2"/>
  <c r="S745" i="2"/>
  <c r="R745" i="2"/>
  <c r="Q745" i="2"/>
  <c r="P745" i="2"/>
  <c r="V744" i="2" a="1"/>
  <c r="V744" i="2" s="1"/>
  <c r="U744" i="2"/>
  <c r="S744" i="2"/>
  <c r="R744" i="2"/>
  <c r="Q744" i="2"/>
  <c r="P744" i="2"/>
  <c r="V743" i="2"/>
  <c r="V743" i="2" a="1"/>
  <c r="U743" i="2"/>
  <c r="S743" i="2"/>
  <c r="R743" i="2"/>
  <c r="Q743" i="2"/>
  <c r="P743" i="2"/>
  <c r="V742" i="2" a="1"/>
  <c r="V742" i="2" s="1"/>
  <c r="U742" i="2"/>
  <c r="S742" i="2"/>
  <c r="R742" i="2"/>
  <c r="Q742" i="2"/>
  <c r="P742" i="2"/>
  <c r="U741" i="2"/>
  <c r="S741" i="2"/>
  <c r="R741" i="2"/>
  <c r="Q741" i="2"/>
  <c r="P741" i="2"/>
  <c r="U740" i="2"/>
  <c r="S740" i="2"/>
  <c r="V740" i="2" s="1" a="1"/>
  <c r="V740" i="2" s="1"/>
  <c r="R740" i="2"/>
  <c r="Q740" i="2"/>
  <c r="P740" i="2"/>
  <c r="V739" i="2"/>
  <c r="U739" i="2"/>
  <c r="S739" i="2"/>
  <c r="V739" i="2" s="1" a="1"/>
  <c r="R739" i="2"/>
  <c r="Q739" i="2"/>
  <c r="P739" i="2"/>
  <c r="U738" i="2"/>
  <c r="S738" i="2"/>
  <c r="R738" i="2"/>
  <c r="Q738" i="2"/>
  <c r="P738" i="2"/>
  <c r="V737" i="2" a="1"/>
  <c r="V737" i="2" s="1"/>
  <c r="U737" i="2"/>
  <c r="S737" i="2"/>
  <c r="R737" i="2"/>
  <c r="Q737" i="2"/>
  <c r="P737" i="2"/>
  <c r="V736" i="2"/>
  <c r="V736" i="2" a="1"/>
  <c r="U736" i="2"/>
  <c r="S736" i="2"/>
  <c r="R736" i="2"/>
  <c r="Q736" i="2"/>
  <c r="P736" i="2"/>
  <c r="V735" i="2"/>
  <c r="V735" i="2" a="1"/>
  <c r="U735" i="2"/>
  <c r="S735" i="2"/>
  <c r="R735" i="2"/>
  <c r="Q735" i="2"/>
  <c r="P735" i="2"/>
  <c r="V734" i="2" a="1"/>
  <c r="V734" i="2" s="1"/>
  <c r="U734" i="2"/>
  <c r="S734" i="2"/>
  <c r="R734" i="2"/>
  <c r="Q734" i="2"/>
  <c r="P734" i="2"/>
  <c r="U733" i="2"/>
  <c r="S733" i="2"/>
  <c r="R733" i="2"/>
  <c r="Q733" i="2"/>
  <c r="P733" i="2"/>
  <c r="U732" i="2"/>
  <c r="S732" i="2"/>
  <c r="R732" i="2"/>
  <c r="Q732" i="2"/>
  <c r="P732" i="2"/>
  <c r="U731" i="2"/>
  <c r="S731" i="2"/>
  <c r="V731" i="2" s="1" a="1"/>
  <c r="V731" i="2" s="1"/>
  <c r="R731" i="2"/>
  <c r="Q731" i="2"/>
  <c r="P731" i="2"/>
  <c r="U730" i="2"/>
  <c r="S730" i="2"/>
  <c r="R730" i="2"/>
  <c r="Q730" i="2"/>
  <c r="P730" i="2"/>
  <c r="V729" i="2" a="1"/>
  <c r="V729" i="2" s="1"/>
  <c r="U729" i="2"/>
  <c r="S729" i="2"/>
  <c r="R729" i="2"/>
  <c r="Q729" i="2"/>
  <c r="P729" i="2"/>
  <c r="U728" i="2"/>
  <c r="S728" i="2"/>
  <c r="R728" i="2"/>
  <c r="Q728" i="2"/>
  <c r="P728" i="2"/>
  <c r="V727" i="2"/>
  <c r="V727" i="2" a="1"/>
  <c r="U727" i="2"/>
  <c r="S727" i="2"/>
  <c r="R727" i="2"/>
  <c r="Q727" i="2"/>
  <c r="P727" i="2"/>
  <c r="V726" i="2" a="1"/>
  <c r="V726" i="2" s="1"/>
  <c r="U726" i="2"/>
  <c r="S726" i="2"/>
  <c r="R726" i="2"/>
  <c r="Q726" i="2"/>
  <c r="P726" i="2"/>
  <c r="U725" i="2"/>
  <c r="S725" i="2"/>
  <c r="R725" i="2"/>
  <c r="Q725" i="2"/>
  <c r="P725" i="2"/>
  <c r="V724" i="2" a="1"/>
  <c r="V724" i="2" s="1"/>
  <c r="U724" i="2"/>
  <c r="S724" i="2"/>
  <c r="R724" i="2"/>
  <c r="Q724" i="2"/>
  <c r="P724" i="2"/>
  <c r="V723" i="2"/>
  <c r="U723" i="2"/>
  <c r="S723" i="2"/>
  <c r="V723" i="2" s="1" a="1"/>
  <c r="R723" i="2"/>
  <c r="Q723" i="2"/>
  <c r="P723" i="2"/>
  <c r="U722" i="2"/>
  <c r="S722" i="2"/>
  <c r="R722" i="2"/>
  <c r="Q722" i="2"/>
  <c r="P722" i="2"/>
  <c r="V721" i="2" a="1"/>
  <c r="V721" i="2" s="1"/>
  <c r="U721" i="2"/>
  <c r="S721" i="2"/>
  <c r="R721" i="2"/>
  <c r="Q721" i="2"/>
  <c r="P721" i="2"/>
  <c r="V720" i="2" a="1"/>
  <c r="V720" i="2" s="1"/>
  <c r="U720" i="2"/>
  <c r="S720" i="2"/>
  <c r="R720" i="2"/>
  <c r="Q720" i="2"/>
  <c r="P720" i="2"/>
  <c r="V719" i="2"/>
  <c r="V719" i="2" a="1"/>
  <c r="U719" i="2"/>
  <c r="S719" i="2"/>
  <c r="R719" i="2"/>
  <c r="Q719" i="2"/>
  <c r="P719" i="2"/>
  <c r="V718" i="2" a="1"/>
  <c r="V718" i="2" s="1"/>
  <c r="U718" i="2"/>
  <c r="S718" i="2"/>
  <c r="R718" i="2"/>
  <c r="Q718" i="2"/>
  <c r="P718" i="2"/>
  <c r="U717" i="2"/>
  <c r="S717" i="2"/>
  <c r="R717" i="2"/>
  <c r="Q717" i="2"/>
  <c r="P717" i="2"/>
  <c r="U716" i="2"/>
  <c r="S716" i="2"/>
  <c r="V716" i="2" s="1" a="1"/>
  <c r="V716" i="2" s="1"/>
  <c r="R716" i="2"/>
  <c r="Q716" i="2"/>
  <c r="P716" i="2"/>
  <c r="V715" i="2"/>
  <c r="U715" i="2"/>
  <c r="S715" i="2"/>
  <c r="V715" i="2" s="1" a="1"/>
  <c r="R715" i="2"/>
  <c r="Q715" i="2"/>
  <c r="P715" i="2"/>
  <c r="U714" i="2"/>
  <c r="S714" i="2"/>
  <c r="R714" i="2"/>
  <c r="Q714" i="2"/>
  <c r="P714" i="2"/>
  <c r="V713" i="2" a="1"/>
  <c r="V713" i="2" s="1"/>
  <c r="U713" i="2"/>
  <c r="S713" i="2"/>
  <c r="R713" i="2"/>
  <c r="Q713" i="2"/>
  <c r="P713" i="2"/>
  <c r="U712" i="2"/>
  <c r="S712" i="2"/>
  <c r="R712" i="2"/>
  <c r="Q712" i="2"/>
  <c r="P712" i="2"/>
  <c r="V711" i="2"/>
  <c r="V711" i="2" a="1"/>
  <c r="U711" i="2"/>
  <c r="S711" i="2"/>
  <c r="R711" i="2"/>
  <c r="Q711" i="2"/>
  <c r="P711" i="2"/>
  <c r="V710" i="2" a="1"/>
  <c r="V710" i="2" s="1"/>
  <c r="U710" i="2"/>
  <c r="S710" i="2"/>
  <c r="R710" i="2"/>
  <c r="Q710" i="2"/>
  <c r="P710" i="2"/>
  <c r="U709" i="2"/>
  <c r="S709" i="2"/>
  <c r="R709" i="2"/>
  <c r="Q709" i="2"/>
  <c r="P709" i="2"/>
  <c r="V708" i="2" a="1"/>
  <c r="V708" i="2" s="1"/>
  <c r="U708" i="2"/>
  <c r="S708" i="2"/>
  <c r="R708" i="2"/>
  <c r="Q708" i="2"/>
  <c r="P708" i="2"/>
  <c r="U707" i="2"/>
  <c r="S707" i="2"/>
  <c r="V707" i="2" s="1" a="1"/>
  <c r="V707" i="2" s="1"/>
  <c r="R707" i="2"/>
  <c r="Q707" i="2"/>
  <c r="P707" i="2"/>
  <c r="U706" i="2"/>
  <c r="S706" i="2"/>
  <c r="R706" i="2"/>
  <c r="Q706" i="2"/>
  <c r="P706" i="2"/>
  <c r="V705" i="2" a="1"/>
  <c r="V705" i="2" s="1"/>
  <c r="U705" i="2"/>
  <c r="S705" i="2"/>
  <c r="R705" i="2"/>
  <c r="Q705" i="2"/>
  <c r="P705" i="2"/>
  <c r="U704" i="2"/>
  <c r="S704" i="2"/>
  <c r="R704" i="2"/>
  <c r="Q704" i="2"/>
  <c r="P704" i="2"/>
  <c r="V703" i="2"/>
  <c r="V703" i="2" a="1"/>
  <c r="U703" i="2"/>
  <c r="S703" i="2"/>
  <c r="R703" i="2"/>
  <c r="Q703" i="2"/>
  <c r="P703" i="2"/>
  <c r="V702" i="2" a="1"/>
  <c r="V702" i="2" s="1"/>
  <c r="U702" i="2"/>
  <c r="S702" i="2"/>
  <c r="R702" i="2"/>
  <c r="Q702" i="2"/>
  <c r="P702" i="2"/>
  <c r="U701" i="2"/>
  <c r="S701" i="2"/>
  <c r="R701" i="2"/>
  <c r="Q701" i="2"/>
  <c r="P701" i="2"/>
  <c r="V700" i="2" a="1"/>
  <c r="V700" i="2" s="1"/>
  <c r="U700" i="2"/>
  <c r="S700" i="2"/>
  <c r="R700" i="2"/>
  <c r="Q700" i="2"/>
  <c r="P700" i="2"/>
  <c r="V699" i="2"/>
  <c r="U699" i="2"/>
  <c r="S699" i="2"/>
  <c r="V699" i="2" s="1" a="1"/>
  <c r="R699" i="2"/>
  <c r="Q699" i="2"/>
  <c r="P699" i="2"/>
  <c r="U698" i="2"/>
  <c r="S698" i="2"/>
  <c r="R698" i="2"/>
  <c r="Q698" i="2"/>
  <c r="P698" i="2"/>
  <c r="V697" i="2" a="1"/>
  <c r="V697" i="2" s="1"/>
  <c r="U697" i="2"/>
  <c r="S697" i="2"/>
  <c r="R697" i="2"/>
  <c r="Q697" i="2"/>
  <c r="P697" i="2"/>
  <c r="V696" i="2"/>
  <c r="V696" i="2" a="1"/>
  <c r="U696" i="2"/>
  <c r="S696" i="2"/>
  <c r="R696" i="2"/>
  <c r="Q696" i="2"/>
  <c r="P696" i="2"/>
  <c r="V695" i="2"/>
  <c r="V695" i="2" a="1"/>
  <c r="U695" i="2"/>
  <c r="S695" i="2"/>
  <c r="R695" i="2"/>
  <c r="Q695" i="2"/>
  <c r="P695" i="2"/>
  <c r="V694" i="2" a="1"/>
  <c r="V694" i="2" s="1"/>
  <c r="U694" i="2"/>
  <c r="S694" i="2"/>
  <c r="R694" i="2"/>
  <c r="Q694" i="2"/>
  <c r="P694" i="2"/>
  <c r="U693" i="2"/>
  <c r="S693" i="2"/>
  <c r="R693" i="2"/>
  <c r="Q693" i="2"/>
  <c r="P693" i="2"/>
  <c r="U692" i="2"/>
  <c r="S692" i="2"/>
  <c r="V692" i="2" s="1" a="1"/>
  <c r="V692" i="2" s="1"/>
  <c r="R692" i="2"/>
  <c r="Q692" i="2"/>
  <c r="P692" i="2"/>
  <c r="U691" i="2"/>
  <c r="S691" i="2"/>
  <c r="V691" i="2" s="1" a="1"/>
  <c r="V691" i="2" s="1"/>
  <c r="R691" i="2"/>
  <c r="Q691" i="2"/>
  <c r="P691" i="2"/>
  <c r="U690" i="2"/>
  <c r="S690" i="2"/>
  <c r="R690" i="2"/>
  <c r="Q690" i="2"/>
  <c r="P690" i="2"/>
  <c r="V689" i="2" a="1"/>
  <c r="V689" i="2" s="1"/>
  <c r="U689" i="2"/>
  <c r="S689" i="2"/>
  <c r="R689" i="2"/>
  <c r="Q689" i="2"/>
  <c r="P689" i="2"/>
  <c r="U688" i="2"/>
  <c r="S688" i="2"/>
  <c r="R688" i="2"/>
  <c r="Q688" i="2"/>
  <c r="P688" i="2"/>
  <c r="V687" i="2"/>
  <c r="V687" i="2" a="1"/>
  <c r="U687" i="2"/>
  <c r="S687" i="2"/>
  <c r="R687" i="2"/>
  <c r="Q687" i="2"/>
  <c r="P687" i="2"/>
  <c r="V686" i="2" a="1"/>
  <c r="V686" i="2" s="1"/>
  <c r="U686" i="2"/>
  <c r="S686" i="2"/>
  <c r="R686" i="2"/>
  <c r="Q686" i="2"/>
  <c r="P686" i="2"/>
  <c r="U685" i="2"/>
  <c r="S685" i="2"/>
  <c r="R685" i="2"/>
  <c r="Q685" i="2"/>
  <c r="P685" i="2"/>
  <c r="V684" i="2" a="1"/>
  <c r="V684" i="2" s="1"/>
  <c r="U684" i="2"/>
  <c r="S684" i="2"/>
  <c r="R684" i="2"/>
  <c r="Q684" i="2"/>
  <c r="P684" i="2"/>
  <c r="U683" i="2"/>
  <c r="S683" i="2"/>
  <c r="V683" i="2" s="1" a="1"/>
  <c r="V683" i="2" s="1"/>
  <c r="R683" i="2"/>
  <c r="Q683" i="2"/>
  <c r="P683" i="2"/>
  <c r="U682" i="2"/>
  <c r="S682" i="2"/>
  <c r="R682" i="2"/>
  <c r="Q682" i="2"/>
  <c r="P682" i="2"/>
  <c r="V681" i="2" a="1"/>
  <c r="V681" i="2" s="1"/>
  <c r="U681" i="2"/>
  <c r="S681" i="2"/>
  <c r="R681" i="2"/>
  <c r="Q681" i="2"/>
  <c r="P681" i="2"/>
  <c r="V680" i="2" a="1"/>
  <c r="V680" i="2" s="1"/>
  <c r="U680" i="2"/>
  <c r="S680" i="2"/>
  <c r="R680" i="2"/>
  <c r="Q680" i="2"/>
  <c r="P680" i="2"/>
  <c r="V679" i="2"/>
  <c r="V679" i="2" a="1"/>
  <c r="U679" i="2"/>
  <c r="S679" i="2"/>
  <c r="R679" i="2"/>
  <c r="Q679" i="2"/>
  <c r="P679" i="2"/>
  <c r="V678" i="2" a="1"/>
  <c r="V678" i="2" s="1"/>
  <c r="U678" i="2"/>
  <c r="S678" i="2"/>
  <c r="R678" i="2"/>
  <c r="Q678" i="2"/>
  <c r="P678" i="2"/>
  <c r="U677" i="2"/>
  <c r="S677" i="2"/>
  <c r="R677" i="2"/>
  <c r="Q677" i="2"/>
  <c r="P677" i="2"/>
  <c r="U676" i="2"/>
  <c r="S676" i="2"/>
  <c r="V676" i="2" s="1" a="1"/>
  <c r="V676" i="2" s="1"/>
  <c r="R676" i="2"/>
  <c r="Q676" i="2"/>
  <c r="P676" i="2"/>
  <c r="V675" i="2"/>
  <c r="U675" i="2"/>
  <c r="S675" i="2"/>
  <c r="V675" i="2" s="1" a="1"/>
  <c r="R675" i="2"/>
  <c r="Q675" i="2"/>
  <c r="P675" i="2"/>
  <c r="U674" i="2"/>
  <c r="S674" i="2"/>
  <c r="R674" i="2"/>
  <c r="Q674" i="2"/>
  <c r="P674" i="2"/>
  <c r="V673" i="2" a="1"/>
  <c r="V673" i="2" s="1"/>
  <c r="U673" i="2"/>
  <c r="S673" i="2"/>
  <c r="R673" i="2"/>
  <c r="Q673" i="2"/>
  <c r="P673" i="2"/>
  <c r="V672" i="2"/>
  <c r="V672" i="2" a="1"/>
  <c r="U672" i="2"/>
  <c r="S672" i="2"/>
  <c r="R672" i="2"/>
  <c r="Q672" i="2"/>
  <c r="P672" i="2"/>
  <c r="V671" i="2"/>
  <c r="V671" i="2" a="1"/>
  <c r="U671" i="2"/>
  <c r="S671" i="2"/>
  <c r="R671" i="2"/>
  <c r="Q671" i="2"/>
  <c r="P671" i="2"/>
  <c r="V670" i="2" a="1"/>
  <c r="V670" i="2" s="1"/>
  <c r="U670" i="2"/>
  <c r="S670" i="2"/>
  <c r="R670" i="2"/>
  <c r="Q670" i="2"/>
  <c r="P670" i="2"/>
  <c r="U669" i="2"/>
  <c r="S669" i="2"/>
  <c r="R669" i="2"/>
  <c r="Q669" i="2"/>
  <c r="P669" i="2"/>
  <c r="U668" i="2"/>
  <c r="S668" i="2"/>
  <c r="R668" i="2"/>
  <c r="Q668" i="2"/>
  <c r="P668" i="2"/>
  <c r="U667" i="2"/>
  <c r="S667" i="2"/>
  <c r="V667" i="2" s="1" a="1"/>
  <c r="V667" i="2" s="1"/>
  <c r="R667" i="2"/>
  <c r="Q667" i="2"/>
  <c r="P667" i="2"/>
  <c r="U666" i="2"/>
  <c r="S666" i="2"/>
  <c r="R666" i="2"/>
  <c r="Q666" i="2"/>
  <c r="P666" i="2"/>
  <c r="V665" i="2" a="1"/>
  <c r="V665" i="2" s="1"/>
  <c r="U665" i="2"/>
  <c r="S665" i="2"/>
  <c r="R665" i="2"/>
  <c r="Q665" i="2"/>
  <c r="P665" i="2"/>
  <c r="U664" i="2"/>
  <c r="S664" i="2"/>
  <c r="R664" i="2"/>
  <c r="Q664" i="2"/>
  <c r="P664" i="2"/>
  <c r="V663" i="2"/>
  <c r="V663" i="2" a="1"/>
  <c r="U663" i="2"/>
  <c r="S663" i="2"/>
  <c r="R663" i="2"/>
  <c r="Q663" i="2"/>
  <c r="P663" i="2"/>
  <c r="V662" i="2" a="1"/>
  <c r="V662" i="2" s="1"/>
  <c r="U662" i="2"/>
  <c r="S662" i="2"/>
  <c r="R662" i="2"/>
  <c r="Q662" i="2"/>
  <c r="P662" i="2"/>
  <c r="V661" i="2"/>
  <c r="U661" i="2"/>
  <c r="S661" i="2"/>
  <c r="V661" i="2" s="1" a="1"/>
  <c r="R661" i="2"/>
  <c r="Q661" i="2"/>
  <c r="P661" i="2"/>
  <c r="U660" i="2"/>
  <c r="S660" i="2"/>
  <c r="R660" i="2"/>
  <c r="Q660" i="2"/>
  <c r="P660" i="2"/>
  <c r="U659" i="2"/>
  <c r="S659" i="2"/>
  <c r="V659" i="2" s="1" a="1"/>
  <c r="V659" i="2" s="1"/>
  <c r="R659" i="2"/>
  <c r="Q659" i="2"/>
  <c r="P659" i="2"/>
  <c r="U658" i="2"/>
  <c r="S658" i="2"/>
  <c r="R658" i="2"/>
  <c r="Q658" i="2"/>
  <c r="P658" i="2"/>
  <c r="V657" i="2"/>
  <c r="V657" i="2" a="1"/>
  <c r="U657" i="2"/>
  <c r="S657" i="2"/>
  <c r="R657" i="2"/>
  <c r="Q657" i="2"/>
  <c r="P657" i="2"/>
  <c r="U656" i="2"/>
  <c r="S656" i="2"/>
  <c r="R656" i="2"/>
  <c r="Q656" i="2"/>
  <c r="P656" i="2"/>
  <c r="V655" i="2"/>
  <c r="V655" i="2" a="1"/>
  <c r="U655" i="2"/>
  <c r="S655" i="2"/>
  <c r="R655" i="2"/>
  <c r="Q655" i="2"/>
  <c r="P655" i="2"/>
  <c r="V654" i="2" a="1"/>
  <c r="V654" i="2" s="1"/>
  <c r="U654" i="2"/>
  <c r="S654" i="2"/>
  <c r="R654" i="2"/>
  <c r="Q654" i="2"/>
  <c r="P654" i="2"/>
  <c r="U653" i="2"/>
  <c r="S653" i="2"/>
  <c r="R653" i="2"/>
  <c r="Q653" i="2"/>
  <c r="P653" i="2"/>
  <c r="U652" i="2"/>
  <c r="S652" i="2"/>
  <c r="R652" i="2"/>
  <c r="Q652" i="2"/>
  <c r="P652" i="2"/>
  <c r="U651" i="2"/>
  <c r="S651" i="2"/>
  <c r="V651" i="2" s="1" a="1"/>
  <c r="V651" i="2" s="1"/>
  <c r="R651" i="2"/>
  <c r="Q651" i="2"/>
  <c r="P651" i="2"/>
  <c r="U650" i="2"/>
  <c r="S650" i="2"/>
  <c r="R650" i="2"/>
  <c r="Q650" i="2"/>
  <c r="P650" i="2"/>
  <c r="V649" i="2"/>
  <c r="V649" i="2" a="1"/>
  <c r="U649" i="2"/>
  <c r="S649" i="2"/>
  <c r="R649" i="2"/>
  <c r="Q649" i="2"/>
  <c r="P649" i="2"/>
  <c r="U648" i="2"/>
  <c r="S648" i="2"/>
  <c r="R648" i="2"/>
  <c r="Q648" i="2"/>
  <c r="P648" i="2"/>
  <c r="V647" i="2"/>
  <c r="V647" i="2" a="1"/>
  <c r="U647" i="2"/>
  <c r="S647" i="2"/>
  <c r="R647" i="2"/>
  <c r="Q647" i="2"/>
  <c r="P647" i="2"/>
  <c r="V646" i="2" a="1"/>
  <c r="V646" i="2" s="1"/>
  <c r="U646" i="2"/>
  <c r="S646" i="2"/>
  <c r="R646" i="2"/>
  <c r="Q646" i="2"/>
  <c r="P646" i="2"/>
  <c r="U645" i="2"/>
  <c r="S645" i="2"/>
  <c r="V645" i="2" s="1" a="1"/>
  <c r="V645" i="2" s="1"/>
  <c r="R645" i="2"/>
  <c r="Q645" i="2"/>
  <c r="P645" i="2"/>
  <c r="U644" i="2"/>
  <c r="S644" i="2"/>
  <c r="R644" i="2"/>
  <c r="Q644" i="2"/>
  <c r="P644" i="2"/>
  <c r="U643" i="2"/>
  <c r="S643" i="2"/>
  <c r="V643" i="2" s="1" a="1"/>
  <c r="V643" i="2" s="1"/>
  <c r="R643" i="2"/>
  <c r="Q643" i="2"/>
  <c r="P643" i="2"/>
  <c r="V642" i="2" a="1"/>
  <c r="V642" i="2" s="1"/>
  <c r="U642" i="2"/>
  <c r="S642" i="2"/>
  <c r="R642" i="2"/>
  <c r="Q642" i="2"/>
  <c r="P642" i="2"/>
  <c r="V641" i="2"/>
  <c r="V641" i="2" a="1"/>
  <c r="U641" i="2"/>
  <c r="S641" i="2"/>
  <c r="R641" i="2"/>
  <c r="Q641" i="2"/>
  <c r="P641" i="2"/>
  <c r="V640" i="2"/>
  <c r="V640" i="2" a="1"/>
  <c r="U640" i="2"/>
  <c r="S640" i="2"/>
  <c r="R640" i="2"/>
  <c r="Q640" i="2"/>
  <c r="P640" i="2"/>
  <c r="V639" i="2"/>
  <c r="V639" i="2" a="1"/>
  <c r="U639" i="2"/>
  <c r="S639" i="2"/>
  <c r="R639" i="2"/>
  <c r="Q639" i="2"/>
  <c r="P639" i="2"/>
  <c r="V638" i="2" a="1"/>
  <c r="V638" i="2" s="1"/>
  <c r="U638" i="2"/>
  <c r="S638" i="2"/>
  <c r="R638" i="2"/>
  <c r="Q638" i="2"/>
  <c r="P638" i="2"/>
  <c r="U637" i="2"/>
  <c r="S637" i="2"/>
  <c r="V637" i="2" s="1" a="1"/>
  <c r="V637" i="2" s="1"/>
  <c r="R637" i="2"/>
  <c r="Q637" i="2"/>
  <c r="P637" i="2"/>
  <c r="V636" i="2" a="1"/>
  <c r="V636" i="2" s="1"/>
  <c r="U636" i="2"/>
  <c r="S636" i="2"/>
  <c r="R636" i="2"/>
  <c r="Q636" i="2"/>
  <c r="P636" i="2"/>
  <c r="V635" i="2"/>
  <c r="U635" i="2"/>
  <c r="S635" i="2"/>
  <c r="V635" i="2" s="1" a="1"/>
  <c r="R635" i="2"/>
  <c r="Q635" i="2"/>
  <c r="P635" i="2"/>
  <c r="V634" i="2" a="1"/>
  <c r="V634" i="2" s="1"/>
  <c r="U634" i="2"/>
  <c r="S634" i="2"/>
  <c r="R634" i="2"/>
  <c r="Q634" i="2"/>
  <c r="P634" i="2"/>
  <c r="V633" i="2"/>
  <c r="V633" i="2" a="1"/>
  <c r="U633" i="2"/>
  <c r="S633" i="2"/>
  <c r="R633" i="2"/>
  <c r="Q633" i="2"/>
  <c r="P633" i="2"/>
  <c r="V632" i="2"/>
  <c r="V632" i="2" a="1"/>
  <c r="U632" i="2"/>
  <c r="S632" i="2"/>
  <c r="R632" i="2"/>
  <c r="Q632" i="2"/>
  <c r="P632" i="2"/>
  <c r="V631" i="2"/>
  <c r="V631" i="2" a="1"/>
  <c r="U631" i="2"/>
  <c r="S631" i="2"/>
  <c r="R631" i="2"/>
  <c r="Q631" i="2"/>
  <c r="P631" i="2"/>
  <c r="U630" i="2"/>
  <c r="S630" i="2"/>
  <c r="R630" i="2"/>
  <c r="Q630" i="2"/>
  <c r="P630" i="2"/>
  <c r="U629" i="2"/>
  <c r="S629" i="2"/>
  <c r="V629" i="2" s="1" a="1"/>
  <c r="V629" i="2" s="1"/>
  <c r="R629" i="2"/>
  <c r="Q629" i="2"/>
  <c r="P629" i="2"/>
  <c r="V628" i="2" a="1"/>
  <c r="V628" i="2" s="1"/>
  <c r="U628" i="2"/>
  <c r="S628" i="2"/>
  <c r="R628" i="2"/>
  <c r="Q628" i="2"/>
  <c r="P628" i="2"/>
  <c r="V627" i="2"/>
  <c r="U627" i="2"/>
  <c r="S627" i="2"/>
  <c r="V627" i="2" s="1" a="1"/>
  <c r="R627" i="2"/>
  <c r="Q627" i="2"/>
  <c r="P627" i="2"/>
  <c r="V626" i="2" a="1"/>
  <c r="V626" i="2" s="1"/>
  <c r="U626" i="2"/>
  <c r="S626" i="2"/>
  <c r="R626" i="2"/>
  <c r="Q626" i="2"/>
  <c r="P626" i="2"/>
  <c r="V625" i="2" a="1"/>
  <c r="V625" i="2" s="1"/>
  <c r="U625" i="2"/>
  <c r="S625" i="2"/>
  <c r="R625" i="2"/>
  <c r="Q625" i="2"/>
  <c r="P625" i="2"/>
  <c r="V624" i="2" a="1"/>
  <c r="V624" i="2" s="1"/>
  <c r="U624" i="2"/>
  <c r="S624" i="2"/>
  <c r="R624" i="2"/>
  <c r="Q624" i="2"/>
  <c r="P624" i="2"/>
  <c r="V623" i="2"/>
  <c r="V623" i="2" a="1"/>
  <c r="U623" i="2"/>
  <c r="S623" i="2"/>
  <c r="R623" i="2"/>
  <c r="Q623" i="2"/>
  <c r="P623" i="2"/>
  <c r="U622" i="2"/>
  <c r="S622" i="2"/>
  <c r="R622" i="2"/>
  <c r="Q622" i="2"/>
  <c r="P622" i="2"/>
  <c r="V621" i="2"/>
  <c r="U621" i="2"/>
  <c r="S621" i="2"/>
  <c r="V621" i="2" s="1" a="1"/>
  <c r="R621" i="2"/>
  <c r="Q621" i="2"/>
  <c r="P621" i="2"/>
  <c r="V620" i="2" a="1"/>
  <c r="V620" i="2" s="1"/>
  <c r="U620" i="2"/>
  <c r="S620" i="2"/>
  <c r="R620" i="2"/>
  <c r="Q620" i="2"/>
  <c r="P620" i="2"/>
  <c r="V619" i="2"/>
  <c r="U619" i="2"/>
  <c r="S619" i="2"/>
  <c r="V619" i="2" s="1" a="1"/>
  <c r="R619" i="2"/>
  <c r="Q619" i="2"/>
  <c r="P619" i="2"/>
  <c r="V618" i="2" a="1"/>
  <c r="V618" i="2" s="1"/>
  <c r="U618" i="2"/>
  <c r="S618" i="2"/>
  <c r="R618" i="2"/>
  <c r="Q618" i="2"/>
  <c r="P618" i="2"/>
  <c r="V617" i="2" a="1"/>
  <c r="V617" i="2" s="1"/>
  <c r="U617" i="2"/>
  <c r="S617" i="2"/>
  <c r="R617" i="2"/>
  <c r="Q617" i="2"/>
  <c r="P617" i="2"/>
  <c r="V616" i="2" a="1"/>
  <c r="V616" i="2" s="1"/>
  <c r="U616" i="2"/>
  <c r="S616" i="2"/>
  <c r="R616" i="2"/>
  <c r="Q616" i="2"/>
  <c r="P616" i="2"/>
  <c r="V615" i="2"/>
  <c r="V615" i="2" a="1"/>
  <c r="U615" i="2"/>
  <c r="S615" i="2"/>
  <c r="R615" i="2"/>
  <c r="Q615" i="2"/>
  <c r="P615" i="2"/>
  <c r="U614" i="2"/>
  <c r="S614" i="2"/>
  <c r="R614" i="2"/>
  <c r="Q614" i="2"/>
  <c r="P614" i="2"/>
  <c r="V613" i="2"/>
  <c r="U613" i="2"/>
  <c r="S613" i="2"/>
  <c r="V613" i="2" s="1" a="1"/>
  <c r="R613" i="2"/>
  <c r="Q613" i="2"/>
  <c r="P613" i="2"/>
  <c r="V612" i="2" a="1"/>
  <c r="V612" i="2" s="1"/>
  <c r="U612" i="2"/>
  <c r="S612" i="2"/>
  <c r="R612" i="2"/>
  <c r="Q612" i="2"/>
  <c r="P612" i="2"/>
  <c r="V611" i="2"/>
  <c r="U611" i="2"/>
  <c r="S611" i="2"/>
  <c r="V611" i="2" s="1" a="1"/>
  <c r="R611" i="2"/>
  <c r="Q611" i="2"/>
  <c r="P611" i="2"/>
  <c r="U610" i="2"/>
  <c r="S610" i="2"/>
  <c r="R610" i="2"/>
  <c r="Q610" i="2"/>
  <c r="P610" i="2"/>
  <c r="V609" i="2" a="1"/>
  <c r="V609" i="2" s="1"/>
  <c r="U609" i="2"/>
  <c r="S609" i="2"/>
  <c r="R609" i="2"/>
  <c r="Q609" i="2"/>
  <c r="P609" i="2"/>
  <c r="U608" i="2"/>
  <c r="S608" i="2"/>
  <c r="R608" i="2"/>
  <c r="Q608" i="2"/>
  <c r="P608" i="2"/>
  <c r="V607" i="2"/>
  <c r="V607" i="2" a="1"/>
  <c r="U607" i="2"/>
  <c r="S607" i="2"/>
  <c r="R607" i="2"/>
  <c r="Q607" i="2"/>
  <c r="P607" i="2"/>
  <c r="U606" i="2"/>
  <c r="S606" i="2"/>
  <c r="R606" i="2"/>
  <c r="Q606" i="2"/>
  <c r="P606" i="2"/>
  <c r="V605" i="2"/>
  <c r="U605" i="2"/>
  <c r="S605" i="2"/>
  <c r="V605" i="2" s="1" a="1"/>
  <c r="R605" i="2"/>
  <c r="Q605" i="2"/>
  <c r="P605" i="2"/>
  <c r="U604" i="2"/>
  <c r="S604" i="2"/>
  <c r="V604" i="2" s="1" a="1"/>
  <c r="V604" i="2" s="1"/>
  <c r="R604" i="2"/>
  <c r="Q604" i="2"/>
  <c r="P604" i="2"/>
  <c r="U603" i="2"/>
  <c r="S603" i="2"/>
  <c r="V603" i="2" s="1" a="1"/>
  <c r="V603" i="2" s="1"/>
  <c r="R603" i="2"/>
  <c r="Q603" i="2"/>
  <c r="P603" i="2"/>
  <c r="U602" i="2"/>
  <c r="S602" i="2"/>
  <c r="R602" i="2"/>
  <c r="Q602" i="2"/>
  <c r="P602" i="2"/>
  <c r="V601" i="2" a="1"/>
  <c r="V601" i="2" s="1"/>
  <c r="U601" i="2"/>
  <c r="S601" i="2"/>
  <c r="R601" i="2"/>
  <c r="Q601" i="2"/>
  <c r="P601" i="2"/>
  <c r="U600" i="2"/>
  <c r="S600" i="2"/>
  <c r="R600" i="2"/>
  <c r="Q600" i="2"/>
  <c r="P600" i="2"/>
  <c r="V599" i="2"/>
  <c r="V599" i="2" a="1"/>
  <c r="U599" i="2"/>
  <c r="S599" i="2"/>
  <c r="R599" i="2"/>
  <c r="Q599" i="2"/>
  <c r="P599" i="2"/>
  <c r="V598" i="2" a="1"/>
  <c r="V598" i="2" s="1"/>
  <c r="U598" i="2"/>
  <c r="S598" i="2"/>
  <c r="R598" i="2"/>
  <c r="Q598" i="2"/>
  <c r="P598" i="2"/>
  <c r="V597" i="2"/>
  <c r="U597" i="2"/>
  <c r="S597" i="2"/>
  <c r="V597" i="2" s="1" a="1"/>
  <c r="R597" i="2"/>
  <c r="Q597" i="2"/>
  <c r="P597" i="2"/>
  <c r="U596" i="2"/>
  <c r="S596" i="2"/>
  <c r="R596" i="2"/>
  <c r="Q596" i="2"/>
  <c r="P596" i="2"/>
  <c r="U595" i="2"/>
  <c r="S595" i="2"/>
  <c r="V595" i="2" s="1" a="1"/>
  <c r="V595" i="2" s="1"/>
  <c r="R595" i="2"/>
  <c r="Q595" i="2"/>
  <c r="P595" i="2"/>
  <c r="U594" i="2"/>
  <c r="S594" i="2"/>
  <c r="R594" i="2"/>
  <c r="Q594" i="2"/>
  <c r="P594" i="2"/>
  <c r="V593" i="2"/>
  <c r="V593" i="2" a="1"/>
  <c r="U593" i="2"/>
  <c r="S593" i="2"/>
  <c r="R593" i="2"/>
  <c r="Q593" i="2"/>
  <c r="P593" i="2"/>
  <c r="U592" i="2"/>
  <c r="S592" i="2"/>
  <c r="R592" i="2"/>
  <c r="Q592" i="2"/>
  <c r="P592" i="2"/>
  <c r="V591" i="2"/>
  <c r="V591" i="2" a="1"/>
  <c r="U591" i="2"/>
  <c r="S591" i="2"/>
  <c r="R591" i="2"/>
  <c r="Q591" i="2"/>
  <c r="P591" i="2"/>
  <c r="U590" i="2"/>
  <c r="S590" i="2"/>
  <c r="R590" i="2"/>
  <c r="Q590" i="2"/>
  <c r="P590" i="2"/>
  <c r="V589" i="2"/>
  <c r="U589" i="2"/>
  <c r="S589" i="2"/>
  <c r="V589" i="2" s="1" a="1"/>
  <c r="R589" i="2"/>
  <c r="Q589" i="2"/>
  <c r="P589" i="2"/>
  <c r="V588" i="2" a="1"/>
  <c r="V588" i="2" s="1"/>
  <c r="U588" i="2"/>
  <c r="S588" i="2"/>
  <c r="R588" i="2"/>
  <c r="Q588" i="2"/>
  <c r="P588" i="2"/>
  <c r="V587" i="2"/>
  <c r="U587" i="2"/>
  <c r="S587" i="2"/>
  <c r="V587" i="2" s="1" a="1"/>
  <c r="R587" i="2"/>
  <c r="Q587" i="2"/>
  <c r="P587" i="2"/>
  <c r="V586" i="2" a="1"/>
  <c r="V586" i="2" s="1"/>
  <c r="U586" i="2"/>
  <c r="S586" i="2"/>
  <c r="R586" i="2"/>
  <c r="Q586" i="2"/>
  <c r="P586" i="2"/>
  <c r="V585" i="2"/>
  <c r="V585" i="2" a="1"/>
  <c r="U585" i="2"/>
  <c r="S585" i="2"/>
  <c r="R585" i="2"/>
  <c r="Q585" i="2"/>
  <c r="P585" i="2"/>
  <c r="U584" i="2"/>
  <c r="S584" i="2"/>
  <c r="R584" i="2"/>
  <c r="Q584" i="2"/>
  <c r="P584" i="2"/>
  <c r="V583" i="2"/>
  <c r="V583" i="2" a="1"/>
  <c r="U583" i="2"/>
  <c r="S583" i="2"/>
  <c r="R583" i="2"/>
  <c r="Q583" i="2"/>
  <c r="P583" i="2"/>
  <c r="U582" i="2"/>
  <c r="S582" i="2"/>
  <c r="R582" i="2"/>
  <c r="Q582" i="2"/>
  <c r="P582" i="2"/>
  <c r="V581" i="2"/>
  <c r="U581" i="2"/>
  <c r="S581" i="2"/>
  <c r="V581" i="2" s="1" a="1"/>
  <c r="R581" i="2"/>
  <c r="Q581" i="2"/>
  <c r="P581" i="2"/>
  <c r="V580" i="2" a="1"/>
  <c r="V580" i="2" s="1"/>
  <c r="U580" i="2"/>
  <c r="S580" i="2"/>
  <c r="R580" i="2"/>
  <c r="Q580" i="2"/>
  <c r="P580" i="2"/>
  <c r="V579" i="2"/>
  <c r="U579" i="2"/>
  <c r="S579" i="2"/>
  <c r="V579" i="2" s="1" a="1"/>
  <c r="R579" i="2"/>
  <c r="Q579" i="2"/>
  <c r="P579" i="2"/>
  <c r="V578" i="2" a="1"/>
  <c r="V578" i="2" s="1"/>
  <c r="U578" i="2"/>
  <c r="S578" i="2"/>
  <c r="R578" i="2"/>
  <c r="Q578" i="2"/>
  <c r="P578" i="2"/>
  <c r="V577" i="2"/>
  <c r="V577" i="2" a="1"/>
  <c r="U577" i="2"/>
  <c r="S577" i="2"/>
  <c r="R577" i="2"/>
  <c r="Q577" i="2"/>
  <c r="P577" i="2"/>
  <c r="U576" i="2"/>
  <c r="S576" i="2"/>
  <c r="R576" i="2"/>
  <c r="Q576" i="2"/>
  <c r="P576" i="2"/>
  <c r="V575" i="2"/>
  <c r="V575" i="2" a="1"/>
  <c r="U575" i="2"/>
  <c r="S575" i="2"/>
  <c r="R575" i="2"/>
  <c r="Q575" i="2"/>
  <c r="P575" i="2"/>
  <c r="U574" i="2"/>
  <c r="S574" i="2"/>
  <c r="R574" i="2"/>
  <c r="Q574" i="2"/>
  <c r="P574" i="2"/>
  <c r="U573" i="2"/>
  <c r="S573" i="2"/>
  <c r="V573" i="2" s="1" a="1"/>
  <c r="V573" i="2" s="1"/>
  <c r="R573" i="2"/>
  <c r="Q573" i="2"/>
  <c r="P573" i="2"/>
  <c r="V572" i="2" a="1"/>
  <c r="V572" i="2" s="1"/>
  <c r="U572" i="2"/>
  <c r="S572" i="2"/>
  <c r="R572" i="2"/>
  <c r="Q572" i="2"/>
  <c r="P572" i="2"/>
  <c r="V571" i="2"/>
  <c r="U571" i="2"/>
  <c r="S571" i="2"/>
  <c r="V571" i="2" s="1" a="1"/>
  <c r="R571" i="2"/>
  <c r="Q571" i="2"/>
  <c r="P571" i="2"/>
  <c r="V570" i="2" a="1"/>
  <c r="V570" i="2" s="1"/>
  <c r="U570" i="2"/>
  <c r="S570" i="2"/>
  <c r="R570" i="2"/>
  <c r="Q570" i="2"/>
  <c r="P570" i="2"/>
  <c r="V569" i="2"/>
  <c r="V569" i="2" a="1"/>
  <c r="U569" i="2"/>
  <c r="S569" i="2"/>
  <c r="R569" i="2"/>
  <c r="Q569" i="2"/>
  <c r="P569" i="2"/>
  <c r="U568" i="2"/>
  <c r="S568" i="2"/>
  <c r="R568" i="2"/>
  <c r="Q568" i="2"/>
  <c r="P568" i="2"/>
  <c r="V567" i="2"/>
  <c r="V567" i="2" a="1"/>
  <c r="U567" i="2"/>
  <c r="S567" i="2"/>
  <c r="R567" i="2"/>
  <c r="Q567" i="2"/>
  <c r="P567" i="2"/>
  <c r="U566" i="2"/>
  <c r="S566" i="2"/>
  <c r="R566" i="2"/>
  <c r="Q566" i="2"/>
  <c r="P566" i="2"/>
  <c r="U565" i="2"/>
  <c r="S565" i="2"/>
  <c r="V565" i="2" s="1" a="1"/>
  <c r="V565" i="2" s="1"/>
  <c r="R565" i="2"/>
  <c r="Q565" i="2"/>
  <c r="P565" i="2"/>
  <c r="V564" i="2" a="1"/>
  <c r="V564" i="2" s="1"/>
  <c r="U564" i="2"/>
  <c r="S564" i="2"/>
  <c r="R564" i="2"/>
  <c r="Q564" i="2"/>
  <c r="P564" i="2"/>
  <c r="V563" i="2"/>
  <c r="U563" i="2"/>
  <c r="S563" i="2"/>
  <c r="V563" i="2" s="1" a="1"/>
  <c r="R563" i="2"/>
  <c r="Q563" i="2"/>
  <c r="P563" i="2"/>
  <c r="V562" i="2" a="1"/>
  <c r="V562" i="2" s="1"/>
  <c r="U562" i="2"/>
  <c r="S562" i="2"/>
  <c r="R562" i="2"/>
  <c r="Q562" i="2"/>
  <c r="P562" i="2"/>
  <c r="U561" i="2"/>
  <c r="S561" i="2"/>
  <c r="V561" i="2" s="1" a="1"/>
  <c r="V561" i="2" s="1"/>
  <c r="R561" i="2"/>
  <c r="Q561" i="2"/>
  <c r="P561" i="2"/>
  <c r="U560" i="2"/>
  <c r="S560" i="2"/>
  <c r="R560" i="2"/>
  <c r="Q560" i="2"/>
  <c r="P560" i="2"/>
  <c r="V559" i="2" a="1"/>
  <c r="V559" i="2" s="1"/>
  <c r="U559" i="2"/>
  <c r="S559" i="2"/>
  <c r="R559" i="2"/>
  <c r="Q559" i="2"/>
  <c r="P559" i="2"/>
  <c r="V558" i="2"/>
  <c r="V558" i="2" a="1"/>
  <c r="U558" i="2"/>
  <c r="S558" i="2"/>
  <c r="R558" i="2"/>
  <c r="Q558" i="2"/>
  <c r="P558" i="2"/>
  <c r="V557" i="2"/>
  <c r="V557" i="2" a="1"/>
  <c r="U557" i="2"/>
  <c r="S557" i="2"/>
  <c r="R557" i="2"/>
  <c r="Q557" i="2"/>
  <c r="P557" i="2"/>
  <c r="U556" i="2"/>
  <c r="S556" i="2"/>
  <c r="R556" i="2"/>
  <c r="Q556" i="2"/>
  <c r="P556" i="2"/>
  <c r="U555" i="2"/>
  <c r="S555" i="2"/>
  <c r="V555" i="2" s="1" a="1"/>
  <c r="V555" i="2" s="1"/>
  <c r="R555" i="2"/>
  <c r="Q555" i="2"/>
  <c r="P555" i="2"/>
  <c r="U554" i="2"/>
  <c r="S554" i="2"/>
  <c r="R554" i="2"/>
  <c r="Q554" i="2"/>
  <c r="P554" i="2"/>
  <c r="V553" i="2" a="1"/>
  <c r="V553" i="2" s="1"/>
  <c r="U553" i="2"/>
  <c r="S553" i="2"/>
  <c r="R553" i="2"/>
  <c r="Q553" i="2"/>
  <c r="P553" i="2"/>
  <c r="V552" i="2" a="1"/>
  <c r="V552" i="2" s="1"/>
  <c r="U552" i="2"/>
  <c r="S552" i="2"/>
  <c r="R552" i="2"/>
  <c r="Q552" i="2"/>
  <c r="P552" i="2"/>
  <c r="V551" i="2"/>
  <c r="V551" i="2" a="1"/>
  <c r="U551" i="2"/>
  <c r="S551" i="2"/>
  <c r="R551" i="2"/>
  <c r="Q551" i="2"/>
  <c r="P551" i="2"/>
  <c r="U550" i="2"/>
  <c r="S550" i="2"/>
  <c r="R550" i="2"/>
  <c r="Q550" i="2"/>
  <c r="P550" i="2"/>
  <c r="U549" i="2"/>
  <c r="S549" i="2"/>
  <c r="R549" i="2"/>
  <c r="Q549" i="2"/>
  <c r="P549" i="2"/>
  <c r="V548" i="2" a="1"/>
  <c r="V548" i="2" s="1"/>
  <c r="U548" i="2"/>
  <c r="S548" i="2"/>
  <c r="R548" i="2"/>
  <c r="Q548" i="2"/>
  <c r="P548" i="2"/>
  <c r="V547" i="2"/>
  <c r="U547" i="2"/>
  <c r="S547" i="2"/>
  <c r="V547" i="2" s="1" a="1"/>
  <c r="R547" i="2"/>
  <c r="Q547" i="2"/>
  <c r="P547" i="2"/>
  <c r="V546" i="2" a="1"/>
  <c r="V546" i="2" s="1"/>
  <c r="U546" i="2"/>
  <c r="S546" i="2"/>
  <c r="R546" i="2"/>
  <c r="Q546" i="2"/>
  <c r="P546" i="2"/>
  <c r="U545" i="2"/>
  <c r="S545" i="2"/>
  <c r="V545" i="2" s="1" a="1"/>
  <c r="V545" i="2" s="1"/>
  <c r="R545" i="2"/>
  <c r="Q545" i="2"/>
  <c r="P545" i="2"/>
  <c r="U544" i="2"/>
  <c r="S544" i="2"/>
  <c r="R544" i="2"/>
  <c r="Q544" i="2"/>
  <c r="P544" i="2"/>
  <c r="V543" i="2" a="1"/>
  <c r="V543" i="2" s="1"/>
  <c r="U543" i="2"/>
  <c r="S543" i="2"/>
  <c r="R543" i="2"/>
  <c r="Q543" i="2"/>
  <c r="P543" i="2"/>
  <c r="V542" i="2"/>
  <c r="V542" i="2" a="1"/>
  <c r="U542" i="2"/>
  <c r="S542" i="2"/>
  <c r="R542" i="2"/>
  <c r="Q542" i="2"/>
  <c r="P542" i="2"/>
  <c r="V541" i="2"/>
  <c r="V541" i="2" a="1"/>
  <c r="U541" i="2"/>
  <c r="S541" i="2"/>
  <c r="R541" i="2"/>
  <c r="Q541" i="2"/>
  <c r="P541" i="2"/>
  <c r="U540" i="2"/>
  <c r="S540" i="2"/>
  <c r="R540" i="2"/>
  <c r="Q540" i="2"/>
  <c r="P540" i="2"/>
  <c r="U539" i="2"/>
  <c r="S539" i="2"/>
  <c r="V539" i="2" s="1" a="1"/>
  <c r="V539" i="2" s="1"/>
  <c r="R539" i="2"/>
  <c r="Q539" i="2"/>
  <c r="P539" i="2"/>
  <c r="U538" i="2"/>
  <c r="S538" i="2"/>
  <c r="R538" i="2"/>
  <c r="Q538" i="2"/>
  <c r="P538" i="2"/>
  <c r="V537" i="2" a="1"/>
  <c r="V537" i="2" s="1"/>
  <c r="U537" i="2"/>
  <c r="S537" i="2"/>
  <c r="R537" i="2"/>
  <c r="Q537" i="2"/>
  <c r="P537" i="2"/>
  <c r="V536" i="2" a="1"/>
  <c r="V536" i="2" s="1"/>
  <c r="U536" i="2"/>
  <c r="S536" i="2"/>
  <c r="R536" i="2"/>
  <c r="Q536" i="2"/>
  <c r="P536" i="2"/>
  <c r="V535" i="2"/>
  <c r="V535" i="2" a="1"/>
  <c r="U535" i="2"/>
  <c r="S535" i="2"/>
  <c r="R535" i="2"/>
  <c r="Q535" i="2"/>
  <c r="P535" i="2"/>
  <c r="U534" i="2"/>
  <c r="S534" i="2"/>
  <c r="R534" i="2"/>
  <c r="Q534" i="2"/>
  <c r="P534" i="2"/>
  <c r="U533" i="2"/>
  <c r="S533" i="2"/>
  <c r="R533" i="2"/>
  <c r="Q533" i="2"/>
  <c r="P533" i="2"/>
  <c r="V532" i="2" a="1"/>
  <c r="V532" i="2" s="1"/>
  <c r="U532" i="2"/>
  <c r="S532" i="2"/>
  <c r="R532" i="2"/>
  <c r="Q532" i="2"/>
  <c r="P532" i="2"/>
  <c r="V531" i="2"/>
  <c r="U531" i="2"/>
  <c r="S531" i="2"/>
  <c r="V531" i="2" s="1" a="1"/>
  <c r="R531" i="2"/>
  <c r="Q531" i="2"/>
  <c r="P531" i="2"/>
  <c r="V530" i="2" a="1"/>
  <c r="V530" i="2" s="1"/>
  <c r="U530" i="2"/>
  <c r="S530" i="2"/>
  <c r="R530" i="2"/>
  <c r="Q530" i="2"/>
  <c r="P530" i="2"/>
  <c r="U529" i="2"/>
  <c r="S529" i="2"/>
  <c r="V529" i="2" s="1" a="1"/>
  <c r="V529" i="2" s="1"/>
  <c r="R529" i="2"/>
  <c r="Q529" i="2"/>
  <c r="P529" i="2"/>
  <c r="U528" i="2"/>
  <c r="S528" i="2"/>
  <c r="R528" i="2"/>
  <c r="Q528" i="2"/>
  <c r="P528" i="2"/>
  <c r="V527" i="2" a="1"/>
  <c r="V527" i="2" s="1"/>
  <c r="U527" i="2"/>
  <c r="S527" i="2"/>
  <c r="R527" i="2"/>
  <c r="Q527" i="2"/>
  <c r="P527" i="2"/>
  <c r="V526" i="2"/>
  <c r="V526" i="2" a="1"/>
  <c r="U526" i="2"/>
  <c r="S526" i="2"/>
  <c r="R526" i="2"/>
  <c r="Q526" i="2"/>
  <c r="P526" i="2"/>
  <c r="V525" i="2"/>
  <c r="V525" i="2" a="1"/>
  <c r="U525" i="2"/>
  <c r="S525" i="2"/>
  <c r="R525" i="2"/>
  <c r="Q525" i="2"/>
  <c r="P525" i="2"/>
  <c r="U524" i="2"/>
  <c r="S524" i="2"/>
  <c r="R524" i="2"/>
  <c r="Q524" i="2"/>
  <c r="P524" i="2"/>
  <c r="U523" i="2"/>
  <c r="S523" i="2"/>
  <c r="V523" i="2" s="1" a="1"/>
  <c r="V523" i="2" s="1"/>
  <c r="R523" i="2"/>
  <c r="Q523" i="2"/>
  <c r="P523" i="2"/>
  <c r="U522" i="2"/>
  <c r="S522" i="2"/>
  <c r="R522" i="2"/>
  <c r="Q522" i="2"/>
  <c r="P522" i="2"/>
  <c r="V521" i="2" a="1"/>
  <c r="V521" i="2" s="1"/>
  <c r="U521" i="2"/>
  <c r="S521" i="2"/>
  <c r="R521" i="2"/>
  <c r="Q521" i="2"/>
  <c r="P521" i="2"/>
  <c r="V520" i="2" a="1"/>
  <c r="V520" i="2" s="1"/>
  <c r="U520" i="2"/>
  <c r="S520" i="2"/>
  <c r="R520" i="2"/>
  <c r="Q520" i="2"/>
  <c r="P520" i="2"/>
  <c r="V519" i="2"/>
  <c r="V519" i="2" a="1"/>
  <c r="U519" i="2"/>
  <c r="S519" i="2"/>
  <c r="R519" i="2"/>
  <c r="Q519" i="2"/>
  <c r="P519" i="2"/>
  <c r="U518" i="2"/>
  <c r="S518" i="2"/>
  <c r="R518" i="2"/>
  <c r="Q518" i="2"/>
  <c r="P518" i="2"/>
  <c r="V517" i="2" a="1"/>
  <c r="V517" i="2" s="1"/>
  <c r="U517" i="2"/>
  <c r="S517" i="2"/>
  <c r="R517" i="2"/>
  <c r="Q517" i="2"/>
  <c r="P517" i="2"/>
  <c r="U516" i="2"/>
  <c r="S516" i="2"/>
  <c r="V516" i="2" s="1" a="1"/>
  <c r="V516" i="2" s="1"/>
  <c r="R516" i="2"/>
  <c r="Q516" i="2"/>
  <c r="P516" i="2"/>
  <c r="U515" i="2"/>
  <c r="S515" i="2"/>
  <c r="R515" i="2"/>
  <c r="Q515" i="2"/>
  <c r="P515" i="2"/>
  <c r="V514" i="2" a="1"/>
  <c r="V514" i="2" s="1"/>
  <c r="U514" i="2"/>
  <c r="S514" i="2"/>
  <c r="R514" i="2"/>
  <c r="Q514" i="2"/>
  <c r="P514" i="2"/>
  <c r="U513" i="2"/>
  <c r="S513" i="2"/>
  <c r="R513" i="2"/>
  <c r="Q513" i="2"/>
  <c r="P513" i="2"/>
  <c r="V512" i="2" a="1"/>
  <c r="V512" i="2" s="1"/>
  <c r="U512" i="2"/>
  <c r="S512" i="2"/>
  <c r="R512" i="2"/>
  <c r="Q512" i="2"/>
  <c r="P512" i="2"/>
  <c r="V511" i="2" a="1"/>
  <c r="V511" i="2" s="1"/>
  <c r="U511" i="2"/>
  <c r="S511" i="2"/>
  <c r="R511" i="2"/>
  <c r="Q511" i="2"/>
  <c r="P511" i="2"/>
  <c r="U510" i="2"/>
  <c r="S510" i="2"/>
  <c r="R510" i="2"/>
  <c r="Q510" i="2"/>
  <c r="P510" i="2"/>
  <c r="V509" i="2" a="1"/>
  <c r="V509" i="2" s="1"/>
  <c r="U509" i="2"/>
  <c r="S509" i="2"/>
  <c r="R509" i="2"/>
  <c r="Q509" i="2"/>
  <c r="P509" i="2"/>
  <c r="U508" i="2"/>
  <c r="S508" i="2"/>
  <c r="V508" i="2" s="1" a="1"/>
  <c r="V508" i="2" s="1"/>
  <c r="R508" i="2"/>
  <c r="Q508" i="2"/>
  <c r="P508" i="2"/>
  <c r="U507" i="2"/>
  <c r="S507" i="2"/>
  <c r="R507" i="2"/>
  <c r="Q507" i="2"/>
  <c r="P507" i="2"/>
  <c r="V506" i="2" a="1"/>
  <c r="V506" i="2" s="1"/>
  <c r="U506" i="2"/>
  <c r="S506" i="2"/>
  <c r="R506" i="2"/>
  <c r="Q506" i="2"/>
  <c r="P506" i="2"/>
  <c r="U505" i="2"/>
  <c r="S505" i="2"/>
  <c r="R505" i="2"/>
  <c r="Q505" i="2"/>
  <c r="P505" i="2"/>
  <c r="V504" i="2" a="1"/>
  <c r="V504" i="2" s="1"/>
  <c r="U504" i="2"/>
  <c r="S504" i="2"/>
  <c r="R504" i="2"/>
  <c r="Q504" i="2"/>
  <c r="P504" i="2"/>
  <c r="V503" i="2" a="1"/>
  <c r="V503" i="2" s="1"/>
  <c r="U503" i="2"/>
  <c r="S503" i="2"/>
  <c r="R503" i="2"/>
  <c r="Q503" i="2"/>
  <c r="P503" i="2"/>
  <c r="U502" i="2"/>
  <c r="S502" i="2"/>
  <c r="R502" i="2"/>
  <c r="Q502" i="2"/>
  <c r="P502" i="2"/>
  <c r="V501" i="2" a="1"/>
  <c r="V501" i="2" s="1"/>
  <c r="U501" i="2"/>
  <c r="S501" i="2"/>
  <c r="R501" i="2"/>
  <c r="Q501" i="2"/>
  <c r="P501" i="2"/>
  <c r="U500" i="2"/>
  <c r="S500" i="2"/>
  <c r="V500" i="2" s="1" a="1"/>
  <c r="V500" i="2" s="1"/>
  <c r="R500" i="2"/>
  <c r="Q500" i="2"/>
  <c r="P500" i="2"/>
  <c r="U499" i="2"/>
  <c r="S499" i="2"/>
  <c r="R499" i="2"/>
  <c r="Q499" i="2"/>
  <c r="P499" i="2"/>
  <c r="V498" i="2" a="1"/>
  <c r="V498" i="2" s="1"/>
  <c r="U498" i="2"/>
  <c r="S498" i="2"/>
  <c r="R498" i="2"/>
  <c r="Q498" i="2"/>
  <c r="P498" i="2"/>
  <c r="U497" i="2"/>
  <c r="S497" i="2"/>
  <c r="R497" i="2"/>
  <c r="Q497" i="2"/>
  <c r="P497" i="2"/>
  <c r="V496" i="2" a="1"/>
  <c r="V496" i="2" s="1"/>
  <c r="U496" i="2"/>
  <c r="S496" i="2"/>
  <c r="R496" i="2"/>
  <c r="Q496" i="2"/>
  <c r="P496" i="2"/>
  <c r="V495" i="2" a="1"/>
  <c r="V495" i="2" s="1"/>
  <c r="U495" i="2"/>
  <c r="S495" i="2"/>
  <c r="R495" i="2"/>
  <c r="Q495" i="2"/>
  <c r="P495" i="2"/>
  <c r="U494" i="2"/>
  <c r="S494" i="2"/>
  <c r="R494" i="2"/>
  <c r="Q494" i="2"/>
  <c r="P494" i="2"/>
  <c r="V493" i="2" a="1"/>
  <c r="V493" i="2" s="1"/>
  <c r="U493" i="2"/>
  <c r="S493" i="2"/>
  <c r="R493" i="2"/>
  <c r="Q493" i="2"/>
  <c r="P493" i="2"/>
  <c r="U492" i="2"/>
  <c r="S492" i="2"/>
  <c r="V492" i="2" s="1" a="1"/>
  <c r="V492" i="2" s="1"/>
  <c r="R492" i="2"/>
  <c r="Q492" i="2"/>
  <c r="P492" i="2"/>
  <c r="U491" i="2"/>
  <c r="S491" i="2"/>
  <c r="R491" i="2"/>
  <c r="Q491" i="2"/>
  <c r="P491" i="2"/>
  <c r="V490" i="2" a="1"/>
  <c r="V490" i="2" s="1"/>
  <c r="U490" i="2"/>
  <c r="S490" i="2"/>
  <c r="R490" i="2"/>
  <c r="Q490" i="2"/>
  <c r="P490" i="2"/>
  <c r="U489" i="2"/>
  <c r="S489" i="2"/>
  <c r="R489" i="2"/>
  <c r="Q489" i="2"/>
  <c r="P489" i="2"/>
  <c r="V488" i="2" a="1"/>
  <c r="V488" i="2" s="1"/>
  <c r="U488" i="2"/>
  <c r="S488" i="2"/>
  <c r="R488" i="2"/>
  <c r="Q488" i="2"/>
  <c r="P488" i="2"/>
  <c r="V487" i="2" a="1"/>
  <c r="V487" i="2" s="1"/>
  <c r="U487" i="2"/>
  <c r="S487" i="2"/>
  <c r="R487" i="2"/>
  <c r="Q487" i="2"/>
  <c r="P487" i="2"/>
  <c r="U486" i="2"/>
  <c r="S486" i="2"/>
  <c r="R486" i="2"/>
  <c r="Q486" i="2"/>
  <c r="P486" i="2"/>
  <c r="V485" i="2" a="1"/>
  <c r="V485" i="2" s="1"/>
  <c r="U485" i="2"/>
  <c r="S485" i="2"/>
  <c r="R485" i="2"/>
  <c r="Q485" i="2"/>
  <c r="P485" i="2"/>
  <c r="U484" i="2"/>
  <c r="S484" i="2"/>
  <c r="V484" i="2" s="1" a="1"/>
  <c r="V484" i="2" s="1"/>
  <c r="R484" i="2"/>
  <c r="Q484" i="2"/>
  <c r="P484" i="2"/>
  <c r="U483" i="2"/>
  <c r="S483" i="2"/>
  <c r="R483" i="2"/>
  <c r="Q483" i="2"/>
  <c r="P483" i="2"/>
  <c r="V482" i="2" a="1"/>
  <c r="V482" i="2" s="1"/>
  <c r="U482" i="2"/>
  <c r="S482" i="2"/>
  <c r="R482" i="2"/>
  <c r="Q482" i="2"/>
  <c r="P482" i="2"/>
  <c r="U481" i="2"/>
  <c r="S481" i="2"/>
  <c r="R481" i="2"/>
  <c r="Q481" i="2"/>
  <c r="P481" i="2"/>
  <c r="V480" i="2" a="1"/>
  <c r="V480" i="2" s="1"/>
  <c r="U480" i="2"/>
  <c r="S480" i="2"/>
  <c r="R480" i="2"/>
  <c r="Q480" i="2"/>
  <c r="P480" i="2"/>
  <c r="V479" i="2" a="1"/>
  <c r="V479" i="2" s="1"/>
  <c r="U479" i="2"/>
  <c r="S479" i="2"/>
  <c r="R479" i="2"/>
  <c r="Q479" i="2"/>
  <c r="P479" i="2"/>
  <c r="U478" i="2"/>
  <c r="S478" i="2"/>
  <c r="R478" i="2"/>
  <c r="Q478" i="2"/>
  <c r="P478" i="2"/>
  <c r="V477" i="2" a="1"/>
  <c r="V477" i="2" s="1"/>
  <c r="U477" i="2"/>
  <c r="S477" i="2"/>
  <c r="R477" i="2"/>
  <c r="Q477" i="2"/>
  <c r="P477" i="2"/>
  <c r="U476" i="2"/>
  <c r="S476" i="2"/>
  <c r="V476" i="2" s="1" a="1"/>
  <c r="V476" i="2" s="1"/>
  <c r="R476" i="2"/>
  <c r="Q476" i="2"/>
  <c r="P476" i="2"/>
  <c r="U475" i="2"/>
  <c r="S475" i="2"/>
  <c r="R475" i="2"/>
  <c r="Q475" i="2"/>
  <c r="P475" i="2"/>
  <c r="V474" i="2" a="1"/>
  <c r="V474" i="2" s="1"/>
  <c r="U474" i="2"/>
  <c r="S474" i="2"/>
  <c r="R474" i="2"/>
  <c r="Q474" i="2"/>
  <c r="P474" i="2"/>
  <c r="U473" i="2"/>
  <c r="S473" i="2"/>
  <c r="R473" i="2"/>
  <c r="Q473" i="2"/>
  <c r="P473" i="2"/>
  <c r="V472" i="2" a="1"/>
  <c r="V472" i="2" s="1"/>
  <c r="U472" i="2"/>
  <c r="S472" i="2"/>
  <c r="R472" i="2"/>
  <c r="Q472" i="2"/>
  <c r="P472" i="2"/>
  <c r="V471" i="2" a="1"/>
  <c r="V471" i="2" s="1"/>
  <c r="U471" i="2"/>
  <c r="S471" i="2"/>
  <c r="R471" i="2"/>
  <c r="Q471" i="2"/>
  <c r="P471" i="2"/>
  <c r="U470" i="2"/>
  <c r="S470" i="2"/>
  <c r="R470" i="2"/>
  <c r="Q470" i="2"/>
  <c r="P470" i="2"/>
  <c r="V469" i="2" a="1"/>
  <c r="V469" i="2" s="1"/>
  <c r="U469" i="2"/>
  <c r="S469" i="2"/>
  <c r="R469" i="2"/>
  <c r="Q469" i="2"/>
  <c r="P469" i="2"/>
  <c r="U468" i="2"/>
  <c r="S468" i="2"/>
  <c r="V468" i="2" s="1" a="1"/>
  <c r="V468" i="2" s="1"/>
  <c r="R468" i="2"/>
  <c r="Q468" i="2"/>
  <c r="P468" i="2"/>
  <c r="U467" i="2"/>
  <c r="S467" i="2"/>
  <c r="R467" i="2"/>
  <c r="Q467" i="2"/>
  <c r="P467" i="2"/>
  <c r="V466" i="2" a="1"/>
  <c r="V466" i="2" s="1"/>
  <c r="U466" i="2"/>
  <c r="S466" i="2"/>
  <c r="R466" i="2"/>
  <c r="Q466" i="2"/>
  <c r="P466" i="2"/>
  <c r="U465" i="2"/>
  <c r="S465" i="2"/>
  <c r="R465" i="2"/>
  <c r="Q465" i="2"/>
  <c r="P465" i="2"/>
  <c r="V464" i="2" a="1"/>
  <c r="V464" i="2" s="1"/>
  <c r="U464" i="2"/>
  <c r="S464" i="2"/>
  <c r="R464" i="2"/>
  <c r="Q464" i="2"/>
  <c r="P464" i="2"/>
  <c r="V463" i="2" a="1"/>
  <c r="V463" i="2" s="1"/>
  <c r="U463" i="2"/>
  <c r="S463" i="2"/>
  <c r="R463" i="2"/>
  <c r="Q463" i="2"/>
  <c r="P463" i="2"/>
  <c r="U462" i="2"/>
  <c r="S462" i="2"/>
  <c r="R462" i="2"/>
  <c r="Q462" i="2"/>
  <c r="P462" i="2"/>
  <c r="V461" i="2" a="1"/>
  <c r="V461" i="2" s="1"/>
  <c r="U461" i="2"/>
  <c r="S461" i="2"/>
  <c r="R461" i="2"/>
  <c r="Q461" i="2"/>
  <c r="P461" i="2"/>
  <c r="U460" i="2"/>
  <c r="S460" i="2"/>
  <c r="V460" i="2" s="1" a="1"/>
  <c r="V460" i="2" s="1"/>
  <c r="R460" i="2"/>
  <c r="Q460" i="2"/>
  <c r="P460" i="2"/>
  <c r="U459" i="2"/>
  <c r="S459" i="2"/>
  <c r="R459" i="2"/>
  <c r="Q459" i="2"/>
  <c r="P459" i="2"/>
  <c r="V458" i="2" a="1"/>
  <c r="V458" i="2" s="1"/>
  <c r="U458" i="2"/>
  <c r="S458" i="2"/>
  <c r="R458" i="2"/>
  <c r="Q458" i="2"/>
  <c r="P458" i="2"/>
  <c r="U457" i="2"/>
  <c r="S457" i="2"/>
  <c r="R457" i="2"/>
  <c r="Q457" i="2"/>
  <c r="P457" i="2"/>
  <c r="V456" i="2" a="1"/>
  <c r="V456" i="2" s="1"/>
  <c r="U456" i="2"/>
  <c r="S456" i="2"/>
  <c r="R456" i="2"/>
  <c r="Q456" i="2"/>
  <c r="P456" i="2"/>
  <c r="V455" i="2" a="1"/>
  <c r="V455" i="2" s="1"/>
  <c r="U455" i="2"/>
  <c r="S455" i="2"/>
  <c r="R455" i="2"/>
  <c r="Q455" i="2"/>
  <c r="P455" i="2"/>
  <c r="U454" i="2"/>
  <c r="S454" i="2"/>
  <c r="R454" i="2"/>
  <c r="Q454" i="2"/>
  <c r="P454" i="2"/>
  <c r="V453" i="2" a="1"/>
  <c r="V453" i="2" s="1"/>
  <c r="U453" i="2"/>
  <c r="S453" i="2"/>
  <c r="R453" i="2"/>
  <c r="Q453" i="2"/>
  <c r="P453" i="2"/>
  <c r="U452" i="2"/>
  <c r="S452" i="2"/>
  <c r="V452" i="2" s="1" a="1"/>
  <c r="V452" i="2" s="1"/>
  <c r="R452" i="2"/>
  <c r="Q452" i="2"/>
  <c r="P452" i="2"/>
  <c r="U451" i="2"/>
  <c r="S451" i="2"/>
  <c r="R451" i="2"/>
  <c r="Q451" i="2"/>
  <c r="P451" i="2"/>
  <c r="V450" i="2" a="1"/>
  <c r="V450" i="2" s="1"/>
  <c r="U450" i="2"/>
  <c r="S450" i="2"/>
  <c r="R450" i="2"/>
  <c r="Q450" i="2"/>
  <c r="P450" i="2"/>
  <c r="U449" i="2"/>
  <c r="S449" i="2"/>
  <c r="R449" i="2"/>
  <c r="Q449" i="2"/>
  <c r="P449" i="2"/>
  <c r="V448" i="2" a="1"/>
  <c r="V448" i="2" s="1"/>
  <c r="U448" i="2"/>
  <c r="S448" i="2"/>
  <c r="R448" i="2"/>
  <c r="Q448" i="2"/>
  <c r="P448" i="2"/>
  <c r="V447" i="2" a="1"/>
  <c r="V447" i="2" s="1"/>
  <c r="U447" i="2"/>
  <c r="S447" i="2"/>
  <c r="R447" i="2"/>
  <c r="Q447" i="2"/>
  <c r="P447" i="2"/>
  <c r="U446" i="2"/>
  <c r="S446" i="2"/>
  <c r="R446" i="2"/>
  <c r="Q446" i="2"/>
  <c r="P446" i="2"/>
  <c r="V445" i="2" a="1"/>
  <c r="V445" i="2" s="1"/>
  <c r="U445" i="2"/>
  <c r="S445" i="2"/>
  <c r="R445" i="2"/>
  <c r="Q445" i="2"/>
  <c r="P445" i="2"/>
  <c r="U444" i="2"/>
  <c r="S444" i="2"/>
  <c r="V444" i="2" s="1" a="1"/>
  <c r="V444" i="2" s="1"/>
  <c r="R444" i="2"/>
  <c r="Q444" i="2"/>
  <c r="P444" i="2"/>
  <c r="U443" i="2"/>
  <c r="S443" i="2"/>
  <c r="R443" i="2"/>
  <c r="Q443" i="2"/>
  <c r="P443" i="2"/>
  <c r="V442" i="2" a="1"/>
  <c r="V442" i="2" s="1"/>
  <c r="U442" i="2"/>
  <c r="S442" i="2"/>
  <c r="R442" i="2"/>
  <c r="Q442" i="2"/>
  <c r="P442" i="2"/>
  <c r="U441" i="2"/>
  <c r="S441" i="2"/>
  <c r="R441" i="2"/>
  <c r="Q441" i="2"/>
  <c r="P441" i="2"/>
  <c r="V440" i="2" a="1"/>
  <c r="V440" i="2" s="1"/>
  <c r="U440" i="2"/>
  <c r="S440" i="2"/>
  <c r="R440" i="2"/>
  <c r="Q440" i="2"/>
  <c r="P440" i="2"/>
  <c r="V439" i="2" a="1"/>
  <c r="V439" i="2" s="1"/>
  <c r="U439" i="2"/>
  <c r="S439" i="2"/>
  <c r="R439" i="2"/>
  <c r="Q439" i="2"/>
  <c r="P439" i="2"/>
  <c r="U438" i="2"/>
  <c r="S438" i="2"/>
  <c r="R438" i="2"/>
  <c r="Q438" i="2"/>
  <c r="P438" i="2"/>
  <c r="V437" i="2" a="1"/>
  <c r="V437" i="2" s="1"/>
  <c r="U437" i="2"/>
  <c r="S437" i="2"/>
  <c r="R437" i="2"/>
  <c r="Q437" i="2"/>
  <c r="P437" i="2"/>
  <c r="U436" i="2"/>
  <c r="S436" i="2"/>
  <c r="V436" i="2" s="1" a="1"/>
  <c r="V436" i="2" s="1"/>
  <c r="R436" i="2"/>
  <c r="Q436" i="2"/>
  <c r="P436" i="2"/>
  <c r="U435" i="2"/>
  <c r="S435" i="2"/>
  <c r="R435" i="2"/>
  <c r="Q435" i="2"/>
  <c r="P435" i="2"/>
  <c r="V434" i="2" a="1"/>
  <c r="V434" i="2" s="1"/>
  <c r="U434" i="2"/>
  <c r="S434" i="2"/>
  <c r="R434" i="2"/>
  <c r="Q434" i="2"/>
  <c r="P434" i="2"/>
  <c r="U433" i="2"/>
  <c r="S433" i="2"/>
  <c r="R433" i="2"/>
  <c r="Q433" i="2"/>
  <c r="P433" i="2"/>
  <c r="V432" i="2" a="1"/>
  <c r="V432" i="2" s="1"/>
  <c r="U432" i="2"/>
  <c r="S432" i="2"/>
  <c r="R432" i="2"/>
  <c r="Q432" i="2"/>
  <c r="P432" i="2"/>
  <c r="V431" i="2" a="1"/>
  <c r="V431" i="2" s="1"/>
  <c r="U431" i="2"/>
  <c r="S431" i="2"/>
  <c r="R431" i="2"/>
  <c r="Q431" i="2"/>
  <c r="P431" i="2"/>
  <c r="U430" i="2"/>
  <c r="S430" i="2"/>
  <c r="R430" i="2"/>
  <c r="Q430" i="2"/>
  <c r="P430" i="2"/>
  <c r="V429" i="2" a="1"/>
  <c r="V429" i="2" s="1"/>
  <c r="U429" i="2"/>
  <c r="S429" i="2"/>
  <c r="R429" i="2"/>
  <c r="Q429" i="2"/>
  <c r="P429" i="2"/>
  <c r="V428" i="2"/>
  <c r="U428" i="2"/>
  <c r="S428" i="2"/>
  <c r="V428" i="2" s="1" a="1"/>
  <c r="R428" i="2"/>
  <c r="Q428" i="2"/>
  <c r="P428" i="2"/>
  <c r="U427" i="2"/>
  <c r="S427" i="2"/>
  <c r="R427" i="2"/>
  <c r="Q427" i="2"/>
  <c r="P427" i="2"/>
  <c r="V426" i="2" a="1"/>
  <c r="V426" i="2" s="1"/>
  <c r="U426" i="2"/>
  <c r="S426" i="2"/>
  <c r="R426" i="2"/>
  <c r="Q426" i="2"/>
  <c r="P426" i="2"/>
  <c r="U425" i="2"/>
  <c r="S425" i="2"/>
  <c r="R425" i="2"/>
  <c r="Q425" i="2"/>
  <c r="P425" i="2"/>
  <c r="V424" i="2" a="1"/>
  <c r="V424" i="2" s="1"/>
  <c r="U424" i="2"/>
  <c r="S424" i="2"/>
  <c r="R424" i="2"/>
  <c r="Q424" i="2"/>
  <c r="P424" i="2"/>
  <c r="V423" i="2" a="1"/>
  <c r="V423" i="2" s="1"/>
  <c r="U423" i="2"/>
  <c r="S423" i="2"/>
  <c r="R423" i="2"/>
  <c r="Q423" i="2"/>
  <c r="P423" i="2"/>
  <c r="U422" i="2"/>
  <c r="S422" i="2"/>
  <c r="R422" i="2"/>
  <c r="Q422" i="2"/>
  <c r="P422" i="2"/>
  <c r="V421" i="2" a="1"/>
  <c r="V421" i="2" s="1"/>
  <c r="U421" i="2"/>
  <c r="S421" i="2"/>
  <c r="R421" i="2"/>
  <c r="Q421" i="2"/>
  <c r="P421" i="2"/>
  <c r="U420" i="2"/>
  <c r="S420" i="2"/>
  <c r="V420" i="2" s="1" a="1"/>
  <c r="V420" i="2" s="1"/>
  <c r="R420" i="2"/>
  <c r="Q420" i="2"/>
  <c r="P420" i="2"/>
  <c r="U419" i="2"/>
  <c r="S419" i="2"/>
  <c r="R419" i="2"/>
  <c r="Q419" i="2"/>
  <c r="P419" i="2"/>
  <c r="V418" i="2" a="1"/>
  <c r="V418" i="2" s="1"/>
  <c r="U418" i="2"/>
  <c r="S418" i="2"/>
  <c r="R418" i="2"/>
  <c r="Q418" i="2"/>
  <c r="P418" i="2"/>
  <c r="U417" i="2"/>
  <c r="S417" i="2"/>
  <c r="R417" i="2"/>
  <c r="Q417" i="2"/>
  <c r="P417" i="2"/>
  <c r="V416" i="2" a="1"/>
  <c r="V416" i="2" s="1"/>
  <c r="U416" i="2"/>
  <c r="S416" i="2"/>
  <c r="R416" i="2"/>
  <c r="Q416" i="2"/>
  <c r="P416" i="2"/>
  <c r="V415" i="2" a="1"/>
  <c r="V415" i="2" s="1"/>
  <c r="U415" i="2"/>
  <c r="S415" i="2"/>
  <c r="R415" i="2"/>
  <c r="Q415" i="2"/>
  <c r="P415" i="2"/>
  <c r="U414" i="2"/>
  <c r="S414" i="2"/>
  <c r="R414" i="2"/>
  <c r="Q414" i="2"/>
  <c r="P414" i="2"/>
  <c r="V413" i="2" a="1"/>
  <c r="V413" i="2" s="1"/>
  <c r="U413" i="2"/>
  <c r="S413" i="2"/>
  <c r="R413" i="2"/>
  <c r="Q413" i="2"/>
  <c r="P413" i="2"/>
  <c r="V412" i="2"/>
  <c r="U412" i="2"/>
  <c r="S412" i="2"/>
  <c r="V412" i="2" s="1" a="1"/>
  <c r="R412" i="2"/>
  <c r="Q412" i="2"/>
  <c r="P412" i="2"/>
  <c r="U411" i="2"/>
  <c r="S411" i="2"/>
  <c r="R411" i="2"/>
  <c r="Q411" i="2"/>
  <c r="P411" i="2"/>
  <c r="V410" i="2" a="1"/>
  <c r="V410" i="2" s="1"/>
  <c r="U410" i="2"/>
  <c r="S410" i="2"/>
  <c r="R410" i="2"/>
  <c r="Q410" i="2"/>
  <c r="P410" i="2"/>
  <c r="U409" i="2"/>
  <c r="S409" i="2"/>
  <c r="R409" i="2"/>
  <c r="Q409" i="2"/>
  <c r="P409" i="2"/>
  <c r="V408" i="2" a="1"/>
  <c r="V408" i="2" s="1"/>
  <c r="U408" i="2"/>
  <c r="S408" i="2"/>
  <c r="R408" i="2"/>
  <c r="Q408" i="2"/>
  <c r="P408" i="2"/>
  <c r="V407" i="2" a="1"/>
  <c r="V407" i="2" s="1"/>
  <c r="U407" i="2"/>
  <c r="S407" i="2"/>
  <c r="R407" i="2"/>
  <c r="Q407" i="2"/>
  <c r="P407" i="2"/>
  <c r="U406" i="2"/>
  <c r="S406" i="2"/>
  <c r="R406" i="2"/>
  <c r="Q406" i="2"/>
  <c r="P406" i="2"/>
  <c r="V405" i="2" a="1"/>
  <c r="V405" i="2" s="1"/>
  <c r="U405" i="2"/>
  <c r="S405" i="2"/>
  <c r="R405" i="2"/>
  <c r="Q405" i="2"/>
  <c r="P405" i="2"/>
  <c r="U404" i="2"/>
  <c r="S404" i="2"/>
  <c r="V404" i="2" s="1" a="1"/>
  <c r="V404" i="2" s="1"/>
  <c r="R404" i="2"/>
  <c r="Q404" i="2"/>
  <c r="P404" i="2"/>
  <c r="U403" i="2"/>
  <c r="S403" i="2"/>
  <c r="R403" i="2"/>
  <c r="Q403" i="2"/>
  <c r="P403" i="2"/>
  <c r="V402" i="2" a="1"/>
  <c r="V402" i="2" s="1"/>
  <c r="U402" i="2"/>
  <c r="S402" i="2"/>
  <c r="R402" i="2"/>
  <c r="Q402" i="2"/>
  <c r="P402" i="2"/>
  <c r="U401" i="2"/>
  <c r="S401" i="2"/>
  <c r="R401" i="2"/>
  <c r="Q401" i="2"/>
  <c r="P401" i="2"/>
  <c r="V400" i="2" a="1"/>
  <c r="V400" i="2" s="1"/>
  <c r="U400" i="2"/>
  <c r="S400" i="2"/>
  <c r="R400" i="2"/>
  <c r="Q400" i="2"/>
  <c r="P400" i="2"/>
  <c r="V399" i="2" a="1"/>
  <c r="V399" i="2" s="1"/>
  <c r="U399" i="2"/>
  <c r="S399" i="2"/>
  <c r="R399" i="2"/>
  <c r="Q399" i="2"/>
  <c r="P399" i="2"/>
  <c r="U398" i="2"/>
  <c r="S398" i="2"/>
  <c r="R398" i="2"/>
  <c r="Q398" i="2"/>
  <c r="P398" i="2"/>
  <c r="V397" i="2" a="1"/>
  <c r="V397" i="2" s="1"/>
  <c r="U397" i="2"/>
  <c r="S397" i="2"/>
  <c r="R397" i="2"/>
  <c r="Q397" i="2"/>
  <c r="P397" i="2"/>
  <c r="U396" i="2"/>
  <c r="S396" i="2"/>
  <c r="V396" i="2" s="1" a="1"/>
  <c r="V396" i="2" s="1"/>
  <c r="R396" i="2"/>
  <c r="Q396" i="2"/>
  <c r="P396" i="2"/>
  <c r="U395" i="2"/>
  <c r="S395" i="2"/>
  <c r="R395" i="2"/>
  <c r="Q395" i="2"/>
  <c r="P395" i="2"/>
  <c r="V394" i="2" a="1"/>
  <c r="V394" i="2" s="1"/>
  <c r="U394" i="2"/>
  <c r="S394" i="2"/>
  <c r="R394" i="2"/>
  <c r="Q394" i="2"/>
  <c r="P394" i="2"/>
  <c r="U393" i="2"/>
  <c r="S393" i="2"/>
  <c r="R393" i="2"/>
  <c r="Q393" i="2"/>
  <c r="P393" i="2"/>
  <c r="V392" i="2" a="1"/>
  <c r="V392" i="2" s="1"/>
  <c r="U392" i="2"/>
  <c r="S392" i="2"/>
  <c r="R392" i="2"/>
  <c r="Q392" i="2"/>
  <c r="P392" i="2"/>
  <c r="V391" i="2" a="1"/>
  <c r="V391" i="2" s="1"/>
  <c r="U391" i="2"/>
  <c r="S391" i="2"/>
  <c r="R391" i="2"/>
  <c r="Q391" i="2"/>
  <c r="P391" i="2"/>
  <c r="U390" i="2"/>
  <c r="S390" i="2"/>
  <c r="R390" i="2"/>
  <c r="Q390" i="2"/>
  <c r="P390" i="2"/>
  <c r="V389" i="2" a="1"/>
  <c r="V389" i="2" s="1"/>
  <c r="U389" i="2"/>
  <c r="S389" i="2"/>
  <c r="R389" i="2"/>
  <c r="Q389" i="2"/>
  <c r="P389" i="2"/>
  <c r="V388" i="2"/>
  <c r="U388" i="2"/>
  <c r="S388" i="2"/>
  <c r="V388" i="2" s="1" a="1"/>
  <c r="R388" i="2"/>
  <c r="Q388" i="2"/>
  <c r="P388" i="2"/>
  <c r="U387" i="2"/>
  <c r="S387" i="2"/>
  <c r="R387" i="2"/>
  <c r="Q387" i="2"/>
  <c r="P387" i="2"/>
  <c r="V386" i="2" a="1"/>
  <c r="V386" i="2" s="1"/>
  <c r="U386" i="2"/>
  <c r="S386" i="2"/>
  <c r="R386" i="2"/>
  <c r="Q386" i="2"/>
  <c r="P386" i="2"/>
  <c r="U385" i="2"/>
  <c r="S385" i="2"/>
  <c r="R385" i="2"/>
  <c r="Q385" i="2"/>
  <c r="P385" i="2"/>
  <c r="V384" i="2" a="1"/>
  <c r="V384" i="2" s="1"/>
  <c r="U384" i="2"/>
  <c r="S384" i="2"/>
  <c r="R384" i="2"/>
  <c r="Q384" i="2"/>
  <c r="P384" i="2"/>
  <c r="V383" i="2" a="1"/>
  <c r="V383" i="2" s="1"/>
  <c r="U383" i="2"/>
  <c r="S383" i="2"/>
  <c r="R383" i="2"/>
  <c r="Q383" i="2"/>
  <c r="P383" i="2"/>
  <c r="U382" i="2"/>
  <c r="S382" i="2"/>
  <c r="R382" i="2"/>
  <c r="Q382" i="2"/>
  <c r="P382" i="2"/>
  <c r="V381" i="2" a="1"/>
  <c r="V381" i="2" s="1"/>
  <c r="U381" i="2"/>
  <c r="S381" i="2"/>
  <c r="R381" i="2"/>
  <c r="Q381" i="2"/>
  <c r="P381" i="2"/>
  <c r="V380" i="2"/>
  <c r="U380" i="2"/>
  <c r="S380" i="2"/>
  <c r="V380" i="2" s="1" a="1"/>
  <c r="R380" i="2"/>
  <c r="Q380" i="2"/>
  <c r="P380" i="2"/>
  <c r="U379" i="2"/>
  <c r="S379" i="2"/>
  <c r="R379" i="2"/>
  <c r="Q379" i="2"/>
  <c r="P379" i="2"/>
  <c r="V378" i="2" a="1"/>
  <c r="V378" i="2" s="1"/>
  <c r="U378" i="2"/>
  <c r="S378" i="2"/>
  <c r="R378" i="2"/>
  <c r="Q378" i="2"/>
  <c r="P378" i="2"/>
  <c r="U377" i="2"/>
  <c r="S377" i="2"/>
  <c r="R377" i="2"/>
  <c r="Q377" i="2"/>
  <c r="P377" i="2"/>
  <c r="V376" i="2" a="1"/>
  <c r="V376" i="2" s="1"/>
  <c r="U376" i="2"/>
  <c r="S376" i="2"/>
  <c r="R376" i="2"/>
  <c r="Q376" i="2"/>
  <c r="P376" i="2"/>
  <c r="V375" i="2" a="1"/>
  <c r="V375" i="2" s="1"/>
  <c r="U375" i="2"/>
  <c r="S375" i="2"/>
  <c r="R375" i="2"/>
  <c r="Q375" i="2"/>
  <c r="P375" i="2"/>
  <c r="U374" i="2"/>
  <c r="S374" i="2"/>
  <c r="R374" i="2"/>
  <c r="Q374" i="2"/>
  <c r="P374" i="2"/>
  <c r="V373" i="2" a="1"/>
  <c r="V373" i="2" s="1"/>
  <c r="U373" i="2"/>
  <c r="S373" i="2"/>
  <c r="R373" i="2"/>
  <c r="Q373" i="2"/>
  <c r="P373" i="2"/>
  <c r="U372" i="2"/>
  <c r="S372" i="2"/>
  <c r="V372" i="2" s="1" a="1"/>
  <c r="V372" i="2" s="1"/>
  <c r="R372" i="2"/>
  <c r="Q372" i="2"/>
  <c r="P372" i="2"/>
  <c r="U371" i="2"/>
  <c r="S371" i="2"/>
  <c r="R371" i="2"/>
  <c r="Q371" i="2"/>
  <c r="P371" i="2"/>
  <c r="V370" i="2" a="1"/>
  <c r="V370" i="2" s="1"/>
  <c r="U370" i="2"/>
  <c r="S370" i="2"/>
  <c r="R370" i="2"/>
  <c r="Q370" i="2"/>
  <c r="P370" i="2"/>
  <c r="U369" i="2"/>
  <c r="S369" i="2"/>
  <c r="R369" i="2"/>
  <c r="Q369" i="2"/>
  <c r="P369" i="2"/>
  <c r="V368" i="2" a="1"/>
  <c r="V368" i="2" s="1"/>
  <c r="U368" i="2"/>
  <c r="S368" i="2"/>
  <c r="R368" i="2"/>
  <c r="Q368" i="2"/>
  <c r="P368" i="2"/>
  <c r="V367" i="2" a="1"/>
  <c r="V367" i="2" s="1"/>
  <c r="U367" i="2"/>
  <c r="S367" i="2"/>
  <c r="R367" i="2"/>
  <c r="Q367" i="2"/>
  <c r="P367" i="2"/>
  <c r="U366" i="2"/>
  <c r="S366" i="2"/>
  <c r="R366" i="2"/>
  <c r="Q366" i="2"/>
  <c r="P366" i="2"/>
  <c r="V365" i="2" a="1"/>
  <c r="V365" i="2" s="1"/>
  <c r="U365" i="2"/>
  <c r="S365" i="2"/>
  <c r="R365" i="2"/>
  <c r="Q365" i="2"/>
  <c r="P365" i="2"/>
  <c r="U364" i="2"/>
  <c r="S364" i="2"/>
  <c r="V364" i="2" s="1" a="1"/>
  <c r="V364" i="2" s="1"/>
  <c r="R364" i="2"/>
  <c r="Q364" i="2"/>
  <c r="P364" i="2"/>
  <c r="U363" i="2"/>
  <c r="S363" i="2"/>
  <c r="V363" i="2" s="1" a="1"/>
  <c r="V363" i="2" s="1"/>
  <c r="R363" i="2"/>
  <c r="Q363" i="2"/>
  <c r="P363" i="2"/>
  <c r="V362" i="2" a="1"/>
  <c r="V362" i="2" s="1"/>
  <c r="U362" i="2"/>
  <c r="S362" i="2"/>
  <c r="R362" i="2"/>
  <c r="Q362" i="2"/>
  <c r="P362" i="2"/>
  <c r="U361" i="2"/>
  <c r="S361" i="2"/>
  <c r="R361" i="2"/>
  <c r="Q361" i="2"/>
  <c r="P361" i="2"/>
  <c r="V360" i="2" a="1"/>
  <c r="V360" i="2" s="1"/>
  <c r="U360" i="2"/>
  <c r="S360" i="2"/>
  <c r="R360" i="2"/>
  <c r="Q360" i="2"/>
  <c r="P360" i="2"/>
  <c r="V359" i="2"/>
  <c r="V359" i="2" a="1"/>
  <c r="U359" i="2"/>
  <c r="S359" i="2"/>
  <c r="R359" i="2"/>
  <c r="Q359" i="2"/>
  <c r="P359" i="2"/>
  <c r="U358" i="2"/>
  <c r="S358" i="2"/>
  <c r="R358" i="2"/>
  <c r="Q358" i="2"/>
  <c r="P358" i="2"/>
  <c r="V357" i="2" a="1"/>
  <c r="V357" i="2" s="1"/>
  <c r="U357" i="2"/>
  <c r="S357" i="2"/>
  <c r="R357" i="2"/>
  <c r="Q357" i="2"/>
  <c r="P357" i="2"/>
  <c r="U356" i="2"/>
  <c r="S356" i="2"/>
  <c r="R356" i="2"/>
  <c r="Q356" i="2"/>
  <c r="P356" i="2"/>
  <c r="U355" i="2"/>
  <c r="S355" i="2"/>
  <c r="V355" i="2" s="1" a="1"/>
  <c r="V355" i="2" s="1"/>
  <c r="R355" i="2"/>
  <c r="Q355" i="2"/>
  <c r="P355" i="2"/>
  <c r="V354" i="2" a="1"/>
  <c r="V354" i="2" s="1"/>
  <c r="U354" i="2"/>
  <c r="S354" i="2"/>
  <c r="R354" i="2"/>
  <c r="Q354" i="2"/>
  <c r="P354" i="2"/>
  <c r="U353" i="2"/>
  <c r="S353" i="2"/>
  <c r="R353" i="2"/>
  <c r="Q353" i="2"/>
  <c r="P353" i="2"/>
  <c r="V352" i="2" a="1"/>
  <c r="V352" i="2" s="1"/>
  <c r="U352" i="2"/>
  <c r="S352" i="2"/>
  <c r="R352" i="2"/>
  <c r="Q352" i="2"/>
  <c r="P352" i="2"/>
  <c r="V351" i="2"/>
  <c r="V351" i="2" a="1"/>
  <c r="U351" i="2"/>
  <c r="S351" i="2"/>
  <c r="R351" i="2"/>
  <c r="Q351" i="2"/>
  <c r="P351" i="2"/>
  <c r="U350" i="2"/>
  <c r="S350" i="2"/>
  <c r="R350" i="2"/>
  <c r="Q350" i="2"/>
  <c r="P350" i="2"/>
  <c r="V349" i="2" a="1"/>
  <c r="V349" i="2" s="1"/>
  <c r="U349" i="2"/>
  <c r="S349" i="2"/>
  <c r="R349" i="2"/>
  <c r="Q349" i="2"/>
  <c r="P349" i="2"/>
  <c r="U348" i="2"/>
  <c r="S348" i="2"/>
  <c r="R348" i="2"/>
  <c r="Q348" i="2"/>
  <c r="P348" i="2"/>
  <c r="U347" i="2"/>
  <c r="S347" i="2"/>
  <c r="V347" i="2" s="1" a="1"/>
  <c r="V347" i="2" s="1"/>
  <c r="R347" i="2"/>
  <c r="Q347" i="2"/>
  <c r="P347" i="2"/>
  <c r="V346" i="2" a="1"/>
  <c r="V346" i="2" s="1"/>
  <c r="U346" i="2"/>
  <c r="S346" i="2"/>
  <c r="R346" i="2"/>
  <c r="Q346" i="2"/>
  <c r="P346" i="2"/>
  <c r="U345" i="2"/>
  <c r="S345" i="2"/>
  <c r="R345" i="2"/>
  <c r="Q345" i="2"/>
  <c r="P345" i="2"/>
  <c r="V344" i="2" a="1"/>
  <c r="V344" i="2" s="1"/>
  <c r="U344" i="2"/>
  <c r="S344" i="2"/>
  <c r="R344" i="2"/>
  <c r="Q344" i="2"/>
  <c r="P344" i="2"/>
  <c r="V343" i="2" a="1"/>
  <c r="V343" i="2" s="1"/>
  <c r="U343" i="2"/>
  <c r="S343" i="2"/>
  <c r="R343" i="2"/>
  <c r="Q343" i="2"/>
  <c r="P343" i="2"/>
  <c r="U342" i="2"/>
  <c r="S342" i="2"/>
  <c r="R342" i="2"/>
  <c r="Q342" i="2"/>
  <c r="P342" i="2"/>
  <c r="V341" i="2" a="1"/>
  <c r="V341" i="2" s="1"/>
  <c r="U341" i="2"/>
  <c r="S341" i="2"/>
  <c r="R341" i="2"/>
  <c r="Q341" i="2"/>
  <c r="P341" i="2"/>
  <c r="U340" i="2"/>
  <c r="S340" i="2"/>
  <c r="R340" i="2"/>
  <c r="Q340" i="2"/>
  <c r="P340" i="2"/>
  <c r="V339" i="2"/>
  <c r="U339" i="2"/>
  <c r="S339" i="2"/>
  <c r="V339" i="2" s="1" a="1"/>
  <c r="R339" i="2"/>
  <c r="Q339" i="2"/>
  <c r="P339" i="2"/>
  <c r="V338" i="2" a="1"/>
  <c r="V338" i="2" s="1"/>
  <c r="U338" i="2"/>
  <c r="S338" i="2"/>
  <c r="R338" i="2"/>
  <c r="Q338" i="2"/>
  <c r="P338" i="2"/>
  <c r="U337" i="2"/>
  <c r="S337" i="2"/>
  <c r="R337" i="2"/>
  <c r="Q337" i="2"/>
  <c r="P337" i="2"/>
  <c r="U336" i="2"/>
  <c r="S336" i="2"/>
  <c r="V336" i="2" s="1" a="1"/>
  <c r="V336" i="2" s="1"/>
  <c r="R336" i="2"/>
  <c r="Q336" i="2"/>
  <c r="P336" i="2"/>
  <c r="V335" i="2" a="1"/>
  <c r="V335" i="2" s="1"/>
  <c r="U335" i="2"/>
  <c r="S335" i="2"/>
  <c r="R335" i="2"/>
  <c r="Q335" i="2"/>
  <c r="P335" i="2"/>
  <c r="U334" i="2"/>
  <c r="S334" i="2"/>
  <c r="R334" i="2"/>
  <c r="Q334" i="2"/>
  <c r="P334" i="2"/>
  <c r="V333" i="2" a="1"/>
  <c r="V333" i="2" s="1"/>
  <c r="U333" i="2"/>
  <c r="S333" i="2"/>
  <c r="R333" i="2"/>
  <c r="Q333" i="2"/>
  <c r="P333" i="2"/>
  <c r="U332" i="2"/>
  <c r="S332" i="2"/>
  <c r="R332" i="2"/>
  <c r="Q332" i="2"/>
  <c r="P332" i="2"/>
  <c r="U331" i="2"/>
  <c r="S331" i="2"/>
  <c r="V331" i="2" s="1" a="1"/>
  <c r="V331" i="2" s="1"/>
  <c r="R331" i="2"/>
  <c r="Q331" i="2"/>
  <c r="P331" i="2"/>
  <c r="V330" i="2" a="1"/>
  <c r="V330" i="2" s="1"/>
  <c r="U330" i="2"/>
  <c r="S330" i="2"/>
  <c r="R330" i="2"/>
  <c r="Q330" i="2"/>
  <c r="P330" i="2"/>
  <c r="U329" i="2"/>
  <c r="S329" i="2"/>
  <c r="R329" i="2"/>
  <c r="Q329" i="2"/>
  <c r="P329" i="2"/>
  <c r="V328" i="2" a="1"/>
  <c r="V328" i="2" s="1"/>
  <c r="U328" i="2"/>
  <c r="S328" i="2"/>
  <c r="R328" i="2"/>
  <c r="Q328" i="2"/>
  <c r="P328" i="2"/>
  <c r="V327" i="2" a="1"/>
  <c r="V327" i="2" s="1"/>
  <c r="U327" i="2"/>
  <c r="S327" i="2"/>
  <c r="R327" i="2"/>
  <c r="Q327" i="2"/>
  <c r="P327" i="2"/>
  <c r="U326" i="2"/>
  <c r="S326" i="2"/>
  <c r="R326" i="2"/>
  <c r="Q326" i="2"/>
  <c r="P326" i="2"/>
  <c r="V325" i="2" a="1"/>
  <c r="V325" i="2" s="1"/>
  <c r="U325" i="2"/>
  <c r="S325" i="2"/>
  <c r="R325" i="2"/>
  <c r="Q325" i="2"/>
  <c r="P325" i="2"/>
  <c r="V324" i="2"/>
  <c r="V324" i="2" a="1"/>
  <c r="U324" i="2"/>
  <c r="S324" i="2"/>
  <c r="R324" i="2"/>
  <c r="Q324" i="2"/>
  <c r="P324" i="2"/>
  <c r="V323" i="2"/>
  <c r="U323" i="2"/>
  <c r="S323" i="2"/>
  <c r="V323" i="2" s="1" a="1"/>
  <c r="R323" i="2"/>
  <c r="Q323" i="2"/>
  <c r="P323" i="2"/>
  <c r="V322" i="2" a="1"/>
  <c r="V322" i="2" s="1"/>
  <c r="U322" i="2"/>
  <c r="S322" i="2"/>
  <c r="R322" i="2"/>
  <c r="Q322" i="2"/>
  <c r="P322" i="2"/>
  <c r="U321" i="2"/>
  <c r="S321" i="2"/>
  <c r="R321" i="2"/>
  <c r="Q321" i="2"/>
  <c r="P321" i="2"/>
  <c r="U320" i="2"/>
  <c r="S320" i="2"/>
  <c r="V320" i="2" s="1" a="1"/>
  <c r="V320" i="2" s="1"/>
  <c r="R320" i="2"/>
  <c r="Q320" i="2"/>
  <c r="P320" i="2"/>
  <c r="V319" i="2" a="1"/>
  <c r="V319" i="2" s="1"/>
  <c r="U319" i="2"/>
  <c r="S319" i="2"/>
  <c r="R319" i="2"/>
  <c r="Q319" i="2"/>
  <c r="P319" i="2"/>
  <c r="U318" i="2"/>
  <c r="S318" i="2"/>
  <c r="R318" i="2"/>
  <c r="Q318" i="2"/>
  <c r="P318" i="2"/>
  <c r="V317" i="2" a="1"/>
  <c r="V317" i="2" s="1"/>
  <c r="U317" i="2"/>
  <c r="S317" i="2"/>
  <c r="R317" i="2"/>
  <c r="Q317" i="2"/>
  <c r="P317" i="2"/>
  <c r="U316" i="2"/>
  <c r="S316" i="2"/>
  <c r="R316" i="2"/>
  <c r="Q316" i="2"/>
  <c r="P316" i="2"/>
  <c r="U315" i="2"/>
  <c r="S315" i="2"/>
  <c r="V315" i="2" s="1" a="1"/>
  <c r="V315" i="2" s="1"/>
  <c r="R315" i="2"/>
  <c r="Q315" i="2"/>
  <c r="P315" i="2"/>
  <c r="V314" i="2" a="1"/>
  <c r="V314" i="2" s="1"/>
  <c r="U314" i="2"/>
  <c r="S314" i="2"/>
  <c r="R314" i="2"/>
  <c r="Q314" i="2"/>
  <c r="P314" i="2"/>
  <c r="U313" i="2"/>
  <c r="S313" i="2"/>
  <c r="R313" i="2"/>
  <c r="Q313" i="2"/>
  <c r="P313" i="2"/>
  <c r="V312" i="2" a="1"/>
  <c r="V312" i="2" s="1"/>
  <c r="U312" i="2"/>
  <c r="S312" i="2"/>
  <c r="R312" i="2"/>
  <c r="Q312" i="2"/>
  <c r="P312" i="2"/>
  <c r="V311" i="2" a="1"/>
  <c r="V311" i="2" s="1"/>
  <c r="U311" i="2"/>
  <c r="S311" i="2"/>
  <c r="R311" i="2"/>
  <c r="Q311" i="2"/>
  <c r="P311" i="2"/>
  <c r="U310" i="2"/>
  <c r="S310" i="2"/>
  <c r="R310" i="2"/>
  <c r="Q310" i="2"/>
  <c r="P310" i="2"/>
  <c r="V309" i="2" a="1"/>
  <c r="V309" i="2" s="1"/>
  <c r="U309" i="2"/>
  <c r="S309" i="2"/>
  <c r="R309" i="2"/>
  <c r="Q309" i="2"/>
  <c r="P309" i="2"/>
  <c r="V308" i="2"/>
  <c r="V308" i="2" a="1"/>
  <c r="U308" i="2"/>
  <c r="S308" i="2"/>
  <c r="R308" i="2"/>
  <c r="Q308" i="2"/>
  <c r="P308" i="2"/>
  <c r="U307" i="2"/>
  <c r="S307" i="2"/>
  <c r="V307" i="2" s="1" a="1"/>
  <c r="V307" i="2" s="1"/>
  <c r="R307" i="2"/>
  <c r="Q307" i="2"/>
  <c r="P307" i="2"/>
  <c r="V306" i="2" a="1"/>
  <c r="V306" i="2" s="1"/>
  <c r="U306" i="2"/>
  <c r="S306" i="2"/>
  <c r="R306" i="2"/>
  <c r="Q306" i="2"/>
  <c r="P306" i="2"/>
  <c r="U305" i="2"/>
  <c r="S305" i="2"/>
  <c r="R305" i="2"/>
  <c r="Q305" i="2"/>
  <c r="P305" i="2"/>
  <c r="U304" i="2"/>
  <c r="S304" i="2"/>
  <c r="V304" i="2" s="1" a="1"/>
  <c r="V304" i="2" s="1"/>
  <c r="R304" i="2"/>
  <c r="Q304" i="2"/>
  <c r="P304" i="2"/>
  <c r="V303" i="2" a="1"/>
  <c r="V303" i="2" s="1"/>
  <c r="U303" i="2"/>
  <c r="S303" i="2"/>
  <c r="R303" i="2"/>
  <c r="Q303" i="2"/>
  <c r="P303" i="2"/>
  <c r="U302" i="2"/>
  <c r="S302" i="2"/>
  <c r="R302" i="2"/>
  <c r="Q302" i="2"/>
  <c r="P302" i="2"/>
  <c r="U301" i="2"/>
  <c r="S301" i="2"/>
  <c r="V301" i="2" s="1" a="1"/>
  <c r="V301" i="2" s="1"/>
  <c r="R301" i="2"/>
  <c r="Q301" i="2"/>
  <c r="P301" i="2"/>
  <c r="U300" i="2"/>
  <c r="S300" i="2"/>
  <c r="V300" i="2" s="1" a="1"/>
  <c r="V300" i="2" s="1"/>
  <c r="R300" i="2"/>
  <c r="Q300" i="2"/>
  <c r="P300" i="2"/>
  <c r="U299" i="2"/>
  <c r="S299" i="2"/>
  <c r="V299" i="2" s="1" a="1"/>
  <c r="V299" i="2" s="1"/>
  <c r="R299" i="2"/>
  <c r="Q299" i="2"/>
  <c r="P299" i="2"/>
  <c r="V298" i="2" a="1"/>
  <c r="V298" i="2" s="1"/>
  <c r="U298" i="2"/>
  <c r="S298" i="2"/>
  <c r="R298" i="2"/>
  <c r="Q298" i="2"/>
  <c r="P298" i="2"/>
  <c r="U297" i="2"/>
  <c r="S297" i="2"/>
  <c r="R297" i="2"/>
  <c r="Q297" i="2"/>
  <c r="P297" i="2"/>
  <c r="U296" i="2"/>
  <c r="S296" i="2"/>
  <c r="V296" i="2" s="1" a="1"/>
  <c r="V296" i="2" s="1"/>
  <c r="R296" i="2"/>
  <c r="Q296" i="2"/>
  <c r="P296" i="2"/>
  <c r="V295" i="2" a="1"/>
  <c r="V295" i="2" s="1"/>
  <c r="U295" i="2"/>
  <c r="S295" i="2"/>
  <c r="R295" i="2"/>
  <c r="Q295" i="2"/>
  <c r="P295" i="2"/>
  <c r="U294" i="2"/>
  <c r="S294" i="2"/>
  <c r="R294" i="2"/>
  <c r="Q294" i="2"/>
  <c r="P294" i="2"/>
  <c r="U293" i="2"/>
  <c r="S293" i="2"/>
  <c r="V293" i="2" s="1" a="1"/>
  <c r="V293" i="2" s="1"/>
  <c r="R293" i="2"/>
  <c r="Q293" i="2"/>
  <c r="P293" i="2"/>
  <c r="U292" i="2"/>
  <c r="S292" i="2"/>
  <c r="V292" i="2" s="1" a="1"/>
  <c r="V292" i="2" s="1"/>
  <c r="R292" i="2"/>
  <c r="Q292" i="2"/>
  <c r="P292" i="2"/>
  <c r="U291" i="2"/>
  <c r="S291" i="2"/>
  <c r="V291" i="2" s="1" a="1"/>
  <c r="V291" i="2" s="1"/>
  <c r="R291" i="2"/>
  <c r="Q291" i="2"/>
  <c r="P291" i="2"/>
  <c r="V290" i="2" a="1"/>
  <c r="V290" i="2" s="1"/>
  <c r="U290" i="2"/>
  <c r="S290" i="2"/>
  <c r="R290" i="2"/>
  <c r="Q290" i="2"/>
  <c r="P290" i="2"/>
  <c r="U289" i="2"/>
  <c r="S289" i="2"/>
  <c r="R289" i="2"/>
  <c r="Q289" i="2"/>
  <c r="P289" i="2"/>
  <c r="U288" i="2"/>
  <c r="S288" i="2"/>
  <c r="V288" i="2" s="1" a="1"/>
  <c r="V288" i="2" s="1"/>
  <c r="R288" i="2"/>
  <c r="Q288" i="2"/>
  <c r="P288" i="2"/>
  <c r="V287" i="2" a="1"/>
  <c r="V287" i="2" s="1"/>
  <c r="U287" i="2"/>
  <c r="S287" i="2"/>
  <c r="R287" i="2"/>
  <c r="Q287" i="2"/>
  <c r="P287" i="2"/>
  <c r="U286" i="2"/>
  <c r="S286" i="2"/>
  <c r="R286" i="2"/>
  <c r="Q286" i="2"/>
  <c r="P286" i="2"/>
  <c r="U285" i="2"/>
  <c r="S285" i="2"/>
  <c r="V285" i="2" s="1" a="1"/>
  <c r="V285" i="2" s="1"/>
  <c r="R285" i="2"/>
  <c r="Q285" i="2"/>
  <c r="P285" i="2"/>
  <c r="U284" i="2"/>
  <c r="S284" i="2"/>
  <c r="V284" i="2" s="1" a="1"/>
  <c r="V284" i="2" s="1"/>
  <c r="R284" i="2"/>
  <c r="Q284" i="2"/>
  <c r="P284" i="2"/>
  <c r="U283" i="2"/>
  <c r="S283" i="2"/>
  <c r="V283" i="2" s="1" a="1"/>
  <c r="V283" i="2" s="1"/>
  <c r="R283" i="2"/>
  <c r="Q283" i="2"/>
  <c r="P283" i="2"/>
  <c r="V282" i="2" a="1"/>
  <c r="V282" i="2" s="1"/>
  <c r="U282" i="2"/>
  <c r="S282" i="2"/>
  <c r="R282" i="2"/>
  <c r="Q282" i="2"/>
  <c r="P282" i="2"/>
  <c r="U281" i="2"/>
  <c r="S281" i="2"/>
  <c r="R281" i="2"/>
  <c r="Q281" i="2"/>
  <c r="P281" i="2"/>
  <c r="U280" i="2"/>
  <c r="S280" i="2"/>
  <c r="V280" i="2" s="1" a="1"/>
  <c r="V280" i="2" s="1"/>
  <c r="R280" i="2"/>
  <c r="Q280" i="2"/>
  <c r="P280" i="2"/>
  <c r="V279" i="2" a="1"/>
  <c r="V279" i="2" s="1"/>
  <c r="U279" i="2"/>
  <c r="S279" i="2"/>
  <c r="R279" i="2"/>
  <c r="Q279" i="2"/>
  <c r="P279" i="2"/>
  <c r="U278" i="2"/>
  <c r="S278" i="2"/>
  <c r="R278" i="2"/>
  <c r="Q278" i="2"/>
  <c r="P278" i="2"/>
  <c r="U277" i="2"/>
  <c r="S277" i="2"/>
  <c r="V277" i="2" s="1" a="1"/>
  <c r="V277" i="2" s="1"/>
  <c r="R277" i="2"/>
  <c r="Q277" i="2"/>
  <c r="P277" i="2"/>
  <c r="U276" i="2"/>
  <c r="S276" i="2"/>
  <c r="V276" i="2" s="1" a="1"/>
  <c r="V276" i="2" s="1"/>
  <c r="R276" i="2"/>
  <c r="Q276" i="2"/>
  <c r="P276" i="2"/>
  <c r="U275" i="2"/>
  <c r="S275" i="2"/>
  <c r="V275" i="2" s="1" a="1"/>
  <c r="V275" i="2" s="1"/>
  <c r="R275" i="2"/>
  <c r="Q275" i="2"/>
  <c r="P275" i="2"/>
  <c r="V274" i="2" a="1"/>
  <c r="V274" i="2" s="1"/>
  <c r="U274" i="2"/>
  <c r="S274" i="2"/>
  <c r="R274" i="2"/>
  <c r="Q274" i="2"/>
  <c r="P274" i="2"/>
  <c r="U273" i="2"/>
  <c r="S273" i="2"/>
  <c r="R273" i="2"/>
  <c r="Q273" i="2"/>
  <c r="P273" i="2"/>
  <c r="U272" i="2"/>
  <c r="S272" i="2"/>
  <c r="V272" i="2" s="1" a="1"/>
  <c r="V272" i="2" s="1"/>
  <c r="R272" i="2"/>
  <c r="Q272" i="2"/>
  <c r="P272" i="2"/>
  <c r="V271" i="2" a="1"/>
  <c r="V271" i="2" s="1"/>
  <c r="U271" i="2"/>
  <c r="S271" i="2"/>
  <c r="R271" i="2"/>
  <c r="Q271" i="2"/>
  <c r="P271" i="2"/>
  <c r="U270" i="2"/>
  <c r="S270" i="2"/>
  <c r="R270" i="2"/>
  <c r="Q270" i="2"/>
  <c r="P270" i="2"/>
  <c r="U269" i="2"/>
  <c r="S269" i="2"/>
  <c r="V269" i="2" s="1" a="1"/>
  <c r="V269" i="2" s="1"/>
  <c r="R269" i="2"/>
  <c r="Q269" i="2"/>
  <c r="P269" i="2"/>
  <c r="U268" i="2"/>
  <c r="S268" i="2"/>
  <c r="V268" i="2" s="1" a="1"/>
  <c r="V268" i="2" s="1"/>
  <c r="R268" i="2"/>
  <c r="Q268" i="2"/>
  <c r="P268" i="2"/>
  <c r="U267" i="2"/>
  <c r="S267" i="2"/>
  <c r="V267" i="2" s="1" a="1"/>
  <c r="V267" i="2" s="1"/>
  <c r="R267" i="2"/>
  <c r="Q267" i="2"/>
  <c r="P267" i="2"/>
  <c r="V266" i="2" a="1"/>
  <c r="V266" i="2" s="1"/>
  <c r="U266" i="2"/>
  <c r="S266" i="2"/>
  <c r="R266" i="2"/>
  <c r="Q266" i="2"/>
  <c r="P266" i="2"/>
  <c r="U265" i="2"/>
  <c r="S265" i="2"/>
  <c r="R265" i="2"/>
  <c r="Q265" i="2"/>
  <c r="P265" i="2"/>
  <c r="U264" i="2"/>
  <c r="S264" i="2"/>
  <c r="V264" i="2" s="1" a="1"/>
  <c r="V264" i="2" s="1"/>
  <c r="R264" i="2"/>
  <c r="Q264" i="2"/>
  <c r="P264" i="2"/>
  <c r="V263" i="2" a="1"/>
  <c r="V263" i="2" s="1"/>
  <c r="U263" i="2"/>
  <c r="S263" i="2"/>
  <c r="R263" i="2"/>
  <c r="Q263" i="2"/>
  <c r="P263" i="2"/>
  <c r="U262" i="2"/>
  <c r="S262" i="2"/>
  <c r="R262" i="2"/>
  <c r="Q262" i="2"/>
  <c r="P262" i="2"/>
  <c r="U261" i="2"/>
  <c r="S261" i="2"/>
  <c r="V261" i="2" s="1" a="1"/>
  <c r="V261" i="2" s="1"/>
  <c r="R261" i="2"/>
  <c r="Q261" i="2"/>
  <c r="P261" i="2"/>
  <c r="U260" i="2"/>
  <c r="S260" i="2"/>
  <c r="V260" i="2" s="1" a="1"/>
  <c r="V260" i="2" s="1"/>
  <c r="R260" i="2"/>
  <c r="Q260" i="2"/>
  <c r="P260" i="2"/>
  <c r="U259" i="2"/>
  <c r="S259" i="2"/>
  <c r="V259" i="2" s="1" a="1"/>
  <c r="V259" i="2" s="1"/>
  <c r="R259" i="2"/>
  <c r="Q259" i="2"/>
  <c r="P259" i="2"/>
  <c r="V258" i="2" a="1"/>
  <c r="V258" i="2" s="1"/>
  <c r="U258" i="2"/>
  <c r="S258" i="2"/>
  <c r="R258" i="2"/>
  <c r="Q258" i="2"/>
  <c r="P258" i="2"/>
  <c r="U257" i="2"/>
  <c r="S257" i="2"/>
  <c r="R257" i="2"/>
  <c r="Q257" i="2"/>
  <c r="P257" i="2"/>
  <c r="U256" i="2"/>
  <c r="S256" i="2"/>
  <c r="V256" i="2" s="1" a="1"/>
  <c r="V256" i="2" s="1"/>
  <c r="R256" i="2"/>
  <c r="Q256" i="2"/>
  <c r="P256" i="2"/>
  <c r="V255" i="2" a="1"/>
  <c r="V255" i="2" s="1"/>
  <c r="U255" i="2"/>
  <c r="S255" i="2"/>
  <c r="R255" i="2"/>
  <c r="Q255" i="2"/>
  <c r="P255" i="2"/>
  <c r="U254" i="2"/>
  <c r="S254" i="2"/>
  <c r="R254" i="2"/>
  <c r="Q254" i="2"/>
  <c r="P254" i="2"/>
  <c r="U253" i="2"/>
  <c r="S253" i="2"/>
  <c r="V253" i="2" s="1" a="1"/>
  <c r="V253" i="2" s="1"/>
  <c r="R253" i="2"/>
  <c r="Q253" i="2"/>
  <c r="P253" i="2"/>
  <c r="U252" i="2"/>
  <c r="S252" i="2"/>
  <c r="V252" i="2" s="1" a="1"/>
  <c r="V252" i="2" s="1"/>
  <c r="R252" i="2"/>
  <c r="Q252" i="2"/>
  <c r="P252" i="2"/>
  <c r="U251" i="2"/>
  <c r="S251" i="2"/>
  <c r="V251" i="2" s="1" a="1"/>
  <c r="V251" i="2" s="1"/>
  <c r="R251" i="2"/>
  <c r="Q251" i="2"/>
  <c r="P251" i="2"/>
  <c r="V250" i="2" a="1"/>
  <c r="V250" i="2" s="1"/>
  <c r="U250" i="2"/>
  <c r="S250" i="2"/>
  <c r="R250" i="2"/>
  <c r="Q250" i="2"/>
  <c r="P250" i="2"/>
  <c r="U249" i="2"/>
  <c r="S249" i="2"/>
  <c r="R249" i="2"/>
  <c r="Q249" i="2"/>
  <c r="P249" i="2"/>
  <c r="U248" i="2"/>
  <c r="S248" i="2"/>
  <c r="V248" i="2" s="1" a="1"/>
  <c r="V248" i="2" s="1"/>
  <c r="R248" i="2"/>
  <c r="Q248" i="2"/>
  <c r="P248" i="2"/>
  <c r="V247" i="2" a="1"/>
  <c r="V247" i="2" s="1"/>
  <c r="U247" i="2"/>
  <c r="S247" i="2"/>
  <c r="R247" i="2"/>
  <c r="Q247" i="2"/>
  <c r="P247" i="2"/>
  <c r="U246" i="2"/>
  <c r="S246" i="2"/>
  <c r="R246" i="2"/>
  <c r="Q246" i="2"/>
  <c r="P246" i="2"/>
  <c r="U245" i="2"/>
  <c r="S245" i="2"/>
  <c r="V245" i="2" s="1" a="1"/>
  <c r="V245" i="2" s="1"/>
  <c r="R245" i="2"/>
  <c r="Q245" i="2"/>
  <c r="P245" i="2"/>
  <c r="U244" i="2"/>
  <c r="S244" i="2"/>
  <c r="V244" i="2" s="1" a="1"/>
  <c r="V244" i="2" s="1"/>
  <c r="R244" i="2"/>
  <c r="Q244" i="2"/>
  <c r="P244" i="2"/>
  <c r="U243" i="2"/>
  <c r="S243" i="2"/>
  <c r="V243" i="2" s="1" a="1"/>
  <c r="V243" i="2" s="1"/>
  <c r="R243" i="2"/>
  <c r="Q243" i="2"/>
  <c r="P243" i="2"/>
  <c r="V242" i="2" a="1"/>
  <c r="V242" i="2" s="1"/>
  <c r="U242" i="2"/>
  <c r="S242" i="2"/>
  <c r="R242" i="2"/>
  <c r="Q242" i="2"/>
  <c r="P242" i="2"/>
  <c r="U241" i="2"/>
  <c r="S241" i="2"/>
  <c r="R241" i="2"/>
  <c r="Q241" i="2"/>
  <c r="P241" i="2"/>
  <c r="U240" i="2"/>
  <c r="S240" i="2"/>
  <c r="V240" i="2" s="1" a="1"/>
  <c r="V240" i="2" s="1"/>
  <c r="R240" i="2"/>
  <c r="Q240" i="2"/>
  <c r="P240" i="2"/>
  <c r="V239" i="2" a="1"/>
  <c r="V239" i="2" s="1"/>
  <c r="U239" i="2"/>
  <c r="S239" i="2"/>
  <c r="R239" i="2"/>
  <c r="Q239" i="2"/>
  <c r="P239" i="2"/>
  <c r="U238" i="2"/>
  <c r="S238" i="2"/>
  <c r="R238" i="2"/>
  <c r="Q238" i="2"/>
  <c r="P238" i="2"/>
  <c r="U237" i="2"/>
  <c r="S237" i="2"/>
  <c r="V237" i="2" s="1" a="1"/>
  <c r="V237" i="2" s="1"/>
  <c r="R237" i="2"/>
  <c r="Q237" i="2"/>
  <c r="P237" i="2"/>
  <c r="U236" i="2"/>
  <c r="S236" i="2"/>
  <c r="V236" i="2" s="1" a="1"/>
  <c r="V236" i="2" s="1"/>
  <c r="R236" i="2"/>
  <c r="Q236" i="2"/>
  <c r="P236" i="2"/>
  <c r="U235" i="2"/>
  <c r="S235" i="2"/>
  <c r="V235" i="2" s="1" a="1"/>
  <c r="V235" i="2" s="1"/>
  <c r="R235" i="2"/>
  <c r="Q235" i="2"/>
  <c r="P235" i="2"/>
  <c r="V234" i="2" a="1"/>
  <c r="V234" i="2" s="1"/>
  <c r="U234" i="2"/>
  <c r="S234" i="2"/>
  <c r="R234" i="2"/>
  <c r="Q234" i="2"/>
  <c r="P234" i="2"/>
  <c r="U233" i="2"/>
  <c r="S233" i="2"/>
  <c r="R233" i="2"/>
  <c r="Q233" i="2"/>
  <c r="P233" i="2"/>
  <c r="U232" i="2"/>
  <c r="S232" i="2"/>
  <c r="V232" i="2" s="1" a="1"/>
  <c r="V232" i="2" s="1"/>
  <c r="R232" i="2"/>
  <c r="Q232" i="2"/>
  <c r="P232" i="2"/>
  <c r="V231" i="2" a="1"/>
  <c r="V231" i="2" s="1"/>
  <c r="U231" i="2"/>
  <c r="S231" i="2"/>
  <c r="R231" i="2"/>
  <c r="Q231" i="2"/>
  <c r="P231" i="2"/>
  <c r="U230" i="2"/>
  <c r="S230" i="2"/>
  <c r="R230" i="2"/>
  <c r="Q230" i="2"/>
  <c r="P230" i="2"/>
  <c r="U229" i="2"/>
  <c r="S229" i="2"/>
  <c r="V229" i="2" s="1" a="1"/>
  <c r="V229" i="2" s="1"/>
  <c r="R229" i="2"/>
  <c r="Q229" i="2"/>
  <c r="P229" i="2"/>
  <c r="U228" i="2"/>
  <c r="S228" i="2"/>
  <c r="V228" i="2" s="1" a="1"/>
  <c r="V228" i="2" s="1"/>
  <c r="R228" i="2"/>
  <c r="Q228" i="2"/>
  <c r="P228" i="2"/>
  <c r="U227" i="2"/>
  <c r="S227" i="2"/>
  <c r="V227" i="2" s="1" a="1"/>
  <c r="V227" i="2" s="1"/>
  <c r="R227" i="2"/>
  <c r="Q227" i="2"/>
  <c r="P227" i="2"/>
  <c r="V226" i="2" a="1"/>
  <c r="V226" i="2" s="1"/>
  <c r="U226" i="2"/>
  <c r="S226" i="2"/>
  <c r="R226" i="2"/>
  <c r="Q226" i="2"/>
  <c r="P226" i="2"/>
  <c r="U225" i="2"/>
  <c r="S225" i="2"/>
  <c r="R225" i="2"/>
  <c r="Q225" i="2"/>
  <c r="P225" i="2"/>
  <c r="U224" i="2"/>
  <c r="S224" i="2"/>
  <c r="V224" i="2" s="1" a="1"/>
  <c r="V224" i="2" s="1"/>
  <c r="R224" i="2"/>
  <c r="Q224" i="2"/>
  <c r="P224" i="2"/>
  <c r="V223" i="2" a="1"/>
  <c r="V223" i="2" s="1"/>
  <c r="U223" i="2"/>
  <c r="S223" i="2"/>
  <c r="R223" i="2"/>
  <c r="Q223" i="2"/>
  <c r="P223" i="2"/>
  <c r="U222" i="2"/>
  <c r="S222" i="2"/>
  <c r="R222" i="2"/>
  <c r="Q222" i="2"/>
  <c r="P222" i="2"/>
  <c r="U221" i="2"/>
  <c r="S221" i="2"/>
  <c r="V221" i="2" s="1" a="1"/>
  <c r="V221" i="2" s="1"/>
  <c r="R221" i="2"/>
  <c r="Q221" i="2"/>
  <c r="P221" i="2"/>
  <c r="U220" i="2"/>
  <c r="S220" i="2"/>
  <c r="V220" i="2" s="1" a="1"/>
  <c r="V220" i="2" s="1"/>
  <c r="R220" i="2"/>
  <c r="Q220" i="2"/>
  <c r="P220" i="2"/>
  <c r="U219" i="2"/>
  <c r="S219" i="2"/>
  <c r="V219" i="2" s="1" a="1"/>
  <c r="V219" i="2" s="1"/>
  <c r="R219" i="2"/>
  <c r="Q219" i="2"/>
  <c r="P219" i="2"/>
  <c r="V218" i="2" a="1"/>
  <c r="V218" i="2" s="1"/>
  <c r="U218" i="2"/>
  <c r="S218" i="2"/>
  <c r="R218" i="2"/>
  <c r="Q218" i="2"/>
  <c r="P218" i="2"/>
  <c r="U217" i="2"/>
  <c r="S217" i="2"/>
  <c r="R217" i="2"/>
  <c r="Q217" i="2"/>
  <c r="P217" i="2"/>
  <c r="U216" i="2"/>
  <c r="S216" i="2"/>
  <c r="V216" i="2" s="1" a="1"/>
  <c r="V216" i="2" s="1"/>
  <c r="R216" i="2"/>
  <c r="Q216" i="2"/>
  <c r="P216" i="2"/>
  <c r="V215" i="2" a="1"/>
  <c r="V215" i="2" s="1"/>
  <c r="U215" i="2"/>
  <c r="S215" i="2"/>
  <c r="R215" i="2"/>
  <c r="Q215" i="2"/>
  <c r="P215" i="2"/>
  <c r="U214" i="2"/>
  <c r="S214" i="2"/>
  <c r="R214" i="2"/>
  <c r="Q214" i="2"/>
  <c r="P214" i="2"/>
  <c r="U213" i="2"/>
  <c r="S213" i="2"/>
  <c r="V213" i="2" s="1" a="1"/>
  <c r="V213" i="2" s="1"/>
  <c r="R213" i="2"/>
  <c r="Q213" i="2"/>
  <c r="P213" i="2"/>
  <c r="U212" i="2"/>
  <c r="S212" i="2"/>
  <c r="V212" i="2" s="1" a="1"/>
  <c r="V212" i="2" s="1"/>
  <c r="R212" i="2"/>
  <c r="Q212" i="2"/>
  <c r="P212" i="2"/>
  <c r="U211" i="2"/>
  <c r="S211" i="2"/>
  <c r="V211" i="2" s="1" a="1"/>
  <c r="V211" i="2" s="1"/>
  <c r="R211" i="2"/>
  <c r="Q211" i="2"/>
  <c r="P211" i="2"/>
  <c r="V210" i="2" a="1"/>
  <c r="V210" i="2" s="1"/>
  <c r="U210" i="2"/>
  <c r="S210" i="2"/>
  <c r="R210" i="2"/>
  <c r="Q210" i="2"/>
  <c r="P210" i="2"/>
  <c r="U209" i="2"/>
  <c r="S209" i="2"/>
  <c r="R209" i="2"/>
  <c r="Q209" i="2"/>
  <c r="P209" i="2"/>
  <c r="U208" i="2"/>
  <c r="S208" i="2"/>
  <c r="V208" i="2" s="1" a="1"/>
  <c r="V208" i="2" s="1"/>
  <c r="R208" i="2"/>
  <c r="Q208" i="2"/>
  <c r="P208" i="2"/>
  <c r="V207" i="2" a="1"/>
  <c r="V207" i="2" s="1"/>
  <c r="U207" i="2"/>
  <c r="S207" i="2"/>
  <c r="R207" i="2"/>
  <c r="Q207" i="2"/>
  <c r="P207" i="2"/>
  <c r="U206" i="2"/>
  <c r="S206" i="2"/>
  <c r="R206" i="2"/>
  <c r="Q206" i="2"/>
  <c r="P206" i="2"/>
  <c r="U205" i="2"/>
  <c r="S205" i="2"/>
  <c r="V205" i="2" s="1" a="1"/>
  <c r="V205" i="2" s="1"/>
  <c r="R205" i="2"/>
  <c r="Q205" i="2"/>
  <c r="P205" i="2"/>
  <c r="U204" i="2"/>
  <c r="S204" i="2"/>
  <c r="V204" i="2" s="1" a="1"/>
  <c r="V204" i="2" s="1"/>
  <c r="R204" i="2"/>
  <c r="Q204" i="2"/>
  <c r="P204" i="2"/>
  <c r="U203" i="2"/>
  <c r="S203" i="2"/>
  <c r="V203" i="2" s="1" a="1"/>
  <c r="V203" i="2" s="1"/>
  <c r="R203" i="2"/>
  <c r="Q203" i="2"/>
  <c r="P203" i="2"/>
  <c r="V202" i="2" a="1"/>
  <c r="V202" i="2" s="1"/>
  <c r="U202" i="2"/>
  <c r="S202" i="2"/>
  <c r="R202" i="2"/>
  <c r="Q202" i="2"/>
  <c r="P202" i="2"/>
  <c r="U201" i="2"/>
  <c r="S201" i="2"/>
  <c r="R201" i="2"/>
  <c r="Q201" i="2"/>
  <c r="P201" i="2"/>
  <c r="U200" i="2"/>
  <c r="S200" i="2"/>
  <c r="V200" i="2" s="1" a="1"/>
  <c r="V200" i="2" s="1"/>
  <c r="R200" i="2"/>
  <c r="Q200" i="2"/>
  <c r="P200" i="2"/>
  <c r="V199" i="2" a="1"/>
  <c r="V199" i="2" s="1"/>
  <c r="U199" i="2"/>
  <c r="S199" i="2"/>
  <c r="R199" i="2"/>
  <c r="Q199" i="2"/>
  <c r="P199" i="2"/>
  <c r="U198" i="2"/>
  <c r="S198" i="2"/>
  <c r="R198" i="2"/>
  <c r="Q198" i="2"/>
  <c r="P198" i="2"/>
  <c r="U197" i="2"/>
  <c r="S197" i="2"/>
  <c r="V197" i="2" s="1" a="1"/>
  <c r="V197" i="2" s="1"/>
  <c r="R197" i="2"/>
  <c r="Q197" i="2"/>
  <c r="P197" i="2"/>
  <c r="U196" i="2"/>
  <c r="S196" i="2"/>
  <c r="V196" i="2" s="1" a="1"/>
  <c r="V196" i="2" s="1"/>
  <c r="R196" i="2"/>
  <c r="Q196" i="2"/>
  <c r="P196" i="2"/>
  <c r="U195" i="2"/>
  <c r="S195" i="2"/>
  <c r="V195" i="2" s="1" a="1"/>
  <c r="V195" i="2" s="1"/>
  <c r="R195" i="2"/>
  <c r="Q195" i="2"/>
  <c r="P195" i="2"/>
  <c r="V194" i="2" a="1"/>
  <c r="V194" i="2" s="1"/>
  <c r="U194" i="2"/>
  <c r="S194" i="2"/>
  <c r="R194" i="2"/>
  <c r="Q194" i="2"/>
  <c r="P194" i="2"/>
  <c r="U193" i="2"/>
  <c r="S193" i="2"/>
  <c r="R193" i="2"/>
  <c r="Q193" i="2"/>
  <c r="P193" i="2"/>
  <c r="U192" i="2"/>
  <c r="S192" i="2"/>
  <c r="V192" i="2" s="1" a="1"/>
  <c r="V192" i="2" s="1"/>
  <c r="R192" i="2"/>
  <c r="Q192" i="2"/>
  <c r="P192" i="2"/>
  <c r="U191" i="2"/>
  <c r="S191" i="2"/>
  <c r="V191" i="2" s="1" a="1"/>
  <c r="V191" i="2" s="1"/>
  <c r="R191" i="2"/>
  <c r="Q191" i="2"/>
  <c r="P191" i="2"/>
  <c r="U190" i="2"/>
  <c r="S190" i="2"/>
  <c r="V190" i="2" s="1" a="1"/>
  <c r="V190" i="2" s="1"/>
  <c r="R190" i="2"/>
  <c r="Q190" i="2"/>
  <c r="P190" i="2"/>
  <c r="V189" i="2"/>
  <c r="V189" i="2" a="1"/>
  <c r="U189" i="2"/>
  <c r="S189" i="2"/>
  <c r="R189" i="2"/>
  <c r="Q189" i="2"/>
  <c r="P189" i="2"/>
  <c r="V188" i="2"/>
  <c r="V188" i="2" a="1"/>
  <c r="U188" i="2"/>
  <c r="S188" i="2"/>
  <c r="R188" i="2"/>
  <c r="Q188" i="2"/>
  <c r="P188" i="2"/>
  <c r="V187" i="2" a="1"/>
  <c r="V187" i="2" s="1"/>
  <c r="U187" i="2"/>
  <c r="S187" i="2"/>
  <c r="R187" i="2"/>
  <c r="Q187" i="2"/>
  <c r="P187" i="2"/>
  <c r="V186" i="2"/>
  <c r="V186" i="2" a="1"/>
  <c r="U186" i="2"/>
  <c r="S186" i="2"/>
  <c r="R186" i="2"/>
  <c r="Q186" i="2"/>
  <c r="P186" i="2"/>
  <c r="U185" i="2"/>
  <c r="S185" i="2"/>
  <c r="V185" i="2" s="1" a="1"/>
  <c r="V185" i="2" s="1"/>
  <c r="R185" i="2"/>
  <c r="Q185" i="2"/>
  <c r="P185" i="2"/>
  <c r="U184" i="2"/>
  <c r="S184" i="2"/>
  <c r="V184" i="2" s="1" a="1"/>
  <c r="V184" i="2" s="1"/>
  <c r="R184" i="2"/>
  <c r="Q184" i="2"/>
  <c r="P184" i="2"/>
  <c r="U183" i="2"/>
  <c r="S183" i="2"/>
  <c r="V183" i="2" s="1" a="1"/>
  <c r="V183" i="2" s="1"/>
  <c r="R183" i="2"/>
  <c r="Q183" i="2"/>
  <c r="P183" i="2"/>
  <c r="U182" i="2"/>
  <c r="S182" i="2"/>
  <c r="V182" i="2" s="1" a="1"/>
  <c r="V182" i="2" s="1"/>
  <c r="R182" i="2"/>
  <c r="Q182" i="2"/>
  <c r="P182" i="2"/>
  <c r="V181" i="2"/>
  <c r="V181" i="2" a="1"/>
  <c r="U181" i="2"/>
  <c r="S181" i="2"/>
  <c r="R181" i="2"/>
  <c r="Q181" i="2"/>
  <c r="P181" i="2"/>
  <c r="V180" i="2"/>
  <c r="V180" i="2" a="1"/>
  <c r="U180" i="2"/>
  <c r="S180" i="2"/>
  <c r="R180" i="2"/>
  <c r="Q180" i="2"/>
  <c r="P180" i="2"/>
  <c r="V179" i="2" a="1"/>
  <c r="V179" i="2" s="1"/>
  <c r="U179" i="2"/>
  <c r="S179" i="2"/>
  <c r="R179" i="2"/>
  <c r="Q179" i="2"/>
  <c r="P179" i="2"/>
  <c r="V178" i="2"/>
  <c r="V178" i="2" a="1"/>
  <c r="U178" i="2"/>
  <c r="S178" i="2"/>
  <c r="R178" i="2"/>
  <c r="Q178" i="2"/>
  <c r="P178" i="2"/>
  <c r="U177" i="2"/>
  <c r="S177" i="2"/>
  <c r="V177" i="2" s="1" a="1"/>
  <c r="V177" i="2" s="1"/>
  <c r="R177" i="2"/>
  <c r="Q177" i="2"/>
  <c r="P177" i="2"/>
  <c r="U176" i="2"/>
  <c r="S176" i="2"/>
  <c r="V176" i="2" s="1" a="1"/>
  <c r="V176" i="2" s="1"/>
  <c r="R176" i="2"/>
  <c r="Q176" i="2"/>
  <c r="P176" i="2"/>
  <c r="U175" i="2"/>
  <c r="S175" i="2"/>
  <c r="V175" i="2" s="1" a="1"/>
  <c r="V175" i="2" s="1"/>
  <c r="R175" i="2"/>
  <c r="Q175" i="2"/>
  <c r="P175" i="2"/>
  <c r="U174" i="2"/>
  <c r="S174" i="2"/>
  <c r="V174" i="2" s="1" a="1"/>
  <c r="V174" i="2" s="1"/>
  <c r="R174" i="2"/>
  <c r="Q174" i="2"/>
  <c r="P174" i="2"/>
  <c r="V173" i="2"/>
  <c r="V173" i="2" a="1"/>
  <c r="U173" i="2"/>
  <c r="S173" i="2"/>
  <c r="R173" i="2"/>
  <c r="Q173" i="2"/>
  <c r="P173" i="2"/>
  <c r="V172" i="2"/>
  <c r="V172" i="2" a="1"/>
  <c r="U172" i="2"/>
  <c r="S172" i="2"/>
  <c r="R172" i="2"/>
  <c r="Q172" i="2"/>
  <c r="P172" i="2"/>
  <c r="V171" i="2" a="1"/>
  <c r="V171" i="2" s="1"/>
  <c r="U171" i="2"/>
  <c r="S171" i="2"/>
  <c r="R171" i="2"/>
  <c r="Q171" i="2"/>
  <c r="P171" i="2"/>
  <c r="V170" i="2"/>
  <c r="V170" i="2" a="1"/>
  <c r="U170" i="2"/>
  <c r="S170" i="2"/>
  <c r="R170" i="2"/>
  <c r="Q170" i="2"/>
  <c r="P170" i="2"/>
  <c r="U169" i="2"/>
  <c r="S169" i="2"/>
  <c r="V169" i="2" s="1" a="1"/>
  <c r="V169" i="2" s="1"/>
  <c r="R169" i="2"/>
  <c r="Q169" i="2"/>
  <c r="P169" i="2"/>
  <c r="U168" i="2"/>
  <c r="S168" i="2"/>
  <c r="V168" i="2" s="1" a="1"/>
  <c r="V168" i="2" s="1"/>
  <c r="R168" i="2"/>
  <c r="Q168" i="2"/>
  <c r="P168" i="2"/>
  <c r="U167" i="2"/>
  <c r="S167" i="2"/>
  <c r="V167" i="2" s="1" a="1"/>
  <c r="V167" i="2" s="1"/>
  <c r="R167" i="2"/>
  <c r="Q167" i="2"/>
  <c r="P167" i="2"/>
  <c r="U166" i="2"/>
  <c r="S166" i="2"/>
  <c r="V166" i="2" s="1" a="1"/>
  <c r="V166" i="2" s="1"/>
  <c r="R166" i="2"/>
  <c r="Q166" i="2"/>
  <c r="P166" i="2"/>
  <c r="V165" i="2"/>
  <c r="V165" i="2" a="1"/>
  <c r="U165" i="2"/>
  <c r="S165" i="2"/>
  <c r="R165" i="2"/>
  <c r="Q165" i="2"/>
  <c r="P165" i="2"/>
  <c r="V164" i="2"/>
  <c r="V164" i="2" a="1"/>
  <c r="U164" i="2"/>
  <c r="S164" i="2"/>
  <c r="R164" i="2"/>
  <c r="Q164" i="2"/>
  <c r="P164" i="2"/>
  <c r="V163" i="2" a="1"/>
  <c r="V163" i="2" s="1"/>
  <c r="U163" i="2"/>
  <c r="S163" i="2"/>
  <c r="R163" i="2"/>
  <c r="Q163" i="2"/>
  <c r="P163" i="2"/>
  <c r="V162" i="2"/>
  <c r="V162" i="2" a="1"/>
  <c r="U162" i="2"/>
  <c r="S162" i="2"/>
  <c r="R162" i="2"/>
  <c r="Q162" i="2"/>
  <c r="P162" i="2"/>
  <c r="U161" i="2"/>
  <c r="S161" i="2"/>
  <c r="V161" i="2" s="1" a="1"/>
  <c r="V161" i="2" s="1"/>
  <c r="R161" i="2"/>
  <c r="Q161" i="2"/>
  <c r="P161" i="2"/>
  <c r="U160" i="2"/>
  <c r="S160" i="2"/>
  <c r="V160" i="2" s="1" a="1"/>
  <c r="V160" i="2" s="1"/>
  <c r="R160" i="2"/>
  <c r="Q160" i="2"/>
  <c r="P160" i="2"/>
  <c r="U159" i="2"/>
  <c r="S159" i="2"/>
  <c r="V159" i="2" s="1" a="1"/>
  <c r="V159" i="2" s="1"/>
  <c r="R159" i="2"/>
  <c r="Q159" i="2"/>
  <c r="P159" i="2"/>
  <c r="U158" i="2"/>
  <c r="S158" i="2"/>
  <c r="V158" i="2" s="1" a="1"/>
  <c r="V158" i="2" s="1"/>
  <c r="R158" i="2"/>
  <c r="Q158" i="2"/>
  <c r="P158" i="2"/>
  <c r="V157" i="2"/>
  <c r="V157" i="2" a="1"/>
  <c r="U157" i="2"/>
  <c r="S157" i="2"/>
  <c r="R157" i="2"/>
  <c r="Q157" i="2"/>
  <c r="P157" i="2"/>
  <c r="V156" i="2"/>
  <c r="V156" i="2" a="1"/>
  <c r="U156" i="2"/>
  <c r="S156" i="2"/>
  <c r="R156" i="2"/>
  <c r="Q156" i="2"/>
  <c r="P156" i="2"/>
  <c r="V155" i="2" a="1"/>
  <c r="V155" i="2" s="1"/>
  <c r="U155" i="2"/>
  <c r="S155" i="2"/>
  <c r="R155" i="2"/>
  <c r="Q155" i="2"/>
  <c r="P155" i="2"/>
  <c r="V154" i="2"/>
  <c r="V154" i="2" a="1"/>
  <c r="U154" i="2"/>
  <c r="S154" i="2"/>
  <c r="R154" i="2"/>
  <c r="Q154" i="2"/>
  <c r="P154" i="2"/>
  <c r="U153" i="2"/>
  <c r="S153" i="2"/>
  <c r="V153" i="2" s="1" a="1"/>
  <c r="V153" i="2" s="1"/>
  <c r="R153" i="2"/>
  <c r="Q153" i="2"/>
  <c r="P153" i="2"/>
  <c r="U152" i="2"/>
  <c r="S152" i="2"/>
  <c r="V152" i="2" s="1" a="1"/>
  <c r="V152" i="2" s="1"/>
  <c r="R152" i="2"/>
  <c r="Q152" i="2"/>
  <c r="P152" i="2"/>
  <c r="U151" i="2"/>
  <c r="S151" i="2"/>
  <c r="V151" i="2" s="1" a="1"/>
  <c r="V151" i="2" s="1"/>
  <c r="R151" i="2"/>
  <c r="Q151" i="2"/>
  <c r="P151" i="2"/>
  <c r="U150" i="2"/>
  <c r="S150" i="2"/>
  <c r="V150" i="2" s="1" a="1"/>
  <c r="V150" i="2" s="1"/>
  <c r="R150" i="2"/>
  <c r="Q150" i="2"/>
  <c r="P150" i="2"/>
  <c r="V149" i="2"/>
  <c r="V149" i="2" a="1"/>
  <c r="U149" i="2"/>
  <c r="S149" i="2"/>
  <c r="R149" i="2"/>
  <c r="Q149" i="2"/>
  <c r="P149" i="2"/>
  <c r="V148" i="2"/>
  <c r="V148" i="2" a="1"/>
  <c r="U148" i="2"/>
  <c r="S148" i="2"/>
  <c r="R148" i="2"/>
  <c r="Q148" i="2"/>
  <c r="P148" i="2"/>
  <c r="V147" i="2" a="1"/>
  <c r="V147" i="2" s="1"/>
  <c r="U147" i="2"/>
  <c r="S147" i="2"/>
  <c r="R147" i="2"/>
  <c r="Q147" i="2"/>
  <c r="P147" i="2"/>
  <c r="V146" i="2"/>
  <c r="V146" i="2" a="1"/>
  <c r="U146" i="2"/>
  <c r="S146" i="2"/>
  <c r="R146" i="2"/>
  <c r="Q146" i="2"/>
  <c r="P146" i="2"/>
  <c r="U145" i="2"/>
  <c r="S145" i="2"/>
  <c r="V145" i="2" s="1" a="1"/>
  <c r="V145" i="2" s="1"/>
  <c r="R145" i="2"/>
  <c r="Q145" i="2"/>
  <c r="P145" i="2"/>
  <c r="U144" i="2"/>
  <c r="S144" i="2"/>
  <c r="V144" i="2" s="1" a="1"/>
  <c r="V144" i="2" s="1"/>
  <c r="R144" i="2"/>
  <c r="Q144" i="2"/>
  <c r="P144" i="2"/>
  <c r="U143" i="2"/>
  <c r="S143" i="2"/>
  <c r="V143" i="2" s="1" a="1"/>
  <c r="V143" i="2" s="1"/>
  <c r="R143" i="2"/>
  <c r="Q143" i="2"/>
  <c r="P143" i="2"/>
  <c r="U142" i="2"/>
  <c r="S142" i="2"/>
  <c r="V142" i="2" s="1" a="1"/>
  <c r="V142" i="2" s="1"/>
  <c r="R142" i="2"/>
  <c r="Q142" i="2"/>
  <c r="P142" i="2"/>
  <c r="V141" i="2"/>
  <c r="V141" i="2" a="1"/>
  <c r="U141" i="2"/>
  <c r="S141" i="2"/>
  <c r="R141" i="2"/>
  <c r="Q141" i="2"/>
  <c r="P141" i="2"/>
  <c r="V140" i="2"/>
  <c r="V140" i="2" a="1"/>
  <c r="U140" i="2"/>
  <c r="S140" i="2"/>
  <c r="R140" i="2"/>
  <c r="Q140" i="2"/>
  <c r="P140" i="2"/>
  <c r="V139" i="2" a="1"/>
  <c r="V139" i="2" s="1"/>
  <c r="U139" i="2"/>
  <c r="S139" i="2"/>
  <c r="R139" i="2"/>
  <c r="Q139" i="2"/>
  <c r="P139" i="2"/>
  <c r="V138" i="2"/>
  <c r="V138" i="2" a="1"/>
  <c r="U138" i="2"/>
  <c r="S138" i="2"/>
  <c r="R138" i="2"/>
  <c r="Q138" i="2"/>
  <c r="P138" i="2"/>
  <c r="U137" i="2"/>
  <c r="S137" i="2"/>
  <c r="V137" i="2" s="1" a="1"/>
  <c r="V137" i="2" s="1"/>
  <c r="R137" i="2"/>
  <c r="Q137" i="2"/>
  <c r="P137" i="2"/>
  <c r="U136" i="2"/>
  <c r="S136" i="2"/>
  <c r="V136" i="2" s="1" a="1"/>
  <c r="V136" i="2" s="1"/>
  <c r="R136" i="2"/>
  <c r="Q136" i="2"/>
  <c r="P136" i="2"/>
  <c r="U135" i="2"/>
  <c r="S135" i="2"/>
  <c r="V135" i="2" s="1" a="1"/>
  <c r="V135" i="2" s="1"/>
  <c r="R135" i="2"/>
  <c r="Q135" i="2"/>
  <c r="P135" i="2"/>
  <c r="U134" i="2"/>
  <c r="S134" i="2"/>
  <c r="V134" i="2" s="1" a="1"/>
  <c r="V134" i="2" s="1"/>
  <c r="R134" i="2"/>
  <c r="Q134" i="2"/>
  <c r="P134" i="2"/>
  <c r="V133" i="2"/>
  <c r="V133" i="2" a="1"/>
  <c r="U133" i="2"/>
  <c r="S133" i="2"/>
  <c r="R133" i="2"/>
  <c r="Q133" i="2"/>
  <c r="P133" i="2"/>
  <c r="V132" i="2"/>
  <c r="V132" i="2" a="1"/>
  <c r="U132" i="2"/>
  <c r="S132" i="2"/>
  <c r="R132" i="2"/>
  <c r="Q132" i="2"/>
  <c r="P132" i="2"/>
  <c r="V131" i="2" a="1"/>
  <c r="V131" i="2" s="1"/>
  <c r="U131" i="2"/>
  <c r="S131" i="2"/>
  <c r="R131" i="2"/>
  <c r="Q131" i="2"/>
  <c r="P131" i="2"/>
  <c r="V130" i="2"/>
  <c r="V130" i="2" a="1"/>
  <c r="U130" i="2"/>
  <c r="S130" i="2"/>
  <c r="R130" i="2"/>
  <c r="Q130" i="2"/>
  <c r="P130" i="2"/>
  <c r="U129" i="2"/>
  <c r="S129" i="2"/>
  <c r="V129" i="2" s="1" a="1"/>
  <c r="V129" i="2" s="1"/>
  <c r="R129" i="2"/>
  <c r="Q129" i="2"/>
  <c r="P129" i="2"/>
  <c r="U128" i="2"/>
  <c r="S128" i="2"/>
  <c r="V128" i="2" s="1" a="1"/>
  <c r="V128" i="2" s="1"/>
  <c r="R128" i="2"/>
  <c r="Q128" i="2"/>
  <c r="P128" i="2"/>
  <c r="U127" i="2"/>
  <c r="S127" i="2"/>
  <c r="V127" i="2" s="1" a="1"/>
  <c r="V127" i="2" s="1"/>
  <c r="R127" i="2"/>
  <c r="Q127" i="2"/>
  <c r="P127" i="2"/>
  <c r="U126" i="2"/>
  <c r="S126" i="2"/>
  <c r="V126" i="2" s="1" a="1"/>
  <c r="V126" i="2" s="1"/>
  <c r="R126" i="2"/>
  <c r="Q126" i="2"/>
  <c r="P126" i="2"/>
  <c r="V125" i="2"/>
  <c r="V125" i="2" a="1"/>
  <c r="U125" i="2"/>
  <c r="S125" i="2"/>
  <c r="R125" i="2"/>
  <c r="Q125" i="2"/>
  <c r="P125" i="2"/>
  <c r="V124" i="2"/>
  <c r="V124" i="2" a="1"/>
  <c r="U124" i="2"/>
  <c r="S124" i="2"/>
  <c r="R124" i="2"/>
  <c r="Q124" i="2"/>
  <c r="P124" i="2"/>
  <c r="V123" i="2" a="1"/>
  <c r="V123" i="2" s="1"/>
  <c r="U123" i="2"/>
  <c r="S123" i="2"/>
  <c r="R123" i="2"/>
  <c r="Q123" i="2"/>
  <c r="P123" i="2"/>
  <c r="V122" i="2"/>
  <c r="V122" i="2" a="1"/>
  <c r="U122" i="2"/>
  <c r="S122" i="2"/>
  <c r="R122" i="2"/>
  <c r="Q122" i="2"/>
  <c r="P122" i="2"/>
  <c r="U121" i="2"/>
  <c r="S121" i="2"/>
  <c r="V121" i="2" s="1" a="1"/>
  <c r="V121" i="2" s="1"/>
  <c r="R121" i="2"/>
  <c r="Q121" i="2"/>
  <c r="P121" i="2"/>
  <c r="U120" i="2"/>
  <c r="S120" i="2"/>
  <c r="V120" i="2" s="1" a="1"/>
  <c r="V120" i="2" s="1"/>
  <c r="R120" i="2"/>
  <c r="Q120" i="2"/>
  <c r="P120" i="2"/>
  <c r="U119" i="2"/>
  <c r="S119" i="2"/>
  <c r="V119" i="2" s="1" a="1"/>
  <c r="V119" i="2" s="1"/>
  <c r="R119" i="2"/>
  <c r="Q119" i="2"/>
  <c r="P119" i="2"/>
  <c r="U118" i="2"/>
  <c r="S118" i="2"/>
  <c r="V118" i="2" s="1" a="1"/>
  <c r="V118" i="2" s="1"/>
  <c r="R118" i="2"/>
  <c r="Q118" i="2"/>
  <c r="P118" i="2"/>
  <c r="V117" i="2"/>
  <c r="V117" i="2" a="1"/>
  <c r="U117" i="2"/>
  <c r="S117" i="2"/>
  <c r="R117" i="2"/>
  <c r="Q117" i="2"/>
  <c r="P117" i="2"/>
  <c r="V116" i="2"/>
  <c r="V116" i="2" a="1"/>
  <c r="U116" i="2"/>
  <c r="S116" i="2"/>
  <c r="R116" i="2"/>
  <c r="Q116" i="2"/>
  <c r="P116" i="2"/>
  <c r="V115" i="2" a="1"/>
  <c r="V115" i="2" s="1"/>
  <c r="U115" i="2"/>
  <c r="S115" i="2"/>
  <c r="R115" i="2"/>
  <c r="Q115" i="2"/>
  <c r="P115" i="2"/>
  <c r="V114" i="2"/>
  <c r="V114" i="2" a="1"/>
  <c r="U114" i="2"/>
  <c r="S114" i="2"/>
  <c r="R114" i="2"/>
  <c r="Q114" i="2"/>
  <c r="P114" i="2"/>
  <c r="U113" i="2"/>
  <c r="S113" i="2"/>
  <c r="V113" i="2" s="1" a="1"/>
  <c r="V113" i="2" s="1"/>
  <c r="R113" i="2"/>
  <c r="Q113" i="2"/>
  <c r="P113" i="2"/>
  <c r="U112" i="2"/>
  <c r="S112" i="2"/>
  <c r="V112" i="2" s="1" a="1"/>
  <c r="V112" i="2" s="1"/>
  <c r="R112" i="2"/>
  <c r="Q112" i="2"/>
  <c r="P112" i="2"/>
  <c r="U111" i="2"/>
  <c r="S111" i="2"/>
  <c r="V111" i="2" s="1" a="1"/>
  <c r="V111" i="2" s="1"/>
  <c r="R111" i="2"/>
  <c r="Q111" i="2"/>
  <c r="P111" i="2"/>
  <c r="U110" i="2"/>
  <c r="S110" i="2"/>
  <c r="V110" i="2" s="1" a="1"/>
  <c r="V110" i="2" s="1"/>
  <c r="R110" i="2"/>
  <c r="Q110" i="2"/>
  <c r="P110" i="2"/>
  <c r="V109" i="2"/>
  <c r="V109" i="2" a="1"/>
  <c r="U109" i="2"/>
  <c r="S109" i="2"/>
  <c r="R109" i="2"/>
  <c r="Q109" i="2"/>
  <c r="P109" i="2"/>
  <c r="V108" i="2"/>
  <c r="V108" i="2" a="1"/>
  <c r="U108" i="2"/>
  <c r="S108" i="2"/>
  <c r="R108" i="2"/>
  <c r="Q108" i="2"/>
  <c r="P108" i="2"/>
  <c r="V107" i="2" a="1"/>
  <c r="V107" i="2" s="1"/>
  <c r="U107" i="2"/>
  <c r="S107" i="2"/>
  <c r="R107" i="2"/>
  <c r="Q107" i="2"/>
  <c r="P107" i="2"/>
  <c r="V106" i="2"/>
  <c r="V106" i="2" a="1"/>
  <c r="U106" i="2"/>
  <c r="S106" i="2"/>
  <c r="R106" i="2"/>
  <c r="Q106" i="2"/>
  <c r="P106" i="2"/>
  <c r="U105" i="2"/>
  <c r="S105" i="2"/>
  <c r="V105" i="2" s="1" a="1"/>
  <c r="V105" i="2" s="1"/>
  <c r="R105" i="2"/>
  <c r="Q105" i="2"/>
  <c r="P105" i="2"/>
  <c r="U104" i="2"/>
  <c r="S104" i="2"/>
  <c r="V104" i="2" s="1" a="1"/>
  <c r="V104" i="2" s="1"/>
  <c r="R104" i="2"/>
  <c r="Q104" i="2"/>
  <c r="P104" i="2"/>
  <c r="U103" i="2"/>
  <c r="S103" i="2"/>
  <c r="V103" i="2" s="1" a="1"/>
  <c r="V103" i="2" s="1"/>
  <c r="R103" i="2"/>
  <c r="Q103" i="2"/>
  <c r="P103" i="2"/>
  <c r="U102" i="2"/>
  <c r="S102" i="2"/>
  <c r="V102" i="2" s="1" a="1"/>
  <c r="V102" i="2" s="1"/>
  <c r="R102" i="2"/>
  <c r="Q102" i="2"/>
  <c r="P102" i="2"/>
  <c r="V101" i="2"/>
  <c r="V101" i="2" a="1"/>
  <c r="U101" i="2"/>
  <c r="S101" i="2"/>
  <c r="R101" i="2"/>
  <c r="Q101" i="2"/>
  <c r="P101" i="2"/>
  <c r="V100" i="2"/>
  <c r="V100" i="2" a="1"/>
  <c r="U100" i="2"/>
  <c r="S100" i="2"/>
  <c r="R100" i="2"/>
  <c r="Q100" i="2"/>
  <c r="P100" i="2"/>
  <c r="V99" i="2" a="1"/>
  <c r="V99" i="2" s="1"/>
  <c r="U99" i="2"/>
  <c r="S99" i="2"/>
  <c r="R99" i="2"/>
  <c r="Q99" i="2"/>
  <c r="P99" i="2"/>
  <c r="V98" i="2"/>
  <c r="V98" i="2" a="1"/>
  <c r="U98" i="2"/>
  <c r="S98" i="2"/>
  <c r="R98" i="2"/>
  <c r="Q98" i="2"/>
  <c r="P98" i="2"/>
  <c r="U97" i="2"/>
  <c r="S97" i="2"/>
  <c r="V97" i="2" s="1" a="1"/>
  <c r="V97" i="2" s="1"/>
  <c r="R97" i="2"/>
  <c r="Q97" i="2"/>
  <c r="P97" i="2"/>
  <c r="U96" i="2"/>
  <c r="S96" i="2"/>
  <c r="V96" i="2" s="1" a="1"/>
  <c r="V96" i="2" s="1"/>
  <c r="R96" i="2"/>
  <c r="Q96" i="2"/>
  <c r="P96" i="2"/>
  <c r="U95" i="2"/>
  <c r="S95" i="2"/>
  <c r="V95" i="2" s="1" a="1"/>
  <c r="V95" i="2" s="1"/>
  <c r="R95" i="2"/>
  <c r="Q95" i="2"/>
  <c r="P95" i="2"/>
  <c r="U94" i="2"/>
  <c r="S94" i="2"/>
  <c r="V94" i="2" s="1" a="1"/>
  <c r="V94" i="2" s="1"/>
  <c r="R94" i="2"/>
  <c r="Q94" i="2"/>
  <c r="P94" i="2"/>
  <c r="V93" i="2"/>
  <c r="V93" i="2" a="1"/>
  <c r="U93" i="2"/>
  <c r="S93" i="2"/>
  <c r="R93" i="2"/>
  <c r="Q93" i="2"/>
  <c r="P93" i="2"/>
  <c r="V92" i="2"/>
  <c r="V92" i="2" a="1"/>
  <c r="U92" i="2"/>
  <c r="S92" i="2"/>
  <c r="R92" i="2"/>
  <c r="Q92" i="2"/>
  <c r="P92" i="2"/>
  <c r="V91" i="2" a="1"/>
  <c r="V91" i="2" s="1"/>
  <c r="U91" i="2"/>
  <c r="S91" i="2"/>
  <c r="R91" i="2"/>
  <c r="Q91" i="2"/>
  <c r="P91" i="2"/>
  <c r="V90" i="2"/>
  <c r="V90" i="2" a="1"/>
  <c r="U90" i="2"/>
  <c r="S90" i="2"/>
  <c r="R90" i="2"/>
  <c r="Q90" i="2"/>
  <c r="P90" i="2"/>
  <c r="U89" i="2"/>
  <c r="S89" i="2"/>
  <c r="V89" i="2" s="1" a="1"/>
  <c r="V89" i="2" s="1"/>
  <c r="R89" i="2"/>
  <c r="Q89" i="2"/>
  <c r="P89" i="2"/>
  <c r="U88" i="2"/>
  <c r="S88" i="2"/>
  <c r="V88" i="2" s="1" a="1"/>
  <c r="V88" i="2" s="1"/>
  <c r="R88" i="2"/>
  <c r="Q88" i="2"/>
  <c r="P88" i="2"/>
  <c r="U87" i="2"/>
  <c r="S87" i="2"/>
  <c r="V87" i="2" s="1" a="1"/>
  <c r="V87" i="2" s="1"/>
  <c r="R87" i="2"/>
  <c r="Q87" i="2"/>
  <c r="P87" i="2"/>
  <c r="U86" i="2"/>
  <c r="S86" i="2"/>
  <c r="V86" i="2" s="1" a="1"/>
  <c r="V86" i="2" s="1"/>
  <c r="R86" i="2"/>
  <c r="Q86" i="2"/>
  <c r="P86" i="2"/>
  <c r="V85" i="2"/>
  <c r="V85" i="2" a="1"/>
  <c r="U85" i="2"/>
  <c r="S85" i="2"/>
  <c r="R85" i="2"/>
  <c r="Q85" i="2"/>
  <c r="P85" i="2"/>
  <c r="V84" i="2"/>
  <c r="V84" i="2" a="1"/>
  <c r="U84" i="2"/>
  <c r="S84" i="2"/>
  <c r="R84" i="2"/>
  <c r="Q84" i="2"/>
  <c r="P84" i="2"/>
  <c r="V83" i="2" a="1"/>
  <c r="V83" i="2" s="1"/>
  <c r="U83" i="2"/>
  <c r="S83" i="2"/>
  <c r="R83" i="2"/>
  <c r="Q83" i="2"/>
  <c r="P83" i="2"/>
  <c r="V82" i="2"/>
  <c r="V82" i="2" a="1"/>
  <c r="U82" i="2"/>
  <c r="S82" i="2"/>
  <c r="R82" i="2"/>
  <c r="Q82" i="2"/>
  <c r="P82" i="2"/>
  <c r="U81" i="2"/>
  <c r="S81" i="2"/>
  <c r="V81" i="2" s="1" a="1"/>
  <c r="V81" i="2" s="1"/>
  <c r="R81" i="2"/>
  <c r="Q81" i="2"/>
  <c r="P81" i="2"/>
  <c r="U80" i="2"/>
  <c r="S80" i="2"/>
  <c r="V80" i="2" s="1" a="1"/>
  <c r="V80" i="2" s="1"/>
  <c r="R80" i="2"/>
  <c r="Q80" i="2"/>
  <c r="P80" i="2"/>
  <c r="U79" i="2"/>
  <c r="S79" i="2"/>
  <c r="V79" i="2" s="1" a="1"/>
  <c r="V79" i="2" s="1"/>
  <c r="R79" i="2"/>
  <c r="Q79" i="2"/>
  <c r="P79" i="2"/>
  <c r="U78" i="2"/>
  <c r="S78" i="2"/>
  <c r="V78" i="2" s="1" a="1"/>
  <c r="V78" i="2" s="1"/>
  <c r="R78" i="2"/>
  <c r="Q78" i="2"/>
  <c r="P78" i="2"/>
  <c r="V77" i="2" a="1"/>
  <c r="V77" i="2" s="1"/>
  <c r="U77" i="2"/>
  <c r="S77" i="2"/>
  <c r="R77" i="2"/>
  <c r="Q77" i="2"/>
  <c r="P77" i="2"/>
  <c r="V76" i="2"/>
  <c r="V76" i="2" a="1"/>
  <c r="U76" i="2"/>
  <c r="S76" i="2"/>
  <c r="R76" i="2"/>
  <c r="Q76" i="2"/>
  <c r="P76" i="2"/>
  <c r="V75" i="2" a="1"/>
  <c r="V75" i="2" s="1"/>
  <c r="U75" i="2"/>
  <c r="S75" i="2"/>
  <c r="R75" i="2"/>
  <c r="Q75" i="2"/>
  <c r="P75" i="2"/>
  <c r="V74" i="2"/>
  <c r="V74" i="2" a="1"/>
  <c r="U74" i="2"/>
  <c r="S74" i="2"/>
  <c r="R74" i="2"/>
  <c r="Q74" i="2"/>
  <c r="P74" i="2"/>
  <c r="U73" i="2"/>
  <c r="S73" i="2"/>
  <c r="V73" i="2" s="1" a="1"/>
  <c r="V73" i="2" s="1"/>
  <c r="R73" i="2"/>
  <c r="Q73" i="2"/>
  <c r="P73" i="2"/>
  <c r="U72" i="2"/>
  <c r="S72" i="2"/>
  <c r="V72" i="2" s="1" a="1"/>
  <c r="V72" i="2" s="1"/>
  <c r="R72" i="2"/>
  <c r="Q72" i="2"/>
  <c r="P72" i="2"/>
  <c r="U71" i="2"/>
  <c r="S71" i="2"/>
  <c r="V71" i="2" s="1" a="1"/>
  <c r="V71" i="2" s="1"/>
  <c r="R71" i="2"/>
  <c r="Q71" i="2"/>
  <c r="P71" i="2"/>
  <c r="U70" i="2"/>
  <c r="S70" i="2"/>
  <c r="V70" i="2" s="1" a="1"/>
  <c r="V70" i="2" s="1"/>
  <c r="R70" i="2"/>
  <c r="Q70" i="2"/>
  <c r="P70" i="2"/>
  <c r="V69" i="2" a="1"/>
  <c r="V69" i="2" s="1"/>
  <c r="U69" i="2"/>
  <c r="S69" i="2"/>
  <c r="R69" i="2"/>
  <c r="Q69" i="2"/>
  <c r="P69" i="2"/>
  <c r="V68" i="2"/>
  <c r="V68" i="2" a="1"/>
  <c r="U68" i="2"/>
  <c r="S68" i="2"/>
  <c r="R68" i="2"/>
  <c r="Q68" i="2"/>
  <c r="P68" i="2"/>
  <c r="V67" i="2" a="1"/>
  <c r="V67" i="2" s="1"/>
  <c r="U67" i="2"/>
  <c r="S67" i="2"/>
  <c r="R67" i="2"/>
  <c r="Q67" i="2"/>
  <c r="P67" i="2"/>
  <c r="V66" i="2"/>
  <c r="V66" i="2" a="1"/>
  <c r="U66" i="2"/>
  <c r="S66" i="2"/>
  <c r="R66" i="2"/>
  <c r="P66" i="2"/>
  <c r="U65" i="2"/>
  <c r="S65" i="2"/>
  <c r="V65" i="2" s="1" a="1"/>
  <c r="V65" i="2" s="1"/>
  <c r="R65" i="2"/>
  <c r="Q65" i="2"/>
  <c r="P65" i="2"/>
  <c r="U64" i="2"/>
  <c r="S64" i="2"/>
  <c r="V64" i="2" s="1" a="1"/>
  <c r="V64" i="2" s="1"/>
  <c r="R64" i="2"/>
  <c r="Q64" i="2"/>
  <c r="P64" i="2"/>
  <c r="U63" i="2"/>
  <c r="S63" i="2"/>
  <c r="V63" i="2" s="1" a="1"/>
  <c r="V63" i="2" s="1"/>
  <c r="R63" i="2"/>
  <c r="Q63" i="2"/>
  <c r="P63" i="2"/>
  <c r="U62" i="2"/>
  <c r="S62" i="2"/>
  <c r="V62" i="2" s="1" a="1"/>
  <c r="V62" i="2" s="1"/>
  <c r="R62" i="2"/>
  <c r="Q62" i="2"/>
  <c r="P62" i="2"/>
  <c r="V61" i="2" a="1"/>
  <c r="V61" i="2" s="1"/>
  <c r="U61" i="2"/>
  <c r="S61" i="2"/>
  <c r="R61" i="2"/>
  <c r="Q61" i="2"/>
  <c r="P61" i="2"/>
  <c r="V60" i="2"/>
  <c r="V60" i="2" a="1"/>
  <c r="U60" i="2"/>
  <c r="S60" i="2"/>
  <c r="R60" i="2"/>
  <c r="Q60" i="2"/>
  <c r="P60" i="2"/>
  <c r="V59" i="2" a="1"/>
  <c r="V59" i="2" s="1"/>
  <c r="U59" i="2"/>
  <c r="S59" i="2"/>
  <c r="R59" i="2"/>
  <c r="Q59" i="2"/>
  <c r="P59" i="2"/>
  <c r="V58" i="2"/>
  <c r="V58" i="2" a="1"/>
  <c r="U58" i="2"/>
  <c r="S58" i="2"/>
  <c r="R58" i="2"/>
  <c r="Q58" i="2"/>
  <c r="P58" i="2"/>
  <c r="U57" i="2"/>
  <c r="S57" i="2"/>
  <c r="V57" i="2" s="1" a="1"/>
  <c r="V57" i="2" s="1"/>
  <c r="R57" i="2"/>
  <c r="Q57" i="2"/>
  <c r="P57" i="2"/>
  <c r="U56" i="2"/>
  <c r="S56" i="2"/>
  <c r="V56" i="2" s="1" a="1"/>
  <c r="V56" i="2" s="1"/>
  <c r="R56" i="2"/>
  <c r="Q56" i="2"/>
  <c r="P56" i="2"/>
  <c r="U55" i="2"/>
  <c r="S55" i="2"/>
  <c r="V55" i="2" s="1" a="1"/>
  <c r="V55" i="2" s="1"/>
  <c r="R55" i="2"/>
  <c r="Q55" i="2"/>
  <c r="P55" i="2"/>
  <c r="U54" i="2"/>
  <c r="S54" i="2"/>
  <c r="V54" i="2" s="1" a="1"/>
  <c r="V54" i="2" s="1"/>
  <c r="R54" i="2"/>
  <c r="Q54" i="2"/>
  <c r="P54" i="2"/>
  <c r="V53" i="2" a="1"/>
  <c r="V53" i="2" s="1"/>
  <c r="U53" i="2"/>
  <c r="S53" i="2"/>
  <c r="R53" i="2"/>
  <c r="Q53" i="2"/>
  <c r="P53" i="2"/>
  <c r="V52" i="2"/>
  <c r="V52" i="2" a="1"/>
  <c r="U52" i="2"/>
  <c r="S52" i="2"/>
  <c r="R52" i="2"/>
  <c r="Q52" i="2"/>
  <c r="P52" i="2"/>
  <c r="V51" i="2" a="1"/>
  <c r="V51" i="2" s="1"/>
  <c r="U51" i="2"/>
  <c r="S51" i="2"/>
  <c r="R51" i="2"/>
  <c r="Q51" i="2"/>
  <c r="P51" i="2"/>
  <c r="V50" i="2"/>
  <c r="V50" i="2" a="1"/>
  <c r="U50" i="2"/>
  <c r="S50" i="2"/>
  <c r="R50" i="2"/>
  <c r="Q50" i="2"/>
  <c r="P50" i="2"/>
  <c r="U49" i="2"/>
  <c r="S49" i="2"/>
  <c r="V49" i="2" s="1" a="1"/>
  <c r="V49" i="2" s="1"/>
  <c r="R49" i="2"/>
  <c r="Q49" i="2"/>
  <c r="P49" i="2"/>
  <c r="U48" i="2"/>
  <c r="S48" i="2"/>
  <c r="V48" i="2" s="1" a="1"/>
  <c r="V48" i="2" s="1"/>
  <c r="R48" i="2"/>
  <c r="Q48" i="2"/>
  <c r="P48" i="2"/>
  <c r="U47" i="2"/>
  <c r="S47" i="2"/>
  <c r="V47" i="2" s="1" a="1"/>
  <c r="V47" i="2" s="1"/>
  <c r="R47" i="2"/>
  <c r="Q47" i="2"/>
  <c r="P47" i="2"/>
  <c r="U46" i="2"/>
  <c r="S46" i="2"/>
  <c r="V46" i="2" s="1" a="1"/>
  <c r="V46" i="2" s="1"/>
  <c r="R46" i="2"/>
  <c r="Q46" i="2"/>
  <c r="P46" i="2"/>
  <c r="V45" i="2" a="1"/>
  <c r="V45" i="2" s="1"/>
  <c r="U45" i="2"/>
  <c r="S45" i="2"/>
  <c r="R45" i="2"/>
  <c r="Q45" i="2"/>
  <c r="P45" i="2"/>
  <c r="V44" i="2"/>
  <c r="V44" i="2" a="1"/>
  <c r="U44" i="2"/>
  <c r="S44" i="2"/>
  <c r="R44" i="2"/>
  <c r="Q44" i="2"/>
  <c r="P44" i="2"/>
  <c r="V43" i="2" a="1"/>
  <c r="V43" i="2" s="1"/>
  <c r="U43" i="2"/>
  <c r="S43" i="2"/>
  <c r="R43" i="2"/>
  <c r="Q43" i="2"/>
  <c r="P43" i="2"/>
  <c r="V42" i="2"/>
  <c r="V42" i="2" a="1"/>
  <c r="U42" i="2"/>
  <c r="S42" i="2"/>
  <c r="R42" i="2"/>
  <c r="Q42" i="2"/>
  <c r="P42" i="2"/>
  <c r="U41" i="2"/>
  <c r="S41" i="2"/>
  <c r="V41" i="2" s="1" a="1"/>
  <c r="V41" i="2" s="1"/>
  <c r="R41" i="2"/>
  <c r="Q41" i="2"/>
  <c r="P41" i="2"/>
  <c r="U40" i="2"/>
  <c r="S40" i="2"/>
  <c r="V40" i="2" s="1" a="1"/>
  <c r="V40" i="2" s="1"/>
  <c r="R40" i="2"/>
  <c r="Q40" i="2"/>
  <c r="P40" i="2"/>
  <c r="U39" i="2"/>
  <c r="S39" i="2"/>
  <c r="V39" i="2" s="1" a="1"/>
  <c r="V39" i="2" s="1"/>
  <c r="R39" i="2"/>
  <c r="Q39" i="2"/>
  <c r="P39" i="2"/>
  <c r="U38" i="2"/>
  <c r="S38" i="2"/>
  <c r="V38" i="2" s="1" a="1"/>
  <c r="V38" i="2" s="1"/>
  <c r="R38" i="2"/>
  <c r="Q38" i="2"/>
  <c r="P38" i="2"/>
  <c r="V37" i="2" a="1"/>
  <c r="V37" i="2" s="1"/>
  <c r="U37" i="2"/>
  <c r="S37" i="2"/>
  <c r="R37" i="2"/>
  <c r="Q37" i="2"/>
  <c r="P37" i="2"/>
  <c r="V36" i="2"/>
  <c r="V36" i="2" a="1"/>
  <c r="U36" i="2"/>
  <c r="S36" i="2"/>
  <c r="R36" i="2"/>
  <c r="Q36" i="2"/>
  <c r="P36" i="2"/>
  <c r="V35" i="2" a="1"/>
  <c r="V35" i="2" s="1"/>
  <c r="U35" i="2"/>
  <c r="S35" i="2"/>
  <c r="R35" i="2"/>
  <c r="Q35" i="2"/>
  <c r="P35" i="2"/>
  <c r="V34" i="2"/>
  <c r="V34" i="2" a="1"/>
  <c r="U34" i="2"/>
  <c r="S34" i="2"/>
  <c r="R34" i="2"/>
  <c r="Q34" i="2"/>
  <c r="P34" i="2"/>
  <c r="U33" i="2"/>
  <c r="S33" i="2"/>
  <c r="V33" i="2" s="1" a="1"/>
  <c r="V33" i="2" s="1"/>
  <c r="R33" i="2"/>
  <c r="Q33" i="2"/>
  <c r="P33" i="2"/>
  <c r="U32" i="2"/>
  <c r="S32" i="2"/>
  <c r="V32" i="2" s="1" a="1"/>
  <c r="V32" i="2" s="1"/>
  <c r="R32" i="2"/>
  <c r="Q32" i="2"/>
  <c r="P32" i="2"/>
  <c r="U31" i="2"/>
  <c r="S31" i="2"/>
  <c r="V31" i="2" s="1" a="1"/>
  <c r="V31" i="2" s="1"/>
  <c r="R31" i="2"/>
  <c r="Q31" i="2"/>
  <c r="P31" i="2"/>
  <c r="U30" i="2"/>
  <c r="S30" i="2"/>
  <c r="V30" i="2" s="1" a="1"/>
  <c r="V30" i="2" s="1"/>
  <c r="R30" i="2"/>
  <c r="Q30" i="2"/>
  <c r="P30" i="2"/>
  <c r="V29" i="2" a="1"/>
  <c r="V29" i="2" s="1"/>
  <c r="U29" i="2"/>
  <c r="S29" i="2"/>
  <c r="R29" i="2"/>
  <c r="Q29" i="2"/>
  <c r="P29" i="2"/>
  <c r="V28" i="2"/>
  <c r="V28" i="2" a="1"/>
  <c r="U28" i="2"/>
  <c r="S28" i="2"/>
  <c r="R28" i="2"/>
  <c r="Q28" i="2"/>
  <c r="P28" i="2"/>
  <c r="V27" i="2" a="1"/>
  <c r="V27" i="2" s="1"/>
  <c r="U27" i="2"/>
  <c r="S27" i="2"/>
  <c r="R27" i="2"/>
  <c r="Q27" i="2"/>
  <c r="P27" i="2"/>
  <c r="V26" i="2"/>
  <c r="V26" i="2" a="1"/>
  <c r="U26" i="2"/>
  <c r="S26" i="2"/>
  <c r="R26" i="2"/>
  <c r="Q26" i="2"/>
  <c r="P26" i="2"/>
  <c r="U25" i="2"/>
  <c r="S25" i="2"/>
  <c r="V25" i="2" s="1" a="1"/>
  <c r="V25" i="2" s="1"/>
  <c r="R25" i="2"/>
  <c r="Q25" i="2"/>
  <c r="P25" i="2"/>
  <c r="U24" i="2"/>
  <c r="S24" i="2"/>
  <c r="V24" i="2" s="1" a="1"/>
  <c r="V24" i="2" s="1"/>
  <c r="R24" i="2"/>
  <c r="Q24" i="2"/>
  <c r="P24" i="2"/>
  <c r="U23" i="2"/>
  <c r="S23" i="2"/>
  <c r="V23" i="2" s="1" a="1"/>
  <c r="V23" i="2" s="1"/>
  <c r="R23" i="2"/>
  <c r="Q23" i="2"/>
  <c r="P23" i="2"/>
  <c r="U22" i="2"/>
  <c r="S22" i="2"/>
  <c r="V22" i="2" s="1" a="1"/>
  <c r="V22" i="2" s="1"/>
  <c r="R22" i="2"/>
  <c r="Q22" i="2"/>
  <c r="P22" i="2"/>
  <c r="V21" i="2" a="1"/>
  <c r="V21" i="2" s="1"/>
  <c r="U21" i="2"/>
  <c r="S21" i="2"/>
  <c r="R21" i="2"/>
  <c r="Q21" i="2"/>
  <c r="P21" i="2"/>
  <c r="V20" i="2"/>
  <c r="V20" i="2" a="1"/>
  <c r="U20" i="2"/>
  <c r="S20" i="2"/>
  <c r="R20" i="2"/>
  <c r="Q20" i="2"/>
  <c r="P20" i="2"/>
  <c r="V19" i="2" a="1"/>
  <c r="V19" i="2" s="1"/>
  <c r="U19" i="2"/>
  <c r="S19" i="2"/>
  <c r="R19" i="2"/>
  <c r="Q19" i="2"/>
  <c r="P19" i="2"/>
  <c r="V18" i="2"/>
  <c r="V18" i="2" a="1"/>
  <c r="U18" i="2"/>
  <c r="S18" i="2"/>
  <c r="R18" i="2"/>
  <c r="Q18" i="2"/>
  <c r="P18" i="2"/>
  <c r="U17" i="2"/>
  <c r="S17" i="2"/>
  <c r="V17" i="2" s="1" a="1"/>
  <c r="V17" i="2" s="1"/>
  <c r="R17" i="2"/>
  <c r="Q17" i="2"/>
  <c r="P17" i="2"/>
  <c r="U16" i="2"/>
  <c r="S16" i="2"/>
  <c r="V16" i="2" s="1" a="1"/>
  <c r="V16" i="2" s="1"/>
  <c r="R16" i="2"/>
  <c r="Q16" i="2"/>
  <c r="P16" i="2"/>
  <c r="U15" i="2"/>
  <c r="S15" i="2"/>
  <c r="V15" i="2" s="1" a="1"/>
  <c r="V15" i="2" s="1"/>
  <c r="R15" i="2"/>
  <c r="Q15" i="2"/>
  <c r="P15" i="2"/>
  <c r="U14" i="2"/>
  <c r="S14" i="2"/>
  <c r="V14" i="2" s="1" a="1"/>
  <c r="V14" i="2" s="1"/>
  <c r="R14" i="2"/>
  <c r="Q14" i="2"/>
  <c r="P14" i="2"/>
  <c r="V13" i="2" a="1"/>
  <c r="V13" i="2" s="1"/>
  <c r="U13" i="2"/>
  <c r="S13" i="2"/>
  <c r="R13" i="2"/>
  <c r="Q13" i="2"/>
  <c r="P13" i="2"/>
  <c r="V12" i="2"/>
  <c r="V12" i="2" a="1"/>
  <c r="U12" i="2"/>
  <c r="S12" i="2"/>
  <c r="R12" i="2"/>
  <c r="Q12" i="2"/>
  <c r="P12" i="2"/>
  <c r="V11" i="2" a="1"/>
  <c r="V11" i="2" s="1"/>
  <c r="U11" i="2"/>
  <c r="S11" i="2"/>
  <c r="R11" i="2"/>
  <c r="Q11" i="2"/>
  <c r="P11" i="2"/>
  <c r="V10" i="2"/>
  <c r="V10" i="2" a="1"/>
  <c r="U10" i="2"/>
  <c r="S10" i="2"/>
  <c r="R10" i="2"/>
  <c r="Q10" i="2"/>
  <c r="P10" i="2"/>
  <c r="U9" i="2"/>
  <c r="S9" i="2"/>
  <c r="V9" i="2" s="1" a="1"/>
  <c r="V9" i="2" s="1"/>
  <c r="R9" i="2"/>
  <c r="Q9" i="2"/>
  <c r="P9" i="2"/>
  <c r="U8" i="2"/>
  <c r="S8" i="2"/>
  <c r="V8" i="2" s="1" a="1"/>
  <c r="V8" i="2" s="1"/>
  <c r="R8" i="2"/>
  <c r="Q8" i="2"/>
  <c r="P8" i="2"/>
  <c r="U7" i="2"/>
  <c r="S7" i="2"/>
  <c r="V7" i="2" s="1" a="1"/>
  <c r="V7" i="2" s="1"/>
  <c r="R7" i="2"/>
  <c r="Q7" i="2"/>
  <c r="P7" i="2"/>
  <c r="U6" i="2"/>
  <c r="S6" i="2"/>
  <c r="V6" i="2" s="1" a="1"/>
  <c r="V6" i="2" s="1"/>
  <c r="R6" i="2"/>
  <c r="Q6" i="2"/>
  <c r="P6" i="2"/>
  <c r="V5" i="2" a="1"/>
  <c r="V5" i="2" s="1"/>
  <c r="U5" i="2"/>
  <c r="S5" i="2"/>
  <c r="R5" i="2"/>
  <c r="Q5" i="2"/>
  <c r="P5" i="2"/>
  <c r="V4" i="2"/>
  <c r="V4" i="2" a="1"/>
  <c r="U4" i="2"/>
  <c r="S4" i="2"/>
  <c r="R4" i="2"/>
  <c r="Q4" i="2"/>
  <c r="P4" i="2"/>
  <c r="V3" i="2" a="1"/>
  <c r="V3" i="2" s="1"/>
  <c r="U3" i="2"/>
  <c r="S3" i="2"/>
  <c r="R3" i="2"/>
  <c r="Q3" i="2"/>
  <c r="P3" i="2"/>
  <c r="V2" i="2"/>
  <c r="V2" i="2" a="1"/>
  <c r="U2" i="2"/>
  <c r="S2" i="2"/>
  <c r="R2" i="2"/>
  <c r="Q2" i="2"/>
  <c r="P2" i="2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V350" i="2" l="1" a="1"/>
  <c r="V350" i="2" s="1"/>
  <c r="V374" i="2" a="1"/>
  <c r="V374" i="2" s="1"/>
  <c r="V462" i="2" a="1"/>
  <c r="V462" i="2" s="1"/>
  <c r="V198" i="2" a="1"/>
  <c r="V198" i="2" s="1"/>
  <c r="V278" i="2" a="1"/>
  <c r="V278" i="2" s="1"/>
  <c r="V486" i="2" a="1"/>
  <c r="V486" i="2" s="1"/>
  <c r="V533" i="2" a="1"/>
  <c r="V533" i="2" s="1"/>
  <c r="V318" i="2" a="1"/>
  <c r="V318" i="2" s="1"/>
  <c r="V334" i="2" a="1"/>
  <c r="V334" i="2" s="1"/>
  <c r="V340" i="2" a="1"/>
  <c r="V340" i="2" s="1"/>
  <c r="V348" i="2" a="1"/>
  <c r="V348" i="2" s="1"/>
  <c r="V366" i="2" a="1"/>
  <c r="V366" i="2" s="1"/>
  <c r="V398" i="2" a="1"/>
  <c r="V398" i="2" s="1"/>
  <c r="V446" i="2" a="1"/>
  <c r="V446" i="2" s="1"/>
  <c r="V510" i="2" a="1"/>
  <c r="V510" i="2" s="1"/>
  <c r="V549" i="2" a="1"/>
  <c r="V549" i="2" s="1"/>
  <c r="V610" i="2" a="1"/>
  <c r="V610" i="2" s="1"/>
  <c r="V230" i="2" a="1"/>
  <c r="V230" i="2" s="1"/>
  <c r="V254" i="2" a="1"/>
  <c r="V254" i="2" s="1"/>
  <c r="V302" i="2" a="1"/>
  <c r="V302" i="2" s="1"/>
  <c r="V356" i="2" a="1"/>
  <c r="V356" i="2" s="1"/>
  <c r="V379" i="2" a="1"/>
  <c r="V379" i="2" s="1"/>
  <c r="V385" i="2" a="1"/>
  <c r="V385" i="2" s="1"/>
  <c r="V409" i="2" a="1"/>
  <c r="V409" i="2" s="1"/>
  <c r="V414" i="2" a="1"/>
  <c r="V414" i="2" s="1"/>
  <c r="V425" i="2" a="1"/>
  <c r="V425" i="2" s="1"/>
  <c r="V430" i="2" a="1"/>
  <c r="V430" i="2" s="1"/>
  <c r="V470" i="2" a="1"/>
  <c r="V470" i="2" s="1"/>
  <c r="V653" i="2" a="1"/>
  <c r="V653" i="2" s="1"/>
  <c r="V677" i="2" a="1"/>
  <c r="V677" i="2" s="1"/>
  <c r="V741" i="2" a="1"/>
  <c r="V741" i="2" s="1"/>
  <c r="V305" i="2" a="1"/>
  <c r="V305" i="2" s="1"/>
  <c r="V732" i="2" a="1"/>
  <c r="V732" i="2" s="1"/>
  <c r="V193" i="2" a="1"/>
  <c r="V193" i="2" s="1"/>
  <c r="V201" i="2" a="1"/>
  <c r="V201" i="2" s="1"/>
  <c r="V209" i="2" a="1"/>
  <c r="V209" i="2" s="1"/>
  <c r="V217" i="2" a="1"/>
  <c r="V217" i="2" s="1"/>
  <c r="V225" i="2" a="1"/>
  <c r="V225" i="2" s="1"/>
  <c r="V233" i="2" a="1"/>
  <c r="V233" i="2" s="1"/>
  <c r="V241" i="2" a="1"/>
  <c r="V241" i="2" s="1"/>
  <c r="V249" i="2" a="1"/>
  <c r="V249" i="2" s="1"/>
  <c r="V257" i="2" a="1"/>
  <c r="V257" i="2" s="1"/>
  <c r="V265" i="2" a="1"/>
  <c r="V265" i="2" s="1"/>
  <c r="V273" i="2" a="1"/>
  <c r="V273" i="2" s="1"/>
  <c r="V281" i="2" a="1"/>
  <c r="V281" i="2" s="1"/>
  <c r="V289" i="2" a="1"/>
  <c r="V289" i="2" s="1"/>
  <c r="V297" i="2" a="1"/>
  <c r="V297" i="2" s="1"/>
  <c r="V390" i="2" a="1"/>
  <c r="V390" i="2" s="1"/>
  <c r="V494" i="2" a="1"/>
  <c r="V494" i="2" s="1"/>
  <c r="V821" i="2" a="1"/>
  <c r="V821" i="2" s="1"/>
  <c r="V885" i="2" a="1"/>
  <c r="V885" i="2" s="1"/>
  <c r="V949" i="2" a="1"/>
  <c r="V949" i="2" s="1"/>
  <c r="V985" i="2" a="1"/>
  <c r="V985" i="2" s="1"/>
  <c r="V995" i="2" a="1"/>
  <c r="V995" i="2" s="1"/>
  <c r="V1001" i="2" a="1"/>
  <c r="V1001" i="2" s="1"/>
  <c r="V1011" i="2" a="1"/>
  <c r="V1011" i="2" s="1"/>
  <c r="V1017" i="2" a="1"/>
  <c r="V1017" i="2" s="1"/>
  <c r="V1027" i="2" a="1"/>
  <c r="V1027" i="2" s="1"/>
  <c r="V1033" i="2" a="1"/>
  <c r="V1033" i="2" s="1"/>
  <c r="V1043" i="2" a="1"/>
  <c r="V1043" i="2" s="1"/>
  <c r="V1049" i="2" a="1"/>
  <c r="V1049" i="2" s="1"/>
  <c r="V1059" i="2" a="1"/>
  <c r="V1059" i="2" s="1"/>
  <c r="V1065" i="2" a="1"/>
  <c r="V1065" i="2" s="1"/>
  <c r="V1075" i="2" a="1"/>
  <c r="V1075" i="2" s="1"/>
  <c r="V1081" i="2" a="1"/>
  <c r="V1081" i="2" s="1"/>
  <c r="V1091" i="2" a="1"/>
  <c r="V1091" i="2" s="1"/>
  <c r="V214" i="2" a="1"/>
  <c r="V214" i="2" s="1"/>
  <c r="V262" i="2" a="1"/>
  <c r="V262" i="2" s="1"/>
  <c r="V286" i="2" a="1"/>
  <c r="V286" i="2" s="1"/>
  <c r="V321" i="2" a="1"/>
  <c r="V321" i="2" s="1"/>
  <c r="V358" i="2" a="1"/>
  <c r="V358" i="2" s="1"/>
  <c r="V668" i="2" a="1"/>
  <c r="V668" i="2" s="1"/>
  <c r="V313" i="2" a="1"/>
  <c r="V313" i="2" s="1"/>
  <c r="V329" i="2" a="1"/>
  <c r="V329" i="2" s="1"/>
  <c r="V345" i="2" a="1"/>
  <c r="V345" i="2" s="1"/>
  <c r="V371" i="2" a="1"/>
  <c r="V371" i="2" s="1"/>
  <c r="V377" i="2" a="1"/>
  <c r="V377" i="2" s="1"/>
  <c r="V454" i="2" a="1"/>
  <c r="V454" i="2" s="1"/>
  <c r="V518" i="2" a="1"/>
  <c r="V518" i="2" s="1"/>
  <c r="V778" i="2" a="1"/>
  <c r="V778" i="2" s="1"/>
  <c r="V206" i="2" a="1"/>
  <c r="V206" i="2" s="1"/>
  <c r="V222" i="2" a="1"/>
  <c r="V222" i="2" s="1"/>
  <c r="V238" i="2" a="1"/>
  <c r="V238" i="2" s="1"/>
  <c r="V294" i="2" a="1"/>
  <c r="V294" i="2" s="1"/>
  <c r="V337" i="2" a="1"/>
  <c r="V337" i="2" s="1"/>
  <c r="V387" i="2" a="1"/>
  <c r="V387" i="2" s="1"/>
  <c r="V393" i="2" a="1"/>
  <c r="V393" i="2" s="1"/>
  <c r="V310" i="2" a="1"/>
  <c r="V310" i="2" s="1"/>
  <c r="V316" i="2" a="1"/>
  <c r="V316" i="2" s="1"/>
  <c r="V326" i="2" a="1"/>
  <c r="V326" i="2" s="1"/>
  <c r="V332" i="2" a="1"/>
  <c r="V332" i="2" s="1"/>
  <c r="V342" i="2" a="1"/>
  <c r="V342" i="2" s="1"/>
  <c r="V353" i="2" a="1"/>
  <c r="V353" i="2" s="1"/>
  <c r="V382" i="2" a="1"/>
  <c r="V382" i="2" s="1"/>
  <c r="V478" i="2" a="1"/>
  <c r="V478" i="2" s="1"/>
  <c r="V534" i="2" a="1"/>
  <c r="V534" i="2" s="1"/>
  <c r="V608" i="2" a="1"/>
  <c r="V608" i="2" s="1"/>
  <c r="V630" i="2" a="1"/>
  <c r="V630" i="2" s="1"/>
  <c r="V652" i="2" a="1"/>
  <c r="V652" i="2" s="1"/>
  <c r="V714" i="2" a="1"/>
  <c r="V714" i="2" s="1"/>
  <c r="V246" i="2" a="1"/>
  <c r="V246" i="2" s="1"/>
  <c r="V270" i="2" a="1"/>
  <c r="V270" i="2" s="1"/>
  <c r="V361" i="2" a="1"/>
  <c r="V361" i="2" s="1"/>
  <c r="V369" i="2" a="1"/>
  <c r="V369" i="2" s="1"/>
  <c r="V395" i="2" a="1"/>
  <c r="V395" i="2" s="1"/>
  <c r="V401" i="2" a="1"/>
  <c r="V401" i="2" s="1"/>
  <c r="V406" i="2" a="1"/>
  <c r="V406" i="2" s="1"/>
  <c r="V417" i="2" a="1"/>
  <c r="V417" i="2" s="1"/>
  <c r="V422" i="2" a="1"/>
  <c r="V422" i="2" s="1"/>
  <c r="V433" i="2" a="1"/>
  <c r="V433" i="2" s="1"/>
  <c r="V438" i="2" a="1"/>
  <c r="V438" i="2" s="1"/>
  <c r="V502" i="2" a="1"/>
  <c r="V502" i="2" s="1"/>
  <c r="V550" i="2" a="1"/>
  <c r="V550" i="2" s="1"/>
  <c r="V704" i="2" a="1"/>
  <c r="V704" i="2" s="1"/>
  <c r="V768" i="2" a="1"/>
  <c r="V768" i="2" s="1"/>
  <c r="V1195" i="2" a="1"/>
  <c r="V1195" i="2" s="1"/>
  <c r="V441" i="2" a="1"/>
  <c r="V441" i="2" s="1"/>
  <c r="V449" i="2" a="1"/>
  <c r="V449" i="2" s="1"/>
  <c r="V457" i="2" a="1"/>
  <c r="V457" i="2" s="1"/>
  <c r="V465" i="2" a="1"/>
  <c r="V465" i="2" s="1"/>
  <c r="V473" i="2" a="1"/>
  <c r="V473" i="2" s="1"/>
  <c r="V481" i="2" a="1"/>
  <c r="V481" i="2" s="1"/>
  <c r="V489" i="2" a="1"/>
  <c r="V489" i="2" s="1"/>
  <c r="V497" i="2" a="1"/>
  <c r="V497" i="2" s="1"/>
  <c r="V505" i="2" a="1"/>
  <c r="V505" i="2" s="1"/>
  <c r="V513" i="2" a="1"/>
  <c r="V513" i="2" s="1"/>
  <c r="V522" i="2" a="1"/>
  <c r="V522" i="2" s="1"/>
  <c r="V524" i="2" a="1"/>
  <c r="V524" i="2" s="1"/>
  <c r="V538" i="2" a="1"/>
  <c r="V538" i="2" s="1"/>
  <c r="V540" i="2" a="1"/>
  <c r="V540" i="2" s="1"/>
  <c r="V554" i="2" a="1"/>
  <c r="V554" i="2" s="1"/>
  <c r="V556" i="2" a="1"/>
  <c r="V556" i="2" s="1"/>
  <c r="V644" i="2" a="1"/>
  <c r="V644" i="2" s="1"/>
  <c r="V669" i="2" a="1"/>
  <c r="V669" i="2" s="1"/>
  <c r="V706" i="2" a="1"/>
  <c r="V706" i="2" s="1"/>
  <c r="V733" i="2" a="1"/>
  <c r="V733" i="2" s="1"/>
  <c r="V770" i="2" a="1"/>
  <c r="V770" i="2" s="1"/>
  <c r="V802" i="2" a="1"/>
  <c r="V802" i="2" s="1"/>
  <c r="V861" i="2" a="1"/>
  <c r="V861" i="2" s="1"/>
  <c r="V925" i="2" a="1"/>
  <c r="V925" i="2" s="1"/>
  <c r="V1147" i="2" a="1"/>
  <c r="V1147" i="2" s="1"/>
  <c r="V1156" i="2" a="1"/>
  <c r="V1156" i="2" s="1"/>
  <c r="V1174" i="2" a="1"/>
  <c r="V1174" i="2" s="1"/>
  <c r="V1252" i="2" a="1"/>
  <c r="V1252" i="2" s="1"/>
  <c r="V1291" i="2" a="1"/>
  <c r="V1291" i="2" s="1"/>
  <c r="V403" i="2" a="1"/>
  <c r="V403" i="2" s="1"/>
  <c r="V411" i="2" a="1"/>
  <c r="V411" i="2" s="1"/>
  <c r="V419" i="2" a="1"/>
  <c r="V419" i="2" s="1"/>
  <c r="V427" i="2" a="1"/>
  <c r="V427" i="2" s="1"/>
  <c r="V435" i="2" a="1"/>
  <c r="V435" i="2" s="1"/>
  <c r="V443" i="2" a="1"/>
  <c r="V443" i="2" s="1"/>
  <c r="V451" i="2" a="1"/>
  <c r="V451" i="2" s="1"/>
  <c r="V459" i="2" a="1"/>
  <c r="V459" i="2" s="1"/>
  <c r="V467" i="2" a="1"/>
  <c r="V467" i="2" s="1"/>
  <c r="V475" i="2" a="1"/>
  <c r="V475" i="2" s="1"/>
  <c r="V483" i="2" a="1"/>
  <c r="V483" i="2" s="1"/>
  <c r="V491" i="2" a="1"/>
  <c r="V491" i="2" s="1"/>
  <c r="V499" i="2" a="1"/>
  <c r="V499" i="2" s="1"/>
  <c r="V507" i="2" a="1"/>
  <c r="V507" i="2" s="1"/>
  <c r="V515" i="2" a="1"/>
  <c r="V515" i="2" s="1"/>
  <c r="V528" i="2" a="1"/>
  <c r="V528" i="2" s="1"/>
  <c r="V544" i="2" a="1"/>
  <c r="V544" i="2" s="1"/>
  <c r="V560" i="2" a="1"/>
  <c r="V560" i="2" s="1"/>
  <c r="V566" i="2" a="1"/>
  <c r="V566" i="2" s="1"/>
  <c r="V568" i="2" a="1"/>
  <c r="V568" i="2" s="1"/>
  <c r="V574" i="2" a="1"/>
  <c r="V574" i="2" s="1"/>
  <c r="V576" i="2" a="1"/>
  <c r="V576" i="2" s="1"/>
  <c r="V582" i="2" a="1"/>
  <c r="V582" i="2" s="1"/>
  <c r="V584" i="2" a="1"/>
  <c r="V584" i="2" s="1"/>
  <c r="V590" i="2" a="1"/>
  <c r="V590" i="2" s="1"/>
  <c r="V592" i="2" a="1"/>
  <c r="V592" i="2" s="1"/>
  <c r="V594" i="2" a="1"/>
  <c r="V594" i="2" s="1"/>
  <c r="V596" i="2" a="1"/>
  <c r="V596" i="2" s="1"/>
  <c r="V614" i="2" a="1"/>
  <c r="V614" i="2" s="1"/>
  <c r="V656" i="2" a="1"/>
  <c r="V656" i="2" s="1"/>
  <c r="V658" i="2" a="1"/>
  <c r="V658" i="2" s="1"/>
  <c r="V660" i="2" a="1"/>
  <c r="V660" i="2" s="1"/>
  <c r="V685" i="2" a="1"/>
  <c r="V685" i="2" s="1"/>
  <c r="V688" i="2" a="1"/>
  <c r="V688" i="2" s="1"/>
  <c r="V722" i="2" a="1"/>
  <c r="V722" i="2" s="1"/>
  <c r="V749" i="2" a="1"/>
  <c r="V749" i="2" s="1"/>
  <c r="V752" i="2" a="1"/>
  <c r="V752" i="2" s="1"/>
  <c r="V786" i="2" a="1"/>
  <c r="V786" i="2" s="1"/>
  <c r="V794" i="2" a="1"/>
  <c r="V794" i="2" s="1"/>
  <c r="V845" i="2" a="1"/>
  <c r="V845" i="2" s="1"/>
  <c r="V909" i="2" a="1"/>
  <c r="V909" i="2" s="1"/>
  <c r="V973" i="2" a="1"/>
  <c r="V973" i="2" s="1"/>
  <c r="V982" i="2" a="1"/>
  <c r="V982" i="2" s="1"/>
  <c r="V988" i="2" a="1"/>
  <c r="V988" i="2" s="1"/>
  <c r="V998" i="2" a="1"/>
  <c r="V998" i="2" s="1"/>
  <c r="V1004" i="2" a="1"/>
  <c r="V1004" i="2" s="1"/>
  <c r="V1014" i="2" a="1"/>
  <c r="V1014" i="2" s="1"/>
  <c r="V1020" i="2" a="1"/>
  <c r="V1020" i="2" s="1"/>
  <c r="V1030" i="2" a="1"/>
  <c r="V1030" i="2" s="1"/>
  <c r="V1036" i="2" a="1"/>
  <c r="V1036" i="2" s="1"/>
  <c r="V1046" i="2" a="1"/>
  <c r="V1046" i="2" s="1"/>
  <c r="V1052" i="2" a="1"/>
  <c r="V1052" i="2" s="1"/>
  <c r="V1062" i="2" a="1"/>
  <c r="V1062" i="2" s="1"/>
  <c r="V1068" i="2" a="1"/>
  <c r="V1068" i="2" s="1"/>
  <c r="V1078" i="2" a="1"/>
  <c r="V1078" i="2" s="1"/>
  <c r="V1084" i="2" a="1"/>
  <c r="V1084" i="2" s="1"/>
  <c r="V1316" i="2" a="1"/>
  <c r="V1316" i="2" s="1"/>
  <c r="V666" i="2" a="1"/>
  <c r="V666" i="2" s="1"/>
  <c r="V693" i="2" a="1"/>
  <c r="V693" i="2" s="1"/>
  <c r="V730" i="2" a="1"/>
  <c r="V730" i="2" s="1"/>
  <c r="V757" i="2" a="1"/>
  <c r="V757" i="2" s="1"/>
  <c r="V805" i="2" a="1"/>
  <c r="V805" i="2" s="1"/>
  <c r="V869" i="2" a="1"/>
  <c r="V869" i="2" s="1"/>
  <c r="V933" i="2" a="1"/>
  <c r="V933" i="2" s="1"/>
  <c r="V991" i="2" a="1"/>
  <c r="V991" i="2" s="1"/>
  <c r="V1007" i="2" a="1"/>
  <c r="V1007" i="2" s="1"/>
  <c r="V1023" i="2" a="1"/>
  <c r="V1023" i="2" s="1"/>
  <c r="V1039" i="2" a="1"/>
  <c r="V1039" i="2" s="1"/>
  <c r="V1055" i="2" a="1"/>
  <c r="V1055" i="2" s="1"/>
  <c r="V1071" i="2" a="1"/>
  <c r="V1071" i="2" s="1"/>
  <c r="V1087" i="2" a="1"/>
  <c r="V1087" i="2" s="1"/>
  <c r="V1220" i="2" a="1"/>
  <c r="V1220" i="2" s="1"/>
  <c r="V1259" i="2" a="1"/>
  <c r="V1259" i="2" s="1"/>
  <c r="V674" i="2" a="1"/>
  <c r="V674" i="2" s="1"/>
  <c r="V701" i="2" a="1"/>
  <c r="V701" i="2" s="1"/>
  <c r="V738" i="2" a="1"/>
  <c r="V738" i="2" s="1"/>
  <c r="V765" i="2" a="1"/>
  <c r="V765" i="2" s="1"/>
  <c r="V829" i="2" a="1"/>
  <c r="V829" i="2" s="1"/>
  <c r="V893" i="2" a="1"/>
  <c r="V893" i="2" s="1"/>
  <c r="V957" i="2" a="1"/>
  <c r="V957" i="2" s="1"/>
  <c r="V1124" i="2" a="1"/>
  <c r="V1124" i="2" s="1"/>
  <c r="V606" i="2" a="1"/>
  <c r="V606" i="2" s="1"/>
  <c r="V648" i="2" a="1"/>
  <c r="V648" i="2" s="1"/>
  <c r="V650" i="2" a="1"/>
  <c r="V650" i="2" s="1"/>
  <c r="V682" i="2" a="1"/>
  <c r="V682" i="2" s="1"/>
  <c r="V709" i="2" a="1"/>
  <c r="V709" i="2" s="1"/>
  <c r="V712" i="2" a="1"/>
  <c r="V712" i="2" s="1"/>
  <c r="V746" i="2" a="1"/>
  <c r="V746" i="2" s="1"/>
  <c r="V773" i="2" a="1"/>
  <c r="V773" i="2" s="1"/>
  <c r="V776" i="2" a="1"/>
  <c r="V776" i="2" s="1"/>
  <c r="V797" i="2" a="1"/>
  <c r="V797" i="2" s="1"/>
  <c r="V853" i="2" a="1"/>
  <c r="V853" i="2" s="1"/>
  <c r="V917" i="2" a="1"/>
  <c r="V917" i="2" s="1"/>
  <c r="V981" i="2" a="1"/>
  <c r="V981" i="2" s="1"/>
  <c r="V987" i="2" a="1"/>
  <c r="V987" i="2" s="1"/>
  <c r="V993" i="2" a="1"/>
  <c r="V993" i="2" s="1"/>
  <c r="V1003" i="2" a="1"/>
  <c r="V1003" i="2" s="1"/>
  <c r="V1009" i="2" a="1"/>
  <c r="V1009" i="2" s="1"/>
  <c r="V1019" i="2" a="1"/>
  <c r="V1019" i="2" s="1"/>
  <c r="V1025" i="2" a="1"/>
  <c r="V1025" i="2" s="1"/>
  <c r="V1035" i="2" a="1"/>
  <c r="V1035" i="2" s="1"/>
  <c r="V1041" i="2" a="1"/>
  <c r="V1041" i="2" s="1"/>
  <c r="V1051" i="2" a="1"/>
  <c r="V1051" i="2" s="1"/>
  <c r="V1057" i="2" a="1"/>
  <c r="V1057" i="2" s="1"/>
  <c r="V1067" i="2" a="1"/>
  <c r="V1067" i="2" s="1"/>
  <c r="V1073" i="2" a="1"/>
  <c r="V1073" i="2" s="1"/>
  <c r="V1083" i="2" a="1"/>
  <c r="V1083" i="2" s="1"/>
  <c r="V1089" i="2" a="1"/>
  <c r="V1089" i="2" s="1"/>
  <c r="V1108" i="2" a="1"/>
  <c r="V1108" i="2" s="1"/>
  <c r="V1284" i="2" a="1"/>
  <c r="V1284" i="2" s="1"/>
  <c r="V1323" i="2" a="1"/>
  <c r="V1323" i="2" s="1"/>
  <c r="V690" i="2" a="1"/>
  <c r="V690" i="2" s="1"/>
  <c r="V717" i="2" a="1"/>
  <c r="V717" i="2" s="1"/>
  <c r="V754" i="2" a="1"/>
  <c r="V754" i="2" s="1"/>
  <c r="V781" i="2" a="1"/>
  <c r="V781" i="2" s="1"/>
  <c r="V813" i="2" a="1"/>
  <c r="V813" i="2" s="1"/>
  <c r="V877" i="2" a="1"/>
  <c r="V877" i="2" s="1"/>
  <c r="V941" i="2" a="1"/>
  <c r="V941" i="2" s="1"/>
  <c r="V990" i="2" a="1"/>
  <c r="V990" i="2" s="1"/>
  <c r="V996" i="2" a="1"/>
  <c r="V996" i="2" s="1"/>
  <c r="V1006" i="2" a="1"/>
  <c r="V1006" i="2" s="1"/>
  <c r="V1012" i="2" a="1"/>
  <c r="V1012" i="2" s="1"/>
  <c r="V1022" i="2" a="1"/>
  <c r="V1022" i="2" s="1"/>
  <c r="V1028" i="2" a="1"/>
  <c r="V1028" i="2" s="1"/>
  <c r="V1038" i="2" a="1"/>
  <c r="V1038" i="2" s="1"/>
  <c r="V1044" i="2" a="1"/>
  <c r="V1044" i="2" s="1"/>
  <c r="V1054" i="2" a="1"/>
  <c r="V1054" i="2" s="1"/>
  <c r="V1060" i="2" a="1"/>
  <c r="V1060" i="2" s="1"/>
  <c r="V1070" i="2" a="1"/>
  <c r="V1070" i="2" s="1"/>
  <c r="V1076" i="2" a="1"/>
  <c r="V1076" i="2" s="1"/>
  <c r="V1086" i="2" a="1"/>
  <c r="V1086" i="2" s="1"/>
  <c r="V1092" i="2" a="1"/>
  <c r="V1092" i="2" s="1"/>
  <c r="V1188" i="2" a="1"/>
  <c r="V1188" i="2" s="1"/>
  <c r="V1227" i="2" a="1"/>
  <c r="V1227" i="2" s="1"/>
  <c r="V600" i="2" a="1"/>
  <c r="V600" i="2" s="1"/>
  <c r="V602" i="2" a="1"/>
  <c r="V602" i="2" s="1"/>
  <c r="V622" i="2" a="1"/>
  <c r="V622" i="2" s="1"/>
  <c r="V664" i="2" a="1"/>
  <c r="V664" i="2" s="1"/>
  <c r="V698" i="2" a="1"/>
  <c r="V698" i="2" s="1"/>
  <c r="V725" i="2" a="1"/>
  <c r="V725" i="2" s="1"/>
  <c r="V728" i="2" a="1"/>
  <c r="V728" i="2" s="1"/>
  <c r="V762" i="2" a="1"/>
  <c r="V762" i="2" s="1"/>
  <c r="V789" i="2" a="1"/>
  <c r="V789" i="2" s="1"/>
  <c r="V837" i="2" a="1"/>
  <c r="V837" i="2" s="1"/>
  <c r="V901" i="2" a="1"/>
  <c r="V901" i="2" s="1"/>
  <c r="V965" i="2" a="1"/>
  <c r="V965" i="2" s="1"/>
  <c r="V983" i="2" a="1"/>
  <c r="V983" i="2" s="1"/>
  <c r="V999" i="2" a="1"/>
  <c r="V999" i="2" s="1"/>
  <c r="V1015" i="2" a="1"/>
  <c r="V1015" i="2" s="1"/>
  <c r="V1031" i="2" a="1"/>
  <c r="V1031" i="2" s="1"/>
  <c r="V1047" i="2" a="1"/>
  <c r="V1047" i="2" s="1"/>
  <c r="V1063" i="2" a="1"/>
  <c r="V1063" i="2" s="1"/>
  <c r="V1079" i="2" a="1"/>
  <c r="V1079" i="2" s="1"/>
  <c r="V1348" i="2" a="1"/>
  <c r="V1348" i="2" s="1"/>
  <c r="V1094" i="2" a="1"/>
  <c r="V1094" i="2" s="1"/>
  <c r="V1110" i="2" a="1"/>
  <c r="V1110" i="2" s="1"/>
  <c r="V1126" i="2" a="1"/>
  <c r="V1126" i="2" s="1"/>
  <c r="V1160" i="2" a="1"/>
  <c r="V1160" i="2" s="1"/>
  <c r="V1166" i="2" a="1"/>
  <c r="V1166" i="2" s="1"/>
  <c r="V1182" i="2" a="1"/>
  <c r="V1182" i="2" s="1"/>
  <c r="V1214" i="2" a="1"/>
  <c r="V1214" i="2" s="1"/>
  <c r="V1246" i="2" a="1"/>
  <c r="V1246" i="2" s="1"/>
  <c r="V1278" i="2" a="1"/>
  <c r="V1278" i="2" s="1"/>
  <c r="V1310" i="2" a="1"/>
  <c r="V1310" i="2" s="1"/>
  <c r="V1342" i="2" a="1"/>
  <c r="V1342" i="2" s="1"/>
  <c r="V1663" i="2" a="1"/>
  <c r="V1663" i="2" s="1"/>
  <c r="V1682" i="2" a="1"/>
  <c r="V1682" i="2" s="1"/>
  <c r="V1797" i="2" a="1"/>
  <c r="V1797" i="2" s="1"/>
  <c r="V2083" i="2" a="1"/>
  <c r="V2083" i="2" s="1"/>
  <c r="V810" i="2" a="1"/>
  <c r="V810" i="2" s="1"/>
  <c r="V818" i="2" a="1"/>
  <c r="V818" i="2" s="1"/>
  <c r="V826" i="2" a="1"/>
  <c r="V826" i="2" s="1"/>
  <c r="V834" i="2" a="1"/>
  <c r="V834" i="2" s="1"/>
  <c r="V842" i="2" a="1"/>
  <c r="V842" i="2" s="1"/>
  <c r="V850" i="2" a="1"/>
  <c r="V850" i="2" s="1"/>
  <c r="V858" i="2" a="1"/>
  <c r="V858" i="2" s="1"/>
  <c r="V866" i="2" a="1"/>
  <c r="V866" i="2" s="1"/>
  <c r="V874" i="2" a="1"/>
  <c r="V874" i="2" s="1"/>
  <c r="V882" i="2" a="1"/>
  <c r="V882" i="2" s="1"/>
  <c r="V890" i="2" a="1"/>
  <c r="V890" i="2" s="1"/>
  <c r="V898" i="2" a="1"/>
  <c r="V898" i="2" s="1"/>
  <c r="V906" i="2" a="1"/>
  <c r="V906" i="2" s="1"/>
  <c r="V914" i="2" a="1"/>
  <c r="V914" i="2" s="1"/>
  <c r="V922" i="2" a="1"/>
  <c r="V922" i="2" s="1"/>
  <c r="V930" i="2" a="1"/>
  <c r="V930" i="2" s="1"/>
  <c r="V938" i="2" a="1"/>
  <c r="V938" i="2" s="1"/>
  <c r="V946" i="2" a="1"/>
  <c r="V946" i="2" s="1"/>
  <c r="V954" i="2" a="1"/>
  <c r="V954" i="2" s="1"/>
  <c r="V962" i="2" a="1"/>
  <c r="V962" i="2" s="1"/>
  <c r="V970" i="2" a="1"/>
  <c r="V970" i="2" s="1"/>
  <c r="V978" i="2" a="1"/>
  <c r="V978" i="2" s="1"/>
  <c r="V1206" i="2" a="1"/>
  <c r="V1206" i="2" s="1"/>
  <c r="V1238" i="2" a="1"/>
  <c r="V1238" i="2" s="1"/>
  <c r="V1270" i="2" a="1"/>
  <c r="V1270" i="2" s="1"/>
  <c r="V1302" i="2" a="1"/>
  <c r="V1302" i="2" s="1"/>
  <c r="V1334" i="2" a="1"/>
  <c r="V1334" i="2" s="1"/>
  <c r="V1364" i="2" a="1"/>
  <c r="V1364" i="2" s="1"/>
  <c r="V1380" i="2" a="1"/>
  <c r="V1380" i="2" s="1"/>
  <c r="V1396" i="2" a="1"/>
  <c r="V1396" i="2" s="1"/>
  <c r="V1412" i="2" a="1"/>
  <c r="V1412" i="2" s="1"/>
  <c r="V1428" i="2" a="1"/>
  <c r="V1428" i="2" s="1"/>
  <c r="V1444" i="2" a="1"/>
  <c r="V1444" i="2" s="1"/>
  <c r="V1460" i="2" a="1"/>
  <c r="V1460" i="2" s="1"/>
  <c r="V1476" i="2" a="1"/>
  <c r="V1476" i="2" s="1"/>
  <c r="V1492" i="2" a="1"/>
  <c r="V1492" i="2" s="1"/>
  <c r="V1508" i="2" a="1"/>
  <c r="V1508" i="2" s="1"/>
  <c r="V1524" i="2" a="1"/>
  <c r="V1524" i="2" s="1"/>
  <c r="V1540" i="2" a="1"/>
  <c r="V1540" i="2" s="1"/>
  <c r="V1556" i="2" a="1"/>
  <c r="V1556" i="2" s="1"/>
  <c r="V1572" i="2" a="1"/>
  <c r="V1572" i="2" s="1"/>
  <c r="V1717" i="2" a="1"/>
  <c r="V1717" i="2" s="1"/>
  <c r="V1727" i="2" a="1"/>
  <c r="V1727" i="2" s="1"/>
  <c r="V1773" i="2" a="1"/>
  <c r="V1773" i="2" s="1"/>
  <c r="V1940" i="2" a="1"/>
  <c r="V1940" i="2" s="1"/>
  <c r="V1981" i="2" a="1"/>
  <c r="V1981" i="2" s="1"/>
  <c r="V1105" i="2" a="1"/>
  <c r="V1105" i="2" s="1"/>
  <c r="V1121" i="2" a="1"/>
  <c r="V1121" i="2" s="1"/>
  <c r="V1148" i="2" a="1"/>
  <c r="V1148" i="2" s="1"/>
  <c r="V1180" i="2" a="1"/>
  <c r="V1180" i="2" s="1"/>
  <c r="V1212" i="2" a="1"/>
  <c r="V1212" i="2" s="1"/>
  <c r="V1244" i="2" a="1"/>
  <c r="V1244" i="2" s="1"/>
  <c r="V1276" i="2" a="1"/>
  <c r="V1276" i="2" s="1"/>
  <c r="V1308" i="2" a="1"/>
  <c r="V1308" i="2" s="1"/>
  <c r="V1340" i="2" a="1"/>
  <c r="V1340" i="2" s="1"/>
  <c r="V1681" i="2" a="1"/>
  <c r="V1681" i="2" s="1"/>
  <c r="V1741" i="2" a="1"/>
  <c r="V1741" i="2" s="1"/>
  <c r="V1917" i="2" a="1"/>
  <c r="V1917" i="2" s="1"/>
  <c r="V1996" i="2" a="1"/>
  <c r="V1996" i="2" s="1"/>
  <c r="V1102" i="2" a="1"/>
  <c r="V1102" i="2" s="1"/>
  <c r="V1118" i="2" a="1"/>
  <c r="V1118" i="2" s="1"/>
  <c r="V1134" i="2" a="1"/>
  <c r="V1134" i="2" s="1"/>
  <c r="V1198" i="2" a="1"/>
  <c r="V1198" i="2" s="1"/>
  <c r="V1230" i="2" a="1"/>
  <c r="V1230" i="2" s="1"/>
  <c r="V1262" i="2" a="1"/>
  <c r="V1262" i="2" s="1"/>
  <c r="V1294" i="2" a="1"/>
  <c r="V1294" i="2" s="1"/>
  <c r="V1326" i="2" a="1"/>
  <c r="V1326" i="2" s="1"/>
  <c r="V1655" i="2" a="1"/>
  <c r="V1655" i="2" s="1"/>
  <c r="V1690" i="2" a="1"/>
  <c r="V1690" i="2" s="1"/>
  <c r="V1757" i="2" a="1"/>
  <c r="V1757" i="2" s="1"/>
  <c r="V1872" i="2" a="1"/>
  <c r="V1872" i="2" s="1"/>
  <c r="V1904" i="2" a="1"/>
  <c r="V1904" i="2" s="1"/>
  <c r="V1142" i="2" a="1"/>
  <c r="V1142" i="2" s="1"/>
  <c r="V1164" i="2" a="1"/>
  <c r="V1164" i="2" s="1"/>
  <c r="V1204" i="2" a="1"/>
  <c r="V1204" i="2" s="1"/>
  <c r="V1236" i="2" a="1"/>
  <c r="V1236" i="2" s="1"/>
  <c r="V1268" i="2" a="1"/>
  <c r="V1268" i="2" s="1"/>
  <c r="V1300" i="2" a="1"/>
  <c r="V1300" i="2" s="1"/>
  <c r="V1332" i="2" a="1"/>
  <c r="V1332" i="2" s="1"/>
  <c r="V1150" i="2" a="1"/>
  <c r="V1150" i="2" s="1"/>
  <c r="V1190" i="2" a="1"/>
  <c r="V1190" i="2" s="1"/>
  <c r="V1222" i="2" a="1"/>
  <c r="V1222" i="2" s="1"/>
  <c r="V1254" i="2" a="1"/>
  <c r="V1254" i="2" s="1"/>
  <c r="V1286" i="2" a="1"/>
  <c r="V1286" i="2" s="1"/>
  <c r="V1318" i="2" a="1"/>
  <c r="V1318" i="2" s="1"/>
  <c r="V1356" i="2" a="1"/>
  <c r="V1356" i="2" s="1"/>
  <c r="V1372" i="2" a="1"/>
  <c r="V1372" i="2" s="1"/>
  <c r="V1388" i="2" a="1"/>
  <c r="V1388" i="2" s="1"/>
  <c r="V1404" i="2" a="1"/>
  <c r="V1404" i="2" s="1"/>
  <c r="V1420" i="2" a="1"/>
  <c r="V1420" i="2" s="1"/>
  <c r="V1436" i="2" a="1"/>
  <c r="V1436" i="2" s="1"/>
  <c r="V1452" i="2" a="1"/>
  <c r="V1452" i="2" s="1"/>
  <c r="V1468" i="2" a="1"/>
  <c r="V1468" i="2" s="1"/>
  <c r="V1484" i="2" a="1"/>
  <c r="V1484" i="2" s="1"/>
  <c r="V1500" i="2" a="1"/>
  <c r="V1500" i="2" s="1"/>
  <c r="V1516" i="2" a="1"/>
  <c r="V1516" i="2" s="1"/>
  <c r="V1532" i="2" a="1"/>
  <c r="V1532" i="2" s="1"/>
  <c r="V1548" i="2" a="1"/>
  <c r="V1548" i="2" s="1"/>
  <c r="V1564" i="2" a="1"/>
  <c r="V1564" i="2" s="1"/>
  <c r="V1580" i="2" a="1"/>
  <c r="V1580" i="2" s="1"/>
  <c r="V1709" i="2" a="1"/>
  <c r="V1709" i="2" s="1"/>
  <c r="V1719" i="2" a="1"/>
  <c r="V1719" i="2" s="1"/>
  <c r="V1837" i="2" a="1"/>
  <c r="V1837" i="2" s="1"/>
  <c r="V1097" i="2" a="1"/>
  <c r="V1097" i="2" s="1"/>
  <c r="V1113" i="2" a="1"/>
  <c r="V1113" i="2" s="1"/>
  <c r="V1129" i="2" a="1"/>
  <c r="V1129" i="2" s="1"/>
  <c r="V1152" i="2" a="1"/>
  <c r="V1152" i="2" s="1"/>
  <c r="V1158" i="2" a="1"/>
  <c r="V1158" i="2" s="1"/>
  <c r="V1196" i="2" a="1"/>
  <c r="V1196" i="2" s="1"/>
  <c r="V1228" i="2" a="1"/>
  <c r="V1228" i="2" s="1"/>
  <c r="V1260" i="2" a="1"/>
  <c r="V1260" i="2" s="1"/>
  <c r="V1292" i="2" a="1"/>
  <c r="V1292" i="2" s="1"/>
  <c r="V1324" i="2" a="1"/>
  <c r="V1324" i="2" s="1"/>
  <c r="V1621" i="2" a="1"/>
  <c r="V1621" i="2" s="1"/>
  <c r="V1637" i="2" a="1"/>
  <c r="V1637" i="2" s="1"/>
  <c r="V1653" i="2" a="1"/>
  <c r="V1653" i="2" s="1"/>
  <c r="V1735" i="2" a="1"/>
  <c r="V1735" i="2" s="1"/>
  <c r="V1137" i="2" a="1"/>
  <c r="V1137" i="2" s="1"/>
  <c r="V1145" i="2" a="1"/>
  <c r="V1145" i="2" s="1"/>
  <c r="V1153" i="2" a="1"/>
  <c r="V1153" i="2" s="1"/>
  <c r="V1161" i="2" a="1"/>
  <c r="V1161" i="2" s="1"/>
  <c r="V1169" i="2" a="1"/>
  <c r="V1169" i="2" s="1"/>
  <c r="V1177" i="2" a="1"/>
  <c r="V1177" i="2" s="1"/>
  <c r="V1185" i="2" a="1"/>
  <c r="V1185" i="2" s="1"/>
  <c r="V1193" i="2" a="1"/>
  <c r="V1193" i="2" s="1"/>
  <c r="V1201" i="2" a="1"/>
  <c r="V1201" i="2" s="1"/>
  <c r="V1209" i="2" a="1"/>
  <c r="V1209" i="2" s="1"/>
  <c r="V1217" i="2" a="1"/>
  <c r="V1217" i="2" s="1"/>
  <c r="V1225" i="2" a="1"/>
  <c r="V1225" i="2" s="1"/>
  <c r="V1233" i="2" a="1"/>
  <c r="V1233" i="2" s="1"/>
  <c r="V1241" i="2" a="1"/>
  <c r="V1241" i="2" s="1"/>
  <c r="V1249" i="2" a="1"/>
  <c r="V1249" i="2" s="1"/>
  <c r="V1257" i="2" a="1"/>
  <c r="V1257" i="2" s="1"/>
  <c r="V1265" i="2" a="1"/>
  <c r="V1265" i="2" s="1"/>
  <c r="V1273" i="2" a="1"/>
  <c r="V1273" i="2" s="1"/>
  <c r="V1281" i="2" a="1"/>
  <c r="V1281" i="2" s="1"/>
  <c r="V1289" i="2" a="1"/>
  <c r="V1289" i="2" s="1"/>
  <c r="V1297" i="2" a="1"/>
  <c r="V1297" i="2" s="1"/>
  <c r="V1305" i="2" a="1"/>
  <c r="V1305" i="2" s="1"/>
  <c r="V1313" i="2" a="1"/>
  <c r="V1313" i="2" s="1"/>
  <c r="V1321" i="2" a="1"/>
  <c r="V1321" i="2" s="1"/>
  <c r="V1329" i="2" a="1"/>
  <c r="V1329" i="2" s="1"/>
  <c r="V1337" i="2" a="1"/>
  <c r="V1337" i="2" s="1"/>
  <c r="V1345" i="2" a="1"/>
  <c r="V1345" i="2" s="1"/>
  <c r="V1353" i="2" a="1"/>
  <c r="V1353" i="2" s="1"/>
  <c r="V1361" i="2" a="1"/>
  <c r="V1361" i="2" s="1"/>
  <c r="V1369" i="2" a="1"/>
  <c r="V1369" i="2" s="1"/>
  <c r="V1377" i="2" a="1"/>
  <c r="V1377" i="2" s="1"/>
  <c r="V1385" i="2" a="1"/>
  <c r="V1385" i="2" s="1"/>
  <c r="V1393" i="2" a="1"/>
  <c r="V1393" i="2" s="1"/>
  <c r="V1401" i="2" a="1"/>
  <c r="V1401" i="2" s="1"/>
  <c r="V1409" i="2" a="1"/>
  <c r="V1409" i="2" s="1"/>
  <c r="V1417" i="2" a="1"/>
  <c r="V1417" i="2" s="1"/>
  <c r="V1425" i="2" a="1"/>
  <c r="V1425" i="2" s="1"/>
  <c r="V1433" i="2" a="1"/>
  <c r="V1433" i="2" s="1"/>
  <c r="V1441" i="2" a="1"/>
  <c r="V1441" i="2" s="1"/>
  <c r="V1449" i="2" a="1"/>
  <c r="V1449" i="2" s="1"/>
  <c r="V1457" i="2" a="1"/>
  <c r="V1457" i="2" s="1"/>
  <c r="V1465" i="2" a="1"/>
  <c r="V1465" i="2" s="1"/>
  <c r="V1473" i="2" a="1"/>
  <c r="V1473" i="2" s="1"/>
  <c r="V1481" i="2" a="1"/>
  <c r="V1481" i="2" s="1"/>
  <c r="V1489" i="2" a="1"/>
  <c r="V1489" i="2" s="1"/>
  <c r="V1497" i="2" a="1"/>
  <c r="V1497" i="2" s="1"/>
  <c r="V1505" i="2" a="1"/>
  <c r="V1505" i="2" s="1"/>
  <c r="V1513" i="2" a="1"/>
  <c r="V1513" i="2" s="1"/>
  <c r="V1521" i="2" a="1"/>
  <c r="V1521" i="2" s="1"/>
  <c r="V1529" i="2" a="1"/>
  <c r="V1529" i="2" s="1"/>
  <c r="V1537" i="2" a="1"/>
  <c r="V1537" i="2" s="1"/>
  <c r="V1545" i="2" a="1"/>
  <c r="V1545" i="2" s="1"/>
  <c r="V1553" i="2" a="1"/>
  <c r="V1553" i="2" s="1"/>
  <c r="V1561" i="2" a="1"/>
  <c r="V1561" i="2" s="1"/>
  <c r="V1569" i="2" a="1"/>
  <c r="V1569" i="2" s="1"/>
  <c r="V1577" i="2" a="1"/>
  <c r="V1577" i="2" s="1"/>
  <c r="V1618" i="2" a="1"/>
  <c r="V1618" i="2" s="1"/>
  <c r="V1634" i="2" a="1"/>
  <c r="V1634" i="2" s="1"/>
  <c r="V1650" i="2" a="1"/>
  <c r="V1650" i="2" s="1"/>
  <c r="V1671" i="2" a="1"/>
  <c r="V1671" i="2" s="1"/>
  <c r="V1698" i="2" a="1"/>
  <c r="V1698" i="2" s="1"/>
  <c r="V1821" i="2" a="1"/>
  <c r="V1821" i="2" s="1"/>
  <c r="V1909" i="2" a="1"/>
  <c r="V1909" i="2" s="1"/>
  <c r="V2061" i="2" a="1"/>
  <c r="V2061" i="2" s="1"/>
  <c r="V1679" i="2" a="1"/>
  <c r="V1679" i="2" s="1"/>
  <c r="V1706" i="2" a="1"/>
  <c r="V1706" i="2" s="1"/>
  <c r="V1781" i="2" a="1"/>
  <c r="V1781" i="2" s="1"/>
  <c r="V1845" i="2" a="1"/>
  <c r="V1845" i="2" s="1"/>
  <c r="V1939" i="2" a="1"/>
  <c r="V1939" i="2" s="1"/>
  <c r="V1687" i="2" a="1"/>
  <c r="V1687" i="2" s="1"/>
  <c r="V1714" i="2" a="1"/>
  <c r="V1714" i="2" s="1"/>
  <c r="V1805" i="2" a="1"/>
  <c r="V1805" i="2" s="1"/>
  <c r="V1856" i="2" a="1"/>
  <c r="V1856" i="2" s="1"/>
  <c r="V2227" i="2" a="1"/>
  <c r="V2227" i="2" s="1"/>
  <c r="V1658" i="2" a="1"/>
  <c r="V1658" i="2" s="1"/>
  <c r="V1695" i="2" a="1"/>
  <c r="V1695" i="2" s="1"/>
  <c r="V1722" i="2" a="1"/>
  <c r="V1722" i="2" s="1"/>
  <c r="V1765" i="2" a="1"/>
  <c r="V1765" i="2" s="1"/>
  <c r="V1829" i="2" a="1"/>
  <c r="V1829" i="2" s="1"/>
  <c r="V1888" i="2" a="1"/>
  <c r="V1888" i="2" s="1"/>
  <c r="V2003" i="2" a="1"/>
  <c r="V2003" i="2" s="1"/>
  <c r="V2076" i="2" a="1"/>
  <c r="V2076" i="2" s="1"/>
  <c r="V1587" i="2" a="1"/>
  <c r="V1587" i="2" s="1"/>
  <c r="V1589" i="2" a="1"/>
  <c r="V1589" i="2" s="1"/>
  <c r="V1595" i="2" a="1"/>
  <c r="V1595" i="2" s="1"/>
  <c r="V1597" i="2" a="1"/>
  <c r="V1597" i="2" s="1"/>
  <c r="V1603" i="2" a="1"/>
  <c r="V1603" i="2" s="1"/>
  <c r="V1605" i="2" a="1"/>
  <c r="V1605" i="2" s="1"/>
  <c r="V1611" i="2" a="1"/>
  <c r="V1611" i="2" s="1"/>
  <c r="V1613" i="2" a="1"/>
  <c r="V1613" i="2" s="1"/>
  <c r="V1626" i="2" a="1"/>
  <c r="V1626" i="2" s="1"/>
  <c r="V1642" i="2" a="1"/>
  <c r="V1642" i="2" s="1"/>
  <c r="V1666" i="2" a="1"/>
  <c r="V1666" i="2" s="1"/>
  <c r="V1669" i="2" a="1"/>
  <c r="V1669" i="2" s="1"/>
  <c r="V1703" i="2" a="1"/>
  <c r="V1703" i="2" s="1"/>
  <c r="V1730" i="2" a="1"/>
  <c r="V1730" i="2" s="1"/>
  <c r="V1789" i="2" a="1"/>
  <c r="V1789" i="2" s="1"/>
  <c r="V2214" i="2" a="1"/>
  <c r="V2214" i="2" s="1"/>
  <c r="V1629" i="2" a="1"/>
  <c r="V1629" i="2" s="1"/>
  <c r="V1645" i="2" a="1"/>
  <c r="V1645" i="2" s="1"/>
  <c r="V1674" i="2" a="1"/>
  <c r="V1674" i="2" s="1"/>
  <c r="V1677" i="2" a="1"/>
  <c r="V1677" i="2" s="1"/>
  <c r="V1711" i="2" a="1"/>
  <c r="V1711" i="2" s="1"/>
  <c r="V1813" i="2" a="1"/>
  <c r="V1813" i="2" s="1"/>
  <c r="V1911" i="2" a="1"/>
  <c r="V1911" i="2" s="1"/>
  <c r="V2186" i="2" a="1"/>
  <c r="V2186" i="2" s="1"/>
  <c r="V1738" i="2" a="1"/>
  <c r="V1738" i="2" s="1"/>
  <c r="V1746" i="2" a="1"/>
  <c r="V1746" i="2" s="1"/>
  <c r="V1754" i="2" a="1"/>
  <c r="V1754" i="2" s="1"/>
  <c r="V1762" i="2" a="1"/>
  <c r="V1762" i="2" s="1"/>
  <c r="V1770" i="2" a="1"/>
  <c r="V1770" i="2" s="1"/>
  <c r="V1778" i="2" a="1"/>
  <c r="V1778" i="2" s="1"/>
  <c r="V1786" i="2" a="1"/>
  <c r="V1786" i="2" s="1"/>
  <c r="V1794" i="2" a="1"/>
  <c r="V1794" i="2" s="1"/>
  <c r="V1802" i="2" a="1"/>
  <c r="V1802" i="2" s="1"/>
  <c r="V1810" i="2" a="1"/>
  <c r="V1810" i="2" s="1"/>
  <c r="V1818" i="2" a="1"/>
  <c r="V1818" i="2" s="1"/>
  <c r="V1826" i="2" a="1"/>
  <c r="V1826" i="2" s="1"/>
  <c r="V1834" i="2" a="1"/>
  <c r="V1834" i="2" s="1"/>
  <c r="V1842" i="2" a="1"/>
  <c r="V1842" i="2" s="1"/>
  <c r="V1851" i="2" a="1"/>
  <c r="V1851" i="2" s="1"/>
  <c r="V1865" i="2" a="1"/>
  <c r="V1865" i="2" s="1"/>
  <c r="V1867" i="2" a="1"/>
  <c r="V1867" i="2" s="1"/>
  <c r="V1881" i="2" a="1"/>
  <c r="V1881" i="2" s="1"/>
  <c r="V1883" i="2" a="1"/>
  <c r="V1883" i="2" s="1"/>
  <c r="V1897" i="2" a="1"/>
  <c r="V1897" i="2" s="1"/>
  <c r="V1899" i="2" a="1"/>
  <c r="V1899" i="2" s="1"/>
  <c r="V1900" i="2" a="1"/>
  <c r="V1900" i="2" s="1"/>
  <c r="V1901" i="2" a="1"/>
  <c r="V1901" i="2" s="1"/>
  <c r="V1943" i="2" a="1"/>
  <c r="V1943" i="2" s="1"/>
  <c r="V1947" i="2" a="1"/>
  <c r="V1947" i="2" s="1"/>
  <c r="V1973" i="2" a="1"/>
  <c r="V1973" i="2" s="1"/>
  <c r="V2053" i="2" a="1"/>
  <c r="V2053" i="2" s="1"/>
  <c r="V2101" i="2" a="1"/>
  <c r="V2101" i="2" s="1"/>
  <c r="V2170" i="2" a="1"/>
  <c r="V2170" i="2" s="1"/>
  <c r="V2184" i="2" a="1"/>
  <c r="V2184" i="2" s="1"/>
  <c r="V2192" i="2" a="1"/>
  <c r="V2192" i="2" s="1"/>
  <c r="V2746" i="2" a="1"/>
  <c r="V2746" i="2" s="1"/>
  <c r="V2758" i="2" a="1"/>
  <c r="V2758" i="2" s="1"/>
  <c r="V1965" i="2" a="1"/>
  <c r="V1965" i="2" s="1"/>
  <c r="V2045" i="2" a="1"/>
  <c r="V2045" i="2" s="1"/>
  <c r="V1949" i="2" a="1"/>
  <c r="V1949" i="2" s="1"/>
  <c r="V1957" i="2" a="1"/>
  <c r="V1957" i="2" s="1"/>
  <c r="V2021" i="2" a="1"/>
  <c r="V2021" i="2" s="1"/>
  <c r="V2037" i="2" a="1"/>
  <c r="V2037" i="2" s="1"/>
  <c r="V2093" i="2" a="1"/>
  <c r="V2093" i="2" s="1"/>
  <c r="V2125" i="2" a="1"/>
  <c r="V2125" i="2" s="1"/>
  <c r="V2154" i="2" a="1"/>
  <c r="V2154" i="2" s="1"/>
  <c r="V2168" i="2" a="1"/>
  <c r="V2168" i="2" s="1"/>
  <c r="V2188" i="2" a="1"/>
  <c r="V2188" i="2" s="1"/>
  <c r="V2216" i="2" a="1"/>
  <c r="V2216" i="2" s="1"/>
  <c r="V2013" i="2" a="1"/>
  <c r="V2013" i="2" s="1"/>
  <c r="V2029" i="2" a="1"/>
  <c r="V2029" i="2" s="1"/>
  <c r="V2191" i="2" a="1"/>
  <c r="V2191" i="2" s="1"/>
  <c r="V2279" i="2" a="1"/>
  <c r="V2279" i="2" s="1"/>
  <c r="V2295" i="2" a="1"/>
  <c r="V2295" i="2" s="1"/>
  <c r="V2311" i="2" a="1"/>
  <c r="V2311" i="2" s="1"/>
  <c r="V2327" i="2" a="1"/>
  <c r="V2327" i="2" s="1"/>
  <c r="V2343" i="2" a="1"/>
  <c r="V2343" i="2" s="1"/>
  <c r="V2359" i="2" a="1"/>
  <c r="V2359" i="2" s="1"/>
  <c r="V2434" i="2" a="1"/>
  <c r="V2434" i="2" s="1"/>
  <c r="V2005" i="2" a="1"/>
  <c r="V2005" i="2" s="1"/>
  <c r="V2085" i="2" a="1"/>
  <c r="V2085" i="2" s="1"/>
  <c r="V2117" i="2" a="1"/>
  <c r="V2117" i="2" s="1"/>
  <c r="V2138" i="2" a="1"/>
  <c r="V2138" i="2" s="1"/>
  <c r="V2152" i="2" a="1"/>
  <c r="V2152" i="2" s="1"/>
  <c r="V2195" i="2" a="1"/>
  <c r="V2195" i="2" s="1"/>
  <c r="V2378" i="2" a="1"/>
  <c r="V2378" i="2" s="1"/>
  <c r="V2418" i="2" a="1"/>
  <c r="V2418" i="2" s="1"/>
  <c r="V1997" i="2" a="1"/>
  <c r="V1997" i="2" s="1"/>
  <c r="V2077" i="2" a="1"/>
  <c r="V2077" i="2" s="1"/>
  <c r="V2187" i="2" a="1"/>
  <c r="V2187" i="2" s="1"/>
  <c r="V2215" i="2" a="1"/>
  <c r="V2215" i="2" s="1"/>
  <c r="V1927" i="2" a="1"/>
  <c r="V1927" i="2" s="1"/>
  <c r="V1929" i="2" a="1"/>
  <c r="V1929" i="2" s="1"/>
  <c r="V1989" i="2" a="1"/>
  <c r="V1989" i="2" s="1"/>
  <c r="V2069" i="2" a="1"/>
  <c r="V2069" i="2" s="1"/>
  <c r="V2109" i="2" a="1"/>
  <c r="V2109" i="2" s="1"/>
  <c r="V2136" i="2" a="1"/>
  <c r="V2136" i="2" s="1"/>
  <c r="V2255" i="2" a="1"/>
  <c r="V2255" i="2" s="1"/>
  <c r="V2402" i="2" a="1"/>
  <c r="V2402" i="2" s="1"/>
  <c r="V2408" i="2" a="1"/>
  <c r="V2408" i="2" s="1"/>
  <c r="V2426" i="2" a="1"/>
  <c r="V2426" i="2" s="1"/>
  <c r="V2438" i="2" a="1"/>
  <c r="V2438" i="2" s="1"/>
  <c r="V2557" i="2" a="1"/>
  <c r="V2557" i="2" s="1"/>
  <c r="V2394" i="2" a="1"/>
  <c r="V2394" i="2" s="1"/>
  <c r="V2400" i="2" a="1"/>
  <c r="V2400" i="2" s="1"/>
  <c r="V2424" i="2" a="1"/>
  <c r="V2424" i="2" s="1"/>
  <c r="V2525" i="2" a="1"/>
  <c r="V2525" i="2" s="1"/>
  <c r="V2208" i="2" a="1"/>
  <c r="V2208" i="2" s="1"/>
  <c r="V2224" i="2" a="1"/>
  <c r="V2224" i="2" s="1"/>
  <c r="V2232" i="2" a="1"/>
  <c r="V2232" i="2" s="1"/>
  <c r="V2240" i="2" a="1"/>
  <c r="V2240" i="2" s="1"/>
  <c r="V2271" i="2" a="1"/>
  <c r="V2271" i="2" s="1"/>
  <c r="V2432" i="2" a="1"/>
  <c r="V2432" i="2" s="1"/>
  <c r="V2247" i="2" a="1"/>
  <c r="V2247" i="2" s="1"/>
  <c r="V2287" i="2" a="1"/>
  <c r="V2287" i="2" s="1"/>
  <c r="V2303" i="2" a="1"/>
  <c r="V2303" i="2" s="1"/>
  <c r="V2319" i="2" a="1"/>
  <c r="V2319" i="2" s="1"/>
  <c r="V2335" i="2" a="1"/>
  <c r="V2335" i="2" s="1"/>
  <c r="V2351" i="2" a="1"/>
  <c r="V2351" i="2" s="1"/>
  <c r="V2367" i="2" a="1"/>
  <c r="V2367" i="2" s="1"/>
  <c r="V2377" i="2" a="1"/>
  <c r="V2377" i="2" s="1"/>
  <c r="V2410" i="2" a="1"/>
  <c r="V2410" i="2" s="1"/>
  <c r="V2416" i="2" a="1"/>
  <c r="V2416" i="2" s="1"/>
  <c r="V2504" i="2" a="1"/>
  <c r="V2504" i="2" s="1"/>
  <c r="V2393" i="2" a="1"/>
  <c r="V2393" i="2" s="1"/>
  <c r="V2454" i="2" a="1"/>
  <c r="V2454" i="2" s="1"/>
  <c r="V2200" i="2" a="1"/>
  <c r="V2200" i="2" s="1"/>
  <c r="V2263" i="2" a="1"/>
  <c r="V2263" i="2" s="1"/>
  <c r="V2472" i="2" a="1"/>
  <c r="V2472" i="2" s="1"/>
  <c r="V2496" i="2" a="1"/>
  <c r="V2496" i="2" s="1"/>
  <c r="V2488" i="2" a="1"/>
  <c r="V2488" i="2" s="1"/>
  <c r="V2517" i="2" a="1"/>
  <c r="V2517" i="2" s="1"/>
  <c r="V2549" i="2" a="1"/>
  <c r="V2549" i="2" s="1"/>
  <c r="V2581" i="2" a="1"/>
  <c r="V2581" i="2" s="1"/>
  <c r="V2607" i="2" a="1"/>
  <c r="V2607" i="2" s="1"/>
  <c r="V2624" i="2" a="1"/>
  <c r="V2624" i="2" s="1"/>
  <c r="V2719" i="2" a="1"/>
  <c r="V2719" i="2" s="1"/>
  <c r="V2448" i="2" a="1"/>
  <c r="V2448" i="2" s="1"/>
  <c r="V2480" i="2" a="1"/>
  <c r="V2480" i="2" s="1"/>
  <c r="V2592" i="2" a="1"/>
  <c r="V2592" i="2" s="1"/>
  <c r="V2687" i="2" a="1"/>
  <c r="V2687" i="2" s="1"/>
  <c r="V2741" i="2" a="1"/>
  <c r="V2741" i="2" s="1"/>
  <c r="V2509" i="2" a="1"/>
  <c r="V2509" i="2" s="1"/>
  <c r="V2520" i="2" a="1"/>
  <c r="V2520" i="2" s="1"/>
  <c r="V2541" i="2" a="1"/>
  <c r="V2541" i="2" s="1"/>
  <c r="V2573" i="2" a="1"/>
  <c r="V2573" i="2" s="1"/>
  <c r="V2709" i="2" a="1"/>
  <c r="V2709" i="2" s="1"/>
  <c r="V2456" i="2" a="1"/>
  <c r="V2456" i="2" s="1"/>
  <c r="V2501" i="2" a="1"/>
  <c r="V2501" i="2" s="1"/>
  <c r="V2623" i="2" a="1"/>
  <c r="V2623" i="2" s="1"/>
  <c r="V2677" i="2" a="1"/>
  <c r="V2677" i="2" s="1"/>
  <c r="V2728" i="2" a="1"/>
  <c r="V2728" i="2" s="1"/>
  <c r="V2493" i="2" a="1"/>
  <c r="V2493" i="2" s="1"/>
  <c r="V2512" i="2" a="1"/>
  <c r="V2512" i="2" s="1"/>
  <c r="V2533" i="2" a="1"/>
  <c r="V2533" i="2" s="1"/>
  <c r="V2565" i="2" a="1"/>
  <c r="V2565" i="2" s="1"/>
  <c r="V2591" i="2" a="1"/>
  <c r="V2591" i="2" s="1"/>
  <c r="V2696" i="2" a="1"/>
  <c r="V2696" i="2" s="1"/>
  <c r="V2464" i="2" a="1"/>
  <c r="V2464" i="2" s="1"/>
  <c r="V2485" i="2" a="1"/>
  <c r="V2485" i="2" s="1"/>
  <c r="V2608" i="2" a="1"/>
  <c r="V2608" i="2" s="1"/>
  <c r="V2785" i="2" a="1"/>
  <c r="V2785" i="2" s="1"/>
  <c r="V2528" i="2" a="1"/>
  <c r="V2528" i="2" s="1"/>
  <c r="V2536" i="2" a="1"/>
  <c r="V2536" i="2" s="1"/>
  <c r="V2544" i="2" a="1"/>
  <c r="V2544" i="2" s="1"/>
  <c r="V2552" i="2" a="1"/>
  <c r="V2552" i="2" s="1"/>
  <c r="V2560" i="2" a="1"/>
  <c r="V2560" i="2" s="1"/>
  <c r="V2568" i="2" a="1"/>
  <c r="V2568" i="2" s="1"/>
  <c r="V2576" i="2" a="1"/>
  <c r="V2576" i="2" s="1"/>
  <c r="V2584" i="2" a="1"/>
  <c r="V2584" i="2" s="1"/>
  <c r="V2596" i="2" a="1"/>
  <c r="V2596" i="2" s="1"/>
  <c r="V2598" i="2" a="1"/>
  <c r="V2598" i="2" s="1"/>
  <c r="V2612" i="2" a="1"/>
  <c r="V2612" i="2" s="1"/>
  <c r="V2614" i="2" a="1"/>
  <c r="V2614" i="2" s="1"/>
  <c r="V2628" i="2" a="1"/>
  <c r="V2628" i="2" s="1"/>
  <c r="V2630" i="2" a="1"/>
  <c r="V2630" i="2" s="1"/>
  <c r="V2636" i="2" a="1"/>
  <c r="V2636" i="2" s="1"/>
  <c r="V2638" i="2" a="1"/>
  <c r="V2638" i="2" s="1"/>
  <c r="V2644" i="2" a="1"/>
  <c r="V2644" i="2" s="1"/>
  <c r="V2646" i="2" a="1"/>
  <c r="V2646" i="2" s="1"/>
  <c r="V2652" i="2" a="1"/>
  <c r="V2652" i="2" s="1"/>
  <c r="V2654" i="2" a="1"/>
  <c r="V2654" i="2" s="1"/>
  <c r="V2660" i="2" a="1"/>
  <c r="V2660" i="2" s="1"/>
  <c r="V2662" i="2" a="1"/>
  <c r="V2662" i="2" s="1"/>
  <c r="V2670" i="2" a="1"/>
  <c r="V2670" i="2" s="1"/>
  <c r="V2763" i="2" a="1"/>
  <c r="V2763" i="2" s="1"/>
  <c r="V2795" i="2" a="1"/>
  <c r="V2795" i="2" s="1"/>
  <c r="V2895" i="2" a="1"/>
  <c r="V2895" i="2" s="1"/>
  <c r="V3141" i="2" a="1"/>
  <c r="V3141" i="2" s="1"/>
  <c r="V2672" i="2" a="1"/>
  <c r="V2672" i="2" s="1"/>
  <c r="V2771" i="2" a="1"/>
  <c r="V2771" i="2" s="1"/>
  <c r="V2704" i="2" a="1"/>
  <c r="V2704" i="2" s="1"/>
  <c r="V2736" i="2" a="1"/>
  <c r="V2736" i="2" s="1"/>
  <c r="V2761" i="2" a="1"/>
  <c r="V2761" i="2" s="1"/>
  <c r="V2793" i="2" a="1"/>
  <c r="V2793" i="2" s="1"/>
  <c r="V2779" i="2" a="1"/>
  <c r="V2779" i="2" s="1"/>
  <c r="V2680" i="2" a="1"/>
  <c r="V2680" i="2" s="1"/>
  <c r="V2712" i="2" a="1"/>
  <c r="V2712" i="2" s="1"/>
  <c r="V2769" i="2" a="1"/>
  <c r="V2769" i="2" s="1"/>
  <c r="V3050" i="2" a="1"/>
  <c r="V3050" i="2" s="1"/>
  <c r="V2632" i="2" a="1"/>
  <c r="V2632" i="2" s="1"/>
  <c r="V2634" i="2" a="1"/>
  <c r="V2634" i="2" s="1"/>
  <c r="V2640" i="2" a="1"/>
  <c r="V2640" i="2" s="1"/>
  <c r="V2642" i="2" a="1"/>
  <c r="V2642" i="2" s="1"/>
  <c r="V2747" i="2" a="1"/>
  <c r="V2747" i="2" s="1"/>
  <c r="V2787" i="2" a="1"/>
  <c r="V2787" i="2" s="1"/>
  <c r="V2688" i="2" a="1"/>
  <c r="V2688" i="2" s="1"/>
  <c r="V2720" i="2" a="1"/>
  <c r="V2720" i="2" s="1"/>
  <c r="V2777" i="2" a="1"/>
  <c r="V2777" i="2" s="1"/>
  <c r="V3030" i="2" a="1"/>
  <c r="V3030" i="2" s="1"/>
  <c r="V2801" i="2" a="1"/>
  <c r="V2801" i="2" s="1"/>
  <c r="V2803" i="2" a="1"/>
  <c r="V2803" i="2" s="1"/>
  <c r="V2809" i="2" a="1"/>
  <c r="V2809" i="2" s="1"/>
  <c r="V2811" i="2" a="1"/>
  <c r="V2811" i="2" s="1"/>
  <c r="V2817" i="2" a="1"/>
  <c r="V2817" i="2" s="1"/>
  <c r="V2819" i="2" a="1"/>
  <c r="V2819" i="2" s="1"/>
  <c r="V2825" i="2" a="1"/>
  <c r="V2825" i="2" s="1"/>
  <c r="V2827" i="2" a="1"/>
  <c r="V2827" i="2" s="1"/>
  <c r="V2833" i="2" a="1"/>
  <c r="V2833" i="2" s="1"/>
  <c r="V2835" i="2" a="1"/>
  <c r="V2835" i="2" s="1"/>
  <c r="V2841" i="2" a="1"/>
  <c r="V2841" i="2" s="1"/>
  <c r="V2843" i="2" a="1"/>
  <c r="V2843" i="2" s="1"/>
  <c r="V2849" i="2" a="1"/>
  <c r="V2849" i="2" s="1"/>
  <c r="V2851" i="2" a="1"/>
  <c r="V2851" i="2" s="1"/>
  <c r="V2857" i="2" a="1"/>
  <c r="V2857" i="2" s="1"/>
  <c r="V2859" i="2" a="1"/>
  <c r="V2859" i="2" s="1"/>
  <c r="V2865" i="2" a="1"/>
  <c r="V2865" i="2" s="1"/>
  <c r="V2867" i="2" a="1"/>
  <c r="V2867" i="2" s="1"/>
  <c r="V2873" i="2" a="1"/>
  <c r="V2873" i="2" s="1"/>
  <c r="V2875" i="2" a="1"/>
  <c r="V2875" i="2" s="1"/>
  <c r="V2879" i="2" a="1"/>
  <c r="V2879" i="2" s="1"/>
  <c r="V2897" i="2" a="1"/>
  <c r="V2897" i="2" s="1"/>
  <c r="V2899" i="2" a="1"/>
  <c r="V2899" i="2" s="1"/>
  <c r="V2990" i="2" a="1"/>
  <c r="V2990" i="2" s="1"/>
  <c r="V2901" i="2" a="1"/>
  <c r="V2901" i="2" s="1"/>
  <c r="V2910" i="2" a="1"/>
  <c r="V2910" i="2" s="1"/>
  <c r="V2926" i="2" a="1"/>
  <c r="V2926" i="2" s="1"/>
  <c r="V2942" i="2" a="1"/>
  <c r="V2942" i="2" s="1"/>
  <c r="V2958" i="2" a="1"/>
  <c r="V2958" i="2" s="1"/>
  <c r="V2974" i="2" a="1"/>
  <c r="V2974" i="2" s="1"/>
  <c r="V3014" i="2" a="1"/>
  <c r="V3014" i="2" s="1"/>
  <c r="V3117" i="2" a="1"/>
  <c r="V3117" i="2" s="1"/>
  <c r="V3159" i="2" a="1"/>
  <c r="V3159" i="2" s="1"/>
  <c r="V3425" i="2" a="1"/>
  <c r="V3425" i="2" s="1"/>
  <c r="V2913" i="2" a="1"/>
  <c r="V2913" i="2" s="1"/>
  <c r="V2929" i="2" a="1"/>
  <c r="V2929" i="2" s="1"/>
  <c r="V2945" i="2" a="1"/>
  <c r="V2945" i="2" s="1"/>
  <c r="V2961" i="2" a="1"/>
  <c r="V2961" i="2" s="1"/>
  <c r="V2977" i="2" a="1"/>
  <c r="V2977" i="2" s="1"/>
  <c r="V3038" i="2" a="1"/>
  <c r="V3038" i="2" s="1"/>
  <c r="V2998" i="2" a="1"/>
  <c r="V2998" i="2" s="1"/>
  <c r="V3022" i="2" a="1"/>
  <c r="V3022" i="2" s="1"/>
  <c r="V3188" i="2" a="1"/>
  <c r="V3188" i="2" s="1"/>
  <c r="V2918" i="2" a="1"/>
  <c r="V2918" i="2" s="1"/>
  <c r="V2934" i="2" a="1"/>
  <c r="V2934" i="2" s="1"/>
  <c r="V2950" i="2" a="1"/>
  <c r="V2950" i="2" s="1"/>
  <c r="V2966" i="2" a="1"/>
  <c r="V2966" i="2" s="1"/>
  <c r="V2982" i="2" a="1"/>
  <c r="V2982" i="2" s="1"/>
  <c r="V3082" i="2" a="1"/>
  <c r="V3082" i="2" s="1"/>
  <c r="V3178" i="2" a="1"/>
  <c r="V3178" i="2" s="1"/>
  <c r="V3365" i="2" a="1"/>
  <c r="V3365" i="2" s="1"/>
  <c r="V2881" i="2" a="1"/>
  <c r="V2881" i="2" s="1"/>
  <c r="V2883" i="2" a="1"/>
  <c r="V2883" i="2" s="1"/>
  <c r="V2921" i="2" a="1"/>
  <c r="V2921" i="2" s="1"/>
  <c r="V2937" i="2" a="1"/>
  <c r="V2937" i="2" s="1"/>
  <c r="V2953" i="2" a="1"/>
  <c r="V2953" i="2" s="1"/>
  <c r="V2969" i="2" a="1"/>
  <c r="V2969" i="2" s="1"/>
  <c r="V3006" i="2" a="1"/>
  <c r="V3006" i="2" s="1"/>
  <c r="V3066" i="2" a="1"/>
  <c r="V3066" i="2" s="1"/>
  <c r="V2985" i="2" a="1"/>
  <c r="V2985" i="2" s="1"/>
  <c r="V2993" i="2" a="1"/>
  <c r="V2993" i="2" s="1"/>
  <c r="V3001" i="2" a="1"/>
  <c r="V3001" i="2" s="1"/>
  <c r="V3009" i="2" a="1"/>
  <c r="V3009" i="2" s="1"/>
  <c r="V3017" i="2" a="1"/>
  <c r="V3017" i="2" s="1"/>
  <c r="V3025" i="2" a="1"/>
  <c r="V3025" i="2" s="1"/>
  <c r="V3033" i="2" a="1"/>
  <c r="V3033" i="2" s="1"/>
  <c r="V3041" i="2" a="1"/>
  <c r="V3041" i="2" s="1"/>
  <c r="V3057" i="2" a="1"/>
  <c r="V3057" i="2" s="1"/>
  <c r="V3073" i="2" a="1"/>
  <c r="V3073" i="2" s="1"/>
  <c r="V3089" i="2" a="1"/>
  <c r="V3089" i="2" s="1"/>
  <c r="V3119" i="2" a="1"/>
  <c r="V3119" i="2" s="1"/>
  <c r="V3133" i="2" a="1"/>
  <c r="V3133" i="2" s="1"/>
  <c r="V3151" i="2" a="1"/>
  <c r="V3151" i="2" s="1"/>
  <c r="V3170" i="2" a="1"/>
  <c r="V3170" i="2" s="1"/>
  <c r="V3197" i="2" a="1"/>
  <c r="V3197" i="2" s="1"/>
  <c r="V3205" i="2" a="1"/>
  <c r="V3205" i="2" s="1"/>
  <c r="V3213" i="2" a="1"/>
  <c r="V3213" i="2" s="1"/>
  <c r="V3221" i="2" a="1"/>
  <c r="V3221" i="2" s="1"/>
  <c r="V3395" i="2" a="1"/>
  <c r="V3395" i="2" s="1"/>
  <c r="V3437" i="2" a="1"/>
  <c r="V3437" i="2" s="1"/>
  <c r="V3149" i="2" a="1"/>
  <c r="V3149" i="2" s="1"/>
  <c r="V3167" i="2" a="1"/>
  <c r="V3167" i="2" s="1"/>
  <c r="V3186" i="2" a="1"/>
  <c r="V3186" i="2" s="1"/>
  <c r="V3237" i="2" a="1"/>
  <c r="V3237" i="2" s="1"/>
  <c r="V3253" i="2" a="1"/>
  <c r="V3253" i="2" s="1"/>
  <c r="V3269" i="2" a="1"/>
  <c r="V3269" i="2" s="1"/>
  <c r="V3285" i="2" a="1"/>
  <c r="V3285" i="2" s="1"/>
  <c r="V3379" i="2" a="1"/>
  <c r="V3379" i="2" s="1"/>
  <c r="V3413" i="2" a="1"/>
  <c r="V3413" i="2" s="1"/>
  <c r="V3114" i="2" a="1"/>
  <c r="V3114" i="2" s="1"/>
  <c r="V3130" i="2" a="1"/>
  <c r="V3130" i="2" s="1"/>
  <c r="V3157" i="2" a="1"/>
  <c r="V3157" i="2" s="1"/>
  <c r="V3175" i="2" a="1"/>
  <c r="V3175" i="2" s="1"/>
  <c r="V3445" i="2" a="1"/>
  <c r="V3445" i="2" s="1"/>
  <c r="V3643" i="2" a="1"/>
  <c r="V3643" i="2" s="1"/>
  <c r="V3111" i="2" a="1"/>
  <c r="V3111" i="2" s="1"/>
  <c r="V3127" i="2" a="1"/>
  <c r="V3127" i="2" s="1"/>
  <c r="V3138" i="2" a="1"/>
  <c r="V3138" i="2" s="1"/>
  <c r="V3165" i="2" a="1"/>
  <c r="V3165" i="2" s="1"/>
  <c r="V3183" i="2" a="1"/>
  <c r="V3183" i="2" s="1"/>
  <c r="V3363" i="2" a="1"/>
  <c r="V3363" i="2" s="1"/>
  <c r="V3397" i="2" a="1"/>
  <c r="V3397" i="2" s="1"/>
  <c r="V3534" i="2" a="1"/>
  <c r="V3534" i="2" s="1"/>
  <c r="V3550" i="2" a="1"/>
  <c r="V3550" i="2" s="1"/>
  <c r="V3146" i="2" a="1"/>
  <c r="V3146" i="2" s="1"/>
  <c r="V3173" i="2" a="1"/>
  <c r="V3173" i="2" s="1"/>
  <c r="V3191" i="2" a="1"/>
  <c r="V3191" i="2" s="1"/>
  <c r="V3199" i="2" a="1"/>
  <c r="V3199" i="2" s="1"/>
  <c r="V3207" i="2" a="1"/>
  <c r="V3207" i="2" s="1"/>
  <c r="V3215" i="2" a="1"/>
  <c r="V3215" i="2" s="1"/>
  <c r="V3301" i="2" a="1"/>
  <c r="V3301" i="2" s="1"/>
  <c r="V3333" i="2" a="1"/>
  <c r="V3333" i="2" s="1"/>
  <c r="V3135" i="2" a="1"/>
  <c r="V3135" i="2" s="1"/>
  <c r="V3154" i="2" a="1"/>
  <c r="V3154" i="2" s="1"/>
  <c r="V3181" i="2" a="1"/>
  <c r="V3181" i="2" s="1"/>
  <c r="V3229" i="2" a="1"/>
  <c r="V3229" i="2" s="1"/>
  <c r="V3245" i="2" a="1"/>
  <c r="V3245" i="2" s="1"/>
  <c r="V3261" i="2" a="1"/>
  <c r="V3261" i="2" s="1"/>
  <c r="V3277" i="2" a="1"/>
  <c r="V3277" i="2" s="1"/>
  <c r="V3293" i="2" a="1"/>
  <c r="V3293" i="2" s="1"/>
  <c r="V3381" i="2" a="1"/>
  <c r="V3381" i="2" s="1"/>
  <c r="V3411" i="2" a="1"/>
  <c r="V3411" i="2" s="1"/>
  <c r="V3122" i="2" a="1"/>
  <c r="V3122" i="2" s="1"/>
  <c r="V3143" i="2" a="1"/>
  <c r="V3143" i="2" s="1"/>
  <c r="V3162" i="2" a="1"/>
  <c r="V3162" i="2" s="1"/>
  <c r="V3189" i="2" a="1"/>
  <c r="V3189" i="2" s="1"/>
  <c r="V3317" i="2" a="1"/>
  <c r="V3317" i="2" s="1"/>
  <c r="V3453" i="2" a="1"/>
  <c r="V3453" i="2" s="1"/>
  <c r="V3366" i="2" a="1"/>
  <c r="V3366" i="2" s="1"/>
  <c r="V3382" i="2" a="1"/>
  <c r="V3382" i="2" s="1"/>
  <c r="V3398" i="2" a="1"/>
  <c r="V3398" i="2" s="1"/>
  <c r="V3414" i="2" a="1"/>
  <c r="V3414" i="2" s="1"/>
  <c r="V3427" i="2" a="1"/>
  <c r="V3427" i="2" s="1"/>
  <c r="V3438" i="2" a="1"/>
  <c r="V3438" i="2" s="1"/>
  <c r="V3446" i="2" a="1"/>
  <c r="V3446" i="2" s="1"/>
  <c r="V3494" i="2" a="1"/>
  <c r="V3494" i="2" s="1"/>
  <c r="V3659" i="2" a="1"/>
  <c r="V3659" i="2" s="1"/>
  <c r="V3194" i="2" a="1"/>
  <c r="V3194" i="2" s="1"/>
  <c r="V3202" i="2" a="1"/>
  <c r="V3202" i="2" s="1"/>
  <c r="V3210" i="2" a="1"/>
  <c r="V3210" i="2" s="1"/>
  <c r="V3218" i="2" a="1"/>
  <c r="V3218" i="2" s="1"/>
  <c r="V3226" i="2" a="1"/>
  <c r="V3226" i="2" s="1"/>
  <c r="V3234" i="2" a="1"/>
  <c r="V3234" i="2" s="1"/>
  <c r="V3242" i="2" a="1"/>
  <c r="V3242" i="2" s="1"/>
  <c r="V3250" i="2" a="1"/>
  <c r="V3250" i="2" s="1"/>
  <c r="V3258" i="2" a="1"/>
  <c r="V3258" i="2" s="1"/>
  <c r="V3266" i="2" a="1"/>
  <c r="V3266" i="2" s="1"/>
  <c r="V3274" i="2" a="1"/>
  <c r="V3274" i="2" s="1"/>
  <c r="V3282" i="2" a="1"/>
  <c r="V3282" i="2" s="1"/>
  <c r="V3290" i="2" a="1"/>
  <c r="V3290" i="2" s="1"/>
  <c r="V3326" i="2" a="1"/>
  <c r="V3326" i="2" s="1"/>
  <c r="V3342" i="2" a="1"/>
  <c r="V3342" i="2" s="1"/>
  <c r="V3350" i="2" a="1"/>
  <c r="V3350" i="2" s="1"/>
  <c r="V3435" i="2" a="1"/>
  <c r="V3435" i="2" s="1"/>
  <c r="V3510" i="2" a="1"/>
  <c r="V3510" i="2" s="1"/>
  <c r="V3574" i="2" a="1"/>
  <c r="V3574" i="2" s="1"/>
  <c r="V3627" i="2" a="1"/>
  <c r="V3627" i="2" s="1"/>
  <c r="V3699" i="2" a="1"/>
  <c r="V3699" i="2" s="1"/>
  <c r="V3717" i="2" a="1"/>
  <c r="V3717" i="2" s="1"/>
  <c r="V3486" i="2" a="1"/>
  <c r="V3486" i="2" s="1"/>
  <c r="V3358" i="2" a="1"/>
  <c r="V3358" i="2" s="1"/>
  <c r="V3374" i="2" a="1"/>
  <c r="V3374" i="2" s="1"/>
  <c r="V3390" i="2" a="1"/>
  <c r="V3390" i="2" s="1"/>
  <c r="V3406" i="2" a="1"/>
  <c r="V3406" i="2" s="1"/>
  <c r="V3422" i="2" a="1"/>
  <c r="V3422" i="2" s="1"/>
  <c r="V3478" i="2" a="1"/>
  <c r="V3478" i="2" s="1"/>
  <c r="V3526" i="2" a="1"/>
  <c r="V3526" i="2" s="1"/>
  <c r="V3558" i="2" a="1"/>
  <c r="V3558" i="2" s="1"/>
  <c r="V3610" i="2" a="1"/>
  <c r="V3610" i="2" s="1"/>
  <c r="V3675" i="2" a="1"/>
  <c r="V3675" i="2" s="1"/>
  <c r="V3355" i="2" a="1"/>
  <c r="V3355" i="2" s="1"/>
  <c r="V3361" i="2" a="1"/>
  <c r="V3361" i="2" s="1"/>
  <c r="V3371" i="2" a="1"/>
  <c r="V3371" i="2" s="1"/>
  <c r="V3377" i="2" a="1"/>
  <c r="V3377" i="2" s="1"/>
  <c r="V3387" i="2" a="1"/>
  <c r="V3387" i="2" s="1"/>
  <c r="V3393" i="2" a="1"/>
  <c r="V3393" i="2" s="1"/>
  <c r="V3403" i="2" a="1"/>
  <c r="V3403" i="2" s="1"/>
  <c r="V3409" i="2" a="1"/>
  <c r="V3409" i="2" s="1"/>
  <c r="V3419" i="2" a="1"/>
  <c r="V3419" i="2" s="1"/>
  <c r="V3470" i="2" a="1"/>
  <c r="V3470" i="2" s="1"/>
  <c r="V3502" i="2" a="1"/>
  <c r="V3502" i="2" s="1"/>
  <c r="V3582" i="2" a="1"/>
  <c r="V3582" i="2" s="1"/>
  <c r="V3594" i="2" a="1"/>
  <c r="V3594" i="2" s="1"/>
  <c r="V3430" i="2" a="1"/>
  <c r="V3430" i="2" s="1"/>
  <c r="V3462" i="2" a="1"/>
  <c r="V3462" i="2" s="1"/>
  <c r="V3542" i="2" a="1"/>
  <c r="V3542" i="2" s="1"/>
  <c r="V3669" i="2" a="1"/>
  <c r="V3669" i="2" s="1"/>
  <c r="V3347" i="2" a="1"/>
  <c r="V3347" i="2" s="1"/>
  <c r="V3454" i="2" a="1"/>
  <c r="V3454" i="2" s="1"/>
  <c r="V3518" i="2" a="1"/>
  <c r="V3518" i="2" s="1"/>
  <c r="V3566" i="2" a="1"/>
  <c r="V3566" i="2" s="1"/>
  <c r="V3629" i="2" a="1"/>
  <c r="V3629" i="2" s="1"/>
  <c r="V3645" i="2" a="1"/>
  <c r="V3645" i="2" s="1"/>
  <c r="V3661" i="2" a="1"/>
  <c r="V3661" i="2" s="1"/>
  <c r="V3443" i="2" a="1"/>
  <c r="V3443" i="2" s="1"/>
  <c r="V3451" i="2" a="1"/>
  <c r="V3451" i="2" s="1"/>
  <c r="V3459" i="2" a="1"/>
  <c r="V3459" i="2" s="1"/>
  <c r="V3467" i="2" a="1"/>
  <c r="V3467" i="2" s="1"/>
  <c r="V3475" i="2" a="1"/>
  <c r="V3475" i="2" s="1"/>
  <c r="V3483" i="2" a="1"/>
  <c r="V3483" i="2" s="1"/>
  <c r="V3491" i="2" a="1"/>
  <c r="V3491" i="2" s="1"/>
  <c r="V3499" i="2" a="1"/>
  <c r="V3499" i="2" s="1"/>
  <c r="V3507" i="2" a="1"/>
  <c r="V3507" i="2" s="1"/>
  <c r="V3515" i="2" a="1"/>
  <c r="V3515" i="2" s="1"/>
  <c r="V3523" i="2" a="1"/>
  <c r="V3523" i="2" s="1"/>
  <c r="V3531" i="2" a="1"/>
  <c r="V3531" i="2" s="1"/>
  <c r="V3539" i="2" a="1"/>
  <c r="V3539" i="2" s="1"/>
  <c r="V3547" i="2" a="1"/>
  <c r="V3547" i="2" s="1"/>
  <c r="V3555" i="2" a="1"/>
  <c r="V3555" i="2" s="1"/>
  <c r="V3563" i="2" a="1"/>
  <c r="V3563" i="2" s="1"/>
  <c r="V3571" i="2" a="1"/>
  <c r="V3571" i="2" s="1"/>
  <c r="V3579" i="2" a="1"/>
  <c r="V3579" i="2" s="1"/>
  <c r="V3587" i="2" a="1"/>
  <c r="V3587" i="2" s="1"/>
  <c r="V3603" i="2" a="1"/>
  <c r="V3603" i="2" s="1"/>
  <c r="V3592" i="2" a="1"/>
  <c r="V3592" i="2" s="1"/>
  <c r="V3608" i="2" a="1"/>
  <c r="V3608" i="2" s="1"/>
  <c r="V3624" i="2" a="1"/>
  <c r="V3624" i="2" s="1"/>
  <c r="V3640" i="2" a="1"/>
  <c r="V3640" i="2" s="1"/>
  <c r="V3656" i="2" a="1"/>
  <c r="V3656" i="2" s="1"/>
  <c r="V3701" i="2" a="1"/>
  <c r="V3701" i="2" s="1"/>
  <c r="V3758" i="2" a="1"/>
  <c r="V3758" i="2" s="1"/>
  <c r="V3771" i="2" a="1"/>
  <c r="V3771" i="2" s="1"/>
  <c r="V3621" i="2" a="1"/>
  <c r="V3621" i="2" s="1"/>
  <c r="V3637" i="2" a="1"/>
  <c r="V3637" i="2" s="1"/>
  <c r="V3653" i="2" a="1"/>
  <c r="V3653" i="2" s="1"/>
  <c r="V3716" i="2" a="1"/>
  <c r="V3716" i="2" s="1"/>
  <c r="V3742" i="2" a="1"/>
  <c r="V3742" i="2" s="1"/>
  <c r="V3835" i="2" a="1"/>
  <c r="V3835" i="2" s="1"/>
  <c r="V3683" i="2" a="1"/>
  <c r="V3683" i="2" s="1"/>
  <c r="V3798" i="2" a="1"/>
  <c r="V3798" i="2" s="1"/>
  <c r="V3677" i="2" a="1"/>
  <c r="V3677" i="2" s="1"/>
  <c r="V3700" i="2" a="1"/>
  <c r="V3700" i="2" s="1"/>
  <c r="V3600" i="2" a="1"/>
  <c r="V3600" i="2" s="1"/>
  <c r="V3616" i="2" a="1"/>
  <c r="V3616" i="2" s="1"/>
  <c r="V3632" i="2" a="1"/>
  <c r="V3632" i="2" s="1"/>
  <c r="V3648" i="2" a="1"/>
  <c r="V3648" i="2" s="1"/>
  <c r="V3691" i="2" a="1"/>
  <c r="V3691" i="2" s="1"/>
  <c r="V3715" i="2" a="1"/>
  <c r="V3715" i="2" s="1"/>
  <c r="V3741" i="2" a="1"/>
  <c r="V3741" i="2" s="1"/>
  <c r="V3746" i="2" a="1"/>
  <c r="V3746" i="2" s="1"/>
  <c r="V3779" i="2" a="1"/>
  <c r="V3779" i="2" s="1"/>
  <c r="V3664" i="2" a="1"/>
  <c r="V3664" i="2" s="1"/>
  <c r="V3672" i="2" a="1"/>
  <c r="V3672" i="2" s="1"/>
  <c r="V3680" i="2" a="1"/>
  <c r="V3680" i="2" s="1"/>
  <c r="V3688" i="2" a="1"/>
  <c r="V3688" i="2" s="1"/>
  <c r="V3696" i="2" a="1"/>
  <c r="V3696" i="2" s="1"/>
  <c r="V3729" i="2" a="1"/>
  <c r="V3729" i="2" s="1"/>
  <c r="V3739" i="2" a="1"/>
  <c r="V3739" i="2" s="1"/>
  <c r="V3790" i="2" a="1"/>
  <c r="V3790" i="2" s="1"/>
  <c r="V3867" i="2" a="1"/>
  <c r="V3867" i="2" s="1"/>
  <c r="V3774" i="2" a="1"/>
  <c r="V3774" i="2" s="1"/>
  <c r="V3782" i="2" a="1"/>
  <c r="V3782" i="2" s="1"/>
  <c r="V3755" i="2" a="1"/>
  <c r="V3755" i="2" s="1"/>
  <c r="V3731" i="2" a="1"/>
  <c r="V3731" i="2" s="1"/>
  <c r="V3851" i="2" a="1"/>
  <c r="V3851" i="2" s="1"/>
  <c r="V3899" i="2" a="1"/>
  <c r="V3899" i="2" s="1"/>
  <c r="V3944" i="2" a="1"/>
  <c r="V3944" i="2" s="1"/>
  <c r="V3763" i="2" a="1"/>
  <c r="V3763" i="2" s="1"/>
  <c r="V3806" i="2" a="1"/>
  <c r="V3806" i="2" s="1"/>
  <c r="V3747" i="2" a="1"/>
  <c r="V3747" i="2" s="1"/>
  <c r="V3893" i="2" a="1"/>
  <c r="V3893" i="2" s="1"/>
  <c r="V3787" i="2" a="1"/>
  <c r="V3787" i="2" s="1"/>
  <c r="V3795" i="2" a="1"/>
  <c r="V3795" i="2" s="1"/>
  <c r="V3803" i="2" a="1"/>
  <c r="V3803" i="2" s="1"/>
  <c r="V3811" i="2" a="1"/>
  <c r="V3811" i="2" s="1"/>
  <c r="V3832" i="2" a="1"/>
  <c r="V3832" i="2" s="1"/>
  <c r="V3848" i="2" a="1"/>
  <c r="V3848" i="2" s="1"/>
  <c r="V3864" i="2" a="1"/>
  <c r="V3864" i="2" s="1"/>
  <c r="V3878" i="2" a="1"/>
  <c r="V3878" i="2" s="1"/>
  <c r="V3904" i="2" a="1"/>
  <c r="V3904" i="2" s="1"/>
  <c r="V3964" i="2" a="1"/>
  <c r="V3964" i="2" s="1"/>
  <c r="V3885" i="2" a="1"/>
  <c r="V3885" i="2" s="1"/>
  <c r="V3891" i="2" a="1"/>
  <c r="V3891" i="2" s="1"/>
  <c r="V3928" i="2" a="1"/>
  <c r="V3928" i="2" s="1"/>
  <c r="V3896" i="2" a="1"/>
  <c r="V3896" i="2" s="1"/>
  <c r="V3952" i="2" a="1"/>
  <c r="V3952" i="2" s="1"/>
  <c r="V4015" i="2" a="1"/>
  <c r="V4015" i="2" s="1"/>
  <c r="V3827" i="2" a="1"/>
  <c r="V3827" i="2" s="1"/>
  <c r="V3843" i="2" a="1"/>
  <c r="V3843" i="2" s="1"/>
  <c r="V3859" i="2" a="1"/>
  <c r="V3859" i="2" s="1"/>
  <c r="V3875" i="2" a="1"/>
  <c r="V3875" i="2" s="1"/>
  <c r="V3883" i="2" a="1"/>
  <c r="V3883" i="2" s="1"/>
  <c r="V3912" i="2" a="1"/>
  <c r="V3912" i="2" s="1"/>
  <c r="V3963" i="2" a="1"/>
  <c r="V3963" i="2" s="1"/>
  <c r="V4096" i="2" a="1"/>
  <c r="V4096" i="2" s="1"/>
  <c r="V4105" i="2" a="1"/>
  <c r="V4105" i="2" s="1"/>
  <c r="V3824" i="2" a="1"/>
  <c r="V3824" i="2" s="1"/>
  <c r="V3840" i="2" a="1"/>
  <c r="V3840" i="2" s="1"/>
  <c r="V3856" i="2" a="1"/>
  <c r="V3856" i="2" s="1"/>
  <c r="V3872" i="2" a="1"/>
  <c r="V3872" i="2" s="1"/>
  <c r="V3888" i="2" a="1"/>
  <c r="V3888" i="2" s="1"/>
  <c r="V3936" i="2" a="1"/>
  <c r="V3936" i="2" s="1"/>
  <c r="V3816" i="2" a="1"/>
  <c r="V3816" i="2" s="1"/>
  <c r="V3901" i="2" a="1"/>
  <c r="V3901" i="2" s="1"/>
  <c r="V3965" i="2" a="1"/>
  <c r="V3965" i="2" s="1"/>
  <c r="V4068" i="2" a="1"/>
  <c r="V4068" i="2" s="1"/>
  <c r="V3880" i="2" a="1"/>
  <c r="V3880" i="2" s="1"/>
  <c r="V3920" i="2" a="1"/>
  <c r="V3920" i="2" s="1"/>
  <c r="V3997" i="2" a="1"/>
  <c r="V3997" i="2" s="1"/>
  <c r="V3909" i="2" a="1"/>
  <c r="V3909" i="2" s="1"/>
  <c r="V3917" i="2" a="1"/>
  <c r="V3917" i="2" s="1"/>
  <c r="V3925" i="2" a="1"/>
  <c r="V3925" i="2" s="1"/>
  <c r="V3933" i="2" a="1"/>
  <c r="V3933" i="2" s="1"/>
  <c r="V3941" i="2" a="1"/>
  <c r="V3941" i="2" s="1"/>
  <c r="V3949" i="2" a="1"/>
  <c r="V3949" i="2" s="1"/>
  <c r="V4005" i="2" a="1"/>
  <c r="V4005" i="2" s="1"/>
  <c r="V4028" i="2" a="1"/>
  <c r="V4028" i="2" s="1"/>
  <c r="V4039" i="2" a="1"/>
  <c r="V4039" i="2" s="1"/>
  <c r="V4052" i="2" a="1"/>
  <c r="V4052" i="2" s="1"/>
  <c r="V4088" i="2" a="1"/>
  <c r="V4088" i="2" s="1"/>
  <c r="V3886" i="2" a="1"/>
  <c r="V3886" i="2" s="1"/>
  <c r="V3894" i="2" a="1"/>
  <c r="V3894" i="2" s="1"/>
  <c r="V3902" i="2" a="1"/>
  <c r="V3902" i="2" s="1"/>
  <c r="V3910" i="2" a="1"/>
  <c r="V3910" i="2" s="1"/>
  <c r="V3918" i="2" a="1"/>
  <c r="V3918" i="2" s="1"/>
  <c r="V3926" i="2" a="1"/>
  <c r="V3926" i="2" s="1"/>
  <c r="V3934" i="2" a="1"/>
  <c r="V3934" i="2" s="1"/>
  <c r="V3942" i="2" a="1"/>
  <c r="V3942" i="2" s="1"/>
  <c r="V3950" i="2" a="1"/>
  <c r="V3950" i="2" s="1"/>
  <c r="V3961" i="2" a="1"/>
  <c r="V3961" i="2" s="1"/>
  <c r="V3977" i="2" a="1"/>
  <c r="V3977" i="2" s="1"/>
  <c r="V3979" i="2" a="1"/>
  <c r="V3979" i="2" s="1"/>
  <c r="V3986" i="2" a="1"/>
  <c r="V3986" i="2" s="1"/>
  <c r="V4098" i="2" a="1"/>
  <c r="V4098" i="2" s="1"/>
  <c r="V3994" i="2" a="1"/>
  <c r="V3994" i="2" s="1"/>
  <c r="V4020" i="2" a="1"/>
  <c r="V4020" i="2" s="1"/>
  <c r="V4026" i="2" a="1"/>
  <c r="V4026" i="2" s="1"/>
  <c r="V4055" i="2" a="1"/>
  <c r="V4055" i="2" s="1"/>
  <c r="V4076" i="2" a="1"/>
  <c r="V4076" i="2" s="1"/>
  <c r="V4090" i="2" a="1"/>
  <c r="V4090" i="2" s="1"/>
  <c r="V4095" i="2" a="1"/>
  <c r="V4095" i="2" s="1"/>
  <c r="V4104" i="2" a="1"/>
  <c r="V4104" i="2" s="1"/>
  <c r="V3983" i="2" a="1"/>
  <c r="V3983" i="2" s="1"/>
  <c r="V4002" i="2" a="1"/>
  <c r="V4002" i="2" s="1"/>
  <c r="V4031" i="2" a="1"/>
  <c r="V4031" i="2" s="1"/>
  <c r="V4044" i="2" a="1"/>
  <c r="V4044" i="2" s="1"/>
  <c r="V4087" i="2" a="1"/>
  <c r="V4087" i="2" s="1"/>
  <c r="V3991" i="2" a="1"/>
  <c r="V3991" i="2" s="1"/>
  <c r="V4010" i="2" a="1"/>
  <c r="V4010" i="2" s="1"/>
  <c r="V4018" i="2" a="1"/>
  <c r="V4018" i="2" s="1"/>
  <c r="V4060" i="2" a="1"/>
  <c r="V4060" i="2" s="1"/>
  <c r="V4097" i="2" a="1"/>
  <c r="V4097" i="2" s="1"/>
  <c r="V4106" i="2" a="1"/>
  <c r="V4106" i="2" s="1"/>
  <c r="V3999" i="2" a="1"/>
  <c r="V3999" i="2" s="1"/>
  <c r="V4023" i="2" a="1"/>
  <c r="V4023" i="2" s="1"/>
  <c r="V4047" i="2" a="1"/>
  <c r="V4047" i="2" s="1"/>
  <c r="V4089" i="2" a="1"/>
  <c r="V4089" i="2" s="1"/>
  <c r="V4103" i="2" a="1"/>
  <c r="V4103" i="2" s="1"/>
  <c r="V3989" i="2" a="1"/>
  <c r="V3989" i="2" s="1"/>
  <c r="V4007" i="2" a="1"/>
  <c r="V4007" i="2" s="1"/>
  <c r="V4036" i="2" a="1"/>
  <c r="V4036" i="2" s="1"/>
  <c r="V4122" i="2" a="1"/>
  <c r="V4122" i="2" s="1"/>
  <c r="V4138" i="2" a="1"/>
  <c r="V4138" i="2" s="1"/>
  <c r="V4157" i="2" a="1"/>
  <c r="V4157" i="2" s="1"/>
  <c r="V4034" i="2" a="1"/>
  <c r="V4034" i="2" s="1"/>
  <c r="V4042" i="2" a="1"/>
  <c r="V4042" i="2" s="1"/>
  <c r="V4050" i="2" a="1"/>
  <c r="V4050" i="2" s="1"/>
  <c r="V4058" i="2" a="1"/>
  <c r="V4058" i="2" s="1"/>
  <c r="V4066" i="2" a="1"/>
  <c r="V4066" i="2" s="1"/>
  <c r="V4074" i="2" a="1"/>
  <c r="V4074" i="2" s="1"/>
  <c r="V4085" i="2" a="1"/>
  <c r="V4085" i="2" s="1"/>
  <c r="V4091" i="2" a="1"/>
  <c r="V4091" i="2" s="1"/>
  <c r="V4093" i="2" a="1"/>
  <c r="V4093" i="2" s="1"/>
  <c r="V4141" i="2" a="1"/>
  <c r="V4141" i="2" s="1"/>
  <c r="V4149" i="2" a="1"/>
  <c r="V4149" i="2" s="1"/>
  <c r="V4162" i="2" a="1"/>
  <c r="V4162" i="2" s="1"/>
  <c r="V4114" i="2" a="1"/>
  <c r="V4114" i="2" s="1"/>
  <c r="V4130" i="2" a="1"/>
  <c r="V4130" i="2" s="1"/>
  <c r="V4146" i="2" a="1"/>
  <c r="V4146" i="2" s="1"/>
  <c r="V4154" i="2" a="1"/>
  <c r="V4154" i="2" s="1"/>
  <c r="V4160" i="2" a="1"/>
  <c r="V4160" i="2" s="1"/>
  <c r="V4117" i="2" a="1"/>
  <c r="V4117" i="2" s="1"/>
  <c r="V4133" i="2" a="1"/>
  <c r="V4133" i="2" s="1"/>
  <c r="V4152" i="2" a="1"/>
  <c r="V4152" i="2" s="1"/>
  <c r="V4170" i="2" a="1"/>
  <c r="V4170" i="2" s="1"/>
  <c r="V4254" i="2" a="1"/>
  <c r="V4254" i="2" s="1"/>
  <c r="V4272" i="2" a="1"/>
  <c r="V4272" i="2" s="1"/>
  <c r="V4341" i="2" a="1"/>
  <c r="V4341" i="2" s="1"/>
  <c r="V4227" i="2" a="1"/>
  <c r="V4227" i="2" s="1"/>
  <c r="V4280" i="2" a="1"/>
  <c r="V4280" i="2" s="1"/>
  <c r="V4288" i="2" a="1"/>
  <c r="V4288" i="2" s="1"/>
  <c r="V4294" i="2" a="1"/>
  <c r="V4294" i="2" s="1"/>
  <c r="V4315" i="2" a="1"/>
  <c r="V4315" i="2" s="1"/>
  <c r="V4165" i="2" a="1"/>
  <c r="V4165" i="2" s="1"/>
  <c r="V4173" i="2" a="1"/>
  <c r="V4173" i="2" s="1"/>
  <c r="V4181" i="2" a="1"/>
  <c r="V4181" i="2" s="1"/>
  <c r="V4189" i="2" a="1"/>
  <c r="V4189" i="2" s="1"/>
  <c r="V4197" i="2" a="1"/>
  <c r="V4197" i="2" s="1"/>
  <c r="V4205" i="2" a="1"/>
  <c r="V4205" i="2" s="1"/>
  <c r="V4299" i="2" a="1"/>
  <c r="V4299" i="2" s="1"/>
  <c r="V4219" i="2" a="1"/>
  <c r="V4219" i="2" s="1"/>
  <c r="V4243" i="2" a="1"/>
  <c r="V4243" i="2" s="1"/>
  <c r="V4259" i="2" a="1"/>
  <c r="V4259" i="2" s="1"/>
  <c r="V4286" i="2" a="1"/>
  <c r="V4286" i="2" s="1"/>
  <c r="V4340" i="2" a="1"/>
  <c r="V4340" i="2" s="1"/>
  <c r="V4246" i="2" a="1"/>
  <c r="V4246" i="2" s="1"/>
  <c r="V4267" i="2" a="1"/>
  <c r="V4267" i="2" s="1"/>
  <c r="V4270" i="2" a="1"/>
  <c r="V4270" i="2" s="1"/>
  <c r="V4323" i="2" a="1"/>
  <c r="V4323" i="2" s="1"/>
  <c r="V4275" i="2" a="1"/>
  <c r="V4275" i="2" s="1"/>
  <c r="V4278" i="2" a="1"/>
  <c r="V4278" i="2" s="1"/>
  <c r="V4291" i="2" a="1"/>
  <c r="V4291" i="2" s="1"/>
  <c r="V4342" i="2" a="1"/>
  <c r="V4342" i="2" s="1"/>
  <c r="V4214" i="2" a="1"/>
  <c r="V4214" i="2" s="1"/>
  <c r="V4222" i="2" a="1"/>
  <c r="V4222" i="2" s="1"/>
  <c r="V4235" i="2" a="1"/>
  <c r="V4235" i="2" s="1"/>
  <c r="V4283" i="2" a="1"/>
  <c r="V4283" i="2" s="1"/>
  <c r="V4302" i="2" a="1"/>
  <c r="V4302" i="2" s="1"/>
  <c r="V4307" i="2" a="1"/>
  <c r="V4307" i="2" s="1"/>
  <c r="V4251" i="2" a="1"/>
  <c r="V4251" i="2" s="1"/>
  <c r="V4264" i="2" a="1"/>
  <c r="V4264" i="2" s="1"/>
  <c r="V4331" i="2" a="1"/>
  <c r="V4331" i="2" s="1"/>
  <c r="V4296" i="2" a="1"/>
  <c r="V4296" i="2" s="1"/>
  <c r="V4304" i="2" a="1"/>
  <c r="V4304" i="2" s="1"/>
  <c r="V4312" i="2" a="1"/>
  <c r="V4312" i="2" s="1"/>
  <c r="V4320" i="2" a="1"/>
  <c r="V4320" i="2" s="1"/>
  <c r="V4328" i="2" a="1"/>
  <c r="V4328" i="2" s="1"/>
  <c r="V4387" i="2" a="1"/>
  <c r="V4387" i="2" s="1"/>
  <c r="V4397" i="2" a="1"/>
  <c r="V4397" i="2" s="1"/>
  <c r="V4437" i="2" a="1"/>
  <c r="V4437" i="2" s="1"/>
  <c r="V4461" i="2" a="1"/>
  <c r="V4461" i="2" s="1"/>
  <c r="V4493" i="2" a="1"/>
  <c r="V4493" i="2" s="1"/>
  <c r="V4376" i="2" a="1"/>
  <c r="V4376" i="2" s="1"/>
  <c r="V4407" i="2" a="1"/>
  <c r="V4407" i="2" s="1"/>
  <c r="V4413" i="2" a="1"/>
  <c r="V4413" i="2" s="1"/>
  <c r="V4405" i="2" a="1"/>
  <c r="V4405" i="2" s="1"/>
  <c r="V4423" i="2" a="1"/>
  <c r="V4423" i="2" s="1"/>
  <c r="V4469" i="2" a="1"/>
  <c r="V4469" i="2" s="1"/>
  <c r="V4344" i="2" a="1"/>
  <c r="V4344" i="2" s="1"/>
  <c r="V4352" i="2" a="1"/>
  <c r="V4352" i="2" s="1"/>
  <c r="V4360" i="2" a="1"/>
  <c r="V4360" i="2" s="1"/>
  <c r="V4368" i="2" a="1"/>
  <c r="V4368" i="2" s="1"/>
  <c r="V4379" i="2" a="1"/>
  <c r="V4379" i="2" s="1"/>
  <c r="V4392" i="2" a="1"/>
  <c r="V4392" i="2" s="1"/>
  <c r="V4429" i="2" a="1"/>
  <c r="V4429" i="2" s="1"/>
  <c r="V4395" i="2" a="1"/>
  <c r="V4395" i="2" s="1"/>
  <c r="V4445" i="2" a="1"/>
  <c r="V4445" i="2" s="1"/>
  <c r="V4477" i="2" a="1"/>
  <c r="V4477" i="2" s="1"/>
  <c r="V4400" i="2" a="1"/>
  <c r="V4400" i="2" s="1"/>
  <c r="V4415" i="2" a="1"/>
  <c r="V4415" i="2" s="1"/>
  <c r="V4384" i="2" a="1"/>
  <c r="V4384" i="2" s="1"/>
  <c r="V4421" i="2" a="1"/>
  <c r="V4421" i="2" s="1"/>
  <c r="V4453" i="2" a="1"/>
  <c r="V4453" i="2" s="1"/>
  <c r="V4485" i="2" a="1"/>
  <c r="V4485" i="2" s="1"/>
  <c r="V4431" i="2" a="1"/>
  <c r="V4431" i="2" s="1"/>
  <c r="V4501" i="2" a="1"/>
  <c r="V45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7068A8-C62F-46EE-852B-72F6FF074CBC}" keepAlive="1" name="Consulta - datos siembra" description="Conexión a la consulta 'datos siembra' en el libro." type="5" refreshedVersion="8" background="1" saveData="1">
    <dbPr connection="Provider=Microsoft.Mashup.OleDb.1;Data Source=$Workbook$;Location=&quot;datos siembra&quot;;Extended Properties=&quot;&quot;" command="SELECT * FROM [datos siembr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<sst xmlns="http://schemas.openxmlformats.org/spreadsheetml/2006/main" count="33" uniqueCount="33">
  <si>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S1</t>
  </si>
  <si>
    <t>S2</t>
  </si>
  <si>
    <t>S3</t>
  </si>
  <si>
    <t>S4</t>
  </si>
  <si>
    <t>S10</t>
  </si>
  <si>
    <t>S9</t>
  </si>
  <si>
    <t>C1</t>
  </si>
  <si>
    <t>C2</t>
  </si>
  <si>
    <t>C3</t>
  </si>
  <si>
    <t>C4</t>
  </si>
  <si>
    <t>C5</t>
  </si>
  <si>
    <t>C6</t>
  </si>
  <si>
    <t>C7</t>
  </si>
  <si>
    <t>C8</t>
  </si>
  <si>
    <t>A1</t>
  </si>
  <si>
    <t>A2</t>
  </si>
  <si>
    <t>Date</t>
  </si>
  <si>
    <t>Hour</t>
  </si>
  <si>
    <t>Average</t>
  </si>
  <si>
    <t>Day</t>
  </si>
  <si>
    <t>Day of the week</t>
  </si>
  <si>
    <t>Day of the month</t>
  </si>
  <si>
    <t>Day of the week2</t>
  </si>
  <si>
    <t>Week of the month</t>
  </si>
  <si>
    <t>Month</t>
  </si>
  <si>
    <t>Process</t>
  </si>
  <si>
    <t>Hour3</t>
  </si>
  <si>
    <t>START DAY</t>
  </si>
  <si>
    <t>DATE</t>
  </si>
  <si>
    <t>HOUR</t>
  </si>
  <si>
    <t>HourH</t>
  </si>
  <si>
    <t>DayH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</si>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</sst>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F400]h:mm:ss\ AM/PM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/m/yyyy"/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5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ndy_/Documents/Desktop/guipi/prototipo%20dashboard%20camaras/temperaturas%20camaras/prototipo%20dashboard12.xlsx" TargetMode="External"/><Relationship Id="rId2" Type="http://schemas.openxmlformats.org/officeDocument/2006/relationships/externalLinkPath" Target="file:///C:\Users\andy_\Documents\Desktop\guipi\prototipo%20dashboard%20camaras\temperaturas%20camaras\prototipo%20dashboard12.xlsx" TargetMode="External"/><Relationship Id="rId1" Type="http://schemas.openxmlformats.org/officeDocument/2006/relationships/externalLinkPath" Target="/Users/andy_/Documents/Desktop/guipi/prototipo%20dashboard%20camaras/temperaturas%20camaras/prototipo%20dashboard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os siembra"/>
      <sheetName val="datos hojas"/>
      <sheetName val="Temperatura aire"/>
      <sheetName val="temperatura individual cama"/>
      <sheetName val="promedio temperatura camas"/>
      <sheetName val="max-min"/>
      <sheetName val="Dashboard"/>
      <sheetName val="prototipo dashboard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FF0567-BABE-45E0-A1FE-1D9F74E3F393}" autoFormatId="16" applyNumberFormats="0" applyBorderFormats="0" applyFontFormats="0" applyPatternFormats="0" applyAlignmentFormats="0" applyWidthHeightFormats="0">
  <queryTableRefresh nextId="48" unboundColumnsRight="7">
    <queryTableFields count="22">
      <queryTableField id="1" name="Fecha" tableColumnId="1"/>
      <queryTableField id="4" name="Hora" tableColumnId="4"/>
      <queryTableField id="5" name="C1" tableColumnId="5"/>
      <queryTableField id="6" name="C2" tableColumnId="6"/>
      <queryTableField id="7" name="C3" tableColumnId="7"/>
      <queryTableField id="8" name="C4" tableColumnId="8"/>
      <queryTableField id="9" name="C5" tableColumnId="9"/>
      <queryTableField id="10" name="C6" tableColumnId="10"/>
      <queryTableField id="11" name="C7" tableColumnId="11"/>
      <queryTableField id="12" name="C8" tableColumnId="12"/>
      <queryTableField id="13" name="A1" tableColumnId="13"/>
      <queryTableField id="14" name="A2" tableColumnId="14"/>
      <queryTableField id="15" name="Promedio" tableColumnId="15"/>
      <queryTableField id="28" name="Día" tableColumnId="2"/>
      <queryTableField id="29" name="Día de la semana" tableColumnId="3"/>
      <queryTableField id="22" dataBound="0" tableColumnId="28"/>
      <queryTableField id="23" dataBound="0" tableColumnId="29"/>
      <queryTableField id="24" dataBound="0" tableColumnId="30"/>
      <queryTableField id="25" dataBound="0" tableColumnId="31"/>
      <queryTableField id="26" dataBound="0" tableColumnId="32"/>
      <queryTableField id="27" dataBound="0" tableColumnId="33"/>
      <queryTableField id="46" dataBound="0" tableColumnId="17"/>
    </queryTableFields>
    <queryTableDeletedFields count="2">
      <deletedField name="Día"/>
      <deletedField name="Día de la seman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C1D4D1-108E-44A5-9840-0FDD5D9128D7}" name="datos_siembra" displayName="datos_siembra" ref="A1:V4506" tableType="queryTable" totalsRowShown="0">
  <autoFilter ref="A1:V4506" xr:uid="{32C6FDCC-2C1B-4622-A63B-C5CA09B6199C}"/>
  <tableColumns count="22">
    <tableColumn id="1" xr3:uid="{CE1A5C9A-322B-4696-944E-5406AB46EE03}" uniqueName="1" name="Date" queryTableFieldId="1" dataDxfId="12"/>
    <tableColumn id="4" xr3:uid="{FED9CB9F-DE44-48AD-BBE3-4A31DD5968D6}" uniqueName="4" name="Hour" queryTableFieldId="4" dataDxfId="11"/>
    <tableColumn id="5" xr3:uid="{1BDADA9F-DC80-46C9-9073-A2AB6737A3F4}" uniqueName="5" name="C1" queryTableFieldId="5"/>
    <tableColumn id="6" xr3:uid="{A53015CB-3930-4844-9A10-37D713300AB7}" uniqueName="6" name="C2" queryTableFieldId="6"/>
    <tableColumn id="7" xr3:uid="{EA6571F2-C1CA-4D2A-97C6-F9D974A8DD5E}" uniqueName="7" name="C3" queryTableFieldId="7"/>
    <tableColumn id="8" xr3:uid="{EA76F6B3-97D9-4025-A9B3-8C6674A5191C}" uniqueName="8" name="C4" queryTableFieldId="8"/>
    <tableColumn id="9" xr3:uid="{2E7385E0-56A0-4108-AC02-6E5E98369B3F}" uniqueName="9" name="C5" queryTableFieldId="9"/>
    <tableColumn id="10" xr3:uid="{F6DF9666-BE21-4104-9E7C-8AFE607FD3AB}" uniqueName="10" name="C6" queryTableFieldId="10"/>
    <tableColumn id="11" xr3:uid="{9302B9DE-F92B-47FC-B2EB-9E5CE1CBB024}" uniqueName="11" name="C7" queryTableFieldId="11"/>
    <tableColumn id="12" xr3:uid="{0939706A-AA10-4938-9CAD-9038D381ABB9}" uniqueName="12" name="C8" queryTableFieldId="12"/>
    <tableColumn id="13" xr3:uid="{E9932CAF-79B6-4950-B005-84052C603693}" uniqueName="13" name="A1" queryTableFieldId="13"/>
    <tableColumn id="14" xr3:uid="{3E7F5C29-E9E5-4506-9E03-6A0E33A331D4}" uniqueName="14" name="A2" queryTableFieldId="14"/>
    <tableColumn id="15" xr3:uid="{C046A2E3-2E72-4055-A0D3-0BBD24A16C3D}" uniqueName="15" name="Average" queryTableFieldId="15"/>
    <tableColumn id="2" xr3:uid="{3BE2DB28-B60B-40D6-BFAA-F41108073110}" uniqueName="2" name="Day" queryTableFieldId="28"/>
    <tableColumn id="3" xr3:uid="{467B7535-4941-4B85-A68F-12471AE3D1E0}" uniqueName="3" name="Day of the week" queryTableFieldId="29"/>
    <tableColumn id="28" xr3:uid="{6D76174F-0C26-49E8-A5EF-A2FC3B3F351D}" uniqueName="28" name="Day of the month" queryTableFieldId="22" dataDxfId="10">
      <calculatedColumnFormula>MOD(DAY(datos_siembra[[#This Row],[Date]]),7)</calculatedColumnFormula>
    </tableColumn>
    <tableColumn id="29" xr3:uid="{B2F74E97-AEC7-46A2-8D77-9C4F78C8CF44}" uniqueName="29" name="Day of the week2" queryTableFieldId="23" dataDxfId="9">
      <calculatedColumnFormula>CHOOSE(WEEKDAY(datos_siembra[[#This Row],[Date]],2),"L","M","X","J","V","S","D")</calculatedColumnFormula>
    </tableColumn>
    <tableColumn id="30" xr3:uid="{EBF656B4-31D1-440C-A0FD-8E3A74F7C7EB}" uniqueName="30" name="Week of the month" queryTableFieldId="24" dataDxfId="8">
      <calculatedColumnFormula>WEEKNUM(datos_siembra[[#This Row],[Date]],2)-WEEKNUM(DATE(YEAR(datos_siembra[[#This Row],[Date]]),MONTH(datos_siembra[[#This Row],[Date]]),1))+1</calculatedColumnFormula>
    </tableColumn>
    <tableColumn id="31" xr3:uid="{CFEAB602-04CB-4BDD-8F0E-31AAB9B9F69D}" uniqueName="31" name="Month" queryTableFieldId="25" dataDxfId="7">
      <calculatedColumnFormula>MONTH(datos_siembra[[#This Row],[Date]])</calculatedColumnFormula>
    </tableColumn>
    <tableColumn id="32" xr3:uid="{8AE38FCC-C315-444E-92C6-A7B3A156F0AD}" uniqueName="32" name="Process" queryTableFieldId="26" dataDxfId="6">
      <calculatedColumnFormula array="1">_xlfn.IFS(AND(N2&lt;= 22, S2=9), "SIEMBRA",AND(N2&lt;= 28, S2=9), "COBERTURA",AND(N2&lt;= 30, S2=9), "FLUSH",AND(N2&lt;= 11, S2=10), "FLUSH",AND(N2&lt;= 21, S2=10), "PRODUCCIÓN")</calculatedColumnFormula>
    </tableColumn>
    <tableColumn id="33" xr3:uid="{D0827033-E28B-43DD-89C7-24C16277E741}" uniqueName="33" name="Hour3" queryTableFieldId="27" dataDxfId="5">
      <calculatedColumnFormula>HOUR(datos_siembra[[#This Row],[Hour]])</calculatedColumnFormula>
    </tableColumn>
    <tableColumn id="17" xr3:uid="{51848D42-FF3D-4C70-BE8C-78C2AC83BE6E}" uniqueName="17" name="START DAY" queryTableFieldId="46" dataDxfId="4">
      <calculatedColumnFormula array="1">_xlfn.IFS(AND(N2&lt;= 22, S2=9), N2-7,AND(N2&lt;= 28, S2=9), N2-25,AND(N2&lt;= 30, S2=9), N2-28,AND(N2&lt;= 11, S2=10), N2+2,AND(N2&lt;= 21, S2=10), N2-11)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1F754-35CF-447E-80F0-7E414CA4D145}" name="Tabla2" displayName="Tabla2" ref="A1:K55" totalsRowShown="0">
  <autoFilter ref="A1:K55" xr:uid="{7F8235E1-3806-4078-9FEA-C48E66C84DC9}"/>
  <tableColumns count="11">
    <tableColumn id="1" xr3:uid="{FAC75F94-4255-408B-B490-4C335793DD44}" name="DATE" dataDxfId="3"/>
    <tableColumn id="2" xr3:uid="{39669A41-822A-4B73-B8E2-E9CAE281B96E}" name="HOUR" dataDxfId="2"/>
    <tableColumn id="3" xr3:uid="{B2F48F0B-55F2-4DF8-85E4-B8D0EF0ED7E9}" name="S1"/>
    <tableColumn id="4" xr3:uid="{F701754A-FC3D-4EC0-A571-5F2FD89E0027}" name="S2"/>
    <tableColumn id="5" xr3:uid="{08C65DFE-7594-46C8-88DB-2A7FE9ED0CE3}" name="S3"/>
    <tableColumn id="6" xr3:uid="{93CFF8BA-0C56-441B-8269-D8C6C1A4BDB6}" name="S4"/>
    <tableColumn id="7" xr3:uid="{8C18A829-A30A-4904-AB95-9527AF3E997B}" name="AVERAGE"/>
    <tableColumn id="8" xr3:uid="{679CFF8C-1764-4EAC-9E1F-41083AC7EF45}" name="S10"/>
    <tableColumn id="9" xr3:uid="{72C74374-430D-48B2-B0DB-25BFB644A9E4}" name="S9"/>
    <tableColumn id="11" xr3:uid="{95759F49-534D-4B79-BB9C-AD6D5DB31EDA}" name="HourH" dataDxfId="1">
      <calculatedColumnFormula>HOUR(Tabla2[[#This Row],[HOUR]])</calculatedColumnFormula>
    </tableColumn>
    <tableColumn id="12" xr3:uid="{C15E7939-920B-49D3-9F16-8193AE542AE7}" name="DayH" dataDxfId="0">
      <calculatedColumnFormula>DAY(Tabla2[[#This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A104-DE4D-42C4-9896-50ED3793D053}">
  <dimension ref="A1:V4506"/>
  <sheetViews>
    <sheetView tabSelected="1" zoomScale="85" zoomScaleNormal="85" workbookViewId="0">
      <selection activeCell="Q4" sqref="Q4"/>
    </sheetView>
  </sheetViews>
  <sheetFormatPr baseColWidth="10" defaultRowHeight="14.5" x14ac:dyDescent="0.35"/>
  <cols>
    <col min="1" max="1" width="10.81640625" bestFit="1" customWidth="1"/>
    <col min="2" max="2" width="8.1796875" bestFit="1" customWidth="1"/>
    <col min="3" max="10" width="5.54296875" bestFit="1" customWidth="1"/>
    <col min="11" max="12" width="5.90625" bestFit="1" customWidth="1"/>
    <col min="13" max="13" width="12.1796875" bestFit="1" customWidth="1"/>
    <col min="14" max="14" width="6.36328125" bestFit="1" customWidth="1"/>
    <col min="15" max="15" width="18.54296875" bestFit="1" customWidth="1"/>
    <col min="16" max="16" width="13.6328125" bestFit="1" customWidth="1"/>
    <col min="17" max="17" width="19.6328125" bestFit="1" customWidth="1"/>
    <col min="18" max="18" width="18.453125" bestFit="1" customWidth="1"/>
    <col min="19" max="19" width="7.6328125" bestFit="1" customWidth="1"/>
    <col min="20" max="20" width="12.81640625" bestFit="1" customWidth="1"/>
    <col min="21" max="21" width="8.90625" bestFit="1" customWidth="1"/>
    <col min="22" max="22" width="12.6328125" bestFit="1" customWidth="1"/>
  </cols>
  <sheetData>
    <row r="1" spans="1:22" x14ac:dyDescent="0.35">
      <c r="A1" t="s">
        <v>16</v>
      </c>
      <c r="B1" t="s">
        <v>17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</row>
    <row r="2" spans="1:22" x14ac:dyDescent="0.35">
      <c r="A2" s="4">
        <v>45543</v>
      </c>
      <c r="B2" s="5">
        <v>0.56737268518518513</v>
      </c>
      <c r="C2">
        <v>79.400000000000006</v>
      </c>
      <c r="D2">
        <v>81.599999999999994</v>
      </c>
      <c r="E2">
        <v>80.5</v>
      </c>
      <c r="F2">
        <v>77.3</v>
      </c>
      <c r="G2">
        <v>0</v>
      </c>
      <c r="H2">
        <v>0</v>
      </c>
      <c r="I2">
        <v>0</v>
      </c>
      <c r="J2">
        <v>0</v>
      </c>
      <c r="K2">
        <v>69.099999999999994</v>
      </c>
      <c r="L2">
        <v>68.099999999999994</v>
      </c>
      <c r="M2">
        <v>79.7</v>
      </c>
      <c r="N2">
        <v>8</v>
      </c>
      <c r="O2">
        <v>5</v>
      </c>
      <c r="P2">
        <f>MOD(DAY(datos_siembra[[#This Row],[Date]]),7)</f>
        <v>1</v>
      </c>
      <c r="Q2" t="str">
        <f>CHOOSE(WEEKDAY(datos_siembra[[#This Row],[Date]],2),"L","M","X","J","V","S","D")</f>
        <v>D</v>
      </c>
      <c r="R2">
        <f>WEEKNUM(datos_siembra[[#This Row],[Date]],2)-WEEKNUM(DATE(YEAR(datos_siembra[[#This Row],[Date]]),MONTH(datos_siembra[[#This Row],[Date]]),1))+1</f>
        <v>1</v>
      </c>
      <c r="S2">
        <f>MONTH(datos_siembra[[#This Row],[Date]])</f>
        <v>9</v>
      </c>
      <c r="T2" t="str" cm="1">
        <f t="array" ref="T2">_xlfn.IFS(AND(N2&lt;= 22, S2=9), "SOWING",AND(N2&lt;= 28, S2=9), "COVERAGE",AND(N2&lt;= 30, S2=9), "FLUSH",AND(N2&lt;= 11, S2=10), "FLUSH",AND(N2&lt;= 21, S2=10), "PRODUCTION")</f>
        <v>SOWING</v>
      </c>
      <c r="U2">
        <f>HOUR(datos_siembra[[#This Row],[Hour]])</f>
        <v>13</v>
      </c>
      <c r="V2" cm="1">
        <f t="array" ref="V2">_xlfn.IFS(AND(N2&lt;= 22, S2=9), N2-7,AND(N2&lt;= 28, S2=9), N2-25,AND(N2&lt;= 30, S2=9), N2-28,AND(N2&lt;= 11, S2=10), N2+2,AND(N2&lt;= 21, S2=10), N2-11)</f>
        <v>1</v>
      </c>
    </row>
    <row r="3" spans="1:22" x14ac:dyDescent="0.35">
      <c r="A3" s="4">
        <v>45543</v>
      </c>
      <c r="B3" s="5">
        <v>0.57418981481481479</v>
      </c>
      <c r="C3">
        <v>79.599999999999994</v>
      </c>
      <c r="D3">
        <v>81.599999999999994</v>
      </c>
      <c r="E3">
        <v>80.8</v>
      </c>
      <c r="F3">
        <v>77.2</v>
      </c>
      <c r="G3">
        <v>0</v>
      </c>
      <c r="H3">
        <v>0</v>
      </c>
      <c r="I3">
        <v>0</v>
      </c>
      <c r="J3">
        <v>0</v>
      </c>
      <c r="K3">
        <v>69.400000000000006</v>
      </c>
      <c r="L3">
        <v>68.8</v>
      </c>
      <c r="M3">
        <v>79.84</v>
      </c>
      <c r="N3">
        <v>8</v>
      </c>
      <c r="O3">
        <v>5</v>
      </c>
      <c r="P3">
        <f>MOD(DAY(datos_siembra[[#This Row],[Date]]),7)</f>
        <v>1</v>
      </c>
      <c r="Q3" t="str">
        <f>CHOOSE(WEEKDAY(datos_siembra[[#This Row],[Date]],2),"L","M","X","J","V","S","D")</f>
        <v>D</v>
      </c>
      <c r="R3">
        <f>WEEKNUM(datos_siembra[[#This Row],[Date]],2)-WEEKNUM(DATE(YEAR(datos_siembra[[#This Row],[Date]]),MONTH(datos_siembra[[#This Row],[Date]]),1))+1</f>
        <v>1</v>
      </c>
      <c r="S3">
        <f>MONTH(datos_siembra[[#This Row],[Date]])</f>
        <v>9</v>
      </c>
      <c r="T3" t="str" cm="1">
        <f t="array" ref="T3">_xlfn.IFS(AND(N3&lt;= 22, S3=9), "SOWING",AND(N3&lt;= 28, S3=9), "COVERAGE",AND(N3&lt;= 30, S3=9), "FLUSH",AND(N3&lt;= 11, S3=10), "FLUSH",AND(N3&lt;= 21, S3=10), "PRODUCTION")</f>
        <v>SOWING</v>
      </c>
      <c r="U3">
        <f>HOUR(datos_siembra[[#This Row],[Hour]])</f>
        <v>13</v>
      </c>
      <c r="V3" cm="1">
        <f t="array" ref="V3">_xlfn.IFS(AND(N3&lt;= 22, S3=9), N3-7,AND(N3&lt;= 28, S3=9), N3-25,AND(N3&lt;= 30, S3=9), N3-28,AND(N3&lt;= 11, S3=10), N3+2,AND(N3&lt;= 21, S3=10), N3-11)</f>
        <v>1</v>
      </c>
    </row>
    <row r="4" spans="1:22" x14ac:dyDescent="0.35">
      <c r="A4" s="4">
        <v>45543</v>
      </c>
      <c r="B4" s="5">
        <v>0.58114583333333336</v>
      </c>
      <c r="C4">
        <v>79.599999999999994</v>
      </c>
      <c r="D4">
        <v>81.599999999999994</v>
      </c>
      <c r="E4">
        <v>80.900000000000006</v>
      </c>
      <c r="F4">
        <v>77.2</v>
      </c>
      <c r="G4">
        <v>0</v>
      </c>
      <c r="H4">
        <v>0</v>
      </c>
      <c r="I4">
        <v>0</v>
      </c>
      <c r="J4">
        <v>0</v>
      </c>
      <c r="K4">
        <v>70.099999999999994</v>
      </c>
      <c r="L4">
        <v>68.7</v>
      </c>
      <c r="M4">
        <v>79.900000000000006</v>
      </c>
      <c r="N4">
        <v>8</v>
      </c>
      <c r="O4">
        <v>5</v>
      </c>
      <c r="P4">
        <f>MOD(DAY(datos_siembra[[#This Row],[Date]]),7)</f>
        <v>1</v>
      </c>
      <c r="Q4" t="str">
        <f>CHOOSE(WEEKDAY(datos_siembra[[#This Row],[Date]],2),"L","M","X","J","V","S","D")</f>
        <v>D</v>
      </c>
      <c r="R4">
        <f>WEEKNUM(datos_siembra[[#This Row],[Date]],2)-WEEKNUM(DATE(YEAR(datos_siembra[[#This Row],[Date]]),MONTH(datos_siembra[[#This Row],[Date]]),1))+1</f>
        <v>1</v>
      </c>
      <c r="S4">
        <f>MONTH(datos_siembra[[#This Row],[Date]])</f>
        <v>9</v>
      </c>
      <c r="T4" t="str" cm="1">
        <f t="array" ref="T4">_xlfn.IFS(AND(N4&lt;= 22, S4=9), "SOWING",AND(N4&lt;= 28, S4=9), "COVERAGE",AND(N4&lt;= 30, S4=9), "FLUSH",AND(N4&lt;= 11, S4=10), "FLUSH",AND(N4&lt;= 21, S4=10), "PRODUCTION")</f>
        <v>SOWING</v>
      </c>
      <c r="U4">
        <f>HOUR(datos_siembra[[#This Row],[Hour]])</f>
        <v>13</v>
      </c>
      <c r="V4" cm="1">
        <f t="array" ref="V4">_xlfn.IFS(AND(N4&lt;= 22, S4=9), N4-7,AND(N4&lt;= 28, S4=9), N4-25,AND(N4&lt;= 30, S4=9), N4-28,AND(N4&lt;= 11, S4=10), N4+2,AND(N4&lt;= 21, S4=10), N4-11)</f>
        <v>1</v>
      </c>
    </row>
    <row r="5" spans="1:22" x14ac:dyDescent="0.35">
      <c r="A5" s="4">
        <v>45543</v>
      </c>
      <c r="B5" s="5">
        <v>0.58809027777777778</v>
      </c>
      <c r="C5">
        <v>79.599999999999994</v>
      </c>
      <c r="D5">
        <v>81.7</v>
      </c>
      <c r="E5">
        <v>81.099999999999994</v>
      </c>
      <c r="F5">
        <v>77.2</v>
      </c>
      <c r="G5">
        <v>0</v>
      </c>
      <c r="H5">
        <v>0</v>
      </c>
      <c r="I5">
        <v>0</v>
      </c>
      <c r="J5">
        <v>0</v>
      </c>
      <c r="K5">
        <v>70.599999999999994</v>
      </c>
      <c r="L5">
        <v>68.3</v>
      </c>
      <c r="M5">
        <v>79.84</v>
      </c>
      <c r="N5">
        <v>8</v>
      </c>
      <c r="O5">
        <v>5</v>
      </c>
      <c r="P5">
        <f>MOD(DAY(datos_siembra[[#This Row],[Date]]),7)</f>
        <v>1</v>
      </c>
      <c r="Q5" t="str">
        <f>CHOOSE(WEEKDAY(datos_siembra[[#This Row],[Date]],2),"L","M","X","J","V","S","D")</f>
        <v>D</v>
      </c>
      <c r="R5">
        <f>WEEKNUM(datos_siembra[[#This Row],[Date]],2)-WEEKNUM(DATE(YEAR(datos_siembra[[#This Row],[Date]]),MONTH(datos_siembra[[#This Row],[Date]]),1))+1</f>
        <v>1</v>
      </c>
      <c r="S5">
        <f>MONTH(datos_siembra[[#This Row],[Date]])</f>
        <v>9</v>
      </c>
      <c r="T5" t="str" cm="1">
        <f t="array" ref="T5">_xlfn.IFS(AND(N5&lt;= 22, S5=9), "SOWING",AND(N5&lt;= 28, S5=9), "COVERAGE",AND(N5&lt;= 30, S5=9), "FLUSH",AND(N5&lt;= 11, S5=10), "FLUSH",AND(N5&lt;= 21, S5=10), "PRODUCTION")</f>
        <v>SOWING</v>
      </c>
      <c r="U5">
        <f>HOUR(datos_siembra[[#This Row],[Hour]])</f>
        <v>14</v>
      </c>
      <c r="V5" cm="1">
        <f t="array" ref="V5">_xlfn.IFS(AND(N5&lt;= 22, S5=9), N5-7,AND(N5&lt;= 28, S5=9), N5-25,AND(N5&lt;= 30, S5=9), N5-28,AND(N5&lt;= 11, S5=10), N5+2,AND(N5&lt;= 21, S5=10), N5-11)</f>
        <v>1</v>
      </c>
    </row>
    <row r="6" spans="1:22" x14ac:dyDescent="0.35">
      <c r="A6" s="4">
        <v>45543</v>
      </c>
      <c r="B6" s="5">
        <v>0.5950347222222222</v>
      </c>
      <c r="C6">
        <v>79.599999999999994</v>
      </c>
      <c r="D6">
        <v>81.599999999999994</v>
      </c>
      <c r="E6">
        <v>81.2</v>
      </c>
      <c r="F6">
        <v>77.2</v>
      </c>
      <c r="G6">
        <v>0</v>
      </c>
      <c r="H6">
        <v>0</v>
      </c>
      <c r="I6">
        <v>0</v>
      </c>
      <c r="J6">
        <v>0</v>
      </c>
      <c r="K6">
        <v>69.599999999999994</v>
      </c>
      <c r="L6">
        <v>67.900000000000006</v>
      </c>
      <c r="M6">
        <v>79.900000000000006</v>
      </c>
      <c r="N6">
        <v>8</v>
      </c>
      <c r="O6">
        <v>5</v>
      </c>
      <c r="P6">
        <f>MOD(DAY(datos_siembra[[#This Row],[Date]]),7)</f>
        <v>1</v>
      </c>
      <c r="Q6" t="str">
        <f>CHOOSE(WEEKDAY(datos_siembra[[#This Row],[Date]],2),"L","M","X","J","V","S","D")</f>
        <v>D</v>
      </c>
      <c r="R6">
        <f>WEEKNUM(datos_siembra[[#This Row],[Date]],2)-WEEKNUM(DATE(YEAR(datos_siembra[[#This Row],[Date]]),MONTH(datos_siembra[[#This Row],[Date]]),1))+1</f>
        <v>1</v>
      </c>
      <c r="S6">
        <f>MONTH(datos_siembra[[#This Row],[Date]])</f>
        <v>9</v>
      </c>
      <c r="T6" t="str" cm="1">
        <f t="array" ref="T6">_xlfn.IFS(AND(N6&lt;= 22, S6=9), "SOWING",AND(N6&lt;= 28, S6=9), "COVERAGE",AND(N6&lt;= 30, S6=9), "FLUSH",AND(N6&lt;= 11, S6=10), "FLUSH",AND(N6&lt;= 21, S6=10), "PRODUCTION")</f>
        <v>SOWING</v>
      </c>
      <c r="U6">
        <f>HOUR(datos_siembra[[#This Row],[Hour]])</f>
        <v>14</v>
      </c>
      <c r="V6" cm="1">
        <f t="array" ref="V6">_xlfn.IFS(AND(N6&lt;= 22, S6=9), N6-7,AND(N6&lt;= 28, S6=9), N6-25,AND(N6&lt;= 30, S6=9), N6-28,AND(N6&lt;= 11, S6=10), N6+2,AND(N6&lt;= 21, S6=10), N6-11)</f>
        <v>1</v>
      </c>
    </row>
    <row r="7" spans="1:22" x14ac:dyDescent="0.35">
      <c r="A7" s="4">
        <v>45543</v>
      </c>
      <c r="B7" s="5">
        <v>0.60199074074074077</v>
      </c>
      <c r="C7">
        <v>79.8</v>
      </c>
      <c r="D7">
        <v>81.599999999999994</v>
      </c>
      <c r="E7">
        <v>81.099999999999994</v>
      </c>
      <c r="F7">
        <v>77.2</v>
      </c>
      <c r="G7">
        <v>0</v>
      </c>
      <c r="H7">
        <v>0</v>
      </c>
      <c r="I7">
        <v>0</v>
      </c>
      <c r="J7">
        <v>0</v>
      </c>
      <c r="K7">
        <v>69.099999999999994</v>
      </c>
      <c r="L7">
        <v>67.5</v>
      </c>
      <c r="M7">
        <v>79.95</v>
      </c>
      <c r="N7">
        <v>8</v>
      </c>
      <c r="O7">
        <v>5</v>
      </c>
      <c r="P7">
        <f>MOD(DAY(datos_siembra[[#This Row],[Date]]),7)</f>
        <v>1</v>
      </c>
      <c r="Q7" t="str">
        <f>CHOOSE(WEEKDAY(datos_siembra[[#This Row],[Date]],2),"L","M","X","J","V","S","D")</f>
        <v>D</v>
      </c>
      <c r="R7">
        <f>WEEKNUM(datos_siembra[[#This Row],[Date]],2)-WEEKNUM(DATE(YEAR(datos_siembra[[#This Row],[Date]]),MONTH(datos_siembra[[#This Row],[Date]]),1))+1</f>
        <v>1</v>
      </c>
      <c r="S7">
        <f>MONTH(datos_siembra[[#This Row],[Date]])</f>
        <v>9</v>
      </c>
      <c r="T7" t="str" cm="1">
        <f t="array" ref="T7">_xlfn.IFS(AND(N7&lt;= 22, S7=9), "SOWING",AND(N7&lt;= 28, S7=9), "COVERAGE",AND(N7&lt;= 30, S7=9), "FLUSH",AND(N7&lt;= 11, S7=10), "FLUSH",AND(N7&lt;= 21, S7=10), "PRODUCTION")</f>
        <v>SOWING</v>
      </c>
      <c r="U7">
        <f>HOUR(datos_siembra[[#This Row],[Hour]])</f>
        <v>14</v>
      </c>
      <c r="V7" cm="1">
        <f t="array" ref="V7">_xlfn.IFS(AND(N7&lt;= 22, S7=9), N7-7,AND(N7&lt;= 28, S7=9), N7-25,AND(N7&lt;= 30, S7=9), N7-28,AND(N7&lt;= 11, S7=10), N7+2,AND(N7&lt;= 21, S7=10), N7-11)</f>
        <v>1</v>
      </c>
    </row>
    <row r="8" spans="1:22" x14ac:dyDescent="0.35">
      <c r="A8" s="4">
        <v>45543</v>
      </c>
      <c r="B8" s="5">
        <v>0.60893518518518519</v>
      </c>
      <c r="C8">
        <v>79.599999999999994</v>
      </c>
      <c r="D8">
        <v>81.599999999999994</v>
      </c>
      <c r="E8">
        <v>81.2</v>
      </c>
      <c r="F8">
        <v>77.2</v>
      </c>
      <c r="G8">
        <v>0</v>
      </c>
      <c r="H8">
        <v>0</v>
      </c>
      <c r="I8">
        <v>0</v>
      </c>
      <c r="J8">
        <v>0</v>
      </c>
      <c r="K8">
        <v>68.900000000000006</v>
      </c>
      <c r="L8">
        <v>66.400000000000006</v>
      </c>
      <c r="M8">
        <v>79.930000000000007</v>
      </c>
      <c r="N8">
        <v>8</v>
      </c>
      <c r="O8">
        <v>5</v>
      </c>
      <c r="P8">
        <f>MOD(DAY(datos_siembra[[#This Row],[Date]]),7)</f>
        <v>1</v>
      </c>
      <c r="Q8" t="str">
        <f>CHOOSE(WEEKDAY(datos_siembra[[#This Row],[Date]],2),"L","M","X","J","V","S","D")</f>
        <v>D</v>
      </c>
      <c r="R8">
        <f>WEEKNUM(datos_siembra[[#This Row],[Date]],2)-WEEKNUM(DATE(YEAR(datos_siembra[[#This Row],[Date]]),MONTH(datos_siembra[[#This Row],[Date]]),1))+1</f>
        <v>1</v>
      </c>
      <c r="S8">
        <f>MONTH(datos_siembra[[#This Row],[Date]])</f>
        <v>9</v>
      </c>
      <c r="T8" t="str" cm="1">
        <f t="array" ref="T8">_xlfn.IFS(AND(N8&lt;= 22, S8=9), "SOWING",AND(N8&lt;= 28, S8=9), "COVERAGE",AND(N8&lt;= 30, S8=9), "FLUSH",AND(N8&lt;= 11, S8=10), "FLUSH",AND(N8&lt;= 21, S8=10), "PRODUCTION")</f>
        <v>SOWING</v>
      </c>
      <c r="U8">
        <f>HOUR(datos_siembra[[#This Row],[Hour]])</f>
        <v>14</v>
      </c>
      <c r="V8" cm="1">
        <f t="array" ref="V8">_xlfn.IFS(AND(N8&lt;= 22, S8=9), N8-7,AND(N8&lt;= 28, S8=9), N8-25,AND(N8&lt;= 30, S8=9), N8-28,AND(N8&lt;= 11, S8=10), N8+2,AND(N8&lt;= 21, S8=10), N8-11)</f>
        <v>1</v>
      </c>
    </row>
    <row r="9" spans="1:22" x14ac:dyDescent="0.35">
      <c r="A9" s="4">
        <v>45543</v>
      </c>
      <c r="B9" s="5">
        <v>0.61587962962962961</v>
      </c>
      <c r="C9">
        <v>79.7</v>
      </c>
      <c r="D9">
        <v>81.8</v>
      </c>
      <c r="E9">
        <v>81.099999999999994</v>
      </c>
      <c r="F9">
        <v>77.2</v>
      </c>
      <c r="G9">
        <v>0</v>
      </c>
      <c r="H9">
        <v>0</v>
      </c>
      <c r="I9">
        <v>0</v>
      </c>
      <c r="J9">
        <v>0</v>
      </c>
      <c r="K9">
        <v>69</v>
      </c>
      <c r="L9">
        <v>67.2</v>
      </c>
      <c r="M9">
        <v>79.900000000000006</v>
      </c>
      <c r="N9">
        <v>8</v>
      </c>
      <c r="O9">
        <v>5</v>
      </c>
      <c r="P9">
        <f>MOD(DAY(datos_siembra[[#This Row],[Date]]),7)</f>
        <v>1</v>
      </c>
      <c r="Q9" t="str">
        <f>CHOOSE(WEEKDAY(datos_siembra[[#This Row],[Date]],2),"L","M","X","J","V","S","D")</f>
        <v>D</v>
      </c>
      <c r="R9">
        <f>WEEKNUM(datos_siembra[[#This Row],[Date]],2)-WEEKNUM(DATE(YEAR(datos_siembra[[#This Row],[Date]]),MONTH(datos_siembra[[#This Row],[Date]]),1))+1</f>
        <v>1</v>
      </c>
      <c r="S9">
        <f>MONTH(datos_siembra[[#This Row],[Date]])</f>
        <v>9</v>
      </c>
      <c r="T9" t="str" cm="1">
        <f t="array" ref="T9">_xlfn.IFS(AND(N9&lt;= 22, S9=9), "SOWING",AND(N9&lt;= 28, S9=9), "COVERAGE",AND(N9&lt;= 30, S9=9), "FLUSH",AND(N9&lt;= 11, S9=10), "FLUSH",AND(N9&lt;= 21, S9=10), "PRODUCTION")</f>
        <v>SOWING</v>
      </c>
      <c r="U9">
        <f>HOUR(datos_siembra[[#This Row],[Hour]])</f>
        <v>14</v>
      </c>
      <c r="V9" cm="1">
        <f t="array" ref="V9">_xlfn.IFS(AND(N9&lt;= 22, S9=9), N9-7,AND(N9&lt;= 28, S9=9), N9-25,AND(N9&lt;= 30, S9=9), N9-28,AND(N9&lt;= 11, S9=10), N9+2,AND(N9&lt;= 21, S9=10), N9-11)</f>
        <v>1</v>
      </c>
    </row>
    <row r="10" spans="1:22" x14ac:dyDescent="0.35">
      <c r="A10" s="4">
        <v>45543</v>
      </c>
      <c r="B10" s="5">
        <v>0.62283564814814818</v>
      </c>
      <c r="C10">
        <v>79.8</v>
      </c>
      <c r="D10">
        <v>81.599999999999994</v>
      </c>
      <c r="E10">
        <v>80.8</v>
      </c>
      <c r="F10">
        <v>77.2</v>
      </c>
      <c r="G10">
        <v>0</v>
      </c>
      <c r="H10">
        <v>0</v>
      </c>
      <c r="I10">
        <v>0</v>
      </c>
      <c r="J10">
        <v>0</v>
      </c>
      <c r="K10">
        <v>69.400000000000006</v>
      </c>
      <c r="L10">
        <v>67.8</v>
      </c>
      <c r="M10">
        <v>79.81</v>
      </c>
      <c r="N10">
        <v>8</v>
      </c>
      <c r="O10">
        <v>5</v>
      </c>
      <c r="P10">
        <f>MOD(DAY(datos_siembra[[#This Row],[Date]]),7)</f>
        <v>1</v>
      </c>
      <c r="Q10" t="str">
        <f>CHOOSE(WEEKDAY(datos_siembra[[#This Row],[Date]],2),"L","M","X","J","V","S","D")</f>
        <v>D</v>
      </c>
      <c r="R10">
        <f>WEEKNUM(datos_siembra[[#This Row],[Date]],2)-WEEKNUM(DATE(YEAR(datos_siembra[[#This Row],[Date]]),MONTH(datos_siembra[[#This Row],[Date]]),1))+1</f>
        <v>1</v>
      </c>
      <c r="S10">
        <f>MONTH(datos_siembra[[#This Row],[Date]])</f>
        <v>9</v>
      </c>
      <c r="T10" t="str" cm="1">
        <f t="array" ref="T10">_xlfn.IFS(AND(N10&lt;= 22, S10=9), "SOWING",AND(N10&lt;= 28, S10=9), "COVERAGE",AND(N10&lt;= 30, S10=9), "FLUSH",AND(N10&lt;= 11, S10=10), "FLUSH",AND(N10&lt;= 21, S10=10), "PRODUCTION")</f>
        <v>SOWING</v>
      </c>
      <c r="U10">
        <f>HOUR(datos_siembra[[#This Row],[Hour]])</f>
        <v>14</v>
      </c>
      <c r="V10" cm="1">
        <f t="array" ref="V10">_xlfn.IFS(AND(N10&lt;= 22, S10=9), N10-7,AND(N10&lt;= 28, S10=9), N10-25,AND(N10&lt;= 30, S10=9), N10-28,AND(N10&lt;= 11, S10=10), N10+2,AND(N10&lt;= 21, S10=10), N10-11)</f>
        <v>1</v>
      </c>
    </row>
    <row r="11" spans="1:22" x14ac:dyDescent="0.35">
      <c r="A11" s="4">
        <v>45543</v>
      </c>
      <c r="B11" s="5">
        <v>0.6297800925925926</v>
      </c>
      <c r="C11">
        <v>79.7</v>
      </c>
      <c r="D11">
        <v>81.599999999999994</v>
      </c>
      <c r="E11">
        <v>80.900000000000006</v>
      </c>
      <c r="F11">
        <v>77.2</v>
      </c>
      <c r="G11">
        <v>0</v>
      </c>
      <c r="H11">
        <v>0</v>
      </c>
      <c r="I11">
        <v>0</v>
      </c>
      <c r="J11">
        <v>0</v>
      </c>
      <c r="K11">
        <v>70.400000000000006</v>
      </c>
      <c r="L11">
        <v>68.2</v>
      </c>
      <c r="M11">
        <v>79.98</v>
      </c>
      <c r="N11">
        <v>8</v>
      </c>
      <c r="O11">
        <v>5</v>
      </c>
      <c r="P11">
        <f>MOD(DAY(datos_siembra[[#This Row],[Date]]),7)</f>
        <v>1</v>
      </c>
      <c r="Q11" t="str">
        <f>CHOOSE(WEEKDAY(datos_siembra[[#This Row],[Date]],2),"L","M","X","J","V","S","D")</f>
        <v>D</v>
      </c>
      <c r="R11">
        <f>WEEKNUM(datos_siembra[[#This Row],[Date]],2)-WEEKNUM(DATE(YEAR(datos_siembra[[#This Row],[Date]]),MONTH(datos_siembra[[#This Row],[Date]]),1))+1</f>
        <v>1</v>
      </c>
      <c r="S11">
        <f>MONTH(datos_siembra[[#This Row],[Date]])</f>
        <v>9</v>
      </c>
      <c r="T11" t="str" cm="1">
        <f t="array" ref="T11">_xlfn.IFS(AND(N11&lt;= 22, S11=9), "SOWING",AND(N11&lt;= 28, S11=9), "COVERAGE",AND(N11&lt;= 30, S11=9), "FLUSH",AND(N11&lt;= 11, S11=10), "FLUSH",AND(N11&lt;= 21, S11=10), "PRODUCTION")</f>
        <v>SOWING</v>
      </c>
      <c r="U11">
        <f>HOUR(datos_siembra[[#This Row],[Hour]])</f>
        <v>15</v>
      </c>
      <c r="V11" cm="1">
        <f t="array" ref="V11">_xlfn.IFS(AND(N11&lt;= 22, S11=9), N11-7,AND(N11&lt;= 28, S11=9), N11-25,AND(N11&lt;= 30, S11=9), N11-28,AND(N11&lt;= 11, S11=10), N11+2,AND(N11&lt;= 21, S11=10), N11-11)</f>
        <v>1</v>
      </c>
    </row>
    <row r="12" spans="1:22" x14ac:dyDescent="0.35">
      <c r="A12" s="4">
        <v>45543</v>
      </c>
      <c r="B12" s="5">
        <v>0.63672453703703702</v>
      </c>
      <c r="C12">
        <v>79.7</v>
      </c>
      <c r="D12">
        <v>81.599999999999994</v>
      </c>
      <c r="E12">
        <v>81.099999999999994</v>
      </c>
      <c r="F12">
        <v>77.3</v>
      </c>
      <c r="G12">
        <v>0</v>
      </c>
      <c r="H12">
        <v>0</v>
      </c>
      <c r="I12">
        <v>0</v>
      </c>
      <c r="J12">
        <v>0</v>
      </c>
      <c r="K12">
        <v>70.099999999999994</v>
      </c>
      <c r="L12">
        <v>68.7</v>
      </c>
      <c r="M12">
        <v>80.010000000000005</v>
      </c>
      <c r="N12">
        <v>8</v>
      </c>
      <c r="O12">
        <v>5</v>
      </c>
      <c r="P12">
        <f>MOD(DAY(datos_siembra[[#This Row],[Date]]),7)</f>
        <v>1</v>
      </c>
      <c r="Q12" t="str">
        <f>CHOOSE(WEEKDAY(datos_siembra[[#This Row],[Date]],2),"L","M","X","J","V","S","D")</f>
        <v>D</v>
      </c>
      <c r="R12">
        <f>WEEKNUM(datos_siembra[[#This Row],[Date]],2)-WEEKNUM(DATE(YEAR(datos_siembra[[#This Row],[Date]]),MONTH(datos_siembra[[#This Row],[Date]]),1))+1</f>
        <v>1</v>
      </c>
      <c r="S12">
        <f>MONTH(datos_siembra[[#This Row],[Date]])</f>
        <v>9</v>
      </c>
      <c r="T12" t="str" cm="1">
        <f t="array" ref="T12">_xlfn.IFS(AND(N12&lt;= 22, S12=9), "SOWING",AND(N12&lt;= 28, S12=9), "COVERAGE",AND(N12&lt;= 30, S12=9), "FLUSH",AND(N12&lt;= 11, S12=10), "FLUSH",AND(N12&lt;= 21, S12=10), "PRODUCTION")</f>
        <v>SOWING</v>
      </c>
      <c r="U12">
        <f>HOUR(datos_siembra[[#This Row],[Hour]])</f>
        <v>15</v>
      </c>
      <c r="V12" cm="1">
        <f t="array" ref="V12">_xlfn.IFS(AND(N12&lt;= 22, S12=9), N12-7,AND(N12&lt;= 28, S12=9), N12-25,AND(N12&lt;= 30, S12=9), N12-28,AND(N12&lt;= 11, S12=10), N12+2,AND(N12&lt;= 21, S12=10), N12-11)</f>
        <v>1</v>
      </c>
    </row>
    <row r="13" spans="1:22" x14ac:dyDescent="0.35">
      <c r="A13" s="4">
        <v>45543</v>
      </c>
      <c r="B13" s="5">
        <v>0.64368055555555559</v>
      </c>
      <c r="C13">
        <v>79.900000000000006</v>
      </c>
      <c r="D13">
        <v>81.7</v>
      </c>
      <c r="E13">
        <v>81.2</v>
      </c>
      <c r="F13">
        <v>77.5</v>
      </c>
      <c r="G13">
        <v>0</v>
      </c>
      <c r="H13">
        <v>0</v>
      </c>
      <c r="I13">
        <v>0</v>
      </c>
      <c r="J13">
        <v>0</v>
      </c>
      <c r="K13">
        <v>69.5</v>
      </c>
      <c r="L13">
        <v>67.7</v>
      </c>
      <c r="M13">
        <v>79.98</v>
      </c>
      <c r="N13">
        <v>8</v>
      </c>
      <c r="O13">
        <v>5</v>
      </c>
      <c r="P13">
        <f>MOD(DAY(datos_siembra[[#This Row],[Date]]),7)</f>
        <v>1</v>
      </c>
      <c r="Q13" t="str">
        <f>CHOOSE(WEEKDAY(datos_siembra[[#This Row],[Date]],2),"L","M","X","J","V","S","D")</f>
        <v>D</v>
      </c>
      <c r="R13">
        <f>WEEKNUM(datos_siembra[[#This Row],[Date]],2)-WEEKNUM(DATE(YEAR(datos_siembra[[#This Row],[Date]]),MONTH(datos_siembra[[#This Row],[Date]]),1))+1</f>
        <v>1</v>
      </c>
      <c r="S13">
        <f>MONTH(datos_siembra[[#This Row],[Date]])</f>
        <v>9</v>
      </c>
      <c r="T13" t="str" cm="1">
        <f t="array" ref="T13">_xlfn.IFS(AND(N13&lt;= 22, S13=9), "SOWING",AND(N13&lt;= 28, S13=9), "COVERAGE",AND(N13&lt;= 30, S13=9), "FLUSH",AND(N13&lt;= 11, S13=10), "FLUSH",AND(N13&lt;= 21, S13=10), "PRODUCTION")</f>
        <v>SOWING</v>
      </c>
      <c r="U13">
        <f>HOUR(datos_siembra[[#This Row],[Hour]])</f>
        <v>15</v>
      </c>
      <c r="V13" cm="1">
        <f t="array" ref="V13">_xlfn.IFS(AND(N13&lt;= 22, S13=9), N13-7,AND(N13&lt;= 28, S13=9), N13-25,AND(N13&lt;= 30, S13=9), N13-28,AND(N13&lt;= 11, S13=10), N13+2,AND(N13&lt;= 21, S13=10), N13-11)</f>
        <v>1</v>
      </c>
    </row>
    <row r="14" spans="1:22" x14ac:dyDescent="0.35">
      <c r="A14" s="4">
        <v>45543</v>
      </c>
      <c r="B14" s="5">
        <v>0.65062500000000001</v>
      </c>
      <c r="C14">
        <v>79.900000000000006</v>
      </c>
      <c r="D14">
        <v>81.599999999999994</v>
      </c>
      <c r="E14">
        <v>80.900000000000006</v>
      </c>
      <c r="F14">
        <v>77.2</v>
      </c>
      <c r="G14">
        <v>0</v>
      </c>
      <c r="H14">
        <v>0</v>
      </c>
      <c r="I14">
        <v>0</v>
      </c>
      <c r="J14">
        <v>0</v>
      </c>
      <c r="K14">
        <v>68.900000000000006</v>
      </c>
      <c r="L14">
        <v>67.099999999999994</v>
      </c>
      <c r="M14">
        <v>79.930000000000007</v>
      </c>
      <c r="N14">
        <v>8</v>
      </c>
      <c r="O14">
        <v>5</v>
      </c>
      <c r="P14">
        <f>MOD(DAY(datos_siembra[[#This Row],[Date]]),7)</f>
        <v>1</v>
      </c>
      <c r="Q14" t="str">
        <f>CHOOSE(WEEKDAY(datos_siembra[[#This Row],[Date]],2),"L","M","X","J","V","S","D")</f>
        <v>D</v>
      </c>
      <c r="R14">
        <f>WEEKNUM(datos_siembra[[#This Row],[Date]],2)-WEEKNUM(DATE(YEAR(datos_siembra[[#This Row],[Date]]),MONTH(datos_siembra[[#This Row],[Date]]),1))+1</f>
        <v>1</v>
      </c>
      <c r="S14">
        <f>MONTH(datos_siembra[[#This Row],[Date]])</f>
        <v>9</v>
      </c>
      <c r="T14" t="str" cm="1">
        <f t="array" ref="T14">_xlfn.IFS(AND(N14&lt;= 22, S14=9), "SOWING",AND(N14&lt;= 28, S14=9), "COVERAGE",AND(N14&lt;= 30, S14=9), "FLUSH",AND(N14&lt;= 11, S14=10), "FLUSH",AND(N14&lt;= 21, S14=10), "PRODUCTION")</f>
        <v>SOWING</v>
      </c>
      <c r="U14">
        <f>HOUR(datos_siembra[[#This Row],[Hour]])</f>
        <v>15</v>
      </c>
      <c r="V14" cm="1">
        <f t="array" ref="V14">_xlfn.IFS(AND(N14&lt;= 22, S14=9), N14-7,AND(N14&lt;= 28, S14=9), N14-25,AND(N14&lt;= 30, S14=9), N14-28,AND(N14&lt;= 11, S14=10), N14+2,AND(N14&lt;= 21, S14=10), N14-11)</f>
        <v>1</v>
      </c>
    </row>
    <row r="15" spans="1:22" x14ac:dyDescent="0.35">
      <c r="A15" s="4">
        <v>45543</v>
      </c>
      <c r="B15" s="5">
        <v>0.65756944444444443</v>
      </c>
      <c r="C15">
        <v>79.8</v>
      </c>
      <c r="D15">
        <v>81.7</v>
      </c>
      <c r="E15">
        <v>81.099999999999994</v>
      </c>
      <c r="F15">
        <v>77.2</v>
      </c>
      <c r="G15">
        <v>0</v>
      </c>
      <c r="H15">
        <v>0</v>
      </c>
      <c r="I15">
        <v>0</v>
      </c>
      <c r="J15">
        <v>0</v>
      </c>
      <c r="K15">
        <v>68.7</v>
      </c>
      <c r="L15">
        <v>66.900000000000006</v>
      </c>
      <c r="M15">
        <v>79.95</v>
      </c>
      <c r="N15">
        <v>8</v>
      </c>
      <c r="O15">
        <v>5</v>
      </c>
      <c r="P15">
        <f>MOD(DAY(datos_siembra[[#This Row],[Date]]),7)</f>
        <v>1</v>
      </c>
      <c r="Q15" t="str">
        <f>CHOOSE(WEEKDAY(datos_siembra[[#This Row],[Date]],2),"L","M","X","J","V","S","D")</f>
        <v>D</v>
      </c>
      <c r="R15">
        <f>WEEKNUM(datos_siembra[[#This Row],[Date]],2)-WEEKNUM(DATE(YEAR(datos_siembra[[#This Row],[Date]]),MONTH(datos_siembra[[#This Row],[Date]]),1))+1</f>
        <v>1</v>
      </c>
      <c r="S15">
        <f>MONTH(datos_siembra[[#This Row],[Date]])</f>
        <v>9</v>
      </c>
      <c r="T15" t="str" cm="1">
        <f t="array" ref="T15">_xlfn.IFS(AND(N15&lt;= 22, S15=9), "SOWING",AND(N15&lt;= 28, S15=9), "COVERAGE",AND(N15&lt;= 30, S15=9), "FLUSH",AND(N15&lt;= 11, S15=10), "FLUSH",AND(N15&lt;= 21, S15=10), "PRODUCTION")</f>
        <v>SOWING</v>
      </c>
      <c r="U15">
        <f>HOUR(datos_siembra[[#This Row],[Hour]])</f>
        <v>15</v>
      </c>
      <c r="V15" cm="1">
        <f t="array" ref="V15">_xlfn.IFS(AND(N15&lt;= 22, S15=9), N15-7,AND(N15&lt;= 28, S15=9), N15-25,AND(N15&lt;= 30, S15=9), N15-28,AND(N15&lt;= 11, S15=10), N15+2,AND(N15&lt;= 21, S15=10), N15-11)</f>
        <v>1</v>
      </c>
    </row>
    <row r="16" spans="1:22" x14ac:dyDescent="0.35">
      <c r="A16" s="4">
        <v>45543</v>
      </c>
      <c r="B16" s="5">
        <v>0.664525462962963</v>
      </c>
      <c r="C16">
        <v>79.900000000000006</v>
      </c>
      <c r="D16">
        <v>81.7</v>
      </c>
      <c r="E16">
        <v>81.099999999999994</v>
      </c>
      <c r="F16">
        <v>77.2</v>
      </c>
      <c r="G16">
        <v>0</v>
      </c>
      <c r="H16">
        <v>0</v>
      </c>
      <c r="I16">
        <v>0</v>
      </c>
      <c r="J16">
        <v>0</v>
      </c>
      <c r="K16">
        <v>68.7</v>
      </c>
      <c r="L16">
        <v>67</v>
      </c>
      <c r="M16">
        <v>80.010000000000005</v>
      </c>
      <c r="N16">
        <v>8</v>
      </c>
      <c r="O16">
        <v>5</v>
      </c>
      <c r="P16">
        <f>MOD(DAY(datos_siembra[[#This Row],[Date]]),7)</f>
        <v>1</v>
      </c>
      <c r="Q16" t="str">
        <f>CHOOSE(WEEKDAY(datos_siembra[[#This Row],[Date]],2),"L","M","X","J","V","S","D")</f>
        <v>D</v>
      </c>
      <c r="R16">
        <f>WEEKNUM(datos_siembra[[#This Row],[Date]],2)-WEEKNUM(DATE(YEAR(datos_siembra[[#This Row],[Date]]),MONTH(datos_siembra[[#This Row],[Date]]),1))+1</f>
        <v>1</v>
      </c>
      <c r="S16">
        <f>MONTH(datos_siembra[[#This Row],[Date]])</f>
        <v>9</v>
      </c>
      <c r="T16" t="str" cm="1">
        <f t="array" ref="T16">_xlfn.IFS(AND(N16&lt;= 22, S16=9), "SOWING",AND(N16&lt;= 28, S16=9), "COVERAGE",AND(N16&lt;= 30, S16=9), "FLUSH",AND(N16&lt;= 11, S16=10), "FLUSH",AND(N16&lt;= 21, S16=10), "PRODUCTION")</f>
        <v>SOWING</v>
      </c>
      <c r="U16">
        <f>HOUR(datos_siembra[[#This Row],[Hour]])</f>
        <v>15</v>
      </c>
      <c r="V16" cm="1">
        <f t="array" ref="V16">_xlfn.IFS(AND(N16&lt;= 22, S16=9), N16-7,AND(N16&lt;= 28, S16=9), N16-25,AND(N16&lt;= 30, S16=9), N16-28,AND(N16&lt;= 11, S16=10), N16+2,AND(N16&lt;= 21, S16=10), N16-11)</f>
        <v>1</v>
      </c>
    </row>
    <row r="17" spans="1:22" x14ac:dyDescent="0.35">
      <c r="A17" s="4">
        <v>45543</v>
      </c>
      <c r="B17" s="5">
        <v>0.67146990740740742</v>
      </c>
      <c r="C17">
        <v>79.8</v>
      </c>
      <c r="D17">
        <v>81.8</v>
      </c>
      <c r="E17">
        <v>81.2</v>
      </c>
      <c r="F17">
        <v>77.3</v>
      </c>
      <c r="G17">
        <v>0</v>
      </c>
      <c r="H17">
        <v>0</v>
      </c>
      <c r="I17">
        <v>0</v>
      </c>
      <c r="J17">
        <v>0</v>
      </c>
      <c r="K17">
        <v>68.599999999999994</v>
      </c>
      <c r="L17">
        <v>66.599999999999994</v>
      </c>
      <c r="M17">
        <v>79.98</v>
      </c>
      <c r="N17">
        <v>8</v>
      </c>
      <c r="O17">
        <v>5</v>
      </c>
      <c r="P17">
        <f>MOD(DAY(datos_siembra[[#This Row],[Date]]),7)</f>
        <v>1</v>
      </c>
      <c r="Q17" t="str">
        <f>CHOOSE(WEEKDAY(datos_siembra[[#This Row],[Date]],2),"L","M","X","J","V","S","D")</f>
        <v>D</v>
      </c>
      <c r="R17">
        <f>WEEKNUM(datos_siembra[[#This Row],[Date]],2)-WEEKNUM(DATE(YEAR(datos_siembra[[#This Row],[Date]]),MONTH(datos_siembra[[#This Row],[Date]]),1))+1</f>
        <v>1</v>
      </c>
      <c r="S17">
        <f>MONTH(datos_siembra[[#This Row],[Date]])</f>
        <v>9</v>
      </c>
      <c r="T17" t="str" cm="1">
        <f t="array" ref="T17">_xlfn.IFS(AND(N17&lt;= 22, S17=9), "SOWING",AND(N17&lt;= 28, S17=9), "COVERAGE",AND(N17&lt;= 30, S17=9), "FLUSH",AND(N17&lt;= 11, S17=10), "FLUSH",AND(N17&lt;= 21, S17=10), "PRODUCTION")</f>
        <v>SOWING</v>
      </c>
      <c r="U17">
        <f>HOUR(datos_siembra[[#This Row],[Hour]])</f>
        <v>16</v>
      </c>
      <c r="V17" cm="1">
        <f t="array" ref="V17">_xlfn.IFS(AND(N17&lt;= 22, S17=9), N17-7,AND(N17&lt;= 28, S17=9), N17-25,AND(N17&lt;= 30, S17=9), N17-28,AND(N17&lt;= 11, S17=10), N17+2,AND(N17&lt;= 21, S17=10), N17-11)</f>
        <v>1</v>
      </c>
    </row>
    <row r="18" spans="1:22" x14ac:dyDescent="0.35">
      <c r="A18" s="4">
        <v>45543</v>
      </c>
      <c r="B18" s="5">
        <v>0.67841435185185184</v>
      </c>
      <c r="C18">
        <v>79.8</v>
      </c>
      <c r="D18">
        <v>81.8</v>
      </c>
      <c r="E18">
        <v>81.099999999999994</v>
      </c>
      <c r="F18">
        <v>77.5</v>
      </c>
      <c r="G18">
        <v>0</v>
      </c>
      <c r="H18">
        <v>0</v>
      </c>
      <c r="I18">
        <v>0</v>
      </c>
      <c r="J18">
        <v>0</v>
      </c>
      <c r="K18">
        <v>68.599999999999994</v>
      </c>
      <c r="L18">
        <v>66.7</v>
      </c>
      <c r="M18">
        <v>80.040000000000006</v>
      </c>
      <c r="N18">
        <v>8</v>
      </c>
      <c r="O18">
        <v>5</v>
      </c>
      <c r="P18">
        <f>MOD(DAY(datos_siembra[[#This Row],[Date]]),7)</f>
        <v>1</v>
      </c>
      <c r="Q18" t="str">
        <f>CHOOSE(WEEKDAY(datos_siembra[[#This Row],[Date]],2),"L","M","X","J","V","S","D")</f>
        <v>D</v>
      </c>
      <c r="R18">
        <f>WEEKNUM(datos_siembra[[#This Row],[Date]],2)-WEEKNUM(DATE(YEAR(datos_siembra[[#This Row],[Date]]),MONTH(datos_siembra[[#This Row],[Date]]),1))+1</f>
        <v>1</v>
      </c>
      <c r="S18">
        <f>MONTH(datos_siembra[[#This Row],[Date]])</f>
        <v>9</v>
      </c>
      <c r="T18" t="str" cm="1">
        <f t="array" ref="T18">_xlfn.IFS(AND(N18&lt;= 22, S18=9), "SOWING",AND(N18&lt;= 28, S18=9), "COVERAGE",AND(N18&lt;= 30, S18=9), "FLUSH",AND(N18&lt;= 11, S18=10), "FLUSH",AND(N18&lt;= 21, S18=10), "PRODUCTION")</f>
        <v>SOWING</v>
      </c>
      <c r="U18">
        <f>HOUR(datos_siembra[[#This Row],[Hour]])</f>
        <v>16</v>
      </c>
      <c r="V18" cm="1">
        <f t="array" ref="V18">_xlfn.IFS(AND(N18&lt;= 22, S18=9), N18-7,AND(N18&lt;= 28, S18=9), N18-25,AND(N18&lt;= 30, S18=9), N18-28,AND(N18&lt;= 11, S18=10), N18+2,AND(N18&lt;= 21, S18=10), N18-11)</f>
        <v>1</v>
      </c>
    </row>
    <row r="19" spans="1:22" x14ac:dyDescent="0.35">
      <c r="A19" s="4">
        <v>45543</v>
      </c>
      <c r="B19" s="5">
        <v>0.68537037037037041</v>
      </c>
      <c r="C19">
        <v>79.8</v>
      </c>
      <c r="D19">
        <v>81.7</v>
      </c>
      <c r="E19">
        <v>81.3</v>
      </c>
      <c r="F19">
        <v>77.3</v>
      </c>
      <c r="G19">
        <v>0</v>
      </c>
      <c r="H19">
        <v>0</v>
      </c>
      <c r="I19">
        <v>0</v>
      </c>
      <c r="J19">
        <v>0</v>
      </c>
      <c r="K19">
        <v>68.5</v>
      </c>
      <c r="L19">
        <v>66.5</v>
      </c>
      <c r="M19">
        <v>80.040000000000006</v>
      </c>
      <c r="N19">
        <v>8</v>
      </c>
      <c r="O19">
        <v>5</v>
      </c>
      <c r="P19">
        <f>MOD(DAY(datos_siembra[[#This Row],[Date]]),7)</f>
        <v>1</v>
      </c>
      <c r="Q19" t="str">
        <f>CHOOSE(WEEKDAY(datos_siembra[[#This Row],[Date]],2),"L","M","X","J","V","S","D")</f>
        <v>D</v>
      </c>
      <c r="R19">
        <f>WEEKNUM(datos_siembra[[#This Row],[Date]],2)-WEEKNUM(DATE(YEAR(datos_siembra[[#This Row],[Date]]),MONTH(datos_siembra[[#This Row],[Date]]),1))+1</f>
        <v>1</v>
      </c>
      <c r="S19">
        <f>MONTH(datos_siembra[[#This Row],[Date]])</f>
        <v>9</v>
      </c>
      <c r="T19" t="str" cm="1">
        <f t="array" ref="T19">_xlfn.IFS(AND(N19&lt;= 22, S19=9), "SOWING",AND(N19&lt;= 28, S19=9), "COVERAGE",AND(N19&lt;= 30, S19=9), "FLUSH",AND(N19&lt;= 11, S19=10), "FLUSH",AND(N19&lt;= 21, S19=10), "PRODUCTION")</f>
        <v>SOWING</v>
      </c>
      <c r="U19">
        <f>HOUR(datos_siembra[[#This Row],[Hour]])</f>
        <v>16</v>
      </c>
      <c r="V19" cm="1">
        <f t="array" ref="V19">_xlfn.IFS(AND(N19&lt;= 22, S19=9), N19-7,AND(N19&lt;= 28, S19=9), N19-25,AND(N19&lt;= 30, S19=9), N19-28,AND(N19&lt;= 11, S19=10), N19+2,AND(N19&lt;= 21, S19=10), N19-11)</f>
        <v>1</v>
      </c>
    </row>
    <row r="20" spans="1:22" x14ac:dyDescent="0.35">
      <c r="A20" s="4">
        <v>45543</v>
      </c>
      <c r="B20" s="5">
        <v>0.69231481481481483</v>
      </c>
      <c r="C20">
        <v>79.900000000000006</v>
      </c>
      <c r="D20">
        <v>81.8</v>
      </c>
      <c r="E20">
        <v>81.2</v>
      </c>
      <c r="F20">
        <v>77.099999999999994</v>
      </c>
      <c r="G20">
        <v>0</v>
      </c>
      <c r="H20">
        <v>0</v>
      </c>
      <c r="I20">
        <v>0</v>
      </c>
      <c r="J20">
        <v>0</v>
      </c>
      <c r="K20">
        <v>68.2</v>
      </c>
      <c r="L20">
        <v>66.2</v>
      </c>
      <c r="M20">
        <v>80.09</v>
      </c>
      <c r="N20">
        <v>8</v>
      </c>
      <c r="O20">
        <v>5</v>
      </c>
      <c r="P20">
        <f>MOD(DAY(datos_siembra[[#This Row],[Date]]),7)</f>
        <v>1</v>
      </c>
      <c r="Q20" t="str">
        <f>CHOOSE(WEEKDAY(datos_siembra[[#This Row],[Date]],2),"L","M","X","J","V","S","D")</f>
        <v>D</v>
      </c>
      <c r="R20">
        <f>WEEKNUM(datos_siembra[[#This Row],[Date]],2)-WEEKNUM(DATE(YEAR(datos_siembra[[#This Row],[Date]]),MONTH(datos_siembra[[#This Row],[Date]]),1))+1</f>
        <v>1</v>
      </c>
      <c r="S20">
        <f>MONTH(datos_siembra[[#This Row],[Date]])</f>
        <v>9</v>
      </c>
      <c r="T20" t="str" cm="1">
        <f t="array" ref="T20">_xlfn.IFS(AND(N20&lt;= 22, S20=9), "SOWING",AND(N20&lt;= 28, S20=9), "COVERAGE",AND(N20&lt;= 30, S20=9), "FLUSH",AND(N20&lt;= 11, S20=10), "FLUSH",AND(N20&lt;= 21, S20=10), "PRODUCTION")</f>
        <v>SOWING</v>
      </c>
      <c r="U20">
        <f>HOUR(datos_siembra[[#This Row],[Hour]])</f>
        <v>16</v>
      </c>
      <c r="V20" cm="1">
        <f t="array" ref="V20">_xlfn.IFS(AND(N20&lt;= 22, S20=9), N20-7,AND(N20&lt;= 28, S20=9), N20-25,AND(N20&lt;= 30, S20=9), N20-28,AND(N20&lt;= 11, S20=10), N20+2,AND(N20&lt;= 21, S20=10), N20-11)</f>
        <v>1</v>
      </c>
    </row>
    <row r="21" spans="1:22" x14ac:dyDescent="0.35">
      <c r="A21" s="4">
        <v>45543</v>
      </c>
      <c r="B21" s="5">
        <v>0.69925925925925925</v>
      </c>
      <c r="C21">
        <v>79.8</v>
      </c>
      <c r="D21">
        <v>81.7</v>
      </c>
      <c r="E21">
        <v>81.099999999999994</v>
      </c>
      <c r="F21">
        <v>77.3</v>
      </c>
      <c r="G21">
        <v>0</v>
      </c>
      <c r="H21">
        <v>0</v>
      </c>
      <c r="I21">
        <v>0</v>
      </c>
      <c r="J21">
        <v>0</v>
      </c>
      <c r="K21">
        <v>68.5</v>
      </c>
      <c r="L21">
        <v>66.7</v>
      </c>
      <c r="M21">
        <v>80.010000000000005</v>
      </c>
      <c r="N21">
        <v>8</v>
      </c>
      <c r="O21">
        <v>5</v>
      </c>
      <c r="P21">
        <f>MOD(DAY(datos_siembra[[#This Row],[Date]]),7)</f>
        <v>1</v>
      </c>
      <c r="Q21" t="str">
        <f>CHOOSE(WEEKDAY(datos_siembra[[#This Row],[Date]],2),"L","M","X","J","V","S","D")</f>
        <v>D</v>
      </c>
      <c r="R21">
        <f>WEEKNUM(datos_siembra[[#This Row],[Date]],2)-WEEKNUM(DATE(YEAR(datos_siembra[[#This Row],[Date]]),MONTH(datos_siembra[[#This Row],[Date]]),1))+1</f>
        <v>1</v>
      </c>
      <c r="S21">
        <f>MONTH(datos_siembra[[#This Row],[Date]])</f>
        <v>9</v>
      </c>
      <c r="T21" t="str" cm="1">
        <f t="array" ref="T21">_xlfn.IFS(AND(N21&lt;= 22, S21=9), "SOWING",AND(N21&lt;= 28, S21=9), "COVERAGE",AND(N21&lt;= 30, S21=9), "FLUSH",AND(N21&lt;= 11, S21=10), "FLUSH",AND(N21&lt;= 21, S21=10), "PRODUCTION")</f>
        <v>SOWING</v>
      </c>
      <c r="U21">
        <f>HOUR(datos_siembra[[#This Row],[Hour]])</f>
        <v>16</v>
      </c>
      <c r="V21" cm="1">
        <f t="array" ref="V21">_xlfn.IFS(AND(N21&lt;= 22, S21=9), N21-7,AND(N21&lt;= 28, S21=9), N21-25,AND(N21&lt;= 30, S21=9), N21-28,AND(N21&lt;= 11, S21=10), N21+2,AND(N21&lt;= 21, S21=10), N21-11)</f>
        <v>1</v>
      </c>
    </row>
    <row r="22" spans="1:22" x14ac:dyDescent="0.35">
      <c r="A22" s="4">
        <v>45543</v>
      </c>
      <c r="B22" s="5">
        <v>0.70621527777777782</v>
      </c>
      <c r="C22">
        <v>79.900000000000006</v>
      </c>
      <c r="D22">
        <v>81.599999999999994</v>
      </c>
      <c r="E22">
        <v>81.2</v>
      </c>
      <c r="F22">
        <v>77.3</v>
      </c>
      <c r="G22">
        <v>0</v>
      </c>
      <c r="H22">
        <v>0</v>
      </c>
      <c r="I22">
        <v>0</v>
      </c>
      <c r="J22">
        <v>0</v>
      </c>
      <c r="K22">
        <v>68.7</v>
      </c>
      <c r="L22">
        <v>66.8</v>
      </c>
      <c r="M22">
        <v>80.010000000000005</v>
      </c>
      <c r="N22">
        <v>8</v>
      </c>
      <c r="O22">
        <v>5</v>
      </c>
      <c r="P22">
        <f>MOD(DAY(datos_siembra[[#This Row],[Date]]),7)</f>
        <v>1</v>
      </c>
      <c r="Q22" t="str">
        <f>CHOOSE(WEEKDAY(datos_siembra[[#This Row],[Date]],2),"L","M","X","J","V","S","D")</f>
        <v>D</v>
      </c>
      <c r="R22">
        <f>WEEKNUM(datos_siembra[[#This Row],[Date]],2)-WEEKNUM(DATE(YEAR(datos_siembra[[#This Row],[Date]]),MONTH(datos_siembra[[#This Row],[Date]]),1))+1</f>
        <v>1</v>
      </c>
      <c r="S22">
        <f>MONTH(datos_siembra[[#This Row],[Date]])</f>
        <v>9</v>
      </c>
      <c r="T22" t="str" cm="1">
        <f t="array" ref="T22">_xlfn.IFS(AND(N22&lt;= 22, S22=9), "SOWING",AND(N22&lt;= 28, S22=9), "COVERAGE",AND(N22&lt;= 30, S22=9), "FLUSH",AND(N22&lt;= 11, S22=10), "FLUSH",AND(N22&lt;= 21, S22=10), "PRODUCTION")</f>
        <v>SOWING</v>
      </c>
      <c r="U22">
        <f>HOUR(datos_siembra[[#This Row],[Hour]])</f>
        <v>16</v>
      </c>
      <c r="V22" cm="1">
        <f t="array" ref="V22">_xlfn.IFS(AND(N22&lt;= 22, S22=9), N22-7,AND(N22&lt;= 28, S22=9), N22-25,AND(N22&lt;= 30, S22=9), N22-28,AND(N22&lt;= 11, S22=10), N22+2,AND(N22&lt;= 21, S22=10), N22-11)</f>
        <v>1</v>
      </c>
    </row>
    <row r="23" spans="1:22" x14ac:dyDescent="0.35">
      <c r="A23" s="4">
        <v>45543</v>
      </c>
      <c r="B23" s="5">
        <v>0.71315972222222224</v>
      </c>
      <c r="C23">
        <v>79.900000000000006</v>
      </c>
      <c r="D23">
        <v>81.8</v>
      </c>
      <c r="E23">
        <v>81.3</v>
      </c>
      <c r="F23">
        <v>77.2</v>
      </c>
      <c r="G23">
        <v>0</v>
      </c>
      <c r="H23">
        <v>0</v>
      </c>
      <c r="I23">
        <v>0</v>
      </c>
      <c r="J23">
        <v>0</v>
      </c>
      <c r="K23">
        <v>68.7</v>
      </c>
      <c r="L23">
        <v>66.7</v>
      </c>
      <c r="M23">
        <v>80.010000000000005</v>
      </c>
      <c r="N23">
        <v>8</v>
      </c>
      <c r="O23">
        <v>5</v>
      </c>
      <c r="P23">
        <f>MOD(DAY(datos_siembra[[#This Row],[Date]]),7)</f>
        <v>1</v>
      </c>
      <c r="Q23" t="str">
        <f>CHOOSE(WEEKDAY(datos_siembra[[#This Row],[Date]],2),"L","M","X","J","V","S","D")</f>
        <v>D</v>
      </c>
      <c r="R23">
        <f>WEEKNUM(datos_siembra[[#This Row],[Date]],2)-WEEKNUM(DATE(YEAR(datos_siembra[[#This Row],[Date]]),MONTH(datos_siembra[[#This Row],[Date]]),1))+1</f>
        <v>1</v>
      </c>
      <c r="S23">
        <f>MONTH(datos_siembra[[#This Row],[Date]])</f>
        <v>9</v>
      </c>
      <c r="T23" t="str" cm="1">
        <f t="array" ref="T23">_xlfn.IFS(AND(N23&lt;= 22, S23=9), "SOWING",AND(N23&lt;= 28, S23=9), "COVERAGE",AND(N23&lt;= 30, S23=9), "FLUSH",AND(N23&lt;= 11, S23=10), "FLUSH",AND(N23&lt;= 21, S23=10), "PRODUCTION")</f>
        <v>SOWING</v>
      </c>
      <c r="U23">
        <f>HOUR(datos_siembra[[#This Row],[Hour]])</f>
        <v>17</v>
      </c>
      <c r="V23" cm="1">
        <f t="array" ref="V23">_xlfn.IFS(AND(N23&lt;= 22, S23=9), N23-7,AND(N23&lt;= 28, S23=9), N23-25,AND(N23&lt;= 30, S23=9), N23-28,AND(N23&lt;= 11, S23=10), N23+2,AND(N23&lt;= 21, S23=10), N23-11)</f>
        <v>1</v>
      </c>
    </row>
    <row r="24" spans="1:22" x14ac:dyDescent="0.35">
      <c r="A24" s="4">
        <v>45543</v>
      </c>
      <c r="B24" s="5">
        <v>0.72010416666666666</v>
      </c>
      <c r="C24">
        <v>79.900000000000006</v>
      </c>
      <c r="D24">
        <v>81.7</v>
      </c>
      <c r="E24">
        <v>81.099999999999994</v>
      </c>
      <c r="F24">
        <v>77.3</v>
      </c>
      <c r="G24">
        <v>0</v>
      </c>
      <c r="H24">
        <v>0</v>
      </c>
      <c r="I24">
        <v>0</v>
      </c>
      <c r="J24">
        <v>0</v>
      </c>
      <c r="K24">
        <v>68.7</v>
      </c>
      <c r="L24">
        <v>66.7</v>
      </c>
      <c r="M24">
        <v>79.930000000000007</v>
      </c>
      <c r="N24">
        <v>8</v>
      </c>
      <c r="O24">
        <v>5</v>
      </c>
      <c r="P24">
        <f>MOD(DAY(datos_siembra[[#This Row],[Date]]),7)</f>
        <v>1</v>
      </c>
      <c r="Q24" t="str">
        <f>CHOOSE(WEEKDAY(datos_siembra[[#This Row],[Date]],2),"L","M","X","J","V","S","D")</f>
        <v>D</v>
      </c>
      <c r="R24">
        <f>WEEKNUM(datos_siembra[[#This Row],[Date]],2)-WEEKNUM(DATE(YEAR(datos_siembra[[#This Row],[Date]]),MONTH(datos_siembra[[#This Row],[Date]]),1))+1</f>
        <v>1</v>
      </c>
      <c r="S24">
        <f>MONTH(datos_siembra[[#This Row],[Date]])</f>
        <v>9</v>
      </c>
      <c r="T24" t="str" cm="1">
        <f t="array" ref="T24">_xlfn.IFS(AND(N24&lt;= 22, S24=9), "SOWING",AND(N24&lt;= 28, S24=9), "COVERAGE",AND(N24&lt;= 30, S24=9), "FLUSH",AND(N24&lt;= 11, S24=10), "FLUSH",AND(N24&lt;= 21, S24=10), "PRODUCTION")</f>
        <v>SOWING</v>
      </c>
      <c r="U24">
        <f>HOUR(datos_siembra[[#This Row],[Hour]])</f>
        <v>17</v>
      </c>
      <c r="V24" cm="1">
        <f t="array" ref="V24">_xlfn.IFS(AND(N24&lt;= 22, S24=9), N24-7,AND(N24&lt;= 28, S24=9), N24-25,AND(N24&lt;= 30, S24=9), N24-28,AND(N24&lt;= 11, S24=10), N24+2,AND(N24&lt;= 21, S24=10), N24-11)</f>
        <v>1</v>
      </c>
    </row>
    <row r="25" spans="1:22" x14ac:dyDescent="0.35">
      <c r="A25" s="4">
        <v>45543</v>
      </c>
      <c r="B25" s="5">
        <v>0.72706018518518523</v>
      </c>
      <c r="C25">
        <v>79.8</v>
      </c>
      <c r="D25">
        <v>81.7</v>
      </c>
      <c r="E25">
        <v>81.099999999999994</v>
      </c>
      <c r="F25">
        <v>77.2</v>
      </c>
      <c r="G25">
        <v>0</v>
      </c>
      <c r="H25">
        <v>0</v>
      </c>
      <c r="I25">
        <v>0</v>
      </c>
      <c r="J25">
        <v>0</v>
      </c>
      <c r="K25">
        <v>68.599999999999994</v>
      </c>
      <c r="L25">
        <v>66.7</v>
      </c>
      <c r="M25">
        <v>80.069999999999993</v>
      </c>
      <c r="N25">
        <v>8</v>
      </c>
      <c r="O25">
        <v>5</v>
      </c>
      <c r="P25">
        <f>MOD(DAY(datos_siembra[[#This Row],[Date]]),7)</f>
        <v>1</v>
      </c>
      <c r="Q25" t="str">
        <f>CHOOSE(WEEKDAY(datos_siembra[[#This Row],[Date]],2),"L","M","X","J","V","S","D")</f>
        <v>D</v>
      </c>
      <c r="R25">
        <f>WEEKNUM(datos_siembra[[#This Row],[Date]],2)-WEEKNUM(DATE(YEAR(datos_siembra[[#This Row],[Date]]),MONTH(datos_siembra[[#This Row],[Date]]),1))+1</f>
        <v>1</v>
      </c>
      <c r="S25">
        <f>MONTH(datos_siembra[[#This Row],[Date]])</f>
        <v>9</v>
      </c>
      <c r="T25" t="str" cm="1">
        <f t="array" ref="T25">_xlfn.IFS(AND(N25&lt;= 22, S25=9), "SOWING",AND(N25&lt;= 28, S25=9), "COVERAGE",AND(N25&lt;= 30, S25=9), "FLUSH",AND(N25&lt;= 11, S25=10), "FLUSH",AND(N25&lt;= 21, S25=10), "PRODUCTION")</f>
        <v>SOWING</v>
      </c>
      <c r="U25">
        <f>HOUR(datos_siembra[[#This Row],[Hour]])</f>
        <v>17</v>
      </c>
      <c r="V25" cm="1">
        <f t="array" ref="V25">_xlfn.IFS(AND(N25&lt;= 22, S25=9), N25-7,AND(N25&lt;= 28, S25=9), N25-25,AND(N25&lt;= 30, S25=9), N25-28,AND(N25&lt;= 11, S25=10), N25+2,AND(N25&lt;= 21, S25=10), N25-11)</f>
        <v>1</v>
      </c>
    </row>
    <row r="26" spans="1:22" x14ac:dyDescent="0.35">
      <c r="A26" s="4">
        <v>45543</v>
      </c>
      <c r="B26" s="5">
        <v>0.73400462962962965</v>
      </c>
      <c r="C26">
        <v>79.8</v>
      </c>
      <c r="D26">
        <v>81.7</v>
      </c>
      <c r="E26">
        <v>81.099999999999994</v>
      </c>
      <c r="F26">
        <v>77.099999999999994</v>
      </c>
      <c r="G26">
        <v>0</v>
      </c>
      <c r="H26">
        <v>0</v>
      </c>
      <c r="I26">
        <v>0</v>
      </c>
      <c r="J26">
        <v>0</v>
      </c>
      <c r="K26">
        <v>68.5</v>
      </c>
      <c r="L26">
        <v>66.599999999999994</v>
      </c>
      <c r="M26">
        <v>79.98</v>
      </c>
      <c r="N26">
        <v>8</v>
      </c>
      <c r="O26">
        <v>5</v>
      </c>
      <c r="P26">
        <f>MOD(DAY(datos_siembra[[#This Row],[Date]]),7)</f>
        <v>1</v>
      </c>
      <c r="Q26" t="str">
        <f>CHOOSE(WEEKDAY(datos_siembra[[#This Row],[Date]],2),"L","M","X","J","V","S","D")</f>
        <v>D</v>
      </c>
      <c r="R26">
        <f>WEEKNUM(datos_siembra[[#This Row],[Date]],2)-WEEKNUM(DATE(YEAR(datos_siembra[[#This Row],[Date]]),MONTH(datos_siembra[[#This Row],[Date]]),1))+1</f>
        <v>1</v>
      </c>
      <c r="S26">
        <f>MONTH(datos_siembra[[#This Row],[Date]])</f>
        <v>9</v>
      </c>
      <c r="T26" t="str" cm="1">
        <f t="array" ref="T26">_xlfn.IFS(AND(N26&lt;= 22, S26=9), "SOWING",AND(N26&lt;= 28, S26=9), "COVERAGE",AND(N26&lt;= 30, S26=9), "FLUSH",AND(N26&lt;= 11, S26=10), "FLUSH",AND(N26&lt;= 21, S26=10), "PRODUCTION")</f>
        <v>SOWING</v>
      </c>
      <c r="U26">
        <f>HOUR(datos_siembra[[#This Row],[Hour]])</f>
        <v>17</v>
      </c>
      <c r="V26" cm="1">
        <f t="array" ref="V26">_xlfn.IFS(AND(N26&lt;= 22, S26=9), N26-7,AND(N26&lt;= 28, S26=9), N26-25,AND(N26&lt;= 30, S26=9), N26-28,AND(N26&lt;= 11, S26=10), N26+2,AND(N26&lt;= 21, S26=10), N26-11)</f>
        <v>1</v>
      </c>
    </row>
    <row r="27" spans="1:22" x14ac:dyDescent="0.35">
      <c r="A27" s="4">
        <v>45543</v>
      </c>
      <c r="B27" s="5">
        <v>0.74094907407407407</v>
      </c>
      <c r="C27">
        <v>79.7</v>
      </c>
      <c r="D27">
        <v>81.8</v>
      </c>
      <c r="E27">
        <v>81.099999999999994</v>
      </c>
      <c r="F27">
        <v>77.3</v>
      </c>
      <c r="G27">
        <v>0</v>
      </c>
      <c r="H27">
        <v>0</v>
      </c>
      <c r="I27">
        <v>0</v>
      </c>
      <c r="J27">
        <v>0</v>
      </c>
      <c r="K27">
        <v>68.3</v>
      </c>
      <c r="L27">
        <v>66.2</v>
      </c>
      <c r="M27">
        <v>80.040000000000006</v>
      </c>
      <c r="N27">
        <v>8</v>
      </c>
      <c r="O27">
        <v>5</v>
      </c>
      <c r="P27">
        <f>MOD(DAY(datos_siembra[[#This Row],[Date]]),7)</f>
        <v>1</v>
      </c>
      <c r="Q27" t="str">
        <f>CHOOSE(WEEKDAY(datos_siembra[[#This Row],[Date]],2),"L","M","X","J","V","S","D")</f>
        <v>D</v>
      </c>
      <c r="R27">
        <f>WEEKNUM(datos_siembra[[#This Row],[Date]],2)-WEEKNUM(DATE(YEAR(datos_siembra[[#This Row],[Date]]),MONTH(datos_siembra[[#This Row],[Date]]),1))+1</f>
        <v>1</v>
      </c>
      <c r="S27">
        <f>MONTH(datos_siembra[[#This Row],[Date]])</f>
        <v>9</v>
      </c>
      <c r="T27" t="str" cm="1">
        <f t="array" ref="T27">_xlfn.IFS(AND(N27&lt;= 22, S27=9), "SOWING",AND(N27&lt;= 28, S27=9), "COVERAGE",AND(N27&lt;= 30, S27=9), "FLUSH",AND(N27&lt;= 11, S27=10), "FLUSH",AND(N27&lt;= 21, S27=10), "PRODUCTION")</f>
        <v>SOWING</v>
      </c>
      <c r="U27">
        <f>HOUR(datos_siembra[[#This Row],[Hour]])</f>
        <v>17</v>
      </c>
      <c r="V27" cm="1">
        <f t="array" ref="V27">_xlfn.IFS(AND(N27&lt;= 22, S27=9), N27-7,AND(N27&lt;= 28, S27=9), N27-25,AND(N27&lt;= 30, S27=9), N27-28,AND(N27&lt;= 11, S27=10), N27+2,AND(N27&lt;= 21, S27=10), N27-11)</f>
        <v>1</v>
      </c>
    </row>
    <row r="28" spans="1:22" x14ac:dyDescent="0.35">
      <c r="A28" s="4">
        <v>45543</v>
      </c>
      <c r="B28" s="5">
        <v>0.74790509259259264</v>
      </c>
      <c r="C28">
        <v>79.900000000000006</v>
      </c>
      <c r="D28">
        <v>82</v>
      </c>
      <c r="E28">
        <v>81.400000000000006</v>
      </c>
      <c r="F28">
        <v>77.3</v>
      </c>
      <c r="G28">
        <v>0</v>
      </c>
      <c r="H28">
        <v>0</v>
      </c>
      <c r="I28">
        <v>0</v>
      </c>
      <c r="J28">
        <v>0</v>
      </c>
      <c r="K28">
        <v>68</v>
      </c>
      <c r="L28">
        <v>66.099999999999994</v>
      </c>
      <c r="M28">
        <v>80.150000000000006</v>
      </c>
      <c r="N28">
        <v>8</v>
      </c>
      <c r="O28">
        <v>5</v>
      </c>
      <c r="P28">
        <f>MOD(DAY(datos_siembra[[#This Row],[Date]]),7)</f>
        <v>1</v>
      </c>
      <c r="Q28" t="str">
        <f>CHOOSE(WEEKDAY(datos_siembra[[#This Row],[Date]],2),"L","M","X","J","V","S","D")</f>
        <v>D</v>
      </c>
      <c r="R28">
        <f>WEEKNUM(datos_siembra[[#This Row],[Date]],2)-WEEKNUM(DATE(YEAR(datos_siembra[[#This Row],[Date]]),MONTH(datos_siembra[[#This Row],[Date]]),1))+1</f>
        <v>1</v>
      </c>
      <c r="S28">
        <f>MONTH(datos_siembra[[#This Row],[Date]])</f>
        <v>9</v>
      </c>
      <c r="T28" t="str" cm="1">
        <f t="array" ref="T28">_xlfn.IFS(AND(N28&lt;= 22, S28=9), "SOWING",AND(N28&lt;= 28, S28=9), "COVERAGE",AND(N28&lt;= 30, S28=9), "FLUSH",AND(N28&lt;= 11, S28=10), "FLUSH",AND(N28&lt;= 21, S28=10), "PRODUCTION")</f>
        <v>SOWING</v>
      </c>
      <c r="U28">
        <f>HOUR(datos_siembra[[#This Row],[Hour]])</f>
        <v>17</v>
      </c>
      <c r="V28" cm="1">
        <f t="array" ref="V28">_xlfn.IFS(AND(N28&lt;= 22, S28=9), N28-7,AND(N28&lt;= 28, S28=9), N28-25,AND(N28&lt;= 30, S28=9), N28-28,AND(N28&lt;= 11, S28=10), N28+2,AND(N28&lt;= 21, S28=10), N28-11)</f>
        <v>1</v>
      </c>
    </row>
    <row r="29" spans="1:22" x14ac:dyDescent="0.35">
      <c r="A29" s="4">
        <v>45543</v>
      </c>
      <c r="B29" s="5">
        <v>0.75484953703703705</v>
      </c>
      <c r="C29">
        <v>79.900000000000006</v>
      </c>
      <c r="D29">
        <v>81.7</v>
      </c>
      <c r="E29">
        <v>81.2</v>
      </c>
      <c r="F29">
        <v>77.3</v>
      </c>
      <c r="G29">
        <v>0</v>
      </c>
      <c r="H29">
        <v>0</v>
      </c>
      <c r="I29">
        <v>0</v>
      </c>
      <c r="J29">
        <v>0</v>
      </c>
      <c r="K29">
        <v>67.7</v>
      </c>
      <c r="L29">
        <v>65.7</v>
      </c>
      <c r="M29">
        <v>80.069999999999993</v>
      </c>
      <c r="N29">
        <v>8</v>
      </c>
      <c r="O29">
        <v>5</v>
      </c>
      <c r="P29">
        <f>MOD(DAY(datos_siembra[[#This Row],[Date]]),7)</f>
        <v>1</v>
      </c>
      <c r="Q29" t="str">
        <f>CHOOSE(WEEKDAY(datos_siembra[[#This Row],[Date]],2),"L","M","X","J","V","S","D")</f>
        <v>D</v>
      </c>
      <c r="R29">
        <f>WEEKNUM(datos_siembra[[#This Row],[Date]],2)-WEEKNUM(DATE(YEAR(datos_siembra[[#This Row],[Date]]),MONTH(datos_siembra[[#This Row],[Date]]),1))+1</f>
        <v>1</v>
      </c>
      <c r="S29">
        <f>MONTH(datos_siembra[[#This Row],[Date]])</f>
        <v>9</v>
      </c>
      <c r="T29" t="str" cm="1">
        <f t="array" ref="T29">_xlfn.IFS(AND(N29&lt;= 22, S29=9), "SOWING",AND(N29&lt;= 28, S29=9), "COVERAGE",AND(N29&lt;= 30, S29=9), "FLUSH",AND(N29&lt;= 11, S29=10), "FLUSH",AND(N29&lt;= 21, S29=10), "PRODUCTION")</f>
        <v>SOWING</v>
      </c>
      <c r="U29">
        <f>HOUR(datos_siembra[[#This Row],[Hour]])</f>
        <v>18</v>
      </c>
      <c r="V29" cm="1">
        <f t="array" ref="V29">_xlfn.IFS(AND(N29&lt;= 22, S29=9), N29-7,AND(N29&lt;= 28, S29=9), N29-25,AND(N29&lt;= 30, S29=9), N29-28,AND(N29&lt;= 11, S29=10), N29+2,AND(N29&lt;= 21, S29=10), N29-11)</f>
        <v>1</v>
      </c>
    </row>
    <row r="30" spans="1:22" x14ac:dyDescent="0.35">
      <c r="A30" s="4">
        <v>45543</v>
      </c>
      <c r="B30" s="5">
        <v>0.76179398148148147</v>
      </c>
      <c r="C30">
        <v>79.7</v>
      </c>
      <c r="D30">
        <v>81.8</v>
      </c>
      <c r="E30">
        <v>81.400000000000006</v>
      </c>
      <c r="F30">
        <v>77.2</v>
      </c>
      <c r="G30">
        <v>0</v>
      </c>
      <c r="H30">
        <v>0</v>
      </c>
      <c r="I30">
        <v>0</v>
      </c>
      <c r="J30">
        <v>0</v>
      </c>
      <c r="K30">
        <v>67.3</v>
      </c>
      <c r="L30">
        <v>65.2</v>
      </c>
      <c r="M30">
        <v>80.12</v>
      </c>
      <c r="N30">
        <v>8</v>
      </c>
      <c r="O30">
        <v>5</v>
      </c>
      <c r="P30">
        <f>MOD(DAY(datos_siembra[[#This Row],[Date]]),7)</f>
        <v>1</v>
      </c>
      <c r="Q30" t="str">
        <f>CHOOSE(WEEKDAY(datos_siembra[[#This Row],[Date]],2),"L","M","X","J","V","S","D")</f>
        <v>D</v>
      </c>
      <c r="R30">
        <f>WEEKNUM(datos_siembra[[#This Row],[Date]],2)-WEEKNUM(DATE(YEAR(datos_siembra[[#This Row],[Date]]),MONTH(datos_siembra[[#This Row],[Date]]),1))+1</f>
        <v>1</v>
      </c>
      <c r="S30">
        <f>MONTH(datos_siembra[[#This Row],[Date]])</f>
        <v>9</v>
      </c>
      <c r="T30" t="str" cm="1">
        <f t="array" ref="T30">_xlfn.IFS(AND(N30&lt;= 22, S30=9), "SOWING",AND(N30&lt;= 28, S30=9), "COVERAGE",AND(N30&lt;= 30, S30=9), "FLUSH",AND(N30&lt;= 11, S30=10), "FLUSH",AND(N30&lt;= 21, S30=10), "PRODUCTION")</f>
        <v>SOWING</v>
      </c>
      <c r="U30">
        <f>HOUR(datos_siembra[[#This Row],[Hour]])</f>
        <v>18</v>
      </c>
      <c r="V30" cm="1">
        <f t="array" ref="V30">_xlfn.IFS(AND(N30&lt;= 22, S30=9), N30-7,AND(N30&lt;= 28, S30=9), N30-25,AND(N30&lt;= 30, S30=9), N30-28,AND(N30&lt;= 11, S30=10), N30+2,AND(N30&lt;= 21, S30=10), N30-11)</f>
        <v>1</v>
      </c>
    </row>
    <row r="31" spans="1:22" x14ac:dyDescent="0.35">
      <c r="A31" s="4">
        <v>45543</v>
      </c>
      <c r="B31" s="5">
        <v>0.76875000000000004</v>
      </c>
      <c r="C31">
        <v>79.8</v>
      </c>
      <c r="D31">
        <v>81.8</v>
      </c>
      <c r="E31">
        <v>81.3</v>
      </c>
      <c r="F31">
        <v>77.2</v>
      </c>
      <c r="G31">
        <v>0</v>
      </c>
      <c r="H31">
        <v>0</v>
      </c>
      <c r="I31">
        <v>0</v>
      </c>
      <c r="J31">
        <v>0</v>
      </c>
      <c r="K31">
        <v>67.099999999999994</v>
      </c>
      <c r="L31">
        <v>65.099999999999994</v>
      </c>
      <c r="M31">
        <v>80.040000000000006</v>
      </c>
      <c r="N31">
        <v>8</v>
      </c>
      <c r="O31">
        <v>5</v>
      </c>
      <c r="P31">
        <f>MOD(DAY(datos_siembra[[#This Row],[Date]]),7)</f>
        <v>1</v>
      </c>
      <c r="Q31" t="str">
        <f>CHOOSE(WEEKDAY(datos_siembra[[#This Row],[Date]],2),"L","M","X","J","V","S","D")</f>
        <v>D</v>
      </c>
      <c r="R31">
        <f>WEEKNUM(datos_siembra[[#This Row],[Date]],2)-WEEKNUM(DATE(YEAR(datos_siembra[[#This Row],[Date]]),MONTH(datos_siembra[[#This Row],[Date]]),1))+1</f>
        <v>1</v>
      </c>
      <c r="S31">
        <f>MONTH(datos_siembra[[#This Row],[Date]])</f>
        <v>9</v>
      </c>
      <c r="T31" t="str" cm="1">
        <f t="array" ref="T31">_xlfn.IFS(AND(N31&lt;= 22, S31=9), "SOWING",AND(N31&lt;= 28, S31=9), "COVERAGE",AND(N31&lt;= 30, S31=9), "FLUSH",AND(N31&lt;= 11, S31=10), "FLUSH",AND(N31&lt;= 21, S31=10), "PRODUCTION")</f>
        <v>SOWING</v>
      </c>
      <c r="U31">
        <f>HOUR(datos_siembra[[#This Row],[Hour]])</f>
        <v>18</v>
      </c>
      <c r="V31" cm="1">
        <f t="array" ref="V31">_xlfn.IFS(AND(N31&lt;= 22, S31=9), N31-7,AND(N31&lt;= 28, S31=9), N31-25,AND(N31&lt;= 30, S31=9), N31-28,AND(N31&lt;= 11, S31=10), N31+2,AND(N31&lt;= 21, S31=10), N31-11)</f>
        <v>1</v>
      </c>
    </row>
    <row r="32" spans="1:22" x14ac:dyDescent="0.35">
      <c r="A32" s="4">
        <v>45543</v>
      </c>
      <c r="B32" s="5">
        <v>0.77569444444444446</v>
      </c>
      <c r="C32">
        <v>79.8</v>
      </c>
      <c r="D32">
        <v>81.8</v>
      </c>
      <c r="E32">
        <v>81.099999999999994</v>
      </c>
      <c r="F32">
        <v>77.3</v>
      </c>
      <c r="G32">
        <v>0</v>
      </c>
      <c r="H32">
        <v>0</v>
      </c>
      <c r="I32">
        <v>0</v>
      </c>
      <c r="J32">
        <v>0</v>
      </c>
      <c r="K32">
        <v>67.099999999999994</v>
      </c>
      <c r="L32">
        <v>65</v>
      </c>
      <c r="M32">
        <v>79.95</v>
      </c>
      <c r="N32">
        <v>8</v>
      </c>
      <c r="O32">
        <v>5</v>
      </c>
      <c r="P32">
        <f>MOD(DAY(datos_siembra[[#This Row],[Date]]),7)</f>
        <v>1</v>
      </c>
      <c r="Q32" t="str">
        <f>CHOOSE(WEEKDAY(datos_siembra[[#This Row],[Date]],2),"L","M","X","J","V","S","D")</f>
        <v>D</v>
      </c>
      <c r="R32">
        <f>WEEKNUM(datos_siembra[[#This Row],[Date]],2)-WEEKNUM(DATE(YEAR(datos_siembra[[#This Row],[Date]]),MONTH(datos_siembra[[#This Row],[Date]]),1))+1</f>
        <v>1</v>
      </c>
      <c r="S32">
        <f>MONTH(datos_siembra[[#This Row],[Date]])</f>
        <v>9</v>
      </c>
      <c r="T32" t="str" cm="1">
        <f t="array" ref="T32">_xlfn.IFS(AND(N32&lt;= 22, S32=9), "SOWING",AND(N32&lt;= 28, S32=9), "COVERAGE",AND(N32&lt;= 30, S32=9), "FLUSH",AND(N32&lt;= 11, S32=10), "FLUSH",AND(N32&lt;= 21, S32=10), "PRODUCTION")</f>
        <v>SOWING</v>
      </c>
      <c r="U32">
        <f>HOUR(datos_siembra[[#This Row],[Hour]])</f>
        <v>18</v>
      </c>
      <c r="V32" cm="1">
        <f t="array" ref="V32">_xlfn.IFS(AND(N32&lt;= 22, S32=9), N32-7,AND(N32&lt;= 28, S32=9), N32-25,AND(N32&lt;= 30, S32=9), N32-28,AND(N32&lt;= 11, S32=10), N32+2,AND(N32&lt;= 21, S32=10), N32-11)</f>
        <v>1</v>
      </c>
    </row>
    <row r="33" spans="1:22" x14ac:dyDescent="0.35">
      <c r="A33" s="4">
        <v>45543</v>
      </c>
      <c r="B33" s="5">
        <v>0.78263888888888888</v>
      </c>
      <c r="C33">
        <v>79.7</v>
      </c>
      <c r="D33">
        <v>81.8</v>
      </c>
      <c r="E33">
        <v>81.099999999999994</v>
      </c>
      <c r="F33">
        <v>77.5</v>
      </c>
      <c r="G33">
        <v>0</v>
      </c>
      <c r="H33">
        <v>0</v>
      </c>
      <c r="I33">
        <v>0</v>
      </c>
      <c r="J33">
        <v>0</v>
      </c>
      <c r="K33">
        <v>67</v>
      </c>
      <c r="L33">
        <v>65.900000000000006</v>
      </c>
      <c r="M33">
        <v>79.95</v>
      </c>
      <c r="N33">
        <v>8</v>
      </c>
      <c r="O33">
        <v>5</v>
      </c>
      <c r="P33">
        <f>MOD(DAY(datos_siembra[[#This Row],[Date]]),7)</f>
        <v>1</v>
      </c>
      <c r="Q33" t="str">
        <f>CHOOSE(WEEKDAY(datos_siembra[[#This Row],[Date]],2),"L","M","X","J","V","S","D")</f>
        <v>D</v>
      </c>
      <c r="R33">
        <f>WEEKNUM(datos_siembra[[#This Row],[Date]],2)-WEEKNUM(DATE(YEAR(datos_siembra[[#This Row],[Date]]),MONTH(datos_siembra[[#This Row],[Date]]),1))+1</f>
        <v>1</v>
      </c>
      <c r="S33">
        <f>MONTH(datos_siembra[[#This Row],[Date]])</f>
        <v>9</v>
      </c>
      <c r="T33" t="str" cm="1">
        <f t="array" ref="T33">_xlfn.IFS(AND(N33&lt;= 22, S33=9), "SOWING",AND(N33&lt;= 28, S33=9), "COVERAGE",AND(N33&lt;= 30, S33=9), "FLUSH",AND(N33&lt;= 11, S33=10), "FLUSH",AND(N33&lt;= 21, S33=10), "PRODUCTION")</f>
        <v>SOWING</v>
      </c>
      <c r="U33">
        <f>HOUR(datos_siembra[[#This Row],[Hour]])</f>
        <v>18</v>
      </c>
      <c r="V33" cm="1">
        <f t="array" ref="V33">_xlfn.IFS(AND(N33&lt;= 22, S33=9), N33-7,AND(N33&lt;= 28, S33=9), N33-25,AND(N33&lt;= 30, S33=9), N33-28,AND(N33&lt;= 11, S33=10), N33+2,AND(N33&lt;= 21, S33=10), N33-11)</f>
        <v>1</v>
      </c>
    </row>
    <row r="34" spans="1:22" x14ac:dyDescent="0.35">
      <c r="A34" s="4">
        <v>45543</v>
      </c>
      <c r="B34" s="5">
        <v>0.78959490740740745</v>
      </c>
      <c r="C34">
        <v>79.8</v>
      </c>
      <c r="D34">
        <v>81.8</v>
      </c>
      <c r="E34">
        <v>81.099999999999994</v>
      </c>
      <c r="F34">
        <v>77.3</v>
      </c>
      <c r="G34">
        <v>0</v>
      </c>
      <c r="H34">
        <v>0</v>
      </c>
      <c r="I34">
        <v>0</v>
      </c>
      <c r="J34">
        <v>0</v>
      </c>
      <c r="K34">
        <v>66.8</v>
      </c>
      <c r="L34">
        <v>64.8</v>
      </c>
      <c r="M34">
        <v>79.900000000000006</v>
      </c>
      <c r="N34">
        <v>8</v>
      </c>
      <c r="O34">
        <v>5</v>
      </c>
      <c r="P34">
        <f>MOD(DAY(datos_siembra[[#This Row],[Date]]),7)</f>
        <v>1</v>
      </c>
      <c r="Q34" t="str">
        <f>CHOOSE(WEEKDAY(datos_siembra[[#This Row],[Date]],2),"L","M","X","J","V","S","D")</f>
        <v>D</v>
      </c>
      <c r="R34">
        <f>WEEKNUM(datos_siembra[[#This Row],[Date]],2)-WEEKNUM(DATE(YEAR(datos_siembra[[#This Row],[Date]]),MONTH(datos_siembra[[#This Row],[Date]]),1))+1</f>
        <v>1</v>
      </c>
      <c r="S34">
        <f>MONTH(datos_siembra[[#This Row],[Date]])</f>
        <v>9</v>
      </c>
      <c r="T34" t="str" cm="1">
        <f t="array" ref="T34">_xlfn.IFS(AND(N34&lt;= 22, S34=9), "SOWING",AND(N34&lt;= 28, S34=9), "COVERAGE",AND(N34&lt;= 30, S34=9), "FLUSH",AND(N34&lt;= 11, S34=10), "FLUSH",AND(N34&lt;= 21, S34=10), "PRODUCTION")</f>
        <v>SOWING</v>
      </c>
      <c r="U34">
        <f>HOUR(datos_siembra[[#This Row],[Hour]])</f>
        <v>18</v>
      </c>
      <c r="V34" cm="1">
        <f t="array" ref="V34">_xlfn.IFS(AND(N34&lt;= 22, S34=9), N34-7,AND(N34&lt;= 28, S34=9), N34-25,AND(N34&lt;= 30, S34=9), N34-28,AND(N34&lt;= 11, S34=10), N34+2,AND(N34&lt;= 21, S34=10), N34-11)</f>
        <v>1</v>
      </c>
    </row>
    <row r="35" spans="1:22" x14ac:dyDescent="0.35">
      <c r="A35" s="4">
        <v>45543</v>
      </c>
      <c r="B35" s="5">
        <v>0.79653935185185187</v>
      </c>
      <c r="C35">
        <v>79.8</v>
      </c>
      <c r="D35">
        <v>81.8</v>
      </c>
      <c r="E35">
        <v>80.900000000000006</v>
      </c>
      <c r="F35">
        <v>77.2</v>
      </c>
      <c r="G35">
        <v>0</v>
      </c>
      <c r="H35">
        <v>0</v>
      </c>
      <c r="I35">
        <v>0</v>
      </c>
      <c r="J35">
        <v>0</v>
      </c>
      <c r="K35">
        <v>66.8</v>
      </c>
      <c r="L35">
        <v>64.599999999999994</v>
      </c>
      <c r="M35">
        <v>80.010000000000005</v>
      </c>
      <c r="N35">
        <v>8</v>
      </c>
      <c r="O35">
        <v>5</v>
      </c>
      <c r="P35">
        <f>MOD(DAY(datos_siembra[[#This Row],[Date]]),7)</f>
        <v>1</v>
      </c>
      <c r="Q35" t="str">
        <f>CHOOSE(WEEKDAY(datos_siembra[[#This Row],[Date]],2),"L","M","X","J","V","S","D")</f>
        <v>D</v>
      </c>
      <c r="R35">
        <f>WEEKNUM(datos_siembra[[#This Row],[Date]],2)-WEEKNUM(DATE(YEAR(datos_siembra[[#This Row],[Date]]),MONTH(datos_siembra[[#This Row],[Date]]),1))+1</f>
        <v>1</v>
      </c>
      <c r="S35">
        <f>MONTH(datos_siembra[[#This Row],[Date]])</f>
        <v>9</v>
      </c>
      <c r="T35" t="str" cm="1">
        <f t="array" ref="T35">_xlfn.IFS(AND(N35&lt;= 22, S35=9), "SOWING",AND(N35&lt;= 28, S35=9), "COVERAGE",AND(N35&lt;= 30, S35=9), "FLUSH",AND(N35&lt;= 11, S35=10), "FLUSH",AND(N35&lt;= 21, S35=10), "PRODUCTION")</f>
        <v>SOWING</v>
      </c>
      <c r="U35">
        <f>HOUR(datos_siembra[[#This Row],[Hour]])</f>
        <v>19</v>
      </c>
      <c r="V35" cm="1">
        <f t="array" ref="V35">_xlfn.IFS(AND(N35&lt;= 22, S35=9), N35-7,AND(N35&lt;= 28, S35=9), N35-25,AND(N35&lt;= 30, S35=9), N35-28,AND(N35&lt;= 11, S35=10), N35+2,AND(N35&lt;= 21, S35=10), N35-11)</f>
        <v>1</v>
      </c>
    </row>
    <row r="36" spans="1:22" x14ac:dyDescent="0.35">
      <c r="A36" s="4">
        <v>45543</v>
      </c>
      <c r="B36" s="5">
        <v>0.80348379629629629</v>
      </c>
      <c r="C36">
        <v>79.599999999999994</v>
      </c>
      <c r="D36">
        <v>81.8</v>
      </c>
      <c r="E36">
        <v>81.099999999999994</v>
      </c>
      <c r="F36">
        <v>77.3</v>
      </c>
      <c r="G36">
        <v>0</v>
      </c>
      <c r="H36">
        <v>0</v>
      </c>
      <c r="I36">
        <v>0</v>
      </c>
      <c r="J36">
        <v>0</v>
      </c>
      <c r="K36">
        <v>66.599999999999994</v>
      </c>
      <c r="L36">
        <v>64.5</v>
      </c>
      <c r="M36">
        <v>79.95</v>
      </c>
      <c r="N36">
        <v>8</v>
      </c>
      <c r="O36">
        <v>5</v>
      </c>
      <c r="P36">
        <f>MOD(DAY(datos_siembra[[#This Row],[Date]]),7)</f>
        <v>1</v>
      </c>
      <c r="Q36" t="str">
        <f>CHOOSE(WEEKDAY(datos_siembra[[#This Row],[Date]],2),"L","M","X","J","V","S","D")</f>
        <v>D</v>
      </c>
      <c r="R36">
        <f>WEEKNUM(datos_siembra[[#This Row],[Date]],2)-WEEKNUM(DATE(YEAR(datos_siembra[[#This Row],[Date]]),MONTH(datos_siembra[[#This Row],[Date]]),1))+1</f>
        <v>1</v>
      </c>
      <c r="S36">
        <f>MONTH(datos_siembra[[#This Row],[Date]])</f>
        <v>9</v>
      </c>
      <c r="T36" t="str" cm="1">
        <f t="array" ref="T36">_xlfn.IFS(AND(N36&lt;= 22, S36=9), "SOWING",AND(N36&lt;= 28, S36=9), "COVERAGE",AND(N36&lt;= 30, S36=9), "FLUSH",AND(N36&lt;= 11, S36=10), "FLUSH",AND(N36&lt;= 21, S36=10), "PRODUCTION")</f>
        <v>SOWING</v>
      </c>
      <c r="U36">
        <f>HOUR(datos_siembra[[#This Row],[Hour]])</f>
        <v>19</v>
      </c>
      <c r="V36" cm="1">
        <f t="array" ref="V36">_xlfn.IFS(AND(N36&lt;= 22, S36=9), N36-7,AND(N36&lt;= 28, S36=9), N36-25,AND(N36&lt;= 30, S36=9), N36-28,AND(N36&lt;= 11, S36=10), N36+2,AND(N36&lt;= 21, S36=10), N36-11)</f>
        <v>1</v>
      </c>
    </row>
    <row r="37" spans="1:22" x14ac:dyDescent="0.35">
      <c r="A37" s="4">
        <v>45543</v>
      </c>
      <c r="B37" s="5">
        <v>0.81043981481481486</v>
      </c>
      <c r="C37">
        <v>79.7</v>
      </c>
      <c r="D37">
        <v>81.7</v>
      </c>
      <c r="E37">
        <v>81.3</v>
      </c>
      <c r="F37">
        <v>77.2</v>
      </c>
      <c r="G37">
        <v>0</v>
      </c>
      <c r="H37">
        <v>0</v>
      </c>
      <c r="I37">
        <v>0</v>
      </c>
      <c r="J37">
        <v>0</v>
      </c>
      <c r="K37">
        <v>66.400000000000006</v>
      </c>
      <c r="L37">
        <v>64.3</v>
      </c>
      <c r="M37">
        <v>80.09</v>
      </c>
      <c r="N37">
        <v>8</v>
      </c>
      <c r="O37">
        <v>5</v>
      </c>
      <c r="P37">
        <f>MOD(DAY(datos_siembra[[#This Row],[Date]]),7)</f>
        <v>1</v>
      </c>
      <c r="Q37" t="str">
        <f>CHOOSE(WEEKDAY(datos_siembra[[#This Row],[Date]],2),"L","M","X","J","V","S","D")</f>
        <v>D</v>
      </c>
      <c r="R37">
        <f>WEEKNUM(datos_siembra[[#This Row],[Date]],2)-WEEKNUM(DATE(YEAR(datos_siembra[[#This Row],[Date]]),MONTH(datos_siembra[[#This Row],[Date]]),1))+1</f>
        <v>1</v>
      </c>
      <c r="S37">
        <f>MONTH(datos_siembra[[#This Row],[Date]])</f>
        <v>9</v>
      </c>
      <c r="T37" t="str" cm="1">
        <f t="array" ref="T37">_xlfn.IFS(AND(N37&lt;= 22, S37=9), "SOWING",AND(N37&lt;= 28, S37=9), "COVERAGE",AND(N37&lt;= 30, S37=9), "FLUSH",AND(N37&lt;= 11, S37=10), "FLUSH",AND(N37&lt;= 21, S37=10), "PRODUCTION")</f>
        <v>SOWING</v>
      </c>
      <c r="U37">
        <f>HOUR(datos_siembra[[#This Row],[Hour]])</f>
        <v>19</v>
      </c>
      <c r="V37" cm="1">
        <f t="array" ref="V37">_xlfn.IFS(AND(N37&lt;= 22, S37=9), N37-7,AND(N37&lt;= 28, S37=9), N37-25,AND(N37&lt;= 30, S37=9), N37-28,AND(N37&lt;= 11, S37=10), N37+2,AND(N37&lt;= 21, S37=10), N37-11)</f>
        <v>1</v>
      </c>
    </row>
    <row r="38" spans="1:22" x14ac:dyDescent="0.35">
      <c r="A38" s="4">
        <v>45543</v>
      </c>
      <c r="B38" s="5">
        <v>0.81738425925925928</v>
      </c>
      <c r="C38">
        <v>79.8</v>
      </c>
      <c r="D38">
        <v>81.8</v>
      </c>
      <c r="E38">
        <v>81.099999999999994</v>
      </c>
      <c r="F38">
        <v>77.5</v>
      </c>
      <c r="G38">
        <v>0</v>
      </c>
      <c r="H38">
        <v>0</v>
      </c>
      <c r="I38">
        <v>0</v>
      </c>
      <c r="J38">
        <v>0</v>
      </c>
      <c r="K38">
        <v>66.400000000000006</v>
      </c>
      <c r="L38">
        <v>64.2</v>
      </c>
      <c r="M38">
        <v>80.010000000000005</v>
      </c>
      <c r="N38">
        <v>8</v>
      </c>
      <c r="O38">
        <v>5</v>
      </c>
      <c r="P38">
        <f>MOD(DAY(datos_siembra[[#This Row],[Date]]),7)</f>
        <v>1</v>
      </c>
      <c r="Q38" t="str">
        <f>CHOOSE(WEEKDAY(datos_siembra[[#This Row],[Date]],2),"L","M","X","J","V","S","D")</f>
        <v>D</v>
      </c>
      <c r="R38">
        <f>WEEKNUM(datos_siembra[[#This Row],[Date]],2)-WEEKNUM(DATE(YEAR(datos_siembra[[#This Row],[Date]]),MONTH(datos_siembra[[#This Row],[Date]]),1))+1</f>
        <v>1</v>
      </c>
      <c r="S38">
        <f>MONTH(datos_siembra[[#This Row],[Date]])</f>
        <v>9</v>
      </c>
      <c r="T38" t="str" cm="1">
        <f t="array" ref="T38">_xlfn.IFS(AND(N38&lt;= 22, S38=9), "SOWING",AND(N38&lt;= 28, S38=9), "COVERAGE",AND(N38&lt;= 30, S38=9), "FLUSH",AND(N38&lt;= 11, S38=10), "FLUSH",AND(N38&lt;= 21, S38=10), "PRODUCTION")</f>
        <v>SOWING</v>
      </c>
      <c r="U38">
        <f>HOUR(datos_siembra[[#This Row],[Hour]])</f>
        <v>19</v>
      </c>
      <c r="V38" cm="1">
        <f t="array" ref="V38">_xlfn.IFS(AND(N38&lt;= 22, S38=9), N38-7,AND(N38&lt;= 28, S38=9), N38-25,AND(N38&lt;= 30, S38=9), N38-28,AND(N38&lt;= 11, S38=10), N38+2,AND(N38&lt;= 21, S38=10), N38-11)</f>
        <v>1</v>
      </c>
    </row>
    <row r="39" spans="1:22" x14ac:dyDescent="0.35">
      <c r="A39" s="4">
        <v>45543</v>
      </c>
      <c r="B39" s="5">
        <v>0.8243287037037037</v>
      </c>
      <c r="C39">
        <v>79.8</v>
      </c>
      <c r="D39">
        <v>81.8</v>
      </c>
      <c r="E39">
        <v>81.7</v>
      </c>
      <c r="F39">
        <v>77.5</v>
      </c>
      <c r="G39">
        <v>0</v>
      </c>
      <c r="H39">
        <v>0</v>
      </c>
      <c r="I39">
        <v>0</v>
      </c>
      <c r="J39">
        <v>0</v>
      </c>
      <c r="K39">
        <v>66.2</v>
      </c>
      <c r="L39">
        <v>64</v>
      </c>
      <c r="M39">
        <v>80.040000000000006</v>
      </c>
      <c r="N39">
        <v>8</v>
      </c>
      <c r="O39">
        <v>5</v>
      </c>
      <c r="P39">
        <f>MOD(DAY(datos_siembra[[#This Row],[Date]]),7)</f>
        <v>1</v>
      </c>
      <c r="Q39" t="str">
        <f>CHOOSE(WEEKDAY(datos_siembra[[#This Row],[Date]],2),"L","M","X","J","V","S","D")</f>
        <v>D</v>
      </c>
      <c r="R39">
        <f>WEEKNUM(datos_siembra[[#This Row],[Date]],2)-WEEKNUM(DATE(YEAR(datos_siembra[[#This Row],[Date]]),MONTH(datos_siembra[[#This Row],[Date]]),1))+1</f>
        <v>1</v>
      </c>
      <c r="S39">
        <f>MONTH(datos_siembra[[#This Row],[Date]])</f>
        <v>9</v>
      </c>
      <c r="T39" t="str" cm="1">
        <f t="array" ref="T39">_xlfn.IFS(AND(N39&lt;= 22, S39=9), "SOWING",AND(N39&lt;= 28, S39=9), "COVERAGE",AND(N39&lt;= 30, S39=9), "FLUSH",AND(N39&lt;= 11, S39=10), "FLUSH",AND(N39&lt;= 21, S39=10), "PRODUCTION")</f>
        <v>SOWING</v>
      </c>
      <c r="U39">
        <f>HOUR(datos_siembra[[#This Row],[Hour]])</f>
        <v>19</v>
      </c>
      <c r="V39" cm="1">
        <f t="array" ref="V39">_xlfn.IFS(AND(N39&lt;= 22, S39=9), N39-7,AND(N39&lt;= 28, S39=9), N39-25,AND(N39&lt;= 30, S39=9), N39-28,AND(N39&lt;= 11, S39=10), N39+2,AND(N39&lt;= 21, S39=10), N39-11)</f>
        <v>1</v>
      </c>
    </row>
    <row r="40" spans="1:22" x14ac:dyDescent="0.35">
      <c r="A40" s="4">
        <v>45543</v>
      </c>
      <c r="B40" s="5">
        <v>0.83127314814814812</v>
      </c>
      <c r="C40">
        <v>79.5</v>
      </c>
      <c r="D40">
        <v>81.8</v>
      </c>
      <c r="E40">
        <v>81.2</v>
      </c>
      <c r="F40">
        <v>77.599999999999994</v>
      </c>
      <c r="G40">
        <v>0</v>
      </c>
      <c r="H40">
        <v>0</v>
      </c>
      <c r="I40">
        <v>0</v>
      </c>
      <c r="J40">
        <v>0</v>
      </c>
      <c r="K40">
        <v>66.099999999999994</v>
      </c>
      <c r="L40">
        <v>64.900000000000006</v>
      </c>
      <c r="M40">
        <v>79.87</v>
      </c>
      <c r="N40">
        <v>8</v>
      </c>
      <c r="O40">
        <v>5</v>
      </c>
      <c r="P40">
        <f>MOD(DAY(datos_siembra[[#This Row],[Date]]),7)</f>
        <v>1</v>
      </c>
      <c r="Q40" t="str">
        <f>CHOOSE(WEEKDAY(datos_siembra[[#This Row],[Date]],2),"L","M","X","J","V","S","D")</f>
        <v>D</v>
      </c>
      <c r="R40">
        <f>WEEKNUM(datos_siembra[[#This Row],[Date]],2)-WEEKNUM(DATE(YEAR(datos_siembra[[#This Row],[Date]]),MONTH(datos_siembra[[#This Row],[Date]]),1))+1</f>
        <v>1</v>
      </c>
      <c r="S40">
        <f>MONTH(datos_siembra[[#This Row],[Date]])</f>
        <v>9</v>
      </c>
      <c r="T40" t="str" cm="1">
        <f t="array" ref="T40">_xlfn.IFS(AND(N40&lt;= 22, S40=9), "SOWING",AND(N40&lt;= 28, S40=9), "COVERAGE",AND(N40&lt;= 30, S40=9), "FLUSH",AND(N40&lt;= 11, S40=10), "FLUSH",AND(N40&lt;= 21, S40=10), "PRODUCTION")</f>
        <v>SOWING</v>
      </c>
      <c r="U40">
        <f>HOUR(datos_siembra[[#This Row],[Hour]])</f>
        <v>19</v>
      </c>
      <c r="V40" cm="1">
        <f t="array" ref="V40">_xlfn.IFS(AND(N40&lt;= 22, S40=9), N40-7,AND(N40&lt;= 28, S40=9), N40-25,AND(N40&lt;= 30, S40=9), N40-28,AND(N40&lt;= 11, S40=10), N40+2,AND(N40&lt;= 21, S40=10), N40-11)</f>
        <v>1</v>
      </c>
    </row>
    <row r="41" spans="1:22" x14ac:dyDescent="0.35">
      <c r="A41" s="4">
        <v>45543</v>
      </c>
      <c r="B41" s="5">
        <v>0.83822916666666669</v>
      </c>
      <c r="C41">
        <v>79.7</v>
      </c>
      <c r="D41">
        <v>81.7</v>
      </c>
      <c r="E41">
        <v>81.2</v>
      </c>
      <c r="F41">
        <v>77.3</v>
      </c>
      <c r="G41">
        <v>0</v>
      </c>
      <c r="H41">
        <v>0</v>
      </c>
      <c r="I41">
        <v>0</v>
      </c>
      <c r="J41">
        <v>0</v>
      </c>
      <c r="K41">
        <v>66.5</v>
      </c>
      <c r="L41">
        <v>64.400000000000006</v>
      </c>
      <c r="M41">
        <v>79.98</v>
      </c>
      <c r="N41">
        <v>8</v>
      </c>
      <c r="O41">
        <v>5</v>
      </c>
      <c r="P41">
        <f>MOD(DAY(datos_siembra[[#This Row],[Date]]),7)</f>
        <v>1</v>
      </c>
      <c r="Q41" t="str">
        <f>CHOOSE(WEEKDAY(datos_siembra[[#This Row],[Date]],2),"L","M","X","J","V","S","D")</f>
        <v>D</v>
      </c>
      <c r="R41">
        <f>WEEKNUM(datos_siembra[[#This Row],[Date]],2)-WEEKNUM(DATE(YEAR(datos_siembra[[#This Row],[Date]]),MONTH(datos_siembra[[#This Row],[Date]]),1))+1</f>
        <v>1</v>
      </c>
      <c r="S41">
        <f>MONTH(datos_siembra[[#This Row],[Date]])</f>
        <v>9</v>
      </c>
      <c r="T41" t="str" cm="1">
        <f t="array" ref="T41">_xlfn.IFS(AND(N41&lt;= 22, S41=9), "SOWING",AND(N41&lt;= 28, S41=9), "COVERAGE",AND(N41&lt;= 30, S41=9), "FLUSH",AND(N41&lt;= 11, S41=10), "FLUSH",AND(N41&lt;= 21, S41=10), "PRODUCTION")</f>
        <v>SOWING</v>
      </c>
      <c r="U41">
        <f>HOUR(datos_siembra[[#This Row],[Hour]])</f>
        <v>20</v>
      </c>
      <c r="V41" cm="1">
        <f t="array" ref="V41">_xlfn.IFS(AND(N41&lt;= 22, S41=9), N41-7,AND(N41&lt;= 28, S41=9), N41-25,AND(N41&lt;= 30, S41=9), N41-28,AND(N41&lt;= 11, S41=10), N41+2,AND(N41&lt;= 21, S41=10), N41-11)</f>
        <v>1</v>
      </c>
    </row>
    <row r="42" spans="1:22" x14ac:dyDescent="0.35">
      <c r="A42" s="4">
        <v>45543</v>
      </c>
      <c r="B42" s="5">
        <v>0.84517361111111111</v>
      </c>
      <c r="C42">
        <v>79.599999999999994</v>
      </c>
      <c r="D42">
        <v>81.8</v>
      </c>
      <c r="E42">
        <v>81.5</v>
      </c>
      <c r="F42">
        <v>77.5</v>
      </c>
      <c r="G42">
        <v>0</v>
      </c>
      <c r="H42">
        <v>0</v>
      </c>
      <c r="I42">
        <v>0</v>
      </c>
      <c r="J42">
        <v>0</v>
      </c>
      <c r="K42">
        <v>67.2</v>
      </c>
      <c r="L42">
        <v>65.3</v>
      </c>
      <c r="M42">
        <v>80.150000000000006</v>
      </c>
      <c r="N42">
        <v>8</v>
      </c>
      <c r="O42">
        <v>5</v>
      </c>
      <c r="P42">
        <f>MOD(DAY(datos_siembra[[#This Row],[Date]]),7)</f>
        <v>1</v>
      </c>
      <c r="Q42" t="str">
        <f>CHOOSE(WEEKDAY(datos_siembra[[#This Row],[Date]],2),"L","M","X","J","V","S","D")</f>
        <v>D</v>
      </c>
      <c r="R42">
        <f>WEEKNUM(datos_siembra[[#This Row],[Date]],2)-WEEKNUM(DATE(YEAR(datos_siembra[[#This Row],[Date]]),MONTH(datos_siembra[[#This Row],[Date]]),1))+1</f>
        <v>1</v>
      </c>
      <c r="S42">
        <f>MONTH(datos_siembra[[#This Row],[Date]])</f>
        <v>9</v>
      </c>
      <c r="T42" t="str" cm="1">
        <f t="array" ref="T42">_xlfn.IFS(AND(N42&lt;= 22, S42=9), "SOWING",AND(N42&lt;= 28, S42=9), "COVERAGE",AND(N42&lt;= 30, S42=9), "FLUSH",AND(N42&lt;= 11, S42=10), "FLUSH",AND(N42&lt;= 21, S42=10), "PRODUCTION")</f>
        <v>SOWING</v>
      </c>
      <c r="U42">
        <f>HOUR(datos_siembra[[#This Row],[Hour]])</f>
        <v>20</v>
      </c>
      <c r="V42" cm="1">
        <f t="array" ref="V42">_xlfn.IFS(AND(N42&lt;= 22, S42=9), N42-7,AND(N42&lt;= 28, S42=9), N42-25,AND(N42&lt;= 30, S42=9), N42-28,AND(N42&lt;= 11, S42=10), N42+2,AND(N42&lt;= 21, S42=10), N42-11)</f>
        <v>1</v>
      </c>
    </row>
    <row r="43" spans="1:22" x14ac:dyDescent="0.35">
      <c r="A43" s="4">
        <v>45543</v>
      </c>
      <c r="B43" s="5">
        <v>0.85211805555555553</v>
      </c>
      <c r="C43">
        <v>79.8</v>
      </c>
      <c r="D43">
        <v>81.8</v>
      </c>
      <c r="E43">
        <v>81.2</v>
      </c>
      <c r="F43">
        <v>77.3</v>
      </c>
      <c r="G43">
        <v>0</v>
      </c>
      <c r="H43">
        <v>0</v>
      </c>
      <c r="I43">
        <v>0</v>
      </c>
      <c r="J43">
        <v>0</v>
      </c>
      <c r="K43">
        <v>67.599999999999994</v>
      </c>
      <c r="L43">
        <v>65.7</v>
      </c>
      <c r="M43">
        <v>79.98</v>
      </c>
      <c r="N43">
        <v>8</v>
      </c>
      <c r="O43">
        <v>5</v>
      </c>
      <c r="P43">
        <f>MOD(DAY(datos_siembra[[#This Row],[Date]]),7)</f>
        <v>1</v>
      </c>
      <c r="Q43" t="str">
        <f>CHOOSE(WEEKDAY(datos_siembra[[#This Row],[Date]],2),"L","M","X","J","V","S","D")</f>
        <v>D</v>
      </c>
      <c r="R43">
        <f>WEEKNUM(datos_siembra[[#This Row],[Date]],2)-WEEKNUM(DATE(YEAR(datos_siembra[[#This Row],[Date]]),MONTH(datos_siembra[[#This Row],[Date]]),1))+1</f>
        <v>1</v>
      </c>
      <c r="S43">
        <f>MONTH(datos_siembra[[#This Row],[Date]])</f>
        <v>9</v>
      </c>
      <c r="T43" t="str" cm="1">
        <f t="array" ref="T43">_xlfn.IFS(AND(N43&lt;= 22, S43=9), "SOWING",AND(N43&lt;= 28, S43=9), "COVERAGE",AND(N43&lt;= 30, S43=9), "FLUSH",AND(N43&lt;= 11, S43=10), "FLUSH",AND(N43&lt;= 21, S43=10), "PRODUCTION")</f>
        <v>SOWING</v>
      </c>
      <c r="U43">
        <f>HOUR(datos_siembra[[#This Row],[Hour]])</f>
        <v>20</v>
      </c>
      <c r="V43" cm="1">
        <f t="array" ref="V43">_xlfn.IFS(AND(N43&lt;= 22, S43=9), N43-7,AND(N43&lt;= 28, S43=9), N43-25,AND(N43&lt;= 30, S43=9), N43-28,AND(N43&lt;= 11, S43=10), N43+2,AND(N43&lt;= 21, S43=10), N43-11)</f>
        <v>1</v>
      </c>
    </row>
    <row r="44" spans="1:22" x14ac:dyDescent="0.35">
      <c r="A44" s="4">
        <v>45543</v>
      </c>
      <c r="B44" s="5">
        <v>0.8590740740740741</v>
      </c>
      <c r="C44">
        <v>79.8</v>
      </c>
      <c r="D44">
        <v>81.8</v>
      </c>
      <c r="E44">
        <v>81.099999999999994</v>
      </c>
      <c r="F44">
        <v>77.2</v>
      </c>
      <c r="G44">
        <v>0</v>
      </c>
      <c r="H44">
        <v>0</v>
      </c>
      <c r="I44">
        <v>0</v>
      </c>
      <c r="J44">
        <v>0</v>
      </c>
      <c r="K44">
        <v>67.8</v>
      </c>
      <c r="L44">
        <v>65.900000000000006</v>
      </c>
      <c r="M44">
        <v>80.010000000000005</v>
      </c>
      <c r="N44">
        <v>8</v>
      </c>
      <c r="O44">
        <v>5</v>
      </c>
      <c r="P44">
        <f>MOD(DAY(datos_siembra[[#This Row],[Date]]),7)</f>
        <v>1</v>
      </c>
      <c r="Q44" t="str">
        <f>CHOOSE(WEEKDAY(datos_siembra[[#This Row],[Date]],2),"L","M","X","J","V","S","D")</f>
        <v>D</v>
      </c>
      <c r="R44">
        <f>WEEKNUM(datos_siembra[[#This Row],[Date]],2)-WEEKNUM(DATE(YEAR(datos_siembra[[#This Row],[Date]]),MONTH(datos_siembra[[#This Row],[Date]]),1))+1</f>
        <v>1</v>
      </c>
      <c r="S44">
        <f>MONTH(datos_siembra[[#This Row],[Date]])</f>
        <v>9</v>
      </c>
      <c r="T44" t="str" cm="1">
        <f t="array" ref="T44">_xlfn.IFS(AND(N44&lt;= 22, S44=9), "SOWING",AND(N44&lt;= 28, S44=9), "COVERAGE",AND(N44&lt;= 30, S44=9), "FLUSH",AND(N44&lt;= 11, S44=10), "FLUSH",AND(N44&lt;= 21, S44=10), "PRODUCTION")</f>
        <v>SOWING</v>
      </c>
      <c r="U44">
        <f>HOUR(datos_siembra[[#This Row],[Hour]])</f>
        <v>20</v>
      </c>
      <c r="V44" cm="1">
        <f t="array" ref="V44">_xlfn.IFS(AND(N44&lt;= 22, S44=9), N44-7,AND(N44&lt;= 28, S44=9), N44-25,AND(N44&lt;= 30, S44=9), N44-28,AND(N44&lt;= 11, S44=10), N44+2,AND(N44&lt;= 21, S44=10), N44-11)</f>
        <v>1</v>
      </c>
    </row>
    <row r="45" spans="1:22" x14ac:dyDescent="0.35">
      <c r="A45" s="4">
        <v>45543</v>
      </c>
      <c r="B45" s="5">
        <v>0.86601851851851852</v>
      </c>
      <c r="C45">
        <v>79.8</v>
      </c>
      <c r="D45">
        <v>82</v>
      </c>
      <c r="E45">
        <v>81.5</v>
      </c>
      <c r="F45">
        <v>77.3</v>
      </c>
      <c r="G45">
        <v>0</v>
      </c>
      <c r="H45">
        <v>0</v>
      </c>
      <c r="I45">
        <v>0</v>
      </c>
      <c r="J45">
        <v>0</v>
      </c>
      <c r="K45">
        <v>67.2</v>
      </c>
      <c r="L45">
        <v>65.2</v>
      </c>
      <c r="M45">
        <v>80.040000000000006</v>
      </c>
      <c r="N45">
        <v>8</v>
      </c>
      <c r="O45">
        <v>5</v>
      </c>
      <c r="P45">
        <f>MOD(DAY(datos_siembra[[#This Row],[Date]]),7)</f>
        <v>1</v>
      </c>
      <c r="Q45" t="str">
        <f>CHOOSE(WEEKDAY(datos_siembra[[#This Row],[Date]],2),"L","M","X","J","V","S","D")</f>
        <v>D</v>
      </c>
      <c r="R45">
        <f>WEEKNUM(datos_siembra[[#This Row],[Date]],2)-WEEKNUM(DATE(YEAR(datos_siembra[[#This Row],[Date]]),MONTH(datos_siembra[[#This Row],[Date]]),1))+1</f>
        <v>1</v>
      </c>
      <c r="S45">
        <f>MONTH(datos_siembra[[#This Row],[Date]])</f>
        <v>9</v>
      </c>
      <c r="T45" t="str" cm="1">
        <f t="array" ref="T45">_xlfn.IFS(AND(N45&lt;= 22, S45=9), "SOWING",AND(N45&lt;= 28, S45=9), "COVERAGE",AND(N45&lt;= 30, S45=9), "FLUSH",AND(N45&lt;= 11, S45=10), "FLUSH",AND(N45&lt;= 21, S45=10), "PRODUCTION")</f>
        <v>SOWING</v>
      </c>
      <c r="U45">
        <f>HOUR(datos_siembra[[#This Row],[Hour]])</f>
        <v>20</v>
      </c>
      <c r="V45" cm="1">
        <f t="array" ref="V45">_xlfn.IFS(AND(N45&lt;= 22, S45=9), N45-7,AND(N45&lt;= 28, S45=9), N45-25,AND(N45&lt;= 30, S45=9), N45-28,AND(N45&lt;= 11, S45=10), N45+2,AND(N45&lt;= 21, S45=10), N45-11)</f>
        <v>1</v>
      </c>
    </row>
    <row r="46" spans="1:22" x14ac:dyDescent="0.35">
      <c r="A46" s="4">
        <v>45543</v>
      </c>
      <c r="B46" s="5">
        <v>0.87296296296296294</v>
      </c>
      <c r="C46">
        <v>79.8</v>
      </c>
      <c r="D46">
        <v>81.8</v>
      </c>
      <c r="E46">
        <v>81.7</v>
      </c>
      <c r="F46">
        <v>77.5</v>
      </c>
      <c r="G46">
        <v>0</v>
      </c>
      <c r="H46">
        <v>0</v>
      </c>
      <c r="I46">
        <v>0</v>
      </c>
      <c r="J46">
        <v>0</v>
      </c>
      <c r="K46">
        <v>66.5</v>
      </c>
      <c r="L46">
        <v>64.2</v>
      </c>
      <c r="M46">
        <v>79.95</v>
      </c>
      <c r="N46">
        <v>8</v>
      </c>
      <c r="O46">
        <v>5</v>
      </c>
      <c r="P46">
        <f>MOD(DAY(datos_siembra[[#This Row],[Date]]),7)</f>
        <v>1</v>
      </c>
      <c r="Q46" t="str">
        <f>CHOOSE(WEEKDAY(datos_siembra[[#This Row],[Date]],2),"L","M","X","J","V","S","D")</f>
        <v>D</v>
      </c>
      <c r="R46">
        <f>WEEKNUM(datos_siembra[[#This Row],[Date]],2)-WEEKNUM(DATE(YEAR(datos_siembra[[#This Row],[Date]]),MONTH(datos_siembra[[#This Row],[Date]]),1))+1</f>
        <v>1</v>
      </c>
      <c r="S46">
        <f>MONTH(datos_siembra[[#This Row],[Date]])</f>
        <v>9</v>
      </c>
      <c r="T46" t="str" cm="1">
        <f t="array" ref="T46">_xlfn.IFS(AND(N46&lt;= 22, S46=9), "SOWING",AND(N46&lt;= 28, S46=9), "COVERAGE",AND(N46&lt;= 30, S46=9), "FLUSH",AND(N46&lt;= 11, S46=10), "FLUSH",AND(N46&lt;= 21, S46=10), "PRODUCTION")</f>
        <v>SOWING</v>
      </c>
      <c r="U46">
        <f>HOUR(datos_siembra[[#This Row],[Hour]])</f>
        <v>20</v>
      </c>
      <c r="V46" cm="1">
        <f t="array" ref="V46">_xlfn.IFS(AND(N46&lt;= 22, S46=9), N46-7,AND(N46&lt;= 28, S46=9), N46-25,AND(N46&lt;= 30, S46=9), N46-28,AND(N46&lt;= 11, S46=10), N46+2,AND(N46&lt;= 21, S46=10), N46-11)</f>
        <v>1</v>
      </c>
    </row>
    <row r="47" spans="1:22" x14ac:dyDescent="0.35">
      <c r="A47" s="4">
        <v>45543</v>
      </c>
      <c r="B47" s="5">
        <v>0.87991898148148151</v>
      </c>
      <c r="C47">
        <v>79.8</v>
      </c>
      <c r="D47">
        <v>81.8</v>
      </c>
      <c r="E47">
        <v>80.900000000000006</v>
      </c>
      <c r="F47">
        <v>77.2</v>
      </c>
      <c r="G47">
        <v>0</v>
      </c>
      <c r="H47">
        <v>0</v>
      </c>
      <c r="I47">
        <v>0</v>
      </c>
      <c r="J47">
        <v>0</v>
      </c>
      <c r="K47">
        <v>66.099999999999994</v>
      </c>
      <c r="L47">
        <v>64.900000000000006</v>
      </c>
      <c r="M47">
        <v>79.98</v>
      </c>
      <c r="N47">
        <v>8</v>
      </c>
      <c r="O47">
        <v>5</v>
      </c>
      <c r="P47">
        <f>MOD(DAY(datos_siembra[[#This Row],[Date]]),7)</f>
        <v>1</v>
      </c>
      <c r="Q47" t="str">
        <f>CHOOSE(WEEKDAY(datos_siembra[[#This Row],[Date]],2),"L","M","X","J","V","S","D")</f>
        <v>D</v>
      </c>
      <c r="R47">
        <f>WEEKNUM(datos_siembra[[#This Row],[Date]],2)-WEEKNUM(DATE(YEAR(datos_siembra[[#This Row],[Date]]),MONTH(datos_siembra[[#This Row],[Date]]),1))+1</f>
        <v>1</v>
      </c>
      <c r="S47">
        <f>MONTH(datos_siembra[[#This Row],[Date]])</f>
        <v>9</v>
      </c>
      <c r="T47" t="str" cm="1">
        <f t="array" ref="T47">_xlfn.IFS(AND(N47&lt;= 22, S47=9), "SOWING",AND(N47&lt;= 28, S47=9), "COVERAGE",AND(N47&lt;= 30, S47=9), "FLUSH",AND(N47&lt;= 11, S47=10), "FLUSH",AND(N47&lt;= 21, S47=10), "PRODUCTION")</f>
        <v>SOWING</v>
      </c>
      <c r="U47">
        <f>HOUR(datos_siembra[[#This Row],[Hour]])</f>
        <v>21</v>
      </c>
      <c r="V47" cm="1">
        <f t="array" ref="V47">_xlfn.IFS(AND(N47&lt;= 22, S47=9), N47-7,AND(N47&lt;= 28, S47=9), N47-25,AND(N47&lt;= 30, S47=9), N47-28,AND(N47&lt;= 11, S47=10), N47+2,AND(N47&lt;= 21, S47=10), N47-11)</f>
        <v>1</v>
      </c>
    </row>
    <row r="48" spans="1:22" x14ac:dyDescent="0.35">
      <c r="A48" s="4">
        <v>45543</v>
      </c>
      <c r="B48" s="5">
        <v>0.88686342592592593</v>
      </c>
      <c r="C48">
        <v>79.7</v>
      </c>
      <c r="D48">
        <v>81.8</v>
      </c>
      <c r="E48">
        <v>81.599999999999994</v>
      </c>
      <c r="F48">
        <v>77.3</v>
      </c>
      <c r="G48">
        <v>0</v>
      </c>
      <c r="H48">
        <v>0</v>
      </c>
      <c r="I48">
        <v>0</v>
      </c>
      <c r="J48">
        <v>0</v>
      </c>
      <c r="K48">
        <v>65.900000000000006</v>
      </c>
      <c r="L48">
        <v>63.6</v>
      </c>
      <c r="M48">
        <v>79.92</v>
      </c>
      <c r="N48">
        <v>8</v>
      </c>
      <c r="O48">
        <v>5</v>
      </c>
      <c r="P48">
        <f>MOD(DAY(datos_siembra[[#This Row],[Date]]),7)</f>
        <v>1</v>
      </c>
      <c r="Q48" t="str">
        <f>CHOOSE(WEEKDAY(datos_siembra[[#This Row],[Date]],2),"L","M","X","J","V","S","D")</f>
        <v>D</v>
      </c>
      <c r="R48">
        <f>WEEKNUM(datos_siembra[[#This Row],[Date]],2)-WEEKNUM(DATE(YEAR(datos_siembra[[#This Row],[Date]]),MONTH(datos_siembra[[#This Row],[Date]]),1))+1</f>
        <v>1</v>
      </c>
      <c r="S48">
        <f>MONTH(datos_siembra[[#This Row],[Date]])</f>
        <v>9</v>
      </c>
      <c r="T48" t="str" cm="1">
        <f t="array" ref="T48">_xlfn.IFS(AND(N48&lt;= 22, S48=9), "SOWING",AND(N48&lt;= 28, S48=9), "COVERAGE",AND(N48&lt;= 30, S48=9), "FLUSH",AND(N48&lt;= 11, S48=10), "FLUSH",AND(N48&lt;= 21, S48=10), "PRODUCTION")</f>
        <v>SOWING</v>
      </c>
      <c r="U48">
        <f>HOUR(datos_siembra[[#This Row],[Hour]])</f>
        <v>21</v>
      </c>
      <c r="V48" cm="1">
        <f t="array" ref="V48">_xlfn.IFS(AND(N48&lt;= 22, S48=9), N48-7,AND(N48&lt;= 28, S48=9), N48-25,AND(N48&lt;= 30, S48=9), N48-28,AND(N48&lt;= 11, S48=10), N48+2,AND(N48&lt;= 21, S48=10), N48-11)</f>
        <v>1</v>
      </c>
    </row>
    <row r="49" spans="1:22" x14ac:dyDescent="0.35">
      <c r="A49" s="4">
        <v>45543</v>
      </c>
      <c r="B49" s="5">
        <v>0.89380787037037035</v>
      </c>
      <c r="C49">
        <v>79.7</v>
      </c>
      <c r="D49">
        <v>81.8</v>
      </c>
      <c r="E49">
        <v>80.8</v>
      </c>
      <c r="F49">
        <v>77.3</v>
      </c>
      <c r="G49">
        <v>0</v>
      </c>
      <c r="H49">
        <v>0</v>
      </c>
      <c r="I49">
        <v>0</v>
      </c>
      <c r="J49">
        <v>0</v>
      </c>
      <c r="K49">
        <v>66.900000000000006</v>
      </c>
      <c r="L49">
        <v>64.900000000000006</v>
      </c>
      <c r="M49">
        <v>80.040000000000006</v>
      </c>
      <c r="N49">
        <v>8</v>
      </c>
      <c r="O49">
        <v>5</v>
      </c>
      <c r="P49">
        <f>MOD(DAY(datos_siembra[[#This Row],[Date]]),7)</f>
        <v>1</v>
      </c>
      <c r="Q49" t="str">
        <f>CHOOSE(WEEKDAY(datos_siembra[[#This Row],[Date]],2),"L","M","X","J","V","S","D")</f>
        <v>D</v>
      </c>
      <c r="R49">
        <f>WEEKNUM(datos_siembra[[#This Row],[Date]],2)-WEEKNUM(DATE(YEAR(datos_siembra[[#This Row],[Date]]),MONTH(datos_siembra[[#This Row],[Date]]),1))+1</f>
        <v>1</v>
      </c>
      <c r="S49">
        <f>MONTH(datos_siembra[[#This Row],[Date]])</f>
        <v>9</v>
      </c>
      <c r="T49" t="str" cm="1">
        <f t="array" ref="T49">_xlfn.IFS(AND(N49&lt;= 22, S49=9), "SOWING",AND(N49&lt;= 28, S49=9), "COVERAGE",AND(N49&lt;= 30, S49=9), "FLUSH",AND(N49&lt;= 11, S49=10), "FLUSH",AND(N49&lt;= 21, S49=10), "PRODUCTION")</f>
        <v>SOWING</v>
      </c>
      <c r="U49">
        <f>HOUR(datos_siembra[[#This Row],[Hour]])</f>
        <v>21</v>
      </c>
      <c r="V49" cm="1">
        <f t="array" ref="V49">_xlfn.IFS(AND(N49&lt;= 22, S49=9), N49-7,AND(N49&lt;= 28, S49=9), N49-25,AND(N49&lt;= 30, S49=9), N49-28,AND(N49&lt;= 11, S49=10), N49+2,AND(N49&lt;= 21, S49=10), N49-11)</f>
        <v>1</v>
      </c>
    </row>
    <row r="50" spans="1:22" x14ac:dyDescent="0.35">
      <c r="A50" s="4">
        <v>45543</v>
      </c>
      <c r="B50" s="5">
        <v>0.90076388888888892</v>
      </c>
      <c r="C50">
        <v>79.8</v>
      </c>
      <c r="D50">
        <v>81.7</v>
      </c>
      <c r="E50">
        <v>81.2</v>
      </c>
      <c r="F50">
        <v>77.2</v>
      </c>
      <c r="G50">
        <v>0</v>
      </c>
      <c r="H50">
        <v>0</v>
      </c>
      <c r="I50">
        <v>0</v>
      </c>
      <c r="J50">
        <v>0</v>
      </c>
      <c r="K50">
        <v>67.099999999999994</v>
      </c>
      <c r="L50">
        <v>65.2</v>
      </c>
      <c r="M50">
        <v>80.09</v>
      </c>
      <c r="N50">
        <v>8</v>
      </c>
      <c r="O50">
        <v>5</v>
      </c>
      <c r="P50">
        <f>MOD(DAY(datos_siembra[[#This Row],[Date]]),7)</f>
        <v>1</v>
      </c>
      <c r="Q50" t="str">
        <f>CHOOSE(WEEKDAY(datos_siembra[[#This Row],[Date]],2),"L","M","X","J","V","S","D")</f>
        <v>D</v>
      </c>
      <c r="R50">
        <f>WEEKNUM(datos_siembra[[#This Row],[Date]],2)-WEEKNUM(DATE(YEAR(datos_siembra[[#This Row],[Date]]),MONTH(datos_siembra[[#This Row],[Date]]),1))+1</f>
        <v>1</v>
      </c>
      <c r="S50">
        <f>MONTH(datos_siembra[[#This Row],[Date]])</f>
        <v>9</v>
      </c>
      <c r="T50" t="str" cm="1">
        <f t="array" ref="T50">_xlfn.IFS(AND(N50&lt;= 22, S50=9), "SOWING",AND(N50&lt;= 28, S50=9), "COVERAGE",AND(N50&lt;= 30, S50=9), "FLUSH",AND(N50&lt;= 11, S50=10), "FLUSH",AND(N50&lt;= 21, S50=10), "PRODUCTION")</f>
        <v>SOWING</v>
      </c>
      <c r="U50">
        <f>HOUR(datos_siembra[[#This Row],[Hour]])</f>
        <v>21</v>
      </c>
      <c r="V50" cm="1">
        <f t="array" ref="V50">_xlfn.IFS(AND(N50&lt;= 22, S50=9), N50-7,AND(N50&lt;= 28, S50=9), N50-25,AND(N50&lt;= 30, S50=9), N50-28,AND(N50&lt;= 11, S50=10), N50+2,AND(N50&lt;= 21, S50=10), N50-11)</f>
        <v>1</v>
      </c>
    </row>
    <row r="51" spans="1:22" x14ac:dyDescent="0.35">
      <c r="A51" s="4">
        <v>45543</v>
      </c>
      <c r="B51" s="5">
        <v>0.90770833333333334</v>
      </c>
      <c r="C51">
        <v>79.8</v>
      </c>
      <c r="D51">
        <v>81.7</v>
      </c>
      <c r="E51">
        <v>81.099999999999994</v>
      </c>
      <c r="F51">
        <v>77.2</v>
      </c>
      <c r="G51">
        <v>0</v>
      </c>
      <c r="H51">
        <v>0</v>
      </c>
      <c r="I51">
        <v>0</v>
      </c>
      <c r="J51">
        <v>0</v>
      </c>
      <c r="K51">
        <v>67.400000000000006</v>
      </c>
      <c r="L51">
        <v>65.599999999999994</v>
      </c>
      <c r="M51">
        <v>80.040000000000006</v>
      </c>
      <c r="N51">
        <v>8</v>
      </c>
      <c r="O51">
        <v>5</v>
      </c>
      <c r="P51">
        <f>MOD(DAY(datos_siembra[[#This Row],[Date]]),7)</f>
        <v>1</v>
      </c>
      <c r="Q51" t="str">
        <f>CHOOSE(WEEKDAY(datos_siembra[[#This Row],[Date]],2),"L","M","X","J","V","S","D")</f>
        <v>D</v>
      </c>
      <c r="R51">
        <f>WEEKNUM(datos_siembra[[#This Row],[Date]],2)-WEEKNUM(DATE(YEAR(datos_siembra[[#This Row],[Date]]),MONTH(datos_siembra[[#This Row],[Date]]),1))+1</f>
        <v>1</v>
      </c>
      <c r="S51">
        <f>MONTH(datos_siembra[[#This Row],[Date]])</f>
        <v>9</v>
      </c>
      <c r="T51" t="str" cm="1">
        <f t="array" ref="T51">_xlfn.IFS(AND(N51&lt;= 22, S51=9), "SOWING",AND(N51&lt;= 28, S51=9), "COVERAGE",AND(N51&lt;= 30, S51=9), "FLUSH",AND(N51&lt;= 11, S51=10), "FLUSH",AND(N51&lt;= 21, S51=10), "PRODUCTION")</f>
        <v>SOWING</v>
      </c>
      <c r="U51">
        <f>HOUR(datos_siembra[[#This Row],[Hour]])</f>
        <v>21</v>
      </c>
      <c r="V51" cm="1">
        <f t="array" ref="V51">_xlfn.IFS(AND(N51&lt;= 22, S51=9), N51-7,AND(N51&lt;= 28, S51=9), N51-25,AND(N51&lt;= 30, S51=9), N51-28,AND(N51&lt;= 11, S51=10), N51+2,AND(N51&lt;= 21, S51=10), N51-11)</f>
        <v>1</v>
      </c>
    </row>
    <row r="52" spans="1:22" x14ac:dyDescent="0.35">
      <c r="A52" s="4">
        <v>45543</v>
      </c>
      <c r="B52" s="5">
        <v>0.91465277777777776</v>
      </c>
      <c r="C52">
        <v>79.7</v>
      </c>
      <c r="D52">
        <v>81.8</v>
      </c>
      <c r="E52">
        <v>81.2</v>
      </c>
      <c r="F52">
        <v>77.3</v>
      </c>
      <c r="G52">
        <v>0</v>
      </c>
      <c r="H52">
        <v>0</v>
      </c>
      <c r="I52">
        <v>0</v>
      </c>
      <c r="J52">
        <v>0</v>
      </c>
      <c r="K52">
        <v>67.599999999999994</v>
      </c>
      <c r="L52">
        <v>65.7</v>
      </c>
      <c r="M52">
        <v>80.010000000000005</v>
      </c>
      <c r="N52">
        <v>8</v>
      </c>
      <c r="O52">
        <v>5</v>
      </c>
      <c r="P52">
        <f>MOD(DAY(datos_siembra[[#This Row],[Date]]),7)</f>
        <v>1</v>
      </c>
      <c r="Q52" t="str">
        <f>CHOOSE(WEEKDAY(datos_siembra[[#This Row],[Date]],2),"L","M","X","J","V","S","D")</f>
        <v>D</v>
      </c>
      <c r="R52">
        <f>WEEKNUM(datos_siembra[[#This Row],[Date]],2)-WEEKNUM(DATE(YEAR(datos_siembra[[#This Row],[Date]]),MONTH(datos_siembra[[#This Row],[Date]]),1))+1</f>
        <v>1</v>
      </c>
      <c r="S52">
        <f>MONTH(datos_siembra[[#This Row],[Date]])</f>
        <v>9</v>
      </c>
      <c r="T52" t="str" cm="1">
        <f t="array" ref="T52">_xlfn.IFS(AND(N52&lt;= 22, S52=9), "SOWING",AND(N52&lt;= 28, S52=9), "COVERAGE",AND(N52&lt;= 30, S52=9), "FLUSH",AND(N52&lt;= 11, S52=10), "FLUSH",AND(N52&lt;= 21, S52=10), "PRODUCTION")</f>
        <v>SOWING</v>
      </c>
      <c r="U52">
        <f>HOUR(datos_siembra[[#This Row],[Hour]])</f>
        <v>21</v>
      </c>
      <c r="V52" cm="1">
        <f t="array" ref="V52">_xlfn.IFS(AND(N52&lt;= 22, S52=9), N52-7,AND(N52&lt;= 28, S52=9), N52-25,AND(N52&lt;= 30, S52=9), N52-28,AND(N52&lt;= 11, S52=10), N52+2,AND(N52&lt;= 21, S52=10), N52-11)</f>
        <v>1</v>
      </c>
    </row>
    <row r="53" spans="1:22" x14ac:dyDescent="0.35">
      <c r="A53" s="4">
        <v>45543</v>
      </c>
      <c r="B53" s="5">
        <v>0.92159722222222218</v>
      </c>
      <c r="C53">
        <v>79.7</v>
      </c>
      <c r="D53">
        <v>81.7</v>
      </c>
      <c r="E53">
        <v>81.400000000000006</v>
      </c>
      <c r="F53">
        <v>77.5</v>
      </c>
      <c r="G53">
        <v>0</v>
      </c>
      <c r="H53">
        <v>0</v>
      </c>
      <c r="I53">
        <v>0</v>
      </c>
      <c r="J53">
        <v>0</v>
      </c>
      <c r="K53">
        <v>67.7</v>
      </c>
      <c r="L53">
        <v>65.7</v>
      </c>
      <c r="M53">
        <v>79.98</v>
      </c>
      <c r="N53">
        <v>8</v>
      </c>
      <c r="O53">
        <v>5</v>
      </c>
      <c r="P53">
        <f>MOD(DAY(datos_siembra[[#This Row],[Date]]),7)</f>
        <v>1</v>
      </c>
      <c r="Q53" t="str">
        <f>CHOOSE(WEEKDAY(datos_siembra[[#This Row],[Date]],2),"L","M","X","J","V","S","D")</f>
        <v>D</v>
      </c>
      <c r="R53">
        <f>WEEKNUM(datos_siembra[[#This Row],[Date]],2)-WEEKNUM(DATE(YEAR(datos_siembra[[#This Row],[Date]]),MONTH(datos_siembra[[#This Row],[Date]]),1))+1</f>
        <v>1</v>
      </c>
      <c r="S53">
        <f>MONTH(datos_siembra[[#This Row],[Date]])</f>
        <v>9</v>
      </c>
      <c r="T53" t="str" cm="1">
        <f t="array" ref="T53">_xlfn.IFS(AND(N53&lt;= 22, S53=9), "SOWING",AND(N53&lt;= 28, S53=9), "COVERAGE",AND(N53&lt;= 30, S53=9), "FLUSH",AND(N53&lt;= 11, S53=10), "FLUSH",AND(N53&lt;= 21, S53=10), "PRODUCTION")</f>
        <v>SOWING</v>
      </c>
      <c r="U53">
        <f>HOUR(datos_siembra[[#This Row],[Hour]])</f>
        <v>22</v>
      </c>
      <c r="V53" cm="1">
        <f t="array" ref="V53">_xlfn.IFS(AND(N53&lt;= 22, S53=9), N53-7,AND(N53&lt;= 28, S53=9), N53-25,AND(N53&lt;= 30, S53=9), N53-28,AND(N53&lt;= 11, S53=10), N53+2,AND(N53&lt;= 21, S53=10), N53-11)</f>
        <v>1</v>
      </c>
    </row>
    <row r="54" spans="1:22" x14ac:dyDescent="0.35">
      <c r="A54" s="4">
        <v>45543</v>
      </c>
      <c r="B54" s="5">
        <v>0.92855324074074075</v>
      </c>
      <c r="C54">
        <v>79.7</v>
      </c>
      <c r="D54">
        <v>81.8</v>
      </c>
      <c r="E54">
        <v>80.900000000000006</v>
      </c>
      <c r="F54">
        <v>77.5</v>
      </c>
      <c r="G54">
        <v>0</v>
      </c>
      <c r="H54">
        <v>0</v>
      </c>
      <c r="I54">
        <v>0</v>
      </c>
      <c r="J54">
        <v>0</v>
      </c>
      <c r="K54">
        <v>67.7</v>
      </c>
      <c r="L54">
        <v>65.8</v>
      </c>
      <c r="M54">
        <v>79.98</v>
      </c>
      <c r="N54">
        <v>8</v>
      </c>
      <c r="O54">
        <v>5</v>
      </c>
      <c r="P54">
        <f>MOD(DAY(datos_siembra[[#This Row],[Date]]),7)</f>
        <v>1</v>
      </c>
      <c r="Q54" t="str">
        <f>CHOOSE(WEEKDAY(datos_siembra[[#This Row],[Date]],2),"L","M","X","J","V","S","D")</f>
        <v>D</v>
      </c>
      <c r="R54">
        <f>WEEKNUM(datos_siembra[[#This Row],[Date]],2)-WEEKNUM(DATE(YEAR(datos_siembra[[#This Row],[Date]]),MONTH(datos_siembra[[#This Row],[Date]]),1))+1</f>
        <v>1</v>
      </c>
      <c r="S54">
        <f>MONTH(datos_siembra[[#This Row],[Date]])</f>
        <v>9</v>
      </c>
      <c r="T54" t="str" cm="1">
        <f t="array" ref="T54">_xlfn.IFS(AND(N54&lt;= 22, S54=9), "SOWING",AND(N54&lt;= 28, S54=9), "COVERAGE",AND(N54&lt;= 30, S54=9), "FLUSH",AND(N54&lt;= 11, S54=10), "FLUSH",AND(N54&lt;= 21, S54=10), "PRODUCTION")</f>
        <v>SOWING</v>
      </c>
      <c r="U54">
        <f>HOUR(datos_siembra[[#This Row],[Hour]])</f>
        <v>22</v>
      </c>
      <c r="V54" cm="1">
        <f t="array" ref="V54">_xlfn.IFS(AND(N54&lt;= 22, S54=9), N54-7,AND(N54&lt;= 28, S54=9), N54-25,AND(N54&lt;= 30, S54=9), N54-28,AND(N54&lt;= 11, S54=10), N54+2,AND(N54&lt;= 21, S54=10), N54-11)</f>
        <v>1</v>
      </c>
    </row>
    <row r="55" spans="1:22" x14ac:dyDescent="0.35">
      <c r="A55" s="4">
        <v>45543</v>
      </c>
      <c r="B55" s="5">
        <v>0.93549768518518517</v>
      </c>
      <c r="C55">
        <v>79.599999999999994</v>
      </c>
      <c r="D55">
        <v>81.7</v>
      </c>
      <c r="E55">
        <v>81.400000000000006</v>
      </c>
      <c r="F55">
        <v>77.2</v>
      </c>
      <c r="G55">
        <v>0</v>
      </c>
      <c r="H55">
        <v>0</v>
      </c>
      <c r="I55">
        <v>0</v>
      </c>
      <c r="J55">
        <v>0</v>
      </c>
      <c r="K55">
        <v>67.7</v>
      </c>
      <c r="L55">
        <v>65.8</v>
      </c>
      <c r="M55">
        <v>79.930000000000007</v>
      </c>
      <c r="N55">
        <v>8</v>
      </c>
      <c r="O55">
        <v>5</v>
      </c>
      <c r="P55">
        <f>MOD(DAY(datos_siembra[[#This Row],[Date]]),7)</f>
        <v>1</v>
      </c>
      <c r="Q55" t="str">
        <f>CHOOSE(WEEKDAY(datos_siembra[[#This Row],[Date]],2),"L","M","X","J","V","S","D")</f>
        <v>D</v>
      </c>
      <c r="R55">
        <f>WEEKNUM(datos_siembra[[#This Row],[Date]],2)-WEEKNUM(DATE(YEAR(datos_siembra[[#This Row],[Date]]),MONTH(datos_siembra[[#This Row],[Date]]),1))+1</f>
        <v>1</v>
      </c>
      <c r="S55">
        <f>MONTH(datos_siembra[[#This Row],[Date]])</f>
        <v>9</v>
      </c>
      <c r="T55" t="str" cm="1">
        <f t="array" ref="T55">_xlfn.IFS(AND(N55&lt;= 22, S55=9), "SOWING",AND(N55&lt;= 28, S55=9), "COVERAGE",AND(N55&lt;= 30, S55=9), "FLUSH",AND(N55&lt;= 11, S55=10), "FLUSH",AND(N55&lt;= 21, S55=10), "PRODUCTION")</f>
        <v>SOWING</v>
      </c>
      <c r="U55">
        <f>HOUR(datos_siembra[[#This Row],[Hour]])</f>
        <v>22</v>
      </c>
      <c r="V55" cm="1">
        <f t="array" ref="V55">_xlfn.IFS(AND(N55&lt;= 22, S55=9), N55-7,AND(N55&lt;= 28, S55=9), N55-25,AND(N55&lt;= 30, S55=9), N55-28,AND(N55&lt;= 11, S55=10), N55+2,AND(N55&lt;= 21, S55=10), N55-11)</f>
        <v>1</v>
      </c>
    </row>
    <row r="56" spans="1:22" x14ac:dyDescent="0.35">
      <c r="A56" s="4">
        <v>45543</v>
      </c>
      <c r="B56" s="5">
        <v>0.94244212962962959</v>
      </c>
      <c r="C56">
        <v>79.599999999999994</v>
      </c>
      <c r="D56">
        <v>81.8</v>
      </c>
      <c r="E56">
        <v>81.2</v>
      </c>
      <c r="F56">
        <v>77.5</v>
      </c>
      <c r="G56">
        <v>0</v>
      </c>
      <c r="H56">
        <v>0</v>
      </c>
      <c r="I56">
        <v>0</v>
      </c>
      <c r="J56">
        <v>0</v>
      </c>
      <c r="K56">
        <v>67.8</v>
      </c>
      <c r="L56">
        <v>65.8</v>
      </c>
      <c r="M56">
        <v>79.95</v>
      </c>
      <c r="N56">
        <v>8</v>
      </c>
      <c r="O56">
        <v>5</v>
      </c>
      <c r="P56">
        <f>MOD(DAY(datos_siembra[[#This Row],[Date]]),7)</f>
        <v>1</v>
      </c>
      <c r="Q56" t="str">
        <f>CHOOSE(WEEKDAY(datos_siembra[[#This Row],[Date]],2),"L","M","X","J","V","S","D")</f>
        <v>D</v>
      </c>
      <c r="R56">
        <f>WEEKNUM(datos_siembra[[#This Row],[Date]],2)-WEEKNUM(DATE(YEAR(datos_siembra[[#This Row],[Date]]),MONTH(datos_siembra[[#This Row],[Date]]),1))+1</f>
        <v>1</v>
      </c>
      <c r="S56">
        <f>MONTH(datos_siembra[[#This Row],[Date]])</f>
        <v>9</v>
      </c>
      <c r="T56" t="str" cm="1">
        <f t="array" ref="T56">_xlfn.IFS(AND(N56&lt;= 22, S56=9), "SOWING",AND(N56&lt;= 28, S56=9), "COVERAGE",AND(N56&lt;= 30, S56=9), "FLUSH",AND(N56&lt;= 11, S56=10), "FLUSH",AND(N56&lt;= 21, S56=10), "PRODUCTION")</f>
        <v>SOWING</v>
      </c>
      <c r="U56">
        <f>HOUR(datos_siembra[[#This Row],[Hour]])</f>
        <v>22</v>
      </c>
      <c r="V56" cm="1">
        <f t="array" ref="V56">_xlfn.IFS(AND(N56&lt;= 22, S56=9), N56-7,AND(N56&lt;= 28, S56=9), N56-25,AND(N56&lt;= 30, S56=9), N56-28,AND(N56&lt;= 11, S56=10), N56+2,AND(N56&lt;= 21, S56=10), N56-11)</f>
        <v>1</v>
      </c>
    </row>
    <row r="57" spans="1:22" x14ac:dyDescent="0.35">
      <c r="A57" s="4">
        <v>45543</v>
      </c>
      <c r="B57" s="5">
        <v>0.94939814814814816</v>
      </c>
      <c r="C57">
        <v>79.7</v>
      </c>
      <c r="D57">
        <v>81.8</v>
      </c>
      <c r="E57">
        <v>81.5</v>
      </c>
      <c r="F57">
        <v>77.3</v>
      </c>
      <c r="G57">
        <v>0</v>
      </c>
      <c r="H57">
        <v>0</v>
      </c>
      <c r="I57">
        <v>0</v>
      </c>
      <c r="J57">
        <v>0</v>
      </c>
      <c r="K57">
        <v>67.8</v>
      </c>
      <c r="L57">
        <v>65.8</v>
      </c>
      <c r="M57">
        <v>80.040000000000006</v>
      </c>
      <c r="N57">
        <v>8</v>
      </c>
      <c r="O57">
        <v>5</v>
      </c>
      <c r="P57">
        <f>MOD(DAY(datos_siembra[[#This Row],[Date]]),7)</f>
        <v>1</v>
      </c>
      <c r="Q57" t="str">
        <f>CHOOSE(WEEKDAY(datos_siembra[[#This Row],[Date]],2),"L","M","X","J","V","S","D")</f>
        <v>D</v>
      </c>
      <c r="R57">
        <f>WEEKNUM(datos_siembra[[#This Row],[Date]],2)-WEEKNUM(DATE(YEAR(datos_siembra[[#This Row],[Date]]),MONTH(datos_siembra[[#This Row],[Date]]),1))+1</f>
        <v>1</v>
      </c>
      <c r="S57">
        <f>MONTH(datos_siembra[[#This Row],[Date]])</f>
        <v>9</v>
      </c>
      <c r="T57" t="str" cm="1">
        <f t="array" ref="T57">_xlfn.IFS(AND(N57&lt;= 22, S57=9), "SOWING",AND(N57&lt;= 28, S57=9), "COVERAGE",AND(N57&lt;= 30, S57=9), "FLUSH",AND(N57&lt;= 11, S57=10), "FLUSH",AND(N57&lt;= 21, S57=10), "PRODUCTION")</f>
        <v>SOWING</v>
      </c>
      <c r="U57">
        <f>HOUR(datos_siembra[[#This Row],[Hour]])</f>
        <v>22</v>
      </c>
      <c r="V57" cm="1">
        <f t="array" ref="V57">_xlfn.IFS(AND(N57&lt;= 22, S57=9), N57-7,AND(N57&lt;= 28, S57=9), N57-25,AND(N57&lt;= 30, S57=9), N57-28,AND(N57&lt;= 11, S57=10), N57+2,AND(N57&lt;= 21, S57=10), N57-11)</f>
        <v>1</v>
      </c>
    </row>
    <row r="58" spans="1:22" x14ac:dyDescent="0.35">
      <c r="A58" s="4">
        <v>45543</v>
      </c>
      <c r="B58" s="5">
        <v>0.95634259259259258</v>
      </c>
      <c r="C58">
        <v>79.5</v>
      </c>
      <c r="D58">
        <v>81.599999999999994</v>
      </c>
      <c r="E58">
        <v>81.2</v>
      </c>
      <c r="F58">
        <v>77.3</v>
      </c>
      <c r="G58">
        <v>0</v>
      </c>
      <c r="H58">
        <v>0</v>
      </c>
      <c r="I58">
        <v>0</v>
      </c>
      <c r="J58">
        <v>0</v>
      </c>
      <c r="K58">
        <v>67.900000000000006</v>
      </c>
      <c r="L58">
        <v>65.8</v>
      </c>
      <c r="M58">
        <v>79.98</v>
      </c>
      <c r="N58">
        <v>8</v>
      </c>
      <c r="O58">
        <v>5</v>
      </c>
      <c r="P58">
        <f>MOD(DAY(datos_siembra[[#This Row],[Date]]),7)</f>
        <v>1</v>
      </c>
      <c r="Q58" t="str">
        <f>CHOOSE(WEEKDAY(datos_siembra[[#This Row],[Date]],2),"L","M","X","J","V","S","D")</f>
        <v>D</v>
      </c>
      <c r="R58">
        <f>WEEKNUM(datos_siembra[[#This Row],[Date]],2)-WEEKNUM(DATE(YEAR(datos_siembra[[#This Row],[Date]]),MONTH(datos_siembra[[#This Row],[Date]]),1))+1</f>
        <v>1</v>
      </c>
      <c r="S58">
        <f>MONTH(datos_siembra[[#This Row],[Date]])</f>
        <v>9</v>
      </c>
      <c r="T58" t="str" cm="1">
        <f t="array" ref="T58">_xlfn.IFS(AND(N58&lt;= 22, S58=9), "SOWING",AND(N58&lt;= 28, S58=9), "COVERAGE",AND(N58&lt;= 30, S58=9), "FLUSH",AND(N58&lt;= 11, S58=10), "FLUSH",AND(N58&lt;= 21, S58=10), "PRODUCTION")</f>
        <v>SOWING</v>
      </c>
      <c r="U58">
        <f>HOUR(datos_siembra[[#This Row],[Hour]])</f>
        <v>22</v>
      </c>
      <c r="V58" cm="1">
        <f t="array" ref="V58">_xlfn.IFS(AND(N58&lt;= 22, S58=9), N58-7,AND(N58&lt;= 28, S58=9), N58-25,AND(N58&lt;= 30, S58=9), N58-28,AND(N58&lt;= 11, S58=10), N58+2,AND(N58&lt;= 21, S58=10), N58-11)</f>
        <v>1</v>
      </c>
    </row>
    <row r="59" spans="1:22" x14ac:dyDescent="0.35">
      <c r="A59" s="4">
        <v>45543</v>
      </c>
      <c r="B59" s="5">
        <v>0.963287037037037</v>
      </c>
      <c r="C59">
        <v>79.7</v>
      </c>
      <c r="D59">
        <v>81.599999999999994</v>
      </c>
      <c r="E59">
        <v>81.400000000000006</v>
      </c>
      <c r="F59">
        <v>77.2</v>
      </c>
      <c r="G59">
        <v>0</v>
      </c>
      <c r="H59">
        <v>0</v>
      </c>
      <c r="I59">
        <v>0</v>
      </c>
      <c r="J59">
        <v>0</v>
      </c>
      <c r="K59">
        <v>66.8</v>
      </c>
      <c r="L59">
        <v>65.2</v>
      </c>
      <c r="M59">
        <v>79.930000000000007</v>
      </c>
      <c r="N59">
        <v>8</v>
      </c>
      <c r="O59">
        <v>5</v>
      </c>
      <c r="P59">
        <f>MOD(DAY(datos_siembra[[#This Row],[Date]]),7)</f>
        <v>1</v>
      </c>
      <c r="Q59" t="str">
        <f>CHOOSE(WEEKDAY(datos_siembra[[#This Row],[Date]],2),"L","M","X","J","V","S","D")</f>
        <v>D</v>
      </c>
      <c r="R59">
        <f>WEEKNUM(datos_siembra[[#This Row],[Date]],2)-WEEKNUM(DATE(YEAR(datos_siembra[[#This Row],[Date]]),MONTH(datos_siembra[[#This Row],[Date]]),1))+1</f>
        <v>1</v>
      </c>
      <c r="S59">
        <f>MONTH(datos_siembra[[#This Row],[Date]])</f>
        <v>9</v>
      </c>
      <c r="T59" t="str" cm="1">
        <f t="array" ref="T59">_xlfn.IFS(AND(N59&lt;= 22, S59=9), "SOWING",AND(N59&lt;= 28, S59=9), "COVERAGE",AND(N59&lt;= 30, S59=9), "FLUSH",AND(N59&lt;= 11, S59=10), "FLUSH",AND(N59&lt;= 21, S59=10), "PRODUCTION")</f>
        <v>SOWING</v>
      </c>
      <c r="U59">
        <f>HOUR(datos_siembra[[#This Row],[Hour]])</f>
        <v>23</v>
      </c>
      <c r="V59" cm="1">
        <f t="array" ref="V59">_xlfn.IFS(AND(N59&lt;= 22, S59=9), N59-7,AND(N59&lt;= 28, S59=9), N59-25,AND(N59&lt;= 30, S59=9), N59-28,AND(N59&lt;= 11, S59=10), N59+2,AND(N59&lt;= 21, S59=10), N59-11)</f>
        <v>1</v>
      </c>
    </row>
    <row r="60" spans="1:22" x14ac:dyDescent="0.35">
      <c r="A60" s="4">
        <v>45543</v>
      </c>
      <c r="B60" s="5">
        <v>0.97023148148148153</v>
      </c>
      <c r="C60">
        <v>79.599999999999994</v>
      </c>
      <c r="D60">
        <v>81.8</v>
      </c>
      <c r="E60">
        <v>81.3</v>
      </c>
      <c r="F60">
        <v>77.3</v>
      </c>
      <c r="G60">
        <v>0</v>
      </c>
      <c r="H60">
        <v>0</v>
      </c>
      <c r="I60">
        <v>0</v>
      </c>
      <c r="J60">
        <v>0</v>
      </c>
      <c r="K60">
        <v>66</v>
      </c>
      <c r="L60">
        <v>64.400000000000006</v>
      </c>
      <c r="M60">
        <v>79.98</v>
      </c>
      <c r="N60">
        <v>8</v>
      </c>
      <c r="O60">
        <v>5</v>
      </c>
      <c r="P60">
        <f>MOD(DAY(datos_siembra[[#This Row],[Date]]),7)</f>
        <v>1</v>
      </c>
      <c r="Q60" t="str">
        <f>CHOOSE(WEEKDAY(datos_siembra[[#This Row],[Date]],2),"L","M","X","J","V","S","D")</f>
        <v>D</v>
      </c>
      <c r="R60">
        <f>WEEKNUM(datos_siembra[[#This Row],[Date]],2)-WEEKNUM(DATE(YEAR(datos_siembra[[#This Row],[Date]]),MONTH(datos_siembra[[#This Row],[Date]]),1))+1</f>
        <v>1</v>
      </c>
      <c r="S60">
        <f>MONTH(datos_siembra[[#This Row],[Date]])</f>
        <v>9</v>
      </c>
      <c r="T60" t="str" cm="1">
        <f t="array" ref="T60">_xlfn.IFS(AND(N60&lt;= 22, S60=9), "SOWING",AND(N60&lt;= 28, S60=9), "COVERAGE",AND(N60&lt;= 30, S60=9), "FLUSH",AND(N60&lt;= 11, S60=10), "FLUSH",AND(N60&lt;= 21, S60=10), "PRODUCTION")</f>
        <v>SOWING</v>
      </c>
      <c r="U60">
        <f>HOUR(datos_siembra[[#This Row],[Hour]])</f>
        <v>23</v>
      </c>
      <c r="V60" cm="1">
        <f t="array" ref="V60">_xlfn.IFS(AND(N60&lt;= 22, S60=9), N60-7,AND(N60&lt;= 28, S60=9), N60-25,AND(N60&lt;= 30, S60=9), N60-28,AND(N60&lt;= 11, S60=10), N60+2,AND(N60&lt;= 21, S60=10), N60-11)</f>
        <v>1</v>
      </c>
    </row>
    <row r="61" spans="1:22" x14ac:dyDescent="0.35">
      <c r="A61" s="4">
        <v>45543</v>
      </c>
      <c r="B61" s="5">
        <v>0.97718749999999999</v>
      </c>
      <c r="C61">
        <v>79.599999999999994</v>
      </c>
      <c r="D61">
        <v>81.599999999999994</v>
      </c>
      <c r="E61">
        <v>81.099999999999994</v>
      </c>
      <c r="F61">
        <v>77.3</v>
      </c>
      <c r="G61">
        <v>0</v>
      </c>
      <c r="H61">
        <v>0</v>
      </c>
      <c r="I61">
        <v>0</v>
      </c>
      <c r="J61">
        <v>0</v>
      </c>
      <c r="K61">
        <v>66.599999999999994</v>
      </c>
      <c r="L61">
        <v>64.400000000000006</v>
      </c>
      <c r="M61">
        <v>79.95</v>
      </c>
      <c r="N61">
        <v>8</v>
      </c>
      <c r="O61">
        <v>5</v>
      </c>
      <c r="P61">
        <f>MOD(DAY(datos_siembra[[#This Row],[Date]]),7)</f>
        <v>1</v>
      </c>
      <c r="Q61" t="str">
        <f>CHOOSE(WEEKDAY(datos_siembra[[#This Row],[Date]],2),"L","M","X","J","V","S","D")</f>
        <v>D</v>
      </c>
      <c r="R61">
        <f>WEEKNUM(datos_siembra[[#This Row],[Date]],2)-WEEKNUM(DATE(YEAR(datos_siembra[[#This Row],[Date]]),MONTH(datos_siembra[[#This Row],[Date]]),1))+1</f>
        <v>1</v>
      </c>
      <c r="S61">
        <f>MONTH(datos_siembra[[#This Row],[Date]])</f>
        <v>9</v>
      </c>
      <c r="T61" t="str" cm="1">
        <f t="array" ref="T61">_xlfn.IFS(AND(N61&lt;= 22, S61=9), "SOWING",AND(N61&lt;= 28, S61=9), "COVERAGE",AND(N61&lt;= 30, S61=9), "FLUSH",AND(N61&lt;= 11, S61=10), "FLUSH",AND(N61&lt;= 21, S61=10), "PRODUCTION")</f>
        <v>SOWING</v>
      </c>
      <c r="U61">
        <f>HOUR(datos_siembra[[#This Row],[Hour]])</f>
        <v>23</v>
      </c>
      <c r="V61" cm="1">
        <f t="array" ref="V61">_xlfn.IFS(AND(N61&lt;= 22, S61=9), N61-7,AND(N61&lt;= 28, S61=9), N61-25,AND(N61&lt;= 30, S61=9), N61-28,AND(N61&lt;= 11, S61=10), N61+2,AND(N61&lt;= 21, S61=10), N61-11)</f>
        <v>1</v>
      </c>
    </row>
    <row r="62" spans="1:22" x14ac:dyDescent="0.35">
      <c r="A62" s="4">
        <v>45543</v>
      </c>
      <c r="B62" s="5">
        <v>0.98413194444444441</v>
      </c>
      <c r="C62">
        <v>79.5</v>
      </c>
      <c r="D62">
        <v>81.7</v>
      </c>
      <c r="E62">
        <v>81.2</v>
      </c>
      <c r="F62">
        <v>77.2</v>
      </c>
      <c r="G62">
        <v>0</v>
      </c>
      <c r="H62">
        <v>0</v>
      </c>
      <c r="I62">
        <v>0</v>
      </c>
      <c r="J62">
        <v>0</v>
      </c>
      <c r="K62">
        <v>67</v>
      </c>
      <c r="L62">
        <v>65.900000000000006</v>
      </c>
      <c r="M62">
        <v>79.930000000000007</v>
      </c>
      <c r="N62">
        <v>8</v>
      </c>
      <c r="O62">
        <v>5</v>
      </c>
      <c r="P62">
        <f>MOD(DAY(datos_siembra[[#This Row],[Date]]),7)</f>
        <v>1</v>
      </c>
      <c r="Q62" t="str">
        <f>CHOOSE(WEEKDAY(datos_siembra[[#This Row],[Date]],2),"L","M","X","J","V","S","D")</f>
        <v>D</v>
      </c>
      <c r="R62">
        <f>WEEKNUM(datos_siembra[[#This Row],[Date]],2)-WEEKNUM(DATE(YEAR(datos_siembra[[#This Row],[Date]]),MONTH(datos_siembra[[#This Row],[Date]]),1))+1</f>
        <v>1</v>
      </c>
      <c r="S62">
        <f>MONTH(datos_siembra[[#This Row],[Date]])</f>
        <v>9</v>
      </c>
      <c r="T62" t="str" cm="1">
        <f t="array" ref="T62">_xlfn.IFS(AND(N62&lt;= 22, S62=9), "SOWING",AND(N62&lt;= 28, S62=9), "COVERAGE",AND(N62&lt;= 30, S62=9), "FLUSH",AND(N62&lt;= 11, S62=10), "FLUSH",AND(N62&lt;= 21, S62=10), "PRODUCTION")</f>
        <v>SOWING</v>
      </c>
      <c r="U62">
        <f>HOUR(datos_siembra[[#This Row],[Hour]])</f>
        <v>23</v>
      </c>
      <c r="V62" cm="1">
        <f t="array" ref="V62">_xlfn.IFS(AND(N62&lt;= 22, S62=9), N62-7,AND(N62&lt;= 28, S62=9), N62-25,AND(N62&lt;= 30, S62=9), N62-28,AND(N62&lt;= 11, S62=10), N62+2,AND(N62&lt;= 21, S62=10), N62-11)</f>
        <v>1</v>
      </c>
    </row>
    <row r="63" spans="1:22" x14ac:dyDescent="0.35">
      <c r="A63" s="4">
        <v>45543</v>
      </c>
      <c r="B63" s="5">
        <v>0.99107638888888894</v>
      </c>
      <c r="C63">
        <v>79.599999999999994</v>
      </c>
      <c r="D63">
        <v>81.599999999999994</v>
      </c>
      <c r="E63">
        <v>81.2</v>
      </c>
      <c r="F63">
        <v>77.2</v>
      </c>
      <c r="G63">
        <v>0</v>
      </c>
      <c r="H63">
        <v>0</v>
      </c>
      <c r="I63">
        <v>0</v>
      </c>
      <c r="J63">
        <v>0</v>
      </c>
      <c r="K63">
        <v>67.099999999999994</v>
      </c>
      <c r="L63">
        <v>65.900000000000006</v>
      </c>
      <c r="M63">
        <v>80.040000000000006</v>
      </c>
      <c r="N63">
        <v>8</v>
      </c>
      <c r="O63">
        <v>5</v>
      </c>
      <c r="P63">
        <f>MOD(DAY(datos_siembra[[#This Row],[Date]]),7)</f>
        <v>1</v>
      </c>
      <c r="Q63" t="str">
        <f>CHOOSE(WEEKDAY(datos_siembra[[#This Row],[Date]],2),"L","M","X","J","V","S","D")</f>
        <v>D</v>
      </c>
      <c r="R63">
        <f>WEEKNUM(datos_siembra[[#This Row],[Date]],2)-WEEKNUM(DATE(YEAR(datos_siembra[[#This Row],[Date]]),MONTH(datos_siembra[[#This Row],[Date]]),1))+1</f>
        <v>1</v>
      </c>
      <c r="S63">
        <f>MONTH(datos_siembra[[#This Row],[Date]])</f>
        <v>9</v>
      </c>
      <c r="T63" t="str" cm="1">
        <f t="array" ref="T63">_xlfn.IFS(AND(N63&lt;= 22, S63=9), "SOWING",AND(N63&lt;= 28, S63=9), "COVERAGE",AND(N63&lt;= 30, S63=9), "FLUSH",AND(N63&lt;= 11, S63=10), "FLUSH",AND(N63&lt;= 21, S63=10), "PRODUCTION")</f>
        <v>SOWING</v>
      </c>
      <c r="U63">
        <f>HOUR(datos_siembra[[#This Row],[Hour]])</f>
        <v>23</v>
      </c>
      <c r="V63" cm="1">
        <f t="array" ref="V63">_xlfn.IFS(AND(N63&lt;= 22, S63=9), N63-7,AND(N63&lt;= 28, S63=9), N63-25,AND(N63&lt;= 30, S63=9), N63-28,AND(N63&lt;= 11, S63=10), N63+2,AND(N63&lt;= 21, S63=10), N63-11)</f>
        <v>1</v>
      </c>
    </row>
    <row r="64" spans="1:22" x14ac:dyDescent="0.35">
      <c r="A64" s="4">
        <v>45543</v>
      </c>
      <c r="B64" s="5">
        <v>0.9980324074074074</v>
      </c>
      <c r="C64">
        <v>79.599999999999994</v>
      </c>
      <c r="D64">
        <v>81.7</v>
      </c>
      <c r="E64">
        <v>81.3</v>
      </c>
      <c r="F64">
        <v>77.099999999999994</v>
      </c>
      <c r="G64">
        <v>0</v>
      </c>
      <c r="H64">
        <v>0</v>
      </c>
      <c r="I64">
        <v>0</v>
      </c>
      <c r="J64">
        <v>0</v>
      </c>
      <c r="K64">
        <v>67.2</v>
      </c>
      <c r="L64">
        <v>65.099999999999994</v>
      </c>
      <c r="M64">
        <v>80.010000000000005</v>
      </c>
      <c r="N64">
        <v>8</v>
      </c>
      <c r="O64">
        <v>5</v>
      </c>
      <c r="P64">
        <f>MOD(DAY(datos_siembra[[#This Row],[Date]]),7)</f>
        <v>1</v>
      </c>
      <c r="Q64" t="str">
        <f>CHOOSE(WEEKDAY(datos_siembra[[#This Row],[Date]],2),"L","M","X","J","V","S","D")</f>
        <v>D</v>
      </c>
      <c r="R64">
        <f>WEEKNUM(datos_siembra[[#This Row],[Date]],2)-WEEKNUM(DATE(YEAR(datos_siembra[[#This Row],[Date]]),MONTH(datos_siembra[[#This Row],[Date]]),1))+1</f>
        <v>1</v>
      </c>
      <c r="S64">
        <f>MONTH(datos_siembra[[#This Row],[Date]])</f>
        <v>9</v>
      </c>
      <c r="T64" t="str" cm="1">
        <f t="array" ref="T64">_xlfn.IFS(AND(N64&lt;= 22, S64=9), "SOWING",AND(N64&lt;= 28, S64=9), "COVERAGE",AND(N64&lt;= 30, S64=9), "FLUSH",AND(N64&lt;= 11, S64=10), "FLUSH",AND(N64&lt;= 21, S64=10), "PRODUCTION")</f>
        <v>SOWING</v>
      </c>
      <c r="U64">
        <f>HOUR(datos_siembra[[#This Row],[Hour]])</f>
        <v>23</v>
      </c>
      <c r="V64" cm="1">
        <f t="array" ref="V64">_xlfn.IFS(AND(N64&lt;= 22, S64=9), N64-7,AND(N64&lt;= 28, S64=9), N64-25,AND(N64&lt;= 30, S64=9), N64-28,AND(N64&lt;= 11, S64=10), N64+2,AND(N64&lt;= 21, S64=10), N64-11)</f>
        <v>1</v>
      </c>
    </row>
    <row r="65" spans="1:22" x14ac:dyDescent="0.35">
      <c r="A65" s="4">
        <v>45544</v>
      </c>
      <c r="B65" s="5">
        <v>4.9768518518518521E-3</v>
      </c>
      <c r="C65">
        <v>79.5</v>
      </c>
      <c r="D65">
        <v>81.599999999999994</v>
      </c>
      <c r="E65">
        <v>81.3</v>
      </c>
      <c r="F65">
        <v>77.2</v>
      </c>
      <c r="G65">
        <v>0</v>
      </c>
      <c r="H65">
        <v>0</v>
      </c>
      <c r="I65">
        <v>0</v>
      </c>
      <c r="J65">
        <v>0</v>
      </c>
      <c r="K65">
        <v>67.2</v>
      </c>
      <c r="L65">
        <v>65.2</v>
      </c>
      <c r="M65">
        <v>79.95</v>
      </c>
      <c r="N65">
        <v>9</v>
      </c>
      <c r="O65">
        <v>6</v>
      </c>
      <c r="P65">
        <f>MOD(DAY(datos_siembra[[#This Row],[Date]]),7)</f>
        <v>2</v>
      </c>
      <c r="Q65" t="str">
        <f>CHOOSE(WEEKDAY(datos_siembra[[#This Row],[Date]],2),"L","M","X","J","V","S","D")</f>
        <v>L</v>
      </c>
      <c r="R65">
        <f>WEEKNUM(datos_siembra[[#This Row],[Date]],2)-WEEKNUM(DATE(YEAR(datos_siembra[[#This Row],[Date]]),MONTH(datos_siembra[[#This Row],[Date]]),1))+1</f>
        <v>2</v>
      </c>
      <c r="S65">
        <f>MONTH(datos_siembra[[#This Row],[Date]])</f>
        <v>9</v>
      </c>
      <c r="T65" t="str" cm="1">
        <f t="array" ref="T65">_xlfn.IFS(AND(N65&lt;= 22, S65=9), "SOWING",AND(N65&lt;= 28, S65=9), "COVERAGE",AND(N65&lt;= 30, S65=9), "FLUSH",AND(N65&lt;= 11, S65=10), "FLUSH",AND(N65&lt;= 21, S65=10), "PRODUCTION")</f>
        <v>SOWING</v>
      </c>
      <c r="U65">
        <f>HOUR(datos_siembra[[#This Row],[Hour]])</f>
        <v>0</v>
      </c>
      <c r="V65" cm="1">
        <f t="array" ref="V65">_xlfn.IFS(AND(N65&lt;= 22, S65=9), N65-7,AND(N65&lt;= 28, S65=9), N65-25,AND(N65&lt;= 30, S65=9), N65-28,AND(N65&lt;= 11, S65=10), N65+2,AND(N65&lt;= 21, S65=10), N65-11)</f>
        <v>2</v>
      </c>
    </row>
    <row r="66" spans="1:22" x14ac:dyDescent="0.35">
      <c r="A66" s="4">
        <v>45544</v>
      </c>
      <c r="B66" s="5">
        <v>1.1921296296296296E-2</v>
      </c>
      <c r="C66">
        <v>79.7</v>
      </c>
      <c r="D66">
        <v>81.5</v>
      </c>
      <c r="E66">
        <v>81.400000000000006</v>
      </c>
      <c r="F66">
        <v>77.2</v>
      </c>
      <c r="G66">
        <v>0</v>
      </c>
      <c r="H66">
        <v>0</v>
      </c>
      <c r="I66">
        <v>0</v>
      </c>
      <c r="J66">
        <v>0</v>
      </c>
      <c r="K66">
        <v>67.400000000000006</v>
      </c>
      <c r="L66">
        <v>65.2</v>
      </c>
      <c r="M66">
        <v>79.900000000000006</v>
      </c>
      <c r="N66">
        <v>9</v>
      </c>
      <c r="O66">
        <v>6</v>
      </c>
      <c r="P66">
        <f>MOD(DAY(datos_siembra[[#This Row],[Date]]),7)</f>
        <v>2</v>
      </c>
      <c r="Q66" t="str">
        <f>CHOOSE(WEEKDAY(datos_siembra[[#This Row],[Date]],2),"L","M","X","J","V","S","D")</f>
        <v>L</v>
      </c>
      <c r="R66">
        <f>WEEKNUM(datos_siembra[[#This Row],[Date]],2)-WEEKNUM(DATE(YEAR(datos_siembra[[#This Row],[Date]]),MONTH(datos_siembra[[#This Row],[Date]]),1))+1</f>
        <v>2</v>
      </c>
      <c r="S66">
        <f>MONTH(datos_siembra[[#This Row],[Date]])</f>
        <v>9</v>
      </c>
      <c r="T66" t="str" cm="1">
        <f t="array" ref="T66">_xlfn.IFS(AND(N66&lt;= 22, S66=9), "SOWING",AND(N66&lt;= 28, S66=9), "COVERAGE",AND(N66&lt;= 30, S66=9), "FLUSH",AND(N66&lt;= 11, S66=10), "FLUSH",AND(N66&lt;= 21, S66=10), "PRODUCTION")</f>
        <v>SOWING</v>
      </c>
      <c r="U66">
        <f>HOUR(datos_siembra[[#This Row],[Hour]])</f>
        <v>0</v>
      </c>
      <c r="V66" cm="1">
        <f t="array" ref="V66">_xlfn.IFS(AND(N66&lt;= 22, S66=9), N66-7,AND(N66&lt;= 28, S66=9), N66-25,AND(N66&lt;= 30, S66=9), N66-28,AND(N66&lt;= 11, S66=10), N66+2,AND(N66&lt;= 21, S66=10), N66-11)</f>
        <v>2</v>
      </c>
    </row>
    <row r="67" spans="1:22" x14ac:dyDescent="0.35">
      <c r="A67" s="4">
        <v>45544</v>
      </c>
      <c r="B67" s="5">
        <v>1.8877314814814816E-2</v>
      </c>
      <c r="C67">
        <v>79.5</v>
      </c>
      <c r="D67">
        <v>81.7</v>
      </c>
      <c r="E67">
        <v>81.2</v>
      </c>
      <c r="F67">
        <v>77.3</v>
      </c>
      <c r="G67">
        <v>0</v>
      </c>
      <c r="H67">
        <v>0</v>
      </c>
      <c r="I67">
        <v>0</v>
      </c>
      <c r="J67">
        <v>0</v>
      </c>
      <c r="K67">
        <v>67.3</v>
      </c>
      <c r="L67">
        <v>65.2</v>
      </c>
      <c r="M67">
        <v>79.92</v>
      </c>
      <c r="N67">
        <v>9</v>
      </c>
      <c r="O67">
        <v>6</v>
      </c>
      <c r="P67">
        <f>MOD(DAY(datos_siembra[[#This Row],[Date]]),7)</f>
        <v>2</v>
      </c>
      <c r="Q67" t="str">
        <f>CHOOSE(WEEKDAY(datos_siembra[[#This Row],[Date]],2),"L","M","X","J","V","S","D")</f>
        <v>L</v>
      </c>
      <c r="R67">
        <f>WEEKNUM(datos_siembra[[#This Row],[Date]],2)-WEEKNUM(DATE(YEAR(datos_siembra[[#This Row],[Date]]),MONTH(datos_siembra[[#This Row],[Date]]),1))+1</f>
        <v>2</v>
      </c>
      <c r="S67">
        <f>MONTH(datos_siembra[[#This Row],[Date]])</f>
        <v>9</v>
      </c>
      <c r="T67" t="str" cm="1">
        <f t="array" ref="T67">_xlfn.IFS(AND(N67&lt;= 22, S67=9), "SOWING",AND(N67&lt;= 28, S67=9), "COVERAGE",AND(N67&lt;= 30, S67=9), "FLUSH",AND(N67&lt;= 11, S67=10), "FLUSH",AND(N67&lt;= 21, S67=10), "PRODUCTION")</f>
        <v>SOWING</v>
      </c>
      <c r="U67">
        <f>HOUR(datos_siembra[[#This Row],[Hour]])</f>
        <v>0</v>
      </c>
      <c r="V67" cm="1">
        <f t="array" ref="V67">_xlfn.IFS(AND(N67&lt;= 22, S67=9), N67-7,AND(N67&lt;= 28, S67=9), N67-25,AND(N67&lt;= 30, S67=9), N67-28,AND(N67&lt;= 11, S67=10), N67+2,AND(N67&lt;= 21, S67=10), N67-11)</f>
        <v>2</v>
      </c>
    </row>
    <row r="68" spans="1:22" x14ac:dyDescent="0.35">
      <c r="A68" s="4">
        <v>45544</v>
      </c>
      <c r="B68" s="5">
        <v>2.582175925925926E-2</v>
      </c>
      <c r="C68">
        <v>79.599999999999994</v>
      </c>
      <c r="D68">
        <v>81.7</v>
      </c>
      <c r="E68">
        <v>81.2</v>
      </c>
      <c r="F68">
        <v>77.2</v>
      </c>
      <c r="G68">
        <v>0</v>
      </c>
      <c r="H68">
        <v>0</v>
      </c>
      <c r="I68">
        <v>0</v>
      </c>
      <c r="J68">
        <v>0</v>
      </c>
      <c r="K68">
        <v>67.3</v>
      </c>
      <c r="L68">
        <v>65.2</v>
      </c>
      <c r="M68">
        <v>79.98</v>
      </c>
      <c r="N68">
        <v>9</v>
      </c>
      <c r="O68">
        <v>6</v>
      </c>
      <c r="P68">
        <f>MOD(DAY(datos_siembra[[#This Row],[Date]]),7)</f>
        <v>2</v>
      </c>
      <c r="Q68" t="str">
        <f>CHOOSE(WEEKDAY(datos_siembra[[#This Row],[Date]],2),"L","M","X","J","V","S","D")</f>
        <v>L</v>
      </c>
      <c r="R68">
        <f>WEEKNUM(datos_siembra[[#This Row],[Date]],2)-WEEKNUM(DATE(YEAR(datos_siembra[[#This Row],[Date]]),MONTH(datos_siembra[[#This Row],[Date]]),1))+1</f>
        <v>2</v>
      </c>
      <c r="S68">
        <f>MONTH(datos_siembra[[#This Row],[Date]])</f>
        <v>9</v>
      </c>
      <c r="T68" t="str" cm="1">
        <f t="array" ref="T68">_xlfn.IFS(AND(N68&lt;= 22, S68=9), "SOWING",AND(N68&lt;= 28, S68=9), "COVERAGE",AND(N68&lt;= 30, S68=9), "FLUSH",AND(N68&lt;= 11, S68=10), "FLUSH",AND(N68&lt;= 21, S68=10), "PRODUCTION")</f>
        <v>SOWING</v>
      </c>
      <c r="U68">
        <f>HOUR(datos_siembra[[#This Row],[Hour]])</f>
        <v>0</v>
      </c>
      <c r="V68" cm="1">
        <f t="array" ref="V68">_xlfn.IFS(AND(N68&lt;= 22, S68=9), N68-7,AND(N68&lt;= 28, S68=9), N68-25,AND(N68&lt;= 30, S68=9), N68-28,AND(N68&lt;= 11, S68=10), N68+2,AND(N68&lt;= 21, S68=10), N68-11)</f>
        <v>2</v>
      </c>
    </row>
    <row r="69" spans="1:22" x14ac:dyDescent="0.35">
      <c r="A69" s="4">
        <v>45544</v>
      </c>
      <c r="B69" s="5">
        <v>3.2766203703703707E-2</v>
      </c>
      <c r="C69">
        <v>79.599999999999994</v>
      </c>
      <c r="D69">
        <v>81.599999999999994</v>
      </c>
      <c r="E69">
        <v>81.2</v>
      </c>
      <c r="F69">
        <v>77.3</v>
      </c>
      <c r="G69">
        <v>0</v>
      </c>
      <c r="H69">
        <v>0</v>
      </c>
      <c r="I69">
        <v>0</v>
      </c>
      <c r="J69">
        <v>0</v>
      </c>
      <c r="K69">
        <v>67.3</v>
      </c>
      <c r="L69">
        <v>65.2</v>
      </c>
      <c r="M69">
        <v>79.87</v>
      </c>
      <c r="N69">
        <v>9</v>
      </c>
      <c r="O69">
        <v>6</v>
      </c>
      <c r="P69">
        <f>MOD(DAY(datos_siembra[[#This Row],[Date]]),7)</f>
        <v>2</v>
      </c>
      <c r="Q69" t="str">
        <f>CHOOSE(WEEKDAY(datos_siembra[[#This Row],[Date]],2),"L","M","X","J","V","S","D")</f>
        <v>L</v>
      </c>
      <c r="R69">
        <f>WEEKNUM(datos_siembra[[#This Row],[Date]],2)-WEEKNUM(DATE(YEAR(datos_siembra[[#This Row],[Date]]),MONTH(datos_siembra[[#This Row],[Date]]),1))+1</f>
        <v>2</v>
      </c>
      <c r="S69">
        <f>MONTH(datos_siembra[[#This Row],[Date]])</f>
        <v>9</v>
      </c>
      <c r="T69" t="str" cm="1">
        <f t="array" ref="T69">_xlfn.IFS(AND(N69&lt;= 22, S69=9), "SOWING",AND(N69&lt;= 28, S69=9), "COVERAGE",AND(N69&lt;= 30, S69=9), "FLUSH",AND(N69&lt;= 11, S69=10), "FLUSH",AND(N69&lt;= 21, S69=10), "PRODUCTION")</f>
        <v>SOWING</v>
      </c>
      <c r="U69">
        <f>HOUR(datos_siembra[[#This Row],[Hour]])</f>
        <v>0</v>
      </c>
      <c r="V69" cm="1">
        <f t="array" ref="V69">_xlfn.IFS(AND(N69&lt;= 22, S69=9), N69-7,AND(N69&lt;= 28, S69=9), N69-25,AND(N69&lt;= 30, S69=9), N69-28,AND(N69&lt;= 11, S69=10), N69+2,AND(N69&lt;= 21, S69=10), N69-11)</f>
        <v>2</v>
      </c>
    </row>
    <row r="70" spans="1:22" x14ac:dyDescent="0.35">
      <c r="A70" s="4">
        <v>45544</v>
      </c>
      <c r="B70" s="5">
        <v>3.9710648148148148E-2</v>
      </c>
      <c r="C70">
        <v>79.400000000000006</v>
      </c>
      <c r="D70">
        <v>81.599999999999994</v>
      </c>
      <c r="E70">
        <v>81.099999999999994</v>
      </c>
      <c r="F70">
        <v>77.2</v>
      </c>
      <c r="G70">
        <v>0</v>
      </c>
      <c r="H70">
        <v>0</v>
      </c>
      <c r="I70">
        <v>0</v>
      </c>
      <c r="J70">
        <v>0</v>
      </c>
      <c r="K70">
        <v>67.400000000000006</v>
      </c>
      <c r="L70">
        <v>65.3</v>
      </c>
      <c r="M70">
        <v>79.900000000000006</v>
      </c>
      <c r="N70">
        <v>9</v>
      </c>
      <c r="O70">
        <v>6</v>
      </c>
      <c r="P70">
        <f>MOD(DAY(datos_siembra[[#This Row],[Date]]),7)</f>
        <v>2</v>
      </c>
      <c r="Q70" t="str">
        <f>CHOOSE(WEEKDAY(datos_siembra[[#This Row],[Date]],2),"L","M","X","J","V","S","D")</f>
        <v>L</v>
      </c>
      <c r="R70">
        <f>WEEKNUM(datos_siembra[[#This Row],[Date]],2)-WEEKNUM(DATE(YEAR(datos_siembra[[#This Row],[Date]]),MONTH(datos_siembra[[#This Row],[Date]]),1))+1</f>
        <v>2</v>
      </c>
      <c r="S70">
        <f>MONTH(datos_siembra[[#This Row],[Date]])</f>
        <v>9</v>
      </c>
      <c r="T70" t="str" cm="1">
        <f t="array" ref="T70">_xlfn.IFS(AND(N70&lt;= 22, S70=9), "SOWING",AND(N70&lt;= 28, S70=9), "COVERAGE",AND(N70&lt;= 30, S70=9), "FLUSH",AND(N70&lt;= 11, S70=10), "FLUSH",AND(N70&lt;= 21, S70=10), "PRODUCTION")</f>
        <v>SOWING</v>
      </c>
      <c r="U70">
        <f>HOUR(datos_siembra[[#This Row],[Hour]])</f>
        <v>0</v>
      </c>
      <c r="V70" cm="1">
        <f t="array" ref="V70">_xlfn.IFS(AND(N70&lt;= 22, S70=9), N70-7,AND(N70&lt;= 28, S70=9), N70-25,AND(N70&lt;= 30, S70=9), N70-28,AND(N70&lt;= 11, S70=10), N70+2,AND(N70&lt;= 21, S70=10), N70-11)</f>
        <v>2</v>
      </c>
    </row>
    <row r="71" spans="1:22" x14ac:dyDescent="0.35">
      <c r="A71" s="4">
        <v>45544</v>
      </c>
      <c r="B71" s="5">
        <v>4.6666666666666669E-2</v>
      </c>
      <c r="C71">
        <v>79.599999999999994</v>
      </c>
      <c r="D71">
        <v>81.7</v>
      </c>
      <c r="E71">
        <v>81.2</v>
      </c>
      <c r="F71">
        <v>77.3</v>
      </c>
      <c r="G71">
        <v>0</v>
      </c>
      <c r="H71">
        <v>0</v>
      </c>
      <c r="I71">
        <v>0</v>
      </c>
      <c r="J71">
        <v>0</v>
      </c>
      <c r="K71">
        <v>67.400000000000006</v>
      </c>
      <c r="L71">
        <v>65.3</v>
      </c>
      <c r="M71">
        <v>80.040000000000006</v>
      </c>
      <c r="N71">
        <v>9</v>
      </c>
      <c r="O71">
        <v>6</v>
      </c>
      <c r="P71">
        <f>MOD(DAY(datos_siembra[[#This Row],[Date]]),7)</f>
        <v>2</v>
      </c>
      <c r="Q71" t="str">
        <f>CHOOSE(WEEKDAY(datos_siembra[[#This Row],[Date]],2),"L","M","X","J","V","S","D")</f>
        <v>L</v>
      </c>
      <c r="R71">
        <f>WEEKNUM(datos_siembra[[#This Row],[Date]],2)-WEEKNUM(DATE(YEAR(datos_siembra[[#This Row],[Date]]),MONTH(datos_siembra[[#This Row],[Date]]),1))+1</f>
        <v>2</v>
      </c>
      <c r="S71">
        <f>MONTH(datos_siembra[[#This Row],[Date]])</f>
        <v>9</v>
      </c>
      <c r="T71" t="str" cm="1">
        <f t="array" ref="T71">_xlfn.IFS(AND(N71&lt;= 22, S71=9), "SOWING",AND(N71&lt;= 28, S71=9), "COVERAGE",AND(N71&lt;= 30, S71=9), "FLUSH",AND(N71&lt;= 11, S71=10), "FLUSH",AND(N71&lt;= 21, S71=10), "PRODUCTION")</f>
        <v>SOWING</v>
      </c>
      <c r="U71">
        <f>HOUR(datos_siembra[[#This Row],[Hour]])</f>
        <v>1</v>
      </c>
      <c r="V71" cm="1">
        <f t="array" ref="V71">_xlfn.IFS(AND(N71&lt;= 22, S71=9), N71-7,AND(N71&lt;= 28, S71=9), N71-25,AND(N71&lt;= 30, S71=9), N71-28,AND(N71&lt;= 11, S71=10), N71+2,AND(N71&lt;= 21, S71=10), N71-11)</f>
        <v>2</v>
      </c>
    </row>
    <row r="72" spans="1:22" x14ac:dyDescent="0.35">
      <c r="A72" s="4">
        <v>45544</v>
      </c>
      <c r="B72" s="5">
        <v>5.3611111111111109E-2</v>
      </c>
      <c r="C72">
        <v>79.599999999999994</v>
      </c>
      <c r="D72">
        <v>81.7</v>
      </c>
      <c r="E72">
        <v>81.3</v>
      </c>
      <c r="F72">
        <v>77.2</v>
      </c>
      <c r="G72">
        <v>0</v>
      </c>
      <c r="H72">
        <v>0</v>
      </c>
      <c r="I72">
        <v>0</v>
      </c>
      <c r="J72">
        <v>0</v>
      </c>
      <c r="K72">
        <v>67.400000000000006</v>
      </c>
      <c r="L72">
        <v>65.3</v>
      </c>
      <c r="M72">
        <v>79.95</v>
      </c>
      <c r="N72">
        <v>9</v>
      </c>
      <c r="O72">
        <v>6</v>
      </c>
      <c r="P72">
        <f>MOD(DAY(datos_siembra[[#This Row],[Date]]),7)</f>
        <v>2</v>
      </c>
      <c r="Q72" t="str">
        <f>CHOOSE(WEEKDAY(datos_siembra[[#This Row],[Date]],2),"L","M","X","J","V","S","D")</f>
        <v>L</v>
      </c>
      <c r="R72">
        <f>WEEKNUM(datos_siembra[[#This Row],[Date]],2)-WEEKNUM(DATE(YEAR(datos_siembra[[#This Row],[Date]]),MONTH(datos_siembra[[#This Row],[Date]]),1))+1</f>
        <v>2</v>
      </c>
      <c r="S72">
        <f>MONTH(datos_siembra[[#This Row],[Date]])</f>
        <v>9</v>
      </c>
      <c r="T72" t="str" cm="1">
        <f t="array" ref="T72">_xlfn.IFS(AND(N72&lt;= 22, S72=9), "SOWING",AND(N72&lt;= 28, S72=9), "COVERAGE",AND(N72&lt;= 30, S72=9), "FLUSH",AND(N72&lt;= 11, S72=10), "FLUSH",AND(N72&lt;= 21, S72=10), "PRODUCTION")</f>
        <v>SOWING</v>
      </c>
      <c r="U72">
        <f>HOUR(datos_siembra[[#This Row],[Hour]])</f>
        <v>1</v>
      </c>
      <c r="V72" cm="1">
        <f t="array" ref="V72">_xlfn.IFS(AND(N72&lt;= 22, S72=9), N72-7,AND(N72&lt;= 28, S72=9), N72-25,AND(N72&lt;= 30, S72=9), N72-28,AND(N72&lt;= 11, S72=10), N72+2,AND(N72&lt;= 21, S72=10), N72-11)</f>
        <v>2</v>
      </c>
    </row>
    <row r="73" spans="1:22" x14ac:dyDescent="0.35">
      <c r="A73" s="4">
        <v>45544</v>
      </c>
      <c r="B73" s="5">
        <v>6.0555555555555557E-2</v>
      </c>
      <c r="C73">
        <v>79.5</v>
      </c>
      <c r="D73">
        <v>81.599999999999994</v>
      </c>
      <c r="E73">
        <v>80.900000000000006</v>
      </c>
      <c r="F73">
        <v>77.3</v>
      </c>
      <c r="G73">
        <v>0</v>
      </c>
      <c r="H73">
        <v>0</v>
      </c>
      <c r="I73">
        <v>0</v>
      </c>
      <c r="J73">
        <v>0</v>
      </c>
      <c r="K73">
        <v>67.3</v>
      </c>
      <c r="L73">
        <v>65.3</v>
      </c>
      <c r="M73">
        <v>79.900000000000006</v>
      </c>
      <c r="N73">
        <v>9</v>
      </c>
      <c r="O73">
        <v>6</v>
      </c>
      <c r="P73">
        <f>MOD(DAY(datos_siembra[[#This Row],[Date]]),7)</f>
        <v>2</v>
      </c>
      <c r="Q73" t="str">
        <f>CHOOSE(WEEKDAY(datos_siembra[[#This Row],[Date]],2),"L","M","X","J","V","S","D")</f>
        <v>L</v>
      </c>
      <c r="R73">
        <f>WEEKNUM(datos_siembra[[#This Row],[Date]],2)-WEEKNUM(DATE(YEAR(datos_siembra[[#This Row],[Date]]),MONTH(datos_siembra[[#This Row],[Date]]),1))+1</f>
        <v>2</v>
      </c>
      <c r="S73">
        <f>MONTH(datos_siembra[[#This Row],[Date]])</f>
        <v>9</v>
      </c>
      <c r="T73" t="str" cm="1">
        <f t="array" ref="T73">_xlfn.IFS(AND(N73&lt;= 22, S73=9), "SOWING",AND(N73&lt;= 28, S73=9), "COVERAGE",AND(N73&lt;= 30, S73=9), "FLUSH",AND(N73&lt;= 11, S73=10), "FLUSH",AND(N73&lt;= 21, S73=10), "PRODUCTION")</f>
        <v>SOWING</v>
      </c>
      <c r="U73">
        <f>HOUR(datos_siembra[[#This Row],[Hour]])</f>
        <v>1</v>
      </c>
      <c r="V73" cm="1">
        <f t="array" ref="V73">_xlfn.IFS(AND(N73&lt;= 22, S73=9), N73-7,AND(N73&lt;= 28, S73=9), N73-25,AND(N73&lt;= 30, S73=9), N73-28,AND(N73&lt;= 11, S73=10), N73+2,AND(N73&lt;= 21, S73=10), N73-11)</f>
        <v>2</v>
      </c>
    </row>
    <row r="74" spans="1:22" x14ac:dyDescent="0.35">
      <c r="A74" s="4">
        <v>45544</v>
      </c>
      <c r="B74" s="5">
        <v>6.7500000000000004E-2</v>
      </c>
      <c r="C74">
        <v>79.599999999999994</v>
      </c>
      <c r="D74">
        <v>81.599999999999994</v>
      </c>
      <c r="E74">
        <v>81.3</v>
      </c>
      <c r="F74">
        <v>77.2</v>
      </c>
      <c r="G74">
        <v>0</v>
      </c>
      <c r="H74">
        <v>0</v>
      </c>
      <c r="I74">
        <v>0</v>
      </c>
      <c r="J74">
        <v>0</v>
      </c>
      <c r="K74">
        <v>67.3</v>
      </c>
      <c r="L74">
        <v>65.3</v>
      </c>
      <c r="M74">
        <v>79.95</v>
      </c>
      <c r="N74">
        <v>9</v>
      </c>
      <c r="O74">
        <v>6</v>
      </c>
      <c r="P74">
        <f>MOD(DAY(datos_siembra[[#This Row],[Date]]),7)</f>
        <v>2</v>
      </c>
      <c r="Q74" t="str">
        <f>CHOOSE(WEEKDAY(datos_siembra[[#This Row],[Date]],2),"L","M","X","J","V","S","D")</f>
        <v>L</v>
      </c>
      <c r="R74">
        <f>WEEKNUM(datos_siembra[[#This Row],[Date]],2)-WEEKNUM(DATE(YEAR(datos_siembra[[#This Row],[Date]]),MONTH(datos_siembra[[#This Row],[Date]]),1))+1</f>
        <v>2</v>
      </c>
      <c r="S74">
        <f>MONTH(datos_siembra[[#This Row],[Date]])</f>
        <v>9</v>
      </c>
      <c r="T74" t="str" cm="1">
        <f t="array" ref="T74">_xlfn.IFS(AND(N74&lt;= 22, S74=9), "SOWING",AND(N74&lt;= 28, S74=9), "COVERAGE",AND(N74&lt;= 30, S74=9), "FLUSH",AND(N74&lt;= 11, S74=10), "FLUSH",AND(N74&lt;= 21, S74=10), "PRODUCTION")</f>
        <v>SOWING</v>
      </c>
      <c r="U74">
        <f>HOUR(datos_siembra[[#This Row],[Hour]])</f>
        <v>1</v>
      </c>
      <c r="V74" cm="1">
        <f t="array" ref="V74">_xlfn.IFS(AND(N74&lt;= 22, S74=9), N74-7,AND(N74&lt;= 28, S74=9), N74-25,AND(N74&lt;= 30, S74=9), N74-28,AND(N74&lt;= 11, S74=10), N74+2,AND(N74&lt;= 21, S74=10), N74-11)</f>
        <v>2</v>
      </c>
    </row>
    <row r="75" spans="1:22" x14ac:dyDescent="0.35">
      <c r="A75" s="4">
        <v>45544</v>
      </c>
      <c r="B75" s="5">
        <v>7.4456018518518519E-2</v>
      </c>
      <c r="C75">
        <v>79.7</v>
      </c>
      <c r="D75">
        <v>81.7</v>
      </c>
      <c r="E75">
        <v>81.3</v>
      </c>
      <c r="F75">
        <v>77.2</v>
      </c>
      <c r="G75">
        <v>0</v>
      </c>
      <c r="H75">
        <v>0</v>
      </c>
      <c r="I75">
        <v>0</v>
      </c>
      <c r="J75">
        <v>0</v>
      </c>
      <c r="K75">
        <v>67.400000000000006</v>
      </c>
      <c r="L75">
        <v>65.3</v>
      </c>
      <c r="M75">
        <v>79.87</v>
      </c>
      <c r="N75">
        <v>9</v>
      </c>
      <c r="O75">
        <v>6</v>
      </c>
      <c r="P75">
        <f>MOD(DAY(datos_siembra[[#This Row],[Date]]),7)</f>
        <v>2</v>
      </c>
      <c r="Q75" t="str">
        <f>CHOOSE(WEEKDAY(datos_siembra[[#This Row],[Date]],2),"L","M","X","J","V","S","D")</f>
        <v>L</v>
      </c>
      <c r="R75">
        <f>WEEKNUM(datos_siembra[[#This Row],[Date]],2)-WEEKNUM(DATE(YEAR(datos_siembra[[#This Row],[Date]]),MONTH(datos_siembra[[#This Row],[Date]]),1))+1</f>
        <v>2</v>
      </c>
      <c r="S75">
        <f>MONTH(datos_siembra[[#This Row],[Date]])</f>
        <v>9</v>
      </c>
      <c r="T75" t="str" cm="1">
        <f t="array" ref="T75">_xlfn.IFS(AND(N75&lt;= 22, S75=9), "SOWING",AND(N75&lt;= 28, S75=9), "COVERAGE",AND(N75&lt;= 30, S75=9), "FLUSH",AND(N75&lt;= 11, S75=10), "FLUSH",AND(N75&lt;= 21, S75=10), "PRODUCTION")</f>
        <v>SOWING</v>
      </c>
      <c r="U75">
        <f>HOUR(datos_siembra[[#This Row],[Hour]])</f>
        <v>1</v>
      </c>
      <c r="V75" cm="1">
        <f t="array" ref="V75">_xlfn.IFS(AND(N75&lt;= 22, S75=9), N75-7,AND(N75&lt;= 28, S75=9), N75-25,AND(N75&lt;= 30, S75=9), N75-28,AND(N75&lt;= 11, S75=10), N75+2,AND(N75&lt;= 21, S75=10), N75-11)</f>
        <v>2</v>
      </c>
    </row>
    <row r="76" spans="1:22" x14ac:dyDescent="0.35">
      <c r="A76" s="4">
        <v>45544</v>
      </c>
      <c r="B76" s="5">
        <v>8.1400462962962966E-2</v>
      </c>
      <c r="C76">
        <v>79.599999999999994</v>
      </c>
      <c r="D76">
        <v>81.7</v>
      </c>
      <c r="E76">
        <v>81.2</v>
      </c>
      <c r="F76">
        <v>77.2</v>
      </c>
      <c r="G76">
        <v>0</v>
      </c>
      <c r="H76">
        <v>0</v>
      </c>
      <c r="I76">
        <v>0</v>
      </c>
      <c r="J76">
        <v>0</v>
      </c>
      <c r="K76">
        <v>67.400000000000006</v>
      </c>
      <c r="L76">
        <v>65.2</v>
      </c>
      <c r="M76">
        <v>79.900000000000006</v>
      </c>
      <c r="N76">
        <v>9</v>
      </c>
      <c r="O76">
        <v>6</v>
      </c>
      <c r="P76">
        <f>MOD(DAY(datos_siembra[[#This Row],[Date]]),7)</f>
        <v>2</v>
      </c>
      <c r="Q76" t="str">
        <f>CHOOSE(WEEKDAY(datos_siembra[[#This Row],[Date]],2),"L","M","X","J","V","S","D")</f>
        <v>L</v>
      </c>
      <c r="R76">
        <f>WEEKNUM(datos_siembra[[#This Row],[Date]],2)-WEEKNUM(DATE(YEAR(datos_siembra[[#This Row],[Date]]),MONTH(datos_siembra[[#This Row],[Date]]),1))+1</f>
        <v>2</v>
      </c>
      <c r="S76">
        <f>MONTH(datos_siembra[[#This Row],[Date]])</f>
        <v>9</v>
      </c>
      <c r="T76" t="str" cm="1">
        <f t="array" ref="T76">_xlfn.IFS(AND(N76&lt;= 22, S76=9), "SOWING",AND(N76&lt;= 28, S76=9), "COVERAGE",AND(N76&lt;= 30, S76=9), "FLUSH",AND(N76&lt;= 11, S76=10), "FLUSH",AND(N76&lt;= 21, S76=10), "PRODUCTION")</f>
        <v>SOWING</v>
      </c>
      <c r="U76">
        <f>HOUR(datos_siembra[[#This Row],[Hour]])</f>
        <v>1</v>
      </c>
      <c r="V76" cm="1">
        <f t="array" ref="V76">_xlfn.IFS(AND(N76&lt;= 22, S76=9), N76-7,AND(N76&lt;= 28, S76=9), N76-25,AND(N76&lt;= 30, S76=9), N76-28,AND(N76&lt;= 11, S76=10), N76+2,AND(N76&lt;= 21, S76=10), N76-11)</f>
        <v>2</v>
      </c>
    </row>
    <row r="77" spans="1:22" x14ac:dyDescent="0.35">
      <c r="A77" s="4">
        <v>45544</v>
      </c>
      <c r="B77" s="5">
        <v>8.8344907407407414E-2</v>
      </c>
      <c r="C77">
        <v>79.5</v>
      </c>
      <c r="D77">
        <v>81.7</v>
      </c>
      <c r="E77">
        <v>81.400000000000006</v>
      </c>
      <c r="F77">
        <v>77.5</v>
      </c>
      <c r="G77">
        <v>0</v>
      </c>
      <c r="H77">
        <v>0</v>
      </c>
      <c r="I77">
        <v>0</v>
      </c>
      <c r="J77">
        <v>0</v>
      </c>
      <c r="K77">
        <v>67.2</v>
      </c>
      <c r="L77">
        <v>65.2</v>
      </c>
      <c r="M77">
        <v>80.069999999999993</v>
      </c>
      <c r="N77">
        <v>9</v>
      </c>
      <c r="O77">
        <v>6</v>
      </c>
      <c r="P77">
        <f>MOD(DAY(datos_siembra[[#This Row],[Date]]),7)</f>
        <v>2</v>
      </c>
      <c r="Q77" t="str">
        <f>CHOOSE(WEEKDAY(datos_siembra[[#This Row],[Date]],2),"L","M","X","J","V","S","D")</f>
        <v>L</v>
      </c>
      <c r="R77">
        <f>WEEKNUM(datos_siembra[[#This Row],[Date]],2)-WEEKNUM(DATE(YEAR(datos_siembra[[#This Row],[Date]]),MONTH(datos_siembra[[#This Row],[Date]]),1))+1</f>
        <v>2</v>
      </c>
      <c r="S77">
        <f>MONTH(datos_siembra[[#This Row],[Date]])</f>
        <v>9</v>
      </c>
      <c r="T77" t="str" cm="1">
        <f t="array" ref="T77">_xlfn.IFS(AND(N77&lt;= 22, S77=9), "SOWING",AND(N77&lt;= 28, S77=9), "COVERAGE",AND(N77&lt;= 30, S77=9), "FLUSH",AND(N77&lt;= 11, S77=10), "FLUSH",AND(N77&lt;= 21, S77=10), "PRODUCTION")</f>
        <v>SOWING</v>
      </c>
      <c r="U77">
        <f>HOUR(datos_siembra[[#This Row],[Hour]])</f>
        <v>2</v>
      </c>
      <c r="V77" cm="1">
        <f t="array" ref="V77">_xlfn.IFS(AND(N77&lt;= 22, S77=9), N77-7,AND(N77&lt;= 28, S77=9), N77-25,AND(N77&lt;= 30, S77=9), N77-28,AND(N77&lt;= 11, S77=10), N77+2,AND(N77&lt;= 21, S77=10), N77-11)</f>
        <v>2</v>
      </c>
    </row>
    <row r="78" spans="1:22" x14ac:dyDescent="0.35">
      <c r="A78" s="4">
        <v>45544</v>
      </c>
      <c r="B78" s="5">
        <v>9.5289351851851847E-2</v>
      </c>
      <c r="C78">
        <v>79.5</v>
      </c>
      <c r="D78">
        <v>81.7</v>
      </c>
      <c r="E78">
        <v>81.7</v>
      </c>
      <c r="F78">
        <v>77.5</v>
      </c>
      <c r="G78">
        <v>0</v>
      </c>
      <c r="H78">
        <v>0</v>
      </c>
      <c r="I78">
        <v>0</v>
      </c>
      <c r="J78">
        <v>0</v>
      </c>
      <c r="K78">
        <v>67.3</v>
      </c>
      <c r="L78">
        <v>65.099999999999994</v>
      </c>
      <c r="M78">
        <v>79.84</v>
      </c>
      <c r="N78">
        <v>9</v>
      </c>
      <c r="O78">
        <v>6</v>
      </c>
      <c r="P78">
        <f>MOD(DAY(datos_siembra[[#This Row],[Date]]),7)</f>
        <v>2</v>
      </c>
      <c r="Q78" t="str">
        <f>CHOOSE(WEEKDAY(datos_siembra[[#This Row],[Date]],2),"L","M","X","J","V","S","D")</f>
        <v>L</v>
      </c>
      <c r="R78">
        <f>WEEKNUM(datos_siembra[[#This Row],[Date]],2)-WEEKNUM(DATE(YEAR(datos_siembra[[#This Row],[Date]]),MONTH(datos_siembra[[#This Row],[Date]]),1))+1</f>
        <v>2</v>
      </c>
      <c r="S78">
        <f>MONTH(datos_siembra[[#This Row],[Date]])</f>
        <v>9</v>
      </c>
      <c r="T78" t="str" cm="1">
        <f t="array" ref="T78">_xlfn.IFS(AND(N78&lt;= 22, S78=9), "SOWING",AND(N78&lt;= 28, S78=9), "COVERAGE",AND(N78&lt;= 30, S78=9), "FLUSH",AND(N78&lt;= 11, S78=10), "FLUSH",AND(N78&lt;= 21, S78=10), "PRODUCTION")</f>
        <v>SOWING</v>
      </c>
      <c r="U78">
        <f>HOUR(datos_siembra[[#This Row],[Hour]])</f>
        <v>2</v>
      </c>
      <c r="V78" cm="1">
        <f t="array" ref="V78">_xlfn.IFS(AND(N78&lt;= 22, S78=9), N78-7,AND(N78&lt;= 28, S78=9), N78-25,AND(N78&lt;= 30, S78=9), N78-28,AND(N78&lt;= 11, S78=10), N78+2,AND(N78&lt;= 21, S78=10), N78-11)</f>
        <v>2</v>
      </c>
    </row>
    <row r="79" spans="1:22" x14ac:dyDescent="0.35">
      <c r="A79" s="4">
        <v>45544</v>
      </c>
      <c r="B79" s="5">
        <v>0.10224537037037038</v>
      </c>
      <c r="C79">
        <v>79.5</v>
      </c>
      <c r="D79">
        <v>81.8</v>
      </c>
      <c r="E79">
        <v>81.3</v>
      </c>
      <c r="F79">
        <v>77.2</v>
      </c>
      <c r="G79">
        <v>0</v>
      </c>
      <c r="H79">
        <v>0</v>
      </c>
      <c r="I79">
        <v>0</v>
      </c>
      <c r="J79">
        <v>0</v>
      </c>
      <c r="K79">
        <v>67.2</v>
      </c>
      <c r="L79">
        <v>65.099999999999994</v>
      </c>
      <c r="M79">
        <v>79.900000000000006</v>
      </c>
      <c r="N79">
        <v>9</v>
      </c>
      <c r="O79">
        <v>6</v>
      </c>
      <c r="P79">
        <f>MOD(DAY(datos_siembra[[#This Row],[Date]]),7)</f>
        <v>2</v>
      </c>
      <c r="Q79" t="str">
        <f>CHOOSE(WEEKDAY(datos_siembra[[#This Row],[Date]],2),"L","M","X","J","V","S","D")</f>
        <v>L</v>
      </c>
      <c r="R79">
        <f>WEEKNUM(datos_siembra[[#This Row],[Date]],2)-WEEKNUM(DATE(YEAR(datos_siembra[[#This Row],[Date]]),MONTH(datos_siembra[[#This Row],[Date]]),1))+1</f>
        <v>2</v>
      </c>
      <c r="S79">
        <f>MONTH(datos_siembra[[#This Row],[Date]])</f>
        <v>9</v>
      </c>
      <c r="T79" t="str" cm="1">
        <f t="array" ref="T79">_xlfn.IFS(AND(N79&lt;= 22, S79=9), "SOWING",AND(N79&lt;= 28, S79=9), "COVERAGE",AND(N79&lt;= 30, S79=9), "FLUSH",AND(N79&lt;= 11, S79=10), "FLUSH",AND(N79&lt;= 21, S79=10), "PRODUCTION")</f>
        <v>SOWING</v>
      </c>
      <c r="U79">
        <f>HOUR(datos_siembra[[#This Row],[Hour]])</f>
        <v>2</v>
      </c>
      <c r="V79" cm="1">
        <f t="array" ref="V79">_xlfn.IFS(AND(N79&lt;= 22, S79=9), N79-7,AND(N79&lt;= 28, S79=9), N79-25,AND(N79&lt;= 30, S79=9), N79-28,AND(N79&lt;= 11, S79=10), N79+2,AND(N79&lt;= 21, S79=10), N79-11)</f>
        <v>2</v>
      </c>
    </row>
    <row r="80" spans="1:22" x14ac:dyDescent="0.35">
      <c r="A80" s="4">
        <v>45544</v>
      </c>
      <c r="B80" s="5">
        <v>0.10918981481481481</v>
      </c>
      <c r="C80">
        <v>79.400000000000006</v>
      </c>
      <c r="D80">
        <v>81.7</v>
      </c>
      <c r="E80">
        <v>81.2</v>
      </c>
      <c r="F80">
        <v>77.2</v>
      </c>
      <c r="G80">
        <v>0</v>
      </c>
      <c r="H80">
        <v>0</v>
      </c>
      <c r="I80">
        <v>0</v>
      </c>
      <c r="J80">
        <v>0</v>
      </c>
      <c r="K80">
        <v>67.3</v>
      </c>
      <c r="L80">
        <v>65.099999999999994</v>
      </c>
      <c r="M80">
        <v>79.87</v>
      </c>
      <c r="N80">
        <v>9</v>
      </c>
      <c r="O80">
        <v>6</v>
      </c>
      <c r="P80">
        <f>MOD(DAY(datos_siembra[[#This Row],[Date]]),7)</f>
        <v>2</v>
      </c>
      <c r="Q80" t="str">
        <f>CHOOSE(WEEKDAY(datos_siembra[[#This Row],[Date]],2),"L","M","X","J","V","S","D")</f>
        <v>L</v>
      </c>
      <c r="R80">
        <f>WEEKNUM(datos_siembra[[#This Row],[Date]],2)-WEEKNUM(DATE(YEAR(datos_siembra[[#This Row],[Date]]),MONTH(datos_siembra[[#This Row],[Date]]),1))+1</f>
        <v>2</v>
      </c>
      <c r="S80">
        <f>MONTH(datos_siembra[[#This Row],[Date]])</f>
        <v>9</v>
      </c>
      <c r="T80" t="str" cm="1">
        <f t="array" ref="T80">_xlfn.IFS(AND(N80&lt;= 22, S80=9), "SOWING",AND(N80&lt;= 28, S80=9), "COVERAGE",AND(N80&lt;= 30, S80=9), "FLUSH",AND(N80&lt;= 11, S80=10), "FLUSH",AND(N80&lt;= 21, S80=10), "PRODUCTION")</f>
        <v>SOWING</v>
      </c>
      <c r="U80">
        <f>HOUR(datos_siembra[[#This Row],[Hour]])</f>
        <v>2</v>
      </c>
      <c r="V80" cm="1">
        <f t="array" ref="V80">_xlfn.IFS(AND(N80&lt;= 22, S80=9), N80-7,AND(N80&lt;= 28, S80=9), N80-25,AND(N80&lt;= 30, S80=9), N80-28,AND(N80&lt;= 11, S80=10), N80+2,AND(N80&lt;= 21, S80=10), N80-11)</f>
        <v>2</v>
      </c>
    </row>
    <row r="81" spans="1:22" x14ac:dyDescent="0.35">
      <c r="A81" s="4">
        <v>45544</v>
      </c>
      <c r="B81" s="5">
        <v>0.11613425925925926</v>
      </c>
      <c r="C81">
        <v>79.400000000000006</v>
      </c>
      <c r="D81">
        <v>81.7</v>
      </c>
      <c r="E81">
        <v>81.099999999999994</v>
      </c>
      <c r="F81">
        <v>77.2</v>
      </c>
      <c r="G81">
        <v>0</v>
      </c>
      <c r="H81">
        <v>0</v>
      </c>
      <c r="I81">
        <v>0</v>
      </c>
      <c r="J81">
        <v>0</v>
      </c>
      <c r="K81">
        <v>67.3</v>
      </c>
      <c r="L81">
        <v>65.099999999999994</v>
      </c>
      <c r="M81">
        <v>79.87</v>
      </c>
      <c r="N81">
        <v>9</v>
      </c>
      <c r="O81">
        <v>6</v>
      </c>
      <c r="P81">
        <f>MOD(DAY(datos_siembra[[#This Row],[Date]]),7)</f>
        <v>2</v>
      </c>
      <c r="Q81" t="str">
        <f>CHOOSE(WEEKDAY(datos_siembra[[#This Row],[Date]],2),"L","M","X","J","V","S","D")</f>
        <v>L</v>
      </c>
      <c r="R81">
        <f>WEEKNUM(datos_siembra[[#This Row],[Date]],2)-WEEKNUM(DATE(YEAR(datos_siembra[[#This Row],[Date]]),MONTH(datos_siembra[[#This Row],[Date]]),1))+1</f>
        <v>2</v>
      </c>
      <c r="S81">
        <f>MONTH(datos_siembra[[#This Row],[Date]])</f>
        <v>9</v>
      </c>
      <c r="T81" t="str" cm="1">
        <f t="array" ref="T81">_xlfn.IFS(AND(N81&lt;= 22, S81=9), "SOWING",AND(N81&lt;= 28, S81=9), "COVERAGE",AND(N81&lt;= 30, S81=9), "FLUSH",AND(N81&lt;= 11, S81=10), "FLUSH",AND(N81&lt;= 21, S81=10), "PRODUCTION")</f>
        <v>SOWING</v>
      </c>
      <c r="U81">
        <f>HOUR(datos_siembra[[#This Row],[Hour]])</f>
        <v>2</v>
      </c>
      <c r="V81" cm="1">
        <f t="array" ref="V81">_xlfn.IFS(AND(N81&lt;= 22, S81=9), N81-7,AND(N81&lt;= 28, S81=9), N81-25,AND(N81&lt;= 30, S81=9), N81-28,AND(N81&lt;= 11, S81=10), N81+2,AND(N81&lt;= 21, S81=10), N81-11)</f>
        <v>2</v>
      </c>
    </row>
    <row r="82" spans="1:22" x14ac:dyDescent="0.35">
      <c r="A82" s="4">
        <v>45544</v>
      </c>
      <c r="B82" s="5">
        <v>0.12309027777777778</v>
      </c>
      <c r="C82">
        <v>79.5</v>
      </c>
      <c r="D82">
        <v>81.7</v>
      </c>
      <c r="E82">
        <v>81.2</v>
      </c>
      <c r="F82">
        <v>77.2</v>
      </c>
      <c r="G82">
        <v>0</v>
      </c>
      <c r="H82">
        <v>0</v>
      </c>
      <c r="I82">
        <v>0</v>
      </c>
      <c r="J82">
        <v>0</v>
      </c>
      <c r="K82">
        <v>67.3</v>
      </c>
      <c r="L82">
        <v>65.099999999999994</v>
      </c>
      <c r="M82">
        <v>79.98</v>
      </c>
      <c r="N82">
        <v>9</v>
      </c>
      <c r="O82">
        <v>6</v>
      </c>
      <c r="P82">
        <f>MOD(DAY(datos_siembra[[#This Row],[Date]]),7)</f>
        <v>2</v>
      </c>
      <c r="Q82" t="str">
        <f>CHOOSE(WEEKDAY(datos_siembra[[#This Row],[Date]],2),"L","M","X","J","V","S","D")</f>
        <v>L</v>
      </c>
      <c r="R82">
        <f>WEEKNUM(datos_siembra[[#This Row],[Date]],2)-WEEKNUM(DATE(YEAR(datos_siembra[[#This Row],[Date]]),MONTH(datos_siembra[[#This Row],[Date]]),1))+1</f>
        <v>2</v>
      </c>
      <c r="S82">
        <f>MONTH(datos_siembra[[#This Row],[Date]])</f>
        <v>9</v>
      </c>
      <c r="T82" t="str" cm="1">
        <f t="array" ref="T82">_xlfn.IFS(AND(N82&lt;= 22, S82=9), "SOWING",AND(N82&lt;= 28, S82=9), "COVERAGE",AND(N82&lt;= 30, S82=9), "FLUSH",AND(N82&lt;= 11, S82=10), "FLUSH",AND(N82&lt;= 21, S82=10), "PRODUCTION")</f>
        <v>SOWING</v>
      </c>
      <c r="U82">
        <f>HOUR(datos_siembra[[#This Row],[Hour]])</f>
        <v>2</v>
      </c>
      <c r="V82" cm="1">
        <f t="array" ref="V82">_xlfn.IFS(AND(N82&lt;= 22, S82=9), N82-7,AND(N82&lt;= 28, S82=9), N82-25,AND(N82&lt;= 30, S82=9), N82-28,AND(N82&lt;= 11, S82=10), N82+2,AND(N82&lt;= 21, S82=10), N82-11)</f>
        <v>2</v>
      </c>
    </row>
    <row r="83" spans="1:22" x14ac:dyDescent="0.35">
      <c r="A83" s="4">
        <v>45544</v>
      </c>
      <c r="B83" s="5">
        <v>0.13003472222222223</v>
      </c>
      <c r="C83">
        <v>79.599999999999994</v>
      </c>
      <c r="D83">
        <v>81.7</v>
      </c>
      <c r="E83">
        <v>81.400000000000006</v>
      </c>
      <c r="F83">
        <v>77.2</v>
      </c>
      <c r="G83">
        <v>0</v>
      </c>
      <c r="H83">
        <v>0</v>
      </c>
      <c r="I83">
        <v>0</v>
      </c>
      <c r="J83">
        <v>0</v>
      </c>
      <c r="K83">
        <v>67.2</v>
      </c>
      <c r="L83">
        <v>65.099999999999994</v>
      </c>
      <c r="M83">
        <v>80.010000000000005</v>
      </c>
      <c r="N83">
        <v>9</v>
      </c>
      <c r="O83">
        <v>6</v>
      </c>
      <c r="P83">
        <f>MOD(DAY(datos_siembra[[#This Row],[Date]]),7)</f>
        <v>2</v>
      </c>
      <c r="Q83" t="str">
        <f>CHOOSE(WEEKDAY(datos_siembra[[#This Row],[Date]],2),"L","M","X","J","V","S","D")</f>
        <v>L</v>
      </c>
      <c r="R83">
        <f>WEEKNUM(datos_siembra[[#This Row],[Date]],2)-WEEKNUM(DATE(YEAR(datos_siembra[[#This Row],[Date]]),MONTH(datos_siembra[[#This Row],[Date]]),1))+1</f>
        <v>2</v>
      </c>
      <c r="S83">
        <f>MONTH(datos_siembra[[#This Row],[Date]])</f>
        <v>9</v>
      </c>
      <c r="T83" t="str" cm="1">
        <f t="array" ref="T83">_xlfn.IFS(AND(N83&lt;= 22, S83=9), "SOWING",AND(N83&lt;= 28, S83=9), "COVERAGE",AND(N83&lt;= 30, S83=9), "FLUSH",AND(N83&lt;= 11, S83=10), "FLUSH",AND(N83&lt;= 21, S83=10), "PRODUCTION")</f>
        <v>SOWING</v>
      </c>
      <c r="U83">
        <f>HOUR(datos_siembra[[#This Row],[Hour]])</f>
        <v>3</v>
      </c>
      <c r="V83" cm="1">
        <f t="array" ref="V83">_xlfn.IFS(AND(N83&lt;= 22, S83=9), N83-7,AND(N83&lt;= 28, S83=9), N83-25,AND(N83&lt;= 30, S83=9), N83-28,AND(N83&lt;= 11, S83=10), N83+2,AND(N83&lt;= 21, S83=10), N83-11)</f>
        <v>2</v>
      </c>
    </row>
    <row r="84" spans="1:22" x14ac:dyDescent="0.35">
      <c r="A84" s="4">
        <v>45544</v>
      </c>
      <c r="B84" s="5">
        <v>0.13697916666666668</v>
      </c>
      <c r="C84">
        <v>79.400000000000006</v>
      </c>
      <c r="D84">
        <v>81.7</v>
      </c>
      <c r="E84">
        <v>81.5</v>
      </c>
      <c r="F84">
        <v>77.2</v>
      </c>
      <c r="G84">
        <v>0</v>
      </c>
      <c r="H84">
        <v>0</v>
      </c>
      <c r="I84">
        <v>0</v>
      </c>
      <c r="J84">
        <v>0</v>
      </c>
      <c r="K84">
        <v>67.3</v>
      </c>
      <c r="L84">
        <v>65.099999999999994</v>
      </c>
      <c r="M84">
        <v>79.930000000000007</v>
      </c>
      <c r="N84">
        <v>9</v>
      </c>
      <c r="O84">
        <v>6</v>
      </c>
      <c r="P84">
        <f>MOD(DAY(datos_siembra[[#This Row],[Date]]),7)</f>
        <v>2</v>
      </c>
      <c r="Q84" t="str">
        <f>CHOOSE(WEEKDAY(datos_siembra[[#This Row],[Date]],2),"L","M","X","J","V","S","D")</f>
        <v>L</v>
      </c>
      <c r="R84">
        <f>WEEKNUM(datos_siembra[[#This Row],[Date]],2)-WEEKNUM(DATE(YEAR(datos_siembra[[#This Row],[Date]]),MONTH(datos_siembra[[#This Row],[Date]]),1))+1</f>
        <v>2</v>
      </c>
      <c r="S84">
        <f>MONTH(datos_siembra[[#This Row],[Date]])</f>
        <v>9</v>
      </c>
      <c r="T84" t="str" cm="1">
        <f t="array" ref="T84">_xlfn.IFS(AND(N84&lt;= 22, S84=9), "SOWING",AND(N84&lt;= 28, S84=9), "COVERAGE",AND(N84&lt;= 30, S84=9), "FLUSH",AND(N84&lt;= 11, S84=10), "FLUSH",AND(N84&lt;= 21, S84=10), "PRODUCTION")</f>
        <v>SOWING</v>
      </c>
      <c r="U84">
        <f>HOUR(datos_siembra[[#This Row],[Hour]])</f>
        <v>3</v>
      </c>
      <c r="V84" cm="1">
        <f t="array" ref="V84">_xlfn.IFS(AND(N84&lt;= 22, S84=9), N84-7,AND(N84&lt;= 28, S84=9), N84-25,AND(N84&lt;= 30, S84=9), N84-28,AND(N84&lt;= 11, S84=10), N84+2,AND(N84&lt;= 21, S84=10), N84-11)</f>
        <v>2</v>
      </c>
    </row>
    <row r="85" spans="1:22" x14ac:dyDescent="0.35">
      <c r="A85" s="4">
        <v>45544</v>
      </c>
      <c r="B85" s="5">
        <v>0.1439236111111111</v>
      </c>
      <c r="C85">
        <v>79.400000000000006</v>
      </c>
      <c r="D85">
        <v>81.8</v>
      </c>
      <c r="E85">
        <v>81.2</v>
      </c>
      <c r="F85">
        <v>77.2</v>
      </c>
      <c r="G85">
        <v>0</v>
      </c>
      <c r="H85">
        <v>0</v>
      </c>
      <c r="I85">
        <v>0</v>
      </c>
      <c r="J85">
        <v>0</v>
      </c>
      <c r="K85">
        <v>67.3</v>
      </c>
      <c r="L85">
        <v>65.099999999999994</v>
      </c>
      <c r="M85">
        <v>80.010000000000005</v>
      </c>
      <c r="N85">
        <v>9</v>
      </c>
      <c r="O85">
        <v>6</v>
      </c>
      <c r="P85">
        <f>MOD(DAY(datos_siembra[[#This Row],[Date]]),7)</f>
        <v>2</v>
      </c>
      <c r="Q85" t="str">
        <f>CHOOSE(WEEKDAY(datos_siembra[[#This Row],[Date]],2),"L","M","X","J","V","S","D")</f>
        <v>L</v>
      </c>
      <c r="R85">
        <f>WEEKNUM(datos_siembra[[#This Row],[Date]],2)-WEEKNUM(DATE(YEAR(datos_siembra[[#This Row],[Date]]),MONTH(datos_siembra[[#This Row],[Date]]),1))+1</f>
        <v>2</v>
      </c>
      <c r="S85">
        <f>MONTH(datos_siembra[[#This Row],[Date]])</f>
        <v>9</v>
      </c>
      <c r="T85" t="str" cm="1">
        <f t="array" ref="T85">_xlfn.IFS(AND(N85&lt;= 22, S85=9), "SOWING",AND(N85&lt;= 28, S85=9), "COVERAGE",AND(N85&lt;= 30, S85=9), "FLUSH",AND(N85&lt;= 11, S85=10), "FLUSH",AND(N85&lt;= 21, S85=10), "PRODUCTION")</f>
        <v>SOWING</v>
      </c>
      <c r="U85">
        <f>HOUR(datos_siembra[[#This Row],[Hour]])</f>
        <v>3</v>
      </c>
      <c r="V85" cm="1">
        <f t="array" ref="V85">_xlfn.IFS(AND(N85&lt;= 22, S85=9), N85-7,AND(N85&lt;= 28, S85=9), N85-25,AND(N85&lt;= 30, S85=9), N85-28,AND(N85&lt;= 11, S85=10), N85+2,AND(N85&lt;= 21, S85=10), N85-11)</f>
        <v>2</v>
      </c>
    </row>
    <row r="86" spans="1:22" x14ac:dyDescent="0.35">
      <c r="A86" s="4">
        <v>45544</v>
      </c>
      <c r="B86" s="5">
        <v>0.15087962962962964</v>
      </c>
      <c r="C86">
        <v>79.5</v>
      </c>
      <c r="D86">
        <v>81.7</v>
      </c>
      <c r="E86">
        <v>81.099999999999994</v>
      </c>
      <c r="F86">
        <v>77.3</v>
      </c>
      <c r="G86">
        <v>0</v>
      </c>
      <c r="H86">
        <v>0</v>
      </c>
      <c r="I86">
        <v>0</v>
      </c>
      <c r="J86">
        <v>0</v>
      </c>
      <c r="K86">
        <v>67.3</v>
      </c>
      <c r="L86">
        <v>65.099999999999994</v>
      </c>
      <c r="M86">
        <v>79.98</v>
      </c>
      <c r="N86">
        <v>9</v>
      </c>
      <c r="O86">
        <v>6</v>
      </c>
      <c r="P86">
        <f>MOD(DAY(datos_siembra[[#This Row],[Date]]),7)</f>
        <v>2</v>
      </c>
      <c r="Q86" t="str">
        <f>CHOOSE(WEEKDAY(datos_siembra[[#This Row],[Date]],2),"L","M","X","J","V","S","D")</f>
        <v>L</v>
      </c>
      <c r="R86">
        <f>WEEKNUM(datos_siembra[[#This Row],[Date]],2)-WEEKNUM(DATE(YEAR(datos_siembra[[#This Row],[Date]]),MONTH(datos_siembra[[#This Row],[Date]]),1))+1</f>
        <v>2</v>
      </c>
      <c r="S86">
        <f>MONTH(datos_siembra[[#This Row],[Date]])</f>
        <v>9</v>
      </c>
      <c r="T86" t="str" cm="1">
        <f t="array" ref="T86">_xlfn.IFS(AND(N86&lt;= 22, S86=9), "SOWING",AND(N86&lt;= 28, S86=9), "COVERAGE",AND(N86&lt;= 30, S86=9), "FLUSH",AND(N86&lt;= 11, S86=10), "FLUSH",AND(N86&lt;= 21, S86=10), "PRODUCTION")</f>
        <v>SOWING</v>
      </c>
      <c r="U86">
        <f>HOUR(datos_siembra[[#This Row],[Hour]])</f>
        <v>3</v>
      </c>
      <c r="V86" cm="1">
        <f t="array" ref="V86">_xlfn.IFS(AND(N86&lt;= 22, S86=9), N86-7,AND(N86&lt;= 28, S86=9), N86-25,AND(N86&lt;= 30, S86=9), N86-28,AND(N86&lt;= 11, S86=10), N86+2,AND(N86&lt;= 21, S86=10), N86-11)</f>
        <v>2</v>
      </c>
    </row>
    <row r="87" spans="1:22" x14ac:dyDescent="0.35">
      <c r="A87" s="4">
        <v>45544</v>
      </c>
      <c r="B87" s="5">
        <v>0.15782407407407406</v>
      </c>
      <c r="C87">
        <v>79.400000000000006</v>
      </c>
      <c r="D87">
        <v>81.8</v>
      </c>
      <c r="E87">
        <v>81.099999999999994</v>
      </c>
      <c r="F87">
        <v>77.099999999999994</v>
      </c>
      <c r="G87">
        <v>0</v>
      </c>
      <c r="H87">
        <v>0</v>
      </c>
      <c r="I87">
        <v>0</v>
      </c>
      <c r="J87">
        <v>0</v>
      </c>
      <c r="K87">
        <v>67.3</v>
      </c>
      <c r="L87">
        <v>65.099999999999994</v>
      </c>
      <c r="M87">
        <v>79.87</v>
      </c>
      <c r="N87">
        <v>9</v>
      </c>
      <c r="O87">
        <v>6</v>
      </c>
      <c r="P87">
        <f>MOD(DAY(datos_siembra[[#This Row],[Date]]),7)</f>
        <v>2</v>
      </c>
      <c r="Q87" t="str">
        <f>CHOOSE(WEEKDAY(datos_siembra[[#This Row],[Date]],2),"L","M","X","J","V","S","D")</f>
        <v>L</v>
      </c>
      <c r="R87">
        <f>WEEKNUM(datos_siembra[[#This Row],[Date]],2)-WEEKNUM(DATE(YEAR(datos_siembra[[#This Row],[Date]]),MONTH(datos_siembra[[#This Row],[Date]]),1))+1</f>
        <v>2</v>
      </c>
      <c r="S87">
        <f>MONTH(datos_siembra[[#This Row],[Date]])</f>
        <v>9</v>
      </c>
      <c r="T87" t="str" cm="1">
        <f t="array" ref="T87">_xlfn.IFS(AND(N87&lt;= 22, S87=9), "SOWING",AND(N87&lt;= 28, S87=9), "COVERAGE",AND(N87&lt;= 30, S87=9), "FLUSH",AND(N87&lt;= 11, S87=10), "FLUSH",AND(N87&lt;= 21, S87=10), "PRODUCTION")</f>
        <v>SOWING</v>
      </c>
      <c r="U87">
        <f>HOUR(datos_siembra[[#This Row],[Hour]])</f>
        <v>3</v>
      </c>
      <c r="V87" cm="1">
        <f t="array" ref="V87">_xlfn.IFS(AND(N87&lt;= 22, S87=9), N87-7,AND(N87&lt;= 28, S87=9), N87-25,AND(N87&lt;= 30, S87=9), N87-28,AND(N87&lt;= 11, S87=10), N87+2,AND(N87&lt;= 21, S87=10), N87-11)</f>
        <v>2</v>
      </c>
    </row>
    <row r="88" spans="1:22" x14ac:dyDescent="0.35">
      <c r="A88" s="4">
        <v>45544</v>
      </c>
      <c r="B88" s="5">
        <v>0.16476851851851851</v>
      </c>
      <c r="C88">
        <v>79.5</v>
      </c>
      <c r="D88">
        <v>81.7</v>
      </c>
      <c r="E88">
        <v>81.3</v>
      </c>
      <c r="F88">
        <v>77.2</v>
      </c>
      <c r="G88">
        <v>0</v>
      </c>
      <c r="H88">
        <v>0</v>
      </c>
      <c r="I88">
        <v>0</v>
      </c>
      <c r="J88">
        <v>0</v>
      </c>
      <c r="K88">
        <v>67.2</v>
      </c>
      <c r="L88">
        <v>65.099999999999994</v>
      </c>
      <c r="M88">
        <v>79.92</v>
      </c>
      <c r="N88">
        <v>9</v>
      </c>
      <c r="O88">
        <v>6</v>
      </c>
      <c r="P88">
        <f>MOD(DAY(datos_siembra[[#This Row],[Date]]),7)</f>
        <v>2</v>
      </c>
      <c r="Q88" t="str">
        <f>CHOOSE(WEEKDAY(datos_siembra[[#This Row],[Date]],2),"L","M","X","J","V","S","D")</f>
        <v>L</v>
      </c>
      <c r="R88">
        <f>WEEKNUM(datos_siembra[[#This Row],[Date]],2)-WEEKNUM(DATE(YEAR(datos_siembra[[#This Row],[Date]]),MONTH(datos_siembra[[#This Row],[Date]]),1))+1</f>
        <v>2</v>
      </c>
      <c r="S88">
        <f>MONTH(datos_siembra[[#This Row],[Date]])</f>
        <v>9</v>
      </c>
      <c r="T88" t="str" cm="1">
        <f t="array" ref="T88">_xlfn.IFS(AND(N88&lt;= 22, S88=9), "SOWING",AND(N88&lt;= 28, S88=9), "COVERAGE",AND(N88&lt;= 30, S88=9), "FLUSH",AND(N88&lt;= 11, S88=10), "FLUSH",AND(N88&lt;= 21, S88=10), "PRODUCTION")</f>
        <v>SOWING</v>
      </c>
      <c r="U88">
        <f>HOUR(datos_siembra[[#This Row],[Hour]])</f>
        <v>3</v>
      </c>
      <c r="V88" cm="1">
        <f t="array" ref="V88">_xlfn.IFS(AND(N88&lt;= 22, S88=9), N88-7,AND(N88&lt;= 28, S88=9), N88-25,AND(N88&lt;= 30, S88=9), N88-28,AND(N88&lt;= 11, S88=10), N88+2,AND(N88&lt;= 21, S88=10), N88-11)</f>
        <v>2</v>
      </c>
    </row>
    <row r="89" spans="1:22" x14ac:dyDescent="0.35">
      <c r="A89" s="4">
        <v>45544</v>
      </c>
      <c r="B89" s="5">
        <v>0.17171296296296296</v>
      </c>
      <c r="C89">
        <v>79.599999999999994</v>
      </c>
      <c r="D89">
        <v>81.599999999999994</v>
      </c>
      <c r="E89">
        <v>81.400000000000006</v>
      </c>
      <c r="F89">
        <v>77.3</v>
      </c>
      <c r="G89">
        <v>0</v>
      </c>
      <c r="H89">
        <v>0</v>
      </c>
      <c r="I89">
        <v>0</v>
      </c>
      <c r="J89">
        <v>0</v>
      </c>
      <c r="K89">
        <v>67.3</v>
      </c>
      <c r="L89">
        <v>65.099999999999994</v>
      </c>
      <c r="M89">
        <v>79.92</v>
      </c>
      <c r="N89">
        <v>9</v>
      </c>
      <c r="O89">
        <v>6</v>
      </c>
      <c r="P89">
        <f>MOD(DAY(datos_siembra[[#This Row],[Date]]),7)</f>
        <v>2</v>
      </c>
      <c r="Q89" t="str">
        <f>CHOOSE(WEEKDAY(datos_siembra[[#This Row],[Date]],2),"L","M","X","J","V","S","D")</f>
        <v>L</v>
      </c>
      <c r="R89">
        <f>WEEKNUM(datos_siembra[[#This Row],[Date]],2)-WEEKNUM(DATE(YEAR(datos_siembra[[#This Row],[Date]]),MONTH(datos_siembra[[#This Row],[Date]]),1))+1</f>
        <v>2</v>
      </c>
      <c r="S89">
        <f>MONTH(datos_siembra[[#This Row],[Date]])</f>
        <v>9</v>
      </c>
      <c r="T89" t="str" cm="1">
        <f t="array" ref="T89">_xlfn.IFS(AND(N89&lt;= 22, S89=9), "SOWING",AND(N89&lt;= 28, S89=9), "COVERAGE",AND(N89&lt;= 30, S89=9), "FLUSH",AND(N89&lt;= 11, S89=10), "FLUSH",AND(N89&lt;= 21, S89=10), "PRODUCTION")</f>
        <v>SOWING</v>
      </c>
      <c r="U89">
        <f>HOUR(datos_siembra[[#This Row],[Hour]])</f>
        <v>4</v>
      </c>
      <c r="V89" cm="1">
        <f t="array" ref="V89">_xlfn.IFS(AND(N89&lt;= 22, S89=9), N89-7,AND(N89&lt;= 28, S89=9), N89-25,AND(N89&lt;= 30, S89=9), N89-28,AND(N89&lt;= 11, S89=10), N89+2,AND(N89&lt;= 21, S89=10), N89-11)</f>
        <v>2</v>
      </c>
    </row>
    <row r="90" spans="1:22" x14ac:dyDescent="0.35">
      <c r="A90" s="4">
        <v>45544</v>
      </c>
      <c r="B90" s="5">
        <v>0.17866898148148147</v>
      </c>
      <c r="C90">
        <v>79.5</v>
      </c>
      <c r="D90">
        <v>81.599999999999994</v>
      </c>
      <c r="E90">
        <v>81.400000000000006</v>
      </c>
      <c r="F90">
        <v>77.099999999999994</v>
      </c>
      <c r="G90">
        <v>0</v>
      </c>
      <c r="H90">
        <v>0</v>
      </c>
      <c r="I90">
        <v>0</v>
      </c>
      <c r="J90">
        <v>0</v>
      </c>
      <c r="K90">
        <v>67.2</v>
      </c>
      <c r="L90">
        <v>65</v>
      </c>
      <c r="M90">
        <v>79.92</v>
      </c>
      <c r="N90">
        <v>9</v>
      </c>
      <c r="O90">
        <v>6</v>
      </c>
      <c r="P90">
        <f>MOD(DAY(datos_siembra[[#This Row],[Date]]),7)</f>
        <v>2</v>
      </c>
      <c r="Q90" t="str">
        <f>CHOOSE(WEEKDAY(datos_siembra[[#This Row],[Date]],2),"L","M","X","J","V","S","D")</f>
        <v>L</v>
      </c>
      <c r="R90">
        <f>WEEKNUM(datos_siembra[[#This Row],[Date]],2)-WEEKNUM(DATE(YEAR(datos_siembra[[#This Row],[Date]]),MONTH(datos_siembra[[#This Row],[Date]]),1))+1</f>
        <v>2</v>
      </c>
      <c r="S90">
        <f>MONTH(datos_siembra[[#This Row],[Date]])</f>
        <v>9</v>
      </c>
      <c r="T90" t="str" cm="1">
        <f t="array" ref="T90">_xlfn.IFS(AND(N90&lt;= 22, S90=9), "SOWING",AND(N90&lt;= 28, S90=9), "COVERAGE",AND(N90&lt;= 30, S90=9), "FLUSH",AND(N90&lt;= 11, S90=10), "FLUSH",AND(N90&lt;= 21, S90=10), "PRODUCTION")</f>
        <v>SOWING</v>
      </c>
      <c r="U90">
        <f>HOUR(datos_siembra[[#This Row],[Hour]])</f>
        <v>4</v>
      </c>
      <c r="V90" cm="1">
        <f t="array" ref="V90">_xlfn.IFS(AND(N90&lt;= 22, S90=9), N90-7,AND(N90&lt;= 28, S90=9), N90-25,AND(N90&lt;= 30, S90=9), N90-28,AND(N90&lt;= 11, S90=10), N90+2,AND(N90&lt;= 21, S90=10), N90-11)</f>
        <v>2</v>
      </c>
    </row>
    <row r="91" spans="1:22" x14ac:dyDescent="0.35">
      <c r="A91" s="4">
        <v>45544</v>
      </c>
      <c r="B91" s="5">
        <v>0.2272800925925926</v>
      </c>
      <c r="C91">
        <v>79.5</v>
      </c>
      <c r="D91">
        <v>81.8</v>
      </c>
      <c r="E91">
        <v>81.3</v>
      </c>
      <c r="F91">
        <v>77.099999999999994</v>
      </c>
      <c r="G91">
        <v>0</v>
      </c>
      <c r="H91">
        <v>0</v>
      </c>
      <c r="I91">
        <v>0</v>
      </c>
      <c r="J91">
        <v>0</v>
      </c>
      <c r="K91">
        <v>67.2</v>
      </c>
      <c r="L91">
        <v>65</v>
      </c>
      <c r="M91">
        <v>80.069999999999993</v>
      </c>
      <c r="N91">
        <v>9</v>
      </c>
      <c r="O91">
        <v>6</v>
      </c>
      <c r="P91">
        <f>MOD(DAY(datos_siembra[[#This Row],[Date]]),7)</f>
        <v>2</v>
      </c>
      <c r="Q91" t="str">
        <f>CHOOSE(WEEKDAY(datos_siembra[[#This Row],[Date]],2),"L","M","X","J","V","S","D")</f>
        <v>L</v>
      </c>
      <c r="R91">
        <f>WEEKNUM(datos_siembra[[#This Row],[Date]],2)-WEEKNUM(DATE(YEAR(datos_siembra[[#This Row],[Date]]),MONTH(datos_siembra[[#This Row],[Date]]),1))+1</f>
        <v>2</v>
      </c>
      <c r="S91">
        <f>MONTH(datos_siembra[[#This Row],[Date]])</f>
        <v>9</v>
      </c>
      <c r="T91" t="str" cm="1">
        <f t="array" ref="T91">_xlfn.IFS(AND(N91&lt;= 22, S91=9), "SOWING",AND(N91&lt;= 28, S91=9), "COVERAGE",AND(N91&lt;= 30, S91=9), "FLUSH",AND(N91&lt;= 11, S91=10), "FLUSH",AND(N91&lt;= 21, S91=10), "PRODUCTION")</f>
        <v>SOWING</v>
      </c>
      <c r="U91">
        <f>HOUR(datos_siembra[[#This Row],[Hour]])</f>
        <v>5</v>
      </c>
      <c r="V91" cm="1">
        <f t="array" ref="V91">_xlfn.IFS(AND(N91&lt;= 22, S91=9), N91-7,AND(N91&lt;= 28, S91=9), N91-25,AND(N91&lt;= 30, S91=9), N91-28,AND(N91&lt;= 11, S91=10), N91+2,AND(N91&lt;= 21, S91=10), N91-11)</f>
        <v>2</v>
      </c>
    </row>
    <row r="92" spans="1:22" x14ac:dyDescent="0.35">
      <c r="A92" s="4">
        <v>45544</v>
      </c>
      <c r="B92" s="5">
        <v>0.23422453703703705</v>
      </c>
      <c r="C92">
        <v>79.5</v>
      </c>
      <c r="D92">
        <v>81.8</v>
      </c>
      <c r="E92">
        <v>81.3</v>
      </c>
      <c r="F92">
        <v>77.3</v>
      </c>
      <c r="G92">
        <v>0</v>
      </c>
      <c r="H92">
        <v>0</v>
      </c>
      <c r="I92">
        <v>0</v>
      </c>
      <c r="J92">
        <v>0</v>
      </c>
      <c r="K92">
        <v>67.099999999999994</v>
      </c>
      <c r="L92">
        <v>65</v>
      </c>
      <c r="M92">
        <v>80.040000000000006</v>
      </c>
      <c r="N92">
        <v>9</v>
      </c>
      <c r="O92">
        <v>6</v>
      </c>
      <c r="P92">
        <f>MOD(DAY(datos_siembra[[#This Row],[Date]]),7)</f>
        <v>2</v>
      </c>
      <c r="Q92" t="str">
        <f>CHOOSE(WEEKDAY(datos_siembra[[#This Row],[Date]],2),"L","M","X","J","V","S","D")</f>
        <v>L</v>
      </c>
      <c r="R92">
        <f>WEEKNUM(datos_siembra[[#This Row],[Date]],2)-WEEKNUM(DATE(YEAR(datos_siembra[[#This Row],[Date]]),MONTH(datos_siembra[[#This Row],[Date]]),1))+1</f>
        <v>2</v>
      </c>
      <c r="S92">
        <f>MONTH(datos_siembra[[#This Row],[Date]])</f>
        <v>9</v>
      </c>
      <c r="T92" t="str" cm="1">
        <f t="array" ref="T92">_xlfn.IFS(AND(N92&lt;= 22, S92=9), "SOWING",AND(N92&lt;= 28, S92=9), "COVERAGE",AND(N92&lt;= 30, S92=9), "FLUSH",AND(N92&lt;= 11, S92=10), "FLUSH",AND(N92&lt;= 21, S92=10), "PRODUCTION")</f>
        <v>SOWING</v>
      </c>
      <c r="U92">
        <f>HOUR(datos_siembra[[#This Row],[Hour]])</f>
        <v>5</v>
      </c>
      <c r="V92" cm="1">
        <f t="array" ref="V92">_xlfn.IFS(AND(N92&lt;= 22, S92=9), N92-7,AND(N92&lt;= 28, S92=9), N92-25,AND(N92&lt;= 30, S92=9), N92-28,AND(N92&lt;= 11, S92=10), N92+2,AND(N92&lt;= 21, S92=10), N92-11)</f>
        <v>2</v>
      </c>
    </row>
    <row r="93" spans="1:22" x14ac:dyDescent="0.35">
      <c r="A93" s="4">
        <v>45544</v>
      </c>
      <c r="B93" s="5">
        <v>0.24118055555555556</v>
      </c>
      <c r="C93">
        <v>79.5</v>
      </c>
      <c r="D93">
        <v>81.599999999999994</v>
      </c>
      <c r="E93">
        <v>81.3</v>
      </c>
      <c r="F93">
        <v>77.5</v>
      </c>
      <c r="G93">
        <v>0</v>
      </c>
      <c r="H93">
        <v>0</v>
      </c>
      <c r="I93">
        <v>0</v>
      </c>
      <c r="J93">
        <v>0</v>
      </c>
      <c r="K93">
        <v>67.099999999999994</v>
      </c>
      <c r="L93">
        <v>65.900000000000006</v>
      </c>
      <c r="M93">
        <v>79.95</v>
      </c>
      <c r="N93">
        <v>9</v>
      </c>
      <c r="O93">
        <v>6</v>
      </c>
      <c r="P93">
        <f>MOD(DAY(datos_siembra[[#This Row],[Date]]),7)</f>
        <v>2</v>
      </c>
      <c r="Q93" t="str">
        <f>CHOOSE(WEEKDAY(datos_siembra[[#This Row],[Date]],2),"L","M","X","J","V","S","D")</f>
        <v>L</v>
      </c>
      <c r="R93">
        <f>WEEKNUM(datos_siembra[[#This Row],[Date]],2)-WEEKNUM(DATE(YEAR(datos_siembra[[#This Row],[Date]]),MONTH(datos_siembra[[#This Row],[Date]]),1))+1</f>
        <v>2</v>
      </c>
      <c r="S93">
        <f>MONTH(datos_siembra[[#This Row],[Date]])</f>
        <v>9</v>
      </c>
      <c r="T93" t="str" cm="1">
        <f t="array" ref="T93">_xlfn.IFS(AND(N93&lt;= 22, S93=9), "SOWING",AND(N93&lt;= 28, S93=9), "COVERAGE",AND(N93&lt;= 30, S93=9), "FLUSH",AND(N93&lt;= 11, S93=10), "FLUSH",AND(N93&lt;= 21, S93=10), "PRODUCTION")</f>
        <v>SOWING</v>
      </c>
      <c r="U93">
        <f>HOUR(datos_siembra[[#This Row],[Hour]])</f>
        <v>5</v>
      </c>
      <c r="V93" cm="1">
        <f t="array" ref="V93">_xlfn.IFS(AND(N93&lt;= 22, S93=9), N93-7,AND(N93&lt;= 28, S93=9), N93-25,AND(N93&lt;= 30, S93=9), N93-28,AND(N93&lt;= 11, S93=10), N93+2,AND(N93&lt;= 21, S93=10), N93-11)</f>
        <v>2</v>
      </c>
    </row>
    <row r="94" spans="1:22" x14ac:dyDescent="0.35">
      <c r="A94" s="4">
        <v>45544</v>
      </c>
      <c r="B94" s="5">
        <v>0.24812500000000001</v>
      </c>
      <c r="C94">
        <v>79.5</v>
      </c>
      <c r="D94">
        <v>81.7</v>
      </c>
      <c r="E94">
        <v>81.400000000000006</v>
      </c>
      <c r="F94">
        <v>77.099999999999994</v>
      </c>
      <c r="G94">
        <v>0</v>
      </c>
      <c r="H94">
        <v>0</v>
      </c>
      <c r="I94">
        <v>0</v>
      </c>
      <c r="J94">
        <v>0</v>
      </c>
      <c r="K94">
        <v>67.099999999999994</v>
      </c>
      <c r="L94">
        <v>65.900000000000006</v>
      </c>
      <c r="M94">
        <v>80.040000000000006</v>
      </c>
      <c r="N94">
        <v>9</v>
      </c>
      <c r="O94">
        <v>6</v>
      </c>
      <c r="P94">
        <f>MOD(DAY(datos_siembra[[#This Row],[Date]]),7)</f>
        <v>2</v>
      </c>
      <c r="Q94" t="str">
        <f>CHOOSE(WEEKDAY(datos_siembra[[#This Row],[Date]],2),"L","M","X","J","V","S","D")</f>
        <v>L</v>
      </c>
      <c r="R94">
        <f>WEEKNUM(datos_siembra[[#This Row],[Date]],2)-WEEKNUM(DATE(YEAR(datos_siembra[[#This Row],[Date]]),MONTH(datos_siembra[[#This Row],[Date]]),1))+1</f>
        <v>2</v>
      </c>
      <c r="S94">
        <f>MONTH(datos_siembra[[#This Row],[Date]])</f>
        <v>9</v>
      </c>
      <c r="T94" t="str" cm="1">
        <f t="array" ref="T94">_xlfn.IFS(AND(N94&lt;= 22, S94=9), "SOWING",AND(N94&lt;= 28, S94=9), "COVERAGE",AND(N94&lt;= 30, S94=9), "FLUSH",AND(N94&lt;= 11, S94=10), "FLUSH",AND(N94&lt;= 21, S94=10), "PRODUCTION")</f>
        <v>SOWING</v>
      </c>
      <c r="U94">
        <f>HOUR(datos_siembra[[#This Row],[Hour]])</f>
        <v>5</v>
      </c>
      <c r="V94" cm="1">
        <f t="array" ref="V94">_xlfn.IFS(AND(N94&lt;= 22, S94=9), N94-7,AND(N94&lt;= 28, S94=9), N94-25,AND(N94&lt;= 30, S94=9), N94-28,AND(N94&lt;= 11, S94=10), N94+2,AND(N94&lt;= 21, S94=10), N94-11)</f>
        <v>2</v>
      </c>
    </row>
    <row r="95" spans="1:22" x14ac:dyDescent="0.35">
      <c r="A95" s="4">
        <v>45544</v>
      </c>
      <c r="B95" s="5">
        <v>0.25475694444444447</v>
      </c>
      <c r="C95">
        <v>79.5</v>
      </c>
      <c r="D95">
        <v>81.7</v>
      </c>
      <c r="E95">
        <v>81.400000000000006</v>
      </c>
      <c r="F95">
        <v>77.2</v>
      </c>
      <c r="G95">
        <v>0</v>
      </c>
      <c r="H95">
        <v>0</v>
      </c>
      <c r="I95">
        <v>0</v>
      </c>
      <c r="J95">
        <v>0</v>
      </c>
      <c r="K95">
        <v>67.099999999999994</v>
      </c>
      <c r="L95">
        <v>65.900000000000006</v>
      </c>
      <c r="M95">
        <v>79.900000000000006</v>
      </c>
      <c r="N95">
        <v>9</v>
      </c>
      <c r="O95">
        <v>6</v>
      </c>
      <c r="P95">
        <f>MOD(DAY(datos_siembra[[#This Row],[Date]]),7)</f>
        <v>2</v>
      </c>
      <c r="Q95" t="str">
        <f>CHOOSE(WEEKDAY(datos_siembra[[#This Row],[Date]],2),"L","M","X","J","V","S","D")</f>
        <v>L</v>
      </c>
      <c r="R95">
        <f>WEEKNUM(datos_siembra[[#This Row],[Date]],2)-WEEKNUM(DATE(YEAR(datos_siembra[[#This Row],[Date]]),MONTH(datos_siembra[[#This Row],[Date]]),1))+1</f>
        <v>2</v>
      </c>
      <c r="S95">
        <f>MONTH(datos_siembra[[#This Row],[Date]])</f>
        <v>9</v>
      </c>
      <c r="T95" t="str" cm="1">
        <f t="array" ref="T95">_xlfn.IFS(AND(N95&lt;= 22, S95=9), "SOWING",AND(N95&lt;= 28, S95=9), "COVERAGE",AND(N95&lt;= 30, S95=9), "FLUSH",AND(N95&lt;= 11, S95=10), "FLUSH",AND(N95&lt;= 21, S95=10), "PRODUCTION")</f>
        <v>SOWING</v>
      </c>
      <c r="U95">
        <f>HOUR(datos_siembra[[#This Row],[Hour]])</f>
        <v>6</v>
      </c>
      <c r="V95" cm="1">
        <f t="array" ref="V95">_xlfn.IFS(AND(N95&lt;= 22, S95=9), N95-7,AND(N95&lt;= 28, S95=9), N95-25,AND(N95&lt;= 30, S95=9), N95-28,AND(N95&lt;= 11, S95=10), N95+2,AND(N95&lt;= 21, S95=10), N95-11)</f>
        <v>2</v>
      </c>
    </row>
    <row r="96" spans="1:22" x14ac:dyDescent="0.35">
      <c r="A96" s="4">
        <v>45544</v>
      </c>
      <c r="B96" s="5">
        <v>0.26170138888888889</v>
      </c>
      <c r="C96">
        <v>79.400000000000006</v>
      </c>
      <c r="D96">
        <v>81.8</v>
      </c>
      <c r="E96">
        <v>81.099999999999994</v>
      </c>
      <c r="F96">
        <v>77.2</v>
      </c>
      <c r="G96">
        <v>0</v>
      </c>
      <c r="H96">
        <v>0</v>
      </c>
      <c r="I96">
        <v>0</v>
      </c>
      <c r="J96">
        <v>0</v>
      </c>
      <c r="K96">
        <v>67.099999999999994</v>
      </c>
      <c r="L96">
        <v>65.900000000000006</v>
      </c>
      <c r="M96">
        <v>79.930000000000007</v>
      </c>
      <c r="N96">
        <v>9</v>
      </c>
      <c r="O96">
        <v>6</v>
      </c>
      <c r="P96">
        <f>MOD(DAY(datos_siembra[[#This Row],[Date]]),7)</f>
        <v>2</v>
      </c>
      <c r="Q96" t="str">
        <f>CHOOSE(WEEKDAY(datos_siembra[[#This Row],[Date]],2),"L","M","X","J","V","S","D")</f>
        <v>L</v>
      </c>
      <c r="R96">
        <f>WEEKNUM(datos_siembra[[#This Row],[Date]],2)-WEEKNUM(DATE(YEAR(datos_siembra[[#This Row],[Date]]),MONTH(datos_siembra[[#This Row],[Date]]),1))+1</f>
        <v>2</v>
      </c>
      <c r="S96">
        <f>MONTH(datos_siembra[[#This Row],[Date]])</f>
        <v>9</v>
      </c>
      <c r="T96" t="str" cm="1">
        <f t="array" ref="T96">_xlfn.IFS(AND(N96&lt;= 22, S96=9), "SOWING",AND(N96&lt;= 28, S96=9), "COVERAGE",AND(N96&lt;= 30, S96=9), "FLUSH",AND(N96&lt;= 11, S96=10), "FLUSH",AND(N96&lt;= 21, S96=10), "PRODUCTION")</f>
        <v>SOWING</v>
      </c>
      <c r="U96">
        <f>HOUR(datos_siembra[[#This Row],[Hour]])</f>
        <v>6</v>
      </c>
      <c r="V96" cm="1">
        <f t="array" ref="V96">_xlfn.IFS(AND(N96&lt;= 22, S96=9), N96-7,AND(N96&lt;= 28, S96=9), N96-25,AND(N96&lt;= 30, S96=9), N96-28,AND(N96&lt;= 11, S96=10), N96+2,AND(N96&lt;= 21, S96=10), N96-11)</f>
        <v>2</v>
      </c>
    </row>
    <row r="97" spans="1:22" x14ac:dyDescent="0.35">
      <c r="A97" s="4">
        <v>45544</v>
      </c>
      <c r="B97" s="5">
        <v>0.26864583333333331</v>
      </c>
      <c r="C97">
        <v>79.400000000000006</v>
      </c>
      <c r="D97">
        <v>81.8</v>
      </c>
      <c r="E97">
        <v>81.3</v>
      </c>
      <c r="F97">
        <v>77.2</v>
      </c>
      <c r="G97">
        <v>0</v>
      </c>
      <c r="H97">
        <v>0</v>
      </c>
      <c r="I97">
        <v>0</v>
      </c>
      <c r="J97">
        <v>0</v>
      </c>
      <c r="K97">
        <v>67</v>
      </c>
      <c r="L97">
        <v>65.5</v>
      </c>
      <c r="M97">
        <v>79.900000000000006</v>
      </c>
      <c r="N97">
        <v>9</v>
      </c>
      <c r="O97">
        <v>6</v>
      </c>
      <c r="P97">
        <f>MOD(DAY(datos_siembra[[#This Row],[Date]]),7)</f>
        <v>2</v>
      </c>
      <c r="Q97" t="str">
        <f>CHOOSE(WEEKDAY(datos_siembra[[#This Row],[Date]],2),"L","M","X","J","V","S","D")</f>
        <v>L</v>
      </c>
      <c r="R97">
        <f>WEEKNUM(datos_siembra[[#This Row],[Date]],2)-WEEKNUM(DATE(YEAR(datos_siembra[[#This Row],[Date]]),MONTH(datos_siembra[[#This Row],[Date]]),1))+1</f>
        <v>2</v>
      </c>
      <c r="S97">
        <f>MONTH(datos_siembra[[#This Row],[Date]])</f>
        <v>9</v>
      </c>
      <c r="T97" t="str" cm="1">
        <f t="array" ref="T97">_xlfn.IFS(AND(N97&lt;= 22, S97=9), "SOWING",AND(N97&lt;= 28, S97=9), "COVERAGE",AND(N97&lt;= 30, S97=9), "FLUSH",AND(N97&lt;= 11, S97=10), "FLUSH",AND(N97&lt;= 21, S97=10), "PRODUCTION")</f>
        <v>SOWING</v>
      </c>
      <c r="U97">
        <f>HOUR(datos_siembra[[#This Row],[Hour]])</f>
        <v>6</v>
      </c>
      <c r="V97" cm="1">
        <f t="array" ref="V97">_xlfn.IFS(AND(N97&lt;= 22, S97=9), N97-7,AND(N97&lt;= 28, S97=9), N97-25,AND(N97&lt;= 30, S97=9), N97-28,AND(N97&lt;= 11, S97=10), N97+2,AND(N97&lt;= 21, S97=10), N97-11)</f>
        <v>2</v>
      </c>
    </row>
    <row r="98" spans="1:22" x14ac:dyDescent="0.35">
      <c r="A98" s="4">
        <v>45544</v>
      </c>
      <c r="B98" s="5">
        <v>0.27560185185185188</v>
      </c>
      <c r="C98">
        <v>79.5</v>
      </c>
      <c r="D98">
        <v>81.7</v>
      </c>
      <c r="E98">
        <v>81.400000000000006</v>
      </c>
      <c r="F98">
        <v>77.2</v>
      </c>
      <c r="G98">
        <v>0</v>
      </c>
      <c r="H98">
        <v>0</v>
      </c>
      <c r="I98">
        <v>0</v>
      </c>
      <c r="J98">
        <v>0</v>
      </c>
      <c r="K98">
        <v>67</v>
      </c>
      <c r="L98">
        <v>65.900000000000006</v>
      </c>
      <c r="M98">
        <v>80.010000000000005</v>
      </c>
      <c r="N98">
        <v>9</v>
      </c>
      <c r="O98">
        <v>6</v>
      </c>
      <c r="P98">
        <f>MOD(DAY(datos_siembra[[#This Row],[Date]]),7)</f>
        <v>2</v>
      </c>
      <c r="Q98" t="str">
        <f>CHOOSE(WEEKDAY(datos_siembra[[#This Row],[Date]],2),"L","M","X","J","V","S","D")</f>
        <v>L</v>
      </c>
      <c r="R98">
        <f>WEEKNUM(datos_siembra[[#This Row],[Date]],2)-WEEKNUM(DATE(YEAR(datos_siembra[[#This Row],[Date]]),MONTH(datos_siembra[[#This Row],[Date]]),1))+1</f>
        <v>2</v>
      </c>
      <c r="S98">
        <f>MONTH(datos_siembra[[#This Row],[Date]])</f>
        <v>9</v>
      </c>
      <c r="T98" t="str" cm="1">
        <f t="array" ref="T98">_xlfn.IFS(AND(N98&lt;= 22, S98=9), "SOWING",AND(N98&lt;= 28, S98=9), "COVERAGE",AND(N98&lt;= 30, S98=9), "FLUSH",AND(N98&lt;= 11, S98=10), "FLUSH",AND(N98&lt;= 21, S98=10), "PRODUCTION")</f>
        <v>SOWING</v>
      </c>
      <c r="U98">
        <f>HOUR(datos_siembra[[#This Row],[Hour]])</f>
        <v>6</v>
      </c>
      <c r="V98" cm="1">
        <f t="array" ref="V98">_xlfn.IFS(AND(N98&lt;= 22, S98=9), N98-7,AND(N98&lt;= 28, S98=9), N98-25,AND(N98&lt;= 30, S98=9), N98-28,AND(N98&lt;= 11, S98=10), N98+2,AND(N98&lt;= 21, S98=10), N98-11)</f>
        <v>2</v>
      </c>
    </row>
    <row r="99" spans="1:22" x14ac:dyDescent="0.35">
      <c r="A99" s="4">
        <v>45544</v>
      </c>
      <c r="B99" s="5">
        <v>0.2825462962962963</v>
      </c>
      <c r="C99">
        <v>79.400000000000006</v>
      </c>
      <c r="D99">
        <v>81.7</v>
      </c>
      <c r="E99">
        <v>81.599999999999994</v>
      </c>
      <c r="F99">
        <v>77.2</v>
      </c>
      <c r="G99">
        <v>0</v>
      </c>
      <c r="H99">
        <v>0</v>
      </c>
      <c r="I99">
        <v>0</v>
      </c>
      <c r="J99">
        <v>0</v>
      </c>
      <c r="K99">
        <v>67.099999999999994</v>
      </c>
      <c r="L99">
        <v>65.900000000000006</v>
      </c>
      <c r="M99">
        <v>80.010000000000005</v>
      </c>
      <c r="N99">
        <v>9</v>
      </c>
      <c r="O99">
        <v>6</v>
      </c>
      <c r="P99">
        <f>MOD(DAY(datos_siembra[[#This Row],[Date]]),7)</f>
        <v>2</v>
      </c>
      <c r="Q99" t="str">
        <f>CHOOSE(WEEKDAY(datos_siembra[[#This Row],[Date]],2),"L","M","X","J","V","S","D")</f>
        <v>L</v>
      </c>
      <c r="R99">
        <f>WEEKNUM(datos_siembra[[#This Row],[Date]],2)-WEEKNUM(DATE(YEAR(datos_siembra[[#This Row],[Date]]),MONTH(datos_siembra[[#This Row],[Date]]),1))+1</f>
        <v>2</v>
      </c>
      <c r="S99">
        <f>MONTH(datos_siembra[[#This Row],[Date]])</f>
        <v>9</v>
      </c>
      <c r="T99" t="str" cm="1">
        <f t="array" ref="T99">_xlfn.IFS(AND(N99&lt;= 22, S99=9), "SOWING",AND(N99&lt;= 28, S99=9), "COVERAGE",AND(N99&lt;= 30, S99=9), "FLUSH",AND(N99&lt;= 11, S99=10), "FLUSH",AND(N99&lt;= 21, S99=10), "PRODUCTION")</f>
        <v>SOWING</v>
      </c>
      <c r="U99">
        <f>HOUR(datos_siembra[[#This Row],[Hour]])</f>
        <v>6</v>
      </c>
      <c r="V99" cm="1">
        <f t="array" ref="V99">_xlfn.IFS(AND(N99&lt;= 22, S99=9), N99-7,AND(N99&lt;= 28, S99=9), N99-25,AND(N99&lt;= 30, S99=9), N99-28,AND(N99&lt;= 11, S99=10), N99+2,AND(N99&lt;= 21, S99=10), N99-11)</f>
        <v>2</v>
      </c>
    </row>
    <row r="100" spans="1:22" x14ac:dyDescent="0.35">
      <c r="A100" s="4">
        <v>45544</v>
      </c>
      <c r="B100" s="5">
        <v>0.28949074074074072</v>
      </c>
      <c r="C100">
        <v>79.3</v>
      </c>
      <c r="D100">
        <v>81.7</v>
      </c>
      <c r="E100">
        <v>81.400000000000006</v>
      </c>
      <c r="F100">
        <v>77.2</v>
      </c>
      <c r="G100">
        <v>0</v>
      </c>
      <c r="H100">
        <v>0</v>
      </c>
      <c r="I100">
        <v>0</v>
      </c>
      <c r="J100">
        <v>0</v>
      </c>
      <c r="K100">
        <v>67.099999999999994</v>
      </c>
      <c r="L100">
        <v>65.900000000000006</v>
      </c>
      <c r="M100">
        <v>79.95</v>
      </c>
      <c r="N100">
        <v>9</v>
      </c>
      <c r="O100">
        <v>6</v>
      </c>
      <c r="P100">
        <f>MOD(DAY(datos_siembra[[#This Row],[Date]]),7)</f>
        <v>2</v>
      </c>
      <c r="Q100" t="str">
        <f>CHOOSE(WEEKDAY(datos_siembra[[#This Row],[Date]],2),"L","M","X","J","V","S","D")</f>
        <v>L</v>
      </c>
      <c r="R100">
        <f>WEEKNUM(datos_siembra[[#This Row],[Date]],2)-WEEKNUM(DATE(YEAR(datos_siembra[[#This Row],[Date]]),MONTH(datos_siembra[[#This Row],[Date]]),1))+1</f>
        <v>2</v>
      </c>
      <c r="S100">
        <f>MONTH(datos_siembra[[#This Row],[Date]])</f>
        <v>9</v>
      </c>
      <c r="T100" t="str" cm="1">
        <f t="array" ref="T100">_xlfn.IFS(AND(N100&lt;= 22, S100=9), "SOWING",AND(N100&lt;= 28, S100=9), "COVERAGE",AND(N100&lt;= 30, S100=9), "FLUSH",AND(N100&lt;= 11, S100=10), "FLUSH",AND(N100&lt;= 21, S100=10), "PRODUCTION")</f>
        <v>SOWING</v>
      </c>
      <c r="U100">
        <f>HOUR(datos_siembra[[#This Row],[Hour]])</f>
        <v>6</v>
      </c>
      <c r="V100" cm="1">
        <f t="array" ref="V100">_xlfn.IFS(AND(N100&lt;= 22, S100=9), N100-7,AND(N100&lt;= 28, S100=9), N100-25,AND(N100&lt;= 30, S100=9), N100-28,AND(N100&lt;= 11, S100=10), N100+2,AND(N100&lt;= 21, S100=10), N100-11)</f>
        <v>2</v>
      </c>
    </row>
    <row r="101" spans="1:22" x14ac:dyDescent="0.35">
      <c r="A101" s="4">
        <v>45544</v>
      </c>
      <c r="B101" s="5">
        <v>0.29644675925925928</v>
      </c>
      <c r="C101">
        <v>79.5</v>
      </c>
      <c r="D101">
        <v>81.7</v>
      </c>
      <c r="E101">
        <v>81.3</v>
      </c>
      <c r="F101">
        <v>77.099999999999994</v>
      </c>
      <c r="G101">
        <v>0</v>
      </c>
      <c r="H101">
        <v>0</v>
      </c>
      <c r="I101">
        <v>0</v>
      </c>
      <c r="J101">
        <v>0</v>
      </c>
      <c r="K101">
        <v>67.099999999999994</v>
      </c>
      <c r="L101">
        <v>65.900000000000006</v>
      </c>
      <c r="M101">
        <v>80.12</v>
      </c>
      <c r="N101">
        <v>9</v>
      </c>
      <c r="O101">
        <v>6</v>
      </c>
      <c r="P101">
        <f>MOD(DAY(datos_siembra[[#This Row],[Date]]),7)</f>
        <v>2</v>
      </c>
      <c r="Q101" t="str">
        <f>CHOOSE(WEEKDAY(datos_siembra[[#This Row],[Date]],2),"L","M","X","J","V","S","D")</f>
        <v>L</v>
      </c>
      <c r="R101">
        <f>WEEKNUM(datos_siembra[[#This Row],[Date]],2)-WEEKNUM(DATE(YEAR(datos_siembra[[#This Row],[Date]]),MONTH(datos_siembra[[#This Row],[Date]]),1))+1</f>
        <v>2</v>
      </c>
      <c r="S101">
        <f>MONTH(datos_siembra[[#This Row],[Date]])</f>
        <v>9</v>
      </c>
      <c r="T101" t="str" cm="1">
        <f t="array" ref="T101">_xlfn.IFS(AND(N101&lt;= 22, S101=9), "SOWING",AND(N101&lt;= 28, S101=9), "COVERAGE",AND(N101&lt;= 30, S101=9), "FLUSH",AND(N101&lt;= 11, S101=10), "FLUSH",AND(N101&lt;= 21, S101=10), "PRODUCTION")</f>
        <v>SOWING</v>
      </c>
      <c r="U101">
        <f>HOUR(datos_siembra[[#This Row],[Hour]])</f>
        <v>7</v>
      </c>
      <c r="V101" cm="1">
        <f t="array" ref="V101">_xlfn.IFS(AND(N101&lt;= 22, S101=9), N101-7,AND(N101&lt;= 28, S101=9), N101-25,AND(N101&lt;= 30, S101=9), N101-28,AND(N101&lt;= 11, S101=10), N101+2,AND(N101&lt;= 21, S101=10), N101-11)</f>
        <v>2</v>
      </c>
    </row>
    <row r="102" spans="1:22" x14ac:dyDescent="0.35">
      <c r="A102" s="4">
        <v>45544</v>
      </c>
      <c r="B102" s="5">
        <v>0.3033912037037037</v>
      </c>
      <c r="C102">
        <v>79.400000000000006</v>
      </c>
      <c r="D102">
        <v>81.7</v>
      </c>
      <c r="E102">
        <v>81.400000000000006</v>
      </c>
      <c r="F102">
        <v>77.099999999999994</v>
      </c>
      <c r="G102">
        <v>0</v>
      </c>
      <c r="H102">
        <v>0</v>
      </c>
      <c r="I102">
        <v>0</v>
      </c>
      <c r="J102">
        <v>0</v>
      </c>
      <c r="K102">
        <v>67</v>
      </c>
      <c r="L102">
        <v>65.5</v>
      </c>
      <c r="M102">
        <v>79.95</v>
      </c>
      <c r="N102">
        <v>9</v>
      </c>
      <c r="O102">
        <v>6</v>
      </c>
      <c r="P102">
        <f>MOD(DAY(datos_siembra[[#This Row],[Date]]),7)</f>
        <v>2</v>
      </c>
      <c r="Q102" t="str">
        <f>CHOOSE(WEEKDAY(datos_siembra[[#This Row],[Date]],2),"L","M","X","J","V","S","D")</f>
        <v>L</v>
      </c>
      <c r="R102">
        <f>WEEKNUM(datos_siembra[[#This Row],[Date]],2)-WEEKNUM(DATE(YEAR(datos_siembra[[#This Row],[Date]]),MONTH(datos_siembra[[#This Row],[Date]]),1))+1</f>
        <v>2</v>
      </c>
      <c r="S102">
        <f>MONTH(datos_siembra[[#This Row],[Date]])</f>
        <v>9</v>
      </c>
      <c r="T102" t="str" cm="1">
        <f t="array" ref="T102">_xlfn.IFS(AND(N102&lt;= 22, S102=9), "SOWING",AND(N102&lt;= 28, S102=9), "COVERAGE",AND(N102&lt;= 30, S102=9), "FLUSH",AND(N102&lt;= 11, S102=10), "FLUSH",AND(N102&lt;= 21, S102=10), "PRODUCTION")</f>
        <v>SOWING</v>
      </c>
      <c r="U102">
        <f>HOUR(datos_siembra[[#This Row],[Hour]])</f>
        <v>7</v>
      </c>
      <c r="V102" cm="1">
        <f t="array" ref="V102">_xlfn.IFS(AND(N102&lt;= 22, S102=9), N102-7,AND(N102&lt;= 28, S102=9), N102-25,AND(N102&lt;= 30, S102=9), N102-28,AND(N102&lt;= 11, S102=10), N102+2,AND(N102&lt;= 21, S102=10), N102-11)</f>
        <v>2</v>
      </c>
    </row>
    <row r="103" spans="1:22" x14ac:dyDescent="0.35">
      <c r="A103" s="4">
        <v>45544</v>
      </c>
      <c r="B103" s="5">
        <v>0.31738425925925928</v>
      </c>
      <c r="C103">
        <v>79.400000000000006</v>
      </c>
      <c r="D103">
        <v>81.7</v>
      </c>
      <c r="E103">
        <v>81.3</v>
      </c>
      <c r="F103">
        <v>77.2</v>
      </c>
      <c r="G103">
        <v>0</v>
      </c>
      <c r="H103">
        <v>0</v>
      </c>
      <c r="I103">
        <v>0</v>
      </c>
      <c r="J103">
        <v>0</v>
      </c>
      <c r="K103">
        <v>67.099999999999994</v>
      </c>
      <c r="L103">
        <v>65.8</v>
      </c>
      <c r="M103">
        <v>80.040000000000006</v>
      </c>
      <c r="N103">
        <v>9</v>
      </c>
      <c r="O103">
        <v>6</v>
      </c>
      <c r="P103">
        <f>MOD(DAY(datos_siembra[[#This Row],[Date]]),7)</f>
        <v>2</v>
      </c>
      <c r="Q103" t="str">
        <f>CHOOSE(WEEKDAY(datos_siembra[[#This Row],[Date]],2),"L","M","X","J","V","S","D")</f>
        <v>L</v>
      </c>
      <c r="R103">
        <f>WEEKNUM(datos_siembra[[#This Row],[Date]],2)-WEEKNUM(DATE(YEAR(datos_siembra[[#This Row],[Date]]),MONTH(datos_siembra[[#This Row],[Date]]),1))+1</f>
        <v>2</v>
      </c>
      <c r="S103">
        <f>MONTH(datos_siembra[[#This Row],[Date]])</f>
        <v>9</v>
      </c>
      <c r="T103" t="str" cm="1">
        <f t="array" ref="T103">_xlfn.IFS(AND(N103&lt;= 22, S103=9), "SOWING",AND(N103&lt;= 28, S103=9), "COVERAGE",AND(N103&lt;= 30, S103=9), "FLUSH",AND(N103&lt;= 11, S103=10), "FLUSH",AND(N103&lt;= 21, S103=10), "PRODUCTION")</f>
        <v>SOWING</v>
      </c>
      <c r="U103">
        <f>HOUR(datos_siembra[[#This Row],[Hour]])</f>
        <v>7</v>
      </c>
      <c r="V103" cm="1">
        <f t="array" ref="V103">_xlfn.IFS(AND(N103&lt;= 22, S103=9), N103-7,AND(N103&lt;= 28, S103=9), N103-25,AND(N103&lt;= 30, S103=9), N103-28,AND(N103&lt;= 11, S103=10), N103+2,AND(N103&lt;= 21, S103=10), N103-11)</f>
        <v>2</v>
      </c>
    </row>
    <row r="104" spans="1:22" x14ac:dyDescent="0.35">
      <c r="A104" s="4">
        <v>45544</v>
      </c>
      <c r="B104" s="5">
        <v>0.32418981481481479</v>
      </c>
      <c r="C104">
        <v>79.400000000000006</v>
      </c>
      <c r="D104">
        <v>81.7</v>
      </c>
      <c r="E104">
        <v>81.400000000000006</v>
      </c>
      <c r="F104">
        <v>77.2</v>
      </c>
      <c r="G104">
        <v>0</v>
      </c>
      <c r="H104">
        <v>0</v>
      </c>
      <c r="I104">
        <v>0</v>
      </c>
      <c r="J104">
        <v>0</v>
      </c>
      <c r="K104">
        <v>67.099999999999994</v>
      </c>
      <c r="L104">
        <v>65.900000000000006</v>
      </c>
      <c r="M104">
        <v>79.95</v>
      </c>
      <c r="N104">
        <v>9</v>
      </c>
      <c r="O104">
        <v>6</v>
      </c>
      <c r="P104">
        <f>MOD(DAY(datos_siembra[[#This Row],[Date]]),7)</f>
        <v>2</v>
      </c>
      <c r="Q104" t="str">
        <f>CHOOSE(WEEKDAY(datos_siembra[[#This Row],[Date]],2),"L","M","X","J","V","S","D")</f>
        <v>L</v>
      </c>
      <c r="R104">
        <f>WEEKNUM(datos_siembra[[#This Row],[Date]],2)-WEEKNUM(DATE(YEAR(datos_siembra[[#This Row],[Date]]),MONTH(datos_siembra[[#This Row],[Date]]),1))+1</f>
        <v>2</v>
      </c>
      <c r="S104">
        <f>MONTH(datos_siembra[[#This Row],[Date]])</f>
        <v>9</v>
      </c>
      <c r="T104" t="str" cm="1">
        <f t="array" ref="T104">_xlfn.IFS(AND(N104&lt;= 22, S104=9), "SOWING",AND(N104&lt;= 28, S104=9), "COVERAGE",AND(N104&lt;= 30, S104=9), "FLUSH",AND(N104&lt;= 11, S104=10), "FLUSH",AND(N104&lt;= 21, S104=10), "PRODUCTION")</f>
        <v>SOWING</v>
      </c>
      <c r="U104">
        <f>HOUR(datos_siembra[[#This Row],[Hour]])</f>
        <v>7</v>
      </c>
      <c r="V104" cm="1">
        <f t="array" ref="V104">_xlfn.IFS(AND(N104&lt;= 22, S104=9), N104-7,AND(N104&lt;= 28, S104=9), N104-25,AND(N104&lt;= 30, S104=9), N104-28,AND(N104&lt;= 11, S104=10), N104+2,AND(N104&lt;= 21, S104=10), N104-11)</f>
        <v>2</v>
      </c>
    </row>
    <row r="105" spans="1:22" x14ac:dyDescent="0.35">
      <c r="A105" s="4">
        <v>45544</v>
      </c>
      <c r="B105" s="5">
        <v>0.33114583333333331</v>
      </c>
      <c r="C105">
        <v>79.400000000000006</v>
      </c>
      <c r="D105">
        <v>81.8</v>
      </c>
      <c r="E105">
        <v>81.3</v>
      </c>
      <c r="F105">
        <v>77.2</v>
      </c>
      <c r="G105">
        <v>0</v>
      </c>
      <c r="H105">
        <v>0</v>
      </c>
      <c r="I105">
        <v>0</v>
      </c>
      <c r="J105">
        <v>0</v>
      </c>
      <c r="K105">
        <v>67.099999999999994</v>
      </c>
      <c r="L105">
        <v>65.8</v>
      </c>
      <c r="M105">
        <v>79.92</v>
      </c>
      <c r="N105">
        <v>9</v>
      </c>
      <c r="O105">
        <v>6</v>
      </c>
      <c r="P105">
        <f>MOD(DAY(datos_siembra[[#This Row],[Date]]),7)</f>
        <v>2</v>
      </c>
      <c r="Q105" t="str">
        <f>CHOOSE(WEEKDAY(datos_siembra[[#This Row],[Date]],2),"L","M","X","J","V","S","D")</f>
        <v>L</v>
      </c>
      <c r="R105">
        <f>WEEKNUM(datos_siembra[[#This Row],[Date]],2)-WEEKNUM(DATE(YEAR(datos_siembra[[#This Row],[Date]]),MONTH(datos_siembra[[#This Row],[Date]]),1))+1</f>
        <v>2</v>
      </c>
      <c r="S105">
        <f>MONTH(datos_siembra[[#This Row],[Date]])</f>
        <v>9</v>
      </c>
      <c r="T105" t="str" cm="1">
        <f t="array" ref="T105">_xlfn.IFS(AND(N105&lt;= 22, S105=9), "SOWING",AND(N105&lt;= 28, S105=9), "COVERAGE",AND(N105&lt;= 30, S105=9), "FLUSH",AND(N105&lt;= 11, S105=10), "FLUSH",AND(N105&lt;= 21, S105=10), "PRODUCTION")</f>
        <v>SOWING</v>
      </c>
      <c r="U105">
        <f>HOUR(datos_siembra[[#This Row],[Hour]])</f>
        <v>7</v>
      </c>
      <c r="V105" cm="1">
        <f t="array" ref="V105">_xlfn.IFS(AND(N105&lt;= 22, S105=9), N105-7,AND(N105&lt;= 28, S105=9), N105-25,AND(N105&lt;= 30, S105=9), N105-28,AND(N105&lt;= 11, S105=10), N105+2,AND(N105&lt;= 21, S105=10), N105-11)</f>
        <v>2</v>
      </c>
    </row>
    <row r="106" spans="1:22" x14ac:dyDescent="0.35">
      <c r="A106" s="4">
        <v>45544</v>
      </c>
      <c r="B106" s="5">
        <v>0.33809027777777778</v>
      </c>
      <c r="C106">
        <v>79.400000000000006</v>
      </c>
      <c r="D106">
        <v>81.8</v>
      </c>
      <c r="E106">
        <v>81.400000000000006</v>
      </c>
      <c r="F106">
        <v>77.2</v>
      </c>
      <c r="G106">
        <v>0</v>
      </c>
      <c r="H106">
        <v>0</v>
      </c>
      <c r="I106">
        <v>0</v>
      </c>
      <c r="J106">
        <v>0</v>
      </c>
      <c r="K106">
        <v>67.099999999999994</v>
      </c>
      <c r="L106">
        <v>65.8</v>
      </c>
      <c r="M106">
        <v>79.95</v>
      </c>
      <c r="N106">
        <v>9</v>
      </c>
      <c r="O106">
        <v>6</v>
      </c>
      <c r="P106">
        <f>MOD(DAY(datos_siembra[[#This Row],[Date]]),7)</f>
        <v>2</v>
      </c>
      <c r="Q106" t="str">
        <f>CHOOSE(WEEKDAY(datos_siembra[[#This Row],[Date]],2),"L","M","X","J","V","S","D")</f>
        <v>L</v>
      </c>
      <c r="R106">
        <f>WEEKNUM(datos_siembra[[#This Row],[Date]],2)-WEEKNUM(DATE(YEAR(datos_siembra[[#This Row],[Date]]),MONTH(datos_siembra[[#This Row],[Date]]),1))+1</f>
        <v>2</v>
      </c>
      <c r="S106">
        <f>MONTH(datos_siembra[[#This Row],[Date]])</f>
        <v>9</v>
      </c>
      <c r="T106" t="str" cm="1">
        <f t="array" ref="T106">_xlfn.IFS(AND(N106&lt;= 22, S106=9), "SOWING",AND(N106&lt;= 28, S106=9), "COVERAGE",AND(N106&lt;= 30, S106=9), "FLUSH",AND(N106&lt;= 11, S106=10), "FLUSH",AND(N106&lt;= 21, S106=10), "PRODUCTION")</f>
        <v>SOWING</v>
      </c>
      <c r="U106">
        <f>HOUR(datos_siembra[[#This Row],[Hour]])</f>
        <v>8</v>
      </c>
      <c r="V106" cm="1">
        <f t="array" ref="V106">_xlfn.IFS(AND(N106&lt;= 22, S106=9), N106-7,AND(N106&lt;= 28, S106=9), N106-25,AND(N106&lt;= 30, S106=9), N106-28,AND(N106&lt;= 11, S106=10), N106+2,AND(N106&lt;= 21, S106=10), N106-11)</f>
        <v>2</v>
      </c>
    </row>
    <row r="107" spans="1:22" x14ac:dyDescent="0.35">
      <c r="A107" s="4">
        <v>45544</v>
      </c>
      <c r="B107" s="5">
        <v>0.3450347222222222</v>
      </c>
      <c r="C107">
        <v>79.599999999999994</v>
      </c>
      <c r="D107">
        <v>81.7</v>
      </c>
      <c r="E107">
        <v>81.5</v>
      </c>
      <c r="F107">
        <v>77.7</v>
      </c>
      <c r="G107">
        <v>0</v>
      </c>
      <c r="H107">
        <v>0</v>
      </c>
      <c r="I107">
        <v>0</v>
      </c>
      <c r="J107">
        <v>0</v>
      </c>
      <c r="K107">
        <v>67.099999999999994</v>
      </c>
      <c r="L107">
        <v>65.8</v>
      </c>
      <c r="M107">
        <v>79.95</v>
      </c>
      <c r="N107">
        <v>9</v>
      </c>
      <c r="O107">
        <v>6</v>
      </c>
      <c r="P107">
        <f>MOD(DAY(datos_siembra[[#This Row],[Date]]),7)</f>
        <v>2</v>
      </c>
      <c r="Q107" t="str">
        <f>CHOOSE(WEEKDAY(datos_siembra[[#This Row],[Date]],2),"L","M","X","J","V","S","D")</f>
        <v>L</v>
      </c>
      <c r="R107">
        <f>WEEKNUM(datos_siembra[[#This Row],[Date]],2)-WEEKNUM(DATE(YEAR(datos_siembra[[#This Row],[Date]]),MONTH(datos_siembra[[#This Row],[Date]]),1))+1</f>
        <v>2</v>
      </c>
      <c r="S107">
        <f>MONTH(datos_siembra[[#This Row],[Date]])</f>
        <v>9</v>
      </c>
      <c r="T107" t="str" cm="1">
        <f t="array" ref="T107">_xlfn.IFS(AND(N107&lt;= 22, S107=9), "SOWING",AND(N107&lt;= 28, S107=9), "COVERAGE",AND(N107&lt;= 30, S107=9), "FLUSH",AND(N107&lt;= 11, S107=10), "FLUSH",AND(N107&lt;= 21, S107=10), "PRODUCTION")</f>
        <v>SOWING</v>
      </c>
      <c r="U107">
        <f>HOUR(datos_siembra[[#This Row],[Hour]])</f>
        <v>8</v>
      </c>
      <c r="V107" cm="1">
        <f t="array" ref="V107">_xlfn.IFS(AND(N107&lt;= 22, S107=9), N107-7,AND(N107&lt;= 28, S107=9), N107-25,AND(N107&lt;= 30, S107=9), N107-28,AND(N107&lt;= 11, S107=10), N107+2,AND(N107&lt;= 21, S107=10), N107-11)</f>
        <v>2</v>
      </c>
    </row>
    <row r="108" spans="1:22" x14ac:dyDescent="0.35">
      <c r="A108" s="4">
        <v>45544</v>
      </c>
      <c r="B108" s="5">
        <v>0.35197916666666668</v>
      </c>
      <c r="C108">
        <v>79.400000000000006</v>
      </c>
      <c r="D108">
        <v>81.7</v>
      </c>
      <c r="E108">
        <v>81.7</v>
      </c>
      <c r="F108">
        <v>77.2</v>
      </c>
      <c r="G108">
        <v>0</v>
      </c>
      <c r="H108">
        <v>0</v>
      </c>
      <c r="I108">
        <v>0</v>
      </c>
      <c r="J108">
        <v>0</v>
      </c>
      <c r="K108">
        <v>67</v>
      </c>
      <c r="L108">
        <v>65.8</v>
      </c>
      <c r="M108">
        <v>80.010000000000005</v>
      </c>
      <c r="N108">
        <v>9</v>
      </c>
      <c r="O108">
        <v>6</v>
      </c>
      <c r="P108">
        <f>MOD(DAY(datos_siembra[[#This Row],[Date]]),7)</f>
        <v>2</v>
      </c>
      <c r="Q108" t="str">
        <f>CHOOSE(WEEKDAY(datos_siembra[[#This Row],[Date]],2),"L","M","X","J","V","S","D")</f>
        <v>L</v>
      </c>
      <c r="R108">
        <f>WEEKNUM(datos_siembra[[#This Row],[Date]],2)-WEEKNUM(DATE(YEAR(datos_siembra[[#This Row],[Date]]),MONTH(datos_siembra[[#This Row],[Date]]),1))+1</f>
        <v>2</v>
      </c>
      <c r="S108">
        <f>MONTH(datos_siembra[[#This Row],[Date]])</f>
        <v>9</v>
      </c>
      <c r="T108" t="str" cm="1">
        <f t="array" ref="T108">_xlfn.IFS(AND(N108&lt;= 22, S108=9), "SOWING",AND(N108&lt;= 28, S108=9), "COVERAGE",AND(N108&lt;= 30, S108=9), "FLUSH",AND(N108&lt;= 11, S108=10), "FLUSH",AND(N108&lt;= 21, S108=10), "PRODUCTION")</f>
        <v>SOWING</v>
      </c>
      <c r="U108">
        <f>HOUR(datos_siembra[[#This Row],[Hour]])</f>
        <v>8</v>
      </c>
      <c r="V108" cm="1">
        <f t="array" ref="V108">_xlfn.IFS(AND(N108&lt;= 22, S108=9), N108-7,AND(N108&lt;= 28, S108=9), N108-25,AND(N108&lt;= 30, S108=9), N108-28,AND(N108&lt;= 11, S108=10), N108+2,AND(N108&lt;= 21, S108=10), N108-11)</f>
        <v>2</v>
      </c>
    </row>
    <row r="109" spans="1:22" x14ac:dyDescent="0.35">
      <c r="A109" s="4">
        <v>45544</v>
      </c>
      <c r="B109" s="5">
        <v>0.35893518518518519</v>
      </c>
      <c r="C109">
        <v>79.5</v>
      </c>
      <c r="D109">
        <v>81.7</v>
      </c>
      <c r="E109">
        <v>81.400000000000006</v>
      </c>
      <c r="F109">
        <v>77.5</v>
      </c>
      <c r="G109">
        <v>0</v>
      </c>
      <c r="H109">
        <v>0</v>
      </c>
      <c r="I109">
        <v>0</v>
      </c>
      <c r="J109">
        <v>0</v>
      </c>
      <c r="K109">
        <v>67.099999999999994</v>
      </c>
      <c r="L109">
        <v>65.8</v>
      </c>
      <c r="M109">
        <v>79.95</v>
      </c>
      <c r="N109">
        <v>9</v>
      </c>
      <c r="O109">
        <v>6</v>
      </c>
      <c r="P109">
        <f>MOD(DAY(datos_siembra[[#This Row],[Date]]),7)</f>
        <v>2</v>
      </c>
      <c r="Q109" t="str">
        <f>CHOOSE(WEEKDAY(datos_siembra[[#This Row],[Date]],2),"L","M","X","J","V","S","D")</f>
        <v>L</v>
      </c>
      <c r="R109">
        <f>WEEKNUM(datos_siembra[[#This Row],[Date]],2)-WEEKNUM(DATE(YEAR(datos_siembra[[#This Row],[Date]]),MONTH(datos_siembra[[#This Row],[Date]]),1))+1</f>
        <v>2</v>
      </c>
      <c r="S109">
        <f>MONTH(datos_siembra[[#This Row],[Date]])</f>
        <v>9</v>
      </c>
      <c r="T109" t="str" cm="1">
        <f t="array" ref="T109">_xlfn.IFS(AND(N109&lt;= 22, S109=9), "SOWING",AND(N109&lt;= 28, S109=9), "COVERAGE",AND(N109&lt;= 30, S109=9), "FLUSH",AND(N109&lt;= 11, S109=10), "FLUSH",AND(N109&lt;= 21, S109=10), "PRODUCTION")</f>
        <v>SOWING</v>
      </c>
      <c r="U109">
        <f>HOUR(datos_siembra[[#This Row],[Hour]])</f>
        <v>8</v>
      </c>
      <c r="V109" cm="1">
        <f t="array" ref="V109">_xlfn.IFS(AND(N109&lt;= 22, S109=9), N109-7,AND(N109&lt;= 28, S109=9), N109-25,AND(N109&lt;= 30, S109=9), N109-28,AND(N109&lt;= 11, S109=10), N109+2,AND(N109&lt;= 21, S109=10), N109-11)</f>
        <v>2</v>
      </c>
    </row>
    <row r="110" spans="1:22" x14ac:dyDescent="0.35">
      <c r="A110" s="4">
        <v>45544</v>
      </c>
      <c r="B110" s="5">
        <v>0.36587962962962961</v>
      </c>
      <c r="C110">
        <v>79.3</v>
      </c>
      <c r="D110">
        <v>81.7</v>
      </c>
      <c r="E110">
        <v>81.5</v>
      </c>
      <c r="F110">
        <v>77.2</v>
      </c>
      <c r="G110">
        <v>0</v>
      </c>
      <c r="H110">
        <v>0</v>
      </c>
      <c r="I110">
        <v>0</v>
      </c>
      <c r="J110">
        <v>0</v>
      </c>
      <c r="K110">
        <v>67.099999999999994</v>
      </c>
      <c r="L110">
        <v>65.8</v>
      </c>
      <c r="M110">
        <v>79.84</v>
      </c>
      <c r="N110">
        <v>9</v>
      </c>
      <c r="O110">
        <v>6</v>
      </c>
      <c r="P110">
        <f>MOD(DAY(datos_siembra[[#This Row],[Date]]),7)</f>
        <v>2</v>
      </c>
      <c r="Q110" t="str">
        <f>CHOOSE(WEEKDAY(datos_siembra[[#This Row],[Date]],2),"L","M","X","J","V","S","D")</f>
        <v>L</v>
      </c>
      <c r="R110">
        <f>WEEKNUM(datos_siembra[[#This Row],[Date]],2)-WEEKNUM(DATE(YEAR(datos_siembra[[#This Row],[Date]]),MONTH(datos_siembra[[#This Row],[Date]]),1))+1</f>
        <v>2</v>
      </c>
      <c r="S110">
        <f>MONTH(datos_siembra[[#This Row],[Date]])</f>
        <v>9</v>
      </c>
      <c r="T110" t="str" cm="1">
        <f t="array" ref="T110">_xlfn.IFS(AND(N110&lt;= 22, S110=9), "SOWING",AND(N110&lt;= 28, S110=9), "COVERAGE",AND(N110&lt;= 30, S110=9), "FLUSH",AND(N110&lt;= 11, S110=10), "FLUSH",AND(N110&lt;= 21, S110=10), "PRODUCTION")</f>
        <v>SOWING</v>
      </c>
      <c r="U110">
        <f>HOUR(datos_siembra[[#This Row],[Hour]])</f>
        <v>8</v>
      </c>
      <c r="V110" cm="1">
        <f t="array" ref="V110">_xlfn.IFS(AND(N110&lt;= 22, S110=9), N110-7,AND(N110&lt;= 28, S110=9), N110-25,AND(N110&lt;= 30, S110=9), N110-28,AND(N110&lt;= 11, S110=10), N110+2,AND(N110&lt;= 21, S110=10), N110-11)</f>
        <v>2</v>
      </c>
    </row>
    <row r="111" spans="1:22" x14ac:dyDescent="0.35">
      <c r="A111" s="4">
        <v>45544</v>
      </c>
      <c r="B111" s="5">
        <v>0.37282407407407409</v>
      </c>
      <c r="C111">
        <v>79.5</v>
      </c>
      <c r="D111">
        <v>81.7</v>
      </c>
      <c r="E111">
        <v>81.2</v>
      </c>
      <c r="F111">
        <v>77.3</v>
      </c>
      <c r="G111">
        <v>0</v>
      </c>
      <c r="H111">
        <v>0</v>
      </c>
      <c r="I111">
        <v>0</v>
      </c>
      <c r="J111">
        <v>0</v>
      </c>
      <c r="K111">
        <v>67.099999999999994</v>
      </c>
      <c r="L111">
        <v>65.900000000000006</v>
      </c>
      <c r="M111">
        <v>80.010000000000005</v>
      </c>
      <c r="N111">
        <v>9</v>
      </c>
      <c r="O111">
        <v>6</v>
      </c>
      <c r="P111">
        <f>MOD(DAY(datos_siembra[[#This Row],[Date]]),7)</f>
        <v>2</v>
      </c>
      <c r="Q111" t="str">
        <f>CHOOSE(WEEKDAY(datos_siembra[[#This Row],[Date]],2),"L","M","X","J","V","S","D")</f>
        <v>L</v>
      </c>
      <c r="R111">
        <f>WEEKNUM(datos_siembra[[#This Row],[Date]],2)-WEEKNUM(DATE(YEAR(datos_siembra[[#This Row],[Date]]),MONTH(datos_siembra[[#This Row],[Date]]),1))+1</f>
        <v>2</v>
      </c>
      <c r="S111">
        <f>MONTH(datos_siembra[[#This Row],[Date]])</f>
        <v>9</v>
      </c>
      <c r="T111" t="str" cm="1">
        <f t="array" ref="T111">_xlfn.IFS(AND(N111&lt;= 22, S111=9), "SOWING",AND(N111&lt;= 28, S111=9), "COVERAGE",AND(N111&lt;= 30, S111=9), "FLUSH",AND(N111&lt;= 11, S111=10), "FLUSH",AND(N111&lt;= 21, S111=10), "PRODUCTION")</f>
        <v>SOWING</v>
      </c>
      <c r="U111">
        <f>HOUR(datos_siembra[[#This Row],[Hour]])</f>
        <v>8</v>
      </c>
      <c r="V111" cm="1">
        <f t="array" ref="V111">_xlfn.IFS(AND(N111&lt;= 22, S111=9), N111-7,AND(N111&lt;= 28, S111=9), N111-25,AND(N111&lt;= 30, S111=9), N111-28,AND(N111&lt;= 11, S111=10), N111+2,AND(N111&lt;= 21, S111=10), N111-11)</f>
        <v>2</v>
      </c>
    </row>
    <row r="112" spans="1:22" x14ac:dyDescent="0.35">
      <c r="A112" s="4">
        <v>45544</v>
      </c>
      <c r="B112" s="5">
        <v>0.3797800925925926</v>
      </c>
      <c r="C112">
        <v>79.5</v>
      </c>
      <c r="D112">
        <v>81.7</v>
      </c>
      <c r="E112">
        <v>81.400000000000006</v>
      </c>
      <c r="F112">
        <v>77.5</v>
      </c>
      <c r="G112">
        <v>0</v>
      </c>
      <c r="H112">
        <v>0</v>
      </c>
      <c r="I112">
        <v>0</v>
      </c>
      <c r="J112">
        <v>0</v>
      </c>
      <c r="K112">
        <v>67.099999999999994</v>
      </c>
      <c r="L112">
        <v>65.8</v>
      </c>
      <c r="M112">
        <v>79.95</v>
      </c>
      <c r="N112">
        <v>9</v>
      </c>
      <c r="O112">
        <v>6</v>
      </c>
      <c r="P112">
        <f>MOD(DAY(datos_siembra[[#This Row],[Date]]),7)</f>
        <v>2</v>
      </c>
      <c r="Q112" t="str">
        <f>CHOOSE(WEEKDAY(datos_siembra[[#This Row],[Date]],2),"L","M","X","J","V","S","D")</f>
        <v>L</v>
      </c>
      <c r="R112">
        <f>WEEKNUM(datos_siembra[[#This Row],[Date]],2)-WEEKNUM(DATE(YEAR(datos_siembra[[#This Row],[Date]]),MONTH(datos_siembra[[#This Row],[Date]]),1))+1</f>
        <v>2</v>
      </c>
      <c r="S112">
        <f>MONTH(datos_siembra[[#This Row],[Date]])</f>
        <v>9</v>
      </c>
      <c r="T112" t="str" cm="1">
        <f t="array" ref="T112">_xlfn.IFS(AND(N112&lt;= 22, S112=9), "SOWING",AND(N112&lt;= 28, S112=9), "COVERAGE",AND(N112&lt;= 30, S112=9), "FLUSH",AND(N112&lt;= 11, S112=10), "FLUSH",AND(N112&lt;= 21, S112=10), "PRODUCTION")</f>
        <v>SOWING</v>
      </c>
      <c r="U112">
        <f>HOUR(datos_siembra[[#This Row],[Hour]])</f>
        <v>9</v>
      </c>
      <c r="V112" cm="1">
        <f t="array" ref="V112">_xlfn.IFS(AND(N112&lt;= 22, S112=9), N112-7,AND(N112&lt;= 28, S112=9), N112-25,AND(N112&lt;= 30, S112=9), N112-28,AND(N112&lt;= 11, S112=10), N112+2,AND(N112&lt;= 21, S112=10), N112-11)</f>
        <v>2</v>
      </c>
    </row>
    <row r="113" spans="1:22" x14ac:dyDescent="0.35">
      <c r="A113" s="4">
        <v>45544</v>
      </c>
      <c r="B113" s="5">
        <v>0.38672453703703702</v>
      </c>
      <c r="C113">
        <v>79.3</v>
      </c>
      <c r="D113">
        <v>81.7</v>
      </c>
      <c r="E113">
        <v>81.400000000000006</v>
      </c>
      <c r="F113">
        <v>77.5</v>
      </c>
      <c r="G113">
        <v>0</v>
      </c>
      <c r="H113">
        <v>0</v>
      </c>
      <c r="I113">
        <v>0</v>
      </c>
      <c r="J113">
        <v>0</v>
      </c>
      <c r="K113">
        <v>67.099999999999994</v>
      </c>
      <c r="L113">
        <v>65.8</v>
      </c>
      <c r="M113">
        <v>80.12</v>
      </c>
      <c r="N113">
        <v>9</v>
      </c>
      <c r="O113">
        <v>6</v>
      </c>
      <c r="P113">
        <f>MOD(DAY(datos_siembra[[#This Row],[Date]]),7)</f>
        <v>2</v>
      </c>
      <c r="Q113" t="str">
        <f>CHOOSE(WEEKDAY(datos_siembra[[#This Row],[Date]],2),"L","M","X","J","V","S","D")</f>
        <v>L</v>
      </c>
      <c r="R113">
        <f>WEEKNUM(datos_siembra[[#This Row],[Date]],2)-WEEKNUM(DATE(YEAR(datos_siembra[[#This Row],[Date]]),MONTH(datos_siembra[[#This Row],[Date]]),1))+1</f>
        <v>2</v>
      </c>
      <c r="S113">
        <f>MONTH(datos_siembra[[#This Row],[Date]])</f>
        <v>9</v>
      </c>
      <c r="T113" t="str" cm="1">
        <f t="array" ref="T113">_xlfn.IFS(AND(N113&lt;= 22, S113=9), "SOWING",AND(N113&lt;= 28, S113=9), "COVERAGE",AND(N113&lt;= 30, S113=9), "FLUSH",AND(N113&lt;= 11, S113=10), "FLUSH",AND(N113&lt;= 21, S113=10), "PRODUCTION")</f>
        <v>SOWING</v>
      </c>
      <c r="U113">
        <f>HOUR(datos_siembra[[#This Row],[Hour]])</f>
        <v>9</v>
      </c>
      <c r="V113" cm="1">
        <f t="array" ref="V113">_xlfn.IFS(AND(N113&lt;= 22, S113=9), N113-7,AND(N113&lt;= 28, S113=9), N113-25,AND(N113&lt;= 30, S113=9), N113-28,AND(N113&lt;= 11, S113=10), N113+2,AND(N113&lt;= 21, S113=10), N113-11)</f>
        <v>2</v>
      </c>
    </row>
    <row r="114" spans="1:22" x14ac:dyDescent="0.35">
      <c r="A114" s="4">
        <v>45544</v>
      </c>
      <c r="B114" s="5">
        <v>0.39366898148148149</v>
      </c>
      <c r="C114">
        <v>79.400000000000006</v>
      </c>
      <c r="D114">
        <v>81.7</v>
      </c>
      <c r="E114">
        <v>81.400000000000006</v>
      </c>
      <c r="F114">
        <v>77.5</v>
      </c>
      <c r="G114">
        <v>0</v>
      </c>
      <c r="H114">
        <v>0</v>
      </c>
      <c r="I114">
        <v>0</v>
      </c>
      <c r="J114">
        <v>0</v>
      </c>
      <c r="K114">
        <v>67.2</v>
      </c>
      <c r="L114">
        <v>65.900000000000006</v>
      </c>
      <c r="M114">
        <v>79.95</v>
      </c>
      <c r="N114">
        <v>9</v>
      </c>
      <c r="O114">
        <v>6</v>
      </c>
      <c r="P114">
        <f>MOD(DAY(datos_siembra[[#This Row],[Date]]),7)</f>
        <v>2</v>
      </c>
      <c r="Q114" t="str">
        <f>CHOOSE(WEEKDAY(datos_siembra[[#This Row],[Date]],2),"L","M","X","J","V","S","D")</f>
        <v>L</v>
      </c>
      <c r="R114">
        <f>WEEKNUM(datos_siembra[[#This Row],[Date]],2)-WEEKNUM(DATE(YEAR(datos_siembra[[#This Row],[Date]]),MONTH(datos_siembra[[#This Row],[Date]]),1))+1</f>
        <v>2</v>
      </c>
      <c r="S114">
        <f>MONTH(datos_siembra[[#This Row],[Date]])</f>
        <v>9</v>
      </c>
      <c r="T114" t="str" cm="1">
        <f t="array" ref="T114">_xlfn.IFS(AND(N114&lt;= 22, S114=9), "SOWING",AND(N114&lt;= 28, S114=9), "COVERAGE",AND(N114&lt;= 30, S114=9), "FLUSH",AND(N114&lt;= 11, S114=10), "FLUSH",AND(N114&lt;= 21, S114=10), "PRODUCTION")</f>
        <v>SOWING</v>
      </c>
      <c r="U114">
        <f>HOUR(datos_siembra[[#This Row],[Hour]])</f>
        <v>9</v>
      </c>
      <c r="V114" cm="1">
        <f t="array" ref="V114">_xlfn.IFS(AND(N114&lt;= 22, S114=9), N114-7,AND(N114&lt;= 28, S114=9), N114-25,AND(N114&lt;= 30, S114=9), N114-28,AND(N114&lt;= 11, S114=10), N114+2,AND(N114&lt;= 21, S114=10), N114-11)</f>
        <v>2</v>
      </c>
    </row>
    <row r="115" spans="1:22" x14ac:dyDescent="0.35">
      <c r="A115" s="4">
        <v>45544</v>
      </c>
      <c r="B115" s="5">
        <v>0.40062500000000001</v>
      </c>
      <c r="C115">
        <v>79.099999999999994</v>
      </c>
      <c r="D115">
        <v>82.1</v>
      </c>
      <c r="E115">
        <v>82</v>
      </c>
      <c r="F115">
        <v>77.599999999999994</v>
      </c>
      <c r="G115">
        <v>0</v>
      </c>
      <c r="H115">
        <v>0</v>
      </c>
      <c r="I115">
        <v>0</v>
      </c>
      <c r="J115">
        <v>0</v>
      </c>
      <c r="K115">
        <v>67.900000000000006</v>
      </c>
      <c r="L115">
        <v>65.599999999999994</v>
      </c>
      <c r="M115">
        <v>80.180000000000007</v>
      </c>
      <c r="N115">
        <v>9</v>
      </c>
      <c r="O115">
        <v>6</v>
      </c>
      <c r="P115">
        <f>MOD(DAY(datos_siembra[[#This Row],[Date]]),7)</f>
        <v>2</v>
      </c>
      <c r="Q115" t="str">
        <f>CHOOSE(WEEKDAY(datos_siembra[[#This Row],[Date]],2),"L","M","X","J","V","S","D")</f>
        <v>L</v>
      </c>
      <c r="R115">
        <f>WEEKNUM(datos_siembra[[#This Row],[Date]],2)-WEEKNUM(DATE(YEAR(datos_siembra[[#This Row],[Date]]),MONTH(datos_siembra[[#This Row],[Date]]),1))+1</f>
        <v>2</v>
      </c>
      <c r="S115">
        <f>MONTH(datos_siembra[[#This Row],[Date]])</f>
        <v>9</v>
      </c>
      <c r="T115" t="str" cm="1">
        <f t="array" ref="T115">_xlfn.IFS(AND(N115&lt;= 22, S115=9), "SOWING",AND(N115&lt;= 28, S115=9), "COVERAGE",AND(N115&lt;= 30, S115=9), "FLUSH",AND(N115&lt;= 11, S115=10), "FLUSH",AND(N115&lt;= 21, S115=10), "PRODUCTION")</f>
        <v>SOWING</v>
      </c>
      <c r="U115">
        <f>HOUR(datos_siembra[[#This Row],[Hour]])</f>
        <v>9</v>
      </c>
      <c r="V115" cm="1">
        <f t="array" ref="V115">_xlfn.IFS(AND(N115&lt;= 22, S115=9), N115-7,AND(N115&lt;= 28, S115=9), N115-25,AND(N115&lt;= 30, S115=9), N115-28,AND(N115&lt;= 11, S115=10), N115+2,AND(N115&lt;= 21, S115=10), N115-11)</f>
        <v>2</v>
      </c>
    </row>
    <row r="116" spans="1:22" x14ac:dyDescent="0.35">
      <c r="A116" s="4">
        <v>45544</v>
      </c>
      <c r="B116" s="5">
        <v>0.40756944444444443</v>
      </c>
      <c r="C116">
        <v>79.099999999999994</v>
      </c>
      <c r="D116">
        <v>82.2</v>
      </c>
      <c r="E116">
        <v>82.7</v>
      </c>
      <c r="F116">
        <v>77.599999999999994</v>
      </c>
      <c r="G116">
        <v>0</v>
      </c>
      <c r="H116">
        <v>0</v>
      </c>
      <c r="I116">
        <v>0</v>
      </c>
      <c r="J116">
        <v>0</v>
      </c>
      <c r="K116">
        <v>68.599999999999994</v>
      </c>
      <c r="L116">
        <v>66.2</v>
      </c>
      <c r="M116">
        <v>80.319999999999993</v>
      </c>
      <c r="N116">
        <v>9</v>
      </c>
      <c r="O116">
        <v>6</v>
      </c>
      <c r="P116">
        <f>MOD(DAY(datos_siembra[[#This Row],[Date]]),7)</f>
        <v>2</v>
      </c>
      <c r="Q116" t="str">
        <f>CHOOSE(WEEKDAY(datos_siembra[[#This Row],[Date]],2),"L","M","X","J","V","S","D")</f>
        <v>L</v>
      </c>
      <c r="R116">
        <f>WEEKNUM(datos_siembra[[#This Row],[Date]],2)-WEEKNUM(DATE(YEAR(datos_siembra[[#This Row],[Date]]),MONTH(datos_siembra[[#This Row],[Date]]),1))+1</f>
        <v>2</v>
      </c>
      <c r="S116">
        <f>MONTH(datos_siembra[[#This Row],[Date]])</f>
        <v>9</v>
      </c>
      <c r="T116" t="str" cm="1">
        <f t="array" ref="T116">_xlfn.IFS(AND(N116&lt;= 22, S116=9), "SOWING",AND(N116&lt;= 28, S116=9), "COVERAGE",AND(N116&lt;= 30, S116=9), "FLUSH",AND(N116&lt;= 11, S116=10), "FLUSH",AND(N116&lt;= 21, S116=10), "PRODUCTION")</f>
        <v>SOWING</v>
      </c>
      <c r="U116">
        <f>HOUR(datos_siembra[[#This Row],[Hour]])</f>
        <v>9</v>
      </c>
      <c r="V116" cm="1">
        <f t="array" ref="V116">_xlfn.IFS(AND(N116&lt;= 22, S116=9), N116-7,AND(N116&lt;= 28, S116=9), N116-25,AND(N116&lt;= 30, S116=9), N116-28,AND(N116&lt;= 11, S116=10), N116+2,AND(N116&lt;= 21, S116=10), N116-11)</f>
        <v>2</v>
      </c>
    </row>
    <row r="117" spans="1:22" x14ac:dyDescent="0.35">
      <c r="A117" s="4">
        <v>45544</v>
      </c>
      <c r="B117" s="5">
        <v>0.4145138888888889</v>
      </c>
      <c r="C117">
        <v>79.3</v>
      </c>
      <c r="D117">
        <v>82.3</v>
      </c>
      <c r="E117">
        <v>82.3</v>
      </c>
      <c r="F117">
        <v>77.7</v>
      </c>
      <c r="G117">
        <v>0</v>
      </c>
      <c r="H117">
        <v>0</v>
      </c>
      <c r="I117">
        <v>0</v>
      </c>
      <c r="J117">
        <v>0</v>
      </c>
      <c r="K117">
        <v>68.8</v>
      </c>
      <c r="L117">
        <v>66.599999999999994</v>
      </c>
      <c r="M117">
        <v>80.349999999999994</v>
      </c>
      <c r="N117">
        <v>9</v>
      </c>
      <c r="O117">
        <v>6</v>
      </c>
      <c r="P117">
        <f>MOD(DAY(datos_siembra[[#This Row],[Date]]),7)</f>
        <v>2</v>
      </c>
      <c r="Q117" t="str">
        <f>CHOOSE(WEEKDAY(datos_siembra[[#This Row],[Date]],2),"L","M","X","J","V","S","D")</f>
        <v>L</v>
      </c>
      <c r="R117">
        <f>WEEKNUM(datos_siembra[[#This Row],[Date]],2)-WEEKNUM(DATE(YEAR(datos_siembra[[#This Row],[Date]]),MONTH(datos_siembra[[#This Row],[Date]]),1))+1</f>
        <v>2</v>
      </c>
      <c r="S117">
        <f>MONTH(datos_siembra[[#This Row],[Date]])</f>
        <v>9</v>
      </c>
      <c r="T117" t="str" cm="1">
        <f t="array" ref="T117">_xlfn.IFS(AND(N117&lt;= 22, S117=9), "SOWING",AND(N117&lt;= 28, S117=9), "COVERAGE",AND(N117&lt;= 30, S117=9), "FLUSH",AND(N117&lt;= 11, S117=10), "FLUSH",AND(N117&lt;= 21, S117=10), "PRODUCTION")</f>
        <v>SOWING</v>
      </c>
      <c r="U117">
        <f>HOUR(datos_siembra[[#This Row],[Hour]])</f>
        <v>9</v>
      </c>
      <c r="V117" cm="1">
        <f t="array" ref="V117">_xlfn.IFS(AND(N117&lt;= 22, S117=9), N117-7,AND(N117&lt;= 28, S117=9), N117-25,AND(N117&lt;= 30, S117=9), N117-28,AND(N117&lt;= 11, S117=10), N117+2,AND(N117&lt;= 21, S117=10), N117-11)</f>
        <v>2</v>
      </c>
    </row>
    <row r="118" spans="1:22" x14ac:dyDescent="0.35">
      <c r="A118" s="4">
        <v>45544</v>
      </c>
      <c r="B118" s="5">
        <v>0.42146990740740742</v>
      </c>
      <c r="C118">
        <v>79.400000000000006</v>
      </c>
      <c r="D118">
        <v>82.5</v>
      </c>
      <c r="E118">
        <v>82.5</v>
      </c>
      <c r="F118">
        <v>77.5</v>
      </c>
      <c r="G118">
        <v>0</v>
      </c>
      <c r="H118">
        <v>0</v>
      </c>
      <c r="I118">
        <v>0</v>
      </c>
      <c r="J118">
        <v>0</v>
      </c>
      <c r="K118">
        <v>68.900000000000006</v>
      </c>
      <c r="L118">
        <v>66.599999999999994</v>
      </c>
      <c r="M118">
        <v>80.400000000000006</v>
      </c>
      <c r="N118">
        <v>9</v>
      </c>
      <c r="O118">
        <v>6</v>
      </c>
      <c r="P118">
        <f>MOD(DAY(datos_siembra[[#This Row],[Date]]),7)</f>
        <v>2</v>
      </c>
      <c r="Q118" t="str">
        <f>CHOOSE(WEEKDAY(datos_siembra[[#This Row],[Date]],2),"L","M","X","J","V","S","D")</f>
        <v>L</v>
      </c>
      <c r="R118">
        <f>WEEKNUM(datos_siembra[[#This Row],[Date]],2)-WEEKNUM(DATE(YEAR(datos_siembra[[#This Row],[Date]]),MONTH(datos_siembra[[#This Row],[Date]]),1))+1</f>
        <v>2</v>
      </c>
      <c r="S118">
        <f>MONTH(datos_siembra[[#This Row],[Date]])</f>
        <v>9</v>
      </c>
      <c r="T118" t="str" cm="1">
        <f t="array" ref="T118">_xlfn.IFS(AND(N118&lt;= 22, S118=9), "SOWING",AND(N118&lt;= 28, S118=9), "COVERAGE",AND(N118&lt;= 30, S118=9), "FLUSH",AND(N118&lt;= 11, S118=10), "FLUSH",AND(N118&lt;= 21, S118=10), "PRODUCTION")</f>
        <v>SOWING</v>
      </c>
      <c r="U118">
        <f>HOUR(datos_siembra[[#This Row],[Hour]])</f>
        <v>10</v>
      </c>
      <c r="V118" cm="1">
        <f t="array" ref="V118">_xlfn.IFS(AND(N118&lt;= 22, S118=9), N118-7,AND(N118&lt;= 28, S118=9), N118-25,AND(N118&lt;= 30, S118=9), N118-28,AND(N118&lt;= 11, S118=10), N118+2,AND(N118&lt;= 21, S118=10), N118-11)</f>
        <v>2</v>
      </c>
    </row>
    <row r="119" spans="1:22" x14ac:dyDescent="0.35">
      <c r="A119" s="4">
        <v>45544</v>
      </c>
      <c r="B119" s="5">
        <v>0.42841435185185184</v>
      </c>
      <c r="C119">
        <v>79.5</v>
      </c>
      <c r="D119">
        <v>82.5</v>
      </c>
      <c r="E119">
        <v>82.5</v>
      </c>
      <c r="F119">
        <v>77.7</v>
      </c>
      <c r="G119">
        <v>0</v>
      </c>
      <c r="H119">
        <v>0</v>
      </c>
      <c r="I119">
        <v>0</v>
      </c>
      <c r="J119">
        <v>0</v>
      </c>
      <c r="K119">
        <v>68.3</v>
      </c>
      <c r="L119">
        <v>66.8</v>
      </c>
      <c r="M119">
        <v>80.430000000000007</v>
      </c>
      <c r="N119">
        <v>9</v>
      </c>
      <c r="O119">
        <v>6</v>
      </c>
      <c r="P119">
        <f>MOD(DAY(datos_siembra[[#This Row],[Date]]),7)</f>
        <v>2</v>
      </c>
      <c r="Q119" t="str">
        <f>CHOOSE(WEEKDAY(datos_siembra[[#This Row],[Date]],2),"L","M","X","J","V","S","D")</f>
        <v>L</v>
      </c>
      <c r="R119">
        <f>WEEKNUM(datos_siembra[[#This Row],[Date]],2)-WEEKNUM(DATE(YEAR(datos_siembra[[#This Row],[Date]]),MONTH(datos_siembra[[#This Row],[Date]]),1))+1</f>
        <v>2</v>
      </c>
      <c r="S119">
        <f>MONTH(datos_siembra[[#This Row],[Date]])</f>
        <v>9</v>
      </c>
      <c r="T119" t="str" cm="1">
        <f t="array" ref="T119">_xlfn.IFS(AND(N119&lt;= 22, S119=9), "SOWING",AND(N119&lt;= 28, S119=9), "COVERAGE",AND(N119&lt;= 30, S119=9), "FLUSH",AND(N119&lt;= 11, S119=10), "FLUSH",AND(N119&lt;= 21, S119=10), "PRODUCTION")</f>
        <v>SOWING</v>
      </c>
      <c r="U119">
        <f>HOUR(datos_siembra[[#This Row],[Hour]])</f>
        <v>10</v>
      </c>
      <c r="V119" cm="1">
        <f t="array" ref="V119">_xlfn.IFS(AND(N119&lt;= 22, S119=9), N119-7,AND(N119&lt;= 28, S119=9), N119-25,AND(N119&lt;= 30, S119=9), N119-28,AND(N119&lt;= 11, S119=10), N119+2,AND(N119&lt;= 21, S119=10), N119-11)</f>
        <v>2</v>
      </c>
    </row>
    <row r="120" spans="1:22" x14ac:dyDescent="0.35">
      <c r="A120" s="4">
        <v>45544</v>
      </c>
      <c r="B120" s="5">
        <v>0.43535879629629631</v>
      </c>
      <c r="C120">
        <v>79.5</v>
      </c>
      <c r="D120">
        <v>82.5</v>
      </c>
      <c r="E120">
        <v>82</v>
      </c>
      <c r="F120">
        <v>77.7</v>
      </c>
      <c r="G120">
        <v>0</v>
      </c>
      <c r="H120">
        <v>0</v>
      </c>
      <c r="I120">
        <v>0</v>
      </c>
      <c r="J120">
        <v>0</v>
      </c>
      <c r="K120">
        <v>67.7</v>
      </c>
      <c r="L120">
        <v>66</v>
      </c>
      <c r="M120">
        <v>80.489999999999995</v>
      </c>
      <c r="N120">
        <v>9</v>
      </c>
      <c r="O120">
        <v>6</v>
      </c>
      <c r="P120">
        <f>MOD(DAY(datos_siembra[[#This Row],[Date]]),7)</f>
        <v>2</v>
      </c>
      <c r="Q120" t="str">
        <f>CHOOSE(WEEKDAY(datos_siembra[[#This Row],[Date]],2),"L","M","X","J","V","S","D")</f>
        <v>L</v>
      </c>
      <c r="R120">
        <f>WEEKNUM(datos_siembra[[#This Row],[Date]],2)-WEEKNUM(DATE(YEAR(datos_siembra[[#This Row],[Date]]),MONTH(datos_siembra[[#This Row],[Date]]),1))+1</f>
        <v>2</v>
      </c>
      <c r="S120">
        <f>MONTH(datos_siembra[[#This Row],[Date]])</f>
        <v>9</v>
      </c>
      <c r="T120" t="str" cm="1">
        <f t="array" ref="T120">_xlfn.IFS(AND(N120&lt;= 22, S120=9), "SOWING",AND(N120&lt;= 28, S120=9), "COVERAGE",AND(N120&lt;= 30, S120=9), "FLUSH",AND(N120&lt;= 11, S120=10), "FLUSH",AND(N120&lt;= 21, S120=10), "PRODUCTION")</f>
        <v>SOWING</v>
      </c>
      <c r="U120">
        <f>HOUR(datos_siembra[[#This Row],[Hour]])</f>
        <v>10</v>
      </c>
      <c r="V120" cm="1">
        <f t="array" ref="V120">_xlfn.IFS(AND(N120&lt;= 22, S120=9), N120-7,AND(N120&lt;= 28, S120=9), N120-25,AND(N120&lt;= 30, S120=9), N120-28,AND(N120&lt;= 11, S120=10), N120+2,AND(N120&lt;= 21, S120=10), N120-11)</f>
        <v>2</v>
      </c>
    </row>
    <row r="121" spans="1:22" x14ac:dyDescent="0.35">
      <c r="A121" s="4">
        <v>45544</v>
      </c>
      <c r="B121" s="5">
        <v>0.44230324074074073</v>
      </c>
      <c r="C121">
        <v>79.5</v>
      </c>
      <c r="D121">
        <v>82.4</v>
      </c>
      <c r="E121">
        <v>82.2</v>
      </c>
      <c r="F121">
        <v>77.7</v>
      </c>
      <c r="G121">
        <v>0</v>
      </c>
      <c r="H121">
        <v>0</v>
      </c>
      <c r="I121">
        <v>0</v>
      </c>
      <c r="J121">
        <v>0</v>
      </c>
      <c r="K121">
        <v>67.099999999999994</v>
      </c>
      <c r="L121">
        <v>65.400000000000006</v>
      </c>
      <c r="M121">
        <v>80.430000000000007</v>
      </c>
      <c r="N121">
        <v>9</v>
      </c>
      <c r="O121">
        <v>6</v>
      </c>
      <c r="P121">
        <f>MOD(DAY(datos_siembra[[#This Row],[Date]]),7)</f>
        <v>2</v>
      </c>
      <c r="Q121" t="str">
        <f>CHOOSE(WEEKDAY(datos_siembra[[#This Row],[Date]],2),"L","M","X","J","V","S","D")</f>
        <v>L</v>
      </c>
      <c r="R121">
        <f>WEEKNUM(datos_siembra[[#This Row],[Date]],2)-WEEKNUM(DATE(YEAR(datos_siembra[[#This Row],[Date]]),MONTH(datos_siembra[[#This Row],[Date]]),1))+1</f>
        <v>2</v>
      </c>
      <c r="S121">
        <f>MONTH(datos_siembra[[#This Row],[Date]])</f>
        <v>9</v>
      </c>
      <c r="T121" t="str" cm="1">
        <f t="array" ref="T121">_xlfn.IFS(AND(N121&lt;= 22, S121=9), "SOWING",AND(N121&lt;= 28, S121=9), "COVERAGE",AND(N121&lt;= 30, S121=9), "FLUSH",AND(N121&lt;= 11, S121=10), "FLUSH",AND(N121&lt;= 21, S121=10), "PRODUCTION")</f>
        <v>SOWING</v>
      </c>
      <c r="U121">
        <f>HOUR(datos_siembra[[#This Row],[Hour]])</f>
        <v>10</v>
      </c>
      <c r="V121" cm="1">
        <f t="array" ref="V121">_xlfn.IFS(AND(N121&lt;= 22, S121=9), N121-7,AND(N121&lt;= 28, S121=9), N121-25,AND(N121&lt;= 30, S121=9), N121-28,AND(N121&lt;= 11, S121=10), N121+2,AND(N121&lt;= 21, S121=10), N121-11)</f>
        <v>2</v>
      </c>
    </row>
    <row r="122" spans="1:22" x14ac:dyDescent="0.35">
      <c r="A122" s="4">
        <v>45544</v>
      </c>
      <c r="B122" s="5">
        <v>0.44925925925925925</v>
      </c>
      <c r="C122">
        <v>79.5</v>
      </c>
      <c r="D122">
        <v>82.3</v>
      </c>
      <c r="E122">
        <v>82.1</v>
      </c>
      <c r="F122">
        <v>77.7</v>
      </c>
      <c r="G122">
        <v>0</v>
      </c>
      <c r="H122">
        <v>0</v>
      </c>
      <c r="I122">
        <v>0</v>
      </c>
      <c r="J122">
        <v>0</v>
      </c>
      <c r="K122">
        <v>68</v>
      </c>
      <c r="L122">
        <v>65.400000000000006</v>
      </c>
      <c r="M122">
        <v>80.430000000000007</v>
      </c>
      <c r="N122">
        <v>9</v>
      </c>
      <c r="O122">
        <v>6</v>
      </c>
      <c r="P122">
        <f>MOD(DAY(datos_siembra[[#This Row],[Date]]),7)</f>
        <v>2</v>
      </c>
      <c r="Q122" t="str">
        <f>CHOOSE(WEEKDAY(datos_siembra[[#This Row],[Date]],2),"L","M","X","J","V","S","D")</f>
        <v>L</v>
      </c>
      <c r="R122">
        <f>WEEKNUM(datos_siembra[[#This Row],[Date]],2)-WEEKNUM(DATE(YEAR(datos_siembra[[#This Row],[Date]]),MONTH(datos_siembra[[#This Row],[Date]]),1))+1</f>
        <v>2</v>
      </c>
      <c r="S122">
        <f>MONTH(datos_siembra[[#This Row],[Date]])</f>
        <v>9</v>
      </c>
      <c r="T122" t="str" cm="1">
        <f t="array" ref="T122">_xlfn.IFS(AND(N122&lt;= 22, S122=9), "SOWING",AND(N122&lt;= 28, S122=9), "COVERAGE",AND(N122&lt;= 30, S122=9), "FLUSH",AND(N122&lt;= 11, S122=10), "FLUSH",AND(N122&lt;= 21, S122=10), "PRODUCTION")</f>
        <v>SOWING</v>
      </c>
      <c r="U122">
        <f>HOUR(datos_siembra[[#This Row],[Hour]])</f>
        <v>10</v>
      </c>
      <c r="V122" cm="1">
        <f t="array" ref="V122">_xlfn.IFS(AND(N122&lt;= 22, S122=9), N122-7,AND(N122&lt;= 28, S122=9), N122-25,AND(N122&lt;= 30, S122=9), N122-28,AND(N122&lt;= 11, S122=10), N122+2,AND(N122&lt;= 21, S122=10), N122-11)</f>
        <v>2</v>
      </c>
    </row>
    <row r="123" spans="1:22" x14ac:dyDescent="0.35">
      <c r="A123" s="4">
        <v>45544</v>
      </c>
      <c r="B123" s="5">
        <v>0.45620370370370372</v>
      </c>
      <c r="C123">
        <v>79.5</v>
      </c>
      <c r="D123">
        <v>82.3</v>
      </c>
      <c r="E123">
        <v>82.5</v>
      </c>
      <c r="F123">
        <v>77.599999999999994</v>
      </c>
      <c r="G123">
        <v>0</v>
      </c>
      <c r="H123">
        <v>0</v>
      </c>
      <c r="I123">
        <v>0</v>
      </c>
      <c r="J123">
        <v>0</v>
      </c>
      <c r="K123">
        <v>68.7</v>
      </c>
      <c r="L123">
        <v>66.3</v>
      </c>
      <c r="M123">
        <v>80.400000000000006</v>
      </c>
      <c r="N123">
        <v>9</v>
      </c>
      <c r="O123">
        <v>6</v>
      </c>
      <c r="P123">
        <f>MOD(DAY(datos_siembra[[#This Row],[Date]]),7)</f>
        <v>2</v>
      </c>
      <c r="Q123" t="str">
        <f>CHOOSE(WEEKDAY(datos_siembra[[#This Row],[Date]],2),"L","M","X","J","V","S","D")</f>
        <v>L</v>
      </c>
      <c r="R123">
        <f>WEEKNUM(datos_siembra[[#This Row],[Date]],2)-WEEKNUM(DATE(YEAR(datos_siembra[[#This Row],[Date]]),MONTH(datos_siembra[[#This Row],[Date]]),1))+1</f>
        <v>2</v>
      </c>
      <c r="S123">
        <f>MONTH(datos_siembra[[#This Row],[Date]])</f>
        <v>9</v>
      </c>
      <c r="T123" t="str" cm="1">
        <f t="array" ref="T123">_xlfn.IFS(AND(N123&lt;= 22, S123=9), "SOWING",AND(N123&lt;= 28, S123=9), "COVERAGE",AND(N123&lt;= 30, S123=9), "FLUSH",AND(N123&lt;= 11, S123=10), "FLUSH",AND(N123&lt;= 21, S123=10), "PRODUCTION")</f>
        <v>SOWING</v>
      </c>
      <c r="U123">
        <f>HOUR(datos_siembra[[#This Row],[Hour]])</f>
        <v>10</v>
      </c>
      <c r="V123" cm="1">
        <f t="array" ref="V123">_xlfn.IFS(AND(N123&lt;= 22, S123=9), N123-7,AND(N123&lt;= 28, S123=9), N123-25,AND(N123&lt;= 30, S123=9), N123-28,AND(N123&lt;= 11, S123=10), N123+2,AND(N123&lt;= 21, S123=10), N123-11)</f>
        <v>2</v>
      </c>
    </row>
    <row r="124" spans="1:22" x14ac:dyDescent="0.35">
      <c r="A124" s="4">
        <v>45544</v>
      </c>
      <c r="B124" s="5">
        <v>0.46314814814814814</v>
      </c>
      <c r="C124">
        <v>79.5</v>
      </c>
      <c r="D124">
        <v>82.3</v>
      </c>
      <c r="E124">
        <v>82</v>
      </c>
      <c r="F124">
        <v>77.7</v>
      </c>
      <c r="G124">
        <v>0</v>
      </c>
      <c r="H124">
        <v>0</v>
      </c>
      <c r="I124">
        <v>0</v>
      </c>
      <c r="J124">
        <v>0</v>
      </c>
      <c r="K124">
        <v>68.900000000000006</v>
      </c>
      <c r="L124">
        <v>66.599999999999994</v>
      </c>
      <c r="M124">
        <v>80.400000000000006</v>
      </c>
      <c r="N124">
        <v>9</v>
      </c>
      <c r="O124">
        <v>6</v>
      </c>
      <c r="P124">
        <f>MOD(DAY(datos_siembra[[#This Row],[Date]]),7)</f>
        <v>2</v>
      </c>
      <c r="Q124" t="str">
        <f>CHOOSE(WEEKDAY(datos_siembra[[#This Row],[Date]],2),"L","M","X","J","V","S","D")</f>
        <v>L</v>
      </c>
      <c r="R124">
        <f>WEEKNUM(datos_siembra[[#This Row],[Date]],2)-WEEKNUM(DATE(YEAR(datos_siembra[[#This Row],[Date]]),MONTH(datos_siembra[[#This Row],[Date]]),1))+1</f>
        <v>2</v>
      </c>
      <c r="S124">
        <f>MONTH(datos_siembra[[#This Row],[Date]])</f>
        <v>9</v>
      </c>
      <c r="T124" t="str" cm="1">
        <f t="array" ref="T124">_xlfn.IFS(AND(N124&lt;= 22, S124=9), "SOWING",AND(N124&lt;= 28, S124=9), "COVERAGE",AND(N124&lt;= 30, S124=9), "FLUSH",AND(N124&lt;= 11, S124=10), "FLUSH",AND(N124&lt;= 21, S124=10), "PRODUCTION")</f>
        <v>SOWING</v>
      </c>
      <c r="U124">
        <f>HOUR(datos_siembra[[#This Row],[Hour]])</f>
        <v>11</v>
      </c>
      <c r="V124" cm="1">
        <f t="array" ref="V124">_xlfn.IFS(AND(N124&lt;= 22, S124=9), N124-7,AND(N124&lt;= 28, S124=9), N124-25,AND(N124&lt;= 30, S124=9), N124-28,AND(N124&lt;= 11, S124=10), N124+2,AND(N124&lt;= 21, S124=10), N124-11)</f>
        <v>2</v>
      </c>
    </row>
    <row r="125" spans="1:22" x14ac:dyDescent="0.35">
      <c r="A125" s="4">
        <v>45544</v>
      </c>
      <c r="B125" s="5">
        <v>0.47010416666666666</v>
      </c>
      <c r="C125">
        <v>79.7</v>
      </c>
      <c r="D125">
        <v>82.4</v>
      </c>
      <c r="E125">
        <v>82.2</v>
      </c>
      <c r="F125">
        <v>77.8</v>
      </c>
      <c r="G125">
        <v>0</v>
      </c>
      <c r="H125">
        <v>0</v>
      </c>
      <c r="I125">
        <v>0</v>
      </c>
      <c r="J125">
        <v>0</v>
      </c>
      <c r="K125">
        <v>69</v>
      </c>
      <c r="L125">
        <v>66.7</v>
      </c>
      <c r="M125">
        <v>80.52</v>
      </c>
      <c r="N125">
        <v>9</v>
      </c>
      <c r="O125">
        <v>6</v>
      </c>
      <c r="P125">
        <f>MOD(DAY(datos_siembra[[#This Row],[Date]]),7)</f>
        <v>2</v>
      </c>
      <c r="Q125" t="str">
        <f>CHOOSE(WEEKDAY(datos_siembra[[#This Row],[Date]],2),"L","M","X","J","V","S","D")</f>
        <v>L</v>
      </c>
      <c r="R125">
        <f>WEEKNUM(datos_siembra[[#This Row],[Date]],2)-WEEKNUM(DATE(YEAR(datos_siembra[[#This Row],[Date]]),MONTH(datos_siembra[[#This Row],[Date]]),1))+1</f>
        <v>2</v>
      </c>
      <c r="S125">
        <f>MONTH(datos_siembra[[#This Row],[Date]])</f>
        <v>9</v>
      </c>
      <c r="T125" t="str" cm="1">
        <f t="array" ref="T125">_xlfn.IFS(AND(N125&lt;= 22, S125=9), "SOWING",AND(N125&lt;= 28, S125=9), "COVERAGE",AND(N125&lt;= 30, S125=9), "FLUSH",AND(N125&lt;= 11, S125=10), "FLUSH",AND(N125&lt;= 21, S125=10), "PRODUCTION")</f>
        <v>SOWING</v>
      </c>
      <c r="U125">
        <f>HOUR(datos_siembra[[#This Row],[Hour]])</f>
        <v>11</v>
      </c>
      <c r="V125" cm="1">
        <f t="array" ref="V125">_xlfn.IFS(AND(N125&lt;= 22, S125=9), N125-7,AND(N125&lt;= 28, S125=9), N125-25,AND(N125&lt;= 30, S125=9), N125-28,AND(N125&lt;= 11, S125=10), N125+2,AND(N125&lt;= 21, S125=10), N125-11)</f>
        <v>2</v>
      </c>
    </row>
    <row r="126" spans="1:22" x14ac:dyDescent="0.35">
      <c r="A126" s="4">
        <v>45544</v>
      </c>
      <c r="B126" s="5">
        <v>0.47704861111111113</v>
      </c>
      <c r="C126">
        <v>79.7</v>
      </c>
      <c r="D126">
        <v>82.3</v>
      </c>
      <c r="E126">
        <v>82.2</v>
      </c>
      <c r="F126">
        <v>77.7</v>
      </c>
      <c r="G126">
        <v>0</v>
      </c>
      <c r="H126">
        <v>0</v>
      </c>
      <c r="I126">
        <v>0</v>
      </c>
      <c r="J126">
        <v>0</v>
      </c>
      <c r="K126">
        <v>69.099999999999994</v>
      </c>
      <c r="L126">
        <v>67.900000000000006</v>
      </c>
      <c r="M126">
        <v>80.459999999999994</v>
      </c>
      <c r="N126">
        <v>9</v>
      </c>
      <c r="O126">
        <v>6</v>
      </c>
      <c r="P126">
        <f>MOD(DAY(datos_siembra[[#This Row],[Date]]),7)</f>
        <v>2</v>
      </c>
      <c r="Q126" t="str">
        <f>CHOOSE(WEEKDAY(datos_siembra[[#This Row],[Date]],2),"L","M","X","J","V","S","D")</f>
        <v>L</v>
      </c>
      <c r="R126">
        <f>WEEKNUM(datos_siembra[[#This Row],[Date]],2)-WEEKNUM(DATE(YEAR(datos_siembra[[#This Row],[Date]]),MONTH(datos_siembra[[#This Row],[Date]]),1))+1</f>
        <v>2</v>
      </c>
      <c r="S126">
        <f>MONTH(datos_siembra[[#This Row],[Date]])</f>
        <v>9</v>
      </c>
      <c r="T126" t="str" cm="1">
        <f t="array" ref="T126">_xlfn.IFS(AND(N126&lt;= 22, S126=9), "SOWING",AND(N126&lt;= 28, S126=9), "COVERAGE",AND(N126&lt;= 30, S126=9), "FLUSH",AND(N126&lt;= 11, S126=10), "FLUSH",AND(N126&lt;= 21, S126=10), "PRODUCTION")</f>
        <v>SOWING</v>
      </c>
      <c r="U126">
        <f>HOUR(datos_siembra[[#This Row],[Hour]])</f>
        <v>11</v>
      </c>
      <c r="V126" cm="1">
        <f t="array" ref="V126">_xlfn.IFS(AND(N126&lt;= 22, S126=9), N126-7,AND(N126&lt;= 28, S126=9), N126-25,AND(N126&lt;= 30, S126=9), N126-28,AND(N126&lt;= 11, S126=10), N126+2,AND(N126&lt;= 21, S126=10), N126-11)</f>
        <v>2</v>
      </c>
    </row>
    <row r="127" spans="1:22" x14ac:dyDescent="0.35">
      <c r="A127" s="4">
        <v>45544</v>
      </c>
      <c r="B127" s="5">
        <v>0.52565972222222224</v>
      </c>
      <c r="C127">
        <v>79.599999999999994</v>
      </c>
      <c r="D127">
        <v>82.4</v>
      </c>
      <c r="E127">
        <v>82.1</v>
      </c>
      <c r="F127">
        <v>77.8</v>
      </c>
      <c r="G127">
        <v>0</v>
      </c>
      <c r="H127">
        <v>0</v>
      </c>
      <c r="I127">
        <v>0</v>
      </c>
      <c r="J127">
        <v>0</v>
      </c>
      <c r="K127">
        <v>68</v>
      </c>
      <c r="L127">
        <v>66.2</v>
      </c>
      <c r="M127">
        <v>80.489999999999995</v>
      </c>
      <c r="N127">
        <v>9</v>
      </c>
      <c r="O127">
        <v>6</v>
      </c>
      <c r="P127">
        <f>MOD(DAY(datos_siembra[[#This Row],[Date]]),7)</f>
        <v>2</v>
      </c>
      <c r="Q127" t="str">
        <f>CHOOSE(WEEKDAY(datos_siembra[[#This Row],[Date]],2),"L","M","X","J","V","S","D")</f>
        <v>L</v>
      </c>
      <c r="R127">
        <f>WEEKNUM(datos_siembra[[#This Row],[Date]],2)-WEEKNUM(DATE(YEAR(datos_siembra[[#This Row],[Date]]),MONTH(datos_siembra[[#This Row],[Date]]),1))+1</f>
        <v>2</v>
      </c>
      <c r="S127">
        <f>MONTH(datos_siembra[[#This Row],[Date]])</f>
        <v>9</v>
      </c>
      <c r="T127" t="str" cm="1">
        <f t="array" ref="T127">_xlfn.IFS(AND(N127&lt;= 22, S127=9), "SOWING",AND(N127&lt;= 28, S127=9), "COVERAGE",AND(N127&lt;= 30, S127=9), "FLUSH",AND(N127&lt;= 11, S127=10), "FLUSH",AND(N127&lt;= 21, S127=10), "PRODUCTION")</f>
        <v>SOWING</v>
      </c>
      <c r="U127">
        <f>HOUR(datos_siembra[[#This Row],[Hour]])</f>
        <v>12</v>
      </c>
      <c r="V127" cm="1">
        <f t="array" ref="V127">_xlfn.IFS(AND(N127&lt;= 22, S127=9), N127-7,AND(N127&lt;= 28, S127=9), N127-25,AND(N127&lt;= 30, S127=9), N127-28,AND(N127&lt;= 11, S127=10), N127+2,AND(N127&lt;= 21, S127=10), N127-11)</f>
        <v>2</v>
      </c>
    </row>
    <row r="128" spans="1:22" x14ac:dyDescent="0.35">
      <c r="A128" s="4">
        <v>45544</v>
      </c>
      <c r="B128" s="5">
        <v>0.53260416666666666</v>
      </c>
      <c r="C128">
        <v>79.7</v>
      </c>
      <c r="D128">
        <v>82.4</v>
      </c>
      <c r="E128">
        <v>82.4</v>
      </c>
      <c r="F128">
        <v>77.8</v>
      </c>
      <c r="G128">
        <v>0</v>
      </c>
      <c r="H128">
        <v>0</v>
      </c>
      <c r="I128">
        <v>0</v>
      </c>
      <c r="J128">
        <v>0</v>
      </c>
      <c r="K128">
        <v>67.599999999999994</v>
      </c>
      <c r="L128">
        <v>65.8</v>
      </c>
      <c r="M128">
        <v>80.66</v>
      </c>
      <c r="N128">
        <v>9</v>
      </c>
      <c r="O128">
        <v>6</v>
      </c>
      <c r="P128">
        <f>MOD(DAY(datos_siembra[[#This Row],[Date]]),7)</f>
        <v>2</v>
      </c>
      <c r="Q128" t="str">
        <f>CHOOSE(WEEKDAY(datos_siembra[[#This Row],[Date]],2),"L","M","X","J","V","S","D")</f>
        <v>L</v>
      </c>
      <c r="R128">
        <f>WEEKNUM(datos_siembra[[#This Row],[Date]],2)-WEEKNUM(DATE(YEAR(datos_siembra[[#This Row],[Date]]),MONTH(datos_siembra[[#This Row],[Date]]),1))+1</f>
        <v>2</v>
      </c>
      <c r="S128">
        <f>MONTH(datos_siembra[[#This Row],[Date]])</f>
        <v>9</v>
      </c>
      <c r="T128" t="str" cm="1">
        <f t="array" ref="T128">_xlfn.IFS(AND(N128&lt;= 22, S128=9), "SOWING",AND(N128&lt;= 28, S128=9), "COVERAGE",AND(N128&lt;= 30, S128=9), "FLUSH",AND(N128&lt;= 11, S128=10), "FLUSH",AND(N128&lt;= 21, S128=10), "PRODUCTION")</f>
        <v>SOWING</v>
      </c>
      <c r="U128">
        <f>HOUR(datos_siembra[[#This Row],[Hour]])</f>
        <v>12</v>
      </c>
      <c r="V128" cm="1">
        <f t="array" ref="V128">_xlfn.IFS(AND(N128&lt;= 22, S128=9), N128-7,AND(N128&lt;= 28, S128=9), N128-25,AND(N128&lt;= 30, S128=9), N128-28,AND(N128&lt;= 11, S128=10), N128+2,AND(N128&lt;= 21, S128=10), N128-11)</f>
        <v>2</v>
      </c>
    </row>
    <row r="129" spans="1:22" x14ac:dyDescent="0.35">
      <c r="A129" s="4">
        <v>45544</v>
      </c>
      <c r="B129" s="5">
        <v>0.53956018518518523</v>
      </c>
      <c r="C129">
        <v>79.599999999999994</v>
      </c>
      <c r="D129">
        <v>82.4</v>
      </c>
      <c r="E129">
        <v>82.3</v>
      </c>
      <c r="F129">
        <v>78</v>
      </c>
      <c r="G129">
        <v>0</v>
      </c>
      <c r="H129">
        <v>0</v>
      </c>
      <c r="I129">
        <v>0</v>
      </c>
      <c r="J129">
        <v>0</v>
      </c>
      <c r="K129">
        <v>67.3</v>
      </c>
      <c r="L129">
        <v>65.5</v>
      </c>
      <c r="M129">
        <v>80.540000000000006</v>
      </c>
      <c r="N129">
        <v>9</v>
      </c>
      <c r="O129">
        <v>6</v>
      </c>
      <c r="P129">
        <f>MOD(DAY(datos_siembra[[#This Row],[Date]]),7)</f>
        <v>2</v>
      </c>
      <c r="Q129" t="str">
        <f>CHOOSE(WEEKDAY(datos_siembra[[#This Row],[Date]],2),"L","M","X","J","V","S","D")</f>
        <v>L</v>
      </c>
      <c r="R129">
        <f>WEEKNUM(datos_siembra[[#This Row],[Date]],2)-WEEKNUM(DATE(YEAR(datos_siembra[[#This Row],[Date]]),MONTH(datos_siembra[[#This Row],[Date]]),1))+1</f>
        <v>2</v>
      </c>
      <c r="S129">
        <f>MONTH(datos_siembra[[#This Row],[Date]])</f>
        <v>9</v>
      </c>
      <c r="T129" t="str" cm="1">
        <f t="array" ref="T129">_xlfn.IFS(AND(N129&lt;= 22, S129=9), "SOWING",AND(N129&lt;= 28, S129=9), "COVERAGE",AND(N129&lt;= 30, S129=9), "FLUSH",AND(N129&lt;= 11, S129=10), "FLUSH",AND(N129&lt;= 21, S129=10), "PRODUCTION")</f>
        <v>SOWING</v>
      </c>
      <c r="U129">
        <f>HOUR(datos_siembra[[#This Row],[Hour]])</f>
        <v>12</v>
      </c>
      <c r="V129" cm="1">
        <f t="array" ref="V129">_xlfn.IFS(AND(N129&lt;= 22, S129=9), N129-7,AND(N129&lt;= 28, S129=9), N129-25,AND(N129&lt;= 30, S129=9), N129-28,AND(N129&lt;= 11, S129=10), N129+2,AND(N129&lt;= 21, S129=10), N129-11)</f>
        <v>2</v>
      </c>
    </row>
    <row r="130" spans="1:22" x14ac:dyDescent="0.35">
      <c r="A130" s="4">
        <v>45544</v>
      </c>
      <c r="B130" s="5">
        <v>0.54650462962962965</v>
      </c>
      <c r="C130">
        <v>79.599999999999994</v>
      </c>
      <c r="D130">
        <v>82.4</v>
      </c>
      <c r="E130">
        <v>82.4</v>
      </c>
      <c r="F130">
        <v>77.7</v>
      </c>
      <c r="G130">
        <v>0</v>
      </c>
      <c r="H130">
        <v>0</v>
      </c>
      <c r="I130">
        <v>0</v>
      </c>
      <c r="J130">
        <v>0</v>
      </c>
      <c r="K130">
        <v>68.099999999999994</v>
      </c>
      <c r="L130">
        <v>66.8</v>
      </c>
      <c r="M130">
        <v>80.430000000000007</v>
      </c>
      <c r="N130">
        <v>9</v>
      </c>
      <c r="O130">
        <v>6</v>
      </c>
      <c r="P130">
        <f>MOD(DAY(datos_siembra[[#This Row],[Date]]),7)</f>
        <v>2</v>
      </c>
      <c r="Q130" t="str">
        <f>CHOOSE(WEEKDAY(datos_siembra[[#This Row],[Date]],2),"L","M","X","J","V","S","D")</f>
        <v>L</v>
      </c>
      <c r="R130">
        <f>WEEKNUM(datos_siembra[[#This Row],[Date]],2)-WEEKNUM(DATE(YEAR(datos_siembra[[#This Row],[Date]]),MONTH(datos_siembra[[#This Row],[Date]]),1))+1</f>
        <v>2</v>
      </c>
      <c r="S130">
        <f>MONTH(datos_siembra[[#This Row],[Date]])</f>
        <v>9</v>
      </c>
      <c r="T130" t="str" cm="1">
        <f t="array" ref="T130">_xlfn.IFS(AND(N130&lt;= 22, S130=9), "SOWING",AND(N130&lt;= 28, S130=9), "COVERAGE",AND(N130&lt;= 30, S130=9), "FLUSH",AND(N130&lt;= 11, S130=10), "FLUSH",AND(N130&lt;= 21, S130=10), "PRODUCTION")</f>
        <v>SOWING</v>
      </c>
      <c r="U130">
        <f>HOUR(datos_siembra[[#This Row],[Hour]])</f>
        <v>13</v>
      </c>
      <c r="V130" cm="1">
        <f t="array" ref="V130">_xlfn.IFS(AND(N130&lt;= 22, S130=9), N130-7,AND(N130&lt;= 28, S130=9), N130-25,AND(N130&lt;= 30, S130=9), N130-28,AND(N130&lt;= 11, S130=10), N130+2,AND(N130&lt;= 21, S130=10), N130-11)</f>
        <v>2</v>
      </c>
    </row>
    <row r="131" spans="1:22" x14ac:dyDescent="0.35">
      <c r="A131" s="4">
        <v>45544</v>
      </c>
      <c r="B131" s="5">
        <v>0.55344907407407407</v>
      </c>
      <c r="C131">
        <v>79.7</v>
      </c>
      <c r="D131">
        <v>82.4</v>
      </c>
      <c r="E131">
        <v>82.3</v>
      </c>
      <c r="F131">
        <v>77.7</v>
      </c>
      <c r="G131">
        <v>0</v>
      </c>
      <c r="H131">
        <v>0</v>
      </c>
      <c r="I131">
        <v>0</v>
      </c>
      <c r="J131">
        <v>0</v>
      </c>
      <c r="K131">
        <v>68.900000000000006</v>
      </c>
      <c r="L131">
        <v>66.5</v>
      </c>
      <c r="M131">
        <v>80.66</v>
      </c>
      <c r="N131">
        <v>9</v>
      </c>
      <c r="O131">
        <v>6</v>
      </c>
      <c r="P131">
        <f>MOD(DAY(datos_siembra[[#This Row],[Date]]),7)</f>
        <v>2</v>
      </c>
      <c r="Q131" t="str">
        <f>CHOOSE(WEEKDAY(datos_siembra[[#This Row],[Date]],2),"L","M","X","J","V","S","D")</f>
        <v>L</v>
      </c>
      <c r="R131">
        <f>WEEKNUM(datos_siembra[[#This Row],[Date]],2)-WEEKNUM(DATE(YEAR(datos_siembra[[#This Row],[Date]]),MONTH(datos_siembra[[#This Row],[Date]]),1))+1</f>
        <v>2</v>
      </c>
      <c r="S131">
        <f>MONTH(datos_siembra[[#This Row],[Date]])</f>
        <v>9</v>
      </c>
      <c r="T131" t="str" cm="1">
        <f t="array" ref="T131">_xlfn.IFS(AND(N131&lt;= 22, S131=9), "SOWING",AND(N131&lt;= 28, S131=9), "COVERAGE",AND(N131&lt;= 30, S131=9), "FLUSH",AND(N131&lt;= 11, S131=10), "FLUSH",AND(N131&lt;= 21, S131=10), "PRODUCTION")</f>
        <v>SOWING</v>
      </c>
      <c r="U131">
        <f>HOUR(datos_siembra[[#This Row],[Hour]])</f>
        <v>13</v>
      </c>
      <c r="V131" cm="1">
        <f t="array" ref="V131">_xlfn.IFS(AND(N131&lt;= 22, S131=9), N131-7,AND(N131&lt;= 28, S131=9), N131-25,AND(N131&lt;= 30, S131=9), N131-28,AND(N131&lt;= 11, S131=10), N131+2,AND(N131&lt;= 21, S131=10), N131-11)</f>
        <v>2</v>
      </c>
    </row>
    <row r="132" spans="1:22" x14ac:dyDescent="0.35">
      <c r="A132" s="4">
        <v>45544</v>
      </c>
      <c r="B132" s="5">
        <v>0.56040509259259264</v>
      </c>
      <c r="C132">
        <v>79.7</v>
      </c>
      <c r="D132">
        <v>82.5</v>
      </c>
      <c r="E132">
        <v>82.3</v>
      </c>
      <c r="F132">
        <v>77.8</v>
      </c>
      <c r="G132">
        <v>0</v>
      </c>
      <c r="H132">
        <v>0</v>
      </c>
      <c r="I132">
        <v>0</v>
      </c>
      <c r="J132">
        <v>0</v>
      </c>
      <c r="K132">
        <v>69</v>
      </c>
      <c r="L132">
        <v>67.599999999999994</v>
      </c>
      <c r="M132">
        <v>80.599999999999994</v>
      </c>
      <c r="N132">
        <v>9</v>
      </c>
      <c r="O132">
        <v>6</v>
      </c>
      <c r="P132">
        <f>MOD(DAY(datos_siembra[[#This Row],[Date]]),7)</f>
        <v>2</v>
      </c>
      <c r="Q132" t="str">
        <f>CHOOSE(WEEKDAY(datos_siembra[[#This Row],[Date]],2),"L","M","X","J","V","S","D")</f>
        <v>L</v>
      </c>
      <c r="R132">
        <f>WEEKNUM(datos_siembra[[#This Row],[Date]],2)-WEEKNUM(DATE(YEAR(datos_siembra[[#This Row],[Date]]),MONTH(datos_siembra[[#This Row],[Date]]),1))+1</f>
        <v>2</v>
      </c>
      <c r="S132">
        <f>MONTH(datos_siembra[[#This Row],[Date]])</f>
        <v>9</v>
      </c>
      <c r="T132" t="str" cm="1">
        <f t="array" ref="T132">_xlfn.IFS(AND(N132&lt;= 22, S132=9), "SOWING",AND(N132&lt;= 28, S132=9), "COVERAGE",AND(N132&lt;= 30, S132=9), "FLUSH",AND(N132&lt;= 11, S132=10), "FLUSH",AND(N132&lt;= 21, S132=10), "PRODUCTION")</f>
        <v>SOWING</v>
      </c>
      <c r="U132">
        <f>HOUR(datos_siembra[[#This Row],[Hour]])</f>
        <v>13</v>
      </c>
      <c r="V132" cm="1">
        <f t="array" ref="V132">_xlfn.IFS(AND(N132&lt;= 22, S132=9), N132-7,AND(N132&lt;= 28, S132=9), N132-25,AND(N132&lt;= 30, S132=9), N132-28,AND(N132&lt;= 11, S132=10), N132+2,AND(N132&lt;= 21, S132=10), N132-11)</f>
        <v>2</v>
      </c>
    </row>
    <row r="133" spans="1:22" x14ac:dyDescent="0.35">
      <c r="A133" s="4">
        <v>45544</v>
      </c>
      <c r="B133" s="5">
        <v>0.56734953703703705</v>
      </c>
      <c r="C133">
        <v>79.599999999999994</v>
      </c>
      <c r="D133">
        <v>82.4</v>
      </c>
      <c r="E133">
        <v>82.5</v>
      </c>
      <c r="F133">
        <v>77.900000000000006</v>
      </c>
      <c r="G133">
        <v>0</v>
      </c>
      <c r="H133">
        <v>0</v>
      </c>
      <c r="I133">
        <v>0</v>
      </c>
      <c r="J133">
        <v>0</v>
      </c>
      <c r="K133">
        <v>67.400000000000006</v>
      </c>
      <c r="L133">
        <v>65.8</v>
      </c>
      <c r="M133">
        <v>80.459999999999994</v>
      </c>
      <c r="N133">
        <v>9</v>
      </c>
      <c r="O133">
        <v>6</v>
      </c>
      <c r="P133">
        <f>MOD(DAY(datos_siembra[[#This Row],[Date]]),7)</f>
        <v>2</v>
      </c>
      <c r="Q133" t="str">
        <f>CHOOSE(WEEKDAY(datos_siembra[[#This Row],[Date]],2),"L","M","X","J","V","S","D")</f>
        <v>L</v>
      </c>
      <c r="R133">
        <f>WEEKNUM(datos_siembra[[#This Row],[Date]],2)-WEEKNUM(DATE(YEAR(datos_siembra[[#This Row],[Date]]),MONTH(datos_siembra[[#This Row],[Date]]),1))+1</f>
        <v>2</v>
      </c>
      <c r="S133">
        <f>MONTH(datos_siembra[[#This Row],[Date]])</f>
        <v>9</v>
      </c>
      <c r="T133" t="str" cm="1">
        <f t="array" ref="T133">_xlfn.IFS(AND(N133&lt;= 22, S133=9), "SOWING",AND(N133&lt;= 28, S133=9), "COVERAGE",AND(N133&lt;= 30, S133=9), "FLUSH",AND(N133&lt;= 11, S133=10), "FLUSH",AND(N133&lt;= 21, S133=10), "PRODUCTION")</f>
        <v>SOWING</v>
      </c>
      <c r="U133">
        <f>HOUR(datos_siembra[[#This Row],[Hour]])</f>
        <v>13</v>
      </c>
      <c r="V133" cm="1">
        <f t="array" ref="V133">_xlfn.IFS(AND(N133&lt;= 22, S133=9), N133-7,AND(N133&lt;= 28, S133=9), N133-25,AND(N133&lt;= 30, S133=9), N133-28,AND(N133&lt;= 11, S133=10), N133+2,AND(N133&lt;= 21, S133=10), N133-11)</f>
        <v>2</v>
      </c>
    </row>
    <row r="134" spans="1:22" x14ac:dyDescent="0.35">
      <c r="A134" s="4">
        <v>45544</v>
      </c>
      <c r="B134" s="5">
        <v>0.57429398148148147</v>
      </c>
      <c r="C134">
        <v>79.599999999999994</v>
      </c>
      <c r="D134">
        <v>82.4</v>
      </c>
      <c r="E134">
        <v>82.3</v>
      </c>
      <c r="F134">
        <v>77.8</v>
      </c>
      <c r="G134">
        <v>0</v>
      </c>
      <c r="H134">
        <v>0</v>
      </c>
      <c r="I134">
        <v>0</v>
      </c>
      <c r="J134">
        <v>0</v>
      </c>
      <c r="K134">
        <v>67.099999999999994</v>
      </c>
      <c r="L134">
        <v>65.3</v>
      </c>
      <c r="M134">
        <v>80.430000000000007</v>
      </c>
      <c r="N134">
        <v>9</v>
      </c>
      <c r="O134">
        <v>6</v>
      </c>
      <c r="P134">
        <f>MOD(DAY(datos_siembra[[#This Row],[Date]]),7)</f>
        <v>2</v>
      </c>
      <c r="Q134" t="str">
        <f>CHOOSE(WEEKDAY(datos_siembra[[#This Row],[Date]],2),"L","M","X","J","V","S","D")</f>
        <v>L</v>
      </c>
      <c r="R134">
        <f>WEEKNUM(datos_siembra[[#This Row],[Date]],2)-WEEKNUM(DATE(YEAR(datos_siembra[[#This Row],[Date]]),MONTH(datos_siembra[[#This Row],[Date]]),1))+1</f>
        <v>2</v>
      </c>
      <c r="S134">
        <f>MONTH(datos_siembra[[#This Row],[Date]])</f>
        <v>9</v>
      </c>
      <c r="T134" t="str" cm="1">
        <f t="array" ref="T134">_xlfn.IFS(AND(N134&lt;= 22, S134=9), "SOWING",AND(N134&lt;= 28, S134=9), "COVERAGE",AND(N134&lt;= 30, S134=9), "FLUSH",AND(N134&lt;= 11, S134=10), "FLUSH",AND(N134&lt;= 21, S134=10), "PRODUCTION")</f>
        <v>SOWING</v>
      </c>
      <c r="U134">
        <f>HOUR(datos_siembra[[#This Row],[Hour]])</f>
        <v>13</v>
      </c>
      <c r="V134" cm="1">
        <f t="array" ref="V134">_xlfn.IFS(AND(N134&lt;= 22, S134=9), N134-7,AND(N134&lt;= 28, S134=9), N134-25,AND(N134&lt;= 30, S134=9), N134-28,AND(N134&lt;= 11, S134=10), N134+2,AND(N134&lt;= 21, S134=10), N134-11)</f>
        <v>2</v>
      </c>
    </row>
    <row r="135" spans="1:22" x14ac:dyDescent="0.35">
      <c r="A135" s="4">
        <v>45544</v>
      </c>
      <c r="B135" s="5">
        <v>0.58125000000000004</v>
      </c>
      <c r="C135">
        <v>79.599999999999994</v>
      </c>
      <c r="D135">
        <v>82.4</v>
      </c>
      <c r="E135">
        <v>82.3</v>
      </c>
      <c r="F135">
        <v>77.900000000000006</v>
      </c>
      <c r="G135">
        <v>0</v>
      </c>
      <c r="H135">
        <v>0</v>
      </c>
      <c r="I135">
        <v>0</v>
      </c>
      <c r="J135">
        <v>0</v>
      </c>
      <c r="K135">
        <v>67.7</v>
      </c>
      <c r="L135">
        <v>65.099999999999994</v>
      </c>
      <c r="M135">
        <v>80.540000000000006</v>
      </c>
      <c r="N135">
        <v>9</v>
      </c>
      <c r="O135">
        <v>6</v>
      </c>
      <c r="P135">
        <f>MOD(DAY(datos_siembra[[#This Row],[Date]]),7)</f>
        <v>2</v>
      </c>
      <c r="Q135" t="str">
        <f>CHOOSE(WEEKDAY(datos_siembra[[#This Row],[Date]],2),"L","M","X","J","V","S","D")</f>
        <v>L</v>
      </c>
      <c r="R135">
        <f>WEEKNUM(datos_siembra[[#This Row],[Date]],2)-WEEKNUM(DATE(YEAR(datos_siembra[[#This Row],[Date]]),MONTH(datos_siembra[[#This Row],[Date]]),1))+1</f>
        <v>2</v>
      </c>
      <c r="S135">
        <f>MONTH(datos_siembra[[#This Row],[Date]])</f>
        <v>9</v>
      </c>
      <c r="T135" t="str" cm="1">
        <f t="array" ref="T135">_xlfn.IFS(AND(N135&lt;= 22, S135=9), "SOWING",AND(N135&lt;= 28, S135=9), "COVERAGE",AND(N135&lt;= 30, S135=9), "FLUSH",AND(N135&lt;= 11, S135=10), "FLUSH",AND(N135&lt;= 21, S135=10), "PRODUCTION")</f>
        <v>SOWING</v>
      </c>
      <c r="U135">
        <f>HOUR(datos_siembra[[#This Row],[Hour]])</f>
        <v>13</v>
      </c>
      <c r="V135" cm="1">
        <f t="array" ref="V135">_xlfn.IFS(AND(N135&lt;= 22, S135=9), N135-7,AND(N135&lt;= 28, S135=9), N135-25,AND(N135&lt;= 30, S135=9), N135-28,AND(N135&lt;= 11, S135=10), N135+2,AND(N135&lt;= 21, S135=10), N135-11)</f>
        <v>2</v>
      </c>
    </row>
    <row r="136" spans="1:22" x14ac:dyDescent="0.35">
      <c r="A136" s="4">
        <v>45544</v>
      </c>
      <c r="B136" s="5">
        <v>0.58819444444444446</v>
      </c>
      <c r="C136">
        <v>79.7</v>
      </c>
      <c r="D136">
        <v>82.3</v>
      </c>
      <c r="E136">
        <v>82.3</v>
      </c>
      <c r="F136">
        <v>77.900000000000006</v>
      </c>
      <c r="G136">
        <v>0</v>
      </c>
      <c r="H136">
        <v>0</v>
      </c>
      <c r="I136">
        <v>0</v>
      </c>
      <c r="J136">
        <v>0</v>
      </c>
      <c r="K136">
        <v>68.2</v>
      </c>
      <c r="L136">
        <v>66.8</v>
      </c>
      <c r="M136">
        <v>80.599999999999994</v>
      </c>
      <c r="N136">
        <v>9</v>
      </c>
      <c r="O136">
        <v>6</v>
      </c>
      <c r="P136">
        <f>MOD(DAY(datos_siembra[[#This Row],[Date]]),7)</f>
        <v>2</v>
      </c>
      <c r="Q136" t="str">
        <f>CHOOSE(WEEKDAY(datos_siembra[[#This Row],[Date]],2),"L","M","X","J","V","S","D")</f>
        <v>L</v>
      </c>
      <c r="R136">
        <f>WEEKNUM(datos_siembra[[#This Row],[Date]],2)-WEEKNUM(DATE(YEAR(datos_siembra[[#This Row],[Date]]),MONTH(datos_siembra[[#This Row],[Date]]),1))+1</f>
        <v>2</v>
      </c>
      <c r="S136">
        <f>MONTH(datos_siembra[[#This Row],[Date]])</f>
        <v>9</v>
      </c>
      <c r="T136" t="str" cm="1">
        <f t="array" ref="T136">_xlfn.IFS(AND(N136&lt;= 22, S136=9), "SOWING",AND(N136&lt;= 28, S136=9), "COVERAGE",AND(N136&lt;= 30, S136=9), "FLUSH",AND(N136&lt;= 11, S136=10), "FLUSH",AND(N136&lt;= 21, S136=10), "PRODUCTION")</f>
        <v>SOWING</v>
      </c>
      <c r="U136">
        <f>HOUR(datos_siembra[[#This Row],[Hour]])</f>
        <v>14</v>
      </c>
      <c r="V136" cm="1">
        <f t="array" ref="V136">_xlfn.IFS(AND(N136&lt;= 22, S136=9), N136-7,AND(N136&lt;= 28, S136=9), N136-25,AND(N136&lt;= 30, S136=9), N136-28,AND(N136&lt;= 11, S136=10), N136+2,AND(N136&lt;= 21, S136=10), N136-11)</f>
        <v>2</v>
      </c>
    </row>
    <row r="137" spans="1:22" x14ac:dyDescent="0.35">
      <c r="A137" s="4">
        <v>45544</v>
      </c>
      <c r="B137" s="5">
        <v>0.59513888888888888</v>
      </c>
      <c r="C137">
        <v>79.599999999999994</v>
      </c>
      <c r="D137">
        <v>82.4</v>
      </c>
      <c r="E137">
        <v>82.6</v>
      </c>
      <c r="F137">
        <v>77.900000000000006</v>
      </c>
      <c r="G137">
        <v>0</v>
      </c>
      <c r="H137">
        <v>0</v>
      </c>
      <c r="I137">
        <v>0</v>
      </c>
      <c r="J137">
        <v>0</v>
      </c>
      <c r="K137">
        <v>68.599999999999994</v>
      </c>
      <c r="L137">
        <v>66.2</v>
      </c>
      <c r="M137">
        <v>80.540000000000006</v>
      </c>
      <c r="N137">
        <v>9</v>
      </c>
      <c r="O137">
        <v>6</v>
      </c>
      <c r="P137">
        <f>MOD(DAY(datos_siembra[[#This Row],[Date]]),7)</f>
        <v>2</v>
      </c>
      <c r="Q137" t="str">
        <f>CHOOSE(WEEKDAY(datos_siembra[[#This Row],[Date]],2),"L","M","X","J","V","S","D")</f>
        <v>L</v>
      </c>
      <c r="R137">
        <f>WEEKNUM(datos_siembra[[#This Row],[Date]],2)-WEEKNUM(DATE(YEAR(datos_siembra[[#This Row],[Date]]),MONTH(datos_siembra[[#This Row],[Date]]),1))+1</f>
        <v>2</v>
      </c>
      <c r="S137">
        <f>MONTH(datos_siembra[[#This Row],[Date]])</f>
        <v>9</v>
      </c>
      <c r="T137" t="str" cm="1">
        <f t="array" ref="T137">_xlfn.IFS(AND(N137&lt;= 22, S137=9), "SOWING",AND(N137&lt;= 28, S137=9), "COVERAGE",AND(N137&lt;= 30, S137=9), "FLUSH",AND(N137&lt;= 11, S137=10), "FLUSH",AND(N137&lt;= 21, S137=10), "PRODUCTION")</f>
        <v>SOWING</v>
      </c>
      <c r="U137">
        <f>HOUR(datos_siembra[[#This Row],[Hour]])</f>
        <v>14</v>
      </c>
      <c r="V137" cm="1">
        <f t="array" ref="V137">_xlfn.IFS(AND(N137&lt;= 22, S137=9), N137-7,AND(N137&lt;= 28, S137=9), N137-25,AND(N137&lt;= 30, S137=9), N137-28,AND(N137&lt;= 11, S137=10), N137+2,AND(N137&lt;= 21, S137=10), N137-11)</f>
        <v>2</v>
      </c>
    </row>
    <row r="138" spans="1:22" x14ac:dyDescent="0.35">
      <c r="A138" s="4">
        <v>45544</v>
      </c>
      <c r="B138" s="5">
        <v>0.6020833333333333</v>
      </c>
      <c r="C138">
        <v>79.5</v>
      </c>
      <c r="D138">
        <v>82.3</v>
      </c>
      <c r="E138">
        <v>82.5</v>
      </c>
      <c r="F138">
        <v>78</v>
      </c>
      <c r="G138">
        <v>0</v>
      </c>
      <c r="H138">
        <v>0</v>
      </c>
      <c r="I138">
        <v>0</v>
      </c>
      <c r="J138">
        <v>0</v>
      </c>
      <c r="K138">
        <v>68.7</v>
      </c>
      <c r="L138">
        <v>66.2</v>
      </c>
      <c r="M138">
        <v>80.52</v>
      </c>
      <c r="N138">
        <v>9</v>
      </c>
      <c r="O138">
        <v>6</v>
      </c>
      <c r="P138">
        <f>MOD(DAY(datos_siembra[[#This Row],[Date]]),7)</f>
        <v>2</v>
      </c>
      <c r="Q138" t="str">
        <f>CHOOSE(WEEKDAY(datos_siembra[[#This Row],[Date]],2),"L","M","X","J","V","S","D")</f>
        <v>L</v>
      </c>
      <c r="R138">
        <f>WEEKNUM(datos_siembra[[#This Row],[Date]],2)-WEEKNUM(DATE(YEAR(datos_siembra[[#This Row],[Date]]),MONTH(datos_siembra[[#This Row],[Date]]),1))+1</f>
        <v>2</v>
      </c>
      <c r="S138">
        <f>MONTH(datos_siembra[[#This Row],[Date]])</f>
        <v>9</v>
      </c>
      <c r="T138" t="str" cm="1">
        <f t="array" ref="T138">_xlfn.IFS(AND(N138&lt;= 22, S138=9), "SOWING",AND(N138&lt;= 28, S138=9), "COVERAGE",AND(N138&lt;= 30, S138=9), "FLUSH",AND(N138&lt;= 11, S138=10), "FLUSH",AND(N138&lt;= 21, S138=10), "PRODUCTION")</f>
        <v>SOWING</v>
      </c>
      <c r="U138">
        <f>HOUR(datos_siembra[[#This Row],[Hour]])</f>
        <v>14</v>
      </c>
      <c r="V138" cm="1">
        <f t="array" ref="V138">_xlfn.IFS(AND(N138&lt;= 22, S138=9), N138-7,AND(N138&lt;= 28, S138=9), N138-25,AND(N138&lt;= 30, S138=9), N138-28,AND(N138&lt;= 11, S138=10), N138+2,AND(N138&lt;= 21, S138=10), N138-11)</f>
        <v>2</v>
      </c>
    </row>
    <row r="139" spans="1:22" x14ac:dyDescent="0.35">
      <c r="A139" s="4">
        <v>45544</v>
      </c>
      <c r="B139" s="5">
        <v>0.60903935185185187</v>
      </c>
      <c r="C139">
        <v>79.599999999999994</v>
      </c>
      <c r="D139">
        <v>82.3</v>
      </c>
      <c r="E139">
        <v>82.4</v>
      </c>
      <c r="F139">
        <v>78</v>
      </c>
      <c r="G139">
        <v>0</v>
      </c>
      <c r="H139">
        <v>0</v>
      </c>
      <c r="I139">
        <v>0</v>
      </c>
      <c r="J139">
        <v>0</v>
      </c>
      <c r="K139">
        <v>68.7</v>
      </c>
      <c r="L139">
        <v>66.3</v>
      </c>
      <c r="M139">
        <v>80.569999999999993</v>
      </c>
      <c r="N139">
        <v>9</v>
      </c>
      <c r="O139">
        <v>6</v>
      </c>
      <c r="P139">
        <f>MOD(DAY(datos_siembra[[#This Row],[Date]]),7)</f>
        <v>2</v>
      </c>
      <c r="Q139" t="str">
        <f>CHOOSE(WEEKDAY(datos_siembra[[#This Row],[Date]],2),"L","M","X","J","V","S","D")</f>
        <v>L</v>
      </c>
      <c r="R139">
        <f>WEEKNUM(datos_siembra[[#This Row],[Date]],2)-WEEKNUM(DATE(YEAR(datos_siembra[[#This Row],[Date]]),MONTH(datos_siembra[[#This Row],[Date]]),1))+1</f>
        <v>2</v>
      </c>
      <c r="S139">
        <f>MONTH(datos_siembra[[#This Row],[Date]])</f>
        <v>9</v>
      </c>
      <c r="T139" t="str" cm="1">
        <f t="array" ref="T139">_xlfn.IFS(AND(N139&lt;= 22, S139=9), "SOWING",AND(N139&lt;= 28, S139=9), "COVERAGE",AND(N139&lt;= 30, S139=9), "FLUSH",AND(N139&lt;= 11, S139=10), "FLUSH",AND(N139&lt;= 21, S139=10), "PRODUCTION")</f>
        <v>SOWING</v>
      </c>
      <c r="U139">
        <f>HOUR(datos_siembra[[#This Row],[Hour]])</f>
        <v>14</v>
      </c>
      <c r="V139" cm="1">
        <f t="array" ref="V139">_xlfn.IFS(AND(N139&lt;= 22, S139=9), N139-7,AND(N139&lt;= 28, S139=9), N139-25,AND(N139&lt;= 30, S139=9), N139-28,AND(N139&lt;= 11, S139=10), N139+2,AND(N139&lt;= 21, S139=10), N139-11)</f>
        <v>2</v>
      </c>
    </row>
    <row r="140" spans="1:22" x14ac:dyDescent="0.35">
      <c r="A140" s="4">
        <v>45544</v>
      </c>
      <c r="B140" s="5">
        <v>0.65765046296296292</v>
      </c>
      <c r="C140">
        <v>79.599999999999994</v>
      </c>
      <c r="D140">
        <v>82.3</v>
      </c>
      <c r="E140">
        <v>82.5</v>
      </c>
      <c r="F140">
        <v>78.099999999999994</v>
      </c>
      <c r="G140">
        <v>0</v>
      </c>
      <c r="H140">
        <v>0</v>
      </c>
      <c r="I140">
        <v>0</v>
      </c>
      <c r="J140">
        <v>0</v>
      </c>
      <c r="K140">
        <v>67.8</v>
      </c>
      <c r="L140">
        <v>65.099999999999994</v>
      </c>
      <c r="M140">
        <v>80.599999999999994</v>
      </c>
      <c r="N140">
        <v>9</v>
      </c>
      <c r="O140">
        <v>6</v>
      </c>
      <c r="P140">
        <f>MOD(DAY(datos_siembra[[#This Row],[Date]]),7)</f>
        <v>2</v>
      </c>
      <c r="Q140" t="str">
        <f>CHOOSE(WEEKDAY(datos_siembra[[#This Row],[Date]],2),"L","M","X","J","V","S","D")</f>
        <v>L</v>
      </c>
      <c r="R140">
        <f>WEEKNUM(datos_siembra[[#This Row],[Date]],2)-WEEKNUM(DATE(YEAR(datos_siembra[[#This Row],[Date]]),MONTH(datos_siembra[[#This Row],[Date]]),1))+1</f>
        <v>2</v>
      </c>
      <c r="S140">
        <f>MONTH(datos_siembra[[#This Row],[Date]])</f>
        <v>9</v>
      </c>
      <c r="T140" t="str" cm="1">
        <f t="array" ref="T140">_xlfn.IFS(AND(N140&lt;= 22, S140=9), "SOWING",AND(N140&lt;= 28, S140=9), "COVERAGE",AND(N140&lt;= 30, S140=9), "FLUSH",AND(N140&lt;= 11, S140=10), "FLUSH",AND(N140&lt;= 21, S140=10), "PRODUCTION")</f>
        <v>SOWING</v>
      </c>
      <c r="U140">
        <f>HOUR(datos_siembra[[#This Row],[Hour]])</f>
        <v>15</v>
      </c>
      <c r="V140" cm="1">
        <f t="array" ref="V140">_xlfn.IFS(AND(N140&lt;= 22, S140=9), N140-7,AND(N140&lt;= 28, S140=9), N140-25,AND(N140&lt;= 30, S140=9), N140-28,AND(N140&lt;= 11, S140=10), N140+2,AND(N140&lt;= 21, S140=10), N140-11)</f>
        <v>2</v>
      </c>
    </row>
    <row r="141" spans="1:22" x14ac:dyDescent="0.35">
      <c r="A141" s="4">
        <v>45544</v>
      </c>
      <c r="B141" s="5">
        <v>0.66459490740740745</v>
      </c>
      <c r="C141">
        <v>79.599999999999994</v>
      </c>
      <c r="D141">
        <v>82.4</v>
      </c>
      <c r="E141">
        <v>82.5</v>
      </c>
      <c r="F141">
        <v>78</v>
      </c>
      <c r="G141">
        <v>0</v>
      </c>
      <c r="H141">
        <v>0</v>
      </c>
      <c r="I141">
        <v>0</v>
      </c>
      <c r="J141">
        <v>0</v>
      </c>
      <c r="K141">
        <v>67</v>
      </c>
      <c r="L141">
        <v>65.2</v>
      </c>
      <c r="M141">
        <v>80.66</v>
      </c>
      <c r="N141">
        <v>9</v>
      </c>
      <c r="O141">
        <v>6</v>
      </c>
      <c r="P141">
        <f>MOD(DAY(datos_siembra[[#This Row],[Date]]),7)</f>
        <v>2</v>
      </c>
      <c r="Q141" t="str">
        <f>CHOOSE(WEEKDAY(datos_siembra[[#This Row],[Date]],2),"L","M","X","J","V","S","D")</f>
        <v>L</v>
      </c>
      <c r="R141">
        <f>WEEKNUM(datos_siembra[[#This Row],[Date]],2)-WEEKNUM(DATE(YEAR(datos_siembra[[#This Row],[Date]]),MONTH(datos_siembra[[#This Row],[Date]]),1))+1</f>
        <v>2</v>
      </c>
      <c r="S141">
        <f>MONTH(datos_siembra[[#This Row],[Date]])</f>
        <v>9</v>
      </c>
      <c r="T141" t="str" cm="1">
        <f t="array" ref="T141">_xlfn.IFS(AND(N141&lt;= 22, S141=9), "SOWING",AND(N141&lt;= 28, S141=9), "COVERAGE",AND(N141&lt;= 30, S141=9), "FLUSH",AND(N141&lt;= 11, S141=10), "FLUSH",AND(N141&lt;= 21, S141=10), "PRODUCTION")</f>
        <v>SOWING</v>
      </c>
      <c r="U141">
        <f>HOUR(datos_siembra[[#This Row],[Hour]])</f>
        <v>15</v>
      </c>
      <c r="V141" cm="1">
        <f t="array" ref="V141">_xlfn.IFS(AND(N141&lt;= 22, S141=9), N141-7,AND(N141&lt;= 28, S141=9), N141-25,AND(N141&lt;= 30, S141=9), N141-28,AND(N141&lt;= 11, S141=10), N141+2,AND(N141&lt;= 21, S141=10), N141-11)</f>
        <v>2</v>
      </c>
    </row>
    <row r="142" spans="1:22" x14ac:dyDescent="0.35">
      <c r="A142" s="4">
        <v>45544</v>
      </c>
      <c r="B142" s="5">
        <v>0.62988425925925928</v>
      </c>
      <c r="C142">
        <v>79.5</v>
      </c>
      <c r="D142">
        <v>82.5</v>
      </c>
      <c r="E142">
        <v>82.6</v>
      </c>
      <c r="F142">
        <v>77.900000000000006</v>
      </c>
      <c r="G142">
        <v>0</v>
      </c>
      <c r="H142">
        <v>0</v>
      </c>
      <c r="I142">
        <v>0</v>
      </c>
      <c r="J142">
        <v>0</v>
      </c>
      <c r="K142">
        <v>67.099999999999994</v>
      </c>
      <c r="L142">
        <v>65.3</v>
      </c>
      <c r="M142">
        <v>80.52</v>
      </c>
      <c r="N142">
        <v>9</v>
      </c>
      <c r="O142">
        <v>6</v>
      </c>
      <c r="P142">
        <f>MOD(DAY(datos_siembra[[#This Row],[Date]]),7)</f>
        <v>2</v>
      </c>
      <c r="Q142" t="str">
        <f>CHOOSE(WEEKDAY(datos_siembra[[#This Row],[Date]],2),"L","M","X","J","V","S","D")</f>
        <v>L</v>
      </c>
      <c r="R142">
        <f>WEEKNUM(datos_siembra[[#This Row],[Date]],2)-WEEKNUM(DATE(YEAR(datos_siembra[[#This Row],[Date]]),MONTH(datos_siembra[[#This Row],[Date]]),1))+1</f>
        <v>2</v>
      </c>
      <c r="S142">
        <f>MONTH(datos_siembra[[#This Row],[Date]])</f>
        <v>9</v>
      </c>
      <c r="T142" t="str" cm="1">
        <f t="array" ref="T142">_xlfn.IFS(AND(N142&lt;= 22, S142=9), "SOWING",AND(N142&lt;= 28, S142=9), "COVERAGE",AND(N142&lt;= 30, S142=9), "FLUSH",AND(N142&lt;= 11, S142=10), "FLUSH",AND(N142&lt;= 21, S142=10), "PRODUCTION")</f>
        <v>SOWING</v>
      </c>
      <c r="U142">
        <f>HOUR(datos_siembra[[#This Row],[Hour]])</f>
        <v>15</v>
      </c>
      <c r="V142" cm="1">
        <f t="array" ref="V142">_xlfn.IFS(AND(N142&lt;= 22, S142=9), N142-7,AND(N142&lt;= 28, S142=9), N142-25,AND(N142&lt;= 30, S142=9), N142-28,AND(N142&lt;= 11, S142=10), N142+2,AND(N142&lt;= 21, S142=10), N142-11)</f>
        <v>2</v>
      </c>
    </row>
    <row r="143" spans="1:22" x14ac:dyDescent="0.35">
      <c r="A143" s="4">
        <v>45544</v>
      </c>
      <c r="B143" s="5">
        <v>0.6368287037037037</v>
      </c>
      <c r="C143">
        <v>79.5</v>
      </c>
      <c r="D143">
        <v>82.4</v>
      </c>
      <c r="E143">
        <v>82.6</v>
      </c>
      <c r="F143">
        <v>78.099999999999994</v>
      </c>
      <c r="G143">
        <v>0</v>
      </c>
      <c r="H143">
        <v>0</v>
      </c>
      <c r="I143">
        <v>0</v>
      </c>
      <c r="J143">
        <v>0</v>
      </c>
      <c r="K143">
        <v>67.7</v>
      </c>
      <c r="L143">
        <v>65.2</v>
      </c>
      <c r="M143">
        <v>80.680000000000007</v>
      </c>
      <c r="N143">
        <v>9</v>
      </c>
      <c r="O143">
        <v>6</v>
      </c>
      <c r="P143">
        <f>MOD(DAY(datos_siembra[[#This Row],[Date]]),7)</f>
        <v>2</v>
      </c>
      <c r="Q143" t="str">
        <f>CHOOSE(WEEKDAY(datos_siembra[[#This Row],[Date]],2),"L","M","X","J","V","S","D")</f>
        <v>L</v>
      </c>
      <c r="R143">
        <f>WEEKNUM(datos_siembra[[#This Row],[Date]],2)-WEEKNUM(DATE(YEAR(datos_siembra[[#This Row],[Date]]),MONTH(datos_siembra[[#This Row],[Date]]),1))+1</f>
        <v>2</v>
      </c>
      <c r="S143">
        <f>MONTH(datos_siembra[[#This Row],[Date]])</f>
        <v>9</v>
      </c>
      <c r="T143" t="str" cm="1">
        <f t="array" ref="T143">_xlfn.IFS(AND(N143&lt;= 22, S143=9), "SOWING",AND(N143&lt;= 28, S143=9), "COVERAGE",AND(N143&lt;= 30, S143=9), "FLUSH",AND(N143&lt;= 11, S143=10), "FLUSH",AND(N143&lt;= 21, S143=10), "PRODUCTION")</f>
        <v>SOWING</v>
      </c>
      <c r="U143">
        <f>HOUR(datos_siembra[[#This Row],[Hour]])</f>
        <v>15</v>
      </c>
      <c r="V143" cm="1">
        <f t="array" ref="V143">_xlfn.IFS(AND(N143&lt;= 22, S143=9), N143-7,AND(N143&lt;= 28, S143=9), N143-25,AND(N143&lt;= 30, S143=9), N143-28,AND(N143&lt;= 11, S143=10), N143+2,AND(N143&lt;= 21, S143=10), N143-11)</f>
        <v>2</v>
      </c>
    </row>
    <row r="144" spans="1:22" x14ac:dyDescent="0.35">
      <c r="A144" s="4">
        <v>45544</v>
      </c>
      <c r="B144" s="5">
        <v>0.64377314814814812</v>
      </c>
      <c r="C144">
        <v>79.599999999999994</v>
      </c>
      <c r="D144">
        <v>82.3</v>
      </c>
      <c r="E144">
        <v>82.6</v>
      </c>
      <c r="F144">
        <v>78</v>
      </c>
      <c r="G144">
        <v>0</v>
      </c>
      <c r="H144">
        <v>0</v>
      </c>
      <c r="I144">
        <v>0</v>
      </c>
      <c r="J144">
        <v>0</v>
      </c>
      <c r="K144">
        <v>68</v>
      </c>
      <c r="L144">
        <v>66.400000000000006</v>
      </c>
      <c r="M144">
        <v>80.680000000000007</v>
      </c>
      <c r="N144">
        <v>9</v>
      </c>
      <c r="O144">
        <v>6</v>
      </c>
      <c r="P144">
        <f>MOD(DAY(datos_siembra[[#This Row],[Date]]),7)</f>
        <v>2</v>
      </c>
      <c r="Q144" t="str">
        <f>CHOOSE(WEEKDAY(datos_siembra[[#This Row],[Date]],2),"L","M","X","J","V","S","D")</f>
        <v>L</v>
      </c>
      <c r="R144">
        <f>WEEKNUM(datos_siembra[[#This Row],[Date]],2)-WEEKNUM(DATE(YEAR(datos_siembra[[#This Row],[Date]]),MONTH(datos_siembra[[#This Row],[Date]]),1))+1</f>
        <v>2</v>
      </c>
      <c r="S144">
        <f>MONTH(datos_siembra[[#This Row],[Date]])</f>
        <v>9</v>
      </c>
      <c r="T144" t="str" cm="1">
        <f t="array" ref="T144">_xlfn.IFS(AND(N144&lt;= 22, S144=9), "SOWING",AND(N144&lt;= 28, S144=9), "COVERAGE",AND(N144&lt;= 30, S144=9), "FLUSH",AND(N144&lt;= 11, S144=10), "FLUSH",AND(N144&lt;= 21, S144=10), "PRODUCTION")</f>
        <v>SOWING</v>
      </c>
      <c r="U144">
        <f>HOUR(datos_siembra[[#This Row],[Hour]])</f>
        <v>15</v>
      </c>
      <c r="V144" cm="1">
        <f t="array" ref="V144">_xlfn.IFS(AND(N144&lt;= 22, S144=9), N144-7,AND(N144&lt;= 28, S144=9), N144-25,AND(N144&lt;= 30, S144=9), N144-28,AND(N144&lt;= 11, S144=10), N144+2,AND(N144&lt;= 21, S144=10), N144-11)</f>
        <v>2</v>
      </c>
    </row>
    <row r="145" spans="1:22" x14ac:dyDescent="0.35">
      <c r="A145" s="4">
        <v>45544</v>
      </c>
      <c r="B145" s="5">
        <v>0.65071759259259254</v>
      </c>
      <c r="C145">
        <v>79.7</v>
      </c>
      <c r="D145">
        <v>82.5</v>
      </c>
      <c r="E145">
        <v>82.5</v>
      </c>
      <c r="F145">
        <v>78.2</v>
      </c>
      <c r="G145">
        <v>0</v>
      </c>
      <c r="H145">
        <v>0</v>
      </c>
      <c r="I145">
        <v>0</v>
      </c>
      <c r="J145">
        <v>0</v>
      </c>
      <c r="K145">
        <v>68.2</v>
      </c>
      <c r="L145">
        <v>66.8</v>
      </c>
      <c r="M145">
        <v>80.77</v>
      </c>
      <c r="N145">
        <v>9</v>
      </c>
      <c r="O145">
        <v>6</v>
      </c>
      <c r="P145">
        <f>MOD(DAY(datos_siembra[[#This Row],[Date]]),7)</f>
        <v>2</v>
      </c>
      <c r="Q145" t="str">
        <f>CHOOSE(WEEKDAY(datos_siembra[[#This Row],[Date]],2),"L","M","X","J","V","S","D")</f>
        <v>L</v>
      </c>
      <c r="R145">
        <f>WEEKNUM(datos_siembra[[#This Row],[Date]],2)-WEEKNUM(DATE(YEAR(datos_siembra[[#This Row],[Date]]),MONTH(datos_siembra[[#This Row],[Date]]),1))+1</f>
        <v>2</v>
      </c>
      <c r="S145">
        <f>MONTH(datos_siembra[[#This Row],[Date]])</f>
        <v>9</v>
      </c>
      <c r="T145" t="str" cm="1">
        <f t="array" ref="T145">_xlfn.IFS(AND(N145&lt;= 22, S145=9), "SOWING",AND(N145&lt;= 28, S145=9), "COVERAGE",AND(N145&lt;= 30, S145=9), "FLUSH",AND(N145&lt;= 11, S145=10), "FLUSH",AND(N145&lt;= 21, S145=10), "PRODUCTION")</f>
        <v>SOWING</v>
      </c>
      <c r="U145">
        <f>HOUR(datos_siembra[[#This Row],[Hour]])</f>
        <v>15</v>
      </c>
      <c r="V145" cm="1">
        <f t="array" ref="V145">_xlfn.IFS(AND(N145&lt;= 22, S145=9), N145-7,AND(N145&lt;= 28, S145=9), N145-25,AND(N145&lt;= 30, S145=9), N145-28,AND(N145&lt;= 11, S145=10), N145+2,AND(N145&lt;= 21, S145=10), N145-11)</f>
        <v>2</v>
      </c>
    </row>
    <row r="146" spans="1:22" x14ac:dyDescent="0.35">
      <c r="A146" s="4">
        <v>45544</v>
      </c>
      <c r="B146" s="5">
        <v>0.65767361111111111</v>
      </c>
      <c r="C146">
        <v>79.7</v>
      </c>
      <c r="D146">
        <v>82.5</v>
      </c>
      <c r="E146">
        <v>82.5</v>
      </c>
      <c r="F146">
        <v>78.099999999999994</v>
      </c>
      <c r="G146">
        <v>0</v>
      </c>
      <c r="H146">
        <v>0</v>
      </c>
      <c r="I146">
        <v>0</v>
      </c>
      <c r="J146">
        <v>0</v>
      </c>
      <c r="K146">
        <v>68.3</v>
      </c>
      <c r="L146">
        <v>66.900000000000006</v>
      </c>
      <c r="M146">
        <v>80.819999999999993</v>
      </c>
      <c r="N146">
        <v>9</v>
      </c>
      <c r="O146">
        <v>6</v>
      </c>
      <c r="P146">
        <f>MOD(DAY(datos_siembra[[#This Row],[Date]]),7)</f>
        <v>2</v>
      </c>
      <c r="Q146" t="str">
        <f>CHOOSE(WEEKDAY(datos_siembra[[#This Row],[Date]],2),"L","M","X","J","V","S","D")</f>
        <v>L</v>
      </c>
      <c r="R146">
        <f>WEEKNUM(datos_siembra[[#This Row],[Date]],2)-WEEKNUM(DATE(YEAR(datos_siembra[[#This Row],[Date]]),MONTH(datos_siembra[[#This Row],[Date]]),1))+1</f>
        <v>2</v>
      </c>
      <c r="S146">
        <f>MONTH(datos_siembra[[#This Row],[Date]])</f>
        <v>9</v>
      </c>
      <c r="T146" t="str" cm="1">
        <f t="array" ref="T146">_xlfn.IFS(AND(N146&lt;= 22, S146=9), "SOWING",AND(N146&lt;= 28, S146=9), "COVERAGE",AND(N146&lt;= 30, S146=9), "FLUSH",AND(N146&lt;= 11, S146=10), "FLUSH",AND(N146&lt;= 21, S146=10), "PRODUCTION")</f>
        <v>SOWING</v>
      </c>
      <c r="U146">
        <f>HOUR(datos_siembra[[#This Row],[Hour]])</f>
        <v>15</v>
      </c>
      <c r="V146" cm="1">
        <f t="array" ref="V146">_xlfn.IFS(AND(N146&lt;= 22, S146=9), N146-7,AND(N146&lt;= 28, S146=9), N146-25,AND(N146&lt;= 30, S146=9), N146-28,AND(N146&lt;= 11, S146=10), N146+2,AND(N146&lt;= 21, S146=10), N146-11)</f>
        <v>2</v>
      </c>
    </row>
    <row r="147" spans="1:22" x14ac:dyDescent="0.35">
      <c r="A147" s="4">
        <v>45544</v>
      </c>
      <c r="B147" s="5">
        <v>0.66461805555555553</v>
      </c>
      <c r="C147">
        <v>79.7</v>
      </c>
      <c r="D147">
        <v>82.4</v>
      </c>
      <c r="E147">
        <v>82.7</v>
      </c>
      <c r="F147">
        <v>78.099999999999994</v>
      </c>
      <c r="G147">
        <v>0</v>
      </c>
      <c r="H147">
        <v>0</v>
      </c>
      <c r="I147">
        <v>0</v>
      </c>
      <c r="J147">
        <v>0</v>
      </c>
      <c r="K147">
        <v>68.599999999999994</v>
      </c>
      <c r="L147">
        <v>66</v>
      </c>
      <c r="M147">
        <v>80.819999999999993</v>
      </c>
      <c r="N147">
        <v>9</v>
      </c>
      <c r="O147">
        <v>6</v>
      </c>
      <c r="P147">
        <f>MOD(DAY(datos_siembra[[#This Row],[Date]]),7)</f>
        <v>2</v>
      </c>
      <c r="Q147" t="str">
        <f>CHOOSE(WEEKDAY(datos_siembra[[#This Row],[Date]],2),"L","M","X","J","V","S","D")</f>
        <v>L</v>
      </c>
      <c r="R147">
        <f>WEEKNUM(datos_siembra[[#This Row],[Date]],2)-WEEKNUM(DATE(YEAR(datos_siembra[[#This Row],[Date]]),MONTH(datos_siembra[[#This Row],[Date]]),1))+1</f>
        <v>2</v>
      </c>
      <c r="S147">
        <f>MONTH(datos_siembra[[#This Row],[Date]])</f>
        <v>9</v>
      </c>
      <c r="T147" t="str" cm="1">
        <f t="array" ref="T147">_xlfn.IFS(AND(N147&lt;= 22, S147=9), "SOWING",AND(N147&lt;= 28, S147=9), "COVERAGE",AND(N147&lt;= 30, S147=9), "FLUSH",AND(N147&lt;= 11, S147=10), "FLUSH",AND(N147&lt;= 21, S147=10), "PRODUCTION")</f>
        <v>SOWING</v>
      </c>
      <c r="U147">
        <f>HOUR(datos_siembra[[#This Row],[Hour]])</f>
        <v>15</v>
      </c>
      <c r="V147" cm="1">
        <f t="array" ref="V147">_xlfn.IFS(AND(N147&lt;= 22, S147=9), N147-7,AND(N147&lt;= 28, S147=9), N147-25,AND(N147&lt;= 30, S147=9), N147-28,AND(N147&lt;= 11, S147=10), N147+2,AND(N147&lt;= 21, S147=10), N147-11)</f>
        <v>2</v>
      </c>
    </row>
    <row r="148" spans="1:22" x14ac:dyDescent="0.35">
      <c r="A148" s="4">
        <v>45544</v>
      </c>
      <c r="B148" s="5">
        <v>0.67156249999999995</v>
      </c>
      <c r="C148">
        <v>79.5</v>
      </c>
      <c r="D148">
        <v>82.4</v>
      </c>
      <c r="E148">
        <v>82.7</v>
      </c>
      <c r="F148">
        <v>78.5</v>
      </c>
      <c r="G148">
        <v>0</v>
      </c>
      <c r="H148">
        <v>0</v>
      </c>
      <c r="I148">
        <v>0</v>
      </c>
      <c r="J148">
        <v>0</v>
      </c>
      <c r="K148">
        <v>68.5</v>
      </c>
      <c r="L148">
        <v>66</v>
      </c>
      <c r="M148">
        <v>80.849999999999994</v>
      </c>
      <c r="N148">
        <v>9</v>
      </c>
      <c r="O148">
        <v>6</v>
      </c>
      <c r="P148">
        <f>MOD(DAY(datos_siembra[[#This Row],[Date]]),7)</f>
        <v>2</v>
      </c>
      <c r="Q148" t="str">
        <f>CHOOSE(WEEKDAY(datos_siembra[[#This Row],[Date]],2),"L","M","X","J","V","S","D")</f>
        <v>L</v>
      </c>
      <c r="R148">
        <f>WEEKNUM(datos_siembra[[#This Row],[Date]],2)-WEEKNUM(DATE(YEAR(datos_siembra[[#This Row],[Date]]),MONTH(datos_siembra[[#This Row],[Date]]),1))+1</f>
        <v>2</v>
      </c>
      <c r="S148">
        <f>MONTH(datos_siembra[[#This Row],[Date]])</f>
        <v>9</v>
      </c>
      <c r="T148" t="str" cm="1">
        <f t="array" ref="T148">_xlfn.IFS(AND(N148&lt;= 22, S148=9), "SOWING",AND(N148&lt;= 28, S148=9), "COVERAGE",AND(N148&lt;= 30, S148=9), "FLUSH",AND(N148&lt;= 11, S148=10), "FLUSH",AND(N148&lt;= 21, S148=10), "PRODUCTION")</f>
        <v>SOWING</v>
      </c>
      <c r="U148">
        <f>HOUR(datos_siembra[[#This Row],[Hour]])</f>
        <v>16</v>
      </c>
      <c r="V148" cm="1">
        <f t="array" ref="V148">_xlfn.IFS(AND(N148&lt;= 22, S148=9), N148-7,AND(N148&lt;= 28, S148=9), N148-25,AND(N148&lt;= 30, S148=9), N148-28,AND(N148&lt;= 11, S148=10), N148+2,AND(N148&lt;= 21, S148=10), N148-11)</f>
        <v>2</v>
      </c>
    </row>
    <row r="149" spans="1:22" x14ac:dyDescent="0.35">
      <c r="A149" s="4">
        <v>45544</v>
      </c>
      <c r="B149" s="5">
        <v>0.67850694444444448</v>
      </c>
      <c r="C149">
        <v>79.599999999999994</v>
      </c>
      <c r="D149">
        <v>82.5</v>
      </c>
      <c r="E149">
        <v>82.9</v>
      </c>
      <c r="F149">
        <v>78.7</v>
      </c>
      <c r="G149">
        <v>0</v>
      </c>
      <c r="H149">
        <v>0</v>
      </c>
      <c r="I149">
        <v>0</v>
      </c>
      <c r="J149">
        <v>0</v>
      </c>
      <c r="K149">
        <v>68.5</v>
      </c>
      <c r="L149">
        <v>66</v>
      </c>
      <c r="M149">
        <v>80.8</v>
      </c>
      <c r="N149">
        <v>9</v>
      </c>
      <c r="O149">
        <v>6</v>
      </c>
      <c r="P149">
        <f>MOD(DAY(datos_siembra[[#This Row],[Date]]),7)</f>
        <v>2</v>
      </c>
      <c r="Q149" t="str">
        <f>CHOOSE(WEEKDAY(datos_siembra[[#This Row],[Date]],2),"L","M","X","J","V","S","D")</f>
        <v>L</v>
      </c>
      <c r="R149">
        <f>WEEKNUM(datos_siembra[[#This Row],[Date]],2)-WEEKNUM(DATE(YEAR(datos_siembra[[#This Row],[Date]]),MONTH(datos_siembra[[#This Row],[Date]]),1))+1</f>
        <v>2</v>
      </c>
      <c r="S149">
        <f>MONTH(datos_siembra[[#This Row],[Date]])</f>
        <v>9</v>
      </c>
      <c r="T149" t="str" cm="1">
        <f t="array" ref="T149">_xlfn.IFS(AND(N149&lt;= 22, S149=9), "SOWING",AND(N149&lt;= 28, S149=9), "COVERAGE",AND(N149&lt;= 30, S149=9), "FLUSH",AND(N149&lt;= 11, S149=10), "FLUSH",AND(N149&lt;= 21, S149=10), "PRODUCTION")</f>
        <v>SOWING</v>
      </c>
      <c r="U149">
        <f>HOUR(datos_siembra[[#This Row],[Hour]])</f>
        <v>16</v>
      </c>
      <c r="V149" cm="1">
        <f t="array" ref="V149">_xlfn.IFS(AND(N149&lt;= 22, S149=9), N149-7,AND(N149&lt;= 28, S149=9), N149-25,AND(N149&lt;= 30, S149=9), N149-28,AND(N149&lt;= 11, S149=10), N149+2,AND(N149&lt;= 21, S149=10), N149-11)</f>
        <v>2</v>
      </c>
    </row>
    <row r="150" spans="1:22" x14ac:dyDescent="0.35">
      <c r="A150" s="4">
        <v>45544</v>
      </c>
      <c r="B150" s="5">
        <v>0.68546296296296294</v>
      </c>
      <c r="C150">
        <v>79.599999999999994</v>
      </c>
      <c r="D150">
        <v>82.5</v>
      </c>
      <c r="E150">
        <v>82.9</v>
      </c>
      <c r="F150">
        <v>78.400000000000006</v>
      </c>
      <c r="G150">
        <v>0</v>
      </c>
      <c r="H150">
        <v>0</v>
      </c>
      <c r="I150">
        <v>0</v>
      </c>
      <c r="J150">
        <v>0</v>
      </c>
      <c r="K150">
        <v>67.8</v>
      </c>
      <c r="L150">
        <v>65.099999999999994</v>
      </c>
      <c r="M150">
        <v>80.97</v>
      </c>
      <c r="N150">
        <v>9</v>
      </c>
      <c r="O150">
        <v>6</v>
      </c>
      <c r="P150">
        <f>MOD(DAY(datos_siembra[[#This Row],[Date]]),7)</f>
        <v>2</v>
      </c>
      <c r="Q150" t="str">
        <f>CHOOSE(WEEKDAY(datos_siembra[[#This Row],[Date]],2),"L","M","X","J","V","S","D")</f>
        <v>L</v>
      </c>
      <c r="R150">
        <f>WEEKNUM(datos_siembra[[#This Row],[Date]],2)-WEEKNUM(DATE(YEAR(datos_siembra[[#This Row],[Date]]),MONTH(datos_siembra[[#This Row],[Date]]),1))+1</f>
        <v>2</v>
      </c>
      <c r="S150">
        <f>MONTH(datos_siembra[[#This Row],[Date]])</f>
        <v>9</v>
      </c>
      <c r="T150" t="str" cm="1">
        <f t="array" ref="T150">_xlfn.IFS(AND(N150&lt;= 22, S150=9), "SOWING",AND(N150&lt;= 28, S150=9), "COVERAGE",AND(N150&lt;= 30, S150=9), "FLUSH",AND(N150&lt;= 11, S150=10), "FLUSH",AND(N150&lt;= 21, S150=10), "PRODUCTION")</f>
        <v>SOWING</v>
      </c>
      <c r="U150">
        <f>HOUR(datos_siembra[[#This Row],[Hour]])</f>
        <v>16</v>
      </c>
      <c r="V150" cm="1">
        <f t="array" ref="V150">_xlfn.IFS(AND(N150&lt;= 22, S150=9), N150-7,AND(N150&lt;= 28, S150=9), N150-25,AND(N150&lt;= 30, S150=9), N150-28,AND(N150&lt;= 11, S150=10), N150+2,AND(N150&lt;= 21, S150=10), N150-11)</f>
        <v>2</v>
      </c>
    </row>
    <row r="151" spans="1:22" x14ac:dyDescent="0.35">
      <c r="A151" s="4">
        <v>45544</v>
      </c>
      <c r="B151" s="5">
        <v>0.69240740740740736</v>
      </c>
      <c r="C151">
        <v>79.7</v>
      </c>
      <c r="D151">
        <v>82.6</v>
      </c>
      <c r="E151">
        <v>82.6</v>
      </c>
      <c r="F151">
        <v>78.7</v>
      </c>
      <c r="G151">
        <v>0</v>
      </c>
      <c r="H151">
        <v>0</v>
      </c>
      <c r="I151">
        <v>0</v>
      </c>
      <c r="J151">
        <v>0</v>
      </c>
      <c r="K151">
        <v>66.900000000000006</v>
      </c>
      <c r="L151">
        <v>65</v>
      </c>
      <c r="M151">
        <v>80.88</v>
      </c>
      <c r="N151">
        <v>9</v>
      </c>
      <c r="O151">
        <v>6</v>
      </c>
      <c r="P151">
        <f>MOD(DAY(datos_siembra[[#This Row],[Date]]),7)</f>
        <v>2</v>
      </c>
      <c r="Q151" t="str">
        <f>CHOOSE(WEEKDAY(datos_siembra[[#This Row],[Date]],2),"L","M","X","J","V","S","D")</f>
        <v>L</v>
      </c>
      <c r="R151">
        <f>WEEKNUM(datos_siembra[[#This Row],[Date]],2)-WEEKNUM(DATE(YEAR(datos_siembra[[#This Row],[Date]]),MONTH(datos_siembra[[#This Row],[Date]]),1))+1</f>
        <v>2</v>
      </c>
      <c r="S151">
        <f>MONTH(datos_siembra[[#This Row],[Date]])</f>
        <v>9</v>
      </c>
      <c r="T151" t="str" cm="1">
        <f t="array" ref="T151">_xlfn.IFS(AND(N151&lt;= 22, S151=9), "SOWING",AND(N151&lt;= 28, S151=9), "COVERAGE",AND(N151&lt;= 30, S151=9), "FLUSH",AND(N151&lt;= 11, S151=10), "FLUSH",AND(N151&lt;= 21, S151=10), "PRODUCTION")</f>
        <v>SOWING</v>
      </c>
      <c r="U151">
        <f>HOUR(datos_siembra[[#This Row],[Hour]])</f>
        <v>16</v>
      </c>
      <c r="V151" cm="1">
        <f t="array" ref="V151">_xlfn.IFS(AND(N151&lt;= 22, S151=9), N151-7,AND(N151&lt;= 28, S151=9), N151-25,AND(N151&lt;= 30, S151=9), N151-28,AND(N151&lt;= 11, S151=10), N151+2,AND(N151&lt;= 21, S151=10), N151-11)</f>
        <v>2</v>
      </c>
    </row>
    <row r="152" spans="1:22" x14ac:dyDescent="0.35">
      <c r="A152" s="4">
        <v>45544</v>
      </c>
      <c r="B152" s="5">
        <v>0.69935185185185189</v>
      </c>
      <c r="C152">
        <v>79.7</v>
      </c>
      <c r="D152">
        <v>82.5</v>
      </c>
      <c r="E152">
        <v>82.7</v>
      </c>
      <c r="F152">
        <v>78.599999999999994</v>
      </c>
      <c r="G152">
        <v>0</v>
      </c>
      <c r="H152">
        <v>0</v>
      </c>
      <c r="I152">
        <v>0</v>
      </c>
      <c r="J152">
        <v>0</v>
      </c>
      <c r="K152">
        <v>66.900000000000006</v>
      </c>
      <c r="L152">
        <v>65.099999999999994</v>
      </c>
      <c r="M152">
        <v>80.88</v>
      </c>
      <c r="N152">
        <v>9</v>
      </c>
      <c r="O152">
        <v>6</v>
      </c>
      <c r="P152">
        <f>MOD(DAY(datos_siembra[[#This Row],[Date]]),7)</f>
        <v>2</v>
      </c>
      <c r="Q152" t="str">
        <f>CHOOSE(WEEKDAY(datos_siembra[[#This Row],[Date]],2),"L","M","X","J","V","S","D")</f>
        <v>L</v>
      </c>
      <c r="R152">
        <f>WEEKNUM(datos_siembra[[#This Row],[Date]],2)-WEEKNUM(DATE(YEAR(datos_siembra[[#This Row],[Date]]),MONTH(datos_siembra[[#This Row],[Date]]),1))+1</f>
        <v>2</v>
      </c>
      <c r="S152">
        <f>MONTH(datos_siembra[[#This Row],[Date]])</f>
        <v>9</v>
      </c>
      <c r="T152" t="str" cm="1">
        <f t="array" ref="T152">_xlfn.IFS(AND(N152&lt;= 22, S152=9), "SOWING",AND(N152&lt;= 28, S152=9), "COVERAGE",AND(N152&lt;= 30, S152=9), "FLUSH",AND(N152&lt;= 11, S152=10), "FLUSH",AND(N152&lt;= 21, S152=10), "PRODUCTION")</f>
        <v>SOWING</v>
      </c>
      <c r="U152">
        <f>HOUR(datos_siembra[[#This Row],[Hour]])</f>
        <v>16</v>
      </c>
      <c r="V152" cm="1">
        <f t="array" ref="V152">_xlfn.IFS(AND(N152&lt;= 22, S152=9), N152-7,AND(N152&lt;= 28, S152=9), N152-25,AND(N152&lt;= 30, S152=9), N152-28,AND(N152&lt;= 11, S152=10), N152+2,AND(N152&lt;= 21, S152=10), N152-11)</f>
        <v>2</v>
      </c>
    </row>
    <row r="153" spans="1:22" x14ac:dyDescent="0.35">
      <c r="A153" s="4">
        <v>45544</v>
      </c>
      <c r="B153" s="5">
        <v>0.70629629629629631</v>
      </c>
      <c r="C153">
        <v>79.8</v>
      </c>
      <c r="D153">
        <v>82.5</v>
      </c>
      <c r="E153">
        <v>82.9</v>
      </c>
      <c r="F153">
        <v>78.8</v>
      </c>
      <c r="G153">
        <v>0</v>
      </c>
      <c r="H153">
        <v>0</v>
      </c>
      <c r="I153">
        <v>0</v>
      </c>
      <c r="J153">
        <v>0</v>
      </c>
      <c r="K153">
        <v>67.400000000000006</v>
      </c>
      <c r="L153">
        <v>65.900000000000006</v>
      </c>
      <c r="M153">
        <v>81.11</v>
      </c>
      <c r="N153">
        <v>9</v>
      </c>
      <c r="O153">
        <v>6</v>
      </c>
      <c r="P153">
        <f>MOD(DAY(datos_siembra[[#This Row],[Date]]),7)</f>
        <v>2</v>
      </c>
      <c r="Q153" t="str">
        <f>CHOOSE(WEEKDAY(datos_siembra[[#This Row],[Date]],2),"L","M","X","J","V","S","D")</f>
        <v>L</v>
      </c>
      <c r="R153">
        <f>WEEKNUM(datos_siembra[[#This Row],[Date]],2)-WEEKNUM(DATE(YEAR(datos_siembra[[#This Row],[Date]]),MONTH(datos_siembra[[#This Row],[Date]]),1))+1</f>
        <v>2</v>
      </c>
      <c r="S153">
        <f>MONTH(datos_siembra[[#This Row],[Date]])</f>
        <v>9</v>
      </c>
      <c r="T153" t="str" cm="1">
        <f t="array" ref="T153">_xlfn.IFS(AND(N153&lt;= 22, S153=9), "SOWING",AND(N153&lt;= 28, S153=9), "COVERAGE",AND(N153&lt;= 30, S153=9), "FLUSH",AND(N153&lt;= 11, S153=10), "FLUSH",AND(N153&lt;= 21, S153=10), "PRODUCTION")</f>
        <v>SOWING</v>
      </c>
      <c r="U153">
        <f>HOUR(datos_siembra[[#This Row],[Hour]])</f>
        <v>16</v>
      </c>
      <c r="V153" cm="1">
        <f t="array" ref="V153">_xlfn.IFS(AND(N153&lt;= 22, S153=9), N153-7,AND(N153&lt;= 28, S153=9), N153-25,AND(N153&lt;= 30, S153=9), N153-28,AND(N153&lt;= 11, S153=10), N153+2,AND(N153&lt;= 21, S153=10), N153-11)</f>
        <v>2</v>
      </c>
    </row>
    <row r="154" spans="1:22" x14ac:dyDescent="0.35">
      <c r="A154" s="4">
        <v>45544</v>
      </c>
      <c r="B154" s="5">
        <v>0.71325231481481477</v>
      </c>
      <c r="C154">
        <v>79.900000000000006</v>
      </c>
      <c r="D154">
        <v>82.5</v>
      </c>
      <c r="E154">
        <v>82.9</v>
      </c>
      <c r="F154">
        <v>78.7</v>
      </c>
      <c r="G154">
        <v>0</v>
      </c>
      <c r="H154">
        <v>0</v>
      </c>
      <c r="I154">
        <v>0</v>
      </c>
      <c r="J154">
        <v>0</v>
      </c>
      <c r="K154">
        <v>67.7</v>
      </c>
      <c r="L154">
        <v>65</v>
      </c>
      <c r="M154">
        <v>80.849999999999994</v>
      </c>
      <c r="N154">
        <v>9</v>
      </c>
      <c r="O154">
        <v>6</v>
      </c>
      <c r="P154">
        <f>MOD(DAY(datos_siembra[[#This Row],[Date]]),7)</f>
        <v>2</v>
      </c>
      <c r="Q154" t="str">
        <f>CHOOSE(WEEKDAY(datos_siembra[[#This Row],[Date]],2),"L","M","X","J","V","S","D")</f>
        <v>L</v>
      </c>
      <c r="R154">
        <f>WEEKNUM(datos_siembra[[#This Row],[Date]],2)-WEEKNUM(DATE(YEAR(datos_siembra[[#This Row],[Date]]),MONTH(datos_siembra[[#This Row],[Date]]),1))+1</f>
        <v>2</v>
      </c>
      <c r="S154">
        <f>MONTH(datos_siembra[[#This Row],[Date]])</f>
        <v>9</v>
      </c>
      <c r="T154" t="str" cm="1">
        <f t="array" ref="T154">_xlfn.IFS(AND(N154&lt;= 22, S154=9), "SOWING",AND(N154&lt;= 28, S154=9), "COVERAGE",AND(N154&lt;= 30, S154=9), "FLUSH",AND(N154&lt;= 11, S154=10), "FLUSH",AND(N154&lt;= 21, S154=10), "PRODUCTION")</f>
        <v>SOWING</v>
      </c>
      <c r="U154">
        <f>HOUR(datos_siembra[[#This Row],[Hour]])</f>
        <v>17</v>
      </c>
      <c r="V154" cm="1">
        <f t="array" ref="V154">_xlfn.IFS(AND(N154&lt;= 22, S154=9), N154-7,AND(N154&lt;= 28, S154=9), N154-25,AND(N154&lt;= 30, S154=9), N154-28,AND(N154&lt;= 11, S154=10), N154+2,AND(N154&lt;= 21, S154=10), N154-11)</f>
        <v>2</v>
      </c>
    </row>
    <row r="155" spans="1:22" x14ac:dyDescent="0.35">
      <c r="A155" s="4">
        <v>45544</v>
      </c>
      <c r="B155" s="5">
        <v>0.7201967592592593</v>
      </c>
      <c r="C155">
        <v>79.8</v>
      </c>
      <c r="D155">
        <v>82.6</v>
      </c>
      <c r="E155">
        <v>83.3</v>
      </c>
      <c r="F155">
        <v>78.7</v>
      </c>
      <c r="G155">
        <v>0</v>
      </c>
      <c r="H155">
        <v>0</v>
      </c>
      <c r="I155">
        <v>0</v>
      </c>
      <c r="J155">
        <v>0</v>
      </c>
      <c r="K155">
        <v>67.900000000000006</v>
      </c>
      <c r="L155">
        <v>65.2</v>
      </c>
      <c r="M155">
        <v>80.97</v>
      </c>
      <c r="N155">
        <v>9</v>
      </c>
      <c r="O155">
        <v>6</v>
      </c>
      <c r="P155">
        <f>MOD(DAY(datos_siembra[[#This Row],[Date]]),7)</f>
        <v>2</v>
      </c>
      <c r="Q155" t="str">
        <f>CHOOSE(WEEKDAY(datos_siembra[[#This Row],[Date]],2),"L","M","X","J","V","S","D")</f>
        <v>L</v>
      </c>
      <c r="R155">
        <f>WEEKNUM(datos_siembra[[#This Row],[Date]],2)-WEEKNUM(DATE(YEAR(datos_siembra[[#This Row],[Date]]),MONTH(datos_siembra[[#This Row],[Date]]),1))+1</f>
        <v>2</v>
      </c>
      <c r="S155">
        <f>MONTH(datos_siembra[[#This Row],[Date]])</f>
        <v>9</v>
      </c>
      <c r="T155" t="str" cm="1">
        <f t="array" ref="T155">_xlfn.IFS(AND(N155&lt;= 22, S155=9), "SOWING",AND(N155&lt;= 28, S155=9), "COVERAGE",AND(N155&lt;= 30, S155=9), "FLUSH",AND(N155&lt;= 11, S155=10), "FLUSH",AND(N155&lt;= 21, S155=10), "PRODUCTION")</f>
        <v>SOWING</v>
      </c>
      <c r="U155">
        <f>HOUR(datos_siembra[[#This Row],[Hour]])</f>
        <v>17</v>
      </c>
      <c r="V155" cm="1">
        <f t="array" ref="V155">_xlfn.IFS(AND(N155&lt;= 22, S155=9), N155-7,AND(N155&lt;= 28, S155=9), N155-25,AND(N155&lt;= 30, S155=9), N155-28,AND(N155&lt;= 11, S155=10), N155+2,AND(N155&lt;= 21, S155=10), N155-11)</f>
        <v>2</v>
      </c>
    </row>
    <row r="156" spans="1:22" x14ac:dyDescent="0.35">
      <c r="A156" s="4">
        <v>45544</v>
      </c>
      <c r="B156" s="5">
        <v>0.72714120370370372</v>
      </c>
      <c r="C156">
        <v>79.599999999999994</v>
      </c>
      <c r="D156">
        <v>82.5</v>
      </c>
      <c r="E156">
        <v>82.9</v>
      </c>
      <c r="F156">
        <v>78.599999999999994</v>
      </c>
      <c r="G156">
        <v>0</v>
      </c>
      <c r="H156">
        <v>0</v>
      </c>
      <c r="I156">
        <v>0</v>
      </c>
      <c r="J156">
        <v>0</v>
      </c>
      <c r="K156">
        <v>67.900000000000006</v>
      </c>
      <c r="L156">
        <v>65.3</v>
      </c>
      <c r="M156">
        <v>80.97</v>
      </c>
      <c r="N156">
        <v>9</v>
      </c>
      <c r="O156">
        <v>6</v>
      </c>
      <c r="P156">
        <f>MOD(DAY(datos_siembra[[#This Row],[Date]]),7)</f>
        <v>2</v>
      </c>
      <c r="Q156" t="str">
        <f>CHOOSE(WEEKDAY(datos_siembra[[#This Row],[Date]],2),"L","M","X","J","V","S","D")</f>
        <v>L</v>
      </c>
      <c r="R156">
        <f>WEEKNUM(datos_siembra[[#This Row],[Date]],2)-WEEKNUM(DATE(YEAR(datos_siembra[[#This Row],[Date]]),MONTH(datos_siembra[[#This Row],[Date]]),1))+1</f>
        <v>2</v>
      </c>
      <c r="S156">
        <f>MONTH(datos_siembra[[#This Row],[Date]])</f>
        <v>9</v>
      </c>
      <c r="T156" t="str" cm="1">
        <f t="array" ref="T156">_xlfn.IFS(AND(N156&lt;= 22, S156=9), "SOWING",AND(N156&lt;= 28, S156=9), "COVERAGE",AND(N156&lt;= 30, S156=9), "FLUSH",AND(N156&lt;= 11, S156=10), "FLUSH",AND(N156&lt;= 21, S156=10), "PRODUCTION")</f>
        <v>SOWING</v>
      </c>
      <c r="U156">
        <f>HOUR(datos_siembra[[#This Row],[Hour]])</f>
        <v>17</v>
      </c>
      <c r="V156" cm="1">
        <f t="array" ref="V156">_xlfn.IFS(AND(N156&lt;= 22, S156=9), N156-7,AND(N156&lt;= 28, S156=9), N156-25,AND(N156&lt;= 30, S156=9), N156-28,AND(N156&lt;= 11, S156=10), N156+2,AND(N156&lt;= 21, S156=10), N156-11)</f>
        <v>2</v>
      </c>
    </row>
    <row r="157" spans="1:22" x14ac:dyDescent="0.35">
      <c r="A157" s="4">
        <v>45544</v>
      </c>
      <c r="B157" s="5">
        <v>0.73409722222222218</v>
      </c>
      <c r="C157">
        <v>79.599999999999994</v>
      </c>
      <c r="D157">
        <v>82.5</v>
      </c>
      <c r="E157">
        <v>82.9</v>
      </c>
      <c r="F157">
        <v>78.7</v>
      </c>
      <c r="G157">
        <v>0</v>
      </c>
      <c r="H157">
        <v>0</v>
      </c>
      <c r="I157">
        <v>0</v>
      </c>
      <c r="J157">
        <v>0</v>
      </c>
      <c r="K157">
        <v>68.099999999999994</v>
      </c>
      <c r="L157">
        <v>65.400000000000006</v>
      </c>
      <c r="M157">
        <v>80.94</v>
      </c>
      <c r="N157">
        <v>9</v>
      </c>
      <c r="O157">
        <v>6</v>
      </c>
      <c r="P157">
        <f>MOD(DAY(datos_siembra[[#This Row],[Date]]),7)</f>
        <v>2</v>
      </c>
      <c r="Q157" t="str">
        <f>CHOOSE(WEEKDAY(datos_siembra[[#This Row],[Date]],2),"L","M","X","J","V","S","D")</f>
        <v>L</v>
      </c>
      <c r="R157">
        <f>WEEKNUM(datos_siembra[[#This Row],[Date]],2)-WEEKNUM(DATE(YEAR(datos_siembra[[#This Row],[Date]]),MONTH(datos_siembra[[#This Row],[Date]]),1))+1</f>
        <v>2</v>
      </c>
      <c r="S157">
        <f>MONTH(datos_siembra[[#This Row],[Date]])</f>
        <v>9</v>
      </c>
      <c r="T157" t="str" cm="1">
        <f t="array" ref="T157">_xlfn.IFS(AND(N157&lt;= 22, S157=9), "SOWING",AND(N157&lt;= 28, S157=9), "COVERAGE",AND(N157&lt;= 30, S157=9), "FLUSH",AND(N157&lt;= 11, S157=10), "FLUSH",AND(N157&lt;= 21, S157=10), "PRODUCTION")</f>
        <v>SOWING</v>
      </c>
      <c r="U157">
        <f>HOUR(datos_siembra[[#This Row],[Hour]])</f>
        <v>17</v>
      </c>
      <c r="V157" cm="1">
        <f t="array" ref="V157">_xlfn.IFS(AND(N157&lt;= 22, S157=9), N157-7,AND(N157&lt;= 28, S157=9), N157-25,AND(N157&lt;= 30, S157=9), N157-28,AND(N157&lt;= 11, S157=10), N157+2,AND(N157&lt;= 21, S157=10), N157-11)</f>
        <v>2</v>
      </c>
    </row>
    <row r="158" spans="1:22" x14ac:dyDescent="0.35">
      <c r="A158" s="4">
        <v>45544</v>
      </c>
      <c r="B158" s="5">
        <v>0.74104166666666671</v>
      </c>
      <c r="C158">
        <v>79.7</v>
      </c>
      <c r="D158">
        <v>82.5</v>
      </c>
      <c r="E158">
        <v>83</v>
      </c>
      <c r="F158">
        <v>78.8</v>
      </c>
      <c r="G158">
        <v>0</v>
      </c>
      <c r="H158">
        <v>0</v>
      </c>
      <c r="I158">
        <v>0</v>
      </c>
      <c r="J158">
        <v>0</v>
      </c>
      <c r="K158">
        <v>67.900000000000006</v>
      </c>
      <c r="L158">
        <v>65.3</v>
      </c>
      <c r="M158">
        <v>80.94</v>
      </c>
      <c r="N158">
        <v>9</v>
      </c>
      <c r="O158">
        <v>6</v>
      </c>
      <c r="P158">
        <f>MOD(DAY(datos_siembra[[#This Row],[Date]]),7)</f>
        <v>2</v>
      </c>
      <c r="Q158" t="str">
        <f>CHOOSE(WEEKDAY(datos_siembra[[#This Row],[Date]],2),"L","M","X","J","V","S","D")</f>
        <v>L</v>
      </c>
      <c r="R158">
        <f>WEEKNUM(datos_siembra[[#This Row],[Date]],2)-WEEKNUM(DATE(YEAR(datos_siembra[[#This Row],[Date]]),MONTH(datos_siembra[[#This Row],[Date]]),1))+1</f>
        <v>2</v>
      </c>
      <c r="S158">
        <f>MONTH(datos_siembra[[#This Row],[Date]])</f>
        <v>9</v>
      </c>
      <c r="T158" t="str" cm="1">
        <f t="array" ref="T158">_xlfn.IFS(AND(N158&lt;= 22, S158=9), "SOWING",AND(N158&lt;= 28, S158=9), "COVERAGE",AND(N158&lt;= 30, S158=9), "FLUSH",AND(N158&lt;= 11, S158=10), "FLUSH",AND(N158&lt;= 21, S158=10), "PRODUCTION")</f>
        <v>SOWING</v>
      </c>
      <c r="U158">
        <f>HOUR(datos_siembra[[#This Row],[Hour]])</f>
        <v>17</v>
      </c>
      <c r="V158" cm="1">
        <f t="array" ref="V158">_xlfn.IFS(AND(N158&lt;= 22, S158=9), N158-7,AND(N158&lt;= 28, S158=9), N158-25,AND(N158&lt;= 30, S158=9), N158-28,AND(N158&lt;= 11, S158=10), N158+2,AND(N158&lt;= 21, S158=10), N158-11)</f>
        <v>2</v>
      </c>
    </row>
    <row r="159" spans="1:22" x14ac:dyDescent="0.35">
      <c r="A159" s="4">
        <v>45544</v>
      </c>
      <c r="B159" s="5">
        <v>0.74798611111111113</v>
      </c>
      <c r="C159">
        <v>79.599999999999994</v>
      </c>
      <c r="D159">
        <v>82.5</v>
      </c>
      <c r="E159">
        <v>83</v>
      </c>
      <c r="F159">
        <v>78.8</v>
      </c>
      <c r="G159">
        <v>0</v>
      </c>
      <c r="H159">
        <v>0</v>
      </c>
      <c r="I159">
        <v>0</v>
      </c>
      <c r="J159">
        <v>0</v>
      </c>
      <c r="K159">
        <v>67.900000000000006</v>
      </c>
      <c r="L159">
        <v>65.3</v>
      </c>
      <c r="M159">
        <v>80.989999999999995</v>
      </c>
      <c r="N159">
        <v>9</v>
      </c>
      <c r="O159">
        <v>6</v>
      </c>
      <c r="P159">
        <f>MOD(DAY(datos_siembra[[#This Row],[Date]]),7)</f>
        <v>2</v>
      </c>
      <c r="Q159" t="str">
        <f>CHOOSE(WEEKDAY(datos_siembra[[#This Row],[Date]],2),"L","M","X","J","V","S","D")</f>
        <v>L</v>
      </c>
      <c r="R159">
        <f>WEEKNUM(datos_siembra[[#This Row],[Date]],2)-WEEKNUM(DATE(YEAR(datos_siembra[[#This Row],[Date]]),MONTH(datos_siembra[[#This Row],[Date]]),1))+1</f>
        <v>2</v>
      </c>
      <c r="S159">
        <f>MONTH(datos_siembra[[#This Row],[Date]])</f>
        <v>9</v>
      </c>
      <c r="T159" t="str" cm="1">
        <f t="array" ref="T159">_xlfn.IFS(AND(N159&lt;= 22, S159=9), "SOWING",AND(N159&lt;= 28, S159=9), "COVERAGE",AND(N159&lt;= 30, S159=9), "FLUSH",AND(N159&lt;= 11, S159=10), "FLUSH",AND(N159&lt;= 21, S159=10), "PRODUCTION")</f>
        <v>SOWING</v>
      </c>
      <c r="U159">
        <f>HOUR(datos_siembra[[#This Row],[Hour]])</f>
        <v>17</v>
      </c>
      <c r="V159" cm="1">
        <f t="array" ref="V159">_xlfn.IFS(AND(N159&lt;= 22, S159=9), N159-7,AND(N159&lt;= 28, S159=9), N159-25,AND(N159&lt;= 30, S159=9), N159-28,AND(N159&lt;= 11, S159=10), N159+2,AND(N159&lt;= 21, S159=10), N159-11)</f>
        <v>2</v>
      </c>
    </row>
    <row r="160" spans="1:22" x14ac:dyDescent="0.35">
      <c r="A160" s="4">
        <v>45544</v>
      </c>
      <c r="B160" s="5">
        <v>0.75493055555555555</v>
      </c>
      <c r="C160">
        <v>79.7</v>
      </c>
      <c r="D160">
        <v>82.6</v>
      </c>
      <c r="E160">
        <v>83.2</v>
      </c>
      <c r="F160">
        <v>78.8</v>
      </c>
      <c r="G160">
        <v>0</v>
      </c>
      <c r="H160">
        <v>0</v>
      </c>
      <c r="I160">
        <v>0</v>
      </c>
      <c r="J160">
        <v>0</v>
      </c>
      <c r="K160">
        <v>68.099999999999994</v>
      </c>
      <c r="L160">
        <v>65.400000000000006</v>
      </c>
      <c r="M160">
        <v>80.88</v>
      </c>
      <c r="N160">
        <v>9</v>
      </c>
      <c r="O160">
        <v>6</v>
      </c>
      <c r="P160">
        <f>MOD(DAY(datos_siembra[[#This Row],[Date]]),7)</f>
        <v>2</v>
      </c>
      <c r="Q160" t="str">
        <f>CHOOSE(WEEKDAY(datos_siembra[[#This Row],[Date]],2),"L","M","X","J","V","S","D")</f>
        <v>L</v>
      </c>
      <c r="R160">
        <f>WEEKNUM(datos_siembra[[#This Row],[Date]],2)-WEEKNUM(DATE(YEAR(datos_siembra[[#This Row],[Date]]),MONTH(datos_siembra[[#This Row],[Date]]),1))+1</f>
        <v>2</v>
      </c>
      <c r="S160">
        <f>MONTH(datos_siembra[[#This Row],[Date]])</f>
        <v>9</v>
      </c>
      <c r="T160" t="str" cm="1">
        <f t="array" ref="T160">_xlfn.IFS(AND(N160&lt;= 22, S160=9), "SOWING",AND(N160&lt;= 28, S160=9), "COVERAGE",AND(N160&lt;= 30, S160=9), "FLUSH",AND(N160&lt;= 11, S160=10), "FLUSH",AND(N160&lt;= 21, S160=10), "PRODUCTION")</f>
        <v>SOWING</v>
      </c>
      <c r="U160">
        <f>HOUR(datos_siembra[[#This Row],[Hour]])</f>
        <v>18</v>
      </c>
      <c r="V160" cm="1">
        <f t="array" ref="V160">_xlfn.IFS(AND(N160&lt;= 22, S160=9), N160-7,AND(N160&lt;= 28, S160=9), N160-25,AND(N160&lt;= 30, S160=9), N160-28,AND(N160&lt;= 11, S160=10), N160+2,AND(N160&lt;= 21, S160=10), N160-11)</f>
        <v>2</v>
      </c>
    </row>
    <row r="161" spans="1:22" x14ac:dyDescent="0.35">
      <c r="A161" s="4">
        <v>45544</v>
      </c>
      <c r="B161" s="5">
        <v>0.76188657407407412</v>
      </c>
      <c r="C161">
        <v>79.8</v>
      </c>
      <c r="D161">
        <v>82.5</v>
      </c>
      <c r="E161">
        <v>83.2</v>
      </c>
      <c r="F161">
        <v>78.7</v>
      </c>
      <c r="G161">
        <v>0</v>
      </c>
      <c r="H161">
        <v>0</v>
      </c>
      <c r="I161">
        <v>0</v>
      </c>
      <c r="J161">
        <v>0</v>
      </c>
      <c r="K161">
        <v>67.8</v>
      </c>
      <c r="L161">
        <v>65.3</v>
      </c>
      <c r="M161">
        <v>80.989999999999995</v>
      </c>
      <c r="N161">
        <v>9</v>
      </c>
      <c r="O161">
        <v>6</v>
      </c>
      <c r="P161">
        <f>MOD(DAY(datos_siembra[[#This Row],[Date]]),7)</f>
        <v>2</v>
      </c>
      <c r="Q161" t="str">
        <f>CHOOSE(WEEKDAY(datos_siembra[[#This Row],[Date]],2),"L","M","X","J","V","S","D")</f>
        <v>L</v>
      </c>
      <c r="R161">
        <f>WEEKNUM(datos_siembra[[#This Row],[Date]],2)-WEEKNUM(DATE(YEAR(datos_siembra[[#This Row],[Date]]),MONTH(datos_siembra[[#This Row],[Date]]),1))+1</f>
        <v>2</v>
      </c>
      <c r="S161">
        <f>MONTH(datos_siembra[[#This Row],[Date]])</f>
        <v>9</v>
      </c>
      <c r="T161" t="str" cm="1">
        <f t="array" ref="T161">_xlfn.IFS(AND(N161&lt;= 22, S161=9), "SOWING",AND(N161&lt;= 28, S161=9), "COVERAGE",AND(N161&lt;= 30, S161=9), "FLUSH",AND(N161&lt;= 11, S161=10), "FLUSH",AND(N161&lt;= 21, S161=10), "PRODUCTION")</f>
        <v>SOWING</v>
      </c>
      <c r="U161">
        <f>HOUR(datos_siembra[[#This Row],[Hour]])</f>
        <v>18</v>
      </c>
      <c r="V161" cm="1">
        <f t="array" ref="V161">_xlfn.IFS(AND(N161&lt;= 22, S161=9), N161-7,AND(N161&lt;= 28, S161=9), N161-25,AND(N161&lt;= 30, S161=9), N161-28,AND(N161&lt;= 11, S161=10), N161+2,AND(N161&lt;= 21, S161=10), N161-11)</f>
        <v>2</v>
      </c>
    </row>
    <row r="162" spans="1:22" x14ac:dyDescent="0.35">
      <c r="A162" s="4">
        <v>45544</v>
      </c>
      <c r="B162" s="5">
        <v>0.76883101851851854</v>
      </c>
      <c r="C162">
        <v>79.599999999999994</v>
      </c>
      <c r="D162">
        <v>82.5</v>
      </c>
      <c r="E162">
        <v>83.2</v>
      </c>
      <c r="F162">
        <v>78.8</v>
      </c>
      <c r="G162">
        <v>0</v>
      </c>
      <c r="H162">
        <v>0</v>
      </c>
      <c r="I162">
        <v>0</v>
      </c>
      <c r="J162">
        <v>0</v>
      </c>
      <c r="K162">
        <v>67.900000000000006</v>
      </c>
      <c r="L162">
        <v>65.3</v>
      </c>
      <c r="M162">
        <v>81.08</v>
      </c>
      <c r="N162">
        <v>9</v>
      </c>
      <c r="O162">
        <v>6</v>
      </c>
      <c r="P162">
        <f>MOD(DAY(datos_siembra[[#This Row],[Date]]),7)</f>
        <v>2</v>
      </c>
      <c r="Q162" t="str">
        <f>CHOOSE(WEEKDAY(datos_siembra[[#This Row],[Date]],2),"L","M","X","J","V","S","D")</f>
        <v>L</v>
      </c>
      <c r="R162">
        <f>WEEKNUM(datos_siembra[[#This Row],[Date]],2)-WEEKNUM(DATE(YEAR(datos_siembra[[#This Row],[Date]]),MONTH(datos_siembra[[#This Row],[Date]]),1))+1</f>
        <v>2</v>
      </c>
      <c r="S162">
        <f>MONTH(datos_siembra[[#This Row],[Date]])</f>
        <v>9</v>
      </c>
      <c r="T162" t="str" cm="1">
        <f t="array" ref="T162">_xlfn.IFS(AND(N162&lt;= 22, S162=9), "SOWING",AND(N162&lt;= 28, S162=9), "COVERAGE",AND(N162&lt;= 30, S162=9), "FLUSH",AND(N162&lt;= 11, S162=10), "FLUSH",AND(N162&lt;= 21, S162=10), "PRODUCTION")</f>
        <v>SOWING</v>
      </c>
      <c r="U162">
        <f>HOUR(datos_siembra[[#This Row],[Hour]])</f>
        <v>18</v>
      </c>
      <c r="V162" cm="1">
        <f t="array" ref="V162">_xlfn.IFS(AND(N162&lt;= 22, S162=9), N162-7,AND(N162&lt;= 28, S162=9), N162-25,AND(N162&lt;= 30, S162=9), N162-28,AND(N162&lt;= 11, S162=10), N162+2,AND(N162&lt;= 21, S162=10), N162-11)</f>
        <v>2</v>
      </c>
    </row>
    <row r="163" spans="1:22" x14ac:dyDescent="0.35">
      <c r="A163" s="4">
        <v>45544</v>
      </c>
      <c r="B163" s="5">
        <v>0.77577546296296296</v>
      </c>
      <c r="C163">
        <v>79.599999999999994</v>
      </c>
      <c r="D163">
        <v>82.6</v>
      </c>
      <c r="E163">
        <v>83.2</v>
      </c>
      <c r="F163">
        <v>78.7</v>
      </c>
      <c r="G163">
        <v>0</v>
      </c>
      <c r="H163">
        <v>0</v>
      </c>
      <c r="I163">
        <v>0</v>
      </c>
      <c r="J163">
        <v>0</v>
      </c>
      <c r="K163">
        <v>67.900000000000006</v>
      </c>
      <c r="L163">
        <v>65.3</v>
      </c>
      <c r="M163">
        <v>80.989999999999995</v>
      </c>
      <c r="N163">
        <v>9</v>
      </c>
      <c r="O163">
        <v>6</v>
      </c>
      <c r="P163">
        <f>MOD(DAY(datos_siembra[[#This Row],[Date]]),7)</f>
        <v>2</v>
      </c>
      <c r="Q163" t="str">
        <f>CHOOSE(WEEKDAY(datos_siembra[[#This Row],[Date]],2),"L","M","X","J","V","S","D")</f>
        <v>L</v>
      </c>
      <c r="R163">
        <f>WEEKNUM(datos_siembra[[#This Row],[Date]],2)-WEEKNUM(DATE(YEAR(datos_siembra[[#This Row],[Date]]),MONTH(datos_siembra[[#This Row],[Date]]),1))+1</f>
        <v>2</v>
      </c>
      <c r="S163">
        <f>MONTH(datos_siembra[[#This Row],[Date]])</f>
        <v>9</v>
      </c>
      <c r="T163" t="str" cm="1">
        <f t="array" ref="T163">_xlfn.IFS(AND(N163&lt;= 22, S163=9), "SOWING",AND(N163&lt;= 28, S163=9), "COVERAGE",AND(N163&lt;= 30, S163=9), "FLUSH",AND(N163&lt;= 11, S163=10), "FLUSH",AND(N163&lt;= 21, S163=10), "PRODUCTION")</f>
        <v>SOWING</v>
      </c>
      <c r="U163">
        <f>HOUR(datos_siembra[[#This Row],[Hour]])</f>
        <v>18</v>
      </c>
      <c r="V163" cm="1">
        <f t="array" ref="V163">_xlfn.IFS(AND(N163&lt;= 22, S163=9), N163-7,AND(N163&lt;= 28, S163=9), N163-25,AND(N163&lt;= 30, S163=9), N163-28,AND(N163&lt;= 11, S163=10), N163+2,AND(N163&lt;= 21, S163=10), N163-11)</f>
        <v>2</v>
      </c>
    </row>
    <row r="164" spans="1:22" x14ac:dyDescent="0.35">
      <c r="A164" s="4">
        <v>45544</v>
      </c>
      <c r="B164" s="5">
        <v>0.78271990740740738</v>
      </c>
      <c r="C164">
        <v>79.7</v>
      </c>
      <c r="D164">
        <v>82.6</v>
      </c>
      <c r="E164">
        <v>83.2</v>
      </c>
      <c r="F164">
        <v>78.900000000000006</v>
      </c>
      <c r="G164">
        <v>0</v>
      </c>
      <c r="H164">
        <v>0</v>
      </c>
      <c r="I164">
        <v>0</v>
      </c>
      <c r="J164">
        <v>0</v>
      </c>
      <c r="K164">
        <v>67.8</v>
      </c>
      <c r="L164">
        <v>65.2</v>
      </c>
      <c r="M164">
        <v>81.02</v>
      </c>
      <c r="N164">
        <v>9</v>
      </c>
      <c r="O164">
        <v>6</v>
      </c>
      <c r="P164">
        <f>MOD(DAY(datos_siembra[[#This Row],[Date]]),7)</f>
        <v>2</v>
      </c>
      <c r="Q164" t="str">
        <f>CHOOSE(WEEKDAY(datos_siembra[[#This Row],[Date]],2),"L","M","X","J","V","S","D")</f>
        <v>L</v>
      </c>
      <c r="R164">
        <f>WEEKNUM(datos_siembra[[#This Row],[Date]],2)-WEEKNUM(DATE(YEAR(datos_siembra[[#This Row],[Date]]),MONTH(datos_siembra[[#This Row],[Date]]),1))+1</f>
        <v>2</v>
      </c>
      <c r="S164">
        <f>MONTH(datos_siembra[[#This Row],[Date]])</f>
        <v>9</v>
      </c>
      <c r="T164" t="str" cm="1">
        <f t="array" ref="T164">_xlfn.IFS(AND(N164&lt;= 22, S164=9), "SOWING",AND(N164&lt;= 28, S164=9), "COVERAGE",AND(N164&lt;= 30, S164=9), "FLUSH",AND(N164&lt;= 11, S164=10), "FLUSH",AND(N164&lt;= 21, S164=10), "PRODUCTION")</f>
        <v>SOWING</v>
      </c>
      <c r="U164">
        <f>HOUR(datos_siembra[[#This Row],[Hour]])</f>
        <v>18</v>
      </c>
      <c r="V164" cm="1">
        <f t="array" ref="V164">_xlfn.IFS(AND(N164&lt;= 22, S164=9), N164-7,AND(N164&lt;= 28, S164=9), N164-25,AND(N164&lt;= 30, S164=9), N164-28,AND(N164&lt;= 11, S164=10), N164+2,AND(N164&lt;= 21, S164=10), N164-11)</f>
        <v>2</v>
      </c>
    </row>
    <row r="165" spans="1:22" x14ac:dyDescent="0.35">
      <c r="A165" s="4">
        <v>45544</v>
      </c>
      <c r="B165" s="5">
        <v>0.78967592592592595</v>
      </c>
      <c r="C165">
        <v>79.7</v>
      </c>
      <c r="D165">
        <v>82.7</v>
      </c>
      <c r="E165">
        <v>83.1</v>
      </c>
      <c r="F165">
        <v>78.8</v>
      </c>
      <c r="G165">
        <v>0</v>
      </c>
      <c r="H165">
        <v>0</v>
      </c>
      <c r="I165">
        <v>0</v>
      </c>
      <c r="J165">
        <v>0</v>
      </c>
      <c r="K165">
        <v>67.8</v>
      </c>
      <c r="L165">
        <v>65.099999999999994</v>
      </c>
      <c r="M165">
        <v>81.08</v>
      </c>
      <c r="N165">
        <v>9</v>
      </c>
      <c r="O165">
        <v>6</v>
      </c>
      <c r="P165">
        <f>MOD(DAY(datos_siembra[[#This Row],[Date]]),7)</f>
        <v>2</v>
      </c>
      <c r="Q165" t="str">
        <f>CHOOSE(WEEKDAY(datos_siembra[[#This Row],[Date]],2),"L","M","X","J","V","S","D")</f>
        <v>L</v>
      </c>
      <c r="R165">
        <f>WEEKNUM(datos_siembra[[#This Row],[Date]],2)-WEEKNUM(DATE(YEAR(datos_siembra[[#This Row],[Date]]),MONTH(datos_siembra[[#This Row],[Date]]),1))+1</f>
        <v>2</v>
      </c>
      <c r="S165">
        <f>MONTH(datos_siembra[[#This Row],[Date]])</f>
        <v>9</v>
      </c>
      <c r="T165" t="str" cm="1">
        <f t="array" ref="T165">_xlfn.IFS(AND(N165&lt;= 22, S165=9), "SOWING",AND(N165&lt;= 28, S165=9), "COVERAGE",AND(N165&lt;= 30, S165=9), "FLUSH",AND(N165&lt;= 11, S165=10), "FLUSH",AND(N165&lt;= 21, S165=10), "PRODUCTION")</f>
        <v>SOWING</v>
      </c>
      <c r="U165">
        <f>HOUR(datos_siembra[[#This Row],[Hour]])</f>
        <v>18</v>
      </c>
      <c r="V165" cm="1">
        <f t="array" ref="V165">_xlfn.IFS(AND(N165&lt;= 22, S165=9), N165-7,AND(N165&lt;= 28, S165=9), N165-25,AND(N165&lt;= 30, S165=9), N165-28,AND(N165&lt;= 11, S165=10), N165+2,AND(N165&lt;= 21, S165=10), N165-11)</f>
        <v>2</v>
      </c>
    </row>
    <row r="166" spans="1:22" x14ac:dyDescent="0.35">
      <c r="A166" s="4">
        <v>45544</v>
      </c>
      <c r="B166" s="5">
        <v>0.79662037037037037</v>
      </c>
      <c r="C166">
        <v>79.8</v>
      </c>
      <c r="D166">
        <v>82.5</v>
      </c>
      <c r="E166">
        <v>83.2</v>
      </c>
      <c r="F166">
        <v>78.7</v>
      </c>
      <c r="G166">
        <v>0</v>
      </c>
      <c r="H166">
        <v>0</v>
      </c>
      <c r="I166">
        <v>0</v>
      </c>
      <c r="J166">
        <v>0</v>
      </c>
      <c r="K166">
        <v>67.900000000000006</v>
      </c>
      <c r="L166">
        <v>65.099999999999994</v>
      </c>
      <c r="M166">
        <v>81.11</v>
      </c>
      <c r="N166">
        <v>9</v>
      </c>
      <c r="O166">
        <v>6</v>
      </c>
      <c r="P166">
        <f>MOD(DAY(datos_siembra[[#This Row],[Date]]),7)</f>
        <v>2</v>
      </c>
      <c r="Q166" t="str">
        <f>CHOOSE(WEEKDAY(datos_siembra[[#This Row],[Date]],2),"L","M","X","J","V","S","D")</f>
        <v>L</v>
      </c>
      <c r="R166">
        <f>WEEKNUM(datos_siembra[[#This Row],[Date]],2)-WEEKNUM(DATE(YEAR(datos_siembra[[#This Row],[Date]]),MONTH(datos_siembra[[#This Row],[Date]]),1))+1</f>
        <v>2</v>
      </c>
      <c r="S166">
        <f>MONTH(datos_siembra[[#This Row],[Date]])</f>
        <v>9</v>
      </c>
      <c r="T166" t="str" cm="1">
        <f t="array" ref="T166">_xlfn.IFS(AND(N166&lt;= 22, S166=9), "SOWING",AND(N166&lt;= 28, S166=9), "COVERAGE",AND(N166&lt;= 30, S166=9), "FLUSH",AND(N166&lt;= 11, S166=10), "FLUSH",AND(N166&lt;= 21, S166=10), "PRODUCTION")</f>
        <v>SOWING</v>
      </c>
      <c r="U166">
        <f>HOUR(datos_siembra[[#This Row],[Hour]])</f>
        <v>19</v>
      </c>
      <c r="V166" cm="1">
        <f t="array" ref="V166">_xlfn.IFS(AND(N166&lt;= 22, S166=9), N166-7,AND(N166&lt;= 28, S166=9), N166-25,AND(N166&lt;= 30, S166=9), N166-28,AND(N166&lt;= 11, S166=10), N166+2,AND(N166&lt;= 21, S166=10), N166-11)</f>
        <v>2</v>
      </c>
    </row>
    <row r="167" spans="1:22" x14ac:dyDescent="0.35">
      <c r="A167" s="4">
        <v>45544</v>
      </c>
      <c r="B167" s="5">
        <v>0.80356481481481479</v>
      </c>
      <c r="C167">
        <v>79.8</v>
      </c>
      <c r="D167">
        <v>82.7</v>
      </c>
      <c r="E167">
        <v>83.2</v>
      </c>
      <c r="F167">
        <v>78.7</v>
      </c>
      <c r="G167">
        <v>0</v>
      </c>
      <c r="H167">
        <v>0</v>
      </c>
      <c r="I167">
        <v>0</v>
      </c>
      <c r="J167">
        <v>0</v>
      </c>
      <c r="K167">
        <v>67.8</v>
      </c>
      <c r="L167">
        <v>65.099999999999994</v>
      </c>
      <c r="M167">
        <v>81.11</v>
      </c>
      <c r="N167">
        <v>9</v>
      </c>
      <c r="O167">
        <v>6</v>
      </c>
      <c r="P167">
        <f>MOD(DAY(datos_siembra[[#This Row],[Date]]),7)</f>
        <v>2</v>
      </c>
      <c r="Q167" t="str">
        <f>CHOOSE(WEEKDAY(datos_siembra[[#This Row],[Date]],2),"L","M","X","J","V","S","D")</f>
        <v>L</v>
      </c>
      <c r="R167">
        <f>WEEKNUM(datos_siembra[[#This Row],[Date]],2)-WEEKNUM(DATE(YEAR(datos_siembra[[#This Row],[Date]]),MONTH(datos_siembra[[#This Row],[Date]]),1))+1</f>
        <v>2</v>
      </c>
      <c r="S167">
        <f>MONTH(datos_siembra[[#This Row],[Date]])</f>
        <v>9</v>
      </c>
      <c r="T167" t="str" cm="1">
        <f t="array" ref="T167">_xlfn.IFS(AND(N167&lt;= 22, S167=9), "SOWING",AND(N167&lt;= 28, S167=9), "COVERAGE",AND(N167&lt;= 30, S167=9), "FLUSH",AND(N167&lt;= 11, S167=10), "FLUSH",AND(N167&lt;= 21, S167=10), "PRODUCTION")</f>
        <v>SOWING</v>
      </c>
      <c r="U167">
        <f>HOUR(datos_siembra[[#This Row],[Hour]])</f>
        <v>19</v>
      </c>
      <c r="V167" cm="1">
        <f t="array" ref="V167">_xlfn.IFS(AND(N167&lt;= 22, S167=9), N167-7,AND(N167&lt;= 28, S167=9), N167-25,AND(N167&lt;= 30, S167=9), N167-28,AND(N167&lt;= 11, S167=10), N167+2,AND(N167&lt;= 21, S167=10), N167-11)</f>
        <v>2</v>
      </c>
    </row>
    <row r="168" spans="1:22" x14ac:dyDescent="0.35">
      <c r="A168" s="4">
        <v>45544</v>
      </c>
      <c r="B168" s="5">
        <v>0.81052083333333336</v>
      </c>
      <c r="C168">
        <v>79.599999999999994</v>
      </c>
      <c r="D168">
        <v>82.6</v>
      </c>
      <c r="E168">
        <v>83.6</v>
      </c>
      <c r="F168">
        <v>78.8</v>
      </c>
      <c r="G168">
        <v>0</v>
      </c>
      <c r="H168">
        <v>0</v>
      </c>
      <c r="I168">
        <v>0</v>
      </c>
      <c r="J168">
        <v>0</v>
      </c>
      <c r="K168">
        <v>67.900000000000006</v>
      </c>
      <c r="L168">
        <v>65.099999999999994</v>
      </c>
      <c r="M168">
        <v>81.02</v>
      </c>
      <c r="N168">
        <v>9</v>
      </c>
      <c r="O168">
        <v>6</v>
      </c>
      <c r="P168">
        <f>MOD(DAY(datos_siembra[[#This Row],[Date]]),7)</f>
        <v>2</v>
      </c>
      <c r="Q168" t="str">
        <f>CHOOSE(WEEKDAY(datos_siembra[[#This Row],[Date]],2),"L","M","X","J","V","S","D")</f>
        <v>L</v>
      </c>
      <c r="R168">
        <f>WEEKNUM(datos_siembra[[#This Row],[Date]],2)-WEEKNUM(DATE(YEAR(datos_siembra[[#This Row],[Date]]),MONTH(datos_siembra[[#This Row],[Date]]),1))+1</f>
        <v>2</v>
      </c>
      <c r="S168">
        <f>MONTH(datos_siembra[[#This Row],[Date]])</f>
        <v>9</v>
      </c>
      <c r="T168" t="str" cm="1">
        <f t="array" ref="T168">_xlfn.IFS(AND(N168&lt;= 22, S168=9), "SOWING",AND(N168&lt;= 28, S168=9), "COVERAGE",AND(N168&lt;= 30, S168=9), "FLUSH",AND(N168&lt;= 11, S168=10), "FLUSH",AND(N168&lt;= 21, S168=10), "PRODUCTION")</f>
        <v>SOWING</v>
      </c>
      <c r="U168">
        <f>HOUR(datos_siembra[[#This Row],[Hour]])</f>
        <v>19</v>
      </c>
      <c r="V168" cm="1">
        <f t="array" ref="V168">_xlfn.IFS(AND(N168&lt;= 22, S168=9), N168-7,AND(N168&lt;= 28, S168=9), N168-25,AND(N168&lt;= 30, S168=9), N168-28,AND(N168&lt;= 11, S168=10), N168+2,AND(N168&lt;= 21, S168=10), N168-11)</f>
        <v>2</v>
      </c>
    </row>
    <row r="169" spans="1:22" x14ac:dyDescent="0.35">
      <c r="A169" s="4">
        <v>45544</v>
      </c>
      <c r="B169" s="5">
        <v>0.81746527777777778</v>
      </c>
      <c r="C169">
        <v>79.7</v>
      </c>
      <c r="D169">
        <v>82.6</v>
      </c>
      <c r="E169">
        <v>83.4</v>
      </c>
      <c r="F169">
        <v>78.8</v>
      </c>
      <c r="G169">
        <v>0</v>
      </c>
      <c r="H169">
        <v>0</v>
      </c>
      <c r="I169">
        <v>0</v>
      </c>
      <c r="J169">
        <v>0</v>
      </c>
      <c r="K169">
        <v>67.7</v>
      </c>
      <c r="L169">
        <v>65</v>
      </c>
      <c r="M169">
        <v>81.19</v>
      </c>
      <c r="N169">
        <v>9</v>
      </c>
      <c r="O169">
        <v>6</v>
      </c>
      <c r="P169">
        <f>MOD(DAY(datos_siembra[[#This Row],[Date]]),7)</f>
        <v>2</v>
      </c>
      <c r="Q169" t="str">
        <f>CHOOSE(WEEKDAY(datos_siembra[[#This Row],[Date]],2),"L","M","X","J","V","S","D")</f>
        <v>L</v>
      </c>
      <c r="R169">
        <f>WEEKNUM(datos_siembra[[#This Row],[Date]],2)-WEEKNUM(DATE(YEAR(datos_siembra[[#This Row],[Date]]),MONTH(datos_siembra[[#This Row],[Date]]),1))+1</f>
        <v>2</v>
      </c>
      <c r="S169">
        <f>MONTH(datos_siembra[[#This Row],[Date]])</f>
        <v>9</v>
      </c>
      <c r="T169" t="str" cm="1">
        <f t="array" ref="T169">_xlfn.IFS(AND(N169&lt;= 22, S169=9), "SOWING",AND(N169&lt;= 28, S169=9), "COVERAGE",AND(N169&lt;= 30, S169=9), "FLUSH",AND(N169&lt;= 11, S169=10), "FLUSH",AND(N169&lt;= 21, S169=10), "PRODUCTION")</f>
        <v>SOWING</v>
      </c>
      <c r="U169">
        <f>HOUR(datos_siembra[[#This Row],[Hour]])</f>
        <v>19</v>
      </c>
      <c r="V169" cm="1">
        <f t="array" ref="V169">_xlfn.IFS(AND(N169&lt;= 22, S169=9), N169-7,AND(N169&lt;= 28, S169=9), N169-25,AND(N169&lt;= 30, S169=9), N169-28,AND(N169&lt;= 11, S169=10), N169+2,AND(N169&lt;= 21, S169=10), N169-11)</f>
        <v>2</v>
      </c>
    </row>
    <row r="170" spans="1:22" x14ac:dyDescent="0.35">
      <c r="A170" s="4">
        <v>45544</v>
      </c>
      <c r="B170" s="5">
        <v>0.8244097222222222</v>
      </c>
      <c r="C170">
        <v>79.8</v>
      </c>
      <c r="D170">
        <v>82.6</v>
      </c>
      <c r="E170">
        <v>83.6</v>
      </c>
      <c r="F170">
        <v>78.8</v>
      </c>
      <c r="G170">
        <v>0</v>
      </c>
      <c r="H170">
        <v>0</v>
      </c>
      <c r="I170">
        <v>0</v>
      </c>
      <c r="J170">
        <v>0</v>
      </c>
      <c r="K170">
        <v>67.7</v>
      </c>
      <c r="L170">
        <v>65</v>
      </c>
      <c r="M170">
        <v>81.13</v>
      </c>
      <c r="N170">
        <v>9</v>
      </c>
      <c r="O170">
        <v>6</v>
      </c>
      <c r="P170">
        <f>MOD(DAY(datos_siembra[[#This Row],[Date]]),7)</f>
        <v>2</v>
      </c>
      <c r="Q170" t="str">
        <f>CHOOSE(WEEKDAY(datos_siembra[[#This Row],[Date]],2),"L","M","X","J","V","S","D")</f>
        <v>L</v>
      </c>
      <c r="R170">
        <f>WEEKNUM(datos_siembra[[#This Row],[Date]],2)-WEEKNUM(DATE(YEAR(datos_siembra[[#This Row],[Date]]),MONTH(datos_siembra[[#This Row],[Date]]),1))+1</f>
        <v>2</v>
      </c>
      <c r="S170">
        <f>MONTH(datos_siembra[[#This Row],[Date]])</f>
        <v>9</v>
      </c>
      <c r="T170" t="str" cm="1">
        <f t="array" ref="T170">_xlfn.IFS(AND(N170&lt;= 22, S170=9), "SOWING",AND(N170&lt;= 28, S170=9), "COVERAGE",AND(N170&lt;= 30, S170=9), "FLUSH",AND(N170&lt;= 11, S170=10), "FLUSH",AND(N170&lt;= 21, S170=10), "PRODUCTION")</f>
        <v>SOWING</v>
      </c>
      <c r="U170">
        <f>HOUR(datos_siembra[[#This Row],[Hour]])</f>
        <v>19</v>
      </c>
      <c r="V170" cm="1">
        <f t="array" ref="V170">_xlfn.IFS(AND(N170&lt;= 22, S170=9), N170-7,AND(N170&lt;= 28, S170=9), N170-25,AND(N170&lt;= 30, S170=9), N170-28,AND(N170&lt;= 11, S170=10), N170+2,AND(N170&lt;= 21, S170=10), N170-11)</f>
        <v>2</v>
      </c>
    </row>
    <row r="171" spans="1:22" x14ac:dyDescent="0.35">
      <c r="A171" s="4">
        <v>45544</v>
      </c>
      <c r="B171" s="5">
        <v>0.83135416666666662</v>
      </c>
      <c r="C171">
        <v>79.599999999999994</v>
      </c>
      <c r="D171">
        <v>82.6</v>
      </c>
      <c r="E171">
        <v>83.5</v>
      </c>
      <c r="F171">
        <v>78.7</v>
      </c>
      <c r="G171">
        <v>0</v>
      </c>
      <c r="H171">
        <v>0</v>
      </c>
      <c r="I171">
        <v>0</v>
      </c>
      <c r="J171">
        <v>0</v>
      </c>
      <c r="K171">
        <v>67.8</v>
      </c>
      <c r="L171">
        <v>65</v>
      </c>
      <c r="M171">
        <v>81.11</v>
      </c>
      <c r="N171">
        <v>9</v>
      </c>
      <c r="O171">
        <v>6</v>
      </c>
      <c r="P171">
        <f>MOD(DAY(datos_siembra[[#This Row],[Date]]),7)</f>
        <v>2</v>
      </c>
      <c r="Q171" t="str">
        <f>CHOOSE(WEEKDAY(datos_siembra[[#This Row],[Date]],2),"L","M","X","J","V","S","D")</f>
        <v>L</v>
      </c>
      <c r="R171">
        <f>WEEKNUM(datos_siembra[[#This Row],[Date]],2)-WEEKNUM(DATE(YEAR(datos_siembra[[#This Row],[Date]]),MONTH(datos_siembra[[#This Row],[Date]]),1))+1</f>
        <v>2</v>
      </c>
      <c r="S171">
        <f>MONTH(datos_siembra[[#This Row],[Date]])</f>
        <v>9</v>
      </c>
      <c r="T171" t="str" cm="1">
        <f t="array" ref="T171">_xlfn.IFS(AND(N171&lt;= 22, S171=9), "SOWING",AND(N171&lt;= 28, S171=9), "COVERAGE",AND(N171&lt;= 30, S171=9), "FLUSH",AND(N171&lt;= 11, S171=10), "FLUSH",AND(N171&lt;= 21, S171=10), "PRODUCTION")</f>
        <v>SOWING</v>
      </c>
      <c r="U171">
        <f>HOUR(datos_siembra[[#This Row],[Hour]])</f>
        <v>19</v>
      </c>
      <c r="V171" cm="1">
        <f t="array" ref="V171">_xlfn.IFS(AND(N171&lt;= 22, S171=9), N171-7,AND(N171&lt;= 28, S171=9), N171-25,AND(N171&lt;= 30, S171=9), N171-28,AND(N171&lt;= 11, S171=10), N171+2,AND(N171&lt;= 21, S171=10), N171-11)</f>
        <v>2</v>
      </c>
    </row>
    <row r="172" spans="1:22" x14ac:dyDescent="0.35">
      <c r="A172" s="4">
        <v>45544</v>
      </c>
      <c r="B172" s="5">
        <v>0.83829861111111115</v>
      </c>
      <c r="C172">
        <v>79.7</v>
      </c>
      <c r="D172">
        <v>82.6</v>
      </c>
      <c r="E172">
        <v>83.5</v>
      </c>
      <c r="F172">
        <v>78.900000000000006</v>
      </c>
      <c r="G172">
        <v>0</v>
      </c>
      <c r="H172">
        <v>0</v>
      </c>
      <c r="I172">
        <v>0</v>
      </c>
      <c r="J172">
        <v>0</v>
      </c>
      <c r="K172">
        <v>67.7</v>
      </c>
      <c r="L172">
        <v>65.900000000000006</v>
      </c>
      <c r="M172">
        <v>81.19</v>
      </c>
      <c r="N172">
        <v>9</v>
      </c>
      <c r="O172">
        <v>6</v>
      </c>
      <c r="P172">
        <f>MOD(DAY(datos_siembra[[#This Row],[Date]]),7)</f>
        <v>2</v>
      </c>
      <c r="Q172" t="str">
        <f>CHOOSE(WEEKDAY(datos_siembra[[#This Row],[Date]],2),"L","M","X","J","V","S","D")</f>
        <v>L</v>
      </c>
      <c r="R172">
        <f>WEEKNUM(datos_siembra[[#This Row],[Date]],2)-WEEKNUM(DATE(YEAR(datos_siembra[[#This Row],[Date]]),MONTH(datos_siembra[[#This Row],[Date]]),1))+1</f>
        <v>2</v>
      </c>
      <c r="S172">
        <f>MONTH(datos_siembra[[#This Row],[Date]])</f>
        <v>9</v>
      </c>
      <c r="T172" t="str" cm="1">
        <f t="array" ref="T172">_xlfn.IFS(AND(N172&lt;= 22, S172=9), "SOWING",AND(N172&lt;= 28, S172=9), "COVERAGE",AND(N172&lt;= 30, S172=9), "FLUSH",AND(N172&lt;= 11, S172=10), "FLUSH",AND(N172&lt;= 21, S172=10), "PRODUCTION")</f>
        <v>SOWING</v>
      </c>
      <c r="U172">
        <f>HOUR(datos_siembra[[#This Row],[Hour]])</f>
        <v>20</v>
      </c>
      <c r="V172" cm="1">
        <f t="array" ref="V172">_xlfn.IFS(AND(N172&lt;= 22, S172=9), N172-7,AND(N172&lt;= 28, S172=9), N172-25,AND(N172&lt;= 30, S172=9), N172-28,AND(N172&lt;= 11, S172=10), N172+2,AND(N172&lt;= 21, S172=10), N172-11)</f>
        <v>2</v>
      </c>
    </row>
    <row r="173" spans="1:22" x14ac:dyDescent="0.35">
      <c r="A173" s="4">
        <v>45544</v>
      </c>
      <c r="B173" s="5">
        <v>0.84525462962962961</v>
      </c>
      <c r="C173">
        <v>79.599999999999994</v>
      </c>
      <c r="D173">
        <v>82.7</v>
      </c>
      <c r="E173">
        <v>83.6</v>
      </c>
      <c r="F173">
        <v>79</v>
      </c>
      <c r="G173">
        <v>0</v>
      </c>
      <c r="H173">
        <v>0</v>
      </c>
      <c r="I173">
        <v>0</v>
      </c>
      <c r="J173">
        <v>0</v>
      </c>
      <c r="K173">
        <v>67.599999999999994</v>
      </c>
      <c r="L173">
        <v>65.900000000000006</v>
      </c>
      <c r="M173">
        <v>81.19</v>
      </c>
      <c r="N173">
        <v>9</v>
      </c>
      <c r="O173">
        <v>6</v>
      </c>
      <c r="P173">
        <f>MOD(DAY(datos_siembra[[#This Row],[Date]]),7)</f>
        <v>2</v>
      </c>
      <c r="Q173" t="str">
        <f>CHOOSE(WEEKDAY(datos_siembra[[#This Row],[Date]],2),"L","M","X","J","V","S","D")</f>
        <v>L</v>
      </c>
      <c r="R173">
        <f>WEEKNUM(datos_siembra[[#This Row],[Date]],2)-WEEKNUM(DATE(YEAR(datos_siembra[[#This Row],[Date]]),MONTH(datos_siembra[[#This Row],[Date]]),1))+1</f>
        <v>2</v>
      </c>
      <c r="S173">
        <f>MONTH(datos_siembra[[#This Row],[Date]])</f>
        <v>9</v>
      </c>
      <c r="T173" t="str" cm="1">
        <f t="array" ref="T173">_xlfn.IFS(AND(N173&lt;= 22, S173=9), "SOWING",AND(N173&lt;= 28, S173=9), "COVERAGE",AND(N173&lt;= 30, S173=9), "FLUSH",AND(N173&lt;= 11, S173=10), "FLUSH",AND(N173&lt;= 21, S173=10), "PRODUCTION")</f>
        <v>SOWING</v>
      </c>
      <c r="U173">
        <f>HOUR(datos_siembra[[#This Row],[Hour]])</f>
        <v>20</v>
      </c>
      <c r="V173" cm="1">
        <f t="array" ref="V173">_xlfn.IFS(AND(N173&lt;= 22, S173=9), N173-7,AND(N173&lt;= 28, S173=9), N173-25,AND(N173&lt;= 30, S173=9), N173-28,AND(N173&lt;= 11, S173=10), N173+2,AND(N173&lt;= 21, S173=10), N173-11)</f>
        <v>2</v>
      </c>
    </row>
    <row r="174" spans="1:22" x14ac:dyDescent="0.35">
      <c r="A174" s="4">
        <v>45544</v>
      </c>
      <c r="B174" s="5">
        <v>0.85219907407407403</v>
      </c>
      <c r="C174">
        <v>79.7</v>
      </c>
      <c r="D174">
        <v>82.6</v>
      </c>
      <c r="E174">
        <v>83.8</v>
      </c>
      <c r="F174">
        <v>78.900000000000006</v>
      </c>
      <c r="G174">
        <v>0</v>
      </c>
      <c r="H174">
        <v>0</v>
      </c>
      <c r="I174">
        <v>0</v>
      </c>
      <c r="J174">
        <v>0</v>
      </c>
      <c r="K174">
        <v>67.599999999999994</v>
      </c>
      <c r="L174">
        <v>65.8</v>
      </c>
      <c r="M174">
        <v>81.3</v>
      </c>
      <c r="N174">
        <v>9</v>
      </c>
      <c r="O174">
        <v>6</v>
      </c>
      <c r="P174">
        <f>MOD(DAY(datos_siembra[[#This Row],[Date]]),7)</f>
        <v>2</v>
      </c>
      <c r="Q174" t="str">
        <f>CHOOSE(WEEKDAY(datos_siembra[[#This Row],[Date]],2),"L","M","X","J","V","S","D")</f>
        <v>L</v>
      </c>
      <c r="R174">
        <f>WEEKNUM(datos_siembra[[#This Row],[Date]],2)-WEEKNUM(DATE(YEAR(datos_siembra[[#This Row],[Date]]),MONTH(datos_siembra[[#This Row],[Date]]),1))+1</f>
        <v>2</v>
      </c>
      <c r="S174">
        <f>MONTH(datos_siembra[[#This Row],[Date]])</f>
        <v>9</v>
      </c>
      <c r="T174" t="str" cm="1">
        <f t="array" ref="T174">_xlfn.IFS(AND(N174&lt;= 22, S174=9), "SOWING",AND(N174&lt;= 28, S174=9), "COVERAGE",AND(N174&lt;= 30, S174=9), "FLUSH",AND(N174&lt;= 11, S174=10), "FLUSH",AND(N174&lt;= 21, S174=10), "PRODUCTION")</f>
        <v>SOWING</v>
      </c>
      <c r="U174">
        <f>HOUR(datos_siembra[[#This Row],[Hour]])</f>
        <v>20</v>
      </c>
      <c r="V174" cm="1">
        <f t="array" ref="V174">_xlfn.IFS(AND(N174&lt;= 22, S174=9), N174-7,AND(N174&lt;= 28, S174=9), N174-25,AND(N174&lt;= 30, S174=9), N174-28,AND(N174&lt;= 11, S174=10), N174+2,AND(N174&lt;= 21, S174=10), N174-11)</f>
        <v>2</v>
      </c>
    </row>
    <row r="175" spans="1:22" x14ac:dyDescent="0.35">
      <c r="A175" s="4">
        <v>45544</v>
      </c>
      <c r="B175" s="5">
        <v>0.85914351851851856</v>
      </c>
      <c r="C175">
        <v>79.7</v>
      </c>
      <c r="D175">
        <v>82.7</v>
      </c>
      <c r="E175">
        <v>83.9</v>
      </c>
      <c r="F175">
        <v>78.8</v>
      </c>
      <c r="G175">
        <v>0</v>
      </c>
      <c r="H175">
        <v>0</v>
      </c>
      <c r="I175">
        <v>0</v>
      </c>
      <c r="J175">
        <v>0</v>
      </c>
      <c r="K175">
        <v>67.7</v>
      </c>
      <c r="L175">
        <v>65.8</v>
      </c>
      <c r="M175">
        <v>81.36</v>
      </c>
      <c r="N175">
        <v>9</v>
      </c>
      <c r="O175">
        <v>6</v>
      </c>
      <c r="P175">
        <f>MOD(DAY(datos_siembra[[#This Row],[Date]]),7)</f>
        <v>2</v>
      </c>
      <c r="Q175" t="str">
        <f>CHOOSE(WEEKDAY(datos_siembra[[#This Row],[Date]],2),"L","M","X","J","V","S","D")</f>
        <v>L</v>
      </c>
      <c r="R175">
        <f>WEEKNUM(datos_siembra[[#This Row],[Date]],2)-WEEKNUM(DATE(YEAR(datos_siembra[[#This Row],[Date]]),MONTH(datos_siembra[[#This Row],[Date]]),1))+1</f>
        <v>2</v>
      </c>
      <c r="S175">
        <f>MONTH(datos_siembra[[#This Row],[Date]])</f>
        <v>9</v>
      </c>
      <c r="T175" t="str" cm="1">
        <f t="array" ref="T175">_xlfn.IFS(AND(N175&lt;= 22, S175=9), "SOWING",AND(N175&lt;= 28, S175=9), "COVERAGE",AND(N175&lt;= 30, S175=9), "FLUSH",AND(N175&lt;= 11, S175=10), "FLUSH",AND(N175&lt;= 21, S175=10), "PRODUCTION")</f>
        <v>SOWING</v>
      </c>
      <c r="U175">
        <f>HOUR(datos_siembra[[#This Row],[Hour]])</f>
        <v>20</v>
      </c>
      <c r="V175" cm="1">
        <f t="array" ref="V175">_xlfn.IFS(AND(N175&lt;= 22, S175=9), N175-7,AND(N175&lt;= 28, S175=9), N175-25,AND(N175&lt;= 30, S175=9), N175-28,AND(N175&lt;= 11, S175=10), N175+2,AND(N175&lt;= 21, S175=10), N175-11)</f>
        <v>2</v>
      </c>
    </row>
    <row r="176" spans="1:22" x14ac:dyDescent="0.35">
      <c r="A176" s="4">
        <v>45544</v>
      </c>
      <c r="B176" s="5">
        <v>0.86609953703703701</v>
      </c>
      <c r="C176">
        <v>79.8</v>
      </c>
      <c r="D176">
        <v>82.9</v>
      </c>
      <c r="E176">
        <v>83.9</v>
      </c>
      <c r="F176">
        <v>78.900000000000006</v>
      </c>
      <c r="G176">
        <v>0</v>
      </c>
      <c r="H176">
        <v>0</v>
      </c>
      <c r="I176">
        <v>0</v>
      </c>
      <c r="J176">
        <v>0</v>
      </c>
      <c r="K176">
        <v>67.400000000000006</v>
      </c>
      <c r="L176">
        <v>65.599999999999994</v>
      </c>
      <c r="M176">
        <v>81.27</v>
      </c>
      <c r="N176">
        <v>9</v>
      </c>
      <c r="O176">
        <v>6</v>
      </c>
      <c r="P176">
        <f>MOD(DAY(datos_siembra[[#This Row],[Date]]),7)</f>
        <v>2</v>
      </c>
      <c r="Q176" t="str">
        <f>CHOOSE(WEEKDAY(datos_siembra[[#This Row],[Date]],2),"L","M","X","J","V","S","D")</f>
        <v>L</v>
      </c>
      <c r="R176">
        <f>WEEKNUM(datos_siembra[[#This Row],[Date]],2)-WEEKNUM(DATE(YEAR(datos_siembra[[#This Row],[Date]]),MONTH(datos_siembra[[#This Row],[Date]]),1))+1</f>
        <v>2</v>
      </c>
      <c r="S176">
        <f>MONTH(datos_siembra[[#This Row],[Date]])</f>
        <v>9</v>
      </c>
      <c r="T176" t="str" cm="1">
        <f t="array" ref="T176">_xlfn.IFS(AND(N176&lt;= 22, S176=9), "SOWING",AND(N176&lt;= 28, S176=9), "COVERAGE",AND(N176&lt;= 30, S176=9), "FLUSH",AND(N176&lt;= 11, S176=10), "FLUSH",AND(N176&lt;= 21, S176=10), "PRODUCTION")</f>
        <v>SOWING</v>
      </c>
      <c r="U176">
        <f>HOUR(datos_siembra[[#This Row],[Hour]])</f>
        <v>20</v>
      </c>
      <c r="V176" cm="1">
        <f t="array" ref="V176">_xlfn.IFS(AND(N176&lt;= 22, S176=9), N176-7,AND(N176&lt;= 28, S176=9), N176-25,AND(N176&lt;= 30, S176=9), N176-28,AND(N176&lt;= 11, S176=10), N176+2,AND(N176&lt;= 21, S176=10), N176-11)</f>
        <v>2</v>
      </c>
    </row>
    <row r="177" spans="1:22" x14ac:dyDescent="0.35">
      <c r="A177" s="4">
        <v>45544</v>
      </c>
      <c r="B177" s="5">
        <v>0.87304398148148143</v>
      </c>
      <c r="C177">
        <v>79.599999999999994</v>
      </c>
      <c r="D177">
        <v>82.7</v>
      </c>
      <c r="E177">
        <v>83.8</v>
      </c>
      <c r="F177">
        <v>79</v>
      </c>
      <c r="G177">
        <v>0</v>
      </c>
      <c r="H177">
        <v>0</v>
      </c>
      <c r="I177">
        <v>0</v>
      </c>
      <c r="J177">
        <v>0</v>
      </c>
      <c r="K177">
        <v>67.400000000000006</v>
      </c>
      <c r="L177">
        <v>65.599999999999994</v>
      </c>
      <c r="M177">
        <v>81.3</v>
      </c>
      <c r="N177">
        <v>9</v>
      </c>
      <c r="O177">
        <v>6</v>
      </c>
      <c r="P177">
        <f>MOD(DAY(datos_siembra[[#This Row],[Date]]),7)</f>
        <v>2</v>
      </c>
      <c r="Q177" t="str">
        <f>CHOOSE(WEEKDAY(datos_siembra[[#This Row],[Date]],2),"L","M","X","J","V","S","D")</f>
        <v>L</v>
      </c>
      <c r="R177">
        <f>WEEKNUM(datos_siembra[[#This Row],[Date]],2)-WEEKNUM(DATE(YEAR(datos_siembra[[#This Row],[Date]]),MONTH(datos_siembra[[#This Row],[Date]]),1))+1</f>
        <v>2</v>
      </c>
      <c r="S177">
        <f>MONTH(datos_siembra[[#This Row],[Date]])</f>
        <v>9</v>
      </c>
      <c r="T177" t="str" cm="1">
        <f t="array" ref="T177">_xlfn.IFS(AND(N177&lt;= 22, S177=9), "SOWING",AND(N177&lt;= 28, S177=9), "COVERAGE",AND(N177&lt;= 30, S177=9), "FLUSH",AND(N177&lt;= 11, S177=10), "FLUSH",AND(N177&lt;= 21, S177=10), "PRODUCTION")</f>
        <v>SOWING</v>
      </c>
      <c r="U177">
        <f>HOUR(datos_siembra[[#This Row],[Hour]])</f>
        <v>20</v>
      </c>
      <c r="V177" cm="1">
        <f t="array" ref="V177">_xlfn.IFS(AND(N177&lt;= 22, S177=9), N177-7,AND(N177&lt;= 28, S177=9), N177-25,AND(N177&lt;= 30, S177=9), N177-28,AND(N177&lt;= 11, S177=10), N177+2,AND(N177&lt;= 21, S177=10), N177-11)</f>
        <v>2</v>
      </c>
    </row>
    <row r="178" spans="1:22" x14ac:dyDescent="0.35">
      <c r="A178" s="4">
        <v>45544</v>
      </c>
      <c r="B178" s="5">
        <v>0.87998842592592597</v>
      </c>
      <c r="C178">
        <v>79.599999999999994</v>
      </c>
      <c r="D178">
        <v>82.7</v>
      </c>
      <c r="E178">
        <v>84.1</v>
      </c>
      <c r="F178">
        <v>79</v>
      </c>
      <c r="G178">
        <v>0</v>
      </c>
      <c r="H178">
        <v>0</v>
      </c>
      <c r="I178">
        <v>0</v>
      </c>
      <c r="J178">
        <v>0</v>
      </c>
      <c r="K178">
        <v>67.3</v>
      </c>
      <c r="L178">
        <v>65.5</v>
      </c>
      <c r="M178">
        <v>81.36</v>
      </c>
      <c r="N178">
        <v>9</v>
      </c>
      <c r="O178">
        <v>6</v>
      </c>
      <c r="P178">
        <f>MOD(DAY(datos_siembra[[#This Row],[Date]]),7)</f>
        <v>2</v>
      </c>
      <c r="Q178" t="str">
        <f>CHOOSE(WEEKDAY(datos_siembra[[#This Row],[Date]],2),"L","M","X","J","V","S","D")</f>
        <v>L</v>
      </c>
      <c r="R178">
        <f>WEEKNUM(datos_siembra[[#This Row],[Date]],2)-WEEKNUM(DATE(YEAR(datos_siembra[[#This Row],[Date]]),MONTH(datos_siembra[[#This Row],[Date]]),1))+1</f>
        <v>2</v>
      </c>
      <c r="S178">
        <f>MONTH(datos_siembra[[#This Row],[Date]])</f>
        <v>9</v>
      </c>
      <c r="T178" t="str" cm="1">
        <f t="array" ref="T178">_xlfn.IFS(AND(N178&lt;= 22, S178=9), "SOWING",AND(N178&lt;= 28, S178=9), "COVERAGE",AND(N178&lt;= 30, S178=9), "FLUSH",AND(N178&lt;= 11, S178=10), "FLUSH",AND(N178&lt;= 21, S178=10), "PRODUCTION")</f>
        <v>SOWING</v>
      </c>
      <c r="U178">
        <f>HOUR(datos_siembra[[#This Row],[Hour]])</f>
        <v>21</v>
      </c>
      <c r="V178" cm="1">
        <f t="array" ref="V178">_xlfn.IFS(AND(N178&lt;= 22, S178=9), N178-7,AND(N178&lt;= 28, S178=9), N178-25,AND(N178&lt;= 30, S178=9), N178-28,AND(N178&lt;= 11, S178=10), N178+2,AND(N178&lt;= 21, S178=10), N178-11)</f>
        <v>2</v>
      </c>
    </row>
    <row r="179" spans="1:22" x14ac:dyDescent="0.35">
      <c r="A179" s="4">
        <v>45544</v>
      </c>
      <c r="B179" s="5">
        <v>0.88693287037037039</v>
      </c>
      <c r="C179">
        <v>79.8</v>
      </c>
      <c r="D179">
        <v>82.7</v>
      </c>
      <c r="E179">
        <v>84</v>
      </c>
      <c r="F179">
        <v>78.900000000000006</v>
      </c>
      <c r="G179">
        <v>0</v>
      </c>
      <c r="H179">
        <v>0</v>
      </c>
      <c r="I179">
        <v>0</v>
      </c>
      <c r="J179">
        <v>0</v>
      </c>
      <c r="K179">
        <v>67.3</v>
      </c>
      <c r="L179">
        <v>65.5</v>
      </c>
      <c r="M179">
        <v>81.42</v>
      </c>
      <c r="N179">
        <v>9</v>
      </c>
      <c r="O179">
        <v>6</v>
      </c>
      <c r="P179">
        <f>MOD(DAY(datos_siembra[[#This Row],[Date]]),7)</f>
        <v>2</v>
      </c>
      <c r="Q179" t="str">
        <f>CHOOSE(WEEKDAY(datos_siembra[[#This Row],[Date]],2),"L","M","X","J","V","S","D")</f>
        <v>L</v>
      </c>
      <c r="R179">
        <f>WEEKNUM(datos_siembra[[#This Row],[Date]],2)-WEEKNUM(DATE(YEAR(datos_siembra[[#This Row],[Date]]),MONTH(datos_siembra[[#This Row],[Date]]),1))+1</f>
        <v>2</v>
      </c>
      <c r="S179">
        <f>MONTH(datos_siembra[[#This Row],[Date]])</f>
        <v>9</v>
      </c>
      <c r="T179" t="str" cm="1">
        <f t="array" ref="T179">_xlfn.IFS(AND(N179&lt;= 22, S179=9), "SOWING",AND(N179&lt;= 28, S179=9), "COVERAGE",AND(N179&lt;= 30, S179=9), "FLUSH",AND(N179&lt;= 11, S179=10), "FLUSH",AND(N179&lt;= 21, S179=10), "PRODUCTION")</f>
        <v>SOWING</v>
      </c>
      <c r="U179">
        <f>HOUR(datos_siembra[[#This Row],[Hour]])</f>
        <v>21</v>
      </c>
      <c r="V179" cm="1">
        <f t="array" ref="V179">_xlfn.IFS(AND(N179&lt;= 22, S179=9), N179-7,AND(N179&lt;= 28, S179=9), N179-25,AND(N179&lt;= 30, S179=9), N179-28,AND(N179&lt;= 11, S179=10), N179+2,AND(N179&lt;= 21, S179=10), N179-11)</f>
        <v>2</v>
      </c>
    </row>
    <row r="180" spans="1:22" x14ac:dyDescent="0.35">
      <c r="A180" s="4">
        <v>45544</v>
      </c>
      <c r="B180" s="5">
        <v>0.89388888888888884</v>
      </c>
      <c r="C180">
        <v>79.7</v>
      </c>
      <c r="D180">
        <v>82.9</v>
      </c>
      <c r="E180">
        <v>84</v>
      </c>
      <c r="F180">
        <v>78.900000000000006</v>
      </c>
      <c r="G180">
        <v>0</v>
      </c>
      <c r="H180">
        <v>0</v>
      </c>
      <c r="I180">
        <v>0</v>
      </c>
      <c r="J180">
        <v>0</v>
      </c>
      <c r="K180">
        <v>67.400000000000006</v>
      </c>
      <c r="L180">
        <v>65.5</v>
      </c>
      <c r="M180">
        <v>81.36</v>
      </c>
      <c r="N180">
        <v>9</v>
      </c>
      <c r="O180">
        <v>6</v>
      </c>
      <c r="P180">
        <f>MOD(DAY(datos_siembra[[#This Row],[Date]]),7)</f>
        <v>2</v>
      </c>
      <c r="Q180" t="str">
        <f>CHOOSE(WEEKDAY(datos_siembra[[#This Row],[Date]],2),"L","M","X","J","V","S","D")</f>
        <v>L</v>
      </c>
      <c r="R180">
        <f>WEEKNUM(datos_siembra[[#This Row],[Date]],2)-WEEKNUM(DATE(YEAR(datos_siembra[[#This Row],[Date]]),MONTH(datos_siembra[[#This Row],[Date]]),1))+1</f>
        <v>2</v>
      </c>
      <c r="S180">
        <f>MONTH(datos_siembra[[#This Row],[Date]])</f>
        <v>9</v>
      </c>
      <c r="T180" t="str" cm="1">
        <f t="array" ref="T180">_xlfn.IFS(AND(N180&lt;= 22, S180=9), "SOWING",AND(N180&lt;= 28, S180=9), "COVERAGE",AND(N180&lt;= 30, S180=9), "FLUSH",AND(N180&lt;= 11, S180=10), "FLUSH",AND(N180&lt;= 21, S180=10), "PRODUCTION")</f>
        <v>SOWING</v>
      </c>
      <c r="U180">
        <f>HOUR(datos_siembra[[#This Row],[Hour]])</f>
        <v>21</v>
      </c>
      <c r="V180" cm="1">
        <f t="array" ref="V180">_xlfn.IFS(AND(N180&lt;= 22, S180=9), N180-7,AND(N180&lt;= 28, S180=9), N180-25,AND(N180&lt;= 30, S180=9), N180-28,AND(N180&lt;= 11, S180=10), N180+2,AND(N180&lt;= 21, S180=10), N180-11)</f>
        <v>2</v>
      </c>
    </row>
    <row r="181" spans="1:22" x14ac:dyDescent="0.35">
      <c r="A181" s="4">
        <v>45544</v>
      </c>
      <c r="B181" s="5">
        <v>0.90083333333333337</v>
      </c>
      <c r="C181">
        <v>79.7</v>
      </c>
      <c r="D181">
        <v>83</v>
      </c>
      <c r="E181">
        <v>84.1</v>
      </c>
      <c r="F181">
        <v>79</v>
      </c>
      <c r="G181">
        <v>0</v>
      </c>
      <c r="H181">
        <v>0</v>
      </c>
      <c r="I181">
        <v>0</v>
      </c>
      <c r="J181">
        <v>0</v>
      </c>
      <c r="K181">
        <v>67.3</v>
      </c>
      <c r="L181">
        <v>65.5</v>
      </c>
      <c r="M181">
        <v>81.39</v>
      </c>
      <c r="N181">
        <v>9</v>
      </c>
      <c r="O181">
        <v>6</v>
      </c>
      <c r="P181">
        <f>MOD(DAY(datos_siembra[[#This Row],[Date]]),7)</f>
        <v>2</v>
      </c>
      <c r="Q181" t="str">
        <f>CHOOSE(WEEKDAY(datos_siembra[[#This Row],[Date]],2),"L","M","X","J","V","S","D")</f>
        <v>L</v>
      </c>
      <c r="R181">
        <f>WEEKNUM(datos_siembra[[#This Row],[Date]],2)-WEEKNUM(DATE(YEAR(datos_siembra[[#This Row],[Date]]),MONTH(datos_siembra[[#This Row],[Date]]),1))+1</f>
        <v>2</v>
      </c>
      <c r="S181">
        <f>MONTH(datos_siembra[[#This Row],[Date]])</f>
        <v>9</v>
      </c>
      <c r="T181" t="str" cm="1">
        <f t="array" ref="T181">_xlfn.IFS(AND(N181&lt;= 22, S181=9), "SOWING",AND(N181&lt;= 28, S181=9), "COVERAGE",AND(N181&lt;= 30, S181=9), "FLUSH",AND(N181&lt;= 11, S181=10), "FLUSH",AND(N181&lt;= 21, S181=10), "PRODUCTION")</f>
        <v>SOWING</v>
      </c>
      <c r="U181">
        <f>HOUR(datos_siembra[[#This Row],[Hour]])</f>
        <v>21</v>
      </c>
      <c r="V181" cm="1">
        <f t="array" ref="V181">_xlfn.IFS(AND(N181&lt;= 22, S181=9), N181-7,AND(N181&lt;= 28, S181=9), N181-25,AND(N181&lt;= 30, S181=9), N181-28,AND(N181&lt;= 11, S181=10), N181+2,AND(N181&lt;= 21, S181=10), N181-11)</f>
        <v>2</v>
      </c>
    </row>
    <row r="182" spans="1:22" x14ac:dyDescent="0.35">
      <c r="A182" s="4">
        <v>45544</v>
      </c>
      <c r="B182" s="5">
        <v>0.90777777777777779</v>
      </c>
      <c r="C182">
        <v>79.8</v>
      </c>
      <c r="D182">
        <v>83.1</v>
      </c>
      <c r="E182">
        <v>83.9</v>
      </c>
      <c r="F182">
        <v>79</v>
      </c>
      <c r="G182">
        <v>0</v>
      </c>
      <c r="H182">
        <v>0</v>
      </c>
      <c r="I182">
        <v>0</v>
      </c>
      <c r="J182">
        <v>0</v>
      </c>
      <c r="K182">
        <v>67.2</v>
      </c>
      <c r="L182">
        <v>65.5</v>
      </c>
      <c r="M182">
        <v>81.53</v>
      </c>
      <c r="N182">
        <v>9</v>
      </c>
      <c r="O182">
        <v>6</v>
      </c>
      <c r="P182">
        <f>MOD(DAY(datos_siembra[[#This Row],[Date]]),7)</f>
        <v>2</v>
      </c>
      <c r="Q182" t="str">
        <f>CHOOSE(WEEKDAY(datos_siembra[[#This Row],[Date]],2),"L","M","X","J","V","S","D")</f>
        <v>L</v>
      </c>
      <c r="R182">
        <f>WEEKNUM(datos_siembra[[#This Row],[Date]],2)-WEEKNUM(DATE(YEAR(datos_siembra[[#This Row],[Date]]),MONTH(datos_siembra[[#This Row],[Date]]),1))+1</f>
        <v>2</v>
      </c>
      <c r="S182">
        <f>MONTH(datos_siembra[[#This Row],[Date]])</f>
        <v>9</v>
      </c>
      <c r="T182" t="str" cm="1">
        <f t="array" ref="T182">_xlfn.IFS(AND(N182&lt;= 22, S182=9), "SOWING",AND(N182&lt;= 28, S182=9), "COVERAGE",AND(N182&lt;= 30, S182=9), "FLUSH",AND(N182&lt;= 11, S182=10), "FLUSH",AND(N182&lt;= 21, S182=10), "PRODUCTION")</f>
        <v>SOWING</v>
      </c>
      <c r="U182">
        <f>HOUR(datos_siembra[[#This Row],[Hour]])</f>
        <v>21</v>
      </c>
      <c r="V182" cm="1">
        <f t="array" ref="V182">_xlfn.IFS(AND(N182&lt;= 22, S182=9), N182-7,AND(N182&lt;= 28, S182=9), N182-25,AND(N182&lt;= 30, S182=9), N182-28,AND(N182&lt;= 11, S182=10), N182+2,AND(N182&lt;= 21, S182=10), N182-11)</f>
        <v>2</v>
      </c>
    </row>
    <row r="183" spans="1:22" x14ac:dyDescent="0.35">
      <c r="A183" s="4">
        <v>45544</v>
      </c>
      <c r="B183" s="5">
        <v>0.91472222222222221</v>
      </c>
      <c r="C183">
        <v>79.7</v>
      </c>
      <c r="D183">
        <v>83.4</v>
      </c>
      <c r="E183">
        <v>84.1</v>
      </c>
      <c r="F183">
        <v>79</v>
      </c>
      <c r="G183">
        <v>0</v>
      </c>
      <c r="H183">
        <v>0</v>
      </c>
      <c r="I183">
        <v>0</v>
      </c>
      <c r="J183">
        <v>0</v>
      </c>
      <c r="K183">
        <v>67.3</v>
      </c>
      <c r="L183">
        <v>65.5</v>
      </c>
      <c r="M183">
        <v>81.61</v>
      </c>
      <c r="N183">
        <v>9</v>
      </c>
      <c r="O183">
        <v>6</v>
      </c>
      <c r="P183">
        <f>MOD(DAY(datos_siembra[[#This Row],[Date]]),7)</f>
        <v>2</v>
      </c>
      <c r="Q183" t="str">
        <f>CHOOSE(WEEKDAY(datos_siembra[[#This Row],[Date]],2),"L","M","X","J","V","S","D")</f>
        <v>L</v>
      </c>
      <c r="R183">
        <f>WEEKNUM(datos_siembra[[#This Row],[Date]],2)-WEEKNUM(DATE(YEAR(datos_siembra[[#This Row],[Date]]),MONTH(datos_siembra[[#This Row],[Date]]),1))+1</f>
        <v>2</v>
      </c>
      <c r="S183">
        <f>MONTH(datos_siembra[[#This Row],[Date]])</f>
        <v>9</v>
      </c>
      <c r="T183" t="str" cm="1">
        <f t="array" ref="T183">_xlfn.IFS(AND(N183&lt;= 22, S183=9), "SOWING",AND(N183&lt;= 28, S183=9), "COVERAGE",AND(N183&lt;= 30, S183=9), "FLUSH",AND(N183&lt;= 11, S183=10), "FLUSH",AND(N183&lt;= 21, S183=10), "PRODUCTION")</f>
        <v>SOWING</v>
      </c>
      <c r="U183">
        <f>HOUR(datos_siembra[[#This Row],[Hour]])</f>
        <v>21</v>
      </c>
      <c r="V183" cm="1">
        <f t="array" ref="V183">_xlfn.IFS(AND(N183&lt;= 22, S183=9), N183-7,AND(N183&lt;= 28, S183=9), N183-25,AND(N183&lt;= 30, S183=9), N183-28,AND(N183&lt;= 11, S183=10), N183+2,AND(N183&lt;= 21, S183=10), N183-11)</f>
        <v>2</v>
      </c>
    </row>
    <row r="184" spans="1:22" x14ac:dyDescent="0.35">
      <c r="A184" s="4">
        <v>45544</v>
      </c>
      <c r="B184" s="5">
        <v>0.92167824074074078</v>
      </c>
      <c r="C184">
        <v>79.8</v>
      </c>
      <c r="D184">
        <v>83.4</v>
      </c>
      <c r="E184">
        <v>84.1</v>
      </c>
      <c r="F184">
        <v>79</v>
      </c>
      <c r="G184">
        <v>0</v>
      </c>
      <c r="H184">
        <v>0</v>
      </c>
      <c r="I184">
        <v>0</v>
      </c>
      <c r="J184">
        <v>0</v>
      </c>
      <c r="K184">
        <v>67.3</v>
      </c>
      <c r="L184">
        <v>65.5</v>
      </c>
      <c r="M184">
        <v>81.56</v>
      </c>
      <c r="N184">
        <v>9</v>
      </c>
      <c r="O184">
        <v>6</v>
      </c>
      <c r="P184">
        <f>MOD(DAY(datos_siembra[[#This Row],[Date]]),7)</f>
        <v>2</v>
      </c>
      <c r="Q184" t="str">
        <f>CHOOSE(WEEKDAY(datos_siembra[[#This Row],[Date]],2),"L","M","X","J","V","S","D")</f>
        <v>L</v>
      </c>
      <c r="R184">
        <f>WEEKNUM(datos_siembra[[#This Row],[Date]],2)-WEEKNUM(DATE(YEAR(datos_siembra[[#This Row],[Date]]),MONTH(datos_siembra[[#This Row],[Date]]),1))+1</f>
        <v>2</v>
      </c>
      <c r="S184">
        <f>MONTH(datos_siembra[[#This Row],[Date]])</f>
        <v>9</v>
      </c>
      <c r="T184" t="str" cm="1">
        <f t="array" ref="T184">_xlfn.IFS(AND(N184&lt;= 22, S184=9), "SOWING",AND(N184&lt;= 28, S184=9), "COVERAGE",AND(N184&lt;= 30, S184=9), "FLUSH",AND(N184&lt;= 11, S184=10), "FLUSH",AND(N184&lt;= 21, S184=10), "PRODUCTION")</f>
        <v>SOWING</v>
      </c>
      <c r="U184">
        <f>HOUR(datos_siembra[[#This Row],[Hour]])</f>
        <v>22</v>
      </c>
      <c r="V184" cm="1">
        <f t="array" ref="V184">_xlfn.IFS(AND(N184&lt;= 22, S184=9), N184-7,AND(N184&lt;= 28, S184=9), N184-25,AND(N184&lt;= 30, S184=9), N184-28,AND(N184&lt;= 11, S184=10), N184+2,AND(N184&lt;= 21, S184=10), N184-11)</f>
        <v>2</v>
      </c>
    </row>
    <row r="185" spans="1:22" x14ac:dyDescent="0.35">
      <c r="A185" s="4">
        <v>45544</v>
      </c>
      <c r="B185" s="5">
        <v>0.9286226851851852</v>
      </c>
      <c r="C185">
        <v>79.8</v>
      </c>
      <c r="D185">
        <v>83.6</v>
      </c>
      <c r="E185">
        <v>84.1</v>
      </c>
      <c r="F185">
        <v>79.099999999999994</v>
      </c>
      <c r="G185">
        <v>0</v>
      </c>
      <c r="H185">
        <v>0</v>
      </c>
      <c r="I185">
        <v>0</v>
      </c>
      <c r="J185">
        <v>0</v>
      </c>
      <c r="K185">
        <v>67.400000000000006</v>
      </c>
      <c r="L185">
        <v>65.5</v>
      </c>
      <c r="M185">
        <v>81.67</v>
      </c>
      <c r="N185">
        <v>9</v>
      </c>
      <c r="O185">
        <v>6</v>
      </c>
      <c r="P185">
        <f>MOD(DAY(datos_siembra[[#This Row],[Date]]),7)</f>
        <v>2</v>
      </c>
      <c r="Q185" t="str">
        <f>CHOOSE(WEEKDAY(datos_siembra[[#This Row],[Date]],2),"L","M","X","J","V","S","D")</f>
        <v>L</v>
      </c>
      <c r="R185">
        <f>WEEKNUM(datos_siembra[[#This Row],[Date]],2)-WEEKNUM(DATE(YEAR(datos_siembra[[#This Row],[Date]]),MONTH(datos_siembra[[#This Row],[Date]]),1))+1</f>
        <v>2</v>
      </c>
      <c r="S185">
        <f>MONTH(datos_siembra[[#This Row],[Date]])</f>
        <v>9</v>
      </c>
      <c r="T185" t="str" cm="1">
        <f t="array" ref="T185">_xlfn.IFS(AND(N185&lt;= 22, S185=9), "SOWING",AND(N185&lt;= 28, S185=9), "COVERAGE",AND(N185&lt;= 30, S185=9), "FLUSH",AND(N185&lt;= 11, S185=10), "FLUSH",AND(N185&lt;= 21, S185=10), "PRODUCTION")</f>
        <v>SOWING</v>
      </c>
      <c r="U185">
        <f>HOUR(datos_siembra[[#This Row],[Hour]])</f>
        <v>22</v>
      </c>
      <c r="V185" cm="1">
        <f t="array" ref="V185">_xlfn.IFS(AND(N185&lt;= 22, S185=9), N185-7,AND(N185&lt;= 28, S185=9), N185-25,AND(N185&lt;= 30, S185=9), N185-28,AND(N185&lt;= 11, S185=10), N185+2,AND(N185&lt;= 21, S185=10), N185-11)</f>
        <v>2</v>
      </c>
    </row>
    <row r="186" spans="1:22" x14ac:dyDescent="0.35">
      <c r="A186" s="4">
        <v>45544</v>
      </c>
      <c r="B186" s="5">
        <v>0.93556712962962962</v>
      </c>
      <c r="C186">
        <v>79.8</v>
      </c>
      <c r="D186">
        <v>83.8</v>
      </c>
      <c r="E186">
        <v>84.3</v>
      </c>
      <c r="F186">
        <v>79</v>
      </c>
      <c r="G186">
        <v>0</v>
      </c>
      <c r="H186">
        <v>0</v>
      </c>
      <c r="I186">
        <v>0</v>
      </c>
      <c r="J186">
        <v>0</v>
      </c>
      <c r="K186">
        <v>67.2</v>
      </c>
      <c r="L186">
        <v>65.5</v>
      </c>
      <c r="M186">
        <v>81.72</v>
      </c>
      <c r="N186">
        <v>9</v>
      </c>
      <c r="O186">
        <v>6</v>
      </c>
      <c r="P186">
        <f>MOD(DAY(datos_siembra[[#This Row],[Date]]),7)</f>
        <v>2</v>
      </c>
      <c r="Q186" t="str">
        <f>CHOOSE(WEEKDAY(datos_siembra[[#This Row],[Date]],2),"L","M","X","J","V","S","D")</f>
        <v>L</v>
      </c>
      <c r="R186">
        <f>WEEKNUM(datos_siembra[[#This Row],[Date]],2)-WEEKNUM(DATE(YEAR(datos_siembra[[#This Row],[Date]]),MONTH(datos_siembra[[#This Row],[Date]]),1))+1</f>
        <v>2</v>
      </c>
      <c r="S186">
        <f>MONTH(datos_siembra[[#This Row],[Date]])</f>
        <v>9</v>
      </c>
      <c r="T186" t="str" cm="1">
        <f t="array" ref="T186">_xlfn.IFS(AND(N186&lt;= 22, S186=9), "SOWING",AND(N186&lt;= 28, S186=9), "COVERAGE",AND(N186&lt;= 30, S186=9), "FLUSH",AND(N186&lt;= 11, S186=10), "FLUSH",AND(N186&lt;= 21, S186=10), "PRODUCTION")</f>
        <v>SOWING</v>
      </c>
      <c r="U186">
        <f>HOUR(datos_siembra[[#This Row],[Hour]])</f>
        <v>22</v>
      </c>
      <c r="V186" cm="1">
        <f t="array" ref="V186">_xlfn.IFS(AND(N186&lt;= 22, S186=9), N186-7,AND(N186&lt;= 28, S186=9), N186-25,AND(N186&lt;= 30, S186=9), N186-28,AND(N186&lt;= 11, S186=10), N186+2,AND(N186&lt;= 21, S186=10), N186-11)</f>
        <v>2</v>
      </c>
    </row>
    <row r="187" spans="1:22" x14ac:dyDescent="0.35">
      <c r="A187" s="4">
        <v>45544</v>
      </c>
      <c r="B187" s="5">
        <v>0.94251157407407404</v>
      </c>
      <c r="C187">
        <v>79.8</v>
      </c>
      <c r="D187">
        <v>83.8</v>
      </c>
      <c r="E187">
        <v>84.3</v>
      </c>
      <c r="F187">
        <v>79.099999999999994</v>
      </c>
      <c r="G187">
        <v>0</v>
      </c>
      <c r="H187">
        <v>0</v>
      </c>
      <c r="I187">
        <v>0</v>
      </c>
      <c r="J187">
        <v>0</v>
      </c>
      <c r="K187">
        <v>67.2</v>
      </c>
      <c r="L187">
        <v>65.400000000000006</v>
      </c>
      <c r="M187">
        <v>81.78</v>
      </c>
      <c r="N187">
        <v>9</v>
      </c>
      <c r="O187">
        <v>6</v>
      </c>
      <c r="P187">
        <f>MOD(DAY(datos_siembra[[#This Row],[Date]]),7)</f>
        <v>2</v>
      </c>
      <c r="Q187" t="str">
        <f>CHOOSE(WEEKDAY(datos_siembra[[#This Row],[Date]],2),"L","M","X","J","V","S","D")</f>
        <v>L</v>
      </c>
      <c r="R187">
        <f>WEEKNUM(datos_siembra[[#This Row],[Date]],2)-WEEKNUM(DATE(YEAR(datos_siembra[[#This Row],[Date]]),MONTH(datos_siembra[[#This Row],[Date]]),1))+1</f>
        <v>2</v>
      </c>
      <c r="S187">
        <f>MONTH(datos_siembra[[#This Row],[Date]])</f>
        <v>9</v>
      </c>
      <c r="T187" t="str" cm="1">
        <f t="array" ref="T187">_xlfn.IFS(AND(N187&lt;= 22, S187=9), "SOWING",AND(N187&lt;= 28, S187=9), "COVERAGE",AND(N187&lt;= 30, S187=9), "FLUSH",AND(N187&lt;= 11, S187=10), "FLUSH",AND(N187&lt;= 21, S187=10), "PRODUCTION")</f>
        <v>SOWING</v>
      </c>
      <c r="U187">
        <f>HOUR(datos_siembra[[#This Row],[Hour]])</f>
        <v>22</v>
      </c>
      <c r="V187" cm="1">
        <f t="array" ref="V187">_xlfn.IFS(AND(N187&lt;= 22, S187=9), N187-7,AND(N187&lt;= 28, S187=9), N187-25,AND(N187&lt;= 30, S187=9), N187-28,AND(N187&lt;= 11, S187=10), N187+2,AND(N187&lt;= 21, S187=10), N187-11)</f>
        <v>2</v>
      </c>
    </row>
    <row r="188" spans="1:22" x14ac:dyDescent="0.35">
      <c r="A188" s="4">
        <v>45544</v>
      </c>
      <c r="B188" s="5">
        <v>0.94946759259259261</v>
      </c>
      <c r="C188">
        <v>79.8</v>
      </c>
      <c r="D188">
        <v>83.9</v>
      </c>
      <c r="E188">
        <v>84.2</v>
      </c>
      <c r="F188">
        <v>79.3</v>
      </c>
      <c r="G188">
        <v>0</v>
      </c>
      <c r="H188">
        <v>0</v>
      </c>
      <c r="I188">
        <v>0</v>
      </c>
      <c r="J188">
        <v>0</v>
      </c>
      <c r="K188">
        <v>67.3</v>
      </c>
      <c r="L188">
        <v>65.400000000000006</v>
      </c>
      <c r="M188">
        <v>81.78</v>
      </c>
      <c r="N188">
        <v>9</v>
      </c>
      <c r="O188">
        <v>6</v>
      </c>
      <c r="P188">
        <f>MOD(DAY(datos_siembra[[#This Row],[Date]]),7)</f>
        <v>2</v>
      </c>
      <c r="Q188" t="str">
        <f>CHOOSE(WEEKDAY(datos_siembra[[#This Row],[Date]],2),"L","M","X","J","V","S","D")</f>
        <v>L</v>
      </c>
      <c r="R188">
        <f>WEEKNUM(datos_siembra[[#This Row],[Date]],2)-WEEKNUM(DATE(YEAR(datos_siembra[[#This Row],[Date]]),MONTH(datos_siembra[[#This Row],[Date]]),1))+1</f>
        <v>2</v>
      </c>
      <c r="S188">
        <f>MONTH(datos_siembra[[#This Row],[Date]])</f>
        <v>9</v>
      </c>
      <c r="T188" t="str" cm="1">
        <f t="array" ref="T188">_xlfn.IFS(AND(N188&lt;= 22, S188=9), "SOWING",AND(N188&lt;= 28, S188=9), "COVERAGE",AND(N188&lt;= 30, S188=9), "FLUSH",AND(N188&lt;= 11, S188=10), "FLUSH",AND(N188&lt;= 21, S188=10), "PRODUCTION")</f>
        <v>SOWING</v>
      </c>
      <c r="U188">
        <f>HOUR(datos_siembra[[#This Row],[Hour]])</f>
        <v>22</v>
      </c>
      <c r="V188" cm="1">
        <f t="array" ref="V188">_xlfn.IFS(AND(N188&lt;= 22, S188=9), N188-7,AND(N188&lt;= 28, S188=9), N188-25,AND(N188&lt;= 30, S188=9), N188-28,AND(N188&lt;= 11, S188=10), N188+2,AND(N188&lt;= 21, S188=10), N188-11)</f>
        <v>2</v>
      </c>
    </row>
    <row r="189" spans="1:22" x14ac:dyDescent="0.35">
      <c r="A189" s="4">
        <v>45544</v>
      </c>
      <c r="B189" s="5">
        <v>0.95641203703703703</v>
      </c>
      <c r="C189">
        <v>80</v>
      </c>
      <c r="D189">
        <v>84.2</v>
      </c>
      <c r="E189">
        <v>84</v>
      </c>
      <c r="F189">
        <v>79.099999999999994</v>
      </c>
      <c r="G189">
        <v>0</v>
      </c>
      <c r="H189">
        <v>0</v>
      </c>
      <c r="I189">
        <v>0</v>
      </c>
      <c r="J189">
        <v>0</v>
      </c>
      <c r="K189">
        <v>67.3</v>
      </c>
      <c r="L189">
        <v>65.400000000000006</v>
      </c>
      <c r="M189">
        <v>81.78</v>
      </c>
      <c r="N189">
        <v>9</v>
      </c>
      <c r="O189">
        <v>6</v>
      </c>
      <c r="P189">
        <f>MOD(DAY(datos_siembra[[#This Row],[Date]]),7)</f>
        <v>2</v>
      </c>
      <c r="Q189" t="str">
        <f>CHOOSE(WEEKDAY(datos_siembra[[#This Row],[Date]],2),"L","M","X","J","V","S","D")</f>
        <v>L</v>
      </c>
      <c r="R189">
        <f>WEEKNUM(datos_siembra[[#This Row],[Date]],2)-WEEKNUM(DATE(YEAR(datos_siembra[[#This Row],[Date]]),MONTH(datos_siembra[[#This Row],[Date]]),1))+1</f>
        <v>2</v>
      </c>
      <c r="S189">
        <f>MONTH(datos_siembra[[#This Row],[Date]])</f>
        <v>9</v>
      </c>
      <c r="T189" t="str" cm="1">
        <f t="array" ref="T189">_xlfn.IFS(AND(N189&lt;= 22, S189=9), "SOWING",AND(N189&lt;= 28, S189=9), "COVERAGE",AND(N189&lt;= 30, S189=9), "FLUSH",AND(N189&lt;= 11, S189=10), "FLUSH",AND(N189&lt;= 21, S189=10), "PRODUCTION")</f>
        <v>SOWING</v>
      </c>
      <c r="U189">
        <f>HOUR(datos_siembra[[#This Row],[Hour]])</f>
        <v>22</v>
      </c>
      <c r="V189" cm="1">
        <f t="array" ref="V189">_xlfn.IFS(AND(N189&lt;= 22, S189=9), N189-7,AND(N189&lt;= 28, S189=9), N189-25,AND(N189&lt;= 30, S189=9), N189-28,AND(N189&lt;= 11, S189=10), N189+2,AND(N189&lt;= 21, S189=10), N189-11)</f>
        <v>2</v>
      </c>
    </row>
    <row r="190" spans="1:22" x14ac:dyDescent="0.35">
      <c r="A190" s="4">
        <v>45544</v>
      </c>
      <c r="B190" s="5">
        <v>0.96335648148148145</v>
      </c>
      <c r="C190">
        <v>79.8</v>
      </c>
      <c r="D190">
        <v>84</v>
      </c>
      <c r="E190">
        <v>84.2</v>
      </c>
      <c r="F190">
        <v>79.3</v>
      </c>
      <c r="G190">
        <v>0</v>
      </c>
      <c r="H190">
        <v>0</v>
      </c>
      <c r="I190">
        <v>0</v>
      </c>
      <c r="J190">
        <v>0</v>
      </c>
      <c r="K190">
        <v>67.3</v>
      </c>
      <c r="L190">
        <v>65.400000000000006</v>
      </c>
      <c r="M190">
        <v>81.84</v>
      </c>
      <c r="N190">
        <v>9</v>
      </c>
      <c r="O190">
        <v>6</v>
      </c>
      <c r="P190">
        <f>MOD(DAY(datos_siembra[[#This Row],[Date]]),7)</f>
        <v>2</v>
      </c>
      <c r="Q190" t="str">
        <f>CHOOSE(WEEKDAY(datos_siembra[[#This Row],[Date]],2),"L","M","X","J","V","S","D")</f>
        <v>L</v>
      </c>
      <c r="R190">
        <f>WEEKNUM(datos_siembra[[#This Row],[Date]],2)-WEEKNUM(DATE(YEAR(datos_siembra[[#This Row],[Date]]),MONTH(datos_siembra[[#This Row],[Date]]),1))+1</f>
        <v>2</v>
      </c>
      <c r="S190">
        <f>MONTH(datos_siembra[[#This Row],[Date]])</f>
        <v>9</v>
      </c>
      <c r="T190" t="str" cm="1">
        <f t="array" ref="T190">_xlfn.IFS(AND(N190&lt;= 22, S190=9), "SOWING",AND(N190&lt;= 28, S190=9), "COVERAGE",AND(N190&lt;= 30, S190=9), "FLUSH",AND(N190&lt;= 11, S190=10), "FLUSH",AND(N190&lt;= 21, S190=10), "PRODUCTION")</f>
        <v>SOWING</v>
      </c>
      <c r="U190">
        <f>HOUR(datos_siembra[[#This Row],[Hour]])</f>
        <v>23</v>
      </c>
      <c r="V190" cm="1">
        <f t="array" ref="V190">_xlfn.IFS(AND(N190&lt;= 22, S190=9), N190-7,AND(N190&lt;= 28, S190=9), N190-25,AND(N190&lt;= 30, S190=9), N190-28,AND(N190&lt;= 11, S190=10), N190+2,AND(N190&lt;= 21, S190=10), N190-11)</f>
        <v>2</v>
      </c>
    </row>
    <row r="191" spans="1:22" x14ac:dyDescent="0.35">
      <c r="A191" s="4">
        <v>45544</v>
      </c>
      <c r="B191" s="5">
        <v>0.97031250000000002</v>
      </c>
      <c r="C191">
        <v>80</v>
      </c>
      <c r="D191">
        <v>83.9</v>
      </c>
      <c r="E191">
        <v>84.2</v>
      </c>
      <c r="F191">
        <v>79.3</v>
      </c>
      <c r="G191">
        <v>0</v>
      </c>
      <c r="H191">
        <v>0</v>
      </c>
      <c r="I191">
        <v>0</v>
      </c>
      <c r="J191">
        <v>0</v>
      </c>
      <c r="K191">
        <v>67.2</v>
      </c>
      <c r="L191">
        <v>65.400000000000006</v>
      </c>
      <c r="M191">
        <v>81.84</v>
      </c>
      <c r="N191">
        <v>9</v>
      </c>
      <c r="O191">
        <v>6</v>
      </c>
      <c r="P191">
        <f>MOD(DAY(datos_siembra[[#This Row],[Date]]),7)</f>
        <v>2</v>
      </c>
      <c r="Q191" t="str">
        <f>CHOOSE(WEEKDAY(datos_siembra[[#This Row],[Date]],2),"L","M","X","J","V","S","D")</f>
        <v>L</v>
      </c>
      <c r="R191">
        <f>WEEKNUM(datos_siembra[[#This Row],[Date]],2)-WEEKNUM(DATE(YEAR(datos_siembra[[#This Row],[Date]]),MONTH(datos_siembra[[#This Row],[Date]]),1))+1</f>
        <v>2</v>
      </c>
      <c r="S191">
        <f>MONTH(datos_siembra[[#This Row],[Date]])</f>
        <v>9</v>
      </c>
      <c r="T191" t="str" cm="1">
        <f t="array" ref="T191">_xlfn.IFS(AND(N191&lt;= 22, S191=9), "SOWING",AND(N191&lt;= 28, S191=9), "COVERAGE",AND(N191&lt;= 30, S191=9), "FLUSH",AND(N191&lt;= 11, S191=10), "FLUSH",AND(N191&lt;= 21, S191=10), "PRODUCTION")</f>
        <v>SOWING</v>
      </c>
      <c r="U191">
        <f>HOUR(datos_siembra[[#This Row],[Hour]])</f>
        <v>23</v>
      </c>
      <c r="V191" cm="1">
        <f t="array" ref="V191">_xlfn.IFS(AND(N191&lt;= 22, S191=9), N191-7,AND(N191&lt;= 28, S191=9), N191-25,AND(N191&lt;= 30, S191=9), N191-28,AND(N191&lt;= 11, S191=10), N191+2,AND(N191&lt;= 21, S191=10), N191-11)</f>
        <v>2</v>
      </c>
    </row>
    <row r="192" spans="1:22" x14ac:dyDescent="0.35">
      <c r="A192" s="4">
        <v>45544</v>
      </c>
      <c r="B192" s="5">
        <v>0.97725694444444444</v>
      </c>
      <c r="C192">
        <v>80.3</v>
      </c>
      <c r="D192">
        <v>83.9</v>
      </c>
      <c r="E192">
        <v>84.2</v>
      </c>
      <c r="F192">
        <v>79.3</v>
      </c>
      <c r="G192">
        <v>0</v>
      </c>
      <c r="H192">
        <v>0</v>
      </c>
      <c r="I192">
        <v>0</v>
      </c>
      <c r="J192">
        <v>0</v>
      </c>
      <c r="K192">
        <v>67.2</v>
      </c>
      <c r="L192">
        <v>65.400000000000006</v>
      </c>
      <c r="M192">
        <v>81.87</v>
      </c>
      <c r="N192">
        <v>9</v>
      </c>
      <c r="O192">
        <v>6</v>
      </c>
      <c r="P192">
        <f>MOD(DAY(datos_siembra[[#This Row],[Date]]),7)</f>
        <v>2</v>
      </c>
      <c r="Q192" t="str">
        <f>CHOOSE(WEEKDAY(datos_siembra[[#This Row],[Date]],2),"L","M","X","J","V","S","D")</f>
        <v>L</v>
      </c>
      <c r="R192">
        <f>WEEKNUM(datos_siembra[[#This Row],[Date]],2)-WEEKNUM(DATE(YEAR(datos_siembra[[#This Row],[Date]]),MONTH(datos_siembra[[#This Row],[Date]]),1))+1</f>
        <v>2</v>
      </c>
      <c r="S192">
        <f>MONTH(datos_siembra[[#This Row],[Date]])</f>
        <v>9</v>
      </c>
      <c r="T192" t="str" cm="1">
        <f t="array" ref="T192">_xlfn.IFS(AND(N192&lt;= 22, S192=9), "SOWING",AND(N192&lt;= 28, S192=9), "COVERAGE",AND(N192&lt;= 30, S192=9), "FLUSH",AND(N192&lt;= 11, S192=10), "FLUSH",AND(N192&lt;= 21, S192=10), "PRODUCTION")</f>
        <v>SOWING</v>
      </c>
      <c r="U192">
        <f>HOUR(datos_siembra[[#This Row],[Hour]])</f>
        <v>23</v>
      </c>
      <c r="V192" cm="1">
        <f t="array" ref="V192">_xlfn.IFS(AND(N192&lt;= 22, S192=9), N192-7,AND(N192&lt;= 28, S192=9), N192-25,AND(N192&lt;= 30, S192=9), N192-28,AND(N192&lt;= 11, S192=10), N192+2,AND(N192&lt;= 21, S192=10), N192-11)</f>
        <v>2</v>
      </c>
    </row>
    <row r="193" spans="1:22" x14ac:dyDescent="0.35">
      <c r="A193" s="4">
        <v>45544</v>
      </c>
      <c r="B193" s="5">
        <v>0.98420138888888886</v>
      </c>
      <c r="C193">
        <v>80.5</v>
      </c>
      <c r="D193">
        <v>84</v>
      </c>
      <c r="E193">
        <v>84.2</v>
      </c>
      <c r="F193">
        <v>79.400000000000006</v>
      </c>
      <c r="G193">
        <v>0</v>
      </c>
      <c r="H193">
        <v>0</v>
      </c>
      <c r="I193">
        <v>0</v>
      </c>
      <c r="J193">
        <v>0</v>
      </c>
      <c r="K193">
        <v>67.2</v>
      </c>
      <c r="L193">
        <v>65.400000000000006</v>
      </c>
      <c r="M193">
        <v>81.98</v>
      </c>
      <c r="N193">
        <v>9</v>
      </c>
      <c r="O193">
        <v>6</v>
      </c>
      <c r="P193">
        <f>MOD(DAY(datos_siembra[[#This Row],[Date]]),7)</f>
        <v>2</v>
      </c>
      <c r="Q193" t="str">
        <f>CHOOSE(WEEKDAY(datos_siembra[[#This Row],[Date]],2),"L","M","X","J","V","S","D")</f>
        <v>L</v>
      </c>
      <c r="R193">
        <f>WEEKNUM(datos_siembra[[#This Row],[Date]],2)-WEEKNUM(DATE(YEAR(datos_siembra[[#This Row],[Date]]),MONTH(datos_siembra[[#This Row],[Date]]),1))+1</f>
        <v>2</v>
      </c>
      <c r="S193">
        <f>MONTH(datos_siembra[[#This Row],[Date]])</f>
        <v>9</v>
      </c>
      <c r="T193" t="str" cm="1">
        <f t="array" ref="T193">_xlfn.IFS(AND(N193&lt;= 22, S193=9), "SOWING",AND(N193&lt;= 28, S193=9), "COVERAGE",AND(N193&lt;= 30, S193=9), "FLUSH",AND(N193&lt;= 11, S193=10), "FLUSH",AND(N193&lt;= 21, S193=10), "PRODUCTION")</f>
        <v>SOWING</v>
      </c>
      <c r="U193">
        <f>HOUR(datos_siembra[[#This Row],[Hour]])</f>
        <v>23</v>
      </c>
      <c r="V193" cm="1">
        <f t="array" ref="V193">_xlfn.IFS(AND(N193&lt;= 22, S193=9), N193-7,AND(N193&lt;= 28, S193=9), N193-25,AND(N193&lt;= 30, S193=9), N193-28,AND(N193&lt;= 11, S193=10), N193+2,AND(N193&lt;= 21, S193=10), N193-11)</f>
        <v>2</v>
      </c>
    </row>
    <row r="194" spans="1:22" x14ac:dyDescent="0.35">
      <c r="A194" s="4">
        <v>45544</v>
      </c>
      <c r="B194" s="5">
        <v>0.99114583333333328</v>
      </c>
      <c r="C194">
        <v>80.599999999999994</v>
      </c>
      <c r="D194">
        <v>83.9</v>
      </c>
      <c r="E194">
        <v>84.3</v>
      </c>
      <c r="F194">
        <v>79.3</v>
      </c>
      <c r="G194">
        <v>0</v>
      </c>
      <c r="H194">
        <v>0</v>
      </c>
      <c r="I194">
        <v>0</v>
      </c>
      <c r="J194">
        <v>0</v>
      </c>
      <c r="K194">
        <v>67.2</v>
      </c>
      <c r="L194">
        <v>65.400000000000006</v>
      </c>
      <c r="M194">
        <v>81.92</v>
      </c>
      <c r="N194">
        <v>9</v>
      </c>
      <c r="O194">
        <v>6</v>
      </c>
      <c r="P194">
        <f>MOD(DAY(datos_siembra[[#This Row],[Date]]),7)</f>
        <v>2</v>
      </c>
      <c r="Q194" t="str">
        <f>CHOOSE(WEEKDAY(datos_siembra[[#This Row],[Date]],2),"L","M","X","J","V","S","D")</f>
        <v>L</v>
      </c>
      <c r="R194">
        <f>WEEKNUM(datos_siembra[[#This Row],[Date]],2)-WEEKNUM(DATE(YEAR(datos_siembra[[#This Row],[Date]]),MONTH(datos_siembra[[#This Row],[Date]]),1))+1</f>
        <v>2</v>
      </c>
      <c r="S194">
        <f>MONTH(datos_siembra[[#This Row],[Date]])</f>
        <v>9</v>
      </c>
      <c r="T194" t="str" cm="1">
        <f t="array" ref="T194">_xlfn.IFS(AND(N194&lt;= 22, S194=9), "SOWING",AND(N194&lt;= 28, S194=9), "COVERAGE",AND(N194&lt;= 30, S194=9), "FLUSH",AND(N194&lt;= 11, S194=10), "FLUSH",AND(N194&lt;= 21, S194=10), "PRODUCTION")</f>
        <v>SOWING</v>
      </c>
      <c r="U194">
        <f>HOUR(datos_siembra[[#This Row],[Hour]])</f>
        <v>23</v>
      </c>
      <c r="V194" cm="1">
        <f t="array" ref="V194">_xlfn.IFS(AND(N194&lt;= 22, S194=9), N194-7,AND(N194&lt;= 28, S194=9), N194-25,AND(N194&lt;= 30, S194=9), N194-28,AND(N194&lt;= 11, S194=10), N194+2,AND(N194&lt;= 21, S194=10), N194-11)</f>
        <v>2</v>
      </c>
    </row>
    <row r="195" spans="1:22" x14ac:dyDescent="0.35">
      <c r="A195" s="4">
        <v>45544</v>
      </c>
      <c r="B195" s="5">
        <v>0.99810185185185185</v>
      </c>
      <c r="C195">
        <v>80.599999999999994</v>
      </c>
      <c r="D195">
        <v>83.9</v>
      </c>
      <c r="E195">
        <v>84.3</v>
      </c>
      <c r="F195">
        <v>79.3</v>
      </c>
      <c r="G195">
        <v>0</v>
      </c>
      <c r="H195">
        <v>0</v>
      </c>
      <c r="I195">
        <v>0</v>
      </c>
      <c r="J195">
        <v>0</v>
      </c>
      <c r="K195">
        <v>67.2</v>
      </c>
      <c r="L195">
        <v>65.3</v>
      </c>
      <c r="M195">
        <v>81.98</v>
      </c>
      <c r="N195">
        <v>9</v>
      </c>
      <c r="O195">
        <v>6</v>
      </c>
      <c r="P195">
        <f>MOD(DAY(datos_siembra[[#This Row],[Date]]),7)</f>
        <v>2</v>
      </c>
      <c r="Q195" t="str">
        <f>CHOOSE(WEEKDAY(datos_siembra[[#This Row],[Date]],2),"L","M","X","J","V","S","D")</f>
        <v>L</v>
      </c>
      <c r="R195">
        <f>WEEKNUM(datos_siembra[[#This Row],[Date]],2)-WEEKNUM(DATE(YEAR(datos_siembra[[#This Row],[Date]]),MONTH(datos_siembra[[#This Row],[Date]]),1))+1</f>
        <v>2</v>
      </c>
      <c r="S195">
        <f>MONTH(datos_siembra[[#This Row],[Date]])</f>
        <v>9</v>
      </c>
      <c r="T195" t="str" cm="1">
        <f t="array" ref="T195">_xlfn.IFS(AND(N195&lt;= 22, S195=9), "SOWING",AND(N195&lt;= 28, S195=9), "COVERAGE",AND(N195&lt;= 30, S195=9), "FLUSH",AND(N195&lt;= 11, S195=10), "FLUSH",AND(N195&lt;= 21, S195=10), "PRODUCTION")</f>
        <v>SOWING</v>
      </c>
      <c r="U195">
        <f>HOUR(datos_siembra[[#This Row],[Hour]])</f>
        <v>23</v>
      </c>
      <c r="V195" cm="1">
        <f t="array" ref="V195">_xlfn.IFS(AND(N195&lt;= 22, S195=9), N195-7,AND(N195&lt;= 28, S195=9), N195-25,AND(N195&lt;= 30, S195=9), N195-28,AND(N195&lt;= 11, S195=10), N195+2,AND(N195&lt;= 21, S195=10), N195-11)</f>
        <v>2</v>
      </c>
    </row>
    <row r="196" spans="1:22" x14ac:dyDescent="0.35">
      <c r="A196" s="4">
        <v>45545</v>
      </c>
      <c r="B196" s="5">
        <v>5.0462962962962961E-3</v>
      </c>
      <c r="C196">
        <v>80.400000000000006</v>
      </c>
      <c r="D196">
        <v>84</v>
      </c>
      <c r="E196">
        <v>84.4</v>
      </c>
      <c r="F196">
        <v>79.400000000000006</v>
      </c>
      <c r="G196">
        <v>0</v>
      </c>
      <c r="H196">
        <v>0</v>
      </c>
      <c r="I196">
        <v>0</v>
      </c>
      <c r="J196">
        <v>0</v>
      </c>
      <c r="K196">
        <v>67.2</v>
      </c>
      <c r="L196">
        <v>65.400000000000006</v>
      </c>
      <c r="M196">
        <v>81.98</v>
      </c>
      <c r="N196">
        <v>10</v>
      </c>
      <c r="O196">
        <v>7</v>
      </c>
      <c r="P196">
        <f>MOD(DAY(datos_siembra[[#This Row],[Date]]),7)</f>
        <v>3</v>
      </c>
      <c r="Q196" t="str">
        <f>CHOOSE(WEEKDAY(datos_siembra[[#This Row],[Date]],2),"L","M","X","J","V","S","D")</f>
        <v>M</v>
      </c>
      <c r="R196">
        <f>WEEKNUM(datos_siembra[[#This Row],[Date]],2)-WEEKNUM(DATE(YEAR(datos_siembra[[#This Row],[Date]]),MONTH(datos_siembra[[#This Row],[Date]]),1))+1</f>
        <v>2</v>
      </c>
      <c r="S196">
        <f>MONTH(datos_siembra[[#This Row],[Date]])</f>
        <v>9</v>
      </c>
      <c r="T196" t="str" cm="1">
        <f t="array" ref="T196">_xlfn.IFS(AND(N196&lt;= 22, S196=9), "SOWING",AND(N196&lt;= 28, S196=9), "COVERAGE",AND(N196&lt;= 30, S196=9), "FLUSH",AND(N196&lt;= 11, S196=10), "FLUSH",AND(N196&lt;= 21, S196=10), "PRODUCTION")</f>
        <v>SOWING</v>
      </c>
      <c r="U196">
        <f>HOUR(datos_siembra[[#This Row],[Hour]])</f>
        <v>0</v>
      </c>
      <c r="V196" cm="1">
        <f t="array" ref="V196">_xlfn.IFS(AND(N196&lt;= 22, S196=9), N196-7,AND(N196&lt;= 28, S196=9), N196-25,AND(N196&lt;= 30, S196=9), N196-28,AND(N196&lt;= 11, S196=10), N196+2,AND(N196&lt;= 21, S196=10), N196-11)</f>
        <v>3</v>
      </c>
    </row>
    <row r="197" spans="1:22" x14ac:dyDescent="0.35">
      <c r="A197" s="4">
        <v>45545</v>
      </c>
      <c r="B197" s="5">
        <v>1.1990740740740741E-2</v>
      </c>
      <c r="C197">
        <v>80.5</v>
      </c>
      <c r="D197">
        <v>83.9</v>
      </c>
      <c r="E197">
        <v>84.4</v>
      </c>
      <c r="F197">
        <v>79.400000000000006</v>
      </c>
      <c r="G197">
        <v>0</v>
      </c>
      <c r="H197">
        <v>0</v>
      </c>
      <c r="I197">
        <v>0</v>
      </c>
      <c r="J197">
        <v>0</v>
      </c>
      <c r="K197">
        <v>67.2</v>
      </c>
      <c r="L197">
        <v>65.400000000000006</v>
      </c>
      <c r="M197">
        <v>82.01</v>
      </c>
      <c r="N197">
        <v>10</v>
      </c>
      <c r="O197">
        <v>7</v>
      </c>
      <c r="P197">
        <f>MOD(DAY(datos_siembra[[#This Row],[Date]]),7)</f>
        <v>3</v>
      </c>
      <c r="Q197" t="str">
        <f>CHOOSE(WEEKDAY(datos_siembra[[#This Row],[Date]],2),"L","M","X","J","V","S","D")</f>
        <v>M</v>
      </c>
      <c r="R197">
        <f>WEEKNUM(datos_siembra[[#This Row],[Date]],2)-WEEKNUM(DATE(YEAR(datos_siembra[[#This Row],[Date]]),MONTH(datos_siembra[[#This Row],[Date]]),1))+1</f>
        <v>2</v>
      </c>
      <c r="S197">
        <f>MONTH(datos_siembra[[#This Row],[Date]])</f>
        <v>9</v>
      </c>
      <c r="T197" t="str" cm="1">
        <f t="array" ref="T197">_xlfn.IFS(AND(N197&lt;= 22, S197=9), "SOWING",AND(N197&lt;= 28, S197=9), "COVERAGE",AND(N197&lt;= 30, S197=9), "FLUSH",AND(N197&lt;= 11, S197=10), "FLUSH",AND(N197&lt;= 21, S197=10), "PRODUCTION")</f>
        <v>SOWING</v>
      </c>
      <c r="U197">
        <f>HOUR(datos_siembra[[#This Row],[Hour]])</f>
        <v>0</v>
      </c>
      <c r="V197" cm="1">
        <f t="array" ref="V197">_xlfn.IFS(AND(N197&lt;= 22, S197=9), N197-7,AND(N197&lt;= 28, S197=9), N197-25,AND(N197&lt;= 30, S197=9), N197-28,AND(N197&lt;= 11, S197=10), N197+2,AND(N197&lt;= 21, S197=10), N197-11)</f>
        <v>3</v>
      </c>
    </row>
    <row r="198" spans="1:22" x14ac:dyDescent="0.35">
      <c r="A198" s="4">
        <v>45545</v>
      </c>
      <c r="B198" s="5">
        <v>1.8935185185185187E-2</v>
      </c>
      <c r="C198">
        <v>80.599999999999994</v>
      </c>
      <c r="D198">
        <v>83.9</v>
      </c>
      <c r="E198">
        <v>84.4</v>
      </c>
      <c r="F198">
        <v>79.400000000000006</v>
      </c>
      <c r="G198">
        <v>0</v>
      </c>
      <c r="H198">
        <v>0</v>
      </c>
      <c r="I198">
        <v>0</v>
      </c>
      <c r="J198">
        <v>0</v>
      </c>
      <c r="K198">
        <v>67.2</v>
      </c>
      <c r="L198">
        <v>65.3</v>
      </c>
      <c r="M198">
        <v>82.06</v>
      </c>
      <c r="N198">
        <v>10</v>
      </c>
      <c r="O198">
        <v>7</v>
      </c>
      <c r="P198">
        <f>MOD(DAY(datos_siembra[[#This Row],[Date]]),7)</f>
        <v>3</v>
      </c>
      <c r="Q198" t="str">
        <f>CHOOSE(WEEKDAY(datos_siembra[[#This Row],[Date]],2),"L","M","X","J","V","S","D")</f>
        <v>M</v>
      </c>
      <c r="R198">
        <f>WEEKNUM(datos_siembra[[#This Row],[Date]],2)-WEEKNUM(DATE(YEAR(datos_siembra[[#This Row],[Date]]),MONTH(datos_siembra[[#This Row],[Date]]),1))+1</f>
        <v>2</v>
      </c>
      <c r="S198">
        <f>MONTH(datos_siembra[[#This Row],[Date]])</f>
        <v>9</v>
      </c>
      <c r="T198" t="str" cm="1">
        <f t="array" ref="T198">_xlfn.IFS(AND(N198&lt;= 22, S198=9), "SOWING",AND(N198&lt;= 28, S198=9), "COVERAGE",AND(N198&lt;= 30, S198=9), "FLUSH",AND(N198&lt;= 11, S198=10), "FLUSH",AND(N198&lt;= 21, S198=10), "PRODUCTION")</f>
        <v>SOWING</v>
      </c>
      <c r="U198">
        <f>HOUR(datos_siembra[[#This Row],[Hour]])</f>
        <v>0</v>
      </c>
      <c r="V198" cm="1">
        <f t="array" ref="V198">_xlfn.IFS(AND(N198&lt;= 22, S198=9), N198-7,AND(N198&lt;= 28, S198=9), N198-25,AND(N198&lt;= 30, S198=9), N198-28,AND(N198&lt;= 11, S198=10), N198+2,AND(N198&lt;= 21, S198=10), N198-11)</f>
        <v>3</v>
      </c>
    </row>
    <row r="199" spans="1:22" x14ac:dyDescent="0.35">
      <c r="A199" s="4">
        <v>45545</v>
      </c>
      <c r="B199" s="5">
        <v>2.5891203703703704E-2</v>
      </c>
      <c r="C199">
        <v>80.5</v>
      </c>
      <c r="D199">
        <v>84</v>
      </c>
      <c r="E199">
        <v>84.5</v>
      </c>
      <c r="F199">
        <v>79.400000000000006</v>
      </c>
      <c r="G199">
        <v>0</v>
      </c>
      <c r="H199">
        <v>0</v>
      </c>
      <c r="I199">
        <v>0</v>
      </c>
      <c r="J199">
        <v>0</v>
      </c>
      <c r="K199">
        <v>67.099999999999994</v>
      </c>
      <c r="L199">
        <v>65.3</v>
      </c>
      <c r="M199">
        <v>82.03</v>
      </c>
      <c r="N199">
        <v>10</v>
      </c>
      <c r="O199">
        <v>7</v>
      </c>
      <c r="P199">
        <f>MOD(DAY(datos_siembra[[#This Row],[Date]]),7)</f>
        <v>3</v>
      </c>
      <c r="Q199" t="str">
        <f>CHOOSE(WEEKDAY(datos_siembra[[#This Row],[Date]],2),"L","M","X","J","V","S","D")</f>
        <v>M</v>
      </c>
      <c r="R199">
        <f>WEEKNUM(datos_siembra[[#This Row],[Date]],2)-WEEKNUM(DATE(YEAR(datos_siembra[[#This Row],[Date]]),MONTH(datos_siembra[[#This Row],[Date]]),1))+1</f>
        <v>2</v>
      </c>
      <c r="S199">
        <f>MONTH(datos_siembra[[#This Row],[Date]])</f>
        <v>9</v>
      </c>
      <c r="T199" t="str" cm="1">
        <f t="array" ref="T199">_xlfn.IFS(AND(N199&lt;= 22, S199=9), "SOWING",AND(N199&lt;= 28, S199=9), "COVERAGE",AND(N199&lt;= 30, S199=9), "FLUSH",AND(N199&lt;= 11, S199=10), "FLUSH",AND(N199&lt;= 21, S199=10), "PRODUCTION")</f>
        <v>SOWING</v>
      </c>
      <c r="U199">
        <f>HOUR(datos_siembra[[#This Row],[Hour]])</f>
        <v>0</v>
      </c>
      <c r="V199" cm="1">
        <f t="array" ref="V199">_xlfn.IFS(AND(N199&lt;= 22, S199=9), N199-7,AND(N199&lt;= 28, S199=9), N199-25,AND(N199&lt;= 30, S199=9), N199-28,AND(N199&lt;= 11, S199=10), N199+2,AND(N199&lt;= 21, S199=10), N199-11)</f>
        <v>3</v>
      </c>
    </row>
    <row r="200" spans="1:22" x14ac:dyDescent="0.35">
      <c r="A200" s="4">
        <v>45545</v>
      </c>
      <c r="B200" s="5">
        <v>3.2835648148148149E-2</v>
      </c>
      <c r="C200">
        <v>80.5</v>
      </c>
      <c r="D200">
        <v>84</v>
      </c>
      <c r="E200">
        <v>84.3</v>
      </c>
      <c r="F200">
        <v>79.400000000000006</v>
      </c>
      <c r="G200">
        <v>0</v>
      </c>
      <c r="H200">
        <v>0</v>
      </c>
      <c r="I200">
        <v>0</v>
      </c>
      <c r="J200">
        <v>0</v>
      </c>
      <c r="K200">
        <v>67.099999999999994</v>
      </c>
      <c r="L200">
        <v>65.3</v>
      </c>
      <c r="M200">
        <v>82.09</v>
      </c>
      <c r="N200">
        <v>10</v>
      </c>
      <c r="O200">
        <v>7</v>
      </c>
      <c r="P200">
        <f>MOD(DAY(datos_siembra[[#This Row],[Date]]),7)</f>
        <v>3</v>
      </c>
      <c r="Q200" t="str">
        <f>CHOOSE(WEEKDAY(datos_siembra[[#This Row],[Date]],2),"L","M","X","J","V","S","D")</f>
        <v>M</v>
      </c>
      <c r="R200">
        <f>WEEKNUM(datos_siembra[[#This Row],[Date]],2)-WEEKNUM(DATE(YEAR(datos_siembra[[#This Row],[Date]]),MONTH(datos_siembra[[#This Row],[Date]]),1))+1</f>
        <v>2</v>
      </c>
      <c r="S200">
        <f>MONTH(datos_siembra[[#This Row],[Date]])</f>
        <v>9</v>
      </c>
      <c r="T200" t="str" cm="1">
        <f t="array" ref="T200">_xlfn.IFS(AND(N200&lt;= 22, S200=9), "SOWING",AND(N200&lt;= 28, S200=9), "COVERAGE",AND(N200&lt;= 30, S200=9), "FLUSH",AND(N200&lt;= 11, S200=10), "FLUSH",AND(N200&lt;= 21, S200=10), "PRODUCTION")</f>
        <v>SOWING</v>
      </c>
      <c r="U200">
        <f>HOUR(datos_siembra[[#This Row],[Hour]])</f>
        <v>0</v>
      </c>
      <c r="V200" cm="1">
        <f t="array" ref="V200">_xlfn.IFS(AND(N200&lt;= 22, S200=9), N200-7,AND(N200&lt;= 28, S200=9), N200-25,AND(N200&lt;= 30, S200=9), N200-28,AND(N200&lt;= 11, S200=10), N200+2,AND(N200&lt;= 21, S200=10), N200-11)</f>
        <v>3</v>
      </c>
    </row>
    <row r="201" spans="1:22" x14ac:dyDescent="0.35">
      <c r="A201" s="4">
        <v>45545</v>
      </c>
      <c r="B201" s="5">
        <v>3.9780092592592596E-2</v>
      </c>
      <c r="C201">
        <v>80.599999999999994</v>
      </c>
      <c r="D201">
        <v>84</v>
      </c>
      <c r="E201">
        <v>84.5</v>
      </c>
      <c r="F201">
        <v>79.099999999999994</v>
      </c>
      <c r="G201">
        <v>0</v>
      </c>
      <c r="H201">
        <v>0</v>
      </c>
      <c r="I201">
        <v>0</v>
      </c>
      <c r="J201">
        <v>0</v>
      </c>
      <c r="K201">
        <v>67.2</v>
      </c>
      <c r="L201">
        <v>65.3</v>
      </c>
      <c r="M201">
        <v>82.06</v>
      </c>
      <c r="N201">
        <v>10</v>
      </c>
      <c r="O201">
        <v>7</v>
      </c>
      <c r="P201">
        <f>MOD(DAY(datos_siembra[[#This Row],[Date]]),7)</f>
        <v>3</v>
      </c>
      <c r="Q201" t="str">
        <f>CHOOSE(WEEKDAY(datos_siembra[[#This Row],[Date]],2),"L","M","X","J","V","S","D")</f>
        <v>M</v>
      </c>
      <c r="R201">
        <f>WEEKNUM(datos_siembra[[#This Row],[Date]],2)-WEEKNUM(DATE(YEAR(datos_siembra[[#This Row],[Date]]),MONTH(datos_siembra[[#This Row],[Date]]),1))+1</f>
        <v>2</v>
      </c>
      <c r="S201">
        <f>MONTH(datos_siembra[[#This Row],[Date]])</f>
        <v>9</v>
      </c>
      <c r="T201" t="str" cm="1">
        <f t="array" ref="T201">_xlfn.IFS(AND(N201&lt;= 22, S201=9), "SOWING",AND(N201&lt;= 28, S201=9), "COVERAGE",AND(N201&lt;= 30, S201=9), "FLUSH",AND(N201&lt;= 11, S201=10), "FLUSH",AND(N201&lt;= 21, S201=10), "PRODUCTION")</f>
        <v>SOWING</v>
      </c>
      <c r="U201">
        <f>HOUR(datos_siembra[[#This Row],[Hour]])</f>
        <v>0</v>
      </c>
      <c r="V201" cm="1">
        <f t="array" ref="V201">_xlfn.IFS(AND(N201&lt;= 22, S201=9), N201-7,AND(N201&lt;= 28, S201=9), N201-25,AND(N201&lt;= 30, S201=9), N201-28,AND(N201&lt;= 11, S201=10), N201+2,AND(N201&lt;= 21, S201=10), N201-11)</f>
        <v>3</v>
      </c>
    </row>
    <row r="202" spans="1:22" x14ac:dyDescent="0.35">
      <c r="A202" s="4">
        <v>45545</v>
      </c>
      <c r="B202" s="5">
        <v>4.673611111111111E-2</v>
      </c>
      <c r="C202">
        <v>80.599999999999994</v>
      </c>
      <c r="D202">
        <v>84</v>
      </c>
      <c r="E202">
        <v>84.4</v>
      </c>
      <c r="F202">
        <v>79.400000000000006</v>
      </c>
      <c r="G202">
        <v>0</v>
      </c>
      <c r="H202">
        <v>0</v>
      </c>
      <c r="I202">
        <v>0</v>
      </c>
      <c r="J202">
        <v>0</v>
      </c>
      <c r="K202">
        <v>67.099999999999994</v>
      </c>
      <c r="L202">
        <v>65.3</v>
      </c>
      <c r="M202">
        <v>82.06</v>
      </c>
      <c r="N202">
        <v>10</v>
      </c>
      <c r="O202">
        <v>7</v>
      </c>
      <c r="P202">
        <f>MOD(DAY(datos_siembra[[#This Row],[Date]]),7)</f>
        <v>3</v>
      </c>
      <c r="Q202" t="str">
        <f>CHOOSE(WEEKDAY(datos_siembra[[#This Row],[Date]],2),"L","M","X","J","V","S","D")</f>
        <v>M</v>
      </c>
      <c r="R202">
        <f>WEEKNUM(datos_siembra[[#This Row],[Date]],2)-WEEKNUM(DATE(YEAR(datos_siembra[[#This Row],[Date]]),MONTH(datos_siembra[[#This Row],[Date]]),1))+1</f>
        <v>2</v>
      </c>
      <c r="S202">
        <f>MONTH(datos_siembra[[#This Row],[Date]])</f>
        <v>9</v>
      </c>
      <c r="T202" t="str" cm="1">
        <f t="array" ref="T202">_xlfn.IFS(AND(N202&lt;= 22, S202=9), "SOWING",AND(N202&lt;= 28, S202=9), "COVERAGE",AND(N202&lt;= 30, S202=9), "FLUSH",AND(N202&lt;= 11, S202=10), "FLUSH",AND(N202&lt;= 21, S202=10), "PRODUCTION")</f>
        <v>SOWING</v>
      </c>
      <c r="U202">
        <f>HOUR(datos_siembra[[#This Row],[Hour]])</f>
        <v>1</v>
      </c>
      <c r="V202" cm="1">
        <f t="array" ref="V202">_xlfn.IFS(AND(N202&lt;= 22, S202=9), N202-7,AND(N202&lt;= 28, S202=9), N202-25,AND(N202&lt;= 30, S202=9), N202-28,AND(N202&lt;= 11, S202=10), N202+2,AND(N202&lt;= 21, S202=10), N202-11)</f>
        <v>3</v>
      </c>
    </row>
    <row r="203" spans="1:22" x14ac:dyDescent="0.35">
      <c r="A203" s="4">
        <v>45545</v>
      </c>
      <c r="B203" s="5">
        <v>5.3680555555555558E-2</v>
      </c>
      <c r="C203">
        <v>80.599999999999994</v>
      </c>
      <c r="D203">
        <v>84</v>
      </c>
      <c r="E203">
        <v>84.5</v>
      </c>
      <c r="F203">
        <v>79.400000000000006</v>
      </c>
      <c r="G203">
        <v>0</v>
      </c>
      <c r="H203">
        <v>0</v>
      </c>
      <c r="I203">
        <v>0</v>
      </c>
      <c r="J203">
        <v>0</v>
      </c>
      <c r="K203">
        <v>67.2</v>
      </c>
      <c r="L203">
        <v>65.3</v>
      </c>
      <c r="M203">
        <v>82.06</v>
      </c>
      <c r="N203">
        <v>10</v>
      </c>
      <c r="O203">
        <v>7</v>
      </c>
      <c r="P203">
        <f>MOD(DAY(datos_siembra[[#This Row],[Date]]),7)</f>
        <v>3</v>
      </c>
      <c r="Q203" t="str">
        <f>CHOOSE(WEEKDAY(datos_siembra[[#This Row],[Date]],2),"L","M","X","J","V","S","D")</f>
        <v>M</v>
      </c>
      <c r="R203">
        <f>WEEKNUM(datos_siembra[[#This Row],[Date]],2)-WEEKNUM(DATE(YEAR(datos_siembra[[#This Row],[Date]]),MONTH(datos_siembra[[#This Row],[Date]]),1))+1</f>
        <v>2</v>
      </c>
      <c r="S203">
        <f>MONTH(datos_siembra[[#This Row],[Date]])</f>
        <v>9</v>
      </c>
      <c r="T203" t="str" cm="1">
        <f t="array" ref="T203">_xlfn.IFS(AND(N203&lt;= 22, S203=9), "SOWING",AND(N203&lt;= 28, S203=9), "COVERAGE",AND(N203&lt;= 30, S203=9), "FLUSH",AND(N203&lt;= 11, S203=10), "FLUSH",AND(N203&lt;= 21, S203=10), "PRODUCTION")</f>
        <v>SOWING</v>
      </c>
      <c r="U203">
        <f>HOUR(datos_siembra[[#This Row],[Hour]])</f>
        <v>1</v>
      </c>
      <c r="V203" cm="1">
        <f t="array" ref="V203">_xlfn.IFS(AND(N203&lt;= 22, S203=9), N203-7,AND(N203&lt;= 28, S203=9), N203-25,AND(N203&lt;= 30, S203=9), N203-28,AND(N203&lt;= 11, S203=10), N203+2,AND(N203&lt;= 21, S203=10), N203-11)</f>
        <v>3</v>
      </c>
    </row>
    <row r="204" spans="1:22" x14ac:dyDescent="0.35">
      <c r="A204" s="4">
        <v>45545</v>
      </c>
      <c r="B204" s="5">
        <v>6.0624999999999998E-2</v>
      </c>
      <c r="C204">
        <v>80.599999999999994</v>
      </c>
      <c r="D204">
        <v>83.9</v>
      </c>
      <c r="E204">
        <v>84.5</v>
      </c>
      <c r="F204">
        <v>79.400000000000006</v>
      </c>
      <c r="G204">
        <v>0</v>
      </c>
      <c r="H204">
        <v>0</v>
      </c>
      <c r="I204">
        <v>0</v>
      </c>
      <c r="J204">
        <v>0</v>
      </c>
      <c r="K204">
        <v>67.2</v>
      </c>
      <c r="L204">
        <v>65.3</v>
      </c>
      <c r="M204">
        <v>82.09</v>
      </c>
      <c r="N204">
        <v>10</v>
      </c>
      <c r="O204">
        <v>7</v>
      </c>
      <c r="P204">
        <f>MOD(DAY(datos_siembra[[#This Row],[Date]]),7)</f>
        <v>3</v>
      </c>
      <c r="Q204" t="str">
        <f>CHOOSE(WEEKDAY(datos_siembra[[#This Row],[Date]],2),"L","M","X","J","V","S","D")</f>
        <v>M</v>
      </c>
      <c r="R204">
        <f>WEEKNUM(datos_siembra[[#This Row],[Date]],2)-WEEKNUM(DATE(YEAR(datos_siembra[[#This Row],[Date]]),MONTH(datos_siembra[[#This Row],[Date]]),1))+1</f>
        <v>2</v>
      </c>
      <c r="S204">
        <f>MONTH(datos_siembra[[#This Row],[Date]])</f>
        <v>9</v>
      </c>
      <c r="T204" t="str" cm="1">
        <f t="array" ref="T204">_xlfn.IFS(AND(N204&lt;= 22, S204=9), "SOWING",AND(N204&lt;= 28, S204=9), "COVERAGE",AND(N204&lt;= 30, S204=9), "FLUSH",AND(N204&lt;= 11, S204=10), "FLUSH",AND(N204&lt;= 21, S204=10), "PRODUCTION")</f>
        <v>SOWING</v>
      </c>
      <c r="U204">
        <f>HOUR(datos_siembra[[#This Row],[Hour]])</f>
        <v>1</v>
      </c>
      <c r="V204" cm="1">
        <f t="array" ref="V204">_xlfn.IFS(AND(N204&lt;= 22, S204=9), N204-7,AND(N204&lt;= 28, S204=9), N204-25,AND(N204&lt;= 30, S204=9), N204-28,AND(N204&lt;= 11, S204=10), N204+2,AND(N204&lt;= 21, S204=10), N204-11)</f>
        <v>3</v>
      </c>
    </row>
    <row r="205" spans="1:22" x14ac:dyDescent="0.35">
      <c r="A205" s="4">
        <v>45545</v>
      </c>
      <c r="B205" s="5">
        <v>6.7569444444444446E-2</v>
      </c>
      <c r="C205">
        <v>80.599999999999994</v>
      </c>
      <c r="D205">
        <v>83.9</v>
      </c>
      <c r="E205">
        <v>84.5</v>
      </c>
      <c r="F205">
        <v>79.5</v>
      </c>
      <c r="G205">
        <v>0</v>
      </c>
      <c r="H205">
        <v>0</v>
      </c>
      <c r="I205">
        <v>0</v>
      </c>
      <c r="J205">
        <v>0</v>
      </c>
      <c r="K205">
        <v>67.2</v>
      </c>
      <c r="L205">
        <v>65.3</v>
      </c>
      <c r="M205">
        <v>82.06</v>
      </c>
      <c r="N205">
        <v>10</v>
      </c>
      <c r="O205">
        <v>7</v>
      </c>
      <c r="P205">
        <f>MOD(DAY(datos_siembra[[#This Row],[Date]]),7)</f>
        <v>3</v>
      </c>
      <c r="Q205" t="str">
        <f>CHOOSE(WEEKDAY(datos_siembra[[#This Row],[Date]],2),"L","M","X","J","V","S","D")</f>
        <v>M</v>
      </c>
      <c r="R205">
        <f>WEEKNUM(datos_siembra[[#This Row],[Date]],2)-WEEKNUM(DATE(YEAR(datos_siembra[[#This Row],[Date]]),MONTH(datos_siembra[[#This Row],[Date]]),1))+1</f>
        <v>2</v>
      </c>
      <c r="S205">
        <f>MONTH(datos_siembra[[#This Row],[Date]])</f>
        <v>9</v>
      </c>
      <c r="T205" t="str" cm="1">
        <f t="array" ref="T205">_xlfn.IFS(AND(N205&lt;= 22, S205=9), "SOWING",AND(N205&lt;= 28, S205=9), "COVERAGE",AND(N205&lt;= 30, S205=9), "FLUSH",AND(N205&lt;= 11, S205=10), "FLUSH",AND(N205&lt;= 21, S205=10), "PRODUCTION")</f>
        <v>SOWING</v>
      </c>
      <c r="U205">
        <f>HOUR(datos_siembra[[#This Row],[Hour]])</f>
        <v>1</v>
      </c>
      <c r="V205" cm="1">
        <f t="array" ref="V205">_xlfn.IFS(AND(N205&lt;= 22, S205=9), N205-7,AND(N205&lt;= 28, S205=9), N205-25,AND(N205&lt;= 30, S205=9), N205-28,AND(N205&lt;= 11, S205=10), N205+2,AND(N205&lt;= 21, S205=10), N205-11)</f>
        <v>3</v>
      </c>
    </row>
    <row r="206" spans="1:22" x14ac:dyDescent="0.35">
      <c r="A206" s="4">
        <v>45545</v>
      </c>
      <c r="B206" s="5">
        <v>7.452546296296296E-2</v>
      </c>
      <c r="C206">
        <v>80.5</v>
      </c>
      <c r="D206">
        <v>84</v>
      </c>
      <c r="E206">
        <v>84.6</v>
      </c>
      <c r="F206">
        <v>79.599999999999994</v>
      </c>
      <c r="G206">
        <v>0</v>
      </c>
      <c r="H206">
        <v>0</v>
      </c>
      <c r="I206">
        <v>0</v>
      </c>
      <c r="J206">
        <v>0</v>
      </c>
      <c r="K206">
        <v>66.900000000000006</v>
      </c>
      <c r="L206">
        <v>64.900000000000006</v>
      </c>
      <c r="M206">
        <v>82.15</v>
      </c>
      <c r="N206">
        <v>10</v>
      </c>
      <c r="O206">
        <v>7</v>
      </c>
      <c r="P206">
        <f>MOD(DAY(datos_siembra[[#This Row],[Date]]),7)</f>
        <v>3</v>
      </c>
      <c r="Q206" t="str">
        <f>CHOOSE(WEEKDAY(datos_siembra[[#This Row],[Date]],2),"L","M","X","J","V","S","D")</f>
        <v>M</v>
      </c>
      <c r="R206">
        <f>WEEKNUM(datos_siembra[[#This Row],[Date]],2)-WEEKNUM(DATE(YEAR(datos_siembra[[#This Row],[Date]]),MONTH(datos_siembra[[#This Row],[Date]]),1))+1</f>
        <v>2</v>
      </c>
      <c r="S206">
        <f>MONTH(datos_siembra[[#This Row],[Date]])</f>
        <v>9</v>
      </c>
      <c r="T206" t="str" cm="1">
        <f t="array" ref="T206">_xlfn.IFS(AND(N206&lt;= 22, S206=9), "SOWING",AND(N206&lt;= 28, S206=9), "COVERAGE",AND(N206&lt;= 30, S206=9), "FLUSH",AND(N206&lt;= 11, S206=10), "FLUSH",AND(N206&lt;= 21, S206=10), "PRODUCTION")</f>
        <v>SOWING</v>
      </c>
      <c r="U206">
        <f>HOUR(datos_siembra[[#This Row],[Hour]])</f>
        <v>1</v>
      </c>
      <c r="V206" cm="1">
        <f t="array" ref="V206">_xlfn.IFS(AND(N206&lt;= 22, S206=9), N206-7,AND(N206&lt;= 28, S206=9), N206-25,AND(N206&lt;= 30, S206=9), N206-28,AND(N206&lt;= 11, S206=10), N206+2,AND(N206&lt;= 21, S206=10), N206-11)</f>
        <v>3</v>
      </c>
    </row>
    <row r="207" spans="1:22" x14ac:dyDescent="0.35">
      <c r="A207" s="4">
        <v>45545</v>
      </c>
      <c r="B207" s="5">
        <v>8.1469907407407408E-2</v>
      </c>
      <c r="C207">
        <v>80.5</v>
      </c>
      <c r="D207">
        <v>84</v>
      </c>
      <c r="E207">
        <v>84.5</v>
      </c>
      <c r="F207">
        <v>79.400000000000006</v>
      </c>
      <c r="G207">
        <v>0</v>
      </c>
      <c r="H207">
        <v>0</v>
      </c>
      <c r="I207">
        <v>0</v>
      </c>
      <c r="J207">
        <v>0</v>
      </c>
      <c r="K207">
        <v>66.2</v>
      </c>
      <c r="L207">
        <v>64.099999999999994</v>
      </c>
      <c r="M207">
        <v>82.09</v>
      </c>
      <c r="N207">
        <v>10</v>
      </c>
      <c r="O207">
        <v>7</v>
      </c>
      <c r="P207">
        <f>MOD(DAY(datos_siembra[[#This Row],[Date]]),7)</f>
        <v>3</v>
      </c>
      <c r="Q207" t="str">
        <f>CHOOSE(WEEKDAY(datos_siembra[[#This Row],[Date]],2),"L","M","X","J","V","S","D")</f>
        <v>M</v>
      </c>
      <c r="R207">
        <f>WEEKNUM(datos_siembra[[#This Row],[Date]],2)-WEEKNUM(DATE(YEAR(datos_siembra[[#This Row],[Date]]),MONTH(datos_siembra[[#This Row],[Date]]),1))+1</f>
        <v>2</v>
      </c>
      <c r="S207">
        <f>MONTH(datos_siembra[[#This Row],[Date]])</f>
        <v>9</v>
      </c>
      <c r="T207" t="str" cm="1">
        <f t="array" ref="T207">_xlfn.IFS(AND(N207&lt;= 22, S207=9), "SOWING",AND(N207&lt;= 28, S207=9), "COVERAGE",AND(N207&lt;= 30, S207=9), "FLUSH",AND(N207&lt;= 11, S207=10), "FLUSH",AND(N207&lt;= 21, S207=10), "PRODUCTION")</f>
        <v>SOWING</v>
      </c>
      <c r="U207">
        <f>HOUR(datos_siembra[[#This Row],[Hour]])</f>
        <v>1</v>
      </c>
      <c r="V207" cm="1">
        <f t="array" ref="V207">_xlfn.IFS(AND(N207&lt;= 22, S207=9), N207-7,AND(N207&lt;= 28, S207=9), N207-25,AND(N207&lt;= 30, S207=9), N207-28,AND(N207&lt;= 11, S207=10), N207+2,AND(N207&lt;= 21, S207=10), N207-11)</f>
        <v>3</v>
      </c>
    </row>
    <row r="208" spans="1:22" x14ac:dyDescent="0.35">
      <c r="A208" s="4">
        <v>45545</v>
      </c>
      <c r="B208" s="5">
        <v>8.8414351851851855E-2</v>
      </c>
      <c r="C208">
        <v>80.5</v>
      </c>
      <c r="D208">
        <v>84</v>
      </c>
      <c r="E208">
        <v>84.6</v>
      </c>
      <c r="F208">
        <v>79.599999999999994</v>
      </c>
      <c r="G208">
        <v>0</v>
      </c>
      <c r="H208">
        <v>0</v>
      </c>
      <c r="I208">
        <v>0</v>
      </c>
      <c r="J208">
        <v>0</v>
      </c>
      <c r="K208">
        <v>66</v>
      </c>
      <c r="L208">
        <v>64.099999999999994</v>
      </c>
      <c r="M208">
        <v>82.12</v>
      </c>
      <c r="N208">
        <v>10</v>
      </c>
      <c r="O208">
        <v>7</v>
      </c>
      <c r="P208">
        <f>MOD(DAY(datos_siembra[[#This Row],[Date]]),7)</f>
        <v>3</v>
      </c>
      <c r="Q208" t="str">
        <f>CHOOSE(WEEKDAY(datos_siembra[[#This Row],[Date]],2),"L","M","X","J","V","S","D")</f>
        <v>M</v>
      </c>
      <c r="R208">
        <f>WEEKNUM(datos_siembra[[#This Row],[Date]],2)-WEEKNUM(DATE(YEAR(datos_siembra[[#This Row],[Date]]),MONTH(datos_siembra[[#This Row],[Date]]),1))+1</f>
        <v>2</v>
      </c>
      <c r="S208">
        <f>MONTH(datos_siembra[[#This Row],[Date]])</f>
        <v>9</v>
      </c>
      <c r="T208" t="str" cm="1">
        <f t="array" ref="T208">_xlfn.IFS(AND(N208&lt;= 22, S208=9), "SOWING",AND(N208&lt;= 28, S208=9), "COVERAGE",AND(N208&lt;= 30, S208=9), "FLUSH",AND(N208&lt;= 11, S208=10), "FLUSH",AND(N208&lt;= 21, S208=10), "PRODUCTION")</f>
        <v>SOWING</v>
      </c>
      <c r="U208">
        <f>HOUR(datos_siembra[[#This Row],[Hour]])</f>
        <v>2</v>
      </c>
      <c r="V208" cm="1">
        <f t="array" ref="V208">_xlfn.IFS(AND(N208&lt;= 22, S208=9), N208-7,AND(N208&lt;= 28, S208=9), N208-25,AND(N208&lt;= 30, S208=9), N208-28,AND(N208&lt;= 11, S208=10), N208+2,AND(N208&lt;= 21, S208=10), N208-11)</f>
        <v>3</v>
      </c>
    </row>
    <row r="209" spans="1:22" x14ac:dyDescent="0.35">
      <c r="A209" s="4">
        <v>45545</v>
      </c>
      <c r="B209" s="5">
        <v>9.5370370370370369E-2</v>
      </c>
      <c r="C209">
        <v>80.599999999999994</v>
      </c>
      <c r="D209">
        <v>83.9</v>
      </c>
      <c r="E209">
        <v>84.6</v>
      </c>
      <c r="F209">
        <v>79.3</v>
      </c>
      <c r="G209">
        <v>0</v>
      </c>
      <c r="H209">
        <v>0</v>
      </c>
      <c r="I209">
        <v>0</v>
      </c>
      <c r="J209">
        <v>0</v>
      </c>
      <c r="K209">
        <v>66</v>
      </c>
      <c r="L209">
        <v>64</v>
      </c>
      <c r="M209">
        <v>82.17</v>
      </c>
      <c r="N209">
        <v>10</v>
      </c>
      <c r="O209">
        <v>7</v>
      </c>
      <c r="P209">
        <f>MOD(DAY(datos_siembra[[#This Row],[Date]]),7)</f>
        <v>3</v>
      </c>
      <c r="Q209" t="str">
        <f>CHOOSE(WEEKDAY(datos_siembra[[#This Row],[Date]],2),"L","M","X","J","V","S","D")</f>
        <v>M</v>
      </c>
      <c r="R209">
        <f>WEEKNUM(datos_siembra[[#This Row],[Date]],2)-WEEKNUM(DATE(YEAR(datos_siembra[[#This Row],[Date]]),MONTH(datos_siembra[[#This Row],[Date]]),1))+1</f>
        <v>2</v>
      </c>
      <c r="S209">
        <f>MONTH(datos_siembra[[#This Row],[Date]])</f>
        <v>9</v>
      </c>
      <c r="T209" t="str" cm="1">
        <f t="array" ref="T209">_xlfn.IFS(AND(N209&lt;= 22, S209=9), "SOWING",AND(N209&lt;= 28, S209=9), "COVERAGE",AND(N209&lt;= 30, S209=9), "FLUSH",AND(N209&lt;= 11, S209=10), "FLUSH",AND(N209&lt;= 21, S209=10), "PRODUCTION")</f>
        <v>SOWING</v>
      </c>
      <c r="U209">
        <f>HOUR(datos_siembra[[#This Row],[Hour]])</f>
        <v>2</v>
      </c>
      <c r="V209" cm="1">
        <f t="array" ref="V209">_xlfn.IFS(AND(N209&lt;= 22, S209=9), N209-7,AND(N209&lt;= 28, S209=9), N209-25,AND(N209&lt;= 30, S209=9), N209-28,AND(N209&lt;= 11, S209=10), N209+2,AND(N209&lt;= 21, S209=10), N209-11)</f>
        <v>3</v>
      </c>
    </row>
    <row r="210" spans="1:22" x14ac:dyDescent="0.35">
      <c r="A210" s="4">
        <v>45545</v>
      </c>
      <c r="B210" s="5">
        <v>0.10231481481481482</v>
      </c>
      <c r="C210">
        <v>80.7</v>
      </c>
      <c r="D210">
        <v>83.8</v>
      </c>
      <c r="E210">
        <v>84.6</v>
      </c>
      <c r="F210">
        <v>79.400000000000006</v>
      </c>
      <c r="G210">
        <v>0</v>
      </c>
      <c r="H210">
        <v>0</v>
      </c>
      <c r="I210">
        <v>0</v>
      </c>
      <c r="J210">
        <v>0</v>
      </c>
      <c r="K210">
        <v>66</v>
      </c>
      <c r="L210">
        <v>64</v>
      </c>
      <c r="M210">
        <v>82.18</v>
      </c>
      <c r="N210">
        <v>10</v>
      </c>
      <c r="O210">
        <v>7</v>
      </c>
      <c r="P210">
        <f>MOD(DAY(datos_siembra[[#This Row],[Date]]),7)</f>
        <v>3</v>
      </c>
      <c r="Q210" t="str">
        <f>CHOOSE(WEEKDAY(datos_siembra[[#This Row],[Date]],2),"L","M","X","J","V","S","D")</f>
        <v>M</v>
      </c>
      <c r="R210">
        <f>WEEKNUM(datos_siembra[[#This Row],[Date]],2)-WEEKNUM(DATE(YEAR(datos_siembra[[#This Row],[Date]]),MONTH(datos_siembra[[#This Row],[Date]]),1))+1</f>
        <v>2</v>
      </c>
      <c r="S210">
        <f>MONTH(datos_siembra[[#This Row],[Date]])</f>
        <v>9</v>
      </c>
      <c r="T210" t="str" cm="1">
        <f t="array" ref="T210">_xlfn.IFS(AND(N210&lt;= 22, S210=9), "SOWING",AND(N210&lt;= 28, S210=9), "COVERAGE",AND(N210&lt;= 30, S210=9), "FLUSH",AND(N210&lt;= 11, S210=10), "FLUSH",AND(N210&lt;= 21, S210=10), "PRODUCTION")</f>
        <v>SOWING</v>
      </c>
      <c r="U210">
        <f>HOUR(datos_siembra[[#This Row],[Hour]])</f>
        <v>2</v>
      </c>
      <c r="V210" cm="1">
        <f t="array" ref="V210">_xlfn.IFS(AND(N210&lt;= 22, S210=9), N210-7,AND(N210&lt;= 28, S210=9), N210-25,AND(N210&lt;= 30, S210=9), N210-28,AND(N210&lt;= 11, S210=10), N210+2,AND(N210&lt;= 21, S210=10), N210-11)</f>
        <v>3</v>
      </c>
    </row>
    <row r="211" spans="1:22" x14ac:dyDescent="0.35">
      <c r="A211" s="4">
        <v>45545</v>
      </c>
      <c r="B211" s="5">
        <v>0.10925925925925926</v>
      </c>
      <c r="C211">
        <v>80.599999999999994</v>
      </c>
      <c r="D211">
        <v>84</v>
      </c>
      <c r="E211">
        <v>84.9</v>
      </c>
      <c r="F211">
        <v>79.5</v>
      </c>
      <c r="G211">
        <v>0</v>
      </c>
      <c r="H211">
        <v>0</v>
      </c>
      <c r="I211">
        <v>0</v>
      </c>
      <c r="J211">
        <v>0</v>
      </c>
      <c r="K211">
        <v>65.900000000000006</v>
      </c>
      <c r="L211">
        <v>64.099999999999994</v>
      </c>
      <c r="M211">
        <v>82.12</v>
      </c>
      <c r="N211">
        <v>10</v>
      </c>
      <c r="O211">
        <v>7</v>
      </c>
      <c r="P211">
        <f>MOD(DAY(datos_siembra[[#This Row],[Date]]),7)</f>
        <v>3</v>
      </c>
      <c r="Q211" t="str">
        <f>CHOOSE(WEEKDAY(datos_siembra[[#This Row],[Date]],2),"L","M","X","J","V","S","D")</f>
        <v>M</v>
      </c>
      <c r="R211">
        <f>WEEKNUM(datos_siembra[[#This Row],[Date]],2)-WEEKNUM(DATE(YEAR(datos_siembra[[#This Row],[Date]]),MONTH(datos_siembra[[#This Row],[Date]]),1))+1</f>
        <v>2</v>
      </c>
      <c r="S211">
        <f>MONTH(datos_siembra[[#This Row],[Date]])</f>
        <v>9</v>
      </c>
      <c r="T211" t="str" cm="1">
        <f t="array" ref="T211">_xlfn.IFS(AND(N211&lt;= 22, S211=9), "SOWING",AND(N211&lt;= 28, S211=9), "COVERAGE",AND(N211&lt;= 30, S211=9), "FLUSH",AND(N211&lt;= 11, S211=10), "FLUSH",AND(N211&lt;= 21, S211=10), "PRODUCTION")</f>
        <v>SOWING</v>
      </c>
      <c r="U211">
        <f>HOUR(datos_siembra[[#This Row],[Hour]])</f>
        <v>2</v>
      </c>
      <c r="V211" cm="1">
        <f t="array" ref="V211">_xlfn.IFS(AND(N211&lt;= 22, S211=9), N211-7,AND(N211&lt;= 28, S211=9), N211-25,AND(N211&lt;= 30, S211=9), N211-28,AND(N211&lt;= 11, S211=10), N211+2,AND(N211&lt;= 21, S211=10), N211-11)</f>
        <v>3</v>
      </c>
    </row>
    <row r="212" spans="1:22" x14ac:dyDescent="0.35">
      <c r="A212" s="4">
        <v>45545</v>
      </c>
      <c r="B212" s="5">
        <v>0.1162037037037037</v>
      </c>
      <c r="C212">
        <v>80.5</v>
      </c>
      <c r="D212">
        <v>83.9</v>
      </c>
      <c r="E212">
        <v>84.6</v>
      </c>
      <c r="F212">
        <v>79.599999999999994</v>
      </c>
      <c r="G212">
        <v>0</v>
      </c>
      <c r="H212">
        <v>0</v>
      </c>
      <c r="I212">
        <v>0</v>
      </c>
      <c r="J212">
        <v>0</v>
      </c>
      <c r="K212">
        <v>66</v>
      </c>
      <c r="L212">
        <v>64.2</v>
      </c>
      <c r="M212">
        <v>82.26</v>
      </c>
      <c r="N212">
        <v>10</v>
      </c>
      <c r="O212">
        <v>7</v>
      </c>
      <c r="P212">
        <f>MOD(DAY(datos_siembra[[#This Row],[Date]]),7)</f>
        <v>3</v>
      </c>
      <c r="Q212" t="str">
        <f>CHOOSE(WEEKDAY(datos_siembra[[#This Row],[Date]],2),"L","M","X","J","V","S","D")</f>
        <v>M</v>
      </c>
      <c r="R212">
        <f>WEEKNUM(datos_siembra[[#This Row],[Date]],2)-WEEKNUM(DATE(YEAR(datos_siembra[[#This Row],[Date]]),MONTH(datos_siembra[[#This Row],[Date]]),1))+1</f>
        <v>2</v>
      </c>
      <c r="S212">
        <f>MONTH(datos_siembra[[#This Row],[Date]])</f>
        <v>9</v>
      </c>
      <c r="T212" t="str" cm="1">
        <f t="array" ref="T212">_xlfn.IFS(AND(N212&lt;= 22, S212=9), "SOWING",AND(N212&lt;= 28, S212=9), "COVERAGE",AND(N212&lt;= 30, S212=9), "FLUSH",AND(N212&lt;= 11, S212=10), "FLUSH",AND(N212&lt;= 21, S212=10), "PRODUCTION")</f>
        <v>SOWING</v>
      </c>
      <c r="U212">
        <f>HOUR(datos_siembra[[#This Row],[Hour]])</f>
        <v>2</v>
      </c>
      <c r="V212" cm="1">
        <f t="array" ref="V212">_xlfn.IFS(AND(N212&lt;= 22, S212=9), N212-7,AND(N212&lt;= 28, S212=9), N212-25,AND(N212&lt;= 30, S212=9), N212-28,AND(N212&lt;= 11, S212=10), N212+2,AND(N212&lt;= 21, S212=10), N212-11)</f>
        <v>3</v>
      </c>
    </row>
    <row r="213" spans="1:22" x14ac:dyDescent="0.35">
      <c r="A213" s="4">
        <v>45545</v>
      </c>
      <c r="B213" s="5">
        <v>0.12315972222222223</v>
      </c>
      <c r="C213">
        <v>80.5</v>
      </c>
      <c r="D213">
        <v>83.8</v>
      </c>
      <c r="E213">
        <v>84.8</v>
      </c>
      <c r="F213">
        <v>79.599999999999994</v>
      </c>
      <c r="G213">
        <v>0</v>
      </c>
      <c r="H213">
        <v>0</v>
      </c>
      <c r="I213">
        <v>0</v>
      </c>
      <c r="J213">
        <v>0</v>
      </c>
      <c r="K213">
        <v>66</v>
      </c>
      <c r="L213">
        <v>64.099999999999994</v>
      </c>
      <c r="M213">
        <v>82.18</v>
      </c>
      <c r="N213">
        <v>10</v>
      </c>
      <c r="O213">
        <v>7</v>
      </c>
      <c r="P213">
        <f>MOD(DAY(datos_siembra[[#This Row],[Date]]),7)</f>
        <v>3</v>
      </c>
      <c r="Q213" t="str">
        <f>CHOOSE(WEEKDAY(datos_siembra[[#This Row],[Date]],2),"L","M","X","J","V","S","D")</f>
        <v>M</v>
      </c>
      <c r="R213">
        <f>WEEKNUM(datos_siembra[[#This Row],[Date]],2)-WEEKNUM(DATE(YEAR(datos_siembra[[#This Row],[Date]]),MONTH(datos_siembra[[#This Row],[Date]]),1))+1</f>
        <v>2</v>
      </c>
      <c r="S213">
        <f>MONTH(datos_siembra[[#This Row],[Date]])</f>
        <v>9</v>
      </c>
      <c r="T213" t="str" cm="1">
        <f t="array" ref="T213">_xlfn.IFS(AND(N213&lt;= 22, S213=9), "SOWING",AND(N213&lt;= 28, S213=9), "COVERAGE",AND(N213&lt;= 30, S213=9), "FLUSH",AND(N213&lt;= 11, S213=10), "FLUSH",AND(N213&lt;= 21, S213=10), "PRODUCTION")</f>
        <v>SOWING</v>
      </c>
      <c r="U213">
        <f>HOUR(datos_siembra[[#This Row],[Hour]])</f>
        <v>2</v>
      </c>
      <c r="V213" cm="1">
        <f t="array" ref="V213">_xlfn.IFS(AND(N213&lt;= 22, S213=9), N213-7,AND(N213&lt;= 28, S213=9), N213-25,AND(N213&lt;= 30, S213=9), N213-28,AND(N213&lt;= 11, S213=10), N213+2,AND(N213&lt;= 21, S213=10), N213-11)</f>
        <v>3</v>
      </c>
    </row>
    <row r="214" spans="1:22" x14ac:dyDescent="0.35">
      <c r="A214" s="4">
        <v>45545</v>
      </c>
      <c r="B214" s="5">
        <v>0.13010416666666666</v>
      </c>
      <c r="C214">
        <v>80.7</v>
      </c>
      <c r="D214">
        <v>83.9</v>
      </c>
      <c r="E214">
        <v>84.6</v>
      </c>
      <c r="F214">
        <v>79.7</v>
      </c>
      <c r="G214">
        <v>0</v>
      </c>
      <c r="H214">
        <v>0</v>
      </c>
      <c r="I214">
        <v>0</v>
      </c>
      <c r="J214">
        <v>0</v>
      </c>
      <c r="K214">
        <v>65.900000000000006</v>
      </c>
      <c r="L214">
        <v>64</v>
      </c>
      <c r="M214">
        <v>82.23</v>
      </c>
      <c r="N214">
        <v>10</v>
      </c>
      <c r="O214">
        <v>7</v>
      </c>
      <c r="P214">
        <f>MOD(DAY(datos_siembra[[#This Row],[Date]]),7)</f>
        <v>3</v>
      </c>
      <c r="Q214" t="str">
        <f>CHOOSE(WEEKDAY(datos_siembra[[#This Row],[Date]],2),"L","M","X","J","V","S","D")</f>
        <v>M</v>
      </c>
      <c r="R214">
        <f>WEEKNUM(datos_siembra[[#This Row],[Date]],2)-WEEKNUM(DATE(YEAR(datos_siembra[[#This Row],[Date]]),MONTH(datos_siembra[[#This Row],[Date]]),1))+1</f>
        <v>2</v>
      </c>
      <c r="S214">
        <f>MONTH(datos_siembra[[#This Row],[Date]])</f>
        <v>9</v>
      </c>
      <c r="T214" t="str" cm="1">
        <f t="array" ref="T214">_xlfn.IFS(AND(N214&lt;= 22, S214=9), "SOWING",AND(N214&lt;= 28, S214=9), "COVERAGE",AND(N214&lt;= 30, S214=9), "FLUSH",AND(N214&lt;= 11, S214=10), "FLUSH",AND(N214&lt;= 21, S214=10), "PRODUCTION")</f>
        <v>SOWING</v>
      </c>
      <c r="U214">
        <f>HOUR(datos_siembra[[#This Row],[Hour]])</f>
        <v>3</v>
      </c>
      <c r="V214" cm="1">
        <f t="array" ref="V214">_xlfn.IFS(AND(N214&lt;= 22, S214=9), N214-7,AND(N214&lt;= 28, S214=9), N214-25,AND(N214&lt;= 30, S214=9), N214-28,AND(N214&lt;= 11, S214=10), N214+2,AND(N214&lt;= 21, S214=10), N214-11)</f>
        <v>3</v>
      </c>
    </row>
    <row r="215" spans="1:22" x14ac:dyDescent="0.35">
      <c r="A215" s="4">
        <v>45545</v>
      </c>
      <c r="B215" s="5">
        <v>0.13704861111111111</v>
      </c>
      <c r="C215">
        <v>80.8</v>
      </c>
      <c r="D215">
        <v>83.9</v>
      </c>
      <c r="E215">
        <v>84.8</v>
      </c>
      <c r="F215">
        <v>79.8</v>
      </c>
      <c r="G215">
        <v>0</v>
      </c>
      <c r="H215">
        <v>0</v>
      </c>
      <c r="I215">
        <v>0</v>
      </c>
      <c r="J215">
        <v>0</v>
      </c>
      <c r="K215">
        <v>65.900000000000006</v>
      </c>
      <c r="L215">
        <v>64</v>
      </c>
      <c r="M215">
        <v>82.29</v>
      </c>
      <c r="N215">
        <v>10</v>
      </c>
      <c r="O215">
        <v>7</v>
      </c>
      <c r="P215">
        <f>MOD(DAY(datos_siembra[[#This Row],[Date]]),7)</f>
        <v>3</v>
      </c>
      <c r="Q215" t="str">
        <f>CHOOSE(WEEKDAY(datos_siembra[[#This Row],[Date]],2),"L","M","X","J","V","S","D")</f>
        <v>M</v>
      </c>
      <c r="R215">
        <f>WEEKNUM(datos_siembra[[#This Row],[Date]],2)-WEEKNUM(DATE(YEAR(datos_siembra[[#This Row],[Date]]),MONTH(datos_siembra[[#This Row],[Date]]),1))+1</f>
        <v>2</v>
      </c>
      <c r="S215">
        <f>MONTH(datos_siembra[[#This Row],[Date]])</f>
        <v>9</v>
      </c>
      <c r="T215" t="str" cm="1">
        <f t="array" ref="T215">_xlfn.IFS(AND(N215&lt;= 22, S215=9), "SOWING",AND(N215&lt;= 28, S215=9), "COVERAGE",AND(N215&lt;= 30, S215=9), "FLUSH",AND(N215&lt;= 11, S215=10), "FLUSH",AND(N215&lt;= 21, S215=10), "PRODUCTION")</f>
        <v>SOWING</v>
      </c>
      <c r="U215">
        <f>HOUR(datos_siembra[[#This Row],[Hour]])</f>
        <v>3</v>
      </c>
      <c r="V215" cm="1">
        <f t="array" ref="V215">_xlfn.IFS(AND(N215&lt;= 22, S215=9), N215-7,AND(N215&lt;= 28, S215=9), N215-25,AND(N215&lt;= 30, S215=9), N215-28,AND(N215&lt;= 11, S215=10), N215+2,AND(N215&lt;= 21, S215=10), N215-11)</f>
        <v>3</v>
      </c>
    </row>
    <row r="216" spans="1:22" x14ac:dyDescent="0.35">
      <c r="A216" s="4">
        <v>45545</v>
      </c>
      <c r="B216" s="5">
        <v>0.14400462962962962</v>
      </c>
      <c r="C216">
        <v>80.599999999999994</v>
      </c>
      <c r="D216">
        <v>83.9</v>
      </c>
      <c r="E216">
        <v>84.8</v>
      </c>
      <c r="F216">
        <v>80</v>
      </c>
      <c r="G216">
        <v>0</v>
      </c>
      <c r="H216">
        <v>0</v>
      </c>
      <c r="I216">
        <v>0</v>
      </c>
      <c r="J216">
        <v>0</v>
      </c>
      <c r="K216">
        <v>66</v>
      </c>
      <c r="L216">
        <v>64</v>
      </c>
      <c r="M216">
        <v>82.34</v>
      </c>
      <c r="N216">
        <v>10</v>
      </c>
      <c r="O216">
        <v>7</v>
      </c>
      <c r="P216">
        <f>MOD(DAY(datos_siembra[[#This Row],[Date]]),7)</f>
        <v>3</v>
      </c>
      <c r="Q216" t="str">
        <f>CHOOSE(WEEKDAY(datos_siembra[[#This Row],[Date]],2),"L","M","X","J","V","S","D")</f>
        <v>M</v>
      </c>
      <c r="R216">
        <f>WEEKNUM(datos_siembra[[#This Row],[Date]],2)-WEEKNUM(DATE(YEAR(datos_siembra[[#This Row],[Date]]),MONTH(datos_siembra[[#This Row],[Date]]),1))+1</f>
        <v>2</v>
      </c>
      <c r="S216">
        <f>MONTH(datos_siembra[[#This Row],[Date]])</f>
        <v>9</v>
      </c>
      <c r="T216" t="str" cm="1">
        <f t="array" ref="T216">_xlfn.IFS(AND(N216&lt;= 22, S216=9), "SOWING",AND(N216&lt;= 28, S216=9), "COVERAGE",AND(N216&lt;= 30, S216=9), "FLUSH",AND(N216&lt;= 11, S216=10), "FLUSH",AND(N216&lt;= 21, S216=10), "PRODUCTION")</f>
        <v>SOWING</v>
      </c>
      <c r="U216">
        <f>HOUR(datos_siembra[[#This Row],[Hour]])</f>
        <v>3</v>
      </c>
      <c r="V216" cm="1">
        <f t="array" ref="V216">_xlfn.IFS(AND(N216&lt;= 22, S216=9), N216-7,AND(N216&lt;= 28, S216=9), N216-25,AND(N216&lt;= 30, S216=9), N216-28,AND(N216&lt;= 11, S216=10), N216+2,AND(N216&lt;= 21, S216=10), N216-11)</f>
        <v>3</v>
      </c>
    </row>
    <row r="217" spans="1:22" x14ac:dyDescent="0.35">
      <c r="A217" s="4">
        <v>45545</v>
      </c>
      <c r="B217" s="5">
        <v>0.15094907407407407</v>
      </c>
      <c r="C217">
        <v>80.7</v>
      </c>
      <c r="D217">
        <v>83.6</v>
      </c>
      <c r="E217">
        <v>84.6</v>
      </c>
      <c r="F217">
        <v>80.099999999999994</v>
      </c>
      <c r="G217">
        <v>0</v>
      </c>
      <c r="H217">
        <v>0</v>
      </c>
      <c r="I217">
        <v>0</v>
      </c>
      <c r="J217">
        <v>0</v>
      </c>
      <c r="K217">
        <v>66</v>
      </c>
      <c r="L217">
        <v>64.099999999999994</v>
      </c>
      <c r="M217">
        <v>82.29</v>
      </c>
      <c r="N217">
        <v>10</v>
      </c>
      <c r="O217">
        <v>7</v>
      </c>
      <c r="P217">
        <f>MOD(DAY(datos_siembra[[#This Row],[Date]]),7)</f>
        <v>3</v>
      </c>
      <c r="Q217" t="str">
        <f>CHOOSE(WEEKDAY(datos_siembra[[#This Row],[Date]],2),"L","M","X","J","V","S","D")</f>
        <v>M</v>
      </c>
      <c r="R217">
        <f>WEEKNUM(datos_siembra[[#This Row],[Date]],2)-WEEKNUM(DATE(YEAR(datos_siembra[[#This Row],[Date]]),MONTH(datos_siembra[[#This Row],[Date]]),1))+1</f>
        <v>2</v>
      </c>
      <c r="S217">
        <f>MONTH(datos_siembra[[#This Row],[Date]])</f>
        <v>9</v>
      </c>
      <c r="T217" t="str" cm="1">
        <f t="array" ref="T217">_xlfn.IFS(AND(N217&lt;= 22, S217=9), "SOWING",AND(N217&lt;= 28, S217=9), "COVERAGE",AND(N217&lt;= 30, S217=9), "FLUSH",AND(N217&lt;= 11, S217=10), "FLUSH",AND(N217&lt;= 21, S217=10), "PRODUCTION")</f>
        <v>SOWING</v>
      </c>
      <c r="U217">
        <f>HOUR(datos_siembra[[#This Row],[Hour]])</f>
        <v>3</v>
      </c>
      <c r="V217" cm="1">
        <f t="array" ref="V217">_xlfn.IFS(AND(N217&lt;= 22, S217=9), N217-7,AND(N217&lt;= 28, S217=9), N217-25,AND(N217&lt;= 30, S217=9), N217-28,AND(N217&lt;= 11, S217=10), N217+2,AND(N217&lt;= 21, S217=10), N217-11)</f>
        <v>3</v>
      </c>
    </row>
    <row r="218" spans="1:22" x14ac:dyDescent="0.35">
      <c r="A218" s="4">
        <v>45545</v>
      </c>
      <c r="B218" s="5">
        <v>0.15789351851851852</v>
      </c>
      <c r="C218">
        <v>80.599999999999994</v>
      </c>
      <c r="D218">
        <v>83.8</v>
      </c>
      <c r="E218">
        <v>84.9</v>
      </c>
      <c r="F218">
        <v>80.599999999999994</v>
      </c>
      <c r="G218">
        <v>0</v>
      </c>
      <c r="H218">
        <v>0</v>
      </c>
      <c r="I218">
        <v>0</v>
      </c>
      <c r="J218">
        <v>0</v>
      </c>
      <c r="K218">
        <v>65.900000000000006</v>
      </c>
      <c r="L218">
        <v>64.2</v>
      </c>
      <c r="M218">
        <v>82.43</v>
      </c>
      <c r="N218">
        <v>10</v>
      </c>
      <c r="O218">
        <v>7</v>
      </c>
      <c r="P218">
        <f>MOD(DAY(datos_siembra[[#This Row],[Date]]),7)</f>
        <v>3</v>
      </c>
      <c r="Q218" t="str">
        <f>CHOOSE(WEEKDAY(datos_siembra[[#This Row],[Date]],2),"L","M","X","J","V","S","D")</f>
        <v>M</v>
      </c>
      <c r="R218">
        <f>WEEKNUM(datos_siembra[[#This Row],[Date]],2)-WEEKNUM(DATE(YEAR(datos_siembra[[#This Row],[Date]]),MONTH(datos_siembra[[#This Row],[Date]]),1))+1</f>
        <v>2</v>
      </c>
      <c r="S218">
        <f>MONTH(datos_siembra[[#This Row],[Date]])</f>
        <v>9</v>
      </c>
      <c r="T218" t="str" cm="1">
        <f t="array" ref="T218">_xlfn.IFS(AND(N218&lt;= 22, S218=9), "SOWING",AND(N218&lt;= 28, S218=9), "COVERAGE",AND(N218&lt;= 30, S218=9), "FLUSH",AND(N218&lt;= 11, S218=10), "FLUSH",AND(N218&lt;= 21, S218=10), "PRODUCTION")</f>
        <v>SOWING</v>
      </c>
      <c r="U218">
        <f>HOUR(datos_siembra[[#This Row],[Hour]])</f>
        <v>3</v>
      </c>
      <c r="V218" cm="1">
        <f t="array" ref="V218">_xlfn.IFS(AND(N218&lt;= 22, S218=9), N218-7,AND(N218&lt;= 28, S218=9), N218-25,AND(N218&lt;= 30, S218=9), N218-28,AND(N218&lt;= 11, S218=10), N218+2,AND(N218&lt;= 21, S218=10), N218-11)</f>
        <v>3</v>
      </c>
    </row>
    <row r="219" spans="1:22" x14ac:dyDescent="0.35">
      <c r="A219" s="4">
        <v>45545</v>
      </c>
      <c r="B219" s="5">
        <v>0.16484953703703703</v>
      </c>
      <c r="C219">
        <v>80.7</v>
      </c>
      <c r="D219">
        <v>83.9</v>
      </c>
      <c r="E219">
        <v>85</v>
      </c>
      <c r="F219">
        <v>80.599999999999994</v>
      </c>
      <c r="G219">
        <v>0</v>
      </c>
      <c r="H219">
        <v>0</v>
      </c>
      <c r="I219">
        <v>0</v>
      </c>
      <c r="J219">
        <v>0</v>
      </c>
      <c r="K219">
        <v>65.2</v>
      </c>
      <c r="L219">
        <v>63.8</v>
      </c>
      <c r="M219">
        <v>82.48</v>
      </c>
      <c r="N219">
        <v>10</v>
      </c>
      <c r="O219">
        <v>7</v>
      </c>
      <c r="P219">
        <f>MOD(DAY(datos_siembra[[#This Row],[Date]]),7)</f>
        <v>3</v>
      </c>
      <c r="Q219" t="str">
        <f>CHOOSE(WEEKDAY(datos_siembra[[#This Row],[Date]],2),"L","M","X","J","V","S","D")</f>
        <v>M</v>
      </c>
      <c r="R219">
        <f>WEEKNUM(datos_siembra[[#This Row],[Date]],2)-WEEKNUM(DATE(YEAR(datos_siembra[[#This Row],[Date]]),MONTH(datos_siembra[[#This Row],[Date]]),1))+1</f>
        <v>2</v>
      </c>
      <c r="S219">
        <f>MONTH(datos_siembra[[#This Row],[Date]])</f>
        <v>9</v>
      </c>
      <c r="T219" t="str" cm="1">
        <f t="array" ref="T219">_xlfn.IFS(AND(N219&lt;= 22, S219=9), "SOWING",AND(N219&lt;= 28, S219=9), "COVERAGE",AND(N219&lt;= 30, S219=9), "FLUSH",AND(N219&lt;= 11, S219=10), "FLUSH",AND(N219&lt;= 21, S219=10), "PRODUCTION")</f>
        <v>SOWING</v>
      </c>
      <c r="U219">
        <f>HOUR(datos_siembra[[#This Row],[Hour]])</f>
        <v>3</v>
      </c>
      <c r="V219" cm="1">
        <f t="array" ref="V219">_xlfn.IFS(AND(N219&lt;= 22, S219=9), N219-7,AND(N219&lt;= 28, S219=9), N219-25,AND(N219&lt;= 30, S219=9), N219-28,AND(N219&lt;= 11, S219=10), N219+2,AND(N219&lt;= 21, S219=10), N219-11)</f>
        <v>3</v>
      </c>
    </row>
    <row r="220" spans="1:22" x14ac:dyDescent="0.35">
      <c r="A220" s="4">
        <v>45545</v>
      </c>
      <c r="B220" s="5">
        <v>0.17179398148148148</v>
      </c>
      <c r="C220">
        <v>80.599999999999994</v>
      </c>
      <c r="D220">
        <v>84</v>
      </c>
      <c r="E220">
        <v>84.9</v>
      </c>
      <c r="F220">
        <v>80.8</v>
      </c>
      <c r="G220">
        <v>0</v>
      </c>
      <c r="H220">
        <v>0</v>
      </c>
      <c r="I220">
        <v>0</v>
      </c>
      <c r="J220">
        <v>0</v>
      </c>
      <c r="K220">
        <v>64.3</v>
      </c>
      <c r="L220">
        <v>62.8</v>
      </c>
      <c r="M220">
        <v>82.65</v>
      </c>
      <c r="N220">
        <v>10</v>
      </c>
      <c r="O220">
        <v>7</v>
      </c>
      <c r="P220">
        <f>MOD(DAY(datos_siembra[[#This Row],[Date]]),7)</f>
        <v>3</v>
      </c>
      <c r="Q220" t="str">
        <f>CHOOSE(WEEKDAY(datos_siembra[[#This Row],[Date]],2),"L","M","X","J","V","S","D")</f>
        <v>M</v>
      </c>
      <c r="R220">
        <f>WEEKNUM(datos_siembra[[#This Row],[Date]],2)-WEEKNUM(DATE(YEAR(datos_siembra[[#This Row],[Date]]),MONTH(datos_siembra[[#This Row],[Date]]),1))+1</f>
        <v>2</v>
      </c>
      <c r="S220">
        <f>MONTH(datos_siembra[[#This Row],[Date]])</f>
        <v>9</v>
      </c>
      <c r="T220" t="str" cm="1">
        <f t="array" ref="T220">_xlfn.IFS(AND(N220&lt;= 22, S220=9), "SOWING",AND(N220&lt;= 28, S220=9), "COVERAGE",AND(N220&lt;= 30, S220=9), "FLUSH",AND(N220&lt;= 11, S220=10), "FLUSH",AND(N220&lt;= 21, S220=10), "PRODUCTION")</f>
        <v>SOWING</v>
      </c>
      <c r="U220">
        <f>HOUR(datos_siembra[[#This Row],[Hour]])</f>
        <v>4</v>
      </c>
      <c r="V220" cm="1">
        <f t="array" ref="V220">_xlfn.IFS(AND(N220&lt;= 22, S220=9), N220-7,AND(N220&lt;= 28, S220=9), N220-25,AND(N220&lt;= 30, S220=9), N220-28,AND(N220&lt;= 11, S220=10), N220+2,AND(N220&lt;= 21, S220=10), N220-11)</f>
        <v>3</v>
      </c>
    </row>
    <row r="221" spans="1:22" x14ac:dyDescent="0.35">
      <c r="A221" s="4">
        <v>45545</v>
      </c>
      <c r="B221" s="5">
        <v>0.17873842592592593</v>
      </c>
      <c r="C221">
        <v>80.599999999999994</v>
      </c>
      <c r="D221">
        <v>83.9</v>
      </c>
      <c r="E221">
        <v>85.1</v>
      </c>
      <c r="F221">
        <v>80.7</v>
      </c>
      <c r="G221">
        <v>0</v>
      </c>
      <c r="H221">
        <v>0</v>
      </c>
      <c r="I221">
        <v>0</v>
      </c>
      <c r="J221">
        <v>0</v>
      </c>
      <c r="K221">
        <v>64.099999999999994</v>
      </c>
      <c r="L221">
        <v>62.6</v>
      </c>
      <c r="M221">
        <v>82.62</v>
      </c>
      <c r="N221">
        <v>10</v>
      </c>
      <c r="O221">
        <v>7</v>
      </c>
      <c r="P221">
        <f>MOD(DAY(datos_siembra[[#This Row],[Date]]),7)</f>
        <v>3</v>
      </c>
      <c r="Q221" t="str">
        <f>CHOOSE(WEEKDAY(datos_siembra[[#This Row],[Date]],2),"L","M","X","J","V","S","D")</f>
        <v>M</v>
      </c>
      <c r="R221">
        <f>WEEKNUM(datos_siembra[[#This Row],[Date]],2)-WEEKNUM(DATE(YEAR(datos_siembra[[#This Row],[Date]]),MONTH(datos_siembra[[#This Row],[Date]]),1))+1</f>
        <v>2</v>
      </c>
      <c r="S221">
        <f>MONTH(datos_siembra[[#This Row],[Date]])</f>
        <v>9</v>
      </c>
      <c r="T221" t="str" cm="1">
        <f t="array" ref="T221">_xlfn.IFS(AND(N221&lt;= 22, S221=9), "SOWING",AND(N221&lt;= 28, S221=9), "COVERAGE",AND(N221&lt;= 30, S221=9), "FLUSH",AND(N221&lt;= 11, S221=10), "FLUSH",AND(N221&lt;= 21, S221=10), "PRODUCTION")</f>
        <v>SOWING</v>
      </c>
      <c r="U221">
        <f>HOUR(datos_siembra[[#This Row],[Hour]])</f>
        <v>4</v>
      </c>
      <c r="V221" cm="1">
        <f t="array" ref="V221">_xlfn.IFS(AND(N221&lt;= 22, S221=9), N221-7,AND(N221&lt;= 28, S221=9), N221-25,AND(N221&lt;= 30, S221=9), N221-28,AND(N221&lt;= 11, S221=10), N221+2,AND(N221&lt;= 21, S221=10), N221-11)</f>
        <v>3</v>
      </c>
    </row>
    <row r="222" spans="1:22" x14ac:dyDescent="0.35">
      <c r="A222" s="4">
        <v>45545</v>
      </c>
      <c r="B222" s="5">
        <v>0.18568287037037037</v>
      </c>
      <c r="C222">
        <v>80.599999999999994</v>
      </c>
      <c r="D222">
        <v>84</v>
      </c>
      <c r="E222">
        <v>85.1</v>
      </c>
      <c r="F222">
        <v>80.900000000000006</v>
      </c>
      <c r="G222">
        <v>0</v>
      </c>
      <c r="H222">
        <v>0</v>
      </c>
      <c r="I222">
        <v>0</v>
      </c>
      <c r="J222">
        <v>0</v>
      </c>
      <c r="K222">
        <v>63.8</v>
      </c>
      <c r="L222">
        <v>62.4</v>
      </c>
      <c r="M222">
        <v>82.57</v>
      </c>
      <c r="N222">
        <v>10</v>
      </c>
      <c r="O222">
        <v>7</v>
      </c>
      <c r="P222">
        <f>MOD(DAY(datos_siembra[[#This Row],[Date]]),7)</f>
        <v>3</v>
      </c>
      <c r="Q222" t="str">
        <f>CHOOSE(WEEKDAY(datos_siembra[[#This Row],[Date]],2),"L","M","X","J","V","S","D")</f>
        <v>M</v>
      </c>
      <c r="R222">
        <f>WEEKNUM(datos_siembra[[#This Row],[Date]],2)-WEEKNUM(DATE(YEAR(datos_siembra[[#This Row],[Date]]),MONTH(datos_siembra[[#This Row],[Date]]),1))+1</f>
        <v>2</v>
      </c>
      <c r="S222">
        <f>MONTH(datos_siembra[[#This Row],[Date]])</f>
        <v>9</v>
      </c>
      <c r="T222" t="str" cm="1">
        <f t="array" ref="T222">_xlfn.IFS(AND(N222&lt;= 22, S222=9), "SOWING",AND(N222&lt;= 28, S222=9), "COVERAGE",AND(N222&lt;= 30, S222=9), "FLUSH",AND(N222&lt;= 11, S222=10), "FLUSH",AND(N222&lt;= 21, S222=10), "PRODUCTION")</f>
        <v>SOWING</v>
      </c>
      <c r="U222">
        <f>HOUR(datos_siembra[[#This Row],[Hour]])</f>
        <v>4</v>
      </c>
      <c r="V222" cm="1">
        <f t="array" ref="V222">_xlfn.IFS(AND(N222&lt;= 22, S222=9), N222-7,AND(N222&lt;= 28, S222=9), N222-25,AND(N222&lt;= 30, S222=9), N222-28,AND(N222&lt;= 11, S222=10), N222+2,AND(N222&lt;= 21, S222=10), N222-11)</f>
        <v>3</v>
      </c>
    </row>
    <row r="223" spans="1:22" x14ac:dyDescent="0.35">
      <c r="A223" s="4">
        <v>45545</v>
      </c>
      <c r="B223" s="5">
        <v>0.19263888888888889</v>
      </c>
      <c r="C223">
        <v>80.7</v>
      </c>
      <c r="D223">
        <v>83.9</v>
      </c>
      <c r="E223">
        <v>85</v>
      </c>
      <c r="F223">
        <v>80.599999999999994</v>
      </c>
      <c r="G223">
        <v>0</v>
      </c>
      <c r="H223">
        <v>0</v>
      </c>
      <c r="I223">
        <v>0</v>
      </c>
      <c r="J223">
        <v>0</v>
      </c>
      <c r="K223">
        <v>63.7</v>
      </c>
      <c r="L223">
        <v>62.3</v>
      </c>
      <c r="M223">
        <v>82.57</v>
      </c>
      <c r="N223">
        <v>10</v>
      </c>
      <c r="O223">
        <v>7</v>
      </c>
      <c r="P223">
        <f>MOD(DAY(datos_siembra[[#This Row],[Date]]),7)</f>
        <v>3</v>
      </c>
      <c r="Q223" t="str">
        <f>CHOOSE(WEEKDAY(datos_siembra[[#This Row],[Date]],2),"L","M","X","J","V","S","D")</f>
        <v>M</v>
      </c>
      <c r="R223">
        <f>WEEKNUM(datos_siembra[[#This Row],[Date]],2)-WEEKNUM(DATE(YEAR(datos_siembra[[#This Row],[Date]]),MONTH(datos_siembra[[#This Row],[Date]]),1))+1</f>
        <v>2</v>
      </c>
      <c r="S223">
        <f>MONTH(datos_siembra[[#This Row],[Date]])</f>
        <v>9</v>
      </c>
      <c r="T223" t="str" cm="1">
        <f t="array" ref="T223">_xlfn.IFS(AND(N223&lt;= 22, S223=9), "SOWING",AND(N223&lt;= 28, S223=9), "COVERAGE",AND(N223&lt;= 30, S223=9), "FLUSH",AND(N223&lt;= 11, S223=10), "FLUSH",AND(N223&lt;= 21, S223=10), "PRODUCTION")</f>
        <v>SOWING</v>
      </c>
      <c r="U223">
        <f>HOUR(datos_siembra[[#This Row],[Hour]])</f>
        <v>4</v>
      </c>
      <c r="V223" cm="1">
        <f t="array" ref="V223">_xlfn.IFS(AND(N223&lt;= 22, S223=9), N223-7,AND(N223&lt;= 28, S223=9), N223-25,AND(N223&lt;= 30, S223=9), N223-28,AND(N223&lt;= 11, S223=10), N223+2,AND(N223&lt;= 21, S223=10), N223-11)</f>
        <v>3</v>
      </c>
    </row>
    <row r="224" spans="1:22" x14ac:dyDescent="0.35">
      <c r="A224" s="4">
        <v>45545</v>
      </c>
      <c r="B224" s="5">
        <v>0.19958333333333333</v>
      </c>
      <c r="C224">
        <v>80.599999999999994</v>
      </c>
      <c r="D224">
        <v>84</v>
      </c>
      <c r="E224">
        <v>85</v>
      </c>
      <c r="F224">
        <v>80.8</v>
      </c>
      <c r="G224">
        <v>0</v>
      </c>
      <c r="H224">
        <v>0</v>
      </c>
      <c r="I224">
        <v>0</v>
      </c>
      <c r="J224">
        <v>0</v>
      </c>
      <c r="K224">
        <v>63.6</v>
      </c>
      <c r="L224">
        <v>62.2</v>
      </c>
      <c r="M224">
        <v>82.57</v>
      </c>
      <c r="N224">
        <v>10</v>
      </c>
      <c r="O224">
        <v>7</v>
      </c>
      <c r="P224">
        <f>MOD(DAY(datos_siembra[[#This Row],[Date]]),7)</f>
        <v>3</v>
      </c>
      <c r="Q224" t="str">
        <f>CHOOSE(WEEKDAY(datos_siembra[[#This Row],[Date]],2),"L","M","X","J","V","S","D")</f>
        <v>M</v>
      </c>
      <c r="R224">
        <f>WEEKNUM(datos_siembra[[#This Row],[Date]],2)-WEEKNUM(DATE(YEAR(datos_siembra[[#This Row],[Date]]),MONTH(datos_siembra[[#This Row],[Date]]),1))+1</f>
        <v>2</v>
      </c>
      <c r="S224">
        <f>MONTH(datos_siembra[[#This Row],[Date]])</f>
        <v>9</v>
      </c>
      <c r="T224" t="str" cm="1">
        <f t="array" ref="T224">_xlfn.IFS(AND(N224&lt;= 22, S224=9), "SOWING",AND(N224&lt;= 28, S224=9), "COVERAGE",AND(N224&lt;= 30, S224=9), "FLUSH",AND(N224&lt;= 11, S224=10), "FLUSH",AND(N224&lt;= 21, S224=10), "PRODUCTION")</f>
        <v>SOWING</v>
      </c>
      <c r="U224">
        <f>HOUR(datos_siembra[[#This Row],[Hour]])</f>
        <v>4</v>
      </c>
      <c r="V224" cm="1">
        <f t="array" ref="V224">_xlfn.IFS(AND(N224&lt;= 22, S224=9), N224-7,AND(N224&lt;= 28, S224=9), N224-25,AND(N224&lt;= 30, S224=9), N224-28,AND(N224&lt;= 11, S224=10), N224+2,AND(N224&lt;= 21, S224=10), N224-11)</f>
        <v>3</v>
      </c>
    </row>
    <row r="225" spans="1:22" x14ac:dyDescent="0.35">
      <c r="A225" s="4">
        <v>45545</v>
      </c>
      <c r="B225" s="5">
        <v>0.20652777777777778</v>
      </c>
      <c r="C225">
        <v>80.5</v>
      </c>
      <c r="D225">
        <v>83.9</v>
      </c>
      <c r="E225">
        <v>85.1</v>
      </c>
      <c r="F225">
        <v>80.8</v>
      </c>
      <c r="G225">
        <v>0</v>
      </c>
      <c r="H225">
        <v>0</v>
      </c>
      <c r="I225">
        <v>0</v>
      </c>
      <c r="J225">
        <v>0</v>
      </c>
      <c r="K225">
        <v>63.5</v>
      </c>
      <c r="L225">
        <v>62</v>
      </c>
      <c r="M225">
        <v>82.54</v>
      </c>
      <c r="N225">
        <v>10</v>
      </c>
      <c r="O225">
        <v>7</v>
      </c>
      <c r="P225">
        <f>MOD(DAY(datos_siembra[[#This Row],[Date]]),7)</f>
        <v>3</v>
      </c>
      <c r="Q225" t="str">
        <f>CHOOSE(WEEKDAY(datos_siembra[[#This Row],[Date]],2),"L","M","X","J","V","S","D")</f>
        <v>M</v>
      </c>
      <c r="R225">
        <f>WEEKNUM(datos_siembra[[#This Row],[Date]],2)-WEEKNUM(DATE(YEAR(datos_siembra[[#This Row],[Date]]),MONTH(datos_siembra[[#This Row],[Date]]),1))+1</f>
        <v>2</v>
      </c>
      <c r="S225">
        <f>MONTH(datos_siembra[[#This Row],[Date]])</f>
        <v>9</v>
      </c>
      <c r="T225" t="str" cm="1">
        <f t="array" ref="T225">_xlfn.IFS(AND(N225&lt;= 22, S225=9), "SOWING",AND(N225&lt;= 28, S225=9), "COVERAGE",AND(N225&lt;= 30, S225=9), "FLUSH",AND(N225&lt;= 11, S225=10), "FLUSH",AND(N225&lt;= 21, S225=10), "PRODUCTION")</f>
        <v>SOWING</v>
      </c>
      <c r="U225">
        <f>HOUR(datos_siembra[[#This Row],[Hour]])</f>
        <v>4</v>
      </c>
      <c r="V225" cm="1">
        <f t="array" ref="V225">_xlfn.IFS(AND(N225&lt;= 22, S225=9), N225-7,AND(N225&lt;= 28, S225=9), N225-25,AND(N225&lt;= 30, S225=9), N225-28,AND(N225&lt;= 11, S225=10), N225+2,AND(N225&lt;= 21, S225=10), N225-11)</f>
        <v>3</v>
      </c>
    </row>
    <row r="226" spans="1:22" x14ac:dyDescent="0.35">
      <c r="A226" s="4">
        <v>45545</v>
      </c>
      <c r="B226" s="5">
        <v>0.2134837962962963</v>
      </c>
      <c r="C226">
        <v>80.599999999999994</v>
      </c>
      <c r="D226">
        <v>83.8</v>
      </c>
      <c r="E226">
        <v>85.1</v>
      </c>
      <c r="F226">
        <v>80.599999999999994</v>
      </c>
      <c r="G226">
        <v>0</v>
      </c>
      <c r="H226">
        <v>0</v>
      </c>
      <c r="I226">
        <v>0</v>
      </c>
      <c r="J226">
        <v>0</v>
      </c>
      <c r="K226">
        <v>63.5</v>
      </c>
      <c r="L226">
        <v>62</v>
      </c>
      <c r="M226">
        <v>82.6</v>
      </c>
      <c r="N226">
        <v>10</v>
      </c>
      <c r="O226">
        <v>7</v>
      </c>
      <c r="P226">
        <f>MOD(DAY(datos_siembra[[#This Row],[Date]]),7)</f>
        <v>3</v>
      </c>
      <c r="Q226" t="str">
        <f>CHOOSE(WEEKDAY(datos_siembra[[#This Row],[Date]],2),"L","M","X","J","V","S","D")</f>
        <v>M</v>
      </c>
      <c r="R226">
        <f>WEEKNUM(datos_siembra[[#This Row],[Date]],2)-WEEKNUM(DATE(YEAR(datos_siembra[[#This Row],[Date]]),MONTH(datos_siembra[[#This Row],[Date]]),1))+1</f>
        <v>2</v>
      </c>
      <c r="S226">
        <f>MONTH(datos_siembra[[#This Row],[Date]])</f>
        <v>9</v>
      </c>
      <c r="T226" t="str" cm="1">
        <f t="array" ref="T226">_xlfn.IFS(AND(N226&lt;= 22, S226=9), "SOWING",AND(N226&lt;= 28, S226=9), "COVERAGE",AND(N226&lt;= 30, S226=9), "FLUSH",AND(N226&lt;= 11, S226=10), "FLUSH",AND(N226&lt;= 21, S226=10), "PRODUCTION")</f>
        <v>SOWING</v>
      </c>
      <c r="U226">
        <f>HOUR(datos_siembra[[#This Row],[Hour]])</f>
        <v>5</v>
      </c>
      <c r="V226" cm="1">
        <f t="array" ref="V226">_xlfn.IFS(AND(N226&lt;= 22, S226=9), N226-7,AND(N226&lt;= 28, S226=9), N226-25,AND(N226&lt;= 30, S226=9), N226-28,AND(N226&lt;= 11, S226=10), N226+2,AND(N226&lt;= 21, S226=10), N226-11)</f>
        <v>3</v>
      </c>
    </row>
    <row r="227" spans="1:22" x14ac:dyDescent="0.35">
      <c r="A227" s="4">
        <v>45545</v>
      </c>
      <c r="B227" s="5">
        <v>0.22042824074074074</v>
      </c>
      <c r="C227">
        <v>80.7</v>
      </c>
      <c r="D227">
        <v>84</v>
      </c>
      <c r="E227">
        <v>85.2</v>
      </c>
      <c r="F227">
        <v>80.599999999999994</v>
      </c>
      <c r="G227">
        <v>0</v>
      </c>
      <c r="H227">
        <v>0</v>
      </c>
      <c r="I227">
        <v>0</v>
      </c>
      <c r="J227">
        <v>0</v>
      </c>
      <c r="K227">
        <v>63.5</v>
      </c>
      <c r="L227">
        <v>62.2</v>
      </c>
      <c r="M227">
        <v>82.54</v>
      </c>
      <c r="N227">
        <v>10</v>
      </c>
      <c r="O227">
        <v>7</v>
      </c>
      <c r="P227">
        <f>MOD(DAY(datos_siembra[[#This Row],[Date]]),7)</f>
        <v>3</v>
      </c>
      <c r="Q227" t="str">
        <f>CHOOSE(WEEKDAY(datos_siembra[[#This Row],[Date]],2),"L","M","X","J","V","S","D")</f>
        <v>M</v>
      </c>
      <c r="R227">
        <f>WEEKNUM(datos_siembra[[#This Row],[Date]],2)-WEEKNUM(DATE(YEAR(datos_siembra[[#This Row],[Date]]),MONTH(datos_siembra[[#This Row],[Date]]),1))+1</f>
        <v>2</v>
      </c>
      <c r="S227">
        <f>MONTH(datos_siembra[[#This Row],[Date]])</f>
        <v>9</v>
      </c>
      <c r="T227" t="str" cm="1">
        <f t="array" ref="T227">_xlfn.IFS(AND(N227&lt;= 22, S227=9), "SOWING",AND(N227&lt;= 28, S227=9), "COVERAGE",AND(N227&lt;= 30, S227=9), "FLUSH",AND(N227&lt;= 11, S227=10), "FLUSH",AND(N227&lt;= 21, S227=10), "PRODUCTION")</f>
        <v>SOWING</v>
      </c>
      <c r="U227">
        <f>HOUR(datos_siembra[[#This Row],[Hour]])</f>
        <v>5</v>
      </c>
      <c r="V227" cm="1">
        <f t="array" ref="V227">_xlfn.IFS(AND(N227&lt;= 22, S227=9), N227-7,AND(N227&lt;= 28, S227=9), N227-25,AND(N227&lt;= 30, S227=9), N227-28,AND(N227&lt;= 11, S227=10), N227+2,AND(N227&lt;= 21, S227=10), N227-11)</f>
        <v>3</v>
      </c>
    </row>
    <row r="228" spans="1:22" x14ac:dyDescent="0.35">
      <c r="A228" s="4">
        <v>45545</v>
      </c>
      <c r="B228" s="5">
        <v>0.22737268518518519</v>
      </c>
      <c r="C228">
        <v>80.5</v>
      </c>
      <c r="D228">
        <v>83.9</v>
      </c>
      <c r="E228">
        <v>85.3</v>
      </c>
      <c r="F228">
        <v>80.599999999999994</v>
      </c>
      <c r="G228">
        <v>0</v>
      </c>
      <c r="H228">
        <v>0</v>
      </c>
      <c r="I228">
        <v>0</v>
      </c>
      <c r="J228">
        <v>0</v>
      </c>
      <c r="K228">
        <v>63.6</v>
      </c>
      <c r="L228">
        <v>62.3</v>
      </c>
      <c r="M228">
        <v>82.6</v>
      </c>
      <c r="N228">
        <v>10</v>
      </c>
      <c r="O228">
        <v>7</v>
      </c>
      <c r="P228">
        <f>MOD(DAY(datos_siembra[[#This Row],[Date]]),7)</f>
        <v>3</v>
      </c>
      <c r="Q228" t="str">
        <f>CHOOSE(WEEKDAY(datos_siembra[[#This Row],[Date]],2),"L","M","X","J","V","S","D")</f>
        <v>M</v>
      </c>
      <c r="R228">
        <f>WEEKNUM(datos_siembra[[#This Row],[Date]],2)-WEEKNUM(DATE(YEAR(datos_siembra[[#This Row],[Date]]),MONTH(datos_siembra[[#This Row],[Date]]),1))+1</f>
        <v>2</v>
      </c>
      <c r="S228">
        <f>MONTH(datos_siembra[[#This Row],[Date]])</f>
        <v>9</v>
      </c>
      <c r="T228" t="str" cm="1">
        <f t="array" ref="T228">_xlfn.IFS(AND(N228&lt;= 22, S228=9), "SOWING",AND(N228&lt;= 28, S228=9), "COVERAGE",AND(N228&lt;= 30, S228=9), "FLUSH",AND(N228&lt;= 11, S228=10), "FLUSH",AND(N228&lt;= 21, S228=10), "PRODUCTION")</f>
        <v>SOWING</v>
      </c>
      <c r="U228">
        <f>HOUR(datos_siembra[[#This Row],[Hour]])</f>
        <v>5</v>
      </c>
      <c r="V228" cm="1">
        <f t="array" ref="V228">_xlfn.IFS(AND(N228&lt;= 22, S228=9), N228-7,AND(N228&lt;= 28, S228=9), N228-25,AND(N228&lt;= 30, S228=9), N228-28,AND(N228&lt;= 11, S228=10), N228+2,AND(N228&lt;= 21, S228=10), N228-11)</f>
        <v>3</v>
      </c>
    </row>
    <row r="229" spans="1:22" x14ac:dyDescent="0.35">
      <c r="A229" s="4">
        <v>45545</v>
      </c>
      <c r="B229" s="5">
        <v>0.23432870370370371</v>
      </c>
      <c r="C229">
        <v>80.599999999999994</v>
      </c>
      <c r="D229">
        <v>83.9</v>
      </c>
      <c r="E229">
        <v>85.3</v>
      </c>
      <c r="F229">
        <v>80.599999999999994</v>
      </c>
      <c r="G229">
        <v>0</v>
      </c>
      <c r="H229">
        <v>0</v>
      </c>
      <c r="I229">
        <v>0</v>
      </c>
      <c r="J229">
        <v>0</v>
      </c>
      <c r="K229">
        <v>63.4</v>
      </c>
      <c r="L229">
        <v>62</v>
      </c>
      <c r="M229">
        <v>82.62</v>
      </c>
      <c r="N229">
        <v>10</v>
      </c>
      <c r="O229">
        <v>7</v>
      </c>
      <c r="P229">
        <f>MOD(DAY(datos_siembra[[#This Row],[Date]]),7)</f>
        <v>3</v>
      </c>
      <c r="Q229" t="str">
        <f>CHOOSE(WEEKDAY(datos_siembra[[#This Row],[Date]],2),"L","M","X","J","V","S","D")</f>
        <v>M</v>
      </c>
      <c r="R229">
        <f>WEEKNUM(datos_siembra[[#This Row],[Date]],2)-WEEKNUM(DATE(YEAR(datos_siembra[[#This Row],[Date]]),MONTH(datos_siembra[[#This Row],[Date]]),1))+1</f>
        <v>2</v>
      </c>
      <c r="S229">
        <f>MONTH(datos_siembra[[#This Row],[Date]])</f>
        <v>9</v>
      </c>
      <c r="T229" t="str" cm="1">
        <f t="array" ref="T229">_xlfn.IFS(AND(N229&lt;= 22, S229=9), "SOWING",AND(N229&lt;= 28, S229=9), "COVERAGE",AND(N229&lt;= 30, S229=9), "FLUSH",AND(N229&lt;= 11, S229=10), "FLUSH",AND(N229&lt;= 21, S229=10), "PRODUCTION")</f>
        <v>SOWING</v>
      </c>
      <c r="U229">
        <f>HOUR(datos_siembra[[#This Row],[Hour]])</f>
        <v>5</v>
      </c>
      <c r="V229" cm="1">
        <f t="array" ref="V229">_xlfn.IFS(AND(N229&lt;= 22, S229=9), N229-7,AND(N229&lt;= 28, S229=9), N229-25,AND(N229&lt;= 30, S229=9), N229-28,AND(N229&lt;= 11, S229=10), N229+2,AND(N229&lt;= 21, S229=10), N229-11)</f>
        <v>3</v>
      </c>
    </row>
    <row r="230" spans="1:22" x14ac:dyDescent="0.35">
      <c r="A230" s="4">
        <v>45545</v>
      </c>
      <c r="B230" s="5">
        <v>0.24127314814814815</v>
      </c>
      <c r="C230">
        <v>80.599999999999994</v>
      </c>
      <c r="D230">
        <v>83.9</v>
      </c>
      <c r="E230">
        <v>85.2</v>
      </c>
      <c r="F230">
        <v>80.7</v>
      </c>
      <c r="G230">
        <v>0</v>
      </c>
      <c r="H230">
        <v>0</v>
      </c>
      <c r="I230">
        <v>0</v>
      </c>
      <c r="J230">
        <v>0</v>
      </c>
      <c r="K230">
        <v>63.4</v>
      </c>
      <c r="L230">
        <v>62</v>
      </c>
      <c r="M230">
        <v>82.6</v>
      </c>
      <c r="N230">
        <v>10</v>
      </c>
      <c r="O230">
        <v>7</v>
      </c>
      <c r="P230">
        <f>MOD(DAY(datos_siembra[[#This Row],[Date]]),7)</f>
        <v>3</v>
      </c>
      <c r="Q230" t="str">
        <f>CHOOSE(WEEKDAY(datos_siembra[[#This Row],[Date]],2),"L","M","X","J","V","S","D")</f>
        <v>M</v>
      </c>
      <c r="R230">
        <f>WEEKNUM(datos_siembra[[#This Row],[Date]],2)-WEEKNUM(DATE(YEAR(datos_siembra[[#This Row],[Date]]),MONTH(datos_siembra[[#This Row],[Date]]),1))+1</f>
        <v>2</v>
      </c>
      <c r="S230">
        <f>MONTH(datos_siembra[[#This Row],[Date]])</f>
        <v>9</v>
      </c>
      <c r="T230" t="str" cm="1">
        <f t="array" ref="T230">_xlfn.IFS(AND(N230&lt;= 22, S230=9), "SOWING",AND(N230&lt;= 28, S230=9), "COVERAGE",AND(N230&lt;= 30, S230=9), "FLUSH",AND(N230&lt;= 11, S230=10), "FLUSH",AND(N230&lt;= 21, S230=10), "PRODUCTION")</f>
        <v>SOWING</v>
      </c>
      <c r="U230">
        <f>HOUR(datos_siembra[[#This Row],[Hour]])</f>
        <v>5</v>
      </c>
      <c r="V230" cm="1">
        <f t="array" ref="V230">_xlfn.IFS(AND(N230&lt;= 22, S230=9), N230-7,AND(N230&lt;= 28, S230=9), N230-25,AND(N230&lt;= 30, S230=9), N230-28,AND(N230&lt;= 11, S230=10), N230+2,AND(N230&lt;= 21, S230=10), N230-11)</f>
        <v>3</v>
      </c>
    </row>
    <row r="231" spans="1:22" x14ac:dyDescent="0.35">
      <c r="A231" s="4">
        <v>45545</v>
      </c>
      <c r="B231" s="5">
        <v>0.2482175925925926</v>
      </c>
      <c r="C231">
        <v>80.7</v>
      </c>
      <c r="D231">
        <v>83.9</v>
      </c>
      <c r="E231">
        <v>85.2</v>
      </c>
      <c r="F231">
        <v>80.599999999999994</v>
      </c>
      <c r="G231">
        <v>0</v>
      </c>
      <c r="H231">
        <v>0</v>
      </c>
      <c r="I231">
        <v>0</v>
      </c>
      <c r="J231">
        <v>0</v>
      </c>
      <c r="K231">
        <v>63.3</v>
      </c>
      <c r="L231">
        <v>62</v>
      </c>
      <c r="M231">
        <v>82.62</v>
      </c>
      <c r="N231">
        <v>10</v>
      </c>
      <c r="O231">
        <v>7</v>
      </c>
      <c r="P231">
        <f>MOD(DAY(datos_siembra[[#This Row],[Date]]),7)</f>
        <v>3</v>
      </c>
      <c r="Q231" t="str">
        <f>CHOOSE(WEEKDAY(datos_siembra[[#This Row],[Date]],2),"L","M","X","J","V","S","D")</f>
        <v>M</v>
      </c>
      <c r="R231">
        <f>WEEKNUM(datos_siembra[[#This Row],[Date]],2)-WEEKNUM(DATE(YEAR(datos_siembra[[#This Row],[Date]]),MONTH(datos_siembra[[#This Row],[Date]]),1))+1</f>
        <v>2</v>
      </c>
      <c r="S231">
        <f>MONTH(datos_siembra[[#This Row],[Date]])</f>
        <v>9</v>
      </c>
      <c r="T231" t="str" cm="1">
        <f t="array" ref="T231">_xlfn.IFS(AND(N231&lt;= 22, S231=9), "SOWING",AND(N231&lt;= 28, S231=9), "COVERAGE",AND(N231&lt;= 30, S231=9), "FLUSH",AND(N231&lt;= 11, S231=10), "FLUSH",AND(N231&lt;= 21, S231=10), "PRODUCTION")</f>
        <v>SOWING</v>
      </c>
      <c r="U231">
        <f>HOUR(datos_siembra[[#This Row],[Hour]])</f>
        <v>5</v>
      </c>
      <c r="V231" cm="1">
        <f t="array" ref="V231">_xlfn.IFS(AND(N231&lt;= 22, S231=9), N231-7,AND(N231&lt;= 28, S231=9), N231-25,AND(N231&lt;= 30, S231=9), N231-28,AND(N231&lt;= 11, S231=10), N231+2,AND(N231&lt;= 21, S231=10), N231-11)</f>
        <v>3</v>
      </c>
    </row>
    <row r="232" spans="1:22" x14ac:dyDescent="0.35">
      <c r="A232" s="4">
        <v>45545</v>
      </c>
      <c r="B232" s="5">
        <v>0.25517361111111109</v>
      </c>
      <c r="C232">
        <v>80.7</v>
      </c>
      <c r="D232">
        <v>83.9</v>
      </c>
      <c r="E232">
        <v>85.1</v>
      </c>
      <c r="F232">
        <v>80.8</v>
      </c>
      <c r="G232">
        <v>0</v>
      </c>
      <c r="H232">
        <v>0</v>
      </c>
      <c r="I232">
        <v>0</v>
      </c>
      <c r="J232">
        <v>0</v>
      </c>
      <c r="K232">
        <v>63.4</v>
      </c>
      <c r="L232">
        <v>62</v>
      </c>
      <c r="M232">
        <v>82.65</v>
      </c>
      <c r="N232">
        <v>10</v>
      </c>
      <c r="O232">
        <v>7</v>
      </c>
      <c r="P232">
        <f>MOD(DAY(datos_siembra[[#This Row],[Date]]),7)</f>
        <v>3</v>
      </c>
      <c r="Q232" t="str">
        <f>CHOOSE(WEEKDAY(datos_siembra[[#This Row],[Date]],2),"L","M","X","J","V","S","D")</f>
        <v>M</v>
      </c>
      <c r="R232">
        <f>WEEKNUM(datos_siembra[[#This Row],[Date]],2)-WEEKNUM(DATE(YEAR(datos_siembra[[#This Row],[Date]]),MONTH(datos_siembra[[#This Row],[Date]]),1))+1</f>
        <v>2</v>
      </c>
      <c r="S232">
        <f>MONTH(datos_siembra[[#This Row],[Date]])</f>
        <v>9</v>
      </c>
      <c r="T232" t="str" cm="1">
        <f t="array" ref="T232">_xlfn.IFS(AND(N232&lt;= 22, S232=9), "SOWING",AND(N232&lt;= 28, S232=9), "COVERAGE",AND(N232&lt;= 30, S232=9), "FLUSH",AND(N232&lt;= 11, S232=10), "FLUSH",AND(N232&lt;= 21, S232=10), "PRODUCTION")</f>
        <v>SOWING</v>
      </c>
      <c r="U232">
        <f>HOUR(datos_siembra[[#This Row],[Hour]])</f>
        <v>6</v>
      </c>
      <c r="V232" cm="1">
        <f t="array" ref="V232">_xlfn.IFS(AND(N232&lt;= 22, S232=9), N232-7,AND(N232&lt;= 28, S232=9), N232-25,AND(N232&lt;= 30, S232=9), N232-28,AND(N232&lt;= 11, S232=10), N232+2,AND(N232&lt;= 21, S232=10), N232-11)</f>
        <v>3</v>
      </c>
    </row>
    <row r="233" spans="1:22" x14ac:dyDescent="0.35">
      <c r="A233" s="4">
        <v>45545</v>
      </c>
      <c r="B233" s="5">
        <v>0.26211805555555556</v>
      </c>
      <c r="C233">
        <v>80.7</v>
      </c>
      <c r="D233">
        <v>84</v>
      </c>
      <c r="E233">
        <v>85.2</v>
      </c>
      <c r="F233">
        <v>80.5</v>
      </c>
      <c r="G233">
        <v>0</v>
      </c>
      <c r="H233">
        <v>0</v>
      </c>
      <c r="I233">
        <v>0</v>
      </c>
      <c r="J233">
        <v>0</v>
      </c>
      <c r="K233">
        <v>63.4</v>
      </c>
      <c r="L233">
        <v>62.2</v>
      </c>
      <c r="M233">
        <v>82.54</v>
      </c>
      <c r="N233">
        <v>10</v>
      </c>
      <c r="O233">
        <v>7</v>
      </c>
      <c r="P233">
        <f>MOD(DAY(datos_siembra[[#This Row],[Date]]),7)</f>
        <v>3</v>
      </c>
      <c r="Q233" t="str">
        <f>CHOOSE(WEEKDAY(datos_siembra[[#This Row],[Date]],2),"L","M","X","J","V","S","D")</f>
        <v>M</v>
      </c>
      <c r="R233">
        <f>WEEKNUM(datos_siembra[[#This Row],[Date]],2)-WEEKNUM(DATE(YEAR(datos_siembra[[#This Row],[Date]]),MONTH(datos_siembra[[#This Row],[Date]]),1))+1</f>
        <v>2</v>
      </c>
      <c r="S233">
        <f>MONTH(datos_siembra[[#This Row],[Date]])</f>
        <v>9</v>
      </c>
      <c r="T233" t="str" cm="1">
        <f t="array" ref="T233">_xlfn.IFS(AND(N233&lt;= 22, S233=9), "SOWING",AND(N233&lt;= 28, S233=9), "COVERAGE",AND(N233&lt;= 30, S233=9), "FLUSH",AND(N233&lt;= 11, S233=10), "FLUSH",AND(N233&lt;= 21, S233=10), "PRODUCTION")</f>
        <v>SOWING</v>
      </c>
      <c r="U233">
        <f>HOUR(datos_siembra[[#This Row],[Hour]])</f>
        <v>6</v>
      </c>
      <c r="V233" cm="1">
        <f t="array" ref="V233">_xlfn.IFS(AND(N233&lt;= 22, S233=9), N233-7,AND(N233&lt;= 28, S233=9), N233-25,AND(N233&lt;= 30, S233=9), N233-28,AND(N233&lt;= 11, S233=10), N233+2,AND(N233&lt;= 21, S233=10), N233-11)</f>
        <v>3</v>
      </c>
    </row>
    <row r="234" spans="1:22" x14ac:dyDescent="0.35">
      <c r="A234" s="4">
        <v>45545</v>
      </c>
      <c r="B234" s="5">
        <v>0.26906249999999998</v>
      </c>
      <c r="C234">
        <v>80.8</v>
      </c>
      <c r="D234">
        <v>83.9</v>
      </c>
      <c r="E234">
        <v>85.1</v>
      </c>
      <c r="F234">
        <v>80.3</v>
      </c>
      <c r="G234">
        <v>0</v>
      </c>
      <c r="H234">
        <v>0</v>
      </c>
      <c r="I234">
        <v>0</v>
      </c>
      <c r="J234">
        <v>0</v>
      </c>
      <c r="K234">
        <v>63.5</v>
      </c>
      <c r="L234">
        <v>62.3</v>
      </c>
      <c r="M234">
        <v>82.57</v>
      </c>
      <c r="N234">
        <v>10</v>
      </c>
      <c r="O234">
        <v>7</v>
      </c>
      <c r="P234">
        <f>MOD(DAY(datos_siembra[[#This Row],[Date]]),7)</f>
        <v>3</v>
      </c>
      <c r="Q234" t="str">
        <f>CHOOSE(WEEKDAY(datos_siembra[[#This Row],[Date]],2),"L","M","X","J","V","S","D")</f>
        <v>M</v>
      </c>
      <c r="R234">
        <f>WEEKNUM(datos_siembra[[#This Row],[Date]],2)-WEEKNUM(DATE(YEAR(datos_siembra[[#This Row],[Date]]),MONTH(datos_siembra[[#This Row],[Date]]),1))+1</f>
        <v>2</v>
      </c>
      <c r="S234">
        <f>MONTH(datos_siembra[[#This Row],[Date]])</f>
        <v>9</v>
      </c>
      <c r="T234" t="str" cm="1">
        <f t="array" ref="T234">_xlfn.IFS(AND(N234&lt;= 22, S234=9), "SOWING",AND(N234&lt;= 28, S234=9), "COVERAGE",AND(N234&lt;= 30, S234=9), "FLUSH",AND(N234&lt;= 11, S234=10), "FLUSH",AND(N234&lt;= 21, S234=10), "PRODUCTION")</f>
        <v>SOWING</v>
      </c>
      <c r="U234">
        <f>HOUR(datos_siembra[[#This Row],[Hour]])</f>
        <v>6</v>
      </c>
      <c r="V234" cm="1">
        <f t="array" ref="V234">_xlfn.IFS(AND(N234&lt;= 22, S234=9), N234-7,AND(N234&lt;= 28, S234=9), N234-25,AND(N234&lt;= 30, S234=9), N234-28,AND(N234&lt;= 11, S234=10), N234+2,AND(N234&lt;= 21, S234=10), N234-11)</f>
        <v>3</v>
      </c>
    </row>
    <row r="235" spans="1:22" x14ac:dyDescent="0.35">
      <c r="A235" s="4">
        <v>45545</v>
      </c>
      <c r="B235" s="5">
        <v>0.27600694444444446</v>
      </c>
      <c r="C235">
        <v>80.7</v>
      </c>
      <c r="D235">
        <v>83.9</v>
      </c>
      <c r="E235">
        <v>85.3</v>
      </c>
      <c r="F235">
        <v>80.5</v>
      </c>
      <c r="G235">
        <v>0</v>
      </c>
      <c r="H235">
        <v>0</v>
      </c>
      <c r="I235">
        <v>0</v>
      </c>
      <c r="J235">
        <v>0</v>
      </c>
      <c r="K235">
        <v>63.4</v>
      </c>
      <c r="L235">
        <v>62.2</v>
      </c>
      <c r="M235">
        <v>82.62</v>
      </c>
      <c r="N235">
        <v>10</v>
      </c>
      <c r="O235">
        <v>7</v>
      </c>
      <c r="P235">
        <f>MOD(DAY(datos_siembra[[#This Row],[Date]]),7)</f>
        <v>3</v>
      </c>
      <c r="Q235" t="str">
        <f>CHOOSE(WEEKDAY(datos_siembra[[#This Row],[Date]],2),"L","M","X","J","V","S","D")</f>
        <v>M</v>
      </c>
      <c r="R235">
        <f>WEEKNUM(datos_siembra[[#This Row],[Date]],2)-WEEKNUM(DATE(YEAR(datos_siembra[[#This Row],[Date]]),MONTH(datos_siembra[[#This Row],[Date]]),1))+1</f>
        <v>2</v>
      </c>
      <c r="S235">
        <f>MONTH(datos_siembra[[#This Row],[Date]])</f>
        <v>9</v>
      </c>
      <c r="T235" t="str" cm="1">
        <f t="array" ref="T235">_xlfn.IFS(AND(N235&lt;= 22, S235=9), "SOWING",AND(N235&lt;= 28, S235=9), "COVERAGE",AND(N235&lt;= 30, S235=9), "FLUSH",AND(N235&lt;= 11, S235=10), "FLUSH",AND(N235&lt;= 21, S235=10), "PRODUCTION")</f>
        <v>SOWING</v>
      </c>
      <c r="U235">
        <f>HOUR(datos_siembra[[#This Row],[Hour]])</f>
        <v>6</v>
      </c>
      <c r="V235" cm="1">
        <f t="array" ref="V235">_xlfn.IFS(AND(N235&lt;= 22, S235=9), N235-7,AND(N235&lt;= 28, S235=9), N235-25,AND(N235&lt;= 30, S235=9), N235-28,AND(N235&lt;= 11, S235=10), N235+2,AND(N235&lt;= 21, S235=10), N235-11)</f>
        <v>3</v>
      </c>
    </row>
    <row r="236" spans="1:22" x14ac:dyDescent="0.35">
      <c r="A236" s="4">
        <v>45545</v>
      </c>
      <c r="B236" s="5">
        <v>0.28296296296296297</v>
      </c>
      <c r="C236">
        <v>80.7</v>
      </c>
      <c r="D236">
        <v>83.9</v>
      </c>
      <c r="E236">
        <v>85.3</v>
      </c>
      <c r="F236">
        <v>80.5</v>
      </c>
      <c r="G236">
        <v>0</v>
      </c>
      <c r="H236">
        <v>0</v>
      </c>
      <c r="I236">
        <v>0</v>
      </c>
      <c r="J236">
        <v>0</v>
      </c>
      <c r="K236">
        <v>63.4</v>
      </c>
      <c r="L236">
        <v>62.2</v>
      </c>
      <c r="M236">
        <v>82.57</v>
      </c>
      <c r="N236">
        <v>10</v>
      </c>
      <c r="O236">
        <v>7</v>
      </c>
      <c r="P236">
        <f>MOD(DAY(datos_siembra[[#This Row],[Date]]),7)</f>
        <v>3</v>
      </c>
      <c r="Q236" t="str">
        <f>CHOOSE(WEEKDAY(datos_siembra[[#This Row],[Date]],2),"L","M","X","J","V","S","D")</f>
        <v>M</v>
      </c>
      <c r="R236">
        <f>WEEKNUM(datos_siembra[[#This Row],[Date]],2)-WEEKNUM(DATE(YEAR(datos_siembra[[#This Row],[Date]]),MONTH(datos_siembra[[#This Row],[Date]]),1))+1</f>
        <v>2</v>
      </c>
      <c r="S236">
        <f>MONTH(datos_siembra[[#This Row],[Date]])</f>
        <v>9</v>
      </c>
      <c r="T236" t="str" cm="1">
        <f t="array" ref="T236">_xlfn.IFS(AND(N236&lt;= 22, S236=9), "SOWING",AND(N236&lt;= 28, S236=9), "COVERAGE",AND(N236&lt;= 30, S236=9), "FLUSH",AND(N236&lt;= 11, S236=10), "FLUSH",AND(N236&lt;= 21, S236=10), "PRODUCTION")</f>
        <v>SOWING</v>
      </c>
      <c r="U236">
        <f>HOUR(datos_siembra[[#This Row],[Hour]])</f>
        <v>6</v>
      </c>
      <c r="V236" cm="1">
        <f t="array" ref="V236">_xlfn.IFS(AND(N236&lt;= 22, S236=9), N236-7,AND(N236&lt;= 28, S236=9), N236-25,AND(N236&lt;= 30, S236=9), N236-28,AND(N236&lt;= 11, S236=10), N236+2,AND(N236&lt;= 21, S236=10), N236-11)</f>
        <v>3</v>
      </c>
    </row>
    <row r="237" spans="1:22" x14ac:dyDescent="0.35">
      <c r="A237" s="4">
        <v>45545</v>
      </c>
      <c r="B237" s="5">
        <v>0.28990740740740739</v>
      </c>
      <c r="C237">
        <v>80.599999999999994</v>
      </c>
      <c r="D237">
        <v>83.9</v>
      </c>
      <c r="E237">
        <v>85.2</v>
      </c>
      <c r="F237">
        <v>80.400000000000006</v>
      </c>
      <c r="G237">
        <v>0</v>
      </c>
      <c r="H237">
        <v>0</v>
      </c>
      <c r="I237">
        <v>0</v>
      </c>
      <c r="J237">
        <v>0</v>
      </c>
      <c r="K237">
        <v>63.5</v>
      </c>
      <c r="L237">
        <v>62.2</v>
      </c>
      <c r="M237">
        <v>82.6</v>
      </c>
      <c r="N237">
        <v>10</v>
      </c>
      <c r="O237">
        <v>7</v>
      </c>
      <c r="P237">
        <f>MOD(DAY(datos_siembra[[#This Row],[Date]]),7)</f>
        <v>3</v>
      </c>
      <c r="Q237" t="str">
        <f>CHOOSE(WEEKDAY(datos_siembra[[#This Row],[Date]],2),"L","M","X","J","V","S","D")</f>
        <v>M</v>
      </c>
      <c r="R237">
        <f>WEEKNUM(datos_siembra[[#This Row],[Date]],2)-WEEKNUM(DATE(YEAR(datos_siembra[[#This Row],[Date]]),MONTH(datos_siembra[[#This Row],[Date]]),1))+1</f>
        <v>2</v>
      </c>
      <c r="S237">
        <f>MONTH(datos_siembra[[#This Row],[Date]])</f>
        <v>9</v>
      </c>
      <c r="T237" t="str" cm="1">
        <f t="array" ref="T237">_xlfn.IFS(AND(N237&lt;= 22, S237=9), "SOWING",AND(N237&lt;= 28, S237=9), "COVERAGE",AND(N237&lt;= 30, S237=9), "FLUSH",AND(N237&lt;= 11, S237=10), "FLUSH",AND(N237&lt;= 21, S237=10), "PRODUCTION")</f>
        <v>SOWING</v>
      </c>
      <c r="U237">
        <f>HOUR(datos_siembra[[#This Row],[Hour]])</f>
        <v>6</v>
      </c>
      <c r="V237" cm="1">
        <f t="array" ref="V237">_xlfn.IFS(AND(N237&lt;= 22, S237=9), N237-7,AND(N237&lt;= 28, S237=9), N237-25,AND(N237&lt;= 30, S237=9), N237-28,AND(N237&lt;= 11, S237=10), N237+2,AND(N237&lt;= 21, S237=10), N237-11)</f>
        <v>3</v>
      </c>
    </row>
    <row r="238" spans="1:22" x14ac:dyDescent="0.35">
      <c r="A238" s="4">
        <v>45545</v>
      </c>
      <c r="B238" s="5">
        <v>0.29685185185185187</v>
      </c>
      <c r="C238">
        <v>80.599999999999994</v>
      </c>
      <c r="D238">
        <v>83.8</v>
      </c>
      <c r="E238">
        <v>85.2</v>
      </c>
      <c r="F238">
        <v>80.400000000000006</v>
      </c>
      <c r="G238">
        <v>0</v>
      </c>
      <c r="H238">
        <v>0</v>
      </c>
      <c r="I238">
        <v>0</v>
      </c>
      <c r="J238">
        <v>0</v>
      </c>
      <c r="K238">
        <v>63.3</v>
      </c>
      <c r="L238">
        <v>62.2</v>
      </c>
      <c r="M238">
        <v>82.51</v>
      </c>
      <c r="N238">
        <v>10</v>
      </c>
      <c r="O238">
        <v>7</v>
      </c>
      <c r="P238">
        <f>MOD(DAY(datos_siembra[[#This Row],[Date]]),7)</f>
        <v>3</v>
      </c>
      <c r="Q238" t="str">
        <f>CHOOSE(WEEKDAY(datos_siembra[[#This Row],[Date]],2),"L","M","X","J","V","S","D")</f>
        <v>M</v>
      </c>
      <c r="R238">
        <f>WEEKNUM(datos_siembra[[#This Row],[Date]],2)-WEEKNUM(DATE(YEAR(datos_siembra[[#This Row],[Date]]),MONTH(datos_siembra[[#This Row],[Date]]),1))+1</f>
        <v>2</v>
      </c>
      <c r="S238">
        <f>MONTH(datos_siembra[[#This Row],[Date]])</f>
        <v>9</v>
      </c>
      <c r="T238" t="str" cm="1">
        <f t="array" ref="T238">_xlfn.IFS(AND(N238&lt;= 22, S238=9), "SOWING",AND(N238&lt;= 28, S238=9), "COVERAGE",AND(N238&lt;= 30, S238=9), "FLUSH",AND(N238&lt;= 11, S238=10), "FLUSH",AND(N238&lt;= 21, S238=10), "PRODUCTION")</f>
        <v>SOWING</v>
      </c>
      <c r="U238">
        <f>HOUR(datos_siembra[[#This Row],[Hour]])</f>
        <v>7</v>
      </c>
      <c r="V238" cm="1">
        <f t="array" ref="V238">_xlfn.IFS(AND(N238&lt;= 22, S238=9), N238-7,AND(N238&lt;= 28, S238=9), N238-25,AND(N238&lt;= 30, S238=9), N238-28,AND(N238&lt;= 11, S238=10), N238+2,AND(N238&lt;= 21, S238=10), N238-11)</f>
        <v>3</v>
      </c>
    </row>
    <row r="239" spans="1:22" x14ac:dyDescent="0.35">
      <c r="A239" s="4">
        <v>45545</v>
      </c>
      <c r="B239" s="5">
        <v>0.30380787037037038</v>
      </c>
      <c r="C239">
        <v>80.7</v>
      </c>
      <c r="D239">
        <v>83.9</v>
      </c>
      <c r="E239">
        <v>85.2</v>
      </c>
      <c r="F239">
        <v>80.099999999999994</v>
      </c>
      <c r="G239">
        <v>0</v>
      </c>
      <c r="H239">
        <v>0</v>
      </c>
      <c r="I239">
        <v>0</v>
      </c>
      <c r="J239">
        <v>0</v>
      </c>
      <c r="K239">
        <v>63.4</v>
      </c>
      <c r="L239">
        <v>62.3</v>
      </c>
      <c r="M239">
        <v>82.57</v>
      </c>
      <c r="N239">
        <v>10</v>
      </c>
      <c r="O239">
        <v>7</v>
      </c>
      <c r="P239">
        <f>MOD(DAY(datos_siembra[[#This Row],[Date]]),7)</f>
        <v>3</v>
      </c>
      <c r="Q239" t="str">
        <f>CHOOSE(WEEKDAY(datos_siembra[[#This Row],[Date]],2),"L","M","X","J","V","S","D")</f>
        <v>M</v>
      </c>
      <c r="R239">
        <f>WEEKNUM(datos_siembra[[#This Row],[Date]],2)-WEEKNUM(DATE(YEAR(datos_siembra[[#This Row],[Date]]),MONTH(datos_siembra[[#This Row],[Date]]),1))+1</f>
        <v>2</v>
      </c>
      <c r="S239">
        <f>MONTH(datos_siembra[[#This Row],[Date]])</f>
        <v>9</v>
      </c>
      <c r="T239" t="str" cm="1">
        <f t="array" ref="T239">_xlfn.IFS(AND(N239&lt;= 22, S239=9), "SOWING",AND(N239&lt;= 28, S239=9), "COVERAGE",AND(N239&lt;= 30, S239=9), "FLUSH",AND(N239&lt;= 11, S239=10), "FLUSH",AND(N239&lt;= 21, S239=10), "PRODUCTION")</f>
        <v>SOWING</v>
      </c>
      <c r="U239">
        <f>HOUR(datos_siembra[[#This Row],[Hour]])</f>
        <v>7</v>
      </c>
      <c r="V239" cm="1">
        <f t="array" ref="V239">_xlfn.IFS(AND(N239&lt;= 22, S239=9), N239-7,AND(N239&lt;= 28, S239=9), N239-25,AND(N239&lt;= 30, S239=9), N239-28,AND(N239&lt;= 11, S239=10), N239+2,AND(N239&lt;= 21, S239=10), N239-11)</f>
        <v>3</v>
      </c>
    </row>
    <row r="240" spans="1:22" x14ac:dyDescent="0.35">
      <c r="A240" s="4">
        <v>45545</v>
      </c>
      <c r="B240" s="5">
        <v>0.3107523148148148</v>
      </c>
      <c r="C240">
        <v>80.8</v>
      </c>
      <c r="D240">
        <v>83.8</v>
      </c>
      <c r="E240">
        <v>85.3</v>
      </c>
      <c r="F240">
        <v>80.400000000000006</v>
      </c>
      <c r="G240">
        <v>0</v>
      </c>
      <c r="H240">
        <v>0</v>
      </c>
      <c r="I240">
        <v>0</v>
      </c>
      <c r="J240">
        <v>0</v>
      </c>
      <c r="K240">
        <v>63.4</v>
      </c>
      <c r="L240">
        <v>62.2</v>
      </c>
      <c r="M240">
        <v>82.54</v>
      </c>
      <c r="N240">
        <v>10</v>
      </c>
      <c r="O240">
        <v>7</v>
      </c>
      <c r="P240">
        <f>MOD(DAY(datos_siembra[[#This Row],[Date]]),7)</f>
        <v>3</v>
      </c>
      <c r="Q240" t="str">
        <f>CHOOSE(WEEKDAY(datos_siembra[[#This Row],[Date]],2),"L","M","X","J","V","S","D")</f>
        <v>M</v>
      </c>
      <c r="R240">
        <f>WEEKNUM(datos_siembra[[#This Row],[Date]],2)-WEEKNUM(DATE(YEAR(datos_siembra[[#This Row],[Date]]),MONTH(datos_siembra[[#This Row],[Date]]),1))+1</f>
        <v>2</v>
      </c>
      <c r="S240">
        <f>MONTH(datos_siembra[[#This Row],[Date]])</f>
        <v>9</v>
      </c>
      <c r="T240" t="str" cm="1">
        <f t="array" ref="T240">_xlfn.IFS(AND(N240&lt;= 22, S240=9), "SOWING",AND(N240&lt;= 28, S240=9), "COVERAGE",AND(N240&lt;= 30, S240=9), "FLUSH",AND(N240&lt;= 11, S240=10), "FLUSH",AND(N240&lt;= 21, S240=10), "PRODUCTION")</f>
        <v>SOWING</v>
      </c>
      <c r="U240">
        <f>HOUR(datos_siembra[[#This Row],[Hour]])</f>
        <v>7</v>
      </c>
      <c r="V240" cm="1">
        <f t="array" ref="V240">_xlfn.IFS(AND(N240&lt;= 22, S240=9), N240-7,AND(N240&lt;= 28, S240=9), N240-25,AND(N240&lt;= 30, S240=9), N240-28,AND(N240&lt;= 11, S240=10), N240+2,AND(N240&lt;= 21, S240=10), N240-11)</f>
        <v>3</v>
      </c>
    </row>
    <row r="241" spans="1:22" x14ac:dyDescent="0.35">
      <c r="A241" s="4">
        <v>45545</v>
      </c>
      <c r="B241" s="5">
        <v>0.31769675925925928</v>
      </c>
      <c r="C241">
        <v>80.7</v>
      </c>
      <c r="D241">
        <v>83.8</v>
      </c>
      <c r="E241">
        <v>85.3</v>
      </c>
      <c r="F241">
        <v>80.5</v>
      </c>
      <c r="G241">
        <v>0</v>
      </c>
      <c r="H241">
        <v>0</v>
      </c>
      <c r="I241">
        <v>0</v>
      </c>
      <c r="J241">
        <v>0</v>
      </c>
      <c r="K241">
        <v>63.5</v>
      </c>
      <c r="L241">
        <v>62.3</v>
      </c>
      <c r="M241">
        <v>82.57</v>
      </c>
      <c r="N241">
        <v>10</v>
      </c>
      <c r="O241">
        <v>7</v>
      </c>
      <c r="P241">
        <f>MOD(DAY(datos_siembra[[#This Row],[Date]]),7)</f>
        <v>3</v>
      </c>
      <c r="Q241" t="str">
        <f>CHOOSE(WEEKDAY(datos_siembra[[#This Row],[Date]],2),"L","M","X","J","V","S","D")</f>
        <v>M</v>
      </c>
      <c r="R241">
        <f>WEEKNUM(datos_siembra[[#This Row],[Date]],2)-WEEKNUM(DATE(YEAR(datos_siembra[[#This Row],[Date]]),MONTH(datos_siembra[[#This Row],[Date]]),1))+1</f>
        <v>2</v>
      </c>
      <c r="S241">
        <f>MONTH(datos_siembra[[#This Row],[Date]])</f>
        <v>9</v>
      </c>
      <c r="T241" t="str" cm="1">
        <f t="array" ref="T241">_xlfn.IFS(AND(N241&lt;= 22, S241=9), "SOWING",AND(N241&lt;= 28, S241=9), "COVERAGE",AND(N241&lt;= 30, S241=9), "FLUSH",AND(N241&lt;= 11, S241=10), "FLUSH",AND(N241&lt;= 21, S241=10), "PRODUCTION")</f>
        <v>SOWING</v>
      </c>
      <c r="U241">
        <f>HOUR(datos_siembra[[#This Row],[Hour]])</f>
        <v>7</v>
      </c>
      <c r="V241" cm="1">
        <f t="array" ref="V241">_xlfn.IFS(AND(N241&lt;= 22, S241=9), N241-7,AND(N241&lt;= 28, S241=9), N241-25,AND(N241&lt;= 30, S241=9), N241-28,AND(N241&lt;= 11, S241=10), N241+2,AND(N241&lt;= 21, S241=10), N241-11)</f>
        <v>3</v>
      </c>
    </row>
    <row r="242" spans="1:22" x14ac:dyDescent="0.35">
      <c r="A242" s="4">
        <v>45545</v>
      </c>
      <c r="B242" s="5">
        <v>0.32465277777777779</v>
      </c>
      <c r="C242">
        <v>80.599999999999994</v>
      </c>
      <c r="D242">
        <v>83.9</v>
      </c>
      <c r="E242">
        <v>85.2</v>
      </c>
      <c r="F242">
        <v>80.400000000000006</v>
      </c>
      <c r="G242">
        <v>0</v>
      </c>
      <c r="H242">
        <v>0</v>
      </c>
      <c r="I242">
        <v>0</v>
      </c>
      <c r="J242">
        <v>0</v>
      </c>
      <c r="K242">
        <v>63.6</v>
      </c>
      <c r="L242">
        <v>62.4</v>
      </c>
      <c r="M242">
        <v>82.43</v>
      </c>
      <c r="N242">
        <v>10</v>
      </c>
      <c r="O242">
        <v>7</v>
      </c>
      <c r="P242">
        <f>MOD(DAY(datos_siembra[[#This Row],[Date]]),7)</f>
        <v>3</v>
      </c>
      <c r="Q242" t="str">
        <f>CHOOSE(WEEKDAY(datos_siembra[[#This Row],[Date]],2),"L","M","X","J","V","S","D")</f>
        <v>M</v>
      </c>
      <c r="R242">
        <f>WEEKNUM(datos_siembra[[#This Row],[Date]],2)-WEEKNUM(DATE(YEAR(datos_siembra[[#This Row],[Date]]),MONTH(datos_siembra[[#This Row],[Date]]),1))+1</f>
        <v>2</v>
      </c>
      <c r="S242">
        <f>MONTH(datos_siembra[[#This Row],[Date]])</f>
        <v>9</v>
      </c>
      <c r="T242" t="str" cm="1">
        <f t="array" ref="T242">_xlfn.IFS(AND(N242&lt;= 22, S242=9), "SOWING",AND(N242&lt;= 28, S242=9), "COVERAGE",AND(N242&lt;= 30, S242=9), "FLUSH",AND(N242&lt;= 11, S242=10), "FLUSH",AND(N242&lt;= 21, S242=10), "PRODUCTION")</f>
        <v>SOWING</v>
      </c>
      <c r="U242">
        <f>HOUR(datos_siembra[[#This Row],[Hour]])</f>
        <v>7</v>
      </c>
      <c r="V242" cm="1">
        <f t="array" ref="V242">_xlfn.IFS(AND(N242&lt;= 22, S242=9), N242-7,AND(N242&lt;= 28, S242=9), N242-25,AND(N242&lt;= 30, S242=9), N242-28,AND(N242&lt;= 11, S242=10), N242+2,AND(N242&lt;= 21, S242=10), N242-11)</f>
        <v>3</v>
      </c>
    </row>
    <row r="243" spans="1:22" x14ac:dyDescent="0.35">
      <c r="A243" s="4">
        <v>45545</v>
      </c>
      <c r="B243" s="5">
        <v>0.33159722222222221</v>
      </c>
      <c r="C243">
        <v>80.7</v>
      </c>
      <c r="D243">
        <v>83.8</v>
      </c>
      <c r="E243">
        <v>85.3</v>
      </c>
      <c r="F243">
        <v>80.5</v>
      </c>
      <c r="G243">
        <v>0</v>
      </c>
      <c r="H243">
        <v>0</v>
      </c>
      <c r="I243">
        <v>0</v>
      </c>
      <c r="J243">
        <v>0</v>
      </c>
      <c r="K243">
        <v>63.6</v>
      </c>
      <c r="L243">
        <v>62.5</v>
      </c>
      <c r="M243">
        <v>82.57</v>
      </c>
      <c r="N243">
        <v>10</v>
      </c>
      <c r="O243">
        <v>7</v>
      </c>
      <c r="P243">
        <f>MOD(DAY(datos_siembra[[#This Row],[Date]]),7)</f>
        <v>3</v>
      </c>
      <c r="Q243" t="str">
        <f>CHOOSE(WEEKDAY(datos_siembra[[#This Row],[Date]],2),"L","M","X","J","V","S","D")</f>
        <v>M</v>
      </c>
      <c r="R243">
        <f>WEEKNUM(datos_siembra[[#This Row],[Date]],2)-WEEKNUM(DATE(YEAR(datos_siembra[[#This Row],[Date]]),MONTH(datos_siembra[[#This Row],[Date]]),1))+1</f>
        <v>2</v>
      </c>
      <c r="S243">
        <f>MONTH(datos_siembra[[#This Row],[Date]])</f>
        <v>9</v>
      </c>
      <c r="T243" t="str" cm="1">
        <f t="array" ref="T243">_xlfn.IFS(AND(N243&lt;= 22, S243=9), "SOWING",AND(N243&lt;= 28, S243=9), "COVERAGE",AND(N243&lt;= 30, S243=9), "FLUSH",AND(N243&lt;= 11, S243=10), "FLUSH",AND(N243&lt;= 21, S243=10), "PRODUCTION")</f>
        <v>SOWING</v>
      </c>
      <c r="U243">
        <f>HOUR(datos_siembra[[#This Row],[Hour]])</f>
        <v>7</v>
      </c>
      <c r="V243" cm="1">
        <f t="array" ref="V243">_xlfn.IFS(AND(N243&lt;= 22, S243=9), N243-7,AND(N243&lt;= 28, S243=9), N243-25,AND(N243&lt;= 30, S243=9), N243-28,AND(N243&lt;= 11, S243=10), N243+2,AND(N243&lt;= 21, S243=10), N243-11)</f>
        <v>3</v>
      </c>
    </row>
    <row r="244" spans="1:22" x14ac:dyDescent="0.35">
      <c r="A244" s="4">
        <v>45545</v>
      </c>
      <c r="B244" s="5">
        <v>0.33785879629629628</v>
      </c>
      <c r="C244">
        <v>80.400000000000006</v>
      </c>
      <c r="D244">
        <v>83.8</v>
      </c>
      <c r="E244">
        <v>85.4</v>
      </c>
      <c r="F244">
        <v>80.2</v>
      </c>
      <c r="G244">
        <v>0</v>
      </c>
      <c r="H244">
        <v>0</v>
      </c>
      <c r="I244">
        <v>0</v>
      </c>
      <c r="J244">
        <v>0</v>
      </c>
      <c r="K244">
        <v>63.1</v>
      </c>
      <c r="L244">
        <v>62.8</v>
      </c>
      <c r="M244">
        <v>82.95</v>
      </c>
      <c r="N244">
        <v>10</v>
      </c>
      <c r="O244">
        <v>7</v>
      </c>
      <c r="P244">
        <f>MOD(DAY(datos_siembra[[#This Row],[Date]]),7)</f>
        <v>3</v>
      </c>
      <c r="Q244" t="str">
        <f>CHOOSE(WEEKDAY(datos_siembra[[#This Row],[Date]],2),"L","M","X","J","V","S","D")</f>
        <v>M</v>
      </c>
      <c r="R244">
        <f>WEEKNUM(datos_siembra[[#This Row],[Date]],2)-WEEKNUM(DATE(YEAR(datos_siembra[[#This Row],[Date]]),MONTH(datos_siembra[[#This Row],[Date]]),1))+1</f>
        <v>2</v>
      </c>
      <c r="S244">
        <f>MONTH(datos_siembra[[#This Row],[Date]])</f>
        <v>9</v>
      </c>
      <c r="T244" t="str" cm="1">
        <f t="array" ref="T244">_xlfn.IFS(AND(N244&lt;= 22, S244=9), "SOWING",AND(N244&lt;= 28, S244=9), "COVERAGE",AND(N244&lt;= 30, S244=9), "FLUSH",AND(N244&lt;= 11, S244=10), "FLUSH",AND(N244&lt;= 21, S244=10), "PRODUCTION")</f>
        <v>SOWING</v>
      </c>
      <c r="U244">
        <f>HOUR(datos_siembra[[#This Row],[Hour]])</f>
        <v>8</v>
      </c>
      <c r="V244" cm="1">
        <f t="array" ref="V244">_xlfn.IFS(AND(N244&lt;= 22, S244=9), N244-7,AND(N244&lt;= 28, S244=9), N244-25,AND(N244&lt;= 30, S244=9), N244-28,AND(N244&lt;= 11, S244=10), N244+2,AND(N244&lt;= 21, S244=10), N244-11)</f>
        <v>3</v>
      </c>
    </row>
    <row r="245" spans="1:22" x14ac:dyDescent="0.35">
      <c r="A245" s="4">
        <v>45545</v>
      </c>
      <c r="B245" s="5">
        <v>0.34480324074074076</v>
      </c>
      <c r="C245">
        <v>80.599999999999994</v>
      </c>
      <c r="D245">
        <v>83.7</v>
      </c>
      <c r="E245">
        <v>85.5</v>
      </c>
      <c r="F245">
        <v>80.7</v>
      </c>
      <c r="G245">
        <v>0</v>
      </c>
      <c r="H245">
        <v>0</v>
      </c>
      <c r="I245">
        <v>0</v>
      </c>
      <c r="J245">
        <v>0</v>
      </c>
      <c r="K245">
        <v>63.1</v>
      </c>
      <c r="L245">
        <v>62.8</v>
      </c>
      <c r="M245">
        <v>82.95</v>
      </c>
      <c r="N245">
        <v>10</v>
      </c>
      <c r="O245">
        <v>7</v>
      </c>
      <c r="P245">
        <f>MOD(DAY(datos_siembra[[#This Row],[Date]]),7)</f>
        <v>3</v>
      </c>
      <c r="Q245" t="str">
        <f>CHOOSE(WEEKDAY(datos_siembra[[#This Row],[Date]],2),"L","M","X","J","V","S","D")</f>
        <v>M</v>
      </c>
      <c r="R245">
        <f>WEEKNUM(datos_siembra[[#This Row],[Date]],2)-WEEKNUM(DATE(YEAR(datos_siembra[[#This Row],[Date]]),MONTH(datos_siembra[[#This Row],[Date]]),1))+1</f>
        <v>2</v>
      </c>
      <c r="S245">
        <f>MONTH(datos_siembra[[#This Row],[Date]])</f>
        <v>9</v>
      </c>
      <c r="T245" t="str" cm="1">
        <f t="array" ref="T245">_xlfn.IFS(AND(N245&lt;= 22, S245=9), "SOWING",AND(N245&lt;= 28, S245=9), "COVERAGE",AND(N245&lt;= 30, S245=9), "FLUSH",AND(N245&lt;= 11, S245=10), "FLUSH",AND(N245&lt;= 21, S245=10), "PRODUCTION")</f>
        <v>SOWING</v>
      </c>
      <c r="U245">
        <f>HOUR(datos_siembra[[#This Row],[Hour]])</f>
        <v>8</v>
      </c>
      <c r="V245" cm="1">
        <f t="array" ref="V245">_xlfn.IFS(AND(N245&lt;= 22, S245=9), N245-7,AND(N245&lt;= 28, S245=9), N245-25,AND(N245&lt;= 30, S245=9), N245-28,AND(N245&lt;= 11, S245=10), N245+2,AND(N245&lt;= 21, S245=10), N245-11)</f>
        <v>3</v>
      </c>
    </row>
    <row r="246" spans="1:22" x14ac:dyDescent="0.35">
      <c r="A246" s="4">
        <v>45545</v>
      </c>
      <c r="B246" s="5">
        <v>0.35174768518518518</v>
      </c>
      <c r="C246">
        <v>80.400000000000006</v>
      </c>
      <c r="D246">
        <v>83.7</v>
      </c>
      <c r="E246">
        <v>85.7</v>
      </c>
      <c r="F246">
        <v>80.2</v>
      </c>
      <c r="G246">
        <v>0</v>
      </c>
      <c r="H246">
        <v>0</v>
      </c>
      <c r="I246">
        <v>0</v>
      </c>
      <c r="J246">
        <v>0</v>
      </c>
      <c r="K246">
        <v>63</v>
      </c>
      <c r="L246">
        <v>62.8</v>
      </c>
      <c r="M246">
        <v>82.01</v>
      </c>
      <c r="N246">
        <v>10</v>
      </c>
      <c r="O246">
        <v>7</v>
      </c>
      <c r="P246">
        <f>MOD(DAY(datos_siembra[[#This Row],[Date]]),7)</f>
        <v>3</v>
      </c>
      <c r="Q246" t="str">
        <f>CHOOSE(WEEKDAY(datos_siembra[[#This Row],[Date]],2),"L","M","X","J","V","S","D")</f>
        <v>M</v>
      </c>
      <c r="R246">
        <f>WEEKNUM(datos_siembra[[#This Row],[Date]],2)-WEEKNUM(DATE(YEAR(datos_siembra[[#This Row],[Date]]),MONTH(datos_siembra[[#This Row],[Date]]),1))+1</f>
        <v>2</v>
      </c>
      <c r="S246">
        <f>MONTH(datos_siembra[[#This Row],[Date]])</f>
        <v>9</v>
      </c>
      <c r="T246" t="str" cm="1">
        <f t="array" ref="T246">_xlfn.IFS(AND(N246&lt;= 22, S246=9), "SOWING",AND(N246&lt;= 28, S246=9), "COVERAGE",AND(N246&lt;= 30, S246=9), "FLUSH",AND(N246&lt;= 11, S246=10), "FLUSH",AND(N246&lt;= 21, S246=10), "PRODUCTION")</f>
        <v>SOWING</v>
      </c>
      <c r="U246">
        <f>HOUR(datos_siembra[[#This Row],[Hour]])</f>
        <v>8</v>
      </c>
      <c r="V246" cm="1">
        <f t="array" ref="V246">_xlfn.IFS(AND(N246&lt;= 22, S246=9), N246-7,AND(N246&lt;= 28, S246=9), N246-25,AND(N246&lt;= 30, S246=9), N246-28,AND(N246&lt;= 11, S246=10), N246+2,AND(N246&lt;= 21, S246=10), N246-11)</f>
        <v>3</v>
      </c>
    </row>
    <row r="247" spans="1:22" x14ac:dyDescent="0.35">
      <c r="A247" s="4">
        <v>45545</v>
      </c>
      <c r="B247" s="5">
        <v>0.35870370370370369</v>
      </c>
      <c r="C247">
        <v>80.5</v>
      </c>
      <c r="D247">
        <v>83.7</v>
      </c>
      <c r="E247">
        <v>85.4</v>
      </c>
      <c r="F247">
        <v>80.5</v>
      </c>
      <c r="G247">
        <v>0</v>
      </c>
      <c r="H247">
        <v>0</v>
      </c>
      <c r="I247">
        <v>0</v>
      </c>
      <c r="J247">
        <v>0</v>
      </c>
      <c r="K247">
        <v>63.1</v>
      </c>
      <c r="L247">
        <v>62.8</v>
      </c>
      <c r="M247">
        <v>82.95</v>
      </c>
      <c r="N247">
        <v>10</v>
      </c>
      <c r="O247">
        <v>7</v>
      </c>
      <c r="P247">
        <f>MOD(DAY(datos_siembra[[#This Row],[Date]]),7)</f>
        <v>3</v>
      </c>
      <c r="Q247" t="str">
        <f>CHOOSE(WEEKDAY(datos_siembra[[#This Row],[Date]],2),"L","M","X","J","V","S","D")</f>
        <v>M</v>
      </c>
      <c r="R247">
        <f>WEEKNUM(datos_siembra[[#This Row],[Date]],2)-WEEKNUM(DATE(YEAR(datos_siembra[[#This Row],[Date]]),MONTH(datos_siembra[[#This Row],[Date]]),1))+1</f>
        <v>2</v>
      </c>
      <c r="S247">
        <f>MONTH(datos_siembra[[#This Row],[Date]])</f>
        <v>9</v>
      </c>
      <c r="T247" t="str" cm="1">
        <f t="array" ref="T247">_xlfn.IFS(AND(N247&lt;= 22, S247=9), "SOWING",AND(N247&lt;= 28, S247=9), "COVERAGE",AND(N247&lt;= 30, S247=9), "FLUSH",AND(N247&lt;= 11, S247=10), "FLUSH",AND(N247&lt;= 21, S247=10), "PRODUCTION")</f>
        <v>SOWING</v>
      </c>
      <c r="U247">
        <f>HOUR(datos_siembra[[#This Row],[Hour]])</f>
        <v>8</v>
      </c>
      <c r="V247" cm="1">
        <f t="array" ref="V247">_xlfn.IFS(AND(N247&lt;= 22, S247=9), N247-7,AND(N247&lt;= 28, S247=9), N247-25,AND(N247&lt;= 30, S247=9), N247-28,AND(N247&lt;= 11, S247=10), N247+2,AND(N247&lt;= 21, S247=10), N247-11)</f>
        <v>3</v>
      </c>
    </row>
    <row r="248" spans="1:22" x14ac:dyDescent="0.35">
      <c r="A248" s="4">
        <v>45545</v>
      </c>
      <c r="B248" s="5">
        <v>0.36564814814814817</v>
      </c>
      <c r="C248">
        <v>80.3</v>
      </c>
      <c r="D248">
        <v>83.7</v>
      </c>
      <c r="E248">
        <v>85.5</v>
      </c>
      <c r="F248">
        <v>80.2</v>
      </c>
      <c r="G248">
        <v>0</v>
      </c>
      <c r="H248">
        <v>0</v>
      </c>
      <c r="I248">
        <v>0</v>
      </c>
      <c r="J248">
        <v>0</v>
      </c>
      <c r="K248">
        <v>63.1</v>
      </c>
      <c r="L248">
        <v>62.8</v>
      </c>
      <c r="M248">
        <v>82.84</v>
      </c>
      <c r="N248">
        <v>10</v>
      </c>
      <c r="O248">
        <v>7</v>
      </c>
      <c r="P248">
        <f>MOD(DAY(datos_siembra[[#This Row],[Date]]),7)</f>
        <v>3</v>
      </c>
      <c r="Q248" t="str">
        <f>CHOOSE(WEEKDAY(datos_siembra[[#This Row],[Date]],2),"L","M","X","J","V","S","D")</f>
        <v>M</v>
      </c>
      <c r="R248">
        <f>WEEKNUM(datos_siembra[[#This Row],[Date]],2)-WEEKNUM(DATE(YEAR(datos_siembra[[#This Row],[Date]]),MONTH(datos_siembra[[#This Row],[Date]]),1))+1</f>
        <v>2</v>
      </c>
      <c r="S248">
        <f>MONTH(datos_siembra[[#This Row],[Date]])</f>
        <v>9</v>
      </c>
      <c r="T248" t="str" cm="1">
        <f t="array" ref="T248">_xlfn.IFS(AND(N248&lt;= 22, S248=9), "SOWING",AND(N248&lt;= 28, S248=9), "COVERAGE",AND(N248&lt;= 30, S248=9), "FLUSH",AND(N248&lt;= 11, S248=10), "FLUSH",AND(N248&lt;= 21, S248=10), "PRODUCTION")</f>
        <v>SOWING</v>
      </c>
      <c r="U248">
        <f>HOUR(datos_siembra[[#This Row],[Hour]])</f>
        <v>8</v>
      </c>
      <c r="V248" cm="1">
        <f t="array" ref="V248">_xlfn.IFS(AND(N248&lt;= 22, S248=9), N248-7,AND(N248&lt;= 28, S248=9), N248-25,AND(N248&lt;= 30, S248=9), N248-28,AND(N248&lt;= 11, S248=10), N248+2,AND(N248&lt;= 21, S248=10), N248-11)</f>
        <v>3</v>
      </c>
    </row>
    <row r="249" spans="1:22" x14ac:dyDescent="0.35">
      <c r="A249" s="4">
        <v>45545</v>
      </c>
      <c r="B249" s="5">
        <v>0.37259259259259259</v>
      </c>
      <c r="C249">
        <v>80.5</v>
      </c>
      <c r="D249">
        <v>83.7</v>
      </c>
      <c r="E249">
        <v>85.2</v>
      </c>
      <c r="F249">
        <v>80.3</v>
      </c>
      <c r="G249">
        <v>0</v>
      </c>
      <c r="H249">
        <v>0</v>
      </c>
      <c r="I249">
        <v>0</v>
      </c>
      <c r="J249">
        <v>0</v>
      </c>
      <c r="K249">
        <v>63.1</v>
      </c>
      <c r="L249">
        <v>62.9</v>
      </c>
      <c r="M249">
        <v>82.01</v>
      </c>
      <c r="N249">
        <v>10</v>
      </c>
      <c r="O249">
        <v>7</v>
      </c>
      <c r="P249">
        <f>MOD(DAY(datos_siembra[[#This Row],[Date]]),7)</f>
        <v>3</v>
      </c>
      <c r="Q249" t="str">
        <f>CHOOSE(WEEKDAY(datos_siembra[[#This Row],[Date]],2),"L","M","X","J","V","S","D")</f>
        <v>M</v>
      </c>
      <c r="R249">
        <f>WEEKNUM(datos_siembra[[#This Row],[Date]],2)-WEEKNUM(DATE(YEAR(datos_siembra[[#This Row],[Date]]),MONTH(datos_siembra[[#This Row],[Date]]),1))+1</f>
        <v>2</v>
      </c>
      <c r="S249">
        <f>MONTH(datos_siembra[[#This Row],[Date]])</f>
        <v>9</v>
      </c>
      <c r="T249" t="str" cm="1">
        <f t="array" ref="T249">_xlfn.IFS(AND(N249&lt;= 22, S249=9), "SOWING",AND(N249&lt;= 28, S249=9), "COVERAGE",AND(N249&lt;= 30, S249=9), "FLUSH",AND(N249&lt;= 11, S249=10), "FLUSH",AND(N249&lt;= 21, S249=10), "PRODUCTION")</f>
        <v>SOWING</v>
      </c>
      <c r="U249">
        <f>HOUR(datos_siembra[[#This Row],[Hour]])</f>
        <v>8</v>
      </c>
      <c r="V249" cm="1">
        <f t="array" ref="V249">_xlfn.IFS(AND(N249&lt;= 22, S249=9), N249-7,AND(N249&lt;= 28, S249=9), N249-25,AND(N249&lt;= 30, S249=9), N249-28,AND(N249&lt;= 11, S249=10), N249+2,AND(N249&lt;= 21, S249=10), N249-11)</f>
        <v>3</v>
      </c>
    </row>
    <row r="250" spans="1:22" x14ac:dyDescent="0.35">
      <c r="A250" s="4">
        <v>45545</v>
      </c>
      <c r="B250" s="5">
        <v>0.3795486111111111</v>
      </c>
      <c r="C250">
        <v>80.5</v>
      </c>
      <c r="D250">
        <v>83.7</v>
      </c>
      <c r="E250">
        <v>85.4</v>
      </c>
      <c r="F250">
        <v>80.5</v>
      </c>
      <c r="G250">
        <v>0</v>
      </c>
      <c r="H250">
        <v>0</v>
      </c>
      <c r="I250">
        <v>0</v>
      </c>
      <c r="J250">
        <v>0</v>
      </c>
      <c r="K250">
        <v>63.1</v>
      </c>
      <c r="L250">
        <v>62.8</v>
      </c>
      <c r="M250">
        <v>82.95</v>
      </c>
      <c r="N250">
        <v>10</v>
      </c>
      <c r="O250">
        <v>7</v>
      </c>
      <c r="P250">
        <f>MOD(DAY(datos_siembra[[#This Row],[Date]]),7)</f>
        <v>3</v>
      </c>
      <c r="Q250" t="str">
        <f>CHOOSE(WEEKDAY(datos_siembra[[#This Row],[Date]],2),"L","M","X","J","V","S","D")</f>
        <v>M</v>
      </c>
      <c r="R250">
        <f>WEEKNUM(datos_siembra[[#This Row],[Date]],2)-WEEKNUM(DATE(YEAR(datos_siembra[[#This Row],[Date]]),MONTH(datos_siembra[[#This Row],[Date]]),1))+1</f>
        <v>2</v>
      </c>
      <c r="S250">
        <f>MONTH(datos_siembra[[#This Row],[Date]])</f>
        <v>9</v>
      </c>
      <c r="T250" t="str" cm="1">
        <f t="array" ref="T250">_xlfn.IFS(AND(N250&lt;= 22, S250=9), "SOWING",AND(N250&lt;= 28, S250=9), "COVERAGE",AND(N250&lt;= 30, S250=9), "FLUSH",AND(N250&lt;= 11, S250=10), "FLUSH",AND(N250&lt;= 21, S250=10), "PRODUCTION")</f>
        <v>SOWING</v>
      </c>
      <c r="U250">
        <f>HOUR(datos_siembra[[#This Row],[Hour]])</f>
        <v>9</v>
      </c>
      <c r="V250" cm="1">
        <f t="array" ref="V250">_xlfn.IFS(AND(N250&lt;= 22, S250=9), N250-7,AND(N250&lt;= 28, S250=9), N250-25,AND(N250&lt;= 30, S250=9), N250-28,AND(N250&lt;= 11, S250=10), N250+2,AND(N250&lt;= 21, S250=10), N250-11)</f>
        <v>3</v>
      </c>
    </row>
    <row r="251" spans="1:22" x14ac:dyDescent="0.35">
      <c r="A251" s="4">
        <v>45545</v>
      </c>
      <c r="B251" s="5">
        <v>0.38649305555555558</v>
      </c>
      <c r="C251">
        <v>80.3</v>
      </c>
      <c r="D251">
        <v>83.7</v>
      </c>
      <c r="E251">
        <v>85.4</v>
      </c>
      <c r="F251">
        <v>80.5</v>
      </c>
      <c r="G251">
        <v>0</v>
      </c>
      <c r="H251">
        <v>0</v>
      </c>
      <c r="I251">
        <v>0</v>
      </c>
      <c r="J251">
        <v>0</v>
      </c>
      <c r="K251">
        <v>63.1</v>
      </c>
      <c r="L251">
        <v>62.8</v>
      </c>
      <c r="M251">
        <v>82.12</v>
      </c>
      <c r="N251">
        <v>10</v>
      </c>
      <c r="O251">
        <v>7</v>
      </c>
      <c r="P251">
        <f>MOD(DAY(datos_siembra[[#This Row],[Date]]),7)</f>
        <v>3</v>
      </c>
      <c r="Q251" t="str">
        <f>CHOOSE(WEEKDAY(datos_siembra[[#This Row],[Date]],2),"L","M","X","J","V","S","D")</f>
        <v>M</v>
      </c>
      <c r="R251">
        <f>WEEKNUM(datos_siembra[[#This Row],[Date]],2)-WEEKNUM(DATE(YEAR(datos_siembra[[#This Row],[Date]]),MONTH(datos_siembra[[#This Row],[Date]]),1))+1</f>
        <v>2</v>
      </c>
      <c r="S251">
        <f>MONTH(datos_siembra[[#This Row],[Date]])</f>
        <v>9</v>
      </c>
      <c r="T251" t="str" cm="1">
        <f t="array" ref="T251">_xlfn.IFS(AND(N251&lt;= 22, S251=9), "SOWING",AND(N251&lt;= 28, S251=9), "COVERAGE",AND(N251&lt;= 30, S251=9), "FLUSH",AND(N251&lt;= 11, S251=10), "FLUSH",AND(N251&lt;= 21, S251=10), "PRODUCTION")</f>
        <v>SOWING</v>
      </c>
      <c r="U251">
        <f>HOUR(datos_siembra[[#This Row],[Hour]])</f>
        <v>9</v>
      </c>
      <c r="V251" cm="1">
        <f t="array" ref="V251">_xlfn.IFS(AND(N251&lt;= 22, S251=9), N251-7,AND(N251&lt;= 28, S251=9), N251-25,AND(N251&lt;= 30, S251=9), N251-28,AND(N251&lt;= 11, S251=10), N251+2,AND(N251&lt;= 21, S251=10), N251-11)</f>
        <v>3</v>
      </c>
    </row>
    <row r="252" spans="1:22" x14ac:dyDescent="0.35">
      <c r="A252" s="4">
        <v>45545</v>
      </c>
      <c r="B252" s="5">
        <v>0.3934375</v>
      </c>
      <c r="C252">
        <v>80.400000000000006</v>
      </c>
      <c r="D252">
        <v>83.7</v>
      </c>
      <c r="E252">
        <v>85.4</v>
      </c>
      <c r="F252">
        <v>80.5</v>
      </c>
      <c r="G252">
        <v>0</v>
      </c>
      <c r="H252">
        <v>0</v>
      </c>
      <c r="I252">
        <v>0</v>
      </c>
      <c r="J252">
        <v>0</v>
      </c>
      <c r="K252">
        <v>63.2</v>
      </c>
      <c r="L252">
        <v>62.9</v>
      </c>
      <c r="M252">
        <v>82.95</v>
      </c>
      <c r="N252">
        <v>10</v>
      </c>
      <c r="O252">
        <v>7</v>
      </c>
      <c r="P252">
        <f>MOD(DAY(datos_siembra[[#This Row],[Date]]),7)</f>
        <v>3</v>
      </c>
      <c r="Q252" t="str">
        <f>CHOOSE(WEEKDAY(datos_siembra[[#This Row],[Date]],2),"L","M","X","J","V","S","D")</f>
        <v>M</v>
      </c>
      <c r="R252">
        <f>WEEKNUM(datos_siembra[[#This Row],[Date]],2)-WEEKNUM(DATE(YEAR(datos_siembra[[#This Row],[Date]]),MONTH(datos_siembra[[#This Row],[Date]]),1))+1</f>
        <v>2</v>
      </c>
      <c r="S252">
        <f>MONTH(datos_siembra[[#This Row],[Date]])</f>
        <v>9</v>
      </c>
      <c r="T252" t="str" cm="1">
        <f t="array" ref="T252">_xlfn.IFS(AND(N252&lt;= 22, S252=9), "SOWING",AND(N252&lt;= 28, S252=9), "COVERAGE",AND(N252&lt;= 30, S252=9), "FLUSH",AND(N252&lt;= 11, S252=10), "FLUSH",AND(N252&lt;= 21, S252=10), "PRODUCTION")</f>
        <v>SOWING</v>
      </c>
      <c r="U252">
        <f>HOUR(datos_siembra[[#This Row],[Hour]])</f>
        <v>9</v>
      </c>
      <c r="V252" cm="1">
        <f t="array" ref="V252">_xlfn.IFS(AND(N252&lt;= 22, S252=9), N252-7,AND(N252&lt;= 28, S252=9), N252-25,AND(N252&lt;= 30, S252=9), N252-28,AND(N252&lt;= 11, S252=10), N252+2,AND(N252&lt;= 21, S252=10), N252-11)</f>
        <v>3</v>
      </c>
    </row>
    <row r="253" spans="1:22" x14ac:dyDescent="0.35">
      <c r="A253" s="4">
        <v>45545</v>
      </c>
      <c r="B253" s="5">
        <v>0.40039351851851851</v>
      </c>
      <c r="C253">
        <v>80.099999999999994</v>
      </c>
      <c r="D253">
        <v>83.1</v>
      </c>
      <c r="E253">
        <v>85.2</v>
      </c>
      <c r="F253">
        <v>80.599999999999994</v>
      </c>
      <c r="G253">
        <v>0</v>
      </c>
      <c r="H253">
        <v>0</v>
      </c>
      <c r="I253">
        <v>0</v>
      </c>
      <c r="J253">
        <v>0</v>
      </c>
      <c r="K253">
        <v>63.9</v>
      </c>
      <c r="L253">
        <v>62.6</v>
      </c>
      <c r="M253">
        <v>82.18</v>
      </c>
      <c r="N253">
        <v>10</v>
      </c>
      <c r="O253">
        <v>7</v>
      </c>
      <c r="P253">
        <f>MOD(DAY(datos_siembra[[#This Row],[Date]]),7)</f>
        <v>3</v>
      </c>
      <c r="Q253" t="str">
        <f>CHOOSE(WEEKDAY(datos_siembra[[#This Row],[Date]],2),"L","M","X","J","V","S","D")</f>
        <v>M</v>
      </c>
      <c r="R253">
        <f>WEEKNUM(datos_siembra[[#This Row],[Date]],2)-WEEKNUM(DATE(YEAR(datos_siembra[[#This Row],[Date]]),MONTH(datos_siembra[[#This Row],[Date]]),1))+1</f>
        <v>2</v>
      </c>
      <c r="S253">
        <f>MONTH(datos_siembra[[#This Row],[Date]])</f>
        <v>9</v>
      </c>
      <c r="T253" t="str" cm="1">
        <f t="array" ref="T253">_xlfn.IFS(AND(N253&lt;= 22, S253=9), "SOWING",AND(N253&lt;= 28, S253=9), "COVERAGE",AND(N253&lt;= 30, S253=9), "FLUSH",AND(N253&lt;= 11, S253=10), "FLUSH",AND(N253&lt;= 21, S253=10), "PRODUCTION")</f>
        <v>SOWING</v>
      </c>
      <c r="U253">
        <f>HOUR(datos_siembra[[#This Row],[Hour]])</f>
        <v>9</v>
      </c>
      <c r="V253" cm="1">
        <f t="array" ref="V253">_xlfn.IFS(AND(N253&lt;= 22, S253=9), N253-7,AND(N253&lt;= 28, S253=9), N253-25,AND(N253&lt;= 30, S253=9), N253-28,AND(N253&lt;= 11, S253=10), N253+2,AND(N253&lt;= 21, S253=10), N253-11)</f>
        <v>3</v>
      </c>
    </row>
    <row r="254" spans="1:22" x14ac:dyDescent="0.35">
      <c r="A254" s="4">
        <v>45545</v>
      </c>
      <c r="B254" s="5">
        <v>0.40733796296296299</v>
      </c>
      <c r="C254">
        <v>80.099999999999994</v>
      </c>
      <c r="D254">
        <v>83.2</v>
      </c>
      <c r="E254">
        <v>85.7</v>
      </c>
      <c r="F254">
        <v>80.599999999999994</v>
      </c>
      <c r="G254">
        <v>0</v>
      </c>
      <c r="H254">
        <v>0</v>
      </c>
      <c r="I254">
        <v>0</v>
      </c>
      <c r="J254">
        <v>0</v>
      </c>
      <c r="K254">
        <v>63.6</v>
      </c>
      <c r="L254">
        <v>62.2</v>
      </c>
      <c r="M254">
        <v>82.32</v>
      </c>
      <c r="N254">
        <v>10</v>
      </c>
      <c r="O254">
        <v>7</v>
      </c>
      <c r="P254">
        <f>MOD(DAY(datos_siembra[[#This Row],[Date]]),7)</f>
        <v>3</v>
      </c>
      <c r="Q254" t="str">
        <f>CHOOSE(WEEKDAY(datos_siembra[[#This Row],[Date]],2),"L","M","X","J","V","S","D")</f>
        <v>M</v>
      </c>
      <c r="R254">
        <f>WEEKNUM(datos_siembra[[#This Row],[Date]],2)-WEEKNUM(DATE(YEAR(datos_siembra[[#This Row],[Date]]),MONTH(datos_siembra[[#This Row],[Date]]),1))+1</f>
        <v>2</v>
      </c>
      <c r="S254">
        <f>MONTH(datos_siembra[[#This Row],[Date]])</f>
        <v>9</v>
      </c>
      <c r="T254" t="str" cm="1">
        <f t="array" ref="T254">_xlfn.IFS(AND(N254&lt;= 22, S254=9), "SOWING",AND(N254&lt;= 28, S254=9), "COVERAGE",AND(N254&lt;= 30, S254=9), "FLUSH",AND(N254&lt;= 11, S254=10), "FLUSH",AND(N254&lt;= 21, S254=10), "PRODUCTION")</f>
        <v>SOWING</v>
      </c>
      <c r="U254">
        <f>HOUR(datos_siembra[[#This Row],[Hour]])</f>
        <v>9</v>
      </c>
      <c r="V254" cm="1">
        <f t="array" ref="V254">_xlfn.IFS(AND(N254&lt;= 22, S254=9), N254-7,AND(N254&lt;= 28, S254=9), N254-25,AND(N254&lt;= 30, S254=9), N254-28,AND(N254&lt;= 11, S254=10), N254+2,AND(N254&lt;= 21, S254=10), N254-11)</f>
        <v>3</v>
      </c>
    </row>
    <row r="255" spans="1:22" x14ac:dyDescent="0.35">
      <c r="A255" s="4">
        <v>45545</v>
      </c>
      <c r="B255" s="5">
        <v>0.4142824074074074</v>
      </c>
      <c r="C255">
        <v>80.3</v>
      </c>
      <c r="D255">
        <v>83.3</v>
      </c>
      <c r="E255">
        <v>85.3</v>
      </c>
      <c r="F255">
        <v>80.7</v>
      </c>
      <c r="G255">
        <v>0</v>
      </c>
      <c r="H255">
        <v>0</v>
      </c>
      <c r="I255">
        <v>0</v>
      </c>
      <c r="J255">
        <v>0</v>
      </c>
      <c r="K255">
        <v>63.8</v>
      </c>
      <c r="L255">
        <v>62.6</v>
      </c>
      <c r="M255">
        <v>82.35</v>
      </c>
      <c r="N255">
        <v>10</v>
      </c>
      <c r="O255">
        <v>7</v>
      </c>
      <c r="P255">
        <f>MOD(DAY(datos_siembra[[#This Row],[Date]]),7)</f>
        <v>3</v>
      </c>
      <c r="Q255" t="str">
        <f>CHOOSE(WEEKDAY(datos_siembra[[#This Row],[Date]],2),"L","M","X","J","V","S","D")</f>
        <v>M</v>
      </c>
      <c r="R255">
        <f>WEEKNUM(datos_siembra[[#This Row],[Date]],2)-WEEKNUM(DATE(YEAR(datos_siembra[[#This Row],[Date]]),MONTH(datos_siembra[[#This Row],[Date]]),1))+1</f>
        <v>2</v>
      </c>
      <c r="S255">
        <f>MONTH(datos_siembra[[#This Row],[Date]])</f>
        <v>9</v>
      </c>
      <c r="T255" t="str" cm="1">
        <f t="array" ref="T255">_xlfn.IFS(AND(N255&lt;= 22, S255=9), "SOWING",AND(N255&lt;= 28, S255=9), "COVERAGE",AND(N255&lt;= 30, S255=9), "FLUSH",AND(N255&lt;= 11, S255=10), "FLUSH",AND(N255&lt;= 21, S255=10), "PRODUCTION")</f>
        <v>SOWING</v>
      </c>
      <c r="U255">
        <f>HOUR(datos_siembra[[#This Row],[Hour]])</f>
        <v>9</v>
      </c>
      <c r="V255" cm="1">
        <f t="array" ref="V255">_xlfn.IFS(AND(N255&lt;= 22, S255=9), N255-7,AND(N255&lt;= 28, S255=9), N255-25,AND(N255&lt;= 30, S255=9), N255-28,AND(N255&lt;= 11, S255=10), N255+2,AND(N255&lt;= 21, S255=10), N255-11)</f>
        <v>3</v>
      </c>
    </row>
    <row r="256" spans="1:22" x14ac:dyDescent="0.35">
      <c r="A256" s="4">
        <v>45545</v>
      </c>
      <c r="B256" s="5">
        <v>0.421875</v>
      </c>
      <c r="C256">
        <v>80.7</v>
      </c>
      <c r="D256">
        <v>83.8</v>
      </c>
      <c r="E256">
        <v>85.2</v>
      </c>
      <c r="F256">
        <v>80.5</v>
      </c>
      <c r="G256">
        <v>0</v>
      </c>
      <c r="H256">
        <v>0</v>
      </c>
      <c r="I256">
        <v>0</v>
      </c>
      <c r="J256">
        <v>0</v>
      </c>
      <c r="K256">
        <v>63.6</v>
      </c>
      <c r="L256">
        <v>62.5</v>
      </c>
      <c r="M256">
        <v>82.48</v>
      </c>
      <c r="N256">
        <v>10</v>
      </c>
      <c r="O256">
        <v>7</v>
      </c>
      <c r="P256">
        <f>MOD(DAY(datos_siembra[[#This Row],[Date]]),7)</f>
        <v>3</v>
      </c>
      <c r="Q256" t="str">
        <f>CHOOSE(WEEKDAY(datos_siembra[[#This Row],[Date]],2),"L","M","X","J","V","S","D")</f>
        <v>M</v>
      </c>
      <c r="R256">
        <f>WEEKNUM(datos_siembra[[#This Row],[Date]],2)-WEEKNUM(DATE(YEAR(datos_siembra[[#This Row],[Date]]),MONTH(datos_siembra[[#This Row],[Date]]),1))+1</f>
        <v>2</v>
      </c>
      <c r="S256">
        <f>MONTH(datos_siembra[[#This Row],[Date]])</f>
        <v>9</v>
      </c>
      <c r="T256" t="str" cm="1">
        <f t="array" ref="T256">_xlfn.IFS(AND(N256&lt;= 22, S256=9), "SOWING",AND(N256&lt;= 28, S256=9), "COVERAGE",AND(N256&lt;= 30, S256=9), "FLUSH",AND(N256&lt;= 11, S256=10), "FLUSH",AND(N256&lt;= 21, S256=10), "PRODUCTION")</f>
        <v>SOWING</v>
      </c>
      <c r="U256">
        <f>HOUR(datos_siembra[[#This Row],[Hour]])</f>
        <v>10</v>
      </c>
      <c r="V256" cm="1">
        <f t="array" ref="V256">_xlfn.IFS(AND(N256&lt;= 22, S256=9), N256-7,AND(N256&lt;= 28, S256=9), N256-25,AND(N256&lt;= 30, S256=9), N256-28,AND(N256&lt;= 11, S256=10), N256+2,AND(N256&lt;= 21, S256=10), N256-11)</f>
        <v>3</v>
      </c>
    </row>
    <row r="257" spans="1:22" x14ac:dyDescent="0.35">
      <c r="A257" s="4">
        <v>45545</v>
      </c>
      <c r="B257" s="5">
        <v>0.42881944444444442</v>
      </c>
      <c r="C257">
        <v>80.5</v>
      </c>
      <c r="D257">
        <v>83.6</v>
      </c>
      <c r="E257">
        <v>85.2</v>
      </c>
      <c r="F257">
        <v>80.400000000000006</v>
      </c>
      <c r="G257">
        <v>0</v>
      </c>
      <c r="H257">
        <v>0</v>
      </c>
      <c r="I257">
        <v>0</v>
      </c>
      <c r="J257">
        <v>0</v>
      </c>
      <c r="K257">
        <v>63.5</v>
      </c>
      <c r="L257">
        <v>62.4</v>
      </c>
      <c r="M257">
        <v>82.57</v>
      </c>
      <c r="N257">
        <v>10</v>
      </c>
      <c r="O257">
        <v>7</v>
      </c>
      <c r="P257">
        <f>MOD(DAY(datos_siembra[[#This Row],[Date]]),7)</f>
        <v>3</v>
      </c>
      <c r="Q257" t="str">
        <f>CHOOSE(WEEKDAY(datos_siembra[[#This Row],[Date]],2),"L","M","X","J","V","S","D")</f>
        <v>M</v>
      </c>
      <c r="R257">
        <f>WEEKNUM(datos_siembra[[#This Row],[Date]],2)-WEEKNUM(DATE(YEAR(datos_siembra[[#This Row],[Date]]),MONTH(datos_siembra[[#This Row],[Date]]),1))+1</f>
        <v>2</v>
      </c>
      <c r="S257">
        <f>MONTH(datos_siembra[[#This Row],[Date]])</f>
        <v>9</v>
      </c>
      <c r="T257" t="str" cm="1">
        <f t="array" ref="T257">_xlfn.IFS(AND(N257&lt;= 22, S257=9), "SOWING",AND(N257&lt;= 28, S257=9), "COVERAGE",AND(N257&lt;= 30, S257=9), "FLUSH",AND(N257&lt;= 11, S257=10), "FLUSH",AND(N257&lt;= 21, S257=10), "PRODUCTION")</f>
        <v>SOWING</v>
      </c>
      <c r="U257">
        <f>HOUR(datos_siembra[[#This Row],[Hour]])</f>
        <v>10</v>
      </c>
      <c r="V257" cm="1">
        <f t="array" ref="V257">_xlfn.IFS(AND(N257&lt;= 22, S257=9), N257-7,AND(N257&lt;= 28, S257=9), N257-25,AND(N257&lt;= 30, S257=9), N257-28,AND(N257&lt;= 11, S257=10), N257+2,AND(N257&lt;= 21, S257=10), N257-11)</f>
        <v>3</v>
      </c>
    </row>
    <row r="258" spans="1:22" x14ac:dyDescent="0.35">
      <c r="A258" s="4">
        <v>45545</v>
      </c>
      <c r="B258" s="5">
        <v>0.43577546296296299</v>
      </c>
      <c r="C258">
        <v>80.7</v>
      </c>
      <c r="D258">
        <v>83.9</v>
      </c>
      <c r="E258">
        <v>85.3</v>
      </c>
      <c r="F258">
        <v>80.400000000000006</v>
      </c>
      <c r="G258">
        <v>0</v>
      </c>
      <c r="H258">
        <v>0</v>
      </c>
      <c r="I258">
        <v>0</v>
      </c>
      <c r="J258">
        <v>0</v>
      </c>
      <c r="K258">
        <v>63.6</v>
      </c>
      <c r="L258">
        <v>62.4</v>
      </c>
      <c r="M258">
        <v>82.43</v>
      </c>
      <c r="N258">
        <v>10</v>
      </c>
      <c r="O258">
        <v>7</v>
      </c>
      <c r="P258">
        <f>MOD(DAY(datos_siembra[[#This Row],[Date]]),7)</f>
        <v>3</v>
      </c>
      <c r="Q258" t="str">
        <f>CHOOSE(WEEKDAY(datos_siembra[[#This Row],[Date]],2),"L","M","X","J","V","S","D")</f>
        <v>M</v>
      </c>
      <c r="R258">
        <f>WEEKNUM(datos_siembra[[#This Row],[Date]],2)-WEEKNUM(DATE(YEAR(datos_siembra[[#This Row],[Date]]),MONTH(datos_siembra[[#This Row],[Date]]),1))+1</f>
        <v>2</v>
      </c>
      <c r="S258">
        <f>MONTH(datos_siembra[[#This Row],[Date]])</f>
        <v>9</v>
      </c>
      <c r="T258" t="str" cm="1">
        <f t="array" ref="T258">_xlfn.IFS(AND(N258&lt;= 22, S258=9), "SOWING",AND(N258&lt;= 28, S258=9), "COVERAGE",AND(N258&lt;= 30, S258=9), "FLUSH",AND(N258&lt;= 11, S258=10), "FLUSH",AND(N258&lt;= 21, S258=10), "PRODUCTION")</f>
        <v>SOWING</v>
      </c>
      <c r="U258">
        <f>HOUR(datos_siembra[[#This Row],[Hour]])</f>
        <v>10</v>
      </c>
      <c r="V258" cm="1">
        <f t="array" ref="V258">_xlfn.IFS(AND(N258&lt;= 22, S258=9), N258-7,AND(N258&lt;= 28, S258=9), N258-25,AND(N258&lt;= 30, S258=9), N258-28,AND(N258&lt;= 11, S258=10), N258+2,AND(N258&lt;= 21, S258=10), N258-11)</f>
        <v>3</v>
      </c>
    </row>
    <row r="259" spans="1:22" x14ac:dyDescent="0.35">
      <c r="A259" s="4">
        <v>45545</v>
      </c>
      <c r="B259" s="5">
        <v>0.44271990740740741</v>
      </c>
      <c r="C259">
        <v>80.599999999999994</v>
      </c>
      <c r="D259">
        <v>83.5</v>
      </c>
      <c r="E259">
        <v>85.2</v>
      </c>
      <c r="F259">
        <v>80.3</v>
      </c>
      <c r="G259">
        <v>0</v>
      </c>
      <c r="H259">
        <v>0</v>
      </c>
      <c r="I259">
        <v>0</v>
      </c>
      <c r="J259">
        <v>0</v>
      </c>
      <c r="K259">
        <v>63.6</v>
      </c>
      <c r="L259">
        <v>62.4</v>
      </c>
      <c r="M259">
        <v>82.48</v>
      </c>
      <c r="N259">
        <v>10</v>
      </c>
      <c r="O259">
        <v>7</v>
      </c>
      <c r="P259">
        <f>MOD(DAY(datos_siembra[[#This Row],[Date]]),7)</f>
        <v>3</v>
      </c>
      <c r="Q259" t="str">
        <f>CHOOSE(WEEKDAY(datos_siembra[[#This Row],[Date]],2),"L","M","X","J","V","S","D")</f>
        <v>M</v>
      </c>
      <c r="R259">
        <f>WEEKNUM(datos_siembra[[#This Row],[Date]],2)-WEEKNUM(DATE(YEAR(datos_siembra[[#This Row],[Date]]),MONTH(datos_siembra[[#This Row],[Date]]),1))+1</f>
        <v>2</v>
      </c>
      <c r="S259">
        <f>MONTH(datos_siembra[[#This Row],[Date]])</f>
        <v>9</v>
      </c>
      <c r="T259" t="str" cm="1">
        <f t="array" ref="T259">_xlfn.IFS(AND(N259&lt;= 22, S259=9), "SOWING",AND(N259&lt;= 28, S259=9), "COVERAGE",AND(N259&lt;= 30, S259=9), "FLUSH",AND(N259&lt;= 11, S259=10), "FLUSH",AND(N259&lt;= 21, S259=10), "PRODUCTION")</f>
        <v>SOWING</v>
      </c>
      <c r="U259">
        <f>HOUR(datos_siembra[[#This Row],[Hour]])</f>
        <v>10</v>
      </c>
      <c r="V259" cm="1">
        <f t="array" ref="V259">_xlfn.IFS(AND(N259&lt;= 22, S259=9), N259-7,AND(N259&lt;= 28, S259=9), N259-25,AND(N259&lt;= 30, S259=9), N259-28,AND(N259&lt;= 11, S259=10), N259+2,AND(N259&lt;= 21, S259=10), N259-11)</f>
        <v>3</v>
      </c>
    </row>
    <row r="260" spans="1:22" x14ac:dyDescent="0.35">
      <c r="A260" s="4">
        <v>45545</v>
      </c>
      <c r="B260" s="5">
        <v>0.44966435185185183</v>
      </c>
      <c r="C260">
        <v>80.7</v>
      </c>
      <c r="D260">
        <v>83.8</v>
      </c>
      <c r="E260">
        <v>85.1</v>
      </c>
      <c r="F260">
        <v>80.5</v>
      </c>
      <c r="G260">
        <v>0</v>
      </c>
      <c r="H260">
        <v>0</v>
      </c>
      <c r="I260">
        <v>0</v>
      </c>
      <c r="J260">
        <v>0</v>
      </c>
      <c r="K260">
        <v>63.6</v>
      </c>
      <c r="L260">
        <v>62.4</v>
      </c>
      <c r="M260">
        <v>82.51</v>
      </c>
      <c r="N260">
        <v>10</v>
      </c>
      <c r="O260">
        <v>7</v>
      </c>
      <c r="P260">
        <f>MOD(DAY(datos_siembra[[#This Row],[Date]]),7)</f>
        <v>3</v>
      </c>
      <c r="Q260" t="str">
        <f>CHOOSE(WEEKDAY(datos_siembra[[#This Row],[Date]],2),"L","M","X","J","V","S","D")</f>
        <v>M</v>
      </c>
      <c r="R260">
        <f>WEEKNUM(datos_siembra[[#This Row],[Date]],2)-WEEKNUM(DATE(YEAR(datos_siembra[[#This Row],[Date]]),MONTH(datos_siembra[[#This Row],[Date]]),1))+1</f>
        <v>2</v>
      </c>
      <c r="S260">
        <f>MONTH(datos_siembra[[#This Row],[Date]])</f>
        <v>9</v>
      </c>
      <c r="T260" t="str" cm="1">
        <f t="array" ref="T260">_xlfn.IFS(AND(N260&lt;= 22, S260=9), "SOWING",AND(N260&lt;= 28, S260=9), "COVERAGE",AND(N260&lt;= 30, S260=9), "FLUSH",AND(N260&lt;= 11, S260=10), "FLUSH",AND(N260&lt;= 21, S260=10), "PRODUCTION")</f>
        <v>SOWING</v>
      </c>
      <c r="U260">
        <f>HOUR(datos_siembra[[#This Row],[Hour]])</f>
        <v>10</v>
      </c>
      <c r="V260" cm="1">
        <f t="array" ref="V260">_xlfn.IFS(AND(N260&lt;= 22, S260=9), N260-7,AND(N260&lt;= 28, S260=9), N260-25,AND(N260&lt;= 30, S260=9), N260-28,AND(N260&lt;= 11, S260=10), N260+2,AND(N260&lt;= 21, S260=10), N260-11)</f>
        <v>3</v>
      </c>
    </row>
    <row r="261" spans="1:22" x14ac:dyDescent="0.35">
      <c r="A261" s="4">
        <v>45545</v>
      </c>
      <c r="B261" s="5">
        <v>0.45662037037037034</v>
      </c>
      <c r="C261">
        <v>80.599999999999994</v>
      </c>
      <c r="D261">
        <v>83.6</v>
      </c>
      <c r="E261">
        <v>85.1</v>
      </c>
      <c r="F261">
        <v>80.3</v>
      </c>
      <c r="G261">
        <v>0</v>
      </c>
      <c r="H261">
        <v>0</v>
      </c>
      <c r="I261">
        <v>0</v>
      </c>
      <c r="J261">
        <v>0</v>
      </c>
      <c r="K261">
        <v>63.6</v>
      </c>
      <c r="L261">
        <v>62.4</v>
      </c>
      <c r="M261">
        <v>82.46</v>
      </c>
      <c r="N261">
        <v>10</v>
      </c>
      <c r="O261">
        <v>7</v>
      </c>
      <c r="P261">
        <f>MOD(DAY(datos_siembra[[#This Row],[Date]]),7)</f>
        <v>3</v>
      </c>
      <c r="Q261" t="str">
        <f>CHOOSE(WEEKDAY(datos_siembra[[#This Row],[Date]],2),"L","M","X","J","V","S","D")</f>
        <v>M</v>
      </c>
      <c r="R261">
        <f>WEEKNUM(datos_siembra[[#This Row],[Date]],2)-WEEKNUM(DATE(YEAR(datos_siembra[[#This Row],[Date]]),MONTH(datos_siembra[[#This Row],[Date]]),1))+1</f>
        <v>2</v>
      </c>
      <c r="S261">
        <f>MONTH(datos_siembra[[#This Row],[Date]])</f>
        <v>9</v>
      </c>
      <c r="T261" t="str" cm="1">
        <f t="array" ref="T261">_xlfn.IFS(AND(N261&lt;= 22, S261=9), "SOWING",AND(N261&lt;= 28, S261=9), "COVERAGE",AND(N261&lt;= 30, S261=9), "FLUSH",AND(N261&lt;= 11, S261=10), "FLUSH",AND(N261&lt;= 21, S261=10), "PRODUCTION")</f>
        <v>SOWING</v>
      </c>
      <c r="U261">
        <f>HOUR(datos_siembra[[#This Row],[Hour]])</f>
        <v>10</v>
      </c>
      <c r="V261" cm="1">
        <f t="array" ref="V261">_xlfn.IFS(AND(N261&lt;= 22, S261=9), N261-7,AND(N261&lt;= 28, S261=9), N261-25,AND(N261&lt;= 30, S261=9), N261-28,AND(N261&lt;= 11, S261=10), N261+2,AND(N261&lt;= 21, S261=10), N261-11)</f>
        <v>3</v>
      </c>
    </row>
    <row r="262" spans="1:22" x14ac:dyDescent="0.35">
      <c r="A262" s="4">
        <v>45545</v>
      </c>
      <c r="B262" s="5">
        <v>0.46356481481481482</v>
      </c>
      <c r="C262">
        <v>80.599999999999994</v>
      </c>
      <c r="D262">
        <v>83.5</v>
      </c>
      <c r="E262">
        <v>85.3</v>
      </c>
      <c r="F262">
        <v>80.099999999999994</v>
      </c>
      <c r="G262">
        <v>0</v>
      </c>
      <c r="H262">
        <v>0</v>
      </c>
      <c r="I262">
        <v>0</v>
      </c>
      <c r="J262">
        <v>0</v>
      </c>
      <c r="K262">
        <v>63.6</v>
      </c>
      <c r="L262">
        <v>62.4</v>
      </c>
      <c r="M262">
        <v>82.51</v>
      </c>
      <c r="N262">
        <v>10</v>
      </c>
      <c r="O262">
        <v>7</v>
      </c>
      <c r="P262">
        <f>MOD(DAY(datos_siembra[[#This Row],[Date]]),7)</f>
        <v>3</v>
      </c>
      <c r="Q262" t="str">
        <f>CHOOSE(WEEKDAY(datos_siembra[[#This Row],[Date]],2),"L","M","X","J","V","S","D")</f>
        <v>M</v>
      </c>
      <c r="R262">
        <f>WEEKNUM(datos_siembra[[#This Row],[Date]],2)-WEEKNUM(DATE(YEAR(datos_siembra[[#This Row],[Date]]),MONTH(datos_siembra[[#This Row],[Date]]),1))+1</f>
        <v>2</v>
      </c>
      <c r="S262">
        <f>MONTH(datos_siembra[[#This Row],[Date]])</f>
        <v>9</v>
      </c>
      <c r="T262" t="str" cm="1">
        <f t="array" ref="T262">_xlfn.IFS(AND(N262&lt;= 22, S262=9), "SOWING",AND(N262&lt;= 28, S262=9), "COVERAGE",AND(N262&lt;= 30, S262=9), "FLUSH",AND(N262&lt;= 11, S262=10), "FLUSH",AND(N262&lt;= 21, S262=10), "PRODUCTION")</f>
        <v>SOWING</v>
      </c>
      <c r="U262">
        <f>HOUR(datos_siembra[[#This Row],[Hour]])</f>
        <v>11</v>
      </c>
      <c r="V262" cm="1">
        <f t="array" ref="V262">_xlfn.IFS(AND(N262&lt;= 22, S262=9), N262-7,AND(N262&lt;= 28, S262=9), N262-25,AND(N262&lt;= 30, S262=9), N262-28,AND(N262&lt;= 11, S262=10), N262+2,AND(N262&lt;= 21, S262=10), N262-11)</f>
        <v>3</v>
      </c>
    </row>
    <row r="263" spans="1:22" x14ac:dyDescent="0.35">
      <c r="A263" s="4">
        <v>45545</v>
      </c>
      <c r="B263" s="5">
        <v>0.47050925925925924</v>
      </c>
      <c r="C263">
        <v>80.5</v>
      </c>
      <c r="D263">
        <v>83.6</v>
      </c>
      <c r="E263">
        <v>85.3</v>
      </c>
      <c r="F263">
        <v>80.3</v>
      </c>
      <c r="G263">
        <v>0</v>
      </c>
      <c r="H263">
        <v>0</v>
      </c>
      <c r="I263">
        <v>0</v>
      </c>
      <c r="J263">
        <v>0</v>
      </c>
      <c r="K263">
        <v>63.5</v>
      </c>
      <c r="L263">
        <v>62.4</v>
      </c>
      <c r="M263">
        <v>82.54</v>
      </c>
      <c r="N263">
        <v>10</v>
      </c>
      <c r="O263">
        <v>7</v>
      </c>
      <c r="P263">
        <f>MOD(DAY(datos_siembra[[#This Row],[Date]]),7)</f>
        <v>3</v>
      </c>
      <c r="Q263" t="str">
        <f>CHOOSE(WEEKDAY(datos_siembra[[#This Row],[Date]],2),"L","M","X","J","V","S","D")</f>
        <v>M</v>
      </c>
      <c r="R263">
        <f>WEEKNUM(datos_siembra[[#This Row],[Date]],2)-WEEKNUM(DATE(YEAR(datos_siembra[[#This Row],[Date]]),MONTH(datos_siembra[[#This Row],[Date]]),1))+1</f>
        <v>2</v>
      </c>
      <c r="S263">
        <f>MONTH(datos_siembra[[#This Row],[Date]])</f>
        <v>9</v>
      </c>
      <c r="T263" t="str" cm="1">
        <f t="array" ref="T263">_xlfn.IFS(AND(N263&lt;= 22, S263=9), "SOWING",AND(N263&lt;= 28, S263=9), "COVERAGE",AND(N263&lt;= 30, S263=9), "FLUSH",AND(N263&lt;= 11, S263=10), "FLUSH",AND(N263&lt;= 21, S263=10), "PRODUCTION")</f>
        <v>SOWING</v>
      </c>
      <c r="U263">
        <f>HOUR(datos_siembra[[#This Row],[Hour]])</f>
        <v>11</v>
      </c>
      <c r="V263" cm="1">
        <f t="array" ref="V263">_xlfn.IFS(AND(N263&lt;= 22, S263=9), N263-7,AND(N263&lt;= 28, S263=9), N263-25,AND(N263&lt;= 30, S263=9), N263-28,AND(N263&lt;= 11, S263=10), N263+2,AND(N263&lt;= 21, S263=10), N263-11)</f>
        <v>3</v>
      </c>
    </row>
    <row r="264" spans="1:22" x14ac:dyDescent="0.35">
      <c r="A264" s="4">
        <v>45545</v>
      </c>
      <c r="B264" s="5">
        <v>0.47746527777777775</v>
      </c>
      <c r="C264">
        <v>80.7</v>
      </c>
      <c r="D264">
        <v>83.6</v>
      </c>
      <c r="E264">
        <v>85.6</v>
      </c>
      <c r="F264">
        <v>80.5</v>
      </c>
      <c r="G264">
        <v>0</v>
      </c>
      <c r="H264">
        <v>0</v>
      </c>
      <c r="I264">
        <v>0</v>
      </c>
      <c r="J264">
        <v>0</v>
      </c>
      <c r="K264">
        <v>63.5</v>
      </c>
      <c r="L264">
        <v>62.4</v>
      </c>
      <c r="M264">
        <v>82.54</v>
      </c>
      <c r="N264">
        <v>10</v>
      </c>
      <c r="O264">
        <v>7</v>
      </c>
      <c r="P264">
        <f>MOD(DAY(datos_siembra[[#This Row],[Date]]),7)</f>
        <v>3</v>
      </c>
      <c r="Q264" t="str">
        <f>CHOOSE(WEEKDAY(datos_siembra[[#This Row],[Date]],2),"L","M","X","J","V","S","D")</f>
        <v>M</v>
      </c>
      <c r="R264">
        <f>WEEKNUM(datos_siembra[[#This Row],[Date]],2)-WEEKNUM(DATE(YEAR(datos_siembra[[#This Row],[Date]]),MONTH(datos_siembra[[#This Row],[Date]]),1))+1</f>
        <v>2</v>
      </c>
      <c r="S264">
        <f>MONTH(datos_siembra[[#This Row],[Date]])</f>
        <v>9</v>
      </c>
      <c r="T264" t="str" cm="1">
        <f t="array" ref="T264">_xlfn.IFS(AND(N264&lt;= 22, S264=9), "SOWING",AND(N264&lt;= 28, S264=9), "COVERAGE",AND(N264&lt;= 30, S264=9), "FLUSH",AND(N264&lt;= 11, S264=10), "FLUSH",AND(N264&lt;= 21, S264=10), "PRODUCTION")</f>
        <v>SOWING</v>
      </c>
      <c r="U264">
        <f>HOUR(datos_siembra[[#This Row],[Hour]])</f>
        <v>11</v>
      </c>
      <c r="V264" cm="1">
        <f t="array" ref="V264">_xlfn.IFS(AND(N264&lt;= 22, S264=9), N264-7,AND(N264&lt;= 28, S264=9), N264-25,AND(N264&lt;= 30, S264=9), N264-28,AND(N264&lt;= 11, S264=10), N264+2,AND(N264&lt;= 21, S264=10), N264-11)</f>
        <v>3</v>
      </c>
    </row>
    <row r="265" spans="1:22" x14ac:dyDescent="0.35">
      <c r="A265" s="4">
        <v>45545</v>
      </c>
      <c r="B265" s="5">
        <v>0.48440972222222223</v>
      </c>
      <c r="C265">
        <v>80.5</v>
      </c>
      <c r="D265">
        <v>83.5</v>
      </c>
      <c r="E265">
        <v>85.8</v>
      </c>
      <c r="F265">
        <v>80.400000000000006</v>
      </c>
      <c r="G265">
        <v>0</v>
      </c>
      <c r="H265">
        <v>0</v>
      </c>
      <c r="I265">
        <v>0</v>
      </c>
      <c r="J265">
        <v>0</v>
      </c>
      <c r="K265">
        <v>63.7</v>
      </c>
      <c r="L265">
        <v>62.5</v>
      </c>
      <c r="M265">
        <v>82.54</v>
      </c>
      <c r="N265">
        <v>10</v>
      </c>
      <c r="O265">
        <v>7</v>
      </c>
      <c r="P265">
        <f>MOD(DAY(datos_siembra[[#This Row],[Date]]),7)</f>
        <v>3</v>
      </c>
      <c r="Q265" t="str">
        <f>CHOOSE(WEEKDAY(datos_siembra[[#This Row],[Date]],2),"L","M","X","J","V","S","D")</f>
        <v>M</v>
      </c>
      <c r="R265">
        <f>WEEKNUM(datos_siembra[[#This Row],[Date]],2)-WEEKNUM(DATE(YEAR(datos_siembra[[#This Row],[Date]]),MONTH(datos_siembra[[#This Row],[Date]]),1))+1</f>
        <v>2</v>
      </c>
      <c r="S265">
        <f>MONTH(datos_siembra[[#This Row],[Date]])</f>
        <v>9</v>
      </c>
      <c r="T265" t="str" cm="1">
        <f t="array" ref="T265">_xlfn.IFS(AND(N265&lt;= 22, S265=9), "SOWING",AND(N265&lt;= 28, S265=9), "COVERAGE",AND(N265&lt;= 30, S265=9), "FLUSH",AND(N265&lt;= 11, S265=10), "FLUSH",AND(N265&lt;= 21, S265=10), "PRODUCTION")</f>
        <v>SOWING</v>
      </c>
      <c r="U265">
        <f>HOUR(datos_siembra[[#This Row],[Hour]])</f>
        <v>11</v>
      </c>
      <c r="V265" cm="1">
        <f t="array" ref="V265">_xlfn.IFS(AND(N265&lt;= 22, S265=9), N265-7,AND(N265&lt;= 28, S265=9), N265-25,AND(N265&lt;= 30, S265=9), N265-28,AND(N265&lt;= 11, S265=10), N265+2,AND(N265&lt;= 21, S265=10), N265-11)</f>
        <v>3</v>
      </c>
    </row>
    <row r="266" spans="1:22" x14ac:dyDescent="0.35">
      <c r="A266" s="4">
        <v>45545</v>
      </c>
      <c r="B266" s="5">
        <v>0.49135416666666665</v>
      </c>
      <c r="C266">
        <v>80.7</v>
      </c>
      <c r="D266">
        <v>83.5</v>
      </c>
      <c r="E266">
        <v>85.9</v>
      </c>
      <c r="F266">
        <v>80.400000000000006</v>
      </c>
      <c r="G266">
        <v>0</v>
      </c>
      <c r="H266">
        <v>0</v>
      </c>
      <c r="I266">
        <v>0</v>
      </c>
      <c r="J266">
        <v>0</v>
      </c>
      <c r="K266">
        <v>63.7</v>
      </c>
      <c r="L266">
        <v>62.4</v>
      </c>
      <c r="M266">
        <v>82.62</v>
      </c>
      <c r="N266">
        <v>10</v>
      </c>
      <c r="O266">
        <v>7</v>
      </c>
      <c r="P266">
        <f>MOD(DAY(datos_siembra[[#This Row],[Date]]),7)</f>
        <v>3</v>
      </c>
      <c r="Q266" t="str">
        <f>CHOOSE(WEEKDAY(datos_siembra[[#This Row],[Date]],2),"L","M","X","J","V","S","D")</f>
        <v>M</v>
      </c>
      <c r="R266">
        <f>WEEKNUM(datos_siembra[[#This Row],[Date]],2)-WEEKNUM(DATE(YEAR(datos_siembra[[#This Row],[Date]]),MONTH(datos_siembra[[#This Row],[Date]]),1))+1</f>
        <v>2</v>
      </c>
      <c r="S266">
        <f>MONTH(datos_siembra[[#This Row],[Date]])</f>
        <v>9</v>
      </c>
      <c r="T266" t="str" cm="1">
        <f t="array" ref="T266">_xlfn.IFS(AND(N266&lt;= 22, S266=9), "SOWING",AND(N266&lt;= 28, S266=9), "COVERAGE",AND(N266&lt;= 30, S266=9), "FLUSH",AND(N266&lt;= 11, S266=10), "FLUSH",AND(N266&lt;= 21, S266=10), "PRODUCTION")</f>
        <v>SOWING</v>
      </c>
      <c r="U266">
        <f>HOUR(datos_siembra[[#This Row],[Hour]])</f>
        <v>11</v>
      </c>
      <c r="V266" cm="1">
        <f t="array" ref="V266">_xlfn.IFS(AND(N266&lt;= 22, S266=9), N266-7,AND(N266&lt;= 28, S266=9), N266-25,AND(N266&lt;= 30, S266=9), N266-28,AND(N266&lt;= 11, S266=10), N266+2,AND(N266&lt;= 21, S266=10), N266-11)</f>
        <v>3</v>
      </c>
    </row>
    <row r="267" spans="1:22" x14ac:dyDescent="0.35">
      <c r="A267" s="4">
        <v>45545</v>
      </c>
      <c r="B267" s="5">
        <v>0.49829861111111112</v>
      </c>
      <c r="C267">
        <v>80.599999999999994</v>
      </c>
      <c r="D267">
        <v>83.3</v>
      </c>
      <c r="E267">
        <v>86.1</v>
      </c>
      <c r="F267">
        <v>80.3</v>
      </c>
      <c r="G267">
        <v>0</v>
      </c>
      <c r="H267">
        <v>0</v>
      </c>
      <c r="I267">
        <v>0</v>
      </c>
      <c r="J267">
        <v>0</v>
      </c>
      <c r="K267">
        <v>63.7</v>
      </c>
      <c r="L267">
        <v>62.5</v>
      </c>
      <c r="M267">
        <v>82.54</v>
      </c>
      <c r="N267">
        <v>10</v>
      </c>
      <c r="O267">
        <v>7</v>
      </c>
      <c r="P267">
        <f>MOD(DAY(datos_siembra[[#This Row],[Date]]),7)</f>
        <v>3</v>
      </c>
      <c r="Q267" t="str">
        <f>CHOOSE(WEEKDAY(datos_siembra[[#This Row],[Date]],2),"L","M","X","J","V","S","D")</f>
        <v>M</v>
      </c>
      <c r="R267">
        <f>WEEKNUM(datos_siembra[[#This Row],[Date]],2)-WEEKNUM(DATE(YEAR(datos_siembra[[#This Row],[Date]]),MONTH(datos_siembra[[#This Row],[Date]]),1))+1</f>
        <v>2</v>
      </c>
      <c r="S267">
        <f>MONTH(datos_siembra[[#This Row],[Date]])</f>
        <v>9</v>
      </c>
      <c r="T267" t="str" cm="1">
        <f t="array" ref="T267">_xlfn.IFS(AND(N267&lt;= 22, S267=9), "SOWING",AND(N267&lt;= 28, S267=9), "COVERAGE",AND(N267&lt;= 30, S267=9), "FLUSH",AND(N267&lt;= 11, S267=10), "FLUSH",AND(N267&lt;= 21, S267=10), "PRODUCTION")</f>
        <v>SOWING</v>
      </c>
      <c r="U267">
        <f>HOUR(datos_siembra[[#This Row],[Hour]])</f>
        <v>11</v>
      </c>
      <c r="V267" cm="1">
        <f t="array" ref="V267">_xlfn.IFS(AND(N267&lt;= 22, S267=9), N267-7,AND(N267&lt;= 28, S267=9), N267-25,AND(N267&lt;= 30, S267=9), N267-28,AND(N267&lt;= 11, S267=10), N267+2,AND(N267&lt;= 21, S267=10), N267-11)</f>
        <v>3</v>
      </c>
    </row>
    <row r="268" spans="1:22" x14ac:dyDescent="0.35">
      <c r="A268" s="4">
        <v>45545</v>
      </c>
      <c r="B268" s="5">
        <v>0.50525462962962964</v>
      </c>
      <c r="C268">
        <v>80.599999999999994</v>
      </c>
      <c r="D268">
        <v>83.5</v>
      </c>
      <c r="E268">
        <v>86.1</v>
      </c>
      <c r="F268">
        <v>80.400000000000006</v>
      </c>
      <c r="G268">
        <v>0</v>
      </c>
      <c r="H268">
        <v>0</v>
      </c>
      <c r="I268">
        <v>0</v>
      </c>
      <c r="J268">
        <v>0</v>
      </c>
      <c r="K268">
        <v>63.6</v>
      </c>
      <c r="L268">
        <v>62.5</v>
      </c>
      <c r="M268">
        <v>82.65</v>
      </c>
      <c r="N268">
        <v>10</v>
      </c>
      <c r="O268">
        <v>7</v>
      </c>
      <c r="P268">
        <f>MOD(DAY(datos_siembra[[#This Row],[Date]]),7)</f>
        <v>3</v>
      </c>
      <c r="Q268" t="str">
        <f>CHOOSE(WEEKDAY(datos_siembra[[#This Row],[Date]],2),"L","M","X","J","V","S","D")</f>
        <v>M</v>
      </c>
      <c r="R268">
        <f>WEEKNUM(datos_siembra[[#This Row],[Date]],2)-WEEKNUM(DATE(YEAR(datos_siembra[[#This Row],[Date]]),MONTH(datos_siembra[[#This Row],[Date]]),1))+1</f>
        <v>2</v>
      </c>
      <c r="S268">
        <f>MONTH(datos_siembra[[#This Row],[Date]])</f>
        <v>9</v>
      </c>
      <c r="T268" t="str" cm="1">
        <f t="array" ref="T268">_xlfn.IFS(AND(N268&lt;= 22, S268=9), "SOWING",AND(N268&lt;= 28, S268=9), "COVERAGE",AND(N268&lt;= 30, S268=9), "FLUSH",AND(N268&lt;= 11, S268=10), "FLUSH",AND(N268&lt;= 21, S268=10), "PRODUCTION")</f>
        <v>SOWING</v>
      </c>
      <c r="U268">
        <f>HOUR(datos_siembra[[#This Row],[Hour]])</f>
        <v>12</v>
      </c>
      <c r="V268" cm="1">
        <f t="array" ref="V268">_xlfn.IFS(AND(N268&lt;= 22, S268=9), N268-7,AND(N268&lt;= 28, S268=9), N268-25,AND(N268&lt;= 30, S268=9), N268-28,AND(N268&lt;= 11, S268=10), N268+2,AND(N268&lt;= 21, S268=10), N268-11)</f>
        <v>3</v>
      </c>
    </row>
    <row r="269" spans="1:22" x14ac:dyDescent="0.35">
      <c r="A269" s="4">
        <v>45545</v>
      </c>
      <c r="B269" s="5">
        <v>0.51219907407407406</v>
      </c>
      <c r="C269">
        <v>80.599999999999994</v>
      </c>
      <c r="D269">
        <v>83.6</v>
      </c>
      <c r="E269">
        <v>86.2</v>
      </c>
      <c r="F269">
        <v>80.3</v>
      </c>
      <c r="G269">
        <v>0</v>
      </c>
      <c r="H269">
        <v>0</v>
      </c>
      <c r="I269">
        <v>0</v>
      </c>
      <c r="J269">
        <v>0</v>
      </c>
      <c r="K269">
        <v>63.5</v>
      </c>
      <c r="L269">
        <v>62.4</v>
      </c>
      <c r="M269">
        <v>82.68</v>
      </c>
      <c r="N269">
        <v>10</v>
      </c>
      <c r="O269">
        <v>7</v>
      </c>
      <c r="P269">
        <f>MOD(DAY(datos_siembra[[#This Row],[Date]]),7)</f>
        <v>3</v>
      </c>
      <c r="Q269" t="str">
        <f>CHOOSE(WEEKDAY(datos_siembra[[#This Row],[Date]],2),"L","M","X","J","V","S","D")</f>
        <v>M</v>
      </c>
      <c r="R269">
        <f>WEEKNUM(datos_siembra[[#This Row],[Date]],2)-WEEKNUM(DATE(YEAR(datos_siembra[[#This Row],[Date]]),MONTH(datos_siembra[[#This Row],[Date]]),1))+1</f>
        <v>2</v>
      </c>
      <c r="S269">
        <f>MONTH(datos_siembra[[#This Row],[Date]])</f>
        <v>9</v>
      </c>
      <c r="T269" t="str" cm="1">
        <f t="array" ref="T269">_xlfn.IFS(AND(N269&lt;= 22, S269=9), "SOWING",AND(N269&lt;= 28, S269=9), "COVERAGE",AND(N269&lt;= 30, S269=9), "FLUSH",AND(N269&lt;= 11, S269=10), "FLUSH",AND(N269&lt;= 21, S269=10), "PRODUCTION")</f>
        <v>SOWING</v>
      </c>
      <c r="U269">
        <f>HOUR(datos_siembra[[#This Row],[Hour]])</f>
        <v>12</v>
      </c>
      <c r="V269" cm="1">
        <f t="array" ref="V269">_xlfn.IFS(AND(N269&lt;= 22, S269=9), N269-7,AND(N269&lt;= 28, S269=9), N269-25,AND(N269&lt;= 30, S269=9), N269-28,AND(N269&lt;= 11, S269=10), N269+2,AND(N269&lt;= 21, S269=10), N269-11)</f>
        <v>3</v>
      </c>
    </row>
    <row r="270" spans="1:22" x14ac:dyDescent="0.35">
      <c r="A270" s="4">
        <v>45545</v>
      </c>
      <c r="B270" s="5">
        <v>0.51914351851851848</v>
      </c>
      <c r="C270">
        <v>80.5</v>
      </c>
      <c r="D270">
        <v>84</v>
      </c>
      <c r="E270">
        <v>86.3</v>
      </c>
      <c r="F270">
        <v>80.3</v>
      </c>
      <c r="G270">
        <v>0</v>
      </c>
      <c r="H270">
        <v>0</v>
      </c>
      <c r="I270">
        <v>0</v>
      </c>
      <c r="J270">
        <v>0</v>
      </c>
      <c r="K270">
        <v>63.5</v>
      </c>
      <c r="L270">
        <v>62.3</v>
      </c>
      <c r="M270">
        <v>82.71</v>
      </c>
      <c r="N270">
        <v>10</v>
      </c>
      <c r="O270">
        <v>7</v>
      </c>
      <c r="P270">
        <f>MOD(DAY(datos_siembra[[#This Row],[Date]]),7)</f>
        <v>3</v>
      </c>
      <c r="Q270" t="str">
        <f>CHOOSE(WEEKDAY(datos_siembra[[#This Row],[Date]],2),"L","M","X","J","V","S","D")</f>
        <v>M</v>
      </c>
      <c r="R270">
        <f>WEEKNUM(datos_siembra[[#This Row],[Date]],2)-WEEKNUM(DATE(YEAR(datos_siembra[[#This Row],[Date]]),MONTH(datos_siembra[[#This Row],[Date]]),1))+1</f>
        <v>2</v>
      </c>
      <c r="S270">
        <f>MONTH(datos_siembra[[#This Row],[Date]])</f>
        <v>9</v>
      </c>
      <c r="T270" t="str" cm="1">
        <f t="array" ref="T270">_xlfn.IFS(AND(N270&lt;= 22, S270=9), "SOWING",AND(N270&lt;= 28, S270=9), "COVERAGE",AND(N270&lt;= 30, S270=9), "FLUSH",AND(N270&lt;= 11, S270=10), "FLUSH",AND(N270&lt;= 21, S270=10), "PRODUCTION")</f>
        <v>SOWING</v>
      </c>
      <c r="U270">
        <f>HOUR(datos_siembra[[#This Row],[Hour]])</f>
        <v>12</v>
      </c>
      <c r="V270" cm="1">
        <f t="array" ref="V270">_xlfn.IFS(AND(N270&lt;= 22, S270=9), N270-7,AND(N270&lt;= 28, S270=9), N270-25,AND(N270&lt;= 30, S270=9), N270-28,AND(N270&lt;= 11, S270=10), N270+2,AND(N270&lt;= 21, S270=10), N270-11)</f>
        <v>3</v>
      </c>
    </row>
    <row r="271" spans="1:22" x14ac:dyDescent="0.35">
      <c r="A271" s="4">
        <v>45545</v>
      </c>
      <c r="B271" s="5">
        <v>0.52609953703703705</v>
      </c>
      <c r="C271">
        <v>80.400000000000006</v>
      </c>
      <c r="D271">
        <v>84.2</v>
      </c>
      <c r="E271">
        <v>86.3</v>
      </c>
      <c r="F271">
        <v>80.400000000000006</v>
      </c>
      <c r="G271">
        <v>0</v>
      </c>
      <c r="H271">
        <v>0</v>
      </c>
      <c r="I271">
        <v>0</v>
      </c>
      <c r="J271">
        <v>0</v>
      </c>
      <c r="K271">
        <v>63.5</v>
      </c>
      <c r="L271">
        <v>62.4</v>
      </c>
      <c r="M271">
        <v>82.85</v>
      </c>
      <c r="N271">
        <v>10</v>
      </c>
      <c r="O271">
        <v>7</v>
      </c>
      <c r="P271">
        <f>MOD(DAY(datos_siembra[[#This Row],[Date]]),7)</f>
        <v>3</v>
      </c>
      <c r="Q271" t="str">
        <f>CHOOSE(WEEKDAY(datos_siembra[[#This Row],[Date]],2),"L","M","X","J","V","S","D")</f>
        <v>M</v>
      </c>
      <c r="R271">
        <f>WEEKNUM(datos_siembra[[#This Row],[Date]],2)-WEEKNUM(DATE(YEAR(datos_siembra[[#This Row],[Date]]),MONTH(datos_siembra[[#This Row],[Date]]),1))+1</f>
        <v>2</v>
      </c>
      <c r="S271">
        <f>MONTH(datos_siembra[[#This Row],[Date]])</f>
        <v>9</v>
      </c>
      <c r="T271" t="str" cm="1">
        <f t="array" ref="T271">_xlfn.IFS(AND(N271&lt;= 22, S271=9), "SOWING",AND(N271&lt;= 28, S271=9), "COVERAGE",AND(N271&lt;= 30, S271=9), "FLUSH",AND(N271&lt;= 11, S271=10), "FLUSH",AND(N271&lt;= 21, S271=10), "PRODUCTION")</f>
        <v>SOWING</v>
      </c>
      <c r="U271">
        <f>HOUR(datos_siembra[[#This Row],[Hour]])</f>
        <v>12</v>
      </c>
      <c r="V271" cm="1">
        <f t="array" ref="V271">_xlfn.IFS(AND(N271&lt;= 22, S271=9), N271-7,AND(N271&lt;= 28, S271=9), N271-25,AND(N271&lt;= 30, S271=9), N271-28,AND(N271&lt;= 11, S271=10), N271+2,AND(N271&lt;= 21, S271=10), N271-11)</f>
        <v>3</v>
      </c>
    </row>
    <row r="272" spans="1:22" x14ac:dyDescent="0.35">
      <c r="A272" s="4">
        <v>45545</v>
      </c>
      <c r="B272" s="5">
        <v>0.53304398148148147</v>
      </c>
      <c r="C272">
        <v>80.5</v>
      </c>
      <c r="D272">
        <v>84.8</v>
      </c>
      <c r="E272">
        <v>86.2</v>
      </c>
      <c r="F272">
        <v>80.400000000000006</v>
      </c>
      <c r="G272">
        <v>0</v>
      </c>
      <c r="H272">
        <v>0</v>
      </c>
      <c r="I272">
        <v>0</v>
      </c>
      <c r="J272">
        <v>0</v>
      </c>
      <c r="K272">
        <v>63.7</v>
      </c>
      <c r="L272">
        <v>62.5</v>
      </c>
      <c r="M272">
        <v>82.99</v>
      </c>
      <c r="N272">
        <v>10</v>
      </c>
      <c r="O272">
        <v>7</v>
      </c>
      <c r="P272">
        <f>MOD(DAY(datos_siembra[[#This Row],[Date]]),7)</f>
        <v>3</v>
      </c>
      <c r="Q272" t="str">
        <f>CHOOSE(WEEKDAY(datos_siembra[[#This Row],[Date]],2),"L","M","X","J","V","S","D")</f>
        <v>M</v>
      </c>
      <c r="R272">
        <f>WEEKNUM(datos_siembra[[#This Row],[Date]],2)-WEEKNUM(DATE(YEAR(datos_siembra[[#This Row],[Date]]),MONTH(datos_siembra[[#This Row],[Date]]),1))+1</f>
        <v>2</v>
      </c>
      <c r="S272">
        <f>MONTH(datos_siembra[[#This Row],[Date]])</f>
        <v>9</v>
      </c>
      <c r="T272" t="str" cm="1">
        <f t="array" ref="T272">_xlfn.IFS(AND(N272&lt;= 22, S272=9), "SOWING",AND(N272&lt;= 28, S272=9), "COVERAGE",AND(N272&lt;= 30, S272=9), "FLUSH",AND(N272&lt;= 11, S272=10), "FLUSH",AND(N272&lt;= 21, S272=10), "PRODUCTION")</f>
        <v>SOWING</v>
      </c>
      <c r="U272">
        <f>HOUR(datos_siembra[[#This Row],[Hour]])</f>
        <v>12</v>
      </c>
      <c r="V272" cm="1">
        <f t="array" ref="V272">_xlfn.IFS(AND(N272&lt;= 22, S272=9), N272-7,AND(N272&lt;= 28, S272=9), N272-25,AND(N272&lt;= 30, S272=9), N272-28,AND(N272&lt;= 11, S272=10), N272+2,AND(N272&lt;= 21, S272=10), N272-11)</f>
        <v>3</v>
      </c>
    </row>
    <row r="273" spans="1:22" x14ac:dyDescent="0.35">
      <c r="A273" s="4">
        <v>45545</v>
      </c>
      <c r="B273" s="5">
        <v>0.53998842592592589</v>
      </c>
      <c r="C273">
        <v>80.599999999999994</v>
      </c>
      <c r="D273">
        <v>85</v>
      </c>
      <c r="E273">
        <v>86.3</v>
      </c>
      <c r="F273">
        <v>80.5</v>
      </c>
      <c r="G273">
        <v>0</v>
      </c>
      <c r="H273">
        <v>0</v>
      </c>
      <c r="I273">
        <v>0</v>
      </c>
      <c r="J273">
        <v>0</v>
      </c>
      <c r="K273">
        <v>63.6</v>
      </c>
      <c r="L273">
        <v>62.3</v>
      </c>
      <c r="M273">
        <v>83.05</v>
      </c>
      <c r="N273">
        <v>10</v>
      </c>
      <c r="O273">
        <v>7</v>
      </c>
      <c r="P273">
        <f>MOD(DAY(datos_siembra[[#This Row],[Date]]),7)</f>
        <v>3</v>
      </c>
      <c r="Q273" t="str">
        <f>CHOOSE(WEEKDAY(datos_siembra[[#This Row],[Date]],2),"L","M","X","J","V","S","D")</f>
        <v>M</v>
      </c>
      <c r="R273">
        <f>WEEKNUM(datos_siembra[[#This Row],[Date]],2)-WEEKNUM(DATE(YEAR(datos_siembra[[#This Row],[Date]]),MONTH(datos_siembra[[#This Row],[Date]]),1))+1</f>
        <v>2</v>
      </c>
      <c r="S273">
        <f>MONTH(datos_siembra[[#This Row],[Date]])</f>
        <v>9</v>
      </c>
      <c r="T273" t="str" cm="1">
        <f t="array" ref="T273">_xlfn.IFS(AND(N273&lt;= 22, S273=9), "SOWING",AND(N273&lt;= 28, S273=9), "COVERAGE",AND(N273&lt;= 30, S273=9), "FLUSH",AND(N273&lt;= 11, S273=10), "FLUSH",AND(N273&lt;= 21, S273=10), "PRODUCTION")</f>
        <v>SOWING</v>
      </c>
      <c r="U273">
        <f>HOUR(datos_siembra[[#This Row],[Hour]])</f>
        <v>12</v>
      </c>
      <c r="V273" cm="1">
        <f t="array" ref="V273">_xlfn.IFS(AND(N273&lt;= 22, S273=9), N273-7,AND(N273&lt;= 28, S273=9), N273-25,AND(N273&lt;= 30, S273=9), N273-28,AND(N273&lt;= 11, S273=10), N273+2,AND(N273&lt;= 21, S273=10), N273-11)</f>
        <v>3</v>
      </c>
    </row>
    <row r="274" spans="1:22" x14ac:dyDescent="0.35">
      <c r="A274" s="4">
        <v>45545</v>
      </c>
      <c r="B274" s="5">
        <v>0.54693287037037042</v>
      </c>
      <c r="C274">
        <v>80.900000000000006</v>
      </c>
      <c r="D274">
        <v>84.8</v>
      </c>
      <c r="E274">
        <v>86.3</v>
      </c>
      <c r="F274">
        <v>80.400000000000006</v>
      </c>
      <c r="G274">
        <v>0</v>
      </c>
      <c r="H274">
        <v>0</v>
      </c>
      <c r="I274">
        <v>0</v>
      </c>
      <c r="J274">
        <v>0</v>
      </c>
      <c r="K274">
        <v>63.4</v>
      </c>
      <c r="L274">
        <v>62.2</v>
      </c>
      <c r="M274">
        <v>83.05</v>
      </c>
      <c r="N274">
        <v>10</v>
      </c>
      <c r="O274">
        <v>7</v>
      </c>
      <c r="P274">
        <f>MOD(DAY(datos_siembra[[#This Row],[Date]]),7)</f>
        <v>3</v>
      </c>
      <c r="Q274" t="str">
        <f>CHOOSE(WEEKDAY(datos_siembra[[#This Row],[Date]],2),"L","M","X","J","V","S","D")</f>
        <v>M</v>
      </c>
      <c r="R274">
        <f>WEEKNUM(datos_siembra[[#This Row],[Date]],2)-WEEKNUM(DATE(YEAR(datos_siembra[[#This Row],[Date]]),MONTH(datos_siembra[[#This Row],[Date]]),1))+1</f>
        <v>2</v>
      </c>
      <c r="S274">
        <f>MONTH(datos_siembra[[#This Row],[Date]])</f>
        <v>9</v>
      </c>
      <c r="T274" t="str" cm="1">
        <f t="array" ref="T274">_xlfn.IFS(AND(N274&lt;= 22, S274=9), "SOWING",AND(N274&lt;= 28, S274=9), "COVERAGE",AND(N274&lt;= 30, S274=9), "FLUSH",AND(N274&lt;= 11, S274=10), "FLUSH",AND(N274&lt;= 21, S274=10), "PRODUCTION")</f>
        <v>SOWING</v>
      </c>
      <c r="U274">
        <f>HOUR(datos_siembra[[#This Row],[Hour]])</f>
        <v>13</v>
      </c>
      <c r="V274" cm="1">
        <f t="array" ref="V274">_xlfn.IFS(AND(N274&lt;= 22, S274=9), N274-7,AND(N274&lt;= 28, S274=9), N274-25,AND(N274&lt;= 30, S274=9), N274-28,AND(N274&lt;= 11, S274=10), N274+2,AND(N274&lt;= 21, S274=10), N274-11)</f>
        <v>3</v>
      </c>
    </row>
    <row r="275" spans="1:22" x14ac:dyDescent="0.35">
      <c r="A275" s="4">
        <v>45545</v>
      </c>
      <c r="B275" s="5">
        <v>0.55388888888888888</v>
      </c>
      <c r="C275">
        <v>81.2</v>
      </c>
      <c r="D275">
        <v>85</v>
      </c>
      <c r="E275">
        <v>86.5</v>
      </c>
      <c r="F275">
        <v>80.400000000000006</v>
      </c>
      <c r="G275">
        <v>0</v>
      </c>
      <c r="H275">
        <v>0</v>
      </c>
      <c r="I275">
        <v>0</v>
      </c>
      <c r="J275">
        <v>0</v>
      </c>
      <c r="K275">
        <v>63.4</v>
      </c>
      <c r="L275">
        <v>62.2</v>
      </c>
      <c r="M275">
        <v>83.19</v>
      </c>
      <c r="N275">
        <v>10</v>
      </c>
      <c r="O275">
        <v>7</v>
      </c>
      <c r="P275">
        <f>MOD(DAY(datos_siembra[[#This Row],[Date]]),7)</f>
        <v>3</v>
      </c>
      <c r="Q275" t="str">
        <f>CHOOSE(WEEKDAY(datos_siembra[[#This Row],[Date]],2),"L","M","X","J","V","S","D")</f>
        <v>M</v>
      </c>
      <c r="R275">
        <f>WEEKNUM(datos_siembra[[#This Row],[Date]],2)-WEEKNUM(DATE(YEAR(datos_siembra[[#This Row],[Date]]),MONTH(datos_siembra[[#This Row],[Date]]),1))+1</f>
        <v>2</v>
      </c>
      <c r="S275">
        <f>MONTH(datos_siembra[[#This Row],[Date]])</f>
        <v>9</v>
      </c>
      <c r="T275" t="str" cm="1">
        <f t="array" ref="T275">_xlfn.IFS(AND(N275&lt;= 22, S275=9), "SOWING",AND(N275&lt;= 28, S275=9), "COVERAGE",AND(N275&lt;= 30, S275=9), "FLUSH",AND(N275&lt;= 11, S275=10), "FLUSH",AND(N275&lt;= 21, S275=10), "PRODUCTION")</f>
        <v>SOWING</v>
      </c>
      <c r="U275">
        <f>HOUR(datos_siembra[[#This Row],[Hour]])</f>
        <v>13</v>
      </c>
      <c r="V275" cm="1">
        <f t="array" ref="V275">_xlfn.IFS(AND(N275&lt;= 22, S275=9), N275-7,AND(N275&lt;= 28, S275=9), N275-25,AND(N275&lt;= 30, S275=9), N275-28,AND(N275&lt;= 11, S275=10), N275+2,AND(N275&lt;= 21, S275=10), N275-11)</f>
        <v>3</v>
      </c>
    </row>
    <row r="276" spans="1:22" x14ac:dyDescent="0.35">
      <c r="A276" s="4">
        <v>45545</v>
      </c>
      <c r="B276" s="5">
        <v>0.56083333333333329</v>
      </c>
      <c r="C276">
        <v>81.400000000000006</v>
      </c>
      <c r="D276">
        <v>84.8</v>
      </c>
      <c r="E276">
        <v>86.5</v>
      </c>
      <c r="F276">
        <v>80.099999999999994</v>
      </c>
      <c r="G276">
        <v>0</v>
      </c>
      <c r="H276">
        <v>0</v>
      </c>
      <c r="I276">
        <v>0</v>
      </c>
      <c r="J276">
        <v>0</v>
      </c>
      <c r="K276">
        <v>63.5</v>
      </c>
      <c r="L276">
        <v>62.2</v>
      </c>
      <c r="M276">
        <v>83.19</v>
      </c>
      <c r="N276">
        <v>10</v>
      </c>
      <c r="O276">
        <v>7</v>
      </c>
      <c r="P276">
        <f>MOD(DAY(datos_siembra[[#This Row],[Date]]),7)</f>
        <v>3</v>
      </c>
      <c r="Q276" t="str">
        <f>CHOOSE(WEEKDAY(datos_siembra[[#This Row],[Date]],2),"L","M","X","J","V","S","D")</f>
        <v>M</v>
      </c>
      <c r="R276">
        <f>WEEKNUM(datos_siembra[[#This Row],[Date]],2)-WEEKNUM(DATE(YEAR(datos_siembra[[#This Row],[Date]]),MONTH(datos_siembra[[#This Row],[Date]]),1))+1</f>
        <v>2</v>
      </c>
      <c r="S276">
        <f>MONTH(datos_siembra[[#This Row],[Date]])</f>
        <v>9</v>
      </c>
      <c r="T276" t="str" cm="1">
        <f t="array" ref="T276">_xlfn.IFS(AND(N276&lt;= 22, S276=9), "SOWING",AND(N276&lt;= 28, S276=9), "COVERAGE",AND(N276&lt;= 30, S276=9), "FLUSH",AND(N276&lt;= 11, S276=10), "FLUSH",AND(N276&lt;= 21, S276=10), "PRODUCTION")</f>
        <v>SOWING</v>
      </c>
      <c r="U276">
        <f>HOUR(datos_siembra[[#This Row],[Hour]])</f>
        <v>13</v>
      </c>
      <c r="V276" cm="1">
        <f t="array" ref="V276">_xlfn.IFS(AND(N276&lt;= 22, S276=9), N276-7,AND(N276&lt;= 28, S276=9), N276-25,AND(N276&lt;= 30, S276=9), N276-28,AND(N276&lt;= 11, S276=10), N276+2,AND(N276&lt;= 21, S276=10), N276-11)</f>
        <v>3</v>
      </c>
    </row>
    <row r="277" spans="1:22" x14ac:dyDescent="0.35">
      <c r="A277" s="4">
        <v>45545</v>
      </c>
      <c r="B277" s="5">
        <v>0.56777777777777783</v>
      </c>
      <c r="C277">
        <v>81.5</v>
      </c>
      <c r="D277">
        <v>84.8</v>
      </c>
      <c r="E277">
        <v>86.5</v>
      </c>
      <c r="F277">
        <v>80.5</v>
      </c>
      <c r="G277">
        <v>0</v>
      </c>
      <c r="H277">
        <v>0</v>
      </c>
      <c r="I277">
        <v>0</v>
      </c>
      <c r="J277">
        <v>0</v>
      </c>
      <c r="K277">
        <v>63.3</v>
      </c>
      <c r="L277">
        <v>62</v>
      </c>
      <c r="M277">
        <v>83.24</v>
      </c>
      <c r="N277">
        <v>10</v>
      </c>
      <c r="O277">
        <v>7</v>
      </c>
      <c r="P277">
        <f>MOD(DAY(datos_siembra[[#This Row],[Date]]),7)</f>
        <v>3</v>
      </c>
      <c r="Q277" t="str">
        <f>CHOOSE(WEEKDAY(datos_siembra[[#This Row],[Date]],2),"L","M","X","J","V","S","D")</f>
        <v>M</v>
      </c>
      <c r="R277">
        <f>WEEKNUM(datos_siembra[[#This Row],[Date]],2)-WEEKNUM(DATE(YEAR(datos_siembra[[#This Row],[Date]]),MONTH(datos_siembra[[#This Row],[Date]]),1))+1</f>
        <v>2</v>
      </c>
      <c r="S277">
        <f>MONTH(datos_siembra[[#This Row],[Date]])</f>
        <v>9</v>
      </c>
      <c r="T277" t="str" cm="1">
        <f t="array" ref="T277">_xlfn.IFS(AND(N277&lt;= 22, S277=9), "SOWING",AND(N277&lt;= 28, S277=9), "COVERAGE",AND(N277&lt;= 30, S277=9), "FLUSH",AND(N277&lt;= 11, S277=10), "FLUSH",AND(N277&lt;= 21, S277=10), "PRODUCTION")</f>
        <v>SOWING</v>
      </c>
      <c r="U277">
        <f>HOUR(datos_siembra[[#This Row],[Hour]])</f>
        <v>13</v>
      </c>
      <c r="V277" cm="1">
        <f t="array" ref="V277">_xlfn.IFS(AND(N277&lt;= 22, S277=9), N277-7,AND(N277&lt;= 28, S277=9), N277-25,AND(N277&lt;= 30, S277=9), N277-28,AND(N277&lt;= 11, S277=10), N277+2,AND(N277&lt;= 21, S277=10), N277-11)</f>
        <v>3</v>
      </c>
    </row>
    <row r="278" spans="1:22" x14ac:dyDescent="0.35">
      <c r="A278" s="4">
        <v>45545</v>
      </c>
      <c r="B278" s="5">
        <v>0.57473379629629628</v>
      </c>
      <c r="C278">
        <v>81.5</v>
      </c>
      <c r="D278">
        <v>84.6</v>
      </c>
      <c r="E278">
        <v>86.3</v>
      </c>
      <c r="F278">
        <v>80.099999999999994</v>
      </c>
      <c r="G278">
        <v>0</v>
      </c>
      <c r="H278">
        <v>0</v>
      </c>
      <c r="I278">
        <v>0</v>
      </c>
      <c r="J278">
        <v>0</v>
      </c>
      <c r="K278">
        <v>63.5</v>
      </c>
      <c r="L278">
        <v>62.3</v>
      </c>
      <c r="M278">
        <v>83.22</v>
      </c>
      <c r="N278">
        <v>10</v>
      </c>
      <c r="O278">
        <v>7</v>
      </c>
      <c r="P278">
        <f>MOD(DAY(datos_siembra[[#This Row],[Date]]),7)</f>
        <v>3</v>
      </c>
      <c r="Q278" t="str">
        <f>CHOOSE(WEEKDAY(datos_siembra[[#This Row],[Date]],2),"L","M","X","J","V","S","D")</f>
        <v>M</v>
      </c>
      <c r="R278">
        <f>WEEKNUM(datos_siembra[[#This Row],[Date]],2)-WEEKNUM(DATE(YEAR(datos_siembra[[#This Row],[Date]]),MONTH(datos_siembra[[#This Row],[Date]]),1))+1</f>
        <v>2</v>
      </c>
      <c r="S278">
        <f>MONTH(datos_siembra[[#This Row],[Date]])</f>
        <v>9</v>
      </c>
      <c r="T278" t="str" cm="1">
        <f t="array" ref="T278">_xlfn.IFS(AND(N278&lt;= 22, S278=9), "SOWING",AND(N278&lt;= 28, S278=9), "COVERAGE",AND(N278&lt;= 30, S278=9), "FLUSH",AND(N278&lt;= 11, S278=10), "FLUSH",AND(N278&lt;= 21, S278=10), "PRODUCTION")</f>
        <v>SOWING</v>
      </c>
      <c r="U278">
        <f>HOUR(datos_siembra[[#This Row],[Hour]])</f>
        <v>13</v>
      </c>
      <c r="V278" cm="1">
        <f t="array" ref="V278">_xlfn.IFS(AND(N278&lt;= 22, S278=9), N278-7,AND(N278&lt;= 28, S278=9), N278-25,AND(N278&lt;= 30, S278=9), N278-28,AND(N278&lt;= 11, S278=10), N278+2,AND(N278&lt;= 21, S278=10), N278-11)</f>
        <v>3</v>
      </c>
    </row>
    <row r="279" spans="1:22" x14ac:dyDescent="0.35">
      <c r="A279" s="4">
        <v>45545</v>
      </c>
      <c r="B279" s="5">
        <v>0.5816782407407407</v>
      </c>
      <c r="C279">
        <v>81.7</v>
      </c>
      <c r="D279">
        <v>84.5</v>
      </c>
      <c r="E279">
        <v>86.3</v>
      </c>
      <c r="F279">
        <v>80.3</v>
      </c>
      <c r="G279">
        <v>0</v>
      </c>
      <c r="H279">
        <v>0</v>
      </c>
      <c r="I279">
        <v>0</v>
      </c>
      <c r="J279">
        <v>0</v>
      </c>
      <c r="K279">
        <v>64.5</v>
      </c>
      <c r="L279">
        <v>63.5</v>
      </c>
      <c r="M279">
        <v>83.19</v>
      </c>
      <c r="N279">
        <v>10</v>
      </c>
      <c r="O279">
        <v>7</v>
      </c>
      <c r="P279">
        <f>MOD(DAY(datos_siembra[[#This Row],[Date]]),7)</f>
        <v>3</v>
      </c>
      <c r="Q279" t="str">
        <f>CHOOSE(WEEKDAY(datos_siembra[[#This Row],[Date]],2),"L","M","X","J","V","S","D")</f>
        <v>M</v>
      </c>
      <c r="R279">
        <f>WEEKNUM(datos_siembra[[#This Row],[Date]],2)-WEEKNUM(DATE(YEAR(datos_siembra[[#This Row],[Date]]),MONTH(datos_siembra[[#This Row],[Date]]),1))+1</f>
        <v>2</v>
      </c>
      <c r="S279">
        <f>MONTH(datos_siembra[[#This Row],[Date]])</f>
        <v>9</v>
      </c>
      <c r="T279" t="str" cm="1">
        <f t="array" ref="T279">_xlfn.IFS(AND(N279&lt;= 22, S279=9), "SOWING",AND(N279&lt;= 28, S279=9), "COVERAGE",AND(N279&lt;= 30, S279=9), "FLUSH",AND(N279&lt;= 11, S279=10), "FLUSH",AND(N279&lt;= 21, S279=10), "PRODUCTION")</f>
        <v>SOWING</v>
      </c>
      <c r="U279">
        <f>HOUR(datos_siembra[[#This Row],[Hour]])</f>
        <v>13</v>
      </c>
      <c r="V279" cm="1">
        <f t="array" ref="V279">_xlfn.IFS(AND(N279&lt;= 22, S279=9), N279-7,AND(N279&lt;= 28, S279=9), N279-25,AND(N279&lt;= 30, S279=9), N279-28,AND(N279&lt;= 11, S279=10), N279+2,AND(N279&lt;= 21, S279=10), N279-11)</f>
        <v>3</v>
      </c>
    </row>
    <row r="280" spans="1:22" x14ac:dyDescent="0.35">
      <c r="A280" s="4">
        <v>45545</v>
      </c>
      <c r="B280" s="5">
        <v>0.58862268518518523</v>
      </c>
      <c r="C280">
        <v>81.400000000000006</v>
      </c>
      <c r="D280">
        <v>84.5</v>
      </c>
      <c r="E280">
        <v>86.2</v>
      </c>
      <c r="F280">
        <v>80.3</v>
      </c>
      <c r="G280">
        <v>0</v>
      </c>
      <c r="H280">
        <v>0</v>
      </c>
      <c r="I280">
        <v>0</v>
      </c>
      <c r="J280">
        <v>0</v>
      </c>
      <c r="K280">
        <v>65.099999999999994</v>
      </c>
      <c r="L280">
        <v>64.3</v>
      </c>
      <c r="M280">
        <v>83.19</v>
      </c>
      <c r="N280">
        <v>10</v>
      </c>
      <c r="O280">
        <v>7</v>
      </c>
      <c r="P280">
        <f>MOD(DAY(datos_siembra[[#This Row],[Date]]),7)</f>
        <v>3</v>
      </c>
      <c r="Q280" t="str">
        <f>CHOOSE(WEEKDAY(datos_siembra[[#This Row],[Date]],2),"L","M","X","J","V","S","D")</f>
        <v>M</v>
      </c>
      <c r="R280">
        <f>WEEKNUM(datos_siembra[[#This Row],[Date]],2)-WEEKNUM(DATE(YEAR(datos_siembra[[#This Row],[Date]]),MONTH(datos_siembra[[#This Row],[Date]]),1))+1</f>
        <v>2</v>
      </c>
      <c r="S280">
        <f>MONTH(datos_siembra[[#This Row],[Date]])</f>
        <v>9</v>
      </c>
      <c r="T280" t="str" cm="1">
        <f t="array" ref="T280">_xlfn.IFS(AND(N280&lt;= 22, S280=9), "SOWING",AND(N280&lt;= 28, S280=9), "COVERAGE",AND(N280&lt;= 30, S280=9), "FLUSH",AND(N280&lt;= 11, S280=10), "FLUSH",AND(N280&lt;= 21, S280=10), "PRODUCTION")</f>
        <v>SOWING</v>
      </c>
      <c r="U280">
        <f>HOUR(datos_siembra[[#This Row],[Hour]])</f>
        <v>14</v>
      </c>
      <c r="V280" cm="1">
        <f t="array" ref="V280">_xlfn.IFS(AND(N280&lt;= 22, S280=9), N280-7,AND(N280&lt;= 28, S280=9), N280-25,AND(N280&lt;= 30, S280=9), N280-28,AND(N280&lt;= 11, S280=10), N280+2,AND(N280&lt;= 21, S280=10), N280-11)</f>
        <v>3</v>
      </c>
    </row>
    <row r="281" spans="1:22" x14ac:dyDescent="0.35">
      <c r="A281" s="4">
        <v>45545</v>
      </c>
      <c r="B281" s="5">
        <v>0.59556712962962965</v>
      </c>
      <c r="C281">
        <v>81.400000000000006</v>
      </c>
      <c r="D281">
        <v>84.5</v>
      </c>
      <c r="E281">
        <v>86.3</v>
      </c>
      <c r="F281">
        <v>80.5</v>
      </c>
      <c r="G281">
        <v>0</v>
      </c>
      <c r="H281">
        <v>0</v>
      </c>
      <c r="I281">
        <v>0</v>
      </c>
      <c r="J281">
        <v>0</v>
      </c>
      <c r="K281">
        <v>64.400000000000006</v>
      </c>
      <c r="L281">
        <v>63.3</v>
      </c>
      <c r="M281">
        <v>83.19</v>
      </c>
      <c r="N281">
        <v>10</v>
      </c>
      <c r="O281">
        <v>7</v>
      </c>
      <c r="P281">
        <f>MOD(DAY(datos_siembra[[#This Row],[Date]]),7)</f>
        <v>3</v>
      </c>
      <c r="Q281" t="str">
        <f>CHOOSE(WEEKDAY(datos_siembra[[#This Row],[Date]],2),"L","M","X","J","V","S","D")</f>
        <v>M</v>
      </c>
      <c r="R281">
        <f>WEEKNUM(datos_siembra[[#This Row],[Date]],2)-WEEKNUM(DATE(YEAR(datos_siembra[[#This Row],[Date]]),MONTH(datos_siembra[[#This Row],[Date]]),1))+1</f>
        <v>2</v>
      </c>
      <c r="S281">
        <f>MONTH(datos_siembra[[#This Row],[Date]])</f>
        <v>9</v>
      </c>
      <c r="T281" t="str" cm="1">
        <f t="array" ref="T281">_xlfn.IFS(AND(N281&lt;= 22, S281=9), "SOWING",AND(N281&lt;= 28, S281=9), "COVERAGE",AND(N281&lt;= 30, S281=9), "FLUSH",AND(N281&lt;= 11, S281=10), "FLUSH",AND(N281&lt;= 21, S281=10), "PRODUCTION")</f>
        <v>SOWING</v>
      </c>
      <c r="U281">
        <f>HOUR(datos_siembra[[#This Row],[Hour]])</f>
        <v>14</v>
      </c>
      <c r="V281" cm="1">
        <f t="array" ref="V281">_xlfn.IFS(AND(N281&lt;= 22, S281=9), N281-7,AND(N281&lt;= 28, S281=9), N281-25,AND(N281&lt;= 30, S281=9), N281-28,AND(N281&lt;= 11, S281=10), N281+2,AND(N281&lt;= 21, S281=10), N281-11)</f>
        <v>3</v>
      </c>
    </row>
    <row r="282" spans="1:22" x14ac:dyDescent="0.35">
      <c r="A282" s="4">
        <v>45545</v>
      </c>
      <c r="B282" s="5">
        <v>0.60252314814814811</v>
      </c>
      <c r="C282">
        <v>81.400000000000006</v>
      </c>
      <c r="D282">
        <v>84.4</v>
      </c>
      <c r="E282">
        <v>86.2</v>
      </c>
      <c r="F282">
        <v>80.3</v>
      </c>
      <c r="G282">
        <v>0</v>
      </c>
      <c r="H282">
        <v>0</v>
      </c>
      <c r="I282">
        <v>0</v>
      </c>
      <c r="J282">
        <v>0</v>
      </c>
      <c r="K282">
        <v>63.7</v>
      </c>
      <c r="L282">
        <v>62.3</v>
      </c>
      <c r="M282">
        <v>83.16</v>
      </c>
      <c r="N282">
        <v>10</v>
      </c>
      <c r="O282">
        <v>7</v>
      </c>
      <c r="P282">
        <f>MOD(DAY(datos_siembra[[#This Row],[Date]]),7)</f>
        <v>3</v>
      </c>
      <c r="Q282" t="str">
        <f>CHOOSE(WEEKDAY(datos_siembra[[#This Row],[Date]],2),"L","M","X","J","V","S","D")</f>
        <v>M</v>
      </c>
      <c r="R282">
        <f>WEEKNUM(datos_siembra[[#This Row],[Date]],2)-WEEKNUM(DATE(YEAR(datos_siembra[[#This Row],[Date]]),MONTH(datos_siembra[[#This Row],[Date]]),1))+1</f>
        <v>2</v>
      </c>
      <c r="S282">
        <f>MONTH(datos_siembra[[#This Row],[Date]])</f>
        <v>9</v>
      </c>
      <c r="T282" t="str" cm="1">
        <f t="array" ref="T282">_xlfn.IFS(AND(N282&lt;= 22, S282=9), "SOWING",AND(N282&lt;= 28, S282=9), "COVERAGE",AND(N282&lt;= 30, S282=9), "FLUSH",AND(N282&lt;= 11, S282=10), "FLUSH",AND(N282&lt;= 21, S282=10), "PRODUCTION")</f>
        <v>SOWING</v>
      </c>
      <c r="U282">
        <f>HOUR(datos_siembra[[#This Row],[Hour]])</f>
        <v>14</v>
      </c>
      <c r="V282" cm="1">
        <f t="array" ref="V282">_xlfn.IFS(AND(N282&lt;= 22, S282=9), N282-7,AND(N282&lt;= 28, S282=9), N282-25,AND(N282&lt;= 30, S282=9), N282-28,AND(N282&lt;= 11, S282=10), N282+2,AND(N282&lt;= 21, S282=10), N282-11)</f>
        <v>3</v>
      </c>
    </row>
    <row r="283" spans="1:22" x14ac:dyDescent="0.35">
      <c r="A283" s="4">
        <v>45545</v>
      </c>
      <c r="B283" s="5">
        <v>0.60946759259259264</v>
      </c>
      <c r="C283">
        <v>81.5</v>
      </c>
      <c r="D283">
        <v>84.4</v>
      </c>
      <c r="E283">
        <v>86.5</v>
      </c>
      <c r="F283">
        <v>80.099999999999994</v>
      </c>
      <c r="G283">
        <v>0</v>
      </c>
      <c r="H283">
        <v>0</v>
      </c>
      <c r="I283">
        <v>0</v>
      </c>
      <c r="J283">
        <v>0</v>
      </c>
      <c r="K283">
        <v>63.4</v>
      </c>
      <c r="L283">
        <v>62</v>
      </c>
      <c r="M283">
        <v>83.1</v>
      </c>
      <c r="N283">
        <v>10</v>
      </c>
      <c r="O283">
        <v>7</v>
      </c>
      <c r="P283">
        <f>MOD(DAY(datos_siembra[[#This Row],[Date]]),7)</f>
        <v>3</v>
      </c>
      <c r="Q283" t="str">
        <f>CHOOSE(WEEKDAY(datos_siembra[[#This Row],[Date]],2),"L","M","X","J","V","S","D")</f>
        <v>M</v>
      </c>
      <c r="R283">
        <f>WEEKNUM(datos_siembra[[#This Row],[Date]],2)-WEEKNUM(DATE(YEAR(datos_siembra[[#This Row],[Date]]),MONTH(datos_siembra[[#This Row],[Date]]),1))+1</f>
        <v>2</v>
      </c>
      <c r="S283">
        <f>MONTH(datos_siembra[[#This Row],[Date]])</f>
        <v>9</v>
      </c>
      <c r="T283" t="str" cm="1">
        <f t="array" ref="T283">_xlfn.IFS(AND(N283&lt;= 22, S283=9), "SOWING",AND(N283&lt;= 28, S283=9), "COVERAGE",AND(N283&lt;= 30, S283=9), "FLUSH",AND(N283&lt;= 11, S283=10), "FLUSH",AND(N283&lt;= 21, S283=10), "PRODUCTION")</f>
        <v>SOWING</v>
      </c>
      <c r="U283">
        <f>HOUR(datos_siembra[[#This Row],[Hour]])</f>
        <v>14</v>
      </c>
      <c r="V283" cm="1">
        <f t="array" ref="V283">_xlfn.IFS(AND(N283&lt;= 22, S283=9), N283-7,AND(N283&lt;= 28, S283=9), N283-25,AND(N283&lt;= 30, S283=9), N283-28,AND(N283&lt;= 11, S283=10), N283+2,AND(N283&lt;= 21, S283=10), N283-11)</f>
        <v>3</v>
      </c>
    </row>
    <row r="284" spans="1:22" x14ac:dyDescent="0.35">
      <c r="A284" s="4">
        <v>45545</v>
      </c>
      <c r="B284" s="5">
        <v>0.61641203703703706</v>
      </c>
      <c r="C284">
        <v>81.400000000000006</v>
      </c>
      <c r="D284">
        <v>84.4</v>
      </c>
      <c r="E284">
        <v>86.1</v>
      </c>
      <c r="F284">
        <v>80.3</v>
      </c>
      <c r="G284">
        <v>0</v>
      </c>
      <c r="H284">
        <v>0</v>
      </c>
      <c r="I284">
        <v>0</v>
      </c>
      <c r="J284">
        <v>0</v>
      </c>
      <c r="K284">
        <v>63.5</v>
      </c>
      <c r="L284">
        <v>62.2</v>
      </c>
      <c r="M284">
        <v>83.16</v>
      </c>
      <c r="N284">
        <v>10</v>
      </c>
      <c r="O284">
        <v>7</v>
      </c>
      <c r="P284">
        <f>MOD(DAY(datos_siembra[[#This Row],[Date]]),7)</f>
        <v>3</v>
      </c>
      <c r="Q284" t="str">
        <f>CHOOSE(WEEKDAY(datos_siembra[[#This Row],[Date]],2),"L","M","X","J","V","S","D")</f>
        <v>M</v>
      </c>
      <c r="R284">
        <f>WEEKNUM(datos_siembra[[#This Row],[Date]],2)-WEEKNUM(DATE(YEAR(datos_siembra[[#This Row],[Date]]),MONTH(datos_siembra[[#This Row],[Date]]),1))+1</f>
        <v>2</v>
      </c>
      <c r="S284">
        <f>MONTH(datos_siembra[[#This Row],[Date]])</f>
        <v>9</v>
      </c>
      <c r="T284" t="str" cm="1">
        <f t="array" ref="T284">_xlfn.IFS(AND(N284&lt;= 22, S284=9), "SOWING",AND(N284&lt;= 28, S284=9), "COVERAGE",AND(N284&lt;= 30, S284=9), "FLUSH",AND(N284&lt;= 11, S284=10), "FLUSH",AND(N284&lt;= 21, S284=10), "PRODUCTION")</f>
        <v>SOWING</v>
      </c>
      <c r="U284">
        <f>HOUR(datos_siembra[[#This Row],[Hour]])</f>
        <v>14</v>
      </c>
      <c r="V284" cm="1">
        <f t="array" ref="V284">_xlfn.IFS(AND(N284&lt;= 22, S284=9), N284-7,AND(N284&lt;= 28, S284=9), N284-25,AND(N284&lt;= 30, S284=9), N284-28,AND(N284&lt;= 11, S284=10), N284+2,AND(N284&lt;= 21, S284=10), N284-11)</f>
        <v>3</v>
      </c>
    </row>
    <row r="285" spans="1:22" x14ac:dyDescent="0.35">
      <c r="A285" s="4">
        <v>45545</v>
      </c>
      <c r="B285" s="5">
        <v>0.62336805555555552</v>
      </c>
      <c r="C285">
        <v>81.5</v>
      </c>
      <c r="D285">
        <v>84.3</v>
      </c>
      <c r="E285">
        <v>86.1</v>
      </c>
      <c r="F285">
        <v>80.3</v>
      </c>
      <c r="G285">
        <v>0</v>
      </c>
      <c r="H285">
        <v>0</v>
      </c>
      <c r="I285">
        <v>0</v>
      </c>
      <c r="J285">
        <v>0</v>
      </c>
      <c r="K285">
        <v>64.400000000000006</v>
      </c>
      <c r="L285">
        <v>63.4</v>
      </c>
      <c r="M285">
        <v>83.1</v>
      </c>
      <c r="N285">
        <v>10</v>
      </c>
      <c r="O285">
        <v>7</v>
      </c>
      <c r="P285">
        <f>MOD(DAY(datos_siembra[[#This Row],[Date]]),7)</f>
        <v>3</v>
      </c>
      <c r="Q285" t="str">
        <f>CHOOSE(WEEKDAY(datos_siembra[[#This Row],[Date]],2),"L","M","X","J","V","S","D")</f>
        <v>M</v>
      </c>
      <c r="R285">
        <f>WEEKNUM(datos_siembra[[#This Row],[Date]],2)-WEEKNUM(DATE(YEAR(datos_siembra[[#This Row],[Date]]),MONTH(datos_siembra[[#This Row],[Date]]),1))+1</f>
        <v>2</v>
      </c>
      <c r="S285">
        <f>MONTH(datos_siembra[[#This Row],[Date]])</f>
        <v>9</v>
      </c>
      <c r="T285" t="str" cm="1">
        <f t="array" ref="T285">_xlfn.IFS(AND(N285&lt;= 22, S285=9), "SOWING",AND(N285&lt;= 28, S285=9), "COVERAGE",AND(N285&lt;= 30, S285=9), "FLUSH",AND(N285&lt;= 11, S285=10), "FLUSH",AND(N285&lt;= 21, S285=10), "PRODUCTION")</f>
        <v>SOWING</v>
      </c>
      <c r="U285">
        <f>HOUR(datos_siembra[[#This Row],[Hour]])</f>
        <v>14</v>
      </c>
      <c r="V285" cm="1">
        <f t="array" ref="V285">_xlfn.IFS(AND(N285&lt;= 22, S285=9), N285-7,AND(N285&lt;= 28, S285=9), N285-25,AND(N285&lt;= 30, S285=9), N285-28,AND(N285&lt;= 11, S285=10), N285+2,AND(N285&lt;= 21, S285=10), N285-11)</f>
        <v>3</v>
      </c>
    </row>
    <row r="286" spans="1:22" x14ac:dyDescent="0.35">
      <c r="A286" s="4">
        <v>45545</v>
      </c>
      <c r="B286" s="5">
        <v>0.63031250000000005</v>
      </c>
      <c r="C286">
        <v>81.3</v>
      </c>
      <c r="D286">
        <v>84.3</v>
      </c>
      <c r="E286">
        <v>86.1</v>
      </c>
      <c r="F286">
        <v>80.400000000000006</v>
      </c>
      <c r="G286">
        <v>0</v>
      </c>
      <c r="H286">
        <v>0</v>
      </c>
      <c r="I286">
        <v>0</v>
      </c>
      <c r="J286">
        <v>0</v>
      </c>
      <c r="K286">
        <v>65</v>
      </c>
      <c r="L286">
        <v>64.099999999999994</v>
      </c>
      <c r="M286">
        <v>83.07</v>
      </c>
      <c r="N286">
        <v>10</v>
      </c>
      <c r="O286">
        <v>7</v>
      </c>
      <c r="P286">
        <f>MOD(DAY(datos_siembra[[#This Row],[Date]]),7)</f>
        <v>3</v>
      </c>
      <c r="Q286" t="str">
        <f>CHOOSE(WEEKDAY(datos_siembra[[#This Row],[Date]],2),"L","M","X","J","V","S","D")</f>
        <v>M</v>
      </c>
      <c r="R286">
        <f>WEEKNUM(datos_siembra[[#This Row],[Date]],2)-WEEKNUM(DATE(YEAR(datos_siembra[[#This Row],[Date]]),MONTH(datos_siembra[[#This Row],[Date]]),1))+1</f>
        <v>2</v>
      </c>
      <c r="S286">
        <f>MONTH(datos_siembra[[#This Row],[Date]])</f>
        <v>9</v>
      </c>
      <c r="T286" t="str" cm="1">
        <f t="array" ref="T286">_xlfn.IFS(AND(N286&lt;= 22, S286=9), "SOWING",AND(N286&lt;= 28, S286=9), "COVERAGE",AND(N286&lt;= 30, S286=9), "FLUSH",AND(N286&lt;= 11, S286=10), "FLUSH",AND(N286&lt;= 21, S286=10), "PRODUCTION")</f>
        <v>SOWING</v>
      </c>
      <c r="U286">
        <f>HOUR(datos_siembra[[#This Row],[Hour]])</f>
        <v>15</v>
      </c>
      <c r="V286" cm="1">
        <f t="array" ref="V286">_xlfn.IFS(AND(N286&lt;= 22, S286=9), N286-7,AND(N286&lt;= 28, S286=9), N286-25,AND(N286&lt;= 30, S286=9), N286-28,AND(N286&lt;= 11, S286=10), N286+2,AND(N286&lt;= 21, S286=10), N286-11)</f>
        <v>3</v>
      </c>
    </row>
    <row r="287" spans="1:22" x14ac:dyDescent="0.35">
      <c r="A287" s="4">
        <v>45545</v>
      </c>
      <c r="B287" s="5">
        <v>0.63725694444444447</v>
      </c>
      <c r="C287">
        <v>81.400000000000006</v>
      </c>
      <c r="D287">
        <v>84.3</v>
      </c>
      <c r="E287">
        <v>86.2</v>
      </c>
      <c r="F287">
        <v>80.400000000000006</v>
      </c>
      <c r="G287">
        <v>0</v>
      </c>
      <c r="H287">
        <v>0</v>
      </c>
      <c r="I287">
        <v>0</v>
      </c>
      <c r="J287">
        <v>0</v>
      </c>
      <c r="K287">
        <v>64.5</v>
      </c>
      <c r="L287">
        <v>63.3</v>
      </c>
      <c r="M287">
        <v>82.96</v>
      </c>
      <c r="N287">
        <v>10</v>
      </c>
      <c r="O287">
        <v>7</v>
      </c>
      <c r="P287">
        <f>MOD(DAY(datos_siembra[[#This Row],[Date]]),7)</f>
        <v>3</v>
      </c>
      <c r="Q287" t="str">
        <f>CHOOSE(WEEKDAY(datos_siembra[[#This Row],[Date]],2),"L","M","X","J","V","S","D")</f>
        <v>M</v>
      </c>
      <c r="R287">
        <f>WEEKNUM(datos_siembra[[#This Row],[Date]],2)-WEEKNUM(DATE(YEAR(datos_siembra[[#This Row],[Date]]),MONTH(datos_siembra[[#This Row],[Date]]),1))+1</f>
        <v>2</v>
      </c>
      <c r="S287">
        <f>MONTH(datos_siembra[[#This Row],[Date]])</f>
        <v>9</v>
      </c>
      <c r="T287" t="str" cm="1">
        <f t="array" ref="T287">_xlfn.IFS(AND(N287&lt;= 22, S287=9), "SOWING",AND(N287&lt;= 28, S287=9), "COVERAGE",AND(N287&lt;= 30, S287=9), "FLUSH",AND(N287&lt;= 11, S287=10), "FLUSH",AND(N287&lt;= 21, S287=10), "PRODUCTION")</f>
        <v>SOWING</v>
      </c>
      <c r="U287">
        <f>HOUR(datos_siembra[[#This Row],[Hour]])</f>
        <v>15</v>
      </c>
      <c r="V287" cm="1">
        <f t="array" ref="V287">_xlfn.IFS(AND(N287&lt;= 22, S287=9), N287-7,AND(N287&lt;= 28, S287=9), N287-25,AND(N287&lt;= 30, S287=9), N287-28,AND(N287&lt;= 11, S287=10), N287+2,AND(N287&lt;= 21, S287=10), N287-11)</f>
        <v>3</v>
      </c>
    </row>
    <row r="288" spans="1:22" x14ac:dyDescent="0.35">
      <c r="A288" s="4">
        <v>45545</v>
      </c>
      <c r="B288" s="5">
        <v>0.64420138888888889</v>
      </c>
      <c r="C288">
        <v>81.400000000000006</v>
      </c>
      <c r="D288">
        <v>84.3</v>
      </c>
      <c r="E288">
        <v>86.2</v>
      </c>
      <c r="F288">
        <v>80.400000000000006</v>
      </c>
      <c r="G288">
        <v>0</v>
      </c>
      <c r="H288">
        <v>0</v>
      </c>
      <c r="I288">
        <v>0</v>
      </c>
      <c r="J288">
        <v>0</v>
      </c>
      <c r="K288">
        <v>63.6</v>
      </c>
      <c r="L288">
        <v>62.2</v>
      </c>
      <c r="M288">
        <v>83.02</v>
      </c>
      <c r="N288">
        <v>10</v>
      </c>
      <c r="O288">
        <v>7</v>
      </c>
      <c r="P288">
        <f>MOD(DAY(datos_siembra[[#This Row],[Date]]),7)</f>
        <v>3</v>
      </c>
      <c r="Q288" t="str">
        <f>CHOOSE(WEEKDAY(datos_siembra[[#This Row],[Date]],2),"L","M","X","J","V","S","D")</f>
        <v>M</v>
      </c>
      <c r="R288">
        <f>WEEKNUM(datos_siembra[[#This Row],[Date]],2)-WEEKNUM(DATE(YEAR(datos_siembra[[#This Row],[Date]]),MONTH(datos_siembra[[#This Row],[Date]]),1))+1</f>
        <v>2</v>
      </c>
      <c r="S288">
        <f>MONTH(datos_siembra[[#This Row],[Date]])</f>
        <v>9</v>
      </c>
      <c r="T288" t="str" cm="1">
        <f t="array" ref="T288">_xlfn.IFS(AND(N288&lt;= 22, S288=9), "SOWING",AND(N288&lt;= 28, S288=9), "COVERAGE",AND(N288&lt;= 30, S288=9), "FLUSH",AND(N288&lt;= 11, S288=10), "FLUSH",AND(N288&lt;= 21, S288=10), "PRODUCTION")</f>
        <v>SOWING</v>
      </c>
      <c r="U288">
        <f>HOUR(datos_siembra[[#This Row],[Hour]])</f>
        <v>15</v>
      </c>
      <c r="V288" cm="1">
        <f t="array" ref="V288">_xlfn.IFS(AND(N288&lt;= 22, S288=9), N288-7,AND(N288&lt;= 28, S288=9), N288-25,AND(N288&lt;= 30, S288=9), N288-28,AND(N288&lt;= 11, S288=10), N288+2,AND(N288&lt;= 21, S288=10), N288-11)</f>
        <v>3</v>
      </c>
    </row>
    <row r="289" spans="1:22" x14ac:dyDescent="0.35">
      <c r="A289" s="4">
        <v>45545</v>
      </c>
      <c r="B289" s="5">
        <v>0.65115740740740746</v>
      </c>
      <c r="C289">
        <v>81.400000000000006</v>
      </c>
      <c r="D289">
        <v>84.2</v>
      </c>
      <c r="E289">
        <v>86.1</v>
      </c>
      <c r="F289">
        <v>80.400000000000006</v>
      </c>
      <c r="G289">
        <v>0</v>
      </c>
      <c r="H289">
        <v>0</v>
      </c>
      <c r="I289">
        <v>0</v>
      </c>
      <c r="J289">
        <v>0</v>
      </c>
      <c r="K289">
        <v>63.4</v>
      </c>
      <c r="L289">
        <v>61.9</v>
      </c>
      <c r="M289">
        <v>82.93</v>
      </c>
      <c r="N289">
        <v>10</v>
      </c>
      <c r="O289">
        <v>7</v>
      </c>
      <c r="P289">
        <f>MOD(DAY(datos_siembra[[#This Row],[Date]]),7)</f>
        <v>3</v>
      </c>
      <c r="Q289" t="str">
        <f>CHOOSE(WEEKDAY(datos_siembra[[#This Row],[Date]],2),"L","M","X","J","V","S","D")</f>
        <v>M</v>
      </c>
      <c r="R289">
        <f>WEEKNUM(datos_siembra[[#This Row],[Date]],2)-WEEKNUM(DATE(YEAR(datos_siembra[[#This Row],[Date]]),MONTH(datos_siembra[[#This Row],[Date]]),1))+1</f>
        <v>2</v>
      </c>
      <c r="S289">
        <f>MONTH(datos_siembra[[#This Row],[Date]])</f>
        <v>9</v>
      </c>
      <c r="T289" t="str" cm="1">
        <f t="array" ref="T289">_xlfn.IFS(AND(N289&lt;= 22, S289=9), "SOWING",AND(N289&lt;= 28, S289=9), "COVERAGE",AND(N289&lt;= 30, S289=9), "FLUSH",AND(N289&lt;= 11, S289=10), "FLUSH",AND(N289&lt;= 21, S289=10), "PRODUCTION")</f>
        <v>SOWING</v>
      </c>
      <c r="U289">
        <f>HOUR(datos_siembra[[#This Row],[Hour]])</f>
        <v>15</v>
      </c>
      <c r="V289" cm="1">
        <f t="array" ref="V289">_xlfn.IFS(AND(N289&lt;= 22, S289=9), N289-7,AND(N289&lt;= 28, S289=9), N289-25,AND(N289&lt;= 30, S289=9), N289-28,AND(N289&lt;= 11, S289=10), N289+2,AND(N289&lt;= 21, S289=10), N289-11)</f>
        <v>3</v>
      </c>
    </row>
    <row r="290" spans="1:22" x14ac:dyDescent="0.35">
      <c r="A290" s="4">
        <v>45545</v>
      </c>
      <c r="B290" s="5">
        <v>0.65810185185185188</v>
      </c>
      <c r="C290">
        <v>81.2</v>
      </c>
      <c r="D290">
        <v>84.1</v>
      </c>
      <c r="E290">
        <v>86.1</v>
      </c>
      <c r="F290">
        <v>80.3</v>
      </c>
      <c r="G290">
        <v>0</v>
      </c>
      <c r="H290">
        <v>0</v>
      </c>
      <c r="I290">
        <v>0</v>
      </c>
      <c r="J290">
        <v>0</v>
      </c>
      <c r="K290">
        <v>63.3</v>
      </c>
      <c r="L290">
        <v>61.9</v>
      </c>
      <c r="M290">
        <v>82.93</v>
      </c>
      <c r="N290">
        <v>10</v>
      </c>
      <c r="O290">
        <v>7</v>
      </c>
      <c r="P290">
        <f>MOD(DAY(datos_siembra[[#This Row],[Date]]),7)</f>
        <v>3</v>
      </c>
      <c r="Q290" t="str">
        <f>CHOOSE(WEEKDAY(datos_siembra[[#This Row],[Date]],2),"L","M","X","J","V","S","D")</f>
        <v>M</v>
      </c>
      <c r="R290">
        <f>WEEKNUM(datos_siembra[[#This Row],[Date]],2)-WEEKNUM(DATE(YEAR(datos_siembra[[#This Row],[Date]]),MONTH(datos_siembra[[#This Row],[Date]]),1))+1</f>
        <v>2</v>
      </c>
      <c r="S290">
        <f>MONTH(datos_siembra[[#This Row],[Date]])</f>
        <v>9</v>
      </c>
      <c r="T290" t="str" cm="1">
        <f t="array" ref="T290">_xlfn.IFS(AND(N290&lt;= 22, S290=9), "SOWING",AND(N290&lt;= 28, S290=9), "COVERAGE",AND(N290&lt;= 30, S290=9), "FLUSH",AND(N290&lt;= 11, S290=10), "FLUSH",AND(N290&lt;= 21, S290=10), "PRODUCTION")</f>
        <v>SOWING</v>
      </c>
      <c r="U290">
        <f>HOUR(datos_siembra[[#This Row],[Hour]])</f>
        <v>15</v>
      </c>
      <c r="V290" cm="1">
        <f t="array" ref="V290">_xlfn.IFS(AND(N290&lt;= 22, S290=9), N290-7,AND(N290&lt;= 28, S290=9), N290-25,AND(N290&lt;= 30, S290=9), N290-28,AND(N290&lt;= 11, S290=10), N290+2,AND(N290&lt;= 21, S290=10), N290-11)</f>
        <v>3</v>
      </c>
    </row>
    <row r="291" spans="1:22" x14ac:dyDescent="0.35">
      <c r="A291" s="4">
        <v>45545</v>
      </c>
      <c r="B291" s="5">
        <v>0.6650462962962963</v>
      </c>
      <c r="C291">
        <v>81.400000000000006</v>
      </c>
      <c r="D291">
        <v>84.1</v>
      </c>
      <c r="E291">
        <v>86</v>
      </c>
      <c r="F291">
        <v>80.099999999999994</v>
      </c>
      <c r="G291">
        <v>0</v>
      </c>
      <c r="H291">
        <v>0</v>
      </c>
      <c r="I291">
        <v>0</v>
      </c>
      <c r="J291">
        <v>0</v>
      </c>
      <c r="K291">
        <v>64.3</v>
      </c>
      <c r="L291">
        <v>63.2</v>
      </c>
      <c r="M291">
        <v>82.96</v>
      </c>
      <c r="N291">
        <v>10</v>
      </c>
      <c r="O291">
        <v>7</v>
      </c>
      <c r="P291">
        <f>MOD(DAY(datos_siembra[[#This Row],[Date]]),7)</f>
        <v>3</v>
      </c>
      <c r="Q291" t="str">
        <f>CHOOSE(WEEKDAY(datos_siembra[[#This Row],[Date]],2),"L","M","X","J","V","S","D")</f>
        <v>M</v>
      </c>
      <c r="R291">
        <f>WEEKNUM(datos_siembra[[#This Row],[Date]],2)-WEEKNUM(DATE(YEAR(datos_siembra[[#This Row],[Date]]),MONTH(datos_siembra[[#This Row],[Date]]),1))+1</f>
        <v>2</v>
      </c>
      <c r="S291">
        <f>MONTH(datos_siembra[[#This Row],[Date]])</f>
        <v>9</v>
      </c>
      <c r="T291" t="str" cm="1">
        <f t="array" ref="T291">_xlfn.IFS(AND(N291&lt;= 22, S291=9), "SOWING",AND(N291&lt;= 28, S291=9), "COVERAGE",AND(N291&lt;= 30, S291=9), "FLUSH",AND(N291&lt;= 11, S291=10), "FLUSH",AND(N291&lt;= 21, S291=10), "PRODUCTION")</f>
        <v>SOWING</v>
      </c>
      <c r="U291">
        <f>HOUR(datos_siembra[[#This Row],[Hour]])</f>
        <v>15</v>
      </c>
      <c r="V291" cm="1">
        <f t="array" ref="V291">_xlfn.IFS(AND(N291&lt;= 22, S291=9), N291-7,AND(N291&lt;= 28, S291=9), N291-25,AND(N291&lt;= 30, S291=9), N291-28,AND(N291&lt;= 11, S291=10), N291+2,AND(N291&lt;= 21, S291=10), N291-11)</f>
        <v>3</v>
      </c>
    </row>
    <row r="292" spans="1:22" x14ac:dyDescent="0.35">
      <c r="A292" s="4">
        <v>45545</v>
      </c>
      <c r="B292" s="5">
        <v>0.67200231481481476</v>
      </c>
      <c r="C292">
        <v>81.2</v>
      </c>
      <c r="D292">
        <v>84.1</v>
      </c>
      <c r="E292">
        <v>86</v>
      </c>
      <c r="F292">
        <v>80.400000000000006</v>
      </c>
      <c r="G292">
        <v>0</v>
      </c>
      <c r="H292">
        <v>0</v>
      </c>
      <c r="I292">
        <v>0</v>
      </c>
      <c r="J292">
        <v>0</v>
      </c>
      <c r="K292">
        <v>64.900000000000006</v>
      </c>
      <c r="L292">
        <v>63.9</v>
      </c>
      <c r="M292">
        <v>82.88</v>
      </c>
      <c r="N292">
        <v>10</v>
      </c>
      <c r="O292">
        <v>7</v>
      </c>
      <c r="P292">
        <f>MOD(DAY(datos_siembra[[#This Row],[Date]]),7)</f>
        <v>3</v>
      </c>
      <c r="Q292" t="str">
        <f>CHOOSE(WEEKDAY(datos_siembra[[#This Row],[Date]],2),"L","M","X","J","V","S","D")</f>
        <v>M</v>
      </c>
      <c r="R292">
        <f>WEEKNUM(datos_siembra[[#This Row],[Date]],2)-WEEKNUM(DATE(YEAR(datos_siembra[[#This Row],[Date]]),MONTH(datos_siembra[[#This Row],[Date]]),1))+1</f>
        <v>2</v>
      </c>
      <c r="S292">
        <f>MONTH(datos_siembra[[#This Row],[Date]])</f>
        <v>9</v>
      </c>
      <c r="T292" t="str" cm="1">
        <f t="array" ref="T292">_xlfn.IFS(AND(N292&lt;= 22, S292=9), "SOWING",AND(N292&lt;= 28, S292=9), "COVERAGE",AND(N292&lt;= 30, S292=9), "FLUSH",AND(N292&lt;= 11, S292=10), "FLUSH",AND(N292&lt;= 21, S292=10), "PRODUCTION")</f>
        <v>SOWING</v>
      </c>
      <c r="U292">
        <f>HOUR(datos_siembra[[#This Row],[Hour]])</f>
        <v>16</v>
      </c>
      <c r="V292" cm="1">
        <f t="array" ref="V292">_xlfn.IFS(AND(N292&lt;= 22, S292=9), N292-7,AND(N292&lt;= 28, S292=9), N292-25,AND(N292&lt;= 30, S292=9), N292-28,AND(N292&lt;= 11, S292=10), N292+2,AND(N292&lt;= 21, S292=10), N292-11)</f>
        <v>3</v>
      </c>
    </row>
    <row r="293" spans="1:22" x14ac:dyDescent="0.35">
      <c r="A293" s="4">
        <v>45545</v>
      </c>
      <c r="B293" s="5">
        <v>0.67894675925925929</v>
      </c>
      <c r="C293">
        <v>81.5</v>
      </c>
      <c r="D293">
        <v>84.1</v>
      </c>
      <c r="E293">
        <v>86.1</v>
      </c>
      <c r="F293">
        <v>80.3</v>
      </c>
      <c r="G293">
        <v>0</v>
      </c>
      <c r="H293">
        <v>0</v>
      </c>
      <c r="I293">
        <v>0</v>
      </c>
      <c r="J293">
        <v>0</v>
      </c>
      <c r="K293">
        <v>65.2</v>
      </c>
      <c r="L293">
        <v>64.3</v>
      </c>
      <c r="M293">
        <v>82.93</v>
      </c>
      <c r="N293">
        <v>10</v>
      </c>
      <c r="O293">
        <v>7</v>
      </c>
      <c r="P293">
        <f>MOD(DAY(datos_siembra[[#This Row],[Date]]),7)</f>
        <v>3</v>
      </c>
      <c r="Q293" t="str">
        <f>CHOOSE(WEEKDAY(datos_siembra[[#This Row],[Date]],2),"L","M","X","J","V","S","D")</f>
        <v>M</v>
      </c>
      <c r="R293">
        <f>WEEKNUM(datos_siembra[[#This Row],[Date]],2)-WEEKNUM(DATE(YEAR(datos_siembra[[#This Row],[Date]]),MONTH(datos_siembra[[#This Row],[Date]]),1))+1</f>
        <v>2</v>
      </c>
      <c r="S293">
        <f>MONTH(datos_siembra[[#This Row],[Date]])</f>
        <v>9</v>
      </c>
      <c r="T293" t="str" cm="1">
        <f t="array" ref="T293">_xlfn.IFS(AND(N293&lt;= 22, S293=9), "SOWING",AND(N293&lt;= 28, S293=9), "COVERAGE",AND(N293&lt;= 30, S293=9), "FLUSH",AND(N293&lt;= 11, S293=10), "FLUSH",AND(N293&lt;= 21, S293=10), "PRODUCTION")</f>
        <v>SOWING</v>
      </c>
      <c r="U293">
        <f>HOUR(datos_siembra[[#This Row],[Hour]])</f>
        <v>16</v>
      </c>
      <c r="V293" cm="1">
        <f t="array" ref="V293">_xlfn.IFS(AND(N293&lt;= 22, S293=9), N293-7,AND(N293&lt;= 28, S293=9), N293-25,AND(N293&lt;= 30, S293=9), N293-28,AND(N293&lt;= 11, S293=10), N293+2,AND(N293&lt;= 21, S293=10), N293-11)</f>
        <v>3</v>
      </c>
    </row>
    <row r="294" spans="1:22" x14ac:dyDescent="0.35">
      <c r="A294" s="4">
        <v>45545</v>
      </c>
      <c r="B294" s="5">
        <v>0.68589120370370371</v>
      </c>
      <c r="C294">
        <v>81.2</v>
      </c>
      <c r="D294">
        <v>84.1</v>
      </c>
      <c r="E294">
        <v>86</v>
      </c>
      <c r="F294">
        <v>80.5</v>
      </c>
      <c r="G294">
        <v>0</v>
      </c>
      <c r="H294">
        <v>0</v>
      </c>
      <c r="I294">
        <v>0</v>
      </c>
      <c r="J294">
        <v>0</v>
      </c>
      <c r="K294">
        <v>63.7</v>
      </c>
      <c r="L294">
        <v>62.3</v>
      </c>
      <c r="M294">
        <v>82.93</v>
      </c>
      <c r="N294">
        <v>10</v>
      </c>
      <c r="O294">
        <v>7</v>
      </c>
      <c r="P294">
        <f>MOD(DAY(datos_siembra[[#This Row],[Date]]),7)</f>
        <v>3</v>
      </c>
      <c r="Q294" t="str">
        <f>CHOOSE(WEEKDAY(datos_siembra[[#This Row],[Date]],2),"L","M","X","J","V","S","D")</f>
        <v>M</v>
      </c>
      <c r="R294">
        <f>WEEKNUM(datos_siembra[[#This Row],[Date]],2)-WEEKNUM(DATE(YEAR(datos_siembra[[#This Row],[Date]]),MONTH(datos_siembra[[#This Row],[Date]]),1))+1</f>
        <v>2</v>
      </c>
      <c r="S294">
        <f>MONTH(datos_siembra[[#This Row],[Date]])</f>
        <v>9</v>
      </c>
      <c r="T294" t="str" cm="1">
        <f t="array" ref="T294">_xlfn.IFS(AND(N294&lt;= 22, S294=9), "SOWING",AND(N294&lt;= 28, S294=9), "COVERAGE",AND(N294&lt;= 30, S294=9), "FLUSH",AND(N294&lt;= 11, S294=10), "FLUSH",AND(N294&lt;= 21, S294=10), "PRODUCTION")</f>
        <v>SOWING</v>
      </c>
      <c r="U294">
        <f>HOUR(datos_siembra[[#This Row],[Hour]])</f>
        <v>16</v>
      </c>
      <c r="V294" cm="1">
        <f t="array" ref="V294">_xlfn.IFS(AND(N294&lt;= 22, S294=9), N294-7,AND(N294&lt;= 28, S294=9), N294-25,AND(N294&lt;= 30, S294=9), N294-28,AND(N294&lt;= 11, S294=10), N294+2,AND(N294&lt;= 21, S294=10), N294-11)</f>
        <v>3</v>
      </c>
    </row>
    <row r="295" spans="1:22" x14ac:dyDescent="0.35">
      <c r="A295" s="4">
        <v>45545</v>
      </c>
      <c r="B295" s="5">
        <v>0.69283564814814813</v>
      </c>
      <c r="C295">
        <v>81.3</v>
      </c>
      <c r="D295">
        <v>84</v>
      </c>
      <c r="E295">
        <v>86</v>
      </c>
      <c r="F295">
        <v>80.7</v>
      </c>
      <c r="G295">
        <v>0</v>
      </c>
      <c r="H295">
        <v>0</v>
      </c>
      <c r="I295">
        <v>0</v>
      </c>
      <c r="J295">
        <v>0</v>
      </c>
      <c r="K295">
        <v>63.3</v>
      </c>
      <c r="L295">
        <v>61.7</v>
      </c>
      <c r="M295">
        <v>83.05</v>
      </c>
      <c r="N295">
        <v>10</v>
      </c>
      <c r="O295">
        <v>7</v>
      </c>
      <c r="P295">
        <f>MOD(DAY(datos_siembra[[#This Row],[Date]]),7)</f>
        <v>3</v>
      </c>
      <c r="Q295" t="str">
        <f>CHOOSE(WEEKDAY(datos_siembra[[#This Row],[Date]],2),"L","M","X","J","V","S","D")</f>
        <v>M</v>
      </c>
      <c r="R295">
        <f>WEEKNUM(datos_siembra[[#This Row],[Date]],2)-WEEKNUM(DATE(YEAR(datos_siembra[[#This Row],[Date]]),MONTH(datos_siembra[[#This Row],[Date]]),1))+1</f>
        <v>2</v>
      </c>
      <c r="S295">
        <f>MONTH(datos_siembra[[#This Row],[Date]])</f>
        <v>9</v>
      </c>
      <c r="T295" t="str" cm="1">
        <f t="array" ref="T295">_xlfn.IFS(AND(N295&lt;= 22, S295=9), "SOWING",AND(N295&lt;= 28, S295=9), "COVERAGE",AND(N295&lt;= 30, S295=9), "FLUSH",AND(N295&lt;= 11, S295=10), "FLUSH",AND(N295&lt;= 21, S295=10), "PRODUCTION")</f>
        <v>SOWING</v>
      </c>
      <c r="U295">
        <f>HOUR(datos_siembra[[#This Row],[Hour]])</f>
        <v>16</v>
      </c>
      <c r="V295" cm="1">
        <f t="array" ref="V295">_xlfn.IFS(AND(N295&lt;= 22, S295=9), N295-7,AND(N295&lt;= 28, S295=9), N295-25,AND(N295&lt;= 30, S295=9), N295-28,AND(N295&lt;= 11, S295=10), N295+2,AND(N295&lt;= 21, S295=10), N295-11)</f>
        <v>3</v>
      </c>
    </row>
    <row r="296" spans="1:22" x14ac:dyDescent="0.35">
      <c r="A296" s="4">
        <v>45545</v>
      </c>
      <c r="B296" s="5">
        <v>0.6997916666666667</v>
      </c>
      <c r="C296">
        <v>81.3</v>
      </c>
      <c r="D296">
        <v>84.1</v>
      </c>
      <c r="E296">
        <v>86</v>
      </c>
      <c r="F296">
        <v>80.900000000000006</v>
      </c>
      <c r="G296">
        <v>0</v>
      </c>
      <c r="H296">
        <v>0</v>
      </c>
      <c r="I296">
        <v>0</v>
      </c>
      <c r="J296">
        <v>0</v>
      </c>
      <c r="K296">
        <v>64.099999999999994</v>
      </c>
      <c r="L296">
        <v>62.9</v>
      </c>
      <c r="M296">
        <v>83.02</v>
      </c>
      <c r="N296">
        <v>10</v>
      </c>
      <c r="O296">
        <v>7</v>
      </c>
      <c r="P296">
        <f>MOD(DAY(datos_siembra[[#This Row],[Date]]),7)</f>
        <v>3</v>
      </c>
      <c r="Q296" t="str">
        <f>CHOOSE(WEEKDAY(datos_siembra[[#This Row],[Date]],2),"L","M","X","J","V","S","D")</f>
        <v>M</v>
      </c>
      <c r="R296">
        <f>WEEKNUM(datos_siembra[[#This Row],[Date]],2)-WEEKNUM(DATE(YEAR(datos_siembra[[#This Row],[Date]]),MONTH(datos_siembra[[#This Row],[Date]]),1))+1</f>
        <v>2</v>
      </c>
      <c r="S296">
        <f>MONTH(datos_siembra[[#This Row],[Date]])</f>
        <v>9</v>
      </c>
      <c r="T296" t="str" cm="1">
        <f t="array" ref="T296">_xlfn.IFS(AND(N296&lt;= 22, S296=9), "SOWING",AND(N296&lt;= 28, S296=9), "COVERAGE",AND(N296&lt;= 30, S296=9), "FLUSH",AND(N296&lt;= 11, S296=10), "FLUSH",AND(N296&lt;= 21, S296=10), "PRODUCTION")</f>
        <v>SOWING</v>
      </c>
      <c r="U296">
        <f>HOUR(datos_siembra[[#This Row],[Hour]])</f>
        <v>16</v>
      </c>
      <c r="V296" cm="1">
        <f t="array" ref="V296">_xlfn.IFS(AND(N296&lt;= 22, S296=9), N296-7,AND(N296&lt;= 28, S296=9), N296-25,AND(N296&lt;= 30, S296=9), N296-28,AND(N296&lt;= 11, S296=10), N296+2,AND(N296&lt;= 21, S296=10), N296-11)</f>
        <v>3</v>
      </c>
    </row>
    <row r="297" spans="1:22" x14ac:dyDescent="0.35">
      <c r="A297" s="4">
        <v>45545</v>
      </c>
      <c r="B297" s="5">
        <v>0.70673611111111112</v>
      </c>
      <c r="C297">
        <v>81.2</v>
      </c>
      <c r="D297">
        <v>84</v>
      </c>
      <c r="E297">
        <v>86.1</v>
      </c>
      <c r="F297">
        <v>81.2</v>
      </c>
      <c r="G297">
        <v>0</v>
      </c>
      <c r="H297">
        <v>0</v>
      </c>
      <c r="I297">
        <v>0</v>
      </c>
      <c r="J297">
        <v>0</v>
      </c>
      <c r="K297">
        <v>64.599999999999994</v>
      </c>
      <c r="L297">
        <v>63.5</v>
      </c>
      <c r="M297">
        <v>83.07</v>
      </c>
      <c r="N297">
        <v>10</v>
      </c>
      <c r="O297">
        <v>7</v>
      </c>
      <c r="P297">
        <f>MOD(DAY(datos_siembra[[#This Row],[Date]]),7)</f>
        <v>3</v>
      </c>
      <c r="Q297" t="str">
        <f>CHOOSE(WEEKDAY(datos_siembra[[#This Row],[Date]],2),"L","M","X","J","V","S","D")</f>
        <v>M</v>
      </c>
      <c r="R297">
        <f>WEEKNUM(datos_siembra[[#This Row],[Date]],2)-WEEKNUM(DATE(YEAR(datos_siembra[[#This Row],[Date]]),MONTH(datos_siembra[[#This Row],[Date]]),1))+1</f>
        <v>2</v>
      </c>
      <c r="S297">
        <f>MONTH(datos_siembra[[#This Row],[Date]])</f>
        <v>9</v>
      </c>
      <c r="T297" t="str" cm="1">
        <f t="array" ref="T297">_xlfn.IFS(AND(N297&lt;= 22, S297=9), "SOWING",AND(N297&lt;= 28, S297=9), "COVERAGE",AND(N297&lt;= 30, S297=9), "FLUSH",AND(N297&lt;= 11, S297=10), "FLUSH",AND(N297&lt;= 21, S297=10), "PRODUCTION")</f>
        <v>SOWING</v>
      </c>
      <c r="U297">
        <f>HOUR(datos_siembra[[#This Row],[Hour]])</f>
        <v>16</v>
      </c>
      <c r="V297" cm="1">
        <f t="array" ref="V297">_xlfn.IFS(AND(N297&lt;= 22, S297=9), N297-7,AND(N297&lt;= 28, S297=9), N297-25,AND(N297&lt;= 30, S297=9), N297-28,AND(N297&lt;= 11, S297=10), N297+2,AND(N297&lt;= 21, S297=10), N297-11)</f>
        <v>3</v>
      </c>
    </row>
    <row r="298" spans="1:22" x14ac:dyDescent="0.35">
      <c r="A298" s="4">
        <v>45545</v>
      </c>
      <c r="B298" s="5">
        <v>0.71368055555555554</v>
      </c>
      <c r="C298">
        <v>81.3</v>
      </c>
      <c r="D298">
        <v>84.1</v>
      </c>
      <c r="E298">
        <v>86</v>
      </c>
      <c r="F298">
        <v>81.3</v>
      </c>
      <c r="G298">
        <v>0</v>
      </c>
      <c r="H298">
        <v>0</v>
      </c>
      <c r="I298">
        <v>0</v>
      </c>
      <c r="J298">
        <v>0</v>
      </c>
      <c r="K298">
        <v>64.900000000000006</v>
      </c>
      <c r="L298">
        <v>63.8</v>
      </c>
      <c r="M298">
        <v>83.16</v>
      </c>
      <c r="N298">
        <v>10</v>
      </c>
      <c r="O298">
        <v>7</v>
      </c>
      <c r="P298">
        <f>MOD(DAY(datos_siembra[[#This Row],[Date]]),7)</f>
        <v>3</v>
      </c>
      <c r="Q298" t="str">
        <f>CHOOSE(WEEKDAY(datos_siembra[[#This Row],[Date]],2),"L","M","X","J","V","S","D")</f>
        <v>M</v>
      </c>
      <c r="R298">
        <f>WEEKNUM(datos_siembra[[#This Row],[Date]],2)-WEEKNUM(DATE(YEAR(datos_siembra[[#This Row],[Date]]),MONTH(datos_siembra[[#This Row],[Date]]),1))+1</f>
        <v>2</v>
      </c>
      <c r="S298">
        <f>MONTH(datos_siembra[[#This Row],[Date]])</f>
        <v>9</v>
      </c>
      <c r="T298" t="str" cm="1">
        <f t="array" ref="T298">_xlfn.IFS(AND(N298&lt;= 22, S298=9), "SOWING",AND(N298&lt;= 28, S298=9), "COVERAGE",AND(N298&lt;= 30, S298=9), "FLUSH",AND(N298&lt;= 11, S298=10), "FLUSH",AND(N298&lt;= 21, S298=10), "PRODUCTION")</f>
        <v>SOWING</v>
      </c>
      <c r="U298">
        <f>HOUR(datos_siembra[[#This Row],[Hour]])</f>
        <v>17</v>
      </c>
      <c r="V298" cm="1">
        <f t="array" ref="V298">_xlfn.IFS(AND(N298&lt;= 22, S298=9), N298-7,AND(N298&lt;= 28, S298=9), N298-25,AND(N298&lt;= 30, S298=9), N298-28,AND(N298&lt;= 11, S298=10), N298+2,AND(N298&lt;= 21, S298=10), N298-11)</f>
        <v>3</v>
      </c>
    </row>
    <row r="299" spans="1:22" x14ac:dyDescent="0.35">
      <c r="A299" s="4">
        <v>45545</v>
      </c>
      <c r="B299" s="5">
        <v>0.72063657407407411</v>
      </c>
      <c r="C299">
        <v>81.2</v>
      </c>
      <c r="D299">
        <v>84</v>
      </c>
      <c r="E299">
        <v>86.1</v>
      </c>
      <c r="F299">
        <v>81.5</v>
      </c>
      <c r="G299">
        <v>0</v>
      </c>
      <c r="H299">
        <v>0</v>
      </c>
      <c r="I299">
        <v>0</v>
      </c>
      <c r="J299">
        <v>0</v>
      </c>
      <c r="K299">
        <v>65</v>
      </c>
      <c r="L299">
        <v>63.9</v>
      </c>
      <c r="M299">
        <v>83.1</v>
      </c>
      <c r="N299">
        <v>10</v>
      </c>
      <c r="O299">
        <v>7</v>
      </c>
      <c r="P299">
        <f>MOD(DAY(datos_siembra[[#This Row],[Date]]),7)</f>
        <v>3</v>
      </c>
      <c r="Q299" t="str">
        <f>CHOOSE(WEEKDAY(datos_siembra[[#This Row],[Date]],2),"L","M","X","J","V","S","D")</f>
        <v>M</v>
      </c>
      <c r="R299">
        <f>WEEKNUM(datos_siembra[[#This Row],[Date]],2)-WEEKNUM(DATE(YEAR(datos_siembra[[#This Row],[Date]]),MONTH(datos_siembra[[#This Row],[Date]]),1))+1</f>
        <v>2</v>
      </c>
      <c r="S299">
        <f>MONTH(datos_siembra[[#This Row],[Date]])</f>
        <v>9</v>
      </c>
      <c r="T299" t="str" cm="1">
        <f t="array" ref="T299">_xlfn.IFS(AND(N299&lt;= 22, S299=9), "SOWING",AND(N299&lt;= 28, S299=9), "COVERAGE",AND(N299&lt;= 30, S299=9), "FLUSH",AND(N299&lt;= 11, S299=10), "FLUSH",AND(N299&lt;= 21, S299=10), "PRODUCTION")</f>
        <v>SOWING</v>
      </c>
      <c r="U299">
        <f>HOUR(datos_siembra[[#This Row],[Hour]])</f>
        <v>17</v>
      </c>
      <c r="V299" cm="1">
        <f t="array" ref="V299">_xlfn.IFS(AND(N299&lt;= 22, S299=9), N299-7,AND(N299&lt;= 28, S299=9), N299-25,AND(N299&lt;= 30, S299=9), N299-28,AND(N299&lt;= 11, S299=10), N299+2,AND(N299&lt;= 21, S299=10), N299-11)</f>
        <v>3</v>
      </c>
    </row>
    <row r="300" spans="1:22" x14ac:dyDescent="0.35">
      <c r="A300" s="4">
        <v>45545</v>
      </c>
      <c r="B300" s="5">
        <v>0.72758101851851853</v>
      </c>
      <c r="C300">
        <v>81.2</v>
      </c>
      <c r="D300">
        <v>83.9</v>
      </c>
      <c r="E300">
        <v>86</v>
      </c>
      <c r="F300">
        <v>81.400000000000006</v>
      </c>
      <c r="G300">
        <v>0</v>
      </c>
      <c r="H300">
        <v>0</v>
      </c>
      <c r="I300">
        <v>0</v>
      </c>
      <c r="J300">
        <v>0</v>
      </c>
      <c r="K300">
        <v>65.099999999999994</v>
      </c>
      <c r="L300">
        <v>64.099999999999994</v>
      </c>
      <c r="M300">
        <v>83.19</v>
      </c>
      <c r="N300">
        <v>10</v>
      </c>
      <c r="O300">
        <v>7</v>
      </c>
      <c r="P300">
        <f>MOD(DAY(datos_siembra[[#This Row],[Date]]),7)</f>
        <v>3</v>
      </c>
      <c r="Q300" t="str">
        <f>CHOOSE(WEEKDAY(datos_siembra[[#This Row],[Date]],2),"L","M","X","J","V","S","D")</f>
        <v>M</v>
      </c>
      <c r="R300">
        <f>WEEKNUM(datos_siembra[[#This Row],[Date]],2)-WEEKNUM(DATE(YEAR(datos_siembra[[#This Row],[Date]]),MONTH(datos_siembra[[#This Row],[Date]]),1))+1</f>
        <v>2</v>
      </c>
      <c r="S300">
        <f>MONTH(datos_siembra[[#This Row],[Date]])</f>
        <v>9</v>
      </c>
      <c r="T300" t="str" cm="1">
        <f t="array" ref="T300">_xlfn.IFS(AND(N300&lt;= 22, S300=9), "SOWING",AND(N300&lt;= 28, S300=9), "COVERAGE",AND(N300&lt;= 30, S300=9), "FLUSH",AND(N300&lt;= 11, S300=10), "FLUSH",AND(N300&lt;= 21, S300=10), "PRODUCTION")</f>
        <v>SOWING</v>
      </c>
      <c r="U300">
        <f>HOUR(datos_siembra[[#This Row],[Hour]])</f>
        <v>17</v>
      </c>
      <c r="V300" cm="1">
        <f t="array" ref="V300">_xlfn.IFS(AND(N300&lt;= 22, S300=9), N300-7,AND(N300&lt;= 28, S300=9), N300-25,AND(N300&lt;= 30, S300=9), N300-28,AND(N300&lt;= 11, S300=10), N300+2,AND(N300&lt;= 21, S300=10), N300-11)</f>
        <v>3</v>
      </c>
    </row>
    <row r="301" spans="1:22" x14ac:dyDescent="0.35">
      <c r="A301" s="4">
        <v>45545</v>
      </c>
      <c r="B301" s="5">
        <v>0.73452546296296295</v>
      </c>
      <c r="C301">
        <v>81.2</v>
      </c>
      <c r="D301">
        <v>83.9</v>
      </c>
      <c r="E301">
        <v>86.2</v>
      </c>
      <c r="F301">
        <v>81.5</v>
      </c>
      <c r="G301">
        <v>0</v>
      </c>
      <c r="H301">
        <v>0</v>
      </c>
      <c r="I301">
        <v>0</v>
      </c>
      <c r="J301">
        <v>0</v>
      </c>
      <c r="K301">
        <v>64.2</v>
      </c>
      <c r="L301">
        <v>62.8</v>
      </c>
      <c r="M301">
        <v>83.19</v>
      </c>
      <c r="N301">
        <v>10</v>
      </c>
      <c r="O301">
        <v>7</v>
      </c>
      <c r="P301">
        <f>MOD(DAY(datos_siembra[[#This Row],[Date]]),7)</f>
        <v>3</v>
      </c>
      <c r="Q301" t="str">
        <f>CHOOSE(WEEKDAY(datos_siembra[[#This Row],[Date]],2),"L","M","X","J","V","S","D")</f>
        <v>M</v>
      </c>
      <c r="R301">
        <f>WEEKNUM(datos_siembra[[#This Row],[Date]],2)-WEEKNUM(DATE(YEAR(datos_siembra[[#This Row],[Date]]),MONTH(datos_siembra[[#This Row],[Date]]),1))+1</f>
        <v>2</v>
      </c>
      <c r="S301">
        <f>MONTH(datos_siembra[[#This Row],[Date]])</f>
        <v>9</v>
      </c>
      <c r="T301" t="str" cm="1">
        <f t="array" ref="T301">_xlfn.IFS(AND(N301&lt;= 22, S301=9), "SOWING",AND(N301&lt;= 28, S301=9), "COVERAGE",AND(N301&lt;= 30, S301=9), "FLUSH",AND(N301&lt;= 11, S301=10), "FLUSH",AND(N301&lt;= 21, S301=10), "PRODUCTION")</f>
        <v>SOWING</v>
      </c>
      <c r="U301">
        <f>HOUR(datos_siembra[[#This Row],[Hour]])</f>
        <v>17</v>
      </c>
      <c r="V301" cm="1">
        <f t="array" ref="V301">_xlfn.IFS(AND(N301&lt;= 22, S301=9), N301-7,AND(N301&lt;= 28, S301=9), N301-25,AND(N301&lt;= 30, S301=9), N301-28,AND(N301&lt;= 11, S301=10), N301+2,AND(N301&lt;= 21, S301=10), N301-11)</f>
        <v>3</v>
      </c>
    </row>
    <row r="302" spans="1:22" x14ac:dyDescent="0.35">
      <c r="A302" s="4">
        <v>45545</v>
      </c>
      <c r="B302" s="5">
        <v>0.74146990740740737</v>
      </c>
      <c r="C302">
        <v>81.3</v>
      </c>
      <c r="D302">
        <v>84</v>
      </c>
      <c r="E302">
        <v>86.1</v>
      </c>
      <c r="F302">
        <v>81.400000000000006</v>
      </c>
      <c r="G302">
        <v>0</v>
      </c>
      <c r="H302">
        <v>0</v>
      </c>
      <c r="I302">
        <v>0</v>
      </c>
      <c r="J302">
        <v>0</v>
      </c>
      <c r="K302">
        <v>63.4</v>
      </c>
      <c r="L302">
        <v>61.8</v>
      </c>
      <c r="M302">
        <v>83.1</v>
      </c>
      <c r="N302">
        <v>10</v>
      </c>
      <c r="O302">
        <v>7</v>
      </c>
      <c r="P302">
        <f>MOD(DAY(datos_siembra[[#This Row],[Date]]),7)</f>
        <v>3</v>
      </c>
      <c r="Q302" t="str">
        <f>CHOOSE(WEEKDAY(datos_siembra[[#This Row],[Date]],2),"L","M","X","J","V","S","D")</f>
        <v>M</v>
      </c>
      <c r="R302">
        <f>WEEKNUM(datos_siembra[[#This Row],[Date]],2)-WEEKNUM(DATE(YEAR(datos_siembra[[#This Row],[Date]]),MONTH(datos_siembra[[#This Row],[Date]]),1))+1</f>
        <v>2</v>
      </c>
      <c r="S302">
        <f>MONTH(datos_siembra[[#This Row],[Date]])</f>
        <v>9</v>
      </c>
      <c r="T302" t="str" cm="1">
        <f t="array" ref="T302">_xlfn.IFS(AND(N302&lt;= 22, S302=9), "SOWING",AND(N302&lt;= 28, S302=9), "COVERAGE",AND(N302&lt;= 30, S302=9), "FLUSH",AND(N302&lt;= 11, S302=10), "FLUSH",AND(N302&lt;= 21, S302=10), "PRODUCTION")</f>
        <v>SOWING</v>
      </c>
      <c r="U302">
        <f>HOUR(datos_siembra[[#This Row],[Hour]])</f>
        <v>17</v>
      </c>
      <c r="V302" cm="1">
        <f t="array" ref="V302">_xlfn.IFS(AND(N302&lt;= 22, S302=9), N302-7,AND(N302&lt;= 28, S302=9), N302-25,AND(N302&lt;= 30, S302=9), N302-28,AND(N302&lt;= 11, S302=10), N302+2,AND(N302&lt;= 21, S302=10), N302-11)</f>
        <v>3</v>
      </c>
    </row>
    <row r="303" spans="1:22" x14ac:dyDescent="0.35">
      <c r="A303" s="4">
        <v>45545</v>
      </c>
      <c r="B303" s="5">
        <v>0.74842592592592594</v>
      </c>
      <c r="C303">
        <v>81.2</v>
      </c>
      <c r="D303">
        <v>83.9</v>
      </c>
      <c r="E303">
        <v>86</v>
      </c>
      <c r="F303">
        <v>81.400000000000006</v>
      </c>
      <c r="G303">
        <v>0</v>
      </c>
      <c r="H303">
        <v>0</v>
      </c>
      <c r="I303">
        <v>0</v>
      </c>
      <c r="J303">
        <v>0</v>
      </c>
      <c r="K303">
        <v>63.8</v>
      </c>
      <c r="L303">
        <v>62.5</v>
      </c>
      <c r="M303">
        <v>83.13</v>
      </c>
      <c r="N303">
        <v>10</v>
      </c>
      <c r="O303">
        <v>7</v>
      </c>
      <c r="P303">
        <f>MOD(DAY(datos_siembra[[#This Row],[Date]]),7)</f>
        <v>3</v>
      </c>
      <c r="Q303" t="str">
        <f>CHOOSE(WEEKDAY(datos_siembra[[#This Row],[Date]],2),"L","M","X","J","V","S","D")</f>
        <v>M</v>
      </c>
      <c r="R303">
        <f>WEEKNUM(datos_siembra[[#This Row],[Date]],2)-WEEKNUM(DATE(YEAR(datos_siembra[[#This Row],[Date]]),MONTH(datos_siembra[[#This Row],[Date]]),1))+1</f>
        <v>2</v>
      </c>
      <c r="S303">
        <f>MONTH(datos_siembra[[#This Row],[Date]])</f>
        <v>9</v>
      </c>
      <c r="T303" t="str" cm="1">
        <f t="array" ref="T303">_xlfn.IFS(AND(N303&lt;= 22, S303=9), "SOWING",AND(N303&lt;= 28, S303=9), "COVERAGE",AND(N303&lt;= 30, S303=9), "FLUSH",AND(N303&lt;= 11, S303=10), "FLUSH",AND(N303&lt;= 21, S303=10), "PRODUCTION")</f>
        <v>SOWING</v>
      </c>
      <c r="U303">
        <f>HOUR(datos_siembra[[#This Row],[Hour]])</f>
        <v>17</v>
      </c>
      <c r="V303" cm="1">
        <f t="array" ref="V303">_xlfn.IFS(AND(N303&lt;= 22, S303=9), N303-7,AND(N303&lt;= 28, S303=9), N303-25,AND(N303&lt;= 30, S303=9), N303-28,AND(N303&lt;= 11, S303=10), N303+2,AND(N303&lt;= 21, S303=10), N303-11)</f>
        <v>3</v>
      </c>
    </row>
    <row r="304" spans="1:22" x14ac:dyDescent="0.35">
      <c r="A304" s="4">
        <v>45545</v>
      </c>
      <c r="B304" s="5">
        <v>0.75537037037037036</v>
      </c>
      <c r="C304">
        <v>81.099999999999994</v>
      </c>
      <c r="D304">
        <v>83.8</v>
      </c>
      <c r="E304">
        <v>86.1</v>
      </c>
      <c r="F304">
        <v>81.3</v>
      </c>
      <c r="G304">
        <v>0</v>
      </c>
      <c r="H304">
        <v>0</v>
      </c>
      <c r="I304">
        <v>0</v>
      </c>
      <c r="J304">
        <v>0</v>
      </c>
      <c r="K304">
        <v>64.400000000000006</v>
      </c>
      <c r="L304">
        <v>63.3</v>
      </c>
      <c r="M304">
        <v>83.16</v>
      </c>
      <c r="N304">
        <v>10</v>
      </c>
      <c r="O304">
        <v>7</v>
      </c>
      <c r="P304">
        <f>MOD(DAY(datos_siembra[[#This Row],[Date]]),7)</f>
        <v>3</v>
      </c>
      <c r="Q304" t="str">
        <f>CHOOSE(WEEKDAY(datos_siembra[[#This Row],[Date]],2),"L","M","X","J","V","S","D")</f>
        <v>M</v>
      </c>
      <c r="R304">
        <f>WEEKNUM(datos_siembra[[#This Row],[Date]],2)-WEEKNUM(DATE(YEAR(datos_siembra[[#This Row],[Date]]),MONTH(datos_siembra[[#This Row],[Date]]),1))+1</f>
        <v>2</v>
      </c>
      <c r="S304">
        <f>MONTH(datos_siembra[[#This Row],[Date]])</f>
        <v>9</v>
      </c>
      <c r="T304" t="str" cm="1">
        <f t="array" ref="T304">_xlfn.IFS(AND(N304&lt;= 22, S304=9), "SOWING",AND(N304&lt;= 28, S304=9), "COVERAGE",AND(N304&lt;= 30, S304=9), "FLUSH",AND(N304&lt;= 11, S304=10), "FLUSH",AND(N304&lt;= 21, S304=10), "PRODUCTION")</f>
        <v>SOWING</v>
      </c>
      <c r="U304">
        <f>HOUR(datos_siembra[[#This Row],[Hour]])</f>
        <v>18</v>
      </c>
      <c r="V304" cm="1">
        <f t="array" ref="V304">_xlfn.IFS(AND(N304&lt;= 22, S304=9), N304-7,AND(N304&lt;= 28, S304=9), N304-25,AND(N304&lt;= 30, S304=9), N304-28,AND(N304&lt;= 11, S304=10), N304+2,AND(N304&lt;= 21, S304=10), N304-11)</f>
        <v>3</v>
      </c>
    </row>
    <row r="305" spans="1:22" x14ac:dyDescent="0.35">
      <c r="A305" s="4">
        <v>45545</v>
      </c>
      <c r="B305" s="5">
        <v>0.76231481481481478</v>
      </c>
      <c r="C305">
        <v>81.099999999999994</v>
      </c>
      <c r="D305">
        <v>84</v>
      </c>
      <c r="E305">
        <v>86</v>
      </c>
      <c r="F305">
        <v>81.400000000000006</v>
      </c>
      <c r="G305">
        <v>0</v>
      </c>
      <c r="H305">
        <v>0</v>
      </c>
      <c r="I305">
        <v>0</v>
      </c>
      <c r="J305">
        <v>0</v>
      </c>
      <c r="K305">
        <v>64.7</v>
      </c>
      <c r="L305">
        <v>63.6</v>
      </c>
      <c r="M305">
        <v>83.13</v>
      </c>
      <c r="N305">
        <v>10</v>
      </c>
      <c r="O305">
        <v>7</v>
      </c>
      <c r="P305">
        <f>MOD(DAY(datos_siembra[[#This Row],[Date]]),7)</f>
        <v>3</v>
      </c>
      <c r="Q305" t="str">
        <f>CHOOSE(WEEKDAY(datos_siembra[[#This Row],[Date]],2),"L","M","X","J","V","S","D")</f>
        <v>M</v>
      </c>
      <c r="R305">
        <f>WEEKNUM(datos_siembra[[#This Row],[Date]],2)-WEEKNUM(DATE(YEAR(datos_siembra[[#This Row],[Date]]),MONTH(datos_siembra[[#This Row],[Date]]),1))+1</f>
        <v>2</v>
      </c>
      <c r="S305">
        <f>MONTH(datos_siembra[[#This Row],[Date]])</f>
        <v>9</v>
      </c>
      <c r="T305" t="str" cm="1">
        <f t="array" ref="T305">_xlfn.IFS(AND(N305&lt;= 22, S305=9), "SOWING",AND(N305&lt;= 28, S305=9), "COVERAGE",AND(N305&lt;= 30, S305=9), "FLUSH",AND(N305&lt;= 11, S305=10), "FLUSH",AND(N305&lt;= 21, S305=10), "PRODUCTION")</f>
        <v>SOWING</v>
      </c>
      <c r="U305">
        <f>HOUR(datos_siembra[[#This Row],[Hour]])</f>
        <v>18</v>
      </c>
      <c r="V305" cm="1">
        <f t="array" ref="V305">_xlfn.IFS(AND(N305&lt;= 22, S305=9), N305-7,AND(N305&lt;= 28, S305=9), N305-25,AND(N305&lt;= 30, S305=9), N305-28,AND(N305&lt;= 11, S305=10), N305+2,AND(N305&lt;= 21, S305=10), N305-11)</f>
        <v>3</v>
      </c>
    </row>
    <row r="306" spans="1:22" x14ac:dyDescent="0.35">
      <c r="A306" s="4">
        <v>45545</v>
      </c>
      <c r="B306" s="5">
        <v>0.76925925925925931</v>
      </c>
      <c r="C306">
        <v>81.2</v>
      </c>
      <c r="D306">
        <v>83.9</v>
      </c>
      <c r="E306">
        <v>86.1</v>
      </c>
      <c r="F306">
        <v>81.5</v>
      </c>
      <c r="G306">
        <v>0</v>
      </c>
      <c r="H306">
        <v>0</v>
      </c>
      <c r="I306">
        <v>0</v>
      </c>
      <c r="J306">
        <v>0</v>
      </c>
      <c r="K306">
        <v>64.900000000000006</v>
      </c>
      <c r="L306">
        <v>63.8</v>
      </c>
      <c r="M306">
        <v>83.13</v>
      </c>
      <c r="N306">
        <v>10</v>
      </c>
      <c r="O306">
        <v>7</v>
      </c>
      <c r="P306">
        <f>MOD(DAY(datos_siembra[[#This Row],[Date]]),7)</f>
        <v>3</v>
      </c>
      <c r="Q306" t="str">
        <f>CHOOSE(WEEKDAY(datos_siembra[[#This Row],[Date]],2),"L","M","X","J","V","S","D")</f>
        <v>M</v>
      </c>
      <c r="R306">
        <f>WEEKNUM(datos_siembra[[#This Row],[Date]],2)-WEEKNUM(DATE(YEAR(datos_siembra[[#This Row],[Date]]),MONTH(datos_siembra[[#This Row],[Date]]),1))+1</f>
        <v>2</v>
      </c>
      <c r="S306">
        <f>MONTH(datos_siembra[[#This Row],[Date]])</f>
        <v>9</v>
      </c>
      <c r="T306" t="str" cm="1">
        <f t="array" ref="T306">_xlfn.IFS(AND(N306&lt;= 22, S306=9), "SOWING",AND(N306&lt;= 28, S306=9), "COVERAGE",AND(N306&lt;= 30, S306=9), "FLUSH",AND(N306&lt;= 11, S306=10), "FLUSH",AND(N306&lt;= 21, S306=10), "PRODUCTION")</f>
        <v>SOWING</v>
      </c>
      <c r="U306">
        <f>HOUR(datos_siembra[[#This Row],[Hour]])</f>
        <v>18</v>
      </c>
      <c r="V306" cm="1">
        <f t="array" ref="V306">_xlfn.IFS(AND(N306&lt;= 22, S306=9), N306-7,AND(N306&lt;= 28, S306=9), N306-25,AND(N306&lt;= 30, S306=9), N306-28,AND(N306&lt;= 11, S306=10), N306+2,AND(N306&lt;= 21, S306=10), N306-11)</f>
        <v>3</v>
      </c>
    </row>
    <row r="307" spans="1:22" x14ac:dyDescent="0.35">
      <c r="A307" s="4">
        <v>45545</v>
      </c>
      <c r="B307" s="5">
        <v>0.77621527777777777</v>
      </c>
      <c r="C307">
        <v>81.2</v>
      </c>
      <c r="D307">
        <v>83.9</v>
      </c>
      <c r="E307">
        <v>86.1</v>
      </c>
      <c r="F307">
        <v>81.099999999999994</v>
      </c>
      <c r="G307">
        <v>0</v>
      </c>
      <c r="H307">
        <v>0</v>
      </c>
      <c r="I307">
        <v>0</v>
      </c>
      <c r="J307">
        <v>0</v>
      </c>
      <c r="K307">
        <v>65</v>
      </c>
      <c r="L307">
        <v>63.9</v>
      </c>
      <c r="M307">
        <v>83.05</v>
      </c>
      <c r="N307">
        <v>10</v>
      </c>
      <c r="O307">
        <v>7</v>
      </c>
      <c r="P307">
        <f>MOD(DAY(datos_siembra[[#This Row],[Date]]),7)</f>
        <v>3</v>
      </c>
      <c r="Q307" t="str">
        <f>CHOOSE(WEEKDAY(datos_siembra[[#This Row],[Date]],2),"L","M","X","J","V","S","D")</f>
        <v>M</v>
      </c>
      <c r="R307">
        <f>WEEKNUM(datos_siembra[[#This Row],[Date]],2)-WEEKNUM(DATE(YEAR(datos_siembra[[#This Row],[Date]]),MONTH(datos_siembra[[#This Row],[Date]]),1))+1</f>
        <v>2</v>
      </c>
      <c r="S307">
        <f>MONTH(datos_siembra[[#This Row],[Date]])</f>
        <v>9</v>
      </c>
      <c r="T307" t="str" cm="1">
        <f t="array" ref="T307">_xlfn.IFS(AND(N307&lt;= 22, S307=9), "SOWING",AND(N307&lt;= 28, S307=9), "COVERAGE",AND(N307&lt;= 30, S307=9), "FLUSH",AND(N307&lt;= 11, S307=10), "FLUSH",AND(N307&lt;= 21, S307=10), "PRODUCTION")</f>
        <v>SOWING</v>
      </c>
      <c r="U307">
        <f>HOUR(datos_siembra[[#This Row],[Hour]])</f>
        <v>18</v>
      </c>
      <c r="V307" cm="1">
        <f t="array" ref="V307">_xlfn.IFS(AND(N307&lt;= 22, S307=9), N307-7,AND(N307&lt;= 28, S307=9), N307-25,AND(N307&lt;= 30, S307=9), N307-28,AND(N307&lt;= 11, S307=10), N307+2,AND(N307&lt;= 21, S307=10), N307-11)</f>
        <v>3</v>
      </c>
    </row>
    <row r="308" spans="1:22" x14ac:dyDescent="0.35">
      <c r="A308" s="4">
        <v>45545</v>
      </c>
      <c r="B308" s="5">
        <v>0.78315972222222219</v>
      </c>
      <c r="C308">
        <v>81.2</v>
      </c>
      <c r="D308">
        <v>83.8</v>
      </c>
      <c r="E308">
        <v>86.2</v>
      </c>
      <c r="F308">
        <v>81.400000000000006</v>
      </c>
      <c r="G308">
        <v>0</v>
      </c>
      <c r="H308">
        <v>0</v>
      </c>
      <c r="I308">
        <v>0</v>
      </c>
      <c r="J308">
        <v>0</v>
      </c>
      <c r="K308">
        <v>63.5</v>
      </c>
      <c r="L308">
        <v>61.9</v>
      </c>
      <c r="M308">
        <v>83.1</v>
      </c>
      <c r="N308">
        <v>10</v>
      </c>
      <c r="O308">
        <v>7</v>
      </c>
      <c r="P308">
        <f>MOD(DAY(datos_siembra[[#This Row],[Date]]),7)</f>
        <v>3</v>
      </c>
      <c r="Q308" t="str">
        <f>CHOOSE(WEEKDAY(datos_siembra[[#This Row],[Date]],2),"L","M","X","J","V","S","D")</f>
        <v>M</v>
      </c>
      <c r="R308">
        <f>WEEKNUM(datos_siembra[[#This Row],[Date]],2)-WEEKNUM(DATE(YEAR(datos_siembra[[#This Row],[Date]]),MONTH(datos_siembra[[#This Row],[Date]]),1))+1</f>
        <v>2</v>
      </c>
      <c r="S308">
        <f>MONTH(datos_siembra[[#This Row],[Date]])</f>
        <v>9</v>
      </c>
      <c r="T308" t="str" cm="1">
        <f t="array" ref="T308">_xlfn.IFS(AND(N308&lt;= 22, S308=9), "SOWING",AND(N308&lt;= 28, S308=9), "COVERAGE",AND(N308&lt;= 30, S308=9), "FLUSH",AND(N308&lt;= 11, S308=10), "FLUSH",AND(N308&lt;= 21, S308=10), "PRODUCTION")</f>
        <v>SOWING</v>
      </c>
      <c r="U308">
        <f>HOUR(datos_siembra[[#This Row],[Hour]])</f>
        <v>18</v>
      </c>
      <c r="V308" cm="1">
        <f t="array" ref="V308">_xlfn.IFS(AND(N308&lt;= 22, S308=9), N308-7,AND(N308&lt;= 28, S308=9), N308-25,AND(N308&lt;= 30, S308=9), N308-28,AND(N308&lt;= 11, S308=10), N308+2,AND(N308&lt;= 21, S308=10), N308-11)</f>
        <v>3</v>
      </c>
    </row>
    <row r="309" spans="1:22" x14ac:dyDescent="0.35">
      <c r="A309" s="4">
        <v>45545</v>
      </c>
      <c r="B309" s="5">
        <v>0.79010416666666672</v>
      </c>
      <c r="C309">
        <v>81.099999999999994</v>
      </c>
      <c r="D309">
        <v>83.8</v>
      </c>
      <c r="E309">
        <v>86.1</v>
      </c>
      <c r="F309">
        <v>81.3</v>
      </c>
      <c r="G309">
        <v>0</v>
      </c>
      <c r="H309">
        <v>0</v>
      </c>
      <c r="I309">
        <v>0</v>
      </c>
      <c r="J309">
        <v>0</v>
      </c>
      <c r="K309">
        <v>63.4</v>
      </c>
      <c r="L309">
        <v>61.9</v>
      </c>
      <c r="M309">
        <v>83.16</v>
      </c>
      <c r="N309">
        <v>10</v>
      </c>
      <c r="O309">
        <v>7</v>
      </c>
      <c r="P309">
        <f>MOD(DAY(datos_siembra[[#This Row],[Date]]),7)</f>
        <v>3</v>
      </c>
      <c r="Q309" t="str">
        <f>CHOOSE(WEEKDAY(datos_siembra[[#This Row],[Date]],2),"L","M","X","J","V","S","D")</f>
        <v>M</v>
      </c>
      <c r="R309">
        <f>WEEKNUM(datos_siembra[[#This Row],[Date]],2)-WEEKNUM(DATE(YEAR(datos_siembra[[#This Row],[Date]]),MONTH(datos_siembra[[#This Row],[Date]]),1))+1</f>
        <v>2</v>
      </c>
      <c r="S309">
        <f>MONTH(datos_siembra[[#This Row],[Date]])</f>
        <v>9</v>
      </c>
      <c r="T309" t="str" cm="1">
        <f t="array" ref="T309">_xlfn.IFS(AND(N309&lt;= 22, S309=9), "SOWING",AND(N309&lt;= 28, S309=9), "COVERAGE",AND(N309&lt;= 30, S309=9), "FLUSH",AND(N309&lt;= 11, S309=10), "FLUSH",AND(N309&lt;= 21, S309=10), "PRODUCTION")</f>
        <v>SOWING</v>
      </c>
      <c r="U309">
        <f>HOUR(datos_siembra[[#This Row],[Hour]])</f>
        <v>18</v>
      </c>
      <c r="V309" cm="1">
        <f t="array" ref="V309">_xlfn.IFS(AND(N309&lt;= 22, S309=9), N309-7,AND(N309&lt;= 28, S309=9), N309-25,AND(N309&lt;= 30, S309=9), N309-28,AND(N309&lt;= 11, S309=10), N309+2,AND(N309&lt;= 21, S309=10), N309-11)</f>
        <v>3</v>
      </c>
    </row>
    <row r="310" spans="1:22" x14ac:dyDescent="0.35">
      <c r="A310" s="4">
        <v>45545</v>
      </c>
      <c r="B310" s="5">
        <v>0.79706018518518518</v>
      </c>
      <c r="C310">
        <v>81.2</v>
      </c>
      <c r="D310">
        <v>83.9</v>
      </c>
      <c r="E310">
        <v>86.1</v>
      </c>
      <c r="F310">
        <v>81.2</v>
      </c>
      <c r="G310">
        <v>0</v>
      </c>
      <c r="H310">
        <v>0</v>
      </c>
      <c r="I310">
        <v>0</v>
      </c>
      <c r="J310">
        <v>0</v>
      </c>
      <c r="K310">
        <v>64.2</v>
      </c>
      <c r="L310">
        <v>63</v>
      </c>
      <c r="M310">
        <v>83.1</v>
      </c>
      <c r="N310">
        <v>10</v>
      </c>
      <c r="O310">
        <v>7</v>
      </c>
      <c r="P310">
        <f>MOD(DAY(datos_siembra[[#This Row],[Date]]),7)</f>
        <v>3</v>
      </c>
      <c r="Q310" t="str">
        <f>CHOOSE(WEEKDAY(datos_siembra[[#This Row],[Date]],2),"L","M","X","J","V","S","D")</f>
        <v>M</v>
      </c>
      <c r="R310">
        <f>WEEKNUM(datos_siembra[[#This Row],[Date]],2)-WEEKNUM(DATE(YEAR(datos_siembra[[#This Row],[Date]]),MONTH(datos_siembra[[#This Row],[Date]]),1))+1</f>
        <v>2</v>
      </c>
      <c r="S310">
        <f>MONTH(datos_siembra[[#This Row],[Date]])</f>
        <v>9</v>
      </c>
      <c r="T310" t="str" cm="1">
        <f t="array" ref="T310">_xlfn.IFS(AND(N310&lt;= 22, S310=9), "SOWING",AND(N310&lt;= 28, S310=9), "COVERAGE",AND(N310&lt;= 30, S310=9), "FLUSH",AND(N310&lt;= 11, S310=10), "FLUSH",AND(N310&lt;= 21, S310=10), "PRODUCTION")</f>
        <v>SOWING</v>
      </c>
      <c r="U310">
        <f>HOUR(datos_siembra[[#This Row],[Hour]])</f>
        <v>19</v>
      </c>
      <c r="V310" cm="1">
        <f t="array" ref="V310">_xlfn.IFS(AND(N310&lt;= 22, S310=9), N310-7,AND(N310&lt;= 28, S310=9), N310-25,AND(N310&lt;= 30, S310=9), N310-28,AND(N310&lt;= 11, S310=10), N310+2,AND(N310&lt;= 21, S310=10), N310-11)</f>
        <v>3</v>
      </c>
    </row>
    <row r="311" spans="1:22" x14ac:dyDescent="0.35">
      <c r="A311" s="4">
        <v>45545</v>
      </c>
      <c r="B311" s="5">
        <v>0.8040046296296296</v>
      </c>
      <c r="C311">
        <v>81.099999999999994</v>
      </c>
      <c r="D311">
        <v>83.9</v>
      </c>
      <c r="E311">
        <v>86</v>
      </c>
      <c r="F311">
        <v>81.3</v>
      </c>
      <c r="G311">
        <v>0</v>
      </c>
      <c r="H311">
        <v>0</v>
      </c>
      <c r="I311">
        <v>0</v>
      </c>
      <c r="J311">
        <v>0</v>
      </c>
      <c r="K311">
        <v>64.7</v>
      </c>
      <c r="L311">
        <v>63.5</v>
      </c>
      <c r="M311">
        <v>83.07</v>
      </c>
      <c r="N311">
        <v>10</v>
      </c>
      <c r="O311">
        <v>7</v>
      </c>
      <c r="P311">
        <f>MOD(DAY(datos_siembra[[#This Row],[Date]]),7)</f>
        <v>3</v>
      </c>
      <c r="Q311" t="str">
        <f>CHOOSE(WEEKDAY(datos_siembra[[#This Row],[Date]],2),"L","M","X","J","V","S","D")</f>
        <v>M</v>
      </c>
      <c r="R311">
        <f>WEEKNUM(datos_siembra[[#This Row],[Date]],2)-WEEKNUM(DATE(YEAR(datos_siembra[[#This Row],[Date]]),MONTH(datos_siembra[[#This Row],[Date]]),1))+1</f>
        <v>2</v>
      </c>
      <c r="S311">
        <f>MONTH(datos_siembra[[#This Row],[Date]])</f>
        <v>9</v>
      </c>
      <c r="T311" t="str" cm="1">
        <f t="array" ref="T311">_xlfn.IFS(AND(N311&lt;= 22, S311=9), "SOWING",AND(N311&lt;= 28, S311=9), "COVERAGE",AND(N311&lt;= 30, S311=9), "FLUSH",AND(N311&lt;= 11, S311=10), "FLUSH",AND(N311&lt;= 21, S311=10), "PRODUCTION")</f>
        <v>SOWING</v>
      </c>
      <c r="U311">
        <f>HOUR(datos_siembra[[#This Row],[Hour]])</f>
        <v>19</v>
      </c>
      <c r="V311" cm="1">
        <f t="array" ref="V311">_xlfn.IFS(AND(N311&lt;= 22, S311=9), N311-7,AND(N311&lt;= 28, S311=9), N311-25,AND(N311&lt;= 30, S311=9), N311-28,AND(N311&lt;= 11, S311=10), N311+2,AND(N311&lt;= 21, S311=10), N311-11)</f>
        <v>3</v>
      </c>
    </row>
    <row r="312" spans="1:22" x14ac:dyDescent="0.35">
      <c r="A312" s="4">
        <v>45545</v>
      </c>
      <c r="B312" s="5">
        <v>0.81094907407407413</v>
      </c>
      <c r="C312">
        <v>81.2</v>
      </c>
      <c r="D312">
        <v>83.8</v>
      </c>
      <c r="E312">
        <v>86.1</v>
      </c>
      <c r="F312">
        <v>81.5</v>
      </c>
      <c r="G312">
        <v>0</v>
      </c>
      <c r="H312">
        <v>0</v>
      </c>
      <c r="I312">
        <v>0</v>
      </c>
      <c r="J312">
        <v>0</v>
      </c>
      <c r="K312">
        <v>64.900000000000006</v>
      </c>
      <c r="L312">
        <v>63.7</v>
      </c>
      <c r="M312">
        <v>83.07</v>
      </c>
      <c r="N312">
        <v>10</v>
      </c>
      <c r="O312">
        <v>7</v>
      </c>
      <c r="P312">
        <f>MOD(DAY(datos_siembra[[#This Row],[Date]]),7)</f>
        <v>3</v>
      </c>
      <c r="Q312" t="str">
        <f>CHOOSE(WEEKDAY(datos_siembra[[#This Row],[Date]],2),"L","M","X","J","V","S","D")</f>
        <v>M</v>
      </c>
      <c r="R312">
        <f>WEEKNUM(datos_siembra[[#This Row],[Date]],2)-WEEKNUM(DATE(YEAR(datos_siembra[[#This Row],[Date]]),MONTH(datos_siembra[[#This Row],[Date]]),1))+1</f>
        <v>2</v>
      </c>
      <c r="S312">
        <f>MONTH(datos_siembra[[#This Row],[Date]])</f>
        <v>9</v>
      </c>
      <c r="T312" t="str" cm="1">
        <f t="array" ref="T312">_xlfn.IFS(AND(N312&lt;= 22, S312=9), "SOWING",AND(N312&lt;= 28, S312=9), "COVERAGE",AND(N312&lt;= 30, S312=9), "FLUSH",AND(N312&lt;= 11, S312=10), "FLUSH",AND(N312&lt;= 21, S312=10), "PRODUCTION")</f>
        <v>SOWING</v>
      </c>
      <c r="U312">
        <f>HOUR(datos_siembra[[#This Row],[Hour]])</f>
        <v>19</v>
      </c>
      <c r="V312" cm="1">
        <f t="array" ref="V312">_xlfn.IFS(AND(N312&lt;= 22, S312=9), N312-7,AND(N312&lt;= 28, S312=9), N312-25,AND(N312&lt;= 30, S312=9), N312-28,AND(N312&lt;= 11, S312=10), N312+2,AND(N312&lt;= 21, S312=10), N312-11)</f>
        <v>3</v>
      </c>
    </row>
    <row r="313" spans="1:22" x14ac:dyDescent="0.35">
      <c r="A313" s="4">
        <v>45545</v>
      </c>
      <c r="B313" s="5">
        <v>0.81789351851851855</v>
      </c>
      <c r="C313">
        <v>80.900000000000006</v>
      </c>
      <c r="D313">
        <v>83.8</v>
      </c>
      <c r="E313">
        <v>86.1</v>
      </c>
      <c r="F313">
        <v>81.099999999999994</v>
      </c>
      <c r="G313">
        <v>0</v>
      </c>
      <c r="H313">
        <v>0</v>
      </c>
      <c r="I313">
        <v>0</v>
      </c>
      <c r="J313">
        <v>0</v>
      </c>
      <c r="K313">
        <v>65</v>
      </c>
      <c r="L313">
        <v>63.8</v>
      </c>
      <c r="M313">
        <v>83.1</v>
      </c>
      <c r="N313">
        <v>10</v>
      </c>
      <c r="O313">
        <v>7</v>
      </c>
      <c r="P313">
        <f>MOD(DAY(datos_siembra[[#This Row],[Date]]),7)</f>
        <v>3</v>
      </c>
      <c r="Q313" t="str">
        <f>CHOOSE(WEEKDAY(datos_siembra[[#This Row],[Date]],2),"L","M","X","J","V","S","D")</f>
        <v>M</v>
      </c>
      <c r="R313">
        <f>WEEKNUM(datos_siembra[[#This Row],[Date]],2)-WEEKNUM(DATE(YEAR(datos_siembra[[#This Row],[Date]]),MONTH(datos_siembra[[#This Row],[Date]]),1))+1</f>
        <v>2</v>
      </c>
      <c r="S313">
        <f>MONTH(datos_siembra[[#This Row],[Date]])</f>
        <v>9</v>
      </c>
      <c r="T313" t="str" cm="1">
        <f t="array" ref="T313">_xlfn.IFS(AND(N313&lt;= 22, S313=9), "SOWING",AND(N313&lt;= 28, S313=9), "COVERAGE",AND(N313&lt;= 30, S313=9), "FLUSH",AND(N313&lt;= 11, S313=10), "FLUSH",AND(N313&lt;= 21, S313=10), "PRODUCTION")</f>
        <v>SOWING</v>
      </c>
      <c r="U313">
        <f>HOUR(datos_siembra[[#This Row],[Hour]])</f>
        <v>19</v>
      </c>
      <c r="V313" cm="1">
        <f t="array" ref="V313">_xlfn.IFS(AND(N313&lt;= 22, S313=9), N313-7,AND(N313&lt;= 28, S313=9), N313-25,AND(N313&lt;= 30, S313=9), N313-28,AND(N313&lt;= 11, S313=10), N313+2,AND(N313&lt;= 21, S313=10), N313-11)</f>
        <v>3</v>
      </c>
    </row>
    <row r="314" spans="1:22" x14ac:dyDescent="0.35">
      <c r="A314" s="4">
        <v>45545</v>
      </c>
      <c r="B314" s="5">
        <v>0.82484953703703701</v>
      </c>
      <c r="C314">
        <v>81.2</v>
      </c>
      <c r="D314">
        <v>83.8</v>
      </c>
      <c r="E314">
        <v>86.1</v>
      </c>
      <c r="F314">
        <v>81.400000000000006</v>
      </c>
      <c r="G314">
        <v>0</v>
      </c>
      <c r="H314">
        <v>0</v>
      </c>
      <c r="I314">
        <v>0</v>
      </c>
      <c r="J314">
        <v>0</v>
      </c>
      <c r="K314">
        <v>65</v>
      </c>
      <c r="L314">
        <v>63.8</v>
      </c>
      <c r="M314">
        <v>83.05</v>
      </c>
      <c r="N314">
        <v>10</v>
      </c>
      <c r="O314">
        <v>7</v>
      </c>
      <c r="P314">
        <f>MOD(DAY(datos_siembra[[#This Row],[Date]]),7)</f>
        <v>3</v>
      </c>
      <c r="Q314" t="str">
        <f>CHOOSE(WEEKDAY(datos_siembra[[#This Row],[Date]],2),"L","M","X","J","V","S","D")</f>
        <v>M</v>
      </c>
      <c r="R314">
        <f>WEEKNUM(datos_siembra[[#This Row],[Date]],2)-WEEKNUM(DATE(YEAR(datos_siembra[[#This Row],[Date]]),MONTH(datos_siembra[[#This Row],[Date]]),1))+1</f>
        <v>2</v>
      </c>
      <c r="S314">
        <f>MONTH(datos_siembra[[#This Row],[Date]])</f>
        <v>9</v>
      </c>
      <c r="T314" t="str" cm="1">
        <f t="array" ref="T314">_xlfn.IFS(AND(N314&lt;= 22, S314=9), "SOWING",AND(N314&lt;= 28, S314=9), "COVERAGE",AND(N314&lt;= 30, S314=9), "FLUSH",AND(N314&lt;= 11, S314=10), "FLUSH",AND(N314&lt;= 21, S314=10), "PRODUCTION")</f>
        <v>SOWING</v>
      </c>
      <c r="U314">
        <f>HOUR(datos_siembra[[#This Row],[Hour]])</f>
        <v>19</v>
      </c>
      <c r="V314" cm="1">
        <f t="array" ref="V314">_xlfn.IFS(AND(N314&lt;= 22, S314=9), N314-7,AND(N314&lt;= 28, S314=9), N314-25,AND(N314&lt;= 30, S314=9), N314-28,AND(N314&lt;= 11, S314=10), N314+2,AND(N314&lt;= 21, S314=10), N314-11)</f>
        <v>3</v>
      </c>
    </row>
    <row r="315" spans="1:22" x14ac:dyDescent="0.35">
      <c r="A315" s="4">
        <v>45545</v>
      </c>
      <c r="B315" s="5">
        <v>0.83179398148148154</v>
      </c>
      <c r="C315">
        <v>81.099999999999994</v>
      </c>
      <c r="D315">
        <v>83.5</v>
      </c>
      <c r="E315">
        <v>86.1</v>
      </c>
      <c r="F315">
        <v>81.2</v>
      </c>
      <c r="G315">
        <v>0</v>
      </c>
      <c r="H315">
        <v>0</v>
      </c>
      <c r="I315">
        <v>0</v>
      </c>
      <c r="J315">
        <v>0</v>
      </c>
      <c r="K315">
        <v>63.7</v>
      </c>
      <c r="L315">
        <v>62.2</v>
      </c>
      <c r="M315">
        <v>83.07</v>
      </c>
      <c r="N315">
        <v>10</v>
      </c>
      <c r="O315">
        <v>7</v>
      </c>
      <c r="P315">
        <f>MOD(DAY(datos_siembra[[#This Row],[Date]]),7)</f>
        <v>3</v>
      </c>
      <c r="Q315" t="str">
        <f>CHOOSE(WEEKDAY(datos_siembra[[#This Row],[Date]],2),"L","M","X","J","V","S","D")</f>
        <v>M</v>
      </c>
      <c r="R315">
        <f>WEEKNUM(datos_siembra[[#This Row],[Date]],2)-WEEKNUM(DATE(YEAR(datos_siembra[[#This Row],[Date]]),MONTH(datos_siembra[[#This Row],[Date]]),1))+1</f>
        <v>2</v>
      </c>
      <c r="S315">
        <f>MONTH(datos_siembra[[#This Row],[Date]])</f>
        <v>9</v>
      </c>
      <c r="T315" t="str" cm="1">
        <f t="array" ref="T315">_xlfn.IFS(AND(N315&lt;= 22, S315=9), "SOWING",AND(N315&lt;= 28, S315=9), "COVERAGE",AND(N315&lt;= 30, S315=9), "FLUSH",AND(N315&lt;= 11, S315=10), "FLUSH",AND(N315&lt;= 21, S315=10), "PRODUCTION")</f>
        <v>SOWING</v>
      </c>
      <c r="U315">
        <f>HOUR(datos_siembra[[#This Row],[Hour]])</f>
        <v>19</v>
      </c>
      <c r="V315" cm="1">
        <f t="array" ref="V315">_xlfn.IFS(AND(N315&lt;= 22, S315=9), N315-7,AND(N315&lt;= 28, S315=9), N315-25,AND(N315&lt;= 30, S315=9), N315-28,AND(N315&lt;= 11, S315=10), N315+2,AND(N315&lt;= 21, S315=10), N315-11)</f>
        <v>3</v>
      </c>
    </row>
    <row r="316" spans="1:22" x14ac:dyDescent="0.35">
      <c r="A316" s="4">
        <v>45545</v>
      </c>
      <c r="B316" s="5">
        <v>0.83873842592592596</v>
      </c>
      <c r="C316">
        <v>81.099999999999994</v>
      </c>
      <c r="D316">
        <v>83.6</v>
      </c>
      <c r="E316">
        <v>86.1</v>
      </c>
      <c r="F316">
        <v>81.2</v>
      </c>
      <c r="G316">
        <v>0</v>
      </c>
      <c r="H316">
        <v>0</v>
      </c>
      <c r="I316">
        <v>0</v>
      </c>
      <c r="J316">
        <v>0</v>
      </c>
      <c r="K316">
        <v>63.7</v>
      </c>
      <c r="L316">
        <v>62.4</v>
      </c>
      <c r="M316">
        <v>83.05</v>
      </c>
      <c r="N316">
        <v>10</v>
      </c>
      <c r="O316">
        <v>7</v>
      </c>
      <c r="P316">
        <f>MOD(DAY(datos_siembra[[#This Row],[Date]]),7)</f>
        <v>3</v>
      </c>
      <c r="Q316" t="str">
        <f>CHOOSE(WEEKDAY(datos_siembra[[#This Row],[Date]],2),"L","M","X","J","V","S","D")</f>
        <v>M</v>
      </c>
      <c r="R316">
        <f>WEEKNUM(datos_siembra[[#This Row],[Date]],2)-WEEKNUM(DATE(YEAR(datos_siembra[[#This Row],[Date]]),MONTH(datos_siembra[[#This Row],[Date]]),1))+1</f>
        <v>2</v>
      </c>
      <c r="S316">
        <f>MONTH(datos_siembra[[#This Row],[Date]])</f>
        <v>9</v>
      </c>
      <c r="T316" t="str" cm="1">
        <f t="array" ref="T316">_xlfn.IFS(AND(N316&lt;= 22, S316=9), "SOWING",AND(N316&lt;= 28, S316=9), "COVERAGE",AND(N316&lt;= 30, S316=9), "FLUSH",AND(N316&lt;= 11, S316=10), "FLUSH",AND(N316&lt;= 21, S316=10), "PRODUCTION")</f>
        <v>SOWING</v>
      </c>
      <c r="U316">
        <f>HOUR(datos_siembra[[#This Row],[Hour]])</f>
        <v>20</v>
      </c>
      <c r="V316" cm="1">
        <f t="array" ref="V316">_xlfn.IFS(AND(N316&lt;= 22, S316=9), N316-7,AND(N316&lt;= 28, S316=9), N316-25,AND(N316&lt;= 30, S316=9), N316-28,AND(N316&lt;= 11, S316=10), N316+2,AND(N316&lt;= 21, S316=10), N316-11)</f>
        <v>3</v>
      </c>
    </row>
    <row r="317" spans="1:22" x14ac:dyDescent="0.35">
      <c r="A317" s="4">
        <v>45545</v>
      </c>
      <c r="B317" s="5">
        <v>0.84569444444444442</v>
      </c>
      <c r="C317">
        <v>80.900000000000006</v>
      </c>
      <c r="D317">
        <v>83.8</v>
      </c>
      <c r="E317">
        <v>86.1</v>
      </c>
      <c r="F317">
        <v>81.099999999999994</v>
      </c>
      <c r="G317">
        <v>0</v>
      </c>
      <c r="H317">
        <v>0</v>
      </c>
      <c r="I317">
        <v>0</v>
      </c>
      <c r="J317">
        <v>0</v>
      </c>
      <c r="K317">
        <v>64.400000000000006</v>
      </c>
      <c r="L317">
        <v>63.2</v>
      </c>
      <c r="M317">
        <v>82.96</v>
      </c>
      <c r="N317">
        <v>10</v>
      </c>
      <c r="O317">
        <v>7</v>
      </c>
      <c r="P317">
        <f>MOD(DAY(datos_siembra[[#This Row],[Date]]),7)</f>
        <v>3</v>
      </c>
      <c r="Q317" t="str">
        <f>CHOOSE(WEEKDAY(datos_siembra[[#This Row],[Date]],2),"L","M","X","J","V","S","D")</f>
        <v>M</v>
      </c>
      <c r="R317">
        <f>WEEKNUM(datos_siembra[[#This Row],[Date]],2)-WEEKNUM(DATE(YEAR(datos_siembra[[#This Row],[Date]]),MONTH(datos_siembra[[#This Row],[Date]]),1))+1</f>
        <v>2</v>
      </c>
      <c r="S317">
        <f>MONTH(datos_siembra[[#This Row],[Date]])</f>
        <v>9</v>
      </c>
      <c r="T317" t="str" cm="1">
        <f t="array" ref="T317">_xlfn.IFS(AND(N317&lt;= 22, S317=9), "SOWING",AND(N317&lt;= 28, S317=9), "COVERAGE",AND(N317&lt;= 30, S317=9), "FLUSH",AND(N317&lt;= 11, S317=10), "FLUSH",AND(N317&lt;= 21, S317=10), "PRODUCTION")</f>
        <v>SOWING</v>
      </c>
      <c r="U317">
        <f>HOUR(datos_siembra[[#This Row],[Hour]])</f>
        <v>20</v>
      </c>
      <c r="V317" cm="1">
        <f t="array" ref="V317">_xlfn.IFS(AND(N317&lt;= 22, S317=9), N317-7,AND(N317&lt;= 28, S317=9), N317-25,AND(N317&lt;= 30, S317=9), N317-28,AND(N317&lt;= 11, S317=10), N317+2,AND(N317&lt;= 21, S317=10), N317-11)</f>
        <v>3</v>
      </c>
    </row>
    <row r="318" spans="1:22" x14ac:dyDescent="0.35">
      <c r="A318" s="4">
        <v>45545</v>
      </c>
      <c r="B318" s="5">
        <v>0.85263888888888884</v>
      </c>
      <c r="C318">
        <v>81.2</v>
      </c>
      <c r="D318">
        <v>83.5</v>
      </c>
      <c r="E318">
        <v>86.1</v>
      </c>
      <c r="F318">
        <v>81.3</v>
      </c>
      <c r="G318">
        <v>0</v>
      </c>
      <c r="H318">
        <v>0</v>
      </c>
      <c r="I318">
        <v>0</v>
      </c>
      <c r="J318">
        <v>0</v>
      </c>
      <c r="K318">
        <v>64.7</v>
      </c>
      <c r="L318">
        <v>63.6</v>
      </c>
      <c r="M318">
        <v>82.99</v>
      </c>
      <c r="N318">
        <v>10</v>
      </c>
      <c r="O318">
        <v>7</v>
      </c>
      <c r="P318">
        <f>MOD(DAY(datos_siembra[[#This Row],[Date]]),7)</f>
        <v>3</v>
      </c>
      <c r="Q318" t="str">
        <f>CHOOSE(WEEKDAY(datos_siembra[[#This Row],[Date]],2),"L","M","X","J","V","S","D")</f>
        <v>M</v>
      </c>
      <c r="R318">
        <f>WEEKNUM(datos_siembra[[#This Row],[Date]],2)-WEEKNUM(DATE(YEAR(datos_siembra[[#This Row],[Date]]),MONTH(datos_siembra[[#This Row],[Date]]),1))+1</f>
        <v>2</v>
      </c>
      <c r="S318">
        <f>MONTH(datos_siembra[[#This Row],[Date]])</f>
        <v>9</v>
      </c>
      <c r="T318" t="str" cm="1">
        <f t="array" ref="T318">_xlfn.IFS(AND(N318&lt;= 22, S318=9), "SOWING",AND(N318&lt;= 28, S318=9), "COVERAGE",AND(N318&lt;= 30, S318=9), "FLUSH",AND(N318&lt;= 11, S318=10), "FLUSH",AND(N318&lt;= 21, S318=10), "PRODUCTION")</f>
        <v>SOWING</v>
      </c>
      <c r="U318">
        <f>HOUR(datos_siembra[[#This Row],[Hour]])</f>
        <v>20</v>
      </c>
      <c r="V318" cm="1">
        <f t="array" ref="V318">_xlfn.IFS(AND(N318&lt;= 22, S318=9), N318-7,AND(N318&lt;= 28, S318=9), N318-25,AND(N318&lt;= 30, S318=9), N318-28,AND(N318&lt;= 11, S318=10), N318+2,AND(N318&lt;= 21, S318=10), N318-11)</f>
        <v>3</v>
      </c>
    </row>
    <row r="319" spans="1:22" x14ac:dyDescent="0.35">
      <c r="A319" s="4">
        <v>45545</v>
      </c>
      <c r="B319" s="5">
        <v>0.85958333333333337</v>
      </c>
      <c r="C319">
        <v>81.099999999999994</v>
      </c>
      <c r="D319">
        <v>83.5</v>
      </c>
      <c r="E319">
        <v>86.2</v>
      </c>
      <c r="F319">
        <v>81.3</v>
      </c>
      <c r="G319">
        <v>0</v>
      </c>
      <c r="H319">
        <v>0</v>
      </c>
      <c r="I319">
        <v>0</v>
      </c>
      <c r="J319">
        <v>0</v>
      </c>
      <c r="K319">
        <v>64.900000000000006</v>
      </c>
      <c r="L319">
        <v>63.7</v>
      </c>
      <c r="M319">
        <v>83.05</v>
      </c>
      <c r="N319">
        <v>10</v>
      </c>
      <c r="O319">
        <v>7</v>
      </c>
      <c r="P319">
        <f>MOD(DAY(datos_siembra[[#This Row],[Date]]),7)</f>
        <v>3</v>
      </c>
      <c r="Q319" t="str">
        <f>CHOOSE(WEEKDAY(datos_siembra[[#This Row],[Date]],2),"L","M","X","J","V","S","D")</f>
        <v>M</v>
      </c>
      <c r="R319">
        <f>WEEKNUM(datos_siembra[[#This Row],[Date]],2)-WEEKNUM(DATE(YEAR(datos_siembra[[#This Row],[Date]]),MONTH(datos_siembra[[#This Row],[Date]]),1))+1</f>
        <v>2</v>
      </c>
      <c r="S319">
        <f>MONTH(datos_siembra[[#This Row],[Date]])</f>
        <v>9</v>
      </c>
      <c r="T319" t="str" cm="1">
        <f t="array" ref="T319">_xlfn.IFS(AND(N319&lt;= 22, S319=9), "SOWING",AND(N319&lt;= 28, S319=9), "COVERAGE",AND(N319&lt;= 30, S319=9), "FLUSH",AND(N319&lt;= 11, S319=10), "FLUSH",AND(N319&lt;= 21, S319=10), "PRODUCTION")</f>
        <v>SOWING</v>
      </c>
      <c r="U319">
        <f>HOUR(datos_siembra[[#This Row],[Hour]])</f>
        <v>20</v>
      </c>
      <c r="V319" cm="1">
        <f t="array" ref="V319">_xlfn.IFS(AND(N319&lt;= 22, S319=9), N319-7,AND(N319&lt;= 28, S319=9), N319-25,AND(N319&lt;= 30, S319=9), N319-28,AND(N319&lt;= 11, S319=10), N319+2,AND(N319&lt;= 21, S319=10), N319-11)</f>
        <v>3</v>
      </c>
    </row>
    <row r="320" spans="1:22" x14ac:dyDescent="0.35">
      <c r="A320" s="4">
        <v>45545</v>
      </c>
      <c r="B320" s="5">
        <v>0.86652777777777779</v>
      </c>
      <c r="C320">
        <v>81.2</v>
      </c>
      <c r="D320">
        <v>83.5</v>
      </c>
      <c r="E320">
        <v>86.1</v>
      </c>
      <c r="F320">
        <v>81.3</v>
      </c>
      <c r="G320">
        <v>0</v>
      </c>
      <c r="H320">
        <v>0</v>
      </c>
      <c r="I320">
        <v>0</v>
      </c>
      <c r="J320">
        <v>0</v>
      </c>
      <c r="K320">
        <v>65</v>
      </c>
      <c r="L320">
        <v>63.8</v>
      </c>
      <c r="M320">
        <v>83.02</v>
      </c>
      <c r="N320">
        <v>10</v>
      </c>
      <c r="O320">
        <v>7</v>
      </c>
      <c r="P320">
        <f>MOD(DAY(datos_siembra[[#This Row],[Date]]),7)</f>
        <v>3</v>
      </c>
      <c r="Q320" t="str">
        <f>CHOOSE(WEEKDAY(datos_siembra[[#This Row],[Date]],2),"L","M","X","J","V","S","D")</f>
        <v>M</v>
      </c>
      <c r="R320">
        <f>WEEKNUM(datos_siembra[[#This Row],[Date]],2)-WEEKNUM(DATE(YEAR(datos_siembra[[#This Row],[Date]]),MONTH(datos_siembra[[#This Row],[Date]]),1))+1</f>
        <v>2</v>
      </c>
      <c r="S320">
        <f>MONTH(datos_siembra[[#This Row],[Date]])</f>
        <v>9</v>
      </c>
      <c r="T320" t="str" cm="1">
        <f t="array" ref="T320">_xlfn.IFS(AND(N320&lt;= 22, S320=9), "SOWING",AND(N320&lt;= 28, S320=9), "COVERAGE",AND(N320&lt;= 30, S320=9), "FLUSH",AND(N320&lt;= 11, S320=10), "FLUSH",AND(N320&lt;= 21, S320=10), "PRODUCTION")</f>
        <v>SOWING</v>
      </c>
      <c r="U320">
        <f>HOUR(datos_siembra[[#This Row],[Hour]])</f>
        <v>20</v>
      </c>
      <c r="V320" cm="1">
        <f t="array" ref="V320">_xlfn.IFS(AND(N320&lt;= 22, S320=9), N320-7,AND(N320&lt;= 28, S320=9), N320-25,AND(N320&lt;= 30, S320=9), N320-28,AND(N320&lt;= 11, S320=10), N320+2,AND(N320&lt;= 21, S320=10), N320-11)</f>
        <v>3</v>
      </c>
    </row>
    <row r="321" spans="1:22" x14ac:dyDescent="0.35">
      <c r="A321" s="4">
        <v>45545</v>
      </c>
      <c r="B321" s="5">
        <v>0.87348379629629624</v>
      </c>
      <c r="C321">
        <v>81.2</v>
      </c>
      <c r="D321">
        <v>83.6</v>
      </c>
      <c r="E321">
        <v>86.1</v>
      </c>
      <c r="F321">
        <v>81.2</v>
      </c>
      <c r="G321">
        <v>0</v>
      </c>
      <c r="H321">
        <v>0</v>
      </c>
      <c r="I321">
        <v>0</v>
      </c>
      <c r="J321">
        <v>0</v>
      </c>
      <c r="K321">
        <v>65</v>
      </c>
      <c r="L321">
        <v>63.9</v>
      </c>
      <c r="M321">
        <v>83.02</v>
      </c>
      <c r="N321">
        <v>10</v>
      </c>
      <c r="O321">
        <v>7</v>
      </c>
      <c r="P321">
        <f>MOD(DAY(datos_siembra[[#This Row],[Date]]),7)</f>
        <v>3</v>
      </c>
      <c r="Q321" t="str">
        <f>CHOOSE(WEEKDAY(datos_siembra[[#This Row],[Date]],2),"L","M","X","J","V","S","D")</f>
        <v>M</v>
      </c>
      <c r="R321">
        <f>WEEKNUM(datos_siembra[[#This Row],[Date]],2)-WEEKNUM(DATE(YEAR(datos_siembra[[#This Row],[Date]]),MONTH(datos_siembra[[#This Row],[Date]]),1))+1</f>
        <v>2</v>
      </c>
      <c r="S321">
        <f>MONTH(datos_siembra[[#This Row],[Date]])</f>
        <v>9</v>
      </c>
      <c r="T321" t="str" cm="1">
        <f t="array" ref="T321">_xlfn.IFS(AND(N321&lt;= 22, S321=9), "SOWING",AND(N321&lt;= 28, S321=9), "COVERAGE",AND(N321&lt;= 30, S321=9), "FLUSH",AND(N321&lt;= 11, S321=10), "FLUSH",AND(N321&lt;= 21, S321=10), "PRODUCTION")</f>
        <v>SOWING</v>
      </c>
      <c r="U321">
        <f>HOUR(datos_siembra[[#This Row],[Hour]])</f>
        <v>20</v>
      </c>
      <c r="V321" cm="1">
        <f t="array" ref="V321">_xlfn.IFS(AND(N321&lt;= 22, S321=9), N321-7,AND(N321&lt;= 28, S321=9), N321-25,AND(N321&lt;= 30, S321=9), N321-28,AND(N321&lt;= 11, S321=10), N321+2,AND(N321&lt;= 21, S321=10), N321-11)</f>
        <v>3</v>
      </c>
    </row>
    <row r="322" spans="1:22" x14ac:dyDescent="0.35">
      <c r="A322" s="4">
        <v>45545</v>
      </c>
      <c r="B322" s="5">
        <v>0.88042824074074078</v>
      </c>
      <c r="C322">
        <v>81.3</v>
      </c>
      <c r="D322">
        <v>83.5</v>
      </c>
      <c r="E322">
        <v>86.2</v>
      </c>
      <c r="F322">
        <v>81.3</v>
      </c>
      <c r="G322">
        <v>0</v>
      </c>
      <c r="H322">
        <v>0</v>
      </c>
      <c r="I322">
        <v>0</v>
      </c>
      <c r="J322">
        <v>0</v>
      </c>
      <c r="K322">
        <v>63.5</v>
      </c>
      <c r="L322">
        <v>61.9</v>
      </c>
      <c r="M322">
        <v>83.07</v>
      </c>
      <c r="N322">
        <v>10</v>
      </c>
      <c r="O322">
        <v>7</v>
      </c>
      <c r="P322">
        <f>MOD(DAY(datos_siembra[[#This Row],[Date]]),7)</f>
        <v>3</v>
      </c>
      <c r="Q322" t="str">
        <f>CHOOSE(WEEKDAY(datos_siembra[[#This Row],[Date]],2),"L","M","X","J","V","S","D")</f>
        <v>M</v>
      </c>
      <c r="R322">
        <f>WEEKNUM(datos_siembra[[#This Row],[Date]],2)-WEEKNUM(DATE(YEAR(datos_siembra[[#This Row],[Date]]),MONTH(datos_siembra[[#This Row],[Date]]),1))+1</f>
        <v>2</v>
      </c>
      <c r="S322">
        <f>MONTH(datos_siembra[[#This Row],[Date]])</f>
        <v>9</v>
      </c>
      <c r="T322" t="str" cm="1">
        <f t="array" ref="T322">_xlfn.IFS(AND(N322&lt;= 22, S322=9), "SOWING",AND(N322&lt;= 28, S322=9), "COVERAGE",AND(N322&lt;= 30, S322=9), "FLUSH",AND(N322&lt;= 11, S322=10), "FLUSH",AND(N322&lt;= 21, S322=10), "PRODUCTION")</f>
        <v>SOWING</v>
      </c>
      <c r="U322">
        <f>HOUR(datos_siembra[[#This Row],[Hour]])</f>
        <v>21</v>
      </c>
      <c r="V322" cm="1">
        <f t="array" ref="V322">_xlfn.IFS(AND(N322&lt;= 22, S322=9), N322-7,AND(N322&lt;= 28, S322=9), N322-25,AND(N322&lt;= 30, S322=9), N322-28,AND(N322&lt;= 11, S322=10), N322+2,AND(N322&lt;= 21, S322=10), N322-11)</f>
        <v>3</v>
      </c>
    </row>
    <row r="323" spans="1:22" x14ac:dyDescent="0.35">
      <c r="A323" s="4">
        <v>45545</v>
      </c>
      <c r="B323" s="5">
        <v>0.88737268518518519</v>
      </c>
      <c r="C323">
        <v>81.2</v>
      </c>
      <c r="D323">
        <v>83.5</v>
      </c>
      <c r="E323">
        <v>86.1</v>
      </c>
      <c r="F323">
        <v>81.3</v>
      </c>
      <c r="G323">
        <v>0</v>
      </c>
      <c r="H323">
        <v>0</v>
      </c>
      <c r="I323">
        <v>0</v>
      </c>
      <c r="J323">
        <v>0</v>
      </c>
      <c r="K323">
        <v>63.6</v>
      </c>
      <c r="L323">
        <v>62</v>
      </c>
      <c r="M323">
        <v>83.07</v>
      </c>
      <c r="N323">
        <v>10</v>
      </c>
      <c r="O323">
        <v>7</v>
      </c>
      <c r="P323">
        <f>MOD(DAY(datos_siembra[[#This Row],[Date]]),7)</f>
        <v>3</v>
      </c>
      <c r="Q323" t="str">
        <f>CHOOSE(WEEKDAY(datos_siembra[[#This Row],[Date]],2),"L","M","X","J","V","S","D")</f>
        <v>M</v>
      </c>
      <c r="R323">
        <f>WEEKNUM(datos_siembra[[#This Row],[Date]],2)-WEEKNUM(DATE(YEAR(datos_siembra[[#This Row],[Date]]),MONTH(datos_siembra[[#This Row],[Date]]),1))+1</f>
        <v>2</v>
      </c>
      <c r="S323">
        <f>MONTH(datos_siembra[[#This Row],[Date]])</f>
        <v>9</v>
      </c>
      <c r="T323" t="str" cm="1">
        <f t="array" ref="T323">_xlfn.IFS(AND(N323&lt;= 22, S323=9), "SOWING",AND(N323&lt;= 28, S323=9), "COVERAGE",AND(N323&lt;= 30, S323=9), "FLUSH",AND(N323&lt;= 11, S323=10), "FLUSH",AND(N323&lt;= 21, S323=10), "PRODUCTION")</f>
        <v>SOWING</v>
      </c>
      <c r="U323">
        <f>HOUR(datos_siembra[[#This Row],[Hour]])</f>
        <v>21</v>
      </c>
      <c r="V323" cm="1">
        <f t="array" ref="V323">_xlfn.IFS(AND(N323&lt;= 22, S323=9), N323-7,AND(N323&lt;= 28, S323=9), N323-25,AND(N323&lt;= 30, S323=9), N323-28,AND(N323&lt;= 11, S323=10), N323+2,AND(N323&lt;= 21, S323=10), N323-11)</f>
        <v>3</v>
      </c>
    </row>
    <row r="324" spans="1:22" x14ac:dyDescent="0.35">
      <c r="A324" s="4">
        <v>45545</v>
      </c>
      <c r="B324" s="5">
        <v>0.89431712962962961</v>
      </c>
      <c r="C324">
        <v>81.099999999999994</v>
      </c>
      <c r="D324">
        <v>83.5</v>
      </c>
      <c r="E324">
        <v>86.1</v>
      </c>
      <c r="F324">
        <v>81.400000000000006</v>
      </c>
      <c r="G324">
        <v>0</v>
      </c>
      <c r="H324">
        <v>0</v>
      </c>
      <c r="I324">
        <v>0</v>
      </c>
      <c r="J324">
        <v>0</v>
      </c>
      <c r="K324">
        <v>64.3</v>
      </c>
      <c r="L324">
        <v>62.9</v>
      </c>
      <c r="M324">
        <v>83.07</v>
      </c>
      <c r="N324">
        <v>10</v>
      </c>
      <c r="O324">
        <v>7</v>
      </c>
      <c r="P324">
        <f>MOD(DAY(datos_siembra[[#This Row],[Date]]),7)</f>
        <v>3</v>
      </c>
      <c r="Q324" t="str">
        <f>CHOOSE(WEEKDAY(datos_siembra[[#This Row],[Date]],2),"L","M","X","J","V","S","D")</f>
        <v>M</v>
      </c>
      <c r="R324">
        <f>WEEKNUM(datos_siembra[[#This Row],[Date]],2)-WEEKNUM(DATE(YEAR(datos_siembra[[#This Row],[Date]]),MONTH(datos_siembra[[#This Row],[Date]]),1))+1</f>
        <v>2</v>
      </c>
      <c r="S324">
        <f>MONTH(datos_siembra[[#This Row],[Date]])</f>
        <v>9</v>
      </c>
      <c r="T324" t="str" cm="1">
        <f t="array" ref="T324">_xlfn.IFS(AND(N324&lt;= 22, S324=9), "SOWING",AND(N324&lt;= 28, S324=9), "COVERAGE",AND(N324&lt;= 30, S324=9), "FLUSH",AND(N324&lt;= 11, S324=10), "FLUSH",AND(N324&lt;= 21, S324=10), "PRODUCTION")</f>
        <v>SOWING</v>
      </c>
      <c r="U324">
        <f>HOUR(datos_siembra[[#This Row],[Hour]])</f>
        <v>21</v>
      </c>
      <c r="V324" cm="1">
        <f t="array" ref="V324">_xlfn.IFS(AND(N324&lt;= 22, S324=9), N324-7,AND(N324&lt;= 28, S324=9), N324-25,AND(N324&lt;= 30, S324=9), N324-28,AND(N324&lt;= 11, S324=10), N324+2,AND(N324&lt;= 21, S324=10), N324-11)</f>
        <v>3</v>
      </c>
    </row>
    <row r="325" spans="1:22" x14ac:dyDescent="0.35">
      <c r="A325" s="4">
        <v>45545</v>
      </c>
      <c r="B325" s="5">
        <v>0.90127314814814818</v>
      </c>
      <c r="C325">
        <v>81.099999999999994</v>
      </c>
      <c r="D325">
        <v>83.6</v>
      </c>
      <c r="E325">
        <v>86</v>
      </c>
      <c r="F325">
        <v>81.3</v>
      </c>
      <c r="G325">
        <v>0</v>
      </c>
      <c r="H325">
        <v>0</v>
      </c>
      <c r="I325">
        <v>0</v>
      </c>
      <c r="J325">
        <v>0</v>
      </c>
      <c r="K325">
        <v>64.599999999999994</v>
      </c>
      <c r="L325">
        <v>63.5</v>
      </c>
      <c r="M325">
        <v>82.96</v>
      </c>
      <c r="N325">
        <v>10</v>
      </c>
      <c r="O325">
        <v>7</v>
      </c>
      <c r="P325">
        <f>MOD(DAY(datos_siembra[[#This Row],[Date]]),7)</f>
        <v>3</v>
      </c>
      <c r="Q325" t="str">
        <f>CHOOSE(WEEKDAY(datos_siembra[[#This Row],[Date]],2),"L","M","X","J","V","S","D")</f>
        <v>M</v>
      </c>
      <c r="R325">
        <f>WEEKNUM(datos_siembra[[#This Row],[Date]],2)-WEEKNUM(DATE(YEAR(datos_siembra[[#This Row],[Date]]),MONTH(datos_siembra[[#This Row],[Date]]),1))+1</f>
        <v>2</v>
      </c>
      <c r="S325">
        <f>MONTH(datos_siembra[[#This Row],[Date]])</f>
        <v>9</v>
      </c>
      <c r="T325" t="str" cm="1">
        <f t="array" ref="T325">_xlfn.IFS(AND(N325&lt;= 22, S325=9), "SOWING",AND(N325&lt;= 28, S325=9), "COVERAGE",AND(N325&lt;= 30, S325=9), "FLUSH",AND(N325&lt;= 11, S325=10), "FLUSH",AND(N325&lt;= 21, S325=10), "PRODUCTION")</f>
        <v>SOWING</v>
      </c>
      <c r="U325">
        <f>HOUR(datos_siembra[[#This Row],[Hour]])</f>
        <v>21</v>
      </c>
      <c r="V325" cm="1">
        <f t="array" ref="V325">_xlfn.IFS(AND(N325&lt;= 22, S325=9), N325-7,AND(N325&lt;= 28, S325=9), N325-25,AND(N325&lt;= 30, S325=9), N325-28,AND(N325&lt;= 11, S325=10), N325+2,AND(N325&lt;= 21, S325=10), N325-11)</f>
        <v>3</v>
      </c>
    </row>
    <row r="326" spans="1:22" x14ac:dyDescent="0.35">
      <c r="A326" s="4">
        <v>45545</v>
      </c>
      <c r="B326" s="5">
        <v>0.9082175925925926</v>
      </c>
      <c r="C326">
        <v>81.099999999999994</v>
      </c>
      <c r="D326">
        <v>83.6</v>
      </c>
      <c r="E326">
        <v>86.1</v>
      </c>
      <c r="F326">
        <v>81.400000000000006</v>
      </c>
      <c r="G326">
        <v>0</v>
      </c>
      <c r="H326">
        <v>0</v>
      </c>
      <c r="I326">
        <v>0</v>
      </c>
      <c r="J326">
        <v>0</v>
      </c>
      <c r="K326">
        <v>64.900000000000006</v>
      </c>
      <c r="L326">
        <v>63.6</v>
      </c>
      <c r="M326">
        <v>83.02</v>
      </c>
      <c r="N326">
        <v>10</v>
      </c>
      <c r="O326">
        <v>7</v>
      </c>
      <c r="P326">
        <f>MOD(DAY(datos_siembra[[#This Row],[Date]]),7)</f>
        <v>3</v>
      </c>
      <c r="Q326" t="str">
        <f>CHOOSE(WEEKDAY(datos_siembra[[#This Row],[Date]],2),"L","M","X","J","V","S","D")</f>
        <v>M</v>
      </c>
      <c r="R326">
        <f>WEEKNUM(datos_siembra[[#This Row],[Date]],2)-WEEKNUM(DATE(YEAR(datos_siembra[[#This Row],[Date]]),MONTH(datos_siembra[[#This Row],[Date]]),1))+1</f>
        <v>2</v>
      </c>
      <c r="S326">
        <f>MONTH(datos_siembra[[#This Row],[Date]])</f>
        <v>9</v>
      </c>
      <c r="T326" t="str" cm="1">
        <f t="array" ref="T326">_xlfn.IFS(AND(N326&lt;= 22, S326=9), "SOWING",AND(N326&lt;= 28, S326=9), "COVERAGE",AND(N326&lt;= 30, S326=9), "FLUSH",AND(N326&lt;= 11, S326=10), "FLUSH",AND(N326&lt;= 21, S326=10), "PRODUCTION")</f>
        <v>SOWING</v>
      </c>
      <c r="U326">
        <f>HOUR(datos_siembra[[#This Row],[Hour]])</f>
        <v>21</v>
      </c>
      <c r="V326" cm="1">
        <f t="array" ref="V326">_xlfn.IFS(AND(N326&lt;= 22, S326=9), N326-7,AND(N326&lt;= 28, S326=9), N326-25,AND(N326&lt;= 30, S326=9), N326-28,AND(N326&lt;= 11, S326=10), N326+2,AND(N326&lt;= 21, S326=10), N326-11)</f>
        <v>3</v>
      </c>
    </row>
    <row r="327" spans="1:22" x14ac:dyDescent="0.35">
      <c r="A327" s="4">
        <v>45545</v>
      </c>
      <c r="B327" s="5">
        <v>0.91516203703703702</v>
      </c>
      <c r="C327">
        <v>81.3</v>
      </c>
      <c r="D327">
        <v>83.5</v>
      </c>
      <c r="E327">
        <v>86.2</v>
      </c>
      <c r="F327">
        <v>81.400000000000006</v>
      </c>
      <c r="G327">
        <v>0</v>
      </c>
      <c r="H327">
        <v>0</v>
      </c>
      <c r="I327">
        <v>0</v>
      </c>
      <c r="J327">
        <v>0</v>
      </c>
      <c r="K327">
        <v>65</v>
      </c>
      <c r="L327">
        <v>63.7</v>
      </c>
      <c r="M327">
        <v>83.02</v>
      </c>
      <c r="N327">
        <v>10</v>
      </c>
      <c r="O327">
        <v>7</v>
      </c>
      <c r="P327">
        <f>MOD(DAY(datos_siembra[[#This Row],[Date]]),7)</f>
        <v>3</v>
      </c>
      <c r="Q327" t="str">
        <f>CHOOSE(WEEKDAY(datos_siembra[[#This Row],[Date]],2),"L","M","X","J","V","S","D")</f>
        <v>M</v>
      </c>
      <c r="R327">
        <f>WEEKNUM(datos_siembra[[#This Row],[Date]],2)-WEEKNUM(DATE(YEAR(datos_siembra[[#This Row],[Date]]),MONTH(datos_siembra[[#This Row],[Date]]),1))+1</f>
        <v>2</v>
      </c>
      <c r="S327">
        <f>MONTH(datos_siembra[[#This Row],[Date]])</f>
        <v>9</v>
      </c>
      <c r="T327" t="str" cm="1">
        <f t="array" ref="T327">_xlfn.IFS(AND(N327&lt;= 22, S327=9), "SOWING",AND(N327&lt;= 28, S327=9), "COVERAGE",AND(N327&lt;= 30, S327=9), "FLUSH",AND(N327&lt;= 11, S327=10), "FLUSH",AND(N327&lt;= 21, S327=10), "PRODUCTION")</f>
        <v>SOWING</v>
      </c>
      <c r="U327">
        <f>HOUR(datos_siembra[[#This Row],[Hour]])</f>
        <v>21</v>
      </c>
      <c r="V327" cm="1">
        <f t="array" ref="V327">_xlfn.IFS(AND(N327&lt;= 22, S327=9), N327-7,AND(N327&lt;= 28, S327=9), N327-25,AND(N327&lt;= 30, S327=9), N327-28,AND(N327&lt;= 11, S327=10), N327+2,AND(N327&lt;= 21, S327=10), N327-11)</f>
        <v>3</v>
      </c>
    </row>
    <row r="328" spans="1:22" x14ac:dyDescent="0.35">
      <c r="A328" s="4">
        <v>45545</v>
      </c>
      <c r="B328" s="5">
        <v>0.92211805555555559</v>
      </c>
      <c r="C328">
        <v>81.099999999999994</v>
      </c>
      <c r="D328">
        <v>83.5</v>
      </c>
      <c r="E328">
        <v>86.2</v>
      </c>
      <c r="F328">
        <v>81.3</v>
      </c>
      <c r="G328">
        <v>0</v>
      </c>
      <c r="H328">
        <v>0</v>
      </c>
      <c r="I328">
        <v>0</v>
      </c>
      <c r="J328">
        <v>0</v>
      </c>
      <c r="K328">
        <v>64.900000000000006</v>
      </c>
      <c r="L328">
        <v>63.7</v>
      </c>
      <c r="M328">
        <v>83.02</v>
      </c>
      <c r="N328">
        <v>10</v>
      </c>
      <c r="O328">
        <v>7</v>
      </c>
      <c r="P328">
        <f>MOD(DAY(datos_siembra[[#This Row],[Date]]),7)</f>
        <v>3</v>
      </c>
      <c r="Q328" t="str">
        <f>CHOOSE(WEEKDAY(datos_siembra[[#This Row],[Date]],2),"L","M","X","J","V","S","D")</f>
        <v>M</v>
      </c>
      <c r="R328">
        <f>WEEKNUM(datos_siembra[[#This Row],[Date]],2)-WEEKNUM(DATE(YEAR(datos_siembra[[#This Row],[Date]]),MONTH(datos_siembra[[#This Row],[Date]]),1))+1</f>
        <v>2</v>
      </c>
      <c r="S328">
        <f>MONTH(datos_siembra[[#This Row],[Date]])</f>
        <v>9</v>
      </c>
      <c r="T328" t="str" cm="1">
        <f t="array" ref="T328">_xlfn.IFS(AND(N328&lt;= 22, S328=9), "SOWING",AND(N328&lt;= 28, S328=9), "COVERAGE",AND(N328&lt;= 30, S328=9), "FLUSH",AND(N328&lt;= 11, S328=10), "FLUSH",AND(N328&lt;= 21, S328=10), "PRODUCTION")</f>
        <v>SOWING</v>
      </c>
      <c r="U328">
        <f>HOUR(datos_siembra[[#This Row],[Hour]])</f>
        <v>22</v>
      </c>
      <c r="V328" cm="1">
        <f t="array" ref="V328">_xlfn.IFS(AND(N328&lt;= 22, S328=9), N328-7,AND(N328&lt;= 28, S328=9), N328-25,AND(N328&lt;= 30, S328=9), N328-28,AND(N328&lt;= 11, S328=10), N328+2,AND(N328&lt;= 21, S328=10), N328-11)</f>
        <v>3</v>
      </c>
    </row>
    <row r="329" spans="1:22" x14ac:dyDescent="0.35">
      <c r="A329" s="4">
        <v>45545</v>
      </c>
      <c r="B329" s="5">
        <v>0.92906250000000001</v>
      </c>
      <c r="C329">
        <v>81.2</v>
      </c>
      <c r="D329">
        <v>83.5</v>
      </c>
      <c r="E329">
        <v>86.1</v>
      </c>
      <c r="F329">
        <v>81.3</v>
      </c>
      <c r="G329">
        <v>0</v>
      </c>
      <c r="H329">
        <v>0</v>
      </c>
      <c r="I329">
        <v>0</v>
      </c>
      <c r="J329">
        <v>0</v>
      </c>
      <c r="K329">
        <v>64.7</v>
      </c>
      <c r="L329">
        <v>63.6</v>
      </c>
      <c r="M329">
        <v>83.02</v>
      </c>
      <c r="N329">
        <v>10</v>
      </c>
      <c r="O329">
        <v>7</v>
      </c>
      <c r="P329">
        <f>MOD(DAY(datos_siembra[[#This Row],[Date]]),7)</f>
        <v>3</v>
      </c>
      <c r="Q329" t="str">
        <f>CHOOSE(WEEKDAY(datos_siembra[[#This Row],[Date]],2),"L","M","X","J","V","S","D")</f>
        <v>M</v>
      </c>
      <c r="R329">
        <f>WEEKNUM(datos_siembra[[#This Row],[Date]],2)-WEEKNUM(DATE(YEAR(datos_siembra[[#This Row],[Date]]),MONTH(datos_siembra[[#This Row],[Date]]),1))+1</f>
        <v>2</v>
      </c>
      <c r="S329">
        <f>MONTH(datos_siembra[[#This Row],[Date]])</f>
        <v>9</v>
      </c>
      <c r="T329" t="str" cm="1">
        <f t="array" ref="T329">_xlfn.IFS(AND(N329&lt;= 22, S329=9), "SOWING",AND(N329&lt;= 28, S329=9), "COVERAGE",AND(N329&lt;= 30, S329=9), "FLUSH",AND(N329&lt;= 11, S329=10), "FLUSH",AND(N329&lt;= 21, S329=10), "PRODUCTION")</f>
        <v>SOWING</v>
      </c>
      <c r="U329">
        <f>HOUR(datos_siembra[[#This Row],[Hour]])</f>
        <v>22</v>
      </c>
      <c r="V329" cm="1">
        <f t="array" ref="V329">_xlfn.IFS(AND(N329&lt;= 22, S329=9), N329-7,AND(N329&lt;= 28, S329=9), N329-25,AND(N329&lt;= 30, S329=9), N329-28,AND(N329&lt;= 11, S329=10), N329+2,AND(N329&lt;= 21, S329=10), N329-11)</f>
        <v>3</v>
      </c>
    </row>
    <row r="330" spans="1:22" x14ac:dyDescent="0.35">
      <c r="A330" s="4">
        <v>45545</v>
      </c>
      <c r="B330" s="5">
        <v>0.93600694444444443</v>
      </c>
      <c r="C330">
        <v>81.2</v>
      </c>
      <c r="D330">
        <v>83.5</v>
      </c>
      <c r="E330">
        <v>86.3</v>
      </c>
      <c r="F330">
        <v>81.400000000000006</v>
      </c>
      <c r="G330">
        <v>0</v>
      </c>
      <c r="H330">
        <v>0</v>
      </c>
      <c r="I330">
        <v>0</v>
      </c>
      <c r="J330">
        <v>0</v>
      </c>
      <c r="K330">
        <v>64.900000000000006</v>
      </c>
      <c r="L330">
        <v>63.7</v>
      </c>
      <c r="M330">
        <v>83.05</v>
      </c>
      <c r="N330">
        <v>10</v>
      </c>
      <c r="O330">
        <v>7</v>
      </c>
      <c r="P330">
        <f>MOD(DAY(datos_siembra[[#This Row],[Date]]),7)</f>
        <v>3</v>
      </c>
      <c r="Q330" t="str">
        <f>CHOOSE(WEEKDAY(datos_siembra[[#This Row],[Date]],2),"L","M","X","J","V","S","D")</f>
        <v>M</v>
      </c>
      <c r="R330">
        <f>WEEKNUM(datos_siembra[[#This Row],[Date]],2)-WEEKNUM(DATE(YEAR(datos_siembra[[#This Row],[Date]]),MONTH(datos_siembra[[#This Row],[Date]]),1))+1</f>
        <v>2</v>
      </c>
      <c r="S330">
        <f>MONTH(datos_siembra[[#This Row],[Date]])</f>
        <v>9</v>
      </c>
      <c r="T330" t="str" cm="1">
        <f t="array" ref="T330">_xlfn.IFS(AND(N330&lt;= 22, S330=9), "SOWING",AND(N330&lt;= 28, S330=9), "COVERAGE",AND(N330&lt;= 30, S330=9), "FLUSH",AND(N330&lt;= 11, S330=10), "FLUSH",AND(N330&lt;= 21, S330=10), "PRODUCTION")</f>
        <v>SOWING</v>
      </c>
      <c r="U330">
        <f>HOUR(datos_siembra[[#This Row],[Hour]])</f>
        <v>22</v>
      </c>
      <c r="V330" cm="1">
        <f t="array" ref="V330">_xlfn.IFS(AND(N330&lt;= 22, S330=9), N330-7,AND(N330&lt;= 28, S330=9), N330-25,AND(N330&lt;= 30, S330=9), N330-28,AND(N330&lt;= 11, S330=10), N330+2,AND(N330&lt;= 21, S330=10), N330-11)</f>
        <v>3</v>
      </c>
    </row>
    <row r="331" spans="1:22" x14ac:dyDescent="0.35">
      <c r="A331" s="4">
        <v>45545</v>
      </c>
      <c r="B331" s="5">
        <v>0.94295138888888885</v>
      </c>
      <c r="C331">
        <v>80.900000000000006</v>
      </c>
      <c r="D331">
        <v>83.4</v>
      </c>
      <c r="E331">
        <v>86.2</v>
      </c>
      <c r="F331">
        <v>81.3</v>
      </c>
      <c r="G331">
        <v>0</v>
      </c>
      <c r="H331">
        <v>0</v>
      </c>
      <c r="I331">
        <v>0</v>
      </c>
      <c r="J331">
        <v>0</v>
      </c>
      <c r="K331">
        <v>64.7</v>
      </c>
      <c r="L331">
        <v>63.6</v>
      </c>
      <c r="M331">
        <v>83.05</v>
      </c>
      <c r="N331">
        <v>10</v>
      </c>
      <c r="O331">
        <v>7</v>
      </c>
      <c r="P331">
        <f>MOD(DAY(datos_siembra[[#This Row],[Date]]),7)</f>
        <v>3</v>
      </c>
      <c r="Q331" t="str">
        <f>CHOOSE(WEEKDAY(datos_siembra[[#This Row],[Date]],2),"L","M","X","J","V","S","D")</f>
        <v>M</v>
      </c>
      <c r="R331">
        <f>WEEKNUM(datos_siembra[[#This Row],[Date]],2)-WEEKNUM(DATE(YEAR(datos_siembra[[#This Row],[Date]]),MONTH(datos_siembra[[#This Row],[Date]]),1))+1</f>
        <v>2</v>
      </c>
      <c r="S331">
        <f>MONTH(datos_siembra[[#This Row],[Date]])</f>
        <v>9</v>
      </c>
      <c r="T331" t="str" cm="1">
        <f t="array" ref="T331">_xlfn.IFS(AND(N331&lt;= 22, S331=9), "SOWING",AND(N331&lt;= 28, S331=9), "COVERAGE",AND(N331&lt;= 30, S331=9), "FLUSH",AND(N331&lt;= 11, S331=10), "FLUSH",AND(N331&lt;= 21, S331=10), "PRODUCTION")</f>
        <v>SOWING</v>
      </c>
      <c r="U331">
        <f>HOUR(datos_siembra[[#This Row],[Hour]])</f>
        <v>22</v>
      </c>
      <c r="V331" cm="1">
        <f t="array" ref="V331">_xlfn.IFS(AND(N331&lt;= 22, S331=9), N331-7,AND(N331&lt;= 28, S331=9), N331-25,AND(N331&lt;= 30, S331=9), N331-28,AND(N331&lt;= 11, S331=10), N331+2,AND(N331&lt;= 21, S331=10), N331-11)</f>
        <v>3</v>
      </c>
    </row>
    <row r="332" spans="1:22" x14ac:dyDescent="0.35">
      <c r="A332" s="4">
        <v>45545</v>
      </c>
      <c r="B332" s="5">
        <v>0.94990740740740742</v>
      </c>
      <c r="C332">
        <v>81.2</v>
      </c>
      <c r="D332">
        <v>83.3</v>
      </c>
      <c r="E332">
        <v>86.3</v>
      </c>
      <c r="F332">
        <v>81.3</v>
      </c>
      <c r="G332">
        <v>0</v>
      </c>
      <c r="H332">
        <v>0</v>
      </c>
      <c r="I332">
        <v>0</v>
      </c>
      <c r="J332">
        <v>0</v>
      </c>
      <c r="K332">
        <v>64.900000000000006</v>
      </c>
      <c r="L332">
        <v>63.6</v>
      </c>
      <c r="M332">
        <v>83.07</v>
      </c>
      <c r="N332">
        <v>10</v>
      </c>
      <c r="O332">
        <v>7</v>
      </c>
      <c r="P332">
        <f>MOD(DAY(datos_siembra[[#This Row],[Date]]),7)</f>
        <v>3</v>
      </c>
      <c r="Q332" t="str">
        <f>CHOOSE(WEEKDAY(datos_siembra[[#This Row],[Date]],2),"L","M","X","J","V","S","D")</f>
        <v>M</v>
      </c>
      <c r="R332">
        <f>WEEKNUM(datos_siembra[[#This Row],[Date]],2)-WEEKNUM(DATE(YEAR(datos_siembra[[#This Row],[Date]]),MONTH(datos_siembra[[#This Row],[Date]]),1))+1</f>
        <v>2</v>
      </c>
      <c r="S332">
        <f>MONTH(datos_siembra[[#This Row],[Date]])</f>
        <v>9</v>
      </c>
      <c r="T332" t="str" cm="1">
        <f t="array" ref="T332">_xlfn.IFS(AND(N332&lt;= 22, S332=9), "SOWING",AND(N332&lt;= 28, S332=9), "COVERAGE",AND(N332&lt;= 30, S332=9), "FLUSH",AND(N332&lt;= 11, S332=10), "FLUSH",AND(N332&lt;= 21, S332=10), "PRODUCTION")</f>
        <v>SOWING</v>
      </c>
      <c r="U332">
        <f>HOUR(datos_siembra[[#This Row],[Hour]])</f>
        <v>22</v>
      </c>
      <c r="V332" cm="1">
        <f t="array" ref="V332">_xlfn.IFS(AND(N332&lt;= 22, S332=9), N332-7,AND(N332&lt;= 28, S332=9), N332-25,AND(N332&lt;= 30, S332=9), N332-28,AND(N332&lt;= 11, S332=10), N332+2,AND(N332&lt;= 21, S332=10), N332-11)</f>
        <v>3</v>
      </c>
    </row>
    <row r="333" spans="1:22" x14ac:dyDescent="0.35">
      <c r="A333" s="4">
        <v>45545</v>
      </c>
      <c r="B333" s="5">
        <v>0.95685185185185184</v>
      </c>
      <c r="C333">
        <v>81.099999999999994</v>
      </c>
      <c r="D333">
        <v>83.4</v>
      </c>
      <c r="E333">
        <v>86.3</v>
      </c>
      <c r="F333">
        <v>81.5</v>
      </c>
      <c r="G333">
        <v>0</v>
      </c>
      <c r="H333">
        <v>0</v>
      </c>
      <c r="I333">
        <v>0</v>
      </c>
      <c r="J333">
        <v>0</v>
      </c>
      <c r="K333">
        <v>64.900000000000006</v>
      </c>
      <c r="L333">
        <v>63.7</v>
      </c>
      <c r="M333">
        <v>83.07</v>
      </c>
      <c r="N333">
        <v>10</v>
      </c>
      <c r="O333">
        <v>7</v>
      </c>
      <c r="P333">
        <f>MOD(DAY(datos_siembra[[#This Row],[Date]]),7)</f>
        <v>3</v>
      </c>
      <c r="Q333" t="str">
        <f>CHOOSE(WEEKDAY(datos_siembra[[#This Row],[Date]],2),"L","M","X","J","V","S","D")</f>
        <v>M</v>
      </c>
      <c r="R333">
        <f>WEEKNUM(datos_siembra[[#This Row],[Date]],2)-WEEKNUM(DATE(YEAR(datos_siembra[[#This Row],[Date]]),MONTH(datos_siembra[[#This Row],[Date]]),1))+1</f>
        <v>2</v>
      </c>
      <c r="S333">
        <f>MONTH(datos_siembra[[#This Row],[Date]])</f>
        <v>9</v>
      </c>
      <c r="T333" t="str" cm="1">
        <f t="array" ref="T333">_xlfn.IFS(AND(N333&lt;= 22, S333=9), "SOWING",AND(N333&lt;= 28, S333=9), "COVERAGE",AND(N333&lt;= 30, S333=9), "FLUSH",AND(N333&lt;= 11, S333=10), "FLUSH",AND(N333&lt;= 21, S333=10), "PRODUCTION")</f>
        <v>SOWING</v>
      </c>
      <c r="U333">
        <f>HOUR(datos_siembra[[#This Row],[Hour]])</f>
        <v>22</v>
      </c>
      <c r="V333" cm="1">
        <f t="array" ref="V333">_xlfn.IFS(AND(N333&lt;= 22, S333=9), N333-7,AND(N333&lt;= 28, S333=9), N333-25,AND(N333&lt;= 30, S333=9), N333-28,AND(N333&lt;= 11, S333=10), N333+2,AND(N333&lt;= 21, S333=10), N333-11)</f>
        <v>3</v>
      </c>
    </row>
    <row r="334" spans="1:22" x14ac:dyDescent="0.35">
      <c r="A334" s="4">
        <v>45545</v>
      </c>
      <c r="B334" s="5">
        <v>0.96379629629629626</v>
      </c>
      <c r="C334">
        <v>81.2</v>
      </c>
      <c r="D334">
        <v>83.6</v>
      </c>
      <c r="E334">
        <v>86.2</v>
      </c>
      <c r="F334">
        <v>81.2</v>
      </c>
      <c r="G334">
        <v>0</v>
      </c>
      <c r="H334">
        <v>0</v>
      </c>
      <c r="I334">
        <v>0</v>
      </c>
      <c r="J334">
        <v>0</v>
      </c>
      <c r="K334">
        <v>63.9</v>
      </c>
      <c r="L334">
        <v>62.4</v>
      </c>
      <c r="M334">
        <v>82.99</v>
      </c>
      <c r="N334">
        <v>10</v>
      </c>
      <c r="O334">
        <v>7</v>
      </c>
      <c r="P334">
        <f>MOD(DAY(datos_siembra[[#This Row],[Date]]),7)</f>
        <v>3</v>
      </c>
      <c r="Q334" t="str">
        <f>CHOOSE(WEEKDAY(datos_siembra[[#This Row],[Date]],2),"L","M","X","J","V","S","D")</f>
        <v>M</v>
      </c>
      <c r="R334">
        <f>WEEKNUM(datos_siembra[[#This Row],[Date]],2)-WEEKNUM(DATE(YEAR(datos_siembra[[#This Row],[Date]]),MONTH(datos_siembra[[#This Row],[Date]]),1))+1</f>
        <v>2</v>
      </c>
      <c r="S334">
        <f>MONTH(datos_siembra[[#This Row],[Date]])</f>
        <v>9</v>
      </c>
      <c r="T334" t="str" cm="1">
        <f t="array" ref="T334">_xlfn.IFS(AND(N334&lt;= 22, S334=9), "SOWING",AND(N334&lt;= 28, S334=9), "COVERAGE",AND(N334&lt;= 30, S334=9), "FLUSH",AND(N334&lt;= 11, S334=10), "FLUSH",AND(N334&lt;= 21, S334=10), "PRODUCTION")</f>
        <v>SOWING</v>
      </c>
      <c r="U334">
        <f>HOUR(datos_siembra[[#This Row],[Hour]])</f>
        <v>23</v>
      </c>
      <c r="V334" cm="1">
        <f t="array" ref="V334">_xlfn.IFS(AND(N334&lt;= 22, S334=9), N334-7,AND(N334&lt;= 28, S334=9), N334-25,AND(N334&lt;= 30, S334=9), N334-28,AND(N334&lt;= 11, S334=10), N334+2,AND(N334&lt;= 21, S334=10), N334-11)</f>
        <v>3</v>
      </c>
    </row>
    <row r="335" spans="1:22" x14ac:dyDescent="0.35">
      <c r="A335" s="4">
        <v>45545</v>
      </c>
      <c r="B335" s="5">
        <v>0.97075231481481483</v>
      </c>
      <c r="C335">
        <v>81.099999999999994</v>
      </c>
      <c r="D335">
        <v>83.4</v>
      </c>
      <c r="E335">
        <v>86.2</v>
      </c>
      <c r="F335">
        <v>81.400000000000006</v>
      </c>
      <c r="G335">
        <v>0</v>
      </c>
      <c r="H335">
        <v>0</v>
      </c>
      <c r="I335">
        <v>0</v>
      </c>
      <c r="J335">
        <v>0</v>
      </c>
      <c r="K335">
        <v>63.4</v>
      </c>
      <c r="L335">
        <v>61.8</v>
      </c>
      <c r="M335">
        <v>83.05</v>
      </c>
      <c r="N335">
        <v>10</v>
      </c>
      <c r="O335">
        <v>7</v>
      </c>
      <c r="P335">
        <f>MOD(DAY(datos_siembra[[#This Row],[Date]]),7)</f>
        <v>3</v>
      </c>
      <c r="Q335" t="str">
        <f>CHOOSE(WEEKDAY(datos_siembra[[#This Row],[Date]],2),"L","M","X","J","V","S","D")</f>
        <v>M</v>
      </c>
      <c r="R335">
        <f>WEEKNUM(datos_siembra[[#This Row],[Date]],2)-WEEKNUM(DATE(YEAR(datos_siembra[[#This Row],[Date]]),MONTH(datos_siembra[[#This Row],[Date]]),1))+1</f>
        <v>2</v>
      </c>
      <c r="S335">
        <f>MONTH(datos_siembra[[#This Row],[Date]])</f>
        <v>9</v>
      </c>
      <c r="T335" t="str" cm="1">
        <f t="array" ref="T335">_xlfn.IFS(AND(N335&lt;= 22, S335=9), "SOWING",AND(N335&lt;= 28, S335=9), "COVERAGE",AND(N335&lt;= 30, S335=9), "FLUSH",AND(N335&lt;= 11, S335=10), "FLUSH",AND(N335&lt;= 21, S335=10), "PRODUCTION")</f>
        <v>SOWING</v>
      </c>
      <c r="U335">
        <f>HOUR(datos_siembra[[#This Row],[Hour]])</f>
        <v>23</v>
      </c>
      <c r="V335" cm="1">
        <f t="array" ref="V335">_xlfn.IFS(AND(N335&lt;= 22, S335=9), N335-7,AND(N335&lt;= 28, S335=9), N335-25,AND(N335&lt;= 30, S335=9), N335-28,AND(N335&lt;= 11, S335=10), N335+2,AND(N335&lt;= 21, S335=10), N335-11)</f>
        <v>3</v>
      </c>
    </row>
    <row r="336" spans="1:22" x14ac:dyDescent="0.35">
      <c r="A336" s="4">
        <v>45545</v>
      </c>
      <c r="B336" s="5">
        <v>0.97769675925925925</v>
      </c>
      <c r="C336">
        <v>81.2</v>
      </c>
      <c r="D336">
        <v>83.5</v>
      </c>
      <c r="E336">
        <v>86.2</v>
      </c>
      <c r="F336">
        <v>81.3</v>
      </c>
      <c r="G336">
        <v>0</v>
      </c>
      <c r="H336">
        <v>0</v>
      </c>
      <c r="I336">
        <v>0</v>
      </c>
      <c r="J336">
        <v>0</v>
      </c>
      <c r="K336">
        <v>64.099999999999994</v>
      </c>
      <c r="L336">
        <v>62.6</v>
      </c>
      <c r="M336">
        <v>83.02</v>
      </c>
      <c r="N336">
        <v>10</v>
      </c>
      <c r="O336">
        <v>7</v>
      </c>
      <c r="P336">
        <f>MOD(DAY(datos_siembra[[#This Row],[Date]]),7)</f>
        <v>3</v>
      </c>
      <c r="Q336" t="str">
        <f>CHOOSE(WEEKDAY(datos_siembra[[#This Row],[Date]],2),"L","M","X","J","V","S","D")</f>
        <v>M</v>
      </c>
      <c r="R336">
        <f>WEEKNUM(datos_siembra[[#This Row],[Date]],2)-WEEKNUM(DATE(YEAR(datos_siembra[[#This Row],[Date]]),MONTH(datos_siembra[[#This Row],[Date]]),1))+1</f>
        <v>2</v>
      </c>
      <c r="S336">
        <f>MONTH(datos_siembra[[#This Row],[Date]])</f>
        <v>9</v>
      </c>
      <c r="T336" t="str" cm="1">
        <f t="array" ref="T336">_xlfn.IFS(AND(N336&lt;= 22, S336=9), "SOWING",AND(N336&lt;= 28, S336=9), "COVERAGE",AND(N336&lt;= 30, S336=9), "FLUSH",AND(N336&lt;= 11, S336=10), "FLUSH",AND(N336&lt;= 21, S336=10), "PRODUCTION")</f>
        <v>SOWING</v>
      </c>
      <c r="U336">
        <f>HOUR(datos_siembra[[#This Row],[Hour]])</f>
        <v>23</v>
      </c>
      <c r="V336" cm="1">
        <f t="array" ref="V336">_xlfn.IFS(AND(N336&lt;= 22, S336=9), N336-7,AND(N336&lt;= 28, S336=9), N336-25,AND(N336&lt;= 30, S336=9), N336-28,AND(N336&lt;= 11, S336=10), N336+2,AND(N336&lt;= 21, S336=10), N336-11)</f>
        <v>3</v>
      </c>
    </row>
    <row r="337" spans="1:22" x14ac:dyDescent="0.35">
      <c r="A337" s="4">
        <v>45545</v>
      </c>
      <c r="B337" s="5">
        <v>0.98464120370370367</v>
      </c>
      <c r="C337">
        <v>80.900000000000006</v>
      </c>
      <c r="D337">
        <v>83.3</v>
      </c>
      <c r="E337">
        <v>86.1</v>
      </c>
      <c r="F337">
        <v>81.400000000000006</v>
      </c>
      <c r="G337">
        <v>0</v>
      </c>
      <c r="H337">
        <v>0</v>
      </c>
      <c r="I337">
        <v>0</v>
      </c>
      <c r="J337">
        <v>0</v>
      </c>
      <c r="K337">
        <v>64.3</v>
      </c>
      <c r="L337">
        <v>63</v>
      </c>
      <c r="M337">
        <v>82.99</v>
      </c>
      <c r="N337">
        <v>10</v>
      </c>
      <c r="O337">
        <v>7</v>
      </c>
      <c r="P337">
        <f>MOD(DAY(datos_siembra[[#This Row],[Date]]),7)</f>
        <v>3</v>
      </c>
      <c r="Q337" t="str">
        <f>CHOOSE(WEEKDAY(datos_siembra[[#This Row],[Date]],2),"L","M","X","J","V","S","D")</f>
        <v>M</v>
      </c>
      <c r="R337">
        <f>WEEKNUM(datos_siembra[[#This Row],[Date]],2)-WEEKNUM(DATE(YEAR(datos_siembra[[#This Row],[Date]]),MONTH(datos_siembra[[#This Row],[Date]]),1))+1</f>
        <v>2</v>
      </c>
      <c r="S337">
        <f>MONTH(datos_siembra[[#This Row],[Date]])</f>
        <v>9</v>
      </c>
      <c r="T337" t="str" cm="1">
        <f t="array" ref="T337">_xlfn.IFS(AND(N337&lt;= 22, S337=9), "SOWING",AND(N337&lt;= 28, S337=9), "COVERAGE",AND(N337&lt;= 30, S337=9), "FLUSH",AND(N337&lt;= 11, S337=10), "FLUSH",AND(N337&lt;= 21, S337=10), "PRODUCTION")</f>
        <v>SOWING</v>
      </c>
      <c r="U337">
        <f>HOUR(datos_siembra[[#This Row],[Hour]])</f>
        <v>23</v>
      </c>
      <c r="V337" cm="1">
        <f t="array" ref="V337">_xlfn.IFS(AND(N337&lt;= 22, S337=9), N337-7,AND(N337&lt;= 28, S337=9), N337-25,AND(N337&lt;= 30, S337=9), N337-28,AND(N337&lt;= 11, S337=10), N337+2,AND(N337&lt;= 21, S337=10), N337-11)</f>
        <v>3</v>
      </c>
    </row>
    <row r="338" spans="1:22" x14ac:dyDescent="0.35">
      <c r="A338" s="4">
        <v>45545</v>
      </c>
      <c r="B338" s="5">
        <v>0.9915856481481482</v>
      </c>
      <c r="C338">
        <v>81.099999999999994</v>
      </c>
      <c r="D338">
        <v>83.4</v>
      </c>
      <c r="E338">
        <v>86.2</v>
      </c>
      <c r="F338">
        <v>81.2</v>
      </c>
      <c r="G338">
        <v>0</v>
      </c>
      <c r="H338">
        <v>0</v>
      </c>
      <c r="I338">
        <v>0</v>
      </c>
      <c r="J338">
        <v>0</v>
      </c>
      <c r="K338">
        <v>64.400000000000006</v>
      </c>
      <c r="L338">
        <v>63.3</v>
      </c>
      <c r="M338">
        <v>82.93</v>
      </c>
      <c r="N338">
        <v>10</v>
      </c>
      <c r="O338">
        <v>7</v>
      </c>
      <c r="P338">
        <f>MOD(DAY(datos_siembra[[#This Row],[Date]]),7)</f>
        <v>3</v>
      </c>
      <c r="Q338" t="str">
        <f>CHOOSE(WEEKDAY(datos_siembra[[#This Row],[Date]],2),"L","M","X","J","V","S","D")</f>
        <v>M</v>
      </c>
      <c r="R338">
        <f>WEEKNUM(datos_siembra[[#This Row],[Date]],2)-WEEKNUM(DATE(YEAR(datos_siembra[[#This Row],[Date]]),MONTH(datos_siembra[[#This Row],[Date]]),1))+1</f>
        <v>2</v>
      </c>
      <c r="S338">
        <f>MONTH(datos_siembra[[#This Row],[Date]])</f>
        <v>9</v>
      </c>
      <c r="T338" t="str" cm="1">
        <f t="array" ref="T338">_xlfn.IFS(AND(N338&lt;= 22, S338=9), "SOWING",AND(N338&lt;= 28, S338=9), "COVERAGE",AND(N338&lt;= 30, S338=9), "FLUSH",AND(N338&lt;= 11, S338=10), "FLUSH",AND(N338&lt;= 21, S338=10), "PRODUCTION")</f>
        <v>SOWING</v>
      </c>
      <c r="U338">
        <f>HOUR(datos_siembra[[#This Row],[Hour]])</f>
        <v>23</v>
      </c>
      <c r="V338" cm="1">
        <f t="array" ref="V338">_xlfn.IFS(AND(N338&lt;= 22, S338=9), N338-7,AND(N338&lt;= 28, S338=9), N338-25,AND(N338&lt;= 30, S338=9), N338-28,AND(N338&lt;= 11, S338=10), N338+2,AND(N338&lt;= 21, S338=10), N338-11)</f>
        <v>3</v>
      </c>
    </row>
    <row r="339" spans="1:22" x14ac:dyDescent="0.35">
      <c r="A339" s="4">
        <v>45545</v>
      </c>
      <c r="B339" s="5">
        <v>0.99854166666666666</v>
      </c>
      <c r="C339">
        <v>81.099999999999994</v>
      </c>
      <c r="D339">
        <v>83.4</v>
      </c>
      <c r="E339">
        <v>86.2</v>
      </c>
      <c r="F339">
        <v>81.3</v>
      </c>
      <c r="G339">
        <v>0</v>
      </c>
      <c r="H339">
        <v>0</v>
      </c>
      <c r="I339">
        <v>0</v>
      </c>
      <c r="J339">
        <v>0</v>
      </c>
      <c r="K339">
        <v>64.5</v>
      </c>
      <c r="L339">
        <v>63.3</v>
      </c>
      <c r="M339">
        <v>82.96</v>
      </c>
      <c r="N339">
        <v>10</v>
      </c>
      <c r="O339">
        <v>7</v>
      </c>
      <c r="P339">
        <f>MOD(DAY(datos_siembra[[#This Row],[Date]]),7)</f>
        <v>3</v>
      </c>
      <c r="Q339" t="str">
        <f>CHOOSE(WEEKDAY(datos_siembra[[#This Row],[Date]],2),"L","M","X","J","V","S","D")</f>
        <v>M</v>
      </c>
      <c r="R339">
        <f>WEEKNUM(datos_siembra[[#This Row],[Date]],2)-WEEKNUM(DATE(YEAR(datos_siembra[[#This Row],[Date]]),MONTH(datos_siembra[[#This Row],[Date]]),1))+1</f>
        <v>2</v>
      </c>
      <c r="S339">
        <f>MONTH(datos_siembra[[#This Row],[Date]])</f>
        <v>9</v>
      </c>
      <c r="T339" t="str" cm="1">
        <f t="array" ref="T339">_xlfn.IFS(AND(N339&lt;= 22, S339=9), "SOWING",AND(N339&lt;= 28, S339=9), "COVERAGE",AND(N339&lt;= 30, S339=9), "FLUSH",AND(N339&lt;= 11, S339=10), "FLUSH",AND(N339&lt;= 21, S339=10), "PRODUCTION")</f>
        <v>SOWING</v>
      </c>
      <c r="U339">
        <f>HOUR(datos_siembra[[#This Row],[Hour]])</f>
        <v>23</v>
      </c>
      <c r="V339" cm="1">
        <f t="array" ref="V339">_xlfn.IFS(AND(N339&lt;= 22, S339=9), N339-7,AND(N339&lt;= 28, S339=9), N339-25,AND(N339&lt;= 30, S339=9), N339-28,AND(N339&lt;= 11, S339=10), N339+2,AND(N339&lt;= 21, S339=10), N339-11)</f>
        <v>3</v>
      </c>
    </row>
    <row r="340" spans="1:22" x14ac:dyDescent="0.35">
      <c r="A340" s="4">
        <v>45546</v>
      </c>
      <c r="B340" s="5">
        <v>5.4861111111111109E-3</v>
      </c>
      <c r="C340">
        <v>81.099999999999994</v>
      </c>
      <c r="D340">
        <v>83.4</v>
      </c>
      <c r="E340">
        <v>86.1</v>
      </c>
      <c r="F340">
        <v>81.400000000000006</v>
      </c>
      <c r="G340">
        <v>0</v>
      </c>
      <c r="H340">
        <v>0</v>
      </c>
      <c r="I340">
        <v>0</v>
      </c>
      <c r="J340">
        <v>0</v>
      </c>
      <c r="K340">
        <v>64.5</v>
      </c>
      <c r="L340">
        <v>63.3</v>
      </c>
      <c r="M340">
        <v>82.96</v>
      </c>
      <c r="N340">
        <v>11</v>
      </c>
      <c r="O340">
        <v>1</v>
      </c>
      <c r="P340">
        <f>MOD(DAY(datos_siembra[[#This Row],[Date]]),7)</f>
        <v>4</v>
      </c>
      <c r="Q340" t="str">
        <f>CHOOSE(WEEKDAY(datos_siembra[[#This Row],[Date]],2),"L","M","X","J","V","S","D")</f>
        <v>X</v>
      </c>
      <c r="R340">
        <f>WEEKNUM(datos_siembra[[#This Row],[Date]],2)-WEEKNUM(DATE(YEAR(datos_siembra[[#This Row],[Date]]),MONTH(datos_siembra[[#This Row],[Date]]),1))+1</f>
        <v>2</v>
      </c>
      <c r="S340">
        <f>MONTH(datos_siembra[[#This Row],[Date]])</f>
        <v>9</v>
      </c>
      <c r="T340" t="str" cm="1">
        <f t="array" ref="T340">_xlfn.IFS(AND(N340&lt;= 22, S340=9), "SOWING",AND(N340&lt;= 28, S340=9), "COVERAGE",AND(N340&lt;= 30, S340=9), "FLUSH",AND(N340&lt;= 11, S340=10), "FLUSH",AND(N340&lt;= 21, S340=10), "PRODUCTION")</f>
        <v>SOWING</v>
      </c>
      <c r="U340">
        <f>HOUR(datos_siembra[[#This Row],[Hour]])</f>
        <v>0</v>
      </c>
      <c r="V340" cm="1">
        <f t="array" ref="V340">_xlfn.IFS(AND(N340&lt;= 22, S340=9), N340-7,AND(N340&lt;= 28, S340=9), N340-25,AND(N340&lt;= 30, S340=9), N340-28,AND(N340&lt;= 11, S340=10), N340+2,AND(N340&lt;= 21, S340=10), N340-11)</f>
        <v>4</v>
      </c>
    </row>
    <row r="341" spans="1:22" x14ac:dyDescent="0.35">
      <c r="A341" s="4">
        <v>45546</v>
      </c>
      <c r="B341" s="5">
        <v>1.2430555555555556E-2</v>
      </c>
      <c r="C341">
        <v>81.2</v>
      </c>
      <c r="D341">
        <v>83.4</v>
      </c>
      <c r="E341">
        <v>86.1</v>
      </c>
      <c r="F341">
        <v>81.3</v>
      </c>
      <c r="G341">
        <v>0</v>
      </c>
      <c r="H341">
        <v>0</v>
      </c>
      <c r="I341">
        <v>0</v>
      </c>
      <c r="J341">
        <v>0</v>
      </c>
      <c r="K341">
        <v>64.5</v>
      </c>
      <c r="L341">
        <v>63.4</v>
      </c>
      <c r="M341">
        <v>83.02</v>
      </c>
      <c r="N341">
        <v>11</v>
      </c>
      <c r="O341">
        <v>1</v>
      </c>
      <c r="P341">
        <f>MOD(DAY(datos_siembra[[#This Row],[Date]]),7)</f>
        <v>4</v>
      </c>
      <c r="Q341" t="str">
        <f>CHOOSE(WEEKDAY(datos_siembra[[#This Row],[Date]],2),"L","M","X","J","V","S","D")</f>
        <v>X</v>
      </c>
      <c r="R341">
        <f>WEEKNUM(datos_siembra[[#This Row],[Date]],2)-WEEKNUM(DATE(YEAR(datos_siembra[[#This Row],[Date]]),MONTH(datos_siembra[[#This Row],[Date]]),1))+1</f>
        <v>2</v>
      </c>
      <c r="S341">
        <f>MONTH(datos_siembra[[#This Row],[Date]])</f>
        <v>9</v>
      </c>
      <c r="T341" t="str" cm="1">
        <f t="array" ref="T341">_xlfn.IFS(AND(N341&lt;= 22, S341=9), "SOWING",AND(N341&lt;= 28, S341=9), "COVERAGE",AND(N341&lt;= 30, S341=9), "FLUSH",AND(N341&lt;= 11, S341=10), "FLUSH",AND(N341&lt;= 21, S341=10), "PRODUCTION")</f>
        <v>SOWING</v>
      </c>
      <c r="U341">
        <f>HOUR(datos_siembra[[#This Row],[Hour]])</f>
        <v>0</v>
      </c>
      <c r="V341" cm="1">
        <f t="array" ref="V341">_xlfn.IFS(AND(N341&lt;= 22, S341=9), N341-7,AND(N341&lt;= 28, S341=9), N341-25,AND(N341&lt;= 30, S341=9), N341-28,AND(N341&lt;= 11, S341=10), N341+2,AND(N341&lt;= 21, S341=10), N341-11)</f>
        <v>4</v>
      </c>
    </row>
    <row r="342" spans="1:22" x14ac:dyDescent="0.35">
      <c r="A342" s="4">
        <v>45546</v>
      </c>
      <c r="B342" s="5">
        <v>1.9375E-2</v>
      </c>
      <c r="C342">
        <v>81.3</v>
      </c>
      <c r="D342">
        <v>83.4</v>
      </c>
      <c r="E342">
        <v>86.2</v>
      </c>
      <c r="F342">
        <v>81.400000000000006</v>
      </c>
      <c r="G342">
        <v>0</v>
      </c>
      <c r="H342">
        <v>0</v>
      </c>
      <c r="I342">
        <v>0</v>
      </c>
      <c r="J342">
        <v>0</v>
      </c>
      <c r="K342">
        <v>64.7</v>
      </c>
      <c r="L342">
        <v>63.5</v>
      </c>
      <c r="M342">
        <v>83.05</v>
      </c>
      <c r="N342">
        <v>11</v>
      </c>
      <c r="O342">
        <v>1</v>
      </c>
      <c r="P342">
        <f>MOD(DAY(datos_siembra[[#This Row],[Date]]),7)</f>
        <v>4</v>
      </c>
      <c r="Q342" t="str">
        <f>CHOOSE(WEEKDAY(datos_siembra[[#This Row],[Date]],2),"L","M","X","J","V","S","D")</f>
        <v>X</v>
      </c>
      <c r="R342">
        <f>WEEKNUM(datos_siembra[[#This Row],[Date]],2)-WEEKNUM(DATE(YEAR(datos_siembra[[#This Row],[Date]]),MONTH(datos_siembra[[#This Row],[Date]]),1))+1</f>
        <v>2</v>
      </c>
      <c r="S342">
        <f>MONTH(datos_siembra[[#This Row],[Date]])</f>
        <v>9</v>
      </c>
      <c r="T342" t="str" cm="1">
        <f t="array" ref="T342">_xlfn.IFS(AND(N342&lt;= 22, S342=9), "SOWING",AND(N342&lt;= 28, S342=9), "COVERAGE",AND(N342&lt;= 30, S342=9), "FLUSH",AND(N342&lt;= 11, S342=10), "FLUSH",AND(N342&lt;= 21, S342=10), "PRODUCTION")</f>
        <v>SOWING</v>
      </c>
      <c r="U342">
        <f>HOUR(datos_siembra[[#This Row],[Hour]])</f>
        <v>0</v>
      </c>
      <c r="V342" cm="1">
        <f t="array" ref="V342">_xlfn.IFS(AND(N342&lt;= 22, S342=9), N342-7,AND(N342&lt;= 28, S342=9), N342-25,AND(N342&lt;= 30, S342=9), N342-28,AND(N342&lt;= 11, S342=10), N342+2,AND(N342&lt;= 21, S342=10), N342-11)</f>
        <v>4</v>
      </c>
    </row>
    <row r="343" spans="1:22" x14ac:dyDescent="0.35">
      <c r="A343" s="4">
        <v>45546</v>
      </c>
      <c r="B343" s="5">
        <v>2.6331018518518517E-2</v>
      </c>
      <c r="C343">
        <v>81.599999999999994</v>
      </c>
      <c r="D343">
        <v>83.2</v>
      </c>
      <c r="E343">
        <v>86.3</v>
      </c>
      <c r="F343">
        <v>81.3</v>
      </c>
      <c r="G343">
        <v>0</v>
      </c>
      <c r="H343">
        <v>0</v>
      </c>
      <c r="I343">
        <v>0</v>
      </c>
      <c r="J343">
        <v>0</v>
      </c>
      <c r="K343">
        <v>64.7</v>
      </c>
      <c r="L343">
        <v>63.4</v>
      </c>
      <c r="M343">
        <v>83.19</v>
      </c>
      <c r="N343">
        <v>11</v>
      </c>
      <c r="O343">
        <v>1</v>
      </c>
      <c r="P343">
        <f>MOD(DAY(datos_siembra[[#This Row],[Date]]),7)</f>
        <v>4</v>
      </c>
      <c r="Q343" t="str">
        <f>CHOOSE(WEEKDAY(datos_siembra[[#This Row],[Date]],2),"L","M","X","J","V","S","D")</f>
        <v>X</v>
      </c>
      <c r="R343">
        <f>WEEKNUM(datos_siembra[[#This Row],[Date]],2)-WEEKNUM(DATE(YEAR(datos_siembra[[#This Row],[Date]]),MONTH(datos_siembra[[#This Row],[Date]]),1))+1</f>
        <v>2</v>
      </c>
      <c r="S343">
        <f>MONTH(datos_siembra[[#This Row],[Date]])</f>
        <v>9</v>
      </c>
      <c r="T343" t="str" cm="1">
        <f t="array" ref="T343">_xlfn.IFS(AND(N343&lt;= 22, S343=9), "SOWING",AND(N343&lt;= 28, S343=9), "COVERAGE",AND(N343&lt;= 30, S343=9), "FLUSH",AND(N343&lt;= 11, S343=10), "FLUSH",AND(N343&lt;= 21, S343=10), "PRODUCTION")</f>
        <v>SOWING</v>
      </c>
      <c r="U343">
        <f>HOUR(datos_siembra[[#This Row],[Hour]])</f>
        <v>0</v>
      </c>
      <c r="V343" cm="1">
        <f t="array" ref="V343">_xlfn.IFS(AND(N343&lt;= 22, S343=9), N343-7,AND(N343&lt;= 28, S343=9), N343-25,AND(N343&lt;= 30, S343=9), N343-28,AND(N343&lt;= 11, S343=10), N343+2,AND(N343&lt;= 21, S343=10), N343-11)</f>
        <v>4</v>
      </c>
    </row>
    <row r="344" spans="1:22" x14ac:dyDescent="0.35">
      <c r="A344" s="4">
        <v>45546</v>
      </c>
      <c r="B344" s="5">
        <v>3.3275462962962965E-2</v>
      </c>
      <c r="C344">
        <v>82.1</v>
      </c>
      <c r="D344">
        <v>83.3</v>
      </c>
      <c r="E344">
        <v>86.8</v>
      </c>
      <c r="F344">
        <v>81.400000000000006</v>
      </c>
      <c r="G344">
        <v>0</v>
      </c>
      <c r="H344">
        <v>0</v>
      </c>
      <c r="I344">
        <v>0</v>
      </c>
      <c r="J344">
        <v>0</v>
      </c>
      <c r="K344">
        <v>64.599999999999994</v>
      </c>
      <c r="L344">
        <v>63.4</v>
      </c>
      <c r="M344">
        <v>83.27</v>
      </c>
      <c r="N344">
        <v>11</v>
      </c>
      <c r="O344">
        <v>1</v>
      </c>
      <c r="P344">
        <f>MOD(DAY(datos_siembra[[#This Row],[Date]]),7)</f>
        <v>4</v>
      </c>
      <c r="Q344" t="str">
        <f>CHOOSE(WEEKDAY(datos_siembra[[#This Row],[Date]],2),"L","M","X","J","V","S","D")</f>
        <v>X</v>
      </c>
      <c r="R344">
        <f>WEEKNUM(datos_siembra[[#This Row],[Date]],2)-WEEKNUM(DATE(YEAR(datos_siembra[[#This Row],[Date]]),MONTH(datos_siembra[[#This Row],[Date]]),1))+1</f>
        <v>2</v>
      </c>
      <c r="S344">
        <f>MONTH(datos_siembra[[#This Row],[Date]])</f>
        <v>9</v>
      </c>
      <c r="T344" t="str" cm="1">
        <f t="array" ref="T344">_xlfn.IFS(AND(N344&lt;= 22, S344=9), "SOWING",AND(N344&lt;= 28, S344=9), "COVERAGE",AND(N344&lt;= 30, S344=9), "FLUSH",AND(N344&lt;= 11, S344=10), "FLUSH",AND(N344&lt;= 21, S344=10), "PRODUCTION")</f>
        <v>SOWING</v>
      </c>
      <c r="U344">
        <f>HOUR(datos_siembra[[#This Row],[Hour]])</f>
        <v>0</v>
      </c>
      <c r="V344" cm="1">
        <f t="array" ref="V344">_xlfn.IFS(AND(N344&lt;= 22, S344=9), N344-7,AND(N344&lt;= 28, S344=9), N344-25,AND(N344&lt;= 30, S344=9), N344-28,AND(N344&lt;= 11, S344=10), N344+2,AND(N344&lt;= 21, S344=10), N344-11)</f>
        <v>4</v>
      </c>
    </row>
    <row r="345" spans="1:22" x14ac:dyDescent="0.35">
      <c r="A345" s="4">
        <v>45546</v>
      </c>
      <c r="B345" s="5">
        <v>4.0219907407407406E-2</v>
      </c>
      <c r="C345">
        <v>82.1</v>
      </c>
      <c r="D345">
        <v>83.3</v>
      </c>
      <c r="E345">
        <v>86.9</v>
      </c>
      <c r="F345">
        <v>81.5</v>
      </c>
      <c r="G345">
        <v>0</v>
      </c>
      <c r="H345">
        <v>0</v>
      </c>
      <c r="I345">
        <v>0</v>
      </c>
      <c r="J345">
        <v>0</v>
      </c>
      <c r="K345">
        <v>64.7</v>
      </c>
      <c r="L345">
        <v>63.5</v>
      </c>
      <c r="M345">
        <v>83.36</v>
      </c>
      <c r="N345">
        <v>11</v>
      </c>
      <c r="O345">
        <v>1</v>
      </c>
      <c r="P345">
        <f>MOD(DAY(datos_siembra[[#This Row],[Date]]),7)</f>
        <v>4</v>
      </c>
      <c r="Q345" t="str">
        <f>CHOOSE(WEEKDAY(datos_siembra[[#This Row],[Date]],2),"L","M","X","J","V","S","D")</f>
        <v>X</v>
      </c>
      <c r="R345">
        <f>WEEKNUM(datos_siembra[[#This Row],[Date]],2)-WEEKNUM(DATE(YEAR(datos_siembra[[#This Row],[Date]]),MONTH(datos_siembra[[#This Row],[Date]]),1))+1</f>
        <v>2</v>
      </c>
      <c r="S345">
        <f>MONTH(datos_siembra[[#This Row],[Date]])</f>
        <v>9</v>
      </c>
      <c r="T345" t="str" cm="1">
        <f t="array" ref="T345">_xlfn.IFS(AND(N345&lt;= 22, S345=9), "SOWING",AND(N345&lt;= 28, S345=9), "COVERAGE",AND(N345&lt;= 30, S345=9), "FLUSH",AND(N345&lt;= 11, S345=10), "FLUSH",AND(N345&lt;= 21, S345=10), "PRODUCTION")</f>
        <v>SOWING</v>
      </c>
      <c r="U345">
        <f>HOUR(datos_siembra[[#This Row],[Hour]])</f>
        <v>0</v>
      </c>
      <c r="V345" cm="1">
        <f t="array" ref="V345">_xlfn.IFS(AND(N345&lt;= 22, S345=9), N345-7,AND(N345&lt;= 28, S345=9), N345-25,AND(N345&lt;= 30, S345=9), N345-28,AND(N345&lt;= 11, S345=10), N345+2,AND(N345&lt;= 21, S345=10), N345-11)</f>
        <v>4</v>
      </c>
    </row>
    <row r="346" spans="1:22" x14ac:dyDescent="0.35">
      <c r="A346" s="4">
        <v>45546</v>
      </c>
      <c r="B346" s="5">
        <v>4.7175925925925927E-2</v>
      </c>
      <c r="C346">
        <v>82.3</v>
      </c>
      <c r="D346">
        <v>83.3</v>
      </c>
      <c r="E346">
        <v>87.2</v>
      </c>
      <c r="F346">
        <v>81.400000000000006</v>
      </c>
      <c r="G346">
        <v>0</v>
      </c>
      <c r="H346">
        <v>0</v>
      </c>
      <c r="I346">
        <v>0</v>
      </c>
      <c r="J346">
        <v>0</v>
      </c>
      <c r="K346">
        <v>64.7</v>
      </c>
      <c r="L346">
        <v>63.6</v>
      </c>
      <c r="M346">
        <v>83.55</v>
      </c>
      <c r="N346">
        <v>11</v>
      </c>
      <c r="O346">
        <v>1</v>
      </c>
      <c r="P346">
        <f>MOD(DAY(datos_siembra[[#This Row],[Date]]),7)</f>
        <v>4</v>
      </c>
      <c r="Q346" t="str">
        <f>CHOOSE(WEEKDAY(datos_siembra[[#This Row],[Date]],2),"L","M","X","J","V","S","D")</f>
        <v>X</v>
      </c>
      <c r="R346">
        <f>WEEKNUM(datos_siembra[[#This Row],[Date]],2)-WEEKNUM(DATE(YEAR(datos_siembra[[#This Row],[Date]]),MONTH(datos_siembra[[#This Row],[Date]]),1))+1</f>
        <v>2</v>
      </c>
      <c r="S346">
        <f>MONTH(datos_siembra[[#This Row],[Date]])</f>
        <v>9</v>
      </c>
      <c r="T346" t="str" cm="1">
        <f t="array" ref="T346">_xlfn.IFS(AND(N346&lt;= 22, S346=9), "SOWING",AND(N346&lt;= 28, S346=9), "COVERAGE",AND(N346&lt;= 30, S346=9), "FLUSH",AND(N346&lt;= 11, S346=10), "FLUSH",AND(N346&lt;= 21, S346=10), "PRODUCTION")</f>
        <v>SOWING</v>
      </c>
      <c r="U346">
        <f>HOUR(datos_siembra[[#This Row],[Hour]])</f>
        <v>1</v>
      </c>
      <c r="V346" cm="1">
        <f t="array" ref="V346">_xlfn.IFS(AND(N346&lt;= 22, S346=9), N346-7,AND(N346&lt;= 28, S346=9), N346-25,AND(N346&lt;= 30, S346=9), N346-28,AND(N346&lt;= 11, S346=10), N346+2,AND(N346&lt;= 21, S346=10), N346-11)</f>
        <v>4</v>
      </c>
    </row>
    <row r="347" spans="1:22" x14ac:dyDescent="0.35">
      <c r="A347" s="4">
        <v>45546</v>
      </c>
      <c r="B347" s="5">
        <v>5.4120370370370367E-2</v>
      </c>
      <c r="C347">
        <v>82.3</v>
      </c>
      <c r="D347">
        <v>83.5</v>
      </c>
      <c r="E347">
        <v>87.5</v>
      </c>
      <c r="F347">
        <v>81.400000000000006</v>
      </c>
      <c r="G347">
        <v>0</v>
      </c>
      <c r="H347">
        <v>0</v>
      </c>
      <c r="I347">
        <v>0</v>
      </c>
      <c r="J347">
        <v>0</v>
      </c>
      <c r="K347">
        <v>65</v>
      </c>
      <c r="L347">
        <v>63.7</v>
      </c>
      <c r="M347">
        <v>83.61</v>
      </c>
      <c r="N347">
        <v>11</v>
      </c>
      <c r="O347">
        <v>1</v>
      </c>
      <c r="P347">
        <f>MOD(DAY(datos_siembra[[#This Row],[Date]]),7)</f>
        <v>4</v>
      </c>
      <c r="Q347" t="str">
        <f>CHOOSE(WEEKDAY(datos_siembra[[#This Row],[Date]],2),"L","M","X","J","V","S","D")</f>
        <v>X</v>
      </c>
      <c r="R347">
        <f>WEEKNUM(datos_siembra[[#This Row],[Date]],2)-WEEKNUM(DATE(YEAR(datos_siembra[[#This Row],[Date]]),MONTH(datos_siembra[[#This Row],[Date]]),1))+1</f>
        <v>2</v>
      </c>
      <c r="S347">
        <f>MONTH(datos_siembra[[#This Row],[Date]])</f>
        <v>9</v>
      </c>
      <c r="T347" t="str" cm="1">
        <f t="array" ref="T347">_xlfn.IFS(AND(N347&lt;= 22, S347=9), "SOWING",AND(N347&lt;= 28, S347=9), "COVERAGE",AND(N347&lt;= 30, S347=9), "FLUSH",AND(N347&lt;= 11, S347=10), "FLUSH",AND(N347&lt;= 21, S347=10), "PRODUCTION")</f>
        <v>SOWING</v>
      </c>
      <c r="U347">
        <f>HOUR(datos_siembra[[#This Row],[Hour]])</f>
        <v>1</v>
      </c>
      <c r="V347" cm="1">
        <f t="array" ref="V347">_xlfn.IFS(AND(N347&lt;= 22, S347=9), N347-7,AND(N347&lt;= 28, S347=9), N347-25,AND(N347&lt;= 30, S347=9), N347-28,AND(N347&lt;= 11, S347=10), N347+2,AND(N347&lt;= 21, S347=10), N347-11)</f>
        <v>4</v>
      </c>
    </row>
    <row r="348" spans="1:22" x14ac:dyDescent="0.35">
      <c r="A348" s="4">
        <v>45546</v>
      </c>
      <c r="B348" s="5">
        <v>6.1064814814814815E-2</v>
      </c>
      <c r="C348">
        <v>82.1</v>
      </c>
      <c r="D348">
        <v>84</v>
      </c>
      <c r="E348">
        <v>87.6</v>
      </c>
      <c r="F348">
        <v>81.3</v>
      </c>
      <c r="G348">
        <v>0</v>
      </c>
      <c r="H348">
        <v>0</v>
      </c>
      <c r="I348">
        <v>0</v>
      </c>
      <c r="J348">
        <v>0</v>
      </c>
      <c r="K348">
        <v>64.900000000000006</v>
      </c>
      <c r="L348">
        <v>63.7</v>
      </c>
      <c r="M348">
        <v>83.67</v>
      </c>
      <c r="N348">
        <v>11</v>
      </c>
      <c r="O348">
        <v>1</v>
      </c>
      <c r="P348">
        <f>MOD(DAY(datos_siembra[[#This Row],[Date]]),7)</f>
        <v>4</v>
      </c>
      <c r="Q348" t="str">
        <f>CHOOSE(WEEKDAY(datos_siembra[[#This Row],[Date]],2),"L","M","X","J","V","S","D")</f>
        <v>X</v>
      </c>
      <c r="R348">
        <f>WEEKNUM(datos_siembra[[#This Row],[Date]],2)-WEEKNUM(DATE(YEAR(datos_siembra[[#This Row],[Date]]),MONTH(datos_siembra[[#This Row],[Date]]),1))+1</f>
        <v>2</v>
      </c>
      <c r="S348">
        <f>MONTH(datos_siembra[[#This Row],[Date]])</f>
        <v>9</v>
      </c>
      <c r="T348" t="str" cm="1">
        <f t="array" ref="T348">_xlfn.IFS(AND(N348&lt;= 22, S348=9), "SOWING",AND(N348&lt;= 28, S348=9), "COVERAGE",AND(N348&lt;= 30, S348=9), "FLUSH",AND(N348&lt;= 11, S348=10), "FLUSH",AND(N348&lt;= 21, S348=10), "PRODUCTION")</f>
        <v>SOWING</v>
      </c>
      <c r="U348">
        <f>HOUR(datos_siembra[[#This Row],[Hour]])</f>
        <v>1</v>
      </c>
      <c r="V348" cm="1">
        <f t="array" ref="V348">_xlfn.IFS(AND(N348&lt;= 22, S348=9), N348-7,AND(N348&lt;= 28, S348=9), N348-25,AND(N348&lt;= 30, S348=9), N348-28,AND(N348&lt;= 11, S348=10), N348+2,AND(N348&lt;= 21, S348=10), N348-11)</f>
        <v>4</v>
      </c>
    </row>
    <row r="349" spans="1:22" x14ac:dyDescent="0.35">
      <c r="A349" s="4">
        <v>45546</v>
      </c>
      <c r="B349" s="5">
        <v>6.8020833333333336E-2</v>
      </c>
      <c r="C349">
        <v>82.2</v>
      </c>
      <c r="D349">
        <v>84.2</v>
      </c>
      <c r="E349">
        <v>87.5</v>
      </c>
      <c r="F349">
        <v>81.400000000000006</v>
      </c>
      <c r="G349">
        <v>0</v>
      </c>
      <c r="H349">
        <v>0</v>
      </c>
      <c r="I349">
        <v>0</v>
      </c>
      <c r="J349">
        <v>0</v>
      </c>
      <c r="K349">
        <v>65</v>
      </c>
      <c r="L349">
        <v>63.7</v>
      </c>
      <c r="M349">
        <v>83.78</v>
      </c>
      <c r="N349">
        <v>11</v>
      </c>
      <c r="O349">
        <v>1</v>
      </c>
      <c r="P349">
        <f>MOD(DAY(datos_siembra[[#This Row],[Date]]),7)</f>
        <v>4</v>
      </c>
      <c r="Q349" t="str">
        <f>CHOOSE(WEEKDAY(datos_siembra[[#This Row],[Date]],2),"L","M","X","J","V","S","D")</f>
        <v>X</v>
      </c>
      <c r="R349">
        <f>WEEKNUM(datos_siembra[[#This Row],[Date]],2)-WEEKNUM(DATE(YEAR(datos_siembra[[#This Row],[Date]]),MONTH(datos_siembra[[#This Row],[Date]]),1))+1</f>
        <v>2</v>
      </c>
      <c r="S349">
        <f>MONTH(datos_siembra[[#This Row],[Date]])</f>
        <v>9</v>
      </c>
      <c r="T349" t="str" cm="1">
        <f t="array" ref="T349">_xlfn.IFS(AND(N349&lt;= 22, S349=9), "SOWING",AND(N349&lt;= 28, S349=9), "COVERAGE",AND(N349&lt;= 30, S349=9), "FLUSH",AND(N349&lt;= 11, S349=10), "FLUSH",AND(N349&lt;= 21, S349=10), "PRODUCTION")</f>
        <v>SOWING</v>
      </c>
      <c r="U349">
        <f>HOUR(datos_siembra[[#This Row],[Hour]])</f>
        <v>1</v>
      </c>
      <c r="V349" cm="1">
        <f t="array" ref="V349">_xlfn.IFS(AND(N349&lt;= 22, S349=9), N349-7,AND(N349&lt;= 28, S349=9), N349-25,AND(N349&lt;= 30, S349=9), N349-28,AND(N349&lt;= 11, S349=10), N349+2,AND(N349&lt;= 21, S349=10), N349-11)</f>
        <v>4</v>
      </c>
    </row>
    <row r="350" spans="1:22" x14ac:dyDescent="0.35">
      <c r="A350" s="4">
        <v>45546</v>
      </c>
      <c r="B350" s="5">
        <v>7.4965277777777783E-2</v>
      </c>
      <c r="C350">
        <v>82.1</v>
      </c>
      <c r="D350">
        <v>84.3</v>
      </c>
      <c r="E350">
        <v>87.5</v>
      </c>
      <c r="F350">
        <v>81.400000000000006</v>
      </c>
      <c r="G350">
        <v>0</v>
      </c>
      <c r="H350">
        <v>0</v>
      </c>
      <c r="I350">
        <v>0</v>
      </c>
      <c r="J350">
        <v>0</v>
      </c>
      <c r="K350">
        <v>63.7</v>
      </c>
      <c r="L350">
        <v>62.2</v>
      </c>
      <c r="M350">
        <v>83.83</v>
      </c>
      <c r="N350">
        <v>11</v>
      </c>
      <c r="O350">
        <v>1</v>
      </c>
      <c r="P350">
        <f>MOD(DAY(datos_siembra[[#This Row],[Date]]),7)</f>
        <v>4</v>
      </c>
      <c r="Q350" t="str">
        <f>CHOOSE(WEEKDAY(datos_siembra[[#This Row],[Date]],2),"L","M","X","J","V","S","D")</f>
        <v>X</v>
      </c>
      <c r="R350">
        <f>WEEKNUM(datos_siembra[[#This Row],[Date]],2)-WEEKNUM(DATE(YEAR(datos_siembra[[#This Row],[Date]]),MONTH(datos_siembra[[#This Row],[Date]]),1))+1</f>
        <v>2</v>
      </c>
      <c r="S350">
        <f>MONTH(datos_siembra[[#This Row],[Date]])</f>
        <v>9</v>
      </c>
      <c r="T350" t="str" cm="1">
        <f t="array" ref="T350">_xlfn.IFS(AND(N350&lt;= 22, S350=9), "SOWING",AND(N350&lt;= 28, S350=9), "COVERAGE",AND(N350&lt;= 30, S350=9), "FLUSH",AND(N350&lt;= 11, S350=10), "FLUSH",AND(N350&lt;= 21, S350=10), "PRODUCTION")</f>
        <v>SOWING</v>
      </c>
      <c r="U350">
        <f>HOUR(datos_siembra[[#This Row],[Hour]])</f>
        <v>1</v>
      </c>
      <c r="V350" cm="1">
        <f t="array" ref="V350">_xlfn.IFS(AND(N350&lt;= 22, S350=9), N350-7,AND(N350&lt;= 28, S350=9), N350-25,AND(N350&lt;= 30, S350=9), N350-28,AND(N350&lt;= 11, S350=10), N350+2,AND(N350&lt;= 21, S350=10), N350-11)</f>
        <v>4</v>
      </c>
    </row>
    <row r="351" spans="1:22" x14ac:dyDescent="0.35">
      <c r="A351" s="4">
        <v>45546</v>
      </c>
      <c r="B351" s="5">
        <v>8.1909722222222217E-2</v>
      </c>
      <c r="C351">
        <v>82.1</v>
      </c>
      <c r="D351">
        <v>84.4</v>
      </c>
      <c r="E351">
        <v>87.5</v>
      </c>
      <c r="F351">
        <v>81.400000000000006</v>
      </c>
      <c r="G351">
        <v>0</v>
      </c>
      <c r="H351">
        <v>0</v>
      </c>
      <c r="I351">
        <v>0</v>
      </c>
      <c r="J351">
        <v>0</v>
      </c>
      <c r="K351">
        <v>63.4</v>
      </c>
      <c r="L351">
        <v>61.8</v>
      </c>
      <c r="M351">
        <v>83.81</v>
      </c>
      <c r="N351">
        <v>11</v>
      </c>
      <c r="O351">
        <v>1</v>
      </c>
      <c r="P351">
        <f>MOD(DAY(datos_siembra[[#This Row],[Date]]),7)</f>
        <v>4</v>
      </c>
      <c r="Q351" t="str">
        <f>CHOOSE(WEEKDAY(datos_siembra[[#This Row],[Date]],2),"L","M","X","J","V","S","D")</f>
        <v>X</v>
      </c>
      <c r="R351">
        <f>WEEKNUM(datos_siembra[[#This Row],[Date]],2)-WEEKNUM(DATE(YEAR(datos_siembra[[#This Row],[Date]]),MONTH(datos_siembra[[#This Row],[Date]]),1))+1</f>
        <v>2</v>
      </c>
      <c r="S351">
        <f>MONTH(datos_siembra[[#This Row],[Date]])</f>
        <v>9</v>
      </c>
      <c r="T351" t="str" cm="1">
        <f t="array" ref="T351">_xlfn.IFS(AND(N351&lt;= 22, S351=9), "SOWING",AND(N351&lt;= 28, S351=9), "COVERAGE",AND(N351&lt;= 30, S351=9), "FLUSH",AND(N351&lt;= 11, S351=10), "FLUSH",AND(N351&lt;= 21, S351=10), "PRODUCTION")</f>
        <v>SOWING</v>
      </c>
      <c r="U351">
        <f>HOUR(datos_siembra[[#This Row],[Hour]])</f>
        <v>1</v>
      </c>
      <c r="V351" cm="1">
        <f t="array" ref="V351">_xlfn.IFS(AND(N351&lt;= 22, S351=9), N351-7,AND(N351&lt;= 28, S351=9), N351-25,AND(N351&lt;= 30, S351=9), N351-28,AND(N351&lt;= 11, S351=10), N351+2,AND(N351&lt;= 21, S351=10), N351-11)</f>
        <v>4</v>
      </c>
    </row>
    <row r="352" spans="1:22" x14ac:dyDescent="0.35">
      <c r="A352" s="4">
        <v>45546</v>
      </c>
      <c r="B352" s="5">
        <v>8.8854166666666665E-2</v>
      </c>
      <c r="C352">
        <v>82.2</v>
      </c>
      <c r="D352">
        <v>84.3</v>
      </c>
      <c r="E352">
        <v>87.5</v>
      </c>
      <c r="F352">
        <v>81.3</v>
      </c>
      <c r="G352">
        <v>0</v>
      </c>
      <c r="H352">
        <v>0</v>
      </c>
      <c r="I352">
        <v>0</v>
      </c>
      <c r="J352">
        <v>0</v>
      </c>
      <c r="K352">
        <v>64.2</v>
      </c>
      <c r="L352">
        <v>62.7</v>
      </c>
      <c r="M352">
        <v>83.81</v>
      </c>
      <c r="N352">
        <v>11</v>
      </c>
      <c r="O352">
        <v>1</v>
      </c>
      <c r="P352">
        <f>MOD(DAY(datos_siembra[[#This Row],[Date]]),7)</f>
        <v>4</v>
      </c>
      <c r="Q352" t="str">
        <f>CHOOSE(WEEKDAY(datos_siembra[[#This Row],[Date]],2),"L","M","X","J","V","S","D")</f>
        <v>X</v>
      </c>
      <c r="R352">
        <f>WEEKNUM(datos_siembra[[#This Row],[Date]],2)-WEEKNUM(DATE(YEAR(datos_siembra[[#This Row],[Date]]),MONTH(datos_siembra[[#This Row],[Date]]),1))+1</f>
        <v>2</v>
      </c>
      <c r="S352">
        <f>MONTH(datos_siembra[[#This Row],[Date]])</f>
        <v>9</v>
      </c>
      <c r="T352" t="str" cm="1">
        <f t="array" ref="T352">_xlfn.IFS(AND(N352&lt;= 22, S352=9), "SOWING",AND(N352&lt;= 28, S352=9), "COVERAGE",AND(N352&lt;= 30, S352=9), "FLUSH",AND(N352&lt;= 11, S352=10), "FLUSH",AND(N352&lt;= 21, S352=10), "PRODUCTION")</f>
        <v>SOWING</v>
      </c>
      <c r="U352">
        <f>HOUR(datos_siembra[[#This Row],[Hour]])</f>
        <v>2</v>
      </c>
      <c r="V352" cm="1">
        <f t="array" ref="V352">_xlfn.IFS(AND(N352&lt;= 22, S352=9), N352-7,AND(N352&lt;= 28, S352=9), N352-25,AND(N352&lt;= 30, S352=9), N352-28,AND(N352&lt;= 11, S352=10), N352+2,AND(N352&lt;= 21, S352=10), N352-11)</f>
        <v>4</v>
      </c>
    </row>
    <row r="353" spans="1:22" x14ac:dyDescent="0.35">
      <c r="A353" s="4">
        <v>45546</v>
      </c>
      <c r="B353" s="5">
        <v>9.5798611111111112E-2</v>
      </c>
      <c r="C353">
        <v>82</v>
      </c>
      <c r="D353">
        <v>84.3</v>
      </c>
      <c r="E353">
        <v>87.5</v>
      </c>
      <c r="F353">
        <v>81.3</v>
      </c>
      <c r="G353">
        <v>0</v>
      </c>
      <c r="H353">
        <v>0</v>
      </c>
      <c r="I353">
        <v>0</v>
      </c>
      <c r="J353">
        <v>0</v>
      </c>
      <c r="K353">
        <v>64.400000000000006</v>
      </c>
      <c r="L353">
        <v>63.2</v>
      </c>
      <c r="M353">
        <v>83.83</v>
      </c>
      <c r="N353">
        <v>11</v>
      </c>
      <c r="O353">
        <v>1</v>
      </c>
      <c r="P353">
        <f>MOD(DAY(datos_siembra[[#This Row],[Date]]),7)</f>
        <v>4</v>
      </c>
      <c r="Q353" t="str">
        <f>CHOOSE(WEEKDAY(datos_siembra[[#This Row],[Date]],2),"L","M","X","J","V","S","D")</f>
        <v>X</v>
      </c>
      <c r="R353">
        <f>WEEKNUM(datos_siembra[[#This Row],[Date]],2)-WEEKNUM(DATE(YEAR(datos_siembra[[#This Row],[Date]]),MONTH(datos_siembra[[#This Row],[Date]]),1))+1</f>
        <v>2</v>
      </c>
      <c r="S353">
        <f>MONTH(datos_siembra[[#This Row],[Date]])</f>
        <v>9</v>
      </c>
      <c r="T353" t="str" cm="1">
        <f t="array" ref="T353">_xlfn.IFS(AND(N353&lt;= 22, S353=9), "SOWING",AND(N353&lt;= 28, S353=9), "COVERAGE",AND(N353&lt;= 30, S353=9), "FLUSH",AND(N353&lt;= 11, S353=10), "FLUSH",AND(N353&lt;= 21, S353=10), "PRODUCTION")</f>
        <v>SOWING</v>
      </c>
      <c r="U353">
        <f>HOUR(datos_siembra[[#This Row],[Hour]])</f>
        <v>2</v>
      </c>
      <c r="V353" cm="1">
        <f t="array" ref="V353">_xlfn.IFS(AND(N353&lt;= 22, S353=9), N353-7,AND(N353&lt;= 28, S353=9), N353-25,AND(N353&lt;= 30, S353=9), N353-28,AND(N353&lt;= 11, S353=10), N353+2,AND(N353&lt;= 21, S353=10), N353-11)</f>
        <v>4</v>
      </c>
    </row>
    <row r="354" spans="1:22" x14ac:dyDescent="0.35">
      <c r="A354" s="4">
        <v>45546</v>
      </c>
      <c r="B354" s="5">
        <v>0.10275462962962963</v>
      </c>
      <c r="C354">
        <v>82</v>
      </c>
      <c r="D354">
        <v>84.3</v>
      </c>
      <c r="E354">
        <v>87.6</v>
      </c>
      <c r="F354">
        <v>81.400000000000006</v>
      </c>
      <c r="G354">
        <v>0</v>
      </c>
      <c r="H354">
        <v>0</v>
      </c>
      <c r="I354">
        <v>0</v>
      </c>
      <c r="J354">
        <v>0</v>
      </c>
      <c r="K354">
        <v>64.599999999999994</v>
      </c>
      <c r="L354">
        <v>63.4</v>
      </c>
      <c r="M354">
        <v>83.78</v>
      </c>
      <c r="N354">
        <v>11</v>
      </c>
      <c r="O354">
        <v>1</v>
      </c>
      <c r="P354">
        <f>MOD(DAY(datos_siembra[[#This Row],[Date]]),7)</f>
        <v>4</v>
      </c>
      <c r="Q354" t="str">
        <f>CHOOSE(WEEKDAY(datos_siembra[[#This Row],[Date]],2),"L","M","X","J","V","S","D")</f>
        <v>X</v>
      </c>
      <c r="R354">
        <f>WEEKNUM(datos_siembra[[#This Row],[Date]],2)-WEEKNUM(DATE(YEAR(datos_siembra[[#This Row],[Date]]),MONTH(datos_siembra[[#This Row],[Date]]),1))+1</f>
        <v>2</v>
      </c>
      <c r="S354">
        <f>MONTH(datos_siembra[[#This Row],[Date]])</f>
        <v>9</v>
      </c>
      <c r="T354" t="str" cm="1">
        <f t="array" ref="T354">_xlfn.IFS(AND(N354&lt;= 22, S354=9), "SOWING",AND(N354&lt;= 28, S354=9), "COVERAGE",AND(N354&lt;= 30, S354=9), "FLUSH",AND(N354&lt;= 11, S354=10), "FLUSH",AND(N354&lt;= 21, S354=10), "PRODUCTION")</f>
        <v>SOWING</v>
      </c>
      <c r="U354">
        <f>HOUR(datos_siembra[[#This Row],[Hour]])</f>
        <v>2</v>
      </c>
      <c r="V354" cm="1">
        <f t="array" ref="V354">_xlfn.IFS(AND(N354&lt;= 22, S354=9), N354-7,AND(N354&lt;= 28, S354=9), N354-25,AND(N354&lt;= 30, S354=9), N354-28,AND(N354&lt;= 11, S354=10), N354+2,AND(N354&lt;= 21, S354=10), N354-11)</f>
        <v>4</v>
      </c>
    </row>
    <row r="355" spans="1:22" x14ac:dyDescent="0.35">
      <c r="A355" s="4">
        <v>45546</v>
      </c>
      <c r="B355" s="5">
        <v>0.10969907407407407</v>
      </c>
      <c r="C355">
        <v>82.1</v>
      </c>
      <c r="D355">
        <v>84.2</v>
      </c>
      <c r="E355">
        <v>87.6</v>
      </c>
      <c r="F355">
        <v>81.5</v>
      </c>
      <c r="G355">
        <v>0</v>
      </c>
      <c r="H355">
        <v>0</v>
      </c>
      <c r="I355">
        <v>0</v>
      </c>
      <c r="J355">
        <v>0</v>
      </c>
      <c r="K355">
        <v>64.7</v>
      </c>
      <c r="L355">
        <v>63.4</v>
      </c>
      <c r="M355">
        <v>83.86</v>
      </c>
      <c r="N355">
        <v>11</v>
      </c>
      <c r="O355">
        <v>1</v>
      </c>
      <c r="P355">
        <f>MOD(DAY(datos_siembra[[#This Row],[Date]]),7)</f>
        <v>4</v>
      </c>
      <c r="Q355" t="str">
        <f>CHOOSE(WEEKDAY(datos_siembra[[#This Row],[Date]],2),"L","M","X","J","V","S","D")</f>
        <v>X</v>
      </c>
      <c r="R355">
        <f>WEEKNUM(datos_siembra[[#This Row],[Date]],2)-WEEKNUM(DATE(YEAR(datos_siembra[[#This Row],[Date]]),MONTH(datos_siembra[[#This Row],[Date]]),1))+1</f>
        <v>2</v>
      </c>
      <c r="S355">
        <f>MONTH(datos_siembra[[#This Row],[Date]])</f>
        <v>9</v>
      </c>
      <c r="T355" t="str" cm="1">
        <f t="array" ref="T355">_xlfn.IFS(AND(N355&lt;= 22, S355=9), "SOWING",AND(N355&lt;= 28, S355=9), "COVERAGE",AND(N355&lt;= 30, S355=9), "FLUSH",AND(N355&lt;= 11, S355=10), "FLUSH",AND(N355&lt;= 21, S355=10), "PRODUCTION")</f>
        <v>SOWING</v>
      </c>
      <c r="U355">
        <f>HOUR(datos_siembra[[#This Row],[Hour]])</f>
        <v>2</v>
      </c>
      <c r="V355" cm="1">
        <f t="array" ref="V355">_xlfn.IFS(AND(N355&lt;= 22, S355=9), N355-7,AND(N355&lt;= 28, S355=9), N355-25,AND(N355&lt;= 30, S355=9), N355-28,AND(N355&lt;= 11, S355=10), N355+2,AND(N355&lt;= 21, S355=10), N355-11)</f>
        <v>4</v>
      </c>
    </row>
    <row r="356" spans="1:22" x14ac:dyDescent="0.35">
      <c r="A356" s="4">
        <v>45546</v>
      </c>
      <c r="B356" s="5">
        <v>0.11664351851851852</v>
      </c>
      <c r="C356">
        <v>82</v>
      </c>
      <c r="D356">
        <v>84.2</v>
      </c>
      <c r="E356">
        <v>87.6</v>
      </c>
      <c r="F356">
        <v>81.5</v>
      </c>
      <c r="G356">
        <v>0</v>
      </c>
      <c r="H356">
        <v>0</v>
      </c>
      <c r="I356">
        <v>0</v>
      </c>
      <c r="J356">
        <v>0</v>
      </c>
      <c r="K356">
        <v>64.900000000000006</v>
      </c>
      <c r="L356">
        <v>63.6</v>
      </c>
      <c r="M356">
        <v>83.72</v>
      </c>
      <c r="N356">
        <v>11</v>
      </c>
      <c r="O356">
        <v>1</v>
      </c>
      <c r="P356">
        <f>MOD(DAY(datos_siembra[[#This Row],[Date]]),7)</f>
        <v>4</v>
      </c>
      <c r="Q356" t="str">
        <f>CHOOSE(WEEKDAY(datos_siembra[[#This Row],[Date]],2),"L","M","X","J","V","S","D")</f>
        <v>X</v>
      </c>
      <c r="R356">
        <f>WEEKNUM(datos_siembra[[#This Row],[Date]],2)-WEEKNUM(DATE(YEAR(datos_siembra[[#This Row],[Date]]),MONTH(datos_siembra[[#This Row],[Date]]),1))+1</f>
        <v>2</v>
      </c>
      <c r="S356">
        <f>MONTH(datos_siembra[[#This Row],[Date]])</f>
        <v>9</v>
      </c>
      <c r="T356" t="str" cm="1">
        <f t="array" ref="T356">_xlfn.IFS(AND(N356&lt;= 22, S356=9), "SOWING",AND(N356&lt;= 28, S356=9), "COVERAGE",AND(N356&lt;= 30, S356=9), "FLUSH",AND(N356&lt;= 11, S356=10), "FLUSH",AND(N356&lt;= 21, S356=10), "PRODUCTION")</f>
        <v>SOWING</v>
      </c>
      <c r="U356">
        <f>HOUR(datos_siembra[[#This Row],[Hour]])</f>
        <v>2</v>
      </c>
      <c r="V356" cm="1">
        <f t="array" ref="V356">_xlfn.IFS(AND(N356&lt;= 22, S356=9), N356-7,AND(N356&lt;= 28, S356=9), N356-25,AND(N356&lt;= 30, S356=9), N356-28,AND(N356&lt;= 11, S356=10), N356+2,AND(N356&lt;= 21, S356=10), N356-11)</f>
        <v>4</v>
      </c>
    </row>
    <row r="357" spans="1:22" x14ac:dyDescent="0.35">
      <c r="A357" s="4">
        <v>45546</v>
      </c>
      <c r="B357" s="5">
        <v>0.12359953703703704</v>
      </c>
      <c r="C357">
        <v>82.1</v>
      </c>
      <c r="D357">
        <v>84.3</v>
      </c>
      <c r="E357">
        <v>87.4</v>
      </c>
      <c r="F357">
        <v>81.3</v>
      </c>
      <c r="G357">
        <v>0</v>
      </c>
      <c r="H357">
        <v>0</v>
      </c>
      <c r="I357">
        <v>0</v>
      </c>
      <c r="J357">
        <v>0</v>
      </c>
      <c r="K357">
        <v>64.900000000000006</v>
      </c>
      <c r="L357">
        <v>63.6</v>
      </c>
      <c r="M357">
        <v>83.72</v>
      </c>
      <c r="N357">
        <v>11</v>
      </c>
      <c r="O357">
        <v>1</v>
      </c>
      <c r="P357">
        <f>MOD(DAY(datos_siembra[[#This Row],[Date]]),7)</f>
        <v>4</v>
      </c>
      <c r="Q357" t="str">
        <f>CHOOSE(WEEKDAY(datos_siembra[[#This Row],[Date]],2),"L","M","X","J","V","S","D")</f>
        <v>X</v>
      </c>
      <c r="R357">
        <f>WEEKNUM(datos_siembra[[#This Row],[Date]],2)-WEEKNUM(DATE(YEAR(datos_siembra[[#This Row],[Date]]),MONTH(datos_siembra[[#This Row],[Date]]),1))+1</f>
        <v>2</v>
      </c>
      <c r="S357">
        <f>MONTH(datos_siembra[[#This Row],[Date]])</f>
        <v>9</v>
      </c>
      <c r="T357" t="str" cm="1">
        <f t="array" ref="T357">_xlfn.IFS(AND(N357&lt;= 22, S357=9), "SOWING",AND(N357&lt;= 28, S357=9), "COVERAGE",AND(N357&lt;= 30, S357=9), "FLUSH",AND(N357&lt;= 11, S357=10), "FLUSH",AND(N357&lt;= 21, S357=10), "PRODUCTION")</f>
        <v>SOWING</v>
      </c>
      <c r="U357">
        <f>HOUR(datos_siembra[[#This Row],[Hour]])</f>
        <v>2</v>
      </c>
      <c r="V357" cm="1">
        <f t="array" ref="V357">_xlfn.IFS(AND(N357&lt;= 22, S357=9), N357-7,AND(N357&lt;= 28, S357=9), N357-25,AND(N357&lt;= 30, S357=9), N357-28,AND(N357&lt;= 11, S357=10), N357+2,AND(N357&lt;= 21, S357=10), N357-11)</f>
        <v>4</v>
      </c>
    </row>
    <row r="358" spans="1:22" x14ac:dyDescent="0.35">
      <c r="A358" s="4">
        <v>45546</v>
      </c>
      <c r="B358" s="5">
        <v>0.13054398148148147</v>
      </c>
      <c r="C358">
        <v>81.8</v>
      </c>
      <c r="D358">
        <v>84.2</v>
      </c>
      <c r="E358">
        <v>87.5</v>
      </c>
      <c r="F358">
        <v>81.5</v>
      </c>
      <c r="G358">
        <v>0</v>
      </c>
      <c r="H358">
        <v>0</v>
      </c>
      <c r="I358">
        <v>0</v>
      </c>
      <c r="J358">
        <v>0</v>
      </c>
      <c r="K358">
        <v>64.900000000000006</v>
      </c>
      <c r="L358">
        <v>63.6</v>
      </c>
      <c r="M358">
        <v>83.78</v>
      </c>
      <c r="N358">
        <v>11</v>
      </c>
      <c r="O358">
        <v>1</v>
      </c>
      <c r="P358">
        <f>MOD(DAY(datos_siembra[[#This Row],[Date]]),7)</f>
        <v>4</v>
      </c>
      <c r="Q358" t="str">
        <f>CHOOSE(WEEKDAY(datos_siembra[[#This Row],[Date]],2),"L","M","X","J","V","S","D")</f>
        <v>X</v>
      </c>
      <c r="R358">
        <f>WEEKNUM(datos_siembra[[#This Row],[Date]],2)-WEEKNUM(DATE(YEAR(datos_siembra[[#This Row],[Date]]),MONTH(datos_siembra[[#This Row],[Date]]),1))+1</f>
        <v>2</v>
      </c>
      <c r="S358">
        <f>MONTH(datos_siembra[[#This Row],[Date]])</f>
        <v>9</v>
      </c>
      <c r="T358" t="str" cm="1">
        <f t="array" ref="T358">_xlfn.IFS(AND(N358&lt;= 22, S358=9), "SOWING",AND(N358&lt;= 28, S358=9), "COVERAGE",AND(N358&lt;= 30, S358=9), "FLUSH",AND(N358&lt;= 11, S358=10), "FLUSH",AND(N358&lt;= 21, S358=10), "PRODUCTION")</f>
        <v>SOWING</v>
      </c>
      <c r="U358">
        <f>HOUR(datos_siembra[[#This Row],[Hour]])</f>
        <v>3</v>
      </c>
      <c r="V358" cm="1">
        <f t="array" ref="V358">_xlfn.IFS(AND(N358&lt;= 22, S358=9), N358-7,AND(N358&lt;= 28, S358=9), N358-25,AND(N358&lt;= 30, S358=9), N358-28,AND(N358&lt;= 11, S358=10), N358+2,AND(N358&lt;= 21, S358=10), N358-11)</f>
        <v>4</v>
      </c>
    </row>
    <row r="359" spans="1:22" x14ac:dyDescent="0.35">
      <c r="A359" s="4">
        <v>45546</v>
      </c>
      <c r="B359" s="5">
        <v>0.13748842592592592</v>
      </c>
      <c r="C359">
        <v>82.1</v>
      </c>
      <c r="D359">
        <v>84.2</v>
      </c>
      <c r="E359">
        <v>87.5</v>
      </c>
      <c r="F359">
        <v>81.400000000000006</v>
      </c>
      <c r="G359">
        <v>0</v>
      </c>
      <c r="H359">
        <v>0</v>
      </c>
      <c r="I359">
        <v>0</v>
      </c>
      <c r="J359">
        <v>0</v>
      </c>
      <c r="K359">
        <v>64.900000000000006</v>
      </c>
      <c r="L359">
        <v>63.6</v>
      </c>
      <c r="M359">
        <v>83.78</v>
      </c>
      <c r="N359">
        <v>11</v>
      </c>
      <c r="O359">
        <v>1</v>
      </c>
      <c r="P359">
        <f>MOD(DAY(datos_siembra[[#This Row],[Date]]),7)</f>
        <v>4</v>
      </c>
      <c r="Q359" t="str">
        <f>CHOOSE(WEEKDAY(datos_siembra[[#This Row],[Date]],2),"L","M","X","J","V","S","D")</f>
        <v>X</v>
      </c>
      <c r="R359">
        <f>WEEKNUM(datos_siembra[[#This Row],[Date]],2)-WEEKNUM(DATE(YEAR(datos_siembra[[#This Row],[Date]]),MONTH(datos_siembra[[#This Row],[Date]]),1))+1</f>
        <v>2</v>
      </c>
      <c r="S359">
        <f>MONTH(datos_siembra[[#This Row],[Date]])</f>
        <v>9</v>
      </c>
      <c r="T359" t="str" cm="1">
        <f t="array" ref="T359">_xlfn.IFS(AND(N359&lt;= 22, S359=9), "SOWING",AND(N359&lt;= 28, S359=9), "COVERAGE",AND(N359&lt;= 30, S359=9), "FLUSH",AND(N359&lt;= 11, S359=10), "FLUSH",AND(N359&lt;= 21, S359=10), "PRODUCTION")</f>
        <v>SOWING</v>
      </c>
      <c r="U359">
        <f>HOUR(datos_siembra[[#This Row],[Hour]])</f>
        <v>3</v>
      </c>
      <c r="V359" cm="1">
        <f t="array" ref="V359">_xlfn.IFS(AND(N359&lt;= 22, S359=9), N359-7,AND(N359&lt;= 28, S359=9), N359-25,AND(N359&lt;= 30, S359=9), N359-28,AND(N359&lt;= 11, S359=10), N359+2,AND(N359&lt;= 21, S359=10), N359-11)</f>
        <v>4</v>
      </c>
    </row>
    <row r="360" spans="1:22" x14ac:dyDescent="0.35">
      <c r="A360" s="4">
        <v>45546</v>
      </c>
      <c r="B360" s="5">
        <v>0.14443287037037036</v>
      </c>
      <c r="C360">
        <v>82</v>
      </c>
      <c r="D360">
        <v>84.1</v>
      </c>
      <c r="E360">
        <v>87.5</v>
      </c>
      <c r="F360">
        <v>81.400000000000006</v>
      </c>
      <c r="G360">
        <v>0</v>
      </c>
      <c r="H360">
        <v>0</v>
      </c>
      <c r="I360">
        <v>0</v>
      </c>
      <c r="J360">
        <v>0</v>
      </c>
      <c r="K360">
        <v>64.900000000000006</v>
      </c>
      <c r="L360">
        <v>63.6</v>
      </c>
      <c r="M360">
        <v>83.75</v>
      </c>
      <c r="N360">
        <v>11</v>
      </c>
      <c r="O360">
        <v>1</v>
      </c>
      <c r="P360">
        <f>MOD(DAY(datos_siembra[[#This Row],[Date]]),7)</f>
        <v>4</v>
      </c>
      <c r="Q360" t="str">
        <f>CHOOSE(WEEKDAY(datos_siembra[[#This Row],[Date]],2),"L","M","X","J","V","S","D")</f>
        <v>X</v>
      </c>
      <c r="R360">
        <f>WEEKNUM(datos_siembra[[#This Row],[Date]],2)-WEEKNUM(DATE(YEAR(datos_siembra[[#This Row],[Date]]),MONTH(datos_siembra[[#This Row],[Date]]),1))+1</f>
        <v>2</v>
      </c>
      <c r="S360">
        <f>MONTH(datos_siembra[[#This Row],[Date]])</f>
        <v>9</v>
      </c>
      <c r="T360" t="str" cm="1">
        <f t="array" ref="T360">_xlfn.IFS(AND(N360&lt;= 22, S360=9), "SOWING",AND(N360&lt;= 28, S360=9), "COVERAGE",AND(N360&lt;= 30, S360=9), "FLUSH",AND(N360&lt;= 11, S360=10), "FLUSH",AND(N360&lt;= 21, S360=10), "PRODUCTION")</f>
        <v>SOWING</v>
      </c>
      <c r="U360">
        <f>HOUR(datos_siembra[[#This Row],[Hour]])</f>
        <v>3</v>
      </c>
      <c r="V360" cm="1">
        <f t="array" ref="V360">_xlfn.IFS(AND(N360&lt;= 22, S360=9), N360-7,AND(N360&lt;= 28, S360=9), N360-25,AND(N360&lt;= 30, S360=9), N360-28,AND(N360&lt;= 11, S360=10), N360+2,AND(N360&lt;= 21, S360=10), N360-11)</f>
        <v>4</v>
      </c>
    </row>
    <row r="361" spans="1:22" x14ac:dyDescent="0.35">
      <c r="A361" s="4">
        <v>45546</v>
      </c>
      <c r="B361" s="5">
        <v>0.15138888888888888</v>
      </c>
      <c r="C361">
        <v>82.1</v>
      </c>
      <c r="D361">
        <v>84.1</v>
      </c>
      <c r="E361">
        <v>87.6</v>
      </c>
      <c r="F361">
        <v>81.400000000000006</v>
      </c>
      <c r="G361">
        <v>0</v>
      </c>
      <c r="H361">
        <v>0</v>
      </c>
      <c r="I361">
        <v>0</v>
      </c>
      <c r="J361">
        <v>0</v>
      </c>
      <c r="K361">
        <v>64.900000000000006</v>
      </c>
      <c r="L361">
        <v>63.7</v>
      </c>
      <c r="M361">
        <v>83.78</v>
      </c>
      <c r="N361">
        <v>11</v>
      </c>
      <c r="O361">
        <v>1</v>
      </c>
      <c r="P361">
        <f>MOD(DAY(datos_siembra[[#This Row],[Date]]),7)</f>
        <v>4</v>
      </c>
      <c r="Q361" t="str">
        <f>CHOOSE(WEEKDAY(datos_siembra[[#This Row],[Date]],2),"L","M","X","J","V","S","D")</f>
        <v>X</v>
      </c>
      <c r="R361">
        <f>WEEKNUM(datos_siembra[[#This Row],[Date]],2)-WEEKNUM(DATE(YEAR(datos_siembra[[#This Row],[Date]]),MONTH(datos_siembra[[#This Row],[Date]]),1))+1</f>
        <v>2</v>
      </c>
      <c r="S361">
        <f>MONTH(datos_siembra[[#This Row],[Date]])</f>
        <v>9</v>
      </c>
      <c r="T361" t="str" cm="1">
        <f t="array" ref="T361">_xlfn.IFS(AND(N361&lt;= 22, S361=9), "SOWING",AND(N361&lt;= 28, S361=9), "COVERAGE",AND(N361&lt;= 30, S361=9), "FLUSH",AND(N361&lt;= 11, S361=10), "FLUSH",AND(N361&lt;= 21, S361=10), "PRODUCTION")</f>
        <v>SOWING</v>
      </c>
      <c r="U361">
        <f>HOUR(datos_siembra[[#This Row],[Hour]])</f>
        <v>3</v>
      </c>
      <c r="V361" cm="1">
        <f t="array" ref="V361">_xlfn.IFS(AND(N361&lt;= 22, S361=9), N361-7,AND(N361&lt;= 28, S361=9), N361-25,AND(N361&lt;= 30, S361=9), N361-28,AND(N361&lt;= 11, S361=10), N361+2,AND(N361&lt;= 21, S361=10), N361-11)</f>
        <v>4</v>
      </c>
    </row>
    <row r="362" spans="1:22" x14ac:dyDescent="0.35">
      <c r="A362" s="4">
        <v>45546</v>
      </c>
      <c r="B362" s="5">
        <v>0.15833333333333333</v>
      </c>
      <c r="C362">
        <v>82.1</v>
      </c>
      <c r="D362">
        <v>84.2</v>
      </c>
      <c r="E362">
        <v>87.5</v>
      </c>
      <c r="F362">
        <v>81.400000000000006</v>
      </c>
      <c r="G362">
        <v>0</v>
      </c>
      <c r="H362">
        <v>0</v>
      </c>
      <c r="I362">
        <v>0</v>
      </c>
      <c r="J362">
        <v>0</v>
      </c>
      <c r="K362">
        <v>65</v>
      </c>
      <c r="L362">
        <v>63.7</v>
      </c>
      <c r="M362">
        <v>83.81</v>
      </c>
      <c r="N362">
        <v>11</v>
      </c>
      <c r="O362">
        <v>1</v>
      </c>
      <c r="P362">
        <f>MOD(DAY(datos_siembra[[#This Row],[Date]]),7)</f>
        <v>4</v>
      </c>
      <c r="Q362" t="str">
        <f>CHOOSE(WEEKDAY(datos_siembra[[#This Row],[Date]],2),"L","M","X","J","V","S","D")</f>
        <v>X</v>
      </c>
      <c r="R362">
        <f>WEEKNUM(datos_siembra[[#This Row],[Date]],2)-WEEKNUM(DATE(YEAR(datos_siembra[[#This Row],[Date]]),MONTH(datos_siembra[[#This Row],[Date]]),1))+1</f>
        <v>2</v>
      </c>
      <c r="S362">
        <f>MONTH(datos_siembra[[#This Row],[Date]])</f>
        <v>9</v>
      </c>
      <c r="T362" t="str" cm="1">
        <f t="array" ref="T362">_xlfn.IFS(AND(N362&lt;= 22, S362=9), "SOWING",AND(N362&lt;= 28, S362=9), "COVERAGE",AND(N362&lt;= 30, S362=9), "FLUSH",AND(N362&lt;= 11, S362=10), "FLUSH",AND(N362&lt;= 21, S362=10), "PRODUCTION")</f>
        <v>SOWING</v>
      </c>
      <c r="U362">
        <f>HOUR(datos_siembra[[#This Row],[Hour]])</f>
        <v>3</v>
      </c>
      <c r="V362" cm="1">
        <f t="array" ref="V362">_xlfn.IFS(AND(N362&lt;= 22, S362=9), N362-7,AND(N362&lt;= 28, S362=9), N362-25,AND(N362&lt;= 30, S362=9), N362-28,AND(N362&lt;= 11, S362=10), N362+2,AND(N362&lt;= 21, S362=10), N362-11)</f>
        <v>4</v>
      </c>
    </row>
    <row r="363" spans="1:22" x14ac:dyDescent="0.35">
      <c r="A363" s="4">
        <v>45546</v>
      </c>
      <c r="B363" s="5">
        <v>0.16527777777777777</v>
      </c>
      <c r="C363">
        <v>82</v>
      </c>
      <c r="D363">
        <v>84.2</v>
      </c>
      <c r="E363">
        <v>87.5</v>
      </c>
      <c r="F363">
        <v>81.599999999999994</v>
      </c>
      <c r="G363">
        <v>0</v>
      </c>
      <c r="H363">
        <v>0</v>
      </c>
      <c r="I363">
        <v>0</v>
      </c>
      <c r="J363">
        <v>0</v>
      </c>
      <c r="K363">
        <v>64.900000000000006</v>
      </c>
      <c r="L363">
        <v>63.7</v>
      </c>
      <c r="M363">
        <v>83.78</v>
      </c>
      <c r="N363">
        <v>11</v>
      </c>
      <c r="O363">
        <v>1</v>
      </c>
      <c r="P363">
        <f>MOD(DAY(datos_siembra[[#This Row],[Date]]),7)</f>
        <v>4</v>
      </c>
      <c r="Q363" t="str">
        <f>CHOOSE(WEEKDAY(datos_siembra[[#This Row],[Date]],2),"L","M","X","J","V","S","D")</f>
        <v>X</v>
      </c>
      <c r="R363">
        <f>WEEKNUM(datos_siembra[[#This Row],[Date]],2)-WEEKNUM(DATE(YEAR(datos_siembra[[#This Row],[Date]]),MONTH(datos_siembra[[#This Row],[Date]]),1))+1</f>
        <v>2</v>
      </c>
      <c r="S363">
        <f>MONTH(datos_siembra[[#This Row],[Date]])</f>
        <v>9</v>
      </c>
      <c r="T363" t="str" cm="1">
        <f t="array" ref="T363">_xlfn.IFS(AND(N363&lt;= 22, S363=9), "SOWING",AND(N363&lt;= 28, S363=9), "COVERAGE",AND(N363&lt;= 30, S363=9), "FLUSH",AND(N363&lt;= 11, S363=10), "FLUSH",AND(N363&lt;= 21, S363=10), "PRODUCTION")</f>
        <v>SOWING</v>
      </c>
      <c r="U363">
        <f>HOUR(datos_siembra[[#This Row],[Hour]])</f>
        <v>3</v>
      </c>
      <c r="V363" cm="1">
        <f t="array" ref="V363">_xlfn.IFS(AND(N363&lt;= 22, S363=9), N363-7,AND(N363&lt;= 28, S363=9), N363-25,AND(N363&lt;= 30, S363=9), N363-28,AND(N363&lt;= 11, S363=10), N363+2,AND(N363&lt;= 21, S363=10), N363-11)</f>
        <v>4</v>
      </c>
    </row>
    <row r="364" spans="1:22" x14ac:dyDescent="0.35">
      <c r="A364" s="4">
        <v>45546</v>
      </c>
      <c r="B364" s="5">
        <v>0.17222222222222222</v>
      </c>
      <c r="C364">
        <v>82.1</v>
      </c>
      <c r="D364">
        <v>84.1</v>
      </c>
      <c r="E364">
        <v>87.4</v>
      </c>
      <c r="F364">
        <v>81.5</v>
      </c>
      <c r="G364">
        <v>0</v>
      </c>
      <c r="H364">
        <v>0</v>
      </c>
      <c r="I364">
        <v>0</v>
      </c>
      <c r="J364">
        <v>0</v>
      </c>
      <c r="K364">
        <v>64.400000000000006</v>
      </c>
      <c r="L364">
        <v>62.8</v>
      </c>
      <c r="M364">
        <v>83.75</v>
      </c>
      <c r="N364">
        <v>11</v>
      </c>
      <c r="O364">
        <v>1</v>
      </c>
      <c r="P364">
        <f>MOD(DAY(datos_siembra[[#This Row],[Date]]),7)</f>
        <v>4</v>
      </c>
      <c r="Q364" t="str">
        <f>CHOOSE(WEEKDAY(datos_siembra[[#This Row],[Date]],2),"L","M","X","J","V","S","D")</f>
        <v>X</v>
      </c>
      <c r="R364">
        <f>WEEKNUM(datos_siembra[[#This Row],[Date]],2)-WEEKNUM(DATE(YEAR(datos_siembra[[#This Row],[Date]]),MONTH(datos_siembra[[#This Row],[Date]]),1))+1</f>
        <v>2</v>
      </c>
      <c r="S364">
        <f>MONTH(datos_siembra[[#This Row],[Date]])</f>
        <v>9</v>
      </c>
      <c r="T364" t="str" cm="1">
        <f t="array" ref="T364">_xlfn.IFS(AND(N364&lt;= 22, S364=9), "SOWING",AND(N364&lt;= 28, S364=9), "COVERAGE",AND(N364&lt;= 30, S364=9), "FLUSH",AND(N364&lt;= 11, S364=10), "FLUSH",AND(N364&lt;= 21, S364=10), "PRODUCTION")</f>
        <v>SOWING</v>
      </c>
      <c r="U364">
        <f>HOUR(datos_siembra[[#This Row],[Hour]])</f>
        <v>4</v>
      </c>
      <c r="V364" cm="1">
        <f t="array" ref="V364">_xlfn.IFS(AND(N364&lt;= 22, S364=9), N364-7,AND(N364&lt;= 28, S364=9), N364-25,AND(N364&lt;= 30, S364=9), N364-28,AND(N364&lt;= 11, S364=10), N364+2,AND(N364&lt;= 21, S364=10), N364-11)</f>
        <v>4</v>
      </c>
    </row>
    <row r="365" spans="1:22" x14ac:dyDescent="0.35">
      <c r="A365" s="4">
        <v>45546</v>
      </c>
      <c r="B365" s="5">
        <v>0.17917824074074074</v>
      </c>
      <c r="C365">
        <v>82</v>
      </c>
      <c r="D365">
        <v>84.2</v>
      </c>
      <c r="E365">
        <v>87.4</v>
      </c>
      <c r="F365">
        <v>81.7</v>
      </c>
      <c r="G365">
        <v>0</v>
      </c>
      <c r="H365">
        <v>0</v>
      </c>
      <c r="I365">
        <v>0</v>
      </c>
      <c r="J365">
        <v>0</v>
      </c>
      <c r="K365">
        <v>63.3</v>
      </c>
      <c r="L365">
        <v>61.5</v>
      </c>
      <c r="M365">
        <v>83.81</v>
      </c>
      <c r="N365">
        <v>11</v>
      </c>
      <c r="O365">
        <v>1</v>
      </c>
      <c r="P365">
        <f>MOD(DAY(datos_siembra[[#This Row],[Date]]),7)</f>
        <v>4</v>
      </c>
      <c r="Q365" t="str">
        <f>CHOOSE(WEEKDAY(datos_siembra[[#This Row],[Date]],2),"L","M","X","J","V","S","D")</f>
        <v>X</v>
      </c>
      <c r="R365">
        <f>WEEKNUM(datos_siembra[[#This Row],[Date]],2)-WEEKNUM(DATE(YEAR(datos_siembra[[#This Row],[Date]]),MONTH(datos_siembra[[#This Row],[Date]]),1))+1</f>
        <v>2</v>
      </c>
      <c r="S365">
        <f>MONTH(datos_siembra[[#This Row],[Date]])</f>
        <v>9</v>
      </c>
      <c r="T365" t="str" cm="1">
        <f t="array" ref="T365">_xlfn.IFS(AND(N365&lt;= 22, S365=9), "SOWING",AND(N365&lt;= 28, S365=9), "COVERAGE",AND(N365&lt;= 30, S365=9), "FLUSH",AND(N365&lt;= 11, S365=10), "FLUSH",AND(N365&lt;= 21, S365=10), "PRODUCTION")</f>
        <v>SOWING</v>
      </c>
      <c r="U365">
        <f>HOUR(datos_siembra[[#This Row],[Hour]])</f>
        <v>4</v>
      </c>
      <c r="V365" cm="1">
        <f t="array" ref="V365">_xlfn.IFS(AND(N365&lt;= 22, S365=9), N365-7,AND(N365&lt;= 28, S365=9), N365-25,AND(N365&lt;= 30, S365=9), N365-28,AND(N365&lt;= 11, S365=10), N365+2,AND(N365&lt;= 21, S365=10), N365-11)</f>
        <v>4</v>
      </c>
    </row>
    <row r="366" spans="1:22" x14ac:dyDescent="0.35">
      <c r="A366" s="4">
        <v>45546</v>
      </c>
      <c r="B366" s="5">
        <v>0.18612268518518518</v>
      </c>
      <c r="C366">
        <v>82.1</v>
      </c>
      <c r="D366">
        <v>84.2</v>
      </c>
      <c r="E366">
        <v>87.5</v>
      </c>
      <c r="F366">
        <v>82.1</v>
      </c>
      <c r="G366">
        <v>0</v>
      </c>
      <c r="H366">
        <v>0</v>
      </c>
      <c r="I366">
        <v>0</v>
      </c>
      <c r="J366">
        <v>0</v>
      </c>
      <c r="K366">
        <v>64.099999999999994</v>
      </c>
      <c r="L366">
        <v>62.6</v>
      </c>
      <c r="M366">
        <v>83.81</v>
      </c>
      <c r="N366">
        <v>11</v>
      </c>
      <c r="O366">
        <v>1</v>
      </c>
      <c r="P366">
        <f>MOD(DAY(datos_siembra[[#This Row],[Date]]),7)</f>
        <v>4</v>
      </c>
      <c r="Q366" t="str">
        <f>CHOOSE(WEEKDAY(datos_siembra[[#This Row],[Date]],2),"L","M","X","J","V","S","D")</f>
        <v>X</v>
      </c>
      <c r="R366">
        <f>WEEKNUM(datos_siembra[[#This Row],[Date]],2)-WEEKNUM(DATE(YEAR(datos_siembra[[#This Row],[Date]]),MONTH(datos_siembra[[#This Row],[Date]]),1))+1</f>
        <v>2</v>
      </c>
      <c r="S366">
        <f>MONTH(datos_siembra[[#This Row],[Date]])</f>
        <v>9</v>
      </c>
      <c r="T366" t="str" cm="1">
        <f t="array" ref="T366">_xlfn.IFS(AND(N366&lt;= 22, S366=9), "SOWING",AND(N366&lt;= 28, S366=9), "COVERAGE",AND(N366&lt;= 30, S366=9), "FLUSH",AND(N366&lt;= 11, S366=10), "FLUSH",AND(N366&lt;= 21, S366=10), "PRODUCTION")</f>
        <v>SOWING</v>
      </c>
      <c r="U366">
        <f>HOUR(datos_siembra[[#This Row],[Hour]])</f>
        <v>4</v>
      </c>
      <c r="V366" cm="1">
        <f t="array" ref="V366">_xlfn.IFS(AND(N366&lt;= 22, S366=9), N366-7,AND(N366&lt;= 28, S366=9), N366-25,AND(N366&lt;= 30, S366=9), N366-28,AND(N366&lt;= 11, S366=10), N366+2,AND(N366&lt;= 21, S366=10), N366-11)</f>
        <v>4</v>
      </c>
    </row>
    <row r="367" spans="1:22" x14ac:dyDescent="0.35">
      <c r="A367" s="4">
        <v>45546</v>
      </c>
      <c r="B367" s="5">
        <v>0.19306712962962963</v>
      </c>
      <c r="C367">
        <v>82.1</v>
      </c>
      <c r="D367">
        <v>84</v>
      </c>
      <c r="E367">
        <v>87.4</v>
      </c>
      <c r="F367">
        <v>82.3</v>
      </c>
      <c r="G367">
        <v>0</v>
      </c>
      <c r="H367">
        <v>0</v>
      </c>
      <c r="I367">
        <v>0</v>
      </c>
      <c r="J367">
        <v>0</v>
      </c>
      <c r="K367">
        <v>64.2</v>
      </c>
      <c r="L367">
        <v>62.8</v>
      </c>
      <c r="M367">
        <v>83.95</v>
      </c>
      <c r="N367">
        <v>11</v>
      </c>
      <c r="O367">
        <v>1</v>
      </c>
      <c r="P367">
        <f>MOD(DAY(datos_siembra[[#This Row],[Date]]),7)</f>
        <v>4</v>
      </c>
      <c r="Q367" t="str">
        <f>CHOOSE(WEEKDAY(datos_siembra[[#This Row],[Date]],2),"L","M","X","J","V","S","D")</f>
        <v>X</v>
      </c>
      <c r="R367">
        <f>WEEKNUM(datos_siembra[[#This Row],[Date]],2)-WEEKNUM(DATE(YEAR(datos_siembra[[#This Row],[Date]]),MONTH(datos_siembra[[#This Row],[Date]]),1))+1</f>
        <v>2</v>
      </c>
      <c r="S367">
        <f>MONTH(datos_siembra[[#This Row],[Date]])</f>
        <v>9</v>
      </c>
      <c r="T367" t="str" cm="1">
        <f t="array" ref="T367">_xlfn.IFS(AND(N367&lt;= 22, S367=9), "SOWING",AND(N367&lt;= 28, S367=9), "COVERAGE",AND(N367&lt;= 30, S367=9), "FLUSH",AND(N367&lt;= 11, S367=10), "FLUSH",AND(N367&lt;= 21, S367=10), "PRODUCTION")</f>
        <v>SOWING</v>
      </c>
      <c r="U367">
        <f>HOUR(datos_siembra[[#This Row],[Hour]])</f>
        <v>4</v>
      </c>
      <c r="V367" cm="1">
        <f t="array" ref="V367">_xlfn.IFS(AND(N367&lt;= 22, S367=9), N367-7,AND(N367&lt;= 28, S367=9), N367-25,AND(N367&lt;= 30, S367=9), N367-28,AND(N367&lt;= 11, S367=10), N367+2,AND(N367&lt;= 21, S367=10), N367-11)</f>
        <v>4</v>
      </c>
    </row>
    <row r="368" spans="1:22" x14ac:dyDescent="0.35">
      <c r="A368" s="4">
        <v>45546</v>
      </c>
      <c r="B368" s="5">
        <v>0.20002314814814814</v>
      </c>
      <c r="C368">
        <v>82</v>
      </c>
      <c r="D368">
        <v>84</v>
      </c>
      <c r="E368">
        <v>87.5</v>
      </c>
      <c r="F368">
        <v>82.2</v>
      </c>
      <c r="G368">
        <v>0</v>
      </c>
      <c r="H368">
        <v>0</v>
      </c>
      <c r="I368">
        <v>0</v>
      </c>
      <c r="J368">
        <v>0</v>
      </c>
      <c r="K368">
        <v>64.3</v>
      </c>
      <c r="L368">
        <v>62.7</v>
      </c>
      <c r="M368">
        <v>83.89</v>
      </c>
      <c r="N368">
        <v>11</v>
      </c>
      <c r="O368">
        <v>1</v>
      </c>
      <c r="P368">
        <f>MOD(DAY(datos_siembra[[#This Row],[Date]]),7)</f>
        <v>4</v>
      </c>
      <c r="Q368" t="str">
        <f>CHOOSE(WEEKDAY(datos_siembra[[#This Row],[Date]],2),"L","M","X","J","V","S","D")</f>
        <v>X</v>
      </c>
      <c r="R368">
        <f>WEEKNUM(datos_siembra[[#This Row],[Date]],2)-WEEKNUM(DATE(YEAR(datos_siembra[[#This Row],[Date]]),MONTH(datos_siembra[[#This Row],[Date]]),1))+1</f>
        <v>2</v>
      </c>
      <c r="S368">
        <f>MONTH(datos_siembra[[#This Row],[Date]])</f>
        <v>9</v>
      </c>
      <c r="T368" t="str" cm="1">
        <f t="array" ref="T368">_xlfn.IFS(AND(N368&lt;= 22, S368=9), "SOWING",AND(N368&lt;= 28, S368=9), "COVERAGE",AND(N368&lt;= 30, S368=9), "FLUSH",AND(N368&lt;= 11, S368=10), "FLUSH",AND(N368&lt;= 21, S368=10), "PRODUCTION")</f>
        <v>SOWING</v>
      </c>
      <c r="U368">
        <f>HOUR(datos_siembra[[#This Row],[Hour]])</f>
        <v>4</v>
      </c>
      <c r="V368" cm="1">
        <f t="array" ref="V368">_xlfn.IFS(AND(N368&lt;= 22, S368=9), N368-7,AND(N368&lt;= 28, S368=9), N368-25,AND(N368&lt;= 30, S368=9), N368-28,AND(N368&lt;= 11, S368=10), N368+2,AND(N368&lt;= 21, S368=10), N368-11)</f>
        <v>4</v>
      </c>
    </row>
    <row r="369" spans="1:22" x14ac:dyDescent="0.35">
      <c r="A369" s="4">
        <v>45546</v>
      </c>
      <c r="B369" s="5">
        <v>0.20696759259259259</v>
      </c>
      <c r="C369">
        <v>82.1</v>
      </c>
      <c r="D369">
        <v>84.1</v>
      </c>
      <c r="E369">
        <v>87.4</v>
      </c>
      <c r="F369">
        <v>82.4</v>
      </c>
      <c r="G369">
        <v>0</v>
      </c>
      <c r="H369">
        <v>0</v>
      </c>
      <c r="I369">
        <v>0</v>
      </c>
      <c r="J369">
        <v>0</v>
      </c>
      <c r="K369">
        <v>63</v>
      </c>
      <c r="L369">
        <v>61.2</v>
      </c>
      <c r="M369">
        <v>83.92</v>
      </c>
      <c r="N369">
        <v>11</v>
      </c>
      <c r="O369">
        <v>1</v>
      </c>
      <c r="P369">
        <f>MOD(DAY(datos_siembra[[#This Row],[Date]]),7)</f>
        <v>4</v>
      </c>
      <c r="Q369" t="str">
        <f>CHOOSE(WEEKDAY(datos_siembra[[#This Row],[Date]],2),"L","M","X","J","V","S","D")</f>
        <v>X</v>
      </c>
      <c r="R369">
        <f>WEEKNUM(datos_siembra[[#This Row],[Date]],2)-WEEKNUM(DATE(YEAR(datos_siembra[[#This Row],[Date]]),MONTH(datos_siembra[[#This Row],[Date]]),1))+1</f>
        <v>2</v>
      </c>
      <c r="S369">
        <f>MONTH(datos_siembra[[#This Row],[Date]])</f>
        <v>9</v>
      </c>
      <c r="T369" t="str" cm="1">
        <f t="array" ref="T369">_xlfn.IFS(AND(N369&lt;= 22, S369=9), "SOWING",AND(N369&lt;= 28, S369=9), "COVERAGE",AND(N369&lt;= 30, S369=9), "FLUSH",AND(N369&lt;= 11, S369=10), "FLUSH",AND(N369&lt;= 21, S369=10), "PRODUCTION")</f>
        <v>SOWING</v>
      </c>
      <c r="U369">
        <f>HOUR(datos_siembra[[#This Row],[Hour]])</f>
        <v>4</v>
      </c>
      <c r="V369" cm="1">
        <f t="array" ref="V369">_xlfn.IFS(AND(N369&lt;= 22, S369=9), N369-7,AND(N369&lt;= 28, S369=9), N369-25,AND(N369&lt;= 30, S369=9), N369-28,AND(N369&lt;= 11, S369=10), N369+2,AND(N369&lt;= 21, S369=10), N369-11)</f>
        <v>4</v>
      </c>
    </row>
    <row r="370" spans="1:22" x14ac:dyDescent="0.35">
      <c r="A370" s="4">
        <v>45546</v>
      </c>
      <c r="B370" s="5">
        <v>0.21320601851851853</v>
      </c>
      <c r="C370">
        <v>82.1</v>
      </c>
      <c r="D370">
        <v>84.2</v>
      </c>
      <c r="E370">
        <v>87.5</v>
      </c>
      <c r="F370">
        <v>82.1</v>
      </c>
      <c r="G370">
        <v>0</v>
      </c>
      <c r="H370">
        <v>0</v>
      </c>
      <c r="I370">
        <v>0</v>
      </c>
      <c r="J370">
        <v>0</v>
      </c>
      <c r="K370">
        <v>64.099999999999994</v>
      </c>
      <c r="L370">
        <v>62.6</v>
      </c>
      <c r="M370">
        <v>83.81</v>
      </c>
      <c r="N370">
        <v>11</v>
      </c>
      <c r="O370">
        <v>1</v>
      </c>
      <c r="P370">
        <f>MOD(DAY(datos_siembra[[#This Row],[Date]]),7)</f>
        <v>4</v>
      </c>
      <c r="Q370" t="str">
        <f>CHOOSE(WEEKDAY(datos_siembra[[#This Row],[Date]],2),"L","M","X","J","V","S","D")</f>
        <v>X</v>
      </c>
      <c r="R370">
        <f>WEEKNUM(datos_siembra[[#This Row],[Date]],2)-WEEKNUM(DATE(YEAR(datos_siembra[[#This Row],[Date]]),MONTH(datos_siembra[[#This Row],[Date]]),1))+1</f>
        <v>2</v>
      </c>
      <c r="S370">
        <f>MONTH(datos_siembra[[#This Row],[Date]])</f>
        <v>9</v>
      </c>
      <c r="T370" t="str" cm="1">
        <f t="array" ref="T370">_xlfn.IFS(AND(N370&lt;= 22, S370=9), "SOWING",AND(N370&lt;= 28, S370=9), "COVERAGE",AND(N370&lt;= 30, S370=9), "FLUSH",AND(N370&lt;= 11, S370=10), "FLUSH",AND(N370&lt;= 21, S370=10), "PRODUCTION")</f>
        <v>SOWING</v>
      </c>
      <c r="U370">
        <f>HOUR(datos_siembra[[#This Row],[Hour]])</f>
        <v>5</v>
      </c>
      <c r="V370" cm="1">
        <f t="array" ref="V370">_xlfn.IFS(AND(N370&lt;= 22, S370=9), N370-7,AND(N370&lt;= 28, S370=9), N370-25,AND(N370&lt;= 30, S370=9), N370-28,AND(N370&lt;= 11, S370=10), N370+2,AND(N370&lt;= 21, S370=10), N370-11)</f>
        <v>4</v>
      </c>
    </row>
    <row r="371" spans="1:22" x14ac:dyDescent="0.35">
      <c r="A371" s="4">
        <v>45546</v>
      </c>
      <c r="B371" s="5">
        <v>0.22078703703703703</v>
      </c>
      <c r="C371">
        <v>81.8</v>
      </c>
      <c r="D371">
        <v>84.1</v>
      </c>
      <c r="E371">
        <v>87.4</v>
      </c>
      <c r="F371">
        <v>82.4</v>
      </c>
      <c r="G371">
        <v>0</v>
      </c>
      <c r="H371">
        <v>0</v>
      </c>
      <c r="I371">
        <v>0</v>
      </c>
      <c r="J371">
        <v>0</v>
      </c>
      <c r="K371">
        <v>62.6</v>
      </c>
      <c r="L371">
        <v>60.8</v>
      </c>
      <c r="M371">
        <v>83.95</v>
      </c>
      <c r="N371">
        <v>11</v>
      </c>
      <c r="O371">
        <v>1</v>
      </c>
      <c r="P371">
        <f>MOD(DAY(datos_siembra[[#This Row],[Date]]),7)</f>
        <v>4</v>
      </c>
      <c r="Q371" t="str">
        <f>CHOOSE(WEEKDAY(datos_siembra[[#This Row],[Date]],2),"L","M","X","J","V","S","D")</f>
        <v>X</v>
      </c>
      <c r="R371">
        <f>WEEKNUM(datos_siembra[[#This Row],[Date]],2)-WEEKNUM(DATE(YEAR(datos_siembra[[#This Row],[Date]]),MONTH(datos_siembra[[#This Row],[Date]]),1))+1</f>
        <v>2</v>
      </c>
      <c r="S371">
        <f>MONTH(datos_siembra[[#This Row],[Date]])</f>
        <v>9</v>
      </c>
      <c r="T371" t="str" cm="1">
        <f t="array" ref="T371">_xlfn.IFS(AND(N371&lt;= 22, S371=9), "SOWING",AND(N371&lt;= 28, S371=9), "COVERAGE",AND(N371&lt;= 30, S371=9), "FLUSH",AND(N371&lt;= 11, S371=10), "FLUSH",AND(N371&lt;= 21, S371=10), "PRODUCTION")</f>
        <v>SOWING</v>
      </c>
      <c r="U371">
        <f>HOUR(datos_siembra[[#This Row],[Hour]])</f>
        <v>5</v>
      </c>
      <c r="V371" cm="1">
        <f t="array" ref="V371">_xlfn.IFS(AND(N371&lt;= 22, S371=9), N371-7,AND(N371&lt;= 28, S371=9), N371-25,AND(N371&lt;= 30, S371=9), N371-28,AND(N371&lt;= 11, S371=10), N371+2,AND(N371&lt;= 21, S371=10), N371-11)</f>
        <v>4</v>
      </c>
    </row>
    <row r="372" spans="1:22" x14ac:dyDescent="0.35">
      <c r="A372" s="4">
        <v>45546</v>
      </c>
      <c r="B372" s="5">
        <v>0.22773148148148148</v>
      </c>
      <c r="C372">
        <v>82.1</v>
      </c>
      <c r="D372">
        <v>84.1</v>
      </c>
      <c r="E372">
        <v>87.2</v>
      </c>
      <c r="F372">
        <v>82.6</v>
      </c>
      <c r="G372">
        <v>0</v>
      </c>
      <c r="H372">
        <v>0</v>
      </c>
      <c r="I372">
        <v>0</v>
      </c>
      <c r="J372">
        <v>0</v>
      </c>
      <c r="K372">
        <v>62.5</v>
      </c>
      <c r="L372">
        <v>60.5</v>
      </c>
      <c r="M372">
        <v>84</v>
      </c>
      <c r="N372">
        <v>11</v>
      </c>
      <c r="O372">
        <v>1</v>
      </c>
      <c r="P372">
        <f>MOD(DAY(datos_siembra[[#This Row],[Date]]),7)</f>
        <v>4</v>
      </c>
      <c r="Q372" t="str">
        <f>CHOOSE(WEEKDAY(datos_siembra[[#This Row],[Date]],2),"L","M","X","J","V","S","D")</f>
        <v>X</v>
      </c>
      <c r="R372">
        <f>WEEKNUM(datos_siembra[[#This Row],[Date]],2)-WEEKNUM(DATE(YEAR(datos_siembra[[#This Row],[Date]]),MONTH(datos_siembra[[#This Row],[Date]]),1))+1</f>
        <v>2</v>
      </c>
      <c r="S372">
        <f>MONTH(datos_siembra[[#This Row],[Date]])</f>
        <v>9</v>
      </c>
      <c r="T372" t="str" cm="1">
        <f t="array" ref="T372">_xlfn.IFS(AND(N372&lt;= 22, S372=9), "SOWING",AND(N372&lt;= 28, S372=9), "COVERAGE",AND(N372&lt;= 30, S372=9), "FLUSH",AND(N372&lt;= 11, S372=10), "FLUSH",AND(N372&lt;= 21, S372=10), "PRODUCTION")</f>
        <v>SOWING</v>
      </c>
      <c r="U372">
        <f>HOUR(datos_siembra[[#This Row],[Hour]])</f>
        <v>5</v>
      </c>
      <c r="V372" cm="1">
        <f t="array" ref="V372">_xlfn.IFS(AND(N372&lt;= 22, S372=9), N372-7,AND(N372&lt;= 28, S372=9), N372-25,AND(N372&lt;= 30, S372=9), N372-28,AND(N372&lt;= 11, S372=10), N372+2,AND(N372&lt;= 21, S372=10), N372-11)</f>
        <v>4</v>
      </c>
    </row>
    <row r="373" spans="1:22" x14ac:dyDescent="0.35">
      <c r="A373" s="4">
        <v>45546</v>
      </c>
      <c r="B373" s="5">
        <v>0.23468749999999999</v>
      </c>
      <c r="C373">
        <v>82.1</v>
      </c>
      <c r="D373">
        <v>84.1</v>
      </c>
      <c r="E373">
        <v>87.5</v>
      </c>
      <c r="F373">
        <v>82.6</v>
      </c>
      <c r="G373">
        <v>0</v>
      </c>
      <c r="H373">
        <v>0</v>
      </c>
      <c r="I373">
        <v>0</v>
      </c>
      <c r="J373">
        <v>0</v>
      </c>
      <c r="K373">
        <v>62.2</v>
      </c>
      <c r="L373">
        <v>60.2</v>
      </c>
      <c r="M373">
        <v>84.06</v>
      </c>
      <c r="N373">
        <v>11</v>
      </c>
      <c r="O373">
        <v>1</v>
      </c>
      <c r="P373">
        <f>MOD(DAY(datos_siembra[[#This Row],[Date]]),7)</f>
        <v>4</v>
      </c>
      <c r="Q373" t="str">
        <f>CHOOSE(WEEKDAY(datos_siembra[[#This Row],[Date]],2),"L","M","X","J","V","S","D")</f>
        <v>X</v>
      </c>
      <c r="R373">
        <f>WEEKNUM(datos_siembra[[#This Row],[Date]],2)-WEEKNUM(DATE(YEAR(datos_siembra[[#This Row],[Date]]),MONTH(datos_siembra[[#This Row],[Date]]),1))+1</f>
        <v>2</v>
      </c>
      <c r="S373">
        <f>MONTH(datos_siembra[[#This Row],[Date]])</f>
        <v>9</v>
      </c>
      <c r="T373" t="str" cm="1">
        <f t="array" ref="T373">_xlfn.IFS(AND(N373&lt;= 22, S373=9), "SOWING",AND(N373&lt;= 28, S373=9), "COVERAGE",AND(N373&lt;= 30, S373=9), "FLUSH",AND(N373&lt;= 11, S373=10), "FLUSH",AND(N373&lt;= 21, S373=10), "PRODUCTION")</f>
        <v>SOWING</v>
      </c>
      <c r="U373">
        <f>HOUR(datos_siembra[[#This Row],[Hour]])</f>
        <v>5</v>
      </c>
      <c r="V373" cm="1">
        <f t="array" ref="V373">_xlfn.IFS(AND(N373&lt;= 22, S373=9), N373-7,AND(N373&lt;= 28, S373=9), N373-25,AND(N373&lt;= 30, S373=9), N373-28,AND(N373&lt;= 11, S373=10), N373+2,AND(N373&lt;= 21, S373=10), N373-11)</f>
        <v>4</v>
      </c>
    </row>
    <row r="374" spans="1:22" x14ac:dyDescent="0.35">
      <c r="A374" s="4">
        <v>45546</v>
      </c>
      <c r="B374" s="5">
        <v>0.24163194444444444</v>
      </c>
      <c r="C374">
        <v>82</v>
      </c>
      <c r="D374">
        <v>84</v>
      </c>
      <c r="E374">
        <v>87.4</v>
      </c>
      <c r="F374">
        <v>82.9</v>
      </c>
      <c r="G374">
        <v>0</v>
      </c>
      <c r="H374">
        <v>0</v>
      </c>
      <c r="I374">
        <v>0</v>
      </c>
      <c r="J374">
        <v>0</v>
      </c>
      <c r="K374">
        <v>62.2</v>
      </c>
      <c r="L374">
        <v>60.2</v>
      </c>
      <c r="M374">
        <v>84.12</v>
      </c>
      <c r="N374">
        <v>11</v>
      </c>
      <c r="O374">
        <v>1</v>
      </c>
      <c r="P374">
        <f>MOD(DAY(datos_siembra[[#This Row],[Date]]),7)</f>
        <v>4</v>
      </c>
      <c r="Q374" t="str">
        <f>CHOOSE(WEEKDAY(datos_siembra[[#This Row],[Date]],2),"L","M","X","J","V","S","D")</f>
        <v>X</v>
      </c>
      <c r="R374">
        <f>WEEKNUM(datos_siembra[[#This Row],[Date]],2)-WEEKNUM(DATE(YEAR(datos_siembra[[#This Row],[Date]]),MONTH(datos_siembra[[#This Row],[Date]]),1))+1</f>
        <v>2</v>
      </c>
      <c r="S374">
        <f>MONTH(datos_siembra[[#This Row],[Date]])</f>
        <v>9</v>
      </c>
      <c r="T374" t="str" cm="1">
        <f t="array" ref="T374">_xlfn.IFS(AND(N374&lt;= 22, S374=9), "SOWING",AND(N374&lt;= 28, S374=9), "COVERAGE",AND(N374&lt;= 30, S374=9), "FLUSH",AND(N374&lt;= 11, S374=10), "FLUSH",AND(N374&lt;= 21, S374=10), "PRODUCTION")</f>
        <v>SOWING</v>
      </c>
      <c r="U374">
        <f>HOUR(datos_siembra[[#This Row],[Hour]])</f>
        <v>5</v>
      </c>
      <c r="V374" cm="1">
        <f t="array" ref="V374">_xlfn.IFS(AND(N374&lt;= 22, S374=9), N374-7,AND(N374&lt;= 28, S374=9), N374-25,AND(N374&lt;= 30, S374=9), N374-28,AND(N374&lt;= 11, S374=10), N374+2,AND(N374&lt;= 21, S374=10), N374-11)</f>
        <v>4</v>
      </c>
    </row>
    <row r="375" spans="1:22" x14ac:dyDescent="0.35">
      <c r="A375" s="4">
        <v>45546</v>
      </c>
      <c r="B375" s="5">
        <v>0.24857638888888889</v>
      </c>
      <c r="C375">
        <v>82.1</v>
      </c>
      <c r="D375">
        <v>84</v>
      </c>
      <c r="E375">
        <v>87.4</v>
      </c>
      <c r="F375">
        <v>82.7</v>
      </c>
      <c r="G375">
        <v>0</v>
      </c>
      <c r="H375">
        <v>0</v>
      </c>
      <c r="I375">
        <v>0</v>
      </c>
      <c r="J375">
        <v>0</v>
      </c>
      <c r="K375">
        <v>63</v>
      </c>
      <c r="L375">
        <v>61.4</v>
      </c>
      <c r="M375">
        <v>84.06</v>
      </c>
      <c r="N375">
        <v>11</v>
      </c>
      <c r="O375">
        <v>1</v>
      </c>
      <c r="P375">
        <f>MOD(DAY(datos_siembra[[#This Row],[Date]]),7)</f>
        <v>4</v>
      </c>
      <c r="Q375" t="str">
        <f>CHOOSE(WEEKDAY(datos_siembra[[#This Row],[Date]],2),"L","M","X","J","V","S","D")</f>
        <v>X</v>
      </c>
      <c r="R375">
        <f>WEEKNUM(datos_siembra[[#This Row],[Date]],2)-WEEKNUM(DATE(YEAR(datos_siembra[[#This Row],[Date]]),MONTH(datos_siembra[[#This Row],[Date]]),1))+1</f>
        <v>2</v>
      </c>
      <c r="S375">
        <f>MONTH(datos_siembra[[#This Row],[Date]])</f>
        <v>9</v>
      </c>
      <c r="T375" t="str" cm="1">
        <f t="array" ref="T375">_xlfn.IFS(AND(N375&lt;= 22, S375=9), "SOWING",AND(N375&lt;= 28, S375=9), "COVERAGE",AND(N375&lt;= 30, S375=9), "FLUSH",AND(N375&lt;= 11, S375=10), "FLUSH",AND(N375&lt;= 21, S375=10), "PRODUCTION")</f>
        <v>SOWING</v>
      </c>
      <c r="U375">
        <f>HOUR(datos_siembra[[#This Row],[Hour]])</f>
        <v>5</v>
      </c>
      <c r="V375" cm="1">
        <f t="array" ref="V375">_xlfn.IFS(AND(N375&lt;= 22, S375=9), N375-7,AND(N375&lt;= 28, S375=9), N375-25,AND(N375&lt;= 30, S375=9), N375-28,AND(N375&lt;= 11, S375=10), N375+2,AND(N375&lt;= 21, S375=10), N375-11)</f>
        <v>4</v>
      </c>
    </row>
    <row r="376" spans="1:22" x14ac:dyDescent="0.35">
      <c r="A376" s="4">
        <v>45546</v>
      </c>
      <c r="B376" s="5">
        <v>0.25552083333333331</v>
      </c>
      <c r="C376">
        <v>82</v>
      </c>
      <c r="D376">
        <v>83.8</v>
      </c>
      <c r="E376">
        <v>87.2</v>
      </c>
      <c r="F376">
        <v>82.6</v>
      </c>
      <c r="G376">
        <v>0</v>
      </c>
      <c r="H376">
        <v>0</v>
      </c>
      <c r="I376">
        <v>0</v>
      </c>
      <c r="J376">
        <v>0</v>
      </c>
      <c r="K376">
        <v>63.4</v>
      </c>
      <c r="L376">
        <v>61.8</v>
      </c>
      <c r="M376">
        <v>84</v>
      </c>
      <c r="N376">
        <v>11</v>
      </c>
      <c r="O376">
        <v>1</v>
      </c>
      <c r="P376">
        <f>MOD(DAY(datos_siembra[[#This Row],[Date]]),7)</f>
        <v>4</v>
      </c>
      <c r="Q376" t="str">
        <f>CHOOSE(WEEKDAY(datos_siembra[[#This Row],[Date]],2),"L","M","X","J","V","S","D")</f>
        <v>X</v>
      </c>
      <c r="R376">
        <f>WEEKNUM(datos_siembra[[#This Row],[Date]],2)-WEEKNUM(DATE(YEAR(datos_siembra[[#This Row],[Date]]),MONTH(datos_siembra[[#This Row],[Date]]),1))+1</f>
        <v>2</v>
      </c>
      <c r="S376">
        <f>MONTH(datos_siembra[[#This Row],[Date]])</f>
        <v>9</v>
      </c>
      <c r="T376" t="str" cm="1">
        <f t="array" ref="T376">_xlfn.IFS(AND(N376&lt;= 22, S376=9), "SOWING",AND(N376&lt;= 28, S376=9), "COVERAGE",AND(N376&lt;= 30, S376=9), "FLUSH",AND(N376&lt;= 11, S376=10), "FLUSH",AND(N376&lt;= 21, S376=10), "PRODUCTION")</f>
        <v>SOWING</v>
      </c>
      <c r="U376">
        <f>HOUR(datos_siembra[[#This Row],[Hour]])</f>
        <v>6</v>
      </c>
      <c r="V376" cm="1">
        <f t="array" ref="V376">_xlfn.IFS(AND(N376&lt;= 22, S376=9), N376-7,AND(N376&lt;= 28, S376=9), N376-25,AND(N376&lt;= 30, S376=9), N376-28,AND(N376&lt;= 11, S376=10), N376+2,AND(N376&lt;= 21, S376=10), N376-11)</f>
        <v>4</v>
      </c>
    </row>
    <row r="377" spans="1:22" x14ac:dyDescent="0.35">
      <c r="A377" s="4">
        <v>45546</v>
      </c>
      <c r="B377" s="5">
        <v>0.26246527777777778</v>
      </c>
      <c r="C377">
        <v>82.1</v>
      </c>
      <c r="D377">
        <v>84.2</v>
      </c>
      <c r="E377">
        <v>87.2</v>
      </c>
      <c r="F377">
        <v>82.6</v>
      </c>
      <c r="G377">
        <v>0</v>
      </c>
      <c r="H377">
        <v>0</v>
      </c>
      <c r="I377">
        <v>0</v>
      </c>
      <c r="J377">
        <v>0</v>
      </c>
      <c r="K377">
        <v>63.6</v>
      </c>
      <c r="L377">
        <v>62.2</v>
      </c>
      <c r="M377">
        <v>83.92</v>
      </c>
      <c r="N377">
        <v>11</v>
      </c>
      <c r="O377">
        <v>1</v>
      </c>
      <c r="P377">
        <f>MOD(DAY(datos_siembra[[#This Row],[Date]]),7)</f>
        <v>4</v>
      </c>
      <c r="Q377" t="str">
        <f>CHOOSE(WEEKDAY(datos_siembra[[#This Row],[Date]],2),"L","M","X","J","V","S","D")</f>
        <v>X</v>
      </c>
      <c r="R377">
        <f>WEEKNUM(datos_siembra[[#This Row],[Date]],2)-WEEKNUM(DATE(YEAR(datos_siembra[[#This Row],[Date]]),MONTH(datos_siembra[[#This Row],[Date]]),1))+1</f>
        <v>2</v>
      </c>
      <c r="S377">
        <f>MONTH(datos_siembra[[#This Row],[Date]])</f>
        <v>9</v>
      </c>
      <c r="T377" t="str" cm="1">
        <f t="array" ref="T377">_xlfn.IFS(AND(N377&lt;= 22, S377=9), "SOWING",AND(N377&lt;= 28, S377=9), "COVERAGE",AND(N377&lt;= 30, S377=9), "FLUSH",AND(N377&lt;= 11, S377=10), "FLUSH",AND(N377&lt;= 21, S377=10), "PRODUCTION")</f>
        <v>SOWING</v>
      </c>
      <c r="U377">
        <f>HOUR(datos_siembra[[#This Row],[Hour]])</f>
        <v>6</v>
      </c>
      <c r="V377" cm="1">
        <f t="array" ref="V377">_xlfn.IFS(AND(N377&lt;= 22, S377=9), N377-7,AND(N377&lt;= 28, S377=9), N377-25,AND(N377&lt;= 30, S377=9), N377-28,AND(N377&lt;= 11, S377=10), N377+2,AND(N377&lt;= 21, S377=10), N377-11)</f>
        <v>4</v>
      </c>
    </row>
    <row r="378" spans="1:22" x14ac:dyDescent="0.35">
      <c r="A378" s="4">
        <v>45546</v>
      </c>
      <c r="B378" s="5">
        <v>0.2694212962962963</v>
      </c>
      <c r="C378">
        <v>82.1</v>
      </c>
      <c r="D378">
        <v>84</v>
      </c>
      <c r="E378">
        <v>87.2</v>
      </c>
      <c r="F378">
        <v>82.5</v>
      </c>
      <c r="G378">
        <v>0</v>
      </c>
      <c r="H378">
        <v>0</v>
      </c>
      <c r="I378">
        <v>0</v>
      </c>
      <c r="J378">
        <v>0</v>
      </c>
      <c r="K378">
        <v>63.9</v>
      </c>
      <c r="L378">
        <v>62.6</v>
      </c>
      <c r="M378">
        <v>84</v>
      </c>
      <c r="N378">
        <v>11</v>
      </c>
      <c r="O378">
        <v>1</v>
      </c>
      <c r="P378">
        <f>MOD(DAY(datos_siembra[[#This Row],[Date]]),7)</f>
        <v>4</v>
      </c>
      <c r="Q378" t="str">
        <f>CHOOSE(WEEKDAY(datos_siembra[[#This Row],[Date]],2),"L","M","X","J","V","S","D")</f>
        <v>X</v>
      </c>
      <c r="R378">
        <f>WEEKNUM(datos_siembra[[#This Row],[Date]],2)-WEEKNUM(DATE(YEAR(datos_siembra[[#This Row],[Date]]),MONTH(datos_siembra[[#This Row],[Date]]),1))+1</f>
        <v>2</v>
      </c>
      <c r="S378">
        <f>MONTH(datos_siembra[[#This Row],[Date]])</f>
        <v>9</v>
      </c>
      <c r="T378" t="str" cm="1">
        <f t="array" ref="T378">_xlfn.IFS(AND(N378&lt;= 22, S378=9), "SOWING",AND(N378&lt;= 28, S378=9), "COVERAGE",AND(N378&lt;= 30, S378=9), "FLUSH",AND(N378&lt;= 11, S378=10), "FLUSH",AND(N378&lt;= 21, S378=10), "PRODUCTION")</f>
        <v>SOWING</v>
      </c>
      <c r="U378">
        <f>HOUR(datos_siembra[[#This Row],[Hour]])</f>
        <v>6</v>
      </c>
      <c r="V378" cm="1">
        <f t="array" ref="V378">_xlfn.IFS(AND(N378&lt;= 22, S378=9), N378-7,AND(N378&lt;= 28, S378=9), N378-25,AND(N378&lt;= 30, S378=9), N378-28,AND(N378&lt;= 11, S378=10), N378+2,AND(N378&lt;= 21, S378=10), N378-11)</f>
        <v>4</v>
      </c>
    </row>
    <row r="379" spans="1:22" x14ac:dyDescent="0.35">
      <c r="A379" s="4">
        <v>45546</v>
      </c>
      <c r="B379" s="5">
        <v>0.27636574074074072</v>
      </c>
      <c r="C379">
        <v>82</v>
      </c>
      <c r="D379">
        <v>84.1</v>
      </c>
      <c r="E379">
        <v>87.4</v>
      </c>
      <c r="F379">
        <v>82.7</v>
      </c>
      <c r="G379">
        <v>0</v>
      </c>
      <c r="H379">
        <v>0</v>
      </c>
      <c r="I379">
        <v>0</v>
      </c>
      <c r="J379">
        <v>0</v>
      </c>
      <c r="K379">
        <v>62.8</v>
      </c>
      <c r="L379">
        <v>61</v>
      </c>
      <c r="M379">
        <v>84.03</v>
      </c>
      <c r="N379">
        <v>11</v>
      </c>
      <c r="O379">
        <v>1</v>
      </c>
      <c r="P379">
        <f>MOD(DAY(datos_siembra[[#This Row],[Date]]),7)</f>
        <v>4</v>
      </c>
      <c r="Q379" t="str">
        <f>CHOOSE(WEEKDAY(datos_siembra[[#This Row],[Date]],2),"L","M","X","J","V","S","D")</f>
        <v>X</v>
      </c>
      <c r="R379">
        <f>WEEKNUM(datos_siembra[[#This Row],[Date]],2)-WEEKNUM(DATE(YEAR(datos_siembra[[#This Row],[Date]]),MONTH(datos_siembra[[#This Row],[Date]]),1))+1</f>
        <v>2</v>
      </c>
      <c r="S379">
        <f>MONTH(datos_siembra[[#This Row],[Date]])</f>
        <v>9</v>
      </c>
      <c r="T379" t="str" cm="1">
        <f t="array" ref="T379">_xlfn.IFS(AND(N379&lt;= 22, S379=9), "SOWING",AND(N379&lt;= 28, S379=9), "COVERAGE",AND(N379&lt;= 30, S379=9), "FLUSH",AND(N379&lt;= 11, S379=10), "FLUSH",AND(N379&lt;= 21, S379=10), "PRODUCTION")</f>
        <v>SOWING</v>
      </c>
      <c r="U379">
        <f>HOUR(datos_siembra[[#This Row],[Hour]])</f>
        <v>6</v>
      </c>
      <c r="V379" cm="1">
        <f t="array" ref="V379">_xlfn.IFS(AND(N379&lt;= 22, S379=9), N379-7,AND(N379&lt;= 28, S379=9), N379-25,AND(N379&lt;= 30, S379=9), N379-28,AND(N379&lt;= 11, S379=10), N379+2,AND(N379&lt;= 21, S379=10), N379-11)</f>
        <v>4</v>
      </c>
    </row>
    <row r="380" spans="1:22" x14ac:dyDescent="0.35">
      <c r="A380" s="4">
        <v>45546</v>
      </c>
      <c r="B380" s="5">
        <v>0.28331018518518519</v>
      </c>
      <c r="C380">
        <v>82</v>
      </c>
      <c r="D380">
        <v>84</v>
      </c>
      <c r="E380">
        <v>87.4</v>
      </c>
      <c r="F380">
        <v>82.6</v>
      </c>
      <c r="G380">
        <v>0</v>
      </c>
      <c r="H380">
        <v>0</v>
      </c>
      <c r="I380">
        <v>0</v>
      </c>
      <c r="J380">
        <v>0</v>
      </c>
      <c r="K380">
        <v>62.4</v>
      </c>
      <c r="L380">
        <v>60.7</v>
      </c>
      <c r="M380">
        <v>83.97</v>
      </c>
      <c r="N380">
        <v>11</v>
      </c>
      <c r="O380">
        <v>1</v>
      </c>
      <c r="P380">
        <f>MOD(DAY(datos_siembra[[#This Row],[Date]]),7)</f>
        <v>4</v>
      </c>
      <c r="Q380" t="str">
        <f>CHOOSE(WEEKDAY(datos_siembra[[#This Row],[Date]],2),"L","M","X","J","V","S","D")</f>
        <v>X</v>
      </c>
      <c r="R380">
        <f>WEEKNUM(datos_siembra[[#This Row],[Date]],2)-WEEKNUM(DATE(YEAR(datos_siembra[[#This Row],[Date]]),MONTH(datos_siembra[[#This Row],[Date]]),1))+1</f>
        <v>2</v>
      </c>
      <c r="S380">
        <f>MONTH(datos_siembra[[#This Row],[Date]])</f>
        <v>9</v>
      </c>
      <c r="T380" t="str" cm="1">
        <f t="array" ref="T380">_xlfn.IFS(AND(N380&lt;= 22, S380=9), "SOWING",AND(N380&lt;= 28, S380=9), "COVERAGE",AND(N380&lt;= 30, S380=9), "FLUSH",AND(N380&lt;= 11, S380=10), "FLUSH",AND(N380&lt;= 21, S380=10), "PRODUCTION")</f>
        <v>SOWING</v>
      </c>
      <c r="U380">
        <f>HOUR(datos_siembra[[#This Row],[Hour]])</f>
        <v>6</v>
      </c>
      <c r="V380" cm="1">
        <f t="array" ref="V380">_xlfn.IFS(AND(N380&lt;= 22, S380=9), N380-7,AND(N380&lt;= 28, S380=9), N380-25,AND(N380&lt;= 30, S380=9), N380-28,AND(N380&lt;= 11, S380=10), N380+2,AND(N380&lt;= 21, S380=10), N380-11)</f>
        <v>4</v>
      </c>
    </row>
    <row r="381" spans="1:22" x14ac:dyDescent="0.35">
      <c r="A381" s="4">
        <v>45546</v>
      </c>
      <c r="B381" s="5">
        <v>0.29026620370370371</v>
      </c>
      <c r="C381">
        <v>82</v>
      </c>
      <c r="D381">
        <v>84</v>
      </c>
      <c r="E381">
        <v>87.2</v>
      </c>
      <c r="F381">
        <v>82.7</v>
      </c>
      <c r="G381">
        <v>0</v>
      </c>
      <c r="H381">
        <v>0</v>
      </c>
      <c r="I381">
        <v>0</v>
      </c>
      <c r="J381">
        <v>0</v>
      </c>
      <c r="K381">
        <v>62.8</v>
      </c>
      <c r="L381">
        <v>61.4</v>
      </c>
      <c r="M381">
        <v>83.92</v>
      </c>
      <c r="N381">
        <v>11</v>
      </c>
      <c r="O381">
        <v>1</v>
      </c>
      <c r="P381">
        <f>MOD(DAY(datos_siembra[[#This Row],[Date]]),7)</f>
        <v>4</v>
      </c>
      <c r="Q381" t="str">
        <f>CHOOSE(WEEKDAY(datos_siembra[[#This Row],[Date]],2),"L","M","X","J","V","S","D")</f>
        <v>X</v>
      </c>
      <c r="R381">
        <f>WEEKNUM(datos_siembra[[#This Row],[Date]],2)-WEEKNUM(DATE(YEAR(datos_siembra[[#This Row],[Date]]),MONTH(datos_siembra[[#This Row],[Date]]),1))+1</f>
        <v>2</v>
      </c>
      <c r="S381">
        <f>MONTH(datos_siembra[[#This Row],[Date]])</f>
        <v>9</v>
      </c>
      <c r="T381" t="str" cm="1">
        <f t="array" ref="T381">_xlfn.IFS(AND(N381&lt;= 22, S381=9), "SOWING",AND(N381&lt;= 28, S381=9), "COVERAGE",AND(N381&lt;= 30, S381=9), "FLUSH",AND(N381&lt;= 11, S381=10), "FLUSH",AND(N381&lt;= 21, S381=10), "PRODUCTION")</f>
        <v>SOWING</v>
      </c>
      <c r="U381">
        <f>HOUR(datos_siembra[[#This Row],[Hour]])</f>
        <v>6</v>
      </c>
      <c r="V381" cm="1">
        <f t="array" ref="V381">_xlfn.IFS(AND(N381&lt;= 22, S381=9), N381-7,AND(N381&lt;= 28, S381=9), N381-25,AND(N381&lt;= 30, S381=9), N381-28,AND(N381&lt;= 11, S381=10), N381+2,AND(N381&lt;= 21, S381=10), N381-11)</f>
        <v>4</v>
      </c>
    </row>
    <row r="382" spans="1:22" x14ac:dyDescent="0.35">
      <c r="A382" s="4">
        <v>45546</v>
      </c>
      <c r="B382" s="5">
        <v>0.29721064814814813</v>
      </c>
      <c r="C382">
        <v>82.1</v>
      </c>
      <c r="D382">
        <v>84.1</v>
      </c>
      <c r="E382">
        <v>87.1</v>
      </c>
      <c r="F382">
        <v>82.7</v>
      </c>
      <c r="G382">
        <v>0</v>
      </c>
      <c r="H382">
        <v>0</v>
      </c>
      <c r="I382">
        <v>0</v>
      </c>
      <c r="J382">
        <v>0</v>
      </c>
      <c r="K382">
        <v>63.5</v>
      </c>
      <c r="L382">
        <v>62</v>
      </c>
      <c r="M382">
        <v>83.92</v>
      </c>
      <c r="N382">
        <v>11</v>
      </c>
      <c r="O382">
        <v>1</v>
      </c>
      <c r="P382">
        <f>MOD(DAY(datos_siembra[[#This Row],[Date]]),7)</f>
        <v>4</v>
      </c>
      <c r="Q382" t="str">
        <f>CHOOSE(WEEKDAY(datos_siembra[[#This Row],[Date]],2),"L","M","X","J","V","S","D")</f>
        <v>X</v>
      </c>
      <c r="R382">
        <f>WEEKNUM(datos_siembra[[#This Row],[Date]],2)-WEEKNUM(DATE(YEAR(datos_siembra[[#This Row],[Date]]),MONTH(datos_siembra[[#This Row],[Date]]),1))+1</f>
        <v>2</v>
      </c>
      <c r="S382">
        <f>MONTH(datos_siembra[[#This Row],[Date]])</f>
        <v>9</v>
      </c>
      <c r="T382" t="str" cm="1">
        <f t="array" ref="T382">_xlfn.IFS(AND(N382&lt;= 22, S382=9), "SOWING",AND(N382&lt;= 28, S382=9), "COVERAGE",AND(N382&lt;= 30, S382=9), "FLUSH",AND(N382&lt;= 11, S382=10), "FLUSH",AND(N382&lt;= 21, S382=10), "PRODUCTION")</f>
        <v>SOWING</v>
      </c>
      <c r="U382">
        <f>HOUR(datos_siembra[[#This Row],[Hour]])</f>
        <v>7</v>
      </c>
      <c r="V382" cm="1">
        <f t="array" ref="V382">_xlfn.IFS(AND(N382&lt;= 22, S382=9), N382-7,AND(N382&lt;= 28, S382=9), N382-25,AND(N382&lt;= 30, S382=9), N382-28,AND(N382&lt;= 11, S382=10), N382+2,AND(N382&lt;= 21, S382=10), N382-11)</f>
        <v>4</v>
      </c>
    </row>
    <row r="383" spans="1:22" x14ac:dyDescent="0.35">
      <c r="A383" s="4">
        <v>45546</v>
      </c>
      <c r="B383" s="5">
        <v>0.3041550925925926</v>
      </c>
      <c r="C383">
        <v>81.8</v>
      </c>
      <c r="D383">
        <v>84</v>
      </c>
      <c r="E383">
        <v>87.4</v>
      </c>
      <c r="F383">
        <v>82.6</v>
      </c>
      <c r="G383">
        <v>0</v>
      </c>
      <c r="H383">
        <v>0</v>
      </c>
      <c r="I383">
        <v>0</v>
      </c>
      <c r="J383">
        <v>0</v>
      </c>
      <c r="K383">
        <v>63.9</v>
      </c>
      <c r="L383">
        <v>62.8</v>
      </c>
      <c r="M383">
        <v>84.03</v>
      </c>
      <c r="N383">
        <v>11</v>
      </c>
      <c r="O383">
        <v>1</v>
      </c>
      <c r="P383">
        <f>MOD(DAY(datos_siembra[[#This Row],[Date]]),7)</f>
        <v>4</v>
      </c>
      <c r="Q383" t="str">
        <f>CHOOSE(WEEKDAY(datos_siembra[[#This Row],[Date]],2),"L","M","X","J","V","S","D")</f>
        <v>X</v>
      </c>
      <c r="R383">
        <f>WEEKNUM(datos_siembra[[#This Row],[Date]],2)-WEEKNUM(DATE(YEAR(datos_siembra[[#This Row],[Date]]),MONTH(datos_siembra[[#This Row],[Date]]),1))+1</f>
        <v>2</v>
      </c>
      <c r="S383">
        <f>MONTH(datos_siembra[[#This Row],[Date]])</f>
        <v>9</v>
      </c>
      <c r="T383" t="str" cm="1">
        <f t="array" ref="T383">_xlfn.IFS(AND(N383&lt;= 22, S383=9), "SOWING",AND(N383&lt;= 28, S383=9), "COVERAGE",AND(N383&lt;= 30, S383=9), "FLUSH",AND(N383&lt;= 11, S383=10), "FLUSH",AND(N383&lt;= 21, S383=10), "PRODUCTION")</f>
        <v>SOWING</v>
      </c>
      <c r="U383">
        <f>HOUR(datos_siembra[[#This Row],[Hour]])</f>
        <v>7</v>
      </c>
      <c r="V383" cm="1">
        <f t="array" ref="V383">_xlfn.IFS(AND(N383&lt;= 22, S383=9), N383-7,AND(N383&lt;= 28, S383=9), N383-25,AND(N383&lt;= 30, S383=9), N383-28,AND(N383&lt;= 11, S383=10), N383+2,AND(N383&lt;= 21, S383=10), N383-11)</f>
        <v>4</v>
      </c>
    </row>
    <row r="384" spans="1:22" x14ac:dyDescent="0.35">
      <c r="A384" s="4">
        <v>45546</v>
      </c>
      <c r="B384" s="5">
        <v>0.31109953703703702</v>
      </c>
      <c r="C384">
        <v>82</v>
      </c>
      <c r="D384">
        <v>84.2</v>
      </c>
      <c r="E384">
        <v>87.2</v>
      </c>
      <c r="F384">
        <v>82.5</v>
      </c>
      <c r="G384">
        <v>0</v>
      </c>
      <c r="H384">
        <v>0</v>
      </c>
      <c r="I384">
        <v>0</v>
      </c>
      <c r="J384">
        <v>0</v>
      </c>
      <c r="K384">
        <v>63.5</v>
      </c>
      <c r="L384">
        <v>61.8</v>
      </c>
      <c r="M384">
        <v>84.06</v>
      </c>
      <c r="N384">
        <v>11</v>
      </c>
      <c r="O384">
        <v>1</v>
      </c>
      <c r="P384">
        <f>MOD(DAY(datos_siembra[[#This Row],[Date]]),7)</f>
        <v>4</v>
      </c>
      <c r="Q384" t="str">
        <f>CHOOSE(WEEKDAY(datos_siembra[[#This Row],[Date]],2),"L","M","X","J","V","S","D")</f>
        <v>X</v>
      </c>
      <c r="R384">
        <f>WEEKNUM(datos_siembra[[#This Row],[Date]],2)-WEEKNUM(DATE(YEAR(datos_siembra[[#This Row],[Date]]),MONTH(datos_siembra[[#This Row],[Date]]),1))+1</f>
        <v>2</v>
      </c>
      <c r="S384">
        <f>MONTH(datos_siembra[[#This Row],[Date]])</f>
        <v>9</v>
      </c>
      <c r="T384" t="str" cm="1">
        <f t="array" ref="T384">_xlfn.IFS(AND(N384&lt;= 22, S384=9), "SOWING",AND(N384&lt;= 28, S384=9), "COVERAGE",AND(N384&lt;= 30, S384=9), "FLUSH",AND(N384&lt;= 11, S384=10), "FLUSH",AND(N384&lt;= 21, S384=10), "PRODUCTION")</f>
        <v>SOWING</v>
      </c>
      <c r="U384">
        <f>HOUR(datos_siembra[[#This Row],[Hour]])</f>
        <v>7</v>
      </c>
      <c r="V384" cm="1">
        <f t="array" ref="V384">_xlfn.IFS(AND(N384&lt;= 22, S384=9), N384-7,AND(N384&lt;= 28, S384=9), N384-25,AND(N384&lt;= 30, S384=9), N384-28,AND(N384&lt;= 11, S384=10), N384+2,AND(N384&lt;= 21, S384=10), N384-11)</f>
        <v>4</v>
      </c>
    </row>
    <row r="385" spans="1:22" x14ac:dyDescent="0.35">
      <c r="A385" s="4">
        <v>45546</v>
      </c>
      <c r="B385" s="5">
        <v>0.31805555555555554</v>
      </c>
      <c r="C385">
        <v>81.599999999999994</v>
      </c>
      <c r="D385">
        <v>84</v>
      </c>
      <c r="E385">
        <v>87.2</v>
      </c>
      <c r="F385">
        <v>82.4</v>
      </c>
      <c r="G385">
        <v>0</v>
      </c>
      <c r="H385">
        <v>0</v>
      </c>
      <c r="I385">
        <v>0</v>
      </c>
      <c r="J385">
        <v>0</v>
      </c>
      <c r="K385">
        <v>62.9</v>
      </c>
      <c r="L385">
        <v>61.1</v>
      </c>
      <c r="M385">
        <v>83.83</v>
      </c>
      <c r="N385">
        <v>11</v>
      </c>
      <c r="O385">
        <v>1</v>
      </c>
      <c r="P385">
        <f>MOD(DAY(datos_siembra[[#This Row],[Date]]),7)</f>
        <v>4</v>
      </c>
      <c r="Q385" t="str">
        <f>CHOOSE(WEEKDAY(datos_siembra[[#This Row],[Date]],2),"L","M","X","J","V","S","D")</f>
        <v>X</v>
      </c>
      <c r="R385">
        <f>WEEKNUM(datos_siembra[[#This Row],[Date]],2)-WEEKNUM(DATE(YEAR(datos_siembra[[#This Row],[Date]]),MONTH(datos_siembra[[#This Row],[Date]]),1))+1</f>
        <v>2</v>
      </c>
      <c r="S385">
        <f>MONTH(datos_siembra[[#This Row],[Date]])</f>
        <v>9</v>
      </c>
      <c r="T385" t="str" cm="1">
        <f t="array" ref="T385">_xlfn.IFS(AND(N385&lt;= 22, S385=9), "SOWING",AND(N385&lt;= 28, S385=9), "COVERAGE",AND(N385&lt;= 30, S385=9), "FLUSH",AND(N385&lt;= 11, S385=10), "FLUSH",AND(N385&lt;= 21, S385=10), "PRODUCTION")</f>
        <v>SOWING</v>
      </c>
      <c r="U385">
        <f>HOUR(datos_siembra[[#This Row],[Hour]])</f>
        <v>7</v>
      </c>
      <c r="V385" cm="1">
        <f t="array" ref="V385">_xlfn.IFS(AND(N385&lt;= 22, S385=9), N385-7,AND(N385&lt;= 28, S385=9), N385-25,AND(N385&lt;= 30, S385=9), N385-28,AND(N385&lt;= 11, S385=10), N385+2,AND(N385&lt;= 21, S385=10), N385-11)</f>
        <v>4</v>
      </c>
    </row>
    <row r="386" spans="1:22" x14ac:dyDescent="0.35">
      <c r="A386" s="4">
        <v>45546</v>
      </c>
      <c r="B386" s="5">
        <v>0.32500000000000001</v>
      </c>
      <c r="C386">
        <v>81.8</v>
      </c>
      <c r="D386">
        <v>81.3</v>
      </c>
      <c r="E386">
        <v>87.4</v>
      </c>
      <c r="F386">
        <v>82.4</v>
      </c>
      <c r="G386">
        <v>0</v>
      </c>
      <c r="H386">
        <v>0</v>
      </c>
      <c r="I386">
        <v>0</v>
      </c>
      <c r="J386">
        <v>0</v>
      </c>
      <c r="K386">
        <v>62.6</v>
      </c>
      <c r="L386">
        <v>60.9</v>
      </c>
      <c r="M386">
        <v>83.22</v>
      </c>
      <c r="N386">
        <v>11</v>
      </c>
      <c r="O386">
        <v>1</v>
      </c>
      <c r="P386">
        <f>MOD(DAY(datos_siembra[[#This Row],[Date]]),7)</f>
        <v>4</v>
      </c>
      <c r="Q386" t="str">
        <f>CHOOSE(WEEKDAY(datos_siembra[[#This Row],[Date]],2),"L","M","X","J","V","S","D")</f>
        <v>X</v>
      </c>
      <c r="R386">
        <f>WEEKNUM(datos_siembra[[#This Row],[Date]],2)-WEEKNUM(DATE(YEAR(datos_siembra[[#This Row],[Date]]),MONTH(datos_siembra[[#This Row],[Date]]),1))+1</f>
        <v>2</v>
      </c>
      <c r="S386">
        <f>MONTH(datos_siembra[[#This Row],[Date]])</f>
        <v>9</v>
      </c>
      <c r="T386" t="str" cm="1">
        <f t="array" ref="T386">_xlfn.IFS(AND(N386&lt;= 22, S386=9), "SOWING",AND(N386&lt;= 28, S386=9), "COVERAGE",AND(N386&lt;= 30, S386=9), "FLUSH",AND(N386&lt;= 11, S386=10), "FLUSH",AND(N386&lt;= 21, S386=10), "PRODUCTION")</f>
        <v>SOWING</v>
      </c>
      <c r="U386">
        <f>HOUR(datos_siembra[[#This Row],[Hour]])</f>
        <v>7</v>
      </c>
      <c r="V386" cm="1">
        <f t="array" ref="V386">_xlfn.IFS(AND(N386&lt;= 22, S386=9), N386-7,AND(N386&lt;= 28, S386=9), N386-25,AND(N386&lt;= 30, S386=9), N386-28,AND(N386&lt;= 11, S386=10), N386+2,AND(N386&lt;= 21, S386=10), N386-11)</f>
        <v>4</v>
      </c>
    </row>
    <row r="387" spans="1:22" x14ac:dyDescent="0.35">
      <c r="A387" s="4">
        <v>45546</v>
      </c>
      <c r="B387" s="5">
        <v>0.33194444444444443</v>
      </c>
      <c r="C387">
        <v>81.3</v>
      </c>
      <c r="D387">
        <v>82.9</v>
      </c>
      <c r="E387">
        <v>87.4</v>
      </c>
      <c r="F387">
        <v>82.5</v>
      </c>
      <c r="G387">
        <v>0</v>
      </c>
      <c r="H387">
        <v>0</v>
      </c>
      <c r="I387">
        <v>0</v>
      </c>
      <c r="J387">
        <v>0</v>
      </c>
      <c r="K387">
        <v>62.5</v>
      </c>
      <c r="L387">
        <v>60.8</v>
      </c>
      <c r="M387">
        <v>83.5</v>
      </c>
      <c r="N387">
        <v>11</v>
      </c>
      <c r="O387">
        <v>1</v>
      </c>
      <c r="P387">
        <f>MOD(DAY(datos_siembra[[#This Row],[Date]]),7)</f>
        <v>4</v>
      </c>
      <c r="Q387" t="str">
        <f>CHOOSE(WEEKDAY(datos_siembra[[#This Row],[Date]],2),"L","M","X","J","V","S","D")</f>
        <v>X</v>
      </c>
      <c r="R387">
        <f>WEEKNUM(datos_siembra[[#This Row],[Date]],2)-WEEKNUM(DATE(YEAR(datos_siembra[[#This Row],[Date]]),MONTH(datos_siembra[[#This Row],[Date]]),1))+1</f>
        <v>2</v>
      </c>
      <c r="S387">
        <f>MONTH(datos_siembra[[#This Row],[Date]])</f>
        <v>9</v>
      </c>
      <c r="T387" t="str" cm="1">
        <f t="array" ref="T387">_xlfn.IFS(AND(N387&lt;= 22, S387=9), "SOWING",AND(N387&lt;= 28, S387=9), "COVERAGE",AND(N387&lt;= 30, S387=9), "FLUSH",AND(N387&lt;= 11, S387=10), "FLUSH",AND(N387&lt;= 21, S387=10), "PRODUCTION")</f>
        <v>SOWING</v>
      </c>
      <c r="U387">
        <f>HOUR(datos_siembra[[#This Row],[Hour]])</f>
        <v>7</v>
      </c>
      <c r="V387" cm="1">
        <f t="array" ref="V387">_xlfn.IFS(AND(N387&lt;= 22, S387=9), N387-7,AND(N387&lt;= 28, S387=9), N387-25,AND(N387&lt;= 30, S387=9), N387-28,AND(N387&lt;= 11, S387=10), N387+2,AND(N387&lt;= 21, S387=10), N387-11)</f>
        <v>4</v>
      </c>
    </row>
    <row r="388" spans="1:22" x14ac:dyDescent="0.35">
      <c r="A388" s="4">
        <v>45546</v>
      </c>
      <c r="B388" s="5">
        <v>0.33888888888888891</v>
      </c>
      <c r="C388">
        <v>81.5</v>
      </c>
      <c r="D388">
        <v>83.3</v>
      </c>
      <c r="E388">
        <v>87.4</v>
      </c>
      <c r="F388">
        <v>82.5</v>
      </c>
      <c r="G388">
        <v>0</v>
      </c>
      <c r="H388">
        <v>0</v>
      </c>
      <c r="I388">
        <v>0</v>
      </c>
      <c r="J388">
        <v>0</v>
      </c>
      <c r="K388">
        <v>63.3</v>
      </c>
      <c r="L388">
        <v>61.8</v>
      </c>
      <c r="M388">
        <v>83.67</v>
      </c>
      <c r="N388">
        <v>11</v>
      </c>
      <c r="O388">
        <v>1</v>
      </c>
      <c r="P388">
        <f>MOD(DAY(datos_siembra[[#This Row],[Date]]),7)</f>
        <v>4</v>
      </c>
      <c r="Q388" t="str">
        <f>CHOOSE(WEEKDAY(datos_siembra[[#This Row],[Date]],2),"L","M","X","J","V","S","D")</f>
        <v>X</v>
      </c>
      <c r="R388">
        <f>WEEKNUM(datos_siembra[[#This Row],[Date]],2)-WEEKNUM(DATE(YEAR(datos_siembra[[#This Row],[Date]]),MONTH(datos_siembra[[#This Row],[Date]]),1))+1</f>
        <v>2</v>
      </c>
      <c r="S388">
        <f>MONTH(datos_siembra[[#This Row],[Date]])</f>
        <v>9</v>
      </c>
      <c r="T388" t="str" cm="1">
        <f t="array" ref="T388">_xlfn.IFS(AND(N388&lt;= 22, S388=9), "SOWING",AND(N388&lt;= 28, S388=9), "COVERAGE",AND(N388&lt;= 30, S388=9), "FLUSH",AND(N388&lt;= 11, S388=10), "FLUSH",AND(N388&lt;= 21, S388=10), "PRODUCTION")</f>
        <v>SOWING</v>
      </c>
      <c r="U388">
        <f>HOUR(datos_siembra[[#This Row],[Hour]])</f>
        <v>8</v>
      </c>
      <c r="V388" cm="1">
        <f t="array" ref="V388">_xlfn.IFS(AND(N388&lt;= 22, S388=9), N388-7,AND(N388&lt;= 28, S388=9), N388-25,AND(N388&lt;= 30, S388=9), N388-28,AND(N388&lt;= 11, S388=10), N388+2,AND(N388&lt;= 21, S388=10), N388-11)</f>
        <v>4</v>
      </c>
    </row>
    <row r="389" spans="1:22" x14ac:dyDescent="0.35">
      <c r="A389" s="4">
        <v>45546</v>
      </c>
      <c r="B389" s="5">
        <v>0.34584490740740742</v>
      </c>
      <c r="C389">
        <v>81.599999999999994</v>
      </c>
      <c r="D389">
        <v>83.3</v>
      </c>
      <c r="E389">
        <v>87.4</v>
      </c>
      <c r="F389">
        <v>82.6</v>
      </c>
      <c r="G389">
        <v>0</v>
      </c>
      <c r="H389">
        <v>0</v>
      </c>
      <c r="I389">
        <v>0</v>
      </c>
      <c r="J389">
        <v>0</v>
      </c>
      <c r="K389">
        <v>63.6</v>
      </c>
      <c r="L389">
        <v>62.4</v>
      </c>
      <c r="M389">
        <v>83.61</v>
      </c>
      <c r="N389">
        <v>11</v>
      </c>
      <c r="O389">
        <v>1</v>
      </c>
      <c r="P389">
        <f>MOD(DAY(datos_siembra[[#This Row],[Date]]),7)</f>
        <v>4</v>
      </c>
      <c r="Q389" t="str">
        <f>CHOOSE(WEEKDAY(datos_siembra[[#This Row],[Date]],2),"L","M","X","J","V","S","D")</f>
        <v>X</v>
      </c>
      <c r="R389">
        <f>WEEKNUM(datos_siembra[[#This Row],[Date]],2)-WEEKNUM(DATE(YEAR(datos_siembra[[#This Row],[Date]]),MONTH(datos_siembra[[#This Row],[Date]]),1))+1</f>
        <v>2</v>
      </c>
      <c r="S389">
        <f>MONTH(datos_siembra[[#This Row],[Date]])</f>
        <v>9</v>
      </c>
      <c r="T389" t="str" cm="1">
        <f t="array" ref="T389">_xlfn.IFS(AND(N389&lt;= 22, S389=9), "SOWING",AND(N389&lt;= 28, S389=9), "COVERAGE",AND(N389&lt;= 30, S389=9), "FLUSH",AND(N389&lt;= 11, S389=10), "FLUSH",AND(N389&lt;= 21, S389=10), "PRODUCTION")</f>
        <v>SOWING</v>
      </c>
      <c r="U389">
        <f>HOUR(datos_siembra[[#This Row],[Hour]])</f>
        <v>8</v>
      </c>
      <c r="V389" cm="1">
        <f t="array" ref="V389">_xlfn.IFS(AND(N389&lt;= 22, S389=9), N389-7,AND(N389&lt;= 28, S389=9), N389-25,AND(N389&lt;= 30, S389=9), N389-28,AND(N389&lt;= 11, S389=10), N389+2,AND(N389&lt;= 21, S389=10), N389-11)</f>
        <v>4</v>
      </c>
    </row>
    <row r="390" spans="1:22" x14ac:dyDescent="0.35">
      <c r="A390" s="4">
        <v>45546</v>
      </c>
      <c r="B390" s="5">
        <v>0.35278935185185184</v>
      </c>
      <c r="C390">
        <v>81.7</v>
      </c>
      <c r="D390">
        <v>83.2</v>
      </c>
      <c r="E390">
        <v>87.4</v>
      </c>
      <c r="F390">
        <v>82.4</v>
      </c>
      <c r="G390">
        <v>0</v>
      </c>
      <c r="H390">
        <v>0</v>
      </c>
      <c r="I390">
        <v>0</v>
      </c>
      <c r="J390">
        <v>0</v>
      </c>
      <c r="K390">
        <v>64.3</v>
      </c>
      <c r="L390">
        <v>63</v>
      </c>
      <c r="M390">
        <v>83.72</v>
      </c>
      <c r="N390">
        <v>11</v>
      </c>
      <c r="O390">
        <v>1</v>
      </c>
      <c r="P390">
        <f>MOD(DAY(datos_siembra[[#This Row],[Date]]),7)</f>
        <v>4</v>
      </c>
      <c r="Q390" t="str">
        <f>CHOOSE(WEEKDAY(datos_siembra[[#This Row],[Date]],2),"L","M","X","J","V","S","D")</f>
        <v>X</v>
      </c>
      <c r="R390">
        <f>WEEKNUM(datos_siembra[[#This Row],[Date]],2)-WEEKNUM(DATE(YEAR(datos_siembra[[#This Row],[Date]]),MONTH(datos_siembra[[#This Row],[Date]]),1))+1</f>
        <v>2</v>
      </c>
      <c r="S390">
        <f>MONTH(datos_siembra[[#This Row],[Date]])</f>
        <v>9</v>
      </c>
      <c r="T390" t="str" cm="1">
        <f t="array" ref="T390">_xlfn.IFS(AND(N390&lt;= 22, S390=9), "SOWING",AND(N390&lt;= 28, S390=9), "COVERAGE",AND(N390&lt;= 30, S390=9), "FLUSH",AND(N390&lt;= 11, S390=10), "FLUSH",AND(N390&lt;= 21, S390=10), "PRODUCTION")</f>
        <v>SOWING</v>
      </c>
      <c r="U390">
        <f>HOUR(datos_siembra[[#This Row],[Hour]])</f>
        <v>8</v>
      </c>
      <c r="V390" cm="1">
        <f t="array" ref="V390">_xlfn.IFS(AND(N390&lt;= 22, S390=9), N390-7,AND(N390&lt;= 28, S390=9), N390-25,AND(N390&lt;= 30, S390=9), N390-28,AND(N390&lt;= 11, S390=10), N390+2,AND(N390&lt;= 21, S390=10), N390-11)</f>
        <v>4</v>
      </c>
    </row>
    <row r="391" spans="1:22" x14ac:dyDescent="0.35">
      <c r="A391" s="4">
        <v>45546</v>
      </c>
      <c r="B391" s="5">
        <v>0.35973379629629632</v>
      </c>
      <c r="C391">
        <v>81.599999999999994</v>
      </c>
      <c r="D391">
        <v>83.2</v>
      </c>
      <c r="E391">
        <v>87.5</v>
      </c>
      <c r="F391">
        <v>82.5</v>
      </c>
      <c r="G391">
        <v>0</v>
      </c>
      <c r="H391">
        <v>0</v>
      </c>
      <c r="I391">
        <v>0</v>
      </c>
      <c r="J391">
        <v>0</v>
      </c>
      <c r="K391">
        <v>63.2</v>
      </c>
      <c r="L391">
        <v>61.5</v>
      </c>
      <c r="M391">
        <v>83.61</v>
      </c>
      <c r="N391">
        <v>11</v>
      </c>
      <c r="O391">
        <v>1</v>
      </c>
      <c r="P391">
        <f>MOD(DAY(datos_siembra[[#This Row],[Date]]),7)</f>
        <v>4</v>
      </c>
      <c r="Q391" t="str">
        <f>CHOOSE(WEEKDAY(datos_siembra[[#This Row],[Date]],2),"L","M","X","J","V","S","D")</f>
        <v>X</v>
      </c>
      <c r="R391">
        <f>WEEKNUM(datos_siembra[[#This Row],[Date]],2)-WEEKNUM(DATE(YEAR(datos_siembra[[#This Row],[Date]]),MONTH(datos_siembra[[#This Row],[Date]]),1))+1</f>
        <v>2</v>
      </c>
      <c r="S391">
        <f>MONTH(datos_siembra[[#This Row],[Date]])</f>
        <v>9</v>
      </c>
      <c r="T391" t="str" cm="1">
        <f t="array" ref="T391">_xlfn.IFS(AND(N391&lt;= 22, S391=9), "SOWING",AND(N391&lt;= 28, S391=9), "COVERAGE",AND(N391&lt;= 30, S391=9), "FLUSH",AND(N391&lt;= 11, S391=10), "FLUSH",AND(N391&lt;= 21, S391=10), "PRODUCTION")</f>
        <v>SOWING</v>
      </c>
      <c r="U391">
        <f>HOUR(datos_siembra[[#This Row],[Hour]])</f>
        <v>8</v>
      </c>
      <c r="V391" cm="1">
        <f t="array" ref="V391">_xlfn.IFS(AND(N391&lt;= 22, S391=9), N391-7,AND(N391&lt;= 28, S391=9), N391-25,AND(N391&lt;= 30, S391=9), N391-28,AND(N391&lt;= 11, S391=10), N391+2,AND(N391&lt;= 21, S391=10), N391-11)</f>
        <v>4</v>
      </c>
    </row>
    <row r="392" spans="1:22" x14ac:dyDescent="0.35">
      <c r="A392" s="4">
        <v>45546</v>
      </c>
      <c r="B392" s="5">
        <v>0.36668981481481483</v>
      </c>
      <c r="C392">
        <v>81.7</v>
      </c>
      <c r="D392">
        <v>83.4</v>
      </c>
      <c r="E392">
        <v>87.4</v>
      </c>
      <c r="F392">
        <v>82.5</v>
      </c>
      <c r="G392">
        <v>0</v>
      </c>
      <c r="H392">
        <v>0</v>
      </c>
      <c r="I392">
        <v>0</v>
      </c>
      <c r="J392">
        <v>0</v>
      </c>
      <c r="K392">
        <v>62.8</v>
      </c>
      <c r="L392">
        <v>61.2</v>
      </c>
      <c r="M392">
        <v>83.67</v>
      </c>
      <c r="N392">
        <v>11</v>
      </c>
      <c r="O392">
        <v>1</v>
      </c>
      <c r="P392">
        <f>MOD(DAY(datos_siembra[[#This Row],[Date]]),7)</f>
        <v>4</v>
      </c>
      <c r="Q392" t="str">
        <f>CHOOSE(WEEKDAY(datos_siembra[[#This Row],[Date]],2),"L","M","X","J","V","S","D")</f>
        <v>X</v>
      </c>
      <c r="R392">
        <f>WEEKNUM(datos_siembra[[#This Row],[Date]],2)-WEEKNUM(DATE(YEAR(datos_siembra[[#This Row],[Date]]),MONTH(datos_siembra[[#This Row],[Date]]),1))+1</f>
        <v>2</v>
      </c>
      <c r="S392">
        <f>MONTH(datos_siembra[[#This Row],[Date]])</f>
        <v>9</v>
      </c>
      <c r="T392" t="str" cm="1">
        <f t="array" ref="T392">_xlfn.IFS(AND(N392&lt;= 22, S392=9), "SOWING",AND(N392&lt;= 28, S392=9), "COVERAGE",AND(N392&lt;= 30, S392=9), "FLUSH",AND(N392&lt;= 11, S392=10), "FLUSH",AND(N392&lt;= 21, S392=10), "PRODUCTION")</f>
        <v>SOWING</v>
      </c>
      <c r="U392">
        <f>HOUR(datos_siembra[[#This Row],[Hour]])</f>
        <v>8</v>
      </c>
      <c r="V392" cm="1">
        <f t="array" ref="V392">_xlfn.IFS(AND(N392&lt;= 22, S392=9), N392-7,AND(N392&lt;= 28, S392=9), N392-25,AND(N392&lt;= 30, S392=9), N392-28,AND(N392&lt;= 11, S392=10), N392+2,AND(N392&lt;= 21, S392=10), N392-11)</f>
        <v>4</v>
      </c>
    </row>
    <row r="393" spans="1:22" x14ac:dyDescent="0.35">
      <c r="A393" s="4">
        <v>45546</v>
      </c>
      <c r="B393" s="5">
        <v>0.37363425925925925</v>
      </c>
      <c r="C393">
        <v>81.7</v>
      </c>
      <c r="D393">
        <v>83.2</v>
      </c>
      <c r="E393">
        <v>87.2</v>
      </c>
      <c r="F393">
        <v>82.5</v>
      </c>
      <c r="G393">
        <v>0</v>
      </c>
      <c r="H393">
        <v>0</v>
      </c>
      <c r="I393">
        <v>0</v>
      </c>
      <c r="J393">
        <v>0</v>
      </c>
      <c r="K393">
        <v>62.7</v>
      </c>
      <c r="L393">
        <v>61.1</v>
      </c>
      <c r="M393">
        <v>83.67</v>
      </c>
      <c r="N393">
        <v>11</v>
      </c>
      <c r="O393">
        <v>1</v>
      </c>
      <c r="P393">
        <f>MOD(DAY(datos_siembra[[#This Row],[Date]]),7)</f>
        <v>4</v>
      </c>
      <c r="Q393" t="str">
        <f>CHOOSE(WEEKDAY(datos_siembra[[#This Row],[Date]],2),"L","M","X","J","V","S","D")</f>
        <v>X</v>
      </c>
      <c r="R393">
        <f>WEEKNUM(datos_siembra[[#This Row],[Date]],2)-WEEKNUM(DATE(YEAR(datos_siembra[[#This Row],[Date]]),MONTH(datos_siembra[[#This Row],[Date]]),1))+1</f>
        <v>2</v>
      </c>
      <c r="S393">
        <f>MONTH(datos_siembra[[#This Row],[Date]])</f>
        <v>9</v>
      </c>
      <c r="T393" t="str" cm="1">
        <f t="array" ref="T393">_xlfn.IFS(AND(N393&lt;= 22, S393=9), "SOWING",AND(N393&lt;= 28, S393=9), "COVERAGE",AND(N393&lt;= 30, S393=9), "FLUSH",AND(N393&lt;= 11, S393=10), "FLUSH",AND(N393&lt;= 21, S393=10), "PRODUCTION")</f>
        <v>SOWING</v>
      </c>
      <c r="U393">
        <f>HOUR(datos_siembra[[#This Row],[Hour]])</f>
        <v>8</v>
      </c>
      <c r="V393" cm="1">
        <f t="array" ref="V393">_xlfn.IFS(AND(N393&lt;= 22, S393=9), N393-7,AND(N393&lt;= 28, S393=9), N393-25,AND(N393&lt;= 30, S393=9), N393-28,AND(N393&lt;= 11, S393=10), N393+2,AND(N393&lt;= 21, S393=10), N393-11)</f>
        <v>4</v>
      </c>
    </row>
    <row r="394" spans="1:22" x14ac:dyDescent="0.35">
      <c r="A394" s="4">
        <v>45546</v>
      </c>
      <c r="B394" s="5">
        <v>0.38057870370370372</v>
      </c>
      <c r="C394">
        <v>81.7</v>
      </c>
      <c r="D394">
        <v>83.2</v>
      </c>
      <c r="E394">
        <v>87.4</v>
      </c>
      <c r="F394">
        <v>82.5</v>
      </c>
      <c r="G394">
        <v>0</v>
      </c>
      <c r="H394">
        <v>0</v>
      </c>
      <c r="I394">
        <v>0</v>
      </c>
      <c r="J394">
        <v>0</v>
      </c>
      <c r="K394">
        <v>62.7</v>
      </c>
      <c r="L394">
        <v>61.1</v>
      </c>
      <c r="M394">
        <v>83.64</v>
      </c>
      <c r="N394">
        <v>11</v>
      </c>
      <c r="O394">
        <v>1</v>
      </c>
      <c r="P394">
        <f>MOD(DAY(datos_siembra[[#This Row],[Date]]),7)</f>
        <v>4</v>
      </c>
      <c r="Q394" t="str">
        <f>CHOOSE(WEEKDAY(datos_siembra[[#This Row],[Date]],2),"L","M","X","J","V","S","D")</f>
        <v>X</v>
      </c>
      <c r="R394">
        <f>WEEKNUM(datos_siembra[[#This Row],[Date]],2)-WEEKNUM(DATE(YEAR(datos_siembra[[#This Row],[Date]]),MONTH(datos_siembra[[#This Row],[Date]]),1))+1</f>
        <v>2</v>
      </c>
      <c r="S394">
        <f>MONTH(datos_siembra[[#This Row],[Date]])</f>
        <v>9</v>
      </c>
      <c r="T394" t="str" cm="1">
        <f t="array" ref="T394">_xlfn.IFS(AND(N394&lt;= 22, S394=9), "SOWING",AND(N394&lt;= 28, S394=9), "COVERAGE",AND(N394&lt;= 30, S394=9), "FLUSH",AND(N394&lt;= 11, S394=10), "FLUSH",AND(N394&lt;= 21, S394=10), "PRODUCTION")</f>
        <v>SOWING</v>
      </c>
      <c r="U394">
        <f>HOUR(datos_siembra[[#This Row],[Hour]])</f>
        <v>9</v>
      </c>
      <c r="V394" cm="1">
        <f t="array" ref="V394">_xlfn.IFS(AND(N394&lt;= 22, S394=9), N394-7,AND(N394&lt;= 28, S394=9), N394-25,AND(N394&lt;= 30, S394=9), N394-28,AND(N394&lt;= 11, S394=10), N394+2,AND(N394&lt;= 21, S394=10), N394-11)</f>
        <v>4</v>
      </c>
    </row>
    <row r="395" spans="1:22" x14ac:dyDescent="0.35">
      <c r="A395" s="4">
        <v>45546</v>
      </c>
      <c r="B395" s="5">
        <v>0.38752314814814814</v>
      </c>
      <c r="C395">
        <v>81.599999999999994</v>
      </c>
      <c r="D395">
        <v>83.2</v>
      </c>
      <c r="E395">
        <v>87.2</v>
      </c>
      <c r="F395">
        <v>82.5</v>
      </c>
      <c r="G395">
        <v>0</v>
      </c>
      <c r="H395">
        <v>0</v>
      </c>
      <c r="I395">
        <v>0</v>
      </c>
      <c r="J395">
        <v>0</v>
      </c>
      <c r="K395">
        <v>62.8</v>
      </c>
      <c r="L395">
        <v>61.4</v>
      </c>
      <c r="M395">
        <v>83.5</v>
      </c>
      <c r="N395">
        <v>11</v>
      </c>
      <c r="O395">
        <v>1</v>
      </c>
      <c r="P395">
        <f>MOD(DAY(datos_siembra[[#This Row],[Date]]),7)</f>
        <v>4</v>
      </c>
      <c r="Q395" t="str">
        <f>CHOOSE(WEEKDAY(datos_siembra[[#This Row],[Date]],2),"L","M","X","J","V","S","D")</f>
        <v>X</v>
      </c>
      <c r="R395">
        <f>WEEKNUM(datos_siembra[[#This Row],[Date]],2)-WEEKNUM(DATE(YEAR(datos_siembra[[#This Row],[Date]]),MONTH(datos_siembra[[#This Row],[Date]]),1))+1</f>
        <v>2</v>
      </c>
      <c r="S395">
        <f>MONTH(datos_siembra[[#This Row],[Date]])</f>
        <v>9</v>
      </c>
      <c r="T395" t="str" cm="1">
        <f t="array" ref="T395">_xlfn.IFS(AND(N395&lt;= 22, S395=9), "SOWING",AND(N395&lt;= 28, S395=9), "COVERAGE",AND(N395&lt;= 30, S395=9), "FLUSH",AND(N395&lt;= 11, S395=10), "FLUSH",AND(N395&lt;= 21, S395=10), "PRODUCTION")</f>
        <v>SOWING</v>
      </c>
      <c r="U395">
        <f>HOUR(datos_siembra[[#This Row],[Hour]])</f>
        <v>9</v>
      </c>
      <c r="V395" cm="1">
        <f t="array" ref="V395">_xlfn.IFS(AND(N395&lt;= 22, S395=9), N395-7,AND(N395&lt;= 28, S395=9), N395-25,AND(N395&lt;= 30, S395=9), N395-28,AND(N395&lt;= 11, S395=10), N395+2,AND(N395&lt;= 21, S395=10), N395-11)</f>
        <v>4</v>
      </c>
    </row>
    <row r="396" spans="1:22" x14ac:dyDescent="0.35">
      <c r="A396" s="4">
        <v>45546</v>
      </c>
      <c r="B396" s="5">
        <v>0.39447916666666666</v>
      </c>
      <c r="C396">
        <v>81.7</v>
      </c>
      <c r="D396">
        <v>83.2</v>
      </c>
      <c r="E396">
        <v>87.2</v>
      </c>
      <c r="F396">
        <v>82.4</v>
      </c>
      <c r="G396">
        <v>0</v>
      </c>
      <c r="H396">
        <v>0</v>
      </c>
      <c r="I396">
        <v>0</v>
      </c>
      <c r="J396">
        <v>0</v>
      </c>
      <c r="K396">
        <v>62.8</v>
      </c>
      <c r="L396">
        <v>61.4</v>
      </c>
      <c r="M396">
        <v>83.72</v>
      </c>
      <c r="N396">
        <v>11</v>
      </c>
      <c r="O396">
        <v>1</v>
      </c>
      <c r="P396">
        <f>MOD(DAY(datos_siembra[[#This Row],[Date]]),7)</f>
        <v>4</v>
      </c>
      <c r="Q396" t="str">
        <f>CHOOSE(WEEKDAY(datos_siembra[[#This Row],[Date]],2),"L","M","X","J","V","S","D")</f>
        <v>X</v>
      </c>
      <c r="R396">
        <f>WEEKNUM(datos_siembra[[#This Row],[Date]],2)-WEEKNUM(DATE(YEAR(datos_siembra[[#This Row],[Date]]),MONTH(datos_siembra[[#This Row],[Date]]),1))+1</f>
        <v>2</v>
      </c>
      <c r="S396">
        <f>MONTH(datos_siembra[[#This Row],[Date]])</f>
        <v>9</v>
      </c>
      <c r="T396" t="str" cm="1">
        <f t="array" ref="T396">_xlfn.IFS(AND(N396&lt;= 22, S396=9), "SOWING",AND(N396&lt;= 28, S396=9), "COVERAGE",AND(N396&lt;= 30, S396=9), "FLUSH",AND(N396&lt;= 11, S396=10), "FLUSH",AND(N396&lt;= 21, S396=10), "PRODUCTION")</f>
        <v>SOWING</v>
      </c>
      <c r="U396">
        <f>HOUR(datos_siembra[[#This Row],[Hour]])</f>
        <v>9</v>
      </c>
      <c r="V396" cm="1">
        <f t="array" ref="V396">_xlfn.IFS(AND(N396&lt;= 22, S396=9), N396-7,AND(N396&lt;= 28, S396=9), N396-25,AND(N396&lt;= 30, S396=9), N396-28,AND(N396&lt;= 11, S396=10), N396+2,AND(N396&lt;= 21, S396=10), N396-11)</f>
        <v>4</v>
      </c>
    </row>
    <row r="397" spans="1:22" x14ac:dyDescent="0.35">
      <c r="A397" s="4">
        <v>45546</v>
      </c>
      <c r="B397" s="5">
        <v>0.40142361111111113</v>
      </c>
      <c r="C397">
        <v>81.7</v>
      </c>
      <c r="D397">
        <v>83.2</v>
      </c>
      <c r="E397">
        <v>87.2</v>
      </c>
      <c r="F397">
        <v>82.5</v>
      </c>
      <c r="G397">
        <v>0</v>
      </c>
      <c r="H397">
        <v>0</v>
      </c>
      <c r="I397">
        <v>0</v>
      </c>
      <c r="J397">
        <v>0</v>
      </c>
      <c r="K397">
        <v>62.9</v>
      </c>
      <c r="L397">
        <v>61.5</v>
      </c>
      <c r="M397">
        <v>83.61</v>
      </c>
      <c r="N397">
        <v>11</v>
      </c>
      <c r="O397">
        <v>1</v>
      </c>
      <c r="P397">
        <f>MOD(DAY(datos_siembra[[#This Row],[Date]]),7)</f>
        <v>4</v>
      </c>
      <c r="Q397" t="str">
        <f>CHOOSE(WEEKDAY(datos_siembra[[#This Row],[Date]],2),"L","M","X","J","V","S","D")</f>
        <v>X</v>
      </c>
      <c r="R397">
        <f>WEEKNUM(datos_siembra[[#This Row],[Date]],2)-WEEKNUM(DATE(YEAR(datos_siembra[[#This Row],[Date]]),MONTH(datos_siembra[[#This Row],[Date]]),1))+1</f>
        <v>2</v>
      </c>
      <c r="S397">
        <f>MONTH(datos_siembra[[#This Row],[Date]])</f>
        <v>9</v>
      </c>
      <c r="T397" t="str" cm="1">
        <f t="array" ref="T397">_xlfn.IFS(AND(N397&lt;= 22, S397=9), "SOWING",AND(N397&lt;= 28, S397=9), "COVERAGE",AND(N397&lt;= 30, S397=9), "FLUSH",AND(N397&lt;= 11, S397=10), "FLUSH",AND(N397&lt;= 21, S397=10), "PRODUCTION")</f>
        <v>SOWING</v>
      </c>
      <c r="U397">
        <f>HOUR(datos_siembra[[#This Row],[Hour]])</f>
        <v>9</v>
      </c>
      <c r="V397" cm="1">
        <f t="array" ref="V397">_xlfn.IFS(AND(N397&lt;= 22, S397=9), N397-7,AND(N397&lt;= 28, S397=9), N397-25,AND(N397&lt;= 30, S397=9), N397-28,AND(N397&lt;= 11, S397=10), N397+2,AND(N397&lt;= 21, S397=10), N397-11)</f>
        <v>4</v>
      </c>
    </row>
    <row r="398" spans="1:22" x14ac:dyDescent="0.35">
      <c r="A398" s="4">
        <v>45546</v>
      </c>
      <c r="B398" s="5">
        <v>0.40836805555555555</v>
      </c>
      <c r="C398">
        <v>81.5</v>
      </c>
      <c r="D398">
        <v>83.2</v>
      </c>
      <c r="E398">
        <v>87.4</v>
      </c>
      <c r="F398">
        <v>82.4</v>
      </c>
      <c r="G398">
        <v>0</v>
      </c>
      <c r="H398">
        <v>0</v>
      </c>
      <c r="I398">
        <v>0</v>
      </c>
      <c r="J398">
        <v>0</v>
      </c>
      <c r="K398">
        <v>62.9</v>
      </c>
      <c r="L398">
        <v>61.6</v>
      </c>
      <c r="M398">
        <v>83.61</v>
      </c>
      <c r="N398">
        <v>11</v>
      </c>
      <c r="O398">
        <v>1</v>
      </c>
      <c r="P398">
        <f>MOD(DAY(datos_siembra[[#This Row],[Date]]),7)</f>
        <v>4</v>
      </c>
      <c r="Q398" t="str">
        <f>CHOOSE(WEEKDAY(datos_siembra[[#This Row],[Date]],2),"L","M","X","J","V","S","D")</f>
        <v>X</v>
      </c>
      <c r="R398">
        <f>WEEKNUM(datos_siembra[[#This Row],[Date]],2)-WEEKNUM(DATE(YEAR(datos_siembra[[#This Row],[Date]]),MONTH(datos_siembra[[#This Row],[Date]]),1))+1</f>
        <v>2</v>
      </c>
      <c r="S398">
        <f>MONTH(datos_siembra[[#This Row],[Date]])</f>
        <v>9</v>
      </c>
      <c r="T398" t="str" cm="1">
        <f t="array" ref="T398">_xlfn.IFS(AND(N398&lt;= 22, S398=9), "SOWING",AND(N398&lt;= 28, S398=9), "COVERAGE",AND(N398&lt;= 30, S398=9), "FLUSH",AND(N398&lt;= 11, S398=10), "FLUSH",AND(N398&lt;= 21, S398=10), "PRODUCTION")</f>
        <v>SOWING</v>
      </c>
      <c r="U398">
        <f>HOUR(datos_siembra[[#This Row],[Hour]])</f>
        <v>9</v>
      </c>
      <c r="V398" cm="1">
        <f t="array" ref="V398">_xlfn.IFS(AND(N398&lt;= 22, S398=9), N398-7,AND(N398&lt;= 28, S398=9), N398-25,AND(N398&lt;= 30, S398=9), N398-28,AND(N398&lt;= 11, S398=10), N398+2,AND(N398&lt;= 21, S398=10), N398-11)</f>
        <v>4</v>
      </c>
    </row>
    <row r="399" spans="1:22" x14ac:dyDescent="0.35">
      <c r="A399" s="4">
        <v>45546</v>
      </c>
      <c r="B399" s="5">
        <v>0.41532407407407407</v>
      </c>
      <c r="C399">
        <v>81.7</v>
      </c>
      <c r="D399">
        <v>83.2</v>
      </c>
      <c r="E399">
        <v>87.2</v>
      </c>
      <c r="F399">
        <v>82.4</v>
      </c>
      <c r="G399">
        <v>0</v>
      </c>
      <c r="H399">
        <v>0</v>
      </c>
      <c r="I399">
        <v>0</v>
      </c>
      <c r="J399">
        <v>0</v>
      </c>
      <c r="K399">
        <v>63</v>
      </c>
      <c r="L399">
        <v>61.7</v>
      </c>
      <c r="M399">
        <v>83.64</v>
      </c>
      <c r="N399">
        <v>11</v>
      </c>
      <c r="O399">
        <v>1</v>
      </c>
      <c r="P399">
        <f>MOD(DAY(datos_siembra[[#This Row],[Date]]),7)</f>
        <v>4</v>
      </c>
      <c r="Q399" t="str">
        <f>CHOOSE(WEEKDAY(datos_siembra[[#This Row],[Date]],2),"L","M","X","J","V","S","D")</f>
        <v>X</v>
      </c>
      <c r="R399">
        <f>WEEKNUM(datos_siembra[[#This Row],[Date]],2)-WEEKNUM(DATE(YEAR(datos_siembra[[#This Row],[Date]]),MONTH(datos_siembra[[#This Row],[Date]]),1))+1</f>
        <v>2</v>
      </c>
      <c r="S399">
        <f>MONTH(datos_siembra[[#This Row],[Date]])</f>
        <v>9</v>
      </c>
      <c r="T399" t="str" cm="1">
        <f t="array" ref="T399">_xlfn.IFS(AND(N399&lt;= 22, S399=9), "SOWING",AND(N399&lt;= 28, S399=9), "COVERAGE",AND(N399&lt;= 30, S399=9), "FLUSH",AND(N399&lt;= 11, S399=10), "FLUSH",AND(N399&lt;= 21, S399=10), "PRODUCTION")</f>
        <v>SOWING</v>
      </c>
      <c r="U399">
        <f>HOUR(datos_siembra[[#This Row],[Hour]])</f>
        <v>9</v>
      </c>
      <c r="V399" cm="1">
        <f t="array" ref="V399">_xlfn.IFS(AND(N399&lt;= 22, S399=9), N399-7,AND(N399&lt;= 28, S399=9), N399-25,AND(N399&lt;= 30, S399=9), N399-28,AND(N399&lt;= 11, S399=10), N399+2,AND(N399&lt;= 21, S399=10), N399-11)</f>
        <v>4</v>
      </c>
    </row>
    <row r="400" spans="1:22" x14ac:dyDescent="0.35">
      <c r="A400" s="4">
        <v>45546</v>
      </c>
      <c r="B400" s="5">
        <v>0.25560185185185186</v>
      </c>
      <c r="C400">
        <v>81.7</v>
      </c>
      <c r="D400">
        <v>83.2</v>
      </c>
      <c r="E400">
        <v>87.2</v>
      </c>
      <c r="F400">
        <v>82.3</v>
      </c>
      <c r="G400">
        <v>0</v>
      </c>
      <c r="H400">
        <v>0</v>
      </c>
      <c r="I400">
        <v>0</v>
      </c>
      <c r="J400">
        <v>0</v>
      </c>
      <c r="K400">
        <v>63.2</v>
      </c>
      <c r="L400">
        <v>61.7</v>
      </c>
      <c r="M400">
        <v>83.61</v>
      </c>
      <c r="N400">
        <v>11</v>
      </c>
      <c r="O400">
        <v>1</v>
      </c>
      <c r="P400">
        <f>MOD(DAY(datos_siembra[[#This Row],[Date]]),7)</f>
        <v>4</v>
      </c>
      <c r="Q400" t="str">
        <f>CHOOSE(WEEKDAY(datos_siembra[[#This Row],[Date]],2),"L","M","X","J","V","S","D")</f>
        <v>X</v>
      </c>
      <c r="R400">
        <f>WEEKNUM(datos_siembra[[#This Row],[Date]],2)-WEEKNUM(DATE(YEAR(datos_siembra[[#This Row],[Date]]),MONTH(datos_siembra[[#This Row],[Date]]),1))+1</f>
        <v>2</v>
      </c>
      <c r="S400">
        <f>MONTH(datos_siembra[[#This Row],[Date]])</f>
        <v>9</v>
      </c>
      <c r="T400" t="str" cm="1">
        <f t="array" ref="T400">_xlfn.IFS(AND(N400&lt;= 22, S400=9), "SOWING",AND(N400&lt;= 28, S400=9), "COVERAGE",AND(N400&lt;= 30, S400=9), "FLUSH",AND(N400&lt;= 11, S400=10), "FLUSH",AND(N400&lt;= 21, S400=10), "PRODUCTION")</f>
        <v>SOWING</v>
      </c>
      <c r="U400">
        <f>HOUR(datos_siembra[[#This Row],[Hour]])</f>
        <v>6</v>
      </c>
      <c r="V400" cm="1">
        <f t="array" ref="V400">_xlfn.IFS(AND(N400&lt;= 22, S400=9), N400-7,AND(N400&lt;= 28, S400=9), N400-25,AND(N400&lt;= 30, S400=9), N400-28,AND(N400&lt;= 11, S400=10), N400+2,AND(N400&lt;= 21, S400=10), N400-11)</f>
        <v>4</v>
      </c>
    </row>
    <row r="401" spans="1:22" x14ac:dyDescent="0.35">
      <c r="A401" s="4">
        <v>45546</v>
      </c>
      <c r="B401" s="5">
        <v>0.26254629629629628</v>
      </c>
      <c r="C401">
        <v>81.7</v>
      </c>
      <c r="D401">
        <v>83.1</v>
      </c>
      <c r="E401">
        <v>87.2</v>
      </c>
      <c r="F401">
        <v>82.4</v>
      </c>
      <c r="G401">
        <v>0</v>
      </c>
      <c r="H401">
        <v>0</v>
      </c>
      <c r="I401">
        <v>0</v>
      </c>
      <c r="J401">
        <v>0</v>
      </c>
      <c r="K401">
        <v>62.9</v>
      </c>
      <c r="L401">
        <v>61.4</v>
      </c>
      <c r="M401">
        <v>83.64</v>
      </c>
      <c r="N401">
        <v>11</v>
      </c>
      <c r="O401">
        <v>1</v>
      </c>
      <c r="P401">
        <f>MOD(DAY(datos_siembra[[#This Row],[Date]]),7)</f>
        <v>4</v>
      </c>
      <c r="Q401" t="str">
        <f>CHOOSE(WEEKDAY(datos_siembra[[#This Row],[Date]],2),"L","M","X","J","V","S","D")</f>
        <v>X</v>
      </c>
      <c r="R401">
        <f>WEEKNUM(datos_siembra[[#This Row],[Date]],2)-WEEKNUM(DATE(YEAR(datos_siembra[[#This Row],[Date]]),MONTH(datos_siembra[[#This Row],[Date]]),1))+1</f>
        <v>2</v>
      </c>
      <c r="S401">
        <f>MONTH(datos_siembra[[#This Row],[Date]])</f>
        <v>9</v>
      </c>
      <c r="T401" t="str" cm="1">
        <f t="array" ref="T401">_xlfn.IFS(AND(N401&lt;= 22, S401=9), "SOWING",AND(N401&lt;= 28, S401=9), "COVERAGE",AND(N401&lt;= 30, S401=9), "FLUSH",AND(N401&lt;= 11, S401=10), "FLUSH",AND(N401&lt;= 21, S401=10), "PRODUCTION")</f>
        <v>SOWING</v>
      </c>
      <c r="U401">
        <f>HOUR(datos_siembra[[#This Row],[Hour]])</f>
        <v>6</v>
      </c>
      <c r="V401" cm="1">
        <f t="array" ref="V401">_xlfn.IFS(AND(N401&lt;= 22, S401=9), N401-7,AND(N401&lt;= 28, S401=9), N401-25,AND(N401&lt;= 30, S401=9), N401-28,AND(N401&lt;= 11, S401=10), N401+2,AND(N401&lt;= 21, S401=10), N401-11)</f>
        <v>4</v>
      </c>
    </row>
    <row r="402" spans="1:22" x14ac:dyDescent="0.35">
      <c r="A402" s="4">
        <v>45546</v>
      </c>
      <c r="B402" s="5">
        <v>0.26950231481481479</v>
      </c>
      <c r="C402">
        <v>81.7</v>
      </c>
      <c r="D402">
        <v>83.1</v>
      </c>
      <c r="E402">
        <v>87.2</v>
      </c>
      <c r="F402">
        <v>82.5</v>
      </c>
      <c r="G402">
        <v>0</v>
      </c>
      <c r="H402">
        <v>0</v>
      </c>
      <c r="I402">
        <v>0</v>
      </c>
      <c r="J402">
        <v>0</v>
      </c>
      <c r="K402">
        <v>62.9</v>
      </c>
      <c r="L402">
        <v>61.5</v>
      </c>
      <c r="M402">
        <v>83.67</v>
      </c>
      <c r="N402">
        <v>11</v>
      </c>
      <c r="O402">
        <v>1</v>
      </c>
      <c r="P402">
        <f>MOD(DAY(datos_siembra[[#This Row],[Date]]),7)</f>
        <v>4</v>
      </c>
      <c r="Q402" t="str">
        <f>CHOOSE(WEEKDAY(datos_siembra[[#This Row],[Date]],2),"L","M","X","J","V","S","D")</f>
        <v>X</v>
      </c>
      <c r="R402">
        <f>WEEKNUM(datos_siembra[[#This Row],[Date]],2)-WEEKNUM(DATE(YEAR(datos_siembra[[#This Row],[Date]]),MONTH(datos_siembra[[#This Row],[Date]]),1))+1</f>
        <v>2</v>
      </c>
      <c r="S402">
        <f>MONTH(datos_siembra[[#This Row],[Date]])</f>
        <v>9</v>
      </c>
      <c r="T402" t="str" cm="1">
        <f t="array" ref="T402">_xlfn.IFS(AND(N402&lt;= 22, S402=9), "SOWING",AND(N402&lt;= 28, S402=9), "COVERAGE",AND(N402&lt;= 30, S402=9), "FLUSH",AND(N402&lt;= 11, S402=10), "FLUSH",AND(N402&lt;= 21, S402=10), "PRODUCTION")</f>
        <v>SOWING</v>
      </c>
      <c r="U402">
        <f>HOUR(datos_siembra[[#This Row],[Hour]])</f>
        <v>6</v>
      </c>
      <c r="V402" cm="1">
        <f t="array" ref="V402">_xlfn.IFS(AND(N402&lt;= 22, S402=9), N402-7,AND(N402&lt;= 28, S402=9), N402-25,AND(N402&lt;= 30, S402=9), N402-28,AND(N402&lt;= 11, S402=10), N402+2,AND(N402&lt;= 21, S402=10), N402-11)</f>
        <v>4</v>
      </c>
    </row>
    <row r="403" spans="1:22" x14ac:dyDescent="0.35">
      <c r="A403" s="4">
        <v>45546</v>
      </c>
      <c r="B403" s="5">
        <v>0.27644675925925927</v>
      </c>
      <c r="C403">
        <v>81.7</v>
      </c>
      <c r="D403">
        <v>83.1</v>
      </c>
      <c r="E403">
        <v>87.2</v>
      </c>
      <c r="F403">
        <v>82.6</v>
      </c>
      <c r="G403">
        <v>0</v>
      </c>
      <c r="H403">
        <v>0</v>
      </c>
      <c r="I403">
        <v>0</v>
      </c>
      <c r="J403">
        <v>0</v>
      </c>
      <c r="K403">
        <v>62.8</v>
      </c>
      <c r="L403">
        <v>61.4</v>
      </c>
      <c r="M403">
        <v>83.55</v>
      </c>
      <c r="N403">
        <v>11</v>
      </c>
      <c r="O403">
        <v>1</v>
      </c>
      <c r="P403">
        <f>MOD(DAY(datos_siembra[[#This Row],[Date]]),7)</f>
        <v>4</v>
      </c>
      <c r="Q403" t="str">
        <f>CHOOSE(WEEKDAY(datos_siembra[[#This Row],[Date]],2),"L","M","X","J","V","S","D")</f>
        <v>X</v>
      </c>
      <c r="R403">
        <f>WEEKNUM(datos_siembra[[#This Row],[Date]],2)-WEEKNUM(DATE(YEAR(datos_siembra[[#This Row],[Date]]),MONTH(datos_siembra[[#This Row],[Date]]),1))+1</f>
        <v>2</v>
      </c>
      <c r="S403">
        <f>MONTH(datos_siembra[[#This Row],[Date]])</f>
        <v>9</v>
      </c>
      <c r="T403" t="str" cm="1">
        <f t="array" ref="T403">_xlfn.IFS(AND(N403&lt;= 22, S403=9), "SOWING",AND(N403&lt;= 28, S403=9), "COVERAGE",AND(N403&lt;= 30, S403=9), "FLUSH",AND(N403&lt;= 11, S403=10), "FLUSH",AND(N403&lt;= 21, S403=10), "PRODUCTION")</f>
        <v>SOWING</v>
      </c>
      <c r="U403">
        <f>HOUR(datos_siembra[[#This Row],[Hour]])</f>
        <v>6</v>
      </c>
      <c r="V403" cm="1">
        <f t="array" ref="V403">_xlfn.IFS(AND(N403&lt;= 22, S403=9), N403-7,AND(N403&lt;= 28, S403=9), N403-25,AND(N403&lt;= 30, S403=9), N403-28,AND(N403&lt;= 11, S403=10), N403+2,AND(N403&lt;= 21, S403=10), N403-11)</f>
        <v>4</v>
      </c>
    </row>
    <row r="404" spans="1:22" x14ac:dyDescent="0.35">
      <c r="A404" s="4">
        <v>45546</v>
      </c>
      <c r="B404" s="5">
        <v>0.28339120370370369</v>
      </c>
      <c r="C404">
        <v>81.7</v>
      </c>
      <c r="D404">
        <v>83.1</v>
      </c>
      <c r="E404">
        <v>87.4</v>
      </c>
      <c r="F404">
        <v>82.3</v>
      </c>
      <c r="G404">
        <v>0</v>
      </c>
      <c r="H404">
        <v>0</v>
      </c>
      <c r="I404">
        <v>0</v>
      </c>
      <c r="J404">
        <v>0</v>
      </c>
      <c r="K404">
        <v>63.2</v>
      </c>
      <c r="L404">
        <v>61.7</v>
      </c>
      <c r="M404">
        <v>83.61</v>
      </c>
      <c r="N404">
        <v>11</v>
      </c>
      <c r="O404">
        <v>1</v>
      </c>
      <c r="P404">
        <f>MOD(DAY(datos_siembra[[#This Row],[Date]]),7)</f>
        <v>4</v>
      </c>
      <c r="Q404" t="str">
        <f>CHOOSE(WEEKDAY(datos_siembra[[#This Row],[Date]],2),"L","M","X","J","V","S","D")</f>
        <v>X</v>
      </c>
      <c r="R404">
        <f>WEEKNUM(datos_siembra[[#This Row],[Date]],2)-WEEKNUM(DATE(YEAR(datos_siembra[[#This Row],[Date]]),MONTH(datos_siembra[[#This Row],[Date]]),1))+1</f>
        <v>2</v>
      </c>
      <c r="S404">
        <f>MONTH(datos_siembra[[#This Row],[Date]])</f>
        <v>9</v>
      </c>
      <c r="T404" t="str" cm="1">
        <f t="array" ref="T404">_xlfn.IFS(AND(N404&lt;= 22, S404=9), "SOWING",AND(N404&lt;= 28, S404=9), "COVERAGE",AND(N404&lt;= 30, S404=9), "FLUSH",AND(N404&lt;= 11, S404=10), "FLUSH",AND(N404&lt;= 21, S404=10), "PRODUCTION")</f>
        <v>SOWING</v>
      </c>
      <c r="U404">
        <f>HOUR(datos_siembra[[#This Row],[Hour]])</f>
        <v>6</v>
      </c>
      <c r="V404" cm="1">
        <f t="array" ref="V404">_xlfn.IFS(AND(N404&lt;= 22, S404=9), N404-7,AND(N404&lt;= 28, S404=9), N404-25,AND(N404&lt;= 30, S404=9), N404-28,AND(N404&lt;= 11, S404=10), N404+2,AND(N404&lt;= 21, S404=10), N404-11)</f>
        <v>4</v>
      </c>
    </row>
    <row r="405" spans="1:22" x14ac:dyDescent="0.35">
      <c r="A405" s="4">
        <v>45546</v>
      </c>
      <c r="B405" s="5">
        <v>0.2903472222222222</v>
      </c>
      <c r="C405">
        <v>81.7</v>
      </c>
      <c r="D405">
        <v>83.1</v>
      </c>
      <c r="E405">
        <v>87.2</v>
      </c>
      <c r="F405">
        <v>82.4</v>
      </c>
      <c r="G405">
        <v>0</v>
      </c>
      <c r="H405">
        <v>0</v>
      </c>
      <c r="I405">
        <v>0</v>
      </c>
      <c r="J405">
        <v>0</v>
      </c>
      <c r="K405">
        <v>63.2</v>
      </c>
      <c r="L405">
        <v>61.8</v>
      </c>
      <c r="M405">
        <v>83.61</v>
      </c>
      <c r="N405">
        <v>11</v>
      </c>
      <c r="O405">
        <v>1</v>
      </c>
      <c r="P405">
        <f>MOD(DAY(datos_siembra[[#This Row],[Date]]),7)</f>
        <v>4</v>
      </c>
      <c r="Q405" t="str">
        <f>CHOOSE(WEEKDAY(datos_siembra[[#This Row],[Date]],2),"L","M","X","J","V","S","D")</f>
        <v>X</v>
      </c>
      <c r="R405">
        <f>WEEKNUM(datos_siembra[[#This Row],[Date]],2)-WEEKNUM(DATE(YEAR(datos_siembra[[#This Row],[Date]]),MONTH(datos_siembra[[#This Row],[Date]]),1))+1</f>
        <v>2</v>
      </c>
      <c r="S405">
        <f>MONTH(datos_siembra[[#This Row],[Date]])</f>
        <v>9</v>
      </c>
      <c r="T405" t="str" cm="1">
        <f t="array" ref="T405">_xlfn.IFS(AND(N405&lt;= 22, S405=9), "SOWING",AND(N405&lt;= 28, S405=9), "COVERAGE",AND(N405&lt;= 30, S405=9), "FLUSH",AND(N405&lt;= 11, S405=10), "FLUSH",AND(N405&lt;= 21, S405=10), "PRODUCTION")</f>
        <v>SOWING</v>
      </c>
      <c r="U405">
        <f>HOUR(datos_siembra[[#This Row],[Hour]])</f>
        <v>6</v>
      </c>
      <c r="V405" cm="1">
        <f t="array" ref="V405">_xlfn.IFS(AND(N405&lt;= 22, S405=9), N405-7,AND(N405&lt;= 28, S405=9), N405-25,AND(N405&lt;= 30, S405=9), N405-28,AND(N405&lt;= 11, S405=10), N405+2,AND(N405&lt;= 21, S405=10), N405-11)</f>
        <v>4</v>
      </c>
    </row>
    <row r="406" spans="1:22" x14ac:dyDescent="0.35">
      <c r="A406" s="4">
        <v>45546</v>
      </c>
      <c r="B406" s="5">
        <v>0.29729166666666668</v>
      </c>
      <c r="C406">
        <v>81.599999999999994</v>
      </c>
      <c r="D406">
        <v>83.2</v>
      </c>
      <c r="E406">
        <v>87.2</v>
      </c>
      <c r="F406">
        <v>82.3</v>
      </c>
      <c r="G406">
        <v>0</v>
      </c>
      <c r="H406">
        <v>0</v>
      </c>
      <c r="I406">
        <v>0</v>
      </c>
      <c r="J406">
        <v>0</v>
      </c>
      <c r="K406">
        <v>63.2</v>
      </c>
      <c r="L406">
        <v>61.7</v>
      </c>
      <c r="M406">
        <v>83.61</v>
      </c>
      <c r="N406">
        <v>11</v>
      </c>
      <c r="O406">
        <v>1</v>
      </c>
      <c r="P406">
        <f>MOD(DAY(datos_siembra[[#This Row],[Date]]),7)</f>
        <v>4</v>
      </c>
      <c r="Q406" t="str">
        <f>CHOOSE(WEEKDAY(datos_siembra[[#This Row],[Date]],2),"L","M","X","J","V","S","D")</f>
        <v>X</v>
      </c>
      <c r="R406">
        <f>WEEKNUM(datos_siembra[[#This Row],[Date]],2)-WEEKNUM(DATE(YEAR(datos_siembra[[#This Row],[Date]]),MONTH(datos_siembra[[#This Row],[Date]]),1))+1</f>
        <v>2</v>
      </c>
      <c r="S406">
        <f>MONTH(datos_siembra[[#This Row],[Date]])</f>
        <v>9</v>
      </c>
      <c r="T406" t="str" cm="1">
        <f t="array" ref="T406">_xlfn.IFS(AND(N406&lt;= 22, S406=9), "SOWING",AND(N406&lt;= 28, S406=9), "COVERAGE",AND(N406&lt;= 30, S406=9), "FLUSH",AND(N406&lt;= 11, S406=10), "FLUSH",AND(N406&lt;= 21, S406=10), "PRODUCTION")</f>
        <v>SOWING</v>
      </c>
      <c r="U406">
        <f>HOUR(datos_siembra[[#This Row],[Hour]])</f>
        <v>7</v>
      </c>
      <c r="V406" cm="1">
        <f t="array" ref="V406">_xlfn.IFS(AND(N406&lt;= 22, S406=9), N406-7,AND(N406&lt;= 28, S406=9), N406-25,AND(N406&lt;= 30, S406=9), N406-28,AND(N406&lt;= 11, S406=10), N406+2,AND(N406&lt;= 21, S406=10), N406-11)</f>
        <v>4</v>
      </c>
    </row>
    <row r="407" spans="1:22" x14ac:dyDescent="0.35">
      <c r="A407" s="4">
        <v>45546</v>
      </c>
      <c r="B407" s="5">
        <v>0.3042361111111111</v>
      </c>
      <c r="C407">
        <v>81.5</v>
      </c>
      <c r="D407">
        <v>83</v>
      </c>
      <c r="E407">
        <v>87.2</v>
      </c>
      <c r="F407">
        <v>82.3</v>
      </c>
      <c r="G407">
        <v>0</v>
      </c>
      <c r="H407">
        <v>0</v>
      </c>
      <c r="I407">
        <v>0</v>
      </c>
      <c r="J407">
        <v>0</v>
      </c>
      <c r="K407">
        <v>63.2</v>
      </c>
      <c r="L407">
        <v>61.6</v>
      </c>
      <c r="M407">
        <v>83.52</v>
      </c>
      <c r="N407">
        <v>11</v>
      </c>
      <c r="O407">
        <v>1</v>
      </c>
      <c r="P407">
        <f>MOD(DAY(datos_siembra[[#This Row],[Date]]),7)</f>
        <v>4</v>
      </c>
      <c r="Q407" t="str">
        <f>CHOOSE(WEEKDAY(datos_siembra[[#This Row],[Date]],2),"L","M","X","J","V","S","D")</f>
        <v>X</v>
      </c>
      <c r="R407">
        <f>WEEKNUM(datos_siembra[[#This Row],[Date]],2)-WEEKNUM(DATE(YEAR(datos_siembra[[#This Row],[Date]]),MONTH(datos_siembra[[#This Row],[Date]]),1))+1</f>
        <v>2</v>
      </c>
      <c r="S407">
        <f>MONTH(datos_siembra[[#This Row],[Date]])</f>
        <v>9</v>
      </c>
      <c r="T407" t="str" cm="1">
        <f t="array" ref="T407">_xlfn.IFS(AND(N407&lt;= 22, S407=9), "SOWING",AND(N407&lt;= 28, S407=9), "COVERAGE",AND(N407&lt;= 30, S407=9), "FLUSH",AND(N407&lt;= 11, S407=10), "FLUSH",AND(N407&lt;= 21, S407=10), "PRODUCTION")</f>
        <v>SOWING</v>
      </c>
      <c r="U407">
        <f>HOUR(datos_siembra[[#This Row],[Hour]])</f>
        <v>7</v>
      </c>
      <c r="V407" cm="1">
        <f t="array" ref="V407">_xlfn.IFS(AND(N407&lt;= 22, S407=9), N407-7,AND(N407&lt;= 28, S407=9), N407-25,AND(N407&lt;= 30, S407=9), N407-28,AND(N407&lt;= 11, S407=10), N407+2,AND(N407&lt;= 21, S407=10), N407-11)</f>
        <v>4</v>
      </c>
    </row>
    <row r="408" spans="1:22" x14ac:dyDescent="0.35">
      <c r="A408" s="4">
        <v>45546</v>
      </c>
      <c r="B408" s="5">
        <v>0.31119212962962961</v>
      </c>
      <c r="C408">
        <v>81.599999999999994</v>
      </c>
      <c r="D408">
        <v>83.1</v>
      </c>
      <c r="E408">
        <v>87.2</v>
      </c>
      <c r="F408">
        <v>82.3</v>
      </c>
      <c r="G408">
        <v>0</v>
      </c>
      <c r="H408">
        <v>0</v>
      </c>
      <c r="I408">
        <v>0</v>
      </c>
      <c r="J408">
        <v>0</v>
      </c>
      <c r="K408">
        <v>63.4</v>
      </c>
      <c r="L408">
        <v>61.9</v>
      </c>
      <c r="M408">
        <v>83.61</v>
      </c>
      <c r="N408">
        <v>11</v>
      </c>
      <c r="O408">
        <v>1</v>
      </c>
      <c r="P408">
        <f>MOD(DAY(datos_siembra[[#This Row],[Date]]),7)</f>
        <v>4</v>
      </c>
      <c r="Q408" t="str">
        <f>CHOOSE(WEEKDAY(datos_siembra[[#This Row],[Date]],2),"L","M","X","J","V","S","D")</f>
        <v>X</v>
      </c>
      <c r="R408">
        <f>WEEKNUM(datos_siembra[[#This Row],[Date]],2)-WEEKNUM(DATE(YEAR(datos_siembra[[#This Row],[Date]]),MONTH(datos_siembra[[#This Row],[Date]]),1))+1</f>
        <v>2</v>
      </c>
      <c r="S408">
        <f>MONTH(datos_siembra[[#This Row],[Date]])</f>
        <v>9</v>
      </c>
      <c r="T408" t="str" cm="1">
        <f t="array" ref="T408">_xlfn.IFS(AND(N408&lt;= 22, S408=9), "SOWING",AND(N408&lt;= 28, S408=9), "COVERAGE",AND(N408&lt;= 30, S408=9), "FLUSH",AND(N408&lt;= 11, S408=10), "FLUSH",AND(N408&lt;= 21, S408=10), "PRODUCTION")</f>
        <v>SOWING</v>
      </c>
      <c r="U408">
        <f>HOUR(datos_siembra[[#This Row],[Hour]])</f>
        <v>7</v>
      </c>
      <c r="V408" cm="1">
        <f t="array" ref="V408">_xlfn.IFS(AND(N408&lt;= 22, S408=9), N408-7,AND(N408&lt;= 28, S408=9), N408-25,AND(N408&lt;= 30, S408=9), N408-28,AND(N408&lt;= 11, S408=10), N408+2,AND(N408&lt;= 21, S408=10), N408-11)</f>
        <v>4</v>
      </c>
    </row>
    <row r="409" spans="1:22" x14ac:dyDescent="0.35">
      <c r="A409" s="4">
        <v>45546</v>
      </c>
      <c r="B409" s="5">
        <v>0.31813657407407409</v>
      </c>
      <c r="C409">
        <v>81.599999999999994</v>
      </c>
      <c r="D409">
        <v>83</v>
      </c>
      <c r="E409">
        <v>87</v>
      </c>
      <c r="F409">
        <v>82.5</v>
      </c>
      <c r="G409">
        <v>0</v>
      </c>
      <c r="H409">
        <v>0</v>
      </c>
      <c r="I409">
        <v>0</v>
      </c>
      <c r="J409">
        <v>0</v>
      </c>
      <c r="K409">
        <v>63.4</v>
      </c>
      <c r="L409">
        <v>62</v>
      </c>
      <c r="M409">
        <v>83.55</v>
      </c>
      <c r="N409">
        <v>11</v>
      </c>
      <c r="O409">
        <v>1</v>
      </c>
      <c r="P409">
        <f>MOD(DAY(datos_siembra[[#This Row],[Date]]),7)</f>
        <v>4</v>
      </c>
      <c r="Q409" t="str">
        <f>CHOOSE(WEEKDAY(datos_siembra[[#This Row],[Date]],2),"L","M","X","J","V","S","D")</f>
        <v>X</v>
      </c>
      <c r="R409">
        <f>WEEKNUM(datos_siembra[[#This Row],[Date]],2)-WEEKNUM(DATE(YEAR(datos_siembra[[#This Row],[Date]]),MONTH(datos_siembra[[#This Row],[Date]]),1))+1</f>
        <v>2</v>
      </c>
      <c r="S409">
        <f>MONTH(datos_siembra[[#This Row],[Date]])</f>
        <v>9</v>
      </c>
      <c r="T409" t="str" cm="1">
        <f t="array" ref="T409">_xlfn.IFS(AND(N409&lt;= 22, S409=9), "SOWING",AND(N409&lt;= 28, S409=9), "COVERAGE",AND(N409&lt;= 30, S409=9), "FLUSH",AND(N409&lt;= 11, S409=10), "FLUSH",AND(N409&lt;= 21, S409=10), "PRODUCTION")</f>
        <v>SOWING</v>
      </c>
      <c r="U409">
        <f>HOUR(datos_siembra[[#This Row],[Hour]])</f>
        <v>7</v>
      </c>
      <c r="V409" cm="1">
        <f t="array" ref="V409">_xlfn.IFS(AND(N409&lt;= 22, S409=9), N409-7,AND(N409&lt;= 28, S409=9), N409-25,AND(N409&lt;= 30, S409=9), N409-28,AND(N409&lt;= 11, S409=10), N409+2,AND(N409&lt;= 21, S409=10), N409-11)</f>
        <v>4</v>
      </c>
    </row>
    <row r="410" spans="1:22" x14ac:dyDescent="0.35">
      <c r="A410" s="4">
        <v>45546</v>
      </c>
      <c r="B410" s="5">
        <v>0.32508101851851851</v>
      </c>
      <c r="C410">
        <v>81.7</v>
      </c>
      <c r="D410">
        <v>83.1</v>
      </c>
      <c r="E410">
        <v>87.4</v>
      </c>
      <c r="F410">
        <v>82.4</v>
      </c>
      <c r="G410">
        <v>0</v>
      </c>
      <c r="H410">
        <v>0</v>
      </c>
      <c r="I410">
        <v>0</v>
      </c>
      <c r="J410">
        <v>0</v>
      </c>
      <c r="K410">
        <v>63.3</v>
      </c>
      <c r="L410">
        <v>61.9</v>
      </c>
      <c r="M410">
        <v>83.64</v>
      </c>
      <c r="N410">
        <v>11</v>
      </c>
      <c r="O410">
        <v>1</v>
      </c>
      <c r="P410">
        <f>MOD(DAY(datos_siembra[[#This Row],[Date]]),7)</f>
        <v>4</v>
      </c>
      <c r="Q410" t="str">
        <f>CHOOSE(WEEKDAY(datos_siembra[[#This Row],[Date]],2),"L","M","X","J","V","S","D")</f>
        <v>X</v>
      </c>
      <c r="R410">
        <f>WEEKNUM(datos_siembra[[#This Row],[Date]],2)-WEEKNUM(DATE(YEAR(datos_siembra[[#This Row],[Date]]),MONTH(datos_siembra[[#This Row],[Date]]),1))+1</f>
        <v>2</v>
      </c>
      <c r="S410">
        <f>MONTH(datos_siembra[[#This Row],[Date]])</f>
        <v>9</v>
      </c>
      <c r="T410" t="str" cm="1">
        <f t="array" ref="T410">_xlfn.IFS(AND(N410&lt;= 22, S410=9), "SOWING",AND(N410&lt;= 28, S410=9), "COVERAGE",AND(N410&lt;= 30, S410=9), "FLUSH",AND(N410&lt;= 11, S410=10), "FLUSH",AND(N410&lt;= 21, S410=10), "PRODUCTION")</f>
        <v>SOWING</v>
      </c>
      <c r="U410">
        <f>HOUR(datos_siembra[[#This Row],[Hour]])</f>
        <v>7</v>
      </c>
      <c r="V410" cm="1">
        <f t="array" ref="V410">_xlfn.IFS(AND(N410&lt;= 22, S410=9), N410-7,AND(N410&lt;= 28, S410=9), N410-25,AND(N410&lt;= 30, S410=9), N410-28,AND(N410&lt;= 11, S410=10), N410+2,AND(N410&lt;= 21, S410=10), N410-11)</f>
        <v>4</v>
      </c>
    </row>
    <row r="411" spans="1:22" x14ac:dyDescent="0.35">
      <c r="A411" s="4">
        <v>45546</v>
      </c>
      <c r="B411" s="5">
        <v>0.33203703703703702</v>
      </c>
      <c r="C411">
        <v>81.599999999999994</v>
      </c>
      <c r="D411">
        <v>83</v>
      </c>
      <c r="E411">
        <v>87</v>
      </c>
      <c r="F411">
        <v>82.5</v>
      </c>
      <c r="G411">
        <v>0</v>
      </c>
      <c r="H411">
        <v>0</v>
      </c>
      <c r="I411">
        <v>0</v>
      </c>
      <c r="J411">
        <v>0</v>
      </c>
      <c r="K411">
        <v>63.5</v>
      </c>
      <c r="L411">
        <v>62</v>
      </c>
      <c r="M411">
        <v>83.5</v>
      </c>
      <c r="N411">
        <v>11</v>
      </c>
      <c r="O411">
        <v>1</v>
      </c>
      <c r="P411">
        <f>MOD(DAY(datos_siembra[[#This Row],[Date]]),7)</f>
        <v>4</v>
      </c>
      <c r="Q411" t="str">
        <f>CHOOSE(WEEKDAY(datos_siembra[[#This Row],[Date]],2),"L","M","X","J","V","S","D")</f>
        <v>X</v>
      </c>
      <c r="R411">
        <f>WEEKNUM(datos_siembra[[#This Row],[Date]],2)-WEEKNUM(DATE(YEAR(datos_siembra[[#This Row],[Date]]),MONTH(datos_siembra[[#This Row],[Date]]),1))+1</f>
        <v>2</v>
      </c>
      <c r="S411">
        <f>MONTH(datos_siembra[[#This Row],[Date]])</f>
        <v>9</v>
      </c>
      <c r="T411" t="str" cm="1">
        <f t="array" ref="T411">_xlfn.IFS(AND(N411&lt;= 22, S411=9), "SOWING",AND(N411&lt;= 28, S411=9), "COVERAGE",AND(N411&lt;= 30, S411=9), "FLUSH",AND(N411&lt;= 11, S411=10), "FLUSH",AND(N411&lt;= 21, S411=10), "PRODUCTION")</f>
        <v>SOWING</v>
      </c>
      <c r="U411">
        <f>HOUR(datos_siembra[[#This Row],[Hour]])</f>
        <v>7</v>
      </c>
      <c r="V411" cm="1">
        <f t="array" ref="V411">_xlfn.IFS(AND(N411&lt;= 22, S411=9), N411-7,AND(N411&lt;= 28, S411=9), N411-25,AND(N411&lt;= 30, S411=9), N411-28,AND(N411&lt;= 11, S411=10), N411+2,AND(N411&lt;= 21, S411=10), N411-11)</f>
        <v>4</v>
      </c>
    </row>
    <row r="412" spans="1:22" x14ac:dyDescent="0.35">
      <c r="A412" s="4">
        <v>45546</v>
      </c>
      <c r="B412" s="5">
        <v>0.33898148148148149</v>
      </c>
      <c r="C412">
        <v>81.7</v>
      </c>
      <c r="D412">
        <v>83.1</v>
      </c>
      <c r="E412">
        <v>87.1</v>
      </c>
      <c r="F412">
        <v>82.4</v>
      </c>
      <c r="G412">
        <v>0</v>
      </c>
      <c r="H412">
        <v>0</v>
      </c>
      <c r="I412">
        <v>0</v>
      </c>
      <c r="J412">
        <v>0</v>
      </c>
      <c r="K412">
        <v>63.3</v>
      </c>
      <c r="L412">
        <v>61.9</v>
      </c>
      <c r="M412">
        <v>83.58</v>
      </c>
      <c r="N412">
        <v>11</v>
      </c>
      <c r="O412">
        <v>1</v>
      </c>
      <c r="P412">
        <f>MOD(DAY(datos_siembra[[#This Row],[Date]]),7)</f>
        <v>4</v>
      </c>
      <c r="Q412" t="str">
        <f>CHOOSE(WEEKDAY(datos_siembra[[#This Row],[Date]],2),"L","M","X","J","V","S","D")</f>
        <v>X</v>
      </c>
      <c r="R412">
        <f>WEEKNUM(datos_siembra[[#This Row],[Date]],2)-WEEKNUM(DATE(YEAR(datos_siembra[[#This Row],[Date]]),MONTH(datos_siembra[[#This Row],[Date]]),1))+1</f>
        <v>2</v>
      </c>
      <c r="S412">
        <f>MONTH(datos_siembra[[#This Row],[Date]])</f>
        <v>9</v>
      </c>
      <c r="T412" t="str" cm="1">
        <f t="array" ref="T412">_xlfn.IFS(AND(N412&lt;= 22, S412=9), "SOWING",AND(N412&lt;= 28, S412=9), "COVERAGE",AND(N412&lt;= 30, S412=9), "FLUSH",AND(N412&lt;= 11, S412=10), "FLUSH",AND(N412&lt;= 21, S412=10), "PRODUCTION")</f>
        <v>SOWING</v>
      </c>
      <c r="U412">
        <f>HOUR(datos_siembra[[#This Row],[Hour]])</f>
        <v>8</v>
      </c>
      <c r="V412" cm="1">
        <f t="array" ref="V412">_xlfn.IFS(AND(N412&lt;= 22, S412=9), N412-7,AND(N412&lt;= 28, S412=9), N412-25,AND(N412&lt;= 30, S412=9), N412-28,AND(N412&lt;= 11, S412=10), N412+2,AND(N412&lt;= 21, S412=10), N412-11)</f>
        <v>4</v>
      </c>
    </row>
    <row r="413" spans="1:22" x14ac:dyDescent="0.35">
      <c r="A413" s="4">
        <v>45546</v>
      </c>
      <c r="B413" s="5">
        <v>0.34592592592592591</v>
      </c>
      <c r="C413">
        <v>81.7</v>
      </c>
      <c r="D413">
        <v>83</v>
      </c>
      <c r="E413">
        <v>87.1</v>
      </c>
      <c r="F413">
        <v>82.4</v>
      </c>
      <c r="G413">
        <v>0</v>
      </c>
      <c r="H413">
        <v>0</v>
      </c>
      <c r="I413">
        <v>0</v>
      </c>
      <c r="J413">
        <v>0</v>
      </c>
      <c r="K413">
        <v>63.4</v>
      </c>
      <c r="L413">
        <v>61.9</v>
      </c>
      <c r="M413">
        <v>83.5</v>
      </c>
      <c r="N413">
        <v>11</v>
      </c>
      <c r="O413">
        <v>1</v>
      </c>
      <c r="P413">
        <f>MOD(DAY(datos_siembra[[#This Row],[Date]]),7)</f>
        <v>4</v>
      </c>
      <c r="Q413" t="str">
        <f>CHOOSE(WEEKDAY(datos_siembra[[#This Row],[Date]],2),"L","M","X","J","V","S","D")</f>
        <v>X</v>
      </c>
      <c r="R413">
        <f>WEEKNUM(datos_siembra[[#This Row],[Date]],2)-WEEKNUM(DATE(YEAR(datos_siembra[[#This Row],[Date]]),MONTH(datos_siembra[[#This Row],[Date]]),1))+1</f>
        <v>2</v>
      </c>
      <c r="S413">
        <f>MONTH(datos_siembra[[#This Row],[Date]])</f>
        <v>9</v>
      </c>
      <c r="T413" t="str" cm="1">
        <f t="array" ref="T413">_xlfn.IFS(AND(N413&lt;= 22, S413=9), "SOWING",AND(N413&lt;= 28, S413=9), "COVERAGE",AND(N413&lt;= 30, S413=9), "FLUSH",AND(N413&lt;= 11, S413=10), "FLUSH",AND(N413&lt;= 21, S413=10), "PRODUCTION")</f>
        <v>SOWING</v>
      </c>
      <c r="U413">
        <f>HOUR(datos_siembra[[#This Row],[Hour]])</f>
        <v>8</v>
      </c>
      <c r="V413" cm="1">
        <f t="array" ref="V413">_xlfn.IFS(AND(N413&lt;= 22, S413=9), N413-7,AND(N413&lt;= 28, S413=9), N413-25,AND(N413&lt;= 30, S413=9), N413-28,AND(N413&lt;= 11, S413=10), N413+2,AND(N413&lt;= 21, S413=10), N413-11)</f>
        <v>4</v>
      </c>
    </row>
    <row r="414" spans="1:22" x14ac:dyDescent="0.35">
      <c r="A414" s="4">
        <v>45546</v>
      </c>
      <c r="B414" s="5">
        <v>0.35288194444444443</v>
      </c>
      <c r="C414">
        <v>81.599999999999994</v>
      </c>
      <c r="D414">
        <v>83</v>
      </c>
      <c r="E414">
        <v>87</v>
      </c>
      <c r="F414">
        <v>82.4</v>
      </c>
      <c r="G414">
        <v>0</v>
      </c>
      <c r="H414">
        <v>0</v>
      </c>
      <c r="I414">
        <v>0</v>
      </c>
      <c r="J414">
        <v>0</v>
      </c>
      <c r="K414">
        <v>63.5</v>
      </c>
      <c r="L414">
        <v>62</v>
      </c>
      <c r="M414">
        <v>83.44</v>
      </c>
      <c r="N414">
        <v>11</v>
      </c>
      <c r="O414">
        <v>1</v>
      </c>
      <c r="P414">
        <f>MOD(DAY(datos_siembra[[#This Row],[Date]]),7)</f>
        <v>4</v>
      </c>
      <c r="Q414" t="str">
        <f>CHOOSE(WEEKDAY(datos_siembra[[#This Row],[Date]],2),"L","M","X","J","V","S","D")</f>
        <v>X</v>
      </c>
      <c r="R414">
        <f>WEEKNUM(datos_siembra[[#This Row],[Date]],2)-WEEKNUM(DATE(YEAR(datos_siembra[[#This Row],[Date]]),MONTH(datos_siembra[[#This Row],[Date]]),1))+1</f>
        <v>2</v>
      </c>
      <c r="S414">
        <f>MONTH(datos_siembra[[#This Row],[Date]])</f>
        <v>9</v>
      </c>
      <c r="T414" t="str" cm="1">
        <f t="array" ref="T414">_xlfn.IFS(AND(N414&lt;= 22, S414=9), "SOWING",AND(N414&lt;= 28, S414=9), "COVERAGE",AND(N414&lt;= 30, S414=9), "FLUSH",AND(N414&lt;= 11, S414=10), "FLUSH",AND(N414&lt;= 21, S414=10), "PRODUCTION")</f>
        <v>SOWING</v>
      </c>
      <c r="U414">
        <f>HOUR(datos_siembra[[#This Row],[Hour]])</f>
        <v>8</v>
      </c>
      <c r="V414" cm="1">
        <f t="array" ref="V414">_xlfn.IFS(AND(N414&lt;= 22, S414=9), N414-7,AND(N414&lt;= 28, S414=9), N414-25,AND(N414&lt;= 30, S414=9), N414-28,AND(N414&lt;= 11, S414=10), N414+2,AND(N414&lt;= 21, S414=10), N414-11)</f>
        <v>4</v>
      </c>
    </row>
    <row r="415" spans="1:22" x14ac:dyDescent="0.35">
      <c r="A415" s="4">
        <v>45546</v>
      </c>
      <c r="B415" s="5">
        <v>0.3598263888888889</v>
      </c>
      <c r="C415">
        <v>81.7</v>
      </c>
      <c r="D415">
        <v>83</v>
      </c>
      <c r="E415">
        <v>87</v>
      </c>
      <c r="F415">
        <v>82.3</v>
      </c>
      <c r="G415">
        <v>0</v>
      </c>
      <c r="H415">
        <v>0</v>
      </c>
      <c r="I415">
        <v>0</v>
      </c>
      <c r="J415">
        <v>0</v>
      </c>
      <c r="K415">
        <v>63.4</v>
      </c>
      <c r="L415">
        <v>61.9</v>
      </c>
      <c r="M415">
        <v>83.55</v>
      </c>
      <c r="N415">
        <v>11</v>
      </c>
      <c r="O415">
        <v>1</v>
      </c>
      <c r="P415">
        <f>MOD(DAY(datos_siembra[[#This Row],[Date]]),7)</f>
        <v>4</v>
      </c>
      <c r="Q415" t="str">
        <f>CHOOSE(WEEKDAY(datos_siembra[[#This Row],[Date]],2),"L","M","X","J","V","S","D")</f>
        <v>X</v>
      </c>
      <c r="R415">
        <f>WEEKNUM(datos_siembra[[#This Row],[Date]],2)-WEEKNUM(DATE(YEAR(datos_siembra[[#This Row],[Date]]),MONTH(datos_siembra[[#This Row],[Date]]),1))+1</f>
        <v>2</v>
      </c>
      <c r="S415">
        <f>MONTH(datos_siembra[[#This Row],[Date]])</f>
        <v>9</v>
      </c>
      <c r="T415" t="str" cm="1">
        <f t="array" ref="T415">_xlfn.IFS(AND(N415&lt;= 22, S415=9), "SOWING",AND(N415&lt;= 28, S415=9), "COVERAGE",AND(N415&lt;= 30, S415=9), "FLUSH",AND(N415&lt;= 11, S415=10), "FLUSH",AND(N415&lt;= 21, S415=10), "PRODUCTION")</f>
        <v>SOWING</v>
      </c>
      <c r="U415">
        <f>HOUR(datos_siembra[[#This Row],[Hour]])</f>
        <v>8</v>
      </c>
      <c r="V415" cm="1">
        <f t="array" ref="V415">_xlfn.IFS(AND(N415&lt;= 22, S415=9), N415-7,AND(N415&lt;= 28, S415=9), N415-25,AND(N415&lt;= 30, S415=9), N415-28,AND(N415&lt;= 11, S415=10), N415+2,AND(N415&lt;= 21, S415=10), N415-11)</f>
        <v>4</v>
      </c>
    </row>
    <row r="416" spans="1:22" x14ac:dyDescent="0.35">
      <c r="A416" s="4">
        <v>45546</v>
      </c>
      <c r="B416" s="5">
        <v>0.36677083333333332</v>
      </c>
      <c r="C416">
        <v>81.7</v>
      </c>
      <c r="D416">
        <v>83.1</v>
      </c>
      <c r="E416">
        <v>87.1</v>
      </c>
      <c r="F416">
        <v>82.4</v>
      </c>
      <c r="G416">
        <v>0</v>
      </c>
      <c r="H416">
        <v>0</v>
      </c>
      <c r="I416">
        <v>0</v>
      </c>
      <c r="J416">
        <v>0</v>
      </c>
      <c r="K416">
        <v>63.5</v>
      </c>
      <c r="L416">
        <v>62</v>
      </c>
      <c r="M416">
        <v>83.47</v>
      </c>
      <c r="N416">
        <v>11</v>
      </c>
      <c r="O416">
        <v>1</v>
      </c>
      <c r="P416">
        <f>MOD(DAY(datos_siembra[[#This Row],[Date]]),7)</f>
        <v>4</v>
      </c>
      <c r="Q416" t="str">
        <f>CHOOSE(WEEKDAY(datos_siembra[[#This Row],[Date]],2),"L","M","X","J","V","S","D")</f>
        <v>X</v>
      </c>
      <c r="R416">
        <f>WEEKNUM(datos_siembra[[#This Row],[Date]],2)-WEEKNUM(DATE(YEAR(datos_siembra[[#This Row],[Date]]),MONTH(datos_siembra[[#This Row],[Date]]),1))+1</f>
        <v>2</v>
      </c>
      <c r="S416">
        <f>MONTH(datos_siembra[[#This Row],[Date]])</f>
        <v>9</v>
      </c>
      <c r="T416" t="str" cm="1">
        <f t="array" ref="T416">_xlfn.IFS(AND(N416&lt;= 22, S416=9), "SOWING",AND(N416&lt;= 28, S416=9), "COVERAGE",AND(N416&lt;= 30, S416=9), "FLUSH",AND(N416&lt;= 11, S416=10), "FLUSH",AND(N416&lt;= 21, S416=10), "PRODUCTION")</f>
        <v>SOWING</v>
      </c>
      <c r="U416">
        <f>HOUR(datos_siembra[[#This Row],[Hour]])</f>
        <v>8</v>
      </c>
      <c r="V416" cm="1">
        <f t="array" ref="V416">_xlfn.IFS(AND(N416&lt;= 22, S416=9), N416-7,AND(N416&lt;= 28, S416=9), N416-25,AND(N416&lt;= 30, S416=9), N416-28,AND(N416&lt;= 11, S416=10), N416+2,AND(N416&lt;= 21, S416=10), N416-11)</f>
        <v>4</v>
      </c>
    </row>
    <row r="417" spans="1:22" x14ac:dyDescent="0.35">
      <c r="A417" s="4">
        <v>45546</v>
      </c>
      <c r="B417" s="5">
        <v>0.37372685185185184</v>
      </c>
      <c r="C417">
        <v>82.2</v>
      </c>
      <c r="D417">
        <v>83</v>
      </c>
      <c r="E417">
        <v>87</v>
      </c>
      <c r="F417">
        <v>82.5</v>
      </c>
      <c r="G417">
        <v>0</v>
      </c>
      <c r="H417">
        <v>0</v>
      </c>
      <c r="I417">
        <v>0</v>
      </c>
      <c r="J417">
        <v>0</v>
      </c>
      <c r="K417">
        <v>63.4</v>
      </c>
      <c r="L417">
        <v>61.9</v>
      </c>
      <c r="M417">
        <v>83.64</v>
      </c>
      <c r="N417">
        <v>11</v>
      </c>
      <c r="O417">
        <v>1</v>
      </c>
      <c r="P417">
        <f>MOD(DAY(datos_siembra[[#This Row],[Date]]),7)</f>
        <v>4</v>
      </c>
      <c r="Q417" t="str">
        <f>CHOOSE(WEEKDAY(datos_siembra[[#This Row],[Date]],2),"L","M","X","J","V","S","D")</f>
        <v>X</v>
      </c>
      <c r="R417">
        <f>WEEKNUM(datos_siembra[[#This Row],[Date]],2)-WEEKNUM(DATE(YEAR(datos_siembra[[#This Row],[Date]]),MONTH(datos_siembra[[#This Row],[Date]]),1))+1</f>
        <v>2</v>
      </c>
      <c r="S417">
        <f>MONTH(datos_siembra[[#This Row],[Date]])</f>
        <v>9</v>
      </c>
      <c r="T417" t="str" cm="1">
        <f t="array" ref="T417">_xlfn.IFS(AND(N417&lt;= 22, S417=9), "SOWING",AND(N417&lt;= 28, S417=9), "COVERAGE",AND(N417&lt;= 30, S417=9), "FLUSH",AND(N417&lt;= 11, S417=10), "FLUSH",AND(N417&lt;= 21, S417=10), "PRODUCTION")</f>
        <v>SOWING</v>
      </c>
      <c r="U417">
        <f>HOUR(datos_siembra[[#This Row],[Hour]])</f>
        <v>8</v>
      </c>
      <c r="V417" cm="1">
        <f t="array" ref="V417">_xlfn.IFS(AND(N417&lt;= 22, S417=9), N417-7,AND(N417&lt;= 28, S417=9), N417-25,AND(N417&lt;= 30, S417=9), N417-28,AND(N417&lt;= 11, S417=10), N417+2,AND(N417&lt;= 21, S417=10), N417-11)</f>
        <v>4</v>
      </c>
    </row>
    <row r="418" spans="1:22" x14ac:dyDescent="0.35">
      <c r="A418" s="4">
        <v>45546</v>
      </c>
      <c r="B418" s="5">
        <v>0.38067129629629631</v>
      </c>
      <c r="C418">
        <v>82.5</v>
      </c>
      <c r="D418">
        <v>82.9</v>
      </c>
      <c r="E418">
        <v>87</v>
      </c>
      <c r="F418">
        <v>82.3</v>
      </c>
      <c r="G418">
        <v>0</v>
      </c>
      <c r="H418">
        <v>0</v>
      </c>
      <c r="I418">
        <v>0</v>
      </c>
      <c r="J418">
        <v>0</v>
      </c>
      <c r="K418">
        <v>63.8</v>
      </c>
      <c r="L418">
        <v>62.5</v>
      </c>
      <c r="M418">
        <v>83.78</v>
      </c>
      <c r="N418">
        <v>11</v>
      </c>
      <c r="O418">
        <v>1</v>
      </c>
      <c r="P418">
        <f>MOD(DAY(datos_siembra[[#This Row],[Date]]),7)</f>
        <v>4</v>
      </c>
      <c r="Q418" t="str">
        <f>CHOOSE(WEEKDAY(datos_siembra[[#This Row],[Date]],2),"L","M","X","J","V","S","D")</f>
        <v>X</v>
      </c>
      <c r="R418">
        <f>WEEKNUM(datos_siembra[[#This Row],[Date]],2)-WEEKNUM(DATE(YEAR(datos_siembra[[#This Row],[Date]]),MONTH(datos_siembra[[#This Row],[Date]]),1))+1</f>
        <v>2</v>
      </c>
      <c r="S418">
        <f>MONTH(datos_siembra[[#This Row],[Date]])</f>
        <v>9</v>
      </c>
      <c r="T418" t="str" cm="1">
        <f t="array" ref="T418">_xlfn.IFS(AND(N418&lt;= 22, S418=9), "SOWING",AND(N418&lt;= 28, S418=9), "COVERAGE",AND(N418&lt;= 30, S418=9), "FLUSH",AND(N418&lt;= 11, S418=10), "FLUSH",AND(N418&lt;= 21, S418=10), "PRODUCTION")</f>
        <v>SOWING</v>
      </c>
      <c r="U418">
        <f>HOUR(datos_siembra[[#This Row],[Hour]])</f>
        <v>9</v>
      </c>
      <c r="V418" cm="1">
        <f t="array" ref="V418">_xlfn.IFS(AND(N418&lt;= 22, S418=9), N418-7,AND(N418&lt;= 28, S418=9), N418-25,AND(N418&lt;= 30, S418=9), N418-28,AND(N418&lt;= 11, S418=10), N418+2,AND(N418&lt;= 21, S418=10), N418-11)</f>
        <v>4</v>
      </c>
    </row>
    <row r="419" spans="1:22" x14ac:dyDescent="0.35">
      <c r="A419" s="4">
        <v>45546</v>
      </c>
      <c r="B419" s="5">
        <v>0.38761574074074073</v>
      </c>
      <c r="C419">
        <v>82.7</v>
      </c>
      <c r="D419">
        <v>82.7</v>
      </c>
      <c r="E419">
        <v>87.1</v>
      </c>
      <c r="F419">
        <v>82.1</v>
      </c>
      <c r="G419">
        <v>0</v>
      </c>
      <c r="H419">
        <v>0</v>
      </c>
      <c r="I419">
        <v>0</v>
      </c>
      <c r="J419">
        <v>0</v>
      </c>
      <c r="K419">
        <v>63.6</v>
      </c>
      <c r="L419">
        <v>62.2</v>
      </c>
      <c r="M419">
        <v>83.69</v>
      </c>
      <c r="N419">
        <v>11</v>
      </c>
      <c r="O419">
        <v>1</v>
      </c>
      <c r="P419">
        <f>MOD(DAY(datos_siembra[[#This Row],[Date]]),7)</f>
        <v>4</v>
      </c>
      <c r="Q419" t="str">
        <f>CHOOSE(WEEKDAY(datos_siembra[[#This Row],[Date]],2),"L","M","X","J","V","S","D")</f>
        <v>X</v>
      </c>
      <c r="R419">
        <f>WEEKNUM(datos_siembra[[#This Row],[Date]],2)-WEEKNUM(DATE(YEAR(datos_siembra[[#This Row],[Date]]),MONTH(datos_siembra[[#This Row],[Date]]),1))+1</f>
        <v>2</v>
      </c>
      <c r="S419">
        <f>MONTH(datos_siembra[[#This Row],[Date]])</f>
        <v>9</v>
      </c>
      <c r="T419" t="str" cm="1">
        <f t="array" ref="T419">_xlfn.IFS(AND(N419&lt;= 22, S419=9), "SOWING",AND(N419&lt;= 28, S419=9), "COVERAGE",AND(N419&lt;= 30, S419=9), "FLUSH",AND(N419&lt;= 11, S419=10), "FLUSH",AND(N419&lt;= 21, S419=10), "PRODUCTION")</f>
        <v>SOWING</v>
      </c>
      <c r="U419">
        <f>HOUR(datos_siembra[[#This Row],[Hour]])</f>
        <v>9</v>
      </c>
      <c r="V419" cm="1">
        <f t="array" ref="V419">_xlfn.IFS(AND(N419&lt;= 22, S419=9), N419-7,AND(N419&lt;= 28, S419=9), N419-25,AND(N419&lt;= 30, S419=9), N419-28,AND(N419&lt;= 11, S419=10), N419+2,AND(N419&lt;= 21, S419=10), N419-11)</f>
        <v>4</v>
      </c>
    </row>
    <row r="420" spans="1:22" x14ac:dyDescent="0.35">
      <c r="A420" s="4">
        <v>45546</v>
      </c>
      <c r="B420" s="5">
        <v>0.39457175925925925</v>
      </c>
      <c r="C420">
        <v>82.7</v>
      </c>
      <c r="D420">
        <v>83</v>
      </c>
      <c r="E420">
        <v>87.1</v>
      </c>
      <c r="F420">
        <v>82.2</v>
      </c>
      <c r="G420">
        <v>0</v>
      </c>
      <c r="H420">
        <v>0</v>
      </c>
      <c r="I420">
        <v>0</v>
      </c>
      <c r="J420">
        <v>0</v>
      </c>
      <c r="K420">
        <v>63.6</v>
      </c>
      <c r="L420">
        <v>62.2</v>
      </c>
      <c r="M420">
        <v>83.69</v>
      </c>
      <c r="N420">
        <v>11</v>
      </c>
      <c r="O420">
        <v>1</v>
      </c>
      <c r="P420">
        <f>MOD(DAY(datos_siembra[[#This Row],[Date]]),7)</f>
        <v>4</v>
      </c>
      <c r="Q420" t="str">
        <f>CHOOSE(WEEKDAY(datos_siembra[[#This Row],[Date]],2),"L","M","X","J","V","S","D")</f>
        <v>X</v>
      </c>
      <c r="R420">
        <f>WEEKNUM(datos_siembra[[#This Row],[Date]],2)-WEEKNUM(DATE(YEAR(datos_siembra[[#This Row],[Date]]),MONTH(datos_siembra[[#This Row],[Date]]),1))+1</f>
        <v>2</v>
      </c>
      <c r="S420">
        <f>MONTH(datos_siembra[[#This Row],[Date]])</f>
        <v>9</v>
      </c>
      <c r="T420" t="str" cm="1">
        <f t="array" ref="T420">_xlfn.IFS(AND(N420&lt;= 22, S420=9), "SOWING",AND(N420&lt;= 28, S420=9), "COVERAGE",AND(N420&lt;= 30, S420=9), "FLUSH",AND(N420&lt;= 11, S420=10), "FLUSH",AND(N420&lt;= 21, S420=10), "PRODUCTION")</f>
        <v>SOWING</v>
      </c>
      <c r="U420">
        <f>HOUR(datos_siembra[[#This Row],[Hour]])</f>
        <v>9</v>
      </c>
      <c r="V420" cm="1">
        <f t="array" ref="V420">_xlfn.IFS(AND(N420&lt;= 22, S420=9), N420-7,AND(N420&lt;= 28, S420=9), N420-25,AND(N420&lt;= 30, S420=9), N420-28,AND(N420&lt;= 11, S420=10), N420+2,AND(N420&lt;= 21, S420=10), N420-11)</f>
        <v>4</v>
      </c>
    </row>
    <row r="421" spans="1:22" x14ac:dyDescent="0.35">
      <c r="A421" s="4">
        <v>45546</v>
      </c>
      <c r="B421" s="5">
        <v>0.40151620370370372</v>
      </c>
      <c r="C421">
        <v>82.5</v>
      </c>
      <c r="D421">
        <v>82.7</v>
      </c>
      <c r="E421">
        <v>86.9</v>
      </c>
      <c r="F421">
        <v>82.3</v>
      </c>
      <c r="G421">
        <v>0</v>
      </c>
      <c r="H421">
        <v>0</v>
      </c>
      <c r="I421">
        <v>0</v>
      </c>
      <c r="J421">
        <v>0</v>
      </c>
      <c r="K421">
        <v>63.8</v>
      </c>
      <c r="L421">
        <v>62.3</v>
      </c>
      <c r="M421">
        <v>83.69</v>
      </c>
      <c r="N421">
        <v>11</v>
      </c>
      <c r="O421">
        <v>1</v>
      </c>
      <c r="P421">
        <f>MOD(DAY(datos_siembra[[#This Row],[Date]]),7)</f>
        <v>4</v>
      </c>
      <c r="Q421" t="str">
        <f>CHOOSE(WEEKDAY(datos_siembra[[#This Row],[Date]],2),"L","M","X","J","V","S","D")</f>
        <v>X</v>
      </c>
      <c r="R421">
        <f>WEEKNUM(datos_siembra[[#This Row],[Date]],2)-WEEKNUM(DATE(YEAR(datos_siembra[[#This Row],[Date]]),MONTH(datos_siembra[[#This Row],[Date]]),1))+1</f>
        <v>2</v>
      </c>
      <c r="S421">
        <f>MONTH(datos_siembra[[#This Row],[Date]])</f>
        <v>9</v>
      </c>
      <c r="T421" t="str" cm="1">
        <f t="array" ref="T421">_xlfn.IFS(AND(N421&lt;= 22, S421=9), "SOWING",AND(N421&lt;= 28, S421=9), "COVERAGE",AND(N421&lt;= 30, S421=9), "FLUSH",AND(N421&lt;= 11, S421=10), "FLUSH",AND(N421&lt;= 21, S421=10), "PRODUCTION")</f>
        <v>SOWING</v>
      </c>
      <c r="U421">
        <f>HOUR(datos_siembra[[#This Row],[Hour]])</f>
        <v>9</v>
      </c>
      <c r="V421" cm="1">
        <f t="array" ref="V421">_xlfn.IFS(AND(N421&lt;= 22, S421=9), N421-7,AND(N421&lt;= 28, S421=9), N421-25,AND(N421&lt;= 30, S421=9), N421-28,AND(N421&lt;= 11, S421=10), N421+2,AND(N421&lt;= 21, S421=10), N421-11)</f>
        <v>4</v>
      </c>
    </row>
    <row r="422" spans="1:22" x14ac:dyDescent="0.35">
      <c r="A422" s="4">
        <v>45546</v>
      </c>
      <c r="B422" s="5">
        <v>0.40846064814814814</v>
      </c>
      <c r="C422">
        <v>82.6</v>
      </c>
      <c r="D422">
        <v>82.7</v>
      </c>
      <c r="E422">
        <v>86.9</v>
      </c>
      <c r="F422">
        <v>82.2</v>
      </c>
      <c r="G422">
        <v>0</v>
      </c>
      <c r="H422">
        <v>0</v>
      </c>
      <c r="I422">
        <v>0</v>
      </c>
      <c r="J422">
        <v>0</v>
      </c>
      <c r="K422">
        <v>63.7</v>
      </c>
      <c r="L422">
        <v>62.3</v>
      </c>
      <c r="M422">
        <v>83.69</v>
      </c>
      <c r="N422">
        <v>11</v>
      </c>
      <c r="O422">
        <v>1</v>
      </c>
      <c r="P422">
        <f>MOD(DAY(datos_siembra[[#This Row],[Date]]),7)</f>
        <v>4</v>
      </c>
      <c r="Q422" t="str">
        <f>CHOOSE(WEEKDAY(datos_siembra[[#This Row],[Date]],2),"L","M","X","J","V","S","D")</f>
        <v>X</v>
      </c>
      <c r="R422">
        <f>WEEKNUM(datos_siembra[[#This Row],[Date]],2)-WEEKNUM(DATE(YEAR(datos_siembra[[#This Row],[Date]]),MONTH(datos_siembra[[#This Row],[Date]]),1))+1</f>
        <v>2</v>
      </c>
      <c r="S422">
        <f>MONTH(datos_siembra[[#This Row],[Date]])</f>
        <v>9</v>
      </c>
      <c r="T422" t="str" cm="1">
        <f t="array" ref="T422">_xlfn.IFS(AND(N422&lt;= 22, S422=9), "SOWING",AND(N422&lt;= 28, S422=9), "COVERAGE",AND(N422&lt;= 30, S422=9), "FLUSH",AND(N422&lt;= 11, S422=10), "FLUSH",AND(N422&lt;= 21, S422=10), "PRODUCTION")</f>
        <v>SOWING</v>
      </c>
      <c r="U422">
        <f>HOUR(datos_siembra[[#This Row],[Hour]])</f>
        <v>9</v>
      </c>
      <c r="V422" cm="1">
        <f t="array" ref="V422">_xlfn.IFS(AND(N422&lt;= 22, S422=9), N422-7,AND(N422&lt;= 28, S422=9), N422-25,AND(N422&lt;= 30, S422=9), N422-28,AND(N422&lt;= 11, S422=10), N422+2,AND(N422&lt;= 21, S422=10), N422-11)</f>
        <v>4</v>
      </c>
    </row>
    <row r="423" spans="1:22" x14ac:dyDescent="0.35">
      <c r="A423" s="4">
        <v>45546</v>
      </c>
      <c r="B423" s="5">
        <v>0.41540509259259262</v>
      </c>
      <c r="C423">
        <v>82.5</v>
      </c>
      <c r="D423">
        <v>82.9</v>
      </c>
      <c r="E423">
        <v>87</v>
      </c>
      <c r="F423">
        <v>82.2</v>
      </c>
      <c r="G423">
        <v>0</v>
      </c>
      <c r="H423">
        <v>0</v>
      </c>
      <c r="I423">
        <v>0</v>
      </c>
      <c r="J423">
        <v>0</v>
      </c>
      <c r="K423">
        <v>64.2</v>
      </c>
      <c r="L423">
        <v>62.6</v>
      </c>
      <c r="M423">
        <v>83.72</v>
      </c>
      <c r="N423">
        <v>11</v>
      </c>
      <c r="O423">
        <v>1</v>
      </c>
      <c r="P423">
        <f>MOD(DAY(datos_siembra[[#This Row],[Date]]),7)</f>
        <v>4</v>
      </c>
      <c r="Q423" t="str">
        <f>CHOOSE(WEEKDAY(datos_siembra[[#This Row],[Date]],2),"L","M","X","J","V","S","D")</f>
        <v>X</v>
      </c>
      <c r="R423">
        <f>WEEKNUM(datos_siembra[[#This Row],[Date]],2)-WEEKNUM(DATE(YEAR(datos_siembra[[#This Row],[Date]]),MONTH(datos_siembra[[#This Row],[Date]]),1))+1</f>
        <v>2</v>
      </c>
      <c r="S423">
        <f>MONTH(datos_siembra[[#This Row],[Date]])</f>
        <v>9</v>
      </c>
      <c r="T423" t="str" cm="1">
        <f t="array" ref="T423">_xlfn.IFS(AND(N423&lt;= 22, S423=9), "SOWING",AND(N423&lt;= 28, S423=9), "COVERAGE",AND(N423&lt;= 30, S423=9), "FLUSH",AND(N423&lt;= 11, S423=10), "FLUSH",AND(N423&lt;= 21, S423=10), "PRODUCTION")</f>
        <v>SOWING</v>
      </c>
      <c r="U423">
        <f>HOUR(datos_siembra[[#This Row],[Hour]])</f>
        <v>9</v>
      </c>
      <c r="V423" cm="1">
        <f t="array" ref="V423">_xlfn.IFS(AND(N423&lt;= 22, S423=9), N423-7,AND(N423&lt;= 28, S423=9), N423-25,AND(N423&lt;= 30, S423=9), N423-28,AND(N423&lt;= 11, S423=10), N423+2,AND(N423&lt;= 21, S423=10), N423-11)</f>
        <v>4</v>
      </c>
    </row>
    <row r="424" spans="1:22" x14ac:dyDescent="0.35">
      <c r="A424" s="4">
        <v>45546</v>
      </c>
      <c r="B424" s="5">
        <v>0.42236111111111113</v>
      </c>
      <c r="C424">
        <v>82.4</v>
      </c>
      <c r="D424">
        <v>82.7</v>
      </c>
      <c r="E424">
        <v>86.9</v>
      </c>
      <c r="F424">
        <v>82.4</v>
      </c>
      <c r="G424">
        <v>0</v>
      </c>
      <c r="H424">
        <v>0</v>
      </c>
      <c r="I424">
        <v>0</v>
      </c>
      <c r="J424">
        <v>0</v>
      </c>
      <c r="K424">
        <v>64.3</v>
      </c>
      <c r="L424">
        <v>62.8</v>
      </c>
      <c r="M424">
        <v>83.58</v>
      </c>
      <c r="N424">
        <v>11</v>
      </c>
      <c r="O424">
        <v>1</v>
      </c>
      <c r="P424">
        <f>MOD(DAY(datos_siembra[[#This Row],[Date]]),7)</f>
        <v>4</v>
      </c>
      <c r="Q424" t="str">
        <f>CHOOSE(WEEKDAY(datos_siembra[[#This Row],[Date]],2),"L","M","X","J","V","S","D")</f>
        <v>X</v>
      </c>
      <c r="R424">
        <f>WEEKNUM(datos_siembra[[#This Row],[Date]],2)-WEEKNUM(DATE(YEAR(datos_siembra[[#This Row],[Date]]),MONTH(datos_siembra[[#This Row],[Date]]),1))+1</f>
        <v>2</v>
      </c>
      <c r="S424">
        <f>MONTH(datos_siembra[[#This Row],[Date]])</f>
        <v>9</v>
      </c>
      <c r="T424" t="str" cm="1">
        <f t="array" ref="T424">_xlfn.IFS(AND(N424&lt;= 22, S424=9), "SOWING",AND(N424&lt;= 28, S424=9), "COVERAGE",AND(N424&lt;= 30, S424=9), "FLUSH",AND(N424&lt;= 11, S424=10), "FLUSH",AND(N424&lt;= 21, S424=10), "PRODUCTION")</f>
        <v>SOWING</v>
      </c>
      <c r="U424">
        <f>HOUR(datos_siembra[[#This Row],[Hour]])</f>
        <v>10</v>
      </c>
      <c r="V424" cm="1">
        <f t="array" ref="V424">_xlfn.IFS(AND(N424&lt;= 22, S424=9), N424-7,AND(N424&lt;= 28, S424=9), N424-25,AND(N424&lt;= 30, S424=9), N424-28,AND(N424&lt;= 11, S424=10), N424+2,AND(N424&lt;= 21, S424=10), N424-11)</f>
        <v>4</v>
      </c>
    </row>
    <row r="425" spans="1:22" x14ac:dyDescent="0.35">
      <c r="A425" s="4">
        <v>45546</v>
      </c>
      <c r="B425" s="5">
        <v>0.42930555555555555</v>
      </c>
      <c r="C425">
        <v>82.4</v>
      </c>
      <c r="D425">
        <v>82.9</v>
      </c>
      <c r="E425">
        <v>87.1</v>
      </c>
      <c r="F425">
        <v>82.3</v>
      </c>
      <c r="G425">
        <v>0</v>
      </c>
      <c r="H425">
        <v>0</v>
      </c>
      <c r="I425">
        <v>0</v>
      </c>
      <c r="J425">
        <v>0</v>
      </c>
      <c r="K425">
        <v>64.400000000000006</v>
      </c>
      <c r="L425">
        <v>62.9</v>
      </c>
      <c r="M425">
        <v>83.67</v>
      </c>
      <c r="N425">
        <v>11</v>
      </c>
      <c r="O425">
        <v>1</v>
      </c>
      <c r="P425">
        <f>MOD(DAY(datos_siembra[[#This Row],[Date]]),7)</f>
        <v>4</v>
      </c>
      <c r="Q425" t="str">
        <f>CHOOSE(WEEKDAY(datos_siembra[[#This Row],[Date]],2),"L","M","X","J","V","S","D")</f>
        <v>X</v>
      </c>
      <c r="R425">
        <f>WEEKNUM(datos_siembra[[#This Row],[Date]],2)-WEEKNUM(DATE(YEAR(datos_siembra[[#This Row],[Date]]),MONTH(datos_siembra[[#This Row],[Date]]),1))+1</f>
        <v>2</v>
      </c>
      <c r="S425">
        <f>MONTH(datos_siembra[[#This Row],[Date]])</f>
        <v>9</v>
      </c>
      <c r="T425" t="str" cm="1">
        <f t="array" ref="T425">_xlfn.IFS(AND(N425&lt;= 22, S425=9), "SOWING",AND(N425&lt;= 28, S425=9), "COVERAGE",AND(N425&lt;= 30, S425=9), "FLUSH",AND(N425&lt;= 11, S425=10), "FLUSH",AND(N425&lt;= 21, S425=10), "PRODUCTION")</f>
        <v>SOWING</v>
      </c>
      <c r="U425">
        <f>HOUR(datos_siembra[[#This Row],[Hour]])</f>
        <v>10</v>
      </c>
      <c r="V425" cm="1">
        <f t="array" ref="V425">_xlfn.IFS(AND(N425&lt;= 22, S425=9), N425-7,AND(N425&lt;= 28, S425=9), N425-25,AND(N425&lt;= 30, S425=9), N425-28,AND(N425&lt;= 11, S425=10), N425+2,AND(N425&lt;= 21, S425=10), N425-11)</f>
        <v>4</v>
      </c>
    </row>
    <row r="426" spans="1:22" x14ac:dyDescent="0.35">
      <c r="A426" s="4">
        <v>45546</v>
      </c>
      <c r="B426" s="5">
        <v>0.43625000000000003</v>
      </c>
      <c r="C426">
        <v>82.5</v>
      </c>
      <c r="D426">
        <v>83</v>
      </c>
      <c r="E426">
        <v>87.6</v>
      </c>
      <c r="F426">
        <v>82</v>
      </c>
      <c r="G426">
        <v>0</v>
      </c>
      <c r="H426">
        <v>0</v>
      </c>
      <c r="I426">
        <v>0</v>
      </c>
      <c r="J426">
        <v>0</v>
      </c>
      <c r="K426">
        <v>64.2</v>
      </c>
      <c r="L426">
        <v>62.7</v>
      </c>
      <c r="M426">
        <v>83.89</v>
      </c>
      <c r="N426">
        <v>11</v>
      </c>
      <c r="O426">
        <v>1</v>
      </c>
      <c r="P426">
        <f>MOD(DAY(datos_siembra[[#This Row],[Date]]),7)</f>
        <v>4</v>
      </c>
      <c r="Q426" t="str">
        <f>CHOOSE(WEEKDAY(datos_siembra[[#This Row],[Date]],2),"L","M","X","J","V","S","D")</f>
        <v>X</v>
      </c>
      <c r="R426">
        <f>WEEKNUM(datos_siembra[[#This Row],[Date]],2)-WEEKNUM(DATE(YEAR(datos_siembra[[#This Row],[Date]]),MONTH(datos_siembra[[#This Row],[Date]]),1))+1</f>
        <v>2</v>
      </c>
      <c r="S426">
        <f>MONTH(datos_siembra[[#This Row],[Date]])</f>
        <v>9</v>
      </c>
      <c r="T426" t="str" cm="1">
        <f t="array" ref="T426">_xlfn.IFS(AND(N426&lt;= 22, S426=9), "SOWING",AND(N426&lt;= 28, S426=9), "COVERAGE",AND(N426&lt;= 30, S426=9), "FLUSH",AND(N426&lt;= 11, S426=10), "FLUSH",AND(N426&lt;= 21, S426=10), "PRODUCTION")</f>
        <v>SOWING</v>
      </c>
      <c r="U426">
        <f>HOUR(datos_siembra[[#This Row],[Hour]])</f>
        <v>10</v>
      </c>
      <c r="V426" cm="1">
        <f t="array" ref="V426">_xlfn.IFS(AND(N426&lt;= 22, S426=9), N426-7,AND(N426&lt;= 28, S426=9), N426-25,AND(N426&lt;= 30, S426=9), N426-28,AND(N426&lt;= 11, S426=10), N426+2,AND(N426&lt;= 21, S426=10), N426-11)</f>
        <v>4</v>
      </c>
    </row>
    <row r="427" spans="1:22" x14ac:dyDescent="0.35">
      <c r="A427" s="4">
        <v>45546</v>
      </c>
      <c r="B427" s="5">
        <v>0.44320601851851854</v>
      </c>
      <c r="C427">
        <v>82.5</v>
      </c>
      <c r="D427">
        <v>82.7</v>
      </c>
      <c r="E427">
        <v>87.8</v>
      </c>
      <c r="F427">
        <v>82.4</v>
      </c>
      <c r="G427">
        <v>0</v>
      </c>
      <c r="H427">
        <v>0</v>
      </c>
      <c r="I427">
        <v>0</v>
      </c>
      <c r="J427">
        <v>0</v>
      </c>
      <c r="K427">
        <v>64.099999999999994</v>
      </c>
      <c r="L427">
        <v>62.6</v>
      </c>
      <c r="M427">
        <v>83.89</v>
      </c>
      <c r="N427">
        <v>11</v>
      </c>
      <c r="O427">
        <v>1</v>
      </c>
      <c r="P427">
        <f>MOD(DAY(datos_siembra[[#This Row],[Date]]),7)</f>
        <v>4</v>
      </c>
      <c r="Q427" t="str">
        <f>CHOOSE(WEEKDAY(datos_siembra[[#This Row],[Date]],2),"L","M","X","J","V","S","D")</f>
        <v>X</v>
      </c>
      <c r="R427">
        <f>WEEKNUM(datos_siembra[[#This Row],[Date]],2)-WEEKNUM(DATE(YEAR(datos_siembra[[#This Row],[Date]]),MONTH(datos_siembra[[#This Row],[Date]]),1))+1</f>
        <v>2</v>
      </c>
      <c r="S427">
        <f>MONTH(datos_siembra[[#This Row],[Date]])</f>
        <v>9</v>
      </c>
      <c r="T427" t="str" cm="1">
        <f t="array" ref="T427">_xlfn.IFS(AND(N427&lt;= 22, S427=9), "SOWING",AND(N427&lt;= 28, S427=9), "COVERAGE",AND(N427&lt;= 30, S427=9), "FLUSH",AND(N427&lt;= 11, S427=10), "FLUSH",AND(N427&lt;= 21, S427=10), "PRODUCTION")</f>
        <v>SOWING</v>
      </c>
      <c r="U427">
        <f>HOUR(datos_siembra[[#This Row],[Hour]])</f>
        <v>10</v>
      </c>
      <c r="V427" cm="1">
        <f t="array" ref="V427">_xlfn.IFS(AND(N427&lt;= 22, S427=9), N427-7,AND(N427&lt;= 28, S427=9), N427-25,AND(N427&lt;= 30, S427=9), N427-28,AND(N427&lt;= 11, S427=10), N427+2,AND(N427&lt;= 21, S427=10), N427-11)</f>
        <v>4</v>
      </c>
    </row>
    <row r="428" spans="1:22" x14ac:dyDescent="0.35">
      <c r="A428" s="4">
        <v>45546</v>
      </c>
      <c r="B428" s="5">
        <v>0.45015046296296296</v>
      </c>
      <c r="C428">
        <v>82.5</v>
      </c>
      <c r="D428">
        <v>82.7</v>
      </c>
      <c r="E428">
        <v>87.9</v>
      </c>
      <c r="F428">
        <v>82.3</v>
      </c>
      <c r="G428">
        <v>0</v>
      </c>
      <c r="H428">
        <v>0</v>
      </c>
      <c r="I428">
        <v>0</v>
      </c>
      <c r="J428">
        <v>0</v>
      </c>
      <c r="K428">
        <v>64.099999999999994</v>
      </c>
      <c r="L428">
        <v>62.5</v>
      </c>
      <c r="M428">
        <v>83.86</v>
      </c>
      <c r="N428">
        <v>11</v>
      </c>
      <c r="O428">
        <v>1</v>
      </c>
      <c r="P428">
        <f>MOD(DAY(datos_siembra[[#This Row],[Date]]),7)</f>
        <v>4</v>
      </c>
      <c r="Q428" t="str">
        <f>CHOOSE(WEEKDAY(datos_siembra[[#This Row],[Date]],2),"L","M","X","J","V","S","D")</f>
        <v>X</v>
      </c>
      <c r="R428">
        <f>WEEKNUM(datos_siembra[[#This Row],[Date]],2)-WEEKNUM(DATE(YEAR(datos_siembra[[#This Row],[Date]]),MONTH(datos_siembra[[#This Row],[Date]]),1))+1</f>
        <v>2</v>
      </c>
      <c r="S428">
        <f>MONTH(datos_siembra[[#This Row],[Date]])</f>
        <v>9</v>
      </c>
      <c r="T428" t="str" cm="1">
        <f t="array" ref="T428">_xlfn.IFS(AND(N428&lt;= 22, S428=9), "SOWING",AND(N428&lt;= 28, S428=9), "COVERAGE",AND(N428&lt;= 30, S428=9), "FLUSH",AND(N428&lt;= 11, S428=10), "FLUSH",AND(N428&lt;= 21, S428=10), "PRODUCTION")</f>
        <v>SOWING</v>
      </c>
      <c r="U428">
        <f>HOUR(datos_siembra[[#This Row],[Hour]])</f>
        <v>10</v>
      </c>
      <c r="V428" cm="1">
        <f t="array" ref="V428">_xlfn.IFS(AND(N428&lt;= 22, S428=9), N428-7,AND(N428&lt;= 28, S428=9), N428-25,AND(N428&lt;= 30, S428=9), N428-28,AND(N428&lt;= 11, S428=10), N428+2,AND(N428&lt;= 21, S428=10), N428-11)</f>
        <v>4</v>
      </c>
    </row>
    <row r="429" spans="1:22" x14ac:dyDescent="0.35">
      <c r="A429" s="4">
        <v>45546</v>
      </c>
      <c r="B429" s="5">
        <v>0.45709490740740738</v>
      </c>
      <c r="C429">
        <v>82.4</v>
      </c>
      <c r="D429">
        <v>83</v>
      </c>
      <c r="E429">
        <v>87.9</v>
      </c>
      <c r="F429">
        <v>82.2</v>
      </c>
      <c r="G429">
        <v>0</v>
      </c>
      <c r="H429">
        <v>0</v>
      </c>
      <c r="I429">
        <v>0</v>
      </c>
      <c r="J429">
        <v>0</v>
      </c>
      <c r="K429">
        <v>63.9</v>
      </c>
      <c r="L429">
        <v>62.3</v>
      </c>
      <c r="M429">
        <v>83.86</v>
      </c>
      <c r="N429">
        <v>11</v>
      </c>
      <c r="O429">
        <v>1</v>
      </c>
      <c r="P429">
        <f>MOD(DAY(datos_siembra[[#This Row],[Date]]),7)</f>
        <v>4</v>
      </c>
      <c r="Q429" t="str">
        <f>CHOOSE(WEEKDAY(datos_siembra[[#This Row],[Date]],2),"L","M","X","J","V","S","D")</f>
        <v>X</v>
      </c>
      <c r="R429">
        <f>WEEKNUM(datos_siembra[[#This Row],[Date]],2)-WEEKNUM(DATE(YEAR(datos_siembra[[#This Row],[Date]]),MONTH(datos_siembra[[#This Row],[Date]]),1))+1</f>
        <v>2</v>
      </c>
      <c r="S429">
        <f>MONTH(datos_siembra[[#This Row],[Date]])</f>
        <v>9</v>
      </c>
      <c r="T429" t="str" cm="1">
        <f t="array" ref="T429">_xlfn.IFS(AND(N429&lt;= 22, S429=9), "SOWING",AND(N429&lt;= 28, S429=9), "COVERAGE",AND(N429&lt;= 30, S429=9), "FLUSH",AND(N429&lt;= 11, S429=10), "FLUSH",AND(N429&lt;= 21, S429=10), "PRODUCTION")</f>
        <v>SOWING</v>
      </c>
      <c r="U429">
        <f>HOUR(datos_siembra[[#This Row],[Hour]])</f>
        <v>10</v>
      </c>
      <c r="V429" cm="1">
        <f t="array" ref="V429">_xlfn.IFS(AND(N429&lt;= 22, S429=9), N429-7,AND(N429&lt;= 28, S429=9), N429-25,AND(N429&lt;= 30, S429=9), N429-28,AND(N429&lt;= 11, S429=10), N429+2,AND(N429&lt;= 21, S429=10), N429-11)</f>
        <v>4</v>
      </c>
    </row>
    <row r="430" spans="1:22" x14ac:dyDescent="0.35">
      <c r="A430" s="4">
        <v>45546</v>
      </c>
      <c r="B430" s="5">
        <v>0.46405092592592595</v>
      </c>
      <c r="C430">
        <v>82.5</v>
      </c>
      <c r="D430">
        <v>83.1</v>
      </c>
      <c r="E430">
        <v>88</v>
      </c>
      <c r="F430">
        <v>82.1</v>
      </c>
      <c r="G430">
        <v>0</v>
      </c>
      <c r="H430">
        <v>0</v>
      </c>
      <c r="I430">
        <v>0</v>
      </c>
      <c r="J430">
        <v>0</v>
      </c>
      <c r="K430">
        <v>64.099999999999994</v>
      </c>
      <c r="L430">
        <v>62.6</v>
      </c>
      <c r="M430">
        <v>83.92</v>
      </c>
      <c r="N430">
        <v>11</v>
      </c>
      <c r="O430">
        <v>1</v>
      </c>
      <c r="P430">
        <f>MOD(DAY(datos_siembra[[#This Row],[Date]]),7)</f>
        <v>4</v>
      </c>
      <c r="Q430" t="str">
        <f>CHOOSE(WEEKDAY(datos_siembra[[#This Row],[Date]],2),"L","M","X","J","V","S","D")</f>
        <v>X</v>
      </c>
      <c r="R430">
        <f>WEEKNUM(datos_siembra[[#This Row],[Date]],2)-WEEKNUM(DATE(YEAR(datos_siembra[[#This Row],[Date]]),MONTH(datos_siembra[[#This Row],[Date]]),1))+1</f>
        <v>2</v>
      </c>
      <c r="S430">
        <f>MONTH(datos_siembra[[#This Row],[Date]])</f>
        <v>9</v>
      </c>
      <c r="T430" t="str" cm="1">
        <f t="array" ref="T430">_xlfn.IFS(AND(N430&lt;= 22, S430=9), "SOWING",AND(N430&lt;= 28, S430=9), "COVERAGE",AND(N430&lt;= 30, S430=9), "FLUSH",AND(N430&lt;= 11, S430=10), "FLUSH",AND(N430&lt;= 21, S430=10), "PRODUCTION")</f>
        <v>SOWING</v>
      </c>
      <c r="U430">
        <f>HOUR(datos_siembra[[#This Row],[Hour]])</f>
        <v>11</v>
      </c>
      <c r="V430" cm="1">
        <f t="array" ref="V430">_xlfn.IFS(AND(N430&lt;= 22, S430=9), N430-7,AND(N430&lt;= 28, S430=9), N430-25,AND(N430&lt;= 30, S430=9), N430-28,AND(N430&lt;= 11, S430=10), N430+2,AND(N430&lt;= 21, S430=10), N430-11)</f>
        <v>4</v>
      </c>
    </row>
    <row r="431" spans="1:22" x14ac:dyDescent="0.35">
      <c r="A431" s="4">
        <v>45546</v>
      </c>
      <c r="B431" s="5">
        <v>0.47099537037037037</v>
      </c>
      <c r="C431">
        <v>82.3</v>
      </c>
      <c r="D431">
        <v>83.1</v>
      </c>
      <c r="E431">
        <v>87.9</v>
      </c>
      <c r="F431">
        <v>82.2</v>
      </c>
      <c r="G431">
        <v>0</v>
      </c>
      <c r="H431">
        <v>0</v>
      </c>
      <c r="I431">
        <v>0</v>
      </c>
      <c r="J431">
        <v>0</v>
      </c>
      <c r="K431">
        <v>64.400000000000006</v>
      </c>
      <c r="L431">
        <v>62.9</v>
      </c>
      <c r="M431">
        <v>83.97</v>
      </c>
      <c r="N431">
        <v>11</v>
      </c>
      <c r="O431">
        <v>1</v>
      </c>
      <c r="P431">
        <f>MOD(DAY(datos_siembra[[#This Row],[Date]]),7)</f>
        <v>4</v>
      </c>
      <c r="Q431" t="str">
        <f>CHOOSE(WEEKDAY(datos_siembra[[#This Row],[Date]],2),"L","M","X","J","V","S","D")</f>
        <v>X</v>
      </c>
      <c r="R431">
        <f>WEEKNUM(datos_siembra[[#This Row],[Date]],2)-WEEKNUM(DATE(YEAR(datos_siembra[[#This Row],[Date]]),MONTH(datos_siembra[[#This Row],[Date]]),1))+1</f>
        <v>2</v>
      </c>
      <c r="S431">
        <f>MONTH(datos_siembra[[#This Row],[Date]])</f>
        <v>9</v>
      </c>
      <c r="T431" t="str" cm="1">
        <f t="array" ref="T431">_xlfn.IFS(AND(N431&lt;= 22, S431=9), "SOWING",AND(N431&lt;= 28, S431=9), "COVERAGE",AND(N431&lt;= 30, S431=9), "FLUSH",AND(N431&lt;= 11, S431=10), "FLUSH",AND(N431&lt;= 21, S431=10), "PRODUCTION")</f>
        <v>SOWING</v>
      </c>
      <c r="U431">
        <f>HOUR(datos_siembra[[#This Row],[Hour]])</f>
        <v>11</v>
      </c>
      <c r="V431" cm="1">
        <f t="array" ref="V431">_xlfn.IFS(AND(N431&lt;= 22, S431=9), N431-7,AND(N431&lt;= 28, S431=9), N431-25,AND(N431&lt;= 30, S431=9), N431-28,AND(N431&lt;= 11, S431=10), N431+2,AND(N431&lt;= 21, S431=10), N431-11)</f>
        <v>4</v>
      </c>
    </row>
    <row r="432" spans="1:22" x14ac:dyDescent="0.35">
      <c r="A432" s="4">
        <v>45546</v>
      </c>
      <c r="B432" s="5">
        <v>0.47793981481481479</v>
      </c>
      <c r="C432">
        <v>82.4</v>
      </c>
      <c r="D432">
        <v>83.2</v>
      </c>
      <c r="E432">
        <v>87.9</v>
      </c>
      <c r="F432">
        <v>82.2</v>
      </c>
      <c r="G432">
        <v>0</v>
      </c>
      <c r="H432">
        <v>0</v>
      </c>
      <c r="I432">
        <v>0</v>
      </c>
      <c r="J432">
        <v>0</v>
      </c>
      <c r="K432">
        <v>64.5</v>
      </c>
      <c r="L432">
        <v>62.9</v>
      </c>
      <c r="M432">
        <v>83.92</v>
      </c>
      <c r="N432">
        <v>11</v>
      </c>
      <c r="O432">
        <v>1</v>
      </c>
      <c r="P432">
        <f>MOD(DAY(datos_siembra[[#This Row],[Date]]),7)</f>
        <v>4</v>
      </c>
      <c r="Q432" t="str">
        <f>CHOOSE(WEEKDAY(datos_siembra[[#This Row],[Date]],2),"L","M","X","J","V","S","D")</f>
        <v>X</v>
      </c>
      <c r="R432">
        <f>WEEKNUM(datos_siembra[[#This Row],[Date]],2)-WEEKNUM(DATE(YEAR(datos_siembra[[#This Row],[Date]]),MONTH(datos_siembra[[#This Row],[Date]]),1))+1</f>
        <v>2</v>
      </c>
      <c r="S432">
        <f>MONTH(datos_siembra[[#This Row],[Date]])</f>
        <v>9</v>
      </c>
      <c r="T432" t="str" cm="1">
        <f t="array" ref="T432">_xlfn.IFS(AND(N432&lt;= 22, S432=9), "SOWING",AND(N432&lt;= 28, S432=9), "COVERAGE",AND(N432&lt;= 30, S432=9), "FLUSH",AND(N432&lt;= 11, S432=10), "FLUSH",AND(N432&lt;= 21, S432=10), "PRODUCTION")</f>
        <v>SOWING</v>
      </c>
      <c r="U432">
        <f>HOUR(datos_siembra[[#This Row],[Hour]])</f>
        <v>11</v>
      </c>
      <c r="V432" cm="1">
        <f t="array" ref="V432">_xlfn.IFS(AND(N432&lt;= 22, S432=9), N432-7,AND(N432&lt;= 28, S432=9), N432-25,AND(N432&lt;= 30, S432=9), N432-28,AND(N432&lt;= 11, S432=10), N432+2,AND(N432&lt;= 21, S432=10), N432-11)</f>
        <v>4</v>
      </c>
    </row>
    <row r="433" spans="1:22" x14ac:dyDescent="0.35">
      <c r="A433" s="4">
        <v>45546</v>
      </c>
      <c r="B433" s="5">
        <v>0.48489583333333336</v>
      </c>
      <c r="C433">
        <v>82.5</v>
      </c>
      <c r="D433">
        <v>83.2</v>
      </c>
      <c r="E433">
        <v>87.8</v>
      </c>
      <c r="F433">
        <v>82.3</v>
      </c>
      <c r="G433">
        <v>0</v>
      </c>
      <c r="H433">
        <v>0</v>
      </c>
      <c r="I433">
        <v>0</v>
      </c>
      <c r="J433">
        <v>0</v>
      </c>
      <c r="K433">
        <v>64.400000000000006</v>
      </c>
      <c r="L433">
        <v>62.9</v>
      </c>
      <c r="M433">
        <v>83.89</v>
      </c>
      <c r="N433">
        <v>11</v>
      </c>
      <c r="O433">
        <v>1</v>
      </c>
      <c r="P433">
        <f>MOD(DAY(datos_siembra[[#This Row],[Date]]),7)</f>
        <v>4</v>
      </c>
      <c r="Q433" t="str">
        <f>CHOOSE(WEEKDAY(datos_siembra[[#This Row],[Date]],2),"L","M","X","J","V","S","D")</f>
        <v>X</v>
      </c>
      <c r="R433">
        <f>WEEKNUM(datos_siembra[[#This Row],[Date]],2)-WEEKNUM(DATE(YEAR(datos_siembra[[#This Row],[Date]]),MONTH(datos_siembra[[#This Row],[Date]]),1))+1</f>
        <v>2</v>
      </c>
      <c r="S433">
        <f>MONTH(datos_siembra[[#This Row],[Date]])</f>
        <v>9</v>
      </c>
      <c r="T433" t="str" cm="1">
        <f t="array" ref="T433">_xlfn.IFS(AND(N433&lt;= 22, S433=9), "SOWING",AND(N433&lt;= 28, S433=9), "COVERAGE",AND(N433&lt;= 30, S433=9), "FLUSH",AND(N433&lt;= 11, S433=10), "FLUSH",AND(N433&lt;= 21, S433=10), "PRODUCTION")</f>
        <v>SOWING</v>
      </c>
      <c r="U433">
        <f>HOUR(datos_siembra[[#This Row],[Hour]])</f>
        <v>11</v>
      </c>
      <c r="V433" cm="1">
        <f t="array" ref="V433">_xlfn.IFS(AND(N433&lt;= 22, S433=9), N433-7,AND(N433&lt;= 28, S433=9), N433-25,AND(N433&lt;= 30, S433=9), N433-28,AND(N433&lt;= 11, S433=10), N433+2,AND(N433&lt;= 21, S433=10), N433-11)</f>
        <v>4</v>
      </c>
    </row>
    <row r="434" spans="1:22" x14ac:dyDescent="0.35">
      <c r="A434" s="4">
        <v>45546</v>
      </c>
      <c r="B434" s="5">
        <v>0.49184027777777778</v>
      </c>
      <c r="C434">
        <v>82.4</v>
      </c>
      <c r="D434">
        <v>83.2</v>
      </c>
      <c r="E434">
        <v>87.7</v>
      </c>
      <c r="F434">
        <v>82.1</v>
      </c>
      <c r="G434">
        <v>0</v>
      </c>
      <c r="H434">
        <v>0</v>
      </c>
      <c r="I434">
        <v>0</v>
      </c>
      <c r="J434">
        <v>0</v>
      </c>
      <c r="K434">
        <v>64.3</v>
      </c>
      <c r="L434">
        <v>62.7</v>
      </c>
      <c r="M434">
        <v>83.89</v>
      </c>
      <c r="N434">
        <v>11</v>
      </c>
      <c r="O434">
        <v>1</v>
      </c>
      <c r="P434">
        <f>MOD(DAY(datos_siembra[[#This Row],[Date]]),7)</f>
        <v>4</v>
      </c>
      <c r="Q434" t="str">
        <f>CHOOSE(WEEKDAY(datos_siembra[[#This Row],[Date]],2),"L","M","X","J","V","S","D")</f>
        <v>X</v>
      </c>
      <c r="R434">
        <f>WEEKNUM(datos_siembra[[#This Row],[Date]],2)-WEEKNUM(DATE(YEAR(datos_siembra[[#This Row],[Date]]),MONTH(datos_siembra[[#This Row],[Date]]),1))+1</f>
        <v>2</v>
      </c>
      <c r="S434">
        <f>MONTH(datos_siembra[[#This Row],[Date]])</f>
        <v>9</v>
      </c>
      <c r="T434" t="str" cm="1">
        <f t="array" ref="T434">_xlfn.IFS(AND(N434&lt;= 22, S434=9), "SOWING",AND(N434&lt;= 28, S434=9), "COVERAGE",AND(N434&lt;= 30, S434=9), "FLUSH",AND(N434&lt;= 11, S434=10), "FLUSH",AND(N434&lt;= 21, S434=10), "PRODUCTION")</f>
        <v>SOWING</v>
      </c>
      <c r="U434">
        <f>HOUR(datos_siembra[[#This Row],[Hour]])</f>
        <v>11</v>
      </c>
      <c r="V434" cm="1">
        <f t="array" ref="V434">_xlfn.IFS(AND(N434&lt;= 22, S434=9), N434-7,AND(N434&lt;= 28, S434=9), N434-25,AND(N434&lt;= 30, S434=9), N434-28,AND(N434&lt;= 11, S434=10), N434+2,AND(N434&lt;= 21, S434=10), N434-11)</f>
        <v>4</v>
      </c>
    </row>
    <row r="435" spans="1:22" x14ac:dyDescent="0.35">
      <c r="A435" s="4">
        <v>45546</v>
      </c>
      <c r="B435" s="5">
        <v>0.4987847222222222</v>
      </c>
      <c r="C435">
        <v>82.6</v>
      </c>
      <c r="D435">
        <v>83.3</v>
      </c>
      <c r="E435">
        <v>87.8</v>
      </c>
      <c r="F435">
        <v>82.2</v>
      </c>
      <c r="G435">
        <v>0</v>
      </c>
      <c r="H435">
        <v>0</v>
      </c>
      <c r="I435">
        <v>0</v>
      </c>
      <c r="J435">
        <v>0</v>
      </c>
      <c r="K435">
        <v>64.099999999999994</v>
      </c>
      <c r="L435">
        <v>62.5</v>
      </c>
      <c r="M435">
        <v>83.98</v>
      </c>
      <c r="N435">
        <v>11</v>
      </c>
      <c r="O435">
        <v>1</v>
      </c>
      <c r="P435">
        <f>MOD(DAY(datos_siembra[[#This Row],[Date]]),7)</f>
        <v>4</v>
      </c>
      <c r="Q435" t="str">
        <f>CHOOSE(WEEKDAY(datos_siembra[[#This Row],[Date]],2),"L","M","X","J","V","S","D")</f>
        <v>X</v>
      </c>
      <c r="R435">
        <f>WEEKNUM(datos_siembra[[#This Row],[Date]],2)-WEEKNUM(DATE(YEAR(datos_siembra[[#This Row],[Date]]),MONTH(datos_siembra[[#This Row],[Date]]),1))+1</f>
        <v>2</v>
      </c>
      <c r="S435">
        <f>MONTH(datos_siembra[[#This Row],[Date]])</f>
        <v>9</v>
      </c>
      <c r="T435" t="str" cm="1">
        <f t="array" ref="T435">_xlfn.IFS(AND(N435&lt;= 22, S435=9), "SOWING",AND(N435&lt;= 28, S435=9), "COVERAGE",AND(N435&lt;= 30, S435=9), "FLUSH",AND(N435&lt;= 11, S435=10), "FLUSH",AND(N435&lt;= 21, S435=10), "PRODUCTION")</f>
        <v>SOWING</v>
      </c>
      <c r="U435">
        <f>HOUR(datos_siembra[[#This Row],[Hour]])</f>
        <v>11</v>
      </c>
      <c r="V435" cm="1">
        <f t="array" ref="V435">_xlfn.IFS(AND(N435&lt;= 22, S435=9), N435-7,AND(N435&lt;= 28, S435=9), N435-25,AND(N435&lt;= 30, S435=9), N435-28,AND(N435&lt;= 11, S435=10), N435+2,AND(N435&lt;= 21, S435=10), N435-11)</f>
        <v>4</v>
      </c>
    </row>
    <row r="436" spans="1:22" x14ac:dyDescent="0.35">
      <c r="A436" s="4">
        <v>45546</v>
      </c>
      <c r="B436" s="5">
        <v>0.50572916666666667</v>
      </c>
      <c r="C436">
        <v>82.4</v>
      </c>
      <c r="D436">
        <v>83.4</v>
      </c>
      <c r="E436">
        <v>87.8</v>
      </c>
      <c r="F436">
        <v>82.2</v>
      </c>
      <c r="G436">
        <v>0</v>
      </c>
      <c r="H436">
        <v>0</v>
      </c>
      <c r="I436">
        <v>0</v>
      </c>
      <c r="J436">
        <v>0</v>
      </c>
      <c r="K436">
        <v>64.2</v>
      </c>
      <c r="L436">
        <v>62.6</v>
      </c>
      <c r="M436">
        <v>84</v>
      </c>
      <c r="N436">
        <v>11</v>
      </c>
      <c r="O436">
        <v>1</v>
      </c>
      <c r="P436">
        <f>MOD(DAY(datos_siembra[[#This Row],[Date]]),7)</f>
        <v>4</v>
      </c>
      <c r="Q436" t="str">
        <f>CHOOSE(WEEKDAY(datos_siembra[[#This Row],[Date]],2),"L","M","X","J","V","S","D")</f>
        <v>X</v>
      </c>
      <c r="R436">
        <f>WEEKNUM(datos_siembra[[#This Row],[Date]],2)-WEEKNUM(DATE(YEAR(datos_siembra[[#This Row],[Date]]),MONTH(datos_siembra[[#This Row],[Date]]),1))+1</f>
        <v>2</v>
      </c>
      <c r="S436">
        <f>MONTH(datos_siembra[[#This Row],[Date]])</f>
        <v>9</v>
      </c>
      <c r="T436" t="str" cm="1">
        <f t="array" ref="T436">_xlfn.IFS(AND(N436&lt;= 22, S436=9), "SOWING",AND(N436&lt;= 28, S436=9), "COVERAGE",AND(N436&lt;= 30, S436=9), "FLUSH",AND(N436&lt;= 11, S436=10), "FLUSH",AND(N436&lt;= 21, S436=10), "PRODUCTION")</f>
        <v>SOWING</v>
      </c>
      <c r="U436">
        <f>HOUR(datos_siembra[[#This Row],[Hour]])</f>
        <v>12</v>
      </c>
      <c r="V436" cm="1">
        <f t="array" ref="V436">_xlfn.IFS(AND(N436&lt;= 22, S436=9), N436-7,AND(N436&lt;= 28, S436=9), N436-25,AND(N436&lt;= 30, S436=9), N436-28,AND(N436&lt;= 11, S436=10), N436+2,AND(N436&lt;= 21, S436=10), N436-11)</f>
        <v>4</v>
      </c>
    </row>
    <row r="437" spans="1:22" x14ac:dyDescent="0.35">
      <c r="A437" s="4">
        <v>45546</v>
      </c>
      <c r="B437" s="5">
        <v>0.51268518518518513</v>
      </c>
      <c r="C437">
        <v>82.4</v>
      </c>
      <c r="D437">
        <v>83.4</v>
      </c>
      <c r="E437">
        <v>87.8</v>
      </c>
      <c r="F437">
        <v>82.2</v>
      </c>
      <c r="G437">
        <v>0</v>
      </c>
      <c r="H437">
        <v>0</v>
      </c>
      <c r="I437">
        <v>0</v>
      </c>
      <c r="J437">
        <v>0</v>
      </c>
      <c r="K437">
        <v>63.9</v>
      </c>
      <c r="L437">
        <v>62.3</v>
      </c>
      <c r="M437">
        <v>83.95</v>
      </c>
      <c r="N437">
        <v>11</v>
      </c>
      <c r="O437">
        <v>1</v>
      </c>
      <c r="P437">
        <f>MOD(DAY(datos_siembra[[#This Row],[Date]]),7)</f>
        <v>4</v>
      </c>
      <c r="Q437" t="str">
        <f>CHOOSE(WEEKDAY(datos_siembra[[#This Row],[Date]],2),"L","M","X","J","V","S","D")</f>
        <v>X</v>
      </c>
      <c r="R437">
        <f>WEEKNUM(datos_siembra[[#This Row],[Date]],2)-WEEKNUM(DATE(YEAR(datos_siembra[[#This Row],[Date]]),MONTH(datos_siembra[[#This Row],[Date]]),1))+1</f>
        <v>2</v>
      </c>
      <c r="S437">
        <f>MONTH(datos_siembra[[#This Row],[Date]])</f>
        <v>9</v>
      </c>
      <c r="T437" t="str" cm="1">
        <f t="array" ref="T437">_xlfn.IFS(AND(N437&lt;= 22, S437=9), "SOWING",AND(N437&lt;= 28, S437=9), "COVERAGE",AND(N437&lt;= 30, S437=9), "FLUSH",AND(N437&lt;= 11, S437=10), "FLUSH",AND(N437&lt;= 21, S437=10), "PRODUCTION")</f>
        <v>SOWING</v>
      </c>
      <c r="U437">
        <f>HOUR(datos_siembra[[#This Row],[Hour]])</f>
        <v>12</v>
      </c>
      <c r="V437" cm="1">
        <f t="array" ref="V437">_xlfn.IFS(AND(N437&lt;= 22, S437=9), N437-7,AND(N437&lt;= 28, S437=9), N437-25,AND(N437&lt;= 30, S437=9), N437-28,AND(N437&lt;= 11, S437=10), N437+2,AND(N437&lt;= 21, S437=10), N437-11)</f>
        <v>4</v>
      </c>
    </row>
    <row r="438" spans="1:22" x14ac:dyDescent="0.35">
      <c r="A438" s="4">
        <v>45546</v>
      </c>
      <c r="B438" s="5">
        <v>0.51962962962962966</v>
      </c>
      <c r="C438">
        <v>82.3</v>
      </c>
      <c r="D438">
        <v>83.4</v>
      </c>
      <c r="E438">
        <v>87.7</v>
      </c>
      <c r="F438">
        <v>82.2</v>
      </c>
      <c r="G438">
        <v>0</v>
      </c>
      <c r="H438">
        <v>0</v>
      </c>
      <c r="I438">
        <v>0</v>
      </c>
      <c r="J438">
        <v>0</v>
      </c>
      <c r="K438">
        <v>63.8</v>
      </c>
      <c r="L438">
        <v>62</v>
      </c>
      <c r="M438">
        <v>83.89</v>
      </c>
      <c r="N438">
        <v>11</v>
      </c>
      <c r="O438">
        <v>1</v>
      </c>
      <c r="P438">
        <f>MOD(DAY(datos_siembra[[#This Row],[Date]]),7)</f>
        <v>4</v>
      </c>
      <c r="Q438" t="str">
        <f>CHOOSE(WEEKDAY(datos_siembra[[#This Row],[Date]],2),"L","M","X","J","V","S","D")</f>
        <v>X</v>
      </c>
      <c r="R438">
        <f>WEEKNUM(datos_siembra[[#This Row],[Date]],2)-WEEKNUM(DATE(YEAR(datos_siembra[[#This Row],[Date]]),MONTH(datos_siembra[[#This Row],[Date]]),1))+1</f>
        <v>2</v>
      </c>
      <c r="S438">
        <f>MONTH(datos_siembra[[#This Row],[Date]])</f>
        <v>9</v>
      </c>
      <c r="T438" t="str" cm="1">
        <f t="array" ref="T438">_xlfn.IFS(AND(N438&lt;= 22, S438=9), "SOWING",AND(N438&lt;= 28, S438=9), "COVERAGE",AND(N438&lt;= 30, S438=9), "FLUSH",AND(N438&lt;= 11, S438=10), "FLUSH",AND(N438&lt;= 21, S438=10), "PRODUCTION")</f>
        <v>SOWING</v>
      </c>
      <c r="U438">
        <f>HOUR(datos_siembra[[#This Row],[Hour]])</f>
        <v>12</v>
      </c>
      <c r="V438" cm="1">
        <f t="array" ref="V438">_xlfn.IFS(AND(N438&lt;= 22, S438=9), N438-7,AND(N438&lt;= 28, S438=9), N438-25,AND(N438&lt;= 30, S438=9), N438-28,AND(N438&lt;= 11, S438=10), N438+2,AND(N438&lt;= 21, S438=10), N438-11)</f>
        <v>4</v>
      </c>
    </row>
    <row r="439" spans="1:22" x14ac:dyDescent="0.35">
      <c r="A439" s="4">
        <v>45546</v>
      </c>
      <c r="B439" s="5">
        <v>0.52657407407407408</v>
      </c>
      <c r="C439">
        <v>82.6</v>
      </c>
      <c r="D439">
        <v>83.3</v>
      </c>
      <c r="E439">
        <v>87.7</v>
      </c>
      <c r="F439">
        <v>82.1</v>
      </c>
      <c r="G439">
        <v>0</v>
      </c>
      <c r="H439">
        <v>0</v>
      </c>
      <c r="I439">
        <v>0</v>
      </c>
      <c r="J439">
        <v>0</v>
      </c>
      <c r="K439">
        <v>63.5</v>
      </c>
      <c r="L439">
        <v>61.8</v>
      </c>
      <c r="M439">
        <v>83.86</v>
      </c>
      <c r="N439">
        <v>11</v>
      </c>
      <c r="O439">
        <v>1</v>
      </c>
      <c r="P439">
        <f>MOD(DAY(datos_siembra[[#This Row],[Date]]),7)</f>
        <v>4</v>
      </c>
      <c r="Q439" t="str">
        <f>CHOOSE(WEEKDAY(datos_siembra[[#This Row],[Date]],2),"L","M","X","J","V","S","D")</f>
        <v>X</v>
      </c>
      <c r="R439">
        <f>WEEKNUM(datos_siembra[[#This Row],[Date]],2)-WEEKNUM(DATE(YEAR(datos_siembra[[#This Row],[Date]]),MONTH(datos_siembra[[#This Row],[Date]]),1))+1</f>
        <v>2</v>
      </c>
      <c r="S439">
        <f>MONTH(datos_siembra[[#This Row],[Date]])</f>
        <v>9</v>
      </c>
      <c r="T439" t="str" cm="1">
        <f t="array" ref="T439">_xlfn.IFS(AND(N439&lt;= 22, S439=9), "SOWING",AND(N439&lt;= 28, S439=9), "COVERAGE",AND(N439&lt;= 30, S439=9), "FLUSH",AND(N439&lt;= 11, S439=10), "FLUSH",AND(N439&lt;= 21, S439=10), "PRODUCTION")</f>
        <v>SOWING</v>
      </c>
      <c r="U439">
        <f>HOUR(datos_siembra[[#This Row],[Hour]])</f>
        <v>12</v>
      </c>
      <c r="V439" cm="1">
        <f t="array" ref="V439">_xlfn.IFS(AND(N439&lt;= 22, S439=9), N439-7,AND(N439&lt;= 28, S439=9), N439-25,AND(N439&lt;= 30, S439=9), N439-28,AND(N439&lt;= 11, S439=10), N439+2,AND(N439&lt;= 21, S439=10), N439-11)</f>
        <v>4</v>
      </c>
    </row>
    <row r="440" spans="1:22" x14ac:dyDescent="0.35">
      <c r="A440" s="4">
        <v>45546</v>
      </c>
      <c r="B440" s="5">
        <v>0.53353009259259254</v>
      </c>
      <c r="C440">
        <v>82.4</v>
      </c>
      <c r="D440">
        <v>83.4</v>
      </c>
      <c r="E440">
        <v>87.6</v>
      </c>
      <c r="F440">
        <v>82.4</v>
      </c>
      <c r="G440">
        <v>0</v>
      </c>
      <c r="H440">
        <v>0</v>
      </c>
      <c r="I440">
        <v>0</v>
      </c>
      <c r="J440">
        <v>0</v>
      </c>
      <c r="K440">
        <v>63.5</v>
      </c>
      <c r="L440">
        <v>61.7</v>
      </c>
      <c r="M440">
        <v>83.89</v>
      </c>
      <c r="N440">
        <v>11</v>
      </c>
      <c r="O440">
        <v>1</v>
      </c>
      <c r="P440">
        <f>MOD(DAY(datos_siembra[[#This Row],[Date]]),7)</f>
        <v>4</v>
      </c>
      <c r="Q440" t="str">
        <f>CHOOSE(WEEKDAY(datos_siembra[[#This Row],[Date]],2),"L","M","X","J","V","S","D")</f>
        <v>X</v>
      </c>
      <c r="R440">
        <f>WEEKNUM(datos_siembra[[#This Row],[Date]],2)-WEEKNUM(DATE(YEAR(datos_siembra[[#This Row],[Date]]),MONTH(datos_siembra[[#This Row],[Date]]),1))+1</f>
        <v>2</v>
      </c>
      <c r="S440">
        <f>MONTH(datos_siembra[[#This Row],[Date]])</f>
        <v>9</v>
      </c>
      <c r="T440" t="str" cm="1">
        <f t="array" ref="T440">_xlfn.IFS(AND(N440&lt;= 22, S440=9), "SOWING",AND(N440&lt;= 28, S440=9), "COVERAGE",AND(N440&lt;= 30, S440=9), "FLUSH",AND(N440&lt;= 11, S440=10), "FLUSH",AND(N440&lt;= 21, S440=10), "PRODUCTION")</f>
        <v>SOWING</v>
      </c>
      <c r="U440">
        <f>HOUR(datos_siembra[[#This Row],[Hour]])</f>
        <v>12</v>
      </c>
      <c r="V440" cm="1">
        <f t="array" ref="V440">_xlfn.IFS(AND(N440&lt;= 22, S440=9), N440-7,AND(N440&lt;= 28, S440=9), N440-25,AND(N440&lt;= 30, S440=9), N440-28,AND(N440&lt;= 11, S440=10), N440+2,AND(N440&lt;= 21, S440=10), N440-11)</f>
        <v>4</v>
      </c>
    </row>
    <row r="441" spans="1:22" x14ac:dyDescent="0.35">
      <c r="A441" s="4">
        <v>45546</v>
      </c>
      <c r="B441" s="5">
        <v>0.54047453703703707</v>
      </c>
      <c r="C441">
        <v>82.4</v>
      </c>
      <c r="D441">
        <v>83.4</v>
      </c>
      <c r="E441">
        <v>87.6</v>
      </c>
      <c r="F441">
        <v>82.3</v>
      </c>
      <c r="G441">
        <v>0</v>
      </c>
      <c r="H441">
        <v>0</v>
      </c>
      <c r="I441">
        <v>0</v>
      </c>
      <c r="J441">
        <v>0</v>
      </c>
      <c r="K441">
        <v>63.4</v>
      </c>
      <c r="L441">
        <v>61.6</v>
      </c>
      <c r="M441">
        <v>83.92</v>
      </c>
      <c r="N441">
        <v>11</v>
      </c>
      <c r="O441">
        <v>1</v>
      </c>
      <c r="P441">
        <f>MOD(DAY(datos_siembra[[#This Row],[Date]]),7)</f>
        <v>4</v>
      </c>
      <c r="Q441" t="str">
        <f>CHOOSE(WEEKDAY(datos_siembra[[#This Row],[Date]],2),"L","M","X","J","V","S","D")</f>
        <v>X</v>
      </c>
      <c r="R441">
        <f>WEEKNUM(datos_siembra[[#This Row],[Date]],2)-WEEKNUM(DATE(YEAR(datos_siembra[[#This Row],[Date]]),MONTH(datos_siembra[[#This Row],[Date]]),1))+1</f>
        <v>2</v>
      </c>
      <c r="S441">
        <f>MONTH(datos_siembra[[#This Row],[Date]])</f>
        <v>9</v>
      </c>
      <c r="T441" t="str" cm="1">
        <f t="array" ref="T441">_xlfn.IFS(AND(N441&lt;= 22, S441=9), "SOWING",AND(N441&lt;= 28, S441=9), "COVERAGE",AND(N441&lt;= 30, S441=9), "FLUSH",AND(N441&lt;= 11, S441=10), "FLUSH",AND(N441&lt;= 21, S441=10), "PRODUCTION")</f>
        <v>SOWING</v>
      </c>
      <c r="U441">
        <f>HOUR(datos_siembra[[#This Row],[Hour]])</f>
        <v>12</v>
      </c>
      <c r="V441" cm="1">
        <f t="array" ref="V441">_xlfn.IFS(AND(N441&lt;= 22, S441=9), N441-7,AND(N441&lt;= 28, S441=9), N441-25,AND(N441&lt;= 30, S441=9), N441-28,AND(N441&lt;= 11, S441=10), N441+2,AND(N441&lt;= 21, S441=10), N441-11)</f>
        <v>4</v>
      </c>
    </row>
    <row r="442" spans="1:22" x14ac:dyDescent="0.35">
      <c r="A442" s="4">
        <v>45546</v>
      </c>
      <c r="B442" s="5">
        <v>0.54741898148148149</v>
      </c>
      <c r="C442">
        <v>82.4</v>
      </c>
      <c r="D442">
        <v>83.4</v>
      </c>
      <c r="E442">
        <v>87.6</v>
      </c>
      <c r="F442">
        <v>82.2</v>
      </c>
      <c r="G442">
        <v>0</v>
      </c>
      <c r="H442">
        <v>0</v>
      </c>
      <c r="I442">
        <v>0</v>
      </c>
      <c r="J442">
        <v>0</v>
      </c>
      <c r="K442">
        <v>63.3</v>
      </c>
      <c r="L442">
        <v>61.5</v>
      </c>
      <c r="M442">
        <v>83.86</v>
      </c>
      <c r="N442">
        <v>11</v>
      </c>
      <c r="O442">
        <v>1</v>
      </c>
      <c r="P442">
        <f>MOD(DAY(datos_siembra[[#This Row],[Date]]),7)</f>
        <v>4</v>
      </c>
      <c r="Q442" t="str">
        <f>CHOOSE(WEEKDAY(datos_siembra[[#This Row],[Date]],2),"L","M","X","J","V","S","D")</f>
        <v>X</v>
      </c>
      <c r="R442">
        <f>WEEKNUM(datos_siembra[[#This Row],[Date]],2)-WEEKNUM(DATE(YEAR(datos_siembra[[#This Row],[Date]]),MONTH(datos_siembra[[#This Row],[Date]]),1))+1</f>
        <v>2</v>
      </c>
      <c r="S442">
        <f>MONTH(datos_siembra[[#This Row],[Date]])</f>
        <v>9</v>
      </c>
      <c r="T442" t="str" cm="1">
        <f t="array" ref="T442">_xlfn.IFS(AND(N442&lt;= 22, S442=9), "SOWING",AND(N442&lt;= 28, S442=9), "COVERAGE",AND(N442&lt;= 30, S442=9), "FLUSH",AND(N442&lt;= 11, S442=10), "FLUSH",AND(N442&lt;= 21, S442=10), "PRODUCTION")</f>
        <v>SOWING</v>
      </c>
      <c r="U442">
        <f>HOUR(datos_siembra[[#This Row],[Hour]])</f>
        <v>13</v>
      </c>
      <c r="V442" cm="1">
        <f t="array" ref="V442">_xlfn.IFS(AND(N442&lt;= 22, S442=9), N442-7,AND(N442&lt;= 28, S442=9), N442-25,AND(N442&lt;= 30, S442=9), N442-28,AND(N442&lt;= 11, S442=10), N442+2,AND(N442&lt;= 21, S442=10), N442-11)</f>
        <v>4</v>
      </c>
    </row>
    <row r="443" spans="1:22" x14ac:dyDescent="0.35">
      <c r="A443" s="4">
        <v>45546</v>
      </c>
      <c r="B443" s="5">
        <v>0.55436342592592591</v>
      </c>
      <c r="C443">
        <v>82.4</v>
      </c>
      <c r="D443">
        <v>83.5</v>
      </c>
      <c r="E443">
        <v>87.6</v>
      </c>
      <c r="F443">
        <v>82.3</v>
      </c>
      <c r="G443">
        <v>0</v>
      </c>
      <c r="H443">
        <v>0</v>
      </c>
      <c r="I443">
        <v>0</v>
      </c>
      <c r="J443">
        <v>0</v>
      </c>
      <c r="K443">
        <v>63.3</v>
      </c>
      <c r="L443">
        <v>61.5</v>
      </c>
      <c r="M443">
        <v>83.89</v>
      </c>
      <c r="N443">
        <v>11</v>
      </c>
      <c r="O443">
        <v>1</v>
      </c>
      <c r="P443">
        <f>MOD(DAY(datos_siembra[[#This Row],[Date]]),7)</f>
        <v>4</v>
      </c>
      <c r="Q443" t="str">
        <f>CHOOSE(WEEKDAY(datos_siembra[[#This Row],[Date]],2),"L","M","X","J","V","S","D")</f>
        <v>X</v>
      </c>
      <c r="R443">
        <f>WEEKNUM(datos_siembra[[#This Row],[Date]],2)-WEEKNUM(DATE(YEAR(datos_siembra[[#This Row],[Date]]),MONTH(datos_siembra[[#This Row],[Date]]),1))+1</f>
        <v>2</v>
      </c>
      <c r="S443">
        <f>MONTH(datos_siembra[[#This Row],[Date]])</f>
        <v>9</v>
      </c>
      <c r="T443" t="str" cm="1">
        <f t="array" ref="T443">_xlfn.IFS(AND(N443&lt;= 22, S443=9), "SOWING",AND(N443&lt;= 28, S443=9), "COVERAGE",AND(N443&lt;= 30, S443=9), "FLUSH",AND(N443&lt;= 11, S443=10), "FLUSH",AND(N443&lt;= 21, S443=10), "PRODUCTION")</f>
        <v>SOWING</v>
      </c>
      <c r="U443">
        <f>HOUR(datos_siembra[[#This Row],[Hour]])</f>
        <v>13</v>
      </c>
      <c r="V443" cm="1">
        <f t="array" ref="V443">_xlfn.IFS(AND(N443&lt;= 22, S443=9), N443-7,AND(N443&lt;= 28, S443=9), N443-25,AND(N443&lt;= 30, S443=9), N443-28,AND(N443&lt;= 11, S443=10), N443+2,AND(N443&lt;= 21, S443=10), N443-11)</f>
        <v>4</v>
      </c>
    </row>
    <row r="444" spans="1:22" x14ac:dyDescent="0.35">
      <c r="A444" s="4">
        <v>45546</v>
      </c>
      <c r="B444" s="5">
        <v>0.56131944444444448</v>
      </c>
      <c r="C444">
        <v>82.4</v>
      </c>
      <c r="D444">
        <v>83.4</v>
      </c>
      <c r="E444">
        <v>87.6</v>
      </c>
      <c r="F444">
        <v>82.1</v>
      </c>
      <c r="G444">
        <v>0</v>
      </c>
      <c r="H444">
        <v>0</v>
      </c>
      <c r="I444">
        <v>0</v>
      </c>
      <c r="J444">
        <v>0</v>
      </c>
      <c r="K444">
        <v>63.2</v>
      </c>
      <c r="L444">
        <v>61.4</v>
      </c>
      <c r="M444">
        <v>83.92</v>
      </c>
      <c r="N444">
        <v>11</v>
      </c>
      <c r="O444">
        <v>1</v>
      </c>
      <c r="P444">
        <f>MOD(DAY(datos_siembra[[#This Row],[Date]]),7)</f>
        <v>4</v>
      </c>
      <c r="Q444" t="str">
        <f>CHOOSE(WEEKDAY(datos_siembra[[#This Row],[Date]],2),"L","M","X","J","V","S","D")</f>
        <v>X</v>
      </c>
      <c r="R444">
        <f>WEEKNUM(datos_siembra[[#This Row],[Date]],2)-WEEKNUM(DATE(YEAR(datos_siembra[[#This Row],[Date]]),MONTH(datos_siembra[[#This Row],[Date]]),1))+1</f>
        <v>2</v>
      </c>
      <c r="S444">
        <f>MONTH(datos_siembra[[#This Row],[Date]])</f>
        <v>9</v>
      </c>
      <c r="T444" t="str" cm="1">
        <f t="array" ref="T444">_xlfn.IFS(AND(N444&lt;= 22, S444=9), "SOWING",AND(N444&lt;= 28, S444=9), "COVERAGE",AND(N444&lt;= 30, S444=9), "FLUSH",AND(N444&lt;= 11, S444=10), "FLUSH",AND(N444&lt;= 21, S444=10), "PRODUCTION")</f>
        <v>SOWING</v>
      </c>
      <c r="U444">
        <f>HOUR(datos_siembra[[#This Row],[Hour]])</f>
        <v>13</v>
      </c>
      <c r="V444" cm="1">
        <f t="array" ref="V444">_xlfn.IFS(AND(N444&lt;= 22, S444=9), N444-7,AND(N444&lt;= 28, S444=9), N444-25,AND(N444&lt;= 30, S444=9), N444-28,AND(N444&lt;= 11, S444=10), N444+2,AND(N444&lt;= 21, S444=10), N444-11)</f>
        <v>4</v>
      </c>
    </row>
    <row r="445" spans="1:22" x14ac:dyDescent="0.35">
      <c r="A445" s="4">
        <v>45546</v>
      </c>
      <c r="B445" s="5">
        <v>0.5682638888888889</v>
      </c>
      <c r="C445">
        <v>82.4</v>
      </c>
      <c r="D445">
        <v>83.4</v>
      </c>
      <c r="E445">
        <v>87.7</v>
      </c>
      <c r="F445">
        <v>82.2</v>
      </c>
      <c r="G445">
        <v>0</v>
      </c>
      <c r="H445">
        <v>0</v>
      </c>
      <c r="I445">
        <v>0</v>
      </c>
      <c r="J445">
        <v>0</v>
      </c>
      <c r="K445">
        <v>63</v>
      </c>
      <c r="L445">
        <v>61.2</v>
      </c>
      <c r="M445">
        <v>83.86</v>
      </c>
      <c r="N445">
        <v>11</v>
      </c>
      <c r="O445">
        <v>1</v>
      </c>
      <c r="P445">
        <f>MOD(DAY(datos_siembra[[#This Row],[Date]]),7)</f>
        <v>4</v>
      </c>
      <c r="Q445" t="str">
        <f>CHOOSE(WEEKDAY(datos_siembra[[#This Row],[Date]],2),"L","M","X","J","V","S","D")</f>
        <v>X</v>
      </c>
      <c r="R445">
        <f>WEEKNUM(datos_siembra[[#This Row],[Date]],2)-WEEKNUM(DATE(YEAR(datos_siembra[[#This Row],[Date]]),MONTH(datos_siembra[[#This Row],[Date]]),1))+1</f>
        <v>2</v>
      </c>
      <c r="S445">
        <f>MONTH(datos_siembra[[#This Row],[Date]])</f>
        <v>9</v>
      </c>
      <c r="T445" t="str" cm="1">
        <f t="array" ref="T445">_xlfn.IFS(AND(N445&lt;= 22, S445=9), "SOWING",AND(N445&lt;= 28, S445=9), "COVERAGE",AND(N445&lt;= 30, S445=9), "FLUSH",AND(N445&lt;= 11, S445=10), "FLUSH",AND(N445&lt;= 21, S445=10), "PRODUCTION")</f>
        <v>SOWING</v>
      </c>
      <c r="U445">
        <f>HOUR(datos_siembra[[#This Row],[Hour]])</f>
        <v>13</v>
      </c>
      <c r="V445" cm="1">
        <f t="array" ref="V445">_xlfn.IFS(AND(N445&lt;= 22, S445=9), N445-7,AND(N445&lt;= 28, S445=9), N445-25,AND(N445&lt;= 30, S445=9), N445-28,AND(N445&lt;= 11, S445=10), N445+2,AND(N445&lt;= 21, S445=10), N445-11)</f>
        <v>4</v>
      </c>
    </row>
    <row r="446" spans="1:22" x14ac:dyDescent="0.35">
      <c r="A446" s="4">
        <v>45546</v>
      </c>
      <c r="B446" s="5">
        <v>0.57520833333333332</v>
      </c>
      <c r="C446">
        <v>82.4</v>
      </c>
      <c r="D446">
        <v>83.3</v>
      </c>
      <c r="E446">
        <v>87.5</v>
      </c>
      <c r="F446">
        <v>82.1</v>
      </c>
      <c r="G446">
        <v>0</v>
      </c>
      <c r="H446">
        <v>0</v>
      </c>
      <c r="I446">
        <v>0</v>
      </c>
      <c r="J446">
        <v>0</v>
      </c>
      <c r="K446">
        <v>62.9</v>
      </c>
      <c r="L446">
        <v>61.1</v>
      </c>
      <c r="M446">
        <v>83.86</v>
      </c>
      <c r="N446">
        <v>11</v>
      </c>
      <c r="O446">
        <v>1</v>
      </c>
      <c r="P446">
        <f>MOD(DAY(datos_siembra[[#This Row],[Date]]),7)</f>
        <v>4</v>
      </c>
      <c r="Q446" t="str">
        <f>CHOOSE(WEEKDAY(datos_siembra[[#This Row],[Date]],2),"L","M","X","J","V","S","D")</f>
        <v>X</v>
      </c>
      <c r="R446">
        <f>WEEKNUM(datos_siembra[[#This Row],[Date]],2)-WEEKNUM(DATE(YEAR(datos_siembra[[#This Row],[Date]]),MONTH(datos_siembra[[#This Row],[Date]]),1))+1</f>
        <v>2</v>
      </c>
      <c r="S446">
        <f>MONTH(datos_siembra[[#This Row],[Date]])</f>
        <v>9</v>
      </c>
      <c r="T446" t="str" cm="1">
        <f t="array" ref="T446">_xlfn.IFS(AND(N446&lt;= 22, S446=9), "SOWING",AND(N446&lt;= 28, S446=9), "COVERAGE",AND(N446&lt;= 30, S446=9), "FLUSH",AND(N446&lt;= 11, S446=10), "FLUSH",AND(N446&lt;= 21, S446=10), "PRODUCTION")</f>
        <v>SOWING</v>
      </c>
      <c r="U446">
        <f>HOUR(datos_siembra[[#This Row],[Hour]])</f>
        <v>13</v>
      </c>
      <c r="V446" cm="1">
        <f t="array" ref="V446">_xlfn.IFS(AND(N446&lt;= 22, S446=9), N446-7,AND(N446&lt;= 28, S446=9), N446-25,AND(N446&lt;= 30, S446=9), N446-28,AND(N446&lt;= 11, S446=10), N446+2,AND(N446&lt;= 21, S446=10), N446-11)</f>
        <v>4</v>
      </c>
    </row>
    <row r="447" spans="1:22" x14ac:dyDescent="0.35">
      <c r="A447" s="4">
        <v>45546</v>
      </c>
      <c r="B447" s="5">
        <v>0.58216435185185189</v>
      </c>
      <c r="C447">
        <v>82.5</v>
      </c>
      <c r="D447">
        <v>83.4</v>
      </c>
      <c r="E447">
        <v>87.6</v>
      </c>
      <c r="F447">
        <v>82.3</v>
      </c>
      <c r="G447">
        <v>0</v>
      </c>
      <c r="H447">
        <v>0</v>
      </c>
      <c r="I447">
        <v>0</v>
      </c>
      <c r="J447">
        <v>0</v>
      </c>
      <c r="K447">
        <v>62.8</v>
      </c>
      <c r="L447">
        <v>61</v>
      </c>
      <c r="M447">
        <v>83.92</v>
      </c>
      <c r="N447">
        <v>11</v>
      </c>
      <c r="O447">
        <v>1</v>
      </c>
      <c r="P447">
        <f>MOD(DAY(datos_siembra[[#This Row],[Date]]),7)</f>
        <v>4</v>
      </c>
      <c r="Q447" t="str">
        <f>CHOOSE(WEEKDAY(datos_siembra[[#This Row],[Date]],2),"L","M","X","J","V","S","D")</f>
        <v>X</v>
      </c>
      <c r="R447">
        <f>WEEKNUM(datos_siembra[[#This Row],[Date]],2)-WEEKNUM(DATE(YEAR(datos_siembra[[#This Row],[Date]]),MONTH(datos_siembra[[#This Row],[Date]]),1))+1</f>
        <v>2</v>
      </c>
      <c r="S447">
        <f>MONTH(datos_siembra[[#This Row],[Date]])</f>
        <v>9</v>
      </c>
      <c r="T447" t="str" cm="1">
        <f t="array" ref="T447">_xlfn.IFS(AND(N447&lt;= 22, S447=9), "SOWING",AND(N447&lt;= 28, S447=9), "COVERAGE",AND(N447&lt;= 30, S447=9), "FLUSH",AND(N447&lt;= 11, S447=10), "FLUSH",AND(N447&lt;= 21, S447=10), "PRODUCTION")</f>
        <v>SOWING</v>
      </c>
      <c r="U447">
        <f>HOUR(datos_siembra[[#This Row],[Hour]])</f>
        <v>13</v>
      </c>
      <c r="V447" cm="1">
        <f t="array" ref="V447">_xlfn.IFS(AND(N447&lt;= 22, S447=9), N447-7,AND(N447&lt;= 28, S447=9), N447-25,AND(N447&lt;= 30, S447=9), N447-28,AND(N447&lt;= 11, S447=10), N447+2,AND(N447&lt;= 21, S447=10), N447-11)</f>
        <v>4</v>
      </c>
    </row>
    <row r="448" spans="1:22" x14ac:dyDescent="0.35">
      <c r="A448" s="4">
        <v>45546</v>
      </c>
      <c r="B448" s="5">
        <v>0.58910879629629631</v>
      </c>
      <c r="C448">
        <v>82.4</v>
      </c>
      <c r="D448">
        <v>83.3</v>
      </c>
      <c r="E448">
        <v>87.5</v>
      </c>
      <c r="F448">
        <v>82.2</v>
      </c>
      <c r="G448">
        <v>0</v>
      </c>
      <c r="H448">
        <v>0</v>
      </c>
      <c r="I448">
        <v>0</v>
      </c>
      <c r="J448">
        <v>0</v>
      </c>
      <c r="K448">
        <v>62.7</v>
      </c>
      <c r="L448">
        <v>60.8</v>
      </c>
      <c r="M448">
        <v>83.89</v>
      </c>
      <c r="N448">
        <v>11</v>
      </c>
      <c r="O448">
        <v>1</v>
      </c>
      <c r="P448">
        <f>MOD(DAY(datos_siembra[[#This Row],[Date]]),7)</f>
        <v>4</v>
      </c>
      <c r="Q448" t="str">
        <f>CHOOSE(WEEKDAY(datos_siembra[[#This Row],[Date]],2),"L","M","X","J","V","S","D")</f>
        <v>X</v>
      </c>
      <c r="R448">
        <f>WEEKNUM(datos_siembra[[#This Row],[Date]],2)-WEEKNUM(DATE(YEAR(datos_siembra[[#This Row],[Date]]),MONTH(datos_siembra[[#This Row],[Date]]),1))+1</f>
        <v>2</v>
      </c>
      <c r="S448">
        <f>MONTH(datos_siembra[[#This Row],[Date]])</f>
        <v>9</v>
      </c>
      <c r="T448" t="str" cm="1">
        <f t="array" ref="T448">_xlfn.IFS(AND(N448&lt;= 22, S448=9), "SOWING",AND(N448&lt;= 28, S448=9), "COVERAGE",AND(N448&lt;= 30, S448=9), "FLUSH",AND(N448&lt;= 11, S448=10), "FLUSH",AND(N448&lt;= 21, S448=10), "PRODUCTION")</f>
        <v>SOWING</v>
      </c>
      <c r="U448">
        <f>HOUR(datos_siembra[[#This Row],[Hour]])</f>
        <v>14</v>
      </c>
      <c r="V448" cm="1">
        <f t="array" ref="V448">_xlfn.IFS(AND(N448&lt;= 22, S448=9), N448-7,AND(N448&lt;= 28, S448=9), N448-25,AND(N448&lt;= 30, S448=9), N448-28,AND(N448&lt;= 11, S448=10), N448+2,AND(N448&lt;= 21, S448=10), N448-11)</f>
        <v>4</v>
      </c>
    </row>
    <row r="449" spans="1:22" x14ac:dyDescent="0.35">
      <c r="A449" s="4">
        <v>45546</v>
      </c>
      <c r="B449" s="5">
        <v>0.59605324074074073</v>
      </c>
      <c r="C449">
        <v>82.3</v>
      </c>
      <c r="D449">
        <v>83.4</v>
      </c>
      <c r="E449">
        <v>87.7</v>
      </c>
      <c r="F449">
        <v>82.3</v>
      </c>
      <c r="G449">
        <v>0</v>
      </c>
      <c r="H449">
        <v>0</v>
      </c>
      <c r="I449">
        <v>0</v>
      </c>
      <c r="J449">
        <v>0</v>
      </c>
      <c r="K449">
        <v>62.6</v>
      </c>
      <c r="L449">
        <v>60.8</v>
      </c>
      <c r="M449">
        <v>83.83</v>
      </c>
      <c r="N449">
        <v>11</v>
      </c>
      <c r="O449">
        <v>1</v>
      </c>
      <c r="P449">
        <f>MOD(DAY(datos_siembra[[#This Row],[Date]]),7)</f>
        <v>4</v>
      </c>
      <c r="Q449" t="str">
        <f>CHOOSE(WEEKDAY(datos_siembra[[#This Row],[Date]],2),"L","M","X","J","V","S","D")</f>
        <v>X</v>
      </c>
      <c r="R449">
        <f>WEEKNUM(datos_siembra[[#This Row],[Date]],2)-WEEKNUM(DATE(YEAR(datos_siembra[[#This Row],[Date]]),MONTH(datos_siembra[[#This Row],[Date]]),1))+1</f>
        <v>2</v>
      </c>
      <c r="S449">
        <f>MONTH(datos_siembra[[#This Row],[Date]])</f>
        <v>9</v>
      </c>
      <c r="T449" t="str" cm="1">
        <f t="array" ref="T449">_xlfn.IFS(AND(N449&lt;= 22, S449=9), "SOWING",AND(N449&lt;= 28, S449=9), "COVERAGE",AND(N449&lt;= 30, S449=9), "FLUSH",AND(N449&lt;= 11, S449=10), "FLUSH",AND(N449&lt;= 21, S449=10), "PRODUCTION")</f>
        <v>SOWING</v>
      </c>
      <c r="U449">
        <f>HOUR(datos_siembra[[#This Row],[Hour]])</f>
        <v>14</v>
      </c>
      <c r="V449" cm="1">
        <f t="array" ref="V449">_xlfn.IFS(AND(N449&lt;= 22, S449=9), N449-7,AND(N449&lt;= 28, S449=9), N449-25,AND(N449&lt;= 30, S449=9), N449-28,AND(N449&lt;= 11, S449=10), N449+2,AND(N449&lt;= 21, S449=10), N449-11)</f>
        <v>4</v>
      </c>
    </row>
    <row r="450" spans="1:22" x14ac:dyDescent="0.35">
      <c r="A450" s="4">
        <v>45546</v>
      </c>
      <c r="B450" s="5">
        <v>0.6030092592592593</v>
      </c>
      <c r="C450">
        <v>82.5</v>
      </c>
      <c r="D450">
        <v>83.3</v>
      </c>
      <c r="E450">
        <v>87.5</v>
      </c>
      <c r="F450">
        <v>82.4</v>
      </c>
      <c r="G450">
        <v>0</v>
      </c>
      <c r="H450">
        <v>0</v>
      </c>
      <c r="I450">
        <v>0</v>
      </c>
      <c r="J450">
        <v>0</v>
      </c>
      <c r="K450">
        <v>63</v>
      </c>
      <c r="L450">
        <v>61.6</v>
      </c>
      <c r="M450">
        <v>83.92</v>
      </c>
      <c r="N450">
        <v>11</v>
      </c>
      <c r="O450">
        <v>1</v>
      </c>
      <c r="P450">
        <f>MOD(DAY(datos_siembra[[#This Row],[Date]]),7)</f>
        <v>4</v>
      </c>
      <c r="Q450" t="str">
        <f>CHOOSE(WEEKDAY(datos_siembra[[#This Row],[Date]],2),"L","M","X","J","V","S","D")</f>
        <v>X</v>
      </c>
      <c r="R450">
        <f>WEEKNUM(datos_siembra[[#This Row],[Date]],2)-WEEKNUM(DATE(YEAR(datos_siembra[[#This Row],[Date]]),MONTH(datos_siembra[[#This Row],[Date]]),1))+1</f>
        <v>2</v>
      </c>
      <c r="S450">
        <f>MONTH(datos_siembra[[#This Row],[Date]])</f>
        <v>9</v>
      </c>
      <c r="T450" t="str" cm="1">
        <f t="array" ref="T450">_xlfn.IFS(AND(N450&lt;= 22, S450=9), "SOWING",AND(N450&lt;= 28, S450=9), "COVERAGE",AND(N450&lt;= 30, S450=9), "FLUSH",AND(N450&lt;= 11, S450=10), "FLUSH",AND(N450&lt;= 21, S450=10), "PRODUCTION")</f>
        <v>SOWING</v>
      </c>
      <c r="U450">
        <f>HOUR(datos_siembra[[#This Row],[Hour]])</f>
        <v>14</v>
      </c>
      <c r="V450" cm="1">
        <f t="array" ref="V450">_xlfn.IFS(AND(N450&lt;= 22, S450=9), N450-7,AND(N450&lt;= 28, S450=9), N450-25,AND(N450&lt;= 30, S450=9), N450-28,AND(N450&lt;= 11, S450=10), N450+2,AND(N450&lt;= 21, S450=10), N450-11)</f>
        <v>4</v>
      </c>
    </row>
    <row r="451" spans="1:22" x14ac:dyDescent="0.35">
      <c r="A451" s="4">
        <v>45546</v>
      </c>
      <c r="B451" s="5">
        <v>0.60995370370370372</v>
      </c>
      <c r="C451">
        <v>82.4</v>
      </c>
      <c r="D451">
        <v>83.4</v>
      </c>
      <c r="E451">
        <v>87.5</v>
      </c>
      <c r="F451">
        <v>82.6</v>
      </c>
      <c r="G451">
        <v>0</v>
      </c>
      <c r="H451">
        <v>0</v>
      </c>
      <c r="I451">
        <v>0</v>
      </c>
      <c r="J451">
        <v>0</v>
      </c>
      <c r="K451">
        <v>63.8</v>
      </c>
      <c r="L451">
        <v>62.5</v>
      </c>
      <c r="M451">
        <v>83.97</v>
      </c>
      <c r="N451">
        <v>11</v>
      </c>
      <c r="O451">
        <v>1</v>
      </c>
      <c r="P451">
        <f>MOD(DAY(datos_siembra[[#This Row],[Date]]),7)</f>
        <v>4</v>
      </c>
      <c r="Q451" t="str">
        <f>CHOOSE(WEEKDAY(datos_siembra[[#This Row],[Date]],2),"L","M","X","J","V","S","D")</f>
        <v>X</v>
      </c>
      <c r="R451">
        <f>WEEKNUM(datos_siembra[[#This Row],[Date]],2)-WEEKNUM(DATE(YEAR(datos_siembra[[#This Row],[Date]]),MONTH(datos_siembra[[#This Row],[Date]]),1))+1</f>
        <v>2</v>
      </c>
      <c r="S451">
        <f>MONTH(datos_siembra[[#This Row],[Date]])</f>
        <v>9</v>
      </c>
      <c r="T451" t="str" cm="1">
        <f t="array" ref="T451">_xlfn.IFS(AND(N451&lt;= 22, S451=9), "SOWING",AND(N451&lt;= 28, S451=9), "COVERAGE",AND(N451&lt;= 30, S451=9), "FLUSH",AND(N451&lt;= 11, S451=10), "FLUSH",AND(N451&lt;= 21, S451=10), "PRODUCTION")</f>
        <v>SOWING</v>
      </c>
      <c r="U451">
        <f>HOUR(datos_siembra[[#This Row],[Hour]])</f>
        <v>14</v>
      </c>
      <c r="V451" cm="1">
        <f t="array" ref="V451">_xlfn.IFS(AND(N451&lt;= 22, S451=9), N451-7,AND(N451&lt;= 28, S451=9), N451-25,AND(N451&lt;= 30, S451=9), N451-28,AND(N451&lt;= 11, S451=10), N451+2,AND(N451&lt;= 21, S451=10), N451-11)</f>
        <v>4</v>
      </c>
    </row>
    <row r="452" spans="1:22" x14ac:dyDescent="0.35">
      <c r="A452" s="4">
        <v>45546</v>
      </c>
      <c r="B452" s="5">
        <v>0.61689814814814814</v>
      </c>
      <c r="C452">
        <v>82.5</v>
      </c>
      <c r="D452">
        <v>83.3</v>
      </c>
      <c r="E452">
        <v>87.5</v>
      </c>
      <c r="F452">
        <v>83.1</v>
      </c>
      <c r="G452">
        <v>0</v>
      </c>
      <c r="H452">
        <v>0</v>
      </c>
      <c r="I452">
        <v>0</v>
      </c>
      <c r="J452">
        <v>0</v>
      </c>
      <c r="K452">
        <v>64.400000000000006</v>
      </c>
      <c r="L452">
        <v>63</v>
      </c>
      <c r="M452">
        <v>83.92</v>
      </c>
      <c r="N452">
        <v>11</v>
      </c>
      <c r="O452">
        <v>1</v>
      </c>
      <c r="P452">
        <f>MOD(DAY(datos_siembra[[#This Row],[Date]]),7)</f>
        <v>4</v>
      </c>
      <c r="Q452" t="str">
        <f>CHOOSE(WEEKDAY(datos_siembra[[#This Row],[Date]],2),"L","M","X","J","V","S","D")</f>
        <v>X</v>
      </c>
      <c r="R452">
        <f>WEEKNUM(datos_siembra[[#This Row],[Date]],2)-WEEKNUM(DATE(YEAR(datos_siembra[[#This Row],[Date]]),MONTH(datos_siembra[[#This Row],[Date]]),1))+1</f>
        <v>2</v>
      </c>
      <c r="S452">
        <f>MONTH(datos_siembra[[#This Row],[Date]])</f>
        <v>9</v>
      </c>
      <c r="T452" t="str" cm="1">
        <f t="array" ref="T452">_xlfn.IFS(AND(N452&lt;= 22, S452=9), "SOWING",AND(N452&lt;= 28, S452=9), "COVERAGE",AND(N452&lt;= 30, S452=9), "FLUSH",AND(N452&lt;= 11, S452=10), "FLUSH",AND(N452&lt;= 21, S452=10), "PRODUCTION")</f>
        <v>SOWING</v>
      </c>
      <c r="U452">
        <f>HOUR(datos_siembra[[#This Row],[Hour]])</f>
        <v>14</v>
      </c>
      <c r="V452" cm="1">
        <f t="array" ref="V452">_xlfn.IFS(AND(N452&lt;= 22, S452=9), N452-7,AND(N452&lt;= 28, S452=9), N452-25,AND(N452&lt;= 30, S452=9), N452-28,AND(N452&lt;= 11, S452=10), N452+2,AND(N452&lt;= 21, S452=10), N452-11)</f>
        <v>4</v>
      </c>
    </row>
    <row r="453" spans="1:22" x14ac:dyDescent="0.35">
      <c r="A453" s="4">
        <v>45546</v>
      </c>
      <c r="B453" s="5">
        <v>0.62384259259259256</v>
      </c>
      <c r="C453">
        <v>82.5</v>
      </c>
      <c r="D453">
        <v>83.3</v>
      </c>
      <c r="E453">
        <v>87.6</v>
      </c>
      <c r="F453">
        <v>83.1</v>
      </c>
      <c r="G453">
        <v>0</v>
      </c>
      <c r="H453">
        <v>0</v>
      </c>
      <c r="I453">
        <v>0</v>
      </c>
      <c r="J453">
        <v>0</v>
      </c>
      <c r="K453">
        <v>63.3</v>
      </c>
      <c r="L453">
        <v>61.5</v>
      </c>
      <c r="M453">
        <v>84.03</v>
      </c>
      <c r="N453">
        <v>11</v>
      </c>
      <c r="O453">
        <v>1</v>
      </c>
      <c r="P453">
        <f>MOD(DAY(datos_siembra[[#This Row],[Date]]),7)</f>
        <v>4</v>
      </c>
      <c r="Q453" t="str">
        <f>CHOOSE(WEEKDAY(datos_siembra[[#This Row],[Date]],2),"L","M","X","J","V","S","D")</f>
        <v>X</v>
      </c>
      <c r="R453">
        <f>WEEKNUM(datos_siembra[[#This Row],[Date]],2)-WEEKNUM(DATE(YEAR(datos_siembra[[#This Row],[Date]]),MONTH(datos_siembra[[#This Row],[Date]]),1))+1</f>
        <v>2</v>
      </c>
      <c r="S453">
        <f>MONTH(datos_siembra[[#This Row],[Date]])</f>
        <v>9</v>
      </c>
      <c r="T453" t="str" cm="1">
        <f t="array" ref="T453">_xlfn.IFS(AND(N453&lt;= 22, S453=9), "SOWING",AND(N453&lt;= 28, S453=9), "COVERAGE",AND(N453&lt;= 30, S453=9), "FLUSH",AND(N453&lt;= 11, S453=10), "FLUSH",AND(N453&lt;= 21, S453=10), "PRODUCTION")</f>
        <v>SOWING</v>
      </c>
      <c r="U453">
        <f>HOUR(datos_siembra[[#This Row],[Hour]])</f>
        <v>14</v>
      </c>
      <c r="V453" cm="1">
        <f t="array" ref="V453">_xlfn.IFS(AND(N453&lt;= 22, S453=9), N453-7,AND(N453&lt;= 28, S453=9), N453-25,AND(N453&lt;= 30, S453=9), N453-28,AND(N453&lt;= 11, S453=10), N453+2,AND(N453&lt;= 21, S453=10), N453-11)</f>
        <v>4</v>
      </c>
    </row>
    <row r="454" spans="1:22" x14ac:dyDescent="0.35">
      <c r="A454" s="4">
        <v>45546</v>
      </c>
      <c r="B454" s="5">
        <v>0.63079861111111113</v>
      </c>
      <c r="C454">
        <v>82.3</v>
      </c>
      <c r="D454">
        <v>83.2</v>
      </c>
      <c r="E454">
        <v>87.5</v>
      </c>
      <c r="F454">
        <v>83.2</v>
      </c>
      <c r="G454">
        <v>0</v>
      </c>
      <c r="H454">
        <v>0</v>
      </c>
      <c r="I454">
        <v>0</v>
      </c>
      <c r="J454">
        <v>0</v>
      </c>
      <c r="K454">
        <v>62.7</v>
      </c>
      <c r="L454">
        <v>60.9</v>
      </c>
      <c r="M454">
        <v>84.03</v>
      </c>
      <c r="N454">
        <v>11</v>
      </c>
      <c r="O454">
        <v>1</v>
      </c>
      <c r="P454">
        <f>MOD(DAY(datos_siembra[[#This Row],[Date]]),7)</f>
        <v>4</v>
      </c>
      <c r="Q454" t="str">
        <f>CHOOSE(WEEKDAY(datos_siembra[[#This Row],[Date]],2),"L","M","X","J","V","S","D")</f>
        <v>X</v>
      </c>
      <c r="R454">
        <f>WEEKNUM(datos_siembra[[#This Row],[Date]],2)-WEEKNUM(DATE(YEAR(datos_siembra[[#This Row],[Date]]),MONTH(datos_siembra[[#This Row],[Date]]),1))+1</f>
        <v>2</v>
      </c>
      <c r="S454">
        <f>MONTH(datos_siembra[[#This Row],[Date]])</f>
        <v>9</v>
      </c>
      <c r="T454" t="str" cm="1">
        <f t="array" ref="T454">_xlfn.IFS(AND(N454&lt;= 22, S454=9), "SOWING",AND(N454&lt;= 28, S454=9), "COVERAGE",AND(N454&lt;= 30, S454=9), "FLUSH",AND(N454&lt;= 11, S454=10), "FLUSH",AND(N454&lt;= 21, S454=10), "PRODUCTION")</f>
        <v>SOWING</v>
      </c>
      <c r="U454">
        <f>HOUR(datos_siembra[[#This Row],[Hour]])</f>
        <v>15</v>
      </c>
      <c r="V454" cm="1">
        <f t="array" ref="V454">_xlfn.IFS(AND(N454&lt;= 22, S454=9), N454-7,AND(N454&lt;= 28, S454=9), N454-25,AND(N454&lt;= 30, S454=9), N454-28,AND(N454&lt;= 11, S454=10), N454+2,AND(N454&lt;= 21, S454=10), N454-11)</f>
        <v>4</v>
      </c>
    </row>
    <row r="455" spans="1:22" x14ac:dyDescent="0.35">
      <c r="A455" s="4">
        <v>45546</v>
      </c>
      <c r="B455" s="5">
        <v>0.63774305555555555</v>
      </c>
      <c r="C455">
        <v>82.4</v>
      </c>
      <c r="D455">
        <v>83.2</v>
      </c>
      <c r="E455">
        <v>87.4</v>
      </c>
      <c r="F455">
        <v>83.2</v>
      </c>
      <c r="G455">
        <v>0</v>
      </c>
      <c r="H455">
        <v>0</v>
      </c>
      <c r="I455">
        <v>0</v>
      </c>
      <c r="J455">
        <v>0</v>
      </c>
      <c r="K455">
        <v>62.6</v>
      </c>
      <c r="L455">
        <v>60.8</v>
      </c>
      <c r="M455">
        <v>83.95</v>
      </c>
      <c r="N455">
        <v>11</v>
      </c>
      <c r="O455">
        <v>1</v>
      </c>
      <c r="P455">
        <f>MOD(DAY(datos_siembra[[#This Row],[Date]]),7)</f>
        <v>4</v>
      </c>
      <c r="Q455" t="str">
        <f>CHOOSE(WEEKDAY(datos_siembra[[#This Row],[Date]],2),"L","M","X","J","V","S","D")</f>
        <v>X</v>
      </c>
      <c r="R455">
        <f>WEEKNUM(datos_siembra[[#This Row],[Date]],2)-WEEKNUM(DATE(YEAR(datos_siembra[[#This Row],[Date]]),MONTH(datos_siembra[[#This Row],[Date]]),1))+1</f>
        <v>2</v>
      </c>
      <c r="S455">
        <f>MONTH(datos_siembra[[#This Row],[Date]])</f>
        <v>9</v>
      </c>
      <c r="T455" t="str" cm="1">
        <f t="array" ref="T455">_xlfn.IFS(AND(N455&lt;= 22, S455=9), "SOWING",AND(N455&lt;= 28, S455=9), "COVERAGE",AND(N455&lt;= 30, S455=9), "FLUSH",AND(N455&lt;= 11, S455=10), "FLUSH",AND(N455&lt;= 21, S455=10), "PRODUCTION")</f>
        <v>SOWING</v>
      </c>
      <c r="U455">
        <f>HOUR(datos_siembra[[#This Row],[Hour]])</f>
        <v>15</v>
      </c>
      <c r="V455" cm="1">
        <f t="array" ref="V455">_xlfn.IFS(AND(N455&lt;= 22, S455=9), N455-7,AND(N455&lt;= 28, S455=9), N455-25,AND(N455&lt;= 30, S455=9), N455-28,AND(N455&lt;= 11, S455=10), N455+2,AND(N455&lt;= 21, S455=10), N455-11)</f>
        <v>4</v>
      </c>
    </row>
    <row r="456" spans="1:22" x14ac:dyDescent="0.35">
      <c r="A456" s="4">
        <v>45546</v>
      </c>
      <c r="B456" s="5">
        <v>0.64468749999999997</v>
      </c>
      <c r="C456">
        <v>82.4</v>
      </c>
      <c r="D456">
        <v>83.2</v>
      </c>
      <c r="E456">
        <v>87.5</v>
      </c>
      <c r="F456">
        <v>83.1</v>
      </c>
      <c r="G456">
        <v>0</v>
      </c>
      <c r="H456">
        <v>0</v>
      </c>
      <c r="I456">
        <v>0</v>
      </c>
      <c r="J456">
        <v>0</v>
      </c>
      <c r="K456">
        <v>63.4</v>
      </c>
      <c r="L456">
        <v>61.5</v>
      </c>
      <c r="M456">
        <v>84.09</v>
      </c>
      <c r="N456">
        <v>11</v>
      </c>
      <c r="O456">
        <v>1</v>
      </c>
      <c r="P456">
        <f>MOD(DAY(datos_siembra[[#This Row],[Date]]),7)</f>
        <v>4</v>
      </c>
      <c r="Q456" t="str">
        <f>CHOOSE(WEEKDAY(datos_siembra[[#This Row],[Date]],2),"L","M","X","J","V","S","D")</f>
        <v>X</v>
      </c>
      <c r="R456">
        <f>WEEKNUM(datos_siembra[[#This Row],[Date]],2)-WEEKNUM(DATE(YEAR(datos_siembra[[#This Row],[Date]]),MONTH(datos_siembra[[#This Row],[Date]]),1))+1</f>
        <v>2</v>
      </c>
      <c r="S456">
        <f>MONTH(datos_siembra[[#This Row],[Date]])</f>
        <v>9</v>
      </c>
      <c r="T456" t="str" cm="1">
        <f t="array" ref="T456">_xlfn.IFS(AND(N456&lt;= 22, S456=9), "SOWING",AND(N456&lt;= 28, S456=9), "COVERAGE",AND(N456&lt;= 30, S456=9), "FLUSH",AND(N456&lt;= 11, S456=10), "FLUSH",AND(N456&lt;= 21, S456=10), "PRODUCTION")</f>
        <v>SOWING</v>
      </c>
      <c r="U456">
        <f>HOUR(datos_siembra[[#This Row],[Hour]])</f>
        <v>15</v>
      </c>
      <c r="V456" cm="1">
        <f t="array" ref="V456">_xlfn.IFS(AND(N456&lt;= 22, S456=9), N456-7,AND(N456&lt;= 28, S456=9), N456-25,AND(N456&lt;= 30, S456=9), N456-28,AND(N456&lt;= 11, S456=10), N456+2,AND(N456&lt;= 21, S456=10), N456-11)</f>
        <v>4</v>
      </c>
    </row>
    <row r="457" spans="1:22" x14ac:dyDescent="0.35">
      <c r="A457" s="4">
        <v>45546</v>
      </c>
      <c r="B457" s="5">
        <v>0.6516319444444445</v>
      </c>
      <c r="C457">
        <v>82.4</v>
      </c>
      <c r="D457">
        <v>83.2</v>
      </c>
      <c r="E457">
        <v>87.2</v>
      </c>
      <c r="F457">
        <v>83.1</v>
      </c>
      <c r="G457">
        <v>0</v>
      </c>
      <c r="H457">
        <v>0</v>
      </c>
      <c r="I457">
        <v>0</v>
      </c>
      <c r="J457">
        <v>0</v>
      </c>
      <c r="K457">
        <v>62.7</v>
      </c>
      <c r="L457">
        <v>60.7</v>
      </c>
      <c r="M457">
        <v>84.03</v>
      </c>
      <c r="N457">
        <v>11</v>
      </c>
      <c r="O457">
        <v>1</v>
      </c>
      <c r="P457">
        <f>MOD(DAY(datos_siembra[[#This Row],[Date]]),7)</f>
        <v>4</v>
      </c>
      <c r="Q457" t="str">
        <f>CHOOSE(WEEKDAY(datos_siembra[[#This Row],[Date]],2),"L","M","X","J","V","S","D")</f>
        <v>X</v>
      </c>
      <c r="R457">
        <f>WEEKNUM(datos_siembra[[#This Row],[Date]],2)-WEEKNUM(DATE(YEAR(datos_siembra[[#This Row],[Date]]),MONTH(datos_siembra[[#This Row],[Date]]),1))+1</f>
        <v>2</v>
      </c>
      <c r="S457">
        <f>MONTH(datos_siembra[[#This Row],[Date]])</f>
        <v>9</v>
      </c>
      <c r="T457" t="str" cm="1">
        <f t="array" ref="T457">_xlfn.IFS(AND(N457&lt;= 22, S457=9), "SOWING",AND(N457&lt;= 28, S457=9), "COVERAGE",AND(N457&lt;= 30, S457=9), "FLUSH",AND(N457&lt;= 11, S457=10), "FLUSH",AND(N457&lt;= 21, S457=10), "PRODUCTION")</f>
        <v>SOWING</v>
      </c>
      <c r="U457">
        <f>HOUR(datos_siembra[[#This Row],[Hour]])</f>
        <v>15</v>
      </c>
      <c r="V457" cm="1">
        <f t="array" ref="V457">_xlfn.IFS(AND(N457&lt;= 22, S457=9), N457-7,AND(N457&lt;= 28, S457=9), N457-25,AND(N457&lt;= 30, S457=9), N457-28,AND(N457&lt;= 11, S457=10), N457+2,AND(N457&lt;= 21, S457=10), N457-11)</f>
        <v>4</v>
      </c>
    </row>
    <row r="458" spans="1:22" x14ac:dyDescent="0.35">
      <c r="A458" s="4">
        <v>45546</v>
      </c>
      <c r="B458" s="5">
        <v>0.65858796296296296</v>
      </c>
      <c r="C458">
        <v>82.4</v>
      </c>
      <c r="D458">
        <v>83.3</v>
      </c>
      <c r="E458">
        <v>87.4</v>
      </c>
      <c r="F458">
        <v>83</v>
      </c>
      <c r="G458">
        <v>0</v>
      </c>
      <c r="H458">
        <v>0</v>
      </c>
      <c r="I458">
        <v>0</v>
      </c>
      <c r="J458">
        <v>0</v>
      </c>
      <c r="K458">
        <v>62.5</v>
      </c>
      <c r="L458">
        <v>60.3</v>
      </c>
      <c r="M458">
        <v>83.95</v>
      </c>
      <c r="N458">
        <v>11</v>
      </c>
      <c r="O458">
        <v>1</v>
      </c>
      <c r="P458">
        <f>MOD(DAY(datos_siembra[[#This Row],[Date]]),7)</f>
        <v>4</v>
      </c>
      <c r="Q458" t="str">
        <f>CHOOSE(WEEKDAY(datos_siembra[[#This Row],[Date]],2),"L","M","X","J","V","S","D")</f>
        <v>X</v>
      </c>
      <c r="R458">
        <f>WEEKNUM(datos_siembra[[#This Row],[Date]],2)-WEEKNUM(DATE(YEAR(datos_siembra[[#This Row],[Date]]),MONTH(datos_siembra[[#This Row],[Date]]),1))+1</f>
        <v>2</v>
      </c>
      <c r="S458">
        <f>MONTH(datos_siembra[[#This Row],[Date]])</f>
        <v>9</v>
      </c>
      <c r="T458" t="str" cm="1">
        <f t="array" ref="T458">_xlfn.IFS(AND(N458&lt;= 22, S458=9), "SOWING",AND(N458&lt;= 28, S458=9), "COVERAGE",AND(N458&lt;= 30, S458=9), "FLUSH",AND(N458&lt;= 11, S458=10), "FLUSH",AND(N458&lt;= 21, S458=10), "PRODUCTION")</f>
        <v>SOWING</v>
      </c>
      <c r="U458">
        <f>HOUR(datos_siembra[[#This Row],[Hour]])</f>
        <v>15</v>
      </c>
      <c r="V458" cm="1">
        <f t="array" ref="V458">_xlfn.IFS(AND(N458&lt;= 22, S458=9), N458-7,AND(N458&lt;= 28, S458=9), N458-25,AND(N458&lt;= 30, S458=9), N458-28,AND(N458&lt;= 11, S458=10), N458+2,AND(N458&lt;= 21, S458=10), N458-11)</f>
        <v>4</v>
      </c>
    </row>
    <row r="459" spans="1:22" x14ac:dyDescent="0.35">
      <c r="A459" s="4">
        <v>45546</v>
      </c>
      <c r="B459" s="5">
        <v>0.66553240740740738</v>
      </c>
      <c r="C459">
        <v>82.4</v>
      </c>
      <c r="D459">
        <v>83.2</v>
      </c>
      <c r="E459">
        <v>87.4</v>
      </c>
      <c r="F459">
        <v>83</v>
      </c>
      <c r="G459">
        <v>0</v>
      </c>
      <c r="H459">
        <v>0</v>
      </c>
      <c r="I459">
        <v>0</v>
      </c>
      <c r="J459">
        <v>0</v>
      </c>
      <c r="K459">
        <v>63.3</v>
      </c>
      <c r="L459">
        <v>61.6</v>
      </c>
      <c r="M459">
        <v>84</v>
      </c>
      <c r="N459">
        <v>11</v>
      </c>
      <c r="O459">
        <v>1</v>
      </c>
      <c r="P459">
        <f>MOD(DAY(datos_siembra[[#This Row],[Date]]),7)</f>
        <v>4</v>
      </c>
      <c r="Q459" t="str">
        <f>CHOOSE(WEEKDAY(datos_siembra[[#This Row],[Date]],2),"L","M","X","J","V","S","D")</f>
        <v>X</v>
      </c>
      <c r="R459">
        <f>WEEKNUM(datos_siembra[[#This Row],[Date]],2)-WEEKNUM(DATE(YEAR(datos_siembra[[#This Row],[Date]]),MONTH(datos_siembra[[#This Row],[Date]]),1))+1</f>
        <v>2</v>
      </c>
      <c r="S459">
        <f>MONTH(datos_siembra[[#This Row],[Date]])</f>
        <v>9</v>
      </c>
      <c r="T459" t="str" cm="1">
        <f t="array" ref="T459">_xlfn.IFS(AND(N459&lt;= 22, S459=9), "SOWING",AND(N459&lt;= 28, S459=9), "COVERAGE",AND(N459&lt;= 30, S459=9), "FLUSH",AND(N459&lt;= 11, S459=10), "FLUSH",AND(N459&lt;= 21, S459=10), "PRODUCTION")</f>
        <v>SOWING</v>
      </c>
      <c r="U459">
        <f>HOUR(datos_siembra[[#This Row],[Hour]])</f>
        <v>15</v>
      </c>
      <c r="V459" cm="1">
        <f t="array" ref="V459">_xlfn.IFS(AND(N459&lt;= 22, S459=9), N459-7,AND(N459&lt;= 28, S459=9), N459-25,AND(N459&lt;= 30, S459=9), N459-28,AND(N459&lt;= 11, S459=10), N459+2,AND(N459&lt;= 21, S459=10), N459-11)</f>
        <v>4</v>
      </c>
    </row>
    <row r="460" spans="1:22" x14ac:dyDescent="0.35">
      <c r="A460" s="4">
        <v>45546</v>
      </c>
      <c r="B460" s="5">
        <v>0.6724768518518518</v>
      </c>
      <c r="C460">
        <v>82.3</v>
      </c>
      <c r="D460">
        <v>83.1</v>
      </c>
      <c r="E460">
        <v>87.4</v>
      </c>
      <c r="F460">
        <v>83.1</v>
      </c>
      <c r="G460">
        <v>0</v>
      </c>
      <c r="H460">
        <v>0</v>
      </c>
      <c r="I460">
        <v>0</v>
      </c>
      <c r="J460">
        <v>0</v>
      </c>
      <c r="K460">
        <v>63.5</v>
      </c>
      <c r="L460">
        <v>61.9</v>
      </c>
      <c r="M460">
        <v>84.03</v>
      </c>
      <c r="N460">
        <v>11</v>
      </c>
      <c r="O460">
        <v>1</v>
      </c>
      <c r="P460">
        <f>MOD(DAY(datos_siembra[[#This Row],[Date]]),7)</f>
        <v>4</v>
      </c>
      <c r="Q460" t="str">
        <f>CHOOSE(WEEKDAY(datos_siembra[[#This Row],[Date]],2),"L","M","X","J","V","S","D")</f>
        <v>X</v>
      </c>
      <c r="R460">
        <f>WEEKNUM(datos_siembra[[#This Row],[Date]],2)-WEEKNUM(DATE(YEAR(datos_siembra[[#This Row],[Date]]),MONTH(datos_siembra[[#This Row],[Date]]),1))+1</f>
        <v>2</v>
      </c>
      <c r="S460">
        <f>MONTH(datos_siembra[[#This Row],[Date]])</f>
        <v>9</v>
      </c>
      <c r="T460" t="str" cm="1">
        <f t="array" ref="T460">_xlfn.IFS(AND(N460&lt;= 22, S460=9), "SOWING",AND(N460&lt;= 28, S460=9), "COVERAGE",AND(N460&lt;= 30, S460=9), "FLUSH",AND(N460&lt;= 11, S460=10), "FLUSH",AND(N460&lt;= 21, S460=10), "PRODUCTION")</f>
        <v>SOWING</v>
      </c>
      <c r="U460">
        <f>HOUR(datos_siembra[[#This Row],[Hour]])</f>
        <v>16</v>
      </c>
      <c r="V460" cm="1">
        <f t="array" ref="V460">_xlfn.IFS(AND(N460&lt;= 22, S460=9), N460-7,AND(N460&lt;= 28, S460=9), N460-25,AND(N460&lt;= 30, S460=9), N460-28,AND(N460&lt;= 11, S460=10), N460+2,AND(N460&lt;= 21, S460=10), N460-11)</f>
        <v>4</v>
      </c>
    </row>
    <row r="461" spans="1:22" x14ac:dyDescent="0.35">
      <c r="A461" s="4">
        <v>45546</v>
      </c>
      <c r="B461" s="5">
        <v>0.67943287037037037</v>
      </c>
      <c r="C461">
        <v>82.4</v>
      </c>
      <c r="D461">
        <v>83.2</v>
      </c>
      <c r="E461">
        <v>87.4</v>
      </c>
      <c r="F461">
        <v>82.7</v>
      </c>
      <c r="G461">
        <v>0</v>
      </c>
      <c r="H461">
        <v>0</v>
      </c>
      <c r="I461">
        <v>0</v>
      </c>
      <c r="J461">
        <v>0</v>
      </c>
      <c r="K461">
        <v>62.6</v>
      </c>
      <c r="L461">
        <v>60.6</v>
      </c>
      <c r="M461">
        <v>83.92</v>
      </c>
      <c r="N461">
        <v>11</v>
      </c>
      <c r="O461">
        <v>1</v>
      </c>
      <c r="P461">
        <f>MOD(DAY(datos_siembra[[#This Row],[Date]]),7)</f>
        <v>4</v>
      </c>
      <c r="Q461" t="str">
        <f>CHOOSE(WEEKDAY(datos_siembra[[#This Row],[Date]],2),"L","M","X","J","V","S","D")</f>
        <v>X</v>
      </c>
      <c r="R461">
        <f>WEEKNUM(datos_siembra[[#This Row],[Date]],2)-WEEKNUM(DATE(YEAR(datos_siembra[[#This Row],[Date]]),MONTH(datos_siembra[[#This Row],[Date]]),1))+1</f>
        <v>2</v>
      </c>
      <c r="S461">
        <f>MONTH(datos_siembra[[#This Row],[Date]])</f>
        <v>9</v>
      </c>
      <c r="T461" t="str" cm="1">
        <f t="array" ref="T461">_xlfn.IFS(AND(N461&lt;= 22, S461=9), "SOWING",AND(N461&lt;= 28, S461=9), "COVERAGE",AND(N461&lt;= 30, S461=9), "FLUSH",AND(N461&lt;= 11, S461=10), "FLUSH",AND(N461&lt;= 21, S461=10), "PRODUCTION")</f>
        <v>SOWING</v>
      </c>
      <c r="U461">
        <f>HOUR(datos_siembra[[#This Row],[Hour]])</f>
        <v>16</v>
      </c>
      <c r="V461" cm="1">
        <f t="array" ref="V461">_xlfn.IFS(AND(N461&lt;= 22, S461=9), N461-7,AND(N461&lt;= 28, S461=9), N461-25,AND(N461&lt;= 30, S461=9), N461-28,AND(N461&lt;= 11, S461=10), N461+2,AND(N461&lt;= 21, S461=10), N461-11)</f>
        <v>4</v>
      </c>
    </row>
    <row r="462" spans="1:22" x14ac:dyDescent="0.35">
      <c r="A462" s="4">
        <v>45546</v>
      </c>
      <c r="B462" s="5">
        <v>0.68637731481481479</v>
      </c>
      <c r="C462">
        <v>82.2</v>
      </c>
      <c r="D462">
        <v>83.2</v>
      </c>
      <c r="E462">
        <v>87.4</v>
      </c>
      <c r="F462">
        <v>83</v>
      </c>
      <c r="G462">
        <v>0</v>
      </c>
      <c r="H462">
        <v>0</v>
      </c>
      <c r="I462">
        <v>0</v>
      </c>
      <c r="J462">
        <v>0</v>
      </c>
      <c r="K462">
        <v>63</v>
      </c>
      <c r="L462">
        <v>61.2</v>
      </c>
      <c r="M462">
        <v>83.97</v>
      </c>
      <c r="N462">
        <v>11</v>
      </c>
      <c r="O462">
        <v>1</v>
      </c>
      <c r="P462">
        <f>MOD(DAY(datos_siembra[[#This Row],[Date]]),7)</f>
        <v>4</v>
      </c>
      <c r="Q462" t="str">
        <f>CHOOSE(WEEKDAY(datos_siembra[[#This Row],[Date]],2),"L","M","X","J","V","S","D")</f>
        <v>X</v>
      </c>
      <c r="R462">
        <f>WEEKNUM(datos_siembra[[#This Row],[Date]],2)-WEEKNUM(DATE(YEAR(datos_siembra[[#This Row],[Date]]),MONTH(datos_siembra[[#This Row],[Date]]),1))+1</f>
        <v>2</v>
      </c>
      <c r="S462">
        <f>MONTH(datos_siembra[[#This Row],[Date]])</f>
        <v>9</v>
      </c>
      <c r="T462" t="str" cm="1">
        <f t="array" ref="T462">_xlfn.IFS(AND(N462&lt;= 22, S462=9), "SOWING",AND(N462&lt;= 28, S462=9), "COVERAGE",AND(N462&lt;= 30, S462=9), "FLUSH",AND(N462&lt;= 11, S462=10), "FLUSH",AND(N462&lt;= 21, S462=10), "PRODUCTION")</f>
        <v>SOWING</v>
      </c>
      <c r="U462">
        <f>HOUR(datos_siembra[[#This Row],[Hour]])</f>
        <v>16</v>
      </c>
      <c r="V462" cm="1">
        <f t="array" ref="V462">_xlfn.IFS(AND(N462&lt;= 22, S462=9), N462-7,AND(N462&lt;= 28, S462=9), N462-25,AND(N462&lt;= 30, S462=9), N462-28,AND(N462&lt;= 11, S462=10), N462+2,AND(N462&lt;= 21, S462=10), N462-11)</f>
        <v>4</v>
      </c>
    </row>
    <row r="463" spans="1:22" x14ac:dyDescent="0.35">
      <c r="A463" s="4">
        <v>45546</v>
      </c>
      <c r="B463" s="5">
        <v>0.69332175925925921</v>
      </c>
      <c r="C463">
        <v>82.4</v>
      </c>
      <c r="D463">
        <v>83.1</v>
      </c>
      <c r="E463">
        <v>87.2</v>
      </c>
      <c r="F463">
        <v>82.7</v>
      </c>
      <c r="G463">
        <v>0</v>
      </c>
      <c r="H463">
        <v>0</v>
      </c>
      <c r="I463">
        <v>0</v>
      </c>
      <c r="J463">
        <v>0</v>
      </c>
      <c r="K463">
        <v>63.5</v>
      </c>
      <c r="L463">
        <v>61.8</v>
      </c>
      <c r="M463">
        <v>84.06</v>
      </c>
      <c r="N463">
        <v>11</v>
      </c>
      <c r="O463">
        <v>1</v>
      </c>
      <c r="P463">
        <f>MOD(DAY(datos_siembra[[#This Row],[Date]]),7)</f>
        <v>4</v>
      </c>
      <c r="Q463" t="str">
        <f>CHOOSE(WEEKDAY(datos_siembra[[#This Row],[Date]],2),"L","M","X","J","V","S","D")</f>
        <v>X</v>
      </c>
      <c r="R463">
        <f>WEEKNUM(datos_siembra[[#This Row],[Date]],2)-WEEKNUM(DATE(YEAR(datos_siembra[[#This Row],[Date]]),MONTH(datos_siembra[[#This Row],[Date]]),1))+1</f>
        <v>2</v>
      </c>
      <c r="S463">
        <f>MONTH(datos_siembra[[#This Row],[Date]])</f>
        <v>9</v>
      </c>
      <c r="T463" t="str" cm="1">
        <f t="array" ref="T463">_xlfn.IFS(AND(N463&lt;= 22, S463=9), "SOWING",AND(N463&lt;= 28, S463=9), "COVERAGE",AND(N463&lt;= 30, S463=9), "FLUSH",AND(N463&lt;= 11, S463=10), "FLUSH",AND(N463&lt;= 21, S463=10), "PRODUCTION")</f>
        <v>SOWING</v>
      </c>
      <c r="U463">
        <f>HOUR(datos_siembra[[#This Row],[Hour]])</f>
        <v>16</v>
      </c>
      <c r="V463" cm="1">
        <f t="array" ref="V463">_xlfn.IFS(AND(N463&lt;= 22, S463=9), N463-7,AND(N463&lt;= 28, S463=9), N463-25,AND(N463&lt;= 30, S463=9), N463-28,AND(N463&lt;= 11, S463=10), N463+2,AND(N463&lt;= 21, S463=10), N463-11)</f>
        <v>4</v>
      </c>
    </row>
    <row r="464" spans="1:22" x14ac:dyDescent="0.35">
      <c r="A464" s="4">
        <v>45546</v>
      </c>
      <c r="B464" s="5">
        <v>0.70027777777777778</v>
      </c>
      <c r="C464">
        <v>82.4</v>
      </c>
      <c r="D464">
        <v>83.1</v>
      </c>
      <c r="E464">
        <v>87.4</v>
      </c>
      <c r="F464">
        <v>83</v>
      </c>
      <c r="G464">
        <v>0</v>
      </c>
      <c r="H464">
        <v>0</v>
      </c>
      <c r="I464">
        <v>0</v>
      </c>
      <c r="J464">
        <v>0</v>
      </c>
      <c r="K464">
        <v>63.7</v>
      </c>
      <c r="L464">
        <v>62.3</v>
      </c>
      <c r="M464">
        <v>83.95</v>
      </c>
      <c r="N464">
        <v>11</v>
      </c>
      <c r="O464">
        <v>1</v>
      </c>
      <c r="P464">
        <f>MOD(DAY(datos_siembra[[#This Row],[Date]]),7)</f>
        <v>4</v>
      </c>
      <c r="Q464" t="str">
        <f>CHOOSE(WEEKDAY(datos_siembra[[#This Row],[Date]],2),"L","M","X","J","V","S","D")</f>
        <v>X</v>
      </c>
      <c r="R464">
        <f>WEEKNUM(datos_siembra[[#This Row],[Date]],2)-WEEKNUM(DATE(YEAR(datos_siembra[[#This Row],[Date]]),MONTH(datos_siembra[[#This Row],[Date]]),1))+1</f>
        <v>2</v>
      </c>
      <c r="S464">
        <f>MONTH(datos_siembra[[#This Row],[Date]])</f>
        <v>9</v>
      </c>
      <c r="T464" t="str" cm="1">
        <f t="array" ref="T464">_xlfn.IFS(AND(N464&lt;= 22, S464=9), "SOWING",AND(N464&lt;= 28, S464=9), "COVERAGE",AND(N464&lt;= 30, S464=9), "FLUSH",AND(N464&lt;= 11, S464=10), "FLUSH",AND(N464&lt;= 21, S464=10), "PRODUCTION")</f>
        <v>SOWING</v>
      </c>
      <c r="U464">
        <f>HOUR(datos_siembra[[#This Row],[Hour]])</f>
        <v>16</v>
      </c>
      <c r="V464" cm="1">
        <f t="array" ref="V464">_xlfn.IFS(AND(N464&lt;= 22, S464=9), N464-7,AND(N464&lt;= 28, S464=9), N464-25,AND(N464&lt;= 30, S464=9), N464-28,AND(N464&lt;= 11, S464=10), N464+2,AND(N464&lt;= 21, S464=10), N464-11)</f>
        <v>4</v>
      </c>
    </row>
    <row r="465" spans="1:22" x14ac:dyDescent="0.35">
      <c r="A465" s="4">
        <v>45546</v>
      </c>
      <c r="B465" s="5">
        <v>0.7072222222222222</v>
      </c>
      <c r="C465">
        <v>82.3</v>
      </c>
      <c r="D465">
        <v>83.1</v>
      </c>
      <c r="E465">
        <v>87.2</v>
      </c>
      <c r="F465">
        <v>82.7</v>
      </c>
      <c r="G465">
        <v>0</v>
      </c>
      <c r="H465">
        <v>0</v>
      </c>
      <c r="I465">
        <v>0</v>
      </c>
      <c r="J465">
        <v>0</v>
      </c>
      <c r="K465">
        <v>62.4</v>
      </c>
      <c r="L465">
        <v>60.5</v>
      </c>
      <c r="M465">
        <v>83.92</v>
      </c>
      <c r="N465">
        <v>11</v>
      </c>
      <c r="O465">
        <v>1</v>
      </c>
      <c r="P465">
        <f>MOD(DAY(datos_siembra[[#This Row],[Date]]),7)</f>
        <v>4</v>
      </c>
      <c r="Q465" t="str">
        <f>CHOOSE(WEEKDAY(datos_siembra[[#This Row],[Date]],2),"L","M","X","J","V","S","D")</f>
        <v>X</v>
      </c>
      <c r="R465">
        <f>WEEKNUM(datos_siembra[[#This Row],[Date]],2)-WEEKNUM(DATE(YEAR(datos_siembra[[#This Row],[Date]]),MONTH(datos_siembra[[#This Row],[Date]]),1))+1</f>
        <v>2</v>
      </c>
      <c r="S465">
        <f>MONTH(datos_siembra[[#This Row],[Date]])</f>
        <v>9</v>
      </c>
      <c r="T465" t="str" cm="1">
        <f t="array" ref="T465">_xlfn.IFS(AND(N465&lt;= 22, S465=9), "SOWING",AND(N465&lt;= 28, S465=9), "COVERAGE",AND(N465&lt;= 30, S465=9), "FLUSH",AND(N465&lt;= 11, S465=10), "FLUSH",AND(N465&lt;= 21, S465=10), "PRODUCTION")</f>
        <v>SOWING</v>
      </c>
      <c r="U465">
        <f>HOUR(datos_siembra[[#This Row],[Hour]])</f>
        <v>16</v>
      </c>
      <c r="V465" cm="1">
        <f t="array" ref="V465">_xlfn.IFS(AND(N465&lt;= 22, S465=9), N465-7,AND(N465&lt;= 28, S465=9), N465-25,AND(N465&lt;= 30, S465=9), N465-28,AND(N465&lt;= 11, S465=10), N465+2,AND(N465&lt;= 21, S465=10), N465-11)</f>
        <v>4</v>
      </c>
    </row>
    <row r="466" spans="1:22" x14ac:dyDescent="0.35">
      <c r="A466" s="4">
        <v>45546</v>
      </c>
      <c r="B466" s="5">
        <v>0.71416666666666662</v>
      </c>
      <c r="C466">
        <v>82.3</v>
      </c>
      <c r="D466">
        <v>82.9</v>
      </c>
      <c r="E466">
        <v>87.2</v>
      </c>
      <c r="F466">
        <v>82.7</v>
      </c>
      <c r="G466">
        <v>0</v>
      </c>
      <c r="H466">
        <v>0</v>
      </c>
      <c r="I466">
        <v>0</v>
      </c>
      <c r="J466">
        <v>0</v>
      </c>
      <c r="K466">
        <v>63.3</v>
      </c>
      <c r="L466">
        <v>61.6</v>
      </c>
      <c r="M466">
        <v>83.89</v>
      </c>
      <c r="N466">
        <v>11</v>
      </c>
      <c r="O466">
        <v>1</v>
      </c>
      <c r="P466">
        <f>MOD(DAY(datos_siembra[[#This Row],[Date]]),7)</f>
        <v>4</v>
      </c>
      <c r="Q466" t="str">
        <f>CHOOSE(WEEKDAY(datos_siembra[[#This Row],[Date]],2),"L","M","X","J","V","S","D")</f>
        <v>X</v>
      </c>
      <c r="R466">
        <f>WEEKNUM(datos_siembra[[#This Row],[Date]],2)-WEEKNUM(DATE(YEAR(datos_siembra[[#This Row],[Date]]),MONTH(datos_siembra[[#This Row],[Date]]),1))+1</f>
        <v>2</v>
      </c>
      <c r="S466">
        <f>MONTH(datos_siembra[[#This Row],[Date]])</f>
        <v>9</v>
      </c>
      <c r="T466" t="str" cm="1">
        <f t="array" ref="T466">_xlfn.IFS(AND(N466&lt;= 22, S466=9), "SOWING",AND(N466&lt;= 28, S466=9), "COVERAGE",AND(N466&lt;= 30, S466=9), "FLUSH",AND(N466&lt;= 11, S466=10), "FLUSH",AND(N466&lt;= 21, S466=10), "PRODUCTION")</f>
        <v>SOWING</v>
      </c>
      <c r="U466">
        <f>HOUR(datos_siembra[[#This Row],[Hour]])</f>
        <v>17</v>
      </c>
      <c r="V466" cm="1">
        <f t="array" ref="V466">_xlfn.IFS(AND(N466&lt;= 22, S466=9), N466-7,AND(N466&lt;= 28, S466=9), N466-25,AND(N466&lt;= 30, S466=9), N466-28,AND(N466&lt;= 11, S466=10), N466+2,AND(N466&lt;= 21, S466=10), N466-11)</f>
        <v>4</v>
      </c>
    </row>
    <row r="467" spans="1:22" x14ac:dyDescent="0.35">
      <c r="A467" s="4">
        <v>45546</v>
      </c>
      <c r="B467" s="5">
        <v>0.72111111111111115</v>
      </c>
      <c r="C467">
        <v>82.4</v>
      </c>
      <c r="D467">
        <v>83</v>
      </c>
      <c r="E467">
        <v>87.4</v>
      </c>
      <c r="F467">
        <v>82.7</v>
      </c>
      <c r="G467">
        <v>0</v>
      </c>
      <c r="H467">
        <v>0</v>
      </c>
      <c r="I467">
        <v>0</v>
      </c>
      <c r="J467">
        <v>0</v>
      </c>
      <c r="K467">
        <v>63.6</v>
      </c>
      <c r="L467">
        <v>62.2</v>
      </c>
      <c r="M467">
        <v>83.89</v>
      </c>
      <c r="N467">
        <v>11</v>
      </c>
      <c r="O467">
        <v>1</v>
      </c>
      <c r="P467">
        <f>MOD(DAY(datos_siembra[[#This Row],[Date]]),7)</f>
        <v>4</v>
      </c>
      <c r="Q467" t="str">
        <f>CHOOSE(WEEKDAY(datos_siembra[[#This Row],[Date]],2),"L","M","X","J","V","S","D")</f>
        <v>X</v>
      </c>
      <c r="R467">
        <f>WEEKNUM(datos_siembra[[#This Row],[Date]],2)-WEEKNUM(DATE(YEAR(datos_siembra[[#This Row],[Date]]),MONTH(datos_siembra[[#This Row],[Date]]),1))+1</f>
        <v>2</v>
      </c>
      <c r="S467">
        <f>MONTH(datos_siembra[[#This Row],[Date]])</f>
        <v>9</v>
      </c>
      <c r="T467" t="str" cm="1">
        <f t="array" ref="T467">_xlfn.IFS(AND(N467&lt;= 22, S467=9), "SOWING",AND(N467&lt;= 28, S467=9), "COVERAGE",AND(N467&lt;= 30, S467=9), "FLUSH",AND(N467&lt;= 11, S467=10), "FLUSH",AND(N467&lt;= 21, S467=10), "PRODUCTION")</f>
        <v>SOWING</v>
      </c>
      <c r="U467">
        <f>HOUR(datos_siembra[[#This Row],[Hour]])</f>
        <v>17</v>
      </c>
      <c r="V467" cm="1">
        <f t="array" ref="V467">_xlfn.IFS(AND(N467&lt;= 22, S467=9), N467-7,AND(N467&lt;= 28, S467=9), N467-25,AND(N467&lt;= 30, S467=9), N467-28,AND(N467&lt;= 11, S467=10), N467+2,AND(N467&lt;= 21, S467=10), N467-11)</f>
        <v>4</v>
      </c>
    </row>
    <row r="468" spans="1:22" x14ac:dyDescent="0.35">
      <c r="A468" s="4">
        <v>45546</v>
      </c>
      <c r="B468" s="5">
        <v>0.72806712962962961</v>
      </c>
      <c r="C468">
        <v>82.4</v>
      </c>
      <c r="D468">
        <v>82.9</v>
      </c>
      <c r="E468">
        <v>87.2</v>
      </c>
      <c r="F468">
        <v>82.9</v>
      </c>
      <c r="G468">
        <v>0</v>
      </c>
      <c r="H468">
        <v>0</v>
      </c>
      <c r="I468">
        <v>0</v>
      </c>
      <c r="J468">
        <v>0</v>
      </c>
      <c r="K468">
        <v>63.7</v>
      </c>
      <c r="L468">
        <v>62.3</v>
      </c>
      <c r="M468">
        <v>83.89</v>
      </c>
      <c r="N468">
        <v>11</v>
      </c>
      <c r="O468">
        <v>1</v>
      </c>
      <c r="P468">
        <f>MOD(DAY(datos_siembra[[#This Row],[Date]]),7)</f>
        <v>4</v>
      </c>
      <c r="Q468" t="str">
        <f>CHOOSE(WEEKDAY(datos_siembra[[#This Row],[Date]],2),"L","M","X","J","V","S","D")</f>
        <v>X</v>
      </c>
      <c r="R468">
        <f>WEEKNUM(datos_siembra[[#This Row],[Date]],2)-WEEKNUM(DATE(YEAR(datos_siembra[[#This Row],[Date]]),MONTH(datos_siembra[[#This Row],[Date]]),1))+1</f>
        <v>2</v>
      </c>
      <c r="S468">
        <f>MONTH(datos_siembra[[#This Row],[Date]])</f>
        <v>9</v>
      </c>
      <c r="T468" t="str" cm="1">
        <f t="array" ref="T468">_xlfn.IFS(AND(N468&lt;= 22, S468=9), "SOWING",AND(N468&lt;= 28, S468=9), "COVERAGE",AND(N468&lt;= 30, S468=9), "FLUSH",AND(N468&lt;= 11, S468=10), "FLUSH",AND(N468&lt;= 21, S468=10), "PRODUCTION")</f>
        <v>SOWING</v>
      </c>
      <c r="U468">
        <f>HOUR(datos_siembra[[#This Row],[Hour]])</f>
        <v>17</v>
      </c>
      <c r="V468" cm="1">
        <f t="array" ref="V468">_xlfn.IFS(AND(N468&lt;= 22, S468=9), N468-7,AND(N468&lt;= 28, S468=9), N468-25,AND(N468&lt;= 30, S468=9), N468-28,AND(N468&lt;= 11, S468=10), N468+2,AND(N468&lt;= 21, S468=10), N468-11)</f>
        <v>4</v>
      </c>
    </row>
    <row r="469" spans="1:22" x14ac:dyDescent="0.35">
      <c r="A469" s="4">
        <v>45546</v>
      </c>
      <c r="B469" s="5">
        <v>0.73501157407407403</v>
      </c>
      <c r="C469">
        <v>82.3</v>
      </c>
      <c r="D469">
        <v>82.9</v>
      </c>
      <c r="E469">
        <v>87.4</v>
      </c>
      <c r="F469">
        <v>82.7</v>
      </c>
      <c r="G469">
        <v>0</v>
      </c>
      <c r="H469">
        <v>0</v>
      </c>
      <c r="I469">
        <v>0</v>
      </c>
      <c r="J469">
        <v>0</v>
      </c>
      <c r="K469">
        <v>62.6</v>
      </c>
      <c r="L469">
        <v>60.7</v>
      </c>
      <c r="M469">
        <v>83.86</v>
      </c>
      <c r="N469">
        <v>11</v>
      </c>
      <c r="O469">
        <v>1</v>
      </c>
      <c r="P469">
        <f>MOD(DAY(datos_siembra[[#This Row],[Date]]),7)</f>
        <v>4</v>
      </c>
      <c r="Q469" t="str">
        <f>CHOOSE(WEEKDAY(datos_siembra[[#This Row],[Date]],2),"L","M","X","J","V","S","D")</f>
        <v>X</v>
      </c>
      <c r="R469">
        <f>WEEKNUM(datos_siembra[[#This Row],[Date]],2)-WEEKNUM(DATE(YEAR(datos_siembra[[#This Row],[Date]]),MONTH(datos_siembra[[#This Row],[Date]]),1))+1</f>
        <v>2</v>
      </c>
      <c r="S469">
        <f>MONTH(datos_siembra[[#This Row],[Date]])</f>
        <v>9</v>
      </c>
      <c r="T469" t="str" cm="1">
        <f t="array" ref="T469">_xlfn.IFS(AND(N469&lt;= 22, S469=9), "SOWING",AND(N469&lt;= 28, S469=9), "COVERAGE",AND(N469&lt;= 30, S469=9), "FLUSH",AND(N469&lt;= 11, S469=10), "FLUSH",AND(N469&lt;= 21, S469=10), "PRODUCTION")</f>
        <v>SOWING</v>
      </c>
      <c r="U469">
        <f>HOUR(datos_siembra[[#This Row],[Hour]])</f>
        <v>17</v>
      </c>
      <c r="V469" cm="1">
        <f t="array" ref="V469">_xlfn.IFS(AND(N469&lt;= 22, S469=9), N469-7,AND(N469&lt;= 28, S469=9), N469-25,AND(N469&lt;= 30, S469=9), N469-28,AND(N469&lt;= 11, S469=10), N469+2,AND(N469&lt;= 21, S469=10), N469-11)</f>
        <v>4</v>
      </c>
    </row>
    <row r="470" spans="1:22" x14ac:dyDescent="0.35">
      <c r="A470" s="4">
        <v>45546</v>
      </c>
      <c r="B470" s="5">
        <v>0.74195601851851856</v>
      </c>
      <c r="C470">
        <v>82.4</v>
      </c>
      <c r="D470">
        <v>82.7</v>
      </c>
      <c r="E470">
        <v>87.2</v>
      </c>
      <c r="F470">
        <v>82.7</v>
      </c>
      <c r="G470">
        <v>0</v>
      </c>
      <c r="H470">
        <v>0</v>
      </c>
      <c r="I470">
        <v>0</v>
      </c>
      <c r="J470">
        <v>0</v>
      </c>
      <c r="K470">
        <v>63.2</v>
      </c>
      <c r="L470">
        <v>61.6</v>
      </c>
      <c r="M470">
        <v>83.78</v>
      </c>
      <c r="N470">
        <v>11</v>
      </c>
      <c r="O470">
        <v>1</v>
      </c>
      <c r="P470">
        <f>MOD(DAY(datos_siembra[[#This Row],[Date]]),7)</f>
        <v>4</v>
      </c>
      <c r="Q470" t="str">
        <f>CHOOSE(WEEKDAY(datos_siembra[[#This Row],[Date]],2),"L","M","X","J","V","S","D")</f>
        <v>X</v>
      </c>
      <c r="R470">
        <f>WEEKNUM(datos_siembra[[#This Row],[Date]],2)-WEEKNUM(DATE(YEAR(datos_siembra[[#This Row],[Date]]),MONTH(datos_siembra[[#This Row],[Date]]),1))+1</f>
        <v>2</v>
      </c>
      <c r="S470">
        <f>MONTH(datos_siembra[[#This Row],[Date]])</f>
        <v>9</v>
      </c>
      <c r="T470" t="str" cm="1">
        <f t="array" ref="T470">_xlfn.IFS(AND(N470&lt;= 22, S470=9), "SOWING",AND(N470&lt;= 28, S470=9), "COVERAGE",AND(N470&lt;= 30, S470=9), "FLUSH",AND(N470&lt;= 11, S470=10), "FLUSH",AND(N470&lt;= 21, S470=10), "PRODUCTION")</f>
        <v>SOWING</v>
      </c>
      <c r="U470">
        <f>HOUR(datos_siembra[[#This Row],[Hour]])</f>
        <v>17</v>
      </c>
      <c r="V470" cm="1">
        <f t="array" ref="V470">_xlfn.IFS(AND(N470&lt;= 22, S470=9), N470-7,AND(N470&lt;= 28, S470=9), N470-25,AND(N470&lt;= 30, S470=9), N470-28,AND(N470&lt;= 11, S470=10), N470+2,AND(N470&lt;= 21, S470=10), N470-11)</f>
        <v>4</v>
      </c>
    </row>
    <row r="471" spans="1:22" x14ac:dyDescent="0.35">
      <c r="A471" s="4">
        <v>45546</v>
      </c>
      <c r="B471" s="5">
        <v>0.74890046296296298</v>
      </c>
      <c r="C471">
        <v>82.4</v>
      </c>
      <c r="D471">
        <v>82.7</v>
      </c>
      <c r="E471">
        <v>87.1</v>
      </c>
      <c r="F471">
        <v>82.9</v>
      </c>
      <c r="G471">
        <v>0</v>
      </c>
      <c r="H471">
        <v>0</v>
      </c>
      <c r="I471">
        <v>0</v>
      </c>
      <c r="J471">
        <v>0</v>
      </c>
      <c r="K471">
        <v>63.6</v>
      </c>
      <c r="L471">
        <v>62.3</v>
      </c>
      <c r="M471">
        <v>83.75</v>
      </c>
      <c r="N471">
        <v>11</v>
      </c>
      <c r="O471">
        <v>1</v>
      </c>
      <c r="P471">
        <f>MOD(DAY(datos_siembra[[#This Row],[Date]]),7)</f>
        <v>4</v>
      </c>
      <c r="Q471" t="str">
        <f>CHOOSE(WEEKDAY(datos_siembra[[#This Row],[Date]],2),"L","M","X","J","V","S","D")</f>
        <v>X</v>
      </c>
      <c r="R471">
        <f>WEEKNUM(datos_siembra[[#This Row],[Date]],2)-WEEKNUM(DATE(YEAR(datos_siembra[[#This Row],[Date]]),MONTH(datos_siembra[[#This Row],[Date]]),1))+1</f>
        <v>2</v>
      </c>
      <c r="S471">
        <f>MONTH(datos_siembra[[#This Row],[Date]])</f>
        <v>9</v>
      </c>
      <c r="T471" t="str" cm="1">
        <f t="array" ref="T471">_xlfn.IFS(AND(N471&lt;= 22, S471=9), "SOWING",AND(N471&lt;= 28, S471=9), "COVERAGE",AND(N471&lt;= 30, S471=9), "FLUSH",AND(N471&lt;= 11, S471=10), "FLUSH",AND(N471&lt;= 21, S471=10), "PRODUCTION")</f>
        <v>SOWING</v>
      </c>
      <c r="U471">
        <f>HOUR(datos_siembra[[#This Row],[Hour]])</f>
        <v>17</v>
      </c>
      <c r="V471" cm="1">
        <f t="array" ref="V471">_xlfn.IFS(AND(N471&lt;= 22, S471=9), N471-7,AND(N471&lt;= 28, S471=9), N471-25,AND(N471&lt;= 30, S471=9), N471-28,AND(N471&lt;= 11, S471=10), N471+2,AND(N471&lt;= 21, S471=10), N471-11)</f>
        <v>4</v>
      </c>
    </row>
    <row r="472" spans="1:22" x14ac:dyDescent="0.35">
      <c r="A472" s="4">
        <v>45546</v>
      </c>
      <c r="B472" s="5">
        <v>0.75585648148148143</v>
      </c>
      <c r="C472">
        <v>82.3</v>
      </c>
      <c r="D472">
        <v>82.7</v>
      </c>
      <c r="E472">
        <v>87.2</v>
      </c>
      <c r="F472">
        <v>82.5</v>
      </c>
      <c r="G472">
        <v>0</v>
      </c>
      <c r="H472">
        <v>0</v>
      </c>
      <c r="I472">
        <v>0</v>
      </c>
      <c r="J472">
        <v>0</v>
      </c>
      <c r="K472">
        <v>63.7</v>
      </c>
      <c r="L472">
        <v>62.3</v>
      </c>
      <c r="M472">
        <v>83.89</v>
      </c>
      <c r="N472">
        <v>11</v>
      </c>
      <c r="O472">
        <v>1</v>
      </c>
      <c r="P472">
        <f>MOD(DAY(datos_siembra[[#This Row],[Date]]),7)</f>
        <v>4</v>
      </c>
      <c r="Q472" t="str">
        <f>CHOOSE(WEEKDAY(datos_siembra[[#This Row],[Date]],2),"L","M","X","J","V","S","D")</f>
        <v>X</v>
      </c>
      <c r="R472">
        <f>WEEKNUM(datos_siembra[[#This Row],[Date]],2)-WEEKNUM(DATE(YEAR(datos_siembra[[#This Row],[Date]]),MONTH(datos_siembra[[#This Row],[Date]]),1))+1</f>
        <v>2</v>
      </c>
      <c r="S472">
        <f>MONTH(datos_siembra[[#This Row],[Date]])</f>
        <v>9</v>
      </c>
      <c r="T472" t="str" cm="1">
        <f t="array" ref="T472">_xlfn.IFS(AND(N472&lt;= 22, S472=9), "SOWING",AND(N472&lt;= 28, S472=9), "COVERAGE",AND(N472&lt;= 30, S472=9), "FLUSH",AND(N472&lt;= 11, S472=10), "FLUSH",AND(N472&lt;= 21, S472=10), "PRODUCTION")</f>
        <v>SOWING</v>
      </c>
      <c r="U472">
        <f>HOUR(datos_siembra[[#This Row],[Hour]])</f>
        <v>18</v>
      </c>
      <c r="V472" cm="1">
        <f t="array" ref="V472">_xlfn.IFS(AND(N472&lt;= 22, S472=9), N472-7,AND(N472&lt;= 28, S472=9), N472-25,AND(N472&lt;= 30, S472=9), N472-28,AND(N472&lt;= 11, S472=10), N472+2,AND(N472&lt;= 21, S472=10), N472-11)</f>
        <v>4</v>
      </c>
    </row>
    <row r="473" spans="1:22" x14ac:dyDescent="0.35">
      <c r="A473" s="4">
        <v>45546</v>
      </c>
      <c r="B473" s="5">
        <v>0.76280092592592597</v>
      </c>
      <c r="C473">
        <v>82.4</v>
      </c>
      <c r="D473">
        <v>82.7</v>
      </c>
      <c r="E473">
        <v>87</v>
      </c>
      <c r="F473">
        <v>82.7</v>
      </c>
      <c r="G473">
        <v>0</v>
      </c>
      <c r="H473">
        <v>0</v>
      </c>
      <c r="I473">
        <v>0</v>
      </c>
      <c r="J473">
        <v>0</v>
      </c>
      <c r="K473">
        <v>63.4</v>
      </c>
      <c r="L473">
        <v>61.8</v>
      </c>
      <c r="M473">
        <v>83.78</v>
      </c>
      <c r="N473">
        <v>11</v>
      </c>
      <c r="O473">
        <v>1</v>
      </c>
      <c r="P473">
        <f>MOD(DAY(datos_siembra[[#This Row],[Date]]),7)</f>
        <v>4</v>
      </c>
      <c r="Q473" t="str">
        <f>CHOOSE(WEEKDAY(datos_siembra[[#This Row],[Date]],2),"L","M","X","J","V","S","D")</f>
        <v>X</v>
      </c>
      <c r="R473">
        <f>WEEKNUM(datos_siembra[[#This Row],[Date]],2)-WEEKNUM(DATE(YEAR(datos_siembra[[#This Row],[Date]]),MONTH(datos_siembra[[#This Row],[Date]]),1))+1</f>
        <v>2</v>
      </c>
      <c r="S473">
        <f>MONTH(datos_siembra[[#This Row],[Date]])</f>
        <v>9</v>
      </c>
      <c r="T473" t="str" cm="1">
        <f t="array" ref="T473">_xlfn.IFS(AND(N473&lt;= 22, S473=9), "SOWING",AND(N473&lt;= 28, S473=9), "COVERAGE",AND(N473&lt;= 30, S473=9), "FLUSH",AND(N473&lt;= 11, S473=10), "FLUSH",AND(N473&lt;= 21, S473=10), "PRODUCTION")</f>
        <v>SOWING</v>
      </c>
      <c r="U473">
        <f>HOUR(datos_siembra[[#This Row],[Hour]])</f>
        <v>18</v>
      </c>
      <c r="V473" cm="1">
        <f t="array" ref="V473">_xlfn.IFS(AND(N473&lt;= 22, S473=9), N473-7,AND(N473&lt;= 28, S473=9), N473-25,AND(N473&lt;= 30, S473=9), N473-28,AND(N473&lt;= 11, S473=10), N473+2,AND(N473&lt;= 21, S473=10), N473-11)</f>
        <v>4</v>
      </c>
    </row>
    <row r="474" spans="1:22" x14ac:dyDescent="0.35">
      <c r="A474" s="4">
        <v>45546</v>
      </c>
      <c r="B474" s="5">
        <v>0.76974537037037039</v>
      </c>
      <c r="C474">
        <v>82.3</v>
      </c>
      <c r="D474">
        <v>82.6</v>
      </c>
      <c r="E474">
        <v>87.1</v>
      </c>
      <c r="F474">
        <v>82.5</v>
      </c>
      <c r="G474">
        <v>0</v>
      </c>
      <c r="H474">
        <v>0</v>
      </c>
      <c r="I474">
        <v>0</v>
      </c>
      <c r="J474">
        <v>0</v>
      </c>
      <c r="K474">
        <v>62.7</v>
      </c>
      <c r="L474">
        <v>60.9</v>
      </c>
      <c r="M474">
        <v>83.64</v>
      </c>
      <c r="N474">
        <v>11</v>
      </c>
      <c r="O474">
        <v>1</v>
      </c>
      <c r="P474">
        <f>MOD(DAY(datos_siembra[[#This Row],[Date]]),7)</f>
        <v>4</v>
      </c>
      <c r="Q474" t="str">
        <f>CHOOSE(WEEKDAY(datos_siembra[[#This Row],[Date]],2),"L","M","X","J","V","S","D")</f>
        <v>X</v>
      </c>
      <c r="R474">
        <f>WEEKNUM(datos_siembra[[#This Row],[Date]],2)-WEEKNUM(DATE(YEAR(datos_siembra[[#This Row],[Date]]),MONTH(datos_siembra[[#This Row],[Date]]),1))+1</f>
        <v>2</v>
      </c>
      <c r="S474">
        <f>MONTH(datos_siembra[[#This Row],[Date]])</f>
        <v>9</v>
      </c>
      <c r="T474" t="str" cm="1">
        <f t="array" ref="T474">_xlfn.IFS(AND(N474&lt;= 22, S474=9), "SOWING",AND(N474&lt;= 28, S474=9), "COVERAGE",AND(N474&lt;= 30, S474=9), "FLUSH",AND(N474&lt;= 11, S474=10), "FLUSH",AND(N474&lt;= 21, S474=10), "PRODUCTION")</f>
        <v>SOWING</v>
      </c>
      <c r="U474">
        <f>HOUR(datos_siembra[[#This Row],[Hour]])</f>
        <v>18</v>
      </c>
      <c r="V474" cm="1">
        <f t="array" ref="V474">_xlfn.IFS(AND(N474&lt;= 22, S474=9), N474-7,AND(N474&lt;= 28, S474=9), N474-25,AND(N474&lt;= 30, S474=9), N474-28,AND(N474&lt;= 11, S474=10), N474+2,AND(N474&lt;= 21, S474=10), N474-11)</f>
        <v>4</v>
      </c>
    </row>
    <row r="475" spans="1:22" x14ac:dyDescent="0.35">
      <c r="A475" s="4">
        <v>45546</v>
      </c>
      <c r="B475" s="5">
        <v>0.77668981481481481</v>
      </c>
      <c r="C475">
        <v>82.5</v>
      </c>
      <c r="D475">
        <v>82.6</v>
      </c>
      <c r="E475">
        <v>87.2</v>
      </c>
      <c r="F475">
        <v>82.5</v>
      </c>
      <c r="G475">
        <v>0</v>
      </c>
      <c r="H475">
        <v>0</v>
      </c>
      <c r="I475">
        <v>0</v>
      </c>
      <c r="J475">
        <v>0</v>
      </c>
      <c r="K475">
        <v>63.4</v>
      </c>
      <c r="L475">
        <v>61.9</v>
      </c>
      <c r="M475">
        <v>83.78</v>
      </c>
      <c r="N475">
        <v>11</v>
      </c>
      <c r="O475">
        <v>1</v>
      </c>
      <c r="P475">
        <f>MOD(DAY(datos_siembra[[#This Row],[Date]]),7)</f>
        <v>4</v>
      </c>
      <c r="Q475" t="str">
        <f>CHOOSE(WEEKDAY(datos_siembra[[#This Row],[Date]],2),"L","M","X","J","V","S","D")</f>
        <v>X</v>
      </c>
      <c r="R475">
        <f>WEEKNUM(datos_siembra[[#This Row],[Date]],2)-WEEKNUM(DATE(YEAR(datos_siembra[[#This Row],[Date]]),MONTH(datos_siembra[[#This Row],[Date]]),1))+1</f>
        <v>2</v>
      </c>
      <c r="S475">
        <f>MONTH(datos_siembra[[#This Row],[Date]])</f>
        <v>9</v>
      </c>
      <c r="T475" t="str" cm="1">
        <f t="array" ref="T475">_xlfn.IFS(AND(N475&lt;= 22, S475=9), "SOWING",AND(N475&lt;= 28, S475=9), "COVERAGE",AND(N475&lt;= 30, S475=9), "FLUSH",AND(N475&lt;= 11, S475=10), "FLUSH",AND(N475&lt;= 21, S475=10), "PRODUCTION")</f>
        <v>SOWING</v>
      </c>
      <c r="U475">
        <f>HOUR(datos_siembra[[#This Row],[Hour]])</f>
        <v>18</v>
      </c>
      <c r="V475" cm="1">
        <f t="array" ref="V475">_xlfn.IFS(AND(N475&lt;= 22, S475=9), N475-7,AND(N475&lt;= 28, S475=9), N475-25,AND(N475&lt;= 30, S475=9), N475-28,AND(N475&lt;= 11, S475=10), N475+2,AND(N475&lt;= 21, S475=10), N475-11)</f>
        <v>4</v>
      </c>
    </row>
    <row r="476" spans="1:22" x14ac:dyDescent="0.35">
      <c r="A476" s="4">
        <v>45546</v>
      </c>
      <c r="B476" s="5">
        <v>0.78364583333333337</v>
      </c>
      <c r="C476">
        <v>82.3</v>
      </c>
      <c r="D476">
        <v>82.5</v>
      </c>
      <c r="E476">
        <v>87</v>
      </c>
      <c r="F476">
        <v>82.6</v>
      </c>
      <c r="G476">
        <v>0</v>
      </c>
      <c r="H476">
        <v>0</v>
      </c>
      <c r="I476">
        <v>0</v>
      </c>
      <c r="J476">
        <v>0</v>
      </c>
      <c r="K476">
        <v>63.5</v>
      </c>
      <c r="L476">
        <v>62</v>
      </c>
      <c r="M476">
        <v>83.55</v>
      </c>
      <c r="N476">
        <v>11</v>
      </c>
      <c r="O476">
        <v>1</v>
      </c>
      <c r="P476">
        <f>MOD(DAY(datos_siembra[[#This Row],[Date]]),7)</f>
        <v>4</v>
      </c>
      <c r="Q476" t="str">
        <f>CHOOSE(WEEKDAY(datos_siembra[[#This Row],[Date]],2),"L","M","X","J","V","S","D")</f>
        <v>X</v>
      </c>
      <c r="R476">
        <f>WEEKNUM(datos_siembra[[#This Row],[Date]],2)-WEEKNUM(DATE(YEAR(datos_siembra[[#This Row],[Date]]),MONTH(datos_siembra[[#This Row],[Date]]),1))+1</f>
        <v>2</v>
      </c>
      <c r="S476">
        <f>MONTH(datos_siembra[[#This Row],[Date]])</f>
        <v>9</v>
      </c>
      <c r="T476" t="str" cm="1">
        <f t="array" ref="T476">_xlfn.IFS(AND(N476&lt;= 22, S476=9), "SOWING",AND(N476&lt;= 28, S476=9), "COVERAGE",AND(N476&lt;= 30, S476=9), "FLUSH",AND(N476&lt;= 11, S476=10), "FLUSH",AND(N476&lt;= 21, S476=10), "PRODUCTION")</f>
        <v>SOWING</v>
      </c>
      <c r="U476">
        <f>HOUR(datos_siembra[[#This Row],[Hour]])</f>
        <v>18</v>
      </c>
      <c r="V476" cm="1">
        <f t="array" ref="V476">_xlfn.IFS(AND(N476&lt;= 22, S476=9), N476-7,AND(N476&lt;= 28, S476=9), N476-25,AND(N476&lt;= 30, S476=9), N476-28,AND(N476&lt;= 11, S476=10), N476+2,AND(N476&lt;= 21, S476=10), N476-11)</f>
        <v>4</v>
      </c>
    </row>
    <row r="477" spans="1:22" x14ac:dyDescent="0.35">
      <c r="A477" s="4">
        <v>45546</v>
      </c>
      <c r="B477" s="5">
        <v>0.79059027777777779</v>
      </c>
      <c r="C477">
        <v>82.4</v>
      </c>
      <c r="D477">
        <v>82.6</v>
      </c>
      <c r="E477">
        <v>87</v>
      </c>
      <c r="F477">
        <v>82.6</v>
      </c>
      <c r="G477">
        <v>0</v>
      </c>
      <c r="H477">
        <v>0</v>
      </c>
      <c r="I477">
        <v>0</v>
      </c>
      <c r="J477">
        <v>0</v>
      </c>
      <c r="K477">
        <v>63.6</v>
      </c>
      <c r="L477">
        <v>62.2</v>
      </c>
      <c r="M477">
        <v>83.67</v>
      </c>
      <c r="N477">
        <v>11</v>
      </c>
      <c r="O477">
        <v>1</v>
      </c>
      <c r="P477">
        <f>MOD(DAY(datos_siembra[[#This Row],[Date]]),7)</f>
        <v>4</v>
      </c>
      <c r="Q477" t="str">
        <f>CHOOSE(WEEKDAY(datos_siembra[[#This Row],[Date]],2),"L","M","X","J","V","S","D")</f>
        <v>X</v>
      </c>
      <c r="R477">
        <f>WEEKNUM(datos_siembra[[#This Row],[Date]],2)-WEEKNUM(DATE(YEAR(datos_siembra[[#This Row],[Date]]),MONTH(datos_siembra[[#This Row],[Date]]),1))+1</f>
        <v>2</v>
      </c>
      <c r="S477">
        <f>MONTH(datos_siembra[[#This Row],[Date]])</f>
        <v>9</v>
      </c>
      <c r="T477" t="str" cm="1">
        <f t="array" ref="T477">_xlfn.IFS(AND(N477&lt;= 22, S477=9), "SOWING",AND(N477&lt;= 28, S477=9), "COVERAGE",AND(N477&lt;= 30, S477=9), "FLUSH",AND(N477&lt;= 11, S477=10), "FLUSH",AND(N477&lt;= 21, S477=10), "PRODUCTION")</f>
        <v>SOWING</v>
      </c>
      <c r="U477">
        <f>HOUR(datos_siembra[[#This Row],[Hour]])</f>
        <v>18</v>
      </c>
      <c r="V477" cm="1">
        <f t="array" ref="V477">_xlfn.IFS(AND(N477&lt;= 22, S477=9), N477-7,AND(N477&lt;= 28, S477=9), N477-25,AND(N477&lt;= 30, S477=9), N477-28,AND(N477&lt;= 11, S477=10), N477+2,AND(N477&lt;= 21, S477=10), N477-11)</f>
        <v>4</v>
      </c>
    </row>
    <row r="478" spans="1:22" x14ac:dyDescent="0.35">
      <c r="A478" s="4">
        <v>45546</v>
      </c>
      <c r="B478" s="5">
        <v>0.79753472222222221</v>
      </c>
      <c r="C478">
        <v>82.2</v>
      </c>
      <c r="D478">
        <v>82.5</v>
      </c>
      <c r="E478">
        <v>87.1</v>
      </c>
      <c r="F478">
        <v>82.6</v>
      </c>
      <c r="G478">
        <v>0</v>
      </c>
      <c r="H478">
        <v>0</v>
      </c>
      <c r="I478">
        <v>0</v>
      </c>
      <c r="J478">
        <v>0</v>
      </c>
      <c r="K478">
        <v>63.6</v>
      </c>
      <c r="L478">
        <v>62.2</v>
      </c>
      <c r="M478">
        <v>83.69</v>
      </c>
      <c r="N478">
        <v>11</v>
      </c>
      <c r="O478">
        <v>1</v>
      </c>
      <c r="P478">
        <f>MOD(DAY(datos_siembra[[#This Row],[Date]]),7)</f>
        <v>4</v>
      </c>
      <c r="Q478" t="str">
        <f>CHOOSE(WEEKDAY(datos_siembra[[#This Row],[Date]],2),"L","M","X","J","V","S","D")</f>
        <v>X</v>
      </c>
      <c r="R478">
        <f>WEEKNUM(datos_siembra[[#This Row],[Date]],2)-WEEKNUM(DATE(YEAR(datos_siembra[[#This Row],[Date]]),MONTH(datos_siembra[[#This Row],[Date]]),1))+1</f>
        <v>2</v>
      </c>
      <c r="S478">
        <f>MONTH(datos_siembra[[#This Row],[Date]])</f>
        <v>9</v>
      </c>
      <c r="T478" t="str" cm="1">
        <f t="array" ref="T478">_xlfn.IFS(AND(N478&lt;= 22, S478=9), "SOWING",AND(N478&lt;= 28, S478=9), "COVERAGE",AND(N478&lt;= 30, S478=9), "FLUSH",AND(N478&lt;= 11, S478=10), "FLUSH",AND(N478&lt;= 21, S478=10), "PRODUCTION")</f>
        <v>SOWING</v>
      </c>
      <c r="U478">
        <f>HOUR(datos_siembra[[#This Row],[Hour]])</f>
        <v>19</v>
      </c>
      <c r="V478" cm="1">
        <f t="array" ref="V478">_xlfn.IFS(AND(N478&lt;= 22, S478=9), N478-7,AND(N478&lt;= 28, S478=9), N478-25,AND(N478&lt;= 30, S478=9), N478-28,AND(N478&lt;= 11, S478=10), N478+2,AND(N478&lt;= 21, S478=10), N478-11)</f>
        <v>4</v>
      </c>
    </row>
    <row r="479" spans="1:22" x14ac:dyDescent="0.35">
      <c r="A479" s="4">
        <v>45546</v>
      </c>
      <c r="B479" s="5">
        <v>0.80449074074074078</v>
      </c>
      <c r="C479">
        <v>82.3</v>
      </c>
      <c r="D479">
        <v>82.5</v>
      </c>
      <c r="E479">
        <v>87.1</v>
      </c>
      <c r="F479">
        <v>82.9</v>
      </c>
      <c r="G479">
        <v>0</v>
      </c>
      <c r="H479">
        <v>0</v>
      </c>
      <c r="I479">
        <v>0</v>
      </c>
      <c r="J479">
        <v>0</v>
      </c>
      <c r="K479">
        <v>63.6</v>
      </c>
      <c r="L479">
        <v>62.2</v>
      </c>
      <c r="M479">
        <v>83.69</v>
      </c>
      <c r="N479">
        <v>11</v>
      </c>
      <c r="O479">
        <v>1</v>
      </c>
      <c r="P479">
        <f>MOD(DAY(datos_siembra[[#This Row],[Date]]),7)</f>
        <v>4</v>
      </c>
      <c r="Q479" t="str">
        <f>CHOOSE(WEEKDAY(datos_siembra[[#This Row],[Date]],2),"L","M","X","J","V","S","D")</f>
        <v>X</v>
      </c>
      <c r="R479">
        <f>WEEKNUM(datos_siembra[[#This Row],[Date]],2)-WEEKNUM(DATE(YEAR(datos_siembra[[#This Row],[Date]]),MONTH(datos_siembra[[#This Row],[Date]]),1))+1</f>
        <v>2</v>
      </c>
      <c r="S479">
        <f>MONTH(datos_siembra[[#This Row],[Date]])</f>
        <v>9</v>
      </c>
      <c r="T479" t="str" cm="1">
        <f t="array" ref="T479">_xlfn.IFS(AND(N479&lt;= 22, S479=9), "SOWING",AND(N479&lt;= 28, S479=9), "COVERAGE",AND(N479&lt;= 30, S479=9), "FLUSH",AND(N479&lt;= 11, S479=10), "FLUSH",AND(N479&lt;= 21, S479=10), "PRODUCTION")</f>
        <v>SOWING</v>
      </c>
      <c r="U479">
        <f>HOUR(datos_siembra[[#This Row],[Hour]])</f>
        <v>19</v>
      </c>
      <c r="V479" cm="1">
        <f t="array" ref="V479">_xlfn.IFS(AND(N479&lt;= 22, S479=9), N479-7,AND(N479&lt;= 28, S479=9), N479-25,AND(N479&lt;= 30, S479=9), N479-28,AND(N479&lt;= 11, S479=10), N479+2,AND(N479&lt;= 21, S479=10), N479-11)</f>
        <v>4</v>
      </c>
    </row>
    <row r="480" spans="1:22" x14ac:dyDescent="0.35">
      <c r="A480" s="4">
        <v>45546</v>
      </c>
      <c r="B480" s="5">
        <v>0.8114351851851852</v>
      </c>
      <c r="C480">
        <v>82.3</v>
      </c>
      <c r="D480">
        <v>82.4</v>
      </c>
      <c r="E480">
        <v>87</v>
      </c>
      <c r="F480">
        <v>82.7</v>
      </c>
      <c r="G480">
        <v>0</v>
      </c>
      <c r="H480">
        <v>0</v>
      </c>
      <c r="I480">
        <v>0</v>
      </c>
      <c r="J480">
        <v>0</v>
      </c>
      <c r="K480">
        <v>63.6</v>
      </c>
      <c r="L480">
        <v>62</v>
      </c>
      <c r="M480">
        <v>83.72</v>
      </c>
      <c r="N480">
        <v>11</v>
      </c>
      <c r="O480">
        <v>1</v>
      </c>
      <c r="P480">
        <f>MOD(DAY(datos_siembra[[#This Row],[Date]]),7)</f>
        <v>4</v>
      </c>
      <c r="Q480" t="str">
        <f>CHOOSE(WEEKDAY(datos_siembra[[#This Row],[Date]],2),"L","M","X","J","V","S","D")</f>
        <v>X</v>
      </c>
      <c r="R480">
        <f>WEEKNUM(datos_siembra[[#This Row],[Date]],2)-WEEKNUM(DATE(YEAR(datos_siembra[[#This Row],[Date]]),MONTH(datos_siembra[[#This Row],[Date]]),1))+1</f>
        <v>2</v>
      </c>
      <c r="S480">
        <f>MONTH(datos_siembra[[#This Row],[Date]])</f>
        <v>9</v>
      </c>
      <c r="T480" t="str" cm="1">
        <f t="array" ref="T480">_xlfn.IFS(AND(N480&lt;= 22, S480=9), "SOWING",AND(N480&lt;= 28, S480=9), "COVERAGE",AND(N480&lt;= 30, S480=9), "FLUSH",AND(N480&lt;= 11, S480=10), "FLUSH",AND(N480&lt;= 21, S480=10), "PRODUCTION")</f>
        <v>SOWING</v>
      </c>
      <c r="U480">
        <f>HOUR(datos_siembra[[#This Row],[Hour]])</f>
        <v>19</v>
      </c>
      <c r="V480" cm="1">
        <f t="array" ref="V480">_xlfn.IFS(AND(N480&lt;= 22, S480=9), N480-7,AND(N480&lt;= 28, S480=9), N480-25,AND(N480&lt;= 30, S480=9), N480-28,AND(N480&lt;= 11, S480=10), N480+2,AND(N480&lt;= 21, S480=10), N480-11)</f>
        <v>4</v>
      </c>
    </row>
    <row r="481" spans="1:22" x14ac:dyDescent="0.35">
      <c r="A481" s="4">
        <v>45546</v>
      </c>
      <c r="B481" s="5">
        <v>0.81837962962962962</v>
      </c>
      <c r="C481">
        <v>82.3</v>
      </c>
      <c r="D481">
        <v>82.4</v>
      </c>
      <c r="E481">
        <v>87</v>
      </c>
      <c r="F481">
        <v>82.3</v>
      </c>
      <c r="G481">
        <v>0</v>
      </c>
      <c r="H481">
        <v>0</v>
      </c>
      <c r="I481">
        <v>0</v>
      </c>
      <c r="J481">
        <v>0</v>
      </c>
      <c r="K481">
        <v>63.6</v>
      </c>
      <c r="L481">
        <v>62.2</v>
      </c>
      <c r="M481">
        <v>83.47</v>
      </c>
      <c r="N481">
        <v>11</v>
      </c>
      <c r="O481">
        <v>1</v>
      </c>
      <c r="P481">
        <f>MOD(DAY(datos_siembra[[#This Row],[Date]]),7)</f>
        <v>4</v>
      </c>
      <c r="Q481" t="str">
        <f>CHOOSE(WEEKDAY(datos_siembra[[#This Row],[Date]],2),"L","M","X","J","V","S","D")</f>
        <v>X</v>
      </c>
      <c r="R481">
        <f>WEEKNUM(datos_siembra[[#This Row],[Date]],2)-WEEKNUM(DATE(YEAR(datos_siembra[[#This Row],[Date]]),MONTH(datos_siembra[[#This Row],[Date]]),1))+1</f>
        <v>2</v>
      </c>
      <c r="S481">
        <f>MONTH(datos_siembra[[#This Row],[Date]])</f>
        <v>9</v>
      </c>
      <c r="T481" t="str" cm="1">
        <f t="array" ref="T481">_xlfn.IFS(AND(N481&lt;= 22, S481=9), "SOWING",AND(N481&lt;= 28, S481=9), "COVERAGE",AND(N481&lt;= 30, S481=9), "FLUSH",AND(N481&lt;= 11, S481=10), "FLUSH",AND(N481&lt;= 21, S481=10), "PRODUCTION")</f>
        <v>SOWING</v>
      </c>
      <c r="U481">
        <f>HOUR(datos_siembra[[#This Row],[Hour]])</f>
        <v>19</v>
      </c>
      <c r="V481" cm="1">
        <f t="array" ref="V481">_xlfn.IFS(AND(N481&lt;= 22, S481=9), N481-7,AND(N481&lt;= 28, S481=9), N481-25,AND(N481&lt;= 30, S481=9), N481-28,AND(N481&lt;= 11, S481=10), N481+2,AND(N481&lt;= 21, S481=10), N481-11)</f>
        <v>4</v>
      </c>
    </row>
    <row r="482" spans="1:22" x14ac:dyDescent="0.35">
      <c r="A482" s="4">
        <v>45546</v>
      </c>
      <c r="B482" s="5">
        <v>0.82532407407407404</v>
      </c>
      <c r="C482">
        <v>82.4</v>
      </c>
      <c r="D482">
        <v>82.5</v>
      </c>
      <c r="E482">
        <v>87.1</v>
      </c>
      <c r="F482">
        <v>82.4</v>
      </c>
      <c r="G482">
        <v>0</v>
      </c>
      <c r="H482">
        <v>0</v>
      </c>
      <c r="I482">
        <v>0</v>
      </c>
      <c r="J482">
        <v>0</v>
      </c>
      <c r="K482">
        <v>63.6</v>
      </c>
      <c r="L482">
        <v>62.2</v>
      </c>
      <c r="M482">
        <v>83.58</v>
      </c>
      <c r="N482">
        <v>11</v>
      </c>
      <c r="O482">
        <v>1</v>
      </c>
      <c r="P482">
        <f>MOD(DAY(datos_siembra[[#This Row],[Date]]),7)</f>
        <v>4</v>
      </c>
      <c r="Q482" t="str">
        <f>CHOOSE(WEEKDAY(datos_siembra[[#This Row],[Date]],2),"L","M","X","J","V","S","D")</f>
        <v>X</v>
      </c>
      <c r="R482">
        <f>WEEKNUM(datos_siembra[[#This Row],[Date]],2)-WEEKNUM(DATE(YEAR(datos_siembra[[#This Row],[Date]]),MONTH(datos_siembra[[#This Row],[Date]]),1))+1</f>
        <v>2</v>
      </c>
      <c r="S482">
        <f>MONTH(datos_siembra[[#This Row],[Date]])</f>
        <v>9</v>
      </c>
      <c r="T482" t="str" cm="1">
        <f t="array" ref="T482">_xlfn.IFS(AND(N482&lt;= 22, S482=9), "SOWING",AND(N482&lt;= 28, S482=9), "COVERAGE",AND(N482&lt;= 30, S482=9), "FLUSH",AND(N482&lt;= 11, S482=10), "FLUSH",AND(N482&lt;= 21, S482=10), "PRODUCTION")</f>
        <v>SOWING</v>
      </c>
      <c r="U482">
        <f>HOUR(datos_siembra[[#This Row],[Hour]])</f>
        <v>19</v>
      </c>
      <c r="V482" cm="1">
        <f t="array" ref="V482">_xlfn.IFS(AND(N482&lt;= 22, S482=9), N482-7,AND(N482&lt;= 28, S482=9), N482-25,AND(N482&lt;= 30, S482=9), N482-28,AND(N482&lt;= 11, S482=10), N482+2,AND(N482&lt;= 21, S482=10), N482-11)</f>
        <v>4</v>
      </c>
    </row>
    <row r="483" spans="1:22" x14ac:dyDescent="0.35">
      <c r="A483" s="4">
        <v>45546</v>
      </c>
      <c r="B483" s="5">
        <v>0.83228009259259261</v>
      </c>
      <c r="C483">
        <v>82.4</v>
      </c>
      <c r="D483">
        <v>82.3</v>
      </c>
      <c r="E483">
        <v>86.9</v>
      </c>
      <c r="F483">
        <v>82.6</v>
      </c>
      <c r="G483">
        <v>0</v>
      </c>
      <c r="H483">
        <v>0</v>
      </c>
      <c r="I483">
        <v>0</v>
      </c>
      <c r="J483">
        <v>0</v>
      </c>
      <c r="K483">
        <v>63.7</v>
      </c>
      <c r="L483">
        <v>62.2</v>
      </c>
      <c r="M483">
        <v>83.61</v>
      </c>
      <c r="N483">
        <v>11</v>
      </c>
      <c r="O483">
        <v>1</v>
      </c>
      <c r="P483">
        <f>MOD(DAY(datos_siembra[[#This Row],[Date]]),7)</f>
        <v>4</v>
      </c>
      <c r="Q483" t="str">
        <f>CHOOSE(WEEKDAY(datos_siembra[[#This Row],[Date]],2),"L","M","X","J","V","S","D")</f>
        <v>X</v>
      </c>
      <c r="R483">
        <f>WEEKNUM(datos_siembra[[#This Row],[Date]],2)-WEEKNUM(DATE(YEAR(datos_siembra[[#This Row],[Date]]),MONTH(datos_siembra[[#This Row],[Date]]),1))+1</f>
        <v>2</v>
      </c>
      <c r="S483">
        <f>MONTH(datos_siembra[[#This Row],[Date]])</f>
        <v>9</v>
      </c>
      <c r="T483" t="str" cm="1">
        <f t="array" ref="T483">_xlfn.IFS(AND(N483&lt;= 22, S483=9), "SOWING",AND(N483&lt;= 28, S483=9), "COVERAGE",AND(N483&lt;= 30, S483=9), "FLUSH",AND(N483&lt;= 11, S483=10), "FLUSH",AND(N483&lt;= 21, S483=10), "PRODUCTION")</f>
        <v>SOWING</v>
      </c>
      <c r="U483">
        <f>HOUR(datos_siembra[[#This Row],[Hour]])</f>
        <v>19</v>
      </c>
      <c r="V483" cm="1">
        <f t="array" ref="V483">_xlfn.IFS(AND(N483&lt;= 22, S483=9), N483-7,AND(N483&lt;= 28, S483=9), N483-25,AND(N483&lt;= 30, S483=9), N483-28,AND(N483&lt;= 11, S483=10), N483+2,AND(N483&lt;= 21, S483=10), N483-11)</f>
        <v>4</v>
      </c>
    </row>
    <row r="484" spans="1:22" x14ac:dyDescent="0.35">
      <c r="A484" s="4">
        <v>45546</v>
      </c>
      <c r="B484" s="5">
        <v>0.83922453703703703</v>
      </c>
      <c r="C484">
        <v>82.3</v>
      </c>
      <c r="D484">
        <v>82.3</v>
      </c>
      <c r="E484">
        <v>87</v>
      </c>
      <c r="F484">
        <v>82.7</v>
      </c>
      <c r="G484">
        <v>0</v>
      </c>
      <c r="H484">
        <v>0</v>
      </c>
      <c r="I484">
        <v>0</v>
      </c>
      <c r="J484">
        <v>0</v>
      </c>
      <c r="K484">
        <v>63.6</v>
      </c>
      <c r="L484">
        <v>62</v>
      </c>
      <c r="M484">
        <v>83.55</v>
      </c>
      <c r="N484">
        <v>11</v>
      </c>
      <c r="O484">
        <v>1</v>
      </c>
      <c r="P484">
        <f>MOD(DAY(datos_siembra[[#This Row],[Date]]),7)</f>
        <v>4</v>
      </c>
      <c r="Q484" t="str">
        <f>CHOOSE(WEEKDAY(datos_siembra[[#This Row],[Date]],2),"L","M","X","J","V","S","D")</f>
        <v>X</v>
      </c>
      <c r="R484">
        <f>WEEKNUM(datos_siembra[[#This Row],[Date]],2)-WEEKNUM(DATE(YEAR(datos_siembra[[#This Row],[Date]]),MONTH(datos_siembra[[#This Row],[Date]]),1))+1</f>
        <v>2</v>
      </c>
      <c r="S484">
        <f>MONTH(datos_siembra[[#This Row],[Date]])</f>
        <v>9</v>
      </c>
      <c r="T484" t="str" cm="1">
        <f t="array" ref="T484">_xlfn.IFS(AND(N484&lt;= 22, S484=9), "SOWING",AND(N484&lt;= 28, S484=9), "COVERAGE",AND(N484&lt;= 30, S484=9), "FLUSH",AND(N484&lt;= 11, S484=10), "FLUSH",AND(N484&lt;= 21, S484=10), "PRODUCTION")</f>
        <v>SOWING</v>
      </c>
      <c r="U484">
        <f>HOUR(datos_siembra[[#This Row],[Hour]])</f>
        <v>20</v>
      </c>
      <c r="V484" cm="1">
        <f t="array" ref="V484">_xlfn.IFS(AND(N484&lt;= 22, S484=9), N484-7,AND(N484&lt;= 28, S484=9), N484-25,AND(N484&lt;= 30, S484=9), N484-28,AND(N484&lt;= 11, S484=10), N484+2,AND(N484&lt;= 21, S484=10), N484-11)</f>
        <v>4</v>
      </c>
    </row>
    <row r="485" spans="1:22" x14ac:dyDescent="0.35">
      <c r="A485" s="4">
        <v>45546</v>
      </c>
      <c r="B485" s="5">
        <v>0.84616898148148145</v>
      </c>
      <c r="C485">
        <v>82.4</v>
      </c>
      <c r="D485">
        <v>82.2</v>
      </c>
      <c r="E485">
        <v>87</v>
      </c>
      <c r="F485">
        <v>82.7</v>
      </c>
      <c r="G485">
        <v>0</v>
      </c>
      <c r="H485">
        <v>0</v>
      </c>
      <c r="I485">
        <v>0</v>
      </c>
      <c r="J485">
        <v>0</v>
      </c>
      <c r="K485">
        <v>63.5</v>
      </c>
      <c r="L485">
        <v>62</v>
      </c>
      <c r="M485">
        <v>83.61</v>
      </c>
      <c r="N485">
        <v>11</v>
      </c>
      <c r="O485">
        <v>1</v>
      </c>
      <c r="P485">
        <f>MOD(DAY(datos_siembra[[#This Row],[Date]]),7)</f>
        <v>4</v>
      </c>
      <c r="Q485" t="str">
        <f>CHOOSE(WEEKDAY(datos_siembra[[#This Row],[Date]],2),"L","M","X","J","V","S","D")</f>
        <v>X</v>
      </c>
      <c r="R485">
        <f>WEEKNUM(datos_siembra[[#This Row],[Date]],2)-WEEKNUM(DATE(YEAR(datos_siembra[[#This Row],[Date]]),MONTH(datos_siembra[[#This Row],[Date]]),1))+1</f>
        <v>2</v>
      </c>
      <c r="S485">
        <f>MONTH(datos_siembra[[#This Row],[Date]])</f>
        <v>9</v>
      </c>
      <c r="T485" t="str" cm="1">
        <f t="array" ref="T485">_xlfn.IFS(AND(N485&lt;= 22, S485=9), "SOWING",AND(N485&lt;= 28, S485=9), "COVERAGE",AND(N485&lt;= 30, S485=9), "FLUSH",AND(N485&lt;= 11, S485=10), "FLUSH",AND(N485&lt;= 21, S485=10), "PRODUCTION")</f>
        <v>SOWING</v>
      </c>
      <c r="U485">
        <f>HOUR(datos_siembra[[#This Row],[Hour]])</f>
        <v>20</v>
      </c>
      <c r="V485" cm="1">
        <f t="array" ref="V485">_xlfn.IFS(AND(N485&lt;= 22, S485=9), N485-7,AND(N485&lt;= 28, S485=9), N485-25,AND(N485&lt;= 30, S485=9), N485-28,AND(N485&lt;= 11, S485=10), N485+2,AND(N485&lt;= 21, S485=10), N485-11)</f>
        <v>4</v>
      </c>
    </row>
    <row r="486" spans="1:22" x14ac:dyDescent="0.35">
      <c r="A486" s="4">
        <v>45546</v>
      </c>
      <c r="B486" s="5">
        <v>0.85311342592592587</v>
      </c>
      <c r="C486">
        <v>82.3</v>
      </c>
      <c r="D486">
        <v>82.1</v>
      </c>
      <c r="E486">
        <v>87.1</v>
      </c>
      <c r="F486">
        <v>82.7</v>
      </c>
      <c r="G486">
        <v>0</v>
      </c>
      <c r="H486">
        <v>0</v>
      </c>
      <c r="I486">
        <v>0</v>
      </c>
      <c r="J486">
        <v>0</v>
      </c>
      <c r="K486">
        <v>63.5</v>
      </c>
      <c r="L486">
        <v>62</v>
      </c>
      <c r="M486">
        <v>83.58</v>
      </c>
      <c r="N486">
        <v>11</v>
      </c>
      <c r="O486">
        <v>1</v>
      </c>
      <c r="P486">
        <f>MOD(DAY(datos_siembra[[#This Row],[Date]]),7)</f>
        <v>4</v>
      </c>
      <c r="Q486" t="str">
        <f>CHOOSE(WEEKDAY(datos_siembra[[#This Row],[Date]],2),"L","M","X","J","V","S","D")</f>
        <v>X</v>
      </c>
      <c r="R486">
        <f>WEEKNUM(datos_siembra[[#This Row],[Date]],2)-WEEKNUM(DATE(YEAR(datos_siembra[[#This Row],[Date]]),MONTH(datos_siembra[[#This Row],[Date]]),1))+1</f>
        <v>2</v>
      </c>
      <c r="S486">
        <f>MONTH(datos_siembra[[#This Row],[Date]])</f>
        <v>9</v>
      </c>
      <c r="T486" t="str" cm="1">
        <f t="array" ref="T486">_xlfn.IFS(AND(N486&lt;= 22, S486=9), "SOWING",AND(N486&lt;= 28, S486=9), "COVERAGE",AND(N486&lt;= 30, S486=9), "FLUSH",AND(N486&lt;= 11, S486=10), "FLUSH",AND(N486&lt;= 21, S486=10), "PRODUCTION")</f>
        <v>SOWING</v>
      </c>
      <c r="U486">
        <f>HOUR(datos_siembra[[#This Row],[Hour]])</f>
        <v>20</v>
      </c>
      <c r="V486" cm="1">
        <f t="array" ref="V486">_xlfn.IFS(AND(N486&lt;= 22, S486=9), N486-7,AND(N486&lt;= 28, S486=9), N486-25,AND(N486&lt;= 30, S486=9), N486-28,AND(N486&lt;= 11, S486=10), N486+2,AND(N486&lt;= 21, S486=10), N486-11)</f>
        <v>4</v>
      </c>
    </row>
    <row r="487" spans="1:22" x14ac:dyDescent="0.35">
      <c r="A487" s="4">
        <v>45546</v>
      </c>
      <c r="B487" s="5">
        <v>0.86006944444444444</v>
      </c>
      <c r="C487">
        <v>82.2</v>
      </c>
      <c r="D487">
        <v>82.3</v>
      </c>
      <c r="E487">
        <v>87</v>
      </c>
      <c r="F487">
        <v>82.5</v>
      </c>
      <c r="G487">
        <v>0</v>
      </c>
      <c r="H487">
        <v>0</v>
      </c>
      <c r="I487">
        <v>0</v>
      </c>
      <c r="J487">
        <v>0</v>
      </c>
      <c r="K487">
        <v>63.5</v>
      </c>
      <c r="L487">
        <v>61.9</v>
      </c>
      <c r="M487">
        <v>83.52</v>
      </c>
      <c r="N487">
        <v>11</v>
      </c>
      <c r="O487">
        <v>1</v>
      </c>
      <c r="P487">
        <f>MOD(DAY(datos_siembra[[#This Row],[Date]]),7)</f>
        <v>4</v>
      </c>
      <c r="Q487" t="str">
        <f>CHOOSE(WEEKDAY(datos_siembra[[#This Row],[Date]],2),"L","M","X","J","V","S","D")</f>
        <v>X</v>
      </c>
      <c r="R487">
        <f>WEEKNUM(datos_siembra[[#This Row],[Date]],2)-WEEKNUM(DATE(YEAR(datos_siembra[[#This Row],[Date]]),MONTH(datos_siembra[[#This Row],[Date]]),1))+1</f>
        <v>2</v>
      </c>
      <c r="S487">
        <f>MONTH(datos_siembra[[#This Row],[Date]])</f>
        <v>9</v>
      </c>
      <c r="T487" t="str" cm="1">
        <f t="array" ref="T487">_xlfn.IFS(AND(N487&lt;= 22, S487=9), "SOWING",AND(N487&lt;= 28, S487=9), "COVERAGE",AND(N487&lt;= 30, S487=9), "FLUSH",AND(N487&lt;= 11, S487=10), "FLUSH",AND(N487&lt;= 21, S487=10), "PRODUCTION")</f>
        <v>SOWING</v>
      </c>
      <c r="U487">
        <f>HOUR(datos_siembra[[#This Row],[Hour]])</f>
        <v>20</v>
      </c>
      <c r="V487" cm="1">
        <f t="array" ref="V487">_xlfn.IFS(AND(N487&lt;= 22, S487=9), N487-7,AND(N487&lt;= 28, S487=9), N487-25,AND(N487&lt;= 30, S487=9), N487-28,AND(N487&lt;= 11, S487=10), N487+2,AND(N487&lt;= 21, S487=10), N487-11)</f>
        <v>4</v>
      </c>
    </row>
    <row r="488" spans="1:22" x14ac:dyDescent="0.35">
      <c r="A488" s="4">
        <v>45546</v>
      </c>
      <c r="B488" s="5">
        <v>0.86701388888888886</v>
      </c>
      <c r="C488">
        <v>82.3</v>
      </c>
      <c r="D488">
        <v>82.3</v>
      </c>
      <c r="E488">
        <v>86.9</v>
      </c>
      <c r="F488">
        <v>82.7</v>
      </c>
      <c r="G488">
        <v>0</v>
      </c>
      <c r="H488">
        <v>0</v>
      </c>
      <c r="I488">
        <v>0</v>
      </c>
      <c r="J488">
        <v>0</v>
      </c>
      <c r="K488">
        <v>63.4</v>
      </c>
      <c r="L488">
        <v>61.9</v>
      </c>
      <c r="M488">
        <v>83.5</v>
      </c>
      <c r="N488">
        <v>11</v>
      </c>
      <c r="O488">
        <v>1</v>
      </c>
      <c r="P488">
        <f>MOD(DAY(datos_siembra[[#This Row],[Date]]),7)</f>
        <v>4</v>
      </c>
      <c r="Q488" t="str">
        <f>CHOOSE(WEEKDAY(datos_siembra[[#This Row],[Date]],2),"L","M","X","J","V","S","D")</f>
        <v>X</v>
      </c>
      <c r="R488">
        <f>WEEKNUM(datos_siembra[[#This Row],[Date]],2)-WEEKNUM(DATE(YEAR(datos_siembra[[#This Row],[Date]]),MONTH(datos_siembra[[#This Row],[Date]]),1))+1</f>
        <v>2</v>
      </c>
      <c r="S488">
        <f>MONTH(datos_siembra[[#This Row],[Date]])</f>
        <v>9</v>
      </c>
      <c r="T488" t="str" cm="1">
        <f t="array" ref="T488">_xlfn.IFS(AND(N488&lt;= 22, S488=9), "SOWING",AND(N488&lt;= 28, S488=9), "COVERAGE",AND(N488&lt;= 30, S488=9), "FLUSH",AND(N488&lt;= 11, S488=10), "FLUSH",AND(N488&lt;= 21, S488=10), "PRODUCTION")</f>
        <v>SOWING</v>
      </c>
      <c r="U488">
        <f>HOUR(datos_siembra[[#This Row],[Hour]])</f>
        <v>20</v>
      </c>
      <c r="V488" cm="1">
        <f t="array" ref="V488">_xlfn.IFS(AND(N488&lt;= 22, S488=9), N488-7,AND(N488&lt;= 28, S488=9), N488-25,AND(N488&lt;= 30, S488=9), N488-28,AND(N488&lt;= 11, S488=10), N488+2,AND(N488&lt;= 21, S488=10), N488-11)</f>
        <v>4</v>
      </c>
    </row>
    <row r="489" spans="1:22" x14ac:dyDescent="0.35">
      <c r="A489" s="4">
        <v>45546</v>
      </c>
      <c r="B489" s="5">
        <v>0.87395833333333328</v>
      </c>
      <c r="C489">
        <v>82.3</v>
      </c>
      <c r="D489">
        <v>82.2</v>
      </c>
      <c r="E489">
        <v>86.9</v>
      </c>
      <c r="F489">
        <v>83</v>
      </c>
      <c r="G489">
        <v>0</v>
      </c>
      <c r="H489">
        <v>0</v>
      </c>
      <c r="I489">
        <v>0</v>
      </c>
      <c r="J489">
        <v>0</v>
      </c>
      <c r="K489">
        <v>63.4</v>
      </c>
      <c r="L489">
        <v>61.9</v>
      </c>
      <c r="M489">
        <v>83.5</v>
      </c>
      <c r="N489">
        <v>11</v>
      </c>
      <c r="O489">
        <v>1</v>
      </c>
      <c r="P489">
        <f>MOD(DAY(datos_siembra[[#This Row],[Date]]),7)</f>
        <v>4</v>
      </c>
      <c r="Q489" t="str">
        <f>CHOOSE(WEEKDAY(datos_siembra[[#This Row],[Date]],2),"L","M","X","J","V","S","D")</f>
        <v>X</v>
      </c>
      <c r="R489">
        <f>WEEKNUM(datos_siembra[[#This Row],[Date]],2)-WEEKNUM(DATE(YEAR(datos_siembra[[#This Row],[Date]]),MONTH(datos_siembra[[#This Row],[Date]]),1))+1</f>
        <v>2</v>
      </c>
      <c r="S489">
        <f>MONTH(datos_siembra[[#This Row],[Date]])</f>
        <v>9</v>
      </c>
      <c r="T489" t="str" cm="1">
        <f t="array" ref="T489">_xlfn.IFS(AND(N489&lt;= 22, S489=9), "SOWING",AND(N489&lt;= 28, S489=9), "COVERAGE",AND(N489&lt;= 30, S489=9), "FLUSH",AND(N489&lt;= 11, S489=10), "FLUSH",AND(N489&lt;= 21, S489=10), "PRODUCTION")</f>
        <v>SOWING</v>
      </c>
      <c r="U489">
        <f>HOUR(datos_siembra[[#This Row],[Hour]])</f>
        <v>20</v>
      </c>
      <c r="V489" cm="1">
        <f t="array" ref="V489">_xlfn.IFS(AND(N489&lt;= 22, S489=9), N489-7,AND(N489&lt;= 28, S489=9), N489-25,AND(N489&lt;= 30, S489=9), N489-28,AND(N489&lt;= 11, S489=10), N489+2,AND(N489&lt;= 21, S489=10), N489-11)</f>
        <v>4</v>
      </c>
    </row>
    <row r="490" spans="1:22" x14ac:dyDescent="0.35">
      <c r="A490" s="4">
        <v>45546</v>
      </c>
      <c r="B490" s="5">
        <v>0.88091435185185185</v>
      </c>
      <c r="C490">
        <v>82.4</v>
      </c>
      <c r="D490">
        <v>82.2</v>
      </c>
      <c r="E490">
        <v>86.8</v>
      </c>
      <c r="F490">
        <v>82.6</v>
      </c>
      <c r="G490">
        <v>0</v>
      </c>
      <c r="H490">
        <v>0</v>
      </c>
      <c r="I490">
        <v>0</v>
      </c>
      <c r="J490">
        <v>0</v>
      </c>
      <c r="K490">
        <v>63.5</v>
      </c>
      <c r="L490">
        <v>61.9</v>
      </c>
      <c r="M490">
        <v>83.5</v>
      </c>
      <c r="N490">
        <v>11</v>
      </c>
      <c r="O490">
        <v>1</v>
      </c>
      <c r="P490">
        <f>MOD(DAY(datos_siembra[[#This Row],[Date]]),7)</f>
        <v>4</v>
      </c>
      <c r="Q490" t="str">
        <f>CHOOSE(WEEKDAY(datos_siembra[[#This Row],[Date]],2),"L","M","X","J","V","S","D")</f>
        <v>X</v>
      </c>
      <c r="R490">
        <f>WEEKNUM(datos_siembra[[#This Row],[Date]],2)-WEEKNUM(DATE(YEAR(datos_siembra[[#This Row],[Date]]),MONTH(datos_siembra[[#This Row],[Date]]),1))+1</f>
        <v>2</v>
      </c>
      <c r="S490">
        <f>MONTH(datos_siembra[[#This Row],[Date]])</f>
        <v>9</v>
      </c>
      <c r="T490" t="str" cm="1">
        <f t="array" ref="T490">_xlfn.IFS(AND(N490&lt;= 22, S490=9), "SOWING",AND(N490&lt;= 28, S490=9), "COVERAGE",AND(N490&lt;= 30, S490=9), "FLUSH",AND(N490&lt;= 11, S490=10), "FLUSH",AND(N490&lt;= 21, S490=10), "PRODUCTION")</f>
        <v>SOWING</v>
      </c>
      <c r="U490">
        <f>HOUR(datos_siembra[[#This Row],[Hour]])</f>
        <v>21</v>
      </c>
      <c r="V490" cm="1">
        <f t="array" ref="V490">_xlfn.IFS(AND(N490&lt;= 22, S490=9), N490-7,AND(N490&lt;= 28, S490=9), N490-25,AND(N490&lt;= 30, S490=9), N490-28,AND(N490&lt;= 11, S490=10), N490+2,AND(N490&lt;= 21, S490=10), N490-11)</f>
        <v>4</v>
      </c>
    </row>
    <row r="491" spans="1:22" x14ac:dyDescent="0.35">
      <c r="A491" s="4">
        <v>45546</v>
      </c>
      <c r="B491" s="5">
        <v>0.88785879629629627</v>
      </c>
      <c r="C491">
        <v>82.3</v>
      </c>
      <c r="D491">
        <v>82.2</v>
      </c>
      <c r="E491">
        <v>86.9</v>
      </c>
      <c r="F491">
        <v>82.3</v>
      </c>
      <c r="G491">
        <v>0</v>
      </c>
      <c r="H491">
        <v>0</v>
      </c>
      <c r="I491">
        <v>0</v>
      </c>
      <c r="J491">
        <v>0</v>
      </c>
      <c r="K491">
        <v>63.4</v>
      </c>
      <c r="L491">
        <v>61.8</v>
      </c>
      <c r="M491">
        <v>83.47</v>
      </c>
      <c r="N491">
        <v>11</v>
      </c>
      <c r="O491">
        <v>1</v>
      </c>
      <c r="P491">
        <f>MOD(DAY(datos_siembra[[#This Row],[Date]]),7)</f>
        <v>4</v>
      </c>
      <c r="Q491" t="str">
        <f>CHOOSE(WEEKDAY(datos_siembra[[#This Row],[Date]],2),"L","M","X","J","V","S","D")</f>
        <v>X</v>
      </c>
      <c r="R491">
        <f>WEEKNUM(datos_siembra[[#This Row],[Date]],2)-WEEKNUM(DATE(YEAR(datos_siembra[[#This Row],[Date]]),MONTH(datos_siembra[[#This Row],[Date]]),1))+1</f>
        <v>2</v>
      </c>
      <c r="S491">
        <f>MONTH(datos_siembra[[#This Row],[Date]])</f>
        <v>9</v>
      </c>
      <c r="T491" t="str" cm="1">
        <f t="array" ref="T491">_xlfn.IFS(AND(N491&lt;= 22, S491=9), "SOWING",AND(N491&lt;= 28, S491=9), "COVERAGE",AND(N491&lt;= 30, S491=9), "FLUSH",AND(N491&lt;= 11, S491=10), "FLUSH",AND(N491&lt;= 21, S491=10), "PRODUCTION")</f>
        <v>SOWING</v>
      </c>
      <c r="U491">
        <f>HOUR(datos_siembra[[#This Row],[Hour]])</f>
        <v>21</v>
      </c>
      <c r="V491" cm="1">
        <f t="array" ref="V491">_xlfn.IFS(AND(N491&lt;= 22, S491=9), N491-7,AND(N491&lt;= 28, S491=9), N491-25,AND(N491&lt;= 30, S491=9), N491-28,AND(N491&lt;= 11, S491=10), N491+2,AND(N491&lt;= 21, S491=10), N491-11)</f>
        <v>4</v>
      </c>
    </row>
    <row r="492" spans="1:22" x14ac:dyDescent="0.35">
      <c r="A492" s="4">
        <v>45546</v>
      </c>
      <c r="B492" s="5">
        <v>0.89480324074074069</v>
      </c>
      <c r="C492">
        <v>82.3</v>
      </c>
      <c r="D492">
        <v>82.1</v>
      </c>
      <c r="E492">
        <v>86.8</v>
      </c>
      <c r="F492">
        <v>82.6</v>
      </c>
      <c r="G492">
        <v>0</v>
      </c>
      <c r="H492">
        <v>0</v>
      </c>
      <c r="I492">
        <v>0</v>
      </c>
      <c r="J492">
        <v>0</v>
      </c>
      <c r="K492">
        <v>63.4</v>
      </c>
      <c r="L492">
        <v>61.8</v>
      </c>
      <c r="M492">
        <v>83.44</v>
      </c>
      <c r="N492">
        <v>11</v>
      </c>
      <c r="O492">
        <v>1</v>
      </c>
      <c r="P492">
        <f>MOD(DAY(datos_siembra[[#This Row],[Date]]),7)</f>
        <v>4</v>
      </c>
      <c r="Q492" t="str">
        <f>CHOOSE(WEEKDAY(datos_siembra[[#This Row],[Date]],2),"L","M","X","J","V","S","D")</f>
        <v>X</v>
      </c>
      <c r="R492">
        <f>WEEKNUM(datos_siembra[[#This Row],[Date]],2)-WEEKNUM(DATE(YEAR(datos_siembra[[#This Row],[Date]]),MONTH(datos_siembra[[#This Row],[Date]]),1))+1</f>
        <v>2</v>
      </c>
      <c r="S492">
        <f>MONTH(datos_siembra[[#This Row],[Date]])</f>
        <v>9</v>
      </c>
      <c r="T492" t="str" cm="1">
        <f t="array" ref="T492">_xlfn.IFS(AND(N492&lt;= 22, S492=9), "SOWING",AND(N492&lt;= 28, S492=9), "COVERAGE",AND(N492&lt;= 30, S492=9), "FLUSH",AND(N492&lt;= 11, S492=10), "FLUSH",AND(N492&lt;= 21, S492=10), "PRODUCTION")</f>
        <v>SOWING</v>
      </c>
      <c r="U492">
        <f>HOUR(datos_siembra[[#This Row],[Hour]])</f>
        <v>21</v>
      </c>
      <c r="V492" cm="1">
        <f t="array" ref="V492">_xlfn.IFS(AND(N492&lt;= 22, S492=9), N492-7,AND(N492&lt;= 28, S492=9), N492-25,AND(N492&lt;= 30, S492=9), N492-28,AND(N492&lt;= 11, S492=10), N492+2,AND(N492&lt;= 21, S492=10), N492-11)</f>
        <v>4</v>
      </c>
    </row>
    <row r="493" spans="1:22" x14ac:dyDescent="0.35">
      <c r="A493" s="4">
        <v>45546</v>
      </c>
      <c r="B493" s="5">
        <v>0.90174768518518522</v>
      </c>
      <c r="C493">
        <v>82.4</v>
      </c>
      <c r="D493">
        <v>82.1</v>
      </c>
      <c r="E493">
        <v>86.8</v>
      </c>
      <c r="F493">
        <v>82.6</v>
      </c>
      <c r="G493">
        <v>0</v>
      </c>
      <c r="H493">
        <v>0</v>
      </c>
      <c r="I493">
        <v>0</v>
      </c>
      <c r="J493">
        <v>0</v>
      </c>
      <c r="K493">
        <v>63.4</v>
      </c>
      <c r="L493">
        <v>61.8</v>
      </c>
      <c r="M493">
        <v>83.47</v>
      </c>
      <c r="N493">
        <v>11</v>
      </c>
      <c r="O493">
        <v>1</v>
      </c>
      <c r="P493">
        <f>MOD(DAY(datos_siembra[[#This Row],[Date]]),7)</f>
        <v>4</v>
      </c>
      <c r="Q493" t="str">
        <f>CHOOSE(WEEKDAY(datos_siembra[[#This Row],[Date]],2),"L","M","X","J","V","S","D")</f>
        <v>X</v>
      </c>
      <c r="R493">
        <f>WEEKNUM(datos_siembra[[#This Row],[Date]],2)-WEEKNUM(DATE(YEAR(datos_siembra[[#This Row],[Date]]),MONTH(datos_siembra[[#This Row],[Date]]),1))+1</f>
        <v>2</v>
      </c>
      <c r="S493">
        <f>MONTH(datos_siembra[[#This Row],[Date]])</f>
        <v>9</v>
      </c>
      <c r="T493" t="str" cm="1">
        <f t="array" ref="T493">_xlfn.IFS(AND(N493&lt;= 22, S493=9), "SOWING",AND(N493&lt;= 28, S493=9), "COVERAGE",AND(N493&lt;= 30, S493=9), "FLUSH",AND(N493&lt;= 11, S493=10), "FLUSH",AND(N493&lt;= 21, S493=10), "PRODUCTION")</f>
        <v>SOWING</v>
      </c>
      <c r="U493">
        <f>HOUR(datos_siembra[[#This Row],[Hour]])</f>
        <v>21</v>
      </c>
      <c r="V493" cm="1">
        <f t="array" ref="V493">_xlfn.IFS(AND(N493&lt;= 22, S493=9), N493-7,AND(N493&lt;= 28, S493=9), N493-25,AND(N493&lt;= 30, S493=9), N493-28,AND(N493&lt;= 11, S493=10), N493+2,AND(N493&lt;= 21, S493=10), N493-11)</f>
        <v>4</v>
      </c>
    </row>
    <row r="494" spans="1:22" x14ac:dyDescent="0.35">
      <c r="A494" s="4">
        <v>45546</v>
      </c>
      <c r="B494" s="5">
        <v>0.90870370370370368</v>
      </c>
      <c r="C494">
        <v>82.3</v>
      </c>
      <c r="D494">
        <v>82.1</v>
      </c>
      <c r="E494">
        <v>86.8</v>
      </c>
      <c r="F494">
        <v>82.5</v>
      </c>
      <c r="G494">
        <v>0</v>
      </c>
      <c r="H494">
        <v>0</v>
      </c>
      <c r="I494">
        <v>0</v>
      </c>
      <c r="J494">
        <v>0</v>
      </c>
      <c r="K494">
        <v>63.4</v>
      </c>
      <c r="L494">
        <v>61.9</v>
      </c>
      <c r="M494">
        <v>83.36</v>
      </c>
      <c r="N494">
        <v>11</v>
      </c>
      <c r="O494">
        <v>1</v>
      </c>
      <c r="P494">
        <f>MOD(DAY(datos_siembra[[#This Row],[Date]]),7)</f>
        <v>4</v>
      </c>
      <c r="Q494" t="str">
        <f>CHOOSE(WEEKDAY(datos_siembra[[#This Row],[Date]],2),"L","M","X","J","V","S","D")</f>
        <v>X</v>
      </c>
      <c r="R494">
        <f>WEEKNUM(datos_siembra[[#This Row],[Date]],2)-WEEKNUM(DATE(YEAR(datos_siembra[[#This Row],[Date]]),MONTH(datos_siembra[[#This Row],[Date]]),1))+1</f>
        <v>2</v>
      </c>
      <c r="S494">
        <f>MONTH(datos_siembra[[#This Row],[Date]])</f>
        <v>9</v>
      </c>
      <c r="T494" t="str" cm="1">
        <f t="array" ref="T494">_xlfn.IFS(AND(N494&lt;= 22, S494=9), "SOWING",AND(N494&lt;= 28, S494=9), "COVERAGE",AND(N494&lt;= 30, S494=9), "FLUSH",AND(N494&lt;= 11, S494=10), "FLUSH",AND(N494&lt;= 21, S494=10), "PRODUCTION")</f>
        <v>SOWING</v>
      </c>
      <c r="U494">
        <f>HOUR(datos_siembra[[#This Row],[Hour]])</f>
        <v>21</v>
      </c>
      <c r="V494" cm="1">
        <f t="array" ref="V494">_xlfn.IFS(AND(N494&lt;= 22, S494=9), N494-7,AND(N494&lt;= 28, S494=9), N494-25,AND(N494&lt;= 30, S494=9), N494-28,AND(N494&lt;= 11, S494=10), N494+2,AND(N494&lt;= 21, S494=10), N494-11)</f>
        <v>4</v>
      </c>
    </row>
    <row r="495" spans="1:22" x14ac:dyDescent="0.35">
      <c r="A495" s="4">
        <v>45546</v>
      </c>
      <c r="B495" s="5">
        <v>0.9156481481481481</v>
      </c>
      <c r="C495">
        <v>82.3</v>
      </c>
      <c r="D495">
        <v>81.8</v>
      </c>
      <c r="E495">
        <v>86.8</v>
      </c>
      <c r="F495">
        <v>82.3</v>
      </c>
      <c r="G495">
        <v>0</v>
      </c>
      <c r="H495">
        <v>0</v>
      </c>
      <c r="I495">
        <v>0</v>
      </c>
      <c r="J495">
        <v>0</v>
      </c>
      <c r="K495">
        <v>63.4</v>
      </c>
      <c r="L495">
        <v>61.8</v>
      </c>
      <c r="M495">
        <v>83.36</v>
      </c>
      <c r="N495">
        <v>11</v>
      </c>
      <c r="O495">
        <v>1</v>
      </c>
      <c r="P495">
        <f>MOD(DAY(datos_siembra[[#This Row],[Date]]),7)</f>
        <v>4</v>
      </c>
      <c r="Q495" t="str">
        <f>CHOOSE(WEEKDAY(datos_siembra[[#This Row],[Date]],2),"L","M","X","J","V","S","D")</f>
        <v>X</v>
      </c>
      <c r="R495">
        <f>WEEKNUM(datos_siembra[[#This Row],[Date]],2)-WEEKNUM(DATE(YEAR(datos_siembra[[#This Row],[Date]]),MONTH(datos_siembra[[#This Row],[Date]]),1))+1</f>
        <v>2</v>
      </c>
      <c r="S495">
        <f>MONTH(datos_siembra[[#This Row],[Date]])</f>
        <v>9</v>
      </c>
      <c r="T495" t="str" cm="1">
        <f t="array" ref="T495">_xlfn.IFS(AND(N495&lt;= 22, S495=9), "SOWING",AND(N495&lt;= 28, S495=9), "COVERAGE",AND(N495&lt;= 30, S495=9), "FLUSH",AND(N495&lt;= 11, S495=10), "FLUSH",AND(N495&lt;= 21, S495=10), "PRODUCTION")</f>
        <v>SOWING</v>
      </c>
      <c r="U495">
        <f>HOUR(datos_siembra[[#This Row],[Hour]])</f>
        <v>21</v>
      </c>
      <c r="V495" cm="1">
        <f t="array" ref="V495">_xlfn.IFS(AND(N495&lt;= 22, S495=9), N495-7,AND(N495&lt;= 28, S495=9), N495-25,AND(N495&lt;= 30, S495=9), N495-28,AND(N495&lt;= 11, S495=10), N495+2,AND(N495&lt;= 21, S495=10), N495-11)</f>
        <v>4</v>
      </c>
    </row>
    <row r="496" spans="1:22" x14ac:dyDescent="0.35">
      <c r="A496" s="4">
        <v>45546</v>
      </c>
      <c r="B496" s="5">
        <v>0.92259259259259263</v>
      </c>
      <c r="C496">
        <v>82.5</v>
      </c>
      <c r="D496">
        <v>82</v>
      </c>
      <c r="E496">
        <v>86.8</v>
      </c>
      <c r="F496">
        <v>82.2</v>
      </c>
      <c r="G496">
        <v>0</v>
      </c>
      <c r="H496">
        <v>0</v>
      </c>
      <c r="I496">
        <v>0</v>
      </c>
      <c r="J496">
        <v>0</v>
      </c>
      <c r="K496">
        <v>63.4</v>
      </c>
      <c r="L496">
        <v>61.8</v>
      </c>
      <c r="M496">
        <v>83.41</v>
      </c>
      <c r="N496">
        <v>11</v>
      </c>
      <c r="O496">
        <v>1</v>
      </c>
      <c r="P496">
        <f>MOD(DAY(datos_siembra[[#This Row],[Date]]),7)</f>
        <v>4</v>
      </c>
      <c r="Q496" t="str">
        <f>CHOOSE(WEEKDAY(datos_siembra[[#This Row],[Date]],2),"L","M","X","J","V","S","D")</f>
        <v>X</v>
      </c>
      <c r="R496">
        <f>WEEKNUM(datos_siembra[[#This Row],[Date]],2)-WEEKNUM(DATE(YEAR(datos_siembra[[#This Row],[Date]]),MONTH(datos_siembra[[#This Row],[Date]]),1))+1</f>
        <v>2</v>
      </c>
      <c r="S496">
        <f>MONTH(datos_siembra[[#This Row],[Date]])</f>
        <v>9</v>
      </c>
      <c r="T496" t="str" cm="1">
        <f t="array" ref="T496">_xlfn.IFS(AND(N496&lt;= 22, S496=9), "SOWING",AND(N496&lt;= 28, S496=9), "COVERAGE",AND(N496&lt;= 30, S496=9), "FLUSH",AND(N496&lt;= 11, S496=10), "FLUSH",AND(N496&lt;= 21, S496=10), "PRODUCTION")</f>
        <v>SOWING</v>
      </c>
      <c r="U496">
        <f>HOUR(datos_siembra[[#This Row],[Hour]])</f>
        <v>22</v>
      </c>
      <c r="V496" cm="1">
        <f t="array" ref="V496">_xlfn.IFS(AND(N496&lt;= 22, S496=9), N496-7,AND(N496&lt;= 28, S496=9), N496-25,AND(N496&lt;= 30, S496=9), N496-28,AND(N496&lt;= 11, S496=10), N496+2,AND(N496&lt;= 21, S496=10), N496-11)</f>
        <v>4</v>
      </c>
    </row>
    <row r="497" spans="1:22" x14ac:dyDescent="0.35">
      <c r="A497" s="4">
        <v>45546</v>
      </c>
      <c r="B497" s="5">
        <v>0.92953703703703705</v>
      </c>
      <c r="C497">
        <v>82.9</v>
      </c>
      <c r="D497">
        <v>82</v>
      </c>
      <c r="E497">
        <v>86.8</v>
      </c>
      <c r="F497">
        <v>82.5</v>
      </c>
      <c r="G497">
        <v>0</v>
      </c>
      <c r="H497">
        <v>0</v>
      </c>
      <c r="I497">
        <v>0</v>
      </c>
      <c r="J497">
        <v>0</v>
      </c>
      <c r="K497">
        <v>63.4</v>
      </c>
      <c r="L497">
        <v>61.9</v>
      </c>
      <c r="M497">
        <v>83.52</v>
      </c>
      <c r="N497">
        <v>11</v>
      </c>
      <c r="O497">
        <v>1</v>
      </c>
      <c r="P497">
        <f>MOD(DAY(datos_siembra[[#This Row],[Date]]),7)</f>
        <v>4</v>
      </c>
      <c r="Q497" t="str">
        <f>CHOOSE(WEEKDAY(datos_siembra[[#This Row],[Date]],2),"L","M","X","J","V","S","D")</f>
        <v>X</v>
      </c>
      <c r="R497">
        <f>WEEKNUM(datos_siembra[[#This Row],[Date]],2)-WEEKNUM(DATE(YEAR(datos_siembra[[#This Row],[Date]]),MONTH(datos_siembra[[#This Row],[Date]]),1))+1</f>
        <v>2</v>
      </c>
      <c r="S497">
        <f>MONTH(datos_siembra[[#This Row],[Date]])</f>
        <v>9</v>
      </c>
      <c r="T497" t="str" cm="1">
        <f t="array" ref="T497">_xlfn.IFS(AND(N497&lt;= 22, S497=9), "SOWING",AND(N497&lt;= 28, S497=9), "COVERAGE",AND(N497&lt;= 30, S497=9), "FLUSH",AND(N497&lt;= 11, S497=10), "FLUSH",AND(N497&lt;= 21, S497=10), "PRODUCTION")</f>
        <v>SOWING</v>
      </c>
      <c r="U497">
        <f>HOUR(datos_siembra[[#This Row],[Hour]])</f>
        <v>22</v>
      </c>
      <c r="V497" cm="1">
        <f t="array" ref="V497">_xlfn.IFS(AND(N497&lt;= 22, S497=9), N497-7,AND(N497&lt;= 28, S497=9), N497-25,AND(N497&lt;= 30, S497=9), N497-28,AND(N497&lt;= 11, S497=10), N497+2,AND(N497&lt;= 21, S497=10), N497-11)</f>
        <v>4</v>
      </c>
    </row>
    <row r="498" spans="1:22" x14ac:dyDescent="0.35">
      <c r="A498" s="4">
        <v>45546</v>
      </c>
      <c r="B498" s="5">
        <v>0.93649305555555551</v>
      </c>
      <c r="C498">
        <v>83</v>
      </c>
      <c r="D498">
        <v>82</v>
      </c>
      <c r="E498">
        <v>86.7</v>
      </c>
      <c r="F498">
        <v>82.2</v>
      </c>
      <c r="G498">
        <v>0</v>
      </c>
      <c r="H498">
        <v>0</v>
      </c>
      <c r="I498">
        <v>0</v>
      </c>
      <c r="J498">
        <v>0</v>
      </c>
      <c r="K498">
        <v>63.4</v>
      </c>
      <c r="L498">
        <v>61.9</v>
      </c>
      <c r="M498">
        <v>83.47</v>
      </c>
      <c r="N498">
        <v>11</v>
      </c>
      <c r="O498">
        <v>1</v>
      </c>
      <c r="P498">
        <f>MOD(DAY(datos_siembra[[#This Row],[Date]]),7)</f>
        <v>4</v>
      </c>
      <c r="Q498" t="str">
        <f>CHOOSE(WEEKDAY(datos_siembra[[#This Row],[Date]],2),"L","M","X","J","V","S","D")</f>
        <v>X</v>
      </c>
      <c r="R498">
        <f>WEEKNUM(datos_siembra[[#This Row],[Date]],2)-WEEKNUM(DATE(YEAR(datos_siembra[[#This Row],[Date]]),MONTH(datos_siembra[[#This Row],[Date]]),1))+1</f>
        <v>2</v>
      </c>
      <c r="S498">
        <f>MONTH(datos_siembra[[#This Row],[Date]])</f>
        <v>9</v>
      </c>
      <c r="T498" t="str" cm="1">
        <f t="array" ref="T498">_xlfn.IFS(AND(N498&lt;= 22, S498=9), "SOWING",AND(N498&lt;= 28, S498=9), "COVERAGE",AND(N498&lt;= 30, S498=9), "FLUSH",AND(N498&lt;= 11, S498=10), "FLUSH",AND(N498&lt;= 21, S498=10), "PRODUCTION")</f>
        <v>SOWING</v>
      </c>
      <c r="U498">
        <f>HOUR(datos_siembra[[#This Row],[Hour]])</f>
        <v>22</v>
      </c>
      <c r="V498" cm="1">
        <f t="array" ref="V498">_xlfn.IFS(AND(N498&lt;= 22, S498=9), N498-7,AND(N498&lt;= 28, S498=9), N498-25,AND(N498&lt;= 30, S498=9), N498-28,AND(N498&lt;= 11, S498=10), N498+2,AND(N498&lt;= 21, S498=10), N498-11)</f>
        <v>4</v>
      </c>
    </row>
    <row r="499" spans="1:22" x14ac:dyDescent="0.35">
      <c r="A499" s="4">
        <v>45546</v>
      </c>
      <c r="B499" s="5">
        <v>0.94343750000000004</v>
      </c>
      <c r="C499">
        <v>83.2</v>
      </c>
      <c r="D499">
        <v>81.8</v>
      </c>
      <c r="E499">
        <v>86.7</v>
      </c>
      <c r="F499">
        <v>82.1</v>
      </c>
      <c r="G499">
        <v>0</v>
      </c>
      <c r="H499">
        <v>0</v>
      </c>
      <c r="I499">
        <v>0</v>
      </c>
      <c r="J499">
        <v>0</v>
      </c>
      <c r="K499">
        <v>63.4</v>
      </c>
      <c r="L499">
        <v>61.9</v>
      </c>
      <c r="M499">
        <v>83.47</v>
      </c>
      <c r="N499">
        <v>11</v>
      </c>
      <c r="O499">
        <v>1</v>
      </c>
      <c r="P499">
        <f>MOD(DAY(datos_siembra[[#This Row],[Date]]),7)</f>
        <v>4</v>
      </c>
      <c r="Q499" t="str">
        <f>CHOOSE(WEEKDAY(datos_siembra[[#This Row],[Date]],2),"L","M","X","J","V","S","D")</f>
        <v>X</v>
      </c>
      <c r="R499">
        <f>WEEKNUM(datos_siembra[[#This Row],[Date]],2)-WEEKNUM(DATE(YEAR(datos_siembra[[#This Row],[Date]]),MONTH(datos_siembra[[#This Row],[Date]]),1))+1</f>
        <v>2</v>
      </c>
      <c r="S499">
        <f>MONTH(datos_siembra[[#This Row],[Date]])</f>
        <v>9</v>
      </c>
      <c r="T499" t="str" cm="1">
        <f t="array" ref="T499">_xlfn.IFS(AND(N499&lt;= 22, S499=9), "SOWING",AND(N499&lt;= 28, S499=9), "COVERAGE",AND(N499&lt;= 30, S499=9), "FLUSH",AND(N499&lt;= 11, S499=10), "FLUSH",AND(N499&lt;= 21, S499=10), "PRODUCTION")</f>
        <v>SOWING</v>
      </c>
      <c r="U499">
        <f>HOUR(datos_siembra[[#This Row],[Hour]])</f>
        <v>22</v>
      </c>
      <c r="V499" cm="1">
        <f t="array" ref="V499">_xlfn.IFS(AND(N499&lt;= 22, S499=9), N499-7,AND(N499&lt;= 28, S499=9), N499-25,AND(N499&lt;= 30, S499=9), N499-28,AND(N499&lt;= 11, S499=10), N499+2,AND(N499&lt;= 21, S499=10), N499-11)</f>
        <v>4</v>
      </c>
    </row>
    <row r="500" spans="1:22" x14ac:dyDescent="0.35">
      <c r="A500" s="4">
        <v>45546</v>
      </c>
      <c r="B500" s="5">
        <v>0.95038194444444446</v>
      </c>
      <c r="C500">
        <v>83.3</v>
      </c>
      <c r="D500">
        <v>81.8</v>
      </c>
      <c r="E500">
        <v>86.8</v>
      </c>
      <c r="F500">
        <v>82.2</v>
      </c>
      <c r="G500">
        <v>0</v>
      </c>
      <c r="H500">
        <v>0</v>
      </c>
      <c r="I500">
        <v>0</v>
      </c>
      <c r="J500">
        <v>0</v>
      </c>
      <c r="K500">
        <v>63.4</v>
      </c>
      <c r="L500">
        <v>61.8</v>
      </c>
      <c r="M500">
        <v>83.58</v>
      </c>
      <c r="N500">
        <v>11</v>
      </c>
      <c r="O500">
        <v>1</v>
      </c>
      <c r="P500">
        <f>MOD(DAY(datos_siembra[[#This Row],[Date]]),7)</f>
        <v>4</v>
      </c>
      <c r="Q500" t="str">
        <f>CHOOSE(WEEKDAY(datos_siembra[[#This Row],[Date]],2),"L","M","X","J","V","S","D")</f>
        <v>X</v>
      </c>
      <c r="R500">
        <f>WEEKNUM(datos_siembra[[#This Row],[Date]],2)-WEEKNUM(DATE(YEAR(datos_siembra[[#This Row],[Date]]),MONTH(datos_siembra[[#This Row],[Date]]),1))+1</f>
        <v>2</v>
      </c>
      <c r="S500">
        <f>MONTH(datos_siembra[[#This Row],[Date]])</f>
        <v>9</v>
      </c>
      <c r="T500" t="str" cm="1">
        <f t="array" ref="T500">_xlfn.IFS(AND(N500&lt;= 22, S500=9), "SOWING",AND(N500&lt;= 28, S500=9), "COVERAGE",AND(N500&lt;= 30, S500=9), "FLUSH",AND(N500&lt;= 11, S500=10), "FLUSH",AND(N500&lt;= 21, S500=10), "PRODUCTION")</f>
        <v>SOWING</v>
      </c>
      <c r="U500">
        <f>HOUR(datos_siembra[[#This Row],[Hour]])</f>
        <v>22</v>
      </c>
      <c r="V500" cm="1">
        <f t="array" ref="V500">_xlfn.IFS(AND(N500&lt;= 22, S500=9), N500-7,AND(N500&lt;= 28, S500=9), N500-25,AND(N500&lt;= 30, S500=9), N500-28,AND(N500&lt;= 11, S500=10), N500+2,AND(N500&lt;= 21, S500=10), N500-11)</f>
        <v>4</v>
      </c>
    </row>
    <row r="501" spans="1:22" x14ac:dyDescent="0.35">
      <c r="A501" s="4">
        <v>45546</v>
      </c>
      <c r="B501" s="5">
        <v>0.95733796296296292</v>
      </c>
      <c r="C501">
        <v>83.2</v>
      </c>
      <c r="D501">
        <v>81.8</v>
      </c>
      <c r="E501">
        <v>86.6</v>
      </c>
      <c r="F501">
        <v>82.2</v>
      </c>
      <c r="G501">
        <v>0</v>
      </c>
      <c r="H501">
        <v>0</v>
      </c>
      <c r="I501">
        <v>0</v>
      </c>
      <c r="J501">
        <v>0</v>
      </c>
      <c r="K501">
        <v>63.4</v>
      </c>
      <c r="L501">
        <v>61.9</v>
      </c>
      <c r="M501">
        <v>83.55</v>
      </c>
      <c r="N501">
        <v>11</v>
      </c>
      <c r="O501">
        <v>1</v>
      </c>
      <c r="P501">
        <f>MOD(DAY(datos_siembra[[#This Row],[Date]]),7)</f>
        <v>4</v>
      </c>
      <c r="Q501" t="str">
        <f>CHOOSE(WEEKDAY(datos_siembra[[#This Row],[Date]],2),"L","M","X","J","V","S","D")</f>
        <v>X</v>
      </c>
      <c r="R501">
        <f>WEEKNUM(datos_siembra[[#This Row],[Date]],2)-WEEKNUM(DATE(YEAR(datos_siembra[[#This Row],[Date]]),MONTH(datos_siembra[[#This Row],[Date]]),1))+1</f>
        <v>2</v>
      </c>
      <c r="S501">
        <f>MONTH(datos_siembra[[#This Row],[Date]])</f>
        <v>9</v>
      </c>
      <c r="T501" t="str" cm="1">
        <f t="array" ref="T501">_xlfn.IFS(AND(N501&lt;= 22, S501=9), "SOWING",AND(N501&lt;= 28, S501=9), "COVERAGE",AND(N501&lt;= 30, S501=9), "FLUSH",AND(N501&lt;= 11, S501=10), "FLUSH",AND(N501&lt;= 21, S501=10), "PRODUCTION")</f>
        <v>SOWING</v>
      </c>
      <c r="U501">
        <f>HOUR(datos_siembra[[#This Row],[Hour]])</f>
        <v>22</v>
      </c>
      <c r="V501" cm="1">
        <f t="array" ref="V501">_xlfn.IFS(AND(N501&lt;= 22, S501=9), N501-7,AND(N501&lt;= 28, S501=9), N501-25,AND(N501&lt;= 30, S501=9), N501-28,AND(N501&lt;= 11, S501=10), N501+2,AND(N501&lt;= 21, S501=10), N501-11)</f>
        <v>4</v>
      </c>
    </row>
    <row r="502" spans="1:22" x14ac:dyDescent="0.35">
      <c r="A502" s="4">
        <v>45546</v>
      </c>
      <c r="B502" s="5">
        <v>0.96428240740740745</v>
      </c>
      <c r="C502">
        <v>83.3</v>
      </c>
      <c r="D502">
        <v>81.8</v>
      </c>
      <c r="E502">
        <v>86.6</v>
      </c>
      <c r="F502">
        <v>82.1</v>
      </c>
      <c r="G502">
        <v>0</v>
      </c>
      <c r="H502">
        <v>0</v>
      </c>
      <c r="I502">
        <v>0</v>
      </c>
      <c r="J502">
        <v>0</v>
      </c>
      <c r="K502">
        <v>63.4</v>
      </c>
      <c r="L502">
        <v>61.8</v>
      </c>
      <c r="M502">
        <v>83.55</v>
      </c>
      <c r="N502">
        <v>11</v>
      </c>
      <c r="O502">
        <v>1</v>
      </c>
      <c r="P502">
        <f>MOD(DAY(datos_siembra[[#This Row],[Date]]),7)</f>
        <v>4</v>
      </c>
      <c r="Q502" t="str">
        <f>CHOOSE(WEEKDAY(datos_siembra[[#This Row],[Date]],2),"L","M","X","J","V","S","D")</f>
        <v>X</v>
      </c>
      <c r="R502">
        <f>WEEKNUM(datos_siembra[[#This Row],[Date]],2)-WEEKNUM(DATE(YEAR(datos_siembra[[#This Row],[Date]]),MONTH(datos_siembra[[#This Row],[Date]]),1))+1</f>
        <v>2</v>
      </c>
      <c r="S502">
        <f>MONTH(datos_siembra[[#This Row],[Date]])</f>
        <v>9</v>
      </c>
      <c r="T502" t="str" cm="1">
        <f t="array" ref="T502">_xlfn.IFS(AND(N502&lt;= 22, S502=9), "SOWING",AND(N502&lt;= 28, S502=9), "COVERAGE",AND(N502&lt;= 30, S502=9), "FLUSH",AND(N502&lt;= 11, S502=10), "FLUSH",AND(N502&lt;= 21, S502=10), "PRODUCTION")</f>
        <v>SOWING</v>
      </c>
      <c r="U502">
        <f>HOUR(datos_siembra[[#This Row],[Hour]])</f>
        <v>23</v>
      </c>
      <c r="V502" cm="1">
        <f t="array" ref="V502">_xlfn.IFS(AND(N502&lt;= 22, S502=9), N502-7,AND(N502&lt;= 28, S502=9), N502-25,AND(N502&lt;= 30, S502=9), N502-28,AND(N502&lt;= 11, S502=10), N502+2,AND(N502&lt;= 21, S502=10), N502-11)</f>
        <v>4</v>
      </c>
    </row>
    <row r="503" spans="1:22" x14ac:dyDescent="0.35">
      <c r="A503" s="4">
        <v>45546</v>
      </c>
      <c r="B503" s="5">
        <v>0.97122685185185187</v>
      </c>
      <c r="C503">
        <v>83.3</v>
      </c>
      <c r="D503">
        <v>81.7</v>
      </c>
      <c r="E503">
        <v>86.7</v>
      </c>
      <c r="F503">
        <v>82.2</v>
      </c>
      <c r="G503">
        <v>0</v>
      </c>
      <c r="H503">
        <v>0</v>
      </c>
      <c r="I503">
        <v>0</v>
      </c>
      <c r="J503">
        <v>0</v>
      </c>
      <c r="K503">
        <v>63.4</v>
      </c>
      <c r="L503">
        <v>61.9</v>
      </c>
      <c r="M503">
        <v>83.47</v>
      </c>
      <c r="N503">
        <v>11</v>
      </c>
      <c r="O503">
        <v>1</v>
      </c>
      <c r="P503">
        <f>MOD(DAY(datos_siembra[[#This Row],[Date]]),7)</f>
        <v>4</v>
      </c>
      <c r="Q503" t="str">
        <f>CHOOSE(WEEKDAY(datos_siembra[[#This Row],[Date]],2),"L","M","X","J","V","S","D")</f>
        <v>X</v>
      </c>
      <c r="R503">
        <f>WEEKNUM(datos_siembra[[#This Row],[Date]],2)-WEEKNUM(DATE(YEAR(datos_siembra[[#This Row],[Date]]),MONTH(datos_siembra[[#This Row],[Date]]),1))+1</f>
        <v>2</v>
      </c>
      <c r="S503">
        <f>MONTH(datos_siembra[[#This Row],[Date]])</f>
        <v>9</v>
      </c>
      <c r="T503" t="str" cm="1">
        <f t="array" ref="T503">_xlfn.IFS(AND(N503&lt;= 22, S503=9), "SOWING",AND(N503&lt;= 28, S503=9), "COVERAGE",AND(N503&lt;= 30, S503=9), "FLUSH",AND(N503&lt;= 11, S503=10), "FLUSH",AND(N503&lt;= 21, S503=10), "PRODUCTION")</f>
        <v>SOWING</v>
      </c>
      <c r="U503">
        <f>HOUR(datos_siembra[[#This Row],[Hour]])</f>
        <v>23</v>
      </c>
      <c r="V503" cm="1">
        <f t="array" ref="V503">_xlfn.IFS(AND(N503&lt;= 22, S503=9), N503-7,AND(N503&lt;= 28, S503=9), N503-25,AND(N503&lt;= 30, S503=9), N503-28,AND(N503&lt;= 11, S503=10), N503+2,AND(N503&lt;= 21, S503=10), N503-11)</f>
        <v>4</v>
      </c>
    </row>
    <row r="504" spans="1:22" x14ac:dyDescent="0.35">
      <c r="A504" s="4">
        <v>45546</v>
      </c>
      <c r="B504" s="5">
        <v>0.97817129629629629</v>
      </c>
      <c r="C504">
        <v>83.3</v>
      </c>
      <c r="D504">
        <v>81.599999999999994</v>
      </c>
      <c r="E504">
        <v>86.7</v>
      </c>
      <c r="F504">
        <v>82.2</v>
      </c>
      <c r="G504">
        <v>0</v>
      </c>
      <c r="H504">
        <v>0</v>
      </c>
      <c r="I504">
        <v>0</v>
      </c>
      <c r="J504">
        <v>0</v>
      </c>
      <c r="K504">
        <v>63.4</v>
      </c>
      <c r="L504">
        <v>61.8</v>
      </c>
      <c r="M504">
        <v>83.44</v>
      </c>
      <c r="N504">
        <v>11</v>
      </c>
      <c r="O504">
        <v>1</v>
      </c>
      <c r="P504">
        <f>MOD(DAY(datos_siembra[[#This Row],[Date]]),7)</f>
        <v>4</v>
      </c>
      <c r="Q504" t="str">
        <f>CHOOSE(WEEKDAY(datos_siembra[[#This Row],[Date]],2),"L","M","X","J","V","S","D")</f>
        <v>X</v>
      </c>
      <c r="R504">
        <f>WEEKNUM(datos_siembra[[#This Row],[Date]],2)-WEEKNUM(DATE(YEAR(datos_siembra[[#This Row],[Date]]),MONTH(datos_siembra[[#This Row],[Date]]),1))+1</f>
        <v>2</v>
      </c>
      <c r="S504">
        <f>MONTH(datos_siembra[[#This Row],[Date]])</f>
        <v>9</v>
      </c>
      <c r="T504" t="str" cm="1">
        <f t="array" ref="T504">_xlfn.IFS(AND(N504&lt;= 22, S504=9), "SOWING",AND(N504&lt;= 28, S504=9), "COVERAGE",AND(N504&lt;= 30, S504=9), "FLUSH",AND(N504&lt;= 11, S504=10), "FLUSH",AND(N504&lt;= 21, S504=10), "PRODUCTION")</f>
        <v>SOWING</v>
      </c>
      <c r="U504">
        <f>HOUR(datos_siembra[[#This Row],[Hour]])</f>
        <v>23</v>
      </c>
      <c r="V504" cm="1">
        <f t="array" ref="V504">_xlfn.IFS(AND(N504&lt;= 22, S504=9), N504-7,AND(N504&lt;= 28, S504=9), N504-25,AND(N504&lt;= 30, S504=9), N504-28,AND(N504&lt;= 11, S504=10), N504+2,AND(N504&lt;= 21, S504=10), N504-11)</f>
        <v>4</v>
      </c>
    </row>
    <row r="505" spans="1:22" x14ac:dyDescent="0.35">
      <c r="A505" s="4">
        <v>45546</v>
      </c>
      <c r="B505" s="5">
        <v>0.98512731481481486</v>
      </c>
      <c r="C505">
        <v>83.3</v>
      </c>
      <c r="D505">
        <v>81.599999999999994</v>
      </c>
      <c r="E505">
        <v>86.7</v>
      </c>
      <c r="F505">
        <v>82.2</v>
      </c>
      <c r="G505">
        <v>0</v>
      </c>
      <c r="H505">
        <v>0</v>
      </c>
      <c r="I505">
        <v>0</v>
      </c>
      <c r="J505">
        <v>0</v>
      </c>
      <c r="K505">
        <v>63.4</v>
      </c>
      <c r="L505">
        <v>61.8</v>
      </c>
      <c r="M505">
        <v>83.41</v>
      </c>
      <c r="N505">
        <v>11</v>
      </c>
      <c r="O505">
        <v>1</v>
      </c>
      <c r="P505">
        <f>MOD(DAY(datos_siembra[[#This Row],[Date]]),7)</f>
        <v>4</v>
      </c>
      <c r="Q505" t="str">
        <f>CHOOSE(WEEKDAY(datos_siembra[[#This Row],[Date]],2),"L","M","X","J","V","S","D")</f>
        <v>X</v>
      </c>
      <c r="R505">
        <f>WEEKNUM(datos_siembra[[#This Row],[Date]],2)-WEEKNUM(DATE(YEAR(datos_siembra[[#This Row],[Date]]),MONTH(datos_siembra[[#This Row],[Date]]),1))+1</f>
        <v>2</v>
      </c>
      <c r="S505">
        <f>MONTH(datos_siembra[[#This Row],[Date]])</f>
        <v>9</v>
      </c>
      <c r="T505" t="str" cm="1">
        <f t="array" ref="T505">_xlfn.IFS(AND(N505&lt;= 22, S505=9), "SOWING",AND(N505&lt;= 28, S505=9), "COVERAGE",AND(N505&lt;= 30, S505=9), "FLUSH",AND(N505&lt;= 11, S505=10), "FLUSH",AND(N505&lt;= 21, S505=10), "PRODUCTION")</f>
        <v>SOWING</v>
      </c>
      <c r="U505">
        <f>HOUR(datos_siembra[[#This Row],[Hour]])</f>
        <v>23</v>
      </c>
      <c r="V505" cm="1">
        <f t="array" ref="V505">_xlfn.IFS(AND(N505&lt;= 22, S505=9), N505-7,AND(N505&lt;= 28, S505=9), N505-25,AND(N505&lt;= 30, S505=9), N505-28,AND(N505&lt;= 11, S505=10), N505+2,AND(N505&lt;= 21, S505=10), N505-11)</f>
        <v>4</v>
      </c>
    </row>
    <row r="506" spans="1:22" x14ac:dyDescent="0.35">
      <c r="A506" s="4">
        <v>45546</v>
      </c>
      <c r="B506" s="5">
        <v>0.99207175925925928</v>
      </c>
      <c r="C506">
        <v>83.3</v>
      </c>
      <c r="D506">
        <v>81.599999999999994</v>
      </c>
      <c r="E506">
        <v>86.7</v>
      </c>
      <c r="F506">
        <v>82.1</v>
      </c>
      <c r="G506">
        <v>0</v>
      </c>
      <c r="H506">
        <v>0</v>
      </c>
      <c r="I506">
        <v>0</v>
      </c>
      <c r="J506">
        <v>0</v>
      </c>
      <c r="K506">
        <v>63.3</v>
      </c>
      <c r="L506">
        <v>61.8</v>
      </c>
      <c r="M506">
        <v>83.41</v>
      </c>
      <c r="N506">
        <v>11</v>
      </c>
      <c r="O506">
        <v>1</v>
      </c>
      <c r="P506">
        <f>MOD(DAY(datos_siembra[[#This Row],[Date]]),7)</f>
        <v>4</v>
      </c>
      <c r="Q506" t="str">
        <f>CHOOSE(WEEKDAY(datos_siembra[[#This Row],[Date]],2),"L","M","X","J","V","S","D")</f>
        <v>X</v>
      </c>
      <c r="R506">
        <f>WEEKNUM(datos_siembra[[#This Row],[Date]],2)-WEEKNUM(DATE(YEAR(datos_siembra[[#This Row],[Date]]),MONTH(datos_siembra[[#This Row],[Date]]),1))+1</f>
        <v>2</v>
      </c>
      <c r="S506">
        <f>MONTH(datos_siembra[[#This Row],[Date]])</f>
        <v>9</v>
      </c>
      <c r="T506" t="str" cm="1">
        <f t="array" ref="T506">_xlfn.IFS(AND(N506&lt;= 22, S506=9), "SOWING",AND(N506&lt;= 28, S506=9), "COVERAGE",AND(N506&lt;= 30, S506=9), "FLUSH",AND(N506&lt;= 11, S506=10), "FLUSH",AND(N506&lt;= 21, S506=10), "PRODUCTION")</f>
        <v>SOWING</v>
      </c>
      <c r="U506">
        <f>HOUR(datos_siembra[[#This Row],[Hour]])</f>
        <v>23</v>
      </c>
      <c r="V506" cm="1">
        <f t="array" ref="V506">_xlfn.IFS(AND(N506&lt;= 22, S506=9), N506-7,AND(N506&lt;= 28, S506=9), N506-25,AND(N506&lt;= 30, S506=9), N506-28,AND(N506&lt;= 11, S506=10), N506+2,AND(N506&lt;= 21, S506=10), N506-11)</f>
        <v>4</v>
      </c>
    </row>
    <row r="507" spans="1:22" x14ac:dyDescent="0.35">
      <c r="A507" s="4">
        <v>45546</v>
      </c>
      <c r="B507" s="5">
        <v>0.9990162037037037</v>
      </c>
      <c r="C507">
        <v>83.2</v>
      </c>
      <c r="D507">
        <v>81.599999999999994</v>
      </c>
      <c r="E507">
        <v>86.6</v>
      </c>
      <c r="F507">
        <v>82.1</v>
      </c>
      <c r="G507">
        <v>0</v>
      </c>
      <c r="H507">
        <v>0</v>
      </c>
      <c r="I507">
        <v>0</v>
      </c>
      <c r="J507">
        <v>0</v>
      </c>
      <c r="K507">
        <v>63.3</v>
      </c>
      <c r="L507">
        <v>61.7</v>
      </c>
      <c r="M507">
        <v>83.33</v>
      </c>
      <c r="N507">
        <v>11</v>
      </c>
      <c r="O507">
        <v>1</v>
      </c>
      <c r="P507">
        <f>MOD(DAY(datos_siembra[[#This Row],[Date]]),7)</f>
        <v>4</v>
      </c>
      <c r="Q507" t="str">
        <f>CHOOSE(WEEKDAY(datos_siembra[[#This Row],[Date]],2),"L","M","X","J","V","S","D")</f>
        <v>X</v>
      </c>
      <c r="R507">
        <f>WEEKNUM(datos_siembra[[#This Row],[Date]],2)-WEEKNUM(DATE(YEAR(datos_siembra[[#This Row],[Date]]),MONTH(datos_siembra[[#This Row],[Date]]),1))+1</f>
        <v>2</v>
      </c>
      <c r="S507">
        <f>MONTH(datos_siembra[[#This Row],[Date]])</f>
        <v>9</v>
      </c>
      <c r="T507" t="str" cm="1">
        <f t="array" ref="T507">_xlfn.IFS(AND(N507&lt;= 22, S507=9), "SOWING",AND(N507&lt;= 28, S507=9), "COVERAGE",AND(N507&lt;= 30, S507=9), "FLUSH",AND(N507&lt;= 11, S507=10), "FLUSH",AND(N507&lt;= 21, S507=10), "PRODUCTION")</f>
        <v>SOWING</v>
      </c>
      <c r="U507">
        <f>HOUR(datos_siembra[[#This Row],[Hour]])</f>
        <v>23</v>
      </c>
      <c r="V507" cm="1">
        <f t="array" ref="V507">_xlfn.IFS(AND(N507&lt;= 22, S507=9), N507-7,AND(N507&lt;= 28, S507=9), N507-25,AND(N507&lt;= 30, S507=9), N507-28,AND(N507&lt;= 11, S507=10), N507+2,AND(N507&lt;= 21, S507=10), N507-11)</f>
        <v>4</v>
      </c>
    </row>
    <row r="508" spans="1:22" x14ac:dyDescent="0.35">
      <c r="A508" s="4">
        <v>45547</v>
      </c>
      <c r="B508" s="5">
        <v>5.9606481481481481E-3</v>
      </c>
      <c r="C508">
        <v>83.1</v>
      </c>
      <c r="D508">
        <v>81.599999999999994</v>
      </c>
      <c r="E508">
        <v>86.3</v>
      </c>
      <c r="F508">
        <v>82.3</v>
      </c>
      <c r="G508">
        <v>0</v>
      </c>
      <c r="H508">
        <v>0</v>
      </c>
      <c r="I508">
        <v>0</v>
      </c>
      <c r="J508">
        <v>0</v>
      </c>
      <c r="K508">
        <v>63.3</v>
      </c>
      <c r="L508">
        <v>61.8</v>
      </c>
      <c r="M508">
        <v>83.33</v>
      </c>
      <c r="N508">
        <v>12</v>
      </c>
      <c r="O508">
        <v>2</v>
      </c>
      <c r="P508">
        <f>MOD(DAY(datos_siembra[[#This Row],[Date]]),7)</f>
        <v>5</v>
      </c>
      <c r="Q508" t="str">
        <f>CHOOSE(WEEKDAY(datos_siembra[[#This Row],[Date]],2),"L","M","X","J","V","S","D")</f>
        <v>J</v>
      </c>
      <c r="R508">
        <f>WEEKNUM(datos_siembra[[#This Row],[Date]],2)-WEEKNUM(DATE(YEAR(datos_siembra[[#This Row],[Date]]),MONTH(datos_siembra[[#This Row],[Date]]),1))+1</f>
        <v>2</v>
      </c>
      <c r="S508">
        <f>MONTH(datos_siembra[[#This Row],[Date]])</f>
        <v>9</v>
      </c>
      <c r="T508" t="str" cm="1">
        <f t="array" ref="T508">_xlfn.IFS(AND(N508&lt;= 22, S508=9), "SOWING",AND(N508&lt;= 28, S508=9), "COVERAGE",AND(N508&lt;= 30, S508=9), "FLUSH",AND(N508&lt;= 11, S508=10), "FLUSH",AND(N508&lt;= 21, S508=10), "PRODUCTION")</f>
        <v>SOWING</v>
      </c>
      <c r="U508">
        <f>HOUR(datos_siembra[[#This Row],[Hour]])</f>
        <v>0</v>
      </c>
      <c r="V508" cm="1">
        <f t="array" ref="V508">_xlfn.IFS(AND(N508&lt;= 22, S508=9), N508-7,AND(N508&lt;= 28, S508=9), N508-25,AND(N508&lt;= 30, S508=9), N508-28,AND(N508&lt;= 11, S508=10), N508+2,AND(N508&lt;= 21, S508=10), N508-11)</f>
        <v>5</v>
      </c>
    </row>
    <row r="509" spans="1:22" x14ac:dyDescent="0.35">
      <c r="A509" s="4">
        <v>45547</v>
      </c>
      <c r="B509" s="5">
        <v>1.2916666666666667E-2</v>
      </c>
      <c r="C509">
        <v>83.3</v>
      </c>
      <c r="D509">
        <v>81.599999999999994</v>
      </c>
      <c r="E509">
        <v>86.5</v>
      </c>
      <c r="F509">
        <v>82.2</v>
      </c>
      <c r="G509">
        <v>0</v>
      </c>
      <c r="H509">
        <v>0</v>
      </c>
      <c r="I509">
        <v>0</v>
      </c>
      <c r="J509">
        <v>0</v>
      </c>
      <c r="K509">
        <v>63.3</v>
      </c>
      <c r="L509">
        <v>61.7</v>
      </c>
      <c r="M509">
        <v>83.33</v>
      </c>
      <c r="N509">
        <v>12</v>
      </c>
      <c r="O509">
        <v>2</v>
      </c>
      <c r="P509">
        <f>MOD(DAY(datos_siembra[[#This Row],[Date]]),7)</f>
        <v>5</v>
      </c>
      <c r="Q509" t="str">
        <f>CHOOSE(WEEKDAY(datos_siembra[[#This Row],[Date]],2),"L","M","X","J","V","S","D")</f>
        <v>J</v>
      </c>
      <c r="R509">
        <f>WEEKNUM(datos_siembra[[#This Row],[Date]],2)-WEEKNUM(DATE(YEAR(datos_siembra[[#This Row],[Date]]),MONTH(datos_siembra[[#This Row],[Date]]),1))+1</f>
        <v>2</v>
      </c>
      <c r="S509">
        <f>MONTH(datos_siembra[[#This Row],[Date]])</f>
        <v>9</v>
      </c>
      <c r="T509" t="str" cm="1">
        <f t="array" ref="T509">_xlfn.IFS(AND(N509&lt;= 22, S509=9), "SOWING",AND(N509&lt;= 28, S509=9), "COVERAGE",AND(N509&lt;= 30, S509=9), "FLUSH",AND(N509&lt;= 11, S509=10), "FLUSH",AND(N509&lt;= 21, S509=10), "PRODUCTION")</f>
        <v>SOWING</v>
      </c>
      <c r="U509">
        <f>HOUR(datos_siembra[[#This Row],[Hour]])</f>
        <v>0</v>
      </c>
      <c r="V509" cm="1">
        <f t="array" ref="V509">_xlfn.IFS(AND(N509&lt;= 22, S509=9), N509-7,AND(N509&lt;= 28, S509=9), N509-25,AND(N509&lt;= 30, S509=9), N509-28,AND(N509&lt;= 11, S509=10), N509+2,AND(N509&lt;= 21, S509=10), N509-11)</f>
        <v>5</v>
      </c>
    </row>
    <row r="510" spans="1:22" x14ac:dyDescent="0.35">
      <c r="A510" s="4">
        <v>45547</v>
      </c>
      <c r="B510" s="5">
        <v>1.9861111111111111E-2</v>
      </c>
      <c r="C510">
        <v>83.2</v>
      </c>
      <c r="D510">
        <v>81.5</v>
      </c>
      <c r="E510">
        <v>86.6</v>
      </c>
      <c r="F510">
        <v>82.2</v>
      </c>
      <c r="G510">
        <v>0</v>
      </c>
      <c r="H510">
        <v>0</v>
      </c>
      <c r="I510">
        <v>0</v>
      </c>
      <c r="J510">
        <v>0</v>
      </c>
      <c r="K510">
        <v>63.2</v>
      </c>
      <c r="L510">
        <v>61.7</v>
      </c>
      <c r="M510">
        <v>83.3</v>
      </c>
      <c r="N510">
        <v>12</v>
      </c>
      <c r="O510">
        <v>2</v>
      </c>
      <c r="P510">
        <f>MOD(DAY(datos_siembra[[#This Row],[Date]]),7)</f>
        <v>5</v>
      </c>
      <c r="Q510" t="str">
        <f>CHOOSE(WEEKDAY(datos_siembra[[#This Row],[Date]],2),"L","M","X","J","V","S","D")</f>
        <v>J</v>
      </c>
      <c r="R510">
        <f>WEEKNUM(datos_siembra[[#This Row],[Date]],2)-WEEKNUM(DATE(YEAR(datos_siembra[[#This Row],[Date]]),MONTH(datos_siembra[[#This Row],[Date]]),1))+1</f>
        <v>2</v>
      </c>
      <c r="S510">
        <f>MONTH(datos_siembra[[#This Row],[Date]])</f>
        <v>9</v>
      </c>
      <c r="T510" t="str" cm="1">
        <f t="array" ref="T510">_xlfn.IFS(AND(N510&lt;= 22, S510=9), "SOWING",AND(N510&lt;= 28, S510=9), "COVERAGE",AND(N510&lt;= 30, S510=9), "FLUSH",AND(N510&lt;= 11, S510=10), "FLUSH",AND(N510&lt;= 21, S510=10), "PRODUCTION")</f>
        <v>SOWING</v>
      </c>
      <c r="U510">
        <f>HOUR(datos_siembra[[#This Row],[Hour]])</f>
        <v>0</v>
      </c>
      <c r="V510" cm="1">
        <f t="array" ref="V510">_xlfn.IFS(AND(N510&lt;= 22, S510=9), N510-7,AND(N510&lt;= 28, S510=9), N510-25,AND(N510&lt;= 30, S510=9), N510-28,AND(N510&lt;= 11, S510=10), N510+2,AND(N510&lt;= 21, S510=10), N510-11)</f>
        <v>5</v>
      </c>
    </row>
    <row r="511" spans="1:22" x14ac:dyDescent="0.35">
      <c r="A511" s="4">
        <v>45547</v>
      </c>
      <c r="B511" s="5">
        <v>2.6805555555555555E-2</v>
      </c>
      <c r="C511">
        <v>83.1</v>
      </c>
      <c r="D511">
        <v>81.599999999999994</v>
      </c>
      <c r="E511">
        <v>86.8</v>
      </c>
      <c r="F511">
        <v>82</v>
      </c>
      <c r="G511">
        <v>0</v>
      </c>
      <c r="H511">
        <v>0</v>
      </c>
      <c r="I511">
        <v>0</v>
      </c>
      <c r="J511">
        <v>0</v>
      </c>
      <c r="K511">
        <v>63.2</v>
      </c>
      <c r="L511">
        <v>61.6</v>
      </c>
      <c r="M511">
        <v>83.41</v>
      </c>
      <c r="N511">
        <v>12</v>
      </c>
      <c r="O511">
        <v>2</v>
      </c>
      <c r="P511">
        <f>MOD(DAY(datos_siembra[[#This Row],[Date]]),7)</f>
        <v>5</v>
      </c>
      <c r="Q511" t="str">
        <f>CHOOSE(WEEKDAY(datos_siembra[[#This Row],[Date]],2),"L","M","X","J","V","S","D")</f>
        <v>J</v>
      </c>
      <c r="R511">
        <f>WEEKNUM(datos_siembra[[#This Row],[Date]],2)-WEEKNUM(DATE(YEAR(datos_siembra[[#This Row],[Date]]),MONTH(datos_siembra[[#This Row],[Date]]),1))+1</f>
        <v>2</v>
      </c>
      <c r="S511">
        <f>MONTH(datos_siembra[[#This Row],[Date]])</f>
        <v>9</v>
      </c>
      <c r="T511" t="str" cm="1">
        <f t="array" ref="T511">_xlfn.IFS(AND(N511&lt;= 22, S511=9), "SOWING",AND(N511&lt;= 28, S511=9), "COVERAGE",AND(N511&lt;= 30, S511=9), "FLUSH",AND(N511&lt;= 11, S511=10), "FLUSH",AND(N511&lt;= 21, S511=10), "PRODUCTION")</f>
        <v>SOWING</v>
      </c>
      <c r="U511">
        <f>HOUR(datos_siembra[[#This Row],[Hour]])</f>
        <v>0</v>
      </c>
      <c r="V511" cm="1">
        <f t="array" ref="V511">_xlfn.IFS(AND(N511&lt;= 22, S511=9), N511-7,AND(N511&lt;= 28, S511=9), N511-25,AND(N511&lt;= 30, S511=9), N511-28,AND(N511&lt;= 11, S511=10), N511+2,AND(N511&lt;= 21, S511=10), N511-11)</f>
        <v>5</v>
      </c>
    </row>
    <row r="512" spans="1:22" x14ac:dyDescent="0.35">
      <c r="A512" s="4">
        <v>45547</v>
      </c>
      <c r="B512" s="5">
        <v>3.3750000000000002E-2</v>
      </c>
      <c r="C512">
        <v>83.1</v>
      </c>
      <c r="D512">
        <v>81.5</v>
      </c>
      <c r="E512">
        <v>86.9</v>
      </c>
      <c r="F512">
        <v>82.2</v>
      </c>
      <c r="G512">
        <v>0</v>
      </c>
      <c r="H512">
        <v>0</v>
      </c>
      <c r="I512">
        <v>0</v>
      </c>
      <c r="J512">
        <v>0</v>
      </c>
      <c r="K512">
        <v>63.2</v>
      </c>
      <c r="L512">
        <v>61.6</v>
      </c>
      <c r="M512">
        <v>83.38</v>
      </c>
      <c r="N512">
        <v>12</v>
      </c>
      <c r="O512">
        <v>2</v>
      </c>
      <c r="P512">
        <f>MOD(DAY(datos_siembra[[#This Row],[Date]]),7)</f>
        <v>5</v>
      </c>
      <c r="Q512" t="str">
        <f>CHOOSE(WEEKDAY(datos_siembra[[#This Row],[Date]],2),"L","M","X","J","V","S","D")</f>
        <v>J</v>
      </c>
      <c r="R512">
        <f>WEEKNUM(datos_siembra[[#This Row],[Date]],2)-WEEKNUM(DATE(YEAR(datos_siembra[[#This Row],[Date]]),MONTH(datos_siembra[[#This Row],[Date]]),1))+1</f>
        <v>2</v>
      </c>
      <c r="S512">
        <f>MONTH(datos_siembra[[#This Row],[Date]])</f>
        <v>9</v>
      </c>
      <c r="T512" t="str" cm="1">
        <f t="array" ref="T512">_xlfn.IFS(AND(N512&lt;= 22, S512=9), "SOWING",AND(N512&lt;= 28, S512=9), "COVERAGE",AND(N512&lt;= 30, S512=9), "FLUSH",AND(N512&lt;= 11, S512=10), "FLUSH",AND(N512&lt;= 21, S512=10), "PRODUCTION")</f>
        <v>SOWING</v>
      </c>
      <c r="U512">
        <f>HOUR(datos_siembra[[#This Row],[Hour]])</f>
        <v>0</v>
      </c>
      <c r="V512" cm="1">
        <f t="array" ref="V512">_xlfn.IFS(AND(N512&lt;= 22, S512=9), N512-7,AND(N512&lt;= 28, S512=9), N512-25,AND(N512&lt;= 30, S512=9), N512-28,AND(N512&lt;= 11, S512=10), N512+2,AND(N512&lt;= 21, S512=10), N512-11)</f>
        <v>5</v>
      </c>
    </row>
    <row r="513" spans="1:22" x14ac:dyDescent="0.35">
      <c r="A513" s="4">
        <v>45547</v>
      </c>
      <c r="B513" s="5">
        <v>4.0706018518518516E-2</v>
      </c>
      <c r="C513">
        <v>83.2</v>
      </c>
      <c r="D513">
        <v>81.400000000000006</v>
      </c>
      <c r="E513">
        <v>87.2</v>
      </c>
      <c r="F513">
        <v>82</v>
      </c>
      <c r="G513">
        <v>0</v>
      </c>
      <c r="H513">
        <v>0</v>
      </c>
      <c r="I513">
        <v>0</v>
      </c>
      <c r="J513">
        <v>0</v>
      </c>
      <c r="K513">
        <v>63.2</v>
      </c>
      <c r="L513">
        <v>61.6</v>
      </c>
      <c r="M513">
        <v>83.36</v>
      </c>
      <c r="N513">
        <v>12</v>
      </c>
      <c r="O513">
        <v>2</v>
      </c>
      <c r="P513">
        <f>MOD(DAY(datos_siembra[[#This Row],[Date]]),7)</f>
        <v>5</v>
      </c>
      <c r="Q513" t="str">
        <f>CHOOSE(WEEKDAY(datos_siembra[[#This Row],[Date]],2),"L","M","X","J","V","S","D")</f>
        <v>J</v>
      </c>
      <c r="R513">
        <f>WEEKNUM(datos_siembra[[#This Row],[Date]],2)-WEEKNUM(DATE(YEAR(datos_siembra[[#This Row],[Date]]),MONTH(datos_siembra[[#This Row],[Date]]),1))+1</f>
        <v>2</v>
      </c>
      <c r="S513">
        <f>MONTH(datos_siembra[[#This Row],[Date]])</f>
        <v>9</v>
      </c>
      <c r="T513" t="str" cm="1">
        <f t="array" ref="T513">_xlfn.IFS(AND(N513&lt;= 22, S513=9), "SOWING",AND(N513&lt;= 28, S513=9), "COVERAGE",AND(N513&lt;= 30, S513=9), "FLUSH",AND(N513&lt;= 11, S513=10), "FLUSH",AND(N513&lt;= 21, S513=10), "PRODUCTION")</f>
        <v>SOWING</v>
      </c>
      <c r="U513">
        <f>HOUR(datos_siembra[[#This Row],[Hour]])</f>
        <v>0</v>
      </c>
      <c r="V513" cm="1">
        <f t="array" ref="V513">_xlfn.IFS(AND(N513&lt;= 22, S513=9), N513-7,AND(N513&lt;= 28, S513=9), N513-25,AND(N513&lt;= 30, S513=9), N513-28,AND(N513&lt;= 11, S513=10), N513+2,AND(N513&lt;= 21, S513=10), N513-11)</f>
        <v>5</v>
      </c>
    </row>
    <row r="514" spans="1:22" x14ac:dyDescent="0.35">
      <c r="A514" s="4">
        <v>45547</v>
      </c>
      <c r="B514" s="5">
        <v>4.7650462962962964E-2</v>
      </c>
      <c r="C514">
        <v>83.2</v>
      </c>
      <c r="D514">
        <v>81.5</v>
      </c>
      <c r="E514">
        <v>87.5</v>
      </c>
      <c r="F514">
        <v>82</v>
      </c>
      <c r="G514">
        <v>0</v>
      </c>
      <c r="H514">
        <v>0</v>
      </c>
      <c r="I514">
        <v>0</v>
      </c>
      <c r="J514">
        <v>0</v>
      </c>
      <c r="K514">
        <v>63</v>
      </c>
      <c r="L514">
        <v>61.6</v>
      </c>
      <c r="M514">
        <v>83.52</v>
      </c>
      <c r="N514">
        <v>12</v>
      </c>
      <c r="O514">
        <v>2</v>
      </c>
      <c r="P514">
        <f>MOD(DAY(datos_siembra[[#This Row],[Date]]),7)</f>
        <v>5</v>
      </c>
      <c r="Q514" t="str">
        <f>CHOOSE(WEEKDAY(datos_siembra[[#This Row],[Date]],2),"L","M","X","J","V","S","D")</f>
        <v>J</v>
      </c>
      <c r="R514">
        <f>WEEKNUM(datos_siembra[[#This Row],[Date]],2)-WEEKNUM(DATE(YEAR(datos_siembra[[#This Row],[Date]]),MONTH(datos_siembra[[#This Row],[Date]]),1))+1</f>
        <v>2</v>
      </c>
      <c r="S514">
        <f>MONTH(datos_siembra[[#This Row],[Date]])</f>
        <v>9</v>
      </c>
      <c r="T514" t="str" cm="1">
        <f t="array" ref="T514">_xlfn.IFS(AND(N514&lt;= 22, S514=9), "SOWING",AND(N514&lt;= 28, S514=9), "COVERAGE",AND(N514&lt;= 30, S514=9), "FLUSH",AND(N514&lt;= 11, S514=10), "FLUSH",AND(N514&lt;= 21, S514=10), "PRODUCTION")</f>
        <v>SOWING</v>
      </c>
      <c r="U514">
        <f>HOUR(datos_siembra[[#This Row],[Hour]])</f>
        <v>1</v>
      </c>
      <c r="V514" cm="1">
        <f t="array" ref="V514">_xlfn.IFS(AND(N514&lt;= 22, S514=9), N514-7,AND(N514&lt;= 28, S514=9), N514-25,AND(N514&lt;= 30, S514=9), N514-28,AND(N514&lt;= 11, S514=10), N514+2,AND(N514&lt;= 21, S514=10), N514-11)</f>
        <v>5</v>
      </c>
    </row>
    <row r="515" spans="1:22" x14ac:dyDescent="0.35">
      <c r="A515" s="4">
        <v>45547</v>
      </c>
      <c r="B515" s="5">
        <v>5.4594907407407404E-2</v>
      </c>
      <c r="C515">
        <v>83.3</v>
      </c>
      <c r="D515">
        <v>81.5</v>
      </c>
      <c r="E515">
        <v>87.4</v>
      </c>
      <c r="F515">
        <v>81.8</v>
      </c>
      <c r="G515">
        <v>0</v>
      </c>
      <c r="H515">
        <v>0</v>
      </c>
      <c r="I515">
        <v>0</v>
      </c>
      <c r="J515">
        <v>0</v>
      </c>
      <c r="K515">
        <v>63</v>
      </c>
      <c r="L515">
        <v>61.5</v>
      </c>
      <c r="M515">
        <v>83.5</v>
      </c>
      <c r="N515">
        <v>12</v>
      </c>
      <c r="O515">
        <v>2</v>
      </c>
      <c r="P515">
        <f>MOD(DAY(datos_siembra[[#This Row],[Date]]),7)</f>
        <v>5</v>
      </c>
      <c r="Q515" t="str">
        <f>CHOOSE(WEEKDAY(datos_siembra[[#This Row],[Date]],2),"L","M","X","J","V","S","D")</f>
        <v>J</v>
      </c>
      <c r="R515">
        <f>WEEKNUM(datos_siembra[[#This Row],[Date]],2)-WEEKNUM(DATE(YEAR(datos_siembra[[#This Row],[Date]]),MONTH(datos_siembra[[#This Row],[Date]]),1))+1</f>
        <v>2</v>
      </c>
      <c r="S515">
        <f>MONTH(datos_siembra[[#This Row],[Date]])</f>
        <v>9</v>
      </c>
      <c r="T515" t="str" cm="1">
        <f t="array" ref="T515">_xlfn.IFS(AND(N515&lt;= 22, S515=9), "SOWING",AND(N515&lt;= 28, S515=9), "COVERAGE",AND(N515&lt;= 30, S515=9), "FLUSH",AND(N515&lt;= 11, S515=10), "FLUSH",AND(N515&lt;= 21, S515=10), "PRODUCTION")</f>
        <v>SOWING</v>
      </c>
      <c r="U515">
        <f>HOUR(datos_siembra[[#This Row],[Hour]])</f>
        <v>1</v>
      </c>
      <c r="V515" cm="1">
        <f t="array" ref="V515">_xlfn.IFS(AND(N515&lt;= 22, S515=9), N515-7,AND(N515&lt;= 28, S515=9), N515-25,AND(N515&lt;= 30, S515=9), N515-28,AND(N515&lt;= 11, S515=10), N515+2,AND(N515&lt;= 21, S515=10), N515-11)</f>
        <v>5</v>
      </c>
    </row>
    <row r="516" spans="1:22" x14ac:dyDescent="0.35">
      <c r="A516" s="4">
        <v>45547</v>
      </c>
      <c r="B516" s="5">
        <v>6.1550925925925926E-2</v>
      </c>
      <c r="C516">
        <v>83.3</v>
      </c>
      <c r="D516">
        <v>81.599999999999994</v>
      </c>
      <c r="E516">
        <v>87.5</v>
      </c>
      <c r="F516">
        <v>82.1</v>
      </c>
      <c r="G516">
        <v>0</v>
      </c>
      <c r="H516">
        <v>0</v>
      </c>
      <c r="I516">
        <v>0</v>
      </c>
      <c r="J516">
        <v>0</v>
      </c>
      <c r="K516">
        <v>63</v>
      </c>
      <c r="L516">
        <v>61.6</v>
      </c>
      <c r="M516">
        <v>83.61</v>
      </c>
      <c r="N516">
        <v>12</v>
      </c>
      <c r="O516">
        <v>2</v>
      </c>
      <c r="P516">
        <f>MOD(DAY(datos_siembra[[#This Row],[Date]]),7)</f>
        <v>5</v>
      </c>
      <c r="Q516" t="str">
        <f>CHOOSE(WEEKDAY(datos_siembra[[#This Row],[Date]],2),"L","M","X","J","V","S","D")</f>
        <v>J</v>
      </c>
      <c r="R516">
        <f>WEEKNUM(datos_siembra[[#This Row],[Date]],2)-WEEKNUM(DATE(YEAR(datos_siembra[[#This Row],[Date]]),MONTH(datos_siembra[[#This Row],[Date]]),1))+1</f>
        <v>2</v>
      </c>
      <c r="S516">
        <f>MONTH(datos_siembra[[#This Row],[Date]])</f>
        <v>9</v>
      </c>
      <c r="T516" t="str" cm="1">
        <f t="array" ref="T516">_xlfn.IFS(AND(N516&lt;= 22, S516=9), "SOWING",AND(N516&lt;= 28, S516=9), "COVERAGE",AND(N516&lt;= 30, S516=9), "FLUSH",AND(N516&lt;= 11, S516=10), "FLUSH",AND(N516&lt;= 21, S516=10), "PRODUCTION")</f>
        <v>SOWING</v>
      </c>
      <c r="U516">
        <f>HOUR(datos_siembra[[#This Row],[Hour]])</f>
        <v>1</v>
      </c>
      <c r="V516" cm="1">
        <f t="array" ref="V516">_xlfn.IFS(AND(N516&lt;= 22, S516=9), N516-7,AND(N516&lt;= 28, S516=9), N516-25,AND(N516&lt;= 30, S516=9), N516-28,AND(N516&lt;= 11, S516=10), N516+2,AND(N516&lt;= 21, S516=10), N516-11)</f>
        <v>5</v>
      </c>
    </row>
    <row r="517" spans="1:22" x14ac:dyDescent="0.35">
      <c r="A517" s="4">
        <v>45547</v>
      </c>
      <c r="B517" s="5">
        <v>6.8495370370370373E-2</v>
      </c>
      <c r="C517">
        <v>83.2</v>
      </c>
      <c r="D517">
        <v>81.5</v>
      </c>
      <c r="E517">
        <v>87.4</v>
      </c>
      <c r="F517">
        <v>82</v>
      </c>
      <c r="G517">
        <v>0</v>
      </c>
      <c r="H517">
        <v>0</v>
      </c>
      <c r="I517">
        <v>0</v>
      </c>
      <c r="J517">
        <v>0</v>
      </c>
      <c r="K517">
        <v>63</v>
      </c>
      <c r="L517">
        <v>61.6</v>
      </c>
      <c r="M517">
        <v>83.52</v>
      </c>
      <c r="N517">
        <v>12</v>
      </c>
      <c r="O517">
        <v>2</v>
      </c>
      <c r="P517">
        <f>MOD(DAY(datos_siembra[[#This Row],[Date]]),7)</f>
        <v>5</v>
      </c>
      <c r="Q517" t="str">
        <f>CHOOSE(WEEKDAY(datos_siembra[[#This Row],[Date]],2),"L","M","X","J","V","S","D")</f>
        <v>J</v>
      </c>
      <c r="R517">
        <f>WEEKNUM(datos_siembra[[#This Row],[Date]],2)-WEEKNUM(DATE(YEAR(datos_siembra[[#This Row],[Date]]),MONTH(datos_siembra[[#This Row],[Date]]),1))+1</f>
        <v>2</v>
      </c>
      <c r="S517">
        <f>MONTH(datos_siembra[[#This Row],[Date]])</f>
        <v>9</v>
      </c>
      <c r="T517" t="str" cm="1">
        <f t="array" ref="T517">_xlfn.IFS(AND(N517&lt;= 22, S517=9), "SOWING",AND(N517&lt;= 28, S517=9), "COVERAGE",AND(N517&lt;= 30, S517=9), "FLUSH",AND(N517&lt;= 11, S517=10), "FLUSH",AND(N517&lt;= 21, S517=10), "PRODUCTION")</f>
        <v>SOWING</v>
      </c>
      <c r="U517">
        <f>HOUR(datos_siembra[[#This Row],[Hour]])</f>
        <v>1</v>
      </c>
      <c r="V517" cm="1">
        <f t="array" ref="V517">_xlfn.IFS(AND(N517&lt;= 22, S517=9), N517-7,AND(N517&lt;= 28, S517=9), N517-25,AND(N517&lt;= 30, S517=9), N517-28,AND(N517&lt;= 11, S517=10), N517+2,AND(N517&lt;= 21, S517=10), N517-11)</f>
        <v>5</v>
      </c>
    </row>
    <row r="518" spans="1:22" x14ac:dyDescent="0.35">
      <c r="A518" s="4">
        <v>45547</v>
      </c>
      <c r="B518" s="5">
        <v>7.5439814814814821E-2</v>
      </c>
      <c r="C518">
        <v>83.1</v>
      </c>
      <c r="D518">
        <v>81.599999999999994</v>
      </c>
      <c r="E518">
        <v>87.4</v>
      </c>
      <c r="F518">
        <v>81.8</v>
      </c>
      <c r="G518">
        <v>0</v>
      </c>
      <c r="H518">
        <v>0</v>
      </c>
      <c r="I518">
        <v>0</v>
      </c>
      <c r="J518">
        <v>0</v>
      </c>
      <c r="K518">
        <v>63</v>
      </c>
      <c r="L518">
        <v>61.5</v>
      </c>
      <c r="M518">
        <v>83.55</v>
      </c>
      <c r="N518">
        <v>12</v>
      </c>
      <c r="O518">
        <v>2</v>
      </c>
      <c r="P518">
        <f>MOD(DAY(datos_siembra[[#This Row],[Date]]),7)</f>
        <v>5</v>
      </c>
      <c r="Q518" t="str">
        <f>CHOOSE(WEEKDAY(datos_siembra[[#This Row],[Date]],2),"L","M","X","J","V","S","D")</f>
        <v>J</v>
      </c>
      <c r="R518">
        <f>WEEKNUM(datos_siembra[[#This Row],[Date]],2)-WEEKNUM(DATE(YEAR(datos_siembra[[#This Row],[Date]]),MONTH(datos_siembra[[#This Row],[Date]]),1))+1</f>
        <v>2</v>
      </c>
      <c r="S518">
        <f>MONTH(datos_siembra[[#This Row],[Date]])</f>
        <v>9</v>
      </c>
      <c r="T518" t="str" cm="1">
        <f t="array" ref="T518">_xlfn.IFS(AND(N518&lt;= 22, S518=9), "SOWING",AND(N518&lt;= 28, S518=9), "COVERAGE",AND(N518&lt;= 30, S518=9), "FLUSH",AND(N518&lt;= 11, S518=10), "FLUSH",AND(N518&lt;= 21, S518=10), "PRODUCTION")</f>
        <v>SOWING</v>
      </c>
      <c r="U518">
        <f>HOUR(datos_siembra[[#This Row],[Hour]])</f>
        <v>1</v>
      </c>
      <c r="V518" cm="1">
        <f t="array" ref="V518">_xlfn.IFS(AND(N518&lt;= 22, S518=9), N518-7,AND(N518&lt;= 28, S518=9), N518-25,AND(N518&lt;= 30, S518=9), N518-28,AND(N518&lt;= 11, S518=10), N518+2,AND(N518&lt;= 21, S518=10), N518-11)</f>
        <v>5</v>
      </c>
    </row>
    <row r="519" spans="1:22" x14ac:dyDescent="0.35">
      <c r="A519" s="4">
        <v>45547</v>
      </c>
      <c r="B519" s="5">
        <v>8.2384259259259254E-2</v>
      </c>
      <c r="C519">
        <v>83.2</v>
      </c>
      <c r="D519">
        <v>81.599999999999994</v>
      </c>
      <c r="E519">
        <v>87.4</v>
      </c>
      <c r="F519">
        <v>81.8</v>
      </c>
      <c r="G519">
        <v>0</v>
      </c>
      <c r="H519">
        <v>0</v>
      </c>
      <c r="I519">
        <v>0</v>
      </c>
      <c r="J519">
        <v>0</v>
      </c>
      <c r="K519">
        <v>63</v>
      </c>
      <c r="L519">
        <v>61.6</v>
      </c>
      <c r="M519">
        <v>83.5</v>
      </c>
      <c r="N519">
        <v>12</v>
      </c>
      <c r="O519">
        <v>2</v>
      </c>
      <c r="P519">
        <f>MOD(DAY(datos_siembra[[#This Row],[Date]]),7)</f>
        <v>5</v>
      </c>
      <c r="Q519" t="str">
        <f>CHOOSE(WEEKDAY(datos_siembra[[#This Row],[Date]],2),"L","M","X","J","V","S","D")</f>
        <v>J</v>
      </c>
      <c r="R519">
        <f>WEEKNUM(datos_siembra[[#This Row],[Date]],2)-WEEKNUM(DATE(YEAR(datos_siembra[[#This Row],[Date]]),MONTH(datos_siembra[[#This Row],[Date]]),1))+1</f>
        <v>2</v>
      </c>
      <c r="S519">
        <f>MONTH(datos_siembra[[#This Row],[Date]])</f>
        <v>9</v>
      </c>
      <c r="T519" t="str" cm="1">
        <f t="array" ref="T519">_xlfn.IFS(AND(N519&lt;= 22, S519=9), "SOWING",AND(N519&lt;= 28, S519=9), "COVERAGE",AND(N519&lt;= 30, S519=9), "FLUSH",AND(N519&lt;= 11, S519=10), "FLUSH",AND(N519&lt;= 21, S519=10), "PRODUCTION")</f>
        <v>SOWING</v>
      </c>
      <c r="U519">
        <f>HOUR(datos_siembra[[#This Row],[Hour]])</f>
        <v>1</v>
      </c>
      <c r="V519" cm="1">
        <f t="array" ref="V519">_xlfn.IFS(AND(N519&lt;= 22, S519=9), N519-7,AND(N519&lt;= 28, S519=9), N519-25,AND(N519&lt;= 30, S519=9), N519-28,AND(N519&lt;= 11, S519=10), N519+2,AND(N519&lt;= 21, S519=10), N519-11)</f>
        <v>5</v>
      </c>
    </row>
    <row r="520" spans="1:22" x14ac:dyDescent="0.35">
      <c r="A520" s="4">
        <v>45547</v>
      </c>
      <c r="B520" s="5">
        <v>8.9340277777777782E-2</v>
      </c>
      <c r="C520">
        <v>83.2</v>
      </c>
      <c r="D520">
        <v>81.7</v>
      </c>
      <c r="E520">
        <v>87.4</v>
      </c>
      <c r="F520">
        <v>82.1</v>
      </c>
      <c r="G520">
        <v>0</v>
      </c>
      <c r="H520">
        <v>0</v>
      </c>
      <c r="I520">
        <v>0</v>
      </c>
      <c r="J520">
        <v>0</v>
      </c>
      <c r="K520">
        <v>63.2</v>
      </c>
      <c r="L520">
        <v>61.6</v>
      </c>
      <c r="M520">
        <v>83.47</v>
      </c>
      <c r="N520">
        <v>12</v>
      </c>
      <c r="O520">
        <v>2</v>
      </c>
      <c r="P520">
        <f>MOD(DAY(datos_siembra[[#This Row],[Date]]),7)</f>
        <v>5</v>
      </c>
      <c r="Q520" t="str">
        <f>CHOOSE(WEEKDAY(datos_siembra[[#This Row],[Date]],2),"L","M","X","J","V","S","D")</f>
        <v>J</v>
      </c>
      <c r="R520">
        <f>WEEKNUM(datos_siembra[[#This Row],[Date]],2)-WEEKNUM(DATE(YEAR(datos_siembra[[#This Row],[Date]]),MONTH(datos_siembra[[#This Row],[Date]]),1))+1</f>
        <v>2</v>
      </c>
      <c r="S520">
        <f>MONTH(datos_siembra[[#This Row],[Date]])</f>
        <v>9</v>
      </c>
      <c r="T520" t="str" cm="1">
        <f t="array" ref="T520">_xlfn.IFS(AND(N520&lt;= 22, S520=9), "SOWING",AND(N520&lt;= 28, S520=9), "COVERAGE",AND(N520&lt;= 30, S520=9), "FLUSH",AND(N520&lt;= 11, S520=10), "FLUSH",AND(N520&lt;= 21, S520=10), "PRODUCTION")</f>
        <v>SOWING</v>
      </c>
      <c r="U520">
        <f>HOUR(datos_siembra[[#This Row],[Hour]])</f>
        <v>2</v>
      </c>
      <c r="V520" cm="1">
        <f t="array" ref="V520">_xlfn.IFS(AND(N520&lt;= 22, S520=9), N520-7,AND(N520&lt;= 28, S520=9), N520-25,AND(N520&lt;= 30, S520=9), N520-28,AND(N520&lt;= 11, S520=10), N520+2,AND(N520&lt;= 21, S520=10), N520-11)</f>
        <v>5</v>
      </c>
    </row>
    <row r="521" spans="1:22" x14ac:dyDescent="0.35">
      <c r="A521" s="4">
        <v>45547</v>
      </c>
      <c r="B521" s="5">
        <v>9.6284722222222216E-2</v>
      </c>
      <c r="C521">
        <v>83.2</v>
      </c>
      <c r="D521">
        <v>81.599999999999994</v>
      </c>
      <c r="E521">
        <v>87.4</v>
      </c>
      <c r="F521">
        <v>81.599999999999994</v>
      </c>
      <c r="G521">
        <v>0</v>
      </c>
      <c r="H521">
        <v>0</v>
      </c>
      <c r="I521">
        <v>0</v>
      </c>
      <c r="J521">
        <v>0</v>
      </c>
      <c r="K521">
        <v>63.2</v>
      </c>
      <c r="L521">
        <v>61.6</v>
      </c>
      <c r="M521">
        <v>83.41</v>
      </c>
      <c r="N521">
        <v>12</v>
      </c>
      <c r="O521">
        <v>2</v>
      </c>
      <c r="P521">
        <f>MOD(DAY(datos_siembra[[#This Row],[Date]]),7)</f>
        <v>5</v>
      </c>
      <c r="Q521" t="str">
        <f>CHOOSE(WEEKDAY(datos_siembra[[#This Row],[Date]],2),"L","M","X","J","V","S","D")</f>
        <v>J</v>
      </c>
      <c r="R521">
        <f>WEEKNUM(datos_siembra[[#This Row],[Date]],2)-WEEKNUM(DATE(YEAR(datos_siembra[[#This Row],[Date]]),MONTH(datos_siembra[[#This Row],[Date]]),1))+1</f>
        <v>2</v>
      </c>
      <c r="S521">
        <f>MONTH(datos_siembra[[#This Row],[Date]])</f>
        <v>9</v>
      </c>
      <c r="T521" t="str" cm="1">
        <f t="array" ref="T521">_xlfn.IFS(AND(N521&lt;= 22, S521=9), "SOWING",AND(N521&lt;= 28, S521=9), "COVERAGE",AND(N521&lt;= 30, S521=9), "FLUSH",AND(N521&lt;= 11, S521=10), "FLUSH",AND(N521&lt;= 21, S521=10), "PRODUCTION")</f>
        <v>SOWING</v>
      </c>
      <c r="U521">
        <f>HOUR(datos_siembra[[#This Row],[Hour]])</f>
        <v>2</v>
      </c>
      <c r="V521" cm="1">
        <f t="array" ref="V521">_xlfn.IFS(AND(N521&lt;= 22, S521=9), N521-7,AND(N521&lt;= 28, S521=9), N521-25,AND(N521&lt;= 30, S521=9), N521-28,AND(N521&lt;= 11, S521=10), N521+2,AND(N521&lt;= 21, S521=10), N521-11)</f>
        <v>5</v>
      </c>
    </row>
    <row r="522" spans="1:22" x14ac:dyDescent="0.35">
      <c r="A522" s="4">
        <v>45547</v>
      </c>
      <c r="B522" s="5">
        <v>0.10322916666666666</v>
      </c>
      <c r="C522">
        <v>83.2</v>
      </c>
      <c r="D522">
        <v>81.5</v>
      </c>
      <c r="E522">
        <v>87.1</v>
      </c>
      <c r="F522">
        <v>81.7</v>
      </c>
      <c r="G522">
        <v>0</v>
      </c>
      <c r="H522">
        <v>0</v>
      </c>
      <c r="I522">
        <v>0</v>
      </c>
      <c r="J522">
        <v>0</v>
      </c>
      <c r="K522">
        <v>63.4</v>
      </c>
      <c r="L522">
        <v>61.9</v>
      </c>
      <c r="M522">
        <v>83.47</v>
      </c>
      <c r="N522">
        <v>12</v>
      </c>
      <c r="O522">
        <v>2</v>
      </c>
      <c r="P522">
        <f>MOD(DAY(datos_siembra[[#This Row],[Date]]),7)</f>
        <v>5</v>
      </c>
      <c r="Q522" t="str">
        <f>CHOOSE(WEEKDAY(datos_siembra[[#This Row],[Date]],2),"L","M","X","J","V","S","D")</f>
        <v>J</v>
      </c>
      <c r="R522">
        <f>WEEKNUM(datos_siembra[[#This Row],[Date]],2)-WEEKNUM(DATE(YEAR(datos_siembra[[#This Row],[Date]]),MONTH(datos_siembra[[#This Row],[Date]]),1))+1</f>
        <v>2</v>
      </c>
      <c r="S522">
        <f>MONTH(datos_siembra[[#This Row],[Date]])</f>
        <v>9</v>
      </c>
      <c r="T522" t="str" cm="1">
        <f t="array" ref="T522">_xlfn.IFS(AND(N522&lt;= 22, S522=9), "SOWING",AND(N522&lt;= 28, S522=9), "COVERAGE",AND(N522&lt;= 30, S522=9), "FLUSH",AND(N522&lt;= 11, S522=10), "FLUSH",AND(N522&lt;= 21, S522=10), "PRODUCTION")</f>
        <v>SOWING</v>
      </c>
      <c r="U522">
        <f>HOUR(datos_siembra[[#This Row],[Hour]])</f>
        <v>2</v>
      </c>
      <c r="V522" cm="1">
        <f t="array" ref="V522">_xlfn.IFS(AND(N522&lt;= 22, S522=9), N522-7,AND(N522&lt;= 28, S522=9), N522-25,AND(N522&lt;= 30, S522=9), N522-28,AND(N522&lt;= 11, S522=10), N522+2,AND(N522&lt;= 21, S522=10), N522-11)</f>
        <v>5</v>
      </c>
    </row>
    <row r="523" spans="1:22" x14ac:dyDescent="0.35">
      <c r="A523" s="4">
        <v>45547</v>
      </c>
      <c r="B523" s="5">
        <v>0.11017361111111111</v>
      </c>
      <c r="C523">
        <v>83.3</v>
      </c>
      <c r="D523">
        <v>81.599999999999994</v>
      </c>
      <c r="E523">
        <v>87.2</v>
      </c>
      <c r="F523">
        <v>81.599999999999994</v>
      </c>
      <c r="G523">
        <v>0</v>
      </c>
      <c r="H523">
        <v>0</v>
      </c>
      <c r="I523">
        <v>0</v>
      </c>
      <c r="J523">
        <v>0</v>
      </c>
      <c r="K523">
        <v>63.6</v>
      </c>
      <c r="L523">
        <v>62</v>
      </c>
      <c r="M523">
        <v>83.44</v>
      </c>
      <c r="N523">
        <v>12</v>
      </c>
      <c r="O523">
        <v>2</v>
      </c>
      <c r="P523">
        <f>MOD(DAY(datos_siembra[[#This Row],[Date]]),7)</f>
        <v>5</v>
      </c>
      <c r="Q523" t="str">
        <f>CHOOSE(WEEKDAY(datos_siembra[[#This Row],[Date]],2),"L","M","X","J","V","S","D")</f>
        <v>J</v>
      </c>
      <c r="R523">
        <f>WEEKNUM(datos_siembra[[#This Row],[Date]],2)-WEEKNUM(DATE(YEAR(datos_siembra[[#This Row],[Date]]),MONTH(datos_siembra[[#This Row],[Date]]),1))+1</f>
        <v>2</v>
      </c>
      <c r="S523">
        <f>MONTH(datos_siembra[[#This Row],[Date]])</f>
        <v>9</v>
      </c>
      <c r="T523" t="str" cm="1">
        <f t="array" ref="T523">_xlfn.IFS(AND(N523&lt;= 22, S523=9), "SOWING",AND(N523&lt;= 28, S523=9), "COVERAGE",AND(N523&lt;= 30, S523=9), "FLUSH",AND(N523&lt;= 11, S523=10), "FLUSH",AND(N523&lt;= 21, S523=10), "PRODUCTION")</f>
        <v>SOWING</v>
      </c>
      <c r="U523">
        <f>HOUR(datos_siembra[[#This Row],[Hour]])</f>
        <v>2</v>
      </c>
      <c r="V523" cm="1">
        <f t="array" ref="V523">_xlfn.IFS(AND(N523&lt;= 22, S523=9), N523-7,AND(N523&lt;= 28, S523=9), N523-25,AND(N523&lt;= 30, S523=9), N523-28,AND(N523&lt;= 11, S523=10), N523+2,AND(N523&lt;= 21, S523=10), N523-11)</f>
        <v>5</v>
      </c>
    </row>
    <row r="524" spans="1:22" x14ac:dyDescent="0.35">
      <c r="A524" s="4">
        <v>45547</v>
      </c>
      <c r="B524" s="5">
        <v>0.11712962962962963</v>
      </c>
      <c r="C524">
        <v>83.2</v>
      </c>
      <c r="D524">
        <v>81.599999999999994</v>
      </c>
      <c r="E524">
        <v>87.2</v>
      </c>
      <c r="F524">
        <v>81.8</v>
      </c>
      <c r="G524">
        <v>0</v>
      </c>
      <c r="H524">
        <v>0</v>
      </c>
      <c r="I524">
        <v>0</v>
      </c>
      <c r="J524">
        <v>0</v>
      </c>
      <c r="K524">
        <v>63.6</v>
      </c>
      <c r="L524">
        <v>62.2</v>
      </c>
      <c r="M524">
        <v>83.44</v>
      </c>
      <c r="N524">
        <v>12</v>
      </c>
      <c r="O524">
        <v>2</v>
      </c>
      <c r="P524">
        <f>MOD(DAY(datos_siembra[[#This Row],[Date]]),7)</f>
        <v>5</v>
      </c>
      <c r="Q524" t="str">
        <f>CHOOSE(WEEKDAY(datos_siembra[[#This Row],[Date]],2),"L","M","X","J","V","S","D")</f>
        <v>J</v>
      </c>
      <c r="R524">
        <f>WEEKNUM(datos_siembra[[#This Row],[Date]],2)-WEEKNUM(DATE(YEAR(datos_siembra[[#This Row],[Date]]),MONTH(datos_siembra[[#This Row],[Date]]),1))+1</f>
        <v>2</v>
      </c>
      <c r="S524">
        <f>MONTH(datos_siembra[[#This Row],[Date]])</f>
        <v>9</v>
      </c>
      <c r="T524" t="str" cm="1">
        <f t="array" ref="T524">_xlfn.IFS(AND(N524&lt;= 22, S524=9), "SOWING",AND(N524&lt;= 28, S524=9), "COVERAGE",AND(N524&lt;= 30, S524=9), "FLUSH",AND(N524&lt;= 11, S524=10), "FLUSH",AND(N524&lt;= 21, S524=10), "PRODUCTION")</f>
        <v>SOWING</v>
      </c>
      <c r="U524">
        <f>HOUR(datos_siembra[[#This Row],[Hour]])</f>
        <v>2</v>
      </c>
      <c r="V524" cm="1">
        <f t="array" ref="V524">_xlfn.IFS(AND(N524&lt;= 22, S524=9), N524-7,AND(N524&lt;= 28, S524=9), N524-25,AND(N524&lt;= 30, S524=9), N524-28,AND(N524&lt;= 11, S524=10), N524+2,AND(N524&lt;= 21, S524=10), N524-11)</f>
        <v>5</v>
      </c>
    </row>
    <row r="525" spans="1:22" x14ac:dyDescent="0.35">
      <c r="A525" s="4">
        <v>45547</v>
      </c>
      <c r="B525" s="5">
        <v>0.12407407407407407</v>
      </c>
      <c r="C525">
        <v>83.2</v>
      </c>
      <c r="D525">
        <v>81.599999999999994</v>
      </c>
      <c r="E525">
        <v>87.2</v>
      </c>
      <c r="F525">
        <v>81.7</v>
      </c>
      <c r="G525">
        <v>0</v>
      </c>
      <c r="H525">
        <v>0</v>
      </c>
      <c r="I525">
        <v>0</v>
      </c>
      <c r="J525">
        <v>0</v>
      </c>
      <c r="K525">
        <v>63.6</v>
      </c>
      <c r="L525">
        <v>62.2</v>
      </c>
      <c r="M525">
        <v>83.47</v>
      </c>
      <c r="N525">
        <v>12</v>
      </c>
      <c r="O525">
        <v>2</v>
      </c>
      <c r="P525">
        <f>MOD(DAY(datos_siembra[[#This Row],[Date]]),7)</f>
        <v>5</v>
      </c>
      <c r="Q525" t="str">
        <f>CHOOSE(WEEKDAY(datos_siembra[[#This Row],[Date]],2),"L","M","X","J","V","S","D")</f>
        <v>J</v>
      </c>
      <c r="R525">
        <f>WEEKNUM(datos_siembra[[#This Row],[Date]],2)-WEEKNUM(DATE(YEAR(datos_siembra[[#This Row],[Date]]),MONTH(datos_siembra[[#This Row],[Date]]),1))+1</f>
        <v>2</v>
      </c>
      <c r="S525">
        <f>MONTH(datos_siembra[[#This Row],[Date]])</f>
        <v>9</v>
      </c>
      <c r="T525" t="str" cm="1">
        <f t="array" ref="T525">_xlfn.IFS(AND(N525&lt;= 22, S525=9), "SOWING",AND(N525&lt;= 28, S525=9), "COVERAGE",AND(N525&lt;= 30, S525=9), "FLUSH",AND(N525&lt;= 11, S525=10), "FLUSH",AND(N525&lt;= 21, S525=10), "PRODUCTION")</f>
        <v>SOWING</v>
      </c>
      <c r="U525">
        <f>HOUR(datos_siembra[[#This Row],[Hour]])</f>
        <v>2</v>
      </c>
      <c r="V525" cm="1">
        <f t="array" ref="V525">_xlfn.IFS(AND(N525&lt;= 22, S525=9), N525-7,AND(N525&lt;= 28, S525=9), N525-25,AND(N525&lt;= 30, S525=9), N525-28,AND(N525&lt;= 11, S525=10), N525+2,AND(N525&lt;= 21, S525=10), N525-11)</f>
        <v>5</v>
      </c>
    </row>
    <row r="526" spans="1:22" x14ac:dyDescent="0.35">
      <c r="A526" s="4">
        <v>45547</v>
      </c>
      <c r="B526" s="5">
        <v>0.13101851851851851</v>
      </c>
      <c r="C526">
        <v>83.1</v>
      </c>
      <c r="D526">
        <v>81.5</v>
      </c>
      <c r="E526">
        <v>87.2</v>
      </c>
      <c r="F526">
        <v>81.8</v>
      </c>
      <c r="G526">
        <v>0</v>
      </c>
      <c r="H526">
        <v>0</v>
      </c>
      <c r="I526">
        <v>0</v>
      </c>
      <c r="J526">
        <v>0</v>
      </c>
      <c r="K526">
        <v>63.9</v>
      </c>
      <c r="L526">
        <v>62.6</v>
      </c>
      <c r="M526">
        <v>83.47</v>
      </c>
      <c r="N526">
        <v>12</v>
      </c>
      <c r="O526">
        <v>2</v>
      </c>
      <c r="P526">
        <f>MOD(DAY(datos_siembra[[#This Row],[Date]]),7)</f>
        <v>5</v>
      </c>
      <c r="Q526" t="str">
        <f>CHOOSE(WEEKDAY(datos_siembra[[#This Row],[Date]],2),"L","M","X","J","V","S","D")</f>
        <v>J</v>
      </c>
      <c r="R526">
        <f>WEEKNUM(datos_siembra[[#This Row],[Date]],2)-WEEKNUM(DATE(YEAR(datos_siembra[[#This Row],[Date]]),MONTH(datos_siembra[[#This Row],[Date]]),1))+1</f>
        <v>2</v>
      </c>
      <c r="S526">
        <f>MONTH(datos_siembra[[#This Row],[Date]])</f>
        <v>9</v>
      </c>
      <c r="T526" t="str" cm="1">
        <f t="array" ref="T526">_xlfn.IFS(AND(N526&lt;= 22, S526=9), "SOWING",AND(N526&lt;= 28, S526=9), "COVERAGE",AND(N526&lt;= 30, S526=9), "FLUSH",AND(N526&lt;= 11, S526=10), "FLUSH",AND(N526&lt;= 21, S526=10), "PRODUCTION")</f>
        <v>SOWING</v>
      </c>
      <c r="U526">
        <f>HOUR(datos_siembra[[#This Row],[Hour]])</f>
        <v>3</v>
      </c>
      <c r="V526" cm="1">
        <f t="array" ref="V526">_xlfn.IFS(AND(N526&lt;= 22, S526=9), N526-7,AND(N526&lt;= 28, S526=9), N526-25,AND(N526&lt;= 30, S526=9), N526-28,AND(N526&lt;= 11, S526=10), N526+2,AND(N526&lt;= 21, S526=10), N526-11)</f>
        <v>5</v>
      </c>
    </row>
    <row r="527" spans="1:22" x14ac:dyDescent="0.35">
      <c r="A527" s="4">
        <v>45547</v>
      </c>
      <c r="B527" s="5">
        <v>0.13797453703703705</v>
      </c>
      <c r="C527">
        <v>83.3</v>
      </c>
      <c r="D527">
        <v>81.400000000000006</v>
      </c>
      <c r="E527">
        <v>87</v>
      </c>
      <c r="F527">
        <v>81.7</v>
      </c>
      <c r="G527">
        <v>0</v>
      </c>
      <c r="H527">
        <v>0</v>
      </c>
      <c r="I527">
        <v>0</v>
      </c>
      <c r="J527">
        <v>0</v>
      </c>
      <c r="K527">
        <v>63</v>
      </c>
      <c r="L527">
        <v>61.2</v>
      </c>
      <c r="M527">
        <v>83.47</v>
      </c>
      <c r="N527">
        <v>12</v>
      </c>
      <c r="O527">
        <v>2</v>
      </c>
      <c r="P527">
        <f>MOD(DAY(datos_siembra[[#This Row],[Date]]),7)</f>
        <v>5</v>
      </c>
      <c r="Q527" t="str">
        <f>CHOOSE(WEEKDAY(datos_siembra[[#This Row],[Date]],2),"L","M","X","J","V","S","D")</f>
        <v>J</v>
      </c>
      <c r="R527">
        <f>WEEKNUM(datos_siembra[[#This Row],[Date]],2)-WEEKNUM(DATE(YEAR(datos_siembra[[#This Row],[Date]]),MONTH(datos_siembra[[#This Row],[Date]]),1))+1</f>
        <v>2</v>
      </c>
      <c r="S527">
        <f>MONTH(datos_siembra[[#This Row],[Date]])</f>
        <v>9</v>
      </c>
      <c r="T527" t="str" cm="1">
        <f t="array" ref="T527">_xlfn.IFS(AND(N527&lt;= 22, S527=9), "SOWING",AND(N527&lt;= 28, S527=9), "COVERAGE",AND(N527&lt;= 30, S527=9), "FLUSH",AND(N527&lt;= 11, S527=10), "FLUSH",AND(N527&lt;= 21, S527=10), "PRODUCTION")</f>
        <v>SOWING</v>
      </c>
      <c r="U527">
        <f>HOUR(datos_siembra[[#This Row],[Hour]])</f>
        <v>3</v>
      </c>
      <c r="V527" cm="1">
        <f t="array" ref="V527">_xlfn.IFS(AND(N527&lt;= 22, S527=9), N527-7,AND(N527&lt;= 28, S527=9), N527-25,AND(N527&lt;= 30, S527=9), N527-28,AND(N527&lt;= 11, S527=10), N527+2,AND(N527&lt;= 21, S527=10), N527-11)</f>
        <v>5</v>
      </c>
    </row>
    <row r="528" spans="1:22" x14ac:dyDescent="0.35">
      <c r="A528" s="4">
        <v>45547</v>
      </c>
      <c r="B528" s="5">
        <v>0.14491898148148147</v>
      </c>
      <c r="C528">
        <v>83.3</v>
      </c>
      <c r="D528">
        <v>81.599999999999994</v>
      </c>
      <c r="E528">
        <v>87.1</v>
      </c>
      <c r="F528">
        <v>81.8</v>
      </c>
      <c r="G528">
        <v>0</v>
      </c>
      <c r="H528">
        <v>0</v>
      </c>
      <c r="I528">
        <v>0</v>
      </c>
      <c r="J528">
        <v>0</v>
      </c>
      <c r="K528">
        <v>62.8</v>
      </c>
      <c r="L528">
        <v>61.1</v>
      </c>
      <c r="M528">
        <v>83.44</v>
      </c>
      <c r="N528">
        <v>12</v>
      </c>
      <c r="O528">
        <v>2</v>
      </c>
      <c r="P528">
        <f>MOD(DAY(datos_siembra[[#This Row],[Date]]),7)</f>
        <v>5</v>
      </c>
      <c r="Q528" t="str">
        <f>CHOOSE(WEEKDAY(datos_siembra[[#This Row],[Date]],2),"L","M","X","J","V","S","D")</f>
        <v>J</v>
      </c>
      <c r="R528">
        <f>WEEKNUM(datos_siembra[[#This Row],[Date]],2)-WEEKNUM(DATE(YEAR(datos_siembra[[#This Row],[Date]]),MONTH(datos_siembra[[#This Row],[Date]]),1))+1</f>
        <v>2</v>
      </c>
      <c r="S528">
        <f>MONTH(datos_siembra[[#This Row],[Date]])</f>
        <v>9</v>
      </c>
      <c r="T528" t="str" cm="1">
        <f t="array" ref="T528">_xlfn.IFS(AND(N528&lt;= 22, S528=9), "SOWING",AND(N528&lt;= 28, S528=9), "COVERAGE",AND(N528&lt;= 30, S528=9), "FLUSH",AND(N528&lt;= 11, S528=10), "FLUSH",AND(N528&lt;= 21, S528=10), "PRODUCTION")</f>
        <v>SOWING</v>
      </c>
      <c r="U528">
        <f>HOUR(datos_siembra[[#This Row],[Hour]])</f>
        <v>3</v>
      </c>
      <c r="V528" cm="1">
        <f t="array" ref="V528">_xlfn.IFS(AND(N528&lt;= 22, S528=9), N528-7,AND(N528&lt;= 28, S528=9), N528-25,AND(N528&lt;= 30, S528=9), N528-28,AND(N528&lt;= 11, S528=10), N528+2,AND(N528&lt;= 21, S528=10), N528-11)</f>
        <v>5</v>
      </c>
    </row>
    <row r="529" spans="1:22" x14ac:dyDescent="0.35">
      <c r="A529" s="4">
        <v>45547</v>
      </c>
      <c r="B529" s="5">
        <v>0.15186342592592592</v>
      </c>
      <c r="C529">
        <v>83.2</v>
      </c>
      <c r="D529">
        <v>81.599999999999994</v>
      </c>
      <c r="E529">
        <v>87.2</v>
      </c>
      <c r="F529">
        <v>81.7</v>
      </c>
      <c r="G529">
        <v>0</v>
      </c>
      <c r="H529">
        <v>0</v>
      </c>
      <c r="I529">
        <v>0</v>
      </c>
      <c r="J529">
        <v>0</v>
      </c>
      <c r="K529">
        <v>63.7</v>
      </c>
      <c r="L529">
        <v>62.2</v>
      </c>
      <c r="M529">
        <v>83.44</v>
      </c>
      <c r="N529">
        <v>12</v>
      </c>
      <c r="O529">
        <v>2</v>
      </c>
      <c r="P529">
        <f>MOD(DAY(datos_siembra[[#This Row],[Date]]),7)</f>
        <v>5</v>
      </c>
      <c r="Q529" t="str">
        <f>CHOOSE(WEEKDAY(datos_siembra[[#This Row],[Date]],2),"L","M","X","J","V","S","D")</f>
        <v>J</v>
      </c>
      <c r="R529">
        <f>WEEKNUM(datos_siembra[[#This Row],[Date]],2)-WEEKNUM(DATE(YEAR(datos_siembra[[#This Row],[Date]]),MONTH(datos_siembra[[#This Row],[Date]]),1))+1</f>
        <v>2</v>
      </c>
      <c r="S529">
        <f>MONTH(datos_siembra[[#This Row],[Date]])</f>
        <v>9</v>
      </c>
      <c r="T529" t="str" cm="1">
        <f t="array" ref="T529">_xlfn.IFS(AND(N529&lt;= 22, S529=9), "SOWING",AND(N529&lt;= 28, S529=9), "COVERAGE",AND(N529&lt;= 30, S529=9), "FLUSH",AND(N529&lt;= 11, S529=10), "FLUSH",AND(N529&lt;= 21, S529=10), "PRODUCTION")</f>
        <v>SOWING</v>
      </c>
      <c r="U529">
        <f>HOUR(datos_siembra[[#This Row],[Hour]])</f>
        <v>3</v>
      </c>
      <c r="V529" cm="1">
        <f t="array" ref="V529">_xlfn.IFS(AND(N529&lt;= 22, S529=9), N529-7,AND(N529&lt;= 28, S529=9), N529-25,AND(N529&lt;= 30, S529=9), N529-28,AND(N529&lt;= 11, S529=10), N529+2,AND(N529&lt;= 21, S529=10), N529-11)</f>
        <v>5</v>
      </c>
    </row>
    <row r="530" spans="1:22" x14ac:dyDescent="0.35">
      <c r="A530" s="4">
        <v>45547</v>
      </c>
      <c r="B530" s="5">
        <v>0.15880787037037036</v>
      </c>
      <c r="C530">
        <v>83.2</v>
      </c>
      <c r="D530">
        <v>81.599999999999994</v>
      </c>
      <c r="E530">
        <v>87.1</v>
      </c>
      <c r="F530">
        <v>81.7</v>
      </c>
      <c r="G530">
        <v>0</v>
      </c>
      <c r="H530">
        <v>0</v>
      </c>
      <c r="I530">
        <v>0</v>
      </c>
      <c r="J530">
        <v>0</v>
      </c>
      <c r="K530">
        <v>63.2</v>
      </c>
      <c r="L530">
        <v>61.4</v>
      </c>
      <c r="M530">
        <v>83.38</v>
      </c>
      <c r="N530">
        <v>12</v>
      </c>
      <c r="O530">
        <v>2</v>
      </c>
      <c r="P530">
        <f>MOD(DAY(datos_siembra[[#This Row],[Date]]),7)</f>
        <v>5</v>
      </c>
      <c r="Q530" t="str">
        <f>CHOOSE(WEEKDAY(datos_siembra[[#This Row],[Date]],2),"L","M","X","J","V","S","D")</f>
        <v>J</v>
      </c>
      <c r="R530">
        <f>WEEKNUM(datos_siembra[[#This Row],[Date]],2)-WEEKNUM(DATE(YEAR(datos_siembra[[#This Row],[Date]]),MONTH(datos_siembra[[#This Row],[Date]]),1))+1</f>
        <v>2</v>
      </c>
      <c r="S530">
        <f>MONTH(datos_siembra[[#This Row],[Date]])</f>
        <v>9</v>
      </c>
      <c r="T530" t="str" cm="1">
        <f t="array" ref="T530">_xlfn.IFS(AND(N530&lt;= 22, S530=9), "SOWING",AND(N530&lt;= 28, S530=9), "COVERAGE",AND(N530&lt;= 30, S530=9), "FLUSH",AND(N530&lt;= 11, S530=10), "FLUSH",AND(N530&lt;= 21, S530=10), "PRODUCTION")</f>
        <v>SOWING</v>
      </c>
      <c r="U530">
        <f>HOUR(datos_siembra[[#This Row],[Hour]])</f>
        <v>3</v>
      </c>
      <c r="V530" cm="1">
        <f t="array" ref="V530">_xlfn.IFS(AND(N530&lt;= 22, S530=9), N530-7,AND(N530&lt;= 28, S530=9), N530-25,AND(N530&lt;= 30, S530=9), N530-28,AND(N530&lt;= 11, S530=10), N530+2,AND(N530&lt;= 21, S530=10), N530-11)</f>
        <v>5</v>
      </c>
    </row>
    <row r="531" spans="1:22" x14ac:dyDescent="0.35">
      <c r="A531" s="4">
        <v>45547</v>
      </c>
      <c r="B531" s="5">
        <v>0.16576388888888888</v>
      </c>
      <c r="C531">
        <v>83.2</v>
      </c>
      <c r="D531">
        <v>81.599999999999994</v>
      </c>
      <c r="E531">
        <v>87.1</v>
      </c>
      <c r="F531">
        <v>81.5</v>
      </c>
      <c r="G531">
        <v>0</v>
      </c>
      <c r="H531">
        <v>0</v>
      </c>
      <c r="I531">
        <v>0</v>
      </c>
      <c r="J531">
        <v>0</v>
      </c>
      <c r="K531">
        <v>62.6</v>
      </c>
      <c r="L531">
        <v>60.8</v>
      </c>
      <c r="M531">
        <v>83.38</v>
      </c>
      <c r="N531">
        <v>12</v>
      </c>
      <c r="O531">
        <v>2</v>
      </c>
      <c r="P531">
        <f>MOD(DAY(datos_siembra[[#This Row],[Date]]),7)</f>
        <v>5</v>
      </c>
      <c r="Q531" t="str">
        <f>CHOOSE(WEEKDAY(datos_siembra[[#This Row],[Date]],2),"L","M","X","J","V","S","D")</f>
        <v>J</v>
      </c>
      <c r="R531">
        <f>WEEKNUM(datos_siembra[[#This Row],[Date]],2)-WEEKNUM(DATE(YEAR(datos_siembra[[#This Row],[Date]]),MONTH(datos_siembra[[#This Row],[Date]]),1))+1</f>
        <v>2</v>
      </c>
      <c r="S531">
        <f>MONTH(datos_siembra[[#This Row],[Date]])</f>
        <v>9</v>
      </c>
      <c r="T531" t="str" cm="1">
        <f t="array" ref="T531">_xlfn.IFS(AND(N531&lt;= 22, S531=9), "SOWING",AND(N531&lt;= 28, S531=9), "COVERAGE",AND(N531&lt;= 30, S531=9), "FLUSH",AND(N531&lt;= 11, S531=10), "FLUSH",AND(N531&lt;= 21, S531=10), "PRODUCTION")</f>
        <v>SOWING</v>
      </c>
      <c r="U531">
        <f>HOUR(datos_siembra[[#This Row],[Hour]])</f>
        <v>3</v>
      </c>
      <c r="V531" cm="1">
        <f t="array" ref="V531">_xlfn.IFS(AND(N531&lt;= 22, S531=9), N531-7,AND(N531&lt;= 28, S531=9), N531-25,AND(N531&lt;= 30, S531=9), N531-28,AND(N531&lt;= 11, S531=10), N531+2,AND(N531&lt;= 21, S531=10), N531-11)</f>
        <v>5</v>
      </c>
    </row>
    <row r="532" spans="1:22" x14ac:dyDescent="0.35">
      <c r="A532" s="4">
        <v>45547</v>
      </c>
      <c r="B532" s="5">
        <v>0.17270833333333332</v>
      </c>
      <c r="C532">
        <v>83.2</v>
      </c>
      <c r="D532">
        <v>81.5</v>
      </c>
      <c r="E532">
        <v>87</v>
      </c>
      <c r="F532">
        <v>81.7</v>
      </c>
      <c r="G532">
        <v>0</v>
      </c>
      <c r="H532">
        <v>0</v>
      </c>
      <c r="I532">
        <v>0</v>
      </c>
      <c r="J532">
        <v>0</v>
      </c>
      <c r="K532">
        <v>63.5</v>
      </c>
      <c r="L532">
        <v>61.8</v>
      </c>
      <c r="M532">
        <v>83.41</v>
      </c>
      <c r="N532">
        <v>12</v>
      </c>
      <c r="O532">
        <v>2</v>
      </c>
      <c r="P532">
        <f>MOD(DAY(datos_siembra[[#This Row],[Date]]),7)</f>
        <v>5</v>
      </c>
      <c r="Q532" t="str">
        <f>CHOOSE(WEEKDAY(datos_siembra[[#This Row],[Date]],2),"L","M","X","J","V","S","D")</f>
        <v>J</v>
      </c>
      <c r="R532">
        <f>WEEKNUM(datos_siembra[[#This Row],[Date]],2)-WEEKNUM(DATE(YEAR(datos_siembra[[#This Row],[Date]]),MONTH(datos_siembra[[#This Row],[Date]]),1))+1</f>
        <v>2</v>
      </c>
      <c r="S532">
        <f>MONTH(datos_siembra[[#This Row],[Date]])</f>
        <v>9</v>
      </c>
      <c r="T532" t="str" cm="1">
        <f t="array" ref="T532">_xlfn.IFS(AND(N532&lt;= 22, S532=9), "SOWING",AND(N532&lt;= 28, S532=9), "COVERAGE",AND(N532&lt;= 30, S532=9), "FLUSH",AND(N532&lt;= 11, S532=10), "FLUSH",AND(N532&lt;= 21, S532=10), "PRODUCTION")</f>
        <v>SOWING</v>
      </c>
      <c r="U532">
        <f>HOUR(datos_siembra[[#This Row],[Hour]])</f>
        <v>4</v>
      </c>
      <c r="V532" cm="1">
        <f t="array" ref="V532">_xlfn.IFS(AND(N532&lt;= 22, S532=9), N532-7,AND(N532&lt;= 28, S532=9), N532-25,AND(N532&lt;= 30, S532=9), N532-28,AND(N532&lt;= 11, S532=10), N532+2,AND(N532&lt;= 21, S532=10), N532-11)</f>
        <v>5</v>
      </c>
    </row>
    <row r="533" spans="1:22" x14ac:dyDescent="0.35">
      <c r="A533" s="4">
        <v>45547</v>
      </c>
      <c r="B533" s="5">
        <v>0.17965277777777777</v>
      </c>
      <c r="C533">
        <v>83.3</v>
      </c>
      <c r="D533">
        <v>81.400000000000006</v>
      </c>
      <c r="E533">
        <v>87</v>
      </c>
      <c r="F533">
        <v>81.7</v>
      </c>
      <c r="G533">
        <v>0</v>
      </c>
      <c r="H533">
        <v>0</v>
      </c>
      <c r="I533">
        <v>0</v>
      </c>
      <c r="J533">
        <v>0</v>
      </c>
      <c r="K533">
        <v>63.4</v>
      </c>
      <c r="L533">
        <v>61.7</v>
      </c>
      <c r="M533">
        <v>83.36</v>
      </c>
      <c r="N533">
        <v>12</v>
      </c>
      <c r="O533">
        <v>2</v>
      </c>
      <c r="P533">
        <f>MOD(DAY(datos_siembra[[#This Row],[Date]]),7)</f>
        <v>5</v>
      </c>
      <c r="Q533" t="str">
        <f>CHOOSE(WEEKDAY(datos_siembra[[#This Row],[Date]],2),"L","M","X","J","V","S","D")</f>
        <v>J</v>
      </c>
      <c r="R533">
        <f>WEEKNUM(datos_siembra[[#This Row],[Date]],2)-WEEKNUM(DATE(YEAR(datos_siembra[[#This Row],[Date]]),MONTH(datos_siembra[[#This Row],[Date]]),1))+1</f>
        <v>2</v>
      </c>
      <c r="S533">
        <f>MONTH(datos_siembra[[#This Row],[Date]])</f>
        <v>9</v>
      </c>
      <c r="T533" t="str" cm="1">
        <f t="array" ref="T533">_xlfn.IFS(AND(N533&lt;= 22, S533=9), "SOWING",AND(N533&lt;= 28, S533=9), "COVERAGE",AND(N533&lt;= 30, S533=9), "FLUSH",AND(N533&lt;= 11, S533=10), "FLUSH",AND(N533&lt;= 21, S533=10), "PRODUCTION")</f>
        <v>SOWING</v>
      </c>
      <c r="U533">
        <f>HOUR(datos_siembra[[#This Row],[Hour]])</f>
        <v>4</v>
      </c>
      <c r="V533" cm="1">
        <f t="array" ref="V533">_xlfn.IFS(AND(N533&lt;= 22, S533=9), N533-7,AND(N533&lt;= 28, S533=9), N533-25,AND(N533&lt;= 30, S533=9), N533-28,AND(N533&lt;= 11, S533=10), N533+2,AND(N533&lt;= 21, S533=10), N533-11)</f>
        <v>5</v>
      </c>
    </row>
    <row r="534" spans="1:22" x14ac:dyDescent="0.35">
      <c r="A534" s="4">
        <v>45547</v>
      </c>
      <c r="B534" s="5">
        <v>0.18660879629629629</v>
      </c>
      <c r="C534">
        <v>83.2</v>
      </c>
      <c r="D534">
        <v>81.599999999999994</v>
      </c>
      <c r="E534">
        <v>87</v>
      </c>
      <c r="F534">
        <v>81.7</v>
      </c>
      <c r="G534">
        <v>0</v>
      </c>
      <c r="H534">
        <v>0</v>
      </c>
      <c r="I534">
        <v>0</v>
      </c>
      <c r="J534">
        <v>0</v>
      </c>
      <c r="K534">
        <v>62.8</v>
      </c>
      <c r="L534">
        <v>61</v>
      </c>
      <c r="M534">
        <v>83.47</v>
      </c>
      <c r="N534">
        <v>12</v>
      </c>
      <c r="O534">
        <v>2</v>
      </c>
      <c r="P534">
        <f>MOD(DAY(datos_siembra[[#This Row],[Date]]),7)</f>
        <v>5</v>
      </c>
      <c r="Q534" t="str">
        <f>CHOOSE(WEEKDAY(datos_siembra[[#This Row],[Date]],2),"L","M","X","J","V","S","D")</f>
        <v>J</v>
      </c>
      <c r="R534">
        <f>WEEKNUM(datos_siembra[[#This Row],[Date]],2)-WEEKNUM(DATE(YEAR(datos_siembra[[#This Row],[Date]]),MONTH(datos_siembra[[#This Row],[Date]]),1))+1</f>
        <v>2</v>
      </c>
      <c r="S534">
        <f>MONTH(datos_siembra[[#This Row],[Date]])</f>
        <v>9</v>
      </c>
      <c r="T534" t="str" cm="1">
        <f t="array" ref="T534">_xlfn.IFS(AND(N534&lt;= 22, S534=9), "SOWING",AND(N534&lt;= 28, S534=9), "COVERAGE",AND(N534&lt;= 30, S534=9), "FLUSH",AND(N534&lt;= 11, S534=10), "FLUSH",AND(N534&lt;= 21, S534=10), "PRODUCTION")</f>
        <v>SOWING</v>
      </c>
      <c r="U534">
        <f>HOUR(datos_siembra[[#This Row],[Hour]])</f>
        <v>4</v>
      </c>
      <c r="V534" cm="1">
        <f t="array" ref="V534">_xlfn.IFS(AND(N534&lt;= 22, S534=9), N534-7,AND(N534&lt;= 28, S534=9), N534-25,AND(N534&lt;= 30, S534=9), N534-28,AND(N534&lt;= 11, S534=10), N534+2,AND(N534&lt;= 21, S534=10), N534-11)</f>
        <v>5</v>
      </c>
    </row>
    <row r="535" spans="1:22" x14ac:dyDescent="0.35">
      <c r="A535" s="4">
        <v>45547</v>
      </c>
      <c r="B535" s="5">
        <v>0.19355324074074073</v>
      </c>
      <c r="C535">
        <v>83.3</v>
      </c>
      <c r="D535">
        <v>81.5</v>
      </c>
      <c r="E535">
        <v>87</v>
      </c>
      <c r="F535">
        <v>82.3</v>
      </c>
      <c r="G535">
        <v>0</v>
      </c>
      <c r="H535">
        <v>0</v>
      </c>
      <c r="I535">
        <v>0</v>
      </c>
      <c r="J535">
        <v>0</v>
      </c>
      <c r="K535">
        <v>62.6</v>
      </c>
      <c r="L535">
        <v>60.9</v>
      </c>
      <c r="M535">
        <v>83.41</v>
      </c>
      <c r="N535">
        <v>12</v>
      </c>
      <c r="O535">
        <v>2</v>
      </c>
      <c r="P535">
        <f>MOD(DAY(datos_siembra[[#This Row],[Date]]),7)</f>
        <v>5</v>
      </c>
      <c r="Q535" t="str">
        <f>CHOOSE(WEEKDAY(datos_siembra[[#This Row],[Date]],2),"L","M","X","J","V","S","D")</f>
        <v>J</v>
      </c>
      <c r="R535">
        <f>WEEKNUM(datos_siembra[[#This Row],[Date]],2)-WEEKNUM(DATE(YEAR(datos_siembra[[#This Row],[Date]]),MONTH(datos_siembra[[#This Row],[Date]]),1))+1</f>
        <v>2</v>
      </c>
      <c r="S535">
        <f>MONTH(datos_siembra[[#This Row],[Date]])</f>
        <v>9</v>
      </c>
      <c r="T535" t="str" cm="1">
        <f t="array" ref="T535">_xlfn.IFS(AND(N535&lt;= 22, S535=9), "SOWING",AND(N535&lt;= 28, S535=9), "COVERAGE",AND(N535&lt;= 30, S535=9), "FLUSH",AND(N535&lt;= 11, S535=10), "FLUSH",AND(N535&lt;= 21, S535=10), "PRODUCTION")</f>
        <v>SOWING</v>
      </c>
      <c r="U535">
        <f>HOUR(datos_siembra[[#This Row],[Hour]])</f>
        <v>4</v>
      </c>
      <c r="V535" cm="1">
        <f t="array" ref="V535">_xlfn.IFS(AND(N535&lt;= 22, S535=9), N535-7,AND(N535&lt;= 28, S535=9), N535-25,AND(N535&lt;= 30, S535=9), N535-28,AND(N535&lt;= 11, S535=10), N535+2,AND(N535&lt;= 21, S535=10), N535-11)</f>
        <v>5</v>
      </c>
    </row>
    <row r="536" spans="1:22" x14ac:dyDescent="0.35">
      <c r="A536" s="4">
        <v>45547</v>
      </c>
      <c r="B536" s="5">
        <v>0.20049768518518518</v>
      </c>
      <c r="C536">
        <v>83</v>
      </c>
      <c r="D536">
        <v>81.5</v>
      </c>
      <c r="E536">
        <v>87</v>
      </c>
      <c r="F536">
        <v>82.1</v>
      </c>
      <c r="G536">
        <v>0</v>
      </c>
      <c r="H536">
        <v>0</v>
      </c>
      <c r="I536">
        <v>0</v>
      </c>
      <c r="J536">
        <v>0</v>
      </c>
      <c r="K536">
        <v>62.6</v>
      </c>
      <c r="L536">
        <v>60.9</v>
      </c>
      <c r="M536">
        <v>83.47</v>
      </c>
      <c r="N536">
        <v>12</v>
      </c>
      <c r="O536">
        <v>2</v>
      </c>
      <c r="P536">
        <f>MOD(DAY(datos_siembra[[#This Row],[Date]]),7)</f>
        <v>5</v>
      </c>
      <c r="Q536" t="str">
        <f>CHOOSE(WEEKDAY(datos_siembra[[#This Row],[Date]],2),"L","M","X","J","V","S","D")</f>
        <v>J</v>
      </c>
      <c r="R536">
        <f>WEEKNUM(datos_siembra[[#This Row],[Date]],2)-WEEKNUM(DATE(YEAR(datos_siembra[[#This Row],[Date]]),MONTH(datos_siembra[[#This Row],[Date]]),1))+1</f>
        <v>2</v>
      </c>
      <c r="S536">
        <f>MONTH(datos_siembra[[#This Row],[Date]])</f>
        <v>9</v>
      </c>
      <c r="T536" t="str" cm="1">
        <f t="array" ref="T536">_xlfn.IFS(AND(N536&lt;= 22, S536=9), "SOWING",AND(N536&lt;= 28, S536=9), "COVERAGE",AND(N536&lt;= 30, S536=9), "FLUSH",AND(N536&lt;= 11, S536=10), "FLUSH",AND(N536&lt;= 21, S536=10), "PRODUCTION")</f>
        <v>SOWING</v>
      </c>
      <c r="U536">
        <f>HOUR(datos_siembra[[#This Row],[Hour]])</f>
        <v>4</v>
      </c>
      <c r="V536" cm="1">
        <f t="array" ref="V536">_xlfn.IFS(AND(N536&lt;= 22, S536=9), N536-7,AND(N536&lt;= 28, S536=9), N536-25,AND(N536&lt;= 30, S536=9), N536-28,AND(N536&lt;= 11, S536=10), N536+2,AND(N536&lt;= 21, S536=10), N536-11)</f>
        <v>5</v>
      </c>
    </row>
    <row r="537" spans="1:22" x14ac:dyDescent="0.35">
      <c r="A537" s="4">
        <v>45547</v>
      </c>
      <c r="B537" s="5">
        <v>0.20744212962962963</v>
      </c>
      <c r="C537">
        <v>83.1</v>
      </c>
      <c r="D537">
        <v>81.5</v>
      </c>
      <c r="E537">
        <v>86.9</v>
      </c>
      <c r="F537">
        <v>82.5</v>
      </c>
      <c r="G537">
        <v>0</v>
      </c>
      <c r="H537">
        <v>0</v>
      </c>
      <c r="I537">
        <v>0</v>
      </c>
      <c r="J537">
        <v>0</v>
      </c>
      <c r="K537">
        <v>62.6</v>
      </c>
      <c r="L537">
        <v>60.9</v>
      </c>
      <c r="M537">
        <v>83.47</v>
      </c>
      <c r="N537">
        <v>12</v>
      </c>
      <c r="O537">
        <v>2</v>
      </c>
      <c r="P537">
        <f>MOD(DAY(datos_siembra[[#This Row],[Date]]),7)</f>
        <v>5</v>
      </c>
      <c r="Q537" t="str">
        <f>CHOOSE(WEEKDAY(datos_siembra[[#This Row],[Date]],2),"L","M","X","J","V","S","D")</f>
        <v>J</v>
      </c>
      <c r="R537">
        <f>WEEKNUM(datos_siembra[[#This Row],[Date]],2)-WEEKNUM(DATE(YEAR(datos_siembra[[#This Row],[Date]]),MONTH(datos_siembra[[#This Row],[Date]]),1))+1</f>
        <v>2</v>
      </c>
      <c r="S537">
        <f>MONTH(datos_siembra[[#This Row],[Date]])</f>
        <v>9</v>
      </c>
      <c r="T537" t="str" cm="1">
        <f t="array" ref="T537">_xlfn.IFS(AND(N537&lt;= 22, S537=9), "SOWING",AND(N537&lt;= 28, S537=9), "COVERAGE",AND(N537&lt;= 30, S537=9), "FLUSH",AND(N537&lt;= 11, S537=10), "FLUSH",AND(N537&lt;= 21, S537=10), "PRODUCTION")</f>
        <v>SOWING</v>
      </c>
      <c r="U537">
        <f>HOUR(datos_siembra[[#This Row],[Hour]])</f>
        <v>4</v>
      </c>
      <c r="V537" cm="1">
        <f t="array" ref="V537">_xlfn.IFS(AND(N537&lt;= 22, S537=9), N537-7,AND(N537&lt;= 28, S537=9), N537-25,AND(N537&lt;= 30, S537=9), N537-28,AND(N537&lt;= 11, S537=10), N537+2,AND(N537&lt;= 21, S537=10), N537-11)</f>
        <v>5</v>
      </c>
    </row>
    <row r="538" spans="1:22" x14ac:dyDescent="0.35">
      <c r="A538" s="4">
        <v>45547</v>
      </c>
      <c r="B538" s="5">
        <v>0.21439814814814814</v>
      </c>
      <c r="C538">
        <v>83.2</v>
      </c>
      <c r="D538">
        <v>81.5</v>
      </c>
      <c r="E538">
        <v>86.9</v>
      </c>
      <c r="F538">
        <v>82.5</v>
      </c>
      <c r="G538">
        <v>0</v>
      </c>
      <c r="H538">
        <v>0</v>
      </c>
      <c r="I538">
        <v>0</v>
      </c>
      <c r="J538">
        <v>0</v>
      </c>
      <c r="K538">
        <v>62.5</v>
      </c>
      <c r="L538">
        <v>61</v>
      </c>
      <c r="M538">
        <v>83.47</v>
      </c>
      <c r="N538">
        <v>12</v>
      </c>
      <c r="O538">
        <v>2</v>
      </c>
      <c r="P538">
        <f>MOD(DAY(datos_siembra[[#This Row],[Date]]),7)</f>
        <v>5</v>
      </c>
      <c r="Q538" t="str">
        <f>CHOOSE(WEEKDAY(datos_siembra[[#This Row],[Date]],2),"L","M","X","J","V","S","D")</f>
        <v>J</v>
      </c>
      <c r="R538">
        <f>WEEKNUM(datos_siembra[[#This Row],[Date]],2)-WEEKNUM(DATE(YEAR(datos_siembra[[#This Row],[Date]]),MONTH(datos_siembra[[#This Row],[Date]]),1))+1</f>
        <v>2</v>
      </c>
      <c r="S538">
        <f>MONTH(datos_siembra[[#This Row],[Date]])</f>
        <v>9</v>
      </c>
      <c r="T538" t="str" cm="1">
        <f t="array" ref="T538">_xlfn.IFS(AND(N538&lt;= 22, S538=9), "SOWING",AND(N538&lt;= 28, S538=9), "COVERAGE",AND(N538&lt;= 30, S538=9), "FLUSH",AND(N538&lt;= 11, S538=10), "FLUSH",AND(N538&lt;= 21, S538=10), "PRODUCTION")</f>
        <v>SOWING</v>
      </c>
      <c r="U538">
        <f>HOUR(datos_siembra[[#This Row],[Hour]])</f>
        <v>5</v>
      </c>
      <c r="V538" cm="1">
        <f t="array" ref="V538">_xlfn.IFS(AND(N538&lt;= 22, S538=9), N538-7,AND(N538&lt;= 28, S538=9), N538-25,AND(N538&lt;= 30, S538=9), N538-28,AND(N538&lt;= 11, S538=10), N538+2,AND(N538&lt;= 21, S538=10), N538-11)</f>
        <v>5</v>
      </c>
    </row>
    <row r="539" spans="1:22" x14ac:dyDescent="0.35">
      <c r="A539" s="4">
        <v>45547</v>
      </c>
      <c r="B539" s="5">
        <v>0.22134259259259259</v>
      </c>
      <c r="C539">
        <v>83.1</v>
      </c>
      <c r="D539">
        <v>81.5</v>
      </c>
      <c r="E539">
        <v>86.9</v>
      </c>
      <c r="F539">
        <v>82.5</v>
      </c>
      <c r="G539">
        <v>0</v>
      </c>
      <c r="H539">
        <v>0</v>
      </c>
      <c r="I539">
        <v>0</v>
      </c>
      <c r="J539">
        <v>0</v>
      </c>
      <c r="K539">
        <v>62.6</v>
      </c>
      <c r="L539">
        <v>61</v>
      </c>
      <c r="M539">
        <v>83.41</v>
      </c>
      <c r="N539">
        <v>12</v>
      </c>
      <c r="O539">
        <v>2</v>
      </c>
      <c r="P539">
        <f>MOD(DAY(datos_siembra[[#This Row],[Date]]),7)</f>
        <v>5</v>
      </c>
      <c r="Q539" t="str">
        <f>CHOOSE(WEEKDAY(datos_siembra[[#This Row],[Date]],2),"L","M","X","J","V","S","D")</f>
        <v>J</v>
      </c>
      <c r="R539">
        <f>WEEKNUM(datos_siembra[[#This Row],[Date]],2)-WEEKNUM(DATE(YEAR(datos_siembra[[#This Row],[Date]]),MONTH(datos_siembra[[#This Row],[Date]]),1))+1</f>
        <v>2</v>
      </c>
      <c r="S539">
        <f>MONTH(datos_siembra[[#This Row],[Date]])</f>
        <v>9</v>
      </c>
      <c r="T539" t="str" cm="1">
        <f t="array" ref="T539">_xlfn.IFS(AND(N539&lt;= 22, S539=9), "SOWING",AND(N539&lt;= 28, S539=9), "COVERAGE",AND(N539&lt;= 30, S539=9), "FLUSH",AND(N539&lt;= 11, S539=10), "FLUSH",AND(N539&lt;= 21, S539=10), "PRODUCTION")</f>
        <v>SOWING</v>
      </c>
      <c r="U539">
        <f>HOUR(datos_siembra[[#This Row],[Hour]])</f>
        <v>5</v>
      </c>
      <c r="V539" cm="1">
        <f t="array" ref="V539">_xlfn.IFS(AND(N539&lt;= 22, S539=9), N539-7,AND(N539&lt;= 28, S539=9), N539-25,AND(N539&lt;= 30, S539=9), N539-28,AND(N539&lt;= 11, S539=10), N539+2,AND(N539&lt;= 21, S539=10), N539-11)</f>
        <v>5</v>
      </c>
    </row>
    <row r="540" spans="1:22" x14ac:dyDescent="0.35">
      <c r="A540" s="4">
        <v>45547</v>
      </c>
      <c r="B540" s="5">
        <v>0.22828703703703704</v>
      </c>
      <c r="C540">
        <v>83.3</v>
      </c>
      <c r="D540">
        <v>81.400000000000006</v>
      </c>
      <c r="E540">
        <v>86.8</v>
      </c>
      <c r="F540">
        <v>82.5</v>
      </c>
      <c r="G540">
        <v>0</v>
      </c>
      <c r="H540">
        <v>0</v>
      </c>
      <c r="I540">
        <v>0</v>
      </c>
      <c r="J540">
        <v>0</v>
      </c>
      <c r="K540">
        <v>62.7</v>
      </c>
      <c r="L540">
        <v>61.1</v>
      </c>
      <c r="M540">
        <v>83.52</v>
      </c>
      <c r="N540">
        <v>12</v>
      </c>
      <c r="O540">
        <v>2</v>
      </c>
      <c r="P540">
        <f>MOD(DAY(datos_siembra[[#This Row],[Date]]),7)</f>
        <v>5</v>
      </c>
      <c r="Q540" t="str">
        <f>CHOOSE(WEEKDAY(datos_siembra[[#This Row],[Date]],2),"L","M","X","J","V","S","D")</f>
        <v>J</v>
      </c>
      <c r="R540">
        <f>WEEKNUM(datos_siembra[[#This Row],[Date]],2)-WEEKNUM(DATE(YEAR(datos_siembra[[#This Row],[Date]]),MONTH(datos_siembra[[#This Row],[Date]]),1))+1</f>
        <v>2</v>
      </c>
      <c r="S540">
        <f>MONTH(datos_siembra[[#This Row],[Date]])</f>
        <v>9</v>
      </c>
      <c r="T540" t="str" cm="1">
        <f t="array" ref="T540">_xlfn.IFS(AND(N540&lt;= 22, S540=9), "SOWING",AND(N540&lt;= 28, S540=9), "COVERAGE",AND(N540&lt;= 30, S540=9), "FLUSH",AND(N540&lt;= 11, S540=10), "FLUSH",AND(N540&lt;= 21, S540=10), "PRODUCTION")</f>
        <v>SOWING</v>
      </c>
      <c r="U540">
        <f>HOUR(datos_siembra[[#This Row],[Hour]])</f>
        <v>5</v>
      </c>
      <c r="V540" cm="1">
        <f t="array" ref="V540">_xlfn.IFS(AND(N540&lt;= 22, S540=9), N540-7,AND(N540&lt;= 28, S540=9), N540-25,AND(N540&lt;= 30, S540=9), N540-28,AND(N540&lt;= 11, S540=10), N540+2,AND(N540&lt;= 21, S540=10), N540-11)</f>
        <v>5</v>
      </c>
    </row>
    <row r="541" spans="1:22" x14ac:dyDescent="0.35">
      <c r="A541" s="4">
        <v>45547</v>
      </c>
      <c r="B541" s="5">
        <v>0.23524305555555555</v>
      </c>
      <c r="C541">
        <v>83.2</v>
      </c>
      <c r="D541">
        <v>81.5</v>
      </c>
      <c r="E541">
        <v>86.9</v>
      </c>
      <c r="F541">
        <v>82.7</v>
      </c>
      <c r="G541">
        <v>0</v>
      </c>
      <c r="H541">
        <v>0</v>
      </c>
      <c r="I541">
        <v>0</v>
      </c>
      <c r="J541">
        <v>0</v>
      </c>
      <c r="K541">
        <v>62.8</v>
      </c>
      <c r="L541">
        <v>61.2</v>
      </c>
      <c r="M541">
        <v>83.41</v>
      </c>
      <c r="N541">
        <v>12</v>
      </c>
      <c r="O541">
        <v>2</v>
      </c>
      <c r="P541">
        <f>MOD(DAY(datos_siembra[[#This Row],[Date]]),7)</f>
        <v>5</v>
      </c>
      <c r="Q541" t="str">
        <f>CHOOSE(WEEKDAY(datos_siembra[[#This Row],[Date]],2),"L","M","X","J","V","S","D")</f>
        <v>J</v>
      </c>
      <c r="R541">
        <f>WEEKNUM(datos_siembra[[#This Row],[Date]],2)-WEEKNUM(DATE(YEAR(datos_siembra[[#This Row],[Date]]),MONTH(datos_siembra[[#This Row],[Date]]),1))+1</f>
        <v>2</v>
      </c>
      <c r="S541">
        <f>MONTH(datos_siembra[[#This Row],[Date]])</f>
        <v>9</v>
      </c>
      <c r="T541" t="str" cm="1">
        <f t="array" ref="T541">_xlfn.IFS(AND(N541&lt;= 22, S541=9), "SOWING",AND(N541&lt;= 28, S541=9), "COVERAGE",AND(N541&lt;= 30, S541=9), "FLUSH",AND(N541&lt;= 11, S541=10), "FLUSH",AND(N541&lt;= 21, S541=10), "PRODUCTION")</f>
        <v>SOWING</v>
      </c>
      <c r="U541">
        <f>HOUR(datos_siembra[[#This Row],[Hour]])</f>
        <v>5</v>
      </c>
      <c r="V541" cm="1">
        <f t="array" ref="V541">_xlfn.IFS(AND(N541&lt;= 22, S541=9), N541-7,AND(N541&lt;= 28, S541=9), N541-25,AND(N541&lt;= 30, S541=9), N541-28,AND(N541&lt;= 11, S541=10), N541+2,AND(N541&lt;= 21, S541=10), N541-11)</f>
        <v>5</v>
      </c>
    </row>
    <row r="542" spans="1:22" x14ac:dyDescent="0.35">
      <c r="A542" s="4">
        <v>45547</v>
      </c>
      <c r="B542" s="5">
        <v>0.2421875</v>
      </c>
      <c r="C542">
        <v>83.2</v>
      </c>
      <c r="D542">
        <v>81.5</v>
      </c>
      <c r="E542">
        <v>86.8</v>
      </c>
      <c r="F542">
        <v>82.6</v>
      </c>
      <c r="G542">
        <v>0</v>
      </c>
      <c r="H542">
        <v>0</v>
      </c>
      <c r="I542">
        <v>0</v>
      </c>
      <c r="J542">
        <v>0</v>
      </c>
      <c r="K542">
        <v>62.8</v>
      </c>
      <c r="L542">
        <v>61.4</v>
      </c>
      <c r="M542">
        <v>83.52</v>
      </c>
      <c r="N542">
        <v>12</v>
      </c>
      <c r="O542">
        <v>2</v>
      </c>
      <c r="P542">
        <f>MOD(DAY(datos_siembra[[#This Row],[Date]]),7)</f>
        <v>5</v>
      </c>
      <c r="Q542" t="str">
        <f>CHOOSE(WEEKDAY(datos_siembra[[#This Row],[Date]],2),"L","M","X","J","V","S","D")</f>
        <v>J</v>
      </c>
      <c r="R542">
        <f>WEEKNUM(datos_siembra[[#This Row],[Date]],2)-WEEKNUM(DATE(YEAR(datos_siembra[[#This Row],[Date]]),MONTH(datos_siembra[[#This Row],[Date]]),1))+1</f>
        <v>2</v>
      </c>
      <c r="S542">
        <f>MONTH(datos_siembra[[#This Row],[Date]])</f>
        <v>9</v>
      </c>
      <c r="T542" t="str" cm="1">
        <f t="array" ref="T542">_xlfn.IFS(AND(N542&lt;= 22, S542=9), "SOWING",AND(N542&lt;= 28, S542=9), "COVERAGE",AND(N542&lt;= 30, S542=9), "FLUSH",AND(N542&lt;= 11, S542=10), "FLUSH",AND(N542&lt;= 21, S542=10), "PRODUCTION")</f>
        <v>SOWING</v>
      </c>
      <c r="U542">
        <f>HOUR(datos_siembra[[#This Row],[Hour]])</f>
        <v>5</v>
      </c>
      <c r="V542" cm="1">
        <f t="array" ref="V542">_xlfn.IFS(AND(N542&lt;= 22, S542=9), N542-7,AND(N542&lt;= 28, S542=9), N542-25,AND(N542&lt;= 30, S542=9), N542-28,AND(N542&lt;= 11, S542=10), N542+2,AND(N542&lt;= 21, S542=10), N542-11)</f>
        <v>5</v>
      </c>
    </row>
    <row r="543" spans="1:22" x14ac:dyDescent="0.35">
      <c r="A543" s="4">
        <v>45547</v>
      </c>
      <c r="B543" s="5">
        <v>0.24913194444444445</v>
      </c>
      <c r="C543">
        <v>83.3</v>
      </c>
      <c r="D543">
        <v>81.5</v>
      </c>
      <c r="E543">
        <v>86.7</v>
      </c>
      <c r="F543">
        <v>82.7</v>
      </c>
      <c r="G543">
        <v>0</v>
      </c>
      <c r="H543">
        <v>0</v>
      </c>
      <c r="I543">
        <v>0</v>
      </c>
      <c r="J543">
        <v>0</v>
      </c>
      <c r="K543">
        <v>63</v>
      </c>
      <c r="L543">
        <v>61.5</v>
      </c>
      <c r="M543">
        <v>83.5</v>
      </c>
      <c r="N543">
        <v>12</v>
      </c>
      <c r="O543">
        <v>2</v>
      </c>
      <c r="P543">
        <f>MOD(DAY(datos_siembra[[#This Row],[Date]]),7)</f>
        <v>5</v>
      </c>
      <c r="Q543" t="str">
        <f>CHOOSE(WEEKDAY(datos_siembra[[#This Row],[Date]],2),"L","M","X","J","V","S","D")</f>
        <v>J</v>
      </c>
      <c r="R543">
        <f>WEEKNUM(datos_siembra[[#This Row],[Date]],2)-WEEKNUM(DATE(YEAR(datos_siembra[[#This Row],[Date]]),MONTH(datos_siembra[[#This Row],[Date]]),1))+1</f>
        <v>2</v>
      </c>
      <c r="S543">
        <f>MONTH(datos_siembra[[#This Row],[Date]])</f>
        <v>9</v>
      </c>
      <c r="T543" t="str" cm="1">
        <f t="array" ref="T543">_xlfn.IFS(AND(N543&lt;= 22, S543=9), "SOWING",AND(N543&lt;= 28, S543=9), "COVERAGE",AND(N543&lt;= 30, S543=9), "FLUSH",AND(N543&lt;= 11, S543=10), "FLUSH",AND(N543&lt;= 21, S543=10), "PRODUCTION")</f>
        <v>SOWING</v>
      </c>
      <c r="U543">
        <f>HOUR(datos_siembra[[#This Row],[Hour]])</f>
        <v>5</v>
      </c>
      <c r="V543" cm="1">
        <f t="array" ref="V543">_xlfn.IFS(AND(N543&lt;= 22, S543=9), N543-7,AND(N543&lt;= 28, S543=9), N543-25,AND(N543&lt;= 30, S543=9), N543-28,AND(N543&lt;= 11, S543=10), N543+2,AND(N543&lt;= 21, S543=10), N543-11)</f>
        <v>5</v>
      </c>
    </row>
    <row r="544" spans="1:22" x14ac:dyDescent="0.35">
      <c r="A544" s="4">
        <v>45547</v>
      </c>
      <c r="B544" s="5">
        <v>0.25608796296296299</v>
      </c>
      <c r="C544">
        <v>83.2</v>
      </c>
      <c r="D544">
        <v>81.5</v>
      </c>
      <c r="E544">
        <v>86.7</v>
      </c>
      <c r="F544">
        <v>82.5</v>
      </c>
      <c r="G544">
        <v>0</v>
      </c>
      <c r="H544">
        <v>0</v>
      </c>
      <c r="I544">
        <v>0</v>
      </c>
      <c r="J544">
        <v>0</v>
      </c>
      <c r="K544">
        <v>63.2</v>
      </c>
      <c r="L544">
        <v>61.7</v>
      </c>
      <c r="M544">
        <v>83.44</v>
      </c>
      <c r="N544">
        <v>12</v>
      </c>
      <c r="O544">
        <v>2</v>
      </c>
      <c r="P544">
        <f>MOD(DAY(datos_siembra[[#This Row],[Date]]),7)</f>
        <v>5</v>
      </c>
      <c r="Q544" t="str">
        <f>CHOOSE(WEEKDAY(datos_siembra[[#This Row],[Date]],2),"L","M","X","J","V","S","D")</f>
        <v>J</v>
      </c>
      <c r="R544">
        <f>WEEKNUM(datos_siembra[[#This Row],[Date]],2)-WEEKNUM(DATE(YEAR(datos_siembra[[#This Row],[Date]]),MONTH(datos_siembra[[#This Row],[Date]]),1))+1</f>
        <v>2</v>
      </c>
      <c r="S544">
        <f>MONTH(datos_siembra[[#This Row],[Date]])</f>
        <v>9</v>
      </c>
      <c r="T544" t="str" cm="1">
        <f t="array" ref="T544">_xlfn.IFS(AND(N544&lt;= 22, S544=9), "SOWING",AND(N544&lt;= 28, S544=9), "COVERAGE",AND(N544&lt;= 30, S544=9), "FLUSH",AND(N544&lt;= 11, S544=10), "FLUSH",AND(N544&lt;= 21, S544=10), "PRODUCTION")</f>
        <v>SOWING</v>
      </c>
      <c r="U544">
        <f>HOUR(datos_siembra[[#This Row],[Hour]])</f>
        <v>6</v>
      </c>
      <c r="V544" cm="1">
        <f t="array" ref="V544">_xlfn.IFS(AND(N544&lt;= 22, S544=9), N544-7,AND(N544&lt;= 28, S544=9), N544-25,AND(N544&lt;= 30, S544=9), N544-28,AND(N544&lt;= 11, S544=10), N544+2,AND(N544&lt;= 21, S544=10), N544-11)</f>
        <v>5</v>
      </c>
    </row>
    <row r="545" spans="1:22" x14ac:dyDescent="0.35">
      <c r="A545" s="4">
        <v>45547</v>
      </c>
      <c r="B545" s="5">
        <v>0.26303240740740741</v>
      </c>
      <c r="C545">
        <v>83.3</v>
      </c>
      <c r="D545">
        <v>81.5</v>
      </c>
      <c r="E545">
        <v>86.8</v>
      </c>
      <c r="F545">
        <v>82.6</v>
      </c>
      <c r="G545">
        <v>0</v>
      </c>
      <c r="H545">
        <v>0</v>
      </c>
      <c r="I545">
        <v>0</v>
      </c>
      <c r="J545">
        <v>0</v>
      </c>
      <c r="K545">
        <v>63.2</v>
      </c>
      <c r="L545">
        <v>61.8</v>
      </c>
      <c r="M545">
        <v>83.44</v>
      </c>
      <c r="N545">
        <v>12</v>
      </c>
      <c r="O545">
        <v>2</v>
      </c>
      <c r="P545">
        <f>MOD(DAY(datos_siembra[[#This Row],[Date]]),7)</f>
        <v>5</v>
      </c>
      <c r="Q545" t="str">
        <f>CHOOSE(WEEKDAY(datos_siembra[[#This Row],[Date]],2),"L","M","X","J","V","S","D")</f>
        <v>J</v>
      </c>
      <c r="R545">
        <f>WEEKNUM(datos_siembra[[#This Row],[Date]],2)-WEEKNUM(DATE(YEAR(datos_siembra[[#This Row],[Date]]),MONTH(datos_siembra[[#This Row],[Date]]),1))+1</f>
        <v>2</v>
      </c>
      <c r="S545">
        <f>MONTH(datos_siembra[[#This Row],[Date]])</f>
        <v>9</v>
      </c>
      <c r="T545" t="str" cm="1">
        <f t="array" ref="T545">_xlfn.IFS(AND(N545&lt;= 22, S545=9), "SOWING",AND(N545&lt;= 28, S545=9), "COVERAGE",AND(N545&lt;= 30, S545=9), "FLUSH",AND(N545&lt;= 11, S545=10), "FLUSH",AND(N545&lt;= 21, S545=10), "PRODUCTION")</f>
        <v>SOWING</v>
      </c>
      <c r="U545">
        <f>HOUR(datos_siembra[[#This Row],[Hour]])</f>
        <v>6</v>
      </c>
      <c r="V545" cm="1">
        <f t="array" ref="V545">_xlfn.IFS(AND(N545&lt;= 22, S545=9), N545-7,AND(N545&lt;= 28, S545=9), N545-25,AND(N545&lt;= 30, S545=9), N545-28,AND(N545&lt;= 11, S545=10), N545+2,AND(N545&lt;= 21, S545=10), N545-11)</f>
        <v>5</v>
      </c>
    </row>
    <row r="546" spans="1:22" x14ac:dyDescent="0.35">
      <c r="A546" s="4">
        <v>45547</v>
      </c>
      <c r="B546" s="5">
        <v>0.26997685185185183</v>
      </c>
      <c r="C546">
        <v>83.1</v>
      </c>
      <c r="D546">
        <v>81.3</v>
      </c>
      <c r="E546">
        <v>86.7</v>
      </c>
      <c r="F546">
        <v>82.4</v>
      </c>
      <c r="G546">
        <v>0</v>
      </c>
      <c r="H546">
        <v>0</v>
      </c>
      <c r="I546">
        <v>0</v>
      </c>
      <c r="J546">
        <v>0</v>
      </c>
      <c r="K546">
        <v>63.4</v>
      </c>
      <c r="L546">
        <v>62.2</v>
      </c>
      <c r="M546">
        <v>83.41</v>
      </c>
      <c r="N546">
        <v>12</v>
      </c>
      <c r="O546">
        <v>2</v>
      </c>
      <c r="P546">
        <f>MOD(DAY(datos_siembra[[#This Row],[Date]]),7)</f>
        <v>5</v>
      </c>
      <c r="Q546" t="str">
        <f>CHOOSE(WEEKDAY(datos_siembra[[#This Row],[Date]],2),"L","M","X","J","V","S","D")</f>
        <v>J</v>
      </c>
      <c r="R546">
        <f>WEEKNUM(datos_siembra[[#This Row],[Date]],2)-WEEKNUM(DATE(YEAR(datos_siembra[[#This Row],[Date]]),MONTH(datos_siembra[[#This Row],[Date]]),1))+1</f>
        <v>2</v>
      </c>
      <c r="S546">
        <f>MONTH(datos_siembra[[#This Row],[Date]])</f>
        <v>9</v>
      </c>
      <c r="T546" t="str" cm="1">
        <f t="array" ref="T546">_xlfn.IFS(AND(N546&lt;= 22, S546=9), "SOWING",AND(N546&lt;= 28, S546=9), "COVERAGE",AND(N546&lt;= 30, S546=9), "FLUSH",AND(N546&lt;= 11, S546=10), "FLUSH",AND(N546&lt;= 21, S546=10), "PRODUCTION")</f>
        <v>SOWING</v>
      </c>
      <c r="U546">
        <f>HOUR(datos_siembra[[#This Row],[Hour]])</f>
        <v>6</v>
      </c>
      <c r="V546" cm="1">
        <f t="array" ref="V546">_xlfn.IFS(AND(N546&lt;= 22, S546=9), N546-7,AND(N546&lt;= 28, S546=9), N546-25,AND(N546&lt;= 30, S546=9), N546-28,AND(N546&lt;= 11, S546=10), N546+2,AND(N546&lt;= 21, S546=10), N546-11)</f>
        <v>5</v>
      </c>
    </row>
    <row r="547" spans="1:22" x14ac:dyDescent="0.35">
      <c r="A547" s="4">
        <v>45547</v>
      </c>
      <c r="B547" s="5">
        <v>0.27693287037037034</v>
      </c>
      <c r="C547">
        <v>83.1</v>
      </c>
      <c r="D547">
        <v>81.3</v>
      </c>
      <c r="E547">
        <v>86.7</v>
      </c>
      <c r="F547">
        <v>82.5</v>
      </c>
      <c r="G547">
        <v>0</v>
      </c>
      <c r="H547">
        <v>0</v>
      </c>
      <c r="I547">
        <v>0</v>
      </c>
      <c r="J547">
        <v>0</v>
      </c>
      <c r="K547">
        <v>63.6</v>
      </c>
      <c r="L547">
        <v>62.3</v>
      </c>
      <c r="M547">
        <v>83.41</v>
      </c>
      <c r="N547">
        <v>12</v>
      </c>
      <c r="O547">
        <v>2</v>
      </c>
      <c r="P547">
        <f>MOD(DAY(datos_siembra[[#This Row],[Date]]),7)</f>
        <v>5</v>
      </c>
      <c r="Q547" t="str">
        <f>CHOOSE(WEEKDAY(datos_siembra[[#This Row],[Date]],2),"L","M","X","J","V","S","D")</f>
        <v>J</v>
      </c>
      <c r="R547">
        <f>WEEKNUM(datos_siembra[[#This Row],[Date]],2)-WEEKNUM(DATE(YEAR(datos_siembra[[#This Row],[Date]]),MONTH(datos_siembra[[#This Row],[Date]]),1))+1</f>
        <v>2</v>
      </c>
      <c r="S547">
        <f>MONTH(datos_siembra[[#This Row],[Date]])</f>
        <v>9</v>
      </c>
      <c r="T547" t="str" cm="1">
        <f t="array" ref="T547">_xlfn.IFS(AND(N547&lt;= 22, S547=9), "SOWING",AND(N547&lt;= 28, S547=9), "COVERAGE",AND(N547&lt;= 30, S547=9), "FLUSH",AND(N547&lt;= 11, S547=10), "FLUSH",AND(N547&lt;= 21, S547=10), "PRODUCTION")</f>
        <v>SOWING</v>
      </c>
      <c r="U547">
        <f>HOUR(datos_siembra[[#This Row],[Hour]])</f>
        <v>6</v>
      </c>
      <c r="V547" cm="1">
        <f t="array" ref="V547">_xlfn.IFS(AND(N547&lt;= 22, S547=9), N547-7,AND(N547&lt;= 28, S547=9), N547-25,AND(N547&lt;= 30, S547=9), N547-28,AND(N547&lt;= 11, S547=10), N547+2,AND(N547&lt;= 21, S547=10), N547-11)</f>
        <v>5</v>
      </c>
    </row>
    <row r="548" spans="1:22" x14ac:dyDescent="0.35">
      <c r="A548" s="4">
        <v>45547</v>
      </c>
      <c r="B548" s="5">
        <v>0.28387731481481482</v>
      </c>
      <c r="C548">
        <v>83.1</v>
      </c>
      <c r="D548">
        <v>81.5</v>
      </c>
      <c r="E548">
        <v>86.7</v>
      </c>
      <c r="F548">
        <v>82.4</v>
      </c>
      <c r="G548">
        <v>0</v>
      </c>
      <c r="H548">
        <v>0</v>
      </c>
      <c r="I548">
        <v>0</v>
      </c>
      <c r="J548">
        <v>0</v>
      </c>
      <c r="K548">
        <v>63.7</v>
      </c>
      <c r="L548">
        <v>62.3</v>
      </c>
      <c r="M548">
        <v>83.36</v>
      </c>
      <c r="N548">
        <v>12</v>
      </c>
      <c r="O548">
        <v>2</v>
      </c>
      <c r="P548">
        <f>MOD(DAY(datos_siembra[[#This Row],[Date]]),7)</f>
        <v>5</v>
      </c>
      <c r="Q548" t="str">
        <f>CHOOSE(WEEKDAY(datos_siembra[[#This Row],[Date]],2),"L","M","X","J","V","S","D")</f>
        <v>J</v>
      </c>
      <c r="R548">
        <f>WEEKNUM(datos_siembra[[#This Row],[Date]],2)-WEEKNUM(DATE(YEAR(datos_siembra[[#This Row],[Date]]),MONTH(datos_siembra[[#This Row],[Date]]),1))+1</f>
        <v>2</v>
      </c>
      <c r="S548">
        <f>MONTH(datos_siembra[[#This Row],[Date]])</f>
        <v>9</v>
      </c>
      <c r="T548" t="str" cm="1">
        <f t="array" ref="T548">_xlfn.IFS(AND(N548&lt;= 22, S548=9), "SOWING",AND(N548&lt;= 28, S548=9), "COVERAGE",AND(N548&lt;= 30, S548=9), "FLUSH",AND(N548&lt;= 11, S548=10), "FLUSH",AND(N548&lt;= 21, S548=10), "PRODUCTION")</f>
        <v>SOWING</v>
      </c>
      <c r="U548">
        <f>HOUR(datos_siembra[[#This Row],[Hour]])</f>
        <v>6</v>
      </c>
      <c r="V548" cm="1">
        <f t="array" ref="V548">_xlfn.IFS(AND(N548&lt;= 22, S548=9), N548-7,AND(N548&lt;= 28, S548=9), N548-25,AND(N548&lt;= 30, S548=9), N548-28,AND(N548&lt;= 11, S548=10), N548+2,AND(N548&lt;= 21, S548=10), N548-11)</f>
        <v>5</v>
      </c>
    </row>
    <row r="549" spans="1:22" x14ac:dyDescent="0.35">
      <c r="A549" s="4">
        <v>45547</v>
      </c>
      <c r="B549" s="5">
        <v>0.29082175925925924</v>
      </c>
      <c r="C549">
        <v>83</v>
      </c>
      <c r="D549">
        <v>81.400000000000006</v>
      </c>
      <c r="E549">
        <v>86.6</v>
      </c>
      <c r="F549">
        <v>82.3</v>
      </c>
      <c r="G549">
        <v>0</v>
      </c>
      <c r="H549">
        <v>0</v>
      </c>
      <c r="I549">
        <v>0</v>
      </c>
      <c r="J549">
        <v>0</v>
      </c>
      <c r="K549">
        <v>63.6</v>
      </c>
      <c r="L549">
        <v>62.2</v>
      </c>
      <c r="M549">
        <v>83.3</v>
      </c>
      <c r="N549">
        <v>12</v>
      </c>
      <c r="O549">
        <v>2</v>
      </c>
      <c r="P549">
        <f>MOD(DAY(datos_siembra[[#This Row],[Date]]),7)</f>
        <v>5</v>
      </c>
      <c r="Q549" t="str">
        <f>CHOOSE(WEEKDAY(datos_siembra[[#This Row],[Date]],2),"L","M","X","J","V","S","D")</f>
        <v>J</v>
      </c>
      <c r="R549">
        <f>WEEKNUM(datos_siembra[[#This Row],[Date]],2)-WEEKNUM(DATE(YEAR(datos_siembra[[#This Row],[Date]]),MONTH(datos_siembra[[#This Row],[Date]]),1))+1</f>
        <v>2</v>
      </c>
      <c r="S549">
        <f>MONTH(datos_siembra[[#This Row],[Date]])</f>
        <v>9</v>
      </c>
      <c r="T549" t="str" cm="1">
        <f t="array" ref="T549">_xlfn.IFS(AND(N549&lt;= 22, S549=9), "SOWING",AND(N549&lt;= 28, S549=9), "COVERAGE",AND(N549&lt;= 30, S549=9), "FLUSH",AND(N549&lt;= 11, S549=10), "FLUSH",AND(N549&lt;= 21, S549=10), "PRODUCTION")</f>
        <v>SOWING</v>
      </c>
      <c r="U549">
        <f>HOUR(datos_siembra[[#This Row],[Hour]])</f>
        <v>6</v>
      </c>
      <c r="V549" cm="1">
        <f t="array" ref="V549">_xlfn.IFS(AND(N549&lt;= 22, S549=9), N549-7,AND(N549&lt;= 28, S549=9), N549-25,AND(N549&lt;= 30, S549=9), N549-28,AND(N549&lt;= 11, S549=10), N549+2,AND(N549&lt;= 21, S549=10), N549-11)</f>
        <v>5</v>
      </c>
    </row>
    <row r="550" spans="1:22" x14ac:dyDescent="0.35">
      <c r="A550" s="4">
        <v>45547</v>
      </c>
      <c r="B550" s="5">
        <v>0.29777777777777775</v>
      </c>
      <c r="C550">
        <v>83.2</v>
      </c>
      <c r="D550">
        <v>81.400000000000006</v>
      </c>
      <c r="E550">
        <v>86.5</v>
      </c>
      <c r="F550">
        <v>82.2</v>
      </c>
      <c r="G550">
        <v>0</v>
      </c>
      <c r="H550">
        <v>0</v>
      </c>
      <c r="I550">
        <v>0</v>
      </c>
      <c r="J550">
        <v>0</v>
      </c>
      <c r="K550">
        <v>63.6</v>
      </c>
      <c r="L550">
        <v>62.2</v>
      </c>
      <c r="M550">
        <v>83.41</v>
      </c>
      <c r="N550">
        <v>12</v>
      </c>
      <c r="O550">
        <v>2</v>
      </c>
      <c r="P550">
        <f>MOD(DAY(datos_siembra[[#This Row],[Date]]),7)</f>
        <v>5</v>
      </c>
      <c r="Q550" t="str">
        <f>CHOOSE(WEEKDAY(datos_siembra[[#This Row],[Date]],2),"L","M","X","J","V","S","D")</f>
        <v>J</v>
      </c>
      <c r="R550">
        <f>WEEKNUM(datos_siembra[[#This Row],[Date]],2)-WEEKNUM(DATE(YEAR(datos_siembra[[#This Row],[Date]]),MONTH(datos_siembra[[#This Row],[Date]]),1))+1</f>
        <v>2</v>
      </c>
      <c r="S550">
        <f>MONTH(datos_siembra[[#This Row],[Date]])</f>
        <v>9</v>
      </c>
      <c r="T550" t="str" cm="1">
        <f t="array" ref="T550">_xlfn.IFS(AND(N550&lt;= 22, S550=9), "SOWING",AND(N550&lt;= 28, S550=9), "COVERAGE",AND(N550&lt;= 30, S550=9), "FLUSH",AND(N550&lt;= 11, S550=10), "FLUSH",AND(N550&lt;= 21, S550=10), "PRODUCTION")</f>
        <v>SOWING</v>
      </c>
      <c r="U550">
        <f>HOUR(datos_siembra[[#This Row],[Hour]])</f>
        <v>7</v>
      </c>
      <c r="V550" cm="1">
        <f t="array" ref="V550">_xlfn.IFS(AND(N550&lt;= 22, S550=9), N550-7,AND(N550&lt;= 28, S550=9), N550-25,AND(N550&lt;= 30, S550=9), N550-28,AND(N550&lt;= 11, S550=10), N550+2,AND(N550&lt;= 21, S550=10), N550-11)</f>
        <v>5</v>
      </c>
    </row>
    <row r="551" spans="1:22" x14ac:dyDescent="0.35">
      <c r="A551" s="4">
        <v>45547</v>
      </c>
      <c r="B551" s="5">
        <v>0.30472222222222223</v>
      </c>
      <c r="C551">
        <v>83.2</v>
      </c>
      <c r="D551">
        <v>81.400000000000006</v>
      </c>
      <c r="E551">
        <v>86.5</v>
      </c>
      <c r="F551">
        <v>82.3</v>
      </c>
      <c r="G551">
        <v>0</v>
      </c>
      <c r="H551">
        <v>0</v>
      </c>
      <c r="I551">
        <v>0</v>
      </c>
      <c r="J551">
        <v>0</v>
      </c>
      <c r="K551">
        <v>63.8</v>
      </c>
      <c r="L551">
        <v>62.4</v>
      </c>
      <c r="M551">
        <v>83.33</v>
      </c>
      <c r="N551">
        <v>12</v>
      </c>
      <c r="O551">
        <v>2</v>
      </c>
      <c r="P551">
        <f>MOD(DAY(datos_siembra[[#This Row],[Date]]),7)</f>
        <v>5</v>
      </c>
      <c r="Q551" t="str">
        <f>CHOOSE(WEEKDAY(datos_siembra[[#This Row],[Date]],2),"L","M","X","J","V","S","D")</f>
        <v>J</v>
      </c>
      <c r="R551">
        <f>WEEKNUM(datos_siembra[[#This Row],[Date]],2)-WEEKNUM(DATE(YEAR(datos_siembra[[#This Row],[Date]]),MONTH(datos_siembra[[#This Row],[Date]]),1))+1</f>
        <v>2</v>
      </c>
      <c r="S551">
        <f>MONTH(datos_siembra[[#This Row],[Date]])</f>
        <v>9</v>
      </c>
      <c r="T551" t="str" cm="1">
        <f t="array" ref="T551">_xlfn.IFS(AND(N551&lt;= 22, S551=9), "SOWING",AND(N551&lt;= 28, S551=9), "COVERAGE",AND(N551&lt;= 30, S551=9), "FLUSH",AND(N551&lt;= 11, S551=10), "FLUSH",AND(N551&lt;= 21, S551=10), "PRODUCTION")</f>
        <v>SOWING</v>
      </c>
      <c r="U551">
        <f>HOUR(datos_siembra[[#This Row],[Hour]])</f>
        <v>7</v>
      </c>
      <c r="V551" cm="1">
        <f t="array" ref="V551">_xlfn.IFS(AND(N551&lt;= 22, S551=9), N551-7,AND(N551&lt;= 28, S551=9), N551-25,AND(N551&lt;= 30, S551=9), N551-28,AND(N551&lt;= 11, S551=10), N551+2,AND(N551&lt;= 21, S551=10), N551-11)</f>
        <v>5</v>
      </c>
    </row>
    <row r="552" spans="1:22" x14ac:dyDescent="0.35">
      <c r="A552" s="4">
        <v>45547</v>
      </c>
      <c r="B552" s="5">
        <v>0.31167824074074074</v>
      </c>
      <c r="C552">
        <v>83.2</v>
      </c>
      <c r="D552">
        <v>81.5</v>
      </c>
      <c r="E552">
        <v>86.5</v>
      </c>
      <c r="F552">
        <v>82.3</v>
      </c>
      <c r="G552">
        <v>0</v>
      </c>
      <c r="H552">
        <v>0</v>
      </c>
      <c r="I552">
        <v>0</v>
      </c>
      <c r="J552">
        <v>0</v>
      </c>
      <c r="K552">
        <v>63.8</v>
      </c>
      <c r="L552">
        <v>62.3</v>
      </c>
      <c r="M552">
        <v>83.3</v>
      </c>
      <c r="N552">
        <v>12</v>
      </c>
      <c r="O552">
        <v>2</v>
      </c>
      <c r="P552">
        <f>MOD(DAY(datos_siembra[[#This Row],[Date]]),7)</f>
        <v>5</v>
      </c>
      <c r="Q552" t="str">
        <f>CHOOSE(WEEKDAY(datos_siembra[[#This Row],[Date]],2),"L","M","X","J","V","S","D")</f>
        <v>J</v>
      </c>
      <c r="R552">
        <f>WEEKNUM(datos_siembra[[#This Row],[Date]],2)-WEEKNUM(DATE(YEAR(datos_siembra[[#This Row],[Date]]),MONTH(datos_siembra[[#This Row],[Date]]),1))+1</f>
        <v>2</v>
      </c>
      <c r="S552">
        <f>MONTH(datos_siembra[[#This Row],[Date]])</f>
        <v>9</v>
      </c>
      <c r="T552" t="str" cm="1">
        <f t="array" ref="T552">_xlfn.IFS(AND(N552&lt;= 22, S552=9), "SOWING",AND(N552&lt;= 28, S552=9), "COVERAGE",AND(N552&lt;= 30, S552=9), "FLUSH",AND(N552&lt;= 11, S552=10), "FLUSH",AND(N552&lt;= 21, S552=10), "PRODUCTION")</f>
        <v>SOWING</v>
      </c>
      <c r="U552">
        <f>HOUR(datos_siembra[[#This Row],[Hour]])</f>
        <v>7</v>
      </c>
      <c r="V552" cm="1">
        <f t="array" ref="V552">_xlfn.IFS(AND(N552&lt;= 22, S552=9), N552-7,AND(N552&lt;= 28, S552=9), N552-25,AND(N552&lt;= 30, S552=9), N552-28,AND(N552&lt;= 11, S552=10), N552+2,AND(N552&lt;= 21, S552=10), N552-11)</f>
        <v>5</v>
      </c>
    </row>
    <row r="553" spans="1:22" x14ac:dyDescent="0.35">
      <c r="A553" s="4">
        <v>45547</v>
      </c>
      <c r="B553" s="5">
        <v>0.31862268518518516</v>
      </c>
      <c r="C553">
        <v>83.2</v>
      </c>
      <c r="D553">
        <v>81.3</v>
      </c>
      <c r="E553">
        <v>86.5</v>
      </c>
      <c r="F553">
        <v>82.2</v>
      </c>
      <c r="G553">
        <v>0</v>
      </c>
      <c r="H553">
        <v>0</v>
      </c>
      <c r="I553">
        <v>0</v>
      </c>
      <c r="J553">
        <v>0</v>
      </c>
      <c r="K553">
        <v>63.7</v>
      </c>
      <c r="L553">
        <v>62.4</v>
      </c>
      <c r="M553">
        <v>83.33</v>
      </c>
      <c r="N553">
        <v>12</v>
      </c>
      <c r="O553">
        <v>2</v>
      </c>
      <c r="P553">
        <f>MOD(DAY(datos_siembra[[#This Row],[Date]]),7)</f>
        <v>5</v>
      </c>
      <c r="Q553" t="str">
        <f>CHOOSE(WEEKDAY(datos_siembra[[#This Row],[Date]],2),"L","M","X","J","V","S","D")</f>
        <v>J</v>
      </c>
      <c r="R553">
        <f>WEEKNUM(datos_siembra[[#This Row],[Date]],2)-WEEKNUM(DATE(YEAR(datos_siembra[[#This Row],[Date]]),MONTH(datos_siembra[[#This Row],[Date]]),1))+1</f>
        <v>2</v>
      </c>
      <c r="S553">
        <f>MONTH(datos_siembra[[#This Row],[Date]])</f>
        <v>9</v>
      </c>
      <c r="T553" t="str" cm="1">
        <f t="array" ref="T553">_xlfn.IFS(AND(N553&lt;= 22, S553=9), "SOWING",AND(N553&lt;= 28, S553=9), "COVERAGE",AND(N553&lt;= 30, S553=9), "FLUSH",AND(N553&lt;= 11, S553=10), "FLUSH",AND(N553&lt;= 21, S553=10), "PRODUCTION")</f>
        <v>SOWING</v>
      </c>
      <c r="U553">
        <f>HOUR(datos_siembra[[#This Row],[Hour]])</f>
        <v>7</v>
      </c>
      <c r="V553" cm="1">
        <f t="array" ref="V553">_xlfn.IFS(AND(N553&lt;= 22, S553=9), N553-7,AND(N553&lt;= 28, S553=9), N553-25,AND(N553&lt;= 30, S553=9), N553-28,AND(N553&lt;= 11, S553=10), N553+2,AND(N553&lt;= 21, S553=10), N553-11)</f>
        <v>5</v>
      </c>
    </row>
    <row r="554" spans="1:22" x14ac:dyDescent="0.35">
      <c r="A554" s="4">
        <v>45547</v>
      </c>
      <c r="B554" s="5">
        <v>0.32556712962962964</v>
      </c>
      <c r="C554">
        <v>83.1</v>
      </c>
      <c r="D554">
        <v>81.3</v>
      </c>
      <c r="E554">
        <v>86.5</v>
      </c>
      <c r="F554">
        <v>82.3</v>
      </c>
      <c r="G554">
        <v>0</v>
      </c>
      <c r="H554">
        <v>0</v>
      </c>
      <c r="I554">
        <v>0</v>
      </c>
      <c r="J554">
        <v>0</v>
      </c>
      <c r="K554">
        <v>63.8</v>
      </c>
      <c r="L554">
        <v>62.4</v>
      </c>
      <c r="M554">
        <v>83.24</v>
      </c>
      <c r="N554">
        <v>12</v>
      </c>
      <c r="O554">
        <v>2</v>
      </c>
      <c r="P554">
        <f>MOD(DAY(datos_siembra[[#This Row],[Date]]),7)</f>
        <v>5</v>
      </c>
      <c r="Q554" t="str">
        <f>CHOOSE(WEEKDAY(datos_siembra[[#This Row],[Date]],2),"L","M","X","J","V","S","D")</f>
        <v>J</v>
      </c>
      <c r="R554">
        <f>WEEKNUM(datos_siembra[[#This Row],[Date]],2)-WEEKNUM(DATE(YEAR(datos_siembra[[#This Row],[Date]]),MONTH(datos_siembra[[#This Row],[Date]]),1))+1</f>
        <v>2</v>
      </c>
      <c r="S554">
        <f>MONTH(datos_siembra[[#This Row],[Date]])</f>
        <v>9</v>
      </c>
      <c r="T554" t="str" cm="1">
        <f t="array" ref="T554">_xlfn.IFS(AND(N554&lt;= 22, S554=9), "SOWING",AND(N554&lt;= 28, S554=9), "COVERAGE",AND(N554&lt;= 30, S554=9), "FLUSH",AND(N554&lt;= 11, S554=10), "FLUSH",AND(N554&lt;= 21, S554=10), "PRODUCTION")</f>
        <v>SOWING</v>
      </c>
      <c r="U554">
        <f>HOUR(datos_siembra[[#This Row],[Hour]])</f>
        <v>7</v>
      </c>
      <c r="V554" cm="1">
        <f t="array" ref="V554">_xlfn.IFS(AND(N554&lt;= 22, S554=9), N554-7,AND(N554&lt;= 28, S554=9), N554-25,AND(N554&lt;= 30, S554=9), N554-28,AND(N554&lt;= 11, S554=10), N554+2,AND(N554&lt;= 21, S554=10), N554-11)</f>
        <v>5</v>
      </c>
    </row>
    <row r="555" spans="1:22" x14ac:dyDescent="0.35">
      <c r="A555" s="4">
        <v>45547</v>
      </c>
      <c r="B555" s="5">
        <v>0.33252314814814815</v>
      </c>
      <c r="C555">
        <v>83.1</v>
      </c>
      <c r="D555">
        <v>81.400000000000006</v>
      </c>
      <c r="E555">
        <v>86.6</v>
      </c>
      <c r="F555">
        <v>82.3</v>
      </c>
      <c r="G555">
        <v>0</v>
      </c>
      <c r="H555">
        <v>0</v>
      </c>
      <c r="I555">
        <v>0</v>
      </c>
      <c r="J555">
        <v>0</v>
      </c>
      <c r="K555">
        <v>63.9</v>
      </c>
      <c r="L555">
        <v>62.5</v>
      </c>
      <c r="M555">
        <v>83.33</v>
      </c>
      <c r="N555">
        <v>12</v>
      </c>
      <c r="O555">
        <v>2</v>
      </c>
      <c r="P555">
        <f>MOD(DAY(datos_siembra[[#This Row],[Date]]),7)</f>
        <v>5</v>
      </c>
      <c r="Q555" t="str">
        <f>CHOOSE(WEEKDAY(datos_siembra[[#This Row],[Date]],2),"L","M","X","J","V","S","D")</f>
        <v>J</v>
      </c>
      <c r="R555">
        <f>WEEKNUM(datos_siembra[[#This Row],[Date]],2)-WEEKNUM(DATE(YEAR(datos_siembra[[#This Row],[Date]]),MONTH(datos_siembra[[#This Row],[Date]]),1))+1</f>
        <v>2</v>
      </c>
      <c r="S555">
        <f>MONTH(datos_siembra[[#This Row],[Date]])</f>
        <v>9</v>
      </c>
      <c r="T555" t="str" cm="1">
        <f t="array" ref="T555">_xlfn.IFS(AND(N555&lt;= 22, S555=9), "SOWING",AND(N555&lt;= 28, S555=9), "COVERAGE",AND(N555&lt;= 30, S555=9), "FLUSH",AND(N555&lt;= 11, S555=10), "FLUSH",AND(N555&lt;= 21, S555=10), "PRODUCTION")</f>
        <v>SOWING</v>
      </c>
      <c r="U555">
        <f>HOUR(datos_siembra[[#This Row],[Hour]])</f>
        <v>7</v>
      </c>
      <c r="V555" cm="1">
        <f t="array" ref="V555">_xlfn.IFS(AND(N555&lt;= 22, S555=9), N555-7,AND(N555&lt;= 28, S555=9), N555-25,AND(N555&lt;= 30, S555=9), N555-28,AND(N555&lt;= 11, S555=10), N555+2,AND(N555&lt;= 21, S555=10), N555-11)</f>
        <v>5</v>
      </c>
    </row>
    <row r="556" spans="1:22" x14ac:dyDescent="0.35">
      <c r="A556" s="4">
        <v>45547</v>
      </c>
      <c r="B556" s="5">
        <v>0.33946759259259257</v>
      </c>
      <c r="C556">
        <v>83.1</v>
      </c>
      <c r="D556">
        <v>81.5</v>
      </c>
      <c r="E556">
        <v>86.5</v>
      </c>
      <c r="F556">
        <v>82.2</v>
      </c>
      <c r="G556">
        <v>0</v>
      </c>
      <c r="H556">
        <v>0</v>
      </c>
      <c r="I556">
        <v>0</v>
      </c>
      <c r="J556">
        <v>0</v>
      </c>
      <c r="K556">
        <v>63.8</v>
      </c>
      <c r="L556">
        <v>62.5</v>
      </c>
      <c r="M556">
        <v>83.22</v>
      </c>
      <c r="N556">
        <v>12</v>
      </c>
      <c r="O556">
        <v>2</v>
      </c>
      <c r="P556">
        <f>MOD(DAY(datos_siembra[[#This Row],[Date]]),7)</f>
        <v>5</v>
      </c>
      <c r="Q556" t="str">
        <f>CHOOSE(WEEKDAY(datos_siembra[[#This Row],[Date]],2),"L","M","X","J","V","S","D")</f>
        <v>J</v>
      </c>
      <c r="R556">
        <f>WEEKNUM(datos_siembra[[#This Row],[Date]],2)-WEEKNUM(DATE(YEAR(datos_siembra[[#This Row],[Date]]),MONTH(datos_siembra[[#This Row],[Date]]),1))+1</f>
        <v>2</v>
      </c>
      <c r="S556">
        <f>MONTH(datos_siembra[[#This Row],[Date]])</f>
        <v>9</v>
      </c>
      <c r="T556" t="str" cm="1">
        <f t="array" ref="T556">_xlfn.IFS(AND(N556&lt;= 22, S556=9), "SOWING",AND(N556&lt;= 28, S556=9), "COVERAGE",AND(N556&lt;= 30, S556=9), "FLUSH",AND(N556&lt;= 11, S556=10), "FLUSH",AND(N556&lt;= 21, S556=10), "PRODUCTION")</f>
        <v>SOWING</v>
      </c>
      <c r="U556">
        <f>HOUR(datos_siembra[[#This Row],[Hour]])</f>
        <v>8</v>
      </c>
      <c r="V556" cm="1">
        <f t="array" ref="V556">_xlfn.IFS(AND(N556&lt;= 22, S556=9), N556-7,AND(N556&lt;= 28, S556=9), N556-25,AND(N556&lt;= 30, S556=9), N556-28,AND(N556&lt;= 11, S556=10), N556+2,AND(N556&lt;= 21, S556=10), N556-11)</f>
        <v>5</v>
      </c>
    </row>
    <row r="557" spans="1:22" x14ac:dyDescent="0.35">
      <c r="A557" s="4">
        <v>45547</v>
      </c>
      <c r="B557" s="5">
        <v>0.34641203703703705</v>
      </c>
      <c r="C557">
        <v>83</v>
      </c>
      <c r="D557">
        <v>81.2</v>
      </c>
      <c r="E557">
        <v>86.5</v>
      </c>
      <c r="F557">
        <v>82.2</v>
      </c>
      <c r="G557">
        <v>0</v>
      </c>
      <c r="H557">
        <v>0</v>
      </c>
      <c r="I557">
        <v>0</v>
      </c>
      <c r="J557">
        <v>0</v>
      </c>
      <c r="K557">
        <v>63.8</v>
      </c>
      <c r="L557">
        <v>62.5</v>
      </c>
      <c r="M557">
        <v>83.27</v>
      </c>
      <c r="N557">
        <v>12</v>
      </c>
      <c r="O557">
        <v>2</v>
      </c>
      <c r="P557">
        <f>MOD(DAY(datos_siembra[[#This Row],[Date]]),7)</f>
        <v>5</v>
      </c>
      <c r="Q557" t="str">
        <f>CHOOSE(WEEKDAY(datos_siembra[[#This Row],[Date]],2),"L","M","X","J","V","S","D")</f>
        <v>J</v>
      </c>
      <c r="R557">
        <f>WEEKNUM(datos_siembra[[#This Row],[Date]],2)-WEEKNUM(DATE(YEAR(datos_siembra[[#This Row],[Date]]),MONTH(datos_siembra[[#This Row],[Date]]),1))+1</f>
        <v>2</v>
      </c>
      <c r="S557">
        <f>MONTH(datos_siembra[[#This Row],[Date]])</f>
        <v>9</v>
      </c>
      <c r="T557" t="str" cm="1">
        <f t="array" ref="T557">_xlfn.IFS(AND(N557&lt;= 22, S557=9), "SOWING",AND(N557&lt;= 28, S557=9), "COVERAGE",AND(N557&lt;= 30, S557=9), "FLUSH",AND(N557&lt;= 11, S557=10), "FLUSH",AND(N557&lt;= 21, S557=10), "PRODUCTION")</f>
        <v>SOWING</v>
      </c>
      <c r="U557">
        <f>HOUR(datos_siembra[[#This Row],[Hour]])</f>
        <v>8</v>
      </c>
      <c r="V557" cm="1">
        <f t="array" ref="V557">_xlfn.IFS(AND(N557&lt;= 22, S557=9), N557-7,AND(N557&lt;= 28, S557=9), N557-25,AND(N557&lt;= 30, S557=9), N557-28,AND(N557&lt;= 11, S557=10), N557+2,AND(N557&lt;= 21, S557=10), N557-11)</f>
        <v>5</v>
      </c>
    </row>
    <row r="558" spans="1:22" x14ac:dyDescent="0.35">
      <c r="A558" s="4">
        <v>45547</v>
      </c>
      <c r="B558" s="5">
        <v>0.35336805555555556</v>
      </c>
      <c r="C558">
        <v>83.2</v>
      </c>
      <c r="D558">
        <v>81.3</v>
      </c>
      <c r="E558">
        <v>86.5</v>
      </c>
      <c r="F558">
        <v>82.4</v>
      </c>
      <c r="G558">
        <v>0</v>
      </c>
      <c r="H558">
        <v>0</v>
      </c>
      <c r="I558">
        <v>0</v>
      </c>
      <c r="J558">
        <v>0</v>
      </c>
      <c r="K558">
        <v>63.7</v>
      </c>
      <c r="L558">
        <v>62.4</v>
      </c>
      <c r="M558">
        <v>83.22</v>
      </c>
      <c r="N558">
        <v>12</v>
      </c>
      <c r="O558">
        <v>2</v>
      </c>
      <c r="P558">
        <f>MOD(DAY(datos_siembra[[#This Row],[Date]]),7)</f>
        <v>5</v>
      </c>
      <c r="Q558" t="str">
        <f>CHOOSE(WEEKDAY(datos_siembra[[#This Row],[Date]],2),"L","M","X","J","V","S","D")</f>
        <v>J</v>
      </c>
      <c r="R558">
        <f>WEEKNUM(datos_siembra[[#This Row],[Date]],2)-WEEKNUM(DATE(YEAR(datos_siembra[[#This Row],[Date]]),MONTH(datos_siembra[[#This Row],[Date]]),1))+1</f>
        <v>2</v>
      </c>
      <c r="S558">
        <f>MONTH(datos_siembra[[#This Row],[Date]])</f>
        <v>9</v>
      </c>
      <c r="T558" t="str" cm="1">
        <f t="array" ref="T558">_xlfn.IFS(AND(N558&lt;= 22, S558=9), "SOWING",AND(N558&lt;= 28, S558=9), "COVERAGE",AND(N558&lt;= 30, S558=9), "FLUSH",AND(N558&lt;= 11, S558=10), "FLUSH",AND(N558&lt;= 21, S558=10), "PRODUCTION")</f>
        <v>SOWING</v>
      </c>
      <c r="U558">
        <f>HOUR(datos_siembra[[#This Row],[Hour]])</f>
        <v>8</v>
      </c>
      <c r="V558" cm="1">
        <f t="array" ref="V558">_xlfn.IFS(AND(N558&lt;= 22, S558=9), N558-7,AND(N558&lt;= 28, S558=9), N558-25,AND(N558&lt;= 30, S558=9), N558-28,AND(N558&lt;= 11, S558=10), N558+2,AND(N558&lt;= 21, S558=10), N558-11)</f>
        <v>5</v>
      </c>
    </row>
    <row r="559" spans="1:22" x14ac:dyDescent="0.35">
      <c r="A559" s="4">
        <v>45547</v>
      </c>
      <c r="B559" s="5">
        <v>0.36031249999999998</v>
      </c>
      <c r="C559">
        <v>83</v>
      </c>
      <c r="D559">
        <v>81.3</v>
      </c>
      <c r="E559">
        <v>86.5</v>
      </c>
      <c r="F559">
        <v>82</v>
      </c>
      <c r="G559">
        <v>0</v>
      </c>
      <c r="H559">
        <v>0</v>
      </c>
      <c r="I559">
        <v>0</v>
      </c>
      <c r="J559">
        <v>0</v>
      </c>
      <c r="K559">
        <v>63.8</v>
      </c>
      <c r="L559">
        <v>62.6</v>
      </c>
      <c r="M559">
        <v>83.24</v>
      </c>
      <c r="N559">
        <v>12</v>
      </c>
      <c r="O559">
        <v>2</v>
      </c>
      <c r="P559">
        <f>MOD(DAY(datos_siembra[[#This Row],[Date]]),7)</f>
        <v>5</v>
      </c>
      <c r="Q559" t="str">
        <f>CHOOSE(WEEKDAY(datos_siembra[[#This Row],[Date]],2),"L","M","X","J","V","S","D")</f>
        <v>J</v>
      </c>
      <c r="R559">
        <f>WEEKNUM(datos_siembra[[#This Row],[Date]],2)-WEEKNUM(DATE(YEAR(datos_siembra[[#This Row],[Date]]),MONTH(datos_siembra[[#This Row],[Date]]),1))+1</f>
        <v>2</v>
      </c>
      <c r="S559">
        <f>MONTH(datos_siembra[[#This Row],[Date]])</f>
        <v>9</v>
      </c>
      <c r="T559" t="str" cm="1">
        <f t="array" ref="T559">_xlfn.IFS(AND(N559&lt;= 22, S559=9), "SOWING",AND(N559&lt;= 28, S559=9), "COVERAGE",AND(N559&lt;= 30, S559=9), "FLUSH",AND(N559&lt;= 11, S559=10), "FLUSH",AND(N559&lt;= 21, S559=10), "PRODUCTION")</f>
        <v>SOWING</v>
      </c>
      <c r="U559">
        <f>HOUR(datos_siembra[[#This Row],[Hour]])</f>
        <v>8</v>
      </c>
      <c r="V559" cm="1">
        <f t="array" ref="V559">_xlfn.IFS(AND(N559&lt;= 22, S559=9), N559-7,AND(N559&lt;= 28, S559=9), N559-25,AND(N559&lt;= 30, S559=9), N559-28,AND(N559&lt;= 11, S559=10), N559+2,AND(N559&lt;= 21, S559=10), N559-11)</f>
        <v>5</v>
      </c>
    </row>
    <row r="560" spans="1:22" x14ac:dyDescent="0.35">
      <c r="A560" s="4">
        <v>45547</v>
      </c>
      <c r="B560" s="5">
        <v>0.36725694444444446</v>
      </c>
      <c r="C560">
        <v>83.1</v>
      </c>
      <c r="D560">
        <v>81.3</v>
      </c>
      <c r="E560">
        <v>86.3</v>
      </c>
      <c r="F560">
        <v>82</v>
      </c>
      <c r="G560">
        <v>0</v>
      </c>
      <c r="H560">
        <v>0</v>
      </c>
      <c r="I560">
        <v>0</v>
      </c>
      <c r="J560">
        <v>0</v>
      </c>
      <c r="K560">
        <v>63.9</v>
      </c>
      <c r="L560">
        <v>62.6</v>
      </c>
      <c r="M560">
        <v>83.27</v>
      </c>
      <c r="N560">
        <v>12</v>
      </c>
      <c r="O560">
        <v>2</v>
      </c>
      <c r="P560">
        <f>MOD(DAY(datos_siembra[[#This Row],[Date]]),7)</f>
        <v>5</v>
      </c>
      <c r="Q560" t="str">
        <f>CHOOSE(WEEKDAY(datos_siembra[[#This Row],[Date]],2),"L","M","X","J","V","S","D")</f>
        <v>J</v>
      </c>
      <c r="R560">
        <f>WEEKNUM(datos_siembra[[#This Row],[Date]],2)-WEEKNUM(DATE(YEAR(datos_siembra[[#This Row],[Date]]),MONTH(datos_siembra[[#This Row],[Date]]),1))+1</f>
        <v>2</v>
      </c>
      <c r="S560">
        <f>MONTH(datos_siembra[[#This Row],[Date]])</f>
        <v>9</v>
      </c>
      <c r="T560" t="str" cm="1">
        <f t="array" ref="T560">_xlfn.IFS(AND(N560&lt;= 22, S560=9), "SOWING",AND(N560&lt;= 28, S560=9), "COVERAGE",AND(N560&lt;= 30, S560=9), "FLUSH",AND(N560&lt;= 11, S560=10), "FLUSH",AND(N560&lt;= 21, S560=10), "PRODUCTION")</f>
        <v>SOWING</v>
      </c>
      <c r="U560">
        <f>HOUR(datos_siembra[[#This Row],[Hour]])</f>
        <v>8</v>
      </c>
      <c r="V560" cm="1">
        <f t="array" ref="V560">_xlfn.IFS(AND(N560&lt;= 22, S560=9), N560-7,AND(N560&lt;= 28, S560=9), N560-25,AND(N560&lt;= 30, S560=9), N560-28,AND(N560&lt;= 11, S560=10), N560+2,AND(N560&lt;= 21, S560=10), N560-11)</f>
        <v>5</v>
      </c>
    </row>
    <row r="561" spans="1:22" x14ac:dyDescent="0.35">
      <c r="A561" s="4">
        <v>45547</v>
      </c>
      <c r="B561" s="5">
        <v>0.37421296296296297</v>
      </c>
      <c r="C561">
        <v>83.1</v>
      </c>
      <c r="D561">
        <v>81.400000000000006</v>
      </c>
      <c r="E561">
        <v>86.2</v>
      </c>
      <c r="F561">
        <v>82.2</v>
      </c>
      <c r="G561">
        <v>0</v>
      </c>
      <c r="H561">
        <v>0</v>
      </c>
      <c r="I561">
        <v>0</v>
      </c>
      <c r="J561">
        <v>0</v>
      </c>
      <c r="K561">
        <v>64.099999999999994</v>
      </c>
      <c r="L561">
        <v>62.7</v>
      </c>
      <c r="M561">
        <v>83.16</v>
      </c>
      <c r="N561">
        <v>12</v>
      </c>
      <c r="O561">
        <v>2</v>
      </c>
      <c r="P561">
        <f>MOD(DAY(datos_siembra[[#This Row],[Date]]),7)</f>
        <v>5</v>
      </c>
      <c r="Q561" t="str">
        <f>CHOOSE(WEEKDAY(datos_siembra[[#This Row],[Date]],2),"L","M","X","J","V","S","D")</f>
        <v>J</v>
      </c>
      <c r="R561">
        <f>WEEKNUM(datos_siembra[[#This Row],[Date]],2)-WEEKNUM(DATE(YEAR(datos_siembra[[#This Row],[Date]]),MONTH(datos_siembra[[#This Row],[Date]]),1))+1</f>
        <v>2</v>
      </c>
      <c r="S561">
        <f>MONTH(datos_siembra[[#This Row],[Date]])</f>
        <v>9</v>
      </c>
      <c r="T561" t="str" cm="1">
        <f t="array" ref="T561">_xlfn.IFS(AND(N561&lt;= 22, S561=9), "SOWING",AND(N561&lt;= 28, S561=9), "COVERAGE",AND(N561&lt;= 30, S561=9), "FLUSH",AND(N561&lt;= 11, S561=10), "FLUSH",AND(N561&lt;= 21, S561=10), "PRODUCTION")</f>
        <v>SOWING</v>
      </c>
      <c r="U561">
        <f>HOUR(datos_siembra[[#This Row],[Hour]])</f>
        <v>8</v>
      </c>
      <c r="V561" cm="1">
        <f t="array" ref="V561">_xlfn.IFS(AND(N561&lt;= 22, S561=9), N561-7,AND(N561&lt;= 28, S561=9), N561-25,AND(N561&lt;= 30, S561=9), N561-28,AND(N561&lt;= 11, S561=10), N561+2,AND(N561&lt;= 21, S561=10), N561-11)</f>
        <v>5</v>
      </c>
    </row>
    <row r="562" spans="1:22" x14ac:dyDescent="0.35">
      <c r="A562" s="4">
        <v>45547</v>
      </c>
      <c r="B562" s="5">
        <v>0.38115740740740739</v>
      </c>
      <c r="C562">
        <v>83</v>
      </c>
      <c r="D562">
        <v>81.400000000000006</v>
      </c>
      <c r="E562">
        <v>86.3</v>
      </c>
      <c r="F562">
        <v>82</v>
      </c>
      <c r="G562">
        <v>0</v>
      </c>
      <c r="H562">
        <v>0</v>
      </c>
      <c r="I562">
        <v>0</v>
      </c>
      <c r="J562">
        <v>0</v>
      </c>
      <c r="K562">
        <v>64.099999999999994</v>
      </c>
      <c r="L562">
        <v>62.7</v>
      </c>
      <c r="M562">
        <v>83.1</v>
      </c>
      <c r="N562">
        <v>12</v>
      </c>
      <c r="O562">
        <v>2</v>
      </c>
      <c r="P562">
        <f>MOD(DAY(datos_siembra[[#This Row],[Date]]),7)</f>
        <v>5</v>
      </c>
      <c r="Q562" t="str">
        <f>CHOOSE(WEEKDAY(datos_siembra[[#This Row],[Date]],2),"L","M","X","J","V","S","D")</f>
        <v>J</v>
      </c>
      <c r="R562">
        <f>WEEKNUM(datos_siembra[[#This Row],[Date]],2)-WEEKNUM(DATE(YEAR(datos_siembra[[#This Row],[Date]]),MONTH(datos_siembra[[#This Row],[Date]]),1))+1</f>
        <v>2</v>
      </c>
      <c r="S562">
        <f>MONTH(datos_siembra[[#This Row],[Date]])</f>
        <v>9</v>
      </c>
      <c r="T562" t="str" cm="1">
        <f t="array" ref="T562">_xlfn.IFS(AND(N562&lt;= 22, S562=9), "SOWING",AND(N562&lt;= 28, S562=9), "COVERAGE",AND(N562&lt;= 30, S562=9), "FLUSH",AND(N562&lt;= 11, S562=10), "FLUSH",AND(N562&lt;= 21, S562=10), "PRODUCTION")</f>
        <v>SOWING</v>
      </c>
      <c r="U562">
        <f>HOUR(datos_siembra[[#This Row],[Hour]])</f>
        <v>9</v>
      </c>
      <c r="V562" cm="1">
        <f t="array" ref="V562">_xlfn.IFS(AND(N562&lt;= 22, S562=9), N562-7,AND(N562&lt;= 28, S562=9), N562-25,AND(N562&lt;= 30, S562=9), N562-28,AND(N562&lt;= 11, S562=10), N562+2,AND(N562&lt;= 21, S562=10), N562-11)</f>
        <v>5</v>
      </c>
    </row>
    <row r="563" spans="1:22" x14ac:dyDescent="0.35">
      <c r="A563" s="4">
        <v>45547</v>
      </c>
      <c r="B563" s="5">
        <v>0.38810185185185186</v>
      </c>
      <c r="C563">
        <v>83.1</v>
      </c>
      <c r="D563">
        <v>81.3</v>
      </c>
      <c r="E563">
        <v>86.3</v>
      </c>
      <c r="F563">
        <v>82.1</v>
      </c>
      <c r="G563">
        <v>0</v>
      </c>
      <c r="H563">
        <v>0</v>
      </c>
      <c r="I563">
        <v>0</v>
      </c>
      <c r="J563">
        <v>0</v>
      </c>
      <c r="K563">
        <v>64.099999999999994</v>
      </c>
      <c r="L563">
        <v>62.7</v>
      </c>
      <c r="M563">
        <v>83.19</v>
      </c>
      <c r="N563">
        <v>12</v>
      </c>
      <c r="O563">
        <v>2</v>
      </c>
      <c r="P563">
        <f>MOD(DAY(datos_siembra[[#This Row],[Date]]),7)</f>
        <v>5</v>
      </c>
      <c r="Q563" t="str">
        <f>CHOOSE(WEEKDAY(datos_siembra[[#This Row],[Date]],2),"L","M","X","J","V","S","D")</f>
        <v>J</v>
      </c>
      <c r="R563">
        <f>WEEKNUM(datos_siembra[[#This Row],[Date]],2)-WEEKNUM(DATE(YEAR(datos_siembra[[#This Row],[Date]]),MONTH(datos_siembra[[#This Row],[Date]]),1))+1</f>
        <v>2</v>
      </c>
      <c r="S563">
        <f>MONTH(datos_siembra[[#This Row],[Date]])</f>
        <v>9</v>
      </c>
      <c r="T563" t="str" cm="1">
        <f t="array" ref="T563">_xlfn.IFS(AND(N563&lt;= 22, S563=9), "SOWING",AND(N563&lt;= 28, S563=9), "COVERAGE",AND(N563&lt;= 30, S563=9), "FLUSH",AND(N563&lt;= 11, S563=10), "FLUSH",AND(N563&lt;= 21, S563=10), "PRODUCTION")</f>
        <v>SOWING</v>
      </c>
      <c r="U563">
        <f>HOUR(datos_siembra[[#This Row],[Hour]])</f>
        <v>9</v>
      </c>
      <c r="V563" cm="1">
        <f t="array" ref="V563">_xlfn.IFS(AND(N563&lt;= 22, S563=9), N563-7,AND(N563&lt;= 28, S563=9), N563-25,AND(N563&lt;= 30, S563=9), N563-28,AND(N563&lt;= 11, S563=10), N563+2,AND(N563&lt;= 21, S563=10), N563-11)</f>
        <v>5</v>
      </c>
    </row>
    <row r="564" spans="1:22" x14ac:dyDescent="0.35">
      <c r="A564" s="4">
        <v>45547</v>
      </c>
      <c r="B564" s="5">
        <v>0.39504629629629628</v>
      </c>
      <c r="C564">
        <v>83</v>
      </c>
      <c r="D564">
        <v>81.400000000000006</v>
      </c>
      <c r="E564">
        <v>86.3</v>
      </c>
      <c r="F564">
        <v>82.3</v>
      </c>
      <c r="G564">
        <v>0</v>
      </c>
      <c r="H564">
        <v>0</v>
      </c>
      <c r="I564">
        <v>0</v>
      </c>
      <c r="J564">
        <v>0</v>
      </c>
      <c r="K564">
        <v>64.3</v>
      </c>
      <c r="L564">
        <v>62.8</v>
      </c>
      <c r="M564">
        <v>83.24</v>
      </c>
      <c r="N564">
        <v>12</v>
      </c>
      <c r="O564">
        <v>2</v>
      </c>
      <c r="P564">
        <f>MOD(DAY(datos_siembra[[#This Row],[Date]]),7)</f>
        <v>5</v>
      </c>
      <c r="Q564" t="str">
        <f>CHOOSE(WEEKDAY(datos_siembra[[#This Row],[Date]],2),"L","M","X","J","V","S","D")</f>
        <v>J</v>
      </c>
      <c r="R564">
        <f>WEEKNUM(datos_siembra[[#This Row],[Date]],2)-WEEKNUM(DATE(YEAR(datos_siembra[[#This Row],[Date]]),MONTH(datos_siembra[[#This Row],[Date]]),1))+1</f>
        <v>2</v>
      </c>
      <c r="S564">
        <f>MONTH(datos_siembra[[#This Row],[Date]])</f>
        <v>9</v>
      </c>
      <c r="T564" t="str" cm="1">
        <f t="array" ref="T564">_xlfn.IFS(AND(N564&lt;= 22, S564=9), "SOWING",AND(N564&lt;= 28, S564=9), "COVERAGE",AND(N564&lt;= 30, S564=9), "FLUSH",AND(N564&lt;= 11, S564=10), "FLUSH",AND(N564&lt;= 21, S564=10), "PRODUCTION")</f>
        <v>SOWING</v>
      </c>
      <c r="U564">
        <f>HOUR(datos_siembra[[#This Row],[Hour]])</f>
        <v>9</v>
      </c>
      <c r="V564" cm="1">
        <f t="array" ref="V564">_xlfn.IFS(AND(N564&lt;= 22, S564=9), N564-7,AND(N564&lt;= 28, S564=9), N564-25,AND(N564&lt;= 30, S564=9), N564-28,AND(N564&lt;= 11, S564=10), N564+2,AND(N564&lt;= 21, S564=10), N564-11)</f>
        <v>5</v>
      </c>
    </row>
    <row r="565" spans="1:22" x14ac:dyDescent="0.35">
      <c r="A565" s="4">
        <v>45547</v>
      </c>
      <c r="B565" s="5">
        <v>0.4020023148148148</v>
      </c>
      <c r="C565">
        <v>83.1</v>
      </c>
      <c r="D565">
        <v>81.3</v>
      </c>
      <c r="E565">
        <v>86.3</v>
      </c>
      <c r="F565">
        <v>82.1</v>
      </c>
      <c r="G565">
        <v>0</v>
      </c>
      <c r="H565">
        <v>0</v>
      </c>
      <c r="I565">
        <v>0</v>
      </c>
      <c r="J565">
        <v>0</v>
      </c>
      <c r="K565">
        <v>64.599999999999994</v>
      </c>
      <c r="L565">
        <v>63.3</v>
      </c>
      <c r="M565">
        <v>83.19</v>
      </c>
      <c r="N565">
        <v>12</v>
      </c>
      <c r="O565">
        <v>2</v>
      </c>
      <c r="P565">
        <f>MOD(DAY(datos_siembra[[#This Row],[Date]]),7)</f>
        <v>5</v>
      </c>
      <c r="Q565" t="str">
        <f>CHOOSE(WEEKDAY(datos_siembra[[#This Row],[Date]],2),"L","M","X","J","V","S","D")</f>
        <v>J</v>
      </c>
      <c r="R565">
        <f>WEEKNUM(datos_siembra[[#This Row],[Date]],2)-WEEKNUM(DATE(YEAR(datos_siembra[[#This Row],[Date]]),MONTH(datos_siembra[[#This Row],[Date]]),1))+1</f>
        <v>2</v>
      </c>
      <c r="S565">
        <f>MONTH(datos_siembra[[#This Row],[Date]])</f>
        <v>9</v>
      </c>
      <c r="T565" t="str" cm="1">
        <f t="array" ref="T565">_xlfn.IFS(AND(N565&lt;= 22, S565=9), "SOWING",AND(N565&lt;= 28, S565=9), "COVERAGE",AND(N565&lt;= 30, S565=9), "FLUSH",AND(N565&lt;= 11, S565=10), "FLUSH",AND(N565&lt;= 21, S565=10), "PRODUCTION")</f>
        <v>SOWING</v>
      </c>
      <c r="U565">
        <f>HOUR(datos_siembra[[#This Row],[Hour]])</f>
        <v>9</v>
      </c>
      <c r="V565" cm="1">
        <f t="array" ref="V565">_xlfn.IFS(AND(N565&lt;= 22, S565=9), N565-7,AND(N565&lt;= 28, S565=9), N565-25,AND(N565&lt;= 30, S565=9), N565-28,AND(N565&lt;= 11, S565=10), N565+2,AND(N565&lt;= 21, S565=10), N565-11)</f>
        <v>5</v>
      </c>
    </row>
    <row r="566" spans="1:22" x14ac:dyDescent="0.35">
      <c r="A566" s="4">
        <v>45547</v>
      </c>
      <c r="B566" s="5">
        <v>0.40894675925925927</v>
      </c>
      <c r="C566">
        <v>83.1</v>
      </c>
      <c r="D566">
        <v>81.2</v>
      </c>
      <c r="E566">
        <v>86.2</v>
      </c>
      <c r="F566">
        <v>82</v>
      </c>
      <c r="G566">
        <v>0</v>
      </c>
      <c r="H566">
        <v>0</v>
      </c>
      <c r="I566">
        <v>0</v>
      </c>
      <c r="J566">
        <v>0</v>
      </c>
      <c r="K566">
        <v>64.900000000000006</v>
      </c>
      <c r="L566">
        <v>63.5</v>
      </c>
      <c r="M566">
        <v>83.13</v>
      </c>
      <c r="N566">
        <v>12</v>
      </c>
      <c r="O566">
        <v>2</v>
      </c>
      <c r="P566">
        <f>MOD(DAY(datos_siembra[[#This Row],[Date]]),7)</f>
        <v>5</v>
      </c>
      <c r="Q566" t="str">
        <f>CHOOSE(WEEKDAY(datos_siembra[[#This Row],[Date]],2),"L","M","X","J","V","S","D")</f>
        <v>J</v>
      </c>
      <c r="R566">
        <f>WEEKNUM(datos_siembra[[#This Row],[Date]],2)-WEEKNUM(DATE(YEAR(datos_siembra[[#This Row],[Date]]),MONTH(datos_siembra[[#This Row],[Date]]),1))+1</f>
        <v>2</v>
      </c>
      <c r="S566">
        <f>MONTH(datos_siembra[[#This Row],[Date]])</f>
        <v>9</v>
      </c>
      <c r="T566" t="str" cm="1">
        <f t="array" ref="T566">_xlfn.IFS(AND(N566&lt;= 22, S566=9), "SOWING",AND(N566&lt;= 28, S566=9), "COVERAGE",AND(N566&lt;= 30, S566=9), "FLUSH",AND(N566&lt;= 11, S566=10), "FLUSH",AND(N566&lt;= 21, S566=10), "PRODUCTION")</f>
        <v>SOWING</v>
      </c>
      <c r="U566">
        <f>HOUR(datos_siembra[[#This Row],[Hour]])</f>
        <v>9</v>
      </c>
      <c r="V566" cm="1">
        <f t="array" ref="V566">_xlfn.IFS(AND(N566&lt;= 22, S566=9), N566-7,AND(N566&lt;= 28, S566=9), N566-25,AND(N566&lt;= 30, S566=9), N566-28,AND(N566&lt;= 11, S566=10), N566+2,AND(N566&lt;= 21, S566=10), N566-11)</f>
        <v>5</v>
      </c>
    </row>
    <row r="567" spans="1:22" x14ac:dyDescent="0.35">
      <c r="A567" s="4">
        <v>45547</v>
      </c>
      <c r="B567" s="5">
        <v>0.41589120370370369</v>
      </c>
      <c r="C567">
        <v>83.4</v>
      </c>
      <c r="D567">
        <v>81.2</v>
      </c>
      <c r="E567">
        <v>86.2</v>
      </c>
      <c r="F567">
        <v>81.8</v>
      </c>
      <c r="G567">
        <v>0</v>
      </c>
      <c r="H567">
        <v>0</v>
      </c>
      <c r="I567">
        <v>0</v>
      </c>
      <c r="J567">
        <v>0</v>
      </c>
      <c r="K567">
        <v>64.7</v>
      </c>
      <c r="L567">
        <v>63.4</v>
      </c>
      <c r="M567">
        <v>83.16</v>
      </c>
      <c r="N567">
        <v>12</v>
      </c>
      <c r="O567">
        <v>2</v>
      </c>
      <c r="P567">
        <f>MOD(DAY(datos_siembra[[#This Row],[Date]]),7)</f>
        <v>5</v>
      </c>
      <c r="Q567" t="str">
        <f>CHOOSE(WEEKDAY(datos_siembra[[#This Row],[Date]],2),"L","M","X","J","V","S","D")</f>
        <v>J</v>
      </c>
      <c r="R567">
        <f>WEEKNUM(datos_siembra[[#This Row],[Date]],2)-WEEKNUM(DATE(YEAR(datos_siembra[[#This Row],[Date]]),MONTH(datos_siembra[[#This Row],[Date]]),1))+1</f>
        <v>2</v>
      </c>
      <c r="S567">
        <f>MONTH(datos_siembra[[#This Row],[Date]])</f>
        <v>9</v>
      </c>
      <c r="T567" t="str" cm="1">
        <f t="array" ref="T567">_xlfn.IFS(AND(N567&lt;= 22, S567=9), "SOWING",AND(N567&lt;= 28, S567=9), "COVERAGE",AND(N567&lt;= 30, S567=9), "FLUSH",AND(N567&lt;= 11, S567=10), "FLUSH",AND(N567&lt;= 21, S567=10), "PRODUCTION")</f>
        <v>SOWING</v>
      </c>
      <c r="U567">
        <f>HOUR(datos_siembra[[#This Row],[Hour]])</f>
        <v>9</v>
      </c>
      <c r="V567" cm="1">
        <f t="array" ref="V567">_xlfn.IFS(AND(N567&lt;= 22, S567=9), N567-7,AND(N567&lt;= 28, S567=9), N567-25,AND(N567&lt;= 30, S567=9), N567-28,AND(N567&lt;= 11, S567=10), N567+2,AND(N567&lt;= 21, S567=10), N567-11)</f>
        <v>5</v>
      </c>
    </row>
    <row r="568" spans="1:22" x14ac:dyDescent="0.35">
      <c r="A568" s="4">
        <v>45547</v>
      </c>
      <c r="B568" s="5">
        <v>0.42284722222222221</v>
      </c>
      <c r="C568">
        <v>83.2</v>
      </c>
      <c r="D568">
        <v>81.3</v>
      </c>
      <c r="E568">
        <v>86.1</v>
      </c>
      <c r="F568">
        <v>82.1</v>
      </c>
      <c r="G568">
        <v>0</v>
      </c>
      <c r="H568">
        <v>0</v>
      </c>
      <c r="I568">
        <v>0</v>
      </c>
      <c r="J568">
        <v>0</v>
      </c>
      <c r="K568">
        <v>64.7</v>
      </c>
      <c r="L568">
        <v>63.3</v>
      </c>
      <c r="M568">
        <v>83.16</v>
      </c>
      <c r="N568">
        <v>12</v>
      </c>
      <c r="O568">
        <v>2</v>
      </c>
      <c r="P568">
        <f>MOD(DAY(datos_siembra[[#This Row],[Date]]),7)</f>
        <v>5</v>
      </c>
      <c r="Q568" t="str">
        <f>CHOOSE(WEEKDAY(datos_siembra[[#This Row],[Date]],2),"L","M","X","J","V","S","D")</f>
        <v>J</v>
      </c>
      <c r="R568">
        <f>WEEKNUM(datos_siembra[[#This Row],[Date]],2)-WEEKNUM(DATE(YEAR(datos_siembra[[#This Row],[Date]]),MONTH(datos_siembra[[#This Row],[Date]]),1))+1</f>
        <v>2</v>
      </c>
      <c r="S568">
        <f>MONTH(datos_siembra[[#This Row],[Date]])</f>
        <v>9</v>
      </c>
      <c r="T568" t="str" cm="1">
        <f t="array" ref="T568">_xlfn.IFS(AND(N568&lt;= 22, S568=9), "SOWING",AND(N568&lt;= 28, S568=9), "COVERAGE",AND(N568&lt;= 30, S568=9), "FLUSH",AND(N568&lt;= 11, S568=10), "FLUSH",AND(N568&lt;= 21, S568=10), "PRODUCTION")</f>
        <v>SOWING</v>
      </c>
      <c r="U568">
        <f>HOUR(datos_siembra[[#This Row],[Hour]])</f>
        <v>10</v>
      </c>
      <c r="V568" cm="1">
        <f t="array" ref="V568">_xlfn.IFS(AND(N568&lt;= 22, S568=9), N568-7,AND(N568&lt;= 28, S568=9), N568-25,AND(N568&lt;= 30, S568=9), N568-28,AND(N568&lt;= 11, S568=10), N568+2,AND(N568&lt;= 21, S568=10), N568-11)</f>
        <v>5</v>
      </c>
    </row>
    <row r="569" spans="1:22" x14ac:dyDescent="0.35">
      <c r="A569" s="4">
        <v>45547</v>
      </c>
      <c r="B569" s="5">
        <v>0.42979166666666668</v>
      </c>
      <c r="C569">
        <v>83.3</v>
      </c>
      <c r="D569">
        <v>81.3</v>
      </c>
      <c r="E569">
        <v>86.3</v>
      </c>
      <c r="F569">
        <v>82.1</v>
      </c>
      <c r="G569">
        <v>0</v>
      </c>
      <c r="H569">
        <v>0</v>
      </c>
      <c r="I569">
        <v>0</v>
      </c>
      <c r="J569">
        <v>0</v>
      </c>
      <c r="K569">
        <v>64.5</v>
      </c>
      <c r="L569">
        <v>63.2</v>
      </c>
      <c r="M569">
        <v>83.16</v>
      </c>
      <c r="N569">
        <v>12</v>
      </c>
      <c r="O569">
        <v>2</v>
      </c>
      <c r="P569">
        <f>MOD(DAY(datos_siembra[[#This Row],[Date]]),7)</f>
        <v>5</v>
      </c>
      <c r="Q569" t="str">
        <f>CHOOSE(WEEKDAY(datos_siembra[[#This Row],[Date]],2),"L","M","X","J","V","S","D")</f>
        <v>J</v>
      </c>
      <c r="R569">
        <f>WEEKNUM(datos_siembra[[#This Row],[Date]],2)-WEEKNUM(DATE(YEAR(datos_siembra[[#This Row],[Date]]),MONTH(datos_siembra[[#This Row],[Date]]),1))+1</f>
        <v>2</v>
      </c>
      <c r="S569">
        <f>MONTH(datos_siembra[[#This Row],[Date]])</f>
        <v>9</v>
      </c>
      <c r="T569" t="str" cm="1">
        <f t="array" ref="T569">_xlfn.IFS(AND(N569&lt;= 22, S569=9), "SOWING",AND(N569&lt;= 28, S569=9), "COVERAGE",AND(N569&lt;= 30, S569=9), "FLUSH",AND(N569&lt;= 11, S569=10), "FLUSH",AND(N569&lt;= 21, S569=10), "PRODUCTION")</f>
        <v>SOWING</v>
      </c>
      <c r="U569">
        <f>HOUR(datos_siembra[[#This Row],[Hour]])</f>
        <v>10</v>
      </c>
      <c r="V569" cm="1">
        <f t="array" ref="V569">_xlfn.IFS(AND(N569&lt;= 22, S569=9), N569-7,AND(N569&lt;= 28, S569=9), N569-25,AND(N569&lt;= 30, S569=9), N569-28,AND(N569&lt;= 11, S569=10), N569+2,AND(N569&lt;= 21, S569=10), N569-11)</f>
        <v>5</v>
      </c>
    </row>
    <row r="570" spans="1:22" x14ac:dyDescent="0.35">
      <c r="A570" s="4">
        <v>45547</v>
      </c>
      <c r="B570" s="5">
        <v>0.4367361111111111</v>
      </c>
      <c r="C570">
        <v>83.3</v>
      </c>
      <c r="D570">
        <v>81.3</v>
      </c>
      <c r="E570">
        <v>86.2</v>
      </c>
      <c r="F570">
        <v>82.1</v>
      </c>
      <c r="G570">
        <v>0</v>
      </c>
      <c r="H570">
        <v>0</v>
      </c>
      <c r="I570">
        <v>0</v>
      </c>
      <c r="J570">
        <v>0</v>
      </c>
      <c r="K570">
        <v>64.599999999999994</v>
      </c>
      <c r="L570">
        <v>63</v>
      </c>
      <c r="M570">
        <v>83.16</v>
      </c>
      <c r="N570">
        <v>12</v>
      </c>
      <c r="O570">
        <v>2</v>
      </c>
      <c r="P570">
        <f>MOD(DAY(datos_siembra[[#This Row],[Date]]),7)</f>
        <v>5</v>
      </c>
      <c r="Q570" t="str">
        <f>CHOOSE(WEEKDAY(datos_siembra[[#This Row],[Date]],2),"L","M","X","J","V","S","D")</f>
        <v>J</v>
      </c>
      <c r="R570">
        <f>WEEKNUM(datos_siembra[[#This Row],[Date]],2)-WEEKNUM(DATE(YEAR(datos_siembra[[#This Row],[Date]]),MONTH(datos_siembra[[#This Row],[Date]]),1))+1</f>
        <v>2</v>
      </c>
      <c r="S570">
        <f>MONTH(datos_siembra[[#This Row],[Date]])</f>
        <v>9</v>
      </c>
      <c r="T570" t="str" cm="1">
        <f t="array" ref="T570">_xlfn.IFS(AND(N570&lt;= 22, S570=9), "SOWING",AND(N570&lt;= 28, S570=9), "COVERAGE",AND(N570&lt;= 30, S570=9), "FLUSH",AND(N570&lt;= 11, S570=10), "FLUSH",AND(N570&lt;= 21, S570=10), "PRODUCTION")</f>
        <v>SOWING</v>
      </c>
      <c r="U570">
        <f>HOUR(datos_siembra[[#This Row],[Hour]])</f>
        <v>10</v>
      </c>
      <c r="V570" cm="1">
        <f t="array" ref="V570">_xlfn.IFS(AND(N570&lt;= 22, S570=9), N570-7,AND(N570&lt;= 28, S570=9), N570-25,AND(N570&lt;= 30, S570=9), N570-28,AND(N570&lt;= 11, S570=10), N570+2,AND(N570&lt;= 21, S570=10), N570-11)</f>
        <v>5</v>
      </c>
    </row>
    <row r="571" spans="1:22" x14ac:dyDescent="0.35">
      <c r="A571" s="4">
        <v>45547</v>
      </c>
      <c r="B571" s="5">
        <v>0.44369212962962962</v>
      </c>
      <c r="C571">
        <v>83.3</v>
      </c>
      <c r="D571">
        <v>81.2</v>
      </c>
      <c r="E571">
        <v>86.3</v>
      </c>
      <c r="F571">
        <v>82</v>
      </c>
      <c r="G571">
        <v>0</v>
      </c>
      <c r="H571">
        <v>0</v>
      </c>
      <c r="I571">
        <v>0</v>
      </c>
      <c r="J571">
        <v>0</v>
      </c>
      <c r="K571">
        <v>64.5</v>
      </c>
      <c r="L571">
        <v>62.9</v>
      </c>
      <c r="M571">
        <v>83.22</v>
      </c>
      <c r="N571">
        <v>12</v>
      </c>
      <c r="O571">
        <v>2</v>
      </c>
      <c r="P571">
        <f>MOD(DAY(datos_siembra[[#This Row],[Date]]),7)</f>
        <v>5</v>
      </c>
      <c r="Q571" t="str">
        <f>CHOOSE(WEEKDAY(datos_siembra[[#This Row],[Date]],2),"L","M","X","J","V","S","D")</f>
        <v>J</v>
      </c>
      <c r="R571">
        <f>WEEKNUM(datos_siembra[[#This Row],[Date]],2)-WEEKNUM(DATE(YEAR(datos_siembra[[#This Row],[Date]]),MONTH(datos_siembra[[#This Row],[Date]]),1))+1</f>
        <v>2</v>
      </c>
      <c r="S571">
        <f>MONTH(datos_siembra[[#This Row],[Date]])</f>
        <v>9</v>
      </c>
      <c r="T571" t="str" cm="1">
        <f t="array" ref="T571">_xlfn.IFS(AND(N571&lt;= 22, S571=9), "SOWING",AND(N571&lt;= 28, S571=9), "COVERAGE",AND(N571&lt;= 30, S571=9), "FLUSH",AND(N571&lt;= 11, S571=10), "FLUSH",AND(N571&lt;= 21, S571=10), "PRODUCTION")</f>
        <v>SOWING</v>
      </c>
      <c r="U571">
        <f>HOUR(datos_siembra[[#This Row],[Hour]])</f>
        <v>10</v>
      </c>
      <c r="V571" cm="1">
        <f t="array" ref="V571">_xlfn.IFS(AND(N571&lt;= 22, S571=9), N571-7,AND(N571&lt;= 28, S571=9), N571-25,AND(N571&lt;= 30, S571=9), N571-28,AND(N571&lt;= 11, S571=10), N571+2,AND(N571&lt;= 21, S571=10), N571-11)</f>
        <v>5</v>
      </c>
    </row>
    <row r="572" spans="1:22" x14ac:dyDescent="0.35">
      <c r="A572" s="4">
        <v>45547</v>
      </c>
      <c r="B572" s="5">
        <v>0.45063657407407409</v>
      </c>
      <c r="C572">
        <v>83.4</v>
      </c>
      <c r="D572">
        <v>81.2</v>
      </c>
      <c r="E572">
        <v>86</v>
      </c>
      <c r="F572">
        <v>82</v>
      </c>
      <c r="G572">
        <v>0</v>
      </c>
      <c r="H572">
        <v>0</v>
      </c>
      <c r="I572">
        <v>0</v>
      </c>
      <c r="J572">
        <v>0</v>
      </c>
      <c r="K572">
        <v>64.400000000000006</v>
      </c>
      <c r="L572">
        <v>62.8</v>
      </c>
      <c r="M572">
        <v>83.22</v>
      </c>
      <c r="N572">
        <v>12</v>
      </c>
      <c r="O572">
        <v>2</v>
      </c>
      <c r="P572">
        <f>MOD(DAY(datos_siembra[[#This Row],[Date]]),7)</f>
        <v>5</v>
      </c>
      <c r="Q572" t="str">
        <f>CHOOSE(WEEKDAY(datos_siembra[[#This Row],[Date]],2),"L","M","X","J","V","S","D")</f>
        <v>J</v>
      </c>
      <c r="R572">
        <f>WEEKNUM(datos_siembra[[#This Row],[Date]],2)-WEEKNUM(DATE(YEAR(datos_siembra[[#This Row],[Date]]),MONTH(datos_siembra[[#This Row],[Date]]),1))+1</f>
        <v>2</v>
      </c>
      <c r="S572">
        <f>MONTH(datos_siembra[[#This Row],[Date]])</f>
        <v>9</v>
      </c>
      <c r="T572" t="str" cm="1">
        <f t="array" ref="T572">_xlfn.IFS(AND(N572&lt;= 22, S572=9), "SOWING",AND(N572&lt;= 28, S572=9), "COVERAGE",AND(N572&lt;= 30, S572=9), "FLUSH",AND(N572&lt;= 11, S572=10), "FLUSH",AND(N572&lt;= 21, S572=10), "PRODUCTION")</f>
        <v>SOWING</v>
      </c>
      <c r="U572">
        <f>HOUR(datos_siembra[[#This Row],[Hour]])</f>
        <v>10</v>
      </c>
      <c r="V572" cm="1">
        <f t="array" ref="V572">_xlfn.IFS(AND(N572&lt;= 22, S572=9), N572-7,AND(N572&lt;= 28, S572=9), N572-25,AND(N572&lt;= 30, S572=9), N572-28,AND(N572&lt;= 11, S572=10), N572+2,AND(N572&lt;= 21, S572=10), N572-11)</f>
        <v>5</v>
      </c>
    </row>
    <row r="573" spans="1:22" x14ac:dyDescent="0.35">
      <c r="A573" s="4">
        <v>45547</v>
      </c>
      <c r="B573" s="5">
        <v>0.45758101851851851</v>
      </c>
      <c r="C573">
        <v>83.4</v>
      </c>
      <c r="D573">
        <v>81.2</v>
      </c>
      <c r="E573">
        <v>86.1</v>
      </c>
      <c r="F573">
        <v>82</v>
      </c>
      <c r="G573">
        <v>0</v>
      </c>
      <c r="H573">
        <v>0</v>
      </c>
      <c r="I573">
        <v>0</v>
      </c>
      <c r="J573">
        <v>0</v>
      </c>
      <c r="K573">
        <v>64.2</v>
      </c>
      <c r="L573">
        <v>62.8</v>
      </c>
      <c r="M573">
        <v>83.1</v>
      </c>
      <c r="N573">
        <v>12</v>
      </c>
      <c r="O573">
        <v>2</v>
      </c>
      <c r="P573">
        <f>MOD(DAY(datos_siembra[[#This Row],[Date]]),7)</f>
        <v>5</v>
      </c>
      <c r="Q573" t="str">
        <f>CHOOSE(WEEKDAY(datos_siembra[[#This Row],[Date]],2),"L","M","X","J","V","S","D")</f>
        <v>J</v>
      </c>
      <c r="R573">
        <f>WEEKNUM(datos_siembra[[#This Row],[Date]],2)-WEEKNUM(DATE(YEAR(datos_siembra[[#This Row],[Date]]),MONTH(datos_siembra[[#This Row],[Date]]),1))+1</f>
        <v>2</v>
      </c>
      <c r="S573">
        <f>MONTH(datos_siembra[[#This Row],[Date]])</f>
        <v>9</v>
      </c>
      <c r="T573" t="str" cm="1">
        <f t="array" ref="T573">_xlfn.IFS(AND(N573&lt;= 22, S573=9), "SOWING",AND(N573&lt;= 28, S573=9), "COVERAGE",AND(N573&lt;= 30, S573=9), "FLUSH",AND(N573&lt;= 11, S573=10), "FLUSH",AND(N573&lt;= 21, S573=10), "PRODUCTION")</f>
        <v>SOWING</v>
      </c>
      <c r="U573">
        <f>HOUR(datos_siembra[[#This Row],[Hour]])</f>
        <v>10</v>
      </c>
      <c r="V573" cm="1">
        <f t="array" ref="V573">_xlfn.IFS(AND(N573&lt;= 22, S573=9), N573-7,AND(N573&lt;= 28, S573=9), N573-25,AND(N573&lt;= 30, S573=9), N573-28,AND(N573&lt;= 11, S573=10), N573+2,AND(N573&lt;= 21, S573=10), N573-11)</f>
        <v>5</v>
      </c>
    </row>
    <row r="574" spans="1:22" x14ac:dyDescent="0.35">
      <c r="A574" s="4">
        <v>45547</v>
      </c>
      <c r="B574" s="5">
        <v>0.46453703703703703</v>
      </c>
      <c r="C574">
        <v>83.3</v>
      </c>
      <c r="D574">
        <v>81.3</v>
      </c>
      <c r="E574">
        <v>86.1</v>
      </c>
      <c r="F574">
        <v>82</v>
      </c>
      <c r="G574">
        <v>0</v>
      </c>
      <c r="H574">
        <v>0</v>
      </c>
      <c r="I574">
        <v>0</v>
      </c>
      <c r="J574">
        <v>0</v>
      </c>
      <c r="K574">
        <v>64.3</v>
      </c>
      <c r="L574">
        <v>62.9</v>
      </c>
      <c r="M574">
        <v>83.16</v>
      </c>
      <c r="N574">
        <v>12</v>
      </c>
      <c r="O574">
        <v>2</v>
      </c>
      <c r="P574">
        <f>MOD(DAY(datos_siembra[[#This Row],[Date]]),7)</f>
        <v>5</v>
      </c>
      <c r="Q574" t="str">
        <f>CHOOSE(WEEKDAY(datos_siembra[[#This Row],[Date]],2),"L","M","X","J","V","S","D")</f>
        <v>J</v>
      </c>
      <c r="R574">
        <f>WEEKNUM(datos_siembra[[#This Row],[Date]],2)-WEEKNUM(DATE(YEAR(datos_siembra[[#This Row],[Date]]),MONTH(datos_siembra[[#This Row],[Date]]),1))+1</f>
        <v>2</v>
      </c>
      <c r="S574">
        <f>MONTH(datos_siembra[[#This Row],[Date]])</f>
        <v>9</v>
      </c>
      <c r="T574" t="str" cm="1">
        <f t="array" ref="T574">_xlfn.IFS(AND(N574&lt;= 22, S574=9), "SOWING",AND(N574&lt;= 28, S574=9), "COVERAGE",AND(N574&lt;= 30, S574=9), "FLUSH",AND(N574&lt;= 11, S574=10), "FLUSH",AND(N574&lt;= 21, S574=10), "PRODUCTION")</f>
        <v>SOWING</v>
      </c>
      <c r="U574">
        <f>HOUR(datos_siembra[[#This Row],[Hour]])</f>
        <v>11</v>
      </c>
      <c r="V574" cm="1">
        <f t="array" ref="V574">_xlfn.IFS(AND(N574&lt;= 22, S574=9), N574-7,AND(N574&lt;= 28, S574=9), N574-25,AND(N574&lt;= 30, S574=9), N574-28,AND(N574&lt;= 11, S574=10), N574+2,AND(N574&lt;= 21, S574=10), N574-11)</f>
        <v>5</v>
      </c>
    </row>
    <row r="575" spans="1:22" x14ac:dyDescent="0.35">
      <c r="A575" s="4">
        <v>45547</v>
      </c>
      <c r="B575" s="5">
        <v>0.4714814814814815</v>
      </c>
      <c r="C575">
        <v>83.4</v>
      </c>
      <c r="D575">
        <v>81.2</v>
      </c>
      <c r="E575">
        <v>86.1</v>
      </c>
      <c r="F575">
        <v>82</v>
      </c>
      <c r="G575">
        <v>0</v>
      </c>
      <c r="H575">
        <v>0</v>
      </c>
      <c r="I575">
        <v>0</v>
      </c>
      <c r="J575">
        <v>0</v>
      </c>
      <c r="K575">
        <v>64.2</v>
      </c>
      <c r="L575">
        <v>62.7</v>
      </c>
      <c r="M575">
        <v>83.1</v>
      </c>
      <c r="N575">
        <v>12</v>
      </c>
      <c r="O575">
        <v>2</v>
      </c>
      <c r="P575">
        <f>MOD(DAY(datos_siembra[[#This Row],[Date]]),7)</f>
        <v>5</v>
      </c>
      <c r="Q575" t="str">
        <f>CHOOSE(WEEKDAY(datos_siembra[[#This Row],[Date]],2),"L","M","X","J","V","S","D")</f>
        <v>J</v>
      </c>
      <c r="R575">
        <f>WEEKNUM(datos_siembra[[#This Row],[Date]],2)-WEEKNUM(DATE(YEAR(datos_siembra[[#This Row],[Date]]),MONTH(datos_siembra[[#This Row],[Date]]),1))+1</f>
        <v>2</v>
      </c>
      <c r="S575">
        <f>MONTH(datos_siembra[[#This Row],[Date]])</f>
        <v>9</v>
      </c>
      <c r="T575" t="str" cm="1">
        <f t="array" ref="T575">_xlfn.IFS(AND(N575&lt;= 22, S575=9), "SOWING",AND(N575&lt;= 28, S575=9), "COVERAGE",AND(N575&lt;= 30, S575=9), "FLUSH",AND(N575&lt;= 11, S575=10), "FLUSH",AND(N575&lt;= 21, S575=10), "PRODUCTION")</f>
        <v>SOWING</v>
      </c>
      <c r="U575">
        <f>HOUR(datos_siembra[[#This Row],[Hour]])</f>
        <v>11</v>
      </c>
      <c r="V575" cm="1">
        <f t="array" ref="V575">_xlfn.IFS(AND(N575&lt;= 22, S575=9), N575-7,AND(N575&lt;= 28, S575=9), N575-25,AND(N575&lt;= 30, S575=9), N575-28,AND(N575&lt;= 11, S575=10), N575+2,AND(N575&lt;= 21, S575=10), N575-11)</f>
        <v>5</v>
      </c>
    </row>
    <row r="576" spans="1:22" x14ac:dyDescent="0.35">
      <c r="A576" s="4">
        <v>45547</v>
      </c>
      <c r="B576" s="5">
        <v>0.47842592592592592</v>
      </c>
      <c r="C576">
        <v>83.4</v>
      </c>
      <c r="D576">
        <v>81.2</v>
      </c>
      <c r="E576">
        <v>86.2</v>
      </c>
      <c r="F576">
        <v>81.8</v>
      </c>
      <c r="G576">
        <v>0</v>
      </c>
      <c r="H576">
        <v>0</v>
      </c>
      <c r="I576">
        <v>0</v>
      </c>
      <c r="J576">
        <v>0</v>
      </c>
      <c r="K576">
        <v>64.3</v>
      </c>
      <c r="L576">
        <v>62.8</v>
      </c>
      <c r="M576">
        <v>83.19</v>
      </c>
      <c r="N576">
        <v>12</v>
      </c>
      <c r="O576">
        <v>2</v>
      </c>
      <c r="P576">
        <f>MOD(DAY(datos_siembra[[#This Row],[Date]]),7)</f>
        <v>5</v>
      </c>
      <c r="Q576" t="str">
        <f>CHOOSE(WEEKDAY(datos_siembra[[#This Row],[Date]],2),"L","M","X","J","V","S","D")</f>
        <v>J</v>
      </c>
      <c r="R576">
        <f>WEEKNUM(datos_siembra[[#This Row],[Date]],2)-WEEKNUM(DATE(YEAR(datos_siembra[[#This Row],[Date]]),MONTH(datos_siembra[[#This Row],[Date]]),1))+1</f>
        <v>2</v>
      </c>
      <c r="S576">
        <f>MONTH(datos_siembra[[#This Row],[Date]])</f>
        <v>9</v>
      </c>
      <c r="T576" t="str" cm="1">
        <f t="array" ref="T576">_xlfn.IFS(AND(N576&lt;= 22, S576=9), "SOWING",AND(N576&lt;= 28, S576=9), "COVERAGE",AND(N576&lt;= 30, S576=9), "FLUSH",AND(N576&lt;= 11, S576=10), "FLUSH",AND(N576&lt;= 21, S576=10), "PRODUCTION")</f>
        <v>SOWING</v>
      </c>
      <c r="U576">
        <f>HOUR(datos_siembra[[#This Row],[Hour]])</f>
        <v>11</v>
      </c>
      <c r="V576" cm="1">
        <f t="array" ref="V576">_xlfn.IFS(AND(N576&lt;= 22, S576=9), N576-7,AND(N576&lt;= 28, S576=9), N576-25,AND(N576&lt;= 30, S576=9), N576-28,AND(N576&lt;= 11, S576=10), N576+2,AND(N576&lt;= 21, S576=10), N576-11)</f>
        <v>5</v>
      </c>
    </row>
    <row r="577" spans="1:22" x14ac:dyDescent="0.35">
      <c r="A577" s="4">
        <v>45547</v>
      </c>
      <c r="B577" s="5">
        <v>0.4853703703703704</v>
      </c>
      <c r="C577">
        <v>83.5</v>
      </c>
      <c r="D577">
        <v>81.099999999999994</v>
      </c>
      <c r="E577">
        <v>86</v>
      </c>
      <c r="F577">
        <v>82</v>
      </c>
      <c r="G577">
        <v>0</v>
      </c>
      <c r="H577">
        <v>0</v>
      </c>
      <c r="I577">
        <v>0</v>
      </c>
      <c r="J577">
        <v>0</v>
      </c>
      <c r="K577">
        <v>64.2</v>
      </c>
      <c r="L577">
        <v>62.6</v>
      </c>
      <c r="M577">
        <v>83.1</v>
      </c>
      <c r="N577">
        <v>12</v>
      </c>
      <c r="O577">
        <v>2</v>
      </c>
      <c r="P577">
        <f>MOD(DAY(datos_siembra[[#This Row],[Date]]),7)</f>
        <v>5</v>
      </c>
      <c r="Q577" t="str">
        <f>CHOOSE(WEEKDAY(datos_siembra[[#This Row],[Date]],2),"L","M","X","J","V","S","D")</f>
        <v>J</v>
      </c>
      <c r="R577">
        <f>WEEKNUM(datos_siembra[[#This Row],[Date]],2)-WEEKNUM(DATE(YEAR(datos_siembra[[#This Row],[Date]]),MONTH(datos_siembra[[#This Row],[Date]]),1))+1</f>
        <v>2</v>
      </c>
      <c r="S577">
        <f>MONTH(datos_siembra[[#This Row],[Date]])</f>
        <v>9</v>
      </c>
      <c r="T577" t="str" cm="1">
        <f t="array" ref="T577">_xlfn.IFS(AND(N577&lt;= 22, S577=9), "SOWING",AND(N577&lt;= 28, S577=9), "COVERAGE",AND(N577&lt;= 30, S577=9), "FLUSH",AND(N577&lt;= 11, S577=10), "FLUSH",AND(N577&lt;= 21, S577=10), "PRODUCTION")</f>
        <v>SOWING</v>
      </c>
      <c r="U577">
        <f>HOUR(datos_siembra[[#This Row],[Hour]])</f>
        <v>11</v>
      </c>
      <c r="V577" cm="1">
        <f t="array" ref="V577">_xlfn.IFS(AND(N577&lt;= 22, S577=9), N577-7,AND(N577&lt;= 28, S577=9), N577-25,AND(N577&lt;= 30, S577=9), N577-28,AND(N577&lt;= 11, S577=10), N577+2,AND(N577&lt;= 21, S577=10), N577-11)</f>
        <v>5</v>
      </c>
    </row>
    <row r="578" spans="1:22" x14ac:dyDescent="0.35">
      <c r="A578" s="4">
        <v>45547</v>
      </c>
      <c r="B578" s="5">
        <v>0.49232638888888891</v>
      </c>
      <c r="C578">
        <v>83.3</v>
      </c>
      <c r="D578">
        <v>81.2</v>
      </c>
      <c r="E578">
        <v>86.1</v>
      </c>
      <c r="F578">
        <v>82.1</v>
      </c>
      <c r="G578">
        <v>0</v>
      </c>
      <c r="H578">
        <v>0</v>
      </c>
      <c r="I578">
        <v>0</v>
      </c>
      <c r="J578">
        <v>0</v>
      </c>
      <c r="K578">
        <v>64.2</v>
      </c>
      <c r="L578">
        <v>62.8</v>
      </c>
      <c r="M578">
        <v>83.07</v>
      </c>
      <c r="N578">
        <v>12</v>
      </c>
      <c r="O578">
        <v>2</v>
      </c>
      <c r="P578">
        <f>MOD(DAY(datos_siembra[[#This Row],[Date]]),7)</f>
        <v>5</v>
      </c>
      <c r="Q578" t="str">
        <f>CHOOSE(WEEKDAY(datos_siembra[[#This Row],[Date]],2),"L","M","X","J","V","S","D")</f>
        <v>J</v>
      </c>
      <c r="R578">
        <f>WEEKNUM(datos_siembra[[#This Row],[Date]],2)-WEEKNUM(DATE(YEAR(datos_siembra[[#This Row],[Date]]),MONTH(datos_siembra[[#This Row],[Date]]),1))+1</f>
        <v>2</v>
      </c>
      <c r="S578">
        <f>MONTH(datos_siembra[[#This Row],[Date]])</f>
        <v>9</v>
      </c>
      <c r="T578" t="str" cm="1">
        <f t="array" ref="T578">_xlfn.IFS(AND(N578&lt;= 22, S578=9), "SOWING",AND(N578&lt;= 28, S578=9), "COVERAGE",AND(N578&lt;= 30, S578=9), "FLUSH",AND(N578&lt;= 11, S578=10), "FLUSH",AND(N578&lt;= 21, S578=10), "PRODUCTION")</f>
        <v>SOWING</v>
      </c>
      <c r="U578">
        <f>HOUR(datos_siembra[[#This Row],[Hour]])</f>
        <v>11</v>
      </c>
      <c r="V578" cm="1">
        <f t="array" ref="V578">_xlfn.IFS(AND(N578&lt;= 22, S578=9), N578-7,AND(N578&lt;= 28, S578=9), N578-25,AND(N578&lt;= 30, S578=9), N578-28,AND(N578&lt;= 11, S578=10), N578+2,AND(N578&lt;= 21, S578=10), N578-11)</f>
        <v>5</v>
      </c>
    </row>
    <row r="579" spans="1:22" x14ac:dyDescent="0.35">
      <c r="A579" s="4">
        <v>45547</v>
      </c>
      <c r="B579" s="5">
        <v>0.49927083333333333</v>
      </c>
      <c r="C579">
        <v>83.2</v>
      </c>
      <c r="D579">
        <v>81.099999999999994</v>
      </c>
      <c r="E579">
        <v>86</v>
      </c>
      <c r="F579">
        <v>82.2</v>
      </c>
      <c r="G579">
        <v>0</v>
      </c>
      <c r="H579">
        <v>0</v>
      </c>
      <c r="I579">
        <v>0</v>
      </c>
      <c r="J579">
        <v>0</v>
      </c>
      <c r="K579">
        <v>64.599999999999994</v>
      </c>
      <c r="L579">
        <v>63.2</v>
      </c>
      <c r="M579">
        <v>83.13</v>
      </c>
      <c r="N579">
        <v>12</v>
      </c>
      <c r="O579">
        <v>2</v>
      </c>
      <c r="P579">
        <f>MOD(DAY(datos_siembra[[#This Row],[Date]]),7)</f>
        <v>5</v>
      </c>
      <c r="Q579" t="str">
        <f>CHOOSE(WEEKDAY(datos_siembra[[#This Row],[Date]],2),"L","M","X","J","V","S","D")</f>
        <v>J</v>
      </c>
      <c r="R579">
        <f>WEEKNUM(datos_siembra[[#This Row],[Date]],2)-WEEKNUM(DATE(YEAR(datos_siembra[[#This Row],[Date]]),MONTH(datos_siembra[[#This Row],[Date]]),1))+1</f>
        <v>2</v>
      </c>
      <c r="S579">
        <f>MONTH(datos_siembra[[#This Row],[Date]])</f>
        <v>9</v>
      </c>
      <c r="T579" t="str" cm="1">
        <f t="array" ref="T579">_xlfn.IFS(AND(N579&lt;= 22, S579=9), "SOWING",AND(N579&lt;= 28, S579=9), "COVERAGE",AND(N579&lt;= 30, S579=9), "FLUSH",AND(N579&lt;= 11, S579=10), "FLUSH",AND(N579&lt;= 21, S579=10), "PRODUCTION")</f>
        <v>SOWING</v>
      </c>
      <c r="U579">
        <f>HOUR(datos_siembra[[#This Row],[Hour]])</f>
        <v>11</v>
      </c>
      <c r="V579" cm="1">
        <f t="array" ref="V579">_xlfn.IFS(AND(N579&lt;= 22, S579=9), N579-7,AND(N579&lt;= 28, S579=9), N579-25,AND(N579&lt;= 30, S579=9), N579-28,AND(N579&lt;= 11, S579=10), N579+2,AND(N579&lt;= 21, S579=10), N579-11)</f>
        <v>5</v>
      </c>
    </row>
    <row r="580" spans="1:22" x14ac:dyDescent="0.35">
      <c r="A580" s="4">
        <v>45547</v>
      </c>
      <c r="B580" s="5">
        <v>0.50621527777777775</v>
      </c>
      <c r="C580">
        <v>83.3</v>
      </c>
      <c r="D580">
        <v>80.900000000000006</v>
      </c>
      <c r="E580">
        <v>86</v>
      </c>
      <c r="F580">
        <v>82.1</v>
      </c>
      <c r="G580">
        <v>0</v>
      </c>
      <c r="H580">
        <v>0</v>
      </c>
      <c r="I580">
        <v>0</v>
      </c>
      <c r="J580">
        <v>0</v>
      </c>
      <c r="K580">
        <v>64.599999999999994</v>
      </c>
      <c r="L580">
        <v>63.2</v>
      </c>
      <c r="M580">
        <v>83.07</v>
      </c>
      <c r="N580">
        <v>12</v>
      </c>
      <c r="O580">
        <v>2</v>
      </c>
      <c r="P580">
        <f>MOD(DAY(datos_siembra[[#This Row],[Date]]),7)</f>
        <v>5</v>
      </c>
      <c r="Q580" t="str">
        <f>CHOOSE(WEEKDAY(datos_siembra[[#This Row],[Date]],2),"L","M","X","J","V","S","D")</f>
        <v>J</v>
      </c>
      <c r="R580">
        <f>WEEKNUM(datos_siembra[[#This Row],[Date]],2)-WEEKNUM(DATE(YEAR(datos_siembra[[#This Row],[Date]]),MONTH(datos_siembra[[#This Row],[Date]]),1))+1</f>
        <v>2</v>
      </c>
      <c r="S580">
        <f>MONTH(datos_siembra[[#This Row],[Date]])</f>
        <v>9</v>
      </c>
      <c r="T580" t="str" cm="1">
        <f t="array" ref="T580">_xlfn.IFS(AND(N580&lt;= 22, S580=9), "SOWING",AND(N580&lt;= 28, S580=9), "COVERAGE",AND(N580&lt;= 30, S580=9), "FLUSH",AND(N580&lt;= 11, S580=10), "FLUSH",AND(N580&lt;= 21, S580=10), "PRODUCTION")</f>
        <v>SOWING</v>
      </c>
      <c r="U580">
        <f>HOUR(datos_siembra[[#This Row],[Hour]])</f>
        <v>12</v>
      </c>
      <c r="V580" cm="1">
        <f t="array" ref="V580">_xlfn.IFS(AND(N580&lt;= 22, S580=9), N580-7,AND(N580&lt;= 28, S580=9), N580-25,AND(N580&lt;= 30, S580=9), N580-28,AND(N580&lt;= 11, S580=10), N580+2,AND(N580&lt;= 21, S580=10), N580-11)</f>
        <v>5</v>
      </c>
    </row>
    <row r="581" spans="1:22" x14ac:dyDescent="0.35">
      <c r="A581" s="4">
        <v>45547</v>
      </c>
      <c r="B581" s="5">
        <v>0.51317129629629632</v>
      </c>
      <c r="C581">
        <v>83.2</v>
      </c>
      <c r="D581">
        <v>81.099999999999994</v>
      </c>
      <c r="E581">
        <v>86</v>
      </c>
      <c r="F581">
        <v>82</v>
      </c>
      <c r="G581">
        <v>0</v>
      </c>
      <c r="H581">
        <v>0</v>
      </c>
      <c r="I581">
        <v>0</v>
      </c>
      <c r="J581">
        <v>0</v>
      </c>
      <c r="K581">
        <v>64.400000000000006</v>
      </c>
      <c r="L581">
        <v>62.9</v>
      </c>
      <c r="M581">
        <v>83.05</v>
      </c>
      <c r="N581">
        <v>12</v>
      </c>
      <c r="O581">
        <v>2</v>
      </c>
      <c r="P581">
        <f>MOD(DAY(datos_siembra[[#This Row],[Date]]),7)</f>
        <v>5</v>
      </c>
      <c r="Q581" t="str">
        <f>CHOOSE(WEEKDAY(datos_siembra[[#This Row],[Date]],2),"L","M","X","J","V","S","D")</f>
        <v>J</v>
      </c>
      <c r="R581">
        <f>WEEKNUM(datos_siembra[[#This Row],[Date]],2)-WEEKNUM(DATE(YEAR(datos_siembra[[#This Row],[Date]]),MONTH(datos_siembra[[#This Row],[Date]]),1))+1</f>
        <v>2</v>
      </c>
      <c r="S581">
        <f>MONTH(datos_siembra[[#This Row],[Date]])</f>
        <v>9</v>
      </c>
      <c r="T581" t="str" cm="1">
        <f t="array" ref="T581">_xlfn.IFS(AND(N581&lt;= 22, S581=9), "SOWING",AND(N581&lt;= 28, S581=9), "COVERAGE",AND(N581&lt;= 30, S581=9), "FLUSH",AND(N581&lt;= 11, S581=10), "FLUSH",AND(N581&lt;= 21, S581=10), "PRODUCTION")</f>
        <v>SOWING</v>
      </c>
      <c r="U581">
        <f>HOUR(datos_siembra[[#This Row],[Hour]])</f>
        <v>12</v>
      </c>
      <c r="V581" cm="1">
        <f t="array" ref="V581">_xlfn.IFS(AND(N581&lt;= 22, S581=9), N581-7,AND(N581&lt;= 28, S581=9), N581-25,AND(N581&lt;= 30, S581=9), N581-28,AND(N581&lt;= 11, S581=10), N581+2,AND(N581&lt;= 21, S581=10), N581-11)</f>
        <v>5</v>
      </c>
    </row>
    <row r="582" spans="1:22" x14ac:dyDescent="0.35">
      <c r="A582" s="4">
        <v>45547</v>
      </c>
      <c r="B582" s="5">
        <v>0.52011574074074074</v>
      </c>
      <c r="C582">
        <v>83.2</v>
      </c>
      <c r="D582">
        <v>81.2</v>
      </c>
      <c r="E582">
        <v>86</v>
      </c>
      <c r="F582">
        <v>82</v>
      </c>
      <c r="G582">
        <v>0</v>
      </c>
      <c r="H582">
        <v>0</v>
      </c>
      <c r="I582">
        <v>0</v>
      </c>
      <c r="J582">
        <v>0</v>
      </c>
      <c r="K582">
        <v>64.099999999999994</v>
      </c>
      <c r="L582">
        <v>62.6</v>
      </c>
      <c r="M582">
        <v>83.05</v>
      </c>
      <c r="N582">
        <v>12</v>
      </c>
      <c r="O582">
        <v>2</v>
      </c>
      <c r="P582">
        <f>MOD(DAY(datos_siembra[[#This Row],[Date]]),7)</f>
        <v>5</v>
      </c>
      <c r="Q582" t="str">
        <f>CHOOSE(WEEKDAY(datos_siembra[[#This Row],[Date]],2),"L","M","X","J","V","S","D")</f>
        <v>J</v>
      </c>
      <c r="R582">
        <f>WEEKNUM(datos_siembra[[#This Row],[Date]],2)-WEEKNUM(DATE(YEAR(datos_siembra[[#This Row],[Date]]),MONTH(datos_siembra[[#This Row],[Date]]),1))+1</f>
        <v>2</v>
      </c>
      <c r="S582">
        <f>MONTH(datos_siembra[[#This Row],[Date]])</f>
        <v>9</v>
      </c>
      <c r="T582" t="str" cm="1">
        <f t="array" ref="T582">_xlfn.IFS(AND(N582&lt;= 22, S582=9), "SOWING",AND(N582&lt;= 28, S582=9), "COVERAGE",AND(N582&lt;= 30, S582=9), "FLUSH",AND(N582&lt;= 11, S582=10), "FLUSH",AND(N582&lt;= 21, S582=10), "PRODUCTION")</f>
        <v>SOWING</v>
      </c>
      <c r="U582">
        <f>HOUR(datos_siembra[[#This Row],[Hour]])</f>
        <v>12</v>
      </c>
      <c r="V582" cm="1">
        <f t="array" ref="V582">_xlfn.IFS(AND(N582&lt;= 22, S582=9), N582-7,AND(N582&lt;= 28, S582=9), N582-25,AND(N582&lt;= 30, S582=9), N582-28,AND(N582&lt;= 11, S582=10), N582+2,AND(N582&lt;= 21, S582=10), N582-11)</f>
        <v>5</v>
      </c>
    </row>
    <row r="583" spans="1:22" x14ac:dyDescent="0.35">
      <c r="A583" s="4">
        <v>45547</v>
      </c>
      <c r="B583" s="5">
        <v>0.52706018518518516</v>
      </c>
      <c r="C583">
        <v>83.3</v>
      </c>
      <c r="D583">
        <v>81.2</v>
      </c>
      <c r="E583">
        <v>86</v>
      </c>
      <c r="F583">
        <v>82.1</v>
      </c>
      <c r="G583">
        <v>0</v>
      </c>
      <c r="H583">
        <v>0</v>
      </c>
      <c r="I583">
        <v>0</v>
      </c>
      <c r="J583">
        <v>0</v>
      </c>
      <c r="K583">
        <v>64.099999999999994</v>
      </c>
      <c r="L583">
        <v>62.7</v>
      </c>
      <c r="M583">
        <v>83.07</v>
      </c>
      <c r="N583">
        <v>12</v>
      </c>
      <c r="O583">
        <v>2</v>
      </c>
      <c r="P583">
        <f>MOD(DAY(datos_siembra[[#This Row],[Date]]),7)</f>
        <v>5</v>
      </c>
      <c r="Q583" t="str">
        <f>CHOOSE(WEEKDAY(datos_siembra[[#This Row],[Date]],2),"L","M","X","J","V","S","D")</f>
        <v>J</v>
      </c>
      <c r="R583">
        <f>WEEKNUM(datos_siembra[[#This Row],[Date]],2)-WEEKNUM(DATE(YEAR(datos_siembra[[#This Row],[Date]]),MONTH(datos_siembra[[#This Row],[Date]]),1))+1</f>
        <v>2</v>
      </c>
      <c r="S583">
        <f>MONTH(datos_siembra[[#This Row],[Date]])</f>
        <v>9</v>
      </c>
      <c r="T583" t="str" cm="1">
        <f t="array" ref="T583">_xlfn.IFS(AND(N583&lt;= 22, S583=9), "SOWING",AND(N583&lt;= 28, S583=9), "COVERAGE",AND(N583&lt;= 30, S583=9), "FLUSH",AND(N583&lt;= 11, S583=10), "FLUSH",AND(N583&lt;= 21, S583=10), "PRODUCTION")</f>
        <v>SOWING</v>
      </c>
      <c r="U583">
        <f>HOUR(datos_siembra[[#This Row],[Hour]])</f>
        <v>12</v>
      </c>
      <c r="V583" cm="1">
        <f t="array" ref="V583">_xlfn.IFS(AND(N583&lt;= 22, S583=9), N583-7,AND(N583&lt;= 28, S583=9), N583-25,AND(N583&lt;= 30, S583=9), N583-28,AND(N583&lt;= 11, S583=10), N583+2,AND(N583&lt;= 21, S583=10), N583-11)</f>
        <v>5</v>
      </c>
    </row>
    <row r="584" spans="1:22" x14ac:dyDescent="0.35">
      <c r="A584" s="4">
        <v>45547</v>
      </c>
      <c r="B584" s="5">
        <v>0.53401620370370373</v>
      </c>
      <c r="C584">
        <v>83.2</v>
      </c>
      <c r="D584">
        <v>81.2</v>
      </c>
      <c r="E584">
        <v>85.9</v>
      </c>
      <c r="F584">
        <v>81.8</v>
      </c>
      <c r="G584">
        <v>0</v>
      </c>
      <c r="H584">
        <v>0</v>
      </c>
      <c r="I584">
        <v>0</v>
      </c>
      <c r="J584">
        <v>0</v>
      </c>
      <c r="K584">
        <v>63.9</v>
      </c>
      <c r="L584">
        <v>62.6</v>
      </c>
      <c r="M584">
        <v>83.1</v>
      </c>
      <c r="N584">
        <v>12</v>
      </c>
      <c r="O584">
        <v>2</v>
      </c>
      <c r="P584">
        <f>MOD(DAY(datos_siembra[[#This Row],[Date]]),7)</f>
        <v>5</v>
      </c>
      <c r="Q584" t="str">
        <f>CHOOSE(WEEKDAY(datos_siembra[[#This Row],[Date]],2),"L","M","X","J","V","S","D")</f>
        <v>J</v>
      </c>
      <c r="R584">
        <f>WEEKNUM(datos_siembra[[#This Row],[Date]],2)-WEEKNUM(DATE(YEAR(datos_siembra[[#This Row],[Date]]),MONTH(datos_siembra[[#This Row],[Date]]),1))+1</f>
        <v>2</v>
      </c>
      <c r="S584">
        <f>MONTH(datos_siembra[[#This Row],[Date]])</f>
        <v>9</v>
      </c>
      <c r="T584" t="str" cm="1">
        <f t="array" ref="T584">_xlfn.IFS(AND(N584&lt;= 22, S584=9), "SOWING",AND(N584&lt;= 28, S584=9), "COVERAGE",AND(N584&lt;= 30, S584=9), "FLUSH",AND(N584&lt;= 11, S584=10), "FLUSH",AND(N584&lt;= 21, S584=10), "PRODUCTION")</f>
        <v>SOWING</v>
      </c>
      <c r="U584">
        <f>HOUR(datos_siembra[[#This Row],[Hour]])</f>
        <v>12</v>
      </c>
      <c r="V584" cm="1">
        <f t="array" ref="V584">_xlfn.IFS(AND(N584&lt;= 22, S584=9), N584-7,AND(N584&lt;= 28, S584=9), N584-25,AND(N584&lt;= 30, S584=9), N584-28,AND(N584&lt;= 11, S584=10), N584+2,AND(N584&lt;= 21, S584=10), N584-11)</f>
        <v>5</v>
      </c>
    </row>
    <row r="585" spans="1:22" x14ac:dyDescent="0.35">
      <c r="A585" s="4">
        <v>45547</v>
      </c>
      <c r="B585" s="5">
        <v>0.54096064814814815</v>
      </c>
      <c r="C585">
        <v>83.2</v>
      </c>
      <c r="D585">
        <v>80.900000000000006</v>
      </c>
      <c r="E585">
        <v>86</v>
      </c>
      <c r="F585">
        <v>82.1</v>
      </c>
      <c r="G585">
        <v>0</v>
      </c>
      <c r="H585">
        <v>0</v>
      </c>
      <c r="I585">
        <v>0</v>
      </c>
      <c r="J585">
        <v>0</v>
      </c>
      <c r="K585">
        <v>63.9</v>
      </c>
      <c r="L585">
        <v>62.5</v>
      </c>
      <c r="M585">
        <v>83.07</v>
      </c>
      <c r="N585">
        <v>12</v>
      </c>
      <c r="O585">
        <v>2</v>
      </c>
      <c r="P585">
        <f>MOD(DAY(datos_siembra[[#This Row],[Date]]),7)</f>
        <v>5</v>
      </c>
      <c r="Q585" t="str">
        <f>CHOOSE(WEEKDAY(datos_siembra[[#This Row],[Date]],2),"L","M","X","J","V","S","D")</f>
        <v>J</v>
      </c>
      <c r="R585">
        <f>WEEKNUM(datos_siembra[[#This Row],[Date]],2)-WEEKNUM(DATE(YEAR(datos_siembra[[#This Row],[Date]]),MONTH(datos_siembra[[#This Row],[Date]]),1))+1</f>
        <v>2</v>
      </c>
      <c r="S585">
        <f>MONTH(datos_siembra[[#This Row],[Date]])</f>
        <v>9</v>
      </c>
      <c r="T585" t="str" cm="1">
        <f t="array" ref="T585">_xlfn.IFS(AND(N585&lt;= 22, S585=9), "SOWING",AND(N585&lt;= 28, S585=9), "COVERAGE",AND(N585&lt;= 30, S585=9), "FLUSH",AND(N585&lt;= 11, S585=10), "FLUSH",AND(N585&lt;= 21, S585=10), "PRODUCTION")</f>
        <v>SOWING</v>
      </c>
      <c r="U585">
        <f>HOUR(datos_siembra[[#This Row],[Hour]])</f>
        <v>12</v>
      </c>
      <c r="V585" cm="1">
        <f t="array" ref="V585">_xlfn.IFS(AND(N585&lt;= 22, S585=9), N585-7,AND(N585&lt;= 28, S585=9), N585-25,AND(N585&lt;= 30, S585=9), N585-28,AND(N585&lt;= 11, S585=10), N585+2,AND(N585&lt;= 21, S585=10), N585-11)</f>
        <v>5</v>
      </c>
    </row>
    <row r="586" spans="1:22" x14ac:dyDescent="0.35">
      <c r="A586" s="4">
        <v>45547</v>
      </c>
      <c r="B586" s="5">
        <v>0.54790509259259257</v>
      </c>
      <c r="C586">
        <v>83.2</v>
      </c>
      <c r="D586">
        <v>80.900000000000006</v>
      </c>
      <c r="E586">
        <v>86</v>
      </c>
      <c r="F586">
        <v>82</v>
      </c>
      <c r="G586">
        <v>0</v>
      </c>
      <c r="H586">
        <v>0</v>
      </c>
      <c r="I586">
        <v>0</v>
      </c>
      <c r="J586">
        <v>0</v>
      </c>
      <c r="K586">
        <v>63.9</v>
      </c>
      <c r="L586">
        <v>62.5</v>
      </c>
      <c r="M586">
        <v>83.02</v>
      </c>
      <c r="N586">
        <v>12</v>
      </c>
      <c r="O586">
        <v>2</v>
      </c>
      <c r="P586">
        <f>MOD(DAY(datos_siembra[[#This Row],[Date]]),7)</f>
        <v>5</v>
      </c>
      <c r="Q586" t="str">
        <f>CHOOSE(WEEKDAY(datos_siembra[[#This Row],[Date]],2),"L","M","X","J","V","S","D")</f>
        <v>J</v>
      </c>
      <c r="R586">
        <f>WEEKNUM(datos_siembra[[#This Row],[Date]],2)-WEEKNUM(DATE(YEAR(datos_siembra[[#This Row],[Date]]),MONTH(datos_siembra[[#This Row],[Date]]),1))+1</f>
        <v>2</v>
      </c>
      <c r="S586">
        <f>MONTH(datos_siembra[[#This Row],[Date]])</f>
        <v>9</v>
      </c>
      <c r="T586" t="str" cm="1">
        <f t="array" ref="T586">_xlfn.IFS(AND(N586&lt;= 22, S586=9), "SOWING",AND(N586&lt;= 28, S586=9), "COVERAGE",AND(N586&lt;= 30, S586=9), "FLUSH",AND(N586&lt;= 11, S586=10), "FLUSH",AND(N586&lt;= 21, S586=10), "PRODUCTION")</f>
        <v>SOWING</v>
      </c>
      <c r="U586">
        <f>HOUR(datos_siembra[[#This Row],[Hour]])</f>
        <v>13</v>
      </c>
      <c r="V586" cm="1">
        <f t="array" ref="V586">_xlfn.IFS(AND(N586&lt;= 22, S586=9), N586-7,AND(N586&lt;= 28, S586=9), N586-25,AND(N586&lt;= 30, S586=9), N586-28,AND(N586&lt;= 11, S586=10), N586+2,AND(N586&lt;= 21, S586=10), N586-11)</f>
        <v>5</v>
      </c>
    </row>
    <row r="587" spans="1:22" x14ac:dyDescent="0.35">
      <c r="A587" s="4">
        <v>45547</v>
      </c>
      <c r="B587" s="5">
        <v>0.55484953703703699</v>
      </c>
      <c r="C587">
        <v>83.2</v>
      </c>
      <c r="D587">
        <v>81.2</v>
      </c>
      <c r="E587">
        <v>85.9</v>
      </c>
      <c r="F587">
        <v>81.7</v>
      </c>
      <c r="G587">
        <v>0</v>
      </c>
      <c r="H587">
        <v>0</v>
      </c>
      <c r="I587">
        <v>0</v>
      </c>
      <c r="J587">
        <v>0</v>
      </c>
      <c r="K587">
        <v>63.8</v>
      </c>
      <c r="L587">
        <v>62.4</v>
      </c>
      <c r="M587">
        <v>83.05</v>
      </c>
      <c r="N587">
        <v>12</v>
      </c>
      <c r="O587">
        <v>2</v>
      </c>
      <c r="P587">
        <f>MOD(DAY(datos_siembra[[#This Row],[Date]]),7)</f>
        <v>5</v>
      </c>
      <c r="Q587" t="str">
        <f>CHOOSE(WEEKDAY(datos_siembra[[#This Row],[Date]],2),"L","M","X","J","V","S","D")</f>
        <v>J</v>
      </c>
      <c r="R587">
        <f>WEEKNUM(datos_siembra[[#This Row],[Date]],2)-WEEKNUM(DATE(YEAR(datos_siembra[[#This Row],[Date]]),MONTH(datos_siembra[[#This Row],[Date]]),1))+1</f>
        <v>2</v>
      </c>
      <c r="S587">
        <f>MONTH(datos_siembra[[#This Row],[Date]])</f>
        <v>9</v>
      </c>
      <c r="T587" t="str" cm="1">
        <f t="array" ref="T587">_xlfn.IFS(AND(N587&lt;= 22, S587=9), "SOWING",AND(N587&lt;= 28, S587=9), "COVERAGE",AND(N587&lt;= 30, S587=9), "FLUSH",AND(N587&lt;= 11, S587=10), "FLUSH",AND(N587&lt;= 21, S587=10), "PRODUCTION")</f>
        <v>SOWING</v>
      </c>
      <c r="U587">
        <f>HOUR(datos_siembra[[#This Row],[Hour]])</f>
        <v>13</v>
      </c>
      <c r="V587" cm="1">
        <f t="array" ref="V587">_xlfn.IFS(AND(N587&lt;= 22, S587=9), N587-7,AND(N587&lt;= 28, S587=9), N587-25,AND(N587&lt;= 30, S587=9), N587-28,AND(N587&lt;= 11, S587=10), N587+2,AND(N587&lt;= 21, S587=10), N587-11)</f>
        <v>5</v>
      </c>
    </row>
    <row r="588" spans="1:22" x14ac:dyDescent="0.35">
      <c r="A588" s="4">
        <v>45547</v>
      </c>
      <c r="B588" s="5">
        <v>0.56180555555555556</v>
      </c>
      <c r="C588">
        <v>83.2</v>
      </c>
      <c r="D588">
        <v>81.099999999999994</v>
      </c>
      <c r="E588">
        <v>85.9</v>
      </c>
      <c r="F588">
        <v>82</v>
      </c>
      <c r="G588">
        <v>0</v>
      </c>
      <c r="H588">
        <v>0</v>
      </c>
      <c r="I588">
        <v>0</v>
      </c>
      <c r="J588">
        <v>0</v>
      </c>
      <c r="K588">
        <v>63.7</v>
      </c>
      <c r="L588">
        <v>62.3</v>
      </c>
      <c r="M588">
        <v>83.05</v>
      </c>
      <c r="N588">
        <v>12</v>
      </c>
      <c r="O588">
        <v>2</v>
      </c>
      <c r="P588">
        <f>MOD(DAY(datos_siembra[[#This Row],[Date]]),7)</f>
        <v>5</v>
      </c>
      <c r="Q588" t="str">
        <f>CHOOSE(WEEKDAY(datos_siembra[[#This Row],[Date]],2),"L","M","X","J","V","S","D")</f>
        <v>J</v>
      </c>
      <c r="R588">
        <f>WEEKNUM(datos_siembra[[#This Row],[Date]],2)-WEEKNUM(DATE(YEAR(datos_siembra[[#This Row],[Date]]),MONTH(datos_siembra[[#This Row],[Date]]),1))+1</f>
        <v>2</v>
      </c>
      <c r="S588">
        <f>MONTH(datos_siembra[[#This Row],[Date]])</f>
        <v>9</v>
      </c>
      <c r="T588" t="str" cm="1">
        <f t="array" ref="T588">_xlfn.IFS(AND(N588&lt;= 22, S588=9), "SOWING",AND(N588&lt;= 28, S588=9), "COVERAGE",AND(N588&lt;= 30, S588=9), "FLUSH",AND(N588&lt;= 11, S588=10), "FLUSH",AND(N588&lt;= 21, S588=10), "PRODUCTION")</f>
        <v>SOWING</v>
      </c>
      <c r="U588">
        <f>HOUR(datos_siembra[[#This Row],[Hour]])</f>
        <v>13</v>
      </c>
      <c r="V588" cm="1">
        <f t="array" ref="V588">_xlfn.IFS(AND(N588&lt;= 22, S588=9), N588-7,AND(N588&lt;= 28, S588=9), N588-25,AND(N588&lt;= 30, S588=9), N588-28,AND(N588&lt;= 11, S588=10), N588+2,AND(N588&lt;= 21, S588=10), N588-11)</f>
        <v>5</v>
      </c>
    </row>
    <row r="589" spans="1:22" x14ac:dyDescent="0.35">
      <c r="A589" s="4">
        <v>45547</v>
      </c>
      <c r="B589" s="5">
        <v>0.56874999999999998</v>
      </c>
      <c r="C589">
        <v>83.4</v>
      </c>
      <c r="D589">
        <v>80.900000000000006</v>
      </c>
      <c r="E589">
        <v>85.9</v>
      </c>
      <c r="F589">
        <v>81.8</v>
      </c>
      <c r="G589">
        <v>0</v>
      </c>
      <c r="H589">
        <v>0</v>
      </c>
      <c r="I589">
        <v>0</v>
      </c>
      <c r="J589">
        <v>0</v>
      </c>
      <c r="K589">
        <v>63.7</v>
      </c>
      <c r="L589">
        <v>62.2</v>
      </c>
      <c r="M589">
        <v>83.05</v>
      </c>
      <c r="N589">
        <v>12</v>
      </c>
      <c r="O589">
        <v>2</v>
      </c>
      <c r="P589">
        <f>MOD(DAY(datos_siembra[[#This Row],[Date]]),7)</f>
        <v>5</v>
      </c>
      <c r="Q589" t="str">
        <f>CHOOSE(WEEKDAY(datos_siembra[[#This Row],[Date]],2),"L","M","X","J","V","S","D")</f>
        <v>J</v>
      </c>
      <c r="R589">
        <f>WEEKNUM(datos_siembra[[#This Row],[Date]],2)-WEEKNUM(DATE(YEAR(datos_siembra[[#This Row],[Date]]),MONTH(datos_siembra[[#This Row],[Date]]),1))+1</f>
        <v>2</v>
      </c>
      <c r="S589">
        <f>MONTH(datos_siembra[[#This Row],[Date]])</f>
        <v>9</v>
      </c>
      <c r="T589" t="str" cm="1">
        <f t="array" ref="T589">_xlfn.IFS(AND(N589&lt;= 22, S589=9), "SOWING",AND(N589&lt;= 28, S589=9), "COVERAGE",AND(N589&lt;= 30, S589=9), "FLUSH",AND(N589&lt;= 11, S589=10), "FLUSH",AND(N589&lt;= 21, S589=10), "PRODUCTION")</f>
        <v>SOWING</v>
      </c>
      <c r="U589">
        <f>HOUR(datos_siembra[[#This Row],[Hour]])</f>
        <v>13</v>
      </c>
      <c r="V589" cm="1">
        <f t="array" ref="V589">_xlfn.IFS(AND(N589&lt;= 22, S589=9), N589-7,AND(N589&lt;= 28, S589=9), N589-25,AND(N589&lt;= 30, S589=9), N589-28,AND(N589&lt;= 11, S589=10), N589+2,AND(N589&lt;= 21, S589=10), N589-11)</f>
        <v>5</v>
      </c>
    </row>
    <row r="590" spans="1:22" x14ac:dyDescent="0.35">
      <c r="A590" s="4">
        <v>45547</v>
      </c>
      <c r="B590" s="5">
        <v>0.5756944444444444</v>
      </c>
      <c r="C590">
        <v>83.3</v>
      </c>
      <c r="D590">
        <v>80.900000000000006</v>
      </c>
      <c r="E590">
        <v>86</v>
      </c>
      <c r="F590">
        <v>81.8</v>
      </c>
      <c r="G590">
        <v>0</v>
      </c>
      <c r="H590">
        <v>0</v>
      </c>
      <c r="I590">
        <v>0</v>
      </c>
      <c r="J590">
        <v>0</v>
      </c>
      <c r="K590">
        <v>63.5</v>
      </c>
      <c r="L590">
        <v>62</v>
      </c>
      <c r="M590">
        <v>82.99</v>
      </c>
      <c r="N590">
        <v>12</v>
      </c>
      <c r="O590">
        <v>2</v>
      </c>
      <c r="P590">
        <f>MOD(DAY(datos_siembra[[#This Row],[Date]]),7)</f>
        <v>5</v>
      </c>
      <c r="Q590" t="str">
        <f>CHOOSE(WEEKDAY(datos_siembra[[#This Row],[Date]],2),"L","M","X","J","V","S","D")</f>
        <v>J</v>
      </c>
      <c r="R590">
        <f>WEEKNUM(datos_siembra[[#This Row],[Date]],2)-WEEKNUM(DATE(YEAR(datos_siembra[[#This Row],[Date]]),MONTH(datos_siembra[[#This Row],[Date]]),1))+1</f>
        <v>2</v>
      </c>
      <c r="S590">
        <f>MONTH(datos_siembra[[#This Row],[Date]])</f>
        <v>9</v>
      </c>
      <c r="T590" t="str" cm="1">
        <f t="array" ref="T590">_xlfn.IFS(AND(N590&lt;= 22, S590=9), "SOWING",AND(N590&lt;= 28, S590=9), "COVERAGE",AND(N590&lt;= 30, S590=9), "FLUSH",AND(N590&lt;= 11, S590=10), "FLUSH",AND(N590&lt;= 21, S590=10), "PRODUCTION")</f>
        <v>SOWING</v>
      </c>
      <c r="U590">
        <f>HOUR(datos_siembra[[#This Row],[Hour]])</f>
        <v>13</v>
      </c>
      <c r="V590" cm="1">
        <f t="array" ref="V590">_xlfn.IFS(AND(N590&lt;= 22, S590=9), N590-7,AND(N590&lt;= 28, S590=9), N590-25,AND(N590&lt;= 30, S590=9), N590-28,AND(N590&lt;= 11, S590=10), N590+2,AND(N590&lt;= 21, S590=10), N590-11)</f>
        <v>5</v>
      </c>
    </row>
    <row r="591" spans="1:22" x14ac:dyDescent="0.35">
      <c r="A591" s="4">
        <v>45547</v>
      </c>
      <c r="B591" s="5">
        <v>0.58265046296296297</v>
      </c>
      <c r="C591">
        <v>83.3</v>
      </c>
      <c r="D591">
        <v>80.900000000000006</v>
      </c>
      <c r="E591">
        <v>85.9</v>
      </c>
      <c r="F591">
        <v>82</v>
      </c>
      <c r="G591">
        <v>0</v>
      </c>
      <c r="H591">
        <v>0</v>
      </c>
      <c r="I591">
        <v>0</v>
      </c>
      <c r="J591">
        <v>0</v>
      </c>
      <c r="K591">
        <v>63.5</v>
      </c>
      <c r="L591">
        <v>61.9</v>
      </c>
      <c r="M591">
        <v>83.05</v>
      </c>
      <c r="N591">
        <v>12</v>
      </c>
      <c r="O591">
        <v>2</v>
      </c>
      <c r="P591">
        <f>MOD(DAY(datos_siembra[[#This Row],[Date]]),7)</f>
        <v>5</v>
      </c>
      <c r="Q591" t="str">
        <f>CHOOSE(WEEKDAY(datos_siembra[[#This Row],[Date]],2),"L","M","X","J","V","S","D")</f>
        <v>J</v>
      </c>
      <c r="R591">
        <f>WEEKNUM(datos_siembra[[#This Row],[Date]],2)-WEEKNUM(DATE(YEAR(datos_siembra[[#This Row],[Date]]),MONTH(datos_siembra[[#This Row],[Date]]),1))+1</f>
        <v>2</v>
      </c>
      <c r="S591">
        <f>MONTH(datos_siembra[[#This Row],[Date]])</f>
        <v>9</v>
      </c>
      <c r="T591" t="str" cm="1">
        <f t="array" ref="T591">_xlfn.IFS(AND(N591&lt;= 22, S591=9), "SOWING",AND(N591&lt;= 28, S591=9), "COVERAGE",AND(N591&lt;= 30, S591=9), "FLUSH",AND(N591&lt;= 11, S591=10), "FLUSH",AND(N591&lt;= 21, S591=10), "PRODUCTION")</f>
        <v>SOWING</v>
      </c>
      <c r="U591">
        <f>HOUR(datos_siembra[[#This Row],[Hour]])</f>
        <v>13</v>
      </c>
      <c r="V591" cm="1">
        <f t="array" ref="V591">_xlfn.IFS(AND(N591&lt;= 22, S591=9), N591-7,AND(N591&lt;= 28, S591=9), N591-25,AND(N591&lt;= 30, S591=9), N591-28,AND(N591&lt;= 11, S591=10), N591+2,AND(N591&lt;= 21, S591=10), N591-11)</f>
        <v>5</v>
      </c>
    </row>
    <row r="592" spans="1:22" x14ac:dyDescent="0.35">
      <c r="A592" s="4">
        <v>45547</v>
      </c>
      <c r="B592" s="5">
        <v>0.58959490740740739</v>
      </c>
      <c r="C592">
        <v>83.4</v>
      </c>
      <c r="D592">
        <v>80.900000000000006</v>
      </c>
      <c r="E592">
        <v>85.9</v>
      </c>
      <c r="F592">
        <v>82.1</v>
      </c>
      <c r="G592">
        <v>0</v>
      </c>
      <c r="H592">
        <v>0</v>
      </c>
      <c r="I592">
        <v>0</v>
      </c>
      <c r="J592">
        <v>0</v>
      </c>
      <c r="K592">
        <v>63.4</v>
      </c>
      <c r="L592">
        <v>61.8</v>
      </c>
      <c r="M592">
        <v>83.05</v>
      </c>
      <c r="N592">
        <v>12</v>
      </c>
      <c r="O592">
        <v>2</v>
      </c>
      <c r="P592">
        <f>MOD(DAY(datos_siembra[[#This Row],[Date]]),7)</f>
        <v>5</v>
      </c>
      <c r="Q592" t="str">
        <f>CHOOSE(WEEKDAY(datos_siembra[[#This Row],[Date]],2),"L","M","X","J","V","S","D")</f>
        <v>J</v>
      </c>
      <c r="R592">
        <f>WEEKNUM(datos_siembra[[#This Row],[Date]],2)-WEEKNUM(DATE(YEAR(datos_siembra[[#This Row],[Date]]),MONTH(datos_siembra[[#This Row],[Date]]),1))+1</f>
        <v>2</v>
      </c>
      <c r="S592">
        <f>MONTH(datos_siembra[[#This Row],[Date]])</f>
        <v>9</v>
      </c>
      <c r="T592" t="str" cm="1">
        <f t="array" ref="T592">_xlfn.IFS(AND(N592&lt;= 22, S592=9), "SOWING",AND(N592&lt;= 28, S592=9), "COVERAGE",AND(N592&lt;= 30, S592=9), "FLUSH",AND(N592&lt;= 11, S592=10), "FLUSH",AND(N592&lt;= 21, S592=10), "PRODUCTION")</f>
        <v>SOWING</v>
      </c>
      <c r="U592">
        <f>HOUR(datos_siembra[[#This Row],[Hour]])</f>
        <v>14</v>
      </c>
      <c r="V592" cm="1">
        <f t="array" ref="V592">_xlfn.IFS(AND(N592&lt;= 22, S592=9), N592-7,AND(N592&lt;= 28, S592=9), N592-25,AND(N592&lt;= 30, S592=9), N592-28,AND(N592&lt;= 11, S592=10), N592+2,AND(N592&lt;= 21, S592=10), N592-11)</f>
        <v>5</v>
      </c>
    </row>
    <row r="593" spans="1:22" x14ac:dyDescent="0.35">
      <c r="A593" s="4">
        <v>45547</v>
      </c>
      <c r="B593" s="5">
        <v>0.59653935185185181</v>
      </c>
      <c r="C593">
        <v>83.3</v>
      </c>
      <c r="D593">
        <v>80.900000000000006</v>
      </c>
      <c r="E593">
        <v>85.9</v>
      </c>
      <c r="F593">
        <v>82.1</v>
      </c>
      <c r="G593">
        <v>0</v>
      </c>
      <c r="H593">
        <v>0</v>
      </c>
      <c r="I593">
        <v>0</v>
      </c>
      <c r="J593">
        <v>0</v>
      </c>
      <c r="K593">
        <v>63.4</v>
      </c>
      <c r="L593">
        <v>61.8</v>
      </c>
      <c r="M593">
        <v>82.93</v>
      </c>
      <c r="N593">
        <v>12</v>
      </c>
      <c r="O593">
        <v>2</v>
      </c>
      <c r="P593">
        <f>MOD(DAY(datos_siembra[[#This Row],[Date]]),7)</f>
        <v>5</v>
      </c>
      <c r="Q593" t="str">
        <f>CHOOSE(WEEKDAY(datos_siembra[[#This Row],[Date]],2),"L","M","X","J","V","S","D")</f>
        <v>J</v>
      </c>
      <c r="R593">
        <f>WEEKNUM(datos_siembra[[#This Row],[Date]],2)-WEEKNUM(DATE(YEAR(datos_siembra[[#This Row],[Date]]),MONTH(datos_siembra[[#This Row],[Date]]),1))+1</f>
        <v>2</v>
      </c>
      <c r="S593">
        <f>MONTH(datos_siembra[[#This Row],[Date]])</f>
        <v>9</v>
      </c>
      <c r="T593" t="str" cm="1">
        <f t="array" ref="T593">_xlfn.IFS(AND(N593&lt;= 22, S593=9), "SOWING",AND(N593&lt;= 28, S593=9), "COVERAGE",AND(N593&lt;= 30, S593=9), "FLUSH",AND(N593&lt;= 11, S593=10), "FLUSH",AND(N593&lt;= 21, S593=10), "PRODUCTION")</f>
        <v>SOWING</v>
      </c>
      <c r="U593">
        <f>HOUR(datos_siembra[[#This Row],[Hour]])</f>
        <v>14</v>
      </c>
      <c r="V593" cm="1">
        <f t="array" ref="V593">_xlfn.IFS(AND(N593&lt;= 22, S593=9), N593-7,AND(N593&lt;= 28, S593=9), N593-25,AND(N593&lt;= 30, S593=9), N593-28,AND(N593&lt;= 11, S593=10), N593+2,AND(N593&lt;= 21, S593=10), N593-11)</f>
        <v>5</v>
      </c>
    </row>
    <row r="594" spans="1:22" x14ac:dyDescent="0.35">
      <c r="A594" s="4">
        <v>45547</v>
      </c>
      <c r="B594" s="5">
        <v>0.60349537037037038</v>
      </c>
      <c r="C594">
        <v>83.3</v>
      </c>
      <c r="D594">
        <v>81.099999999999994</v>
      </c>
      <c r="E594">
        <v>85.9</v>
      </c>
      <c r="F594">
        <v>82</v>
      </c>
      <c r="G594">
        <v>0</v>
      </c>
      <c r="H594">
        <v>0</v>
      </c>
      <c r="I594">
        <v>0</v>
      </c>
      <c r="J594">
        <v>0</v>
      </c>
      <c r="K594">
        <v>63.3</v>
      </c>
      <c r="L594">
        <v>61.7</v>
      </c>
      <c r="M594">
        <v>83.05</v>
      </c>
      <c r="N594">
        <v>12</v>
      </c>
      <c r="O594">
        <v>2</v>
      </c>
      <c r="P594">
        <f>MOD(DAY(datos_siembra[[#This Row],[Date]]),7)</f>
        <v>5</v>
      </c>
      <c r="Q594" t="str">
        <f>CHOOSE(WEEKDAY(datos_siembra[[#This Row],[Date]],2),"L","M","X","J","V","S","D")</f>
        <v>J</v>
      </c>
      <c r="R594">
        <f>WEEKNUM(datos_siembra[[#This Row],[Date]],2)-WEEKNUM(DATE(YEAR(datos_siembra[[#This Row],[Date]]),MONTH(datos_siembra[[#This Row],[Date]]),1))+1</f>
        <v>2</v>
      </c>
      <c r="S594">
        <f>MONTH(datos_siembra[[#This Row],[Date]])</f>
        <v>9</v>
      </c>
      <c r="T594" t="str" cm="1">
        <f t="array" ref="T594">_xlfn.IFS(AND(N594&lt;= 22, S594=9), "SOWING",AND(N594&lt;= 28, S594=9), "COVERAGE",AND(N594&lt;= 30, S594=9), "FLUSH",AND(N594&lt;= 11, S594=10), "FLUSH",AND(N594&lt;= 21, S594=10), "PRODUCTION")</f>
        <v>SOWING</v>
      </c>
      <c r="U594">
        <f>HOUR(datos_siembra[[#This Row],[Hour]])</f>
        <v>14</v>
      </c>
      <c r="V594" cm="1">
        <f t="array" ref="V594">_xlfn.IFS(AND(N594&lt;= 22, S594=9), N594-7,AND(N594&lt;= 28, S594=9), N594-25,AND(N594&lt;= 30, S594=9), N594-28,AND(N594&lt;= 11, S594=10), N594+2,AND(N594&lt;= 21, S594=10), N594-11)</f>
        <v>5</v>
      </c>
    </row>
    <row r="595" spans="1:22" x14ac:dyDescent="0.35">
      <c r="A595" s="4">
        <v>45547</v>
      </c>
      <c r="B595" s="5">
        <v>0.6104398148148148</v>
      </c>
      <c r="C595">
        <v>83.3</v>
      </c>
      <c r="D595">
        <v>80.900000000000006</v>
      </c>
      <c r="E595">
        <v>85.9</v>
      </c>
      <c r="F595">
        <v>82</v>
      </c>
      <c r="G595">
        <v>0</v>
      </c>
      <c r="H595">
        <v>0</v>
      </c>
      <c r="I595">
        <v>0</v>
      </c>
      <c r="J595">
        <v>0</v>
      </c>
      <c r="K595">
        <v>63.3</v>
      </c>
      <c r="L595">
        <v>61.7</v>
      </c>
      <c r="M595">
        <v>82.96</v>
      </c>
      <c r="N595">
        <v>12</v>
      </c>
      <c r="O595">
        <v>2</v>
      </c>
      <c r="P595">
        <f>MOD(DAY(datos_siembra[[#This Row],[Date]]),7)</f>
        <v>5</v>
      </c>
      <c r="Q595" t="str">
        <f>CHOOSE(WEEKDAY(datos_siembra[[#This Row],[Date]],2),"L","M","X","J","V","S","D")</f>
        <v>J</v>
      </c>
      <c r="R595">
        <f>WEEKNUM(datos_siembra[[#This Row],[Date]],2)-WEEKNUM(DATE(YEAR(datos_siembra[[#This Row],[Date]]),MONTH(datos_siembra[[#This Row],[Date]]),1))+1</f>
        <v>2</v>
      </c>
      <c r="S595">
        <f>MONTH(datos_siembra[[#This Row],[Date]])</f>
        <v>9</v>
      </c>
      <c r="T595" t="str" cm="1">
        <f t="array" ref="T595">_xlfn.IFS(AND(N595&lt;= 22, S595=9), "SOWING",AND(N595&lt;= 28, S595=9), "COVERAGE",AND(N595&lt;= 30, S595=9), "FLUSH",AND(N595&lt;= 11, S595=10), "FLUSH",AND(N595&lt;= 21, S595=10), "PRODUCTION")</f>
        <v>SOWING</v>
      </c>
      <c r="U595">
        <f>HOUR(datos_siembra[[#This Row],[Hour]])</f>
        <v>14</v>
      </c>
      <c r="V595" cm="1">
        <f t="array" ref="V595">_xlfn.IFS(AND(N595&lt;= 22, S595=9), N595-7,AND(N595&lt;= 28, S595=9), N595-25,AND(N595&lt;= 30, S595=9), N595-28,AND(N595&lt;= 11, S595=10), N595+2,AND(N595&lt;= 21, S595=10), N595-11)</f>
        <v>5</v>
      </c>
    </row>
    <row r="596" spans="1:22" x14ac:dyDescent="0.35">
      <c r="A596" s="4">
        <v>45547</v>
      </c>
      <c r="B596" s="5">
        <v>0.61738425925925922</v>
      </c>
      <c r="C596">
        <v>83.2</v>
      </c>
      <c r="D596">
        <v>81.099999999999994</v>
      </c>
      <c r="E596">
        <v>85.9</v>
      </c>
      <c r="F596">
        <v>81.8</v>
      </c>
      <c r="G596">
        <v>0</v>
      </c>
      <c r="H596">
        <v>0</v>
      </c>
      <c r="I596">
        <v>0</v>
      </c>
      <c r="J596">
        <v>0</v>
      </c>
      <c r="K596">
        <v>63.2</v>
      </c>
      <c r="L596">
        <v>61.7</v>
      </c>
      <c r="M596">
        <v>82.96</v>
      </c>
      <c r="N596">
        <v>12</v>
      </c>
      <c r="O596">
        <v>2</v>
      </c>
      <c r="P596">
        <f>MOD(DAY(datos_siembra[[#This Row],[Date]]),7)</f>
        <v>5</v>
      </c>
      <c r="Q596" t="str">
        <f>CHOOSE(WEEKDAY(datos_siembra[[#This Row],[Date]],2),"L","M","X","J","V","S","D")</f>
        <v>J</v>
      </c>
      <c r="R596">
        <f>WEEKNUM(datos_siembra[[#This Row],[Date]],2)-WEEKNUM(DATE(YEAR(datos_siembra[[#This Row],[Date]]),MONTH(datos_siembra[[#This Row],[Date]]),1))+1</f>
        <v>2</v>
      </c>
      <c r="S596">
        <f>MONTH(datos_siembra[[#This Row],[Date]])</f>
        <v>9</v>
      </c>
      <c r="T596" t="str" cm="1">
        <f t="array" ref="T596">_xlfn.IFS(AND(N596&lt;= 22, S596=9), "SOWING",AND(N596&lt;= 28, S596=9), "COVERAGE",AND(N596&lt;= 30, S596=9), "FLUSH",AND(N596&lt;= 11, S596=10), "FLUSH",AND(N596&lt;= 21, S596=10), "PRODUCTION")</f>
        <v>SOWING</v>
      </c>
      <c r="U596">
        <f>HOUR(datos_siembra[[#This Row],[Hour]])</f>
        <v>14</v>
      </c>
      <c r="V596" cm="1">
        <f t="array" ref="V596">_xlfn.IFS(AND(N596&lt;= 22, S596=9), N596-7,AND(N596&lt;= 28, S596=9), N596-25,AND(N596&lt;= 30, S596=9), N596-28,AND(N596&lt;= 11, S596=10), N596+2,AND(N596&lt;= 21, S596=10), N596-11)</f>
        <v>5</v>
      </c>
    </row>
    <row r="597" spans="1:22" x14ac:dyDescent="0.35">
      <c r="A597" s="4">
        <v>45547</v>
      </c>
      <c r="B597" s="5">
        <v>0.62432870370370375</v>
      </c>
      <c r="C597">
        <v>83.3</v>
      </c>
      <c r="D597">
        <v>80.900000000000006</v>
      </c>
      <c r="E597">
        <v>85.9</v>
      </c>
      <c r="F597">
        <v>81.8</v>
      </c>
      <c r="G597">
        <v>0</v>
      </c>
      <c r="H597">
        <v>0</v>
      </c>
      <c r="I597">
        <v>0</v>
      </c>
      <c r="J597">
        <v>0</v>
      </c>
      <c r="K597">
        <v>63.2</v>
      </c>
      <c r="L597">
        <v>61.6</v>
      </c>
      <c r="M597">
        <v>82.96</v>
      </c>
      <c r="N597">
        <v>12</v>
      </c>
      <c r="O597">
        <v>2</v>
      </c>
      <c r="P597">
        <f>MOD(DAY(datos_siembra[[#This Row],[Date]]),7)</f>
        <v>5</v>
      </c>
      <c r="Q597" t="str">
        <f>CHOOSE(WEEKDAY(datos_siembra[[#This Row],[Date]],2),"L","M","X","J","V","S","D")</f>
        <v>J</v>
      </c>
      <c r="R597">
        <f>WEEKNUM(datos_siembra[[#This Row],[Date]],2)-WEEKNUM(DATE(YEAR(datos_siembra[[#This Row],[Date]]),MONTH(datos_siembra[[#This Row],[Date]]),1))+1</f>
        <v>2</v>
      </c>
      <c r="S597">
        <f>MONTH(datos_siembra[[#This Row],[Date]])</f>
        <v>9</v>
      </c>
      <c r="T597" t="str" cm="1">
        <f t="array" ref="T597">_xlfn.IFS(AND(N597&lt;= 22, S597=9), "SOWING",AND(N597&lt;= 28, S597=9), "COVERAGE",AND(N597&lt;= 30, S597=9), "FLUSH",AND(N597&lt;= 11, S597=10), "FLUSH",AND(N597&lt;= 21, S597=10), "PRODUCTION")</f>
        <v>SOWING</v>
      </c>
      <c r="U597">
        <f>HOUR(datos_siembra[[#This Row],[Hour]])</f>
        <v>14</v>
      </c>
      <c r="V597" cm="1">
        <f t="array" ref="V597">_xlfn.IFS(AND(N597&lt;= 22, S597=9), N597-7,AND(N597&lt;= 28, S597=9), N597-25,AND(N597&lt;= 30, S597=9), N597-28,AND(N597&lt;= 11, S597=10), N597+2,AND(N597&lt;= 21, S597=10), N597-11)</f>
        <v>5</v>
      </c>
    </row>
    <row r="598" spans="1:22" x14ac:dyDescent="0.35">
      <c r="A598" s="4">
        <v>45547</v>
      </c>
      <c r="B598" s="5">
        <v>0.63128472222222221</v>
      </c>
      <c r="C598">
        <v>83.3</v>
      </c>
      <c r="D598">
        <v>80.900000000000006</v>
      </c>
      <c r="E598">
        <v>85.8</v>
      </c>
      <c r="F598">
        <v>81.8</v>
      </c>
      <c r="G598">
        <v>0</v>
      </c>
      <c r="H598">
        <v>0</v>
      </c>
      <c r="I598">
        <v>0</v>
      </c>
      <c r="J598">
        <v>0</v>
      </c>
      <c r="K598">
        <v>63.2</v>
      </c>
      <c r="L598">
        <v>61.6</v>
      </c>
      <c r="M598">
        <v>82.93</v>
      </c>
      <c r="N598">
        <v>12</v>
      </c>
      <c r="O598">
        <v>2</v>
      </c>
      <c r="P598">
        <f>MOD(DAY(datos_siembra[[#This Row],[Date]]),7)</f>
        <v>5</v>
      </c>
      <c r="Q598" t="str">
        <f>CHOOSE(WEEKDAY(datos_siembra[[#This Row],[Date]],2),"L","M","X","J","V","S","D")</f>
        <v>J</v>
      </c>
      <c r="R598">
        <f>WEEKNUM(datos_siembra[[#This Row],[Date]],2)-WEEKNUM(DATE(YEAR(datos_siembra[[#This Row],[Date]]),MONTH(datos_siembra[[#This Row],[Date]]),1))+1</f>
        <v>2</v>
      </c>
      <c r="S598">
        <f>MONTH(datos_siembra[[#This Row],[Date]])</f>
        <v>9</v>
      </c>
      <c r="T598" t="str" cm="1">
        <f t="array" ref="T598">_xlfn.IFS(AND(N598&lt;= 22, S598=9), "SOWING",AND(N598&lt;= 28, S598=9), "COVERAGE",AND(N598&lt;= 30, S598=9), "FLUSH",AND(N598&lt;= 11, S598=10), "FLUSH",AND(N598&lt;= 21, S598=10), "PRODUCTION")</f>
        <v>SOWING</v>
      </c>
      <c r="U598">
        <f>HOUR(datos_siembra[[#This Row],[Hour]])</f>
        <v>15</v>
      </c>
      <c r="V598" cm="1">
        <f t="array" ref="V598">_xlfn.IFS(AND(N598&lt;= 22, S598=9), N598-7,AND(N598&lt;= 28, S598=9), N598-25,AND(N598&lt;= 30, S598=9), N598-28,AND(N598&lt;= 11, S598=10), N598+2,AND(N598&lt;= 21, S598=10), N598-11)</f>
        <v>5</v>
      </c>
    </row>
    <row r="599" spans="1:22" x14ac:dyDescent="0.35">
      <c r="A599" s="4">
        <v>45547</v>
      </c>
      <c r="B599" s="5">
        <v>0.63822916666666663</v>
      </c>
      <c r="C599">
        <v>83.2</v>
      </c>
      <c r="D599">
        <v>81.099999999999994</v>
      </c>
      <c r="E599">
        <v>85.8</v>
      </c>
      <c r="F599">
        <v>81.8</v>
      </c>
      <c r="G599">
        <v>0</v>
      </c>
      <c r="H599">
        <v>0</v>
      </c>
      <c r="I599">
        <v>0</v>
      </c>
      <c r="J599">
        <v>0</v>
      </c>
      <c r="K599">
        <v>63.2</v>
      </c>
      <c r="L599">
        <v>61.5</v>
      </c>
      <c r="M599">
        <v>82.91</v>
      </c>
      <c r="N599">
        <v>12</v>
      </c>
      <c r="O599">
        <v>2</v>
      </c>
      <c r="P599">
        <f>MOD(DAY(datos_siembra[[#This Row],[Date]]),7)</f>
        <v>5</v>
      </c>
      <c r="Q599" t="str">
        <f>CHOOSE(WEEKDAY(datos_siembra[[#This Row],[Date]],2),"L","M","X","J","V","S","D")</f>
        <v>J</v>
      </c>
      <c r="R599">
        <f>WEEKNUM(datos_siembra[[#This Row],[Date]],2)-WEEKNUM(DATE(YEAR(datos_siembra[[#This Row],[Date]]),MONTH(datos_siembra[[#This Row],[Date]]),1))+1</f>
        <v>2</v>
      </c>
      <c r="S599">
        <f>MONTH(datos_siembra[[#This Row],[Date]])</f>
        <v>9</v>
      </c>
      <c r="T599" t="str" cm="1">
        <f t="array" ref="T599">_xlfn.IFS(AND(N599&lt;= 22, S599=9), "SOWING",AND(N599&lt;= 28, S599=9), "COVERAGE",AND(N599&lt;= 30, S599=9), "FLUSH",AND(N599&lt;= 11, S599=10), "FLUSH",AND(N599&lt;= 21, S599=10), "PRODUCTION")</f>
        <v>SOWING</v>
      </c>
      <c r="U599">
        <f>HOUR(datos_siembra[[#This Row],[Hour]])</f>
        <v>15</v>
      </c>
      <c r="V599" cm="1">
        <f t="array" ref="V599">_xlfn.IFS(AND(N599&lt;= 22, S599=9), N599-7,AND(N599&lt;= 28, S599=9), N599-25,AND(N599&lt;= 30, S599=9), N599-28,AND(N599&lt;= 11, S599=10), N599+2,AND(N599&lt;= 21, S599=10), N599-11)</f>
        <v>5</v>
      </c>
    </row>
    <row r="600" spans="1:22" x14ac:dyDescent="0.35">
      <c r="A600" s="4">
        <v>45547</v>
      </c>
      <c r="B600" s="5">
        <v>0.64517361111111116</v>
      </c>
      <c r="C600">
        <v>83.3</v>
      </c>
      <c r="D600">
        <v>80.900000000000006</v>
      </c>
      <c r="E600">
        <v>85.8</v>
      </c>
      <c r="F600">
        <v>81.8</v>
      </c>
      <c r="G600">
        <v>0</v>
      </c>
      <c r="H600">
        <v>0</v>
      </c>
      <c r="I600">
        <v>0</v>
      </c>
      <c r="J600">
        <v>0</v>
      </c>
      <c r="K600">
        <v>63.2</v>
      </c>
      <c r="L600">
        <v>61.5</v>
      </c>
      <c r="M600">
        <v>82.99</v>
      </c>
      <c r="N600">
        <v>12</v>
      </c>
      <c r="O600">
        <v>2</v>
      </c>
      <c r="P600">
        <f>MOD(DAY(datos_siembra[[#This Row],[Date]]),7)</f>
        <v>5</v>
      </c>
      <c r="Q600" t="str">
        <f>CHOOSE(WEEKDAY(datos_siembra[[#This Row],[Date]],2),"L","M","X","J","V","S","D")</f>
        <v>J</v>
      </c>
      <c r="R600">
        <f>WEEKNUM(datos_siembra[[#This Row],[Date]],2)-WEEKNUM(DATE(YEAR(datos_siembra[[#This Row],[Date]]),MONTH(datos_siembra[[#This Row],[Date]]),1))+1</f>
        <v>2</v>
      </c>
      <c r="S600">
        <f>MONTH(datos_siembra[[#This Row],[Date]])</f>
        <v>9</v>
      </c>
      <c r="T600" t="str" cm="1">
        <f t="array" ref="T600">_xlfn.IFS(AND(N600&lt;= 22, S600=9), "SOWING",AND(N600&lt;= 28, S600=9), "COVERAGE",AND(N600&lt;= 30, S600=9), "FLUSH",AND(N600&lt;= 11, S600=10), "FLUSH",AND(N600&lt;= 21, S600=10), "PRODUCTION")</f>
        <v>SOWING</v>
      </c>
      <c r="U600">
        <f>HOUR(datos_siembra[[#This Row],[Hour]])</f>
        <v>15</v>
      </c>
      <c r="V600" cm="1">
        <f t="array" ref="V600">_xlfn.IFS(AND(N600&lt;= 22, S600=9), N600-7,AND(N600&lt;= 28, S600=9), N600-25,AND(N600&lt;= 30, S600=9), N600-28,AND(N600&lt;= 11, S600=10), N600+2,AND(N600&lt;= 21, S600=10), N600-11)</f>
        <v>5</v>
      </c>
    </row>
    <row r="601" spans="1:22" x14ac:dyDescent="0.35">
      <c r="A601" s="4">
        <v>45547</v>
      </c>
      <c r="B601" s="5">
        <v>0.65211805555555558</v>
      </c>
      <c r="C601">
        <v>83.2</v>
      </c>
      <c r="D601">
        <v>80.8</v>
      </c>
      <c r="E601">
        <v>85.9</v>
      </c>
      <c r="F601">
        <v>82</v>
      </c>
      <c r="G601">
        <v>0</v>
      </c>
      <c r="H601">
        <v>0</v>
      </c>
      <c r="I601">
        <v>0</v>
      </c>
      <c r="J601">
        <v>0</v>
      </c>
      <c r="K601">
        <v>63.2</v>
      </c>
      <c r="L601">
        <v>61.5</v>
      </c>
      <c r="M601">
        <v>82.91</v>
      </c>
      <c r="N601">
        <v>12</v>
      </c>
      <c r="O601">
        <v>2</v>
      </c>
      <c r="P601">
        <f>MOD(DAY(datos_siembra[[#This Row],[Date]]),7)</f>
        <v>5</v>
      </c>
      <c r="Q601" t="str">
        <f>CHOOSE(WEEKDAY(datos_siembra[[#This Row],[Date]],2),"L","M","X","J","V","S","D")</f>
        <v>J</v>
      </c>
      <c r="R601">
        <f>WEEKNUM(datos_siembra[[#This Row],[Date]],2)-WEEKNUM(DATE(YEAR(datos_siembra[[#This Row],[Date]]),MONTH(datos_siembra[[#This Row],[Date]]),1))+1</f>
        <v>2</v>
      </c>
      <c r="S601">
        <f>MONTH(datos_siembra[[#This Row],[Date]])</f>
        <v>9</v>
      </c>
      <c r="T601" t="str" cm="1">
        <f t="array" ref="T601">_xlfn.IFS(AND(N601&lt;= 22, S601=9), "SOWING",AND(N601&lt;= 28, S601=9), "COVERAGE",AND(N601&lt;= 30, S601=9), "FLUSH",AND(N601&lt;= 11, S601=10), "FLUSH",AND(N601&lt;= 21, S601=10), "PRODUCTION")</f>
        <v>SOWING</v>
      </c>
      <c r="U601">
        <f>HOUR(datos_siembra[[#This Row],[Hour]])</f>
        <v>15</v>
      </c>
      <c r="V601" cm="1">
        <f t="array" ref="V601">_xlfn.IFS(AND(N601&lt;= 22, S601=9), N601-7,AND(N601&lt;= 28, S601=9), N601-25,AND(N601&lt;= 30, S601=9), N601-28,AND(N601&lt;= 11, S601=10), N601+2,AND(N601&lt;= 21, S601=10), N601-11)</f>
        <v>5</v>
      </c>
    </row>
    <row r="602" spans="1:22" x14ac:dyDescent="0.35">
      <c r="A602" s="4">
        <v>45547</v>
      </c>
      <c r="B602" s="5">
        <v>0.65907407407407403</v>
      </c>
      <c r="C602">
        <v>83.2</v>
      </c>
      <c r="D602">
        <v>81.099999999999994</v>
      </c>
      <c r="E602">
        <v>85.8</v>
      </c>
      <c r="F602">
        <v>81.8</v>
      </c>
      <c r="G602">
        <v>0</v>
      </c>
      <c r="H602">
        <v>0</v>
      </c>
      <c r="I602">
        <v>0</v>
      </c>
      <c r="J602">
        <v>0</v>
      </c>
      <c r="K602">
        <v>63</v>
      </c>
      <c r="L602">
        <v>61.4</v>
      </c>
      <c r="M602">
        <v>82.88</v>
      </c>
      <c r="N602">
        <v>12</v>
      </c>
      <c r="O602">
        <v>2</v>
      </c>
      <c r="P602">
        <f>MOD(DAY(datos_siembra[[#This Row],[Date]]),7)</f>
        <v>5</v>
      </c>
      <c r="Q602" t="str">
        <f>CHOOSE(WEEKDAY(datos_siembra[[#This Row],[Date]],2),"L","M","X","J","V","S","D")</f>
        <v>J</v>
      </c>
      <c r="R602">
        <f>WEEKNUM(datos_siembra[[#This Row],[Date]],2)-WEEKNUM(DATE(YEAR(datos_siembra[[#This Row],[Date]]),MONTH(datos_siembra[[#This Row],[Date]]),1))+1</f>
        <v>2</v>
      </c>
      <c r="S602">
        <f>MONTH(datos_siembra[[#This Row],[Date]])</f>
        <v>9</v>
      </c>
      <c r="T602" t="str" cm="1">
        <f t="array" ref="T602">_xlfn.IFS(AND(N602&lt;= 22, S602=9), "SOWING",AND(N602&lt;= 28, S602=9), "COVERAGE",AND(N602&lt;= 30, S602=9), "FLUSH",AND(N602&lt;= 11, S602=10), "FLUSH",AND(N602&lt;= 21, S602=10), "PRODUCTION")</f>
        <v>SOWING</v>
      </c>
      <c r="U602">
        <f>HOUR(datos_siembra[[#This Row],[Hour]])</f>
        <v>15</v>
      </c>
      <c r="V602" cm="1">
        <f t="array" ref="V602">_xlfn.IFS(AND(N602&lt;= 22, S602=9), N602-7,AND(N602&lt;= 28, S602=9), N602-25,AND(N602&lt;= 30, S602=9), N602-28,AND(N602&lt;= 11, S602=10), N602+2,AND(N602&lt;= 21, S602=10), N602-11)</f>
        <v>5</v>
      </c>
    </row>
    <row r="603" spans="1:22" x14ac:dyDescent="0.35">
      <c r="A603" s="4">
        <v>45547</v>
      </c>
      <c r="B603" s="5">
        <v>0.66601851851851857</v>
      </c>
      <c r="C603">
        <v>83.2</v>
      </c>
      <c r="D603">
        <v>80.8</v>
      </c>
      <c r="E603">
        <v>85.7</v>
      </c>
      <c r="F603">
        <v>82</v>
      </c>
      <c r="G603">
        <v>0</v>
      </c>
      <c r="H603">
        <v>0</v>
      </c>
      <c r="I603">
        <v>0</v>
      </c>
      <c r="J603">
        <v>0</v>
      </c>
      <c r="K603">
        <v>62.9</v>
      </c>
      <c r="L603">
        <v>61.2</v>
      </c>
      <c r="M603">
        <v>82.93</v>
      </c>
      <c r="N603">
        <v>12</v>
      </c>
      <c r="O603">
        <v>2</v>
      </c>
      <c r="P603">
        <f>MOD(DAY(datos_siembra[[#This Row],[Date]]),7)</f>
        <v>5</v>
      </c>
      <c r="Q603" t="str">
        <f>CHOOSE(WEEKDAY(datos_siembra[[#This Row],[Date]],2),"L","M","X","J","V","S","D")</f>
        <v>J</v>
      </c>
      <c r="R603">
        <f>WEEKNUM(datos_siembra[[#This Row],[Date]],2)-WEEKNUM(DATE(YEAR(datos_siembra[[#This Row],[Date]]),MONTH(datos_siembra[[#This Row],[Date]]),1))+1</f>
        <v>2</v>
      </c>
      <c r="S603">
        <f>MONTH(datos_siembra[[#This Row],[Date]])</f>
        <v>9</v>
      </c>
      <c r="T603" t="str" cm="1">
        <f t="array" ref="T603">_xlfn.IFS(AND(N603&lt;= 22, S603=9), "SOWING",AND(N603&lt;= 28, S603=9), "COVERAGE",AND(N603&lt;= 30, S603=9), "FLUSH",AND(N603&lt;= 11, S603=10), "FLUSH",AND(N603&lt;= 21, S603=10), "PRODUCTION")</f>
        <v>SOWING</v>
      </c>
      <c r="U603">
        <f>HOUR(datos_siembra[[#This Row],[Hour]])</f>
        <v>15</v>
      </c>
      <c r="V603" cm="1">
        <f t="array" ref="V603">_xlfn.IFS(AND(N603&lt;= 22, S603=9), N603-7,AND(N603&lt;= 28, S603=9), N603-25,AND(N603&lt;= 30, S603=9), N603-28,AND(N603&lt;= 11, S603=10), N603+2,AND(N603&lt;= 21, S603=10), N603-11)</f>
        <v>5</v>
      </c>
    </row>
    <row r="604" spans="1:22" x14ac:dyDescent="0.35">
      <c r="A604" s="4">
        <v>45547</v>
      </c>
      <c r="B604" s="5">
        <v>0.67296296296296299</v>
      </c>
      <c r="C604">
        <v>83.1</v>
      </c>
      <c r="D604">
        <v>80.8</v>
      </c>
      <c r="E604">
        <v>85.8</v>
      </c>
      <c r="F604">
        <v>82</v>
      </c>
      <c r="G604">
        <v>0</v>
      </c>
      <c r="H604">
        <v>0</v>
      </c>
      <c r="I604">
        <v>0</v>
      </c>
      <c r="J604">
        <v>0</v>
      </c>
      <c r="K604">
        <v>63</v>
      </c>
      <c r="L604">
        <v>61.2</v>
      </c>
      <c r="M604">
        <v>82.93</v>
      </c>
      <c r="N604">
        <v>12</v>
      </c>
      <c r="O604">
        <v>2</v>
      </c>
      <c r="P604">
        <f>MOD(DAY(datos_siembra[[#This Row],[Date]]),7)</f>
        <v>5</v>
      </c>
      <c r="Q604" t="str">
        <f>CHOOSE(WEEKDAY(datos_siembra[[#This Row],[Date]],2),"L","M","X","J","V","S","D")</f>
        <v>J</v>
      </c>
      <c r="R604">
        <f>WEEKNUM(datos_siembra[[#This Row],[Date]],2)-WEEKNUM(DATE(YEAR(datos_siembra[[#This Row],[Date]]),MONTH(datos_siembra[[#This Row],[Date]]),1))+1</f>
        <v>2</v>
      </c>
      <c r="S604">
        <f>MONTH(datos_siembra[[#This Row],[Date]])</f>
        <v>9</v>
      </c>
      <c r="T604" t="str" cm="1">
        <f t="array" ref="T604">_xlfn.IFS(AND(N604&lt;= 22, S604=9), "SOWING",AND(N604&lt;= 28, S604=9), "COVERAGE",AND(N604&lt;= 30, S604=9), "FLUSH",AND(N604&lt;= 11, S604=10), "FLUSH",AND(N604&lt;= 21, S604=10), "PRODUCTION")</f>
        <v>SOWING</v>
      </c>
      <c r="U604">
        <f>HOUR(datos_siembra[[#This Row],[Hour]])</f>
        <v>16</v>
      </c>
      <c r="V604" cm="1">
        <f t="array" ref="V604">_xlfn.IFS(AND(N604&lt;= 22, S604=9), N604-7,AND(N604&lt;= 28, S604=9), N604-25,AND(N604&lt;= 30, S604=9), N604-28,AND(N604&lt;= 11, S604=10), N604+2,AND(N604&lt;= 21, S604=10), N604-11)</f>
        <v>5</v>
      </c>
    </row>
    <row r="605" spans="1:22" x14ac:dyDescent="0.35">
      <c r="A605" s="4">
        <v>45547</v>
      </c>
      <c r="B605" s="5">
        <v>0.67991898148148144</v>
      </c>
      <c r="C605">
        <v>83.2</v>
      </c>
      <c r="D605">
        <v>80.7</v>
      </c>
      <c r="E605">
        <v>85.9</v>
      </c>
      <c r="F605">
        <v>81.7</v>
      </c>
      <c r="G605">
        <v>0</v>
      </c>
      <c r="H605">
        <v>0</v>
      </c>
      <c r="I605">
        <v>0</v>
      </c>
      <c r="J605">
        <v>0</v>
      </c>
      <c r="K605">
        <v>62.9</v>
      </c>
      <c r="L605">
        <v>61</v>
      </c>
      <c r="M605">
        <v>82.88</v>
      </c>
      <c r="N605">
        <v>12</v>
      </c>
      <c r="O605">
        <v>2</v>
      </c>
      <c r="P605">
        <f>MOD(DAY(datos_siembra[[#This Row],[Date]]),7)</f>
        <v>5</v>
      </c>
      <c r="Q605" t="str">
        <f>CHOOSE(WEEKDAY(datos_siembra[[#This Row],[Date]],2),"L","M","X","J","V","S","D")</f>
        <v>J</v>
      </c>
      <c r="R605">
        <f>WEEKNUM(datos_siembra[[#This Row],[Date]],2)-WEEKNUM(DATE(YEAR(datos_siembra[[#This Row],[Date]]),MONTH(datos_siembra[[#This Row],[Date]]),1))+1</f>
        <v>2</v>
      </c>
      <c r="S605">
        <f>MONTH(datos_siembra[[#This Row],[Date]])</f>
        <v>9</v>
      </c>
      <c r="T605" t="str" cm="1">
        <f t="array" ref="T605">_xlfn.IFS(AND(N605&lt;= 22, S605=9), "SOWING",AND(N605&lt;= 28, S605=9), "COVERAGE",AND(N605&lt;= 30, S605=9), "FLUSH",AND(N605&lt;= 11, S605=10), "FLUSH",AND(N605&lt;= 21, S605=10), "PRODUCTION")</f>
        <v>SOWING</v>
      </c>
      <c r="U605">
        <f>HOUR(datos_siembra[[#This Row],[Hour]])</f>
        <v>16</v>
      </c>
      <c r="V605" cm="1">
        <f t="array" ref="V605">_xlfn.IFS(AND(N605&lt;= 22, S605=9), N605-7,AND(N605&lt;= 28, S605=9), N605-25,AND(N605&lt;= 30, S605=9), N605-28,AND(N605&lt;= 11, S605=10), N605+2,AND(N605&lt;= 21, S605=10), N605-11)</f>
        <v>5</v>
      </c>
    </row>
    <row r="606" spans="1:22" x14ac:dyDescent="0.35">
      <c r="A606" s="4">
        <v>45547</v>
      </c>
      <c r="B606" s="5">
        <v>0.68686342592592597</v>
      </c>
      <c r="C606">
        <v>83.1</v>
      </c>
      <c r="D606">
        <v>80.599999999999994</v>
      </c>
      <c r="E606">
        <v>85.8</v>
      </c>
      <c r="F606">
        <v>81.8</v>
      </c>
      <c r="G606">
        <v>0</v>
      </c>
      <c r="H606">
        <v>0</v>
      </c>
      <c r="I606">
        <v>0</v>
      </c>
      <c r="J606">
        <v>0</v>
      </c>
      <c r="K606">
        <v>62.8</v>
      </c>
      <c r="L606">
        <v>60.9</v>
      </c>
      <c r="M606">
        <v>82.91</v>
      </c>
      <c r="N606">
        <v>12</v>
      </c>
      <c r="O606">
        <v>2</v>
      </c>
      <c r="P606">
        <f>MOD(DAY(datos_siembra[[#This Row],[Date]]),7)</f>
        <v>5</v>
      </c>
      <c r="Q606" t="str">
        <f>CHOOSE(WEEKDAY(datos_siembra[[#This Row],[Date]],2),"L","M","X","J","V","S","D")</f>
        <v>J</v>
      </c>
      <c r="R606">
        <f>WEEKNUM(datos_siembra[[#This Row],[Date]],2)-WEEKNUM(DATE(YEAR(datos_siembra[[#This Row],[Date]]),MONTH(datos_siembra[[#This Row],[Date]]),1))+1</f>
        <v>2</v>
      </c>
      <c r="S606">
        <f>MONTH(datos_siembra[[#This Row],[Date]])</f>
        <v>9</v>
      </c>
      <c r="T606" t="str" cm="1">
        <f t="array" ref="T606">_xlfn.IFS(AND(N606&lt;= 22, S606=9), "SOWING",AND(N606&lt;= 28, S606=9), "COVERAGE",AND(N606&lt;= 30, S606=9), "FLUSH",AND(N606&lt;= 11, S606=10), "FLUSH",AND(N606&lt;= 21, S606=10), "PRODUCTION")</f>
        <v>SOWING</v>
      </c>
      <c r="U606">
        <f>HOUR(datos_siembra[[#This Row],[Hour]])</f>
        <v>16</v>
      </c>
      <c r="V606" cm="1">
        <f t="array" ref="V606">_xlfn.IFS(AND(N606&lt;= 22, S606=9), N606-7,AND(N606&lt;= 28, S606=9), N606-25,AND(N606&lt;= 30, S606=9), N606-28,AND(N606&lt;= 11, S606=10), N606+2,AND(N606&lt;= 21, S606=10), N606-11)</f>
        <v>5</v>
      </c>
    </row>
    <row r="607" spans="1:22" x14ac:dyDescent="0.35">
      <c r="A607" s="4">
        <v>45547</v>
      </c>
      <c r="B607" s="5">
        <v>0.69380787037037039</v>
      </c>
      <c r="C607">
        <v>83.1</v>
      </c>
      <c r="D607">
        <v>80.8</v>
      </c>
      <c r="E607">
        <v>85.7</v>
      </c>
      <c r="F607">
        <v>82</v>
      </c>
      <c r="G607">
        <v>0</v>
      </c>
      <c r="H607">
        <v>0</v>
      </c>
      <c r="I607">
        <v>0</v>
      </c>
      <c r="J607">
        <v>0</v>
      </c>
      <c r="K607">
        <v>62.7</v>
      </c>
      <c r="L607">
        <v>60.8</v>
      </c>
      <c r="M607">
        <v>82.88</v>
      </c>
      <c r="N607">
        <v>12</v>
      </c>
      <c r="O607">
        <v>2</v>
      </c>
      <c r="P607">
        <f>MOD(DAY(datos_siembra[[#This Row],[Date]]),7)</f>
        <v>5</v>
      </c>
      <c r="Q607" t="str">
        <f>CHOOSE(WEEKDAY(datos_siembra[[#This Row],[Date]],2),"L","M","X","J","V","S","D")</f>
        <v>J</v>
      </c>
      <c r="R607">
        <f>WEEKNUM(datos_siembra[[#This Row],[Date]],2)-WEEKNUM(DATE(YEAR(datos_siembra[[#This Row],[Date]]),MONTH(datos_siembra[[#This Row],[Date]]),1))+1</f>
        <v>2</v>
      </c>
      <c r="S607">
        <f>MONTH(datos_siembra[[#This Row],[Date]])</f>
        <v>9</v>
      </c>
      <c r="T607" t="str" cm="1">
        <f t="array" ref="T607">_xlfn.IFS(AND(N607&lt;= 22, S607=9), "SOWING",AND(N607&lt;= 28, S607=9), "COVERAGE",AND(N607&lt;= 30, S607=9), "FLUSH",AND(N607&lt;= 11, S607=10), "FLUSH",AND(N607&lt;= 21, S607=10), "PRODUCTION")</f>
        <v>SOWING</v>
      </c>
      <c r="U607">
        <f>HOUR(datos_siembra[[#This Row],[Hour]])</f>
        <v>16</v>
      </c>
      <c r="V607" cm="1">
        <f t="array" ref="V607">_xlfn.IFS(AND(N607&lt;= 22, S607=9), N607-7,AND(N607&lt;= 28, S607=9), N607-25,AND(N607&lt;= 30, S607=9), N607-28,AND(N607&lt;= 11, S607=10), N607+2,AND(N607&lt;= 21, S607=10), N607-11)</f>
        <v>5</v>
      </c>
    </row>
    <row r="608" spans="1:22" x14ac:dyDescent="0.35">
      <c r="A608" s="4">
        <v>45547</v>
      </c>
      <c r="B608" s="5">
        <v>0.70075231481481481</v>
      </c>
      <c r="C608">
        <v>83.2</v>
      </c>
      <c r="D608">
        <v>80.8</v>
      </c>
      <c r="E608">
        <v>85.9</v>
      </c>
      <c r="F608">
        <v>81.8</v>
      </c>
      <c r="G608">
        <v>0</v>
      </c>
      <c r="H608">
        <v>0</v>
      </c>
      <c r="I608">
        <v>0</v>
      </c>
      <c r="J608">
        <v>0</v>
      </c>
      <c r="K608">
        <v>62.6</v>
      </c>
      <c r="L608">
        <v>60.7</v>
      </c>
      <c r="M608">
        <v>82.93</v>
      </c>
      <c r="N608">
        <v>12</v>
      </c>
      <c r="O608">
        <v>2</v>
      </c>
      <c r="P608">
        <f>MOD(DAY(datos_siembra[[#This Row],[Date]]),7)</f>
        <v>5</v>
      </c>
      <c r="Q608" t="str">
        <f>CHOOSE(WEEKDAY(datos_siembra[[#This Row],[Date]],2),"L","M","X","J","V","S","D")</f>
        <v>J</v>
      </c>
      <c r="R608">
        <f>WEEKNUM(datos_siembra[[#This Row],[Date]],2)-WEEKNUM(DATE(YEAR(datos_siembra[[#This Row],[Date]]),MONTH(datos_siembra[[#This Row],[Date]]),1))+1</f>
        <v>2</v>
      </c>
      <c r="S608">
        <f>MONTH(datos_siembra[[#This Row],[Date]])</f>
        <v>9</v>
      </c>
      <c r="T608" t="str" cm="1">
        <f t="array" ref="T608">_xlfn.IFS(AND(N608&lt;= 22, S608=9), "SOWING",AND(N608&lt;= 28, S608=9), "COVERAGE",AND(N608&lt;= 30, S608=9), "FLUSH",AND(N608&lt;= 11, S608=10), "FLUSH",AND(N608&lt;= 21, S608=10), "PRODUCTION")</f>
        <v>SOWING</v>
      </c>
      <c r="U608">
        <f>HOUR(datos_siembra[[#This Row],[Hour]])</f>
        <v>16</v>
      </c>
      <c r="V608" cm="1">
        <f t="array" ref="V608">_xlfn.IFS(AND(N608&lt;= 22, S608=9), N608-7,AND(N608&lt;= 28, S608=9), N608-25,AND(N608&lt;= 30, S608=9), N608-28,AND(N608&lt;= 11, S608=10), N608+2,AND(N608&lt;= 21, S608=10), N608-11)</f>
        <v>5</v>
      </c>
    </row>
    <row r="609" spans="1:22" x14ac:dyDescent="0.35">
      <c r="A609" s="4">
        <v>45547</v>
      </c>
      <c r="B609" s="5">
        <v>0.70770833333333338</v>
      </c>
      <c r="C609">
        <v>83.1</v>
      </c>
      <c r="D609">
        <v>81.099999999999994</v>
      </c>
      <c r="E609">
        <v>86.1</v>
      </c>
      <c r="F609">
        <v>81.8</v>
      </c>
      <c r="G609">
        <v>0</v>
      </c>
      <c r="H609">
        <v>0</v>
      </c>
      <c r="I609">
        <v>0</v>
      </c>
      <c r="J609">
        <v>0</v>
      </c>
      <c r="K609">
        <v>62.5</v>
      </c>
      <c r="L609">
        <v>60.6</v>
      </c>
      <c r="M609">
        <v>82.99</v>
      </c>
      <c r="N609">
        <v>12</v>
      </c>
      <c r="O609">
        <v>2</v>
      </c>
      <c r="P609">
        <f>MOD(DAY(datos_siembra[[#This Row],[Date]]),7)</f>
        <v>5</v>
      </c>
      <c r="Q609" t="str">
        <f>CHOOSE(WEEKDAY(datos_siembra[[#This Row],[Date]],2),"L","M","X","J","V","S","D")</f>
        <v>J</v>
      </c>
      <c r="R609">
        <f>WEEKNUM(datos_siembra[[#This Row],[Date]],2)-WEEKNUM(DATE(YEAR(datos_siembra[[#This Row],[Date]]),MONTH(datos_siembra[[#This Row],[Date]]),1))+1</f>
        <v>2</v>
      </c>
      <c r="S609">
        <f>MONTH(datos_siembra[[#This Row],[Date]])</f>
        <v>9</v>
      </c>
      <c r="T609" t="str" cm="1">
        <f t="array" ref="T609">_xlfn.IFS(AND(N609&lt;= 22, S609=9), "SOWING",AND(N609&lt;= 28, S609=9), "COVERAGE",AND(N609&lt;= 30, S609=9), "FLUSH",AND(N609&lt;= 11, S609=10), "FLUSH",AND(N609&lt;= 21, S609=10), "PRODUCTION")</f>
        <v>SOWING</v>
      </c>
      <c r="U609">
        <f>HOUR(datos_siembra[[#This Row],[Hour]])</f>
        <v>16</v>
      </c>
      <c r="V609" cm="1">
        <f t="array" ref="V609">_xlfn.IFS(AND(N609&lt;= 22, S609=9), N609-7,AND(N609&lt;= 28, S609=9), N609-25,AND(N609&lt;= 30, S609=9), N609-28,AND(N609&lt;= 11, S609=10), N609+2,AND(N609&lt;= 21, S609=10), N609-11)</f>
        <v>5</v>
      </c>
    </row>
    <row r="610" spans="1:22" x14ac:dyDescent="0.35">
      <c r="A610" s="4">
        <v>45547</v>
      </c>
      <c r="B610" s="5">
        <v>0.7146527777777778</v>
      </c>
      <c r="C610">
        <v>83.2</v>
      </c>
      <c r="D610">
        <v>81.400000000000006</v>
      </c>
      <c r="E610">
        <v>86.3</v>
      </c>
      <c r="F610">
        <v>81.8</v>
      </c>
      <c r="G610">
        <v>0</v>
      </c>
      <c r="H610">
        <v>0</v>
      </c>
      <c r="I610">
        <v>0</v>
      </c>
      <c r="J610">
        <v>0</v>
      </c>
      <c r="K610">
        <v>62.4</v>
      </c>
      <c r="L610">
        <v>60.6</v>
      </c>
      <c r="M610">
        <v>83.19</v>
      </c>
      <c r="N610">
        <v>12</v>
      </c>
      <c r="O610">
        <v>2</v>
      </c>
      <c r="P610">
        <f>MOD(DAY(datos_siembra[[#This Row],[Date]]),7)</f>
        <v>5</v>
      </c>
      <c r="Q610" t="str">
        <f>CHOOSE(WEEKDAY(datos_siembra[[#This Row],[Date]],2),"L","M","X","J","V","S","D")</f>
        <v>J</v>
      </c>
      <c r="R610">
        <f>WEEKNUM(datos_siembra[[#This Row],[Date]],2)-WEEKNUM(DATE(YEAR(datos_siembra[[#This Row],[Date]]),MONTH(datos_siembra[[#This Row],[Date]]),1))+1</f>
        <v>2</v>
      </c>
      <c r="S610">
        <f>MONTH(datos_siembra[[#This Row],[Date]])</f>
        <v>9</v>
      </c>
      <c r="T610" t="str" cm="1">
        <f t="array" ref="T610">_xlfn.IFS(AND(N610&lt;= 22, S610=9), "SOWING",AND(N610&lt;= 28, S610=9), "COVERAGE",AND(N610&lt;= 30, S610=9), "FLUSH",AND(N610&lt;= 11, S610=10), "FLUSH",AND(N610&lt;= 21, S610=10), "PRODUCTION")</f>
        <v>SOWING</v>
      </c>
      <c r="U610">
        <f>HOUR(datos_siembra[[#This Row],[Hour]])</f>
        <v>17</v>
      </c>
      <c r="V610" cm="1">
        <f t="array" ref="V610">_xlfn.IFS(AND(N610&lt;= 22, S610=9), N610-7,AND(N610&lt;= 28, S610=9), N610-25,AND(N610&lt;= 30, S610=9), N610-28,AND(N610&lt;= 11, S610=10), N610+2,AND(N610&lt;= 21, S610=10), N610-11)</f>
        <v>5</v>
      </c>
    </row>
    <row r="611" spans="1:22" x14ac:dyDescent="0.35">
      <c r="A611" s="4">
        <v>45547</v>
      </c>
      <c r="B611" s="5">
        <v>0.72159722222222222</v>
      </c>
      <c r="C611">
        <v>83.2</v>
      </c>
      <c r="D611">
        <v>81.400000000000006</v>
      </c>
      <c r="E611">
        <v>86.6</v>
      </c>
      <c r="F611">
        <v>82</v>
      </c>
      <c r="G611">
        <v>0</v>
      </c>
      <c r="H611">
        <v>0</v>
      </c>
      <c r="I611">
        <v>0</v>
      </c>
      <c r="J611">
        <v>0</v>
      </c>
      <c r="K611">
        <v>62.3</v>
      </c>
      <c r="L611">
        <v>60.5</v>
      </c>
      <c r="M611">
        <v>83.3</v>
      </c>
      <c r="N611">
        <v>12</v>
      </c>
      <c r="O611">
        <v>2</v>
      </c>
      <c r="P611">
        <f>MOD(DAY(datos_siembra[[#This Row],[Date]]),7)</f>
        <v>5</v>
      </c>
      <c r="Q611" t="str">
        <f>CHOOSE(WEEKDAY(datos_siembra[[#This Row],[Date]],2),"L","M","X","J","V","S","D")</f>
        <v>J</v>
      </c>
      <c r="R611">
        <f>WEEKNUM(datos_siembra[[#This Row],[Date]],2)-WEEKNUM(DATE(YEAR(datos_siembra[[#This Row],[Date]]),MONTH(datos_siembra[[#This Row],[Date]]),1))+1</f>
        <v>2</v>
      </c>
      <c r="S611">
        <f>MONTH(datos_siembra[[#This Row],[Date]])</f>
        <v>9</v>
      </c>
      <c r="T611" t="str" cm="1">
        <f t="array" ref="T611">_xlfn.IFS(AND(N611&lt;= 22, S611=9), "SOWING",AND(N611&lt;= 28, S611=9), "COVERAGE",AND(N611&lt;= 30, S611=9), "FLUSH",AND(N611&lt;= 11, S611=10), "FLUSH",AND(N611&lt;= 21, S611=10), "PRODUCTION")</f>
        <v>SOWING</v>
      </c>
      <c r="U611">
        <f>HOUR(datos_siembra[[#This Row],[Hour]])</f>
        <v>17</v>
      </c>
      <c r="V611" cm="1">
        <f t="array" ref="V611">_xlfn.IFS(AND(N611&lt;= 22, S611=9), N611-7,AND(N611&lt;= 28, S611=9), N611-25,AND(N611&lt;= 30, S611=9), N611-28,AND(N611&lt;= 11, S611=10), N611+2,AND(N611&lt;= 21, S611=10), N611-11)</f>
        <v>5</v>
      </c>
    </row>
    <row r="612" spans="1:22" x14ac:dyDescent="0.35">
      <c r="A612" s="4">
        <v>45547</v>
      </c>
      <c r="B612" s="5">
        <v>0.72855324074074079</v>
      </c>
      <c r="C612">
        <v>83</v>
      </c>
      <c r="D612">
        <v>81.7</v>
      </c>
      <c r="E612">
        <v>86.8</v>
      </c>
      <c r="F612">
        <v>82.1</v>
      </c>
      <c r="G612">
        <v>0</v>
      </c>
      <c r="H612">
        <v>0</v>
      </c>
      <c r="I612">
        <v>0</v>
      </c>
      <c r="J612">
        <v>0</v>
      </c>
      <c r="K612">
        <v>63</v>
      </c>
      <c r="L612">
        <v>61.5</v>
      </c>
      <c r="M612">
        <v>83.3</v>
      </c>
      <c r="N612">
        <v>12</v>
      </c>
      <c r="O612">
        <v>2</v>
      </c>
      <c r="P612">
        <f>MOD(DAY(datos_siembra[[#This Row],[Date]]),7)</f>
        <v>5</v>
      </c>
      <c r="Q612" t="str">
        <f>CHOOSE(WEEKDAY(datos_siembra[[#This Row],[Date]],2),"L","M","X","J","V","S","D")</f>
        <v>J</v>
      </c>
      <c r="R612">
        <f>WEEKNUM(datos_siembra[[#This Row],[Date]],2)-WEEKNUM(DATE(YEAR(datos_siembra[[#This Row],[Date]]),MONTH(datos_siembra[[#This Row],[Date]]),1))+1</f>
        <v>2</v>
      </c>
      <c r="S612">
        <f>MONTH(datos_siembra[[#This Row],[Date]])</f>
        <v>9</v>
      </c>
      <c r="T612" t="str" cm="1">
        <f t="array" ref="T612">_xlfn.IFS(AND(N612&lt;= 22, S612=9), "SOWING",AND(N612&lt;= 28, S612=9), "COVERAGE",AND(N612&lt;= 30, S612=9), "FLUSH",AND(N612&lt;= 11, S612=10), "FLUSH",AND(N612&lt;= 21, S612=10), "PRODUCTION")</f>
        <v>SOWING</v>
      </c>
      <c r="U612">
        <f>HOUR(datos_siembra[[#This Row],[Hour]])</f>
        <v>17</v>
      </c>
      <c r="V612" cm="1">
        <f t="array" ref="V612">_xlfn.IFS(AND(N612&lt;= 22, S612=9), N612-7,AND(N612&lt;= 28, S612=9), N612-25,AND(N612&lt;= 30, S612=9), N612-28,AND(N612&lt;= 11, S612=10), N612+2,AND(N612&lt;= 21, S612=10), N612-11)</f>
        <v>5</v>
      </c>
    </row>
    <row r="613" spans="1:22" x14ac:dyDescent="0.35">
      <c r="A613" s="4">
        <v>45547</v>
      </c>
      <c r="B613" s="5">
        <v>0.73549768518518521</v>
      </c>
      <c r="C613">
        <v>83.1</v>
      </c>
      <c r="D613">
        <v>82</v>
      </c>
      <c r="E613">
        <v>86.9</v>
      </c>
      <c r="F613">
        <v>81.8</v>
      </c>
      <c r="G613">
        <v>0</v>
      </c>
      <c r="H613">
        <v>0</v>
      </c>
      <c r="I613">
        <v>0</v>
      </c>
      <c r="J613">
        <v>0</v>
      </c>
      <c r="K613">
        <v>63.4</v>
      </c>
      <c r="L613">
        <v>61.8</v>
      </c>
      <c r="M613">
        <v>83.36</v>
      </c>
      <c r="N613">
        <v>12</v>
      </c>
      <c r="O613">
        <v>2</v>
      </c>
      <c r="P613">
        <f>MOD(DAY(datos_siembra[[#This Row],[Date]]),7)</f>
        <v>5</v>
      </c>
      <c r="Q613" t="str">
        <f>CHOOSE(WEEKDAY(datos_siembra[[#This Row],[Date]],2),"L","M","X","J","V","S","D")</f>
        <v>J</v>
      </c>
      <c r="R613">
        <f>WEEKNUM(datos_siembra[[#This Row],[Date]],2)-WEEKNUM(DATE(YEAR(datos_siembra[[#This Row],[Date]]),MONTH(datos_siembra[[#This Row],[Date]]),1))+1</f>
        <v>2</v>
      </c>
      <c r="S613">
        <f>MONTH(datos_siembra[[#This Row],[Date]])</f>
        <v>9</v>
      </c>
      <c r="T613" t="str" cm="1">
        <f t="array" ref="T613">_xlfn.IFS(AND(N613&lt;= 22, S613=9), "SOWING",AND(N613&lt;= 28, S613=9), "COVERAGE",AND(N613&lt;= 30, S613=9), "FLUSH",AND(N613&lt;= 11, S613=10), "FLUSH",AND(N613&lt;= 21, S613=10), "PRODUCTION")</f>
        <v>SOWING</v>
      </c>
      <c r="U613">
        <f>HOUR(datos_siembra[[#This Row],[Hour]])</f>
        <v>17</v>
      </c>
      <c r="V613" cm="1">
        <f t="array" ref="V613">_xlfn.IFS(AND(N613&lt;= 22, S613=9), N613-7,AND(N613&lt;= 28, S613=9), N613-25,AND(N613&lt;= 30, S613=9), N613-28,AND(N613&lt;= 11, S613=10), N613+2,AND(N613&lt;= 21, S613=10), N613-11)</f>
        <v>5</v>
      </c>
    </row>
    <row r="614" spans="1:22" x14ac:dyDescent="0.35">
      <c r="A614" s="4">
        <v>45547</v>
      </c>
      <c r="B614" s="5">
        <v>0.74244212962962963</v>
      </c>
      <c r="C614">
        <v>83</v>
      </c>
      <c r="D614">
        <v>82.1</v>
      </c>
      <c r="E614">
        <v>86.8</v>
      </c>
      <c r="F614">
        <v>81.8</v>
      </c>
      <c r="G614">
        <v>0</v>
      </c>
      <c r="H614">
        <v>0</v>
      </c>
      <c r="I614">
        <v>0</v>
      </c>
      <c r="J614">
        <v>0</v>
      </c>
      <c r="K614">
        <v>62.6</v>
      </c>
      <c r="L614">
        <v>61</v>
      </c>
      <c r="M614">
        <v>83.38</v>
      </c>
      <c r="N614">
        <v>12</v>
      </c>
      <c r="O614">
        <v>2</v>
      </c>
      <c r="P614">
        <f>MOD(DAY(datos_siembra[[#This Row],[Date]]),7)</f>
        <v>5</v>
      </c>
      <c r="Q614" t="str">
        <f>CHOOSE(WEEKDAY(datos_siembra[[#This Row],[Date]],2),"L","M","X","J","V","S","D")</f>
        <v>J</v>
      </c>
      <c r="R614">
        <f>WEEKNUM(datos_siembra[[#This Row],[Date]],2)-WEEKNUM(DATE(YEAR(datos_siembra[[#This Row],[Date]]),MONTH(datos_siembra[[#This Row],[Date]]),1))+1</f>
        <v>2</v>
      </c>
      <c r="S614">
        <f>MONTH(datos_siembra[[#This Row],[Date]])</f>
        <v>9</v>
      </c>
      <c r="T614" t="str" cm="1">
        <f t="array" ref="T614">_xlfn.IFS(AND(N614&lt;= 22, S614=9), "SOWING",AND(N614&lt;= 28, S614=9), "COVERAGE",AND(N614&lt;= 30, S614=9), "FLUSH",AND(N614&lt;= 11, S614=10), "FLUSH",AND(N614&lt;= 21, S614=10), "PRODUCTION")</f>
        <v>SOWING</v>
      </c>
      <c r="U614">
        <f>HOUR(datos_siembra[[#This Row],[Hour]])</f>
        <v>17</v>
      </c>
      <c r="V614" cm="1">
        <f t="array" ref="V614">_xlfn.IFS(AND(N614&lt;= 22, S614=9), N614-7,AND(N614&lt;= 28, S614=9), N614-25,AND(N614&lt;= 30, S614=9), N614-28,AND(N614&lt;= 11, S614=10), N614+2,AND(N614&lt;= 21, S614=10), N614-11)</f>
        <v>5</v>
      </c>
    </row>
    <row r="615" spans="1:22" x14ac:dyDescent="0.35">
      <c r="A615" s="4">
        <v>45547</v>
      </c>
      <c r="B615" s="5">
        <v>0.74938657407407405</v>
      </c>
      <c r="C615">
        <v>83</v>
      </c>
      <c r="D615">
        <v>82.2</v>
      </c>
      <c r="E615">
        <v>86.8</v>
      </c>
      <c r="F615">
        <v>81.7</v>
      </c>
      <c r="G615">
        <v>0</v>
      </c>
      <c r="H615">
        <v>0</v>
      </c>
      <c r="I615">
        <v>0</v>
      </c>
      <c r="J615">
        <v>0</v>
      </c>
      <c r="K615">
        <v>62.3</v>
      </c>
      <c r="L615">
        <v>60.5</v>
      </c>
      <c r="M615">
        <v>83.41</v>
      </c>
      <c r="N615">
        <v>12</v>
      </c>
      <c r="O615">
        <v>2</v>
      </c>
      <c r="P615">
        <f>MOD(DAY(datos_siembra[[#This Row],[Date]]),7)</f>
        <v>5</v>
      </c>
      <c r="Q615" t="str">
        <f>CHOOSE(WEEKDAY(datos_siembra[[#This Row],[Date]],2),"L","M","X","J","V","S","D")</f>
        <v>J</v>
      </c>
      <c r="R615">
        <f>WEEKNUM(datos_siembra[[#This Row],[Date]],2)-WEEKNUM(DATE(YEAR(datos_siembra[[#This Row],[Date]]),MONTH(datos_siembra[[#This Row],[Date]]),1))+1</f>
        <v>2</v>
      </c>
      <c r="S615">
        <f>MONTH(datos_siembra[[#This Row],[Date]])</f>
        <v>9</v>
      </c>
      <c r="T615" t="str" cm="1">
        <f t="array" ref="T615">_xlfn.IFS(AND(N615&lt;= 22, S615=9), "SOWING",AND(N615&lt;= 28, S615=9), "COVERAGE",AND(N615&lt;= 30, S615=9), "FLUSH",AND(N615&lt;= 11, S615=10), "FLUSH",AND(N615&lt;= 21, S615=10), "PRODUCTION")</f>
        <v>SOWING</v>
      </c>
      <c r="U615">
        <f>HOUR(datos_siembra[[#This Row],[Hour]])</f>
        <v>17</v>
      </c>
      <c r="V615" cm="1">
        <f t="array" ref="V615">_xlfn.IFS(AND(N615&lt;= 22, S615=9), N615-7,AND(N615&lt;= 28, S615=9), N615-25,AND(N615&lt;= 30, S615=9), N615-28,AND(N615&lt;= 11, S615=10), N615+2,AND(N615&lt;= 21, S615=10), N615-11)</f>
        <v>5</v>
      </c>
    </row>
    <row r="616" spans="1:22" x14ac:dyDescent="0.35">
      <c r="A616" s="4">
        <v>45547</v>
      </c>
      <c r="B616" s="5">
        <v>0.75634259259259262</v>
      </c>
      <c r="C616">
        <v>83.1</v>
      </c>
      <c r="D616">
        <v>82.1</v>
      </c>
      <c r="E616">
        <v>86.6</v>
      </c>
      <c r="F616">
        <v>81.8</v>
      </c>
      <c r="G616">
        <v>0</v>
      </c>
      <c r="H616">
        <v>0</v>
      </c>
      <c r="I616">
        <v>0</v>
      </c>
      <c r="J616">
        <v>0</v>
      </c>
      <c r="K616">
        <v>63</v>
      </c>
      <c r="L616">
        <v>61.5</v>
      </c>
      <c r="M616">
        <v>83.41</v>
      </c>
      <c r="N616">
        <v>12</v>
      </c>
      <c r="O616">
        <v>2</v>
      </c>
      <c r="P616">
        <f>MOD(DAY(datos_siembra[[#This Row],[Date]]),7)</f>
        <v>5</v>
      </c>
      <c r="Q616" t="str">
        <f>CHOOSE(WEEKDAY(datos_siembra[[#This Row],[Date]],2),"L","M","X","J","V","S","D")</f>
        <v>J</v>
      </c>
      <c r="R616">
        <f>WEEKNUM(datos_siembra[[#This Row],[Date]],2)-WEEKNUM(DATE(YEAR(datos_siembra[[#This Row],[Date]]),MONTH(datos_siembra[[#This Row],[Date]]),1))+1</f>
        <v>2</v>
      </c>
      <c r="S616">
        <f>MONTH(datos_siembra[[#This Row],[Date]])</f>
        <v>9</v>
      </c>
      <c r="T616" t="str" cm="1">
        <f t="array" ref="T616">_xlfn.IFS(AND(N616&lt;= 22, S616=9), "SOWING",AND(N616&lt;= 28, S616=9), "COVERAGE",AND(N616&lt;= 30, S616=9), "FLUSH",AND(N616&lt;= 11, S616=10), "FLUSH",AND(N616&lt;= 21, S616=10), "PRODUCTION")</f>
        <v>SOWING</v>
      </c>
      <c r="U616">
        <f>HOUR(datos_siembra[[#This Row],[Hour]])</f>
        <v>18</v>
      </c>
      <c r="V616" cm="1">
        <f t="array" ref="V616">_xlfn.IFS(AND(N616&lt;= 22, S616=9), N616-7,AND(N616&lt;= 28, S616=9), N616-25,AND(N616&lt;= 30, S616=9), N616-28,AND(N616&lt;= 11, S616=10), N616+2,AND(N616&lt;= 21, S616=10), N616-11)</f>
        <v>5</v>
      </c>
    </row>
    <row r="617" spans="1:22" x14ac:dyDescent="0.35">
      <c r="A617" s="4">
        <v>45547</v>
      </c>
      <c r="B617" s="5">
        <v>0.76328703703703704</v>
      </c>
      <c r="C617">
        <v>83</v>
      </c>
      <c r="D617">
        <v>82.2</v>
      </c>
      <c r="E617">
        <v>86.7</v>
      </c>
      <c r="F617">
        <v>81.7</v>
      </c>
      <c r="G617">
        <v>0</v>
      </c>
      <c r="H617">
        <v>0</v>
      </c>
      <c r="I617">
        <v>0</v>
      </c>
      <c r="J617">
        <v>0</v>
      </c>
      <c r="K617">
        <v>63.3</v>
      </c>
      <c r="L617">
        <v>61.8</v>
      </c>
      <c r="M617">
        <v>83.41</v>
      </c>
      <c r="N617">
        <v>12</v>
      </c>
      <c r="O617">
        <v>2</v>
      </c>
      <c r="P617">
        <f>MOD(DAY(datos_siembra[[#This Row],[Date]]),7)</f>
        <v>5</v>
      </c>
      <c r="Q617" t="str">
        <f>CHOOSE(WEEKDAY(datos_siembra[[#This Row],[Date]],2),"L","M","X","J","V","S","D")</f>
        <v>J</v>
      </c>
      <c r="R617">
        <f>WEEKNUM(datos_siembra[[#This Row],[Date]],2)-WEEKNUM(DATE(YEAR(datos_siembra[[#This Row],[Date]]),MONTH(datos_siembra[[#This Row],[Date]]),1))+1</f>
        <v>2</v>
      </c>
      <c r="S617">
        <f>MONTH(datos_siembra[[#This Row],[Date]])</f>
        <v>9</v>
      </c>
      <c r="T617" t="str" cm="1">
        <f t="array" ref="T617">_xlfn.IFS(AND(N617&lt;= 22, S617=9), "SOWING",AND(N617&lt;= 28, S617=9), "COVERAGE",AND(N617&lt;= 30, S617=9), "FLUSH",AND(N617&lt;= 11, S617=10), "FLUSH",AND(N617&lt;= 21, S617=10), "PRODUCTION")</f>
        <v>SOWING</v>
      </c>
      <c r="U617">
        <f>HOUR(datos_siembra[[#This Row],[Hour]])</f>
        <v>18</v>
      </c>
      <c r="V617" cm="1">
        <f t="array" ref="V617">_xlfn.IFS(AND(N617&lt;= 22, S617=9), N617-7,AND(N617&lt;= 28, S617=9), N617-25,AND(N617&lt;= 30, S617=9), N617-28,AND(N617&lt;= 11, S617=10), N617+2,AND(N617&lt;= 21, S617=10), N617-11)</f>
        <v>5</v>
      </c>
    </row>
    <row r="618" spans="1:22" x14ac:dyDescent="0.35">
      <c r="A618" s="4">
        <v>45547</v>
      </c>
      <c r="B618" s="5">
        <v>0.77023148148148146</v>
      </c>
      <c r="C618">
        <v>83</v>
      </c>
      <c r="D618">
        <v>82.3</v>
      </c>
      <c r="E618">
        <v>86.7</v>
      </c>
      <c r="F618">
        <v>81.7</v>
      </c>
      <c r="G618">
        <v>0</v>
      </c>
      <c r="H618">
        <v>0</v>
      </c>
      <c r="I618">
        <v>0</v>
      </c>
      <c r="J618">
        <v>0</v>
      </c>
      <c r="K618">
        <v>63.5</v>
      </c>
      <c r="L618">
        <v>62</v>
      </c>
      <c r="M618">
        <v>83.41</v>
      </c>
      <c r="N618">
        <v>12</v>
      </c>
      <c r="O618">
        <v>2</v>
      </c>
      <c r="P618">
        <f>MOD(DAY(datos_siembra[[#This Row],[Date]]),7)</f>
        <v>5</v>
      </c>
      <c r="Q618" t="str">
        <f>CHOOSE(WEEKDAY(datos_siembra[[#This Row],[Date]],2),"L","M","X","J","V","S","D")</f>
        <v>J</v>
      </c>
      <c r="R618">
        <f>WEEKNUM(datos_siembra[[#This Row],[Date]],2)-WEEKNUM(DATE(YEAR(datos_siembra[[#This Row],[Date]]),MONTH(datos_siembra[[#This Row],[Date]]),1))+1</f>
        <v>2</v>
      </c>
      <c r="S618">
        <f>MONTH(datos_siembra[[#This Row],[Date]])</f>
        <v>9</v>
      </c>
      <c r="T618" t="str" cm="1">
        <f t="array" ref="T618">_xlfn.IFS(AND(N618&lt;= 22, S618=9), "SOWING",AND(N618&lt;= 28, S618=9), "COVERAGE",AND(N618&lt;= 30, S618=9), "FLUSH",AND(N618&lt;= 11, S618=10), "FLUSH",AND(N618&lt;= 21, S618=10), "PRODUCTION")</f>
        <v>SOWING</v>
      </c>
      <c r="U618">
        <f>HOUR(datos_siembra[[#This Row],[Hour]])</f>
        <v>18</v>
      </c>
      <c r="V618" cm="1">
        <f t="array" ref="V618">_xlfn.IFS(AND(N618&lt;= 22, S618=9), N618-7,AND(N618&lt;= 28, S618=9), N618-25,AND(N618&lt;= 30, S618=9), N618-28,AND(N618&lt;= 11, S618=10), N618+2,AND(N618&lt;= 21, S618=10), N618-11)</f>
        <v>5</v>
      </c>
    </row>
    <row r="619" spans="1:22" x14ac:dyDescent="0.35">
      <c r="A619" s="4">
        <v>45547</v>
      </c>
      <c r="B619" s="5">
        <v>0.77717592592592588</v>
      </c>
      <c r="C619">
        <v>83</v>
      </c>
      <c r="D619">
        <v>82.3</v>
      </c>
      <c r="E619">
        <v>86.6</v>
      </c>
      <c r="F619">
        <v>81.8</v>
      </c>
      <c r="G619">
        <v>0</v>
      </c>
      <c r="H619">
        <v>0</v>
      </c>
      <c r="I619">
        <v>0</v>
      </c>
      <c r="J619">
        <v>0</v>
      </c>
      <c r="K619">
        <v>62.4</v>
      </c>
      <c r="L619">
        <v>60.6</v>
      </c>
      <c r="M619">
        <v>83.38</v>
      </c>
      <c r="N619">
        <v>12</v>
      </c>
      <c r="O619">
        <v>2</v>
      </c>
      <c r="P619">
        <f>MOD(DAY(datos_siembra[[#This Row],[Date]]),7)</f>
        <v>5</v>
      </c>
      <c r="Q619" t="str">
        <f>CHOOSE(WEEKDAY(datos_siembra[[#This Row],[Date]],2),"L","M","X","J","V","S","D")</f>
        <v>J</v>
      </c>
      <c r="R619">
        <f>WEEKNUM(datos_siembra[[#This Row],[Date]],2)-WEEKNUM(DATE(YEAR(datos_siembra[[#This Row],[Date]]),MONTH(datos_siembra[[#This Row],[Date]]),1))+1</f>
        <v>2</v>
      </c>
      <c r="S619">
        <f>MONTH(datos_siembra[[#This Row],[Date]])</f>
        <v>9</v>
      </c>
      <c r="T619" t="str" cm="1">
        <f t="array" ref="T619">_xlfn.IFS(AND(N619&lt;= 22, S619=9), "SOWING",AND(N619&lt;= 28, S619=9), "COVERAGE",AND(N619&lt;= 30, S619=9), "FLUSH",AND(N619&lt;= 11, S619=10), "FLUSH",AND(N619&lt;= 21, S619=10), "PRODUCTION")</f>
        <v>SOWING</v>
      </c>
      <c r="U619">
        <f>HOUR(datos_siembra[[#This Row],[Hour]])</f>
        <v>18</v>
      </c>
      <c r="V619" cm="1">
        <f t="array" ref="V619">_xlfn.IFS(AND(N619&lt;= 22, S619=9), N619-7,AND(N619&lt;= 28, S619=9), N619-25,AND(N619&lt;= 30, S619=9), N619-28,AND(N619&lt;= 11, S619=10), N619+2,AND(N619&lt;= 21, S619=10), N619-11)</f>
        <v>5</v>
      </c>
    </row>
    <row r="620" spans="1:22" x14ac:dyDescent="0.35">
      <c r="A620" s="4">
        <v>45547</v>
      </c>
      <c r="B620" s="5">
        <v>0.78413194444444445</v>
      </c>
      <c r="C620">
        <v>83</v>
      </c>
      <c r="D620">
        <v>82.3</v>
      </c>
      <c r="E620">
        <v>86.7</v>
      </c>
      <c r="F620">
        <v>81.7</v>
      </c>
      <c r="G620">
        <v>0</v>
      </c>
      <c r="H620">
        <v>0</v>
      </c>
      <c r="I620">
        <v>0</v>
      </c>
      <c r="J620">
        <v>0</v>
      </c>
      <c r="K620">
        <v>62.8</v>
      </c>
      <c r="L620">
        <v>61.4</v>
      </c>
      <c r="M620">
        <v>83.41</v>
      </c>
      <c r="N620">
        <v>12</v>
      </c>
      <c r="O620">
        <v>2</v>
      </c>
      <c r="P620">
        <f>MOD(DAY(datos_siembra[[#This Row],[Date]]),7)</f>
        <v>5</v>
      </c>
      <c r="Q620" t="str">
        <f>CHOOSE(WEEKDAY(datos_siembra[[#This Row],[Date]],2),"L","M","X","J","V","S","D")</f>
        <v>J</v>
      </c>
      <c r="R620">
        <f>WEEKNUM(datos_siembra[[#This Row],[Date]],2)-WEEKNUM(DATE(YEAR(datos_siembra[[#This Row],[Date]]),MONTH(datos_siembra[[#This Row],[Date]]),1))+1</f>
        <v>2</v>
      </c>
      <c r="S620">
        <f>MONTH(datos_siembra[[#This Row],[Date]])</f>
        <v>9</v>
      </c>
      <c r="T620" t="str" cm="1">
        <f t="array" ref="T620">_xlfn.IFS(AND(N620&lt;= 22, S620=9), "SOWING",AND(N620&lt;= 28, S620=9), "COVERAGE",AND(N620&lt;= 30, S620=9), "FLUSH",AND(N620&lt;= 11, S620=10), "FLUSH",AND(N620&lt;= 21, S620=10), "PRODUCTION")</f>
        <v>SOWING</v>
      </c>
      <c r="U620">
        <f>HOUR(datos_siembra[[#This Row],[Hour]])</f>
        <v>18</v>
      </c>
      <c r="V620" cm="1">
        <f t="array" ref="V620">_xlfn.IFS(AND(N620&lt;= 22, S620=9), N620-7,AND(N620&lt;= 28, S620=9), N620-25,AND(N620&lt;= 30, S620=9), N620-28,AND(N620&lt;= 11, S620=10), N620+2,AND(N620&lt;= 21, S620=10), N620-11)</f>
        <v>5</v>
      </c>
    </row>
    <row r="621" spans="1:22" x14ac:dyDescent="0.35">
      <c r="A621" s="4">
        <v>45547</v>
      </c>
      <c r="B621" s="5">
        <v>0.79107638888888887</v>
      </c>
      <c r="C621">
        <v>83.1</v>
      </c>
      <c r="D621">
        <v>82.3</v>
      </c>
      <c r="E621">
        <v>86.6</v>
      </c>
      <c r="F621">
        <v>82.1</v>
      </c>
      <c r="G621">
        <v>0</v>
      </c>
      <c r="H621">
        <v>0</v>
      </c>
      <c r="I621">
        <v>0</v>
      </c>
      <c r="J621">
        <v>0</v>
      </c>
      <c r="K621">
        <v>63.2</v>
      </c>
      <c r="L621">
        <v>61.7</v>
      </c>
      <c r="M621">
        <v>83.47</v>
      </c>
      <c r="N621">
        <v>12</v>
      </c>
      <c r="O621">
        <v>2</v>
      </c>
      <c r="P621">
        <f>MOD(DAY(datos_siembra[[#This Row],[Date]]),7)</f>
        <v>5</v>
      </c>
      <c r="Q621" t="str">
        <f>CHOOSE(WEEKDAY(datos_siembra[[#This Row],[Date]],2),"L","M","X","J","V","S","D")</f>
        <v>J</v>
      </c>
      <c r="R621">
        <f>WEEKNUM(datos_siembra[[#This Row],[Date]],2)-WEEKNUM(DATE(YEAR(datos_siembra[[#This Row],[Date]]),MONTH(datos_siembra[[#This Row],[Date]]),1))+1</f>
        <v>2</v>
      </c>
      <c r="S621">
        <f>MONTH(datos_siembra[[#This Row],[Date]])</f>
        <v>9</v>
      </c>
      <c r="T621" t="str" cm="1">
        <f t="array" ref="T621">_xlfn.IFS(AND(N621&lt;= 22, S621=9), "SOWING",AND(N621&lt;= 28, S621=9), "COVERAGE",AND(N621&lt;= 30, S621=9), "FLUSH",AND(N621&lt;= 11, S621=10), "FLUSH",AND(N621&lt;= 21, S621=10), "PRODUCTION")</f>
        <v>SOWING</v>
      </c>
      <c r="U621">
        <f>HOUR(datos_siembra[[#This Row],[Hour]])</f>
        <v>18</v>
      </c>
      <c r="V621" cm="1">
        <f t="array" ref="V621">_xlfn.IFS(AND(N621&lt;= 22, S621=9), N621-7,AND(N621&lt;= 28, S621=9), N621-25,AND(N621&lt;= 30, S621=9), N621-28,AND(N621&lt;= 11, S621=10), N621+2,AND(N621&lt;= 21, S621=10), N621-11)</f>
        <v>5</v>
      </c>
    </row>
    <row r="622" spans="1:22" x14ac:dyDescent="0.35">
      <c r="A622" s="4">
        <v>45547</v>
      </c>
      <c r="B622" s="5">
        <v>0.79802083333333329</v>
      </c>
      <c r="C622">
        <v>82.9</v>
      </c>
      <c r="D622">
        <v>82.2</v>
      </c>
      <c r="E622">
        <v>86.6</v>
      </c>
      <c r="F622">
        <v>82.9</v>
      </c>
      <c r="G622">
        <v>0</v>
      </c>
      <c r="H622">
        <v>0</v>
      </c>
      <c r="I622">
        <v>0</v>
      </c>
      <c r="J622">
        <v>0</v>
      </c>
      <c r="K622">
        <v>63.3</v>
      </c>
      <c r="L622">
        <v>61.8</v>
      </c>
      <c r="M622">
        <v>83.58</v>
      </c>
      <c r="N622">
        <v>12</v>
      </c>
      <c r="O622">
        <v>2</v>
      </c>
      <c r="P622">
        <f>MOD(DAY(datos_siembra[[#This Row],[Date]]),7)</f>
        <v>5</v>
      </c>
      <c r="Q622" t="str">
        <f>CHOOSE(WEEKDAY(datos_siembra[[#This Row],[Date]],2),"L","M","X","J","V","S","D")</f>
        <v>J</v>
      </c>
      <c r="R622">
        <f>WEEKNUM(datos_siembra[[#This Row],[Date]],2)-WEEKNUM(DATE(YEAR(datos_siembra[[#This Row],[Date]]),MONTH(datos_siembra[[#This Row],[Date]]),1))+1</f>
        <v>2</v>
      </c>
      <c r="S622">
        <f>MONTH(datos_siembra[[#This Row],[Date]])</f>
        <v>9</v>
      </c>
      <c r="T622" t="str" cm="1">
        <f t="array" ref="T622">_xlfn.IFS(AND(N622&lt;= 22, S622=9), "SOWING",AND(N622&lt;= 28, S622=9), "COVERAGE",AND(N622&lt;= 30, S622=9), "FLUSH",AND(N622&lt;= 11, S622=10), "FLUSH",AND(N622&lt;= 21, S622=10), "PRODUCTION")</f>
        <v>SOWING</v>
      </c>
      <c r="U622">
        <f>HOUR(datos_siembra[[#This Row],[Hour]])</f>
        <v>19</v>
      </c>
      <c r="V622" cm="1">
        <f t="array" ref="V622">_xlfn.IFS(AND(N622&lt;= 22, S622=9), N622-7,AND(N622&lt;= 28, S622=9), N622-25,AND(N622&lt;= 30, S622=9), N622-28,AND(N622&lt;= 11, S622=10), N622+2,AND(N622&lt;= 21, S622=10), N622-11)</f>
        <v>5</v>
      </c>
    </row>
    <row r="623" spans="1:22" x14ac:dyDescent="0.35">
      <c r="A623" s="4">
        <v>45547</v>
      </c>
      <c r="B623" s="5">
        <v>0.80497685185185186</v>
      </c>
      <c r="C623">
        <v>83</v>
      </c>
      <c r="D623">
        <v>82.2</v>
      </c>
      <c r="E623">
        <v>86.7</v>
      </c>
      <c r="F623">
        <v>83.1</v>
      </c>
      <c r="G623">
        <v>0</v>
      </c>
      <c r="H623">
        <v>0</v>
      </c>
      <c r="I623">
        <v>0</v>
      </c>
      <c r="J623">
        <v>0</v>
      </c>
      <c r="K623">
        <v>63.5</v>
      </c>
      <c r="L623">
        <v>62</v>
      </c>
      <c r="M623">
        <v>83.44</v>
      </c>
      <c r="N623">
        <v>12</v>
      </c>
      <c r="O623">
        <v>2</v>
      </c>
      <c r="P623">
        <f>MOD(DAY(datos_siembra[[#This Row],[Date]]),7)</f>
        <v>5</v>
      </c>
      <c r="Q623" t="str">
        <f>CHOOSE(WEEKDAY(datos_siembra[[#This Row],[Date]],2),"L","M","X","J","V","S","D")</f>
        <v>J</v>
      </c>
      <c r="R623">
        <f>WEEKNUM(datos_siembra[[#This Row],[Date]],2)-WEEKNUM(DATE(YEAR(datos_siembra[[#This Row],[Date]]),MONTH(datos_siembra[[#This Row],[Date]]),1))+1</f>
        <v>2</v>
      </c>
      <c r="S623">
        <f>MONTH(datos_siembra[[#This Row],[Date]])</f>
        <v>9</v>
      </c>
      <c r="T623" t="str" cm="1">
        <f t="array" ref="T623">_xlfn.IFS(AND(N623&lt;= 22, S623=9), "SOWING",AND(N623&lt;= 28, S623=9), "COVERAGE",AND(N623&lt;= 30, S623=9), "FLUSH",AND(N623&lt;= 11, S623=10), "FLUSH",AND(N623&lt;= 21, S623=10), "PRODUCTION")</f>
        <v>SOWING</v>
      </c>
      <c r="U623">
        <f>HOUR(datos_siembra[[#This Row],[Hour]])</f>
        <v>19</v>
      </c>
      <c r="V623" cm="1">
        <f t="array" ref="V623">_xlfn.IFS(AND(N623&lt;= 22, S623=9), N623-7,AND(N623&lt;= 28, S623=9), N623-25,AND(N623&lt;= 30, S623=9), N623-28,AND(N623&lt;= 11, S623=10), N623+2,AND(N623&lt;= 21, S623=10), N623-11)</f>
        <v>5</v>
      </c>
    </row>
    <row r="624" spans="1:22" x14ac:dyDescent="0.35">
      <c r="A624" s="4">
        <v>45547</v>
      </c>
      <c r="B624" s="5">
        <v>0.81192129629629628</v>
      </c>
      <c r="C624">
        <v>82.9</v>
      </c>
      <c r="D624">
        <v>82.2</v>
      </c>
      <c r="E624">
        <v>86.5</v>
      </c>
      <c r="F624">
        <v>82.9</v>
      </c>
      <c r="G624">
        <v>0</v>
      </c>
      <c r="H624">
        <v>0</v>
      </c>
      <c r="I624">
        <v>0</v>
      </c>
      <c r="J624">
        <v>0</v>
      </c>
      <c r="K624">
        <v>62.3</v>
      </c>
      <c r="L624">
        <v>60.5</v>
      </c>
      <c r="M624">
        <v>83.67</v>
      </c>
      <c r="N624">
        <v>12</v>
      </c>
      <c r="O624">
        <v>2</v>
      </c>
      <c r="P624">
        <f>MOD(DAY(datos_siembra[[#This Row],[Date]]),7)</f>
        <v>5</v>
      </c>
      <c r="Q624" t="str">
        <f>CHOOSE(WEEKDAY(datos_siembra[[#This Row],[Date]],2),"L","M","X","J","V","S","D")</f>
        <v>J</v>
      </c>
      <c r="R624">
        <f>WEEKNUM(datos_siembra[[#This Row],[Date]],2)-WEEKNUM(DATE(YEAR(datos_siembra[[#This Row],[Date]]),MONTH(datos_siembra[[#This Row],[Date]]),1))+1</f>
        <v>2</v>
      </c>
      <c r="S624">
        <f>MONTH(datos_siembra[[#This Row],[Date]])</f>
        <v>9</v>
      </c>
      <c r="T624" t="str" cm="1">
        <f t="array" ref="T624">_xlfn.IFS(AND(N624&lt;= 22, S624=9), "SOWING",AND(N624&lt;= 28, S624=9), "COVERAGE",AND(N624&lt;= 30, S624=9), "FLUSH",AND(N624&lt;= 11, S624=10), "FLUSH",AND(N624&lt;= 21, S624=10), "PRODUCTION")</f>
        <v>SOWING</v>
      </c>
      <c r="U624">
        <f>HOUR(datos_siembra[[#This Row],[Hour]])</f>
        <v>19</v>
      </c>
      <c r="V624" cm="1">
        <f t="array" ref="V624">_xlfn.IFS(AND(N624&lt;= 22, S624=9), N624-7,AND(N624&lt;= 28, S624=9), N624-25,AND(N624&lt;= 30, S624=9), N624-28,AND(N624&lt;= 11, S624=10), N624+2,AND(N624&lt;= 21, S624=10), N624-11)</f>
        <v>5</v>
      </c>
    </row>
    <row r="625" spans="1:22" x14ac:dyDescent="0.35">
      <c r="A625" s="4">
        <v>45547</v>
      </c>
      <c r="B625" s="5">
        <v>0.8188657407407407</v>
      </c>
      <c r="C625">
        <v>83</v>
      </c>
      <c r="D625">
        <v>82.3</v>
      </c>
      <c r="E625">
        <v>86.6</v>
      </c>
      <c r="F625">
        <v>83.6</v>
      </c>
      <c r="G625">
        <v>0</v>
      </c>
      <c r="H625">
        <v>0</v>
      </c>
      <c r="I625">
        <v>0</v>
      </c>
      <c r="J625">
        <v>0</v>
      </c>
      <c r="K625">
        <v>62.8</v>
      </c>
      <c r="L625">
        <v>61.2</v>
      </c>
      <c r="M625">
        <v>83.67</v>
      </c>
      <c r="N625">
        <v>12</v>
      </c>
      <c r="O625">
        <v>2</v>
      </c>
      <c r="P625">
        <f>MOD(DAY(datos_siembra[[#This Row],[Date]]),7)</f>
        <v>5</v>
      </c>
      <c r="Q625" t="str">
        <f>CHOOSE(WEEKDAY(datos_siembra[[#This Row],[Date]],2),"L","M","X","J","V","S","D")</f>
        <v>J</v>
      </c>
      <c r="R625">
        <f>WEEKNUM(datos_siembra[[#This Row],[Date]],2)-WEEKNUM(DATE(YEAR(datos_siembra[[#This Row],[Date]]),MONTH(datos_siembra[[#This Row],[Date]]),1))+1</f>
        <v>2</v>
      </c>
      <c r="S625">
        <f>MONTH(datos_siembra[[#This Row],[Date]])</f>
        <v>9</v>
      </c>
      <c r="T625" t="str" cm="1">
        <f t="array" ref="T625">_xlfn.IFS(AND(N625&lt;= 22, S625=9), "SOWING",AND(N625&lt;= 28, S625=9), "COVERAGE",AND(N625&lt;= 30, S625=9), "FLUSH",AND(N625&lt;= 11, S625=10), "FLUSH",AND(N625&lt;= 21, S625=10), "PRODUCTION")</f>
        <v>SOWING</v>
      </c>
      <c r="U625">
        <f>HOUR(datos_siembra[[#This Row],[Hour]])</f>
        <v>19</v>
      </c>
      <c r="V625" cm="1">
        <f t="array" ref="V625">_xlfn.IFS(AND(N625&lt;= 22, S625=9), N625-7,AND(N625&lt;= 28, S625=9), N625-25,AND(N625&lt;= 30, S625=9), N625-28,AND(N625&lt;= 11, S625=10), N625+2,AND(N625&lt;= 21, S625=10), N625-11)</f>
        <v>5</v>
      </c>
    </row>
    <row r="626" spans="1:22" x14ac:dyDescent="0.35">
      <c r="A626" s="4">
        <v>45547</v>
      </c>
      <c r="B626" s="5">
        <v>0.82581018518518523</v>
      </c>
      <c r="C626">
        <v>82.7</v>
      </c>
      <c r="D626">
        <v>82.2</v>
      </c>
      <c r="E626">
        <v>86.5</v>
      </c>
      <c r="F626">
        <v>83.1</v>
      </c>
      <c r="G626">
        <v>0</v>
      </c>
      <c r="H626">
        <v>0</v>
      </c>
      <c r="I626">
        <v>0</v>
      </c>
      <c r="J626">
        <v>0</v>
      </c>
      <c r="K626">
        <v>63.2</v>
      </c>
      <c r="L626">
        <v>61.5</v>
      </c>
      <c r="M626">
        <v>83.61</v>
      </c>
      <c r="N626">
        <v>12</v>
      </c>
      <c r="O626">
        <v>2</v>
      </c>
      <c r="P626">
        <f>MOD(DAY(datos_siembra[[#This Row],[Date]]),7)</f>
        <v>5</v>
      </c>
      <c r="Q626" t="str">
        <f>CHOOSE(WEEKDAY(datos_siembra[[#This Row],[Date]],2),"L","M","X","J","V","S","D")</f>
        <v>J</v>
      </c>
      <c r="R626">
        <f>WEEKNUM(datos_siembra[[#This Row],[Date]],2)-WEEKNUM(DATE(YEAR(datos_siembra[[#This Row],[Date]]),MONTH(datos_siembra[[#This Row],[Date]]),1))+1</f>
        <v>2</v>
      </c>
      <c r="S626">
        <f>MONTH(datos_siembra[[#This Row],[Date]])</f>
        <v>9</v>
      </c>
      <c r="T626" t="str" cm="1">
        <f t="array" ref="T626">_xlfn.IFS(AND(N626&lt;= 22, S626=9), "SOWING",AND(N626&lt;= 28, S626=9), "COVERAGE",AND(N626&lt;= 30, S626=9), "FLUSH",AND(N626&lt;= 11, S626=10), "FLUSH",AND(N626&lt;= 21, S626=10), "PRODUCTION")</f>
        <v>SOWING</v>
      </c>
      <c r="U626">
        <f>HOUR(datos_siembra[[#This Row],[Hour]])</f>
        <v>19</v>
      </c>
      <c r="V626" cm="1">
        <f t="array" ref="V626">_xlfn.IFS(AND(N626&lt;= 22, S626=9), N626-7,AND(N626&lt;= 28, S626=9), N626-25,AND(N626&lt;= 30, S626=9), N626-28,AND(N626&lt;= 11, S626=10), N626+2,AND(N626&lt;= 21, S626=10), N626-11)</f>
        <v>5</v>
      </c>
    </row>
    <row r="627" spans="1:22" x14ac:dyDescent="0.35">
      <c r="A627" s="4">
        <v>45547</v>
      </c>
      <c r="B627" s="5">
        <v>0.83276620370370369</v>
      </c>
      <c r="C627">
        <v>82.9</v>
      </c>
      <c r="D627">
        <v>82.2</v>
      </c>
      <c r="E627">
        <v>86.3</v>
      </c>
      <c r="F627">
        <v>83.2</v>
      </c>
      <c r="G627">
        <v>0</v>
      </c>
      <c r="H627">
        <v>0</v>
      </c>
      <c r="I627">
        <v>0</v>
      </c>
      <c r="J627">
        <v>0</v>
      </c>
      <c r="K627">
        <v>63.2</v>
      </c>
      <c r="L627">
        <v>61.7</v>
      </c>
      <c r="M627">
        <v>83.69</v>
      </c>
      <c r="N627">
        <v>12</v>
      </c>
      <c r="O627">
        <v>2</v>
      </c>
      <c r="P627">
        <f>MOD(DAY(datos_siembra[[#This Row],[Date]]),7)</f>
        <v>5</v>
      </c>
      <c r="Q627" t="str">
        <f>CHOOSE(WEEKDAY(datos_siembra[[#This Row],[Date]],2),"L","M","X","J","V","S","D")</f>
        <v>J</v>
      </c>
      <c r="R627">
        <f>WEEKNUM(datos_siembra[[#This Row],[Date]],2)-WEEKNUM(DATE(YEAR(datos_siembra[[#This Row],[Date]]),MONTH(datos_siembra[[#This Row],[Date]]),1))+1</f>
        <v>2</v>
      </c>
      <c r="S627">
        <f>MONTH(datos_siembra[[#This Row],[Date]])</f>
        <v>9</v>
      </c>
      <c r="T627" t="str" cm="1">
        <f t="array" ref="T627">_xlfn.IFS(AND(N627&lt;= 22, S627=9), "SOWING",AND(N627&lt;= 28, S627=9), "COVERAGE",AND(N627&lt;= 30, S627=9), "FLUSH",AND(N627&lt;= 11, S627=10), "FLUSH",AND(N627&lt;= 21, S627=10), "PRODUCTION")</f>
        <v>SOWING</v>
      </c>
      <c r="U627">
        <f>HOUR(datos_siembra[[#This Row],[Hour]])</f>
        <v>19</v>
      </c>
      <c r="V627" cm="1">
        <f t="array" ref="V627">_xlfn.IFS(AND(N627&lt;= 22, S627=9), N627-7,AND(N627&lt;= 28, S627=9), N627-25,AND(N627&lt;= 30, S627=9), N627-28,AND(N627&lt;= 11, S627=10), N627+2,AND(N627&lt;= 21, S627=10), N627-11)</f>
        <v>5</v>
      </c>
    </row>
    <row r="628" spans="1:22" x14ac:dyDescent="0.35">
      <c r="A628" s="4">
        <v>45547</v>
      </c>
      <c r="B628" s="5">
        <v>0.83971064814814811</v>
      </c>
      <c r="C628">
        <v>82.9</v>
      </c>
      <c r="D628">
        <v>82</v>
      </c>
      <c r="E628">
        <v>86.5</v>
      </c>
      <c r="F628">
        <v>83.5</v>
      </c>
      <c r="G628">
        <v>0</v>
      </c>
      <c r="H628">
        <v>0</v>
      </c>
      <c r="I628">
        <v>0</v>
      </c>
      <c r="J628">
        <v>0</v>
      </c>
      <c r="K628">
        <v>63.4</v>
      </c>
      <c r="L628">
        <v>61.8</v>
      </c>
      <c r="M628">
        <v>83.67</v>
      </c>
      <c r="N628">
        <v>12</v>
      </c>
      <c r="O628">
        <v>2</v>
      </c>
      <c r="P628">
        <f>MOD(DAY(datos_siembra[[#This Row],[Date]]),7)</f>
        <v>5</v>
      </c>
      <c r="Q628" t="str">
        <f>CHOOSE(WEEKDAY(datos_siembra[[#This Row],[Date]],2),"L","M","X","J","V","S","D")</f>
        <v>J</v>
      </c>
      <c r="R628">
        <f>WEEKNUM(datos_siembra[[#This Row],[Date]],2)-WEEKNUM(DATE(YEAR(datos_siembra[[#This Row],[Date]]),MONTH(datos_siembra[[#This Row],[Date]]),1))+1</f>
        <v>2</v>
      </c>
      <c r="S628">
        <f>MONTH(datos_siembra[[#This Row],[Date]])</f>
        <v>9</v>
      </c>
      <c r="T628" t="str" cm="1">
        <f t="array" ref="T628">_xlfn.IFS(AND(N628&lt;= 22, S628=9), "SOWING",AND(N628&lt;= 28, S628=9), "COVERAGE",AND(N628&lt;= 30, S628=9), "FLUSH",AND(N628&lt;= 11, S628=10), "FLUSH",AND(N628&lt;= 21, S628=10), "PRODUCTION")</f>
        <v>SOWING</v>
      </c>
      <c r="U628">
        <f>HOUR(datos_siembra[[#This Row],[Hour]])</f>
        <v>20</v>
      </c>
      <c r="V628" cm="1">
        <f t="array" ref="V628">_xlfn.IFS(AND(N628&lt;= 22, S628=9), N628-7,AND(N628&lt;= 28, S628=9), N628-25,AND(N628&lt;= 30, S628=9), N628-28,AND(N628&lt;= 11, S628=10), N628+2,AND(N628&lt;= 21, S628=10), N628-11)</f>
        <v>5</v>
      </c>
    </row>
    <row r="629" spans="1:22" x14ac:dyDescent="0.35">
      <c r="A629" s="4">
        <v>45547</v>
      </c>
      <c r="B629" s="5">
        <v>0.84665509259259264</v>
      </c>
      <c r="C629">
        <v>82.9</v>
      </c>
      <c r="D629">
        <v>82.1</v>
      </c>
      <c r="E629">
        <v>86.3</v>
      </c>
      <c r="F629">
        <v>83.5</v>
      </c>
      <c r="G629">
        <v>0</v>
      </c>
      <c r="H629">
        <v>0</v>
      </c>
      <c r="I629">
        <v>0</v>
      </c>
      <c r="J629">
        <v>0</v>
      </c>
      <c r="K629">
        <v>63.3</v>
      </c>
      <c r="L629">
        <v>61.8</v>
      </c>
      <c r="M629">
        <v>83.64</v>
      </c>
      <c r="N629">
        <v>12</v>
      </c>
      <c r="O629">
        <v>2</v>
      </c>
      <c r="P629">
        <f>MOD(DAY(datos_siembra[[#This Row],[Date]]),7)</f>
        <v>5</v>
      </c>
      <c r="Q629" t="str">
        <f>CHOOSE(WEEKDAY(datos_siembra[[#This Row],[Date]],2),"L","M","X","J","V","S","D")</f>
        <v>J</v>
      </c>
      <c r="R629">
        <f>WEEKNUM(datos_siembra[[#This Row],[Date]],2)-WEEKNUM(DATE(YEAR(datos_siembra[[#This Row],[Date]]),MONTH(datos_siembra[[#This Row],[Date]]),1))+1</f>
        <v>2</v>
      </c>
      <c r="S629">
        <f>MONTH(datos_siembra[[#This Row],[Date]])</f>
        <v>9</v>
      </c>
      <c r="T629" t="str" cm="1">
        <f t="array" ref="T629">_xlfn.IFS(AND(N629&lt;= 22, S629=9), "SOWING",AND(N629&lt;= 28, S629=9), "COVERAGE",AND(N629&lt;= 30, S629=9), "FLUSH",AND(N629&lt;= 11, S629=10), "FLUSH",AND(N629&lt;= 21, S629=10), "PRODUCTION")</f>
        <v>SOWING</v>
      </c>
      <c r="U629">
        <f>HOUR(datos_siembra[[#This Row],[Hour]])</f>
        <v>20</v>
      </c>
      <c r="V629" cm="1">
        <f t="array" ref="V629">_xlfn.IFS(AND(N629&lt;= 22, S629=9), N629-7,AND(N629&lt;= 28, S629=9), N629-25,AND(N629&lt;= 30, S629=9), N629-28,AND(N629&lt;= 11, S629=10), N629+2,AND(N629&lt;= 21, S629=10), N629-11)</f>
        <v>5</v>
      </c>
    </row>
    <row r="630" spans="1:22" x14ac:dyDescent="0.35">
      <c r="A630" s="4">
        <v>45547</v>
      </c>
      <c r="B630" s="5">
        <v>0.85359953703703706</v>
      </c>
      <c r="C630">
        <v>82.9</v>
      </c>
      <c r="D630">
        <v>82.1</v>
      </c>
      <c r="E630">
        <v>86.3</v>
      </c>
      <c r="F630">
        <v>83.2</v>
      </c>
      <c r="G630">
        <v>0</v>
      </c>
      <c r="H630">
        <v>0</v>
      </c>
      <c r="I630">
        <v>0</v>
      </c>
      <c r="J630">
        <v>0</v>
      </c>
      <c r="K630">
        <v>63.3</v>
      </c>
      <c r="L630">
        <v>61.8</v>
      </c>
      <c r="M630">
        <v>83.58</v>
      </c>
      <c r="N630">
        <v>12</v>
      </c>
      <c r="O630">
        <v>2</v>
      </c>
      <c r="P630">
        <f>MOD(DAY(datos_siembra[[#This Row],[Date]]),7)</f>
        <v>5</v>
      </c>
      <c r="Q630" t="str">
        <f>CHOOSE(WEEKDAY(datos_siembra[[#This Row],[Date]],2),"L","M","X","J","V","S","D")</f>
        <v>J</v>
      </c>
      <c r="R630">
        <f>WEEKNUM(datos_siembra[[#This Row],[Date]],2)-WEEKNUM(DATE(YEAR(datos_siembra[[#This Row],[Date]]),MONTH(datos_siembra[[#This Row],[Date]]),1))+1</f>
        <v>2</v>
      </c>
      <c r="S630">
        <f>MONTH(datos_siembra[[#This Row],[Date]])</f>
        <v>9</v>
      </c>
      <c r="T630" t="str" cm="1">
        <f t="array" ref="T630">_xlfn.IFS(AND(N630&lt;= 22, S630=9), "SOWING",AND(N630&lt;= 28, S630=9), "COVERAGE",AND(N630&lt;= 30, S630=9), "FLUSH",AND(N630&lt;= 11, S630=10), "FLUSH",AND(N630&lt;= 21, S630=10), "PRODUCTION")</f>
        <v>SOWING</v>
      </c>
      <c r="U630">
        <f>HOUR(datos_siembra[[#This Row],[Hour]])</f>
        <v>20</v>
      </c>
      <c r="V630" cm="1">
        <f t="array" ref="V630">_xlfn.IFS(AND(N630&lt;= 22, S630=9), N630-7,AND(N630&lt;= 28, S630=9), N630-25,AND(N630&lt;= 30, S630=9), N630-28,AND(N630&lt;= 11, S630=10), N630+2,AND(N630&lt;= 21, S630=10), N630-11)</f>
        <v>5</v>
      </c>
    </row>
    <row r="631" spans="1:22" x14ac:dyDescent="0.35">
      <c r="A631" s="4">
        <v>45547</v>
      </c>
      <c r="B631" s="5">
        <v>0.86055555555555552</v>
      </c>
      <c r="C631">
        <v>82.9</v>
      </c>
      <c r="D631">
        <v>82.1</v>
      </c>
      <c r="E631">
        <v>86.2</v>
      </c>
      <c r="F631">
        <v>83.4</v>
      </c>
      <c r="G631">
        <v>0</v>
      </c>
      <c r="H631">
        <v>0</v>
      </c>
      <c r="I631">
        <v>0</v>
      </c>
      <c r="J631">
        <v>0</v>
      </c>
      <c r="K631">
        <v>63.3</v>
      </c>
      <c r="L631">
        <v>61.8</v>
      </c>
      <c r="M631">
        <v>83.52</v>
      </c>
      <c r="N631">
        <v>12</v>
      </c>
      <c r="O631">
        <v>2</v>
      </c>
      <c r="P631">
        <f>MOD(DAY(datos_siembra[[#This Row],[Date]]),7)</f>
        <v>5</v>
      </c>
      <c r="Q631" t="str">
        <f>CHOOSE(WEEKDAY(datos_siembra[[#This Row],[Date]],2),"L","M","X","J","V","S","D")</f>
        <v>J</v>
      </c>
      <c r="R631">
        <f>WEEKNUM(datos_siembra[[#This Row],[Date]],2)-WEEKNUM(DATE(YEAR(datos_siembra[[#This Row],[Date]]),MONTH(datos_siembra[[#This Row],[Date]]),1))+1</f>
        <v>2</v>
      </c>
      <c r="S631">
        <f>MONTH(datos_siembra[[#This Row],[Date]])</f>
        <v>9</v>
      </c>
      <c r="T631" t="str" cm="1">
        <f t="array" ref="T631">_xlfn.IFS(AND(N631&lt;= 22, S631=9), "SOWING",AND(N631&lt;= 28, S631=9), "COVERAGE",AND(N631&lt;= 30, S631=9), "FLUSH",AND(N631&lt;= 11, S631=10), "FLUSH",AND(N631&lt;= 21, S631=10), "PRODUCTION")</f>
        <v>SOWING</v>
      </c>
      <c r="U631">
        <f>HOUR(datos_siembra[[#This Row],[Hour]])</f>
        <v>20</v>
      </c>
      <c r="V631" cm="1">
        <f t="array" ref="V631">_xlfn.IFS(AND(N631&lt;= 22, S631=9), N631-7,AND(N631&lt;= 28, S631=9), N631-25,AND(N631&lt;= 30, S631=9), N631-28,AND(N631&lt;= 11, S631=10), N631+2,AND(N631&lt;= 21, S631=10), N631-11)</f>
        <v>5</v>
      </c>
    </row>
    <row r="632" spans="1:22" x14ac:dyDescent="0.35">
      <c r="A632" s="4">
        <v>45547</v>
      </c>
      <c r="B632" s="5">
        <v>0.86750000000000005</v>
      </c>
      <c r="C632">
        <v>82.9</v>
      </c>
      <c r="D632">
        <v>82</v>
      </c>
      <c r="E632">
        <v>86.3</v>
      </c>
      <c r="F632">
        <v>83.2</v>
      </c>
      <c r="G632">
        <v>0</v>
      </c>
      <c r="H632">
        <v>0</v>
      </c>
      <c r="I632">
        <v>0</v>
      </c>
      <c r="J632">
        <v>0</v>
      </c>
      <c r="K632">
        <v>63</v>
      </c>
      <c r="L632">
        <v>61.7</v>
      </c>
      <c r="M632">
        <v>83.61</v>
      </c>
      <c r="N632">
        <v>12</v>
      </c>
      <c r="O632">
        <v>2</v>
      </c>
      <c r="P632">
        <f>MOD(DAY(datos_siembra[[#This Row],[Date]]),7)</f>
        <v>5</v>
      </c>
      <c r="Q632" t="str">
        <f>CHOOSE(WEEKDAY(datos_siembra[[#This Row],[Date]],2),"L","M","X","J","V","S","D")</f>
        <v>J</v>
      </c>
      <c r="R632">
        <f>WEEKNUM(datos_siembra[[#This Row],[Date]],2)-WEEKNUM(DATE(YEAR(datos_siembra[[#This Row],[Date]]),MONTH(datos_siembra[[#This Row],[Date]]),1))+1</f>
        <v>2</v>
      </c>
      <c r="S632">
        <f>MONTH(datos_siembra[[#This Row],[Date]])</f>
        <v>9</v>
      </c>
      <c r="T632" t="str" cm="1">
        <f t="array" ref="T632">_xlfn.IFS(AND(N632&lt;= 22, S632=9), "SOWING",AND(N632&lt;= 28, S632=9), "COVERAGE",AND(N632&lt;= 30, S632=9), "FLUSH",AND(N632&lt;= 11, S632=10), "FLUSH",AND(N632&lt;= 21, S632=10), "PRODUCTION")</f>
        <v>SOWING</v>
      </c>
      <c r="U632">
        <f>HOUR(datos_siembra[[#This Row],[Hour]])</f>
        <v>20</v>
      </c>
      <c r="V632" cm="1">
        <f t="array" ref="V632">_xlfn.IFS(AND(N632&lt;= 22, S632=9), N632-7,AND(N632&lt;= 28, S632=9), N632-25,AND(N632&lt;= 30, S632=9), N632-28,AND(N632&lt;= 11, S632=10), N632+2,AND(N632&lt;= 21, S632=10), N632-11)</f>
        <v>5</v>
      </c>
    </row>
    <row r="633" spans="1:22" x14ac:dyDescent="0.35">
      <c r="A633" s="4">
        <v>45547</v>
      </c>
      <c r="B633" s="5">
        <v>0.87444444444444447</v>
      </c>
      <c r="C633">
        <v>82.9</v>
      </c>
      <c r="D633">
        <v>82</v>
      </c>
      <c r="E633">
        <v>86.2</v>
      </c>
      <c r="F633">
        <v>83.3</v>
      </c>
      <c r="G633">
        <v>0</v>
      </c>
      <c r="H633">
        <v>0</v>
      </c>
      <c r="I633">
        <v>0</v>
      </c>
      <c r="J633">
        <v>0</v>
      </c>
      <c r="K633">
        <v>63</v>
      </c>
      <c r="L633">
        <v>61.6</v>
      </c>
      <c r="M633">
        <v>83.58</v>
      </c>
      <c r="N633">
        <v>12</v>
      </c>
      <c r="O633">
        <v>2</v>
      </c>
      <c r="P633">
        <f>MOD(DAY(datos_siembra[[#This Row],[Date]]),7)</f>
        <v>5</v>
      </c>
      <c r="Q633" t="str">
        <f>CHOOSE(WEEKDAY(datos_siembra[[#This Row],[Date]],2),"L","M","X","J","V","S","D")</f>
        <v>J</v>
      </c>
      <c r="R633">
        <f>WEEKNUM(datos_siembra[[#This Row],[Date]],2)-WEEKNUM(DATE(YEAR(datos_siembra[[#This Row],[Date]]),MONTH(datos_siembra[[#This Row],[Date]]),1))+1</f>
        <v>2</v>
      </c>
      <c r="S633">
        <f>MONTH(datos_siembra[[#This Row],[Date]])</f>
        <v>9</v>
      </c>
      <c r="T633" t="str" cm="1">
        <f t="array" ref="T633">_xlfn.IFS(AND(N633&lt;= 22, S633=9), "SOWING",AND(N633&lt;= 28, S633=9), "COVERAGE",AND(N633&lt;= 30, S633=9), "FLUSH",AND(N633&lt;= 11, S633=10), "FLUSH",AND(N633&lt;= 21, S633=10), "PRODUCTION")</f>
        <v>SOWING</v>
      </c>
      <c r="U633">
        <f>HOUR(datos_siembra[[#This Row],[Hour]])</f>
        <v>20</v>
      </c>
      <c r="V633" cm="1">
        <f t="array" ref="V633">_xlfn.IFS(AND(N633&lt;= 22, S633=9), N633-7,AND(N633&lt;= 28, S633=9), N633-25,AND(N633&lt;= 30, S633=9), N633-28,AND(N633&lt;= 11, S633=10), N633+2,AND(N633&lt;= 21, S633=10), N633-11)</f>
        <v>5</v>
      </c>
    </row>
    <row r="634" spans="1:22" x14ac:dyDescent="0.35">
      <c r="A634" s="4">
        <v>45547</v>
      </c>
      <c r="B634" s="5">
        <v>0.88140046296296293</v>
      </c>
      <c r="C634">
        <v>82.7</v>
      </c>
      <c r="D634">
        <v>81.8</v>
      </c>
      <c r="E634">
        <v>86.2</v>
      </c>
      <c r="F634">
        <v>83.2</v>
      </c>
      <c r="G634">
        <v>0</v>
      </c>
      <c r="H634">
        <v>0</v>
      </c>
      <c r="I634">
        <v>0</v>
      </c>
      <c r="J634">
        <v>0</v>
      </c>
      <c r="K634">
        <v>62.9</v>
      </c>
      <c r="L634">
        <v>61.5</v>
      </c>
      <c r="M634">
        <v>83.44</v>
      </c>
      <c r="N634">
        <v>12</v>
      </c>
      <c r="O634">
        <v>2</v>
      </c>
      <c r="P634">
        <f>MOD(DAY(datos_siembra[[#This Row],[Date]]),7)</f>
        <v>5</v>
      </c>
      <c r="Q634" t="str">
        <f>CHOOSE(WEEKDAY(datos_siembra[[#This Row],[Date]],2),"L","M","X","J","V","S","D")</f>
        <v>J</v>
      </c>
      <c r="R634">
        <f>WEEKNUM(datos_siembra[[#This Row],[Date]],2)-WEEKNUM(DATE(YEAR(datos_siembra[[#This Row],[Date]]),MONTH(datos_siembra[[#This Row],[Date]]),1))+1</f>
        <v>2</v>
      </c>
      <c r="S634">
        <f>MONTH(datos_siembra[[#This Row],[Date]])</f>
        <v>9</v>
      </c>
      <c r="T634" t="str" cm="1">
        <f t="array" ref="T634">_xlfn.IFS(AND(N634&lt;= 22, S634=9), "SOWING",AND(N634&lt;= 28, S634=9), "COVERAGE",AND(N634&lt;= 30, S634=9), "FLUSH",AND(N634&lt;= 11, S634=10), "FLUSH",AND(N634&lt;= 21, S634=10), "PRODUCTION")</f>
        <v>SOWING</v>
      </c>
      <c r="U634">
        <f>HOUR(datos_siembra[[#This Row],[Hour]])</f>
        <v>21</v>
      </c>
      <c r="V634" cm="1">
        <f t="array" ref="V634">_xlfn.IFS(AND(N634&lt;= 22, S634=9), N634-7,AND(N634&lt;= 28, S634=9), N634-25,AND(N634&lt;= 30, S634=9), N634-28,AND(N634&lt;= 11, S634=10), N634+2,AND(N634&lt;= 21, S634=10), N634-11)</f>
        <v>5</v>
      </c>
    </row>
    <row r="635" spans="1:22" x14ac:dyDescent="0.35">
      <c r="A635" s="4">
        <v>45547</v>
      </c>
      <c r="B635" s="5">
        <v>0.88834490740740746</v>
      </c>
      <c r="C635">
        <v>82.7</v>
      </c>
      <c r="D635">
        <v>81.8</v>
      </c>
      <c r="E635">
        <v>86.1</v>
      </c>
      <c r="F635">
        <v>83.3</v>
      </c>
      <c r="G635">
        <v>0</v>
      </c>
      <c r="H635">
        <v>0</v>
      </c>
      <c r="I635">
        <v>0</v>
      </c>
      <c r="J635">
        <v>0</v>
      </c>
      <c r="K635">
        <v>62.9</v>
      </c>
      <c r="L635">
        <v>61.4</v>
      </c>
      <c r="M635">
        <v>83.41</v>
      </c>
      <c r="N635">
        <v>12</v>
      </c>
      <c r="O635">
        <v>2</v>
      </c>
      <c r="P635">
        <f>MOD(DAY(datos_siembra[[#This Row],[Date]]),7)</f>
        <v>5</v>
      </c>
      <c r="Q635" t="str">
        <f>CHOOSE(WEEKDAY(datos_siembra[[#This Row],[Date]],2),"L","M","X","J","V","S","D")</f>
        <v>J</v>
      </c>
      <c r="R635">
        <f>WEEKNUM(datos_siembra[[#This Row],[Date]],2)-WEEKNUM(DATE(YEAR(datos_siembra[[#This Row],[Date]]),MONTH(datos_siembra[[#This Row],[Date]]),1))+1</f>
        <v>2</v>
      </c>
      <c r="S635">
        <f>MONTH(datos_siembra[[#This Row],[Date]])</f>
        <v>9</v>
      </c>
      <c r="T635" t="str" cm="1">
        <f t="array" ref="T635">_xlfn.IFS(AND(N635&lt;= 22, S635=9), "SOWING",AND(N635&lt;= 28, S635=9), "COVERAGE",AND(N635&lt;= 30, S635=9), "FLUSH",AND(N635&lt;= 11, S635=10), "FLUSH",AND(N635&lt;= 21, S635=10), "PRODUCTION")</f>
        <v>SOWING</v>
      </c>
      <c r="U635">
        <f>HOUR(datos_siembra[[#This Row],[Hour]])</f>
        <v>21</v>
      </c>
      <c r="V635" cm="1">
        <f t="array" ref="V635">_xlfn.IFS(AND(N635&lt;= 22, S635=9), N635-7,AND(N635&lt;= 28, S635=9), N635-25,AND(N635&lt;= 30, S635=9), N635-28,AND(N635&lt;= 11, S635=10), N635+2,AND(N635&lt;= 21, S635=10), N635-11)</f>
        <v>5</v>
      </c>
    </row>
    <row r="636" spans="1:22" x14ac:dyDescent="0.35">
      <c r="A636" s="4">
        <v>45547</v>
      </c>
      <c r="B636" s="5">
        <v>0.89528935185185188</v>
      </c>
      <c r="C636">
        <v>82.7</v>
      </c>
      <c r="D636">
        <v>81.8</v>
      </c>
      <c r="E636">
        <v>86.1</v>
      </c>
      <c r="F636">
        <v>83.3</v>
      </c>
      <c r="G636">
        <v>0</v>
      </c>
      <c r="H636">
        <v>0</v>
      </c>
      <c r="I636">
        <v>0</v>
      </c>
      <c r="J636">
        <v>0</v>
      </c>
      <c r="K636">
        <v>62.8</v>
      </c>
      <c r="L636">
        <v>61.2</v>
      </c>
      <c r="M636">
        <v>83.38</v>
      </c>
      <c r="N636">
        <v>12</v>
      </c>
      <c r="O636">
        <v>2</v>
      </c>
      <c r="P636">
        <f>MOD(DAY(datos_siembra[[#This Row],[Date]]),7)</f>
        <v>5</v>
      </c>
      <c r="Q636" t="str">
        <f>CHOOSE(WEEKDAY(datos_siembra[[#This Row],[Date]],2),"L","M","X","J","V","S","D")</f>
        <v>J</v>
      </c>
      <c r="R636">
        <f>WEEKNUM(datos_siembra[[#This Row],[Date]],2)-WEEKNUM(DATE(YEAR(datos_siembra[[#This Row],[Date]]),MONTH(datos_siembra[[#This Row],[Date]]),1))+1</f>
        <v>2</v>
      </c>
      <c r="S636">
        <f>MONTH(datos_siembra[[#This Row],[Date]])</f>
        <v>9</v>
      </c>
      <c r="T636" t="str" cm="1">
        <f t="array" ref="T636">_xlfn.IFS(AND(N636&lt;= 22, S636=9), "SOWING",AND(N636&lt;= 28, S636=9), "COVERAGE",AND(N636&lt;= 30, S636=9), "FLUSH",AND(N636&lt;= 11, S636=10), "FLUSH",AND(N636&lt;= 21, S636=10), "PRODUCTION")</f>
        <v>SOWING</v>
      </c>
      <c r="U636">
        <f>HOUR(datos_siembra[[#This Row],[Hour]])</f>
        <v>21</v>
      </c>
      <c r="V636" cm="1">
        <f t="array" ref="V636">_xlfn.IFS(AND(N636&lt;= 22, S636=9), N636-7,AND(N636&lt;= 28, S636=9), N636-25,AND(N636&lt;= 30, S636=9), N636-28,AND(N636&lt;= 11, S636=10), N636+2,AND(N636&lt;= 21, S636=10), N636-11)</f>
        <v>5</v>
      </c>
    </row>
    <row r="637" spans="1:22" x14ac:dyDescent="0.35">
      <c r="A637" s="4">
        <v>45547</v>
      </c>
      <c r="B637" s="5">
        <v>0.9022337962962963</v>
      </c>
      <c r="C637">
        <v>82.7</v>
      </c>
      <c r="D637">
        <v>81.7</v>
      </c>
      <c r="E637">
        <v>86.2</v>
      </c>
      <c r="F637">
        <v>82.9</v>
      </c>
      <c r="G637">
        <v>0</v>
      </c>
      <c r="H637">
        <v>0</v>
      </c>
      <c r="I637">
        <v>0</v>
      </c>
      <c r="J637">
        <v>0</v>
      </c>
      <c r="K637">
        <v>62.6</v>
      </c>
      <c r="L637">
        <v>61.2</v>
      </c>
      <c r="M637">
        <v>83.47</v>
      </c>
      <c r="N637">
        <v>12</v>
      </c>
      <c r="O637">
        <v>2</v>
      </c>
      <c r="P637">
        <f>MOD(DAY(datos_siembra[[#This Row],[Date]]),7)</f>
        <v>5</v>
      </c>
      <c r="Q637" t="str">
        <f>CHOOSE(WEEKDAY(datos_siembra[[#This Row],[Date]],2),"L","M","X","J","V","S","D")</f>
        <v>J</v>
      </c>
      <c r="R637">
        <f>WEEKNUM(datos_siembra[[#This Row],[Date]],2)-WEEKNUM(DATE(YEAR(datos_siembra[[#This Row],[Date]]),MONTH(datos_siembra[[#This Row],[Date]]),1))+1</f>
        <v>2</v>
      </c>
      <c r="S637">
        <f>MONTH(datos_siembra[[#This Row],[Date]])</f>
        <v>9</v>
      </c>
      <c r="T637" t="str" cm="1">
        <f t="array" ref="T637">_xlfn.IFS(AND(N637&lt;= 22, S637=9), "SOWING",AND(N637&lt;= 28, S637=9), "COVERAGE",AND(N637&lt;= 30, S637=9), "FLUSH",AND(N637&lt;= 11, S637=10), "FLUSH",AND(N637&lt;= 21, S637=10), "PRODUCTION")</f>
        <v>SOWING</v>
      </c>
      <c r="U637">
        <f>HOUR(datos_siembra[[#This Row],[Hour]])</f>
        <v>21</v>
      </c>
      <c r="V637" cm="1">
        <f t="array" ref="V637">_xlfn.IFS(AND(N637&lt;= 22, S637=9), N637-7,AND(N637&lt;= 28, S637=9), N637-25,AND(N637&lt;= 30, S637=9), N637-28,AND(N637&lt;= 11, S637=10), N637+2,AND(N637&lt;= 21, S637=10), N637-11)</f>
        <v>5</v>
      </c>
    </row>
    <row r="638" spans="1:22" x14ac:dyDescent="0.35">
      <c r="A638" s="4">
        <v>45547</v>
      </c>
      <c r="B638" s="5">
        <v>0.90918981481481487</v>
      </c>
      <c r="C638">
        <v>82.6</v>
      </c>
      <c r="D638">
        <v>81.7</v>
      </c>
      <c r="E638">
        <v>86.1</v>
      </c>
      <c r="F638">
        <v>83.3</v>
      </c>
      <c r="G638">
        <v>0</v>
      </c>
      <c r="H638">
        <v>0</v>
      </c>
      <c r="I638">
        <v>0</v>
      </c>
      <c r="J638">
        <v>0</v>
      </c>
      <c r="K638">
        <v>62.6</v>
      </c>
      <c r="L638">
        <v>61.1</v>
      </c>
      <c r="M638">
        <v>83.5</v>
      </c>
      <c r="N638">
        <v>12</v>
      </c>
      <c r="O638">
        <v>2</v>
      </c>
      <c r="P638">
        <f>MOD(DAY(datos_siembra[[#This Row],[Date]]),7)</f>
        <v>5</v>
      </c>
      <c r="Q638" t="str">
        <f>CHOOSE(WEEKDAY(datos_siembra[[#This Row],[Date]],2),"L","M","X","J","V","S","D")</f>
        <v>J</v>
      </c>
      <c r="R638">
        <f>WEEKNUM(datos_siembra[[#This Row],[Date]],2)-WEEKNUM(DATE(YEAR(datos_siembra[[#This Row],[Date]]),MONTH(datos_siembra[[#This Row],[Date]]),1))+1</f>
        <v>2</v>
      </c>
      <c r="S638">
        <f>MONTH(datos_siembra[[#This Row],[Date]])</f>
        <v>9</v>
      </c>
      <c r="T638" t="str" cm="1">
        <f t="array" ref="T638">_xlfn.IFS(AND(N638&lt;= 22, S638=9), "SOWING",AND(N638&lt;= 28, S638=9), "COVERAGE",AND(N638&lt;= 30, S638=9), "FLUSH",AND(N638&lt;= 11, S638=10), "FLUSH",AND(N638&lt;= 21, S638=10), "PRODUCTION")</f>
        <v>SOWING</v>
      </c>
      <c r="U638">
        <f>HOUR(datos_siembra[[#This Row],[Hour]])</f>
        <v>21</v>
      </c>
      <c r="V638" cm="1">
        <f t="array" ref="V638">_xlfn.IFS(AND(N638&lt;= 22, S638=9), N638-7,AND(N638&lt;= 28, S638=9), N638-25,AND(N638&lt;= 30, S638=9), N638-28,AND(N638&lt;= 11, S638=10), N638+2,AND(N638&lt;= 21, S638=10), N638-11)</f>
        <v>5</v>
      </c>
    </row>
    <row r="639" spans="1:22" x14ac:dyDescent="0.35">
      <c r="A639" s="4">
        <v>45547</v>
      </c>
      <c r="B639" s="5">
        <v>0.91613425925925929</v>
      </c>
      <c r="C639">
        <v>82.7</v>
      </c>
      <c r="D639">
        <v>81.7</v>
      </c>
      <c r="E639">
        <v>86.1</v>
      </c>
      <c r="F639">
        <v>83.4</v>
      </c>
      <c r="G639">
        <v>0</v>
      </c>
      <c r="H639">
        <v>0</v>
      </c>
      <c r="I639">
        <v>0</v>
      </c>
      <c r="J639">
        <v>0</v>
      </c>
      <c r="K639">
        <v>62.6</v>
      </c>
      <c r="L639">
        <v>61.1</v>
      </c>
      <c r="M639">
        <v>83.38</v>
      </c>
      <c r="N639">
        <v>12</v>
      </c>
      <c r="O639">
        <v>2</v>
      </c>
      <c r="P639">
        <f>MOD(DAY(datos_siembra[[#This Row],[Date]]),7)</f>
        <v>5</v>
      </c>
      <c r="Q639" t="str">
        <f>CHOOSE(WEEKDAY(datos_siembra[[#This Row],[Date]],2),"L","M","X","J","V","S","D")</f>
        <v>J</v>
      </c>
      <c r="R639">
        <f>WEEKNUM(datos_siembra[[#This Row],[Date]],2)-WEEKNUM(DATE(YEAR(datos_siembra[[#This Row],[Date]]),MONTH(datos_siembra[[#This Row],[Date]]),1))+1</f>
        <v>2</v>
      </c>
      <c r="S639">
        <f>MONTH(datos_siembra[[#This Row],[Date]])</f>
        <v>9</v>
      </c>
      <c r="T639" t="str" cm="1">
        <f t="array" ref="T639">_xlfn.IFS(AND(N639&lt;= 22, S639=9), "SOWING",AND(N639&lt;= 28, S639=9), "COVERAGE",AND(N639&lt;= 30, S639=9), "FLUSH",AND(N639&lt;= 11, S639=10), "FLUSH",AND(N639&lt;= 21, S639=10), "PRODUCTION")</f>
        <v>SOWING</v>
      </c>
      <c r="U639">
        <f>HOUR(datos_siembra[[#This Row],[Hour]])</f>
        <v>21</v>
      </c>
      <c r="V639" cm="1">
        <f t="array" ref="V639">_xlfn.IFS(AND(N639&lt;= 22, S639=9), N639-7,AND(N639&lt;= 28, S639=9), N639-25,AND(N639&lt;= 30, S639=9), N639-28,AND(N639&lt;= 11, S639=10), N639+2,AND(N639&lt;= 21, S639=10), N639-11)</f>
        <v>5</v>
      </c>
    </row>
    <row r="640" spans="1:22" x14ac:dyDescent="0.35">
      <c r="A640" s="4">
        <v>45547</v>
      </c>
      <c r="B640" s="5">
        <v>0.92307870370370371</v>
      </c>
      <c r="C640">
        <v>82.6</v>
      </c>
      <c r="D640">
        <v>81.599999999999994</v>
      </c>
      <c r="E640">
        <v>86.1</v>
      </c>
      <c r="F640">
        <v>83.6</v>
      </c>
      <c r="G640">
        <v>0</v>
      </c>
      <c r="H640">
        <v>0</v>
      </c>
      <c r="I640">
        <v>0</v>
      </c>
      <c r="J640">
        <v>0</v>
      </c>
      <c r="K640">
        <v>62.6</v>
      </c>
      <c r="L640">
        <v>61</v>
      </c>
      <c r="M640">
        <v>83.3</v>
      </c>
      <c r="N640">
        <v>12</v>
      </c>
      <c r="O640">
        <v>2</v>
      </c>
      <c r="P640">
        <f>MOD(DAY(datos_siembra[[#This Row],[Date]]),7)</f>
        <v>5</v>
      </c>
      <c r="Q640" t="str">
        <f>CHOOSE(WEEKDAY(datos_siembra[[#This Row],[Date]],2),"L","M","X","J","V","S","D")</f>
        <v>J</v>
      </c>
      <c r="R640">
        <f>WEEKNUM(datos_siembra[[#This Row],[Date]],2)-WEEKNUM(DATE(YEAR(datos_siembra[[#This Row],[Date]]),MONTH(datos_siembra[[#This Row],[Date]]),1))+1</f>
        <v>2</v>
      </c>
      <c r="S640">
        <f>MONTH(datos_siembra[[#This Row],[Date]])</f>
        <v>9</v>
      </c>
      <c r="T640" t="str" cm="1">
        <f t="array" ref="T640">_xlfn.IFS(AND(N640&lt;= 22, S640=9), "SOWING",AND(N640&lt;= 28, S640=9), "COVERAGE",AND(N640&lt;= 30, S640=9), "FLUSH",AND(N640&lt;= 11, S640=10), "FLUSH",AND(N640&lt;= 21, S640=10), "PRODUCTION")</f>
        <v>SOWING</v>
      </c>
      <c r="U640">
        <f>HOUR(datos_siembra[[#This Row],[Hour]])</f>
        <v>22</v>
      </c>
      <c r="V640" cm="1">
        <f t="array" ref="V640">_xlfn.IFS(AND(N640&lt;= 22, S640=9), N640-7,AND(N640&lt;= 28, S640=9), N640-25,AND(N640&lt;= 30, S640=9), N640-28,AND(N640&lt;= 11, S640=10), N640+2,AND(N640&lt;= 21, S640=10), N640-11)</f>
        <v>5</v>
      </c>
    </row>
    <row r="641" spans="1:22" x14ac:dyDescent="0.35">
      <c r="A641" s="4">
        <v>45547</v>
      </c>
      <c r="B641" s="5">
        <v>0.93002314814814813</v>
      </c>
      <c r="C641">
        <v>82.6</v>
      </c>
      <c r="D641">
        <v>81.5</v>
      </c>
      <c r="E641">
        <v>86.1</v>
      </c>
      <c r="F641">
        <v>83.1</v>
      </c>
      <c r="G641">
        <v>0</v>
      </c>
      <c r="H641">
        <v>0</v>
      </c>
      <c r="I641">
        <v>0</v>
      </c>
      <c r="J641">
        <v>0</v>
      </c>
      <c r="K641">
        <v>62.4</v>
      </c>
      <c r="L641">
        <v>60.9</v>
      </c>
      <c r="M641">
        <v>83.41</v>
      </c>
      <c r="N641">
        <v>12</v>
      </c>
      <c r="O641">
        <v>2</v>
      </c>
      <c r="P641">
        <f>MOD(DAY(datos_siembra[[#This Row],[Date]]),7)</f>
        <v>5</v>
      </c>
      <c r="Q641" t="str">
        <f>CHOOSE(WEEKDAY(datos_siembra[[#This Row],[Date]],2),"L","M","X","J","V","S","D")</f>
        <v>J</v>
      </c>
      <c r="R641">
        <f>WEEKNUM(datos_siembra[[#This Row],[Date]],2)-WEEKNUM(DATE(YEAR(datos_siembra[[#This Row],[Date]]),MONTH(datos_siembra[[#This Row],[Date]]),1))+1</f>
        <v>2</v>
      </c>
      <c r="S641">
        <f>MONTH(datos_siembra[[#This Row],[Date]])</f>
        <v>9</v>
      </c>
      <c r="T641" t="str" cm="1">
        <f t="array" ref="T641">_xlfn.IFS(AND(N641&lt;= 22, S641=9), "SOWING",AND(N641&lt;= 28, S641=9), "COVERAGE",AND(N641&lt;= 30, S641=9), "FLUSH",AND(N641&lt;= 11, S641=10), "FLUSH",AND(N641&lt;= 21, S641=10), "PRODUCTION")</f>
        <v>SOWING</v>
      </c>
      <c r="U641">
        <f>HOUR(datos_siembra[[#This Row],[Hour]])</f>
        <v>22</v>
      </c>
      <c r="V641" cm="1">
        <f t="array" ref="V641">_xlfn.IFS(AND(N641&lt;= 22, S641=9), N641-7,AND(N641&lt;= 28, S641=9), N641-25,AND(N641&lt;= 30, S641=9), N641-28,AND(N641&lt;= 11, S641=10), N641+2,AND(N641&lt;= 21, S641=10), N641-11)</f>
        <v>5</v>
      </c>
    </row>
    <row r="642" spans="1:22" x14ac:dyDescent="0.35">
      <c r="A642" s="4">
        <v>45547</v>
      </c>
      <c r="B642" s="5">
        <v>0.9369791666666667</v>
      </c>
      <c r="C642">
        <v>82.7</v>
      </c>
      <c r="D642">
        <v>81.5</v>
      </c>
      <c r="E642">
        <v>86.1</v>
      </c>
      <c r="F642">
        <v>83</v>
      </c>
      <c r="G642">
        <v>0</v>
      </c>
      <c r="H642">
        <v>0</v>
      </c>
      <c r="I642">
        <v>0</v>
      </c>
      <c r="J642">
        <v>0</v>
      </c>
      <c r="K642">
        <v>62.5</v>
      </c>
      <c r="L642">
        <v>60.9</v>
      </c>
      <c r="M642">
        <v>83.22</v>
      </c>
      <c r="N642">
        <v>12</v>
      </c>
      <c r="O642">
        <v>2</v>
      </c>
      <c r="P642">
        <f>MOD(DAY(datos_siembra[[#This Row],[Date]]),7)</f>
        <v>5</v>
      </c>
      <c r="Q642" t="str">
        <f>CHOOSE(WEEKDAY(datos_siembra[[#This Row],[Date]],2),"L","M","X","J","V","S","D")</f>
        <v>J</v>
      </c>
      <c r="R642">
        <f>WEEKNUM(datos_siembra[[#This Row],[Date]],2)-WEEKNUM(DATE(YEAR(datos_siembra[[#This Row],[Date]]),MONTH(datos_siembra[[#This Row],[Date]]),1))+1</f>
        <v>2</v>
      </c>
      <c r="S642">
        <f>MONTH(datos_siembra[[#This Row],[Date]])</f>
        <v>9</v>
      </c>
      <c r="T642" t="str" cm="1">
        <f t="array" ref="T642">_xlfn.IFS(AND(N642&lt;= 22, S642=9), "SOWING",AND(N642&lt;= 28, S642=9), "COVERAGE",AND(N642&lt;= 30, S642=9), "FLUSH",AND(N642&lt;= 11, S642=10), "FLUSH",AND(N642&lt;= 21, S642=10), "PRODUCTION")</f>
        <v>SOWING</v>
      </c>
      <c r="U642">
        <f>HOUR(datos_siembra[[#This Row],[Hour]])</f>
        <v>22</v>
      </c>
      <c r="V642" cm="1">
        <f t="array" ref="V642">_xlfn.IFS(AND(N642&lt;= 22, S642=9), N642-7,AND(N642&lt;= 28, S642=9), N642-25,AND(N642&lt;= 30, S642=9), N642-28,AND(N642&lt;= 11, S642=10), N642+2,AND(N642&lt;= 21, S642=10), N642-11)</f>
        <v>5</v>
      </c>
    </row>
    <row r="643" spans="1:22" x14ac:dyDescent="0.35">
      <c r="A643" s="4">
        <v>45547</v>
      </c>
      <c r="B643" s="5">
        <v>0.94392361111111112</v>
      </c>
      <c r="C643">
        <v>82.7</v>
      </c>
      <c r="D643">
        <v>81.5</v>
      </c>
      <c r="E643">
        <v>86</v>
      </c>
      <c r="F643">
        <v>83.3</v>
      </c>
      <c r="G643">
        <v>0</v>
      </c>
      <c r="H643">
        <v>0</v>
      </c>
      <c r="I643">
        <v>0</v>
      </c>
      <c r="J643">
        <v>0</v>
      </c>
      <c r="K643">
        <v>62.4</v>
      </c>
      <c r="L643">
        <v>60.9</v>
      </c>
      <c r="M643">
        <v>83.13</v>
      </c>
      <c r="N643">
        <v>12</v>
      </c>
      <c r="O643">
        <v>2</v>
      </c>
      <c r="P643">
        <f>MOD(DAY(datos_siembra[[#This Row],[Date]]),7)</f>
        <v>5</v>
      </c>
      <c r="Q643" t="str">
        <f>CHOOSE(WEEKDAY(datos_siembra[[#This Row],[Date]],2),"L","M","X","J","V","S","D")</f>
        <v>J</v>
      </c>
      <c r="R643">
        <f>WEEKNUM(datos_siembra[[#This Row],[Date]],2)-WEEKNUM(DATE(YEAR(datos_siembra[[#This Row],[Date]]),MONTH(datos_siembra[[#This Row],[Date]]),1))+1</f>
        <v>2</v>
      </c>
      <c r="S643">
        <f>MONTH(datos_siembra[[#This Row],[Date]])</f>
        <v>9</v>
      </c>
      <c r="T643" t="str" cm="1">
        <f t="array" ref="T643">_xlfn.IFS(AND(N643&lt;= 22, S643=9), "SOWING",AND(N643&lt;= 28, S643=9), "COVERAGE",AND(N643&lt;= 30, S643=9), "FLUSH",AND(N643&lt;= 11, S643=10), "FLUSH",AND(N643&lt;= 21, S643=10), "PRODUCTION")</f>
        <v>SOWING</v>
      </c>
      <c r="U643">
        <f>HOUR(datos_siembra[[#This Row],[Hour]])</f>
        <v>22</v>
      </c>
      <c r="V643" cm="1">
        <f t="array" ref="V643">_xlfn.IFS(AND(N643&lt;= 22, S643=9), N643-7,AND(N643&lt;= 28, S643=9), N643-25,AND(N643&lt;= 30, S643=9), N643-28,AND(N643&lt;= 11, S643=10), N643+2,AND(N643&lt;= 21, S643=10), N643-11)</f>
        <v>5</v>
      </c>
    </row>
    <row r="644" spans="1:22" x14ac:dyDescent="0.35">
      <c r="A644" s="4">
        <v>45547</v>
      </c>
      <c r="B644" s="5">
        <v>0.95086805555555554</v>
      </c>
      <c r="C644">
        <v>82.6</v>
      </c>
      <c r="D644">
        <v>81.5</v>
      </c>
      <c r="E644">
        <v>86</v>
      </c>
      <c r="F644">
        <v>83.1</v>
      </c>
      <c r="G644">
        <v>0</v>
      </c>
      <c r="H644">
        <v>0</v>
      </c>
      <c r="I644">
        <v>0</v>
      </c>
      <c r="J644">
        <v>0</v>
      </c>
      <c r="K644">
        <v>62.3</v>
      </c>
      <c r="L644">
        <v>60.6</v>
      </c>
      <c r="M644">
        <v>83.22</v>
      </c>
      <c r="N644">
        <v>12</v>
      </c>
      <c r="O644">
        <v>2</v>
      </c>
      <c r="P644">
        <f>MOD(DAY(datos_siembra[[#This Row],[Date]]),7)</f>
        <v>5</v>
      </c>
      <c r="Q644" t="str">
        <f>CHOOSE(WEEKDAY(datos_siembra[[#This Row],[Date]],2),"L","M","X","J","V","S","D")</f>
        <v>J</v>
      </c>
      <c r="R644">
        <f>WEEKNUM(datos_siembra[[#This Row],[Date]],2)-WEEKNUM(DATE(YEAR(datos_siembra[[#This Row],[Date]]),MONTH(datos_siembra[[#This Row],[Date]]),1))+1</f>
        <v>2</v>
      </c>
      <c r="S644">
        <f>MONTH(datos_siembra[[#This Row],[Date]])</f>
        <v>9</v>
      </c>
      <c r="T644" t="str" cm="1">
        <f t="array" ref="T644">_xlfn.IFS(AND(N644&lt;= 22, S644=9), "SOWING",AND(N644&lt;= 28, S644=9), "COVERAGE",AND(N644&lt;= 30, S644=9), "FLUSH",AND(N644&lt;= 11, S644=10), "FLUSH",AND(N644&lt;= 21, S644=10), "PRODUCTION")</f>
        <v>SOWING</v>
      </c>
      <c r="U644">
        <f>HOUR(datos_siembra[[#This Row],[Hour]])</f>
        <v>22</v>
      </c>
      <c r="V644" cm="1">
        <f t="array" ref="V644">_xlfn.IFS(AND(N644&lt;= 22, S644=9), N644-7,AND(N644&lt;= 28, S644=9), N644-25,AND(N644&lt;= 30, S644=9), N644-28,AND(N644&lt;= 11, S644=10), N644+2,AND(N644&lt;= 21, S644=10), N644-11)</f>
        <v>5</v>
      </c>
    </row>
    <row r="645" spans="1:22" x14ac:dyDescent="0.35">
      <c r="A645" s="4">
        <v>45547</v>
      </c>
      <c r="B645" s="5">
        <v>0.95782407407407411</v>
      </c>
      <c r="C645">
        <v>82.6</v>
      </c>
      <c r="D645">
        <v>81.400000000000006</v>
      </c>
      <c r="E645">
        <v>85.8</v>
      </c>
      <c r="F645">
        <v>82.5</v>
      </c>
      <c r="G645">
        <v>0</v>
      </c>
      <c r="H645">
        <v>0</v>
      </c>
      <c r="I645">
        <v>0</v>
      </c>
      <c r="J645">
        <v>0</v>
      </c>
      <c r="K645">
        <v>62.3</v>
      </c>
      <c r="L645">
        <v>60.7</v>
      </c>
      <c r="M645">
        <v>83.13</v>
      </c>
      <c r="N645">
        <v>12</v>
      </c>
      <c r="O645">
        <v>2</v>
      </c>
      <c r="P645">
        <f>MOD(DAY(datos_siembra[[#This Row],[Date]]),7)</f>
        <v>5</v>
      </c>
      <c r="Q645" t="str">
        <f>CHOOSE(WEEKDAY(datos_siembra[[#This Row],[Date]],2),"L","M","X","J","V","S","D")</f>
        <v>J</v>
      </c>
      <c r="R645">
        <f>WEEKNUM(datos_siembra[[#This Row],[Date]],2)-WEEKNUM(DATE(YEAR(datos_siembra[[#This Row],[Date]]),MONTH(datos_siembra[[#This Row],[Date]]),1))+1</f>
        <v>2</v>
      </c>
      <c r="S645">
        <f>MONTH(datos_siembra[[#This Row],[Date]])</f>
        <v>9</v>
      </c>
      <c r="T645" t="str" cm="1">
        <f t="array" ref="T645">_xlfn.IFS(AND(N645&lt;= 22, S645=9), "SOWING",AND(N645&lt;= 28, S645=9), "COVERAGE",AND(N645&lt;= 30, S645=9), "FLUSH",AND(N645&lt;= 11, S645=10), "FLUSH",AND(N645&lt;= 21, S645=10), "PRODUCTION")</f>
        <v>SOWING</v>
      </c>
      <c r="U645">
        <f>HOUR(datos_siembra[[#This Row],[Hour]])</f>
        <v>22</v>
      </c>
      <c r="V645" cm="1">
        <f t="array" ref="V645">_xlfn.IFS(AND(N645&lt;= 22, S645=9), N645-7,AND(N645&lt;= 28, S645=9), N645-25,AND(N645&lt;= 30, S645=9), N645-28,AND(N645&lt;= 11, S645=10), N645+2,AND(N645&lt;= 21, S645=10), N645-11)</f>
        <v>5</v>
      </c>
    </row>
    <row r="646" spans="1:22" x14ac:dyDescent="0.35">
      <c r="A646" s="4">
        <v>45547</v>
      </c>
      <c r="B646" s="5">
        <v>0.96476851851851853</v>
      </c>
      <c r="C646">
        <v>82.7</v>
      </c>
      <c r="D646">
        <v>81.3</v>
      </c>
      <c r="E646">
        <v>85.9</v>
      </c>
      <c r="F646">
        <v>82.4</v>
      </c>
      <c r="G646">
        <v>0</v>
      </c>
      <c r="H646">
        <v>0</v>
      </c>
      <c r="I646">
        <v>0</v>
      </c>
      <c r="J646">
        <v>0</v>
      </c>
      <c r="K646">
        <v>62.3</v>
      </c>
      <c r="L646">
        <v>60.7</v>
      </c>
      <c r="M646">
        <v>83.07</v>
      </c>
      <c r="N646">
        <v>12</v>
      </c>
      <c r="O646">
        <v>2</v>
      </c>
      <c r="P646">
        <f>MOD(DAY(datos_siembra[[#This Row],[Date]]),7)</f>
        <v>5</v>
      </c>
      <c r="Q646" t="str">
        <f>CHOOSE(WEEKDAY(datos_siembra[[#This Row],[Date]],2),"L","M","X","J","V","S","D")</f>
        <v>J</v>
      </c>
      <c r="R646">
        <f>WEEKNUM(datos_siembra[[#This Row],[Date]],2)-WEEKNUM(DATE(YEAR(datos_siembra[[#This Row],[Date]]),MONTH(datos_siembra[[#This Row],[Date]]),1))+1</f>
        <v>2</v>
      </c>
      <c r="S646">
        <f>MONTH(datos_siembra[[#This Row],[Date]])</f>
        <v>9</v>
      </c>
      <c r="T646" t="str" cm="1">
        <f t="array" ref="T646">_xlfn.IFS(AND(N646&lt;= 22, S646=9), "SOWING",AND(N646&lt;= 28, S646=9), "COVERAGE",AND(N646&lt;= 30, S646=9), "FLUSH",AND(N646&lt;= 11, S646=10), "FLUSH",AND(N646&lt;= 21, S646=10), "PRODUCTION")</f>
        <v>SOWING</v>
      </c>
      <c r="U646">
        <f>HOUR(datos_siembra[[#This Row],[Hour]])</f>
        <v>23</v>
      </c>
      <c r="V646" cm="1">
        <f t="array" ref="V646">_xlfn.IFS(AND(N646&lt;= 22, S646=9), N646-7,AND(N646&lt;= 28, S646=9), N646-25,AND(N646&lt;= 30, S646=9), N646-28,AND(N646&lt;= 11, S646=10), N646+2,AND(N646&lt;= 21, S646=10), N646-11)</f>
        <v>5</v>
      </c>
    </row>
    <row r="647" spans="1:22" x14ac:dyDescent="0.35">
      <c r="A647" s="4">
        <v>45547</v>
      </c>
      <c r="B647" s="5">
        <v>0.97171296296296295</v>
      </c>
      <c r="C647">
        <v>82.6</v>
      </c>
      <c r="D647">
        <v>81.400000000000006</v>
      </c>
      <c r="E647">
        <v>85.9</v>
      </c>
      <c r="F647">
        <v>82.9</v>
      </c>
      <c r="G647">
        <v>0</v>
      </c>
      <c r="H647">
        <v>0</v>
      </c>
      <c r="I647">
        <v>0</v>
      </c>
      <c r="J647">
        <v>0</v>
      </c>
      <c r="K647">
        <v>62.3</v>
      </c>
      <c r="L647">
        <v>60.7</v>
      </c>
      <c r="M647">
        <v>83.19</v>
      </c>
      <c r="N647">
        <v>12</v>
      </c>
      <c r="O647">
        <v>2</v>
      </c>
      <c r="P647">
        <f>MOD(DAY(datos_siembra[[#This Row],[Date]]),7)</f>
        <v>5</v>
      </c>
      <c r="Q647" t="str">
        <f>CHOOSE(WEEKDAY(datos_siembra[[#This Row],[Date]],2),"L","M","X","J","V","S","D")</f>
        <v>J</v>
      </c>
      <c r="R647">
        <f>WEEKNUM(datos_siembra[[#This Row],[Date]],2)-WEEKNUM(DATE(YEAR(datos_siembra[[#This Row],[Date]]),MONTH(datos_siembra[[#This Row],[Date]]),1))+1</f>
        <v>2</v>
      </c>
      <c r="S647">
        <f>MONTH(datos_siembra[[#This Row],[Date]])</f>
        <v>9</v>
      </c>
      <c r="T647" t="str" cm="1">
        <f t="array" ref="T647">_xlfn.IFS(AND(N647&lt;= 22, S647=9), "SOWING",AND(N647&lt;= 28, S647=9), "COVERAGE",AND(N647&lt;= 30, S647=9), "FLUSH",AND(N647&lt;= 11, S647=10), "FLUSH",AND(N647&lt;= 21, S647=10), "PRODUCTION")</f>
        <v>SOWING</v>
      </c>
      <c r="U647">
        <f>HOUR(datos_siembra[[#This Row],[Hour]])</f>
        <v>23</v>
      </c>
      <c r="V647" cm="1">
        <f t="array" ref="V647">_xlfn.IFS(AND(N647&lt;= 22, S647=9), N647-7,AND(N647&lt;= 28, S647=9), N647-25,AND(N647&lt;= 30, S647=9), N647-28,AND(N647&lt;= 11, S647=10), N647+2,AND(N647&lt;= 21, S647=10), N647-11)</f>
        <v>5</v>
      </c>
    </row>
    <row r="648" spans="1:22" x14ac:dyDescent="0.35">
      <c r="A648" s="4">
        <v>45547</v>
      </c>
      <c r="B648" s="5">
        <v>0.97865740740740736</v>
      </c>
      <c r="C648">
        <v>82.6</v>
      </c>
      <c r="D648">
        <v>81.3</v>
      </c>
      <c r="E648">
        <v>85.9</v>
      </c>
      <c r="F648">
        <v>83.1</v>
      </c>
      <c r="G648">
        <v>0</v>
      </c>
      <c r="H648">
        <v>0</v>
      </c>
      <c r="I648">
        <v>0</v>
      </c>
      <c r="J648">
        <v>0</v>
      </c>
      <c r="K648">
        <v>62</v>
      </c>
      <c r="L648">
        <v>60.6</v>
      </c>
      <c r="M648">
        <v>83.02</v>
      </c>
      <c r="N648">
        <v>12</v>
      </c>
      <c r="O648">
        <v>2</v>
      </c>
      <c r="P648">
        <f>MOD(DAY(datos_siembra[[#This Row],[Date]]),7)</f>
        <v>5</v>
      </c>
      <c r="Q648" t="str">
        <f>CHOOSE(WEEKDAY(datos_siembra[[#This Row],[Date]],2),"L","M","X","J","V","S","D")</f>
        <v>J</v>
      </c>
      <c r="R648">
        <f>WEEKNUM(datos_siembra[[#This Row],[Date]],2)-WEEKNUM(DATE(YEAR(datos_siembra[[#This Row],[Date]]),MONTH(datos_siembra[[#This Row],[Date]]),1))+1</f>
        <v>2</v>
      </c>
      <c r="S648">
        <f>MONTH(datos_siembra[[#This Row],[Date]])</f>
        <v>9</v>
      </c>
      <c r="T648" t="str" cm="1">
        <f t="array" ref="T648">_xlfn.IFS(AND(N648&lt;= 22, S648=9), "SOWING",AND(N648&lt;= 28, S648=9), "COVERAGE",AND(N648&lt;= 30, S648=9), "FLUSH",AND(N648&lt;= 11, S648=10), "FLUSH",AND(N648&lt;= 21, S648=10), "PRODUCTION")</f>
        <v>SOWING</v>
      </c>
      <c r="U648">
        <f>HOUR(datos_siembra[[#This Row],[Hour]])</f>
        <v>23</v>
      </c>
      <c r="V648" cm="1">
        <f t="array" ref="V648">_xlfn.IFS(AND(N648&lt;= 22, S648=9), N648-7,AND(N648&lt;= 28, S648=9), N648-25,AND(N648&lt;= 30, S648=9), N648-28,AND(N648&lt;= 11, S648=10), N648+2,AND(N648&lt;= 21, S648=10), N648-11)</f>
        <v>5</v>
      </c>
    </row>
    <row r="649" spans="1:22" x14ac:dyDescent="0.35">
      <c r="A649" s="4">
        <v>45547</v>
      </c>
      <c r="B649" s="5">
        <v>0.98561342592592593</v>
      </c>
      <c r="C649">
        <v>82.6</v>
      </c>
      <c r="D649">
        <v>81.099999999999994</v>
      </c>
      <c r="E649">
        <v>85.9</v>
      </c>
      <c r="F649">
        <v>83.3</v>
      </c>
      <c r="G649">
        <v>0</v>
      </c>
      <c r="H649">
        <v>0</v>
      </c>
      <c r="I649">
        <v>0</v>
      </c>
      <c r="J649">
        <v>0</v>
      </c>
      <c r="K649">
        <v>62.2</v>
      </c>
      <c r="L649">
        <v>60.6</v>
      </c>
      <c r="M649">
        <v>83.1</v>
      </c>
      <c r="N649">
        <v>12</v>
      </c>
      <c r="O649">
        <v>2</v>
      </c>
      <c r="P649">
        <f>MOD(DAY(datos_siembra[[#This Row],[Date]]),7)</f>
        <v>5</v>
      </c>
      <c r="Q649" t="str">
        <f>CHOOSE(WEEKDAY(datos_siembra[[#This Row],[Date]],2),"L","M","X","J","V","S","D")</f>
        <v>J</v>
      </c>
      <c r="R649">
        <f>WEEKNUM(datos_siembra[[#This Row],[Date]],2)-WEEKNUM(DATE(YEAR(datos_siembra[[#This Row],[Date]]),MONTH(datos_siembra[[#This Row],[Date]]),1))+1</f>
        <v>2</v>
      </c>
      <c r="S649">
        <f>MONTH(datos_siembra[[#This Row],[Date]])</f>
        <v>9</v>
      </c>
      <c r="T649" t="str" cm="1">
        <f t="array" ref="T649">_xlfn.IFS(AND(N649&lt;= 22, S649=9), "SOWING",AND(N649&lt;= 28, S649=9), "COVERAGE",AND(N649&lt;= 30, S649=9), "FLUSH",AND(N649&lt;= 11, S649=10), "FLUSH",AND(N649&lt;= 21, S649=10), "PRODUCTION")</f>
        <v>SOWING</v>
      </c>
      <c r="U649">
        <f>HOUR(datos_siembra[[#This Row],[Hour]])</f>
        <v>23</v>
      </c>
      <c r="V649" cm="1">
        <f t="array" ref="V649">_xlfn.IFS(AND(N649&lt;= 22, S649=9), N649-7,AND(N649&lt;= 28, S649=9), N649-25,AND(N649&lt;= 30, S649=9), N649-28,AND(N649&lt;= 11, S649=10), N649+2,AND(N649&lt;= 21, S649=10), N649-11)</f>
        <v>5</v>
      </c>
    </row>
    <row r="650" spans="1:22" x14ac:dyDescent="0.35">
      <c r="A650" s="4">
        <v>45547</v>
      </c>
      <c r="B650" s="5">
        <v>0.99255787037037035</v>
      </c>
      <c r="C650">
        <v>82.6</v>
      </c>
      <c r="D650">
        <v>81.099999999999994</v>
      </c>
      <c r="E650">
        <v>85.8</v>
      </c>
      <c r="F650">
        <v>83.4</v>
      </c>
      <c r="G650">
        <v>0</v>
      </c>
      <c r="H650">
        <v>0</v>
      </c>
      <c r="I650">
        <v>0</v>
      </c>
      <c r="J650">
        <v>0</v>
      </c>
      <c r="K650">
        <v>62</v>
      </c>
      <c r="L650">
        <v>60.6</v>
      </c>
      <c r="M650">
        <v>83.22</v>
      </c>
      <c r="N650">
        <v>12</v>
      </c>
      <c r="O650">
        <v>2</v>
      </c>
      <c r="P650">
        <f>MOD(DAY(datos_siembra[[#This Row],[Date]]),7)</f>
        <v>5</v>
      </c>
      <c r="Q650" t="str">
        <f>CHOOSE(WEEKDAY(datos_siembra[[#This Row],[Date]],2),"L","M","X","J","V","S","D")</f>
        <v>J</v>
      </c>
      <c r="R650">
        <f>WEEKNUM(datos_siembra[[#This Row],[Date]],2)-WEEKNUM(DATE(YEAR(datos_siembra[[#This Row],[Date]]),MONTH(datos_siembra[[#This Row],[Date]]),1))+1</f>
        <v>2</v>
      </c>
      <c r="S650">
        <f>MONTH(datos_siembra[[#This Row],[Date]])</f>
        <v>9</v>
      </c>
      <c r="T650" t="str" cm="1">
        <f t="array" ref="T650">_xlfn.IFS(AND(N650&lt;= 22, S650=9), "SOWING",AND(N650&lt;= 28, S650=9), "COVERAGE",AND(N650&lt;= 30, S650=9), "FLUSH",AND(N650&lt;= 11, S650=10), "FLUSH",AND(N650&lt;= 21, S650=10), "PRODUCTION")</f>
        <v>SOWING</v>
      </c>
      <c r="U650">
        <f>HOUR(datos_siembra[[#This Row],[Hour]])</f>
        <v>23</v>
      </c>
      <c r="V650" cm="1">
        <f t="array" ref="V650">_xlfn.IFS(AND(N650&lt;= 22, S650=9), N650-7,AND(N650&lt;= 28, S650=9), N650-25,AND(N650&lt;= 30, S650=9), N650-28,AND(N650&lt;= 11, S650=10), N650+2,AND(N650&lt;= 21, S650=10), N650-11)</f>
        <v>5</v>
      </c>
    </row>
    <row r="651" spans="1:22" x14ac:dyDescent="0.35">
      <c r="A651" s="4">
        <v>45547</v>
      </c>
      <c r="B651" s="5">
        <v>0.99950231481481477</v>
      </c>
      <c r="C651">
        <v>82.7</v>
      </c>
      <c r="D651">
        <v>81.2</v>
      </c>
      <c r="E651">
        <v>85.8</v>
      </c>
      <c r="F651">
        <v>83.1</v>
      </c>
      <c r="G651">
        <v>0</v>
      </c>
      <c r="H651">
        <v>0</v>
      </c>
      <c r="I651">
        <v>0</v>
      </c>
      <c r="J651">
        <v>0</v>
      </c>
      <c r="K651">
        <v>62</v>
      </c>
      <c r="L651">
        <v>60.5</v>
      </c>
      <c r="M651">
        <v>83.16</v>
      </c>
      <c r="N651">
        <v>12</v>
      </c>
      <c r="O651">
        <v>2</v>
      </c>
      <c r="P651">
        <f>MOD(DAY(datos_siembra[[#This Row],[Date]]),7)</f>
        <v>5</v>
      </c>
      <c r="Q651" t="str">
        <f>CHOOSE(WEEKDAY(datos_siembra[[#This Row],[Date]],2),"L","M","X","J","V","S","D")</f>
        <v>J</v>
      </c>
      <c r="R651">
        <f>WEEKNUM(datos_siembra[[#This Row],[Date]],2)-WEEKNUM(DATE(YEAR(datos_siembra[[#This Row],[Date]]),MONTH(datos_siembra[[#This Row],[Date]]),1))+1</f>
        <v>2</v>
      </c>
      <c r="S651">
        <f>MONTH(datos_siembra[[#This Row],[Date]])</f>
        <v>9</v>
      </c>
      <c r="T651" t="str" cm="1">
        <f t="array" ref="T651">_xlfn.IFS(AND(N651&lt;= 22, S651=9), "SOWING",AND(N651&lt;= 28, S651=9), "COVERAGE",AND(N651&lt;= 30, S651=9), "FLUSH",AND(N651&lt;= 11, S651=10), "FLUSH",AND(N651&lt;= 21, S651=10), "PRODUCTION")</f>
        <v>SOWING</v>
      </c>
      <c r="U651">
        <f>HOUR(datos_siembra[[#This Row],[Hour]])</f>
        <v>23</v>
      </c>
      <c r="V651" cm="1">
        <f t="array" ref="V651">_xlfn.IFS(AND(N651&lt;= 22, S651=9), N651-7,AND(N651&lt;= 28, S651=9), N651-25,AND(N651&lt;= 30, S651=9), N651-28,AND(N651&lt;= 11, S651=10), N651+2,AND(N651&lt;= 21, S651=10), N651-11)</f>
        <v>5</v>
      </c>
    </row>
    <row r="652" spans="1:22" x14ac:dyDescent="0.35">
      <c r="A652" s="4">
        <v>45548</v>
      </c>
      <c r="B652" s="5">
        <v>6.4467592592592588E-3</v>
      </c>
      <c r="C652">
        <v>82.7</v>
      </c>
      <c r="D652">
        <v>81.2</v>
      </c>
      <c r="E652">
        <v>85.8</v>
      </c>
      <c r="F652">
        <v>82.4</v>
      </c>
      <c r="G652">
        <v>0</v>
      </c>
      <c r="H652">
        <v>0</v>
      </c>
      <c r="I652">
        <v>0</v>
      </c>
      <c r="J652">
        <v>0</v>
      </c>
      <c r="K652">
        <v>61.9</v>
      </c>
      <c r="L652">
        <v>60.3</v>
      </c>
      <c r="M652">
        <v>83.13</v>
      </c>
      <c r="N652">
        <v>13</v>
      </c>
      <c r="O652">
        <v>3</v>
      </c>
      <c r="P652">
        <f>MOD(DAY(datos_siembra[[#This Row],[Date]]),7)</f>
        <v>6</v>
      </c>
      <c r="Q652" t="str">
        <f>CHOOSE(WEEKDAY(datos_siembra[[#This Row],[Date]],2),"L","M","X","J","V","S","D")</f>
        <v>V</v>
      </c>
      <c r="R652">
        <f>WEEKNUM(datos_siembra[[#This Row],[Date]],2)-WEEKNUM(DATE(YEAR(datos_siembra[[#This Row],[Date]]),MONTH(datos_siembra[[#This Row],[Date]]),1))+1</f>
        <v>2</v>
      </c>
      <c r="S652">
        <f>MONTH(datos_siembra[[#This Row],[Date]])</f>
        <v>9</v>
      </c>
      <c r="T652" t="str" cm="1">
        <f t="array" ref="T652">_xlfn.IFS(AND(N652&lt;= 22, S652=9), "SOWING",AND(N652&lt;= 28, S652=9), "COVERAGE",AND(N652&lt;= 30, S652=9), "FLUSH",AND(N652&lt;= 11, S652=10), "FLUSH",AND(N652&lt;= 21, S652=10), "PRODUCTION")</f>
        <v>SOWING</v>
      </c>
      <c r="U652">
        <f>HOUR(datos_siembra[[#This Row],[Hour]])</f>
        <v>0</v>
      </c>
      <c r="V652" cm="1">
        <f t="array" ref="V652">_xlfn.IFS(AND(N652&lt;= 22, S652=9), N652-7,AND(N652&lt;= 28, S652=9), N652-25,AND(N652&lt;= 30, S652=9), N652-28,AND(N652&lt;= 11, S652=10), N652+2,AND(N652&lt;= 21, S652=10), N652-11)</f>
        <v>6</v>
      </c>
    </row>
    <row r="653" spans="1:22" x14ac:dyDescent="0.35">
      <c r="A653" s="4">
        <v>45548</v>
      </c>
      <c r="B653" s="5">
        <v>1.3402777777777777E-2</v>
      </c>
      <c r="C653">
        <v>82.7</v>
      </c>
      <c r="D653">
        <v>81.2</v>
      </c>
      <c r="E653">
        <v>85.7</v>
      </c>
      <c r="F653">
        <v>83.1</v>
      </c>
      <c r="G653">
        <v>0</v>
      </c>
      <c r="H653">
        <v>0</v>
      </c>
      <c r="I653">
        <v>0</v>
      </c>
      <c r="J653">
        <v>0</v>
      </c>
      <c r="K653">
        <v>62</v>
      </c>
      <c r="L653">
        <v>60.5</v>
      </c>
      <c r="M653">
        <v>83.05</v>
      </c>
      <c r="N653">
        <v>13</v>
      </c>
      <c r="O653">
        <v>3</v>
      </c>
      <c r="P653">
        <f>MOD(DAY(datos_siembra[[#This Row],[Date]]),7)</f>
        <v>6</v>
      </c>
      <c r="Q653" t="str">
        <f>CHOOSE(WEEKDAY(datos_siembra[[#This Row],[Date]],2),"L","M","X","J","V","S","D")</f>
        <v>V</v>
      </c>
      <c r="R653">
        <f>WEEKNUM(datos_siembra[[#This Row],[Date]],2)-WEEKNUM(DATE(YEAR(datos_siembra[[#This Row],[Date]]),MONTH(datos_siembra[[#This Row],[Date]]),1))+1</f>
        <v>2</v>
      </c>
      <c r="S653">
        <f>MONTH(datos_siembra[[#This Row],[Date]])</f>
        <v>9</v>
      </c>
      <c r="T653" t="str" cm="1">
        <f t="array" ref="T653">_xlfn.IFS(AND(N653&lt;= 22, S653=9), "SOWING",AND(N653&lt;= 28, S653=9), "COVERAGE",AND(N653&lt;= 30, S653=9), "FLUSH",AND(N653&lt;= 11, S653=10), "FLUSH",AND(N653&lt;= 21, S653=10), "PRODUCTION")</f>
        <v>SOWING</v>
      </c>
      <c r="U653">
        <f>HOUR(datos_siembra[[#This Row],[Hour]])</f>
        <v>0</v>
      </c>
      <c r="V653" cm="1">
        <f t="array" ref="V653">_xlfn.IFS(AND(N653&lt;= 22, S653=9), N653-7,AND(N653&lt;= 28, S653=9), N653-25,AND(N653&lt;= 30, S653=9), N653-28,AND(N653&lt;= 11, S653=10), N653+2,AND(N653&lt;= 21, S653=10), N653-11)</f>
        <v>6</v>
      </c>
    </row>
    <row r="654" spans="1:22" x14ac:dyDescent="0.35">
      <c r="A654" s="4">
        <v>45548</v>
      </c>
      <c r="B654" s="5">
        <v>2.0347222222222221E-2</v>
      </c>
      <c r="C654">
        <v>82.6</v>
      </c>
      <c r="D654">
        <v>80.900000000000006</v>
      </c>
      <c r="E654">
        <v>85.7</v>
      </c>
      <c r="F654">
        <v>82.6</v>
      </c>
      <c r="G654">
        <v>0</v>
      </c>
      <c r="H654">
        <v>0</v>
      </c>
      <c r="I654">
        <v>0</v>
      </c>
      <c r="J654">
        <v>0</v>
      </c>
      <c r="K654">
        <v>62.2</v>
      </c>
      <c r="L654">
        <v>60.6</v>
      </c>
      <c r="M654">
        <v>83.24</v>
      </c>
      <c r="N654">
        <v>13</v>
      </c>
      <c r="O654">
        <v>3</v>
      </c>
      <c r="P654">
        <f>MOD(DAY(datos_siembra[[#This Row],[Date]]),7)</f>
        <v>6</v>
      </c>
      <c r="Q654" t="str">
        <f>CHOOSE(WEEKDAY(datos_siembra[[#This Row],[Date]],2),"L","M","X","J","V","S","D")</f>
        <v>V</v>
      </c>
      <c r="R654">
        <f>WEEKNUM(datos_siembra[[#This Row],[Date]],2)-WEEKNUM(DATE(YEAR(datos_siembra[[#This Row],[Date]]),MONTH(datos_siembra[[#This Row],[Date]]),1))+1</f>
        <v>2</v>
      </c>
      <c r="S654">
        <f>MONTH(datos_siembra[[#This Row],[Date]])</f>
        <v>9</v>
      </c>
      <c r="T654" t="str" cm="1">
        <f t="array" ref="T654">_xlfn.IFS(AND(N654&lt;= 22, S654=9), "SOWING",AND(N654&lt;= 28, S654=9), "COVERAGE",AND(N654&lt;= 30, S654=9), "FLUSH",AND(N654&lt;= 11, S654=10), "FLUSH",AND(N654&lt;= 21, S654=10), "PRODUCTION")</f>
        <v>SOWING</v>
      </c>
      <c r="U654">
        <f>HOUR(datos_siembra[[#This Row],[Hour]])</f>
        <v>0</v>
      </c>
      <c r="V654" cm="1">
        <f t="array" ref="V654">_xlfn.IFS(AND(N654&lt;= 22, S654=9), N654-7,AND(N654&lt;= 28, S654=9), N654-25,AND(N654&lt;= 30, S654=9), N654-28,AND(N654&lt;= 11, S654=10), N654+2,AND(N654&lt;= 21, S654=10), N654-11)</f>
        <v>6</v>
      </c>
    </row>
    <row r="655" spans="1:22" x14ac:dyDescent="0.35">
      <c r="A655" s="4">
        <v>45548</v>
      </c>
      <c r="B655" s="5">
        <v>2.7291666666666665E-2</v>
      </c>
      <c r="C655">
        <v>82.7</v>
      </c>
      <c r="D655">
        <v>80.8</v>
      </c>
      <c r="E655">
        <v>85.7</v>
      </c>
      <c r="F655">
        <v>82.6</v>
      </c>
      <c r="G655">
        <v>0</v>
      </c>
      <c r="H655">
        <v>0</v>
      </c>
      <c r="I655">
        <v>0</v>
      </c>
      <c r="J655">
        <v>0</v>
      </c>
      <c r="K655">
        <v>62</v>
      </c>
      <c r="L655">
        <v>60.7</v>
      </c>
      <c r="M655">
        <v>82.85</v>
      </c>
      <c r="N655">
        <v>13</v>
      </c>
      <c r="O655">
        <v>3</v>
      </c>
      <c r="P655">
        <f>MOD(DAY(datos_siembra[[#This Row],[Date]]),7)</f>
        <v>6</v>
      </c>
      <c r="Q655" t="str">
        <f>CHOOSE(WEEKDAY(datos_siembra[[#This Row],[Date]],2),"L","M","X","J","V","S","D")</f>
        <v>V</v>
      </c>
      <c r="R655">
        <f>WEEKNUM(datos_siembra[[#This Row],[Date]],2)-WEEKNUM(DATE(YEAR(datos_siembra[[#This Row],[Date]]),MONTH(datos_siembra[[#This Row],[Date]]),1))+1</f>
        <v>2</v>
      </c>
      <c r="S655">
        <f>MONTH(datos_siembra[[#This Row],[Date]])</f>
        <v>9</v>
      </c>
      <c r="T655" t="str" cm="1">
        <f t="array" ref="T655">_xlfn.IFS(AND(N655&lt;= 22, S655=9), "SOWING",AND(N655&lt;= 28, S655=9), "COVERAGE",AND(N655&lt;= 30, S655=9), "FLUSH",AND(N655&lt;= 11, S655=10), "FLUSH",AND(N655&lt;= 21, S655=10), "PRODUCTION")</f>
        <v>SOWING</v>
      </c>
      <c r="U655">
        <f>HOUR(datos_siembra[[#This Row],[Hour]])</f>
        <v>0</v>
      </c>
      <c r="V655" cm="1">
        <f t="array" ref="V655">_xlfn.IFS(AND(N655&lt;= 22, S655=9), N655-7,AND(N655&lt;= 28, S655=9), N655-25,AND(N655&lt;= 30, S655=9), N655-28,AND(N655&lt;= 11, S655=10), N655+2,AND(N655&lt;= 21, S655=10), N655-11)</f>
        <v>6</v>
      </c>
    </row>
    <row r="656" spans="1:22" x14ac:dyDescent="0.35">
      <c r="A656" s="4">
        <v>45548</v>
      </c>
      <c r="B656" s="5">
        <v>3.4247685185185187E-2</v>
      </c>
      <c r="C656">
        <v>82.6</v>
      </c>
      <c r="D656">
        <v>80.8</v>
      </c>
      <c r="E656">
        <v>85.7</v>
      </c>
      <c r="F656">
        <v>82.9</v>
      </c>
      <c r="G656">
        <v>0</v>
      </c>
      <c r="H656">
        <v>0</v>
      </c>
      <c r="I656">
        <v>0</v>
      </c>
      <c r="J656">
        <v>0</v>
      </c>
      <c r="K656">
        <v>62</v>
      </c>
      <c r="L656">
        <v>60.5</v>
      </c>
      <c r="M656">
        <v>82.68</v>
      </c>
      <c r="N656">
        <v>13</v>
      </c>
      <c r="O656">
        <v>3</v>
      </c>
      <c r="P656">
        <f>MOD(DAY(datos_siembra[[#This Row],[Date]]),7)</f>
        <v>6</v>
      </c>
      <c r="Q656" t="str">
        <f>CHOOSE(WEEKDAY(datos_siembra[[#This Row],[Date]],2),"L","M","X","J","V","S","D")</f>
        <v>V</v>
      </c>
      <c r="R656">
        <f>WEEKNUM(datos_siembra[[#This Row],[Date]],2)-WEEKNUM(DATE(YEAR(datos_siembra[[#This Row],[Date]]),MONTH(datos_siembra[[#This Row],[Date]]),1))+1</f>
        <v>2</v>
      </c>
      <c r="S656">
        <f>MONTH(datos_siembra[[#This Row],[Date]])</f>
        <v>9</v>
      </c>
      <c r="T656" t="str" cm="1">
        <f t="array" ref="T656">_xlfn.IFS(AND(N656&lt;= 22, S656=9), "SOWING",AND(N656&lt;= 28, S656=9), "COVERAGE",AND(N656&lt;= 30, S656=9), "FLUSH",AND(N656&lt;= 11, S656=10), "FLUSH",AND(N656&lt;= 21, S656=10), "PRODUCTION")</f>
        <v>SOWING</v>
      </c>
      <c r="U656">
        <f>HOUR(datos_siembra[[#This Row],[Hour]])</f>
        <v>0</v>
      </c>
      <c r="V656" cm="1">
        <f t="array" ref="V656">_xlfn.IFS(AND(N656&lt;= 22, S656=9), N656-7,AND(N656&lt;= 28, S656=9), N656-25,AND(N656&lt;= 30, S656=9), N656-28,AND(N656&lt;= 11, S656=10), N656+2,AND(N656&lt;= 21, S656=10), N656-11)</f>
        <v>6</v>
      </c>
    </row>
    <row r="657" spans="1:22" x14ac:dyDescent="0.35">
      <c r="A657" s="4">
        <v>45548</v>
      </c>
      <c r="B657" s="5">
        <v>4.1192129629629627E-2</v>
      </c>
      <c r="C657">
        <v>82.7</v>
      </c>
      <c r="D657">
        <v>80.8</v>
      </c>
      <c r="E657">
        <v>85.7</v>
      </c>
      <c r="F657">
        <v>82.5</v>
      </c>
      <c r="G657">
        <v>0</v>
      </c>
      <c r="H657">
        <v>0</v>
      </c>
      <c r="I657">
        <v>0</v>
      </c>
      <c r="J657">
        <v>0</v>
      </c>
      <c r="K657">
        <v>62</v>
      </c>
      <c r="L657">
        <v>60.7</v>
      </c>
      <c r="M657">
        <v>82.85</v>
      </c>
      <c r="N657">
        <v>13</v>
      </c>
      <c r="O657">
        <v>3</v>
      </c>
      <c r="P657">
        <f>MOD(DAY(datos_siembra[[#This Row],[Date]]),7)</f>
        <v>6</v>
      </c>
      <c r="Q657" t="str">
        <f>CHOOSE(WEEKDAY(datos_siembra[[#This Row],[Date]],2),"L","M","X","J","V","S","D")</f>
        <v>V</v>
      </c>
      <c r="R657">
        <f>WEEKNUM(datos_siembra[[#This Row],[Date]],2)-WEEKNUM(DATE(YEAR(datos_siembra[[#This Row],[Date]]),MONTH(datos_siembra[[#This Row],[Date]]),1))+1</f>
        <v>2</v>
      </c>
      <c r="S657">
        <f>MONTH(datos_siembra[[#This Row],[Date]])</f>
        <v>9</v>
      </c>
      <c r="T657" t="str" cm="1">
        <f t="array" ref="T657">_xlfn.IFS(AND(N657&lt;= 22, S657=9), "SOWING",AND(N657&lt;= 28, S657=9), "COVERAGE",AND(N657&lt;= 30, S657=9), "FLUSH",AND(N657&lt;= 11, S657=10), "FLUSH",AND(N657&lt;= 21, S657=10), "PRODUCTION")</f>
        <v>SOWING</v>
      </c>
      <c r="U657">
        <f>HOUR(datos_siembra[[#This Row],[Hour]])</f>
        <v>0</v>
      </c>
      <c r="V657" cm="1">
        <f t="array" ref="V657">_xlfn.IFS(AND(N657&lt;= 22, S657=9), N657-7,AND(N657&lt;= 28, S657=9), N657-25,AND(N657&lt;= 30, S657=9), N657-28,AND(N657&lt;= 11, S657=10), N657+2,AND(N657&lt;= 21, S657=10), N657-11)</f>
        <v>6</v>
      </c>
    </row>
    <row r="658" spans="1:22" x14ac:dyDescent="0.35">
      <c r="A658" s="4">
        <v>45548</v>
      </c>
      <c r="B658" s="5">
        <v>4.8136574074074075E-2</v>
      </c>
      <c r="C658">
        <v>82.7</v>
      </c>
      <c r="D658">
        <v>80.8</v>
      </c>
      <c r="E658">
        <v>85.3</v>
      </c>
      <c r="F658">
        <v>82.5</v>
      </c>
      <c r="G658">
        <v>0</v>
      </c>
      <c r="H658">
        <v>0</v>
      </c>
      <c r="I658">
        <v>0</v>
      </c>
      <c r="J658">
        <v>0</v>
      </c>
      <c r="K658">
        <v>62.2</v>
      </c>
      <c r="L658">
        <v>60.6</v>
      </c>
      <c r="M658">
        <v>82.96</v>
      </c>
      <c r="N658">
        <v>13</v>
      </c>
      <c r="O658">
        <v>3</v>
      </c>
      <c r="P658">
        <f>MOD(DAY(datos_siembra[[#This Row],[Date]]),7)</f>
        <v>6</v>
      </c>
      <c r="Q658" t="str">
        <f>CHOOSE(WEEKDAY(datos_siembra[[#This Row],[Date]],2),"L","M","X","J","V","S","D")</f>
        <v>V</v>
      </c>
      <c r="R658">
        <f>WEEKNUM(datos_siembra[[#This Row],[Date]],2)-WEEKNUM(DATE(YEAR(datos_siembra[[#This Row],[Date]]),MONTH(datos_siembra[[#This Row],[Date]]),1))+1</f>
        <v>2</v>
      </c>
      <c r="S658">
        <f>MONTH(datos_siembra[[#This Row],[Date]])</f>
        <v>9</v>
      </c>
      <c r="T658" t="str" cm="1">
        <f t="array" ref="T658">_xlfn.IFS(AND(N658&lt;= 22, S658=9), "SOWING",AND(N658&lt;= 28, S658=9), "COVERAGE",AND(N658&lt;= 30, S658=9), "FLUSH",AND(N658&lt;= 11, S658=10), "FLUSH",AND(N658&lt;= 21, S658=10), "PRODUCTION")</f>
        <v>SOWING</v>
      </c>
      <c r="U658">
        <f>HOUR(datos_siembra[[#This Row],[Hour]])</f>
        <v>1</v>
      </c>
      <c r="V658" cm="1">
        <f t="array" ref="V658">_xlfn.IFS(AND(N658&lt;= 22, S658=9), N658-7,AND(N658&lt;= 28, S658=9), N658-25,AND(N658&lt;= 30, S658=9), N658-28,AND(N658&lt;= 11, S658=10), N658+2,AND(N658&lt;= 21, S658=10), N658-11)</f>
        <v>6</v>
      </c>
    </row>
    <row r="659" spans="1:22" x14ac:dyDescent="0.35">
      <c r="A659" s="4">
        <v>45548</v>
      </c>
      <c r="B659" s="5">
        <v>5.5081018518518515E-2</v>
      </c>
      <c r="C659">
        <v>82.7</v>
      </c>
      <c r="D659">
        <v>80.7</v>
      </c>
      <c r="E659">
        <v>85.4</v>
      </c>
      <c r="F659">
        <v>83</v>
      </c>
      <c r="G659">
        <v>0</v>
      </c>
      <c r="H659">
        <v>0</v>
      </c>
      <c r="I659">
        <v>0</v>
      </c>
      <c r="J659">
        <v>0</v>
      </c>
      <c r="K659">
        <v>62.2</v>
      </c>
      <c r="L659">
        <v>60.7</v>
      </c>
      <c r="M659">
        <v>82.96</v>
      </c>
      <c r="N659">
        <v>13</v>
      </c>
      <c r="O659">
        <v>3</v>
      </c>
      <c r="P659">
        <f>MOD(DAY(datos_siembra[[#This Row],[Date]]),7)</f>
        <v>6</v>
      </c>
      <c r="Q659" t="str">
        <f>CHOOSE(WEEKDAY(datos_siembra[[#This Row],[Date]],2),"L","M","X","J","V","S","D")</f>
        <v>V</v>
      </c>
      <c r="R659">
        <f>WEEKNUM(datos_siembra[[#This Row],[Date]],2)-WEEKNUM(DATE(YEAR(datos_siembra[[#This Row],[Date]]),MONTH(datos_siembra[[#This Row],[Date]]),1))+1</f>
        <v>2</v>
      </c>
      <c r="S659">
        <f>MONTH(datos_siembra[[#This Row],[Date]])</f>
        <v>9</v>
      </c>
      <c r="T659" t="str" cm="1">
        <f t="array" ref="T659">_xlfn.IFS(AND(N659&lt;= 22, S659=9), "SOWING",AND(N659&lt;= 28, S659=9), "COVERAGE",AND(N659&lt;= 30, S659=9), "FLUSH",AND(N659&lt;= 11, S659=10), "FLUSH",AND(N659&lt;= 21, S659=10), "PRODUCTION")</f>
        <v>SOWING</v>
      </c>
      <c r="U659">
        <f>HOUR(datos_siembra[[#This Row],[Hour]])</f>
        <v>1</v>
      </c>
      <c r="V659" cm="1">
        <f t="array" ref="V659">_xlfn.IFS(AND(N659&lt;= 22, S659=9), N659-7,AND(N659&lt;= 28, S659=9), N659-25,AND(N659&lt;= 30, S659=9), N659-28,AND(N659&lt;= 11, S659=10), N659+2,AND(N659&lt;= 21, S659=10), N659-11)</f>
        <v>6</v>
      </c>
    </row>
    <row r="660" spans="1:22" x14ac:dyDescent="0.35">
      <c r="A660" s="4">
        <v>45548</v>
      </c>
      <c r="B660" s="5">
        <v>6.2037037037037036E-2</v>
      </c>
      <c r="C660">
        <v>82.6</v>
      </c>
      <c r="D660">
        <v>80.7</v>
      </c>
      <c r="E660">
        <v>85.6</v>
      </c>
      <c r="F660">
        <v>82.5</v>
      </c>
      <c r="G660">
        <v>0</v>
      </c>
      <c r="H660">
        <v>0</v>
      </c>
      <c r="I660">
        <v>0</v>
      </c>
      <c r="J660">
        <v>0</v>
      </c>
      <c r="K660">
        <v>62.3</v>
      </c>
      <c r="L660">
        <v>60.8</v>
      </c>
      <c r="M660">
        <v>82.82</v>
      </c>
      <c r="N660">
        <v>13</v>
      </c>
      <c r="O660">
        <v>3</v>
      </c>
      <c r="P660">
        <f>MOD(DAY(datos_siembra[[#This Row],[Date]]),7)</f>
        <v>6</v>
      </c>
      <c r="Q660" t="str">
        <f>CHOOSE(WEEKDAY(datos_siembra[[#This Row],[Date]],2),"L","M","X","J","V","S","D")</f>
        <v>V</v>
      </c>
      <c r="R660">
        <f>WEEKNUM(datos_siembra[[#This Row],[Date]],2)-WEEKNUM(DATE(YEAR(datos_siembra[[#This Row],[Date]]),MONTH(datos_siembra[[#This Row],[Date]]),1))+1</f>
        <v>2</v>
      </c>
      <c r="S660">
        <f>MONTH(datos_siembra[[#This Row],[Date]])</f>
        <v>9</v>
      </c>
      <c r="T660" t="str" cm="1">
        <f t="array" ref="T660">_xlfn.IFS(AND(N660&lt;= 22, S660=9), "SOWING",AND(N660&lt;= 28, S660=9), "COVERAGE",AND(N660&lt;= 30, S660=9), "FLUSH",AND(N660&lt;= 11, S660=10), "FLUSH",AND(N660&lt;= 21, S660=10), "PRODUCTION")</f>
        <v>SOWING</v>
      </c>
      <c r="U660">
        <f>HOUR(datos_siembra[[#This Row],[Hour]])</f>
        <v>1</v>
      </c>
      <c r="V660" cm="1">
        <f t="array" ref="V660">_xlfn.IFS(AND(N660&lt;= 22, S660=9), N660-7,AND(N660&lt;= 28, S660=9), N660-25,AND(N660&lt;= 30, S660=9), N660-28,AND(N660&lt;= 11, S660=10), N660+2,AND(N660&lt;= 21, S660=10), N660-11)</f>
        <v>6</v>
      </c>
    </row>
    <row r="661" spans="1:22" x14ac:dyDescent="0.35">
      <c r="A661" s="4">
        <v>45548</v>
      </c>
      <c r="B661" s="5">
        <v>6.8981481481481477E-2</v>
      </c>
      <c r="C661">
        <v>82.5</v>
      </c>
      <c r="D661">
        <v>80.7</v>
      </c>
      <c r="E661">
        <v>85.4</v>
      </c>
      <c r="F661">
        <v>82.3</v>
      </c>
      <c r="G661">
        <v>0</v>
      </c>
      <c r="H661">
        <v>0</v>
      </c>
      <c r="I661">
        <v>0</v>
      </c>
      <c r="J661">
        <v>0</v>
      </c>
      <c r="K661">
        <v>62.3</v>
      </c>
      <c r="L661">
        <v>60.8</v>
      </c>
      <c r="M661">
        <v>82.91</v>
      </c>
      <c r="N661">
        <v>13</v>
      </c>
      <c r="O661">
        <v>3</v>
      </c>
      <c r="P661">
        <f>MOD(DAY(datos_siembra[[#This Row],[Date]]),7)</f>
        <v>6</v>
      </c>
      <c r="Q661" t="str">
        <f>CHOOSE(WEEKDAY(datos_siembra[[#This Row],[Date]],2),"L","M","X","J","V","S","D")</f>
        <v>V</v>
      </c>
      <c r="R661">
        <f>WEEKNUM(datos_siembra[[#This Row],[Date]],2)-WEEKNUM(DATE(YEAR(datos_siembra[[#This Row],[Date]]),MONTH(datos_siembra[[#This Row],[Date]]),1))+1</f>
        <v>2</v>
      </c>
      <c r="S661">
        <f>MONTH(datos_siembra[[#This Row],[Date]])</f>
        <v>9</v>
      </c>
      <c r="T661" t="str" cm="1">
        <f t="array" ref="T661">_xlfn.IFS(AND(N661&lt;= 22, S661=9), "SOWING",AND(N661&lt;= 28, S661=9), "COVERAGE",AND(N661&lt;= 30, S661=9), "FLUSH",AND(N661&lt;= 11, S661=10), "FLUSH",AND(N661&lt;= 21, S661=10), "PRODUCTION")</f>
        <v>SOWING</v>
      </c>
      <c r="U661">
        <f>HOUR(datos_siembra[[#This Row],[Hour]])</f>
        <v>1</v>
      </c>
      <c r="V661" cm="1">
        <f t="array" ref="V661">_xlfn.IFS(AND(N661&lt;= 22, S661=9), N661-7,AND(N661&lt;= 28, S661=9), N661-25,AND(N661&lt;= 30, S661=9), N661-28,AND(N661&lt;= 11, S661=10), N661+2,AND(N661&lt;= 21, S661=10), N661-11)</f>
        <v>6</v>
      </c>
    </row>
    <row r="662" spans="1:22" x14ac:dyDescent="0.35">
      <c r="A662" s="4">
        <v>45548</v>
      </c>
      <c r="B662" s="5">
        <v>7.5925925925925924E-2</v>
      </c>
      <c r="C662">
        <v>82.5</v>
      </c>
      <c r="D662">
        <v>80.7</v>
      </c>
      <c r="E662">
        <v>85.4</v>
      </c>
      <c r="F662">
        <v>81.7</v>
      </c>
      <c r="G662">
        <v>0</v>
      </c>
      <c r="H662">
        <v>0</v>
      </c>
      <c r="I662">
        <v>0</v>
      </c>
      <c r="J662">
        <v>0</v>
      </c>
      <c r="K662">
        <v>62.3</v>
      </c>
      <c r="L662">
        <v>60.9</v>
      </c>
      <c r="M662">
        <v>82.88</v>
      </c>
      <c r="N662">
        <v>13</v>
      </c>
      <c r="O662">
        <v>3</v>
      </c>
      <c r="P662">
        <f>MOD(DAY(datos_siembra[[#This Row],[Date]]),7)</f>
        <v>6</v>
      </c>
      <c r="Q662" t="str">
        <f>CHOOSE(WEEKDAY(datos_siembra[[#This Row],[Date]],2),"L","M","X","J","V","S","D")</f>
        <v>V</v>
      </c>
      <c r="R662">
        <f>WEEKNUM(datos_siembra[[#This Row],[Date]],2)-WEEKNUM(DATE(YEAR(datos_siembra[[#This Row],[Date]]),MONTH(datos_siembra[[#This Row],[Date]]),1))+1</f>
        <v>2</v>
      </c>
      <c r="S662">
        <f>MONTH(datos_siembra[[#This Row],[Date]])</f>
        <v>9</v>
      </c>
      <c r="T662" t="str" cm="1">
        <f t="array" ref="T662">_xlfn.IFS(AND(N662&lt;= 22, S662=9), "SOWING",AND(N662&lt;= 28, S662=9), "COVERAGE",AND(N662&lt;= 30, S662=9), "FLUSH",AND(N662&lt;= 11, S662=10), "FLUSH",AND(N662&lt;= 21, S662=10), "PRODUCTION")</f>
        <v>SOWING</v>
      </c>
      <c r="U662">
        <f>HOUR(datos_siembra[[#This Row],[Hour]])</f>
        <v>1</v>
      </c>
      <c r="V662" cm="1">
        <f t="array" ref="V662">_xlfn.IFS(AND(N662&lt;= 22, S662=9), N662-7,AND(N662&lt;= 28, S662=9), N662-25,AND(N662&lt;= 30, S662=9), N662-28,AND(N662&lt;= 11, S662=10), N662+2,AND(N662&lt;= 21, S662=10), N662-11)</f>
        <v>6</v>
      </c>
    </row>
    <row r="663" spans="1:22" x14ac:dyDescent="0.35">
      <c r="A663" s="4">
        <v>45548</v>
      </c>
      <c r="B663" s="5">
        <v>8.2870370370370372E-2</v>
      </c>
      <c r="C663">
        <v>82.6</v>
      </c>
      <c r="D663">
        <v>80.599999999999994</v>
      </c>
      <c r="E663">
        <v>85.4</v>
      </c>
      <c r="F663">
        <v>81.7</v>
      </c>
      <c r="G663">
        <v>0</v>
      </c>
      <c r="H663">
        <v>0</v>
      </c>
      <c r="I663">
        <v>0</v>
      </c>
      <c r="J663">
        <v>0</v>
      </c>
      <c r="K663">
        <v>62.3</v>
      </c>
      <c r="L663">
        <v>60.8</v>
      </c>
      <c r="M663">
        <v>82.62</v>
      </c>
      <c r="N663">
        <v>13</v>
      </c>
      <c r="O663">
        <v>3</v>
      </c>
      <c r="P663">
        <f>MOD(DAY(datos_siembra[[#This Row],[Date]]),7)</f>
        <v>6</v>
      </c>
      <c r="Q663" t="str">
        <f>CHOOSE(WEEKDAY(datos_siembra[[#This Row],[Date]],2),"L","M","X","J","V","S","D")</f>
        <v>V</v>
      </c>
      <c r="R663">
        <f>WEEKNUM(datos_siembra[[#This Row],[Date]],2)-WEEKNUM(DATE(YEAR(datos_siembra[[#This Row],[Date]]),MONTH(datos_siembra[[#This Row],[Date]]),1))+1</f>
        <v>2</v>
      </c>
      <c r="S663">
        <f>MONTH(datos_siembra[[#This Row],[Date]])</f>
        <v>9</v>
      </c>
      <c r="T663" t="str" cm="1">
        <f t="array" ref="T663">_xlfn.IFS(AND(N663&lt;= 22, S663=9), "SOWING",AND(N663&lt;= 28, S663=9), "COVERAGE",AND(N663&lt;= 30, S663=9), "FLUSH",AND(N663&lt;= 11, S663=10), "FLUSH",AND(N663&lt;= 21, S663=10), "PRODUCTION")</f>
        <v>SOWING</v>
      </c>
      <c r="U663">
        <f>HOUR(datos_siembra[[#This Row],[Hour]])</f>
        <v>1</v>
      </c>
      <c r="V663" cm="1">
        <f t="array" ref="V663">_xlfn.IFS(AND(N663&lt;= 22, S663=9), N663-7,AND(N663&lt;= 28, S663=9), N663-25,AND(N663&lt;= 30, S663=9), N663-28,AND(N663&lt;= 11, S663=10), N663+2,AND(N663&lt;= 21, S663=10), N663-11)</f>
        <v>6</v>
      </c>
    </row>
    <row r="664" spans="1:22" x14ac:dyDescent="0.35">
      <c r="A664" s="4">
        <v>45548</v>
      </c>
      <c r="B664" s="5">
        <v>8.9826388888888886E-2</v>
      </c>
      <c r="C664">
        <v>82.3</v>
      </c>
      <c r="D664">
        <v>80.5</v>
      </c>
      <c r="E664">
        <v>85.3</v>
      </c>
      <c r="F664">
        <v>82.4</v>
      </c>
      <c r="G664">
        <v>0</v>
      </c>
      <c r="H664">
        <v>0</v>
      </c>
      <c r="I664">
        <v>0</v>
      </c>
      <c r="J664">
        <v>0</v>
      </c>
      <c r="K664">
        <v>62.4</v>
      </c>
      <c r="L664">
        <v>61</v>
      </c>
      <c r="M664">
        <v>82.79</v>
      </c>
      <c r="N664">
        <v>13</v>
      </c>
      <c r="O664">
        <v>3</v>
      </c>
      <c r="P664">
        <f>MOD(DAY(datos_siembra[[#This Row],[Date]]),7)</f>
        <v>6</v>
      </c>
      <c r="Q664" t="str">
        <f>CHOOSE(WEEKDAY(datos_siembra[[#This Row],[Date]],2),"L","M","X","J","V","S","D")</f>
        <v>V</v>
      </c>
      <c r="R664">
        <f>WEEKNUM(datos_siembra[[#This Row],[Date]],2)-WEEKNUM(DATE(YEAR(datos_siembra[[#This Row],[Date]]),MONTH(datos_siembra[[#This Row],[Date]]),1))+1</f>
        <v>2</v>
      </c>
      <c r="S664">
        <f>MONTH(datos_siembra[[#This Row],[Date]])</f>
        <v>9</v>
      </c>
      <c r="T664" t="str" cm="1">
        <f t="array" ref="T664">_xlfn.IFS(AND(N664&lt;= 22, S664=9), "SOWING",AND(N664&lt;= 28, S664=9), "COVERAGE",AND(N664&lt;= 30, S664=9), "FLUSH",AND(N664&lt;= 11, S664=10), "FLUSH",AND(N664&lt;= 21, S664=10), "PRODUCTION")</f>
        <v>SOWING</v>
      </c>
      <c r="U664">
        <f>HOUR(datos_siembra[[#This Row],[Hour]])</f>
        <v>2</v>
      </c>
      <c r="V664" cm="1">
        <f t="array" ref="V664">_xlfn.IFS(AND(N664&lt;= 22, S664=9), N664-7,AND(N664&lt;= 28, S664=9), N664-25,AND(N664&lt;= 30, S664=9), N664-28,AND(N664&lt;= 11, S664=10), N664+2,AND(N664&lt;= 21, S664=10), N664-11)</f>
        <v>6</v>
      </c>
    </row>
    <row r="665" spans="1:22" x14ac:dyDescent="0.35">
      <c r="A665" s="4">
        <v>45548</v>
      </c>
      <c r="B665" s="5">
        <v>9.6770833333333334E-2</v>
      </c>
      <c r="C665">
        <v>82.5</v>
      </c>
      <c r="D665">
        <v>80.5</v>
      </c>
      <c r="E665">
        <v>85.3</v>
      </c>
      <c r="F665">
        <v>82.6</v>
      </c>
      <c r="G665">
        <v>0</v>
      </c>
      <c r="H665">
        <v>0</v>
      </c>
      <c r="I665">
        <v>0</v>
      </c>
      <c r="J665">
        <v>0</v>
      </c>
      <c r="K665">
        <v>62.5</v>
      </c>
      <c r="L665">
        <v>61.1</v>
      </c>
      <c r="M665">
        <v>82.77</v>
      </c>
      <c r="N665">
        <v>13</v>
      </c>
      <c r="O665">
        <v>3</v>
      </c>
      <c r="P665">
        <f>MOD(DAY(datos_siembra[[#This Row],[Date]]),7)</f>
        <v>6</v>
      </c>
      <c r="Q665" t="str">
        <f>CHOOSE(WEEKDAY(datos_siembra[[#This Row],[Date]],2),"L","M","X","J","V","S","D")</f>
        <v>V</v>
      </c>
      <c r="R665">
        <f>WEEKNUM(datos_siembra[[#This Row],[Date]],2)-WEEKNUM(DATE(YEAR(datos_siembra[[#This Row],[Date]]),MONTH(datos_siembra[[#This Row],[Date]]),1))+1</f>
        <v>2</v>
      </c>
      <c r="S665">
        <f>MONTH(datos_siembra[[#This Row],[Date]])</f>
        <v>9</v>
      </c>
      <c r="T665" t="str" cm="1">
        <f t="array" ref="T665">_xlfn.IFS(AND(N665&lt;= 22, S665=9), "SOWING",AND(N665&lt;= 28, S665=9), "COVERAGE",AND(N665&lt;= 30, S665=9), "FLUSH",AND(N665&lt;= 11, S665=10), "FLUSH",AND(N665&lt;= 21, S665=10), "PRODUCTION")</f>
        <v>SOWING</v>
      </c>
      <c r="U665">
        <f>HOUR(datos_siembra[[#This Row],[Hour]])</f>
        <v>2</v>
      </c>
      <c r="V665" cm="1">
        <f t="array" ref="V665">_xlfn.IFS(AND(N665&lt;= 22, S665=9), N665-7,AND(N665&lt;= 28, S665=9), N665-25,AND(N665&lt;= 30, S665=9), N665-28,AND(N665&lt;= 11, S665=10), N665+2,AND(N665&lt;= 21, S665=10), N665-11)</f>
        <v>6</v>
      </c>
    </row>
    <row r="666" spans="1:22" x14ac:dyDescent="0.35">
      <c r="A666" s="4">
        <v>45548</v>
      </c>
      <c r="B666" s="5">
        <v>0.10371527777777778</v>
      </c>
      <c r="C666">
        <v>82.4</v>
      </c>
      <c r="D666">
        <v>80.400000000000006</v>
      </c>
      <c r="E666">
        <v>85.2</v>
      </c>
      <c r="F666">
        <v>82.5</v>
      </c>
      <c r="G666">
        <v>0</v>
      </c>
      <c r="H666">
        <v>0</v>
      </c>
      <c r="I666">
        <v>0</v>
      </c>
      <c r="J666">
        <v>0</v>
      </c>
      <c r="K666">
        <v>62.6</v>
      </c>
      <c r="L666">
        <v>61.1</v>
      </c>
      <c r="M666">
        <v>82.71</v>
      </c>
      <c r="N666">
        <v>13</v>
      </c>
      <c r="O666">
        <v>3</v>
      </c>
      <c r="P666">
        <f>MOD(DAY(datos_siembra[[#This Row],[Date]]),7)</f>
        <v>6</v>
      </c>
      <c r="Q666" t="str">
        <f>CHOOSE(WEEKDAY(datos_siembra[[#This Row],[Date]],2),"L","M","X","J","V","S","D")</f>
        <v>V</v>
      </c>
      <c r="R666">
        <f>WEEKNUM(datos_siembra[[#This Row],[Date]],2)-WEEKNUM(DATE(YEAR(datos_siembra[[#This Row],[Date]]),MONTH(datos_siembra[[#This Row],[Date]]),1))+1</f>
        <v>2</v>
      </c>
      <c r="S666">
        <f>MONTH(datos_siembra[[#This Row],[Date]])</f>
        <v>9</v>
      </c>
      <c r="T666" t="str" cm="1">
        <f t="array" ref="T666">_xlfn.IFS(AND(N666&lt;= 22, S666=9), "SOWING",AND(N666&lt;= 28, S666=9), "COVERAGE",AND(N666&lt;= 30, S666=9), "FLUSH",AND(N666&lt;= 11, S666=10), "FLUSH",AND(N666&lt;= 21, S666=10), "PRODUCTION")</f>
        <v>SOWING</v>
      </c>
      <c r="U666">
        <f>HOUR(datos_siembra[[#This Row],[Hour]])</f>
        <v>2</v>
      </c>
      <c r="V666" cm="1">
        <f t="array" ref="V666">_xlfn.IFS(AND(N666&lt;= 22, S666=9), N666-7,AND(N666&lt;= 28, S666=9), N666-25,AND(N666&lt;= 30, S666=9), N666-28,AND(N666&lt;= 11, S666=10), N666+2,AND(N666&lt;= 21, S666=10), N666-11)</f>
        <v>6</v>
      </c>
    </row>
    <row r="667" spans="1:22" x14ac:dyDescent="0.35">
      <c r="A667" s="4">
        <v>45548</v>
      </c>
      <c r="B667" s="5">
        <v>0.11065972222222223</v>
      </c>
      <c r="C667">
        <v>82.2</v>
      </c>
      <c r="D667">
        <v>80.400000000000006</v>
      </c>
      <c r="E667">
        <v>85.2</v>
      </c>
      <c r="F667">
        <v>82.6</v>
      </c>
      <c r="G667">
        <v>0</v>
      </c>
      <c r="H667">
        <v>0</v>
      </c>
      <c r="I667">
        <v>0</v>
      </c>
      <c r="J667">
        <v>0</v>
      </c>
      <c r="K667">
        <v>62.8</v>
      </c>
      <c r="L667">
        <v>61.4</v>
      </c>
      <c r="M667">
        <v>82.51</v>
      </c>
      <c r="N667">
        <v>13</v>
      </c>
      <c r="O667">
        <v>3</v>
      </c>
      <c r="P667">
        <f>MOD(DAY(datos_siembra[[#This Row],[Date]]),7)</f>
        <v>6</v>
      </c>
      <c r="Q667" t="str">
        <f>CHOOSE(WEEKDAY(datos_siembra[[#This Row],[Date]],2),"L","M","X","J","V","S","D")</f>
        <v>V</v>
      </c>
      <c r="R667">
        <f>WEEKNUM(datos_siembra[[#This Row],[Date]],2)-WEEKNUM(DATE(YEAR(datos_siembra[[#This Row],[Date]]),MONTH(datos_siembra[[#This Row],[Date]]),1))+1</f>
        <v>2</v>
      </c>
      <c r="S667">
        <f>MONTH(datos_siembra[[#This Row],[Date]])</f>
        <v>9</v>
      </c>
      <c r="T667" t="str" cm="1">
        <f t="array" ref="T667">_xlfn.IFS(AND(N667&lt;= 22, S667=9), "SOWING",AND(N667&lt;= 28, S667=9), "COVERAGE",AND(N667&lt;= 30, S667=9), "FLUSH",AND(N667&lt;= 11, S667=10), "FLUSH",AND(N667&lt;= 21, S667=10), "PRODUCTION")</f>
        <v>SOWING</v>
      </c>
      <c r="U667">
        <f>HOUR(datos_siembra[[#This Row],[Hour]])</f>
        <v>2</v>
      </c>
      <c r="V667" cm="1">
        <f t="array" ref="V667">_xlfn.IFS(AND(N667&lt;= 22, S667=9), N667-7,AND(N667&lt;= 28, S667=9), N667-25,AND(N667&lt;= 30, S667=9), N667-28,AND(N667&lt;= 11, S667=10), N667+2,AND(N667&lt;= 21, S667=10), N667-11)</f>
        <v>6</v>
      </c>
    </row>
    <row r="668" spans="1:22" x14ac:dyDescent="0.35">
      <c r="A668" s="4">
        <v>45548</v>
      </c>
      <c r="B668" s="5">
        <v>0.11761574074074074</v>
      </c>
      <c r="C668">
        <v>82.3</v>
      </c>
      <c r="D668">
        <v>80.400000000000006</v>
      </c>
      <c r="E668">
        <v>85.2</v>
      </c>
      <c r="F668">
        <v>82.1</v>
      </c>
      <c r="G668">
        <v>0</v>
      </c>
      <c r="H668">
        <v>0</v>
      </c>
      <c r="I668">
        <v>0</v>
      </c>
      <c r="J668">
        <v>0</v>
      </c>
      <c r="K668">
        <v>63</v>
      </c>
      <c r="L668">
        <v>61.6</v>
      </c>
      <c r="M668">
        <v>82.62</v>
      </c>
      <c r="N668">
        <v>13</v>
      </c>
      <c r="O668">
        <v>3</v>
      </c>
      <c r="P668">
        <f>MOD(DAY(datos_siembra[[#This Row],[Date]]),7)</f>
        <v>6</v>
      </c>
      <c r="Q668" t="str">
        <f>CHOOSE(WEEKDAY(datos_siembra[[#This Row],[Date]],2),"L","M","X","J","V","S","D")</f>
        <v>V</v>
      </c>
      <c r="R668">
        <f>WEEKNUM(datos_siembra[[#This Row],[Date]],2)-WEEKNUM(DATE(YEAR(datos_siembra[[#This Row],[Date]]),MONTH(datos_siembra[[#This Row],[Date]]),1))+1</f>
        <v>2</v>
      </c>
      <c r="S668">
        <f>MONTH(datos_siembra[[#This Row],[Date]])</f>
        <v>9</v>
      </c>
      <c r="T668" t="str" cm="1">
        <f t="array" ref="T668">_xlfn.IFS(AND(N668&lt;= 22, S668=9), "SOWING",AND(N668&lt;= 28, S668=9), "COVERAGE",AND(N668&lt;= 30, S668=9), "FLUSH",AND(N668&lt;= 11, S668=10), "FLUSH",AND(N668&lt;= 21, S668=10), "PRODUCTION")</f>
        <v>SOWING</v>
      </c>
      <c r="U668">
        <f>HOUR(datos_siembra[[#This Row],[Hour]])</f>
        <v>2</v>
      </c>
      <c r="V668" cm="1">
        <f t="array" ref="V668">_xlfn.IFS(AND(N668&lt;= 22, S668=9), N668-7,AND(N668&lt;= 28, S668=9), N668-25,AND(N668&lt;= 30, S668=9), N668-28,AND(N668&lt;= 11, S668=10), N668+2,AND(N668&lt;= 21, S668=10), N668-11)</f>
        <v>6</v>
      </c>
    </row>
    <row r="669" spans="1:22" x14ac:dyDescent="0.35">
      <c r="A669" s="4">
        <v>45548</v>
      </c>
      <c r="B669" s="5">
        <v>0.12456018518518519</v>
      </c>
      <c r="C669">
        <v>82.5</v>
      </c>
      <c r="D669">
        <v>80.3</v>
      </c>
      <c r="E669">
        <v>85.2</v>
      </c>
      <c r="F669">
        <v>82.3</v>
      </c>
      <c r="G669">
        <v>0</v>
      </c>
      <c r="H669">
        <v>0</v>
      </c>
      <c r="I669">
        <v>0</v>
      </c>
      <c r="J669">
        <v>0</v>
      </c>
      <c r="K669">
        <v>63.3</v>
      </c>
      <c r="L669">
        <v>61.8</v>
      </c>
      <c r="M669">
        <v>82.65</v>
      </c>
      <c r="N669">
        <v>13</v>
      </c>
      <c r="O669">
        <v>3</v>
      </c>
      <c r="P669">
        <f>MOD(DAY(datos_siembra[[#This Row],[Date]]),7)</f>
        <v>6</v>
      </c>
      <c r="Q669" t="str">
        <f>CHOOSE(WEEKDAY(datos_siembra[[#This Row],[Date]],2),"L","M","X","J","V","S","D")</f>
        <v>V</v>
      </c>
      <c r="R669">
        <f>WEEKNUM(datos_siembra[[#This Row],[Date]],2)-WEEKNUM(DATE(YEAR(datos_siembra[[#This Row],[Date]]),MONTH(datos_siembra[[#This Row],[Date]]),1))+1</f>
        <v>2</v>
      </c>
      <c r="S669">
        <f>MONTH(datos_siembra[[#This Row],[Date]])</f>
        <v>9</v>
      </c>
      <c r="T669" t="str" cm="1">
        <f t="array" ref="T669">_xlfn.IFS(AND(N669&lt;= 22, S669=9), "SOWING",AND(N669&lt;= 28, S669=9), "COVERAGE",AND(N669&lt;= 30, S669=9), "FLUSH",AND(N669&lt;= 11, S669=10), "FLUSH",AND(N669&lt;= 21, S669=10), "PRODUCTION")</f>
        <v>SOWING</v>
      </c>
      <c r="U669">
        <f>HOUR(datos_siembra[[#This Row],[Hour]])</f>
        <v>2</v>
      </c>
      <c r="V669" cm="1">
        <f t="array" ref="V669">_xlfn.IFS(AND(N669&lt;= 22, S669=9), N669-7,AND(N669&lt;= 28, S669=9), N669-25,AND(N669&lt;= 30, S669=9), N669-28,AND(N669&lt;= 11, S669=10), N669+2,AND(N669&lt;= 21, S669=10), N669-11)</f>
        <v>6</v>
      </c>
    </row>
    <row r="670" spans="1:22" x14ac:dyDescent="0.35">
      <c r="A670" s="4">
        <v>45548</v>
      </c>
      <c r="B670" s="5">
        <v>0.13150462962962964</v>
      </c>
      <c r="C670">
        <v>83.1</v>
      </c>
      <c r="D670">
        <v>80.3</v>
      </c>
      <c r="E670">
        <v>85</v>
      </c>
      <c r="F670">
        <v>81.7</v>
      </c>
      <c r="G670">
        <v>0</v>
      </c>
      <c r="H670">
        <v>0</v>
      </c>
      <c r="I670">
        <v>0</v>
      </c>
      <c r="J670">
        <v>0</v>
      </c>
      <c r="K670">
        <v>63.4</v>
      </c>
      <c r="L670">
        <v>61.9</v>
      </c>
      <c r="M670">
        <v>82.79</v>
      </c>
      <c r="N670">
        <v>13</v>
      </c>
      <c r="O670">
        <v>3</v>
      </c>
      <c r="P670">
        <f>MOD(DAY(datos_siembra[[#This Row],[Date]]),7)</f>
        <v>6</v>
      </c>
      <c r="Q670" t="str">
        <f>CHOOSE(WEEKDAY(datos_siembra[[#This Row],[Date]],2),"L","M","X","J","V","S","D")</f>
        <v>V</v>
      </c>
      <c r="R670">
        <f>WEEKNUM(datos_siembra[[#This Row],[Date]],2)-WEEKNUM(DATE(YEAR(datos_siembra[[#This Row],[Date]]),MONTH(datos_siembra[[#This Row],[Date]]),1))+1</f>
        <v>2</v>
      </c>
      <c r="S670">
        <f>MONTH(datos_siembra[[#This Row],[Date]])</f>
        <v>9</v>
      </c>
      <c r="T670" t="str" cm="1">
        <f t="array" ref="T670">_xlfn.IFS(AND(N670&lt;= 22, S670=9), "SOWING",AND(N670&lt;= 28, S670=9), "COVERAGE",AND(N670&lt;= 30, S670=9), "FLUSH",AND(N670&lt;= 11, S670=10), "FLUSH",AND(N670&lt;= 21, S670=10), "PRODUCTION")</f>
        <v>SOWING</v>
      </c>
      <c r="U670">
        <f>HOUR(datos_siembra[[#This Row],[Hour]])</f>
        <v>3</v>
      </c>
      <c r="V670" cm="1">
        <f t="array" ref="V670">_xlfn.IFS(AND(N670&lt;= 22, S670=9), N670-7,AND(N670&lt;= 28, S670=9), N670-25,AND(N670&lt;= 30, S670=9), N670-28,AND(N670&lt;= 11, S670=10), N670+2,AND(N670&lt;= 21, S670=10), N670-11)</f>
        <v>6</v>
      </c>
    </row>
    <row r="671" spans="1:22" x14ac:dyDescent="0.35">
      <c r="A671" s="4">
        <v>45548</v>
      </c>
      <c r="B671" s="5">
        <v>0.13846064814814815</v>
      </c>
      <c r="C671">
        <v>83.8</v>
      </c>
      <c r="D671">
        <v>80.400000000000006</v>
      </c>
      <c r="E671">
        <v>85</v>
      </c>
      <c r="F671">
        <v>82.4</v>
      </c>
      <c r="G671">
        <v>0</v>
      </c>
      <c r="H671">
        <v>0</v>
      </c>
      <c r="I671">
        <v>0</v>
      </c>
      <c r="J671">
        <v>0</v>
      </c>
      <c r="K671">
        <v>63.6</v>
      </c>
      <c r="L671">
        <v>62.2</v>
      </c>
      <c r="M671">
        <v>82.82</v>
      </c>
      <c r="N671">
        <v>13</v>
      </c>
      <c r="O671">
        <v>3</v>
      </c>
      <c r="P671">
        <f>MOD(DAY(datos_siembra[[#This Row],[Date]]),7)</f>
        <v>6</v>
      </c>
      <c r="Q671" t="str">
        <f>CHOOSE(WEEKDAY(datos_siembra[[#This Row],[Date]],2),"L","M","X","J","V","S","D")</f>
        <v>V</v>
      </c>
      <c r="R671">
        <f>WEEKNUM(datos_siembra[[#This Row],[Date]],2)-WEEKNUM(DATE(YEAR(datos_siembra[[#This Row],[Date]]),MONTH(datos_siembra[[#This Row],[Date]]),1))+1</f>
        <v>2</v>
      </c>
      <c r="S671">
        <f>MONTH(datos_siembra[[#This Row],[Date]])</f>
        <v>9</v>
      </c>
      <c r="T671" t="str" cm="1">
        <f t="array" ref="T671">_xlfn.IFS(AND(N671&lt;= 22, S671=9), "SOWING",AND(N671&lt;= 28, S671=9), "COVERAGE",AND(N671&lt;= 30, S671=9), "FLUSH",AND(N671&lt;= 11, S671=10), "FLUSH",AND(N671&lt;= 21, S671=10), "PRODUCTION")</f>
        <v>SOWING</v>
      </c>
      <c r="U671">
        <f>HOUR(datos_siembra[[#This Row],[Hour]])</f>
        <v>3</v>
      </c>
      <c r="V671" cm="1">
        <f t="array" ref="V671">_xlfn.IFS(AND(N671&lt;= 22, S671=9), N671-7,AND(N671&lt;= 28, S671=9), N671-25,AND(N671&lt;= 30, S671=9), N671-28,AND(N671&lt;= 11, S671=10), N671+2,AND(N671&lt;= 21, S671=10), N671-11)</f>
        <v>6</v>
      </c>
    </row>
    <row r="672" spans="1:22" x14ac:dyDescent="0.35">
      <c r="A672" s="4">
        <v>45548</v>
      </c>
      <c r="B672" s="5">
        <v>0.1454050925925926</v>
      </c>
      <c r="C672">
        <v>84.2</v>
      </c>
      <c r="D672">
        <v>80.3</v>
      </c>
      <c r="E672">
        <v>85.1</v>
      </c>
      <c r="F672">
        <v>82.4</v>
      </c>
      <c r="G672">
        <v>0</v>
      </c>
      <c r="H672">
        <v>0</v>
      </c>
      <c r="I672">
        <v>0</v>
      </c>
      <c r="J672">
        <v>0</v>
      </c>
      <c r="K672">
        <v>63.8</v>
      </c>
      <c r="L672">
        <v>62.4</v>
      </c>
      <c r="M672">
        <v>82.99</v>
      </c>
      <c r="N672">
        <v>13</v>
      </c>
      <c r="O672">
        <v>3</v>
      </c>
      <c r="P672">
        <f>MOD(DAY(datos_siembra[[#This Row],[Date]]),7)</f>
        <v>6</v>
      </c>
      <c r="Q672" t="str">
        <f>CHOOSE(WEEKDAY(datos_siembra[[#This Row],[Date]],2),"L","M","X","J","V","S","D")</f>
        <v>V</v>
      </c>
      <c r="R672">
        <f>WEEKNUM(datos_siembra[[#This Row],[Date]],2)-WEEKNUM(DATE(YEAR(datos_siembra[[#This Row],[Date]]),MONTH(datos_siembra[[#This Row],[Date]]),1))+1</f>
        <v>2</v>
      </c>
      <c r="S672">
        <f>MONTH(datos_siembra[[#This Row],[Date]])</f>
        <v>9</v>
      </c>
      <c r="T672" t="str" cm="1">
        <f t="array" ref="T672">_xlfn.IFS(AND(N672&lt;= 22, S672=9), "SOWING",AND(N672&lt;= 28, S672=9), "COVERAGE",AND(N672&lt;= 30, S672=9), "FLUSH",AND(N672&lt;= 11, S672=10), "FLUSH",AND(N672&lt;= 21, S672=10), "PRODUCTION")</f>
        <v>SOWING</v>
      </c>
      <c r="U672">
        <f>HOUR(datos_siembra[[#This Row],[Hour]])</f>
        <v>3</v>
      </c>
      <c r="V672" cm="1">
        <f t="array" ref="V672">_xlfn.IFS(AND(N672&lt;= 22, S672=9), N672-7,AND(N672&lt;= 28, S672=9), N672-25,AND(N672&lt;= 30, S672=9), N672-28,AND(N672&lt;= 11, S672=10), N672+2,AND(N672&lt;= 21, S672=10), N672-11)</f>
        <v>6</v>
      </c>
    </row>
    <row r="673" spans="1:22" x14ac:dyDescent="0.35">
      <c r="A673" s="4">
        <v>45548</v>
      </c>
      <c r="B673" s="5">
        <v>0.15234953703703705</v>
      </c>
      <c r="C673">
        <v>84.4</v>
      </c>
      <c r="D673">
        <v>80.099999999999994</v>
      </c>
      <c r="E673">
        <v>85</v>
      </c>
      <c r="F673">
        <v>82.2</v>
      </c>
      <c r="G673">
        <v>0</v>
      </c>
      <c r="H673">
        <v>0</v>
      </c>
      <c r="I673">
        <v>0</v>
      </c>
      <c r="J673">
        <v>0</v>
      </c>
      <c r="K673">
        <v>64.099999999999994</v>
      </c>
      <c r="L673">
        <v>62.6</v>
      </c>
      <c r="M673">
        <v>82.99</v>
      </c>
      <c r="N673">
        <v>13</v>
      </c>
      <c r="O673">
        <v>3</v>
      </c>
      <c r="P673">
        <f>MOD(DAY(datos_siembra[[#This Row],[Date]]),7)</f>
        <v>6</v>
      </c>
      <c r="Q673" t="str">
        <f>CHOOSE(WEEKDAY(datos_siembra[[#This Row],[Date]],2),"L","M","X","J","V","S","D")</f>
        <v>V</v>
      </c>
      <c r="R673">
        <f>WEEKNUM(datos_siembra[[#This Row],[Date]],2)-WEEKNUM(DATE(YEAR(datos_siembra[[#This Row],[Date]]),MONTH(datos_siembra[[#This Row],[Date]]),1))+1</f>
        <v>2</v>
      </c>
      <c r="S673">
        <f>MONTH(datos_siembra[[#This Row],[Date]])</f>
        <v>9</v>
      </c>
      <c r="T673" t="str" cm="1">
        <f t="array" ref="T673">_xlfn.IFS(AND(N673&lt;= 22, S673=9), "SOWING",AND(N673&lt;= 28, S673=9), "COVERAGE",AND(N673&lt;= 30, S673=9), "FLUSH",AND(N673&lt;= 11, S673=10), "FLUSH",AND(N673&lt;= 21, S673=10), "PRODUCTION")</f>
        <v>SOWING</v>
      </c>
      <c r="U673">
        <f>HOUR(datos_siembra[[#This Row],[Hour]])</f>
        <v>3</v>
      </c>
      <c r="V673" cm="1">
        <f t="array" ref="V673">_xlfn.IFS(AND(N673&lt;= 22, S673=9), N673-7,AND(N673&lt;= 28, S673=9), N673-25,AND(N673&lt;= 30, S673=9), N673-28,AND(N673&lt;= 11, S673=10), N673+2,AND(N673&lt;= 21, S673=10), N673-11)</f>
        <v>6</v>
      </c>
    </row>
    <row r="674" spans="1:22" x14ac:dyDescent="0.35">
      <c r="A674" s="4">
        <v>45548</v>
      </c>
      <c r="B674" s="5">
        <v>0.15929398148148149</v>
      </c>
      <c r="C674">
        <v>84.6</v>
      </c>
      <c r="D674">
        <v>80.099999999999994</v>
      </c>
      <c r="E674">
        <v>84.9</v>
      </c>
      <c r="F674">
        <v>82.3</v>
      </c>
      <c r="G674">
        <v>0</v>
      </c>
      <c r="H674">
        <v>0</v>
      </c>
      <c r="I674">
        <v>0</v>
      </c>
      <c r="J674">
        <v>0</v>
      </c>
      <c r="K674">
        <v>62.7</v>
      </c>
      <c r="L674">
        <v>61.2</v>
      </c>
      <c r="M674">
        <v>82.99</v>
      </c>
      <c r="N674">
        <v>13</v>
      </c>
      <c r="O674">
        <v>3</v>
      </c>
      <c r="P674">
        <f>MOD(DAY(datos_siembra[[#This Row],[Date]]),7)</f>
        <v>6</v>
      </c>
      <c r="Q674" t="str">
        <f>CHOOSE(WEEKDAY(datos_siembra[[#This Row],[Date]],2),"L","M","X","J","V","S","D")</f>
        <v>V</v>
      </c>
      <c r="R674">
        <f>WEEKNUM(datos_siembra[[#This Row],[Date]],2)-WEEKNUM(DATE(YEAR(datos_siembra[[#This Row],[Date]]),MONTH(datos_siembra[[#This Row],[Date]]),1))+1</f>
        <v>2</v>
      </c>
      <c r="S674">
        <f>MONTH(datos_siembra[[#This Row],[Date]])</f>
        <v>9</v>
      </c>
      <c r="T674" t="str" cm="1">
        <f t="array" ref="T674">_xlfn.IFS(AND(N674&lt;= 22, S674=9), "SOWING",AND(N674&lt;= 28, S674=9), "COVERAGE",AND(N674&lt;= 30, S674=9), "FLUSH",AND(N674&lt;= 11, S674=10), "FLUSH",AND(N674&lt;= 21, S674=10), "PRODUCTION")</f>
        <v>SOWING</v>
      </c>
      <c r="U674">
        <f>HOUR(datos_siembra[[#This Row],[Hour]])</f>
        <v>3</v>
      </c>
      <c r="V674" cm="1">
        <f t="array" ref="V674">_xlfn.IFS(AND(N674&lt;= 22, S674=9), N674-7,AND(N674&lt;= 28, S674=9), N674-25,AND(N674&lt;= 30, S674=9), N674-28,AND(N674&lt;= 11, S674=10), N674+2,AND(N674&lt;= 21, S674=10), N674-11)</f>
        <v>6</v>
      </c>
    </row>
    <row r="675" spans="1:22" x14ac:dyDescent="0.35">
      <c r="A675" s="4">
        <v>45548</v>
      </c>
      <c r="B675" s="5">
        <v>0.16625000000000001</v>
      </c>
      <c r="C675">
        <v>84.6</v>
      </c>
      <c r="D675">
        <v>80.099999999999994</v>
      </c>
      <c r="E675">
        <v>85</v>
      </c>
      <c r="F675">
        <v>82.2</v>
      </c>
      <c r="G675">
        <v>0</v>
      </c>
      <c r="H675">
        <v>0</v>
      </c>
      <c r="I675">
        <v>0</v>
      </c>
      <c r="J675">
        <v>0</v>
      </c>
      <c r="K675">
        <v>62.3</v>
      </c>
      <c r="L675">
        <v>60.7</v>
      </c>
      <c r="M675">
        <v>82.91</v>
      </c>
      <c r="N675">
        <v>13</v>
      </c>
      <c r="O675">
        <v>3</v>
      </c>
      <c r="P675">
        <f>MOD(DAY(datos_siembra[[#This Row],[Date]]),7)</f>
        <v>6</v>
      </c>
      <c r="Q675" t="str">
        <f>CHOOSE(WEEKDAY(datos_siembra[[#This Row],[Date]],2),"L","M","X","J","V","S","D")</f>
        <v>V</v>
      </c>
      <c r="R675">
        <f>WEEKNUM(datos_siembra[[#This Row],[Date]],2)-WEEKNUM(DATE(YEAR(datos_siembra[[#This Row],[Date]]),MONTH(datos_siembra[[#This Row],[Date]]),1))+1</f>
        <v>2</v>
      </c>
      <c r="S675">
        <f>MONTH(datos_siembra[[#This Row],[Date]])</f>
        <v>9</v>
      </c>
      <c r="T675" t="str" cm="1">
        <f t="array" ref="T675">_xlfn.IFS(AND(N675&lt;= 22, S675=9), "SOWING",AND(N675&lt;= 28, S675=9), "COVERAGE",AND(N675&lt;= 30, S675=9), "FLUSH",AND(N675&lt;= 11, S675=10), "FLUSH",AND(N675&lt;= 21, S675=10), "PRODUCTION")</f>
        <v>SOWING</v>
      </c>
      <c r="U675">
        <f>HOUR(datos_siembra[[#This Row],[Hour]])</f>
        <v>3</v>
      </c>
      <c r="V675" cm="1">
        <f t="array" ref="V675">_xlfn.IFS(AND(N675&lt;= 22, S675=9), N675-7,AND(N675&lt;= 28, S675=9), N675-25,AND(N675&lt;= 30, S675=9), N675-28,AND(N675&lt;= 11, S675=10), N675+2,AND(N675&lt;= 21, S675=10), N675-11)</f>
        <v>6</v>
      </c>
    </row>
    <row r="676" spans="1:22" x14ac:dyDescent="0.35">
      <c r="A676" s="4">
        <v>45548</v>
      </c>
      <c r="B676" s="5">
        <v>0.17319444444444446</v>
      </c>
      <c r="C676">
        <v>84.8</v>
      </c>
      <c r="D676">
        <v>80</v>
      </c>
      <c r="E676">
        <v>85</v>
      </c>
      <c r="F676">
        <v>82.3</v>
      </c>
      <c r="G676">
        <v>0</v>
      </c>
      <c r="H676">
        <v>0</v>
      </c>
      <c r="I676">
        <v>0</v>
      </c>
      <c r="J676">
        <v>0</v>
      </c>
      <c r="K676">
        <v>63.2</v>
      </c>
      <c r="L676">
        <v>61.6</v>
      </c>
      <c r="M676">
        <v>83.02</v>
      </c>
      <c r="N676">
        <v>13</v>
      </c>
      <c r="O676">
        <v>3</v>
      </c>
      <c r="P676">
        <f>MOD(DAY(datos_siembra[[#This Row],[Date]]),7)</f>
        <v>6</v>
      </c>
      <c r="Q676" t="str">
        <f>CHOOSE(WEEKDAY(datos_siembra[[#This Row],[Date]],2),"L","M","X","J","V","S","D")</f>
        <v>V</v>
      </c>
      <c r="R676">
        <f>WEEKNUM(datos_siembra[[#This Row],[Date]],2)-WEEKNUM(DATE(YEAR(datos_siembra[[#This Row],[Date]]),MONTH(datos_siembra[[#This Row],[Date]]),1))+1</f>
        <v>2</v>
      </c>
      <c r="S676">
        <f>MONTH(datos_siembra[[#This Row],[Date]])</f>
        <v>9</v>
      </c>
      <c r="T676" t="str" cm="1">
        <f t="array" ref="T676">_xlfn.IFS(AND(N676&lt;= 22, S676=9), "SOWING",AND(N676&lt;= 28, S676=9), "COVERAGE",AND(N676&lt;= 30, S676=9), "FLUSH",AND(N676&lt;= 11, S676=10), "FLUSH",AND(N676&lt;= 21, S676=10), "PRODUCTION")</f>
        <v>SOWING</v>
      </c>
      <c r="U676">
        <f>HOUR(datos_siembra[[#This Row],[Hour]])</f>
        <v>4</v>
      </c>
      <c r="V676" cm="1">
        <f t="array" ref="V676">_xlfn.IFS(AND(N676&lt;= 22, S676=9), N676-7,AND(N676&lt;= 28, S676=9), N676-25,AND(N676&lt;= 30, S676=9), N676-28,AND(N676&lt;= 11, S676=10), N676+2,AND(N676&lt;= 21, S676=10), N676-11)</f>
        <v>6</v>
      </c>
    </row>
    <row r="677" spans="1:22" x14ac:dyDescent="0.35">
      <c r="A677" s="4">
        <v>45548</v>
      </c>
      <c r="B677" s="5">
        <v>0.18013888888888888</v>
      </c>
      <c r="C677">
        <v>84.5</v>
      </c>
      <c r="D677">
        <v>80</v>
      </c>
      <c r="E677">
        <v>85</v>
      </c>
      <c r="F677">
        <v>82.3</v>
      </c>
      <c r="G677">
        <v>0</v>
      </c>
      <c r="H677">
        <v>0</v>
      </c>
      <c r="I677">
        <v>0</v>
      </c>
      <c r="J677">
        <v>0</v>
      </c>
      <c r="K677">
        <v>63.9</v>
      </c>
      <c r="L677">
        <v>62.5</v>
      </c>
      <c r="M677">
        <v>82.93</v>
      </c>
      <c r="N677">
        <v>13</v>
      </c>
      <c r="O677">
        <v>3</v>
      </c>
      <c r="P677">
        <f>MOD(DAY(datos_siembra[[#This Row],[Date]]),7)</f>
        <v>6</v>
      </c>
      <c r="Q677" t="str">
        <f>CHOOSE(WEEKDAY(datos_siembra[[#This Row],[Date]],2),"L","M","X","J","V","S","D")</f>
        <v>V</v>
      </c>
      <c r="R677">
        <f>WEEKNUM(datos_siembra[[#This Row],[Date]],2)-WEEKNUM(DATE(YEAR(datos_siembra[[#This Row],[Date]]),MONTH(datos_siembra[[#This Row],[Date]]),1))+1</f>
        <v>2</v>
      </c>
      <c r="S677">
        <f>MONTH(datos_siembra[[#This Row],[Date]])</f>
        <v>9</v>
      </c>
      <c r="T677" t="str" cm="1">
        <f t="array" ref="T677">_xlfn.IFS(AND(N677&lt;= 22, S677=9), "SOWING",AND(N677&lt;= 28, S677=9), "COVERAGE",AND(N677&lt;= 30, S677=9), "FLUSH",AND(N677&lt;= 11, S677=10), "FLUSH",AND(N677&lt;= 21, S677=10), "PRODUCTION")</f>
        <v>SOWING</v>
      </c>
      <c r="U677">
        <f>HOUR(datos_siembra[[#This Row],[Hour]])</f>
        <v>4</v>
      </c>
      <c r="V677" cm="1">
        <f t="array" ref="V677">_xlfn.IFS(AND(N677&lt;= 22, S677=9), N677-7,AND(N677&lt;= 28, S677=9), N677-25,AND(N677&lt;= 30, S677=9), N677-28,AND(N677&lt;= 11, S677=10), N677+2,AND(N677&lt;= 21, S677=10), N677-11)</f>
        <v>6</v>
      </c>
    </row>
    <row r="678" spans="1:22" x14ac:dyDescent="0.35">
      <c r="A678" s="4">
        <v>45548</v>
      </c>
      <c r="B678" s="5">
        <v>0.18708333333333332</v>
      </c>
      <c r="C678">
        <v>84.3</v>
      </c>
      <c r="D678">
        <v>80</v>
      </c>
      <c r="E678">
        <v>84.9</v>
      </c>
      <c r="F678">
        <v>82</v>
      </c>
      <c r="G678">
        <v>0</v>
      </c>
      <c r="H678">
        <v>0</v>
      </c>
      <c r="I678">
        <v>0</v>
      </c>
      <c r="J678">
        <v>0</v>
      </c>
      <c r="K678">
        <v>62.8</v>
      </c>
      <c r="L678">
        <v>61.2</v>
      </c>
      <c r="M678">
        <v>82.91</v>
      </c>
      <c r="N678">
        <v>13</v>
      </c>
      <c r="O678">
        <v>3</v>
      </c>
      <c r="P678">
        <f>MOD(DAY(datos_siembra[[#This Row],[Date]]),7)</f>
        <v>6</v>
      </c>
      <c r="Q678" t="str">
        <f>CHOOSE(WEEKDAY(datos_siembra[[#This Row],[Date]],2),"L","M","X","J","V","S","D")</f>
        <v>V</v>
      </c>
      <c r="R678">
        <f>WEEKNUM(datos_siembra[[#This Row],[Date]],2)-WEEKNUM(DATE(YEAR(datos_siembra[[#This Row],[Date]]),MONTH(datos_siembra[[#This Row],[Date]]),1))+1</f>
        <v>2</v>
      </c>
      <c r="S678">
        <f>MONTH(datos_siembra[[#This Row],[Date]])</f>
        <v>9</v>
      </c>
      <c r="T678" t="str" cm="1">
        <f t="array" ref="T678">_xlfn.IFS(AND(N678&lt;= 22, S678=9), "SOWING",AND(N678&lt;= 28, S678=9), "COVERAGE",AND(N678&lt;= 30, S678=9), "FLUSH",AND(N678&lt;= 11, S678=10), "FLUSH",AND(N678&lt;= 21, S678=10), "PRODUCTION")</f>
        <v>SOWING</v>
      </c>
      <c r="U678">
        <f>HOUR(datos_siembra[[#This Row],[Hour]])</f>
        <v>4</v>
      </c>
      <c r="V678" cm="1">
        <f t="array" ref="V678">_xlfn.IFS(AND(N678&lt;= 22, S678=9), N678-7,AND(N678&lt;= 28, S678=9), N678-25,AND(N678&lt;= 30, S678=9), N678-28,AND(N678&lt;= 11, S678=10), N678+2,AND(N678&lt;= 21, S678=10), N678-11)</f>
        <v>6</v>
      </c>
    </row>
    <row r="679" spans="1:22" x14ac:dyDescent="0.35">
      <c r="A679" s="4">
        <v>45548</v>
      </c>
      <c r="B679" s="5">
        <v>0.19403935185185187</v>
      </c>
      <c r="C679">
        <v>84.3</v>
      </c>
      <c r="D679">
        <v>80</v>
      </c>
      <c r="E679">
        <v>84.8</v>
      </c>
      <c r="F679">
        <v>82.3</v>
      </c>
      <c r="G679">
        <v>0</v>
      </c>
      <c r="H679">
        <v>0</v>
      </c>
      <c r="I679">
        <v>0</v>
      </c>
      <c r="J679">
        <v>0</v>
      </c>
      <c r="K679">
        <v>62.5</v>
      </c>
      <c r="L679">
        <v>60.8</v>
      </c>
      <c r="M679">
        <v>82.85</v>
      </c>
      <c r="N679">
        <v>13</v>
      </c>
      <c r="O679">
        <v>3</v>
      </c>
      <c r="P679">
        <f>MOD(DAY(datos_siembra[[#This Row],[Date]]),7)</f>
        <v>6</v>
      </c>
      <c r="Q679" t="str">
        <f>CHOOSE(WEEKDAY(datos_siembra[[#This Row],[Date]],2),"L","M","X","J","V","S","D")</f>
        <v>V</v>
      </c>
      <c r="R679">
        <f>WEEKNUM(datos_siembra[[#This Row],[Date]],2)-WEEKNUM(DATE(YEAR(datos_siembra[[#This Row],[Date]]),MONTH(datos_siembra[[#This Row],[Date]]),1))+1</f>
        <v>2</v>
      </c>
      <c r="S679">
        <f>MONTH(datos_siembra[[#This Row],[Date]])</f>
        <v>9</v>
      </c>
      <c r="T679" t="str" cm="1">
        <f t="array" ref="T679">_xlfn.IFS(AND(N679&lt;= 22, S679=9), "SOWING",AND(N679&lt;= 28, S679=9), "COVERAGE",AND(N679&lt;= 30, S679=9), "FLUSH",AND(N679&lt;= 11, S679=10), "FLUSH",AND(N679&lt;= 21, S679=10), "PRODUCTION")</f>
        <v>SOWING</v>
      </c>
      <c r="U679">
        <f>HOUR(datos_siembra[[#This Row],[Hour]])</f>
        <v>4</v>
      </c>
      <c r="V679" cm="1">
        <f t="array" ref="V679">_xlfn.IFS(AND(N679&lt;= 22, S679=9), N679-7,AND(N679&lt;= 28, S679=9), N679-25,AND(N679&lt;= 30, S679=9), N679-28,AND(N679&lt;= 11, S679=10), N679+2,AND(N679&lt;= 21, S679=10), N679-11)</f>
        <v>6</v>
      </c>
    </row>
    <row r="680" spans="1:22" x14ac:dyDescent="0.35">
      <c r="A680" s="4">
        <v>45548</v>
      </c>
      <c r="B680" s="5">
        <v>0.20098379629629629</v>
      </c>
      <c r="C680">
        <v>84.2</v>
      </c>
      <c r="D680">
        <v>80</v>
      </c>
      <c r="E680">
        <v>84.9</v>
      </c>
      <c r="F680">
        <v>82.2</v>
      </c>
      <c r="G680">
        <v>0</v>
      </c>
      <c r="H680">
        <v>0</v>
      </c>
      <c r="I680">
        <v>0</v>
      </c>
      <c r="J680">
        <v>0</v>
      </c>
      <c r="K680">
        <v>62.4</v>
      </c>
      <c r="L680">
        <v>60.8</v>
      </c>
      <c r="M680">
        <v>82.85</v>
      </c>
      <c r="N680">
        <v>13</v>
      </c>
      <c r="O680">
        <v>3</v>
      </c>
      <c r="P680">
        <f>MOD(DAY(datos_siembra[[#This Row],[Date]]),7)</f>
        <v>6</v>
      </c>
      <c r="Q680" t="str">
        <f>CHOOSE(WEEKDAY(datos_siembra[[#This Row],[Date]],2),"L","M","X","J","V","S","D")</f>
        <v>V</v>
      </c>
      <c r="R680">
        <f>WEEKNUM(datos_siembra[[#This Row],[Date]],2)-WEEKNUM(DATE(YEAR(datos_siembra[[#This Row],[Date]]),MONTH(datos_siembra[[#This Row],[Date]]),1))+1</f>
        <v>2</v>
      </c>
      <c r="S680">
        <f>MONTH(datos_siembra[[#This Row],[Date]])</f>
        <v>9</v>
      </c>
      <c r="T680" t="str" cm="1">
        <f t="array" ref="T680">_xlfn.IFS(AND(N680&lt;= 22, S680=9), "SOWING",AND(N680&lt;= 28, S680=9), "COVERAGE",AND(N680&lt;= 30, S680=9), "FLUSH",AND(N680&lt;= 11, S680=10), "FLUSH",AND(N680&lt;= 21, S680=10), "PRODUCTION")</f>
        <v>SOWING</v>
      </c>
      <c r="U680">
        <f>HOUR(datos_siembra[[#This Row],[Hour]])</f>
        <v>4</v>
      </c>
      <c r="V680" cm="1">
        <f t="array" ref="V680">_xlfn.IFS(AND(N680&lt;= 22, S680=9), N680-7,AND(N680&lt;= 28, S680=9), N680-25,AND(N680&lt;= 30, S680=9), N680-28,AND(N680&lt;= 11, S680=10), N680+2,AND(N680&lt;= 21, S680=10), N680-11)</f>
        <v>6</v>
      </c>
    </row>
    <row r="681" spans="1:22" x14ac:dyDescent="0.35">
      <c r="A681" s="4">
        <v>45548</v>
      </c>
      <c r="B681" s="5">
        <v>0.20792824074074073</v>
      </c>
      <c r="C681">
        <v>84.2</v>
      </c>
      <c r="D681">
        <v>80</v>
      </c>
      <c r="E681">
        <v>84.5</v>
      </c>
      <c r="F681">
        <v>82.2</v>
      </c>
      <c r="G681">
        <v>0</v>
      </c>
      <c r="H681">
        <v>0</v>
      </c>
      <c r="I681">
        <v>0</v>
      </c>
      <c r="J681">
        <v>0</v>
      </c>
      <c r="K681">
        <v>62.5</v>
      </c>
      <c r="L681">
        <v>60.8</v>
      </c>
      <c r="M681">
        <v>82.77</v>
      </c>
      <c r="N681">
        <v>13</v>
      </c>
      <c r="O681">
        <v>3</v>
      </c>
      <c r="P681">
        <f>MOD(DAY(datos_siembra[[#This Row],[Date]]),7)</f>
        <v>6</v>
      </c>
      <c r="Q681" t="str">
        <f>CHOOSE(WEEKDAY(datos_siembra[[#This Row],[Date]],2),"L","M","X","J","V","S","D")</f>
        <v>V</v>
      </c>
      <c r="R681">
        <f>WEEKNUM(datos_siembra[[#This Row],[Date]],2)-WEEKNUM(DATE(YEAR(datos_siembra[[#This Row],[Date]]),MONTH(datos_siembra[[#This Row],[Date]]),1))+1</f>
        <v>2</v>
      </c>
      <c r="S681">
        <f>MONTH(datos_siembra[[#This Row],[Date]])</f>
        <v>9</v>
      </c>
      <c r="T681" t="str" cm="1">
        <f t="array" ref="T681">_xlfn.IFS(AND(N681&lt;= 22, S681=9), "SOWING",AND(N681&lt;= 28, S681=9), "COVERAGE",AND(N681&lt;= 30, S681=9), "FLUSH",AND(N681&lt;= 11, S681=10), "FLUSH",AND(N681&lt;= 21, S681=10), "PRODUCTION")</f>
        <v>SOWING</v>
      </c>
      <c r="U681">
        <f>HOUR(datos_siembra[[#This Row],[Hour]])</f>
        <v>4</v>
      </c>
      <c r="V681" cm="1">
        <f t="array" ref="V681">_xlfn.IFS(AND(N681&lt;= 22, S681=9), N681-7,AND(N681&lt;= 28, S681=9), N681-25,AND(N681&lt;= 30, S681=9), N681-28,AND(N681&lt;= 11, S681=10), N681+2,AND(N681&lt;= 21, S681=10), N681-11)</f>
        <v>6</v>
      </c>
    </row>
    <row r="682" spans="1:22" x14ac:dyDescent="0.35">
      <c r="A682" s="4">
        <v>45548</v>
      </c>
      <c r="B682" s="5">
        <v>0.21488425925925925</v>
      </c>
      <c r="C682">
        <v>84.4</v>
      </c>
      <c r="D682">
        <v>80</v>
      </c>
      <c r="E682">
        <v>84.6</v>
      </c>
      <c r="F682">
        <v>82.1</v>
      </c>
      <c r="G682">
        <v>0</v>
      </c>
      <c r="H682">
        <v>0</v>
      </c>
      <c r="I682">
        <v>0</v>
      </c>
      <c r="J682">
        <v>0</v>
      </c>
      <c r="K682">
        <v>62.5</v>
      </c>
      <c r="L682">
        <v>60.9</v>
      </c>
      <c r="M682">
        <v>82.77</v>
      </c>
      <c r="N682">
        <v>13</v>
      </c>
      <c r="O682">
        <v>3</v>
      </c>
      <c r="P682">
        <f>MOD(DAY(datos_siembra[[#This Row],[Date]]),7)</f>
        <v>6</v>
      </c>
      <c r="Q682" t="str">
        <f>CHOOSE(WEEKDAY(datos_siembra[[#This Row],[Date]],2),"L","M","X","J","V","S","D")</f>
        <v>V</v>
      </c>
      <c r="R682">
        <f>WEEKNUM(datos_siembra[[#This Row],[Date]],2)-WEEKNUM(DATE(YEAR(datos_siembra[[#This Row],[Date]]),MONTH(datos_siembra[[#This Row],[Date]]),1))+1</f>
        <v>2</v>
      </c>
      <c r="S682">
        <f>MONTH(datos_siembra[[#This Row],[Date]])</f>
        <v>9</v>
      </c>
      <c r="T682" t="str" cm="1">
        <f t="array" ref="T682">_xlfn.IFS(AND(N682&lt;= 22, S682=9), "SOWING",AND(N682&lt;= 28, S682=9), "COVERAGE",AND(N682&lt;= 30, S682=9), "FLUSH",AND(N682&lt;= 11, S682=10), "FLUSH",AND(N682&lt;= 21, S682=10), "PRODUCTION")</f>
        <v>SOWING</v>
      </c>
      <c r="U682">
        <f>HOUR(datos_siembra[[#This Row],[Hour]])</f>
        <v>5</v>
      </c>
      <c r="V682" cm="1">
        <f t="array" ref="V682">_xlfn.IFS(AND(N682&lt;= 22, S682=9), N682-7,AND(N682&lt;= 28, S682=9), N682-25,AND(N682&lt;= 30, S682=9), N682-28,AND(N682&lt;= 11, S682=10), N682+2,AND(N682&lt;= 21, S682=10), N682-11)</f>
        <v>6</v>
      </c>
    </row>
    <row r="683" spans="1:22" x14ac:dyDescent="0.35">
      <c r="A683" s="4">
        <v>45548</v>
      </c>
      <c r="B683" s="5">
        <v>0.22182870370370369</v>
      </c>
      <c r="C683">
        <v>84.2</v>
      </c>
      <c r="D683">
        <v>80</v>
      </c>
      <c r="E683">
        <v>84.5</v>
      </c>
      <c r="F683">
        <v>82</v>
      </c>
      <c r="G683">
        <v>0</v>
      </c>
      <c r="H683">
        <v>0</v>
      </c>
      <c r="I683">
        <v>0</v>
      </c>
      <c r="J683">
        <v>0</v>
      </c>
      <c r="K683">
        <v>62.5</v>
      </c>
      <c r="L683">
        <v>61</v>
      </c>
      <c r="M683">
        <v>82.82</v>
      </c>
      <c r="N683">
        <v>13</v>
      </c>
      <c r="O683">
        <v>3</v>
      </c>
      <c r="P683">
        <f>MOD(DAY(datos_siembra[[#This Row],[Date]]),7)</f>
        <v>6</v>
      </c>
      <c r="Q683" t="str">
        <f>CHOOSE(WEEKDAY(datos_siembra[[#This Row],[Date]],2),"L","M","X","J","V","S","D")</f>
        <v>V</v>
      </c>
      <c r="R683">
        <f>WEEKNUM(datos_siembra[[#This Row],[Date]],2)-WEEKNUM(DATE(YEAR(datos_siembra[[#This Row],[Date]]),MONTH(datos_siembra[[#This Row],[Date]]),1))+1</f>
        <v>2</v>
      </c>
      <c r="S683">
        <f>MONTH(datos_siembra[[#This Row],[Date]])</f>
        <v>9</v>
      </c>
      <c r="T683" t="str" cm="1">
        <f t="array" ref="T683">_xlfn.IFS(AND(N683&lt;= 22, S683=9), "SOWING",AND(N683&lt;= 28, S683=9), "COVERAGE",AND(N683&lt;= 30, S683=9), "FLUSH",AND(N683&lt;= 11, S683=10), "FLUSH",AND(N683&lt;= 21, S683=10), "PRODUCTION")</f>
        <v>SOWING</v>
      </c>
      <c r="U683">
        <f>HOUR(datos_siembra[[#This Row],[Hour]])</f>
        <v>5</v>
      </c>
      <c r="V683" cm="1">
        <f t="array" ref="V683">_xlfn.IFS(AND(N683&lt;= 22, S683=9), N683-7,AND(N683&lt;= 28, S683=9), N683-25,AND(N683&lt;= 30, S683=9), N683-28,AND(N683&lt;= 11, S683=10), N683+2,AND(N683&lt;= 21, S683=10), N683-11)</f>
        <v>6</v>
      </c>
    </row>
    <row r="684" spans="1:22" x14ac:dyDescent="0.35">
      <c r="A684" s="4">
        <v>45548</v>
      </c>
      <c r="B684" s="5">
        <v>0.22877314814814814</v>
      </c>
      <c r="C684">
        <v>84.2</v>
      </c>
      <c r="D684">
        <v>79.8</v>
      </c>
      <c r="E684">
        <v>84.6</v>
      </c>
      <c r="F684">
        <v>82.1</v>
      </c>
      <c r="G684">
        <v>0</v>
      </c>
      <c r="H684">
        <v>0</v>
      </c>
      <c r="I684">
        <v>0</v>
      </c>
      <c r="J684">
        <v>0</v>
      </c>
      <c r="K684">
        <v>62.7</v>
      </c>
      <c r="L684">
        <v>61.1</v>
      </c>
      <c r="M684">
        <v>82.74</v>
      </c>
      <c r="N684">
        <v>13</v>
      </c>
      <c r="O684">
        <v>3</v>
      </c>
      <c r="P684">
        <f>MOD(DAY(datos_siembra[[#This Row],[Date]]),7)</f>
        <v>6</v>
      </c>
      <c r="Q684" t="str">
        <f>CHOOSE(WEEKDAY(datos_siembra[[#This Row],[Date]],2),"L","M","X","J","V","S","D")</f>
        <v>V</v>
      </c>
      <c r="R684">
        <f>WEEKNUM(datos_siembra[[#This Row],[Date]],2)-WEEKNUM(DATE(YEAR(datos_siembra[[#This Row],[Date]]),MONTH(datos_siembra[[#This Row],[Date]]),1))+1</f>
        <v>2</v>
      </c>
      <c r="S684">
        <f>MONTH(datos_siembra[[#This Row],[Date]])</f>
        <v>9</v>
      </c>
      <c r="T684" t="str" cm="1">
        <f t="array" ref="T684">_xlfn.IFS(AND(N684&lt;= 22, S684=9), "SOWING",AND(N684&lt;= 28, S684=9), "COVERAGE",AND(N684&lt;= 30, S684=9), "FLUSH",AND(N684&lt;= 11, S684=10), "FLUSH",AND(N684&lt;= 21, S684=10), "PRODUCTION")</f>
        <v>SOWING</v>
      </c>
      <c r="U684">
        <f>HOUR(datos_siembra[[#This Row],[Hour]])</f>
        <v>5</v>
      </c>
      <c r="V684" cm="1">
        <f t="array" ref="V684">_xlfn.IFS(AND(N684&lt;= 22, S684=9), N684-7,AND(N684&lt;= 28, S684=9), N684-25,AND(N684&lt;= 30, S684=9), N684-28,AND(N684&lt;= 11, S684=10), N684+2,AND(N684&lt;= 21, S684=10), N684-11)</f>
        <v>6</v>
      </c>
    </row>
    <row r="685" spans="1:22" x14ac:dyDescent="0.35">
      <c r="A685" s="4">
        <v>45548</v>
      </c>
      <c r="B685" s="5">
        <v>0.23572916666666666</v>
      </c>
      <c r="C685">
        <v>84.1</v>
      </c>
      <c r="D685">
        <v>79.900000000000006</v>
      </c>
      <c r="E685">
        <v>84.6</v>
      </c>
      <c r="F685">
        <v>82</v>
      </c>
      <c r="G685">
        <v>0</v>
      </c>
      <c r="H685">
        <v>0</v>
      </c>
      <c r="I685">
        <v>0</v>
      </c>
      <c r="J685">
        <v>0</v>
      </c>
      <c r="K685">
        <v>62.8</v>
      </c>
      <c r="L685">
        <v>61.2</v>
      </c>
      <c r="M685">
        <v>82.65</v>
      </c>
      <c r="N685">
        <v>13</v>
      </c>
      <c r="O685">
        <v>3</v>
      </c>
      <c r="P685">
        <f>MOD(DAY(datos_siembra[[#This Row],[Date]]),7)</f>
        <v>6</v>
      </c>
      <c r="Q685" t="str">
        <f>CHOOSE(WEEKDAY(datos_siembra[[#This Row],[Date]],2),"L","M","X","J","V","S","D")</f>
        <v>V</v>
      </c>
      <c r="R685">
        <f>WEEKNUM(datos_siembra[[#This Row],[Date]],2)-WEEKNUM(DATE(YEAR(datos_siembra[[#This Row],[Date]]),MONTH(datos_siembra[[#This Row],[Date]]),1))+1</f>
        <v>2</v>
      </c>
      <c r="S685">
        <f>MONTH(datos_siembra[[#This Row],[Date]])</f>
        <v>9</v>
      </c>
      <c r="T685" t="str" cm="1">
        <f t="array" ref="T685">_xlfn.IFS(AND(N685&lt;= 22, S685=9), "SOWING",AND(N685&lt;= 28, S685=9), "COVERAGE",AND(N685&lt;= 30, S685=9), "FLUSH",AND(N685&lt;= 11, S685=10), "FLUSH",AND(N685&lt;= 21, S685=10), "PRODUCTION")</f>
        <v>SOWING</v>
      </c>
      <c r="U685">
        <f>HOUR(datos_siembra[[#This Row],[Hour]])</f>
        <v>5</v>
      </c>
      <c r="V685" cm="1">
        <f t="array" ref="V685">_xlfn.IFS(AND(N685&lt;= 22, S685=9), N685-7,AND(N685&lt;= 28, S685=9), N685-25,AND(N685&lt;= 30, S685=9), N685-28,AND(N685&lt;= 11, S685=10), N685+2,AND(N685&lt;= 21, S685=10), N685-11)</f>
        <v>6</v>
      </c>
    </row>
    <row r="686" spans="1:22" x14ac:dyDescent="0.35">
      <c r="A686" s="4">
        <v>45548</v>
      </c>
      <c r="B686" s="5">
        <v>0.2426736111111111</v>
      </c>
      <c r="C686">
        <v>84.2</v>
      </c>
      <c r="D686">
        <v>79.900000000000006</v>
      </c>
      <c r="E686">
        <v>84.5</v>
      </c>
      <c r="F686">
        <v>81.8</v>
      </c>
      <c r="G686">
        <v>0</v>
      </c>
      <c r="H686">
        <v>0</v>
      </c>
      <c r="I686">
        <v>0</v>
      </c>
      <c r="J686">
        <v>0</v>
      </c>
      <c r="K686">
        <v>62.9</v>
      </c>
      <c r="L686">
        <v>61.4</v>
      </c>
      <c r="M686">
        <v>82.65</v>
      </c>
      <c r="N686">
        <v>13</v>
      </c>
      <c r="O686">
        <v>3</v>
      </c>
      <c r="P686">
        <f>MOD(DAY(datos_siembra[[#This Row],[Date]]),7)</f>
        <v>6</v>
      </c>
      <c r="Q686" t="str">
        <f>CHOOSE(WEEKDAY(datos_siembra[[#This Row],[Date]],2),"L","M","X","J","V","S","D")</f>
        <v>V</v>
      </c>
      <c r="R686">
        <f>WEEKNUM(datos_siembra[[#This Row],[Date]],2)-WEEKNUM(DATE(YEAR(datos_siembra[[#This Row],[Date]]),MONTH(datos_siembra[[#This Row],[Date]]),1))+1</f>
        <v>2</v>
      </c>
      <c r="S686">
        <f>MONTH(datos_siembra[[#This Row],[Date]])</f>
        <v>9</v>
      </c>
      <c r="T686" t="str" cm="1">
        <f t="array" ref="T686">_xlfn.IFS(AND(N686&lt;= 22, S686=9), "SOWING",AND(N686&lt;= 28, S686=9), "COVERAGE",AND(N686&lt;= 30, S686=9), "FLUSH",AND(N686&lt;= 11, S686=10), "FLUSH",AND(N686&lt;= 21, S686=10), "PRODUCTION")</f>
        <v>SOWING</v>
      </c>
      <c r="U686">
        <f>HOUR(datos_siembra[[#This Row],[Hour]])</f>
        <v>5</v>
      </c>
      <c r="V686" cm="1">
        <f t="array" ref="V686">_xlfn.IFS(AND(N686&lt;= 22, S686=9), N686-7,AND(N686&lt;= 28, S686=9), N686-25,AND(N686&lt;= 30, S686=9), N686-28,AND(N686&lt;= 11, S686=10), N686+2,AND(N686&lt;= 21, S686=10), N686-11)</f>
        <v>6</v>
      </c>
    </row>
    <row r="687" spans="1:22" x14ac:dyDescent="0.35">
      <c r="A687" s="4">
        <v>45548</v>
      </c>
      <c r="B687" s="5">
        <v>0.24961805555555555</v>
      </c>
      <c r="C687">
        <v>84.1</v>
      </c>
      <c r="D687">
        <v>79.900000000000006</v>
      </c>
      <c r="E687">
        <v>84.4</v>
      </c>
      <c r="F687">
        <v>81.7</v>
      </c>
      <c r="G687">
        <v>0</v>
      </c>
      <c r="H687">
        <v>0</v>
      </c>
      <c r="I687">
        <v>0</v>
      </c>
      <c r="J687">
        <v>0</v>
      </c>
      <c r="K687">
        <v>63</v>
      </c>
      <c r="L687">
        <v>61.5</v>
      </c>
      <c r="M687">
        <v>82.6</v>
      </c>
      <c r="N687">
        <v>13</v>
      </c>
      <c r="O687">
        <v>3</v>
      </c>
      <c r="P687">
        <f>MOD(DAY(datos_siembra[[#This Row],[Date]]),7)</f>
        <v>6</v>
      </c>
      <c r="Q687" t="str">
        <f>CHOOSE(WEEKDAY(datos_siembra[[#This Row],[Date]],2),"L","M","X","J","V","S","D")</f>
        <v>V</v>
      </c>
      <c r="R687">
        <f>WEEKNUM(datos_siembra[[#This Row],[Date]],2)-WEEKNUM(DATE(YEAR(datos_siembra[[#This Row],[Date]]),MONTH(datos_siembra[[#This Row],[Date]]),1))+1</f>
        <v>2</v>
      </c>
      <c r="S687">
        <f>MONTH(datos_siembra[[#This Row],[Date]])</f>
        <v>9</v>
      </c>
      <c r="T687" t="str" cm="1">
        <f t="array" ref="T687">_xlfn.IFS(AND(N687&lt;= 22, S687=9), "SOWING",AND(N687&lt;= 28, S687=9), "COVERAGE",AND(N687&lt;= 30, S687=9), "FLUSH",AND(N687&lt;= 11, S687=10), "FLUSH",AND(N687&lt;= 21, S687=10), "PRODUCTION")</f>
        <v>SOWING</v>
      </c>
      <c r="U687">
        <f>HOUR(datos_siembra[[#This Row],[Hour]])</f>
        <v>5</v>
      </c>
      <c r="V687" cm="1">
        <f t="array" ref="V687">_xlfn.IFS(AND(N687&lt;= 22, S687=9), N687-7,AND(N687&lt;= 28, S687=9), N687-25,AND(N687&lt;= 30, S687=9), N687-28,AND(N687&lt;= 11, S687=10), N687+2,AND(N687&lt;= 21, S687=10), N687-11)</f>
        <v>6</v>
      </c>
    </row>
    <row r="688" spans="1:22" x14ac:dyDescent="0.35">
      <c r="A688" s="4">
        <v>45548</v>
      </c>
      <c r="B688" s="5">
        <v>0.25657407407407407</v>
      </c>
      <c r="C688">
        <v>84.2</v>
      </c>
      <c r="D688">
        <v>79.900000000000006</v>
      </c>
      <c r="E688">
        <v>84.5</v>
      </c>
      <c r="F688">
        <v>82.1</v>
      </c>
      <c r="G688">
        <v>0</v>
      </c>
      <c r="H688">
        <v>0</v>
      </c>
      <c r="I688">
        <v>0</v>
      </c>
      <c r="J688">
        <v>0</v>
      </c>
      <c r="K688">
        <v>63.4</v>
      </c>
      <c r="L688">
        <v>61.7</v>
      </c>
      <c r="M688">
        <v>82.6</v>
      </c>
      <c r="N688">
        <v>13</v>
      </c>
      <c r="O688">
        <v>3</v>
      </c>
      <c r="P688">
        <f>MOD(DAY(datos_siembra[[#This Row],[Date]]),7)</f>
        <v>6</v>
      </c>
      <c r="Q688" t="str">
        <f>CHOOSE(WEEKDAY(datos_siembra[[#This Row],[Date]],2),"L","M","X","J","V","S","D")</f>
        <v>V</v>
      </c>
      <c r="R688">
        <f>WEEKNUM(datos_siembra[[#This Row],[Date]],2)-WEEKNUM(DATE(YEAR(datos_siembra[[#This Row],[Date]]),MONTH(datos_siembra[[#This Row],[Date]]),1))+1</f>
        <v>2</v>
      </c>
      <c r="S688">
        <f>MONTH(datos_siembra[[#This Row],[Date]])</f>
        <v>9</v>
      </c>
      <c r="T688" t="str" cm="1">
        <f t="array" ref="T688">_xlfn.IFS(AND(N688&lt;= 22, S688=9), "SOWING",AND(N688&lt;= 28, S688=9), "COVERAGE",AND(N688&lt;= 30, S688=9), "FLUSH",AND(N688&lt;= 11, S688=10), "FLUSH",AND(N688&lt;= 21, S688=10), "PRODUCTION")</f>
        <v>SOWING</v>
      </c>
      <c r="U688">
        <f>HOUR(datos_siembra[[#This Row],[Hour]])</f>
        <v>6</v>
      </c>
      <c r="V688" cm="1">
        <f t="array" ref="V688">_xlfn.IFS(AND(N688&lt;= 22, S688=9), N688-7,AND(N688&lt;= 28, S688=9), N688-25,AND(N688&lt;= 30, S688=9), N688-28,AND(N688&lt;= 11, S688=10), N688+2,AND(N688&lt;= 21, S688=10), N688-11)</f>
        <v>6</v>
      </c>
    </row>
    <row r="689" spans="1:22" x14ac:dyDescent="0.35">
      <c r="A689" s="4">
        <v>45548</v>
      </c>
      <c r="B689" s="5">
        <v>0.26351851851851854</v>
      </c>
      <c r="C689">
        <v>84.1</v>
      </c>
      <c r="D689">
        <v>79.8</v>
      </c>
      <c r="E689">
        <v>84.5</v>
      </c>
      <c r="F689">
        <v>82</v>
      </c>
      <c r="G689">
        <v>0</v>
      </c>
      <c r="H689">
        <v>0</v>
      </c>
      <c r="I689">
        <v>0</v>
      </c>
      <c r="J689">
        <v>0</v>
      </c>
      <c r="K689">
        <v>63.5</v>
      </c>
      <c r="L689">
        <v>61.9</v>
      </c>
      <c r="M689">
        <v>82.48</v>
      </c>
      <c r="N689">
        <v>13</v>
      </c>
      <c r="O689">
        <v>3</v>
      </c>
      <c r="P689">
        <f>MOD(DAY(datos_siembra[[#This Row],[Date]]),7)</f>
        <v>6</v>
      </c>
      <c r="Q689" t="str">
        <f>CHOOSE(WEEKDAY(datos_siembra[[#This Row],[Date]],2),"L","M","X","J","V","S","D")</f>
        <v>V</v>
      </c>
      <c r="R689">
        <f>WEEKNUM(datos_siembra[[#This Row],[Date]],2)-WEEKNUM(DATE(YEAR(datos_siembra[[#This Row],[Date]]),MONTH(datos_siembra[[#This Row],[Date]]),1))+1</f>
        <v>2</v>
      </c>
      <c r="S689">
        <f>MONTH(datos_siembra[[#This Row],[Date]])</f>
        <v>9</v>
      </c>
      <c r="T689" t="str" cm="1">
        <f t="array" ref="T689">_xlfn.IFS(AND(N689&lt;= 22, S689=9), "SOWING",AND(N689&lt;= 28, S689=9), "COVERAGE",AND(N689&lt;= 30, S689=9), "FLUSH",AND(N689&lt;= 11, S689=10), "FLUSH",AND(N689&lt;= 21, S689=10), "PRODUCTION")</f>
        <v>SOWING</v>
      </c>
      <c r="U689">
        <f>HOUR(datos_siembra[[#This Row],[Hour]])</f>
        <v>6</v>
      </c>
      <c r="V689" cm="1">
        <f t="array" ref="V689">_xlfn.IFS(AND(N689&lt;= 22, S689=9), N689-7,AND(N689&lt;= 28, S689=9), N689-25,AND(N689&lt;= 30, S689=9), N689-28,AND(N689&lt;= 11, S689=10), N689+2,AND(N689&lt;= 21, S689=10), N689-11)</f>
        <v>6</v>
      </c>
    </row>
    <row r="690" spans="1:22" x14ac:dyDescent="0.35">
      <c r="A690" s="4">
        <v>45548</v>
      </c>
      <c r="B690" s="5">
        <v>0.27046296296296296</v>
      </c>
      <c r="C690">
        <v>84</v>
      </c>
      <c r="D690">
        <v>79.900000000000006</v>
      </c>
      <c r="E690">
        <v>84.6</v>
      </c>
      <c r="F690">
        <v>81.8</v>
      </c>
      <c r="G690">
        <v>0</v>
      </c>
      <c r="H690">
        <v>0</v>
      </c>
      <c r="I690">
        <v>0</v>
      </c>
      <c r="J690">
        <v>0</v>
      </c>
      <c r="K690">
        <v>63.4</v>
      </c>
      <c r="L690">
        <v>61.8</v>
      </c>
      <c r="M690">
        <v>82.57</v>
      </c>
      <c r="N690">
        <v>13</v>
      </c>
      <c r="O690">
        <v>3</v>
      </c>
      <c r="P690">
        <f>MOD(DAY(datos_siembra[[#This Row],[Date]]),7)</f>
        <v>6</v>
      </c>
      <c r="Q690" t="str">
        <f>CHOOSE(WEEKDAY(datos_siembra[[#This Row],[Date]],2),"L","M","X","J","V","S","D")</f>
        <v>V</v>
      </c>
      <c r="R690">
        <f>WEEKNUM(datos_siembra[[#This Row],[Date]],2)-WEEKNUM(DATE(YEAR(datos_siembra[[#This Row],[Date]]),MONTH(datos_siembra[[#This Row],[Date]]),1))+1</f>
        <v>2</v>
      </c>
      <c r="S690">
        <f>MONTH(datos_siembra[[#This Row],[Date]])</f>
        <v>9</v>
      </c>
      <c r="T690" t="str" cm="1">
        <f t="array" ref="T690">_xlfn.IFS(AND(N690&lt;= 22, S690=9), "SOWING",AND(N690&lt;= 28, S690=9), "COVERAGE",AND(N690&lt;= 30, S690=9), "FLUSH",AND(N690&lt;= 11, S690=10), "FLUSH",AND(N690&lt;= 21, S690=10), "PRODUCTION")</f>
        <v>SOWING</v>
      </c>
      <c r="U690">
        <f>HOUR(datos_siembra[[#This Row],[Hour]])</f>
        <v>6</v>
      </c>
      <c r="V690" cm="1">
        <f t="array" ref="V690">_xlfn.IFS(AND(N690&lt;= 22, S690=9), N690-7,AND(N690&lt;= 28, S690=9), N690-25,AND(N690&lt;= 30, S690=9), N690-28,AND(N690&lt;= 11, S690=10), N690+2,AND(N690&lt;= 21, S690=10), N690-11)</f>
        <v>6</v>
      </c>
    </row>
    <row r="691" spans="1:22" x14ac:dyDescent="0.35">
      <c r="A691" s="4">
        <v>45548</v>
      </c>
      <c r="B691" s="5">
        <v>0.27741898148148147</v>
      </c>
      <c r="C691">
        <v>84.1</v>
      </c>
      <c r="D691">
        <v>79.8</v>
      </c>
      <c r="E691">
        <v>84.3</v>
      </c>
      <c r="F691">
        <v>82</v>
      </c>
      <c r="G691">
        <v>0</v>
      </c>
      <c r="H691">
        <v>0</v>
      </c>
      <c r="I691">
        <v>0</v>
      </c>
      <c r="J691">
        <v>0</v>
      </c>
      <c r="K691">
        <v>63.5</v>
      </c>
      <c r="L691">
        <v>61.9</v>
      </c>
      <c r="M691">
        <v>82.6</v>
      </c>
      <c r="N691">
        <v>13</v>
      </c>
      <c r="O691">
        <v>3</v>
      </c>
      <c r="P691">
        <f>MOD(DAY(datos_siembra[[#This Row],[Date]]),7)</f>
        <v>6</v>
      </c>
      <c r="Q691" t="str">
        <f>CHOOSE(WEEKDAY(datos_siembra[[#This Row],[Date]],2),"L","M","X","J","V","S","D")</f>
        <v>V</v>
      </c>
      <c r="R691">
        <f>WEEKNUM(datos_siembra[[#This Row],[Date]],2)-WEEKNUM(DATE(YEAR(datos_siembra[[#This Row],[Date]]),MONTH(datos_siembra[[#This Row],[Date]]),1))+1</f>
        <v>2</v>
      </c>
      <c r="S691">
        <f>MONTH(datos_siembra[[#This Row],[Date]])</f>
        <v>9</v>
      </c>
      <c r="T691" t="str" cm="1">
        <f t="array" ref="T691">_xlfn.IFS(AND(N691&lt;= 22, S691=9), "SOWING",AND(N691&lt;= 28, S691=9), "COVERAGE",AND(N691&lt;= 30, S691=9), "FLUSH",AND(N691&lt;= 11, S691=10), "FLUSH",AND(N691&lt;= 21, S691=10), "PRODUCTION")</f>
        <v>SOWING</v>
      </c>
      <c r="U691">
        <f>HOUR(datos_siembra[[#This Row],[Hour]])</f>
        <v>6</v>
      </c>
      <c r="V691" cm="1">
        <f t="array" ref="V691">_xlfn.IFS(AND(N691&lt;= 22, S691=9), N691-7,AND(N691&lt;= 28, S691=9), N691-25,AND(N691&lt;= 30, S691=9), N691-28,AND(N691&lt;= 11, S691=10), N691+2,AND(N691&lt;= 21, S691=10), N691-11)</f>
        <v>6</v>
      </c>
    </row>
    <row r="692" spans="1:22" x14ac:dyDescent="0.35">
      <c r="A692" s="4">
        <v>45548</v>
      </c>
      <c r="B692" s="5">
        <v>0.28436342592592595</v>
      </c>
      <c r="C692">
        <v>84</v>
      </c>
      <c r="D692">
        <v>79.8</v>
      </c>
      <c r="E692">
        <v>84.4</v>
      </c>
      <c r="F692">
        <v>81.8</v>
      </c>
      <c r="G692">
        <v>0</v>
      </c>
      <c r="H692">
        <v>0</v>
      </c>
      <c r="I692">
        <v>0</v>
      </c>
      <c r="J692">
        <v>0</v>
      </c>
      <c r="K692">
        <v>63.7</v>
      </c>
      <c r="L692">
        <v>62.4</v>
      </c>
      <c r="M692">
        <v>82.54</v>
      </c>
      <c r="N692">
        <v>13</v>
      </c>
      <c r="O692">
        <v>3</v>
      </c>
      <c r="P692">
        <f>MOD(DAY(datos_siembra[[#This Row],[Date]]),7)</f>
        <v>6</v>
      </c>
      <c r="Q692" t="str">
        <f>CHOOSE(WEEKDAY(datos_siembra[[#This Row],[Date]],2),"L","M","X","J","V","S","D")</f>
        <v>V</v>
      </c>
      <c r="R692">
        <f>WEEKNUM(datos_siembra[[#This Row],[Date]],2)-WEEKNUM(DATE(YEAR(datos_siembra[[#This Row],[Date]]),MONTH(datos_siembra[[#This Row],[Date]]),1))+1</f>
        <v>2</v>
      </c>
      <c r="S692">
        <f>MONTH(datos_siembra[[#This Row],[Date]])</f>
        <v>9</v>
      </c>
      <c r="T692" t="str" cm="1">
        <f t="array" ref="T692">_xlfn.IFS(AND(N692&lt;= 22, S692=9), "SOWING",AND(N692&lt;= 28, S692=9), "COVERAGE",AND(N692&lt;= 30, S692=9), "FLUSH",AND(N692&lt;= 11, S692=10), "FLUSH",AND(N692&lt;= 21, S692=10), "PRODUCTION")</f>
        <v>SOWING</v>
      </c>
      <c r="U692">
        <f>HOUR(datos_siembra[[#This Row],[Hour]])</f>
        <v>6</v>
      </c>
      <c r="V692" cm="1">
        <f t="array" ref="V692">_xlfn.IFS(AND(N692&lt;= 22, S692=9), N692-7,AND(N692&lt;= 28, S692=9), N692-25,AND(N692&lt;= 30, S692=9), N692-28,AND(N692&lt;= 11, S692=10), N692+2,AND(N692&lt;= 21, S692=10), N692-11)</f>
        <v>6</v>
      </c>
    </row>
    <row r="693" spans="1:22" x14ac:dyDescent="0.35">
      <c r="A693" s="4">
        <v>45548</v>
      </c>
      <c r="B693" s="5">
        <v>0.29130787037037037</v>
      </c>
      <c r="C693">
        <v>84.1</v>
      </c>
      <c r="D693">
        <v>79.8</v>
      </c>
      <c r="E693">
        <v>84.3</v>
      </c>
      <c r="F693">
        <v>81.8</v>
      </c>
      <c r="G693">
        <v>0</v>
      </c>
      <c r="H693">
        <v>0</v>
      </c>
      <c r="I693">
        <v>0</v>
      </c>
      <c r="J693">
        <v>0</v>
      </c>
      <c r="K693">
        <v>63.6</v>
      </c>
      <c r="L693">
        <v>62</v>
      </c>
      <c r="M693">
        <v>82.37</v>
      </c>
      <c r="N693">
        <v>13</v>
      </c>
      <c r="O693">
        <v>3</v>
      </c>
      <c r="P693">
        <f>MOD(DAY(datos_siembra[[#This Row],[Date]]),7)</f>
        <v>6</v>
      </c>
      <c r="Q693" t="str">
        <f>CHOOSE(WEEKDAY(datos_siembra[[#This Row],[Date]],2),"L","M","X","J","V","S","D")</f>
        <v>V</v>
      </c>
      <c r="R693">
        <f>WEEKNUM(datos_siembra[[#This Row],[Date]],2)-WEEKNUM(DATE(YEAR(datos_siembra[[#This Row],[Date]]),MONTH(datos_siembra[[#This Row],[Date]]),1))+1</f>
        <v>2</v>
      </c>
      <c r="S693">
        <f>MONTH(datos_siembra[[#This Row],[Date]])</f>
        <v>9</v>
      </c>
      <c r="T693" t="str" cm="1">
        <f t="array" ref="T693">_xlfn.IFS(AND(N693&lt;= 22, S693=9), "SOWING",AND(N693&lt;= 28, S693=9), "COVERAGE",AND(N693&lt;= 30, S693=9), "FLUSH",AND(N693&lt;= 11, S693=10), "FLUSH",AND(N693&lt;= 21, S693=10), "PRODUCTION")</f>
        <v>SOWING</v>
      </c>
      <c r="U693">
        <f>HOUR(datos_siembra[[#This Row],[Hour]])</f>
        <v>6</v>
      </c>
      <c r="V693" cm="1">
        <f t="array" ref="V693">_xlfn.IFS(AND(N693&lt;= 22, S693=9), N693-7,AND(N693&lt;= 28, S693=9), N693-25,AND(N693&lt;= 30, S693=9), N693-28,AND(N693&lt;= 11, S693=10), N693+2,AND(N693&lt;= 21, S693=10), N693-11)</f>
        <v>6</v>
      </c>
    </row>
    <row r="694" spans="1:22" x14ac:dyDescent="0.35">
      <c r="A694" s="4">
        <v>45548</v>
      </c>
      <c r="B694" s="5">
        <v>0.29826388888888888</v>
      </c>
      <c r="C694">
        <v>84</v>
      </c>
      <c r="D694">
        <v>79.8</v>
      </c>
      <c r="E694">
        <v>84.3</v>
      </c>
      <c r="F694">
        <v>81.8</v>
      </c>
      <c r="G694">
        <v>0</v>
      </c>
      <c r="H694">
        <v>0</v>
      </c>
      <c r="I694">
        <v>0</v>
      </c>
      <c r="J694">
        <v>0</v>
      </c>
      <c r="K694">
        <v>63.7</v>
      </c>
      <c r="L694">
        <v>62.2</v>
      </c>
      <c r="M694">
        <v>82.46</v>
      </c>
      <c r="N694">
        <v>13</v>
      </c>
      <c r="O694">
        <v>3</v>
      </c>
      <c r="P694">
        <f>MOD(DAY(datos_siembra[[#This Row],[Date]]),7)</f>
        <v>6</v>
      </c>
      <c r="Q694" t="str">
        <f>CHOOSE(WEEKDAY(datos_siembra[[#This Row],[Date]],2),"L","M","X","J","V","S","D")</f>
        <v>V</v>
      </c>
      <c r="R694">
        <f>WEEKNUM(datos_siembra[[#This Row],[Date]],2)-WEEKNUM(DATE(YEAR(datos_siembra[[#This Row],[Date]]),MONTH(datos_siembra[[#This Row],[Date]]),1))+1</f>
        <v>2</v>
      </c>
      <c r="S694">
        <f>MONTH(datos_siembra[[#This Row],[Date]])</f>
        <v>9</v>
      </c>
      <c r="T694" t="str" cm="1">
        <f t="array" ref="T694">_xlfn.IFS(AND(N694&lt;= 22, S694=9), "SOWING",AND(N694&lt;= 28, S694=9), "COVERAGE",AND(N694&lt;= 30, S694=9), "FLUSH",AND(N694&lt;= 11, S694=10), "FLUSH",AND(N694&lt;= 21, S694=10), "PRODUCTION")</f>
        <v>SOWING</v>
      </c>
      <c r="U694">
        <f>HOUR(datos_siembra[[#This Row],[Hour]])</f>
        <v>7</v>
      </c>
      <c r="V694" cm="1">
        <f t="array" ref="V694">_xlfn.IFS(AND(N694&lt;= 22, S694=9), N694-7,AND(N694&lt;= 28, S694=9), N694-25,AND(N694&lt;= 30, S694=9), N694-28,AND(N694&lt;= 11, S694=10), N694+2,AND(N694&lt;= 21, S694=10), N694-11)</f>
        <v>6</v>
      </c>
    </row>
    <row r="695" spans="1:22" x14ac:dyDescent="0.35">
      <c r="A695" s="4">
        <v>45548</v>
      </c>
      <c r="B695" s="5">
        <v>0.30520833333333336</v>
      </c>
      <c r="C695">
        <v>84</v>
      </c>
      <c r="D695">
        <v>79.7</v>
      </c>
      <c r="E695">
        <v>84.2</v>
      </c>
      <c r="F695">
        <v>81.7</v>
      </c>
      <c r="G695">
        <v>0</v>
      </c>
      <c r="H695">
        <v>0</v>
      </c>
      <c r="I695">
        <v>0</v>
      </c>
      <c r="J695">
        <v>0</v>
      </c>
      <c r="K695">
        <v>64.2</v>
      </c>
      <c r="L695">
        <v>62.7</v>
      </c>
      <c r="M695">
        <v>82.43</v>
      </c>
      <c r="N695">
        <v>13</v>
      </c>
      <c r="O695">
        <v>3</v>
      </c>
      <c r="P695">
        <f>MOD(DAY(datos_siembra[[#This Row],[Date]]),7)</f>
        <v>6</v>
      </c>
      <c r="Q695" t="str">
        <f>CHOOSE(WEEKDAY(datos_siembra[[#This Row],[Date]],2),"L","M","X","J","V","S","D")</f>
        <v>V</v>
      </c>
      <c r="R695">
        <f>WEEKNUM(datos_siembra[[#This Row],[Date]],2)-WEEKNUM(DATE(YEAR(datos_siembra[[#This Row],[Date]]),MONTH(datos_siembra[[#This Row],[Date]]),1))+1</f>
        <v>2</v>
      </c>
      <c r="S695">
        <f>MONTH(datos_siembra[[#This Row],[Date]])</f>
        <v>9</v>
      </c>
      <c r="T695" t="str" cm="1">
        <f t="array" ref="T695">_xlfn.IFS(AND(N695&lt;= 22, S695=9), "SOWING",AND(N695&lt;= 28, S695=9), "COVERAGE",AND(N695&lt;= 30, S695=9), "FLUSH",AND(N695&lt;= 11, S695=10), "FLUSH",AND(N695&lt;= 21, S695=10), "PRODUCTION")</f>
        <v>SOWING</v>
      </c>
      <c r="U695">
        <f>HOUR(datos_siembra[[#This Row],[Hour]])</f>
        <v>7</v>
      </c>
      <c r="V695" cm="1">
        <f t="array" ref="V695">_xlfn.IFS(AND(N695&lt;= 22, S695=9), N695-7,AND(N695&lt;= 28, S695=9), N695-25,AND(N695&lt;= 30, S695=9), N695-28,AND(N695&lt;= 11, S695=10), N695+2,AND(N695&lt;= 21, S695=10), N695-11)</f>
        <v>6</v>
      </c>
    </row>
    <row r="696" spans="1:22" x14ac:dyDescent="0.35">
      <c r="A696" s="4">
        <v>45548</v>
      </c>
      <c r="B696" s="5">
        <v>0.31215277777777778</v>
      </c>
      <c r="C696">
        <v>83.8</v>
      </c>
      <c r="D696">
        <v>79.900000000000006</v>
      </c>
      <c r="E696">
        <v>84.2</v>
      </c>
      <c r="F696">
        <v>81.7</v>
      </c>
      <c r="G696">
        <v>0</v>
      </c>
      <c r="H696">
        <v>0</v>
      </c>
      <c r="I696">
        <v>0</v>
      </c>
      <c r="J696">
        <v>0</v>
      </c>
      <c r="K696">
        <v>64.3</v>
      </c>
      <c r="L696">
        <v>62.9</v>
      </c>
      <c r="M696">
        <v>82.4</v>
      </c>
      <c r="N696">
        <v>13</v>
      </c>
      <c r="O696">
        <v>3</v>
      </c>
      <c r="P696">
        <f>MOD(DAY(datos_siembra[[#This Row],[Date]]),7)</f>
        <v>6</v>
      </c>
      <c r="Q696" t="str">
        <f>CHOOSE(WEEKDAY(datos_siembra[[#This Row],[Date]],2),"L","M","X","J","V","S","D")</f>
        <v>V</v>
      </c>
      <c r="R696">
        <f>WEEKNUM(datos_siembra[[#This Row],[Date]],2)-WEEKNUM(DATE(YEAR(datos_siembra[[#This Row],[Date]]),MONTH(datos_siembra[[#This Row],[Date]]),1))+1</f>
        <v>2</v>
      </c>
      <c r="S696">
        <f>MONTH(datos_siembra[[#This Row],[Date]])</f>
        <v>9</v>
      </c>
      <c r="T696" t="str" cm="1">
        <f t="array" ref="T696">_xlfn.IFS(AND(N696&lt;= 22, S696=9), "SOWING",AND(N696&lt;= 28, S696=9), "COVERAGE",AND(N696&lt;= 30, S696=9), "FLUSH",AND(N696&lt;= 11, S696=10), "FLUSH",AND(N696&lt;= 21, S696=10), "PRODUCTION")</f>
        <v>SOWING</v>
      </c>
      <c r="U696">
        <f>HOUR(datos_siembra[[#This Row],[Hour]])</f>
        <v>7</v>
      </c>
      <c r="V696" cm="1">
        <f t="array" ref="V696">_xlfn.IFS(AND(N696&lt;= 22, S696=9), N696-7,AND(N696&lt;= 28, S696=9), N696-25,AND(N696&lt;= 30, S696=9), N696-28,AND(N696&lt;= 11, S696=10), N696+2,AND(N696&lt;= 21, S696=10), N696-11)</f>
        <v>6</v>
      </c>
    </row>
    <row r="697" spans="1:22" x14ac:dyDescent="0.35">
      <c r="A697" s="4">
        <v>45548</v>
      </c>
      <c r="B697" s="5">
        <v>0.31910879629629629</v>
      </c>
      <c r="C697">
        <v>84</v>
      </c>
      <c r="D697">
        <v>79.900000000000006</v>
      </c>
      <c r="E697">
        <v>84.2</v>
      </c>
      <c r="F697">
        <v>81.7</v>
      </c>
      <c r="G697">
        <v>0</v>
      </c>
      <c r="H697">
        <v>0</v>
      </c>
      <c r="I697">
        <v>0</v>
      </c>
      <c r="J697">
        <v>0</v>
      </c>
      <c r="K697">
        <v>64.5</v>
      </c>
      <c r="L697">
        <v>63</v>
      </c>
      <c r="M697">
        <v>82.37</v>
      </c>
      <c r="N697">
        <v>13</v>
      </c>
      <c r="O697">
        <v>3</v>
      </c>
      <c r="P697">
        <f>MOD(DAY(datos_siembra[[#This Row],[Date]]),7)</f>
        <v>6</v>
      </c>
      <c r="Q697" t="str">
        <f>CHOOSE(WEEKDAY(datos_siembra[[#This Row],[Date]],2),"L","M","X","J","V","S","D")</f>
        <v>V</v>
      </c>
      <c r="R697">
        <f>WEEKNUM(datos_siembra[[#This Row],[Date]],2)-WEEKNUM(DATE(YEAR(datos_siembra[[#This Row],[Date]]),MONTH(datos_siembra[[#This Row],[Date]]),1))+1</f>
        <v>2</v>
      </c>
      <c r="S697">
        <f>MONTH(datos_siembra[[#This Row],[Date]])</f>
        <v>9</v>
      </c>
      <c r="T697" t="str" cm="1">
        <f t="array" ref="T697">_xlfn.IFS(AND(N697&lt;= 22, S697=9), "SOWING",AND(N697&lt;= 28, S697=9), "COVERAGE",AND(N697&lt;= 30, S697=9), "FLUSH",AND(N697&lt;= 11, S697=10), "FLUSH",AND(N697&lt;= 21, S697=10), "PRODUCTION")</f>
        <v>SOWING</v>
      </c>
      <c r="U697">
        <f>HOUR(datos_siembra[[#This Row],[Hour]])</f>
        <v>7</v>
      </c>
      <c r="V697" cm="1">
        <f t="array" ref="V697">_xlfn.IFS(AND(N697&lt;= 22, S697=9), N697-7,AND(N697&lt;= 28, S697=9), N697-25,AND(N697&lt;= 30, S697=9), N697-28,AND(N697&lt;= 11, S697=10), N697+2,AND(N697&lt;= 21, S697=10), N697-11)</f>
        <v>6</v>
      </c>
    </row>
    <row r="698" spans="1:22" x14ac:dyDescent="0.35">
      <c r="A698" s="4">
        <v>45548</v>
      </c>
      <c r="B698" s="5">
        <v>0.32605324074074077</v>
      </c>
      <c r="C698">
        <v>83.8</v>
      </c>
      <c r="D698">
        <v>79.8</v>
      </c>
      <c r="E698">
        <v>84.1</v>
      </c>
      <c r="F698">
        <v>81.7</v>
      </c>
      <c r="G698">
        <v>0</v>
      </c>
      <c r="H698">
        <v>0</v>
      </c>
      <c r="I698">
        <v>0</v>
      </c>
      <c r="J698">
        <v>0</v>
      </c>
      <c r="K698">
        <v>64.7</v>
      </c>
      <c r="L698">
        <v>63.3</v>
      </c>
      <c r="M698">
        <v>82.34</v>
      </c>
      <c r="N698">
        <v>13</v>
      </c>
      <c r="O698">
        <v>3</v>
      </c>
      <c r="P698">
        <f>MOD(DAY(datos_siembra[[#This Row],[Date]]),7)</f>
        <v>6</v>
      </c>
      <c r="Q698" t="str">
        <f>CHOOSE(WEEKDAY(datos_siembra[[#This Row],[Date]],2),"L","M","X","J","V","S","D")</f>
        <v>V</v>
      </c>
      <c r="R698">
        <f>WEEKNUM(datos_siembra[[#This Row],[Date]],2)-WEEKNUM(DATE(YEAR(datos_siembra[[#This Row],[Date]]),MONTH(datos_siembra[[#This Row],[Date]]),1))+1</f>
        <v>2</v>
      </c>
      <c r="S698">
        <f>MONTH(datos_siembra[[#This Row],[Date]])</f>
        <v>9</v>
      </c>
      <c r="T698" t="str" cm="1">
        <f t="array" ref="T698">_xlfn.IFS(AND(N698&lt;= 22, S698=9), "SOWING",AND(N698&lt;= 28, S698=9), "COVERAGE",AND(N698&lt;= 30, S698=9), "FLUSH",AND(N698&lt;= 11, S698=10), "FLUSH",AND(N698&lt;= 21, S698=10), "PRODUCTION")</f>
        <v>SOWING</v>
      </c>
      <c r="U698">
        <f>HOUR(datos_siembra[[#This Row],[Hour]])</f>
        <v>7</v>
      </c>
      <c r="V698" cm="1">
        <f t="array" ref="V698">_xlfn.IFS(AND(N698&lt;= 22, S698=9), N698-7,AND(N698&lt;= 28, S698=9), N698-25,AND(N698&lt;= 30, S698=9), N698-28,AND(N698&lt;= 11, S698=10), N698+2,AND(N698&lt;= 21, S698=10), N698-11)</f>
        <v>6</v>
      </c>
    </row>
    <row r="699" spans="1:22" x14ac:dyDescent="0.35">
      <c r="A699" s="4">
        <v>45548</v>
      </c>
      <c r="B699" s="5">
        <v>0.33299768518518519</v>
      </c>
      <c r="C699">
        <v>83.9</v>
      </c>
      <c r="D699">
        <v>79.7</v>
      </c>
      <c r="E699">
        <v>84.1</v>
      </c>
      <c r="F699">
        <v>81.7</v>
      </c>
      <c r="G699">
        <v>0</v>
      </c>
      <c r="H699">
        <v>0</v>
      </c>
      <c r="I699">
        <v>0</v>
      </c>
      <c r="J699">
        <v>0</v>
      </c>
      <c r="K699">
        <v>64.7</v>
      </c>
      <c r="L699">
        <v>63.2</v>
      </c>
      <c r="M699">
        <v>82.4</v>
      </c>
      <c r="N699">
        <v>13</v>
      </c>
      <c r="O699">
        <v>3</v>
      </c>
      <c r="P699">
        <f>MOD(DAY(datos_siembra[[#This Row],[Date]]),7)</f>
        <v>6</v>
      </c>
      <c r="Q699" t="str">
        <f>CHOOSE(WEEKDAY(datos_siembra[[#This Row],[Date]],2),"L","M","X","J","V","S","D")</f>
        <v>V</v>
      </c>
      <c r="R699">
        <f>WEEKNUM(datos_siembra[[#This Row],[Date]],2)-WEEKNUM(DATE(YEAR(datos_siembra[[#This Row],[Date]]),MONTH(datos_siembra[[#This Row],[Date]]),1))+1</f>
        <v>2</v>
      </c>
      <c r="S699">
        <f>MONTH(datos_siembra[[#This Row],[Date]])</f>
        <v>9</v>
      </c>
      <c r="T699" t="str" cm="1">
        <f t="array" ref="T699">_xlfn.IFS(AND(N699&lt;= 22, S699=9), "SOWING",AND(N699&lt;= 28, S699=9), "COVERAGE",AND(N699&lt;= 30, S699=9), "FLUSH",AND(N699&lt;= 11, S699=10), "FLUSH",AND(N699&lt;= 21, S699=10), "PRODUCTION")</f>
        <v>SOWING</v>
      </c>
      <c r="U699">
        <f>HOUR(datos_siembra[[#This Row],[Hour]])</f>
        <v>7</v>
      </c>
      <c r="V699" cm="1">
        <f t="array" ref="V699">_xlfn.IFS(AND(N699&lt;= 22, S699=9), N699-7,AND(N699&lt;= 28, S699=9), N699-25,AND(N699&lt;= 30, S699=9), N699-28,AND(N699&lt;= 11, S699=10), N699+2,AND(N699&lt;= 21, S699=10), N699-11)</f>
        <v>6</v>
      </c>
    </row>
    <row r="700" spans="1:22" x14ac:dyDescent="0.35">
      <c r="A700" s="4">
        <v>45548</v>
      </c>
      <c r="B700" s="5">
        <v>0.3399537037037037</v>
      </c>
      <c r="C700">
        <v>83.8</v>
      </c>
      <c r="D700">
        <v>79.8</v>
      </c>
      <c r="E700">
        <v>84.2</v>
      </c>
      <c r="F700">
        <v>81.599999999999994</v>
      </c>
      <c r="G700">
        <v>0</v>
      </c>
      <c r="H700">
        <v>0</v>
      </c>
      <c r="I700">
        <v>0</v>
      </c>
      <c r="J700">
        <v>0</v>
      </c>
      <c r="K700">
        <v>64.599999999999994</v>
      </c>
      <c r="L700">
        <v>63.2</v>
      </c>
      <c r="M700">
        <v>82.29</v>
      </c>
      <c r="N700">
        <v>13</v>
      </c>
      <c r="O700">
        <v>3</v>
      </c>
      <c r="P700">
        <f>MOD(DAY(datos_siembra[[#This Row],[Date]]),7)</f>
        <v>6</v>
      </c>
      <c r="Q700" t="str">
        <f>CHOOSE(WEEKDAY(datos_siembra[[#This Row],[Date]],2),"L","M","X","J","V","S","D")</f>
        <v>V</v>
      </c>
      <c r="R700">
        <f>WEEKNUM(datos_siembra[[#This Row],[Date]],2)-WEEKNUM(DATE(YEAR(datos_siembra[[#This Row],[Date]]),MONTH(datos_siembra[[#This Row],[Date]]),1))+1</f>
        <v>2</v>
      </c>
      <c r="S700">
        <f>MONTH(datos_siembra[[#This Row],[Date]])</f>
        <v>9</v>
      </c>
      <c r="T700" t="str" cm="1">
        <f t="array" ref="T700">_xlfn.IFS(AND(N700&lt;= 22, S700=9), "SOWING",AND(N700&lt;= 28, S700=9), "COVERAGE",AND(N700&lt;= 30, S700=9), "FLUSH",AND(N700&lt;= 11, S700=10), "FLUSH",AND(N700&lt;= 21, S700=10), "PRODUCTION")</f>
        <v>SOWING</v>
      </c>
      <c r="U700">
        <f>HOUR(datos_siembra[[#This Row],[Hour]])</f>
        <v>8</v>
      </c>
      <c r="V700" cm="1">
        <f t="array" ref="V700">_xlfn.IFS(AND(N700&lt;= 22, S700=9), N700-7,AND(N700&lt;= 28, S700=9), N700-25,AND(N700&lt;= 30, S700=9), N700-28,AND(N700&lt;= 11, S700=10), N700+2,AND(N700&lt;= 21, S700=10), N700-11)</f>
        <v>6</v>
      </c>
    </row>
    <row r="701" spans="1:22" x14ac:dyDescent="0.35">
      <c r="A701" s="4">
        <v>45548</v>
      </c>
      <c r="B701" s="5">
        <v>0.34689814814814812</v>
      </c>
      <c r="C701">
        <v>83.9</v>
      </c>
      <c r="D701">
        <v>79.8</v>
      </c>
      <c r="E701">
        <v>84.2</v>
      </c>
      <c r="F701">
        <v>81.7</v>
      </c>
      <c r="G701">
        <v>0</v>
      </c>
      <c r="H701">
        <v>0</v>
      </c>
      <c r="I701">
        <v>0</v>
      </c>
      <c r="J701">
        <v>0</v>
      </c>
      <c r="K701">
        <v>64.5</v>
      </c>
      <c r="L701">
        <v>63.2</v>
      </c>
      <c r="M701">
        <v>82.43</v>
      </c>
      <c r="N701">
        <v>13</v>
      </c>
      <c r="O701">
        <v>3</v>
      </c>
      <c r="P701">
        <f>MOD(DAY(datos_siembra[[#This Row],[Date]]),7)</f>
        <v>6</v>
      </c>
      <c r="Q701" t="str">
        <f>CHOOSE(WEEKDAY(datos_siembra[[#This Row],[Date]],2),"L","M","X","J","V","S","D")</f>
        <v>V</v>
      </c>
      <c r="R701">
        <f>WEEKNUM(datos_siembra[[#This Row],[Date]],2)-WEEKNUM(DATE(YEAR(datos_siembra[[#This Row],[Date]]),MONTH(datos_siembra[[#This Row],[Date]]),1))+1</f>
        <v>2</v>
      </c>
      <c r="S701">
        <f>MONTH(datos_siembra[[#This Row],[Date]])</f>
        <v>9</v>
      </c>
      <c r="T701" t="str" cm="1">
        <f t="array" ref="T701">_xlfn.IFS(AND(N701&lt;= 22, S701=9), "SOWING",AND(N701&lt;= 28, S701=9), "COVERAGE",AND(N701&lt;= 30, S701=9), "FLUSH",AND(N701&lt;= 11, S701=10), "FLUSH",AND(N701&lt;= 21, S701=10), "PRODUCTION")</f>
        <v>SOWING</v>
      </c>
      <c r="U701">
        <f>HOUR(datos_siembra[[#This Row],[Hour]])</f>
        <v>8</v>
      </c>
      <c r="V701" cm="1">
        <f t="array" ref="V701">_xlfn.IFS(AND(N701&lt;= 22, S701=9), N701-7,AND(N701&lt;= 28, S701=9), N701-25,AND(N701&lt;= 30, S701=9), N701-28,AND(N701&lt;= 11, S701=10), N701+2,AND(N701&lt;= 21, S701=10), N701-11)</f>
        <v>6</v>
      </c>
    </row>
    <row r="702" spans="1:22" x14ac:dyDescent="0.35">
      <c r="A702" s="4">
        <v>45548</v>
      </c>
      <c r="B702" s="5">
        <v>0.3538425925925926</v>
      </c>
      <c r="C702">
        <v>83.9</v>
      </c>
      <c r="D702">
        <v>79.7</v>
      </c>
      <c r="E702">
        <v>84.1</v>
      </c>
      <c r="F702">
        <v>82</v>
      </c>
      <c r="G702">
        <v>0</v>
      </c>
      <c r="H702">
        <v>0</v>
      </c>
      <c r="I702">
        <v>0</v>
      </c>
      <c r="J702">
        <v>0</v>
      </c>
      <c r="K702">
        <v>64.400000000000006</v>
      </c>
      <c r="L702">
        <v>62.8</v>
      </c>
      <c r="M702">
        <v>82.34</v>
      </c>
      <c r="N702">
        <v>13</v>
      </c>
      <c r="O702">
        <v>3</v>
      </c>
      <c r="P702">
        <f>MOD(DAY(datos_siembra[[#This Row],[Date]]),7)</f>
        <v>6</v>
      </c>
      <c r="Q702" t="str">
        <f>CHOOSE(WEEKDAY(datos_siembra[[#This Row],[Date]],2),"L","M","X","J","V","S","D")</f>
        <v>V</v>
      </c>
      <c r="R702">
        <f>WEEKNUM(datos_siembra[[#This Row],[Date]],2)-WEEKNUM(DATE(YEAR(datos_siembra[[#This Row],[Date]]),MONTH(datos_siembra[[#This Row],[Date]]),1))+1</f>
        <v>2</v>
      </c>
      <c r="S702">
        <f>MONTH(datos_siembra[[#This Row],[Date]])</f>
        <v>9</v>
      </c>
      <c r="T702" t="str" cm="1">
        <f t="array" ref="T702">_xlfn.IFS(AND(N702&lt;= 22, S702=9), "SOWING",AND(N702&lt;= 28, S702=9), "COVERAGE",AND(N702&lt;= 30, S702=9), "FLUSH",AND(N702&lt;= 11, S702=10), "FLUSH",AND(N702&lt;= 21, S702=10), "PRODUCTION")</f>
        <v>SOWING</v>
      </c>
      <c r="U702">
        <f>HOUR(datos_siembra[[#This Row],[Hour]])</f>
        <v>8</v>
      </c>
      <c r="V702" cm="1">
        <f t="array" ref="V702">_xlfn.IFS(AND(N702&lt;= 22, S702=9), N702-7,AND(N702&lt;= 28, S702=9), N702-25,AND(N702&lt;= 30, S702=9), N702-28,AND(N702&lt;= 11, S702=10), N702+2,AND(N702&lt;= 21, S702=10), N702-11)</f>
        <v>6</v>
      </c>
    </row>
    <row r="703" spans="1:22" x14ac:dyDescent="0.35">
      <c r="A703" s="4">
        <v>45548</v>
      </c>
      <c r="B703" s="5">
        <v>0.36079861111111111</v>
      </c>
      <c r="C703">
        <v>84</v>
      </c>
      <c r="D703">
        <v>79.8</v>
      </c>
      <c r="E703">
        <v>84.2</v>
      </c>
      <c r="F703">
        <v>81.5</v>
      </c>
      <c r="G703">
        <v>0</v>
      </c>
      <c r="H703">
        <v>0</v>
      </c>
      <c r="I703">
        <v>0</v>
      </c>
      <c r="J703">
        <v>0</v>
      </c>
      <c r="K703">
        <v>64.7</v>
      </c>
      <c r="L703">
        <v>63.3</v>
      </c>
      <c r="M703">
        <v>82.37</v>
      </c>
      <c r="N703">
        <v>13</v>
      </c>
      <c r="O703">
        <v>3</v>
      </c>
      <c r="P703">
        <f>MOD(DAY(datos_siembra[[#This Row],[Date]]),7)</f>
        <v>6</v>
      </c>
      <c r="Q703" t="str">
        <f>CHOOSE(WEEKDAY(datos_siembra[[#This Row],[Date]],2),"L","M","X","J","V","S","D")</f>
        <v>V</v>
      </c>
      <c r="R703">
        <f>WEEKNUM(datos_siembra[[#This Row],[Date]],2)-WEEKNUM(DATE(YEAR(datos_siembra[[#This Row],[Date]]),MONTH(datos_siembra[[#This Row],[Date]]),1))+1</f>
        <v>2</v>
      </c>
      <c r="S703">
        <f>MONTH(datos_siembra[[#This Row],[Date]])</f>
        <v>9</v>
      </c>
      <c r="T703" t="str" cm="1">
        <f t="array" ref="T703">_xlfn.IFS(AND(N703&lt;= 22, S703=9), "SOWING",AND(N703&lt;= 28, S703=9), "COVERAGE",AND(N703&lt;= 30, S703=9), "FLUSH",AND(N703&lt;= 11, S703=10), "FLUSH",AND(N703&lt;= 21, S703=10), "PRODUCTION")</f>
        <v>SOWING</v>
      </c>
      <c r="U703">
        <f>HOUR(datos_siembra[[#This Row],[Hour]])</f>
        <v>8</v>
      </c>
      <c r="V703" cm="1">
        <f t="array" ref="V703">_xlfn.IFS(AND(N703&lt;= 22, S703=9), N703-7,AND(N703&lt;= 28, S703=9), N703-25,AND(N703&lt;= 30, S703=9), N703-28,AND(N703&lt;= 11, S703=10), N703+2,AND(N703&lt;= 21, S703=10), N703-11)</f>
        <v>6</v>
      </c>
    </row>
    <row r="704" spans="1:22" x14ac:dyDescent="0.35">
      <c r="A704" s="4">
        <v>45548</v>
      </c>
      <c r="B704" s="5">
        <v>0.36774305555555553</v>
      </c>
      <c r="C704">
        <v>83.8</v>
      </c>
      <c r="D704">
        <v>79.8</v>
      </c>
      <c r="E704">
        <v>84.1</v>
      </c>
      <c r="F704">
        <v>81.599999999999994</v>
      </c>
      <c r="G704">
        <v>0</v>
      </c>
      <c r="H704">
        <v>0</v>
      </c>
      <c r="I704">
        <v>0</v>
      </c>
      <c r="J704">
        <v>0</v>
      </c>
      <c r="K704">
        <v>65.099999999999994</v>
      </c>
      <c r="L704">
        <v>63.7</v>
      </c>
      <c r="M704">
        <v>82.34</v>
      </c>
      <c r="N704">
        <v>13</v>
      </c>
      <c r="O704">
        <v>3</v>
      </c>
      <c r="P704">
        <f>MOD(DAY(datos_siembra[[#This Row],[Date]]),7)</f>
        <v>6</v>
      </c>
      <c r="Q704" t="str">
        <f>CHOOSE(WEEKDAY(datos_siembra[[#This Row],[Date]],2),"L","M","X","J","V","S","D")</f>
        <v>V</v>
      </c>
      <c r="R704">
        <f>WEEKNUM(datos_siembra[[#This Row],[Date]],2)-WEEKNUM(DATE(YEAR(datos_siembra[[#This Row],[Date]]),MONTH(datos_siembra[[#This Row],[Date]]),1))+1</f>
        <v>2</v>
      </c>
      <c r="S704">
        <f>MONTH(datos_siembra[[#This Row],[Date]])</f>
        <v>9</v>
      </c>
      <c r="T704" t="str" cm="1">
        <f t="array" ref="T704">_xlfn.IFS(AND(N704&lt;= 22, S704=9), "SOWING",AND(N704&lt;= 28, S704=9), "COVERAGE",AND(N704&lt;= 30, S704=9), "FLUSH",AND(N704&lt;= 11, S704=10), "FLUSH",AND(N704&lt;= 21, S704=10), "PRODUCTION")</f>
        <v>SOWING</v>
      </c>
      <c r="U704">
        <f>HOUR(datos_siembra[[#This Row],[Hour]])</f>
        <v>8</v>
      </c>
      <c r="V704" cm="1">
        <f t="array" ref="V704">_xlfn.IFS(AND(N704&lt;= 22, S704=9), N704-7,AND(N704&lt;= 28, S704=9), N704-25,AND(N704&lt;= 30, S704=9), N704-28,AND(N704&lt;= 11, S704=10), N704+2,AND(N704&lt;= 21, S704=10), N704-11)</f>
        <v>6</v>
      </c>
    </row>
    <row r="705" spans="1:22" x14ac:dyDescent="0.35">
      <c r="A705" s="4">
        <v>45548</v>
      </c>
      <c r="B705" s="5">
        <v>0.37468750000000001</v>
      </c>
      <c r="C705">
        <v>83.9</v>
      </c>
      <c r="D705">
        <v>79.7</v>
      </c>
      <c r="E705">
        <v>84</v>
      </c>
      <c r="F705">
        <v>81.599999999999994</v>
      </c>
      <c r="G705">
        <v>0</v>
      </c>
      <c r="H705">
        <v>0</v>
      </c>
      <c r="I705">
        <v>0</v>
      </c>
      <c r="J705">
        <v>0</v>
      </c>
      <c r="K705">
        <v>64.900000000000006</v>
      </c>
      <c r="L705">
        <v>63.4</v>
      </c>
      <c r="M705">
        <v>82.26</v>
      </c>
      <c r="N705">
        <v>13</v>
      </c>
      <c r="O705">
        <v>3</v>
      </c>
      <c r="P705">
        <f>MOD(DAY(datos_siembra[[#This Row],[Date]]),7)</f>
        <v>6</v>
      </c>
      <c r="Q705" t="str">
        <f>CHOOSE(WEEKDAY(datos_siembra[[#This Row],[Date]],2),"L","M","X","J","V","S","D")</f>
        <v>V</v>
      </c>
      <c r="R705">
        <f>WEEKNUM(datos_siembra[[#This Row],[Date]],2)-WEEKNUM(DATE(YEAR(datos_siembra[[#This Row],[Date]]),MONTH(datos_siembra[[#This Row],[Date]]),1))+1</f>
        <v>2</v>
      </c>
      <c r="S705">
        <f>MONTH(datos_siembra[[#This Row],[Date]])</f>
        <v>9</v>
      </c>
      <c r="T705" t="str" cm="1">
        <f t="array" ref="T705">_xlfn.IFS(AND(N705&lt;= 22, S705=9), "SOWING",AND(N705&lt;= 28, S705=9), "COVERAGE",AND(N705&lt;= 30, S705=9), "FLUSH",AND(N705&lt;= 11, S705=10), "FLUSH",AND(N705&lt;= 21, S705=10), "PRODUCTION")</f>
        <v>SOWING</v>
      </c>
      <c r="U705">
        <f>HOUR(datos_siembra[[#This Row],[Hour]])</f>
        <v>8</v>
      </c>
      <c r="V705" cm="1">
        <f t="array" ref="V705">_xlfn.IFS(AND(N705&lt;= 22, S705=9), N705-7,AND(N705&lt;= 28, S705=9), N705-25,AND(N705&lt;= 30, S705=9), N705-28,AND(N705&lt;= 11, S705=10), N705+2,AND(N705&lt;= 21, S705=10), N705-11)</f>
        <v>6</v>
      </c>
    </row>
    <row r="706" spans="1:22" x14ac:dyDescent="0.35">
      <c r="A706" s="4">
        <v>45548</v>
      </c>
      <c r="B706" s="5">
        <v>0.38164351851851852</v>
      </c>
      <c r="C706">
        <v>83.6</v>
      </c>
      <c r="D706">
        <v>79.8</v>
      </c>
      <c r="E706">
        <v>84.1</v>
      </c>
      <c r="F706">
        <v>81.5</v>
      </c>
      <c r="G706">
        <v>0</v>
      </c>
      <c r="H706">
        <v>0</v>
      </c>
      <c r="I706">
        <v>0</v>
      </c>
      <c r="J706">
        <v>0</v>
      </c>
      <c r="K706">
        <v>64.7</v>
      </c>
      <c r="L706">
        <v>63.3</v>
      </c>
      <c r="M706">
        <v>82.4</v>
      </c>
      <c r="N706">
        <v>13</v>
      </c>
      <c r="O706">
        <v>3</v>
      </c>
      <c r="P706">
        <f>MOD(DAY(datos_siembra[[#This Row],[Date]]),7)</f>
        <v>6</v>
      </c>
      <c r="Q706" t="str">
        <f>CHOOSE(WEEKDAY(datos_siembra[[#This Row],[Date]],2),"L","M","X","J","V","S","D")</f>
        <v>V</v>
      </c>
      <c r="R706">
        <f>WEEKNUM(datos_siembra[[#This Row],[Date]],2)-WEEKNUM(DATE(YEAR(datos_siembra[[#This Row],[Date]]),MONTH(datos_siembra[[#This Row],[Date]]),1))+1</f>
        <v>2</v>
      </c>
      <c r="S706">
        <f>MONTH(datos_siembra[[#This Row],[Date]])</f>
        <v>9</v>
      </c>
      <c r="T706" t="str" cm="1">
        <f t="array" ref="T706">_xlfn.IFS(AND(N706&lt;= 22, S706=9), "SOWING",AND(N706&lt;= 28, S706=9), "COVERAGE",AND(N706&lt;= 30, S706=9), "FLUSH",AND(N706&lt;= 11, S706=10), "FLUSH",AND(N706&lt;= 21, S706=10), "PRODUCTION")</f>
        <v>SOWING</v>
      </c>
      <c r="U706">
        <f>HOUR(datos_siembra[[#This Row],[Hour]])</f>
        <v>9</v>
      </c>
      <c r="V706" cm="1">
        <f t="array" ref="V706">_xlfn.IFS(AND(N706&lt;= 22, S706=9), N706-7,AND(N706&lt;= 28, S706=9), N706-25,AND(N706&lt;= 30, S706=9), N706-28,AND(N706&lt;= 11, S706=10), N706+2,AND(N706&lt;= 21, S706=10), N706-11)</f>
        <v>6</v>
      </c>
    </row>
    <row r="707" spans="1:22" x14ac:dyDescent="0.35">
      <c r="A707" s="4">
        <v>45548</v>
      </c>
      <c r="B707" s="5">
        <v>0.38858796296296294</v>
      </c>
      <c r="C707">
        <v>83.9</v>
      </c>
      <c r="D707">
        <v>79.900000000000006</v>
      </c>
      <c r="E707">
        <v>84</v>
      </c>
      <c r="F707">
        <v>81.7</v>
      </c>
      <c r="G707">
        <v>0</v>
      </c>
      <c r="H707">
        <v>0</v>
      </c>
      <c r="I707">
        <v>0</v>
      </c>
      <c r="J707">
        <v>0</v>
      </c>
      <c r="K707">
        <v>64.5</v>
      </c>
      <c r="L707">
        <v>62.9</v>
      </c>
      <c r="M707">
        <v>82.29</v>
      </c>
      <c r="N707">
        <v>13</v>
      </c>
      <c r="O707">
        <v>3</v>
      </c>
      <c r="P707">
        <f>MOD(DAY(datos_siembra[[#This Row],[Date]]),7)</f>
        <v>6</v>
      </c>
      <c r="Q707" t="str">
        <f>CHOOSE(WEEKDAY(datos_siembra[[#This Row],[Date]],2),"L","M","X","J","V","S","D")</f>
        <v>V</v>
      </c>
      <c r="R707">
        <f>WEEKNUM(datos_siembra[[#This Row],[Date]],2)-WEEKNUM(DATE(YEAR(datos_siembra[[#This Row],[Date]]),MONTH(datos_siembra[[#This Row],[Date]]),1))+1</f>
        <v>2</v>
      </c>
      <c r="S707">
        <f>MONTH(datos_siembra[[#This Row],[Date]])</f>
        <v>9</v>
      </c>
      <c r="T707" t="str" cm="1">
        <f t="array" ref="T707">_xlfn.IFS(AND(N707&lt;= 22, S707=9), "SOWING",AND(N707&lt;= 28, S707=9), "COVERAGE",AND(N707&lt;= 30, S707=9), "FLUSH",AND(N707&lt;= 11, S707=10), "FLUSH",AND(N707&lt;= 21, S707=10), "PRODUCTION")</f>
        <v>SOWING</v>
      </c>
      <c r="U707">
        <f>HOUR(datos_siembra[[#This Row],[Hour]])</f>
        <v>9</v>
      </c>
      <c r="V707" cm="1">
        <f t="array" ref="V707">_xlfn.IFS(AND(N707&lt;= 22, S707=9), N707-7,AND(N707&lt;= 28, S707=9), N707-25,AND(N707&lt;= 30, S707=9), N707-28,AND(N707&lt;= 11, S707=10), N707+2,AND(N707&lt;= 21, S707=10), N707-11)</f>
        <v>6</v>
      </c>
    </row>
    <row r="708" spans="1:22" x14ac:dyDescent="0.35">
      <c r="A708" s="4">
        <v>45548</v>
      </c>
      <c r="B708" s="5">
        <v>0.39553240740740742</v>
      </c>
      <c r="C708">
        <v>83.8</v>
      </c>
      <c r="D708">
        <v>79.8</v>
      </c>
      <c r="E708">
        <v>84</v>
      </c>
      <c r="F708">
        <v>81.400000000000006</v>
      </c>
      <c r="G708">
        <v>0</v>
      </c>
      <c r="H708">
        <v>0</v>
      </c>
      <c r="I708">
        <v>0</v>
      </c>
      <c r="J708">
        <v>0</v>
      </c>
      <c r="K708">
        <v>64.5</v>
      </c>
      <c r="L708">
        <v>62.9</v>
      </c>
      <c r="M708">
        <v>82.32</v>
      </c>
      <c r="N708">
        <v>13</v>
      </c>
      <c r="O708">
        <v>3</v>
      </c>
      <c r="P708">
        <f>MOD(DAY(datos_siembra[[#This Row],[Date]]),7)</f>
        <v>6</v>
      </c>
      <c r="Q708" t="str">
        <f>CHOOSE(WEEKDAY(datos_siembra[[#This Row],[Date]],2),"L","M","X","J","V","S","D")</f>
        <v>V</v>
      </c>
      <c r="R708">
        <f>WEEKNUM(datos_siembra[[#This Row],[Date]],2)-WEEKNUM(DATE(YEAR(datos_siembra[[#This Row],[Date]]),MONTH(datos_siembra[[#This Row],[Date]]),1))+1</f>
        <v>2</v>
      </c>
      <c r="S708">
        <f>MONTH(datos_siembra[[#This Row],[Date]])</f>
        <v>9</v>
      </c>
      <c r="T708" t="str" cm="1">
        <f t="array" ref="T708">_xlfn.IFS(AND(N708&lt;= 22, S708=9), "SOWING",AND(N708&lt;= 28, S708=9), "COVERAGE",AND(N708&lt;= 30, S708=9), "FLUSH",AND(N708&lt;= 11, S708=10), "FLUSH",AND(N708&lt;= 21, S708=10), "PRODUCTION")</f>
        <v>SOWING</v>
      </c>
      <c r="U708">
        <f>HOUR(datos_siembra[[#This Row],[Hour]])</f>
        <v>9</v>
      </c>
      <c r="V708" cm="1">
        <f t="array" ref="V708">_xlfn.IFS(AND(N708&lt;= 22, S708=9), N708-7,AND(N708&lt;= 28, S708=9), N708-25,AND(N708&lt;= 30, S708=9), N708-28,AND(N708&lt;= 11, S708=10), N708+2,AND(N708&lt;= 21, S708=10), N708-11)</f>
        <v>6</v>
      </c>
    </row>
    <row r="709" spans="1:22" x14ac:dyDescent="0.35">
      <c r="A709" s="4">
        <v>45548</v>
      </c>
      <c r="B709" s="5">
        <v>0.40248842592592593</v>
      </c>
      <c r="C709">
        <v>83.8</v>
      </c>
      <c r="D709">
        <v>79.8</v>
      </c>
      <c r="E709">
        <v>84.1</v>
      </c>
      <c r="F709">
        <v>81.5</v>
      </c>
      <c r="G709">
        <v>0</v>
      </c>
      <c r="H709">
        <v>0</v>
      </c>
      <c r="I709">
        <v>0</v>
      </c>
      <c r="J709">
        <v>0</v>
      </c>
      <c r="K709">
        <v>64.400000000000006</v>
      </c>
      <c r="L709">
        <v>62.9</v>
      </c>
      <c r="M709">
        <v>82.26</v>
      </c>
      <c r="N709">
        <v>13</v>
      </c>
      <c r="O709">
        <v>3</v>
      </c>
      <c r="P709">
        <f>MOD(DAY(datos_siembra[[#This Row],[Date]]),7)</f>
        <v>6</v>
      </c>
      <c r="Q709" t="str">
        <f>CHOOSE(WEEKDAY(datos_siembra[[#This Row],[Date]],2),"L","M","X","J","V","S","D")</f>
        <v>V</v>
      </c>
      <c r="R709">
        <f>WEEKNUM(datos_siembra[[#This Row],[Date]],2)-WEEKNUM(DATE(YEAR(datos_siembra[[#This Row],[Date]]),MONTH(datos_siembra[[#This Row],[Date]]),1))+1</f>
        <v>2</v>
      </c>
      <c r="S709">
        <f>MONTH(datos_siembra[[#This Row],[Date]])</f>
        <v>9</v>
      </c>
      <c r="T709" t="str" cm="1">
        <f t="array" ref="T709">_xlfn.IFS(AND(N709&lt;= 22, S709=9), "SOWING",AND(N709&lt;= 28, S709=9), "COVERAGE",AND(N709&lt;= 30, S709=9), "FLUSH",AND(N709&lt;= 11, S709=10), "FLUSH",AND(N709&lt;= 21, S709=10), "PRODUCTION")</f>
        <v>SOWING</v>
      </c>
      <c r="U709">
        <f>HOUR(datos_siembra[[#This Row],[Hour]])</f>
        <v>9</v>
      </c>
      <c r="V709" cm="1">
        <f t="array" ref="V709">_xlfn.IFS(AND(N709&lt;= 22, S709=9), N709-7,AND(N709&lt;= 28, S709=9), N709-25,AND(N709&lt;= 30, S709=9), N709-28,AND(N709&lt;= 11, S709=10), N709+2,AND(N709&lt;= 21, S709=10), N709-11)</f>
        <v>6</v>
      </c>
    </row>
    <row r="710" spans="1:22" x14ac:dyDescent="0.35">
      <c r="A710" s="4">
        <v>45548</v>
      </c>
      <c r="B710" s="5">
        <v>0.40943287037037035</v>
      </c>
      <c r="C710">
        <v>83.8</v>
      </c>
      <c r="D710">
        <v>79.7</v>
      </c>
      <c r="E710">
        <v>84</v>
      </c>
      <c r="F710">
        <v>81.599999999999994</v>
      </c>
      <c r="G710">
        <v>0</v>
      </c>
      <c r="H710">
        <v>0</v>
      </c>
      <c r="I710">
        <v>0</v>
      </c>
      <c r="J710">
        <v>0</v>
      </c>
      <c r="K710">
        <v>64.5</v>
      </c>
      <c r="L710">
        <v>62.8</v>
      </c>
      <c r="M710">
        <v>82.26</v>
      </c>
      <c r="N710">
        <v>13</v>
      </c>
      <c r="O710">
        <v>3</v>
      </c>
      <c r="P710">
        <f>MOD(DAY(datos_siembra[[#This Row],[Date]]),7)</f>
        <v>6</v>
      </c>
      <c r="Q710" t="str">
        <f>CHOOSE(WEEKDAY(datos_siembra[[#This Row],[Date]],2),"L","M","X","J","V","S","D")</f>
        <v>V</v>
      </c>
      <c r="R710">
        <f>WEEKNUM(datos_siembra[[#This Row],[Date]],2)-WEEKNUM(DATE(YEAR(datos_siembra[[#This Row],[Date]]),MONTH(datos_siembra[[#This Row],[Date]]),1))+1</f>
        <v>2</v>
      </c>
      <c r="S710">
        <f>MONTH(datos_siembra[[#This Row],[Date]])</f>
        <v>9</v>
      </c>
      <c r="T710" t="str" cm="1">
        <f t="array" ref="T710">_xlfn.IFS(AND(N710&lt;= 22, S710=9), "SOWING",AND(N710&lt;= 28, S710=9), "COVERAGE",AND(N710&lt;= 30, S710=9), "FLUSH",AND(N710&lt;= 11, S710=10), "FLUSH",AND(N710&lt;= 21, S710=10), "PRODUCTION")</f>
        <v>SOWING</v>
      </c>
      <c r="U710">
        <f>HOUR(datos_siembra[[#This Row],[Hour]])</f>
        <v>9</v>
      </c>
      <c r="V710" cm="1">
        <f t="array" ref="V710">_xlfn.IFS(AND(N710&lt;= 22, S710=9), N710-7,AND(N710&lt;= 28, S710=9), N710-25,AND(N710&lt;= 30, S710=9), N710-28,AND(N710&lt;= 11, S710=10), N710+2,AND(N710&lt;= 21, S710=10), N710-11)</f>
        <v>6</v>
      </c>
    </row>
    <row r="711" spans="1:22" x14ac:dyDescent="0.35">
      <c r="A711" s="4">
        <v>45548</v>
      </c>
      <c r="B711" s="5">
        <v>0.41637731481481483</v>
      </c>
      <c r="C711">
        <v>83.9</v>
      </c>
      <c r="D711">
        <v>79.7</v>
      </c>
      <c r="E711">
        <v>84</v>
      </c>
      <c r="F711">
        <v>81.5</v>
      </c>
      <c r="G711">
        <v>0</v>
      </c>
      <c r="H711">
        <v>0</v>
      </c>
      <c r="I711">
        <v>0</v>
      </c>
      <c r="J711">
        <v>0</v>
      </c>
      <c r="K711">
        <v>64.400000000000006</v>
      </c>
      <c r="L711">
        <v>62.9</v>
      </c>
      <c r="M711">
        <v>82.26</v>
      </c>
      <c r="N711">
        <v>13</v>
      </c>
      <c r="O711">
        <v>3</v>
      </c>
      <c r="P711">
        <f>MOD(DAY(datos_siembra[[#This Row],[Date]]),7)</f>
        <v>6</v>
      </c>
      <c r="Q711" t="str">
        <f>CHOOSE(WEEKDAY(datos_siembra[[#This Row],[Date]],2),"L","M","X","J","V","S","D")</f>
        <v>V</v>
      </c>
      <c r="R711">
        <f>WEEKNUM(datos_siembra[[#This Row],[Date]],2)-WEEKNUM(DATE(YEAR(datos_siembra[[#This Row],[Date]]),MONTH(datos_siembra[[#This Row],[Date]]),1))+1</f>
        <v>2</v>
      </c>
      <c r="S711">
        <f>MONTH(datos_siembra[[#This Row],[Date]])</f>
        <v>9</v>
      </c>
      <c r="T711" t="str" cm="1">
        <f t="array" ref="T711">_xlfn.IFS(AND(N711&lt;= 22, S711=9), "SOWING",AND(N711&lt;= 28, S711=9), "COVERAGE",AND(N711&lt;= 30, S711=9), "FLUSH",AND(N711&lt;= 11, S711=10), "FLUSH",AND(N711&lt;= 21, S711=10), "PRODUCTION")</f>
        <v>SOWING</v>
      </c>
      <c r="U711">
        <f>HOUR(datos_siembra[[#This Row],[Hour]])</f>
        <v>9</v>
      </c>
      <c r="V711" cm="1">
        <f t="array" ref="V711">_xlfn.IFS(AND(N711&lt;= 22, S711=9), N711-7,AND(N711&lt;= 28, S711=9), N711-25,AND(N711&lt;= 30, S711=9), N711-28,AND(N711&lt;= 11, S711=10), N711+2,AND(N711&lt;= 21, S711=10), N711-11)</f>
        <v>6</v>
      </c>
    </row>
    <row r="712" spans="1:22" x14ac:dyDescent="0.35">
      <c r="A712" s="4">
        <v>45548</v>
      </c>
      <c r="B712" s="5">
        <v>0.43027777777777776</v>
      </c>
      <c r="C712">
        <v>83.6</v>
      </c>
      <c r="D712">
        <v>79.8</v>
      </c>
      <c r="E712">
        <v>84.3</v>
      </c>
      <c r="F712">
        <v>81.400000000000006</v>
      </c>
      <c r="G712">
        <v>0</v>
      </c>
      <c r="H712">
        <v>0</v>
      </c>
      <c r="I712">
        <v>0</v>
      </c>
      <c r="J712">
        <v>0</v>
      </c>
      <c r="K712">
        <v>64.5</v>
      </c>
      <c r="L712">
        <v>62.9</v>
      </c>
      <c r="M712">
        <v>82.29</v>
      </c>
      <c r="N712">
        <v>13</v>
      </c>
      <c r="O712">
        <v>3</v>
      </c>
      <c r="P712">
        <f>MOD(DAY(datos_siembra[[#This Row],[Date]]),7)</f>
        <v>6</v>
      </c>
      <c r="Q712" t="str">
        <f>CHOOSE(WEEKDAY(datos_siembra[[#This Row],[Date]],2),"L","M","X","J","V","S","D")</f>
        <v>V</v>
      </c>
      <c r="R712">
        <f>WEEKNUM(datos_siembra[[#This Row],[Date]],2)-WEEKNUM(DATE(YEAR(datos_siembra[[#This Row],[Date]]),MONTH(datos_siembra[[#This Row],[Date]]),1))+1</f>
        <v>2</v>
      </c>
      <c r="S712">
        <f>MONTH(datos_siembra[[#This Row],[Date]])</f>
        <v>9</v>
      </c>
      <c r="T712" t="str" cm="1">
        <f t="array" ref="T712">_xlfn.IFS(AND(N712&lt;= 22, S712=9), "SOWING",AND(N712&lt;= 28, S712=9), "COVERAGE",AND(N712&lt;= 30, S712=9), "FLUSH",AND(N712&lt;= 11, S712=10), "FLUSH",AND(N712&lt;= 21, S712=10), "PRODUCTION")</f>
        <v>SOWING</v>
      </c>
      <c r="U712">
        <f>HOUR(datos_siembra[[#This Row],[Hour]])</f>
        <v>10</v>
      </c>
      <c r="V712" cm="1">
        <f t="array" ref="V712">_xlfn.IFS(AND(N712&lt;= 22, S712=9), N712-7,AND(N712&lt;= 28, S712=9), N712-25,AND(N712&lt;= 30, S712=9), N712-28,AND(N712&lt;= 11, S712=10), N712+2,AND(N712&lt;= 21, S712=10), N712-11)</f>
        <v>6</v>
      </c>
    </row>
    <row r="713" spans="1:22" x14ac:dyDescent="0.35">
      <c r="A713" s="4">
        <v>45548</v>
      </c>
      <c r="B713" s="5">
        <v>0.43722222222222223</v>
      </c>
      <c r="C713">
        <v>83.9</v>
      </c>
      <c r="D713">
        <v>79.7</v>
      </c>
      <c r="E713">
        <v>84.5</v>
      </c>
      <c r="F713">
        <v>81.3</v>
      </c>
      <c r="G713">
        <v>0</v>
      </c>
      <c r="H713">
        <v>0</v>
      </c>
      <c r="I713">
        <v>0</v>
      </c>
      <c r="J713">
        <v>0</v>
      </c>
      <c r="K713">
        <v>64.599999999999994</v>
      </c>
      <c r="L713">
        <v>63</v>
      </c>
      <c r="M713">
        <v>82.34</v>
      </c>
      <c r="N713">
        <v>13</v>
      </c>
      <c r="O713">
        <v>3</v>
      </c>
      <c r="P713">
        <f>MOD(DAY(datos_siembra[[#This Row],[Date]]),7)</f>
        <v>6</v>
      </c>
      <c r="Q713" t="str">
        <f>CHOOSE(WEEKDAY(datos_siembra[[#This Row],[Date]],2),"L","M","X","J","V","S","D")</f>
        <v>V</v>
      </c>
      <c r="R713">
        <f>WEEKNUM(datos_siembra[[#This Row],[Date]],2)-WEEKNUM(DATE(YEAR(datos_siembra[[#This Row],[Date]]),MONTH(datos_siembra[[#This Row],[Date]]),1))+1</f>
        <v>2</v>
      </c>
      <c r="S713">
        <f>MONTH(datos_siembra[[#This Row],[Date]])</f>
        <v>9</v>
      </c>
      <c r="T713" t="str" cm="1">
        <f t="array" ref="T713">_xlfn.IFS(AND(N713&lt;= 22, S713=9), "SOWING",AND(N713&lt;= 28, S713=9), "COVERAGE",AND(N713&lt;= 30, S713=9), "FLUSH",AND(N713&lt;= 11, S713=10), "FLUSH",AND(N713&lt;= 21, S713=10), "PRODUCTION")</f>
        <v>SOWING</v>
      </c>
      <c r="U713">
        <f>HOUR(datos_siembra[[#This Row],[Hour]])</f>
        <v>10</v>
      </c>
      <c r="V713" cm="1">
        <f t="array" ref="V713">_xlfn.IFS(AND(N713&lt;= 22, S713=9), N713-7,AND(N713&lt;= 28, S713=9), N713-25,AND(N713&lt;= 30, S713=9), N713-28,AND(N713&lt;= 11, S713=10), N713+2,AND(N713&lt;= 21, S713=10), N713-11)</f>
        <v>6</v>
      </c>
    </row>
    <row r="714" spans="1:22" x14ac:dyDescent="0.35">
      <c r="A714" s="4">
        <v>45548</v>
      </c>
      <c r="B714" s="5">
        <v>0.44417824074074075</v>
      </c>
      <c r="C714">
        <v>83.8</v>
      </c>
      <c r="D714">
        <v>79.8</v>
      </c>
      <c r="E714">
        <v>84.8</v>
      </c>
      <c r="F714">
        <v>81.400000000000006</v>
      </c>
      <c r="G714">
        <v>0</v>
      </c>
      <c r="H714">
        <v>0</v>
      </c>
      <c r="I714">
        <v>0</v>
      </c>
      <c r="J714">
        <v>0</v>
      </c>
      <c r="K714">
        <v>65.2</v>
      </c>
      <c r="L714">
        <v>63.8</v>
      </c>
      <c r="M714">
        <v>82.46</v>
      </c>
      <c r="N714">
        <v>13</v>
      </c>
      <c r="O714">
        <v>3</v>
      </c>
      <c r="P714">
        <f>MOD(DAY(datos_siembra[[#This Row],[Date]]),7)</f>
        <v>6</v>
      </c>
      <c r="Q714" t="str">
        <f>CHOOSE(WEEKDAY(datos_siembra[[#This Row],[Date]],2),"L","M","X","J","V","S","D")</f>
        <v>V</v>
      </c>
      <c r="R714">
        <f>WEEKNUM(datos_siembra[[#This Row],[Date]],2)-WEEKNUM(DATE(YEAR(datos_siembra[[#This Row],[Date]]),MONTH(datos_siembra[[#This Row],[Date]]),1))+1</f>
        <v>2</v>
      </c>
      <c r="S714">
        <f>MONTH(datos_siembra[[#This Row],[Date]])</f>
        <v>9</v>
      </c>
      <c r="T714" t="str" cm="1">
        <f t="array" ref="T714">_xlfn.IFS(AND(N714&lt;= 22, S714=9), "SOWING",AND(N714&lt;= 28, S714=9), "COVERAGE",AND(N714&lt;= 30, S714=9), "FLUSH",AND(N714&lt;= 11, S714=10), "FLUSH",AND(N714&lt;= 21, S714=10), "PRODUCTION")</f>
        <v>SOWING</v>
      </c>
      <c r="U714">
        <f>HOUR(datos_siembra[[#This Row],[Hour]])</f>
        <v>10</v>
      </c>
      <c r="V714" cm="1">
        <f t="array" ref="V714">_xlfn.IFS(AND(N714&lt;= 22, S714=9), N714-7,AND(N714&lt;= 28, S714=9), N714-25,AND(N714&lt;= 30, S714=9), N714-28,AND(N714&lt;= 11, S714=10), N714+2,AND(N714&lt;= 21, S714=10), N714-11)</f>
        <v>6</v>
      </c>
    </row>
    <row r="715" spans="1:22" x14ac:dyDescent="0.35">
      <c r="A715" s="4">
        <v>45548</v>
      </c>
      <c r="B715" s="5">
        <v>0.45112268518518517</v>
      </c>
      <c r="C715">
        <v>83.8</v>
      </c>
      <c r="D715">
        <v>79.7</v>
      </c>
      <c r="E715">
        <v>84.9</v>
      </c>
      <c r="F715">
        <v>81.599999999999994</v>
      </c>
      <c r="G715">
        <v>0</v>
      </c>
      <c r="H715">
        <v>0</v>
      </c>
      <c r="I715">
        <v>0</v>
      </c>
      <c r="J715">
        <v>0</v>
      </c>
      <c r="K715">
        <v>65.400000000000006</v>
      </c>
      <c r="L715">
        <v>60.8</v>
      </c>
      <c r="M715">
        <v>82.48</v>
      </c>
      <c r="N715">
        <v>13</v>
      </c>
      <c r="O715">
        <v>3</v>
      </c>
      <c r="P715">
        <f>MOD(DAY(datos_siembra[[#This Row],[Date]]),7)</f>
        <v>6</v>
      </c>
      <c r="Q715" t="str">
        <f>CHOOSE(WEEKDAY(datos_siembra[[#This Row],[Date]],2),"L","M","X","J","V","S","D")</f>
        <v>V</v>
      </c>
      <c r="R715">
        <f>WEEKNUM(datos_siembra[[#This Row],[Date]],2)-WEEKNUM(DATE(YEAR(datos_siembra[[#This Row],[Date]]),MONTH(datos_siembra[[#This Row],[Date]]),1))+1</f>
        <v>2</v>
      </c>
      <c r="S715">
        <f>MONTH(datos_siembra[[#This Row],[Date]])</f>
        <v>9</v>
      </c>
      <c r="T715" t="str" cm="1">
        <f t="array" ref="T715">_xlfn.IFS(AND(N715&lt;= 22, S715=9), "SOWING",AND(N715&lt;= 28, S715=9), "COVERAGE",AND(N715&lt;= 30, S715=9), "FLUSH",AND(N715&lt;= 11, S715=10), "FLUSH",AND(N715&lt;= 21, S715=10), "PRODUCTION")</f>
        <v>SOWING</v>
      </c>
      <c r="U715">
        <f>HOUR(datos_siembra[[#This Row],[Hour]])</f>
        <v>10</v>
      </c>
      <c r="V715" cm="1">
        <f t="array" ref="V715">_xlfn.IFS(AND(N715&lt;= 22, S715=9), N715-7,AND(N715&lt;= 28, S715=9), N715-25,AND(N715&lt;= 30, S715=9), N715-28,AND(N715&lt;= 11, S715=10), N715+2,AND(N715&lt;= 21, S715=10), N715-11)</f>
        <v>6</v>
      </c>
    </row>
    <row r="716" spans="1:22" x14ac:dyDescent="0.35">
      <c r="A716" s="4">
        <v>45548</v>
      </c>
      <c r="B716" s="5">
        <v>0.45806712962962964</v>
      </c>
      <c r="C716">
        <v>83.9</v>
      </c>
      <c r="D716">
        <v>79.8</v>
      </c>
      <c r="E716">
        <v>85</v>
      </c>
      <c r="F716">
        <v>81.5</v>
      </c>
      <c r="G716">
        <v>0</v>
      </c>
      <c r="H716">
        <v>0</v>
      </c>
      <c r="I716">
        <v>0</v>
      </c>
      <c r="J716">
        <v>0</v>
      </c>
      <c r="K716">
        <v>65.5</v>
      </c>
      <c r="L716">
        <v>62.9</v>
      </c>
      <c r="M716">
        <v>82.48</v>
      </c>
      <c r="N716">
        <v>13</v>
      </c>
      <c r="O716">
        <v>3</v>
      </c>
      <c r="P716">
        <f>MOD(DAY(datos_siembra[[#This Row],[Date]]),7)</f>
        <v>6</v>
      </c>
      <c r="Q716" t="str">
        <f>CHOOSE(WEEKDAY(datos_siembra[[#This Row],[Date]],2),"L","M","X","J","V","S","D")</f>
        <v>V</v>
      </c>
      <c r="R716">
        <f>WEEKNUM(datos_siembra[[#This Row],[Date]],2)-WEEKNUM(DATE(YEAR(datos_siembra[[#This Row],[Date]]),MONTH(datos_siembra[[#This Row],[Date]]),1))+1</f>
        <v>2</v>
      </c>
      <c r="S716">
        <f>MONTH(datos_siembra[[#This Row],[Date]])</f>
        <v>9</v>
      </c>
      <c r="T716" t="str" cm="1">
        <f t="array" ref="T716">_xlfn.IFS(AND(N716&lt;= 22, S716=9), "SOWING",AND(N716&lt;= 28, S716=9), "COVERAGE",AND(N716&lt;= 30, S716=9), "FLUSH",AND(N716&lt;= 11, S716=10), "FLUSH",AND(N716&lt;= 21, S716=10), "PRODUCTION")</f>
        <v>SOWING</v>
      </c>
      <c r="U716">
        <f>HOUR(datos_siembra[[#This Row],[Hour]])</f>
        <v>10</v>
      </c>
      <c r="V716" cm="1">
        <f t="array" ref="V716">_xlfn.IFS(AND(N716&lt;= 22, S716=9), N716-7,AND(N716&lt;= 28, S716=9), N716-25,AND(N716&lt;= 30, S716=9), N716-28,AND(N716&lt;= 11, S716=10), N716+2,AND(N716&lt;= 21, S716=10), N716-11)</f>
        <v>6</v>
      </c>
    </row>
    <row r="717" spans="1:22" x14ac:dyDescent="0.35">
      <c r="A717" s="4">
        <v>45548</v>
      </c>
      <c r="B717" s="5">
        <v>0.46501157407407406</v>
      </c>
      <c r="C717">
        <v>83.8</v>
      </c>
      <c r="D717">
        <v>79.8</v>
      </c>
      <c r="E717">
        <v>85</v>
      </c>
      <c r="F717">
        <v>81.5</v>
      </c>
      <c r="G717">
        <v>0</v>
      </c>
      <c r="H717">
        <v>0</v>
      </c>
      <c r="I717">
        <v>0</v>
      </c>
      <c r="J717">
        <v>0</v>
      </c>
      <c r="K717">
        <v>65.599999999999994</v>
      </c>
      <c r="L717">
        <v>64.2</v>
      </c>
      <c r="M717">
        <v>82.51</v>
      </c>
      <c r="N717">
        <v>13</v>
      </c>
      <c r="O717">
        <v>3</v>
      </c>
      <c r="P717">
        <f>MOD(DAY(datos_siembra[[#This Row],[Date]]),7)</f>
        <v>6</v>
      </c>
      <c r="Q717" t="str">
        <f>CHOOSE(WEEKDAY(datos_siembra[[#This Row],[Date]],2),"L","M","X","J","V","S","D")</f>
        <v>V</v>
      </c>
      <c r="R717">
        <f>WEEKNUM(datos_siembra[[#This Row],[Date]],2)-WEEKNUM(DATE(YEAR(datos_siembra[[#This Row],[Date]]),MONTH(datos_siembra[[#This Row],[Date]]),1))+1</f>
        <v>2</v>
      </c>
      <c r="S717">
        <f>MONTH(datos_siembra[[#This Row],[Date]])</f>
        <v>9</v>
      </c>
      <c r="T717" t="str" cm="1">
        <f t="array" ref="T717">_xlfn.IFS(AND(N717&lt;= 22, S717=9), "SOWING",AND(N717&lt;= 28, S717=9), "COVERAGE",AND(N717&lt;= 30, S717=9), "FLUSH",AND(N717&lt;= 11, S717=10), "FLUSH",AND(N717&lt;= 21, S717=10), "PRODUCTION")</f>
        <v>SOWING</v>
      </c>
      <c r="U717">
        <f>HOUR(datos_siembra[[#This Row],[Hour]])</f>
        <v>11</v>
      </c>
      <c r="V717" cm="1">
        <f t="array" ref="V717">_xlfn.IFS(AND(N717&lt;= 22, S717=9), N717-7,AND(N717&lt;= 28, S717=9), N717-25,AND(N717&lt;= 30, S717=9), N717-28,AND(N717&lt;= 11, S717=10), N717+2,AND(N717&lt;= 21, S717=10), N717-11)</f>
        <v>6</v>
      </c>
    </row>
    <row r="718" spans="1:22" x14ac:dyDescent="0.35">
      <c r="A718" s="4">
        <v>45548</v>
      </c>
      <c r="B718" s="5">
        <v>0.47196759259259258</v>
      </c>
      <c r="C718">
        <v>83.6</v>
      </c>
      <c r="D718">
        <v>79.599999999999994</v>
      </c>
      <c r="E718">
        <v>85.1</v>
      </c>
      <c r="F718">
        <v>81.400000000000006</v>
      </c>
      <c r="G718">
        <v>0</v>
      </c>
      <c r="H718">
        <v>0</v>
      </c>
      <c r="I718">
        <v>0</v>
      </c>
      <c r="J718">
        <v>0</v>
      </c>
      <c r="K718">
        <v>65.8</v>
      </c>
      <c r="L718">
        <v>64.3</v>
      </c>
      <c r="M718">
        <v>82.48</v>
      </c>
      <c r="N718">
        <v>13</v>
      </c>
      <c r="O718">
        <v>3</v>
      </c>
      <c r="P718">
        <f>MOD(DAY(datos_siembra[[#This Row],[Date]]),7)</f>
        <v>6</v>
      </c>
      <c r="Q718" t="str">
        <f>CHOOSE(WEEKDAY(datos_siembra[[#This Row],[Date]],2),"L","M","X","J","V","S","D")</f>
        <v>V</v>
      </c>
      <c r="R718">
        <f>WEEKNUM(datos_siembra[[#This Row],[Date]],2)-WEEKNUM(DATE(YEAR(datos_siembra[[#This Row],[Date]]),MONTH(datos_siembra[[#This Row],[Date]]),1))+1</f>
        <v>2</v>
      </c>
      <c r="S718">
        <f>MONTH(datos_siembra[[#This Row],[Date]])</f>
        <v>9</v>
      </c>
      <c r="T718" t="str" cm="1">
        <f t="array" ref="T718">_xlfn.IFS(AND(N718&lt;= 22, S718=9), "SOWING",AND(N718&lt;= 28, S718=9), "COVERAGE",AND(N718&lt;= 30, S718=9), "FLUSH",AND(N718&lt;= 11, S718=10), "FLUSH",AND(N718&lt;= 21, S718=10), "PRODUCTION")</f>
        <v>SOWING</v>
      </c>
      <c r="U718">
        <f>HOUR(datos_siembra[[#This Row],[Hour]])</f>
        <v>11</v>
      </c>
      <c r="V718" cm="1">
        <f t="array" ref="V718">_xlfn.IFS(AND(N718&lt;= 22, S718=9), N718-7,AND(N718&lt;= 28, S718=9), N718-25,AND(N718&lt;= 30, S718=9), N718-28,AND(N718&lt;= 11, S718=10), N718+2,AND(N718&lt;= 21, S718=10), N718-11)</f>
        <v>6</v>
      </c>
    </row>
    <row r="719" spans="1:22" x14ac:dyDescent="0.35">
      <c r="A719" s="4">
        <v>45548</v>
      </c>
      <c r="B719" s="5">
        <v>0.47891203703703705</v>
      </c>
      <c r="C719">
        <v>83.6</v>
      </c>
      <c r="D719">
        <v>79.8</v>
      </c>
      <c r="E719">
        <v>85.1</v>
      </c>
      <c r="F719">
        <v>81.400000000000006</v>
      </c>
      <c r="G719">
        <v>0</v>
      </c>
      <c r="H719">
        <v>0</v>
      </c>
      <c r="I719">
        <v>0</v>
      </c>
      <c r="J719">
        <v>0</v>
      </c>
      <c r="K719">
        <v>65.8</v>
      </c>
      <c r="L719">
        <v>64.400000000000006</v>
      </c>
      <c r="M719">
        <v>82.51</v>
      </c>
      <c r="N719">
        <v>13</v>
      </c>
      <c r="O719">
        <v>3</v>
      </c>
      <c r="P719">
        <f>MOD(DAY(datos_siembra[[#This Row],[Date]]),7)</f>
        <v>6</v>
      </c>
      <c r="Q719" t="str">
        <f>CHOOSE(WEEKDAY(datos_siembra[[#This Row],[Date]],2),"L","M","X","J","V","S","D")</f>
        <v>V</v>
      </c>
      <c r="R719">
        <f>WEEKNUM(datos_siembra[[#This Row],[Date]],2)-WEEKNUM(DATE(YEAR(datos_siembra[[#This Row],[Date]]),MONTH(datos_siembra[[#This Row],[Date]]),1))+1</f>
        <v>2</v>
      </c>
      <c r="S719">
        <f>MONTH(datos_siembra[[#This Row],[Date]])</f>
        <v>9</v>
      </c>
      <c r="T719" t="str" cm="1">
        <f t="array" ref="T719">_xlfn.IFS(AND(N719&lt;= 22, S719=9), "SOWING",AND(N719&lt;= 28, S719=9), "COVERAGE",AND(N719&lt;= 30, S719=9), "FLUSH",AND(N719&lt;= 11, S719=10), "FLUSH",AND(N719&lt;= 21, S719=10), "PRODUCTION")</f>
        <v>SOWING</v>
      </c>
      <c r="U719">
        <f>HOUR(datos_siembra[[#This Row],[Hour]])</f>
        <v>11</v>
      </c>
      <c r="V719" cm="1">
        <f t="array" ref="V719">_xlfn.IFS(AND(N719&lt;= 22, S719=9), N719-7,AND(N719&lt;= 28, S719=9), N719-25,AND(N719&lt;= 30, S719=9), N719-28,AND(N719&lt;= 11, S719=10), N719+2,AND(N719&lt;= 21, S719=10), N719-11)</f>
        <v>6</v>
      </c>
    </row>
    <row r="720" spans="1:22" x14ac:dyDescent="0.35">
      <c r="A720" s="4">
        <v>45548</v>
      </c>
      <c r="B720" s="5">
        <v>0.48585648148148147</v>
      </c>
      <c r="C720">
        <v>83.6</v>
      </c>
      <c r="D720">
        <v>79.8</v>
      </c>
      <c r="E720">
        <v>85.2</v>
      </c>
      <c r="F720">
        <v>81.400000000000006</v>
      </c>
      <c r="G720">
        <v>0</v>
      </c>
      <c r="H720">
        <v>0</v>
      </c>
      <c r="I720">
        <v>0</v>
      </c>
      <c r="J720">
        <v>0</v>
      </c>
      <c r="K720">
        <v>65.599999999999994</v>
      </c>
      <c r="L720">
        <v>64.3</v>
      </c>
      <c r="M720">
        <v>82.57</v>
      </c>
      <c r="N720">
        <v>13</v>
      </c>
      <c r="O720">
        <v>3</v>
      </c>
      <c r="P720">
        <f>MOD(DAY(datos_siembra[[#This Row],[Date]]),7)</f>
        <v>6</v>
      </c>
      <c r="Q720" t="str">
        <f>CHOOSE(WEEKDAY(datos_siembra[[#This Row],[Date]],2),"L","M","X","J","V","S","D")</f>
        <v>V</v>
      </c>
      <c r="R720">
        <f>WEEKNUM(datos_siembra[[#This Row],[Date]],2)-WEEKNUM(DATE(YEAR(datos_siembra[[#This Row],[Date]]),MONTH(datos_siembra[[#This Row],[Date]]),1))+1</f>
        <v>2</v>
      </c>
      <c r="S720">
        <f>MONTH(datos_siembra[[#This Row],[Date]])</f>
        <v>9</v>
      </c>
      <c r="T720" t="str" cm="1">
        <f t="array" ref="T720">_xlfn.IFS(AND(N720&lt;= 22, S720=9), "SOWING",AND(N720&lt;= 28, S720=9), "COVERAGE",AND(N720&lt;= 30, S720=9), "FLUSH",AND(N720&lt;= 11, S720=10), "FLUSH",AND(N720&lt;= 21, S720=10), "PRODUCTION")</f>
        <v>SOWING</v>
      </c>
      <c r="U720">
        <f>HOUR(datos_siembra[[#This Row],[Hour]])</f>
        <v>11</v>
      </c>
      <c r="V720" cm="1">
        <f t="array" ref="V720">_xlfn.IFS(AND(N720&lt;= 22, S720=9), N720-7,AND(N720&lt;= 28, S720=9), N720-25,AND(N720&lt;= 30, S720=9), N720-28,AND(N720&lt;= 11, S720=10), N720+2,AND(N720&lt;= 21, S720=10), N720-11)</f>
        <v>6</v>
      </c>
    </row>
    <row r="721" spans="1:22" x14ac:dyDescent="0.35">
      <c r="A721" s="4">
        <v>45548</v>
      </c>
      <c r="B721" s="5">
        <v>0.49281249999999999</v>
      </c>
      <c r="C721">
        <v>83.6</v>
      </c>
      <c r="D721">
        <v>80</v>
      </c>
      <c r="E721">
        <v>85.2</v>
      </c>
      <c r="F721">
        <v>81.599999999999994</v>
      </c>
      <c r="G721">
        <v>0</v>
      </c>
      <c r="H721">
        <v>0</v>
      </c>
      <c r="I721">
        <v>0</v>
      </c>
      <c r="J721">
        <v>0</v>
      </c>
      <c r="K721">
        <v>65.599999999999994</v>
      </c>
      <c r="L721">
        <v>63.9</v>
      </c>
      <c r="M721">
        <v>82.57</v>
      </c>
      <c r="N721">
        <v>13</v>
      </c>
      <c r="O721">
        <v>3</v>
      </c>
      <c r="P721">
        <f>MOD(DAY(datos_siembra[[#This Row],[Date]]),7)</f>
        <v>6</v>
      </c>
      <c r="Q721" t="str">
        <f>CHOOSE(WEEKDAY(datos_siembra[[#This Row],[Date]],2),"L","M","X","J","V","S","D")</f>
        <v>V</v>
      </c>
      <c r="R721">
        <f>WEEKNUM(datos_siembra[[#This Row],[Date]],2)-WEEKNUM(DATE(YEAR(datos_siembra[[#This Row],[Date]]),MONTH(datos_siembra[[#This Row],[Date]]),1))+1</f>
        <v>2</v>
      </c>
      <c r="S721">
        <f>MONTH(datos_siembra[[#This Row],[Date]])</f>
        <v>9</v>
      </c>
      <c r="T721" t="str" cm="1">
        <f t="array" ref="T721">_xlfn.IFS(AND(N721&lt;= 22, S721=9), "SOWING",AND(N721&lt;= 28, S721=9), "COVERAGE",AND(N721&lt;= 30, S721=9), "FLUSH",AND(N721&lt;= 11, S721=10), "FLUSH",AND(N721&lt;= 21, S721=10), "PRODUCTION")</f>
        <v>SOWING</v>
      </c>
      <c r="U721">
        <f>HOUR(datos_siembra[[#This Row],[Hour]])</f>
        <v>11</v>
      </c>
      <c r="V721" cm="1">
        <f t="array" ref="V721">_xlfn.IFS(AND(N721&lt;= 22, S721=9), N721-7,AND(N721&lt;= 28, S721=9), N721-25,AND(N721&lt;= 30, S721=9), N721-28,AND(N721&lt;= 11, S721=10), N721+2,AND(N721&lt;= 21, S721=10), N721-11)</f>
        <v>6</v>
      </c>
    </row>
    <row r="722" spans="1:22" x14ac:dyDescent="0.35">
      <c r="A722" s="4">
        <v>45548</v>
      </c>
      <c r="B722" s="5">
        <v>0.49975694444444446</v>
      </c>
      <c r="C722">
        <v>83.6</v>
      </c>
      <c r="D722">
        <v>79.900000000000006</v>
      </c>
      <c r="E722">
        <v>85.3</v>
      </c>
      <c r="F722">
        <v>81.400000000000006</v>
      </c>
      <c r="G722">
        <v>0</v>
      </c>
      <c r="H722">
        <v>0</v>
      </c>
      <c r="I722">
        <v>0</v>
      </c>
      <c r="J722">
        <v>0</v>
      </c>
      <c r="K722">
        <v>65.2</v>
      </c>
      <c r="L722">
        <v>63.6</v>
      </c>
      <c r="M722">
        <v>82.6</v>
      </c>
      <c r="N722">
        <v>13</v>
      </c>
      <c r="O722">
        <v>3</v>
      </c>
      <c r="P722">
        <f>MOD(DAY(datos_siembra[[#This Row],[Date]]),7)</f>
        <v>6</v>
      </c>
      <c r="Q722" t="str">
        <f>CHOOSE(WEEKDAY(datos_siembra[[#This Row],[Date]],2),"L","M","X","J","V","S","D")</f>
        <v>V</v>
      </c>
      <c r="R722">
        <f>WEEKNUM(datos_siembra[[#This Row],[Date]],2)-WEEKNUM(DATE(YEAR(datos_siembra[[#This Row],[Date]]),MONTH(datos_siembra[[#This Row],[Date]]),1))+1</f>
        <v>2</v>
      </c>
      <c r="S722">
        <f>MONTH(datos_siembra[[#This Row],[Date]])</f>
        <v>9</v>
      </c>
      <c r="T722" t="str" cm="1">
        <f t="array" ref="T722">_xlfn.IFS(AND(N722&lt;= 22, S722=9), "SOWING",AND(N722&lt;= 28, S722=9), "COVERAGE",AND(N722&lt;= 30, S722=9), "FLUSH",AND(N722&lt;= 11, S722=10), "FLUSH",AND(N722&lt;= 21, S722=10), "PRODUCTION")</f>
        <v>SOWING</v>
      </c>
      <c r="U722">
        <f>HOUR(datos_siembra[[#This Row],[Hour]])</f>
        <v>11</v>
      </c>
      <c r="V722" cm="1">
        <f t="array" ref="V722">_xlfn.IFS(AND(N722&lt;= 22, S722=9), N722-7,AND(N722&lt;= 28, S722=9), N722-25,AND(N722&lt;= 30, S722=9), N722-28,AND(N722&lt;= 11, S722=10), N722+2,AND(N722&lt;= 21, S722=10), N722-11)</f>
        <v>6</v>
      </c>
    </row>
    <row r="723" spans="1:22" x14ac:dyDescent="0.35">
      <c r="A723" s="4">
        <v>45548</v>
      </c>
      <c r="B723" s="5">
        <v>0.50670138888888894</v>
      </c>
      <c r="C723">
        <v>83.8</v>
      </c>
      <c r="D723">
        <v>80</v>
      </c>
      <c r="E723">
        <v>85.3</v>
      </c>
      <c r="F723">
        <v>81.7</v>
      </c>
      <c r="G723">
        <v>0</v>
      </c>
      <c r="H723">
        <v>0</v>
      </c>
      <c r="I723">
        <v>0</v>
      </c>
      <c r="J723">
        <v>0</v>
      </c>
      <c r="K723">
        <v>65</v>
      </c>
      <c r="L723">
        <v>63.3</v>
      </c>
      <c r="M723">
        <v>82.71</v>
      </c>
      <c r="N723">
        <v>13</v>
      </c>
      <c r="O723">
        <v>3</v>
      </c>
      <c r="P723">
        <f>MOD(DAY(datos_siembra[[#This Row],[Date]]),7)</f>
        <v>6</v>
      </c>
      <c r="Q723" t="str">
        <f>CHOOSE(WEEKDAY(datos_siembra[[#This Row],[Date]],2),"L","M","X","J","V","S","D")</f>
        <v>V</v>
      </c>
      <c r="R723">
        <f>WEEKNUM(datos_siembra[[#This Row],[Date]],2)-WEEKNUM(DATE(YEAR(datos_siembra[[#This Row],[Date]]),MONTH(datos_siembra[[#This Row],[Date]]),1))+1</f>
        <v>2</v>
      </c>
      <c r="S723">
        <f>MONTH(datos_siembra[[#This Row],[Date]])</f>
        <v>9</v>
      </c>
      <c r="T723" t="str" cm="1">
        <f t="array" ref="T723">_xlfn.IFS(AND(N723&lt;= 22, S723=9), "SOWING",AND(N723&lt;= 28, S723=9), "COVERAGE",AND(N723&lt;= 30, S723=9), "FLUSH",AND(N723&lt;= 11, S723=10), "FLUSH",AND(N723&lt;= 21, S723=10), "PRODUCTION")</f>
        <v>SOWING</v>
      </c>
      <c r="U723">
        <f>HOUR(datos_siembra[[#This Row],[Hour]])</f>
        <v>12</v>
      </c>
      <c r="V723" cm="1">
        <f t="array" ref="V723">_xlfn.IFS(AND(N723&lt;= 22, S723=9), N723-7,AND(N723&lt;= 28, S723=9), N723-25,AND(N723&lt;= 30, S723=9), N723-28,AND(N723&lt;= 11, S723=10), N723+2,AND(N723&lt;= 21, S723=10), N723-11)</f>
        <v>6</v>
      </c>
    </row>
    <row r="724" spans="1:22" x14ac:dyDescent="0.35">
      <c r="A724" s="4">
        <v>45548</v>
      </c>
      <c r="B724" s="5">
        <v>0.5136574074074074</v>
      </c>
      <c r="C724">
        <v>83.6</v>
      </c>
      <c r="D724">
        <v>80.099999999999994</v>
      </c>
      <c r="E724">
        <v>85.3</v>
      </c>
      <c r="F724">
        <v>81.599999999999994</v>
      </c>
      <c r="G724">
        <v>0</v>
      </c>
      <c r="H724">
        <v>0</v>
      </c>
      <c r="I724">
        <v>0</v>
      </c>
      <c r="J724">
        <v>0</v>
      </c>
      <c r="K724">
        <v>64.900000000000006</v>
      </c>
      <c r="L724">
        <v>63.2</v>
      </c>
      <c r="M724">
        <v>82.62</v>
      </c>
      <c r="N724">
        <v>13</v>
      </c>
      <c r="O724">
        <v>3</v>
      </c>
      <c r="P724">
        <f>MOD(DAY(datos_siembra[[#This Row],[Date]]),7)</f>
        <v>6</v>
      </c>
      <c r="Q724" t="str">
        <f>CHOOSE(WEEKDAY(datos_siembra[[#This Row],[Date]],2),"L","M","X","J","V","S","D")</f>
        <v>V</v>
      </c>
      <c r="R724">
        <f>WEEKNUM(datos_siembra[[#This Row],[Date]],2)-WEEKNUM(DATE(YEAR(datos_siembra[[#This Row],[Date]]),MONTH(datos_siembra[[#This Row],[Date]]),1))+1</f>
        <v>2</v>
      </c>
      <c r="S724">
        <f>MONTH(datos_siembra[[#This Row],[Date]])</f>
        <v>9</v>
      </c>
      <c r="T724" t="str" cm="1">
        <f t="array" ref="T724">_xlfn.IFS(AND(N724&lt;= 22, S724=9), "SOWING",AND(N724&lt;= 28, S724=9), "COVERAGE",AND(N724&lt;= 30, S724=9), "FLUSH",AND(N724&lt;= 11, S724=10), "FLUSH",AND(N724&lt;= 21, S724=10), "PRODUCTION")</f>
        <v>SOWING</v>
      </c>
      <c r="U724">
        <f>HOUR(datos_siembra[[#This Row],[Hour]])</f>
        <v>12</v>
      </c>
      <c r="V724" cm="1">
        <f t="array" ref="V724">_xlfn.IFS(AND(N724&lt;= 22, S724=9), N724-7,AND(N724&lt;= 28, S724=9), N724-25,AND(N724&lt;= 30, S724=9), N724-28,AND(N724&lt;= 11, S724=10), N724+2,AND(N724&lt;= 21, S724=10), N724-11)</f>
        <v>6</v>
      </c>
    </row>
    <row r="725" spans="1:22" x14ac:dyDescent="0.35">
      <c r="A725" s="4">
        <v>45548</v>
      </c>
      <c r="B725" s="5">
        <v>0.52060185185185182</v>
      </c>
      <c r="C725">
        <v>83.5</v>
      </c>
      <c r="D725">
        <v>80.099999999999994</v>
      </c>
      <c r="E725">
        <v>85.4</v>
      </c>
      <c r="F725">
        <v>81.7</v>
      </c>
      <c r="G725">
        <v>0</v>
      </c>
      <c r="H725">
        <v>0</v>
      </c>
      <c r="I725">
        <v>0</v>
      </c>
      <c r="J725">
        <v>0</v>
      </c>
      <c r="K725">
        <v>64.900000000000006</v>
      </c>
      <c r="L725">
        <v>63.2</v>
      </c>
      <c r="M725">
        <v>82.71</v>
      </c>
      <c r="N725">
        <v>13</v>
      </c>
      <c r="O725">
        <v>3</v>
      </c>
      <c r="P725">
        <f>MOD(DAY(datos_siembra[[#This Row],[Date]]),7)</f>
        <v>6</v>
      </c>
      <c r="Q725" t="str">
        <f>CHOOSE(WEEKDAY(datos_siembra[[#This Row],[Date]],2),"L","M","X","J","V","S","D")</f>
        <v>V</v>
      </c>
      <c r="R725">
        <f>WEEKNUM(datos_siembra[[#This Row],[Date]],2)-WEEKNUM(DATE(YEAR(datos_siembra[[#This Row],[Date]]),MONTH(datos_siembra[[#This Row],[Date]]),1))+1</f>
        <v>2</v>
      </c>
      <c r="S725">
        <f>MONTH(datos_siembra[[#This Row],[Date]])</f>
        <v>9</v>
      </c>
      <c r="T725" t="str" cm="1">
        <f t="array" ref="T725">_xlfn.IFS(AND(N725&lt;= 22, S725=9), "SOWING",AND(N725&lt;= 28, S725=9), "COVERAGE",AND(N725&lt;= 30, S725=9), "FLUSH",AND(N725&lt;= 11, S725=10), "FLUSH",AND(N725&lt;= 21, S725=10), "PRODUCTION")</f>
        <v>SOWING</v>
      </c>
      <c r="U725">
        <f>HOUR(datos_siembra[[#This Row],[Hour]])</f>
        <v>12</v>
      </c>
      <c r="V725" cm="1">
        <f t="array" ref="V725">_xlfn.IFS(AND(N725&lt;= 22, S725=9), N725-7,AND(N725&lt;= 28, S725=9), N725-25,AND(N725&lt;= 30, S725=9), N725-28,AND(N725&lt;= 11, S725=10), N725+2,AND(N725&lt;= 21, S725=10), N725-11)</f>
        <v>6</v>
      </c>
    </row>
    <row r="726" spans="1:22" x14ac:dyDescent="0.35">
      <c r="A726" s="4">
        <v>45548</v>
      </c>
      <c r="B726" s="5">
        <v>0.52754629629629635</v>
      </c>
      <c r="C726">
        <v>83.6</v>
      </c>
      <c r="D726">
        <v>80.400000000000006</v>
      </c>
      <c r="E726">
        <v>85.4</v>
      </c>
      <c r="F726">
        <v>81.7</v>
      </c>
      <c r="G726">
        <v>0</v>
      </c>
      <c r="H726">
        <v>0</v>
      </c>
      <c r="I726">
        <v>0</v>
      </c>
      <c r="J726">
        <v>0</v>
      </c>
      <c r="K726">
        <v>65.099999999999994</v>
      </c>
      <c r="L726">
        <v>63.4</v>
      </c>
      <c r="M726">
        <v>82.68</v>
      </c>
      <c r="N726">
        <v>13</v>
      </c>
      <c r="O726">
        <v>3</v>
      </c>
      <c r="P726">
        <f>MOD(DAY(datos_siembra[[#This Row],[Date]]),7)</f>
        <v>6</v>
      </c>
      <c r="Q726" t="str">
        <f>CHOOSE(WEEKDAY(datos_siembra[[#This Row],[Date]],2),"L","M","X","J","V","S","D")</f>
        <v>V</v>
      </c>
      <c r="R726">
        <f>WEEKNUM(datos_siembra[[#This Row],[Date]],2)-WEEKNUM(DATE(YEAR(datos_siembra[[#This Row],[Date]]),MONTH(datos_siembra[[#This Row],[Date]]),1))+1</f>
        <v>2</v>
      </c>
      <c r="S726">
        <f>MONTH(datos_siembra[[#This Row],[Date]])</f>
        <v>9</v>
      </c>
      <c r="T726" t="str" cm="1">
        <f t="array" ref="T726">_xlfn.IFS(AND(N726&lt;= 22, S726=9), "SOWING",AND(N726&lt;= 28, S726=9), "COVERAGE",AND(N726&lt;= 30, S726=9), "FLUSH",AND(N726&lt;= 11, S726=10), "FLUSH",AND(N726&lt;= 21, S726=10), "PRODUCTION")</f>
        <v>SOWING</v>
      </c>
      <c r="U726">
        <f>HOUR(datos_siembra[[#This Row],[Hour]])</f>
        <v>12</v>
      </c>
      <c r="V726" cm="1">
        <f t="array" ref="V726">_xlfn.IFS(AND(N726&lt;= 22, S726=9), N726-7,AND(N726&lt;= 28, S726=9), N726-25,AND(N726&lt;= 30, S726=9), N726-28,AND(N726&lt;= 11, S726=10), N726+2,AND(N726&lt;= 21, S726=10), N726-11)</f>
        <v>6</v>
      </c>
    </row>
    <row r="727" spans="1:22" x14ac:dyDescent="0.35">
      <c r="A727" s="4">
        <v>45548</v>
      </c>
      <c r="B727" s="5">
        <v>0.53449074074074077</v>
      </c>
      <c r="C727">
        <v>83.4</v>
      </c>
      <c r="D727">
        <v>80.3</v>
      </c>
      <c r="E727">
        <v>85.4</v>
      </c>
      <c r="F727">
        <v>81.7</v>
      </c>
      <c r="G727">
        <v>0</v>
      </c>
      <c r="H727">
        <v>0</v>
      </c>
      <c r="I727">
        <v>0</v>
      </c>
      <c r="J727">
        <v>0</v>
      </c>
      <c r="K727">
        <v>65.2</v>
      </c>
      <c r="L727">
        <v>63.5</v>
      </c>
      <c r="M727">
        <v>82.74</v>
      </c>
      <c r="N727">
        <v>13</v>
      </c>
      <c r="O727">
        <v>3</v>
      </c>
      <c r="P727">
        <f>MOD(DAY(datos_siembra[[#This Row],[Date]]),7)</f>
        <v>6</v>
      </c>
      <c r="Q727" t="str">
        <f>CHOOSE(WEEKDAY(datos_siembra[[#This Row],[Date]],2),"L","M","X","J","V","S","D")</f>
        <v>V</v>
      </c>
      <c r="R727">
        <f>WEEKNUM(datos_siembra[[#This Row],[Date]],2)-WEEKNUM(DATE(YEAR(datos_siembra[[#This Row],[Date]]),MONTH(datos_siembra[[#This Row],[Date]]),1))+1</f>
        <v>2</v>
      </c>
      <c r="S727">
        <f>MONTH(datos_siembra[[#This Row],[Date]])</f>
        <v>9</v>
      </c>
      <c r="T727" t="str" cm="1">
        <f t="array" ref="T727">_xlfn.IFS(AND(N727&lt;= 22, S727=9), "SOWING",AND(N727&lt;= 28, S727=9), "COVERAGE",AND(N727&lt;= 30, S727=9), "FLUSH",AND(N727&lt;= 11, S727=10), "FLUSH",AND(N727&lt;= 21, S727=10), "PRODUCTION")</f>
        <v>SOWING</v>
      </c>
      <c r="U727">
        <f>HOUR(datos_siembra[[#This Row],[Hour]])</f>
        <v>12</v>
      </c>
      <c r="V727" cm="1">
        <f t="array" ref="V727">_xlfn.IFS(AND(N727&lt;= 22, S727=9), N727-7,AND(N727&lt;= 28, S727=9), N727-25,AND(N727&lt;= 30, S727=9), N727-28,AND(N727&lt;= 11, S727=10), N727+2,AND(N727&lt;= 21, S727=10), N727-11)</f>
        <v>6</v>
      </c>
    </row>
    <row r="728" spans="1:22" x14ac:dyDescent="0.35">
      <c r="A728" s="4">
        <v>45548</v>
      </c>
      <c r="B728" s="5">
        <v>0.54144675925925922</v>
      </c>
      <c r="C728">
        <v>83.5</v>
      </c>
      <c r="D728">
        <v>80.400000000000006</v>
      </c>
      <c r="E728">
        <v>85.4</v>
      </c>
      <c r="F728">
        <v>81.8</v>
      </c>
      <c r="G728">
        <v>0</v>
      </c>
      <c r="H728">
        <v>0</v>
      </c>
      <c r="I728">
        <v>0</v>
      </c>
      <c r="J728">
        <v>0</v>
      </c>
      <c r="K728">
        <v>65</v>
      </c>
      <c r="L728">
        <v>63.3</v>
      </c>
      <c r="M728">
        <v>82.65</v>
      </c>
      <c r="N728">
        <v>13</v>
      </c>
      <c r="O728">
        <v>3</v>
      </c>
      <c r="P728">
        <f>MOD(DAY(datos_siembra[[#This Row],[Date]]),7)</f>
        <v>6</v>
      </c>
      <c r="Q728" t="str">
        <f>CHOOSE(WEEKDAY(datos_siembra[[#This Row],[Date]],2),"L","M","X","J","V","S","D")</f>
        <v>V</v>
      </c>
      <c r="R728">
        <f>WEEKNUM(datos_siembra[[#This Row],[Date]],2)-WEEKNUM(DATE(YEAR(datos_siembra[[#This Row],[Date]]),MONTH(datos_siembra[[#This Row],[Date]]),1))+1</f>
        <v>2</v>
      </c>
      <c r="S728">
        <f>MONTH(datos_siembra[[#This Row],[Date]])</f>
        <v>9</v>
      </c>
      <c r="T728" t="str" cm="1">
        <f t="array" ref="T728">_xlfn.IFS(AND(N728&lt;= 22, S728=9), "SOWING",AND(N728&lt;= 28, S728=9), "COVERAGE",AND(N728&lt;= 30, S728=9), "FLUSH",AND(N728&lt;= 11, S728=10), "FLUSH",AND(N728&lt;= 21, S728=10), "PRODUCTION")</f>
        <v>SOWING</v>
      </c>
      <c r="U728">
        <f>HOUR(datos_siembra[[#This Row],[Hour]])</f>
        <v>12</v>
      </c>
      <c r="V728" cm="1">
        <f t="array" ref="V728">_xlfn.IFS(AND(N728&lt;= 22, S728=9), N728-7,AND(N728&lt;= 28, S728=9), N728-25,AND(N728&lt;= 30, S728=9), N728-28,AND(N728&lt;= 11, S728=10), N728+2,AND(N728&lt;= 21, S728=10), N728-11)</f>
        <v>6</v>
      </c>
    </row>
    <row r="729" spans="1:22" x14ac:dyDescent="0.35">
      <c r="A729" s="4">
        <v>45548</v>
      </c>
      <c r="B729" s="5">
        <v>0.54839120370370376</v>
      </c>
      <c r="C729">
        <v>83.5</v>
      </c>
      <c r="D729">
        <v>80.400000000000006</v>
      </c>
      <c r="E729">
        <v>85.3</v>
      </c>
      <c r="F729">
        <v>82</v>
      </c>
      <c r="G729">
        <v>0</v>
      </c>
      <c r="H729">
        <v>0</v>
      </c>
      <c r="I729">
        <v>0</v>
      </c>
      <c r="J729">
        <v>0</v>
      </c>
      <c r="K729">
        <v>65</v>
      </c>
      <c r="L729">
        <v>63.3</v>
      </c>
      <c r="M729">
        <v>82.77</v>
      </c>
      <c r="N729">
        <v>13</v>
      </c>
      <c r="O729">
        <v>3</v>
      </c>
      <c r="P729">
        <f>MOD(DAY(datos_siembra[[#This Row],[Date]]),7)</f>
        <v>6</v>
      </c>
      <c r="Q729" t="str">
        <f>CHOOSE(WEEKDAY(datos_siembra[[#This Row],[Date]],2),"L","M","X","J","V","S","D")</f>
        <v>V</v>
      </c>
      <c r="R729">
        <f>WEEKNUM(datos_siembra[[#This Row],[Date]],2)-WEEKNUM(DATE(YEAR(datos_siembra[[#This Row],[Date]]),MONTH(datos_siembra[[#This Row],[Date]]),1))+1</f>
        <v>2</v>
      </c>
      <c r="S729">
        <f>MONTH(datos_siembra[[#This Row],[Date]])</f>
        <v>9</v>
      </c>
      <c r="T729" t="str" cm="1">
        <f t="array" ref="T729">_xlfn.IFS(AND(N729&lt;= 22, S729=9), "SOWING",AND(N729&lt;= 28, S729=9), "COVERAGE",AND(N729&lt;= 30, S729=9), "FLUSH",AND(N729&lt;= 11, S729=10), "FLUSH",AND(N729&lt;= 21, S729=10), "PRODUCTION")</f>
        <v>SOWING</v>
      </c>
      <c r="U729">
        <f>HOUR(datos_siembra[[#This Row],[Hour]])</f>
        <v>13</v>
      </c>
      <c r="V729" cm="1">
        <f t="array" ref="V729">_xlfn.IFS(AND(N729&lt;= 22, S729=9), N729-7,AND(N729&lt;= 28, S729=9), N729-25,AND(N729&lt;= 30, S729=9), N729-28,AND(N729&lt;= 11, S729=10), N729+2,AND(N729&lt;= 21, S729=10), N729-11)</f>
        <v>6</v>
      </c>
    </row>
    <row r="730" spans="1:22" x14ac:dyDescent="0.35">
      <c r="A730" s="4">
        <v>45548</v>
      </c>
      <c r="B730" s="5">
        <v>0.55533564814814818</v>
      </c>
      <c r="C730">
        <v>83.5</v>
      </c>
      <c r="D730">
        <v>80.3</v>
      </c>
      <c r="E730">
        <v>85.3</v>
      </c>
      <c r="F730">
        <v>81.8</v>
      </c>
      <c r="G730">
        <v>0</v>
      </c>
      <c r="H730">
        <v>0</v>
      </c>
      <c r="I730">
        <v>0</v>
      </c>
      <c r="J730">
        <v>0</v>
      </c>
      <c r="K730">
        <v>64.7</v>
      </c>
      <c r="L730">
        <v>63</v>
      </c>
      <c r="M730">
        <v>82.82</v>
      </c>
      <c r="N730">
        <v>13</v>
      </c>
      <c r="O730">
        <v>3</v>
      </c>
      <c r="P730">
        <f>MOD(DAY(datos_siembra[[#This Row],[Date]]),7)</f>
        <v>6</v>
      </c>
      <c r="Q730" t="str">
        <f>CHOOSE(WEEKDAY(datos_siembra[[#This Row],[Date]],2),"L","M","X","J","V","S","D")</f>
        <v>V</v>
      </c>
      <c r="R730">
        <f>WEEKNUM(datos_siembra[[#This Row],[Date]],2)-WEEKNUM(DATE(YEAR(datos_siembra[[#This Row],[Date]]),MONTH(datos_siembra[[#This Row],[Date]]),1))+1</f>
        <v>2</v>
      </c>
      <c r="S730">
        <f>MONTH(datos_siembra[[#This Row],[Date]])</f>
        <v>9</v>
      </c>
      <c r="T730" t="str" cm="1">
        <f t="array" ref="T730">_xlfn.IFS(AND(N730&lt;= 22, S730=9), "SOWING",AND(N730&lt;= 28, S730=9), "COVERAGE",AND(N730&lt;= 30, S730=9), "FLUSH",AND(N730&lt;= 11, S730=10), "FLUSH",AND(N730&lt;= 21, S730=10), "PRODUCTION")</f>
        <v>SOWING</v>
      </c>
      <c r="U730">
        <f>HOUR(datos_siembra[[#This Row],[Hour]])</f>
        <v>13</v>
      </c>
      <c r="V730" cm="1">
        <f t="array" ref="V730">_xlfn.IFS(AND(N730&lt;= 22, S730=9), N730-7,AND(N730&lt;= 28, S730=9), N730-25,AND(N730&lt;= 30, S730=9), N730-28,AND(N730&lt;= 11, S730=10), N730+2,AND(N730&lt;= 21, S730=10), N730-11)</f>
        <v>6</v>
      </c>
    </row>
    <row r="731" spans="1:22" x14ac:dyDescent="0.35">
      <c r="A731" s="4">
        <v>45548</v>
      </c>
      <c r="B731" s="5">
        <v>0.56229166666666663</v>
      </c>
      <c r="C731">
        <v>83.6</v>
      </c>
      <c r="D731">
        <v>80.3</v>
      </c>
      <c r="E731">
        <v>85.3</v>
      </c>
      <c r="F731">
        <v>81.8</v>
      </c>
      <c r="G731">
        <v>0</v>
      </c>
      <c r="H731">
        <v>0</v>
      </c>
      <c r="I731">
        <v>0</v>
      </c>
      <c r="J731">
        <v>0</v>
      </c>
      <c r="K731">
        <v>64.7</v>
      </c>
      <c r="L731">
        <v>62.9</v>
      </c>
      <c r="M731">
        <v>82.79</v>
      </c>
      <c r="N731">
        <v>13</v>
      </c>
      <c r="O731">
        <v>3</v>
      </c>
      <c r="P731">
        <f>MOD(DAY(datos_siembra[[#This Row],[Date]]),7)</f>
        <v>6</v>
      </c>
      <c r="Q731" t="str">
        <f>CHOOSE(WEEKDAY(datos_siembra[[#This Row],[Date]],2),"L","M","X","J","V","S","D")</f>
        <v>V</v>
      </c>
      <c r="R731">
        <f>WEEKNUM(datos_siembra[[#This Row],[Date]],2)-WEEKNUM(DATE(YEAR(datos_siembra[[#This Row],[Date]]),MONTH(datos_siembra[[#This Row],[Date]]),1))+1</f>
        <v>2</v>
      </c>
      <c r="S731">
        <f>MONTH(datos_siembra[[#This Row],[Date]])</f>
        <v>9</v>
      </c>
      <c r="T731" t="str" cm="1">
        <f t="array" ref="T731">_xlfn.IFS(AND(N731&lt;= 22, S731=9), "SOWING",AND(N731&lt;= 28, S731=9), "COVERAGE",AND(N731&lt;= 30, S731=9), "FLUSH",AND(N731&lt;= 11, S731=10), "FLUSH",AND(N731&lt;= 21, S731=10), "PRODUCTION")</f>
        <v>SOWING</v>
      </c>
      <c r="U731">
        <f>HOUR(datos_siembra[[#This Row],[Hour]])</f>
        <v>13</v>
      </c>
      <c r="V731" cm="1">
        <f t="array" ref="V731">_xlfn.IFS(AND(N731&lt;= 22, S731=9), N731-7,AND(N731&lt;= 28, S731=9), N731-25,AND(N731&lt;= 30, S731=9), N731-28,AND(N731&lt;= 11, S731=10), N731+2,AND(N731&lt;= 21, S731=10), N731-11)</f>
        <v>6</v>
      </c>
    </row>
    <row r="732" spans="1:22" x14ac:dyDescent="0.35">
      <c r="A732" s="4">
        <v>45548</v>
      </c>
      <c r="B732" s="5">
        <v>0.56923611111111116</v>
      </c>
      <c r="C732">
        <v>83.5</v>
      </c>
      <c r="D732">
        <v>80.3</v>
      </c>
      <c r="E732">
        <v>85.4</v>
      </c>
      <c r="F732">
        <v>82</v>
      </c>
      <c r="G732">
        <v>0</v>
      </c>
      <c r="H732">
        <v>0</v>
      </c>
      <c r="I732">
        <v>0</v>
      </c>
      <c r="J732">
        <v>0</v>
      </c>
      <c r="K732">
        <v>64.5</v>
      </c>
      <c r="L732">
        <v>62.8</v>
      </c>
      <c r="M732">
        <v>82.74</v>
      </c>
      <c r="N732">
        <v>13</v>
      </c>
      <c r="O732">
        <v>3</v>
      </c>
      <c r="P732">
        <f>MOD(DAY(datos_siembra[[#This Row],[Date]]),7)</f>
        <v>6</v>
      </c>
      <c r="Q732" t="str">
        <f>CHOOSE(WEEKDAY(datos_siembra[[#This Row],[Date]],2),"L","M","X","J","V","S","D")</f>
        <v>V</v>
      </c>
      <c r="R732">
        <f>WEEKNUM(datos_siembra[[#This Row],[Date]],2)-WEEKNUM(DATE(YEAR(datos_siembra[[#This Row],[Date]]),MONTH(datos_siembra[[#This Row],[Date]]),1))+1</f>
        <v>2</v>
      </c>
      <c r="S732">
        <f>MONTH(datos_siembra[[#This Row],[Date]])</f>
        <v>9</v>
      </c>
      <c r="T732" t="str" cm="1">
        <f t="array" ref="T732">_xlfn.IFS(AND(N732&lt;= 22, S732=9), "SOWING",AND(N732&lt;= 28, S732=9), "COVERAGE",AND(N732&lt;= 30, S732=9), "FLUSH",AND(N732&lt;= 11, S732=10), "FLUSH",AND(N732&lt;= 21, S732=10), "PRODUCTION")</f>
        <v>SOWING</v>
      </c>
      <c r="U732">
        <f>HOUR(datos_siembra[[#This Row],[Hour]])</f>
        <v>13</v>
      </c>
      <c r="V732" cm="1">
        <f t="array" ref="V732">_xlfn.IFS(AND(N732&lt;= 22, S732=9), N732-7,AND(N732&lt;= 28, S732=9), N732-25,AND(N732&lt;= 30, S732=9), N732-28,AND(N732&lt;= 11, S732=10), N732+2,AND(N732&lt;= 21, S732=10), N732-11)</f>
        <v>6</v>
      </c>
    </row>
    <row r="733" spans="1:22" x14ac:dyDescent="0.35">
      <c r="A733" s="4">
        <v>45548</v>
      </c>
      <c r="B733" s="5">
        <v>0.57618055555555558</v>
      </c>
      <c r="C733">
        <v>83.6</v>
      </c>
      <c r="D733">
        <v>80.3</v>
      </c>
      <c r="E733">
        <v>85.4</v>
      </c>
      <c r="F733">
        <v>82</v>
      </c>
      <c r="G733">
        <v>0</v>
      </c>
      <c r="H733">
        <v>0</v>
      </c>
      <c r="I733">
        <v>0</v>
      </c>
      <c r="J733">
        <v>0</v>
      </c>
      <c r="K733">
        <v>64.5</v>
      </c>
      <c r="L733">
        <v>62.7</v>
      </c>
      <c r="M733">
        <v>82.79</v>
      </c>
      <c r="N733">
        <v>13</v>
      </c>
      <c r="O733">
        <v>3</v>
      </c>
      <c r="P733">
        <f>MOD(DAY(datos_siembra[[#This Row],[Date]]),7)</f>
        <v>6</v>
      </c>
      <c r="Q733" t="str">
        <f>CHOOSE(WEEKDAY(datos_siembra[[#This Row],[Date]],2),"L","M","X","J","V","S","D")</f>
        <v>V</v>
      </c>
      <c r="R733">
        <f>WEEKNUM(datos_siembra[[#This Row],[Date]],2)-WEEKNUM(DATE(YEAR(datos_siembra[[#This Row],[Date]]),MONTH(datos_siembra[[#This Row],[Date]]),1))+1</f>
        <v>2</v>
      </c>
      <c r="S733">
        <f>MONTH(datos_siembra[[#This Row],[Date]])</f>
        <v>9</v>
      </c>
      <c r="T733" t="str" cm="1">
        <f t="array" ref="T733">_xlfn.IFS(AND(N733&lt;= 22, S733=9), "SOWING",AND(N733&lt;= 28, S733=9), "COVERAGE",AND(N733&lt;= 30, S733=9), "FLUSH",AND(N733&lt;= 11, S733=10), "FLUSH",AND(N733&lt;= 21, S733=10), "PRODUCTION")</f>
        <v>SOWING</v>
      </c>
      <c r="U733">
        <f>HOUR(datos_siembra[[#This Row],[Hour]])</f>
        <v>13</v>
      </c>
      <c r="V733" cm="1">
        <f t="array" ref="V733">_xlfn.IFS(AND(N733&lt;= 22, S733=9), N733-7,AND(N733&lt;= 28, S733=9), N733-25,AND(N733&lt;= 30, S733=9), N733-28,AND(N733&lt;= 11, S733=10), N733+2,AND(N733&lt;= 21, S733=10), N733-11)</f>
        <v>6</v>
      </c>
    </row>
    <row r="734" spans="1:22" x14ac:dyDescent="0.35">
      <c r="A734" s="4">
        <v>45548</v>
      </c>
      <c r="B734" s="5">
        <v>0.583125</v>
      </c>
      <c r="C734">
        <v>83.5</v>
      </c>
      <c r="D734">
        <v>80.3</v>
      </c>
      <c r="E734">
        <v>85.4</v>
      </c>
      <c r="F734">
        <v>81.8</v>
      </c>
      <c r="G734">
        <v>0</v>
      </c>
      <c r="H734">
        <v>0</v>
      </c>
      <c r="I734">
        <v>0</v>
      </c>
      <c r="J734">
        <v>0</v>
      </c>
      <c r="K734">
        <v>64.400000000000006</v>
      </c>
      <c r="L734">
        <v>62.7</v>
      </c>
      <c r="M734">
        <v>82.82</v>
      </c>
      <c r="N734">
        <v>13</v>
      </c>
      <c r="O734">
        <v>3</v>
      </c>
      <c r="P734">
        <f>MOD(DAY(datos_siembra[[#This Row],[Date]]),7)</f>
        <v>6</v>
      </c>
      <c r="Q734" t="str">
        <f>CHOOSE(WEEKDAY(datos_siembra[[#This Row],[Date]],2),"L","M","X","J","V","S","D")</f>
        <v>V</v>
      </c>
      <c r="R734">
        <f>WEEKNUM(datos_siembra[[#This Row],[Date]],2)-WEEKNUM(DATE(YEAR(datos_siembra[[#This Row],[Date]]),MONTH(datos_siembra[[#This Row],[Date]]),1))+1</f>
        <v>2</v>
      </c>
      <c r="S734">
        <f>MONTH(datos_siembra[[#This Row],[Date]])</f>
        <v>9</v>
      </c>
      <c r="T734" t="str" cm="1">
        <f t="array" ref="T734">_xlfn.IFS(AND(N734&lt;= 22, S734=9), "SOWING",AND(N734&lt;= 28, S734=9), "COVERAGE",AND(N734&lt;= 30, S734=9), "FLUSH",AND(N734&lt;= 11, S734=10), "FLUSH",AND(N734&lt;= 21, S734=10), "PRODUCTION")</f>
        <v>SOWING</v>
      </c>
      <c r="U734">
        <f>HOUR(datos_siembra[[#This Row],[Hour]])</f>
        <v>13</v>
      </c>
      <c r="V734" cm="1">
        <f t="array" ref="V734">_xlfn.IFS(AND(N734&lt;= 22, S734=9), N734-7,AND(N734&lt;= 28, S734=9), N734-25,AND(N734&lt;= 30, S734=9), N734-28,AND(N734&lt;= 11, S734=10), N734+2,AND(N734&lt;= 21, S734=10), N734-11)</f>
        <v>6</v>
      </c>
    </row>
    <row r="735" spans="1:22" x14ac:dyDescent="0.35">
      <c r="A735" s="4">
        <v>45548</v>
      </c>
      <c r="B735" s="5">
        <v>0.59008101851851846</v>
      </c>
      <c r="C735">
        <v>83.5</v>
      </c>
      <c r="D735">
        <v>80.400000000000006</v>
      </c>
      <c r="E735">
        <v>85.3</v>
      </c>
      <c r="F735">
        <v>82</v>
      </c>
      <c r="G735">
        <v>0</v>
      </c>
      <c r="H735">
        <v>0</v>
      </c>
      <c r="I735">
        <v>0</v>
      </c>
      <c r="J735">
        <v>0</v>
      </c>
      <c r="K735">
        <v>64.400000000000006</v>
      </c>
      <c r="L735">
        <v>62.7</v>
      </c>
      <c r="M735">
        <v>82.85</v>
      </c>
      <c r="N735">
        <v>13</v>
      </c>
      <c r="O735">
        <v>3</v>
      </c>
      <c r="P735">
        <f>MOD(DAY(datos_siembra[[#This Row],[Date]]),7)</f>
        <v>6</v>
      </c>
      <c r="Q735" t="str">
        <f>CHOOSE(WEEKDAY(datos_siembra[[#This Row],[Date]],2),"L","M","X","J","V","S","D")</f>
        <v>V</v>
      </c>
      <c r="R735">
        <f>WEEKNUM(datos_siembra[[#This Row],[Date]],2)-WEEKNUM(DATE(YEAR(datos_siembra[[#This Row],[Date]]),MONTH(datos_siembra[[#This Row],[Date]]),1))+1</f>
        <v>2</v>
      </c>
      <c r="S735">
        <f>MONTH(datos_siembra[[#This Row],[Date]])</f>
        <v>9</v>
      </c>
      <c r="T735" t="str" cm="1">
        <f t="array" ref="T735">_xlfn.IFS(AND(N735&lt;= 22, S735=9), "SOWING",AND(N735&lt;= 28, S735=9), "COVERAGE",AND(N735&lt;= 30, S735=9), "FLUSH",AND(N735&lt;= 11, S735=10), "FLUSH",AND(N735&lt;= 21, S735=10), "PRODUCTION")</f>
        <v>SOWING</v>
      </c>
      <c r="U735">
        <f>HOUR(datos_siembra[[#This Row],[Hour]])</f>
        <v>14</v>
      </c>
      <c r="V735" cm="1">
        <f t="array" ref="V735">_xlfn.IFS(AND(N735&lt;= 22, S735=9), N735-7,AND(N735&lt;= 28, S735=9), N735-25,AND(N735&lt;= 30, S735=9), N735-28,AND(N735&lt;= 11, S735=10), N735+2,AND(N735&lt;= 21, S735=10), N735-11)</f>
        <v>6</v>
      </c>
    </row>
    <row r="736" spans="1:22" x14ac:dyDescent="0.35">
      <c r="A736" s="4">
        <v>45548</v>
      </c>
      <c r="B736" s="5">
        <v>0.59702546296296299</v>
      </c>
      <c r="C736">
        <v>83.5</v>
      </c>
      <c r="D736">
        <v>80.400000000000006</v>
      </c>
      <c r="E736">
        <v>85.4</v>
      </c>
      <c r="F736">
        <v>81.8</v>
      </c>
      <c r="G736">
        <v>0</v>
      </c>
      <c r="H736">
        <v>0</v>
      </c>
      <c r="I736">
        <v>0</v>
      </c>
      <c r="J736">
        <v>0</v>
      </c>
      <c r="K736">
        <v>64.400000000000006</v>
      </c>
      <c r="L736">
        <v>62.7</v>
      </c>
      <c r="M736">
        <v>82.79</v>
      </c>
      <c r="N736">
        <v>13</v>
      </c>
      <c r="O736">
        <v>3</v>
      </c>
      <c r="P736">
        <f>MOD(DAY(datos_siembra[[#This Row],[Date]]),7)</f>
        <v>6</v>
      </c>
      <c r="Q736" t="str">
        <f>CHOOSE(WEEKDAY(datos_siembra[[#This Row],[Date]],2),"L","M","X","J","V","S","D")</f>
        <v>V</v>
      </c>
      <c r="R736">
        <f>WEEKNUM(datos_siembra[[#This Row],[Date]],2)-WEEKNUM(DATE(YEAR(datos_siembra[[#This Row],[Date]]),MONTH(datos_siembra[[#This Row],[Date]]),1))+1</f>
        <v>2</v>
      </c>
      <c r="S736">
        <f>MONTH(datos_siembra[[#This Row],[Date]])</f>
        <v>9</v>
      </c>
      <c r="T736" t="str" cm="1">
        <f t="array" ref="T736">_xlfn.IFS(AND(N736&lt;= 22, S736=9), "SOWING",AND(N736&lt;= 28, S736=9), "COVERAGE",AND(N736&lt;= 30, S736=9), "FLUSH",AND(N736&lt;= 11, S736=10), "FLUSH",AND(N736&lt;= 21, S736=10), "PRODUCTION")</f>
        <v>SOWING</v>
      </c>
      <c r="U736">
        <f>HOUR(datos_siembra[[#This Row],[Hour]])</f>
        <v>14</v>
      </c>
      <c r="V736" cm="1">
        <f t="array" ref="V736">_xlfn.IFS(AND(N736&lt;= 22, S736=9), N736-7,AND(N736&lt;= 28, S736=9), N736-25,AND(N736&lt;= 30, S736=9), N736-28,AND(N736&lt;= 11, S736=10), N736+2,AND(N736&lt;= 21, S736=10), N736-11)</f>
        <v>6</v>
      </c>
    </row>
    <row r="737" spans="1:22" x14ac:dyDescent="0.35">
      <c r="A737" s="4">
        <v>45548</v>
      </c>
      <c r="B737" s="5">
        <v>0.60396990740740741</v>
      </c>
      <c r="C737">
        <v>83.4</v>
      </c>
      <c r="D737">
        <v>80.400000000000006</v>
      </c>
      <c r="E737">
        <v>85.4</v>
      </c>
      <c r="F737">
        <v>82.1</v>
      </c>
      <c r="G737">
        <v>0</v>
      </c>
      <c r="H737">
        <v>0</v>
      </c>
      <c r="I737">
        <v>0</v>
      </c>
      <c r="J737">
        <v>0</v>
      </c>
      <c r="K737">
        <v>64.3</v>
      </c>
      <c r="L737">
        <v>62.6</v>
      </c>
      <c r="M737">
        <v>82.79</v>
      </c>
      <c r="N737">
        <v>13</v>
      </c>
      <c r="O737">
        <v>3</v>
      </c>
      <c r="P737">
        <f>MOD(DAY(datos_siembra[[#This Row],[Date]]),7)</f>
        <v>6</v>
      </c>
      <c r="Q737" t="str">
        <f>CHOOSE(WEEKDAY(datos_siembra[[#This Row],[Date]],2),"L","M","X","J","V","S","D")</f>
        <v>V</v>
      </c>
      <c r="R737">
        <f>WEEKNUM(datos_siembra[[#This Row],[Date]],2)-WEEKNUM(DATE(YEAR(datos_siembra[[#This Row],[Date]]),MONTH(datos_siembra[[#This Row],[Date]]),1))+1</f>
        <v>2</v>
      </c>
      <c r="S737">
        <f>MONTH(datos_siembra[[#This Row],[Date]])</f>
        <v>9</v>
      </c>
      <c r="T737" t="str" cm="1">
        <f t="array" ref="T737">_xlfn.IFS(AND(N737&lt;= 22, S737=9), "SOWING",AND(N737&lt;= 28, S737=9), "COVERAGE",AND(N737&lt;= 30, S737=9), "FLUSH",AND(N737&lt;= 11, S737=10), "FLUSH",AND(N737&lt;= 21, S737=10), "PRODUCTION")</f>
        <v>SOWING</v>
      </c>
      <c r="U737">
        <f>HOUR(datos_siembra[[#This Row],[Hour]])</f>
        <v>14</v>
      </c>
      <c r="V737" cm="1">
        <f t="array" ref="V737">_xlfn.IFS(AND(N737&lt;= 22, S737=9), N737-7,AND(N737&lt;= 28, S737=9), N737-25,AND(N737&lt;= 30, S737=9), N737-28,AND(N737&lt;= 11, S737=10), N737+2,AND(N737&lt;= 21, S737=10), N737-11)</f>
        <v>6</v>
      </c>
    </row>
    <row r="738" spans="1:22" x14ac:dyDescent="0.35">
      <c r="A738" s="4">
        <v>45548</v>
      </c>
      <c r="B738" s="5">
        <v>0.61092592592592587</v>
      </c>
      <c r="C738">
        <v>83.4</v>
      </c>
      <c r="D738">
        <v>80.400000000000006</v>
      </c>
      <c r="E738">
        <v>85.3</v>
      </c>
      <c r="F738">
        <v>82.1</v>
      </c>
      <c r="G738">
        <v>0</v>
      </c>
      <c r="H738">
        <v>0</v>
      </c>
      <c r="I738">
        <v>0</v>
      </c>
      <c r="J738">
        <v>0</v>
      </c>
      <c r="K738">
        <v>64.3</v>
      </c>
      <c r="L738">
        <v>62.6</v>
      </c>
      <c r="M738">
        <v>82.82</v>
      </c>
      <c r="N738">
        <v>13</v>
      </c>
      <c r="O738">
        <v>3</v>
      </c>
      <c r="P738">
        <f>MOD(DAY(datos_siembra[[#This Row],[Date]]),7)</f>
        <v>6</v>
      </c>
      <c r="Q738" t="str">
        <f>CHOOSE(WEEKDAY(datos_siembra[[#This Row],[Date]],2),"L","M","X","J","V","S","D")</f>
        <v>V</v>
      </c>
      <c r="R738">
        <f>WEEKNUM(datos_siembra[[#This Row],[Date]],2)-WEEKNUM(DATE(YEAR(datos_siembra[[#This Row],[Date]]),MONTH(datos_siembra[[#This Row],[Date]]),1))+1</f>
        <v>2</v>
      </c>
      <c r="S738">
        <f>MONTH(datos_siembra[[#This Row],[Date]])</f>
        <v>9</v>
      </c>
      <c r="T738" t="str" cm="1">
        <f t="array" ref="T738">_xlfn.IFS(AND(N738&lt;= 22, S738=9), "SOWING",AND(N738&lt;= 28, S738=9), "COVERAGE",AND(N738&lt;= 30, S738=9), "FLUSH",AND(N738&lt;= 11, S738=10), "FLUSH",AND(N738&lt;= 21, S738=10), "PRODUCTION")</f>
        <v>SOWING</v>
      </c>
      <c r="U738">
        <f>HOUR(datos_siembra[[#This Row],[Hour]])</f>
        <v>14</v>
      </c>
      <c r="V738" cm="1">
        <f t="array" ref="V738">_xlfn.IFS(AND(N738&lt;= 22, S738=9), N738-7,AND(N738&lt;= 28, S738=9), N738-25,AND(N738&lt;= 30, S738=9), N738-28,AND(N738&lt;= 11, S738=10), N738+2,AND(N738&lt;= 21, S738=10), N738-11)</f>
        <v>6</v>
      </c>
    </row>
    <row r="739" spans="1:22" x14ac:dyDescent="0.35">
      <c r="A739" s="4">
        <v>45548</v>
      </c>
      <c r="B739" s="5">
        <v>0.6178703703703704</v>
      </c>
      <c r="C739">
        <v>83.5</v>
      </c>
      <c r="D739">
        <v>80.400000000000006</v>
      </c>
      <c r="E739">
        <v>85.4</v>
      </c>
      <c r="F739">
        <v>82</v>
      </c>
      <c r="G739">
        <v>0</v>
      </c>
      <c r="H739">
        <v>0</v>
      </c>
      <c r="I739">
        <v>0</v>
      </c>
      <c r="J739">
        <v>0</v>
      </c>
      <c r="K739">
        <v>64.3</v>
      </c>
      <c r="L739">
        <v>62.5</v>
      </c>
      <c r="M739">
        <v>82.79</v>
      </c>
      <c r="N739">
        <v>13</v>
      </c>
      <c r="O739">
        <v>3</v>
      </c>
      <c r="P739">
        <f>MOD(DAY(datos_siembra[[#This Row],[Date]]),7)</f>
        <v>6</v>
      </c>
      <c r="Q739" t="str">
        <f>CHOOSE(WEEKDAY(datos_siembra[[#This Row],[Date]],2),"L","M","X","J","V","S","D")</f>
        <v>V</v>
      </c>
      <c r="R739">
        <f>WEEKNUM(datos_siembra[[#This Row],[Date]],2)-WEEKNUM(DATE(YEAR(datos_siembra[[#This Row],[Date]]),MONTH(datos_siembra[[#This Row],[Date]]),1))+1</f>
        <v>2</v>
      </c>
      <c r="S739">
        <f>MONTH(datos_siembra[[#This Row],[Date]])</f>
        <v>9</v>
      </c>
      <c r="T739" t="str" cm="1">
        <f t="array" ref="T739">_xlfn.IFS(AND(N739&lt;= 22, S739=9), "SOWING",AND(N739&lt;= 28, S739=9), "COVERAGE",AND(N739&lt;= 30, S739=9), "FLUSH",AND(N739&lt;= 11, S739=10), "FLUSH",AND(N739&lt;= 21, S739=10), "PRODUCTION")</f>
        <v>SOWING</v>
      </c>
      <c r="U739">
        <f>HOUR(datos_siembra[[#This Row],[Hour]])</f>
        <v>14</v>
      </c>
      <c r="V739" cm="1">
        <f t="array" ref="V739">_xlfn.IFS(AND(N739&lt;= 22, S739=9), N739-7,AND(N739&lt;= 28, S739=9), N739-25,AND(N739&lt;= 30, S739=9), N739-28,AND(N739&lt;= 11, S739=10), N739+2,AND(N739&lt;= 21, S739=10), N739-11)</f>
        <v>6</v>
      </c>
    </row>
    <row r="740" spans="1:22" x14ac:dyDescent="0.35">
      <c r="A740" s="4">
        <v>45548</v>
      </c>
      <c r="B740" s="5">
        <v>0.62481481481481482</v>
      </c>
      <c r="C740">
        <v>83.4</v>
      </c>
      <c r="D740">
        <v>80.400000000000006</v>
      </c>
      <c r="E740">
        <v>85.3</v>
      </c>
      <c r="F740">
        <v>81.599999999999994</v>
      </c>
      <c r="G740">
        <v>0</v>
      </c>
      <c r="H740">
        <v>0</v>
      </c>
      <c r="I740">
        <v>0</v>
      </c>
      <c r="J740">
        <v>0</v>
      </c>
      <c r="K740">
        <v>64.2</v>
      </c>
      <c r="L740">
        <v>62.5</v>
      </c>
      <c r="M740">
        <v>82.77</v>
      </c>
      <c r="N740">
        <v>13</v>
      </c>
      <c r="O740">
        <v>3</v>
      </c>
      <c r="P740">
        <f>MOD(DAY(datos_siembra[[#This Row],[Date]]),7)</f>
        <v>6</v>
      </c>
      <c r="Q740" t="str">
        <f>CHOOSE(WEEKDAY(datos_siembra[[#This Row],[Date]],2),"L","M","X","J","V","S","D")</f>
        <v>V</v>
      </c>
      <c r="R740">
        <f>WEEKNUM(datos_siembra[[#This Row],[Date]],2)-WEEKNUM(DATE(YEAR(datos_siembra[[#This Row],[Date]]),MONTH(datos_siembra[[#This Row],[Date]]),1))+1</f>
        <v>2</v>
      </c>
      <c r="S740">
        <f>MONTH(datos_siembra[[#This Row],[Date]])</f>
        <v>9</v>
      </c>
      <c r="T740" t="str" cm="1">
        <f t="array" ref="T740">_xlfn.IFS(AND(N740&lt;= 22, S740=9), "SOWING",AND(N740&lt;= 28, S740=9), "COVERAGE",AND(N740&lt;= 30, S740=9), "FLUSH",AND(N740&lt;= 11, S740=10), "FLUSH",AND(N740&lt;= 21, S740=10), "PRODUCTION")</f>
        <v>SOWING</v>
      </c>
      <c r="U740">
        <f>HOUR(datos_siembra[[#This Row],[Hour]])</f>
        <v>14</v>
      </c>
      <c r="V740" cm="1">
        <f t="array" ref="V740">_xlfn.IFS(AND(N740&lt;= 22, S740=9), N740-7,AND(N740&lt;= 28, S740=9), N740-25,AND(N740&lt;= 30, S740=9), N740-28,AND(N740&lt;= 11, S740=10), N740+2,AND(N740&lt;= 21, S740=10), N740-11)</f>
        <v>6</v>
      </c>
    </row>
    <row r="741" spans="1:22" x14ac:dyDescent="0.35">
      <c r="A741" s="4">
        <v>45548</v>
      </c>
      <c r="B741" s="5">
        <v>0.63175925925925924</v>
      </c>
      <c r="C741">
        <v>83.5</v>
      </c>
      <c r="D741">
        <v>80.3</v>
      </c>
      <c r="E741">
        <v>85.3</v>
      </c>
      <c r="F741">
        <v>81.8</v>
      </c>
      <c r="G741">
        <v>0</v>
      </c>
      <c r="H741">
        <v>0</v>
      </c>
      <c r="I741">
        <v>0</v>
      </c>
      <c r="J741">
        <v>0</v>
      </c>
      <c r="K741">
        <v>64.099999999999994</v>
      </c>
      <c r="L741">
        <v>62.4</v>
      </c>
      <c r="M741">
        <v>82.77</v>
      </c>
      <c r="N741">
        <v>13</v>
      </c>
      <c r="O741">
        <v>3</v>
      </c>
      <c r="P741">
        <f>MOD(DAY(datos_siembra[[#This Row],[Date]]),7)</f>
        <v>6</v>
      </c>
      <c r="Q741" t="str">
        <f>CHOOSE(WEEKDAY(datos_siembra[[#This Row],[Date]],2),"L","M","X","J","V","S","D")</f>
        <v>V</v>
      </c>
      <c r="R741">
        <f>WEEKNUM(datos_siembra[[#This Row],[Date]],2)-WEEKNUM(DATE(YEAR(datos_siembra[[#This Row],[Date]]),MONTH(datos_siembra[[#This Row],[Date]]),1))+1</f>
        <v>2</v>
      </c>
      <c r="S741">
        <f>MONTH(datos_siembra[[#This Row],[Date]])</f>
        <v>9</v>
      </c>
      <c r="T741" t="str" cm="1">
        <f t="array" ref="T741">_xlfn.IFS(AND(N741&lt;= 22, S741=9), "SOWING",AND(N741&lt;= 28, S741=9), "COVERAGE",AND(N741&lt;= 30, S741=9), "FLUSH",AND(N741&lt;= 11, S741=10), "FLUSH",AND(N741&lt;= 21, S741=10), "PRODUCTION")</f>
        <v>SOWING</v>
      </c>
      <c r="U741">
        <f>HOUR(datos_siembra[[#This Row],[Hour]])</f>
        <v>15</v>
      </c>
      <c r="V741" cm="1">
        <f t="array" ref="V741">_xlfn.IFS(AND(N741&lt;= 22, S741=9), N741-7,AND(N741&lt;= 28, S741=9), N741-25,AND(N741&lt;= 30, S741=9), N741-28,AND(N741&lt;= 11, S741=10), N741+2,AND(N741&lt;= 21, S741=10), N741-11)</f>
        <v>6</v>
      </c>
    </row>
    <row r="742" spans="1:22" x14ac:dyDescent="0.35">
      <c r="A742" s="4">
        <v>45548</v>
      </c>
      <c r="B742" s="5">
        <v>0.63871527777777781</v>
      </c>
      <c r="C742">
        <v>83.4</v>
      </c>
      <c r="D742">
        <v>80.3</v>
      </c>
      <c r="E742">
        <v>85.4</v>
      </c>
      <c r="F742">
        <v>81.8</v>
      </c>
      <c r="G742">
        <v>0</v>
      </c>
      <c r="H742">
        <v>0</v>
      </c>
      <c r="I742">
        <v>0</v>
      </c>
      <c r="J742">
        <v>0</v>
      </c>
      <c r="K742">
        <v>63.7</v>
      </c>
      <c r="L742">
        <v>62</v>
      </c>
      <c r="M742">
        <v>82.79</v>
      </c>
      <c r="N742">
        <v>13</v>
      </c>
      <c r="O742">
        <v>3</v>
      </c>
      <c r="P742">
        <f>MOD(DAY(datos_siembra[[#This Row],[Date]]),7)</f>
        <v>6</v>
      </c>
      <c r="Q742" t="str">
        <f>CHOOSE(WEEKDAY(datos_siembra[[#This Row],[Date]],2),"L","M","X","J","V","S","D")</f>
        <v>V</v>
      </c>
      <c r="R742">
        <f>WEEKNUM(datos_siembra[[#This Row],[Date]],2)-WEEKNUM(DATE(YEAR(datos_siembra[[#This Row],[Date]]),MONTH(datos_siembra[[#This Row],[Date]]),1))+1</f>
        <v>2</v>
      </c>
      <c r="S742">
        <f>MONTH(datos_siembra[[#This Row],[Date]])</f>
        <v>9</v>
      </c>
      <c r="T742" t="str" cm="1">
        <f t="array" ref="T742">_xlfn.IFS(AND(N742&lt;= 22, S742=9), "SOWING",AND(N742&lt;= 28, S742=9), "COVERAGE",AND(N742&lt;= 30, S742=9), "FLUSH",AND(N742&lt;= 11, S742=10), "FLUSH",AND(N742&lt;= 21, S742=10), "PRODUCTION")</f>
        <v>SOWING</v>
      </c>
      <c r="U742">
        <f>HOUR(datos_siembra[[#This Row],[Hour]])</f>
        <v>15</v>
      </c>
      <c r="V742" cm="1">
        <f t="array" ref="V742">_xlfn.IFS(AND(N742&lt;= 22, S742=9), N742-7,AND(N742&lt;= 28, S742=9), N742-25,AND(N742&lt;= 30, S742=9), N742-28,AND(N742&lt;= 11, S742=10), N742+2,AND(N742&lt;= 21, S742=10), N742-11)</f>
        <v>6</v>
      </c>
    </row>
    <row r="743" spans="1:22" x14ac:dyDescent="0.35">
      <c r="A743" s="4">
        <v>45548</v>
      </c>
      <c r="B743" s="5">
        <v>0.64565972222222223</v>
      </c>
      <c r="C743">
        <v>83.5</v>
      </c>
      <c r="D743">
        <v>80.400000000000006</v>
      </c>
      <c r="E743">
        <v>85.3</v>
      </c>
      <c r="F743">
        <v>81.8</v>
      </c>
      <c r="G743">
        <v>0</v>
      </c>
      <c r="H743">
        <v>0</v>
      </c>
      <c r="I743">
        <v>0</v>
      </c>
      <c r="J743">
        <v>0</v>
      </c>
      <c r="K743">
        <v>63.6</v>
      </c>
      <c r="L743">
        <v>61.7</v>
      </c>
      <c r="M743">
        <v>82.79</v>
      </c>
      <c r="N743">
        <v>13</v>
      </c>
      <c r="O743">
        <v>3</v>
      </c>
      <c r="P743">
        <f>MOD(DAY(datos_siembra[[#This Row],[Date]]),7)</f>
        <v>6</v>
      </c>
      <c r="Q743" t="str">
        <f>CHOOSE(WEEKDAY(datos_siembra[[#This Row],[Date]],2),"L","M","X","J","V","S","D")</f>
        <v>V</v>
      </c>
      <c r="R743">
        <f>WEEKNUM(datos_siembra[[#This Row],[Date]],2)-WEEKNUM(DATE(YEAR(datos_siembra[[#This Row],[Date]]),MONTH(datos_siembra[[#This Row],[Date]]),1))+1</f>
        <v>2</v>
      </c>
      <c r="S743">
        <f>MONTH(datos_siembra[[#This Row],[Date]])</f>
        <v>9</v>
      </c>
      <c r="T743" t="str" cm="1">
        <f t="array" ref="T743">_xlfn.IFS(AND(N743&lt;= 22, S743=9), "SOWING",AND(N743&lt;= 28, S743=9), "COVERAGE",AND(N743&lt;= 30, S743=9), "FLUSH",AND(N743&lt;= 11, S743=10), "FLUSH",AND(N743&lt;= 21, S743=10), "PRODUCTION")</f>
        <v>SOWING</v>
      </c>
      <c r="U743">
        <f>HOUR(datos_siembra[[#This Row],[Hour]])</f>
        <v>15</v>
      </c>
      <c r="V743" cm="1">
        <f t="array" ref="V743">_xlfn.IFS(AND(N743&lt;= 22, S743=9), N743-7,AND(N743&lt;= 28, S743=9), N743-25,AND(N743&lt;= 30, S743=9), N743-28,AND(N743&lt;= 11, S743=10), N743+2,AND(N743&lt;= 21, S743=10), N743-11)</f>
        <v>6</v>
      </c>
    </row>
    <row r="744" spans="1:22" x14ac:dyDescent="0.35">
      <c r="A744" s="4">
        <v>45548</v>
      </c>
      <c r="B744" s="5">
        <v>0.65260416666666665</v>
      </c>
      <c r="C744">
        <v>83.4</v>
      </c>
      <c r="D744">
        <v>80.400000000000006</v>
      </c>
      <c r="E744">
        <v>85.3</v>
      </c>
      <c r="F744">
        <v>82.1</v>
      </c>
      <c r="G744">
        <v>0</v>
      </c>
      <c r="H744">
        <v>0</v>
      </c>
      <c r="I744">
        <v>0</v>
      </c>
      <c r="J744">
        <v>0</v>
      </c>
      <c r="K744">
        <v>63.4</v>
      </c>
      <c r="L744">
        <v>61.6</v>
      </c>
      <c r="M744">
        <v>82.85</v>
      </c>
      <c r="N744">
        <v>13</v>
      </c>
      <c r="O744">
        <v>3</v>
      </c>
      <c r="P744">
        <f>MOD(DAY(datos_siembra[[#This Row],[Date]]),7)</f>
        <v>6</v>
      </c>
      <c r="Q744" t="str">
        <f>CHOOSE(WEEKDAY(datos_siembra[[#This Row],[Date]],2),"L","M","X","J","V","S","D")</f>
        <v>V</v>
      </c>
      <c r="R744">
        <f>WEEKNUM(datos_siembra[[#This Row],[Date]],2)-WEEKNUM(DATE(YEAR(datos_siembra[[#This Row],[Date]]),MONTH(datos_siembra[[#This Row],[Date]]),1))+1</f>
        <v>2</v>
      </c>
      <c r="S744">
        <f>MONTH(datos_siembra[[#This Row],[Date]])</f>
        <v>9</v>
      </c>
      <c r="T744" t="str" cm="1">
        <f t="array" ref="T744">_xlfn.IFS(AND(N744&lt;= 22, S744=9), "SOWING",AND(N744&lt;= 28, S744=9), "COVERAGE",AND(N744&lt;= 30, S744=9), "FLUSH",AND(N744&lt;= 11, S744=10), "FLUSH",AND(N744&lt;= 21, S744=10), "PRODUCTION")</f>
        <v>SOWING</v>
      </c>
      <c r="U744">
        <f>HOUR(datos_siembra[[#This Row],[Hour]])</f>
        <v>15</v>
      </c>
      <c r="V744" cm="1">
        <f t="array" ref="V744">_xlfn.IFS(AND(N744&lt;= 22, S744=9), N744-7,AND(N744&lt;= 28, S744=9), N744-25,AND(N744&lt;= 30, S744=9), N744-28,AND(N744&lt;= 11, S744=10), N744+2,AND(N744&lt;= 21, S744=10), N744-11)</f>
        <v>6</v>
      </c>
    </row>
    <row r="745" spans="1:22" x14ac:dyDescent="0.35">
      <c r="A745" s="4">
        <v>45548</v>
      </c>
      <c r="B745" s="5">
        <v>0.65956018518518522</v>
      </c>
      <c r="C745">
        <v>83.4</v>
      </c>
      <c r="D745">
        <v>80.400000000000006</v>
      </c>
      <c r="E745">
        <v>85.3</v>
      </c>
      <c r="F745">
        <v>82.1</v>
      </c>
      <c r="G745">
        <v>0</v>
      </c>
      <c r="H745">
        <v>0</v>
      </c>
      <c r="I745">
        <v>0</v>
      </c>
      <c r="J745">
        <v>0</v>
      </c>
      <c r="K745">
        <v>63.3</v>
      </c>
      <c r="L745">
        <v>61.5</v>
      </c>
      <c r="M745">
        <v>82.74</v>
      </c>
      <c r="N745">
        <v>13</v>
      </c>
      <c r="O745">
        <v>3</v>
      </c>
      <c r="P745">
        <f>MOD(DAY(datos_siembra[[#This Row],[Date]]),7)</f>
        <v>6</v>
      </c>
      <c r="Q745" t="str">
        <f>CHOOSE(WEEKDAY(datos_siembra[[#This Row],[Date]],2),"L","M","X","J","V","S","D")</f>
        <v>V</v>
      </c>
      <c r="R745">
        <f>WEEKNUM(datos_siembra[[#This Row],[Date]],2)-WEEKNUM(DATE(YEAR(datos_siembra[[#This Row],[Date]]),MONTH(datos_siembra[[#This Row],[Date]]),1))+1</f>
        <v>2</v>
      </c>
      <c r="S745">
        <f>MONTH(datos_siembra[[#This Row],[Date]])</f>
        <v>9</v>
      </c>
      <c r="T745" t="str" cm="1">
        <f t="array" ref="T745">_xlfn.IFS(AND(N745&lt;= 22, S745=9), "SOWING",AND(N745&lt;= 28, S745=9), "COVERAGE",AND(N745&lt;= 30, S745=9), "FLUSH",AND(N745&lt;= 11, S745=10), "FLUSH",AND(N745&lt;= 21, S745=10), "PRODUCTION")</f>
        <v>SOWING</v>
      </c>
      <c r="U745">
        <f>HOUR(datos_siembra[[#This Row],[Hour]])</f>
        <v>15</v>
      </c>
      <c r="V745" cm="1">
        <f t="array" ref="V745">_xlfn.IFS(AND(N745&lt;= 22, S745=9), N745-7,AND(N745&lt;= 28, S745=9), N745-25,AND(N745&lt;= 30, S745=9), N745-28,AND(N745&lt;= 11, S745=10), N745+2,AND(N745&lt;= 21, S745=10), N745-11)</f>
        <v>6</v>
      </c>
    </row>
    <row r="746" spans="1:22" x14ac:dyDescent="0.35">
      <c r="A746" s="4">
        <v>45548</v>
      </c>
      <c r="B746" s="5">
        <v>0.66650462962962964</v>
      </c>
      <c r="C746">
        <v>83.4</v>
      </c>
      <c r="D746">
        <v>80.400000000000006</v>
      </c>
      <c r="E746">
        <v>85.3</v>
      </c>
      <c r="F746">
        <v>82</v>
      </c>
      <c r="G746">
        <v>0</v>
      </c>
      <c r="H746">
        <v>0</v>
      </c>
      <c r="I746">
        <v>0</v>
      </c>
      <c r="J746">
        <v>0</v>
      </c>
      <c r="K746">
        <v>63.2</v>
      </c>
      <c r="L746">
        <v>61.2</v>
      </c>
      <c r="M746">
        <v>82.74</v>
      </c>
      <c r="N746">
        <v>13</v>
      </c>
      <c r="O746">
        <v>3</v>
      </c>
      <c r="P746">
        <f>MOD(DAY(datos_siembra[[#This Row],[Date]]),7)</f>
        <v>6</v>
      </c>
      <c r="Q746" t="str">
        <f>CHOOSE(WEEKDAY(datos_siembra[[#This Row],[Date]],2),"L","M","X","J","V","S","D")</f>
        <v>V</v>
      </c>
      <c r="R746">
        <f>WEEKNUM(datos_siembra[[#This Row],[Date]],2)-WEEKNUM(DATE(YEAR(datos_siembra[[#This Row],[Date]]),MONTH(datos_siembra[[#This Row],[Date]]),1))+1</f>
        <v>2</v>
      </c>
      <c r="S746">
        <f>MONTH(datos_siembra[[#This Row],[Date]])</f>
        <v>9</v>
      </c>
      <c r="T746" t="str" cm="1">
        <f t="array" ref="T746">_xlfn.IFS(AND(N746&lt;= 22, S746=9), "SOWING",AND(N746&lt;= 28, S746=9), "COVERAGE",AND(N746&lt;= 30, S746=9), "FLUSH",AND(N746&lt;= 11, S746=10), "FLUSH",AND(N746&lt;= 21, S746=10), "PRODUCTION")</f>
        <v>SOWING</v>
      </c>
      <c r="U746">
        <f>HOUR(datos_siembra[[#This Row],[Hour]])</f>
        <v>15</v>
      </c>
      <c r="V746" cm="1">
        <f t="array" ref="V746">_xlfn.IFS(AND(N746&lt;= 22, S746=9), N746-7,AND(N746&lt;= 28, S746=9), N746-25,AND(N746&lt;= 30, S746=9), N746-28,AND(N746&lt;= 11, S746=10), N746+2,AND(N746&lt;= 21, S746=10), N746-11)</f>
        <v>6</v>
      </c>
    </row>
    <row r="747" spans="1:22" x14ac:dyDescent="0.35">
      <c r="A747" s="4">
        <v>45548</v>
      </c>
      <c r="B747" s="5">
        <v>0.67344907407407406</v>
      </c>
      <c r="C747">
        <v>83.5</v>
      </c>
      <c r="D747">
        <v>80.400000000000006</v>
      </c>
      <c r="E747">
        <v>85.3</v>
      </c>
      <c r="F747">
        <v>82.1</v>
      </c>
      <c r="G747">
        <v>0</v>
      </c>
      <c r="H747">
        <v>0</v>
      </c>
      <c r="I747">
        <v>0</v>
      </c>
      <c r="J747">
        <v>0</v>
      </c>
      <c r="K747">
        <v>62.9</v>
      </c>
      <c r="L747">
        <v>61.2</v>
      </c>
      <c r="M747">
        <v>82.71</v>
      </c>
      <c r="N747">
        <v>13</v>
      </c>
      <c r="O747">
        <v>3</v>
      </c>
      <c r="P747">
        <f>MOD(DAY(datos_siembra[[#This Row],[Date]]),7)</f>
        <v>6</v>
      </c>
      <c r="Q747" t="str">
        <f>CHOOSE(WEEKDAY(datos_siembra[[#This Row],[Date]],2),"L","M","X","J","V","S","D")</f>
        <v>V</v>
      </c>
      <c r="R747">
        <f>WEEKNUM(datos_siembra[[#This Row],[Date]],2)-WEEKNUM(DATE(YEAR(datos_siembra[[#This Row],[Date]]),MONTH(datos_siembra[[#This Row],[Date]]),1))+1</f>
        <v>2</v>
      </c>
      <c r="S747">
        <f>MONTH(datos_siembra[[#This Row],[Date]])</f>
        <v>9</v>
      </c>
      <c r="T747" t="str" cm="1">
        <f t="array" ref="T747">_xlfn.IFS(AND(N747&lt;= 22, S747=9), "SOWING",AND(N747&lt;= 28, S747=9), "COVERAGE",AND(N747&lt;= 30, S747=9), "FLUSH",AND(N747&lt;= 11, S747=10), "FLUSH",AND(N747&lt;= 21, S747=10), "PRODUCTION")</f>
        <v>SOWING</v>
      </c>
      <c r="U747">
        <f>HOUR(datos_siembra[[#This Row],[Hour]])</f>
        <v>16</v>
      </c>
      <c r="V747" cm="1">
        <f t="array" ref="V747">_xlfn.IFS(AND(N747&lt;= 22, S747=9), N747-7,AND(N747&lt;= 28, S747=9), N747-25,AND(N747&lt;= 30, S747=9), N747-28,AND(N747&lt;= 11, S747=10), N747+2,AND(N747&lt;= 21, S747=10), N747-11)</f>
        <v>6</v>
      </c>
    </row>
    <row r="748" spans="1:22" x14ac:dyDescent="0.35">
      <c r="A748" s="4">
        <v>45548</v>
      </c>
      <c r="B748" s="5">
        <v>0.68039351851851848</v>
      </c>
      <c r="C748">
        <v>83.3</v>
      </c>
      <c r="D748">
        <v>80.3</v>
      </c>
      <c r="E748">
        <v>85.2</v>
      </c>
      <c r="F748">
        <v>81.8</v>
      </c>
      <c r="G748">
        <v>0</v>
      </c>
      <c r="H748">
        <v>0</v>
      </c>
      <c r="I748">
        <v>0</v>
      </c>
      <c r="J748">
        <v>0</v>
      </c>
      <c r="K748">
        <v>63</v>
      </c>
      <c r="L748">
        <v>61.1</v>
      </c>
      <c r="M748">
        <v>82.77</v>
      </c>
      <c r="N748">
        <v>13</v>
      </c>
      <c r="O748">
        <v>3</v>
      </c>
      <c r="P748">
        <f>MOD(DAY(datos_siembra[[#This Row],[Date]]),7)</f>
        <v>6</v>
      </c>
      <c r="Q748" t="str">
        <f>CHOOSE(WEEKDAY(datos_siembra[[#This Row],[Date]],2),"L","M","X","J","V","S","D")</f>
        <v>V</v>
      </c>
      <c r="R748">
        <f>WEEKNUM(datos_siembra[[#This Row],[Date]],2)-WEEKNUM(DATE(YEAR(datos_siembra[[#This Row],[Date]]),MONTH(datos_siembra[[#This Row],[Date]]),1))+1</f>
        <v>2</v>
      </c>
      <c r="S748">
        <f>MONTH(datos_siembra[[#This Row],[Date]])</f>
        <v>9</v>
      </c>
      <c r="T748" t="str" cm="1">
        <f t="array" ref="T748">_xlfn.IFS(AND(N748&lt;= 22, S748=9), "SOWING",AND(N748&lt;= 28, S748=9), "COVERAGE",AND(N748&lt;= 30, S748=9), "FLUSH",AND(N748&lt;= 11, S748=10), "FLUSH",AND(N748&lt;= 21, S748=10), "PRODUCTION")</f>
        <v>SOWING</v>
      </c>
      <c r="U748">
        <f>HOUR(datos_siembra[[#This Row],[Hour]])</f>
        <v>16</v>
      </c>
      <c r="V748" cm="1">
        <f t="array" ref="V748">_xlfn.IFS(AND(N748&lt;= 22, S748=9), N748-7,AND(N748&lt;= 28, S748=9), N748-25,AND(N748&lt;= 30, S748=9), N748-28,AND(N748&lt;= 11, S748=10), N748+2,AND(N748&lt;= 21, S748=10), N748-11)</f>
        <v>6</v>
      </c>
    </row>
    <row r="749" spans="1:22" x14ac:dyDescent="0.35">
      <c r="A749" s="4">
        <v>45548</v>
      </c>
      <c r="B749" s="5">
        <v>0.68734953703703705</v>
      </c>
      <c r="C749">
        <v>83.4</v>
      </c>
      <c r="D749">
        <v>80.400000000000006</v>
      </c>
      <c r="E749">
        <v>85.2</v>
      </c>
      <c r="F749">
        <v>82</v>
      </c>
      <c r="G749">
        <v>0</v>
      </c>
      <c r="H749">
        <v>0</v>
      </c>
      <c r="I749">
        <v>0</v>
      </c>
      <c r="J749">
        <v>0</v>
      </c>
      <c r="K749">
        <v>62.9</v>
      </c>
      <c r="L749">
        <v>61</v>
      </c>
      <c r="M749">
        <v>82.74</v>
      </c>
      <c r="N749">
        <v>13</v>
      </c>
      <c r="O749">
        <v>3</v>
      </c>
      <c r="P749">
        <f>MOD(DAY(datos_siembra[[#This Row],[Date]]),7)</f>
        <v>6</v>
      </c>
      <c r="Q749" t="str">
        <f>CHOOSE(WEEKDAY(datos_siembra[[#This Row],[Date]],2),"L","M","X","J","V","S","D")</f>
        <v>V</v>
      </c>
      <c r="R749">
        <f>WEEKNUM(datos_siembra[[#This Row],[Date]],2)-WEEKNUM(DATE(YEAR(datos_siembra[[#This Row],[Date]]),MONTH(datos_siembra[[#This Row],[Date]]),1))+1</f>
        <v>2</v>
      </c>
      <c r="S749">
        <f>MONTH(datos_siembra[[#This Row],[Date]])</f>
        <v>9</v>
      </c>
      <c r="T749" t="str" cm="1">
        <f t="array" ref="T749">_xlfn.IFS(AND(N749&lt;= 22, S749=9), "SOWING",AND(N749&lt;= 28, S749=9), "COVERAGE",AND(N749&lt;= 30, S749=9), "FLUSH",AND(N749&lt;= 11, S749=10), "FLUSH",AND(N749&lt;= 21, S749=10), "PRODUCTION")</f>
        <v>SOWING</v>
      </c>
      <c r="U749">
        <f>HOUR(datos_siembra[[#This Row],[Hour]])</f>
        <v>16</v>
      </c>
      <c r="V749" cm="1">
        <f t="array" ref="V749">_xlfn.IFS(AND(N749&lt;= 22, S749=9), N749-7,AND(N749&lt;= 28, S749=9), N749-25,AND(N749&lt;= 30, S749=9), N749-28,AND(N749&lt;= 11, S749=10), N749+2,AND(N749&lt;= 21, S749=10), N749-11)</f>
        <v>6</v>
      </c>
    </row>
    <row r="750" spans="1:22" x14ac:dyDescent="0.35">
      <c r="A750" s="4">
        <v>45548</v>
      </c>
      <c r="B750" s="5">
        <v>0.69429398148148147</v>
      </c>
      <c r="C750">
        <v>83.5</v>
      </c>
      <c r="D750">
        <v>80.3</v>
      </c>
      <c r="E750">
        <v>85.2</v>
      </c>
      <c r="F750">
        <v>82.1</v>
      </c>
      <c r="G750">
        <v>0</v>
      </c>
      <c r="H750">
        <v>0</v>
      </c>
      <c r="I750">
        <v>0</v>
      </c>
      <c r="J750">
        <v>0</v>
      </c>
      <c r="K750">
        <v>62.9</v>
      </c>
      <c r="L750">
        <v>61</v>
      </c>
      <c r="M750">
        <v>82.65</v>
      </c>
      <c r="N750">
        <v>13</v>
      </c>
      <c r="O750">
        <v>3</v>
      </c>
      <c r="P750">
        <f>MOD(DAY(datos_siembra[[#This Row],[Date]]),7)</f>
        <v>6</v>
      </c>
      <c r="Q750" t="str">
        <f>CHOOSE(WEEKDAY(datos_siembra[[#This Row],[Date]],2),"L","M","X","J","V","S","D")</f>
        <v>V</v>
      </c>
      <c r="R750">
        <f>WEEKNUM(datos_siembra[[#This Row],[Date]],2)-WEEKNUM(DATE(YEAR(datos_siembra[[#This Row],[Date]]),MONTH(datos_siembra[[#This Row],[Date]]),1))+1</f>
        <v>2</v>
      </c>
      <c r="S750">
        <f>MONTH(datos_siembra[[#This Row],[Date]])</f>
        <v>9</v>
      </c>
      <c r="T750" t="str" cm="1">
        <f t="array" ref="T750">_xlfn.IFS(AND(N750&lt;= 22, S750=9), "SOWING",AND(N750&lt;= 28, S750=9), "COVERAGE",AND(N750&lt;= 30, S750=9), "FLUSH",AND(N750&lt;= 11, S750=10), "FLUSH",AND(N750&lt;= 21, S750=10), "PRODUCTION")</f>
        <v>SOWING</v>
      </c>
      <c r="U750">
        <f>HOUR(datos_siembra[[#This Row],[Hour]])</f>
        <v>16</v>
      </c>
      <c r="V750" cm="1">
        <f t="array" ref="V750">_xlfn.IFS(AND(N750&lt;= 22, S750=9), N750-7,AND(N750&lt;= 28, S750=9), N750-25,AND(N750&lt;= 30, S750=9), N750-28,AND(N750&lt;= 11, S750=10), N750+2,AND(N750&lt;= 21, S750=10), N750-11)</f>
        <v>6</v>
      </c>
    </row>
    <row r="751" spans="1:22" x14ac:dyDescent="0.35">
      <c r="A751" s="4">
        <v>45548</v>
      </c>
      <c r="B751" s="5">
        <v>0.70123842592592589</v>
      </c>
      <c r="C751">
        <v>83.3</v>
      </c>
      <c r="D751">
        <v>80.099999999999994</v>
      </c>
      <c r="E751">
        <v>85.3</v>
      </c>
      <c r="F751">
        <v>81.8</v>
      </c>
      <c r="G751">
        <v>0</v>
      </c>
      <c r="H751">
        <v>0</v>
      </c>
      <c r="I751">
        <v>0</v>
      </c>
      <c r="J751">
        <v>0</v>
      </c>
      <c r="K751">
        <v>62.7</v>
      </c>
      <c r="L751">
        <v>60.8</v>
      </c>
      <c r="M751">
        <v>82.74</v>
      </c>
      <c r="N751">
        <v>13</v>
      </c>
      <c r="O751">
        <v>3</v>
      </c>
      <c r="P751">
        <f>MOD(DAY(datos_siembra[[#This Row],[Date]]),7)</f>
        <v>6</v>
      </c>
      <c r="Q751" t="str">
        <f>CHOOSE(WEEKDAY(datos_siembra[[#This Row],[Date]],2),"L","M","X","J","V","S","D")</f>
        <v>V</v>
      </c>
      <c r="R751">
        <f>WEEKNUM(datos_siembra[[#This Row],[Date]],2)-WEEKNUM(DATE(YEAR(datos_siembra[[#This Row],[Date]]),MONTH(datos_siembra[[#This Row],[Date]]),1))+1</f>
        <v>2</v>
      </c>
      <c r="S751">
        <f>MONTH(datos_siembra[[#This Row],[Date]])</f>
        <v>9</v>
      </c>
      <c r="T751" t="str" cm="1">
        <f t="array" ref="T751">_xlfn.IFS(AND(N751&lt;= 22, S751=9), "SOWING",AND(N751&lt;= 28, S751=9), "COVERAGE",AND(N751&lt;= 30, S751=9), "FLUSH",AND(N751&lt;= 11, S751=10), "FLUSH",AND(N751&lt;= 21, S751=10), "PRODUCTION")</f>
        <v>SOWING</v>
      </c>
      <c r="U751">
        <f>HOUR(datos_siembra[[#This Row],[Hour]])</f>
        <v>16</v>
      </c>
      <c r="V751" cm="1">
        <f t="array" ref="V751">_xlfn.IFS(AND(N751&lt;= 22, S751=9), N751-7,AND(N751&lt;= 28, S751=9), N751-25,AND(N751&lt;= 30, S751=9), N751-28,AND(N751&lt;= 11, S751=10), N751+2,AND(N751&lt;= 21, S751=10), N751-11)</f>
        <v>6</v>
      </c>
    </row>
    <row r="752" spans="1:22" x14ac:dyDescent="0.35">
      <c r="A752" s="4">
        <v>45548</v>
      </c>
      <c r="B752" s="5">
        <v>0.70819444444444446</v>
      </c>
      <c r="C752">
        <v>83.4</v>
      </c>
      <c r="D752">
        <v>80.099999999999994</v>
      </c>
      <c r="E752">
        <v>85.3</v>
      </c>
      <c r="F752">
        <v>81.599999999999994</v>
      </c>
      <c r="G752">
        <v>0</v>
      </c>
      <c r="H752">
        <v>0</v>
      </c>
      <c r="I752">
        <v>0</v>
      </c>
      <c r="J752">
        <v>0</v>
      </c>
      <c r="K752">
        <v>62.7</v>
      </c>
      <c r="L752">
        <v>60.7</v>
      </c>
      <c r="M752">
        <v>82.68</v>
      </c>
      <c r="N752">
        <v>13</v>
      </c>
      <c r="O752">
        <v>3</v>
      </c>
      <c r="P752">
        <f>MOD(DAY(datos_siembra[[#This Row],[Date]]),7)</f>
        <v>6</v>
      </c>
      <c r="Q752" t="str">
        <f>CHOOSE(WEEKDAY(datos_siembra[[#This Row],[Date]],2),"L","M","X","J","V","S","D")</f>
        <v>V</v>
      </c>
      <c r="R752">
        <f>WEEKNUM(datos_siembra[[#This Row],[Date]],2)-WEEKNUM(DATE(YEAR(datos_siembra[[#This Row],[Date]]),MONTH(datos_siembra[[#This Row],[Date]]),1))+1</f>
        <v>2</v>
      </c>
      <c r="S752">
        <f>MONTH(datos_siembra[[#This Row],[Date]])</f>
        <v>9</v>
      </c>
      <c r="T752" t="str" cm="1">
        <f t="array" ref="T752">_xlfn.IFS(AND(N752&lt;= 22, S752=9), "SOWING",AND(N752&lt;= 28, S752=9), "COVERAGE",AND(N752&lt;= 30, S752=9), "FLUSH",AND(N752&lt;= 11, S752=10), "FLUSH",AND(N752&lt;= 21, S752=10), "PRODUCTION")</f>
        <v>SOWING</v>
      </c>
      <c r="U752">
        <f>HOUR(datos_siembra[[#This Row],[Hour]])</f>
        <v>16</v>
      </c>
      <c r="V752" cm="1">
        <f t="array" ref="V752">_xlfn.IFS(AND(N752&lt;= 22, S752=9), N752-7,AND(N752&lt;= 28, S752=9), N752-25,AND(N752&lt;= 30, S752=9), N752-28,AND(N752&lt;= 11, S752=10), N752+2,AND(N752&lt;= 21, S752=10), N752-11)</f>
        <v>6</v>
      </c>
    </row>
    <row r="753" spans="1:22" x14ac:dyDescent="0.35">
      <c r="A753" s="4">
        <v>45548</v>
      </c>
      <c r="B753" s="5">
        <v>0.71513888888888888</v>
      </c>
      <c r="C753">
        <v>83.3</v>
      </c>
      <c r="D753">
        <v>80.099999999999994</v>
      </c>
      <c r="E753">
        <v>85.2</v>
      </c>
      <c r="F753">
        <v>81.8</v>
      </c>
      <c r="G753">
        <v>0</v>
      </c>
      <c r="H753">
        <v>0</v>
      </c>
      <c r="I753">
        <v>0</v>
      </c>
      <c r="J753">
        <v>0</v>
      </c>
      <c r="K753">
        <v>62.6</v>
      </c>
      <c r="L753">
        <v>60.7</v>
      </c>
      <c r="M753">
        <v>82.65</v>
      </c>
      <c r="N753">
        <v>13</v>
      </c>
      <c r="O753">
        <v>3</v>
      </c>
      <c r="P753">
        <f>MOD(DAY(datos_siembra[[#This Row],[Date]]),7)</f>
        <v>6</v>
      </c>
      <c r="Q753" t="str">
        <f>CHOOSE(WEEKDAY(datos_siembra[[#This Row],[Date]],2),"L","M","X","J","V","S","D")</f>
        <v>V</v>
      </c>
      <c r="R753">
        <f>WEEKNUM(datos_siembra[[#This Row],[Date]],2)-WEEKNUM(DATE(YEAR(datos_siembra[[#This Row],[Date]]),MONTH(datos_siembra[[#This Row],[Date]]),1))+1</f>
        <v>2</v>
      </c>
      <c r="S753">
        <f>MONTH(datos_siembra[[#This Row],[Date]])</f>
        <v>9</v>
      </c>
      <c r="T753" t="str" cm="1">
        <f t="array" ref="T753">_xlfn.IFS(AND(N753&lt;= 22, S753=9), "SOWING",AND(N753&lt;= 28, S753=9), "COVERAGE",AND(N753&lt;= 30, S753=9), "FLUSH",AND(N753&lt;= 11, S753=10), "FLUSH",AND(N753&lt;= 21, S753=10), "PRODUCTION")</f>
        <v>SOWING</v>
      </c>
      <c r="U753">
        <f>HOUR(datos_siembra[[#This Row],[Hour]])</f>
        <v>17</v>
      </c>
      <c r="V753" cm="1">
        <f t="array" ref="V753">_xlfn.IFS(AND(N753&lt;= 22, S753=9), N753-7,AND(N753&lt;= 28, S753=9), N753-25,AND(N753&lt;= 30, S753=9), N753-28,AND(N753&lt;= 11, S753=10), N753+2,AND(N753&lt;= 21, S753=10), N753-11)</f>
        <v>6</v>
      </c>
    </row>
    <row r="754" spans="1:22" x14ac:dyDescent="0.35">
      <c r="A754" s="4">
        <v>45548</v>
      </c>
      <c r="B754" s="5">
        <v>0.7220833333333333</v>
      </c>
      <c r="C754">
        <v>83.4</v>
      </c>
      <c r="D754">
        <v>80.3</v>
      </c>
      <c r="E754">
        <v>85.2</v>
      </c>
      <c r="F754">
        <v>82.1</v>
      </c>
      <c r="G754">
        <v>0</v>
      </c>
      <c r="H754">
        <v>0</v>
      </c>
      <c r="I754">
        <v>0</v>
      </c>
      <c r="J754">
        <v>0</v>
      </c>
      <c r="K754">
        <v>62.5</v>
      </c>
      <c r="L754">
        <v>60.6</v>
      </c>
      <c r="M754">
        <v>82.65</v>
      </c>
      <c r="N754">
        <v>13</v>
      </c>
      <c r="O754">
        <v>3</v>
      </c>
      <c r="P754">
        <f>MOD(DAY(datos_siembra[[#This Row],[Date]]),7)</f>
        <v>6</v>
      </c>
      <c r="Q754" t="str">
        <f>CHOOSE(WEEKDAY(datos_siembra[[#This Row],[Date]],2),"L","M","X","J","V","S","D")</f>
        <v>V</v>
      </c>
      <c r="R754">
        <f>WEEKNUM(datos_siembra[[#This Row],[Date]],2)-WEEKNUM(DATE(YEAR(datos_siembra[[#This Row],[Date]]),MONTH(datos_siembra[[#This Row],[Date]]),1))+1</f>
        <v>2</v>
      </c>
      <c r="S754">
        <f>MONTH(datos_siembra[[#This Row],[Date]])</f>
        <v>9</v>
      </c>
      <c r="T754" t="str" cm="1">
        <f t="array" ref="T754">_xlfn.IFS(AND(N754&lt;= 22, S754=9), "SOWING",AND(N754&lt;= 28, S754=9), "COVERAGE",AND(N754&lt;= 30, S754=9), "FLUSH",AND(N754&lt;= 11, S754=10), "FLUSH",AND(N754&lt;= 21, S754=10), "PRODUCTION")</f>
        <v>SOWING</v>
      </c>
      <c r="U754">
        <f>HOUR(datos_siembra[[#This Row],[Hour]])</f>
        <v>17</v>
      </c>
      <c r="V754" cm="1">
        <f t="array" ref="V754">_xlfn.IFS(AND(N754&lt;= 22, S754=9), N754-7,AND(N754&lt;= 28, S754=9), N754-25,AND(N754&lt;= 30, S754=9), N754-28,AND(N754&lt;= 11, S754=10), N754+2,AND(N754&lt;= 21, S754=10), N754-11)</f>
        <v>6</v>
      </c>
    </row>
    <row r="755" spans="1:22" x14ac:dyDescent="0.35">
      <c r="A755" s="4">
        <v>45548</v>
      </c>
      <c r="B755" s="5">
        <v>0.72902777777777783</v>
      </c>
      <c r="C755">
        <v>83.4</v>
      </c>
      <c r="D755">
        <v>80</v>
      </c>
      <c r="E755">
        <v>85.3</v>
      </c>
      <c r="F755">
        <v>82</v>
      </c>
      <c r="G755">
        <v>0</v>
      </c>
      <c r="H755">
        <v>0</v>
      </c>
      <c r="I755">
        <v>0</v>
      </c>
      <c r="J755">
        <v>0</v>
      </c>
      <c r="K755">
        <v>62.4</v>
      </c>
      <c r="L755">
        <v>60.5</v>
      </c>
      <c r="M755">
        <v>82.57</v>
      </c>
      <c r="N755">
        <v>13</v>
      </c>
      <c r="O755">
        <v>3</v>
      </c>
      <c r="P755">
        <f>MOD(DAY(datos_siembra[[#This Row],[Date]]),7)</f>
        <v>6</v>
      </c>
      <c r="Q755" t="str">
        <f>CHOOSE(WEEKDAY(datos_siembra[[#This Row],[Date]],2),"L","M","X","J","V","S","D")</f>
        <v>V</v>
      </c>
      <c r="R755">
        <f>WEEKNUM(datos_siembra[[#This Row],[Date]],2)-WEEKNUM(DATE(YEAR(datos_siembra[[#This Row],[Date]]),MONTH(datos_siembra[[#This Row],[Date]]),1))+1</f>
        <v>2</v>
      </c>
      <c r="S755">
        <f>MONTH(datos_siembra[[#This Row],[Date]])</f>
        <v>9</v>
      </c>
      <c r="T755" t="str" cm="1">
        <f t="array" ref="T755">_xlfn.IFS(AND(N755&lt;= 22, S755=9), "SOWING",AND(N755&lt;= 28, S755=9), "COVERAGE",AND(N755&lt;= 30, S755=9), "FLUSH",AND(N755&lt;= 11, S755=10), "FLUSH",AND(N755&lt;= 21, S755=10), "PRODUCTION")</f>
        <v>SOWING</v>
      </c>
      <c r="U755">
        <f>HOUR(datos_siembra[[#This Row],[Hour]])</f>
        <v>17</v>
      </c>
      <c r="V755" cm="1">
        <f t="array" ref="V755">_xlfn.IFS(AND(N755&lt;= 22, S755=9), N755-7,AND(N755&lt;= 28, S755=9), N755-25,AND(N755&lt;= 30, S755=9), N755-28,AND(N755&lt;= 11, S755=10), N755+2,AND(N755&lt;= 21, S755=10), N755-11)</f>
        <v>6</v>
      </c>
    </row>
    <row r="756" spans="1:22" x14ac:dyDescent="0.35">
      <c r="A756" s="4">
        <v>45548</v>
      </c>
      <c r="B756" s="5">
        <v>0.73598379629629629</v>
      </c>
      <c r="C756">
        <v>83.4</v>
      </c>
      <c r="D756">
        <v>80.3</v>
      </c>
      <c r="E756">
        <v>85.2</v>
      </c>
      <c r="F756">
        <v>81.8</v>
      </c>
      <c r="G756">
        <v>0</v>
      </c>
      <c r="H756">
        <v>0</v>
      </c>
      <c r="I756">
        <v>0</v>
      </c>
      <c r="J756">
        <v>0</v>
      </c>
      <c r="K756">
        <v>62.4</v>
      </c>
      <c r="L756">
        <v>60.3</v>
      </c>
      <c r="M756">
        <v>82.62</v>
      </c>
      <c r="N756">
        <v>13</v>
      </c>
      <c r="O756">
        <v>3</v>
      </c>
      <c r="P756">
        <f>MOD(DAY(datos_siembra[[#This Row],[Date]]),7)</f>
        <v>6</v>
      </c>
      <c r="Q756" t="str">
        <f>CHOOSE(WEEKDAY(datos_siembra[[#This Row],[Date]],2),"L","M","X","J","V","S","D")</f>
        <v>V</v>
      </c>
      <c r="R756">
        <f>WEEKNUM(datos_siembra[[#This Row],[Date]],2)-WEEKNUM(DATE(YEAR(datos_siembra[[#This Row],[Date]]),MONTH(datos_siembra[[#This Row],[Date]]),1))+1</f>
        <v>2</v>
      </c>
      <c r="S756">
        <f>MONTH(datos_siembra[[#This Row],[Date]])</f>
        <v>9</v>
      </c>
      <c r="T756" t="str" cm="1">
        <f t="array" ref="T756">_xlfn.IFS(AND(N756&lt;= 22, S756=9), "SOWING",AND(N756&lt;= 28, S756=9), "COVERAGE",AND(N756&lt;= 30, S756=9), "FLUSH",AND(N756&lt;= 11, S756=10), "FLUSH",AND(N756&lt;= 21, S756=10), "PRODUCTION")</f>
        <v>SOWING</v>
      </c>
      <c r="U756">
        <f>HOUR(datos_siembra[[#This Row],[Hour]])</f>
        <v>17</v>
      </c>
      <c r="V756" cm="1">
        <f t="array" ref="V756">_xlfn.IFS(AND(N756&lt;= 22, S756=9), N756-7,AND(N756&lt;= 28, S756=9), N756-25,AND(N756&lt;= 30, S756=9), N756-28,AND(N756&lt;= 11, S756=10), N756+2,AND(N756&lt;= 21, S756=10), N756-11)</f>
        <v>6</v>
      </c>
    </row>
    <row r="757" spans="1:22" x14ac:dyDescent="0.35">
      <c r="A757" s="4">
        <v>45548</v>
      </c>
      <c r="B757" s="5">
        <v>0.74292824074074071</v>
      </c>
      <c r="C757">
        <v>83.2</v>
      </c>
      <c r="D757">
        <v>80.099999999999994</v>
      </c>
      <c r="E757">
        <v>85.3</v>
      </c>
      <c r="F757">
        <v>81.8</v>
      </c>
      <c r="G757">
        <v>0</v>
      </c>
      <c r="H757">
        <v>0</v>
      </c>
      <c r="I757">
        <v>0</v>
      </c>
      <c r="J757">
        <v>0</v>
      </c>
      <c r="K757">
        <v>62.3</v>
      </c>
      <c r="L757">
        <v>60.3</v>
      </c>
      <c r="M757">
        <v>82.65</v>
      </c>
      <c r="N757">
        <v>13</v>
      </c>
      <c r="O757">
        <v>3</v>
      </c>
      <c r="P757">
        <f>MOD(DAY(datos_siembra[[#This Row],[Date]]),7)</f>
        <v>6</v>
      </c>
      <c r="Q757" t="str">
        <f>CHOOSE(WEEKDAY(datos_siembra[[#This Row],[Date]],2),"L","M","X","J","V","S","D")</f>
        <v>V</v>
      </c>
      <c r="R757">
        <f>WEEKNUM(datos_siembra[[#This Row],[Date]],2)-WEEKNUM(DATE(YEAR(datos_siembra[[#This Row],[Date]]),MONTH(datos_siembra[[#This Row],[Date]]),1))+1</f>
        <v>2</v>
      </c>
      <c r="S757">
        <f>MONTH(datos_siembra[[#This Row],[Date]])</f>
        <v>9</v>
      </c>
      <c r="T757" t="str" cm="1">
        <f t="array" ref="T757">_xlfn.IFS(AND(N757&lt;= 22, S757=9), "SOWING",AND(N757&lt;= 28, S757=9), "COVERAGE",AND(N757&lt;= 30, S757=9), "FLUSH",AND(N757&lt;= 11, S757=10), "FLUSH",AND(N757&lt;= 21, S757=10), "PRODUCTION")</f>
        <v>SOWING</v>
      </c>
      <c r="U757">
        <f>HOUR(datos_siembra[[#This Row],[Hour]])</f>
        <v>17</v>
      </c>
      <c r="V757" cm="1">
        <f t="array" ref="V757">_xlfn.IFS(AND(N757&lt;= 22, S757=9), N757-7,AND(N757&lt;= 28, S757=9), N757-25,AND(N757&lt;= 30, S757=9), N757-28,AND(N757&lt;= 11, S757=10), N757+2,AND(N757&lt;= 21, S757=10), N757-11)</f>
        <v>6</v>
      </c>
    </row>
    <row r="758" spans="1:22" x14ac:dyDescent="0.35">
      <c r="A758" s="4">
        <v>45548</v>
      </c>
      <c r="B758" s="5">
        <v>0.74987268518518524</v>
      </c>
      <c r="C758">
        <v>83.3</v>
      </c>
      <c r="D758">
        <v>80.099999999999994</v>
      </c>
      <c r="E758">
        <v>85.1</v>
      </c>
      <c r="F758">
        <v>82.1</v>
      </c>
      <c r="G758">
        <v>0</v>
      </c>
      <c r="H758">
        <v>0</v>
      </c>
      <c r="I758">
        <v>0</v>
      </c>
      <c r="J758">
        <v>0</v>
      </c>
      <c r="K758">
        <v>62.2</v>
      </c>
      <c r="L758">
        <v>60.3</v>
      </c>
      <c r="M758">
        <v>82.6</v>
      </c>
      <c r="N758">
        <v>13</v>
      </c>
      <c r="O758">
        <v>3</v>
      </c>
      <c r="P758">
        <f>MOD(DAY(datos_siembra[[#This Row],[Date]]),7)</f>
        <v>6</v>
      </c>
      <c r="Q758" t="str">
        <f>CHOOSE(WEEKDAY(datos_siembra[[#This Row],[Date]],2),"L","M","X","J","V","S","D")</f>
        <v>V</v>
      </c>
      <c r="R758">
        <f>WEEKNUM(datos_siembra[[#This Row],[Date]],2)-WEEKNUM(DATE(YEAR(datos_siembra[[#This Row],[Date]]),MONTH(datos_siembra[[#This Row],[Date]]),1))+1</f>
        <v>2</v>
      </c>
      <c r="S758">
        <f>MONTH(datos_siembra[[#This Row],[Date]])</f>
        <v>9</v>
      </c>
      <c r="T758" t="str" cm="1">
        <f t="array" ref="T758">_xlfn.IFS(AND(N758&lt;= 22, S758=9), "SOWING",AND(N758&lt;= 28, S758=9), "COVERAGE",AND(N758&lt;= 30, S758=9), "FLUSH",AND(N758&lt;= 11, S758=10), "FLUSH",AND(N758&lt;= 21, S758=10), "PRODUCTION")</f>
        <v>SOWING</v>
      </c>
      <c r="U758">
        <f>HOUR(datos_siembra[[#This Row],[Hour]])</f>
        <v>17</v>
      </c>
      <c r="V758" cm="1">
        <f t="array" ref="V758">_xlfn.IFS(AND(N758&lt;= 22, S758=9), N758-7,AND(N758&lt;= 28, S758=9), N758-25,AND(N758&lt;= 30, S758=9), N758-28,AND(N758&lt;= 11, S758=10), N758+2,AND(N758&lt;= 21, S758=10), N758-11)</f>
        <v>6</v>
      </c>
    </row>
    <row r="759" spans="1:22" x14ac:dyDescent="0.35">
      <c r="A759" s="4">
        <v>45548</v>
      </c>
      <c r="B759" s="5">
        <v>0.75681712962962966</v>
      </c>
      <c r="C759">
        <v>83.3</v>
      </c>
      <c r="D759">
        <v>80</v>
      </c>
      <c r="E759">
        <v>85.1</v>
      </c>
      <c r="F759">
        <v>81.8</v>
      </c>
      <c r="G759">
        <v>0</v>
      </c>
      <c r="H759">
        <v>0</v>
      </c>
      <c r="I759">
        <v>0</v>
      </c>
      <c r="J759">
        <v>0</v>
      </c>
      <c r="K759">
        <v>62</v>
      </c>
      <c r="L759">
        <v>60.2</v>
      </c>
      <c r="M759">
        <v>82.62</v>
      </c>
      <c r="N759">
        <v>13</v>
      </c>
      <c r="O759">
        <v>3</v>
      </c>
      <c r="P759">
        <f>MOD(DAY(datos_siembra[[#This Row],[Date]]),7)</f>
        <v>6</v>
      </c>
      <c r="Q759" t="str">
        <f>CHOOSE(WEEKDAY(datos_siembra[[#This Row],[Date]],2),"L","M","X","J","V","S","D")</f>
        <v>V</v>
      </c>
      <c r="R759">
        <f>WEEKNUM(datos_siembra[[#This Row],[Date]],2)-WEEKNUM(DATE(YEAR(datos_siembra[[#This Row],[Date]]),MONTH(datos_siembra[[#This Row],[Date]]),1))+1</f>
        <v>2</v>
      </c>
      <c r="S759">
        <f>MONTH(datos_siembra[[#This Row],[Date]])</f>
        <v>9</v>
      </c>
      <c r="T759" t="str" cm="1">
        <f t="array" ref="T759">_xlfn.IFS(AND(N759&lt;= 22, S759=9), "SOWING",AND(N759&lt;= 28, S759=9), "COVERAGE",AND(N759&lt;= 30, S759=9), "FLUSH",AND(N759&lt;= 11, S759=10), "FLUSH",AND(N759&lt;= 21, S759=10), "PRODUCTION")</f>
        <v>SOWING</v>
      </c>
      <c r="U759">
        <f>HOUR(datos_siembra[[#This Row],[Hour]])</f>
        <v>18</v>
      </c>
      <c r="V759" cm="1">
        <f t="array" ref="V759">_xlfn.IFS(AND(N759&lt;= 22, S759=9), N759-7,AND(N759&lt;= 28, S759=9), N759-25,AND(N759&lt;= 30, S759=9), N759-28,AND(N759&lt;= 11, S759=10), N759+2,AND(N759&lt;= 21, S759=10), N759-11)</f>
        <v>6</v>
      </c>
    </row>
    <row r="760" spans="1:22" x14ac:dyDescent="0.35">
      <c r="A760" s="4">
        <v>45548</v>
      </c>
      <c r="B760" s="5">
        <v>0.76377314814814812</v>
      </c>
      <c r="C760">
        <v>83.2</v>
      </c>
      <c r="D760">
        <v>80</v>
      </c>
      <c r="E760">
        <v>85.1</v>
      </c>
      <c r="F760">
        <v>82</v>
      </c>
      <c r="G760">
        <v>0</v>
      </c>
      <c r="H760">
        <v>0</v>
      </c>
      <c r="I760">
        <v>0</v>
      </c>
      <c r="J760">
        <v>0</v>
      </c>
      <c r="K760">
        <v>62</v>
      </c>
      <c r="L760">
        <v>60.1</v>
      </c>
      <c r="M760">
        <v>82.62</v>
      </c>
      <c r="N760">
        <v>13</v>
      </c>
      <c r="O760">
        <v>3</v>
      </c>
      <c r="P760">
        <f>MOD(DAY(datos_siembra[[#This Row],[Date]]),7)</f>
        <v>6</v>
      </c>
      <c r="Q760" t="str">
        <f>CHOOSE(WEEKDAY(datos_siembra[[#This Row],[Date]],2),"L","M","X","J","V","S","D")</f>
        <v>V</v>
      </c>
      <c r="R760">
        <f>WEEKNUM(datos_siembra[[#This Row],[Date]],2)-WEEKNUM(DATE(YEAR(datos_siembra[[#This Row],[Date]]),MONTH(datos_siembra[[#This Row],[Date]]),1))+1</f>
        <v>2</v>
      </c>
      <c r="S760">
        <f>MONTH(datos_siembra[[#This Row],[Date]])</f>
        <v>9</v>
      </c>
      <c r="T760" t="str" cm="1">
        <f t="array" ref="T760">_xlfn.IFS(AND(N760&lt;= 22, S760=9), "SOWING",AND(N760&lt;= 28, S760=9), "COVERAGE",AND(N760&lt;= 30, S760=9), "FLUSH",AND(N760&lt;= 11, S760=10), "FLUSH",AND(N760&lt;= 21, S760=10), "PRODUCTION")</f>
        <v>SOWING</v>
      </c>
      <c r="U760">
        <f>HOUR(datos_siembra[[#This Row],[Hour]])</f>
        <v>18</v>
      </c>
      <c r="V760" cm="1">
        <f t="array" ref="V760">_xlfn.IFS(AND(N760&lt;= 22, S760=9), N760-7,AND(N760&lt;= 28, S760=9), N760-25,AND(N760&lt;= 30, S760=9), N760-28,AND(N760&lt;= 11, S760=10), N760+2,AND(N760&lt;= 21, S760=10), N760-11)</f>
        <v>6</v>
      </c>
    </row>
    <row r="761" spans="1:22" x14ac:dyDescent="0.35">
      <c r="A761" s="4">
        <v>45548</v>
      </c>
      <c r="B761" s="5">
        <v>0.77071759259259254</v>
      </c>
      <c r="C761">
        <v>83.2</v>
      </c>
      <c r="D761">
        <v>80</v>
      </c>
      <c r="E761">
        <v>85.2</v>
      </c>
      <c r="F761">
        <v>81.8</v>
      </c>
      <c r="G761">
        <v>0</v>
      </c>
      <c r="H761">
        <v>0</v>
      </c>
      <c r="I761">
        <v>0</v>
      </c>
      <c r="J761">
        <v>0</v>
      </c>
      <c r="K761">
        <v>62</v>
      </c>
      <c r="L761">
        <v>60</v>
      </c>
      <c r="M761">
        <v>82.46</v>
      </c>
      <c r="N761">
        <v>13</v>
      </c>
      <c r="O761">
        <v>3</v>
      </c>
      <c r="P761">
        <f>MOD(DAY(datos_siembra[[#This Row],[Date]]),7)</f>
        <v>6</v>
      </c>
      <c r="Q761" t="str">
        <f>CHOOSE(WEEKDAY(datos_siembra[[#This Row],[Date]],2),"L","M","X","J","V","S","D")</f>
        <v>V</v>
      </c>
      <c r="R761">
        <f>WEEKNUM(datos_siembra[[#This Row],[Date]],2)-WEEKNUM(DATE(YEAR(datos_siembra[[#This Row],[Date]]),MONTH(datos_siembra[[#This Row],[Date]]),1))+1</f>
        <v>2</v>
      </c>
      <c r="S761">
        <f>MONTH(datos_siembra[[#This Row],[Date]])</f>
        <v>9</v>
      </c>
      <c r="T761" t="str" cm="1">
        <f t="array" ref="T761">_xlfn.IFS(AND(N761&lt;= 22, S761=9), "SOWING",AND(N761&lt;= 28, S761=9), "COVERAGE",AND(N761&lt;= 30, S761=9), "FLUSH",AND(N761&lt;= 11, S761=10), "FLUSH",AND(N761&lt;= 21, S761=10), "PRODUCTION")</f>
        <v>SOWING</v>
      </c>
      <c r="U761">
        <f>HOUR(datos_siembra[[#This Row],[Hour]])</f>
        <v>18</v>
      </c>
      <c r="V761" cm="1">
        <f t="array" ref="V761">_xlfn.IFS(AND(N761&lt;= 22, S761=9), N761-7,AND(N761&lt;= 28, S761=9), N761-25,AND(N761&lt;= 30, S761=9), N761-28,AND(N761&lt;= 11, S761=10), N761+2,AND(N761&lt;= 21, S761=10), N761-11)</f>
        <v>6</v>
      </c>
    </row>
    <row r="762" spans="1:22" x14ac:dyDescent="0.35">
      <c r="A762" s="4">
        <v>45548</v>
      </c>
      <c r="B762" s="5">
        <v>0.77766203703703707</v>
      </c>
      <c r="C762">
        <v>83.2</v>
      </c>
      <c r="D762">
        <v>80</v>
      </c>
      <c r="E762">
        <v>85.1</v>
      </c>
      <c r="F762">
        <v>81.8</v>
      </c>
      <c r="G762">
        <v>0</v>
      </c>
      <c r="H762">
        <v>0</v>
      </c>
      <c r="I762">
        <v>0</v>
      </c>
      <c r="J762">
        <v>0</v>
      </c>
      <c r="K762">
        <v>61.9</v>
      </c>
      <c r="L762">
        <v>59.9</v>
      </c>
      <c r="M762">
        <v>82.54</v>
      </c>
      <c r="N762">
        <v>13</v>
      </c>
      <c r="O762">
        <v>3</v>
      </c>
      <c r="P762">
        <f>MOD(DAY(datos_siembra[[#This Row],[Date]]),7)</f>
        <v>6</v>
      </c>
      <c r="Q762" t="str">
        <f>CHOOSE(WEEKDAY(datos_siembra[[#This Row],[Date]],2),"L","M","X","J","V","S","D")</f>
        <v>V</v>
      </c>
      <c r="R762">
        <f>WEEKNUM(datos_siembra[[#This Row],[Date]],2)-WEEKNUM(DATE(YEAR(datos_siembra[[#This Row],[Date]]),MONTH(datos_siembra[[#This Row],[Date]]),1))+1</f>
        <v>2</v>
      </c>
      <c r="S762">
        <f>MONTH(datos_siembra[[#This Row],[Date]])</f>
        <v>9</v>
      </c>
      <c r="T762" t="str" cm="1">
        <f t="array" ref="T762">_xlfn.IFS(AND(N762&lt;= 22, S762=9), "SOWING",AND(N762&lt;= 28, S762=9), "COVERAGE",AND(N762&lt;= 30, S762=9), "FLUSH",AND(N762&lt;= 11, S762=10), "FLUSH",AND(N762&lt;= 21, S762=10), "PRODUCTION")</f>
        <v>SOWING</v>
      </c>
      <c r="U762">
        <f>HOUR(datos_siembra[[#This Row],[Hour]])</f>
        <v>18</v>
      </c>
      <c r="V762" cm="1">
        <f t="array" ref="V762">_xlfn.IFS(AND(N762&lt;= 22, S762=9), N762-7,AND(N762&lt;= 28, S762=9), N762-25,AND(N762&lt;= 30, S762=9), N762-28,AND(N762&lt;= 11, S762=10), N762+2,AND(N762&lt;= 21, S762=10), N762-11)</f>
        <v>6</v>
      </c>
    </row>
    <row r="763" spans="1:22" x14ac:dyDescent="0.35">
      <c r="A763" s="4">
        <v>45548</v>
      </c>
      <c r="B763" s="5">
        <v>0.78461805555555553</v>
      </c>
      <c r="C763">
        <v>83.2</v>
      </c>
      <c r="D763">
        <v>80</v>
      </c>
      <c r="E763">
        <v>85.1</v>
      </c>
      <c r="F763">
        <v>81.7</v>
      </c>
      <c r="G763">
        <v>0</v>
      </c>
      <c r="H763">
        <v>0</v>
      </c>
      <c r="I763">
        <v>0</v>
      </c>
      <c r="J763">
        <v>0</v>
      </c>
      <c r="K763">
        <v>61.7</v>
      </c>
      <c r="L763">
        <v>59.7</v>
      </c>
      <c r="M763">
        <v>82.51</v>
      </c>
      <c r="N763">
        <v>13</v>
      </c>
      <c r="O763">
        <v>3</v>
      </c>
      <c r="P763">
        <f>MOD(DAY(datos_siembra[[#This Row],[Date]]),7)</f>
        <v>6</v>
      </c>
      <c r="Q763" t="str">
        <f>CHOOSE(WEEKDAY(datos_siembra[[#This Row],[Date]],2),"L","M","X","J","V","S","D")</f>
        <v>V</v>
      </c>
      <c r="R763">
        <f>WEEKNUM(datos_siembra[[#This Row],[Date]],2)-WEEKNUM(DATE(YEAR(datos_siembra[[#This Row],[Date]]),MONTH(datos_siembra[[#This Row],[Date]]),1))+1</f>
        <v>2</v>
      </c>
      <c r="S763">
        <f>MONTH(datos_siembra[[#This Row],[Date]])</f>
        <v>9</v>
      </c>
      <c r="T763" t="str" cm="1">
        <f t="array" ref="T763">_xlfn.IFS(AND(N763&lt;= 22, S763=9), "SOWING",AND(N763&lt;= 28, S763=9), "COVERAGE",AND(N763&lt;= 30, S763=9), "FLUSH",AND(N763&lt;= 11, S763=10), "FLUSH",AND(N763&lt;= 21, S763=10), "PRODUCTION")</f>
        <v>SOWING</v>
      </c>
      <c r="U763">
        <f>HOUR(datos_siembra[[#This Row],[Hour]])</f>
        <v>18</v>
      </c>
      <c r="V763" cm="1">
        <f t="array" ref="V763">_xlfn.IFS(AND(N763&lt;= 22, S763=9), N763-7,AND(N763&lt;= 28, S763=9), N763-25,AND(N763&lt;= 30, S763=9), N763-28,AND(N763&lt;= 11, S763=10), N763+2,AND(N763&lt;= 21, S763=10), N763-11)</f>
        <v>6</v>
      </c>
    </row>
    <row r="764" spans="1:22" x14ac:dyDescent="0.35">
      <c r="A764" s="4">
        <v>45548</v>
      </c>
      <c r="B764" s="5">
        <v>0.79156249999999995</v>
      </c>
      <c r="C764">
        <v>83.2</v>
      </c>
      <c r="D764">
        <v>80</v>
      </c>
      <c r="E764">
        <v>85</v>
      </c>
      <c r="F764">
        <v>82</v>
      </c>
      <c r="G764">
        <v>0</v>
      </c>
      <c r="H764">
        <v>0</v>
      </c>
      <c r="I764">
        <v>0</v>
      </c>
      <c r="J764">
        <v>0</v>
      </c>
      <c r="K764">
        <v>61.6</v>
      </c>
      <c r="L764">
        <v>59.7</v>
      </c>
      <c r="M764">
        <v>82.46</v>
      </c>
      <c r="N764">
        <v>13</v>
      </c>
      <c r="O764">
        <v>3</v>
      </c>
      <c r="P764">
        <f>MOD(DAY(datos_siembra[[#This Row],[Date]]),7)</f>
        <v>6</v>
      </c>
      <c r="Q764" t="str">
        <f>CHOOSE(WEEKDAY(datos_siembra[[#This Row],[Date]],2),"L","M","X","J","V","S","D")</f>
        <v>V</v>
      </c>
      <c r="R764">
        <f>WEEKNUM(datos_siembra[[#This Row],[Date]],2)-WEEKNUM(DATE(YEAR(datos_siembra[[#This Row],[Date]]),MONTH(datos_siembra[[#This Row],[Date]]),1))+1</f>
        <v>2</v>
      </c>
      <c r="S764">
        <f>MONTH(datos_siembra[[#This Row],[Date]])</f>
        <v>9</v>
      </c>
      <c r="T764" t="str" cm="1">
        <f t="array" ref="T764">_xlfn.IFS(AND(N764&lt;= 22, S764=9), "SOWING",AND(N764&lt;= 28, S764=9), "COVERAGE",AND(N764&lt;= 30, S764=9), "FLUSH",AND(N764&lt;= 11, S764=10), "FLUSH",AND(N764&lt;= 21, S764=10), "PRODUCTION")</f>
        <v>SOWING</v>
      </c>
      <c r="U764">
        <f>HOUR(datos_siembra[[#This Row],[Hour]])</f>
        <v>18</v>
      </c>
      <c r="V764" cm="1">
        <f t="array" ref="V764">_xlfn.IFS(AND(N764&lt;= 22, S764=9), N764-7,AND(N764&lt;= 28, S764=9), N764-25,AND(N764&lt;= 30, S764=9), N764-28,AND(N764&lt;= 11, S764=10), N764+2,AND(N764&lt;= 21, S764=10), N764-11)</f>
        <v>6</v>
      </c>
    </row>
    <row r="765" spans="1:22" x14ac:dyDescent="0.35">
      <c r="A765" s="4">
        <v>45548</v>
      </c>
      <c r="B765" s="5">
        <v>0.79850694444444448</v>
      </c>
      <c r="C765">
        <v>83.1</v>
      </c>
      <c r="D765">
        <v>80</v>
      </c>
      <c r="E765">
        <v>85.1</v>
      </c>
      <c r="F765">
        <v>82</v>
      </c>
      <c r="G765">
        <v>0</v>
      </c>
      <c r="H765">
        <v>0</v>
      </c>
      <c r="I765">
        <v>0</v>
      </c>
      <c r="J765">
        <v>0</v>
      </c>
      <c r="K765">
        <v>61.6</v>
      </c>
      <c r="L765">
        <v>59.4</v>
      </c>
      <c r="M765">
        <v>82.4</v>
      </c>
      <c r="N765">
        <v>13</v>
      </c>
      <c r="O765">
        <v>3</v>
      </c>
      <c r="P765">
        <f>MOD(DAY(datos_siembra[[#This Row],[Date]]),7)</f>
        <v>6</v>
      </c>
      <c r="Q765" t="str">
        <f>CHOOSE(WEEKDAY(datos_siembra[[#This Row],[Date]],2),"L","M","X","J","V","S","D")</f>
        <v>V</v>
      </c>
      <c r="R765">
        <f>WEEKNUM(datos_siembra[[#This Row],[Date]],2)-WEEKNUM(DATE(YEAR(datos_siembra[[#This Row],[Date]]),MONTH(datos_siembra[[#This Row],[Date]]),1))+1</f>
        <v>2</v>
      </c>
      <c r="S765">
        <f>MONTH(datos_siembra[[#This Row],[Date]])</f>
        <v>9</v>
      </c>
      <c r="T765" t="str" cm="1">
        <f t="array" ref="T765">_xlfn.IFS(AND(N765&lt;= 22, S765=9), "SOWING",AND(N765&lt;= 28, S765=9), "COVERAGE",AND(N765&lt;= 30, S765=9), "FLUSH",AND(N765&lt;= 11, S765=10), "FLUSH",AND(N765&lt;= 21, S765=10), "PRODUCTION")</f>
        <v>SOWING</v>
      </c>
      <c r="U765">
        <f>HOUR(datos_siembra[[#This Row],[Hour]])</f>
        <v>19</v>
      </c>
      <c r="V765" cm="1">
        <f t="array" ref="V765">_xlfn.IFS(AND(N765&lt;= 22, S765=9), N765-7,AND(N765&lt;= 28, S765=9), N765-25,AND(N765&lt;= 30, S765=9), N765-28,AND(N765&lt;= 11, S765=10), N765+2,AND(N765&lt;= 21, S765=10), N765-11)</f>
        <v>6</v>
      </c>
    </row>
    <row r="766" spans="1:22" x14ac:dyDescent="0.35">
      <c r="A766" s="4">
        <v>45548</v>
      </c>
      <c r="B766" s="5">
        <v>0.8054513888888889</v>
      </c>
      <c r="C766">
        <v>83.1</v>
      </c>
      <c r="D766">
        <v>80</v>
      </c>
      <c r="E766">
        <v>85.1</v>
      </c>
      <c r="F766">
        <v>81.7</v>
      </c>
      <c r="G766">
        <v>0</v>
      </c>
      <c r="H766">
        <v>0</v>
      </c>
      <c r="I766">
        <v>0</v>
      </c>
      <c r="J766">
        <v>0</v>
      </c>
      <c r="K766">
        <v>61.4</v>
      </c>
      <c r="L766">
        <v>59.3</v>
      </c>
      <c r="M766">
        <v>82.51</v>
      </c>
      <c r="N766">
        <v>13</v>
      </c>
      <c r="O766">
        <v>3</v>
      </c>
      <c r="P766">
        <f>MOD(DAY(datos_siembra[[#This Row],[Date]]),7)</f>
        <v>6</v>
      </c>
      <c r="Q766" t="str">
        <f>CHOOSE(WEEKDAY(datos_siembra[[#This Row],[Date]],2),"L","M","X","J","V","S","D")</f>
        <v>V</v>
      </c>
      <c r="R766">
        <f>WEEKNUM(datos_siembra[[#This Row],[Date]],2)-WEEKNUM(DATE(YEAR(datos_siembra[[#This Row],[Date]]),MONTH(datos_siembra[[#This Row],[Date]]),1))+1</f>
        <v>2</v>
      </c>
      <c r="S766">
        <f>MONTH(datos_siembra[[#This Row],[Date]])</f>
        <v>9</v>
      </c>
      <c r="T766" t="str" cm="1">
        <f t="array" ref="T766">_xlfn.IFS(AND(N766&lt;= 22, S766=9), "SOWING",AND(N766&lt;= 28, S766=9), "COVERAGE",AND(N766&lt;= 30, S766=9), "FLUSH",AND(N766&lt;= 11, S766=10), "FLUSH",AND(N766&lt;= 21, S766=10), "PRODUCTION")</f>
        <v>SOWING</v>
      </c>
      <c r="U766">
        <f>HOUR(datos_siembra[[#This Row],[Hour]])</f>
        <v>19</v>
      </c>
      <c r="V766" cm="1">
        <f t="array" ref="V766">_xlfn.IFS(AND(N766&lt;= 22, S766=9), N766-7,AND(N766&lt;= 28, S766=9), N766-25,AND(N766&lt;= 30, S766=9), N766-28,AND(N766&lt;= 11, S766=10), N766+2,AND(N766&lt;= 21, S766=10), N766-11)</f>
        <v>6</v>
      </c>
    </row>
    <row r="767" spans="1:22" x14ac:dyDescent="0.35">
      <c r="A767" s="4">
        <v>45548</v>
      </c>
      <c r="B767" s="5">
        <v>0.81240740740740736</v>
      </c>
      <c r="C767">
        <v>83.2</v>
      </c>
      <c r="D767">
        <v>79.900000000000006</v>
      </c>
      <c r="E767">
        <v>85.1</v>
      </c>
      <c r="F767">
        <v>81.7</v>
      </c>
      <c r="G767">
        <v>0</v>
      </c>
      <c r="H767">
        <v>0</v>
      </c>
      <c r="I767">
        <v>0</v>
      </c>
      <c r="J767">
        <v>0</v>
      </c>
      <c r="K767">
        <v>61.2</v>
      </c>
      <c r="L767">
        <v>59.3</v>
      </c>
      <c r="M767">
        <v>82.46</v>
      </c>
      <c r="N767">
        <v>13</v>
      </c>
      <c r="O767">
        <v>3</v>
      </c>
      <c r="P767">
        <f>MOD(DAY(datos_siembra[[#This Row],[Date]]),7)</f>
        <v>6</v>
      </c>
      <c r="Q767" t="str">
        <f>CHOOSE(WEEKDAY(datos_siembra[[#This Row],[Date]],2),"L","M","X","J","V","S","D")</f>
        <v>V</v>
      </c>
      <c r="R767">
        <f>WEEKNUM(datos_siembra[[#This Row],[Date]],2)-WEEKNUM(DATE(YEAR(datos_siembra[[#This Row],[Date]]),MONTH(datos_siembra[[#This Row],[Date]]),1))+1</f>
        <v>2</v>
      </c>
      <c r="S767">
        <f>MONTH(datos_siembra[[#This Row],[Date]])</f>
        <v>9</v>
      </c>
      <c r="T767" t="str" cm="1">
        <f t="array" ref="T767">_xlfn.IFS(AND(N767&lt;= 22, S767=9), "SOWING",AND(N767&lt;= 28, S767=9), "COVERAGE",AND(N767&lt;= 30, S767=9), "FLUSH",AND(N767&lt;= 11, S767=10), "FLUSH",AND(N767&lt;= 21, S767=10), "PRODUCTION")</f>
        <v>SOWING</v>
      </c>
      <c r="U767">
        <f>HOUR(datos_siembra[[#This Row],[Hour]])</f>
        <v>19</v>
      </c>
      <c r="V767" cm="1">
        <f t="array" ref="V767">_xlfn.IFS(AND(N767&lt;= 22, S767=9), N767-7,AND(N767&lt;= 28, S767=9), N767-25,AND(N767&lt;= 30, S767=9), N767-28,AND(N767&lt;= 11, S767=10), N767+2,AND(N767&lt;= 21, S767=10), N767-11)</f>
        <v>6</v>
      </c>
    </row>
    <row r="768" spans="1:22" x14ac:dyDescent="0.35">
      <c r="A768" s="4">
        <v>45548</v>
      </c>
      <c r="B768" s="5">
        <v>0.81935185185185189</v>
      </c>
      <c r="C768">
        <v>83.1</v>
      </c>
      <c r="D768">
        <v>79.900000000000006</v>
      </c>
      <c r="E768">
        <v>85.1</v>
      </c>
      <c r="F768">
        <v>81.7</v>
      </c>
      <c r="G768">
        <v>0</v>
      </c>
      <c r="H768">
        <v>0</v>
      </c>
      <c r="I768">
        <v>0</v>
      </c>
      <c r="J768">
        <v>0</v>
      </c>
      <c r="K768">
        <v>61.2</v>
      </c>
      <c r="L768">
        <v>59.2</v>
      </c>
      <c r="M768">
        <v>82.43</v>
      </c>
      <c r="N768">
        <v>13</v>
      </c>
      <c r="O768">
        <v>3</v>
      </c>
      <c r="P768">
        <f>MOD(DAY(datos_siembra[[#This Row],[Date]]),7)</f>
        <v>6</v>
      </c>
      <c r="Q768" t="str">
        <f>CHOOSE(WEEKDAY(datos_siembra[[#This Row],[Date]],2),"L","M","X","J","V","S","D")</f>
        <v>V</v>
      </c>
      <c r="R768">
        <f>WEEKNUM(datos_siembra[[#This Row],[Date]],2)-WEEKNUM(DATE(YEAR(datos_siembra[[#This Row],[Date]]),MONTH(datos_siembra[[#This Row],[Date]]),1))+1</f>
        <v>2</v>
      </c>
      <c r="S768">
        <f>MONTH(datos_siembra[[#This Row],[Date]])</f>
        <v>9</v>
      </c>
      <c r="T768" t="str" cm="1">
        <f t="array" ref="T768">_xlfn.IFS(AND(N768&lt;= 22, S768=9), "SOWING",AND(N768&lt;= 28, S768=9), "COVERAGE",AND(N768&lt;= 30, S768=9), "FLUSH",AND(N768&lt;= 11, S768=10), "FLUSH",AND(N768&lt;= 21, S768=10), "PRODUCTION")</f>
        <v>SOWING</v>
      </c>
      <c r="U768">
        <f>HOUR(datos_siembra[[#This Row],[Hour]])</f>
        <v>19</v>
      </c>
      <c r="V768" cm="1">
        <f t="array" ref="V768">_xlfn.IFS(AND(N768&lt;= 22, S768=9), N768-7,AND(N768&lt;= 28, S768=9), N768-25,AND(N768&lt;= 30, S768=9), N768-28,AND(N768&lt;= 11, S768=10), N768+2,AND(N768&lt;= 21, S768=10), N768-11)</f>
        <v>6</v>
      </c>
    </row>
    <row r="769" spans="1:22" x14ac:dyDescent="0.35">
      <c r="A769" s="4">
        <v>45548</v>
      </c>
      <c r="B769" s="5">
        <v>0.82629629629629631</v>
      </c>
      <c r="C769">
        <v>83</v>
      </c>
      <c r="D769">
        <v>79.8</v>
      </c>
      <c r="E769">
        <v>85</v>
      </c>
      <c r="F769">
        <v>81.599999999999994</v>
      </c>
      <c r="G769">
        <v>0</v>
      </c>
      <c r="H769">
        <v>0</v>
      </c>
      <c r="I769">
        <v>0</v>
      </c>
      <c r="J769">
        <v>0</v>
      </c>
      <c r="K769">
        <v>61.2</v>
      </c>
      <c r="L769">
        <v>59.2</v>
      </c>
      <c r="M769">
        <v>82.4</v>
      </c>
      <c r="N769">
        <v>13</v>
      </c>
      <c r="O769">
        <v>3</v>
      </c>
      <c r="P769">
        <f>MOD(DAY(datos_siembra[[#This Row],[Date]]),7)</f>
        <v>6</v>
      </c>
      <c r="Q769" t="str">
        <f>CHOOSE(WEEKDAY(datos_siembra[[#This Row],[Date]],2),"L","M","X","J","V","S","D")</f>
        <v>V</v>
      </c>
      <c r="R769">
        <f>WEEKNUM(datos_siembra[[#This Row],[Date]],2)-WEEKNUM(DATE(YEAR(datos_siembra[[#This Row],[Date]]),MONTH(datos_siembra[[#This Row],[Date]]),1))+1</f>
        <v>2</v>
      </c>
      <c r="S769">
        <f>MONTH(datos_siembra[[#This Row],[Date]])</f>
        <v>9</v>
      </c>
      <c r="T769" t="str" cm="1">
        <f t="array" ref="T769">_xlfn.IFS(AND(N769&lt;= 22, S769=9), "SOWING",AND(N769&lt;= 28, S769=9), "COVERAGE",AND(N769&lt;= 30, S769=9), "FLUSH",AND(N769&lt;= 11, S769=10), "FLUSH",AND(N769&lt;= 21, S769=10), "PRODUCTION")</f>
        <v>SOWING</v>
      </c>
      <c r="U769">
        <f>HOUR(datos_siembra[[#This Row],[Hour]])</f>
        <v>19</v>
      </c>
      <c r="V769" cm="1">
        <f t="array" ref="V769">_xlfn.IFS(AND(N769&lt;= 22, S769=9), N769-7,AND(N769&lt;= 28, S769=9), N769-25,AND(N769&lt;= 30, S769=9), N769-28,AND(N769&lt;= 11, S769=10), N769+2,AND(N769&lt;= 21, S769=10), N769-11)</f>
        <v>6</v>
      </c>
    </row>
    <row r="770" spans="1:22" x14ac:dyDescent="0.35">
      <c r="A770" s="4">
        <v>45548</v>
      </c>
      <c r="B770" s="5">
        <v>0.83324074074074073</v>
      </c>
      <c r="C770">
        <v>83</v>
      </c>
      <c r="D770">
        <v>79.8</v>
      </c>
      <c r="E770">
        <v>85.1</v>
      </c>
      <c r="F770">
        <v>81.7</v>
      </c>
      <c r="G770">
        <v>0</v>
      </c>
      <c r="H770">
        <v>0</v>
      </c>
      <c r="I770">
        <v>0</v>
      </c>
      <c r="J770">
        <v>0</v>
      </c>
      <c r="K770">
        <v>61.1</v>
      </c>
      <c r="L770">
        <v>59.1</v>
      </c>
      <c r="M770">
        <v>82.4</v>
      </c>
      <c r="N770">
        <v>13</v>
      </c>
      <c r="O770">
        <v>3</v>
      </c>
      <c r="P770">
        <f>MOD(DAY(datos_siembra[[#This Row],[Date]]),7)</f>
        <v>6</v>
      </c>
      <c r="Q770" t="str">
        <f>CHOOSE(WEEKDAY(datos_siembra[[#This Row],[Date]],2),"L","M","X","J","V","S","D")</f>
        <v>V</v>
      </c>
      <c r="R770">
        <f>WEEKNUM(datos_siembra[[#This Row],[Date]],2)-WEEKNUM(DATE(YEAR(datos_siembra[[#This Row],[Date]]),MONTH(datos_siembra[[#This Row],[Date]]),1))+1</f>
        <v>2</v>
      </c>
      <c r="S770">
        <f>MONTH(datos_siembra[[#This Row],[Date]])</f>
        <v>9</v>
      </c>
      <c r="T770" t="str" cm="1">
        <f t="array" ref="T770">_xlfn.IFS(AND(N770&lt;= 22, S770=9), "SOWING",AND(N770&lt;= 28, S770=9), "COVERAGE",AND(N770&lt;= 30, S770=9), "FLUSH",AND(N770&lt;= 11, S770=10), "FLUSH",AND(N770&lt;= 21, S770=10), "PRODUCTION")</f>
        <v>SOWING</v>
      </c>
      <c r="U770">
        <f>HOUR(datos_siembra[[#This Row],[Hour]])</f>
        <v>19</v>
      </c>
      <c r="V770" cm="1">
        <f t="array" ref="V770">_xlfn.IFS(AND(N770&lt;= 22, S770=9), N770-7,AND(N770&lt;= 28, S770=9), N770-25,AND(N770&lt;= 30, S770=9), N770-28,AND(N770&lt;= 11, S770=10), N770+2,AND(N770&lt;= 21, S770=10), N770-11)</f>
        <v>6</v>
      </c>
    </row>
    <row r="771" spans="1:22" x14ac:dyDescent="0.35">
      <c r="A771" s="4">
        <v>45548</v>
      </c>
      <c r="B771" s="5">
        <v>0.8401967592592593</v>
      </c>
      <c r="C771">
        <v>83.1</v>
      </c>
      <c r="D771">
        <v>79.8</v>
      </c>
      <c r="E771">
        <v>85</v>
      </c>
      <c r="F771">
        <v>81.599999999999994</v>
      </c>
      <c r="G771">
        <v>0</v>
      </c>
      <c r="H771">
        <v>0</v>
      </c>
      <c r="I771">
        <v>0</v>
      </c>
      <c r="J771">
        <v>0</v>
      </c>
      <c r="K771">
        <v>61</v>
      </c>
      <c r="L771">
        <v>59</v>
      </c>
      <c r="M771">
        <v>82.4</v>
      </c>
      <c r="N771">
        <v>13</v>
      </c>
      <c r="O771">
        <v>3</v>
      </c>
      <c r="P771">
        <f>MOD(DAY(datos_siembra[[#This Row],[Date]]),7)</f>
        <v>6</v>
      </c>
      <c r="Q771" t="str">
        <f>CHOOSE(WEEKDAY(datos_siembra[[#This Row],[Date]],2),"L","M","X","J","V","S","D")</f>
        <v>V</v>
      </c>
      <c r="R771">
        <f>WEEKNUM(datos_siembra[[#This Row],[Date]],2)-WEEKNUM(DATE(YEAR(datos_siembra[[#This Row],[Date]]),MONTH(datos_siembra[[#This Row],[Date]]),1))+1</f>
        <v>2</v>
      </c>
      <c r="S771">
        <f>MONTH(datos_siembra[[#This Row],[Date]])</f>
        <v>9</v>
      </c>
      <c r="T771" t="str" cm="1">
        <f t="array" ref="T771">_xlfn.IFS(AND(N771&lt;= 22, S771=9), "SOWING",AND(N771&lt;= 28, S771=9), "COVERAGE",AND(N771&lt;= 30, S771=9), "FLUSH",AND(N771&lt;= 11, S771=10), "FLUSH",AND(N771&lt;= 21, S771=10), "PRODUCTION")</f>
        <v>SOWING</v>
      </c>
      <c r="U771">
        <f>HOUR(datos_siembra[[#This Row],[Hour]])</f>
        <v>20</v>
      </c>
      <c r="V771" cm="1">
        <f t="array" ref="V771">_xlfn.IFS(AND(N771&lt;= 22, S771=9), N771-7,AND(N771&lt;= 28, S771=9), N771-25,AND(N771&lt;= 30, S771=9), N771-28,AND(N771&lt;= 11, S771=10), N771+2,AND(N771&lt;= 21, S771=10), N771-11)</f>
        <v>6</v>
      </c>
    </row>
    <row r="772" spans="1:22" x14ac:dyDescent="0.35">
      <c r="A772" s="4">
        <v>45548</v>
      </c>
      <c r="B772" s="5">
        <v>0.84714120370370372</v>
      </c>
      <c r="C772">
        <v>83</v>
      </c>
      <c r="D772">
        <v>79.7</v>
      </c>
      <c r="E772">
        <v>84.9</v>
      </c>
      <c r="F772">
        <v>81.7</v>
      </c>
      <c r="G772">
        <v>0</v>
      </c>
      <c r="H772">
        <v>0</v>
      </c>
      <c r="I772">
        <v>0</v>
      </c>
      <c r="J772">
        <v>0</v>
      </c>
      <c r="K772">
        <v>61</v>
      </c>
      <c r="L772">
        <v>59</v>
      </c>
      <c r="M772">
        <v>82.09</v>
      </c>
      <c r="N772">
        <v>13</v>
      </c>
      <c r="O772">
        <v>3</v>
      </c>
      <c r="P772">
        <f>MOD(DAY(datos_siembra[[#This Row],[Date]]),7)</f>
        <v>6</v>
      </c>
      <c r="Q772" t="str">
        <f>CHOOSE(WEEKDAY(datos_siembra[[#This Row],[Date]],2),"L","M","X","J","V","S","D")</f>
        <v>V</v>
      </c>
      <c r="R772">
        <f>WEEKNUM(datos_siembra[[#This Row],[Date]],2)-WEEKNUM(DATE(YEAR(datos_siembra[[#This Row],[Date]]),MONTH(datos_siembra[[#This Row],[Date]]),1))+1</f>
        <v>2</v>
      </c>
      <c r="S772">
        <f>MONTH(datos_siembra[[#This Row],[Date]])</f>
        <v>9</v>
      </c>
      <c r="T772" t="str" cm="1">
        <f t="array" ref="T772">_xlfn.IFS(AND(N772&lt;= 22, S772=9), "SOWING",AND(N772&lt;= 28, S772=9), "COVERAGE",AND(N772&lt;= 30, S772=9), "FLUSH",AND(N772&lt;= 11, S772=10), "FLUSH",AND(N772&lt;= 21, S772=10), "PRODUCTION")</f>
        <v>SOWING</v>
      </c>
      <c r="U772">
        <f>HOUR(datos_siembra[[#This Row],[Hour]])</f>
        <v>20</v>
      </c>
      <c r="V772" cm="1">
        <f t="array" ref="V772">_xlfn.IFS(AND(N772&lt;= 22, S772=9), N772-7,AND(N772&lt;= 28, S772=9), N772-25,AND(N772&lt;= 30, S772=9), N772-28,AND(N772&lt;= 11, S772=10), N772+2,AND(N772&lt;= 21, S772=10), N772-11)</f>
        <v>6</v>
      </c>
    </row>
    <row r="773" spans="1:22" x14ac:dyDescent="0.35">
      <c r="A773" s="4">
        <v>45548</v>
      </c>
      <c r="B773" s="5">
        <v>0.85408564814814814</v>
      </c>
      <c r="C773">
        <v>83</v>
      </c>
      <c r="D773">
        <v>79.8</v>
      </c>
      <c r="E773">
        <v>84.9</v>
      </c>
      <c r="F773">
        <v>81.599999999999994</v>
      </c>
      <c r="G773">
        <v>0</v>
      </c>
      <c r="H773">
        <v>0</v>
      </c>
      <c r="I773">
        <v>0</v>
      </c>
      <c r="J773">
        <v>0</v>
      </c>
      <c r="K773">
        <v>60.9</v>
      </c>
      <c r="L773">
        <v>58.9</v>
      </c>
      <c r="M773">
        <v>82.29</v>
      </c>
      <c r="N773">
        <v>13</v>
      </c>
      <c r="O773">
        <v>3</v>
      </c>
      <c r="P773">
        <f>MOD(DAY(datos_siembra[[#This Row],[Date]]),7)</f>
        <v>6</v>
      </c>
      <c r="Q773" t="str">
        <f>CHOOSE(WEEKDAY(datos_siembra[[#This Row],[Date]],2),"L","M","X","J","V","S","D")</f>
        <v>V</v>
      </c>
      <c r="R773">
        <f>WEEKNUM(datos_siembra[[#This Row],[Date]],2)-WEEKNUM(DATE(YEAR(datos_siembra[[#This Row],[Date]]),MONTH(datos_siembra[[#This Row],[Date]]),1))+1</f>
        <v>2</v>
      </c>
      <c r="S773">
        <f>MONTH(datos_siembra[[#This Row],[Date]])</f>
        <v>9</v>
      </c>
      <c r="T773" t="str" cm="1">
        <f t="array" ref="T773">_xlfn.IFS(AND(N773&lt;= 22, S773=9), "SOWING",AND(N773&lt;= 28, S773=9), "COVERAGE",AND(N773&lt;= 30, S773=9), "FLUSH",AND(N773&lt;= 11, S773=10), "FLUSH",AND(N773&lt;= 21, S773=10), "PRODUCTION")</f>
        <v>SOWING</v>
      </c>
      <c r="U773">
        <f>HOUR(datos_siembra[[#This Row],[Hour]])</f>
        <v>20</v>
      </c>
      <c r="V773" cm="1">
        <f t="array" ref="V773">_xlfn.IFS(AND(N773&lt;= 22, S773=9), N773-7,AND(N773&lt;= 28, S773=9), N773-25,AND(N773&lt;= 30, S773=9), N773-28,AND(N773&lt;= 11, S773=10), N773+2,AND(N773&lt;= 21, S773=10), N773-11)</f>
        <v>6</v>
      </c>
    </row>
    <row r="774" spans="1:22" x14ac:dyDescent="0.35">
      <c r="A774" s="4">
        <v>45548</v>
      </c>
      <c r="B774" s="5">
        <v>0.86103009259259256</v>
      </c>
      <c r="C774">
        <v>82.9</v>
      </c>
      <c r="D774">
        <v>79.7</v>
      </c>
      <c r="E774">
        <v>84.9</v>
      </c>
      <c r="F774">
        <v>81.5</v>
      </c>
      <c r="G774">
        <v>0</v>
      </c>
      <c r="H774">
        <v>0</v>
      </c>
      <c r="I774">
        <v>0</v>
      </c>
      <c r="J774">
        <v>0</v>
      </c>
      <c r="K774">
        <v>60.8</v>
      </c>
      <c r="L774">
        <v>58.9</v>
      </c>
      <c r="M774">
        <v>82.26</v>
      </c>
      <c r="N774">
        <v>13</v>
      </c>
      <c r="O774">
        <v>3</v>
      </c>
      <c r="P774">
        <f>MOD(DAY(datos_siembra[[#This Row],[Date]]),7)</f>
        <v>6</v>
      </c>
      <c r="Q774" t="str">
        <f>CHOOSE(WEEKDAY(datos_siembra[[#This Row],[Date]],2),"L","M","X","J","V","S","D")</f>
        <v>V</v>
      </c>
      <c r="R774">
        <f>WEEKNUM(datos_siembra[[#This Row],[Date]],2)-WEEKNUM(DATE(YEAR(datos_siembra[[#This Row],[Date]]),MONTH(datos_siembra[[#This Row],[Date]]),1))+1</f>
        <v>2</v>
      </c>
      <c r="S774">
        <f>MONTH(datos_siembra[[#This Row],[Date]])</f>
        <v>9</v>
      </c>
      <c r="T774" t="str" cm="1">
        <f t="array" ref="T774">_xlfn.IFS(AND(N774&lt;= 22, S774=9), "SOWING",AND(N774&lt;= 28, S774=9), "COVERAGE",AND(N774&lt;= 30, S774=9), "FLUSH",AND(N774&lt;= 11, S774=10), "FLUSH",AND(N774&lt;= 21, S774=10), "PRODUCTION")</f>
        <v>SOWING</v>
      </c>
      <c r="U774">
        <f>HOUR(datos_siembra[[#This Row],[Hour]])</f>
        <v>20</v>
      </c>
      <c r="V774" cm="1">
        <f t="array" ref="V774">_xlfn.IFS(AND(N774&lt;= 22, S774=9), N774-7,AND(N774&lt;= 28, S774=9), N774-25,AND(N774&lt;= 30, S774=9), N774-28,AND(N774&lt;= 11, S774=10), N774+2,AND(N774&lt;= 21, S774=10), N774-11)</f>
        <v>6</v>
      </c>
    </row>
    <row r="775" spans="1:22" x14ac:dyDescent="0.35">
      <c r="A775" s="4">
        <v>45548</v>
      </c>
      <c r="B775" s="5">
        <v>0.86798611111111112</v>
      </c>
      <c r="C775">
        <v>83.1</v>
      </c>
      <c r="D775">
        <v>79.599999999999994</v>
      </c>
      <c r="E775">
        <v>84.8</v>
      </c>
      <c r="F775">
        <v>81.400000000000006</v>
      </c>
      <c r="G775">
        <v>0</v>
      </c>
      <c r="H775">
        <v>0</v>
      </c>
      <c r="I775">
        <v>0</v>
      </c>
      <c r="J775">
        <v>0</v>
      </c>
      <c r="K775">
        <v>60.9</v>
      </c>
      <c r="L775">
        <v>58.8</v>
      </c>
      <c r="M775">
        <v>82.2</v>
      </c>
      <c r="N775">
        <v>13</v>
      </c>
      <c r="O775">
        <v>3</v>
      </c>
      <c r="P775">
        <f>MOD(DAY(datos_siembra[[#This Row],[Date]]),7)</f>
        <v>6</v>
      </c>
      <c r="Q775" t="str">
        <f>CHOOSE(WEEKDAY(datos_siembra[[#This Row],[Date]],2),"L","M","X","J","V","S","D")</f>
        <v>V</v>
      </c>
      <c r="R775">
        <f>WEEKNUM(datos_siembra[[#This Row],[Date]],2)-WEEKNUM(DATE(YEAR(datos_siembra[[#This Row],[Date]]),MONTH(datos_siembra[[#This Row],[Date]]),1))+1</f>
        <v>2</v>
      </c>
      <c r="S775">
        <f>MONTH(datos_siembra[[#This Row],[Date]])</f>
        <v>9</v>
      </c>
      <c r="T775" t="str" cm="1">
        <f t="array" ref="T775">_xlfn.IFS(AND(N775&lt;= 22, S775=9), "SOWING",AND(N775&lt;= 28, S775=9), "COVERAGE",AND(N775&lt;= 30, S775=9), "FLUSH",AND(N775&lt;= 11, S775=10), "FLUSH",AND(N775&lt;= 21, S775=10), "PRODUCTION")</f>
        <v>SOWING</v>
      </c>
      <c r="U775">
        <f>HOUR(datos_siembra[[#This Row],[Hour]])</f>
        <v>20</v>
      </c>
      <c r="V775" cm="1">
        <f t="array" ref="V775">_xlfn.IFS(AND(N775&lt;= 22, S775=9), N775-7,AND(N775&lt;= 28, S775=9), N775-25,AND(N775&lt;= 30, S775=9), N775-28,AND(N775&lt;= 11, S775=10), N775+2,AND(N775&lt;= 21, S775=10), N775-11)</f>
        <v>6</v>
      </c>
    </row>
    <row r="776" spans="1:22" x14ac:dyDescent="0.35">
      <c r="A776" s="4">
        <v>45548</v>
      </c>
      <c r="B776" s="5">
        <v>0.87493055555555554</v>
      </c>
      <c r="C776">
        <v>83.1</v>
      </c>
      <c r="D776">
        <v>79.7</v>
      </c>
      <c r="E776">
        <v>84.9</v>
      </c>
      <c r="F776">
        <v>81.5</v>
      </c>
      <c r="G776">
        <v>0</v>
      </c>
      <c r="H776">
        <v>0</v>
      </c>
      <c r="I776">
        <v>0</v>
      </c>
      <c r="J776">
        <v>0</v>
      </c>
      <c r="K776">
        <v>60.9</v>
      </c>
      <c r="L776">
        <v>58.9</v>
      </c>
      <c r="M776">
        <v>82.12</v>
      </c>
      <c r="N776">
        <v>13</v>
      </c>
      <c r="O776">
        <v>3</v>
      </c>
      <c r="P776">
        <f>MOD(DAY(datos_siembra[[#This Row],[Date]]),7)</f>
        <v>6</v>
      </c>
      <c r="Q776" t="str">
        <f>CHOOSE(WEEKDAY(datos_siembra[[#This Row],[Date]],2),"L","M","X","J","V","S","D")</f>
        <v>V</v>
      </c>
      <c r="R776">
        <f>WEEKNUM(datos_siembra[[#This Row],[Date]],2)-WEEKNUM(DATE(YEAR(datos_siembra[[#This Row],[Date]]),MONTH(datos_siembra[[#This Row],[Date]]),1))+1</f>
        <v>2</v>
      </c>
      <c r="S776">
        <f>MONTH(datos_siembra[[#This Row],[Date]])</f>
        <v>9</v>
      </c>
      <c r="T776" t="str" cm="1">
        <f t="array" ref="T776">_xlfn.IFS(AND(N776&lt;= 22, S776=9), "SOWING",AND(N776&lt;= 28, S776=9), "COVERAGE",AND(N776&lt;= 30, S776=9), "FLUSH",AND(N776&lt;= 11, S776=10), "FLUSH",AND(N776&lt;= 21, S776=10), "PRODUCTION")</f>
        <v>SOWING</v>
      </c>
      <c r="U776">
        <f>HOUR(datos_siembra[[#This Row],[Hour]])</f>
        <v>20</v>
      </c>
      <c r="V776" cm="1">
        <f t="array" ref="V776">_xlfn.IFS(AND(N776&lt;= 22, S776=9), N776-7,AND(N776&lt;= 28, S776=9), N776-25,AND(N776&lt;= 30, S776=9), N776-28,AND(N776&lt;= 11, S776=10), N776+2,AND(N776&lt;= 21, S776=10), N776-11)</f>
        <v>6</v>
      </c>
    </row>
    <row r="777" spans="1:22" x14ac:dyDescent="0.35">
      <c r="A777" s="4">
        <v>45548</v>
      </c>
      <c r="B777" s="5">
        <v>0.88187499999999996</v>
      </c>
      <c r="C777">
        <v>83</v>
      </c>
      <c r="D777">
        <v>79.599999999999994</v>
      </c>
      <c r="E777">
        <v>84.9</v>
      </c>
      <c r="F777">
        <v>81.5</v>
      </c>
      <c r="G777">
        <v>0</v>
      </c>
      <c r="H777">
        <v>0</v>
      </c>
      <c r="I777">
        <v>0</v>
      </c>
      <c r="J777">
        <v>0</v>
      </c>
      <c r="K777">
        <v>60.9</v>
      </c>
      <c r="L777">
        <v>58.8</v>
      </c>
      <c r="M777">
        <v>82.12</v>
      </c>
      <c r="N777">
        <v>13</v>
      </c>
      <c r="O777">
        <v>3</v>
      </c>
      <c r="P777">
        <f>MOD(DAY(datos_siembra[[#This Row],[Date]]),7)</f>
        <v>6</v>
      </c>
      <c r="Q777" t="str">
        <f>CHOOSE(WEEKDAY(datos_siembra[[#This Row],[Date]],2),"L","M","X","J","V","S","D")</f>
        <v>V</v>
      </c>
      <c r="R777">
        <f>WEEKNUM(datos_siembra[[#This Row],[Date]],2)-WEEKNUM(DATE(YEAR(datos_siembra[[#This Row],[Date]]),MONTH(datos_siembra[[#This Row],[Date]]),1))+1</f>
        <v>2</v>
      </c>
      <c r="S777">
        <f>MONTH(datos_siembra[[#This Row],[Date]])</f>
        <v>9</v>
      </c>
      <c r="T777" t="str" cm="1">
        <f t="array" ref="T777">_xlfn.IFS(AND(N777&lt;= 22, S777=9), "SOWING",AND(N777&lt;= 28, S777=9), "COVERAGE",AND(N777&lt;= 30, S777=9), "FLUSH",AND(N777&lt;= 11, S777=10), "FLUSH",AND(N777&lt;= 21, S777=10), "PRODUCTION")</f>
        <v>SOWING</v>
      </c>
      <c r="U777">
        <f>HOUR(datos_siembra[[#This Row],[Hour]])</f>
        <v>21</v>
      </c>
      <c r="V777" cm="1">
        <f t="array" ref="V777">_xlfn.IFS(AND(N777&lt;= 22, S777=9), N777-7,AND(N777&lt;= 28, S777=9), N777-25,AND(N777&lt;= 30, S777=9), N777-28,AND(N777&lt;= 11, S777=10), N777+2,AND(N777&lt;= 21, S777=10), N777-11)</f>
        <v>6</v>
      </c>
    </row>
    <row r="778" spans="1:22" x14ac:dyDescent="0.35">
      <c r="A778" s="4">
        <v>45548</v>
      </c>
      <c r="B778" s="5">
        <v>0.8888194444444445</v>
      </c>
      <c r="C778">
        <v>83</v>
      </c>
      <c r="D778">
        <v>79.599999999999994</v>
      </c>
      <c r="E778">
        <v>84.8</v>
      </c>
      <c r="F778">
        <v>81.5</v>
      </c>
      <c r="G778">
        <v>0</v>
      </c>
      <c r="H778">
        <v>0</v>
      </c>
      <c r="I778">
        <v>0</v>
      </c>
      <c r="J778">
        <v>0</v>
      </c>
      <c r="K778">
        <v>60.8</v>
      </c>
      <c r="L778">
        <v>58.8</v>
      </c>
      <c r="M778">
        <v>82.2</v>
      </c>
      <c r="N778">
        <v>13</v>
      </c>
      <c r="O778">
        <v>3</v>
      </c>
      <c r="P778">
        <f>MOD(DAY(datos_siembra[[#This Row],[Date]]),7)</f>
        <v>6</v>
      </c>
      <c r="Q778" t="str">
        <f>CHOOSE(WEEKDAY(datos_siembra[[#This Row],[Date]],2),"L","M","X","J","V","S","D")</f>
        <v>V</v>
      </c>
      <c r="R778">
        <f>WEEKNUM(datos_siembra[[#This Row],[Date]],2)-WEEKNUM(DATE(YEAR(datos_siembra[[#This Row],[Date]]),MONTH(datos_siembra[[#This Row],[Date]]),1))+1</f>
        <v>2</v>
      </c>
      <c r="S778">
        <f>MONTH(datos_siembra[[#This Row],[Date]])</f>
        <v>9</v>
      </c>
      <c r="T778" t="str" cm="1">
        <f t="array" ref="T778">_xlfn.IFS(AND(N778&lt;= 22, S778=9), "SOWING",AND(N778&lt;= 28, S778=9), "COVERAGE",AND(N778&lt;= 30, S778=9), "FLUSH",AND(N778&lt;= 11, S778=10), "FLUSH",AND(N778&lt;= 21, S778=10), "PRODUCTION")</f>
        <v>SOWING</v>
      </c>
      <c r="U778">
        <f>HOUR(datos_siembra[[#This Row],[Hour]])</f>
        <v>21</v>
      </c>
      <c r="V778" cm="1">
        <f t="array" ref="V778">_xlfn.IFS(AND(N778&lt;= 22, S778=9), N778-7,AND(N778&lt;= 28, S778=9), N778-25,AND(N778&lt;= 30, S778=9), N778-28,AND(N778&lt;= 11, S778=10), N778+2,AND(N778&lt;= 21, S778=10), N778-11)</f>
        <v>6</v>
      </c>
    </row>
    <row r="779" spans="1:22" x14ac:dyDescent="0.35">
      <c r="A779" s="4">
        <v>45548</v>
      </c>
      <c r="B779" s="5">
        <v>0.89577546296296295</v>
      </c>
      <c r="C779">
        <v>82.9</v>
      </c>
      <c r="D779">
        <v>79.599999999999994</v>
      </c>
      <c r="E779">
        <v>84.8</v>
      </c>
      <c r="F779">
        <v>81.400000000000006</v>
      </c>
      <c r="G779">
        <v>0</v>
      </c>
      <c r="H779">
        <v>0</v>
      </c>
      <c r="I779">
        <v>0</v>
      </c>
      <c r="J779">
        <v>0</v>
      </c>
      <c r="K779">
        <v>60.6</v>
      </c>
      <c r="L779">
        <v>58.7</v>
      </c>
      <c r="M779">
        <v>82.23</v>
      </c>
      <c r="N779">
        <v>13</v>
      </c>
      <c r="O779">
        <v>3</v>
      </c>
      <c r="P779">
        <f>MOD(DAY(datos_siembra[[#This Row],[Date]]),7)</f>
        <v>6</v>
      </c>
      <c r="Q779" t="str">
        <f>CHOOSE(WEEKDAY(datos_siembra[[#This Row],[Date]],2),"L","M","X","J","V","S","D")</f>
        <v>V</v>
      </c>
      <c r="R779">
        <f>WEEKNUM(datos_siembra[[#This Row],[Date]],2)-WEEKNUM(DATE(YEAR(datos_siembra[[#This Row],[Date]]),MONTH(datos_siembra[[#This Row],[Date]]),1))+1</f>
        <v>2</v>
      </c>
      <c r="S779">
        <f>MONTH(datos_siembra[[#This Row],[Date]])</f>
        <v>9</v>
      </c>
      <c r="T779" t="str" cm="1">
        <f t="array" ref="T779">_xlfn.IFS(AND(N779&lt;= 22, S779=9), "SOWING",AND(N779&lt;= 28, S779=9), "COVERAGE",AND(N779&lt;= 30, S779=9), "FLUSH",AND(N779&lt;= 11, S779=10), "FLUSH",AND(N779&lt;= 21, S779=10), "PRODUCTION")</f>
        <v>SOWING</v>
      </c>
      <c r="U779">
        <f>HOUR(datos_siembra[[#This Row],[Hour]])</f>
        <v>21</v>
      </c>
      <c r="V779" cm="1">
        <f t="array" ref="V779">_xlfn.IFS(AND(N779&lt;= 22, S779=9), N779-7,AND(N779&lt;= 28, S779=9), N779-25,AND(N779&lt;= 30, S779=9), N779-28,AND(N779&lt;= 11, S779=10), N779+2,AND(N779&lt;= 21, S779=10), N779-11)</f>
        <v>6</v>
      </c>
    </row>
    <row r="780" spans="1:22" x14ac:dyDescent="0.35">
      <c r="A780" s="4">
        <v>45548</v>
      </c>
      <c r="B780" s="5">
        <v>0.90271990740740737</v>
      </c>
      <c r="C780">
        <v>82.9</v>
      </c>
      <c r="D780">
        <v>79.5</v>
      </c>
      <c r="E780">
        <v>84.6</v>
      </c>
      <c r="F780">
        <v>81.400000000000006</v>
      </c>
      <c r="G780">
        <v>0</v>
      </c>
      <c r="H780">
        <v>0</v>
      </c>
      <c r="I780">
        <v>0</v>
      </c>
      <c r="J780">
        <v>0</v>
      </c>
      <c r="K780">
        <v>60.8</v>
      </c>
      <c r="L780">
        <v>58.7</v>
      </c>
      <c r="M780">
        <v>82.17</v>
      </c>
      <c r="N780">
        <v>13</v>
      </c>
      <c r="O780">
        <v>3</v>
      </c>
      <c r="P780">
        <f>MOD(DAY(datos_siembra[[#This Row],[Date]]),7)</f>
        <v>6</v>
      </c>
      <c r="Q780" t="str">
        <f>CHOOSE(WEEKDAY(datos_siembra[[#This Row],[Date]],2),"L","M","X","J","V","S","D")</f>
        <v>V</v>
      </c>
      <c r="R780">
        <f>WEEKNUM(datos_siembra[[#This Row],[Date]],2)-WEEKNUM(DATE(YEAR(datos_siembra[[#This Row],[Date]]),MONTH(datos_siembra[[#This Row],[Date]]),1))+1</f>
        <v>2</v>
      </c>
      <c r="S780">
        <f>MONTH(datos_siembra[[#This Row],[Date]])</f>
        <v>9</v>
      </c>
      <c r="T780" t="str" cm="1">
        <f t="array" ref="T780">_xlfn.IFS(AND(N780&lt;= 22, S780=9), "SOWING",AND(N780&lt;= 28, S780=9), "COVERAGE",AND(N780&lt;= 30, S780=9), "FLUSH",AND(N780&lt;= 11, S780=10), "FLUSH",AND(N780&lt;= 21, S780=10), "PRODUCTION")</f>
        <v>SOWING</v>
      </c>
      <c r="U780">
        <f>HOUR(datos_siembra[[#This Row],[Hour]])</f>
        <v>21</v>
      </c>
      <c r="V780" cm="1">
        <f t="array" ref="V780">_xlfn.IFS(AND(N780&lt;= 22, S780=9), N780-7,AND(N780&lt;= 28, S780=9), N780-25,AND(N780&lt;= 30, S780=9), N780-28,AND(N780&lt;= 11, S780=10), N780+2,AND(N780&lt;= 21, S780=10), N780-11)</f>
        <v>6</v>
      </c>
    </row>
    <row r="781" spans="1:22" x14ac:dyDescent="0.35">
      <c r="A781" s="4">
        <v>45548</v>
      </c>
      <c r="B781" s="5">
        <v>0.9096643518518519</v>
      </c>
      <c r="C781">
        <v>82.9</v>
      </c>
      <c r="D781">
        <v>79.599999999999994</v>
      </c>
      <c r="E781">
        <v>84.6</v>
      </c>
      <c r="F781">
        <v>81.5</v>
      </c>
      <c r="G781">
        <v>0</v>
      </c>
      <c r="H781">
        <v>0</v>
      </c>
      <c r="I781">
        <v>0</v>
      </c>
      <c r="J781">
        <v>0</v>
      </c>
      <c r="K781">
        <v>60.6</v>
      </c>
      <c r="L781">
        <v>58.5</v>
      </c>
      <c r="M781">
        <v>82.06</v>
      </c>
      <c r="N781">
        <v>13</v>
      </c>
      <c r="O781">
        <v>3</v>
      </c>
      <c r="P781">
        <f>MOD(DAY(datos_siembra[[#This Row],[Date]]),7)</f>
        <v>6</v>
      </c>
      <c r="Q781" t="str">
        <f>CHOOSE(WEEKDAY(datos_siembra[[#This Row],[Date]],2),"L","M","X","J","V","S","D")</f>
        <v>V</v>
      </c>
      <c r="R781">
        <f>WEEKNUM(datos_siembra[[#This Row],[Date]],2)-WEEKNUM(DATE(YEAR(datos_siembra[[#This Row],[Date]]),MONTH(datos_siembra[[#This Row],[Date]]),1))+1</f>
        <v>2</v>
      </c>
      <c r="S781">
        <f>MONTH(datos_siembra[[#This Row],[Date]])</f>
        <v>9</v>
      </c>
      <c r="T781" t="str" cm="1">
        <f t="array" ref="T781">_xlfn.IFS(AND(N781&lt;= 22, S781=9), "SOWING",AND(N781&lt;= 28, S781=9), "COVERAGE",AND(N781&lt;= 30, S781=9), "FLUSH",AND(N781&lt;= 11, S781=10), "FLUSH",AND(N781&lt;= 21, S781=10), "PRODUCTION")</f>
        <v>SOWING</v>
      </c>
      <c r="U781">
        <f>HOUR(datos_siembra[[#This Row],[Hour]])</f>
        <v>21</v>
      </c>
      <c r="V781" cm="1">
        <f t="array" ref="V781">_xlfn.IFS(AND(N781&lt;= 22, S781=9), N781-7,AND(N781&lt;= 28, S781=9), N781-25,AND(N781&lt;= 30, S781=9), N781-28,AND(N781&lt;= 11, S781=10), N781+2,AND(N781&lt;= 21, S781=10), N781-11)</f>
        <v>6</v>
      </c>
    </row>
    <row r="782" spans="1:22" x14ac:dyDescent="0.35">
      <c r="A782" s="4">
        <v>45548</v>
      </c>
      <c r="B782" s="5">
        <v>0.91662037037037036</v>
      </c>
      <c r="C782">
        <v>83</v>
      </c>
      <c r="D782">
        <v>79.3</v>
      </c>
      <c r="E782">
        <v>84.6</v>
      </c>
      <c r="F782">
        <v>81.400000000000006</v>
      </c>
      <c r="G782">
        <v>0</v>
      </c>
      <c r="H782">
        <v>0</v>
      </c>
      <c r="I782">
        <v>0</v>
      </c>
      <c r="J782">
        <v>0</v>
      </c>
      <c r="K782">
        <v>60.6</v>
      </c>
      <c r="L782">
        <v>58.5</v>
      </c>
      <c r="M782">
        <v>82.09</v>
      </c>
      <c r="N782">
        <v>13</v>
      </c>
      <c r="O782">
        <v>3</v>
      </c>
      <c r="P782">
        <f>MOD(DAY(datos_siembra[[#This Row],[Date]]),7)</f>
        <v>6</v>
      </c>
      <c r="Q782" t="str">
        <f>CHOOSE(WEEKDAY(datos_siembra[[#This Row],[Date]],2),"L","M","X","J","V","S","D")</f>
        <v>V</v>
      </c>
      <c r="R782">
        <f>WEEKNUM(datos_siembra[[#This Row],[Date]],2)-WEEKNUM(DATE(YEAR(datos_siembra[[#This Row],[Date]]),MONTH(datos_siembra[[#This Row],[Date]]),1))+1</f>
        <v>2</v>
      </c>
      <c r="S782">
        <f>MONTH(datos_siembra[[#This Row],[Date]])</f>
        <v>9</v>
      </c>
      <c r="T782" t="str" cm="1">
        <f t="array" ref="T782">_xlfn.IFS(AND(N782&lt;= 22, S782=9), "SOWING",AND(N782&lt;= 28, S782=9), "COVERAGE",AND(N782&lt;= 30, S782=9), "FLUSH",AND(N782&lt;= 11, S782=10), "FLUSH",AND(N782&lt;= 21, S782=10), "PRODUCTION")</f>
        <v>SOWING</v>
      </c>
      <c r="U782">
        <f>HOUR(datos_siembra[[#This Row],[Hour]])</f>
        <v>21</v>
      </c>
      <c r="V782" cm="1">
        <f t="array" ref="V782">_xlfn.IFS(AND(N782&lt;= 22, S782=9), N782-7,AND(N782&lt;= 28, S782=9), N782-25,AND(N782&lt;= 30, S782=9), N782-28,AND(N782&lt;= 11, S782=10), N782+2,AND(N782&lt;= 21, S782=10), N782-11)</f>
        <v>6</v>
      </c>
    </row>
    <row r="783" spans="1:22" x14ac:dyDescent="0.35">
      <c r="A783" s="4">
        <v>45548</v>
      </c>
      <c r="B783" s="5">
        <v>0.92356481481481478</v>
      </c>
      <c r="C783">
        <v>82.9</v>
      </c>
      <c r="D783">
        <v>79.400000000000006</v>
      </c>
      <c r="E783">
        <v>84.6</v>
      </c>
      <c r="F783">
        <v>81.3</v>
      </c>
      <c r="G783">
        <v>0</v>
      </c>
      <c r="H783">
        <v>0</v>
      </c>
      <c r="I783">
        <v>0</v>
      </c>
      <c r="J783">
        <v>0</v>
      </c>
      <c r="K783">
        <v>60.6</v>
      </c>
      <c r="L783">
        <v>58.5</v>
      </c>
      <c r="M783">
        <v>82.12</v>
      </c>
      <c r="N783">
        <v>13</v>
      </c>
      <c r="O783">
        <v>3</v>
      </c>
      <c r="P783">
        <f>MOD(DAY(datos_siembra[[#This Row],[Date]]),7)</f>
        <v>6</v>
      </c>
      <c r="Q783" t="str">
        <f>CHOOSE(WEEKDAY(datos_siembra[[#This Row],[Date]],2),"L","M","X","J","V","S","D")</f>
        <v>V</v>
      </c>
      <c r="R783">
        <f>WEEKNUM(datos_siembra[[#This Row],[Date]],2)-WEEKNUM(DATE(YEAR(datos_siembra[[#This Row],[Date]]),MONTH(datos_siembra[[#This Row],[Date]]),1))+1</f>
        <v>2</v>
      </c>
      <c r="S783">
        <f>MONTH(datos_siembra[[#This Row],[Date]])</f>
        <v>9</v>
      </c>
      <c r="T783" t="str" cm="1">
        <f t="array" ref="T783">_xlfn.IFS(AND(N783&lt;= 22, S783=9), "SOWING",AND(N783&lt;= 28, S783=9), "COVERAGE",AND(N783&lt;= 30, S783=9), "FLUSH",AND(N783&lt;= 11, S783=10), "FLUSH",AND(N783&lt;= 21, S783=10), "PRODUCTION")</f>
        <v>SOWING</v>
      </c>
      <c r="U783">
        <f>HOUR(datos_siembra[[#This Row],[Hour]])</f>
        <v>22</v>
      </c>
      <c r="V783" cm="1">
        <f t="array" ref="V783">_xlfn.IFS(AND(N783&lt;= 22, S783=9), N783-7,AND(N783&lt;= 28, S783=9), N783-25,AND(N783&lt;= 30, S783=9), N783-28,AND(N783&lt;= 11, S783=10), N783+2,AND(N783&lt;= 21, S783=10), N783-11)</f>
        <v>6</v>
      </c>
    </row>
    <row r="784" spans="1:22" x14ac:dyDescent="0.35">
      <c r="A784" s="4">
        <v>45548</v>
      </c>
      <c r="B784" s="5">
        <v>0.93050925925925931</v>
      </c>
      <c r="C784">
        <v>82.9</v>
      </c>
      <c r="D784">
        <v>79.3</v>
      </c>
      <c r="E784">
        <v>84.4</v>
      </c>
      <c r="F784">
        <v>81.3</v>
      </c>
      <c r="G784">
        <v>0</v>
      </c>
      <c r="H784">
        <v>0</v>
      </c>
      <c r="I784">
        <v>0</v>
      </c>
      <c r="J784">
        <v>0</v>
      </c>
      <c r="K784">
        <v>60.6</v>
      </c>
      <c r="L784">
        <v>58.5</v>
      </c>
      <c r="M784">
        <v>82.06</v>
      </c>
      <c r="N784">
        <v>13</v>
      </c>
      <c r="O784">
        <v>3</v>
      </c>
      <c r="P784">
        <f>MOD(DAY(datos_siembra[[#This Row],[Date]]),7)</f>
        <v>6</v>
      </c>
      <c r="Q784" t="str">
        <f>CHOOSE(WEEKDAY(datos_siembra[[#This Row],[Date]],2),"L","M","X","J","V","S","D")</f>
        <v>V</v>
      </c>
      <c r="R784">
        <f>WEEKNUM(datos_siembra[[#This Row],[Date]],2)-WEEKNUM(DATE(YEAR(datos_siembra[[#This Row],[Date]]),MONTH(datos_siembra[[#This Row],[Date]]),1))+1</f>
        <v>2</v>
      </c>
      <c r="S784">
        <f>MONTH(datos_siembra[[#This Row],[Date]])</f>
        <v>9</v>
      </c>
      <c r="T784" t="str" cm="1">
        <f t="array" ref="T784">_xlfn.IFS(AND(N784&lt;= 22, S784=9), "SOWING",AND(N784&lt;= 28, S784=9), "COVERAGE",AND(N784&lt;= 30, S784=9), "FLUSH",AND(N784&lt;= 11, S784=10), "FLUSH",AND(N784&lt;= 21, S784=10), "PRODUCTION")</f>
        <v>SOWING</v>
      </c>
      <c r="U784">
        <f>HOUR(datos_siembra[[#This Row],[Hour]])</f>
        <v>22</v>
      </c>
      <c r="V784" cm="1">
        <f t="array" ref="V784">_xlfn.IFS(AND(N784&lt;= 22, S784=9), N784-7,AND(N784&lt;= 28, S784=9), N784-25,AND(N784&lt;= 30, S784=9), N784-28,AND(N784&lt;= 11, S784=10), N784+2,AND(N784&lt;= 21, S784=10), N784-11)</f>
        <v>6</v>
      </c>
    </row>
    <row r="785" spans="1:22" x14ac:dyDescent="0.35">
      <c r="A785" s="4">
        <v>45548</v>
      </c>
      <c r="B785" s="5">
        <v>0.93745370370370373</v>
      </c>
      <c r="C785">
        <v>82.9</v>
      </c>
      <c r="D785">
        <v>79.400000000000006</v>
      </c>
      <c r="E785">
        <v>84.5</v>
      </c>
      <c r="F785">
        <v>81.400000000000006</v>
      </c>
      <c r="G785">
        <v>0</v>
      </c>
      <c r="H785">
        <v>0</v>
      </c>
      <c r="I785">
        <v>0</v>
      </c>
      <c r="J785">
        <v>0</v>
      </c>
      <c r="K785">
        <v>60.5</v>
      </c>
      <c r="L785">
        <v>58.4</v>
      </c>
      <c r="M785">
        <v>81.98</v>
      </c>
      <c r="N785">
        <v>13</v>
      </c>
      <c r="O785">
        <v>3</v>
      </c>
      <c r="P785">
        <f>MOD(DAY(datos_siembra[[#This Row],[Date]]),7)</f>
        <v>6</v>
      </c>
      <c r="Q785" t="str">
        <f>CHOOSE(WEEKDAY(datos_siembra[[#This Row],[Date]],2),"L","M","X","J","V","S","D")</f>
        <v>V</v>
      </c>
      <c r="R785">
        <f>WEEKNUM(datos_siembra[[#This Row],[Date]],2)-WEEKNUM(DATE(YEAR(datos_siembra[[#This Row],[Date]]),MONTH(datos_siembra[[#This Row],[Date]]),1))+1</f>
        <v>2</v>
      </c>
      <c r="S785">
        <f>MONTH(datos_siembra[[#This Row],[Date]])</f>
        <v>9</v>
      </c>
      <c r="T785" t="str" cm="1">
        <f t="array" ref="T785">_xlfn.IFS(AND(N785&lt;= 22, S785=9), "SOWING",AND(N785&lt;= 28, S785=9), "COVERAGE",AND(N785&lt;= 30, S785=9), "FLUSH",AND(N785&lt;= 11, S785=10), "FLUSH",AND(N785&lt;= 21, S785=10), "PRODUCTION")</f>
        <v>SOWING</v>
      </c>
      <c r="U785">
        <f>HOUR(datos_siembra[[#This Row],[Hour]])</f>
        <v>22</v>
      </c>
      <c r="V785" cm="1">
        <f t="array" ref="V785">_xlfn.IFS(AND(N785&lt;= 22, S785=9), N785-7,AND(N785&lt;= 28, S785=9), N785-25,AND(N785&lt;= 30, S785=9), N785-28,AND(N785&lt;= 11, S785=10), N785+2,AND(N785&lt;= 21, S785=10), N785-11)</f>
        <v>6</v>
      </c>
    </row>
    <row r="786" spans="1:22" x14ac:dyDescent="0.35">
      <c r="A786" s="4">
        <v>45548</v>
      </c>
      <c r="B786" s="5">
        <v>0.94440972222222219</v>
      </c>
      <c r="C786">
        <v>82.9</v>
      </c>
      <c r="D786">
        <v>79.3</v>
      </c>
      <c r="E786">
        <v>84.4</v>
      </c>
      <c r="F786">
        <v>81.5</v>
      </c>
      <c r="G786">
        <v>0</v>
      </c>
      <c r="H786">
        <v>0</v>
      </c>
      <c r="I786">
        <v>0</v>
      </c>
      <c r="J786">
        <v>0</v>
      </c>
      <c r="K786">
        <v>60.5</v>
      </c>
      <c r="L786">
        <v>58.4</v>
      </c>
      <c r="M786">
        <v>81.98</v>
      </c>
      <c r="N786">
        <v>13</v>
      </c>
      <c r="O786">
        <v>3</v>
      </c>
      <c r="P786">
        <f>MOD(DAY(datos_siembra[[#This Row],[Date]]),7)</f>
        <v>6</v>
      </c>
      <c r="Q786" t="str">
        <f>CHOOSE(WEEKDAY(datos_siembra[[#This Row],[Date]],2),"L","M","X","J","V","S","D")</f>
        <v>V</v>
      </c>
      <c r="R786">
        <f>WEEKNUM(datos_siembra[[#This Row],[Date]],2)-WEEKNUM(DATE(YEAR(datos_siembra[[#This Row],[Date]]),MONTH(datos_siembra[[#This Row],[Date]]),1))+1</f>
        <v>2</v>
      </c>
      <c r="S786">
        <f>MONTH(datos_siembra[[#This Row],[Date]])</f>
        <v>9</v>
      </c>
      <c r="T786" t="str" cm="1">
        <f t="array" ref="T786">_xlfn.IFS(AND(N786&lt;= 22, S786=9), "SOWING",AND(N786&lt;= 28, S786=9), "COVERAGE",AND(N786&lt;= 30, S786=9), "FLUSH",AND(N786&lt;= 11, S786=10), "FLUSH",AND(N786&lt;= 21, S786=10), "PRODUCTION")</f>
        <v>SOWING</v>
      </c>
      <c r="U786">
        <f>HOUR(datos_siembra[[#This Row],[Hour]])</f>
        <v>22</v>
      </c>
      <c r="V786" cm="1">
        <f t="array" ref="V786">_xlfn.IFS(AND(N786&lt;= 22, S786=9), N786-7,AND(N786&lt;= 28, S786=9), N786-25,AND(N786&lt;= 30, S786=9), N786-28,AND(N786&lt;= 11, S786=10), N786+2,AND(N786&lt;= 21, S786=10), N786-11)</f>
        <v>6</v>
      </c>
    </row>
    <row r="787" spans="1:22" x14ac:dyDescent="0.35">
      <c r="A787" s="4">
        <v>45548</v>
      </c>
      <c r="B787" s="5">
        <v>0.95135416666666661</v>
      </c>
      <c r="C787">
        <v>83</v>
      </c>
      <c r="D787">
        <v>79.099999999999994</v>
      </c>
      <c r="E787">
        <v>84.5</v>
      </c>
      <c r="F787">
        <v>81.099999999999994</v>
      </c>
      <c r="G787">
        <v>0</v>
      </c>
      <c r="H787">
        <v>0</v>
      </c>
      <c r="I787">
        <v>0</v>
      </c>
      <c r="J787">
        <v>0</v>
      </c>
      <c r="K787">
        <v>60.3</v>
      </c>
      <c r="L787">
        <v>58.4</v>
      </c>
      <c r="M787">
        <v>81.98</v>
      </c>
      <c r="N787">
        <v>13</v>
      </c>
      <c r="O787">
        <v>3</v>
      </c>
      <c r="P787">
        <f>MOD(DAY(datos_siembra[[#This Row],[Date]]),7)</f>
        <v>6</v>
      </c>
      <c r="Q787" t="str">
        <f>CHOOSE(WEEKDAY(datos_siembra[[#This Row],[Date]],2),"L","M","X","J","V","S","D")</f>
        <v>V</v>
      </c>
      <c r="R787">
        <f>WEEKNUM(datos_siembra[[#This Row],[Date]],2)-WEEKNUM(DATE(YEAR(datos_siembra[[#This Row],[Date]]),MONTH(datos_siembra[[#This Row],[Date]]),1))+1</f>
        <v>2</v>
      </c>
      <c r="S787">
        <f>MONTH(datos_siembra[[#This Row],[Date]])</f>
        <v>9</v>
      </c>
      <c r="T787" t="str" cm="1">
        <f t="array" ref="T787">_xlfn.IFS(AND(N787&lt;= 22, S787=9), "SOWING",AND(N787&lt;= 28, S787=9), "COVERAGE",AND(N787&lt;= 30, S787=9), "FLUSH",AND(N787&lt;= 11, S787=10), "FLUSH",AND(N787&lt;= 21, S787=10), "PRODUCTION")</f>
        <v>SOWING</v>
      </c>
      <c r="U787">
        <f>HOUR(datos_siembra[[#This Row],[Hour]])</f>
        <v>22</v>
      </c>
      <c r="V787" cm="1">
        <f t="array" ref="V787">_xlfn.IFS(AND(N787&lt;= 22, S787=9), N787-7,AND(N787&lt;= 28, S787=9), N787-25,AND(N787&lt;= 30, S787=9), N787-28,AND(N787&lt;= 11, S787=10), N787+2,AND(N787&lt;= 21, S787=10), N787-11)</f>
        <v>6</v>
      </c>
    </row>
    <row r="788" spans="1:22" x14ac:dyDescent="0.35">
      <c r="A788" s="4">
        <v>45548</v>
      </c>
      <c r="B788" s="5">
        <v>0.95829861111111114</v>
      </c>
      <c r="C788">
        <v>83</v>
      </c>
      <c r="D788">
        <v>79.099999999999994</v>
      </c>
      <c r="E788">
        <v>84.3</v>
      </c>
      <c r="F788">
        <v>81.400000000000006</v>
      </c>
      <c r="G788">
        <v>0</v>
      </c>
      <c r="H788">
        <v>0</v>
      </c>
      <c r="I788">
        <v>0</v>
      </c>
      <c r="J788">
        <v>0</v>
      </c>
      <c r="K788">
        <v>60.2</v>
      </c>
      <c r="L788">
        <v>58.2</v>
      </c>
      <c r="M788">
        <v>81.95</v>
      </c>
      <c r="N788">
        <v>13</v>
      </c>
      <c r="O788">
        <v>3</v>
      </c>
      <c r="P788">
        <f>MOD(DAY(datos_siembra[[#This Row],[Date]]),7)</f>
        <v>6</v>
      </c>
      <c r="Q788" t="str">
        <f>CHOOSE(WEEKDAY(datos_siembra[[#This Row],[Date]],2),"L","M","X","J","V","S","D")</f>
        <v>V</v>
      </c>
      <c r="R788">
        <f>WEEKNUM(datos_siembra[[#This Row],[Date]],2)-WEEKNUM(DATE(YEAR(datos_siembra[[#This Row],[Date]]),MONTH(datos_siembra[[#This Row],[Date]]),1))+1</f>
        <v>2</v>
      </c>
      <c r="S788">
        <f>MONTH(datos_siembra[[#This Row],[Date]])</f>
        <v>9</v>
      </c>
      <c r="T788" t="str" cm="1">
        <f t="array" ref="T788">_xlfn.IFS(AND(N788&lt;= 22, S788=9), "SOWING",AND(N788&lt;= 28, S788=9), "COVERAGE",AND(N788&lt;= 30, S788=9), "FLUSH",AND(N788&lt;= 11, S788=10), "FLUSH",AND(N788&lt;= 21, S788=10), "PRODUCTION")</f>
        <v>SOWING</v>
      </c>
      <c r="U788">
        <f>HOUR(datos_siembra[[#This Row],[Hour]])</f>
        <v>22</v>
      </c>
      <c r="V788" cm="1">
        <f t="array" ref="V788">_xlfn.IFS(AND(N788&lt;= 22, S788=9), N788-7,AND(N788&lt;= 28, S788=9), N788-25,AND(N788&lt;= 30, S788=9), N788-28,AND(N788&lt;= 11, S788=10), N788+2,AND(N788&lt;= 21, S788=10), N788-11)</f>
        <v>6</v>
      </c>
    </row>
    <row r="789" spans="1:22" x14ac:dyDescent="0.35">
      <c r="A789" s="4">
        <v>45548</v>
      </c>
      <c r="B789" s="5">
        <v>0.96524305555555556</v>
      </c>
      <c r="C789">
        <v>83</v>
      </c>
      <c r="D789">
        <v>79.099999999999994</v>
      </c>
      <c r="E789">
        <v>84.3</v>
      </c>
      <c r="F789">
        <v>81.2</v>
      </c>
      <c r="G789">
        <v>0</v>
      </c>
      <c r="H789">
        <v>0</v>
      </c>
      <c r="I789">
        <v>0</v>
      </c>
      <c r="J789">
        <v>0</v>
      </c>
      <c r="K789">
        <v>60.2</v>
      </c>
      <c r="L789">
        <v>58.3</v>
      </c>
      <c r="M789">
        <v>81.95</v>
      </c>
      <c r="N789">
        <v>13</v>
      </c>
      <c r="O789">
        <v>3</v>
      </c>
      <c r="P789">
        <f>MOD(DAY(datos_siembra[[#This Row],[Date]]),7)</f>
        <v>6</v>
      </c>
      <c r="Q789" t="str">
        <f>CHOOSE(WEEKDAY(datos_siembra[[#This Row],[Date]],2),"L","M","X","J","V","S","D")</f>
        <v>V</v>
      </c>
      <c r="R789">
        <f>WEEKNUM(datos_siembra[[#This Row],[Date]],2)-WEEKNUM(DATE(YEAR(datos_siembra[[#This Row],[Date]]),MONTH(datos_siembra[[#This Row],[Date]]),1))+1</f>
        <v>2</v>
      </c>
      <c r="S789">
        <f>MONTH(datos_siembra[[#This Row],[Date]])</f>
        <v>9</v>
      </c>
      <c r="T789" t="str" cm="1">
        <f t="array" ref="T789">_xlfn.IFS(AND(N789&lt;= 22, S789=9), "SOWING",AND(N789&lt;= 28, S789=9), "COVERAGE",AND(N789&lt;= 30, S789=9), "FLUSH",AND(N789&lt;= 11, S789=10), "FLUSH",AND(N789&lt;= 21, S789=10), "PRODUCTION")</f>
        <v>SOWING</v>
      </c>
      <c r="U789">
        <f>HOUR(datos_siembra[[#This Row],[Hour]])</f>
        <v>23</v>
      </c>
      <c r="V789" cm="1">
        <f t="array" ref="V789">_xlfn.IFS(AND(N789&lt;= 22, S789=9), N789-7,AND(N789&lt;= 28, S789=9), N789-25,AND(N789&lt;= 30, S789=9), N789-28,AND(N789&lt;= 11, S789=10), N789+2,AND(N789&lt;= 21, S789=10), N789-11)</f>
        <v>6</v>
      </c>
    </row>
    <row r="790" spans="1:22" x14ac:dyDescent="0.35">
      <c r="A790" s="4">
        <v>45548</v>
      </c>
      <c r="B790" s="5">
        <v>0.97219907407407402</v>
      </c>
      <c r="C790">
        <v>83</v>
      </c>
      <c r="D790">
        <v>79</v>
      </c>
      <c r="E790">
        <v>84.3</v>
      </c>
      <c r="F790">
        <v>81.3</v>
      </c>
      <c r="G790">
        <v>0</v>
      </c>
      <c r="H790">
        <v>0</v>
      </c>
      <c r="I790">
        <v>0</v>
      </c>
      <c r="J790">
        <v>0</v>
      </c>
      <c r="K790">
        <v>60.1</v>
      </c>
      <c r="L790">
        <v>58.1</v>
      </c>
      <c r="M790">
        <v>81.87</v>
      </c>
      <c r="N790">
        <v>13</v>
      </c>
      <c r="O790">
        <v>3</v>
      </c>
      <c r="P790">
        <f>MOD(DAY(datos_siembra[[#This Row],[Date]]),7)</f>
        <v>6</v>
      </c>
      <c r="Q790" t="str">
        <f>CHOOSE(WEEKDAY(datos_siembra[[#This Row],[Date]],2),"L","M","X","J","V","S","D")</f>
        <v>V</v>
      </c>
      <c r="R790">
        <f>WEEKNUM(datos_siembra[[#This Row],[Date]],2)-WEEKNUM(DATE(YEAR(datos_siembra[[#This Row],[Date]]),MONTH(datos_siembra[[#This Row],[Date]]),1))+1</f>
        <v>2</v>
      </c>
      <c r="S790">
        <f>MONTH(datos_siembra[[#This Row],[Date]])</f>
        <v>9</v>
      </c>
      <c r="T790" t="str" cm="1">
        <f t="array" ref="T790">_xlfn.IFS(AND(N790&lt;= 22, S790=9), "SOWING",AND(N790&lt;= 28, S790=9), "COVERAGE",AND(N790&lt;= 30, S790=9), "FLUSH",AND(N790&lt;= 11, S790=10), "FLUSH",AND(N790&lt;= 21, S790=10), "PRODUCTION")</f>
        <v>SOWING</v>
      </c>
      <c r="U790">
        <f>HOUR(datos_siembra[[#This Row],[Hour]])</f>
        <v>23</v>
      </c>
      <c r="V790" cm="1">
        <f t="array" ref="V790">_xlfn.IFS(AND(N790&lt;= 22, S790=9), N790-7,AND(N790&lt;= 28, S790=9), N790-25,AND(N790&lt;= 30, S790=9), N790-28,AND(N790&lt;= 11, S790=10), N790+2,AND(N790&lt;= 21, S790=10), N790-11)</f>
        <v>6</v>
      </c>
    </row>
    <row r="791" spans="1:22" x14ac:dyDescent="0.35">
      <c r="A791" s="4">
        <v>45548</v>
      </c>
      <c r="B791" s="5">
        <v>0.97914351851851855</v>
      </c>
      <c r="C791">
        <v>83.1</v>
      </c>
      <c r="D791">
        <v>79.099999999999994</v>
      </c>
      <c r="E791">
        <v>84.2</v>
      </c>
      <c r="F791">
        <v>80.900000000000006</v>
      </c>
      <c r="G791">
        <v>0</v>
      </c>
      <c r="H791">
        <v>0</v>
      </c>
      <c r="I791">
        <v>0</v>
      </c>
      <c r="J791">
        <v>0</v>
      </c>
      <c r="K791">
        <v>60</v>
      </c>
      <c r="L791">
        <v>58.1</v>
      </c>
      <c r="M791">
        <v>81.89</v>
      </c>
      <c r="N791">
        <v>13</v>
      </c>
      <c r="O791">
        <v>3</v>
      </c>
      <c r="P791">
        <f>MOD(DAY(datos_siembra[[#This Row],[Date]]),7)</f>
        <v>6</v>
      </c>
      <c r="Q791" t="str">
        <f>CHOOSE(WEEKDAY(datos_siembra[[#This Row],[Date]],2),"L","M","X","J","V","S","D")</f>
        <v>V</v>
      </c>
      <c r="R791">
        <f>WEEKNUM(datos_siembra[[#This Row],[Date]],2)-WEEKNUM(DATE(YEAR(datos_siembra[[#This Row],[Date]]),MONTH(datos_siembra[[#This Row],[Date]]),1))+1</f>
        <v>2</v>
      </c>
      <c r="S791">
        <f>MONTH(datos_siembra[[#This Row],[Date]])</f>
        <v>9</v>
      </c>
      <c r="T791" t="str" cm="1">
        <f t="array" ref="T791">_xlfn.IFS(AND(N791&lt;= 22, S791=9), "SOWING",AND(N791&lt;= 28, S791=9), "COVERAGE",AND(N791&lt;= 30, S791=9), "FLUSH",AND(N791&lt;= 11, S791=10), "FLUSH",AND(N791&lt;= 21, S791=10), "PRODUCTION")</f>
        <v>SOWING</v>
      </c>
      <c r="U791">
        <f>HOUR(datos_siembra[[#This Row],[Hour]])</f>
        <v>23</v>
      </c>
      <c r="V791" cm="1">
        <f t="array" ref="V791">_xlfn.IFS(AND(N791&lt;= 22, S791=9), N791-7,AND(N791&lt;= 28, S791=9), N791-25,AND(N791&lt;= 30, S791=9), N791-28,AND(N791&lt;= 11, S791=10), N791+2,AND(N791&lt;= 21, S791=10), N791-11)</f>
        <v>6</v>
      </c>
    </row>
    <row r="792" spans="1:22" x14ac:dyDescent="0.35">
      <c r="A792" s="4">
        <v>45548</v>
      </c>
      <c r="B792" s="5">
        <v>0.98608796296296297</v>
      </c>
      <c r="C792">
        <v>82.9</v>
      </c>
      <c r="D792">
        <v>79</v>
      </c>
      <c r="E792">
        <v>84.3</v>
      </c>
      <c r="F792">
        <v>81.2</v>
      </c>
      <c r="G792">
        <v>0</v>
      </c>
      <c r="H792">
        <v>0</v>
      </c>
      <c r="I792">
        <v>0</v>
      </c>
      <c r="J792">
        <v>0</v>
      </c>
      <c r="K792">
        <v>60</v>
      </c>
      <c r="L792">
        <v>58.1</v>
      </c>
      <c r="M792">
        <v>81.78</v>
      </c>
      <c r="N792">
        <v>13</v>
      </c>
      <c r="O792">
        <v>3</v>
      </c>
      <c r="P792">
        <f>MOD(DAY(datos_siembra[[#This Row],[Date]]),7)</f>
        <v>6</v>
      </c>
      <c r="Q792" t="str">
        <f>CHOOSE(WEEKDAY(datos_siembra[[#This Row],[Date]],2),"L","M","X","J","V","S","D")</f>
        <v>V</v>
      </c>
      <c r="R792">
        <f>WEEKNUM(datos_siembra[[#This Row],[Date]],2)-WEEKNUM(DATE(YEAR(datos_siembra[[#This Row],[Date]]),MONTH(datos_siembra[[#This Row],[Date]]),1))+1</f>
        <v>2</v>
      </c>
      <c r="S792">
        <f>MONTH(datos_siembra[[#This Row],[Date]])</f>
        <v>9</v>
      </c>
      <c r="T792" t="str" cm="1">
        <f t="array" ref="T792">_xlfn.IFS(AND(N792&lt;= 22, S792=9), "SOWING",AND(N792&lt;= 28, S792=9), "COVERAGE",AND(N792&lt;= 30, S792=9), "FLUSH",AND(N792&lt;= 11, S792=10), "FLUSH",AND(N792&lt;= 21, S792=10), "PRODUCTION")</f>
        <v>SOWING</v>
      </c>
      <c r="U792">
        <f>HOUR(datos_siembra[[#This Row],[Hour]])</f>
        <v>23</v>
      </c>
      <c r="V792" cm="1">
        <f t="array" ref="V792">_xlfn.IFS(AND(N792&lt;= 22, S792=9), N792-7,AND(N792&lt;= 28, S792=9), N792-25,AND(N792&lt;= 30, S792=9), N792-28,AND(N792&lt;= 11, S792=10), N792+2,AND(N792&lt;= 21, S792=10), N792-11)</f>
        <v>6</v>
      </c>
    </row>
    <row r="793" spans="1:22" x14ac:dyDescent="0.35">
      <c r="A793" s="4">
        <v>45548</v>
      </c>
      <c r="B793" s="5">
        <v>0.99303240740740739</v>
      </c>
      <c r="C793">
        <v>82.9</v>
      </c>
      <c r="D793">
        <v>78.900000000000006</v>
      </c>
      <c r="E793">
        <v>84.2</v>
      </c>
      <c r="F793">
        <v>81.2</v>
      </c>
      <c r="G793">
        <v>0</v>
      </c>
      <c r="H793">
        <v>0</v>
      </c>
      <c r="I793">
        <v>0</v>
      </c>
      <c r="J793">
        <v>0</v>
      </c>
      <c r="K793">
        <v>60</v>
      </c>
      <c r="L793">
        <v>58</v>
      </c>
      <c r="M793">
        <v>81.81</v>
      </c>
      <c r="N793">
        <v>13</v>
      </c>
      <c r="O793">
        <v>3</v>
      </c>
      <c r="P793">
        <f>MOD(DAY(datos_siembra[[#This Row],[Date]]),7)</f>
        <v>6</v>
      </c>
      <c r="Q793" t="str">
        <f>CHOOSE(WEEKDAY(datos_siembra[[#This Row],[Date]],2),"L","M","X","J","V","S","D")</f>
        <v>V</v>
      </c>
      <c r="R793">
        <f>WEEKNUM(datos_siembra[[#This Row],[Date]],2)-WEEKNUM(DATE(YEAR(datos_siembra[[#This Row],[Date]]),MONTH(datos_siembra[[#This Row],[Date]]),1))+1</f>
        <v>2</v>
      </c>
      <c r="S793">
        <f>MONTH(datos_siembra[[#This Row],[Date]])</f>
        <v>9</v>
      </c>
      <c r="T793" t="str" cm="1">
        <f t="array" ref="T793">_xlfn.IFS(AND(N793&lt;= 22, S793=9), "SOWING",AND(N793&lt;= 28, S793=9), "COVERAGE",AND(N793&lt;= 30, S793=9), "FLUSH",AND(N793&lt;= 11, S793=10), "FLUSH",AND(N793&lt;= 21, S793=10), "PRODUCTION")</f>
        <v>SOWING</v>
      </c>
      <c r="U793">
        <f>HOUR(datos_siembra[[#This Row],[Hour]])</f>
        <v>23</v>
      </c>
      <c r="V793" cm="1">
        <f t="array" ref="V793">_xlfn.IFS(AND(N793&lt;= 22, S793=9), N793-7,AND(N793&lt;= 28, S793=9), N793-25,AND(N793&lt;= 30, S793=9), N793-28,AND(N793&lt;= 11, S793=10), N793+2,AND(N793&lt;= 21, S793=10), N793-11)</f>
        <v>6</v>
      </c>
    </row>
    <row r="794" spans="1:22" x14ac:dyDescent="0.35">
      <c r="A794" s="4">
        <v>45548</v>
      </c>
      <c r="B794" s="5">
        <v>0.99998842592592596</v>
      </c>
      <c r="C794">
        <v>82.7</v>
      </c>
      <c r="D794">
        <v>78.900000000000006</v>
      </c>
      <c r="E794">
        <v>84.1</v>
      </c>
      <c r="F794">
        <v>81.099999999999994</v>
      </c>
      <c r="G794">
        <v>0</v>
      </c>
      <c r="H794">
        <v>0</v>
      </c>
      <c r="I794">
        <v>0</v>
      </c>
      <c r="J794">
        <v>0</v>
      </c>
      <c r="K794">
        <v>60</v>
      </c>
      <c r="L794">
        <v>58</v>
      </c>
      <c r="M794">
        <v>81.75</v>
      </c>
      <c r="N794">
        <v>13</v>
      </c>
      <c r="O794">
        <v>3</v>
      </c>
      <c r="P794">
        <f>MOD(DAY(datos_siembra[[#This Row],[Date]]),7)</f>
        <v>6</v>
      </c>
      <c r="Q794" t="str">
        <f>CHOOSE(WEEKDAY(datos_siembra[[#This Row],[Date]],2),"L","M","X","J","V","S","D")</f>
        <v>V</v>
      </c>
      <c r="R794">
        <f>WEEKNUM(datos_siembra[[#This Row],[Date]],2)-WEEKNUM(DATE(YEAR(datos_siembra[[#This Row],[Date]]),MONTH(datos_siembra[[#This Row],[Date]]),1))+1</f>
        <v>2</v>
      </c>
      <c r="S794">
        <f>MONTH(datos_siembra[[#This Row],[Date]])</f>
        <v>9</v>
      </c>
      <c r="T794" t="str" cm="1">
        <f t="array" ref="T794">_xlfn.IFS(AND(N794&lt;= 22, S794=9), "SOWING",AND(N794&lt;= 28, S794=9), "COVERAGE",AND(N794&lt;= 30, S794=9), "FLUSH",AND(N794&lt;= 11, S794=10), "FLUSH",AND(N794&lt;= 21, S794=10), "PRODUCTION")</f>
        <v>SOWING</v>
      </c>
      <c r="U794">
        <f>HOUR(datos_siembra[[#This Row],[Hour]])</f>
        <v>23</v>
      </c>
      <c r="V794" cm="1">
        <f t="array" ref="V794">_xlfn.IFS(AND(N794&lt;= 22, S794=9), N794-7,AND(N794&lt;= 28, S794=9), N794-25,AND(N794&lt;= 30, S794=9), N794-28,AND(N794&lt;= 11, S794=10), N794+2,AND(N794&lt;= 21, S794=10), N794-11)</f>
        <v>6</v>
      </c>
    </row>
    <row r="795" spans="1:22" x14ac:dyDescent="0.35">
      <c r="A795" s="4">
        <v>45549</v>
      </c>
      <c r="B795" s="5">
        <v>6.9328703703703705E-3</v>
      </c>
      <c r="C795">
        <v>82.9</v>
      </c>
      <c r="D795">
        <v>78.8</v>
      </c>
      <c r="E795">
        <v>84</v>
      </c>
      <c r="F795">
        <v>81.2</v>
      </c>
      <c r="G795">
        <v>0</v>
      </c>
      <c r="H795">
        <v>0</v>
      </c>
      <c r="I795">
        <v>0</v>
      </c>
      <c r="J795">
        <v>0</v>
      </c>
      <c r="K795">
        <v>60</v>
      </c>
      <c r="L795">
        <v>58</v>
      </c>
      <c r="M795">
        <v>81.64</v>
      </c>
      <c r="N795">
        <v>14</v>
      </c>
      <c r="O795">
        <v>4</v>
      </c>
      <c r="P795">
        <f>MOD(DAY(datos_siembra[[#This Row],[Date]]),7)</f>
        <v>0</v>
      </c>
      <c r="Q795" t="str">
        <f>CHOOSE(WEEKDAY(datos_siembra[[#This Row],[Date]],2),"L","M","X","J","V","S","D")</f>
        <v>S</v>
      </c>
      <c r="R795">
        <f>WEEKNUM(datos_siembra[[#This Row],[Date]],2)-WEEKNUM(DATE(YEAR(datos_siembra[[#This Row],[Date]]),MONTH(datos_siembra[[#This Row],[Date]]),1))+1</f>
        <v>2</v>
      </c>
      <c r="S795">
        <f>MONTH(datos_siembra[[#This Row],[Date]])</f>
        <v>9</v>
      </c>
      <c r="T795" t="str" cm="1">
        <f t="array" ref="T795">_xlfn.IFS(AND(N795&lt;= 22, S795=9), "SOWING",AND(N795&lt;= 28, S795=9), "COVERAGE",AND(N795&lt;= 30, S795=9), "FLUSH",AND(N795&lt;= 11, S795=10), "FLUSH",AND(N795&lt;= 21, S795=10), "PRODUCTION")</f>
        <v>SOWING</v>
      </c>
      <c r="U795">
        <f>HOUR(datos_siembra[[#This Row],[Hour]])</f>
        <v>0</v>
      </c>
      <c r="V795" cm="1">
        <f t="array" ref="V795">_xlfn.IFS(AND(N795&lt;= 22, S795=9), N795-7,AND(N795&lt;= 28, S795=9), N795-25,AND(N795&lt;= 30, S795=9), N795-28,AND(N795&lt;= 11, S795=10), N795+2,AND(N795&lt;= 21, S795=10), N795-11)</f>
        <v>7</v>
      </c>
    </row>
    <row r="796" spans="1:22" x14ac:dyDescent="0.35">
      <c r="A796" s="4">
        <v>45549</v>
      </c>
      <c r="B796" s="5">
        <v>1.3877314814814815E-2</v>
      </c>
      <c r="C796">
        <v>82.7</v>
      </c>
      <c r="D796">
        <v>78.8</v>
      </c>
      <c r="E796">
        <v>84.1</v>
      </c>
      <c r="F796">
        <v>81.2</v>
      </c>
      <c r="G796">
        <v>0</v>
      </c>
      <c r="H796">
        <v>0</v>
      </c>
      <c r="I796">
        <v>0</v>
      </c>
      <c r="J796">
        <v>0</v>
      </c>
      <c r="K796">
        <v>59.9</v>
      </c>
      <c r="L796">
        <v>58</v>
      </c>
      <c r="M796">
        <v>81.7</v>
      </c>
      <c r="N796">
        <v>14</v>
      </c>
      <c r="O796">
        <v>4</v>
      </c>
      <c r="P796">
        <f>MOD(DAY(datos_siembra[[#This Row],[Date]]),7)</f>
        <v>0</v>
      </c>
      <c r="Q796" t="str">
        <f>CHOOSE(WEEKDAY(datos_siembra[[#This Row],[Date]],2),"L","M","X","J","V","S","D")</f>
        <v>S</v>
      </c>
      <c r="R796">
        <f>WEEKNUM(datos_siembra[[#This Row],[Date]],2)-WEEKNUM(DATE(YEAR(datos_siembra[[#This Row],[Date]]),MONTH(datos_siembra[[#This Row],[Date]]),1))+1</f>
        <v>2</v>
      </c>
      <c r="S796">
        <f>MONTH(datos_siembra[[#This Row],[Date]])</f>
        <v>9</v>
      </c>
      <c r="T796" t="str" cm="1">
        <f t="array" ref="T796">_xlfn.IFS(AND(N796&lt;= 22, S796=9), "SOWING",AND(N796&lt;= 28, S796=9), "COVERAGE",AND(N796&lt;= 30, S796=9), "FLUSH",AND(N796&lt;= 11, S796=10), "FLUSH",AND(N796&lt;= 21, S796=10), "PRODUCTION")</f>
        <v>SOWING</v>
      </c>
      <c r="U796">
        <f>HOUR(datos_siembra[[#This Row],[Hour]])</f>
        <v>0</v>
      </c>
      <c r="V796" cm="1">
        <f t="array" ref="V796">_xlfn.IFS(AND(N796&lt;= 22, S796=9), N796-7,AND(N796&lt;= 28, S796=9), N796-25,AND(N796&lt;= 30, S796=9), N796-28,AND(N796&lt;= 11, S796=10), N796+2,AND(N796&lt;= 21, S796=10), N796-11)</f>
        <v>7</v>
      </c>
    </row>
    <row r="797" spans="1:22" x14ac:dyDescent="0.35">
      <c r="A797" s="4">
        <v>45549</v>
      </c>
      <c r="B797" s="5">
        <v>2.0821759259259259E-2</v>
      </c>
      <c r="C797">
        <v>82.6</v>
      </c>
      <c r="D797">
        <v>78.8</v>
      </c>
      <c r="E797">
        <v>84.1</v>
      </c>
      <c r="F797">
        <v>81.099999999999994</v>
      </c>
      <c r="G797">
        <v>0</v>
      </c>
      <c r="H797">
        <v>0</v>
      </c>
      <c r="I797">
        <v>0</v>
      </c>
      <c r="J797">
        <v>0</v>
      </c>
      <c r="K797">
        <v>59.9</v>
      </c>
      <c r="L797">
        <v>58</v>
      </c>
      <c r="M797">
        <v>81.56</v>
      </c>
      <c r="N797">
        <v>14</v>
      </c>
      <c r="O797">
        <v>4</v>
      </c>
      <c r="P797">
        <f>MOD(DAY(datos_siembra[[#This Row],[Date]]),7)</f>
        <v>0</v>
      </c>
      <c r="Q797" t="str">
        <f>CHOOSE(WEEKDAY(datos_siembra[[#This Row],[Date]],2),"L","M","X","J","V","S","D")</f>
        <v>S</v>
      </c>
      <c r="R797">
        <f>WEEKNUM(datos_siembra[[#This Row],[Date]],2)-WEEKNUM(DATE(YEAR(datos_siembra[[#This Row],[Date]]),MONTH(datos_siembra[[#This Row],[Date]]),1))+1</f>
        <v>2</v>
      </c>
      <c r="S797">
        <f>MONTH(datos_siembra[[#This Row],[Date]])</f>
        <v>9</v>
      </c>
      <c r="T797" t="str" cm="1">
        <f t="array" ref="T797">_xlfn.IFS(AND(N797&lt;= 22, S797=9), "SOWING",AND(N797&lt;= 28, S797=9), "COVERAGE",AND(N797&lt;= 30, S797=9), "FLUSH",AND(N797&lt;= 11, S797=10), "FLUSH",AND(N797&lt;= 21, S797=10), "PRODUCTION")</f>
        <v>SOWING</v>
      </c>
      <c r="U797">
        <f>HOUR(datos_siembra[[#This Row],[Hour]])</f>
        <v>0</v>
      </c>
      <c r="V797" cm="1">
        <f t="array" ref="V797">_xlfn.IFS(AND(N797&lt;= 22, S797=9), N797-7,AND(N797&lt;= 28, S797=9), N797-25,AND(N797&lt;= 30, S797=9), N797-28,AND(N797&lt;= 11, S797=10), N797+2,AND(N797&lt;= 21, S797=10), N797-11)</f>
        <v>7</v>
      </c>
    </row>
    <row r="798" spans="1:22" x14ac:dyDescent="0.35">
      <c r="A798" s="4">
        <v>45549</v>
      </c>
      <c r="B798" s="5">
        <v>2.7777777777777776E-2</v>
      </c>
      <c r="C798">
        <v>82.5</v>
      </c>
      <c r="D798">
        <v>78.8</v>
      </c>
      <c r="E798">
        <v>83.9</v>
      </c>
      <c r="F798">
        <v>81.099999999999994</v>
      </c>
      <c r="G798">
        <v>0</v>
      </c>
      <c r="H798">
        <v>0</v>
      </c>
      <c r="I798">
        <v>0</v>
      </c>
      <c r="J798">
        <v>0</v>
      </c>
      <c r="K798">
        <v>59.9</v>
      </c>
      <c r="L798">
        <v>57.9</v>
      </c>
      <c r="M798">
        <v>81.64</v>
      </c>
      <c r="N798">
        <v>14</v>
      </c>
      <c r="O798">
        <v>4</v>
      </c>
      <c r="P798">
        <f>MOD(DAY(datos_siembra[[#This Row],[Date]]),7)</f>
        <v>0</v>
      </c>
      <c r="Q798" t="str">
        <f>CHOOSE(WEEKDAY(datos_siembra[[#This Row],[Date]],2),"L","M","X","J","V","S","D")</f>
        <v>S</v>
      </c>
      <c r="R798">
        <f>WEEKNUM(datos_siembra[[#This Row],[Date]],2)-WEEKNUM(DATE(YEAR(datos_siembra[[#This Row],[Date]]),MONTH(datos_siembra[[#This Row],[Date]]),1))+1</f>
        <v>2</v>
      </c>
      <c r="S798">
        <f>MONTH(datos_siembra[[#This Row],[Date]])</f>
        <v>9</v>
      </c>
      <c r="T798" t="str" cm="1">
        <f t="array" ref="T798">_xlfn.IFS(AND(N798&lt;= 22, S798=9), "SOWING",AND(N798&lt;= 28, S798=9), "COVERAGE",AND(N798&lt;= 30, S798=9), "FLUSH",AND(N798&lt;= 11, S798=10), "FLUSH",AND(N798&lt;= 21, S798=10), "PRODUCTION")</f>
        <v>SOWING</v>
      </c>
      <c r="U798">
        <f>HOUR(datos_siembra[[#This Row],[Hour]])</f>
        <v>0</v>
      </c>
      <c r="V798" cm="1">
        <f t="array" ref="V798">_xlfn.IFS(AND(N798&lt;= 22, S798=9), N798-7,AND(N798&lt;= 28, S798=9), N798-25,AND(N798&lt;= 30, S798=9), N798-28,AND(N798&lt;= 11, S798=10), N798+2,AND(N798&lt;= 21, S798=10), N798-11)</f>
        <v>7</v>
      </c>
    </row>
    <row r="799" spans="1:22" x14ac:dyDescent="0.35">
      <c r="A799" s="4">
        <v>45549</v>
      </c>
      <c r="B799" s="5">
        <v>3.4722222222222224E-2</v>
      </c>
      <c r="C799">
        <v>82.6</v>
      </c>
      <c r="D799">
        <v>78.8</v>
      </c>
      <c r="E799">
        <v>84.1</v>
      </c>
      <c r="F799">
        <v>81.3</v>
      </c>
      <c r="G799">
        <v>0</v>
      </c>
      <c r="H799">
        <v>0</v>
      </c>
      <c r="I799">
        <v>0</v>
      </c>
      <c r="J799">
        <v>0</v>
      </c>
      <c r="K799">
        <v>59.9</v>
      </c>
      <c r="L799">
        <v>57.9</v>
      </c>
      <c r="M799">
        <v>81.56</v>
      </c>
      <c r="N799">
        <v>14</v>
      </c>
      <c r="O799">
        <v>4</v>
      </c>
      <c r="P799">
        <f>MOD(DAY(datos_siembra[[#This Row],[Date]]),7)</f>
        <v>0</v>
      </c>
      <c r="Q799" t="str">
        <f>CHOOSE(WEEKDAY(datos_siembra[[#This Row],[Date]],2),"L","M","X","J","V","S","D")</f>
        <v>S</v>
      </c>
      <c r="R799">
        <f>WEEKNUM(datos_siembra[[#This Row],[Date]],2)-WEEKNUM(DATE(YEAR(datos_siembra[[#This Row],[Date]]),MONTH(datos_siembra[[#This Row],[Date]]),1))+1</f>
        <v>2</v>
      </c>
      <c r="S799">
        <f>MONTH(datos_siembra[[#This Row],[Date]])</f>
        <v>9</v>
      </c>
      <c r="T799" t="str" cm="1">
        <f t="array" ref="T799">_xlfn.IFS(AND(N799&lt;= 22, S799=9), "SOWING",AND(N799&lt;= 28, S799=9), "COVERAGE",AND(N799&lt;= 30, S799=9), "FLUSH",AND(N799&lt;= 11, S799=10), "FLUSH",AND(N799&lt;= 21, S799=10), "PRODUCTION")</f>
        <v>SOWING</v>
      </c>
      <c r="U799">
        <f>HOUR(datos_siembra[[#This Row],[Hour]])</f>
        <v>0</v>
      </c>
      <c r="V799" cm="1">
        <f t="array" ref="V799">_xlfn.IFS(AND(N799&lt;= 22, S799=9), N799-7,AND(N799&lt;= 28, S799=9), N799-25,AND(N799&lt;= 30, S799=9), N799-28,AND(N799&lt;= 11, S799=10), N799+2,AND(N799&lt;= 21, S799=10), N799-11)</f>
        <v>7</v>
      </c>
    </row>
    <row r="800" spans="1:22" x14ac:dyDescent="0.35">
      <c r="A800" s="4">
        <v>45549</v>
      </c>
      <c r="B800" s="5">
        <v>4.1666666666666664E-2</v>
      </c>
      <c r="C800">
        <v>82.5</v>
      </c>
      <c r="D800">
        <v>78.8</v>
      </c>
      <c r="E800">
        <v>83.9</v>
      </c>
      <c r="F800">
        <v>81.3</v>
      </c>
      <c r="G800">
        <v>0</v>
      </c>
      <c r="H800">
        <v>0</v>
      </c>
      <c r="I800">
        <v>0</v>
      </c>
      <c r="J800">
        <v>0</v>
      </c>
      <c r="K800">
        <v>59.9</v>
      </c>
      <c r="L800">
        <v>57.8</v>
      </c>
      <c r="M800">
        <v>81.67</v>
      </c>
      <c r="N800">
        <v>14</v>
      </c>
      <c r="O800">
        <v>4</v>
      </c>
      <c r="P800">
        <f>MOD(DAY(datos_siembra[[#This Row],[Date]]),7)</f>
        <v>0</v>
      </c>
      <c r="Q800" t="str">
        <f>CHOOSE(WEEKDAY(datos_siembra[[#This Row],[Date]],2),"L","M","X","J","V","S","D")</f>
        <v>S</v>
      </c>
      <c r="R800">
        <f>WEEKNUM(datos_siembra[[#This Row],[Date]],2)-WEEKNUM(DATE(YEAR(datos_siembra[[#This Row],[Date]]),MONTH(datos_siembra[[#This Row],[Date]]),1))+1</f>
        <v>2</v>
      </c>
      <c r="S800">
        <f>MONTH(datos_siembra[[#This Row],[Date]])</f>
        <v>9</v>
      </c>
      <c r="T800" t="str" cm="1">
        <f t="array" ref="T800">_xlfn.IFS(AND(N800&lt;= 22, S800=9), "SOWING",AND(N800&lt;= 28, S800=9), "COVERAGE",AND(N800&lt;= 30, S800=9), "FLUSH",AND(N800&lt;= 11, S800=10), "FLUSH",AND(N800&lt;= 21, S800=10), "PRODUCTION")</f>
        <v>SOWING</v>
      </c>
      <c r="U800">
        <f>HOUR(datos_siembra[[#This Row],[Hour]])</f>
        <v>1</v>
      </c>
      <c r="V800" cm="1">
        <f t="array" ref="V800">_xlfn.IFS(AND(N800&lt;= 22, S800=9), N800-7,AND(N800&lt;= 28, S800=9), N800-25,AND(N800&lt;= 30, S800=9), N800-28,AND(N800&lt;= 11, S800=10), N800+2,AND(N800&lt;= 21, S800=10), N800-11)</f>
        <v>7</v>
      </c>
    </row>
    <row r="801" spans="1:22" x14ac:dyDescent="0.35">
      <c r="A801" s="4">
        <v>45549</v>
      </c>
      <c r="B801" s="5">
        <v>4.8622685185185185E-2</v>
      </c>
      <c r="C801">
        <v>82.6</v>
      </c>
      <c r="D801">
        <v>78.7</v>
      </c>
      <c r="E801">
        <v>83.9</v>
      </c>
      <c r="F801">
        <v>81.599999999999994</v>
      </c>
      <c r="G801">
        <v>0</v>
      </c>
      <c r="H801">
        <v>0</v>
      </c>
      <c r="I801">
        <v>0</v>
      </c>
      <c r="J801">
        <v>0</v>
      </c>
      <c r="K801">
        <v>59.8</v>
      </c>
      <c r="L801">
        <v>57.8</v>
      </c>
      <c r="M801">
        <v>81.7</v>
      </c>
      <c r="N801">
        <v>14</v>
      </c>
      <c r="O801">
        <v>4</v>
      </c>
      <c r="P801">
        <f>MOD(DAY(datos_siembra[[#This Row],[Date]]),7)</f>
        <v>0</v>
      </c>
      <c r="Q801" t="str">
        <f>CHOOSE(WEEKDAY(datos_siembra[[#This Row],[Date]],2),"L","M","X","J","V","S","D")</f>
        <v>S</v>
      </c>
      <c r="R801">
        <f>WEEKNUM(datos_siembra[[#This Row],[Date]],2)-WEEKNUM(DATE(YEAR(datos_siembra[[#This Row],[Date]]),MONTH(datos_siembra[[#This Row],[Date]]),1))+1</f>
        <v>2</v>
      </c>
      <c r="S801">
        <f>MONTH(datos_siembra[[#This Row],[Date]])</f>
        <v>9</v>
      </c>
      <c r="T801" t="str" cm="1">
        <f t="array" ref="T801">_xlfn.IFS(AND(N801&lt;= 22, S801=9), "SOWING",AND(N801&lt;= 28, S801=9), "COVERAGE",AND(N801&lt;= 30, S801=9), "FLUSH",AND(N801&lt;= 11, S801=10), "FLUSH",AND(N801&lt;= 21, S801=10), "PRODUCTION")</f>
        <v>SOWING</v>
      </c>
      <c r="U801">
        <f>HOUR(datos_siembra[[#This Row],[Hour]])</f>
        <v>1</v>
      </c>
      <c r="V801" cm="1">
        <f t="array" ref="V801">_xlfn.IFS(AND(N801&lt;= 22, S801=9), N801-7,AND(N801&lt;= 28, S801=9), N801-25,AND(N801&lt;= 30, S801=9), N801-28,AND(N801&lt;= 11, S801=10), N801+2,AND(N801&lt;= 21, S801=10), N801-11)</f>
        <v>7</v>
      </c>
    </row>
    <row r="802" spans="1:22" x14ac:dyDescent="0.35">
      <c r="A802" s="4">
        <v>45549</v>
      </c>
      <c r="B802" s="5">
        <v>5.5567129629629633E-2</v>
      </c>
      <c r="C802">
        <v>82.5</v>
      </c>
      <c r="D802">
        <v>78.7</v>
      </c>
      <c r="E802">
        <v>83.9</v>
      </c>
      <c r="F802">
        <v>81.7</v>
      </c>
      <c r="G802">
        <v>0</v>
      </c>
      <c r="H802">
        <v>0</v>
      </c>
      <c r="I802">
        <v>0</v>
      </c>
      <c r="J802">
        <v>0</v>
      </c>
      <c r="K802">
        <v>59.7</v>
      </c>
      <c r="L802">
        <v>57.8</v>
      </c>
      <c r="M802">
        <v>81.78</v>
      </c>
      <c r="N802">
        <v>14</v>
      </c>
      <c r="O802">
        <v>4</v>
      </c>
      <c r="P802">
        <f>MOD(DAY(datos_siembra[[#This Row],[Date]]),7)</f>
        <v>0</v>
      </c>
      <c r="Q802" t="str">
        <f>CHOOSE(WEEKDAY(datos_siembra[[#This Row],[Date]],2),"L","M","X","J","V","S","D")</f>
        <v>S</v>
      </c>
      <c r="R802">
        <f>WEEKNUM(datos_siembra[[#This Row],[Date]],2)-WEEKNUM(DATE(YEAR(datos_siembra[[#This Row],[Date]]),MONTH(datos_siembra[[#This Row],[Date]]),1))+1</f>
        <v>2</v>
      </c>
      <c r="S802">
        <f>MONTH(datos_siembra[[#This Row],[Date]])</f>
        <v>9</v>
      </c>
      <c r="T802" t="str" cm="1">
        <f t="array" ref="T802">_xlfn.IFS(AND(N802&lt;= 22, S802=9), "SOWING",AND(N802&lt;= 28, S802=9), "COVERAGE",AND(N802&lt;= 30, S802=9), "FLUSH",AND(N802&lt;= 11, S802=10), "FLUSH",AND(N802&lt;= 21, S802=10), "PRODUCTION")</f>
        <v>SOWING</v>
      </c>
      <c r="U802">
        <f>HOUR(datos_siembra[[#This Row],[Hour]])</f>
        <v>1</v>
      </c>
      <c r="V802" cm="1">
        <f t="array" ref="V802">_xlfn.IFS(AND(N802&lt;= 22, S802=9), N802-7,AND(N802&lt;= 28, S802=9), N802-25,AND(N802&lt;= 30, S802=9), N802-28,AND(N802&lt;= 11, S802=10), N802+2,AND(N802&lt;= 21, S802=10), N802-11)</f>
        <v>7</v>
      </c>
    </row>
    <row r="803" spans="1:22" x14ac:dyDescent="0.35">
      <c r="A803" s="4">
        <v>45549</v>
      </c>
      <c r="B803" s="5">
        <v>6.2511574074074081E-2</v>
      </c>
      <c r="C803">
        <v>82.5</v>
      </c>
      <c r="D803">
        <v>78.599999999999994</v>
      </c>
      <c r="E803">
        <v>83.9</v>
      </c>
      <c r="F803">
        <v>82.2</v>
      </c>
      <c r="G803">
        <v>0</v>
      </c>
      <c r="H803">
        <v>0</v>
      </c>
      <c r="I803">
        <v>0</v>
      </c>
      <c r="J803">
        <v>0</v>
      </c>
      <c r="K803">
        <v>59.7</v>
      </c>
      <c r="L803">
        <v>57.8</v>
      </c>
      <c r="M803">
        <v>81.72</v>
      </c>
      <c r="N803">
        <v>14</v>
      </c>
      <c r="O803">
        <v>4</v>
      </c>
      <c r="P803">
        <f>MOD(DAY(datos_siembra[[#This Row],[Date]]),7)</f>
        <v>0</v>
      </c>
      <c r="Q803" t="str">
        <f>CHOOSE(WEEKDAY(datos_siembra[[#This Row],[Date]],2),"L","M","X","J","V","S","D")</f>
        <v>S</v>
      </c>
      <c r="R803">
        <f>WEEKNUM(datos_siembra[[#This Row],[Date]],2)-WEEKNUM(DATE(YEAR(datos_siembra[[#This Row],[Date]]),MONTH(datos_siembra[[#This Row],[Date]]),1))+1</f>
        <v>2</v>
      </c>
      <c r="S803">
        <f>MONTH(datos_siembra[[#This Row],[Date]])</f>
        <v>9</v>
      </c>
      <c r="T803" t="str" cm="1">
        <f t="array" ref="T803">_xlfn.IFS(AND(N803&lt;= 22, S803=9), "SOWING",AND(N803&lt;= 28, S803=9), "COVERAGE",AND(N803&lt;= 30, S803=9), "FLUSH",AND(N803&lt;= 11, S803=10), "FLUSH",AND(N803&lt;= 21, S803=10), "PRODUCTION")</f>
        <v>SOWING</v>
      </c>
      <c r="U803">
        <f>HOUR(datos_siembra[[#This Row],[Hour]])</f>
        <v>1</v>
      </c>
      <c r="V803" cm="1">
        <f t="array" ref="V803">_xlfn.IFS(AND(N803&lt;= 22, S803=9), N803-7,AND(N803&lt;= 28, S803=9), N803-25,AND(N803&lt;= 30, S803=9), N803-28,AND(N803&lt;= 11, S803=10), N803+2,AND(N803&lt;= 21, S803=10), N803-11)</f>
        <v>7</v>
      </c>
    </row>
    <row r="804" spans="1:22" x14ac:dyDescent="0.35">
      <c r="A804" s="4">
        <v>45549</v>
      </c>
      <c r="B804" s="5">
        <v>6.9456018518518514E-2</v>
      </c>
      <c r="C804">
        <v>82.3</v>
      </c>
      <c r="D804">
        <v>78.5</v>
      </c>
      <c r="E804">
        <v>83.6</v>
      </c>
      <c r="F804">
        <v>82.3</v>
      </c>
      <c r="G804">
        <v>0</v>
      </c>
      <c r="H804">
        <v>0</v>
      </c>
      <c r="I804">
        <v>0</v>
      </c>
      <c r="J804">
        <v>0</v>
      </c>
      <c r="K804">
        <v>59.7</v>
      </c>
      <c r="L804">
        <v>57.8</v>
      </c>
      <c r="M804">
        <v>81.75</v>
      </c>
      <c r="N804">
        <v>14</v>
      </c>
      <c r="O804">
        <v>4</v>
      </c>
      <c r="P804">
        <f>MOD(DAY(datos_siembra[[#This Row],[Date]]),7)</f>
        <v>0</v>
      </c>
      <c r="Q804" t="str">
        <f>CHOOSE(WEEKDAY(datos_siembra[[#This Row],[Date]],2),"L","M","X","J","V","S","D")</f>
        <v>S</v>
      </c>
      <c r="R804">
        <f>WEEKNUM(datos_siembra[[#This Row],[Date]],2)-WEEKNUM(DATE(YEAR(datos_siembra[[#This Row],[Date]]),MONTH(datos_siembra[[#This Row],[Date]]),1))+1</f>
        <v>2</v>
      </c>
      <c r="S804">
        <f>MONTH(datos_siembra[[#This Row],[Date]])</f>
        <v>9</v>
      </c>
      <c r="T804" t="str" cm="1">
        <f t="array" ref="T804">_xlfn.IFS(AND(N804&lt;= 22, S804=9), "SOWING",AND(N804&lt;= 28, S804=9), "COVERAGE",AND(N804&lt;= 30, S804=9), "FLUSH",AND(N804&lt;= 11, S804=10), "FLUSH",AND(N804&lt;= 21, S804=10), "PRODUCTION")</f>
        <v>SOWING</v>
      </c>
      <c r="U804">
        <f>HOUR(datos_siembra[[#This Row],[Hour]])</f>
        <v>1</v>
      </c>
      <c r="V804" cm="1">
        <f t="array" ref="V804">_xlfn.IFS(AND(N804&lt;= 22, S804=9), N804-7,AND(N804&lt;= 28, S804=9), N804-25,AND(N804&lt;= 30, S804=9), N804-28,AND(N804&lt;= 11, S804=10), N804+2,AND(N804&lt;= 21, S804=10), N804-11)</f>
        <v>7</v>
      </c>
    </row>
    <row r="805" spans="1:22" x14ac:dyDescent="0.35">
      <c r="A805" s="4">
        <v>45549</v>
      </c>
      <c r="B805" s="5">
        <v>7.6412037037037042E-2</v>
      </c>
      <c r="C805">
        <v>82.3</v>
      </c>
      <c r="D805">
        <v>78.5</v>
      </c>
      <c r="E805">
        <v>83.8</v>
      </c>
      <c r="F805">
        <v>82.3</v>
      </c>
      <c r="G805">
        <v>0</v>
      </c>
      <c r="H805">
        <v>0</v>
      </c>
      <c r="I805">
        <v>0</v>
      </c>
      <c r="J805">
        <v>0</v>
      </c>
      <c r="K805">
        <v>59.7</v>
      </c>
      <c r="L805">
        <v>57.9</v>
      </c>
      <c r="M805">
        <v>81.78</v>
      </c>
      <c r="N805">
        <v>14</v>
      </c>
      <c r="O805">
        <v>4</v>
      </c>
      <c r="P805">
        <f>MOD(DAY(datos_siembra[[#This Row],[Date]]),7)</f>
        <v>0</v>
      </c>
      <c r="Q805" t="str">
        <f>CHOOSE(WEEKDAY(datos_siembra[[#This Row],[Date]],2),"L","M","X","J","V","S","D")</f>
        <v>S</v>
      </c>
      <c r="R805">
        <f>WEEKNUM(datos_siembra[[#This Row],[Date]],2)-WEEKNUM(DATE(YEAR(datos_siembra[[#This Row],[Date]]),MONTH(datos_siembra[[#This Row],[Date]]),1))+1</f>
        <v>2</v>
      </c>
      <c r="S805">
        <f>MONTH(datos_siembra[[#This Row],[Date]])</f>
        <v>9</v>
      </c>
      <c r="T805" t="str" cm="1">
        <f t="array" ref="T805">_xlfn.IFS(AND(N805&lt;= 22, S805=9), "SOWING",AND(N805&lt;= 28, S805=9), "COVERAGE",AND(N805&lt;= 30, S805=9), "FLUSH",AND(N805&lt;= 11, S805=10), "FLUSH",AND(N805&lt;= 21, S805=10), "PRODUCTION")</f>
        <v>SOWING</v>
      </c>
      <c r="U805">
        <f>HOUR(datos_siembra[[#This Row],[Hour]])</f>
        <v>1</v>
      </c>
      <c r="V805" cm="1">
        <f t="array" ref="V805">_xlfn.IFS(AND(N805&lt;= 22, S805=9), N805-7,AND(N805&lt;= 28, S805=9), N805-25,AND(N805&lt;= 30, S805=9), N805-28,AND(N805&lt;= 11, S805=10), N805+2,AND(N805&lt;= 21, S805=10), N805-11)</f>
        <v>7</v>
      </c>
    </row>
    <row r="806" spans="1:22" x14ac:dyDescent="0.35">
      <c r="A806" s="4">
        <v>45549</v>
      </c>
      <c r="B806" s="5">
        <v>8.3356481481481476E-2</v>
      </c>
      <c r="C806">
        <v>82.5</v>
      </c>
      <c r="D806">
        <v>78.5</v>
      </c>
      <c r="E806">
        <v>83.6</v>
      </c>
      <c r="F806">
        <v>82</v>
      </c>
      <c r="G806">
        <v>0</v>
      </c>
      <c r="H806">
        <v>0</v>
      </c>
      <c r="I806">
        <v>0</v>
      </c>
      <c r="J806">
        <v>0</v>
      </c>
      <c r="K806">
        <v>59.7</v>
      </c>
      <c r="L806">
        <v>57.9</v>
      </c>
      <c r="M806">
        <v>81.78</v>
      </c>
      <c r="N806">
        <v>14</v>
      </c>
      <c r="O806">
        <v>4</v>
      </c>
      <c r="P806">
        <f>MOD(DAY(datos_siembra[[#This Row],[Date]]),7)</f>
        <v>0</v>
      </c>
      <c r="Q806" t="str">
        <f>CHOOSE(WEEKDAY(datos_siembra[[#This Row],[Date]],2),"L","M","X","J","V","S","D")</f>
        <v>S</v>
      </c>
      <c r="R806">
        <f>WEEKNUM(datos_siembra[[#This Row],[Date]],2)-WEEKNUM(DATE(YEAR(datos_siembra[[#This Row],[Date]]),MONTH(datos_siembra[[#This Row],[Date]]),1))+1</f>
        <v>2</v>
      </c>
      <c r="S806">
        <f>MONTH(datos_siembra[[#This Row],[Date]])</f>
        <v>9</v>
      </c>
      <c r="T806" t="str" cm="1">
        <f t="array" ref="T806">_xlfn.IFS(AND(N806&lt;= 22, S806=9), "SOWING",AND(N806&lt;= 28, S806=9), "COVERAGE",AND(N806&lt;= 30, S806=9), "FLUSH",AND(N806&lt;= 11, S806=10), "FLUSH",AND(N806&lt;= 21, S806=10), "PRODUCTION")</f>
        <v>SOWING</v>
      </c>
      <c r="U806">
        <f>HOUR(datos_siembra[[#This Row],[Hour]])</f>
        <v>2</v>
      </c>
      <c r="V806" cm="1">
        <f t="array" ref="V806">_xlfn.IFS(AND(N806&lt;= 22, S806=9), N806-7,AND(N806&lt;= 28, S806=9), N806-25,AND(N806&lt;= 30, S806=9), N806-28,AND(N806&lt;= 11, S806=10), N806+2,AND(N806&lt;= 21, S806=10), N806-11)</f>
        <v>7</v>
      </c>
    </row>
    <row r="807" spans="1:22" x14ac:dyDescent="0.35">
      <c r="A807" s="4">
        <v>45549</v>
      </c>
      <c r="B807" s="5">
        <v>9.0300925925925923E-2</v>
      </c>
      <c r="C807">
        <v>82.3</v>
      </c>
      <c r="D807">
        <v>78.400000000000006</v>
      </c>
      <c r="E807">
        <v>83.6</v>
      </c>
      <c r="F807">
        <v>82.5</v>
      </c>
      <c r="G807">
        <v>0</v>
      </c>
      <c r="H807">
        <v>0</v>
      </c>
      <c r="I807">
        <v>0</v>
      </c>
      <c r="J807">
        <v>0</v>
      </c>
      <c r="K807">
        <v>59.8</v>
      </c>
      <c r="L807">
        <v>57.9</v>
      </c>
      <c r="M807">
        <v>81.56</v>
      </c>
      <c r="N807">
        <v>14</v>
      </c>
      <c r="O807">
        <v>4</v>
      </c>
      <c r="P807">
        <f>MOD(DAY(datos_siembra[[#This Row],[Date]]),7)</f>
        <v>0</v>
      </c>
      <c r="Q807" t="str">
        <f>CHOOSE(WEEKDAY(datos_siembra[[#This Row],[Date]],2),"L","M","X","J","V","S","D")</f>
        <v>S</v>
      </c>
      <c r="R807">
        <f>WEEKNUM(datos_siembra[[#This Row],[Date]],2)-WEEKNUM(DATE(YEAR(datos_siembra[[#This Row],[Date]]),MONTH(datos_siembra[[#This Row],[Date]]),1))+1</f>
        <v>2</v>
      </c>
      <c r="S807">
        <f>MONTH(datos_siembra[[#This Row],[Date]])</f>
        <v>9</v>
      </c>
      <c r="T807" t="str" cm="1">
        <f t="array" ref="T807">_xlfn.IFS(AND(N807&lt;= 22, S807=9), "SOWING",AND(N807&lt;= 28, S807=9), "COVERAGE",AND(N807&lt;= 30, S807=9), "FLUSH",AND(N807&lt;= 11, S807=10), "FLUSH",AND(N807&lt;= 21, S807=10), "PRODUCTION")</f>
        <v>SOWING</v>
      </c>
      <c r="U807">
        <f>HOUR(datos_siembra[[#This Row],[Hour]])</f>
        <v>2</v>
      </c>
      <c r="V807" cm="1">
        <f t="array" ref="V807">_xlfn.IFS(AND(N807&lt;= 22, S807=9), N807-7,AND(N807&lt;= 28, S807=9), N807-25,AND(N807&lt;= 30, S807=9), N807-28,AND(N807&lt;= 11, S807=10), N807+2,AND(N807&lt;= 21, S807=10), N807-11)</f>
        <v>7</v>
      </c>
    </row>
    <row r="808" spans="1:22" x14ac:dyDescent="0.35">
      <c r="A808" s="4">
        <v>45549</v>
      </c>
      <c r="B808" s="5">
        <v>9.7245370370370371E-2</v>
      </c>
      <c r="C808">
        <v>82.3</v>
      </c>
      <c r="D808">
        <v>78.400000000000006</v>
      </c>
      <c r="E808">
        <v>83.5</v>
      </c>
      <c r="F808">
        <v>81.599999999999994</v>
      </c>
      <c r="G808">
        <v>0</v>
      </c>
      <c r="H808">
        <v>0</v>
      </c>
      <c r="I808">
        <v>0</v>
      </c>
      <c r="J808">
        <v>0</v>
      </c>
      <c r="K808">
        <v>59.8</v>
      </c>
      <c r="L808">
        <v>57.9</v>
      </c>
      <c r="M808">
        <v>81.81</v>
      </c>
      <c r="N808">
        <v>14</v>
      </c>
      <c r="O808">
        <v>4</v>
      </c>
      <c r="P808">
        <f>MOD(DAY(datos_siembra[[#This Row],[Date]]),7)</f>
        <v>0</v>
      </c>
      <c r="Q808" t="str">
        <f>CHOOSE(WEEKDAY(datos_siembra[[#This Row],[Date]],2),"L","M","X","J","V","S","D")</f>
        <v>S</v>
      </c>
      <c r="R808">
        <f>WEEKNUM(datos_siembra[[#This Row],[Date]],2)-WEEKNUM(DATE(YEAR(datos_siembra[[#This Row],[Date]]),MONTH(datos_siembra[[#This Row],[Date]]),1))+1</f>
        <v>2</v>
      </c>
      <c r="S808">
        <f>MONTH(datos_siembra[[#This Row],[Date]])</f>
        <v>9</v>
      </c>
      <c r="T808" t="str" cm="1">
        <f t="array" ref="T808">_xlfn.IFS(AND(N808&lt;= 22, S808=9), "SOWING",AND(N808&lt;= 28, S808=9), "COVERAGE",AND(N808&lt;= 30, S808=9), "FLUSH",AND(N808&lt;= 11, S808=10), "FLUSH",AND(N808&lt;= 21, S808=10), "PRODUCTION")</f>
        <v>SOWING</v>
      </c>
      <c r="U808">
        <f>HOUR(datos_siembra[[#This Row],[Hour]])</f>
        <v>2</v>
      </c>
      <c r="V808" cm="1">
        <f t="array" ref="V808">_xlfn.IFS(AND(N808&lt;= 22, S808=9), N808-7,AND(N808&lt;= 28, S808=9), N808-25,AND(N808&lt;= 30, S808=9), N808-28,AND(N808&lt;= 11, S808=10), N808+2,AND(N808&lt;= 21, S808=10), N808-11)</f>
        <v>7</v>
      </c>
    </row>
    <row r="809" spans="1:22" x14ac:dyDescent="0.35">
      <c r="A809" s="4">
        <v>45549</v>
      </c>
      <c r="B809" s="5">
        <v>0.10420138888888889</v>
      </c>
      <c r="C809">
        <v>82.2</v>
      </c>
      <c r="D809">
        <v>78.5</v>
      </c>
      <c r="E809">
        <v>83.5</v>
      </c>
      <c r="F809">
        <v>82.4</v>
      </c>
      <c r="G809">
        <v>0</v>
      </c>
      <c r="H809">
        <v>0</v>
      </c>
      <c r="I809">
        <v>0</v>
      </c>
      <c r="J809">
        <v>0</v>
      </c>
      <c r="K809">
        <v>59.8</v>
      </c>
      <c r="L809">
        <v>58</v>
      </c>
      <c r="M809">
        <v>81.58</v>
      </c>
      <c r="N809">
        <v>14</v>
      </c>
      <c r="O809">
        <v>4</v>
      </c>
      <c r="P809">
        <f>MOD(DAY(datos_siembra[[#This Row],[Date]]),7)</f>
        <v>0</v>
      </c>
      <c r="Q809" t="str">
        <f>CHOOSE(WEEKDAY(datos_siembra[[#This Row],[Date]],2),"L","M","X","J","V","S","D")</f>
        <v>S</v>
      </c>
      <c r="R809">
        <f>WEEKNUM(datos_siembra[[#This Row],[Date]],2)-WEEKNUM(DATE(YEAR(datos_siembra[[#This Row],[Date]]),MONTH(datos_siembra[[#This Row],[Date]]),1))+1</f>
        <v>2</v>
      </c>
      <c r="S809">
        <f>MONTH(datos_siembra[[#This Row],[Date]])</f>
        <v>9</v>
      </c>
      <c r="T809" t="str" cm="1">
        <f t="array" ref="T809">_xlfn.IFS(AND(N809&lt;= 22, S809=9), "SOWING",AND(N809&lt;= 28, S809=9), "COVERAGE",AND(N809&lt;= 30, S809=9), "FLUSH",AND(N809&lt;= 11, S809=10), "FLUSH",AND(N809&lt;= 21, S809=10), "PRODUCTION")</f>
        <v>SOWING</v>
      </c>
      <c r="U809">
        <f>HOUR(datos_siembra[[#This Row],[Hour]])</f>
        <v>2</v>
      </c>
      <c r="V809" cm="1">
        <f t="array" ref="V809">_xlfn.IFS(AND(N809&lt;= 22, S809=9), N809-7,AND(N809&lt;= 28, S809=9), N809-25,AND(N809&lt;= 30, S809=9), N809-28,AND(N809&lt;= 11, S809=10), N809+2,AND(N809&lt;= 21, S809=10), N809-11)</f>
        <v>7</v>
      </c>
    </row>
    <row r="810" spans="1:22" x14ac:dyDescent="0.35">
      <c r="A810" s="4">
        <v>45549</v>
      </c>
      <c r="B810" s="5">
        <v>0.11114583333333333</v>
      </c>
      <c r="C810">
        <v>82.2</v>
      </c>
      <c r="D810">
        <v>78.2</v>
      </c>
      <c r="E810">
        <v>83.5</v>
      </c>
      <c r="F810">
        <v>82.3</v>
      </c>
      <c r="G810">
        <v>0</v>
      </c>
      <c r="H810">
        <v>0</v>
      </c>
      <c r="I810">
        <v>0</v>
      </c>
      <c r="J810">
        <v>0</v>
      </c>
      <c r="K810">
        <v>59.8</v>
      </c>
      <c r="L810">
        <v>58.1</v>
      </c>
      <c r="M810">
        <v>81.58</v>
      </c>
      <c r="N810">
        <v>14</v>
      </c>
      <c r="O810">
        <v>4</v>
      </c>
      <c r="P810">
        <f>MOD(DAY(datos_siembra[[#This Row],[Date]]),7)</f>
        <v>0</v>
      </c>
      <c r="Q810" t="str">
        <f>CHOOSE(WEEKDAY(datos_siembra[[#This Row],[Date]],2),"L","M","X","J","V","S","D")</f>
        <v>S</v>
      </c>
      <c r="R810">
        <f>WEEKNUM(datos_siembra[[#This Row],[Date]],2)-WEEKNUM(DATE(YEAR(datos_siembra[[#This Row],[Date]]),MONTH(datos_siembra[[#This Row],[Date]]),1))+1</f>
        <v>2</v>
      </c>
      <c r="S810">
        <f>MONTH(datos_siembra[[#This Row],[Date]])</f>
        <v>9</v>
      </c>
      <c r="T810" t="str" cm="1">
        <f t="array" ref="T810">_xlfn.IFS(AND(N810&lt;= 22, S810=9), "SOWING",AND(N810&lt;= 28, S810=9), "COVERAGE",AND(N810&lt;= 30, S810=9), "FLUSH",AND(N810&lt;= 11, S810=10), "FLUSH",AND(N810&lt;= 21, S810=10), "PRODUCTION")</f>
        <v>SOWING</v>
      </c>
      <c r="U810">
        <f>HOUR(datos_siembra[[#This Row],[Hour]])</f>
        <v>2</v>
      </c>
      <c r="V810" cm="1">
        <f t="array" ref="V810">_xlfn.IFS(AND(N810&lt;= 22, S810=9), N810-7,AND(N810&lt;= 28, S810=9), N810-25,AND(N810&lt;= 30, S810=9), N810-28,AND(N810&lt;= 11, S810=10), N810+2,AND(N810&lt;= 21, S810=10), N810-11)</f>
        <v>7</v>
      </c>
    </row>
    <row r="811" spans="1:22" x14ac:dyDescent="0.35">
      <c r="A811" s="4">
        <v>45549</v>
      </c>
      <c r="B811" s="5">
        <v>0.11809027777777778</v>
      </c>
      <c r="C811">
        <v>82.2</v>
      </c>
      <c r="D811">
        <v>78.2</v>
      </c>
      <c r="E811">
        <v>83.4</v>
      </c>
      <c r="F811">
        <v>82.4</v>
      </c>
      <c r="G811">
        <v>0</v>
      </c>
      <c r="H811">
        <v>0</v>
      </c>
      <c r="I811">
        <v>0</v>
      </c>
      <c r="J811">
        <v>0</v>
      </c>
      <c r="K811">
        <v>59.9</v>
      </c>
      <c r="L811">
        <v>58.1</v>
      </c>
      <c r="M811">
        <v>81.61</v>
      </c>
      <c r="N811">
        <v>14</v>
      </c>
      <c r="O811">
        <v>4</v>
      </c>
      <c r="P811">
        <f>MOD(DAY(datos_siembra[[#This Row],[Date]]),7)</f>
        <v>0</v>
      </c>
      <c r="Q811" t="str">
        <f>CHOOSE(WEEKDAY(datos_siembra[[#This Row],[Date]],2),"L","M","X","J","V","S","D")</f>
        <v>S</v>
      </c>
      <c r="R811">
        <f>WEEKNUM(datos_siembra[[#This Row],[Date]],2)-WEEKNUM(DATE(YEAR(datos_siembra[[#This Row],[Date]]),MONTH(datos_siembra[[#This Row],[Date]]),1))+1</f>
        <v>2</v>
      </c>
      <c r="S811">
        <f>MONTH(datos_siembra[[#This Row],[Date]])</f>
        <v>9</v>
      </c>
      <c r="T811" t="str" cm="1">
        <f t="array" ref="T811">_xlfn.IFS(AND(N811&lt;= 22, S811=9), "SOWING",AND(N811&lt;= 28, S811=9), "COVERAGE",AND(N811&lt;= 30, S811=9), "FLUSH",AND(N811&lt;= 11, S811=10), "FLUSH",AND(N811&lt;= 21, S811=10), "PRODUCTION")</f>
        <v>SOWING</v>
      </c>
      <c r="U811">
        <f>HOUR(datos_siembra[[#This Row],[Hour]])</f>
        <v>2</v>
      </c>
      <c r="V811" cm="1">
        <f t="array" ref="V811">_xlfn.IFS(AND(N811&lt;= 22, S811=9), N811-7,AND(N811&lt;= 28, S811=9), N811-25,AND(N811&lt;= 30, S811=9), N811-28,AND(N811&lt;= 11, S811=10), N811+2,AND(N811&lt;= 21, S811=10), N811-11)</f>
        <v>7</v>
      </c>
    </row>
    <row r="812" spans="1:22" x14ac:dyDescent="0.35">
      <c r="A812" s="4">
        <v>45549</v>
      </c>
      <c r="B812" s="5">
        <v>0.12503472222222223</v>
      </c>
      <c r="C812">
        <v>82.2</v>
      </c>
      <c r="D812">
        <v>78.400000000000006</v>
      </c>
      <c r="E812">
        <v>83.4</v>
      </c>
      <c r="F812">
        <v>82.4</v>
      </c>
      <c r="G812">
        <v>0</v>
      </c>
      <c r="H812">
        <v>0</v>
      </c>
      <c r="I812">
        <v>0</v>
      </c>
      <c r="J812">
        <v>0</v>
      </c>
      <c r="K812">
        <v>59.9</v>
      </c>
      <c r="L812">
        <v>58.2</v>
      </c>
      <c r="M812">
        <v>81.56</v>
      </c>
      <c r="N812">
        <v>14</v>
      </c>
      <c r="O812">
        <v>4</v>
      </c>
      <c r="P812">
        <f>MOD(DAY(datos_siembra[[#This Row],[Date]]),7)</f>
        <v>0</v>
      </c>
      <c r="Q812" t="str">
        <f>CHOOSE(WEEKDAY(datos_siembra[[#This Row],[Date]],2),"L","M","X","J","V","S","D")</f>
        <v>S</v>
      </c>
      <c r="R812">
        <f>WEEKNUM(datos_siembra[[#This Row],[Date]],2)-WEEKNUM(DATE(YEAR(datos_siembra[[#This Row],[Date]]),MONTH(datos_siembra[[#This Row],[Date]]),1))+1</f>
        <v>2</v>
      </c>
      <c r="S812">
        <f>MONTH(datos_siembra[[#This Row],[Date]])</f>
        <v>9</v>
      </c>
      <c r="T812" t="str" cm="1">
        <f t="array" ref="T812">_xlfn.IFS(AND(N812&lt;= 22, S812=9), "SOWING",AND(N812&lt;= 28, S812=9), "COVERAGE",AND(N812&lt;= 30, S812=9), "FLUSH",AND(N812&lt;= 11, S812=10), "FLUSH",AND(N812&lt;= 21, S812=10), "PRODUCTION")</f>
        <v>SOWING</v>
      </c>
      <c r="U812">
        <f>HOUR(datos_siembra[[#This Row],[Hour]])</f>
        <v>3</v>
      </c>
      <c r="V812" cm="1">
        <f t="array" ref="V812">_xlfn.IFS(AND(N812&lt;= 22, S812=9), N812-7,AND(N812&lt;= 28, S812=9), N812-25,AND(N812&lt;= 30, S812=9), N812-28,AND(N812&lt;= 11, S812=10), N812+2,AND(N812&lt;= 21, S812=10), N812-11)</f>
        <v>7</v>
      </c>
    </row>
    <row r="813" spans="1:22" x14ac:dyDescent="0.35">
      <c r="A813" s="4">
        <v>45549</v>
      </c>
      <c r="B813" s="5">
        <v>0.13199074074074074</v>
      </c>
      <c r="C813">
        <v>82.2</v>
      </c>
      <c r="D813">
        <v>78.400000000000006</v>
      </c>
      <c r="E813">
        <v>83.4</v>
      </c>
      <c r="F813">
        <v>82.3</v>
      </c>
      <c r="G813">
        <v>0</v>
      </c>
      <c r="H813">
        <v>0</v>
      </c>
      <c r="I813">
        <v>0</v>
      </c>
      <c r="J813">
        <v>0</v>
      </c>
      <c r="K813">
        <v>60.1</v>
      </c>
      <c r="L813">
        <v>58.3</v>
      </c>
      <c r="M813">
        <v>81.5</v>
      </c>
      <c r="N813">
        <v>14</v>
      </c>
      <c r="O813">
        <v>4</v>
      </c>
      <c r="P813">
        <f>MOD(DAY(datos_siembra[[#This Row],[Date]]),7)</f>
        <v>0</v>
      </c>
      <c r="Q813" t="str">
        <f>CHOOSE(WEEKDAY(datos_siembra[[#This Row],[Date]],2),"L","M","X","J","V","S","D")</f>
        <v>S</v>
      </c>
      <c r="R813">
        <f>WEEKNUM(datos_siembra[[#This Row],[Date]],2)-WEEKNUM(DATE(YEAR(datos_siembra[[#This Row],[Date]]),MONTH(datos_siembra[[#This Row],[Date]]),1))+1</f>
        <v>2</v>
      </c>
      <c r="S813">
        <f>MONTH(datos_siembra[[#This Row],[Date]])</f>
        <v>9</v>
      </c>
      <c r="T813" t="str" cm="1">
        <f t="array" ref="T813">_xlfn.IFS(AND(N813&lt;= 22, S813=9), "SOWING",AND(N813&lt;= 28, S813=9), "COVERAGE",AND(N813&lt;= 30, S813=9), "FLUSH",AND(N813&lt;= 11, S813=10), "FLUSH",AND(N813&lt;= 21, S813=10), "PRODUCTION")</f>
        <v>SOWING</v>
      </c>
      <c r="U813">
        <f>HOUR(datos_siembra[[#This Row],[Hour]])</f>
        <v>3</v>
      </c>
      <c r="V813" cm="1">
        <f t="array" ref="V813">_xlfn.IFS(AND(N813&lt;= 22, S813=9), N813-7,AND(N813&lt;= 28, S813=9), N813-25,AND(N813&lt;= 30, S813=9), N813-28,AND(N813&lt;= 11, S813=10), N813+2,AND(N813&lt;= 21, S813=10), N813-11)</f>
        <v>7</v>
      </c>
    </row>
    <row r="814" spans="1:22" x14ac:dyDescent="0.35">
      <c r="A814" s="4">
        <v>45549</v>
      </c>
      <c r="B814" s="5">
        <v>0.13893518518518519</v>
      </c>
      <c r="C814">
        <v>82.1</v>
      </c>
      <c r="D814">
        <v>78.099999999999994</v>
      </c>
      <c r="E814">
        <v>83.5</v>
      </c>
      <c r="F814">
        <v>82.4</v>
      </c>
      <c r="G814">
        <v>0</v>
      </c>
      <c r="H814">
        <v>0</v>
      </c>
      <c r="I814">
        <v>0</v>
      </c>
      <c r="J814">
        <v>0</v>
      </c>
      <c r="K814">
        <v>60.3</v>
      </c>
      <c r="L814">
        <v>58.4</v>
      </c>
      <c r="M814">
        <v>81.53</v>
      </c>
      <c r="N814">
        <v>14</v>
      </c>
      <c r="O814">
        <v>4</v>
      </c>
      <c r="P814">
        <f>MOD(DAY(datos_siembra[[#This Row],[Date]]),7)</f>
        <v>0</v>
      </c>
      <c r="Q814" t="str">
        <f>CHOOSE(WEEKDAY(datos_siembra[[#This Row],[Date]],2),"L","M","X","J","V","S","D")</f>
        <v>S</v>
      </c>
      <c r="R814">
        <f>WEEKNUM(datos_siembra[[#This Row],[Date]],2)-WEEKNUM(DATE(YEAR(datos_siembra[[#This Row],[Date]]),MONTH(datos_siembra[[#This Row],[Date]]),1))+1</f>
        <v>2</v>
      </c>
      <c r="S814">
        <f>MONTH(datos_siembra[[#This Row],[Date]])</f>
        <v>9</v>
      </c>
      <c r="T814" t="str" cm="1">
        <f t="array" ref="T814">_xlfn.IFS(AND(N814&lt;= 22, S814=9), "SOWING",AND(N814&lt;= 28, S814=9), "COVERAGE",AND(N814&lt;= 30, S814=9), "FLUSH",AND(N814&lt;= 11, S814=10), "FLUSH",AND(N814&lt;= 21, S814=10), "PRODUCTION")</f>
        <v>SOWING</v>
      </c>
      <c r="U814">
        <f>HOUR(datos_siembra[[#This Row],[Hour]])</f>
        <v>3</v>
      </c>
      <c r="V814" cm="1">
        <f t="array" ref="V814">_xlfn.IFS(AND(N814&lt;= 22, S814=9), N814-7,AND(N814&lt;= 28, S814=9), N814-25,AND(N814&lt;= 30, S814=9), N814-28,AND(N814&lt;= 11, S814=10), N814+2,AND(N814&lt;= 21, S814=10), N814-11)</f>
        <v>7</v>
      </c>
    </row>
    <row r="815" spans="1:22" x14ac:dyDescent="0.35">
      <c r="A815" s="4">
        <v>45549</v>
      </c>
      <c r="B815" s="5">
        <v>0.14587962962962964</v>
      </c>
      <c r="C815">
        <v>82.1</v>
      </c>
      <c r="D815">
        <v>78.2</v>
      </c>
      <c r="E815">
        <v>83.3</v>
      </c>
      <c r="F815">
        <v>82.2</v>
      </c>
      <c r="G815">
        <v>0</v>
      </c>
      <c r="H815">
        <v>0</v>
      </c>
      <c r="I815">
        <v>0</v>
      </c>
      <c r="J815">
        <v>0</v>
      </c>
      <c r="K815">
        <v>60.2</v>
      </c>
      <c r="L815">
        <v>58.5</v>
      </c>
      <c r="M815">
        <v>81.39</v>
      </c>
      <c r="N815">
        <v>14</v>
      </c>
      <c r="O815">
        <v>4</v>
      </c>
      <c r="P815">
        <f>MOD(DAY(datos_siembra[[#This Row],[Date]]),7)</f>
        <v>0</v>
      </c>
      <c r="Q815" t="str">
        <f>CHOOSE(WEEKDAY(datos_siembra[[#This Row],[Date]],2),"L","M","X","J","V","S","D")</f>
        <v>S</v>
      </c>
      <c r="R815">
        <f>WEEKNUM(datos_siembra[[#This Row],[Date]],2)-WEEKNUM(DATE(YEAR(datos_siembra[[#This Row],[Date]]),MONTH(datos_siembra[[#This Row],[Date]]),1))+1</f>
        <v>2</v>
      </c>
      <c r="S815">
        <f>MONTH(datos_siembra[[#This Row],[Date]])</f>
        <v>9</v>
      </c>
      <c r="T815" t="str" cm="1">
        <f t="array" ref="T815">_xlfn.IFS(AND(N815&lt;= 22, S815=9), "SOWING",AND(N815&lt;= 28, S815=9), "COVERAGE",AND(N815&lt;= 30, S815=9), "FLUSH",AND(N815&lt;= 11, S815=10), "FLUSH",AND(N815&lt;= 21, S815=10), "PRODUCTION")</f>
        <v>SOWING</v>
      </c>
      <c r="U815">
        <f>HOUR(datos_siembra[[#This Row],[Hour]])</f>
        <v>3</v>
      </c>
      <c r="V815" cm="1">
        <f t="array" ref="V815">_xlfn.IFS(AND(N815&lt;= 22, S815=9), N815-7,AND(N815&lt;= 28, S815=9), N815-25,AND(N815&lt;= 30, S815=9), N815-28,AND(N815&lt;= 11, S815=10), N815+2,AND(N815&lt;= 21, S815=10), N815-11)</f>
        <v>7</v>
      </c>
    </row>
    <row r="816" spans="1:22" x14ac:dyDescent="0.35">
      <c r="A816" s="4">
        <v>45549</v>
      </c>
      <c r="B816" s="5">
        <v>0.15283564814814815</v>
      </c>
      <c r="C816">
        <v>82</v>
      </c>
      <c r="D816">
        <v>78</v>
      </c>
      <c r="E816">
        <v>83.3</v>
      </c>
      <c r="F816">
        <v>82.1</v>
      </c>
      <c r="G816">
        <v>0</v>
      </c>
      <c r="H816">
        <v>0</v>
      </c>
      <c r="I816">
        <v>0</v>
      </c>
      <c r="J816">
        <v>0</v>
      </c>
      <c r="K816">
        <v>60.3</v>
      </c>
      <c r="L816">
        <v>58.7</v>
      </c>
      <c r="M816">
        <v>81.39</v>
      </c>
      <c r="N816">
        <v>14</v>
      </c>
      <c r="O816">
        <v>4</v>
      </c>
      <c r="P816">
        <f>MOD(DAY(datos_siembra[[#This Row],[Date]]),7)</f>
        <v>0</v>
      </c>
      <c r="Q816" t="str">
        <f>CHOOSE(WEEKDAY(datos_siembra[[#This Row],[Date]],2),"L","M","X","J","V","S","D")</f>
        <v>S</v>
      </c>
      <c r="R816">
        <f>WEEKNUM(datos_siembra[[#This Row],[Date]],2)-WEEKNUM(DATE(YEAR(datos_siembra[[#This Row],[Date]]),MONTH(datos_siembra[[#This Row],[Date]]),1))+1</f>
        <v>2</v>
      </c>
      <c r="S816">
        <f>MONTH(datos_siembra[[#This Row],[Date]])</f>
        <v>9</v>
      </c>
      <c r="T816" t="str" cm="1">
        <f t="array" ref="T816">_xlfn.IFS(AND(N816&lt;= 22, S816=9), "SOWING",AND(N816&lt;= 28, S816=9), "COVERAGE",AND(N816&lt;= 30, S816=9), "FLUSH",AND(N816&lt;= 11, S816=10), "FLUSH",AND(N816&lt;= 21, S816=10), "PRODUCTION")</f>
        <v>SOWING</v>
      </c>
      <c r="U816">
        <f>HOUR(datos_siembra[[#This Row],[Hour]])</f>
        <v>3</v>
      </c>
      <c r="V816" cm="1">
        <f t="array" ref="V816">_xlfn.IFS(AND(N816&lt;= 22, S816=9), N816-7,AND(N816&lt;= 28, S816=9), N816-25,AND(N816&lt;= 30, S816=9), N816-28,AND(N816&lt;= 11, S816=10), N816+2,AND(N816&lt;= 21, S816=10), N816-11)</f>
        <v>7</v>
      </c>
    </row>
    <row r="817" spans="1:22" x14ac:dyDescent="0.35">
      <c r="A817" s="4">
        <v>45549</v>
      </c>
      <c r="B817" s="5">
        <v>0.1597800925925926</v>
      </c>
      <c r="C817">
        <v>82.1</v>
      </c>
      <c r="D817">
        <v>78.099999999999994</v>
      </c>
      <c r="E817">
        <v>83.3</v>
      </c>
      <c r="F817">
        <v>82.2</v>
      </c>
      <c r="G817">
        <v>0</v>
      </c>
      <c r="H817">
        <v>0</v>
      </c>
      <c r="I817">
        <v>0</v>
      </c>
      <c r="J817">
        <v>0</v>
      </c>
      <c r="K817">
        <v>60.5</v>
      </c>
      <c r="L817">
        <v>58.8</v>
      </c>
      <c r="M817">
        <v>81.39</v>
      </c>
      <c r="N817">
        <v>14</v>
      </c>
      <c r="O817">
        <v>4</v>
      </c>
      <c r="P817">
        <f>MOD(DAY(datos_siembra[[#This Row],[Date]]),7)</f>
        <v>0</v>
      </c>
      <c r="Q817" t="str">
        <f>CHOOSE(WEEKDAY(datos_siembra[[#This Row],[Date]],2),"L","M","X","J","V","S","D")</f>
        <v>S</v>
      </c>
      <c r="R817">
        <f>WEEKNUM(datos_siembra[[#This Row],[Date]],2)-WEEKNUM(DATE(YEAR(datos_siembra[[#This Row],[Date]]),MONTH(datos_siembra[[#This Row],[Date]]),1))+1</f>
        <v>2</v>
      </c>
      <c r="S817">
        <f>MONTH(datos_siembra[[#This Row],[Date]])</f>
        <v>9</v>
      </c>
      <c r="T817" t="str" cm="1">
        <f t="array" ref="T817">_xlfn.IFS(AND(N817&lt;= 22, S817=9), "SOWING",AND(N817&lt;= 28, S817=9), "COVERAGE",AND(N817&lt;= 30, S817=9), "FLUSH",AND(N817&lt;= 11, S817=10), "FLUSH",AND(N817&lt;= 21, S817=10), "PRODUCTION")</f>
        <v>SOWING</v>
      </c>
      <c r="U817">
        <f>HOUR(datos_siembra[[#This Row],[Hour]])</f>
        <v>3</v>
      </c>
      <c r="V817" cm="1">
        <f t="array" ref="V817">_xlfn.IFS(AND(N817&lt;= 22, S817=9), N817-7,AND(N817&lt;= 28, S817=9), N817-25,AND(N817&lt;= 30, S817=9), N817-28,AND(N817&lt;= 11, S817=10), N817+2,AND(N817&lt;= 21, S817=10), N817-11)</f>
        <v>7</v>
      </c>
    </row>
    <row r="818" spans="1:22" x14ac:dyDescent="0.35">
      <c r="A818" s="4">
        <v>45549</v>
      </c>
      <c r="B818" s="5">
        <v>0.16672453703703705</v>
      </c>
      <c r="C818">
        <v>82</v>
      </c>
      <c r="D818">
        <v>77.900000000000006</v>
      </c>
      <c r="E818">
        <v>83.2</v>
      </c>
      <c r="F818">
        <v>82.1</v>
      </c>
      <c r="G818">
        <v>0</v>
      </c>
      <c r="H818">
        <v>0</v>
      </c>
      <c r="I818">
        <v>0</v>
      </c>
      <c r="J818">
        <v>0</v>
      </c>
      <c r="K818">
        <v>60.6</v>
      </c>
      <c r="L818">
        <v>58.9</v>
      </c>
      <c r="M818">
        <v>81.3</v>
      </c>
      <c r="N818">
        <v>14</v>
      </c>
      <c r="O818">
        <v>4</v>
      </c>
      <c r="P818">
        <f>MOD(DAY(datos_siembra[[#This Row],[Date]]),7)</f>
        <v>0</v>
      </c>
      <c r="Q818" t="str">
        <f>CHOOSE(WEEKDAY(datos_siembra[[#This Row],[Date]],2),"L","M","X","J","V","S","D")</f>
        <v>S</v>
      </c>
      <c r="R818">
        <f>WEEKNUM(datos_siembra[[#This Row],[Date]],2)-WEEKNUM(DATE(YEAR(datos_siembra[[#This Row],[Date]]),MONTH(datos_siembra[[#This Row],[Date]]),1))+1</f>
        <v>2</v>
      </c>
      <c r="S818">
        <f>MONTH(datos_siembra[[#This Row],[Date]])</f>
        <v>9</v>
      </c>
      <c r="T818" t="str" cm="1">
        <f t="array" ref="T818">_xlfn.IFS(AND(N818&lt;= 22, S818=9), "SOWING",AND(N818&lt;= 28, S818=9), "COVERAGE",AND(N818&lt;= 30, S818=9), "FLUSH",AND(N818&lt;= 11, S818=10), "FLUSH",AND(N818&lt;= 21, S818=10), "PRODUCTION")</f>
        <v>SOWING</v>
      </c>
      <c r="U818">
        <f>HOUR(datos_siembra[[#This Row],[Hour]])</f>
        <v>4</v>
      </c>
      <c r="V818" cm="1">
        <f t="array" ref="V818">_xlfn.IFS(AND(N818&lt;= 22, S818=9), N818-7,AND(N818&lt;= 28, S818=9), N818-25,AND(N818&lt;= 30, S818=9), N818-28,AND(N818&lt;= 11, S818=10), N818+2,AND(N818&lt;= 21, S818=10), N818-11)</f>
        <v>7</v>
      </c>
    </row>
    <row r="819" spans="1:22" x14ac:dyDescent="0.35">
      <c r="A819" s="4">
        <v>45549</v>
      </c>
      <c r="B819" s="5">
        <v>0.17368055555555556</v>
      </c>
      <c r="C819">
        <v>82</v>
      </c>
      <c r="D819">
        <v>78.099999999999994</v>
      </c>
      <c r="E819">
        <v>83.2</v>
      </c>
      <c r="F819">
        <v>82.1</v>
      </c>
      <c r="G819">
        <v>0</v>
      </c>
      <c r="H819">
        <v>0</v>
      </c>
      <c r="I819">
        <v>0</v>
      </c>
      <c r="J819">
        <v>0</v>
      </c>
      <c r="K819">
        <v>60.7</v>
      </c>
      <c r="L819">
        <v>59</v>
      </c>
      <c r="M819">
        <v>81.19</v>
      </c>
      <c r="N819">
        <v>14</v>
      </c>
      <c r="O819">
        <v>4</v>
      </c>
      <c r="P819">
        <f>MOD(DAY(datos_siembra[[#This Row],[Date]]),7)</f>
        <v>0</v>
      </c>
      <c r="Q819" t="str">
        <f>CHOOSE(WEEKDAY(datos_siembra[[#This Row],[Date]],2),"L","M","X","J","V","S","D")</f>
        <v>S</v>
      </c>
      <c r="R819">
        <f>WEEKNUM(datos_siembra[[#This Row],[Date]],2)-WEEKNUM(DATE(YEAR(datos_siembra[[#This Row],[Date]]),MONTH(datos_siembra[[#This Row],[Date]]),1))+1</f>
        <v>2</v>
      </c>
      <c r="S819">
        <f>MONTH(datos_siembra[[#This Row],[Date]])</f>
        <v>9</v>
      </c>
      <c r="T819" t="str" cm="1">
        <f t="array" ref="T819">_xlfn.IFS(AND(N819&lt;= 22, S819=9), "SOWING",AND(N819&lt;= 28, S819=9), "COVERAGE",AND(N819&lt;= 30, S819=9), "FLUSH",AND(N819&lt;= 11, S819=10), "FLUSH",AND(N819&lt;= 21, S819=10), "PRODUCTION")</f>
        <v>SOWING</v>
      </c>
      <c r="U819">
        <f>HOUR(datos_siembra[[#This Row],[Hour]])</f>
        <v>4</v>
      </c>
      <c r="V819" cm="1">
        <f t="array" ref="V819">_xlfn.IFS(AND(N819&lt;= 22, S819=9), N819-7,AND(N819&lt;= 28, S819=9), N819-25,AND(N819&lt;= 30, S819=9), N819-28,AND(N819&lt;= 11, S819=10), N819+2,AND(N819&lt;= 21, S819=10), N819-11)</f>
        <v>7</v>
      </c>
    </row>
    <row r="820" spans="1:22" x14ac:dyDescent="0.35">
      <c r="A820" s="4">
        <v>45549</v>
      </c>
      <c r="B820" s="5">
        <v>0.18062500000000001</v>
      </c>
      <c r="C820">
        <v>81.8</v>
      </c>
      <c r="D820">
        <v>77.900000000000006</v>
      </c>
      <c r="E820">
        <v>83.3</v>
      </c>
      <c r="F820">
        <v>82</v>
      </c>
      <c r="G820">
        <v>0</v>
      </c>
      <c r="H820">
        <v>0</v>
      </c>
      <c r="I820">
        <v>0</v>
      </c>
      <c r="J820">
        <v>0</v>
      </c>
      <c r="K820">
        <v>60.7</v>
      </c>
      <c r="L820">
        <v>59.1</v>
      </c>
      <c r="M820">
        <v>81.19</v>
      </c>
      <c r="N820">
        <v>14</v>
      </c>
      <c r="O820">
        <v>4</v>
      </c>
      <c r="P820">
        <f>MOD(DAY(datos_siembra[[#This Row],[Date]]),7)</f>
        <v>0</v>
      </c>
      <c r="Q820" t="str">
        <f>CHOOSE(WEEKDAY(datos_siembra[[#This Row],[Date]],2),"L","M","X","J","V","S","D")</f>
        <v>S</v>
      </c>
      <c r="R820">
        <f>WEEKNUM(datos_siembra[[#This Row],[Date]],2)-WEEKNUM(DATE(YEAR(datos_siembra[[#This Row],[Date]]),MONTH(datos_siembra[[#This Row],[Date]]),1))+1</f>
        <v>2</v>
      </c>
      <c r="S820">
        <f>MONTH(datos_siembra[[#This Row],[Date]])</f>
        <v>9</v>
      </c>
      <c r="T820" t="str" cm="1">
        <f t="array" ref="T820">_xlfn.IFS(AND(N820&lt;= 22, S820=9), "SOWING",AND(N820&lt;= 28, S820=9), "COVERAGE",AND(N820&lt;= 30, S820=9), "FLUSH",AND(N820&lt;= 11, S820=10), "FLUSH",AND(N820&lt;= 21, S820=10), "PRODUCTION")</f>
        <v>SOWING</v>
      </c>
      <c r="U820">
        <f>HOUR(datos_siembra[[#This Row],[Hour]])</f>
        <v>4</v>
      </c>
      <c r="V820" cm="1">
        <f t="array" ref="V820">_xlfn.IFS(AND(N820&lt;= 22, S820=9), N820-7,AND(N820&lt;= 28, S820=9), N820-25,AND(N820&lt;= 30, S820=9), N820-28,AND(N820&lt;= 11, S820=10), N820+2,AND(N820&lt;= 21, S820=10), N820-11)</f>
        <v>7</v>
      </c>
    </row>
    <row r="821" spans="1:22" x14ac:dyDescent="0.35">
      <c r="A821" s="4">
        <v>45549</v>
      </c>
      <c r="B821" s="5">
        <v>0.18756944444444446</v>
      </c>
      <c r="C821">
        <v>81.8</v>
      </c>
      <c r="D821">
        <v>77.900000000000006</v>
      </c>
      <c r="E821">
        <v>83.1</v>
      </c>
      <c r="F821">
        <v>82</v>
      </c>
      <c r="G821">
        <v>0</v>
      </c>
      <c r="H821">
        <v>0</v>
      </c>
      <c r="I821">
        <v>0</v>
      </c>
      <c r="J821">
        <v>0</v>
      </c>
      <c r="K821">
        <v>60.8</v>
      </c>
      <c r="L821">
        <v>59.2</v>
      </c>
      <c r="M821">
        <v>81.22</v>
      </c>
      <c r="N821">
        <v>14</v>
      </c>
      <c r="O821">
        <v>4</v>
      </c>
      <c r="P821">
        <f>MOD(DAY(datos_siembra[[#This Row],[Date]]),7)</f>
        <v>0</v>
      </c>
      <c r="Q821" t="str">
        <f>CHOOSE(WEEKDAY(datos_siembra[[#This Row],[Date]],2),"L","M","X","J","V","S","D")</f>
        <v>S</v>
      </c>
      <c r="R821">
        <f>WEEKNUM(datos_siembra[[#This Row],[Date]],2)-WEEKNUM(DATE(YEAR(datos_siembra[[#This Row],[Date]]),MONTH(datos_siembra[[#This Row],[Date]]),1))+1</f>
        <v>2</v>
      </c>
      <c r="S821">
        <f>MONTH(datos_siembra[[#This Row],[Date]])</f>
        <v>9</v>
      </c>
      <c r="T821" t="str" cm="1">
        <f t="array" ref="T821">_xlfn.IFS(AND(N821&lt;= 22, S821=9), "SOWING",AND(N821&lt;= 28, S821=9), "COVERAGE",AND(N821&lt;= 30, S821=9), "FLUSH",AND(N821&lt;= 11, S821=10), "FLUSH",AND(N821&lt;= 21, S821=10), "PRODUCTION")</f>
        <v>SOWING</v>
      </c>
      <c r="U821">
        <f>HOUR(datos_siembra[[#This Row],[Hour]])</f>
        <v>4</v>
      </c>
      <c r="V821" cm="1">
        <f t="array" ref="V821">_xlfn.IFS(AND(N821&lt;= 22, S821=9), N821-7,AND(N821&lt;= 28, S821=9), N821-25,AND(N821&lt;= 30, S821=9), N821-28,AND(N821&lt;= 11, S821=10), N821+2,AND(N821&lt;= 21, S821=10), N821-11)</f>
        <v>7</v>
      </c>
    </row>
    <row r="822" spans="1:22" x14ac:dyDescent="0.35">
      <c r="A822" s="4">
        <v>45549</v>
      </c>
      <c r="B822" s="5">
        <v>0.19451388888888888</v>
      </c>
      <c r="C822">
        <v>81.8</v>
      </c>
      <c r="D822">
        <v>77.900000000000006</v>
      </c>
      <c r="E822">
        <v>83.1</v>
      </c>
      <c r="F822">
        <v>81.7</v>
      </c>
      <c r="G822">
        <v>0</v>
      </c>
      <c r="H822">
        <v>0</v>
      </c>
      <c r="I822">
        <v>0</v>
      </c>
      <c r="J822">
        <v>0</v>
      </c>
      <c r="K822">
        <v>60.8</v>
      </c>
      <c r="L822">
        <v>59.2</v>
      </c>
      <c r="M822">
        <v>81.11</v>
      </c>
      <c r="N822">
        <v>14</v>
      </c>
      <c r="O822">
        <v>4</v>
      </c>
      <c r="P822">
        <f>MOD(DAY(datos_siembra[[#This Row],[Date]]),7)</f>
        <v>0</v>
      </c>
      <c r="Q822" t="str">
        <f>CHOOSE(WEEKDAY(datos_siembra[[#This Row],[Date]],2),"L","M","X","J","V","S","D")</f>
        <v>S</v>
      </c>
      <c r="R822">
        <f>WEEKNUM(datos_siembra[[#This Row],[Date]],2)-WEEKNUM(DATE(YEAR(datos_siembra[[#This Row],[Date]]),MONTH(datos_siembra[[#This Row],[Date]]),1))+1</f>
        <v>2</v>
      </c>
      <c r="S822">
        <f>MONTH(datos_siembra[[#This Row],[Date]])</f>
        <v>9</v>
      </c>
      <c r="T822" t="str" cm="1">
        <f t="array" ref="T822">_xlfn.IFS(AND(N822&lt;= 22, S822=9), "SOWING",AND(N822&lt;= 28, S822=9), "COVERAGE",AND(N822&lt;= 30, S822=9), "FLUSH",AND(N822&lt;= 11, S822=10), "FLUSH",AND(N822&lt;= 21, S822=10), "PRODUCTION")</f>
        <v>SOWING</v>
      </c>
      <c r="U822">
        <f>HOUR(datos_siembra[[#This Row],[Hour]])</f>
        <v>4</v>
      </c>
      <c r="V822" cm="1">
        <f t="array" ref="V822">_xlfn.IFS(AND(N822&lt;= 22, S822=9), N822-7,AND(N822&lt;= 28, S822=9), N822-25,AND(N822&lt;= 30, S822=9), N822-28,AND(N822&lt;= 11, S822=10), N822+2,AND(N822&lt;= 21, S822=10), N822-11)</f>
        <v>7</v>
      </c>
    </row>
    <row r="823" spans="1:22" x14ac:dyDescent="0.35">
      <c r="A823" s="4">
        <v>45549</v>
      </c>
      <c r="B823" s="5">
        <v>0.20146990740740742</v>
      </c>
      <c r="C823">
        <v>81.7</v>
      </c>
      <c r="D823">
        <v>77.900000000000006</v>
      </c>
      <c r="E823">
        <v>83.1</v>
      </c>
      <c r="F823">
        <v>81.7</v>
      </c>
      <c r="G823">
        <v>0</v>
      </c>
      <c r="H823">
        <v>0</v>
      </c>
      <c r="I823">
        <v>0</v>
      </c>
      <c r="J823">
        <v>0</v>
      </c>
      <c r="K823">
        <v>60.9</v>
      </c>
      <c r="L823">
        <v>59.4</v>
      </c>
      <c r="M823">
        <v>81.16</v>
      </c>
      <c r="N823">
        <v>14</v>
      </c>
      <c r="O823">
        <v>4</v>
      </c>
      <c r="P823">
        <f>MOD(DAY(datos_siembra[[#This Row],[Date]]),7)</f>
        <v>0</v>
      </c>
      <c r="Q823" t="str">
        <f>CHOOSE(WEEKDAY(datos_siembra[[#This Row],[Date]],2),"L","M","X","J","V","S","D")</f>
        <v>S</v>
      </c>
      <c r="R823">
        <f>WEEKNUM(datos_siembra[[#This Row],[Date]],2)-WEEKNUM(DATE(YEAR(datos_siembra[[#This Row],[Date]]),MONTH(datos_siembra[[#This Row],[Date]]),1))+1</f>
        <v>2</v>
      </c>
      <c r="S823">
        <f>MONTH(datos_siembra[[#This Row],[Date]])</f>
        <v>9</v>
      </c>
      <c r="T823" t="str" cm="1">
        <f t="array" ref="T823">_xlfn.IFS(AND(N823&lt;= 22, S823=9), "SOWING",AND(N823&lt;= 28, S823=9), "COVERAGE",AND(N823&lt;= 30, S823=9), "FLUSH",AND(N823&lt;= 11, S823=10), "FLUSH",AND(N823&lt;= 21, S823=10), "PRODUCTION")</f>
        <v>SOWING</v>
      </c>
      <c r="U823">
        <f>HOUR(datos_siembra[[#This Row],[Hour]])</f>
        <v>4</v>
      </c>
      <c r="V823" cm="1">
        <f t="array" ref="V823">_xlfn.IFS(AND(N823&lt;= 22, S823=9), N823-7,AND(N823&lt;= 28, S823=9), N823-25,AND(N823&lt;= 30, S823=9), N823-28,AND(N823&lt;= 11, S823=10), N823+2,AND(N823&lt;= 21, S823=10), N823-11)</f>
        <v>7</v>
      </c>
    </row>
    <row r="824" spans="1:22" x14ac:dyDescent="0.35">
      <c r="A824" s="4">
        <v>45549</v>
      </c>
      <c r="B824" s="5">
        <v>0.20841435185185186</v>
      </c>
      <c r="C824">
        <v>81.7</v>
      </c>
      <c r="D824">
        <v>77.900000000000006</v>
      </c>
      <c r="E824">
        <v>83.1</v>
      </c>
      <c r="F824">
        <v>81.7</v>
      </c>
      <c r="G824">
        <v>0</v>
      </c>
      <c r="H824">
        <v>0</v>
      </c>
      <c r="I824">
        <v>0</v>
      </c>
      <c r="J824">
        <v>0</v>
      </c>
      <c r="K824">
        <v>61.1</v>
      </c>
      <c r="L824">
        <v>59.4</v>
      </c>
      <c r="M824">
        <v>81.13</v>
      </c>
      <c r="N824">
        <v>14</v>
      </c>
      <c r="O824">
        <v>4</v>
      </c>
      <c r="P824">
        <f>MOD(DAY(datos_siembra[[#This Row],[Date]]),7)</f>
        <v>0</v>
      </c>
      <c r="Q824" t="str">
        <f>CHOOSE(WEEKDAY(datos_siembra[[#This Row],[Date]],2),"L","M","X","J","V","S","D")</f>
        <v>S</v>
      </c>
      <c r="R824">
        <f>WEEKNUM(datos_siembra[[#This Row],[Date]],2)-WEEKNUM(DATE(YEAR(datos_siembra[[#This Row],[Date]]),MONTH(datos_siembra[[#This Row],[Date]]),1))+1</f>
        <v>2</v>
      </c>
      <c r="S824">
        <f>MONTH(datos_siembra[[#This Row],[Date]])</f>
        <v>9</v>
      </c>
      <c r="T824" t="str" cm="1">
        <f t="array" ref="T824">_xlfn.IFS(AND(N824&lt;= 22, S824=9), "SOWING",AND(N824&lt;= 28, S824=9), "COVERAGE",AND(N824&lt;= 30, S824=9), "FLUSH",AND(N824&lt;= 11, S824=10), "FLUSH",AND(N824&lt;= 21, S824=10), "PRODUCTION")</f>
        <v>SOWING</v>
      </c>
      <c r="U824">
        <f>HOUR(datos_siembra[[#This Row],[Hour]])</f>
        <v>5</v>
      </c>
      <c r="V824" cm="1">
        <f t="array" ref="V824">_xlfn.IFS(AND(N824&lt;= 22, S824=9), N824-7,AND(N824&lt;= 28, S824=9), N824-25,AND(N824&lt;= 30, S824=9), N824-28,AND(N824&lt;= 11, S824=10), N824+2,AND(N824&lt;= 21, S824=10), N824-11)</f>
        <v>7</v>
      </c>
    </row>
    <row r="825" spans="1:22" x14ac:dyDescent="0.35">
      <c r="A825" s="4">
        <v>45549</v>
      </c>
      <c r="B825" s="5">
        <v>0.21535879629629628</v>
      </c>
      <c r="C825">
        <v>81.7</v>
      </c>
      <c r="D825">
        <v>78</v>
      </c>
      <c r="E825">
        <v>83.1</v>
      </c>
      <c r="F825">
        <v>81.599999999999994</v>
      </c>
      <c r="G825">
        <v>0</v>
      </c>
      <c r="H825">
        <v>0</v>
      </c>
      <c r="I825">
        <v>0</v>
      </c>
      <c r="J825">
        <v>0</v>
      </c>
      <c r="K825">
        <v>61.1</v>
      </c>
      <c r="L825">
        <v>59.4</v>
      </c>
      <c r="M825">
        <v>81.02</v>
      </c>
      <c r="N825">
        <v>14</v>
      </c>
      <c r="O825">
        <v>4</v>
      </c>
      <c r="P825">
        <f>MOD(DAY(datos_siembra[[#This Row],[Date]]),7)</f>
        <v>0</v>
      </c>
      <c r="Q825" t="str">
        <f>CHOOSE(WEEKDAY(datos_siembra[[#This Row],[Date]],2),"L","M","X","J","V","S","D")</f>
        <v>S</v>
      </c>
      <c r="R825">
        <f>WEEKNUM(datos_siembra[[#This Row],[Date]],2)-WEEKNUM(DATE(YEAR(datos_siembra[[#This Row],[Date]]),MONTH(datos_siembra[[#This Row],[Date]]),1))+1</f>
        <v>2</v>
      </c>
      <c r="S825">
        <f>MONTH(datos_siembra[[#This Row],[Date]])</f>
        <v>9</v>
      </c>
      <c r="T825" t="str" cm="1">
        <f t="array" ref="T825">_xlfn.IFS(AND(N825&lt;= 22, S825=9), "SOWING",AND(N825&lt;= 28, S825=9), "COVERAGE",AND(N825&lt;= 30, S825=9), "FLUSH",AND(N825&lt;= 11, S825=10), "FLUSH",AND(N825&lt;= 21, S825=10), "PRODUCTION")</f>
        <v>SOWING</v>
      </c>
      <c r="U825">
        <f>HOUR(datos_siembra[[#This Row],[Hour]])</f>
        <v>5</v>
      </c>
      <c r="V825" cm="1">
        <f t="array" ref="V825">_xlfn.IFS(AND(N825&lt;= 22, S825=9), N825-7,AND(N825&lt;= 28, S825=9), N825-25,AND(N825&lt;= 30, S825=9), N825-28,AND(N825&lt;= 11, S825=10), N825+2,AND(N825&lt;= 21, S825=10), N825-11)</f>
        <v>7</v>
      </c>
    </row>
    <row r="826" spans="1:22" x14ac:dyDescent="0.35">
      <c r="A826" s="4">
        <v>45549</v>
      </c>
      <c r="B826" s="5">
        <v>0.22231481481481483</v>
      </c>
      <c r="C826">
        <v>81.599999999999994</v>
      </c>
      <c r="D826">
        <v>77.900000000000006</v>
      </c>
      <c r="E826">
        <v>83.2</v>
      </c>
      <c r="F826">
        <v>81.599999999999994</v>
      </c>
      <c r="G826">
        <v>0</v>
      </c>
      <c r="H826">
        <v>0</v>
      </c>
      <c r="I826">
        <v>0</v>
      </c>
      <c r="J826">
        <v>0</v>
      </c>
      <c r="K826">
        <v>61.1</v>
      </c>
      <c r="L826">
        <v>59.6</v>
      </c>
      <c r="M826">
        <v>81.08</v>
      </c>
      <c r="N826">
        <v>14</v>
      </c>
      <c r="O826">
        <v>4</v>
      </c>
      <c r="P826">
        <f>MOD(DAY(datos_siembra[[#This Row],[Date]]),7)</f>
        <v>0</v>
      </c>
      <c r="Q826" t="str">
        <f>CHOOSE(WEEKDAY(datos_siembra[[#This Row],[Date]],2),"L","M","X","J","V","S","D")</f>
        <v>S</v>
      </c>
      <c r="R826">
        <f>WEEKNUM(datos_siembra[[#This Row],[Date]],2)-WEEKNUM(DATE(YEAR(datos_siembra[[#This Row],[Date]]),MONTH(datos_siembra[[#This Row],[Date]]),1))+1</f>
        <v>2</v>
      </c>
      <c r="S826">
        <f>MONTH(datos_siembra[[#This Row],[Date]])</f>
        <v>9</v>
      </c>
      <c r="T826" t="str" cm="1">
        <f t="array" ref="T826">_xlfn.IFS(AND(N826&lt;= 22, S826=9), "SOWING",AND(N826&lt;= 28, S826=9), "COVERAGE",AND(N826&lt;= 30, S826=9), "FLUSH",AND(N826&lt;= 11, S826=10), "FLUSH",AND(N826&lt;= 21, S826=10), "PRODUCTION")</f>
        <v>SOWING</v>
      </c>
      <c r="U826">
        <f>HOUR(datos_siembra[[#This Row],[Hour]])</f>
        <v>5</v>
      </c>
      <c r="V826" cm="1">
        <f t="array" ref="V826">_xlfn.IFS(AND(N826&lt;= 22, S826=9), N826-7,AND(N826&lt;= 28, S826=9), N826-25,AND(N826&lt;= 30, S826=9), N826-28,AND(N826&lt;= 11, S826=10), N826+2,AND(N826&lt;= 21, S826=10), N826-11)</f>
        <v>7</v>
      </c>
    </row>
    <row r="827" spans="1:22" x14ac:dyDescent="0.35">
      <c r="A827" s="4">
        <v>45549</v>
      </c>
      <c r="B827" s="5">
        <v>0.22925925925925925</v>
      </c>
      <c r="C827">
        <v>81.599999999999994</v>
      </c>
      <c r="D827">
        <v>77.8</v>
      </c>
      <c r="E827">
        <v>83.4</v>
      </c>
      <c r="F827">
        <v>81.599999999999994</v>
      </c>
      <c r="G827">
        <v>0</v>
      </c>
      <c r="H827">
        <v>0</v>
      </c>
      <c r="I827">
        <v>0</v>
      </c>
      <c r="J827">
        <v>0</v>
      </c>
      <c r="K827">
        <v>61.2</v>
      </c>
      <c r="L827">
        <v>59.7</v>
      </c>
      <c r="M827">
        <v>81.11</v>
      </c>
      <c r="N827">
        <v>14</v>
      </c>
      <c r="O827">
        <v>4</v>
      </c>
      <c r="P827">
        <f>MOD(DAY(datos_siembra[[#This Row],[Date]]),7)</f>
        <v>0</v>
      </c>
      <c r="Q827" t="str">
        <f>CHOOSE(WEEKDAY(datos_siembra[[#This Row],[Date]],2),"L","M","X","J","V","S","D")</f>
        <v>S</v>
      </c>
      <c r="R827">
        <f>WEEKNUM(datos_siembra[[#This Row],[Date]],2)-WEEKNUM(DATE(YEAR(datos_siembra[[#This Row],[Date]]),MONTH(datos_siembra[[#This Row],[Date]]),1))+1</f>
        <v>2</v>
      </c>
      <c r="S827">
        <f>MONTH(datos_siembra[[#This Row],[Date]])</f>
        <v>9</v>
      </c>
      <c r="T827" t="str" cm="1">
        <f t="array" ref="T827">_xlfn.IFS(AND(N827&lt;= 22, S827=9), "SOWING",AND(N827&lt;= 28, S827=9), "COVERAGE",AND(N827&lt;= 30, S827=9), "FLUSH",AND(N827&lt;= 11, S827=10), "FLUSH",AND(N827&lt;= 21, S827=10), "PRODUCTION")</f>
        <v>SOWING</v>
      </c>
      <c r="U827">
        <f>HOUR(datos_siembra[[#This Row],[Hour]])</f>
        <v>5</v>
      </c>
      <c r="V827" cm="1">
        <f t="array" ref="V827">_xlfn.IFS(AND(N827&lt;= 22, S827=9), N827-7,AND(N827&lt;= 28, S827=9), N827-25,AND(N827&lt;= 30, S827=9), N827-28,AND(N827&lt;= 11, S827=10), N827+2,AND(N827&lt;= 21, S827=10), N827-11)</f>
        <v>7</v>
      </c>
    </row>
    <row r="828" spans="1:22" x14ac:dyDescent="0.35">
      <c r="A828" s="4">
        <v>45549</v>
      </c>
      <c r="B828" s="5">
        <v>0.23620370370370369</v>
      </c>
      <c r="C828">
        <v>81.400000000000006</v>
      </c>
      <c r="D828">
        <v>77.7</v>
      </c>
      <c r="E828">
        <v>83.5</v>
      </c>
      <c r="F828">
        <v>81.5</v>
      </c>
      <c r="G828">
        <v>0</v>
      </c>
      <c r="H828">
        <v>0</v>
      </c>
      <c r="I828">
        <v>0</v>
      </c>
      <c r="J828">
        <v>0</v>
      </c>
      <c r="K828">
        <v>61.4</v>
      </c>
      <c r="L828">
        <v>59.8</v>
      </c>
      <c r="M828">
        <v>81.16</v>
      </c>
      <c r="N828">
        <v>14</v>
      </c>
      <c r="O828">
        <v>4</v>
      </c>
      <c r="P828">
        <f>MOD(DAY(datos_siembra[[#This Row],[Date]]),7)</f>
        <v>0</v>
      </c>
      <c r="Q828" t="str">
        <f>CHOOSE(WEEKDAY(datos_siembra[[#This Row],[Date]],2),"L","M","X","J","V","S","D")</f>
        <v>S</v>
      </c>
      <c r="R828">
        <f>WEEKNUM(datos_siembra[[#This Row],[Date]],2)-WEEKNUM(DATE(YEAR(datos_siembra[[#This Row],[Date]]),MONTH(datos_siembra[[#This Row],[Date]]),1))+1</f>
        <v>2</v>
      </c>
      <c r="S828">
        <f>MONTH(datos_siembra[[#This Row],[Date]])</f>
        <v>9</v>
      </c>
      <c r="T828" t="str" cm="1">
        <f t="array" ref="T828">_xlfn.IFS(AND(N828&lt;= 22, S828=9), "SOWING",AND(N828&lt;= 28, S828=9), "COVERAGE",AND(N828&lt;= 30, S828=9), "FLUSH",AND(N828&lt;= 11, S828=10), "FLUSH",AND(N828&lt;= 21, S828=10), "PRODUCTION")</f>
        <v>SOWING</v>
      </c>
      <c r="U828">
        <f>HOUR(datos_siembra[[#This Row],[Hour]])</f>
        <v>5</v>
      </c>
      <c r="V828" cm="1">
        <f t="array" ref="V828">_xlfn.IFS(AND(N828&lt;= 22, S828=9), N828-7,AND(N828&lt;= 28, S828=9), N828-25,AND(N828&lt;= 30, S828=9), N828-28,AND(N828&lt;= 11, S828=10), N828+2,AND(N828&lt;= 21, S828=10), N828-11)</f>
        <v>7</v>
      </c>
    </row>
    <row r="829" spans="1:22" x14ac:dyDescent="0.35">
      <c r="A829" s="4">
        <v>45549</v>
      </c>
      <c r="B829" s="5">
        <v>0.24315972222222224</v>
      </c>
      <c r="C829">
        <v>81.5</v>
      </c>
      <c r="D829">
        <v>77.8</v>
      </c>
      <c r="E829">
        <v>83</v>
      </c>
      <c r="F829">
        <v>81.400000000000006</v>
      </c>
      <c r="G829">
        <v>0</v>
      </c>
      <c r="H829">
        <v>0</v>
      </c>
      <c r="I829">
        <v>0</v>
      </c>
      <c r="J829">
        <v>0</v>
      </c>
      <c r="K829">
        <v>61.5</v>
      </c>
      <c r="L829">
        <v>60</v>
      </c>
      <c r="M829">
        <v>81.05</v>
      </c>
      <c r="N829">
        <v>14</v>
      </c>
      <c r="O829">
        <v>4</v>
      </c>
      <c r="P829">
        <f>MOD(DAY(datos_siembra[[#This Row],[Date]]),7)</f>
        <v>0</v>
      </c>
      <c r="Q829" t="str">
        <f>CHOOSE(WEEKDAY(datos_siembra[[#This Row],[Date]],2),"L","M","X","J","V","S","D")</f>
        <v>S</v>
      </c>
      <c r="R829">
        <f>WEEKNUM(datos_siembra[[#This Row],[Date]],2)-WEEKNUM(DATE(YEAR(datos_siembra[[#This Row],[Date]]),MONTH(datos_siembra[[#This Row],[Date]]),1))+1</f>
        <v>2</v>
      </c>
      <c r="S829">
        <f>MONTH(datos_siembra[[#This Row],[Date]])</f>
        <v>9</v>
      </c>
      <c r="T829" t="str" cm="1">
        <f t="array" ref="T829">_xlfn.IFS(AND(N829&lt;= 22, S829=9), "SOWING",AND(N829&lt;= 28, S829=9), "COVERAGE",AND(N829&lt;= 30, S829=9), "FLUSH",AND(N829&lt;= 11, S829=10), "FLUSH",AND(N829&lt;= 21, S829=10), "PRODUCTION")</f>
        <v>SOWING</v>
      </c>
      <c r="U829">
        <f>HOUR(datos_siembra[[#This Row],[Hour]])</f>
        <v>5</v>
      </c>
      <c r="V829" cm="1">
        <f t="array" ref="V829">_xlfn.IFS(AND(N829&lt;= 22, S829=9), N829-7,AND(N829&lt;= 28, S829=9), N829-25,AND(N829&lt;= 30, S829=9), N829-28,AND(N829&lt;= 11, S829=10), N829+2,AND(N829&lt;= 21, S829=10), N829-11)</f>
        <v>7</v>
      </c>
    </row>
    <row r="830" spans="1:22" x14ac:dyDescent="0.35">
      <c r="A830" s="4">
        <v>45549</v>
      </c>
      <c r="B830" s="5">
        <v>0.25010416666666668</v>
      </c>
      <c r="C830">
        <v>81.599999999999994</v>
      </c>
      <c r="D830">
        <v>77.900000000000006</v>
      </c>
      <c r="E830">
        <v>83.4</v>
      </c>
      <c r="F830">
        <v>81.5</v>
      </c>
      <c r="G830">
        <v>0</v>
      </c>
      <c r="H830">
        <v>0</v>
      </c>
      <c r="I830">
        <v>0</v>
      </c>
      <c r="J830">
        <v>0</v>
      </c>
      <c r="K830">
        <v>61.5</v>
      </c>
      <c r="L830">
        <v>59.9</v>
      </c>
      <c r="M830">
        <v>81.02</v>
      </c>
      <c r="N830">
        <v>14</v>
      </c>
      <c r="O830">
        <v>4</v>
      </c>
      <c r="P830">
        <f>MOD(DAY(datos_siembra[[#This Row],[Date]]),7)</f>
        <v>0</v>
      </c>
      <c r="Q830" t="str">
        <f>CHOOSE(WEEKDAY(datos_siembra[[#This Row],[Date]],2),"L","M","X","J","V","S","D")</f>
        <v>S</v>
      </c>
      <c r="R830">
        <f>WEEKNUM(datos_siembra[[#This Row],[Date]],2)-WEEKNUM(DATE(YEAR(datos_siembra[[#This Row],[Date]]),MONTH(datos_siembra[[#This Row],[Date]]),1))+1</f>
        <v>2</v>
      </c>
      <c r="S830">
        <f>MONTH(datos_siembra[[#This Row],[Date]])</f>
        <v>9</v>
      </c>
      <c r="T830" t="str" cm="1">
        <f t="array" ref="T830">_xlfn.IFS(AND(N830&lt;= 22, S830=9), "SOWING",AND(N830&lt;= 28, S830=9), "COVERAGE",AND(N830&lt;= 30, S830=9), "FLUSH",AND(N830&lt;= 11, S830=10), "FLUSH",AND(N830&lt;= 21, S830=10), "PRODUCTION")</f>
        <v>SOWING</v>
      </c>
      <c r="U830">
        <f>HOUR(datos_siembra[[#This Row],[Hour]])</f>
        <v>6</v>
      </c>
      <c r="V830" cm="1">
        <f t="array" ref="V830">_xlfn.IFS(AND(N830&lt;= 22, S830=9), N830-7,AND(N830&lt;= 28, S830=9), N830-25,AND(N830&lt;= 30, S830=9), N830-28,AND(N830&lt;= 11, S830=10), N830+2,AND(N830&lt;= 21, S830=10), N830-11)</f>
        <v>7</v>
      </c>
    </row>
    <row r="831" spans="1:22" x14ac:dyDescent="0.35">
      <c r="A831" s="4">
        <v>45549</v>
      </c>
      <c r="B831" s="5">
        <v>0.2570486111111111</v>
      </c>
      <c r="C831">
        <v>81.5</v>
      </c>
      <c r="D831">
        <v>77.900000000000006</v>
      </c>
      <c r="E831">
        <v>83.3</v>
      </c>
      <c r="F831">
        <v>81.400000000000006</v>
      </c>
      <c r="G831">
        <v>0</v>
      </c>
      <c r="H831">
        <v>0</v>
      </c>
      <c r="I831">
        <v>0</v>
      </c>
      <c r="J831">
        <v>0</v>
      </c>
      <c r="K831">
        <v>61.6</v>
      </c>
      <c r="L831">
        <v>60</v>
      </c>
      <c r="M831">
        <v>81.02</v>
      </c>
      <c r="N831">
        <v>14</v>
      </c>
      <c r="O831">
        <v>4</v>
      </c>
      <c r="P831">
        <f>MOD(DAY(datos_siembra[[#This Row],[Date]]),7)</f>
        <v>0</v>
      </c>
      <c r="Q831" t="str">
        <f>CHOOSE(WEEKDAY(datos_siembra[[#This Row],[Date]],2),"L","M","X","J","V","S","D")</f>
        <v>S</v>
      </c>
      <c r="R831">
        <f>WEEKNUM(datos_siembra[[#This Row],[Date]],2)-WEEKNUM(DATE(YEAR(datos_siembra[[#This Row],[Date]]),MONTH(datos_siembra[[#This Row],[Date]]),1))+1</f>
        <v>2</v>
      </c>
      <c r="S831">
        <f>MONTH(datos_siembra[[#This Row],[Date]])</f>
        <v>9</v>
      </c>
      <c r="T831" t="str" cm="1">
        <f t="array" ref="T831">_xlfn.IFS(AND(N831&lt;= 22, S831=9), "SOWING",AND(N831&lt;= 28, S831=9), "COVERAGE",AND(N831&lt;= 30, S831=9), "FLUSH",AND(N831&lt;= 11, S831=10), "FLUSH",AND(N831&lt;= 21, S831=10), "PRODUCTION")</f>
        <v>SOWING</v>
      </c>
      <c r="U831">
        <f>HOUR(datos_siembra[[#This Row],[Hour]])</f>
        <v>6</v>
      </c>
      <c r="V831" cm="1">
        <f t="array" ref="V831">_xlfn.IFS(AND(N831&lt;= 22, S831=9), N831-7,AND(N831&lt;= 28, S831=9), N831-25,AND(N831&lt;= 30, S831=9), N831-28,AND(N831&lt;= 11, S831=10), N831+2,AND(N831&lt;= 21, S831=10), N831-11)</f>
        <v>7</v>
      </c>
    </row>
    <row r="832" spans="1:22" x14ac:dyDescent="0.35">
      <c r="A832" s="4">
        <v>45549</v>
      </c>
      <c r="B832" s="5">
        <v>0.26399305555555558</v>
      </c>
      <c r="C832">
        <v>81.5</v>
      </c>
      <c r="D832">
        <v>78.099999999999994</v>
      </c>
      <c r="E832">
        <v>83.4</v>
      </c>
      <c r="F832">
        <v>81.5</v>
      </c>
      <c r="G832">
        <v>0</v>
      </c>
      <c r="H832">
        <v>0</v>
      </c>
      <c r="I832">
        <v>0</v>
      </c>
      <c r="J832">
        <v>0</v>
      </c>
      <c r="K832">
        <v>61.6</v>
      </c>
      <c r="L832">
        <v>60.1</v>
      </c>
      <c r="M832">
        <v>81.11</v>
      </c>
      <c r="N832">
        <v>14</v>
      </c>
      <c r="O832">
        <v>4</v>
      </c>
      <c r="P832">
        <f>MOD(DAY(datos_siembra[[#This Row],[Date]]),7)</f>
        <v>0</v>
      </c>
      <c r="Q832" t="str">
        <f>CHOOSE(WEEKDAY(datos_siembra[[#This Row],[Date]],2),"L","M","X","J","V","S","D")</f>
        <v>S</v>
      </c>
      <c r="R832">
        <f>WEEKNUM(datos_siembra[[#This Row],[Date]],2)-WEEKNUM(DATE(YEAR(datos_siembra[[#This Row],[Date]]),MONTH(datos_siembra[[#This Row],[Date]]),1))+1</f>
        <v>2</v>
      </c>
      <c r="S832">
        <f>MONTH(datos_siembra[[#This Row],[Date]])</f>
        <v>9</v>
      </c>
      <c r="T832" t="str" cm="1">
        <f t="array" ref="T832">_xlfn.IFS(AND(N832&lt;= 22, S832=9), "SOWING",AND(N832&lt;= 28, S832=9), "COVERAGE",AND(N832&lt;= 30, S832=9), "FLUSH",AND(N832&lt;= 11, S832=10), "FLUSH",AND(N832&lt;= 21, S832=10), "PRODUCTION")</f>
        <v>SOWING</v>
      </c>
      <c r="U832">
        <f>HOUR(datos_siembra[[#This Row],[Hour]])</f>
        <v>6</v>
      </c>
      <c r="V832" cm="1">
        <f t="array" ref="V832">_xlfn.IFS(AND(N832&lt;= 22, S832=9), N832-7,AND(N832&lt;= 28, S832=9), N832-25,AND(N832&lt;= 30, S832=9), N832-28,AND(N832&lt;= 11, S832=10), N832+2,AND(N832&lt;= 21, S832=10), N832-11)</f>
        <v>7</v>
      </c>
    </row>
    <row r="833" spans="1:22" x14ac:dyDescent="0.35">
      <c r="A833" s="4">
        <v>45549</v>
      </c>
      <c r="B833" s="5">
        <v>0.27094907407407409</v>
      </c>
      <c r="C833">
        <v>81.5</v>
      </c>
      <c r="D833">
        <v>78.599999999999994</v>
      </c>
      <c r="E833">
        <v>83.3</v>
      </c>
      <c r="F833">
        <v>81.400000000000006</v>
      </c>
      <c r="G833">
        <v>0</v>
      </c>
      <c r="H833">
        <v>0</v>
      </c>
      <c r="I833">
        <v>0</v>
      </c>
      <c r="J833">
        <v>0</v>
      </c>
      <c r="K833">
        <v>61.7</v>
      </c>
      <c r="L833">
        <v>60.2</v>
      </c>
      <c r="M833">
        <v>81.13</v>
      </c>
      <c r="N833">
        <v>14</v>
      </c>
      <c r="O833">
        <v>4</v>
      </c>
      <c r="P833">
        <f>MOD(DAY(datos_siembra[[#This Row],[Date]]),7)</f>
        <v>0</v>
      </c>
      <c r="Q833" t="str">
        <f>CHOOSE(WEEKDAY(datos_siembra[[#This Row],[Date]],2),"L","M","X","J","V","S","D")</f>
        <v>S</v>
      </c>
      <c r="R833">
        <f>WEEKNUM(datos_siembra[[#This Row],[Date]],2)-WEEKNUM(DATE(YEAR(datos_siembra[[#This Row],[Date]]),MONTH(datos_siembra[[#This Row],[Date]]),1))+1</f>
        <v>2</v>
      </c>
      <c r="S833">
        <f>MONTH(datos_siembra[[#This Row],[Date]])</f>
        <v>9</v>
      </c>
      <c r="T833" t="str" cm="1">
        <f t="array" ref="T833">_xlfn.IFS(AND(N833&lt;= 22, S833=9), "SOWING",AND(N833&lt;= 28, S833=9), "COVERAGE",AND(N833&lt;= 30, S833=9), "FLUSH",AND(N833&lt;= 11, S833=10), "FLUSH",AND(N833&lt;= 21, S833=10), "PRODUCTION")</f>
        <v>SOWING</v>
      </c>
      <c r="U833">
        <f>HOUR(datos_siembra[[#This Row],[Hour]])</f>
        <v>6</v>
      </c>
      <c r="V833" cm="1">
        <f t="array" ref="V833">_xlfn.IFS(AND(N833&lt;= 22, S833=9), N833-7,AND(N833&lt;= 28, S833=9), N833-25,AND(N833&lt;= 30, S833=9), N833-28,AND(N833&lt;= 11, S833=10), N833+2,AND(N833&lt;= 21, S833=10), N833-11)</f>
        <v>7</v>
      </c>
    </row>
    <row r="834" spans="1:22" x14ac:dyDescent="0.35">
      <c r="A834" s="4">
        <v>45549</v>
      </c>
      <c r="B834" s="5">
        <v>0.27789351851851851</v>
      </c>
      <c r="C834">
        <v>81.5</v>
      </c>
      <c r="D834">
        <v>78.900000000000006</v>
      </c>
      <c r="E834">
        <v>83.3</v>
      </c>
      <c r="F834">
        <v>81.3</v>
      </c>
      <c r="G834">
        <v>0</v>
      </c>
      <c r="H834">
        <v>0</v>
      </c>
      <c r="I834">
        <v>0</v>
      </c>
      <c r="J834">
        <v>0</v>
      </c>
      <c r="K834">
        <v>61.7</v>
      </c>
      <c r="L834">
        <v>60.2</v>
      </c>
      <c r="M834">
        <v>81.13</v>
      </c>
      <c r="N834">
        <v>14</v>
      </c>
      <c r="O834">
        <v>4</v>
      </c>
      <c r="P834">
        <f>MOD(DAY(datos_siembra[[#This Row],[Date]]),7)</f>
        <v>0</v>
      </c>
      <c r="Q834" t="str">
        <f>CHOOSE(WEEKDAY(datos_siembra[[#This Row],[Date]],2),"L","M","X","J","V","S","D")</f>
        <v>S</v>
      </c>
      <c r="R834">
        <f>WEEKNUM(datos_siembra[[#This Row],[Date]],2)-WEEKNUM(DATE(YEAR(datos_siembra[[#This Row],[Date]]),MONTH(datos_siembra[[#This Row],[Date]]),1))+1</f>
        <v>2</v>
      </c>
      <c r="S834">
        <f>MONTH(datos_siembra[[#This Row],[Date]])</f>
        <v>9</v>
      </c>
      <c r="T834" t="str" cm="1">
        <f t="array" ref="T834">_xlfn.IFS(AND(N834&lt;= 22, S834=9), "SOWING",AND(N834&lt;= 28, S834=9), "COVERAGE",AND(N834&lt;= 30, S834=9), "FLUSH",AND(N834&lt;= 11, S834=10), "FLUSH",AND(N834&lt;= 21, S834=10), "PRODUCTION")</f>
        <v>SOWING</v>
      </c>
      <c r="U834">
        <f>HOUR(datos_siembra[[#This Row],[Hour]])</f>
        <v>6</v>
      </c>
      <c r="V834" cm="1">
        <f t="array" ref="V834">_xlfn.IFS(AND(N834&lt;= 22, S834=9), N834-7,AND(N834&lt;= 28, S834=9), N834-25,AND(N834&lt;= 30, S834=9), N834-28,AND(N834&lt;= 11, S834=10), N834+2,AND(N834&lt;= 21, S834=10), N834-11)</f>
        <v>7</v>
      </c>
    </row>
    <row r="835" spans="1:22" x14ac:dyDescent="0.35">
      <c r="A835" s="4">
        <v>45549</v>
      </c>
      <c r="B835" s="5">
        <v>0.28483796296296299</v>
      </c>
      <c r="C835">
        <v>81.3</v>
      </c>
      <c r="D835">
        <v>79.3</v>
      </c>
      <c r="E835">
        <v>83.2</v>
      </c>
      <c r="F835">
        <v>81.3</v>
      </c>
      <c r="G835">
        <v>0</v>
      </c>
      <c r="H835">
        <v>0</v>
      </c>
      <c r="I835">
        <v>0</v>
      </c>
      <c r="J835">
        <v>0</v>
      </c>
      <c r="K835">
        <v>62</v>
      </c>
      <c r="L835">
        <v>60.5</v>
      </c>
      <c r="M835">
        <v>81.25</v>
      </c>
      <c r="N835">
        <v>14</v>
      </c>
      <c r="O835">
        <v>4</v>
      </c>
      <c r="P835">
        <f>MOD(DAY(datos_siembra[[#This Row],[Date]]),7)</f>
        <v>0</v>
      </c>
      <c r="Q835" t="str">
        <f>CHOOSE(WEEKDAY(datos_siembra[[#This Row],[Date]],2),"L","M","X","J","V","S","D")</f>
        <v>S</v>
      </c>
      <c r="R835">
        <f>WEEKNUM(datos_siembra[[#This Row],[Date]],2)-WEEKNUM(DATE(YEAR(datos_siembra[[#This Row],[Date]]),MONTH(datos_siembra[[#This Row],[Date]]),1))+1</f>
        <v>2</v>
      </c>
      <c r="S835">
        <f>MONTH(datos_siembra[[#This Row],[Date]])</f>
        <v>9</v>
      </c>
      <c r="T835" t="str" cm="1">
        <f t="array" ref="T835">_xlfn.IFS(AND(N835&lt;= 22, S835=9), "SOWING",AND(N835&lt;= 28, S835=9), "COVERAGE",AND(N835&lt;= 30, S835=9), "FLUSH",AND(N835&lt;= 11, S835=10), "FLUSH",AND(N835&lt;= 21, S835=10), "PRODUCTION")</f>
        <v>SOWING</v>
      </c>
      <c r="U835">
        <f>HOUR(datos_siembra[[#This Row],[Hour]])</f>
        <v>6</v>
      </c>
      <c r="V835" cm="1">
        <f t="array" ref="V835">_xlfn.IFS(AND(N835&lt;= 22, S835=9), N835-7,AND(N835&lt;= 28, S835=9), N835-25,AND(N835&lt;= 30, S835=9), N835-28,AND(N835&lt;= 11, S835=10), N835+2,AND(N835&lt;= 21, S835=10), N835-11)</f>
        <v>7</v>
      </c>
    </row>
    <row r="836" spans="1:22" x14ac:dyDescent="0.35">
      <c r="A836" s="4">
        <v>45549</v>
      </c>
      <c r="B836" s="5">
        <v>0.2917939814814815</v>
      </c>
      <c r="C836">
        <v>81.3</v>
      </c>
      <c r="D836">
        <v>79.3</v>
      </c>
      <c r="E836">
        <v>83.2</v>
      </c>
      <c r="F836">
        <v>81.2</v>
      </c>
      <c r="G836">
        <v>0</v>
      </c>
      <c r="H836">
        <v>0</v>
      </c>
      <c r="I836">
        <v>0</v>
      </c>
      <c r="J836">
        <v>0</v>
      </c>
      <c r="K836">
        <v>62.2</v>
      </c>
      <c r="L836">
        <v>60.7</v>
      </c>
      <c r="M836">
        <v>81.25</v>
      </c>
      <c r="N836">
        <v>14</v>
      </c>
      <c r="O836">
        <v>4</v>
      </c>
      <c r="P836">
        <f>MOD(DAY(datos_siembra[[#This Row],[Date]]),7)</f>
        <v>0</v>
      </c>
      <c r="Q836" t="str">
        <f>CHOOSE(WEEKDAY(datos_siembra[[#This Row],[Date]],2),"L","M","X","J","V","S","D")</f>
        <v>S</v>
      </c>
      <c r="R836">
        <f>WEEKNUM(datos_siembra[[#This Row],[Date]],2)-WEEKNUM(DATE(YEAR(datos_siembra[[#This Row],[Date]]),MONTH(datos_siembra[[#This Row],[Date]]),1))+1</f>
        <v>2</v>
      </c>
      <c r="S836">
        <f>MONTH(datos_siembra[[#This Row],[Date]])</f>
        <v>9</v>
      </c>
      <c r="T836" t="str" cm="1">
        <f t="array" ref="T836">_xlfn.IFS(AND(N836&lt;= 22, S836=9), "SOWING",AND(N836&lt;= 28, S836=9), "COVERAGE",AND(N836&lt;= 30, S836=9), "FLUSH",AND(N836&lt;= 11, S836=10), "FLUSH",AND(N836&lt;= 21, S836=10), "PRODUCTION")</f>
        <v>SOWING</v>
      </c>
      <c r="U836">
        <f>HOUR(datos_siembra[[#This Row],[Hour]])</f>
        <v>7</v>
      </c>
      <c r="V836" cm="1">
        <f t="array" ref="V836">_xlfn.IFS(AND(N836&lt;= 22, S836=9), N836-7,AND(N836&lt;= 28, S836=9), N836-25,AND(N836&lt;= 30, S836=9), N836-28,AND(N836&lt;= 11, S836=10), N836+2,AND(N836&lt;= 21, S836=10), N836-11)</f>
        <v>7</v>
      </c>
    </row>
    <row r="837" spans="1:22" x14ac:dyDescent="0.35">
      <c r="A837" s="4">
        <v>45549</v>
      </c>
      <c r="B837" s="5">
        <v>0.29873842592592592</v>
      </c>
      <c r="C837">
        <v>81.3</v>
      </c>
      <c r="D837">
        <v>79.599999999999994</v>
      </c>
      <c r="E837">
        <v>83.1</v>
      </c>
      <c r="F837">
        <v>81.3</v>
      </c>
      <c r="G837">
        <v>0</v>
      </c>
      <c r="H837">
        <v>0</v>
      </c>
      <c r="I837">
        <v>0</v>
      </c>
      <c r="J837">
        <v>0</v>
      </c>
      <c r="K837">
        <v>62.3</v>
      </c>
      <c r="L837">
        <v>60.7</v>
      </c>
      <c r="M837">
        <v>81.22</v>
      </c>
      <c r="N837">
        <v>14</v>
      </c>
      <c r="O837">
        <v>4</v>
      </c>
      <c r="P837">
        <f>MOD(DAY(datos_siembra[[#This Row],[Date]]),7)</f>
        <v>0</v>
      </c>
      <c r="Q837" t="str">
        <f>CHOOSE(WEEKDAY(datos_siembra[[#This Row],[Date]],2),"L","M","X","J","V","S","D")</f>
        <v>S</v>
      </c>
      <c r="R837">
        <f>WEEKNUM(datos_siembra[[#This Row],[Date]],2)-WEEKNUM(DATE(YEAR(datos_siembra[[#This Row],[Date]]),MONTH(datos_siembra[[#This Row],[Date]]),1))+1</f>
        <v>2</v>
      </c>
      <c r="S837">
        <f>MONTH(datos_siembra[[#This Row],[Date]])</f>
        <v>9</v>
      </c>
      <c r="T837" t="str" cm="1">
        <f t="array" ref="T837">_xlfn.IFS(AND(N837&lt;= 22, S837=9), "SOWING",AND(N837&lt;= 28, S837=9), "COVERAGE",AND(N837&lt;= 30, S837=9), "FLUSH",AND(N837&lt;= 11, S837=10), "FLUSH",AND(N837&lt;= 21, S837=10), "PRODUCTION")</f>
        <v>SOWING</v>
      </c>
      <c r="U837">
        <f>HOUR(datos_siembra[[#This Row],[Hour]])</f>
        <v>7</v>
      </c>
      <c r="V837" cm="1">
        <f t="array" ref="V837">_xlfn.IFS(AND(N837&lt;= 22, S837=9), N837-7,AND(N837&lt;= 28, S837=9), N837-25,AND(N837&lt;= 30, S837=9), N837-28,AND(N837&lt;= 11, S837=10), N837+2,AND(N837&lt;= 21, S837=10), N837-11)</f>
        <v>7</v>
      </c>
    </row>
    <row r="838" spans="1:22" x14ac:dyDescent="0.35">
      <c r="A838" s="4">
        <v>45549</v>
      </c>
      <c r="B838" s="5">
        <v>0.3056828703703704</v>
      </c>
      <c r="C838">
        <v>81.3</v>
      </c>
      <c r="D838">
        <v>79.7</v>
      </c>
      <c r="E838">
        <v>83.2</v>
      </c>
      <c r="F838">
        <v>81.2</v>
      </c>
      <c r="G838">
        <v>0</v>
      </c>
      <c r="H838">
        <v>0</v>
      </c>
      <c r="I838">
        <v>0</v>
      </c>
      <c r="J838">
        <v>0</v>
      </c>
      <c r="K838">
        <v>62.3</v>
      </c>
      <c r="L838">
        <v>60.8</v>
      </c>
      <c r="M838">
        <v>81.33</v>
      </c>
      <c r="N838">
        <v>14</v>
      </c>
      <c r="O838">
        <v>4</v>
      </c>
      <c r="P838">
        <f>MOD(DAY(datos_siembra[[#This Row],[Date]]),7)</f>
        <v>0</v>
      </c>
      <c r="Q838" t="str">
        <f>CHOOSE(WEEKDAY(datos_siembra[[#This Row],[Date]],2),"L","M","X","J","V","S","D")</f>
        <v>S</v>
      </c>
      <c r="R838">
        <f>WEEKNUM(datos_siembra[[#This Row],[Date]],2)-WEEKNUM(DATE(YEAR(datos_siembra[[#This Row],[Date]]),MONTH(datos_siembra[[#This Row],[Date]]),1))+1</f>
        <v>2</v>
      </c>
      <c r="S838">
        <f>MONTH(datos_siembra[[#This Row],[Date]])</f>
        <v>9</v>
      </c>
      <c r="T838" t="str" cm="1">
        <f t="array" ref="T838">_xlfn.IFS(AND(N838&lt;= 22, S838=9), "SOWING",AND(N838&lt;= 28, S838=9), "COVERAGE",AND(N838&lt;= 30, S838=9), "FLUSH",AND(N838&lt;= 11, S838=10), "FLUSH",AND(N838&lt;= 21, S838=10), "PRODUCTION")</f>
        <v>SOWING</v>
      </c>
      <c r="U838">
        <f>HOUR(datos_siembra[[#This Row],[Hour]])</f>
        <v>7</v>
      </c>
      <c r="V838" cm="1">
        <f t="array" ref="V838">_xlfn.IFS(AND(N838&lt;= 22, S838=9), N838-7,AND(N838&lt;= 28, S838=9), N838-25,AND(N838&lt;= 30, S838=9), N838-28,AND(N838&lt;= 11, S838=10), N838+2,AND(N838&lt;= 21, S838=10), N838-11)</f>
        <v>7</v>
      </c>
    </row>
    <row r="839" spans="1:22" x14ac:dyDescent="0.35">
      <c r="A839" s="4">
        <v>45549</v>
      </c>
      <c r="B839" s="5">
        <v>0.31258101851851849</v>
      </c>
      <c r="C839">
        <v>81.7</v>
      </c>
      <c r="D839">
        <v>78</v>
      </c>
      <c r="E839">
        <v>83.1</v>
      </c>
      <c r="F839">
        <v>81.599999999999994</v>
      </c>
      <c r="G839">
        <v>0</v>
      </c>
      <c r="H839">
        <v>0</v>
      </c>
      <c r="I839">
        <v>0</v>
      </c>
      <c r="J839">
        <v>0</v>
      </c>
      <c r="K839">
        <v>61.1</v>
      </c>
      <c r="L839">
        <v>59.4</v>
      </c>
      <c r="M839">
        <v>81.02</v>
      </c>
      <c r="N839">
        <v>14</v>
      </c>
      <c r="O839">
        <v>4</v>
      </c>
      <c r="P839">
        <f>MOD(DAY(datos_siembra[[#This Row],[Date]]),7)</f>
        <v>0</v>
      </c>
      <c r="Q839" t="str">
        <f>CHOOSE(WEEKDAY(datos_siembra[[#This Row],[Date]],2),"L","M","X","J","V","S","D")</f>
        <v>S</v>
      </c>
      <c r="R839">
        <f>WEEKNUM(datos_siembra[[#This Row],[Date]],2)-WEEKNUM(DATE(YEAR(datos_siembra[[#This Row],[Date]]),MONTH(datos_siembra[[#This Row],[Date]]),1))+1</f>
        <v>2</v>
      </c>
      <c r="S839">
        <f>MONTH(datos_siembra[[#This Row],[Date]])</f>
        <v>9</v>
      </c>
      <c r="T839" t="str" cm="1">
        <f t="array" ref="T839">_xlfn.IFS(AND(N839&lt;= 22, S839=9), "SOWING",AND(N839&lt;= 28, S839=9), "COVERAGE",AND(N839&lt;= 30, S839=9), "FLUSH",AND(N839&lt;= 11, S839=10), "FLUSH",AND(N839&lt;= 21, S839=10), "PRODUCTION")</f>
        <v>SOWING</v>
      </c>
      <c r="U839">
        <f>HOUR(datos_siembra[[#This Row],[Hour]])</f>
        <v>7</v>
      </c>
      <c r="V839" cm="1">
        <f t="array" ref="V839">_xlfn.IFS(AND(N839&lt;= 22, S839=9), N839-7,AND(N839&lt;= 28, S839=9), N839-25,AND(N839&lt;= 30, S839=9), N839-28,AND(N839&lt;= 11, S839=10), N839+2,AND(N839&lt;= 21, S839=10), N839-11)</f>
        <v>7</v>
      </c>
    </row>
    <row r="840" spans="1:22" x14ac:dyDescent="0.35">
      <c r="A840" s="4">
        <v>45549</v>
      </c>
      <c r="B840" s="5">
        <v>0.31953703703703706</v>
      </c>
      <c r="C840">
        <v>81.599999999999994</v>
      </c>
      <c r="D840">
        <v>77.900000000000006</v>
      </c>
      <c r="E840">
        <v>83.2</v>
      </c>
      <c r="F840">
        <v>81.599999999999994</v>
      </c>
      <c r="G840">
        <v>0</v>
      </c>
      <c r="H840">
        <v>0</v>
      </c>
      <c r="I840">
        <v>0</v>
      </c>
      <c r="J840">
        <v>0</v>
      </c>
      <c r="K840">
        <v>61.1</v>
      </c>
      <c r="L840">
        <v>59.6</v>
      </c>
      <c r="M840">
        <v>81.08</v>
      </c>
      <c r="N840">
        <v>14</v>
      </c>
      <c r="O840">
        <v>4</v>
      </c>
      <c r="P840">
        <f>MOD(DAY(datos_siembra[[#This Row],[Date]]),7)</f>
        <v>0</v>
      </c>
      <c r="Q840" t="str">
        <f>CHOOSE(WEEKDAY(datos_siembra[[#This Row],[Date]],2),"L","M","X","J","V","S","D")</f>
        <v>S</v>
      </c>
      <c r="R840">
        <f>WEEKNUM(datos_siembra[[#This Row],[Date]],2)-WEEKNUM(DATE(YEAR(datos_siembra[[#This Row],[Date]]),MONTH(datos_siembra[[#This Row],[Date]]),1))+1</f>
        <v>2</v>
      </c>
      <c r="S840">
        <f>MONTH(datos_siembra[[#This Row],[Date]])</f>
        <v>9</v>
      </c>
      <c r="T840" t="str" cm="1">
        <f t="array" ref="T840">_xlfn.IFS(AND(N840&lt;= 22, S840=9), "SOWING",AND(N840&lt;= 28, S840=9), "COVERAGE",AND(N840&lt;= 30, S840=9), "FLUSH",AND(N840&lt;= 11, S840=10), "FLUSH",AND(N840&lt;= 21, S840=10), "PRODUCTION")</f>
        <v>SOWING</v>
      </c>
      <c r="U840">
        <f>HOUR(datos_siembra[[#This Row],[Hour]])</f>
        <v>7</v>
      </c>
      <c r="V840" cm="1">
        <f t="array" ref="V840">_xlfn.IFS(AND(N840&lt;= 22, S840=9), N840-7,AND(N840&lt;= 28, S840=9), N840-25,AND(N840&lt;= 30, S840=9), N840-28,AND(N840&lt;= 11, S840=10), N840+2,AND(N840&lt;= 21, S840=10), N840-11)</f>
        <v>7</v>
      </c>
    </row>
    <row r="841" spans="1:22" x14ac:dyDescent="0.35">
      <c r="A841" s="4">
        <v>45549</v>
      </c>
      <c r="B841" s="5">
        <v>0.32648148148148148</v>
      </c>
      <c r="C841">
        <v>81.599999999999994</v>
      </c>
      <c r="D841">
        <v>77.8</v>
      </c>
      <c r="E841">
        <v>83.4</v>
      </c>
      <c r="F841">
        <v>81.599999999999994</v>
      </c>
      <c r="G841">
        <v>0</v>
      </c>
      <c r="H841">
        <v>0</v>
      </c>
      <c r="I841">
        <v>0</v>
      </c>
      <c r="J841">
        <v>0</v>
      </c>
      <c r="K841">
        <v>61.2</v>
      </c>
      <c r="L841">
        <v>59.7</v>
      </c>
      <c r="M841">
        <v>81.11</v>
      </c>
      <c r="N841">
        <v>14</v>
      </c>
      <c r="O841">
        <v>4</v>
      </c>
      <c r="P841">
        <f>MOD(DAY(datos_siembra[[#This Row],[Date]]),7)</f>
        <v>0</v>
      </c>
      <c r="Q841" t="str">
        <f>CHOOSE(WEEKDAY(datos_siembra[[#This Row],[Date]],2),"L","M","X","J","V","S","D")</f>
        <v>S</v>
      </c>
      <c r="R841">
        <f>WEEKNUM(datos_siembra[[#This Row],[Date]],2)-WEEKNUM(DATE(YEAR(datos_siembra[[#This Row],[Date]]),MONTH(datos_siembra[[#This Row],[Date]]),1))+1</f>
        <v>2</v>
      </c>
      <c r="S841">
        <f>MONTH(datos_siembra[[#This Row],[Date]])</f>
        <v>9</v>
      </c>
      <c r="T841" t="str" cm="1">
        <f t="array" ref="T841">_xlfn.IFS(AND(N841&lt;= 22, S841=9), "SOWING",AND(N841&lt;= 28, S841=9), "COVERAGE",AND(N841&lt;= 30, S841=9), "FLUSH",AND(N841&lt;= 11, S841=10), "FLUSH",AND(N841&lt;= 21, S841=10), "PRODUCTION")</f>
        <v>SOWING</v>
      </c>
      <c r="U841">
        <f>HOUR(datos_siembra[[#This Row],[Hour]])</f>
        <v>7</v>
      </c>
      <c r="V841" cm="1">
        <f t="array" ref="V841">_xlfn.IFS(AND(N841&lt;= 22, S841=9), N841-7,AND(N841&lt;= 28, S841=9), N841-25,AND(N841&lt;= 30, S841=9), N841-28,AND(N841&lt;= 11, S841=10), N841+2,AND(N841&lt;= 21, S841=10), N841-11)</f>
        <v>7</v>
      </c>
    </row>
    <row r="842" spans="1:22" x14ac:dyDescent="0.35">
      <c r="A842" s="4">
        <v>45549</v>
      </c>
      <c r="B842" s="5">
        <v>0.3334259259259259</v>
      </c>
      <c r="C842">
        <v>81.400000000000006</v>
      </c>
      <c r="D842">
        <v>77.7</v>
      </c>
      <c r="E842">
        <v>83.5</v>
      </c>
      <c r="F842">
        <v>81.5</v>
      </c>
      <c r="G842">
        <v>0</v>
      </c>
      <c r="H842">
        <v>0</v>
      </c>
      <c r="I842">
        <v>0</v>
      </c>
      <c r="J842">
        <v>0</v>
      </c>
      <c r="K842">
        <v>61.4</v>
      </c>
      <c r="L842">
        <v>59.8</v>
      </c>
      <c r="M842">
        <v>81.16</v>
      </c>
      <c r="N842">
        <v>14</v>
      </c>
      <c r="O842">
        <v>4</v>
      </c>
      <c r="P842">
        <f>MOD(DAY(datos_siembra[[#This Row],[Date]]),7)</f>
        <v>0</v>
      </c>
      <c r="Q842" t="str">
        <f>CHOOSE(WEEKDAY(datos_siembra[[#This Row],[Date]],2),"L","M","X","J","V","S","D")</f>
        <v>S</v>
      </c>
      <c r="R842">
        <f>WEEKNUM(datos_siembra[[#This Row],[Date]],2)-WEEKNUM(DATE(YEAR(datos_siembra[[#This Row],[Date]]),MONTH(datos_siembra[[#This Row],[Date]]),1))+1</f>
        <v>2</v>
      </c>
      <c r="S842">
        <f>MONTH(datos_siembra[[#This Row],[Date]])</f>
        <v>9</v>
      </c>
      <c r="T842" t="str" cm="1">
        <f t="array" ref="T842">_xlfn.IFS(AND(N842&lt;= 22, S842=9), "SOWING",AND(N842&lt;= 28, S842=9), "COVERAGE",AND(N842&lt;= 30, S842=9), "FLUSH",AND(N842&lt;= 11, S842=10), "FLUSH",AND(N842&lt;= 21, S842=10), "PRODUCTION")</f>
        <v>SOWING</v>
      </c>
      <c r="U842">
        <f>HOUR(datos_siembra[[#This Row],[Hour]])</f>
        <v>8</v>
      </c>
      <c r="V842" cm="1">
        <f t="array" ref="V842">_xlfn.IFS(AND(N842&lt;= 22, S842=9), N842-7,AND(N842&lt;= 28, S842=9), N842-25,AND(N842&lt;= 30, S842=9), N842-28,AND(N842&lt;= 11, S842=10), N842+2,AND(N842&lt;= 21, S842=10), N842-11)</f>
        <v>7</v>
      </c>
    </row>
    <row r="843" spans="1:22" x14ac:dyDescent="0.35">
      <c r="A843" s="4">
        <v>45549</v>
      </c>
      <c r="B843" s="5">
        <v>0.34038194444444442</v>
      </c>
      <c r="C843">
        <v>81.5</v>
      </c>
      <c r="D843">
        <v>77.8</v>
      </c>
      <c r="E843">
        <v>83</v>
      </c>
      <c r="F843">
        <v>81.400000000000006</v>
      </c>
      <c r="G843">
        <v>0</v>
      </c>
      <c r="H843">
        <v>0</v>
      </c>
      <c r="I843">
        <v>0</v>
      </c>
      <c r="J843">
        <v>0</v>
      </c>
      <c r="K843">
        <v>61.5</v>
      </c>
      <c r="L843">
        <v>60</v>
      </c>
      <c r="M843">
        <v>81.05</v>
      </c>
      <c r="N843">
        <v>14</v>
      </c>
      <c r="O843">
        <v>4</v>
      </c>
      <c r="P843">
        <f>MOD(DAY(datos_siembra[[#This Row],[Date]]),7)</f>
        <v>0</v>
      </c>
      <c r="Q843" t="str">
        <f>CHOOSE(WEEKDAY(datos_siembra[[#This Row],[Date]],2),"L","M","X","J","V","S","D")</f>
        <v>S</v>
      </c>
      <c r="R843">
        <f>WEEKNUM(datos_siembra[[#This Row],[Date]],2)-WEEKNUM(DATE(YEAR(datos_siembra[[#This Row],[Date]]),MONTH(datos_siembra[[#This Row],[Date]]),1))+1</f>
        <v>2</v>
      </c>
      <c r="S843">
        <f>MONTH(datos_siembra[[#This Row],[Date]])</f>
        <v>9</v>
      </c>
      <c r="T843" t="str" cm="1">
        <f t="array" ref="T843">_xlfn.IFS(AND(N843&lt;= 22, S843=9), "SOWING",AND(N843&lt;= 28, S843=9), "COVERAGE",AND(N843&lt;= 30, S843=9), "FLUSH",AND(N843&lt;= 11, S843=10), "FLUSH",AND(N843&lt;= 21, S843=10), "PRODUCTION")</f>
        <v>SOWING</v>
      </c>
      <c r="U843">
        <f>HOUR(datos_siembra[[#This Row],[Hour]])</f>
        <v>8</v>
      </c>
      <c r="V843" cm="1">
        <f t="array" ref="V843">_xlfn.IFS(AND(N843&lt;= 22, S843=9), N843-7,AND(N843&lt;= 28, S843=9), N843-25,AND(N843&lt;= 30, S843=9), N843-28,AND(N843&lt;= 11, S843=10), N843+2,AND(N843&lt;= 21, S843=10), N843-11)</f>
        <v>7</v>
      </c>
    </row>
    <row r="844" spans="1:22" x14ac:dyDescent="0.35">
      <c r="A844" s="4">
        <v>45549</v>
      </c>
      <c r="B844" s="5">
        <v>0.34732638888888889</v>
      </c>
      <c r="C844">
        <v>81.599999999999994</v>
      </c>
      <c r="D844">
        <v>77.900000000000006</v>
      </c>
      <c r="E844">
        <v>83.4</v>
      </c>
      <c r="F844">
        <v>81.5</v>
      </c>
      <c r="G844">
        <v>0</v>
      </c>
      <c r="H844">
        <v>0</v>
      </c>
      <c r="I844">
        <v>0</v>
      </c>
      <c r="J844">
        <v>0</v>
      </c>
      <c r="K844">
        <v>61.5</v>
      </c>
      <c r="L844">
        <v>59.9</v>
      </c>
      <c r="M844">
        <v>81.02</v>
      </c>
      <c r="N844">
        <v>14</v>
      </c>
      <c r="O844">
        <v>4</v>
      </c>
      <c r="P844">
        <f>MOD(DAY(datos_siembra[[#This Row],[Date]]),7)</f>
        <v>0</v>
      </c>
      <c r="Q844" t="str">
        <f>CHOOSE(WEEKDAY(datos_siembra[[#This Row],[Date]],2),"L","M","X","J","V","S","D")</f>
        <v>S</v>
      </c>
      <c r="R844">
        <f>WEEKNUM(datos_siembra[[#This Row],[Date]],2)-WEEKNUM(DATE(YEAR(datos_siembra[[#This Row],[Date]]),MONTH(datos_siembra[[#This Row],[Date]]),1))+1</f>
        <v>2</v>
      </c>
      <c r="S844">
        <f>MONTH(datos_siembra[[#This Row],[Date]])</f>
        <v>9</v>
      </c>
      <c r="T844" t="str" cm="1">
        <f t="array" ref="T844">_xlfn.IFS(AND(N844&lt;= 22, S844=9), "SOWING",AND(N844&lt;= 28, S844=9), "COVERAGE",AND(N844&lt;= 30, S844=9), "FLUSH",AND(N844&lt;= 11, S844=10), "FLUSH",AND(N844&lt;= 21, S844=10), "PRODUCTION")</f>
        <v>SOWING</v>
      </c>
      <c r="U844">
        <f>HOUR(datos_siembra[[#This Row],[Hour]])</f>
        <v>8</v>
      </c>
      <c r="V844" cm="1">
        <f t="array" ref="V844">_xlfn.IFS(AND(N844&lt;= 22, S844=9), N844-7,AND(N844&lt;= 28, S844=9), N844-25,AND(N844&lt;= 30, S844=9), N844-28,AND(N844&lt;= 11, S844=10), N844+2,AND(N844&lt;= 21, S844=10), N844-11)</f>
        <v>7</v>
      </c>
    </row>
    <row r="845" spans="1:22" x14ac:dyDescent="0.35">
      <c r="A845" s="4">
        <v>45549</v>
      </c>
      <c r="B845" s="5">
        <v>0.35427083333333331</v>
      </c>
      <c r="C845">
        <v>81.5</v>
      </c>
      <c r="D845">
        <v>77.900000000000006</v>
      </c>
      <c r="E845">
        <v>83.3</v>
      </c>
      <c r="F845">
        <v>81.400000000000006</v>
      </c>
      <c r="G845">
        <v>0</v>
      </c>
      <c r="H845">
        <v>0</v>
      </c>
      <c r="I845">
        <v>0</v>
      </c>
      <c r="J845">
        <v>0</v>
      </c>
      <c r="K845">
        <v>61.6</v>
      </c>
      <c r="L845">
        <v>60</v>
      </c>
      <c r="M845">
        <v>81.02</v>
      </c>
      <c r="N845">
        <v>14</v>
      </c>
      <c r="O845">
        <v>4</v>
      </c>
      <c r="P845">
        <f>MOD(DAY(datos_siembra[[#This Row],[Date]]),7)</f>
        <v>0</v>
      </c>
      <c r="Q845" t="str">
        <f>CHOOSE(WEEKDAY(datos_siembra[[#This Row],[Date]],2),"L","M","X","J","V","S","D")</f>
        <v>S</v>
      </c>
      <c r="R845">
        <f>WEEKNUM(datos_siembra[[#This Row],[Date]],2)-WEEKNUM(DATE(YEAR(datos_siembra[[#This Row],[Date]]),MONTH(datos_siembra[[#This Row],[Date]]),1))+1</f>
        <v>2</v>
      </c>
      <c r="S845">
        <f>MONTH(datos_siembra[[#This Row],[Date]])</f>
        <v>9</v>
      </c>
      <c r="T845" t="str" cm="1">
        <f t="array" ref="T845">_xlfn.IFS(AND(N845&lt;= 22, S845=9), "SOWING",AND(N845&lt;= 28, S845=9), "COVERAGE",AND(N845&lt;= 30, S845=9), "FLUSH",AND(N845&lt;= 11, S845=10), "FLUSH",AND(N845&lt;= 21, S845=10), "PRODUCTION")</f>
        <v>SOWING</v>
      </c>
      <c r="U845">
        <f>HOUR(datos_siembra[[#This Row],[Hour]])</f>
        <v>8</v>
      </c>
      <c r="V845" cm="1">
        <f t="array" ref="V845">_xlfn.IFS(AND(N845&lt;= 22, S845=9), N845-7,AND(N845&lt;= 28, S845=9), N845-25,AND(N845&lt;= 30, S845=9), N845-28,AND(N845&lt;= 11, S845=10), N845+2,AND(N845&lt;= 21, S845=10), N845-11)</f>
        <v>7</v>
      </c>
    </row>
    <row r="846" spans="1:22" x14ac:dyDescent="0.35">
      <c r="A846" s="4">
        <v>45549</v>
      </c>
      <c r="B846" s="5">
        <v>0.36121527777777779</v>
      </c>
      <c r="C846">
        <v>81.5</v>
      </c>
      <c r="D846">
        <v>78.099999999999994</v>
      </c>
      <c r="E846">
        <v>83.4</v>
      </c>
      <c r="F846">
        <v>81.5</v>
      </c>
      <c r="G846">
        <v>0</v>
      </c>
      <c r="H846">
        <v>0</v>
      </c>
      <c r="I846">
        <v>0</v>
      </c>
      <c r="J846">
        <v>0</v>
      </c>
      <c r="K846">
        <v>61.6</v>
      </c>
      <c r="L846">
        <v>60.1</v>
      </c>
      <c r="M846">
        <v>81.11</v>
      </c>
      <c r="N846">
        <v>14</v>
      </c>
      <c r="O846">
        <v>4</v>
      </c>
      <c r="P846">
        <f>MOD(DAY(datos_siembra[[#This Row],[Date]]),7)</f>
        <v>0</v>
      </c>
      <c r="Q846" t="str">
        <f>CHOOSE(WEEKDAY(datos_siembra[[#This Row],[Date]],2),"L","M","X","J","V","S","D")</f>
        <v>S</v>
      </c>
      <c r="R846">
        <f>WEEKNUM(datos_siembra[[#This Row],[Date]],2)-WEEKNUM(DATE(YEAR(datos_siembra[[#This Row],[Date]]),MONTH(datos_siembra[[#This Row],[Date]]),1))+1</f>
        <v>2</v>
      </c>
      <c r="S846">
        <f>MONTH(datos_siembra[[#This Row],[Date]])</f>
        <v>9</v>
      </c>
      <c r="T846" t="str" cm="1">
        <f t="array" ref="T846">_xlfn.IFS(AND(N846&lt;= 22, S846=9), "SOWING",AND(N846&lt;= 28, S846=9), "COVERAGE",AND(N846&lt;= 30, S846=9), "FLUSH",AND(N846&lt;= 11, S846=10), "FLUSH",AND(N846&lt;= 21, S846=10), "PRODUCTION")</f>
        <v>SOWING</v>
      </c>
      <c r="U846">
        <f>HOUR(datos_siembra[[#This Row],[Hour]])</f>
        <v>8</v>
      </c>
      <c r="V846" cm="1">
        <f t="array" ref="V846">_xlfn.IFS(AND(N846&lt;= 22, S846=9), N846-7,AND(N846&lt;= 28, S846=9), N846-25,AND(N846&lt;= 30, S846=9), N846-28,AND(N846&lt;= 11, S846=10), N846+2,AND(N846&lt;= 21, S846=10), N846-11)</f>
        <v>7</v>
      </c>
    </row>
    <row r="847" spans="1:22" x14ac:dyDescent="0.35">
      <c r="A847" s="4">
        <v>45549</v>
      </c>
      <c r="B847" s="5">
        <v>0.3681712962962963</v>
      </c>
      <c r="C847">
        <v>81.5</v>
      </c>
      <c r="D847">
        <v>78.2</v>
      </c>
      <c r="E847">
        <v>83.3</v>
      </c>
      <c r="F847">
        <v>81.400000000000006</v>
      </c>
      <c r="G847">
        <v>0</v>
      </c>
      <c r="H847">
        <v>0</v>
      </c>
      <c r="I847">
        <v>0</v>
      </c>
      <c r="J847">
        <v>0</v>
      </c>
      <c r="K847">
        <v>61.7</v>
      </c>
      <c r="L847">
        <v>60.2</v>
      </c>
      <c r="M847">
        <v>81.13</v>
      </c>
      <c r="N847">
        <v>14</v>
      </c>
      <c r="O847">
        <v>4</v>
      </c>
      <c r="P847">
        <f>MOD(DAY(datos_siembra[[#This Row],[Date]]),7)</f>
        <v>0</v>
      </c>
      <c r="Q847" t="str">
        <f>CHOOSE(WEEKDAY(datos_siembra[[#This Row],[Date]],2),"L","M","X","J","V","S","D")</f>
        <v>S</v>
      </c>
      <c r="R847">
        <f>WEEKNUM(datos_siembra[[#This Row],[Date]],2)-WEEKNUM(DATE(YEAR(datos_siembra[[#This Row],[Date]]),MONTH(datos_siembra[[#This Row],[Date]]),1))+1</f>
        <v>2</v>
      </c>
      <c r="S847">
        <f>MONTH(datos_siembra[[#This Row],[Date]])</f>
        <v>9</v>
      </c>
      <c r="T847" t="str" cm="1">
        <f t="array" ref="T847">_xlfn.IFS(AND(N847&lt;= 22, S847=9), "SOWING",AND(N847&lt;= 28, S847=9), "COVERAGE",AND(N847&lt;= 30, S847=9), "FLUSH",AND(N847&lt;= 11, S847=10), "FLUSH",AND(N847&lt;= 21, S847=10), "PRODUCTION")</f>
        <v>SOWING</v>
      </c>
      <c r="U847">
        <f>HOUR(datos_siembra[[#This Row],[Hour]])</f>
        <v>8</v>
      </c>
      <c r="V847" cm="1">
        <f t="array" ref="V847">_xlfn.IFS(AND(N847&lt;= 22, S847=9), N847-7,AND(N847&lt;= 28, S847=9), N847-25,AND(N847&lt;= 30, S847=9), N847-28,AND(N847&lt;= 11, S847=10), N847+2,AND(N847&lt;= 21, S847=10), N847-11)</f>
        <v>7</v>
      </c>
    </row>
    <row r="848" spans="1:22" x14ac:dyDescent="0.35">
      <c r="A848" s="4">
        <v>45549</v>
      </c>
      <c r="B848" s="5">
        <v>0.37511574074074072</v>
      </c>
      <c r="C848">
        <v>81.5</v>
      </c>
      <c r="D848">
        <v>78.099999999999994</v>
      </c>
      <c r="E848">
        <v>83.3</v>
      </c>
      <c r="F848">
        <v>81.3</v>
      </c>
      <c r="G848">
        <v>0</v>
      </c>
      <c r="H848">
        <v>0</v>
      </c>
      <c r="I848">
        <v>0</v>
      </c>
      <c r="J848">
        <v>0</v>
      </c>
      <c r="K848">
        <v>61.7</v>
      </c>
      <c r="L848">
        <v>60.2</v>
      </c>
      <c r="M848">
        <v>81.13</v>
      </c>
      <c r="N848">
        <v>14</v>
      </c>
      <c r="O848">
        <v>4</v>
      </c>
      <c r="P848">
        <f>MOD(DAY(datos_siembra[[#This Row],[Date]]),7)</f>
        <v>0</v>
      </c>
      <c r="Q848" t="str">
        <f>CHOOSE(WEEKDAY(datos_siembra[[#This Row],[Date]],2),"L","M","X","J","V","S","D")</f>
        <v>S</v>
      </c>
      <c r="R848">
        <f>WEEKNUM(datos_siembra[[#This Row],[Date]],2)-WEEKNUM(DATE(YEAR(datos_siembra[[#This Row],[Date]]),MONTH(datos_siembra[[#This Row],[Date]]),1))+1</f>
        <v>2</v>
      </c>
      <c r="S848">
        <f>MONTH(datos_siembra[[#This Row],[Date]])</f>
        <v>9</v>
      </c>
      <c r="T848" t="str" cm="1">
        <f t="array" ref="T848">_xlfn.IFS(AND(N848&lt;= 22, S848=9), "SOWING",AND(N848&lt;= 28, S848=9), "COVERAGE",AND(N848&lt;= 30, S848=9), "FLUSH",AND(N848&lt;= 11, S848=10), "FLUSH",AND(N848&lt;= 21, S848=10), "PRODUCTION")</f>
        <v>SOWING</v>
      </c>
      <c r="U848">
        <f>HOUR(datos_siembra[[#This Row],[Hour]])</f>
        <v>9</v>
      </c>
      <c r="V848" cm="1">
        <f t="array" ref="V848">_xlfn.IFS(AND(N848&lt;= 22, S848=9), N848-7,AND(N848&lt;= 28, S848=9), N848-25,AND(N848&lt;= 30, S848=9), N848-28,AND(N848&lt;= 11, S848=10), N848+2,AND(N848&lt;= 21, S848=10), N848-11)</f>
        <v>7</v>
      </c>
    </row>
    <row r="849" spans="1:22" x14ac:dyDescent="0.35">
      <c r="A849" s="4">
        <v>45549</v>
      </c>
      <c r="B849" s="5">
        <v>0.44238425925925928</v>
      </c>
      <c r="C849">
        <v>81.3</v>
      </c>
      <c r="D849">
        <v>79.900000000000006</v>
      </c>
      <c r="E849">
        <v>83.1</v>
      </c>
      <c r="F849">
        <v>81.3</v>
      </c>
      <c r="G849">
        <v>0</v>
      </c>
      <c r="H849">
        <v>0</v>
      </c>
      <c r="I849">
        <v>0</v>
      </c>
      <c r="J849">
        <v>0</v>
      </c>
      <c r="K849">
        <v>62.4</v>
      </c>
      <c r="L849">
        <v>60.9</v>
      </c>
      <c r="M849">
        <v>81.39</v>
      </c>
      <c r="N849">
        <v>14</v>
      </c>
      <c r="O849">
        <v>4</v>
      </c>
      <c r="P849">
        <f>MOD(DAY(datos_siembra[[#This Row],[Date]]),7)</f>
        <v>0</v>
      </c>
      <c r="Q849" t="str">
        <f>CHOOSE(WEEKDAY(datos_siembra[[#This Row],[Date]],2),"L","M","X","J","V","S","D")</f>
        <v>S</v>
      </c>
      <c r="R849">
        <f>WEEKNUM(datos_siembra[[#This Row],[Date]],2)-WEEKNUM(DATE(YEAR(datos_siembra[[#This Row],[Date]]),MONTH(datos_siembra[[#This Row],[Date]]),1))+1</f>
        <v>2</v>
      </c>
      <c r="S849">
        <f>MONTH(datos_siembra[[#This Row],[Date]])</f>
        <v>9</v>
      </c>
      <c r="T849" t="str" cm="1">
        <f t="array" ref="T849">_xlfn.IFS(AND(N849&lt;= 22, S849=9), "SOWING",AND(N849&lt;= 28, S849=9), "COVERAGE",AND(N849&lt;= 30, S849=9), "FLUSH",AND(N849&lt;= 11, S849=10), "FLUSH",AND(N849&lt;= 21, S849=10), "PRODUCTION")</f>
        <v>SOWING</v>
      </c>
      <c r="U849">
        <f>HOUR(datos_siembra[[#This Row],[Hour]])</f>
        <v>10</v>
      </c>
      <c r="V849" cm="1">
        <f t="array" ref="V849">_xlfn.IFS(AND(N849&lt;= 22, S849=9), N849-7,AND(N849&lt;= 28, S849=9), N849-25,AND(N849&lt;= 30, S849=9), N849-28,AND(N849&lt;= 11, S849=10), N849+2,AND(N849&lt;= 21, S849=10), N849-11)</f>
        <v>7</v>
      </c>
    </row>
    <row r="850" spans="1:22" x14ac:dyDescent="0.35">
      <c r="A850" s="4">
        <v>45549</v>
      </c>
      <c r="B850" s="5">
        <v>0.44918981481481479</v>
      </c>
      <c r="C850">
        <v>81.3</v>
      </c>
      <c r="D850">
        <v>79.8</v>
      </c>
      <c r="E850">
        <v>83</v>
      </c>
      <c r="F850">
        <v>81.2</v>
      </c>
      <c r="G850">
        <v>0</v>
      </c>
      <c r="H850">
        <v>0</v>
      </c>
      <c r="I850">
        <v>0</v>
      </c>
      <c r="J850">
        <v>0</v>
      </c>
      <c r="K850">
        <v>62.4</v>
      </c>
      <c r="L850">
        <v>61</v>
      </c>
      <c r="M850">
        <v>81.33</v>
      </c>
      <c r="N850">
        <v>14</v>
      </c>
      <c r="O850">
        <v>4</v>
      </c>
      <c r="P850">
        <f>MOD(DAY(datos_siembra[[#This Row],[Date]]),7)</f>
        <v>0</v>
      </c>
      <c r="Q850" t="str">
        <f>CHOOSE(WEEKDAY(datos_siembra[[#This Row],[Date]],2),"L","M","X","J","V","S","D")</f>
        <v>S</v>
      </c>
      <c r="R850">
        <f>WEEKNUM(datos_siembra[[#This Row],[Date]],2)-WEEKNUM(DATE(YEAR(datos_siembra[[#This Row],[Date]]),MONTH(datos_siembra[[#This Row],[Date]]),1))+1</f>
        <v>2</v>
      </c>
      <c r="S850">
        <f>MONTH(datos_siembra[[#This Row],[Date]])</f>
        <v>9</v>
      </c>
      <c r="T850" t="str" cm="1">
        <f t="array" ref="T850">_xlfn.IFS(AND(N850&lt;= 22, S850=9), "SOWING",AND(N850&lt;= 28, S850=9), "COVERAGE",AND(N850&lt;= 30, S850=9), "FLUSH",AND(N850&lt;= 11, S850=10), "FLUSH",AND(N850&lt;= 21, S850=10), "PRODUCTION")</f>
        <v>SOWING</v>
      </c>
      <c r="U850">
        <f>HOUR(datos_siembra[[#This Row],[Hour]])</f>
        <v>10</v>
      </c>
      <c r="V850" cm="1">
        <f t="array" ref="V850">_xlfn.IFS(AND(N850&lt;= 22, S850=9), N850-7,AND(N850&lt;= 28, S850=9), N850-25,AND(N850&lt;= 30, S850=9), N850-28,AND(N850&lt;= 11, S850=10), N850+2,AND(N850&lt;= 21, S850=10), N850-11)</f>
        <v>7</v>
      </c>
    </row>
    <row r="851" spans="1:22" x14ac:dyDescent="0.35">
      <c r="A851" s="4">
        <v>45549</v>
      </c>
      <c r="B851" s="5">
        <v>0.45614583333333331</v>
      </c>
      <c r="C851">
        <v>81.099999999999994</v>
      </c>
      <c r="D851">
        <v>79.8</v>
      </c>
      <c r="E851">
        <v>83</v>
      </c>
      <c r="F851">
        <v>80.900000000000006</v>
      </c>
      <c r="G851">
        <v>0</v>
      </c>
      <c r="H851">
        <v>0</v>
      </c>
      <c r="I851">
        <v>0</v>
      </c>
      <c r="J851">
        <v>0</v>
      </c>
      <c r="K851">
        <v>62.5</v>
      </c>
      <c r="L851">
        <v>61.1</v>
      </c>
      <c r="M851">
        <v>81.25</v>
      </c>
      <c r="N851">
        <v>14</v>
      </c>
      <c r="O851">
        <v>4</v>
      </c>
      <c r="P851">
        <f>MOD(DAY(datos_siembra[[#This Row],[Date]]),7)</f>
        <v>0</v>
      </c>
      <c r="Q851" t="str">
        <f>CHOOSE(WEEKDAY(datos_siembra[[#This Row],[Date]],2),"L","M","X","J","V","S","D")</f>
        <v>S</v>
      </c>
      <c r="R851">
        <f>WEEKNUM(datos_siembra[[#This Row],[Date]],2)-WEEKNUM(DATE(YEAR(datos_siembra[[#This Row],[Date]]),MONTH(datos_siembra[[#This Row],[Date]]),1))+1</f>
        <v>2</v>
      </c>
      <c r="S851">
        <f>MONTH(datos_siembra[[#This Row],[Date]])</f>
        <v>9</v>
      </c>
      <c r="T851" t="str" cm="1">
        <f t="array" ref="T851">_xlfn.IFS(AND(N851&lt;= 22, S851=9), "SOWING",AND(N851&lt;= 28, S851=9), "COVERAGE",AND(N851&lt;= 30, S851=9), "FLUSH",AND(N851&lt;= 11, S851=10), "FLUSH",AND(N851&lt;= 21, S851=10), "PRODUCTION")</f>
        <v>SOWING</v>
      </c>
      <c r="U851">
        <f>HOUR(datos_siembra[[#This Row],[Hour]])</f>
        <v>10</v>
      </c>
      <c r="V851" cm="1">
        <f t="array" ref="V851">_xlfn.IFS(AND(N851&lt;= 22, S851=9), N851-7,AND(N851&lt;= 28, S851=9), N851-25,AND(N851&lt;= 30, S851=9), N851-28,AND(N851&lt;= 11, S851=10), N851+2,AND(N851&lt;= 21, S851=10), N851-11)</f>
        <v>7</v>
      </c>
    </row>
    <row r="852" spans="1:22" x14ac:dyDescent="0.35">
      <c r="A852" s="4">
        <v>45549</v>
      </c>
      <c r="B852" s="5">
        <v>0.46309027777777778</v>
      </c>
      <c r="C852">
        <v>81.3</v>
      </c>
      <c r="D852">
        <v>79.7</v>
      </c>
      <c r="E852">
        <v>83.2</v>
      </c>
      <c r="F852">
        <v>81.3</v>
      </c>
      <c r="G852">
        <v>0</v>
      </c>
      <c r="H852">
        <v>0</v>
      </c>
      <c r="I852">
        <v>0</v>
      </c>
      <c r="J852">
        <v>0</v>
      </c>
      <c r="K852">
        <v>62.7</v>
      </c>
      <c r="L852">
        <v>61.4</v>
      </c>
      <c r="M852">
        <v>81.19</v>
      </c>
      <c r="N852">
        <v>14</v>
      </c>
      <c r="O852">
        <v>4</v>
      </c>
      <c r="P852">
        <f>MOD(DAY(datos_siembra[[#This Row],[Date]]),7)</f>
        <v>0</v>
      </c>
      <c r="Q852" t="str">
        <f>CHOOSE(WEEKDAY(datos_siembra[[#This Row],[Date]],2),"L","M","X","J","V","S","D")</f>
        <v>S</v>
      </c>
      <c r="R852">
        <f>WEEKNUM(datos_siembra[[#This Row],[Date]],2)-WEEKNUM(DATE(YEAR(datos_siembra[[#This Row],[Date]]),MONTH(datos_siembra[[#This Row],[Date]]),1))+1</f>
        <v>2</v>
      </c>
      <c r="S852">
        <f>MONTH(datos_siembra[[#This Row],[Date]])</f>
        <v>9</v>
      </c>
      <c r="T852" t="str" cm="1">
        <f t="array" ref="T852">_xlfn.IFS(AND(N852&lt;= 22, S852=9), "SOWING",AND(N852&lt;= 28, S852=9), "COVERAGE",AND(N852&lt;= 30, S852=9), "FLUSH",AND(N852&lt;= 11, S852=10), "FLUSH",AND(N852&lt;= 21, S852=10), "PRODUCTION")</f>
        <v>SOWING</v>
      </c>
      <c r="U852">
        <f>HOUR(datos_siembra[[#This Row],[Hour]])</f>
        <v>11</v>
      </c>
      <c r="V852" cm="1">
        <f t="array" ref="V852">_xlfn.IFS(AND(N852&lt;= 22, S852=9), N852-7,AND(N852&lt;= 28, S852=9), N852-25,AND(N852&lt;= 30, S852=9), N852-28,AND(N852&lt;= 11, S852=10), N852+2,AND(N852&lt;= 21, S852=10), N852-11)</f>
        <v>7</v>
      </c>
    </row>
    <row r="853" spans="1:22" x14ac:dyDescent="0.35">
      <c r="A853" s="4">
        <v>45549</v>
      </c>
      <c r="B853" s="5">
        <v>0.4700347222222222</v>
      </c>
      <c r="C853">
        <v>81.2</v>
      </c>
      <c r="D853">
        <v>79.8</v>
      </c>
      <c r="E853">
        <v>83</v>
      </c>
      <c r="F853">
        <v>81.099999999999994</v>
      </c>
      <c r="G853">
        <v>0</v>
      </c>
      <c r="H853">
        <v>0</v>
      </c>
      <c r="I853">
        <v>0</v>
      </c>
      <c r="J853">
        <v>0</v>
      </c>
      <c r="K853">
        <v>62.9</v>
      </c>
      <c r="L853">
        <v>61.6</v>
      </c>
      <c r="M853">
        <v>81.16</v>
      </c>
      <c r="N853">
        <v>14</v>
      </c>
      <c r="O853">
        <v>4</v>
      </c>
      <c r="P853">
        <f>MOD(DAY(datos_siembra[[#This Row],[Date]]),7)</f>
        <v>0</v>
      </c>
      <c r="Q853" t="str">
        <f>CHOOSE(WEEKDAY(datos_siembra[[#This Row],[Date]],2),"L","M","X","J","V","S","D")</f>
        <v>S</v>
      </c>
      <c r="R853">
        <f>WEEKNUM(datos_siembra[[#This Row],[Date]],2)-WEEKNUM(DATE(YEAR(datos_siembra[[#This Row],[Date]]),MONTH(datos_siembra[[#This Row],[Date]]),1))+1</f>
        <v>2</v>
      </c>
      <c r="S853">
        <f>MONTH(datos_siembra[[#This Row],[Date]])</f>
        <v>9</v>
      </c>
      <c r="T853" t="str" cm="1">
        <f t="array" ref="T853">_xlfn.IFS(AND(N853&lt;= 22, S853=9), "SOWING",AND(N853&lt;= 28, S853=9), "COVERAGE",AND(N853&lt;= 30, S853=9), "FLUSH",AND(N853&lt;= 11, S853=10), "FLUSH",AND(N853&lt;= 21, S853=10), "PRODUCTION")</f>
        <v>SOWING</v>
      </c>
      <c r="U853">
        <f>HOUR(datos_siembra[[#This Row],[Hour]])</f>
        <v>11</v>
      </c>
      <c r="V853" cm="1">
        <f t="array" ref="V853">_xlfn.IFS(AND(N853&lt;= 22, S853=9), N853-7,AND(N853&lt;= 28, S853=9), N853-25,AND(N853&lt;= 30, S853=9), N853-28,AND(N853&lt;= 11, S853=10), N853+2,AND(N853&lt;= 21, S853=10), N853-11)</f>
        <v>7</v>
      </c>
    </row>
    <row r="854" spans="1:22" x14ac:dyDescent="0.35">
      <c r="A854" s="4">
        <v>45549</v>
      </c>
      <c r="B854" s="5">
        <v>0.47699074074074072</v>
      </c>
      <c r="C854">
        <v>80.900000000000006</v>
      </c>
      <c r="D854">
        <v>79.8</v>
      </c>
      <c r="E854">
        <v>82.9</v>
      </c>
      <c r="F854">
        <v>80.900000000000006</v>
      </c>
      <c r="G854">
        <v>0</v>
      </c>
      <c r="H854">
        <v>0</v>
      </c>
      <c r="I854">
        <v>0</v>
      </c>
      <c r="J854">
        <v>0</v>
      </c>
      <c r="K854">
        <v>63</v>
      </c>
      <c r="L854">
        <v>61.8</v>
      </c>
      <c r="M854">
        <v>81.25</v>
      </c>
      <c r="N854">
        <v>14</v>
      </c>
      <c r="O854">
        <v>4</v>
      </c>
      <c r="P854">
        <f>MOD(DAY(datos_siembra[[#This Row],[Date]]),7)</f>
        <v>0</v>
      </c>
      <c r="Q854" t="str">
        <f>CHOOSE(WEEKDAY(datos_siembra[[#This Row],[Date]],2),"L","M","X","J","V","S","D")</f>
        <v>S</v>
      </c>
      <c r="R854">
        <f>WEEKNUM(datos_siembra[[#This Row],[Date]],2)-WEEKNUM(DATE(YEAR(datos_siembra[[#This Row],[Date]]),MONTH(datos_siembra[[#This Row],[Date]]),1))+1</f>
        <v>2</v>
      </c>
      <c r="S854">
        <f>MONTH(datos_siembra[[#This Row],[Date]])</f>
        <v>9</v>
      </c>
      <c r="T854" t="str" cm="1">
        <f t="array" ref="T854">_xlfn.IFS(AND(N854&lt;= 22, S854=9), "SOWING",AND(N854&lt;= 28, S854=9), "COVERAGE",AND(N854&lt;= 30, S854=9), "FLUSH",AND(N854&lt;= 11, S854=10), "FLUSH",AND(N854&lt;= 21, S854=10), "PRODUCTION")</f>
        <v>SOWING</v>
      </c>
      <c r="U854">
        <f>HOUR(datos_siembra[[#This Row],[Hour]])</f>
        <v>11</v>
      </c>
      <c r="V854" cm="1">
        <f t="array" ref="V854">_xlfn.IFS(AND(N854&lt;= 22, S854=9), N854-7,AND(N854&lt;= 28, S854=9), N854-25,AND(N854&lt;= 30, S854=9), N854-28,AND(N854&lt;= 11, S854=10), N854+2,AND(N854&lt;= 21, S854=10), N854-11)</f>
        <v>7</v>
      </c>
    </row>
    <row r="855" spans="1:22" x14ac:dyDescent="0.35">
      <c r="A855" s="4">
        <v>45549</v>
      </c>
      <c r="B855" s="5">
        <v>0.48393518518518519</v>
      </c>
      <c r="C855">
        <v>80.900000000000006</v>
      </c>
      <c r="D855">
        <v>79.7</v>
      </c>
      <c r="E855">
        <v>82.9</v>
      </c>
      <c r="F855">
        <v>80.900000000000006</v>
      </c>
      <c r="G855">
        <v>0</v>
      </c>
      <c r="H855">
        <v>0</v>
      </c>
      <c r="I855">
        <v>0</v>
      </c>
      <c r="J855">
        <v>0</v>
      </c>
      <c r="K855">
        <v>62.9</v>
      </c>
      <c r="L855">
        <v>61.5</v>
      </c>
      <c r="M855">
        <v>81.16</v>
      </c>
      <c r="N855">
        <v>14</v>
      </c>
      <c r="O855">
        <v>4</v>
      </c>
      <c r="P855">
        <f>MOD(DAY(datos_siembra[[#This Row],[Date]]),7)</f>
        <v>0</v>
      </c>
      <c r="Q855" t="str">
        <f>CHOOSE(WEEKDAY(datos_siembra[[#This Row],[Date]],2),"L","M","X","J","V","S","D")</f>
        <v>S</v>
      </c>
      <c r="R855">
        <f>WEEKNUM(datos_siembra[[#This Row],[Date]],2)-WEEKNUM(DATE(YEAR(datos_siembra[[#This Row],[Date]]),MONTH(datos_siembra[[#This Row],[Date]]),1))+1</f>
        <v>2</v>
      </c>
      <c r="S855">
        <f>MONTH(datos_siembra[[#This Row],[Date]])</f>
        <v>9</v>
      </c>
      <c r="T855" t="str" cm="1">
        <f t="array" ref="T855">_xlfn.IFS(AND(N855&lt;= 22, S855=9), "SOWING",AND(N855&lt;= 28, S855=9), "COVERAGE",AND(N855&lt;= 30, S855=9), "FLUSH",AND(N855&lt;= 11, S855=10), "FLUSH",AND(N855&lt;= 21, S855=10), "PRODUCTION")</f>
        <v>SOWING</v>
      </c>
      <c r="U855">
        <f>HOUR(datos_siembra[[#This Row],[Hour]])</f>
        <v>11</v>
      </c>
      <c r="V855" cm="1">
        <f t="array" ref="V855">_xlfn.IFS(AND(N855&lt;= 22, S855=9), N855-7,AND(N855&lt;= 28, S855=9), N855-25,AND(N855&lt;= 30, S855=9), N855-28,AND(N855&lt;= 11, S855=10), N855+2,AND(N855&lt;= 21, S855=10), N855-11)</f>
        <v>7</v>
      </c>
    </row>
    <row r="856" spans="1:22" x14ac:dyDescent="0.35">
      <c r="A856" s="4">
        <v>45549</v>
      </c>
      <c r="B856" s="5">
        <v>0.49087962962962961</v>
      </c>
      <c r="C856">
        <v>81.099999999999994</v>
      </c>
      <c r="D856">
        <v>79.7</v>
      </c>
      <c r="E856">
        <v>82.9</v>
      </c>
      <c r="F856">
        <v>80.900000000000006</v>
      </c>
      <c r="G856">
        <v>0</v>
      </c>
      <c r="H856">
        <v>0</v>
      </c>
      <c r="I856">
        <v>0</v>
      </c>
      <c r="J856">
        <v>0</v>
      </c>
      <c r="K856">
        <v>62.9</v>
      </c>
      <c r="L856">
        <v>61.5</v>
      </c>
      <c r="M856">
        <v>81.16</v>
      </c>
      <c r="N856">
        <v>14</v>
      </c>
      <c r="O856">
        <v>4</v>
      </c>
      <c r="P856">
        <f>MOD(DAY(datos_siembra[[#This Row],[Date]]),7)</f>
        <v>0</v>
      </c>
      <c r="Q856" t="str">
        <f>CHOOSE(WEEKDAY(datos_siembra[[#This Row],[Date]],2),"L","M","X","J","V","S","D")</f>
        <v>S</v>
      </c>
      <c r="R856">
        <f>WEEKNUM(datos_siembra[[#This Row],[Date]],2)-WEEKNUM(DATE(YEAR(datos_siembra[[#This Row],[Date]]),MONTH(datos_siembra[[#This Row],[Date]]),1))+1</f>
        <v>2</v>
      </c>
      <c r="S856">
        <f>MONTH(datos_siembra[[#This Row],[Date]])</f>
        <v>9</v>
      </c>
      <c r="T856" t="str" cm="1">
        <f t="array" ref="T856">_xlfn.IFS(AND(N856&lt;= 22, S856=9), "SOWING",AND(N856&lt;= 28, S856=9), "COVERAGE",AND(N856&lt;= 30, S856=9), "FLUSH",AND(N856&lt;= 11, S856=10), "FLUSH",AND(N856&lt;= 21, S856=10), "PRODUCTION")</f>
        <v>SOWING</v>
      </c>
      <c r="U856">
        <f>HOUR(datos_siembra[[#This Row],[Hour]])</f>
        <v>11</v>
      </c>
      <c r="V856" cm="1">
        <f t="array" ref="V856">_xlfn.IFS(AND(N856&lt;= 22, S856=9), N856-7,AND(N856&lt;= 28, S856=9), N856-25,AND(N856&lt;= 30, S856=9), N856-28,AND(N856&lt;= 11, S856=10), N856+2,AND(N856&lt;= 21, S856=10), N856-11)</f>
        <v>7</v>
      </c>
    </row>
    <row r="857" spans="1:22" x14ac:dyDescent="0.35">
      <c r="A857" s="4">
        <v>45549</v>
      </c>
      <c r="B857" s="5">
        <v>0.49782407407407409</v>
      </c>
      <c r="C857">
        <v>80.900000000000006</v>
      </c>
      <c r="D857">
        <v>79.7</v>
      </c>
      <c r="E857">
        <v>82.9</v>
      </c>
      <c r="F857">
        <v>81.2</v>
      </c>
      <c r="G857">
        <v>0</v>
      </c>
      <c r="H857">
        <v>0</v>
      </c>
      <c r="I857">
        <v>0</v>
      </c>
      <c r="J857">
        <v>0</v>
      </c>
      <c r="K857">
        <v>62.7</v>
      </c>
      <c r="L857">
        <v>61.4</v>
      </c>
      <c r="M857">
        <v>81.08</v>
      </c>
      <c r="N857">
        <v>14</v>
      </c>
      <c r="O857">
        <v>4</v>
      </c>
      <c r="P857">
        <f>MOD(DAY(datos_siembra[[#This Row],[Date]]),7)</f>
        <v>0</v>
      </c>
      <c r="Q857" t="str">
        <f>CHOOSE(WEEKDAY(datos_siembra[[#This Row],[Date]],2),"L","M","X","J","V","S","D")</f>
        <v>S</v>
      </c>
      <c r="R857">
        <f>WEEKNUM(datos_siembra[[#This Row],[Date]],2)-WEEKNUM(DATE(YEAR(datos_siembra[[#This Row],[Date]]),MONTH(datos_siembra[[#This Row],[Date]]),1))+1</f>
        <v>2</v>
      </c>
      <c r="S857">
        <f>MONTH(datos_siembra[[#This Row],[Date]])</f>
        <v>9</v>
      </c>
      <c r="T857" t="str" cm="1">
        <f t="array" ref="T857">_xlfn.IFS(AND(N857&lt;= 22, S857=9), "SOWING",AND(N857&lt;= 28, S857=9), "COVERAGE",AND(N857&lt;= 30, S857=9), "FLUSH",AND(N857&lt;= 11, S857=10), "FLUSH",AND(N857&lt;= 21, S857=10), "PRODUCTION")</f>
        <v>SOWING</v>
      </c>
      <c r="U857">
        <f>HOUR(datos_siembra[[#This Row],[Hour]])</f>
        <v>11</v>
      </c>
      <c r="V857" cm="1">
        <f t="array" ref="V857">_xlfn.IFS(AND(N857&lt;= 22, S857=9), N857-7,AND(N857&lt;= 28, S857=9), N857-25,AND(N857&lt;= 30, S857=9), N857-28,AND(N857&lt;= 11, S857=10), N857+2,AND(N857&lt;= 21, S857=10), N857-11)</f>
        <v>7</v>
      </c>
    </row>
    <row r="858" spans="1:22" x14ac:dyDescent="0.35">
      <c r="A858" s="4">
        <v>45549</v>
      </c>
      <c r="B858" s="5">
        <v>0.5047800925925926</v>
      </c>
      <c r="C858">
        <v>81.099999999999994</v>
      </c>
      <c r="D858">
        <v>79.599999999999994</v>
      </c>
      <c r="E858">
        <v>82.7</v>
      </c>
      <c r="F858">
        <v>80.900000000000006</v>
      </c>
      <c r="G858">
        <v>0</v>
      </c>
      <c r="H858">
        <v>0</v>
      </c>
      <c r="I858">
        <v>0</v>
      </c>
      <c r="J858">
        <v>0</v>
      </c>
      <c r="K858">
        <v>62.9</v>
      </c>
      <c r="L858">
        <v>61.4</v>
      </c>
      <c r="M858">
        <v>81.11</v>
      </c>
      <c r="N858">
        <v>14</v>
      </c>
      <c r="O858">
        <v>4</v>
      </c>
      <c r="P858">
        <f>MOD(DAY(datos_siembra[[#This Row],[Date]]),7)</f>
        <v>0</v>
      </c>
      <c r="Q858" t="str">
        <f>CHOOSE(WEEKDAY(datos_siembra[[#This Row],[Date]],2),"L","M","X","J","V","S","D")</f>
        <v>S</v>
      </c>
      <c r="R858">
        <f>WEEKNUM(datos_siembra[[#This Row],[Date]],2)-WEEKNUM(DATE(YEAR(datos_siembra[[#This Row],[Date]]),MONTH(datos_siembra[[#This Row],[Date]]),1))+1</f>
        <v>2</v>
      </c>
      <c r="S858">
        <f>MONTH(datos_siembra[[#This Row],[Date]])</f>
        <v>9</v>
      </c>
      <c r="T858" t="str" cm="1">
        <f t="array" ref="T858">_xlfn.IFS(AND(N858&lt;= 22, S858=9), "SOWING",AND(N858&lt;= 28, S858=9), "COVERAGE",AND(N858&lt;= 30, S858=9), "FLUSH",AND(N858&lt;= 11, S858=10), "FLUSH",AND(N858&lt;= 21, S858=10), "PRODUCTION")</f>
        <v>SOWING</v>
      </c>
      <c r="U858">
        <f>HOUR(datos_siembra[[#This Row],[Hour]])</f>
        <v>12</v>
      </c>
      <c r="V858" cm="1">
        <f t="array" ref="V858">_xlfn.IFS(AND(N858&lt;= 22, S858=9), N858-7,AND(N858&lt;= 28, S858=9), N858-25,AND(N858&lt;= 30, S858=9), N858-28,AND(N858&lt;= 11, S858=10), N858+2,AND(N858&lt;= 21, S858=10), N858-11)</f>
        <v>7</v>
      </c>
    </row>
    <row r="859" spans="1:22" x14ac:dyDescent="0.35">
      <c r="A859" s="4">
        <v>45549</v>
      </c>
      <c r="B859" s="5">
        <v>0.51172453703703702</v>
      </c>
      <c r="C859">
        <v>80.900000000000006</v>
      </c>
      <c r="D859">
        <v>79.7</v>
      </c>
      <c r="E859">
        <v>82.6</v>
      </c>
      <c r="F859">
        <v>80.7</v>
      </c>
      <c r="G859">
        <v>0</v>
      </c>
      <c r="H859">
        <v>0</v>
      </c>
      <c r="I859">
        <v>0</v>
      </c>
      <c r="J859">
        <v>0</v>
      </c>
      <c r="K859">
        <v>63.2</v>
      </c>
      <c r="L859">
        <v>61.9</v>
      </c>
      <c r="M859">
        <v>80.989999999999995</v>
      </c>
      <c r="N859">
        <v>14</v>
      </c>
      <c r="O859">
        <v>4</v>
      </c>
      <c r="P859">
        <f>MOD(DAY(datos_siembra[[#This Row],[Date]]),7)</f>
        <v>0</v>
      </c>
      <c r="Q859" t="str">
        <f>CHOOSE(WEEKDAY(datos_siembra[[#This Row],[Date]],2),"L","M","X","J","V","S","D")</f>
        <v>S</v>
      </c>
      <c r="R859">
        <f>WEEKNUM(datos_siembra[[#This Row],[Date]],2)-WEEKNUM(DATE(YEAR(datos_siembra[[#This Row],[Date]]),MONTH(datos_siembra[[#This Row],[Date]]),1))+1</f>
        <v>2</v>
      </c>
      <c r="S859">
        <f>MONTH(datos_siembra[[#This Row],[Date]])</f>
        <v>9</v>
      </c>
      <c r="T859" t="str" cm="1">
        <f t="array" ref="T859">_xlfn.IFS(AND(N859&lt;= 22, S859=9), "SOWING",AND(N859&lt;= 28, S859=9), "COVERAGE",AND(N859&lt;= 30, S859=9), "FLUSH",AND(N859&lt;= 11, S859=10), "FLUSH",AND(N859&lt;= 21, S859=10), "PRODUCTION")</f>
        <v>SOWING</v>
      </c>
      <c r="U859">
        <f>HOUR(datos_siembra[[#This Row],[Hour]])</f>
        <v>12</v>
      </c>
      <c r="V859" cm="1">
        <f t="array" ref="V859">_xlfn.IFS(AND(N859&lt;= 22, S859=9), N859-7,AND(N859&lt;= 28, S859=9), N859-25,AND(N859&lt;= 30, S859=9), N859-28,AND(N859&lt;= 11, S859=10), N859+2,AND(N859&lt;= 21, S859=10), N859-11)</f>
        <v>7</v>
      </c>
    </row>
    <row r="860" spans="1:22" x14ac:dyDescent="0.35">
      <c r="A860" s="4">
        <v>45549</v>
      </c>
      <c r="B860" s="5">
        <v>0.51866898148148144</v>
      </c>
      <c r="C860">
        <v>80.8</v>
      </c>
      <c r="D860">
        <v>79.599999999999994</v>
      </c>
      <c r="E860">
        <v>82.6</v>
      </c>
      <c r="F860">
        <v>80.7</v>
      </c>
      <c r="G860">
        <v>0</v>
      </c>
      <c r="H860">
        <v>0</v>
      </c>
      <c r="I860">
        <v>0</v>
      </c>
      <c r="J860">
        <v>0</v>
      </c>
      <c r="K860">
        <v>63.4</v>
      </c>
      <c r="L860">
        <v>61.9</v>
      </c>
      <c r="M860">
        <v>80.94</v>
      </c>
      <c r="N860">
        <v>14</v>
      </c>
      <c r="O860">
        <v>4</v>
      </c>
      <c r="P860">
        <f>MOD(DAY(datos_siembra[[#This Row],[Date]]),7)</f>
        <v>0</v>
      </c>
      <c r="Q860" t="str">
        <f>CHOOSE(WEEKDAY(datos_siembra[[#This Row],[Date]],2),"L","M","X","J","V","S","D")</f>
        <v>S</v>
      </c>
      <c r="R860">
        <f>WEEKNUM(datos_siembra[[#This Row],[Date]],2)-WEEKNUM(DATE(YEAR(datos_siembra[[#This Row],[Date]]),MONTH(datos_siembra[[#This Row],[Date]]),1))+1</f>
        <v>2</v>
      </c>
      <c r="S860">
        <f>MONTH(datos_siembra[[#This Row],[Date]])</f>
        <v>9</v>
      </c>
      <c r="T860" t="str" cm="1">
        <f t="array" ref="T860">_xlfn.IFS(AND(N860&lt;= 22, S860=9), "SOWING",AND(N860&lt;= 28, S860=9), "COVERAGE",AND(N860&lt;= 30, S860=9), "FLUSH",AND(N860&lt;= 11, S860=10), "FLUSH",AND(N860&lt;= 21, S860=10), "PRODUCTION")</f>
        <v>SOWING</v>
      </c>
      <c r="U860">
        <f>HOUR(datos_siembra[[#This Row],[Hour]])</f>
        <v>12</v>
      </c>
      <c r="V860" cm="1">
        <f t="array" ref="V860">_xlfn.IFS(AND(N860&lt;= 22, S860=9), N860-7,AND(N860&lt;= 28, S860=9), N860-25,AND(N860&lt;= 30, S860=9), N860-28,AND(N860&lt;= 11, S860=10), N860+2,AND(N860&lt;= 21, S860=10), N860-11)</f>
        <v>7</v>
      </c>
    </row>
    <row r="861" spans="1:22" x14ac:dyDescent="0.35">
      <c r="A861" s="4">
        <v>45549</v>
      </c>
      <c r="B861" s="5">
        <v>0.52562500000000001</v>
      </c>
      <c r="C861">
        <v>80.8</v>
      </c>
      <c r="D861">
        <v>79.599999999999994</v>
      </c>
      <c r="E861">
        <v>82.7</v>
      </c>
      <c r="F861">
        <v>80.900000000000006</v>
      </c>
      <c r="G861">
        <v>0</v>
      </c>
      <c r="H861">
        <v>0</v>
      </c>
      <c r="I861">
        <v>0</v>
      </c>
      <c r="J861">
        <v>0</v>
      </c>
      <c r="K861">
        <v>63</v>
      </c>
      <c r="L861">
        <v>61.6</v>
      </c>
      <c r="M861">
        <v>80.97</v>
      </c>
      <c r="N861">
        <v>14</v>
      </c>
      <c r="O861">
        <v>4</v>
      </c>
      <c r="P861">
        <f>MOD(DAY(datos_siembra[[#This Row],[Date]]),7)</f>
        <v>0</v>
      </c>
      <c r="Q861" t="str">
        <f>CHOOSE(WEEKDAY(datos_siembra[[#This Row],[Date]],2),"L","M","X","J","V","S","D")</f>
        <v>S</v>
      </c>
      <c r="R861">
        <f>WEEKNUM(datos_siembra[[#This Row],[Date]],2)-WEEKNUM(DATE(YEAR(datos_siembra[[#This Row],[Date]]),MONTH(datos_siembra[[#This Row],[Date]]),1))+1</f>
        <v>2</v>
      </c>
      <c r="S861">
        <f>MONTH(datos_siembra[[#This Row],[Date]])</f>
        <v>9</v>
      </c>
      <c r="T861" t="str" cm="1">
        <f t="array" ref="T861">_xlfn.IFS(AND(N861&lt;= 22, S861=9), "SOWING",AND(N861&lt;= 28, S861=9), "COVERAGE",AND(N861&lt;= 30, S861=9), "FLUSH",AND(N861&lt;= 11, S861=10), "FLUSH",AND(N861&lt;= 21, S861=10), "PRODUCTION")</f>
        <v>SOWING</v>
      </c>
      <c r="U861">
        <f>HOUR(datos_siembra[[#This Row],[Hour]])</f>
        <v>12</v>
      </c>
      <c r="V861" cm="1">
        <f t="array" ref="V861">_xlfn.IFS(AND(N861&lt;= 22, S861=9), N861-7,AND(N861&lt;= 28, S861=9), N861-25,AND(N861&lt;= 30, S861=9), N861-28,AND(N861&lt;= 11, S861=10), N861+2,AND(N861&lt;= 21, S861=10), N861-11)</f>
        <v>7</v>
      </c>
    </row>
    <row r="862" spans="1:22" x14ac:dyDescent="0.35">
      <c r="A862" s="4">
        <v>45549</v>
      </c>
      <c r="B862" s="5">
        <v>0.53256944444444443</v>
      </c>
      <c r="C862">
        <v>80.599999999999994</v>
      </c>
      <c r="D862">
        <v>79.599999999999994</v>
      </c>
      <c r="E862">
        <v>82.5</v>
      </c>
      <c r="F862">
        <v>80.7</v>
      </c>
      <c r="G862">
        <v>0</v>
      </c>
      <c r="H862">
        <v>0</v>
      </c>
      <c r="I862">
        <v>0</v>
      </c>
      <c r="J862">
        <v>0</v>
      </c>
      <c r="K862">
        <v>63.2</v>
      </c>
      <c r="L862">
        <v>61.7</v>
      </c>
      <c r="M862">
        <v>80.849999999999994</v>
      </c>
      <c r="N862">
        <v>14</v>
      </c>
      <c r="O862">
        <v>4</v>
      </c>
      <c r="P862">
        <f>MOD(DAY(datos_siembra[[#This Row],[Date]]),7)</f>
        <v>0</v>
      </c>
      <c r="Q862" t="str">
        <f>CHOOSE(WEEKDAY(datos_siembra[[#This Row],[Date]],2),"L","M","X","J","V","S","D")</f>
        <v>S</v>
      </c>
      <c r="R862">
        <f>WEEKNUM(datos_siembra[[#This Row],[Date]],2)-WEEKNUM(DATE(YEAR(datos_siembra[[#This Row],[Date]]),MONTH(datos_siembra[[#This Row],[Date]]),1))+1</f>
        <v>2</v>
      </c>
      <c r="S862">
        <f>MONTH(datos_siembra[[#This Row],[Date]])</f>
        <v>9</v>
      </c>
      <c r="T862" t="str" cm="1">
        <f t="array" ref="T862">_xlfn.IFS(AND(N862&lt;= 22, S862=9), "SOWING",AND(N862&lt;= 28, S862=9), "COVERAGE",AND(N862&lt;= 30, S862=9), "FLUSH",AND(N862&lt;= 11, S862=10), "FLUSH",AND(N862&lt;= 21, S862=10), "PRODUCTION")</f>
        <v>SOWING</v>
      </c>
      <c r="U862">
        <f>HOUR(datos_siembra[[#This Row],[Hour]])</f>
        <v>12</v>
      </c>
      <c r="V862" cm="1">
        <f t="array" ref="V862">_xlfn.IFS(AND(N862&lt;= 22, S862=9), N862-7,AND(N862&lt;= 28, S862=9), N862-25,AND(N862&lt;= 30, S862=9), N862-28,AND(N862&lt;= 11, S862=10), N862+2,AND(N862&lt;= 21, S862=10), N862-11)</f>
        <v>7</v>
      </c>
    </row>
    <row r="863" spans="1:22" x14ac:dyDescent="0.35">
      <c r="A863" s="4">
        <v>45549</v>
      </c>
      <c r="B863" s="5">
        <v>0.53951388888888885</v>
      </c>
      <c r="C863">
        <v>80.8</v>
      </c>
      <c r="D863">
        <v>79.400000000000006</v>
      </c>
      <c r="E863">
        <v>82.6</v>
      </c>
      <c r="F863">
        <v>80.599999999999994</v>
      </c>
      <c r="G863">
        <v>0</v>
      </c>
      <c r="H863">
        <v>0</v>
      </c>
      <c r="I863">
        <v>0</v>
      </c>
      <c r="J863">
        <v>0</v>
      </c>
      <c r="K863">
        <v>63.2</v>
      </c>
      <c r="L863">
        <v>61.6</v>
      </c>
      <c r="M863">
        <v>80.94</v>
      </c>
      <c r="N863">
        <v>14</v>
      </c>
      <c r="O863">
        <v>4</v>
      </c>
      <c r="P863">
        <f>MOD(DAY(datos_siembra[[#This Row],[Date]]),7)</f>
        <v>0</v>
      </c>
      <c r="Q863" t="str">
        <f>CHOOSE(WEEKDAY(datos_siembra[[#This Row],[Date]],2),"L","M","X","J","V","S","D")</f>
        <v>S</v>
      </c>
      <c r="R863">
        <f>WEEKNUM(datos_siembra[[#This Row],[Date]],2)-WEEKNUM(DATE(YEAR(datos_siembra[[#This Row],[Date]]),MONTH(datos_siembra[[#This Row],[Date]]),1))+1</f>
        <v>2</v>
      </c>
      <c r="S863">
        <f>MONTH(datos_siembra[[#This Row],[Date]])</f>
        <v>9</v>
      </c>
      <c r="T863" t="str" cm="1">
        <f t="array" ref="T863">_xlfn.IFS(AND(N863&lt;= 22, S863=9), "SOWING",AND(N863&lt;= 28, S863=9), "COVERAGE",AND(N863&lt;= 30, S863=9), "FLUSH",AND(N863&lt;= 11, S863=10), "FLUSH",AND(N863&lt;= 21, S863=10), "PRODUCTION")</f>
        <v>SOWING</v>
      </c>
      <c r="U863">
        <f>HOUR(datos_siembra[[#This Row],[Hour]])</f>
        <v>12</v>
      </c>
      <c r="V863" cm="1">
        <f t="array" ref="V863">_xlfn.IFS(AND(N863&lt;= 22, S863=9), N863-7,AND(N863&lt;= 28, S863=9), N863-25,AND(N863&lt;= 30, S863=9), N863-28,AND(N863&lt;= 11, S863=10), N863+2,AND(N863&lt;= 21, S863=10), N863-11)</f>
        <v>7</v>
      </c>
    </row>
    <row r="864" spans="1:22" x14ac:dyDescent="0.35">
      <c r="A864" s="4">
        <v>45549</v>
      </c>
      <c r="B864" s="5">
        <v>0.54646990740740742</v>
      </c>
      <c r="C864">
        <v>80.7</v>
      </c>
      <c r="D864">
        <v>79.400000000000006</v>
      </c>
      <c r="E864">
        <v>82.6</v>
      </c>
      <c r="F864">
        <v>80.8</v>
      </c>
      <c r="G864">
        <v>0</v>
      </c>
      <c r="H864">
        <v>0</v>
      </c>
      <c r="I864">
        <v>0</v>
      </c>
      <c r="J864">
        <v>0</v>
      </c>
      <c r="K864">
        <v>63.2</v>
      </c>
      <c r="L864">
        <v>61.5</v>
      </c>
      <c r="M864">
        <v>80.849999999999994</v>
      </c>
      <c r="N864">
        <v>14</v>
      </c>
      <c r="O864">
        <v>4</v>
      </c>
      <c r="P864">
        <f>MOD(DAY(datos_siembra[[#This Row],[Date]]),7)</f>
        <v>0</v>
      </c>
      <c r="Q864" t="str">
        <f>CHOOSE(WEEKDAY(datos_siembra[[#This Row],[Date]],2),"L","M","X","J","V","S","D")</f>
        <v>S</v>
      </c>
      <c r="R864">
        <f>WEEKNUM(datos_siembra[[#This Row],[Date]],2)-WEEKNUM(DATE(YEAR(datos_siembra[[#This Row],[Date]]),MONTH(datos_siembra[[#This Row],[Date]]),1))+1</f>
        <v>2</v>
      </c>
      <c r="S864">
        <f>MONTH(datos_siembra[[#This Row],[Date]])</f>
        <v>9</v>
      </c>
      <c r="T864" t="str" cm="1">
        <f t="array" ref="T864">_xlfn.IFS(AND(N864&lt;= 22, S864=9), "SOWING",AND(N864&lt;= 28, S864=9), "COVERAGE",AND(N864&lt;= 30, S864=9), "FLUSH",AND(N864&lt;= 11, S864=10), "FLUSH",AND(N864&lt;= 21, S864=10), "PRODUCTION")</f>
        <v>SOWING</v>
      </c>
      <c r="U864">
        <f>HOUR(datos_siembra[[#This Row],[Hour]])</f>
        <v>13</v>
      </c>
      <c r="V864" cm="1">
        <f t="array" ref="V864">_xlfn.IFS(AND(N864&lt;= 22, S864=9), N864-7,AND(N864&lt;= 28, S864=9), N864-25,AND(N864&lt;= 30, S864=9), N864-28,AND(N864&lt;= 11, S864=10), N864+2,AND(N864&lt;= 21, S864=10), N864-11)</f>
        <v>7</v>
      </c>
    </row>
    <row r="865" spans="1:22" x14ac:dyDescent="0.35">
      <c r="A865" s="4">
        <v>45549</v>
      </c>
      <c r="B865" s="5">
        <v>0.55341435185185184</v>
      </c>
      <c r="C865">
        <v>80.8</v>
      </c>
      <c r="D865">
        <v>79.400000000000006</v>
      </c>
      <c r="E865">
        <v>82.5</v>
      </c>
      <c r="F865">
        <v>80.8</v>
      </c>
      <c r="G865">
        <v>0</v>
      </c>
      <c r="H865">
        <v>0</v>
      </c>
      <c r="I865">
        <v>0</v>
      </c>
      <c r="J865">
        <v>0</v>
      </c>
      <c r="K865">
        <v>63</v>
      </c>
      <c r="L865">
        <v>61.5</v>
      </c>
      <c r="M865">
        <v>80.849999999999994</v>
      </c>
      <c r="N865">
        <v>14</v>
      </c>
      <c r="O865">
        <v>4</v>
      </c>
      <c r="P865">
        <f>MOD(DAY(datos_siembra[[#This Row],[Date]]),7)</f>
        <v>0</v>
      </c>
      <c r="Q865" t="str">
        <f>CHOOSE(WEEKDAY(datos_siembra[[#This Row],[Date]],2),"L","M","X","J","V","S","D")</f>
        <v>S</v>
      </c>
      <c r="R865">
        <f>WEEKNUM(datos_siembra[[#This Row],[Date]],2)-WEEKNUM(DATE(YEAR(datos_siembra[[#This Row],[Date]]),MONTH(datos_siembra[[#This Row],[Date]]),1))+1</f>
        <v>2</v>
      </c>
      <c r="S865">
        <f>MONTH(datos_siembra[[#This Row],[Date]])</f>
        <v>9</v>
      </c>
      <c r="T865" t="str" cm="1">
        <f t="array" ref="T865">_xlfn.IFS(AND(N865&lt;= 22, S865=9), "SOWING",AND(N865&lt;= 28, S865=9), "COVERAGE",AND(N865&lt;= 30, S865=9), "FLUSH",AND(N865&lt;= 11, S865=10), "FLUSH",AND(N865&lt;= 21, S865=10), "PRODUCTION")</f>
        <v>SOWING</v>
      </c>
      <c r="U865">
        <f>HOUR(datos_siembra[[#This Row],[Hour]])</f>
        <v>13</v>
      </c>
      <c r="V865" cm="1">
        <f t="array" ref="V865">_xlfn.IFS(AND(N865&lt;= 22, S865=9), N865-7,AND(N865&lt;= 28, S865=9), N865-25,AND(N865&lt;= 30, S865=9), N865-28,AND(N865&lt;= 11, S865=10), N865+2,AND(N865&lt;= 21, S865=10), N865-11)</f>
        <v>7</v>
      </c>
    </row>
    <row r="866" spans="1:22" x14ac:dyDescent="0.35">
      <c r="A866" s="4">
        <v>45549</v>
      </c>
      <c r="B866" s="5">
        <v>0.56035879629629626</v>
      </c>
      <c r="C866">
        <v>80.8</v>
      </c>
      <c r="D866">
        <v>79.400000000000006</v>
      </c>
      <c r="E866">
        <v>82.5</v>
      </c>
      <c r="F866">
        <v>80.7</v>
      </c>
      <c r="G866">
        <v>0</v>
      </c>
      <c r="H866">
        <v>0</v>
      </c>
      <c r="I866">
        <v>0</v>
      </c>
      <c r="J866">
        <v>0</v>
      </c>
      <c r="K866">
        <v>63</v>
      </c>
      <c r="L866">
        <v>61.5</v>
      </c>
      <c r="M866">
        <v>80.819999999999993</v>
      </c>
      <c r="N866">
        <v>14</v>
      </c>
      <c r="O866">
        <v>4</v>
      </c>
      <c r="P866">
        <f>MOD(DAY(datos_siembra[[#This Row],[Date]]),7)</f>
        <v>0</v>
      </c>
      <c r="Q866" t="str">
        <f>CHOOSE(WEEKDAY(datos_siembra[[#This Row],[Date]],2),"L","M","X","J","V","S","D")</f>
        <v>S</v>
      </c>
      <c r="R866">
        <f>WEEKNUM(datos_siembra[[#This Row],[Date]],2)-WEEKNUM(DATE(YEAR(datos_siembra[[#This Row],[Date]]),MONTH(datos_siembra[[#This Row],[Date]]),1))+1</f>
        <v>2</v>
      </c>
      <c r="S866">
        <f>MONTH(datos_siembra[[#This Row],[Date]])</f>
        <v>9</v>
      </c>
      <c r="T866" t="str" cm="1">
        <f t="array" ref="T866">_xlfn.IFS(AND(N866&lt;= 22, S866=9), "SOWING",AND(N866&lt;= 28, S866=9), "COVERAGE",AND(N866&lt;= 30, S866=9), "FLUSH",AND(N866&lt;= 11, S866=10), "FLUSH",AND(N866&lt;= 21, S866=10), "PRODUCTION")</f>
        <v>SOWING</v>
      </c>
      <c r="U866">
        <f>HOUR(datos_siembra[[#This Row],[Hour]])</f>
        <v>13</v>
      </c>
      <c r="V866" cm="1">
        <f t="array" ref="V866">_xlfn.IFS(AND(N866&lt;= 22, S866=9), N866-7,AND(N866&lt;= 28, S866=9), N866-25,AND(N866&lt;= 30, S866=9), N866-28,AND(N866&lt;= 11, S866=10), N866+2,AND(N866&lt;= 21, S866=10), N866-11)</f>
        <v>7</v>
      </c>
    </row>
    <row r="867" spans="1:22" x14ac:dyDescent="0.35">
      <c r="A867" s="4">
        <v>45549</v>
      </c>
      <c r="B867" s="5">
        <v>0.56731481481481483</v>
      </c>
      <c r="C867">
        <v>80.7</v>
      </c>
      <c r="D867">
        <v>79.400000000000006</v>
      </c>
      <c r="E867">
        <v>82.4</v>
      </c>
      <c r="F867">
        <v>80.8</v>
      </c>
      <c r="G867">
        <v>0</v>
      </c>
      <c r="H867">
        <v>0</v>
      </c>
      <c r="I867">
        <v>0</v>
      </c>
      <c r="J867">
        <v>0</v>
      </c>
      <c r="K867">
        <v>62.9</v>
      </c>
      <c r="L867">
        <v>61.4</v>
      </c>
      <c r="M867">
        <v>80.819999999999993</v>
      </c>
      <c r="N867">
        <v>14</v>
      </c>
      <c r="O867">
        <v>4</v>
      </c>
      <c r="P867">
        <f>MOD(DAY(datos_siembra[[#This Row],[Date]]),7)</f>
        <v>0</v>
      </c>
      <c r="Q867" t="str">
        <f>CHOOSE(WEEKDAY(datos_siembra[[#This Row],[Date]],2),"L","M","X","J","V","S","D")</f>
        <v>S</v>
      </c>
      <c r="R867">
        <f>WEEKNUM(datos_siembra[[#This Row],[Date]],2)-WEEKNUM(DATE(YEAR(datos_siembra[[#This Row],[Date]]),MONTH(datos_siembra[[#This Row],[Date]]),1))+1</f>
        <v>2</v>
      </c>
      <c r="S867">
        <f>MONTH(datos_siembra[[#This Row],[Date]])</f>
        <v>9</v>
      </c>
      <c r="T867" t="str" cm="1">
        <f t="array" ref="T867">_xlfn.IFS(AND(N867&lt;= 22, S867=9), "SOWING",AND(N867&lt;= 28, S867=9), "COVERAGE",AND(N867&lt;= 30, S867=9), "FLUSH",AND(N867&lt;= 11, S867=10), "FLUSH",AND(N867&lt;= 21, S867=10), "PRODUCTION")</f>
        <v>SOWING</v>
      </c>
      <c r="U867">
        <f>HOUR(datos_siembra[[#This Row],[Hour]])</f>
        <v>13</v>
      </c>
      <c r="V867" cm="1">
        <f t="array" ref="V867">_xlfn.IFS(AND(N867&lt;= 22, S867=9), N867-7,AND(N867&lt;= 28, S867=9), N867-25,AND(N867&lt;= 30, S867=9), N867-28,AND(N867&lt;= 11, S867=10), N867+2,AND(N867&lt;= 21, S867=10), N867-11)</f>
        <v>7</v>
      </c>
    </row>
    <row r="868" spans="1:22" x14ac:dyDescent="0.35">
      <c r="A868" s="4">
        <v>45549</v>
      </c>
      <c r="B868" s="5">
        <v>0.57425925925925925</v>
      </c>
      <c r="C868">
        <v>80.8</v>
      </c>
      <c r="D868">
        <v>79.3</v>
      </c>
      <c r="E868">
        <v>82.4</v>
      </c>
      <c r="F868">
        <v>80.7</v>
      </c>
      <c r="G868">
        <v>0</v>
      </c>
      <c r="H868">
        <v>0</v>
      </c>
      <c r="I868">
        <v>0</v>
      </c>
      <c r="J868">
        <v>0</v>
      </c>
      <c r="K868">
        <v>62.9</v>
      </c>
      <c r="L868">
        <v>61.4</v>
      </c>
      <c r="M868">
        <v>80.8</v>
      </c>
      <c r="N868">
        <v>14</v>
      </c>
      <c r="O868">
        <v>4</v>
      </c>
      <c r="P868">
        <f>MOD(DAY(datos_siembra[[#This Row],[Date]]),7)</f>
        <v>0</v>
      </c>
      <c r="Q868" t="str">
        <f>CHOOSE(WEEKDAY(datos_siembra[[#This Row],[Date]],2),"L","M","X","J","V","S","D")</f>
        <v>S</v>
      </c>
      <c r="R868">
        <f>WEEKNUM(datos_siembra[[#This Row],[Date]],2)-WEEKNUM(DATE(YEAR(datos_siembra[[#This Row],[Date]]),MONTH(datos_siembra[[#This Row],[Date]]),1))+1</f>
        <v>2</v>
      </c>
      <c r="S868">
        <f>MONTH(datos_siembra[[#This Row],[Date]])</f>
        <v>9</v>
      </c>
      <c r="T868" t="str" cm="1">
        <f t="array" ref="T868">_xlfn.IFS(AND(N868&lt;= 22, S868=9), "SOWING",AND(N868&lt;= 28, S868=9), "COVERAGE",AND(N868&lt;= 30, S868=9), "FLUSH",AND(N868&lt;= 11, S868=10), "FLUSH",AND(N868&lt;= 21, S868=10), "PRODUCTION")</f>
        <v>SOWING</v>
      </c>
      <c r="U868">
        <f>HOUR(datos_siembra[[#This Row],[Hour]])</f>
        <v>13</v>
      </c>
      <c r="V868" cm="1">
        <f t="array" ref="V868">_xlfn.IFS(AND(N868&lt;= 22, S868=9), N868-7,AND(N868&lt;= 28, S868=9), N868-25,AND(N868&lt;= 30, S868=9), N868-28,AND(N868&lt;= 11, S868=10), N868+2,AND(N868&lt;= 21, S868=10), N868-11)</f>
        <v>7</v>
      </c>
    </row>
    <row r="869" spans="1:22" x14ac:dyDescent="0.35">
      <c r="A869" s="4">
        <v>45549</v>
      </c>
      <c r="B869" s="5">
        <v>0.58120370370370367</v>
      </c>
      <c r="C869">
        <v>80.7</v>
      </c>
      <c r="D869">
        <v>79.3</v>
      </c>
      <c r="E869">
        <v>82.5</v>
      </c>
      <c r="F869">
        <v>80.7</v>
      </c>
      <c r="G869">
        <v>0</v>
      </c>
      <c r="H869">
        <v>0</v>
      </c>
      <c r="I869">
        <v>0</v>
      </c>
      <c r="J869">
        <v>0</v>
      </c>
      <c r="K869">
        <v>62.8</v>
      </c>
      <c r="L869">
        <v>61.2</v>
      </c>
      <c r="M869">
        <v>80.77</v>
      </c>
      <c r="N869">
        <v>14</v>
      </c>
      <c r="O869">
        <v>4</v>
      </c>
      <c r="P869">
        <f>MOD(DAY(datos_siembra[[#This Row],[Date]]),7)</f>
        <v>0</v>
      </c>
      <c r="Q869" t="str">
        <f>CHOOSE(WEEKDAY(datos_siembra[[#This Row],[Date]],2),"L","M","X","J","V","S","D")</f>
        <v>S</v>
      </c>
      <c r="R869">
        <f>WEEKNUM(datos_siembra[[#This Row],[Date]],2)-WEEKNUM(DATE(YEAR(datos_siembra[[#This Row],[Date]]),MONTH(datos_siembra[[#This Row],[Date]]),1))+1</f>
        <v>2</v>
      </c>
      <c r="S869">
        <f>MONTH(datos_siembra[[#This Row],[Date]])</f>
        <v>9</v>
      </c>
      <c r="T869" t="str" cm="1">
        <f t="array" ref="T869">_xlfn.IFS(AND(N869&lt;= 22, S869=9), "SOWING",AND(N869&lt;= 28, S869=9), "COVERAGE",AND(N869&lt;= 30, S869=9), "FLUSH",AND(N869&lt;= 11, S869=10), "FLUSH",AND(N869&lt;= 21, S869=10), "PRODUCTION")</f>
        <v>SOWING</v>
      </c>
      <c r="U869">
        <f>HOUR(datos_siembra[[#This Row],[Hour]])</f>
        <v>13</v>
      </c>
      <c r="V869" cm="1">
        <f t="array" ref="V869">_xlfn.IFS(AND(N869&lt;= 22, S869=9), N869-7,AND(N869&lt;= 28, S869=9), N869-25,AND(N869&lt;= 30, S869=9), N869-28,AND(N869&lt;= 11, S869=10), N869+2,AND(N869&lt;= 21, S869=10), N869-11)</f>
        <v>7</v>
      </c>
    </row>
    <row r="870" spans="1:22" x14ac:dyDescent="0.35">
      <c r="A870" s="4">
        <v>45549</v>
      </c>
      <c r="B870" s="5">
        <v>0.5881481481481482</v>
      </c>
      <c r="C870">
        <v>80.7</v>
      </c>
      <c r="D870">
        <v>79.3</v>
      </c>
      <c r="E870">
        <v>82.4</v>
      </c>
      <c r="F870">
        <v>80.7</v>
      </c>
      <c r="G870">
        <v>0</v>
      </c>
      <c r="H870">
        <v>0</v>
      </c>
      <c r="I870">
        <v>0</v>
      </c>
      <c r="J870">
        <v>0</v>
      </c>
      <c r="K870">
        <v>62.8</v>
      </c>
      <c r="L870">
        <v>61.2</v>
      </c>
      <c r="M870">
        <v>80.739999999999995</v>
      </c>
      <c r="N870">
        <v>14</v>
      </c>
      <c r="O870">
        <v>4</v>
      </c>
      <c r="P870">
        <f>MOD(DAY(datos_siembra[[#This Row],[Date]]),7)</f>
        <v>0</v>
      </c>
      <c r="Q870" t="str">
        <f>CHOOSE(WEEKDAY(datos_siembra[[#This Row],[Date]],2),"L","M","X","J","V","S","D")</f>
        <v>S</v>
      </c>
      <c r="R870">
        <f>WEEKNUM(datos_siembra[[#This Row],[Date]],2)-WEEKNUM(DATE(YEAR(datos_siembra[[#This Row],[Date]]),MONTH(datos_siembra[[#This Row],[Date]]),1))+1</f>
        <v>2</v>
      </c>
      <c r="S870">
        <f>MONTH(datos_siembra[[#This Row],[Date]])</f>
        <v>9</v>
      </c>
      <c r="T870" t="str" cm="1">
        <f t="array" ref="T870">_xlfn.IFS(AND(N870&lt;= 22, S870=9), "SOWING",AND(N870&lt;= 28, S870=9), "COVERAGE",AND(N870&lt;= 30, S870=9), "FLUSH",AND(N870&lt;= 11, S870=10), "FLUSH",AND(N870&lt;= 21, S870=10), "PRODUCTION")</f>
        <v>SOWING</v>
      </c>
      <c r="U870">
        <f>HOUR(datos_siembra[[#This Row],[Hour]])</f>
        <v>14</v>
      </c>
      <c r="V870" cm="1">
        <f t="array" ref="V870">_xlfn.IFS(AND(N870&lt;= 22, S870=9), N870-7,AND(N870&lt;= 28, S870=9), N870-25,AND(N870&lt;= 30, S870=9), N870-28,AND(N870&lt;= 11, S870=10), N870+2,AND(N870&lt;= 21, S870=10), N870-11)</f>
        <v>7</v>
      </c>
    </row>
    <row r="871" spans="1:22" x14ac:dyDescent="0.35">
      <c r="A871" s="4">
        <v>45549</v>
      </c>
      <c r="B871" s="5">
        <v>0.59510416666666666</v>
      </c>
      <c r="C871">
        <v>80.8</v>
      </c>
      <c r="D871">
        <v>79.099999999999994</v>
      </c>
      <c r="E871">
        <v>82.3</v>
      </c>
      <c r="F871">
        <v>80.7</v>
      </c>
      <c r="G871">
        <v>0</v>
      </c>
      <c r="H871">
        <v>0</v>
      </c>
      <c r="I871">
        <v>0</v>
      </c>
      <c r="J871">
        <v>0</v>
      </c>
      <c r="K871">
        <v>62.9</v>
      </c>
      <c r="L871">
        <v>61.4</v>
      </c>
      <c r="M871">
        <v>80.680000000000007</v>
      </c>
      <c r="N871">
        <v>14</v>
      </c>
      <c r="O871">
        <v>4</v>
      </c>
      <c r="P871">
        <f>MOD(DAY(datos_siembra[[#This Row],[Date]]),7)</f>
        <v>0</v>
      </c>
      <c r="Q871" t="str">
        <f>CHOOSE(WEEKDAY(datos_siembra[[#This Row],[Date]],2),"L","M","X","J","V","S","D")</f>
        <v>S</v>
      </c>
      <c r="R871">
        <f>WEEKNUM(datos_siembra[[#This Row],[Date]],2)-WEEKNUM(DATE(YEAR(datos_siembra[[#This Row],[Date]]),MONTH(datos_siembra[[#This Row],[Date]]),1))+1</f>
        <v>2</v>
      </c>
      <c r="S871">
        <f>MONTH(datos_siembra[[#This Row],[Date]])</f>
        <v>9</v>
      </c>
      <c r="T871" t="str" cm="1">
        <f t="array" ref="T871">_xlfn.IFS(AND(N871&lt;= 22, S871=9), "SOWING",AND(N871&lt;= 28, S871=9), "COVERAGE",AND(N871&lt;= 30, S871=9), "FLUSH",AND(N871&lt;= 11, S871=10), "FLUSH",AND(N871&lt;= 21, S871=10), "PRODUCTION")</f>
        <v>SOWING</v>
      </c>
      <c r="U871">
        <f>HOUR(datos_siembra[[#This Row],[Hour]])</f>
        <v>14</v>
      </c>
      <c r="V871" cm="1">
        <f t="array" ref="V871">_xlfn.IFS(AND(N871&lt;= 22, S871=9), N871-7,AND(N871&lt;= 28, S871=9), N871-25,AND(N871&lt;= 30, S871=9), N871-28,AND(N871&lt;= 11, S871=10), N871+2,AND(N871&lt;= 21, S871=10), N871-11)</f>
        <v>7</v>
      </c>
    </row>
    <row r="872" spans="1:22" x14ac:dyDescent="0.35">
      <c r="A872" s="4">
        <v>45549</v>
      </c>
      <c r="B872" s="5">
        <v>0.60204861111111108</v>
      </c>
      <c r="C872">
        <v>80.7</v>
      </c>
      <c r="D872">
        <v>79</v>
      </c>
      <c r="E872">
        <v>82.2</v>
      </c>
      <c r="F872">
        <v>80.599999999999994</v>
      </c>
      <c r="G872">
        <v>0</v>
      </c>
      <c r="H872">
        <v>0</v>
      </c>
      <c r="I872">
        <v>0</v>
      </c>
      <c r="J872">
        <v>0</v>
      </c>
      <c r="K872">
        <v>62.9</v>
      </c>
      <c r="L872">
        <v>61.4</v>
      </c>
      <c r="M872">
        <v>80.709999999999994</v>
      </c>
      <c r="N872">
        <v>14</v>
      </c>
      <c r="O872">
        <v>4</v>
      </c>
      <c r="P872">
        <f>MOD(DAY(datos_siembra[[#This Row],[Date]]),7)</f>
        <v>0</v>
      </c>
      <c r="Q872" t="str">
        <f>CHOOSE(WEEKDAY(datos_siembra[[#This Row],[Date]],2),"L","M","X","J","V","S","D")</f>
        <v>S</v>
      </c>
      <c r="R872">
        <f>WEEKNUM(datos_siembra[[#This Row],[Date]],2)-WEEKNUM(DATE(YEAR(datos_siembra[[#This Row],[Date]]),MONTH(datos_siembra[[#This Row],[Date]]),1))+1</f>
        <v>2</v>
      </c>
      <c r="S872">
        <f>MONTH(datos_siembra[[#This Row],[Date]])</f>
        <v>9</v>
      </c>
      <c r="T872" t="str" cm="1">
        <f t="array" ref="T872">_xlfn.IFS(AND(N872&lt;= 22, S872=9), "SOWING",AND(N872&lt;= 28, S872=9), "COVERAGE",AND(N872&lt;= 30, S872=9), "FLUSH",AND(N872&lt;= 11, S872=10), "FLUSH",AND(N872&lt;= 21, S872=10), "PRODUCTION")</f>
        <v>SOWING</v>
      </c>
      <c r="U872">
        <f>HOUR(datos_siembra[[#This Row],[Hour]])</f>
        <v>14</v>
      </c>
      <c r="V872" cm="1">
        <f t="array" ref="V872">_xlfn.IFS(AND(N872&lt;= 22, S872=9), N872-7,AND(N872&lt;= 28, S872=9), N872-25,AND(N872&lt;= 30, S872=9), N872-28,AND(N872&lt;= 11, S872=10), N872+2,AND(N872&lt;= 21, S872=10), N872-11)</f>
        <v>7</v>
      </c>
    </row>
    <row r="873" spans="1:22" x14ac:dyDescent="0.35">
      <c r="A873" s="4">
        <v>45549</v>
      </c>
      <c r="B873" s="5">
        <v>0.60899305555555561</v>
      </c>
      <c r="C873">
        <v>80.8</v>
      </c>
      <c r="D873">
        <v>79</v>
      </c>
      <c r="E873">
        <v>82.3</v>
      </c>
      <c r="F873">
        <v>80.599999999999994</v>
      </c>
      <c r="G873">
        <v>0</v>
      </c>
      <c r="H873">
        <v>0</v>
      </c>
      <c r="I873">
        <v>0</v>
      </c>
      <c r="J873">
        <v>0</v>
      </c>
      <c r="K873">
        <v>63</v>
      </c>
      <c r="L873">
        <v>61.5</v>
      </c>
      <c r="M873">
        <v>80.66</v>
      </c>
      <c r="N873">
        <v>14</v>
      </c>
      <c r="O873">
        <v>4</v>
      </c>
      <c r="P873">
        <f>MOD(DAY(datos_siembra[[#This Row],[Date]]),7)</f>
        <v>0</v>
      </c>
      <c r="Q873" t="str">
        <f>CHOOSE(WEEKDAY(datos_siembra[[#This Row],[Date]],2),"L","M","X","J","V","S","D")</f>
        <v>S</v>
      </c>
      <c r="R873">
        <f>WEEKNUM(datos_siembra[[#This Row],[Date]],2)-WEEKNUM(DATE(YEAR(datos_siembra[[#This Row],[Date]]),MONTH(datos_siembra[[#This Row],[Date]]),1))+1</f>
        <v>2</v>
      </c>
      <c r="S873">
        <f>MONTH(datos_siembra[[#This Row],[Date]])</f>
        <v>9</v>
      </c>
      <c r="T873" t="str" cm="1">
        <f t="array" ref="T873">_xlfn.IFS(AND(N873&lt;= 22, S873=9), "SOWING",AND(N873&lt;= 28, S873=9), "COVERAGE",AND(N873&lt;= 30, S873=9), "FLUSH",AND(N873&lt;= 11, S873=10), "FLUSH",AND(N873&lt;= 21, S873=10), "PRODUCTION")</f>
        <v>SOWING</v>
      </c>
      <c r="U873">
        <f>HOUR(datos_siembra[[#This Row],[Hour]])</f>
        <v>14</v>
      </c>
      <c r="V873" cm="1">
        <f t="array" ref="V873">_xlfn.IFS(AND(N873&lt;= 22, S873=9), N873-7,AND(N873&lt;= 28, S873=9), N873-25,AND(N873&lt;= 30, S873=9), N873-28,AND(N873&lt;= 11, S873=10), N873+2,AND(N873&lt;= 21, S873=10), N873-11)</f>
        <v>7</v>
      </c>
    </row>
    <row r="874" spans="1:22" x14ac:dyDescent="0.35">
      <c r="A874" s="4">
        <v>45549</v>
      </c>
      <c r="B874" s="5">
        <v>0.61594907407407407</v>
      </c>
      <c r="C874">
        <v>80.8</v>
      </c>
      <c r="D874">
        <v>78.900000000000006</v>
      </c>
      <c r="E874">
        <v>82.4</v>
      </c>
      <c r="F874">
        <v>80.5</v>
      </c>
      <c r="G874">
        <v>0</v>
      </c>
      <c r="H874">
        <v>0</v>
      </c>
      <c r="I874">
        <v>0</v>
      </c>
      <c r="J874">
        <v>0</v>
      </c>
      <c r="K874">
        <v>63.3</v>
      </c>
      <c r="L874">
        <v>61.7</v>
      </c>
      <c r="M874">
        <v>80.66</v>
      </c>
      <c r="N874">
        <v>14</v>
      </c>
      <c r="O874">
        <v>4</v>
      </c>
      <c r="P874">
        <f>MOD(DAY(datos_siembra[[#This Row],[Date]]),7)</f>
        <v>0</v>
      </c>
      <c r="Q874" t="str">
        <f>CHOOSE(WEEKDAY(datos_siembra[[#This Row],[Date]],2),"L","M","X","J","V","S","D")</f>
        <v>S</v>
      </c>
      <c r="R874">
        <f>WEEKNUM(datos_siembra[[#This Row],[Date]],2)-WEEKNUM(DATE(YEAR(datos_siembra[[#This Row],[Date]]),MONTH(datos_siembra[[#This Row],[Date]]),1))+1</f>
        <v>2</v>
      </c>
      <c r="S874">
        <f>MONTH(datos_siembra[[#This Row],[Date]])</f>
        <v>9</v>
      </c>
      <c r="T874" t="str" cm="1">
        <f t="array" ref="T874">_xlfn.IFS(AND(N874&lt;= 22, S874=9), "SOWING",AND(N874&lt;= 28, S874=9), "COVERAGE",AND(N874&lt;= 30, S874=9), "FLUSH",AND(N874&lt;= 11, S874=10), "FLUSH",AND(N874&lt;= 21, S874=10), "PRODUCTION")</f>
        <v>SOWING</v>
      </c>
      <c r="U874">
        <f>HOUR(datos_siembra[[#This Row],[Hour]])</f>
        <v>14</v>
      </c>
      <c r="V874" cm="1">
        <f t="array" ref="V874">_xlfn.IFS(AND(N874&lt;= 22, S874=9), N874-7,AND(N874&lt;= 28, S874=9), N874-25,AND(N874&lt;= 30, S874=9), N874-28,AND(N874&lt;= 11, S874=10), N874+2,AND(N874&lt;= 21, S874=10), N874-11)</f>
        <v>7</v>
      </c>
    </row>
    <row r="875" spans="1:22" x14ac:dyDescent="0.35">
      <c r="A875" s="4">
        <v>45549</v>
      </c>
      <c r="B875" s="5">
        <v>0.62289351851851849</v>
      </c>
      <c r="C875">
        <v>80.7</v>
      </c>
      <c r="D875">
        <v>79</v>
      </c>
      <c r="E875">
        <v>82.3</v>
      </c>
      <c r="F875">
        <v>80.7</v>
      </c>
      <c r="G875">
        <v>0</v>
      </c>
      <c r="H875">
        <v>0</v>
      </c>
      <c r="I875">
        <v>0</v>
      </c>
      <c r="J875">
        <v>0</v>
      </c>
      <c r="K875">
        <v>63.3</v>
      </c>
      <c r="L875">
        <v>61.8</v>
      </c>
      <c r="M875">
        <v>80.680000000000007</v>
      </c>
      <c r="N875">
        <v>14</v>
      </c>
      <c r="O875">
        <v>4</v>
      </c>
      <c r="P875">
        <f>MOD(DAY(datos_siembra[[#This Row],[Date]]),7)</f>
        <v>0</v>
      </c>
      <c r="Q875" t="str">
        <f>CHOOSE(WEEKDAY(datos_siembra[[#This Row],[Date]],2),"L","M","X","J","V","S","D")</f>
        <v>S</v>
      </c>
      <c r="R875">
        <f>WEEKNUM(datos_siembra[[#This Row],[Date]],2)-WEEKNUM(DATE(YEAR(datos_siembra[[#This Row],[Date]]),MONTH(datos_siembra[[#This Row],[Date]]),1))+1</f>
        <v>2</v>
      </c>
      <c r="S875">
        <f>MONTH(datos_siembra[[#This Row],[Date]])</f>
        <v>9</v>
      </c>
      <c r="T875" t="str" cm="1">
        <f t="array" ref="T875">_xlfn.IFS(AND(N875&lt;= 22, S875=9), "SOWING",AND(N875&lt;= 28, S875=9), "COVERAGE",AND(N875&lt;= 30, S875=9), "FLUSH",AND(N875&lt;= 11, S875=10), "FLUSH",AND(N875&lt;= 21, S875=10), "PRODUCTION")</f>
        <v>SOWING</v>
      </c>
      <c r="U875">
        <f>HOUR(datos_siembra[[#This Row],[Hour]])</f>
        <v>14</v>
      </c>
      <c r="V875" cm="1">
        <f t="array" ref="V875">_xlfn.IFS(AND(N875&lt;= 22, S875=9), N875-7,AND(N875&lt;= 28, S875=9), N875-25,AND(N875&lt;= 30, S875=9), N875-28,AND(N875&lt;= 11, S875=10), N875+2,AND(N875&lt;= 21, S875=10), N875-11)</f>
        <v>7</v>
      </c>
    </row>
    <row r="876" spans="1:22" x14ac:dyDescent="0.35">
      <c r="A876" s="4">
        <v>45549</v>
      </c>
      <c r="B876" s="5">
        <v>0.62983796296296302</v>
      </c>
      <c r="C876">
        <v>80.5</v>
      </c>
      <c r="D876">
        <v>78.8</v>
      </c>
      <c r="E876">
        <v>82.2</v>
      </c>
      <c r="F876">
        <v>80.599999999999994</v>
      </c>
      <c r="G876">
        <v>0</v>
      </c>
      <c r="H876">
        <v>0</v>
      </c>
      <c r="I876">
        <v>0</v>
      </c>
      <c r="J876">
        <v>0</v>
      </c>
      <c r="K876">
        <v>63.4</v>
      </c>
      <c r="L876">
        <v>61.9</v>
      </c>
      <c r="M876">
        <v>80.599999999999994</v>
      </c>
      <c r="N876">
        <v>14</v>
      </c>
      <c r="O876">
        <v>4</v>
      </c>
      <c r="P876">
        <f>MOD(DAY(datos_siembra[[#This Row],[Date]]),7)</f>
        <v>0</v>
      </c>
      <c r="Q876" t="str">
        <f>CHOOSE(WEEKDAY(datos_siembra[[#This Row],[Date]],2),"L","M","X","J","V","S","D")</f>
        <v>S</v>
      </c>
      <c r="R876">
        <f>WEEKNUM(datos_siembra[[#This Row],[Date]],2)-WEEKNUM(DATE(YEAR(datos_siembra[[#This Row],[Date]]),MONTH(datos_siembra[[#This Row],[Date]]),1))+1</f>
        <v>2</v>
      </c>
      <c r="S876">
        <f>MONTH(datos_siembra[[#This Row],[Date]])</f>
        <v>9</v>
      </c>
      <c r="T876" t="str" cm="1">
        <f t="array" ref="T876">_xlfn.IFS(AND(N876&lt;= 22, S876=9), "SOWING",AND(N876&lt;= 28, S876=9), "COVERAGE",AND(N876&lt;= 30, S876=9), "FLUSH",AND(N876&lt;= 11, S876=10), "FLUSH",AND(N876&lt;= 21, S876=10), "PRODUCTION")</f>
        <v>SOWING</v>
      </c>
      <c r="U876">
        <f>HOUR(datos_siembra[[#This Row],[Hour]])</f>
        <v>15</v>
      </c>
      <c r="V876" cm="1">
        <f t="array" ref="V876">_xlfn.IFS(AND(N876&lt;= 22, S876=9), N876-7,AND(N876&lt;= 28, S876=9), N876-25,AND(N876&lt;= 30, S876=9), N876-28,AND(N876&lt;= 11, S876=10), N876+2,AND(N876&lt;= 21, S876=10), N876-11)</f>
        <v>7</v>
      </c>
    </row>
    <row r="877" spans="1:22" x14ac:dyDescent="0.35">
      <c r="A877" s="4">
        <v>45549</v>
      </c>
      <c r="B877" s="5">
        <v>0.63678240740740744</v>
      </c>
      <c r="C877">
        <v>80.599999999999994</v>
      </c>
      <c r="D877">
        <v>78.8</v>
      </c>
      <c r="E877">
        <v>82.2</v>
      </c>
      <c r="F877">
        <v>80.5</v>
      </c>
      <c r="G877">
        <v>0</v>
      </c>
      <c r="H877">
        <v>0</v>
      </c>
      <c r="I877">
        <v>0</v>
      </c>
      <c r="J877">
        <v>0</v>
      </c>
      <c r="K877">
        <v>63.2</v>
      </c>
      <c r="L877">
        <v>61.7</v>
      </c>
      <c r="M877">
        <v>80.569999999999993</v>
      </c>
      <c r="N877">
        <v>14</v>
      </c>
      <c r="O877">
        <v>4</v>
      </c>
      <c r="P877">
        <f>MOD(DAY(datos_siembra[[#This Row],[Date]]),7)</f>
        <v>0</v>
      </c>
      <c r="Q877" t="str">
        <f>CHOOSE(WEEKDAY(datos_siembra[[#This Row],[Date]],2),"L","M","X","J","V","S","D")</f>
        <v>S</v>
      </c>
      <c r="R877">
        <f>WEEKNUM(datos_siembra[[#This Row],[Date]],2)-WEEKNUM(DATE(YEAR(datos_siembra[[#This Row],[Date]]),MONTH(datos_siembra[[#This Row],[Date]]),1))+1</f>
        <v>2</v>
      </c>
      <c r="S877">
        <f>MONTH(datos_siembra[[#This Row],[Date]])</f>
        <v>9</v>
      </c>
      <c r="T877" t="str" cm="1">
        <f t="array" ref="T877">_xlfn.IFS(AND(N877&lt;= 22, S877=9), "SOWING",AND(N877&lt;= 28, S877=9), "COVERAGE",AND(N877&lt;= 30, S877=9), "FLUSH",AND(N877&lt;= 11, S877=10), "FLUSH",AND(N877&lt;= 21, S877=10), "PRODUCTION")</f>
        <v>SOWING</v>
      </c>
      <c r="U877">
        <f>HOUR(datos_siembra[[#This Row],[Hour]])</f>
        <v>15</v>
      </c>
      <c r="V877" cm="1">
        <f t="array" ref="V877">_xlfn.IFS(AND(N877&lt;= 22, S877=9), N877-7,AND(N877&lt;= 28, S877=9), N877-25,AND(N877&lt;= 30, S877=9), N877-28,AND(N877&lt;= 11, S877=10), N877+2,AND(N877&lt;= 21, S877=10), N877-11)</f>
        <v>7</v>
      </c>
    </row>
    <row r="878" spans="1:22" x14ac:dyDescent="0.35">
      <c r="A878" s="4">
        <v>45549</v>
      </c>
      <c r="B878" s="5">
        <v>0.64373842592592589</v>
      </c>
      <c r="C878">
        <v>80.599999999999994</v>
      </c>
      <c r="D878">
        <v>78.900000000000006</v>
      </c>
      <c r="E878">
        <v>82.2</v>
      </c>
      <c r="F878">
        <v>80.5</v>
      </c>
      <c r="G878">
        <v>0</v>
      </c>
      <c r="H878">
        <v>0</v>
      </c>
      <c r="I878">
        <v>0</v>
      </c>
      <c r="J878">
        <v>0</v>
      </c>
      <c r="K878">
        <v>63.2</v>
      </c>
      <c r="L878">
        <v>61.7</v>
      </c>
      <c r="M878">
        <v>80.540000000000006</v>
      </c>
      <c r="N878">
        <v>14</v>
      </c>
      <c r="O878">
        <v>4</v>
      </c>
      <c r="P878">
        <f>MOD(DAY(datos_siembra[[#This Row],[Date]]),7)</f>
        <v>0</v>
      </c>
      <c r="Q878" t="str">
        <f>CHOOSE(WEEKDAY(datos_siembra[[#This Row],[Date]],2),"L","M","X","J","V","S","D")</f>
        <v>S</v>
      </c>
      <c r="R878">
        <f>WEEKNUM(datos_siembra[[#This Row],[Date]],2)-WEEKNUM(DATE(YEAR(datos_siembra[[#This Row],[Date]]),MONTH(datos_siembra[[#This Row],[Date]]),1))+1</f>
        <v>2</v>
      </c>
      <c r="S878">
        <f>MONTH(datos_siembra[[#This Row],[Date]])</f>
        <v>9</v>
      </c>
      <c r="T878" t="str" cm="1">
        <f t="array" ref="T878">_xlfn.IFS(AND(N878&lt;= 22, S878=9), "SOWING",AND(N878&lt;= 28, S878=9), "COVERAGE",AND(N878&lt;= 30, S878=9), "FLUSH",AND(N878&lt;= 11, S878=10), "FLUSH",AND(N878&lt;= 21, S878=10), "PRODUCTION")</f>
        <v>SOWING</v>
      </c>
      <c r="U878">
        <f>HOUR(datos_siembra[[#This Row],[Hour]])</f>
        <v>15</v>
      </c>
      <c r="V878" cm="1">
        <f t="array" ref="V878">_xlfn.IFS(AND(N878&lt;= 22, S878=9), N878-7,AND(N878&lt;= 28, S878=9), N878-25,AND(N878&lt;= 30, S878=9), N878-28,AND(N878&lt;= 11, S878=10), N878+2,AND(N878&lt;= 21, S878=10), N878-11)</f>
        <v>7</v>
      </c>
    </row>
    <row r="879" spans="1:22" x14ac:dyDescent="0.35">
      <c r="A879" s="4">
        <v>45549</v>
      </c>
      <c r="B879" s="5">
        <v>0.65068287037037043</v>
      </c>
      <c r="C879">
        <v>80.5</v>
      </c>
      <c r="D879">
        <v>78.900000000000006</v>
      </c>
      <c r="E879">
        <v>82.2</v>
      </c>
      <c r="F879">
        <v>80.5</v>
      </c>
      <c r="G879">
        <v>0</v>
      </c>
      <c r="H879">
        <v>0</v>
      </c>
      <c r="I879">
        <v>0</v>
      </c>
      <c r="J879">
        <v>0</v>
      </c>
      <c r="K879">
        <v>63.2</v>
      </c>
      <c r="L879">
        <v>61.6</v>
      </c>
      <c r="M879">
        <v>80.489999999999995</v>
      </c>
      <c r="N879">
        <v>14</v>
      </c>
      <c r="O879">
        <v>4</v>
      </c>
      <c r="P879">
        <f>MOD(DAY(datos_siembra[[#This Row],[Date]]),7)</f>
        <v>0</v>
      </c>
      <c r="Q879" t="str">
        <f>CHOOSE(WEEKDAY(datos_siembra[[#This Row],[Date]],2),"L","M","X","J","V","S","D")</f>
        <v>S</v>
      </c>
      <c r="R879">
        <f>WEEKNUM(datos_siembra[[#This Row],[Date]],2)-WEEKNUM(DATE(YEAR(datos_siembra[[#This Row],[Date]]),MONTH(datos_siembra[[#This Row],[Date]]),1))+1</f>
        <v>2</v>
      </c>
      <c r="S879">
        <f>MONTH(datos_siembra[[#This Row],[Date]])</f>
        <v>9</v>
      </c>
      <c r="T879" t="str" cm="1">
        <f t="array" ref="T879">_xlfn.IFS(AND(N879&lt;= 22, S879=9), "SOWING",AND(N879&lt;= 28, S879=9), "COVERAGE",AND(N879&lt;= 30, S879=9), "FLUSH",AND(N879&lt;= 11, S879=10), "FLUSH",AND(N879&lt;= 21, S879=10), "PRODUCTION")</f>
        <v>SOWING</v>
      </c>
      <c r="U879">
        <f>HOUR(datos_siembra[[#This Row],[Hour]])</f>
        <v>15</v>
      </c>
      <c r="V879" cm="1">
        <f t="array" ref="V879">_xlfn.IFS(AND(N879&lt;= 22, S879=9), N879-7,AND(N879&lt;= 28, S879=9), N879-25,AND(N879&lt;= 30, S879=9), N879-28,AND(N879&lt;= 11, S879=10), N879+2,AND(N879&lt;= 21, S879=10), N879-11)</f>
        <v>7</v>
      </c>
    </row>
    <row r="880" spans="1:22" x14ac:dyDescent="0.35">
      <c r="A880" s="4">
        <v>45549</v>
      </c>
      <c r="B880" s="5">
        <v>0.65762731481481485</v>
      </c>
      <c r="C880">
        <v>80.599999999999994</v>
      </c>
      <c r="D880">
        <v>78.900000000000006</v>
      </c>
      <c r="E880">
        <v>82.1</v>
      </c>
      <c r="F880">
        <v>80.5</v>
      </c>
      <c r="G880">
        <v>0</v>
      </c>
      <c r="H880">
        <v>0</v>
      </c>
      <c r="I880">
        <v>0</v>
      </c>
      <c r="J880">
        <v>0</v>
      </c>
      <c r="K880">
        <v>63.2</v>
      </c>
      <c r="L880">
        <v>61.6</v>
      </c>
      <c r="M880">
        <v>80.569999999999993</v>
      </c>
      <c r="N880">
        <v>14</v>
      </c>
      <c r="O880">
        <v>4</v>
      </c>
      <c r="P880">
        <f>MOD(DAY(datos_siembra[[#This Row],[Date]]),7)</f>
        <v>0</v>
      </c>
      <c r="Q880" t="str">
        <f>CHOOSE(WEEKDAY(datos_siembra[[#This Row],[Date]],2),"L","M","X","J","V","S","D")</f>
        <v>S</v>
      </c>
      <c r="R880">
        <f>WEEKNUM(datos_siembra[[#This Row],[Date]],2)-WEEKNUM(DATE(YEAR(datos_siembra[[#This Row],[Date]]),MONTH(datos_siembra[[#This Row],[Date]]),1))+1</f>
        <v>2</v>
      </c>
      <c r="S880">
        <f>MONTH(datos_siembra[[#This Row],[Date]])</f>
        <v>9</v>
      </c>
      <c r="T880" t="str" cm="1">
        <f t="array" ref="T880">_xlfn.IFS(AND(N880&lt;= 22, S880=9), "SOWING",AND(N880&lt;= 28, S880=9), "COVERAGE",AND(N880&lt;= 30, S880=9), "FLUSH",AND(N880&lt;= 11, S880=10), "FLUSH",AND(N880&lt;= 21, S880=10), "PRODUCTION")</f>
        <v>SOWING</v>
      </c>
      <c r="U880">
        <f>HOUR(datos_siembra[[#This Row],[Hour]])</f>
        <v>15</v>
      </c>
      <c r="V880" cm="1">
        <f t="array" ref="V880">_xlfn.IFS(AND(N880&lt;= 22, S880=9), N880-7,AND(N880&lt;= 28, S880=9), N880-25,AND(N880&lt;= 30, S880=9), N880-28,AND(N880&lt;= 11, S880=10), N880+2,AND(N880&lt;= 21, S880=10), N880-11)</f>
        <v>7</v>
      </c>
    </row>
    <row r="881" spans="1:22" x14ac:dyDescent="0.35">
      <c r="A881" s="4">
        <v>45549</v>
      </c>
      <c r="B881" s="5">
        <v>0.6645833333333333</v>
      </c>
      <c r="C881">
        <v>80.599999999999994</v>
      </c>
      <c r="D881">
        <v>78.8</v>
      </c>
      <c r="E881">
        <v>82</v>
      </c>
      <c r="F881">
        <v>80.400000000000006</v>
      </c>
      <c r="G881">
        <v>0</v>
      </c>
      <c r="H881">
        <v>0</v>
      </c>
      <c r="I881">
        <v>0</v>
      </c>
      <c r="J881">
        <v>0</v>
      </c>
      <c r="K881">
        <v>63</v>
      </c>
      <c r="L881">
        <v>61.6</v>
      </c>
      <c r="M881">
        <v>80.459999999999994</v>
      </c>
      <c r="N881">
        <v>14</v>
      </c>
      <c r="O881">
        <v>4</v>
      </c>
      <c r="P881">
        <f>MOD(DAY(datos_siembra[[#This Row],[Date]]),7)</f>
        <v>0</v>
      </c>
      <c r="Q881" t="str">
        <f>CHOOSE(WEEKDAY(datos_siembra[[#This Row],[Date]],2),"L","M","X","J","V","S","D")</f>
        <v>S</v>
      </c>
      <c r="R881">
        <f>WEEKNUM(datos_siembra[[#This Row],[Date]],2)-WEEKNUM(DATE(YEAR(datos_siembra[[#This Row],[Date]]),MONTH(datos_siembra[[#This Row],[Date]]),1))+1</f>
        <v>2</v>
      </c>
      <c r="S881">
        <f>MONTH(datos_siembra[[#This Row],[Date]])</f>
        <v>9</v>
      </c>
      <c r="T881" t="str" cm="1">
        <f t="array" ref="T881">_xlfn.IFS(AND(N881&lt;= 22, S881=9), "SOWING",AND(N881&lt;= 28, S881=9), "COVERAGE",AND(N881&lt;= 30, S881=9), "FLUSH",AND(N881&lt;= 11, S881=10), "FLUSH",AND(N881&lt;= 21, S881=10), "PRODUCTION")</f>
        <v>SOWING</v>
      </c>
      <c r="U881">
        <f>HOUR(datos_siembra[[#This Row],[Hour]])</f>
        <v>15</v>
      </c>
      <c r="V881" cm="1">
        <f t="array" ref="V881">_xlfn.IFS(AND(N881&lt;= 22, S881=9), N881-7,AND(N881&lt;= 28, S881=9), N881-25,AND(N881&lt;= 30, S881=9), N881-28,AND(N881&lt;= 11, S881=10), N881+2,AND(N881&lt;= 21, S881=10), N881-11)</f>
        <v>7</v>
      </c>
    </row>
    <row r="882" spans="1:22" x14ac:dyDescent="0.35">
      <c r="A882" s="4">
        <v>45549</v>
      </c>
      <c r="B882" s="5">
        <v>0.67152777777777772</v>
      </c>
      <c r="C882">
        <v>80.7</v>
      </c>
      <c r="D882">
        <v>78.7</v>
      </c>
      <c r="E882">
        <v>82.1</v>
      </c>
      <c r="F882">
        <v>80.5</v>
      </c>
      <c r="G882">
        <v>0</v>
      </c>
      <c r="H882">
        <v>0</v>
      </c>
      <c r="I882">
        <v>0</v>
      </c>
      <c r="J882">
        <v>0</v>
      </c>
      <c r="K882">
        <v>63</v>
      </c>
      <c r="L882">
        <v>61.5</v>
      </c>
      <c r="M882">
        <v>80.52</v>
      </c>
      <c r="N882">
        <v>14</v>
      </c>
      <c r="O882">
        <v>4</v>
      </c>
      <c r="P882">
        <f>MOD(DAY(datos_siembra[[#This Row],[Date]]),7)</f>
        <v>0</v>
      </c>
      <c r="Q882" t="str">
        <f>CHOOSE(WEEKDAY(datos_siembra[[#This Row],[Date]],2),"L","M","X","J","V","S","D")</f>
        <v>S</v>
      </c>
      <c r="R882">
        <f>WEEKNUM(datos_siembra[[#This Row],[Date]],2)-WEEKNUM(DATE(YEAR(datos_siembra[[#This Row],[Date]]),MONTH(datos_siembra[[#This Row],[Date]]),1))+1</f>
        <v>2</v>
      </c>
      <c r="S882">
        <f>MONTH(datos_siembra[[#This Row],[Date]])</f>
        <v>9</v>
      </c>
      <c r="T882" t="str" cm="1">
        <f t="array" ref="T882">_xlfn.IFS(AND(N882&lt;= 22, S882=9), "SOWING",AND(N882&lt;= 28, S882=9), "COVERAGE",AND(N882&lt;= 30, S882=9), "FLUSH",AND(N882&lt;= 11, S882=10), "FLUSH",AND(N882&lt;= 21, S882=10), "PRODUCTION")</f>
        <v>SOWING</v>
      </c>
      <c r="U882">
        <f>HOUR(datos_siembra[[#This Row],[Hour]])</f>
        <v>16</v>
      </c>
      <c r="V882" cm="1">
        <f t="array" ref="V882">_xlfn.IFS(AND(N882&lt;= 22, S882=9), N882-7,AND(N882&lt;= 28, S882=9), N882-25,AND(N882&lt;= 30, S882=9), N882-28,AND(N882&lt;= 11, S882=10), N882+2,AND(N882&lt;= 21, S882=10), N882-11)</f>
        <v>7</v>
      </c>
    </row>
    <row r="883" spans="1:22" x14ac:dyDescent="0.35">
      <c r="A883" s="4">
        <v>45549</v>
      </c>
      <c r="B883" s="5">
        <v>0.67847222222222225</v>
      </c>
      <c r="C883">
        <v>80.5</v>
      </c>
      <c r="D883">
        <v>78.7</v>
      </c>
      <c r="E883">
        <v>82.1</v>
      </c>
      <c r="F883">
        <v>80.5</v>
      </c>
      <c r="G883">
        <v>0</v>
      </c>
      <c r="H883">
        <v>0</v>
      </c>
      <c r="I883">
        <v>0</v>
      </c>
      <c r="J883">
        <v>0</v>
      </c>
      <c r="K883">
        <v>63.2</v>
      </c>
      <c r="L883">
        <v>61.5</v>
      </c>
      <c r="M883">
        <v>80.459999999999994</v>
      </c>
      <c r="N883">
        <v>14</v>
      </c>
      <c r="O883">
        <v>4</v>
      </c>
      <c r="P883">
        <f>MOD(DAY(datos_siembra[[#This Row],[Date]]),7)</f>
        <v>0</v>
      </c>
      <c r="Q883" t="str">
        <f>CHOOSE(WEEKDAY(datos_siembra[[#This Row],[Date]],2),"L","M","X","J","V","S","D")</f>
        <v>S</v>
      </c>
      <c r="R883">
        <f>WEEKNUM(datos_siembra[[#This Row],[Date]],2)-WEEKNUM(DATE(YEAR(datos_siembra[[#This Row],[Date]]),MONTH(datos_siembra[[#This Row],[Date]]),1))+1</f>
        <v>2</v>
      </c>
      <c r="S883">
        <f>MONTH(datos_siembra[[#This Row],[Date]])</f>
        <v>9</v>
      </c>
      <c r="T883" t="str" cm="1">
        <f t="array" ref="T883">_xlfn.IFS(AND(N883&lt;= 22, S883=9), "SOWING",AND(N883&lt;= 28, S883=9), "COVERAGE",AND(N883&lt;= 30, S883=9), "FLUSH",AND(N883&lt;= 11, S883=10), "FLUSH",AND(N883&lt;= 21, S883=10), "PRODUCTION")</f>
        <v>SOWING</v>
      </c>
      <c r="U883">
        <f>HOUR(datos_siembra[[#This Row],[Hour]])</f>
        <v>16</v>
      </c>
      <c r="V883" cm="1">
        <f t="array" ref="V883">_xlfn.IFS(AND(N883&lt;= 22, S883=9), N883-7,AND(N883&lt;= 28, S883=9), N883-25,AND(N883&lt;= 30, S883=9), N883-28,AND(N883&lt;= 11, S883=10), N883+2,AND(N883&lt;= 21, S883=10), N883-11)</f>
        <v>7</v>
      </c>
    </row>
    <row r="884" spans="1:22" x14ac:dyDescent="0.35">
      <c r="A884" s="4">
        <v>45549</v>
      </c>
      <c r="B884" s="5">
        <v>0.68541666666666667</v>
      </c>
      <c r="C884">
        <v>80.599999999999994</v>
      </c>
      <c r="D884">
        <v>78.8</v>
      </c>
      <c r="E884">
        <v>82.1</v>
      </c>
      <c r="F884">
        <v>80.5</v>
      </c>
      <c r="G884">
        <v>0</v>
      </c>
      <c r="H884">
        <v>0</v>
      </c>
      <c r="I884">
        <v>0</v>
      </c>
      <c r="J884">
        <v>0</v>
      </c>
      <c r="K884">
        <v>63</v>
      </c>
      <c r="L884">
        <v>61.4</v>
      </c>
      <c r="M884">
        <v>80.37</v>
      </c>
      <c r="N884">
        <v>14</v>
      </c>
      <c r="O884">
        <v>4</v>
      </c>
      <c r="P884">
        <f>MOD(DAY(datos_siembra[[#This Row],[Date]]),7)</f>
        <v>0</v>
      </c>
      <c r="Q884" t="str">
        <f>CHOOSE(WEEKDAY(datos_siembra[[#This Row],[Date]],2),"L","M","X","J","V","S","D")</f>
        <v>S</v>
      </c>
      <c r="R884">
        <f>WEEKNUM(datos_siembra[[#This Row],[Date]],2)-WEEKNUM(DATE(YEAR(datos_siembra[[#This Row],[Date]]),MONTH(datos_siembra[[#This Row],[Date]]),1))+1</f>
        <v>2</v>
      </c>
      <c r="S884">
        <f>MONTH(datos_siembra[[#This Row],[Date]])</f>
        <v>9</v>
      </c>
      <c r="T884" t="str" cm="1">
        <f t="array" ref="T884">_xlfn.IFS(AND(N884&lt;= 22, S884=9), "SOWING",AND(N884&lt;= 28, S884=9), "COVERAGE",AND(N884&lt;= 30, S884=9), "FLUSH",AND(N884&lt;= 11, S884=10), "FLUSH",AND(N884&lt;= 21, S884=10), "PRODUCTION")</f>
        <v>SOWING</v>
      </c>
      <c r="U884">
        <f>HOUR(datos_siembra[[#This Row],[Hour]])</f>
        <v>16</v>
      </c>
      <c r="V884" cm="1">
        <f t="array" ref="V884">_xlfn.IFS(AND(N884&lt;= 22, S884=9), N884-7,AND(N884&lt;= 28, S884=9), N884-25,AND(N884&lt;= 30, S884=9), N884-28,AND(N884&lt;= 11, S884=10), N884+2,AND(N884&lt;= 21, S884=10), N884-11)</f>
        <v>7</v>
      </c>
    </row>
    <row r="885" spans="1:22" x14ac:dyDescent="0.35">
      <c r="A885" s="4">
        <v>45549</v>
      </c>
      <c r="B885" s="5">
        <v>0.69237268518518513</v>
      </c>
      <c r="C885">
        <v>80.599999999999994</v>
      </c>
      <c r="D885">
        <v>78.7</v>
      </c>
      <c r="E885">
        <v>82</v>
      </c>
      <c r="F885">
        <v>80.400000000000006</v>
      </c>
      <c r="G885">
        <v>0</v>
      </c>
      <c r="H885">
        <v>0</v>
      </c>
      <c r="I885">
        <v>0</v>
      </c>
      <c r="J885">
        <v>0</v>
      </c>
      <c r="K885">
        <v>63.6</v>
      </c>
      <c r="L885">
        <v>62.2</v>
      </c>
      <c r="M885">
        <v>80.349999999999994</v>
      </c>
      <c r="N885">
        <v>14</v>
      </c>
      <c r="O885">
        <v>4</v>
      </c>
      <c r="P885">
        <f>MOD(DAY(datos_siembra[[#This Row],[Date]]),7)</f>
        <v>0</v>
      </c>
      <c r="Q885" t="str">
        <f>CHOOSE(WEEKDAY(datos_siembra[[#This Row],[Date]],2),"L","M","X","J","V","S","D")</f>
        <v>S</v>
      </c>
      <c r="R885">
        <f>WEEKNUM(datos_siembra[[#This Row],[Date]],2)-WEEKNUM(DATE(YEAR(datos_siembra[[#This Row],[Date]]),MONTH(datos_siembra[[#This Row],[Date]]),1))+1</f>
        <v>2</v>
      </c>
      <c r="S885">
        <f>MONTH(datos_siembra[[#This Row],[Date]])</f>
        <v>9</v>
      </c>
      <c r="T885" t="str" cm="1">
        <f t="array" ref="T885">_xlfn.IFS(AND(N885&lt;= 22, S885=9), "SOWING",AND(N885&lt;= 28, S885=9), "COVERAGE",AND(N885&lt;= 30, S885=9), "FLUSH",AND(N885&lt;= 11, S885=10), "FLUSH",AND(N885&lt;= 21, S885=10), "PRODUCTION")</f>
        <v>SOWING</v>
      </c>
      <c r="U885">
        <f>HOUR(datos_siembra[[#This Row],[Hour]])</f>
        <v>16</v>
      </c>
      <c r="V885" cm="1">
        <f t="array" ref="V885">_xlfn.IFS(AND(N885&lt;= 22, S885=9), N885-7,AND(N885&lt;= 28, S885=9), N885-25,AND(N885&lt;= 30, S885=9), N885-28,AND(N885&lt;= 11, S885=10), N885+2,AND(N885&lt;= 21, S885=10), N885-11)</f>
        <v>7</v>
      </c>
    </row>
    <row r="886" spans="1:22" x14ac:dyDescent="0.35">
      <c r="A886" s="4">
        <v>45549</v>
      </c>
      <c r="B886" s="5">
        <v>0.69931712962962966</v>
      </c>
      <c r="C886">
        <v>80.7</v>
      </c>
      <c r="D886">
        <v>78.599999999999994</v>
      </c>
      <c r="E886">
        <v>82.1</v>
      </c>
      <c r="F886">
        <v>80.099999999999994</v>
      </c>
      <c r="G886">
        <v>0</v>
      </c>
      <c r="H886">
        <v>0</v>
      </c>
      <c r="I886">
        <v>0</v>
      </c>
      <c r="J886">
        <v>0</v>
      </c>
      <c r="K886">
        <v>64.2</v>
      </c>
      <c r="L886">
        <v>62.8</v>
      </c>
      <c r="M886">
        <v>80.459999999999994</v>
      </c>
      <c r="N886">
        <v>14</v>
      </c>
      <c r="O886">
        <v>4</v>
      </c>
      <c r="P886">
        <f>MOD(DAY(datos_siembra[[#This Row],[Date]]),7)</f>
        <v>0</v>
      </c>
      <c r="Q886" t="str">
        <f>CHOOSE(WEEKDAY(datos_siembra[[#This Row],[Date]],2),"L","M","X","J","V","S","D")</f>
        <v>S</v>
      </c>
      <c r="R886">
        <f>WEEKNUM(datos_siembra[[#This Row],[Date]],2)-WEEKNUM(DATE(YEAR(datos_siembra[[#This Row],[Date]]),MONTH(datos_siembra[[#This Row],[Date]]),1))+1</f>
        <v>2</v>
      </c>
      <c r="S886">
        <f>MONTH(datos_siembra[[#This Row],[Date]])</f>
        <v>9</v>
      </c>
      <c r="T886" t="str" cm="1">
        <f t="array" ref="T886">_xlfn.IFS(AND(N886&lt;= 22, S886=9), "SOWING",AND(N886&lt;= 28, S886=9), "COVERAGE",AND(N886&lt;= 30, S886=9), "FLUSH",AND(N886&lt;= 11, S886=10), "FLUSH",AND(N886&lt;= 21, S886=10), "PRODUCTION")</f>
        <v>SOWING</v>
      </c>
      <c r="U886">
        <f>HOUR(datos_siembra[[#This Row],[Hour]])</f>
        <v>16</v>
      </c>
      <c r="V886" cm="1">
        <f t="array" ref="V886">_xlfn.IFS(AND(N886&lt;= 22, S886=9), N886-7,AND(N886&lt;= 28, S886=9), N886-25,AND(N886&lt;= 30, S886=9), N886-28,AND(N886&lt;= 11, S886=10), N886+2,AND(N886&lt;= 21, S886=10), N886-11)</f>
        <v>7</v>
      </c>
    </row>
    <row r="887" spans="1:22" x14ac:dyDescent="0.35">
      <c r="A887" s="4">
        <v>45549</v>
      </c>
      <c r="B887" s="5">
        <v>0.70626157407407408</v>
      </c>
      <c r="C887">
        <v>81.2</v>
      </c>
      <c r="D887">
        <v>78.599999999999994</v>
      </c>
      <c r="E887">
        <v>82</v>
      </c>
      <c r="F887">
        <v>80.400000000000006</v>
      </c>
      <c r="G887">
        <v>0</v>
      </c>
      <c r="H887">
        <v>0</v>
      </c>
      <c r="I887">
        <v>0</v>
      </c>
      <c r="J887">
        <v>0</v>
      </c>
      <c r="K887">
        <v>63.4</v>
      </c>
      <c r="L887">
        <v>61.8</v>
      </c>
      <c r="M887">
        <v>80.540000000000006</v>
      </c>
      <c r="N887">
        <v>14</v>
      </c>
      <c r="O887">
        <v>4</v>
      </c>
      <c r="P887">
        <f>MOD(DAY(datos_siembra[[#This Row],[Date]]),7)</f>
        <v>0</v>
      </c>
      <c r="Q887" t="str">
        <f>CHOOSE(WEEKDAY(datos_siembra[[#This Row],[Date]],2),"L","M","X","J","V","S","D")</f>
        <v>S</v>
      </c>
      <c r="R887">
        <f>WEEKNUM(datos_siembra[[#This Row],[Date]],2)-WEEKNUM(DATE(YEAR(datos_siembra[[#This Row],[Date]]),MONTH(datos_siembra[[#This Row],[Date]]),1))+1</f>
        <v>2</v>
      </c>
      <c r="S887">
        <f>MONTH(datos_siembra[[#This Row],[Date]])</f>
        <v>9</v>
      </c>
      <c r="T887" t="str" cm="1">
        <f t="array" ref="T887">_xlfn.IFS(AND(N887&lt;= 22, S887=9), "SOWING",AND(N887&lt;= 28, S887=9), "COVERAGE",AND(N887&lt;= 30, S887=9), "FLUSH",AND(N887&lt;= 11, S887=10), "FLUSH",AND(N887&lt;= 21, S887=10), "PRODUCTION")</f>
        <v>SOWING</v>
      </c>
      <c r="U887">
        <f>HOUR(datos_siembra[[#This Row],[Hour]])</f>
        <v>16</v>
      </c>
      <c r="V887" cm="1">
        <f t="array" ref="V887">_xlfn.IFS(AND(N887&lt;= 22, S887=9), N887-7,AND(N887&lt;= 28, S887=9), N887-25,AND(N887&lt;= 30, S887=9), N887-28,AND(N887&lt;= 11, S887=10), N887+2,AND(N887&lt;= 21, S887=10), N887-11)</f>
        <v>7</v>
      </c>
    </row>
    <row r="888" spans="1:22" x14ac:dyDescent="0.35">
      <c r="A888" s="4">
        <v>45549</v>
      </c>
      <c r="B888" s="5">
        <v>0.71321759259259254</v>
      </c>
      <c r="C888">
        <v>82</v>
      </c>
      <c r="D888">
        <v>78.599999999999994</v>
      </c>
      <c r="E888">
        <v>81.8</v>
      </c>
      <c r="F888">
        <v>80.400000000000006</v>
      </c>
      <c r="G888">
        <v>0</v>
      </c>
      <c r="H888">
        <v>0</v>
      </c>
      <c r="I888">
        <v>0</v>
      </c>
      <c r="J888">
        <v>0</v>
      </c>
      <c r="K888">
        <v>63</v>
      </c>
      <c r="L888">
        <v>61.5</v>
      </c>
      <c r="M888">
        <v>80.680000000000007</v>
      </c>
      <c r="N888">
        <v>14</v>
      </c>
      <c r="O888">
        <v>4</v>
      </c>
      <c r="P888">
        <f>MOD(DAY(datos_siembra[[#This Row],[Date]]),7)</f>
        <v>0</v>
      </c>
      <c r="Q888" t="str">
        <f>CHOOSE(WEEKDAY(datos_siembra[[#This Row],[Date]],2),"L","M","X","J","V","S","D")</f>
        <v>S</v>
      </c>
      <c r="R888">
        <f>WEEKNUM(datos_siembra[[#This Row],[Date]],2)-WEEKNUM(DATE(YEAR(datos_siembra[[#This Row],[Date]]),MONTH(datos_siembra[[#This Row],[Date]]),1))+1</f>
        <v>2</v>
      </c>
      <c r="S888">
        <f>MONTH(datos_siembra[[#This Row],[Date]])</f>
        <v>9</v>
      </c>
      <c r="T888" t="str" cm="1">
        <f t="array" ref="T888">_xlfn.IFS(AND(N888&lt;= 22, S888=9), "SOWING",AND(N888&lt;= 28, S888=9), "COVERAGE",AND(N888&lt;= 30, S888=9), "FLUSH",AND(N888&lt;= 11, S888=10), "FLUSH",AND(N888&lt;= 21, S888=10), "PRODUCTION")</f>
        <v>SOWING</v>
      </c>
      <c r="U888">
        <f>HOUR(datos_siembra[[#This Row],[Hour]])</f>
        <v>17</v>
      </c>
      <c r="V888" cm="1">
        <f t="array" ref="V888">_xlfn.IFS(AND(N888&lt;= 22, S888=9), N888-7,AND(N888&lt;= 28, S888=9), N888-25,AND(N888&lt;= 30, S888=9), N888-28,AND(N888&lt;= 11, S888=10), N888+2,AND(N888&lt;= 21, S888=10), N888-11)</f>
        <v>7</v>
      </c>
    </row>
    <row r="889" spans="1:22" x14ac:dyDescent="0.35">
      <c r="A889" s="4">
        <v>45549</v>
      </c>
      <c r="B889" s="5">
        <v>0.72016203703703707</v>
      </c>
      <c r="C889">
        <v>82.3</v>
      </c>
      <c r="D889">
        <v>78.5</v>
      </c>
      <c r="E889">
        <v>81.8</v>
      </c>
      <c r="F889">
        <v>80.400000000000006</v>
      </c>
      <c r="G889">
        <v>0</v>
      </c>
      <c r="H889">
        <v>0</v>
      </c>
      <c r="I889">
        <v>0</v>
      </c>
      <c r="J889">
        <v>0</v>
      </c>
      <c r="K889">
        <v>62.9</v>
      </c>
      <c r="L889">
        <v>61.2</v>
      </c>
      <c r="M889">
        <v>80.680000000000007</v>
      </c>
      <c r="N889">
        <v>14</v>
      </c>
      <c r="O889">
        <v>4</v>
      </c>
      <c r="P889">
        <f>MOD(DAY(datos_siembra[[#This Row],[Date]]),7)</f>
        <v>0</v>
      </c>
      <c r="Q889" t="str">
        <f>CHOOSE(WEEKDAY(datos_siembra[[#This Row],[Date]],2),"L","M","X","J","V","S","D")</f>
        <v>S</v>
      </c>
      <c r="R889">
        <f>WEEKNUM(datos_siembra[[#This Row],[Date]],2)-WEEKNUM(DATE(YEAR(datos_siembra[[#This Row],[Date]]),MONTH(datos_siembra[[#This Row],[Date]]),1))+1</f>
        <v>2</v>
      </c>
      <c r="S889">
        <f>MONTH(datos_siembra[[#This Row],[Date]])</f>
        <v>9</v>
      </c>
      <c r="T889" t="str" cm="1">
        <f t="array" ref="T889">_xlfn.IFS(AND(N889&lt;= 22, S889=9), "SOWING",AND(N889&lt;= 28, S889=9), "COVERAGE",AND(N889&lt;= 30, S889=9), "FLUSH",AND(N889&lt;= 11, S889=10), "FLUSH",AND(N889&lt;= 21, S889=10), "PRODUCTION")</f>
        <v>SOWING</v>
      </c>
      <c r="U889">
        <f>HOUR(datos_siembra[[#This Row],[Hour]])</f>
        <v>17</v>
      </c>
      <c r="V889" cm="1">
        <f t="array" ref="V889">_xlfn.IFS(AND(N889&lt;= 22, S889=9), N889-7,AND(N889&lt;= 28, S889=9), N889-25,AND(N889&lt;= 30, S889=9), N889-28,AND(N889&lt;= 11, S889=10), N889+2,AND(N889&lt;= 21, S889=10), N889-11)</f>
        <v>7</v>
      </c>
    </row>
    <row r="890" spans="1:22" x14ac:dyDescent="0.35">
      <c r="A890" s="4">
        <v>45549</v>
      </c>
      <c r="B890" s="5">
        <v>0.72710648148148149</v>
      </c>
      <c r="C890">
        <v>82.4</v>
      </c>
      <c r="D890">
        <v>78.5</v>
      </c>
      <c r="E890">
        <v>81.8</v>
      </c>
      <c r="F890">
        <v>80.3</v>
      </c>
      <c r="G890">
        <v>0</v>
      </c>
      <c r="H890">
        <v>0</v>
      </c>
      <c r="I890">
        <v>0</v>
      </c>
      <c r="J890">
        <v>0</v>
      </c>
      <c r="K890">
        <v>62.8</v>
      </c>
      <c r="L890">
        <v>61.1</v>
      </c>
      <c r="M890">
        <v>80.849999999999994</v>
      </c>
      <c r="N890">
        <v>14</v>
      </c>
      <c r="O890">
        <v>4</v>
      </c>
      <c r="P890">
        <f>MOD(DAY(datos_siembra[[#This Row],[Date]]),7)</f>
        <v>0</v>
      </c>
      <c r="Q890" t="str">
        <f>CHOOSE(WEEKDAY(datos_siembra[[#This Row],[Date]],2),"L","M","X","J","V","S","D")</f>
        <v>S</v>
      </c>
      <c r="R890">
        <f>WEEKNUM(datos_siembra[[#This Row],[Date]],2)-WEEKNUM(DATE(YEAR(datos_siembra[[#This Row],[Date]]),MONTH(datos_siembra[[#This Row],[Date]]),1))+1</f>
        <v>2</v>
      </c>
      <c r="S890">
        <f>MONTH(datos_siembra[[#This Row],[Date]])</f>
        <v>9</v>
      </c>
      <c r="T890" t="str" cm="1">
        <f t="array" ref="T890">_xlfn.IFS(AND(N890&lt;= 22, S890=9), "SOWING",AND(N890&lt;= 28, S890=9), "COVERAGE",AND(N890&lt;= 30, S890=9), "FLUSH",AND(N890&lt;= 11, S890=10), "FLUSH",AND(N890&lt;= 21, S890=10), "PRODUCTION")</f>
        <v>SOWING</v>
      </c>
      <c r="U890">
        <f>HOUR(datos_siembra[[#This Row],[Hour]])</f>
        <v>17</v>
      </c>
      <c r="V890" cm="1">
        <f t="array" ref="V890">_xlfn.IFS(AND(N890&lt;= 22, S890=9), N890-7,AND(N890&lt;= 28, S890=9), N890-25,AND(N890&lt;= 30, S890=9), N890-28,AND(N890&lt;= 11, S890=10), N890+2,AND(N890&lt;= 21, S890=10), N890-11)</f>
        <v>7</v>
      </c>
    </row>
    <row r="891" spans="1:22" x14ac:dyDescent="0.35">
      <c r="A891" s="4">
        <v>45549</v>
      </c>
      <c r="B891" s="5">
        <v>0.73405092592592591</v>
      </c>
      <c r="C891">
        <v>82.6</v>
      </c>
      <c r="D891">
        <v>78.599999999999994</v>
      </c>
      <c r="E891">
        <v>81.8</v>
      </c>
      <c r="F891">
        <v>80.3</v>
      </c>
      <c r="G891">
        <v>0</v>
      </c>
      <c r="H891">
        <v>0</v>
      </c>
      <c r="I891">
        <v>0</v>
      </c>
      <c r="J891">
        <v>0</v>
      </c>
      <c r="K891">
        <v>62.7</v>
      </c>
      <c r="L891">
        <v>61</v>
      </c>
      <c r="M891">
        <v>80.849999999999994</v>
      </c>
      <c r="N891">
        <v>14</v>
      </c>
      <c r="O891">
        <v>4</v>
      </c>
      <c r="P891">
        <f>MOD(DAY(datos_siembra[[#This Row],[Date]]),7)</f>
        <v>0</v>
      </c>
      <c r="Q891" t="str">
        <f>CHOOSE(WEEKDAY(datos_siembra[[#This Row],[Date]],2),"L","M","X","J","V","S","D")</f>
        <v>S</v>
      </c>
      <c r="R891">
        <f>WEEKNUM(datos_siembra[[#This Row],[Date]],2)-WEEKNUM(DATE(YEAR(datos_siembra[[#This Row],[Date]]),MONTH(datos_siembra[[#This Row],[Date]]),1))+1</f>
        <v>2</v>
      </c>
      <c r="S891">
        <f>MONTH(datos_siembra[[#This Row],[Date]])</f>
        <v>9</v>
      </c>
      <c r="T891" t="str" cm="1">
        <f t="array" ref="T891">_xlfn.IFS(AND(N891&lt;= 22, S891=9), "SOWING",AND(N891&lt;= 28, S891=9), "COVERAGE",AND(N891&lt;= 30, S891=9), "FLUSH",AND(N891&lt;= 11, S891=10), "FLUSH",AND(N891&lt;= 21, S891=10), "PRODUCTION")</f>
        <v>SOWING</v>
      </c>
      <c r="U891">
        <f>HOUR(datos_siembra[[#This Row],[Hour]])</f>
        <v>17</v>
      </c>
      <c r="V891" cm="1">
        <f t="array" ref="V891">_xlfn.IFS(AND(N891&lt;= 22, S891=9), N891-7,AND(N891&lt;= 28, S891=9), N891-25,AND(N891&lt;= 30, S891=9), N891-28,AND(N891&lt;= 11, S891=10), N891+2,AND(N891&lt;= 21, S891=10), N891-11)</f>
        <v>7</v>
      </c>
    </row>
    <row r="892" spans="1:22" x14ac:dyDescent="0.35">
      <c r="A892" s="4">
        <v>45549</v>
      </c>
      <c r="B892" s="5">
        <v>0.74100694444444448</v>
      </c>
      <c r="C892">
        <v>82.9</v>
      </c>
      <c r="D892">
        <v>78.5</v>
      </c>
      <c r="E892">
        <v>81.8</v>
      </c>
      <c r="F892">
        <v>80.400000000000006</v>
      </c>
      <c r="G892">
        <v>0</v>
      </c>
      <c r="H892">
        <v>0</v>
      </c>
      <c r="I892">
        <v>0</v>
      </c>
      <c r="J892">
        <v>0</v>
      </c>
      <c r="K892">
        <v>62.6</v>
      </c>
      <c r="L892">
        <v>60.9</v>
      </c>
      <c r="M892">
        <v>80.819999999999993</v>
      </c>
      <c r="N892">
        <v>14</v>
      </c>
      <c r="O892">
        <v>4</v>
      </c>
      <c r="P892">
        <f>MOD(DAY(datos_siembra[[#This Row],[Date]]),7)</f>
        <v>0</v>
      </c>
      <c r="Q892" t="str">
        <f>CHOOSE(WEEKDAY(datos_siembra[[#This Row],[Date]],2),"L","M","X","J","V","S","D")</f>
        <v>S</v>
      </c>
      <c r="R892">
        <f>WEEKNUM(datos_siembra[[#This Row],[Date]],2)-WEEKNUM(DATE(YEAR(datos_siembra[[#This Row],[Date]]),MONTH(datos_siembra[[#This Row],[Date]]),1))+1</f>
        <v>2</v>
      </c>
      <c r="S892">
        <f>MONTH(datos_siembra[[#This Row],[Date]])</f>
        <v>9</v>
      </c>
      <c r="T892" t="str" cm="1">
        <f t="array" ref="T892">_xlfn.IFS(AND(N892&lt;= 22, S892=9), "SOWING",AND(N892&lt;= 28, S892=9), "COVERAGE",AND(N892&lt;= 30, S892=9), "FLUSH",AND(N892&lt;= 11, S892=10), "FLUSH",AND(N892&lt;= 21, S892=10), "PRODUCTION")</f>
        <v>SOWING</v>
      </c>
      <c r="U892">
        <f>HOUR(datos_siembra[[#This Row],[Hour]])</f>
        <v>17</v>
      </c>
      <c r="V892" cm="1">
        <f t="array" ref="V892">_xlfn.IFS(AND(N892&lt;= 22, S892=9), N892-7,AND(N892&lt;= 28, S892=9), N892-25,AND(N892&lt;= 30, S892=9), N892-28,AND(N892&lt;= 11, S892=10), N892+2,AND(N892&lt;= 21, S892=10), N892-11)</f>
        <v>7</v>
      </c>
    </row>
    <row r="893" spans="1:22" x14ac:dyDescent="0.35">
      <c r="A893" s="4">
        <v>45549</v>
      </c>
      <c r="B893" s="5">
        <v>0.7479513888888889</v>
      </c>
      <c r="C893">
        <v>82.9</v>
      </c>
      <c r="D893">
        <v>78.5</v>
      </c>
      <c r="E893">
        <v>81.8</v>
      </c>
      <c r="F893">
        <v>80.099999999999994</v>
      </c>
      <c r="G893">
        <v>0</v>
      </c>
      <c r="H893">
        <v>0</v>
      </c>
      <c r="I893">
        <v>0</v>
      </c>
      <c r="J893">
        <v>0</v>
      </c>
      <c r="K893">
        <v>62.6</v>
      </c>
      <c r="L893">
        <v>60.8</v>
      </c>
      <c r="M893">
        <v>80.91</v>
      </c>
      <c r="N893">
        <v>14</v>
      </c>
      <c r="O893">
        <v>4</v>
      </c>
      <c r="P893">
        <f>MOD(DAY(datos_siembra[[#This Row],[Date]]),7)</f>
        <v>0</v>
      </c>
      <c r="Q893" t="str">
        <f>CHOOSE(WEEKDAY(datos_siembra[[#This Row],[Date]],2),"L","M","X","J","V","S","D")</f>
        <v>S</v>
      </c>
      <c r="R893">
        <f>WEEKNUM(datos_siembra[[#This Row],[Date]],2)-WEEKNUM(DATE(YEAR(datos_siembra[[#This Row],[Date]]),MONTH(datos_siembra[[#This Row],[Date]]),1))+1</f>
        <v>2</v>
      </c>
      <c r="S893">
        <f>MONTH(datos_siembra[[#This Row],[Date]])</f>
        <v>9</v>
      </c>
      <c r="T893" t="str" cm="1">
        <f t="array" ref="T893">_xlfn.IFS(AND(N893&lt;= 22, S893=9), "SOWING",AND(N893&lt;= 28, S893=9), "COVERAGE",AND(N893&lt;= 30, S893=9), "FLUSH",AND(N893&lt;= 11, S893=10), "FLUSH",AND(N893&lt;= 21, S893=10), "PRODUCTION")</f>
        <v>SOWING</v>
      </c>
      <c r="U893">
        <f>HOUR(datos_siembra[[#This Row],[Hour]])</f>
        <v>17</v>
      </c>
      <c r="V893" cm="1">
        <f t="array" ref="V893">_xlfn.IFS(AND(N893&lt;= 22, S893=9), N893-7,AND(N893&lt;= 28, S893=9), N893-25,AND(N893&lt;= 30, S893=9), N893-28,AND(N893&lt;= 11, S893=10), N893+2,AND(N893&lt;= 21, S893=10), N893-11)</f>
        <v>7</v>
      </c>
    </row>
    <row r="894" spans="1:22" x14ac:dyDescent="0.35">
      <c r="A894" s="4">
        <v>45549</v>
      </c>
      <c r="B894" s="5">
        <v>0.75489583333333332</v>
      </c>
      <c r="C894">
        <v>82.9</v>
      </c>
      <c r="D894">
        <v>78.400000000000006</v>
      </c>
      <c r="E894">
        <v>81.7</v>
      </c>
      <c r="F894">
        <v>80.400000000000006</v>
      </c>
      <c r="G894">
        <v>0</v>
      </c>
      <c r="H894">
        <v>0</v>
      </c>
      <c r="I894">
        <v>0</v>
      </c>
      <c r="J894">
        <v>0</v>
      </c>
      <c r="K894">
        <v>63.3</v>
      </c>
      <c r="L894">
        <v>61.8</v>
      </c>
      <c r="M894">
        <v>80.819999999999993</v>
      </c>
      <c r="N894">
        <v>14</v>
      </c>
      <c r="O894">
        <v>4</v>
      </c>
      <c r="P894">
        <f>MOD(DAY(datos_siembra[[#This Row],[Date]]),7)</f>
        <v>0</v>
      </c>
      <c r="Q894" t="str">
        <f>CHOOSE(WEEKDAY(datos_siembra[[#This Row],[Date]],2),"L","M","X","J","V","S","D")</f>
        <v>S</v>
      </c>
      <c r="R894">
        <f>WEEKNUM(datos_siembra[[#This Row],[Date]],2)-WEEKNUM(DATE(YEAR(datos_siembra[[#This Row],[Date]]),MONTH(datos_siembra[[#This Row],[Date]]),1))+1</f>
        <v>2</v>
      </c>
      <c r="S894">
        <f>MONTH(datos_siembra[[#This Row],[Date]])</f>
        <v>9</v>
      </c>
      <c r="T894" t="str" cm="1">
        <f t="array" ref="T894">_xlfn.IFS(AND(N894&lt;= 22, S894=9), "SOWING",AND(N894&lt;= 28, S894=9), "COVERAGE",AND(N894&lt;= 30, S894=9), "FLUSH",AND(N894&lt;= 11, S894=10), "FLUSH",AND(N894&lt;= 21, S894=10), "PRODUCTION")</f>
        <v>SOWING</v>
      </c>
      <c r="U894">
        <f>HOUR(datos_siembra[[#This Row],[Hour]])</f>
        <v>18</v>
      </c>
      <c r="V894" cm="1">
        <f t="array" ref="V894">_xlfn.IFS(AND(N894&lt;= 22, S894=9), N894-7,AND(N894&lt;= 28, S894=9), N894-25,AND(N894&lt;= 30, S894=9), N894-28,AND(N894&lt;= 11, S894=10), N894+2,AND(N894&lt;= 21, S894=10), N894-11)</f>
        <v>7</v>
      </c>
    </row>
    <row r="895" spans="1:22" x14ac:dyDescent="0.35">
      <c r="A895" s="4">
        <v>45549</v>
      </c>
      <c r="B895" s="5">
        <v>0.76185185185185189</v>
      </c>
      <c r="C895">
        <v>83</v>
      </c>
      <c r="D895">
        <v>78.400000000000006</v>
      </c>
      <c r="E895">
        <v>81.7</v>
      </c>
      <c r="F895">
        <v>80.3</v>
      </c>
      <c r="G895">
        <v>0</v>
      </c>
      <c r="H895">
        <v>0</v>
      </c>
      <c r="I895">
        <v>0</v>
      </c>
      <c r="J895">
        <v>0</v>
      </c>
      <c r="K895">
        <v>63.6</v>
      </c>
      <c r="L895">
        <v>62.3</v>
      </c>
      <c r="M895">
        <v>80.819999999999993</v>
      </c>
      <c r="N895">
        <v>14</v>
      </c>
      <c r="O895">
        <v>4</v>
      </c>
      <c r="P895">
        <f>MOD(DAY(datos_siembra[[#This Row],[Date]]),7)</f>
        <v>0</v>
      </c>
      <c r="Q895" t="str">
        <f>CHOOSE(WEEKDAY(datos_siembra[[#This Row],[Date]],2),"L","M","X","J","V","S","D")</f>
        <v>S</v>
      </c>
      <c r="R895">
        <f>WEEKNUM(datos_siembra[[#This Row],[Date]],2)-WEEKNUM(DATE(YEAR(datos_siembra[[#This Row],[Date]]),MONTH(datos_siembra[[#This Row],[Date]]),1))+1</f>
        <v>2</v>
      </c>
      <c r="S895">
        <f>MONTH(datos_siembra[[#This Row],[Date]])</f>
        <v>9</v>
      </c>
      <c r="T895" t="str" cm="1">
        <f t="array" ref="T895">_xlfn.IFS(AND(N895&lt;= 22, S895=9), "SOWING",AND(N895&lt;= 28, S895=9), "COVERAGE",AND(N895&lt;= 30, S895=9), "FLUSH",AND(N895&lt;= 11, S895=10), "FLUSH",AND(N895&lt;= 21, S895=10), "PRODUCTION")</f>
        <v>SOWING</v>
      </c>
      <c r="U895">
        <f>HOUR(datos_siembra[[#This Row],[Hour]])</f>
        <v>18</v>
      </c>
      <c r="V895" cm="1">
        <f t="array" ref="V895">_xlfn.IFS(AND(N895&lt;= 22, S895=9), N895-7,AND(N895&lt;= 28, S895=9), N895-25,AND(N895&lt;= 30, S895=9), N895-28,AND(N895&lt;= 11, S895=10), N895+2,AND(N895&lt;= 21, S895=10), N895-11)</f>
        <v>7</v>
      </c>
    </row>
    <row r="896" spans="1:22" x14ac:dyDescent="0.35">
      <c r="A896" s="4">
        <v>45549</v>
      </c>
      <c r="B896" s="5">
        <v>0.76879629629629631</v>
      </c>
      <c r="C896">
        <v>82.9</v>
      </c>
      <c r="D896">
        <v>78.2</v>
      </c>
      <c r="E896">
        <v>82</v>
      </c>
      <c r="F896">
        <v>80.099999999999994</v>
      </c>
      <c r="G896">
        <v>0</v>
      </c>
      <c r="H896">
        <v>0</v>
      </c>
      <c r="I896">
        <v>0</v>
      </c>
      <c r="J896">
        <v>0</v>
      </c>
      <c r="K896">
        <v>62.9</v>
      </c>
      <c r="L896">
        <v>61.2</v>
      </c>
      <c r="M896">
        <v>80.77</v>
      </c>
      <c r="N896">
        <v>14</v>
      </c>
      <c r="O896">
        <v>4</v>
      </c>
      <c r="P896">
        <f>MOD(DAY(datos_siembra[[#This Row],[Date]]),7)</f>
        <v>0</v>
      </c>
      <c r="Q896" t="str">
        <f>CHOOSE(WEEKDAY(datos_siembra[[#This Row],[Date]],2),"L","M","X","J","V","S","D")</f>
        <v>S</v>
      </c>
      <c r="R896">
        <f>WEEKNUM(datos_siembra[[#This Row],[Date]],2)-WEEKNUM(DATE(YEAR(datos_siembra[[#This Row],[Date]]),MONTH(datos_siembra[[#This Row],[Date]]),1))+1</f>
        <v>2</v>
      </c>
      <c r="S896">
        <f>MONTH(datos_siembra[[#This Row],[Date]])</f>
        <v>9</v>
      </c>
      <c r="T896" t="str" cm="1">
        <f t="array" ref="T896">_xlfn.IFS(AND(N896&lt;= 22, S896=9), "SOWING",AND(N896&lt;= 28, S896=9), "COVERAGE",AND(N896&lt;= 30, S896=9), "FLUSH",AND(N896&lt;= 11, S896=10), "FLUSH",AND(N896&lt;= 21, S896=10), "PRODUCTION")</f>
        <v>SOWING</v>
      </c>
      <c r="U896">
        <f>HOUR(datos_siembra[[#This Row],[Hour]])</f>
        <v>18</v>
      </c>
      <c r="V896" cm="1">
        <f t="array" ref="V896">_xlfn.IFS(AND(N896&lt;= 22, S896=9), N896-7,AND(N896&lt;= 28, S896=9), N896-25,AND(N896&lt;= 30, S896=9), N896-28,AND(N896&lt;= 11, S896=10), N896+2,AND(N896&lt;= 21, S896=10), N896-11)</f>
        <v>7</v>
      </c>
    </row>
    <row r="897" spans="1:22" x14ac:dyDescent="0.35">
      <c r="A897" s="4">
        <v>45549</v>
      </c>
      <c r="B897" s="5">
        <v>0.77574074074074073</v>
      </c>
      <c r="C897">
        <v>83</v>
      </c>
      <c r="D897">
        <v>78.5</v>
      </c>
      <c r="E897">
        <v>81.8</v>
      </c>
      <c r="F897">
        <v>80.099999999999994</v>
      </c>
      <c r="G897">
        <v>0</v>
      </c>
      <c r="H897">
        <v>0</v>
      </c>
      <c r="I897">
        <v>0</v>
      </c>
      <c r="J897">
        <v>0</v>
      </c>
      <c r="K897">
        <v>62.5</v>
      </c>
      <c r="L897">
        <v>60.7</v>
      </c>
      <c r="M897">
        <v>80.739999999999995</v>
      </c>
      <c r="N897">
        <v>14</v>
      </c>
      <c r="O897">
        <v>4</v>
      </c>
      <c r="P897">
        <f>MOD(DAY(datos_siembra[[#This Row],[Date]]),7)</f>
        <v>0</v>
      </c>
      <c r="Q897" t="str">
        <f>CHOOSE(WEEKDAY(datos_siembra[[#This Row],[Date]],2),"L","M","X","J","V","S","D")</f>
        <v>S</v>
      </c>
      <c r="R897">
        <f>WEEKNUM(datos_siembra[[#This Row],[Date]],2)-WEEKNUM(DATE(YEAR(datos_siembra[[#This Row],[Date]]),MONTH(datos_siembra[[#This Row],[Date]]),1))+1</f>
        <v>2</v>
      </c>
      <c r="S897">
        <f>MONTH(datos_siembra[[#This Row],[Date]])</f>
        <v>9</v>
      </c>
      <c r="T897" t="str" cm="1">
        <f t="array" ref="T897">_xlfn.IFS(AND(N897&lt;= 22, S897=9), "SOWING",AND(N897&lt;= 28, S897=9), "COVERAGE",AND(N897&lt;= 30, S897=9), "FLUSH",AND(N897&lt;= 11, S897=10), "FLUSH",AND(N897&lt;= 21, S897=10), "PRODUCTION")</f>
        <v>SOWING</v>
      </c>
      <c r="U897">
        <f>HOUR(datos_siembra[[#This Row],[Hour]])</f>
        <v>18</v>
      </c>
      <c r="V897" cm="1">
        <f t="array" ref="V897">_xlfn.IFS(AND(N897&lt;= 22, S897=9), N897-7,AND(N897&lt;= 28, S897=9), N897-25,AND(N897&lt;= 30, S897=9), N897-28,AND(N897&lt;= 11, S897=10), N897+2,AND(N897&lt;= 21, S897=10), N897-11)</f>
        <v>7</v>
      </c>
    </row>
    <row r="898" spans="1:22" x14ac:dyDescent="0.35">
      <c r="A898" s="4">
        <v>45549</v>
      </c>
      <c r="B898" s="5">
        <v>0.78268518518518515</v>
      </c>
      <c r="C898">
        <v>82.9</v>
      </c>
      <c r="D898">
        <v>78.2</v>
      </c>
      <c r="E898">
        <v>81.599999999999994</v>
      </c>
      <c r="F898">
        <v>80.099999999999994</v>
      </c>
      <c r="G898">
        <v>0</v>
      </c>
      <c r="H898">
        <v>0</v>
      </c>
      <c r="I898">
        <v>0</v>
      </c>
      <c r="J898">
        <v>0</v>
      </c>
      <c r="K898">
        <v>62.4</v>
      </c>
      <c r="L898">
        <v>60.6</v>
      </c>
      <c r="M898">
        <v>80.77</v>
      </c>
      <c r="N898">
        <v>14</v>
      </c>
      <c r="O898">
        <v>4</v>
      </c>
      <c r="P898">
        <f>MOD(DAY(datos_siembra[[#This Row],[Date]]),7)</f>
        <v>0</v>
      </c>
      <c r="Q898" t="str">
        <f>CHOOSE(WEEKDAY(datos_siembra[[#This Row],[Date]],2),"L","M","X","J","V","S","D")</f>
        <v>S</v>
      </c>
      <c r="R898">
        <f>WEEKNUM(datos_siembra[[#This Row],[Date]],2)-WEEKNUM(DATE(YEAR(datos_siembra[[#This Row],[Date]]),MONTH(datos_siembra[[#This Row],[Date]]),1))+1</f>
        <v>2</v>
      </c>
      <c r="S898">
        <f>MONTH(datos_siembra[[#This Row],[Date]])</f>
        <v>9</v>
      </c>
      <c r="T898" t="str" cm="1">
        <f t="array" ref="T898">_xlfn.IFS(AND(N898&lt;= 22, S898=9), "SOWING",AND(N898&lt;= 28, S898=9), "COVERAGE",AND(N898&lt;= 30, S898=9), "FLUSH",AND(N898&lt;= 11, S898=10), "FLUSH",AND(N898&lt;= 21, S898=10), "PRODUCTION")</f>
        <v>SOWING</v>
      </c>
      <c r="U898">
        <f>HOUR(datos_siembra[[#This Row],[Hour]])</f>
        <v>18</v>
      </c>
      <c r="V898" cm="1">
        <f t="array" ref="V898">_xlfn.IFS(AND(N898&lt;= 22, S898=9), N898-7,AND(N898&lt;= 28, S898=9), N898-25,AND(N898&lt;= 30, S898=9), N898-28,AND(N898&lt;= 11, S898=10), N898+2,AND(N898&lt;= 21, S898=10), N898-11)</f>
        <v>7</v>
      </c>
    </row>
    <row r="899" spans="1:22" x14ac:dyDescent="0.35">
      <c r="A899" s="4">
        <v>45549</v>
      </c>
      <c r="B899" s="5">
        <v>0.78964120370370372</v>
      </c>
      <c r="C899">
        <v>82.9</v>
      </c>
      <c r="D899">
        <v>78.2</v>
      </c>
      <c r="E899">
        <v>81.599999999999994</v>
      </c>
      <c r="F899">
        <v>80.099999999999994</v>
      </c>
      <c r="G899">
        <v>0</v>
      </c>
      <c r="H899">
        <v>0</v>
      </c>
      <c r="I899">
        <v>0</v>
      </c>
      <c r="J899">
        <v>0</v>
      </c>
      <c r="K899">
        <v>62.2</v>
      </c>
      <c r="L899">
        <v>60.5</v>
      </c>
      <c r="M899">
        <v>80.77</v>
      </c>
      <c r="N899">
        <v>14</v>
      </c>
      <c r="O899">
        <v>4</v>
      </c>
      <c r="P899">
        <f>MOD(DAY(datos_siembra[[#This Row],[Date]]),7)</f>
        <v>0</v>
      </c>
      <c r="Q899" t="str">
        <f>CHOOSE(WEEKDAY(datos_siembra[[#This Row],[Date]],2),"L","M","X","J","V","S","D")</f>
        <v>S</v>
      </c>
      <c r="R899">
        <f>WEEKNUM(datos_siembra[[#This Row],[Date]],2)-WEEKNUM(DATE(YEAR(datos_siembra[[#This Row],[Date]]),MONTH(datos_siembra[[#This Row],[Date]]),1))+1</f>
        <v>2</v>
      </c>
      <c r="S899">
        <f>MONTH(datos_siembra[[#This Row],[Date]])</f>
        <v>9</v>
      </c>
      <c r="T899" t="str" cm="1">
        <f t="array" ref="T899">_xlfn.IFS(AND(N899&lt;= 22, S899=9), "SOWING",AND(N899&lt;= 28, S899=9), "COVERAGE",AND(N899&lt;= 30, S899=9), "FLUSH",AND(N899&lt;= 11, S899=10), "FLUSH",AND(N899&lt;= 21, S899=10), "PRODUCTION")</f>
        <v>SOWING</v>
      </c>
      <c r="U899">
        <f>HOUR(datos_siembra[[#This Row],[Hour]])</f>
        <v>18</v>
      </c>
      <c r="V899" cm="1">
        <f t="array" ref="V899">_xlfn.IFS(AND(N899&lt;= 22, S899=9), N899-7,AND(N899&lt;= 28, S899=9), N899-25,AND(N899&lt;= 30, S899=9), N899-28,AND(N899&lt;= 11, S899=10), N899+2,AND(N899&lt;= 21, S899=10), N899-11)</f>
        <v>7</v>
      </c>
    </row>
    <row r="900" spans="1:22" x14ac:dyDescent="0.35">
      <c r="A900" s="4">
        <v>45549</v>
      </c>
      <c r="B900" s="5">
        <v>0.79658564814814814</v>
      </c>
      <c r="C900">
        <v>82.6</v>
      </c>
      <c r="D900">
        <v>78.2</v>
      </c>
      <c r="E900">
        <v>81.7</v>
      </c>
      <c r="F900">
        <v>79.900000000000006</v>
      </c>
      <c r="G900">
        <v>0</v>
      </c>
      <c r="H900">
        <v>0</v>
      </c>
      <c r="I900">
        <v>0</v>
      </c>
      <c r="J900">
        <v>0</v>
      </c>
      <c r="K900">
        <v>62</v>
      </c>
      <c r="L900">
        <v>60.2</v>
      </c>
      <c r="M900">
        <v>80.739999999999995</v>
      </c>
      <c r="N900">
        <v>14</v>
      </c>
      <c r="O900">
        <v>4</v>
      </c>
      <c r="P900">
        <f>MOD(DAY(datos_siembra[[#This Row],[Date]]),7)</f>
        <v>0</v>
      </c>
      <c r="Q900" t="str">
        <f>CHOOSE(WEEKDAY(datos_siembra[[#This Row],[Date]],2),"L","M","X","J","V","S","D")</f>
        <v>S</v>
      </c>
      <c r="R900">
        <f>WEEKNUM(datos_siembra[[#This Row],[Date]],2)-WEEKNUM(DATE(YEAR(datos_siembra[[#This Row],[Date]]),MONTH(datos_siembra[[#This Row],[Date]]),1))+1</f>
        <v>2</v>
      </c>
      <c r="S900">
        <f>MONTH(datos_siembra[[#This Row],[Date]])</f>
        <v>9</v>
      </c>
      <c r="T900" t="str" cm="1">
        <f t="array" ref="T900">_xlfn.IFS(AND(N900&lt;= 22, S900=9), "SOWING",AND(N900&lt;= 28, S900=9), "COVERAGE",AND(N900&lt;= 30, S900=9), "FLUSH",AND(N900&lt;= 11, S900=10), "FLUSH",AND(N900&lt;= 21, S900=10), "PRODUCTION")</f>
        <v>SOWING</v>
      </c>
      <c r="U900">
        <f>HOUR(datos_siembra[[#This Row],[Hour]])</f>
        <v>19</v>
      </c>
      <c r="V900" cm="1">
        <f t="array" ref="V900">_xlfn.IFS(AND(N900&lt;= 22, S900=9), N900-7,AND(N900&lt;= 28, S900=9), N900-25,AND(N900&lt;= 30, S900=9), N900-28,AND(N900&lt;= 11, S900=10), N900+2,AND(N900&lt;= 21, S900=10), N900-11)</f>
        <v>7</v>
      </c>
    </row>
    <row r="901" spans="1:22" x14ac:dyDescent="0.35">
      <c r="A901" s="4">
        <v>45549</v>
      </c>
      <c r="B901" s="5">
        <v>0.80353009259259256</v>
      </c>
      <c r="C901">
        <v>82.7</v>
      </c>
      <c r="D901">
        <v>78.2</v>
      </c>
      <c r="E901">
        <v>81.7</v>
      </c>
      <c r="F901">
        <v>80</v>
      </c>
      <c r="G901">
        <v>0</v>
      </c>
      <c r="H901">
        <v>0</v>
      </c>
      <c r="I901">
        <v>0</v>
      </c>
      <c r="J901">
        <v>0</v>
      </c>
      <c r="K901">
        <v>62</v>
      </c>
      <c r="L901">
        <v>60.1</v>
      </c>
      <c r="M901">
        <v>80.680000000000007</v>
      </c>
      <c r="N901">
        <v>14</v>
      </c>
      <c r="O901">
        <v>4</v>
      </c>
      <c r="P901">
        <f>MOD(DAY(datos_siembra[[#This Row],[Date]]),7)</f>
        <v>0</v>
      </c>
      <c r="Q901" t="str">
        <f>CHOOSE(WEEKDAY(datos_siembra[[#This Row],[Date]],2),"L","M","X","J","V","S","D")</f>
        <v>S</v>
      </c>
      <c r="R901">
        <f>WEEKNUM(datos_siembra[[#This Row],[Date]],2)-WEEKNUM(DATE(YEAR(datos_siembra[[#This Row],[Date]]),MONTH(datos_siembra[[#This Row],[Date]]),1))+1</f>
        <v>2</v>
      </c>
      <c r="S901">
        <f>MONTH(datos_siembra[[#This Row],[Date]])</f>
        <v>9</v>
      </c>
      <c r="T901" t="str" cm="1">
        <f t="array" ref="T901">_xlfn.IFS(AND(N901&lt;= 22, S901=9), "SOWING",AND(N901&lt;= 28, S901=9), "COVERAGE",AND(N901&lt;= 30, S901=9), "FLUSH",AND(N901&lt;= 11, S901=10), "FLUSH",AND(N901&lt;= 21, S901=10), "PRODUCTION")</f>
        <v>SOWING</v>
      </c>
      <c r="U901">
        <f>HOUR(datos_siembra[[#This Row],[Hour]])</f>
        <v>19</v>
      </c>
      <c r="V901" cm="1">
        <f t="array" ref="V901">_xlfn.IFS(AND(N901&lt;= 22, S901=9), N901-7,AND(N901&lt;= 28, S901=9), N901-25,AND(N901&lt;= 30, S901=9), N901-28,AND(N901&lt;= 11, S901=10), N901+2,AND(N901&lt;= 21, S901=10), N901-11)</f>
        <v>7</v>
      </c>
    </row>
    <row r="902" spans="1:22" x14ac:dyDescent="0.35">
      <c r="A902" s="4">
        <v>45549</v>
      </c>
      <c r="B902" s="5">
        <v>0.81048611111111113</v>
      </c>
      <c r="C902">
        <v>82.6</v>
      </c>
      <c r="D902">
        <v>78.2</v>
      </c>
      <c r="E902">
        <v>81.599999999999994</v>
      </c>
      <c r="F902">
        <v>80</v>
      </c>
      <c r="G902">
        <v>0</v>
      </c>
      <c r="H902">
        <v>0</v>
      </c>
      <c r="I902">
        <v>0</v>
      </c>
      <c r="J902">
        <v>0</v>
      </c>
      <c r="K902">
        <v>61.8</v>
      </c>
      <c r="L902">
        <v>60.1</v>
      </c>
      <c r="M902">
        <v>80.680000000000007</v>
      </c>
      <c r="N902">
        <v>14</v>
      </c>
      <c r="O902">
        <v>4</v>
      </c>
      <c r="P902">
        <f>MOD(DAY(datos_siembra[[#This Row],[Date]]),7)</f>
        <v>0</v>
      </c>
      <c r="Q902" t="str">
        <f>CHOOSE(WEEKDAY(datos_siembra[[#This Row],[Date]],2),"L","M","X","J","V","S","D")</f>
        <v>S</v>
      </c>
      <c r="R902">
        <f>WEEKNUM(datos_siembra[[#This Row],[Date]],2)-WEEKNUM(DATE(YEAR(datos_siembra[[#This Row],[Date]]),MONTH(datos_siembra[[#This Row],[Date]]),1))+1</f>
        <v>2</v>
      </c>
      <c r="S902">
        <f>MONTH(datos_siembra[[#This Row],[Date]])</f>
        <v>9</v>
      </c>
      <c r="T902" t="str" cm="1">
        <f t="array" ref="T902">_xlfn.IFS(AND(N902&lt;= 22, S902=9), "SOWING",AND(N902&lt;= 28, S902=9), "COVERAGE",AND(N902&lt;= 30, S902=9), "FLUSH",AND(N902&lt;= 11, S902=10), "FLUSH",AND(N902&lt;= 21, S902=10), "PRODUCTION")</f>
        <v>SOWING</v>
      </c>
      <c r="U902">
        <f>HOUR(datos_siembra[[#This Row],[Hour]])</f>
        <v>19</v>
      </c>
      <c r="V902" cm="1">
        <f t="array" ref="V902">_xlfn.IFS(AND(N902&lt;= 22, S902=9), N902-7,AND(N902&lt;= 28, S902=9), N902-25,AND(N902&lt;= 30, S902=9), N902-28,AND(N902&lt;= 11, S902=10), N902+2,AND(N902&lt;= 21, S902=10), N902-11)</f>
        <v>7</v>
      </c>
    </row>
    <row r="903" spans="1:22" x14ac:dyDescent="0.35">
      <c r="A903" s="4">
        <v>45549</v>
      </c>
      <c r="B903" s="5">
        <v>0.81743055555555555</v>
      </c>
      <c r="C903">
        <v>82.6</v>
      </c>
      <c r="D903">
        <v>78.099999999999994</v>
      </c>
      <c r="E903">
        <v>81.599999999999994</v>
      </c>
      <c r="F903">
        <v>80.099999999999994</v>
      </c>
      <c r="G903">
        <v>0</v>
      </c>
      <c r="H903">
        <v>0</v>
      </c>
      <c r="I903">
        <v>0</v>
      </c>
      <c r="J903">
        <v>0</v>
      </c>
      <c r="K903">
        <v>61.8</v>
      </c>
      <c r="L903">
        <v>60</v>
      </c>
      <c r="M903">
        <v>80.63</v>
      </c>
      <c r="N903">
        <v>14</v>
      </c>
      <c r="O903">
        <v>4</v>
      </c>
      <c r="P903">
        <f>MOD(DAY(datos_siembra[[#This Row],[Date]]),7)</f>
        <v>0</v>
      </c>
      <c r="Q903" t="str">
        <f>CHOOSE(WEEKDAY(datos_siembra[[#This Row],[Date]],2),"L","M","X","J","V","S","D")</f>
        <v>S</v>
      </c>
      <c r="R903">
        <f>WEEKNUM(datos_siembra[[#This Row],[Date]],2)-WEEKNUM(DATE(YEAR(datos_siembra[[#This Row],[Date]]),MONTH(datos_siembra[[#This Row],[Date]]),1))+1</f>
        <v>2</v>
      </c>
      <c r="S903">
        <f>MONTH(datos_siembra[[#This Row],[Date]])</f>
        <v>9</v>
      </c>
      <c r="T903" t="str" cm="1">
        <f t="array" ref="T903">_xlfn.IFS(AND(N903&lt;= 22, S903=9), "SOWING",AND(N903&lt;= 28, S903=9), "COVERAGE",AND(N903&lt;= 30, S903=9), "FLUSH",AND(N903&lt;= 11, S903=10), "FLUSH",AND(N903&lt;= 21, S903=10), "PRODUCTION")</f>
        <v>SOWING</v>
      </c>
      <c r="U903">
        <f>HOUR(datos_siembra[[#This Row],[Hour]])</f>
        <v>19</v>
      </c>
      <c r="V903" cm="1">
        <f t="array" ref="V903">_xlfn.IFS(AND(N903&lt;= 22, S903=9), N903-7,AND(N903&lt;= 28, S903=9), N903-25,AND(N903&lt;= 30, S903=9), N903-28,AND(N903&lt;= 11, S903=10), N903+2,AND(N903&lt;= 21, S903=10), N903-11)</f>
        <v>7</v>
      </c>
    </row>
    <row r="904" spans="1:22" x14ac:dyDescent="0.35">
      <c r="A904" s="4">
        <v>45549</v>
      </c>
      <c r="B904" s="5">
        <v>0.82437499999999997</v>
      </c>
      <c r="C904">
        <v>82.6</v>
      </c>
      <c r="D904">
        <v>78</v>
      </c>
      <c r="E904">
        <v>81.599999999999994</v>
      </c>
      <c r="F904">
        <v>80.099999999999994</v>
      </c>
      <c r="G904">
        <v>0</v>
      </c>
      <c r="H904">
        <v>0</v>
      </c>
      <c r="I904">
        <v>0</v>
      </c>
      <c r="J904">
        <v>0</v>
      </c>
      <c r="K904">
        <v>61.7</v>
      </c>
      <c r="L904">
        <v>59.8</v>
      </c>
      <c r="M904">
        <v>80.569999999999993</v>
      </c>
      <c r="N904">
        <v>14</v>
      </c>
      <c r="O904">
        <v>4</v>
      </c>
      <c r="P904">
        <f>MOD(DAY(datos_siembra[[#This Row],[Date]]),7)</f>
        <v>0</v>
      </c>
      <c r="Q904" t="str">
        <f>CHOOSE(WEEKDAY(datos_siembra[[#This Row],[Date]],2),"L","M","X","J","V","S","D")</f>
        <v>S</v>
      </c>
      <c r="R904">
        <f>WEEKNUM(datos_siembra[[#This Row],[Date]],2)-WEEKNUM(DATE(YEAR(datos_siembra[[#This Row],[Date]]),MONTH(datos_siembra[[#This Row],[Date]]),1))+1</f>
        <v>2</v>
      </c>
      <c r="S904">
        <f>MONTH(datos_siembra[[#This Row],[Date]])</f>
        <v>9</v>
      </c>
      <c r="T904" t="str" cm="1">
        <f t="array" ref="T904">_xlfn.IFS(AND(N904&lt;= 22, S904=9), "SOWING",AND(N904&lt;= 28, S904=9), "COVERAGE",AND(N904&lt;= 30, S904=9), "FLUSH",AND(N904&lt;= 11, S904=10), "FLUSH",AND(N904&lt;= 21, S904=10), "PRODUCTION")</f>
        <v>SOWING</v>
      </c>
      <c r="U904">
        <f>HOUR(datos_siembra[[#This Row],[Hour]])</f>
        <v>19</v>
      </c>
      <c r="V904" cm="1">
        <f t="array" ref="V904">_xlfn.IFS(AND(N904&lt;= 22, S904=9), N904-7,AND(N904&lt;= 28, S904=9), N904-25,AND(N904&lt;= 30, S904=9), N904-28,AND(N904&lt;= 11, S904=10), N904+2,AND(N904&lt;= 21, S904=10), N904-11)</f>
        <v>7</v>
      </c>
    </row>
    <row r="905" spans="1:22" x14ac:dyDescent="0.35">
      <c r="A905" s="4">
        <v>45549</v>
      </c>
      <c r="B905" s="5">
        <v>0.8313194444444445</v>
      </c>
      <c r="C905">
        <v>82.6</v>
      </c>
      <c r="D905">
        <v>78</v>
      </c>
      <c r="E905">
        <v>81.599999999999994</v>
      </c>
      <c r="F905">
        <v>80.099999999999994</v>
      </c>
      <c r="G905">
        <v>0</v>
      </c>
      <c r="H905">
        <v>0</v>
      </c>
      <c r="I905">
        <v>0</v>
      </c>
      <c r="J905">
        <v>0</v>
      </c>
      <c r="K905">
        <v>61.6</v>
      </c>
      <c r="L905">
        <v>59.7</v>
      </c>
      <c r="M905">
        <v>80.63</v>
      </c>
      <c r="N905">
        <v>14</v>
      </c>
      <c r="O905">
        <v>4</v>
      </c>
      <c r="P905">
        <f>MOD(DAY(datos_siembra[[#This Row],[Date]]),7)</f>
        <v>0</v>
      </c>
      <c r="Q905" t="str">
        <f>CHOOSE(WEEKDAY(datos_siembra[[#This Row],[Date]],2),"L","M","X","J","V","S","D")</f>
        <v>S</v>
      </c>
      <c r="R905">
        <f>WEEKNUM(datos_siembra[[#This Row],[Date]],2)-WEEKNUM(DATE(YEAR(datos_siembra[[#This Row],[Date]]),MONTH(datos_siembra[[#This Row],[Date]]),1))+1</f>
        <v>2</v>
      </c>
      <c r="S905">
        <f>MONTH(datos_siembra[[#This Row],[Date]])</f>
        <v>9</v>
      </c>
      <c r="T905" t="str" cm="1">
        <f t="array" ref="T905">_xlfn.IFS(AND(N905&lt;= 22, S905=9), "SOWING",AND(N905&lt;= 28, S905=9), "COVERAGE",AND(N905&lt;= 30, S905=9), "FLUSH",AND(N905&lt;= 11, S905=10), "FLUSH",AND(N905&lt;= 21, S905=10), "PRODUCTION")</f>
        <v>SOWING</v>
      </c>
      <c r="U905">
        <f>HOUR(datos_siembra[[#This Row],[Hour]])</f>
        <v>19</v>
      </c>
      <c r="V905" cm="1">
        <f t="array" ref="V905">_xlfn.IFS(AND(N905&lt;= 22, S905=9), N905-7,AND(N905&lt;= 28, S905=9), N905-25,AND(N905&lt;= 30, S905=9), N905-28,AND(N905&lt;= 11, S905=10), N905+2,AND(N905&lt;= 21, S905=10), N905-11)</f>
        <v>7</v>
      </c>
    </row>
    <row r="906" spans="1:22" x14ac:dyDescent="0.35">
      <c r="A906" s="4">
        <v>45549</v>
      </c>
      <c r="B906" s="5">
        <v>0.83827546296296296</v>
      </c>
      <c r="C906">
        <v>82.7</v>
      </c>
      <c r="D906">
        <v>78</v>
      </c>
      <c r="E906">
        <v>81.5</v>
      </c>
      <c r="F906">
        <v>80</v>
      </c>
      <c r="G906">
        <v>0</v>
      </c>
      <c r="H906">
        <v>0</v>
      </c>
      <c r="I906">
        <v>0</v>
      </c>
      <c r="J906">
        <v>0</v>
      </c>
      <c r="K906">
        <v>61.5</v>
      </c>
      <c r="L906">
        <v>59.7</v>
      </c>
      <c r="M906">
        <v>80.52</v>
      </c>
      <c r="N906">
        <v>14</v>
      </c>
      <c r="O906">
        <v>4</v>
      </c>
      <c r="P906">
        <f>MOD(DAY(datos_siembra[[#This Row],[Date]]),7)</f>
        <v>0</v>
      </c>
      <c r="Q906" t="str">
        <f>CHOOSE(WEEKDAY(datos_siembra[[#This Row],[Date]],2),"L","M","X","J","V","S","D")</f>
        <v>S</v>
      </c>
      <c r="R906">
        <f>WEEKNUM(datos_siembra[[#This Row],[Date]],2)-WEEKNUM(DATE(YEAR(datos_siembra[[#This Row],[Date]]),MONTH(datos_siembra[[#This Row],[Date]]),1))+1</f>
        <v>2</v>
      </c>
      <c r="S906">
        <f>MONTH(datos_siembra[[#This Row],[Date]])</f>
        <v>9</v>
      </c>
      <c r="T906" t="str" cm="1">
        <f t="array" ref="T906">_xlfn.IFS(AND(N906&lt;= 22, S906=9), "SOWING",AND(N906&lt;= 28, S906=9), "COVERAGE",AND(N906&lt;= 30, S906=9), "FLUSH",AND(N906&lt;= 11, S906=10), "FLUSH",AND(N906&lt;= 21, S906=10), "PRODUCTION")</f>
        <v>SOWING</v>
      </c>
      <c r="U906">
        <f>HOUR(datos_siembra[[#This Row],[Hour]])</f>
        <v>20</v>
      </c>
      <c r="V906" cm="1">
        <f t="array" ref="V906">_xlfn.IFS(AND(N906&lt;= 22, S906=9), N906-7,AND(N906&lt;= 28, S906=9), N906-25,AND(N906&lt;= 30, S906=9), N906-28,AND(N906&lt;= 11, S906=10), N906+2,AND(N906&lt;= 21, S906=10), N906-11)</f>
        <v>7</v>
      </c>
    </row>
    <row r="907" spans="1:22" x14ac:dyDescent="0.35">
      <c r="A907" s="4">
        <v>45549</v>
      </c>
      <c r="B907" s="5">
        <v>0.84521990740740738</v>
      </c>
      <c r="C907">
        <v>82.5</v>
      </c>
      <c r="D907">
        <v>77.900000000000006</v>
      </c>
      <c r="E907">
        <v>81.7</v>
      </c>
      <c r="F907">
        <v>80</v>
      </c>
      <c r="G907">
        <v>0</v>
      </c>
      <c r="H907">
        <v>0</v>
      </c>
      <c r="I907">
        <v>0</v>
      </c>
      <c r="J907">
        <v>0</v>
      </c>
      <c r="K907">
        <v>61.5</v>
      </c>
      <c r="L907">
        <v>59.6</v>
      </c>
      <c r="M907">
        <v>80.489999999999995</v>
      </c>
      <c r="N907">
        <v>14</v>
      </c>
      <c r="O907">
        <v>4</v>
      </c>
      <c r="P907">
        <f>MOD(DAY(datos_siembra[[#This Row],[Date]]),7)</f>
        <v>0</v>
      </c>
      <c r="Q907" t="str">
        <f>CHOOSE(WEEKDAY(datos_siembra[[#This Row],[Date]],2),"L","M","X","J","V","S","D")</f>
        <v>S</v>
      </c>
      <c r="R907">
        <f>WEEKNUM(datos_siembra[[#This Row],[Date]],2)-WEEKNUM(DATE(YEAR(datos_siembra[[#This Row],[Date]]),MONTH(datos_siembra[[#This Row],[Date]]),1))+1</f>
        <v>2</v>
      </c>
      <c r="S907">
        <f>MONTH(datos_siembra[[#This Row],[Date]])</f>
        <v>9</v>
      </c>
      <c r="T907" t="str" cm="1">
        <f t="array" ref="T907">_xlfn.IFS(AND(N907&lt;= 22, S907=9), "SOWING",AND(N907&lt;= 28, S907=9), "COVERAGE",AND(N907&lt;= 30, S907=9), "FLUSH",AND(N907&lt;= 11, S907=10), "FLUSH",AND(N907&lt;= 21, S907=10), "PRODUCTION")</f>
        <v>SOWING</v>
      </c>
      <c r="U907">
        <f>HOUR(datos_siembra[[#This Row],[Hour]])</f>
        <v>20</v>
      </c>
      <c r="V907" cm="1">
        <f t="array" ref="V907">_xlfn.IFS(AND(N907&lt;= 22, S907=9), N907-7,AND(N907&lt;= 28, S907=9), N907-25,AND(N907&lt;= 30, S907=9), N907-28,AND(N907&lt;= 11, S907=10), N907+2,AND(N907&lt;= 21, S907=10), N907-11)</f>
        <v>7</v>
      </c>
    </row>
    <row r="908" spans="1:22" x14ac:dyDescent="0.35">
      <c r="A908" s="4">
        <v>45549</v>
      </c>
      <c r="B908" s="5">
        <v>0.8521643518518518</v>
      </c>
      <c r="C908">
        <v>82.5</v>
      </c>
      <c r="D908">
        <v>78</v>
      </c>
      <c r="E908">
        <v>81.5</v>
      </c>
      <c r="F908">
        <v>79.900000000000006</v>
      </c>
      <c r="G908">
        <v>0</v>
      </c>
      <c r="H908">
        <v>0</v>
      </c>
      <c r="I908">
        <v>0</v>
      </c>
      <c r="J908">
        <v>0</v>
      </c>
      <c r="K908">
        <v>61.5</v>
      </c>
      <c r="L908">
        <v>59.7</v>
      </c>
      <c r="M908">
        <v>80.52</v>
      </c>
      <c r="N908">
        <v>14</v>
      </c>
      <c r="O908">
        <v>4</v>
      </c>
      <c r="P908">
        <f>MOD(DAY(datos_siembra[[#This Row],[Date]]),7)</f>
        <v>0</v>
      </c>
      <c r="Q908" t="str">
        <f>CHOOSE(WEEKDAY(datos_siembra[[#This Row],[Date]],2),"L","M","X","J","V","S","D")</f>
        <v>S</v>
      </c>
      <c r="R908">
        <f>WEEKNUM(datos_siembra[[#This Row],[Date]],2)-WEEKNUM(DATE(YEAR(datos_siembra[[#This Row],[Date]]),MONTH(datos_siembra[[#This Row],[Date]]),1))+1</f>
        <v>2</v>
      </c>
      <c r="S908">
        <f>MONTH(datos_siembra[[#This Row],[Date]])</f>
        <v>9</v>
      </c>
      <c r="T908" t="str" cm="1">
        <f t="array" ref="T908">_xlfn.IFS(AND(N908&lt;= 22, S908=9), "SOWING",AND(N908&lt;= 28, S908=9), "COVERAGE",AND(N908&lt;= 30, S908=9), "FLUSH",AND(N908&lt;= 11, S908=10), "FLUSH",AND(N908&lt;= 21, S908=10), "PRODUCTION")</f>
        <v>SOWING</v>
      </c>
      <c r="U908">
        <f>HOUR(datos_siembra[[#This Row],[Hour]])</f>
        <v>20</v>
      </c>
      <c r="V908" cm="1">
        <f t="array" ref="V908">_xlfn.IFS(AND(N908&lt;= 22, S908=9), N908-7,AND(N908&lt;= 28, S908=9), N908-25,AND(N908&lt;= 30, S908=9), N908-28,AND(N908&lt;= 11, S908=10), N908+2,AND(N908&lt;= 21, S908=10), N908-11)</f>
        <v>7</v>
      </c>
    </row>
    <row r="909" spans="1:22" x14ac:dyDescent="0.35">
      <c r="A909" s="4">
        <v>45549</v>
      </c>
      <c r="B909" s="5">
        <v>0.85912037037037037</v>
      </c>
      <c r="C909">
        <v>82.5</v>
      </c>
      <c r="D909">
        <v>77.900000000000006</v>
      </c>
      <c r="E909">
        <v>81.599999999999994</v>
      </c>
      <c r="F909">
        <v>80</v>
      </c>
      <c r="G909">
        <v>0</v>
      </c>
      <c r="H909">
        <v>0</v>
      </c>
      <c r="I909">
        <v>0</v>
      </c>
      <c r="J909">
        <v>0</v>
      </c>
      <c r="K909">
        <v>61.5</v>
      </c>
      <c r="L909">
        <v>59.6</v>
      </c>
      <c r="M909">
        <v>80.37</v>
      </c>
      <c r="N909">
        <v>14</v>
      </c>
      <c r="O909">
        <v>4</v>
      </c>
      <c r="P909">
        <f>MOD(DAY(datos_siembra[[#This Row],[Date]]),7)</f>
        <v>0</v>
      </c>
      <c r="Q909" t="str">
        <f>CHOOSE(WEEKDAY(datos_siembra[[#This Row],[Date]],2),"L","M","X","J","V","S","D")</f>
        <v>S</v>
      </c>
      <c r="R909">
        <f>WEEKNUM(datos_siembra[[#This Row],[Date]],2)-WEEKNUM(DATE(YEAR(datos_siembra[[#This Row],[Date]]),MONTH(datos_siembra[[#This Row],[Date]]),1))+1</f>
        <v>2</v>
      </c>
      <c r="S909">
        <f>MONTH(datos_siembra[[#This Row],[Date]])</f>
        <v>9</v>
      </c>
      <c r="T909" t="str" cm="1">
        <f t="array" ref="T909">_xlfn.IFS(AND(N909&lt;= 22, S909=9), "SOWING",AND(N909&lt;= 28, S909=9), "COVERAGE",AND(N909&lt;= 30, S909=9), "FLUSH",AND(N909&lt;= 11, S909=10), "FLUSH",AND(N909&lt;= 21, S909=10), "PRODUCTION")</f>
        <v>SOWING</v>
      </c>
      <c r="U909">
        <f>HOUR(datos_siembra[[#This Row],[Hour]])</f>
        <v>20</v>
      </c>
      <c r="V909" cm="1">
        <f t="array" ref="V909">_xlfn.IFS(AND(N909&lt;= 22, S909=9), N909-7,AND(N909&lt;= 28, S909=9), N909-25,AND(N909&lt;= 30, S909=9), N909-28,AND(N909&lt;= 11, S909=10), N909+2,AND(N909&lt;= 21, S909=10), N909-11)</f>
        <v>7</v>
      </c>
    </row>
    <row r="910" spans="1:22" x14ac:dyDescent="0.35">
      <c r="A910" s="4">
        <v>45549</v>
      </c>
      <c r="B910" s="5">
        <v>0.86606481481481479</v>
      </c>
      <c r="C910">
        <v>82.4</v>
      </c>
      <c r="D910">
        <v>77.900000000000006</v>
      </c>
      <c r="E910">
        <v>81.599999999999994</v>
      </c>
      <c r="F910">
        <v>80</v>
      </c>
      <c r="G910">
        <v>0</v>
      </c>
      <c r="H910">
        <v>0</v>
      </c>
      <c r="I910">
        <v>0</v>
      </c>
      <c r="J910">
        <v>0</v>
      </c>
      <c r="K910">
        <v>61.4</v>
      </c>
      <c r="L910">
        <v>59.4</v>
      </c>
      <c r="M910">
        <v>80.459999999999994</v>
      </c>
      <c r="N910">
        <v>14</v>
      </c>
      <c r="O910">
        <v>4</v>
      </c>
      <c r="P910">
        <f>MOD(DAY(datos_siembra[[#This Row],[Date]]),7)</f>
        <v>0</v>
      </c>
      <c r="Q910" t="str">
        <f>CHOOSE(WEEKDAY(datos_siembra[[#This Row],[Date]],2),"L","M","X","J","V","S","D")</f>
        <v>S</v>
      </c>
      <c r="R910">
        <f>WEEKNUM(datos_siembra[[#This Row],[Date]],2)-WEEKNUM(DATE(YEAR(datos_siembra[[#This Row],[Date]]),MONTH(datos_siembra[[#This Row],[Date]]),1))+1</f>
        <v>2</v>
      </c>
      <c r="S910">
        <f>MONTH(datos_siembra[[#This Row],[Date]])</f>
        <v>9</v>
      </c>
      <c r="T910" t="str" cm="1">
        <f t="array" ref="T910">_xlfn.IFS(AND(N910&lt;= 22, S910=9), "SOWING",AND(N910&lt;= 28, S910=9), "COVERAGE",AND(N910&lt;= 30, S910=9), "FLUSH",AND(N910&lt;= 11, S910=10), "FLUSH",AND(N910&lt;= 21, S910=10), "PRODUCTION")</f>
        <v>SOWING</v>
      </c>
      <c r="U910">
        <f>HOUR(datos_siembra[[#This Row],[Hour]])</f>
        <v>20</v>
      </c>
      <c r="V910" cm="1">
        <f t="array" ref="V910">_xlfn.IFS(AND(N910&lt;= 22, S910=9), N910-7,AND(N910&lt;= 28, S910=9), N910-25,AND(N910&lt;= 30, S910=9), N910-28,AND(N910&lt;= 11, S910=10), N910+2,AND(N910&lt;= 21, S910=10), N910-11)</f>
        <v>7</v>
      </c>
    </row>
    <row r="911" spans="1:22" x14ac:dyDescent="0.35">
      <c r="A911" s="4">
        <v>45549</v>
      </c>
      <c r="B911" s="5">
        <v>0.87300925925925921</v>
      </c>
      <c r="C911">
        <v>82.6</v>
      </c>
      <c r="D911">
        <v>77.900000000000006</v>
      </c>
      <c r="E911">
        <v>81.3</v>
      </c>
      <c r="F911">
        <v>79.900000000000006</v>
      </c>
      <c r="G911">
        <v>0</v>
      </c>
      <c r="H911">
        <v>0</v>
      </c>
      <c r="I911">
        <v>0</v>
      </c>
      <c r="J911">
        <v>0</v>
      </c>
      <c r="K911">
        <v>61.2</v>
      </c>
      <c r="L911">
        <v>59.4</v>
      </c>
      <c r="M911">
        <v>80.400000000000006</v>
      </c>
      <c r="N911">
        <v>14</v>
      </c>
      <c r="O911">
        <v>4</v>
      </c>
      <c r="P911">
        <f>MOD(DAY(datos_siembra[[#This Row],[Date]]),7)</f>
        <v>0</v>
      </c>
      <c r="Q911" t="str">
        <f>CHOOSE(WEEKDAY(datos_siembra[[#This Row],[Date]],2),"L","M","X","J","V","S","D")</f>
        <v>S</v>
      </c>
      <c r="R911">
        <f>WEEKNUM(datos_siembra[[#This Row],[Date]],2)-WEEKNUM(DATE(YEAR(datos_siembra[[#This Row],[Date]]),MONTH(datos_siembra[[#This Row],[Date]]),1))+1</f>
        <v>2</v>
      </c>
      <c r="S911">
        <f>MONTH(datos_siembra[[#This Row],[Date]])</f>
        <v>9</v>
      </c>
      <c r="T911" t="str" cm="1">
        <f t="array" ref="T911">_xlfn.IFS(AND(N911&lt;= 22, S911=9), "SOWING",AND(N911&lt;= 28, S911=9), "COVERAGE",AND(N911&lt;= 30, S911=9), "FLUSH",AND(N911&lt;= 11, S911=10), "FLUSH",AND(N911&lt;= 21, S911=10), "PRODUCTION")</f>
        <v>SOWING</v>
      </c>
      <c r="U911">
        <f>HOUR(datos_siembra[[#This Row],[Hour]])</f>
        <v>20</v>
      </c>
      <c r="V911" cm="1">
        <f t="array" ref="V911">_xlfn.IFS(AND(N911&lt;= 22, S911=9), N911-7,AND(N911&lt;= 28, S911=9), N911-25,AND(N911&lt;= 30, S911=9), N911-28,AND(N911&lt;= 11, S911=10), N911+2,AND(N911&lt;= 21, S911=10), N911-11)</f>
        <v>7</v>
      </c>
    </row>
    <row r="912" spans="1:22" x14ac:dyDescent="0.35">
      <c r="A912" s="4">
        <v>45549</v>
      </c>
      <c r="B912" s="5">
        <v>0.87995370370370374</v>
      </c>
      <c r="C912">
        <v>82.5</v>
      </c>
      <c r="D912">
        <v>77.8</v>
      </c>
      <c r="E912">
        <v>81.3</v>
      </c>
      <c r="F912">
        <v>79.900000000000006</v>
      </c>
      <c r="G912">
        <v>0</v>
      </c>
      <c r="H912">
        <v>0</v>
      </c>
      <c r="I912">
        <v>0</v>
      </c>
      <c r="J912">
        <v>0</v>
      </c>
      <c r="K912">
        <v>61.1</v>
      </c>
      <c r="L912">
        <v>59.4</v>
      </c>
      <c r="M912">
        <v>80.430000000000007</v>
      </c>
      <c r="N912">
        <v>14</v>
      </c>
      <c r="O912">
        <v>4</v>
      </c>
      <c r="P912">
        <f>MOD(DAY(datos_siembra[[#This Row],[Date]]),7)</f>
        <v>0</v>
      </c>
      <c r="Q912" t="str">
        <f>CHOOSE(WEEKDAY(datos_siembra[[#This Row],[Date]],2),"L","M","X","J","V","S","D")</f>
        <v>S</v>
      </c>
      <c r="R912">
        <f>WEEKNUM(datos_siembra[[#This Row],[Date]],2)-WEEKNUM(DATE(YEAR(datos_siembra[[#This Row],[Date]]),MONTH(datos_siembra[[#This Row],[Date]]),1))+1</f>
        <v>2</v>
      </c>
      <c r="S912">
        <f>MONTH(datos_siembra[[#This Row],[Date]])</f>
        <v>9</v>
      </c>
      <c r="T912" t="str" cm="1">
        <f t="array" ref="T912">_xlfn.IFS(AND(N912&lt;= 22, S912=9), "SOWING",AND(N912&lt;= 28, S912=9), "COVERAGE",AND(N912&lt;= 30, S912=9), "FLUSH",AND(N912&lt;= 11, S912=10), "FLUSH",AND(N912&lt;= 21, S912=10), "PRODUCTION")</f>
        <v>SOWING</v>
      </c>
      <c r="U912">
        <f>HOUR(datos_siembra[[#This Row],[Hour]])</f>
        <v>21</v>
      </c>
      <c r="V912" cm="1">
        <f t="array" ref="V912">_xlfn.IFS(AND(N912&lt;= 22, S912=9), N912-7,AND(N912&lt;= 28, S912=9), N912-25,AND(N912&lt;= 30, S912=9), N912-28,AND(N912&lt;= 11, S912=10), N912+2,AND(N912&lt;= 21, S912=10), N912-11)</f>
        <v>7</v>
      </c>
    </row>
    <row r="913" spans="1:22" x14ac:dyDescent="0.35">
      <c r="A913" s="4">
        <v>45549</v>
      </c>
      <c r="B913" s="5">
        <v>0.8869097222222222</v>
      </c>
      <c r="C913">
        <v>82.4</v>
      </c>
      <c r="D913">
        <v>77.8</v>
      </c>
      <c r="E913">
        <v>81.5</v>
      </c>
      <c r="F913">
        <v>79.8</v>
      </c>
      <c r="G913">
        <v>0</v>
      </c>
      <c r="H913">
        <v>0</v>
      </c>
      <c r="I913">
        <v>0</v>
      </c>
      <c r="J913">
        <v>0</v>
      </c>
      <c r="K913">
        <v>61.1</v>
      </c>
      <c r="L913">
        <v>59.3</v>
      </c>
      <c r="M913">
        <v>80.489999999999995</v>
      </c>
      <c r="N913">
        <v>14</v>
      </c>
      <c r="O913">
        <v>4</v>
      </c>
      <c r="P913">
        <f>MOD(DAY(datos_siembra[[#This Row],[Date]]),7)</f>
        <v>0</v>
      </c>
      <c r="Q913" t="str">
        <f>CHOOSE(WEEKDAY(datos_siembra[[#This Row],[Date]],2),"L","M","X","J","V","S","D")</f>
        <v>S</v>
      </c>
      <c r="R913">
        <f>WEEKNUM(datos_siembra[[#This Row],[Date]],2)-WEEKNUM(DATE(YEAR(datos_siembra[[#This Row],[Date]]),MONTH(datos_siembra[[#This Row],[Date]]),1))+1</f>
        <v>2</v>
      </c>
      <c r="S913">
        <f>MONTH(datos_siembra[[#This Row],[Date]])</f>
        <v>9</v>
      </c>
      <c r="T913" t="str" cm="1">
        <f t="array" ref="T913">_xlfn.IFS(AND(N913&lt;= 22, S913=9), "SOWING",AND(N913&lt;= 28, S913=9), "COVERAGE",AND(N913&lt;= 30, S913=9), "FLUSH",AND(N913&lt;= 11, S913=10), "FLUSH",AND(N913&lt;= 21, S913=10), "PRODUCTION")</f>
        <v>SOWING</v>
      </c>
      <c r="U913">
        <f>HOUR(datos_siembra[[#This Row],[Hour]])</f>
        <v>21</v>
      </c>
      <c r="V913" cm="1">
        <f t="array" ref="V913">_xlfn.IFS(AND(N913&lt;= 22, S913=9), N913-7,AND(N913&lt;= 28, S913=9), N913-25,AND(N913&lt;= 30, S913=9), N913-28,AND(N913&lt;= 11, S913=10), N913+2,AND(N913&lt;= 21, S913=10), N913-11)</f>
        <v>7</v>
      </c>
    </row>
    <row r="914" spans="1:22" x14ac:dyDescent="0.35">
      <c r="A914" s="4">
        <v>45549</v>
      </c>
      <c r="B914" s="5">
        <v>0.89385416666666662</v>
      </c>
      <c r="C914">
        <v>82.5</v>
      </c>
      <c r="D914">
        <v>77.7</v>
      </c>
      <c r="E914">
        <v>81.5</v>
      </c>
      <c r="F914">
        <v>79.8</v>
      </c>
      <c r="G914">
        <v>0</v>
      </c>
      <c r="H914">
        <v>0</v>
      </c>
      <c r="I914">
        <v>0</v>
      </c>
      <c r="J914">
        <v>0</v>
      </c>
      <c r="K914">
        <v>61.1</v>
      </c>
      <c r="L914">
        <v>59.2</v>
      </c>
      <c r="M914">
        <v>80.37</v>
      </c>
      <c r="N914">
        <v>14</v>
      </c>
      <c r="O914">
        <v>4</v>
      </c>
      <c r="P914">
        <f>MOD(DAY(datos_siembra[[#This Row],[Date]]),7)</f>
        <v>0</v>
      </c>
      <c r="Q914" t="str">
        <f>CHOOSE(WEEKDAY(datos_siembra[[#This Row],[Date]],2),"L","M","X","J","V","S","D")</f>
        <v>S</v>
      </c>
      <c r="R914">
        <f>WEEKNUM(datos_siembra[[#This Row],[Date]],2)-WEEKNUM(DATE(YEAR(datos_siembra[[#This Row],[Date]]),MONTH(datos_siembra[[#This Row],[Date]]),1))+1</f>
        <v>2</v>
      </c>
      <c r="S914">
        <f>MONTH(datos_siembra[[#This Row],[Date]])</f>
        <v>9</v>
      </c>
      <c r="T914" t="str" cm="1">
        <f t="array" ref="T914">_xlfn.IFS(AND(N914&lt;= 22, S914=9), "SOWING",AND(N914&lt;= 28, S914=9), "COVERAGE",AND(N914&lt;= 30, S914=9), "FLUSH",AND(N914&lt;= 11, S914=10), "FLUSH",AND(N914&lt;= 21, S914=10), "PRODUCTION")</f>
        <v>SOWING</v>
      </c>
      <c r="U914">
        <f>HOUR(datos_siembra[[#This Row],[Hour]])</f>
        <v>21</v>
      </c>
      <c r="V914" cm="1">
        <f t="array" ref="V914">_xlfn.IFS(AND(N914&lt;= 22, S914=9), N914-7,AND(N914&lt;= 28, S914=9), N914-25,AND(N914&lt;= 30, S914=9), N914-28,AND(N914&lt;= 11, S914=10), N914+2,AND(N914&lt;= 21, S914=10), N914-11)</f>
        <v>7</v>
      </c>
    </row>
    <row r="915" spans="1:22" x14ac:dyDescent="0.35">
      <c r="A915" s="4">
        <v>45549</v>
      </c>
      <c r="B915" s="5">
        <v>0.90079861111111115</v>
      </c>
      <c r="C915">
        <v>82.5</v>
      </c>
      <c r="D915">
        <v>77.7</v>
      </c>
      <c r="E915">
        <v>81.3</v>
      </c>
      <c r="F915">
        <v>80</v>
      </c>
      <c r="G915">
        <v>0</v>
      </c>
      <c r="H915">
        <v>0</v>
      </c>
      <c r="I915">
        <v>0</v>
      </c>
      <c r="J915">
        <v>0</v>
      </c>
      <c r="K915">
        <v>61</v>
      </c>
      <c r="L915">
        <v>59.2</v>
      </c>
      <c r="M915">
        <v>80.37</v>
      </c>
      <c r="N915">
        <v>14</v>
      </c>
      <c r="O915">
        <v>4</v>
      </c>
      <c r="P915">
        <f>MOD(DAY(datos_siembra[[#This Row],[Date]]),7)</f>
        <v>0</v>
      </c>
      <c r="Q915" t="str">
        <f>CHOOSE(WEEKDAY(datos_siembra[[#This Row],[Date]],2),"L","M","X","J","V","S","D")</f>
        <v>S</v>
      </c>
      <c r="R915">
        <f>WEEKNUM(datos_siembra[[#This Row],[Date]],2)-WEEKNUM(DATE(YEAR(datos_siembra[[#This Row],[Date]]),MONTH(datos_siembra[[#This Row],[Date]]),1))+1</f>
        <v>2</v>
      </c>
      <c r="S915">
        <f>MONTH(datos_siembra[[#This Row],[Date]])</f>
        <v>9</v>
      </c>
      <c r="T915" t="str" cm="1">
        <f t="array" ref="T915">_xlfn.IFS(AND(N915&lt;= 22, S915=9), "SOWING",AND(N915&lt;= 28, S915=9), "COVERAGE",AND(N915&lt;= 30, S915=9), "FLUSH",AND(N915&lt;= 11, S915=10), "FLUSH",AND(N915&lt;= 21, S915=10), "PRODUCTION")</f>
        <v>SOWING</v>
      </c>
      <c r="U915">
        <f>HOUR(datos_siembra[[#This Row],[Hour]])</f>
        <v>21</v>
      </c>
      <c r="V915" cm="1">
        <f t="array" ref="V915">_xlfn.IFS(AND(N915&lt;= 22, S915=9), N915-7,AND(N915&lt;= 28, S915=9), N915-25,AND(N915&lt;= 30, S915=9), N915-28,AND(N915&lt;= 11, S915=10), N915+2,AND(N915&lt;= 21, S915=10), N915-11)</f>
        <v>7</v>
      </c>
    </row>
    <row r="916" spans="1:22" x14ac:dyDescent="0.35">
      <c r="A916" s="4">
        <v>45549</v>
      </c>
      <c r="B916" s="5">
        <v>0.90774305555555557</v>
      </c>
      <c r="C916">
        <v>82.4</v>
      </c>
      <c r="D916">
        <v>77.8</v>
      </c>
      <c r="E916">
        <v>81.3</v>
      </c>
      <c r="F916">
        <v>79.900000000000006</v>
      </c>
      <c r="G916">
        <v>0</v>
      </c>
      <c r="H916">
        <v>0</v>
      </c>
      <c r="I916">
        <v>0</v>
      </c>
      <c r="J916">
        <v>0</v>
      </c>
      <c r="K916">
        <v>61</v>
      </c>
      <c r="L916">
        <v>59.2</v>
      </c>
      <c r="M916">
        <v>80.260000000000005</v>
      </c>
      <c r="N916">
        <v>14</v>
      </c>
      <c r="O916">
        <v>4</v>
      </c>
      <c r="P916">
        <f>MOD(DAY(datos_siembra[[#This Row],[Date]]),7)</f>
        <v>0</v>
      </c>
      <c r="Q916" t="str">
        <f>CHOOSE(WEEKDAY(datos_siembra[[#This Row],[Date]],2),"L","M","X","J","V","S","D")</f>
        <v>S</v>
      </c>
      <c r="R916">
        <f>WEEKNUM(datos_siembra[[#This Row],[Date]],2)-WEEKNUM(DATE(YEAR(datos_siembra[[#This Row],[Date]]),MONTH(datos_siembra[[#This Row],[Date]]),1))+1</f>
        <v>2</v>
      </c>
      <c r="S916">
        <f>MONTH(datos_siembra[[#This Row],[Date]])</f>
        <v>9</v>
      </c>
      <c r="T916" t="str" cm="1">
        <f t="array" ref="T916">_xlfn.IFS(AND(N916&lt;= 22, S916=9), "SOWING",AND(N916&lt;= 28, S916=9), "COVERAGE",AND(N916&lt;= 30, S916=9), "FLUSH",AND(N916&lt;= 11, S916=10), "FLUSH",AND(N916&lt;= 21, S916=10), "PRODUCTION")</f>
        <v>SOWING</v>
      </c>
      <c r="U916">
        <f>HOUR(datos_siembra[[#This Row],[Hour]])</f>
        <v>21</v>
      </c>
      <c r="V916" cm="1">
        <f t="array" ref="V916">_xlfn.IFS(AND(N916&lt;= 22, S916=9), N916-7,AND(N916&lt;= 28, S916=9), N916-25,AND(N916&lt;= 30, S916=9), N916-28,AND(N916&lt;= 11, S916=10), N916+2,AND(N916&lt;= 21, S916=10), N916-11)</f>
        <v>7</v>
      </c>
    </row>
    <row r="917" spans="1:22" x14ac:dyDescent="0.35">
      <c r="A917" s="4">
        <v>45549</v>
      </c>
      <c r="B917" s="5">
        <v>0.91469907407407403</v>
      </c>
      <c r="C917">
        <v>82.4</v>
      </c>
      <c r="D917">
        <v>77.7</v>
      </c>
      <c r="E917">
        <v>81.3</v>
      </c>
      <c r="F917">
        <v>79.900000000000006</v>
      </c>
      <c r="G917">
        <v>0</v>
      </c>
      <c r="H917">
        <v>0</v>
      </c>
      <c r="I917">
        <v>0</v>
      </c>
      <c r="J917">
        <v>0</v>
      </c>
      <c r="K917">
        <v>61</v>
      </c>
      <c r="L917">
        <v>59.1</v>
      </c>
      <c r="M917">
        <v>80.290000000000006</v>
      </c>
      <c r="N917">
        <v>14</v>
      </c>
      <c r="O917">
        <v>4</v>
      </c>
      <c r="P917">
        <f>MOD(DAY(datos_siembra[[#This Row],[Date]]),7)</f>
        <v>0</v>
      </c>
      <c r="Q917" t="str">
        <f>CHOOSE(WEEKDAY(datos_siembra[[#This Row],[Date]],2),"L","M","X","J","V","S","D")</f>
        <v>S</v>
      </c>
      <c r="R917">
        <f>WEEKNUM(datos_siembra[[#This Row],[Date]],2)-WEEKNUM(DATE(YEAR(datos_siembra[[#This Row],[Date]]),MONTH(datos_siembra[[#This Row],[Date]]),1))+1</f>
        <v>2</v>
      </c>
      <c r="S917">
        <f>MONTH(datos_siembra[[#This Row],[Date]])</f>
        <v>9</v>
      </c>
      <c r="T917" t="str" cm="1">
        <f t="array" ref="T917">_xlfn.IFS(AND(N917&lt;= 22, S917=9), "SOWING",AND(N917&lt;= 28, S917=9), "COVERAGE",AND(N917&lt;= 30, S917=9), "FLUSH",AND(N917&lt;= 11, S917=10), "FLUSH",AND(N917&lt;= 21, S917=10), "PRODUCTION")</f>
        <v>SOWING</v>
      </c>
      <c r="U917">
        <f>HOUR(datos_siembra[[#This Row],[Hour]])</f>
        <v>21</v>
      </c>
      <c r="V917" cm="1">
        <f t="array" ref="V917">_xlfn.IFS(AND(N917&lt;= 22, S917=9), N917-7,AND(N917&lt;= 28, S917=9), N917-25,AND(N917&lt;= 30, S917=9), N917-28,AND(N917&lt;= 11, S917=10), N917+2,AND(N917&lt;= 21, S917=10), N917-11)</f>
        <v>7</v>
      </c>
    </row>
    <row r="918" spans="1:22" x14ac:dyDescent="0.35">
      <c r="A918" s="4">
        <v>45549</v>
      </c>
      <c r="B918" s="5">
        <v>0.92164351851851856</v>
      </c>
      <c r="C918">
        <v>82.4</v>
      </c>
      <c r="D918">
        <v>77.7</v>
      </c>
      <c r="E918">
        <v>81.3</v>
      </c>
      <c r="F918">
        <v>79.900000000000006</v>
      </c>
      <c r="G918">
        <v>0</v>
      </c>
      <c r="H918">
        <v>0</v>
      </c>
      <c r="I918">
        <v>0</v>
      </c>
      <c r="J918">
        <v>0</v>
      </c>
      <c r="K918">
        <v>60.9</v>
      </c>
      <c r="L918">
        <v>59</v>
      </c>
      <c r="M918">
        <v>80.290000000000006</v>
      </c>
      <c r="N918">
        <v>14</v>
      </c>
      <c r="O918">
        <v>4</v>
      </c>
      <c r="P918">
        <f>MOD(DAY(datos_siembra[[#This Row],[Date]]),7)</f>
        <v>0</v>
      </c>
      <c r="Q918" t="str">
        <f>CHOOSE(WEEKDAY(datos_siembra[[#This Row],[Date]],2),"L","M","X","J","V","S","D")</f>
        <v>S</v>
      </c>
      <c r="R918">
        <f>WEEKNUM(datos_siembra[[#This Row],[Date]],2)-WEEKNUM(DATE(YEAR(datos_siembra[[#This Row],[Date]]),MONTH(datos_siembra[[#This Row],[Date]]),1))+1</f>
        <v>2</v>
      </c>
      <c r="S918">
        <f>MONTH(datos_siembra[[#This Row],[Date]])</f>
        <v>9</v>
      </c>
      <c r="T918" t="str" cm="1">
        <f t="array" ref="T918">_xlfn.IFS(AND(N918&lt;= 22, S918=9), "SOWING",AND(N918&lt;= 28, S918=9), "COVERAGE",AND(N918&lt;= 30, S918=9), "FLUSH",AND(N918&lt;= 11, S918=10), "FLUSH",AND(N918&lt;= 21, S918=10), "PRODUCTION")</f>
        <v>SOWING</v>
      </c>
      <c r="U918">
        <f>HOUR(datos_siembra[[#This Row],[Hour]])</f>
        <v>22</v>
      </c>
      <c r="V918" cm="1">
        <f t="array" ref="V918">_xlfn.IFS(AND(N918&lt;= 22, S918=9), N918-7,AND(N918&lt;= 28, S918=9), N918-25,AND(N918&lt;= 30, S918=9), N918-28,AND(N918&lt;= 11, S918=10), N918+2,AND(N918&lt;= 21, S918=10), N918-11)</f>
        <v>7</v>
      </c>
    </row>
    <row r="919" spans="1:22" x14ac:dyDescent="0.35">
      <c r="A919" s="4">
        <v>45549</v>
      </c>
      <c r="B919" s="5">
        <v>0.92858796296296298</v>
      </c>
      <c r="C919">
        <v>82.3</v>
      </c>
      <c r="D919">
        <v>77.7</v>
      </c>
      <c r="E919">
        <v>81.3</v>
      </c>
      <c r="F919">
        <v>79.7</v>
      </c>
      <c r="G919">
        <v>0</v>
      </c>
      <c r="H919">
        <v>0</v>
      </c>
      <c r="I919">
        <v>0</v>
      </c>
      <c r="J919">
        <v>0</v>
      </c>
      <c r="K919">
        <v>61</v>
      </c>
      <c r="L919">
        <v>59.1</v>
      </c>
      <c r="M919">
        <v>80.23</v>
      </c>
      <c r="N919">
        <v>14</v>
      </c>
      <c r="O919">
        <v>4</v>
      </c>
      <c r="P919">
        <f>MOD(DAY(datos_siembra[[#This Row],[Date]]),7)</f>
        <v>0</v>
      </c>
      <c r="Q919" t="str">
        <f>CHOOSE(WEEKDAY(datos_siembra[[#This Row],[Date]],2),"L","M","X","J","V","S","D")</f>
        <v>S</v>
      </c>
      <c r="R919">
        <f>WEEKNUM(datos_siembra[[#This Row],[Date]],2)-WEEKNUM(DATE(YEAR(datos_siembra[[#This Row],[Date]]),MONTH(datos_siembra[[#This Row],[Date]]),1))+1</f>
        <v>2</v>
      </c>
      <c r="S919">
        <f>MONTH(datos_siembra[[#This Row],[Date]])</f>
        <v>9</v>
      </c>
      <c r="T919" t="str" cm="1">
        <f t="array" ref="T919">_xlfn.IFS(AND(N919&lt;= 22, S919=9), "SOWING",AND(N919&lt;= 28, S919=9), "COVERAGE",AND(N919&lt;= 30, S919=9), "FLUSH",AND(N919&lt;= 11, S919=10), "FLUSH",AND(N919&lt;= 21, S919=10), "PRODUCTION")</f>
        <v>SOWING</v>
      </c>
      <c r="U919">
        <f>HOUR(datos_siembra[[#This Row],[Hour]])</f>
        <v>22</v>
      </c>
      <c r="V919" cm="1">
        <f t="array" ref="V919">_xlfn.IFS(AND(N919&lt;= 22, S919=9), N919-7,AND(N919&lt;= 28, S919=9), N919-25,AND(N919&lt;= 30, S919=9), N919-28,AND(N919&lt;= 11, S919=10), N919+2,AND(N919&lt;= 21, S919=10), N919-11)</f>
        <v>7</v>
      </c>
    </row>
    <row r="920" spans="1:22" x14ac:dyDescent="0.35">
      <c r="A920" s="4">
        <v>45549</v>
      </c>
      <c r="B920" s="5">
        <v>0.93554398148148143</v>
      </c>
      <c r="C920">
        <v>82.2</v>
      </c>
      <c r="D920">
        <v>77.599999999999994</v>
      </c>
      <c r="E920">
        <v>81.2</v>
      </c>
      <c r="F920">
        <v>79.8</v>
      </c>
      <c r="G920">
        <v>0</v>
      </c>
      <c r="H920">
        <v>0</v>
      </c>
      <c r="I920">
        <v>0</v>
      </c>
      <c r="J920">
        <v>0</v>
      </c>
      <c r="K920">
        <v>60.9</v>
      </c>
      <c r="L920">
        <v>59</v>
      </c>
      <c r="M920">
        <v>80.233999999999995</v>
      </c>
      <c r="N920">
        <v>14</v>
      </c>
      <c r="O920">
        <v>4</v>
      </c>
      <c r="P920">
        <f>MOD(DAY(datos_siembra[[#This Row],[Date]]),7)</f>
        <v>0</v>
      </c>
      <c r="Q920" t="str">
        <f>CHOOSE(WEEKDAY(datos_siembra[[#This Row],[Date]],2),"L","M","X","J","V","S","D")</f>
        <v>S</v>
      </c>
      <c r="R920">
        <f>WEEKNUM(datos_siembra[[#This Row],[Date]],2)-WEEKNUM(DATE(YEAR(datos_siembra[[#This Row],[Date]]),MONTH(datos_siembra[[#This Row],[Date]]),1))+1</f>
        <v>2</v>
      </c>
      <c r="S920">
        <f>MONTH(datos_siembra[[#This Row],[Date]])</f>
        <v>9</v>
      </c>
      <c r="T920" t="str" cm="1">
        <f t="array" ref="T920">_xlfn.IFS(AND(N920&lt;= 22, S920=9), "SOWING",AND(N920&lt;= 28, S920=9), "COVERAGE",AND(N920&lt;= 30, S920=9), "FLUSH",AND(N920&lt;= 11, S920=10), "FLUSH",AND(N920&lt;= 21, S920=10), "PRODUCTION")</f>
        <v>SOWING</v>
      </c>
      <c r="U920">
        <f>HOUR(datos_siembra[[#This Row],[Hour]])</f>
        <v>22</v>
      </c>
      <c r="V920" cm="1">
        <f t="array" ref="V920">_xlfn.IFS(AND(N920&lt;= 22, S920=9), N920-7,AND(N920&lt;= 28, S920=9), N920-25,AND(N920&lt;= 30, S920=9), N920-28,AND(N920&lt;= 11, S920=10), N920+2,AND(N920&lt;= 21, S920=10), N920-11)</f>
        <v>7</v>
      </c>
    </row>
    <row r="921" spans="1:22" x14ac:dyDescent="0.35">
      <c r="A921" s="4">
        <v>45549</v>
      </c>
      <c r="B921" s="5">
        <v>0.94248842592592597</v>
      </c>
      <c r="C921">
        <v>82.3</v>
      </c>
      <c r="D921">
        <v>77.3</v>
      </c>
      <c r="E921">
        <v>81.3</v>
      </c>
      <c r="F921">
        <v>79.8</v>
      </c>
      <c r="G921">
        <v>0</v>
      </c>
      <c r="H921">
        <v>0</v>
      </c>
      <c r="I921">
        <v>0</v>
      </c>
      <c r="J921">
        <v>0</v>
      </c>
      <c r="K921">
        <v>60.8</v>
      </c>
      <c r="L921">
        <v>58.9</v>
      </c>
      <c r="M921">
        <v>80.209999999999994</v>
      </c>
      <c r="N921">
        <v>14</v>
      </c>
      <c r="O921">
        <v>4</v>
      </c>
      <c r="P921">
        <f>MOD(DAY(datos_siembra[[#This Row],[Date]]),7)</f>
        <v>0</v>
      </c>
      <c r="Q921" t="str">
        <f>CHOOSE(WEEKDAY(datos_siembra[[#This Row],[Date]],2),"L","M","X","J","V","S","D")</f>
        <v>S</v>
      </c>
      <c r="R921">
        <f>WEEKNUM(datos_siembra[[#This Row],[Date]],2)-WEEKNUM(DATE(YEAR(datos_siembra[[#This Row],[Date]]),MONTH(datos_siembra[[#This Row],[Date]]),1))+1</f>
        <v>2</v>
      </c>
      <c r="S921">
        <f>MONTH(datos_siembra[[#This Row],[Date]])</f>
        <v>9</v>
      </c>
      <c r="T921" t="str" cm="1">
        <f t="array" ref="T921">_xlfn.IFS(AND(N921&lt;= 22, S921=9), "SOWING",AND(N921&lt;= 28, S921=9), "COVERAGE",AND(N921&lt;= 30, S921=9), "FLUSH",AND(N921&lt;= 11, S921=10), "FLUSH",AND(N921&lt;= 21, S921=10), "PRODUCTION")</f>
        <v>SOWING</v>
      </c>
      <c r="U921">
        <f>HOUR(datos_siembra[[#This Row],[Hour]])</f>
        <v>22</v>
      </c>
      <c r="V921" cm="1">
        <f t="array" ref="V921">_xlfn.IFS(AND(N921&lt;= 22, S921=9), N921-7,AND(N921&lt;= 28, S921=9), N921-25,AND(N921&lt;= 30, S921=9), N921-28,AND(N921&lt;= 11, S921=10), N921+2,AND(N921&lt;= 21, S921=10), N921-11)</f>
        <v>7</v>
      </c>
    </row>
    <row r="922" spans="1:22" x14ac:dyDescent="0.35">
      <c r="A922" s="4">
        <v>45549</v>
      </c>
      <c r="B922" s="5">
        <v>0.94943287037037039</v>
      </c>
      <c r="C922">
        <v>82.3</v>
      </c>
      <c r="D922">
        <v>77.3</v>
      </c>
      <c r="E922">
        <v>81.099999999999994</v>
      </c>
      <c r="F922">
        <v>79.900000000000006</v>
      </c>
      <c r="G922">
        <v>0</v>
      </c>
      <c r="H922">
        <v>0</v>
      </c>
      <c r="I922">
        <v>0</v>
      </c>
      <c r="J922">
        <v>0</v>
      </c>
      <c r="K922">
        <v>60.7</v>
      </c>
      <c r="L922">
        <v>58.9</v>
      </c>
      <c r="M922">
        <v>80.150000000000006</v>
      </c>
      <c r="N922">
        <v>14</v>
      </c>
      <c r="O922">
        <v>4</v>
      </c>
      <c r="P922">
        <f>MOD(DAY(datos_siembra[[#This Row],[Date]]),7)</f>
        <v>0</v>
      </c>
      <c r="Q922" t="str">
        <f>CHOOSE(WEEKDAY(datos_siembra[[#This Row],[Date]],2),"L","M","X","J","V","S","D")</f>
        <v>S</v>
      </c>
      <c r="R922">
        <f>WEEKNUM(datos_siembra[[#This Row],[Date]],2)-WEEKNUM(DATE(YEAR(datos_siembra[[#This Row],[Date]]),MONTH(datos_siembra[[#This Row],[Date]]),1))+1</f>
        <v>2</v>
      </c>
      <c r="S922">
        <f>MONTH(datos_siembra[[#This Row],[Date]])</f>
        <v>9</v>
      </c>
      <c r="T922" t="str" cm="1">
        <f t="array" ref="T922">_xlfn.IFS(AND(N922&lt;= 22, S922=9), "SOWING",AND(N922&lt;= 28, S922=9), "COVERAGE",AND(N922&lt;= 30, S922=9), "FLUSH",AND(N922&lt;= 11, S922=10), "FLUSH",AND(N922&lt;= 21, S922=10), "PRODUCTION")</f>
        <v>SOWING</v>
      </c>
      <c r="U922">
        <f>HOUR(datos_siembra[[#This Row],[Hour]])</f>
        <v>22</v>
      </c>
      <c r="V922" cm="1">
        <f t="array" ref="V922">_xlfn.IFS(AND(N922&lt;= 22, S922=9), N922-7,AND(N922&lt;= 28, S922=9), N922-25,AND(N922&lt;= 30, S922=9), N922-28,AND(N922&lt;= 11, S922=10), N922+2,AND(N922&lt;= 21, S922=10), N922-11)</f>
        <v>7</v>
      </c>
    </row>
    <row r="923" spans="1:22" x14ac:dyDescent="0.35">
      <c r="A923" s="4">
        <v>45549</v>
      </c>
      <c r="B923" s="5">
        <v>0.95637731481481481</v>
      </c>
      <c r="C923">
        <v>82.1</v>
      </c>
      <c r="D923">
        <v>77.5</v>
      </c>
      <c r="E923">
        <v>81.2</v>
      </c>
      <c r="F923">
        <v>79.8</v>
      </c>
      <c r="G923">
        <v>0</v>
      </c>
      <c r="H923">
        <v>0</v>
      </c>
      <c r="I923">
        <v>0</v>
      </c>
      <c r="J923">
        <v>0</v>
      </c>
      <c r="K923">
        <v>60.7</v>
      </c>
      <c r="L923">
        <v>58.8</v>
      </c>
      <c r="M923">
        <v>80.09</v>
      </c>
      <c r="N923">
        <v>14</v>
      </c>
      <c r="O923">
        <v>4</v>
      </c>
      <c r="P923">
        <f>MOD(DAY(datos_siembra[[#This Row],[Date]]),7)</f>
        <v>0</v>
      </c>
      <c r="Q923" t="str">
        <f>CHOOSE(WEEKDAY(datos_siembra[[#This Row],[Date]],2),"L","M","X","J","V","S","D")</f>
        <v>S</v>
      </c>
      <c r="R923">
        <f>WEEKNUM(datos_siembra[[#This Row],[Date]],2)-WEEKNUM(DATE(YEAR(datos_siembra[[#This Row],[Date]]),MONTH(datos_siembra[[#This Row],[Date]]),1))+1</f>
        <v>2</v>
      </c>
      <c r="S923">
        <f>MONTH(datos_siembra[[#This Row],[Date]])</f>
        <v>9</v>
      </c>
      <c r="T923" t="str" cm="1">
        <f t="array" ref="T923">_xlfn.IFS(AND(N923&lt;= 22, S923=9), "SOWING",AND(N923&lt;= 28, S923=9), "COVERAGE",AND(N923&lt;= 30, S923=9), "FLUSH",AND(N923&lt;= 11, S923=10), "FLUSH",AND(N923&lt;= 21, S923=10), "PRODUCTION")</f>
        <v>SOWING</v>
      </c>
      <c r="U923">
        <f>HOUR(datos_siembra[[#This Row],[Hour]])</f>
        <v>22</v>
      </c>
      <c r="V923" cm="1">
        <f t="array" ref="V923">_xlfn.IFS(AND(N923&lt;= 22, S923=9), N923-7,AND(N923&lt;= 28, S923=9), N923-25,AND(N923&lt;= 30, S923=9), N923-28,AND(N923&lt;= 11, S923=10), N923+2,AND(N923&lt;= 21, S923=10), N923-11)</f>
        <v>7</v>
      </c>
    </row>
    <row r="924" spans="1:22" x14ac:dyDescent="0.35">
      <c r="A924" s="4">
        <v>45549</v>
      </c>
      <c r="B924" s="5">
        <v>0.96333333333333337</v>
      </c>
      <c r="C924">
        <v>82.2</v>
      </c>
      <c r="D924">
        <v>77.599999999999994</v>
      </c>
      <c r="E924">
        <v>80.900000000000006</v>
      </c>
      <c r="F924">
        <v>79.8</v>
      </c>
      <c r="G924">
        <v>0</v>
      </c>
      <c r="H924">
        <v>0</v>
      </c>
      <c r="I924">
        <v>0</v>
      </c>
      <c r="J924">
        <v>0</v>
      </c>
      <c r="K924">
        <v>60.8</v>
      </c>
      <c r="L924">
        <v>58.9</v>
      </c>
      <c r="M924">
        <v>80.12</v>
      </c>
      <c r="N924">
        <v>14</v>
      </c>
      <c r="O924">
        <v>4</v>
      </c>
      <c r="P924">
        <f>MOD(DAY(datos_siembra[[#This Row],[Date]]),7)</f>
        <v>0</v>
      </c>
      <c r="Q924" t="str">
        <f>CHOOSE(WEEKDAY(datos_siembra[[#This Row],[Date]],2),"L","M","X","J","V","S","D")</f>
        <v>S</v>
      </c>
      <c r="R924">
        <f>WEEKNUM(datos_siembra[[#This Row],[Date]],2)-WEEKNUM(DATE(YEAR(datos_siembra[[#This Row],[Date]]),MONTH(datos_siembra[[#This Row],[Date]]),1))+1</f>
        <v>2</v>
      </c>
      <c r="S924">
        <f>MONTH(datos_siembra[[#This Row],[Date]])</f>
        <v>9</v>
      </c>
      <c r="T924" t="str" cm="1">
        <f t="array" ref="T924">_xlfn.IFS(AND(N924&lt;= 22, S924=9), "SOWING",AND(N924&lt;= 28, S924=9), "COVERAGE",AND(N924&lt;= 30, S924=9), "FLUSH",AND(N924&lt;= 11, S924=10), "FLUSH",AND(N924&lt;= 21, S924=10), "PRODUCTION")</f>
        <v>SOWING</v>
      </c>
      <c r="U924">
        <f>HOUR(datos_siembra[[#This Row],[Hour]])</f>
        <v>23</v>
      </c>
      <c r="V924" cm="1">
        <f t="array" ref="V924">_xlfn.IFS(AND(N924&lt;= 22, S924=9), N924-7,AND(N924&lt;= 28, S924=9), N924-25,AND(N924&lt;= 30, S924=9), N924-28,AND(N924&lt;= 11, S924=10), N924+2,AND(N924&lt;= 21, S924=10), N924-11)</f>
        <v>7</v>
      </c>
    </row>
    <row r="925" spans="1:22" x14ac:dyDescent="0.35">
      <c r="A925" s="4">
        <v>45549</v>
      </c>
      <c r="B925" s="5">
        <v>0.97027777777777779</v>
      </c>
      <c r="C925">
        <v>82.2</v>
      </c>
      <c r="D925">
        <v>77.3</v>
      </c>
      <c r="E925">
        <v>81.099999999999994</v>
      </c>
      <c r="F925">
        <v>79.599999999999994</v>
      </c>
      <c r="G925">
        <v>0</v>
      </c>
      <c r="H925">
        <v>0</v>
      </c>
      <c r="I925">
        <v>0</v>
      </c>
      <c r="J925">
        <v>0</v>
      </c>
      <c r="K925">
        <v>61.4</v>
      </c>
      <c r="L925">
        <v>59.8</v>
      </c>
      <c r="M925">
        <v>80.180000000000007</v>
      </c>
      <c r="N925">
        <v>14</v>
      </c>
      <c r="O925">
        <v>4</v>
      </c>
      <c r="P925">
        <f>MOD(DAY(datos_siembra[[#This Row],[Date]]),7)</f>
        <v>0</v>
      </c>
      <c r="Q925" t="str">
        <f>CHOOSE(WEEKDAY(datos_siembra[[#This Row],[Date]],2),"L","M","X","J","V","S","D")</f>
        <v>S</v>
      </c>
      <c r="R925">
        <f>WEEKNUM(datos_siembra[[#This Row],[Date]],2)-WEEKNUM(DATE(YEAR(datos_siembra[[#This Row],[Date]]),MONTH(datos_siembra[[#This Row],[Date]]),1))+1</f>
        <v>2</v>
      </c>
      <c r="S925">
        <f>MONTH(datos_siembra[[#This Row],[Date]])</f>
        <v>9</v>
      </c>
      <c r="T925" t="str" cm="1">
        <f t="array" ref="T925">_xlfn.IFS(AND(N925&lt;= 22, S925=9), "SOWING",AND(N925&lt;= 28, S925=9), "COVERAGE",AND(N925&lt;= 30, S925=9), "FLUSH",AND(N925&lt;= 11, S925=10), "FLUSH",AND(N925&lt;= 21, S925=10), "PRODUCTION")</f>
        <v>SOWING</v>
      </c>
      <c r="U925">
        <f>HOUR(datos_siembra[[#This Row],[Hour]])</f>
        <v>23</v>
      </c>
      <c r="V925" cm="1">
        <f t="array" ref="V925">_xlfn.IFS(AND(N925&lt;= 22, S925=9), N925-7,AND(N925&lt;= 28, S925=9), N925-25,AND(N925&lt;= 30, S925=9), N925-28,AND(N925&lt;= 11, S925=10), N925+2,AND(N925&lt;= 21, S925=10), N925-11)</f>
        <v>7</v>
      </c>
    </row>
    <row r="926" spans="1:22" x14ac:dyDescent="0.35">
      <c r="A926" s="4">
        <v>45549</v>
      </c>
      <c r="B926" s="5">
        <v>0.97722222222222221</v>
      </c>
      <c r="C926">
        <v>82.1</v>
      </c>
      <c r="D926">
        <v>77.3</v>
      </c>
      <c r="E926">
        <v>81.2</v>
      </c>
      <c r="F926">
        <v>79.900000000000006</v>
      </c>
      <c r="G926">
        <v>0</v>
      </c>
      <c r="H926">
        <v>0</v>
      </c>
      <c r="I926">
        <v>0</v>
      </c>
      <c r="J926">
        <v>0</v>
      </c>
      <c r="K926">
        <v>61.9</v>
      </c>
      <c r="L926">
        <v>60.5</v>
      </c>
      <c r="M926">
        <v>80.069999999999993</v>
      </c>
      <c r="N926">
        <v>14</v>
      </c>
      <c r="O926">
        <v>4</v>
      </c>
      <c r="P926">
        <f>MOD(DAY(datos_siembra[[#This Row],[Date]]),7)</f>
        <v>0</v>
      </c>
      <c r="Q926" t="str">
        <f>CHOOSE(WEEKDAY(datos_siembra[[#This Row],[Date]],2),"L","M","X","J","V","S","D")</f>
        <v>S</v>
      </c>
      <c r="R926">
        <f>WEEKNUM(datos_siembra[[#This Row],[Date]],2)-WEEKNUM(DATE(YEAR(datos_siembra[[#This Row],[Date]]),MONTH(datos_siembra[[#This Row],[Date]]),1))+1</f>
        <v>2</v>
      </c>
      <c r="S926">
        <f>MONTH(datos_siembra[[#This Row],[Date]])</f>
        <v>9</v>
      </c>
      <c r="T926" t="str" cm="1">
        <f t="array" ref="T926">_xlfn.IFS(AND(N926&lt;= 22, S926=9), "SOWING",AND(N926&lt;= 28, S926=9), "COVERAGE",AND(N926&lt;= 30, S926=9), "FLUSH",AND(N926&lt;= 11, S926=10), "FLUSH",AND(N926&lt;= 21, S926=10), "PRODUCTION")</f>
        <v>SOWING</v>
      </c>
      <c r="U926">
        <f>HOUR(datos_siembra[[#This Row],[Hour]])</f>
        <v>23</v>
      </c>
      <c r="V926" cm="1">
        <f t="array" ref="V926">_xlfn.IFS(AND(N926&lt;= 22, S926=9), N926-7,AND(N926&lt;= 28, S926=9), N926-25,AND(N926&lt;= 30, S926=9), N926-28,AND(N926&lt;= 11, S926=10), N926+2,AND(N926&lt;= 21, S926=10), N926-11)</f>
        <v>7</v>
      </c>
    </row>
    <row r="927" spans="1:22" x14ac:dyDescent="0.35">
      <c r="A927" s="4">
        <v>45549</v>
      </c>
      <c r="B927" s="5">
        <v>0.98417824074074078</v>
      </c>
      <c r="C927">
        <v>82.2</v>
      </c>
      <c r="D927">
        <v>77.3</v>
      </c>
      <c r="E927">
        <v>81.099999999999994</v>
      </c>
      <c r="F927">
        <v>79.7</v>
      </c>
      <c r="G927">
        <v>0</v>
      </c>
      <c r="H927">
        <v>0</v>
      </c>
      <c r="I927">
        <v>0</v>
      </c>
      <c r="J927">
        <v>0</v>
      </c>
      <c r="K927">
        <v>61.4</v>
      </c>
      <c r="L927">
        <v>59.6</v>
      </c>
      <c r="M927">
        <v>80.069999999999993</v>
      </c>
      <c r="N927">
        <v>14</v>
      </c>
      <c r="O927">
        <v>4</v>
      </c>
      <c r="P927">
        <f>MOD(DAY(datos_siembra[[#This Row],[Date]]),7)</f>
        <v>0</v>
      </c>
      <c r="Q927" t="str">
        <f>CHOOSE(WEEKDAY(datos_siembra[[#This Row],[Date]],2),"L","M","X","J","V","S","D")</f>
        <v>S</v>
      </c>
      <c r="R927">
        <f>WEEKNUM(datos_siembra[[#This Row],[Date]],2)-WEEKNUM(DATE(YEAR(datos_siembra[[#This Row],[Date]]),MONTH(datos_siembra[[#This Row],[Date]]),1))+1</f>
        <v>2</v>
      </c>
      <c r="S927">
        <f>MONTH(datos_siembra[[#This Row],[Date]])</f>
        <v>9</v>
      </c>
      <c r="T927" t="str" cm="1">
        <f t="array" ref="T927">_xlfn.IFS(AND(N927&lt;= 22, S927=9), "SOWING",AND(N927&lt;= 28, S927=9), "COVERAGE",AND(N927&lt;= 30, S927=9), "FLUSH",AND(N927&lt;= 11, S927=10), "FLUSH",AND(N927&lt;= 21, S927=10), "PRODUCTION")</f>
        <v>SOWING</v>
      </c>
      <c r="U927">
        <f>HOUR(datos_siembra[[#This Row],[Hour]])</f>
        <v>23</v>
      </c>
      <c r="V927" cm="1">
        <f t="array" ref="V927">_xlfn.IFS(AND(N927&lt;= 22, S927=9), N927-7,AND(N927&lt;= 28, S927=9), N927-25,AND(N927&lt;= 30, S927=9), N927-28,AND(N927&lt;= 11, S927=10), N927+2,AND(N927&lt;= 21, S927=10), N927-11)</f>
        <v>7</v>
      </c>
    </row>
    <row r="928" spans="1:22" x14ac:dyDescent="0.35">
      <c r="A928" s="4">
        <v>45549</v>
      </c>
      <c r="B928" s="5">
        <v>0.9911226851851852</v>
      </c>
      <c r="C928">
        <v>82.1</v>
      </c>
      <c r="D928">
        <v>77.5</v>
      </c>
      <c r="E928">
        <v>80.900000000000006</v>
      </c>
      <c r="F928">
        <v>79.599999999999994</v>
      </c>
      <c r="G928">
        <v>0</v>
      </c>
      <c r="H928">
        <v>0</v>
      </c>
      <c r="I928">
        <v>0</v>
      </c>
      <c r="J928">
        <v>0</v>
      </c>
      <c r="K928">
        <v>60.9</v>
      </c>
      <c r="L928">
        <v>58.9</v>
      </c>
      <c r="M928">
        <v>80.069999999999993</v>
      </c>
      <c r="N928">
        <v>14</v>
      </c>
      <c r="O928">
        <v>4</v>
      </c>
      <c r="P928">
        <f>MOD(DAY(datos_siembra[[#This Row],[Date]]),7)</f>
        <v>0</v>
      </c>
      <c r="Q928" t="str">
        <f>CHOOSE(WEEKDAY(datos_siembra[[#This Row],[Date]],2),"L","M","X","J","V","S","D")</f>
        <v>S</v>
      </c>
      <c r="R928">
        <f>WEEKNUM(datos_siembra[[#This Row],[Date]],2)-WEEKNUM(DATE(YEAR(datos_siembra[[#This Row],[Date]]),MONTH(datos_siembra[[#This Row],[Date]]),1))+1</f>
        <v>2</v>
      </c>
      <c r="S928">
        <f>MONTH(datos_siembra[[#This Row],[Date]])</f>
        <v>9</v>
      </c>
      <c r="T928" t="str" cm="1">
        <f t="array" ref="T928">_xlfn.IFS(AND(N928&lt;= 22, S928=9), "SOWING",AND(N928&lt;= 28, S928=9), "COVERAGE",AND(N928&lt;= 30, S928=9), "FLUSH",AND(N928&lt;= 11, S928=10), "FLUSH",AND(N928&lt;= 21, S928=10), "PRODUCTION")</f>
        <v>SOWING</v>
      </c>
      <c r="U928">
        <f>HOUR(datos_siembra[[#This Row],[Hour]])</f>
        <v>23</v>
      </c>
      <c r="V928" cm="1">
        <f t="array" ref="V928">_xlfn.IFS(AND(N928&lt;= 22, S928=9), N928-7,AND(N928&lt;= 28, S928=9), N928-25,AND(N928&lt;= 30, S928=9), N928-28,AND(N928&lt;= 11, S928=10), N928+2,AND(N928&lt;= 21, S928=10), N928-11)</f>
        <v>7</v>
      </c>
    </row>
    <row r="929" spans="1:22" x14ac:dyDescent="0.35">
      <c r="A929" s="4">
        <v>45549</v>
      </c>
      <c r="B929" s="5">
        <v>0.99806712962962962</v>
      </c>
      <c r="C929">
        <v>82.1</v>
      </c>
      <c r="D929">
        <v>77.599999999999994</v>
      </c>
      <c r="E929">
        <v>80.8</v>
      </c>
      <c r="F929">
        <v>79.900000000000006</v>
      </c>
      <c r="G929">
        <v>0</v>
      </c>
      <c r="H929">
        <v>0</v>
      </c>
      <c r="I929">
        <v>0</v>
      </c>
      <c r="J929">
        <v>0</v>
      </c>
      <c r="K929">
        <v>60.7</v>
      </c>
      <c r="L929">
        <v>58.7</v>
      </c>
      <c r="M929">
        <v>80.010000000000005</v>
      </c>
      <c r="N929">
        <v>14</v>
      </c>
      <c r="O929">
        <v>4</v>
      </c>
      <c r="P929">
        <f>MOD(DAY(datos_siembra[[#This Row],[Date]]),7)</f>
        <v>0</v>
      </c>
      <c r="Q929" t="str">
        <f>CHOOSE(WEEKDAY(datos_siembra[[#This Row],[Date]],2),"L","M","X","J","V","S","D")</f>
        <v>S</v>
      </c>
      <c r="R929">
        <f>WEEKNUM(datos_siembra[[#This Row],[Date]],2)-WEEKNUM(DATE(YEAR(datos_siembra[[#This Row],[Date]]),MONTH(datos_siembra[[#This Row],[Date]]),1))+1</f>
        <v>2</v>
      </c>
      <c r="S929">
        <f>MONTH(datos_siembra[[#This Row],[Date]])</f>
        <v>9</v>
      </c>
      <c r="T929" t="str" cm="1">
        <f t="array" ref="T929">_xlfn.IFS(AND(N929&lt;= 22, S929=9), "SOWING",AND(N929&lt;= 28, S929=9), "COVERAGE",AND(N929&lt;= 30, S929=9), "FLUSH",AND(N929&lt;= 11, S929=10), "FLUSH",AND(N929&lt;= 21, S929=10), "PRODUCTION")</f>
        <v>SOWING</v>
      </c>
      <c r="U929">
        <f>HOUR(datos_siembra[[#This Row],[Hour]])</f>
        <v>23</v>
      </c>
      <c r="V929" cm="1">
        <f t="array" ref="V929">_xlfn.IFS(AND(N929&lt;= 22, S929=9), N929-7,AND(N929&lt;= 28, S929=9), N929-25,AND(N929&lt;= 30, S929=9), N929-28,AND(N929&lt;= 11, S929=10), N929+2,AND(N929&lt;= 21, S929=10), N929-11)</f>
        <v>7</v>
      </c>
    </row>
    <row r="930" spans="1:22" x14ac:dyDescent="0.35">
      <c r="A930" s="4">
        <v>45550</v>
      </c>
      <c r="B930" s="5">
        <v>5.0115740740740737E-3</v>
      </c>
      <c r="C930">
        <v>82.1</v>
      </c>
      <c r="D930">
        <v>77.599999999999994</v>
      </c>
      <c r="E930">
        <v>81.099999999999994</v>
      </c>
      <c r="F930">
        <v>79.900000000000006</v>
      </c>
      <c r="G930">
        <v>0</v>
      </c>
      <c r="H930">
        <v>0</v>
      </c>
      <c r="I930">
        <v>0</v>
      </c>
      <c r="J930">
        <v>0</v>
      </c>
      <c r="K930">
        <v>60.5</v>
      </c>
      <c r="L930">
        <v>58.7</v>
      </c>
      <c r="M930">
        <v>80.040000000000006</v>
      </c>
      <c r="N930">
        <v>15</v>
      </c>
      <c r="O930">
        <v>5</v>
      </c>
      <c r="P930">
        <f>MOD(DAY(datos_siembra[[#This Row],[Date]]),7)</f>
        <v>1</v>
      </c>
      <c r="Q930" t="str">
        <f>CHOOSE(WEEKDAY(datos_siembra[[#This Row],[Date]],2),"L","M","X","J","V","S","D")</f>
        <v>D</v>
      </c>
      <c r="R930">
        <f>WEEKNUM(datos_siembra[[#This Row],[Date]],2)-WEEKNUM(DATE(YEAR(datos_siembra[[#This Row],[Date]]),MONTH(datos_siembra[[#This Row],[Date]]),1))+1</f>
        <v>2</v>
      </c>
      <c r="S930">
        <f>MONTH(datos_siembra[[#This Row],[Date]])</f>
        <v>9</v>
      </c>
      <c r="T930" t="str" cm="1">
        <f t="array" ref="T930">_xlfn.IFS(AND(N930&lt;= 22, S930=9), "SOWING",AND(N930&lt;= 28, S930=9), "COVERAGE",AND(N930&lt;= 30, S930=9), "FLUSH",AND(N930&lt;= 11, S930=10), "FLUSH",AND(N930&lt;= 21, S930=10), "PRODUCTION")</f>
        <v>SOWING</v>
      </c>
      <c r="U930">
        <f>HOUR(datos_siembra[[#This Row],[Hour]])</f>
        <v>0</v>
      </c>
      <c r="V930" cm="1">
        <f t="array" ref="V930">_xlfn.IFS(AND(N930&lt;= 22, S930=9), N930-7,AND(N930&lt;= 28, S930=9), N930-25,AND(N930&lt;= 30, S930=9), N930-28,AND(N930&lt;= 11, S930=10), N930+2,AND(N930&lt;= 21, S930=10), N930-11)</f>
        <v>8</v>
      </c>
    </row>
    <row r="931" spans="1:22" x14ac:dyDescent="0.35">
      <c r="A931" s="4">
        <v>45550</v>
      </c>
      <c r="B931" s="5">
        <v>1.1967592592592592E-2</v>
      </c>
      <c r="C931">
        <v>82.1</v>
      </c>
      <c r="D931">
        <v>77.5</v>
      </c>
      <c r="E931">
        <v>80.900000000000006</v>
      </c>
      <c r="F931">
        <v>79.8</v>
      </c>
      <c r="G931">
        <v>0</v>
      </c>
      <c r="H931">
        <v>0</v>
      </c>
      <c r="I931">
        <v>0</v>
      </c>
      <c r="J931">
        <v>0</v>
      </c>
      <c r="K931">
        <v>60.5</v>
      </c>
      <c r="L931">
        <v>58.4</v>
      </c>
      <c r="M931">
        <v>80.040000000000006</v>
      </c>
      <c r="N931">
        <v>15</v>
      </c>
      <c r="O931">
        <v>5</v>
      </c>
      <c r="P931">
        <f>MOD(DAY(datos_siembra[[#This Row],[Date]]),7)</f>
        <v>1</v>
      </c>
      <c r="Q931" t="str">
        <f>CHOOSE(WEEKDAY(datos_siembra[[#This Row],[Date]],2),"L","M","X","J","V","S","D")</f>
        <v>D</v>
      </c>
      <c r="R931">
        <f>WEEKNUM(datos_siembra[[#This Row],[Date]],2)-WEEKNUM(DATE(YEAR(datos_siembra[[#This Row],[Date]]),MONTH(datos_siembra[[#This Row],[Date]]),1))+1</f>
        <v>2</v>
      </c>
      <c r="S931">
        <f>MONTH(datos_siembra[[#This Row],[Date]])</f>
        <v>9</v>
      </c>
      <c r="T931" t="str" cm="1">
        <f t="array" ref="T931">_xlfn.IFS(AND(N931&lt;= 22, S931=9), "SOWING",AND(N931&lt;= 28, S931=9), "COVERAGE",AND(N931&lt;= 30, S931=9), "FLUSH",AND(N931&lt;= 11, S931=10), "FLUSH",AND(N931&lt;= 21, S931=10), "PRODUCTION")</f>
        <v>SOWING</v>
      </c>
      <c r="U931">
        <f>HOUR(datos_siembra[[#This Row],[Hour]])</f>
        <v>0</v>
      </c>
      <c r="V931" cm="1">
        <f t="array" ref="V931">_xlfn.IFS(AND(N931&lt;= 22, S931=9), N931-7,AND(N931&lt;= 28, S931=9), N931-25,AND(N931&lt;= 30, S931=9), N931-28,AND(N931&lt;= 11, S931=10), N931+2,AND(N931&lt;= 21, S931=10), N931-11)</f>
        <v>8</v>
      </c>
    </row>
    <row r="932" spans="1:22" x14ac:dyDescent="0.35">
      <c r="A932" s="4">
        <v>45550</v>
      </c>
      <c r="B932" s="5">
        <v>1.8912037037037036E-2</v>
      </c>
      <c r="C932">
        <v>82</v>
      </c>
      <c r="D932">
        <v>77.2</v>
      </c>
      <c r="E932">
        <v>81.099999999999994</v>
      </c>
      <c r="F932">
        <v>79.8</v>
      </c>
      <c r="G932">
        <v>0</v>
      </c>
      <c r="H932">
        <v>0</v>
      </c>
      <c r="I932">
        <v>0</v>
      </c>
      <c r="J932">
        <v>0</v>
      </c>
      <c r="K932">
        <v>60.3</v>
      </c>
      <c r="L932">
        <v>58.4</v>
      </c>
      <c r="M932">
        <v>80.040000000000006</v>
      </c>
      <c r="N932">
        <v>15</v>
      </c>
      <c r="O932">
        <v>5</v>
      </c>
      <c r="P932">
        <f>MOD(DAY(datos_siembra[[#This Row],[Date]]),7)</f>
        <v>1</v>
      </c>
      <c r="Q932" t="str">
        <f>CHOOSE(WEEKDAY(datos_siembra[[#This Row],[Date]],2),"L","M","X","J","V","S","D")</f>
        <v>D</v>
      </c>
      <c r="R932">
        <f>WEEKNUM(datos_siembra[[#This Row],[Date]],2)-WEEKNUM(DATE(YEAR(datos_siembra[[#This Row],[Date]]),MONTH(datos_siembra[[#This Row],[Date]]),1))+1</f>
        <v>2</v>
      </c>
      <c r="S932">
        <f>MONTH(datos_siembra[[#This Row],[Date]])</f>
        <v>9</v>
      </c>
      <c r="T932" t="str" cm="1">
        <f t="array" ref="T932">_xlfn.IFS(AND(N932&lt;= 22, S932=9), "SOWING",AND(N932&lt;= 28, S932=9), "COVERAGE",AND(N932&lt;= 30, S932=9), "FLUSH",AND(N932&lt;= 11, S932=10), "FLUSH",AND(N932&lt;= 21, S932=10), "PRODUCTION")</f>
        <v>SOWING</v>
      </c>
      <c r="U932">
        <f>HOUR(datos_siembra[[#This Row],[Hour]])</f>
        <v>0</v>
      </c>
      <c r="V932" cm="1">
        <f t="array" ref="V932">_xlfn.IFS(AND(N932&lt;= 22, S932=9), N932-7,AND(N932&lt;= 28, S932=9), N932-25,AND(N932&lt;= 30, S932=9), N932-28,AND(N932&lt;= 11, S932=10), N932+2,AND(N932&lt;= 21, S932=10), N932-11)</f>
        <v>8</v>
      </c>
    </row>
    <row r="933" spans="1:22" x14ac:dyDescent="0.35">
      <c r="A933" s="4">
        <v>45550</v>
      </c>
      <c r="B933" s="5">
        <v>2.585648148148148E-2</v>
      </c>
      <c r="C933">
        <v>82.1</v>
      </c>
      <c r="D933">
        <v>77.2</v>
      </c>
      <c r="E933">
        <v>80.900000000000006</v>
      </c>
      <c r="F933">
        <v>80</v>
      </c>
      <c r="G933">
        <v>0</v>
      </c>
      <c r="H933">
        <v>0</v>
      </c>
      <c r="I933">
        <v>0</v>
      </c>
      <c r="J933">
        <v>0</v>
      </c>
      <c r="K933">
        <v>60.3</v>
      </c>
      <c r="L933">
        <v>58.3</v>
      </c>
      <c r="M933">
        <v>79.930000000000007</v>
      </c>
      <c r="N933">
        <v>15</v>
      </c>
      <c r="O933">
        <v>5</v>
      </c>
      <c r="P933">
        <f>MOD(DAY(datos_siembra[[#This Row],[Date]]),7)</f>
        <v>1</v>
      </c>
      <c r="Q933" t="str">
        <f>CHOOSE(WEEKDAY(datos_siembra[[#This Row],[Date]],2),"L","M","X","J","V","S","D")</f>
        <v>D</v>
      </c>
      <c r="R933">
        <f>WEEKNUM(datos_siembra[[#This Row],[Date]],2)-WEEKNUM(DATE(YEAR(datos_siembra[[#This Row],[Date]]),MONTH(datos_siembra[[#This Row],[Date]]),1))+1</f>
        <v>2</v>
      </c>
      <c r="S933">
        <f>MONTH(datos_siembra[[#This Row],[Date]])</f>
        <v>9</v>
      </c>
      <c r="T933" t="str" cm="1">
        <f t="array" ref="T933">_xlfn.IFS(AND(N933&lt;= 22, S933=9), "SOWING",AND(N933&lt;= 28, S933=9), "COVERAGE",AND(N933&lt;= 30, S933=9), "FLUSH",AND(N933&lt;= 11, S933=10), "FLUSH",AND(N933&lt;= 21, S933=10), "PRODUCTION")</f>
        <v>SOWING</v>
      </c>
      <c r="U933">
        <f>HOUR(datos_siembra[[#This Row],[Hour]])</f>
        <v>0</v>
      </c>
      <c r="V933" cm="1">
        <f t="array" ref="V933">_xlfn.IFS(AND(N933&lt;= 22, S933=9), N933-7,AND(N933&lt;= 28, S933=9), N933-25,AND(N933&lt;= 30, S933=9), N933-28,AND(N933&lt;= 11, S933=10), N933+2,AND(N933&lt;= 21, S933=10), N933-11)</f>
        <v>8</v>
      </c>
    </row>
    <row r="934" spans="1:22" x14ac:dyDescent="0.35">
      <c r="A934" s="4">
        <v>45550</v>
      </c>
      <c r="B934" s="5">
        <v>3.2800925925925928E-2</v>
      </c>
      <c r="C934">
        <v>82</v>
      </c>
      <c r="D934">
        <v>76.900000000000006</v>
      </c>
      <c r="E934">
        <v>80.8</v>
      </c>
      <c r="F934">
        <v>79.900000000000006</v>
      </c>
      <c r="G934">
        <v>0</v>
      </c>
      <c r="H934">
        <v>0</v>
      </c>
      <c r="I934">
        <v>0</v>
      </c>
      <c r="J934">
        <v>0</v>
      </c>
      <c r="K934">
        <v>60.1</v>
      </c>
      <c r="L934">
        <v>58.2</v>
      </c>
      <c r="M934">
        <v>80.010000000000005</v>
      </c>
      <c r="N934">
        <v>15</v>
      </c>
      <c r="O934">
        <v>5</v>
      </c>
      <c r="P934">
        <f>MOD(DAY(datos_siembra[[#This Row],[Date]]),7)</f>
        <v>1</v>
      </c>
      <c r="Q934" t="str">
        <f>CHOOSE(WEEKDAY(datos_siembra[[#This Row],[Date]],2),"L","M","X","J","V","S","D")</f>
        <v>D</v>
      </c>
      <c r="R934">
        <f>WEEKNUM(datos_siembra[[#This Row],[Date]],2)-WEEKNUM(DATE(YEAR(datos_siembra[[#This Row],[Date]]),MONTH(datos_siembra[[#This Row],[Date]]),1))+1</f>
        <v>2</v>
      </c>
      <c r="S934">
        <f>MONTH(datos_siembra[[#This Row],[Date]])</f>
        <v>9</v>
      </c>
      <c r="T934" t="str" cm="1">
        <f t="array" ref="T934">_xlfn.IFS(AND(N934&lt;= 22, S934=9), "SOWING",AND(N934&lt;= 28, S934=9), "COVERAGE",AND(N934&lt;= 30, S934=9), "FLUSH",AND(N934&lt;= 11, S934=10), "FLUSH",AND(N934&lt;= 21, S934=10), "PRODUCTION")</f>
        <v>SOWING</v>
      </c>
      <c r="U934">
        <f>HOUR(datos_siembra[[#This Row],[Hour]])</f>
        <v>0</v>
      </c>
      <c r="V934" cm="1">
        <f t="array" ref="V934">_xlfn.IFS(AND(N934&lt;= 22, S934=9), N934-7,AND(N934&lt;= 28, S934=9), N934-25,AND(N934&lt;= 30, S934=9), N934-28,AND(N934&lt;= 11, S934=10), N934+2,AND(N934&lt;= 21, S934=10), N934-11)</f>
        <v>8</v>
      </c>
    </row>
    <row r="935" spans="1:22" x14ac:dyDescent="0.35">
      <c r="A935" s="4">
        <v>45550</v>
      </c>
      <c r="B935" s="5">
        <v>3.9756944444444442E-2</v>
      </c>
      <c r="C935">
        <v>82.1</v>
      </c>
      <c r="D935">
        <v>77.099999999999994</v>
      </c>
      <c r="E935">
        <v>81.099999999999994</v>
      </c>
      <c r="F935">
        <v>79.900000000000006</v>
      </c>
      <c r="G935">
        <v>0</v>
      </c>
      <c r="H935">
        <v>0</v>
      </c>
      <c r="I935">
        <v>0</v>
      </c>
      <c r="J935">
        <v>0</v>
      </c>
      <c r="K935">
        <v>59.9</v>
      </c>
      <c r="L935">
        <v>58.1</v>
      </c>
      <c r="M935">
        <v>79.92</v>
      </c>
      <c r="N935">
        <v>15</v>
      </c>
      <c r="O935">
        <v>5</v>
      </c>
      <c r="P935">
        <f>MOD(DAY(datos_siembra[[#This Row],[Date]]),7)</f>
        <v>1</v>
      </c>
      <c r="Q935" t="str">
        <f>CHOOSE(WEEKDAY(datos_siembra[[#This Row],[Date]],2),"L","M","X","J","V","S","D")</f>
        <v>D</v>
      </c>
      <c r="R935">
        <f>WEEKNUM(datos_siembra[[#This Row],[Date]],2)-WEEKNUM(DATE(YEAR(datos_siembra[[#This Row],[Date]]),MONTH(datos_siembra[[#This Row],[Date]]),1))+1</f>
        <v>2</v>
      </c>
      <c r="S935">
        <f>MONTH(datos_siembra[[#This Row],[Date]])</f>
        <v>9</v>
      </c>
      <c r="T935" t="str" cm="1">
        <f t="array" ref="T935">_xlfn.IFS(AND(N935&lt;= 22, S935=9), "SOWING",AND(N935&lt;= 28, S935=9), "COVERAGE",AND(N935&lt;= 30, S935=9), "FLUSH",AND(N935&lt;= 11, S935=10), "FLUSH",AND(N935&lt;= 21, S935=10), "PRODUCTION")</f>
        <v>SOWING</v>
      </c>
      <c r="U935">
        <f>HOUR(datos_siembra[[#This Row],[Hour]])</f>
        <v>0</v>
      </c>
      <c r="V935" cm="1">
        <f t="array" ref="V935">_xlfn.IFS(AND(N935&lt;= 22, S935=9), N935-7,AND(N935&lt;= 28, S935=9), N935-25,AND(N935&lt;= 30, S935=9), N935-28,AND(N935&lt;= 11, S935=10), N935+2,AND(N935&lt;= 21, S935=10), N935-11)</f>
        <v>8</v>
      </c>
    </row>
    <row r="936" spans="1:22" x14ac:dyDescent="0.35">
      <c r="A936" s="4">
        <v>45550</v>
      </c>
      <c r="B936" s="5">
        <v>4.670138888888889E-2</v>
      </c>
      <c r="C936">
        <v>82.1</v>
      </c>
      <c r="D936">
        <v>77.099999999999994</v>
      </c>
      <c r="E936">
        <v>80.900000000000006</v>
      </c>
      <c r="F936">
        <v>79.900000000000006</v>
      </c>
      <c r="G936">
        <v>0</v>
      </c>
      <c r="H936">
        <v>0</v>
      </c>
      <c r="I936">
        <v>0</v>
      </c>
      <c r="J936">
        <v>0</v>
      </c>
      <c r="K936">
        <v>60</v>
      </c>
      <c r="L936">
        <v>58.1</v>
      </c>
      <c r="M936">
        <v>80.010000000000005</v>
      </c>
      <c r="N936">
        <v>15</v>
      </c>
      <c r="O936">
        <v>5</v>
      </c>
      <c r="P936">
        <f>MOD(DAY(datos_siembra[[#This Row],[Date]]),7)</f>
        <v>1</v>
      </c>
      <c r="Q936" t="str">
        <f>CHOOSE(WEEKDAY(datos_siembra[[#This Row],[Date]],2),"L","M","X","J","V","S","D")</f>
        <v>D</v>
      </c>
      <c r="R936">
        <f>WEEKNUM(datos_siembra[[#This Row],[Date]],2)-WEEKNUM(DATE(YEAR(datos_siembra[[#This Row],[Date]]),MONTH(datos_siembra[[#This Row],[Date]]),1))+1</f>
        <v>2</v>
      </c>
      <c r="S936">
        <f>MONTH(datos_siembra[[#This Row],[Date]])</f>
        <v>9</v>
      </c>
      <c r="T936" t="str" cm="1">
        <f t="array" ref="T936">_xlfn.IFS(AND(N936&lt;= 22, S936=9), "SOWING",AND(N936&lt;= 28, S936=9), "COVERAGE",AND(N936&lt;= 30, S936=9), "FLUSH",AND(N936&lt;= 11, S936=10), "FLUSH",AND(N936&lt;= 21, S936=10), "PRODUCTION")</f>
        <v>SOWING</v>
      </c>
      <c r="U936">
        <f>HOUR(datos_siembra[[#This Row],[Hour]])</f>
        <v>1</v>
      </c>
      <c r="V936" cm="1">
        <f t="array" ref="V936">_xlfn.IFS(AND(N936&lt;= 22, S936=9), N936-7,AND(N936&lt;= 28, S936=9), N936-25,AND(N936&lt;= 30, S936=9), N936-28,AND(N936&lt;= 11, S936=10), N936+2,AND(N936&lt;= 21, S936=10), N936-11)</f>
        <v>8</v>
      </c>
    </row>
    <row r="937" spans="1:22" x14ac:dyDescent="0.35">
      <c r="A937" s="4">
        <v>45550</v>
      </c>
      <c r="B937" s="5">
        <v>5.364583333333333E-2</v>
      </c>
      <c r="C937">
        <v>82</v>
      </c>
      <c r="D937">
        <v>77</v>
      </c>
      <c r="E937">
        <v>80.8</v>
      </c>
      <c r="F937">
        <v>79.900000000000006</v>
      </c>
      <c r="G937">
        <v>0</v>
      </c>
      <c r="H937">
        <v>0</v>
      </c>
      <c r="I937">
        <v>0</v>
      </c>
      <c r="J937">
        <v>0</v>
      </c>
      <c r="K937">
        <v>59.9</v>
      </c>
      <c r="L937">
        <v>58</v>
      </c>
      <c r="M937">
        <v>79.900000000000006</v>
      </c>
      <c r="N937">
        <v>15</v>
      </c>
      <c r="O937">
        <v>5</v>
      </c>
      <c r="P937">
        <f>MOD(DAY(datos_siembra[[#This Row],[Date]]),7)</f>
        <v>1</v>
      </c>
      <c r="Q937" t="str">
        <f>CHOOSE(WEEKDAY(datos_siembra[[#This Row],[Date]],2),"L","M","X","J","V","S","D")</f>
        <v>D</v>
      </c>
      <c r="R937">
        <f>WEEKNUM(datos_siembra[[#This Row],[Date]],2)-WEEKNUM(DATE(YEAR(datos_siembra[[#This Row],[Date]]),MONTH(datos_siembra[[#This Row],[Date]]),1))+1</f>
        <v>2</v>
      </c>
      <c r="S937">
        <f>MONTH(datos_siembra[[#This Row],[Date]])</f>
        <v>9</v>
      </c>
      <c r="T937" t="str" cm="1">
        <f t="array" ref="T937">_xlfn.IFS(AND(N937&lt;= 22, S937=9), "SOWING",AND(N937&lt;= 28, S937=9), "COVERAGE",AND(N937&lt;= 30, S937=9), "FLUSH",AND(N937&lt;= 11, S937=10), "FLUSH",AND(N937&lt;= 21, S937=10), "PRODUCTION")</f>
        <v>SOWING</v>
      </c>
      <c r="U937">
        <f>HOUR(datos_siembra[[#This Row],[Hour]])</f>
        <v>1</v>
      </c>
      <c r="V937" cm="1">
        <f t="array" ref="V937">_xlfn.IFS(AND(N937&lt;= 22, S937=9), N937-7,AND(N937&lt;= 28, S937=9), N937-25,AND(N937&lt;= 30, S937=9), N937-28,AND(N937&lt;= 11, S937=10), N937+2,AND(N937&lt;= 21, S937=10), N937-11)</f>
        <v>8</v>
      </c>
    </row>
    <row r="938" spans="1:22" x14ac:dyDescent="0.35">
      <c r="A938" s="4">
        <v>45550</v>
      </c>
      <c r="B938" s="5">
        <v>6.0590277777777778E-2</v>
      </c>
      <c r="C938">
        <v>81.8</v>
      </c>
      <c r="D938">
        <v>77.099999999999994</v>
      </c>
      <c r="E938">
        <v>81.099999999999994</v>
      </c>
      <c r="F938">
        <v>80</v>
      </c>
      <c r="G938">
        <v>0</v>
      </c>
      <c r="H938">
        <v>0</v>
      </c>
      <c r="I938">
        <v>0</v>
      </c>
      <c r="J938">
        <v>0</v>
      </c>
      <c r="K938">
        <v>59.9</v>
      </c>
      <c r="L938">
        <v>58</v>
      </c>
      <c r="M938">
        <v>79.95</v>
      </c>
      <c r="N938">
        <v>15</v>
      </c>
      <c r="O938">
        <v>5</v>
      </c>
      <c r="P938">
        <f>MOD(DAY(datos_siembra[[#This Row],[Date]]),7)</f>
        <v>1</v>
      </c>
      <c r="Q938" t="str">
        <f>CHOOSE(WEEKDAY(datos_siembra[[#This Row],[Date]],2),"L","M","X","J","V","S","D")</f>
        <v>D</v>
      </c>
      <c r="R938">
        <f>WEEKNUM(datos_siembra[[#This Row],[Date]],2)-WEEKNUM(DATE(YEAR(datos_siembra[[#This Row],[Date]]),MONTH(datos_siembra[[#This Row],[Date]]),1))+1</f>
        <v>2</v>
      </c>
      <c r="S938">
        <f>MONTH(datos_siembra[[#This Row],[Date]])</f>
        <v>9</v>
      </c>
      <c r="T938" t="str" cm="1">
        <f t="array" ref="T938">_xlfn.IFS(AND(N938&lt;= 22, S938=9), "SOWING",AND(N938&lt;= 28, S938=9), "COVERAGE",AND(N938&lt;= 30, S938=9), "FLUSH",AND(N938&lt;= 11, S938=10), "FLUSH",AND(N938&lt;= 21, S938=10), "PRODUCTION")</f>
        <v>SOWING</v>
      </c>
      <c r="U938">
        <f>HOUR(datos_siembra[[#This Row],[Hour]])</f>
        <v>1</v>
      </c>
      <c r="V938" cm="1">
        <f t="array" ref="V938">_xlfn.IFS(AND(N938&lt;= 22, S938=9), N938-7,AND(N938&lt;= 28, S938=9), N938-25,AND(N938&lt;= 30, S938=9), N938-28,AND(N938&lt;= 11, S938=10), N938+2,AND(N938&lt;= 21, S938=10), N938-11)</f>
        <v>8</v>
      </c>
    </row>
    <row r="939" spans="1:22" x14ac:dyDescent="0.35">
      <c r="A939" s="4">
        <v>45550</v>
      </c>
      <c r="B939" s="5">
        <v>6.7546296296296299E-2</v>
      </c>
      <c r="C939">
        <v>81.7</v>
      </c>
      <c r="D939">
        <v>77</v>
      </c>
      <c r="E939">
        <v>80.599999999999994</v>
      </c>
      <c r="F939">
        <v>80</v>
      </c>
      <c r="G939">
        <v>0</v>
      </c>
      <c r="H939">
        <v>0</v>
      </c>
      <c r="I939">
        <v>0</v>
      </c>
      <c r="J939">
        <v>0</v>
      </c>
      <c r="K939">
        <v>59.9</v>
      </c>
      <c r="L939">
        <v>57.9</v>
      </c>
      <c r="M939">
        <v>79.95</v>
      </c>
      <c r="N939">
        <v>15</v>
      </c>
      <c r="O939">
        <v>5</v>
      </c>
      <c r="P939">
        <f>MOD(DAY(datos_siembra[[#This Row],[Date]]),7)</f>
        <v>1</v>
      </c>
      <c r="Q939" t="str">
        <f>CHOOSE(WEEKDAY(datos_siembra[[#This Row],[Date]],2),"L","M","X","J","V","S","D")</f>
        <v>D</v>
      </c>
      <c r="R939">
        <f>WEEKNUM(datos_siembra[[#This Row],[Date]],2)-WEEKNUM(DATE(YEAR(datos_siembra[[#This Row],[Date]]),MONTH(datos_siembra[[#This Row],[Date]]),1))+1</f>
        <v>2</v>
      </c>
      <c r="S939">
        <f>MONTH(datos_siembra[[#This Row],[Date]])</f>
        <v>9</v>
      </c>
      <c r="T939" t="str" cm="1">
        <f t="array" ref="T939">_xlfn.IFS(AND(N939&lt;= 22, S939=9), "SOWING",AND(N939&lt;= 28, S939=9), "COVERAGE",AND(N939&lt;= 30, S939=9), "FLUSH",AND(N939&lt;= 11, S939=10), "FLUSH",AND(N939&lt;= 21, S939=10), "PRODUCTION")</f>
        <v>SOWING</v>
      </c>
      <c r="U939">
        <f>HOUR(datos_siembra[[#This Row],[Hour]])</f>
        <v>1</v>
      </c>
      <c r="V939" cm="1">
        <f t="array" ref="V939">_xlfn.IFS(AND(N939&lt;= 22, S939=9), N939-7,AND(N939&lt;= 28, S939=9), N939-25,AND(N939&lt;= 30, S939=9), N939-28,AND(N939&lt;= 11, S939=10), N939+2,AND(N939&lt;= 21, S939=10), N939-11)</f>
        <v>8</v>
      </c>
    </row>
    <row r="940" spans="1:22" x14ac:dyDescent="0.35">
      <c r="A940" s="4">
        <v>45550</v>
      </c>
      <c r="B940" s="5">
        <v>7.4490740740740746E-2</v>
      </c>
      <c r="C940">
        <v>81.8</v>
      </c>
      <c r="D940">
        <v>76.900000000000006</v>
      </c>
      <c r="E940">
        <v>81.599999999999994</v>
      </c>
      <c r="F940">
        <v>80.099999999999994</v>
      </c>
      <c r="G940">
        <v>0</v>
      </c>
      <c r="H940">
        <v>0</v>
      </c>
      <c r="I940">
        <v>0</v>
      </c>
      <c r="J940">
        <v>0</v>
      </c>
      <c r="K940">
        <v>59.8</v>
      </c>
      <c r="L940">
        <v>57.9</v>
      </c>
      <c r="M940">
        <v>80.12</v>
      </c>
      <c r="N940">
        <v>15</v>
      </c>
      <c r="O940">
        <v>5</v>
      </c>
      <c r="P940">
        <f>MOD(DAY(datos_siembra[[#This Row],[Date]]),7)</f>
        <v>1</v>
      </c>
      <c r="Q940" t="str">
        <f>CHOOSE(WEEKDAY(datos_siembra[[#This Row],[Date]],2),"L","M","X","J","V","S","D")</f>
        <v>D</v>
      </c>
      <c r="R940">
        <f>WEEKNUM(datos_siembra[[#This Row],[Date]],2)-WEEKNUM(DATE(YEAR(datos_siembra[[#This Row],[Date]]),MONTH(datos_siembra[[#This Row],[Date]]),1))+1</f>
        <v>2</v>
      </c>
      <c r="S940">
        <f>MONTH(datos_siembra[[#This Row],[Date]])</f>
        <v>9</v>
      </c>
      <c r="T940" t="str" cm="1">
        <f t="array" ref="T940">_xlfn.IFS(AND(N940&lt;= 22, S940=9), "SOWING",AND(N940&lt;= 28, S940=9), "COVERAGE",AND(N940&lt;= 30, S940=9), "FLUSH",AND(N940&lt;= 11, S940=10), "FLUSH",AND(N940&lt;= 21, S940=10), "PRODUCTION")</f>
        <v>SOWING</v>
      </c>
      <c r="U940">
        <f>HOUR(datos_siembra[[#This Row],[Hour]])</f>
        <v>1</v>
      </c>
      <c r="V940" cm="1">
        <f t="array" ref="V940">_xlfn.IFS(AND(N940&lt;= 22, S940=9), N940-7,AND(N940&lt;= 28, S940=9), N940-25,AND(N940&lt;= 30, S940=9), N940-28,AND(N940&lt;= 11, S940=10), N940+2,AND(N940&lt;= 21, S940=10), N940-11)</f>
        <v>8</v>
      </c>
    </row>
    <row r="941" spans="1:22" x14ac:dyDescent="0.35">
      <c r="A941" s="4">
        <v>45550</v>
      </c>
      <c r="B941" s="5">
        <v>8.143518518518518E-2</v>
      </c>
      <c r="C941">
        <v>81.7</v>
      </c>
      <c r="D941">
        <v>77</v>
      </c>
      <c r="E941">
        <v>80.599999999999994</v>
      </c>
      <c r="F941">
        <v>79.900000000000006</v>
      </c>
      <c r="G941">
        <v>0</v>
      </c>
      <c r="H941">
        <v>0</v>
      </c>
      <c r="I941">
        <v>0</v>
      </c>
      <c r="J941">
        <v>0</v>
      </c>
      <c r="K941">
        <v>59.7</v>
      </c>
      <c r="L941">
        <v>57.9</v>
      </c>
      <c r="M941">
        <v>79.900000000000006</v>
      </c>
      <c r="N941">
        <v>15</v>
      </c>
      <c r="O941">
        <v>5</v>
      </c>
      <c r="P941">
        <f>MOD(DAY(datos_siembra[[#This Row],[Date]]),7)</f>
        <v>1</v>
      </c>
      <c r="Q941" t="str">
        <f>CHOOSE(WEEKDAY(datos_siembra[[#This Row],[Date]],2),"L","M","X","J","V","S","D")</f>
        <v>D</v>
      </c>
      <c r="R941">
        <f>WEEKNUM(datos_siembra[[#This Row],[Date]],2)-WEEKNUM(DATE(YEAR(datos_siembra[[#This Row],[Date]]),MONTH(datos_siembra[[#This Row],[Date]]),1))+1</f>
        <v>2</v>
      </c>
      <c r="S941">
        <f>MONTH(datos_siembra[[#This Row],[Date]])</f>
        <v>9</v>
      </c>
      <c r="T941" t="str" cm="1">
        <f t="array" ref="T941">_xlfn.IFS(AND(N941&lt;= 22, S941=9), "SOWING",AND(N941&lt;= 28, S941=9), "COVERAGE",AND(N941&lt;= 30, S941=9), "FLUSH",AND(N941&lt;= 11, S941=10), "FLUSH",AND(N941&lt;= 21, S941=10), "PRODUCTION")</f>
        <v>SOWING</v>
      </c>
      <c r="U941">
        <f>HOUR(datos_siembra[[#This Row],[Hour]])</f>
        <v>1</v>
      </c>
      <c r="V941" cm="1">
        <f t="array" ref="V941">_xlfn.IFS(AND(N941&lt;= 22, S941=9), N941-7,AND(N941&lt;= 28, S941=9), N941-25,AND(N941&lt;= 30, S941=9), N941-28,AND(N941&lt;= 11, S941=10), N941+2,AND(N941&lt;= 21, S941=10), N941-11)</f>
        <v>8</v>
      </c>
    </row>
    <row r="942" spans="1:22" x14ac:dyDescent="0.35">
      <c r="A942" s="4">
        <v>45550</v>
      </c>
      <c r="B942" s="5">
        <v>8.8379629629629627E-2</v>
      </c>
      <c r="C942">
        <v>81.599999999999994</v>
      </c>
      <c r="D942">
        <v>77</v>
      </c>
      <c r="E942">
        <v>80.7</v>
      </c>
      <c r="F942">
        <v>80</v>
      </c>
      <c r="G942">
        <v>0</v>
      </c>
      <c r="H942">
        <v>0</v>
      </c>
      <c r="I942">
        <v>0</v>
      </c>
      <c r="J942">
        <v>0</v>
      </c>
      <c r="K942">
        <v>60.6</v>
      </c>
      <c r="L942">
        <v>58.9</v>
      </c>
      <c r="M942">
        <v>79.87</v>
      </c>
      <c r="N942">
        <v>15</v>
      </c>
      <c r="O942">
        <v>5</v>
      </c>
      <c r="P942">
        <f>MOD(DAY(datos_siembra[[#This Row],[Date]]),7)</f>
        <v>1</v>
      </c>
      <c r="Q942" t="str">
        <f>CHOOSE(WEEKDAY(datos_siembra[[#This Row],[Date]],2),"L","M","X","J","V","S","D")</f>
        <v>D</v>
      </c>
      <c r="R942">
        <f>WEEKNUM(datos_siembra[[#This Row],[Date]],2)-WEEKNUM(DATE(YEAR(datos_siembra[[#This Row],[Date]]),MONTH(datos_siembra[[#This Row],[Date]]),1))+1</f>
        <v>2</v>
      </c>
      <c r="S942">
        <f>MONTH(datos_siembra[[#This Row],[Date]])</f>
        <v>9</v>
      </c>
      <c r="T942" t="str" cm="1">
        <f t="array" ref="T942">_xlfn.IFS(AND(N942&lt;= 22, S942=9), "SOWING",AND(N942&lt;= 28, S942=9), "COVERAGE",AND(N942&lt;= 30, S942=9), "FLUSH",AND(N942&lt;= 11, S942=10), "FLUSH",AND(N942&lt;= 21, S942=10), "PRODUCTION")</f>
        <v>SOWING</v>
      </c>
      <c r="U942">
        <f>HOUR(datos_siembra[[#This Row],[Hour]])</f>
        <v>2</v>
      </c>
      <c r="V942" cm="1">
        <f t="array" ref="V942">_xlfn.IFS(AND(N942&lt;= 22, S942=9), N942-7,AND(N942&lt;= 28, S942=9), N942-25,AND(N942&lt;= 30, S942=9), N942-28,AND(N942&lt;= 11, S942=10), N942+2,AND(N942&lt;= 21, S942=10), N942-11)</f>
        <v>8</v>
      </c>
    </row>
    <row r="943" spans="1:22" x14ac:dyDescent="0.35">
      <c r="A943" s="4">
        <v>45550</v>
      </c>
      <c r="B943" s="5">
        <v>9.5335648148148142E-2</v>
      </c>
      <c r="C943">
        <v>81.8</v>
      </c>
      <c r="D943">
        <v>76.900000000000006</v>
      </c>
      <c r="E943">
        <v>80.7</v>
      </c>
      <c r="F943">
        <v>80.099999999999994</v>
      </c>
      <c r="G943">
        <v>0</v>
      </c>
      <c r="H943">
        <v>0</v>
      </c>
      <c r="I943">
        <v>0</v>
      </c>
      <c r="J943">
        <v>0</v>
      </c>
      <c r="K943">
        <v>61.1</v>
      </c>
      <c r="L943">
        <v>59.4</v>
      </c>
      <c r="M943">
        <v>79.84</v>
      </c>
      <c r="N943">
        <v>15</v>
      </c>
      <c r="O943">
        <v>5</v>
      </c>
      <c r="P943">
        <f>MOD(DAY(datos_siembra[[#This Row],[Date]]),7)</f>
        <v>1</v>
      </c>
      <c r="Q943" t="str">
        <f>CHOOSE(WEEKDAY(datos_siembra[[#This Row],[Date]],2),"L","M","X","J","V","S","D")</f>
        <v>D</v>
      </c>
      <c r="R943">
        <f>WEEKNUM(datos_siembra[[#This Row],[Date]],2)-WEEKNUM(DATE(YEAR(datos_siembra[[#This Row],[Date]]),MONTH(datos_siembra[[#This Row],[Date]]),1))+1</f>
        <v>2</v>
      </c>
      <c r="S943">
        <f>MONTH(datos_siembra[[#This Row],[Date]])</f>
        <v>9</v>
      </c>
      <c r="T943" t="str" cm="1">
        <f t="array" ref="T943">_xlfn.IFS(AND(N943&lt;= 22, S943=9), "SOWING",AND(N943&lt;= 28, S943=9), "COVERAGE",AND(N943&lt;= 30, S943=9), "FLUSH",AND(N943&lt;= 11, S943=10), "FLUSH",AND(N943&lt;= 21, S943=10), "PRODUCTION")</f>
        <v>SOWING</v>
      </c>
      <c r="U943">
        <f>HOUR(datos_siembra[[#This Row],[Hour]])</f>
        <v>2</v>
      </c>
      <c r="V943" cm="1">
        <f t="array" ref="V943">_xlfn.IFS(AND(N943&lt;= 22, S943=9), N943-7,AND(N943&lt;= 28, S943=9), N943-25,AND(N943&lt;= 30, S943=9), N943-28,AND(N943&lt;= 11, S943=10), N943+2,AND(N943&lt;= 21, S943=10), N943-11)</f>
        <v>8</v>
      </c>
    </row>
    <row r="944" spans="1:22" x14ac:dyDescent="0.35">
      <c r="A944" s="4">
        <v>45550</v>
      </c>
      <c r="B944" s="5">
        <v>0.10228009259259259</v>
      </c>
      <c r="C944">
        <v>81.7</v>
      </c>
      <c r="D944">
        <v>76.8</v>
      </c>
      <c r="E944">
        <v>80.7</v>
      </c>
      <c r="F944">
        <v>80</v>
      </c>
      <c r="G944">
        <v>0</v>
      </c>
      <c r="H944">
        <v>0</v>
      </c>
      <c r="I944">
        <v>0</v>
      </c>
      <c r="J944">
        <v>0</v>
      </c>
      <c r="K944">
        <v>60.5</v>
      </c>
      <c r="L944">
        <v>58.7</v>
      </c>
      <c r="M944">
        <v>79.84</v>
      </c>
      <c r="N944">
        <v>15</v>
      </c>
      <c r="O944">
        <v>5</v>
      </c>
      <c r="P944">
        <f>MOD(DAY(datos_siembra[[#This Row],[Date]]),7)</f>
        <v>1</v>
      </c>
      <c r="Q944" t="str">
        <f>CHOOSE(WEEKDAY(datos_siembra[[#This Row],[Date]],2),"L","M","X","J","V","S","D")</f>
        <v>D</v>
      </c>
      <c r="R944">
        <f>WEEKNUM(datos_siembra[[#This Row],[Date]],2)-WEEKNUM(DATE(YEAR(datos_siembra[[#This Row],[Date]]),MONTH(datos_siembra[[#This Row],[Date]]),1))+1</f>
        <v>2</v>
      </c>
      <c r="S944">
        <f>MONTH(datos_siembra[[#This Row],[Date]])</f>
        <v>9</v>
      </c>
      <c r="T944" t="str" cm="1">
        <f t="array" ref="T944">_xlfn.IFS(AND(N944&lt;= 22, S944=9), "SOWING",AND(N944&lt;= 28, S944=9), "COVERAGE",AND(N944&lt;= 30, S944=9), "FLUSH",AND(N944&lt;= 11, S944=10), "FLUSH",AND(N944&lt;= 21, S944=10), "PRODUCTION")</f>
        <v>SOWING</v>
      </c>
      <c r="U944">
        <f>HOUR(datos_siembra[[#This Row],[Hour]])</f>
        <v>2</v>
      </c>
      <c r="V944" cm="1">
        <f t="array" ref="V944">_xlfn.IFS(AND(N944&lt;= 22, S944=9), N944-7,AND(N944&lt;= 28, S944=9), N944-25,AND(N944&lt;= 30, S944=9), N944-28,AND(N944&lt;= 11, S944=10), N944+2,AND(N944&lt;= 21, S944=10), N944-11)</f>
        <v>8</v>
      </c>
    </row>
    <row r="945" spans="1:22" x14ac:dyDescent="0.35">
      <c r="A945" s="4">
        <v>45550</v>
      </c>
      <c r="B945" s="5">
        <v>0.10922453703703704</v>
      </c>
      <c r="C945">
        <v>81.599999999999994</v>
      </c>
      <c r="D945">
        <v>76.900000000000006</v>
      </c>
      <c r="E945">
        <v>80.7</v>
      </c>
      <c r="F945">
        <v>80.099999999999994</v>
      </c>
      <c r="G945">
        <v>0</v>
      </c>
      <c r="H945">
        <v>0</v>
      </c>
      <c r="I945">
        <v>0</v>
      </c>
      <c r="J945">
        <v>0</v>
      </c>
      <c r="K945">
        <v>60.1</v>
      </c>
      <c r="L945">
        <v>58.2</v>
      </c>
      <c r="M945">
        <v>79.900000000000006</v>
      </c>
      <c r="N945">
        <v>15</v>
      </c>
      <c r="O945">
        <v>5</v>
      </c>
      <c r="P945">
        <f>MOD(DAY(datos_siembra[[#This Row],[Date]]),7)</f>
        <v>1</v>
      </c>
      <c r="Q945" t="str">
        <f>CHOOSE(WEEKDAY(datos_siembra[[#This Row],[Date]],2),"L","M","X","J","V","S","D")</f>
        <v>D</v>
      </c>
      <c r="R945">
        <f>WEEKNUM(datos_siembra[[#This Row],[Date]],2)-WEEKNUM(DATE(YEAR(datos_siembra[[#This Row],[Date]]),MONTH(datos_siembra[[#This Row],[Date]]),1))+1</f>
        <v>2</v>
      </c>
      <c r="S945">
        <f>MONTH(datos_siembra[[#This Row],[Date]])</f>
        <v>9</v>
      </c>
      <c r="T945" t="str" cm="1">
        <f t="array" ref="T945">_xlfn.IFS(AND(N945&lt;= 22, S945=9), "SOWING",AND(N945&lt;= 28, S945=9), "COVERAGE",AND(N945&lt;= 30, S945=9), "FLUSH",AND(N945&lt;= 11, S945=10), "FLUSH",AND(N945&lt;= 21, S945=10), "PRODUCTION")</f>
        <v>SOWING</v>
      </c>
      <c r="U945">
        <f>HOUR(datos_siembra[[#This Row],[Hour]])</f>
        <v>2</v>
      </c>
      <c r="V945" cm="1">
        <f t="array" ref="V945">_xlfn.IFS(AND(N945&lt;= 22, S945=9), N945-7,AND(N945&lt;= 28, S945=9), N945-25,AND(N945&lt;= 30, S945=9), N945-28,AND(N945&lt;= 11, S945=10), N945+2,AND(N945&lt;= 21, S945=10), N945-11)</f>
        <v>8</v>
      </c>
    </row>
    <row r="946" spans="1:22" x14ac:dyDescent="0.35">
      <c r="A946" s="4">
        <v>45550</v>
      </c>
      <c r="B946" s="5">
        <v>0.11616898148148148</v>
      </c>
      <c r="C946">
        <v>81.5</v>
      </c>
      <c r="D946">
        <v>76.900000000000006</v>
      </c>
      <c r="E946">
        <v>80.599999999999994</v>
      </c>
      <c r="F946">
        <v>80.099999999999994</v>
      </c>
      <c r="G946">
        <v>0</v>
      </c>
      <c r="H946">
        <v>0</v>
      </c>
      <c r="I946">
        <v>0</v>
      </c>
      <c r="J946">
        <v>0</v>
      </c>
      <c r="K946">
        <v>60</v>
      </c>
      <c r="L946">
        <v>58.2</v>
      </c>
      <c r="M946">
        <v>79.78</v>
      </c>
      <c r="N946">
        <v>15</v>
      </c>
      <c r="O946">
        <v>5</v>
      </c>
      <c r="P946">
        <f>MOD(DAY(datos_siembra[[#This Row],[Date]]),7)</f>
        <v>1</v>
      </c>
      <c r="Q946" t="str">
        <f>CHOOSE(WEEKDAY(datos_siembra[[#This Row],[Date]],2),"L","M","X","J","V","S","D")</f>
        <v>D</v>
      </c>
      <c r="R946">
        <f>WEEKNUM(datos_siembra[[#This Row],[Date]],2)-WEEKNUM(DATE(YEAR(datos_siembra[[#This Row],[Date]]),MONTH(datos_siembra[[#This Row],[Date]]),1))+1</f>
        <v>2</v>
      </c>
      <c r="S946">
        <f>MONTH(datos_siembra[[#This Row],[Date]])</f>
        <v>9</v>
      </c>
      <c r="T946" t="str" cm="1">
        <f t="array" ref="T946">_xlfn.IFS(AND(N946&lt;= 22, S946=9), "SOWING",AND(N946&lt;= 28, S946=9), "COVERAGE",AND(N946&lt;= 30, S946=9), "FLUSH",AND(N946&lt;= 11, S946=10), "FLUSH",AND(N946&lt;= 21, S946=10), "PRODUCTION")</f>
        <v>SOWING</v>
      </c>
      <c r="U946">
        <f>HOUR(datos_siembra[[#This Row],[Hour]])</f>
        <v>2</v>
      </c>
      <c r="V946" cm="1">
        <f t="array" ref="V946">_xlfn.IFS(AND(N946&lt;= 22, S946=9), N946-7,AND(N946&lt;= 28, S946=9), N946-25,AND(N946&lt;= 30, S946=9), N946-28,AND(N946&lt;= 11, S946=10), N946+2,AND(N946&lt;= 21, S946=10), N946-11)</f>
        <v>8</v>
      </c>
    </row>
    <row r="947" spans="1:22" x14ac:dyDescent="0.35">
      <c r="A947" s="4">
        <v>45550</v>
      </c>
      <c r="B947" s="5">
        <v>0.123125</v>
      </c>
      <c r="C947">
        <v>81.599999999999994</v>
      </c>
      <c r="D947">
        <v>76.8</v>
      </c>
      <c r="E947">
        <v>80.599999999999994</v>
      </c>
      <c r="F947">
        <v>80.099999999999994</v>
      </c>
      <c r="G947">
        <v>0</v>
      </c>
      <c r="H947">
        <v>0</v>
      </c>
      <c r="I947">
        <v>0</v>
      </c>
      <c r="J947">
        <v>0</v>
      </c>
      <c r="K947">
        <v>59.9</v>
      </c>
      <c r="L947">
        <v>58.1</v>
      </c>
      <c r="M947">
        <v>79.81</v>
      </c>
      <c r="N947">
        <v>15</v>
      </c>
      <c r="O947">
        <v>5</v>
      </c>
      <c r="P947">
        <f>MOD(DAY(datos_siembra[[#This Row],[Date]]),7)</f>
        <v>1</v>
      </c>
      <c r="Q947" t="str">
        <f>CHOOSE(WEEKDAY(datos_siembra[[#This Row],[Date]],2),"L","M","X","J","V","S","D")</f>
        <v>D</v>
      </c>
      <c r="R947">
        <f>WEEKNUM(datos_siembra[[#This Row],[Date]],2)-WEEKNUM(DATE(YEAR(datos_siembra[[#This Row],[Date]]),MONTH(datos_siembra[[#This Row],[Date]]),1))+1</f>
        <v>2</v>
      </c>
      <c r="S947">
        <f>MONTH(datos_siembra[[#This Row],[Date]])</f>
        <v>9</v>
      </c>
      <c r="T947" t="str" cm="1">
        <f t="array" ref="T947">_xlfn.IFS(AND(N947&lt;= 22, S947=9), "SOWING",AND(N947&lt;= 28, S947=9), "COVERAGE",AND(N947&lt;= 30, S947=9), "FLUSH",AND(N947&lt;= 11, S947=10), "FLUSH",AND(N947&lt;= 21, S947=10), "PRODUCTION")</f>
        <v>SOWING</v>
      </c>
      <c r="U947">
        <f>HOUR(datos_siembra[[#This Row],[Hour]])</f>
        <v>2</v>
      </c>
      <c r="V947" cm="1">
        <f t="array" ref="V947">_xlfn.IFS(AND(N947&lt;= 22, S947=9), N947-7,AND(N947&lt;= 28, S947=9), N947-25,AND(N947&lt;= 30, S947=9), N947-28,AND(N947&lt;= 11, S947=10), N947+2,AND(N947&lt;= 21, S947=10), N947-11)</f>
        <v>8</v>
      </c>
    </row>
    <row r="948" spans="1:22" x14ac:dyDescent="0.35">
      <c r="A948" s="4">
        <v>45550</v>
      </c>
      <c r="B948" s="5">
        <v>0.13006944444444443</v>
      </c>
      <c r="C948">
        <v>81.5</v>
      </c>
      <c r="D948">
        <v>76.8</v>
      </c>
      <c r="E948">
        <v>80.7</v>
      </c>
      <c r="F948">
        <v>80</v>
      </c>
      <c r="G948">
        <v>0</v>
      </c>
      <c r="H948">
        <v>0</v>
      </c>
      <c r="I948">
        <v>0</v>
      </c>
      <c r="J948">
        <v>0</v>
      </c>
      <c r="K948">
        <v>59.9</v>
      </c>
      <c r="L948">
        <v>58.1</v>
      </c>
      <c r="M948">
        <v>79.7</v>
      </c>
      <c r="N948">
        <v>15</v>
      </c>
      <c r="O948">
        <v>5</v>
      </c>
      <c r="P948">
        <f>MOD(DAY(datos_siembra[[#This Row],[Date]]),7)</f>
        <v>1</v>
      </c>
      <c r="Q948" t="str">
        <f>CHOOSE(WEEKDAY(datos_siembra[[#This Row],[Date]],2),"L","M","X","J","V","S","D")</f>
        <v>D</v>
      </c>
      <c r="R948">
        <f>WEEKNUM(datos_siembra[[#This Row],[Date]],2)-WEEKNUM(DATE(YEAR(datos_siembra[[#This Row],[Date]]),MONTH(datos_siembra[[#This Row],[Date]]),1))+1</f>
        <v>2</v>
      </c>
      <c r="S948">
        <f>MONTH(datos_siembra[[#This Row],[Date]])</f>
        <v>9</v>
      </c>
      <c r="T948" t="str" cm="1">
        <f t="array" ref="T948">_xlfn.IFS(AND(N948&lt;= 22, S948=9), "SOWING",AND(N948&lt;= 28, S948=9), "COVERAGE",AND(N948&lt;= 30, S948=9), "FLUSH",AND(N948&lt;= 11, S948=10), "FLUSH",AND(N948&lt;= 21, S948=10), "PRODUCTION")</f>
        <v>SOWING</v>
      </c>
      <c r="U948">
        <f>HOUR(datos_siembra[[#This Row],[Hour]])</f>
        <v>3</v>
      </c>
      <c r="V948" cm="1">
        <f t="array" ref="V948">_xlfn.IFS(AND(N948&lt;= 22, S948=9), N948-7,AND(N948&lt;= 28, S948=9), N948-25,AND(N948&lt;= 30, S948=9), N948-28,AND(N948&lt;= 11, S948=10), N948+2,AND(N948&lt;= 21, S948=10), N948-11)</f>
        <v>8</v>
      </c>
    </row>
    <row r="949" spans="1:22" x14ac:dyDescent="0.35">
      <c r="A949" s="4">
        <v>45550</v>
      </c>
      <c r="B949" s="5">
        <v>0.13701388888888888</v>
      </c>
      <c r="C949">
        <v>81.5</v>
      </c>
      <c r="D949">
        <v>76.7</v>
      </c>
      <c r="E949">
        <v>80.8</v>
      </c>
      <c r="F949">
        <v>80.099999999999994</v>
      </c>
      <c r="G949">
        <v>0</v>
      </c>
      <c r="H949">
        <v>0</v>
      </c>
      <c r="I949">
        <v>0</v>
      </c>
      <c r="J949">
        <v>0</v>
      </c>
      <c r="K949">
        <v>59.8</v>
      </c>
      <c r="L949">
        <v>58</v>
      </c>
      <c r="M949">
        <v>79.7</v>
      </c>
      <c r="N949">
        <v>15</v>
      </c>
      <c r="O949">
        <v>5</v>
      </c>
      <c r="P949">
        <f>MOD(DAY(datos_siembra[[#This Row],[Date]]),7)</f>
        <v>1</v>
      </c>
      <c r="Q949" t="str">
        <f>CHOOSE(WEEKDAY(datos_siembra[[#This Row],[Date]],2),"L","M","X","J","V","S","D")</f>
        <v>D</v>
      </c>
      <c r="R949">
        <f>WEEKNUM(datos_siembra[[#This Row],[Date]],2)-WEEKNUM(DATE(YEAR(datos_siembra[[#This Row],[Date]]),MONTH(datos_siembra[[#This Row],[Date]]),1))+1</f>
        <v>2</v>
      </c>
      <c r="S949">
        <f>MONTH(datos_siembra[[#This Row],[Date]])</f>
        <v>9</v>
      </c>
      <c r="T949" t="str" cm="1">
        <f t="array" ref="T949">_xlfn.IFS(AND(N949&lt;= 22, S949=9), "SOWING",AND(N949&lt;= 28, S949=9), "COVERAGE",AND(N949&lt;= 30, S949=9), "FLUSH",AND(N949&lt;= 11, S949=10), "FLUSH",AND(N949&lt;= 21, S949=10), "PRODUCTION")</f>
        <v>SOWING</v>
      </c>
      <c r="U949">
        <f>HOUR(datos_siembra[[#This Row],[Hour]])</f>
        <v>3</v>
      </c>
      <c r="V949" cm="1">
        <f t="array" ref="V949">_xlfn.IFS(AND(N949&lt;= 22, S949=9), N949-7,AND(N949&lt;= 28, S949=9), N949-25,AND(N949&lt;= 30, S949=9), N949-28,AND(N949&lt;= 11, S949=10), N949+2,AND(N949&lt;= 21, S949=10), N949-11)</f>
        <v>8</v>
      </c>
    </row>
    <row r="950" spans="1:22" x14ac:dyDescent="0.35">
      <c r="A950" s="4">
        <v>45550</v>
      </c>
      <c r="B950" s="5">
        <v>0.14396990740740739</v>
      </c>
      <c r="C950">
        <v>81.599999999999994</v>
      </c>
      <c r="D950">
        <v>76.7</v>
      </c>
      <c r="E950">
        <v>80.599999999999994</v>
      </c>
      <c r="F950">
        <v>80.099999999999994</v>
      </c>
      <c r="G950">
        <v>0</v>
      </c>
      <c r="H950">
        <v>0</v>
      </c>
      <c r="I950">
        <v>0</v>
      </c>
      <c r="J950">
        <v>0</v>
      </c>
      <c r="K950">
        <v>59.8</v>
      </c>
      <c r="L950">
        <v>58</v>
      </c>
      <c r="M950">
        <v>79.67</v>
      </c>
      <c r="N950">
        <v>15</v>
      </c>
      <c r="O950">
        <v>5</v>
      </c>
      <c r="P950">
        <f>MOD(DAY(datos_siembra[[#This Row],[Date]]),7)</f>
        <v>1</v>
      </c>
      <c r="Q950" t="str">
        <f>CHOOSE(WEEKDAY(datos_siembra[[#This Row],[Date]],2),"L","M","X","J","V","S","D")</f>
        <v>D</v>
      </c>
      <c r="R950">
        <f>WEEKNUM(datos_siembra[[#This Row],[Date]],2)-WEEKNUM(DATE(YEAR(datos_siembra[[#This Row],[Date]]),MONTH(datos_siembra[[#This Row],[Date]]),1))+1</f>
        <v>2</v>
      </c>
      <c r="S950">
        <f>MONTH(datos_siembra[[#This Row],[Date]])</f>
        <v>9</v>
      </c>
      <c r="T950" t="str" cm="1">
        <f t="array" ref="T950">_xlfn.IFS(AND(N950&lt;= 22, S950=9), "SOWING",AND(N950&lt;= 28, S950=9), "COVERAGE",AND(N950&lt;= 30, S950=9), "FLUSH",AND(N950&lt;= 11, S950=10), "FLUSH",AND(N950&lt;= 21, S950=10), "PRODUCTION")</f>
        <v>SOWING</v>
      </c>
      <c r="U950">
        <f>HOUR(datos_siembra[[#This Row],[Hour]])</f>
        <v>3</v>
      </c>
      <c r="V950" cm="1">
        <f t="array" ref="V950">_xlfn.IFS(AND(N950&lt;= 22, S950=9), N950-7,AND(N950&lt;= 28, S950=9), N950-25,AND(N950&lt;= 30, S950=9), N950-28,AND(N950&lt;= 11, S950=10), N950+2,AND(N950&lt;= 21, S950=10), N950-11)</f>
        <v>8</v>
      </c>
    </row>
    <row r="951" spans="1:22" x14ac:dyDescent="0.35">
      <c r="A951" s="4">
        <v>45550</v>
      </c>
      <c r="B951" s="5">
        <v>0.15091435185185184</v>
      </c>
      <c r="C951">
        <v>81.400000000000006</v>
      </c>
      <c r="D951">
        <v>76.7</v>
      </c>
      <c r="E951">
        <v>80.400000000000006</v>
      </c>
      <c r="F951">
        <v>80</v>
      </c>
      <c r="G951">
        <v>0</v>
      </c>
      <c r="H951">
        <v>0</v>
      </c>
      <c r="I951">
        <v>0</v>
      </c>
      <c r="J951">
        <v>0</v>
      </c>
      <c r="K951">
        <v>59.7</v>
      </c>
      <c r="L951">
        <v>57.9</v>
      </c>
      <c r="M951">
        <v>79.760000000000005</v>
      </c>
      <c r="N951">
        <v>15</v>
      </c>
      <c r="O951">
        <v>5</v>
      </c>
      <c r="P951">
        <f>MOD(DAY(datos_siembra[[#This Row],[Date]]),7)</f>
        <v>1</v>
      </c>
      <c r="Q951" t="str">
        <f>CHOOSE(WEEKDAY(datos_siembra[[#This Row],[Date]],2),"L","M","X","J","V","S","D")</f>
        <v>D</v>
      </c>
      <c r="R951">
        <f>WEEKNUM(datos_siembra[[#This Row],[Date]],2)-WEEKNUM(DATE(YEAR(datos_siembra[[#This Row],[Date]]),MONTH(datos_siembra[[#This Row],[Date]]),1))+1</f>
        <v>2</v>
      </c>
      <c r="S951">
        <f>MONTH(datos_siembra[[#This Row],[Date]])</f>
        <v>9</v>
      </c>
      <c r="T951" t="str" cm="1">
        <f t="array" ref="T951">_xlfn.IFS(AND(N951&lt;= 22, S951=9), "SOWING",AND(N951&lt;= 28, S951=9), "COVERAGE",AND(N951&lt;= 30, S951=9), "FLUSH",AND(N951&lt;= 11, S951=10), "FLUSH",AND(N951&lt;= 21, S951=10), "PRODUCTION")</f>
        <v>SOWING</v>
      </c>
      <c r="U951">
        <f>HOUR(datos_siembra[[#This Row],[Hour]])</f>
        <v>3</v>
      </c>
      <c r="V951" cm="1">
        <f t="array" ref="V951">_xlfn.IFS(AND(N951&lt;= 22, S951=9), N951-7,AND(N951&lt;= 28, S951=9), N951-25,AND(N951&lt;= 30, S951=9), N951-28,AND(N951&lt;= 11, S951=10), N951+2,AND(N951&lt;= 21, S951=10), N951-11)</f>
        <v>8</v>
      </c>
    </row>
    <row r="952" spans="1:22" x14ac:dyDescent="0.35">
      <c r="A952" s="4">
        <v>45550</v>
      </c>
      <c r="B952" s="5">
        <v>0.15785879629629629</v>
      </c>
      <c r="C952">
        <v>81.400000000000006</v>
      </c>
      <c r="D952">
        <v>76.7</v>
      </c>
      <c r="E952">
        <v>80.5</v>
      </c>
      <c r="F952">
        <v>79.900000000000006</v>
      </c>
      <c r="G952">
        <v>0</v>
      </c>
      <c r="H952">
        <v>0</v>
      </c>
      <c r="I952">
        <v>0</v>
      </c>
      <c r="J952">
        <v>0</v>
      </c>
      <c r="K952">
        <v>59.8</v>
      </c>
      <c r="L952">
        <v>58</v>
      </c>
      <c r="M952">
        <v>79.59</v>
      </c>
      <c r="N952">
        <v>15</v>
      </c>
      <c r="O952">
        <v>5</v>
      </c>
      <c r="P952">
        <f>MOD(DAY(datos_siembra[[#This Row],[Date]]),7)</f>
        <v>1</v>
      </c>
      <c r="Q952" t="str">
        <f>CHOOSE(WEEKDAY(datos_siembra[[#This Row],[Date]],2),"L","M","X","J","V","S","D")</f>
        <v>D</v>
      </c>
      <c r="R952">
        <f>WEEKNUM(datos_siembra[[#This Row],[Date]],2)-WEEKNUM(DATE(YEAR(datos_siembra[[#This Row],[Date]]),MONTH(datos_siembra[[#This Row],[Date]]),1))+1</f>
        <v>2</v>
      </c>
      <c r="S952">
        <f>MONTH(datos_siembra[[#This Row],[Date]])</f>
        <v>9</v>
      </c>
      <c r="T952" t="str" cm="1">
        <f t="array" ref="T952">_xlfn.IFS(AND(N952&lt;= 22, S952=9), "SOWING",AND(N952&lt;= 28, S952=9), "COVERAGE",AND(N952&lt;= 30, S952=9), "FLUSH",AND(N952&lt;= 11, S952=10), "FLUSH",AND(N952&lt;= 21, S952=10), "PRODUCTION")</f>
        <v>SOWING</v>
      </c>
      <c r="U952">
        <f>HOUR(datos_siembra[[#This Row],[Hour]])</f>
        <v>3</v>
      </c>
      <c r="V952" cm="1">
        <f t="array" ref="V952">_xlfn.IFS(AND(N952&lt;= 22, S952=9), N952-7,AND(N952&lt;= 28, S952=9), N952-25,AND(N952&lt;= 30, S952=9), N952-28,AND(N952&lt;= 11, S952=10), N952+2,AND(N952&lt;= 21, S952=10), N952-11)</f>
        <v>8</v>
      </c>
    </row>
    <row r="953" spans="1:22" x14ac:dyDescent="0.35">
      <c r="A953" s="4">
        <v>45550</v>
      </c>
      <c r="B953" s="5">
        <v>0.16480324074074074</v>
      </c>
      <c r="C953">
        <v>81.5</v>
      </c>
      <c r="D953">
        <v>76.8</v>
      </c>
      <c r="E953">
        <v>80.400000000000006</v>
      </c>
      <c r="F953">
        <v>79.900000000000006</v>
      </c>
      <c r="G953">
        <v>0</v>
      </c>
      <c r="H953">
        <v>0</v>
      </c>
      <c r="I953">
        <v>0</v>
      </c>
      <c r="J953">
        <v>0</v>
      </c>
      <c r="K953">
        <v>59.7</v>
      </c>
      <c r="L953">
        <v>57.9</v>
      </c>
      <c r="M953">
        <v>79.64</v>
      </c>
      <c r="N953">
        <v>15</v>
      </c>
      <c r="O953">
        <v>5</v>
      </c>
      <c r="P953">
        <f>MOD(DAY(datos_siembra[[#This Row],[Date]]),7)</f>
        <v>1</v>
      </c>
      <c r="Q953" t="str">
        <f>CHOOSE(WEEKDAY(datos_siembra[[#This Row],[Date]],2),"L","M","X","J","V","S","D")</f>
        <v>D</v>
      </c>
      <c r="R953">
        <f>WEEKNUM(datos_siembra[[#This Row],[Date]],2)-WEEKNUM(DATE(YEAR(datos_siembra[[#This Row],[Date]]),MONTH(datos_siembra[[#This Row],[Date]]),1))+1</f>
        <v>2</v>
      </c>
      <c r="S953">
        <f>MONTH(datos_siembra[[#This Row],[Date]])</f>
        <v>9</v>
      </c>
      <c r="T953" t="str" cm="1">
        <f t="array" ref="T953">_xlfn.IFS(AND(N953&lt;= 22, S953=9), "SOWING",AND(N953&lt;= 28, S953=9), "COVERAGE",AND(N953&lt;= 30, S953=9), "FLUSH",AND(N953&lt;= 11, S953=10), "FLUSH",AND(N953&lt;= 21, S953=10), "PRODUCTION")</f>
        <v>SOWING</v>
      </c>
      <c r="U953">
        <f>HOUR(datos_siembra[[#This Row],[Hour]])</f>
        <v>3</v>
      </c>
      <c r="V953" cm="1">
        <f t="array" ref="V953">_xlfn.IFS(AND(N953&lt;= 22, S953=9), N953-7,AND(N953&lt;= 28, S953=9), N953-25,AND(N953&lt;= 30, S953=9), N953-28,AND(N953&lt;= 11, S953=10), N953+2,AND(N953&lt;= 21, S953=10), N953-11)</f>
        <v>8</v>
      </c>
    </row>
    <row r="954" spans="1:22" x14ac:dyDescent="0.35">
      <c r="A954" s="4">
        <v>45550</v>
      </c>
      <c r="B954" s="5">
        <v>0.17175925925925925</v>
      </c>
      <c r="C954">
        <v>81.2</v>
      </c>
      <c r="D954">
        <v>76.599999999999994</v>
      </c>
      <c r="E954">
        <v>80.599999999999994</v>
      </c>
      <c r="F954">
        <v>79.900000000000006</v>
      </c>
      <c r="G954">
        <v>0</v>
      </c>
      <c r="H954">
        <v>0</v>
      </c>
      <c r="I954">
        <v>0</v>
      </c>
      <c r="J954">
        <v>0</v>
      </c>
      <c r="K954">
        <v>59.7</v>
      </c>
      <c r="L954">
        <v>57.9</v>
      </c>
      <c r="M954">
        <v>79.62</v>
      </c>
      <c r="N954">
        <v>15</v>
      </c>
      <c r="O954">
        <v>5</v>
      </c>
      <c r="P954">
        <f>MOD(DAY(datos_siembra[[#This Row],[Date]]),7)</f>
        <v>1</v>
      </c>
      <c r="Q954" t="str">
        <f>CHOOSE(WEEKDAY(datos_siembra[[#This Row],[Date]],2),"L","M","X","J","V","S","D")</f>
        <v>D</v>
      </c>
      <c r="R954">
        <f>WEEKNUM(datos_siembra[[#This Row],[Date]],2)-WEEKNUM(DATE(YEAR(datos_siembra[[#This Row],[Date]]),MONTH(datos_siembra[[#This Row],[Date]]),1))+1</f>
        <v>2</v>
      </c>
      <c r="S954">
        <f>MONTH(datos_siembra[[#This Row],[Date]])</f>
        <v>9</v>
      </c>
      <c r="T954" t="str" cm="1">
        <f t="array" ref="T954">_xlfn.IFS(AND(N954&lt;= 22, S954=9), "SOWING",AND(N954&lt;= 28, S954=9), "COVERAGE",AND(N954&lt;= 30, S954=9), "FLUSH",AND(N954&lt;= 11, S954=10), "FLUSH",AND(N954&lt;= 21, S954=10), "PRODUCTION")</f>
        <v>SOWING</v>
      </c>
      <c r="U954">
        <f>HOUR(datos_siembra[[#This Row],[Hour]])</f>
        <v>4</v>
      </c>
      <c r="V954" cm="1">
        <f t="array" ref="V954">_xlfn.IFS(AND(N954&lt;= 22, S954=9), N954-7,AND(N954&lt;= 28, S954=9), N954-25,AND(N954&lt;= 30, S954=9), N954-28,AND(N954&lt;= 11, S954=10), N954+2,AND(N954&lt;= 21, S954=10), N954-11)</f>
        <v>8</v>
      </c>
    </row>
    <row r="955" spans="1:22" x14ac:dyDescent="0.35">
      <c r="A955" s="4">
        <v>45550</v>
      </c>
      <c r="B955" s="5">
        <v>0.1787037037037037</v>
      </c>
      <c r="C955">
        <v>81.400000000000006</v>
      </c>
      <c r="D955">
        <v>76.8</v>
      </c>
      <c r="E955">
        <v>80.3</v>
      </c>
      <c r="F955">
        <v>79.599999999999994</v>
      </c>
      <c r="G955">
        <v>0</v>
      </c>
      <c r="H955">
        <v>0</v>
      </c>
      <c r="I955">
        <v>0</v>
      </c>
      <c r="J955">
        <v>0</v>
      </c>
      <c r="K955">
        <v>59.8</v>
      </c>
      <c r="L955">
        <v>57.9</v>
      </c>
      <c r="M955">
        <v>79.59</v>
      </c>
      <c r="N955">
        <v>15</v>
      </c>
      <c r="O955">
        <v>5</v>
      </c>
      <c r="P955">
        <f>MOD(DAY(datos_siembra[[#This Row],[Date]]),7)</f>
        <v>1</v>
      </c>
      <c r="Q955" t="str">
        <f>CHOOSE(WEEKDAY(datos_siembra[[#This Row],[Date]],2),"L","M","X","J","V","S","D")</f>
        <v>D</v>
      </c>
      <c r="R955">
        <f>WEEKNUM(datos_siembra[[#This Row],[Date]],2)-WEEKNUM(DATE(YEAR(datos_siembra[[#This Row],[Date]]),MONTH(datos_siembra[[#This Row],[Date]]),1))+1</f>
        <v>2</v>
      </c>
      <c r="S955">
        <f>MONTH(datos_siembra[[#This Row],[Date]])</f>
        <v>9</v>
      </c>
      <c r="T955" t="str" cm="1">
        <f t="array" ref="T955">_xlfn.IFS(AND(N955&lt;= 22, S955=9), "SOWING",AND(N955&lt;= 28, S955=9), "COVERAGE",AND(N955&lt;= 30, S955=9), "FLUSH",AND(N955&lt;= 11, S955=10), "FLUSH",AND(N955&lt;= 21, S955=10), "PRODUCTION")</f>
        <v>SOWING</v>
      </c>
      <c r="U955">
        <f>HOUR(datos_siembra[[#This Row],[Hour]])</f>
        <v>4</v>
      </c>
      <c r="V955" cm="1">
        <f t="array" ref="V955">_xlfn.IFS(AND(N955&lt;= 22, S955=9), N955-7,AND(N955&lt;= 28, S955=9), N955-25,AND(N955&lt;= 30, S955=9), N955-28,AND(N955&lt;= 11, S955=10), N955+2,AND(N955&lt;= 21, S955=10), N955-11)</f>
        <v>8</v>
      </c>
    </row>
    <row r="956" spans="1:22" x14ac:dyDescent="0.35">
      <c r="A956" s="4">
        <v>45550</v>
      </c>
      <c r="B956" s="5">
        <v>0.18564814814814815</v>
      </c>
      <c r="C956">
        <v>81.3</v>
      </c>
      <c r="D956">
        <v>76.599999999999994</v>
      </c>
      <c r="E956">
        <v>80.599999999999994</v>
      </c>
      <c r="F956">
        <v>79.8</v>
      </c>
      <c r="G956">
        <v>0</v>
      </c>
      <c r="H956">
        <v>0</v>
      </c>
      <c r="I956">
        <v>0</v>
      </c>
      <c r="J956">
        <v>0</v>
      </c>
      <c r="K956">
        <v>59.7</v>
      </c>
      <c r="L956">
        <v>57.9</v>
      </c>
      <c r="M956">
        <v>79.59</v>
      </c>
      <c r="N956">
        <v>15</v>
      </c>
      <c r="O956">
        <v>5</v>
      </c>
      <c r="P956">
        <f>MOD(DAY(datos_siembra[[#This Row],[Date]]),7)</f>
        <v>1</v>
      </c>
      <c r="Q956" t="str">
        <f>CHOOSE(WEEKDAY(datos_siembra[[#This Row],[Date]],2),"L","M","X","J","V","S","D")</f>
        <v>D</v>
      </c>
      <c r="R956">
        <f>WEEKNUM(datos_siembra[[#This Row],[Date]],2)-WEEKNUM(DATE(YEAR(datos_siembra[[#This Row],[Date]]),MONTH(datos_siembra[[#This Row],[Date]]),1))+1</f>
        <v>2</v>
      </c>
      <c r="S956">
        <f>MONTH(datos_siembra[[#This Row],[Date]])</f>
        <v>9</v>
      </c>
      <c r="T956" t="str" cm="1">
        <f t="array" ref="T956">_xlfn.IFS(AND(N956&lt;= 22, S956=9), "SOWING",AND(N956&lt;= 28, S956=9), "COVERAGE",AND(N956&lt;= 30, S956=9), "FLUSH",AND(N956&lt;= 11, S956=10), "FLUSH",AND(N956&lt;= 21, S956=10), "PRODUCTION")</f>
        <v>SOWING</v>
      </c>
      <c r="U956">
        <f>HOUR(datos_siembra[[#This Row],[Hour]])</f>
        <v>4</v>
      </c>
      <c r="V956" cm="1">
        <f t="array" ref="V956">_xlfn.IFS(AND(N956&lt;= 22, S956=9), N956-7,AND(N956&lt;= 28, S956=9), N956-25,AND(N956&lt;= 30, S956=9), N956-28,AND(N956&lt;= 11, S956=10), N956+2,AND(N956&lt;= 21, S956=10), N956-11)</f>
        <v>8</v>
      </c>
    </row>
    <row r="957" spans="1:22" x14ac:dyDescent="0.35">
      <c r="A957" s="4">
        <v>45550</v>
      </c>
      <c r="B957" s="5">
        <v>0.19259259259259259</v>
      </c>
      <c r="C957">
        <v>81.2</v>
      </c>
      <c r="D957">
        <v>76.599999999999994</v>
      </c>
      <c r="E957">
        <v>81.099999999999994</v>
      </c>
      <c r="F957">
        <v>79.8</v>
      </c>
      <c r="G957">
        <v>0</v>
      </c>
      <c r="H957">
        <v>0</v>
      </c>
      <c r="I957">
        <v>0</v>
      </c>
      <c r="J957">
        <v>0</v>
      </c>
      <c r="K957">
        <v>59.7</v>
      </c>
      <c r="L957">
        <v>57.9</v>
      </c>
      <c r="M957">
        <v>79.73</v>
      </c>
      <c r="N957">
        <v>15</v>
      </c>
      <c r="O957">
        <v>5</v>
      </c>
      <c r="P957">
        <f>MOD(DAY(datos_siembra[[#This Row],[Date]]),7)</f>
        <v>1</v>
      </c>
      <c r="Q957" t="str">
        <f>CHOOSE(WEEKDAY(datos_siembra[[#This Row],[Date]],2),"L","M","X","J","V","S","D")</f>
        <v>D</v>
      </c>
      <c r="R957">
        <f>WEEKNUM(datos_siembra[[#This Row],[Date]],2)-WEEKNUM(DATE(YEAR(datos_siembra[[#This Row],[Date]]),MONTH(datos_siembra[[#This Row],[Date]]),1))+1</f>
        <v>2</v>
      </c>
      <c r="S957">
        <f>MONTH(datos_siembra[[#This Row],[Date]])</f>
        <v>9</v>
      </c>
      <c r="T957" t="str" cm="1">
        <f t="array" ref="T957">_xlfn.IFS(AND(N957&lt;= 22, S957=9), "SOWING",AND(N957&lt;= 28, S957=9), "COVERAGE",AND(N957&lt;= 30, S957=9), "FLUSH",AND(N957&lt;= 11, S957=10), "FLUSH",AND(N957&lt;= 21, S957=10), "PRODUCTION")</f>
        <v>SOWING</v>
      </c>
      <c r="U957">
        <f>HOUR(datos_siembra[[#This Row],[Hour]])</f>
        <v>4</v>
      </c>
      <c r="V957" cm="1">
        <f t="array" ref="V957">_xlfn.IFS(AND(N957&lt;= 22, S957=9), N957-7,AND(N957&lt;= 28, S957=9), N957-25,AND(N957&lt;= 30, S957=9), N957-28,AND(N957&lt;= 11, S957=10), N957+2,AND(N957&lt;= 21, S957=10), N957-11)</f>
        <v>8</v>
      </c>
    </row>
    <row r="958" spans="1:22" x14ac:dyDescent="0.35">
      <c r="A958" s="4">
        <v>45550</v>
      </c>
      <c r="B958" s="5">
        <v>0.19954861111111111</v>
      </c>
      <c r="C958">
        <v>81.2</v>
      </c>
      <c r="D958">
        <v>76.599999999999994</v>
      </c>
      <c r="E958">
        <v>81.8</v>
      </c>
      <c r="F958">
        <v>79.900000000000006</v>
      </c>
      <c r="G958">
        <v>0</v>
      </c>
      <c r="H958">
        <v>0</v>
      </c>
      <c r="I958">
        <v>0</v>
      </c>
      <c r="J958">
        <v>0</v>
      </c>
      <c r="K958">
        <v>59.6</v>
      </c>
      <c r="L958">
        <v>57.8</v>
      </c>
      <c r="M958">
        <v>79.81</v>
      </c>
      <c r="N958">
        <v>15</v>
      </c>
      <c r="O958">
        <v>5</v>
      </c>
      <c r="P958">
        <f>MOD(DAY(datos_siembra[[#This Row],[Date]]),7)</f>
        <v>1</v>
      </c>
      <c r="Q958" t="str">
        <f>CHOOSE(WEEKDAY(datos_siembra[[#This Row],[Date]],2),"L","M","X","J","V","S","D")</f>
        <v>D</v>
      </c>
      <c r="R958">
        <f>WEEKNUM(datos_siembra[[#This Row],[Date]],2)-WEEKNUM(DATE(YEAR(datos_siembra[[#This Row],[Date]]),MONTH(datos_siembra[[#This Row],[Date]]),1))+1</f>
        <v>2</v>
      </c>
      <c r="S958">
        <f>MONTH(datos_siembra[[#This Row],[Date]])</f>
        <v>9</v>
      </c>
      <c r="T958" t="str" cm="1">
        <f t="array" ref="T958">_xlfn.IFS(AND(N958&lt;= 22, S958=9), "SOWING",AND(N958&lt;= 28, S958=9), "COVERAGE",AND(N958&lt;= 30, S958=9), "FLUSH",AND(N958&lt;= 11, S958=10), "FLUSH",AND(N958&lt;= 21, S958=10), "PRODUCTION")</f>
        <v>SOWING</v>
      </c>
      <c r="U958">
        <f>HOUR(datos_siembra[[#This Row],[Hour]])</f>
        <v>4</v>
      </c>
      <c r="V958" cm="1">
        <f t="array" ref="V958">_xlfn.IFS(AND(N958&lt;= 22, S958=9), N958-7,AND(N958&lt;= 28, S958=9), N958-25,AND(N958&lt;= 30, S958=9), N958-28,AND(N958&lt;= 11, S958=10), N958+2,AND(N958&lt;= 21, S958=10), N958-11)</f>
        <v>8</v>
      </c>
    </row>
    <row r="959" spans="1:22" x14ac:dyDescent="0.35">
      <c r="A959" s="4">
        <v>45550</v>
      </c>
      <c r="B959" s="5">
        <v>0.20649305555555555</v>
      </c>
      <c r="C959">
        <v>81.2</v>
      </c>
      <c r="D959">
        <v>76.599999999999994</v>
      </c>
      <c r="E959">
        <v>81.8</v>
      </c>
      <c r="F959">
        <v>79.900000000000006</v>
      </c>
      <c r="G959">
        <v>0</v>
      </c>
      <c r="H959">
        <v>0</v>
      </c>
      <c r="I959">
        <v>0</v>
      </c>
      <c r="J959">
        <v>0</v>
      </c>
      <c r="K959">
        <v>59.6</v>
      </c>
      <c r="L959">
        <v>57.8</v>
      </c>
      <c r="M959">
        <v>79.84</v>
      </c>
      <c r="N959">
        <v>15</v>
      </c>
      <c r="O959">
        <v>5</v>
      </c>
      <c r="P959">
        <f>MOD(DAY(datos_siembra[[#This Row],[Date]]),7)</f>
        <v>1</v>
      </c>
      <c r="Q959" t="str">
        <f>CHOOSE(WEEKDAY(datos_siembra[[#This Row],[Date]],2),"L","M","X","J","V","S","D")</f>
        <v>D</v>
      </c>
      <c r="R959">
        <f>WEEKNUM(datos_siembra[[#This Row],[Date]],2)-WEEKNUM(DATE(YEAR(datos_siembra[[#This Row],[Date]]),MONTH(datos_siembra[[#This Row],[Date]]),1))+1</f>
        <v>2</v>
      </c>
      <c r="S959">
        <f>MONTH(datos_siembra[[#This Row],[Date]])</f>
        <v>9</v>
      </c>
      <c r="T959" t="str" cm="1">
        <f t="array" ref="T959">_xlfn.IFS(AND(N959&lt;= 22, S959=9), "SOWING",AND(N959&lt;= 28, S959=9), "COVERAGE",AND(N959&lt;= 30, S959=9), "FLUSH",AND(N959&lt;= 11, S959=10), "FLUSH",AND(N959&lt;= 21, S959=10), "PRODUCTION")</f>
        <v>SOWING</v>
      </c>
      <c r="U959">
        <f>HOUR(datos_siembra[[#This Row],[Hour]])</f>
        <v>4</v>
      </c>
      <c r="V959" cm="1">
        <f t="array" ref="V959">_xlfn.IFS(AND(N959&lt;= 22, S959=9), N959-7,AND(N959&lt;= 28, S959=9), N959-25,AND(N959&lt;= 30, S959=9), N959-28,AND(N959&lt;= 11, S959=10), N959+2,AND(N959&lt;= 21, S959=10), N959-11)</f>
        <v>8</v>
      </c>
    </row>
    <row r="960" spans="1:22" x14ac:dyDescent="0.35">
      <c r="A960" s="4">
        <v>45550</v>
      </c>
      <c r="B960" s="5">
        <v>0.2134375</v>
      </c>
      <c r="C960">
        <v>81.2</v>
      </c>
      <c r="D960">
        <v>76.599999999999994</v>
      </c>
      <c r="E960">
        <v>82.2</v>
      </c>
      <c r="F960">
        <v>79.900000000000006</v>
      </c>
      <c r="G960">
        <v>0</v>
      </c>
      <c r="H960">
        <v>0</v>
      </c>
      <c r="I960">
        <v>0</v>
      </c>
      <c r="J960">
        <v>0</v>
      </c>
      <c r="K960">
        <v>59.6</v>
      </c>
      <c r="L960">
        <v>57.9</v>
      </c>
      <c r="M960">
        <v>79.78</v>
      </c>
      <c r="N960">
        <v>15</v>
      </c>
      <c r="O960">
        <v>5</v>
      </c>
      <c r="P960">
        <f>MOD(DAY(datos_siembra[[#This Row],[Date]]),7)</f>
        <v>1</v>
      </c>
      <c r="Q960" t="str">
        <f>CHOOSE(WEEKDAY(datos_siembra[[#This Row],[Date]],2),"L","M","X","J","V","S","D")</f>
        <v>D</v>
      </c>
      <c r="R960">
        <f>WEEKNUM(datos_siembra[[#This Row],[Date]],2)-WEEKNUM(DATE(YEAR(datos_siembra[[#This Row],[Date]]),MONTH(datos_siembra[[#This Row],[Date]]),1))+1</f>
        <v>2</v>
      </c>
      <c r="S960">
        <f>MONTH(datos_siembra[[#This Row],[Date]])</f>
        <v>9</v>
      </c>
      <c r="T960" t="str" cm="1">
        <f t="array" ref="T960">_xlfn.IFS(AND(N960&lt;= 22, S960=9), "SOWING",AND(N960&lt;= 28, S960=9), "COVERAGE",AND(N960&lt;= 30, S960=9), "FLUSH",AND(N960&lt;= 11, S960=10), "FLUSH",AND(N960&lt;= 21, S960=10), "PRODUCTION")</f>
        <v>SOWING</v>
      </c>
      <c r="U960">
        <f>HOUR(datos_siembra[[#This Row],[Hour]])</f>
        <v>5</v>
      </c>
      <c r="V960" cm="1">
        <f t="array" ref="V960">_xlfn.IFS(AND(N960&lt;= 22, S960=9), N960-7,AND(N960&lt;= 28, S960=9), N960-25,AND(N960&lt;= 30, S960=9), N960-28,AND(N960&lt;= 11, S960=10), N960+2,AND(N960&lt;= 21, S960=10), N960-11)</f>
        <v>8</v>
      </c>
    </row>
    <row r="961" spans="1:22" x14ac:dyDescent="0.35">
      <c r="A961" s="4">
        <v>45550</v>
      </c>
      <c r="B961" s="5">
        <v>0.22038194444444445</v>
      </c>
      <c r="C961">
        <v>81.2</v>
      </c>
      <c r="D961">
        <v>76.3</v>
      </c>
      <c r="E961">
        <v>81.599999999999994</v>
      </c>
      <c r="F961">
        <v>79.5</v>
      </c>
      <c r="G961">
        <v>0</v>
      </c>
      <c r="H961">
        <v>0</v>
      </c>
      <c r="I961">
        <v>0</v>
      </c>
      <c r="J961">
        <v>0</v>
      </c>
      <c r="K961">
        <v>59.6</v>
      </c>
      <c r="L961">
        <v>57.9</v>
      </c>
      <c r="M961">
        <v>79.7</v>
      </c>
      <c r="N961">
        <v>15</v>
      </c>
      <c r="O961">
        <v>5</v>
      </c>
      <c r="P961">
        <f>MOD(DAY(datos_siembra[[#This Row],[Date]]),7)</f>
        <v>1</v>
      </c>
      <c r="Q961" t="str">
        <f>CHOOSE(WEEKDAY(datos_siembra[[#This Row],[Date]],2),"L","M","X","J","V","S","D")</f>
        <v>D</v>
      </c>
      <c r="R961">
        <f>WEEKNUM(datos_siembra[[#This Row],[Date]],2)-WEEKNUM(DATE(YEAR(datos_siembra[[#This Row],[Date]]),MONTH(datos_siembra[[#This Row],[Date]]),1))+1</f>
        <v>2</v>
      </c>
      <c r="S961">
        <f>MONTH(datos_siembra[[#This Row],[Date]])</f>
        <v>9</v>
      </c>
      <c r="T961" t="str" cm="1">
        <f t="array" ref="T961">_xlfn.IFS(AND(N961&lt;= 22, S961=9), "SOWING",AND(N961&lt;= 28, S961=9), "COVERAGE",AND(N961&lt;= 30, S961=9), "FLUSH",AND(N961&lt;= 11, S961=10), "FLUSH",AND(N961&lt;= 21, S961=10), "PRODUCTION")</f>
        <v>SOWING</v>
      </c>
      <c r="U961">
        <f>HOUR(datos_siembra[[#This Row],[Hour]])</f>
        <v>5</v>
      </c>
      <c r="V961" cm="1">
        <f t="array" ref="V961">_xlfn.IFS(AND(N961&lt;= 22, S961=9), N961-7,AND(N961&lt;= 28, S961=9), N961-25,AND(N961&lt;= 30, S961=9), N961-28,AND(N961&lt;= 11, S961=10), N961+2,AND(N961&lt;= 21, S961=10), N961-11)</f>
        <v>8</v>
      </c>
    </row>
    <row r="962" spans="1:22" x14ac:dyDescent="0.35">
      <c r="A962" s="4">
        <v>45550</v>
      </c>
      <c r="B962" s="5">
        <v>0.22733796296296296</v>
      </c>
      <c r="C962">
        <v>81.099999999999994</v>
      </c>
      <c r="D962">
        <v>76.2</v>
      </c>
      <c r="E962">
        <v>82</v>
      </c>
      <c r="F962">
        <v>79.7</v>
      </c>
      <c r="G962">
        <v>0</v>
      </c>
      <c r="H962">
        <v>0</v>
      </c>
      <c r="I962">
        <v>0</v>
      </c>
      <c r="J962">
        <v>0</v>
      </c>
      <c r="K962">
        <v>59.6</v>
      </c>
      <c r="L962">
        <v>57.9</v>
      </c>
      <c r="M962">
        <v>79.78</v>
      </c>
      <c r="N962">
        <v>15</v>
      </c>
      <c r="O962">
        <v>5</v>
      </c>
      <c r="P962">
        <f>MOD(DAY(datos_siembra[[#This Row],[Date]]),7)</f>
        <v>1</v>
      </c>
      <c r="Q962" t="str">
        <f>CHOOSE(WEEKDAY(datos_siembra[[#This Row],[Date]],2),"L","M","X","J","V","S","D")</f>
        <v>D</v>
      </c>
      <c r="R962">
        <f>WEEKNUM(datos_siembra[[#This Row],[Date]],2)-WEEKNUM(DATE(YEAR(datos_siembra[[#This Row],[Date]]),MONTH(datos_siembra[[#This Row],[Date]]),1))+1</f>
        <v>2</v>
      </c>
      <c r="S962">
        <f>MONTH(datos_siembra[[#This Row],[Date]])</f>
        <v>9</v>
      </c>
      <c r="T962" t="str" cm="1">
        <f t="array" ref="T962">_xlfn.IFS(AND(N962&lt;= 22, S962=9), "SOWING",AND(N962&lt;= 28, S962=9), "COVERAGE",AND(N962&lt;= 30, S962=9), "FLUSH",AND(N962&lt;= 11, S962=10), "FLUSH",AND(N962&lt;= 21, S962=10), "PRODUCTION")</f>
        <v>SOWING</v>
      </c>
      <c r="U962">
        <f>HOUR(datos_siembra[[#This Row],[Hour]])</f>
        <v>5</v>
      </c>
      <c r="V962" cm="1">
        <f t="array" ref="V962">_xlfn.IFS(AND(N962&lt;= 22, S962=9), N962-7,AND(N962&lt;= 28, S962=9), N962-25,AND(N962&lt;= 30, S962=9), N962-28,AND(N962&lt;= 11, S962=10), N962+2,AND(N962&lt;= 21, S962=10), N962-11)</f>
        <v>8</v>
      </c>
    </row>
    <row r="963" spans="1:22" x14ac:dyDescent="0.35">
      <c r="A963" s="4">
        <v>45550</v>
      </c>
      <c r="B963" s="5">
        <v>0.23428240740740741</v>
      </c>
      <c r="C963">
        <v>81.099999999999994</v>
      </c>
      <c r="D963">
        <v>76</v>
      </c>
      <c r="E963">
        <v>82.3</v>
      </c>
      <c r="F963">
        <v>79.5</v>
      </c>
      <c r="G963">
        <v>0</v>
      </c>
      <c r="H963">
        <v>0</v>
      </c>
      <c r="I963">
        <v>0</v>
      </c>
      <c r="J963">
        <v>0</v>
      </c>
      <c r="K963">
        <v>59.6</v>
      </c>
      <c r="L963">
        <v>57.9</v>
      </c>
      <c r="M963">
        <v>79.73</v>
      </c>
      <c r="N963">
        <v>15</v>
      </c>
      <c r="O963">
        <v>5</v>
      </c>
      <c r="P963">
        <f>MOD(DAY(datos_siembra[[#This Row],[Date]]),7)</f>
        <v>1</v>
      </c>
      <c r="Q963" t="str">
        <f>CHOOSE(WEEKDAY(datos_siembra[[#This Row],[Date]],2),"L","M","X","J","V","S","D")</f>
        <v>D</v>
      </c>
      <c r="R963">
        <f>WEEKNUM(datos_siembra[[#This Row],[Date]],2)-WEEKNUM(DATE(YEAR(datos_siembra[[#This Row],[Date]]),MONTH(datos_siembra[[#This Row],[Date]]),1))+1</f>
        <v>2</v>
      </c>
      <c r="S963">
        <f>MONTH(datos_siembra[[#This Row],[Date]])</f>
        <v>9</v>
      </c>
      <c r="T963" t="str" cm="1">
        <f t="array" ref="T963">_xlfn.IFS(AND(N963&lt;= 22, S963=9), "SOWING",AND(N963&lt;= 28, S963=9), "COVERAGE",AND(N963&lt;= 30, S963=9), "FLUSH",AND(N963&lt;= 11, S963=10), "FLUSH",AND(N963&lt;= 21, S963=10), "PRODUCTION")</f>
        <v>SOWING</v>
      </c>
      <c r="U963">
        <f>HOUR(datos_siembra[[#This Row],[Hour]])</f>
        <v>5</v>
      </c>
      <c r="V963" cm="1">
        <f t="array" ref="V963">_xlfn.IFS(AND(N963&lt;= 22, S963=9), N963-7,AND(N963&lt;= 28, S963=9), N963-25,AND(N963&lt;= 30, S963=9), N963-28,AND(N963&lt;= 11, S963=10), N963+2,AND(N963&lt;= 21, S963=10), N963-11)</f>
        <v>8</v>
      </c>
    </row>
    <row r="964" spans="1:22" x14ac:dyDescent="0.35">
      <c r="A964" s="4">
        <v>45550</v>
      </c>
      <c r="B964" s="5">
        <v>0.24122685185185186</v>
      </c>
      <c r="C964">
        <v>81.2</v>
      </c>
      <c r="D964">
        <v>76.2</v>
      </c>
      <c r="E964">
        <v>82.4</v>
      </c>
      <c r="F964">
        <v>79.5</v>
      </c>
      <c r="G964">
        <v>0</v>
      </c>
      <c r="H964">
        <v>0</v>
      </c>
      <c r="I964">
        <v>0</v>
      </c>
      <c r="J964">
        <v>0</v>
      </c>
      <c r="K964">
        <v>59.6</v>
      </c>
      <c r="L964">
        <v>58</v>
      </c>
      <c r="M964">
        <v>79.78</v>
      </c>
      <c r="N964">
        <v>15</v>
      </c>
      <c r="O964">
        <v>5</v>
      </c>
      <c r="P964">
        <f>MOD(DAY(datos_siembra[[#This Row],[Date]]),7)</f>
        <v>1</v>
      </c>
      <c r="Q964" t="str">
        <f>CHOOSE(WEEKDAY(datos_siembra[[#This Row],[Date]],2),"L","M","X","J","V","S","D")</f>
        <v>D</v>
      </c>
      <c r="R964">
        <f>WEEKNUM(datos_siembra[[#This Row],[Date]],2)-WEEKNUM(DATE(YEAR(datos_siembra[[#This Row],[Date]]),MONTH(datos_siembra[[#This Row],[Date]]),1))+1</f>
        <v>2</v>
      </c>
      <c r="S964">
        <f>MONTH(datos_siembra[[#This Row],[Date]])</f>
        <v>9</v>
      </c>
      <c r="T964" t="str" cm="1">
        <f t="array" ref="T964">_xlfn.IFS(AND(N964&lt;= 22, S964=9), "SOWING",AND(N964&lt;= 28, S964=9), "COVERAGE",AND(N964&lt;= 30, S964=9), "FLUSH",AND(N964&lt;= 11, S964=10), "FLUSH",AND(N964&lt;= 21, S964=10), "PRODUCTION")</f>
        <v>SOWING</v>
      </c>
      <c r="U964">
        <f>HOUR(datos_siembra[[#This Row],[Hour]])</f>
        <v>5</v>
      </c>
      <c r="V964" cm="1">
        <f t="array" ref="V964">_xlfn.IFS(AND(N964&lt;= 22, S964=9), N964-7,AND(N964&lt;= 28, S964=9), N964-25,AND(N964&lt;= 30, S964=9), N964-28,AND(N964&lt;= 11, S964=10), N964+2,AND(N964&lt;= 21, S964=10), N964-11)</f>
        <v>8</v>
      </c>
    </row>
    <row r="965" spans="1:22" x14ac:dyDescent="0.35">
      <c r="A965" s="4">
        <v>45550</v>
      </c>
      <c r="B965" s="5">
        <v>0.24818287037037037</v>
      </c>
      <c r="C965">
        <v>81.099999999999994</v>
      </c>
      <c r="D965">
        <v>76.099999999999994</v>
      </c>
      <c r="E965">
        <v>82.4</v>
      </c>
      <c r="F965">
        <v>79.599999999999994</v>
      </c>
      <c r="G965">
        <v>0</v>
      </c>
      <c r="H965">
        <v>0</v>
      </c>
      <c r="I965">
        <v>0</v>
      </c>
      <c r="J965">
        <v>0</v>
      </c>
      <c r="K965">
        <v>59.7</v>
      </c>
      <c r="L965">
        <v>58</v>
      </c>
      <c r="M965">
        <v>79.73</v>
      </c>
      <c r="N965">
        <v>15</v>
      </c>
      <c r="O965">
        <v>5</v>
      </c>
      <c r="P965">
        <f>MOD(DAY(datos_siembra[[#This Row],[Date]]),7)</f>
        <v>1</v>
      </c>
      <c r="Q965" t="str">
        <f>CHOOSE(WEEKDAY(datos_siembra[[#This Row],[Date]],2),"L","M","X","J","V","S","D")</f>
        <v>D</v>
      </c>
      <c r="R965">
        <f>WEEKNUM(datos_siembra[[#This Row],[Date]],2)-WEEKNUM(DATE(YEAR(datos_siembra[[#This Row],[Date]]),MONTH(datos_siembra[[#This Row],[Date]]),1))+1</f>
        <v>2</v>
      </c>
      <c r="S965">
        <f>MONTH(datos_siembra[[#This Row],[Date]])</f>
        <v>9</v>
      </c>
      <c r="T965" t="str" cm="1">
        <f t="array" ref="T965">_xlfn.IFS(AND(N965&lt;= 22, S965=9), "SOWING",AND(N965&lt;= 28, S965=9), "COVERAGE",AND(N965&lt;= 30, S965=9), "FLUSH",AND(N965&lt;= 11, S965=10), "FLUSH",AND(N965&lt;= 21, S965=10), "PRODUCTION")</f>
        <v>SOWING</v>
      </c>
      <c r="U965">
        <f>HOUR(datos_siembra[[#This Row],[Hour]])</f>
        <v>5</v>
      </c>
      <c r="V965" cm="1">
        <f t="array" ref="V965">_xlfn.IFS(AND(N965&lt;= 22, S965=9), N965-7,AND(N965&lt;= 28, S965=9), N965-25,AND(N965&lt;= 30, S965=9), N965-28,AND(N965&lt;= 11, S965=10), N965+2,AND(N965&lt;= 21, S965=10), N965-11)</f>
        <v>8</v>
      </c>
    </row>
    <row r="966" spans="1:22" x14ac:dyDescent="0.35">
      <c r="A966" s="4">
        <v>45550</v>
      </c>
      <c r="B966" s="5">
        <v>0.25512731481481482</v>
      </c>
      <c r="C966">
        <v>80.8</v>
      </c>
      <c r="D966">
        <v>76.099999999999994</v>
      </c>
      <c r="E966">
        <v>82.4</v>
      </c>
      <c r="F966">
        <v>79.5</v>
      </c>
      <c r="G966">
        <v>0</v>
      </c>
      <c r="H966">
        <v>0</v>
      </c>
      <c r="I966">
        <v>0</v>
      </c>
      <c r="J966">
        <v>0</v>
      </c>
      <c r="K966">
        <v>59.8</v>
      </c>
      <c r="L966">
        <v>58.1</v>
      </c>
      <c r="M966">
        <v>79.7</v>
      </c>
      <c r="N966">
        <v>15</v>
      </c>
      <c r="O966">
        <v>5</v>
      </c>
      <c r="P966">
        <f>MOD(DAY(datos_siembra[[#This Row],[Date]]),7)</f>
        <v>1</v>
      </c>
      <c r="Q966" t="str">
        <f>CHOOSE(WEEKDAY(datos_siembra[[#This Row],[Date]],2),"L","M","X","J","V","S","D")</f>
        <v>D</v>
      </c>
      <c r="R966">
        <f>WEEKNUM(datos_siembra[[#This Row],[Date]],2)-WEEKNUM(DATE(YEAR(datos_siembra[[#This Row],[Date]]),MONTH(datos_siembra[[#This Row],[Date]]),1))+1</f>
        <v>2</v>
      </c>
      <c r="S966">
        <f>MONTH(datos_siembra[[#This Row],[Date]])</f>
        <v>9</v>
      </c>
      <c r="T966" t="str" cm="1">
        <f t="array" ref="T966">_xlfn.IFS(AND(N966&lt;= 22, S966=9), "SOWING",AND(N966&lt;= 28, S966=9), "COVERAGE",AND(N966&lt;= 30, S966=9), "FLUSH",AND(N966&lt;= 11, S966=10), "FLUSH",AND(N966&lt;= 21, S966=10), "PRODUCTION")</f>
        <v>SOWING</v>
      </c>
      <c r="U966">
        <f>HOUR(datos_siembra[[#This Row],[Hour]])</f>
        <v>6</v>
      </c>
      <c r="V966" cm="1">
        <f t="array" ref="V966">_xlfn.IFS(AND(N966&lt;= 22, S966=9), N966-7,AND(N966&lt;= 28, S966=9), N966-25,AND(N966&lt;= 30, S966=9), N966-28,AND(N966&lt;= 11, S966=10), N966+2,AND(N966&lt;= 21, S966=10), N966-11)</f>
        <v>8</v>
      </c>
    </row>
    <row r="967" spans="1:22" x14ac:dyDescent="0.35">
      <c r="A967" s="4">
        <v>45550</v>
      </c>
      <c r="B967" s="5">
        <v>0.26207175925925924</v>
      </c>
      <c r="C967">
        <v>80.8</v>
      </c>
      <c r="D967">
        <v>76.2</v>
      </c>
      <c r="E967">
        <v>82.4</v>
      </c>
      <c r="F967">
        <v>79.400000000000006</v>
      </c>
      <c r="G967">
        <v>0</v>
      </c>
      <c r="H967">
        <v>0</v>
      </c>
      <c r="I967">
        <v>0</v>
      </c>
      <c r="J967">
        <v>0</v>
      </c>
      <c r="K967">
        <v>59.8</v>
      </c>
      <c r="L967">
        <v>58.2</v>
      </c>
      <c r="M967">
        <v>79.78</v>
      </c>
      <c r="N967">
        <v>15</v>
      </c>
      <c r="O967">
        <v>5</v>
      </c>
      <c r="P967">
        <f>MOD(DAY(datos_siembra[[#This Row],[Date]]),7)</f>
        <v>1</v>
      </c>
      <c r="Q967" t="str">
        <f>CHOOSE(WEEKDAY(datos_siembra[[#This Row],[Date]],2),"L","M","X","J","V","S","D")</f>
        <v>D</v>
      </c>
      <c r="R967">
        <f>WEEKNUM(datos_siembra[[#This Row],[Date]],2)-WEEKNUM(DATE(YEAR(datos_siembra[[#This Row],[Date]]),MONTH(datos_siembra[[#This Row],[Date]]),1))+1</f>
        <v>2</v>
      </c>
      <c r="S967">
        <f>MONTH(datos_siembra[[#This Row],[Date]])</f>
        <v>9</v>
      </c>
      <c r="T967" t="str" cm="1">
        <f t="array" ref="T967">_xlfn.IFS(AND(N967&lt;= 22, S967=9), "SOWING",AND(N967&lt;= 28, S967=9), "COVERAGE",AND(N967&lt;= 30, S967=9), "FLUSH",AND(N967&lt;= 11, S967=10), "FLUSH",AND(N967&lt;= 21, S967=10), "PRODUCTION")</f>
        <v>SOWING</v>
      </c>
      <c r="U967">
        <f>HOUR(datos_siembra[[#This Row],[Hour]])</f>
        <v>6</v>
      </c>
      <c r="V967" cm="1">
        <f t="array" ref="V967">_xlfn.IFS(AND(N967&lt;= 22, S967=9), N967-7,AND(N967&lt;= 28, S967=9), N967-25,AND(N967&lt;= 30, S967=9), N967-28,AND(N967&lt;= 11, S967=10), N967+2,AND(N967&lt;= 21, S967=10), N967-11)</f>
        <v>8</v>
      </c>
    </row>
    <row r="968" spans="1:22" x14ac:dyDescent="0.35">
      <c r="A968" s="4">
        <v>45550</v>
      </c>
      <c r="B968" s="5">
        <v>0.26901620370370372</v>
      </c>
      <c r="C968">
        <v>80.8</v>
      </c>
      <c r="D968">
        <v>76.099999999999994</v>
      </c>
      <c r="E968">
        <v>82.6</v>
      </c>
      <c r="F968">
        <v>79.400000000000006</v>
      </c>
      <c r="G968">
        <v>0</v>
      </c>
      <c r="H968">
        <v>0</v>
      </c>
      <c r="I968">
        <v>0</v>
      </c>
      <c r="J968">
        <v>0</v>
      </c>
      <c r="K968">
        <v>60</v>
      </c>
      <c r="L968">
        <v>58.2</v>
      </c>
      <c r="M968">
        <v>79.73</v>
      </c>
      <c r="N968">
        <v>15</v>
      </c>
      <c r="O968">
        <v>5</v>
      </c>
      <c r="P968">
        <f>MOD(DAY(datos_siembra[[#This Row],[Date]]),7)</f>
        <v>1</v>
      </c>
      <c r="Q968" t="str">
        <f>CHOOSE(WEEKDAY(datos_siembra[[#This Row],[Date]],2),"L","M","X","J","V","S","D")</f>
        <v>D</v>
      </c>
      <c r="R968">
        <f>WEEKNUM(datos_siembra[[#This Row],[Date]],2)-WEEKNUM(DATE(YEAR(datos_siembra[[#This Row],[Date]]),MONTH(datos_siembra[[#This Row],[Date]]),1))+1</f>
        <v>2</v>
      </c>
      <c r="S968">
        <f>MONTH(datos_siembra[[#This Row],[Date]])</f>
        <v>9</v>
      </c>
      <c r="T968" t="str" cm="1">
        <f t="array" ref="T968">_xlfn.IFS(AND(N968&lt;= 22, S968=9), "SOWING",AND(N968&lt;= 28, S968=9), "COVERAGE",AND(N968&lt;= 30, S968=9), "FLUSH",AND(N968&lt;= 11, S968=10), "FLUSH",AND(N968&lt;= 21, S968=10), "PRODUCTION")</f>
        <v>SOWING</v>
      </c>
      <c r="U968">
        <f>HOUR(datos_siembra[[#This Row],[Hour]])</f>
        <v>6</v>
      </c>
      <c r="V968" cm="1">
        <f t="array" ref="V968">_xlfn.IFS(AND(N968&lt;= 22, S968=9), N968-7,AND(N968&lt;= 28, S968=9), N968-25,AND(N968&lt;= 30, S968=9), N968-28,AND(N968&lt;= 11, S968=10), N968+2,AND(N968&lt;= 21, S968=10), N968-11)</f>
        <v>8</v>
      </c>
    </row>
    <row r="969" spans="1:22" x14ac:dyDescent="0.35">
      <c r="A969" s="4">
        <v>45550</v>
      </c>
      <c r="B969" s="5">
        <v>0.27597222222222223</v>
      </c>
      <c r="C969">
        <v>81.099999999999994</v>
      </c>
      <c r="D969">
        <v>76.099999999999994</v>
      </c>
      <c r="E969">
        <v>82.7</v>
      </c>
      <c r="F969">
        <v>79.3</v>
      </c>
      <c r="G969">
        <v>0</v>
      </c>
      <c r="H969">
        <v>0</v>
      </c>
      <c r="I969">
        <v>0</v>
      </c>
      <c r="J969">
        <v>0</v>
      </c>
      <c r="K969">
        <v>60.1</v>
      </c>
      <c r="L969">
        <v>58.3</v>
      </c>
      <c r="M969">
        <v>79.73</v>
      </c>
      <c r="N969">
        <v>15</v>
      </c>
      <c r="O969">
        <v>5</v>
      </c>
      <c r="P969">
        <f>MOD(DAY(datos_siembra[[#This Row],[Date]]),7)</f>
        <v>1</v>
      </c>
      <c r="Q969" t="str">
        <f>CHOOSE(WEEKDAY(datos_siembra[[#This Row],[Date]],2),"L","M","X","J","V","S","D")</f>
        <v>D</v>
      </c>
      <c r="R969">
        <f>WEEKNUM(datos_siembra[[#This Row],[Date]],2)-WEEKNUM(DATE(YEAR(datos_siembra[[#This Row],[Date]]),MONTH(datos_siembra[[#This Row],[Date]]),1))+1</f>
        <v>2</v>
      </c>
      <c r="S969">
        <f>MONTH(datos_siembra[[#This Row],[Date]])</f>
        <v>9</v>
      </c>
      <c r="T969" t="str" cm="1">
        <f t="array" ref="T969">_xlfn.IFS(AND(N969&lt;= 22, S969=9), "SOWING",AND(N969&lt;= 28, S969=9), "COVERAGE",AND(N969&lt;= 30, S969=9), "FLUSH",AND(N969&lt;= 11, S969=10), "FLUSH",AND(N969&lt;= 21, S969=10), "PRODUCTION")</f>
        <v>SOWING</v>
      </c>
      <c r="U969">
        <f>HOUR(datos_siembra[[#This Row],[Hour]])</f>
        <v>6</v>
      </c>
      <c r="V969" cm="1">
        <f t="array" ref="V969">_xlfn.IFS(AND(N969&lt;= 22, S969=9), N969-7,AND(N969&lt;= 28, S969=9), N969-25,AND(N969&lt;= 30, S969=9), N969-28,AND(N969&lt;= 11, S969=10), N969+2,AND(N969&lt;= 21, S969=10), N969-11)</f>
        <v>8</v>
      </c>
    </row>
    <row r="970" spans="1:22" x14ac:dyDescent="0.35">
      <c r="A970" s="4">
        <v>45550</v>
      </c>
      <c r="B970" s="5">
        <v>0.28291666666666665</v>
      </c>
      <c r="C970">
        <v>80.8</v>
      </c>
      <c r="D970">
        <v>76</v>
      </c>
      <c r="E970">
        <v>82.4</v>
      </c>
      <c r="F970">
        <v>79.5</v>
      </c>
      <c r="G970">
        <v>0</v>
      </c>
      <c r="H970">
        <v>0</v>
      </c>
      <c r="I970">
        <v>0</v>
      </c>
      <c r="J970">
        <v>0</v>
      </c>
      <c r="K970">
        <v>60</v>
      </c>
      <c r="L970">
        <v>58.3</v>
      </c>
      <c r="M970">
        <v>79.73</v>
      </c>
      <c r="N970">
        <v>15</v>
      </c>
      <c r="O970">
        <v>5</v>
      </c>
      <c r="P970">
        <f>MOD(DAY(datos_siembra[[#This Row],[Date]]),7)</f>
        <v>1</v>
      </c>
      <c r="Q970" t="str">
        <f>CHOOSE(WEEKDAY(datos_siembra[[#This Row],[Date]],2),"L","M","X","J","V","S","D")</f>
        <v>D</v>
      </c>
      <c r="R970">
        <f>WEEKNUM(datos_siembra[[#This Row],[Date]],2)-WEEKNUM(DATE(YEAR(datos_siembra[[#This Row],[Date]]),MONTH(datos_siembra[[#This Row],[Date]]),1))+1</f>
        <v>2</v>
      </c>
      <c r="S970">
        <f>MONTH(datos_siembra[[#This Row],[Date]])</f>
        <v>9</v>
      </c>
      <c r="T970" t="str" cm="1">
        <f t="array" ref="T970">_xlfn.IFS(AND(N970&lt;= 22, S970=9), "SOWING",AND(N970&lt;= 28, S970=9), "COVERAGE",AND(N970&lt;= 30, S970=9), "FLUSH",AND(N970&lt;= 11, S970=10), "FLUSH",AND(N970&lt;= 21, S970=10), "PRODUCTION")</f>
        <v>SOWING</v>
      </c>
      <c r="U970">
        <f>HOUR(datos_siembra[[#This Row],[Hour]])</f>
        <v>6</v>
      </c>
      <c r="V970" cm="1">
        <f t="array" ref="V970">_xlfn.IFS(AND(N970&lt;= 22, S970=9), N970-7,AND(N970&lt;= 28, S970=9), N970-25,AND(N970&lt;= 30, S970=9), N970-28,AND(N970&lt;= 11, S970=10), N970+2,AND(N970&lt;= 21, S970=10), N970-11)</f>
        <v>8</v>
      </c>
    </row>
    <row r="971" spans="1:22" x14ac:dyDescent="0.35">
      <c r="A971" s="4">
        <v>45550</v>
      </c>
      <c r="B971" s="5">
        <v>0.28986111111111112</v>
      </c>
      <c r="C971">
        <v>80.8</v>
      </c>
      <c r="D971">
        <v>76.099999999999994</v>
      </c>
      <c r="E971">
        <v>82.5</v>
      </c>
      <c r="F971">
        <v>79.400000000000006</v>
      </c>
      <c r="G971">
        <v>0</v>
      </c>
      <c r="H971">
        <v>0</v>
      </c>
      <c r="I971">
        <v>0</v>
      </c>
      <c r="J971">
        <v>0</v>
      </c>
      <c r="K971">
        <v>60.1</v>
      </c>
      <c r="L971">
        <v>58.4</v>
      </c>
      <c r="M971">
        <v>79.64</v>
      </c>
      <c r="N971">
        <v>15</v>
      </c>
      <c r="O971">
        <v>5</v>
      </c>
      <c r="P971">
        <f>MOD(DAY(datos_siembra[[#This Row],[Date]]),7)</f>
        <v>1</v>
      </c>
      <c r="Q971" t="str">
        <f>CHOOSE(WEEKDAY(datos_siembra[[#This Row],[Date]],2),"L","M","X","J","V","S","D")</f>
        <v>D</v>
      </c>
      <c r="R971">
        <f>WEEKNUM(datos_siembra[[#This Row],[Date]],2)-WEEKNUM(DATE(YEAR(datos_siembra[[#This Row],[Date]]),MONTH(datos_siembra[[#This Row],[Date]]),1))+1</f>
        <v>2</v>
      </c>
      <c r="S971">
        <f>MONTH(datos_siembra[[#This Row],[Date]])</f>
        <v>9</v>
      </c>
      <c r="T971" t="str" cm="1">
        <f t="array" ref="T971">_xlfn.IFS(AND(N971&lt;= 22, S971=9), "SOWING",AND(N971&lt;= 28, S971=9), "COVERAGE",AND(N971&lt;= 30, S971=9), "FLUSH",AND(N971&lt;= 11, S971=10), "FLUSH",AND(N971&lt;= 21, S971=10), "PRODUCTION")</f>
        <v>SOWING</v>
      </c>
      <c r="U971">
        <f>HOUR(datos_siembra[[#This Row],[Hour]])</f>
        <v>6</v>
      </c>
      <c r="V971" cm="1">
        <f t="array" ref="V971">_xlfn.IFS(AND(N971&lt;= 22, S971=9), N971-7,AND(N971&lt;= 28, S971=9), N971-25,AND(N971&lt;= 30, S971=9), N971-28,AND(N971&lt;= 11, S971=10), N971+2,AND(N971&lt;= 21, S971=10), N971-11)</f>
        <v>8</v>
      </c>
    </row>
    <row r="972" spans="1:22" x14ac:dyDescent="0.35">
      <c r="A972" s="4">
        <v>45550</v>
      </c>
      <c r="B972" s="5">
        <v>0.29680555555555554</v>
      </c>
      <c r="C972">
        <v>80.7</v>
      </c>
      <c r="D972">
        <v>76</v>
      </c>
      <c r="E972">
        <v>82.6</v>
      </c>
      <c r="F972">
        <v>79.099999999999994</v>
      </c>
      <c r="G972">
        <v>0</v>
      </c>
      <c r="H972">
        <v>0</v>
      </c>
      <c r="I972">
        <v>0</v>
      </c>
      <c r="J972">
        <v>0</v>
      </c>
      <c r="K972">
        <v>60.1</v>
      </c>
      <c r="L972">
        <v>58.5</v>
      </c>
      <c r="M972">
        <v>79.62</v>
      </c>
      <c r="N972">
        <v>15</v>
      </c>
      <c r="O972">
        <v>5</v>
      </c>
      <c r="P972">
        <f>MOD(DAY(datos_siembra[[#This Row],[Date]]),7)</f>
        <v>1</v>
      </c>
      <c r="Q972" t="str">
        <f>CHOOSE(WEEKDAY(datos_siembra[[#This Row],[Date]],2),"L","M","X","J","V","S","D")</f>
        <v>D</v>
      </c>
      <c r="R972">
        <f>WEEKNUM(datos_siembra[[#This Row],[Date]],2)-WEEKNUM(DATE(YEAR(datos_siembra[[#This Row],[Date]]),MONTH(datos_siembra[[#This Row],[Date]]),1))+1</f>
        <v>2</v>
      </c>
      <c r="S972">
        <f>MONTH(datos_siembra[[#This Row],[Date]])</f>
        <v>9</v>
      </c>
      <c r="T972" t="str" cm="1">
        <f t="array" ref="T972">_xlfn.IFS(AND(N972&lt;= 22, S972=9), "SOWING",AND(N972&lt;= 28, S972=9), "COVERAGE",AND(N972&lt;= 30, S972=9), "FLUSH",AND(N972&lt;= 11, S972=10), "FLUSH",AND(N972&lt;= 21, S972=10), "PRODUCTION")</f>
        <v>SOWING</v>
      </c>
      <c r="U972">
        <f>HOUR(datos_siembra[[#This Row],[Hour]])</f>
        <v>7</v>
      </c>
      <c r="V972" cm="1">
        <f t="array" ref="V972">_xlfn.IFS(AND(N972&lt;= 22, S972=9), N972-7,AND(N972&lt;= 28, S972=9), N972-25,AND(N972&lt;= 30, S972=9), N972-28,AND(N972&lt;= 11, S972=10), N972+2,AND(N972&lt;= 21, S972=10), N972-11)</f>
        <v>8</v>
      </c>
    </row>
    <row r="973" spans="1:22" x14ac:dyDescent="0.35">
      <c r="A973" s="4">
        <v>45550</v>
      </c>
      <c r="B973" s="5">
        <v>0.30376157407407406</v>
      </c>
      <c r="C973">
        <v>80.8</v>
      </c>
      <c r="D973">
        <v>76</v>
      </c>
      <c r="E973">
        <v>82.6</v>
      </c>
      <c r="F973">
        <v>79.099999999999994</v>
      </c>
      <c r="G973">
        <v>0</v>
      </c>
      <c r="H973">
        <v>0</v>
      </c>
      <c r="I973">
        <v>0</v>
      </c>
      <c r="J973">
        <v>0</v>
      </c>
      <c r="K973">
        <v>60</v>
      </c>
      <c r="L973">
        <v>58.5</v>
      </c>
      <c r="M973">
        <v>79.59</v>
      </c>
      <c r="N973">
        <v>15</v>
      </c>
      <c r="O973">
        <v>5</v>
      </c>
      <c r="P973">
        <f>MOD(DAY(datos_siembra[[#This Row],[Date]]),7)</f>
        <v>1</v>
      </c>
      <c r="Q973" t="str">
        <f>CHOOSE(WEEKDAY(datos_siembra[[#This Row],[Date]],2),"L","M","X","J","V","S","D")</f>
        <v>D</v>
      </c>
      <c r="R973">
        <f>WEEKNUM(datos_siembra[[#This Row],[Date]],2)-WEEKNUM(DATE(YEAR(datos_siembra[[#This Row],[Date]]),MONTH(datos_siembra[[#This Row],[Date]]),1))+1</f>
        <v>2</v>
      </c>
      <c r="S973">
        <f>MONTH(datos_siembra[[#This Row],[Date]])</f>
        <v>9</v>
      </c>
      <c r="T973" t="str" cm="1">
        <f t="array" ref="T973">_xlfn.IFS(AND(N973&lt;= 22, S973=9), "SOWING",AND(N973&lt;= 28, S973=9), "COVERAGE",AND(N973&lt;= 30, S973=9), "FLUSH",AND(N973&lt;= 11, S973=10), "FLUSH",AND(N973&lt;= 21, S973=10), "PRODUCTION")</f>
        <v>SOWING</v>
      </c>
      <c r="U973">
        <f>HOUR(datos_siembra[[#This Row],[Hour]])</f>
        <v>7</v>
      </c>
      <c r="V973" cm="1">
        <f t="array" ref="V973">_xlfn.IFS(AND(N973&lt;= 22, S973=9), N973-7,AND(N973&lt;= 28, S973=9), N973-25,AND(N973&lt;= 30, S973=9), N973-28,AND(N973&lt;= 11, S973=10), N973+2,AND(N973&lt;= 21, S973=10), N973-11)</f>
        <v>8</v>
      </c>
    </row>
    <row r="974" spans="1:22" x14ac:dyDescent="0.35">
      <c r="A974" s="4">
        <v>45550</v>
      </c>
      <c r="B974" s="5">
        <v>0.31070601851851853</v>
      </c>
      <c r="C974">
        <v>80.7</v>
      </c>
      <c r="D974">
        <v>75.8</v>
      </c>
      <c r="E974">
        <v>82.6</v>
      </c>
      <c r="F974">
        <v>79</v>
      </c>
      <c r="G974">
        <v>0</v>
      </c>
      <c r="H974">
        <v>0</v>
      </c>
      <c r="I974">
        <v>0</v>
      </c>
      <c r="J974">
        <v>0</v>
      </c>
      <c r="K974">
        <v>60.1</v>
      </c>
      <c r="L974">
        <v>58.5</v>
      </c>
      <c r="M974">
        <v>79.56</v>
      </c>
      <c r="N974">
        <v>15</v>
      </c>
      <c r="O974">
        <v>5</v>
      </c>
      <c r="P974">
        <f>MOD(DAY(datos_siembra[[#This Row],[Date]]),7)</f>
        <v>1</v>
      </c>
      <c r="Q974" t="str">
        <f>CHOOSE(WEEKDAY(datos_siembra[[#This Row],[Date]],2),"L","M","X","J","V","S","D")</f>
        <v>D</v>
      </c>
      <c r="R974">
        <f>WEEKNUM(datos_siembra[[#This Row],[Date]],2)-WEEKNUM(DATE(YEAR(datos_siembra[[#This Row],[Date]]),MONTH(datos_siembra[[#This Row],[Date]]),1))+1</f>
        <v>2</v>
      </c>
      <c r="S974">
        <f>MONTH(datos_siembra[[#This Row],[Date]])</f>
        <v>9</v>
      </c>
      <c r="T974" t="str" cm="1">
        <f t="array" ref="T974">_xlfn.IFS(AND(N974&lt;= 22, S974=9), "SOWING",AND(N974&lt;= 28, S974=9), "COVERAGE",AND(N974&lt;= 30, S974=9), "FLUSH",AND(N974&lt;= 11, S974=10), "FLUSH",AND(N974&lt;= 21, S974=10), "PRODUCTION")</f>
        <v>SOWING</v>
      </c>
      <c r="U974">
        <f>HOUR(datos_siembra[[#This Row],[Hour]])</f>
        <v>7</v>
      </c>
      <c r="V974" cm="1">
        <f t="array" ref="V974">_xlfn.IFS(AND(N974&lt;= 22, S974=9), N974-7,AND(N974&lt;= 28, S974=9), N974-25,AND(N974&lt;= 30, S974=9), N974-28,AND(N974&lt;= 11, S974=10), N974+2,AND(N974&lt;= 21, S974=10), N974-11)</f>
        <v>8</v>
      </c>
    </row>
    <row r="975" spans="1:22" x14ac:dyDescent="0.35">
      <c r="A975" s="4">
        <v>45550</v>
      </c>
      <c r="B975" s="5">
        <v>0.31765046296296295</v>
      </c>
      <c r="C975">
        <v>80.599999999999994</v>
      </c>
      <c r="D975">
        <v>75.8</v>
      </c>
      <c r="E975">
        <v>82.5</v>
      </c>
      <c r="F975">
        <v>79.099999999999994</v>
      </c>
      <c r="G975">
        <v>0</v>
      </c>
      <c r="H975">
        <v>0</v>
      </c>
      <c r="I975">
        <v>0</v>
      </c>
      <c r="J975">
        <v>0</v>
      </c>
      <c r="K975">
        <v>60.2</v>
      </c>
      <c r="L975">
        <v>58.4</v>
      </c>
      <c r="M975">
        <v>79.56</v>
      </c>
      <c r="N975">
        <v>15</v>
      </c>
      <c r="O975">
        <v>5</v>
      </c>
      <c r="P975">
        <f>MOD(DAY(datos_siembra[[#This Row],[Date]]),7)</f>
        <v>1</v>
      </c>
      <c r="Q975" t="str">
        <f>CHOOSE(WEEKDAY(datos_siembra[[#This Row],[Date]],2),"L","M","X","J","V","S","D")</f>
        <v>D</v>
      </c>
      <c r="R975">
        <f>WEEKNUM(datos_siembra[[#This Row],[Date]],2)-WEEKNUM(DATE(YEAR(datos_siembra[[#This Row],[Date]]),MONTH(datos_siembra[[#This Row],[Date]]),1))+1</f>
        <v>2</v>
      </c>
      <c r="S975">
        <f>MONTH(datos_siembra[[#This Row],[Date]])</f>
        <v>9</v>
      </c>
      <c r="T975" t="str" cm="1">
        <f t="array" ref="T975">_xlfn.IFS(AND(N975&lt;= 22, S975=9), "SOWING",AND(N975&lt;= 28, S975=9), "COVERAGE",AND(N975&lt;= 30, S975=9), "FLUSH",AND(N975&lt;= 11, S975=10), "FLUSH",AND(N975&lt;= 21, S975=10), "PRODUCTION")</f>
        <v>SOWING</v>
      </c>
      <c r="U975">
        <f>HOUR(datos_siembra[[#This Row],[Hour]])</f>
        <v>7</v>
      </c>
      <c r="V975" cm="1">
        <f t="array" ref="V975">_xlfn.IFS(AND(N975&lt;= 22, S975=9), N975-7,AND(N975&lt;= 28, S975=9), N975-25,AND(N975&lt;= 30, S975=9), N975-28,AND(N975&lt;= 11, S975=10), N975+2,AND(N975&lt;= 21, S975=10), N975-11)</f>
        <v>8</v>
      </c>
    </row>
    <row r="976" spans="1:22" x14ac:dyDescent="0.35">
      <c r="A976" s="4">
        <v>45550</v>
      </c>
      <c r="B976" s="5">
        <v>0.32460648148148147</v>
      </c>
      <c r="C976">
        <v>80.7</v>
      </c>
      <c r="D976">
        <v>75.900000000000006</v>
      </c>
      <c r="E976">
        <v>82.4</v>
      </c>
      <c r="F976">
        <v>78.900000000000006</v>
      </c>
      <c r="G976">
        <v>0</v>
      </c>
      <c r="H976">
        <v>0</v>
      </c>
      <c r="I976">
        <v>0</v>
      </c>
      <c r="J976">
        <v>0</v>
      </c>
      <c r="K976">
        <v>61.2</v>
      </c>
      <c r="L976">
        <v>59.9</v>
      </c>
      <c r="M976">
        <v>79.47</v>
      </c>
      <c r="N976">
        <v>15</v>
      </c>
      <c r="O976">
        <v>5</v>
      </c>
      <c r="P976">
        <f>MOD(DAY(datos_siembra[[#This Row],[Date]]),7)</f>
        <v>1</v>
      </c>
      <c r="Q976" t="str">
        <f>CHOOSE(WEEKDAY(datos_siembra[[#This Row],[Date]],2),"L","M","X","J","V","S","D")</f>
        <v>D</v>
      </c>
      <c r="R976">
        <f>WEEKNUM(datos_siembra[[#This Row],[Date]],2)-WEEKNUM(DATE(YEAR(datos_siembra[[#This Row],[Date]]),MONTH(datos_siembra[[#This Row],[Date]]),1))+1</f>
        <v>2</v>
      </c>
      <c r="S976">
        <f>MONTH(datos_siembra[[#This Row],[Date]])</f>
        <v>9</v>
      </c>
      <c r="T976" t="str" cm="1">
        <f t="array" ref="T976">_xlfn.IFS(AND(N976&lt;= 22, S976=9), "SOWING",AND(N976&lt;= 28, S976=9), "COVERAGE",AND(N976&lt;= 30, S976=9), "FLUSH",AND(N976&lt;= 11, S976=10), "FLUSH",AND(N976&lt;= 21, S976=10), "PRODUCTION")</f>
        <v>SOWING</v>
      </c>
      <c r="U976">
        <f>HOUR(datos_siembra[[#This Row],[Hour]])</f>
        <v>7</v>
      </c>
      <c r="V976" cm="1">
        <f t="array" ref="V976">_xlfn.IFS(AND(N976&lt;= 22, S976=9), N976-7,AND(N976&lt;= 28, S976=9), N976-25,AND(N976&lt;= 30, S976=9), N976-28,AND(N976&lt;= 11, S976=10), N976+2,AND(N976&lt;= 21, S976=10), N976-11)</f>
        <v>8</v>
      </c>
    </row>
    <row r="977" spans="1:22" x14ac:dyDescent="0.35">
      <c r="A977" s="4">
        <v>45550</v>
      </c>
      <c r="B977" s="5">
        <v>0.33155092592592594</v>
      </c>
      <c r="C977">
        <v>80.599999999999994</v>
      </c>
      <c r="D977">
        <v>75.900000000000006</v>
      </c>
      <c r="E977">
        <v>82.5</v>
      </c>
      <c r="F977">
        <v>79</v>
      </c>
      <c r="G977">
        <v>0</v>
      </c>
      <c r="H977">
        <v>0</v>
      </c>
      <c r="I977">
        <v>0</v>
      </c>
      <c r="J977">
        <v>0</v>
      </c>
      <c r="K977">
        <v>62</v>
      </c>
      <c r="L977">
        <v>60.7</v>
      </c>
      <c r="M977">
        <v>79.42</v>
      </c>
      <c r="N977">
        <v>15</v>
      </c>
      <c r="O977">
        <v>5</v>
      </c>
      <c r="P977">
        <f>MOD(DAY(datos_siembra[[#This Row],[Date]]),7)</f>
        <v>1</v>
      </c>
      <c r="Q977" t="str">
        <f>CHOOSE(WEEKDAY(datos_siembra[[#This Row],[Date]],2),"L","M","X","J","V","S","D")</f>
        <v>D</v>
      </c>
      <c r="R977">
        <f>WEEKNUM(datos_siembra[[#This Row],[Date]],2)-WEEKNUM(DATE(YEAR(datos_siembra[[#This Row],[Date]]),MONTH(datos_siembra[[#This Row],[Date]]),1))+1</f>
        <v>2</v>
      </c>
      <c r="S977">
        <f>MONTH(datos_siembra[[#This Row],[Date]])</f>
        <v>9</v>
      </c>
      <c r="T977" t="str" cm="1">
        <f t="array" ref="T977">_xlfn.IFS(AND(N977&lt;= 22, S977=9), "SOWING",AND(N977&lt;= 28, S977=9), "COVERAGE",AND(N977&lt;= 30, S977=9), "FLUSH",AND(N977&lt;= 11, S977=10), "FLUSH",AND(N977&lt;= 21, S977=10), "PRODUCTION")</f>
        <v>SOWING</v>
      </c>
      <c r="U977">
        <f>HOUR(datos_siembra[[#This Row],[Hour]])</f>
        <v>7</v>
      </c>
      <c r="V977" cm="1">
        <f t="array" ref="V977">_xlfn.IFS(AND(N977&lt;= 22, S977=9), N977-7,AND(N977&lt;= 28, S977=9), N977-25,AND(N977&lt;= 30, S977=9), N977-28,AND(N977&lt;= 11, S977=10), N977+2,AND(N977&lt;= 21, S977=10), N977-11)</f>
        <v>8</v>
      </c>
    </row>
    <row r="978" spans="1:22" x14ac:dyDescent="0.35">
      <c r="A978" s="4">
        <v>45550</v>
      </c>
      <c r="B978" s="5">
        <v>0.33849537037037036</v>
      </c>
      <c r="C978">
        <v>80.5</v>
      </c>
      <c r="D978">
        <v>75.8</v>
      </c>
      <c r="E978">
        <v>82.6</v>
      </c>
      <c r="F978">
        <v>78.900000000000006</v>
      </c>
      <c r="G978">
        <v>0</v>
      </c>
      <c r="H978">
        <v>0</v>
      </c>
      <c r="I978">
        <v>0</v>
      </c>
      <c r="J978">
        <v>0</v>
      </c>
      <c r="K978">
        <v>62.7</v>
      </c>
      <c r="L978">
        <v>61.5</v>
      </c>
      <c r="M978">
        <v>79.36</v>
      </c>
      <c r="N978">
        <v>15</v>
      </c>
      <c r="O978">
        <v>5</v>
      </c>
      <c r="P978">
        <f>MOD(DAY(datos_siembra[[#This Row],[Date]]),7)</f>
        <v>1</v>
      </c>
      <c r="Q978" t="str">
        <f>CHOOSE(WEEKDAY(datos_siembra[[#This Row],[Date]],2),"L","M","X","J","V","S","D")</f>
        <v>D</v>
      </c>
      <c r="R978">
        <f>WEEKNUM(datos_siembra[[#This Row],[Date]],2)-WEEKNUM(DATE(YEAR(datos_siembra[[#This Row],[Date]]),MONTH(datos_siembra[[#This Row],[Date]]),1))+1</f>
        <v>2</v>
      </c>
      <c r="S978">
        <f>MONTH(datos_siembra[[#This Row],[Date]])</f>
        <v>9</v>
      </c>
      <c r="T978" t="str" cm="1">
        <f t="array" ref="T978">_xlfn.IFS(AND(N978&lt;= 22, S978=9), "SOWING",AND(N978&lt;= 28, S978=9), "COVERAGE",AND(N978&lt;= 30, S978=9), "FLUSH",AND(N978&lt;= 11, S978=10), "FLUSH",AND(N978&lt;= 21, S978=10), "PRODUCTION")</f>
        <v>SOWING</v>
      </c>
      <c r="U978">
        <f>HOUR(datos_siembra[[#This Row],[Hour]])</f>
        <v>8</v>
      </c>
      <c r="V978" cm="1">
        <f t="array" ref="V978">_xlfn.IFS(AND(N978&lt;= 22, S978=9), N978-7,AND(N978&lt;= 28, S978=9), N978-25,AND(N978&lt;= 30, S978=9), N978-28,AND(N978&lt;= 11, S978=10), N978+2,AND(N978&lt;= 21, S978=10), N978-11)</f>
        <v>8</v>
      </c>
    </row>
    <row r="979" spans="1:22" x14ac:dyDescent="0.35">
      <c r="A979" s="4">
        <v>45550</v>
      </c>
      <c r="B979" s="5">
        <v>0.34545138888888888</v>
      </c>
      <c r="C979">
        <v>80.400000000000006</v>
      </c>
      <c r="D979">
        <v>75.599999999999994</v>
      </c>
      <c r="E979">
        <v>82.4</v>
      </c>
      <c r="F979">
        <v>78.900000000000006</v>
      </c>
      <c r="G979">
        <v>0</v>
      </c>
      <c r="H979">
        <v>0</v>
      </c>
      <c r="I979">
        <v>0</v>
      </c>
      <c r="J979">
        <v>0</v>
      </c>
      <c r="K979">
        <v>63</v>
      </c>
      <c r="L979">
        <v>61.9</v>
      </c>
      <c r="M979">
        <v>79.33</v>
      </c>
      <c r="N979">
        <v>15</v>
      </c>
      <c r="O979">
        <v>5</v>
      </c>
      <c r="P979">
        <f>MOD(DAY(datos_siembra[[#This Row],[Date]]),7)</f>
        <v>1</v>
      </c>
      <c r="Q979" t="str">
        <f>CHOOSE(WEEKDAY(datos_siembra[[#This Row],[Date]],2),"L","M","X","J","V","S","D")</f>
        <v>D</v>
      </c>
      <c r="R979">
        <f>WEEKNUM(datos_siembra[[#This Row],[Date]],2)-WEEKNUM(DATE(YEAR(datos_siembra[[#This Row],[Date]]),MONTH(datos_siembra[[#This Row],[Date]]),1))+1</f>
        <v>2</v>
      </c>
      <c r="S979">
        <f>MONTH(datos_siembra[[#This Row],[Date]])</f>
        <v>9</v>
      </c>
      <c r="T979" t="str" cm="1">
        <f t="array" ref="T979">_xlfn.IFS(AND(N979&lt;= 22, S979=9), "SOWING",AND(N979&lt;= 28, S979=9), "COVERAGE",AND(N979&lt;= 30, S979=9), "FLUSH",AND(N979&lt;= 11, S979=10), "FLUSH",AND(N979&lt;= 21, S979=10), "PRODUCTION")</f>
        <v>SOWING</v>
      </c>
      <c r="U979">
        <f>HOUR(datos_siembra[[#This Row],[Hour]])</f>
        <v>8</v>
      </c>
      <c r="V979" cm="1">
        <f t="array" ref="V979">_xlfn.IFS(AND(N979&lt;= 22, S979=9), N979-7,AND(N979&lt;= 28, S979=9), N979-25,AND(N979&lt;= 30, S979=9), N979-28,AND(N979&lt;= 11, S979=10), N979+2,AND(N979&lt;= 21, S979=10), N979-11)</f>
        <v>8</v>
      </c>
    </row>
    <row r="980" spans="1:22" x14ac:dyDescent="0.35">
      <c r="A980" s="4">
        <v>45550</v>
      </c>
      <c r="B980" s="5">
        <v>0.35239583333333335</v>
      </c>
      <c r="C980">
        <v>80.400000000000006</v>
      </c>
      <c r="D980">
        <v>75.8</v>
      </c>
      <c r="E980">
        <v>82.5</v>
      </c>
      <c r="F980">
        <v>78.7</v>
      </c>
      <c r="G980">
        <v>0</v>
      </c>
      <c r="H980">
        <v>0</v>
      </c>
      <c r="I980">
        <v>0</v>
      </c>
      <c r="J980">
        <v>0</v>
      </c>
      <c r="K980">
        <v>63.4</v>
      </c>
      <c r="L980">
        <v>62</v>
      </c>
      <c r="M980">
        <v>79.39</v>
      </c>
      <c r="N980">
        <v>15</v>
      </c>
      <c r="O980">
        <v>5</v>
      </c>
      <c r="P980">
        <f>MOD(DAY(datos_siembra[[#This Row],[Date]]),7)</f>
        <v>1</v>
      </c>
      <c r="Q980" t="str">
        <f>CHOOSE(WEEKDAY(datos_siembra[[#This Row],[Date]],2),"L","M","X","J","V","S","D")</f>
        <v>D</v>
      </c>
      <c r="R980">
        <f>WEEKNUM(datos_siembra[[#This Row],[Date]],2)-WEEKNUM(DATE(YEAR(datos_siembra[[#This Row],[Date]]),MONTH(datos_siembra[[#This Row],[Date]]),1))+1</f>
        <v>2</v>
      </c>
      <c r="S980">
        <f>MONTH(datos_siembra[[#This Row],[Date]])</f>
        <v>9</v>
      </c>
      <c r="T980" t="str" cm="1">
        <f t="array" ref="T980">_xlfn.IFS(AND(N980&lt;= 22, S980=9), "SOWING",AND(N980&lt;= 28, S980=9), "COVERAGE",AND(N980&lt;= 30, S980=9), "FLUSH",AND(N980&lt;= 11, S980=10), "FLUSH",AND(N980&lt;= 21, S980=10), "PRODUCTION")</f>
        <v>SOWING</v>
      </c>
      <c r="U980">
        <f>HOUR(datos_siembra[[#This Row],[Hour]])</f>
        <v>8</v>
      </c>
      <c r="V980" cm="1">
        <f t="array" ref="V980">_xlfn.IFS(AND(N980&lt;= 22, S980=9), N980-7,AND(N980&lt;= 28, S980=9), N980-25,AND(N980&lt;= 30, S980=9), N980-28,AND(N980&lt;= 11, S980=10), N980+2,AND(N980&lt;= 21, S980=10), N980-11)</f>
        <v>8</v>
      </c>
    </row>
    <row r="981" spans="1:22" x14ac:dyDescent="0.35">
      <c r="A981" s="4">
        <v>45550</v>
      </c>
      <c r="B981" s="5">
        <v>0.35934027777777777</v>
      </c>
      <c r="C981">
        <v>80.099999999999994</v>
      </c>
      <c r="D981">
        <v>75.8</v>
      </c>
      <c r="E981">
        <v>82.4</v>
      </c>
      <c r="F981">
        <v>78.8</v>
      </c>
      <c r="G981">
        <v>0</v>
      </c>
      <c r="H981">
        <v>0</v>
      </c>
      <c r="I981">
        <v>0</v>
      </c>
      <c r="J981">
        <v>0</v>
      </c>
      <c r="K981">
        <v>63.5</v>
      </c>
      <c r="L981">
        <v>62.4</v>
      </c>
      <c r="M981">
        <v>79.28</v>
      </c>
      <c r="N981">
        <v>15</v>
      </c>
      <c r="O981">
        <v>5</v>
      </c>
      <c r="P981">
        <f>MOD(DAY(datos_siembra[[#This Row],[Date]]),7)</f>
        <v>1</v>
      </c>
      <c r="Q981" t="str">
        <f>CHOOSE(WEEKDAY(datos_siembra[[#This Row],[Date]],2),"L","M","X","J","V","S","D")</f>
        <v>D</v>
      </c>
      <c r="R981">
        <f>WEEKNUM(datos_siembra[[#This Row],[Date]],2)-WEEKNUM(DATE(YEAR(datos_siembra[[#This Row],[Date]]),MONTH(datos_siembra[[#This Row],[Date]]),1))+1</f>
        <v>2</v>
      </c>
      <c r="S981">
        <f>MONTH(datos_siembra[[#This Row],[Date]])</f>
        <v>9</v>
      </c>
      <c r="T981" t="str" cm="1">
        <f t="array" ref="T981">_xlfn.IFS(AND(N981&lt;= 22, S981=9), "SOWING",AND(N981&lt;= 28, S981=9), "COVERAGE",AND(N981&lt;= 30, S981=9), "FLUSH",AND(N981&lt;= 11, S981=10), "FLUSH",AND(N981&lt;= 21, S981=10), "PRODUCTION")</f>
        <v>SOWING</v>
      </c>
      <c r="U981">
        <f>HOUR(datos_siembra[[#This Row],[Hour]])</f>
        <v>8</v>
      </c>
      <c r="V981" cm="1">
        <f t="array" ref="V981">_xlfn.IFS(AND(N981&lt;= 22, S981=9), N981-7,AND(N981&lt;= 28, S981=9), N981-25,AND(N981&lt;= 30, S981=9), N981-28,AND(N981&lt;= 11, S981=10), N981+2,AND(N981&lt;= 21, S981=10), N981-11)</f>
        <v>8</v>
      </c>
    </row>
    <row r="982" spans="1:22" x14ac:dyDescent="0.35">
      <c r="A982" s="4">
        <v>45550</v>
      </c>
      <c r="B982" s="5">
        <v>0.36628472222222225</v>
      </c>
      <c r="C982">
        <v>80.400000000000006</v>
      </c>
      <c r="D982">
        <v>75.8</v>
      </c>
      <c r="E982">
        <v>82.3</v>
      </c>
      <c r="F982">
        <v>78.7</v>
      </c>
      <c r="G982">
        <v>0</v>
      </c>
      <c r="H982">
        <v>0</v>
      </c>
      <c r="I982">
        <v>0</v>
      </c>
      <c r="J982">
        <v>0</v>
      </c>
      <c r="K982">
        <v>63.8</v>
      </c>
      <c r="L982">
        <v>62.5</v>
      </c>
      <c r="M982">
        <v>79.25</v>
      </c>
      <c r="N982">
        <v>15</v>
      </c>
      <c r="O982">
        <v>5</v>
      </c>
      <c r="P982">
        <f>MOD(DAY(datos_siembra[[#This Row],[Date]]),7)</f>
        <v>1</v>
      </c>
      <c r="Q982" t="str">
        <f>CHOOSE(WEEKDAY(datos_siembra[[#This Row],[Date]],2),"L","M","X","J","V","S","D")</f>
        <v>D</v>
      </c>
      <c r="R982">
        <f>WEEKNUM(datos_siembra[[#This Row],[Date]],2)-WEEKNUM(DATE(YEAR(datos_siembra[[#This Row],[Date]]),MONTH(datos_siembra[[#This Row],[Date]]),1))+1</f>
        <v>2</v>
      </c>
      <c r="S982">
        <f>MONTH(datos_siembra[[#This Row],[Date]])</f>
        <v>9</v>
      </c>
      <c r="T982" t="str" cm="1">
        <f t="array" ref="T982">_xlfn.IFS(AND(N982&lt;= 22, S982=9), "SOWING",AND(N982&lt;= 28, S982=9), "COVERAGE",AND(N982&lt;= 30, S982=9), "FLUSH",AND(N982&lt;= 11, S982=10), "FLUSH",AND(N982&lt;= 21, S982=10), "PRODUCTION")</f>
        <v>SOWING</v>
      </c>
      <c r="U982">
        <f>HOUR(datos_siembra[[#This Row],[Hour]])</f>
        <v>8</v>
      </c>
      <c r="V982" cm="1">
        <f t="array" ref="V982">_xlfn.IFS(AND(N982&lt;= 22, S982=9), N982-7,AND(N982&lt;= 28, S982=9), N982-25,AND(N982&lt;= 30, S982=9), N982-28,AND(N982&lt;= 11, S982=10), N982+2,AND(N982&lt;= 21, S982=10), N982-11)</f>
        <v>8</v>
      </c>
    </row>
    <row r="983" spans="1:22" x14ac:dyDescent="0.35">
      <c r="A983" s="4">
        <v>45550</v>
      </c>
      <c r="B983" s="5">
        <v>0.37324074074074076</v>
      </c>
      <c r="C983">
        <v>80.3</v>
      </c>
      <c r="D983">
        <v>75.8</v>
      </c>
      <c r="E983">
        <v>82.4</v>
      </c>
      <c r="F983">
        <v>78.8</v>
      </c>
      <c r="G983">
        <v>0</v>
      </c>
      <c r="H983">
        <v>0</v>
      </c>
      <c r="I983">
        <v>0</v>
      </c>
      <c r="J983">
        <v>0</v>
      </c>
      <c r="K983">
        <v>63.9</v>
      </c>
      <c r="L983">
        <v>62.7</v>
      </c>
      <c r="M983">
        <v>79.28</v>
      </c>
      <c r="N983">
        <v>15</v>
      </c>
      <c r="O983">
        <v>5</v>
      </c>
      <c r="P983">
        <f>MOD(DAY(datos_siembra[[#This Row],[Date]]),7)</f>
        <v>1</v>
      </c>
      <c r="Q983" t="str">
        <f>CHOOSE(WEEKDAY(datos_siembra[[#This Row],[Date]],2),"L","M","X","J","V","S","D")</f>
        <v>D</v>
      </c>
      <c r="R983">
        <f>WEEKNUM(datos_siembra[[#This Row],[Date]],2)-WEEKNUM(DATE(YEAR(datos_siembra[[#This Row],[Date]]),MONTH(datos_siembra[[#This Row],[Date]]),1))+1</f>
        <v>2</v>
      </c>
      <c r="S983">
        <f>MONTH(datos_siembra[[#This Row],[Date]])</f>
        <v>9</v>
      </c>
      <c r="T983" t="str" cm="1">
        <f t="array" ref="T983">_xlfn.IFS(AND(N983&lt;= 22, S983=9), "SOWING",AND(N983&lt;= 28, S983=9), "COVERAGE",AND(N983&lt;= 30, S983=9), "FLUSH",AND(N983&lt;= 11, S983=10), "FLUSH",AND(N983&lt;= 21, S983=10), "PRODUCTION")</f>
        <v>SOWING</v>
      </c>
      <c r="U983">
        <f>HOUR(datos_siembra[[#This Row],[Hour]])</f>
        <v>8</v>
      </c>
      <c r="V983" cm="1">
        <f t="array" ref="V983">_xlfn.IFS(AND(N983&lt;= 22, S983=9), N983-7,AND(N983&lt;= 28, S983=9), N983-25,AND(N983&lt;= 30, S983=9), N983-28,AND(N983&lt;= 11, S983=10), N983+2,AND(N983&lt;= 21, S983=10), N983-11)</f>
        <v>8</v>
      </c>
    </row>
    <row r="984" spans="1:22" x14ac:dyDescent="0.35">
      <c r="A984" s="4">
        <v>45550</v>
      </c>
      <c r="B984" s="5">
        <v>0.38018518518518518</v>
      </c>
      <c r="C984">
        <v>80.099999999999994</v>
      </c>
      <c r="D984">
        <v>75.8</v>
      </c>
      <c r="E984">
        <v>82.2</v>
      </c>
      <c r="F984">
        <v>78.7</v>
      </c>
      <c r="G984">
        <v>0</v>
      </c>
      <c r="H984">
        <v>0</v>
      </c>
      <c r="I984">
        <v>0</v>
      </c>
      <c r="J984">
        <v>0</v>
      </c>
      <c r="K984">
        <v>64.099999999999994</v>
      </c>
      <c r="L984">
        <v>62.8</v>
      </c>
      <c r="M984">
        <v>79.19</v>
      </c>
      <c r="N984">
        <v>15</v>
      </c>
      <c r="O984">
        <v>5</v>
      </c>
      <c r="P984">
        <f>MOD(DAY(datos_siembra[[#This Row],[Date]]),7)</f>
        <v>1</v>
      </c>
      <c r="Q984" t="str">
        <f>CHOOSE(WEEKDAY(datos_siembra[[#This Row],[Date]],2),"L","M","X","J","V","S","D")</f>
        <v>D</v>
      </c>
      <c r="R984">
        <f>WEEKNUM(datos_siembra[[#This Row],[Date]],2)-WEEKNUM(DATE(YEAR(datos_siembra[[#This Row],[Date]]),MONTH(datos_siembra[[#This Row],[Date]]),1))+1</f>
        <v>2</v>
      </c>
      <c r="S984">
        <f>MONTH(datos_siembra[[#This Row],[Date]])</f>
        <v>9</v>
      </c>
      <c r="T984" t="str" cm="1">
        <f t="array" ref="T984">_xlfn.IFS(AND(N984&lt;= 22, S984=9), "SOWING",AND(N984&lt;= 28, S984=9), "COVERAGE",AND(N984&lt;= 30, S984=9), "FLUSH",AND(N984&lt;= 11, S984=10), "FLUSH",AND(N984&lt;= 21, S984=10), "PRODUCTION")</f>
        <v>SOWING</v>
      </c>
      <c r="U984">
        <f>HOUR(datos_siembra[[#This Row],[Hour]])</f>
        <v>9</v>
      </c>
      <c r="V984" cm="1">
        <f t="array" ref="V984">_xlfn.IFS(AND(N984&lt;= 22, S984=9), N984-7,AND(N984&lt;= 28, S984=9), N984-25,AND(N984&lt;= 30, S984=9), N984-28,AND(N984&lt;= 11, S984=10), N984+2,AND(N984&lt;= 21, S984=10), N984-11)</f>
        <v>8</v>
      </c>
    </row>
    <row r="985" spans="1:22" x14ac:dyDescent="0.35">
      <c r="A985" s="4">
        <v>45550</v>
      </c>
      <c r="B985" s="5">
        <v>0.38712962962962966</v>
      </c>
      <c r="C985">
        <v>80.099999999999994</v>
      </c>
      <c r="D985">
        <v>75.599999999999994</v>
      </c>
      <c r="E985">
        <v>82.2</v>
      </c>
      <c r="F985">
        <v>78.8</v>
      </c>
      <c r="G985">
        <v>0</v>
      </c>
      <c r="H985">
        <v>0</v>
      </c>
      <c r="I985">
        <v>0</v>
      </c>
      <c r="J985">
        <v>0</v>
      </c>
      <c r="K985">
        <v>62.7</v>
      </c>
      <c r="L985">
        <v>61.2</v>
      </c>
      <c r="M985">
        <v>79.11</v>
      </c>
      <c r="N985">
        <v>15</v>
      </c>
      <c r="O985">
        <v>5</v>
      </c>
      <c r="P985">
        <f>MOD(DAY(datos_siembra[[#This Row],[Date]]),7)</f>
        <v>1</v>
      </c>
      <c r="Q985" t="str">
        <f>CHOOSE(WEEKDAY(datos_siembra[[#This Row],[Date]],2),"L","M","X","J","V","S","D")</f>
        <v>D</v>
      </c>
      <c r="R985">
        <f>WEEKNUM(datos_siembra[[#This Row],[Date]],2)-WEEKNUM(DATE(YEAR(datos_siembra[[#This Row],[Date]]),MONTH(datos_siembra[[#This Row],[Date]]),1))+1</f>
        <v>2</v>
      </c>
      <c r="S985">
        <f>MONTH(datos_siembra[[#This Row],[Date]])</f>
        <v>9</v>
      </c>
      <c r="T985" t="str" cm="1">
        <f t="array" ref="T985">_xlfn.IFS(AND(N985&lt;= 22, S985=9), "SOWING",AND(N985&lt;= 28, S985=9), "COVERAGE",AND(N985&lt;= 30, S985=9), "FLUSH",AND(N985&lt;= 11, S985=10), "FLUSH",AND(N985&lt;= 21, S985=10), "PRODUCTION")</f>
        <v>SOWING</v>
      </c>
      <c r="U985">
        <f>HOUR(datos_siembra[[#This Row],[Hour]])</f>
        <v>9</v>
      </c>
      <c r="V985" cm="1">
        <f t="array" ref="V985">_xlfn.IFS(AND(N985&lt;= 22, S985=9), N985-7,AND(N985&lt;= 28, S985=9), N985-25,AND(N985&lt;= 30, S985=9), N985-28,AND(N985&lt;= 11, S985=10), N985+2,AND(N985&lt;= 21, S985=10), N985-11)</f>
        <v>8</v>
      </c>
    </row>
    <row r="986" spans="1:22" x14ac:dyDescent="0.35">
      <c r="A986" s="4">
        <v>45550</v>
      </c>
      <c r="B986" s="5">
        <v>0.39407407407407408</v>
      </c>
      <c r="C986">
        <v>80.3</v>
      </c>
      <c r="D986">
        <v>75.8</v>
      </c>
      <c r="E986">
        <v>82.4</v>
      </c>
      <c r="F986">
        <v>78.7</v>
      </c>
      <c r="G986">
        <v>0</v>
      </c>
      <c r="H986">
        <v>0</v>
      </c>
      <c r="I986">
        <v>0</v>
      </c>
      <c r="J986">
        <v>0</v>
      </c>
      <c r="K986">
        <v>62.4</v>
      </c>
      <c r="L986">
        <v>60.9</v>
      </c>
      <c r="M986">
        <v>79.22</v>
      </c>
      <c r="N986">
        <v>15</v>
      </c>
      <c r="O986">
        <v>5</v>
      </c>
      <c r="P986">
        <f>MOD(DAY(datos_siembra[[#This Row],[Date]]),7)</f>
        <v>1</v>
      </c>
      <c r="Q986" t="str">
        <f>CHOOSE(WEEKDAY(datos_siembra[[#This Row],[Date]],2),"L","M","X","J","V","S","D")</f>
        <v>D</v>
      </c>
      <c r="R986">
        <f>WEEKNUM(datos_siembra[[#This Row],[Date]],2)-WEEKNUM(DATE(YEAR(datos_siembra[[#This Row],[Date]]),MONTH(datos_siembra[[#This Row],[Date]]),1))+1</f>
        <v>2</v>
      </c>
      <c r="S986">
        <f>MONTH(datos_siembra[[#This Row],[Date]])</f>
        <v>9</v>
      </c>
      <c r="T986" t="str" cm="1">
        <f t="array" ref="T986">_xlfn.IFS(AND(N986&lt;= 22, S986=9), "SOWING",AND(N986&lt;= 28, S986=9), "COVERAGE",AND(N986&lt;= 30, S986=9), "FLUSH",AND(N986&lt;= 11, S986=10), "FLUSH",AND(N986&lt;= 21, S986=10), "PRODUCTION")</f>
        <v>SOWING</v>
      </c>
      <c r="U986">
        <f>HOUR(datos_siembra[[#This Row],[Hour]])</f>
        <v>9</v>
      </c>
      <c r="V986" cm="1">
        <f t="array" ref="V986">_xlfn.IFS(AND(N986&lt;= 22, S986=9), N986-7,AND(N986&lt;= 28, S986=9), N986-25,AND(N986&lt;= 30, S986=9), N986-28,AND(N986&lt;= 11, S986=10), N986+2,AND(N986&lt;= 21, S986=10), N986-11)</f>
        <v>8</v>
      </c>
    </row>
    <row r="987" spans="1:22" x14ac:dyDescent="0.35">
      <c r="A987" s="4">
        <v>45550</v>
      </c>
      <c r="B987" s="5">
        <v>0.40103009259259259</v>
      </c>
      <c r="C987">
        <v>80</v>
      </c>
      <c r="D987">
        <v>75.599999999999994</v>
      </c>
      <c r="E987">
        <v>82.2</v>
      </c>
      <c r="F987">
        <v>78.8</v>
      </c>
      <c r="G987">
        <v>0</v>
      </c>
      <c r="H987">
        <v>0</v>
      </c>
      <c r="I987">
        <v>0</v>
      </c>
      <c r="J987">
        <v>0</v>
      </c>
      <c r="K987">
        <v>62.2</v>
      </c>
      <c r="L987">
        <v>60.6</v>
      </c>
      <c r="M987">
        <v>79.22</v>
      </c>
      <c r="N987">
        <v>15</v>
      </c>
      <c r="O987">
        <v>5</v>
      </c>
      <c r="P987">
        <f>MOD(DAY(datos_siembra[[#This Row],[Date]]),7)</f>
        <v>1</v>
      </c>
      <c r="Q987" t="str">
        <f>CHOOSE(WEEKDAY(datos_siembra[[#This Row],[Date]],2),"L","M","X","J","V","S","D")</f>
        <v>D</v>
      </c>
      <c r="R987">
        <f>WEEKNUM(datos_siembra[[#This Row],[Date]],2)-WEEKNUM(DATE(YEAR(datos_siembra[[#This Row],[Date]]),MONTH(datos_siembra[[#This Row],[Date]]),1))+1</f>
        <v>2</v>
      </c>
      <c r="S987">
        <f>MONTH(datos_siembra[[#This Row],[Date]])</f>
        <v>9</v>
      </c>
      <c r="T987" t="str" cm="1">
        <f t="array" ref="T987">_xlfn.IFS(AND(N987&lt;= 22, S987=9), "SOWING",AND(N987&lt;= 28, S987=9), "COVERAGE",AND(N987&lt;= 30, S987=9), "FLUSH",AND(N987&lt;= 11, S987=10), "FLUSH",AND(N987&lt;= 21, S987=10), "PRODUCTION")</f>
        <v>SOWING</v>
      </c>
      <c r="U987">
        <f>HOUR(datos_siembra[[#This Row],[Hour]])</f>
        <v>9</v>
      </c>
      <c r="V987" cm="1">
        <f t="array" ref="V987">_xlfn.IFS(AND(N987&lt;= 22, S987=9), N987-7,AND(N987&lt;= 28, S987=9), N987-25,AND(N987&lt;= 30, S987=9), N987-28,AND(N987&lt;= 11, S987=10), N987+2,AND(N987&lt;= 21, S987=10), N987-11)</f>
        <v>8</v>
      </c>
    </row>
    <row r="988" spans="1:22" x14ac:dyDescent="0.35">
      <c r="A988" s="4">
        <v>45550</v>
      </c>
      <c r="B988" s="5">
        <v>0.40797453703703701</v>
      </c>
      <c r="C988">
        <v>80</v>
      </c>
      <c r="D988">
        <v>75.8</v>
      </c>
      <c r="E988">
        <v>82.1</v>
      </c>
      <c r="F988">
        <v>78.5</v>
      </c>
      <c r="G988">
        <v>0</v>
      </c>
      <c r="H988">
        <v>0</v>
      </c>
      <c r="I988">
        <v>0</v>
      </c>
      <c r="J988">
        <v>0</v>
      </c>
      <c r="K988">
        <v>62.2</v>
      </c>
      <c r="L988">
        <v>60.6</v>
      </c>
      <c r="M988">
        <v>79.17</v>
      </c>
      <c r="N988">
        <v>15</v>
      </c>
      <c r="O988">
        <v>5</v>
      </c>
      <c r="P988">
        <f>MOD(DAY(datos_siembra[[#This Row],[Date]]),7)</f>
        <v>1</v>
      </c>
      <c r="Q988" t="str">
        <f>CHOOSE(WEEKDAY(datos_siembra[[#This Row],[Date]],2),"L","M","X","J","V","S","D")</f>
        <v>D</v>
      </c>
      <c r="R988">
        <f>WEEKNUM(datos_siembra[[#This Row],[Date]],2)-WEEKNUM(DATE(YEAR(datos_siembra[[#This Row],[Date]]),MONTH(datos_siembra[[#This Row],[Date]]),1))+1</f>
        <v>2</v>
      </c>
      <c r="S988">
        <f>MONTH(datos_siembra[[#This Row],[Date]])</f>
        <v>9</v>
      </c>
      <c r="T988" t="str" cm="1">
        <f t="array" ref="T988">_xlfn.IFS(AND(N988&lt;= 22, S988=9), "SOWING",AND(N988&lt;= 28, S988=9), "COVERAGE",AND(N988&lt;= 30, S988=9), "FLUSH",AND(N988&lt;= 11, S988=10), "FLUSH",AND(N988&lt;= 21, S988=10), "PRODUCTION")</f>
        <v>SOWING</v>
      </c>
      <c r="U988">
        <f>HOUR(datos_siembra[[#This Row],[Hour]])</f>
        <v>9</v>
      </c>
      <c r="V988" cm="1">
        <f t="array" ref="V988">_xlfn.IFS(AND(N988&lt;= 22, S988=9), N988-7,AND(N988&lt;= 28, S988=9), N988-25,AND(N988&lt;= 30, S988=9), N988-28,AND(N988&lt;= 11, S988=10), N988+2,AND(N988&lt;= 21, S988=10), N988-11)</f>
        <v>8</v>
      </c>
    </row>
    <row r="989" spans="1:22" x14ac:dyDescent="0.35">
      <c r="A989" s="4">
        <v>45550</v>
      </c>
      <c r="B989" s="5">
        <v>0.41491898148148149</v>
      </c>
      <c r="C989">
        <v>80.099999999999994</v>
      </c>
      <c r="D989">
        <v>75.900000000000006</v>
      </c>
      <c r="E989">
        <v>82</v>
      </c>
      <c r="F989">
        <v>78.7</v>
      </c>
      <c r="G989">
        <v>0</v>
      </c>
      <c r="H989">
        <v>0</v>
      </c>
      <c r="I989">
        <v>0</v>
      </c>
      <c r="J989">
        <v>0</v>
      </c>
      <c r="K989">
        <v>62</v>
      </c>
      <c r="L989">
        <v>60.5</v>
      </c>
      <c r="M989">
        <v>79.14</v>
      </c>
      <c r="N989">
        <v>15</v>
      </c>
      <c r="O989">
        <v>5</v>
      </c>
      <c r="P989">
        <f>MOD(DAY(datos_siembra[[#This Row],[Date]]),7)</f>
        <v>1</v>
      </c>
      <c r="Q989" t="str">
        <f>CHOOSE(WEEKDAY(datos_siembra[[#This Row],[Date]],2),"L","M","X","J","V","S","D")</f>
        <v>D</v>
      </c>
      <c r="R989">
        <f>WEEKNUM(datos_siembra[[#This Row],[Date]],2)-WEEKNUM(DATE(YEAR(datos_siembra[[#This Row],[Date]]),MONTH(datos_siembra[[#This Row],[Date]]),1))+1</f>
        <v>2</v>
      </c>
      <c r="S989">
        <f>MONTH(datos_siembra[[#This Row],[Date]])</f>
        <v>9</v>
      </c>
      <c r="T989" t="str" cm="1">
        <f t="array" ref="T989">_xlfn.IFS(AND(N989&lt;= 22, S989=9), "SOWING",AND(N989&lt;= 28, S989=9), "COVERAGE",AND(N989&lt;= 30, S989=9), "FLUSH",AND(N989&lt;= 11, S989=10), "FLUSH",AND(N989&lt;= 21, S989=10), "PRODUCTION")</f>
        <v>SOWING</v>
      </c>
      <c r="U989">
        <f>HOUR(datos_siembra[[#This Row],[Hour]])</f>
        <v>9</v>
      </c>
      <c r="V989" cm="1">
        <f t="array" ref="V989">_xlfn.IFS(AND(N989&lt;= 22, S989=9), N989-7,AND(N989&lt;= 28, S989=9), N989-25,AND(N989&lt;= 30, S989=9), N989-28,AND(N989&lt;= 11, S989=10), N989+2,AND(N989&lt;= 21, S989=10), N989-11)</f>
        <v>8</v>
      </c>
    </row>
    <row r="990" spans="1:22" x14ac:dyDescent="0.35">
      <c r="A990" s="4">
        <v>45550</v>
      </c>
      <c r="B990" s="5">
        <v>0.421875</v>
      </c>
      <c r="C990">
        <v>80.099999999999994</v>
      </c>
      <c r="D990">
        <v>75.900000000000006</v>
      </c>
      <c r="E990">
        <v>82</v>
      </c>
      <c r="F990">
        <v>78.7</v>
      </c>
      <c r="G990">
        <v>0</v>
      </c>
      <c r="H990">
        <v>0</v>
      </c>
      <c r="I990">
        <v>0</v>
      </c>
      <c r="J990">
        <v>0</v>
      </c>
      <c r="K990">
        <v>61.9</v>
      </c>
      <c r="L990">
        <v>60.3</v>
      </c>
      <c r="M990">
        <v>79.11</v>
      </c>
      <c r="N990">
        <v>15</v>
      </c>
      <c r="O990">
        <v>5</v>
      </c>
      <c r="P990">
        <f>MOD(DAY(datos_siembra[[#This Row],[Date]]),7)</f>
        <v>1</v>
      </c>
      <c r="Q990" t="str">
        <f>CHOOSE(WEEKDAY(datos_siembra[[#This Row],[Date]],2),"L","M","X","J","V","S","D")</f>
        <v>D</v>
      </c>
      <c r="R990">
        <f>WEEKNUM(datos_siembra[[#This Row],[Date]],2)-WEEKNUM(DATE(YEAR(datos_siembra[[#This Row],[Date]]),MONTH(datos_siembra[[#This Row],[Date]]),1))+1</f>
        <v>2</v>
      </c>
      <c r="S990">
        <f>MONTH(datos_siembra[[#This Row],[Date]])</f>
        <v>9</v>
      </c>
      <c r="T990" t="str" cm="1">
        <f t="array" ref="T990">_xlfn.IFS(AND(N990&lt;= 22, S990=9), "SOWING",AND(N990&lt;= 28, S990=9), "COVERAGE",AND(N990&lt;= 30, S990=9), "FLUSH",AND(N990&lt;= 11, S990=10), "FLUSH",AND(N990&lt;= 21, S990=10), "PRODUCTION")</f>
        <v>SOWING</v>
      </c>
      <c r="U990">
        <f>HOUR(datos_siembra[[#This Row],[Hour]])</f>
        <v>10</v>
      </c>
      <c r="V990" cm="1">
        <f t="array" ref="V990">_xlfn.IFS(AND(N990&lt;= 22, S990=9), N990-7,AND(N990&lt;= 28, S990=9), N990-25,AND(N990&lt;= 30, S990=9), N990-28,AND(N990&lt;= 11, S990=10), N990+2,AND(N990&lt;= 21, S990=10), N990-11)</f>
        <v>8</v>
      </c>
    </row>
    <row r="991" spans="1:22" x14ac:dyDescent="0.35">
      <c r="A991" s="4">
        <v>45550</v>
      </c>
      <c r="B991" s="5">
        <v>0.42881944444444442</v>
      </c>
      <c r="C991">
        <v>80.099999999999994</v>
      </c>
      <c r="D991">
        <v>75.900000000000006</v>
      </c>
      <c r="E991">
        <v>82</v>
      </c>
      <c r="F991">
        <v>78.7</v>
      </c>
      <c r="G991">
        <v>0</v>
      </c>
      <c r="H991">
        <v>0</v>
      </c>
      <c r="I991">
        <v>0</v>
      </c>
      <c r="J991">
        <v>0</v>
      </c>
      <c r="K991">
        <v>61.9</v>
      </c>
      <c r="L991">
        <v>60.6</v>
      </c>
      <c r="M991">
        <v>79.11</v>
      </c>
      <c r="N991">
        <v>15</v>
      </c>
      <c r="O991">
        <v>5</v>
      </c>
      <c r="P991">
        <f>MOD(DAY(datos_siembra[[#This Row],[Date]]),7)</f>
        <v>1</v>
      </c>
      <c r="Q991" t="str">
        <f>CHOOSE(WEEKDAY(datos_siembra[[#This Row],[Date]],2),"L","M","X","J","V","S","D")</f>
        <v>D</v>
      </c>
      <c r="R991">
        <f>WEEKNUM(datos_siembra[[#This Row],[Date]],2)-WEEKNUM(DATE(YEAR(datos_siembra[[#This Row],[Date]]),MONTH(datos_siembra[[#This Row],[Date]]),1))+1</f>
        <v>2</v>
      </c>
      <c r="S991">
        <f>MONTH(datos_siembra[[#This Row],[Date]])</f>
        <v>9</v>
      </c>
      <c r="T991" t="str" cm="1">
        <f t="array" ref="T991">_xlfn.IFS(AND(N991&lt;= 22, S991=9), "SOWING",AND(N991&lt;= 28, S991=9), "COVERAGE",AND(N991&lt;= 30, S991=9), "FLUSH",AND(N991&lt;= 11, S991=10), "FLUSH",AND(N991&lt;= 21, S991=10), "PRODUCTION")</f>
        <v>SOWING</v>
      </c>
      <c r="U991">
        <f>HOUR(datos_siembra[[#This Row],[Hour]])</f>
        <v>10</v>
      </c>
      <c r="V991" cm="1">
        <f t="array" ref="V991">_xlfn.IFS(AND(N991&lt;= 22, S991=9), N991-7,AND(N991&lt;= 28, S991=9), N991-25,AND(N991&lt;= 30, S991=9), N991-28,AND(N991&lt;= 11, S991=10), N991+2,AND(N991&lt;= 21, S991=10), N991-11)</f>
        <v>8</v>
      </c>
    </row>
    <row r="992" spans="1:22" x14ac:dyDescent="0.35">
      <c r="A992" s="4">
        <v>45550</v>
      </c>
      <c r="B992" s="5">
        <v>0.4357638888888889</v>
      </c>
      <c r="C992">
        <v>79.900000000000006</v>
      </c>
      <c r="D992">
        <v>75.900000000000006</v>
      </c>
      <c r="E992">
        <v>81.8</v>
      </c>
      <c r="F992">
        <v>78.5</v>
      </c>
      <c r="G992">
        <v>0</v>
      </c>
      <c r="H992">
        <v>0</v>
      </c>
      <c r="I992">
        <v>0</v>
      </c>
      <c r="J992">
        <v>0</v>
      </c>
      <c r="K992">
        <v>62.2</v>
      </c>
      <c r="L992">
        <v>60.7</v>
      </c>
      <c r="M992">
        <v>79.02</v>
      </c>
      <c r="N992">
        <v>15</v>
      </c>
      <c r="O992">
        <v>5</v>
      </c>
      <c r="P992">
        <f>MOD(DAY(datos_siembra[[#This Row],[Date]]),7)</f>
        <v>1</v>
      </c>
      <c r="Q992" t="str">
        <f>CHOOSE(WEEKDAY(datos_siembra[[#This Row],[Date]],2),"L","M","X","J","V","S","D")</f>
        <v>D</v>
      </c>
      <c r="R992">
        <f>WEEKNUM(datos_siembra[[#This Row],[Date]],2)-WEEKNUM(DATE(YEAR(datos_siembra[[#This Row],[Date]]),MONTH(datos_siembra[[#This Row],[Date]]),1))+1</f>
        <v>2</v>
      </c>
      <c r="S992">
        <f>MONTH(datos_siembra[[#This Row],[Date]])</f>
        <v>9</v>
      </c>
      <c r="T992" t="str" cm="1">
        <f t="array" ref="T992">_xlfn.IFS(AND(N992&lt;= 22, S992=9), "SOWING",AND(N992&lt;= 28, S992=9), "COVERAGE",AND(N992&lt;= 30, S992=9), "FLUSH",AND(N992&lt;= 11, S992=10), "FLUSH",AND(N992&lt;= 21, S992=10), "PRODUCTION")</f>
        <v>SOWING</v>
      </c>
      <c r="U992">
        <f>HOUR(datos_siembra[[#This Row],[Hour]])</f>
        <v>10</v>
      </c>
      <c r="V992" cm="1">
        <f t="array" ref="V992">_xlfn.IFS(AND(N992&lt;= 22, S992=9), N992-7,AND(N992&lt;= 28, S992=9), N992-25,AND(N992&lt;= 30, S992=9), N992-28,AND(N992&lt;= 11, S992=10), N992+2,AND(N992&lt;= 21, S992=10), N992-11)</f>
        <v>8</v>
      </c>
    </row>
    <row r="993" spans="1:22" x14ac:dyDescent="0.35">
      <c r="A993" s="4">
        <v>45550</v>
      </c>
      <c r="B993" s="5">
        <v>0.44271990740740741</v>
      </c>
      <c r="C993">
        <v>79.900000000000006</v>
      </c>
      <c r="D993">
        <v>75.900000000000006</v>
      </c>
      <c r="E993">
        <v>82</v>
      </c>
      <c r="F993">
        <v>78.400000000000006</v>
      </c>
      <c r="G993">
        <v>0</v>
      </c>
      <c r="H993">
        <v>0</v>
      </c>
      <c r="I993">
        <v>0</v>
      </c>
      <c r="J993">
        <v>0</v>
      </c>
      <c r="K993">
        <v>62.4</v>
      </c>
      <c r="L993">
        <v>60.9</v>
      </c>
      <c r="M993">
        <v>79.08</v>
      </c>
      <c r="N993">
        <v>15</v>
      </c>
      <c r="O993">
        <v>5</v>
      </c>
      <c r="P993">
        <f>MOD(DAY(datos_siembra[[#This Row],[Date]]),7)</f>
        <v>1</v>
      </c>
      <c r="Q993" t="str">
        <f>CHOOSE(WEEKDAY(datos_siembra[[#This Row],[Date]],2),"L","M","X","J","V","S","D")</f>
        <v>D</v>
      </c>
      <c r="R993">
        <f>WEEKNUM(datos_siembra[[#This Row],[Date]],2)-WEEKNUM(DATE(YEAR(datos_siembra[[#This Row],[Date]]),MONTH(datos_siembra[[#This Row],[Date]]),1))+1</f>
        <v>2</v>
      </c>
      <c r="S993">
        <f>MONTH(datos_siembra[[#This Row],[Date]])</f>
        <v>9</v>
      </c>
      <c r="T993" t="str" cm="1">
        <f t="array" ref="T993">_xlfn.IFS(AND(N993&lt;= 22, S993=9), "SOWING",AND(N993&lt;= 28, S993=9), "COVERAGE",AND(N993&lt;= 30, S993=9), "FLUSH",AND(N993&lt;= 11, S993=10), "FLUSH",AND(N993&lt;= 21, S993=10), "PRODUCTION")</f>
        <v>SOWING</v>
      </c>
      <c r="U993">
        <f>HOUR(datos_siembra[[#This Row],[Hour]])</f>
        <v>10</v>
      </c>
      <c r="V993" cm="1">
        <f t="array" ref="V993">_xlfn.IFS(AND(N993&lt;= 22, S993=9), N993-7,AND(N993&lt;= 28, S993=9), N993-25,AND(N993&lt;= 30, S993=9), N993-28,AND(N993&lt;= 11, S993=10), N993+2,AND(N993&lt;= 21, S993=10), N993-11)</f>
        <v>8</v>
      </c>
    </row>
    <row r="994" spans="1:22" x14ac:dyDescent="0.35">
      <c r="A994" s="4">
        <v>45550</v>
      </c>
      <c r="B994" s="5">
        <v>0.44966435185185183</v>
      </c>
      <c r="C994">
        <v>79.8</v>
      </c>
      <c r="D994">
        <v>75.900000000000006</v>
      </c>
      <c r="E994">
        <v>82</v>
      </c>
      <c r="F994">
        <v>78.400000000000006</v>
      </c>
      <c r="G994">
        <v>0</v>
      </c>
      <c r="H994">
        <v>0</v>
      </c>
      <c r="I994">
        <v>0</v>
      </c>
      <c r="J994">
        <v>0</v>
      </c>
      <c r="K994">
        <v>62.2</v>
      </c>
      <c r="L994">
        <v>60.7</v>
      </c>
      <c r="M994">
        <v>79</v>
      </c>
      <c r="N994">
        <v>15</v>
      </c>
      <c r="O994">
        <v>5</v>
      </c>
      <c r="P994">
        <f>MOD(DAY(datos_siembra[[#This Row],[Date]]),7)</f>
        <v>1</v>
      </c>
      <c r="Q994" t="str">
        <f>CHOOSE(WEEKDAY(datos_siembra[[#This Row],[Date]],2),"L","M","X","J","V","S","D")</f>
        <v>D</v>
      </c>
      <c r="R994">
        <f>WEEKNUM(datos_siembra[[#This Row],[Date]],2)-WEEKNUM(DATE(YEAR(datos_siembra[[#This Row],[Date]]),MONTH(datos_siembra[[#This Row],[Date]]),1))+1</f>
        <v>2</v>
      </c>
      <c r="S994">
        <f>MONTH(datos_siembra[[#This Row],[Date]])</f>
        <v>9</v>
      </c>
      <c r="T994" t="str" cm="1">
        <f t="array" ref="T994">_xlfn.IFS(AND(N994&lt;= 22, S994=9), "SOWING",AND(N994&lt;= 28, S994=9), "COVERAGE",AND(N994&lt;= 30, S994=9), "FLUSH",AND(N994&lt;= 11, S994=10), "FLUSH",AND(N994&lt;= 21, S994=10), "PRODUCTION")</f>
        <v>SOWING</v>
      </c>
      <c r="U994">
        <f>HOUR(datos_siembra[[#This Row],[Hour]])</f>
        <v>10</v>
      </c>
      <c r="V994" cm="1">
        <f t="array" ref="V994">_xlfn.IFS(AND(N994&lt;= 22, S994=9), N994-7,AND(N994&lt;= 28, S994=9), N994-25,AND(N994&lt;= 30, S994=9), N994-28,AND(N994&lt;= 11, S994=10), N994+2,AND(N994&lt;= 21, S994=10), N994-11)</f>
        <v>8</v>
      </c>
    </row>
    <row r="995" spans="1:22" x14ac:dyDescent="0.35">
      <c r="A995" s="4">
        <v>45550</v>
      </c>
      <c r="B995" s="5">
        <v>0.4566087962962963</v>
      </c>
      <c r="C995">
        <v>79.900000000000006</v>
      </c>
      <c r="D995">
        <v>75.900000000000006</v>
      </c>
      <c r="E995">
        <v>81.7</v>
      </c>
      <c r="F995">
        <v>78.599999999999994</v>
      </c>
      <c r="G995">
        <v>0</v>
      </c>
      <c r="H995">
        <v>0</v>
      </c>
      <c r="I995">
        <v>0</v>
      </c>
      <c r="J995">
        <v>0</v>
      </c>
      <c r="K995">
        <v>62.3</v>
      </c>
      <c r="L995">
        <v>60.8</v>
      </c>
      <c r="M995">
        <v>79</v>
      </c>
      <c r="N995">
        <v>15</v>
      </c>
      <c r="O995">
        <v>5</v>
      </c>
      <c r="P995">
        <f>MOD(DAY(datos_siembra[[#This Row],[Date]]),7)</f>
        <v>1</v>
      </c>
      <c r="Q995" t="str">
        <f>CHOOSE(WEEKDAY(datos_siembra[[#This Row],[Date]],2),"L","M","X","J","V","S","D")</f>
        <v>D</v>
      </c>
      <c r="R995">
        <f>WEEKNUM(datos_siembra[[#This Row],[Date]],2)-WEEKNUM(DATE(YEAR(datos_siembra[[#This Row],[Date]]),MONTH(datos_siembra[[#This Row],[Date]]),1))+1</f>
        <v>2</v>
      </c>
      <c r="S995">
        <f>MONTH(datos_siembra[[#This Row],[Date]])</f>
        <v>9</v>
      </c>
      <c r="T995" t="str" cm="1">
        <f t="array" ref="T995">_xlfn.IFS(AND(N995&lt;= 22, S995=9), "SOWING",AND(N995&lt;= 28, S995=9), "COVERAGE",AND(N995&lt;= 30, S995=9), "FLUSH",AND(N995&lt;= 11, S995=10), "FLUSH",AND(N995&lt;= 21, S995=10), "PRODUCTION")</f>
        <v>SOWING</v>
      </c>
      <c r="U995">
        <f>HOUR(datos_siembra[[#This Row],[Hour]])</f>
        <v>10</v>
      </c>
      <c r="V995" cm="1">
        <f t="array" ref="V995">_xlfn.IFS(AND(N995&lt;= 22, S995=9), N995-7,AND(N995&lt;= 28, S995=9), N995-25,AND(N995&lt;= 30, S995=9), N995-28,AND(N995&lt;= 11, S995=10), N995+2,AND(N995&lt;= 21, S995=10), N995-11)</f>
        <v>8</v>
      </c>
    </row>
    <row r="996" spans="1:22" x14ac:dyDescent="0.35">
      <c r="A996" s="4">
        <v>45550</v>
      </c>
      <c r="B996" s="5">
        <v>0.46356481481481482</v>
      </c>
      <c r="C996">
        <v>79.900000000000006</v>
      </c>
      <c r="D996">
        <v>76</v>
      </c>
      <c r="E996">
        <v>81.8</v>
      </c>
      <c r="F996">
        <v>78.400000000000006</v>
      </c>
      <c r="G996">
        <v>0</v>
      </c>
      <c r="H996">
        <v>0</v>
      </c>
      <c r="I996">
        <v>0</v>
      </c>
      <c r="J996">
        <v>0</v>
      </c>
      <c r="K996">
        <v>62.3</v>
      </c>
      <c r="L996">
        <v>60.8</v>
      </c>
      <c r="M996">
        <v>79</v>
      </c>
      <c r="N996">
        <v>15</v>
      </c>
      <c r="O996">
        <v>5</v>
      </c>
      <c r="P996">
        <f>MOD(DAY(datos_siembra[[#This Row],[Date]]),7)</f>
        <v>1</v>
      </c>
      <c r="Q996" t="str">
        <f>CHOOSE(WEEKDAY(datos_siembra[[#This Row],[Date]],2),"L","M","X","J","V","S","D")</f>
        <v>D</v>
      </c>
      <c r="R996">
        <f>WEEKNUM(datos_siembra[[#This Row],[Date]],2)-WEEKNUM(DATE(YEAR(datos_siembra[[#This Row],[Date]]),MONTH(datos_siembra[[#This Row],[Date]]),1))+1</f>
        <v>2</v>
      </c>
      <c r="S996">
        <f>MONTH(datos_siembra[[#This Row],[Date]])</f>
        <v>9</v>
      </c>
      <c r="T996" t="str" cm="1">
        <f t="array" ref="T996">_xlfn.IFS(AND(N996&lt;= 22, S996=9), "SOWING",AND(N996&lt;= 28, S996=9), "COVERAGE",AND(N996&lt;= 30, S996=9), "FLUSH",AND(N996&lt;= 11, S996=10), "FLUSH",AND(N996&lt;= 21, S996=10), "PRODUCTION")</f>
        <v>SOWING</v>
      </c>
      <c r="U996">
        <f>HOUR(datos_siembra[[#This Row],[Hour]])</f>
        <v>11</v>
      </c>
      <c r="V996" cm="1">
        <f t="array" ref="V996">_xlfn.IFS(AND(N996&lt;= 22, S996=9), N996-7,AND(N996&lt;= 28, S996=9), N996-25,AND(N996&lt;= 30, S996=9), N996-28,AND(N996&lt;= 11, S996=10), N996+2,AND(N996&lt;= 21, S996=10), N996-11)</f>
        <v>8</v>
      </c>
    </row>
    <row r="997" spans="1:22" x14ac:dyDescent="0.35">
      <c r="A997" s="4">
        <v>45550</v>
      </c>
      <c r="B997" s="5">
        <v>0.47050925925925924</v>
      </c>
      <c r="C997">
        <v>79.8</v>
      </c>
      <c r="D997">
        <v>75.900000000000006</v>
      </c>
      <c r="E997">
        <v>81.7</v>
      </c>
      <c r="F997">
        <v>78.5</v>
      </c>
      <c r="G997">
        <v>0</v>
      </c>
      <c r="H997">
        <v>0</v>
      </c>
      <c r="I997">
        <v>0</v>
      </c>
      <c r="J997">
        <v>0</v>
      </c>
      <c r="K997">
        <v>62.3</v>
      </c>
      <c r="L997">
        <v>60.8</v>
      </c>
      <c r="M997">
        <v>78.91</v>
      </c>
      <c r="N997">
        <v>15</v>
      </c>
      <c r="O997">
        <v>5</v>
      </c>
      <c r="P997">
        <f>MOD(DAY(datos_siembra[[#This Row],[Date]]),7)</f>
        <v>1</v>
      </c>
      <c r="Q997" t="str">
        <f>CHOOSE(WEEKDAY(datos_siembra[[#This Row],[Date]],2),"L","M","X","J","V","S","D")</f>
        <v>D</v>
      </c>
      <c r="R997">
        <f>WEEKNUM(datos_siembra[[#This Row],[Date]],2)-WEEKNUM(DATE(YEAR(datos_siembra[[#This Row],[Date]]),MONTH(datos_siembra[[#This Row],[Date]]),1))+1</f>
        <v>2</v>
      </c>
      <c r="S997">
        <f>MONTH(datos_siembra[[#This Row],[Date]])</f>
        <v>9</v>
      </c>
      <c r="T997" t="str" cm="1">
        <f t="array" ref="T997">_xlfn.IFS(AND(N997&lt;= 22, S997=9), "SOWING",AND(N997&lt;= 28, S997=9), "COVERAGE",AND(N997&lt;= 30, S997=9), "FLUSH",AND(N997&lt;= 11, S997=10), "FLUSH",AND(N997&lt;= 21, S997=10), "PRODUCTION")</f>
        <v>SOWING</v>
      </c>
      <c r="U997">
        <f>HOUR(datos_siembra[[#This Row],[Hour]])</f>
        <v>11</v>
      </c>
      <c r="V997" cm="1">
        <f t="array" ref="V997">_xlfn.IFS(AND(N997&lt;= 22, S997=9), N997-7,AND(N997&lt;= 28, S997=9), N997-25,AND(N997&lt;= 30, S997=9), N997-28,AND(N997&lt;= 11, S997=10), N997+2,AND(N997&lt;= 21, S997=10), N997-11)</f>
        <v>8</v>
      </c>
    </row>
    <row r="998" spans="1:22" x14ac:dyDescent="0.35">
      <c r="A998" s="4">
        <v>45550</v>
      </c>
      <c r="B998" s="5">
        <v>0.47745370370370371</v>
      </c>
      <c r="C998">
        <v>79.8</v>
      </c>
      <c r="D998">
        <v>75.900000000000006</v>
      </c>
      <c r="E998">
        <v>81.599999999999994</v>
      </c>
      <c r="F998">
        <v>78.5</v>
      </c>
      <c r="G998">
        <v>0</v>
      </c>
      <c r="H998">
        <v>0</v>
      </c>
      <c r="I998">
        <v>0</v>
      </c>
      <c r="J998">
        <v>0</v>
      </c>
      <c r="K998">
        <v>62.4</v>
      </c>
      <c r="L998">
        <v>60.9</v>
      </c>
      <c r="M998">
        <v>78.97</v>
      </c>
      <c r="N998">
        <v>15</v>
      </c>
      <c r="O998">
        <v>5</v>
      </c>
      <c r="P998">
        <f>MOD(DAY(datos_siembra[[#This Row],[Date]]),7)</f>
        <v>1</v>
      </c>
      <c r="Q998" t="str">
        <f>CHOOSE(WEEKDAY(datos_siembra[[#This Row],[Date]],2),"L","M","X","J","V","S","D")</f>
        <v>D</v>
      </c>
      <c r="R998">
        <f>WEEKNUM(datos_siembra[[#This Row],[Date]],2)-WEEKNUM(DATE(YEAR(datos_siembra[[#This Row],[Date]]),MONTH(datos_siembra[[#This Row],[Date]]),1))+1</f>
        <v>2</v>
      </c>
      <c r="S998">
        <f>MONTH(datos_siembra[[#This Row],[Date]])</f>
        <v>9</v>
      </c>
      <c r="T998" t="str" cm="1">
        <f t="array" ref="T998">_xlfn.IFS(AND(N998&lt;= 22, S998=9), "SOWING",AND(N998&lt;= 28, S998=9), "COVERAGE",AND(N998&lt;= 30, S998=9), "FLUSH",AND(N998&lt;= 11, S998=10), "FLUSH",AND(N998&lt;= 21, S998=10), "PRODUCTION")</f>
        <v>SOWING</v>
      </c>
      <c r="U998">
        <f>HOUR(datos_siembra[[#This Row],[Hour]])</f>
        <v>11</v>
      </c>
      <c r="V998" cm="1">
        <f t="array" ref="V998">_xlfn.IFS(AND(N998&lt;= 22, S998=9), N998-7,AND(N998&lt;= 28, S998=9), N998-25,AND(N998&lt;= 30, S998=9), N998-28,AND(N998&lt;= 11, S998=10), N998+2,AND(N998&lt;= 21, S998=10), N998-11)</f>
        <v>8</v>
      </c>
    </row>
    <row r="999" spans="1:22" x14ac:dyDescent="0.35">
      <c r="A999" s="4">
        <v>45550</v>
      </c>
      <c r="B999" s="5">
        <v>0.48439814814814813</v>
      </c>
      <c r="C999">
        <v>79.8</v>
      </c>
      <c r="D999">
        <v>76</v>
      </c>
      <c r="E999">
        <v>81.7</v>
      </c>
      <c r="F999">
        <v>78.5</v>
      </c>
      <c r="G999">
        <v>0</v>
      </c>
      <c r="H999">
        <v>0</v>
      </c>
      <c r="I999">
        <v>0</v>
      </c>
      <c r="J999">
        <v>0</v>
      </c>
      <c r="K999">
        <v>62.3</v>
      </c>
      <c r="L999">
        <v>60.8</v>
      </c>
      <c r="M999">
        <v>79</v>
      </c>
      <c r="N999">
        <v>15</v>
      </c>
      <c r="O999">
        <v>5</v>
      </c>
      <c r="P999">
        <f>MOD(DAY(datos_siembra[[#This Row],[Date]]),7)</f>
        <v>1</v>
      </c>
      <c r="Q999" t="str">
        <f>CHOOSE(WEEKDAY(datos_siembra[[#This Row],[Date]],2),"L","M","X","J","V","S","D")</f>
        <v>D</v>
      </c>
      <c r="R999">
        <f>WEEKNUM(datos_siembra[[#This Row],[Date]],2)-WEEKNUM(DATE(YEAR(datos_siembra[[#This Row],[Date]]),MONTH(datos_siembra[[#This Row],[Date]]),1))+1</f>
        <v>2</v>
      </c>
      <c r="S999">
        <f>MONTH(datos_siembra[[#This Row],[Date]])</f>
        <v>9</v>
      </c>
      <c r="T999" t="str" cm="1">
        <f t="array" ref="T999">_xlfn.IFS(AND(N999&lt;= 22, S999=9), "SOWING",AND(N999&lt;= 28, S999=9), "COVERAGE",AND(N999&lt;= 30, S999=9), "FLUSH",AND(N999&lt;= 11, S999=10), "FLUSH",AND(N999&lt;= 21, S999=10), "PRODUCTION")</f>
        <v>SOWING</v>
      </c>
      <c r="U999">
        <f>HOUR(datos_siembra[[#This Row],[Hour]])</f>
        <v>11</v>
      </c>
      <c r="V999" cm="1">
        <f t="array" ref="V999">_xlfn.IFS(AND(N999&lt;= 22, S999=9), N999-7,AND(N999&lt;= 28, S999=9), N999-25,AND(N999&lt;= 30, S999=9), N999-28,AND(N999&lt;= 11, S999=10), N999+2,AND(N999&lt;= 21, S999=10), N999-11)</f>
        <v>8</v>
      </c>
    </row>
    <row r="1000" spans="1:22" x14ac:dyDescent="0.35">
      <c r="A1000" s="4">
        <v>45550</v>
      </c>
      <c r="B1000" s="5">
        <v>0.49135416666666665</v>
      </c>
      <c r="C1000">
        <v>79.8</v>
      </c>
      <c r="D1000">
        <v>75.900000000000006</v>
      </c>
      <c r="E1000">
        <v>81.599999999999994</v>
      </c>
      <c r="F1000">
        <v>78.400000000000006</v>
      </c>
      <c r="G1000">
        <v>0</v>
      </c>
      <c r="H1000">
        <v>0</v>
      </c>
      <c r="I1000">
        <v>0</v>
      </c>
      <c r="J1000">
        <v>0</v>
      </c>
      <c r="K1000">
        <v>62.4</v>
      </c>
      <c r="L1000">
        <v>60.9</v>
      </c>
      <c r="M1000">
        <v>78.94</v>
      </c>
      <c r="N1000">
        <v>15</v>
      </c>
      <c r="O1000">
        <v>5</v>
      </c>
      <c r="P1000">
        <f>MOD(DAY(datos_siembra[[#This Row],[Date]]),7)</f>
        <v>1</v>
      </c>
      <c r="Q1000" t="str">
        <f>CHOOSE(WEEKDAY(datos_siembra[[#This Row],[Date]],2),"L","M","X","J","V","S","D")</f>
        <v>D</v>
      </c>
      <c r="R1000">
        <f>WEEKNUM(datos_siembra[[#This Row],[Date]],2)-WEEKNUM(DATE(YEAR(datos_siembra[[#This Row],[Date]]),MONTH(datos_siembra[[#This Row],[Date]]),1))+1</f>
        <v>2</v>
      </c>
      <c r="S1000">
        <f>MONTH(datos_siembra[[#This Row],[Date]])</f>
        <v>9</v>
      </c>
      <c r="T1000" t="str" cm="1">
        <f t="array" ref="T1000">_xlfn.IFS(AND(N1000&lt;= 22, S1000=9), "SOWING",AND(N1000&lt;= 28, S1000=9), "COVERAGE",AND(N1000&lt;= 30, S1000=9), "FLUSH",AND(N1000&lt;= 11, S1000=10), "FLUSH",AND(N1000&lt;= 21, S1000=10), "PRODUCTION")</f>
        <v>SOWING</v>
      </c>
      <c r="U1000">
        <f>HOUR(datos_siembra[[#This Row],[Hour]])</f>
        <v>11</v>
      </c>
      <c r="V1000" cm="1">
        <f t="array" ref="V1000">_xlfn.IFS(AND(N1000&lt;= 22, S1000=9), N1000-7,AND(N1000&lt;= 28, S1000=9), N1000-25,AND(N1000&lt;= 30, S1000=9), N1000-28,AND(N1000&lt;= 11, S1000=10), N1000+2,AND(N1000&lt;= 21, S1000=10), N1000-11)</f>
        <v>8</v>
      </c>
    </row>
    <row r="1001" spans="1:22" x14ac:dyDescent="0.35">
      <c r="A1001" s="4">
        <v>45550</v>
      </c>
      <c r="B1001" s="5">
        <v>0.49829861111111112</v>
      </c>
      <c r="C1001">
        <v>79.7</v>
      </c>
      <c r="D1001">
        <v>75.900000000000006</v>
      </c>
      <c r="E1001">
        <v>81.5</v>
      </c>
      <c r="F1001">
        <v>78.2</v>
      </c>
      <c r="G1001">
        <v>0</v>
      </c>
      <c r="H1001">
        <v>0</v>
      </c>
      <c r="I1001">
        <v>0</v>
      </c>
      <c r="J1001">
        <v>0</v>
      </c>
      <c r="K1001">
        <v>62.9</v>
      </c>
      <c r="L1001">
        <v>61.5</v>
      </c>
      <c r="M1001">
        <v>78.83</v>
      </c>
      <c r="N1001">
        <v>15</v>
      </c>
      <c r="O1001">
        <v>5</v>
      </c>
      <c r="P1001">
        <f>MOD(DAY(datos_siembra[[#This Row],[Date]]),7)</f>
        <v>1</v>
      </c>
      <c r="Q1001" t="str">
        <f>CHOOSE(WEEKDAY(datos_siembra[[#This Row],[Date]],2),"L","M","X","J","V","S","D")</f>
        <v>D</v>
      </c>
      <c r="R1001">
        <f>WEEKNUM(datos_siembra[[#This Row],[Date]],2)-WEEKNUM(DATE(YEAR(datos_siembra[[#This Row],[Date]]),MONTH(datos_siembra[[#This Row],[Date]]),1))+1</f>
        <v>2</v>
      </c>
      <c r="S1001">
        <f>MONTH(datos_siembra[[#This Row],[Date]])</f>
        <v>9</v>
      </c>
      <c r="T1001" t="str" cm="1">
        <f t="array" ref="T1001">_xlfn.IFS(AND(N1001&lt;= 22, S1001=9), "SOWING",AND(N1001&lt;= 28, S1001=9), "COVERAGE",AND(N1001&lt;= 30, S1001=9), "FLUSH",AND(N1001&lt;= 11, S1001=10), "FLUSH",AND(N1001&lt;= 21, S1001=10), "PRODUCTION")</f>
        <v>SOWING</v>
      </c>
      <c r="U1001">
        <f>HOUR(datos_siembra[[#This Row],[Hour]])</f>
        <v>11</v>
      </c>
      <c r="V1001" cm="1">
        <f t="array" ref="V1001">_xlfn.IFS(AND(N1001&lt;= 22, S1001=9), N1001-7,AND(N1001&lt;= 28, S1001=9), N1001-25,AND(N1001&lt;= 30, S1001=9), N1001-28,AND(N1001&lt;= 11, S1001=10), N1001+2,AND(N1001&lt;= 21, S1001=10), N1001-11)</f>
        <v>8</v>
      </c>
    </row>
    <row r="1002" spans="1:22" x14ac:dyDescent="0.35">
      <c r="A1002" s="4">
        <v>45550</v>
      </c>
      <c r="B1002" s="5">
        <v>0.5052430555555556</v>
      </c>
      <c r="C1002">
        <v>80</v>
      </c>
      <c r="D1002">
        <v>76</v>
      </c>
      <c r="E1002">
        <v>81.5</v>
      </c>
      <c r="F1002">
        <v>78.400000000000006</v>
      </c>
      <c r="G1002">
        <v>0</v>
      </c>
      <c r="H1002">
        <v>0</v>
      </c>
      <c r="I1002">
        <v>0</v>
      </c>
      <c r="J1002">
        <v>0</v>
      </c>
      <c r="K1002">
        <v>63.7</v>
      </c>
      <c r="L1002">
        <v>62.3</v>
      </c>
      <c r="M1002">
        <v>78.86</v>
      </c>
      <c r="N1002">
        <v>15</v>
      </c>
      <c r="O1002">
        <v>5</v>
      </c>
      <c r="P1002">
        <f>MOD(DAY(datos_siembra[[#This Row],[Date]]),7)</f>
        <v>1</v>
      </c>
      <c r="Q1002" t="str">
        <f>CHOOSE(WEEKDAY(datos_siembra[[#This Row],[Date]],2),"L","M","X","J","V","S","D")</f>
        <v>D</v>
      </c>
      <c r="R1002">
        <f>WEEKNUM(datos_siembra[[#This Row],[Date]],2)-WEEKNUM(DATE(YEAR(datos_siembra[[#This Row],[Date]]),MONTH(datos_siembra[[#This Row],[Date]]),1))+1</f>
        <v>2</v>
      </c>
      <c r="S1002">
        <f>MONTH(datos_siembra[[#This Row],[Date]])</f>
        <v>9</v>
      </c>
      <c r="T1002" t="str" cm="1">
        <f t="array" ref="T1002">_xlfn.IFS(AND(N1002&lt;= 22, S1002=9), "SOWING",AND(N1002&lt;= 28, S1002=9), "COVERAGE",AND(N1002&lt;= 30, S1002=9), "FLUSH",AND(N1002&lt;= 11, S1002=10), "FLUSH",AND(N1002&lt;= 21, S1002=10), "PRODUCTION")</f>
        <v>SOWING</v>
      </c>
      <c r="U1002">
        <f>HOUR(datos_siembra[[#This Row],[Hour]])</f>
        <v>12</v>
      </c>
      <c r="V1002" cm="1">
        <f t="array" ref="V1002">_xlfn.IFS(AND(N1002&lt;= 22, S1002=9), N1002-7,AND(N1002&lt;= 28, S1002=9), N1002-25,AND(N1002&lt;= 30, S1002=9), N1002-28,AND(N1002&lt;= 11, S1002=10), N1002+2,AND(N1002&lt;= 21, S1002=10), N1002-11)</f>
        <v>8</v>
      </c>
    </row>
    <row r="1003" spans="1:22" x14ac:dyDescent="0.35">
      <c r="A1003" s="4">
        <v>45550</v>
      </c>
      <c r="B1003" s="5">
        <v>0.51219907407407406</v>
      </c>
      <c r="C1003">
        <v>79.8</v>
      </c>
      <c r="D1003">
        <v>75.900000000000006</v>
      </c>
      <c r="E1003">
        <v>81.599999999999994</v>
      </c>
      <c r="F1003">
        <v>78.400000000000006</v>
      </c>
      <c r="G1003">
        <v>0</v>
      </c>
      <c r="H1003">
        <v>0</v>
      </c>
      <c r="I1003">
        <v>0</v>
      </c>
      <c r="J1003">
        <v>0</v>
      </c>
      <c r="K1003">
        <v>63.3</v>
      </c>
      <c r="L1003">
        <v>61.8</v>
      </c>
      <c r="M1003">
        <v>78.86</v>
      </c>
      <c r="N1003">
        <v>15</v>
      </c>
      <c r="O1003">
        <v>5</v>
      </c>
      <c r="P1003">
        <f>MOD(DAY(datos_siembra[[#This Row],[Date]]),7)</f>
        <v>1</v>
      </c>
      <c r="Q1003" t="str">
        <f>CHOOSE(WEEKDAY(datos_siembra[[#This Row],[Date]],2),"L","M","X","J","V","S","D")</f>
        <v>D</v>
      </c>
      <c r="R1003">
        <f>WEEKNUM(datos_siembra[[#This Row],[Date]],2)-WEEKNUM(DATE(YEAR(datos_siembra[[#This Row],[Date]]),MONTH(datos_siembra[[#This Row],[Date]]),1))+1</f>
        <v>2</v>
      </c>
      <c r="S1003">
        <f>MONTH(datos_siembra[[#This Row],[Date]])</f>
        <v>9</v>
      </c>
      <c r="T1003" t="str" cm="1">
        <f t="array" ref="T1003">_xlfn.IFS(AND(N1003&lt;= 22, S1003=9), "SOWING",AND(N1003&lt;= 28, S1003=9), "COVERAGE",AND(N1003&lt;= 30, S1003=9), "FLUSH",AND(N1003&lt;= 11, S1003=10), "FLUSH",AND(N1003&lt;= 21, S1003=10), "PRODUCTION")</f>
        <v>SOWING</v>
      </c>
      <c r="U1003">
        <f>HOUR(datos_siembra[[#This Row],[Hour]])</f>
        <v>12</v>
      </c>
      <c r="V1003" cm="1">
        <f t="array" ref="V1003">_xlfn.IFS(AND(N1003&lt;= 22, S1003=9), N1003-7,AND(N1003&lt;= 28, S1003=9), N1003-25,AND(N1003&lt;= 30, S1003=9), N1003-28,AND(N1003&lt;= 11, S1003=10), N1003+2,AND(N1003&lt;= 21, S1003=10), N1003-11)</f>
        <v>8</v>
      </c>
    </row>
    <row r="1004" spans="1:22" x14ac:dyDescent="0.35">
      <c r="A1004" s="4">
        <v>45550</v>
      </c>
      <c r="B1004" s="5">
        <v>0.51914351851851848</v>
      </c>
      <c r="C1004">
        <v>79.7</v>
      </c>
      <c r="D1004">
        <v>75.900000000000006</v>
      </c>
      <c r="E1004">
        <v>81.3</v>
      </c>
      <c r="F1004">
        <v>78.400000000000006</v>
      </c>
      <c r="G1004">
        <v>0</v>
      </c>
      <c r="H1004">
        <v>0</v>
      </c>
      <c r="I1004">
        <v>0</v>
      </c>
      <c r="J1004">
        <v>0</v>
      </c>
      <c r="K1004">
        <v>62.5</v>
      </c>
      <c r="L1004">
        <v>61</v>
      </c>
      <c r="M1004">
        <v>78.88</v>
      </c>
      <c r="N1004">
        <v>15</v>
      </c>
      <c r="O1004">
        <v>5</v>
      </c>
      <c r="P1004">
        <f>MOD(DAY(datos_siembra[[#This Row],[Date]]),7)</f>
        <v>1</v>
      </c>
      <c r="Q1004" t="str">
        <f>CHOOSE(WEEKDAY(datos_siembra[[#This Row],[Date]],2),"L","M","X","J","V","S","D")</f>
        <v>D</v>
      </c>
      <c r="R1004">
        <f>WEEKNUM(datos_siembra[[#This Row],[Date]],2)-WEEKNUM(DATE(YEAR(datos_siembra[[#This Row],[Date]]),MONTH(datos_siembra[[#This Row],[Date]]),1))+1</f>
        <v>2</v>
      </c>
      <c r="S1004">
        <f>MONTH(datos_siembra[[#This Row],[Date]])</f>
        <v>9</v>
      </c>
      <c r="T1004" t="str" cm="1">
        <f t="array" ref="T1004">_xlfn.IFS(AND(N1004&lt;= 22, S1004=9), "SOWING",AND(N1004&lt;= 28, S1004=9), "COVERAGE",AND(N1004&lt;= 30, S1004=9), "FLUSH",AND(N1004&lt;= 11, S1004=10), "FLUSH",AND(N1004&lt;= 21, S1004=10), "PRODUCTION")</f>
        <v>SOWING</v>
      </c>
      <c r="U1004">
        <f>HOUR(datos_siembra[[#This Row],[Hour]])</f>
        <v>12</v>
      </c>
      <c r="V1004" cm="1">
        <f t="array" ref="V1004">_xlfn.IFS(AND(N1004&lt;= 22, S1004=9), N1004-7,AND(N1004&lt;= 28, S1004=9), N1004-25,AND(N1004&lt;= 30, S1004=9), N1004-28,AND(N1004&lt;= 11, S1004=10), N1004+2,AND(N1004&lt;= 21, S1004=10), N1004-11)</f>
        <v>8</v>
      </c>
    </row>
    <row r="1005" spans="1:22" x14ac:dyDescent="0.35">
      <c r="A1005" s="4">
        <v>45550</v>
      </c>
      <c r="B1005" s="5">
        <v>0.52608796296296301</v>
      </c>
      <c r="C1005">
        <v>79.7</v>
      </c>
      <c r="D1005">
        <v>76</v>
      </c>
      <c r="E1005">
        <v>81.3</v>
      </c>
      <c r="F1005">
        <v>78.2</v>
      </c>
      <c r="G1005">
        <v>0</v>
      </c>
      <c r="H1005">
        <v>0</v>
      </c>
      <c r="I1005">
        <v>0</v>
      </c>
      <c r="J1005">
        <v>0</v>
      </c>
      <c r="K1005">
        <v>62.5</v>
      </c>
      <c r="L1005">
        <v>61</v>
      </c>
      <c r="M1005">
        <v>78.8</v>
      </c>
      <c r="N1005">
        <v>15</v>
      </c>
      <c r="O1005">
        <v>5</v>
      </c>
      <c r="P1005">
        <f>MOD(DAY(datos_siembra[[#This Row],[Date]]),7)</f>
        <v>1</v>
      </c>
      <c r="Q1005" t="str">
        <f>CHOOSE(WEEKDAY(datos_siembra[[#This Row],[Date]],2),"L","M","X","J","V","S","D")</f>
        <v>D</v>
      </c>
      <c r="R1005">
        <f>WEEKNUM(datos_siembra[[#This Row],[Date]],2)-WEEKNUM(DATE(YEAR(datos_siembra[[#This Row],[Date]]),MONTH(datos_siembra[[#This Row],[Date]]),1))+1</f>
        <v>2</v>
      </c>
      <c r="S1005">
        <f>MONTH(datos_siembra[[#This Row],[Date]])</f>
        <v>9</v>
      </c>
      <c r="T1005" t="str" cm="1">
        <f t="array" ref="T1005">_xlfn.IFS(AND(N1005&lt;= 22, S1005=9), "SOWING",AND(N1005&lt;= 28, S1005=9), "COVERAGE",AND(N1005&lt;= 30, S1005=9), "FLUSH",AND(N1005&lt;= 11, S1005=10), "FLUSH",AND(N1005&lt;= 21, S1005=10), "PRODUCTION")</f>
        <v>SOWING</v>
      </c>
      <c r="U1005">
        <f>HOUR(datos_siembra[[#This Row],[Hour]])</f>
        <v>12</v>
      </c>
      <c r="V1005" cm="1">
        <f t="array" ref="V1005">_xlfn.IFS(AND(N1005&lt;= 22, S1005=9), N1005-7,AND(N1005&lt;= 28, S1005=9), N1005-25,AND(N1005&lt;= 30, S1005=9), N1005-28,AND(N1005&lt;= 11, S1005=10), N1005+2,AND(N1005&lt;= 21, S1005=10), N1005-11)</f>
        <v>8</v>
      </c>
    </row>
    <row r="1006" spans="1:22" x14ac:dyDescent="0.35">
      <c r="A1006" s="4">
        <v>45550</v>
      </c>
      <c r="B1006" s="5">
        <v>0.53304398148148147</v>
      </c>
      <c r="C1006">
        <v>79.7</v>
      </c>
      <c r="D1006">
        <v>75.900000000000006</v>
      </c>
      <c r="E1006">
        <v>81.400000000000006</v>
      </c>
      <c r="F1006">
        <v>78.400000000000006</v>
      </c>
      <c r="G1006">
        <v>0</v>
      </c>
      <c r="H1006">
        <v>0</v>
      </c>
      <c r="I1006">
        <v>0</v>
      </c>
      <c r="J1006">
        <v>0</v>
      </c>
      <c r="K1006">
        <v>62.4</v>
      </c>
      <c r="L1006">
        <v>60.9</v>
      </c>
      <c r="M1006">
        <v>78.69</v>
      </c>
      <c r="N1006">
        <v>15</v>
      </c>
      <c r="O1006">
        <v>5</v>
      </c>
      <c r="P1006">
        <f>MOD(DAY(datos_siembra[[#This Row],[Date]]),7)</f>
        <v>1</v>
      </c>
      <c r="Q1006" t="str">
        <f>CHOOSE(WEEKDAY(datos_siembra[[#This Row],[Date]],2),"L","M","X","J","V","S","D")</f>
        <v>D</v>
      </c>
      <c r="R1006">
        <f>WEEKNUM(datos_siembra[[#This Row],[Date]],2)-WEEKNUM(DATE(YEAR(datos_siembra[[#This Row],[Date]]),MONTH(datos_siembra[[#This Row],[Date]]),1))+1</f>
        <v>2</v>
      </c>
      <c r="S1006">
        <f>MONTH(datos_siembra[[#This Row],[Date]])</f>
        <v>9</v>
      </c>
      <c r="T1006" t="str" cm="1">
        <f t="array" ref="T1006">_xlfn.IFS(AND(N1006&lt;= 22, S1006=9), "SOWING",AND(N1006&lt;= 28, S1006=9), "COVERAGE",AND(N1006&lt;= 30, S1006=9), "FLUSH",AND(N1006&lt;= 11, S1006=10), "FLUSH",AND(N1006&lt;= 21, S1006=10), "PRODUCTION")</f>
        <v>SOWING</v>
      </c>
      <c r="U1006">
        <f>HOUR(datos_siembra[[#This Row],[Hour]])</f>
        <v>12</v>
      </c>
      <c r="V1006" cm="1">
        <f t="array" ref="V1006">_xlfn.IFS(AND(N1006&lt;= 22, S1006=9), N1006-7,AND(N1006&lt;= 28, S1006=9), N1006-25,AND(N1006&lt;= 30, S1006=9), N1006-28,AND(N1006&lt;= 11, S1006=10), N1006+2,AND(N1006&lt;= 21, S1006=10), N1006-11)</f>
        <v>8</v>
      </c>
    </row>
    <row r="1007" spans="1:22" x14ac:dyDescent="0.35">
      <c r="A1007" s="4">
        <v>45550</v>
      </c>
      <c r="B1007" s="5">
        <v>0.53998842592592589</v>
      </c>
      <c r="C1007">
        <v>79.8</v>
      </c>
      <c r="D1007">
        <v>75.900000000000006</v>
      </c>
      <c r="E1007">
        <v>81.3</v>
      </c>
      <c r="F1007">
        <v>78.2</v>
      </c>
      <c r="G1007">
        <v>0</v>
      </c>
      <c r="H1007">
        <v>0</v>
      </c>
      <c r="I1007">
        <v>0</v>
      </c>
      <c r="J1007">
        <v>0</v>
      </c>
      <c r="K1007">
        <v>62.5</v>
      </c>
      <c r="L1007">
        <v>61</v>
      </c>
      <c r="M1007">
        <v>78.77</v>
      </c>
      <c r="N1007">
        <v>15</v>
      </c>
      <c r="O1007">
        <v>5</v>
      </c>
      <c r="P1007">
        <f>MOD(DAY(datos_siembra[[#This Row],[Date]]),7)</f>
        <v>1</v>
      </c>
      <c r="Q1007" t="str">
        <f>CHOOSE(WEEKDAY(datos_siembra[[#This Row],[Date]],2),"L","M","X","J","V","S","D")</f>
        <v>D</v>
      </c>
      <c r="R1007">
        <f>WEEKNUM(datos_siembra[[#This Row],[Date]],2)-WEEKNUM(DATE(YEAR(datos_siembra[[#This Row],[Date]]),MONTH(datos_siembra[[#This Row],[Date]]),1))+1</f>
        <v>2</v>
      </c>
      <c r="S1007">
        <f>MONTH(datos_siembra[[#This Row],[Date]])</f>
        <v>9</v>
      </c>
      <c r="T1007" t="str" cm="1">
        <f t="array" ref="T1007">_xlfn.IFS(AND(N1007&lt;= 22, S1007=9), "SOWING",AND(N1007&lt;= 28, S1007=9), "COVERAGE",AND(N1007&lt;= 30, S1007=9), "FLUSH",AND(N1007&lt;= 11, S1007=10), "FLUSH",AND(N1007&lt;= 21, S1007=10), "PRODUCTION")</f>
        <v>SOWING</v>
      </c>
      <c r="U1007">
        <f>HOUR(datos_siembra[[#This Row],[Hour]])</f>
        <v>12</v>
      </c>
      <c r="V1007" cm="1">
        <f t="array" ref="V1007">_xlfn.IFS(AND(N1007&lt;= 22, S1007=9), N1007-7,AND(N1007&lt;= 28, S1007=9), N1007-25,AND(N1007&lt;= 30, S1007=9), N1007-28,AND(N1007&lt;= 11, S1007=10), N1007+2,AND(N1007&lt;= 21, S1007=10), N1007-11)</f>
        <v>8</v>
      </c>
    </row>
    <row r="1008" spans="1:22" x14ac:dyDescent="0.35">
      <c r="A1008" s="4">
        <v>45550</v>
      </c>
      <c r="B1008" s="5">
        <v>0.54693287037037042</v>
      </c>
      <c r="C1008">
        <v>79.8</v>
      </c>
      <c r="D1008">
        <v>75.900000000000006</v>
      </c>
      <c r="E1008">
        <v>81.3</v>
      </c>
      <c r="F1008">
        <v>78.400000000000006</v>
      </c>
      <c r="G1008">
        <v>0</v>
      </c>
      <c r="H1008">
        <v>0</v>
      </c>
      <c r="I1008">
        <v>0</v>
      </c>
      <c r="J1008">
        <v>0</v>
      </c>
      <c r="K1008">
        <v>62.5</v>
      </c>
      <c r="L1008">
        <v>60.9</v>
      </c>
      <c r="M1008">
        <v>78.739999999999995</v>
      </c>
      <c r="N1008">
        <v>15</v>
      </c>
      <c r="O1008">
        <v>5</v>
      </c>
      <c r="P1008">
        <f>MOD(DAY(datos_siembra[[#This Row],[Date]]),7)</f>
        <v>1</v>
      </c>
      <c r="Q1008" t="str">
        <f>CHOOSE(WEEKDAY(datos_siembra[[#This Row],[Date]],2),"L","M","X","J","V","S","D")</f>
        <v>D</v>
      </c>
      <c r="R1008">
        <f>WEEKNUM(datos_siembra[[#This Row],[Date]],2)-WEEKNUM(DATE(YEAR(datos_siembra[[#This Row],[Date]]),MONTH(datos_siembra[[#This Row],[Date]]),1))+1</f>
        <v>2</v>
      </c>
      <c r="S1008">
        <f>MONTH(datos_siembra[[#This Row],[Date]])</f>
        <v>9</v>
      </c>
      <c r="T1008" t="str" cm="1">
        <f t="array" ref="T1008">_xlfn.IFS(AND(N1008&lt;= 22, S1008=9), "SOWING",AND(N1008&lt;= 28, S1008=9), "COVERAGE",AND(N1008&lt;= 30, S1008=9), "FLUSH",AND(N1008&lt;= 11, S1008=10), "FLUSH",AND(N1008&lt;= 21, S1008=10), "PRODUCTION")</f>
        <v>SOWING</v>
      </c>
      <c r="U1008">
        <f>HOUR(datos_siembra[[#This Row],[Hour]])</f>
        <v>13</v>
      </c>
      <c r="V1008" cm="1">
        <f t="array" ref="V1008">_xlfn.IFS(AND(N1008&lt;= 22, S1008=9), N1008-7,AND(N1008&lt;= 28, S1008=9), N1008-25,AND(N1008&lt;= 30, S1008=9), N1008-28,AND(N1008&lt;= 11, S1008=10), N1008+2,AND(N1008&lt;= 21, S1008=10), N1008-11)</f>
        <v>8</v>
      </c>
    </row>
    <row r="1009" spans="1:22" x14ac:dyDescent="0.35">
      <c r="A1009" s="4">
        <v>45550</v>
      </c>
      <c r="B1009" s="5">
        <v>0.55387731481481484</v>
      </c>
      <c r="C1009">
        <v>79.8</v>
      </c>
      <c r="D1009">
        <v>75.900000000000006</v>
      </c>
      <c r="E1009">
        <v>81.3</v>
      </c>
      <c r="F1009">
        <v>78.099999999999994</v>
      </c>
      <c r="G1009">
        <v>0</v>
      </c>
      <c r="H1009">
        <v>0</v>
      </c>
      <c r="I1009">
        <v>0</v>
      </c>
      <c r="J1009">
        <v>0</v>
      </c>
      <c r="K1009">
        <v>63.5</v>
      </c>
      <c r="L1009">
        <v>62.3</v>
      </c>
      <c r="M1009">
        <v>78.77</v>
      </c>
      <c r="N1009">
        <v>15</v>
      </c>
      <c r="O1009">
        <v>5</v>
      </c>
      <c r="P1009">
        <f>MOD(DAY(datos_siembra[[#This Row],[Date]]),7)</f>
        <v>1</v>
      </c>
      <c r="Q1009" t="str">
        <f>CHOOSE(WEEKDAY(datos_siembra[[#This Row],[Date]],2),"L","M","X","J","V","S","D")</f>
        <v>D</v>
      </c>
      <c r="R1009">
        <f>WEEKNUM(datos_siembra[[#This Row],[Date]],2)-WEEKNUM(DATE(YEAR(datos_siembra[[#This Row],[Date]]),MONTH(datos_siembra[[#This Row],[Date]]),1))+1</f>
        <v>2</v>
      </c>
      <c r="S1009">
        <f>MONTH(datos_siembra[[#This Row],[Date]])</f>
        <v>9</v>
      </c>
      <c r="T1009" t="str" cm="1">
        <f t="array" ref="T1009">_xlfn.IFS(AND(N1009&lt;= 22, S1009=9), "SOWING",AND(N1009&lt;= 28, S1009=9), "COVERAGE",AND(N1009&lt;= 30, S1009=9), "FLUSH",AND(N1009&lt;= 11, S1009=10), "FLUSH",AND(N1009&lt;= 21, S1009=10), "PRODUCTION")</f>
        <v>SOWING</v>
      </c>
      <c r="U1009">
        <f>HOUR(datos_siembra[[#This Row],[Hour]])</f>
        <v>13</v>
      </c>
      <c r="V1009" cm="1">
        <f t="array" ref="V1009">_xlfn.IFS(AND(N1009&lt;= 22, S1009=9), N1009-7,AND(N1009&lt;= 28, S1009=9), N1009-25,AND(N1009&lt;= 30, S1009=9), N1009-28,AND(N1009&lt;= 11, S1009=10), N1009+2,AND(N1009&lt;= 21, S1009=10), N1009-11)</f>
        <v>8</v>
      </c>
    </row>
    <row r="1010" spans="1:22" x14ac:dyDescent="0.35">
      <c r="A1010" s="4">
        <v>45550</v>
      </c>
      <c r="B1010" s="5">
        <v>0.56083333333333329</v>
      </c>
      <c r="C1010">
        <v>79.8</v>
      </c>
      <c r="D1010">
        <v>75.900000000000006</v>
      </c>
      <c r="E1010">
        <v>81.3</v>
      </c>
      <c r="F1010">
        <v>78.400000000000006</v>
      </c>
      <c r="G1010">
        <v>0</v>
      </c>
      <c r="H1010">
        <v>0</v>
      </c>
      <c r="I1010">
        <v>0</v>
      </c>
      <c r="J1010">
        <v>0</v>
      </c>
      <c r="K1010">
        <v>64.400000000000006</v>
      </c>
      <c r="L1010">
        <v>63.3</v>
      </c>
      <c r="M1010">
        <v>78.8</v>
      </c>
      <c r="N1010">
        <v>15</v>
      </c>
      <c r="O1010">
        <v>5</v>
      </c>
      <c r="P1010">
        <f>MOD(DAY(datos_siembra[[#This Row],[Date]]),7)</f>
        <v>1</v>
      </c>
      <c r="Q1010" t="str">
        <f>CHOOSE(WEEKDAY(datos_siembra[[#This Row],[Date]],2),"L","M","X","J","V","S","D")</f>
        <v>D</v>
      </c>
      <c r="R1010">
        <f>WEEKNUM(datos_siembra[[#This Row],[Date]],2)-WEEKNUM(DATE(YEAR(datos_siembra[[#This Row],[Date]]),MONTH(datos_siembra[[#This Row],[Date]]),1))+1</f>
        <v>2</v>
      </c>
      <c r="S1010">
        <f>MONTH(datos_siembra[[#This Row],[Date]])</f>
        <v>9</v>
      </c>
      <c r="T1010" t="str" cm="1">
        <f t="array" ref="T1010">_xlfn.IFS(AND(N1010&lt;= 22, S1010=9), "SOWING",AND(N1010&lt;= 28, S1010=9), "COVERAGE",AND(N1010&lt;= 30, S1010=9), "FLUSH",AND(N1010&lt;= 11, S1010=10), "FLUSH",AND(N1010&lt;= 21, S1010=10), "PRODUCTION")</f>
        <v>SOWING</v>
      </c>
      <c r="U1010">
        <f>HOUR(datos_siembra[[#This Row],[Hour]])</f>
        <v>13</v>
      </c>
      <c r="V1010" cm="1">
        <f t="array" ref="V1010">_xlfn.IFS(AND(N1010&lt;= 22, S1010=9), N1010-7,AND(N1010&lt;= 28, S1010=9), N1010-25,AND(N1010&lt;= 30, S1010=9), N1010-28,AND(N1010&lt;= 11, S1010=10), N1010+2,AND(N1010&lt;= 21, S1010=10), N1010-11)</f>
        <v>8</v>
      </c>
    </row>
    <row r="1011" spans="1:22" x14ac:dyDescent="0.35">
      <c r="A1011" s="4">
        <v>45550</v>
      </c>
      <c r="B1011" s="5">
        <v>0.56777777777777783</v>
      </c>
      <c r="C1011">
        <v>79.7</v>
      </c>
      <c r="D1011">
        <v>75.900000000000006</v>
      </c>
      <c r="E1011">
        <v>81.2</v>
      </c>
      <c r="F1011">
        <v>78</v>
      </c>
      <c r="G1011">
        <v>0</v>
      </c>
      <c r="H1011">
        <v>0</v>
      </c>
      <c r="I1011">
        <v>0</v>
      </c>
      <c r="J1011">
        <v>0</v>
      </c>
      <c r="K1011">
        <v>63.5</v>
      </c>
      <c r="L1011">
        <v>61.9</v>
      </c>
      <c r="M1011">
        <v>78.739999999999995</v>
      </c>
      <c r="N1011">
        <v>15</v>
      </c>
      <c r="O1011">
        <v>5</v>
      </c>
      <c r="P1011">
        <f>MOD(DAY(datos_siembra[[#This Row],[Date]]),7)</f>
        <v>1</v>
      </c>
      <c r="Q1011" t="str">
        <f>CHOOSE(WEEKDAY(datos_siembra[[#This Row],[Date]],2),"L","M","X","J","V","S","D")</f>
        <v>D</v>
      </c>
      <c r="R1011">
        <f>WEEKNUM(datos_siembra[[#This Row],[Date]],2)-WEEKNUM(DATE(YEAR(datos_siembra[[#This Row],[Date]]),MONTH(datos_siembra[[#This Row],[Date]]),1))+1</f>
        <v>2</v>
      </c>
      <c r="S1011">
        <f>MONTH(datos_siembra[[#This Row],[Date]])</f>
        <v>9</v>
      </c>
      <c r="T1011" t="str" cm="1">
        <f t="array" ref="T1011">_xlfn.IFS(AND(N1011&lt;= 22, S1011=9), "SOWING",AND(N1011&lt;= 28, S1011=9), "COVERAGE",AND(N1011&lt;= 30, S1011=9), "FLUSH",AND(N1011&lt;= 11, S1011=10), "FLUSH",AND(N1011&lt;= 21, S1011=10), "PRODUCTION")</f>
        <v>SOWING</v>
      </c>
      <c r="U1011">
        <f>HOUR(datos_siembra[[#This Row],[Hour]])</f>
        <v>13</v>
      </c>
      <c r="V1011" cm="1">
        <f t="array" ref="V1011">_xlfn.IFS(AND(N1011&lt;= 22, S1011=9), N1011-7,AND(N1011&lt;= 28, S1011=9), N1011-25,AND(N1011&lt;= 30, S1011=9), N1011-28,AND(N1011&lt;= 11, S1011=10), N1011+2,AND(N1011&lt;= 21, S1011=10), N1011-11)</f>
        <v>8</v>
      </c>
    </row>
    <row r="1012" spans="1:22" x14ac:dyDescent="0.35">
      <c r="A1012" s="4">
        <v>45550</v>
      </c>
      <c r="B1012" s="5">
        <v>0.57472222222222225</v>
      </c>
      <c r="C1012">
        <v>79.7</v>
      </c>
      <c r="D1012">
        <v>76</v>
      </c>
      <c r="E1012">
        <v>81.099999999999994</v>
      </c>
      <c r="F1012">
        <v>78.2</v>
      </c>
      <c r="G1012">
        <v>0</v>
      </c>
      <c r="H1012">
        <v>0</v>
      </c>
      <c r="I1012">
        <v>0</v>
      </c>
      <c r="J1012">
        <v>0</v>
      </c>
      <c r="K1012">
        <v>63.4</v>
      </c>
      <c r="L1012">
        <v>61.8</v>
      </c>
      <c r="M1012">
        <v>78.63</v>
      </c>
      <c r="N1012">
        <v>15</v>
      </c>
      <c r="O1012">
        <v>5</v>
      </c>
      <c r="P1012">
        <f>MOD(DAY(datos_siembra[[#This Row],[Date]]),7)</f>
        <v>1</v>
      </c>
      <c r="Q1012" t="str">
        <f>CHOOSE(WEEKDAY(datos_siembra[[#This Row],[Date]],2),"L","M","X","J","V","S","D")</f>
        <v>D</v>
      </c>
      <c r="R1012">
        <f>WEEKNUM(datos_siembra[[#This Row],[Date]],2)-WEEKNUM(DATE(YEAR(datos_siembra[[#This Row],[Date]]),MONTH(datos_siembra[[#This Row],[Date]]),1))+1</f>
        <v>2</v>
      </c>
      <c r="S1012">
        <f>MONTH(datos_siembra[[#This Row],[Date]])</f>
        <v>9</v>
      </c>
      <c r="T1012" t="str" cm="1">
        <f t="array" ref="T1012">_xlfn.IFS(AND(N1012&lt;= 22, S1012=9), "SOWING",AND(N1012&lt;= 28, S1012=9), "COVERAGE",AND(N1012&lt;= 30, S1012=9), "FLUSH",AND(N1012&lt;= 11, S1012=10), "FLUSH",AND(N1012&lt;= 21, S1012=10), "PRODUCTION")</f>
        <v>SOWING</v>
      </c>
      <c r="U1012">
        <f>HOUR(datos_siembra[[#This Row],[Hour]])</f>
        <v>13</v>
      </c>
      <c r="V1012" cm="1">
        <f t="array" ref="V1012">_xlfn.IFS(AND(N1012&lt;= 22, S1012=9), N1012-7,AND(N1012&lt;= 28, S1012=9), N1012-25,AND(N1012&lt;= 30, S1012=9), N1012-28,AND(N1012&lt;= 11, S1012=10), N1012+2,AND(N1012&lt;= 21, S1012=10), N1012-11)</f>
        <v>8</v>
      </c>
    </row>
    <row r="1013" spans="1:22" x14ac:dyDescent="0.35">
      <c r="A1013" s="4">
        <v>45550</v>
      </c>
      <c r="B1013" s="5">
        <v>0.5816782407407407</v>
      </c>
      <c r="C1013">
        <v>79.7</v>
      </c>
      <c r="D1013">
        <v>75.900000000000006</v>
      </c>
      <c r="E1013">
        <v>81.2</v>
      </c>
      <c r="F1013">
        <v>78.099999999999994</v>
      </c>
      <c r="G1013">
        <v>0</v>
      </c>
      <c r="H1013">
        <v>0</v>
      </c>
      <c r="I1013">
        <v>0</v>
      </c>
      <c r="J1013">
        <v>0</v>
      </c>
      <c r="K1013">
        <v>63.4</v>
      </c>
      <c r="L1013">
        <v>61.8</v>
      </c>
      <c r="M1013">
        <v>78.66</v>
      </c>
      <c r="N1013">
        <v>15</v>
      </c>
      <c r="O1013">
        <v>5</v>
      </c>
      <c r="P1013">
        <f>MOD(DAY(datos_siembra[[#This Row],[Date]]),7)</f>
        <v>1</v>
      </c>
      <c r="Q1013" t="str">
        <f>CHOOSE(WEEKDAY(datos_siembra[[#This Row],[Date]],2),"L","M","X","J","V","S","D")</f>
        <v>D</v>
      </c>
      <c r="R1013">
        <f>WEEKNUM(datos_siembra[[#This Row],[Date]],2)-WEEKNUM(DATE(YEAR(datos_siembra[[#This Row],[Date]]),MONTH(datos_siembra[[#This Row],[Date]]),1))+1</f>
        <v>2</v>
      </c>
      <c r="S1013">
        <f>MONTH(datos_siembra[[#This Row],[Date]])</f>
        <v>9</v>
      </c>
      <c r="T1013" t="str" cm="1">
        <f t="array" ref="T1013">_xlfn.IFS(AND(N1013&lt;= 22, S1013=9), "SOWING",AND(N1013&lt;= 28, S1013=9), "COVERAGE",AND(N1013&lt;= 30, S1013=9), "FLUSH",AND(N1013&lt;= 11, S1013=10), "FLUSH",AND(N1013&lt;= 21, S1013=10), "PRODUCTION")</f>
        <v>SOWING</v>
      </c>
      <c r="U1013">
        <f>HOUR(datos_siembra[[#This Row],[Hour]])</f>
        <v>13</v>
      </c>
      <c r="V1013" cm="1">
        <f t="array" ref="V1013">_xlfn.IFS(AND(N1013&lt;= 22, S1013=9), N1013-7,AND(N1013&lt;= 28, S1013=9), N1013-25,AND(N1013&lt;= 30, S1013=9), N1013-28,AND(N1013&lt;= 11, S1013=10), N1013+2,AND(N1013&lt;= 21, S1013=10), N1013-11)</f>
        <v>8</v>
      </c>
    </row>
    <row r="1014" spans="1:22" x14ac:dyDescent="0.35">
      <c r="A1014" s="4">
        <v>45550</v>
      </c>
      <c r="B1014" s="5">
        <v>0.58862268518518523</v>
      </c>
      <c r="C1014">
        <v>79.7</v>
      </c>
      <c r="D1014">
        <v>75.900000000000006</v>
      </c>
      <c r="E1014">
        <v>81.099999999999994</v>
      </c>
      <c r="F1014">
        <v>78.099999999999994</v>
      </c>
      <c r="G1014">
        <v>0</v>
      </c>
      <c r="H1014">
        <v>0</v>
      </c>
      <c r="I1014">
        <v>0</v>
      </c>
      <c r="J1014">
        <v>0</v>
      </c>
      <c r="K1014">
        <v>64.3</v>
      </c>
      <c r="L1014">
        <v>63</v>
      </c>
      <c r="M1014">
        <v>78.599999999999994</v>
      </c>
      <c r="N1014">
        <v>15</v>
      </c>
      <c r="O1014">
        <v>5</v>
      </c>
      <c r="P1014">
        <f>MOD(DAY(datos_siembra[[#This Row],[Date]]),7)</f>
        <v>1</v>
      </c>
      <c r="Q1014" t="str">
        <f>CHOOSE(WEEKDAY(datos_siembra[[#This Row],[Date]],2),"L","M","X","J","V","S","D")</f>
        <v>D</v>
      </c>
      <c r="R1014">
        <f>WEEKNUM(datos_siembra[[#This Row],[Date]],2)-WEEKNUM(DATE(YEAR(datos_siembra[[#This Row],[Date]]),MONTH(datos_siembra[[#This Row],[Date]]),1))+1</f>
        <v>2</v>
      </c>
      <c r="S1014">
        <f>MONTH(datos_siembra[[#This Row],[Date]])</f>
        <v>9</v>
      </c>
      <c r="T1014" t="str" cm="1">
        <f t="array" ref="T1014">_xlfn.IFS(AND(N1014&lt;= 22, S1014=9), "SOWING",AND(N1014&lt;= 28, S1014=9), "COVERAGE",AND(N1014&lt;= 30, S1014=9), "FLUSH",AND(N1014&lt;= 11, S1014=10), "FLUSH",AND(N1014&lt;= 21, S1014=10), "PRODUCTION")</f>
        <v>SOWING</v>
      </c>
      <c r="U1014">
        <f>HOUR(datos_siembra[[#This Row],[Hour]])</f>
        <v>14</v>
      </c>
      <c r="V1014" cm="1">
        <f t="array" ref="V1014">_xlfn.IFS(AND(N1014&lt;= 22, S1014=9), N1014-7,AND(N1014&lt;= 28, S1014=9), N1014-25,AND(N1014&lt;= 30, S1014=9), N1014-28,AND(N1014&lt;= 11, S1014=10), N1014+2,AND(N1014&lt;= 21, S1014=10), N1014-11)</f>
        <v>8</v>
      </c>
    </row>
    <row r="1015" spans="1:22" x14ac:dyDescent="0.35">
      <c r="A1015" s="4">
        <v>45550</v>
      </c>
      <c r="B1015" s="5">
        <v>0.59556712962962965</v>
      </c>
      <c r="C1015">
        <v>79.599999999999994</v>
      </c>
      <c r="D1015">
        <v>76</v>
      </c>
      <c r="E1015">
        <v>81.2</v>
      </c>
      <c r="F1015">
        <v>78.2</v>
      </c>
      <c r="G1015">
        <v>0</v>
      </c>
      <c r="H1015">
        <v>0</v>
      </c>
      <c r="I1015">
        <v>0</v>
      </c>
      <c r="J1015">
        <v>0</v>
      </c>
      <c r="K1015">
        <v>64.7</v>
      </c>
      <c r="L1015">
        <v>63.6</v>
      </c>
      <c r="M1015">
        <v>78.77</v>
      </c>
      <c r="N1015">
        <v>15</v>
      </c>
      <c r="O1015">
        <v>5</v>
      </c>
      <c r="P1015">
        <f>MOD(DAY(datos_siembra[[#This Row],[Date]]),7)</f>
        <v>1</v>
      </c>
      <c r="Q1015" t="str">
        <f>CHOOSE(WEEKDAY(datos_siembra[[#This Row],[Date]],2),"L","M","X","J","V","S","D")</f>
        <v>D</v>
      </c>
      <c r="R1015">
        <f>WEEKNUM(datos_siembra[[#This Row],[Date]],2)-WEEKNUM(DATE(YEAR(datos_siembra[[#This Row],[Date]]),MONTH(datos_siembra[[#This Row],[Date]]),1))+1</f>
        <v>2</v>
      </c>
      <c r="S1015">
        <f>MONTH(datos_siembra[[#This Row],[Date]])</f>
        <v>9</v>
      </c>
      <c r="T1015" t="str" cm="1">
        <f t="array" ref="T1015">_xlfn.IFS(AND(N1015&lt;= 22, S1015=9), "SOWING",AND(N1015&lt;= 28, S1015=9), "COVERAGE",AND(N1015&lt;= 30, S1015=9), "FLUSH",AND(N1015&lt;= 11, S1015=10), "FLUSH",AND(N1015&lt;= 21, S1015=10), "PRODUCTION")</f>
        <v>SOWING</v>
      </c>
      <c r="U1015">
        <f>HOUR(datos_siembra[[#This Row],[Hour]])</f>
        <v>14</v>
      </c>
      <c r="V1015" cm="1">
        <f t="array" ref="V1015">_xlfn.IFS(AND(N1015&lt;= 22, S1015=9), N1015-7,AND(N1015&lt;= 28, S1015=9), N1015-25,AND(N1015&lt;= 30, S1015=9), N1015-28,AND(N1015&lt;= 11, S1015=10), N1015+2,AND(N1015&lt;= 21, S1015=10), N1015-11)</f>
        <v>8</v>
      </c>
    </row>
    <row r="1016" spans="1:22" x14ac:dyDescent="0.35">
      <c r="A1016" s="4">
        <v>45550</v>
      </c>
      <c r="B1016" s="5">
        <v>0.60251157407407407</v>
      </c>
      <c r="C1016">
        <v>79.7</v>
      </c>
      <c r="D1016">
        <v>75.900000000000006</v>
      </c>
      <c r="E1016">
        <v>81.2</v>
      </c>
      <c r="F1016">
        <v>78.2</v>
      </c>
      <c r="G1016">
        <v>0</v>
      </c>
      <c r="H1016">
        <v>0</v>
      </c>
      <c r="I1016">
        <v>0</v>
      </c>
      <c r="J1016">
        <v>0</v>
      </c>
      <c r="K1016">
        <v>65.2</v>
      </c>
      <c r="L1016">
        <v>64.2</v>
      </c>
      <c r="M1016">
        <v>78.569999999999993</v>
      </c>
      <c r="N1016">
        <v>15</v>
      </c>
      <c r="O1016">
        <v>5</v>
      </c>
      <c r="P1016">
        <f>MOD(DAY(datos_siembra[[#This Row],[Date]]),7)</f>
        <v>1</v>
      </c>
      <c r="Q1016" t="str">
        <f>CHOOSE(WEEKDAY(datos_siembra[[#This Row],[Date]],2),"L","M","X","J","V","S","D")</f>
        <v>D</v>
      </c>
      <c r="R1016">
        <f>WEEKNUM(datos_siembra[[#This Row],[Date]],2)-WEEKNUM(DATE(YEAR(datos_siembra[[#This Row],[Date]]),MONTH(datos_siembra[[#This Row],[Date]]),1))+1</f>
        <v>2</v>
      </c>
      <c r="S1016">
        <f>MONTH(datos_siembra[[#This Row],[Date]])</f>
        <v>9</v>
      </c>
      <c r="T1016" t="str" cm="1">
        <f t="array" ref="T1016">_xlfn.IFS(AND(N1016&lt;= 22, S1016=9), "SOWING",AND(N1016&lt;= 28, S1016=9), "COVERAGE",AND(N1016&lt;= 30, S1016=9), "FLUSH",AND(N1016&lt;= 11, S1016=10), "FLUSH",AND(N1016&lt;= 21, S1016=10), "PRODUCTION")</f>
        <v>SOWING</v>
      </c>
      <c r="U1016">
        <f>HOUR(datos_siembra[[#This Row],[Hour]])</f>
        <v>14</v>
      </c>
      <c r="V1016" cm="1">
        <f t="array" ref="V1016">_xlfn.IFS(AND(N1016&lt;= 22, S1016=9), N1016-7,AND(N1016&lt;= 28, S1016=9), N1016-25,AND(N1016&lt;= 30, S1016=9), N1016-28,AND(N1016&lt;= 11, S1016=10), N1016+2,AND(N1016&lt;= 21, S1016=10), N1016-11)</f>
        <v>8</v>
      </c>
    </row>
    <row r="1017" spans="1:22" x14ac:dyDescent="0.35">
      <c r="A1017" s="4">
        <v>45550</v>
      </c>
      <c r="B1017" s="5">
        <v>0.60946759259259264</v>
      </c>
      <c r="C1017">
        <v>79.8</v>
      </c>
      <c r="D1017">
        <v>75.8</v>
      </c>
      <c r="E1017">
        <v>81.099999999999994</v>
      </c>
      <c r="F1017">
        <v>78.099999999999994</v>
      </c>
      <c r="G1017">
        <v>0</v>
      </c>
      <c r="H1017">
        <v>0</v>
      </c>
      <c r="I1017">
        <v>0</v>
      </c>
      <c r="J1017">
        <v>0</v>
      </c>
      <c r="K1017">
        <v>65.2</v>
      </c>
      <c r="L1017">
        <v>64.2</v>
      </c>
      <c r="M1017">
        <v>78.66</v>
      </c>
      <c r="N1017">
        <v>15</v>
      </c>
      <c r="O1017">
        <v>5</v>
      </c>
      <c r="P1017">
        <f>MOD(DAY(datos_siembra[[#This Row],[Date]]),7)</f>
        <v>1</v>
      </c>
      <c r="Q1017" t="str">
        <f>CHOOSE(WEEKDAY(datos_siembra[[#This Row],[Date]],2),"L","M","X","J","V","S","D")</f>
        <v>D</v>
      </c>
      <c r="R1017">
        <f>WEEKNUM(datos_siembra[[#This Row],[Date]],2)-WEEKNUM(DATE(YEAR(datos_siembra[[#This Row],[Date]]),MONTH(datos_siembra[[#This Row],[Date]]),1))+1</f>
        <v>2</v>
      </c>
      <c r="S1017">
        <f>MONTH(datos_siembra[[#This Row],[Date]])</f>
        <v>9</v>
      </c>
      <c r="T1017" t="str" cm="1">
        <f t="array" ref="T1017">_xlfn.IFS(AND(N1017&lt;= 22, S1017=9), "SOWING",AND(N1017&lt;= 28, S1017=9), "COVERAGE",AND(N1017&lt;= 30, S1017=9), "FLUSH",AND(N1017&lt;= 11, S1017=10), "FLUSH",AND(N1017&lt;= 21, S1017=10), "PRODUCTION")</f>
        <v>SOWING</v>
      </c>
      <c r="U1017">
        <f>HOUR(datos_siembra[[#This Row],[Hour]])</f>
        <v>14</v>
      </c>
      <c r="V1017" cm="1">
        <f t="array" ref="V1017">_xlfn.IFS(AND(N1017&lt;= 22, S1017=9), N1017-7,AND(N1017&lt;= 28, S1017=9), N1017-25,AND(N1017&lt;= 30, S1017=9), N1017-28,AND(N1017&lt;= 11, S1017=10), N1017+2,AND(N1017&lt;= 21, S1017=10), N1017-11)</f>
        <v>8</v>
      </c>
    </row>
    <row r="1018" spans="1:22" x14ac:dyDescent="0.35">
      <c r="A1018" s="4">
        <v>45550</v>
      </c>
      <c r="B1018" s="5">
        <v>0.61641203703703706</v>
      </c>
      <c r="C1018">
        <v>79.599999999999994</v>
      </c>
      <c r="D1018">
        <v>75.8</v>
      </c>
      <c r="E1018">
        <v>81.099999999999994</v>
      </c>
      <c r="F1018">
        <v>78</v>
      </c>
      <c r="G1018">
        <v>0</v>
      </c>
      <c r="H1018">
        <v>0</v>
      </c>
      <c r="I1018">
        <v>0</v>
      </c>
      <c r="J1018">
        <v>0</v>
      </c>
      <c r="K1018">
        <v>65.400000000000006</v>
      </c>
      <c r="L1018">
        <v>64.2</v>
      </c>
      <c r="M1018">
        <v>78.599999999999994</v>
      </c>
      <c r="N1018">
        <v>15</v>
      </c>
      <c r="O1018">
        <v>5</v>
      </c>
      <c r="P1018">
        <f>MOD(DAY(datos_siembra[[#This Row],[Date]]),7)</f>
        <v>1</v>
      </c>
      <c r="Q1018" t="str">
        <f>CHOOSE(WEEKDAY(datos_siembra[[#This Row],[Date]],2),"L","M","X","J","V","S","D")</f>
        <v>D</v>
      </c>
      <c r="R1018">
        <f>WEEKNUM(datos_siembra[[#This Row],[Date]],2)-WEEKNUM(DATE(YEAR(datos_siembra[[#This Row],[Date]]),MONTH(datos_siembra[[#This Row],[Date]]),1))+1</f>
        <v>2</v>
      </c>
      <c r="S1018">
        <f>MONTH(datos_siembra[[#This Row],[Date]])</f>
        <v>9</v>
      </c>
      <c r="T1018" t="str" cm="1">
        <f t="array" ref="T1018">_xlfn.IFS(AND(N1018&lt;= 22, S1018=9), "SOWING",AND(N1018&lt;= 28, S1018=9), "COVERAGE",AND(N1018&lt;= 30, S1018=9), "FLUSH",AND(N1018&lt;= 11, S1018=10), "FLUSH",AND(N1018&lt;= 21, S1018=10), "PRODUCTION")</f>
        <v>SOWING</v>
      </c>
      <c r="U1018">
        <f>HOUR(datos_siembra[[#This Row],[Hour]])</f>
        <v>14</v>
      </c>
      <c r="V1018" cm="1">
        <f t="array" ref="V1018">_xlfn.IFS(AND(N1018&lt;= 22, S1018=9), N1018-7,AND(N1018&lt;= 28, S1018=9), N1018-25,AND(N1018&lt;= 30, S1018=9), N1018-28,AND(N1018&lt;= 11, S1018=10), N1018+2,AND(N1018&lt;= 21, S1018=10), N1018-11)</f>
        <v>8</v>
      </c>
    </row>
    <row r="1019" spans="1:22" x14ac:dyDescent="0.35">
      <c r="A1019" s="4">
        <v>45550</v>
      </c>
      <c r="B1019" s="5">
        <v>0.62335648148148148</v>
      </c>
      <c r="C1019">
        <v>79.5</v>
      </c>
      <c r="D1019">
        <v>75.8</v>
      </c>
      <c r="E1019">
        <v>80.7</v>
      </c>
      <c r="F1019">
        <v>78.099999999999994</v>
      </c>
      <c r="G1019">
        <v>0</v>
      </c>
      <c r="H1019">
        <v>0</v>
      </c>
      <c r="I1019">
        <v>0</v>
      </c>
      <c r="J1019">
        <v>0</v>
      </c>
      <c r="K1019">
        <v>65.5</v>
      </c>
      <c r="L1019">
        <v>64.3</v>
      </c>
      <c r="M1019">
        <v>78.569999999999993</v>
      </c>
      <c r="N1019">
        <v>15</v>
      </c>
      <c r="O1019">
        <v>5</v>
      </c>
      <c r="P1019">
        <f>MOD(DAY(datos_siembra[[#This Row],[Date]]),7)</f>
        <v>1</v>
      </c>
      <c r="Q1019" t="str">
        <f>CHOOSE(WEEKDAY(datos_siembra[[#This Row],[Date]],2),"L","M","X","J","V","S","D")</f>
        <v>D</v>
      </c>
      <c r="R1019">
        <f>WEEKNUM(datos_siembra[[#This Row],[Date]],2)-WEEKNUM(DATE(YEAR(datos_siembra[[#This Row],[Date]]),MONTH(datos_siembra[[#This Row],[Date]]),1))+1</f>
        <v>2</v>
      </c>
      <c r="S1019">
        <f>MONTH(datos_siembra[[#This Row],[Date]])</f>
        <v>9</v>
      </c>
      <c r="T1019" t="str" cm="1">
        <f t="array" ref="T1019">_xlfn.IFS(AND(N1019&lt;= 22, S1019=9), "SOWING",AND(N1019&lt;= 28, S1019=9), "COVERAGE",AND(N1019&lt;= 30, S1019=9), "FLUSH",AND(N1019&lt;= 11, S1019=10), "FLUSH",AND(N1019&lt;= 21, S1019=10), "PRODUCTION")</f>
        <v>SOWING</v>
      </c>
      <c r="U1019">
        <f>HOUR(datos_siembra[[#This Row],[Hour]])</f>
        <v>14</v>
      </c>
      <c r="V1019" cm="1">
        <f t="array" ref="V1019">_xlfn.IFS(AND(N1019&lt;= 22, S1019=9), N1019-7,AND(N1019&lt;= 28, S1019=9), N1019-25,AND(N1019&lt;= 30, S1019=9), N1019-28,AND(N1019&lt;= 11, S1019=10), N1019+2,AND(N1019&lt;= 21, S1019=10), N1019-11)</f>
        <v>8</v>
      </c>
    </row>
    <row r="1020" spans="1:22" x14ac:dyDescent="0.35">
      <c r="A1020" s="4">
        <v>45550</v>
      </c>
      <c r="B1020" s="5">
        <v>0.63031250000000005</v>
      </c>
      <c r="C1020">
        <v>79.5</v>
      </c>
      <c r="D1020">
        <v>75.900000000000006</v>
      </c>
      <c r="E1020">
        <v>80.900000000000006</v>
      </c>
      <c r="F1020">
        <v>77.900000000000006</v>
      </c>
      <c r="G1020">
        <v>0</v>
      </c>
      <c r="H1020">
        <v>0</v>
      </c>
      <c r="I1020">
        <v>0</v>
      </c>
      <c r="J1020">
        <v>0</v>
      </c>
      <c r="K1020">
        <v>65.400000000000006</v>
      </c>
      <c r="L1020">
        <v>64.2</v>
      </c>
      <c r="M1020">
        <v>78.569999999999993</v>
      </c>
      <c r="N1020">
        <v>15</v>
      </c>
      <c r="O1020">
        <v>5</v>
      </c>
      <c r="P1020">
        <f>MOD(DAY(datos_siembra[[#This Row],[Date]]),7)</f>
        <v>1</v>
      </c>
      <c r="Q1020" t="str">
        <f>CHOOSE(WEEKDAY(datos_siembra[[#This Row],[Date]],2),"L","M","X","J","V","S","D")</f>
        <v>D</v>
      </c>
      <c r="R1020">
        <f>WEEKNUM(datos_siembra[[#This Row],[Date]],2)-WEEKNUM(DATE(YEAR(datos_siembra[[#This Row],[Date]]),MONTH(datos_siembra[[#This Row],[Date]]),1))+1</f>
        <v>2</v>
      </c>
      <c r="S1020">
        <f>MONTH(datos_siembra[[#This Row],[Date]])</f>
        <v>9</v>
      </c>
      <c r="T1020" t="str" cm="1">
        <f t="array" ref="T1020">_xlfn.IFS(AND(N1020&lt;= 22, S1020=9), "SOWING",AND(N1020&lt;= 28, S1020=9), "COVERAGE",AND(N1020&lt;= 30, S1020=9), "FLUSH",AND(N1020&lt;= 11, S1020=10), "FLUSH",AND(N1020&lt;= 21, S1020=10), "PRODUCTION")</f>
        <v>SOWING</v>
      </c>
      <c r="U1020">
        <f>HOUR(datos_siembra[[#This Row],[Hour]])</f>
        <v>15</v>
      </c>
      <c r="V1020" cm="1">
        <f t="array" ref="V1020">_xlfn.IFS(AND(N1020&lt;= 22, S1020=9), N1020-7,AND(N1020&lt;= 28, S1020=9), N1020-25,AND(N1020&lt;= 30, S1020=9), N1020-28,AND(N1020&lt;= 11, S1020=10), N1020+2,AND(N1020&lt;= 21, S1020=10), N1020-11)</f>
        <v>8</v>
      </c>
    </row>
    <row r="1021" spans="1:22" x14ac:dyDescent="0.35">
      <c r="A1021" s="4">
        <v>45550</v>
      </c>
      <c r="B1021" s="5">
        <v>0.63725694444444447</v>
      </c>
      <c r="C1021">
        <v>79.8</v>
      </c>
      <c r="D1021">
        <v>75.8</v>
      </c>
      <c r="E1021">
        <v>80.8</v>
      </c>
      <c r="F1021">
        <v>78.2</v>
      </c>
      <c r="G1021">
        <v>0</v>
      </c>
      <c r="H1021">
        <v>0</v>
      </c>
      <c r="I1021">
        <v>0</v>
      </c>
      <c r="J1021">
        <v>0</v>
      </c>
      <c r="K1021">
        <v>65.400000000000006</v>
      </c>
      <c r="L1021">
        <v>64.3</v>
      </c>
      <c r="M1021">
        <v>78.599999999999994</v>
      </c>
      <c r="N1021">
        <v>15</v>
      </c>
      <c r="O1021">
        <v>5</v>
      </c>
      <c r="P1021">
        <f>MOD(DAY(datos_siembra[[#This Row],[Date]]),7)</f>
        <v>1</v>
      </c>
      <c r="Q1021" t="str">
        <f>CHOOSE(WEEKDAY(datos_siembra[[#This Row],[Date]],2),"L","M","X","J","V","S","D")</f>
        <v>D</v>
      </c>
      <c r="R1021">
        <f>WEEKNUM(datos_siembra[[#This Row],[Date]],2)-WEEKNUM(DATE(YEAR(datos_siembra[[#This Row],[Date]]),MONTH(datos_siembra[[#This Row],[Date]]),1))+1</f>
        <v>2</v>
      </c>
      <c r="S1021">
        <f>MONTH(datos_siembra[[#This Row],[Date]])</f>
        <v>9</v>
      </c>
      <c r="T1021" t="str" cm="1">
        <f t="array" ref="T1021">_xlfn.IFS(AND(N1021&lt;= 22, S1021=9), "SOWING",AND(N1021&lt;= 28, S1021=9), "COVERAGE",AND(N1021&lt;= 30, S1021=9), "FLUSH",AND(N1021&lt;= 11, S1021=10), "FLUSH",AND(N1021&lt;= 21, S1021=10), "PRODUCTION")</f>
        <v>SOWING</v>
      </c>
      <c r="U1021">
        <f>HOUR(datos_siembra[[#This Row],[Hour]])</f>
        <v>15</v>
      </c>
      <c r="V1021" cm="1">
        <f t="array" ref="V1021">_xlfn.IFS(AND(N1021&lt;= 22, S1021=9), N1021-7,AND(N1021&lt;= 28, S1021=9), N1021-25,AND(N1021&lt;= 30, S1021=9), N1021-28,AND(N1021&lt;= 11, S1021=10), N1021+2,AND(N1021&lt;= 21, S1021=10), N1021-11)</f>
        <v>8</v>
      </c>
    </row>
    <row r="1022" spans="1:22" x14ac:dyDescent="0.35">
      <c r="A1022" s="4">
        <v>45550</v>
      </c>
      <c r="B1022" s="5">
        <v>0.64420138888888889</v>
      </c>
      <c r="C1022">
        <v>79.7</v>
      </c>
      <c r="D1022">
        <v>75.8</v>
      </c>
      <c r="E1022">
        <v>80.7</v>
      </c>
      <c r="F1022">
        <v>78</v>
      </c>
      <c r="G1022">
        <v>0</v>
      </c>
      <c r="H1022">
        <v>0</v>
      </c>
      <c r="I1022">
        <v>0</v>
      </c>
      <c r="J1022">
        <v>0</v>
      </c>
      <c r="K1022">
        <v>65.400000000000006</v>
      </c>
      <c r="L1022">
        <v>64.2</v>
      </c>
      <c r="M1022">
        <v>78.72</v>
      </c>
      <c r="N1022">
        <v>15</v>
      </c>
      <c r="O1022">
        <v>5</v>
      </c>
      <c r="P1022">
        <f>MOD(DAY(datos_siembra[[#This Row],[Date]]),7)</f>
        <v>1</v>
      </c>
      <c r="Q1022" t="str">
        <f>CHOOSE(WEEKDAY(datos_siembra[[#This Row],[Date]],2),"L","M","X","J","V","S","D")</f>
        <v>D</v>
      </c>
      <c r="R1022">
        <f>WEEKNUM(datos_siembra[[#This Row],[Date]],2)-WEEKNUM(DATE(YEAR(datos_siembra[[#This Row],[Date]]),MONTH(datos_siembra[[#This Row],[Date]]),1))+1</f>
        <v>2</v>
      </c>
      <c r="S1022">
        <f>MONTH(datos_siembra[[#This Row],[Date]])</f>
        <v>9</v>
      </c>
      <c r="T1022" t="str" cm="1">
        <f t="array" ref="T1022">_xlfn.IFS(AND(N1022&lt;= 22, S1022=9), "SOWING",AND(N1022&lt;= 28, S1022=9), "COVERAGE",AND(N1022&lt;= 30, S1022=9), "FLUSH",AND(N1022&lt;= 11, S1022=10), "FLUSH",AND(N1022&lt;= 21, S1022=10), "PRODUCTION")</f>
        <v>SOWING</v>
      </c>
      <c r="U1022">
        <f>HOUR(datos_siembra[[#This Row],[Hour]])</f>
        <v>15</v>
      </c>
      <c r="V1022" cm="1">
        <f t="array" ref="V1022">_xlfn.IFS(AND(N1022&lt;= 22, S1022=9), N1022-7,AND(N1022&lt;= 28, S1022=9), N1022-25,AND(N1022&lt;= 30, S1022=9), N1022-28,AND(N1022&lt;= 11, S1022=10), N1022+2,AND(N1022&lt;= 21, S1022=10), N1022-11)</f>
        <v>8</v>
      </c>
    </row>
    <row r="1023" spans="1:22" x14ac:dyDescent="0.35">
      <c r="A1023" s="4">
        <v>45550</v>
      </c>
      <c r="B1023" s="5">
        <v>0.65115740740740746</v>
      </c>
      <c r="C1023">
        <v>79.5</v>
      </c>
      <c r="D1023">
        <v>75.900000000000006</v>
      </c>
      <c r="E1023">
        <v>80.7</v>
      </c>
      <c r="F1023">
        <v>78.2</v>
      </c>
      <c r="G1023">
        <v>0</v>
      </c>
      <c r="H1023">
        <v>0</v>
      </c>
      <c r="I1023">
        <v>0</v>
      </c>
      <c r="J1023">
        <v>0</v>
      </c>
      <c r="K1023">
        <v>65.400000000000006</v>
      </c>
      <c r="L1023">
        <v>64.2</v>
      </c>
      <c r="M1023">
        <v>78.599999999999994</v>
      </c>
      <c r="N1023">
        <v>15</v>
      </c>
      <c r="O1023">
        <v>5</v>
      </c>
      <c r="P1023">
        <f>MOD(DAY(datos_siembra[[#This Row],[Date]]),7)</f>
        <v>1</v>
      </c>
      <c r="Q1023" t="str">
        <f>CHOOSE(WEEKDAY(datos_siembra[[#This Row],[Date]],2),"L","M","X","J","V","S","D")</f>
        <v>D</v>
      </c>
      <c r="R1023">
        <f>WEEKNUM(datos_siembra[[#This Row],[Date]],2)-WEEKNUM(DATE(YEAR(datos_siembra[[#This Row],[Date]]),MONTH(datos_siembra[[#This Row],[Date]]),1))+1</f>
        <v>2</v>
      </c>
      <c r="S1023">
        <f>MONTH(datos_siembra[[#This Row],[Date]])</f>
        <v>9</v>
      </c>
      <c r="T1023" t="str" cm="1">
        <f t="array" ref="T1023">_xlfn.IFS(AND(N1023&lt;= 22, S1023=9), "SOWING",AND(N1023&lt;= 28, S1023=9), "COVERAGE",AND(N1023&lt;= 30, S1023=9), "FLUSH",AND(N1023&lt;= 11, S1023=10), "FLUSH",AND(N1023&lt;= 21, S1023=10), "PRODUCTION")</f>
        <v>SOWING</v>
      </c>
      <c r="U1023">
        <f>HOUR(datos_siembra[[#This Row],[Hour]])</f>
        <v>15</v>
      </c>
      <c r="V1023" cm="1">
        <f t="array" ref="V1023">_xlfn.IFS(AND(N1023&lt;= 22, S1023=9), N1023-7,AND(N1023&lt;= 28, S1023=9), N1023-25,AND(N1023&lt;= 30, S1023=9), N1023-28,AND(N1023&lt;= 11, S1023=10), N1023+2,AND(N1023&lt;= 21, S1023=10), N1023-11)</f>
        <v>8</v>
      </c>
    </row>
    <row r="1024" spans="1:22" x14ac:dyDescent="0.35">
      <c r="A1024" s="4">
        <v>45550</v>
      </c>
      <c r="B1024" s="5">
        <v>0.65810185185185188</v>
      </c>
      <c r="C1024">
        <v>79.599999999999994</v>
      </c>
      <c r="D1024">
        <v>75.8</v>
      </c>
      <c r="E1024">
        <v>80.8</v>
      </c>
      <c r="F1024">
        <v>78.099999999999994</v>
      </c>
      <c r="G1024">
        <v>0</v>
      </c>
      <c r="H1024">
        <v>0</v>
      </c>
      <c r="I1024">
        <v>0</v>
      </c>
      <c r="J1024">
        <v>0</v>
      </c>
      <c r="K1024">
        <v>65.400000000000006</v>
      </c>
      <c r="L1024">
        <v>64.099999999999994</v>
      </c>
      <c r="M1024">
        <v>78.55</v>
      </c>
      <c r="N1024">
        <v>15</v>
      </c>
      <c r="O1024">
        <v>5</v>
      </c>
      <c r="P1024">
        <f>MOD(DAY(datos_siembra[[#This Row],[Date]]),7)</f>
        <v>1</v>
      </c>
      <c r="Q1024" t="str">
        <f>CHOOSE(WEEKDAY(datos_siembra[[#This Row],[Date]],2),"L","M","X","J","V","S","D")</f>
        <v>D</v>
      </c>
      <c r="R1024">
        <f>WEEKNUM(datos_siembra[[#This Row],[Date]],2)-WEEKNUM(DATE(YEAR(datos_siembra[[#This Row],[Date]]),MONTH(datos_siembra[[#This Row],[Date]]),1))+1</f>
        <v>2</v>
      </c>
      <c r="S1024">
        <f>MONTH(datos_siembra[[#This Row],[Date]])</f>
        <v>9</v>
      </c>
      <c r="T1024" t="str" cm="1">
        <f t="array" ref="T1024">_xlfn.IFS(AND(N1024&lt;= 22, S1024=9), "SOWING",AND(N1024&lt;= 28, S1024=9), "COVERAGE",AND(N1024&lt;= 30, S1024=9), "FLUSH",AND(N1024&lt;= 11, S1024=10), "FLUSH",AND(N1024&lt;= 21, S1024=10), "PRODUCTION")</f>
        <v>SOWING</v>
      </c>
      <c r="U1024">
        <f>HOUR(datos_siembra[[#This Row],[Hour]])</f>
        <v>15</v>
      </c>
      <c r="V1024" cm="1">
        <f t="array" ref="V1024">_xlfn.IFS(AND(N1024&lt;= 22, S1024=9), N1024-7,AND(N1024&lt;= 28, S1024=9), N1024-25,AND(N1024&lt;= 30, S1024=9), N1024-28,AND(N1024&lt;= 11, S1024=10), N1024+2,AND(N1024&lt;= 21, S1024=10), N1024-11)</f>
        <v>8</v>
      </c>
    </row>
    <row r="1025" spans="1:22" x14ac:dyDescent="0.35">
      <c r="A1025" s="4">
        <v>45550</v>
      </c>
      <c r="B1025" s="5">
        <v>0.6650462962962963</v>
      </c>
      <c r="C1025">
        <v>79.7</v>
      </c>
      <c r="D1025">
        <v>75.599999999999994</v>
      </c>
      <c r="E1025">
        <v>80.900000000000006</v>
      </c>
      <c r="F1025">
        <v>78.2</v>
      </c>
      <c r="G1025">
        <v>0</v>
      </c>
      <c r="H1025">
        <v>0</v>
      </c>
      <c r="I1025">
        <v>0</v>
      </c>
      <c r="J1025">
        <v>0</v>
      </c>
      <c r="K1025">
        <v>65.400000000000006</v>
      </c>
      <c r="L1025">
        <v>64.2</v>
      </c>
      <c r="M1025">
        <v>78.599999999999994</v>
      </c>
      <c r="N1025">
        <v>15</v>
      </c>
      <c r="O1025">
        <v>5</v>
      </c>
      <c r="P1025">
        <f>MOD(DAY(datos_siembra[[#This Row],[Date]]),7)</f>
        <v>1</v>
      </c>
      <c r="Q1025" t="str">
        <f>CHOOSE(WEEKDAY(datos_siembra[[#This Row],[Date]],2),"L","M","X","J","V","S","D")</f>
        <v>D</v>
      </c>
      <c r="R1025">
        <f>WEEKNUM(datos_siembra[[#This Row],[Date]],2)-WEEKNUM(DATE(YEAR(datos_siembra[[#This Row],[Date]]),MONTH(datos_siembra[[#This Row],[Date]]),1))+1</f>
        <v>2</v>
      </c>
      <c r="S1025">
        <f>MONTH(datos_siembra[[#This Row],[Date]])</f>
        <v>9</v>
      </c>
      <c r="T1025" t="str" cm="1">
        <f t="array" ref="T1025">_xlfn.IFS(AND(N1025&lt;= 22, S1025=9), "SOWING",AND(N1025&lt;= 28, S1025=9), "COVERAGE",AND(N1025&lt;= 30, S1025=9), "FLUSH",AND(N1025&lt;= 11, S1025=10), "FLUSH",AND(N1025&lt;= 21, S1025=10), "PRODUCTION")</f>
        <v>SOWING</v>
      </c>
      <c r="U1025">
        <f>HOUR(datos_siembra[[#This Row],[Hour]])</f>
        <v>15</v>
      </c>
      <c r="V1025" cm="1">
        <f t="array" ref="V1025">_xlfn.IFS(AND(N1025&lt;= 22, S1025=9), N1025-7,AND(N1025&lt;= 28, S1025=9), N1025-25,AND(N1025&lt;= 30, S1025=9), N1025-28,AND(N1025&lt;= 11, S1025=10), N1025+2,AND(N1025&lt;= 21, S1025=10), N1025-11)</f>
        <v>8</v>
      </c>
    </row>
    <row r="1026" spans="1:22" x14ac:dyDescent="0.35">
      <c r="A1026" s="4">
        <v>45550</v>
      </c>
      <c r="B1026" s="5">
        <v>0.67199074074074072</v>
      </c>
      <c r="C1026">
        <v>79.7</v>
      </c>
      <c r="D1026">
        <v>75.8</v>
      </c>
      <c r="E1026">
        <v>80.599999999999994</v>
      </c>
      <c r="F1026">
        <v>78.2</v>
      </c>
      <c r="G1026">
        <v>0</v>
      </c>
      <c r="H1026">
        <v>0</v>
      </c>
      <c r="I1026">
        <v>0</v>
      </c>
      <c r="J1026">
        <v>0</v>
      </c>
      <c r="K1026">
        <v>65.400000000000006</v>
      </c>
      <c r="L1026">
        <v>64.2</v>
      </c>
      <c r="M1026">
        <v>78.569999999999993</v>
      </c>
      <c r="N1026">
        <v>15</v>
      </c>
      <c r="O1026">
        <v>5</v>
      </c>
      <c r="P1026">
        <f>MOD(DAY(datos_siembra[[#This Row],[Date]]),7)</f>
        <v>1</v>
      </c>
      <c r="Q1026" t="str">
        <f>CHOOSE(WEEKDAY(datos_siembra[[#This Row],[Date]],2),"L","M","X","J","V","S","D")</f>
        <v>D</v>
      </c>
      <c r="R1026">
        <f>WEEKNUM(datos_siembra[[#This Row],[Date]],2)-WEEKNUM(DATE(YEAR(datos_siembra[[#This Row],[Date]]),MONTH(datos_siembra[[#This Row],[Date]]),1))+1</f>
        <v>2</v>
      </c>
      <c r="S1026">
        <f>MONTH(datos_siembra[[#This Row],[Date]])</f>
        <v>9</v>
      </c>
      <c r="T1026" t="str" cm="1">
        <f t="array" ref="T1026">_xlfn.IFS(AND(N1026&lt;= 22, S1026=9), "SOWING",AND(N1026&lt;= 28, S1026=9), "COVERAGE",AND(N1026&lt;= 30, S1026=9), "FLUSH",AND(N1026&lt;= 11, S1026=10), "FLUSH",AND(N1026&lt;= 21, S1026=10), "PRODUCTION")</f>
        <v>SOWING</v>
      </c>
      <c r="U1026">
        <f>HOUR(datos_siembra[[#This Row],[Hour]])</f>
        <v>16</v>
      </c>
      <c r="V1026" cm="1">
        <f t="array" ref="V1026">_xlfn.IFS(AND(N1026&lt;= 22, S1026=9), N1026-7,AND(N1026&lt;= 28, S1026=9), N1026-25,AND(N1026&lt;= 30, S1026=9), N1026-28,AND(N1026&lt;= 11, S1026=10), N1026+2,AND(N1026&lt;= 21, S1026=10), N1026-11)</f>
        <v>8</v>
      </c>
    </row>
    <row r="1027" spans="1:22" x14ac:dyDescent="0.35">
      <c r="A1027" s="4">
        <v>45550</v>
      </c>
      <c r="B1027" s="5">
        <v>0.67894675925925929</v>
      </c>
      <c r="C1027">
        <v>79.599999999999994</v>
      </c>
      <c r="D1027">
        <v>75.8</v>
      </c>
      <c r="E1027">
        <v>80.8</v>
      </c>
      <c r="F1027">
        <v>78.099999999999994</v>
      </c>
      <c r="G1027">
        <v>0</v>
      </c>
      <c r="H1027">
        <v>0</v>
      </c>
      <c r="I1027">
        <v>0</v>
      </c>
      <c r="J1027">
        <v>0</v>
      </c>
      <c r="K1027">
        <v>65.400000000000006</v>
      </c>
      <c r="L1027">
        <v>64.3</v>
      </c>
      <c r="M1027">
        <v>78.63</v>
      </c>
      <c r="N1027">
        <v>15</v>
      </c>
      <c r="O1027">
        <v>5</v>
      </c>
      <c r="P1027">
        <f>MOD(DAY(datos_siembra[[#This Row],[Date]]),7)</f>
        <v>1</v>
      </c>
      <c r="Q1027" t="str">
        <f>CHOOSE(WEEKDAY(datos_siembra[[#This Row],[Date]],2),"L","M","X","J","V","S","D")</f>
        <v>D</v>
      </c>
      <c r="R1027">
        <f>WEEKNUM(datos_siembra[[#This Row],[Date]],2)-WEEKNUM(DATE(YEAR(datos_siembra[[#This Row],[Date]]),MONTH(datos_siembra[[#This Row],[Date]]),1))+1</f>
        <v>2</v>
      </c>
      <c r="S1027">
        <f>MONTH(datos_siembra[[#This Row],[Date]])</f>
        <v>9</v>
      </c>
      <c r="T1027" t="str" cm="1">
        <f t="array" ref="T1027">_xlfn.IFS(AND(N1027&lt;= 22, S1027=9), "SOWING",AND(N1027&lt;= 28, S1027=9), "COVERAGE",AND(N1027&lt;= 30, S1027=9), "FLUSH",AND(N1027&lt;= 11, S1027=10), "FLUSH",AND(N1027&lt;= 21, S1027=10), "PRODUCTION")</f>
        <v>SOWING</v>
      </c>
      <c r="U1027">
        <f>HOUR(datos_siembra[[#This Row],[Hour]])</f>
        <v>16</v>
      </c>
      <c r="V1027" cm="1">
        <f t="array" ref="V1027">_xlfn.IFS(AND(N1027&lt;= 22, S1027=9), N1027-7,AND(N1027&lt;= 28, S1027=9), N1027-25,AND(N1027&lt;= 30, S1027=9), N1027-28,AND(N1027&lt;= 11, S1027=10), N1027+2,AND(N1027&lt;= 21, S1027=10), N1027-11)</f>
        <v>8</v>
      </c>
    </row>
    <row r="1028" spans="1:22" x14ac:dyDescent="0.35">
      <c r="A1028" s="4">
        <v>45550</v>
      </c>
      <c r="B1028" s="5">
        <v>0.68589120370370371</v>
      </c>
      <c r="C1028">
        <v>79.599999999999994</v>
      </c>
      <c r="D1028">
        <v>75.8</v>
      </c>
      <c r="E1028">
        <v>80.7</v>
      </c>
      <c r="F1028">
        <v>78.599999999999994</v>
      </c>
      <c r="G1028">
        <v>0</v>
      </c>
      <c r="H1028">
        <v>0</v>
      </c>
      <c r="I1028">
        <v>0</v>
      </c>
      <c r="J1028">
        <v>0</v>
      </c>
      <c r="K1028">
        <v>65.400000000000006</v>
      </c>
      <c r="L1028">
        <v>64.3</v>
      </c>
      <c r="M1028">
        <v>78.63</v>
      </c>
      <c r="N1028">
        <v>15</v>
      </c>
      <c r="O1028">
        <v>5</v>
      </c>
      <c r="P1028">
        <f>MOD(DAY(datos_siembra[[#This Row],[Date]]),7)</f>
        <v>1</v>
      </c>
      <c r="Q1028" t="str">
        <f>CHOOSE(WEEKDAY(datos_siembra[[#This Row],[Date]],2),"L","M","X","J","V","S","D")</f>
        <v>D</v>
      </c>
      <c r="R1028">
        <f>WEEKNUM(datos_siembra[[#This Row],[Date]],2)-WEEKNUM(DATE(YEAR(datos_siembra[[#This Row],[Date]]),MONTH(datos_siembra[[#This Row],[Date]]),1))+1</f>
        <v>2</v>
      </c>
      <c r="S1028">
        <f>MONTH(datos_siembra[[#This Row],[Date]])</f>
        <v>9</v>
      </c>
      <c r="T1028" t="str" cm="1">
        <f t="array" ref="T1028">_xlfn.IFS(AND(N1028&lt;= 22, S1028=9), "SOWING",AND(N1028&lt;= 28, S1028=9), "COVERAGE",AND(N1028&lt;= 30, S1028=9), "FLUSH",AND(N1028&lt;= 11, S1028=10), "FLUSH",AND(N1028&lt;= 21, S1028=10), "PRODUCTION")</f>
        <v>SOWING</v>
      </c>
      <c r="U1028">
        <f>HOUR(datos_siembra[[#This Row],[Hour]])</f>
        <v>16</v>
      </c>
      <c r="V1028" cm="1">
        <f t="array" ref="V1028">_xlfn.IFS(AND(N1028&lt;= 22, S1028=9), N1028-7,AND(N1028&lt;= 28, S1028=9), N1028-25,AND(N1028&lt;= 30, S1028=9), N1028-28,AND(N1028&lt;= 11, S1028=10), N1028+2,AND(N1028&lt;= 21, S1028=10), N1028-11)</f>
        <v>8</v>
      </c>
    </row>
    <row r="1029" spans="1:22" x14ac:dyDescent="0.35">
      <c r="A1029" s="4">
        <v>45550</v>
      </c>
      <c r="B1029" s="5">
        <v>0.69283564814814813</v>
      </c>
      <c r="C1029">
        <v>79.8</v>
      </c>
      <c r="D1029">
        <v>75.599999999999994</v>
      </c>
      <c r="E1029">
        <v>80.599999999999994</v>
      </c>
      <c r="F1029">
        <v>78.7</v>
      </c>
      <c r="G1029">
        <v>0</v>
      </c>
      <c r="H1029">
        <v>0</v>
      </c>
      <c r="I1029">
        <v>0</v>
      </c>
      <c r="J1029">
        <v>0</v>
      </c>
      <c r="K1029">
        <v>65.400000000000006</v>
      </c>
      <c r="L1029">
        <v>64.2</v>
      </c>
      <c r="M1029">
        <v>78.69</v>
      </c>
      <c r="N1029">
        <v>15</v>
      </c>
      <c r="O1029">
        <v>5</v>
      </c>
      <c r="P1029">
        <f>MOD(DAY(datos_siembra[[#This Row],[Date]]),7)</f>
        <v>1</v>
      </c>
      <c r="Q1029" t="str">
        <f>CHOOSE(WEEKDAY(datos_siembra[[#This Row],[Date]],2),"L","M","X","J","V","S","D")</f>
        <v>D</v>
      </c>
      <c r="R1029">
        <f>WEEKNUM(datos_siembra[[#This Row],[Date]],2)-WEEKNUM(DATE(YEAR(datos_siembra[[#This Row],[Date]]),MONTH(datos_siembra[[#This Row],[Date]]),1))+1</f>
        <v>2</v>
      </c>
      <c r="S1029">
        <f>MONTH(datos_siembra[[#This Row],[Date]])</f>
        <v>9</v>
      </c>
      <c r="T1029" t="str" cm="1">
        <f t="array" ref="T1029">_xlfn.IFS(AND(N1029&lt;= 22, S1029=9), "SOWING",AND(N1029&lt;= 28, S1029=9), "COVERAGE",AND(N1029&lt;= 30, S1029=9), "FLUSH",AND(N1029&lt;= 11, S1029=10), "FLUSH",AND(N1029&lt;= 21, S1029=10), "PRODUCTION")</f>
        <v>SOWING</v>
      </c>
      <c r="U1029">
        <f>HOUR(datos_siembra[[#This Row],[Hour]])</f>
        <v>16</v>
      </c>
      <c r="V1029" cm="1">
        <f t="array" ref="V1029">_xlfn.IFS(AND(N1029&lt;= 22, S1029=9), N1029-7,AND(N1029&lt;= 28, S1029=9), N1029-25,AND(N1029&lt;= 30, S1029=9), N1029-28,AND(N1029&lt;= 11, S1029=10), N1029+2,AND(N1029&lt;= 21, S1029=10), N1029-11)</f>
        <v>8</v>
      </c>
    </row>
    <row r="1030" spans="1:22" x14ac:dyDescent="0.35">
      <c r="A1030" s="4">
        <v>45550</v>
      </c>
      <c r="B1030" s="5">
        <v>0.6997916666666667</v>
      </c>
      <c r="C1030">
        <v>79.7</v>
      </c>
      <c r="D1030">
        <v>75.8</v>
      </c>
      <c r="E1030">
        <v>80.599999999999994</v>
      </c>
      <c r="F1030">
        <v>78.8</v>
      </c>
      <c r="G1030">
        <v>0</v>
      </c>
      <c r="H1030">
        <v>0</v>
      </c>
      <c r="I1030">
        <v>0</v>
      </c>
      <c r="J1030">
        <v>0</v>
      </c>
      <c r="K1030">
        <v>65.400000000000006</v>
      </c>
      <c r="L1030">
        <v>64.099999999999994</v>
      </c>
      <c r="M1030">
        <v>78.69</v>
      </c>
      <c r="N1030">
        <v>15</v>
      </c>
      <c r="O1030">
        <v>5</v>
      </c>
      <c r="P1030">
        <f>MOD(DAY(datos_siembra[[#This Row],[Date]]),7)</f>
        <v>1</v>
      </c>
      <c r="Q1030" t="str">
        <f>CHOOSE(WEEKDAY(datos_siembra[[#This Row],[Date]],2),"L","M","X","J","V","S","D")</f>
        <v>D</v>
      </c>
      <c r="R1030">
        <f>WEEKNUM(datos_siembra[[#This Row],[Date]],2)-WEEKNUM(DATE(YEAR(datos_siembra[[#This Row],[Date]]),MONTH(datos_siembra[[#This Row],[Date]]),1))+1</f>
        <v>2</v>
      </c>
      <c r="S1030">
        <f>MONTH(datos_siembra[[#This Row],[Date]])</f>
        <v>9</v>
      </c>
      <c r="T1030" t="str" cm="1">
        <f t="array" ref="T1030">_xlfn.IFS(AND(N1030&lt;= 22, S1030=9), "SOWING",AND(N1030&lt;= 28, S1030=9), "COVERAGE",AND(N1030&lt;= 30, S1030=9), "FLUSH",AND(N1030&lt;= 11, S1030=10), "FLUSH",AND(N1030&lt;= 21, S1030=10), "PRODUCTION")</f>
        <v>SOWING</v>
      </c>
      <c r="U1030">
        <f>HOUR(datos_siembra[[#This Row],[Hour]])</f>
        <v>16</v>
      </c>
      <c r="V1030" cm="1">
        <f t="array" ref="V1030">_xlfn.IFS(AND(N1030&lt;= 22, S1030=9), N1030-7,AND(N1030&lt;= 28, S1030=9), N1030-25,AND(N1030&lt;= 30, S1030=9), N1030-28,AND(N1030&lt;= 11, S1030=10), N1030+2,AND(N1030&lt;= 21, S1030=10), N1030-11)</f>
        <v>8</v>
      </c>
    </row>
    <row r="1031" spans="1:22" x14ac:dyDescent="0.35">
      <c r="A1031" s="4">
        <v>45550</v>
      </c>
      <c r="B1031" s="5">
        <v>0.70673611111111112</v>
      </c>
      <c r="C1031">
        <v>79.400000000000006</v>
      </c>
      <c r="D1031">
        <v>75.8</v>
      </c>
      <c r="E1031">
        <v>80.599999999999994</v>
      </c>
      <c r="F1031">
        <v>78.8</v>
      </c>
      <c r="G1031">
        <v>0</v>
      </c>
      <c r="H1031">
        <v>0</v>
      </c>
      <c r="I1031">
        <v>0</v>
      </c>
      <c r="J1031">
        <v>0</v>
      </c>
      <c r="K1031">
        <v>65.3</v>
      </c>
      <c r="L1031">
        <v>64.099999999999994</v>
      </c>
      <c r="M1031">
        <v>78.63</v>
      </c>
      <c r="N1031">
        <v>15</v>
      </c>
      <c r="O1031">
        <v>5</v>
      </c>
      <c r="P1031">
        <f>MOD(DAY(datos_siembra[[#This Row],[Date]]),7)</f>
        <v>1</v>
      </c>
      <c r="Q1031" t="str">
        <f>CHOOSE(WEEKDAY(datos_siembra[[#This Row],[Date]],2),"L","M","X","J","V","S","D")</f>
        <v>D</v>
      </c>
      <c r="R1031">
        <f>WEEKNUM(datos_siembra[[#This Row],[Date]],2)-WEEKNUM(DATE(YEAR(datos_siembra[[#This Row],[Date]]),MONTH(datos_siembra[[#This Row],[Date]]),1))+1</f>
        <v>2</v>
      </c>
      <c r="S1031">
        <f>MONTH(datos_siembra[[#This Row],[Date]])</f>
        <v>9</v>
      </c>
      <c r="T1031" t="str" cm="1">
        <f t="array" ref="T1031">_xlfn.IFS(AND(N1031&lt;= 22, S1031=9), "SOWING",AND(N1031&lt;= 28, S1031=9), "COVERAGE",AND(N1031&lt;= 30, S1031=9), "FLUSH",AND(N1031&lt;= 11, S1031=10), "FLUSH",AND(N1031&lt;= 21, S1031=10), "PRODUCTION")</f>
        <v>SOWING</v>
      </c>
      <c r="U1031">
        <f>HOUR(datos_siembra[[#This Row],[Hour]])</f>
        <v>16</v>
      </c>
      <c r="V1031" cm="1">
        <f t="array" ref="V1031">_xlfn.IFS(AND(N1031&lt;= 22, S1031=9), N1031-7,AND(N1031&lt;= 28, S1031=9), N1031-25,AND(N1031&lt;= 30, S1031=9), N1031-28,AND(N1031&lt;= 11, S1031=10), N1031+2,AND(N1031&lt;= 21, S1031=10), N1031-11)</f>
        <v>8</v>
      </c>
    </row>
    <row r="1032" spans="1:22" x14ac:dyDescent="0.35">
      <c r="A1032" s="4">
        <v>45550</v>
      </c>
      <c r="B1032" s="5">
        <v>0.71368055555555554</v>
      </c>
      <c r="C1032">
        <v>79.5</v>
      </c>
      <c r="D1032">
        <v>75.8</v>
      </c>
      <c r="E1032">
        <v>80.599999999999994</v>
      </c>
      <c r="F1032">
        <v>78.900000000000006</v>
      </c>
      <c r="G1032">
        <v>0</v>
      </c>
      <c r="H1032">
        <v>0</v>
      </c>
      <c r="I1032">
        <v>0</v>
      </c>
      <c r="J1032">
        <v>0</v>
      </c>
      <c r="K1032">
        <v>65.3</v>
      </c>
      <c r="L1032">
        <v>64.099999999999994</v>
      </c>
      <c r="M1032">
        <v>78.63</v>
      </c>
      <c r="N1032">
        <v>15</v>
      </c>
      <c r="O1032">
        <v>5</v>
      </c>
      <c r="P1032">
        <f>MOD(DAY(datos_siembra[[#This Row],[Date]]),7)</f>
        <v>1</v>
      </c>
      <c r="Q1032" t="str">
        <f>CHOOSE(WEEKDAY(datos_siembra[[#This Row],[Date]],2),"L","M","X","J","V","S","D")</f>
        <v>D</v>
      </c>
      <c r="R1032">
        <f>WEEKNUM(datos_siembra[[#This Row],[Date]],2)-WEEKNUM(DATE(YEAR(datos_siembra[[#This Row],[Date]]),MONTH(datos_siembra[[#This Row],[Date]]),1))+1</f>
        <v>2</v>
      </c>
      <c r="S1032">
        <f>MONTH(datos_siembra[[#This Row],[Date]])</f>
        <v>9</v>
      </c>
      <c r="T1032" t="str" cm="1">
        <f t="array" ref="T1032">_xlfn.IFS(AND(N1032&lt;= 22, S1032=9), "SOWING",AND(N1032&lt;= 28, S1032=9), "COVERAGE",AND(N1032&lt;= 30, S1032=9), "FLUSH",AND(N1032&lt;= 11, S1032=10), "FLUSH",AND(N1032&lt;= 21, S1032=10), "PRODUCTION")</f>
        <v>SOWING</v>
      </c>
      <c r="U1032">
        <f>HOUR(datos_siembra[[#This Row],[Hour]])</f>
        <v>17</v>
      </c>
      <c r="V1032" cm="1">
        <f t="array" ref="V1032">_xlfn.IFS(AND(N1032&lt;= 22, S1032=9), N1032-7,AND(N1032&lt;= 28, S1032=9), N1032-25,AND(N1032&lt;= 30, S1032=9), N1032-28,AND(N1032&lt;= 11, S1032=10), N1032+2,AND(N1032&lt;= 21, S1032=10), N1032-11)</f>
        <v>8</v>
      </c>
    </row>
    <row r="1033" spans="1:22" x14ac:dyDescent="0.35">
      <c r="A1033" s="4">
        <v>45550</v>
      </c>
      <c r="B1033" s="5">
        <v>0.72062499999999996</v>
      </c>
      <c r="C1033">
        <v>79.7</v>
      </c>
      <c r="D1033">
        <v>75.599999999999994</v>
      </c>
      <c r="E1033">
        <v>80.5</v>
      </c>
      <c r="F1033">
        <v>78.900000000000006</v>
      </c>
      <c r="G1033">
        <v>0</v>
      </c>
      <c r="H1033">
        <v>0</v>
      </c>
      <c r="I1033">
        <v>0</v>
      </c>
      <c r="J1033">
        <v>0</v>
      </c>
      <c r="K1033">
        <v>65.3</v>
      </c>
      <c r="L1033">
        <v>64.099999999999994</v>
      </c>
      <c r="M1033">
        <v>78.69</v>
      </c>
      <c r="N1033">
        <v>15</v>
      </c>
      <c r="O1033">
        <v>5</v>
      </c>
      <c r="P1033">
        <f>MOD(DAY(datos_siembra[[#This Row],[Date]]),7)</f>
        <v>1</v>
      </c>
      <c r="Q1033" t="str">
        <f>CHOOSE(WEEKDAY(datos_siembra[[#This Row],[Date]],2),"L","M","X","J","V","S","D")</f>
        <v>D</v>
      </c>
      <c r="R1033">
        <f>WEEKNUM(datos_siembra[[#This Row],[Date]],2)-WEEKNUM(DATE(YEAR(datos_siembra[[#This Row],[Date]]),MONTH(datos_siembra[[#This Row],[Date]]),1))+1</f>
        <v>2</v>
      </c>
      <c r="S1033">
        <f>MONTH(datos_siembra[[#This Row],[Date]])</f>
        <v>9</v>
      </c>
      <c r="T1033" t="str" cm="1">
        <f t="array" ref="T1033">_xlfn.IFS(AND(N1033&lt;= 22, S1033=9), "SOWING",AND(N1033&lt;= 28, S1033=9), "COVERAGE",AND(N1033&lt;= 30, S1033=9), "FLUSH",AND(N1033&lt;= 11, S1033=10), "FLUSH",AND(N1033&lt;= 21, S1033=10), "PRODUCTION")</f>
        <v>SOWING</v>
      </c>
      <c r="U1033">
        <f>HOUR(datos_siembra[[#This Row],[Hour]])</f>
        <v>17</v>
      </c>
      <c r="V1033" cm="1">
        <f t="array" ref="V1033">_xlfn.IFS(AND(N1033&lt;= 22, S1033=9), N1033-7,AND(N1033&lt;= 28, S1033=9), N1033-25,AND(N1033&lt;= 30, S1033=9), N1033-28,AND(N1033&lt;= 11, S1033=10), N1033+2,AND(N1033&lt;= 21, S1033=10), N1033-11)</f>
        <v>8</v>
      </c>
    </row>
    <row r="1034" spans="1:22" x14ac:dyDescent="0.35">
      <c r="A1034" s="4">
        <v>45550</v>
      </c>
      <c r="B1034" s="5">
        <v>0.72758101851851853</v>
      </c>
      <c r="C1034">
        <v>79.7</v>
      </c>
      <c r="D1034">
        <v>75.599999999999994</v>
      </c>
      <c r="E1034">
        <v>80.400000000000006</v>
      </c>
      <c r="F1034">
        <v>78.900000000000006</v>
      </c>
      <c r="G1034">
        <v>0</v>
      </c>
      <c r="H1034">
        <v>0</v>
      </c>
      <c r="I1034">
        <v>0</v>
      </c>
      <c r="J1034">
        <v>0</v>
      </c>
      <c r="K1034">
        <v>65.3</v>
      </c>
      <c r="L1034">
        <v>63.9</v>
      </c>
      <c r="M1034">
        <v>78.72</v>
      </c>
      <c r="N1034">
        <v>15</v>
      </c>
      <c r="O1034">
        <v>5</v>
      </c>
      <c r="P1034">
        <f>MOD(DAY(datos_siembra[[#This Row],[Date]]),7)</f>
        <v>1</v>
      </c>
      <c r="Q1034" t="str">
        <f>CHOOSE(WEEKDAY(datos_siembra[[#This Row],[Date]],2),"L","M","X","J","V","S","D")</f>
        <v>D</v>
      </c>
      <c r="R1034">
        <f>WEEKNUM(datos_siembra[[#This Row],[Date]],2)-WEEKNUM(DATE(YEAR(datos_siembra[[#This Row],[Date]]),MONTH(datos_siembra[[#This Row],[Date]]),1))+1</f>
        <v>2</v>
      </c>
      <c r="S1034">
        <f>MONTH(datos_siembra[[#This Row],[Date]])</f>
        <v>9</v>
      </c>
      <c r="T1034" t="str" cm="1">
        <f t="array" ref="T1034">_xlfn.IFS(AND(N1034&lt;= 22, S1034=9), "SOWING",AND(N1034&lt;= 28, S1034=9), "COVERAGE",AND(N1034&lt;= 30, S1034=9), "FLUSH",AND(N1034&lt;= 11, S1034=10), "FLUSH",AND(N1034&lt;= 21, S1034=10), "PRODUCTION")</f>
        <v>SOWING</v>
      </c>
      <c r="U1034">
        <f>HOUR(datos_siembra[[#This Row],[Hour]])</f>
        <v>17</v>
      </c>
      <c r="V1034" cm="1">
        <f t="array" ref="V1034">_xlfn.IFS(AND(N1034&lt;= 22, S1034=9), N1034-7,AND(N1034&lt;= 28, S1034=9), N1034-25,AND(N1034&lt;= 30, S1034=9), N1034-28,AND(N1034&lt;= 11, S1034=10), N1034+2,AND(N1034&lt;= 21, S1034=10), N1034-11)</f>
        <v>8</v>
      </c>
    </row>
    <row r="1035" spans="1:22" x14ac:dyDescent="0.35">
      <c r="A1035" s="4">
        <v>45550</v>
      </c>
      <c r="B1035" s="5">
        <v>0.73452546296296295</v>
      </c>
      <c r="C1035">
        <v>79.5</v>
      </c>
      <c r="D1035">
        <v>75.8</v>
      </c>
      <c r="E1035">
        <v>80.5</v>
      </c>
      <c r="F1035">
        <v>79</v>
      </c>
      <c r="G1035">
        <v>0</v>
      </c>
      <c r="H1035">
        <v>0</v>
      </c>
      <c r="I1035">
        <v>0</v>
      </c>
      <c r="J1035">
        <v>0</v>
      </c>
      <c r="K1035">
        <v>65.3</v>
      </c>
      <c r="L1035">
        <v>64.099999999999994</v>
      </c>
      <c r="M1035">
        <v>78.72</v>
      </c>
      <c r="N1035">
        <v>15</v>
      </c>
      <c r="O1035">
        <v>5</v>
      </c>
      <c r="P1035">
        <f>MOD(DAY(datos_siembra[[#This Row],[Date]]),7)</f>
        <v>1</v>
      </c>
      <c r="Q1035" t="str">
        <f>CHOOSE(WEEKDAY(datos_siembra[[#This Row],[Date]],2),"L","M","X","J","V","S","D")</f>
        <v>D</v>
      </c>
      <c r="R1035">
        <f>WEEKNUM(datos_siembra[[#This Row],[Date]],2)-WEEKNUM(DATE(YEAR(datos_siembra[[#This Row],[Date]]),MONTH(datos_siembra[[#This Row],[Date]]),1))+1</f>
        <v>2</v>
      </c>
      <c r="S1035">
        <f>MONTH(datos_siembra[[#This Row],[Date]])</f>
        <v>9</v>
      </c>
      <c r="T1035" t="str" cm="1">
        <f t="array" ref="T1035">_xlfn.IFS(AND(N1035&lt;= 22, S1035=9), "SOWING",AND(N1035&lt;= 28, S1035=9), "COVERAGE",AND(N1035&lt;= 30, S1035=9), "FLUSH",AND(N1035&lt;= 11, S1035=10), "FLUSH",AND(N1035&lt;= 21, S1035=10), "PRODUCTION")</f>
        <v>SOWING</v>
      </c>
      <c r="U1035">
        <f>HOUR(datos_siembra[[#This Row],[Hour]])</f>
        <v>17</v>
      </c>
      <c r="V1035" cm="1">
        <f t="array" ref="V1035">_xlfn.IFS(AND(N1035&lt;= 22, S1035=9), N1035-7,AND(N1035&lt;= 28, S1035=9), N1035-25,AND(N1035&lt;= 30, S1035=9), N1035-28,AND(N1035&lt;= 11, S1035=10), N1035+2,AND(N1035&lt;= 21, S1035=10), N1035-11)</f>
        <v>8</v>
      </c>
    </row>
    <row r="1036" spans="1:22" x14ac:dyDescent="0.35">
      <c r="A1036" s="4">
        <v>45550</v>
      </c>
      <c r="B1036" s="5">
        <v>0.74146990740740737</v>
      </c>
      <c r="C1036">
        <v>79.5</v>
      </c>
      <c r="D1036">
        <v>75.8</v>
      </c>
      <c r="E1036">
        <v>80.5</v>
      </c>
      <c r="F1036">
        <v>78.8</v>
      </c>
      <c r="G1036">
        <v>0</v>
      </c>
      <c r="H1036">
        <v>0</v>
      </c>
      <c r="I1036">
        <v>0</v>
      </c>
      <c r="J1036">
        <v>0</v>
      </c>
      <c r="K1036">
        <v>65.3</v>
      </c>
      <c r="L1036">
        <v>63.9</v>
      </c>
      <c r="M1036">
        <v>78.66</v>
      </c>
      <c r="N1036">
        <v>15</v>
      </c>
      <c r="O1036">
        <v>5</v>
      </c>
      <c r="P1036">
        <f>MOD(DAY(datos_siembra[[#This Row],[Date]]),7)</f>
        <v>1</v>
      </c>
      <c r="Q1036" t="str">
        <f>CHOOSE(WEEKDAY(datos_siembra[[#This Row],[Date]],2),"L","M","X","J","V","S","D")</f>
        <v>D</v>
      </c>
      <c r="R1036">
        <f>WEEKNUM(datos_siembra[[#This Row],[Date]],2)-WEEKNUM(DATE(YEAR(datos_siembra[[#This Row],[Date]]),MONTH(datos_siembra[[#This Row],[Date]]),1))+1</f>
        <v>2</v>
      </c>
      <c r="S1036">
        <f>MONTH(datos_siembra[[#This Row],[Date]])</f>
        <v>9</v>
      </c>
      <c r="T1036" t="str" cm="1">
        <f t="array" ref="T1036">_xlfn.IFS(AND(N1036&lt;= 22, S1036=9), "SOWING",AND(N1036&lt;= 28, S1036=9), "COVERAGE",AND(N1036&lt;= 30, S1036=9), "FLUSH",AND(N1036&lt;= 11, S1036=10), "FLUSH",AND(N1036&lt;= 21, S1036=10), "PRODUCTION")</f>
        <v>SOWING</v>
      </c>
      <c r="U1036">
        <f>HOUR(datos_siembra[[#This Row],[Hour]])</f>
        <v>17</v>
      </c>
      <c r="V1036" cm="1">
        <f t="array" ref="V1036">_xlfn.IFS(AND(N1036&lt;= 22, S1036=9), N1036-7,AND(N1036&lt;= 28, S1036=9), N1036-25,AND(N1036&lt;= 30, S1036=9), N1036-28,AND(N1036&lt;= 11, S1036=10), N1036+2,AND(N1036&lt;= 21, S1036=10), N1036-11)</f>
        <v>8</v>
      </c>
    </row>
    <row r="1037" spans="1:22" x14ac:dyDescent="0.35">
      <c r="A1037" s="4">
        <v>45550</v>
      </c>
      <c r="B1037" s="5">
        <v>0.74842592592592594</v>
      </c>
      <c r="C1037">
        <v>79.599999999999994</v>
      </c>
      <c r="D1037">
        <v>75.8</v>
      </c>
      <c r="E1037">
        <v>80.5</v>
      </c>
      <c r="F1037">
        <v>79</v>
      </c>
      <c r="G1037">
        <v>0</v>
      </c>
      <c r="H1037">
        <v>0</v>
      </c>
      <c r="I1037">
        <v>0</v>
      </c>
      <c r="J1037">
        <v>0</v>
      </c>
      <c r="K1037">
        <v>63.9</v>
      </c>
      <c r="L1037">
        <v>62</v>
      </c>
      <c r="M1037">
        <v>78.66</v>
      </c>
      <c r="N1037">
        <v>15</v>
      </c>
      <c r="O1037">
        <v>5</v>
      </c>
      <c r="P1037">
        <f>MOD(DAY(datos_siembra[[#This Row],[Date]]),7)</f>
        <v>1</v>
      </c>
      <c r="Q1037" t="str">
        <f>CHOOSE(WEEKDAY(datos_siembra[[#This Row],[Date]],2),"L","M","X","J","V","S","D")</f>
        <v>D</v>
      </c>
      <c r="R1037">
        <f>WEEKNUM(datos_siembra[[#This Row],[Date]],2)-WEEKNUM(DATE(YEAR(datos_siembra[[#This Row],[Date]]),MONTH(datos_siembra[[#This Row],[Date]]),1))+1</f>
        <v>2</v>
      </c>
      <c r="S1037">
        <f>MONTH(datos_siembra[[#This Row],[Date]])</f>
        <v>9</v>
      </c>
      <c r="T1037" t="str" cm="1">
        <f t="array" ref="T1037">_xlfn.IFS(AND(N1037&lt;= 22, S1037=9), "SOWING",AND(N1037&lt;= 28, S1037=9), "COVERAGE",AND(N1037&lt;= 30, S1037=9), "FLUSH",AND(N1037&lt;= 11, S1037=10), "FLUSH",AND(N1037&lt;= 21, S1037=10), "PRODUCTION")</f>
        <v>SOWING</v>
      </c>
      <c r="U1037">
        <f>HOUR(datos_siembra[[#This Row],[Hour]])</f>
        <v>17</v>
      </c>
      <c r="V1037" cm="1">
        <f t="array" ref="V1037">_xlfn.IFS(AND(N1037&lt;= 22, S1037=9), N1037-7,AND(N1037&lt;= 28, S1037=9), N1037-25,AND(N1037&lt;= 30, S1037=9), N1037-28,AND(N1037&lt;= 11, S1037=10), N1037+2,AND(N1037&lt;= 21, S1037=10), N1037-11)</f>
        <v>8</v>
      </c>
    </row>
    <row r="1038" spans="1:22" x14ac:dyDescent="0.35">
      <c r="A1038" s="4">
        <v>45550</v>
      </c>
      <c r="B1038" s="5">
        <v>0.75537037037037036</v>
      </c>
      <c r="C1038">
        <v>79.5</v>
      </c>
      <c r="D1038">
        <v>75.900000000000006</v>
      </c>
      <c r="E1038">
        <v>80.400000000000006</v>
      </c>
      <c r="F1038">
        <v>79</v>
      </c>
      <c r="G1038">
        <v>0</v>
      </c>
      <c r="H1038">
        <v>0</v>
      </c>
      <c r="I1038">
        <v>0</v>
      </c>
      <c r="J1038">
        <v>0</v>
      </c>
      <c r="K1038">
        <v>63.4</v>
      </c>
      <c r="L1038">
        <v>61.6</v>
      </c>
      <c r="M1038">
        <v>78.69</v>
      </c>
      <c r="N1038">
        <v>15</v>
      </c>
      <c r="O1038">
        <v>5</v>
      </c>
      <c r="P1038">
        <f>MOD(DAY(datos_siembra[[#This Row],[Date]]),7)</f>
        <v>1</v>
      </c>
      <c r="Q1038" t="str">
        <f>CHOOSE(WEEKDAY(datos_siembra[[#This Row],[Date]],2),"L","M","X","J","V","S","D")</f>
        <v>D</v>
      </c>
      <c r="R1038">
        <f>WEEKNUM(datos_siembra[[#This Row],[Date]],2)-WEEKNUM(DATE(YEAR(datos_siembra[[#This Row],[Date]]),MONTH(datos_siembra[[#This Row],[Date]]),1))+1</f>
        <v>2</v>
      </c>
      <c r="S1038">
        <f>MONTH(datos_siembra[[#This Row],[Date]])</f>
        <v>9</v>
      </c>
      <c r="T1038" t="str" cm="1">
        <f t="array" ref="T1038">_xlfn.IFS(AND(N1038&lt;= 22, S1038=9), "SOWING",AND(N1038&lt;= 28, S1038=9), "COVERAGE",AND(N1038&lt;= 30, S1038=9), "FLUSH",AND(N1038&lt;= 11, S1038=10), "FLUSH",AND(N1038&lt;= 21, S1038=10), "PRODUCTION")</f>
        <v>SOWING</v>
      </c>
      <c r="U1038">
        <f>HOUR(datos_siembra[[#This Row],[Hour]])</f>
        <v>18</v>
      </c>
      <c r="V1038" cm="1">
        <f t="array" ref="V1038">_xlfn.IFS(AND(N1038&lt;= 22, S1038=9), N1038-7,AND(N1038&lt;= 28, S1038=9), N1038-25,AND(N1038&lt;= 30, S1038=9), N1038-28,AND(N1038&lt;= 11, S1038=10), N1038+2,AND(N1038&lt;= 21, S1038=10), N1038-11)</f>
        <v>8</v>
      </c>
    </row>
    <row r="1039" spans="1:22" x14ac:dyDescent="0.35">
      <c r="A1039" s="4">
        <v>45550</v>
      </c>
      <c r="B1039" s="5">
        <v>0.76231481481481478</v>
      </c>
      <c r="C1039">
        <v>79.599999999999994</v>
      </c>
      <c r="D1039">
        <v>75.8</v>
      </c>
      <c r="E1039">
        <v>80.5</v>
      </c>
      <c r="F1039">
        <v>79</v>
      </c>
      <c r="G1039">
        <v>0</v>
      </c>
      <c r="H1039">
        <v>0</v>
      </c>
      <c r="I1039">
        <v>0</v>
      </c>
      <c r="J1039">
        <v>0</v>
      </c>
      <c r="K1039">
        <v>64.3</v>
      </c>
      <c r="L1039">
        <v>62.8</v>
      </c>
      <c r="M1039">
        <v>78.72</v>
      </c>
      <c r="N1039">
        <v>15</v>
      </c>
      <c r="O1039">
        <v>5</v>
      </c>
      <c r="P1039">
        <f>MOD(DAY(datos_siembra[[#This Row],[Date]]),7)</f>
        <v>1</v>
      </c>
      <c r="Q1039" t="str">
        <f>CHOOSE(WEEKDAY(datos_siembra[[#This Row],[Date]],2),"L","M","X","J","V","S","D")</f>
        <v>D</v>
      </c>
      <c r="R1039">
        <f>WEEKNUM(datos_siembra[[#This Row],[Date]],2)-WEEKNUM(DATE(YEAR(datos_siembra[[#This Row],[Date]]),MONTH(datos_siembra[[#This Row],[Date]]),1))+1</f>
        <v>2</v>
      </c>
      <c r="S1039">
        <f>MONTH(datos_siembra[[#This Row],[Date]])</f>
        <v>9</v>
      </c>
      <c r="T1039" t="str" cm="1">
        <f t="array" ref="T1039">_xlfn.IFS(AND(N1039&lt;= 22, S1039=9), "SOWING",AND(N1039&lt;= 28, S1039=9), "COVERAGE",AND(N1039&lt;= 30, S1039=9), "FLUSH",AND(N1039&lt;= 11, S1039=10), "FLUSH",AND(N1039&lt;= 21, S1039=10), "PRODUCTION")</f>
        <v>SOWING</v>
      </c>
      <c r="U1039">
        <f>HOUR(datos_siembra[[#This Row],[Hour]])</f>
        <v>18</v>
      </c>
      <c r="V1039" cm="1">
        <f t="array" ref="V1039">_xlfn.IFS(AND(N1039&lt;= 22, S1039=9), N1039-7,AND(N1039&lt;= 28, S1039=9), N1039-25,AND(N1039&lt;= 30, S1039=9), N1039-28,AND(N1039&lt;= 11, S1039=10), N1039+2,AND(N1039&lt;= 21, S1039=10), N1039-11)</f>
        <v>8</v>
      </c>
    </row>
    <row r="1040" spans="1:22" x14ac:dyDescent="0.35">
      <c r="A1040" s="4">
        <v>45550</v>
      </c>
      <c r="B1040" s="5">
        <v>0.76925925925925931</v>
      </c>
      <c r="C1040">
        <v>79.400000000000006</v>
      </c>
      <c r="D1040">
        <v>75.900000000000006</v>
      </c>
      <c r="E1040">
        <v>80.400000000000006</v>
      </c>
      <c r="F1040">
        <v>79</v>
      </c>
      <c r="G1040">
        <v>0</v>
      </c>
      <c r="H1040">
        <v>0</v>
      </c>
      <c r="I1040">
        <v>0</v>
      </c>
      <c r="J1040">
        <v>0</v>
      </c>
      <c r="K1040">
        <v>64.599999999999994</v>
      </c>
      <c r="L1040">
        <v>63.3</v>
      </c>
      <c r="M1040">
        <v>78.739999999999995</v>
      </c>
      <c r="N1040">
        <v>15</v>
      </c>
      <c r="O1040">
        <v>5</v>
      </c>
      <c r="P1040">
        <f>MOD(DAY(datos_siembra[[#This Row],[Date]]),7)</f>
        <v>1</v>
      </c>
      <c r="Q1040" t="str">
        <f>CHOOSE(WEEKDAY(datos_siembra[[#This Row],[Date]],2),"L","M","X","J","V","S","D")</f>
        <v>D</v>
      </c>
      <c r="R1040">
        <f>WEEKNUM(datos_siembra[[#This Row],[Date]],2)-WEEKNUM(DATE(YEAR(datos_siembra[[#This Row],[Date]]),MONTH(datos_siembra[[#This Row],[Date]]),1))+1</f>
        <v>2</v>
      </c>
      <c r="S1040">
        <f>MONTH(datos_siembra[[#This Row],[Date]])</f>
        <v>9</v>
      </c>
      <c r="T1040" t="str" cm="1">
        <f t="array" ref="T1040">_xlfn.IFS(AND(N1040&lt;= 22, S1040=9), "SOWING",AND(N1040&lt;= 28, S1040=9), "COVERAGE",AND(N1040&lt;= 30, S1040=9), "FLUSH",AND(N1040&lt;= 11, S1040=10), "FLUSH",AND(N1040&lt;= 21, S1040=10), "PRODUCTION")</f>
        <v>SOWING</v>
      </c>
      <c r="U1040">
        <f>HOUR(datos_siembra[[#This Row],[Hour]])</f>
        <v>18</v>
      </c>
      <c r="V1040" cm="1">
        <f t="array" ref="V1040">_xlfn.IFS(AND(N1040&lt;= 22, S1040=9), N1040-7,AND(N1040&lt;= 28, S1040=9), N1040-25,AND(N1040&lt;= 30, S1040=9), N1040-28,AND(N1040&lt;= 11, S1040=10), N1040+2,AND(N1040&lt;= 21, S1040=10), N1040-11)</f>
        <v>8</v>
      </c>
    </row>
    <row r="1041" spans="1:22" x14ac:dyDescent="0.35">
      <c r="A1041" s="4">
        <v>45550</v>
      </c>
      <c r="B1041" s="5">
        <v>0.77621527777777777</v>
      </c>
      <c r="C1041">
        <v>79.5</v>
      </c>
      <c r="D1041">
        <v>76</v>
      </c>
      <c r="E1041">
        <v>80.400000000000006</v>
      </c>
      <c r="F1041">
        <v>79</v>
      </c>
      <c r="G1041">
        <v>0</v>
      </c>
      <c r="H1041">
        <v>0</v>
      </c>
      <c r="I1041">
        <v>0</v>
      </c>
      <c r="J1041">
        <v>0</v>
      </c>
      <c r="K1041">
        <v>64.900000000000006</v>
      </c>
      <c r="L1041">
        <v>63.4</v>
      </c>
      <c r="M1041">
        <v>78.69</v>
      </c>
      <c r="N1041">
        <v>15</v>
      </c>
      <c r="O1041">
        <v>5</v>
      </c>
      <c r="P1041">
        <f>MOD(DAY(datos_siembra[[#This Row],[Date]]),7)</f>
        <v>1</v>
      </c>
      <c r="Q1041" t="str">
        <f>CHOOSE(WEEKDAY(datos_siembra[[#This Row],[Date]],2),"L","M","X","J","V","S","D")</f>
        <v>D</v>
      </c>
      <c r="R1041">
        <f>WEEKNUM(datos_siembra[[#This Row],[Date]],2)-WEEKNUM(DATE(YEAR(datos_siembra[[#This Row],[Date]]),MONTH(datos_siembra[[#This Row],[Date]]),1))+1</f>
        <v>2</v>
      </c>
      <c r="S1041">
        <f>MONTH(datos_siembra[[#This Row],[Date]])</f>
        <v>9</v>
      </c>
      <c r="T1041" t="str" cm="1">
        <f t="array" ref="T1041">_xlfn.IFS(AND(N1041&lt;= 22, S1041=9), "SOWING",AND(N1041&lt;= 28, S1041=9), "COVERAGE",AND(N1041&lt;= 30, S1041=9), "FLUSH",AND(N1041&lt;= 11, S1041=10), "FLUSH",AND(N1041&lt;= 21, S1041=10), "PRODUCTION")</f>
        <v>SOWING</v>
      </c>
      <c r="U1041">
        <f>HOUR(datos_siembra[[#This Row],[Hour]])</f>
        <v>18</v>
      </c>
      <c r="V1041" cm="1">
        <f t="array" ref="V1041">_xlfn.IFS(AND(N1041&lt;= 22, S1041=9), N1041-7,AND(N1041&lt;= 28, S1041=9), N1041-25,AND(N1041&lt;= 30, S1041=9), N1041-28,AND(N1041&lt;= 11, S1041=10), N1041+2,AND(N1041&lt;= 21, S1041=10), N1041-11)</f>
        <v>8</v>
      </c>
    </row>
    <row r="1042" spans="1:22" x14ac:dyDescent="0.35">
      <c r="A1042" s="4">
        <v>45550</v>
      </c>
      <c r="B1042" s="5">
        <v>0.78315972222222219</v>
      </c>
      <c r="C1042">
        <v>79.5</v>
      </c>
      <c r="D1042">
        <v>75.900000000000006</v>
      </c>
      <c r="E1042">
        <v>80.5</v>
      </c>
      <c r="F1042">
        <v>79</v>
      </c>
      <c r="G1042">
        <v>0</v>
      </c>
      <c r="H1042">
        <v>0</v>
      </c>
      <c r="I1042">
        <v>0</v>
      </c>
      <c r="J1042">
        <v>0</v>
      </c>
      <c r="K1042">
        <v>64.900000000000006</v>
      </c>
      <c r="L1042">
        <v>63.5</v>
      </c>
      <c r="M1042">
        <v>78.72</v>
      </c>
      <c r="N1042">
        <v>15</v>
      </c>
      <c r="O1042">
        <v>5</v>
      </c>
      <c r="P1042">
        <f>MOD(DAY(datos_siembra[[#This Row],[Date]]),7)</f>
        <v>1</v>
      </c>
      <c r="Q1042" t="str">
        <f>CHOOSE(WEEKDAY(datos_siembra[[#This Row],[Date]],2),"L","M","X","J","V","S","D")</f>
        <v>D</v>
      </c>
      <c r="R1042">
        <f>WEEKNUM(datos_siembra[[#This Row],[Date]],2)-WEEKNUM(DATE(YEAR(datos_siembra[[#This Row],[Date]]),MONTH(datos_siembra[[#This Row],[Date]]),1))+1</f>
        <v>2</v>
      </c>
      <c r="S1042">
        <f>MONTH(datos_siembra[[#This Row],[Date]])</f>
        <v>9</v>
      </c>
      <c r="T1042" t="str" cm="1">
        <f t="array" ref="T1042">_xlfn.IFS(AND(N1042&lt;= 22, S1042=9), "SOWING",AND(N1042&lt;= 28, S1042=9), "COVERAGE",AND(N1042&lt;= 30, S1042=9), "FLUSH",AND(N1042&lt;= 11, S1042=10), "FLUSH",AND(N1042&lt;= 21, S1042=10), "PRODUCTION")</f>
        <v>SOWING</v>
      </c>
      <c r="U1042">
        <f>HOUR(datos_siembra[[#This Row],[Hour]])</f>
        <v>18</v>
      </c>
      <c r="V1042" cm="1">
        <f t="array" ref="V1042">_xlfn.IFS(AND(N1042&lt;= 22, S1042=9), N1042-7,AND(N1042&lt;= 28, S1042=9), N1042-25,AND(N1042&lt;= 30, S1042=9), N1042-28,AND(N1042&lt;= 11, S1042=10), N1042+2,AND(N1042&lt;= 21, S1042=10), N1042-11)</f>
        <v>8</v>
      </c>
    </row>
    <row r="1043" spans="1:22" x14ac:dyDescent="0.35">
      <c r="A1043" s="4">
        <v>45550</v>
      </c>
      <c r="B1043" s="5">
        <v>0.79010416666666672</v>
      </c>
      <c r="C1043">
        <v>79.5</v>
      </c>
      <c r="D1043">
        <v>75.900000000000006</v>
      </c>
      <c r="E1043">
        <v>80.3</v>
      </c>
      <c r="F1043">
        <v>79.099999999999994</v>
      </c>
      <c r="G1043">
        <v>0</v>
      </c>
      <c r="H1043">
        <v>0</v>
      </c>
      <c r="I1043">
        <v>0</v>
      </c>
      <c r="J1043">
        <v>0</v>
      </c>
      <c r="K1043">
        <v>64.900000000000006</v>
      </c>
      <c r="L1043">
        <v>63.5</v>
      </c>
      <c r="M1043">
        <v>78.69</v>
      </c>
      <c r="N1043">
        <v>15</v>
      </c>
      <c r="O1043">
        <v>5</v>
      </c>
      <c r="P1043">
        <f>MOD(DAY(datos_siembra[[#This Row],[Date]]),7)</f>
        <v>1</v>
      </c>
      <c r="Q1043" t="str">
        <f>CHOOSE(WEEKDAY(datos_siembra[[#This Row],[Date]],2),"L","M","X","J","V","S","D")</f>
        <v>D</v>
      </c>
      <c r="R1043">
        <f>WEEKNUM(datos_siembra[[#This Row],[Date]],2)-WEEKNUM(DATE(YEAR(datos_siembra[[#This Row],[Date]]),MONTH(datos_siembra[[#This Row],[Date]]),1))+1</f>
        <v>2</v>
      </c>
      <c r="S1043">
        <f>MONTH(datos_siembra[[#This Row],[Date]])</f>
        <v>9</v>
      </c>
      <c r="T1043" t="str" cm="1">
        <f t="array" ref="T1043">_xlfn.IFS(AND(N1043&lt;= 22, S1043=9), "SOWING",AND(N1043&lt;= 28, S1043=9), "COVERAGE",AND(N1043&lt;= 30, S1043=9), "FLUSH",AND(N1043&lt;= 11, S1043=10), "FLUSH",AND(N1043&lt;= 21, S1043=10), "PRODUCTION")</f>
        <v>SOWING</v>
      </c>
      <c r="U1043">
        <f>HOUR(datos_siembra[[#This Row],[Hour]])</f>
        <v>18</v>
      </c>
      <c r="V1043" cm="1">
        <f t="array" ref="V1043">_xlfn.IFS(AND(N1043&lt;= 22, S1043=9), N1043-7,AND(N1043&lt;= 28, S1043=9), N1043-25,AND(N1043&lt;= 30, S1043=9), N1043-28,AND(N1043&lt;= 11, S1043=10), N1043+2,AND(N1043&lt;= 21, S1043=10), N1043-11)</f>
        <v>8</v>
      </c>
    </row>
    <row r="1044" spans="1:22" x14ac:dyDescent="0.35">
      <c r="A1044" s="4">
        <v>45550</v>
      </c>
      <c r="B1044" s="5">
        <v>0.79706018518518518</v>
      </c>
      <c r="C1044">
        <v>79.599999999999994</v>
      </c>
      <c r="D1044">
        <v>75.599999999999994</v>
      </c>
      <c r="E1044">
        <v>80.400000000000006</v>
      </c>
      <c r="F1044">
        <v>79.099999999999994</v>
      </c>
      <c r="G1044">
        <v>0</v>
      </c>
      <c r="H1044">
        <v>0</v>
      </c>
      <c r="I1044">
        <v>0</v>
      </c>
      <c r="J1044">
        <v>0</v>
      </c>
      <c r="K1044">
        <v>64.900000000000006</v>
      </c>
      <c r="L1044">
        <v>63.5</v>
      </c>
      <c r="M1044">
        <v>78.69</v>
      </c>
      <c r="N1044">
        <v>15</v>
      </c>
      <c r="O1044">
        <v>5</v>
      </c>
      <c r="P1044">
        <f>MOD(DAY(datos_siembra[[#This Row],[Date]]),7)</f>
        <v>1</v>
      </c>
      <c r="Q1044" t="str">
        <f>CHOOSE(WEEKDAY(datos_siembra[[#This Row],[Date]],2),"L","M","X","J","V","S","D")</f>
        <v>D</v>
      </c>
      <c r="R1044">
        <f>WEEKNUM(datos_siembra[[#This Row],[Date]],2)-WEEKNUM(DATE(YEAR(datos_siembra[[#This Row],[Date]]),MONTH(datos_siembra[[#This Row],[Date]]),1))+1</f>
        <v>2</v>
      </c>
      <c r="S1044">
        <f>MONTH(datos_siembra[[#This Row],[Date]])</f>
        <v>9</v>
      </c>
      <c r="T1044" t="str" cm="1">
        <f t="array" ref="T1044">_xlfn.IFS(AND(N1044&lt;= 22, S1044=9), "SOWING",AND(N1044&lt;= 28, S1044=9), "COVERAGE",AND(N1044&lt;= 30, S1044=9), "FLUSH",AND(N1044&lt;= 11, S1044=10), "FLUSH",AND(N1044&lt;= 21, S1044=10), "PRODUCTION")</f>
        <v>SOWING</v>
      </c>
      <c r="U1044">
        <f>HOUR(datos_siembra[[#This Row],[Hour]])</f>
        <v>19</v>
      </c>
      <c r="V1044" cm="1">
        <f t="array" ref="V1044">_xlfn.IFS(AND(N1044&lt;= 22, S1044=9), N1044-7,AND(N1044&lt;= 28, S1044=9), N1044-25,AND(N1044&lt;= 30, S1044=9), N1044-28,AND(N1044&lt;= 11, S1044=10), N1044+2,AND(N1044&lt;= 21, S1044=10), N1044-11)</f>
        <v>8</v>
      </c>
    </row>
    <row r="1045" spans="1:22" x14ac:dyDescent="0.35">
      <c r="A1045" s="4">
        <v>45550</v>
      </c>
      <c r="B1045" s="5">
        <v>0.8040046296296296</v>
      </c>
      <c r="C1045">
        <v>79.400000000000006</v>
      </c>
      <c r="D1045">
        <v>75.900000000000006</v>
      </c>
      <c r="E1045">
        <v>80.400000000000006</v>
      </c>
      <c r="F1045">
        <v>79</v>
      </c>
      <c r="G1045">
        <v>0</v>
      </c>
      <c r="H1045">
        <v>0</v>
      </c>
      <c r="I1045">
        <v>0</v>
      </c>
      <c r="J1045">
        <v>0</v>
      </c>
      <c r="K1045">
        <v>64.900000000000006</v>
      </c>
      <c r="L1045">
        <v>63.5</v>
      </c>
      <c r="M1045">
        <v>78.69</v>
      </c>
      <c r="N1045">
        <v>15</v>
      </c>
      <c r="O1045">
        <v>5</v>
      </c>
      <c r="P1045">
        <f>MOD(DAY(datos_siembra[[#This Row],[Date]]),7)</f>
        <v>1</v>
      </c>
      <c r="Q1045" t="str">
        <f>CHOOSE(WEEKDAY(datos_siembra[[#This Row],[Date]],2),"L","M","X","J","V","S","D")</f>
        <v>D</v>
      </c>
      <c r="R1045">
        <f>WEEKNUM(datos_siembra[[#This Row],[Date]],2)-WEEKNUM(DATE(YEAR(datos_siembra[[#This Row],[Date]]),MONTH(datos_siembra[[#This Row],[Date]]),1))+1</f>
        <v>2</v>
      </c>
      <c r="S1045">
        <f>MONTH(datos_siembra[[#This Row],[Date]])</f>
        <v>9</v>
      </c>
      <c r="T1045" t="str" cm="1">
        <f t="array" ref="T1045">_xlfn.IFS(AND(N1045&lt;= 22, S1045=9), "SOWING",AND(N1045&lt;= 28, S1045=9), "COVERAGE",AND(N1045&lt;= 30, S1045=9), "FLUSH",AND(N1045&lt;= 11, S1045=10), "FLUSH",AND(N1045&lt;= 21, S1045=10), "PRODUCTION")</f>
        <v>SOWING</v>
      </c>
      <c r="U1045">
        <f>HOUR(datos_siembra[[#This Row],[Hour]])</f>
        <v>19</v>
      </c>
      <c r="V1045" cm="1">
        <f t="array" ref="V1045">_xlfn.IFS(AND(N1045&lt;= 22, S1045=9), N1045-7,AND(N1045&lt;= 28, S1045=9), N1045-25,AND(N1045&lt;= 30, S1045=9), N1045-28,AND(N1045&lt;= 11, S1045=10), N1045+2,AND(N1045&lt;= 21, S1045=10), N1045-11)</f>
        <v>8</v>
      </c>
    </row>
    <row r="1046" spans="1:22" x14ac:dyDescent="0.35">
      <c r="A1046" s="4">
        <v>45550</v>
      </c>
      <c r="B1046" s="5">
        <v>0.81094907407407413</v>
      </c>
      <c r="C1046">
        <v>79.5</v>
      </c>
      <c r="D1046">
        <v>75.8</v>
      </c>
      <c r="E1046">
        <v>80.400000000000006</v>
      </c>
      <c r="F1046">
        <v>79.099999999999994</v>
      </c>
      <c r="G1046">
        <v>0</v>
      </c>
      <c r="H1046">
        <v>0</v>
      </c>
      <c r="I1046">
        <v>0</v>
      </c>
      <c r="J1046">
        <v>0</v>
      </c>
      <c r="K1046">
        <v>64.900000000000006</v>
      </c>
      <c r="L1046">
        <v>63.7</v>
      </c>
      <c r="M1046">
        <v>78.739999999999995</v>
      </c>
      <c r="N1046">
        <v>15</v>
      </c>
      <c r="O1046">
        <v>5</v>
      </c>
      <c r="P1046">
        <f>MOD(DAY(datos_siembra[[#This Row],[Date]]),7)</f>
        <v>1</v>
      </c>
      <c r="Q1046" t="str">
        <f>CHOOSE(WEEKDAY(datos_siembra[[#This Row],[Date]],2),"L","M","X","J","V","S","D")</f>
        <v>D</v>
      </c>
      <c r="R1046">
        <f>WEEKNUM(datos_siembra[[#This Row],[Date]],2)-WEEKNUM(DATE(YEAR(datos_siembra[[#This Row],[Date]]),MONTH(datos_siembra[[#This Row],[Date]]),1))+1</f>
        <v>2</v>
      </c>
      <c r="S1046">
        <f>MONTH(datos_siembra[[#This Row],[Date]])</f>
        <v>9</v>
      </c>
      <c r="T1046" t="str" cm="1">
        <f t="array" ref="T1046">_xlfn.IFS(AND(N1046&lt;= 22, S1046=9), "SOWING",AND(N1046&lt;= 28, S1046=9), "COVERAGE",AND(N1046&lt;= 30, S1046=9), "FLUSH",AND(N1046&lt;= 11, S1046=10), "FLUSH",AND(N1046&lt;= 21, S1046=10), "PRODUCTION")</f>
        <v>SOWING</v>
      </c>
      <c r="U1046">
        <f>HOUR(datos_siembra[[#This Row],[Hour]])</f>
        <v>19</v>
      </c>
      <c r="V1046" cm="1">
        <f t="array" ref="V1046">_xlfn.IFS(AND(N1046&lt;= 22, S1046=9), N1046-7,AND(N1046&lt;= 28, S1046=9), N1046-25,AND(N1046&lt;= 30, S1046=9), N1046-28,AND(N1046&lt;= 11, S1046=10), N1046+2,AND(N1046&lt;= 21, S1046=10), N1046-11)</f>
        <v>8</v>
      </c>
    </row>
    <row r="1047" spans="1:22" x14ac:dyDescent="0.35">
      <c r="A1047" s="4">
        <v>45550</v>
      </c>
      <c r="B1047" s="5">
        <v>0.81789351851851855</v>
      </c>
      <c r="C1047">
        <v>79.599999999999994</v>
      </c>
      <c r="D1047">
        <v>75.8</v>
      </c>
      <c r="E1047">
        <v>80.5</v>
      </c>
      <c r="F1047">
        <v>79.099999999999994</v>
      </c>
      <c r="G1047">
        <v>0</v>
      </c>
      <c r="H1047">
        <v>0</v>
      </c>
      <c r="I1047">
        <v>0</v>
      </c>
      <c r="J1047">
        <v>0</v>
      </c>
      <c r="K1047">
        <v>64.900000000000006</v>
      </c>
      <c r="L1047">
        <v>63.5</v>
      </c>
      <c r="M1047">
        <v>78.66</v>
      </c>
      <c r="N1047">
        <v>15</v>
      </c>
      <c r="O1047">
        <v>5</v>
      </c>
      <c r="P1047">
        <f>MOD(DAY(datos_siembra[[#This Row],[Date]]),7)</f>
        <v>1</v>
      </c>
      <c r="Q1047" t="str">
        <f>CHOOSE(WEEKDAY(datos_siembra[[#This Row],[Date]],2),"L","M","X","J","V","S","D")</f>
        <v>D</v>
      </c>
      <c r="R1047">
        <f>WEEKNUM(datos_siembra[[#This Row],[Date]],2)-WEEKNUM(DATE(YEAR(datos_siembra[[#This Row],[Date]]),MONTH(datos_siembra[[#This Row],[Date]]),1))+1</f>
        <v>2</v>
      </c>
      <c r="S1047">
        <f>MONTH(datos_siembra[[#This Row],[Date]])</f>
        <v>9</v>
      </c>
      <c r="T1047" t="str" cm="1">
        <f t="array" ref="T1047">_xlfn.IFS(AND(N1047&lt;= 22, S1047=9), "SOWING",AND(N1047&lt;= 28, S1047=9), "COVERAGE",AND(N1047&lt;= 30, S1047=9), "FLUSH",AND(N1047&lt;= 11, S1047=10), "FLUSH",AND(N1047&lt;= 21, S1047=10), "PRODUCTION")</f>
        <v>SOWING</v>
      </c>
      <c r="U1047">
        <f>HOUR(datos_siembra[[#This Row],[Hour]])</f>
        <v>19</v>
      </c>
      <c r="V1047" cm="1">
        <f t="array" ref="V1047">_xlfn.IFS(AND(N1047&lt;= 22, S1047=9), N1047-7,AND(N1047&lt;= 28, S1047=9), N1047-25,AND(N1047&lt;= 30, S1047=9), N1047-28,AND(N1047&lt;= 11, S1047=10), N1047+2,AND(N1047&lt;= 21, S1047=10), N1047-11)</f>
        <v>8</v>
      </c>
    </row>
    <row r="1048" spans="1:22" x14ac:dyDescent="0.35">
      <c r="A1048" s="4">
        <v>45550</v>
      </c>
      <c r="B1048" s="5">
        <v>0.82484953703703701</v>
      </c>
      <c r="C1048">
        <v>79.599999999999994</v>
      </c>
      <c r="D1048">
        <v>75.8</v>
      </c>
      <c r="E1048">
        <v>80.3</v>
      </c>
      <c r="F1048">
        <v>79</v>
      </c>
      <c r="G1048">
        <v>0</v>
      </c>
      <c r="H1048">
        <v>0</v>
      </c>
      <c r="I1048">
        <v>0</v>
      </c>
      <c r="J1048">
        <v>0</v>
      </c>
      <c r="K1048">
        <v>64.900000000000006</v>
      </c>
      <c r="L1048">
        <v>63.4</v>
      </c>
      <c r="M1048">
        <v>78.63</v>
      </c>
      <c r="N1048">
        <v>15</v>
      </c>
      <c r="O1048">
        <v>5</v>
      </c>
      <c r="P1048">
        <f>MOD(DAY(datos_siembra[[#This Row],[Date]]),7)</f>
        <v>1</v>
      </c>
      <c r="Q1048" t="str">
        <f>CHOOSE(WEEKDAY(datos_siembra[[#This Row],[Date]],2),"L","M","X","J","V","S","D")</f>
        <v>D</v>
      </c>
      <c r="R1048">
        <f>WEEKNUM(datos_siembra[[#This Row],[Date]],2)-WEEKNUM(DATE(YEAR(datos_siembra[[#This Row],[Date]]),MONTH(datos_siembra[[#This Row],[Date]]),1))+1</f>
        <v>2</v>
      </c>
      <c r="S1048">
        <f>MONTH(datos_siembra[[#This Row],[Date]])</f>
        <v>9</v>
      </c>
      <c r="T1048" t="str" cm="1">
        <f t="array" ref="T1048">_xlfn.IFS(AND(N1048&lt;= 22, S1048=9), "SOWING",AND(N1048&lt;= 28, S1048=9), "COVERAGE",AND(N1048&lt;= 30, S1048=9), "FLUSH",AND(N1048&lt;= 11, S1048=10), "FLUSH",AND(N1048&lt;= 21, S1048=10), "PRODUCTION")</f>
        <v>SOWING</v>
      </c>
      <c r="U1048">
        <f>HOUR(datos_siembra[[#This Row],[Hour]])</f>
        <v>19</v>
      </c>
      <c r="V1048" cm="1">
        <f t="array" ref="V1048">_xlfn.IFS(AND(N1048&lt;= 22, S1048=9), N1048-7,AND(N1048&lt;= 28, S1048=9), N1048-25,AND(N1048&lt;= 30, S1048=9), N1048-28,AND(N1048&lt;= 11, S1048=10), N1048+2,AND(N1048&lt;= 21, S1048=10), N1048-11)</f>
        <v>8</v>
      </c>
    </row>
    <row r="1049" spans="1:22" x14ac:dyDescent="0.35">
      <c r="A1049" s="4">
        <v>45550</v>
      </c>
      <c r="B1049" s="5">
        <v>0.83179398148148154</v>
      </c>
      <c r="C1049">
        <v>79.5</v>
      </c>
      <c r="D1049">
        <v>75.8</v>
      </c>
      <c r="E1049">
        <v>80.400000000000006</v>
      </c>
      <c r="F1049">
        <v>79.099999999999994</v>
      </c>
      <c r="G1049">
        <v>0</v>
      </c>
      <c r="H1049">
        <v>0</v>
      </c>
      <c r="I1049">
        <v>0</v>
      </c>
      <c r="J1049">
        <v>0</v>
      </c>
      <c r="K1049">
        <v>64.900000000000006</v>
      </c>
      <c r="L1049">
        <v>63.5</v>
      </c>
      <c r="M1049">
        <v>78.69</v>
      </c>
      <c r="N1049">
        <v>15</v>
      </c>
      <c r="O1049">
        <v>5</v>
      </c>
      <c r="P1049">
        <f>MOD(DAY(datos_siembra[[#This Row],[Date]]),7)</f>
        <v>1</v>
      </c>
      <c r="Q1049" t="str">
        <f>CHOOSE(WEEKDAY(datos_siembra[[#This Row],[Date]],2),"L","M","X","J","V","S","D")</f>
        <v>D</v>
      </c>
      <c r="R1049">
        <f>WEEKNUM(datos_siembra[[#This Row],[Date]],2)-WEEKNUM(DATE(YEAR(datos_siembra[[#This Row],[Date]]),MONTH(datos_siembra[[#This Row],[Date]]),1))+1</f>
        <v>2</v>
      </c>
      <c r="S1049">
        <f>MONTH(datos_siembra[[#This Row],[Date]])</f>
        <v>9</v>
      </c>
      <c r="T1049" t="str" cm="1">
        <f t="array" ref="T1049">_xlfn.IFS(AND(N1049&lt;= 22, S1049=9), "SOWING",AND(N1049&lt;= 28, S1049=9), "COVERAGE",AND(N1049&lt;= 30, S1049=9), "FLUSH",AND(N1049&lt;= 11, S1049=10), "FLUSH",AND(N1049&lt;= 21, S1049=10), "PRODUCTION")</f>
        <v>SOWING</v>
      </c>
      <c r="U1049">
        <f>HOUR(datos_siembra[[#This Row],[Hour]])</f>
        <v>19</v>
      </c>
      <c r="V1049" cm="1">
        <f t="array" ref="V1049">_xlfn.IFS(AND(N1049&lt;= 22, S1049=9), N1049-7,AND(N1049&lt;= 28, S1049=9), N1049-25,AND(N1049&lt;= 30, S1049=9), N1049-28,AND(N1049&lt;= 11, S1049=10), N1049+2,AND(N1049&lt;= 21, S1049=10), N1049-11)</f>
        <v>8</v>
      </c>
    </row>
    <row r="1050" spans="1:22" x14ac:dyDescent="0.35">
      <c r="A1050" s="4">
        <v>45550</v>
      </c>
      <c r="B1050" s="5">
        <v>0.83873842592592596</v>
      </c>
      <c r="C1050">
        <v>79.400000000000006</v>
      </c>
      <c r="D1050">
        <v>75.8</v>
      </c>
      <c r="E1050">
        <v>80.3</v>
      </c>
      <c r="F1050">
        <v>79.099999999999994</v>
      </c>
      <c r="G1050">
        <v>0</v>
      </c>
      <c r="H1050">
        <v>0</v>
      </c>
      <c r="I1050">
        <v>0</v>
      </c>
      <c r="J1050">
        <v>0</v>
      </c>
      <c r="K1050">
        <v>64.900000000000006</v>
      </c>
      <c r="L1050">
        <v>63.3</v>
      </c>
      <c r="M1050">
        <v>78.569999999999993</v>
      </c>
      <c r="N1050">
        <v>15</v>
      </c>
      <c r="O1050">
        <v>5</v>
      </c>
      <c r="P1050">
        <f>MOD(DAY(datos_siembra[[#This Row],[Date]]),7)</f>
        <v>1</v>
      </c>
      <c r="Q1050" t="str">
        <f>CHOOSE(WEEKDAY(datos_siembra[[#This Row],[Date]],2),"L","M","X","J","V","S","D")</f>
        <v>D</v>
      </c>
      <c r="R1050">
        <f>WEEKNUM(datos_siembra[[#This Row],[Date]],2)-WEEKNUM(DATE(YEAR(datos_siembra[[#This Row],[Date]]),MONTH(datos_siembra[[#This Row],[Date]]),1))+1</f>
        <v>2</v>
      </c>
      <c r="S1050">
        <f>MONTH(datos_siembra[[#This Row],[Date]])</f>
        <v>9</v>
      </c>
      <c r="T1050" t="str" cm="1">
        <f t="array" ref="T1050">_xlfn.IFS(AND(N1050&lt;= 22, S1050=9), "SOWING",AND(N1050&lt;= 28, S1050=9), "COVERAGE",AND(N1050&lt;= 30, S1050=9), "FLUSH",AND(N1050&lt;= 11, S1050=10), "FLUSH",AND(N1050&lt;= 21, S1050=10), "PRODUCTION")</f>
        <v>SOWING</v>
      </c>
      <c r="U1050">
        <f>HOUR(datos_siembra[[#This Row],[Hour]])</f>
        <v>20</v>
      </c>
      <c r="V1050" cm="1">
        <f t="array" ref="V1050">_xlfn.IFS(AND(N1050&lt;= 22, S1050=9), N1050-7,AND(N1050&lt;= 28, S1050=9), N1050-25,AND(N1050&lt;= 30, S1050=9), N1050-28,AND(N1050&lt;= 11, S1050=10), N1050+2,AND(N1050&lt;= 21, S1050=10), N1050-11)</f>
        <v>8</v>
      </c>
    </row>
    <row r="1051" spans="1:22" x14ac:dyDescent="0.35">
      <c r="A1051" s="4">
        <v>45550</v>
      </c>
      <c r="B1051" s="5">
        <v>0.84569444444444442</v>
      </c>
      <c r="C1051">
        <v>79.400000000000006</v>
      </c>
      <c r="D1051">
        <v>75.599999999999994</v>
      </c>
      <c r="E1051">
        <v>80.099999999999994</v>
      </c>
      <c r="F1051">
        <v>79.099999999999994</v>
      </c>
      <c r="G1051">
        <v>0</v>
      </c>
      <c r="H1051">
        <v>0</v>
      </c>
      <c r="I1051">
        <v>0</v>
      </c>
      <c r="J1051">
        <v>0</v>
      </c>
      <c r="K1051">
        <v>64.7</v>
      </c>
      <c r="L1051">
        <v>63.3</v>
      </c>
      <c r="M1051">
        <v>78.72</v>
      </c>
      <c r="N1051">
        <v>15</v>
      </c>
      <c r="O1051">
        <v>5</v>
      </c>
      <c r="P1051">
        <f>MOD(DAY(datos_siembra[[#This Row],[Date]]),7)</f>
        <v>1</v>
      </c>
      <c r="Q1051" t="str">
        <f>CHOOSE(WEEKDAY(datos_siembra[[#This Row],[Date]],2),"L","M","X","J","V","S","D")</f>
        <v>D</v>
      </c>
      <c r="R1051">
        <f>WEEKNUM(datos_siembra[[#This Row],[Date]],2)-WEEKNUM(DATE(YEAR(datos_siembra[[#This Row],[Date]]),MONTH(datos_siembra[[#This Row],[Date]]),1))+1</f>
        <v>2</v>
      </c>
      <c r="S1051">
        <f>MONTH(datos_siembra[[#This Row],[Date]])</f>
        <v>9</v>
      </c>
      <c r="T1051" t="str" cm="1">
        <f t="array" ref="T1051">_xlfn.IFS(AND(N1051&lt;= 22, S1051=9), "SOWING",AND(N1051&lt;= 28, S1051=9), "COVERAGE",AND(N1051&lt;= 30, S1051=9), "FLUSH",AND(N1051&lt;= 11, S1051=10), "FLUSH",AND(N1051&lt;= 21, S1051=10), "PRODUCTION")</f>
        <v>SOWING</v>
      </c>
      <c r="U1051">
        <f>HOUR(datos_siembra[[#This Row],[Hour]])</f>
        <v>20</v>
      </c>
      <c r="V1051" cm="1">
        <f t="array" ref="V1051">_xlfn.IFS(AND(N1051&lt;= 22, S1051=9), N1051-7,AND(N1051&lt;= 28, S1051=9), N1051-25,AND(N1051&lt;= 30, S1051=9), N1051-28,AND(N1051&lt;= 11, S1051=10), N1051+2,AND(N1051&lt;= 21, S1051=10), N1051-11)</f>
        <v>8</v>
      </c>
    </row>
    <row r="1052" spans="1:22" x14ac:dyDescent="0.35">
      <c r="A1052" s="4">
        <v>45550</v>
      </c>
      <c r="B1052" s="5">
        <v>0.85263888888888884</v>
      </c>
      <c r="C1052">
        <v>79.599999999999994</v>
      </c>
      <c r="D1052">
        <v>75.8</v>
      </c>
      <c r="E1052">
        <v>80.3</v>
      </c>
      <c r="F1052">
        <v>78.900000000000006</v>
      </c>
      <c r="G1052">
        <v>0</v>
      </c>
      <c r="H1052">
        <v>0</v>
      </c>
      <c r="I1052">
        <v>0</v>
      </c>
      <c r="J1052">
        <v>0</v>
      </c>
      <c r="K1052">
        <v>64.7</v>
      </c>
      <c r="L1052">
        <v>63.3</v>
      </c>
      <c r="M1052">
        <v>78.66</v>
      </c>
      <c r="N1052">
        <v>15</v>
      </c>
      <c r="O1052">
        <v>5</v>
      </c>
      <c r="P1052">
        <f>MOD(DAY(datos_siembra[[#This Row],[Date]]),7)</f>
        <v>1</v>
      </c>
      <c r="Q1052" t="str">
        <f>CHOOSE(WEEKDAY(datos_siembra[[#This Row],[Date]],2),"L","M","X","J","V","S","D")</f>
        <v>D</v>
      </c>
      <c r="R1052">
        <f>WEEKNUM(datos_siembra[[#This Row],[Date]],2)-WEEKNUM(DATE(YEAR(datos_siembra[[#This Row],[Date]]),MONTH(datos_siembra[[#This Row],[Date]]),1))+1</f>
        <v>2</v>
      </c>
      <c r="S1052">
        <f>MONTH(datos_siembra[[#This Row],[Date]])</f>
        <v>9</v>
      </c>
      <c r="T1052" t="str" cm="1">
        <f t="array" ref="T1052">_xlfn.IFS(AND(N1052&lt;= 22, S1052=9), "SOWING",AND(N1052&lt;= 28, S1052=9), "COVERAGE",AND(N1052&lt;= 30, S1052=9), "FLUSH",AND(N1052&lt;= 11, S1052=10), "FLUSH",AND(N1052&lt;= 21, S1052=10), "PRODUCTION")</f>
        <v>SOWING</v>
      </c>
      <c r="U1052">
        <f>HOUR(datos_siembra[[#This Row],[Hour]])</f>
        <v>20</v>
      </c>
      <c r="V1052" cm="1">
        <f t="array" ref="V1052">_xlfn.IFS(AND(N1052&lt;= 22, S1052=9), N1052-7,AND(N1052&lt;= 28, S1052=9), N1052-25,AND(N1052&lt;= 30, S1052=9), N1052-28,AND(N1052&lt;= 11, S1052=10), N1052+2,AND(N1052&lt;= 21, S1052=10), N1052-11)</f>
        <v>8</v>
      </c>
    </row>
    <row r="1053" spans="1:22" x14ac:dyDescent="0.35">
      <c r="A1053" s="4">
        <v>45550</v>
      </c>
      <c r="B1053" s="5">
        <v>0.85958333333333337</v>
      </c>
      <c r="C1053">
        <v>79.5</v>
      </c>
      <c r="D1053">
        <v>75.599999999999994</v>
      </c>
      <c r="E1053">
        <v>80.099999999999994</v>
      </c>
      <c r="F1053">
        <v>79</v>
      </c>
      <c r="G1053">
        <v>0</v>
      </c>
      <c r="H1053">
        <v>0</v>
      </c>
      <c r="I1053">
        <v>0</v>
      </c>
      <c r="J1053">
        <v>0</v>
      </c>
      <c r="K1053">
        <v>64.900000000000006</v>
      </c>
      <c r="L1053">
        <v>63.3</v>
      </c>
      <c r="M1053">
        <v>78.63</v>
      </c>
      <c r="N1053">
        <v>15</v>
      </c>
      <c r="O1053">
        <v>5</v>
      </c>
      <c r="P1053">
        <f>MOD(DAY(datos_siembra[[#This Row],[Date]]),7)</f>
        <v>1</v>
      </c>
      <c r="Q1053" t="str">
        <f>CHOOSE(WEEKDAY(datos_siembra[[#This Row],[Date]],2),"L","M","X","J","V","S","D")</f>
        <v>D</v>
      </c>
      <c r="R1053">
        <f>WEEKNUM(datos_siembra[[#This Row],[Date]],2)-WEEKNUM(DATE(YEAR(datos_siembra[[#This Row],[Date]]),MONTH(datos_siembra[[#This Row],[Date]]),1))+1</f>
        <v>2</v>
      </c>
      <c r="S1053">
        <f>MONTH(datos_siembra[[#This Row],[Date]])</f>
        <v>9</v>
      </c>
      <c r="T1053" t="str" cm="1">
        <f t="array" ref="T1053">_xlfn.IFS(AND(N1053&lt;= 22, S1053=9), "SOWING",AND(N1053&lt;= 28, S1053=9), "COVERAGE",AND(N1053&lt;= 30, S1053=9), "FLUSH",AND(N1053&lt;= 11, S1053=10), "FLUSH",AND(N1053&lt;= 21, S1053=10), "PRODUCTION")</f>
        <v>SOWING</v>
      </c>
      <c r="U1053">
        <f>HOUR(datos_siembra[[#This Row],[Hour]])</f>
        <v>20</v>
      </c>
      <c r="V1053" cm="1">
        <f t="array" ref="V1053">_xlfn.IFS(AND(N1053&lt;= 22, S1053=9), N1053-7,AND(N1053&lt;= 28, S1053=9), N1053-25,AND(N1053&lt;= 30, S1053=9), N1053-28,AND(N1053&lt;= 11, S1053=10), N1053+2,AND(N1053&lt;= 21, S1053=10), N1053-11)</f>
        <v>8</v>
      </c>
    </row>
    <row r="1054" spans="1:22" x14ac:dyDescent="0.35">
      <c r="A1054" s="4">
        <v>45550</v>
      </c>
      <c r="B1054" s="5">
        <v>0.86652777777777779</v>
      </c>
      <c r="C1054">
        <v>79.400000000000006</v>
      </c>
      <c r="D1054">
        <v>75.8</v>
      </c>
      <c r="E1054">
        <v>80.3</v>
      </c>
      <c r="F1054">
        <v>79</v>
      </c>
      <c r="G1054">
        <v>0</v>
      </c>
      <c r="H1054">
        <v>0</v>
      </c>
      <c r="I1054">
        <v>0</v>
      </c>
      <c r="J1054">
        <v>0</v>
      </c>
      <c r="K1054">
        <v>64.7</v>
      </c>
      <c r="L1054">
        <v>63.3</v>
      </c>
      <c r="M1054">
        <v>78.599999999999994</v>
      </c>
      <c r="N1054">
        <v>15</v>
      </c>
      <c r="O1054">
        <v>5</v>
      </c>
      <c r="P1054">
        <f>MOD(DAY(datos_siembra[[#This Row],[Date]]),7)</f>
        <v>1</v>
      </c>
      <c r="Q1054" t="str">
        <f>CHOOSE(WEEKDAY(datos_siembra[[#This Row],[Date]],2),"L","M","X","J","V","S","D")</f>
        <v>D</v>
      </c>
      <c r="R1054">
        <f>WEEKNUM(datos_siembra[[#This Row],[Date]],2)-WEEKNUM(DATE(YEAR(datos_siembra[[#This Row],[Date]]),MONTH(datos_siembra[[#This Row],[Date]]),1))+1</f>
        <v>2</v>
      </c>
      <c r="S1054">
        <f>MONTH(datos_siembra[[#This Row],[Date]])</f>
        <v>9</v>
      </c>
      <c r="T1054" t="str" cm="1">
        <f t="array" ref="T1054">_xlfn.IFS(AND(N1054&lt;= 22, S1054=9), "SOWING",AND(N1054&lt;= 28, S1054=9), "COVERAGE",AND(N1054&lt;= 30, S1054=9), "FLUSH",AND(N1054&lt;= 11, S1054=10), "FLUSH",AND(N1054&lt;= 21, S1054=10), "PRODUCTION")</f>
        <v>SOWING</v>
      </c>
      <c r="U1054">
        <f>HOUR(datos_siembra[[#This Row],[Hour]])</f>
        <v>20</v>
      </c>
      <c r="V1054" cm="1">
        <f t="array" ref="V1054">_xlfn.IFS(AND(N1054&lt;= 22, S1054=9), N1054-7,AND(N1054&lt;= 28, S1054=9), N1054-25,AND(N1054&lt;= 30, S1054=9), N1054-28,AND(N1054&lt;= 11, S1054=10), N1054+2,AND(N1054&lt;= 21, S1054=10), N1054-11)</f>
        <v>8</v>
      </c>
    </row>
    <row r="1055" spans="1:22" x14ac:dyDescent="0.35">
      <c r="A1055" s="4">
        <v>45550</v>
      </c>
      <c r="B1055" s="5">
        <v>0.87348379629629624</v>
      </c>
      <c r="C1055">
        <v>79.5</v>
      </c>
      <c r="D1055">
        <v>75.599999999999994</v>
      </c>
      <c r="E1055">
        <v>80.099999999999994</v>
      </c>
      <c r="F1055">
        <v>79.099999999999994</v>
      </c>
      <c r="G1055">
        <v>0</v>
      </c>
      <c r="H1055">
        <v>0</v>
      </c>
      <c r="I1055">
        <v>0</v>
      </c>
      <c r="J1055">
        <v>0</v>
      </c>
      <c r="K1055">
        <v>64.7</v>
      </c>
      <c r="L1055">
        <v>63.3</v>
      </c>
      <c r="M1055">
        <v>78.599999999999994</v>
      </c>
      <c r="N1055">
        <v>15</v>
      </c>
      <c r="O1055">
        <v>5</v>
      </c>
      <c r="P1055">
        <f>MOD(DAY(datos_siembra[[#This Row],[Date]]),7)</f>
        <v>1</v>
      </c>
      <c r="Q1055" t="str">
        <f>CHOOSE(WEEKDAY(datos_siembra[[#This Row],[Date]],2),"L","M","X","J","V","S","D")</f>
        <v>D</v>
      </c>
      <c r="R1055">
        <f>WEEKNUM(datos_siembra[[#This Row],[Date]],2)-WEEKNUM(DATE(YEAR(datos_siembra[[#This Row],[Date]]),MONTH(datos_siembra[[#This Row],[Date]]),1))+1</f>
        <v>2</v>
      </c>
      <c r="S1055">
        <f>MONTH(datos_siembra[[#This Row],[Date]])</f>
        <v>9</v>
      </c>
      <c r="T1055" t="str" cm="1">
        <f t="array" ref="T1055">_xlfn.IFS(AND(N1055&lt;= 22, S1055=9), "SOWING",AND(N1055&lt;= 28, S1055=9), "COVERAGE",AND(N1055&lt;= 30, S1055=9), "FLUSH",AND(N1055&lt;= 11, S1055=10), "FLUSH",AND(N1055&lt;= 21, S1055=10), "PRODUCTION")</f>
        <v>SOWING</v>
      </c>
      <c r="U1055">
        <f>HOUR(datos_siembra[[#This Row],[Hour]])</f>
        <v>20</v>
      </c>
      <c r="V1055" cm="1">
        <f t="array" ref="V1055">_xlfn.IFS(AND(N1055&lt;= 22, S1055=9), N1055-7,AND(N1055&lt;= 28, S1055=9), N1055-25,AND(N1055&lt;= 30, S1055=9), N1055-28,AND(N1055&lt;= 11, S1055=10), N1055+2,AND(N1055&lt;= 21, S1055=10), N1055-11)</f>
        <v>8</v>
      </c>
    </row>
    <row r="1056" spans="1:22" x14ac:dyDescent="0.35">
      <c r="A1056" s="4">
        <v>45550</v>
      </c>
      <c r="B1056" s="5">
        <v>0.88042824074074078</v>
      </c>
      <c r="C1056">
        <v>79.5</v>
      </c>
      <c r="D1056">
        <v>75.599999999999994</v>
      </c>
      <c r="E1056">
        <v>80.099999999999994</v>
      </c>
      <c r="F1056">
        <v>79</v>
      </c>
      <c r="G1056">
        <v>0</v>
      </c>
      <c r="H1056">
        <v>0</v>
      </c>
      <c r="I1056">
        <v>0</v>
      </c>
      <c r="J1056">
        <v>0</v>
      </c>
      <c r="K1056">
        <v>64.599999999999994</v>
      </c>
      <c r="L1056">
        <v>63</v>
      </c>
      <c r="M1056">
        <v>78.52</v>
      </c>
      <c r="N1056">
        <v>15</v>
      </c>
      <c r="O1056">
        <v>5</v>
      </c>
      <c r="P1056">
        <f>MOD(DAY(datos_siembra[[#This Row],[Date]]),7)</f>
        <v>1</v>
      </c>
      <c r="Q1056" t="str">
        <f>CHOOSE(WEEKDAY(datos_siembra[[#This Row],[Date]],2),"L","M","X","J","V","S","D")</f>
        <v>D</v>
      </c>
      <c r="R1056">
        <f>WEEKNUM(datos_siembra[[#This Row],[Date]],2)-WEEKNUM(DATE(YEAR(datos_siembra[[#This Row],[Date]]),MONTH(datos_siembra[[#This Row],[Date]]),1))+1</f>
        <v>2</v>
      </c>
      <c r="S1056">
        <f>MONTH(datos_siembra[[#This Row],[Date]])</f>
        <v>9</v>
      </c>
      <c r="T1056" t="str" cm="1">
        <f t="array" ref="T1056">_xlfn.IFS(AND(N1056&lt;= 22, S1056=9), "SOWING",AND(N1056&lt;= 28, S1056=9), "COVERAGE",AND(N1056&lt;= 30, S1056=9), "FLUSH",AND(N1056&lt;= 11, S1056=10), "FLUSH",AND(N1056&lt;= 21, S1056=10), "PRODUCTION")</f>
        <v>SOWING</v>
      </c>
      <c r="U1056">
        <f>HOUR(datos_siembra[[#This Row],[Hour]])</f>
        <v>21</v>
      </c>
      <c r="V1056" cm="1">
        <f t="array" ref="V1056">_xlfn.IFS(AND(N1056&lt;= 22, S1056=9), N1056-7,AND(N1056&lt;= 28, S1056=9), N1056-25,AND(N1056&lt;= 30, S1056=9), N1056-28,AND(N1056&lt;= 11, S1056=10), N1056+2,AND(N1056&lt;= 21, S1056=10), N1056-11)</f>
        <v>8</v>
      </c>
    </row>
    <row r="1057" spans="1:22" x14ac:dyDescent="0.35">
      <c r="A1057" s="4">
        <v>45550</v>
      </c>
      <c r="B1057" s="5">
        <v>0.88737268518518519</v>
      </c>
      <c r="C1057">
        <v>79.400000000000006</v>
      </c>
      <c r="D1057">
        <v>75.900000000000006</v>
      </c>
      <c r="E1057">
        <v>80</v>
      </c>
      <c r="F1057">
        <v>79.099999999999994</v>
      </c>
      <c r="G1057">
        <v>0</v>
      </c>
      <c r="H1057">
        <v>0</v>
      </c>
      <c r="I1057">
        <v>0</v>
      </c>
      <c r="J1057">
        <v>0</v>
      </c>
      <c r="K1057">
        <v>64.599999999999994</v>
      </c>
      <c r="L1057">
        <v>63</v>
      </c>
      <c r="M1057">
        <v>78.599999999999994</v>
      </c>
      <c r="N1057">
        <v>15</v>
      </c>
      <c r="O1057">
        <v>5</v>
      </c>
      <c r="P1057">
        <f>MOD(DAY(datos_siembra[[#This Row],[Date]]),7)</f>
        <v>1</v>
      </c>
      <c r="Q1057" t="str">
        <f>CHOOSE(WEEKDAY(datos_siembra[[#This Row],[Date]],2),"L","M","X","J","V","S","D")</f>
        <v>D</v>
      </c>
      <c r="R1057">
        <f>WEEKNUM(datos_siembra[[#This Row],[Date]],2)-WEEKNUM(DATE(YEAR(datos_siembra[[#This Row],[Date]]),MONTH(datos_siembra[[#This Row],[Date]]),1))+1</f>
        <v>2</v>
      </c>
      <c r="S1057">
        <f>MONTH(datos_siembra[[#This Row],[Date]])</f>
        <v>9</v>
      </c>
      <c r="T1057" t="str" cm="1">
        <f t="array" ref="T1057">_xlfn.IFS(AND(N1057&lt;= 22, S1057=9), "SOWING",AND(N1057&lt;= 28, S1057=9), "COVERAGE",AND(N1057&lt;= 30, S1057=9), "FLUSH",AND(N1057&lt;= 11, S1057=10), "FLUSH",AND(N1057&lt;= 21, S1057=10), "PRODUCTION")</f>
        <v>SOWING</v>
      </c>
      <c r="U1057">
        <f>HOUR(datos_siembra[[#This Row],[Hour]])</f>
        <v>21</v>
      </c>
      <c r="V1057" cm="1">
        <f t="array" ref="V1057">_xlfn.IFS(AND(N1057&lt;= 22, S1057=9), N1057-7,AND(N1057&lt;= 28, S1057=9), N1057-25,AND(N1057&lt;= 30, S1057=9), N1057-28,AND(N1057&lt;= 11, S1057=10), N1057+2,AND(N1057&lt;= 21, S1057=10), N1057-11)</f>
        <v>8</v>
      </c>
    </row>
    <row r="1058" spans="1:22" x14ac:dyDescent="0.35">
      <c r="A1058" s="4">
        <v>45550</v>
      </c>
      <c r="B1058" s="5">
        <v>0.89431712962962961</v>
      </c>
      <c r="C1058">
        <v>79.3</v>
      </c>
      <c r="D1058">
        <v>75.8</v>
      </c>
      <c r="E1058">
        <v>80.099999999999994</v>
      </c>
      <c r="F1058">
        <v>79</v>
      </c>
      <c r="G1058">
        <v>0</v>
      </c>
      <c r="H1058">
        <v>0</v>
      </c>
      <c r="I1058">
        <v>0</v>
      </c>
      <c r="J1058">
        <v>0</v>
      </c>
      <c r="K1058">
        <v>64.599999999999994</v>
      </c>
      <c r="L1058">
        <v>63</v>
      </c>
      <c r="M1058">
        <v>78.599999999999994</v>
      </c>
      <c r="N1058">
        <v>15</v>
      </c>
      <c r="O1058">
        <v>5</v>
      </c>
      <c r="P1058">
        <f>MOD(DAY(datos_siembra[[#This Row],[Date]]),7)</f>
        <v>1</v>
      </c>
      <c r="Q1058" t="str">
        <f>CHOOSE(WEEKDAY(datos_siembra[[#This Row],[Date]],2),"L","M","X","J","V","S","D")</f>
        <v>D</v>
      </c>
      <c r="R1058">
        <f>WEEKNUM(datos_siembra[[#This Row],[Date]],2)-WEEKNUM(DATE(YEAR(datos_siembra[[#This Row],[Date]]),MONTH(datos_siembra[[#This Row],[Date]]),1))+1</f>
        <v>2</v>
      </c>
      <c r="S1058">
        <f>MONTH(datos_siembra[[#This Row],[Date]])</f>
        <v>9</v>
      </c>
      <c r="T1058" t="str" cm="1">
        <f t="array" ref="T1058">_xlfn.IFS(AND(N1058&lt;= 22, S1058=9), "SOWING",AND(N1058&lt;= 28, S1058=9), "COVERAGE",AND(N1058&lt;= 30, S1058=9), "FLUSH",AND(N1058&lt;= 11, S1058=10), "FLUSH",AND(N1058&lt;= 21, S1058=10), "PRODUCTION")</f>
        <v>SOWING</v>
      </c>
      <c r="U1058">
        <f>HOUR(datos_siembra[[#This Row],[Hour]])</f>
        <v>21</v>
      </c>
      <c r="V1058" cm="1">
        <f t="array" ref="V1058">_xlfn.IFS(AND(N1058&lt;= 22, S1058=9), N1058-7,AND(N1058&lt;= 28, S1058=9), N1058-25,AND(N1058&lt;= 30, S1058=9), N1058-28,AND(N1058&lt;= 11, S1058=10), N1058+2,AND(N1058&lt;= 21, S1058=10), N1058-11)</f>
        <v>8</v>
      </c>
    </row>
    <row r="1059" spans="1:22" x14ac:dyDescent="0.35">
      <c r="A1059" s="4">
        <v>45550</v>
      </c>
      <c r="B1059" s="5">
        <v>0.90127314814814818</v>
      </c>
      <c r="C1059">
        <v>79.5</v>
      </c>
      <c r="D1059">
        <v>75.599999999999994</v>
      </c>
      <c r="E1059">
        <v>80.099999999999994</v>
      </c>
      <c r="F1059">
        <v>79</v>
      </c>
      <c r="G1059">
        <v>0</v>
      </c>
      <c r="H1059">
        <v>0</v>
      </c>
      <c r="I1059">
        <v>0</v>
      </c>
      <c r="J1059">
        <v>0</v>
      </c>
      <c r="K1059">
        <v>64.5</v>
      </c>
      <c r="L1059">
        <v>62.9</v>
      </c>
      <c r="M1059">
        <v>78.599999999999994</v>
      </c>
      <c r="N1059">
        <v>15</v>
      </c>
      <c r="O1059">
        <v>5</v>
      </c>
      <c r="P1059">
        <f>MOD(DAY(datos_siembra[[#This Row],[Date]]),7)</f>
        <v>1</v>
      </c>
      <c r="Q1059" t="str">
        <f>CHOOSE(WEEKDAY(datos_siembra[[#This Row],[Date]],2),"L","M","X","J","V","S","D")</f>
        <v>D</v>
      </c>
      <c r="R1059">
        <f>WEEKNUM(datos_siembra[[#This Row],[Date]],2)-WEEKNUM(DATE(YEAR(datos_siembra[[#This Row],[Date]]),MONTH(datos_siembra[[#This Row],[Date]]),1))+1</f>
        <v>2</v>
      </c>
      <c r="S1059">
        <f>MONTH(datos_siembra[[#This Row],[Date]])</f>
        <v>9</v>
      </c>
      <c r="T1059" t="str" cm="1">
        <f t="array" ref="T1059">_xlfn.IFS(AND(N1059&lt;= 22, S1059=9), "SOWING",AND(N1059&lt;= 28, S1059=9), "COVERAGE",AND(N1059&lt;= 30, S1059=9), "FLUSH",AND(N1059&lt;= 11, S1059=10), "FLUSH",AND(N1059&lt;= 21, S1059=10), "PRODUCTION")</f>
        <v>SOWING</v>
      </c>
      <c r="U1059">
        <f>HOUR(datos_siembra[[#This Row],[Hour]])</f>
        <v>21</v>
      </c>
      <c r="V1059" cm="1">
        <f t="array" ref="V1059">_xlfn.IFS(AND(N1059&lt;= 22, S1059=9), N1059-7,AND(N1059&lt;= 28, S1059=9), N1059-25,AND(N1059&lt;= 30, S1059=9), N1059-28,AND(N1059&lt;= 11, S1059=10), N1059+2,AND(N1059&lt;= 21, S1059=10), N1059-11)</f>
        <v>8</v>
      </c>
    </row>
    <row r="1060" spans="1:22" x14ac:dyDescent="0.35">
      <c r="A1060" s="4">
        <v>45550</v>
      </c>
      <c r="B1060" s="5">
        <v>0.9082175925925926</v>
      </c>
      <c r="C1060">
        <v>79.400000000000006</v>
      </c>
      <c r="D1060">
        <v>75.8</v>
      </c>
      <c r="E1060">
        <v>80.099999999999994</v>
      </c>
      <c r="F1060">
        <v>78.900000000000006</v>
      </c>
      <c r="G1060">
        <v>0</v>
      </c>
      <c r="H1060">
        <v>0</v>
      </c>
      <c r="I1060">
        <v>0</v>
      </c>
      <c r="J1060">
        <v>0</v>
      </c>
      <c r="K1060">
        <v>64.599999999999994</v>
      </c>
      <c r="L1060">
        <v>63</v>
      </c>
      <c r="M1060">
        <v>78.569999999999993</v>
      </c>
      <c r="N1060">
        <v>15</v>
      </c>
      <c r="O1060">
        <v>5</v>
      </c>
      <c r="P1060">
        <f>MOD(DAY(datos_siembra[[#This Row],[Date]]),7)</f>
        <v>1</v>
      </c>
      <c r="Q1060" t="str">
        <f>CHOOSE(WEEKDAY(datos_siembra[[#This Row],[Date]],2),"L","M","X","J","V","S","D")</f>
        <v>D</v>
      </c>
      <c r="R1060">
        <f>WEEKNUM(datos_siembra[[#This Row],[Date]],2)-WEEKNUM(DATE(YEAR(datos_siembra[[#This Row],[Date]]),MONTH(datos_siembra[[#This Row],[Date]]),1))+1</f>
        <v>2</v>
      </c>
      <c r="S1060">
        <f>MONTH(datos_siembra[[#This Row],[Date]])</f>
        <v>9</v>
      </c>
      <c r="T1060" t="str" cm="1">
        <f t="array" ref="T1060">_xlfn.IFS(AND(N1060&lt;= 22, S1060=9), "SOWING",AND(N1060&lt;= 28, S1060=9), "COVERAGE",AND(N1060&lt;= 30, S1060=9), "FLUSH",AND(N1060&lt;= 11, S1060=10), "FLUSH",AND(N1060&lt;= 21, S1060=10), "PRODUCTION")</f>
        <v>SOWING</v>
      </c>
      <c r="U1060">
        <f>HOUR(datos_siembra[[#This Row],[Hour]])</f>
        <v>21</v>
      </c>
      <c r="V1060" cm="1">
        <f t="array" ref="V1060">_xlfn.IFS(AND(N1060&lt;= 22, S1060=9), N1060-7,AND(N1060&lt;= 28, S1060=9), N1060-25,AND(N1060&lt;= 30, S1060=9), N1060-28,AND(N1060&lt;= 11, S1060=10), N1060+2,AND(N1060&lt;= 21, S1060=10), N1060-11)</f>
        <v>8</v>
      </c>
    </row>
    <row r="1061" spans="1:22" x14ac:dyDescent="0.35">
      <c r="A1061" s="4">
        <v>45550</v>
      </c>
      <c r="B1061" s="5">
        <v>0.91516203703703702</v>
      </c>
      <c r="C1061">
        <v>79.400000000000006</v>
      </c>
      <c r="D1061">
        <v>75.900000000000006</v>
      </c>
      <c r="E1061">
        <v>80.099999999999994</v>
      </c>
      <c r="F1061">
        <v>78.900000000000006</v>
      </c>
      <c r="G1061">
        <v>0</v>
      </c>
      <c r="H1061">
        <v>0</v>
      </c>
      <c r="I1061">
        <v>0</v>
      </c>
      <c r="J1061">
        <v>0</v>
      </c>
      <c r="K1061">
        <v>64.5</v>
      </c>
      <c r="L1061">
        <v>63</v>
      </c>
      <c r="M1061">
        <v>78.489999999999995</v>
      </c>
      <c r="N1061">
        <v>15</v>
      </c>
      <c r="O1061">
        <v>5</v>
      </c>
      <c r="P1061">
        <f>MOD(DAY(datos_siembra[[#This Row],[Date]]),7)</f>
        <v>1</v>
      </c>
      <c r="Q1061" t="str">
        <f>CHOOSE(WEEKDAY(datos_siembra[[#This Row],[Date]],2),"L","M","X","J","V","S","D")</f>
        <v>D</v>
      </c>
      <c r="R1061">
        <f>WEEKNUM(datos_siembra[[#This Row],[Date]],2)-WEEKNUM(DATE(YEAR(datos_siembra[[#This Row],[Date]]),MONTH(datos_siembra[[#This Row],[Date]]),1))+1</f>
        <v>2</v>
      </c>
      <c r="S1061">
        <f>MONTH(datos_siembra[[#This Row],[Date]])</f>
        <v>9</v>
      </c>
      <c r="T1061" t="str" cm="1">
        <f t="array" ref="T1061">_xlfn.IFS(AND(N1061&lt;= 22, S1061=9), "SOWING",AND(N1061&lt;= 28, S1061=9), "COVERAGE",AND(N1061&lt;= 30, S1061=9), "FLUSH",AND(N1061&lt;= 11, S1061=10), "FLUSH",AND(N1061&lt;= 21, S1061=10), "PRODUCTION")</f>
        <v>SOWING</v>
      </c>
      <c r="U1061">
        <f>HOUR(datos_siembra[[#This Row],[Hour]])</f>
        <v>21</v>
      </c>
      <c r="V1061" cm="1">
        <f t="array" ref="V1061">_xlfn.IFS(AND(N1061&lt;= 22, S1061=9), N1061-7,AND(N1061&lt;= 28, S1061=9), N1061-25,AND(N1061&lt;= 30, S1061=9), N1061-28,AND(N1061&lt;= 11, S1061=10), N1061+2,AND(N1061&lt;= 21, S1061=10), N1061-11)</f>
        <v>8</v>
      </c>
    </row>
    <row r="1062" spans="1:22" x14ac:dyDescent="0.35">
      <c r="A1062" s="4">
        <v>45550</v>
      </c>
      <c r="B1062" s="5">
        <v>0.92211805555555559</v>
      </c>
      <c r="C1062">
        <v>79.400000000000006</v>
      </c>
      <c r="D1062">
        <v>75.599999999999994</v>
      </c>
      <c r="E1062">
        <v>80.099999999999994</v>
      </c>
      <c r="F1062">
        <v>79</v>
      </c>
      <c r="G1062">
        <v>0</v>
      </c>
      <c r="H1062">
        <v>0</v>
      </c>
      <c r="I1062">
        <v>0</v>
      </c>
      <c r="J1062">
        <v>0</v>
      </c>
      <c r="K1062">
        <v>64.5</v>
      </c>
      <c r="L1062">
        <v>62.9</v>
      </c>
      <c r="M1062">
        <v>78.55</v>
      </c>
      <c r="N1062">
        <v>15</v>
      </c>
      <c r="O1062">
        <v>5</v>
      </c>
      <c r="P1062">
        <f>MOD(DAY(datos_siembra[[#This Row],[Date]]),7)</f>
        <v>1</v>
      </c>
      <c r="Q1062" t="str">
        <f>CHOOSE(WEEKDAY(datos_siembra[[#This Row],[Date]],2),"L","M","X","J","V","S","D")</f>
        <v>D</v>
      </c>
      <c r="R1062">
        <f>WEEKNUM(datos_siembra[[#This Row],[Date]],2)-WEEKNUM(DATE(YEAR(datos_siembra[[#This Row],[Date]]),MONTH(datos_siembra[[#This Row],[Date]]),1))+1</f>
        <v>2</v>
      </c>
      <c r="S1062">
        <f>MONTH(datos_siembra[[#This Row],[Date]])</f>
        <v>9</v>
      </c>
      <c r="T1062" t="str" cm="1">
        <f t="array" ref="T1062">_xlfn.IFS(AND(N1062&lt;= 22, S1062=9), "SOWING",AND(N1062&lt;= 28, S1062=9), "COVERAGE",AND(N1062&lt;= 30, S1062=9), "FLUSH",AND(N1062&lt;= 11, S1062=10), "FLUSH",AND(N1062&lt;= 21, S1062=10), "PRODUCTION")</f>
        <v>SOWING</v>
      </c>
      <c r="U1062">
        <f>HOUR(datos_siembra[[#This Row],[Hour]])</f>
        <v>22</v>
      </c>
      <c r="V1062" cm="1">
        <f t="array" ref="V1062">_xlfn.IFS(AND(N1062&lt;= 22, S1062=9), N1062-7,AND(N1062&lt;= 28, S1062=9), N1062-25,AND(N1062&lt;= 30, S1062=9), N1062-28,AND(N1062&lt;= 11, S1062=10), N1062+2,AND(N1062&lt;= 21, S1062=10), N1062-11)</f>
        <v>8</v>
      </c>
    </row>
    <row r="1063" spans="1:22" x14ac:dyDescent="0.35">
      <c r="A1063" s="4">
        <v>45550</v>
      </c>
      <c r="B1063" s="5">
        <v>0.92906250000000001</v>
      </c>
      <c r="C1063">
        <v>79.400000000000006</v>
      </c>
      <c r="D1063">
        <v>75.8</v>
      </c>
      <c r="E1063">
        <v>80.099999999999994</v>
      </c>
      <c r="F1063">
        <v>79</v>
      </c>
      <c r="G1063">
        <v>0</v>
      </c>
      <c r="H1063">
        <v>0</v>
      </c>
      <c r="I1063">
        <v>0</v>
      </c>
      <c r="J1063">
        <v>0</v>
      </c>
      <c r="K1063">
        <v>64.5</v>
      </c>
      <c r="L1063">
        <v>62.8</v>
      </c>
      <c r="M1063">
        <v>78.569999999999993</v>
      </c>
      <c r="N1063">
        <v>15</v>
      </c>
      <c r="O1063">
        <v>5</v>
      </c>
      <c r="P1063">
        <f>MOD(DAY(datos_siembra[[#This Row],[Date]]),7)</f>
        <v>1</v>
      </c>
      <c r="Q1063" t="str">
        <f>CHOOSE(WEEKDAY(datos_siembra[[#This Row],[Date]],2),"L","M","X","J","V","S","D")</f>
        <v>D</v>
      </c>
      <c r="R1063">
        <f>WEEKNUM(datos_siembra[[#This Row],[Date]],2)-WEEKNUM(DATE(YEAR(datos_siembra[[#This Row],[Date]]),MONTH(datos_siembra[[#This Row],[Date]]),1))+1</f>
        <v>2</v>
      </c>
      <c r="S1063">
        <f>MONTH(datos_siembra[[#This Row],[Date]])</f>
        <v>9</v>
      </c>
      <c r="T1063" t="str" cm="1">
        <f t="array" ref="T1063">_xlfn.IFS(AND(N1063&lt;= 22, S1063=9), "SOWING",AND(N1063&lt;= 28, S1063=9), "COVERAGE",AND(N1063&lt;= 30, S1063=9), "FLUSH",AND(N1063&lt;= 11, S1063=10), "FLUSH",AND(N1063&lt;= 21, S1063=10), "PRODUCTION")</f>
        <v>SOWING</v>
      </c>
      <c r="U1063">
        <f>HOUR(datos_siembra[[#This Row],[Hour]])</f>
        <v>22</v>
      </c>
      <c r="V1063" cm="1">
        <f t="array" ref="V1063">_xlfn.IFS(AND(N1063&lt;= 22, S1063=9), N1063-7,AND(N1063&lt;= 28, S1063=9), N1063-25,AND(N1063&lt;= 30, S1063=9), N1063-28,AND(N1063&lt;= 11, S1063=10), N1063+2,AND(N1063&lt;= 21, S1063=10), N1063-11)</f>
        <v>8</v>
      </c>
    </row>
    <row r="1064" spans="1:22" x14ac:dyDescent="0.35">
      <c r="A1064" s="4">
        <v>45550</v>
      </c>
      <c r="B1064" s="5">
        <v>0.93600694444444443</v>
      </c>
      <c r="C1064">
        <v>79.3</v>
      </c>
      <c r="D1064">
        <v>75.900000000000006</v>
      </c>
      <c r="E1064">
        <v>80.099999999999994</v>
      </c>
      <c r="F1064">
        <v>79.099999999999994</v>
      </c>
      <c r="G1064">
        <v>0</v>
      </c>
      <c r="H1064">
        <v>0</v>
      </c>
      <c r="I1064">
        <v>0</v>
      </c>
      <c r="J1064">
        <v>0</v>
      </c>
      <c r="K1064">
        <v>64.400000000000006</v>
      </c>
      <c r="L1064">
        <v>62.8</v>
      </c>
      <c r="M1064">
        <v>78.52</v>
      </c>
      <c r="N1064">
        <v>15</v>
      </c>
      <c r="O1064">
        <v>5</v>
      </c>
      <c r="P1064">
        <f>MOD(DAY(datos_siembra[[#This Row],[Date]]),7)</f>
        <v>1</v>
      </c>
      <c r="Q1064" t="str">
        <f>CHOOSE(WEEKDAY(datos_siembra[[#This Row],[Date]],2),"L","M","X","J","V","S","D")</f>
        <v>D</v>
      </c>
      <c r="R1064">
        <f>WEEKNUM(datos_siembra[[#This Row],[Date]],2)-WEEKNUM(DATE(YEAR(datos_siembra[[#This Row],[Date]]),MONTH(datos_siembra[[#This Row],[Date]]),1))+1</f>
        <v>2</v>
      </c>
      <c r="S1064">
        <f>MONTH(datos_siembra[[#This Row],[Date]])</f>
        <v>9</v>
      </c>
      <c r="T1064" t="str" cm="1">
        <f t="array" ref="T1064">_xlfn.IFS(AND(N1064&lt;= 22, S1064=9), "SOWING",AND(N1064&lt;= 28, S1064=9), "COVERAGE",AND(N1064&lt;= 30, S1064=9), "FLUSH",AND(N1064&lt;= 11, S1064=10), "FLUSH",AND(N1064&lt;= 21, S1064=10), "PRODUCTION")</f>
        <v>SOWING</v>
      </c>
      <c r="U1064">
        <f>HOUR(datos_siembra[[#This Row],[Hour]])</f>
        <v>22</v>
      </c>
      <c r="V1064" cm="1">
        <f t="array" ref="V1064">_xlfn.IFS(AND(N1064&lt;= 22, S1064=9), N1064-7,AND(N1064&lt;= 28, S1064=9), N1064-25,AND(N1064&lt;= 30, S1064=9), N1064-28,AND(N1064&lt;= 11, S1064=10), N1064+2,AND(N1064&lt;= 21, S1064=10), N1064-11)</f>
        <v>8</v>
      </c>
    </row>
    <row r="1065" spans="1:22" x14ac:dyDescent="0.35">
      <c r="A1065" s="4">
        <v>45550</v>
      </c>
      <c r="B1065" s="5">
        <v>0.94295138888888885</v>
      </c>
      <c r="C1065">
        <v>79.599999999999994</v>
      </c>
      <c r="D1065">
        <v>75.8</v>
      </c>
      <c r="E1065">
        <v>80</v>
      </c>
      <c r="F1065">
        <v>79.099999999999994</v>
      </c>
      <c r="G1065">
        <v>0</v>
      </c>
      <c r="H1065">
        <v>0</v>
      </c>
      <c r="I1065">
        <v>0</v>
      </c>
      <c r="J1065">
        <v>0</v>
      </c>
      <c r="K1065">
        <v>64.400000000000006</v>
      </c>
      <c r="L1065">
        <v>62.8</v>
      </c>
      <c r="M1065">
        <v>78.66</v>
      </c>
      <c r="N1065">
        <v>15</v>
      </c>
      <c r="O1065">
        <v>5</v>
      </c>
      <c r="P1065">
        <f>MOD(DAY(datos_siembra[[#This Row],[Date]]),7)</f>
        <v>1</v>
      </c>
      <c r="Q1065" t="str">
        <f>CHOOSE(WEEKDAY(datos_siembra[[#This Row],[Date]],2),"L","M","X","J","V","S","D")</f>
        <v>D</v>
      </c>
      <c r="R1065">
        <f>WEEKNUM(datos_siembra[[#This Row],[Date]],2)-WEEKNUM(DATE(YEAR(datos_siembra[[#This Row],[Date]]),MONTH(datos_siembra[[#This Row],[Date]]),1))+1</f>
        <v>2</v>
      </c>
      <c r="S1065">
        <f>MONTH(datos_siembra[[#This Row],[Date]])</f>
        <v>9</v>
      </c>
      <c r="T1065" t="str" cm="1">
        <f t="array" ref="T1065">_xlfn.IFS(AND(N1065&lt;= 22, S1065=9), "SOWING",AND(N1065&lt;= 28, S1065=9), "COVERAGE",AND(N1065&lt;= 30, S1065=9), "FLUSH",AND(N1065&lt;= 11, S1065=10), "FLUSH",AND(N1065&lt;= 21, S1065=10), "PRODUCTION")</f>
        <v>SOWING</v>
      </c>
      <c r="U1065">
        <f>HOUR(datos_siembra[[#This Row],[Hour]])</f>
        <v>22</v>
      </c>
      <c r="V1065" cm="1">
        <f t="array" ref="V1065">_xlfn.IFS(AND(N1065&lt;= 22, S1065=9), N1065-7,AND(N1065&lt;= 28, S1065=9), N1065-25,AND(N1065&lt;= 30, S1065=9), N1065-28,AND(N1065&lt;= 11, S1065=10), N1065+2,AND(N1065&lt;= 21, S1065=10), N1065-11)</f>
        <v>8</v>
      </c>
    </row>
    <row r="1066" spans="1:22" x14ac:dyDescent="0.35">
      <c r="A1066" s="4">
        <v>45550</v>
      </c>
      <c r="B1066" s="5">
        <v>0.94990740740740742</v>
      </c>
      <c r="C1066">
        <v>79.400000000000006</v>
      </c>
      <c r="D1066">
        <v>75.8</v>
      </c>
      <c r="E1066">
        <v>80</v>
      </c>
      <c r="F1066">
        <v>79</v>
      </c>
      <c r="G1066">
        <v>0</v>
      </c>
      <c r="H1066">
        <v>0</v>
      </c>
      <c r="I1066">
        <v>0</v>
      </c>
      <c r="J1066">
        <v>0</v>
      </c>
      <c r="K1066">
        <v>64.400000000000006</v>
      </c>
      <c r="L1066">
        <v>62.8</v>
      </c>
      <c r="M1066">
        <v>78.599999999999994</v>
      </c>
      <c r="N1066">
        <v>15</v>
      </c>
      <c r="O1066">
        <v>5</v>
      </c>
      <c r="P1066">
        <f>MOD(DAY(datos_siembra[[#This Row],[Date]]),7)</f>
        <v>1</v>
      </c>
      <c r="Q1066" t="str">
        <f>CHOOSE(WEEKDAY(datos_siembra[[#This Row],[Date]],2),"L","M","X","J","V","S","D")</f>
        <v>D</v>
      </c>
      <c r="R1066">
        <f>WEEKNUM(datos_siembra[[#This Row],[Date]],2)-WEEKNUM(DATE(YEAR(datos_siembra[[#This Row],[Date]]),MONTH(datos_siembra[[#This Row],[Date]]),1))+1</f>
        <v>2</v>
      </c>
      <c r="S1066">
        <f>MONTH(datos_siembra[[#This Row],[Date]])</f>
        <v>9</v>
      </c>
      <c r="T1066" t="str" cm="1">
        <f t="array" ref="T1066">_xlfn.IFS(AND(N1066&lt;= 22, S1066=9), "SOWING",AND(N1066&lt;= 28, S1066=9), "COVERAGE",AND(N1066&lt;= 30, S1066=9), "FLUSH",AND(N1066&lt;= 11, S1066=10), "FLUSH",AND(N1066&lt;= 21, S1066=10), "PRODUCTION")</f>
        <v>SOWING</v>
      </c>
      <c r="U1066">
        <f>HOUR(datos_siembra[[#This Row],[Hour]])</f>
        <v>22</v>
      </c>
      <c r="V1066" cm="1">
        <f t="array" ref="V1066">_xlfn.IFS(AND(N1066&lt;= 22, S1066=9), N1066-7,AND(N1066&lt;= 28, S1066=9), N1066-25,AND(N1066&lt;= 30, S1066=9), N1066-28,AND(N1066&lt;= 11, S1066=10), N1066+2,AND(N1066&lt;= 21, S1066=10), N1066-11)</f>
        <v>8</v>
      </c>
    </row>
    <row r="1067" spans="1:22" x14ac:dyDescent="0.35">
      <c r="A1067" s="4">
        <v>45550</v>
      </c>
      <c r="B1067" s="5">
        <v>0.95685185185185184</v>
      </c>
      <c r="C1067">
        <v>79.400000000000006</v>
      </c>
      <c r="D1067">
        <v>75.900000000000006</v>
      </c>
      <c r="E1067">
        <v>80</v>
      </c>
      <c r="F1067">
        <v>79</v>
      </c>
      <c r="G1067">
        <v>0</v>
      </c>
      <c r="H1067">
        <v>0</v>
      </c>
      <c r="I1067">
        <v>0</v>
      </c>
      <c r="J1067">
        <v>0</v>
      </c>
      <c r="K1067">
        <v>64.400000000000006</v>
      </c>
      <c r="L1067">
        <v>62.7</v>
      </c>
      <c r="M1067">
        <v>78.569999999999993</v>
      </c>
      <c r="N1067">
        <v>15</v>
      </c>
      <c r="O1067">
        <v>5</v>
      </c>
      <c r="P1067">
        <f>MOD(DAY(datos_siembra[[#This Row],[Date]]),7)</f>
        <v>1</v>
      </c>
      <c r="Q1067" t="str">
        <f>CHOOSE(WEEKDAY(datos_siembra[[#This Row],[Date]],2),"L","M","X","J","V","S","D")</f>
        <v>D</v>
      </c>
      <c r="R1067">
        <f>WEEKNUM(datos_siembra[[#This Row],[Date]],2)-WEEKNUM(DATE(YEAR(datos_siembra[[#This Row],[Date]]),MONTH(datos_siembra[[#This Row],[Date]]),1))+1</f>
        <v>2</v>
      </c>
      <c r="S1067">
        <f>MONTH(datos_siembra[[#This Row],[Date]])</f>
        <v>9</v>
      </c>
      <c r="T1067" t="str" cm="1">
        <f t="array" ref="T1067">_xlfn.IFS(AND(N1067&lt;= 22, S1067=9), "SOWING",AND(N1067&lt;= 28, S1067=9), "COVERAGE",AND(N1067&lt;= 30, S1067=9), "FLUSH",AND(N1067&lt;= 11, S1067=10), "FLUSH",AND(N1067&lt;= 21, S1067=10), "PRODUCTION")</f>
        <v>SOWING</v>
      </c>
      <c r="U1067">
        <f>HOUR(datos_siembra[[#This Row],[Hour]])</f>
        <v>22</v>
      </c>
      <c r="V1067" cm="1">
        <f t="array" ref="V1067">_xlfn.IFS(AND(N1067&lt;= 22, S1067=9), N1067-7,AND(N1067&lt;= 28, S1067=9), N1067-25,AND(N1067&lt;= 30, S1067=9), N1067-28,AND(N1067&lt;= 11, S1067=10), N1067+2,AND(N1067&lt;= 21, S1067=10), N1067-11)</f>
        <v>8</v>
      </c>
    </row>
    <row r="1068" spans="1:22" x14ac:dyDescent="0.35">
      <c r="A1068" s="4">
        <v>45550</v>
      </c>
      <c r="B1068" s="5">
        <v>0.96379629629629626</v>
      </c>
      <c r="C1068">
        <v>79.400000000000006</v>
      </c>
      <c r="D1068">
        <v>75.900000000000006</v>
      </c>
      <c r="E1068">
        <v>80</v>
      </c>
      <c r="F1068">
        <v>79</v>
      </c>
      <c r="G1068">
        <v>0</v>
      </c>
      <c r="H1068">
        <v>0</v>
      </c>
      <c r="I1068">
        <v>0</v>
      </c>
      <c r="J1068">
        <v>0</v>
      </c>
      <c r="K1068">
        <v>64.2</v>
      </c>
      <c r="L1068">
        <v>62.6</v>
      </c>
      <c r="M1068">
        <v>78.569999999999993</v>
      </c>
      <c r="N1068">
        <v>15</v>
      </c>
      <c r="O1068">
        <v>5</v>
      </c>
      <c r="P1068">
        <f>MOD(DAY(datos_siembra[[#This Row],[Date]]),7)</f>
        <v>1</v>
      </c>
      <c r="Q1068" t="str">
        <f>CHOOSE(WEEKDAY(datos_siembra[[#This Row],[Date]],2),"L","M","X","J","V","S","D")</f>
        <v>D</v>
      </c>
      <c r="R1068">
        <f>WEEKNUM(datos_siembra[[#This Row],[Date]],2)-WEEKNUM(DATE(YEAR(datos_siembra[[#This Row],[Date]]),MONTH(datos_siembra[[#This Row],[Date]]),1))+1</f>
        <v>2</v>
      </c>
      <c r="S1068">
        <f>MONTH(datos_siembra[[#This Row],[Date]])</f>
        <v>9</v>
      </c>
      <c r="T1068" t="str" cm="1">
        <f t="array" ref="T1068">_xlfn.IFS(AND(N1068&lt;= 22, S1068=9), "SOWING",AND(N1068&lt;= 28, S1068=9), "COVERAGE",AND(N1068&lt;= 30, S1068=9), "FLUSH",AND(N1068&lt;= 11, S1068=10), "FLUSH",AND(N1068&lt;= 21, S1068=10), "PRODUCTION")</f>
        <v>SOWING</v>
      </c>
      <c r="U1068">
        <f>HOUR(datos_siembra[[#This Row],[Hour]])</f>
        <v>23</v>
      </c>
      <c r="V1068" cm="1">
        <f t="array" ref="V1068">_xlfn.IFS(AND(N1068&lt;= 22, S1068=9), N1068-7,AND(N1068&lt;= 28, S1068=9), N1068-25,AND(N1068&lt;= 30, S1068=9), N1068-28,AND(N1068&lt;= 11, S1068=10), N1068+2,AND(N1068&lt;= 21, S1068=10), N1068-11)</f>
        <v>8</v>
      </c>
    </row>
    <row r="1069" spans="1:22" x14ac:dyDescent="0.35">
      <c r="A1069" s="4">
        <v>45550</v>
      </c>
      <c r="B1069" s="5">
        <v>0.97074074074074079</v>
      </c>
      <c r="C1069">
        <v>79.400000000000006</v>
      </c>
      <c r="D1069">
        <v>75.599999999999994</v>
      </c>
      <c r="E1069">
        <v>80</v>
      </c>
      <c r="F1069">
        <v>79</v>
      </c>
      <c r="G1069">
        <v>0</v>
      </c>
      <c r="H1069">
        <v>0</v>
      </c>
      <c r="I1069">
        <v>0</v>
      </c>
      <c r="J1069">
        <v>0</v>
      </c>
      <c r="K1069">
        <v>64.3</v>
      </c>
      <c r="L1069">
        <v>62.6</v>
      </c>
      <c r="M1069">
        <v>78.52</v>
      </c>
      <c r="N1069">
        <v>15</v>
      </c>
      <c r="O1069">
        <v>5</v>
      </c>
      <c r="P1069">
        <f>MOD(DAY(datos_siembra[[#This Row],[Date]]),7)</f>
        <v>1</v>
      </c>
      <c r="Q1069" t="str">
        <f>CHOOSE(WEEKDAY(datos_siembra[[#This Row],[Date]],2),"L","M","X","J","V","S","D")</f>
        <v>D</v>
      </c>
      <c r="R1069">
        <f>WEEKNUM(datos_siembra[[#This Row],[Date]],2)-WEEKNUM(DATE(YEAR(datos_siembra[[#This Row],[Date]]),MONTH(datos_siembra[[#This Row],[Date]]),1))+1</f>
        <v>2</v>
      </c>
      <c r="S1069">
        <f>MONTH(datos_siembra[[#This Row],[Date]])</f>
        <v>9</v>
      </c>
      <c r="T1069" t="str" cm="1">
        <f t="array" ref="T1069">_xlfn.IFS(AND(N1069&lt;= 22, S1069=9), "SOWING",AND(N1069&lt;= 28, S1069=9), "COVERAGE",AND(N1069&lt;= 30, S1069=9), "FLUSH",AND(N1069&lt;= 11, S1069=10), "FLUSH",AND(N1069&lt;= 21, S1069=10), "PRODUCTION")</f>
        <v>SOWING</v>
      </c>
      <c r="U1069">
        <f>HOUR(datos_siembra[[#This Row],[Hour]])</f>
        <v>23</v>
      </c>
      <c r="V1069" cm="1">
        <f t="array" ref="V1069">_xlfn.IFS(AND(N1069&lt;= 22, S1069=9), N1069-7,AND(N1069&lt;= 28, S1069=9), N1069-25,AND(N1069&lt;= 30, S1069=9), N1069-28,AND(N1069&lt;= 11, S1069=10), N1069+2,AND(N1069&lt;= 21, S1069=10), N1069-11)</f>
        <v>8</v>
      </c>
    </row>
    <row r="1070" spans="1:22" x14ac:dyDescent="0.35">
      <c r="A1070" s="4">
        <v>45550</v>
      </c>
      <c r="B1070" s="5">
        <v>0.97769675925925925</v>
      </c>
      <c r="C1070">
        <v>79.3</v>
      </c>
      <c r="D1070">
        <v>75.8</v>
      </c>
      <c r="E1070">
        <v>80</v>
      </c>
      <c r="F1070">
        <v>78.8</v>
      </c>
      <c r="G1070">
        <v>0</v>
      </c>
      <c r="H1070">
        <v>0</v>
      </c>
      <c r="I1070">
        <v>0</v>
      </c>
      <c r="J1070">
        <v>0</v>
      </c>
      <c r="K1070">
        <v>64.2</v>
      </c>
      <c r="L1070">
        <v>62.6</v>
      </c>
      <c r="M1070">
        <v>78.459999999999994</v>
      </c>
      <c r="N1070">
        <v>15</v>
      </c>
      <c r="O1070">
        <v>5</v>
      </c>
      <c r="P1070">
        <f>MOD(DAY(datos_siembra[[#This Row],[Date]]),7)</f>
        <v>1</v>
      </c>
      <c r="Q1070" t="str">
        <f>CHOOSE(WEEKDAY(datos_siembra[[#This Row],[Date]],2),"L","M","X","J","V","S","D")</f>
        <v>D</v>
      </c>
      <c r="R1070">
        <f>WEEKNUM(datos_siembra[[#This Row],[Date]],2)-WEEKNUM(DATE(YEAR(datos_siembra[[#This Row],[Date]]),MONTH(datos_siembra[[#This Row],[Date]]),1))+1</f>
        <v>2</v>
      </c>
      <c r="S1070">
        <f>MONTH(datos_siembra[[#This Row],[Date]])</f>
        <v>9</v>
      </c>
      <c r="T1070" t="str" cm="1">
        <f t="array" ref="T1070">_xlfn.IFS(AND(N1070&lt;= 22, S1070=9), "SOWING",AND(N1070&lt;= 28, S1070=9), "COVERAGE",AND(N1070&lt;= 30, S1070=9), "FLUSH",AND(N1070&lt;= 11, S1070=10), "FLUSH",AND(N1070&lt;= 21, S1070=10), "PRODUCTION")</f>
        <v>SOWING</v>
      </c>
      <c r="U1070">
        <f>HOUR(datos_siembra[[#This Row],[Hour]])</f>
        <v>23</v>
      </c>
      <c r="V1070" cm="1">
        <f t="array" ref="V1070">_xlfn.IFS(AND(N1070&lt;= 22, S1070=9), N1070-7,AND(N1070&lt;= 28, S1070=9), N1070-25,AND(N1070&lt;= 30, S1070=9), N1070-28,AND(N1070&lt;= 11, S1070=10), N1070+2,AND(N1070&lt;= 21, S1070=10), N1070-11)</f>
        <v>8</v>
      </c>
    </row>
    <row r="1071" spans="1:22" x14ac:dyDescent="0.35">
      <c r="A1071" s="4">
        <v>45550</v>
      </c>
      <c r="B1071" s="5">
        <v>0.98464120370370367</v>
      </c>
      <c r="C1071">
        <v>79.400000000000006</v>
      </c>
      <c r="D1071">
        <v>75.599999999999994</v>
      </c>
      <c r="E1071">
        <v>80</v>
      </c>
      <c r="F1071">
        <v>78.900000000000006</v>
      </c>
      <c r="G1071">
        <v>0</v>
      </c>
      <c r="H1071">
        <v>0</v>
      </c>
      <c r="I1071">
        <v>0</v>
      </c>
      <c r="J1071">
        <v>0</v>
      </c>
      <c r="K1071">
        <v>64.3</v>
      </c>
      <c r="L1071">
        <v>62.6</v>
      </c>
      <c r="M1071">
        <v>78.52</v>
      </c>
      <c r="N1071">
        <v>15</v>
      </c>
      <c r="O1071">
        <v>5</v>
      </c>
      <c r="P1071">
        <f>MOD(DAY(datos_siembra[[#This Row],[Date]]),7)</f>
        <v>1</v>
      </c>
      <c r="Q1071" t="str">
        <f>CHOOSE(WEEKDAY(datos_siembra[[#This Row],[Date]],2),"L","M","X","J","V","S","D")</f>
        <v>D</v>
      </c>
      <c r="R1071">
        <f>WEEKNUM(datos_siembra[[#This Row],[Date]],2)-WEEKNUM(DATE(YEAR(datos_siembra[[#This Row],[Date]]),MONTH(datos_siembra[[#This Row],[Date]]),1))+1</f>
        <v>2</v>
      </c>
      <c r="S1071">
        <f>MONTH(datos_siembra[[#This Row],[Date]])</f>
        <v>9</v>
      </c>
      <c r="T1071" t="str" cm="1">
        <f t="array" ref="T1071">_xlfn.IFS(AND(N1071&lt;= 22, S1071=9), "SOWING",AND(N1071&lt;= 28, S1071=9), "COVERAGE",AND(N1071&lt;= 30, S1071=9), "FLUSH",AND(N1071&lt;= 11, S1071=10), "FLUSH",AND(N1071&lt;= 21, S1071=10), "PRODUCTION")</f>
        <v>SOWING</v>
      </c>
      <c r="U1071">
        <f>HOUR(datos_siembra[[#This Row],[Hour]])</f>
        <v>23</v>
      </c>
      <c r="V1071" cm="1">
        <f t="array" ref="V1071">_xlfn.IFS(AND(N1071&lt;= 22, S1071=9), N1071-7,AND(N1071&lt;= 28, S1071=9), N1071-25,AND(N1071&lt;= 30, S1071=9), N1071-28,AND(N1071&lt;= 11, S1071=10), N1071+2,AND(N1071&lt;= 21, S1071=10), N1071-11)</f>
        <v>8</v>
      </c>
    </row>
    <row r="1072" spans="1:22" x14ac:dyDescent="0.35">
      <c r="A1072" s="4">
        <v>45550</v>
      </c>
      <c r="B1072" s="5">
        <v>0.9915856481481482</v>
      </c>
      <c r="C1072">
        <v>79.400000000000006</v>
      </c>
      <c r="D1072">
        <v>75.8</v>
      </c>
      <c r="E1072">
        <v>79.900000000000006</v>
      </c>
      <c r="F1072">
        <v>79</v>
      </c>
      <c r="G1072">
        <v>0</v>
      </c>
      <c r="H1072">
        <v>0</v>
      </c>
      <c r="I1072">
        <v>0</v>
      </c>
      <c r="J1072">
        <v>0</v>
      </c>
      <c r="K1072">
        <v>64.099999999999994</v>
      </c>
      <c r="L1072">
        <v>62.5</v>
      </c>
      <c r="M1072">
        <v>78.430000000000007</v>
      </c>
      <c r="N1072">
        <v>15</v>
      </c>
      <c r="O1072">
        <v>5</v>
      </c>
      <c r="P1072">
        <f>MOD(DAY(datos_siembra[[#This Row],[Date]]),7)</f>
        <v>1</v>
      </c>
      <c r="Q1072" t="str">
        <f>CHOOSE(WEEKDAY(datos_siembra[[#This Row],[Date]],2),"L","M","X","J","V","S","D")</f>
        <v>D</v>
      </c>
      <c r="R1072">
        <f>WEEKNUM(datos_siembra[[#This Row],[Date]],2)-WEEKNUM(DATE(YEAR(datos_siembra[[#This Row],[Date]]),MONTH(datos_siembra[[#This Row],[Date]]),1))+1</f>
        <v>2</v>
      </c>
      <c r="S1072">
        <f>MONTH(datos_siembra[[#This Row],[Date]])</f>
        <v>9</v>
      </c>
      <c r="T1072" t="str" cm="1">
        <f t="array" ref="T1072">_xlfn.IFS(AND(N1072&lt;= 22, S1072=9), "SOWING",AND(N1072&lt;= 28, S1072=9), "COVERAGE",AND(N1072&lt;= 30, S1072=9), "FLUSH",AND(N1072&lt;= 11, S1072=10), "FLUSH",AND(N1072&lt;= 21, S1072=10), "PRODUCTION")</f>
        <v>SOWING</v>
      </c>
      <c r="U1072">
        <f>HOUR(datos_siembra[[#This Row],[Hour]])</f>
        <v>23</v>
      </c>
      <c r="V1072" cm="1">
        <f t="array" ref="V1072">_xlfn.IFS(AND(N1072&lt;= 22, S1072=9), N1072-7,AND(N1072&lt;= 28, S1072=9), N1072-25,AND(N1072&lt;= 30, S1072=9), N1072-28,AND(N1072&lt;= 11, S1072=10), N1072+2,AND(N1072&lt;= 21, S1072=10), N1072-11)</f>
        <v>8</v>
      </c>
    </row>
    <row r="1073" spans="1:22" x14ac:dyDescent="0.35">
      <c r="A1073" s="4">
        <v>45550</v>
      </c>
      <c r="B1073" s="5">
        <v>0.99853009259259262</v>
      </c>
      <c r="C1073">
        <v>79.400000000000006</v>
      </c>
      <c r="D1073">
        <v>75.599999999999994</v>
      </c>
      <c r="E1073">
        <v>79.900000000000006</v>
      </c>
      <c r="F1073">
        <v>78.900000000000006</v>
      </c>
      <c r="G1073">
        <v>0</v>
      </c>
      <c r="H1073">
        <v>0</v>
      </c>
      <c r="I1073">
        <v>0</v>
      </c>
      <c r="J1073">
        <v>0</v>
      </c>
      <c r="K1073">
        <v>64.2</v>
      </c>
      <c r="L1073">
        <v>62.4</v>
      </c>
      <c r="M1073">
        <v>78.55</v>
      </c>
      <c r="N1073">
        <v>15</v>
      </c>
      <c r="O1073">
        <v>5</v>
      </c>
      <c r="P1073">
        <f>MOD(DAY(datos_siembra[[#This Row],[Date]]),7)</f>
        <v>1</v>
      </c>
      <c r="Q1073" t="str">
        <f>CHOOSE(WEEKDAY(datos_siembra[[#This Row],[Date]],2),"L","M","X","J","V","S","D")</f>
        <v>D</v>
      </c>
      <c r="R1073">
        <f>WEEKNUM(datos_siembra[[#This Row],[Date]],2)-WEEKNUM(DATE(YEAR(datos_siembra[[#This Row],[Date]]),MONTH(datos_siembra[[#This Row],[Date]]),1))+1</f>
        <v>2</v>
      </c>
      <c r="S1073">
        <f>MONTH(datos_siembra[[#This Row],[Date]])</f>
        <v>9</v>
      </c>
      <c r="T1073" t="str" cm="1">
        <f t="array" ref="T1073">_xlfn.IFS(AND(N1073&lt;= 22, S1073=9), "SOWING",AND(N1073&lt;= 28, S1073=9), "COVERAGE",AND(N1073&lt;= 30, S1073=9), "FLUSH",AND(N1073&lt;= 11, S1073=10), "FLUSH",AND(N1073&lt;= 21, S1073=10), "PRODUCTION")</f>
        <v>SOWING</v>
      </c>
      <c r="U1073">
        <f>HOUR(datos_siembra[[#This Row],[Hour]])</f>
        <v>23</v>
      </c>
      <c r="V1073" cm="1">
        <f t="array" ref="V1073">_xlfn.IFS(AND(N1073&lt;= 22, S1073=9), N1073-7,AND(N1073&lt;= 28, S1073=9), N1073-25,AND(N1073&lt;= 30, S1073=9), N1073-28,AND(N1073&lt;= 11, S1073=10), N1073+2,AND(N1073&lt;= 21, S1073=10), N1073-11)</f>
        <v>8</v>
      </c>
    </row>
    <row r="1074" spans="1:22" x14ac:dyDescent="0.35">
      <c r="A1074" s="4">
        <v>45551</v>
      </c>
      <c r="B1074" s="5">
        <v>5.4861111111111109E-3</v>
      </c>
      <c r="C1074">
        <v>79.400000000000006</v>
      </c>
      <c r="D1074">
        <v>75.599999999999994</v>
      </c>
      <c r="E1074">
        <v>80</v>
      </c>
      <c r="F1074">
        <v>78.900000000000006</v>
      </c>
      <c r="G1074">
        <v>0</v>
      </c>
      <c r="H1074">
        <v>0</v>
      </c>
      <c r="I1074">
        <v>0</v>
      </c>
      <c r="J1074">
        <v>0</v>
      </c>
      <c r="K1074">
        <v>63.9</v>
      </c>
      <c r="L1074">
        <v>62.4</v>
      </c>
      <c r="M1074">
        <v>78.489999999999995</v>
      </c>
      <c r="N1074">
        <v>16</v>
      </c>
      <c r="O1074">
        <v>6</v>
      </c>
      <c r="P1074">
        <f>MOD(DAY(datos_siembra[[#This Row],[Date]]),7)</f>
        <v>2</v>
      </c>
      <c r="Q1074" t="str">
        <f>CHOOSE(WEEKDAY(datos_siembra[[#This Row],[Date]],2),"L","M","X","J","V","S","D")</f>
        <v>L</v>
      </c>
      <c r="R1074">
        <f>WEEKNUM(datos_siembra[[#This Row],[Date]],2)-WEEKNUM(DATE(YEAR(datos_siembra[[#This Row],[Date]]),MONTH(datos_siembra[[#This Row],[Date]]),1))+1</f>
        <v>3</v>
      </c>
      <c r="S1074">
        <f>MONTH(datos_siembra[[#This Row],[Date]])</f>
        <v>9</v>
      </c>
      <c r="T1074" t="str" cm="1">
        <f t="array" ref="T1074">_xlfn.IFS(AND(N1074&lt;= 22, S1074=9), "SOWING",AND(N1074&lt;= 28, S1074=9), "COVERAGE",AND(N1074&lt;= 30, S1074=9), "FLUSH",AND(N1074&lt;= 11, S1074=10), "FLUSH",AND(N1074&lt;= 21, S1074=10), "PRODUCTION")</f>
        <v>SOWING</v>
      </c>
      <c r="U1074">
        <f>HOUR(datos_siembra[[#This Row],[Hour]])</f>
        <v>0</v>
      </c>
      <c r="V1074" cm="1">
        <f t="array" ref="V1074">_xlfn.IFS(AND(N1074&lt;= 22, S1074=9), N1074-7,AND(N1074&lt;= 28, S1074=9), N1074-25,AND(N1074&lt;= 30, S1074=9), N1074-28,AND(N1074&lt;= 11, S1074=10), N1074+2,AND(N1074&lt;= 21, S1074=10), N1074-11)</f>
        <v>9</v>
      </c>
    </row>
    <row r="1075" spans="1:22" x14ac:dyDescent="0.35">
      <c r="A1075" s="4">
        <v>45551</v>
      </c>
      <c r="B1075" s="5">
        <v>1.2430555555555556E-2</v>
      </c>
      <c r="C1075">
        <v>79.3</v>
      </c>
      <c r="D1075">
        <v>75.5</v>
      </c>
      <c r="E1075">
        <v>80</v>
      </c>
      <c r="F1075">
        <v>78.900000000000006</v>
      </c>
      <c r="G1075">
        <v>0</v>
      </c>
      <c r="H1075">
        <v>0</v>
      </c>
      <c r="I1075">
        <v>0</v>
      </c>
      <c r="J1075">
        <v>0</v>
      </c>
      <c r="K1075">
        <v>63.9</v>
      </c>
      <c r="L1075">
        <v>62.3</v>
      </c>
      <c r="M1075">
        <v>78.430000000000007</v>
      </c>
      <c r="N1075">
        <v>16</v>
      </c>
      <c r="O1075">
        <v>6</v>
      </c>
      <c r="P1075">
        <f>MOD(DAY(datos_siembra[[#This Row],[Date]]),7)</f>
        <v>2</v>
      </c>
      <c r="Q1075" t="str">
        <f>CHOOSE(WEEKDAY(datos_siembra[[#This Row],[Date]],2),"L","M","X","J","V","S","D")</f>
        <v>L</v>
      </c>
      <c r="R1075">
        <f>WEEKNUM(datos_siembra[[#This Row],[Date]],2)-WEEKNUM(DATE(YEAR(datos_siembra[[#This Row],[Date]]),MONTH(datos_siembra[[#This Row],[Date]]),1))+1</f>
        <v>3</v>
      </c>
      <c r="S1075">
        <f>MONTH(datos_siembra[[#This Row],[Date]])</f>
        <v>9</v>
      </c>
      <c r="T1075" t="str" cm="1">
        <f t="array" ref="T1075">_xlfn.IFS(AND(N1075&lt;= 22, S1075=9), "SOWING",AND(N1075&lt;= 28, S1075=9), "COVERAGE",AND(N1075&lt;= 30, S1075=9), "FLUSH",AND(N1075&lt;= 11, S1075=10), "FLUSH",AND(N1075&lt;= 21, S1075=10), "PRODUCTION")</f>
        <v>SOWING</v>
      </c>
      <c r="U1075">
        <f>HOUR(datos_siembra[[#This Row],[Hour]])</f>
        <v>0</v>
      </c>
      <c r="V1075" cm="1">
        <f t="array" ref="V1075">_xlfn.IFS(AND(N1075&lt;= 22, S1075=9), N1075-7,AND(N1075&lt;= 28, S1075=9), N1075-25,AND(N1075&lt;= 30, S1075=9), N1075-28,AND(N1075&lt;= 11, S1075=10), N1075+2,AND(N1075&lt;= 21, S1075=10), N1075-11)</f>
        <v>9</v>
      </c>
    </row>
    <row r="1076" spans="1:22" x14ac:dyDescent="0.35">
      <c r="A1076" s="4">
        <v>45551</v>
      </c>
      <c r="B1076" s="5">
        <v>1.9375E-2</v>
      </c>
      <c r="C1076">
        <v>79.3</v>
      </c>
      <c r="D1076">
        <v>75.8</v>
      </c>
      <c r="E1076">
        <v>80.099999999999994</v>
      </c>
      <c r="F1076">
        <v>78.900000000000006</v>
      </c>
      <c r="G1076">
        <v>0</v>
      </c>
      <c r="H1076">
        <v>0</v>
      </c>
      <c r="I1076">
        <v>0</v>
      </c>
      <c r="J1076">
        <v>0</v>
      </c>
      <c r="K1076">
        <v>63.9</v>
      </c>
      <c r="L1076">
        <v>62.2</v>
      </c>
      <c r="M1076">
        <v>78.52</v>
      </c>
      <c r="N1076">
        <v>16</v>
      </c>
      <c r="O1076">
        <v>6</v>
      </c>
      <c r="P1076">
        <f>MOD(DAY(datos_siembra[[#This Row],[Date]]),7)</f>
        <v>2</v>
      </c>
      <c r="Q1076" t="str">
        <f>CHOOSE(WEEKDAY(datos_siembra[[#This Row],[Date]],2),"L","M","X","J","V","S","D")</f>
        <v>L</v>
      </c>
      <c r="R1076">
        <f>WEEKNUM(datos_siembra[[#This Row],[Date]],2)-WEEKNUM(DATE(YEAR(datos_siembra[[#This Row],[Date]]),MONTH(datos_siembra[[#This Row],[Date]]),1))+1</f>
        <v>3</v>
      </c>
      <c r="S1076">
        <f>MONTH(datos_siembra[[#This Row],[Date]])</f>
        <v>9</v>
      </c>
      <c r="T1076" t="str" cm="1">
        <f t="array" ref="T1076">_xlfn.IFS(AND(N1076&lt;= 22, S1076=9), "SOWING",AND(N1076&lt;= 28, S1076=9), "COVERAGE",AND(N1076&lt;= 30, S1076=9), "FLUSH",AND(N1076&lt;= 11, S1076=10), "FLUSH",AND(N1076&lt;= 21, S1076=10), "PRODUCTION")</f>
        <v>SOWING</v>
      </c>
      <c r="U1076">
        <f>HOUR(datos_siembra[[#This Row],[Hour]])</f>
        <v>0</v>
      </c>
      <c r="V1076" cm="1">
        <f t="array" ref="V1076">_xlfn.IFS(AND(N1076&lt;= 22, S1076=9), N1076-7,AND(N1076&lt;= 28, S1076=9), N1076-25,AND(N1076&lt;= 30, S1076=9), N1076-28,AND(N1076&lt;= 11, S1076=10), N1076+2,AND(N1076&lt;= 21, S1076=10), N1076-11)</f>
        <v>9</v>
      </c>
    </row>
    <row r="1077" spans="1:22" x14ac:dyDescent="0.35">
      <c r="A1077" s="4">
        <v>45551</v>
      </c>
      <c r="B1077" s="5">
        <v>2.6331018518518517E-2</v>
      </c>
      <c r="C1077">
        <v>79.3</v>
      </c>
      <c r="D1077">
        <v>75.599999999999994</v>
      </c>
      <c r="E1077">
        <v>80</v>
      </c>
      <c r="F1077">
        <v>78.900000000000006</v>
      </c>
      <c r="G1077">
        <v>0</v>
      </c>
      <c r="H1077">
        <v>0</v>
      </c>
      <c r="I1077">
        <v>0</v>
      </c>
      <c r="J1077">
        <v>0</v>
      </c>
      <c r="K1077">
        <v>64.099999999999994</v>
      </c>
      <c r="L1077">
        <v>62.4</v>
      </c>
      <c r="M1077">
        <v>78.430000000000007</v>
      </c>
      <c r="N1077">
        <v>16</v>
      </c>
      <c r="O1077">
        <v>6</v>
      </c>
      <c r="P1077">
        <f>MOD(DAY(datos_siembra[[#This Row],[Date]]),7)</f>
        <v>2</v>
      </c>
      <c r="Q1077" t="str">
        <f>CHOOSE(WEEKDAY(datos_siembra[[#This Row],[Date]],2),"L","M","X","J","V","S","D")</f>
        <v>L</v>
      </c>
      <c r="R1077">
        <f>WEEKNUM(datos_siembra[[#This Row],[Date]],2)-WEEKNUM(DATE(YEAR(datos_siembra[[#This Row],[Date]]),MONTH(datos_siembra[[#This Row],[Date]]),1))+1</f>
        <v>3</v>
      </c>
      <c r="S1077">
        <f>MONTH(datos_siembra[[#This Row],[Date]])</f>
        <v>9</v>
      </c>
      <c r="T1077" t="str" cm="1">
        <f t="array" ref="T1077">_xlfn.IFS(AND(N1077&lt;= 22, S1077=9), "SOWING",AND(N1077&lt;= 28, S1077=9), "COVERAGE",AND(N1077&lt;= 30, S1077=9), "FLUSH",AND(N1077&lt;= 11, S1077=10), "FLUSH",AND(N1077&lt;= 21, S1077=10), "PRODUCTION")</f>
        <v>SOWING</v>
      </c>
      <c r="U1077">
        <f>HOUR(datos_siembra[[#This Row],[Hour]])</f>
        <v>0</v>
      </c>
      <c r="V1077" cm="1">
        <f t="array" ref="V1077">_xlfn.IFS(AND(N1077&lt;= 22, S1077=9), N1077-7,AND(N1077&lt;= 28, S1077=9), N1077-25,AND(N1077&lt;= 30, S1077=9), N1077-28,AND(N1077&lt;= 11, S1077=10), N1077+2,AND(N1077&lt;= 21, S1077=10), N1077-11)</f>
        <v>9</v>
      </c>
    </row>
    <row r="1078" spans="1:22" x14ac:dyDescent="0.35">
      <c r="A1078" s="4">
        <v>45551</v>
      </c>
      <c r="B1078" s="5">
        <v>3.3275462962962965E-2</v>
      </c>
      <c r="C1078">
        <v>79.400000000000006</v>
      </c>
      <c r="D1078">
        <v>75.599999999999994</v>
      </c>
      <c r="E1078">
        <v>79.900000000000006</v>
      </c>
      <c r="F1078">
        <v>78.900000000000006</v>
      </c>
      <c r="G1078">
        <v>0</v>
      </c>
      <c r="H1078">
        <v>0</v>
      </c>
      <c r="I1078">
        <v>0</v>
      </c>
      <c r="J1078">
        <v>0</v>
      </c>
      <c r="K1078">
        <v>64.099999999999994</v>
      </c>
      <c r="L1078">
        <v>62.4</v>
      </c>
      <c r="M1078">
        <v>78.459999999999994</v>
      </c>
      <c r="N1078">
        <v>16</v>
      </c>
      <c r="O1078">
        <v>6</v>
      </c>
      <c r="P1078">
        <f>MOD(DAY(datos_siembra[[#This Row],[Date]]),7)</f>
        <v>2</v>
      </c>
      <c r="Q1078" t="str">
        <f>CHOOSE(WEEKDAY(datos_siembra[[#This Row],[Date]],2),"L","M","X","J","V","S","D")</f>
        <v>L</v>
      </c>
      <c r="R1078">
        <f>WEEKNUM(datos_siembra[[#This Row],[Date]],2)-WEEKNUM(DATE(YEAR(datos_siembra[[#This Row],[Date]]),MONTH(datos_siembra[[#This Row],[Date]]),1))+1</f>
        <v>3</v>
      </c>
      <c r="S1078">
        <f>MONTH(datos_siembra[[#This Row],[Date]])</f>
        <v>9</v>
      </c>
      <c r="T1078" t="str" cm="1">
        <f t="array" ref="T1078">_xlfn.IFS(AND(N1078&lt;= 22, S1078=9), "SOWING",AND(N1078&lt;= 28, S1078=9), "COVERAGE",AND(N1078&lt;= 30, S1078=9), "FLUSH",AND(N1078&lt;= 11, S1078=10), "FLUSH",AND(N1078&lt;= 21, S1078=10), "PRODUCTION")</f>
        <v>SOWING</v>
      </c>
      <c r="U1078">
        <f>HOUR(datos_siembra[[#This Row],[Hour]])</f>
        <v>0</v>
      </c>
      <c r="V1078" cm="1">
        <f t="array" ref="V1078">_xlfn.IFS(AND(N1078&lt;= 22, S1078=9), N1078-7,AND(N1078&lt;= 28, S1078=9), N1078-25,AND(N1078&lt;= 30, S1078=9), N1078-28,AND(N1078&lt;= 11, S1078=10), N1078+2,AND(N1078&lt;= 21, S1078=10), N1078-11)</f>
        <v>9</v>
      </c>
    </row>
    <row r="1079" spans="1:22" x14ac:dyDescent="0.35">
      <c r="A1079" s="4">
        <v>45551</v>
      </c>
      <c r="B1079" s="5">
        <v>4.0219907407407406E-2</v>
      </c>
      <c r="C1079">
        <v>79.400000000000006</v>
      </c>
      <c r="D1079">
        <v>75.5</v>
      </c>
      <c r="E1079">
        <v>79.900000000000006</v>
      </c>
      <c r="F1079">
        <v>79</v>
      </c>
      <c r="G1079">
        <v>0</v>
      </c>
      <c r="H1079">
        <v>0</v>
      </c>
      <c r="I1079">
        <v>0</v>
      </c>
      <c r="J1079">
        <v>0</v>
      </c>
      <c r="K1079">
        <v>63.9</v>
      </c>
      <c r="L1079">
        <v>62.3</v>
      </c>
      <c r="M1079">
        <v>78.430000000000007</v>
      </c>
      <c r="N1079">
        <v>16</v>
      </c>
      <c r="O1079">
        <v>6</v>
      </c>
      <c r="P1079">
        <f>MOD(DAY(datos_siembra[[#This Row],[Date]]),7)</f>
        <v>2</v>
      </c>
      <c r="Q1079" t="str">
        <f>CHOOSE(WEEKDAY(datos_siembra[[#This Row],[Date]],2),"L","M","X","J","V","S","D")</f>
        <v>L</v>
      </c>
      <c r="R1079">
        <f>WEEKNUM(datos_siembra[[#This Row],[Date]],2)-WEEKNUM(DATE(YEAR(datos_siembra[[#This Row],[Date]]),MONTH(datos_siembra[[#This Row],[Date]]),1))+1</f>
        <v>3</v>
      </c>
      <c r="S1079">
        <f>MONTH(datos_siembra[[#This Row],[Date]])</f>
        <v>9</v>
      </c>
      <c r="T1079" t="str" cm="1">
        <f t="array" ref="T1079">_xlfn.IFS(AND(N1079&lt;= 22, S1079=9), "SOWING",AND(N1079&lt;= 28, S1079=9), "COVERAGE",AND(N1079&lt;= 30, S1079=9), "FLUSH",AND(N1079&lt;= 11, S1079=10), "FLUSH",AND(N1079&lt;= 21, S1079=10), "PRODUCTION")</f>
        <v>SOWING</v>
      </c>
      <c r="U1079">
        <f>HOUR(datos_siembra[[#This Row],[Hour]])</f>
        <v>0</v>
      </c>
      <c r="V1079" cm="1">
        <f t="array" ref="V1079">_xlfn.IFS(AND(N1079&lt;= 22, S1079=9), N1079-7,AND(N1079&lt;= 28, S1079=9), N1079-25,AND(N1079&lt;= 30, S1079=9), N1079-28,AND(N1079&lt;= 11, S1079=10), N1079+2,AND(N1079&lt;= 21, S1079=10), N1079-11)</f>
        <v>9</v>
      </c>
    </row>
    <row r="1080" spans="1:22" x14ac:dyDescent="0.35">
      <c r="A1080" s="4">
        <v>45551</v>
      </c>
      <c r="B1080" s="5">
        <v>4.7164351851851853E-2</v>
      </c>
      <c r="C1080">
        <v>79.099999999999994</v>
      </c>
      <c r="D1080">
        <v>75.599999999999994</v>
      </c>
      <c r="E1080">
        <v>79.8</v>
      </c>
      <c r="F1080">
        <v>79</v>
      </c>
      <c r="G1080">
        <v>0</v>
      </c>
      <c r="H1080">
        <v>0</v>
      </c>
      <c r="I1080">
        <v>0</v>
      </c>
      <c r="J1080">
        <v>0</v>
      </c>
      <c r="K1080">
        <v>64.099999999999994</v>
      </c>
      <c r="L1080">
        <v>62.3</v>
      </c>
      <c r="M1080">
        <v>78.430000000000007</v>
      </c>
      <c r="N1080">
        <v>16</v>
      </c>
      <c r="O1080">
        <v>6</v>
      </c>
      <c r="P1080">
        <f>MOD(DAY(datos_siembra[[#This Row],[Date]]),7)</f>
        <v>2</v>
      </c>
      <c r="Q1080" t="str">
        <f>CHOOSE(WEEKDAY(datos_siembra[[#This Row],[Date]],2),"L","M","X","J","V","S","D")</f>
        <v>L</v>
      </c>
      <c r="R1080">
        <f>WEEKNUM(datos_siembra[[#This Row],[Date]],2)-WEEKNUM(DATE(YEAR(datos_siembra[[#This Row],[Date]]),MONTH(datos_siembra[[#This Row],[Date]]),1))+1</f>
        <v>3</v>
      </c>
      <c r="S1080">
        <f>MONTH(datos_siembra[[#This Row],[Date]])</f>
        <v>9</v>
      </c>
      <c r="T1080" t="str" cm="1">
        <f t="array" ref="T1080">_xlfn.IFS(AND(N1080&lt;= 22, S1080=9), "SOWING",AND(N1080&lt;= 28, S1080=9), "COVERAGE",AND(N1080&lt;= 30, S1080=9), "FLUSH",AND(N1080&lt;= 11, S1080=10), "FLUSH",AND(N1080&lt;= 21, S1080=10), "PRODUCTION")</f>
        <v>SOWING</v>
      </c>
      <c r="U1080">
        <f>HOUR(datos_siembra[[#This Row],[Hour]])</f>
        <v>1</v>
      </c>
      <c r="V1080" cm="1">
        <f t="array" ref="V1080">_xlfn.IFS(AND(N1080&lt;= 22, S1080=9), N1080-7,AND(N1080&lt;= 28, S1080=9), N1080-25,AND(N1080&lt;= 30, S1080=9), N1080-28,AND(N1080&lt;= 11, S1080=10), N1080+2,AND(N1080&lt;= 21, S1080=10), N1080-11)</f>
        <v>9</v>
      </c>
    </row>
    <row r="1081" spans="1:22" x14ac:dyDescent="0.35">
      <c r="A1081" s="4">
        <v>45551</v>
      </c>
      <c r="B1081" s="5">
        <v>5.4120370370370367E-2</v>
      </c>
      <c r="C1081">
        <v>79.3</v>
      </c>
      <c r="D1081">
        <v>75.599999999999994</v>
      </c>
      <c r="E1081">
        <v>79.900000000000006</v>
      </c>
      <c r="F1081">
        <v>78.900000000000006</v>
      </c>
      <c r="G1081">
        <v>0</v>
      </c>
      <c r="H1081">
        <v>0</v>
      </c>
      <c r="I1081">
        <v>0</v>
      </c>
      <c r="J1081">
        <v>0</v>
      </c>
      <c r="K1081">
        <v>63.9</v>
      </c>
      <c r="L1081">
        <v>62.3</v>
      </c>
      <c r="M1081">
        <v>78.41</v>
      </c>
      <c r="N1081">
        <v>16</v>
      </c>
      <c r="O1081">
        <v>6</v>
      </c>
      <c r="P1081">
        <f>MOD(DAY(datos_siembra[[#This Row],[Date]]),7)</f>
        <v>2</v>
      </c>
      <c r="Q1081" t="str">
        <f>CHOOSE(WEEKDAY(datos_siembra[[#This Row],[Date]],2),"L","M","X","J","V","S","D")</f>
        <v>L</v>
      </c>
      <c r="R1081">
        <f>WEEKNUM(datos_siembra[[#This Row],[Date]],2)-WEEKNUM(DATE(YEAR(datos_siembra[[#This Row],[Date]]),MONTH(datos_siembra[[#This Row],[Date]]),1))+1</f>
        <v>3</v>
      </c>
      <c r="S1081">
        <f>MONTH(datos_siembra[[#This Row],[Date]])</f>
        <v>9</v>
      </c>
      <c r="T1081" t="str" cm="1">
        <f t="array" ref="T1081">_xlfn.IFS(AND(N1081&lt;= 22, S1081=9), "SOWING",AND(N1081&lt;= 28, S1081=9), "COVERAGE",AND(N1081&lt;= 30, S1081=9), "FLUSH",AND(N1081&lt;= 11, S1081=10), "FLUSH",AND(N1081&lt;= 21, S1081=10), "PRODUCTION")</f>
        <v>SOWING</v>
      </c>
      <c r="U1081">
        <f>HOUR(datos_siembra[[#This Row],[Hour]])</f>
        <v>1</v>
      </c>
      <c r="V1081" cm="1">
        <f t="array" ref="V1081">_xlfn.IFS(AND(N1081&lt;= 22, S1081=9), N1081-7,AND(N1081&lt;= 28, S1081=9), N1081-25,AND(N1081&lt;= 30, S1081=9), N1081-28,AND(N1081&lt;= 11, S1081=10), N1081+2,AND(N1081&lt;= 21, S1081=10), N1081-11)</f>
        <v>9</v>
      </c>
    </row>
    <row r="1082" spans="1:22" x14ac:dyDescent="0.35">
      <c r="A1082" s="4">
        <v>45551</v>
      </c>
      <c r="B1082" s="5">
        <v>6.1064814814814815E-2</v>
      </c>
      <c r="C1082">
        <v>79.400000000000006</v>
      </c>
      <c r="D1082">
        <v>75.8</v>
      </c>
      <c r="E1082">
        <v>80</v>
      </c>
      <c r="F1082">
        <v>78.8</v>
      </c>
      <c r="G1082">
        <v>0</v>
      </c>
      <c r="H1082">
        <v>0</v>
      </c>
      <c r="I1082">
        <v>0</v>
      </c>
      <c r="J1082">
        <v>0</v>
      </c>
      <c r="K1082">
        <v>64.099999999999994</v>
      </c>
      <c r="L1082">
        <v>62.4</v>
      </c>
      <c r="M1082">
        <v>78.430000000000007</v>
      </c>
      <c r="N1082">
        <v>16</v>
      </c>
      <c r="O1082">
        <v>6</v>
      </c>
      <c r="P1082">
        <f>MOD(DAY(datos_siembra[[#This Row],[Date]]),7)</f>
        <v>2</v>
      </c>
      <c r="Q1082" t="str">
        <f>CHOOSE(WEEKDAY(datos_siembra[[#This Row],[Date]],2),"L","M","X","J","V","S","D")</f>
        <v>L</v>
      </c>
      <c r="R1082">
        <f>WEEKNUM(datos_siembra[[#This Row],[Date]],2)-WEEKNUM(DATE(YEAR(datos_siembra[[#This Row],[Date]]),MONTH(datos_siembra[[#This Row],[Date]]),1))+1</f>
        <v>3</v>
      </c>
      <c r="S1082">
        <f>MONTH(datos_siembra[[#This Row],[Date]])</f>
        <v>9</v>
      </c>
      <c r="T1082" t="str" cm="1">
        <f t="array" ref="T1082">_xlfn.IFS(AND(N1082&lt;= 22, S1082=9), "SOWING",AND(N1082&lt;= 28, S1082=9), "COVERAGE",AND(N1082&lt;= 30, S1082=9), "FLUSH",AND(N1082&lt;= 11, S1082=10), "FLUSH",AND(N1082&lt;= 21, S1082=10), "PRODUCTION")</f>
        <v>SOWING</v>
      </c>
      <c r="U1082">
        <f>HOUR(datos_siembra[[#This Row],[Hour]])</f>
        <v>1</v>
      </c>
      <c r="V1082" cm="1">
        <f t="array" ref="V1082">_xlfn.IFS(AND(N1082&lt;= 22, S1082=9), N1082-7,AND(N1082&lt;= 28, S1082=9), N1082-25,AND(N1082&lt;= 30, S1082=9), N1082-28,AND(N1082&lt;= 11, S1082=10), N1082+2,AND(N1082&lt;= 21, S1082=10), N1082-11)</f>
        <v>9</v>
      </c>
    </row>
    <row r="1083" spans="1:22" x14ac:dyDescent="0.35">
      <c r="A1083" s="4">
        <v>45551</v>
      </c>
      <c r="B1083" s="5">
        <v>6.8009259259259255E-2</v>
      </c>
      <c r="C1083">
        <v>79.400000000000006</v>
      </c>
      <c r="D1083">
        <v>75.599999999999994</v>
      </c>
      <c r="E1083">
        <v>79.8</v>
      </c>
      <c r="F1083">
        <v>78.900000000000006</v>
      </c>
      <c r="G1083">
        <v>0</v>
      </c>
      <c r="H1083">
        <v>0</v>
      </c>
      <c r="I1083">
        <v>0</v>
      </c>
      <c r="J1083">
        <v>0</v>
      </c>
      <c r="K1083">
        <v>63.9</v>
      </c>
      <c r="L1083">
        <v>62.4</v>
      </c>
      <c r="M1083">
        <v>78.430000000000007</v>
      </c>
      <c r="N1083">
        <v>16</v>
      </c>
      <c r="O1083">
        <v>6</v>
      </c>
      <c r="P1083">
        <f>MOD(DAY(datos_siembra[[#This Row],[Date]]),7)</f>
        <v>2</v>
      </c>
      <c r="Q1083" t="str">
        <f>CHOOSE(WEEKDAY(datos_siembra[[#This Row],[Date]],2),"L","M","X","J","V","S","D")</f>
        <v>L</v>
      </c>
      <c r="R1083">
        <f>WEEKNUM(datos_siembra[[#This Row],[Date]],2)-WEEKNUM(DATE(YEAR(datos_siembra[[#This Row],[Date]]),MONTH(datos_siembra[[#This Row],[Date]]),1))+1</f>
        <v>3</v>
      </c>
      <c r="S1083">
        <f>MONTH(datos_siembra[[#This Row],[Date]])</f>
        <v>9</v>
      </c>
      <c r="T1083" t="str" cm="1">
        <f t="array" ref="T1083">_xlfn.IFS(AND(N1083&lt;= 22, S1083=9), "SOWING",AND(N1083&lt;= 28, S1083=9), "COVERAGE",AND(N1083&lt;= 30, S1083=9), "FLUSH",AND(N1083&lt;= 11, S1083=10), "FLUSH",AND(N1083&lt;= 21, S1083=10), "PRODUCTION")</f>
        <v>SOWING</v>
      </c>
      <c r="U1083">
        <f>HOUR(datos_siembra[[#This Row],[Hour]])</f>
        <v>1</v>
      </c>
      <c r="V1083" cm="1">
        <f t="array" ref="V1083">_xlfn.IFS(AND(N1083&lt;= 22, S1083=9), N1083-7,AND(N1083&lt;= 28, S1083=9), N1083-25,AND(N1083&lt;= 30, S1083=9), N1083-28,AND(N1083&lt;= 11, S1083=10), N1083+2,AND(N1083&lt;= 21, S1083=10), N1083-11)</f>
        <v>9</v>
      </c>
    </row>
    <row r="1084" spans="1:22" x14ac:dyDescent="0.35">
      <c r="A1084" s="4">
        <v>45551</v>
      </c>
      <c r="B1084" s="5">
        <v>7.4953703703703703E-2</v>
      </c>
      <c r="C1084">
        <v>79.400000000000006</v>
      </c>
      <c r="D1084">
        <v>75.599999999999994</v>
      </c>
      <c r="E1084">
        <v>79.8</v>
      </c>
      <c r="F1084">
        <v>78.900000000000006</v>
      </c>
      <c r="G1084">
        <v>0</v>
      </c>
      <c r="H1084">
        <v>0</v>
      </c>
      <c r="I1084">
        <v>0</v>
      </c>
      <c r="J1084">
        <v>0</v>
      </c>
      <c r="K1084">
        <v>63.9</v>
      </c>
      <c r="L1084">
        <v>62.4</v>
      </c>
      <c r="M1084">
        <v>78.459999999999994</v>
      </c>
      <c r="N1084">
        <v>16</v>
      </c>
      <c r="O1084">
        <v>6</v>
      </c>
      <c r="P1084">
        <f>MOD(DAY(datos_siembra[[#This Row],[Date]]),7)</f>
        <v>2</v>
      </c>
      <c r="Q1084" t="str">
        <f>CHOOSE(WEEKDAY(datos_siembra[[#This Row],[Date]],2),"L","M","X","J","V","S","D")</f>
        <v>L</v>
      </c>
      <c r="R1084">
        <f>WEEKNUM(datos_siembra[[#This Row],[Date]],2)-WEEKNUM(DATE(YEAR(datos_siembra[[#This Row],[Date]]),MONTH(datos_siembra[[#This Row],[Date]]),1))+1</f>
        <v>3</v>
      </c>
      <c r="S1084">
        <f>MONTH(datos_siembra[[#This Row],[Date]])</f>
        <v>9</v>
      </c>
      <c r="T1084" t="str" cm="1">
        <f t="array" ref="T1084">_xlfn.IFS(AND(N1084&lt;= 22, S1084=9), "SOWING",AND(N1084&lt;= 28, S1084=9), "COVERAGE",AND(N1084&lt;= 30, S1084=9), "FLUSH",AND(N1084&lt;= 11, S1084=10), "FLUSH",AND(N1084&lt;= 21, S1084=10), "PRODUCTION")</f>
        <v>SOWING</v>
      </c>
      <c r="U1084">
        <f>HOUR(datos_siembra[[#This Row],[Hour]])</f>
        <v>1</v>
      </c>
      <c r="V1084" cm="1">
        <f t="array" ref="V1084">_xlfn.IFS(AND(N1084&lt;= 22, S1084=9), N1084-7,AND(N1084&lt;= 28, S1084=9), N1084-25,AND(N1084&lt;= 30, S1084=9), N1084-28,AND(N1084&lt;= 11, S1084=10), N1084+2,AND(N1084&lt;= 21, S1084=10), N1084-11)</f>
        <v>9</v>
      </c>
    </row>
    <row r="1085" spans="1:22" x14ac:dyDescent="0.35">
      <c r="A1085" s="4">
        <v>45551</v>
      </c>
      <c r="B1085" s="5">
        <v>8.1909722222222217E-2</v>
      </c>
      <c r="C1085">
        <v>79.400000000000006</v>
      </c>
      <c r="D1085">
        <v>75.599999999999994</v>
      </c>
      <c r="E1085">
        <v>79.8</v>
      </c>
      <c r="F1085">
        <v>78.8</v>
      </c>
      <c r="G1085">
        <v>0</v>
      </c>
      <c r="H1085">
        <v>0</v>
      </c>
      <c r="I1085">
        <v>0</v>
      </c>
      <c r="J1085">
        <v>0</v>
      </c>
      <c r="K1085">
        <v>63.9</v>
      </c>
      <c r="L1085">
        <v>62.3</v>
      </c>
      <c r="M1085">
        <v>78.430000000000007</v>
      </c>
      <c r="N1085">
        <v>16</v>
      </c>
      <c r="O1085">
        <v>6</v>
      </c>
      <c r="P1085">
        <f>MOD(DAY(datos_siembra[[#This Row],[Date]]),7)</f>
        <v>2</v>
      </c>
      <c r="Q1085" t="str">
        <f>CHOOSE(WEEKDAY(datos_siembra[[#This Row],[Date]],2),"L","M","X","J","V","S","D")</f>
        <v>L</v>
      </c>
      <c r="R1085">
        <f>WEEKNUM(datos_siembra[[#This Row],[Date]],2)-WEEKNUM(DATE(YEAR(datos_siembra[[#This Row],[Date]]),MONTH(datos_siembra[[#This Row],[Date]]),1))+1</f>
        <v>3</v>
      </c>
      <c r="S1085">
        <f>MONTH(datos_siembra[[#This Row],[Date]])</f>
        <v>9</v>
      </c>
      <c r="T1085" t="str" cm="1">
        <f t="array" ref="T1085">_xlfn.IFS(AND(N1085&lt;= 22, S1085=9), "SOWING",AND(N1085&lt;= 28, S1085=9), "COVERAGE",AND(N1085&lt;= 30, S1085=9), "FLUSH",AND(N1085&lt;= 11, S1085=10), "FLUSH",AND(N1085&lt;= 21, S1085=10), "PRODUCTION")</f>
        <v>SOWING</v>
      </c>
      <c r="U1085">
        <f>HOUR(datos_siembra[[#This Row],[Hour]])</f>
        <v>1</v>
      </c>
      <c r="V1085" cm="1">
        <f t="array" ref="V1085">_xlfn.IFS(AND(N1085&lt;= 22, S1085=9), N1085-7,AND(N1085&lt;= 28, S1085=9), N1085-25,AND(N1085&lt;= 30, S1085=9), N1085-28,AND(N1085&lt;= 11, S1085=10), N1085+2,AND(N1085&lt;= 21, S1085=10), N1085-11)</f>
        <v>9</v>
      </c>
    </row>
    <row r="1086" spans="1:22" x14ac:dyDescent="0.35">
      <c r="A1086" s="4">
        <v>45551</v>
      </c>
      <c r="B1086" s="5">
        <v>8.8854166666666665E-2</v>
      </c>
      <c r="C1086">
        <v>79.3</v>
      </c>
      <c r="D1086">
        <v>75.5</v>
      </c>
      <c r="E1086">
        <v>79.8</v>
      </c>
      <c r="F1086">
        <v>78.8</v>
      </c>
      <c r="G1086">
        <v>0</v>
      </c>
      <c r="H1086">
        <v>0</v>
      </c>
      <c r="I1086">
        <v>0</v>
      </c>
      <c r="J1086">
        <v>0</v>
      </c>
      <c r="K1086">
        <v>63.7</v>
      </c>
      <c r="L1086">
        <v>62</v>
      </c>
      <c r="M1086">
        <v>78.41</v>
      </c>
      <c r="N1086">
        <v>16</v>
      </c>
      <c r="O1086">
        <v>6</v>
      </c>
      <c r="P1086">
        <f>MOD(DAY(datos_siembra[[#This Row],[Date]]),7)</f>
        <v>2</v>
      </c>
      <c r="Q1086" t="str">
        <f>CHOOSE(WEEKDAY(datos_siembra[[#This Row],[Date]],2),"L","M","X","J","V","S","D")</f>
        <v>L</v>
      </c>
      <c r="R1086">
        <f>WEEKNUM(datos_siembra[[#This Row],[Date]],2)-WEEKNUM(DATE(YEAR(datos_siembra[[#This Row],[Date]]),MONTH(datos_siembra[[#This Row],[Date]]),1))+1</f>
        <v>3</v>
      </c>
      <c r="S1086">
        <f>MONTH(datos_siembra[[#This Row],[Date]])</f>
        <v>9</v>
      </c>
      <c r="T1086" t="str" cm="1">
        <f t="array" ref="T1086">_xlfn.IFS(AND(N1086&lt;= 22, S1086=9), "SOWING",AND(N1086&lt;= 28, S1086=9), "COVERAGE",AND(N1086&lt;= 30, S1086=9), "FLUSH",AND(N1086&lt;= 11, S1086=10), "FLUSH",AND(N1086&lt;= 21, S1086=10), "PRODUCTION")</f>
        <v>SOWING</v>
      </c>
      <c r="U1086">
        <f>HOUR(datos_siembra[[#This Row],[Hour]])</f>
        <v>2</v>
      </c>
      <c r="V1086" cm="1">
        <f t="array" ref="V1086">_xlfn.IFS(AND(N1086&lt;= 22, S1086=9), N1086-7,AND(N1086&lt;= 28, S1086=9), N1086-25,AND(N1086&lt;= 30, S1086=9), N1086-28,AND(N1086&lt;= 11, S1086=10), N1086+2,AND(N1086&lt;= 21, S1086=10), N1086-11)</f>
        <v>9</v>
      </c>
    </row>
    <row r="1087" spans="1:22" x14ac:dyDescent="0.35">
      <c r="A1087" s="4">
        <v>45551</v>
      </c>
      <c r="B1087" s="5">
        <v>9.5798611111111112E-2</v>
      </c>
      <c r="C1087">
        <v>79.5</v>
      </c>
      <c r="D1087">
        <v>75.599999999999994</v>
      </c>
      <c r="E1087">
        <v>79.8</v>
      </c>
      <c r="F1087">
        <v>78.8</v>
      </c>
      <c r="G1087">
        <v>0</v>
      </c>
      <c r="H1087">
        <v>0</v>
      </c>
      <c r="I1087">
        <v>0</v>
      </c>
      <c r="J1087">
        <v>0</v>
      </c>
      <c r="K1087">
        <v>63.8</v>
      </c>
      <c r="L1087">
        <v>62.2</v>
      </c>
      <c r="M1087">
        <v>78.430000000000007</v>
      </c>
      <c r="N1087">
        <v>16</v>
      </c>
      <c r="O1087">
        <v>6</v>
      </c>
      <c r="P1087">
        <f>MOD(DAY(datos_siembra[[#This Row],[Date]]),7)</f>
        <v>2</v>
      </c>
      <c r="Q1087" t="str">
        <f>CHOOSE(WEEKDAY(datos_siembra[[#This Row],[Date]],2),"L","M","X","J","V","S","D")</f>
        <v>L</v>
      </c>
      <c r="R1087">
        <f>WEEKNUM(datos_siembra[[#This Row],[Date]],2)-WEEKNUM(DATE(YEAR(datos_siembra[[#This Row],[Date]]),MONTH(datos_siembra[[#This Row],[Date]]),1))+1</f>
        <v>3</v>
      </c>
      <c r="S1087">
        <f>MONTH(datos_siembra[[#This Row],[Date]])</f>
        <v>9</v>
      </c>
      <c r="T1087" t="str" cm="1">
        <f t="array" ref="T1087">_xlfn.IFS(AND(N1087&lt;= 22, S1087=9), "SOWING",AND(N1087&lt;= 28, S1087=9), "COVERAGE",AND(N1087&lt;= 30, S1087=9), "FLUSH",AND(N1087&lt;= 11, S1087=10), "FLUSH",AND(N1087&lt;= 21, S1087=10), "PRODUCTION")</f>
        <v>SOWING</v>
      </c>
      <c r="U1087">
        <f>HOUR(datos_siembra[[#This Row],[Hour]])</f>
        <v>2</v>
      </c>
      <c r="V1087" cm="1">
        <f t="array" ref="V1087">_xlfn.IFS(AND(N1087&lt;= 22, S1087=9), N1087-7,AND(N1087&lt;= 28, S1087=9), N1087-25,AND(N1087&lt;= 30, S1087=9), N1087-28,AND(N1087&lt;= 11, S1087=10), N1087+2,AND(N1087&lt;= 21, S1087=10), N1087-11)</f>
        <v>9</v>
      </c>
    </row>
    <row r="1088" spans="1:22" x14ac:dyDescent="0.35">
      <c r="A1088" s="4">
        <v>45551</v>
      </c>
      <c r="B1088" s="5">
        <v>0.10274305555555556</v>
      </c>
      <c r="C1088">
        <v>79.099999999999994</v>
      </c>
      <c r="D1088">
        <v>75.5</v>
      </c>
      <c r="E1088">
        <v>79.7</v>
      </c>
      <c r="F1088">
        <v>78.8</v>
      </c>
      <c r="G1088">
        <v>0</v>
      </c>
      <c r="H1088">
        <v>0</v>
      </c>
      <c r="I1088">
        <v>0</v>
      </c>
      <c r="J1088">
        <v>0</v>
      </c>
      <c r="K1088">
        <v>63.8</v>
      </c>
      <c r="L1088">
        <v>62.2</v>
      </c>
      <c r="M1088">
        <v>78.41</v>
      </c>
      <c r="N1088">
        <v>16</v>
      </c>
      <c r="O1088">
        <v>6</v>
      </c>
      <c r="P1088">
        <f>MOD(DAY(datos_siembra[[#This Row],[Date]]),7)</f>
        <v>2</v>
      </c>
      <c r="Q1088" t="str">
        <f>CHOOSE(WEEKDAY(datos_siembra[[#This Row],[Date]],2),"L","M","X","J","V","S","D")</f>
        <v>L</v>
      </c>
      <c r="R1088">
        <f>WEEKNUM(datos_siembra[[#This Row],[Date]],2)-WEEKNUM(DATE(YEAR(datos_siembra[[#This Row],[Date]]),MONTH(datos_siembra[[#This Row],[Date]]),1))+1</f>
        <v>3</v>
      </c>
      <c r="S1088">
        <f>MONTH(datos_siembra[[#This Row],[Date]])</f>
        <v>9</v>
      </c>
      <c r="T1088" t="str" cm="1">
        <f t="array" ref="T1088">_xlfn.IFS(AND(N1088&lt;= 22, S1088=9), "SOWING",AND(N1088&lt;= 28, S1088=9), "COVERAGE",AND(N1088&lt;= 30, S1088=9), "FLUSH",AND(N1088&lt;= 11, S1088=10), "FLUSH",AND(N1088&lt;= 21, S1088=10), "PRODUCTION")</f>
        <v>SOWING</v>
      </c>
      <c r="U1088">
        <f>HOUR(datos_siembra[[#This Row],[Hour]])</f>
        <v>2</v>
      </c>
      <c r="V1088" cm="1">
        <f t="array" ref="V1088">_xlfn.IFS(AND(N1088&lt;= 22, S1088=9), N1088-7,AND(N1088&lt;= 28, S1088=9), N1088-25,AND(N1088&lt;= 30, S1088=9), N1088-28,AND(N1088&lt;= 11, S1088=10), N1088+2,AND(N1088&lt;= 21, S1088=10), N1088-11)</f>
        <v>9</v>
      </c>
    </row>
    <row r="1089" spans="1:22" x14ac:dyDescent="0.35">
      <c r="A1089" s="4">
        <v>45551</v>
      </c>
      <c r="B1089" s="5">
        <v>0.10969907407407407</v>
      </c>
      <c r="C1089">
        <v>79.400000000000006</v>
      </c>
      <c r="D1089">
        <v>75.5</v>
      </c>
      <c r="E1089">
        <v>79.8</v>
      </c>
      <c r="F1089">
        <v>78.900000000000006</v>
      </c>
      <c r="G1089">
        <v>0</v>
      </c>
      <c r="H1089">
        <v>0</v>
      </c>
      <c r="I1089">
        <v>0</v>
      </c>
      <c r="J1089">
        <v>0</v>
      </c>
      <c r="K1089">
        <v>63.7</v>
      </c>
      <c r="L1089">
        <v>62</v>
      </c>
      <c r="M1089">
        <v>78.41</v>
      </c>
      <c r="N1089">
        <v>16</v>
      </c>
      <c r="O1089">
        <v>6</v>
      </c>
      <c r="P1089">
        <f>MOD(DAY(datos_siembra[[#This Row],[Date]]),7)</f>
        <v>2</v>
      </c>
      <c r="Q1089" t="str">
        <f>CHOOSE(WEEKDAY(datos_siembra[[#This Row],[Date]],2),"L","M","X","J","V","S","D")</f>
        <v>L</v>
      </c>
      <c r="R1089">
        <f>WEEKNUM(datos_siembra[[#This Row],[Date]],2)-WEEKNUM(DATE(YEAR(datos_siembra[[#This Row],[Date]]),MONTH(datos_siembra[[#This Row],[Date]]),1))+1</f>
        <v>3</v>
      </c>
      <c r="S1089">
        <f>MONTH(datos_siembra[[#This Row],[Date]])</f>
        <v>9</v>
      </c>
      <c r="T1089" t="str" cm="1">
        <f t="array" ref="T1089">_xlfn.IFS(AND(N1089&lt;= 22, S1089=9), "SOWING",AND(N1089&lt;= 28, S1089=9), "COVERAGE",AND(N1089&lt;= 30, S1089=9), "FLUSH",AND(N1089&lt;= 11, S1089=10), "FLUSH",AND(N1089&lt;= 21, S1089=10), "PRODUCTION")</f>
        <v>SOWING</v>
      </c>
      <c r="U1089">
        <f>HOUR(datos_siembra[[#This Row],[Hour]])</f>
        <v>2</v>
      </c>
      <c r="V1089" cm="1">
        <f t="array" ref="V1089">_xlfn.IFS(AND(N1089&lt;= 22, S1089=9), N1089-7,AND(N1089&lt;= 28, S1089=9), N1089-25,AND(N1089&lt;= 30, S1089=9), N1089-28,AND(N1089&lt;= 11, S1089=10), N1089+2,AND(N1089&lt;= 21, S1089=10), N1089-11)</f>
        <v>9</v>
      </c>
    </row>
    <row r="1090" spans="1:22" x14ac:dyDescent="0.35">
      <c r="A1090" s="4">
        <v>45551</v>
      </c>
      <c r="B1090" s="5">
        <v>0.11664351851851852</v>
      </c>
      <c r="C1090">
        <v>79.400000000000006</v>
      </c>
      <c r="D1090">
        <v>75.599999999999994</v>
      </c>
      <c r="E1090">
        <v>79.8</v>
      </c>
      <c r="F1090">
        <v>79</v>
      </c>
      <c r="G1090">
        <v>0</v>
      </c>
      <c r="H1090">
        <v>0</v>
      </c>
      <c r="I1090">
        <v>0</v>
      </c>
      <c r="J1090">
        <v>0</v>
      </c>
      <c r="K1090">
        <v>63.8</v>
      </c>
      <c r="L1090">
        <v>62</v>
      </c>
      <c r="M1090">
        <v>78.27</v>
      </c>
      <c r="N1090">
        <v>16</v>
      </c>
      <c r="O1090">
        <v>6</v>
      </c>
      <c r="P1090">
        <f>MOD(DAY(datos_siembra[[#This Row],[Date]]),7)</f>
        <v>2</v>
      </c>
      <c r="Q1090" t="str">
        <f>CHOOSE(WEEKDAY(datos_siembra[[#This Row],[Date]],2),"L","M","X","J","V","S","D")</f>
        <v>L</v>
      </c>
      <c r="R1090">
        <f>WEEKNUM(datos_siembra[[#This Row],[Date]],2)-WEEKNUM(DATE(YEAR(datos_siembra[[#This Row],[Date]]),MONTH(datos_siembra[[#This Row],[Date]]),1))+1</f>
        <v>3</v>
      </c>
      <c r="S1090">
        <f>MONTH(datos_siembra[[#This Row],[Date]])</f>
        <v>9</v>
      </c>
      <c r="T1090" t="str" cm="1">
        <f t="array" ref="T1090">_xlfn.IFS(AND(N1090&lt;= 22, S1090=9), "SOWING",AND(N1090&lt;= 28, S1090=9), "COVERAGE",AND(N1090&lt;= 30, S1090=9), "FLUSH",AND(N1090&lt;= 11, S1090=10), "FLUSH",AND(N1090&lt;= 21, S1090=10), "PRODUCTION")</f>
        <v>SOWING</v>
      </c>
      <c r="U1090">
        <f>HOUR(datos_siembra[[#This Row],[Hour]])</f>
        <v>2</v>
      </c>
      <c r="V1090" cm="1">
        <f t="array" ref="V1090">_xlfn.IFS(AND(N1090&lt;= 22, S1090=9), N1090-7,AND(N1090&lt;= 28, S1090=9), N1090-25,AND(N1090&lt;= 30, S1090=9), N1090-28,AND(N1090&lt;= 11, S1090=10), N1090+2,AND(N1090&lt;= 21, S1090=10), N1090-11)</f>
        <v>9</v>
      </c>
    </row>
    <row r="1091" spans="1:22" x14ac:dyDescent="0.35">
      <c r="A1091" s="4">
        <v>45551</v>
      </c>
      <c r="B1091" s="5">
        <v>0.12358796296296297</v>
      </c>
      <c r="C1091">
        <v>79.3</v>
      </c>
      <c r="D1091">
        <v>75.5</v>
      </c>
      <c r="E1091">
        <v>79.8</v>
      </c>
      <c r="F1091">
        <v>78.7</v>
      </c>
      <c r="G1091">
        <v>0</v>
      </c>
      <c r="H1091">
        <v>0</v>
      </c>
      <c r="I1091">
        <v>0</v>
      </c>
      <c r="J1091">
        <v>0</v>
      </c>
      <c r="K1091">
        <v>63.8</v>
      </c>
      <c r="L1091">
        <v>62</v>
      </c>
      <c r="M1091">
        <v>78.349999999999994</v>
      </c>
      <c r="N1091">
        <v>16</v>
      </c>
      <c r="O1091">
        <v>6</v>
      </c>
      <c r="P1091">
        <f>MOD(DAY(datos_siembra[[#This Row],[Date]]),7)</f>
        <v>2</v>
      </c>
      <c r="Q1091" t="str">
        <f>CHOOSE(WEEKDAY(datos_siembra[[#This Row],[Date]],2),"L","M","X","J","V","S","D")</f>
        <v>L</v>
      </c>
      <c r="R1091">
        <f>WEEKNUM(datos_siembra[[#This Row],[Date]],2)-WEEKNUM(DATE(YEAR(datos_siembra[[#This Row],[Date]]),MONTH(datos_siembra[[#This Row],[Date]]),1))+1</f>
        <v>3</v>
      </c>
      <c r="S1091">
        <f>MONTH(datos_siembra[[#This Row],[Date]])</f>
        <v>9</v>
      </c>
      <c r="T1091" t="str" cm="1">
        <f t="array" ref="T1091">_xlfn.IFS(AND(N1091&lt;= 22, S1091=9), "SOWING",AND(N1091&lt;= 28, S1091=9), "COVERAGE",AND(N1091&lt;= 30, S1091=9), "FLUSH",AND(N1091&lt;= 11, S1091=10), "FLUSH",AND(N1091&lt;= 21, S1091=10), "PRODUCTION")</f>
        <v>SOWING</v>
      </c>
      <c r="U1091">
        <f>HOUR(datos_siembra[[#This Row],[Hour]])</f>
        <v>2</v>
      </c>
      <c r="V1091" cm="1">
        <f t="array" ref="V1091">_xlfn.IFS(AND(N1091&lt;= 22, S1091=9), N1091-7,AND(N1091&lt;= 28, S1091=9), N1091-25,AND(N1091&lt;= 30, S1091=9), N1091-28,AND(N1091&lt;= 11, S1091=10), N1091+2,AND(N1091&lt;= 21, S1091=10), N1091-11)</f>
        <v>9</v>
      </c>
    </row>
    <row r="1092" spans="1:22" x14ac:dyDescent="0.35">
      <c r="A1092" s="4">
        <v>45551</v>
      </c>
      <c r="B1092" s="5">
        <v>0.13054398148148147</v>
      </c>
      <c r="C1092">
        <v>79.400000000000006</v>
      </c>
      <c r="D1092">
        <v>75.5</v>
      </c>
      <c r="E1092">
        <v>79.7</v>
      </c>
      <c r="F1092">
        <v>78.7</v>
      </c>
      <c r="G1092">
        <v>0</v>
      </c>
      <c r="H1092">
        <v>0</v>
      </c>
      <c r="I1092">
        <v>0</v>
      </c>
      <c r="J1092">
        <v>0</v>
      </c>
      <c r="K1092">
        <v>63.7</v>
      </c>
      <c r="L1092">
        <v>62</v>
      </c>
      <c r="M1092">
        <v>78.349999999999994</v>
      </c>
      <c r="N1092">
        <v>16</v>
      </c>
      <c r="O1092">
        <v>6</v>
      </c>
      <c r="P1092">
        <f>MOD(DAY(datos_siembra[[#This Row],[Date]]),7)</f>
        <v>2</v>
      </c>
      <c r="Q1092" t="str">
        <f>CHOOSE(WEEKDAY(datos_siembra[[#This Row],[Date]],2),"L","M","X","J","V","S","D")</f>
        <v>L</v>
      </c>
      <c r="R1092">
        <f>WEEKNUM(datos_siembra[[#This Row],[Date]],2)-WEEKNUM(DATE(YEAR(datos_siembra[[#This Row],[Date]]),MONTH(datos_siembra[[#This Row],[Date]]),1))+1</f>
        <v>3</v>
      </c>
      <c r="S1092">
        <f>MONTH(datos_siembra[[#This Row],[Date]])</f>
        <v>9</v>
      </c>
      <c r="T1092" t="str" cm="1">
        <f t="array" ref="T1092">_xlfn.IFS(AND(N1092&lt;= 22, S1092=9), "SOWING",AND(N1092&lt;= 28, S1092=9), "COVERAGE",AND(N1092&lt;= 30, S1092=9), "FLUSH",AND(N1092&lt;= 11, S1092=10), "FLUSH",AND(N1092&lt;= 21, S1092=10), "PRODUCTION")</f>
        <v>SOWING</v>
      </c>
      <c r="U1092">
        <f>HOUR(datos_siembra[[#This Row],[Hour]])</f>
        <v>3</v>
      </c>
      <c r="V1092" cm="1">
        <f t="array" ref="V1092">_xlfn.IFS(AND(N1092&lt;= 22, S1092=9), N1092-7,AND(N1092&lt;= 28, S1092=9), N1092-25,AND(N1092&lt;= 30, S1092=9), N1092-28,AND(N1092&lt;= 11, S1092=10), N1092+2,AND(N1092&lt;= 21, S1092=10), N1092-11)</f>
        <v>9</v>
      </c>
    </row>
    <row r="1093" spans="1:22" x14ac:dyDescent="0.35">
      <c r="A1093" s="4">
        <v>45551</v>
      </c>
      <c r="B1093" s="5">
        <v>0.13748842592592592</v>
      </c>
      <c r="C1093">
        <v>79.400000000000006</v>
      </c>
      <c r="D1093">
        <v>75.599999999999994</v>
      </c>
      <c r="E1093">
        <v>79.8</v>
      </c>
      <c r="F1093">
        <v>78.599999999999994</v>
      </c>
      <c r="G1093">
        <v>0</v>
      </c>
      <c r="H1093">
        <v>0</v>
      </c>
      <c r="I1093">
        <v>0</v>
      </c>
      <c r="J1093">
        <v>0</v>
      </c>
      <c r="K1093">
        <v>63.7</v>
      </c>
      <c r="L1093">
        <v>62</v>
      </c>
      <c r="M1093">
        <v>78.349999999999994</v>
      </c>
      <c r="N1093">
        <v>16</v>
      </c>
      <c r="O1093">
        <v>6</v>
      </c>
      <c r="P1093">
        <f>MOD(DAY(datos_siembra[[#This Row],[Date]]),7)</f>
        <v>2</v>
      </c>
      <c r="Q1093" t="str">
        <f>CHOOSE(WEEKDAY(datos_siembra[[#This Row],[Date]],2),"L","M","X","J","V","S","D")</f>
        <v>L</v>
      </c>
      <c r="R1093">
        <f>WEEKNUM(datos_siembra[[#This Row],[Date]],2)-WEEKNUM(DATE(YEAR(datos_siembra[[#This Row],[Date]]),MONTH(datos_siembra[[#This Row],[Date]]),1))+1</f>
        <v>3</v>
      </c>
      <c r="S1093">
        <f>MONTH(datos_siembra[[#This Row],[Date]])</f>
        <v>9</v>
      </c>
      <c r="T1093" t="str" cm="1">
        <f t="array" ref="T1093">_xlfn.IFS(AND(N1093&lt;= 22, S1093=9), "SOWING",AND(N1093&lt;= 28, S1093=9), "COVERAGE",AND(N1093&lt;= 30, S1093=9), "FLUSH",AND(N1093&lt;= 11, S1093=10), "FLUSH",AND(N1093&lt;= 21, S1093=10), "PRODUCTION")</f>
        <v>SOWING</v>
      </c>
      <c r="U1093">
        <f>HOUR(datos_siembra[[#This Row],[Hour]])</f>
        <v>3</v>
      </c>
      <c r="V1093" cm="1">
        <f t="array" ref="V1093">_xlfn.IFS(AND(N1093&lt;= 22, S1093=9), N1093-7,AND(N1093&lt;= 28, S1093=9), N1093-25,AND(N1093&lt;= 30, S1093=9), N1093-28,AND(N1093&lt;= 11, S1093=10), N1093+2,AND(N1093&lt;= 21, S1093=10), N1093-11)</f>
        <v>9</v>
      </c>
    </row>
    <row r="1094" spans="1:22" x14ac:dyDescent="0.35">
      <c r="A1094" s="4">
        <v>45551</v>
      </c>
      <c r="B1094" s="5">
        <v>0.14443287037037036</v>
      </c>
      <c r="C1094">
        <v>79.5</v>
      </c>
      <c r="D1094">
        <v>75.599999999999994</v>
      </c>
      <c r="E1094">
        <v>79.900000000000006</v>
      </c>
      <c r="F1094">
        <v>78.8</v>
      </c>
      <c r="G1094">
        <v>0</v>
      </c>
      <c r="H1094">
        <v>0</v>
      </c>
      <c r="I1094">
        <v>0</v>
      </c>
      <c r="J1094">
        <v>0</v>
      </c>
      <c r="K1094">
        <v>63.7</v>
      </c>
      <c r="L1094">
        <v>62</v>
      </c>
      <c r="M1094">
        <v>78.38</v>
      </c>
      <c r="N1094">
        <v>16</v>
      </c>
      <c r="O1094">
        <v>6</v>
      </c>
      <c r="P1094">
        <f>MOD(DAY(datos_siembra[[#This Row],[Date]]),7)</f>
        <v>2</v>
      </c>
      <c r="Q1094" t="str">
        <f>CHOOSE(WEEKDAY(datos_siembra[[#This Row],[Date]],2),"L","M","X","J","V","S","D")</f>
        <v>L</v>
      </c>
      <c r="R1094">
        <f>WEEKNUM(datos_siembra[[#This Row],[Date]],2)-WEEKNUM(DATE(YEAR(datos_siembra[[#This Row],[Date]]),MONTH(datos_siembra[[#This Row],[Date]]),1))+1</f>
        <v>3</v>
      </c>
      <c r="S1094">
        <f>MONTH(datos_siembra[[#This Row],[Date]])</f>
        <v>9</v>
      </c>
      <c r="T1094" t="str" cm="1">
        <f t="array" ref="T1094">_xlfn.IFS(AND(N1094&lt;= 22, S1094=9), "SOWING",AND(N1094&lt;= 28, S1094=9), "COVERAGE",AND(N1094&lt;= 30, S1094=9), "FLUSH",AND(N1094&lt;= 11, S1094=10), "FLUSH",AND(N1094&lt;= 21, S1094=10), "PRODUCTION")</f>
        <v>SOWING</v>
      </c>
      <c r="U1094">
        <f>HOUR(datos_siembra[[#This Row],[Hour]])</f>
        <v>3</v>
      </c>
      <c r="V1094" cm="1">
        <f t="array" ref="V1094">_xlfn.IFS(AND(N1094&lt;= 22, S1094=9), N1094-7,AND(N1094&lt;= 28, S1094=9), N1094-25,AND(N1094&lt;= 30, S1094=9), N1094-28,AND(N1094&lt;= 11, S1094=10), N1094+2,AND(N1094&lt;= 21, S1094=10), N1094-11)</f>
        <v>9</v>
      </c>
    </row>
    <row r="1095" spans="1:22" x14ac:dyDescent="0.35">
      <c r="A1095" s="4">
        <v>45551</v>
      </c>
      <c r="B1095" s="5">
        <v>0.15137731481481481</v>
      </c>
      <c r="C1095">
        <v>79.3</v>
      </c>
      <c r="D1095">
        <v>75.5</v>
      </c>
      <c r="E1095">
        <v>79.7</v>
      </c>
      <c r="F1095">
        <v>78.7</v>
      </c>
      <c r="G1095">
        <v>0</v>
      </c>
      <c r="H1095">
        <v>0</v>
      </c>
      <c r="I1095">
        <v>0</v>
      </c>
      <c r="J1095">
        <v>0</v>
      </c>
      <c r="K1095">
        <v>63.7</v>
      </c>
      <c r="L1095">
        <v>62</v>
      </c>
      <c r="M1095">
        <v>78.319999999999993</v>
      </c>
      <c r="N1095">
        <v>16</v>
      </c>
      <c r="O1095">
        <v>6</v>
      </c>
      <c r="P1095">
        <f>MOD(DAY(datos_siembra[[#This Row],[Date]]),7)</f>
        <v>2</v>
      </c>
      <c r="Q1095" t="str">
        <f>CHOOSE(WEEKDAY(datos_siembra[[#This Row],[Date]],2),"L","M","X","J","V","S","D")</f>
        <v>L</v>
      </c>
      <c r="R1095">
        <f>WEEKNUM(datos_siembra[[#This Row],[Date]],2)-WEEKNUM(DATE(YEAR(datos_siembra[[#This Row],[Date]]),MONTH(datos_siembra[[#This Row],[Date]]),1))+1</f>
        <v>3</v>
      </c>
      <c r="S1095">
        <f>MONTH(datos_siembra[[#This Row],[Date]])</f>
        <v>9</v>
      </c>
      <c r="T1095" t="str" cm="1">
        <f t="array" ref="T1095">_xlfn.IFS(AND(N1095&lt;= 22, S1095=9), "SOWING",AND(N1095&lt;= 28, S1095=9), "COVERAGE",AND(N1095&lt;= 30, S1095=9), "FLUSH",AND(N1095&lt;= 11, S1095=10), "FLUSH",AND(N1095&lt;= 21, S1095=10), "PRODUCTION")</f>
        <v>SOWING</v>
      </c>
      <c r="U1095">
        <f>HOUR(datos_siembra[[#This Row],[Hour]])</f>
        <v>3</v>
      </c>
      <c r="V1095" cm="1">
        <f t="array" ref="V1095">_xlfn.IFS(AND(N1095&lt;= 22, S1095=9), N1095-7,AND(N1095&lt;= 28, S1095=9), N1095-25,AND(N1095&lt;= 30, S1095=9), N1095-28,AND(N1095&lt;= 11, S1095=10), N1095+2,AND(N1095&lt;= 21, S1095=10), N1095-11)</f>
        <v>9</v>
      </c>
    </row>
    <row r="1096" spans="1:22" x14ac:dyDescent="0.35">
      <c r="A1096" s="4">
        <v>45551</v>
      </c>
      <c r="B1096" s="5">
        <v>0.15833333333333333</v>
      </c>
      <c r="C1096">
        <v>79.3</v>
      </c>
      <c r="D1096">
        <v>75.400000000000006</v>
      </c>
      <c r="E1096">
        <v>79.7</v>
      </c>
      <c r="F1096">
        <v>78.7</v>
      </c>
      <c r="G1096">
        <v>0</v>
      </c>
      <c r="H1096">
        <v>0</v>
      </c>
      <c r="I1096">
        <v>0</v>
      </c>
      <c r="J1096">
        <v>0</v>
      </c>
      <c r="K1096">
        <v>63.8</v>
      </c>
      <c r="L1096">
        <v>62.2</v>
      </c>
      <c r="M1096">
        <v>78.27</v>
      </c>
      <c r="N1096">
        <v>16</v>
      </c>
      <c r="O1096">
        <v>6</v>
      </c>
      <c r="P1096">
        <f>MOD(DAY(datos_siembra[[#This Row],[Date]]),7)</f>
        <v>2</v>
      </c>
      <c r="Q1096" t="str">
        <f>CHOOSE(WEEKDAY(datos_siembra[[#This Row],[Date]],2),"L","M","X","J","V","S","D")</f>
        <v>L</v>
      </c>
      <c r="R1096">
        <f>WEEKNUM(datos_siembra[[#This Row],[Date]],2)-WEEKNUM(DATE(YEAR(datos_siembra[[#This Row],[Date]]),MONTH(datos_siembra[[#This Row],[Date]]),1))+1</f>
        <v>3</v>
      </c>
      <c r="S1096">
        <f>MONTH(datos_siembra[[#This Row],[Date]])</f>
        <v>9</v>
      </c>
      <c r="T1096" t="str" cm="1">
        <f t="array" ref="T1096">_xlfn.IFS(AND(N1096&lt;= 22, S1096=9), "SOWING",AND(N1096&lt;= 28, S1096=9), "COVERAGE",AND(N1096&lt;= 30, S1096=9), "FLUSH",AND(N1096&lt;= 11, S1096=10), "FLUSH",AND(N1096&lt;= 21, S1096=10), "PRODUCTION")</f>
        <v>SOWING</v>
      </c>
      <c r="U1096">
        <f>HOUR(datos_siembra[[#This Row],[Hour]])</f>
        <v>3</v>
      </c>
      <c r="V1096" cm="1">
        <f t="array" ref="V1096">_xlfn.IFS(AND(N1096&lt;= 22, S1096=9), N1096-7,AND(N1096&lt;= 28, S1096=9), N1096-25,AND(N1096&lt;= 30, S1096=9), N1096-28,AND(N1096&lt;= 11, S1096=10), N1096+2,AND(N1096&lt;= 21, S1096=10), N1096-11)</f>
        <v>9</v>
      </c>
    </row>
    <row r="1097" spans="1:22" x14ac:dyDescent="0.35">
      <c r="A1097" s="4">
        <v>45551</v>
      </c>
      <c r="B1097" s="5">
        <v>0.16527777777777777</v>
      </c>
      <c r="C1097">
        <v>79.099999999999994</v>
      </c>
      <c r="D1097">
        <v>75.5</v>
      </c>
      <c r="E1097">
        <v>79.8</v>
      </c>
      <c r="F1097">
        <v>78.7</v>
      </c>
      <c r="G1097">
        <v>0</v>
      </c>
      <c r="H1097">
        <v>0</v>
      </c>
      <c r="I1097">
        <v>0</v>
      </c>
      <c r="J1097">
        <v>0</v>
      </c>
      <c r="K1097">
        <v>63.9</v>
      </c>
      <c r="L1097">
        <v>62.3</v>
      </c>
      <c r="M1097">
        <v>78.319999999999993</v>
      </c>
      <c r="N1097">
        <v>16</v>
      </c>
      <c r="O1097">
        <v>6</v>
      </c>
      <c r="P1097">
        <f>MOD(DAY(datos_siembra[[#This Row],[Date]]),7)</f>
        <v>2</v>
      </c>
      <c r="Q1097" t="str">
        <f>CHOOSE(WEEKDAY(datos_siembra[[#This Row],[Date]],2),"L","M","X","J","V","S","D")</f>
        <v>L</v>
      </c>
      <c r="R1097">
        <f>WEEKNUM(datos_siembra[[#This Row],[Date]],2)-WEEKNUM(DATE(YEAR(datos_siembra[[#This Row],[Date]]),MONTH(datos_siembra[[#This Row],[Date]]),1))+1</f>
        <v>3</v>
      </c>
      <c r="S1097">
        <f>MONTH(datos_siembra[[#This Row],[Date]])</f>
        <v>9</v>
      </c>
      <c r="T1097" t="str" cm="1">
        <f t="array" ref="T1097">_xlfn.IFS(AND(N1097&lt;= 22, S1097=9), "SOWING",AND(N1097&lt;= 28, S1097=9), "COVERAGE",AND(N1097&lt;= 30, S1097=9), "FLUSH",AND(N1097&lt;= 11, S1097=10), "FLUSH",AND(N1097&lt;= 21, S1097=10), "PRODUCTION")</f>
        <v>SOWING</v>
      </c>
      <c r="U1097">
        <f>HOUR(datos_siembra[[#This Row],[Hour]])</f>
        <v>3</v>
      </c>
      <c r="V1097" cm="1">
        <f t="array" ref="V1097">_xlfn.IFS(AND(N1097&lt;= 22, S1097=9), N1097-7,AND(N1097&lt;= 28, S1097=9), N1097-25,AND(N1097&lt;= 30, S1097=9), N1097-28,AND(N1097&lt;= 11, S1097=10), N1097+2,AND(N1097&lt;= 21, S1097=10), N1097-11)</f>
        <v>9</v>
      </c>
    </row>
    <row r="1098" spans="1:22" x14ac:dyDescent="0.35">
      <c r="A1098" s="4">
        <v>45551</v>
      </c>
      <c r="B1098" s="5">
        <v>0.17222222222222222</v>
      </c>
      <c r="C1098">
        <v>79.400000000000006</v>
      </c>
      <c r="D1098">
        <v>75.5</v>
      </c>
      <c r="E1098">
        <v>79.7</v>
      </c>
      <c r="F1098">
        <v>78.7</v>
      </c>
      <c r="G1098">
        <v>0</v>
      </c>
      <c r="H1098">
        <v>0</v>
      </c>
      <c r="I1098">
        <v>0</v>
      </c>
      <c r="J1098">
        <v>0</v>
      </c>
      <c r="K1098">
        <v>63.8</v>
      </c>
      <c r="L1098">
        <v>62.3</v>
      </c>
      <c r="M1098">
        <v>78.41</v>
      </c>
      <c r="N1098">
        <v>16</v>
      </c>
      <c r="O1098">
        <v>6</v>
      </c>
      <c r="P1098">
        <f>MOD(DAY(datos_siembra[[#This Row],[Date]]),7)</f>
        <v>2</v>
      </c>
      <c r="Q1098" t="str">
        <f>CHOOSE(WEEKDAY(datos_siembra[[#This Row],[Date]],2),"L","M","X","J","V","S","D")</f>
        <v>L</v>
      </c>
      <c r="R1098">
        <f>WEEKNUM(datos_siembra[[#This Row],[Date]],2)-WEEKNUM(DATE(YEAR(datos_siembra[[#This Row],[Date]]),MONTH(datos_siembra[[#This Row],[Date]]),1))+1</f>
        <v>3</v>
      </c>
      <c r="S1098">
        <f>MONTH(datos_siembra[[#This Row],[Date]])</f>
        <v>9</v>
      </c>
      <c r="T1098" t="str" cm="1">
        <f t="array" ref="T1098">_xlfn.IFS(AND(N1098&lt;= 22, S1098=9), "SOWING",AND(N1098&lt;= 28, S1098=9), "COVERAGE",AND(N1098&lt;= 30, S1098=9), "FLUSH",AND(N1098&lt;= 11, S1098=10), "FLUSH",AND(N1098&lt;= 21, S1098=10), "PRODUCTION")</f>
        <v>SOWING</v>
      </c>
      <c r="U1098">
        <f>HOUR(datos_siembra[[#This Row],[Hour]])</f>
        <v>4</v>
      </c>
      <c r="V1098" cm="1">
        <f t="array" ref="V1098">_xlfn.IFS(AND(N1098&lt;= 22, S1098=9), N1098-7,AND(N1098&lt;= 28, S1098=9), N1098-25,AND(N1098&lt;= 30, S1098=9), N1098-28,AND(N1098&lt;= 11, S1098=10), N1098+2,AND(N1098&lt;= 21, S1098=10), N1098-11)</f>
        <v>9</v>
      </c>
    </row>
    <row r="1099" spans="1:22" x14ac:dyDescent="0.35">
      <c r="A1099" s="4">
        <v>45551</v>
      </c>
      <c r="B1099" s="5">
        <v>0.17916666666666667</v>
      </c>
      <c r="C1099">
        <v>79.400000000000006</v>
      </c>
      <c r="D1099">
        <v>75.5</v>
      </c>
      <c r="E1099">
        <v>79.7</v>
      </c>
      <c r="F1099">
        <v>78.599999999999994</v>
      </c>
      <c r="G1099">
        <v>0</v>
      </c>
      <c r="H1099">
        <v>0</v>
      </c>
      <c r="I1099">
        <v>0</v>
      </c>
      <c r="J1099">
        <v>0</v>
      </c>
      <c r="K1099">
        <v>63.8</v>
      </c>
      <c r="L1099">
        <v>62.2</v>
      </c>
      <c r="M1099">
        <v>78.349999999999994</v>
      </c>
      <c r="N1099">
        <v>16</v>
      </c>
      <c r="O1099">
        <v>6</v>
      </c>
      <c r="P1099">
        <f>MOD(DAY(datos_siembra[[#This Row],[Date]]),7)</f>
        <v>2</v>
      </c>
      <c r="Q1099" t="str">
        <f>CHOOSE(WEEKDAY(datos_siembra[[#This Row],[Date]],2),"L","M","X","J","V","S","D")</f>
        <v>L</v>
      </c>
      <c r="R1099">
        <f>WEEKNUM(datos_siembra[[#This Row],[Date]],2)-WEEKNUM(DATE(YEAR(datos_siembra[[#This Row],[Date]]),MONTH(datos_siembra[[#This Row],[Date]]),1))+1</f>
        <v>3</v>
      </c>
      <c r="S1099">
        <f>MONTH(datos_siembra[[#This Row],[Date]])</f>
        <v>9</v>
      </c>
      <c r="T1099" t="str" cm="1">
        <f t="array" ref="T1099">_xlfn.IFS(AND(N1099&lt;= 22, S1099=9), "SOWING",AND(N1099&lt;= 28, S1099=9), "COVERAGE",AND(N1099&lt;= 30, S1099=9), "FLUSH",AND(N1099&lt;= 11, S1099=10), "FLUSH",AND(N1099&lt;= 21, S1099=10), "PRODUCTION")</f>
        <v>SOWING</v>
      </c>
      <c r="U1099">
        <f>HOUR(datos_siembra[[#This Row],[Hour]])</f>
        <v>4</v>
      </c>
      <c r="V1099" cm="1">
        <f t="array" ref="V1099">_xlfn.IFS(AND(N1099&lt;= 22, S1099=9), N1099-7,AND(N1099&lt;= 28, S1099=9), N1099-25,AND(N1099&lt;= 30, S1099=9), N1099-28,AND(N1099&lt;= 11, S1099=10), N1099+2,AND(N1099&lt;= 21, S1099=10), N1099-11)</f>
        <v>9</v>
      </c>
    </row>
    <row r="1100" spans="1:22" x14ac:dyDescent="0.35">
      <c r="A1100" s="4">
        <v>45551</v>
      </c>
      <c r="B1100" s="5">
        <v>0.18612268518518518</v>
      </c>
      <c r="C1100">
        <v>79.3</v>
      </c>
      <c r="D1100">
        <v>75.5</v>
      </c>
      <c r="E1100">
        <v>79.8</v>
      </c>
      <c r="F1100">
        <v>78.7</v>
      </c>
      <c r="G1100">
        <v>0</v>
      </c>
      <c r="H1100">
        <v>0</v>
      </c>
      <c r="I1100">
        <v>0</v>
      </c>
      <c r="J1100">
        <v>0</v>
      </c>
      <c r="K1100">
        <v>63.8</v>
      </c>
      <c r="L1100">
        <v>62.2</v>
      </c>
      <c r="M1100">
        <v>78.319999999999993</v>
      </c>
      <c r="N1100">
        <v>16</v>
      </c>
      <c r="O1100">
        <v>6</v>
      </c>
      <c r="P1100">
        <f>MOD(DAY(datos_siembra[[#This Row],[Date]]),7)</f>
        <v>2</v>
      </c>
      <c r="Q1100" t="str">
        <f>CHOOSE(WEEKDAY(datos_siembra[[#This Row],[Date]],2),"L","M","X","J","V","S","D")</f>
        <v>L</v>
      </c>
      <c r="R1100">
        <f>WEEKNUM(datos_siembra[[#This Row],[Date]],2)-WEEKNUM(DATE(YEAR(datos_siembra[[#This Row],[Date]]),MONTH(datos_siembra[[#This Row],[Date]]),1))+1</f>
        <v>3</v>
      </c>
      <c r="S1100">
        <f>MONTH(datos_siembra[[#This Row],[Date]])</f>
        <v>9</v>
      </c>
      <c r="T1100" t="str" cm="1">
        <f t="array" ref="T1100">_xlfn.IFS(AND(N1100&lt;= 22, S1100=9), "SOWING",AND(N1100&lt;= 28, S1100=9), "COVERAGE",AND(N1100&lt;= 30, S1100=9), "FLUSH",AND(N1100&lt;= 11, S1100=10), "FLUSH",AND(N1100&lt;= 21, S1100=10), "PRODUCTION")</f>
        <v>SOWING</v>
      </c>
      <c r="U1100">
        <f>HOUR(datos_siembra[[#This Row],[Hour]])</f>
        <v>4</v>
      </c>
      <c r="V1100" cm="1">
        <f t="array" ref="V1100">_xlfn.IFS(AND(N1100&lt;= 22, S1100=9), N1100-7,AND(N1100&lt;= 28, S1100=9), N1100-25,AND(N1100&lt;= 30, S1100=9), N1100-28,AND(N1100&lt;= 11, S1100=10), N1100+2,AND(N1100&lt;= 21, S1100=10), N1100-11)</f>
        <v>9</v>
      </c>
    </row>
    <row r="1101" spans="1:22" x14ac:dyDescent="0.35">
      <c r="A1101" s="4">
        <v>45551</v>
      </c>
      <c r="B1101" s="5">
        <v>0.19306712962962963</v>
      </c>
      <c r="C1101">
        <v>79.599999999999994</v>
      </c>
      <c r="D1101">
        <v>75.5</v>
      </c>
      <c r="E1101">
        <v>79.7</v>
      </c>
      <c r="F1101">
        <v>78.7</v>
      </c>
      <c r="G1101">
        <v>0</v>
      </c>
      <c r="H1101">
        <v>0</v>
      </c>
      <c r="I1101">
        <v>0</v>
      </c>
      <c r="J1101">
        <v>0</v>
      </c>
      <c r="K1101">
        <v>63.9</v>
      </c>
      <c r="L1101">
        <v>62.3</v>
      </c>
      <c r="M1101">
        <v>78.290000000000006</v>
      </c>
      <c r="N1101">
        <v>16</v>
      </c>
      <c r="O1101">
        <v>6</v>
      </c>
      <c r="P1101">
        <f>MOD(DAY(datos_siembra[[#This Row],[Date]]),7)</f>
        <v>2</v>
      </c>
      <c r="Q1101" t="str">
        <f>CHOOSE(WEEKDAY(datos_siembra[[#This Row],[Date]],2),"L","M","X","J","V","S","D")</f>
        <v>L</v>
      </c>
      <c r="R1101">
        <f>WEEKNUM(datos_siembra[[#This Row],[Date]],2)-WEEKNUM(DATE(YEAR(datos_siembra[[#This Row],[Date]]),MONTH(datos_siembra[[#This Row],[Date]]),1))+1</f>
        <v>3</v>
      </c>
      <c r="S1101">
        <f>MONTH(datos_siembra[[#This Row],[Date]])</f>
        <v>9</v>
      </c>
      <c r="T1101" t="str" cm="1">
        <f t="array" ref="T1101">_xlfn.IFS(AND(N1101&lt;= 22, S1101=9), "SOWING",AND(N1101&lt;= 28, S1101=9), "COVERAGE",AND(N1101&lt;= 30, S1101=9), "FLUSH",AND(N1101&lt;= 11, S1101=10), "FLUSH",AND(N1101&lt;= 21, S1101=10), "PRODUCTION")</f>
        <v>SOWING</v>
      </c>
      <c r="U1101">
        <f>HOUR(datos_siembra[[#This Row],[Hour]])</f>
        <v>4</v>
      </c>
      <c r="V1101" cm="1">
        <f t="array" ref="V1101">_xlfn.IFS(AND(N1101&lt;= 22, S1101=9), N1101-7,AND(N1101&lt;= 28, S1101=9), N1101-25,AND(N1101&lt;= 30, S1101=9), N1101-28,AND(N1101&lt;= 11, S1101=10), N1101+2,AND(N1101&lt;= 21, S1101=10), N1101-11)</f>
        <v>9</v>
      </c>
    </row>
    <row r="1102" spans="1:22" x14ac:dyDescent="0.35">
      <c r="A1102" s="4">
        <v>45551</v>
      </c>
      <c r="B1102" s="5">
        <v>0.20001157407407408</v>
      </c>
      <c r="C1102">
        <v>79.5</v>
      </c>
      <c r="D1102">
        <v>75.5</v>
      </c>
      <c r="E1102">
        <v>79.900000000000006</v>
      </c>
      <c r="F1102">
        <v>78.599999999999994</v>
      </c>
      <c r="G1102">
        <v>0</v>
      </c>
      <c r="H1102">
        <v>0</v>
      </c>
      <c r="I1102">
        <v>0</v>
      </c>
      <c r="J1102">
        <v>0</v>
      </c>
      <c r="K1102">
        <v>63.9</v>
      </c>
      <c r="L1102">
        <v>62.4</v>
      </c>
      <c r="M1102">
        <v>78.349999999999994</v>
      </c>
      <c r="N1102">
        <v>16</v>
      </c>
      <c r="O1102">
        <v>6</v>
      </c>
      <c r="P1102">
        <f>MOD(DAY(datos_siembra[[#This Row],[Date]]),7)</f>
        <v>2</v>
      </c>
      <c r="Q1102" t="str">
        <f>CHOOSE(WEEKDAY(datos_siembra[[#This Row],[Date]],2),"L","M","X","J","V","S","D")</f>
        <v>L</v>
      </c>
      <c r="R1102">
        <f>WEEKNUM(datos_siembra[[#This Row],[Date]],2)-WEEKNUM(DATE(YEAR(datos_siembra[[#This Row],[Date]]),MONTH(datos_siembra[[#This Row],[Date]]),1))+1</f>
        <v>3</v>
      </c>
      <c r="S1102">
        <f>MONTH(datos_siembra[[#This Row],[Date]])</f>
        <v>9</v>
      </c>
      <c r="T1102" t="str" cm="1">
        <f t="array" ref="T1102">_xlfn.IFS(AND(N1102&lt;= 22, S1102=9), "SOWING",AND(N1102&lt;= 28, S1102=9), "COVERAGE",AND(N1102&lt;= 30, S1102=9), "FLUSH",AND(N1102&lt;= 11, S1102=10), "FLUSH",AND(N1102&lt;= 21, S1102=10), "PRODUCTION")</f>
        <v>SOWING</v>
      </c>
      <c r="U1102">
        <f>HOUR(datos_siembra[[#This Row],[Hour]])</f>
        <v>4</v>
      </c>
      <c r="V1102" cm="1">
        <f t="array" ref="V1102">_xlfn.IFS(AND(N1102&lt;= 22, S1102=9), N1102-7,AND(N1102&lt;= 28, S1102=9), N1102-25,AND(N1102&lt;= 30, S1102=9), N1102-28,AND(N1102&lt;= 11, S1102=10), N1102+2,AND(N1102&lt;= 21, S1102=10), N1102-11)</f>
        <v>9</v>
      </c>
    </row>
    <row r="1103" spans="1:22" x14ac:dyDescent="0.35">
      <c r="A1103" s="4">
        <v>45551</v>
      </c>
      <c r="B1103" s="5">
        <v>0.20695601851851853</v>
      </c>
      <c r="C1103">
        <v>79.5</v>
      </c>
      <c r="D1103">
        <v>75.5</v>
      </c>
      <c r="E1103">
        <v>79.8</v>
      </c>
      <c r="F1103">
        <v>78.5</v>
      </c>
      <c r="G1103">
        <v>0</v>
      </c>
      <c r="H1103">
        <v>0</v>
      </c>
      <c r="I1103">
        <v>0</v>
      </c>
      <c r="J1103">
        <v>0</v>
      </c>
      <c r="K1103">
        <v>63.9</v>
      </c>
      <c r="L1103">
        <v>62.4</v>
      </c>
      <c r="M1103">
        <v>78.38</v>
      </c>
      <c r="N1103">
        <v>16</v>
      </c>
      <c r="O1103">
        <v>6</v>
      </c>
      <c r="P1103">
        <f>MOD(DAY(datos_siembra[[#This Row],[Date]]),7)</f>
        <v>2</v>
      </c>
      <c r="Q1103" t="str">
        <f>CHOOSE(WEEKDAY(datos_siembra[[#This Row],[Date]],2),"L","M","X","J","V","S","D")</f>
        <v>L</v>
      </c>
      <c r="R1103">
        <f>WEEKNUM(datos_siembra[[#This Row],[Date]],2)-WEEKNUM(DATE(YEAR(datos_siembra[[#This Row],[Date]]),MONTH(datos_siembra[[#This Row],[Date]]),1))+1</f>
        <v>3</v>
      </c>
      <c r="S1103">
        <f>MONTH(datos_siembra[[#This Row],[Date]])</f>
        <v>9</v>
      </c>
      <c r="T1103" t="str" cm="1">
        <f t="array" ref="T1103">_xlfn.IFS(AND(N1103&lt;= 22, S1103=9), "SOWING",AND(N1103&lt;= 28, S1103=9), "COVERAGE",AND(N1103&lt;= 30, S1103=9), "FLUSH",AND(N1103&lt;= 11, S1103=10), "FLUSH",AND(N1103&lt;= 21, S1103=10), "PRODUCTION")</f>
        <v>SOWING</v>
      </c>
      <c r="U1103">
        <f>HOUR(datos_siembra[[#This Row],[Hour]])</f>
        <v>4</v>
      </c>
      <c r="V1103" cm="1">
        <f t="array" ref="V1103">_xlfn.IFS(AND(N1103&lt;= 22, S1103=9), N1103-7,AND(N1103&lt;= 28, S1103=9), N1103-25,AND(N1103&lt;= 30, S1103=9), N1103-28,AND(N1103&lt;= 11, S1103=10), N1103+2,AND(N1103&lt;= 21, S1103=10), N1103-11)</f>
        <v>9</v>
      </c>
    </row>
    <row r="1104" spans="1:22" x14ac:dyDescent="0.35">
      <c r="A1104" s="4">
        <v>45551</v>
      </c>
      <c r="B1104" s="5">
        <v>0.21391203703703704</v>
      </c>
      <c r="C1104">
        <v>79.5</v>
      </c>
      <c r="D1104">
        <v>75.5</v>
      </c>
      <c r="E1104">
        <v>79.8</v>
      </c>
      <c r="F1104">
        <v>78.599999999999994</v>
      </c>
      <c r="G1104">
        <v>0</v>
      </c>
      <c r="H1104">
        <v>0</v>
      </c>
      <c r="I1104">
        <v>0</v>
      </c>
      <c r="J1104">
        <v>0</v>
      </c>
      <c r="K1104">
        <v>64.099999999999994</v>
      </c>
      <c r="L1104">
        <v>62.4</v>
      </c>
      <c r="M1104">
        <v>78.349999999999994</v>
      </c>
      <c r="N1104">
        <v>16</v>
      </c>
      <c r="O1104">
        <v>6</v>
      </c>
      <c r="P1104">
        <f>MOD(DAY(datos_siembra[[#This Row],[Date]]),7)</f>
        <v>2</v>
      </c>
      <c r="Q1104" t="str">
        <f>CHOOSE(WEEKDAY(datos_siembra[[#This Row],[Date]],2),"L","M","X","J","V","S","D")</f>
        <v>L</v>
      </c>
      <c r="R1104">
        <f>WEEKNUM(datos_siembra[[#This Row],[Date]],2)-WEEKNUM(DATE(YEAR(datos_siembra[[#This Row],[Date]]),MONTH(datos_siembra[[#This Row],[Date]]),1))+1</f>
        <v>3</v>
      </c>
      <c r="S1104">
        <f>MONTH(datos_siembra[[#This Row],[Date]])</f>
        <v>9</v>
      </c>
      <c r="T1104" t="str" cm="1">
        <f t="array" ref="T1104">_xlfn.IFS(AND(N1104&lt;= 22, S1104=9), "SOWING",AND(N1104&lt;= 28, S1104=9), "COVERAGE",AND(N1104&lt;= 30, S1104=9), "FLUSH",AND(N1104&lt;= 11, S1104=10), "FLUSH",AND(N1104&lt;= 21, S1104=10), "PRODUCTION")</f>
        <v>SOWING</v>
      </c>
      <c r="U1104">
        <f>HOUR(datos_siembra[[#This Row],[Hour]])</f>
        <v>5</v>
      </c>
      <c r="V1104" cm="1">
        <f t="array" ref="V1104">_xlfn.IFS(AND(N1104&lt;= 22, S1104=9), N1104-7,AND(N1104&lt;= 28, S1104=9), N1104-25,AND(N1104&lt;= 30, S1104=9), N1104-28,AND(N1104&lt;= 11, S1104=10), N1104+2,AND(N1104&lt;= 21, S1104=10), N1104-11)</f>
        <v>9</v>
      </c>
    </row>
    <row r="1105" spans="1:22" x14ac:dyDescent="0.35">
      <c r="A1105" s="4">
        <v>45551</v>
      </c>
      <c r="B1105" s="5">
        <v>0.22085648148148149</v>
      </c>
      <c r="C1105">
        <v>79.7</v>
      </c>
      <c r="D1105">
        <v>75.400000000000006</v>
      </c>
      <c r="E1105">
        <v>79.7</v>
      </c>
      <c r="F1105">
        <v>78.599999999999994</v>
      </c>
      <c r="G1105">
        <v>0</v>
      </c>
      <c r="H1105">
        <v>0</v>
      </c>
      <c r="I1105">
        <v>0</v>
      </c>
      <c r="J1105">
        <v>0</v>
      </c>
      <c r="K1105">
        <v>64.099999999999994</v>
      </c>
      <c r="L1105">
        <v>62.4</v>
      </c>
      <c r="M1105">
        <v>78.349999999999994</v>
      </c>
      <c r="N1105">
        <v>16</v>
      </c>
      <c r="O1105">
        <v>6</v>
      </c>
      <c r="P1105">
        <f>MOD(DAY(datos_siembra[[#This Row],[Date]]),7)</f>
        <v>2</v>
      </c>
      <c r="Q1105" t="str">
        <f>CHOOSE(WEEKDAY(datos_siembra[[#This Row],[Date]],2),"L","M","X","J","V","S","D")</f>
        <v>L</v>
      </c>
      <c r="R1105">
        <f>WEEKNUM(datos_siembra[[#This Row],[Date]],2)-WEEKNUM(DATE(YEAR(datos_siembra[[#This Row],[Date]]),MONTH(datos_siembra[[#This Row],[Date]]),1))+1</f>
        <v>3</v>
      </c>
      <c r="S1105">
        <f>MONTH(datos_siembra[[#This Row],[Date]])</f>
        <v>9</v>
      </c>
      <c r="T1105" t="str" cm="1">
        <f t="array" ref="T1105">_xlfn.IFS(AND(N1105&lt;= 22, S1105=9), "SOWING",AND(N1105&lt;= 28, S1105=9), "COVERAGE",AND(N1105&lt;= 30, S1105=9), "FLUSH",AND(N1105&lt;= 11, S1105=10), "FLUSH",AND(N1105&lt;= 21, S1105=10), "PRODUCTION")</f>
        <v>SOWING</v>
      </c>
      <c r="U1105">
        <f>HOUR(datos_siembra[[#This Row],[Hour]])</f>
        <v>5</v>
      </c>
      <c r="V1105" cm="1">
        <f t="array" ref="V1105">_xlfn.IFS(AND(N1105&lt;= 22, S1105=9), N1105-7,AND(N1105&lt;= 28, S1105=9), N1105-25,AND(N1105&lt;= 30, S1105=9), N1105-28,AND(N1105&lt;= 11, S1105=10), N1105+2,AND(N1105&lt;= 21, S1105=10), N1105-11)</f>
        <v>9</v>
      </c>
    </row>
    <row r="1106" spans="1:22" x14ac:dyDescent="0.35">
      <c r="A1106" s="4">
        <v>45551</v>
      </c>
      <c r="B1106" s="5">
        <v>0.22780092592592593</v>
      </c>
      <c r="C1106">
        <v>79.7</v>
      </c>
      <c r="D1106">
        <v>75.599999999999994</v>
      </c>
      <c r="E1106">
        <v>79.599999999999994</v>
      </c>
      <c r="F1106">
        <v>78.5</v>
      </c>
      <c r="G1106">
        <v>0</v>
      </c>
      <c r="H1106">
        <v>0</v>
      </c>
      <c r="I1106">
        <v>0</v>
      </c>
      <c r="J1106">
        <v>0</v>
      </c>
      <c r="K1106">
        <v>64.099999999999994</v>
      </c>
      <c r="L1106">
        <v>62.4</v>
      </c>
      <c r="M1106">
        <v>78.349999999999994</v>
      </c>
      <c r="N1106">
        <v>16</v>
      </c>
      <c r="O1106">
        <v>6</v>
      </c>
      <c r="P1106">
        <f>MOD(DAY(datos_siembra[[#This Row],[Date]]),7)</f>
        <v>2</v>
      </c>
      <c r="Q1106" t="str">
        <f>CHOOSE(WEEKDAY(datos_siembra[[#This Row],[Date]],2),"L","M","X","J","V","S","D")</f>
        <v>L</v>
      </c>
      <c r="R1106">
        <f>WEEKNUM(datos_siembra[[#This Row],[Date]],2)-WEEKNUM(DATE(YEAR(datos_siembra[[#This Row],[Date]]),MONTH(datos_siembra[[#This Row],[Date]]),1))+1</f>
        <v>3</v>
      </c>
      <c r="S1106">
        <f>MONTH(datos_siembra[[#This Row],[Date]])</f>
        <v>9</v>
      </c>
      <c r="T1106" t="str" cm="1">
        <f t="array" ref="T1106">_xlfn.IFS(AND(N1106&lt;= 22, S1106=9), "SOWING",AND(N1106&lt;= 28, S1106=9), "COVERAGE",AND(N1106&lt;= 30, S1106=9), "FLUSH",AND(N1106&lt;= 11, S1106=10), "FLUSH",AND(N1106&lt;= 21, S1106=10), "PRODUCTION")</f>
        <v>SOWING</v>
      </c>
      <c r="U1106">
        <f>HOUR(datos_siembra[[#This Row],[Hour]])</f>
        <v>5</v>
      </c>
      <c r="V1106" cm="1">
        <f t="array" ref="V1106">_xlfn.IFS(AND(N1106&lt;= 22, S1106=9), N1106-7,AND(N1106&lt;= 28, S1106=9), N1106-25,AND(N1106&lt;= 30, S1106=9), N1106-28,AND(N1106&lt;= 11, S1106=10), N1106+2,AND(N1106&lt;= 21, S1106=10), N1106-11)</f>
        <v>9</v>
      </c>
    </row>
    <row r="1107" spans="1:22" x14ac:dyDescent="0.35">
      <c r="A1107" s="4">
        <v>45551</v>
      </c>
      <c r="B1107" s="5">
        <v>0.23474537037037038</v>
      </c>
      <c r="C1107">
        <v>79.8</v>
      </c>
      <c r="D1107">
        <v>75.5</v>
      </c>
      <c r="E1107">
        <v>79.7</v>
      </c>
      <c r="F1107">
        <v>78.5</v>
      </c>
      <c r="G1107">
        <v>0</v>
      </c>
      <c r="H1107">
        <v>0</v>
      </c>
      <c r="I1107">
        <v>0</v>
      </c>
      <c r="J1107">
        <v>0</v>
      </c>
      <c r="K1107">
        <v>64.099999999999994</v>
      </c>
      <c r="L1107">
        <v>62.4</v>
      </c>
      <c r="M1107">
        <v>78.430000000000007</v>
      </c>
      <c r="N1107">
        <v>16</v>
      </c>
      <c r="O1107">
        <v>6</v>
      </c>
      <c r="P1107">
        <f>MOD(DAY(datos_siembra[[#This Row],[Date]]),7)</f>
        <v>2</v>
      </c>
      <c r="Q1107" t="str">
        <f>CHOOSE(WEEKDAY(datos_siembra[[#This Row],[Date]],2),"L","M","X","J","V","S","D")</f>
        <v>L</v>
      </c>
      <c r="R1107">
        <f>WEEKNUM(datos_siembra[[#This Row],[Date]],2)-WEEKNUM(DATE(YEAR(datos_siembra[[#This Row],[Date]]),MONTH(datos_siembra[[#This Row],[Date]]),1))+1</f>
        <v>3</v>
      </c>
      <c r="S1107">
        <f>MONTH(datos_siembra[[#This Row],[Date]])</f>
        <v>9</v>
      </c>
      <c r="T1107" t="str" cm="1">
        <f t="array" ref="T1107">_xlfn.IFS(AND(N1107&lt;= 22, S1107=9), "SOWING",AND(N1107&lt;= 28, S1107=9), "COVERAGE",AND(N1107&lt;= 30, S1107=9), "FLUSH",AND(N1107&lt;= 11, S1107=10), "FLUSH",AND(N1107&lt;= 21, S1107=10), "PRODUCTION")</f>
        <v>SOWING</v>
      </c>
      <c r="U1107">
        <f>HOUR(datos_siembra[[#This Row],[Hour]])</f>
        <v>5</v>
      </c>
      <c r="V1107" cm="1">
        <f t="array" ref="V1107">_xlfn.IFS(AND(N1107&lt;= 22, S1107=9), N1107-7,AND(N1107&lt;= 28, S1107=9), N1107-25,AND(N1107&lt;= 30, S1107=9), N1107-28,AND(N1107&lt;= 11, S1107=10), N1107+2,AND(N1107&lt;= 21, S1107=10), N1107-11)</f>
        <v>9</v>
      </c>
    </row>
    <row r="1108" spans="1:22" x14ac:dyDescent="0.35">
      <c r="A1108" s="4">
        <v>45551</v>
      </c>
      <c r="B1108" s="5">
        <v>0.2417013888888889</v>
      </c>
      <c r="C1108">
        <v>79.8</v>
      </c>
      <c r="D1108">
        <v>75.5</v>
      </c>
      <c r="E1108">
        <v>79.7</v>
      </c>
      <c r="F1108">
        <v>78.7</v>
      </c>
      <c r="G1108">
        <v>0</v>
      </c>
      <c r="H1108">
        <v>0</v>
      </c>
      <c r="I1108">
        <v>0</v>
      </c>
      <c r="J1108">
        <v>0</v>
      </c>
      <c r="K1108">
        <v>64.099999999999994</v>
      </c>
      <c r="L1108">
        <v>62.4</v>
      </c>
      <c r="M1108">
        <v>78.38</v>
      </c>
      <c r="N1108">
        <v>16</v>
      </c>
      <c r="O1108">
        <v>6</v>
      </c>
      <c r="P1108">
        <f>MOD(DAY(datos_siembra[[#This Row],[Date]]),7)</f>
        <v>2</v>
      </c>
      <c r="Q1108" t="str">
        <f>CHOOSE(WEEKDAY(datos_siembra[[#This Row],[Date]],2),"L","M","X","J","V","S","D")</f>
        <v>L</v>
      </c>
      <c r="R1108">
        <f>WEEKNUM(datos_siembra[[#This Row],[Date]],2)-WEEKNUM(DATE(YEAR(datos_siembra[[#This Row],[Date]]),MONTH(datos_siembra[[#This Row],[Date]]),1))+1</f>
        <v>3</v>
      </c>
      <c r="S1108">
        <f>MONTH(datos_siembra[[#This Row],[Date]])</f>
        <v>9</v>
      </c>
      <c r="T1108" t="str" cm="1">
        <f t="array" ref="T1108">_xlfn.IFS(AND(N1108&lt;= 22, S1108=9), "SOWING",AND(N1108&lt;= 28, S1108=9), "COVERAGE",AND(N1108&lt;= 30, S1108=9), "FLUSH",AND(N1108&lt;= 11, S1108=10), "FLUSH",AND(N1108&lt;= 21, S1108=10), "PRODUCTION")</f>
        <v>SOWING</v>
      </c>
      <c r="U1108">
        <f>HOUR(datos_siembra[[#This Row],[Hour]])</f>
        <v>5</v>
      </c>
      <c r="V1108" cm="1">
        <f t="array" ref="V1108">_xlfn.IFS(AND(N1108&lt;= 22, S1108=9), N1108-7,AND(N1108&lt;= 28, S1108=9), N1108-25,AND(N1108&lt;= 30, S1108=9), N1108-28,AND(N1108&lt;= 11, S1108=10), N1108+2,AND(N1108&lt;= 21, S1108=10), N1108-11)</f>
        <v>9</v>
      </c>
    </row>
    <row r="1109" spans="1:22" x14ac:dyDescent="0.35">
      <c r="A1109" s="4">
        <v>45551</v>
      </c>
      <c r="B1109" s="5">
        <v>0.24864583333333334</v>
      </c>
      <c r="C1109">
        <v>79.8</v>
      </c>
      <c r="D1109">
        <v>75.8</v>
      </c>
      <c r="E1109">
        <v>79.599999999999994</v>
      </c>
      <c r="F1109">
        <v>78.599999999999994</v>
      </c>
      <c r="G1109">
        <v>0</v>
      </c>
      <c r="H1109">
        <v>0</v>
      </c>
      <c r="I1109">
        <v>0</v>
      </c>
      <c r="J1109">
        <v>0</v>
      </c>
      <c r="K1109">
        <v>64.2</v>
      </c>
      <c r="L1109">
        <v>62.6</v>
      </c>
      <c r="M1109">
        <v>78.430000000000007</v>
      </c>
      <c r="N1109">
        <v>16</v>
      </c>
      <c r="O1109">
        <v>6</v>
      </c>
      <c r="P1109">
        <f>MOD(DAY(datos_siembra[[#This Row],[Date]]),7)</f>
        <v>2</v>
      </c>
      <c r="Q1109" t="str">
        <f>CHOOSE(WEEKDAY(datos_siembra[[#This Row],[Date]],2),"L","M","X","J","V","S","D")</f>
        <v>L</v>
      </c>
      <c r="R1109">
        <f>WEEKNUM(datos_siembra[[#This Row],[Date]],2)-WEEKNUM(DATE(YEAR(datos_siembra[[#This Row],[Date]]),MONTH(datos_siembra[[#This Row],[Date]]),1))+1</f>
        <v>3</v>
      </c>
      <c r="S1109">
        <f>MONTH(datos_siembra[[#This Row],[Date]])</f>
        <v>9</v>
      </c>
      <c r="T1109" t="str" cm="1">
        <f t="array" ref="T1109">_xlfn.IFS(AND(N1109&lt;= 22, S1109=9), "SOWING",AND(N1109&lt;= 28, S1109=9), "COVERAGE",AND(N1109&lt;= 30, S1109=9), "FLUSH",AND(N1109&lt;= 11, S1109=10), "FLUSH",AND(N1109&lt;= 21, S1109=10), "PRODUCTION")</f>
        <v>SOWING</v>
      </c>
      <c r="U1109">
        <f>HOUR(datos_siembra[[#This Row],[Hour]])</f>
        <v>5</v>
      </c>
      <c r="V1109" cm="1">
        <f t="array" ref="V1109">_xlfn.IFS(AND(N1109&lt;= 22, S1109=9), N1109-7,AND(N1109&lt;= 28, S1109=9), N1109-25,AND(N1109&lt;= 30, S1109=9), N1109-28,AND(N1109&lt;= 11, S1109=10), N1109+2,AND(N1109&lt;= 21, S1109=10), N1109-11)</f>
        <v>9</v>
      </c>
    </row>
    <row r="1110" spans="1:22" x14ac:dyDescent="0.35">
      <c r="A1110" s="4">
        <v>45551</v>
      </c>
      <c r="B1110" s="5">
        <v>0.25559027777777776</v>
      </c>
      <c r="C1110">
        <v>79.900000000000006</v>
      </c>
      <c r="D1110">
        <v>75.5</v>
      </c>
      <c r="E1110">
        <v>79.5</v>
      </c>
      <c r="F1110">
        <v>78.5</v>
      </c>
      <c r="G1110">
        <v>0</v>
      </c>
      <c r="H1110">
        <v>0</v>
      </c>
      <c r="I1110">
        <v>0</v>
      </c>
      <c r="J1110">
        <v>0</v>
      </c>
      <c r="K1110">
        <v>64.2</v>
      </c>
      <c r="L1110">
        <v>62.6</v>
      </c>
      <c r="M1110">
        <v>78.38</v>
      </c>
      <c r="N1110">
        <v>16</v>
      </c>
      <c r="O1110">
        <v>6</v>
      </c>
      <c r="P1110">
        <f>MOD(DAY(datos_siembra[[#This Row],[Date]]),7)</f>
        <v>2</v>
      </c>
      <c r="Q1110" t="str">
        <f>CHOOSE(WEEKDAY(datos_siembra[[#This Row],[Date]],2),"L","M","X","J","V","S","D")</f>
        <v>L</v>
      </c>
      <c r="R1110">
        <f>WEEKNUM(datos_siembra[[#This Row],[Date]],2)-WEEKNUM(DATE(YEAR(datos_siembra[[#This Row],[Date]]),MONTH(datos_siembra[[#This Row],[Date]]),1))+1</f>
        <v>3</v>
      </c>
      <c r="S1110">
        <f>MONTH(datos_siembra[[#This Row],[Date]])</f>
        <v>9</v>
      </c>
      <c r="T1110" t="str" cm="1">
        <f t="array" ref="T1110">_xlfn.IFS(AND(N1110&lt;= 22, S1110=9), "SOWING",AND(N1110&lt;= 28, S1110=9), "COVERAGE",AND(N1110&lt;= 30, S1110=9), "FLUSH",AND(N1110&lt;= 11, S1110=10), "FLUSH",AND(N1110&lt;= 21, S1110=10), "PRODUCTION")</f>
        <v>SOWING</v>
      </c>
      <c r="U1110">
        <f>HOUR(datos_siembra[[#This Row],[Hour]])</f>
        <v>6</v>
      </c>
      <c r="V1110" cm="1">
        <f t="array" ref="V1110">_xlfn.IFS(AND(N1110&lt;= 22, S1110=9), N1110-7,AND(N1110&lt;= 28, S1110=9), N1110-25,AND(N1110&lt;= 30, S1110=9), N1110-28,AND(N1110&lt;= 11, S1110=10), N1110+2,AND(N1110&lt;= 21, S1110=10), N1110-11)</f>
        <v>9</v>
      </c>
    </row>
    <row r="1111" spans="1:22" x14ac:dyDescent="0.35">
      <c r="A1111" s="4">
        <v>45551</v>
      </c>
      <c r="B1111" s="5">
        <v>0.26254629629629628</v>
      </c>
      <c r="C1111">
        <v>79.900000000000006</v>
      </c>
      <c r="D1111">
        <v>75.5</v>
      </c>
      <c r="E1111">
        <v>79.5</v>
      </c>
      <c r="F1111">
        <v>78.599999999999994</v>
      </c>
      <c r="G1111">
        <v>0</v>
      </c>
      <c r="H1111">
        <v>0</v>
      </c>
      <c r="I1111">
        <v>0</v>
      </c>
      <c r="J1111">
        <v>0</v>
      </c>
      <c r="K1111">
        <v>64.3</v>
      </c>
      <c r="L1111">
        <v>62.7</v>
      </c>
      <c r="M1111">
        <v>78.41</v>
      </c>
      <c r="N1111">
        <v>16</v>
      </c>
      <c r="O1111">
        <v>6</v>
      </c>
      <c r="P1111">
        <f>MOD(DAY(datos_siembra[[#This Row],[Date]]),7)</f>
        <v>2</v>
      </c>
      <c r="Q1111" t="str">
        <f>CHOOSE(WEEKDAY(datos_siembra[[#This Row],[Date]],2),"L","M","X","J","V","S","D")</f>
        <v>L</v>
      </c>
      <c r="R1111">
        <f>WEEKNUM(datos_siembra[[#This Row],[Date]],2)-WEEKNUM(DATE(YEAR(datos_siembra[[#This Row],[Date]]),MONTH(datos_siembra[[#This Row],[Date]]),1))+1</f>
        <v>3</v>
      </c>
      <c r="S1111">
        <f>MONTH(datos_siembra[[#This Row],[Date]])</f>
        <v>9</v>
      </c>
      <c r="T1111" t="str" cm="1">
        <f t="array" ref="T1111">_xlfn.IFS(AND(N1111&lt;= 22, S1111=9), "SOWING",AND(N1111&lt;= 28, S1111=9), "COVERAGE",AND(N1111&lt;= 30, S1111=9), "FLUSH",AND(N1111&lt;= 11, S1111=10), "FLUSH",AND(N1111&lt;= 21, S1111=10), "PRODUCTION")</f>
        <v>SOWING</v>
      </c>
      <c r="U1111">
        <f>HOUR(datos_siembra[[#This Row],[Hour]])</f>
        <v>6</v>
      </c>
      <c r="V1111" cm="1">
        <f t="array" ref="V1111">_xlfn.IFS(AND(N1111&lt;= 22, S1111=9), N1111-7,AND(N1111&lt;= 28, S1111=9), N1111-25,AND(N1111&lt;= 30, S1111=9), N1111-28,AND(N1111&lt;= 11, S1111=10), N1111+2,AND(N1111&lt;= 21, S1111=10), N1111-11)</f>
        <v>9</v>
      </c>
    </row>
    <row r="1112" spans="1:22" x14ac:dyDescent="0.35">
      <c r="A1112" s="4">
        <v>45551</v>
      </c>
      <c r="B1112" s="5">
        <v>0.26949074074074075</v>
      </c>
      <c r="C1112">
        <v>80</v>
      </c>
      <c r="D1112">
        <v>75.599999999999994</v>
      </c>
      <c r="E1112">
        <v>79.599999999999994</v>
      </c>
      <c r="F1112">
        <v>78.400000000000006</v>
      </c>
      <c r="G1112">
        <v>0</v>
      </c>
      <c r="H1112">
        <v>0</v>
      </c>
      <c r="I1112">
        <v>0</v>
      </c>
      <c r="J1112">
        <v>0</v>
      </c>
      <c r="K1112">
        <v>64.400000000000006</v>
      </c>
      <c r="L1112">
        <v>62.7</v>
      </c>
      <c r="M1112">
        <v>78.41</v>
      </c>
      <c r="N1112">
        <v>16</v>
      </c>
      <c r="O1112">
        <v>6</v>
      </c>
      <c r="P1112">
        <f>MOD(DAY(datos_siembra[[#This Row],[Date]]),7)</f>
        <v>2</v>
      </c>
      <c r="Q1112" t="str">
        <f>CHOOSE(WEEKDAY(datos_siembra[[#This Row],[Date]],2),"L","M","X","J","V","S","D")</f>
        <v>L</v>
      </c>
      <c r="R1112">
        <f>WEEKNUM(datos_siembra[[#This Row],[Date]],2)-WEEKNUM(DATE(YEAR(datos_siembra[[#This Row],[Date]]),MONTH(datos_siembra[[#This Row],[Date]]),1))+1</f>
        <v>3</v>
      </c>
      <c r="S1112">
        <f>MONTH(datos_siembra[[#This Row],[Date]])</f>
        <v>9</v>
      </c>
      <c r="T1112" t="str" cm="1">
        <f t="array" ref="T1112">_xlfn.IFS(AND(N1112&lt;= 22, S1112=9), "SOWING",AND(N1112&lt;= 28, S1112=9), "COVERAGE",AND(N1112&lt;= 30, S1112=9), "FLUSH",AND(N1112&lt;= 11, S1112=10), "FLUSH",AND(N1112&lt;= 21, S1112=10), "PRODUCTION")</f>
        <v>SOWING</v>
      </c>
      <c r="U1112">
        <f>HOUR(datos_siembra[[#This Row],[Hour]])</f>
        <v>6</v>
      </c>
      <c r="V1112" cm="1">
        <f t="array" ref="V1112">_xlfn.IFS(AND(N1112&lt;= 22, S1112=9), N1112-7,AND(N1112&lt;= 28, S1112=9), N1112-25,AND(N1112&lt;= 30, S1112=9), N1112-28,AND(N1112&lt;= 11, S1112=10), N1112+2,AND(N1112&lt;= 21, S1112=10), N1112-11)</f>
        <v>9</v>
      </c>
    </row>
    <row r="1113" spans="1:22" x14ac:dyDescent="0.35">
      <c r="A1113" s="4">
        <v>45551</v>
      </c>
      <c r="B1113" s="5">
        <v>0.27643518518518517</v>
      </c>
      <c r="C1113">
        <v>79.900000000000006</v>
      </c>
      <c r="D1113">
        <v>75.5</v>
      </c>
      <c r="E1113">
        <v>79.7</v>
      </c>
      <c r="F1113">
        <v>78.5</v>
      </c>
      <c r="G1113">
        <v>0</v>
      </c>
      <c r="H1113">
        <v>0</v>
      </c>
      <c r="I1113">
        <v>0</v>
      </c>
      <c r="J1113">
        <v>0</v>
      </c>
      <c r="K1113">
        <v>64.5</v>
      </c>
      <c r="L1113">
        <v>62.9</v>
      </c>
      <c r="M1113">
        <v>78.430000000000007</v>
      </c>
      <c r="N1113">
        <v>16</v>
      </c>
      <c r="O1113">
        <v>6</v>
      </c>
      <c r="P1113">
        <f>MOD(DAY(datos_siembra[[#This Row],[Date]]),7)</f>
        <v>2</v>
      </c>
      <c r="Q1113" t="str">
        <f>CHOOSE(WEEKDAY(datos_siembra[[#This Row],[Date]],2),"L","M","X","J","V","S","D")</f>
        <v>L</v>
      </c>
      <c r="R1113">
        <f>WEEKNUM(datos_siembra[[#This Row],[Date]],2)-WEEKNUM(DATE(YEAR(datos_siembra[[#This Row],[Date]]),MONTH(datos_siembra[[#This Row],[Date]]),1))+1</f>
        <v>3</v>
      </c>
      <c r="S1113">
        <f>MONTH(datos_siembra[[#This Row],[Date]])</f>
        <v>9</v>
      </c>
      <c r="T1113" t="str" cm="1">
        <f t="array" ref="T1113">_xlfn.IFS(AND(N1113&lt;= 22, S1113=9), "SOWING",AND(N1113&lt;= 28, S1113=9), "COVERAGE",AND(N1113&lt;= 30, S1113=9), "FLUSH",AND(N1113&lt;= 11, S1113=10), "FLUSH",AND(N1113&lt;= 21, S1113=10), "PRODUCTION")</f>
        <v>SOWING</v>
      </c>
      <c r="U1113">
        <f>HOUR(datos_siembra[[#This Row],[Hour]])</f>
        <v>6</v>
      </c>
      <c r="V1113" cm="1">
        <f t="array" ref="V1113">_xlfn.IFS(AND(N1113&lt;= 22, S1113=9), N1113-7,AND(N1113&lt;= 28, S1113=9), N1113-25,AND(N1113&lt;= 30, S1113=9), N1113-28,AND(N1113&lt;= 11, S1113=10), N1113+2,AND(N1113&lt;= 21, S1113=10), N1113-11)</f>
        <v>9</v>
      </c>
    </row>
    <row r="1114" spans="1:22" x14ac:dyDescent="0.35">
      <c r="A1114" s="4">
        <v>45551</v>
      </c>
      <c r="B1114" s="5">
        <v>0.28337962962962965</v>
      </c>
      <c r="C1114">
        <v>79.900000000000006</v>
      </c>
      <c r="D1114">
        <v>75.599999999999994</v>
      </c>
      <c r="E1114">
        <v>79.7</v>
      </c>
      <c r="F1114">
        <v>78.400000000000006</v>
      </c>
      <c r="G1114">
        <v>0</v>
      </c>
      <c r="H1114">
        <v>0</v>
      </c>
      <c r="I1114">
        <v>0</v>
      </c>
      <c r="J1114">
        <v>0</v>
      </c>
      <c r="K1114">
        <v>64.599999999999994</v>
      </c>
      <c r="L1114">
        <v>63</v>
      </c>
      <c r="M1114">
        <v>78.319999999999993</v>
      </c>
      <c r="N1114">
        <v>16</v>
      </c>
      <c r="O1114">
        <v>6</v>
      </c>
      <c r="P1114">
        <f>MOD(DAY(datos_siembra[[#This Row],[Date]]),7)</f>
        <v>2</v>
      </c>
      <c r="Q1114" t="str">
        <f>CHOOSE(WEEKDAY(datos_siembra[[#This Row],[Date]],2),"L","M","X","J","V","S","D")</f>
        <v>L</v>
      </c>
      <c r="R1114">
        <f>WEEKNUM(datos_siembra[[#This Row],[Date]],2)-WEEKNUM(DATE(YEAR(datos_siembra[[#This Row],[Date]]),MONTH(datos_siembra[[#This Row],[Date]]),1))+1</f>
        <v>3</v>
      </c>
      <c r="S1114">
        <f>MONTH(datos_siembra[[#This Row],[Date]])</f>
        <v>9</v>
      </c>
      <c r="T1114" t="str" cm="1">
        <f t="array" ref="T1114">_xlfn.IFS(AND(N1114&lt;= 22, S1114=9), "SOWING",AND(N1114&lt;= 28, S1114=9), "COVERAGE",AND(N1114&lt;= 30, S1114=9), "FLUSH",AND(N1114&lt;= 11, S1114=10), "FLUSH",AND(N1114&lt;= 21, S1114=10), "PRODUCTION")</f>
        <v>SOWING</v>
      </c>
      <c r="U1114">
        <f>HOUR(datos_siembra[[#This Row],[Hour]])</f>
        <v>6</v>
      </c>
      <c r="V1114" cm="1">
        <f t="array" ref="V1114">_xlfn.IFS(AND(N1114&lt;= 22, S1114=9), N1114-7,AND(N1114&lt;= 28, S1114=9), N1114-25,AND(N1114&lt;= 30, S1114=9), N1114-28,AND(N1114&lt;= 11, S1114=10), N1114+2,AND(N1114&lt;= 21, S1114=10), N1114-11)</f>
        <v>9</v>
      </c>
    </row>
    <row r="1115" spans="1:22" x14ac:dyDescent="0.35">
      <c r="A1115" s="4">
        <v>45551</v>
      </c>
      <c r="B1115" s="5">
        <v>0.29033564814814816</v>
      </c>
      <c r="C1115">
        <v>79.8</v>
      </c>
      <c r="D1115">
        <v>75.400000000000006</v>
      </c>
      <c r="E1115">
        <v>79.5</v>
      </c>
      <c r="F1115">
        <v>78.5</v>
      </c>
      <c r="G1115">
        <v>0</v>
      </c>
      <c r="H1115">
        <v>0</v>
      </c>
      <c r="I1115">
        <v>0</v>
      </c>
      <c r="J1115">
        <v>0</v>
      </c>
      <c r="K1115">
        <v>64.599999999999994</v>
      </c>
      <c r="L1115">
        <v>63.2</v>
      </c>
      <c r="M1115">
        <v>78.38</v>
      </c>
      <c r="N1115">
        <v>16</v>
      </c>
      <c r="O1115">
        <v>6</v>
      </c>
      <c r="P1115">
        <f>MOD(DAY(datos_siembra[[#This Row],[Date]]),7)</f>
        <v>2</v>
      </c>
      <c r="Q1115" t="str">
        <f>CHOOSE(WEEKDAY(datos_siembra[[#This Row],[Date]],2),"L","M","X","J","V","S","D")</f>
        <v>L</v>
      </c>
      <c r="R1115">
        <f>WEEKNUM(datos_siembra[[#This Row],[Date]],2)-WEEKNUM(DATE(YEAR(datos_siembra[[#This Row],[Date]]),MONTH(datos_siembra[[#This Row],[Date]]),1))+1</f>
        <v>3</v>
      </c>
      <c r="S1115">
        <f>MONTH(datos_siembra[[#This Row],[Date]])</f>
        <v>9</v>
      </c>
      <c r="T1115" t="str" cm="1">
        <f t="array" ref="T1115">_xlfn.IFS(AND(N1115&lt;= 22, S1115=9), "SOWING",AND(N1115&lt;= 28, S1115=9), "COVERAGE",AND(N1115&lt;= 30, S1115=9), "FLUSH",AND(N1115&lt;= 11, S1115=10), "FLUSH",AND(N1115&lt;= 21, S1115=10), "PRODUCTION")</f>
        <v>SOWING</v>
      </c>
      <c r="U1115">
        <f>HOUR(datos_siembra[[#This Row],[Hour]])</f>
        <v>6</v>
      </c>
      <c r="V1115" cm="1">
        <f t="array" ref="V1115">_xlfn.IFS(AND(N1115&lt;= 22, S1115=9), N1115-7,AND(N1115&lt;= 28, S1115=9), N1115-25,AND(N1115&lt;= 30, S1115=9), N1115-28,AND(N1115&lt;= 11, S1115=10), N1115+2,AND(N1115&lt;= 21, S1115=10), N1115-11)</f>
        <v>9</v>
      </c>
    </row>
    <row r="1116" spans="1:22" x14ac:dyDescent="0.35">
      <c r="A1116" s="4">
        <v>45551</v>
      </c>
      <c r="B1116" s="5">
        <v>0.29728009259259258</v>
      </c>
      <c r="C1116">
        <v>79.900000000000006</v>
      </c>
      <c r="D1116">
        <v>75.5</v>
      </c>
      <c r="E1116">
        <v>79.400000000000006</v>
      </c>
      <c r="F1116">
        <v>78.5</v>
      </c>
      <c r="G1116">
        <v>0</v>
      </c>
      <c r="H1116">
        <v>0</v>
      </c>
      <c r="I1116">
        <v>0</v>
      </c>
      <c r="J1116">
        <v>0</v>
      </c>
      <c r="K1116">
        <v>64.7</v>
      </c>
      <c r="L1116">
        <v>63.2</v>
      </c>
      <c r="M1116">
        <v>78.349999999999994</v>
      </c>
      <c r="N1116">
        <v>16</v>
      </c>
      <c r="O1116">
        <v>6</v>
      </c>
      <c r="P1116">
        <f>MOD(DAY(datos_siembra[[#This Row],[Date]]),7)</f>
        <v>2</v>
      </c>
      <c r="Q1116" t="str">
        <f>CHOOSE(WEEKDAY(datos_siembra[[#This Row],[Date]],2),"L","M","X","J","V","S","D")</f>
        <v>L</v>
      </c>
      <c r="R1116">
        <f>WEEKNUM(datos_siembra[[#This Row],[Date]],2)-WEEKNUM(DATE(YEAR(datos_siembra[[#This Row],[Date]]),MONTH(datos_siembra[[#This Row],[Date]]),1))+1</f>
        <v>3</v>
      </c>
      <c r="S1116">
        <f>MONTH(datos_siembra[[#This Row],[Date]])</f>
        <v>9</v>
      </c>
      <c r="T1116" t="str" cm="1">
        <f t="array" ref="T1116">_xlfn.IFS(AND(N1116&lt;= 22, S1116=9), "SOWING",AND(N1116&lt;= 28, S1116=9), "COVERAGE",AND(N1116&lt;= 30, S1116=9), "FLUSH",AND(N1116&lt;= 11, S1116=10), "FLUSH",AND(N1116&lt;= 21, S1116=10), "PRODUCTION")</f>
        <v>SOWING</v>
      </c>
      <c r="U1116">
        <f>HOUR(datos_siembra[[#This Row],[Hour]])</f>
        <v>7</v>
      </c>
      <c r="V1116" cm="1">
        <f t="array" ref="V1116">_xlfn.IFS(AND(N1116&lt;= 22, S1116=9), N1116-7,AND(N1116&lt;= 28, S1116=9), N1116-25,AND(N1116&lt;= 30, S1116=9), N1116-28,AND(N1116&lt;= 11, S1116=10), N1116+2,AND(N1116&lt;= 21, S1116=10), N1116-11)</f>
        <v>9</v>
      </c>
    </row>
    <row r="1117" spans="1:22" x14ac:dyDescent="0.35">
      <c r="A1117" s="4">
        <v>45551</v>
      </c>
      <c r="B1117" s="5">
        <v>0.30422453703703706</v>
      </c>
      <c r="C1117">
        <v>79.8</v>
      </c>
      <c r="D1117">
        <v>75.400000000000006</v>
      </c>
      <c r="E1117">
        <v>79.5</v>
      </c>
      <c r="F1117">
        <v>78.5</v>
      </c>
      <c r="G1117">
        <v>0</v>
      </c>
      <c r="H1117">
        <v>0</v>
      </c>
      <c r="I1117">
        <v>0</v>
      </c>
      <c r="J1117">
        <v>0</v>
      </c>
      <c r="K1117">
        <v>64.7</v>
      </c>
      <c r="L1117">
        <v>63.3</v>
      </c>
      <c r="M1117">
        <v>78.319999999999993</v>
      </c>
      <c r="N1117">
        <v>16</v>
      </c>
      <c r="O1117">
        <v>6</v>
      </c>
      <c r="P1117">
        <f>MOD(DAY(datos_siembra[[#This Row],[Date]]),7)</f>
        <v>2</v>
      </c>
      <c r="Q1117" t="str">
        <f>CHOOSE(WEEKDAY(datos_siembra[[#This Row],[Date]],2),"L","M","X","J","V","S","D")</f>
        <v>L</v>
      </c>
      <c r="R1117">
        <f>WEEKNUM(datos_siembra[[#This Row],[Date]],2)-WEEKNUM(DATE(YEAR(datos_siembra[[#This Row],[Date]]),MONTH(datos_siembra[[#This Row],[Date]]),1))+1</f>
        <v>3</v>
      </c>
      <c r="S1117">
        <f>MONTH(datos_siembra[[#This Row],[Date]])</f>
        <v>9</v>
      </c>
      <c r="T1117" t="str" cm="1">
        <f t="array" ref="T1117">_xlfn.IFS(AND(N1117&lt;= 22, S1117=9), "SOWING",AND(N1117&lt;= 28, S1117=9), "COVERAGE",AND(N1117&lt;= 30, S1117=9), "FLUSH",AND(N1117&lt;= 11, S1117=10), "FLUSH",AND(N1117&lt;= 21, S1117=10), "PRODUCTION")</f>
        <v>SOWING</v>
      </c>
      <c r="U1117">
        <f>HOUR(datos_siembra[[#This Row],[Hour]])</f>
        <v>7</v>
      </c>
      <c r="V1117" cm="1">
        <f t="array" ref="V1117">_xlfn.IFS(AND(N1117&lt;= 22, S1117=9), N1117-7,AND(N1117&lt;= 28, S1117=9), N1117-25,AND(N1117&lt;= 30, S1117=9), N1117-28,AND(N1117&lt;= 11, S1117=10), N1117+2,AND(N1117&lt;= 21, S1117=10), N1117-11)</f>
        <v>9</v>
      </c>
    </row>
    <row r="1118" spans="1:22" x14ac:dyDescent="0.35">
      <c r="A1118" s="4">
        <v>45551</v>
      </c>
      <c r="B1118" s="5">
        <v>0.31118055555555557</v>
      </c>
      <c r="C1118">
        <v>79.8</v>
      </c>
      <c r="D1118">
        <v>75.5</v>
      </c>
      <c r="E1118">
        <v>79.400000000000006</v>
      </c>
      <c r="F1118">
        <v>78.400000000000006</v>
      </c>
      <c r="G1118">
        <v>0</v>
      </c>
      <c r="H1118">
        <v>0</v>
      </c>
      <c r="I1118">
        <v>0</v>
      </c>
      <c r="J1118">
        <v>0</v>
      </c>
      <c r="K1118">
        <v>64.900000000000006</v>
      </c>
      <c r="L1118">
        <v>63.4</v>
      </c>
      <c r="M1118">
        <v>78.349999999999994</v>
      </c>
      <c r="N1118">
        <v>16</v>
      </c>
      <c r="O1118">
        <v>6</v>
      </c>
      <c r="P1118">
        <f>MOD(DAY(datos_siembra[[#This Row],[Date]]),7)</f>
        <v>2</v>
      </c>
      <c r="Q1118" t="str">
        <f>CHOOSE(WEEKDAY(datos_siembra[[#This Row],[Date]],2),"L","M","X","J","V","S","D")</f>
        <v>L</v>
      </c>
      <c r="R1118">
        <f>WEEKNUM(datos_siembra[[#This Row],[Date]],2)-WEEKNUM(DATE(YEAR(datos_siembra[[#This Row],[Date]]),MONTH(datos_siembra[[#This Row],[Date]]),1))+1</f>
        <v>3</v>
      </c>
      <c r="S1118">
        <f>MONTH(datos_siembra[[#This Row],[Date]])</f>
        <v>9</v>
      </c>
      <c r="T1118" t="str" cm="1">
        <f t="array" ref="T1118">_xlfn.IFS(AND(N1118&lt;= 22, S1118=9), "SOWING",AND(N1118&lt;= 28, S1118=9), "COVERAGE",AND(N1118&lt;= 30, S1118=9), "FLUSH",AND(N1118&lt;= 11, S1118=10), "FLUSH",AND(N1118&lt;= 21, S1118=10), "PRODUCTION")</f>
        <v>SOWING</v>
      </c>
      <c r="U1118">
        <f>HOUR(datos_siembra[[#This Row],[Hour]])</f>
        <v>7</v>
      </c>
      <c r="V1118" cm="1">
        <f t="array" ref="V1118">_xlfn.IFS(AND(N1118&lt;= 22, S1118=9), N1118-7,AND(N1118&lt;= 28, S1118=9), N1118-25,AND(N1118&lt;= 30, S1118=9), N1118-28,AND(N1118&lt;= 11, S1118=10), N1118+2,AND(N1118&lt;= 21, S1118=10), N1118-11)</f>
        <v>9</v>
      </c>
    </row>
    <row r="1119" spans="1:22" x14ac:dyDescent="0.35">
      <c r="A1119" s="4">
        <v>45551</v>
      </c>
      <c r="B1119" s="5">
        <v>0.31812499999999999</v>
      </c>
      <c r="C1119">
        <v>79.8</v>
      </c>
      <c r="D1119">
        <v>75.5</v>
      </c>
      <c r="E1119">
        <v>79.5</v>
      </c>
      <c r="F1119">
        <v>78.400000000000006</v>
      </c>
      <c r="G1119">
        <v>0</v>
      </c>
      <c r="H1119">
        <v>0</v>
      </c>
      <c r="I1119">
        <v>0</v>
      </c>
      <c r="J1119">
        <v>0</v>
      </c>
      <c r="K1119">
        <v>65</v>
      </c>
      <c r="L1119">
        <v>63.5</v>
      </c>
      <c r="M1119">
        <v>78.27</v>
      </c>
      <c r="N1119">
        <v>16</v>
      </c>
      <c r="O1119">
        <v>6</v>
      </c>
      <c r="P1119">
        <f>MOD(DAY(datos_siembra[[#This Row],[Date]]),7)</f>
        <v>2</v>
      </c>
      <c r="Q1119" t="str">
        <f>CHOOSE(WEEKDAY(datos_siembra[[#This Row],[Date]],2),"L","M","X","J","V","S","D")</f>
        <v>L</v>
      </c>
      <c r="R1119">
        <f>WEEKNUM(datos_siembra[[#This Row],[Date]],2)-WEEKNUM(DATE(YEAR(datos_siembra[[#This Row],[Date]]),MONTH(datos_siembra[[#This Row],[Date]]),1))+1</f>
        <v>3</v>
      </c>
      <c r="S1119">
        <f>MONTH(datos_siembra[[#This Row],[Date]])</f>
        <v>9</v>
      </c>
      <c r="T1119" t="str" cm="1">
        <f t="array" ref="T1119">_xlfn.IFS(AND(N1119&lt;= 22, S1119=9), "SOWING",AND(N1119&lt;= 28, S1119=9), "COVERAGE",AND(N1119&lt;= 30, S1119=9), "FLUSH",AND(N1119&lt;= 11, S1119=10), "FLUSH",AND(N1119&lt;= 21, S1119=10), "PRODUCTION")</f>
        <v>SOWING</v>
      </c>
      <c r="U1119">
        <f>HOUR(datos_siembra[[#This Row],[Hour]])</f>
        <v>7</v>
      </c>
      <c r="V1119" cm="1">
        <f t="array" ref="V1119">_xlfn.IFS(AND(N1119&lt;= 22, S1119=9), N1119-7,AND(N1119&lt;= 28, S1119=9), N1119-25,AND(N1119&lt;= 30, S1119=9), N1119-28,AND(N1119&lt;= 11, S1119=10), N1119+2,AND(N1119&lt;= 21, S1119=10), N1119-11)</f>
        <v>9</v>
      </c>
    </row>
    <row r="1120" spans="1:22" x14ac:dyDescent="0.35">
      <c r="A1120" s="4">
        <v>45551</v>
      </c>
      <c r="B1120" s="5">
        <v>0.32506944444444447</v>
      </c>
      <c r="C1120">
        <v>79.900000000000006</v>
      </c>
      <c r="D1120">
        <v>75.5</v>
      </c>
      <c r="E1120">
        <v>79.5</v>
      </c>
      <c r="F1120">
        <v>78.5</v>
      </c>
      <c r="G1120">
        <v>0</v>
      </c>
      <c r="H1120">
        <v>0</v>
      </c>
      <c r="I1120">
        <v>0</v>
      </c>
      <c r="J1120">
        <v>0</v>
      </c>
      <c r="K1120">
        <v>64.900000000000006</v>
      </c>
      <c r="L1120">
        <v>63.5</v>
      </c>
      <c r="M1120">
        <v>78.27</v>
      </c>
      <c r="N1120">
        <v>16</v>
      </c>
      <c r="O1120">
        <v>6</v>
      </c>
      <c r="P1120">
        <f>MOD(DAY(datos_siembra[[#This Row],[Date]]),7)</f>
        <v>2</v>
      </c>
      <c r="Q1120" t="str">
        <f>CHOOSE(WEEKDAY(datos_siembra[[#This Row],[Date]],2),"L","M","X","J","V","S","D")</f>
        <v>L</v>
      </c>
      <c r="R1120">
        <f>WEEKNUM(datos_siembra[[#This Row],[Date]],2)-WEEKNUM(DATE(YEAR(datos_siembra[[#This Row],[Date]]),MONTH(datos_siembra[[#This Row],[Date]]),1))+1</f>
        <v>3</v>
      </c>
      <c r="S1120">
        <f>MONTH(datos_siembra[[#This Row],[Date]])</f>
        <v>9</v>
      </c>
      <c r="T1120" t="str" cm="1">
        <f t="array" ref="T1120">_xlfn.IFS(AND(N1120&lt;= 22, S1120=9), "SOWING",AND(N1120&lt;= 28, S1120=9), "COVERAGE",AND(N1120&lt;= 30, S1120=9), "FLUSH",AND(N1120&lt;= 11, S1120=10), "FLUSH",AND(N1120&lt;= 21, S1120=10), "PRODUCTION")</f>
        <v>SOWING</v>
      </c>
      <c r="U1120">
        <f>HOUR(datos_siembra[[#This Row],[Hour]])</f>
        <v>7</v>
      </c>
      <c r="V1120" cm="1">
        <f t="array" ref="V1120">_xlfn.IFS(AND(N1120&lt;= 22, S1120=9), N1120-7,AND(N1120&lt;= 28, S1120=9), N1120-25,AND(N1120&lt;= 30, S1120=9), N1120-28,AND(N1120&lt;= 11, S1120=10), N1120+2,AND(N1120&lt;= 21, S1120=10), N1120-11)</f>
        <v>9</v>
      </c>
    </row>
    <row r="1121" spans="1:22" x14ac:dyDescent="0.35">
      <c r="A1121" s="4">
        <v>45551</v>
      </c>
      <c r="B1121" s="5">
        <v>0.33201388888888889</v>
      </c>
      <c r="C1121">
        <v>79.8</v>
      </c>
      <c r="D1121">
        <v>75.400000000000006</v>
      </c>
      <c r="E1121">
        <v>79.5</v>
      </c>
      <c r="F1121">
        <v>78.2</v>
      </c>
      <c r="G1121">
        <v>0</v>
      </c>
      <c r="H1121">
        <v>0</v>
      </c>
      <c r="I1121">
        <v>0</v>
      </c>
      <c r="J1121">
        <v>0</v>
      </c>
      <c r="K1121">
        <v>65.099999999999994</v>
      </c>
      <c r="L1121">
        <v>63.6</v>
      </c>
      <c r="M1121">
        <v>78.290000000000006</v>
      </c>
      <c r="N1121">
        <v>16</v>
      </c>
      <c r="O1121">
        <v>6</v>
      </c>
      <c r="P1121">
        <f>MOD(DAY(datos_siembra[[#This Row],[Date]]),7)</f>
        <v>2</v>
      </c>
      <c r="Q1121" t="str">
        <f>CHOOSE(WEEKDAY(datos_siembra[[#This Row],[Date]],2),"L","M","X","J","V","S","D")</f>
        <v>L</v>
      </c>
      <c r="R1121">
        <f>WEEKNUM(datos_siembra[[#This Row],[Date]],2)-WEEKNUM(DATE(YEAR(datos_siembra[[#This Row],[Date]]),MONTH(datos_siembra[[#This Row],[Date]]),1))+1</f>
        <v>3</v>
      </c>
      <c r="S1121">
        <f>MONTH(datos_siembra[[#This Row],[Date]])</f>
        <v>9</v>
      </c>
      <c r="T1121" t="str" cm="1">
        <f t="array" ref="T1121">_xlfn.IFS(AND(N1121&lt;= 22, S1121=9), "SOWING",AND(N1121&lt;= 28, S1121=9), "COVERAGE",AND(N1121&lt;= 30, S1121=9), "FLUSH",AND(N1121&lt;= 11, S1121=10), "FLUSH",AND(N1121&lt;= 21, S1121=10), "PRODUCTION")</f>
        <v>SOWING</v>
      </c>
      <c r="U1121">
        <f>HOUR(datos_siembra[[#This Row],[Hour]])</f>
        <v>7</v>
      </c>
      <c r="V1121" cm="1">
        <f t="array" ref="V1121">_xlfn.IFS(AND(N1121&lt;= 22, S1121=9), N1121-7,AND(N1121&lt;= 28, S1121=9), N1121-25,AND(N1121&lt;= 30, S1121=9), N1121-28,AND(N1121&lt;= 11, S1121=10), N1121+2,AND(N1121&lt;= 21, S1121=10), N1121-11)</f>
        <v>9</v>
      </c>
    </row>
    <row r="1122" spans="1:22" x14ac:dyDescent="0.35">
      <c r="A1122" s="4">
        <v>45551</v>
      </c>
      <c r="B1122" s="5">
        <v>0.3389699074074074</v>
      </c>
      <c r="C1122">
        <v>80</v>
      </c>
      <c r="D1122">
        <v>75.400000000000006</v>
      </c>
      <c r="E1122">
        <v>79.599999999999994</v>
      </c>
      <c r="F1122">
        <v>78.2</v>
      </c>
      <c r="G1122">
        <v>0</v>
      </c>
      <c r="H1122">
        <v>0</v>
      </c>
      <c r="I1122">
        <v>0</v>
      </c>
      <c r="J1122">
        <v>0</v>
      </c>
      <c r="K1122">
        <v>65.2</v>
      </c>
      <c r="L1122">
        <v>63.7</v>
      </c>
      <c r="M1122">
        <v>78.319999999999993</v>
      </c>
      <c r="N1122">
        <v>16</v>
      </c>
      <c r="O1122">
        <v>6</v>
      </c>
      <c r="P1122">
        <f>MOD(DAY(datos_siembra[[#This Row],[Date]]),7)</f>
        <v>2</v>
      </c>
      <c r="Q1122" t="str">
        <f>CHOOSE(WEEKDAY(datos_siembra[[#This Row],[Date]],2),"L","M","X","J","V","S","D")</f>
        <v>L</v>
      </c>
      <c r="R1122">
        <f>WEEKNUM(datos_siembra[[#This Row],[Date]],2)-WEEKNUM(DATE(YEAR(datos_siembra[[#This Row],[Date]]),MONTH(datos_siembra[[#This Row],[Date]]),1))+1</f>
        <v>3</v>
      </c>
      <c r="S1122">
        <f>MONTH(datos_siembra[[#This Row],[Date]])</f>
        <v>9</v>
      </c>
      <c r="T1122" t="str" cm="1">
        <f t="array" ref="T1122">_xlfn.IFS(AND(N1122&lt;= 22, S1122=9), "SOWING",AND(N1122&lt;= 28, S1122=9), "COVERAGE",AND(N1122&lt;= 30, S1122=9), "FLUSH",AND(N1122&lt;= 11, S1122=10), "FLUSH",AND(N1122&lt;= 21, S1122=10), "PRODUCTION")</f>
        <v>SOWING</v>
      </c>
      <c r="U1122">
        <f>HOUR(datos_siembra[[#This Row],[Hour]])</f>
        <v>8</v>
      </c>
      <c r="V1122" cm="1">
        <f t="array" ref="V1122">_xlfn.IFS(AND(N1122&lt;= 22, S1122=9), N1122-7,AND(N1122&lt;= 28, S1122=9), N1122-25,AND(N1122&lt;= 30, S1122=9), N1122-28,AND(N1122&lt;= 11, S1122=10), N1122+2,AND(N1122&lt;= 21, S1122=10), N1122-11)</f>
        <v>9</v>
      </c>
    </row>
    <row r="1123" spans="1:22" x14ac:dyDescent="0.35">
      <c r="A1123" s="4">
        <v>45551</v>
      </c>
      <c r="B1123" s="5">
        <v>0.34591435185185188</v>
      </c>
      <c r="C1123">
        <v>79.900000000000006</v>
      </c>
      <c r="D1123">
        <v>75.5</v>
      </c>
      <c r="E1123">
        <v>79.5</v>
      </c>
      <c r="F1123">
        <v>78.400000000000006</v>
      </c>
      <c r="G1123">
        <v>0</v>
      </c>
      <c r="H1123">
        <v>0</v>
      </c>
      <c r="I1123">
        <v>0</v>
      </c>
      <c r="J1123">
        <v>0</v>
      </c>
      <c r="K1123">
        <v>65.2</v>
      </c>
      <c r="L1123">
        <v>63.8</v>
      </c>
      <c r="M1123">
        <v>78.319999999999993</v>
      </c>
      <c r="N1123">
        <v>16</v>
      </c>
      <c r="O1123">
        <v>6</v>
      </c>
      <c r="P1123">
        <f>MOD(DAY(datos_siembra[[#This Row],[Date]]),7)</f>
        <v>2</v>
      </c>
      <c r="Q1123" t="str">
        <f>CHOOSE(WEEKDAY(datos_siembra[[#This Row],[Date]],2),"L","M","X","J","V","S","D")</f>
        <v>L</v>
      </c>
      <c r="R1123">
        <f>WEEKNUM(datos_siembra[[#This Row],[Date]],2)-WEEKNUM(DATE(YEAR(datos_siembra[[#This Row],[Date]]),MONTH(datos_siembra[[#This Row],[Date]]),1))+1</f>
        <v>3</v>
      </c>
      <c r="S1123">
        <f>MONTH(datos_siembra[[#This Row],[Date]])</f>
        <v>9</v>
      </c>
      <c r="T1123" t="str" cm="1">
        <f t="array" ref="T1123">_xlfn.IFS(AND(N1123&lt;= 22, S1123=9), "SOWING",AND(N1123&lt;= 28, S1123=9), "COVERAGE",AND(N1123&lt;= 30, S1123=9), "FLUSH",AND(N1123&lt;= 11, S1123=10), "FLUSH",AND(N1123&lt;= 21, S1123=10), "PRODUCTION")</f>
        <v>SOWING</v>
      </c>
      <c r="U1123">
        <f>HOUR(datos_siembra[[#This Row],[Hour]])</f>
        <v>8</v>
      </c>
      <c r="V1123" cm="1">
        <f t="array" ref="V1123">_xlfn.IFS(AND(N1123&lt;= 22, S1123=9), N1123-7,AND(N1123&lt;= 28, S1123=9), N1123-25,AND(N1123&lt;= 30, S1123=9), N1123-28,AND(N1123&lt;= 11, S1123=10), N1123+2,AND(N1123&lt;= 21, S1123=10), N1123-11)</f>
        <v>9</v>
      </c>
    </row>
    <row r="1124" spans="1:22" x14ac:dyDescent="0.35">
      <c r="A1124" s="4">
        <v>45551</v>
      </c>
      <c r="B1124" s="5">
        <v>0.3528587962962963</v>
      </c>
      <c r="C1124">
        <v>80</v>
      </c>
      <c r="D1124">
        <v>75.5</v>
      </c>
      <c r="E1124">
        <v>79.5</v>
      </c>
      <c r="F1124">
        <v>78.400000000000006</v>
      </c>
      <c r="G1124">
        <v>0</v>
      </c>
      <c r="H1124">
        <v>0</v>
      </c>
      <c r="I1124">
        <v>0</v>
      </c>
      <c r="J1124">
        <v>0</v>
      </c>
      <c r="K1124">
        <v>65.400000000000006</v>
      </c>
      <c r="L1124">
        <v>64.099999999999994</v>
      </c>
      <c r="M1124">
        <v>78.27</v>
      </c>
      <c r="N1124">
        <v>16</v>
      </c>
      <c r="O1124">
        <v>6</v>
      </c>
      <c r="P1124">
        <f>MOD(DAY(datos_siembra[[#This Row],[Date]]),7)</f>
        <v>2</v>
      </c>
      <c r="Q1124" t="str">
        <f>CHOOSE(WEEKDAY(datos_siembra[[#This Row],[Date]],2),"L","M","X","J","V","S","D")</f>
        <v>L</v>
      </c>
      <c r="R1124">
        <f>WEEKNUM(datos_siembra[[#This Row],[Date]],2)-WEEKNUM(DATE(YEAR(datos_siembra[[#This Row],[Date]]),MONTH(datos_siembra[[#This Row],[Date]]),1))+1</f>
        <v>3</v>
      </c>
      <c r="S1124">
        <f>MONTH(datos_siembra[[#This Row],[Date]])</f>
        <v>9</v>
      </c>
      <c r="T1124" t="str" cm="1">
        <f t="array" ref="T1124">_xlfn.IFS(AND(N1124&lt;= 22, S1124=9), "SOWING",AND(N1124&lt;= 28, S1124=9), "COVERAGE",AND(N1124&lt;= 30, S1124=9), "FLUSH",AND(N1124&lt;= 11, S1124=10), "FLUSH",AND(N1124&lt;= 21, S1124=10), "PRODUCTION")</f>
        <v>SOWING</v>
      </c>
      <c r="U1124">
        <f>HOUR(datos_siembra[[#This Row],[Hour]])</f>
        <v>8</v>
      </c>
      <c r="V1124" cm="1">
        <f t="array" ref="V1124">_xlfn.IFS(AND(N1124&lt;= 22, S1124=9), N1124-7,AND(N1124&lt;= 28, S1124=9), N1124-25,AND(N1124&lt;= 30, S1124=9), N1124-28,AND(N1124&lt;= 11, S1124=10), N1124+2,AND(N1124&lt;= 21, S1124=10), N1124-11)</f>
        <v>9</v>
      </c>
    </row>
    <row r="1125" spans="1:22" x14ac:dyDescent="0.35">
      <c r="A1125" s="4">
        <v>45551</v>
      </c>
      <c r="B1125" s="5">
        <v>0.35981481481481481</v>
      </c>
      <c r="C1125">
        <v>79.900000000000006</v>
      </c>
      <c r="D1125">
        <v>75.5</v>
      </c>
      <c r="E1125">
        <v>79.400000000000006</v>
      </c>
      <c r="F1125">
        <v>78.2</v>
      </c>
      <c r="G1125">
        <v>0</v>
      </c>
      <c r="H1125">
        <v>0</v>
      </c>
      <c r="I1125">
        <v>0</v>
      </c>
      <c r="J1125">
        <v>0</v>
      </c>
      <c r="K1125">
        <v>65.599999999999994</v>
      </c>
      <c r="L1125">
        <v>64.2</v>
      </c>
      <c r="M1125">
        <v>78.27</v>
      </c>
      <c r="N1125">
        <v>16</v>
      </c>
      <c r="O1125">
        <v>6</v>
      </c>
      <c r="P1125">
        <f>MOD(DAY(datos_siembra[[#This Row],[Date]]),7)</f>
        <v>2</v>
      </c>
      <c r="Q1125" t="str">
        <f>CHOOSE(WEEKDAY(datos_siembra[[#This Row],[Date]],2),"L","M","X","J","V","S","D")</f>
        <v>L</v>
      </c>
      <c r="R1125">
        <f>WEEKNUM(datos_siembra[[#This Row],[Date]],2)-WEEKNUM(DATE(YEAR(datos_siembra[[#This Row],[Date]]),MONTH(datos_siembra[[#This Row],[Date]]),1))+1</f>
        <v>3</v>
      </c>
      <c r="S1125">
        <f>MONTH(datos_siembra[[#This Row],[Date]])</f>
        <v>9</v>
      </c>
      <c r="T1125" t="str" cm="1">
        <f t="array" ref="T1125">_xlfn.IFS(AND(N1125&lt;= 22, S1125=9), "SOWING",AND(N1125&lt;= 28, S1125=9), "COVERAGE",AND(N1125&lt;= 30, S1125=9), "FLUSH",AND(N1125&lt;= 11, S1125=10), "FLUSH",AND(N1125&lt;= 21, S1125=10), "PRODUCTION")</f>
        <v>SOWING</v>
      </c>
      <c r="U1125">
        <f>HOUR(datos_siembra[[#This Row],[Hour]])</f>
        <v>8</v>
      </c>
      <c r="V1125" cm="1">
        <f t="array" ref="V1125">_xlfn.IFS(AND(N1125&lt;= 22, S1125=9), N1125-7,AND(N1125&lt;= 28, S1125=9), N1125-25,AND(N1125&lt;= 30, S1125=9), N1125-28,AND(N1125&lt;= 11, S1125=10), N1125+2,AND(N1125&lt;= 21, S1125=10), N1125-11)</f>
        <v>9</v>
      </c>
    </row>
    <row r="1126" spans="1:22" x14ac:dyDescent="0.35">
      <c r="A1126" s="4">
        <v>45551</v>
      </c>
      <c r="B1126" s="5">
        <v>0.36675925925925928</v>
      </c>
      <c r="C1126">
        <v>79.7</v>
      </c>
      <c r="D1126">
        <v>75.599999999999994</v>
      </c>
      <c r="E1126">
        <v>79.400000000000006</v>
      </c>
      <c r="F1126">
        <v>78.099999999999994</v>
      </c>
      <c r="G1126">
        <v>0</v>
      </c>
      <c r="H1126">
        <v>0</v>
      </c>
      <c r="I1126">
        <v>0</v>
      </c>
      <c r="J1126">
        <v>0</v>
      </c>
      <c r="K1126">
        <v>65.8</v>
      </c>
      <c r="L1126">
        <v>64.5</v>
      </c>
      <c r="M1126">
        <v>78.239999999999995</v>
      </c>
      <c r="N1126">
        <v>16</v>
      </c>
      <c r="O1126">
        <v>6</v>
      </c>
      <c r="P1126">
        <f>MOD(DAY(datos_siembra[[#This Row],[Date]]),7)</f>
        <v>2</v>
      </c>
      <c r="Q1126" t="str">
        <f>CHOOSE(WEEKDAY(datos_siembra[[#This Row],[Date]],2),"L","M","X","J","V","S","D")</f>
        <v>L</v>
      </c>
      <c r="R1126">
        <f>WEEKNUM(datos_siembra[[#This Row],[Date]],2)-WEEKNUM(DATE(YEAR(datos_siembra[[#This Row],[Date]]),MONTH(datos_siembra[[#This Row],[Date]]),1))+1</f>
        <v>3</v>
      </c>
      <c r="S1126">
        <f>MONTH(datos_siembra[[#This Row],[Date]])</f>
        <v>9</v>
      </c>
      <c r="T1126" t="str" cm="1">
        <f t="array" ref="T1126">_xlfn.IFS(AND(N1126&lt;= 22, S1126=9), "SOWING",AND(N1126&lt;= 28, S1126=9), "COVERAGE",AND(N1126&lt;= 30, S1126=9), "FLUSH",AND(N1126&lt;= 11, S1126=10), "FLUSH",AND(N1126&lt;= 21, S1126=10), "PRODUCTION")</f>
        <v>SOWING</v>
      </c>
      <c r="U1126">
        <f>HOUR(datos_siembra[[#This Row],[Hour]])</f>
        <v>8</v>
      </c>
      <c r="V1126" cm="1">
        <f t="array" ref="V1126">_xlfn.IFS(AND(N1126&lt;= 22, S1126=9), N1126-7,AND(N1126&lt;= 28, S1126=9), N1126-25,AND(N1126&lt;= 30, S1126=9), N1126-28,AND(N1126&lt;= 11, S1126=10), N1126+2,AND(N1126&lt;= 21, S1126=10), N1126-11)</f>
        <v>9</v>
      </c>
    </row>
    <row r="1127" spans="1:22" x14ac:dyDescent="0.35">
      <c r="A1127" s="4">
        <v>45551</v>
      </c>
      <c r="B1127" s="5">
        <v>0.3737037037037037</v>
      </c>
      <c r="C1127">
        <v>79.8</v>
      </c>
      <c r="D1127">
        <v>75.5</v>
      </c>
      <c r="E1127">
        <v>79.5</v>
      </c>
      <c r="F1127">
        <v>78.2</v>
      </c>
      <c r="G1127">
        <v>0</v>
      </c>
      <c r="H1127">
        <v>0</v>
      </c>
      <c r="I1127">
        <v>0</v>
      </c>
      <c r="J1127">
        <v>0</v>
      </c>
      <c r="K1127">
        <v>65.900000000000006</v>
      </c>
      <c r="L1127">
        <v>64.5</v>
      </c>
      <c r="M1127">
        <v>78.290000000000006</v>
      </c>
      <c r="N1127">
        <v>16</v>
      </c>
      <c r="O1127">
        <v>6</v>
      </c>
      <c r="P1127">
        <f>MOD(DAY(datos_siembra[[#This Row],[Date]]),7)</f>
        <v>2</v>
      </c>
      <c r="Q1127" t="str">
        <f>CHOOSE(WEEKDAY(datos_siembra[[#This Row],[Date]],2),"L","M","X","J","V","S","D")</f>
        <v>L</v>
      </c>
      <c r="R1127">
        <f>WEEKNUM(datos_siembra[[#This Row],[Date]],2)-WEEKNUM(DATE(YEAR(datos_siembra[[#This Row],[Date]]),MONTH(datos_siembra[[#This Row],[Date]]),1))+1</f>
        <v>3</v>
      </c>
      <c r="S1127">
        <f>MONTH(datos_siembra[[#This Row],[Date]])</f>
        <v>9</v>
      </c>
      <c r="T1127" t="str" cm="1">
        <f t="array" ref="T1127">_xlfn.IFS(AND(N1127&lt;= 22, S1127=9), "SOWING",AND(N1127&lt;= 28, S1127=9), "COVERAGE",AND(N1127&lt;= 30, S1127=9), "FLUSH",AND(N1127&lt;= 11, S1127=10), "FLUSH",AND(N1127&lt;= 21, S1127=10), "PRODUCTION")</f>
        <v>SOWING</v>
      </c>
      <c r="U1127">
        <f>HOUR(datos_siembra[[#This Row],[Hour]])</f>
        <v>8</v>
      </c>
      <c r="V1127" cm="1">
        <f t="array" ref="V1127">_xlfn.IFS(AND(N1127&lt;= 22, S1127=9), N1127-7,AND(N1127&lt;= 28, S1127=9), N1127-25,AND(N1127&lt;= 30, S1127=9), N1127-28,AND(N1127&lt;= 11, S1127=10), N1127+2,AND(N1127&lt;= 21, S1127=10), N1127-11)</f>
        <v>9</v>
      </c>
    </row>
    <row r="1128" spans="1:22" x14ac:dyDescent="0.35">
      <c r="A1128" s="4">
        <v>45551</v>
      </c>
      <c r="B1128" s="5">
        <v>0.38064814814814812</v>
      </c>
      <c r="C1128">
        <v>79.8</v>
      </c>
      <c r="D1128">
        <v>75.599999999999994</v>
      </c>
      <c r="E1128">
        <v>79.400000000000006</v>
      </c>
      <c r="F1128">
        <v>78</v>
      </c>
      <c r="G1128">
        <v>0</v>
      </c>
      <c r="H1128">
        <v>0</v>
      </c>
      <c r="I1128">
        <v>0</v>
      </c>
      <c r="J1128">
        <v>0</v>
      </c>
      <c r="K1128">
        <v>66.099999999999994</v>
      </c>
      <c r="L1128">
        <v>64.7</v>
      </c>
      <c r="M1128">
        <v>78.290000000000006</v>
      </c>
      <c r="N1128">
        <v>16</v>
      </c>
      <c r="O1128">
        <v>6</v>
      </c>
      <c r="P1128">
        <f>MOD(DAY(datos_siembra[[#This Row],[Date]]),7)</f>
        <v>2</v>
      </c>
      <c r="Q1128" t="str">
        <f>CHOOSE(WEEKDAY(datos_siembra[[#This Row],[Date]],2),"L","M","X","J","V","S","D")</f>
        <v>L</v>
      </c>
      <c r="R1128">
        <f>WEEKNUM(datos_siembra[[#This Row],[Date]],2)-WEEKNUM(DATE(YEAR(datos_siembra[[#This Row],[Date]]),MONTH(datos_siembra[[#This Row],[Date]]),1))+1</f>
        <v>3</v>
      </c>
      <c r="S1128">
        <f>MONTH(datos_siembra[[#This Row],[Date]])</f>
        <v>9</v>
      </c>
      <c r="T1128" t="str" cm="1">
        <f t="array" ref="T1128">_xlfn.IFS(AND(N1128&lt;= 22, S1128=9), "SOWING",AND(N1128&lt;= 28, S1128=9), "COVERAGE",AND(N1128&lt;= 30, S1128=9), "FLUSH",AND(N1128&lt;= 11, S1128=10), "FLUSH",AND(N1128&lt;= 21, S1128=10), "PRODUCTION")</f>
        <v>SOWING</v>
      </c>
      <c r="U1128">
        <f>HOUR(datos_siembra[[#This Row],[Hour]])</f>
        <v>9</v>
      </c>
      <c r="V1128" cm="1">
        <f t="array" ref="V1128">_xlfn.IFS(AND(N1128&lt;= 22, S1128=9), N1128-7,AND(N1128&lt;= 28, S1128=9), N1128-25,AND(N1128&lt;= 30, S1128=9), N1128-28,AND(N1128&lt;= 11, S1128=10), N1128+2,AND(N1128&lt;= 21, S1128=10), N1128-11)</f>
        <v>9</v>
      </c>
    </row>
    <row r="1129" spans="1:22" x14ac:dyDescent="0.35">
      <c r="A1129" s="4">
        <v>45551</v>
      </c>
      <c r="B1129" s="5">
        <v>0.38760416666666669</v>
      </c>
      <c r="C1129">
        <v>79.7</v>
      </c>
      <c r="D1129">
        <v>76.099999999999994</v>
      </c>
      <c r="E1129">
        <v>79.099999999999994</v>
      </c>
      <c r="F1129">
        <v>78.2</v>
      </c>
      <c r="G1129">
        <v>0</v>
      </c>
      <c r="H1129">
        <v>0</v>
      </c>
      <c r="I1129">
        <v>0</v>
      </c>
      <c r="J1129">
        <v>0</v>
      </c>
      <c r="K1129">
        <v>66.2</v>
      </c>
      <c r="L1129">
        <v>64.900000000000006</v>
      </c>
      <c r="M1129">
        <v>78.239999999999995</v>
      </c>
      <c r="N1129">
        <v>16</v>
      </c>
      <c r="O1129">
        <v>6</v>
      </c>
      <c r="P1129">
        <f>MOD(DAY(datos_siembra[[#This Row],[Date]]),7)</f>
        <v>2</v>
      </c>
      <c r="Q1129" t="str">
        <f>CHOOSE(WEEKDAY(datos_siembra[[#This Row],[Date]],2),"L","M","X","J","V","S","D")</f>
        <v>L</v>
      </c>
      <c r="R1129">
        <f>WEEKNUM(datos_siembra[[#This Row],[Date]],2)-WEEKNUM(DATE(YEAR(datos_siembra[[#This Row],[Date]]),MONTH(datos_siembra[[#This Row],[Date]]),1))+1</f>
        <v>3</v>
      </c>
      <c r="S1129">
        <f>MONTH(datos_siembra[[#This Row],[Date]])</f>
        <v>9</v>
      </c>
      <c r="T1129" t="str" cm="1">
        <f t="array" ref="T1129">_xlfn.IFS(AND(N1129&lt;= 22, S1129=9), "SOWING",AND(N1129&lt;= 28, S1129=9), "COVERAGE",AND(N1129&lt;= 30, S1129=9), "FLUSH",AND(N1129&lt;= 11, S1129=10), "FLUSH",AND(N1129&lt;= 21, S1129=10), "PRODUCTION")</f>
        <v>SOWING</v>
      </c>
      <c r="U1129">
        <f>HOUR(datos_siembra[[#This Row],[Hour]])</f>
        <v>9</v>
      </c>
      <c r="V1129" cm="1">
        <f t="array" ref="V1129">_xlfn.IFS(AND(N1129&lt;= 22, S1129=9), N1129-7,AND(N1129&lt;= 28, S1129=9), N1129-25,AND(N1129&lt;= 30, S1129=9), N1129-28,AND(N1129&lt;= 11, S1129=10), N1129+2,AND(N1129&lt;= 21, S1129=10), N1129-11)</f>
        <v>9</v>
      </c>
    </row>
    <row r="1130" spans="1:22" x14ac:dyDescent="0.35">
      <c r="A1130" s="4">
        <v>45551</v>
      </c>
      <c r="B1130" s="5">
        <v>0.39454861111111111</v>
      </c>
      <c r="C1130">
        <v>79.8</v>
      </c>
      <c r="D1130">
        <v>76.3</v>
      </c>
      <c r="E1130">
        <v>79.400000000000006</v>
      </c>
      <c r="F1130">
        <v>78.099999999999994</v>
      </c>
      <c r="G1130">
        <v>0</v>
      </c>
      <c r="H1130">
        <v>0</v>
      </c>
      <c r="I1130">
        <v>0</v>
      </c>
      <c r="J1130">
        <v>0</v>
      </c>
      <c r="K1130">
        <v>66.2</v>
      </c>
      <c r="L1130">
        <v>65</v>
      </c>
      <c r="M1130">
        <v>78.319999999999993</v>
      </c>
      <c r="N1130">
        <v>16</v>
      </c>
      <c r="O1130">
        <v>6</v>
      </c>
      <c r="P1130">
        <f>MOD(DAY(datos_siembra[[#This Row],[Date]]),7)</f>
        <v>2</v>
      </c>
      <c r="Q1130" t="str">
        <f>CHOOSE(WEEKDAY(datos_siembra[[#This Row],[Date]],2),"L","M","X","J","V","S","D")</f>
        <v>L</v>
      </c>
      <c r="R1130">
        <f>WEEKNUM(datos_siembra[[#This Row],[Date]],2)-WEEKNUM(DATE(YEAR(datos_siembra[[#This Row],[Date]]),MONTH(datos_siembra[[#This Row],[Date]]),1))+1</f>
        <v>3</v>
      </c>
      <c r="S1130">
        <f>MONTH(datos_siembra[[#This Row],[Date]])</f>
        <v>9</v>
      </c>
      <c r="T1130" t="str" cm="1">
        <f t="array" ref="T1130">_xlfn.IFS(AND(N1130&lt;= 22, S1130=9), "SOWING",AND(N1130&lt;= 28, S1130=9), "COVERAGE",AND(N1130&lt;= 30, S1130=9), "FLUSH",AND(N1130&lt;= 11, S1130=10), "FLUSH",AND(N1130&lt;= 21, S1130=10), "PRODUCTION")</f>
        <v>SOWING</v>
      </c>
      <c r="U1130">
        <f>HOUR(datos_siembra[[#This Row],[Hour]])</f>
        <v>9</v>
      </c>
      <c r="V1130" cm="1">
        <f t="array" ref="V1130">_xlfn.IFS(AND(N1130&lt;= 22, S1130=9), N1130-7,AND(N1130&lt;= 28, S1130=9), N1130-25,AND(N1130&lt;= 30, S1130=9), N1130-28,AND(N1130&lt;= 11, S1130=10), N1130+2,AND(N1130&lt;= 21, S1130=10), N1130-11)</f>
        <v>9</v>
      </c>
    </row>
    <row r="1131" spans="1:22" x14ac:dyDescent="0.35">
      <c r="A1131" s="4">
        <v>45551</v>
      </c>
      <c r="B1131" s="5">
        <v>0.40149305555555553</v>
      </c>
      <c r="C1131">
        <v>79.900000000000006</v>
      </c>
      <c r="D1131">
        <v>76.400000000000006</v>
      </c>
      <c r="E1131">
        <v>79.400000000000006</v>
      </c>
      <c r="F1131">
        <v>78.099999999999994</v>
      </c>
      <c r="G1131">
        <v>0</v>
      </c>
      <c r="H1131">
        <v>0</v>
      </c>
      <c r="I1131">
        <v>0</v>
      </c>
      <c r="J1131">
        <v>0</v>
      </c>
      <c r="K1131">
        <v>66.3</v>
      </c>
      <c r="L1131">
        <v>64.900000000000006</v>
      </c>
      <c r="M1131">
        <v>78.459999999999994</v>
      </c>
      <c r="N1131">
        <v>16</v>
      </c>
      <c r="O1131">
        <v>6</v>
      </c>
      <c r="P1131">
        <f>MOD(DAY(datos_siembra[[#This Row],[Date]]),7)</f>
        <v>2</v>
      </c>
      <c r="Q1131" t="str">
        <f>CHOOSE(WEEKDAY(datos_siembra[[#This Row],[Date]],2),"L","M","X","J","V","S","D")</f>
        <v>L</v>
      </c>
      <c r="R1131">
        <f>WEEKNUM(datos_siembra[[#This Row],[Date]],2)-WEEKNUM(DATE(YEAR(datos_siembra[[#This Row],[Date]]),MONTH(datos_siembra[[#This Row],[Date]]),1))+1</f>
        <v>3</v>
      </c>
      <c r="S1131">
        <f>MONTH(datos_siembra[[#This Row],[Date]])</f>
        <v>9</v>
      </c>
      <c r="T1131" t="str" cm="1">
        <f t="array" ref="T1131">_xlfn.IFS(AND(N1131&lt;= 22, S1131=9), "SOWING",AND(N1131&lt;= 28, S1131=9), "COVERAGE",AND(N1131&lt;= 30, S1131=9), "FLUSH",AND(N1131&lt;= 11, S1131=10), "FLUSH",AND(N1131&lt;= 21, S1131=10), "PRODUCTION")</f>
        <v>SOWING</v>
      </c>
      <c r="U1131">
        <f>HOUR(datos_siembra[[#This Row],[Hour]])</f>
        <v>9</v>
      </c>
      <c r="V1131" cm="1">
        <f t="array" ref="V1131">_xlfn.IFS(AND(N1131&lt;= 22, S1131=9), N1131-7,AND(N1131&lt;= 28, S1131=9), N1131-25,AND(N1131&lt;= 30, S1131=9), N1131-28,AND(N1131&lt;= 11, S1131=10), N1131+2,AND(N1131&lt;= 21, S1131=10), N1131-11)</f>
        <v>9</v>
      </c>
    </row>
    <row r="1132" spans="1:22" x14ac:dyDescent="0.35">
      <c r="A1132" s="4">
        <v>45551</v>
      </c>
      <c r="B1132" s="5">
        <v>0.40844907407407405</v>
      </c>
      <c r="C1132">
        <v>79.8</v>
      </c>
      <c r="D1132">
        <v>76.400000000000006</v>
      </c>
      <c r="E1132">
        <v>79.400000000000006</v>
      </c>
      <c r="F1132">
        <v>78</v>
      </c>
      <c r="G1132">
        <v>0</v>
      </c>
      <c r="H1132">
        <v>0</v>
      </c>
      <c r="I1132">
        <v>0</v>
      </c>
      <c r="J1132">
        <v>0</v>
      </c>
      <c r="K1132">
        <v>66.3</v>
      </c>
      <c r="L1132">
        <v>65.099999999999994</v>
      </c>
      <c r="M1132">
        <v>78.52</v>
      </c>
      <c r="N1132">
        <v>16</v>
      </c>
      <c r="O1132">
        <v>6</v>
      </c>
      <c r="P1132">
        <f>MOD(DAY(datos_siembra[[#This Row],[Date]]),7)</f>
        <v>2</v>
      </c>
      <c r="Q1132" t="str">
        <f>CHOOSE(WEEKDAY(datos_siembra[[#This Row],[Date]],2),"L","M","X","J","V","S","D")</f>
        <v>L</v>
      </c>
      <c r="R1132">
        <f>WEEKNUM(datos_siembra[[#This Row],[Date]],2)-WEEKNUM(DATE(YEAR(datos_siembra[[#This Row],[Date]]),MONTH(datos_siembra[[#This Row],[Date]]),1))+1</f>
        <v>3</v>
      </c>
      <c r="S1132">
        <f>MONTH(datos_siembra[[#This Row],[Date]])</f>
        <v>9</v>
      </c>
      <c r="T1132" t="str" cm="1">
        <f t="array" ref="T1132">_xlfn.IFS(AND(N1132&lt;= 22, S1132=9), "SOWING",AND(N1132&lt;= 28, S1132=9), "COVERAGE",AND(N1132&lt;= 30, S1132=9), "FLUSH",AND(N1132&lt;= 11, S1132=10), "FLUSH",AND(N1132&lt;= 21, S1132=10), "PRODUCTION")</f>
        <v>SOWING</v>
      </c>
      <c r="U1132">
        <f>HOUR(datos_siembra[[#This Row],[Hour]])</f>
        <v>9</v>
      </c>
      <c r="V1132" cm="1">
        <f t="array" ref="V1132">_xlfn.IFS(AND(N1132&lt;= 22, S1132=9), N1132-7,AND(N1132&lt;= 28, S1132=9), N1132-25,AND(N1132&lt;= 30, S1132=9), N1132-28,AND(N1132&lt;= 11, S1132=10), N1132+2,AND(N1132&lt;= 21, S1132=10), N1132-11)</f>
        <v>9</v>
      </c>
    </row>
    <row r="1133" spans="1:22" x14ac:dyDescent="0.35">
      <c r="A1133" s="4">
        <v>45551</v>
      </c>
      <c r="B1133" s="5">
        <v>0.41539351851851852</v>
      </c>
      <c r="C1133">
        <v>79.8</v>
      </c>
      <c r="D1133">
        <v>76.7</v>
      </c>
      <c r="E1133">
        <v>79.3</v>
      </c>
      <c r="F1133">
        <v>78</v>
      </c>
      <c r="G1133">
        <v>0</v>
      </c>
      <c r="H1133">
        <v>0</v>
      </c>
      <c r="I1133">
        <v>0</v>
      </c>
      <c r="J1133">
        <v>0</v>
      </c>
      <c r="K1133">
        <v>66.400000000000006</v>
      </c>
      <c r="L1133">
        <v>65.099999999999994</v>
      </c>
      <c r="M1133">
        <v>78.55</v>
      </c>
      <c r="N1133">
        <v>16</v>
      </c>
      <c r="O1133">
        <v>6</v>
      </c>
      <c r="P1133">
        <f>MOD(DAY(datos_siembra[[#This Row],[Date]]),7)</f>
        <v>2</v>
      </c>
      <c r="Q1133" t="str">
        <f>CHOOSE(WEEKDAY(datos_siembra[[#This Row],[Date]],2),"L","M","X","J","V","S","D")</f>
        <v>L</v>
      </c>
      <c r="R1133">
        <f>WEEKNUM(datos_siembra[[#This Row],[Date]],2)-WEEKNUM(DATE(YEAR(datos_siembra[[#This Row],[Date]]),MONTH(datos_siembra[[#This Row],[Date]]),1))+1</f>
        <v>3</v>
      </c>
      <c r="S1133">
        <f>MONTH(datos_siembra[[#This Row],[Date]])</f>
        <v>9</v>
      </c>
      <c r="T1133" t="str" cm="1">
        <f t="array" ref="T1133">_xlfn.IFS(AND(N1133&lt;= 22, S1133=9), "SOWING",AND(N1133&lt;= 28, S1133=9), "COVERAGE",AND(N1133&lt;= 30, S1133=9), "FLUSH",AND(N1133&lt;= 11, S1133=10), "FLUSH",AND(N1133&lt;= 21, S1133=10), "PRODUCTION")</f>
        <v>SOWING</v>
      </c>
      <c r="U1133">
        <f>HOUR(datos_siembra[[#This Row],[Hour]])</f>
        <v>9</v>
      </c>
      <c r="V1133" cm="1">
        <f t="array" ref="V1133">_xlfn.IFS(AND(N1133&lt;= 22, S1133=9), N1133-7,AND(N1133&lt;= 28, S1133=9), N1133-25,AND(N1133&lt;= 30, S1133=9), N1133-28,AND(N1133&lt;= 11, S1133=10), N1133+2,AND(N1133&lt;= 21, S1133=10), N1133-11)</f>
        <v>9</v>
      </c>
    </row>
    <row r="1134" spans="1:22" x14ac:dyDescent="0.35">
      <c r="A1134" s="4">
        <v>45551</v>
      </c>
      <c r="B1134" s="5">
        <v>0.42233796296296294</v>
      </c>
      <c r="C1134">
        <v>79.7</v>
      </c>
      <c r="D1134">
        <v>77</v>
      </c>
      <c r="E1134">
        <v>79.3</v>
      </c>
      <c r="F1134">
        <v>78.099999999999994</v>
      </c>
      <c r="G1134">
        <v>0</v>
      </c>
      <c r="H1134">
        <v>0</v>
      </c>
      <c r="I1134">
        <v>0</v>
      </c>
      <c r="J1134">
        <v>0</v>
      </c>
      <c r="K1134">
        <v>66.900000000000006</v>
      </c>
      <c r="L1134">
        <v>65.599999999999994</v>
      </c>
      <c r="M1134">
        <v>78.430000000000007</v>
      </c>
      <c r="N1134">
        <v>16</v>
      </c>
      <c r="O1134">
        <v>6</v>
      </c>
      <c r="P1134">
        <f>MOD(DAY(datos_siembra[[#This Row],[Date]]),7)</f>
        <v>2</v>
      </c>
      <c r="Q1134" t="str">
        <f>CHOOSE(WEEKDAY(datos_siembra[[#This Row],[Date]],2),"L","M","X","J","V","S","D")</f>
        <v>L</v>
      </c>
      <c r="R1134">
        <f>WEEKNUM(datos_siembra[[#This Row],[Date]],2)-WEEKNUM(DATE(YEAR(datos_siembra[[#This Row],[Date]]),MONTH(datos_siembra[[#This Row],[Date]]),1))+1</f>
        <v>3</v>
      </c>
      <c r="S1134">
        <f>MONTH(datos_siembra[[#This Row],[Date]])</f>
        <v>9</v>
      </c>
      <c r="T1134" t="str" cm="1">
        <f t="array" ref="T1134">_xlfn.IFS(AND(N1134&lt;= 22, S1134=9), "SOWING",AND(N1134&lt;= 28, S1134=9), "COVERAGE",AND(N1134&lt;= 30, S1134=9), "FLUSH",AND(N1134&lt;= 11, S1134=10), "FLUSH",AND(N1134&lt;= 21, S1134=10), "PRODUCTION")</f>
        <v>SOWING</v>
      </c>
      <c r="U1134">
        <f>HOUR(datos_siembra[[#This Row],[Hour]])</f>
        <v>10</v>
      </c>
      <c r="V1134" cm="1">
        <f t="array" ref="V1134">_xlfn.IFS(AND(N1134&lt;= 22, S1134=9), N1134-7,AND(N1134&lt;= 28, S1134=9), N1134-25,AND(N1134&lt;= 30, S1134=9), N1134-28,AND(N1134&lt;= 11, S1134=10), N1134+2,AND(N1134&lt;= 21, S1134=10), N1134-11)</f>
        <v>9</v>
      </c>
    </row>
    <row r="1135" spans="1:22" x14ac:dyDescent="0.35">
      <c r="A1135" s="4">
        <v>45551</v>
      </c>
      <c r="B1135" s="5">
        <v>0.42929398148148146</v>
      </c>
      <c r="C1135">
        <v>79.7</v>
      </c>
      <c r="D1135">
        <v>77</v>
      </c>
      <c r="E1135">
        <v>79.3</v>
      </c>
      <c r="F1135">
        <v>78.2</v>
      </c>
      <c r="G1135">
        <v>0</v>
      </c>
      <c r="H1135">
        <v>0</v>
      </c>
      <c r="I1135">
        <v>0</v>
      </c>
      <c r="J1135">
        <v>0</v>
      </c>
      <c r="K1135">
        <v>67.099999999999994</v>
      </c>
      <c r="L1135">
        <v>65.900000000000006</v>
      </c>
      <c r="M1135">
        <v>78.55</v>
      </c>
      <c r="N1135">
        <v>16</v>
      </c>
      <c r="O1135">
        <v>6</v>
      </c>
      <c r="P1135">
        <f>MOD(DAY(datos_siembra[[#This Row],[Date]]),7)</f>
        <v>2</v>
      </c>
      <c r="Q1135" t="str">
        <f>CHOOSE(WEEKDAY(datos_siembra[[#This Row],[Date]],2),"L","M","X","J","V","S","D")</f>
        <v>L</v>
      </c>
      <c r="R1135">
        <f>WEEKNUM(datos_siembra[[#This Row],[Date]],2)-WEEKNUM(DATE(YEAR(datos_siembra[[#This Row],[Date]]),MONTH(datos_siembra[[#This Row],[Date]]),1))+1</f>
        <v>3</v>
      </c>
      <c r="S1135">
        <f>MONTH(datos_siembra[[#This Row],[Date]])</f>
        <v>9</v>
      </c>
      <c r="T1135" t="str" cm="1">
        <f t="array" ref="T1135">_xlfn.IFS(AND(N1135&lt;= 22, S1135=9), "SOWING",AND(N1135&lt;= 28, S1135=9), "COVERAGE",AND(N1135&lt;= 30, S1135=9), "FLUSH",AND(N1135&lt;= 11, S1135=10), "FLUSH",AND(N1135&lt;= 21, S1135=10), "PRODUCTION")</f>
        <v>SOWING</v>
      </c>
      <c r="U1135">
        <f>HOUR(datos_siembra[[#This Row],[Hour]])</f>
        <v>10</v>
      </c>
      <c r="V1135" cm="1">
        <f t="array" ref="V1135">_xlfn.IFS(AND(N1135&lt;= 22, S1135=9), N1135-7,AND(N1135&lt;= 28, S1135=9), N1135-25,AND(N1135&lt;= 30, S1135=9), N1135-28,AND(N1135&lt;= 11, S1135=10), N1135+2,AND(N1135&lt;= 21, S1135=10), N1135-11)</f>
        <v>9</v>
      </c>
    </row>
    <row r="1136" spans="1:22" x14ac:dyDescent="0.35">
      <c r="A1136" s="4">
        <v>45551</v>
      </c>
      <c r="B1136" s="5">
        <v>0.43623842592592593</v>
      </c>
      <c r="C1136">
        <v>79.8</v>
      </c>
      <c r="D1136">
        <v>77.099999999999994</v>
      </c>
      <c r="E1136">
        <v>79.3</v>
      </c>
      <c r="F1136">
        <v>78.099999999999994</v>
      </c>
      <c r="G1136">
        <v>0</v>
      </c>
      <c r="H1136">
        <v>0</v>
      </c>
      <c r="I1136">
        <v>0</v>
      </c>
      <c r="J1136">
        <v>0</v>
      </c>
      <c r="K1136">
        <v>67.2</v>
      </c>
      <c r="L1136">
        <v>66</v>
      </c>
      <c r="M1136">
        <v>78.569999999999993</v>
      </c>
      <c r="N1136">
        <v>16</v>
      </c>
      <c r="O1136">
        <v>6</v>
      </c>
      <c r="P1136">
        <f>MOD(DAY(datos_siembra[[#This Row],[Date]]),7)</f>
        <v>2</v>
      </c>
      <c r="Q1136" t="str">
        <f>CHOOSE(WEEKDAY(datos_siembra[[#This Row],[Date]],2),"L","M","X","J","V","S","D")</f>
        <v>L</v>
      </c>
      <c r="R1136">
        <f>WEEKNUM(datos_siembra[[#This Row],[Date]],2)-WEEKNUM(DATE(YEAR(datos_siembra[[#This Row],[Date]]),MONTH(datos_siembra[[#This Row],[Date]]),1))+1</f>
        <v>3</v>
      </c>
      <c r="S1136">
        <f>MONTH(datos_siembra[[#This Row],[Date]])</f>
        <v>9</v>
      </c>
      <c r="T1136" t="str" cm="1">
        <f t="array" ref="T1136">_xlfn.IFS(AND(N1136&lt;= 22, S1136=9), "SOWING",AND(N1136&lt;= 28, S1136=9), "COVERAGE",AND(N1136&lt;= 30, S1136=9), "FLUSH",AND(N1136&lt;= 11, S1136=10), "FLUSH",AND(N1136&lt;= 21, S1136=10), "PRODUCTION")</f>
        <v>SOWING</v>
      </c>
      <c r="U1136">
        <f>HOUR(datos_siembra[[#This Row],[Hour]])</f>
        <v>10</v>
      </c>
      <c r="V1136" cm="1">
        <f t="array" ref="V1136">_xlfn.IFS(AND(N1136&lt;= 22, S1136=9), N1136-7,AND(N1136&lt;= 28, S1136=9), N1136-25,AND(N1136&lt;= 30, S1136=9), N1136-28,AND(N1136&lt;= 11, S1136=10), N1136+2,AND(N1136&lt;= 21, S1136=10), N1136-11)</f>
        <v>9</v>
      </c>
    </row>
    <row r="1137" spans="1:22" x14ac:dyDescent="0.35">
      <c r="A1137" s="4">
        <v>45551</v>
      </c>
      <c r="B1137" s="5">
        <v>0.44318287037037035</v>
      </c>
      <c r="C1137">
        <v>79.8</v>
      </c>
      <c r="D1137">
        <v>77</v>
      </c>
      <c r="E1137">
        <v>79.099999999999994</v>
      </c>
      <c r="F1137">
        <v>78.400000000000006</v>
      </c>
      <c r="G1137">
        <v>0</v>
      </c>
      <c r="H1137">
        <v>0</v>
      </c>
      <c r="I1137">
        <v>0</v>
      </c>
      <c r="J1137">
        <v>0</v>
      </c>
      <c r="K1137">
        <v>65.8</v>
      </c>
      <c r="L1137">
        <v>64.099999999999994</v>
      </c>
      <c r="M1137">
        <v>78.55</v>
      </c>
      <c r="N1137">
        <v>16</v>
      </c>
      <c r="O1137">
        <v>6</v>
      </c>
      <c r="P1137">
        <f>MOD(DAY(datos_siembra[[#This Row],[Date]]),7)</f>
        <v>2</v>
      </c>
      <c r="Q1137" t="str">
        <f>CHOOSE(WEEKDAY(datos_siembra[[#This Row],[Date]],2),"L","M","X","J","V","S","D")</f>
        <v>L</v>
      </c>
      <c r="R1137">
        <f>WEEKNUM(datos_siembra[[#This Row],[Date]],2)-WEEKNUM(DATE(YEAR(datos_siembra[[#This Row],[Date]]),MONTH(datos_siembra[[#This Row],[Date]]),1))+1</f>
        <v>3</v>
      </c>
      <c r="S1137">
        <f>MONTH(datos_siembra[[#This Row],[Date]])</f>
        <v>9</v>
      </c>
      <c r="T1137" t="str" cm="1">
        <f t="array" ref="T1137">_xlfn.IFS(AND(N1137&lt;= 22, S1137=9), "SOWING",AND(N1137&lt;= 28, S1137=9), "COVERAGE",AND(N1137&lt;= 30, S1137=9), "FLUSH",AND(N1137&lt;= 11, S1137=10), "FLUSH",AND(N1137&lt;= 21, S1137=10), "PRODUCTION")</f>
        <v>SOWING</v>
      </c>
      <c r="U1137">
        <f>HOUR(datos_siembra[[#This Row],[Hour]])</f>
        <v>10</v>
      </c>
      <c r="V1137" cm="1">
        <f t="array" ref="V1137">_xlfn.IFS(AND(N1137&lt;= 22, S1137=9), N1137-7,AND(N1137&lt;= 28, S1137=9), N1137-25,AND(N1137&lt;= 30, S1137=9), N1137-28,AND(N1137&lt;= 11, S1137=10), N1137+2,AND(N1137&lt;= 21, S1137=10), N1137-11)</f>
        <v>9</v>
      </c>
    </row>
    <row r="1138" spans="1:22" x14ac:dyDescent="0.35">
      <c r="A1138" s="4">
        <v>45551</v>
      </c>
      <c r="B1138" s="5">
        <v>0.45012731481481483</v>
      </c>
      <c r="C1138">
        <v>79.8</v>
      </c>
      <c r="D1138">
        <v>77.3</v>
      </c>
      <c r="E1138">
        <v>79.099999999999994</v>
      </c>
      <c r="F1138">
        <v>78.099999999999994</v>
      </c>
      <c r="G1138">
        <v>0</v>
      </c>
      <c r="H1138">
        <v>0</v>
      </c>
      <c r="I1138">
        <v>0</v>
      </c>
      <c r="J1138">
        <v>0</v>
      </c>
      <c r="K1138">
        <v>64.900000000000006</v>
      </c>
      <c r="L1138">
        <v>63.2</v>
      </c>
      <c r="M1138">
        <v>78.55</v>
      </c>
      <c r="N1138">
        <v>16</v>
      </c>
      <c r="O1138">
        <v>6</v>
      </c>
      <c r="P1138">
        <f>MOD(DAY(datos_siembra[[#This Row],[Date]]),7)</f>
        <v>2</v>
      </c>
      <c r="Q1138" t="str">
        <f>CHOOSE(WEEKDAY(datos_siembra[[#This Row],[Date]],2),"L","M","X","J","V","S","D")</f>
        <v>L</v>
      </c>
      <c r="R1138">
        <f>WEEKNUM(datos_siembra[[#This Row],[Date]],2)-WEEKNUM(DATE(YEAR(datos_siembra[[#This Row],[Date]]),MONTH(datos_siembra[[#This Row],[Date]]),1))+1</f>
        <v>3</v>
      </c>
      <c r="S1138">
        <f>MONTH(datos_siembra[[#This Row],[Date]])</f>
        <v>9</v>
      </c>
      <c r="T1138" t="str" cm="1">
        <f t="array" ref="T1138">_xlfn.IFS(AND(N1138&lt;= 22, S1138=9), "SOWING",AND(N1138&lt;= 28, S1138=9), "COVERAGE",AND(N1138&lt;= 30, S1138=9), "FLUSH",AND(N1138&lt;= 11, S1138=10), "FLUSH",AND(N1138&lt;= 21, S1138=10), "PRODUCTION")</f>
        <v>SOWING</v>
      </c>
      <c r="U1138">
        <f>HOUR(datos_siembra[[#This Row],[Hour]])</f>
        <v>10</v>
      </c>
      <c r="V1138" cm="1">
        <f t="array" ref="V1138">_xlfn.IFS(AND(N1138&lt;= 22, S1138=9), N1138-7,AND(N1138&lt;= 28, S1138=9), N1138-25,AND(N1138&lt;= 30, S1138=9), N1138-28,AND(N1138&lt;= 11, S1138=10), N1138+2,AND(N1138&lt;= 21, S1138=10), N1138-11)</f>
        <v>9</v>
      </c>
    </row>
    <row r="1139" spans="1:22" x14ac:dyDescent="0.35">
      <c r="A1139" s="4">
        <v>45551</v>
      </c>
      <c r="B1139" s="5">
        <v>0.45708333333333334</v>
      </c>
      <c r="C1139">
        <v>79.7</v>
      </c>
      <c r="D1139">
        <v>77.3</v>
      </c>
      <c r="E1139">
        <v>79.400000000000006</v>
      </c>
      <c r="F1139">
        <v>78.099999999999994</v>
      </c>
      <c r="G1139">
        <v>0</v>
      </c>
      <c r="H1139">
        <v>0</v>
      </c>
      <c r="I1139">
        <v>0</v>
      </c>
      <c r="J1139">
        <v>0</v>
      </c>
      <c r="K1139">
        <v>65.599999999999994</v>
      </c>
      <c r="L1139">
        <v>64.2</v>
      </c>
      <c r="M1139">
        <v>78.66</v>
      </c>
      <c r="N1139">
        <v>16</v>
      </c>
      <c r="O1139">
        <v>6</v>
      </c>
      <c r="P1139">
        <f>MOD(DAY(datos_siembra[[#This Row],[Date]]),7)</f>
        <v>2</v>
      </c>
      <c r="Q1139" t="str">
        <f>CHOOSE(WEEKDAY(datos_siembra[[#This Row],[Date]],2),"L","M","X","J","V","S","D")</f>
        <v>L</v>
      </c>
      <c r="R1139">
        <f>WEEKNUM(datos_siembra[[#This Row],[Date]],2)-WEEKNUM(DATE(YEAR(datos_siembra[[#This Row],[Date]]),MONTH(datos_siembra[[#This Row],[Date]]),1))+1</f>
        <v>3</v>
      </c>
      <c r="S1139">
        <f>MONTH(datos_siembra[[#This Row],[Date]])</f>
        <v>9</v>
      </c>
      <c r="T1139" t="str" cm="1">
        <f t="array" ref="T1139">_xlfn.IFS(AND(N1139&lt;= 22, S1139=9), "SOWING",AND(N1139&lt;= 28, S1139=9), "COVERAGE",AND(N1139&lt;= 30, S1139=9), "FLUSH",AND(N1139&lt;= 11, S1139=10), "FLUSH",AND(N1139&lt;= 21, S1139=10), "PRODUCTION")</f>
        <v>SOWING</v>
      </c>
      <c r="U1139">
        <f>HOUR(datos_siembra[[#This Row],[Hour]])</f>
        <v>10</v>
      </c>
      <c r="V1139" cm="1">
        <f t="array" ref="V1139">_xlfn.IFS(AND(N1139&lt;= 22, S1139=9), N1139-7,AND(N1139&lt;= 28, S1139=9), N1139-25,AND(N1139&lt;= 30, S1139=9), N1139-28,AND(N1139&lt;= 11, S1139=10), N1139+2,AND(N1139&lt;= 21, S1139=10), N1139-11)</f>
        <v>9</v>
      </c>
    </row>
    <row r="1140" spans="1:22" x14ac:dyDescent="0.35">
      <c r="A1140" s="4">
        <v>45551</v>
      </c>
      <c r="B1140" s="5">
        <v>0.46402777777777776</v>
      </c>
      <c r="C1140">
        <v>79.599999999999994</v>
      </c>
      <c r="D1140">
        <v>77.3</v>
      </c>
      <c r="E1140">
        <v>79.3</v>
      </c>
      <c r="F1140">
        <v>78.099999999999994</v>
      </c>
      <c r="G1140">
        <v>0</v>
      </c>
      <c r="H1140">
        <v>0</v>
      </c>
      <c r="I1140">
        <v>0</v>
      </c>
      <c r="J1140">
        <v>0</v>
      </c>
      <c r="K1140">
        <v>66.5</v>
      </c>
      <c r="L1140">
        <v>65.2</v>
      </c>
      <c r="M1140">
        <v>78.63</v>
      </c>
      <c r="N1140">
        <v>16</v>
      </c>
      <c r="O1140">
        <v>6</v>
      </c>
      <c r="P1140">
        <f>MOD(DAY(datos_siembra[[#This Row],[Date]]),7)</f>
        <v>2</v>
      </c>
      <c r="Q1140" t="str">
        <f>CHOOSE(WEEKDAY(datos_siembra[[#This Row],[Date]],2),"L","M","X","J","V","S","D")</f>
        <v>L</v>
      </c>
      <c r="R1140">
        <f>WEEKNUM(datos_siembra[[#This Row],[Date]],2)-WEEKNUM(DATE(YEAR(datos_siembra[[#This Row],[Date]]),MONTH(datos_siembra[[#This Row],[Date]]),1))+1</f>
        <v>3</v>
      </c>
      <c r="S1140">
        <f>MONTH(datos_siembra[[#This Row],[Date]])</f>
        <v>9</v>
      </c>
      <c r="T1140" t="str" cm="1">
        <f t="array" ref="T1140">_xlfn.IFS(AND(N1140&lt;= 22, S1140=9), "SOWING",AND(N1140&lt;= 28, S1140=9), "COVERAGE",AND(N1140&lt;= 30, S1140=9), "FLUSH",AND(N1140&lt;= 11, S1140=10), "FLUSH",AND(N1140&lt;= 21, S1140=10), "PRODUCTION")</f>
        <v>SOWING</v>
      </c>
      <c r="U1140">
        <f>HOUR(datos_siembra[[#This Row],[Hour]])</f>
        <v>11</v>
      </c>
      <c r="V1140" cm="1">
        <f t="array" ref="V1140">_xlfn.IFS(AND(N1140&lt;= 22, S1140=9), N1140-7,AND(N1140&lt;= 28, S1140=9), N1140-25,AND(N1140&lt;= 30, S1140=9), N1140-28,AND(N1140&lt;= 11, S1140=10), N1140+2,AND(N1140&lt;= 21, S1140=10), N1140-11)</f>
        <v>9</v>
      </c>
    </row>
    <row r="1141" spans="1:22" x14ac:dyDescent="0.35">
      <c r="A1141" s="4">
        <v>45551</v>
      </c>
      <c r="B1141" s="5">
        <v>0.47097222222222224</v>
      </c>
      <c r="C1141">
        <v>79.7</v>
      </c>
      <c r="D1141">
        <v>77.3</v>
      </c>
      <c r="E1141">
        <v>79.099999999999994</v>
      </c>
      <c r="F1141">
        <v>78.099999999999994</v>
      </c>
      <c r="G1141">
        <v>0</v>
      </c>
      <c r="H1141">
        <v>0</v>
      </c>
      <c r="I1141">
        <v>0</v>
      </c>
      <c r="J1141">
        <v>0</v>
      </c>
      <c r="K1141">
        <v>66.900000000000006</v>
      </c>
      <c r="L1141">
        <v>65.5</v>
      </c>
      <c r="M1141">
        <v>78.599999999999994</v>
      </c>
      <c r="N1141">
        <v>16</v>
      </c>
      <c r="O1141">
        <v>6</v>
      </c>
      <c r="P1141">
        <f>MOD(DAY(datos_siembra[[#This Row],[Date]]),7)</f>
        <v>2</v>
      </c>
      <c r="Q1141" t="str">
        <f>CHOOSE(WEEKDAY(datos_siembra[[#This Row],[Date]],2),"L","M","X","J","V","S","D")</f>
        <v>L</v>
      </c>
      <c r="R1141">
        <f>WEEKNUM(datos_siembra[[#This Row],[Date]],2)-WEEKNUM(DATE(YEAR(datos_siembra[[#This Row],[Date]]),MONTH(datos_siembra[[#This Row],[Date]]),1))+1</f>
        <v>3</v>
      </c>
      <c r="S1141">
        <f>MONTH(datos_siembra[[#This Row],[Date]])</f>
        <v>9</v>
      </c>
      <c r="T1141" t="str" cm="1">
        <f t="array" ref="T1141">_xlfn.IFS(AND(N1141&lt;= 22, S1141=9), "SOWING",AND(N1141&lt;= 28, S1141=9), "COVERAGE",AND(N1141&lt;= 30, S1141=9), "FLUSH",AND(N1141&lt;= 11, S1141=10), "FLUSH",AND(N1141&lt;= 21, S1141=10), "PRODUCTION")</f>
        <v>SOWING</v>
      </c>
      <c r="U1141">
        <f>HOUR(datos_siembra[[#This Row],[Hour]])</f>
        <v>11</v>
      </c>
      <c r="V1141" cm="1">
        <f t="array" ref="V1141">_xlfn.IFS(AND(N1141&lt;= 22, S1141=9), N1141-7,AND(N1141&lt;= 28, S1141=9), N1141-25,AND(N1141&lt;= 30, S1141=9), N1141-28,AND(N1141&lt;= 11, S1141=10), N1141+2,AND(N1141&lt;= 21, S1141=10), N1141-11)</f>
        <v>9</v>
      </c>
    </row>
    <row r="1142" spans="1:22" x14ac:dyDescent="0.35">
      <c r="A1142" s="4">
        <v>45551</v>
      </c>
      <c r="B1142" s="5">
        <v>0.47792824074074075</v>
      </c>
      <c r="C1142">
        <v>79.7</v>
      </c>
      <c r="D1142">
        <v>77.3</v>
      </c>
      <c r="E1142">
        <v>79.3</v>
      </c>
      <c r="F1142">
        <v>78.099999999999994</v>
      </c>
      <c r="G1142">
        <v>0</v>
      </c>
      <c r="H1142">
        <v>0</v>
      </c>
      <c r="I1142">
        <v>0</v>
      </c>
      <c r="J1142">
        <v>0</v>
      </c>
      <c r="K1142">
        <v>67</v>
      </c>
      <c r="L1142">
        <v>65.8</v>
      </c>
      <c r="M1142">
        <v>78.569999999999993</v>
      </c>
      <c r="N1142">
        <v>16</v>
      </c>
      <c r="O1142">
        <v>6</v>
      </c>
      <c r="P1142">
        <f>MOD(DAY(datos_siembra[[#This Row],[Date]]),7)</f>
        <v>2</v>
      </c>
      <c r="Q1142" t="str">
        <f>CHOOSE(WEEKDAY(datos_siembra[[#This Row],[Date]],2),"L","M","X","J","V","S","D")</f>
        <v>L</v>
      </c>
      <c r="R1142">
        <f>WEEKNUM(datos_siembra[[#This Row],[Date]],2)-WEEKNUM(DATE(YEAR(datos_siembra[[#This Row],[Date]]),MONTH(datos_siembra[[#This Row],[Date]]),1))+1</f>
        <v>3</v>
      </c>
      <c r="S1142">
        <f>MONTH(datos_siembra[[#This Row],[Date]])</f>
        <v>9</v>
      </c>
      <c r="T1142" t="str" cm="1">
        <f t="array" ref="T1142">_xlfn.IFS(AND(N1142&lt;= 22, S1142=9), "SOWING",AND(N1142&lt;= 28, S1142=9), "COVERAGE",AND(N1142&lt;= 30, S1142=9), "FLUSH",AND(N1142&lt;= 11, S1142=10), "FLUSH",AND(N1142&lt;= 21, S1142=10), "PRODUCTION")</f>
        <v>SOWING</v>
      </c>
      <c r="U1142">
        <f>HOUR(datos_siembra[[#This Row],[Hour]])</f>
        <v>11</v>
      </c>
      <c r="V1142" cm="1">
        <f t="array" ref="V1142">_xlfn.IFS(AND(N1142&lt;= 22, S1142=9), N1142-7,AND(N1142&lt;= 28, S1142=9), N1142-25,AND(N1142&lt;= 30, S1142=9), N1142-28,AND(N1142&lt;= 11, S1142=10), N1142+2,AND(N1142&lt;= 21, S1142=10), N1142-11)</f>
        <v>9</v>
      </c>
    </row>
    <row r="1143" spans="1:22" x14ac:dyDescent="0.35">
      <c r="A1143" s="4">
        <v>45551</v>
      </c>
      <c r="B1143" s="5">
        <v>0.48487268518518517</v>
      </c>
      <c r="C1143">
        <v>79.7</v>
      </c>
      <c r="D1143">
        <v>77.5</v>
      </c>
      <c r="E1143">
        <v>79.400000000000006</v>
      </c>
      <c r="F1143">
        <v>78.5</v>
      </c>
      <c r="G1143">
        <v>0</v>
      </c>
      <c r="H1143">
        <v>0</v>
      </c>
      <c r="I1143">
        <v>0</v>
      </c>
      <c r="J1143">
        <v>0</v>
      </c>
      <c r="K1143">
        <v>67</v>
      </c>
      <c r="L1143">
        <v>65.8</v>
      </c>
      <c r="M1143">
        <v>78.569999999999993</v>
      </c>
      <c r="N1143">
        <v>16</v>
      </c>
      <c r="O1143">
        <v>6</v>
      </c>
      <c r="P1143">
        <f>MOD(DAY(datos_siembra[[#This Row],[Date]]),7)</f>
        <v>2</v>
      </c>
      <c r="Q1143" t="str">
        <f>CHOOSE(WEEKDAY(datos_siembra[[#This Row],[Date]],2),"L","M","X","J","V","S","D")</f>
        <v>L</v>
      </c>
      <c r="R1143">
        <f>WEEKNUM(datos_siembra[[#This Row],[Date]],2)-WEEKNUM(DATE(YEAR(datos_siembra[[#This Row],[Date]]),MONTH(datos_siembra[[#This Row],[Date]]),1))+1</f>
        <v>3</v>
      </c>
      <c r="S1143">
        <f>MONTH(datos_siembra[[#This Row],[Date]])</f>
        <v>9</v>
      </c>
      <c r="T1143" t="str" cm="1">
        <f t="array" ref="T1143">_xlfn.IFS(AND(N1143&lt;= 22, S1143=9), "SOWING",AND(N1143&lt;= 28, S1143=9), "COVERAGE",AND(N1143&lt;= 30, S1143=9), "FLUSH",AND(N1143&lt;= 11, S1143=10), "FLUSH",AND(N1143&lt;= 21, S1143=10), "PRODUCTION")</f>
        <v>SOWING</v>
      </c>
      <c r="U1143">
        <f>HOUR(datos_siembra[[#This Row],[Hour]])</f>
        <v>11</v>
      </c>
      <c r="V1143" cm="1">
        <f t="array" ref="V1143">_xlfn.IFS(AND(N1143&lt;= 22, S1143=9), N1143-7,AND(N1143&lt;= 28, S1143=9), N1143-25,AND(N1143&lt;= 30, S1143=9), N1143-28,AND(N1143&lt;= 11, S1143=10), N1143+2,AND(N1143&lt;= 21, S1143=10), N1143-11)</f>
        <v>9</v>
      </c>
    </row>
    <row r="1144" spans="1:22" x14ac:dyDescent="0.35">
      <c r="A1144" s="4">
        <v>45551</v>
      </c>
      <c r="B1144" s="5">
        <v>0.49181712962962965</v>
      </c>
      <c r="C1144">
        <v>79.8</v>
      </c>
      <c r="D1144">
        <v>77.3</v>
      </c>
      <c r="E1144">
        <v>79.3</v>
      </c>
      <c r="F1144">
        <v>78.099999999999994</v>
      </c>
      <c r="G1144">
        <v>0</v>
      </c>
      <c r="H1144">
        <v>0</v>
      </c>
      <c r="I1144">
        <v>0</v>
      </c>
      <c r="J1144">
        <v>0</v>
      </c>
      <c r="K1144">
        <v>65.3</v>
      </c>
      <c r="L1144">
        <v>63.5</v>
      </c>
      <c r="M1144">
        <v>78.66</v>
      </c>
      <c r="N1144">
        <v>16</v>
      </c>
      <c r="O1144">
        <v>6</v>
      </c>
      <c r="P1144">
        <f>MOD(DAY(datos_siembra[[#This Row],[Date]]),7)</f>
        <v>2</v>
      </c>
      <c r="Q1144" t="str">
        <f>CHOOSE(WEEKDAY(datos_siembra[[#This Row],[Date]],2),"L","M","X","J","V","S","D")</f>
        <v>L</v>
      </c>
      <c r="R1144">
        <f>WEEKNUM(datos_siembra[[#This Row],[Date]],2)-WEEKNUM(DATE(YEAR(datos_siembra[[#This Row],[Date]]),MONTH(datos_siembra[[#This Row],[Date]]),1))+1</f>
        <v>3</v>
      </c>
      <c r="S1144">
        <f>MONTH(datos_siembra[[#This Row],[Date]])</f>
        <v>9</v>
      </c>
      <c r="T1144" t="str" cm="1">
        <f t="array" ref="T1144">_xlfn.IFS(AND(N1144&lt;= 22, S1144=9), "SOWING",AND(N1144&lt;= 28, S1144=9), "COVERAGE",AND(N1144&lt;= 30, S1144=9), "FLUSH",AND(N1144&lt;= 11, S1144=10), "FLUSH",AND(N1144&lt;= 21, S1144=10), "PRODUCTION")</f>
        <v>SOWING</v>
      </c>
      <c r="U1144">
        <f>HOUR(datos_siembra[[#This Row],[Hour]])</f>
        <v>11</v>
      </c>
      <c r="V1144" cm="1">
        <f t="array" ref="V1144">_xlfn.IFS(AND(N1144&lt;= 22, S1144=9), N1144-7,AND(N1144&lt;= 28, S1144=9), N1144-25,AND(N1144&lt;= 30, S1144=9), N1144-28,AND(N1144&lt;= 11, S1144=10), N1144+2,AND(N1144&lt;= 21, S1144=10), N1144-11)</f>
        <v>9</v>
      </c>
    </row>
    <row r="1145" spans="1:22" x14ac:dyDescent="0.35">
      <c r="A1145" s="4">
        <v>45551</v>
      </c>
      <c r="B1145" s="5">
        <v>0.49877314814814816</v>
      </c>
      <c r="C1145">
        <v>79.7</v>
      </c>
      <c r="D1145">
        <v>77.5</v>
      </c>
      <c r="E1145">
        <v>79.3</v>
      </c>
      <c r="F1145">
        <v>78.5</v>
      </c>
      <c r="G1145">
        <v>0</v>
      </c>
      <c r="H1145">
        <v>0</v>
      </c>
      <c r="I1145">
        <v>0</v>
      </c>
      <c r="J1145">
        <v>0</v>
      </c>
      <c r="K1145">
        <v>64.900000000000006</v>
      </c>
      <c r="L1145">
        <v>62.9</v>
      </c>
      <c r="M1145">
        <v>78.569999999999993</v>
      </c>
      <c r="N1145">
        <v>16</v>
      </c>
      <c r="O1145">
        <v>6</v>
      </c>
      <c r="P1145">
        <f>MOD(DAY(datos_siembra[[#This Row],[Date]]),7)</f>
        <v>2</v>
      </c>
      <c r="Q1145" t="str">
        <f>CHOOSE(WEEKDAY(datos_siembra[[#This Row],[Date]],2),"L","M","X","J","V","S","D")</f>
        <v>L</v>
      </c>
      <c r="R1145">
        <f>WEEKNUM(datos_siembra[[#This Row],[Date]],2)-WEEKNUM(DATE(YEAR(datos_siembra[[#This Row],[Date]]),MONTH(datos_siembra[[#This Row],[Date]]),1))+1</f>
        <v>3</v>
      </c>
      <c r="S1145">
        <f>MONTH(datos_siembra[[#This Row],[Date]])</f>
        <v>9</v>
      </c>
      <c r="T1145" t="str" cm="1">
        <f t="array" ref="T1145">_xlfn.IFS(AND(N1145&lt;= 22, S1145=9), "SOWING",AND(N1145&lt;= 28, S1145=9), "COVERAGE",AND(N1145&lt;= 30, S1145=9), "FLUSH",AND(N1145&lt;= 11, S1145=10), "FLUSH",AND(N1145&lt;= 21, S1145=10), "PRODUCTION")</f>
        <v>SOWING</v>
      </c>
      <c r="U1145">
        <f>HOUR(datos_siembra[[#This Row],[Hour]])</f>
        <v>11</v>
      </c>
      <c r="V1145" cm="1">
        <f t="array" ref="V1145">_xlfn.IFS(AND(N1145&lt;= 22, S1145=9), N1145-7,AND(N1145&lt;= 28, S1145=9), N1145-25,AND(N1145&lt;= 30, S1145=9), N1145-28,AND(N1145&lt;= 11, S1145=10), N1145+2,AND(N1145&lt;= 21, S1145=10), N1145-11)</f>
        <v>9</v>
      </c>
    </row>
    <row r="1146" spans="1:22" x14ac:dyDescent="0.35">
      <c r="A1146" s="4">
        <v>45551</v>
      </c>
      <c r="B1146" s="5">
        <v>0.50571759259259264</v>
      </c>
      <c r="C1146">
        <v>80</v>
      </c>
      <c r="D1146">
        <v>77.2</v>
      </c>
      <c r="E1146">
        <v>79.3</v>
      </c>
      <c r="F1146">
        <v>78.2</v>
      </c>
      <c r="G1146">
        <v>0</v>
      </c>
      <c r="H1146">
        <v>0</v>
      </c>
      <c r="I1146">
        <v>0</v>
      </c>
      <c r="J1146">
        <v>0</v>
      </c>
      <c r="K1146">
        <v>65.5</v>
      </c>
      <c r="L1146">
        <v>64.2</v>
      </c>
      <c r="M1146">
        <v>78.599999999999994</v>
      </c>
      <c r="N1146">
        <v>16</v>
      </c>
      <c r="O1146">
        <v>6</v>
      </c>
      <c r="P1146">
        <f>MOD(DAY(datos_siembra[[#This Row],[Date]]),7)</f>
        <v>2</v>
      </c>
      <c r="Q1146" t="str">
        <f>CHOOSE(WEEKDAY(datos_siembra[[#This Row],[Date]],2),"L","M","X","J","V","S","D")</f>
        <v>L</v>
      </c>
      <c r="R1146">
        <f>WEEKNUM(datos_siembra[[#This Row],[Date]],2)-WEEKNUM(DATE(YEAR(datos_siembra[[#This Row],[Date]]),MONTH(datos_siembra[[#This Row],[Date]]),1))+1</f>
        <v>3</v>
      </c>
      <c r="S1146">
        <f>MONTH(datos_siembra[[#This Row],[Date]])</f>
        <v>9</v>
      </c>
      <c r="T1146" t="str" cm="1">
        <f t="array" ref="T1146">_xlfn.IFS(AND(N1146&lt;= 22, S1146=9), "SOWING",AND(N1146&lt;= 28, S1146=9), "COVERAGE",AND(N1146&lt;= 30, S1146=9), "FLUSH",AND(N1146&lt;= 11, S1146=10), "FLUSH",AND(N1146&lt;= 21, S1146=10), "PRODUCTION")</f>
        <v>SOWING</v>
      </c>
      <c r="U1146">
        <f>HOUR(datos_siembra[[#This Row],[Hour]])</f>
        <v>12</v>
      </c>
      <c r="V1146" cm="1">
        <f t="array" ref="V1146">_xlfn.IFS(AND(N1146&lt;= 22, S1146=9), N1146-7,AND(N1146&lt;= 28, S1146=9), N1146-25,AND(N1146&lt;= 30, S1146=9), N1146-28,AND(N1146&lt;= 11, S1146=10), N1146+2,AND(N1146&lt;= 21, S1146=10), N1146-11)</f>
        <v>9</v>
      </c>
    </row>
    <row r="1147" spans="1:22" x14ac:dyDescent="0.35">
      <c r="A1147" s="4">
        <v>45551</v>
      </c>
      <c r="B1147" s="5">
        <v>0.51266203703703705</v>
      </c>
      <c r="C1147">
        <v>79.7</v>
      </c>
      <c r="D1147">
        <v>77.3</v>
      </c>
      <c r="E1147">
        <v>79.099999999999994</v>
      </c>
      <c r="F1147">
        <v>78.400000000000006</v>
      </c>
      <c r="G1147">
        <v>0</v>
      </c>
      <c r="H1147">
        <v>0</v>
      </c>
      <c r="I1147">
        <v>0</v>
      </c>
      <c r="J1147">
        <v>0</v>
      </c>
      <c r="K1147">
        <v>66.599999999999994</v>
      </c>
      <c r="L1147">
        <v>65.3</v>
      </c>
      <c r="M1147">
        <v>78.489999999999995</v>
      </c>
      <c r="N1147">
        <v>16</v>
      </c>
      <c r="O1147">
        <v>6</v>
      </c>
      <c r="P1147">
        <f>MOD(DAY(datos_siembra[[#This Row],[Date]]),7)</f>
        <v>2</v>
      </c>
      <c r="Q1147" t="str">
        <f>CHOOSE(WEEKDAY(datos_siembra[[#This Row],[Date]],2),"L","M","X","J","V","S","D")</f>
        <v>L</v>
      </c>
      <c r="R1147">
        <f>WEEKNUM(datos_siembra[[#This Row],[Date]],2)-WEEKNUM(DATE(YEAR(datos_siembra[[#This Row],[Date]]),MONTH(datos_siembra[[#This Row],[Date]]),1))+1</f>
        <v>3</v>
      </c>
      <c r="S1147">
        <f>MONTH(datos_siembra[[#This Row],[Date]])</f>
        <v>9</v>
      </c>
      <c r="T1147" t="str" cm="1">
        <f t="array" ref="T1147">_xlfn.IFS(AND(N1147&lt;= 22, S1147=9), "SOWING",AND(N1147&lt;= 28, S1147=9), "COVERAGE",AND(N1147&lt;= 30, S1147=9), "FLUSH",AND(N1147&lt;= 11, S1147=10), "FLUSH",AND(N1147&lt;= 21, S1147=10), "PRODUCTION")</f>
        <v>SOWING</v>
      </c>
      <c r="U1147">
        <f>HOUR(datos_siembra[[#This Row],[Hour]])</f>
        <v>12</v>
      </c>
      <c r="V1147" cm="1">
        <f t="array" ref="V1147">_xlfn.IFS(AND(N1147&lt;= 22, S1147=9), N1147-7,AND(N1147&lt;= 28, S1147=9), N1147-25,AND(N1147&lt;= 30, S1147=9), N1147-28,AND(N1147&lt;= 11, S1147=10), N1147+2,AND(N1147&lt;= 21, S1147=10), N1147-11)</f>
        <v>9</v>
      </c>
    </row>
    <row r="1148" spans="1:22" x14ac:dyDescent="0.35">
      <c r="A1148" s="4">
        <v>45551</v>
      </c>
      <c r="B1148" s="5">
        <v>0.51961805555555551</v>
      </c>
      <c r="C1148">
        <v>79.7</v>
      </c>
      <c r="D1148">
        <v>77.3</v>
      </c>
      <c r="E1148">
        <v>79.3</v>
      </c>
      <c r="F1148">
        <v>78.2</v>
      </c>
      <c r="G1148">
        <v>0</v>
      </c>
      <c r="H1148">
        <v>0</v>
      </c>
      <c r="I1148">
        <v>0</v>
      </c>
      <c r="J1148">
        <v>0</v>
      </c>
      <c r="K1148">
        <v>66.900000000000006</v>
      </c>
      <c r="L1148">
        <v>65.599999999999994</v>
      </c>
      <c r="M1148">
        <v>78.63</v>
      </c>
      <c r="N1148">
        <v>16</v>
      </c>
      <c r="O1148">
        <v>6</v>
      </c>
      <c r="P1148">
        <f>MOD(DAY(datos_siembra[[#This Row],[Date]]),7)</f>
        <v>2</v>
      </c>
      <c r="Q1148" t="str">
        <f>CHOOSE(WEEKDAY(datos_siembra[[#This Row],[Date]],2),"L","M","X","J","V","S","D")</f>
        <v>L</v>
      </c>
      <c r="R1148">
        <f>WEEKNUM(datos_siembra[[#This Row],[Date]],2)-WEEKNUM(DATE(YEAR(datos_siembra[[#This Row],[Date]]),MONTH(datos_siembra[[#This Row],[Date]]),1))+1</f>
        <v>3</v>
      </c>
      <c r="S1148">
        <f>MONTH(datos_siembra[[#This Row],[Date]])</f>
        <v>9</v>
      </c>
      <c r="T1148" t="str" cm="1">
        <f t="array" ref="T1148">_xlfn.IFS(AND(N1148&lt;= 22, S1148=9), "SOWING",AND(N1148&lt;= 28, S1148=9), "COVERAGE",AND(N1148&lt;= 30, S1148=9), "FLUSH",AND(N1148&lt;= 11, S1148=10), "FLUSH",AND(N1148&lt;= 21, S1148=10), "PRODUCTION")</f>
        <v>SOWING</v>
      </c>
      <c r="U1148">
        <f>HOUR(datos_siembra[[#This Row],[Hour]])</f>
        <v>12</v>
      </c>
      <c r="V1148" cm="1">
        <f t="array" ref="V1148">_xlfn.IFS(AND(N1148&lt;= 22, S1148=9), N1148-7,AND(N1148&lt;= 28, S1148=9), N1148-25,AND(N1148&lt;= 30, S1148=9), N1148-28,AND(N1148&lt;= 11, S1148=10), N1148+2,AND(N1148&lt;= 21, S1148=10), N1148-11)</f>
        <v>9</v>
      </c>
    </row>
    <row r="1149" spans="1:22" x14ac:dyDescent="0.35">
      <c r="A1149" s="4">
        <v>45551</v>
      </c>
      <c r="B1149" s="5">
        <v>0.52656250000000004</v>
      </c>
      <c r="C1149">
        <v>79.8</v>
      </c>
      <c r="D1149">
        <v>77.3</v>
      </c>
      <c r="E1149">
        <v>79.099999999999994</v>
      </c>
      <c r="F1149">
        <v>78.2</v>
      </c>
      <c r="G1149">
        <v>0</v>
      </c>
      <c r="H1149">
        <v>0</v>
      </c>
      <c r="I1149">
        <v>0</v>
      </c>
      <c r="J1149">
        <v>0</v>
      </c>
      <c r="K1149">
        <v>65.400000000000006</v>
      </c>
      <c r="L1149">
        <v>63.7</v>
      </c>
      <c r="M1149">
        <v>78.66</v>
      </c>
      <c r="N1149">
        <v>16</v>
      </c>
      <c r="O1149">
        <v>6</v>
      </c>
      <c r="P1149">
        <f>MOD(DAY(datos_siembra[[#This Row],[Date]]),7)</f>
        <v>2</v>
      </c>
      <c r="Q1149" t="str">
        <f>CHOOSE(WEEKDAY(datos_siembra[[#This Row],[Date]],2),"L","M","X","J","V","S","D")</f>
        <v>L</v>
      </c>
      <c r="R1149">
        <f>WEEKNUM(datos_siembra[[#This Row],[Date]],2)-WEEKNUM(DATE(YEAR(datos_siembra[[#This Row],[Date]]),MONTH(datos_siembra[[#This Row],[Date]]),1))+1</f>
        <v>3</v>
      </c>
      <c r="S1149">
        <f>MONTH(datos_siembra[[#This Row],[Date]])</f>
        <v>9</v>
      </c>
      <c r="T1149" t="str" cm="1">
        <f t="array" ref="T1149">_xlfn.IFS(AND(N1149&lt;= 22, S1149=9), "SOWING",AND(N1149&lt;= 28, S1149=9), "COVERAGE",AND(N1149&lt;= 30, S1149=9), "FLUSH",AND(N1149&lt;= 11, S1149=10), "FLUSH",AND(N1149&lt;= 21, S1149=10), "PRODUCTION")</f>
        <v>SOWING</v>
      </c>
      <c r="U1149">
        <f>HOUR(datos_siembra[[#This Row],[Hour]])</f>
        <v>12</v>
      </c>
      <c r="V1149" cm="1">
        <f t="array" ref="V1149">_xlfn.IFS(AND(N1149&lt;= 22, S1149=9), N1149-7,AND(N1149&lt;= 28, S1149=9), N1149-25,AND(N1149&lt;= 30, S1149=9), N1149-28,AND(N1149&lt;= 11, S1149=10), N1149+2,AND(N1149&lt;= 21, S1149=10), N1149-11)</f>
        <v>9</v>
      </c>
    </row>
    <row r="1150" spans="1:22" x14ac:dyDescent="0.35">
      <c r="A1150" s="4">
        <v>45551</v>
      </c>
      <c r="B1150" s="5">
        <v>0.53350694444444446</v>
      </c>
      <c r="C1150">
        <v>79.7</v>
      </c>
      <c r="D1150">
        <v>77.3</v>
      </c>
      <c r="E1150">
        <v>79.099999999999994</v>
      </c>
      <c r="F1150">
        <v>78.400000000000006</v>
      </c>
      <c r="G1150">
        <v>0</v>
      </c>
      <c r="H1150">
        <v>0</v>
      </c>
      <c r="I1150">
        <v>0</v>
      </c>
      <c r="J1150">
        <v>0</v>
      </c>
      <c r="K1150">
        <v>65</v>
      </c>
      <c r="L1150">
        <v>63.2</v>
      </c>
      <c r="M1150">
        <v>78.63</v>
      </c>
      <c r="N1150">
        <v>16</v>
      </c>
      <c r="O1150">
        <v>6</v>
      </c>
      <c r="P1150">
        <f>MOD(DAY(datos_siembra[[#This Row],[Date]]),7)</f>
        <v>2</v>
      </c>
      <c r="Q1150" t="str">
        <f>CHOOSE(WEEKDAY(datos_siembra[[#This Row],[Date]],2),"L","M","X","J","V","S","D")</f>
        <v>L</v>
      </c>
      <c r="R1150">
        <f>WEEKNUM(datos_siembra[[#This Row],[Date]],2)-WEEKNUM(DATE(YEAR(datos_siembra[[#This Row],[Date]]),MONTH(datos_siembra[[#This Row],[Date]]),1))+1</f>
        <v>3</v>
      </c>
      <c r="S1150">
        <f>MONTH(datos_siembra[[#This Row],[Date]])</f>
        <v>9</v>
      </c>
      <c r="T1150" t="str" cm="1">
        <f t="array" ref="T1150">_xlfn.IFS(AND(N1150&lt;= 22, S1150=9), "SOWING",AND(N1150&lt;= 28, S1150=9), "COVERAGE",AND(N1150&lt;= 30, S1150=9), "FLUSH",AND(N1150&lt;= 11, S1150=10), "FLUSH",AND(N1150&lt;= 21, S1150=10), "PRODUCTION")</f>
        <v>SOWING</v>
      </c>
      <c r="U1150">
        <f>HOUR(datos_siembra[[#This Row],[Hour]])</f>
        <v>12</v>
      </c>
      <c r="V1150" cm="1">
        <f t="array" ref="V1150">_xlfn.IFS(AND(N1150&lt;= 22, S1150=9), N1150-7,AND(N1150&lt;= 28, S1150=9), N1150-25,AND(N1150&lt;= 30, S1150=9), N1150-28,AND(N1150&lt;= 11, S1150=10), N1150+2,AND(N1150&lt;= 21, S1150=10), N1150-11)</f>
        <v>9</v>
      </c>
    </row>
    <row r="1151" spans="1:22" x14ac:dyDescent="0.35">
      <c r="A1151" s="4">
        <v>45551</v>
      </c>
      <c r="B1151" s="5">
        <v>0.54045138888888888</v>
      </c>
      <c r="C1151">
        <v>79.7</v>
      </c>
      <c r="D1151">
        <v>77.2</v>
      </c>
      <c r="E1151">
        <v>79.3</v>
      </c>
      <c r="F1151">
        <v>78.400000000000006</v>
      </c>
      <c r="G1151">
        <v>0</v>
      </c>
      <c r="H1151">
        <v>0</v>
      </c>
      <c r="I1151">
        <v>0</v>
      </c>
      <c r="J1151">
        <v>0</v>
      </c>
      <c r="K1151">
        <v>65</v>
      </c>
      <c r="L1151">
        <v>63.3</v>
      </c>
      <c r="M1151">
        <v>78.569999999999993</v>
      </c>
      <c r="N1151">
        <v>16</v>
      </c>
      <c r="O1151">
        <v>6</v>
      </c>
      <c r="P1151">
        <f>MOD(DAY(datos_siembra[[#This Row],[Date]]),7)</f>
        <v>2</v>
      </c>
      <c r="Q1151" t="str">
        <f>CHOOSE(WEEKDAY(datos_siembra[[#This Row],[Date]],2),"L","M","X","J","V","S","D")</f>
        <v>L</v>
      </c>
      <c r="R1151">
        <f>WEEKNUM(datos_siembra[[#This Row],[Date]],2)-WEEKNUM(DATE(YEAR(datos_siembra[[#This Row],[Date]]),MONTH(datos_siembra[[#This Row],[Date]]),1))+1</f>
        <v>3</v>
      </c>
      <c r="S1151">
        <f>MONTH(datos_siembra[[#This Row],[Date]])</f>
        <v>9</v>
      </c>
      <c r="T1151" t="str" cm="1">
        <f t="array" ref="T1151">_xlfn.IFS(AND(N1151&lt;= 22, S1151=9), "SOWING",AND(N1151&lt;= 28, S1151=9), "COVERAGE",AND(N1151&lt;= 30, S1151=9), "FLUSH",AND(N1151&lt;= 11, S1151=10), "FLUSH",AND(N1151&lt;= 21, S1151=10), "PRODUCTION")</f>
        <v>SOWING</v>
      </c>
      <c r="U1151">
        <f>HOUR(datos_siembra[[#This Row],[Hour]])</f>
        <v>12</v>
      </c>
      <c r="V1151" cm="1">
        <f t="array" ref="V1151">_xlfn.IFS(AND(N1151&lt;= 22, S1151=9), N1151-7,AND(N1151&lt;= 28, S1151=9), N1151-25,AND(N1151&lt;= 30, S1151=9), N1151-28,AND(N1151&lt;= 11, S1151=10), N1151+2,AND(N1151&lt;= 21, S1151=10), N1151-11)</f>
        <v>9</v>
      </c>
    </row>
    <row r="1152" spans="1:22" x14ac:dyDescent="0.35">
      <c r="A1152" s="4">
        <v>45551</v>
      </c>
      <c r="B1152" s="5">
        <v>0.54740740740740745</v>
      </c>
      <c r="C1152">
        <v>79.7</v>
      </c>
      <c r="D1152">
        <v>77.2</v>
      </c>
      <c r="E1152">
        <v>79.099999999999994</v>
      </c>
      <c r="F1152">
        <v>78.2</v>
      </c>
      <c r="G1152">
        <v>0</v>
      </c>
      <c r="H1152">
        <v>0</v>
      </c>
      <c r="I1152">
        <v>0</v>
      </c>
      <c r="J1152">
        <v>0</v>
      </c>
      <c r="K1152">
        <v>66.3</v>
      </c>
      <c r="L1152">
        <v>64.7</v>
      </c>
      <c r="M1152">
        <v>78.72</v>
      </c>
      <c r="N1152">
        <v>16</v>
      </c>
      <c r="O1152">
        <v>6</v>
      </c>
      <c r="P1152">
        <f>MOD(DAY(datos_siembra[[#This Row],[Date]]),7)</f>
        <v>2</v>
      </c>
      <c r="Q1152" t="str">
        <f>CHOOSE(WEEKDAY(datos_siembra[[#This Row],[Date]],2),"L","M","X","J","V","S","D")</f>
        <v>L</v>
      </c>
      <c r="R1152">
        <f>WEEKNUM(datos_siembra[[#This Row],[Date]],2)-WEEKNUM(DATE(YEAR(datos_siembra[[#This Row],[Date]]),MONTH(datos_siembra[[#This Row],[Date]]),1))+1</f>
        <v>3</v>
      </c>
      <c r="S1152">
        <f>MONTH(datos_siembra[[#This Row],[Date]])</f>
        <v>9</v>
      </c>
      <c r="T1152" t="str" cm="1">
        <f t="array" ref="T1152">_xlfn.IFS(AND(N1152&lt;= 22, S1152=9), "SOWING",AND(N1152&lt;= 28, S1152=9), "COVERAGE",AND(N1152&lt;= 30, S1152=9), "FLUSH",AND(N1152&lt;= 11, S1152=10), "FLUSH",AND(N1152&lt;= 21, S1152=10), "PRODUCTION")</f>
        <v>SOWING</v>
      </c>
      <c r="U1152">
        <f>HOUR(datos_siembra[[#This Row],[Hour]])</f>
        <v>13</v>
      </c>
      <c r="V1152" cm="1">
        <f t="array" ref="V1152">_xlfn.IFS(AND(N1152&lt;= 22, S1152=9), N1152-7,AND(N1152&lt;= 28, S1152=9), N1152-25,AND(N1152&lt;= 30, S1152=9), N1152-28,AND(N1152&lt;= 11, S1152=10), N1152+2,AND(N1152&lt;= 21, S1152=10), N1152-11)</f>
        <v>9</v>
      </c>
    </row>
    <row r="1153" spans="1:22" x14ac:dyDescent="0.35">
      <c r="A1153" s="4">
        <v>45551</v>
      </c>
      <c r="B1153" s="5">
        <v>0.55435185185185187</v>
      </c>
      <c r="C1153">
        <v>79.8</v>
      </c>
      <c r="D1153">
        <v>77.2</v>
      </c>
      <c r="E1153">
        <v>79.3</v>
      </c>
      <c r="F1153">
        <v>78.400000000000006</v>
      </c>
      <c r="G1153">
        <v>0</v>
      </c>
      <c r="H1153">
        <v>0</v>
      </c>
      <c r="I1153">
        <v>0</v>
      </c>
      <c r="J1153">
        <v>0</v>
      </c>
      <c r="K1153">
        <v>66.8</v>
      </c>
      <c r="L1153">
        <v>65.3</v>
      </c>
      <c r="M1153">
        <v>78.569999999999993</v>
      </c>
      <c r="N1153">
        <v>16</v>
      </c>
      <c r="O1153">
        <v>6</v>
      </c>
      <c r="P1153">
        <f>MOD(DAY(datos_siembra[[#This Row],[Date]]),7)</f>
        <v>2</v>
      </c>
      <c r="Q1153" t="str">
        <f>CHOOSE(WEEKDAY(datos_siembra[[#This Row],[Date]],2),"L","M","X","J","V","S","D")</f>
        <v>L</v>
      </c>
      <c r="R1153">
        <f>WEEKNUM(datos_siembra[[#This Row],[Date]],2)-WEEKNUM(DATE(YEAR(datos_siembra[[#This Row],[Date]]),MONTH(datos_siembra[[#This Row],[Date]]),1))+1</f>
        <v>3</v>
      </c>
      <c r="S1153">
        <f>MONTH(datos_siembra[[#This Row],[Date]])</f>
        <v>9</v>
      </c>
      <c r="T1153" t="str" cm="1">
        <f t="array" ref="T1153">_xlfn.IFS(AND(N1153&lt;= 22, S1153=9), "SOWING",AND(N1153&lt;= 28, S1153=9), "COVERAGE",AND(N1153&lt;= 30, S1153=9), "FLUSH",AND(N1153&lt;= 11, S1153=10), "FLUSH",AND(N1153&lt;= 21, S1153=10), "PRODUCTION")</f>
        <v>SOWING</v>
      </c>
      <c r="U1153">
        <f>HOUR(datos_siembra[[#This Row],[Hour]])</f>
        <v>13</v>
      </c>
      <c r="V1153" cm="1">
        <f t="array" ref="V1153">_xlfn.IFS(AND(N1153&lt;= 22, S1153=9), N1153-7,AND(N1153&lt;= 28, S1153=9), N1153-25,AND(N1153&lt;= 30, S1153=9), N1153-28,AND(N1153&lt;= 11, S1153=10), N1153+2,AND(N1153&lt;= 21, S1153=10), N1153-11)</f>
        <v>9</v>
      </c>
    </row>
    <row r="1154" spans="1:22" x14ac:dyDescent="0.35">
      <c r="A1154" s="4">
        <v>45551</v>
      </c>
      <c r="B1154" s="5">
        <v>0.56129629629629629</v>
      </c>
      <c r="C1154">
        <v>79.7</v>
      </c>
      <c r="D1154">
        <v>77.3</v>
      </c>
      <c r="E1154">
        <v>79.3</v>
      </c>
      <c r="F1154">
        <v>78.099999999999994</v>
      </c>
      <c r="G1154">
        <v>0</v>
      </c>
      <c r="H1154">
        <v>0</v>
      </c>
      <c r="I1154">
        <v>0</v>
      </c>
      <c r="J1154">
        <v>0</v>
      </c>
      <c r="K1154">
        <v>65.900000000000006</v>
      </c>
      <c r="L1154">
        <v>64.2</v>
      </c>
      <c r="M1154">
        <v>78.66</v>
      </c>
      <c r="N1154">
        <v>16</v>
      </c>
      <c r="O1154">
        <v>6</v>
      </c>
      <c r="P1154">
        <f>MOD(DAY(datos_siembra[[#This Row],[Date]]),7)</f>
        <v>2</v>
      </c>
      <c r="Q1154" t="str">
        <f>CHOOSE(WEEKDAY(datos_siembra[[#This Row],[Date]],2),"L","M","X","J","V","S","D")</f>
        <v>L</v>
      </c>
      <c r="R1154">
        <f>WEEKNUM(datos_siembra[[#This Row],[Date]],2)-WEEKNUM(DATE(YEAR(datos_siembra[[#This Row],[Date]]),MONTH(datos_siembra[[#This Row],[Date]]),1))+1</f>
        <v>3</v>
      </c>
      <c r="S1154">
        <f>MONTH(datos_siembra[[#This Row],[Date]])</f>
        <v>9</v>
      </c>
      <c r="T1154" t="str" cm="1">
        <f t="array" ref="T1154">_xlfn.IFS(AND(N1154&lt;= 22, S1154=9), "SOWING",AND(N1154&lt;= 28, S1154=9), "COVERAGE",AND(N1154&lt;= 30, S1154=9), "FLUSH",AND(N1154&lt;= 11, S1154=10), "FLUSH",AND(N1154&lt;= 21, S1154=10), "PRODUCTION")</f>
        <v>SOWING</v>
      </c>
      <c r="U1154">
        <f>HOUR(datos_siembra[[#This Row],[Hour]])</f>
        <v>13</v>
      </c>
      <c r="V1154" cm="1">
        <f t="array" ref="V1154">_xlfn.IFS(AND(N1154&lt;= 22, S1154=9), N1154-7,AND(N1154&lt;= 28, S1154=9), N1154-25,AND(N1154&lt;= 30, S1154=9), N1154-28,AND(N1154&lt;= 11, S1154=10), N1154+2,AND(N1154&lt;= 21, S1154=10), N1154-11)</f>
        <v>9</v>
      </c>
    </row>
    <row r="1155" spans="1:22" x14ac:dyDescent="0.35">
      <c r="A1155" s="4">
        <v>45551</v>
      </c>
      <c r="B1155" s="5">
        <v>0.56825231481481486</v>
      </c>
      <c r="C1155">
        <v>80</v>
      </c>
      <c r="D1155">
        <v>77.2</v>
      </c>
      <c r="E1155">
        <v>79.099999999999994</v>
      </c>
      <c r="F1155">
        <v>78.2</v>
      </c>
      <c r="G1155">
        <v>0</v>
      </c>
      <c r="H1155">
        <v>0</v>
      </c>
      <c r="I1155">
        <v>0</v>
      </c>
      <c r="J1155">
        <v>0</v>
      </c>
      <c r="K1155">
        <v>65.099999999999994</v>
      </c>
      <c r="L1155">
        <v>63.4</v>
      </c>
      <c r="M1155">
        <v>78.569999999999993</v>
      </c>
      <c r="N1155">
        <v>16</v>
      </c>
      <c r="O1155">
        <v>6</v>
      </c>
      <c r="P1155">
        <f>MOD(DAY(datos_siembra[[#This Row],[Date]]),7)</f>
        <v>2</v>
      </c>
      <c r="Q1155" t="str">
        <f>CHOOSE(WEEKDAY(datos_siembra[[#This Row],[Date]],2),"L","M","X","J","V","S","D")</f>
        <v>L</v>
      </c>
      <c r="R1155">
        <f>WEEKNUM(datos_siembra[[#This Row],[Date]],2)-WEEKNUM(DATE(YEAR(datos_siembra[[#This Row],[Date]]),MONTH(datos_siembra[[#This Row],[Date]]),1))+1</f>
        <v>3</v>
      </c>
      <c r="S1155">
        <f>MONTH(datos_siembra[[#This Row],[Date]])</f>
        <v>9</v>
      </c>
      <c r="T1155" t="str" cm="1">
        <f t="array" ref="T1155">_xlfn.IFS(AND(N1155&lt;= 22, S1155=9), "SOWING",AND(N1155&lt;= 28, S1155=9), "COVERAGE",AND(N1155&lt;= 30, S1155=9), "FLUSH",AND(N1155&lt;= 11, S1155=10), "FLUSH",AND(N1155&lt;= 21, S1155=10), "PRODUCTION")</f>
        <v>SOWING</v>
      </c>
      <c r="U1155">
        <f>HOUR(datos_siembra[[#This Row],[Hour]])</f>
        <v>13</v>
      </c>
      <c r="V1155" cm="1">
        <f t="array" ref="V1155">_xlfn.IFS(AND(N1155&lt;= 22, S1155=9), N1155-7,AND(N1155&lt;= 28, S1155=9), N1155-25,AND(N1155&lt;= 30, S1155=9), N1155-28,AND(N1155&lt;= 11, S1155=10), N1155+2,AND(N1155&lt;= 21, S1155=10), N1155-11)</f>
        <v>9</v>
      </c>
    </row>
    <row r="1156" spans="1:22" x14ac:dyDescent="0.35">
      <c r="A1156" s="4">
        <v>45551</v>
      </c>
      <c r="B1156" s="5">
        <v>0.57519675925925928</v>
      </c>
      <c r="C1156">
        <v>79.8</v>
      </c>
      <c r="D1156">
        <v>77.2</v>
      </c>
      <c r="E1156">
        <v>79.099999999999994</v>
      </c>
      <c r="F1156">
        <v>78.099999999999994</v>
      </c>
      <c r="G1156">
        <v>0</v>
      </c>
      <c r="H1156">
        <v>0</v>
      </c>
      <c r="I1156">
        <v>0</v>
      </c>
      <c r="J1156">
        <v>0</v>
      </c>
      <c r="K1156">
        <v>65.099999999999994</v>
      </c>
      <c r="L1156">
        <v>63.5</v>
      </c>
      <c r="M1156">
        <v>78.55</v>
      </c>
      <c r="N1156">
        <v>16</v>
      </c>
      <c r="O1156">
        <v>6</v>
      </c>
      <c r="P1156">
        <f>MOD(DAY(datos_siembra[[#This Row],[Date]]),7)</f>
        <v>2</v>
      </c>
      <c r="Q1156" t="str">
        <f>CHOOSE(WEEKDAY(datos_siembra[[#This Row],[Date]],2),"L","M","X","J","V","S","D")</f>
        <v>L</v>
      </c>
      <c r="R1156">
        <f>WEEKNUM(datos_siembra[[#This Row],[Date]],2)-WEEKNUM(DATE(YEAR(datos_siembra[[#This Row],[Date]]),MONTH(datos_siembra[[#This Row],[Date]]),1))+1</f>
        <v>3</v>
      </c>
      <c r="S1156">
        <f>MONTH(datos_siembra[[#This Row],[Date]])</f>
        <v>9</v>
      </c>
      <c r="T1156" t="str" cm="1">
        <f t="array" ref="T1156">_xlfn.IFS(AND(N1156&lt;= 22, S1156=9), "SOWING",AND(N1156&lt;= 28, S1156=9), "COVERAGE",AND(N1156&lt;= 30, S1156=9), "FLUSH",AND(N1156&lt;= 11, S1156=10), "FLUSH",AND(N1156&lt;= 21, S1156=10), "PRODUCTION")</f>
        <v>SOWING</v>
      </c>
      <c r="U1156">
        <f>HOUR(datos_siembra[[#This Row],[Hour]])</f>
        <v>13</v>
      </c>
      <c r="V1156" cm="1">
        <f t="array" ref="V1156">_xlfn.IFS(AND(N1156&lt;= 22, S1156=9), N1156-7,AND(N1156&lt;= 28, S1156=9), N1156-25,AND(N1156&lt;= 30, S1156=9), N1156-28,AND(N1156&lt;= 11, S1156=10), N1156+2,AND(N1156&lt;= 21, S1156=10), N1156-11)</f>
        <v>9</v>
      </c>
    </row>
    <row r="1157" spans="1:22" x14ac:dyDescent="0.35">
      <c r="A1157" s="4">
        <v>45551</v>
      </c>
      <c r="B1157" s="5">
        <v>0.5821412037037037</v>
      </c>
      <c r="C1157">
        <v>79.599999999999994</v>
      </c>
      <c r="D1157">
        <v>77.099999999999994</v>
      </c>
      <c r="E1157">
        <v>79.099999999999994</v>
      </c>
      <c r="F1157">
        <v>78.2</v>
      </c>
      <c r="G1157">
        <v>0</v>
      </c>
      <c r="H1157">
        <v>0</v>
      </c>
      <c r="I1157">
        <v>0</v>
      </c>
      <c r="J1157">
        <v>0</v>
      </c>
      <c r="K1157">
        <v>65.3</v>
      </c>
      <c r="L1157">
        <v>63.7</v>
      </c>
      <c r="M1157">
        <v>78.66</v>
      </c>
      <c r="N1157">
        <v>16</v>
      </c>
      <c r="O1157">
        <v>6</v>
      </c>
      <c r="P1157">
        <f>MOD(DAY(datos_siembra[[#This Row],[Date]]),7)</f>
        <v>2</v>
      </c>
      <c r="Q1157" t="str">
        <f>CHOOSE(WEEKDAY(datos_siembra[[#This Row],[Date]],2),"L","M","X","J","V","S","D")</f>
        <v>L</v>
      </c>
      <c r="R1157">
        <f>WEEKNUM(datos_siembra[[#This Row],[Date]],2)-WEEKNUM(DATE(YEAR(datos_siembra[[#This Row],[Date]]),MONTH(datos_siembra[[#This Row],[Date]]),1))+1</f>
        <v>3</v>
      </c>
      <c r="S1157">
        <f>MONTH(datos_siembra[[#This Row],[Date]])</f>
        <v>9</v>
      </c>
      <c r="T1157" t="str" cm="1">
        <f t="array" ref="T1157">_xlfn.IFS(AND(N1157&lt;= 22, S1157=9), "SOWING",AND(N1157&lt;= 28, S1157=9), "COVERAGE",AND(N1157&lt;= 30, S1157=9), "FLUSH",AND(N1157&lt;= 11, S1157=10), "FLUSH",AND(N1157&lt;= 21, S1157=10), "PRODUCTION")</f>
        <v>SOWING</v>
      </c>
      <c r="U1157">
        <f>HOUR(datos_siembra[[#This Row],[Hour]])</f>
        <v>13</v>
      </c>
      <c r="V1157" cm="1">
        <f t="array" ref="V1157">_xlfn.IFS(AND(N1157&lt;= 22, S1157=9), N1157-7,AND(N1157&lt;= 28, S1157=9), N1157-25,AND(N1157&lt;= 30, S1157=9), N1157-28,AND(N1157&lt;= 11, S1157=10), N1157+2,AND(N1157&lt;= 21, S1157=10), N1157-11)</f>
        <v>9</v>
      </c>
    </row>
    <row r="1158" spans="1:22" x14ac:dyDescent="0.35">
      <c r="A1158" s="4">
        <v>45551</v>
      </c>
      <c r="B1158" s="5">
        <v>0.58908564814814812</v>
      </c>
      <c r="C1158">
        <v>79.5</v>
      </c>
      <c r="D1158">
        <v>77.3</v>
      </c>
      <c r="E1158">
        <v>79</v>
      </c>
      <c r="F1158">
        <v>78.2</v>
      </c>
      <c r="G1158">
        <v>0</v>
      </c>
      <c r="H1158">
        <v>0</v>
      </c>
      <c r="I1158">
        <v>0</v>
      </c>
      <c r="J1158">
        <v>0</v>
      </c>
      <c r="K1158">
        <v>65.099999999999994</v>
      </c>
      <c r="L1158">
        <v>63.4</v>
      </c>
      <c r="M1158">
        <v>78.599999999999994</v>
      </c>
      <c r="N1158">
        <v>16</v>
      </c>
      <c r="O1158">
        <v>6</v>
      </c>
      <c r="P1158">
        <f>MOD(DAY(datos_siembra[[#This Row],[Date]]),7)</f>
        <v>2</v>
      </c>
      <c r="Q1158" t="str">
        <f>CHOOSE(WEEKDAY(datos_siembra[[#This Row],[Date]],2),"L","M","X","J","V","S","D")</f>
        <v>L</v>
      </c>
      <c r="R1158">
        <f>WEEKNUM(datos_siembra[[#This Row],[Date]],2)-WEEKNUM(DATE(YEAR(datos_siembra[[#This Row],[Date]]),MONTH(datos_siembra[[#This Row],[Date]]),1))+1</f>
        <v>3</v>
      </c>
      <c r="S1158">
        <f>MONTH(datos_siembra[[#This Row],[Date]])</f>
        <v>9</v>
      </c>
      <c r="T1158" t="str" cm="1">
        <f t="array" ref="T1158">_xlfn.IFS(AND(N1158&lt;= 22, S1158=9), "SOWING",AND(N1158&lt;= 28, S1158=9), "COVERAGE",AND(N1158&lt;= 30, S1158=9), "FLUSH",AND(N1158&lt;= 11, S1158=10), "FLUSH",AND(N1158&lt;= 21, S1158=10), "PRODUCTION")</f>
        <v>SOWING</v>
      </c>
      <c r="U1158">
        <f>HOUR(datos_siembra[[#This Row],[Hour]])</f>
        <v>14</v>
      </c>
      <c r="V1158" cm="1">
        <f t="array" ref="V1158">_xlfn.IFS(AND(N1158&lt;= 22, S1158=9), N1158-7,AND(N1158&lt;= 28, S1158=9), N1158-25,AND(N1158&lt;= 30, S1158=9), N1158-28,AND(N1158&lt;= 11, S1158=10), N1158+2,AND(N1158&lt;= 21, S1158=10), N1158-11)</f>
        <v>9</v>
      </c>
    </row>
    <row r="1159" spans="1:22" x14ac:dyDescent="0.35">
      <c r="A1159" s="4">
        <v>45551</v>
      </c>
      <c r="B1159" s="5">
        <v>0.59604166666666669</v>
      </c>
      <c r="C1159">
        <v>79.599999999999994</v>
      </c>
      <c r="D1159">
        <v>77.099999999999994</v>
      </c>
      <c r="E1159">
        <v>79.099999999999994</v>
      </c>
      <c r="F1159">
        <v>78.400000000000006</v>
      </c>
      <c r="G1159">
        <v>0</v>
      </c>
      <c r="H1159">
        <v>0</v>
      </c>
      <c r="I1159">
        <v>0</v>
      </c>
      <c r="J1159">
        <v>0</v>
      </c>
      <c r="K1159">
        <v>65</v>
      </c>
      <c r="L1159">
        <v>63.4</v>
      </c>
      <c r="M1159">
        <v>78.599999999999994</v>
      </c>
      <c r="N1159">
        <v>16</v>
      </c>
      <c r="O1159">
        <v>6</v>
      </c>
      <c r="P1159">
        <f>MOD(DAY(datos_siembra[[#This Row],[Date]]),7)</f>
        <v>2</v>
      </c>
      <c r="Q1159" t="str">
        <f>CHOOSE(WEEKDAY(datos_siembra[[#This Row],[Date]],2),"L","M","X","J","V","S","D")</f>
        <v>L</v>
      </c>
      <c r="R1159">
        <f>WEEKNUM(datos_siembra[[#This Row],[Date]],2)-WEEKNUM(DATE(YEAR(datos_siembra[[#This Row],[Date]]),MONTH(datos_siembra[[#This Row],[Date]]),1))+1</f>
        <v>3</v>
      </c>
      <c r="S1159">
        <f>MONTH(datos_siembra[[#This Row],[Date]])</f>
        <v>9</v>
      </c>
      <c r="T1159" t="str" cm="1">
        <f t="array" ref="T1159">_xlfn.IFS(AND(N1159&lt;= 22, S1159=9), "SOWING",AND(N1159&lt;= 28, S1159=9), "COVERAGE",AND(N1159&lt;= 30, S1159=9), "FLUSH",AND(N1159&lt;= 11, S1159=10), "FLUSH",AND(N1159&lt;= 21, S1159=10), "PRODUCTION")</f>
        <v>SOWING</v>
      </c>
      <c r="U1159">
        <f>HOUR(datos_siembra[[#This Row],[Hour]])</f>
        <v>14</v>
      </c>
      <c r="V1159" cm="1">
        <f t="array" ref="V1159">_xlfn.IFS(AND(N1159&lt;= 22, S1159=9), N1159-7,AND(N1159&lt;= 28, S1159=9), N1159-25,AND(N1159&lt;= 30, S1159=9), N1159-28,AND(N1159&lt;= 11, S1159=10), N1159+2,AND(N1159&lt;= 21, S1159=10), N1159-11)</f>
        <v>9</v>
      </c>
    </row>
    <row r="1160" spans="1:22" x14ac:dyDescent="0.35">
      <c r="A1160" s="4">
        <v>45551</v>
      </c>
      <c r="B1160" s="5">
        <v>0.60298611111111111</v>
      </c>
      <c r="C1160">
        <v>79.599999999999994</v>
      </c>
      <c r="D1160">
        <v>77.099999999999994</v>
      </c>
      <c r="E1160">
        <v>79.099999999999994</v>
      </c>
      <c r="F1160">
        <v>78.599999999999994</v>
      </c>
      <c r="G1160">
        <v>0</v>
      </c>
      <c r="H1160">
        <v>0</v>
      </c>
      <c r="I1160">
        <v>0</v>
      </c>
      <c r="J1160">
        <v>0</v>
      </c>
      <c r="K1160">
        <v>65</v>
      </c>
      <c r="L1160">
        <v>63</v>
      </c>
      <c r="M1160">
        <v>78.52</v>
      </c>
      <c r="N1160">
        <v>16</v>
      </c>
      <c r="O1160">
        <v>6</v>
      </c>
      <c r="P1160">
        <f>MOD(DAY(datos_siembra[[#This Row],[Date]]),7)</f>
        <v>2</v>
      </c>
      <c r="Q1160" t="str">
        <f>CHOOSE(WEEKDAY(datos_siembra[[#This Row],[Date]],2),"L","M","X","J","V","S","D")</f>
        <v>L</v>
      </c>
      <c r="R1160">
        <f>WEEKNUM(datos_siembra[[#This Row],[Date]],2)-WEEKNUM(DATE(YEAR(datos_siembra[[#This Row],[Date]]),MONTH(datos_siembra[[#This Row],[Date]]),1))+1</f>
        <v>3</v>
      </c>
      <c r="S1160">
        <f>MONTH(datos_siembra[[#This Row],[Date]])</f>
        <v>9</v>
      </c>
      <c r="T1160" t="str" cm="1">
        <f t="array" ref="T1160">_xlfn.IFS(AND(N1160&lt;= 22, S1160=9), "SOWING",AND(N1160&lt;= 28, S1160=9), "COVERAGE",AND(N1160&lt;= 30, S1160=9), "FLUSH",AND(N1160&lt;= 11, S1160=10), "FLUSH",AND(N1160&lt;= 21, S1160=10), "PRODUCTION")</f>
        <v>SOWING</v>
      </c>
      <c r="U1160">
        <f>HOUR(datos_siembra[[#This Row],[Hour]])</f>
        <v>14</v>
      </c>
      <c r="V1160" cm="1">
        <f t="array" ref="V1160">_xlfn.IFS(AND(N1160&lt;= 22, S1160=9), N1160-7,AND(N1160&lt;= 28, S1160=9), N1160-25,AND(N1160&lt;= 30, S1160=9), N1160-28,AND(N1160&lt;= 11, S1160=10), N1160+2,AND(N1160&lt;= 21, S1160=10), N1160-11)</f>
        <v>9</v>
      </c>
    </row>
    <row r="1161" spans="1:22" x14ac:dyDescent="0.35">
      <c r="A1161" s="4">
        <v>45551</v>
      </c>
      <c r="B1161" s="5">
        <v>0.60993055555555553</v>
      </c>
      <c r="C1161">
        <v>79.8</v>
      </c>
      <c r="D1161">
        <v>76.900000000000006</v>
      </c>
      <c r="E1161">
        <v>79.099999999999994</v>
      </c>
      <c r="F1161">
        <v>78.400000000000006</v>
      </c>
      <c r="G1161">
        <v>0</v>
      </c>
      <c r="H1161">
        <v>0</v>
      </c>
      <c r="I1161">
        <v>0</v>
      </c>
      <c r="J1161">
        <v>0</v>
      </c>
      <c r="K1161">
        <v>64.7</v>
      </c>
      <c r="L1161">
        <v>62.9</v>
      </c>
      <c r="M1161">
        <v>78.55</v>
      </c>
      <c r="N1161">
        <v>16</v>
      </c>
      <c r="O1161">
        <v>6</v>
      </c>
      <c r="P1161">
        <f>MOD(DAY(datos_siembra[[#This Row],[Date]]),7)</f>
        <v>2</v>
      </c>
      <c r="Q1161" t="str">
        <f>CHOOSE(WEEKDAY(datos_siembra[[#This Row],[Date]],2),"L","M","X","J","V","S","D")</f>
        <v>L</v>
      </c>
      <c r="R1161">
        <f>WEEKNUM(datos_siembra[[#This Row],[Date]],2)-WEEKNUM(DATE(YEAR(datos_siembra[[#This Row],[Date]]),MONTH(datos_siembra[[#This Row],[Date]]),1))+1</f>
        <v>3</v>
      </c>
      <c r="S1161">
        <f>MONTH(datos_siembra[[#This Row],[Date]])</f>
        <v>9</v>
      </c>
      <c r="T1161" t="str" cm="1">
        <f t="array" ref="T1161">_xlfn.IFS(AND(N1161&lt;= 22, S1161=9), "SOWING",AND(N1161&lt;= 28, S1161=9), "COVERAGE",AND(N1161&lt;= 30, S1161=9), "FLUSH",AND(N1161&lt;= 11, S1161=10), "FLUSH",AND(N1161&lt;= 21, S1161=10), "PRODUCTION")</f>
        <v>SOWING</v>
      </c>
      <c r="U1161">
        <f>HOUR(datos_siembra[[#This Row],[Hour]])</f>
        <v>14</v>
      </c>
      <c r="V1161" cm="1">
        <f t="array" ref="V1161">_xlfn.IFS(AND(N1161&lt;= 22, S1161=9), N1161-7,AND(N1161&lt;= 28, S1161=9), N1161-25,AND(N1161&lt;= 30, S1161=9), N1161-28,AND(N1161&lt;= 11, S1161=10), N1161+2,AND(N1161&lt;= 21, S1161=10), N1161-11)</f>
        <v>9</v>
      </c>
    </row>
    <row r="1162" spans="1:22" x14ac:dyDescent="0.35">
      <c r="A1162" s="4">
        <v>45551</v>
      </c>
      <c r="B1162" s="5">
        <v>0.6168865740740741</v>
      </c>
      <c r="C1162">
        <v>79.7</v>
      </c>
      <c r="D1162">
        <v>76.900000000000006</v>
      </c>
      <c r="E1162">
        <v>79</v>
      </c>
      <c r="F1162">
        <v>78.5</v>
      </c>
      <c r="G1162">
        <v>0</v>
      </c>
      <c r="H1162">
        <v>0</v>
      </c>
      <c r="I1162">
        <v>0</v>
      </c>
      <c r="J1162">
        <v>0</v>
      </c>
      <c r="K1162">
        <v>65.599999999999994</v>
      </c>
      <c r="L1162">
        <v>64.2</v>
      </c>
      <c r="M1162">
        <v>78.66</v>
      </c>
      <c r="N1162">
        <v>16</v>
      </c>
      <c r="O1162">
        <v>6</v>
      </c>
      <c r="P1162">
        <f>MOD(DAY(datos_siembra[[#This Row],[Date]]),7)</f>
        <v>2</v>
      </c>
      <c r="Q1162" t="str">
        <f>CHOOSE(WEEKDAY(datos_siembra[[#This Row],[Date]],2),"L","M","X","J","V","S","D")</f>
        <v>L</v>
      </c>
      <c r="R1162">
        <f>WEEKNUM(datos_siembra[[#This Row],[Date]],2)-WEEKNUM(DATE(YEAR(datos_siembra[[#This Row],[Date]]),MONTH(datos_siembra[[#This Row],[Date]]),1))+1</f>
        <v>3</v>
      </c>
      <c r="S1162">
        <f>MONTH(datos_siembra[[#This Row],[Date]])</f>
        <v>9</v>
      </c>
      <c r="T1162" t="str" cm="1">
        <f t="array" ref="T1162">_xlfn.IFS(AND(N1162&lt;= 22, S1162=9), "SOWING",AND(N1162&lt;= 28, S1162=9), "COVERAGE",AND(N1162&lt;= 30, S1162=9), "FLUSH",AND(N1162&lt;= 11, S1162=10), "FLUSH",AND(N1162&lt;= 21, S1162=10), "PRODUCTION")</f>
        <v>SOWING</v>
      </c>
      <c r="U1162">
        <f>HOUR(datos_siembra[[#This Row],[Hour]])</f>
        <v>14</v>
      </c>
      <c r="V1162" cm="1">
        <f t="array" ref="V1162">_xlfn.IFS(AND(N1162&lt;= 22, S1162=9), N1162-7,AND(N1162&lt;= 28, S1162=9), N1162-25,AND(N1162&lt;= 30, S1162=9), N1162-28,AND(N1162&lt;= 11, S1162=10), N1162+2,AND(N1162&lt;= 21, S1162=10), N1162-11)</f>
        <v>9</v>
      </c>
    </row>
    <row r="1163" spans="1:22" x14ac:dyDescent="0.35">
      <c r="A1163" s="4">
        <v>45551</v>
      </c>
      <c r="B1163" s="5">
        <v>0.62383101851851852</v>
      </c>
      <c r="C1163">
        <v>79.8</v>
      </c>
      <c r="D1163">
        <v>76.900000000000006</v>
      </c>
      <c r="E1163">
        <v>79.099999999999994</v>
      </c>
      <c r="F1163">
        <v>78.599999999999994</v>
      </c>
      <c r="G1163">
        <v>0</v>
      </c>
      <c r="H1163">
        <v>0</v>
      </c>
      <c r="I1163">
        <v>0</v>
      </c>
      <c r="J1163">
        <v>0</v>
      </c>
      <c r="K1163">
        <v>66.400000000000006</v>
      </c>
      <c r="L1163">
        <v>65</v>
      </c>
      <c r="M1163">
        <v>78.599999999999994</v>
      </c>
      <c r="N1163">
        <v>16</v>
      </c>
      <c r="O1163">
        <v>6</v>
      </c>
      <c r="P1163">
        <f>MOD(DAY(datos_siembra[[#This Row],[Date]]),7)</f>
        <v>2</v>
      </c>
      <c r="Q1163" t="str">
        <f>CHOOSE(WEEKDAY(datos_siembra[[#This Row],[Date]],2),"L","M","X","J","V","S","D")</f>
        <v>L</v>
      </c>
      <c r="R1163">
        <f>WEEKNUM(datos_siembra[[#This Row],[Date]],2)-WEEKNUM(DATE(YEAR(datos_siembra[[#This Row],[Date]]),MONTH(datos_siembra[[#This Row],[Date]]),1))+1</f>
        <v>3</v>
      </c>
      <c r="S1163">
        <f>MONTH(datos_siembra[[#This Row],[Date]])</f>
        <v>9</v>
      </c>
      <c r="T1163" t="str" cm="1">
        <f t="array" ref="T1163">_xlfn.IFS(AND(N1163&lt;= 22, S1163=9), "SOWING",AND(N1163&lt;= 28, S1163=9), "COVERAGE",AND(N1163&lt;= 30, S1163=9), "FLUSH",AND(N1163&lt;= 11, S1163=10), "FLUSH",AND(N1163&lt;= 21, S1163=10), "PRODUCTION")</f>
        <v>SOWING</v>
      </c>
      <c r="U1163">
        <f>HOUR(datos_siembra[[#This Row],[Hour]])</f>
        <v>14</v>
      </c>
      <c r="V1163" cm="1">
        <f t="array" ref="V1163">_xlfn.IFS(AND(N1163&lt;= 22, S1163=9), N1163-7,AND(N1163&lt;= 28, S1163=9), N1163-25,AND(N1163&lt;= 30, S1163=9), N1163-28,AND(N1163&lt;= 11, S1163=10), N1163+2,AND(N1163&lt;= 21, S1163=10), N1163-11)</f>
        <v>9</v>
      </c>
    </row>
    <row r="1164" spans="1:22" x14ac:dyDescent="0.35">
      <c r="A1164" s="4">
        <v>45551</v>
      </c>
      <c r="B1164" s="5">
        <v>0.63077546296296294</v>
      </c>
      <c r="C1164">
        <v>79.8</v>
      </c>
      <c r="D1164">
        <v>77</v>
      </c>
      <c r="E1164">
        <v>79</v>
      </c>
      <c r="F1164">
        <v>78.7</v>
      </c>
      <c r="G1164">
        <v>0</v>
      </c>
      <c r="H1164">
        <v>0</v>
      </c>
      <c r="I1164">
        <v>0</v>
      </c>
      <c r="J1164">
        <v>0</v>
      </c>
      <c r="K1164">
        <v>66.599999999999994</v>
      </c>
      <c r="L1164">
        <v>65.3</v>
      </c>
      <c r="M1164">
        <v>78.66</v>
      </c>
      <c r="N1164">
        <v>16</v>
      </c>
      <c r="O1164">
        <v>6</v>
      </c>
      <c r="P1164">
        <f>MOD(DAY(datos_siembra[[#This Row],[Date]]),7)</f>
        <v>2</v>
      </c>
      <c r="Q1164" t="str">
        <f>CHOOSE(WEEKDAY(datos_siembra[[#This Row],[Date]],2),"L","M","X","J","V","S","D")</f>
        <v>L</v>
      </c>
      <c r="R1164">
        <f>WEEKNUM(datos_siembra[[#This Row],[Date]],2)-WEEKNUM(DATE(YEAR(datos_siembra[[#This Row],[Date]]),MONTH(datos_siembra[[#This Row],[Date]]),1))+1</f>
        <v>3</v>
      </c>
      <c r="S1164">
        <f>MONTH(datos_siembra[[#This Row],[Date]])</f>
        <v>9</v>
      </c>
      <c r="T1164" t="str" cm="1">
        <f t="array" ref="T1164">_xlfn.IFS(AND(N1164&lt;= 22, S1164=9), "SOWING",AND(N1164&lt;= 28, S1164=9), "COVERAGE",AND(N1164&lt;= 30, S1164=9), "FLUSH",AND(N1164&lt;= 11, S1164=10), "FLUSH",AND(N1164&lt;= 21, S1164=10), "PRODUCTION")</f>
        <v>SOWING</v>
      </c>
      <c r="U1164">
        <f>HOUR(datos_siembra[[#This Row],[Hour]])</f>
        <v>15</v>
      </c>
      <c r="V1164" cm="1">
        <f t="array" ref="V1164">_xlfn.IFS(AND(N1164&lt;= 22, S1164=9), N1164-7,AND(N1164&lt;= 28, S1164=9), N1164-25,AND(N1164&lt;= 30, S1164=9), N1164-28,AND(N1164&lt;= 11, S1164=10), N1164+2,AND(N1164&lt;= 21, S1164=10), N1164-11)</f>
        <v>9</v>
      </c>
    </row>
    <row r="1165" spans="1:22" x14ac:dyDescent="0.35">
      <c r="A1165" s="4">
        <v>45551</v>
      </c>
      <c r="B1165" s="5">
        <v>0.63771990740740736</v>
      </c>
      <c r="C1165">
        <v>79.7</v>
      </c>
      <c r="D1165">
        <v>76.900000000000006</v>
      </c>
      <c r="E1165">
        <v>79</v>
      </c>
      <c r="F1165">
        <v>78.900000000000006</v>
      </c>
      <c r="G1165">
        <v>0</v>
      </c>
      <c r="H1165">
        <v>0</v>
      </c>
      <c r="I1165">
        <v>0</v>
      </c>
      <c r="J1165">
        <v>0</v>
      </c>
      <c r="K1165">
        <v>65.3</v>
      </c>
      <c r="L1165">
        <v>63.6</v>
      </c>
      <c r="M1165">
        <v>78.72</v>
      </c>
      <c r="N1165">
        <v>16</v>
      </c>
      <c r="O1165">
        <v>6</v>
      </c>
      <c r="P1165">
        <f>MOD(DAY(datos_siembra[[#This Row],[Date]]),7)</f>
        <v>2</v>
      </c>
      <c r="Q1165" t="str">
        <f>CHOOSE(WEEKDAY(datos_siembra[[#This Row],[Date]],2),"L","M","X","J","V","S","D")</f>
        <v>L</v>
      </c>
      <c r="R1165">
        <f>WEEKNUM(datos_siembra[[#This Row],[Date]],2)-WEEKNUM(DATE(YEAR(datos_siembra[[#This Row],[Date]]),MONTH(datos_siembra[[#This Row],[Date]]),1))+1</f>
        <v>3</v>
      </c>
      <c r="S1165">
        <f>MONTH(datos_siembra[[#This Row],[Date]])</f>
        <v>9</v>
      </c>
      <c r="T1165" t="str" cm="1">
        <f t="array" ref="T1165">_xlfn.IFS(AND(N1165&lt;= 22, S1165=9), "SOWING",AND(N1165&lt;= 28, S1165=9), "COVERAGE",AND(N1165&lt;= 30, S1165=9), "FLUSH",AND(N1165&lt;= 11, S1165=10), "FLUSH",AND(N1165&lt;= 21, S1165=10), "PRODUCTION")</f>
        <v>SOWING</v>
      </c>
      <c r="U1165">
        <f>HOUR(datos_siembra[[#This Row],[Hour]])</f>
        <v>15</v>
      </c>
      <c r="V1165" cm="1">
        <f t="array" ref="V1165">_xlfn.IFS(AND(N1165&lt;= 22, S1165=9), N1165-7,AND(N1165&lt;= 28, S1165=9), N1165-25,AND(N1165&lt;= 30, S1165=9), N1165-28,AND(N1165&lt;= 11, S1165=10), N1165+2,AND(N1165&lt;= 21, S1165=10), N1165-11)</f>
        <v>9</v>
      </c>
    </row>
    <row r="1166" spans="1:22" x14ac:dyDescent="0.35">
      <c r="A1166" s="4">
        <v>45551</v>
      </c>
      <c r="B1166" s="5">
        <v>0.64467592592592593</v>
      </c>
      <c r="C1166">
        <v>79.599999999999994</v>
      </c>
      <c r="D1166">
        <v>77</v>
      </c>
      <c r="E1166">
        <v>79.3</v>
      </c>
      <c r="F1166">
        <v>79.400000000000006</v>
      </c>
      <c r="G1166">
        <v>0</v>
      </c>
      <c r="H1166">
        <v>0</v>
      </c>
      <c r="I1166">
        <v>0</v>
      </c>
      <c r="J1166">
        <v>0</v>
      </c>
      <c r="K1166">
        <v>64.900000000000006</v>
      </c>
      <c r="L1166">
        <v>62.9</v>
      </c>
      <c r="M1166">
        <v>78.77</v>
      </c>
      <c r="N1166">
        <v>16</v>
      </c>
      <c r="O1166">
        <v>6</v>
      </c>
      <c r="P1166">
        <f>MOD(DAY(datos_siembra[[#This Row],[Date]]),7)</f>
        <v>2</v>
      </c>
      <c r="Q1166" t="str">
        <f>CHOOSE(WEEKDAY(datos_siembra[[#This Row],[Date]],2),"L","M","X","J","V","S","D")</f>
        <v>L</v>
      </c>
      <c r="R1166">
        <f>WEEKNUM(datos_siembra[[#This Row],[Date]],2)-WEEKNUM(DATE(YEAR(datos_siembra[[#This Row],[Date]]),MONTH(datos_siembra[[#This Row],[Date]]),1))+1</f>
        <v>3</v>
      </c>
      <c r="S1166">
        <f>MONTH(datos_siembra[[#This Row],[Date]])</f>
        <v>9</v>
      </c>
      <c r="T1166" t="str" cm="1">
        <f t="array" ref="T1166">_xlfn.IFS(AND(N1166&lt;= 22, S1166=9), "SOWING",AND(N1166&lt;= 28, S1166=9), "COVERAGE",AND(N1166&lt;= 30, S1166=9), "FLUSH",AND(N1166&lt;= 11, S1166=10), "FLUSH",AND(N1166&lt;= 21, S1166=10), "PRODUCTION")</f>
        <v>SOWING</v>
      </c>
      <c r="U1166">
        <f>HOUR(datos_siembra[[#This Row],[Hour]])</f>
        <v>15</v>
      </c>
      <c r="V1166" cm="1">
        <f t="array" ref="V1166">_xlfn.IFS(AND(N1166&lt;= 22, S1166=9), N1166-7,AND(N1166&lt;= 28, S1166=9), N1166-25,AND(N1166&lt;= 30, S1166=9), N1166-28,AND(N1166&lt;= 11, S1166=10), N1166+2,AND(N1166&lt;= 21, S1166=10), N1166-11)</f>
        <v>9</v>
      </c>
    </row>
    <row r="1167" spans="1:22" x14ac:dyDescent="0.35">
      <c r="A1167" s="4">
        <v>45551</v>
      </c>
      <c r="B1167" s="5">
        <v>0.65162037037037035</v>
      </c>
      <c r="C1167">
        <v>79.7</v>
      </c>
      <c r="D1167">
        <v>77.2</v>
      </c>
      <c r="E1167">
        <v>79.099999999999994</v>
      </c>
      <c r="F1167">
        <v>79.5</v>
      </c>
      <c r="G1167">
        <v>0</v>
      </c>
      <c r="H1167">
        <v>0</v>
      </c>
      <c r="I1167">
        <v>0</v>
      </c>
      <c r="J1167">
        <v>0</v>
      </c>
      <c r="K1167">
        <v>65</v>
      </c>
      <c r="L1167">
        <v>63.3</v>
      </c>
      <c r="M1167">
        <v>78.86</v>
      </c>
      <c r="N1167">
        <v>16</v>
      </c>
      <c r="O1167">
        <v>6</v>
      </c>
      <c r="P1167">
        <f>MOD(DAY(datos_siembra[[#This Row],[Date]]),7)</f>
        <v>2</v>
      </c>
      <c r="Q1167" t="str">
        <f>CHOOSE(WEEKDAY(datos_siembra[[#This Row],[Date]],2),"L","M","X","J","V","S","D")</f>
        <v>L</v>
      </c>
      <c r="R1167">
        <f>WEEKNUM(datos_siembra[[#This Row],[Date]],2)-WEEKNUM(DATE(YEAR(datos_siembra[[#This Row],[Date]]),MONTH(datos_siembra[[#This Row],[Date]]),1))+1</f>
        <v>3</v>
      </c>
      <c r="S1167">
        <f>MONTH(datos_siembra[[#This Row],[Date]])</f>
        <v>9</v>
      </c>
      <c r="T1167" t="str" cm="1">
        <f t="array" ref="T1167">_xlfn.IFS(AND(N1167&lt;= 22, S1167=9), "SOWING",AND(N1167&lt;= 28, S1167=9), "COVERAGE",AND(N1167&lt;= 30, S1167=9), "FLUSH",AND(N1167&lt;= 11, S1167=10), "FLUSH",AND(N1167&lt;= 21, S1167=10), "PRODUCTION")</f>
        <v>SOWING</v>
      </c>
      <c r="U1167">
        <f>HOUR(datos_siembra[[#This Row],[Hour]])</f>
        <v>15</v>
      </c>
      <c r="V1167" cm="1">
        <f t="array" ref="V1167">_xlfn.IFS(AND(N1167&lt;= 22, S1167=9), N1167-7,AND(N1167&lt;= 28, S1167=9), N1167-25,AND(N1167&lt;= 30, S1167=9), N1167-28,AND(N1167&lt;= 11, S1167=10), N1167+2,AND(N1167&lt;= 21, S1167=10), N1167-11)</f>
        <v>9</v>
      </c>
    </row>
    <row r="1168" spans="1:22" x14ac:dyDescent="0.35">
      <c r="A1168" s="4">
        <v>45551</v>
      </c>
      <c r="B1168" s="5">
        <v>0.65856481481481477</v>
      </c>
      <c r="C1168">
        <v>79.8</v>
      </c>
      <c r="D1168">
        <v>77</v>
      </c>
      <c r="E1168">
        <v>79.099999999999994</v>
      </c>
      <c r="F1168">
        <v>79.8</v>
      </c>
      <c r="G1168">
        <v>0</v>
      </c>
      <c r="H1168">
        <v>0</v>
      </c>
      <c r="I1168">
        <v>0</v>
      </c>
      <c r="J1168">
        <v>0</v>
      </c>
      <c r="K1168">
        <v>65.900000000000006</v>
      </c>
      <c r="L1168">
        <v>64.400000000000006</v>
      </c>
      <c r="M1168">
        <v>78.83</v>
      </c>
      <c r="N1168">
        <v>16</v>
      </c>
      <c r="O1168">
        <v>6</v>
      </c>
      <c r="P1168">
        <f>MOD(DAY(datos_siembra[[#This Row],[Date]]),7)</f>
        <v>2</v>
      </c>
      <c r="Q1168" t="str">
        <f>CHOOSE(WEEKDAY(datos_siembra[[#This Row],[Date]],2),"L","M","X","J","V","S","D")</f>
        <v>L</v>
      </c>
      <c r="R1168">
        <f>WEEKNUM(datos_siembra[[#This Row],[Date]],2)-WEEKNUM(DATE(YEAR(datos_siembra[[#This Row],[Date]]),MONTH(datos_siembra[[#This Row],[Date]]),1))+1</f>
        <v>3</v>
      </c>
      <c r="S1168">
        <f>MONTH(datos_siembra[[#This Row],[Date]])</f>
        <v>9</v>
      </c>
      <c r="T1168" t="str" cm="1">
        <f t="array" ref="T1168">_xlfn.IFS(AND(N1168&lt;= 22, S1168=9), "SOWING",AND(N1168&lt;= 28, S1168=9), "COVERAGE",AND(N1168&lt;= 30, S1168=9), "FLUSH",AND(N1168&lt;= 11, S1168=10), "FLUSH",AND(N1168&lt;= 21, S1168=10), "PRODUCTION")</f>
        <v>SOWING</v>
      </c>
      <c r="U1168">
        <f>HOUR(datos_siembra[[#This Row],[Hour]])</f>
        <v>15</v>
      </c>
      <c r="V1168" cm="1">
        <f t="array" ref="V1168">_xlfn.IFS(AND(N1168&lt;= 22, S1168=9), N1168-7,AND(N1168&lt;= 28, S1168=9), N1168-25,AND(N1168&lt;= 30, S1168=9), N1168-28,AND(N1168&lt;= 11, S1168=10), N1168+2,AND(N1168&lt;= 21, S1168=10), N1168-11)</f>
        <v>9</v>
      </c>
    </row>
    <row r="1169" spans="1:22" x14ac:dyDescent="0.35">
      <c r="A1169" s="4">
        <v>45551</v>
      </c>
      <c r="B1169" s="5">
        <v>0.66552083333333334</v>
      </c>
      <c r="C1169">
        <v>79.7</v>
      </c>
      <c r="D1169">
        <v>76.900000000000006</v>
      </c>
      <c r="E1169">
        <v>79</v>
      </c>
      <c r="F1169">
        <v>79.900000000000006</v>
      </c>
      <c r="G1169">
        <v>0</v>
      </c>
      <c r="H1169">
        <v>0</v>
      </c>
      <c r="I1169">
        <v>0</v>
      </c>
      <c r="J1169">
        <v>0</v>
      </c>
      <c r="K1169">
        <v>66.2</v>
      </c>
      <c r="L1169">
        <v>64.7</v>
      </c>
      <c r="M1169">
        <v>78.91</v>
      </c>
      <c r="N1169">
        <v>16</v>
      </c>
      <c r="O1169">
        <v>6</v>
      </c>
      <c r="P1169">
        <f>MOD(DAY(datos_siembra[[#This Row],[Date]]),7)</f>
        <v>2</v>
      </c>
      <c r="Q1169" t="str">
        <f>CHOOSE(WEEKDAY(datos_siembra[[#This Row],[Date]],2),"L","M","X","J","V","S","D")</f>
        <v>L</v>
      </c>
      <c r="R1169">
        <f>WEEKNUM(datos_siembra[[#This Row],[Date]],2)-WEEKNUM(DATE(YEAR(datos_siembra[[#This Row],[Date]]),MONTH(datos_siembra[[#This Row],[Date]]),1))+1</f>
        <v>3</v>
      </c>
      <c r="S1169">
        <f>MONTH(datos_siembra[[#This Row],[Date]])</f>
        <v>9</v>
      </c>
      <c r="T1169" t="str" cm="1">
        <f t="array" ref="T1169">_xlfn.IFS(AND(N1169&lt;= 22, S1169=9), "SOWING",AND(N1169&lt;= 28, S1169=9), "COVERAGE",AND(N1169&lt;= 30, S1169=9), "FLUSH",AND(N1169&lt;= 11, S1169=10), "FLUSH",AND(N1169&lt;= 21, S1169=10), "PRODUCTION")</f>
        <v>SOWING</v>
      </c>
      <c r="U1169">
        <f>HOUR(datos_siembra[[#This Row],[Hour]])</f>
        <v>15</v>
      </c>
      <c r="V1169" cm="1">
        <f t="array" ref="V1169">_xlfn.IFS(AND(N1169&lt;= 22, S1169=9), N1169-7,AND(N1169&lt;= 28, S1169=9), N1169-25,AND(N1169&lt;= 30, S1169=9), N1169-28,AND(N1169&lt;= 11, S1169=10), N1169+2,AND(N1169&lt;= 21, S1169=10), N1169-11)</f>
        <v>9</v>
      </c>
    </row>
    <row r="1170" spans="1:22" x14ac:dyDescent="0.35">
      <c r="A1170" s="4">
        <v>45551</v>
      </c>
      <c r="B1170" s="5">
        <v>0.67246527777777776</v>
      </c>
      <c r="C1170">
        <v>79.8</v>
      </c>
      <c r="D1170">
        <v>77</v>
      </c>
      <c r="E1170">
        <v>79</v>
      </c>
      <c r="F1170">
        <v>79.900000000000006</v>
      </c>
      <c r="G1170">
        <v>0</v>
      </c>
      <c r="H1170">
        <v>0</v>
      </c>
      <c r="I1170">
        <v>0</v>
      </c>
      <c r="J1170">
        <v>0</v>
      </c>
      <c r="K1170">
        <v>66.3</v>
      </c>
      <c r="L1170">
        <v>64.900000000000006</v>
      </c>
      <c r="M1170">
        <v>78.88</v>
      </c>
      <c r="N1170">
        <v>16</v>
      </c>
      <c r="O1170">
        <v>6</v>
      </c>
      <c r="P1170">
        <f>MOD(DAY(datos_siembra[[#This Row],[Date]]),7)</f>
        <v>2</v>
      </c>
      <c r="Q1170" t="str">
        <f>CHOOSE(WEEKDAY(datos_siembra[[#This Row],[Date]],2),"L","M","X","J","V","S","D")</f>
        <v>L</v>
      </c>
      <c r="R1170">
        <f>WEEKNUM(datos_siembra[[#This Row],[Date]],2)-WEEKNUM(DATE(YEAR(datos_siembra[[#This Row],[Date]]),MONTH(datos_siembra[[#This Row],[Date]]),1))+1</f>
        <v>3</v>
      </c>
      <c r="S1170">
        <f>MONTH(datos_siembra[[#This Row],[Date]])</f>
        <v>9</v>
      </c>
      <c r="T1170" t="str" cm="1">
        <f t="array" ref="T1170">_xlfn.IFS(AND(N1170&lt;= 22, S1170=9), "SOWING",AND(N1170&lt;= 28, S1170=9), "COVERAGE",AND(N1170&lt;= 30, S1170=9), "FLUSH",AND(N1170&lt;= 11, S1170=10), "FLUSH",AND(N1170&lt;= 21, S1170=10), "PRODUCTION")</f>
        <v>SOWING</v>
      </c>
      <c r="U1170">
        <f>HOUR(datos_siembra[[#This Row],[Hour]])</f>
        <v>16</v>
      </c>
      <c r="V1170" cm="1">
        <f t="array" ref="V1170">_xlfn.IFS(AND(N1170&lt;= 22, S1170=9), N1170-7,AND(N1170&lt;= 28, S1170=9), N1170-25,AND(N1170&lt;= 30, S1170=9), N1170-28,AND(N1170&lt;= 11, S1170=10), N1170+2,AND(N1170&lt;= 21, S1170=10), N1170-11)</f>
        <v>9</v>
      </c>
    </row>
    <row r="1171" spans="1:22" x14ac:dyDescent="0.35">
      <c r="A1171" s="4">
        <v>45551</v>
      </c>
      <c r="B1171" s="5">
        <v>0.67940972222222218</v>
      </c>
      <c r="C1171">
        <v>79.7</v>
      </c>
      <c r="D1171">
        <v>76.8</v>
      </c>
      <c r="E1171">
        <v>79.099999999999994</v>
      </c>
      <c r="F1171">
        <v>80</v>
      </c>
      <c r="G1171">
        <v>0</v>
      </c>
      <c r="H1171">
        <v>0</v>
      </c>
      <c r="I1171">
        <v>0</v>
      </c>
      <c r="J1171">
        <v>0</v>
      </c>
      <c r="K1171">
        <v>66.400000000000006</v>
      </c>
      <c r="L1171">
        <v>64.900000000000006</v>
      </c>
      <c r="M1171">
        <v>78.91</v>
      </c>
      <c r="N1171">
        <v>16</v>
      </c>
      <c r="O1171">
        <v>6</v>
      </c>
      <c r="P1171">
        <f>MOD(DAY(datos_siembra[[#This Row],[Date]]),7)</f>
        <v>2</v>
      </c>
      <c r="Q1171" t="str">
        <f>CHOOSE(WEEKDAY(datos_siembra[[#This Row],[Date]],2),"L","M","X","J","V","S","D")</f>
        <v>L</v>
      </c>
      <c r="R1171">
        <f>WEEKNUM(datos_siembra[[#This Row],[Date]],2)-WEEKNUM(DATE(YEAR(datos_siembra[[#This Row],[Date]]),MONTH(datos_siembra[[#This Row],[Date]]),1))+1</f>
        <v>3</v>
      </c>
      <c r="S1171">
        <f>MONTH(datos_siembra[[#This Row],[Date]])</f>
        <v>9</v>
      </c>
      <c r="T1171" t="str" cm="1">
        <f t="array" ref="T1171">_xlfn.IFS(AND(N1171&lt;= 22, S1171=9), "SOWING",AND(N1171&lt;= 28, S1171=9), "COVERAGE",AND(N1171&lt;= 30, S1171=9), "FLUSH",AND(N1171&lt;= 11, S1171=10), "FLUSH",AND(N1171&lt;= 21, S1171=10), "PRODUCTION")</f>
        <v>SOWING</v>
      </c>
      <c r="U1171">
        <f>HOUR(datos_siembra[[#This Row],[Hour]])</f>
        <v>16</v>
      </c>
      <c r="V1171" cm="1">
        <f t="array" ref="V1171">_xlfn.IFS(AND(N1171&lt;= 22, S1171=9), N1171-7,AND(N1171&lt;= 28, S1171=9), N1171-25,AND(N1171&lt;= 30, S1171=9), N1171-28,AND(N1171&lt;= 11, S1171=10), N1171+2,AND(N1171&lt;= 21, S1171=10), N1171-11)</f>
        <v>9</v>
      </c>
    </row>
    <row r="1172" spans="1:22" x14ac:dyDescent="0.35">
      <c r="A1172" s="4">
        <v>45551</v>
      </c>
      <c r="B1172" s="5">
        <v>0.68635416666666671</v>
      </c>
      <c r="C1172">
        <v>79.8</v>
      </c>
      <c r="D1172">
        <v>77</v>
      </c>
      <c r="E1172">
        <v>79</v>
      </c>
      <c r="F1172">
        <v>80.099999999999994</v>
      </c>
      <c r="G1172">
        <v>0</v>
      </c>
      <c r="H1172">
        <v>0</v>
      </c>
      <c r="I1172">
        <v>0</v>
      </c>
      <c r="J1172">
        <v>0</v>
      </c>
      <c r="K1172">
        <v>66.400000000000006</v>
      </c>
      <c r="L1172">
        <v>65</v>
      </c>
      <c r="M1172">
        <v>78.94</v>
      </c>
      <c r="N1172">
        <v>16</v>
      </c>
      <c r="O1172">
        <v>6</v>
      </c>
      <c r="P1172">
        <f>MOD(DAY(datos_siembra[[#This Row],[Date]]),7)</f>
        <v>2</v>
      </c>
      <c r="Q1172" t="str">
        <f>CHOOSE(WEEKDAY(datos_siembra[[#This Row],[Date]],2),"L","M","X","J","V","S","D")</f>
        <v>L</v>
      </c>
      <c r="R1172">
        <f>WEEKNUM(datos_siembra[[#This Row],[Date]],2)-WEEKNUM(DATE(YEAR(datos_siembra[[#This Row],[Date]]),MONTH(datos_siembra[[#This Row],[Date]]),1))+1</f>
        <v>3</v>
      </c>
      <c r="S1172">
        <f>MONTH(datos_siembra[[#This Row],[Date]])</f>
        <v>9</v>
      </c>
      <c r="T1172" t="str" cm="1">
        <f t="array" ref="T1172">_xlfn.IFS(AND(N1172&lt;= 22, S1172=9), "SOWING",AND(N1172&lt;= 28, S1172=9), "COVERAGE",AND(N1172&lt;= 30, S1172=9), "FLUSH",AND(N1172&lt;= 11, S1172=10), "FLUSH",AND(N1172&lt;= 21, S1172=10), "PRODUCTION")</f>
        <v>SOWING</v>
      </c>
      <c r="U1172">
        <f>HOUR(datos_siembra[[#This Row],[Hour]])</f>
        <v>16</v>
      </c>
      <c r="V1172" cm="1">
        <f t="array" ref="V1172">_xlfn.IFS(AND(N1172&lt;= 22, S1172=9), N1172-7,AND(N1172&lt;= 28, S1172=9), N1172-25,AND(N1172&lt;= 30, S1172=9), N1172-28,AND(N1172&lt;= 11, S1172=10), N1172+2,AND(N1172&lt;= 21, S1172=10), N1172-11)</f>
        <v>9</v>
      </c>
    </row>
    <row r="1173" spans="1:22" x14ac:dyDescent="0.35">
      <c r="A1173" s="4">
        <v>45551</v>
      </c>
      <c r="B1173" s="5">
        <v>0.69331018518518517</v>
      </c>
      <c r="C1173">
        <v>79.7</v>
      </c>
      <c r="D1173">
        <v>77</v>
      </c>
      <c r="E1173">
        <v>79.099999999999994</v>
      </c>
      <c r="F1173">
        <v>80.099999999999994</v>
      </c>
      <c r="G1173">
        <v>0</v>
      </c>
      <c r="H1173">
        <v>0</v>
      </c>
      <c r="I1173">
        <v>0</v>
      </c>
      <c r="J1173">
        <v>0</v>
      </c>
      <c r="K1173">
        <v>66.400000000000006</v>
      </c>
      <c r="L1173">
        <v>65</v>
      </c>
      <c r="M1173">
        <v>79.02</v>
      </c>
      <c r="N1173">
        <v>16</v>
      </c>
      <c r="O1173">
        <v>6</v>
      </c>
      <c r="P1173">
        <f>MOD(DAY(datos_siembra[[#This Row],[Date]]),7)</f>
        <v>2</v>
      </c>
      <c r="Q1173" t="str">
        <f>CHOOSE(WEEKDAY(datos_siembra[[#This Row],[Date]],2),"L","M","X","J","V","S","D")</f>
        <v>L</v>
      </c>
      <c r="R1173">
        <f>WEEKNUM(datos_siembra[[#This Row],[Date]],2)-WEEKNUM(DATE(YEAR(datos_siembra[[#This Row],[Date]]),MONTH(datos_siembra[[#This Row],[Date]]),1))+1</f>
        <v>3</v>
      </c>
      <c r="S1173">
        <f>MONTH(datos_siembra[[#This Row],[Date]])</f>
        <v>9</v>
      </c>
      <c r="T1173" t="str" cm="1">
        <f t="array" ref="T1173">_xlfn.IFS(AND(N1173&lt;= 22, S1173=9), "SOWING",AND(N1173&lt;= 28, S1173=9), "COVERAGE",AND(N1173&lt;= 30, S1173=9), "FLUSH",AND(N1173&lt;= 11, S1173=10), "FLUSH",AND(N1173&lt;= 21, S1173=10), "PRODUCTION")</f>
        <v>SOWING</v>
      </c>
      <c r="U1173">
        <f>HOUR(datos_siembra[[#This Row],[Hour]])</f>
        <v>16</v>
      </c>
      <c r="V1173" cm="1">
        <f t="array" ref="V1173">_xlfn.IFS(AND(N1173&lt;= 22, S1173=9), N1173-7,AND(N1173&lt;= 28, S1173=9), N1173-25,AND(N1173&lt;= 30, S1173=9), N1173-28,AND(N1173&lt;= 11, S1173=10), N1173+2,AND(N1173&lt;= 21, S1173=10), N1173-11)</f>
        <v>9</v>
      </c>
    </row>
    <row r="1174" spans="1:22" x14ac:dyDescent="0.35">
      <c r="A1174" s="4">
        <v>45551</v>
      </c>
      <c r="B1174" s="5">
        <v>0.70025462962962959</v>
      </c>
      <c r="C1174">
        <v>79.7</v>
      </c>
      <c r="D1174">
        <v>76.8</v>
      </c>
      <c r="E1174">
        <v>79.099999999999994</v>
      </c>
      <c r="F1174">
        <v>80.5</v>
      </c>
      <c r="G1174">
        <v>0</v>
      </c>
      <c r="H1174">
        <v>0</v>
      </c>
      <c r="I1174">
        <v>0</v>
      </c>
      <c r="J1174">
        <v>0</v>
      </c>
      <c r="K1174">
        <v>66.3</v>
      </c>
      <c r="L1174">
        <v>64.900000000000006</v>
      </c>
      <c r="M1174">
        <v>79.02</v>
      </c>
      <c r="N1174">
        <v>16</v>
      </c>
      <c r="O1174">
        <v>6</v>
      </c>
      <c r="P1174">
        <f>MOD(DAY(datos_siembra[[#This Row],[Date]]),7)</f>
        <v>2</v>
      </c>
      <c r="Q1174" t="str">
        <f>CHOOSE(WEEKDAY(datos_siembra[[#This Row],[Date]],2),"L","M","X","J","V","S","D")</f>
        <v>L</v>
      </c>
      <c r="R1174">
        <f>WEEKNUM(datos_siembra[[#This Row],[Date]],2)-WEEKNUM(DATE(YEAR(datos_siembra[[#This Row],[Date]]),MONTH(datos_siembra[[#This Row],[Date]]),1))+1</f>
        <v>3</v>
      </c>
      <c r="S1174">
        <f>MONTH(datos_siembra[[#This Row],[Date]])</f>
        <v>9</v>
      </c>
      <c r="T1174" t="str" cm="1">
        <f t="array" ref="T1174">_xlfn.IFS(AND(N1174&lt;= 22, S1174=9), "SOWING",AND(N1174&lt;= 28, S1174=9), "COVERAGE",AND(N1174&lt;= 30, S1174=9), "FLUSH",AND(N1174&lt;= 11, S1174=10), "FLUSH",AND(N1174&lt;= 21, S1174=10), "PRODUCTION")</f>
        <v>SOWING</v>
      </c>
      <c r="U1174">
        <f>HOUR(datos_siembra[[#This Row],[Hour]])</f>
        <v>16</v>
      </c>
      <c r="V1174" cm="1">
        <f t="array" ref="V1174">_xlfn.IFS(AND(N1174&lt;= 22, S1174=9), N1174-7,AND(N1174&lt;= 28, S1174=9), N1174-25,AND(N1174&lt;= 30, S1174=9), N1174-28,AND(N1174&lt;= 11, S1174=10), N1174+2,AND(N1174&lt;= 21, S1174=10), N1174-11)</f>
        <v>9</v>
      </c>
    </row>
    <row r="1175" spans="1:22" x14ac:dyDescent="0.35">
      <c r="A1175" s="4">
        <v>45551</v>
      </c>
      <c r="B1175" s="5">
        <v>0.70719907407407412</v>
      </c>
      <c r="C1175">
        <v>79.900000000000006</v>
      </c>
      <c r="D1175">
        <v>76.8</v>
      </c>
      <c r="E1175">
        <v>79</v>
      </c>
      <c r="F1175">
        <v>80.3</v>
      </c>
      <c r="G1175">
        <v>0</v>
      </c>
      <c r="H1175">
        <v>0</v>
      </c>
      <c r="I1175">
        <v>0</v>
      </c>
      <c r="J1175">
        <v>0</v>
      </c>
      <c r="K1175">
        <v>66.3</v>
      </c>
      <c r="L1175">
        <v>64.900000000000006</v>
      </c>
      <c r="M1175">
        <v>79</v>
      </c>
      <c r="N1175">
        <v>16</v>
      </c>
      <c r="O1175">
        <v>6</v>
      </c>
      <c r="P1175">
        <f>MOD(DAY(datos_siembra[[#This Row],[Date]]),7)</f>
        <v>2</v>
      </c>
      <c r="Q1175" t="str">
        <f>CHOOSE(WEEKDAY(datos_siembra[[#This Row],[Date]],2),"L","M","X","J","V","S","D")</f>
        <v>L</v>
      </c>
      <c r="R1175">
        <f>WEEKNUM(datos_siembra[[#This Row],[Date]],2)-WEEKNUM(DATE(YEAR(datos_siembra[[#This Row],[Date]]),MONTH(datos_siembra[[#This Row],[Date]]),1))+1</f>
        <v>3</v>
      </c>
      <c r="S1175">
        <f>MONTH(datos_siembra[[#This Row],[Date]])</f>
        <v>9</v>
      </c>
      <c r="T1175" t="str" cm="1">
        <f t="array" ref="T1175">_xlfn.IFS(AND(N1175&lt;= 22, S1175=9), "SOWING",AND(N1175&lt;= 28, S1175=9), "COVERAGE",AND(N1175&lt;= 30, S1175=9), "FLUSH",AND(N1175&lt;= 11, S1175=10), "FLUSH",AND(N1175&lt;= 21, S1175=10), "PRODUCTION")</f>
        <v>SOWING</v>
      </c>
      <c r="U1175">
        <f>HOUR(datos_siembra[[#This Row],[Hour]])</f>
        <v>16</v>
      </c>
      <c r="V1175" cm="1">
        <f t="array" ref="V1175">_xlfn.IFS(AND(N1175&lt;= 22, S1175=9), N1175-7,AND(N1175&lt;= 28, S1175=9), N1175-25,AND(N1175&lt;= 30, S1175=9), N1175-28,AND(N1175&lt;= 11, S1175=10), N1175+2,AND(N1175&lt;= 21, S1175=10), N1175-11)</f>
        <v>9</v>
      </c>
    </row>
    <row r="1176" spans="1:22" x14ac:dyDescent="0.35">
      <c r="A1176" s="4">
        <v>45551</v>
      </c>
      <c r="B1176" s="5">
        <v>0.71415509259259258</v>
      </c>
      <c r="C1176">
        <v>79.5</v>
      </c>
      <c r="D1176">
        <v>76.8</v>
      </c>
      <c r="E1176">
        <v>79.099999999999994</v>
      </c>
      <c r="F1176">
        <v>80.599999999999994</v>
      </c>
      <c r="G1176">
        <v>0</v>
      </c>
      <c r="H1176">
        <v>0</v>
      </c>
      <c r="I1176">
        <v>0</v>
      </c>
      <c r="J1176">
        <v>0</v>
      </c>
      <c r="K1176">
        <v>66.2</v>
      </c>
      <c r="L1176">
        <v>64.7</v>
      </c>
      <c r="M1176">
        <v>79</v>
      </c>
      <c r="N1176">
        <v>16</v>
      </c>
      <c r="O1176">
        <v>6</v>
      </c>
      <c r="P1176">
        <f>MOD(DAY(datos_siembra[[#This Row],[Date]]),7)</f>
        <v>2</v>
      </c>
      <c r="Q1176" t="str">
        <f>CHOOSE(WEEKDAY(datos_siembra[[#This Row],[Date]],2),"L","M","X","J","V","S","D")</f>
        <v>L</v>
      </c>
      <c r="R1176">
        <f>WEEKNUM(datos_siembra[[#This Row],[Date]],2)-WEEKNUM(DATE(YEAR(datos_siembra[[#This Row],[Date]]),MONTH(datos_siembra[[#This Row],[Date]]),1))+1</f>
        <v>3</v>
      </c>
      <c r="S1176">
        <f>MONTH(datos_siembra[[#This Row],[Date]])</f>
        <v>9</v>
      </c>
      <c r="T1176" t="str" cm="1">
        <f t="array" ref="T1176">_xlfn.IFS(AND(N1176&lt;= 22, S1176=9), "SOWING",AND(N1176&lt;= 28, S1176=9), "COVERAGE",AND(N1176&lt;= 30, S1176=9), "FLUSH",AND(N1176&lt;= 11, S1176=10), "FLUSH",AND(N1176&lt;= 21, S1176=10), "PRODUCTION")</f>
        <v>SOWING</v>
      </c>
      <c r="U1176">
        <f>HOUR(datos_siembra[[#This Row],[Hour]])</f>
        <v>17</v>
      </c>
      <c r="V1176" cm="1">
        <f t="array" ref="V1176">_xlfn.IFS(AND(N1176&lt;= 22, S1176=9), N1176-7,AND(N1176&lt;= 28, S1176=9), N1176-25,AND(N1176&lt;= 30, S1176=9), N1176-28,AND(N1176&lt;= 11, S1176=10), N1176+2,AND(N1176&lt;= 21, S1176=10), N1176-11)</f>
        <v>9</v>
      </c>
    </row>
    <row r="1177" spans="1:22" x14ac:dyDescent="0.35">
      <c r="A1177" s="4">
        <v>45551</v>
      </c>
      <c r="B1177" s="5">
        <v>0.721099537037037</v>
      </c>
      <c r="C1177">
        <v>79.5</v>
      </c>
      <c r="D1177">
        <v>76.8</v>
      </c>
      <c r="E1177">
        <v>79</v>
      </c>
      <c r="F1177">
        <v>80.400000000000006</v>
      </c>
      <c r="G1177">
        <v>0</v>
      </c>
      <c r="H1177">
        <v>0</v>
      </c>
      <c r="I1177">
        <v>0</v>
      </c>
      <c r="J1177">
        <v>0</v>
      </c>
      <c r="K1177">
        <v>66.099999999999994</v>
      </c>
      <c r="L1177">
        <v>64.7</v>
      </c>
      <c r="M1177">
        <v>79.02</v>
      </c>
      <c r="N1177">
        <v>16</v>
      </c>
      <c r="O1177">
        <v>6</v>
      </c>
      <c r="P1177">
        <f>MOD(DAY(datos_siembra[[#This Row],[Date]]),7)</f>
        <v>2</v>
      </c>
      <c r="Q1177" t="str">
        <f>CHOOSE(WEEKDAY(datos_siembra[[#This Row],[Date]],2),"L","M","X","J","V","S","D")</f>
        <v>L</v>
      </c>
      <c r="R1177">
        <f>WEEKNUM(datos_siembra[[#This Row],[Date]],2)-WEEKNUM(DATE(YEAR(datos_siembra[[#This Row],[Date]]),MONTH(datos_siembra[[#This Row],[Date]]),1))+1</f>
        <v>3</v>
      </c>
      <c r="S1177">
        <f>MONTH(datos_siembra[[#This Row],[Date]])</f>
        <v>9</v>
      </c>
      <c r="T1177" t="str" cm="1">
        <f t="array" ref="T1177">_xlfn.IFS(AND(N1177&lt;= 22, S1177=9), "SOWING",AND(N1177&lt;= 28, S1177=9), "COVERAGE",AND(N1177&lt;= 30, S1177=9), "FLUSH",AND(N1177&lt;= 11, S1177=10), "FLUSH",AND(N1177&lt;= 21, S1177=10), "PRODUCTION")</f>
        <v>SOWING</v>
      </c>
      <c r="U1177">
        <f>HOUR(datos_siembra[[#This Row],[Hour]])</f>
        <v>17</v>
      </c>
      <c r="V1177" cm="1">
        <f t="array" ref="V1177">_xlfn.IFS(AND(N1177&lt;= 22, S1177=9), N1177-7,AND(N1177&lt;= 28, S1177=9), N1177-25,AND(N1177&lt;= 30, S1177=9), N1177-28,AND(N1177&lt;= 11, S1177=10), N1177+2,AND(N1177&lt;= 21, S1177=10), N1177-11)</f>
        <v>9</v>
      </c>
    </row>
    <row r="1178" spans="1:22" x14ac:dyDescent="0.35">
      <c r="A1178" s="4">
        <v>45551</v>
      </c>
      <c r="B1178" s="5">
        <v>0.72804398148148153</v>
      </c>
      <c r="C1178">
        <v>79.7</v>
      </c>
      <c r="D1178">
        <v>76.8</v>
      </c>
      <c r="E1178">
        <v>79</v>
      </c>
      <c r="F1178">
        <v>80.5</v>
      </c>
      <c r="G1178">
        <v>0</v>
      </c>
      <c r="H1178">
        <v>0</v>
      </c>
      <c r="I1178">
        <v>0</v>
      </c>
      <c r="J1178">
        <v>0</v>
      </c>
      <c r="K1178">
        <v>66.099999999999994</v>
      </c>
      <c r="L1178">
        <v>64.599999999999994</v>
      </c>
      <c r="M1178">
        <v>79.02</v>
      </c>
      <c r="N1178">
        <v>16</v>
      </c>
      <c r="O1178">
        <v>6</v>
      </c>
      <c r="P1178">
        <f>MOD(DAY(datos_siembra[[#This Row],[Date]]),7)</f>
        <v>2</v>
      </c>
      <c r="Q1178" t="str">
        <f>CHOOSE(WEEKDAY(datos_siembra[[#This Row],[Date]],2),"L","M","X","J","V","S","D")</f>
        <v>L</v>
      </c>
      <c r="R1178">
        <f>WEEKNUM(datos_siembra[[#This Row],[Date]],2)-WEEKNUM(DATE(YEAR(datos_siembra[[#This Row],[Date]]),MONTH(datos_siembra[[#This Row],[Date]]),1))+1</f>
        <v>3</v>
      </c>
      <c r="S1178">
        <f>MONTH(datos_siembra[[#This Row],[Date]])</f>
        <v>9</v>
      </c>
      <c r="T1178" t="str" cm="1">
        <f t="array" ref="T1178">_xlfn.IFS(AND(N1178&lt;= 22, S1178=9), "SOWING",AND(N1178&lt;= 28, S1178=9), "COVERAGE",AND(N1178&lt;= 30, S1178=9), "FLUSH",AND(N1178&lt;= 11, S1178=10), "FLUSH",AND(N1178&lt;= 21, S1178=10), "PRODUCTION")</f>
        <v>SOWING</v>
      </c>
      <c r="U1178">
        <f>HOUR(datos_siembra[[#This Row],[Hour]])</f>
        <v>17</v>
      </c>
      <c r="V1178" cm="1">
        <f t="array" ref="V1178">_xlfn.IFS(AND(N1178&lt;= 22, S1178=9), N1178-7,AND(N1178&lt;= 28, S1178=9), N1178-25,AND(N1178&lt;= 30, S1178=9), N1178-28,AND(N1178&lt;= 11, S1178=10), N1178+2,AND(N1178&lt;= 21, S1178=10), N1178-11)</f>
        <v>9</v>
      </c>
    </row>
    <row r="1179" spans="1:22" x14ac:dyDescent="0.35">
      <c r="A1179" s="4">
        <v>45551</v>
      </c>
      <c r="B1179" s="5">
        <v>0.73498842592592595</v>
      </c>
      <c r="C1179">
        <v>79.7</v>
      </c>
      <c r="D1179">
        <v>76.900000000000006</v>
      </c>
      <c r="E1179">
        <v>78.900000000000006</v>
      </c>
      <c r="F1179">
        <v>80.400000000000006</v>
      </c>
      <c r="G1179">
        <v>0</v>
      </c>
      <c r="H1179">
        <v>0</v>
      </c>
      <c r="I1179">
        <v>0</v>
      </c>
      <c r="J1179">
        <v>0</v>
      </c>
      <c r="K1179">
        <v>66</v>
      </c>
      <c r="L1179">
        <v>64.5</v>
      </c>
      <c r="M1179">
        <v>78.94</v>
      </c>
      <c r="N1179">
        <v>16</v>
      </c>
      <c r="O1179">
        <v>6</v>
      </c>
      <c r="P1179">
        <f>MOD(DAY(datos_siembra[[#This Row],[Date]]),7)</f>
        <v>2</v>
      </c>
      <c r="Q1179" t="str">
        <f>CHOOSE(WEEKDAY(datos_siembra[[#This Row],[Date]],2),"L","M","X","J","V","S","D")</f>
        <v>L</v>
      </c>
      <c r="R1179">
        <f>WEEKNUM(datos_siembra[[#This Row],[Date]],2)-WEEKNUM(DATE(YEAR(datos_siembra[[#This Row],[Date]]),MONTH(datos_siembra[[#This Row],[Date]]),1))+1</f>
        <v>3</v>
      </c>
      <c r="S1179">
        <f>MONTH(datos_siembra[[#This Row],[Date]])</f>
        <v>9</v>
      </c>
      <c r="T1179" t="str" cm="1">
        <f t="array" ref="T1179">_xlfn.IFS(AND(N1179&lt;= 22, S1179=9), "SOWING",AND(N1179&lt;= 28, S1179=9), "COVERAGE",AND(N1179&lt;= 30, S1179=9), "FLUSH",AND(N1179&lt;= 11, S1179=10), "FLUSH",AND(N1179&lt;= 21, S1179=10), "PRODUCTION")</f>
        <v>SOWING</v>
      </c>
      <c r="U1179">
        <f>HOUR(datos_siembra[[#This Row],[Hour]])</f>
        <v>17</v>
      </c>
      <c r="V1179" cm="1">
        <f t="array" ref="V1179">_xlfn.IFS(AND(N1179&lt;= 22, S1179=9), N1179-7,AND(N1179&lt;= 28, S1179=9), N1179-25,AND(N1179&lt;= 30, S1179=9), N1179-28,AND(N1179&lt;= 11, S1179=10), N1179+2,AND(N1179&lt;= 21, S1179=10), N1179-11)</f>
        <v>9</v>
      </c>
    </row>
    <row r="1180" spans="1:22" x14ac:dyDescent="0.35">
      <c r="A1180" s="4">
        <v>45551</v>
      </c>
      <c r="B1180" s="5">
        <v>0.74194444444444441</v>
      </c>
      <c r="C1180">
        <v>79.5</v>
      </c>
      <c r="D1180">
        <v>76.7</v>
      </c>
      <c r="E1180">
        <v>79</v>
      </c>
      <c r="F1180">
        <v>80.3</v>
      </c>
      <c r="G1180">
        <v>0</v>
      </c>
      <c r="H1180">
        <v>0</v>
      </c>
      <c r="I1180">
        <v>0</v>
      </c>
      <c r="J1180">
        <v>0</v>
      </c>
      <c r="K1180">
        <v>66</v>
      </c>
      <c r="L1180">
        <v>64.5</v>
      </c>
      <c r="M1180">
        <v>79.02</v>
      </c>
      <c r="N1180">
        <v>16</v>
      </c>
      <c r="O1180">
        <v>6</v>
      </c>
      <c r="P1180">
        <f>MOD(DAY(datos_siembra[[#This Row],[Date]]),7)</f>
        <v>2</v>
      </c>
      <c r="Q1180" t="str">
        <f>CHOOSE(WEEKDAY(datos_siembra[[#This Row],[Date]],2),"L","M","X","J","V","S","D")</f>
        <v>L</v>
      </c>
      <c r="R1180">
        <f>WEEKNUM(datos_siembra[[#This Row],[Date]],2)-WEEKNUM(DATE(YEAR(datos_siembra[[#This Row],[Date]]),MONTH(datos_siembra[[#This Row],[Date]]),1))+1</f>
        <v>3</v>
      </c>
      <c r="S1180">
        <f>MONTH(datos_siembra[[#This Row],[Date]])</f>
        <v>9</v>
      </c>
      <c r="T1180" t="str" cm="1">
        <f t="array" ref="T1180">_xlfn.IFS(AND(N1180&lt;= 22, S1180=9), "SOWING",AND(N1180&lt;= 28, S1180=9), "COVERAGE",AND(N1180&lt;= 30, S1180=9), "FLUSH",AND(N1180&lt;= 11, S1180=10), "FLUSH",AND(N1180&lt;= 21, S1180=10), "PRODUCTION")</f>
        <v>SOWING</v>
      </c>
      <c r="U1180">
        <f>HOUR(datos_siembra[[#This Row],[Hour]])</f>
        <v>17</v>
      </c>
      <c r="V1180" cm="1">
        <f t="array" ref="V1180">_xlfn.IFS(AND(N1180&lt;= 22, S1180=9), N1180-7,AND(N1180&lt;= 28, S1180=9), N1180-25,AND(N1180&lt;= 30, S1180=9), N1180-28,AND(N1180&lt;= 11, S1180=10), N1180+2,AND(N1180&lt;= 21, S1180=10), N1180-11)</f>
        <v>9</v>
      </c>
    </row>
    <row r="1181" spans="1:22" x14ac:dyDescent="0.35">
      <c r="A1181" s="4">
        <v>45551</v>
      </c>
      <c r="B1181" s="5">
        <v>0.74888888888888894</v>
      </c>
      <c r="C1181">
        <v>79.599999999999994</v>
      </c>
      <c r="D1181">
        <v>76.900000000000006</v>
      </c>
      <c r="E1181">
        <v>79.099999999999994</v>
      </c>
      <c r="F1181">
        <v>80.5</v>
      </c>
      <c r="G1181">
        <v>0</v>
      </c>
      <c r="H1181">
        <v>0</v>
      </c>
      <c r="I1181">
        <v>0</v>
      </c>
      <c r="J1181">
        <v>0</v>
      </c>
      <c r="K1181">
        <v>65.900000000000006</v>
      </c>
      <c r="L1181">
        <v>64.400000000000006</v>
      </c>
      <c r="M1181">
        <v>78.97</v>
      </c>
      <c r="N1181">
        <v>16</v>
      </c>
      <c r="O1181">
        <v>6</v>
      </c>
      <c r="P1181">
        <f>MOD(DAY(datos_siembra[[#This Row],[Date]]),7)</f>
        <v>2</v>
      </c>
      <c r="Q1181" t="str">
        <f>CHOOSE(WEEKDAY(datos_siembra[[#This Row],[Date]],2),"L","M","X","J","V","S","D")</f>
        <v>L</v>
      </c>
      <c r="R1181">
        <f>WEEKNUM(datos_siembra[[#This Row],[Date]],2)-WEEKNUM(DATE(YEAR(datos_siembra[[#This Row],[Date]]),MONTH(datos_siembra[[#This Row],[Date]]),1))+1</f>
        <v>3</v>
      </c>
      <c r="S1181">
        <f>MONTH(datos_siembra[[#This Row],[Date]])</f>
        <v>9</v>
      </c>
      <c r="T1181" t="str" cm="1">
        <f t="array" ref="T1181">_xlfn.IFS(AND(N1181&lt;= 22, S1181=9), "SOWING",AND(N1181&lt;= 28, S1181=9), "COVERAGE",AND(N1181&lt;= 30, S1181=9), "FLUSH",AND(N1181&lt;= 11, S1181=10), "FLUSH",AND(N1181&lt;= 21, S1181=10), "PRODUCTION")</f>
        <v>SOWING</v>
      </c>
      <c r="U1181">
        <f>HOUR(datos_siembra[[#This Row],[Hour]])</f>
        <v>17</v>
      </c>
      <c r="V1181" cm="1">
        <f t="array" ref="V1181">_xlfn.IFS(AND(N1181&lt;= 22, S1181=9), N1181-7,AND(N1181&lt;= 28, S1181=9), N1181-25,AND(N1181&lt;= 30, S1181=9), N1181-28,AND(N1181&lt;= 11, S1181=10), N1181+2,AND(N1181&lt;= 21, S1181=10), N1181-11)</f>
        <v>9</v>
      </c>
    </row>
    <row r="1182" spans="1:22" x14ac:dyDescent="0.35">
      <c r="A1182" s="4">
        <v>45551</v>
      </c>
      <c r="B1182" s="5">
        <v>0.75583333333333336</v>
      </c>
      <c r="C1182">
        <v>79.599999999999994</v>
      </c>
      <c r="D1182">
        <v>76.8</v>
      </c>
      <c r="E1182">
        <v>79</v>
      </c>
      <c r="F1182">
        <v>80.5</v>
      </c>
      <c r="G1182">
        <v>0</v>
      </c>
      <c r="H1182">
        <v>0</v>
      </c>
      <c r="I1182">
        <v>0</v>
      </c>
      <c r="J1182">
        <v>0</v>
      </c>
      <c r="K1182">
        <v>66</v>
      </c>
      <c r="L1182">
        <v>64.5</v>
      </c>
      <c r="M1182">
        <v>78.91</v>
      </c>
      <c r="N1182">
        <v>16</v>
      </c>
      <c r="O1182">
        <v>6</v>
      </c>
      <c r="P1182">
        <f>MOD(DAY(datos_siembra[[#This Row],[Date]]),7)</f>
        <v>2</v>
      </c>
      <c r="Q1182" t="str">
        <f>CHOOSE(WEEKDAY(datos_siembra[[#This Row],[Date]],2),"L","M","X","J","V","S","D")</f>
        <v>L</v>
      </c>
      <c r="R1182">
        <f>WEEKNUM(datos_siembra[[#This Row],[Date]],2)-WEEKNUM(DATE(YEAR(datos_siembra[[#This Row],[Date]]),MONTH(datos_siembra[[#This Row],[Date]]),1))+1</f>
        <v>3</v>
      </c>
      <c r="S1182">
        <f>MONTH(datos_siembra[[#This Row],[Date]])</f>
        <v>9</v>
      </c>
      <c r="T1182" t="str" cm="1">
        <f t="array" ref="T1182">_xlfn.IFS(AND(N1182&lt;= 22, S1182=9), "SOWING",AND(N1182&lt;= 28, S1182=9), "COVERAGE",AND(N1182&lt;= 30, S1182=9), "FLUSH",AND(N1182&lt;= 11, S1182=10), "FLUSH",AND(N1182&lt;= 21, S1182=10), "PRODUCTION")</f>
        <v>SOWING</v>
      </c>
      <c r="U1182">
        <f>HOUR(datos_siembra[[#This Row],[Hour]])</f>
        <v>18</v>
      </c>
      <c r="V1182" cm="1">
        <f t="array" ref="V1182">_xlfn.IFS(AND(N1182&lt;= 22, S1182=9), N1182-7,AND(N1182&lt;= 28, S1182=9), N1182-25,AND(N1182&lt;= 30, S1182=9), N1182-28,AND(N1182&lt;= 11, S1182=10), N1182+2,AND(N1182&lt;= 21, S1182=10), N1182-11)</f>
        <v>9</v>
      </c>
    </row>
    <row r="1183" spans="1:22" x14ac:dyDescent="0.35">
      <c r="A1183" s="4">
        <v>45551</v>
      </c>
      <c r="B1183" s="5">
        <v>0.76278935185185182</v>
      </c>
      <c r="C1183">
        <v>79.400000000000006</v>
      </c>
      <c r="D1183">
        <v>76.599999999999994</v>
      </c>
      <c r="E1183">
        <v>79</v>
      </c>
      <c r="F1183">
        <v>80.5</v>
      </c>
      <c r="G1183">
        <v>0</v>
      </c>
      <c r="H1183">
        <v>0</v>
      </c>
      <c r="I1183">
        <v>0</v>
      </c>
      <c r="J1183">
        <v>0</v>
      </c>
      <c r="K1183">
        <v>66</v>
      </c>
      <c r="L1183">
        <v>64.400000000000006</v>
      </c>
      <c r="M1183">
        <v>78.94</v>
      </c>
      <c r="N1183">
        <v>16</v>
      </c>
      <c r="O1183">
        <v>6</v>
      </c>
      <c r="P1183">
        <f>MOD(DAY(datos_siembra[[#This Row],[Date]]),7)</f>
        <v>2</v>
      </c>
      <c r="Q1183" t="str">
        <f>CHOOSE(WEEKDAY(datos_siembra[[#This Row],[Date]],2),"L","M","X","J","V","S","D")</f>
        <v>L</v>
      </c>
      <c r="R1183">
        <f>WEEKNUM(datos_siembra[[#This Row],[Date]],2)-WEEKNUM(DATE(YEAR(datos_siembra[[#This Row],[Date]]),MONTH(datos_siembra[[#This Row],[Date]]),1))+1</f>
        <v>3</v>
      </c>
      <c r="S1183">
        <f>MONTH(datos_siembra[[#This Row],[Date]])</f>
        <v>9</v>
      </c>
      <c r="T1183" t="str" cm="1">
        <f t="array" ref="T1183">_xlfn.IFS(AND(N1183&lt;= 22, S1183=9), "SOWING",AND(N1183&lt;= 28, S1183=9), "COVERAGE",AND(N1183&lt;= 30, S1183=9), "FLUSH",AND(N1183&lt;= 11, S1183=10), "FLUSH",AND(N1183&lt;= 21, S1183=10), "PRODUCTION")</f>
        <v>SOWING</v>
      </c>
      <c r="U1183">
        <f>HOUR(datos_siembra[[#This Row],[Hour]])</f>
        <v>18</v>
      </c>
      <c r="V1183" cm="1">
        <f t="array" ref="V1183">_xlfn.IFS(AND(N1183&lt;= 22, S1183=9), N1183-7,AND(N1183&lt;= 28, S1183=9), N1183-25,AND(N1183&lt;= 30, S1183=9), N1183-28,AND(N1183&lt;= 11, S1183=10), N1183+2,AND(N1183&lt;= 21, S1183=10), N1183-11)</f>
        <v>9</v>
      </c>
    </row>
    <row r="1184" spans="1:22" x14ac:dyDescent="0.35">
      <c r="A1184" s="4">
        <v>45551</v>
      </c>
      <c r="B1184" s="5">
        <v>0.76973379629629635</v>
      </c>
      <c r="C1184">
        <v>79.599999999999994</v>
      </c>
      <c r="D1184">
        <v>76.599999999999994</v>
      </c>
      <c r="E1184">
        <v>79</v>
      </c>
      <c r="F1184">
        <v>80.400000000000006</v>
      </c>
      <c r="G1184">
        <v>0</v>
      </c>
      <c r="H1184">
        <v>0</v>
      </c>
      <c r="I1184">
        <v>0</v>
      </c>
      <c r="J1184">
        <v>0</v>
      </c>
      <c r="K1184">
        <v>65.900000000000006</v>
      </c>
      <c r="L1184">
        <v>64.3</v>
      </c>
      <c r="M1184">
        <v>78.91</v>
      </c>
      <c r="N1184">
        <v>16</v>
      </c>
      <c r="O1184">
        <v>6</v>
      </c>
      <c r="P1184">
        <f>MOD(DAY(datos_siembra[[#This Row],[Date]]),7)</f>
        <v>2</v>
      </c>
      <c r="Q1184" t="str">
        <f>CHOOSE(WEEKDAY(datos_siembra[[#This Row],[Date]],2),"L","M","X","J","V","S","D")</f>
        <v>L</v>
      </c>
      <c r="R1184">
        <f>WEEKNUM(datos_siembra[[#This Row],[Date]],2)-WEEKNUM(DATE(YEAR(datos_siembra[[#This Row],[Date]]),MONTH(datos_siembra[[#This Row],[Date]]),1))+1</f>
        <v>3</v>
      </c>
      <c r="S1184">
        <f>MONTH(datos_siembra[[#This Row],[Date]])</f>
        <v>9</v>
      </c>
      <c r="T1184" t="str" cm="1">
        <f t="array" ref="T1184">_xlfn.IFS(AND(N1184&lt;= 22, S1184=9), "SOWING",AND(N1184&lt;= 28, S1184=9), "COVERAGE",AND(N1184&lt;= 30, S1184=9), "FLUSH",AND(N1184&lt;= 11, S1184=10), "FLUSH",AND(N1184&lt;= 21, S1184=10), "PRODUCTION")</f>
        <v>SOWING</v>
      </c>
      <c r="U1184">
        <f>HOUR(datos_siembra[[#This Row],[Hour]])</f>
        <v>18</v>
      </c>
      <c r="V1184" cm="1">
        <f t="array" ref="V1184">_xlfn.IFS(AND(N1184&lt;= 22, S1184=9), N1184-7,AND(N1184&lt;= 28, S1184=9), N1184-25,AND(N1184&lt;= 30, S1184=9), N1184-28,AND(N1184&lt;= 11, S1184=10), N1184+2,AND(N1184&lt;= 21, S1184=10), N1184-11)</f>
        <v>9</v>
      </c>
    </row>
    <row r="1185" spans="1:22" x14ac:dyDescent="0.35">
      <c r="A1185" s="4">
        <v>45551</v>
      </c>
      <c r="B1185" s="5">
        <v>0.77667824074074077</v>
      </c>
      <c r="C1185">
        <v>79.5</v>
      </c>
      <c r="D1185">
        <v>76.7</v>
      </c>
      <c r="E1185">
        <v>79</v>
      </c>
      <c r="F1185">
        <v>80.400000000000006</v>
      </c>
      <c r="G1185">
        <v>0</v>
      </c>
      <c r="H1185">
        <v>0</v>
      </c>
      <c r="I1185">
        <v>0</v>
      </c>
      <c r="J1185">
        <v>0</v>
      </c>
      <c r="K1185">
        <v>65.8</v>
      </c>
      <c r="L1185">
        <v>64.3</v>
      </c>
      <c r="M1185">
        <v>79</v>
      </c>
      <c r="N1185">
        <v>16</v>
      </c>
      <c r="O1185">
        <v>6</v>
      </c>
      <c r="P1185">
        <f>MOD(DAY(datos_siembra[[#This Row],[Date]]),7)</f>
        <v>2</v>
      </c>
      <c r="Q1185" t="str">
        <f>CHOOSE(WEEKDAY(datos_siembra[[#This Row],[Date]],2),"L","M","X","J","V","S","D")</f>
        <v>L</v>
      </c>
      <c r="R1185">
        <f>WEEKNUM(datos_siembra[[#This Row],[Date]],2)-WEEKNUM(DATE(YEAR(datos_siembra[[#This Row],[Date]]),MONTH(datos_siembra[[#This Row],[Date]]),1))+1</f>
        <v>3</v>
      </c>
      <c r="S1185">
        <f>MONTH(datos_siembra[[#This Row],[Date]])</f>
        <v>9</v>
      </c>
      <c r="T1185" t="str" cm="1">
        <f t="array" ref="T1185">_xlfn.IFS(AND(N1185&lt;= 22, S1185=9), "SOWING",AND(N1185&lt;= 28, S1185=9), "COVERAGE",AND(N1185&lt;= 30, S1185=9), "FLUSH",AND(N1185&lt;= 11, S1185=10), "FLUSH",AND(N1185&lt;= 21, S1185=10), "PRODUCTION")</f>
        <v>SOWING</v>
      </c>
      <c r="U1185">
        <f>HOUR(datos_siembra[[#This Row],[Hour]])</f>
        <v>18</v>
      </c>
      <c r="V1185" cm="1">
        <f t="array" ref="V1185">_xlfn.IFS(AND(N1185&lt;= 22, S1185=9), N1185-7,AND(N1185&lt;= 28, S1185=9), N1185-25,AND(N1185&lt;= 30, S1185=9), N1185-28,AND(N1185&lt;= 11, S1185=10), N1185+2,AND(N1185&lt;= 21, S1185=10), N1185-11)</f>
        <v>9</v>
      </c>
    </row>
    <row r="1186" spans="1:22" x14ac:dyDescent="0.35">
      <c r="A1186" s="4">
        <v>45551</v>
      </c>
      <c r="B1186" s="5">
        <v>0.78362268518518519</v>
      </c>
      <c r="C1186">
        <v>79.599999999999994</v>
      </c>
      <c r="D1186">
        <v>76.599999999999994</v>
      </c>
      <c r="E1186">
        <v>79</v>
      </c>
      <c r="F1186">
        <v>80.3</v>
      </c>
      <c r="G1186">
        <v>0</v>
      </c>
      <c r="H1186">
        <v>0</v>
      </c>
      <c r="I1186">
        <v>0</v>
      </c>
      <c r="J1186">
        <v>0</v>
      </c>
      <c r="K1186">
        <v>65.8</v>
      </c>
      <c r="L1186">
        <v>64.2</v>
      </c>
      <c r="M1186">
        <v>78.94</v>
      </c>
      <c r="N1186">
        <v>16</v>
      </c>
      <c r="O1186">
        <v>6</v>
      </c>
      <c r="P1186">
        <f>MOD(DAY(datos_siembra[[#This Row],[Date]]),7)</f>
        <v>2</v>
      </c>
      <c r="Q1186" t="str">
        <f>CHOOSE(WEEKDAY(datos_siembra[[#This Row],[Date]],2),"L","M","X","J","V","S","D")</f>
        <v>L</v>
      </c>
      <c r="R1186">
        <f>WEEKNUM(datos_siembra[[#This Row],[Date]],2)-WEEKNUM(DATE(YEAR(datos_siembra[[#This Row],[Date]]),MONTH(datos_siembra[[#This Row],[Date]]),1))+1</f>
        <v>3</v>
      </c>
      <c r="S1186">
        <f>MONTH(datos_siembra[[#This Row],[Date]])</f>
        <v>9</v>
      </c>
      <c r="T1186" t="str" cm="1">
        <f t="array" ref="T1186">_xlfn.IFS(AND(N1186&lt;= 22, S1186=9), "SOWING",AND(N1186&lt;= 28, S1186=9), "COVERAGE",AND(N1186&lt;= 30, S1186=9), "FLUSH",AND(N1186&lt;= 11, S1186=10), "FLUSH",AND(N1186&lt;= 21, S1186=10), "PRODUCTION")</f>
        <v>SOWING</v>
      </c>
      <c r="U1186">
        <f>HOUR(datos_siembra[[#This Row],[Hour]])</f>
        <v>18</v>
      </c>
      <c r="V1186" cm="1">
        <f t="array" ref="V1186">_xlfn.IFS(AND(N1186&lt;= 22, S1186=9), N1186-7,AND(N1186&lt;= 28, S1186=9), N1186-25,AND(N1186&lt;= 30, S1186=9), N1186-28,AND(N1186&lt;= 11, S1186=10), N1186+2,AND(N1186&lt;= 21, S1186=10), N1186-11)</f>
        <v>9</v>
      </c>
    </row>
    <row r="1187" spans="1:22" x14ac:dyDescent="0.35">
      <c r="A1187" s="4">
        <v>45551</v>
      </c>
      <c r="B1187" s="5">
        <v>0.79057870370370376</v>
      </c>
      <c r="C1187">
        <v>79.400000000000006</v>
      </c>
      <c r="D1187">
        <v>76.599999999999994</v>
      </c>
      <c r="E1187">
        <v>79</v>
      </c>
      <c r="F1187">
        <v>80.3</v>
      </c>
      <c r="G1187">
        <v>0</v>
      </c>
      <c r="H1187">
        <v>0</v>
      </c>
      <c r="I1187">
        <v>0</v>
      </c>
      <c r="J1187">
        <v>0</v>
      </c>
      <c r="K1187">
        <v>65.599999999999994</v>
      </c>
      <c r="L1187">
        <v>64.2</v>
      </c>
      <c r="M1187">
        <v>78.8</v>
      </c>
      <c r="N1187">
        <v>16</v>
      </c>
      <c r="O1187">
        <v>6</v>
      </c>
      <c r="P1187">
        <f>MOD(DAY(datos_siembra[[#This Row],[Date]]),7)</f>
        <v>2</v>
      </c>
      <c r="Q1187" t="str">
        <f>CHOOSE(WEEKDAY(datos_siembra[[#This Row],[Date]],2),"L","M","X","J","V","S","D")</f>
        <v>L</v>
      </c>
      <c r="R1187">
        <f>WEEKNUM(datos_siembra[[#This Row],[Date]],2)-WEEKNUM(DATE(YEAR(datos_siembra[[#This Row],[Date]]),MONTH(datos_siembra[[#This Row],[Date]]),1))+1</f>
        <v>3</v>
      </c>
      <c r="S1187">
        <f>MONTH(datos_siembra[[#This Row],[Date]])</f>
        <v>9</v>
      </c>
      <c r="T1187" t="str" cm="1">
        <f t="array" ref="T1187">_xlfn.IFS(AND(N1187&lt;= 22, S1187=9), "SOWING",AND(N1187&lt;= 28, S1187=9), "COVERAGE",AND(N1187&lt;= 30, S1187=9), "FLUSH",AND(N1187&lt;= 11, S1187=10), "FLUSH",AND(N1187&lt;= 21, S1187=10), "PRODUCTION")</f>
        <v>SOWING</v>
      </c>
      <c r="U1187">
        <f>HOUR(datos_siembra[[#This Row],[Hour]])</f>
        <v>18</v>
      </c>
      <c r="V1187" cm="1">
        <f t="array" ref="V1187">_xlfn.IFS(AND(N1187&lt;= 22, S1187=9), N1187-7,AND(N1187&lt;= 28, S1187=9), N1187-25,AND(N1187&lt;= 30, S1187=9), N1187-28,AND(N1187&lt;= 11, S1187=10), N1187+2,AND(N1187&lt;= 21, S1187=10), N1187-11)</f>
        <v>9</v>
      </c>
    </row>
    <row r="1188" spans="1:22" x14ac:dyDescent="0.35">
      <c r="A1188" s="4">
        <v>45551</v>
      </c>
      <c r="B1188" s="5">
        <v>0.79752314814814818</v>
      </c>
      <c r="C1188">
        <v>79.599999999999994</v>
      </c>
      <c r="D1188">
        <v>76.7</v>
      </c>
      <c r="E1188">
        <v>79</v>
      </c>
      <c r="F1188">
        <v>80.3</v>
      </c>
      <c r="G1188">
        <v>0</v>
      </c>
      <c r="H1188">
        <v>0</v>
      </c>
      <c r="I1188">
        <v>0</v>
      </c>
      <c r="J1188">
        <v>0</v>
      </c>
      <c r="K1188">
        <v>65.599999999999994</v>
      </c>
      <c r="L1188">
        <v>64.099999999999994</v>
      </c>
      <c r="M1188">
        <v>78.94</v>
      </c>
      <c r="N1188">
        <v>16</v>
      </c>
      <c r="O1188">
        <v>6</v>
      </c>
      <c r="P1188">
        <f>MOD(DAY(datos_siembra[[#This Row],[Date]]),7)</f>
        <v>2</v>
      </c>
      <c r="Q1188" t="str">
        <f>CHOOSE(WEEKDAY(datos_siembra[[#This Row],[Date]],2),"L","M","X","J","V","S","D")</f>
        <v>L</v>
      </c>
      <c r="R1188">
        <f>WEEKNUM(datos_siembra[[#This Row],[Date]],2)-WEEKNUM(DATE(YEAR(datos_siembra[[#This Row],[Date]]),MONTH(datos_siembra[[#This Row],[Date]]),1))+1</f>
        <v>3</v>
      </c>
      <c r="S1188">
        <f>MONTH(datos_siembra[[#This Row],[Date]])</f>
        <v>9</v>
      </c>
      <c r="T1188" t="str" cm="1">
        <f t="array" ref="T1188">_xlfn.IFS(AND(N1188&lt;= 22, S1188=9), "SOWING",AND(N1188&lt;= 28, S1188=9), "COVERAGE",AND(N1188&lt;= 30, S1188=9), "FLUSH",AND(N1188&lt;= 11, S1188=10), "FLUSH",AND(N1188&lt;= 21, S1188=10), "PRODUCTION")</f>
        <v>SOWING</v>
      </c>
      <c r="U1188">
        <f>HOUR(datos_siembra[[#This Row],[Hour]])</f>
        <v>19</v>
      </c>
      <c r="V1188" cm="1">
        <f t="array" ref="V1188">_xlfn.IFS(AND(N1188&lt;= 22, S1188=9), N1188-7,AND(N1188&lt;= 28, S1188=9), N1188-25,AND(N1188&lt;= 30, S1188=9), N1188-28,AND(N1188&lt;= 11, S1188=10), N1188+2,AND(N1188&lt;= 21, S1188=10), N1188-11)</f>
        <v>9</v>
      </c>
    </row>
    <row r="1189" spans="1:22" x14ac:dyDescent="0.35">
      <c r="A1189" s="4">
        <v>45551</v>
      </c>
      <c r="B1189" s="5">
        <v>0.8044675925925926</v>
      </c>
      <c r="C1189">
        <v>79.400000000000006</v>
      </c>
      <c r="D1189">
        <v>76.7</v>
      </c>
      <c r="E1189">
        <v>79</v>
      </c>
      <c r="F1189">
        <v>80.400000000000006</v>
      </c>
      <c r="G1189">
        <v>0</v>
      </c>
      <c r="H1189">
        <v>0</v>
      </c>
      <c r="I1189">
        <v>0</v>
      </c>
      <c r="J1189">
        <v>0</v>
      </c>
      <c r="K1189">
        <v>65.599999999999994</v>
      </c>
      <c r="L1189">
        <v>64.2</v>
      </c>
      <c r="M1189">
        <v>78.88</v>
      </c>
      <c r="N1189">
        <v>16</v>
      </c>
      <c r="O1189">
        <v>6</v>
      </c>
      <c r="P1189">
        <f>MOD(DAY(datos_siembra[[#This Row],[Date]]),7)</f>
        <v>2</v>
      </c>
      <c r="Q1189" t="str">
        <f>CHOOSE(WEEKDAY(datos_siembra[[#This Row],[Date]],2),"L","M","X","J","V","S","D")</f>
        <v>L</v>
      </c>
      <c r="R1189">
        <f>WEEKNUM(datos_siembra[[#This Row],[Date]],2)-WEEKNUM(DATE(YEAR(datos_siembra[[#This Row],[Date]]),MONTH(datos_siembra[[#This Row],[Date]]),1))+1</f>
        <v>3</v>
      </c>
      <c r="S1189">
        <f>MONTH(datos_siembra[[#This Row],[Date]])</f>
        <v>9</v>
      </c>
      <c r="T1189" t="str" cm="1">
        <f t="array" ref="T1189">_xlfn.IFS(AND(N1189&lt;= 22, S1189=9), "SOWING",AND(N1189&lt;= 28, S1189=9), "COVERAGE",AND(N1189&lt;= 30, S1189=9), "FLUSH",AND(N1189&lt;= 11, S1189=10), "FLUSH",AND(N1189&lt;= 21, S1189=10), "PRODUCTION")</f>
        <v>SOWING</v>
      </c>
      <c r="U1189">
        <f>HOUR(datos_siembra[[#This Row],[Hour]])</f>
        <v>19</v>
      </c>
      <c r="V1189" cm="1">
        <f t="array" ref="V1189">_xlfn.IFS(AND(N1189&lt;= 22, S1189=9), N1189-7,AND(N1189&lt;= 28, S1189=9), N1189-25,AND(N1189&lt;= 30, S1189=9), N1189-28,AND(N1189&lt;= 11, S1189=10), N1189+2,AND(N1189&lt;= 21, S1189=10), N1189-11)</f>
        <v>9</v>
      </c>
    </row>
    <row r="1190" spans="1:22" x14ac:dyDescent="0.35">
      <c r="A1190" s="4">
        <v>45551</v>
      </c>
      <c r="B1190" s="5">
        <v>0.81142361111111116</v>
      </c>
      <c r="C1190">
        <v>79.400000000000006</v>
      </c>
      <c r="D1190">
        <v>76.7</v>
      </c>
      <c r="E1190">
        <v>78.900000000000006</v>
      </c>
      <c r="F1190">
        <v>80.3</v>
      </c>
      <c r="G1190">
        <v>0</v>
      </c>
      <c r="H1190">
        <v>0</v>
      </c>
      <c r="I1190">
        <v>0</v>
      </c>
      <c r="J1190">
        <v>0</v>
      </c>
      <c r="K1190">
        <v>65.599999999999994</v>
      </c>
      <c r="L1190">
        <v>64.2</v>
      </c>
      <c r="M1190">
        <v>78.86</v>
      </c>
      <c r="N1190">
        <v>16</v>
      </c>
      <c r="O1190">
        <v>6</v>
      </c>
      <c r="P1190">
        <f>MOD(DAY(datos_siembra[[#This Row],[Date]]),7)</f>
        <v>2</v>
      </c>
      <c r="Q1190" t="str">
        <f>CHOOSE(WEEKDAY(datos_siembra[[#This Row],[Date]],2),"L","M","X","J","V","S","D")</f>
        <v>L</v>
      </c>
      <c r="R1190">
        <f>WEEKNUM(datos_siembra[[#This Row],[Date]],2)-WEEKNUM(DATE(YEAR(datos_siembra[[#This Row],[Date]]),MONTH(datos_siembra[[#This Row],[Date]]),1))+1</f>
        <v>3</v>
      </c>
      <c r="S1190">
        <f>MONTH(datos_siembra[[#This Row],[Date]])</f>
        <v>9</v>
      </c>
      <c r="T1190" t="str" cm="1">
        <f t="array" ref="T1190">_xlfn.IFS(AND(N1190&lt;= 22, S1190=9), "SOWING",AND(N1190&lt;= 28, S1190=9), "COVERAGE",AND(N1190&lt;= 30, S1190=9), "FLUSH",AND(N1190&lt;= 11, S1190=10), "FLUSH",AND(N1190&lt;= 21, S1190=10), "PRODUCTION")</f>
        <v>SOWING</v>
      </c>
      <c r="U1190">
        <f>HOUR(datos_siembra[[#This Row],[Hour]])</f>
        <v>19</v>
      </c>
      <c r="V1190" cm="1">
        <f t="array" ref="V1190">_xlfn.IFS(AND(N1190&lt;= 22, S1190=9), N1190-7,AND(N1190&lt;= 28, S1190=9), N1190-25,AND(N1190&lt;= 30, S1190=9), N1190-28,AND(N1190&lt;= 11, S1190=10), N1190+2,AND(N1190&lt;= 21, S1190=10), N1190-11)</f>
        <v>9</v>
      </c>
    </row>
    <row r="1191" spans="1:22" x14ac:dyDescent="0.35">
      <c r="A1191" s="4">
        <v>45551</v>
      </c>
      <c r="B1191" s="5">
        <v>0.81836805555555558</v>
      </c>
      <c r="C1191">
        <v>79.5</v>
      </c>
      <c r="D1191">
        <v>76.7</v>
      </c>
      <c r="E1191">
        <v>78.900000000000006</v>
      </c>
      <c r="F1191">
        <v>80.099999999999994</v>
      </c>
      <c r="G1191">
        <v>0</v>
      </c>
      <c r="H1191">
        <v>0</v>
      </c>
      <c r="I1191">
        <v>0</v>
      </c>
      <c r="J1191">
        <v>0</v>
      </c>
      <c r="K1191">
        <v>65.599999999999994</v>
      </c>
      <c r="L1191">
        <v>64.099999999999994</v>
      </c>
      <c r="M1191">
        <v>78.91</v>
      </c>
      <c r="N1191">
        <v>16</v>
      </c>
      <c r="O1191">
        <v>6</v>
      </c>
      <c r="P1191">
        <f>MOD(DAY(datos_siembra[[#This Row],[Date]]),7)</f>
        <v>2</v>
      </c>
      <c r="Q1191" t="str">
        <f>CHOOSE(WEEKDAY(datos_siembra[[#This Row],[Date]],2),"L","M","X","J","V","S","D")</f>
        <v>L</v>
      </c>
      <c r="R1191">
        <f>WEEKNUM(datos_siembra[[#This Row],[Date]],2)-WEEKNUM(DATE(YEAR(datos_siembra[[#This Row],[Date]]),MONTH(datos_siembra[[#This Row],[Date]]),1))+1</f>
        <v>3</v>
      </c>
      <c r="S1191">
        <f>MONTH(datos_siembra[[#This Row],[Date]])</f>
        <v>9</v>
      </c>
      <c r="T1191" t="str" cm="1">
        <f t="array" ref="T1191">_xlfn.IFS(AND(N1191&lt;= 22, S1191=9), "SOWING",AND(N1191&lt;= 28, S1191=9), "COVERAGE",AND(N1191&lt;= 30, S1191=9), "FLUSH",AND(N1191&lt;= 11, S1191=10), "FLUSH",AND(N1191&lt;= 21, S1191=10), "PRODUCTION")</f>
        <v>SOWING</v>
      </c>
      <c r="U1191">
        <f>HOUR(datos_siembra[[#This Row],[Hour]])</f>
        <v>19</v>
      </c>
      <c r="V1191" cm="1">
        <f t="array" ref="V1191">_xlfn.IFS(AND(N1191&lt;= 22, S1191=9), N1191-7,AND(N1191&lt;= 28, S1191=9), N1191-25,AND(N1191&lt;= 30, S1191=9), N1191-28,AND(N1191&lt;= 11, S1191=10), N1191+2,AND(N1191&lt;= 21, S1191=10), N1191-11)</f>
        <v>9</v>
      </c>
    </row>
    <row r="1192" spans="1:22" x14ac:dyDescent="0.35">
      <c r="A1192" s="4">
        <v>45551</v>
      </c>
      <c r="B1192" s="5">
        <v>0.8253125</v>
      </c>
      <c r="C1192">
        <v>79.5</v>
      </c>
      <c r="D1192">
        <v>76.7</v>
      </c>
      <c r="E1192">
        <v>78.900000000000006</v>
      </c>
      <c r="F1192">
        <v>80.400000000000006</v>
      </c>
      <c r="G1192">
        <v>0</v>
      </c>
      <c r="H1192">
        <v>0</v>
      </c>
      <c r="I1192">
        <v>0</v>
      </c>
      <c r="J1192">
        <v>0</v>
      </c>
      <c r="K1192">
        <v>65.5</v>
      </c>
      <c r="L1192">
        <v>63.9</v>
      </c>
      <c r="M1192">
        <v>78.86</v>
      </c>
      <c r="N1192">
        <v>16</v>
      </c>
      <c r="O1192">
        <v>6</v>
      </c>
      <c r="P1192">
        <f>MOD(DAY(datos_siembra[[#This Row],[Date]]),7)</f>
        <v>2</v>
      </c>
      <c r="Q1192" t="str">
        <f>CHOOSE(WEEKDAY(datos_siembra[[#This Row],[Date]],2),"L","M","X","J","V","S","D")</f>
        <v>L</v>
      </c>
      <c r="R1192">
        <f>WEEKNUM(datos_siembra[[#This Row],[Date]],2)-WEEKNUM(DATE(YEAR(datos_siembra[[#This Row],[Date]]),MONTH(datos_siembra[[#This Row],[Date]]),1))+1</f>
        <v>3</v>
      </c>
      <c r="S1192">
        <f>MONTH(datos_siembra[[#This Row],[Date]])</f>
        <v>9</v>
      </c>
      <c r="T1192" t="str" cm="1">
        <f t="array" ref="T1192">_xlfn.IFS(AND(N1192&lt;= 22, S1192=9), "SOWING",AND(N1192&lt;= 28, S1192=9), "COVERAGE",AND(N1192&lt;= 30, S1192=9), "FLUSH",AND(N1192&lt;= 11, S1192=10), "FLUSH",AND(N1192&lt;= 21, S1192=10), "PRODUCTION")</f>
        <v>SOWING</v>
      </c>
      <c r="U1192">
        <f>HOUR(datos_siembra[[#This Row],[Hour]])</f>
        <v>19</v>
      </c>
      <c r="V1192" cm="1">
        <f t="array" ref="V1192">_xlfn.IFS(AND(N1192&lt;= 22, S1192=9), N1192-7,AND(N1192&lt;= 28, S1192=9), N1192-25,AND(N1192&lt;= 30, S1192=9), N1192-28,AND(N1192&lt;= 11, S1192=10), N1192+2,AND(N1192&lt;= 21, S1192=10), N1192-11)</f>
        <v>9</v>
      </c>
    </row>
    <row r="1193" spans="1:22" x14ac:dyDescent="0.35">
      <c r="A1193" s="4">
        <v>45551</v>
      </c>
      <c r="B1193" s="5">
        <v>0.83225694444444442</v>
      </c>
      <c r="C1193">
        <v>79.5</v>
      </c>
      <c r="D1193">
        <v>76.8</v>
      </c>
      <c r="E1193">
        <v>79</v>
      </c>
      <c r="F1193">
        <v>80.099999999999994</v>
      </c>
      <c r="G1193">
        <v>0</v>
      </c>
      <c r="H1193">
        <v>0</v>
      </c>
      <c r="I1193">
        <v>0</v>
      </c>
      <c r="J1193">
        <v>0</v>
      </c>
      <c r="K1193">
        <v>65.3</v>
      </c>
      <c r="L1193">
        <v>63.7</v>
      </c>
      <c r="M1193">
        <v>78.91</v>
      </c>
      <c r="N1193">
        <v>16</v>
      </c>
      <c r="O1193">
        <v>6</v>
      </c>
      <c r="P1193">
        <f>MOD(DAY(datos_siembra[[#This Row],[Date]]),7)</f>
        <v>2</v>
      </c>
      <c r="Q1193" t="str">
        <f>CHOOSE(WEEKDAY(datos_siembra[[#This Row],[Date]],2),"L","M","X","J","V","S","D")</f>
        <v>L</v>
      </c>
      <c r="R1193">
        <f>WEEKNUM(datos_siembra[[#This Row],[Date]],2)-WEEKNUM(DATE(YEAR(datos_siembra[[#This Row],[Date]]),MONTH(datos_siembra[[#This Row],[Date]]),1))+1</f>
        <v>3</v>
      </c>
      <c r="S1193">
        <f>MONTH(datos_siembra[[#This Row],[Date]])</f>
        <v>9</v>
      </c>
      <c r="T1193" t="str" cm="1">
        <f t="array" ref="T1193">_xlfn.IFS(AND(N1193&lt;= 22, S1193=9), "SOWING",AND(N1193&lt;= 28, S1193=9), "COVERAGE",AND(N1193&lt;= 30, S1193=9), "FLUSH",AND(N1193&lt;= 11, S1193=10), "FLUSH",AND(N1193&lt;= 21, S1193=10), "PRODUCTION")</f>
        <v>SOWING</v>
      </c>
      <c r="U1193">
        <f>HOUR(datos_siembra[[#This Row],[Hour]])</f>
        <v>19</v>
      </c>
      <c r="V1193" cm="1">
        <f t="array" ref="V1193">_xlfn.IFS(AND(N1193&lt;= 22, S1193=9), N1193-7,AND(N1193&lt;= 28, S1193=9), N1193-25,AND(N1193&lt;= 30, S1193=9), N1193-28,AND(N1193&lt;= 11, S1193=10), N1193+2,AND(N1193&lt;= 21, S1193=10), N1193-11)</f>
        <v>9</v>
      </c>
    </row>
    <row r="1194" spans="1:22" x14ac:dyDescent="0.35">
      <c r="A1194" s="4">
        <v>45551</v>
      </c>
      <c r="B1194" s="5">
        <v>0.83921296296296299</v>
      </c>
      <c r="C1194">
        <v>79.5</v>
      </c>
      <c r="D1194">
        <v>76.8</v>
      </c>
      <c r="E1194">
        <v>78.900000000000006</v>
      </c>
      <c r="F1194">
        <v>80.400000000000006</v>
      </c>
      <c r="G1194">
        <v>0</v>
      </c>
      <c r="H1194">
        <v>0</v>
      </c>
      <c r="I1194">
        <v>0</v>
      </c>
      <c r="J1194">
        <v>0</v>
      </c>
      <c r="K1194">
        <v>65.2</v>
      </c>
      <c r="L1194">
        <v>63.6</v>
      </c>
      <c r="M1194">
        <v>78.86</v>
      </c>
      <c r="N1194">
        <v>16</v>
      </c>
      <c r="O1194">
        <v>6</v>
      </c>
      <c r="P1194">
        <f>MOD(DAY(datos_siembra[[#This Row],[Date]]),7)</f>
        <v>2</v>
      </c>
      <c r="Q1194" t="str">
        <f>CHOOSE(WEEKDAY(datos_siembra[[#This Row],[Date]],2),"L","M","X","J","V","S","D")</f>
        <v>L</v>
      </c>
      <c r="R1194">
        <f>WEEKNUM(datos_siembra[[#This Row],[Date]],2)-WEEKNUM(DATE(YEAR(datos_siembra[[#This Row],[Date]]),MONTH(datos_siembra[[#This Row],[Date]]),1))+1</f>
        <v>3</v>
      </c>
      <c r="S1194">
        <f>MONTH(datos_siembra[[#This Row],[Date]])</f>
        <v>9</v>
      </c>
      <c r="T1194" t="str" cm="1">
        <f t="array" ref="T1194">_xlfn.IFS(AND(N1194&lt;= 22, S1194=9), "SOWING",AND(N1194&lt;= 28, S1194=9), "COVERAGE",AND(N1194&lt;= 30, S1194=9), "FLUSH",AND(N1194&lt;= 11, S1194=10), "FLUSH",AND(N1194&lt;= 21, S1194=10), "PRODUCTION")</f>
        <v>SOWING</v>
      </c>
      <c r="U1194">
        <f>HOUR(datos_siembra[[#This Row],[Hour]])</f>
        <v>20</v>
      </c>
      <c r="V1194" cm="1">
        <f t="array" ref="V1194">_xlfn.IFS(AND(N1194&lt;= 22, S1194=9), N1194-7,AND(N1194&lt;= 28, S1194=9), N1194-25,AND(N1194&lt;= 30, S1194=9), N1194-28,AND(N1194&lt;= 11, S1194=10), N1194+2,AND(N1194&lt;= 21, S1194=10), N1194-11)</f>
        <v>9</v>
      </c>
    </row>
    <row r="1195" spans="1:22" x14ac:dyDescent="0.35">
      <c r="A1195" s="4">
        <v>45551</v>
      </c>
      <c r="B1195" s="5">
        <v>0.84615740740740741</v>
      </c>
      <c r="C1195">
        <v>79.400000000000006</v>
      </c>
      <c r="D1195">
        <v>76.7</v>
      </c>
      <c r="E1195">
        <v>78.900000000000006</v>
      </c>
      <c r="F1195">
        <v>80.099999999999994</v>
      </c>
      <c r="G1195">
        <v>0</v>
      </c>
      <c r="H1195">
        <v>0</v>
      </c>
      <c r="I1195">
        <v>0</v>
      </c>
      <c r="J1195">
        <v>0</v>
      </c>
      <c r="K1195">
        <v>65.099999999999994</v>
      </c>
      <c r="L1195">
        <v>63.5</v>
      </c>
      <c r="M1195">
        <v>78.88</v>
      </c>
      <c r="N1195">
        <v>16</v>
      </c>
      <c r="O1195">
        <v>6</v>
      </c>
      <c r="P1195">
        <f>MOD(DAY(datos_siembra[[#This Row],[Date]]),7)</f>
        <v>2</v>
      </c>
      <c r="Q1195" t="str">
        <f>CHOOSE(WEEKDAY(datos_siembra[[#This Row],[Date]],2),"L","M","X","J","V","S","D")</f>
        <v>L</v>
      </c>
      <c r="R1195">
        <f>WEEKNUM(datos_siembra[[#This Row],[Date]],2)-WEEKNUM(DATE(YEAR(datos_siembra[[#This Row],[Date]]),MONTH(datos_siembra[[#This Row],[Date]]),1))+1</f>
        <v>3</v>
      </c>
      <c r="S1195">
        <f>MONTH(datos_siembra[[#This Row],[Date]])</f>
        <v>9</v>
      </c>
      <c r="T1195" t="str" cm="1">
        <f t="array" ref="T1195">_xlfn.IFS(AND(N1195&lt;= 22, S1195=9), "SOWING",AND(N1195&lt;= 28, S1195=9), "COVERAGE",AND(N1195&lt;= 30, S1195=9), "FLUSH",AND(N1195&lt;= 11, S1195=10), "FLUSH",AND(N1195&lt;= 21, S1195=10), "PRODUCTION")</f>
        <v>SOWING</v>
      </c>
      <c r="U1195">
        <f>HOUR(datos_siembra[[#This Row],[Hour]])</f>
        <v>20</v>
      </c>
      <c r="V1195" cm="1">
        <f t="array" ref="V1195">_xlfn.IFS(AND(N1195&lt;= 22, S1195=9), N1195-7,AND(N1195&lt;= 28, S1195=9), N1195-25,AND(N1195&lt;= 30, S1195=9), N1195-28,AND(N1195&lt;= 11, S1195=10), N1195+2,AND(N1195&lt;= 21, S1195=10), N1195-11)</f>
        <v>9</v>
      </c>
    </row>
    <row r="1196" spans="1:22" x14ac:dyDescent="0.35">
      <c r="A1196" s="4">
        <v>45551</v>
      </c>
      <c r="B1196" s="5">
        <v>0.85310185185185183</v>
      </c>
      <c r="C1196">
        <v>79.599999999999994</v>
      </c>
      <c r="D1196">
        <v>76.599999999999994</v>
      </c>
      <c r="E1196">
        <v>79</v>
      </c>
      <c r="F1196">
        <v>80</v>
      </c>
      <c r="G1196">
        <v>0</v>
      </c>
      <c r="H1196">
        <v>0</v>
      </c>
      <c r="I1196">
        <v>0</v>
      </c>
      <c r="J1196">
        <v>0</v>
      </c>
      <c r="K1196">
        <v>65.2</v>
      </c>
      <c r="L1196">
        <v>63.6</v>
      </c>
      <c r="M1196">
        <v>78.77</v>
      </c>
      <c r="N1196">
        <v>16</v>
      </c>
      <c r="O1196">
        <v>6</v>
      </c>
      <c r="P1196">
        <f>MOD(DAY(datos_siembra[[#This Row],[Date]]),7)</f>
        <v>2</v>
      </c>
      <c r="Q1196" t="str">
        <f>CHOOSE(WEEKDAY(datos_siembra[[#This Row],[Date]],2),"L","M","X","J","V","S","D")</f>
        <v>L</v>
      </c>
      <c r="R1196">
        <f>WEEKNUM(datos_siembra[[#This Row],[Date]],2)-WEEKNUM(DATE(YEAR(datos_siembra[[#This Row],[Date]]),MONTH(datos_siembra[[#This Row],[Date]]),1))+1</f>
        <v>3</v>
      </c>
      <c r="S1196">
        <f>MONTH(datos_siembra[[#This Row],[Date]])</f>
        <v>9</v>
      </c>
      <c r="T1196" t="str" cm="1">
        <f t="array" ref="T1196">_xlfn.IFS(AND(N1196&lt;= 22, S1196=9), "SOWING",AND(N1196&lt;= 28, S1196=9), "COVERAGE",AND(N1196&lt;= 30, S1196=9), "FLUSH",AND(N1196&lt;= 11, S1196=10), "FLUSH",AND(N1196&lt;= 21, S1196=10), "PRODUCTION")</f>
        <v>SOWING</v>
      </c>
      <c r="U1196">
        <f>HOUR(datos_siembra[[#This Row],[Hour]])</f>
        <v>20</v>
      </c>
      <c r="V1196" cm="1">
        <f t="array" ref="V1196">_xlfn.IFS(AND(N1196&lt;= 22, S1196=9), N1196-7,AND(N1196&lt;= 28, S1196=9), N1196-25,AND(N1196&lt;= 30, S1196=9), N1196-28,AND(N1196&lt;= 11, S1196=10), N1196+2,AND(N1196&lt;= 21, S1196=10), N1196-11)</f>
        <v>9</v>
      </c>
    </row>
    <row r="1197" spans="1:22" x14ac:dyDescent="0.35">
      <c r="A1197" s="4">
        <v>45551</v>
      </c>
      <c r="B1197" s="5">
        <v>0.86004629629629625</v>
      </c>
      <c r="C1197">
        <v>79.5</v>
      </c>
      <c r="D1197">
        <v>76.8</v>
      </c>
      <c r="E1197">
        <v>79</v>
      </c>
      <c r="F1197">
        <v>80.099999999999994</v>
      </c>
      <c r="G1197">
        <v>0</v>
      </c>
      <c r="H1197">
        <v>0</v>
      </c>
      <c r="I1197">
        <v>0</v>
      </c>
      <c r="J1197">
        <v>0</v>
      </c>
      <c r="K1197">
        <v>65.099999999999994</v>
      </c>
      <c r="L1197">
        <v>63.5</v>
      </c>
      <c r="M1197">
        <v>78.8</v>
      </c>
      <c r="N1197">
        <v>16</v>
      </c>
      <c r="O1197">
        <v>6</v>
      </c>
      <c r="P1197">
        <f>MOD(DAY(datos_siembra[[#This Row],[Date]]),7)</f>
        <v>2</v>
      </c>
      <c r="Q1197" t="str">
        <f>CHOOSE(WEEKDAY(datos_siembra[[#This Row],[Date]],2),"L","M","X","J","V","S","D")</f>
        <v>L</v>
      </c>
      <c r="R1197">
        <f>WEEKNUM(datos_siembra[[#This Row],[Date]],2)-WEEKNUM(DATE(YEAR(datos_siembra[[#This Row],[Date]]),MONTH(datos_siembra[[#This Row],[Date]]),1))+1</f>
        <v>3</v>
      </c>
      <c r="S1197">
        <f>MONTH(datos_siembra[[#This Row],[Date]])</f>
        <v>9</v>
      </c>
      <c r="T1197" t="str" cm="1">
        <f t="array" ref="T1197">_xlfn.IFS(AND(N1197&lt;= 22, S1197=9), "SOWING",AND(N1197&lt;= 28, S1197=9), "COVERAGE",AND(N1197&lt;= 30, S1197=9), "FLUSH",AND(N1197&lt;= 11, S1197=10), "FLUSH",AND(N1197&lt;= 21, S1197=10), "PRODUCTION")</f>
        <v>SOWING</v>
      </c>
      <c r="U1197">
        <f>HOUR(datos_siembra[[#This Row],[Hour]])</f>
        <v>20</v>
      </c>
      <c r="V1197" cm="1">
        <f t="array" ref="V1197">_xlfn.IFS(AND(N1197&lt;= 22, S1197=9), N1197-7,AND(N1197&lt;= 28, S1197=9), N1197-25,AND(N1197&lt;= 30, S1197=9), N1197-28,AND(N1197&lt;= 11, S1197=10), N1197+2,AND(N1197&lt;= 21, S1197=10), N1197-11)</f>
        <v>9</v>
      </c>
    </row>
    <row r="1198" spans="1:22" x14ac:dyDescent="0.35">
      <c r="A1198" s="4">
        <v>45551</v>
      </c>
      <c r="B1198" s="5">
        <v>0.86700231481481482</v>
      </c>
      <c r="C1198">
        <v>79.599999999999994</v>
      </c>
      <c r="D1198">
        <v>76.8</v>
      </c>
      <c r="E1198">
        <v>79</v>
      </c>
      <c r="F1198">
        <v>80.400000000000006</v>
      </c>
      <c r="G1198">
        <v>0</v>
      </c>
      <c r="H1198">
        <v>0</v>
      </c>
      <c r="I1198">
        <v>0</v>
      </c>
      <c r="J1198">
        <v>0</v>
      </c>
      <c r="K1198">
        <v>65</v>
      </c>
      <c r="L1198">
        <v>63.3</v>
      </c>
      <c r="M1198">
        <v>78.91</v>
      </c>
      <c r="N1198">
        <v>16</v>
      </c>
      <c r="O1198">
        <v>6</v>
      </c>
      <c r="P1198">
        <f>MOD(DAY(datos_siembra[[#This Row],[Date]]),7)</f>
        <v>2</v>
      </c>
      <c r="Q1198" t="str">
        <f>CHOOSE(WEEKDAY(datos_siembra[[#This Row],[Date]],2),"L","M","X","J","V","S","D")</f>
        <v>L</v>
      </c>
      <c r="R1198">
        <f>WEEKNUM(datos_siembra[[#This Row],[Date]],2)-WEEKNUM(DATE(YEAR(datos_siembra[[#This Row],[Date]]),MONTH(datos_siembra[[#This Row],[Date]]),1))+1</f>
        <v>3</v>
      </c>
      <c r="S1198">
        <f>MONTH(datos_siembra[[#This Row],[Date]])</f>
        <v>9</v>
      </c>
      <c r="T1198" t="str" cm="1">
        <f t="array" ref="T1198">_xlfn.IFS(AND(N1198&lt;= 22, S1198=9), "SOWING",AND(N1198&lt;= 28, S1198=9), "COVERAGE",AND(N1198&lt;= 30, S1198=9), "FLUSH",AND(N1198&lt;= 11, S1198=10), "FLUSH",AND(N1198&lt;= 21, S1198=10), "PRODUCTION")</f>
        <v>SOWING</v>
      </c>
      <c r="U1198">
        <f>HOUR(datos_siembra[[#This Row],[Hour]])</f>
        <v>20</v>
      </c>
      <c r="V1198" cm="1">
        <f t="array" ref="V1198">_xlfn.IFS(AND(N1198&lt;= 22, S1198=9), N1198-7,AND(N1198&lt;= 28, S1198=9), N1198-25,AND(N1198&lt;= 30, S1198=9), N1198-28,AND(N1198&lt;= 11, S1198=10), N1198+2,AND(N1198&lt;= 21, S1198=10), N1198-11)</f>
        <v>9</v>
      </c>
    </row>
    <row r="1199" spans="1:22" x14ac:dyDescent="0.35">
      <c r="A1199" s="4">
        <v>45551</v>
      </c>
      <c r="B1199" s="5">
        <v>0.87394675925925924</v>
      </c>
      <c r="C1199">
        <v>79.7</v>
      </c>
      <c r="D1199">
        <v>76.900000000000006</v>
      </c>
      <c r="E1199">
        <v>79</v>
      </c>
      <c r="F1199">
        <v>80.099999999999994</v>
      </c>
      <c r="G1199">
        <v>0</v>
      </c>
      <c r="H1199">
        <v>0</v>
      </c>
      <c r="I1199">
        <v>0</v>
      </c>
      <c r="J1199">
        <v>0</v>
      </c>
      <c r="K1199">
        <v>65.099999999999994</v>
      </c>
      <c r="L1199">
        <v>63.4</v>
      </c>
      <c r="M1199">
        <v>78.88</v>
      </c>
      <c r="N1199">
        <v>16</v>
      </c>
      <c r="O1199">
        <v>6</v>
      </c>
      <c r="P1199">
        <f>MOD(DAY(datos_siembra[[#This Row],[Date]]),7)</f>
        <v>2</v>
      </c>
      <c r="Q1199" t="str">
        <f>CHOOSE(WEEKDAY(datos_siembra[[#This Row],[Date]],2),"L","M","X","J","V","S","D")</f>
        <v>L</v>
      </c>
      <c r="R1199">
        <f>WEEKNUM(datos_siembra[[#This Row],[Date]],2)-WEEKNUM(DATE(YEAR(datos_siembra[[#This Row],[Date]]),MONTH(datos_siembra[[#This Row],[Date]]),1))+1</f>
        <v>3</v>
      </c>
      <c r="S1199">
        <f>MONTH(datos_siembra[[#This Row],[Date]])</f>
        <v>9</v>
      </c>
      <c r="T1199" t="str" cm="1">
        <f t="array" ref="T1199">_xlfn.IFS(AND(N1199&lt;= 22, S1199=9), "SOWING",AND(N1199&lt;= 28, S1199=9), "COVERAGE",AND(N1199&lt;= 30, S1199=9), "FLUSH",AND(N1199&lt;= 11, S1199=10), "FLUSH",AND(N1199&lt;= 21, S1199=10), "PRODUCTION")</f>
        <v>SOWING</v>
      </c>
      <c r="U1199">
        <f>HOUR(datos_siembra[[#This Row],[Hour]])</f>
        <v>20</v>
      </c>
      <c r="V1199" cm="1">
        <f t="array" ref="V1199">_xlfn.IFS(AND(N1199&lt;= 22, S1199=9), N1199-7,AND(N1199&lt;= 28, S1199=9), N1199-25,AND(N1199&lt;= 30, S1199=9), N1199-28,AND(N1199&lt;= 11, S1199=10), N1199+2,AND(N1199&lt;= 21, S1199=10), N1199-11)</f>
        <v>9</v>
      </c>
    </row>
    <row r="1200" spans="1:22" x14ac:dyDescent="0.35">
      <c r="A1200" s="4">
        <v>45551</v>
      </c>
      <c r="B1200" s="5">
        <v>0.88089120370370366</v>
      </c>
      <c r="C1200">
        <v>79.599999999999994</v>
      </c>
      <c r="D1200">
        <v>76.599999999999994</v>
      </c>
      <c r="E1200">
        <v>79.099999999999994</v>
      </c>
      <c r="F1200">
        <v>80</v>
      </c>
      <c r="G1200">
        <v>0</v>
      </c>
      <c r="H1200">
        <v>0</v>
      </c>
      <c r="I1200">
        <v>0</v>
      </c>
      <c r="J1200">
        <v>0</v>
      </c>
      <c r="K1200">
        <v>65</v>
      </c>
      <c r="L1200">
        <v>63.3</v>
      </c>
      <c r="M1200">
        <v>78.83</v>
      </c>
      <c r="N1200">
        <v>16</v>
      </c>
      <c r="O1200">
        <v>6</v>
      </c>
      <c r="P1200">
        <f>MOD(DAY(datos_siembra[[#This Row],[Date]]),7)</f>
        <v>2</v>
      </c>
      <c r="Q1200" t="str">
        <f>CHOOSE(WEEKDAY(datos_siembra[[#This Row],[Date]],2),"L","M","X","J","V","S","D")</f>
        <v>L</v>
      </c>
      <c r="R1200">
        <f>WEEKNUM(datos_siembra[[#This Row],[Date]],2)-WEEKNUM(DATE(YEAR(datos_siembra[[#This Row],[Date]]),MONTH(datos_siembra[[#This Row],[Date]]),1))+1</f>
        <v>3</v>
      </c>
      <c r="S1200">
        <f>MONTH(datos_siembra[[#This Row],[Date]])</f>
        <v>9</v>
      </c>
      <c r="T1200" t="str" cm="1">
        <f t="array" ref="T1200">_xlfn.IFS(AND(N1200&lt;= 22, S1200=9), "SOWING",AND(N1200&lt;= 28, S1200=9), "COVERAGE",AND(N1200&lt;= 30, S1200=9), "FLUSH",AND(N1200&lt;= 11, S1200=10), "FLUSH",AND(N1200&lt;= 21, S1200=10), "PRODUCTION")</f>
        <v>SOWING</v>
      </c>
      <c r="U1200">
        <f>HOUR(datos_siembra[[#This Row],[Hour]])</f>
        <v>21</v>
      </c>
      <c r="V1200" cm="1">
        <f t="array" ref="V1200">_xlfn.IFS(AND(N1200&lt;= 22, S1200=9), N1200-7,AND(N1200&lt;= 28, S1200=9), N1200-25,AND(N1200&lt;= 30, S1200=9), N1200-28,AND(N1200&lt;= 11, S1200=10), N1200+2,AND(N1200&lt;= 21, S1200=10), N1200-11)</f>
        <v>9</v>
      </c>
    </row>
    <row r="1201" spans="1:22" x14ac:dyDescent="0.35">
      <c r="A1201" s="4">
        <v>45551</v>
      </c>
      <c r="B1201" s="5">
        <v>0.88784722222222223</v>
      </c>
      <c r="C1201">
        <v>79.400000000000006</v>
      </c>
      <c r="D1201">
        <v>76.599999999999994</v>
      </c>
      <c r="E1201">
        <v>79</v>
      </c>
      <c r="F1201">
        <v>80.099999999999994</v>
      </c>
      <c r="G1201">
        <v>0</v>
      </c>
      <c r="H1201">
        <v>0</v>
      </c>
      <c r="I1201">
        <v>0</v>
      </c>
      <c r="J1201">
        <v>0</v>
      </c>
      <c r="K1201">
        <v>65</v>
      </c>
      <c r="L1201">
        <v>63</v>
      </c>
      <c r="M1201">
        <v>78.83</v>
      </c>
      <c r="N1201">
        <v>16</v>
      </c>
      <c r="O1201">
        <v>6</v>
      </c>
      <c r="P1201">
        <f>MOD(DAY(datos_siembra[[#This Row],[Date]]),7)</f>
        <v>2</v>
      </c>
      <c r="Q1201" t="str">
        <f>CHOOSE(WEEKDAY(datos_siembra[[#This Row],[Date]],2),"L","M","X","J","V","S","D")</f>
        <v>L</v>
      </c>
      <c r="R1201">
        <f>WEEKNUM(datos_siembra[[#This Row],[Date]],2)-WEEKNUM(DATE(YEAR(datos_siembra[[#This Row],[Date]]),MONTH(datos_siembra[[#This Row],[Date]]),1))+1</f>
        <v>3</v>
      </c>
      <c r="S1201">
        <f>MONTH(datos_siembra[[#This Row],[Date]])</f>
        <v>9</v>
      </c>
      <c r="T1201" t="str" cm="1">
        <f t="array" ref="T1201">_xlfn.IFS(AND(N1201&lt;= 22, S1201=9), "SOWING",AND(N1201&lt;= 28, S1201=9), "COVERAGE",AND(N1201&lt;= 30, S1201=9), "FLUSH",AND(N1201&lt;= 11, S1201=10), "FLUSH",AND(N1201&lt;= 21, S1201=10), "PRODUCTION")</f>
        <v>SOWING</v>
      </c>
      <c r="U1201">
        <f>HOUR(datos_siembra[[#This Row],[Hour]])</f>
        <v>21</v>
      </c>
      <c r="V1201" cm="1">
        <f t="array" ref="V1201">_xlfn.IFS(AND(N1201&lt;= 22, S1201=9), N1201-7,AND(N1201&lt;= 28, S1201=9), N1201-25,AND(N1201&lt;= 30, S1201=9), N1201-28,AND(N1201&lt;= 11, S1201=10), N1201+2,AND(N1201&lt;= 21, S1201=10), N1201-11)</f>
        <v>9</v>
      </c>
    </row>
    <row r="1202" spans="1:22" x14ac:dyDescent="0.35">
      <c r="A1202" s="4">
        <v>45551</v>
      </c>
      <c r="B1202" s="5">
        <v>0.89479166666666665</v>
      </c>
      <c r="C1202">
        <v>79.7</v>
      </c>
      <c r="D1202">
        <v>76.599999999999994</v>
      </c>
      <c r="E1202">
        <v>79</v>
      </c>
      <c r="F1202">
        <v>80</v>
      </c>
      <c r="G1202">
        <v>0</v>
      </c>
      <c r="H1202">
        <v>0</v>
      </c>
      <c r="I1202">
        <v>0</v>
      </c>
      <c r="J1202">
        <v>0</v>
      </c>
      <c r="K1202">
        <v>64.7</v>
      </c>
      <c r="L1202">
        <v>62.9</v>
      </c>
      <c r="M1202">
        <v>78.83</v>
      </c>
      <c r="N1202">
        <v>16</v>
      </c>
      <c r="O1202">
        <v>6</v>
      </c>
      <c r="P1202">
        <f>MOD(DAY(datos_siembra[[#This Row],[Date]]),7)</f>
        <v>2</v>
      </c>
      <c r="Q1202" t="str">
        <f>CHOOSE(WEEKDAY(datos_siembra[[#This Row],[Date]],2),"L","M","X","J","V","S","D")</f>
        <v>L</v>
      </c>
      <c r="R1202">
        <f>WEEKNUM(datos_siembra[[#This Row],[Date]],2)-WEEKNUM(DATE(YEAR(datos_siembra[[#This Row],[Date]]),MONTH(datos_siembra[[#This Row],[Date]]),1))+1</f>
        <v>3</v>
      </c>
      <c r="S1202">
        <f>MONTH(datos_siembra[[#This Row],[Date]])</f>
        <v>9</v>
      </c>
      <c r="T1202" t="str" cm="1">
        <f t="array" ref="T1202">_xlfn.IFS(AND(N1202&lt;= 22, S1202=9), "SOWING",AND(N1202&lt;= 28, S1202=9), "COVERAGE",AND(N1202&lt;= 30, S1202=9), "FLUSH",AND(N1202&lt;= 11, S1202=10), "FLUSH",AND(N1202&lt;= 21, S1202=10), "PRODUCTION")</f>
        <v>SOWING</v>
      </c>
      <c r="U1202">
        <f>HOUR(datos_siembra[[#This Row],[Hour]])</f>
        <v>21</v>
      </c>
      <c r="V1202" cm="1">
        <f t="array" ref="V1202">_xlfn.IFS(AND(N1202&lt;= 22, S1202=9), N1202-7,AND(N1202&lt;= 28, S1202=9), N1202-25,AND(N1202&lt;= 30, S1202=9), N1202-28,AND(N1202&lt;= 11, S1202=10), N1202+2,AND(N1202&lt;= 21, S1202=10), N1202-11)</f>
        <v>9</v>
      </c>
    </row>
    <row r="1203" spans="1:22" x14ac:dyDescent="0.35">
      <c r="A1203" s="4">
        <v>45551</v>
      </c>
      <c r="B1203" s="5">
        <v>0.90173611111111107</v>
      </c>
      <c r="C1203">
        <v>79.7</v>
      </c>
      <c r="D1203">
        <v>76.599999999999994</v>
      </c>
      <c r="E1203">
        <v>79</v>
      </c>
      <c r="F1203">
        <v>80</v>
      </c>
      <c r="G1203">
        <v>0</v>
      </c>
      <c r="H1203">
        <v>0</v>
      </c>
      <c r="I1203">
        <v>0</v>
      </c>
      <c r="J1203">
        <v>0</v>
      </c>
      <c r="K1203">
        <v>64.7</v>
      </c>
      <c r="L1203">
        <v>63</v>
      </c>
      <c r="M1203">
        <v>78.83</v>
      </c>
      <c r="N1203">
        <v>16</v>
      </c>
      <c r="O1203">
        <v>6</v>
      </c>
      <c r="P1203">
        <f>MOD(DAY(datos_siembra[[#This Row],[Date]]),7)</f>
        <v>2</v>
      </c>
      <c r="Q1203" t="str">
        <f>CHOOSE(WEEKDAY(datos_siembra[[#This Row],[Date]],2),"L","M","X","J","V","S","D")</f>
        <v>L</v>
      </c>
      <c r="R1203">
        <f>WEEKNUM(datos_siembra[[#This Row],[Date]],2)-WEEKNUM(DATE(YEAR(datos_siembra[[#This Row],[Date]]),MONTH(datos_siembra[[#This Row],[Date]]),1))+1</f>
        <v>3</v>
      </c>
      <c r="S1203">
        <f>MONTH(datos_siembra[[#This Row],[Date]])</f>
        <v>9</v>
      </c>
      <c r="T1203" t="str" cm="1">
        <f t="array" ref="T1203">_xlfn.IFS(AND(N1203&lt;= 22, S1203=9), "SOWING",AND(N1203&lt;= 28, S1203=9), "COVERAGE",AND(N1203&lt;= 30, S1203=9), "FLUSH",AND(N1203&lt;= 11, S1203=10), "FLUSH",AND(N1203&lt;= 21, S1203=10), "PRODUCTION")</f>
        <v>SOWING</v>
      </c>
      <c r="U1203">
        <f>HOUR(datos_siembra[[#This Row],[Hour]])</f>
        <v>21</v>
      </c>
      <c r="V1203" cm="1">
        <f t="array" ref="V1203">_xlfn.IFS(AND(N1203&lt;= 22, S1203=9), N1203-7,AND(N1203&lt;= 28, S1203=9), N1203-25,AND(N1203&lt;= 30, S1203=9), N1203-28,AND(N1203&lt;= 11, S1203=10), N1203+2,AND(N1203&lt;= 21, S1203=10), N1203-11)</f>
        <v>9</v>
      </c>
    </row>
    <row r="1204" spans="1:22" x14ac:dyDescent="0.35">
      <c r="A1204" s="4">
        <v>45551</v>
      </c>
      <c r="B1204" s="5">
        <v>0.9086805555555556</v>
      </c>
      <c r="C1204">
        <v>79.599999999999994</v>
      </c>
      <c r="D1204">
        <v>76.599999999999994</v>
      </c>
      <c r="E1204">
        <v>79.099999999999994</v>
      </c>
      <c r="F1204">
        <v>80</v>
      </c>
      <c r="G1204">
        <v>0</v>
      </c>
      <c r="H1204">
        <v>0</v>
      </c>
      <c r="I1204">
        <v>0</v>
      </c>
      <c r="J1204">
        <v>0</v>
      </c>
      <c r="K1204">
        <v>64.5</v>
      </c>
      <c r="L1204">
        <v>62.8</v>
      </c>
      <c r="M1204">
        <v>78.77</v>
      </c>
      <c r="N1204">
        <v>16</v>
      </c>
      <c r="O1204">
        <v>6</v>
      </c>
      <c r="P1204">
        <f>MOD(DAY(datos_siembra[[#This Row],[Date]]),7)</f>
        <v>2</v>
      </c>
      <c r="Q1204" t="str">
        <f>CHOOSE(WEEKDAY(datos_siembra[[#This Row],[Date]],2),"L","M","X","J","V","S","D")</f>
        <v>L</v>
      </c>
      <c r="R1204">
        <f>WEEKNUM(datos_siembra[[#This Row],[Date]],2)-WEEKNUM(DATE(YEAR(datos_siembra[[#This Row],[Date]]),MONTH(datos_siembra[[#This Row],[Date]]),1))+1</f>
        <v>3</v>
      </c>
      <c r="S1204">
        <f>MONTH(datos_siembra[[#This Row],[Date]])</f>
        <v>9</v>
      </c>
      <c r="T1204" t="str" cm="1">
        <f t="array" ref="T1204">_xlfn.IFS(AND(N1204&lt;= 22, S1204=9), "SOWING",AND(N1204&lt;= 28, S1204=9), "COVERAGE",AND(N1204&lt;= 30, S1204=9), "FLUSH",AND(N1204&lt;= 11, S1204=10), "FLUSH",AND(N1204&lt;= 21, S1204=10), "PRODUCTION")</f>
        <v>SOWING</v>
      </c>
      <c r="U1204">
        <f>HOUR(datos_siembra[[#This Row],[Hour]])</f>
        <v>21</v>
      </c>
      <c r="V1204" cm="1">
        <f t="array" ref="V1204">_xlfn.IFS(AND(N1204&lt;= 22, S1204=9), N1204-7,AND(N1204&lt;= 28, S1204=9), N1204-25,AND(N1204&lt;= 30, S1204=9), N1204-28,AND(N1204&lt;= 11, S1204=10), N1204+2,AND(N1204&lt;= 21, S1204=10), N1204-11)</f>
        <v>9</v>
      </c>
    </row>
    <row r="1205" spans="1:22" x14ac:dyDescent="0.35">
      <c r="A1205" s="4">
        <v>45551</v>
      </c>
      <c r="B1205" s="5">
        <v>0.91563657407407406</v>
      </c>
      <c r="C1205">
        <v>79.400000000000006</v>
      </c>
      <c r="D1205">
        <v>76.599999999999994</v>
      </c>
      <c r="E1205">
        <v>79</v>
      </c>
      <c r="F1205">
        <v>79.900000000000006</v>
      </c>
      <c r="G1205">
        <v>0</v>
      </c>
      <c r="H1205">
        <v>0</v>
      </c>
      <c r="I1205">
        <v>0</v>
      </c>
      <c r="J1205">
        <v>0</v>
      </c>
      <c r="K1205">
        <v>64.5</v>
      </c>
      <c r="L1205">
        <v>62.7</v>
      </c>
      <c r="M1205">
        <v>78.86</v>
      </c>
      <c r="N1205">
        <v>16</v>
      </c>
      <c r="O1205">
        <v>6</v>
      </c>
      <c r="P1205">
        <f>MOD(DAY(datos_siembra[[#This Row],[Date]]),7)</f>
        <v>2</v>
      </c>
      <c r="Q1205" t="str">
        <f>CHOOSE(WEEKDAY(datos_siembra[[#This Row],[Date]],2),"L","M","X","J","V","S","D")</f>
        <v>L</v>
      </c>
      <c r="R1205">
        <f>WEEKNUM(datos_siembra[[#This Row],[Date]],2)-WEEKNUM(DATE(YEAR(datos_siembra[[#This Row],[Date]]),MONTH(datos_siembra[[#This Row],[Date]]),1))+1</f>
        <v>3</v>
      </c>
      <c r="S1205">
        <f>MONTH(datos_siembra[[#This Row],[Date]])</f>
        <v>9</v>
      </c>
      <c r="T1205" t="str" cm="1">
        <f t="array" ref="T1205">_xlfn.IFS(AND(N1205&lt;= 22, S1205=9), "SOWING",AND(N1205&lt;= 28, S1205=9), "COVERAGE",AND(N1205&lt;= 30, S1205=9), "FLUSH",AND(N1205&lt;= 11, S1205=10), "FLUSH",AND(N1205&lt;= 21, S1205=10), "PRODUCTION")</f>
        <v>SOWING</v>
      </c>
      <c r="U1205">
        <f>HOUR(datos_siembra[[#This Row],[Hour]])</f>
        <v>21</v>
      </c>
      <c r="V1205" cm="1">
        <f t="array" ref="V1205">_xlfn.IFS(AND(N1205&lt;= 22, S1205=9), N1205-7,AND(N1205&lt;= 28, S1205=9), N1205-25,AND(N1205&lt;= 30, S1205=9), N1205-28,AND(N1205&lt;= 11, S1205=10), N1205+2,AND(N1205&lt;= 21, S1205=10), N1205-11)</f>
        <v>9</v>
      </c>
    </row>
    <row r="1206" spans="1:22" x14ac:dyDescent="0.35">
      <c r="A1206" s="4">
        <v>45551</v>
      </c>
      <c r="B1206" s="5">
        <v>0.92258101851851848</v>
      </c>
      <c r="C1206">
        <v>79.5</v>
      </c>
      <c r="D1206">
        <v>76.599999999999994</v>
      </c>
      <c r="E1206">
        <v>79.099999999999994</v>
      </c>
      <c r="F1206">
        <v>80.099999999999994</v>
      </c>
      <c r="G1206">
        <v>0</v>
      </c>
      <c r="H1206">
        <v>0</v>
      </c>
      <c r="I1206">
        <v>0</v>
      </c>
      <c r="J1206">
        <v>0</v>
      </c>
      <c r="K1206">
        <v>64.5</v>
      </c>
      <c r="L1206">
        <v>62.6</v>
      </c>
      <c r="M1206">
        <v>78.83</v>
      </c>
      <c r="N1206">
        <v>16</v>
      </c>
      <c r="O1206">
        <v>6</v>
      </c>
      <c r="P1206">
        <f>MOD(DAY(datos_siembra[[#This Row],[Date]]),7)</f>
        <v>2</v>
      </c>
      <c r="Q1206" t="str">
        <f>CHOOSE(WEEKDAY(datos_siembra[[#This Row],[Date]],2),"L","M","X","J","V","S","D")</f>
        <v>L</v>
      </c>
      <c r="R1206">
        <f>WEEKNUM(datos_siembra[[#This Row],[Date]],2)-WEEKNUM(DATE(YEAR(datos_siembra[[#This Row],[Date]]),MONTH(datos_siembra[[#This Row],[Date]]),1))+1</f>
        <v>3</v>
      </c>
      <c r="S1206">
        <f>MONTH(datos_siembra[[#This Row],[Date]])</f>
        <v>9</v>
      </c>
      <c r="T1206" t="str" cm="1">
        <f t="array" ref="T1206">_xlfn.IFS(AND(N1206&lt;= 22, S1206=9), "SOWING",AND(N1206&lt;= 28, S1206=9), "COVERAGE",AND(N1206&lt;= 30, S1206=9), "FLUSH",AND(N1206&lt;= 11, S1206=10), "FLUSH",AND(N1206&lt;= 21, S1206=10), "PRODUCTION")</f>
        <v>SOWING</v>
      </c>
      <c r="U1206">
        <f>HOUR(datos_siembra[[#This Row],[Hour]])</f>
        <v>22</v>
      </c>
      <c r="V1206" cm="1">
        <f t="array" ref="V1206">_xlfn.IFS(AND(N1206&lt;= 22, S1206=9), N1206-7,AND(N1206&lt;= 28, S1206=9), N1206-25,AND(N1206&lt;= 30, S1206=9), N1206-28,AND(N1206&lt;= 11, S1206=10), N1206+2,AND(N1206&lt;= 21, S1206=10), N1206-11)</f>
        <v>9</v>
      </c>
    </row>
    <row r="1207" spans="1:22" x14ac:dyDescent="0.35">
      <c r="A1207" s="4">
        <v>45551</v>
      </c>
      <c r="B1207" s="5">
        <v>0.92952546296296301</v>
      </c>
      <c r="C1207">
        <v>79.7</v>
      </c>
      <c r="D1207">
        <v>76.599999999999994</v>
      </c>
      <c r="E1207">
        <v>79.3</v>
      </c>
      <c r="F1207">
        <v>80</v>
      </c>
      <c r="G1207">
        <v>0</v>
      </c>
      <c r="H1207">
        <v>0</v>
      </c>
      <c r="I1207">
        <v>0</v>
      </c>
      <c r="J1207">
        <v>0</v>
      </c>
      <c r="K1207">
        <v>64.400000000000006</v>
      </c>
      <c r="L1207">
        <v>62.6</v>
      </c>
      <c r="M1207">
        <v>78.8</v>
      </c>
      <c r="N1207">
        <v>16</v>
      </c>
      <c r="O1207">
        <v>6</v>
      </c>
      <c r="P1207">
        <f>MOD(DAY(datos_siembra[[#This Row],[Date]]),7)</f>
        <v>2</v>
      </c>
      <c r="Q1207" t="str">
        <f>CHOOSE(WEEKDAY(datos_siembra[[#This Row],[Date]],2),"L","M","X","J","V","S","D")</f>
        <v>L</v>
      </c>
      <c r="R1207">
        <f>WEEKNUM(datos_siembra[[#This Row],[Date]],2)-WEEKNUM(DATE(YEAR(datos_siembra[[#This Row],[Date]]),MONTH(datos_siembra[[#This Row],[Date]]),1))+1</f>
        <v>3</v>
      </c>
      <c r="S1207">
        <f>MONTH(datos_siembra[[#This Row],[Date]])</f>
        <v>9</v>
      </c>
      <c r="T1207" t="str" cm="1">
        <f t="array" ref="T1207">_xlfn.IFS(AND(N1207&lt;= 22, S1207=9), "SOWING",AND(N1207&lt;= 28, S1207=9), "COVERAGE",AND(N1207&lt;= 30, S1207=9), "FLUSH",AND(N1207&lt;= 11, S1207=10), "FLUSH",AND(N1207&lt;= 21, S1207=10), "PRODUCTION")</f>
        <v>SOWING</v>
      </c>
      <c r="U1207">
        <f>HOUR(datos_siembra[[#This Row],[Hour]])</f>
        <v>22</v>
      </c>
      <c r="V1207" cm="1">
        <f t="array" ref="V1207">_xlfn.IFS(AND(N1207&lt;= 22, S1207=9), N1207-7,AND(N1207&lt;= 28, S1207=9), N1207-25,AND(N1207&lt;= 30, S1207=9), N1207-28,AND(N1207&lt;= 11, S1207=10), N1207+2,AND(N1207&lt;= 21, S1207=10), N1207-11)</f>
        <v>9</v>
      </c>
    </row>
    <row r="1208" spans="1:22" x14ac:dyDescent="0.35">
      <c r="A1208" s="4">
        <v>45551</v>
      </c>
      <c r="B1208" s="5">
        <v>0.93646990740740743</v>
      </c>
      <c r="C1208">
        <v>79.5</v>
      </c>
      <c r="D1208">
        <v>76.400000000000006</v>
      </c>
      <c r="E1208">
        <v>79.3</v>
      </c>
      <c r="F1208">
        <v>79.900000000000006</v>
      </c>
      <c r="G1208">
        <v>0</v>
      </c>
      <c r="H1208">
        <v>0</v>
      </c>
      <c r="I1208">
        <v>0</v>
      </c>
      <c r="J1208">
        <v>0</v>
      </c>
      <c r="K1208">
        <v>64.3</v>
      </c>
      <c r="L1208">
        <v>62.5</v>
      </c>
      <c r="M1208">
        <v>78.77</v>
      </c>
      <c r="N1208">
        <v>16</v>
      </c>
      <c r="O1208">
        <v>6</v>
      </c>
      <c r="P1208">
        <f>MOD(DAY(datos_siembra[[#This Row],[Date]]),7)</f>
        <v>2</v>
      </c>
      <c r="Q1208" t="str">
        <f>CHOOSE(WEEKDAY(datos_siembra[[#This Row],[Date]],2),"L","M","X","J","V","S","D")</f>
        <v>L</v>
      </c>
      <c r="R1208">
        <f>WEEKNUM(datos_siembra[[#This Row],[Date]],2)-WEEKNUM(DATE(YEAR(datos_siembra[[#This Row],[Date]]),MONTH(datos_siembra[[#This Row],[Date]]),1))+1</f>
        <v>3</v>
      </c>
      <c r="S1208">
        <f>MONTH(datos_siembra[[#This Row],[Date]])</f>
        <v>9</v>
      </c>
      <c r="T1208" t="str" cm="1">
        <f t="array" ref="T1208">_xlfn.IFS(AND(N1208&lt;= 22, S1208=9), "SOWING",AND(N1208&lt;= 28, S1208=9), "COVERAGE",AND(N1208&lt;= 30, S1208=9), "FLUSH",AND(N1208&lt;= 11, S1208=10), "FLUSH",AND(N1208&lt;= 21, S1208=10), "PRODUCTION")</f>
        <v>SOWING</v>
      </c>
      <c r="U1208">
        <f>HOUR(datos_siembra[[#This Row],[Hour]])</f>
        <v>22</v>
      </c>
      <c r="V1208" cm="1">
        <f t="array" ref="V1208">_xlfn.IFS(AND(N1208&lt;= 22, S1208=9), N1208-7,AND(N1208&lt;= 28, S1208=9), N1208-25,AND(N1208&lt;= 30, S1208=9), N1208-28,AND(N1208&lt;= 11, S1208=10), N1208+2,AND(N1208&lt;= 21, S1208=10), N1208-11)</f>
        <v>9</v>
      </c>
    </row>
    <row r="1209" spans="1:22" x14ac:dyDescent="0.35">
      <c r="A1209" s="4">
        <v>45551</v>
      </c>
      <c r="B1209" s="5">
        <v>0.94342592592592589</v>
      </c>
      <c r="C1209">
        <v>79.5</v>
      </c>
      <c r="D1209">
        <v>76.599999999999994</v>
      </c>
      <c r="E1209">
        <v>79.099999999999994</v>
      </c>
      <c r="F1209">
        <v>79.900000000000006</v>
      </c>
      <c r="G1209">
        <v>0</v>
      </c>
      <c r="H1209">
        <v>0</v>
      </c>
      <c r="I1209">
        <v>0</v>
      </c>
      <c r="J1209">
        <v>0</v>
      </c>
      <c r="K1209">
        <v>64.3</v>
      </c>
      <c r="L1209">
        <v>62.5</v>
      </c>
      <c r="M1209">
        <v>78.739999999999995</v>
      </c>
      <c r="N1209">
        <v>16</v>
      </c>
      <c r="O1209">
        <v>6</v>
      </c>
      <c r="P1209">
        <f>MOD(DAY(datos_siembra[[#This Row],[Date]]),7)</f>
        <v>2</v>
      </c>
      <c r="Q1209" t="str">
        <f>CHOOSE(WEEKDAY(datos_siembra[[#This Row],[Date]],2),"L","M","X","J","V","S","D")</f>
        <v>L</v>
      </c>
      <c r="R1209">
        <f>WEEKNUM(datos_siembra[[#This Row],[Date]],2)-WEEKNUM(DATE(YEAR(datos_siembra[[#This Row],[Date]]),MONTH(datos_siembra[[#This Row],[Date]]),1))+1</f>
        <v>3</v>
      </c>
      <c r="S1209">
        <f>MONTH(datos_siembra[[#This Row],[Date]])</f>
        <v>9</v>
      </c>
      <c r="T1209" t="str" cm="1">
        <f t="array" ref="T1209">_xlfn.IFS(AND(N1209&lt;= 22, S1209=9), "SOWING",AND(N1209&lt;= 28, S1209=9), "COVERAGE",AND(N1209&lt;= 30, S1209=9), "FLUSH",AND(N1209&lt;= 11, S1209=10), "FLUSH",AND(N1209&lt;= 21, S1209=10), "PRODUCTION")</f>
        <v>SOWING</v>
      </c>
      <c r="U1209">
        <f>HOUR(datos_siembra[[#This Row],[Hour]])</f>
        <v>22</v>
      </c>
      <c r="V1209" cm="1">
        <f t="array" ref="V1209">_xlfn.IFS(AND(N1209&lt;= 22, S1209=9), N1209-7,AND(N1209&lt;= 28, S1209=9), N1209-25,AND(N1209&lt;= 30, S1209=9), N1209-28,AND(N1209&lt;= 11, S1209=10), N1209+2,AND(N1209&lt;= 21, S1209=10), N1209-11)</f>
        <v>9</v>
      </c>
    </row>
    <row r="1210" spans="1:22" x14ac:dyDescent="0.35">
      <c r="A1210" s="4">
        <v>45551</v>
      </c>
      <c r="B1210" s="5">
        <v>0.95037037037037042</v>
      </c>
      <c r="C1210">
        <v>79.5</v>
      </c>
      <c r="D1210">
        <v>76.400000000000006</v>
      </c>
      <c r="E1210">
        <v>79.099999999999994</v>
      </c>
      <c r="F1210">
        <v>79.8</v>
      </c>
      <c r="G1210">
        <v>0</v>
      </c>
      <c r="H1210">
        <v>0</v>
      </c>
      <c r="I1210">
        <v>0</v>
      </c>
      <c r="J1210">
        <v>0</v>
      </c>
      <c r="K1210">
        <v>64.2</v>
      </c>
      <c r="L1210">
        <v>62.4</v>
      </c>
      <c r="M1210">
        <v>78.8</v>
      </c>
      <c r="N1210">
        <v>16</v>
      </c>
      <c r="O1210">
        <v>6</v>
      </c>
      <c r="P1210">
        <f>MOD(DAY(datos_siembra[[#This Row],[Date]]),7)</f>
        <v>2</v>
      </c>
      <c r="Q1210" t="str">
        <f>CHOOSE(WEEKDAY(datos_siembra[[#This Row],[Date]],2),"L","M","X","J","V","S","D")</f>
        <v>L</v>
      </c>
      <c r="R1210">
        <f>WEEKNUM(datos_siembra[[#This Row],[Date]],2)-WEEKNUM(DATE(YEAR(datos_siembra[[#This Row],[Date]]),MONTH(datos_siembra[[#This Row],[Date]]),1))+1</f>
        <v>3</v>
      </c>
      <c r="S1210">
        <f>MONTH(datos_siembra[[#This Row],[Date]])</f>
        <v>9</v>
      </c>
      <c r="T1210" t="str" cm="1">
        <f t="array" ref="T1210">_xlfn.IFS(AND(N1210&lt;= 22, S1210=9), "SOWING",AND(N1210&lt;= 28, S1210=9), "COVERAGE",AND(N1210&lt;= 30, S1210=9), "FLUSH",AND(N1210&lt;= 11, S1210=10), "FLUSH",AND(N1210&lt;= 21, S1210=10), "PRODUCTION")</f>
        <v>SOWING</v>
      </c>
      <c r="U1210">
        <f>HOUR(datos_siembra[[#This Row],[Hour]])</f>
        <v>22</v>
      </c>
      <c r="V1210" cm="1">
        <f t="array" ref="V1210">_xlfn.IFS(AND(N1210&lt;= 22, S1210=9), N1210-7,AND(N1210&lt;= 28, S1210=9), N1210-25,AND(N1210&lt;= 30, S1210=9), N1210-28,AND(N1210&lt;= 11, S1210=10), N1210+2,AND(N1210&lt;= 21, S1210=10), N1210-11)</f>
        <v>9</v>
      </c>
    </row>
    <row r="1211" spans="1:22" x14ac:dyDescent="0.35">
      <c r="A1211" s="4">
        <v>45551</v>
      </c>
      <c r="B1211" s="5">
        <v>0.95731481481481484</v>
      </c>
      <c r="C1211">
        <v>79.599999999999994</v>
      </c>
      <c r="D1211">
        <v>76.7</v>
      </c>
      <c r="E1211">
        <v>79.099999999999994</v>
      </c>
      <c r="F1211">
        <v>80</v>
      </c>
      <c r="G1211">
        <v>0</v>
      </c>
      <c r="H1211">
        <v>0</v>
      </c>
      <c r="I1211">
        <v>0</v>
      </c>
      <c r="J1211">
        <v>0</v>
      </c>
      <c r="K1211">
        <v>64.2</v>
      </c>
      <c r="L1211">
        <v>62.4</v>
      </c>
      <c r="M1211">
        <v>78.8</v>
      </c>
      <c r="N1211">
        <v>16</v>
      </c>
      <c r="O1211">
        <v>6</v>
      </c>
      <c r="P1211">
        <f>MOD(DAY(datos_siembra[[#This Row],[Date]]),7)</f>
        <v>2</v>
      </c>
      <c r="Q1211" t="str">
        <f>CHOOSE(WEEKDAY(datos_siembra[[#This Row],[Date]],2),"L","M","X","J","V","S","D")</f>
        <v>L</v>
      </c>
      <c r="R1211">
        <f>WEEKNUM(datos_siembra[[#This Row],[Date]],2)-WEEKNUM(DATE(YEAR(datos_siembra[[#This Row],[Date]]),MONTH(datos_siembra[[#This Row],[Date]]),1))+1</f>
        <v>3</v>
      </c>
      <c r="S1211">
        <f>MONTH(datos_siembra[[#This Row],[Date]])</f>
        <v>9</v>
      </c>
      <c r="T1211" t="str" cm="1">
        <f t="array" ref="T1211">_xlfn.IFS(AND(N1211&lt;= 22, S1211=9), "SOWING",AND(N1211&lt;= 28, S1211=9), "COVERAGE",AND(N1211&lt;= 30, S1211=9), "FLUSH",AND(N1211&lt;= 11, S1211=10), "FLUSH",AND(N1211&lt;= 21, S1211=10), "PRODUCTION")</f>
        <v>SOWING</v>
      </c>
      <c r="U1211">
        <f>HOUR(datos_siembra[[#This Row],[Hour]])</f>
        <v>22</v>
      </c>
      <c r="V1211" cm="1">
        <f t="array" ref="V1211">_xlfn.IFS(AND(N1211&lt;= 22, S1211=9), N1211-7,AND(N1211&lt;= 28, S1211=9), N1211-25,AND(N1211&lt;= 30, S1211=9), N1211-28,AND(N1211&lt;= 11, S1211=10), N1211+2,AND(N1211&lt;= 21, S1211=10), N1211-11)</f>
        <v>9</v>
      </c>
    </row>
    <row r="1212" spans="1:22" x14ac:dyDescent="0.35">
      <c r="A1212" s="4">
        <v>45551</v>
      </c>
      <c r="B1212" s="5">
        <v>0.96425925925925926</v>
      </c>
      <c r="C1212">
        <v>79.599999999999994</v>
      </c>
      <c r="D1212">
        <v>76.400000000000006</v>
      </c>
      <c r="E1212">
        <v>79.099999999999994</v>
      </c>
      <c r="F1212">
        <v>79.7</v>
      </c>
      <c r="G1212">
        <v>0</v>
      </c>
      <c r="H1212">
        <v>0</v>
      </c>
      <c r="I1212">
        <v>0</v>
      </c>
      <c r="J1212">
        <v>0</v>
      </c>
      <c r="K1212">
        <v>63.9</v>
      </c>
      <c r="L1212">
        <v>62.3</v>
      </c>
      <c r="M1212">
        <v>78.77</v>
      </c>
      <c r="N1212">
        <v>16</v>
      </c>
      <c r="O1212">
        <v>6</v>
      </c>
      <c r="P1212">
        <f>MOD(DAY(datos_siembra[[#This Row],[Date]]),7)</f>
        <v>2</v>
      </c>
      <c r="Q1212" t="str">
        <f>CHOOSE(WEEKDAY(datos_siembra[[#This Row],[Date]],2),"L","M","X","J","V","S","D")</f>
        <v>L</v>
      </c>
      <c r="R1212">
        <f>WEEKNUM(datos_siembra[[#This Row],[Date]],2)-WEEKNUM(DATE(YEAR(datos_siembra[[#This Row],[Date]]),MONTH(datos_siembra[[#This Row],[Date]]),1))+1</f>
        <v>3</v>
      </c>
      <c r="S1212">
        <f>MONTH(datos_siembra[[#This Row],[Date]])</f>
        <v>9</v>
      </c>
      <c r="T1212" t="str" cm="1">
        <f t="array" ref="T1212">_xlfn.IFS(AND(N1212&lt;= 22, S1212=9), "SOWING",AND(N1212&lt;= 28, S1212=9), "COVERAGE",AND(N1212&lt;= 30, S1212=9), "FLUSH",AND(N1212&lt;= 11, S1212=10), "FLUSH",AND(N1212&lt;= 21, S1212=10), "PRODUCTION")</f>
        <v>SOWING</v>
      </c>
      <c r="U1212">
        <f>HOUR(datos_siembra[[#This Row],[Hour]])</f>
        <v>23</v>
      </c>
      <c r="V1212" cm="1">
        <f t="array" ref="V1212">_xlfn.IFS(AND(N1212&lt;= 22, S1212=9), N1212-7,AND(N1212&lt;= 28, S1212=9), N1212-25,AND(N1212&lt;= 30, S1212=9), N1212-28,AND(N1212&lt;= 11, S1212=10), N1212+2,AND(N1212&lt;= 21, S1212=10), N1212-11)</f>
        <v>9</v>
      </c>
    </row>
    <row r="1213" spans="1:22" x14ac:dyDescent="0.35">
      <c r="A1213" s="4">
        <v>45551</v>
      </c>
      <c r="B1213" s="5">
        <v>0.97121527777777783</v>
      </c>
      <c r="C1213">
        <v>79.5</v>
      </c>
      <c r="D1213">
        <v>76.3</v>
      </c>
      <c r="E1213">
        <v>79.099999999999994</v>
      </c>
      <c r="F1213">
        <v>79.900000000000006</v>
      </c>
      <c r="G1213">
        <v>0</v>
      </c>
      <c r="H1213">
        <v>0</v>
      </c>
      <c r="I1213">
        <v>0</v>
      </c>
      <c r="J1213">
        <v>0</v>
      </c>
      <c r="K1213">
        <v>63.9</v>
      </c>
      <c r="L1213">
        <v>62.2</v>
      </c>
      <c r="M1213">
        <v>78.72</v>
      </c>
      <c r="N1213">
        <v>16</v>
      </c>
      <c r="O1213">
        <v>6</v>
      </c>
      <c r="P1213">
        <f>MOD(DAY(datos_siembra[[#This Row],[Date]]),7)</f>
        <v>2</v>
      </c>
      <c r="Q1213" t="str">
        <f>CHOOSE(WEEKDAY(datos_siembra[[#This Row],[Date]],2),"L","M","X","J","V","S","D")</f>
        <v>L</v>
      </c>
      <c r="R1213">
        <f>WEEKNUM(datos_siembra[[#This Row],[Date]],2)-WEEKNUM(DATE(YEAR(datos_siembra[[#This Row],[Date]]),MONTH(datos_siembra[[#This Row],[Date]]),1))+1</f>
        <v>3</v>
      </c>
      <c r="S1213">
        <f>MONTH(datos_siembra[[#This Row],[Date]])</f>
        <v>9</v>
      </c>
      <c r="T1213" t="str" cm="1">
        <f t="array" ref="T1213">_xlfn.IFS(AND(N1213&lt;= 22, S1213=9), "SOWING",AND(N1213&lt;= 28, S1213=9), "COVERAGE",AND(N1213&lt;= 30, S1213=9), "FLUSH",AND(N1213&lt;= 11, S1213=10), "FLUSH",AND(N1213&lt;= 21, S1213=10), "PRODUCTION")</f>
        <v>SOWING</v>
      </c>
      <c r="U1213">
        <f>HOUR(datos_siembra[[#This Row],[Hour]])</f>
        <v>23</v>
      </c>
      <c r="V1213" cm="1">
        <f t="array" ref="V1213">_xlfn.IFS(AND(N1213&lt;= 22, S1213=9), N1213-7,AND(N1213&lt;= 28, S1213=9), N1213-25,AND(N1213&lt;= 30, S1213=9), N1213-28,AND(N1213&lt;= 11, S1213=10), N1213+2,AND(N1213&lt;= 21, S1213=10), N1213-11)</f>
        <v>9</v>
      </c>
    </row>
    <row r="1214" spans="1:22" x14ac:dyDescent="0.35">
      <c r="A1214" s="4">
        <v>45551</v>
      </c>
      <c r="B1214" s="5">
        <v>0.97815972222222225</v>
      </c>
      <c r="C1214">
        <v>79.599999999999994</v>
      </c>
      <c r="D1214">
        <v>76.400000000000006</v>
      </c>
      <c r="E1214">
        <v>79.099999999999994</v>
      </c>
      <c r="F1214">
        <v>79.900000000000006</v>
      </c>
      <c r="G1214">
        <v>0</v>
      </c>
      <c r="H1214">
        <v>0</v>
      </c>
      <c r="I1214">
        <v>0</v>
      </c>
      <c r="J1214">
        <v>0</v>
      </c>
      <c r="K1214">
        <v>63.8</v>
      </c>
      <c r="L1214">
        <v>62</v>
      </c>
      <c r="M1214">
        <v>78.8</v>
      </c>
      <c r="N1214">
        <v>16</v>
      </c>
      <c r="O1214">
        <v>6</v>
      </c>
      <c r="P1214">
        <f>MOD(DAY(datos_siembra[[#This Row],[Date]]),7)</f>
        <v>2</v>
      </c>
      <c r="Q1214" t="str">
        <f>CHOOSE(WEEKDAY(datos_siembra[[#This Row],[Date]],2),"L","M","X","J","V","S","D")</f>
        <v>L</v>
      </c>
      <c r="R1214">
        <f>WEEKNUM(datos_siembra[[#This Row],[Date]],2)-WEEKNUM(DATE(YEAR(datos_siembra[[#This Row],[Date]]),MONTH(datos_siembra[[#This Row],[Date]]),1))+1</f>
        <v>3</v>
      </c>
      <c r="S1214">
        <f>MONTH(datos_siembra[[#This Row],[Date]])</f>
        <v>9</v>
      </c>
      <c r="T1214" t="str" cm="1">
        <f t="array" ref="T1214">_xlfn.IFS(AND(N1214&lt;= 22, S1214=9), "SOWING",AND(N1214&lt;= 28, S1214=9), "COVERAGE",AND(N1214&lt;= 30, S1214=9), "FLUSH",AND(N1214&lt;= 11, S1214=10), "FLUSH",AND(N1214&lt;= 21, S1214=10), "PRODUCTION")</f>
        <v>SOWING</v>
      </c>
      <c r="U1214">
        <f>HOUR(datos_siembra[[#This Row],[Hour]])</f>
        <v>23</v>
      </c>
      <c r="V1214" cm="1">
        <f t="array" ref="V1214">_xlfn.IFS(AND(N1214&lt;= 22, S1214=9), N1214-7,AND(N1214&lt;= 28, S1214=9), N1214-25,AND(N1214&lt;= 30, S1214=9), N1214-28,AND(N1214&lt;= 11, S1214=10), N1214+2,AND(N1214&lt;= 21, S1214=10), N1214-11)</f>
        <v>9</v>
      </c>
    </row>
    <row r="1215" spans="1:22" x14ac:dyDescent="0.35">
      <c r="A1215" s="4">
        <v>45551</v>
      </c>
      <c r="B1215" s="5">
        <v>0.98510416666666667</v>
      </c>
      <c r="C1215">
        <v>79.7</v>
      </c>
      <c r="D1215">
        <v>76.599999999999994</v>
      </c>
      <c r="E1215">
        <v>79</v>
      </c>
      <c r="F1215">
        <v>80</v>
      </c>
      <c r="G1215">
        <v>0</v>
      </c>
      <c r="H1215">
        <v>0</v>
      </c>
      <c r="I1215">
        <v>0</v>
      </c>
      <c r="J1215">
        <v>0</v>
      </c>
      <c r="K1215">
        <v>63.7</v>
      </c>
      <c r="L1215">
        <v>61.8</v>
      </c>
      <c r="M1215">
        <v>78.72</v>
      </c>
      <c r="N1215">
        <v>16</v>
      </c>
      <c r="O1215">
        <v>6</v>
      </c>
      <c r="P1215">
        <f>MOD(DAY(datos_siembra[[#This Row],[Date]]),7)</f>
        <v>2</v>
      </c>
      <c r="Q1215" t="str">
        <f>CHOOSE(WEEKDAY(datos_siembra[[#This Row],[Date]],2),"L","M","X","J","V","S","D")</f>
        <v>L</v>
      </c>
      <c r="R1215">
        <f>WEEKNUM(datos_siembra[[#This Row],[Date]],2)-WEEKNUM(DATE(YEAR(datos_siembra[[#This Row],[Date]]),MONTH(datos_siembra[[#This Row],[Date]]),1))+1</f>
        <v>3</v>
      </c>
      <c r="S1215">
        <f>MONTH(datos_siembra[[#This Row],[Date]])</f>
        <v>9</v>
      </c>
      <c r="T1215" t="str" cm="1">
        <f t="array" ref="T1215">_xlfn.IFS(AND(N1215&lt;= 22, S1215=9), "SOWING",AND(N1215&lt;= 28, S1215=9), "COVERAGE",AND(N1215&lt;= 30, S1215=9), "FLUSH",AND(N1215&lt;= 11, S1215=10), "FLUSH",AND(N1215&lt;= 21, S1215=10), "PRODUCTION")</f>
        <v>SOWING</v>
      </c>
      <c r="U1215">
        <f>HOUR(datos_siembra[[#This Row],[Hour]])</f>
        <v>23</v>
      </c>
      <c r="V1215" cm="1">
        <f t="array" ref="V1215">_xlfn.IFS(AND(N1215&lt;= 22, S1215=9), N1215-7,AND(N1215&lt;= 28, S1215=9), N1215-25,AND(N1215&lt;= 30, S1215=9), N1215-28,AND(N1215&lt;= 11, S1215=10), N1215+2,AND(N1215&lt;= 21, S1215=10), N1215-11)</f>
        <v>9</v>
      </c>
    </row>
    <row r="1216" spans="1:22" x14ac:dyDescent="0.35">
      <c r="A1216" s="4">
        <v>45551</v>
      </c>
      <c r="B1216" s="5">
        <v>0.99204861111111109</v>
      </c>
      <c r="C1216">
        <v>79.5</v>
      </c>
      <c r="D1216">
        <v>76.400000000000006</v>
      </c>
      <c r="E1216">
        <v>79.099999999999994</v>
      </c>
      <c r="F1216">
        <v>79.7</v>
      </c>
      <c r="G1216">
        <v>0</v>
      </c>
      <c r="H1216">
        <v>0</v>
      </c>
      <c r="I1216">
        <v>0</v>
      </c>
      <c r="J1216">
        <v>0</v>
      </c>
      <c r="K1216">
        <v>63.6</v>
      </c>
      <c r="L1216">
        <v>61.8</v>
      </c>
      <c r="M1216">
        <v>78.72</v>
      </c>
      <c r="N1216">
        <v>16</v>
      </c>
      <c r="O1216">
        <v>6</v>
      </c>
      <c r="P1216">
        <f>MOD(DAY(datos_siembra[[#This Row],[Date]]),7)</f>
        <v>2</v>
      </c>
      <c r="Q1216" t="str">
        <f>CHOOSE(WEEKDAY(datos_siembra[[#This Row],[Date]],2),"L","M","X","J","V","S","D")</f>
        <v>L</v>
      </c>
      <c r="R1216">
        <f>WEEKNUM(datos_siembra[[#This Row],[Date]],2)-WEEKNUM(DATE(YEAR(datos_siembra[[#This Row],[Date]]),MONTH(datos_siembra[[#This Row],[Date]]),1))+1</f>
        <v>3</v>
      </c>
      <c r="S1216">
        <f>MONTH(datos_siembra[[#This Row],[Date]])</f>
        <v>9</v>
      </c>
      <c r="T1216" t="str" cm="1">
        <f t="array" ref="T1216">_xlfn.IFS(AND(N1216&lt;= 22, S1216=9), "SOWING",AND(N1216&lt;= 28, S1216=9), "COVERAGE",AND(N1216&lt;= 30, S1216=9), "FLUSH",AND(N1216&lt;= 11, S1216=10), "FLUSH",AND(N1216&lt;= 21, S1216=10), "PRODUCTION")</f>
        <v>SOWING</v>
      </c>
      <c r="U1216">
        <f>HOUR(datos_siembra[[#This Row],[Hour]])</f>
        <v>23</v>
      </c>
      <c r="V1216" cm="1">
        <f t="array" ref="V1216">_xlfn.IFS(AND(N1216&lt;= 22, S1216=9), N1216-7,AND(N1216&lt;= 28, S1216=9), N1216-25,AND(N1216&lt;= 30, S1216=9), N1216-28,AND(N1216&lt;= 11, S1216=10), N1216+2,AND(N1216&lt;= 21, S1216=10), N1216-11)</f>
        <v>9</v>
      </c>
    </row>
    <row r="1217" spans="1:22" x14ac:dyDescent="0.35">
      <c r="A1217" s="4">
        <v>45551</v>
      </c>
      <c r="B1217" s="5">
        <v>0.99900462962962966</v>
      </c>
      <c r="C1217">
        <v>79.599999999999994</v>
      </c>
      <c r="D1217">
        <v>76.599999999999994</v>
      </c>
      <c r="E1217">
        <v>79.099999999999994</v>
      </c>
      <c r="F1217">
        <v>79.8</v>
      </c>
      <c r="G1217">
        <v>0</v>
      </c>
      <c r="H1217">
        <v>0</v>
      </c>
      <c r="I1217">
        <v>0</v>
      </c>
      <c r="J1217">
        <v>0</v>
      </c>
      <c r="K1217">
        <v>63.6</v>
      </c>
      <c r="L1217">
        <v>61.7</v>
      </c>
      <c r="M1217">
        <v>78.72</v>
      </c>
      <c r="N1217">
        <v>16</v>
      </c>
      <c r="O1217">
        <v>6</v>
      </c>
      <c r="P1217">
        <f>MOD(DAY(datos_siembra[[#This Row],[Date]]),7)</f>
        <v>2</v>
      </c>
      <c r="Q1217" t="str">
        <f>CHOOSE(WEEKDAY(datos_siembra[[#This Row],[Date]],2),"L","M","X","J","V","S","D")</f>
        <v>L</v>
      </c>
      <c r="R1217">
        <f>WEEKNUM(datos_siembra[[#This Row],[Date]],2)-WEEKNUM(DATE(YEAR(datos_siembra[[#This Row],[Date]]),MONTH(datos_siembra[[#This Row],[Date]]),1))+1</f>
        <v>3</v>
      </c>
      <c r="S1217">
        <f>MONTH(datos_siembra[[#This Row],[Date]])</f>
        <v>9</v>
      </c>
      <c r="T1217" t="str" cm="1">
        <f t="array" ref="T1217">_xlfn.IFS(AND(N1217&lt;= 22, S1217=9), "SOWING",AND(N1217&lt;= 28, S1217=9), "COVERAGE",AND(N1217&lt;= 30, S1217=9), "FLUSH",AND(N1217&lt;= 11, S1217=10), "FLUSH",AND(N1217&lt;= 21, S1217=10), "PRODUCTION")</f>
        <v>SOWING</v>
      </c>
      <c r="U1217">
        <f>HOUR(datos_siembra[[#This Row],[Hour]])</f>
        <v>23</v>
      </c>
      <c r="V1217" cm="1">
        <f t="array" ref="V1217">_xlfn.IFS(AND(N1217&lt;= 22, S1217=9), N1217-7,AND(N1217&lt;= 28, S1217=9), N1217-25,AND(N1217&lt;= 30, S1217=9), N1217-28,AND(N1217&lt;= 11, S1217=10), N1217+2,AND(N1217&lt;= 21, S1217=10), N1217-11)</f>
        <v>9</v>
      </c>
    </row>
    <row r="1218" spans="1:22" x14ac:dyDescent="0.35">
      <c r="A1218" s="4">
        <v>45552</v>
      </c>
      <c r="B1218" s="5">
        <v>5.9490740740740745E-3</v>
      </c>
      <c r="C1218">
        <v>79.599999999999994</v>
      </c>
      <c r="D1218">
        <v>76.400000000000006</v>
      </c>
      <c r="E1218">
        <v>79.099999999999994</v>
      </c>
      <c r="F1218">
        <v>79.7</v>
      </c>
      <c r="G1218">
        <v>0</v>
      </c>
      <c r="H1218">
        <v>0</v>
      </c>
      <c r="I1218">
        <v>0</v>
      </c>
      <c r="J1218">
        <v>0</v>
      </c>
      <c r="K1218">
        <v>63.5</v>
      </c>
      <c r="L1218">
        <v>61.6</v>
      </c>
      <c r="M1218">
        <v>78.77</v>
      </c>
      <c r="N1218">
        <v>17</v>
      </c>
      <c r="O1218">
        <v>7</v>
      </c>
      <c r="P1218">
        <f>MOD(DAY(datos_siembra[[#This Row],[Date]]),7)</f>
        <v>3</v>
      </c>
      <c r="Q1218" t="str">
        <f>CHOOSE(WEEKDAY(datos_siembra[[#This Row],[Date]],2),"L","M","X","J","V","S","D")</f>
        <v>M</v>
      </c>
      <c r="R1218">
        <f>WEEKNUM(datos_siembra[[#This Row],[Date]],2)-WEEKNUM(DATE(YEAR(datos_siembra[[#This Row],[Date]]),MONTH(datos_siembra[[#This Row],[Date]]),1))+1</f>
        <v>3</v>
      </c>
      <c r="S1218">
        <f>MONTH(datos_siembra[[#This Row],[Date]])</f>
        <v>9</v>
      </c>
      <c r="T1218" t="str" cm="1">
        <f t="array" ref="T1218">_xlfn.IFS(AND(N1218&lt;= 22, S1218=9), "SOWING",AND(N1218&lt;= 28, S1218=9), "COVERAGE",AND(N1218&lt;= 30, S1218=9), "FLUSH",AND(N1218&lt;= 11, S1218=10), "FLUSH",AND(N1218&lt;= 21, S1218=10), "PRODUCTION")</f>
        <v>SOWING</v>
      </c>
      <c r="U1218">
        <f>HOUR(datos_siembra[[#This Row],[Hour]])</f>
        <v>0</v>
      </c>
      <c r="V1218" cm="1">
        <f t="array" ref="V1218">_xlfn.IFS(AND(N1218&lt;= 22, S1218=9), N1218-7,AND(N1218&lt;= 28, S1218=9), N1218-25,AND(N1218&lt;= 30, S1218=9), N1218-28,AND(N1218&lt;= 11, S1218=10), N1218+2,AND(N1218&lt;= 21, S1218=10), N1218-11)</f>
        <v>10</v>
      </c>
    </row>
    <row r="1219" spans="1:22" x14ac:dyDescent="0.35">
      <c r="A1219" s="4">
        <v>45552</v>
      </c>
      <c r="B1219" s="5">
        <v>1.2893518518518518E-2</v>
      </c>
      <c r="C1219">
        <v>79.7</v>
      </c>
      <c r="D1219">
        <v>76.3</v>
      </c>
      <c r="E1219">
        <v>79.099999999999994</v>
      </c>
      <c r="F1219">
        <v>79.900000000000006</v>
      </c>
      <c r="G1219">
        <v>0</v>
      </c>
      <c r="H1219">
        <v>0</v>
      </c>
      <c r="I1219">
        <v>0</v>
      </c>
      <c r="J1219">
        <v>0</v>
      </c>
      <c r="K1219">
        <v>63.4</v>
      </c>
      <c r="L1219">
        <v>61.6</v>
      </c>
      <c r="M1219">
        <v>78.63</v>
      </c>
      <c r="N1219">
        <v>17</v>
      </c>
      <c r="O1219">
        <v>7</v>
      </c>
      <c r="P1219">
        <f>MOD(DAY(datos_siembra[[#This Row],[Date]]),7)</f>
        <v>3</v>
      </c>
      <c r="Q1219" t="str">
        <f>CHOOSE(WEEKDAY(datos_siembra[[#This Row],[Date]],2),"L","M","X","J","V","S","D")</f>
        <v>M</v>
      </c>
      <c r="R1219">
        <f>WEEKNUM(datos_siembra[[#This Row],[Date]],2)-WEEKNUM(DATE(YEAR(datos_siembra[[#This Row],[Date]]),MONTH(datos_siembra[[#This Row],[Date]]),1))+1</f>
        <v>3</v>
      </c>
      <c r="S1219">
        <f>MONTH(datos_siembra[[#This Row],[Date]])</f>
        <v>9</v>
      </c>
      <c r="T1219" t="str" cm="1">
        <f t="array" ref="T1219">_xlfn.IFS(AND(N1219&lt;= 22, S1219=9), "SOWING",AND(N1219&lt;= 28, S1219=9), "COVERAGE",AND(N1219&lt;= 30, S1219=9), "FLUSH",AND(N1219&lt;= 11, S1219=10), "FLUSH",AND(N1219&lt;= 21, S1219=10), "PRODUCTION")</f>
        <v>SOWING</v>
      </c>
      <c r="U1219">
        <f>HOUR(datos_siembra[[#This Row],[Hour]])</f>
        <v>0</v>
      </c>
      <c r="V1219" cm="1">
        <f t="array" ref="V1219">_xlfn.IFS(AND(N1219&lt;= 22, S1219=9), N1219-7,AND(N1219&lt;= 28, S1219=9), N1219-25,AND(N1219&lt;= 30, S1219=9), N1219-28,AND(N1219&lt;= 11, S1219=10), N1219+2,AND(N1219&lt;= 21, S1219=10), N1219-11)</f>
        <v>10</v>
      </c>
    </row>
    <row r="1220" spans="1:22" x14ac:dyDescent="0.35">
      <c r="A1220" s="4">
        <v>45552</v>
      </c>
      <c r="B1220" s="5">
        <v>1.9837962962962963E-2</v>
      </c>
      <c r="C1220">
        <v>79.5</v>
      </c>
      <c r="D1220">
        <v>76.3</v>
      </c>
      <c r="E1220">
        <v>79.3</v>
      </c>
      <c r="F1220">
        <v>79.599999999999994</v>
      </c>
      <c r="G1220">
        <v>0</v>
      </c>
      <c r="H1220">
        <v>0</v>
      </c>
      <c r="I1220">
        <v>0</v>
      </c>
      <c r="J1220">
        <v>0</v>
      </c>
      <c r="K1220">
        <v>63.3</v>
      </c>
      <c r="L1220">
        <v>61.5</v>
      </c>
      <c r="M1220">
        <v>78.63</v>
      </c>
      <c r="N1220">
        <v>17</v>
      </c>
      <c r="O1220">
        <v>7</v>
      </c>
      <c r="P1220">
        <f>MOD(DAY(datos_siembra[[#This Row],[Date]]),7)</f>
        <v>3</v>
      </c>
      <c r="Q1220" t="str">
        <f>CHOOSE(WEEKDAY(datos_siembra[[#This Row],[Date]],2),"L","M","X","J","V","S","D")</f>
        <v>M</v>
      </c>
      <c r="R1220">
        <f>WEEKNUM(datos_siembra[[#This Row],[Date]],2)-WEEKNUM(DATE(YEAR(datos_siembra[[#This Row],[Date]]),MONTH(datos_siembra[[#This Row],[Date]]),1))+1</f>
        <v>3</v>
      </c>
      <c r="S1220">
        <f>MONTH(datos_siembra[[#This Row],[Date]])</f>
        <v>9</v>
      </c>
      <c r="T1220" t="str" cm="1">
        <f t="array" ref="T1220">_xlfn.IFS(AND(N1220&lt;= 22, S1220=9), "SOWING",AND(N1220&lt;= 28, S1220=9), "COVERAGE",AND(N1220&lt;= 30, S1220=9), "FLUSH",AND(N1220&lt;= 11, S1220=10), "FLUSH",AND(N1220&lt;= 21, S1220=10), "PRODUCTION")</f>
        <v>SOWING</v>
      </c>
      <c r="U1220">
        <f>HOUR(datos_siembra[[#This Row],[Hour]])</f>
        <v>0</v>
      </c>
      <c r="V1220" cm="1">
        <f t="array" ref="V1220">_xlfn.IFS(AND(N1220&lt;= 22, S1220=9), N1220-7,AND(N1220&lt;= 28, S1220=9), N1220-25,AND(N1220&lt;= 30, S1220=9), N1220-28,AND(N1220&lt;= 11, S1220=10), N1220+2,AND(N1220&lt;= 21, S1220=10), N1220-11)</f>
        <v>10</v>
      </c>
    </row>
    <row r="1221" spans="1:22" x14ac:dyDescent="0.35">
      <c r="A1221" s="4">
        <v>45552</v>
      </c>
      <c r="B1221" s="5">
        <v>2.6793981481481481E-2</v>
      </c>
      <c r="C1221">
        <v>79.7</v>
      </c>
      <c r="D1221">
        <v>76.3</v>
      </c>
      <c r="E1221">
        <v>79.099999999999994</v>
      </c>
      <c r="F1221">
        <v>79.7</v>
      </c>
      <c r="G1221">
        <v>0</v>
      </c>
      <c r="H1221">
        <v>0</v>
      </c>
      <c r="I1221">
        <v>0</v>
      </c>
      <c r="J1221">
        <v>0</v>
      </c>
      <c r="K1221">
        <v>63.2</v>
      </c>
      <c r="L1221">
        <v>61.4</v>
      </c>
      <c r="M1221">
        <v>78.69</v>
      </c>
      <c r="N1221">
        <v>17</v>
      </c>
      <c r="O1221">
        <v>7</v>
      </c>
      <c r="P1221">
        <f>MOD(DAY(datos_siembra[[#This Row],[Date]]),7)</f>
        <v>3</v>
      </c>
      <c r="Q1221" t="str">
        <f>CHOOSE(WEEKDAY(datos_siembra[[#This Row],[Date]],2),"L","M","X","J","V","S","D")</f>
        <v>M</v>
      </c>
      <c r="R1221">
        <f>WEEKNUM(datos_siembra[[#This Row],[Date]],2)-WEEKNUM(DATE(YEAR(datos_siembra[[#This Row],[Date]]),MONTH(datos_siembra[[#This Row],[Date]]),1))+1</f>
        <v>3</v>
      </c>
      <c r="S1221">
        <f>MONTH(datos_siembra[[#This Row],[Date]])</f>
        <v>9</v>
      </c>
      <c r="T1221" t="str" cm="1">
        <f t="array" ref="T1221">_xlfn.IFS(AND(N1221&lt;= 22, S1221=9), "SOWING",AND(N1221&lt;= 28, S1221=9), "COVERAGE",AND(N1221&lt;= 30, S1221=9), "FLUSH",AND(N1221&lt;= 11, S1221=10), "FLUSH",AND(N1221&lt;= 21, S1221=10), "PRODUCTION")</f>
        <v>SOWING</v>
      </c>
      <c r="U1221">
        <f>HOUR(datos_siembra[[#This Row],[Hour]])</f>
        <v>0</v>
      </c>
      <c r="V1221" cm="1">
        <f t="array" ref="V1221">_xlfn.IFS(AND(N1221&lt;= 22, S1221=9), N1221-7,AND(N1221&lt;= 28, S1221=9), N1221-25,AND(N1221&lt;= 30, S1221=9), N1221-28,AND(N1221&lt;= 11, S1221=10), N1221+2,AND(N1221&lt;= 21, S1221=10), N1221-11)</f>
        <v>10</v>
      </c>
    </row>
    <row r="1222" spans="1:22" x14ac:dyDescent="0.35">
      <c r="A1222" s="4">
        <v>45552</v>
      </c>
      <c r="B1222" s="5">
        <v>3.3738425925925929E-2</v>
      </c>
      <c r="C1222">
        <v>79.599999999999994</v>
      </c>
      <c r="D1222">
        <v>76.400000000000006</v>
      </c>
      <c r="E1222">
        <v>79.400000000000006</v>
      </c>
      <c r="F1222">
        <v>79.7</v>
      </c>
      <c r="G1222">
        <v>0</v>
      </c>
      <c r="H1222">
        <v>0</v>
      </c>
      <c r="I1222">
        <v>0</v>
      </c>
      <c r="J1222">
        <v>0</v>
      </c>
      <c r="K1222">
        <v>63.2</v>
      </c>
      <c r="L1222">
        <v>61.4</v>
      </c>
      <c r="M1222">
        <v>78.77</v>
      </c>
      <c r="N1222">
        <v>17</v>
      </c>
      <c r="O1222">
        <v>7</v>
      </c>
      <c r="P1222">
        <f>MOD(DAY(datos_siembra[[#This Row],[Date]]),7)</f>
        <v>3</v>
      </c>
      <c r="Q1222" t="str">
        <f>CHOOSE(WEEKDAY(datos_siembra[[#This Row],[Date]],2),"L","M","X","J","V","S","D")</f>
        <v>M</v>
      </c>
      <c r="R1222">
        <f>WEEKNUM(datos_siembra[[#This Row],[Date]],2)-WEEKNUM(DATE(YEAR(datos_siembra[[#This Row],[Date]]),MONTH(datos_siembra[[#This Row],[Date]]),1))+1</f>
        <v>3</v>
      </c>
      <c r="S1222">
        <f>MONTH(datos_siembra[[#This Row],[Date]])</f>
        <v>9</v>
      </c>
      <c r="T1222" t="str" cm="1">
        <f t="array" ref="T1222">_xlfn.IFS(AND(N1222&lt;= 22, S1222=9), "SOWING",AND(N1222&lt;= 28, S1222=9), "COVERAGE",AND(N1222&lt;= 30, S1222=9), "FLUSH",AND(N1222&lt;= 11, S1222=10), "FLUSH",AND(N1222&lt;= 21, S1222=10), "PRODUCTION")</f>
        <v>SOWING</v>
      </c>
      <c r="U1222">
        <f>HOUR(datos_siembra[[#This Row],[Hour]])</f>
        <v>0</v>
      </c>
      <c r="V1222" cm="1">
        <f t="array" ref="V1222">_xlfn.IFS(AND(N1222&lt;= 22, S1222=9), N1222-7,AND(N1222&lt;= 28, S1222=9), N1222-25,AND(N1222&lt;= 30, S1222=9), N1222-28,AND(N1222&lt;= 11, S1222=10), N1222+2,AND(N1222&lt;= 21, S1222=10), N1222-11)</f>
        <v>10</v>
      </c>
    </row>
    <row r="1223" spans="1:22" x14ac:dyDescent="0.35">
      <c r="A1223" s="4">
        <v>45552</v>
      </c>
      <c r="B1223" s="5">
        <v>4.0682870370370369E-2</v>
      </c>
      <c r="C1223">
        <v>79.7</v>
      </c>
      <c r="D1223">
        <v>76.3</v>
      </c>
      <c r="E1223">
        <v>79.5</v>
      </c>
      <c r="F1223">
        <v>79.7</v>
      </c>
      <c r="G1223">
        <v>0</v>
      </c>
      <c r="H1223">
        <v>0</v>
      </c>
      <c r="I1223">
        <v>0</v>
      </c>
      <c r="J1223">
        <v>0</v>
      </c>
      <c r="K1223">
        <v>63</v>
      </c>
      <c r="L1223">
        <v>61.2</v>
      </c>
      <c r="M1223">
        <v>78.72</v>
      </c>
      <c r="N1223">
        <v>17</v>
      </c>
      <c r="O1223">
        <v>7</v>
      </c>
      <c r="P1223">
        <f>MOD(DAY(datos_siembra[[#This Row],[Date]]),7)</f>
        <v>3</v>
      </c>
      <c r="Q1223" t="str">
        <f>CHOOSE(WEEKDAY(datos_siembra[[#This Row],[Date]],2),"L","M","X","J","V","S","D")</f>
        <v>M</v>
      </c>
      <c r="R1223">
        <f>WEEKNUM(datos_siembra[[#This Row],[Date]],2)-WEEKNUM(DATE(YEAR(datos_siembra[[#This Row],[Date]]),MONTH(datos_siembra[[#This Row],[Date]]),1))+1</f>
        <v>3</v>
      </c>
      <c r="S1223">
        <f>MONTH(datos_siembra[[#This Row],[Date]])</f>
        <v>9</v>
      </c>
      <c r="T1223" t="str" cm="1">
        <f t="array" ref="T1223">_xlfn.IFS(AND(N1223&lt;= 22, S1223=9), "SOWING",AND(N1223&lt;= 28, S1223=9), "COVERAGE",AND(N1223&lt;= 30, S1223=9), "FLUSH",AND(N1223&lt;= 11, S1223=10), "FLUSH",AND(N1223&lt;= 21, S1223=10), "PRODUCTION")</f>
        <v>SOWING</v>
      </c>
      <c r="U1223">
        <f>HOUR(datos_siembra[[#This Row],[Hour]])</f>
        <v>0</v>
      </c>
      <c r="V1223" cm="1">
        <f t="array" ref="V1223">_xlfn.IFS(AND(N1223&lt;= 22, S1223=9), N1223-7,AND(N1223&lt;= 28, S1223=9), N1223-25,AND(N1223&lt;= 30, S1223=9), N1223-28,AND(N1223&lt;= 11, S1223=10), N1223+2,AND(N1223&lt;= 21, S1223=10), N1223-11)</f>
        <v>10</v>
      </c>
    </row>
    <row r="1224" spans="1:22" x14ac:dyDescent="0.35">
      <c r="A1224" s="4">
        <v>45552</v>
      </c>
      <c r="B1224" s="5">
        <v>4.763888888888889E-2</v>
      </c>
      <c r="C1224">
        <v>79.8</v>
      </c>
      <c r="D1224">
        <v>76.3</v>
      </c>
      <c r="E1224">
        <v>79.599999999999994</v>
      </c>
      <c r="F1224">
        <v>79.7</v>
      </c>
      <c r="G1224">
        <v>0</v>
      </c>
      <c r="H1224">
        <v>0</v>
      </c>
      <c r="I1224">
        <v>0</v>
      </c>
      <c r="J1224">
        <v>0</v>
      </c>
      <c r="K1224">
        <v>63</v>
      </c>
      <c r="L1224">
        <v>61.1</v>
      </c>
      <c r="M1224">
        <v>78.77</v>
      </c>
      <c r="N1224">
        <v>17</v>
      </c>
      <c r="O1224">
        <v>7</v>
      </c>
      <c r="P1224">
        <f>MOD(DAY(datos_siembra[[#This Row],[Date]]),7)</f>
        <v>3</v>
      </c>
      <c r="Q1224" t="str">
        <f>CHOOSE(WEEKDAY(datos_siembra[[#This Row],[Date]],2),"L","M","X","J","V","S","D")</f>
        <v>M</v>
      </c>
      <c r="R1224">
        <f>WEEKNUM(datos_siembra[[#This Row],[Date]],2)-WEEKNUM(DATE(YEAR(datos_siembra[[#This Row],[Date]]),MONTH(datos_siembra[[#This Row],[Date]]),1))+1</f>
        <v>3</v>
      </c>
      <c r="S1224">
        <f>MONTH(datos_siembra[[#This Row],[Date]])</f>
        <v>9</v>
      </c>
      <c r="T1224" t="str" cm="1">
        <f t="array" ref="T1224">_xlfn.IFS(AND(N1224&lt;= 22, S1224=9), "SOWING",AND(N1224&lt;= 28, S1224=9), "COVERAGE",AND(N1224&lt;= 30, S1224=9), "FLUSH",AND(N1224&lt;= 11, S1224=10), "FLUSH",AND(N1224&lt;= 21, S1224=10), "PRODUCTION")</f>
        <v>SOWING</v>
      </c>
      <c r="U1224">
        <f>HOUR(datos_siembra[[#This Row],[Hour]])</f>
        <v>1</v>
      </c>
      <c r="V1224" cm="1">
        <f t="array" ref="V1224">_xlfn.IFS(AND(N1224&lt;= 22, S1224=9), N1224-7,AND(N1224&lt;= 28, S1224=9), N1224-25,AND(N1224&lt;= 30, S1224=9), N1224-28,AND(N1224&lt;= 11, S1224=10), N1224+2,AND(N1224&lt;= 21, S1224=10), N1224-11)</f>
        <v>10</v>
      </c>
    </row>
    <row r="1225" spans="1:22" x14ac:dyDescent="0.35">
      <c r="A1225" s="4">
        <v>45552</v>
      </c>
      <c r="B1225" s="5">
        <v>5.4583333333333331E-2</v>
      </c>
      <c r="C1225">
        <v>79.8</v>
      </c>
      <c r="D1225">
        <v>76.3</v>
      </c>
      <c r="E1225">
        <v>79.7</v>
      </c>
      <c r="F1225">
        <v>79.7</v>
      </c>
      <c r="G1225">
        <v>0</v>
      </c>
      <c r="H1225">
        <v>0</v>
      </c>
      <c r="I1225">
        <v>0</v>
      </c>
      <c r="J1225">
        <v>0</v>
      </c>
      <c r="K1225">
        <v>62.9</v>
      </c>
      <c r="L1225">
        <v>61.1</v>
      </c>
      <c r="M1225">
        <v>78.88</v>
      </c>
      <c r="N1225">
        <v>17</v>
      </c>
      <c r="O1225">
        <v>7</v>
      </c>
      <c r="P1225">
        <f>MOD(DAY(datos_siembra[[#This Row],[Date]]),7)</f>
        <v>3</v>
      </c>
      <c r="Q1225" t="str">
        <f>CHOOSE(WEEKDAY(datos_siembra[[#This Row],[Date]],2),"L","M","X","J","V","S","D")</f>
        <v>M</v>
      </c>
      <c r="R1225">
        <f>WEEKNUM(datos_siembra[[#This Row],[Date]],2)-WEEKNUM(DATE(YEAR(datos_siembra[[#This Row],[Date]]),MONTH(datos_siembra[[#This Row],[Date]]),1))+1</f>
        <v>3</v>
      </c>
      <c r="S1225">
        <f>MONTH(datos_siembra[[#This Row],[Date]])</f>
        <v>9</v>
      </c>
      <c r="T1225" t="str" cm="1">
        <f t="array" ref="T1225">_xlfn.IFS(AND(N1225&lt;= 22, S1225=9), "SOWING",AND(N1225&lt;= 28, S1225=9), "COVERAGE",AND(N1225&lt;= 30, S1225=9), "FLUSH",AND(N1225&lt;= 11, S1225=10), "FLUSH",AND(N1225&lt;= 21, S1225=10), "PRODUCTION")</f>
        <v>SOWING</v>
      </c>
      <c r="U1225">
        <f>HOUR(datos_siembra[[#This Row],[Hour]])</f>
        <v>1</v>
      </c>
      <c r="V1225" cm="1">
        <f t="array" ref="V1225">_xlfn.IFS(AND(N1225&lt;= 22, S1225=9), N1225-7,AND(N1225&lt;= 28, S1225=9), N1225-25,AND(N1225&lt;= 30, S1225=9), N1225-28,AND(N1225&lt;= 11, S1225=10), N1225+2,AND(N1225&lt;= 21, S1225=10), N1225-11)</f>
        <v>10</v>
      </c>
    </row>
    <row r="1226" spans="1:22" x14ac:dyDescent="0.35">
      <c r="A1226" s="4">
        <v>45552</v>
      </c>
      <c r="B1226" s="5">
        <v>6.1527777777777778E-2</v>
      </c>
      <c r="C1226">
        <v>79.7</v>
      </c>
      <c r="D1226">
        <v>76.3</v>
      </c>
      <c r="E1226">
        <v>80</v>
      </c>
      <c r="F1226">
        <v>79.5</v>
      </c>
      <c r="G1226">
        <v>0</v>
      </c>
      <c r="H1226">
        <v>0</v>
      </c>
      <c r="I1226">
        <v>0</v>
      </c>
      <c r="J1226">
        <v>0</v>
      </c>
      <c r="K1226">
        <v>62.9</v>
      </c>
      <c r="L1226">
        <v>61</v>
      </c>
      <c r="M1226">
        <v>78.88</v>
      </c>
      <c r="N1226">
        <v>17</v>
      </c>
      <c r="O1226">
        <v>7</v>
      </c>
      <c r="P1226">
        <f>MOD(DAY(datos_siembra[[#This Row],[Date]]),7)</f>
        <v>3</v>
      </c>
      <c r="Q1226" t="str">
        <f>CHOOSE(WEEKDAY(datos_siembra[[#This Row],[Date]],2),"L","M","X","J","V","S","D")</f>
        <v>M</v>
      </c>
      <c r="R1226">
        <f>WEEKNUM(datos_siembra[[#This Row],[Date]],2)-WEEKNUM(DATE(YEAR(datos_siembra[[#This Row],[Date]]),MONTH(datos_siembra[[#This Row],[Date]]),1))+1</f>
        <v>3</v>
      </c>
      <c r="S1226">
        <f>MONTH(datos_siembra[[#This Row],[Date]])</f>
        <v>9</v>
      </c>
      <c r="T1226" t="str" cm="1">
        <f t="array" ref="T1226">_xlfn.IFS(AND(N1226&lt;= 22, S1226=9), "SOWING",AND(N1226&lt;= 28, S1226=9), "COVERAGE",AND(N1226&lt;= 30, S1226=9), "FLUSH",AND(N1226&lt;= 11, S1226=10), "FLUSH",AND(N1226&lt;= 21, S1226=10), "PRODUCTION")</f>
        <v>SOWING</v>
      </c>
      <c r="U1226">
        <f>HOUR(datos_siembra[[#This Row],[Hour]])</f>
        <v>1</v>
      </c>
      <c r="V1226" cm="1">
        <f t="array" ref="V1226">_xlfn.IFS(AND(N1226&lt;= 22, S1226=9), N1226-7,AND(N1226&lt;= 28, S1226=9), N1226-25,AND(N1226&lt;= 30, S1226=9), N1226-28,AND(N1226&lt;= 11, S1226=10), N1226+2,AND(N1226&lt;= 21, S1226=10), N1226-11)</f>
        <v>10</v>
      </c>
    </row>
    <row r="1227" spans="1:22" x14ac:dyDescent="0.35">
      <c r="A1227" s="4">
        <v>45552</v>
      </c>
      <c r="B1227" s="5">
        <v>6.8472222222222226E-2</v>
      </c>
      <c r="C1227">
        <v>79.7</v>
      </c>
      <c r="D1227">
        <v>76.2</v>
      </c>
      <c r="E1227">
        <v>80.400000000000006</v>
      </c>
      <c r="F1227">
        <v>79.599999999999994</v>
      </c>
      <c r="G1227">
        <v>0</v>
      </c>
      <c r="H1227">
        <v>0</v>
      </c>
      <c r="I1227">
        <v>0</v>
      </c>
      <c r="J1227">
        <v>0</v>
      </c>
      <c r="K1227">
        <v>62.8</v>
      </c>
      <c r="L1227">
        <v>61</v>
      </c>
      <c r="M1227">
        <v>78.94</v>
      </c>
      <c r="N1227">
        <v>17</v>
      </c>
      <c r="O1227">
        <v>7</v>
      </c>
      <c r="P1227">
        <f>MOD(DAY(datos_siembra[[#This Row],[Date]]),7)</f>
        <v>3</v>
      </c>
      <c r="Q1227" t="str">
        <f>CHOOSE(WEEKDAY(datos_siembra[[#This Row],[Date]],2),"L","M","X","J","V","S","D")</f>
        <v>M</v>
      </c>
      <c r="R1227">
        <f>WEEKNUM(datos_siembra[[#This Row],[Date]],2)-WEEKNUM(DATE(YEAR(datos_siembra[[#This Row],[Date]]),MONTH(datos_siembra[[#This Row],[Date]]),1))+1</f>
        <v>3</v>
      </c>
      <c r="S1227">
        <f>MONTH(datos_siembra[[#This Row],[Date]])</f>
        <v>9</v>
      </c>
      <c r="T1227" t="str" cm="1">
        <f t="array" ref="T1227">_xlfn.IFS(AND(N1227&lt;= 22, S1227=9), "SOWING",AND(N1227&lt;= 28, S1227=9), "COVERAGE",AND(N1227&lt;= 30, S1227=9), "FLUSH",AND(N1227&lt;= 11, S1227=10), "FLUSH",AND(N1227&lt;= 21, S1227=10), "PRODUCTION")</f>
        <v>SOWING</v>
      </c>
      <c r="U1227">
        <f>HOUR(datos_siembra[[#This Row],[Hour]])</f>
        <v>1</v>
      </c>
      <c r="V1227" cm="1">
        <f t="array" ref="V1227">_xlfn.IFS(AND(N1227&lt;= 22, S1227=9), N1227-7,AND(N1227&lt;= 28, S1227=9), N1227-25,AND(N1227&lt;= 30, S1227=9), N1227-28,AND(N1227&lt;= 11, S1227=10), N1227+2,AND(N1227&lt;= 21, S1227=10), N1227-11)</f>
        <v>10</v>
      </c>
    </row>
    <row r="1228" spans="1:22" x14ac:dyDescent="0.35">
      <c r="A1228" s="4">
        <v>45552</v>
      </c>
      <c r="B1228" s="5">
        <v>7.542824074074074E-2</v>
      </c>
      <c r="C1228">
        <v>79.8</v>
      </c>
      <c r="D1228">
        <v>76.3</v>
      </c>
      <c r="E1228">
        <v>80.599999999999994</v>
      </c>
      <c r="F1228">
        <v>79</v>
      </c>
      <c r="G1228">
        <v>0</v>
      </c>
      <c r="H1228">
        <v>0</v>
      </c>
      <c r="I1228">
        <v>0</v>
      </c>
      <c r="J1228">
        <v>0</v>
      </c>
      <c r="K1228">
        <v>62.7</v>
      </c>
      <c r="L1228">
        <v>60.9</v>
      </c>
      <c r="M1228">
        <v>78.8</v>
      </c>
      <c r="N1228">
        <v>17</v>
      </c>
      <c r="O1228">
        <v>7</v>
      </c>
      <c r="P1228">
        <f>MOD(DAY(datos_siembra[[#This Row],[Date]]),7)</f>
        <v>3</v>
      </c>
      <c r="Q1228" t="str">
        <f>CHOOSE(WEEKDAY(datos_siembra[[#This Row],[Date]],2),"L","M","X","J","V","S","D")</f>
        <v>M</v>
      </c>
      <c r="R1228">
        <f>WEEKNUM(datos_siembra[[#This Row],[Date]],2)-WEEKNUM(DATE(YEAR(datos_siembra[[#This Row],[Date]]),MONTH(datos_siembra[[#This Row],[Date]]),1))+1</f>
        <v>3</v>
      </c>
      <c r="S1228">
        <f>MONTH(datos_siembra[[#This Row],[Date]])</f>
        <v>9</v>
      </c>
      <c r="T1228" t="str" cm="1">
        <f t="array" ref="T1228">_xlfn.IFS(AND(N1228&lt;= 22, S1228=9), "SOWING",AND(N1228&lt;= 28, S1228=9), "COVERAGE",AND(N1228&lt;= 30, S1228=9), "FLUSH",AND(N1228&lt;= 11, S1228=10), "FLUSH",AND(N1228&lt;= 21, S1228=10), "PRODUCTION")</f>
        <v>SOWING</v>
      </c>
      <c r="U1228">
        <f>HOUR(datos_siembra[[#This Row],[Hour]])</f>
        <v>1</v>
      </c>
      <c r="V1228" cm="1">
        <f t="array" ref="V1228">_xlfn.IFS(AND(N1228&lt;= 22, S1228=9), N1228-7,AND(N1228&lt;= 28, S1228=9), N1228-25,AND(N1228&lt;= 30, S1228=9), N1228-28,AND(N1228&lt;= 11, S1228=10), N1228+2,AND(N1228&lt;= 21, S1228=10), N1228-11)</f>
        <v>10</v>
      </c>
    </row>
    <row r="1229" spans="1:22" x14ac:dyDescent="0.35">
      <c r="A1229" s="4">
        <v>45552</v>
      </c>
      <c r="B1229" s="5">
        <v>8.2372685185185188E-2</v>
      </c>
      <c r="C1229">
        <v>79.900000000000006</v>
      </c>
      <c r="D1229">
        <v>76.099999999999994</v>
      </c>
      <c r="E1229">
        <v>80.8</v>
      </c>
      <c r="F1229">
        <v>79.3</v>
      </c>
      <c r="G1229">
        <v>0</v>
      </c>
      <c r="H1229">
        <v>0</v>
      </c>
      <c r="I1229">
        <v>0</v>
      </c>
      <c r="J1229">
        <v>0</v>
      </c>
      <c r="K1229">
        <v>62.7</v>
      </c>
      <c r="L1229">
        <v>60.8</v>
      </c>
      <c r="M1229">
        <v>79</v>
      </c>
      <c r="N1229">
        <v>17</v>
      </c>
      <c r="O1229">
        <v>7</v>
      </c>
      <c r="P1229">
        <f>MOD(DAY(datos_siembra[[#This Row],[Date]]),7)</f>
        <v>3</v>
      </c>
      <c r="Q1229" t="str">
        <f>CHOOSE(WEEKDAY(datos_siembra[[#This Row],[Date]],2),"L","M","X","J","V","S","D")</f>
        <v>M</v>
      </c>
      <c r="R1229">
        <f>WEEKNUM(datos_siembra[[#This Row],[Date]],2)-WEEKNUM(DATE(YEAR(datos_siembra[[#This Row],[Date]]),MONTH(datos_siembra[[#This Row],[Date]]),1))+1</f>
        <v>3</v>
      </c>
      <c r="S1229">
        <f>MONTH(datos_siembra[[#This Row],[Date]])</f>
        <v>9</v>
      </c>
      <c r="T1229" t="str" cm="1">
        <f t="array" ref="T1229">_xlfn.IFS(AND(N1229&lt;= 22, S1229=9), "SOWING",AND(N1229&lt;= 28, S1229=9), "COVERAGE",AND(N1229&lt;= 30, S1229=9), "FLUSH",AND(N1229&lt;= 11, S1229=10), "FLUSH",AND(N1229&lt;= 21, S1229=10), "PRODUCTION")</f>
        <v>SOWING</v>
      </c>
      <c r="U1229">
        <f>HOUR(datos_siembra[[#This Row],[Hour]])</f>
        <v>1</v>
      </c>
      <c r="V1229" cm="1">
        <f t="array" ref="V1229">_xlfn.IFS(AND(N1229&lt;= 22, S1229=9), N1229-7,AND(N1229&lt;= 28, S1229=9), N1229-25,AND(N1229&lt;= 30, S1229=9), N1229-28,AND(N1229&lt;= 11, S1229=10), N1229+2,AND(N1229&lt;= 21, S1229=10), N1229-11)</f>
        <v>10</v>
      </c>
    </row>
    <row r="1230" spans="1:22" x14ac:dyDescent="0.35">
      <c r="A1230" s="4">
        <v>45552</v>
      </c>
      <c r="B1230" s="5">
        <v>8.9317129629629635E-2</v>
      </c>
      <c r="C1230">
        <v>79.8</v>
      </c>
      <c r="D1230">
        <v>76</v>
      </c>
      <c r="E1230">
        <v>80.900000000000006</v>
      </c>
      <c r="F1230">
        <v>79.3</v>
      </c>
      <c r="G1230">
        <v>0</v>
      </c>
      <c r="H1230">
        <v>0</v>
      </c>
      <c r="I1230">
        <v>0</v>
      </c>
      <c r="J1230">
        <v>0</v>
      </c>
      <c r="K1230">
        <v>62.6</v>
      </c>
      <c r="L1230">
        <v>60.8</v>
      </c>
      <c r="M1230">
        <v>78.97</v>
      </c>
      <c r="N1230">
        <v>17</v>
      </c>
      <c r="O1230">
        <v>7</v>
      </c>
      <c r="P1230">
        <f>MOD(DAY(datos_siembra[[#This Row],[Date]]),7)</f>
        <v>3</v>
      </c>
      <c r="Q1230" t="str">
        <f>CHOOSE(WEEKDAY(datos_siembra[[#This Row],[Date]],2),"L","M","X","J","V","S","D")</f>
        <v>M</v>
      </c>
      <c r="R1230">
        <f>WEEKNUM(datos_siembra[[#This Row],[Date]],2)-WEEKNUM(DATE(YEAR(datos_siembra[[#This Row],[Date]]),MONTH(datos_siembra[[#This Row],[Date]]),1))+1</f>
        <v>3</v>
      </c>
      <c r="S1230">
        <f>MONTH(datos_siembra[[#This Row],[Date]])</f>
        <v>9</v>
      </c>
      <c r="T1230" t="str" cm="1">
        <f t="array" ref="T1230">_xlfn.IFS(AND(N1230&lt;= 22, S1230=9), "SOWING",AND(N1230&lt;= 28, S1230=9), "COVERAGE",AND(N1230&lt;= 30, S1230=9), "FLUSH",AND(N1230&lt;= 11, S1230=10), "FLUSH",AND(N1230&lt;= 21, S1230=10), "PRODUCTION")</f>
        <v>SOWING</v>
      </c>
      <c r="U1230">
        <f>HOUR(datos_siembra[[#This Row],[Hour]])</f>
        <v>2</v>
      </c>
      <c r="V1230" cm="1">
        <f t="array" ref="V1230">_xlfn.IFS(AND(N1230&lt;= 22, S1230=9), N1230-7,AND(N1230&lt;= 28, S1230=9), N1230-25,AND(N1230&lt;= 30, S1230=9), N1230-28,AND(N1230&lt;= 11, S1230=10), N1230+2,AND(N1230&lt;= 21, S1230=10), N1230-11)</f>
        <v>10</v>
      </c>
    </row>
    <row r="1231" spans="1:22" x14ac:dyDescent="0.35">
      <c r="A1231" s="4">
        <v>45552</v>
      </c>
      <c r="B1231" s="5">
        <v>9.6261574074074069E-2</v>
      </c>
      <c r="C1231">
        <v>79.8</v>
      </c>
      <c r="D1231">
        <v>76.3</v>
      </c>
      <c r="E1231">
        <v>81.099999999999994</v>
      </c>
      <c r="F1231">
        <v>79.3</v>
      </c>
      <c r="G1231">
        <v>0</v>
      </c>
      <c r="H1231">
        <v>0</v>
      </c>
      <c r="I1231">
        <v>0</v>
      </c>
      <c r="J1231">
        <v>0</v>
      </c>
      <c r="K1231">
        <v>62.6</v>
      </c>
      <c r="L1231">
        <v>60.7</v>
      </c>
      <c r="M1231">
        <v>78.97</v>
      </c>
      <c r="N1231">
        <v>17</v>
      </c>
      <c r="O1231">
        <v>7</v>
      </c>
      <c r="P1231">
        <f>MOD(DAY(datos_siembra[[#This Row],[Date]]),7)</f>
        <v>3</v>
      </c>
      <c r="Q1231" t="str">
        <f>CHOOSE(WEEKDAY(datos_siembra[[#This Row],[Date]],2),"L","M","X","J","V","S","D")</f>
        <v>M</v>
      </c>
      <c r="R1231">
        <f>WEEKNUM(datos_siembra[[#This Row],[Date]],2)-WEEKNUM(DATE(YEAR(datos_siembra[[#This Row],[Date]]),MONTH(datos_siembra[[#This Row],[Date]]),1))+1</f>
        <v>3</v>
      </c>
      <c r="S1231">
        <f>MONTH(datos_siembra[[#This Row],[Date]])</f>
        <v>9</v>
      </c>
      <c r="T1231" t="str" cm="1">
        <f t="array" ref="T1231">_xlfn.IFS(AND(N1231&lt;= 22, S1231=9), "SOWING",AND(N1231&lt;= 28, S1231=9), "COVERAGE",AND(N1231&lt;= 30, S1231=9), "FLUSH",AND(N1231&lt;= 11, S1231=10), "FLUSH",AND(N1231&lt;= 21, S1231=10), "PRODUCTION")</f>
        <v>SOWING</v>
      </c>
      <c r="U1231">
        <f>HOUR(datos_siembra[[#This Row],[Hour]])</f>
        <v>2</v>
      </c>
      <c r="V1231" cm="1">
        <f t="array" ref="V1231">_xlfn.IFS(AND(N1231&lt;= 22, S1231=9), N1231-7,AND(N1231&lt;= 28, S1231=9), N1231-25,AND(N1231&lt;= 30, S1231=9), N1231-28,AND(N1231&lt;= 11, S1231=10), N1231+2,AND(N1231&lt;= 21, S1231=10), N1231-11)</f>
        <v>10</v>
      </c>
    </row>
    <row r="1232" spans="1:22" x14ac:dyDescent="0.35">
      <c r="A1232" s="4">
        <v>45552</v>
      </c>
      <c r="B1232" s="5">
        <v>0.1032175925925926</v>
      </c>
      <c r="C1232">
        <v>79.599999999999994</v>
      </c>
      <c r="D1232">
        <v>76.2</v>
      </c>
      <c r="E1232">
        <v>81.099999999999994</v>
      </c>
      <c r="F1232">
        <v>79.3</v>
      </c>
      <c r="G1232">
        <v>0</v>
      </c>
      <c r="H1232">
        <v>0</v>
      </c>
      <c r="I1232">
        <v>0</v>
      </c>
      <c r="J1232">
        <v>0</v>
      </c>
      <c r="K1232">
        <v>62.5</v>
      </c>
      <c r="L1232">
        <v>60.6</v>
      </c>
      <c r="M1232">
        <v>79.02</v>
      </c>
      <c r="N1232">
        <v>17</v>
      </c>
      <c r="O1232">
        <v>7</v>
      </c>
      <c r="P1232">
        <f>MOD(DAY(datos_siembra[[#This Row],[Date]]),7)</f>
        <v>3</v>
      </c>
      <c r="Q1232" t="str">
        <f>CHOOSE(WEEKDAY(datos_siembra[[#This Row],[Date]],2),"L","M","X","J","V","S","D")</f>
        <v>M</v>
      </c>
      <c r="R1232">
        <f>WEEKNUM(datos_siembra[[#This Row],[Date]],2)-WEEKNUM(DATE(YEAR(datos_siembra[[#This Row],[Date]]),MONTH(datos_siembra[[#This Row],[Date]]),1))+1</f>
        <v>3</v>
      </c>
      <c r="S1232">
        <f>MONTH(datos_siembra[[#This Row],[Date]])</f>
        <v>9</v>
      </c>
      <c r="T1232" t="str" cm="1">
        <f t="array" ref="T1232">_xlfn.IFS(AND(N1232&lt;= 22, S1232=9), "SOWING",AND(N1232&lt;= 28, S1232=9), "COVERAGE",AND(N1232&lt;= 30, S1232=9), "FLUSH",AND(N1232&lt;= 11, S1232=10), "FLUSH",AND(N1232&lt;= 21, S1232=10), "PRODUCTION")</f>
        <v>SOWING</v>
      </c>
      <c r="U1232">
        <f>HOUR(datos_siembra[[#This Row],[Hour]])</f>
        <v>2</v>
      </c>
      <c r="V1232" cm="1">
        <f t="array" ref="V1232">_xlfn.IFS(AND(N1232&lt;= 22, S1232=9), N1232-7,AND(N1232&lt;= 28, S1232=9), N1232-25,AND(N1232&lt;= 30, S1232=9), N1232-28,AND(N1232&lt;= 11, S1232=10), N1232+2,AND(N1232&lt;= 21, S1232=10), N1232-11)</f>
        <v>10</v>
      </c>
    </row>
    <row r="1233" spans="1:22" x14ac:dyDescent="0.35">
      <c r="A1233" s="4">
        <v>45552</v>
      </c>
      <c r="B1233" s="5">
        <v>0.11016203703703703</v>
      </c>
      <c r="C1233">
        <v>79.8</v>
      </c>
      <c r="D1233">
        <v>76.099999999999994</v>
      </c>
      <c r="E1233">
        <v>81.099999999999994</v>
      </c>
      <c r="F1233">
        <v>79.099999999999994</v>
      </c>
      <c r="G1233">
        <v>0</v>
      </c>
      <c r="H1233">
        <v>0</v>
      </c>
      <c r="I1233">
        <v>0</v>
      </c>
      <c r="J1233">
        <v>0</v>
      </c>
      <c r="K1233">
        <v>62.4</v>
      </c>
      <c r="L1233">
        <v>60.6</v>
      </c>
      <c r="M1233">
        <v>79.11</v>
      </c>
      <c r="N1233">
        <v>17</v>
      </c>
      <c r="O1233">
        <v>7</v>
      </c>
      <c r="P1233">
        <f>MOD(DAY(datos_siembra[[#This Row],[Date]]),7)</f>
        <v>3</v>
      </c>
      <c r="Q1233" t="str">
        <f>CHOOSE(WEEKDAY(datos_siembra[[#This Row],[Date]],2),"L","M","X","J","V","S","D")</f>
        <v>M</v>
      </c>
      <c r="R1233">
        <f>WEEKNUM(datos_siembra[[#This Row],[Date]],2)-WEEKNUM(DATE(YEAR(datos_siembra[[#This Row],[Date]]),MONTH(datos_siembra[[#This Row],[Date]]),1))+1</f>
        <v>3</v>
      </c>
      <c r="S1233">
        <f>MONTH(datos_siembra[[#This Row],[Date]])</f>
        <v>9</v>
      </c>
      <c r="T1233" t="str" cm="1">
        <f t="array" ref="T1233">_xlfn.IFS(AND(N1233&lt;= 22, S1233=9), "SOWING",AND(N1233&lt;= 28, S1233=9), "COVERAGE",AND(N1233&lt;= 30, S1233=9), "FLUSH",AND(N1233&lt;= 11, S1233=10), "FLUSH",AND(N1233&lt;= 21, S1233=10), "PRODUCTION")</f>
        <v>SOWING</v>
      </c>
      <c r="U1233">
        <f>HOUR(datos_siembra[[#This Row],[Hour]])</f>
        <v>2</v>
      </c>
      <c r="V1233" cm="1">
        <f t="array" ref="V1233">_xlfn.IFS(AND(N1233&lt;= 22, S1233=9), N1233-7,AND(N1233&lt;= 28, S1233=9), N1233-25,AND(N1233&lt;= 30, S1233=9), N1233-28,AND(N1233&lt;= 11, S1233=10), N1233+2,AND(N1233&lt;= 21, S1233=10), N1233-11)</f>
        <v>10</v>
      </c>
    </row>
    <row r="1234" spans="1:22" x14ac:dyDescent="0.35">
      <c r="A1234" s="4">
        <v>45552</v>
      </c>
      <c r="B1234" s="5">
        <v>0.11710648148148148</v>
      </c>
      <c r="C1234">
        <v>79.8</v>
      </c>
      <c r="D1234">
        <v>76.099999999999994</v>
      </c>
      <c r="E1234">
        <v>81.3</v>
      </c>
      <c r="F1234">
        <v>79.099999999999994</v>
      </c>
      <c r="G1234">
        <v>0</v>
      </c>
      <c r="H1234">
        <v>0</v>
      </c>
      <c r="I1234">
        <v>0</v>
      </c>
      <c r="J1234">
        <v>0</v>
      </c>
      <c r="K1234">
        <v>62.4</v>
      </c>
      <c r="L1234">
        <v>60.6</v>
      </c>
      <c r="M1234">
        <v>79.05</v>
      </c>
      <c r="N1234">
        <v>17</v>
      </c>
      <c r="O1234">
        <v>7</v>
      </c>
      <c r="P1234">
        <f>MOD(DAY(datos_siembra[[#This Row],[Date]]),7)</f>
        <v>3</v>
      </c>
      <c r="Q1234" t="str">
        <f>CHOOSE(WEEKDAY(datos_siembra[[#This Row],[Date]],2),"L","M","X","J","V","S","D")</f>
        <v>M</v>
      </c>
      <c r="R1234">
        <f>WEEKNUM(datos_siembra[[#This Row],[Date]],2)-WEEKNUM(DATE(YEAR(datos_siembra[[#This Row],[Date]]),MONTH(datos_siembra[[#This Row],[Date]]),1))+1</f>
        <v>3</v>
      </c>
      <c r="S1234">
        <f>MONTH(datos_siembra[[#This Row],[Date]])</f>
        <v>9</v>
      </c>
      <c r="T1234" t="str" cm="1">
        <f t="array" ref="T1234">_xlfn.IFS(AND(N1234&lt;= 22, S1234=9), "SOWING",AND(N1234&lt;= 28, S1234=9), "COVERAGE",AND(N1234&lt;= 30, S1234=9), "FLUSH",AND(N1234&lt;= 11, S1234=10), "FLUSH",AND(N1234&lt;= 21, S1234=10), "PRODUCTION")</f>
        <v>SOWING</v>
      </c>
      <c r="U1234">
        <f>HOUR(datos_siembra[[#This Row],[Hour]])</f>
        <v>2</v>
      </c>
      <c r="V1234" cm="1">
        <f t="array" ref="V1234">_xlfn.IFS(AND(N1234&lt;= 22, S1234=9), N1234-7,AND(N1234&lt;= 28, S1234=9), N1234-25,AND(N1234&lt;= 30, S1234=9), N1234-28,AND(N1234&lt;= 11, S1234=10), N1234+2,AND(N1234&lt;= 21, S1234=10), N1234-11)</f>
        <v>10</v>
      </c>
    </row>
    <row r="1235" spans="1:22" x14ac:dyDescent="0.35">
      <c r="A1235" s="4">
        <v>45552</v>
      </c>
      <c r="B1235" s="5">
        <v>0.12405092592592593</v>
      </c>
      <c r="C1235">
        <v>79.8</v>
      </c>
      <c r="D1235">
        <v>76.099999999999994</v>
      </c>
      <c r="E1235">
        <v>81.400000000000006</v>
      </c>
      <c r="F1235">
        <v>79.099999999999994</v>
      </c>
      <c r="G1235">
        <v>0</v>
      </c>
      <c r="H1235">
        <v>0</v>
      </c>
      <c r="I1235">
        <v>0</v>
      </c>
      <c r="J1235">
        <v>0</v>
      </c>
      <c r="K1235">
        <v>62.3</v>
      </c>
      <c r="L1235">
        <v>60.3</v>
      </c>
      <c r="M1235">
        <v>79</v>
      </c>
      <c r="N1235">
        <v>17</v>
      </c>
      <c r="O1235">
        <v>7</v>
      </c>
      <c r="P1235">
        <f>MOD(DAY(datos_siembra[[#This Row],[Date]]),7)</f>
        <v>3</v>
      </c>
      <c r="Q1235" t="str">
        <f>CHOOSE(WEEKDAY(datos_siembra[[#This Row],[Date]],2),"L","M","X","J","V","S","D")</f>
        <v>M</v>
      </c>
      <c r="R1235">
        <f>WEEKNUM(datos_siembra[[#This Row],[Date]],2)-WEEKNUM(DATE(YEAR(datos_siembra[[#This Row],[Date]]),MONTH(datos_siembra[[#This Row],[Date]]),1))+1</f>
        <v>3</v>
      </c>
      <c r="S1235">
        <f>MONTH(datos_siembra[[#This Row],[Date]])</f>
        <v>9</v>
      </c>
      <c r="T1235" t="str" cm="1">
        <f t="array" ref="T1235">_xlfn.IFS(AND(N1235&lt;= 22, S1235=9), "SOWING",AND(N1235&lt;= 28, S1235=9), "COVERAGE",AND(N1235&lt;= 30, S1235=9), "FLUSH",AND(N1235&lt;= 11, S1235=10), "FLUSH",AND(N1235&lt;= 21, S1235=10), "PRODUCTION")</f>
        <v>SOWING</v>
      </c>
      <c r="U1235">
        <f>HOUR(datos_siembra[[#This Row],[Hour]])</f>
        <v>2</v>
      </c>
      <c r="V1235" cm="1">
        <f t="array" ref="V1235">_xlfn.IFS(AND(N1235&lt;= 22, S1235=9), N1235-7,AND(N1235&lt;= 28, S1235=9), N1235-25,AND(N1235&lt;= 30, S1235=9), N1235-28,AND(N1235&lt;= 11, S1235=10), N1235+2,AND(N1235&lt;= 21, S1235=10), N1235-11)</f>
        <v>10</v>
      </c>
    </row>
    <row r="1236" spans="1:22" x14ac:dyDescent="0.35">
      <c r="A1236" s="4">
        <v>45552</v>
      </c>
      <c r="B1236" s="5">
        <v>0.13100694444444444</v>
      </c>
      <c r="C1236">
        <v>79.599999999999994</v>
      </c>
      <c r="D1236">
        <v>76</v>
      </c>
      <c r="E1236">
        <v>81.3</v>
      </c>
      <c r="F1236">
        <v>79.099999999999994</v>
      </c>
      <c r="G1236">
        <v>0</v>
      </c>
      <c r="H1236">
        <v>0</v>
      </c>
      <c r="I1236">
        <v>0</v>
      </c>
      <c r="J1236">
        <v>0</v>
      </c>
      <c r="K1236">
        <v>62.2</v>
      </c>
      <c r="L1236">
        <v>60.2</v>
      </c>
      <c r="M1236">
        <v>79</v>
      </c>
      <c r="N1236">
        <v>17</v>
      </c>
      <c r="O1236">
        <v>7</v>
      </c>
      <c r="P1236">
        <f>MOD(DAY(datos_siembra[[#This Row],[Date]]),7)</f>
        <v>3</v>
      </c>
      <c r="Q1236" t="str">
        <f>CHOOSE(WEEKDAY(datos_siembra[[#This Row],[Date]],2),"L","M","X","J","V","S","D")</f>
        <v>M</v>
      </c>
      <c r="R1236">
        <f>WEEKNUM(datos_siembra[[#This Row],[Date]],2)-WEEKNUM(DATE(YEAR(datos_siembra[[#This Row],[Date]]),MONTH(datos_siembra[[#This Row],[Date]]),1))+1</f>
        <v>3</v>
      </c>
      <c r="S1236">
        <f>MONTH(datos_siembra[[#This Row],[Date]])</f>
        <v>9</v>
      </c>
      <c r="T1236" t="str" cm="1">
        <f t="array" ref="T1236">_xlfn.IFS(AND(N1236&lt;= 22, S1236=9), "SOWING",AND(N1236&lt;= 28, S1236=9), "COVERAGE",AND(N1236&lt;= 30, S1236=9), "FLUSH",AND(N1236&lt;= 11, S1236=10), "FLUSH",AND(N1236&lt;= 21, S1236=10), "PRODUCTION")</f>
        <v>SOWING</v>
      </c>
      <c r="U1236">
        <f>HOUR(datos_siembra[[#This Row],[Hour]])</f>
        <v>3</v>
      </c>
      <c r="V1236" cm="1">
        <f t="array" ref="V1236">_xlfn.IFS(AND(N1236&lt;= 22, S1236=9), N1236-7,AND(N1236&lt;= 28, S1236=9), N1236-25,AND(N1236&lt;= 30, S1236=9), N1236-28,AND(N1236&lt;= 11, S1236=10), N1236+2,AND(N1236&lt;= 21, S1236=10), N1236-11)</f>
        <v>10</v>
      </c>
    </row>
    <row r="1237" spans="1:22" x14ac:dyDescent="0.35">
      <c r="A1237" s="4">
        <v>45552</v>
      </c>
      <c r="B1237" s="5">
        <v>0.13795138888888889</v>
      </c>
      <c r="C1237">
        <v>79.7</v>
      </c>
      <c r="D1237">
        <v>76.099999999999994</v>
      </c>
      <c r="E1237">
        <v>81.400000000000006</v>
      </c>
      <c r="F1237">
        <v>79</v>
      </c>
      <c r="G1237">
        <v>0</v>
      </c>
      <c r="H1237">
        <v>0</v>
      </c>
      <c r="I1237">
        <v>0</v>
      </c>
      <c r="J1237">
        <v>0</v>
      </c>
      <c r="K1237">
        <v>62.2</v>
      </c>
      <c r="L1237">
        <v>60.2</v>
      </c>
      <c r="M1237">
        <v>79</v>
      </c>
      <c r="N1237">
        <v>17</v>
      </c>
      <c r="O1237">
        <v>7</v>
      </c>
      <c r="P1237">
        <f>MOD(DAY(datos_siembra[[#This Row],[Date]]),7)</f>
        <v>3</v>
      </c>
      <c r="Q1237" t="str">
        <f>CHOOSE(WEEKDAY(datos_siembra[[#This Row],[Date]],2),"L","M","X","J","V","S","D")</f>
        <v>M</v>
      </c>
      <c r="R1237">
        <f>WEEKNUM(datos_siembra[[#This Row],[Date]],2)-WEEKNUM(DATE(YEAR(datos_siembra[[#This Row],[Date]]),MONTH(datos_siembra[[#This Row],[Date]]),1))+1</f>
        <v>3</v>
      </c>
      <c r="S1237">
        <f>MONTH(datos_siembra[[#This Row],[Date]])</f>
        <v>9</v>
      </c>
      <c r="T1237" t="str" cm="1">
        <f t="array" ref="T1237">_xlfn.IFS(AND(N1237&lt;= 22, S1237=9), "SOWING",AND(N1237&lt;= 28, S1237=9), "COVERAGE",AND(N1237&lt;= 30, S1237=9), "FLUSH",AND(N1237&lt;= 11, S1237=10), "FLUSH",AND(N1237&lt;= 21, S1237=10), "PRODUCTION")</f>
        <v>SOWING</v>
      </c>
      <c r="U1237">
        <f>HOUR(datos_siembra[[#This Row],[Hour]])</f>
        <v>3</v>
      </c>
      <c r="V1237" cm="1">
        <f t="array" ref="V1237">_xlfn.IFS(AND(N1237&lt;= 22, S1237=9), N1237-7,AND(N1237&lt;= 28, S1237=9), N1237-25,AND(N1237&lt;= 30, S1237=9), N1237-28,AND(N1237&lt;= 11, S1237=10), N1237+2,AND(N1237&lt;= 21, S1237=10), N1237-11)</f>
        <v>10</v>
      </c>
    </row>
    <row r="1238" spans="1:22" x14ac:dyDescent="0.35">
      <c r="A1238" s="4">
        <v>45552</v>
      </c>
      <c r="B1238" s="5">
        <v>0.14489583333333333</v>
      </c>
      <c r="C1238">
        <v>79.7</v>
      </c>
      <c r="D1238">
        <v>75.900000000000006</v>
      </c>
      <c r="E1238">
        <v>81.400000000000006</v>
      </c>
      <c r="F1238">
        <v>78.900000000000006</v>
      </c>
      <c r="G1238">
        <v>0</v>
      </c>
      <c r="H1238">
        <v>0</v>
      </c>
      <c r="I1238">
        <v>0</v>
      </c>
      <c r="J1238">
        <v>0</v>
      </c>
      <c r="K1238">
        <v>62</v>
      </c>
      <c r="L1238">
        <v>60.1</v>
      </c>
      <c r="M1238">
        <v>78.97</v>
      </c>
      <c r="N1238">
        <v>17</v>
      </c>
      <c r="O1238">
        <v>7</v>
      </c>
      <c r="P1238">
        <f>MOD(DAY(datos_siembra[[#This Row],[Date]]),7)</f>
        <v>3</v>
      </c>
      <c r="Q1238" t="str">
        <f>CHOOSE(WEEKDAY(datos_siembra[[#This Row],[Date]],2),"L","M","X","J","V","S","D")</f>
        <v>M</v>
      </c>
      <c r="R1238">
        <f>WEEKNUM(datos_siembra[[#This Row],[Date]],2)-WEEKNUM(DATE(YEAR(datos_siembra[[#This Row],[Date]]),MONTH(datos_siembra[[#This Row],[Date]]),1))+1</f>
        <v>3</v>
      </c>
      <c r="S1238">
        <f>MONTH(datos_siembra[[#This Row],[Date]])</f>
        <v>9</v>
      </c>
      <c r="T1238" t="str" cm="1">
        <f t="array" ref="T1238">_xlfn.IFS(AND(N1238&lt;= 22, S1238=9), "SOWING",AND(N1238&lt;= 28, S1238=9), "COVERAGE",AND(N1238&lt;= 30, S1238=9), "FLUSH",AND(N1238&lt;= 11, S1238=10), "FLUSH",AND(N1238&lt;= 21, S1238=10), "PRODUCTION")</f>
        <v>SOWING</v>
      </c>
      <c r="U1238">
        <f>HOUR(datos_siembra[[#This Row],[Hour]])</f>
        <v>3</v>
      </c>
      <c r="V1238" cm="1">
        <f t="array" ref="V1238">_xlfn.IFS(AND(N1238&lt;= 22, S1238=9), N1238-7,AND(N1238&lt;= 28, S1238=9), N1238-25,AND(N1238&lt;= 30, S1238=9), N1238-28,AND(N1238&lt;= 11, S1238=10), N1238+2,AND(N1238&lt;= 21, S1238=10), N1238-11)</f>
        <v>10</v>
      </c>
    </row>
    <row r="1239" spans="1:22" x14ac:dyDescent="0.35">
      <c r="A1239" s="4">
        <v>45552</v>
      </c>
      <c r="B1239" s="5">
        <v>0.15184027777777778</v>
      </c>
      <c r="C1239">
        <v>79.7</v>
      </c>
      <c r="D1239">
        <v>76</v>
      </c>
      <c r="E1239">
        <v>81.3</v>
      </c>
      <c r="F1239">
        <v>79</v>
      </c>
      <c r="G1239">
        <v>0</v>
      </c>
      <c r="H1239">
        <v>0</v>
      </c>
      <c r="I1239">
        <v>0</v>
      </c>
      <c r="J1239">
        <v>0</v>
      </c>
      <c r="K1239">
        <v>62</v>
      </c>
      <c r="L1239">
        <v>60.1</v>
      </c>
      <c r="M1239">
        <v>79</v>
      </c>
      <c r="N1239">
        <v>17</v>
      </c>
      <c r="O1239">
        <v>7</v>
      </c>
      <c r="P1239">
        <f>MOD(DAY(datos_siembra[[#This Row],[Date]]),7)</f>
        <v>3</v>
      </c>
      <c r="Q1239" t="str">
        <f>CHOOSE(WEEKDAY(datos_siembra[[#This Row],[Date]],2),"L","M","X","J","V","S","D")</f>
        <v>M</v>
      </c>
      <c r="R1239">
        <f>WEEKNUM(datos_siembra[[#This Row],[Date]],2)-WEEKNUM(DATE(YEAR(datos_siembra[[#This Row],[Date]]),MONTH(datos_siembra[[#This Row],[Date]]),1))+1</f>
        <v>3</v>
      </c>
      <c r="S1239">
        <f>MONTH(datos_siembra[[#This Row],[Date]])</f>
        <v>9</v>
      </c>
      <c r="T1239" t="str" cm="1">
        <f t="array" ref="T1239">_xlfn.IFS(AND(N1239&lt;= 22, S1239=9), "SOWING",AND(N1239&lt;= 28, S1239=9), "COVERAGE",AND(N1239&lt;= 30, S1239=9), "FLUSH",AND(N1239&lt;= 11, S1239=10), "FLUSH",AND(N1239&lt;= 21, S1239=10), "PRODUCTION")</f>
        <v>SOWING</v>
      </c>
      <c r="U1239">
        <f>HOUR(datos_siembra[[#This Row],[Hour]])</f>
        <v>3</v>
      </c>
      <c r="V1239" cm="1">
        <f t="array" ref="V1239">_xlfn.IFS(AND(N1239&lt;= 22, S1239=9), N1239-7,AND(N1239&lt;= 28, S1239=9), N1239-25,AND(N1239&lt;= 30, S1239=9), N1239-28,AND(N1239&lt;= 11, S1239=10), N1239+2,AND(N1239&lt;= 21, S1239=10), N1239-11)</f>
        <v>10</v>
      </c>
    </row>
    <row r="1240" spans="1:22" x14ac:dyDescent="0.35">
      <c r="A1240" s="4">
        <v>45552</v>
      </c>
      <c r="B1240" s="5">
        <v>0.15878472222222223</v>
      </c>
      <c r="C1240">
        <v>79.7</v>
      </c>
      <c r="D1240">
        <v>76</v>
      </c>
      <c r="E1240">
        <v>81.2</v>
      </c>
      <c r="F1240">
        <v>79.099999999999994</v>
      </c>
      <c r="G1240">
        <v>0</v>
      </c>
      <c r="H1240">
        <v>0</v>
      </c>
      <c r="I1240">
        <v>0</v>
      </c>
      <c r="J1240">
        <v>0</v>
      </c>
      <c r="K1240">
        <v>61.9</v>
      </c>
      <c r="L1240">
        <v>60</v>
      </c>
      <c r="M1240">
        <v>78.88</v>
      </c>
      <c r="N1240">
        <v>17</v>
      </c>
      <c r="O1240">
        <v>7</v>
      </c>
      <c r="P1240">
        <f>MOD(DAY(datos_siembra[[#This Row],[Date]]),7)</f>
        <v>3</v>
      </c>
      <c r="Q1240" t="str">
        <f>CHOOSE(WEEKDAY(datos_siembra[[#This Row],[Date]],2),"L","M","X","J","V","S","D")</f>
        <v>M</v>
      </c>
      <c r="R1240">
        <f>WEEKNUM(datos_siembra[[#This Row],[Date]],2)-WEEKNUM(DATE(YEAR(datos_siembra[[#This Row],[Date]]),MONTH(datos_siembra[[#This Row],[Date]]),1))+1</f>
        <v>3</v>
      </c>
      <c r="S1240">
        <f>MONTH(datos_siembra[[#This Row],[Date]])</f>
        <v>9</v>
      </c>
      <c r="T1240" t="str" cm="1">
        <f t="array" ref="T1240">_xlfn.IFS(AND(N1240&lt;= 22, S1240=9), "SOWING",AND(N1240&lt;= 28, S1240=9), "COVERAGE",AND(N1240&lt;= 30, S1240=9), "FLUSH",AND(N1240&lt;= 11, S1240=10), "FLUSH",AND(N1240&lt;= 21, S1240=10), "PRODUCTION")</f>
        <v>SOWING</v>
      </c>
      <c r="U1240">
        <f>HOUR(datos_siembra[[#This Row],[Hour]])</f>
        <v>3</v>
      </c>
      <c r="V1240" cm="1">
        <f t="array" ref="V1240">_xlfn.IFS(AND(N1240&lt;= 22, S1240=9), N1240-7,AND(N1240&lt;= 28, S1240=9), N1240-25,AND(N1240&lt;= 30, S1240=9), N1240-28,AND(N1240&lt;= 11, S1240=10), N1240+2,AND(N1240&lt;= 21, S1240=10), N1240-11)</f>
        <v>10</v>
      </c>
    </row>
    <row r="1241" spans="1:22" x14ac:dyDescent="0.35">
      <c r="A1241" s="4">
        <v>45552</v>
      </c>
      <c r="B1241" s="5">
        <v>0.16574074074074074</v>
      </c>
      <c r="C1241">
        <v>79.7</v>
      </c>
      <c r="D1241">
        <v>75.900000000000006</v>
      </c>
      <c r="E1241">
        <v>81.3</v>
      </c>
      <c r="F1241">
        <v>79</v>
      </c>
      <c r="G1241">
        <v>0</v>
      </c>
      <c r="H1241">
        <v>0</v>
      </c>
      <c r="I1241">
        <v>0</v>
      </c>
      <c r="J1241">
        <v>0</v>
      </c>
      <c r="K1241">
        <v>61.8</v>
      </c>
      <c r="L1241">
        <v>60</v>
      </c>
      <c r="M1241">
        <v>78.88</v>
      </c>
      <c r="N1241">
        <v>17</v>
      </c>
      <c r="O1241">
        <v>7</v>
      </c>
      <c r="P1241">
        <f>MOD(DAY(datos_siembra[[#This Row],[Date]]),7)</f>
        <v>3</v>
      </c>
      <c r="Q1241" t="str">
        <f>CHOOSE(WEEKDAY(datos_siembra[[#This Row],[Date]],2),"L","M","X","J","V","S","D")</f>
        <v>M</v>
      </c>
      <c r="R1241">
        <f>WEEKNUM(datos_siembra[[#This Row],[Date]],2)-WEEKNUM(DATE(YEAR(datos_siembra[[#This Row],[Date]]),MONTH(datos_siembra[[#This Row],[Date]]),1))+1</f>
        <v>3</v>
      </c>
      <c r="S1241">
        <f>MONTH(datos_siembra[[#This Row],[Date]])</f>
        <v>9</v>
      </c>
      <c r="T1241" t="str" cm="1">
        <f t="array" ref="T1241">_xlfn.IFS(AND(N1241&lt;= 22, S1241=9), "SOWING",AND(N1241&lt;= 28, S1241=9), "COVERAGE",AND(N1241&lt;= 30, S1241=9), "FLUSH",AND(N1241&lt;= 11, S1241=10), "FLUSH",AND(N1241&lt;= 21, S1241=10), "PRODUCTION")</f>
        <v>SOWING</v>
      </c>
      <c r="U1241">
        <f>HOUR(datos_siembra[[#This Row],[Hour]])</f>
        <v>3</v>
      </c>
      <c r="V1241" cm="1">
        <f t="array" ref="V1241">_xlfn.IFS(AND(N1241&lt;= 22, S1241=9), N1241-7,AND(N1241&lt;= 28, S1241=9), N1241-25,AND(N1241&lt;= 30, S1241=9), N1241-28,AND(N1241&lt;= 11, S1241=10), N1241+2,AND(N1241&lt;= 21, S1241=10), N1241-11)</f>
        <v>10</v>
      </c>
    </row>
    <row r="1242" spans="1:22" x14ac:dyDescent="0.35">
      <c r="A1242" s="4">
        <v>45552</v>
      </c>
      <c r="B1242" s="5">
        <v>0.17268518518518519</v>
      </c>
      <c r="C1242">
        <v>79.599999999999994</v>
      </c>
      <c r="D1242">
        <v>75.900000000000006</v>
      </c>
      <c r="E1242">
        <v>81.3</v>
      </c>
      <c r="F1242">
        <v>79</v>
      </c>
      <c r="G1242">
        <v>0</v>
      </c>
      <c r="H1242">
        <v>0</v>
      </c>
      <c r="I1242">
        <v>0</v>
      </c>
      <c r="J1242">
        <v>0</v>
      </c>
      <c r="K1242">
        <v>61.8</v>
      </c>
      <c r="L1242">
        <v>59.9</v>
      </c>
      <c r="M1242">
        <v>78.86</v>
      </c>
      <c r="N1242">
        <v>17</v>
      </c>
      <c r="O1242">
        <v>7</v>
      </c>
      <c r="P1242">
        <f>MOD(DAY(datos_siembra[[#This Row],[Date]]),7)</f>
        <v>3</v>
      </c>
      <c r="Q1242" t="str">
        <f>CHOOSE(WEEKDAY(datos_siembra[[#This Row],[Date]],2),"L","M","X","J","V","S","D")</f>
        <v>M</v>
      </c>
      <c r="R1242">
        <f>WEEKNUM(datos_siembra[[#This Row],[Date]],2)-WEEKNUM(DATE(YEAR(datos_siembra[[#This Row],[Date]]),MONTH(datos_siembra[[#This Row],[Date]]),1))+1</f>
        <v>3</v>
      </c>
      <c r="S1242">
        <f>MONTH(datos_siembra[[#This Row],[Date]])</f>
        <v>9</v>
      </c>
      <c r="T1242" t="str" cm="1">
        <f t="array" ref="T1242">_xlfn.IFS(AND(N1242&lt;= 22, S1242=9), "SOWING",AND(N1242&lt;= 28, S1242=9), "COVERAGE",AND(N1242&lt;= 30, S1242=9), "FLUSH",AND(N1242&lt;= 11, S1242=10), "FLUSH",AND(N1242&lt;= 21, S1242=10), "PRODUCTION")</f>
        <v>SOWING</v>
      </c>
      <c r="U1242">
        <f>HOUR(datos_siembra[[#This Row],[Hour]])</f>
        <v>4</v>
      </c>
      <c r="V1242" cm="1">
        <f t="array" ref="V1242">_xlfn.IFS(AND(N1242&lt;= 22, S1242=9), N1242-7,AND(N1242&lt;= 28, S1242=9), N1242-25,AND(N1242&lt;= 30, S1242=9), N1242-28,AND(N1242&lt;= 11, S1242=10), N1242+2,AND(N1242&lt;= 21, S1242=10), N1242-11)</f>
        <v>10</v>
      </c>
    </row>
    <row r="1243" spans="1:22" x14ac:dyDescent="0.35">
      <c r="A1243" s="4">
        <v>45552</v>
      </c>
      <c r="B1243" s="5">
        <v>0.17962962962962964</v>
      </c>
      <c r="C1243">
        <v>79.599999999999994</v>
      </c>
      <c r="D1243">
        <v>75.8</v>
      </c>
      <c r="E1243">
        <v>81.2</v>
      </c>
      <c r="F1243">
        <v>78.8</v>
      </c>
      <c r="G1243">
        <v>0</v>
      </c>
      <c r="H1243">
        <v>0</v>
      </c>
      <c r="I1243">
        <v>0</v>
      </c>
      <c r="J1243">
        <v>0</v>
      </c>
      <c r="K1243">
        <v>61.7</v>
      </c>
      <c r="L1243">
        <v>59.8</v>
      </c>
      <c r="M1243">
        <v>78.88</v>
      </c>
      <c r="N1243">
        <v>17</v>
      </c>
      <c r="O1243">
        <v>7</v>
      </c>
      <c r="P1243">
        <f>MOD(DAY(datos_siembra[[#This Row],[Date]]),7)</f>
        <v>3</v>
      </c>
      <c r="Q1243" t="str">
        <f>CHOOSE(WEEKDAY(datos_siembra[[#This Row],[Date]],2),"L","M","X","J","V","S","D")</f>
        <v>M</v>
      </c>
      <c r="R1243">
        <f>WEEKNUM(datos_siembra[[#This Row],[Date]],2)-WEEKNUM(DATE(YEAR(datos_siembra[[#This Row],[Date]]),MONTH(datos_siembra[[#This Row],[Date]]),1))+1</f>
        <v>3</v>
      </c>
      <c r="S1243">
        <f>MONTH(datos_siembra[[#This Row],[Date]])</f>
        <v>9</v>
      </c>
      <c r="T1243" t="str" cm="1">
        <f t="array" ref="T1243">_xlfn.IFS(AND(N1243&lt;= 22, S1243=9), "SOWING",AND(N1243&lt;= 28, S1243=9), "COVERAGE",AND(N1243&lt;= 30, S1243=9), "FLUSH",AND(N1243&lt;= 11, S1243=10), "FLUSH",AND(N1243&lt;= 21, S1243=10), "PRODUCTION")</f>
        <v>SOWING</v>
      </c>
      <c r="U1243">
        <f>HOUR(datos_siembra[[#This Row],[Hour]])</f>
        <v>4</v>
      </c>
      <c r="V1243" cm="1">
        <f t="array" ref="V1243">_xlfn.IFS(AND(N1243&lt;= 22, S1243=9), N1243-7,AND(N1243&lt;= 28, S1243=9), N1243-25,AND(N1243&lt;= 30, S1243=9), N1243-28,AND(N1243&lt;= 11, S1243=10), N1243+2,AND(N1243&lt;= 21, S1243=10), N1243-11)</f>
        <v>10</v>
      </c>
    </row>
    <row r="1244" spans="1:22" x14ac:dyDescent="0.35">
      <c r="A1244" s="4">
        <v>45552</v>
      </c>
      <c r="B1244" s="5">
        <v>0.18657407407407409</v>
      </c>
      <c r="C1244">
        <v>79.599999999999994</v>
      </c>
      <c r="D1244">
        <v>75.8</v>
      </c>
      <c r="E1244">
        <v>81.3</v>
      </c>
      <c r="F1244">
        <v>78.900000000000006</v>
      </c>
      <c r="G1244">
        <v>0</v>
      </c>
      <c r="H1244">
        <v>0</v>
      </c>
      <c r="I1244">
        <v>0</v>
      </c>
      <c r="J1244">
        <v>0</v>
      </c>
      <c r="K1244">
        <v>61.7</v>
      </c>
      <c r="L1244">
        <v>59.8</v>
      </c>
      <c r="M1244">
        <v>78.86</v>
      </c>
      <c r="N1244">
        <v>17</v>
      </c>
      <c r="O1244">
        <v>7</v>
      </c>
      <c r="P1244">
        <f>MOD(DAY(datos_siembra[[#This Row],[Date]]),7)</f>
        <v>3</v>
      </c>
      <c r="Q1244" t="str">
        <f>CHOOSE(WEEKDAY(datos_siembra[[#This Row],[Date]],2),"L","M","X","J","V","S","D")</f>
        <v>M</v>
      </c>
      <c r="R1244">
        <f>WEEKNUM(datos_siembra[[#This Row],[Date]],2)-WEEKNUM(DATE(YEAR(datos_siembra[[#This Row],[Date]]),MONTH(datos_siembra[[#This Row],[Date]]),1))+1</f>
        <v>3</v>
      </c>
      <c r="S1244">
        <f>MONTH(datos_siembra[[#This Row],[Date]])</f>
        <v>9</v>
      </c>
      <c r="T1244" t="str" cm="1">
        <f t="array" ref="T1244">_xlfn.IFS(AND(N1244&lt;= 22, S1244=9), "SOWING",AND(N1244&lt;= 28, S1244=9), "COVERAGE",AND(N1244&lt;= 30, S1244=9), "FLUSH",AND(N1244&lt;= 11, S1244=10), "FLUSH",AND(N1244&lt;= 21, S1244=10), "PRODUCTION")</f>
        <v>SOWING</v>
      </c>
      <c r="U1244">
        <f>HOUR(datos_siembra[[#This Row],[Hour]])</f>
        <v>4</v>
      </c>
      <c r="V1244" cm="1">
        <f t="array" ref="V1244">_xlfn.IFS(AND(N1244&lt;= 22, S1244=9), N1244-7,AND(N1244&lt;= 28, S1244=9), N1244-25,AND(N1244&lt;= 30, S1244=9), N1244-28,AND(N1244&lt;= 11, S1244=10), N1244+2,AND(N1244&lt;= 21, S1244=10), N1244-11)</f>
        <v>10</v>
      </c>
    </row>
    <row r="1245" spans="1:22" x14ac:dyDescent="0.35">
      <c r="A1245" s="4">
        <v>45552</v>
      </c>
      <c r="B1245" s="5">
        <v>0.1935300925925926</v>
      </c>
      <c r="C1245">
        <v>79.5</v>
      </c>
      <c r="D1245">
        <v>75.8</v>
      </c>
      <c r="E1245">
        <v>81.3</v>
      </c>
      <c r="F1245">
        <v>78.8</v>
      </c>
      <c r="G1245">
        <v>0</v>
      </c>
      <c r="H1245">
        <v>0</v>
      </c>
      <c r="I1245">
        <v>0</v>
      </c>
      <c r="J1245">
        <v>0</v>
      </c>
      <c r="K1245">
        <v>61.7</v>
      </c>
      <c r="L1245">
        <v>59.7</v>
      </c>
      <c r="M1245">
        <v>78.739999999999995</v>
      </c>
      <c r="N1245">
        <v>17</v>
      </c>
      <c r="O1245">
        <v>7</v>
      </c>
      <c r="P1245">
        <f>MOD(DAY(datos_siembra[[#This Row],[Date]]),7)</f>
        <v>3</v>
      </c>
      <c r="Q1245" t="str">
        <f>CHOOSE(WEEKDAY(datos_siembra[[#This Row],[Date]],2),"L","M","X","J","V","S","D")</f>
        <v>M</v>
      </c>
      <c r="R1245">
        <f>WEEKNUM(datos_siembra[[#This Row],[Date]],2)-WEEKNUM(DATE(YEAR(datos_siembra[[#This Row],[Date]]),MONTH(datos_siembra[[#This Row],[Date]]),1))+1</f>
        <v>3</v>
      </c>
      <c r="S1245">
        <f>MONTH(datos_siembra[[#This Row],[Date]])</f>
        <v>9</v>
      </c>
      <c r="T1245" t="str" cm="1">
        <f t="array" ref="T1245">_xlfn.IFS(AND(N1245&lt;= 22, S1245=9), "SOWING",AND(N1245&lt;= 28, S1245=9), "COVERAGE",AND(N1245&lt;= 30, S1245=9), "FLUSH",AND(N1245&lt;= 11, S1245=10), "FLUSH",AND(N1245&lt;= 21, S1245=10), "PRODUCTION")</f>
        <v>SOWING</v>
      </c>
      <c r="U1245">
        <f>HOUR(datos_siembra[[#This Row],[Hour]])</f>
        <v>4</v>
      </c>
      <c r="V1245" cm="1">
        <f t="array" ref="V1245">_xlfn.IFS(AND(N1245&lt;= 22, S1245=9), N1245-7,AND(N1245&lt;= 28, S1245=9), N1245-25,AND(N1245&lt;= 30, S1245=9), N1245-28,AND(N1245&lt;= 11, S1245=10), N1245+2,AND(N1245&lt;= 21, S1245=10), N1245-11)</f>
        <v>10</v>
      </c>
    </row>
    <row r="1246" spans="1:22" x14ac:dyDescent="0.35">
      <c r="A1246" s="4">
        <v>45552</v>
      </c>
      <c r="B1246" s="5">
        <v>0.20047453703703705</v>
      </c>
      <c r="C1246">
        <v>79.7</v>
      </c>
      <c r="D1246">
        <v>75.599999999999994</v>
      </c>
      <c r="E1246">
        <v>81.099999999999994</v>
      </c>
      <c r="F1246">
        <v>78.8</v>
      </c>
      <c r="G1246">
        <v>0</v>
      </c>
      <c r="H1246">
        <v>0</v>
      </c>
      <c r="I1246">
        <v>0</v>
      </c>
      <c r="J1246">
        <v>0</v>
      </c>
      <c r="K1246">
        <v>61.6</v>
      </c>
      <c r="L1246">
        <v>59.7</v>
      </c>
      <c r="M1246">
        <v>78.739999999999995</v>
      </c>
      <c r="N1246">
        <v>17</v>
      </c>
      <c r="O1246">
        <v>7</v>
      </c>
      <c r="P1246">
        <f>MOD(DAY(datos_siembra[[#This Row],[Date]]),7)</f>
        <v>3</v>
      </c>
      <c r="Q1246" t="str">
        <f>CHOOSE(WEEKDAY(datos_siembra[[#This Row],[Date]],2),"L","M","X","J","V","S","D")</f>
        <v>M</v>
      </c>
      <c r="R1246">
        <f>WEEKNUM(datos_siembra[[#This Row],[Date]],2)-WEEKNUM(DATE(YEAR(datos_siembra[[#This Row],[Date]]),MONTH(datos_siembra[[#This Row],[Date]]),1))+1</f>
        <v>3</v>
      </c>
      <c r="S1246">
        <f>MONTH(datos_siembra[[#This Row],[Date]])</f>
        <v>9</v>
      </c>
      <c r="T1246" t="str" cm="1">
        <f t="array" ref="T1246">_xlfn.IFS(AND(N1246&lt;= 22, S1246=9), "SOWING",AND(N1246&lt;= 28, S1246=9), "COVERAGE",AND(N1246&lt;= 30, S1246=9), "FLUSH",AND(N1246&lt;= 11, S1246=10), "FLUSH",AND(N1246&lt;= 21, S1246=10), "PRODUCTION")</f>
        <v>SOWING</v>
      </c>
      <c r="U1246">
        <f>HOUR(datos_siembra[[#This Row],[Hour]])</f>
        <v>4</v>
      </c>
      <c r="V1246" cm="1">
        <f t="array" ref="V1246">_xlfn.IFS(AND(N1246&lt;= 22, S1246=9), N1246-7,AND(N1246&lt;= 28, S1246=9), N1246-25,AND(N1246&lt;= 30, S1246=9), N1246-28,AND(N1246&lt;= 11, S1246=10), N1246+2,AND(N1246&lt;= 21, S1246=10), N1246-11)</f>
        <v>10</v>
      </c>
    </row>
    <row r="1247" spans="1:22" x14ac:dyDescent="0.35">
      <c r="A1247" s="4">
        <v>45552</v>
      </c>
      <c r="B1247" s="5">
        <v>0.20741898148148147</v>
      </c>
      <c r="C1247">
        <v>79.400000000000006</v>
      </c>
      <c r="D1247">
        <v>75.599999999999994</v>
      </c>
      <c r="E1247">
        <v>81.2</v>
      </c>
      <c r="F1247">
        <v>78.8</v>
      </c>
      <c r="G1247">
        <v>0</v>
      </c>
      <c r="H1247">
        <v>0</v>
      </c>
      <c r="I1247">
        <v>0</v>
      </c>
      <c r="J1247">
        <v>0</v>
      </c>
      <c r="K1247">
        <v>61.6</v>
      </c>
      <c r="L1247">
        <v>59.7</v>
      </c>
      <c r="M1247">
        <v>78.739999999999995</v>
      </c>
      <c r="N1247">
        <v>17</v>
      </c>
      <c r="O1247">
        <v>7</v>
      </c>
      <c r="P1247">
        <f>MOD(DAY(datos_siembra[[#This Row],[Date]]),7)</f>
        <v>3</v>
      </c>
      <c r="Q1247" t="str">
        <f>CHOOSE(WEEKDAY(datos_siembra[[#This Row],[Date]],2),"L","M","X","J","V","S","D")</f>
        <v>M</v>
      </c>
      <c r="R1247">
        <f>WEEKNUM(datos_siembra[[#This Row],[Date]],2)-WEEKNUM(DATE(YEAR(datos_siembra[[#This Row],[Date]]),MONTH(datos_siembra[[#This Row],[Date]]),1))+1</f>
        <v>3</v>
      </c>
      <c r="S1247">
        <f>MONTH(datos_siembra[[#This Row],[Date]])</f>
        <v>9</v>
      </c>
      <c r="T1247" t="str" cm="1">
        <f t="array" ref="T1247">_xlfn.IFS(AND(N1247&lt;= 22, S1247=9), "SOWING",AND(N1247&lt;= 28, S1247=9), "COVERAGE",AND(N1247&lt;= 30, S1247=9), "FLUSH",AND(N1247&lt;= 11, S1247=10), "FLUSH",AND(N1247&lt;= 21, S1247=10), "PRODUCTION")</f>
        <v>SOWING</v>
      </c>
      <c r="U1247">
        <f>HOUR(datos_siembra[[#This Row],[Hour]])</f>
        <v>4</v>
      </c>
      <c r="V1247" cm="1">
        <f t="array" ref="V1247">_xlfn.IFS(AND(N1247&lt;= 22, S1247=9), N1247-7,AND(N1247&lt;= 28, S1247=9), N1247-25,AND(N1247&lt;= 30, S1247=9), N1247-28,AND(N1247&lt;= 11, S1247=10), N1247+2,AND(N1247&lt;= 21, S1247=10), N1247-11)</f>
        <v>10</v>
      </c>
    </row>
    <row r="1248" spans="1:22" x14ac:dyDescent="0.35">
      <c r="A1248" s="4">
        <v>45552</v>
      </c>
      <c r="B1248" s="5">
        <v>0.21436342592592592</v>
      </c>
      <c r="C1248">
        <v>79.400000000000006</v>
      </c>
      <c r="D1248">
        <v>75.5</v>
      </c>
      <c r="E1248">
        <v>81.2</v>
      </c>
      <c r="F1248">
        <v>78.8</v>
      </c>
      <c r="G1248">
        <v>0</v>
      </c>
      <c r="H1248">
        <v>0</v>
      </c>
      <c r="I1248">
        <v>0</v>
      </c>
      <c r="J1248">
        <v>0</v>
      </c>
      <c r="K1248">
        <v>61.6</v>
      </c>
      <c r="L1248">
        <v>59.7</v>
      </c>
      <c r="M1248">
        <v>78.739999999999995</v>
      </c>
      <c r="N1248">
        <v>17</v>
      </c>
      <c r="O1248">
        <v>7</v>
      </c>
      <c r="P1248">
        <f>MOD(DAY(datos_siembra[[#This Row],[Date]]),7)</f>
        <v>3</v>
      </c>
      <c r="Q1248" t="str">
        <f>CHOOSE(WEEKDAY(datos_siembra[[#This Row],[Date]],2),"L","M","X","J","V","S","D")</f>
        <v>M</v>
      </c>
      <c r="R1248">
        <f>WEEKNUM(datos_siembra[[#This Row],[Date]],2)-WEEKNUM(DATE(YEAR(datos_siembra[[#This Row],[Date]]),MONTH(datos_siembra[[#This Row],[Date]]),1))+1</f>
        <v>3</v>
      </c>
      <c r="S1248">
        <f>MONTH(datos_siembra[[#This Row],[Date]])</f>
        <v>9</v>
      </c>
      <c r="T1248" t="str" cm="1">
        <f t="array" ref="T1248">_xlfn.IFS(AND(N1248&lt;= 22, S1248=9), "SOWING",AND(N1248&lt;= 28, S1248=9), "COVERAGE",AND(N1248&lt;= 30, S1248=9), "FLUSH",AND(N1248&lt;= 11, S1248=10), "FLUSH",AND(N1248&lt;= 21, S1248=10), "PRODUCTION")</f>
        <v>SOWING</v>
      </c>
      <c r="U1248">
        <f>HOUR(datos_siembra[[#This Row],[Hour]])</f>
        <v>5</v>
      </c>
      <c r="V1248" cm="1">
        <f t="array" ref="V1248">_xlfn.IFS(AND(N1248&lt;= 22, S1248=9), N1248-7,AND(N1248&lt;= 28, S1248=9), N1248-25,AND(N1248&lt;= 30, S1248=9), N1248-28,AND(N1248&lt;= 11, S1248=10), N1248+2,AND(N1248&lt;= 21, S1248=10), N1248-11)</f>
        <v>10</v>
      </c>
    </row>
    <row r="1249" spans="1:22" x14ac:dyDescent="0.35">
      <c r="A1249" s="4">
        <v>45552</v>
      </c>
      <c r="B1249" s="5">
        <v>0.22131944444444446</v>
      </c>
      <c r="C1249">
        <v>79.5</v>
      </c>
      <c r="D1249">
        <v>75.5</v>
      </c>
      <c r="E1249">
        <v>81.2</v>
      </c>
      <c r="F1249">
        <v>78.900000000000006</v>
      </c>
      <c r="G1249">
        <v>0</v>
      </c>
      <c r="H1249">
        <v>0</v>
      </c>
      <c r="I1249">
        <v>0</v>
      </c>
      <c r="J1249">
        <v>0</v>
      </c>
      <c r="K1249">
        <v>61.5</v>
      </c>
      <c r="L1249">
        <v>59.7</v>
      </c>
      <c r="M1249">
        <v>78.69</v>
      </c>
      <c r="N1249">
        <v>17</v>
      </c>
      <c r="O1249">
        <v>7</v>
      </c>
      <c r="P1249">
        <f>MOD(DAY(datos_siembra[[#This Row],[Date]]),7)</f>
        <v>3</v>
      </c>
      <c r="Q1249" t="str">
        <f>CHOOSE(WEEKDAY(datos_siembra[[#This Row],[Date]],2),"L","M","X","J","V","S","D")</f>
        <v>M</v>
      </c>
      <c r="R1249">
        <f>WEEKNUM(datos_siembra[[#This Row],[Date]],2)-WEEKNUM(DATE(YEAR(datos_siembra[[#This Row],[Date]]),MONTH(datos_siembra[[#This Row],[Date]]),1))+1</f>
        <v>3</v>
      </c>
      <c r="S1249">
        <f>MONTH(datos_siembra[[#This Row],[Date]])</f>
        <v>9</v>
      </c>
      <c r="T1249" t="str" cm="1">
        <f t="array" ref="T1249">_xlfn.IFS(AND(N1249&lt;= 22, S1249=9), "SOWING",AND(N1249&lt;= 28, S1249=9), "COVERAGE",AND(N1249&lt;= 30, S1249=9), "FLUSH",AND(N1249&lt;= 11, S1249=10), "FLUSH",AND(N1249&lt;= 21, S1249=10), "PRODUCTION")</f>
        <v>SOWING</v>
      </c>
      <c r="U1249">
        <f>HOUR(datos_siembra[[#This Row],[Hour]])</f>
        <v>5</v>
      </c>
      <c r="V1249" cm="1">
        <f t="array" ref="V1249">_xlfn.IFS(AND(N1249&lt;= 22, S1249=9), N1249-7,AND(N1249&lt;= 28, S1249=9), N1249-25,AND(N1249&lt;= 30, S1249=9), N1249-28,AND(N1249&lt;= 11, S1249=10), N1249+2,AND(N1249&lt;= 21, S1249=10), N1249-11)</f>
        <v>10</v>
      </c>
    </row>
    <row r="1250" spans="1:22" x14ac:dyDescent="0.35">
      <c r="A1250" s="4">
        <v>45552</v>
      </c>
      <c r="B1250" s="5">
        <v>0.22826388888888888</v>
      </c>
      <c r="C1250">
        <v>79.599999999999994</v>
      </c>
      <c r="D1250">
        <v>75.5</v>
      </c>
      <c r="E1250">
        <v>80.900000000000006</v>
      </c>
      <c r="F1250">
        <v>78.8</v>
      </c>
      <c r="G1250">
        <v>0</v>
      </c>
      <c r="H1250">
        <v>0</v>
      </c>
      <c r="I1250">
        <v>0</v>
      </c>
      <c r="J1250">
        <v>0</v>
      </c>
      <c r="K1250">
        <v>61.5</v>
      </c>
      <c r="L1250">
        <v>59.6</v>
      </c>
      <c r="M1250">
        <v>78.72</v>
      </c>
      <c r="N1250">
        <v>17</v>
      </c>
      <c r="O1250">
        <v>7</v>
      </c>
      <c r="P1250">
        <f>MOD(DAY(datos_siembra[[#This Row],[Date]]),7)</f>
        <v>3</v>
      </c>
      <c r="Q1250" t="str">
        <f>CHOOSE(WEEKDAY(datos_siembra[[#This Row],[Date]],2),"L","M","X","J","V","S","D")</f>
        <v>M</v>
      </c>
      <c r="R1250">
        <f>WEEKNUM(datos_siembra[[#This Row],[Date]],2)-WEEKNUM(DATE(YEAR(datos_siembra[[#This Row],[Date]]),MONTH(datos_siembra[[#This Row],[Date]]),1))+1</f>
        <v>3</v>
      </c>
      <c r="S1250">
        <f>MONTH(datos_siembra[[#This Row],[Date]])</f>
        <v>9</v>
      </c>
      <c r="T1250" t="str" cm="1">
        <f t="array" ref="T1250">_xlfn.IFS(AND(N1250&lt;= 22, S1250=9), "SOWING",AND(N1250&lt;= 28, S1250=9), "COVERAGE",AND(N1250&lt;= 30, S1250=9), "FLUSH",AND(N1250&lt;= 11, S1250=10), "FLUSH",AND(N1250&lt;= 21, S1250=10), "PRODUCTION")</f>
        <v>SOWING</v>
      </c>
      <c r="U1250">
        <f>HOUR(datos_siembra[[#This Row],[Hour]])</f>
        <v>5</v>
      </c>
      <c r="V1250" cm="1">
        <f t="array" ref="V1250">_xlfn.IFS(AND(N1250&lt;= 22, S1250=9), N1250-7,AND(N1250&lt;= 28, S1250=9), N1250-25,AND(N1250&lt;= 30, S1250=9), N1250-28,AND(N1250&lt;= 11, S1250=10), N1250+2,AND(N1250&lt;= 21, S1250=10), N1250-11)</f>
        <v>10</v>
      </c>
    </row>
    <row r="1251" spans="1:22" x14ac:dyDescent="0.35">
      <c r="A1251" s="4">
        <v>45552</v>
      </c>
      <c r="B1251" s="5">
        <v>0.23520833333333332</v>
      </c>
      <c r="C1251">
        <v>79.3</v>
      </c>
      <c r="D1251">
        <v>75.5</v>
      </c>
      <c r="E1251">
        <v>80.900000000000006</v>
      </c>
      <c r="F1251">
        <v>78.7</v>
      </c>
      <c r="G1251">
        <v>0</v>
      </c>
      <c r="H1251">
        <v>0</v>
      </c>
      <c r="I1251">
        <v>0</v>
      </c>
      <c r="J1251">
        <v>0</v>
      </c>
      <c r="K1251">
        <v>61.6</v>
      </c>
      <c r="L1251">
        <v>59.7</v>
      </c>
      <c r="M1251">
        <v>78.63</v>
      </c>
      <c r="N1251">
        <v>17</v>
      </c>
      <c r="O1251">
        <v>7</v>
      </c>
      <c r="P1251">
        <f>MOD(DAY(datos_siembra[[#This Row],[Date]]),7)</f>
        <v>3</v>
      </c>
      <c r="Q1251" t="str">
        <f>CHOOSE(WEEKDAY(datos_siembra[[#This Row],[Date]],2),"L","M","X","J","V","S","D")</f>
        <v>M</v>
      </c>
      <c r="R1251">
        <f>WEEKNUM(datos_siembra[[#This Row],[Date]],2)-WEEKNUM(DATE(YEAR(datos_siembra[[#This Row],[Date]]),MONTH(datos_siembra[[#This Row],[Date]]),1))+1</f>
        <v>3</v>
      </c>
      <c r="S1251">
        <f>MONTH(datos_siembra[[#This Row],[Date]])</f>
        <v>9</v>
      </c>
      <c r="T1251" t="str" cm="1">
        <f t="array" ref="T1251">_xlfn.IFS(AND(N1251&lt;= 22, S1251=9), "SOWING",AND(N1251&lt;= 28, S1251=9), "COVERAGE",AND(N1251&lt;= 30, S1251=9), "FLUSH",AND(N1251&lt;= 11, S1251=10), "FLUSH",AND(N1251&lt;= 21, S1251=10), "PRODUCTION")</f>
        <v>SOWING</v>
      </c>
      <c r="U1251">
        <f>HOUR(datos_siembra[[#This Row],[Hour]])</f>
        <v>5</v>
      </c>
      <c r="V1251" cm="1">
        <f t="array" ref="V1251">_xlfn.IFS(AND(N1251&lt;= 22, S1251=9), N1251-7,AND(N1251&lt;= 28, S1251=9), N1251-25,AND(N1251&lt;= 30, S1251=9), N1251-28,AND(N1251&lt;= 11, S1251=10), N1251+2,AND(N1251&lt;= 21, S1251=10), N1251-11)</f>
        <v>10</v>
      </c>
    </row>
    <row r="1252" spans="1:22" x14ac:dyDescent="0.35">
      <c r="A1252" s="4">
        <v>45552</v>
      </c>
      <c r="B1252" s="5">
        <v>0.24216435185185184</v>
      </c>
      <c r="C1252">
        <v>79.3</v>
      </c>
      <c r="D1252">
        <v>75.5</v>
      </c>
      <c r="E1252">
        <v>80.8</v>
      </c>
      <c r="F1252">
        <v>78.7</v>
      </c>
      <c r="G1252">
        <v>0</v>
      </c>
      <c r="H1252">
        <v>0</v>
      </c>
      <c r="I1252">
        <v>0</v>
      </c>
      <c r="J1252">
        <v>0</v>
      </c>
      <c r="K1252">
        <v>61.6</v>
      </c>
      <c r="L1252">
        <v>59.9</v>
      </c>
      <c r="M1252">
        <v>78.569999999999993</v>
      </c>
      <c r="N1252">
        <v>17</v>
      </c>
      <c r="O1252">
        <v>7</v>
      </c>
      <c r="P1252">
        <f>MOD(DAY(datos_siembra[[#This Row],[Date]]),7)</f>
        <v>3</v>
      </c>
      <c r="Q1252" t="str">
        <f>CHOOSE(WEEKDAY(datos_siembra[[#This Row],[Date]],2),"L","M","X","J","V","S","D")</f>
        <v>M</v>
      </c>
      <c r="R1252">
        <f>WEEKNUM(datos_siembra[[#This Row],[Date]],2)-WEEKNUM(DATE(YEAR(datos_siembra[[#This Row],[Date]]),MONTH(datos_siembra[[#This Row],[Date]]),1))+1</f>
        <v>3</v>
      </c>
      <c r="S1252">
        <f>MONTH(datos_siembra[[#This Row],[Date]])</f>
        <v>9</v>
      </c>
      <c r="T1252" t="str" cm="1">
        <f t="array" ref="T1252">_xlfn.IFS(AND(N1252&lt;= 22, S1252=9), "SOWING",AND(N1252&lt;= 28, S1252=9), "COVERAGE",AND(N1252&lt;= 30, S1252=9), "FLUSH",AND(N1252&lt;= 11, S1252=10), "FLUSH",AND(N1252&lt;= 21, S1252=10), "PRODUCTION")</f>
        <v>SOWING</v>
      </c>
      <c r="U1252">
        <f>HOUR(datos_siembra[[#This Row],[Hour]])</f>
        <v>5</v>
      </c>
      <c r="V1252" cm="1">
        <f t="array" ref="V1252">_xlfn.IFS(AND(N1252&lt;= 22, S1252=9), N1252-7,AND(N1252&lt;= 28, S1252=9), N1252-25,AND(N1252&lt;= 30, S1252=9), N1252-28,AND(N1252&lt;= 11, S1252=10), N1252+2,AND(N1252&lt;= 21, S1252=10), N1252-11)</f>
        <v>10</v>
      </c>
    </row>
    <row r="1253" spans="1:22" x14ac:dyDescent="0.35">
      <c r="A1253" s="4">
        <v>45552</v>
      </c>
      <c r="B1253" s="5">
        <v>0.24910879629629629</v>
      </c>
      <c r="C1253">
        <v>79.3</v>
      </c>
      <c r="D1253">
        <v>75.400000000000006</v>
      </c>
      <c r="E1253">
        <v>80.900000000000006</v>
      </c>
      <c r="F1253">
        <v>78.7</v>
      </c>
      <c r="G1253">
        <v>0</v>
      </c>
      <c r="H1253">
        <v>0</v>
      </c>
      <c r="I1253">
        <v>0</v>
      </c>
      <c r="J1253">
        <v>0</v>
      </c>
      <c r="K1253">
        <v>62.4</v>
      </c>
      <c r="L1253">
        <v>60.5</v>
      </c>
      <c r="M1253">
        <v>78.569999999999993</v>
      </c>
      <c r="N1253">
        <v>17</v>
      </c>
      <c r="O1253">
        <v>7</v>
      </c>
      <c r="P1253">
        <f>MOD(DAY(datos_siembra[[#This Row],[Date]]),7)</f>
        <v>3</v>
      </c>
      <c r="Q1253" t="str">
        <f>CHOOSE(WEEKDAY(datos_siembra[[#This Row],[Date]],2),"L","M","X","J","V","S","D")</f>
        <v>M</v>
      </c>
      <c r="R1253">
        <f>WEEKNUM(datos_siembra[[#This Row],[Date]],2)-WEEKNUM(DATE(YEAR(datos_siembra[[#This Row],[Date]]),MONTH(datos_siembra[[#This Row],[Date]]),1))+1</f>
        <v>3</v>
      </c>
      <c r="S1253">
        <f>MONTH(datos_siembra[[#This Row],[Date]])</f>
        <v>9</v>
      </c>
      <c r="T1253" t="str" cm="1">
        <f t="array" ref="T1253">_xlfn.IFS(AND(N1253&lt;= 22, S1253=9), "SOWING",AND(N1253&lt;= 28, S1253=9), "COVERAGE",AND(N1253&lt;= 30, S1253=9), "FLUSH",AND(N1253&lt;= 11, S1253=10), "FLUSH",AND(N1253&lt;= 21, S1253=10), "PRODUCTION")</f>
        <v>SOWING</v>
      </c>
      <c r="U1253">
        <f>HOUR(datos_siembra[[#This Row],[Hour]])</f>
        <v>5</v>
      </c>
      <c r="V1253" cm="1">
        <f t="array" ref="V1253">_xlfn.IFS(AND(N1253&lt;= 22, S1253=9), N1253-7,AND(N1253&lt;= 28, S1253=9), N1253-25,AND(N1253&lt;= 30, S1253=9), N1253-28,AND(N1253&lt;= 11, S1253=10), N1253+2,AND(N1253&lt;= 21, S1253=10), N1253-11)</f>
        <v>10</v>
      </c>
    </row>
    <row r="1254" spans="1:22" x14ac:dyDescent="0.35">
      <c r="A1254" s="4">
        <v>45552</v>
      </c>
      <c r="B1254" s="5">
        <v>0.25605324074074076</v>
      </c>
      <c r="C1254">
        <v>79.3</v>
      </c>
      <c r="D1254">
        <v>75.3</v>
      </c>
      <c r="E1254">
        <v>80.8</v>
      </c>
      <c r="F1254">
        <v>78.599999999999994</v>
      </c>
      <c r="G1254">
        <v>0</v>
      </c>
      <c r="H1254">
        <v>0</v>
      </c>
      <c r="I1254">
        <v>0</v>
      </c>
      <c r="J1254">
        <v>0</v>
      </c>
      <c r="K1254">
        <v>63.2</v>
      </c>
      <c r="L1254">
        <v>61.7</v>
      </c>
      <c r="M1254">
        <v>78.55</v>
      </c>
      <c r="N1254">
        <v>17</v>
      </c>
      <c r="O1254">
        <v>7</v>
      </c>
      <c r="P1254">
        <f>MOD(DAY(datos_siembra[[#This Row],[Date]]),7)</f>
        <v>3</v>
      </c>
      <c r="Q1254" t="str">
        <f>CHOOSE(WEEKDAY(datos_siembra[[#This Row],[Date]],2),"L","M","X","J","V","S","D")</f>
        <v>M</v>
      </c>
      <c r="R1254">
        <f>WEEKNUM(datos_siembra[[#This Row],[Date]],2)-WEEKNUM(DATE(YEAR(datos_siembra[[#This Row],[Date]]),MONTH(datos_siembra[[#This Row],[Date]]),1))+1</f>
        <v>3</v>
      </c>
      <c r="S1254">
        <f>MONTH(datos_siembra[[#This Row],[Date]])</f>
        <v>9</v>
      </c>
      <c r="T1254" t="str" cm="1">
        <f t="array" ref="T1254">_xlfn.IFS(AND(N1254&lt;= 22, S1254=9), "SOWING",AND(N1254&lt;= 28, S1254=9), "COVERAGE",AND(N1254&lt;= 30, S1254=9), "FLUSH",AND(N1254&lt;= 11, S1254=10), "FLUSH",AND(N1254&lt;= 21, S1254=10), "PRODUCTION")</f>
        <v>SOWING</v>
      </c>
      <c r="U1254">
        <f>HOUR(datos_siembra[[#This Row],[Hour]])</f>
        <v>6</v>
      </c>
      <c r="V1254" cm="1">
        <f t="array" ref="V1254">_xlfn.IFS(AND(N1254&lt;= 22, S1254=9), N1254-7,AND(N1254&lt;= 28, S1254=9), N1254-25,AND(N1254&lt;= 30, S1254=9), N1254-28,AND(N1254&lt;= 11, S1254=10), N1254+2,AND(N1254&lt;= 21, S1254=10), N1254-11)</f>
        <v>10</v>
      </c>
    </row>
    <row r="1255" spans="1:22" x14ac:dyDescent="0.35">
      <c r="A1255" s="4">
        <v>45552</v>
      </c>
      <c r="B1255" s="5">
        <v>0.26299768518518518</v>
      </c>
      <c r="C1255">
        <v>79.099999999999994</v>
      </c>
      <c r="D1255">
        <v>75.3</v>
      </c>
      <c r="E1255">
        <v>80.7</v>
      </c>
      <c r="F1255">
        <v>78.5</v>
      </c>
      <c r="G1255">
        <v>0</v>
      </c>
      <c r="H1255">
        <v>0</v>
      </c>
      <c r="I1255">
        <v>0</v>
      </c>
      <c r="J1255">
        <v>0</v>
      </c>
      <c r="K1255">
        <v>63.6</v>
      </c>
      <c r="L1255">
        <v>62</v>
      </c>
      <c r="M1255">
        <v>78.41</v>
      </c>
      <c r="N1255">
        <v>17</v>
      </c>
      <c r="O1255">
        <v>7</v>
      </c>
      <c r="P1255">
        <f>MOD(DAY(datos_siembra[[#This Row],[Date]]),7)</f>
        <v>3</v>
      </c>
      <c r="Q1255" t="str">
        <f>CHOOSE(WEEKDAY(datos_siembra[[#This Row],[Date]],2),"L","M","X","J","V","S","D")</f>
        <v>M</v>
      </c>
      <c r="R1255">
        <f>WEEKNUM(datos_siembra[[#This Row],[Date]],2)-WEEKNUM(DATE(YEAR(datos_siembra[[#This Row],[Date]]),MONTH(datos_siembra[[#This Row],[Date]]),1))+1</f>
        <v>3</v>
      </c>
      <c r="S1255">
        <f>MONTH(datos_siembra[[#This Row],[Date]])</f>
        <v>9</v>
      </c>
      <c r="T1255" t="str" cm="1">
        <f t="array" ref="T1255">_xlfn.IFS(AND(N1255&lt;= 22, S1255=9), "SOWING",AND(N1255&lt;= 28, S1255=9), "COVERAGE",AND(N1255&lt;= 30, S1255=9), "FLUSH",AND(N1255&lt;= 11, S1255=10), "FLUSH",AND(N1255&lt;= 21, S1255=10), "PRODUCTION")</f>
        <v>SOWING</v>
      </c>
      <c r="U1255">
        <f>HOUR(datos_siembra[[#This Row],[Hour]])</f>
        <v>6</v>
      </c>
      <c r="V1255" cm="1">
        <f t="array" ref="V1255">_xlfn.IFS(AND(N1255&lt;= 22, S1255=9), N1255-7,AND(N1255&lt;= 28, S1255=9), N1255-25,AND(N1255&lt;= 30, S1255=9), N1255-28,AND(N1255&lt;= 11, S1255=10), N1255+2,AND(N1255&lt;= 21, S1255=10), N1255-11)</f>
        <v>10</v>
      </c>
    </row>
    <row r="1256" spans="1:22" x14ac:dyDescent="0.35">
      <c r="A1256" s="4">
        <v>45552</v>
      </c>
      <c r="B1256" s="5">
        <v>0.26994212962962966</v>
      </c>
      <c r="C1256">
        <v>79.3</v>
      </c>
      <c r="D1256">
        <v>75.3</v>
      </c>
      <c r="E1256">
        <v>80.7</v>
      </c>
      <c r="F1256">
        <v>78.5</v>
      </c>
      <c r="G1256">
        <v>0</v>
      </c>
      <c r="H1256">
        <v>0</v>
      </c>
      <c r="I1256">
        <v>0</v>
      </c>
      <c r="J1256">
        <v>0</v>
      </c>
      <c r="K1256">
        <v>63.8</v>
      </c>
      <c r="L1256">
        <v>62.3</v>
      </c>
      <c r="M1256">
        <v>78.52</v>
      </c>
      <c r="N1256">
        <v>17</v>
      </c>
      <c r="O1256">
        <v>7</v>
      </c>
      <c r="P1256">
        <f>MOD(DAY(datos_siembra[[#This Row],[Date]]),7)</f>
        <v>3</v>
      </c>
      <c r="Q1256" t="str">
        <f>CHOOSE(WEEKDAY(datos_siembra[[#This Row],[Date]],2),"L","M","X","J","V","S","D")</f>
        <v>M</v>
      </c>
      <c r="R1256">
        <f>WEEKNUM(datos_siembra[[#This Row],[Date]],2)-WEEKNUM(DATE(YEAR(datos_siembra[[#This Row],[Date]]),MONTH(datos_siembra[[#This Row],[Date]]),1))+1</f>
        <v>3</v>
      </c>
      <c r="S1256">
        <f>MONTH(datos_siembra[[#This Row],[Date]])</f>
        <v>9</v>
      </c>
      <c r="T1256" t="str" cm="1">
        <f t="array" ref="T1256">_xlfn.IFS(AND(N1256&lt;= 22, S1256=9), "SOWING",AND(N1256&lt;= 28, S1256=9), "COVERAGE",AND(N1256&lt;= 30, S1256=9), "FLUSH",AND(N1256&lt;= 11, S1256=10), "FLUSH",AND(N1256&lt;= 21, S1256=10), "PRODUCTION")</f>
        <v>SOWING</v>
      </c>
      <c r="U1256">
        <f>HOUR(datos_siembra[[#This Row],[Hour]])</f>
        <v>6</v>
      </c>
      <c r="V1256" cm="1">
        <f t="array" ref="V1256">_xlfn.IFS(AND(N1256&lt;= 22, S1256=9), N1256-7,AND(N1256&lt;= 28, S1256=9), N1256-25,AND(N1256&lt;= 30, S1256=9), N1256-28,AND(N1256&lt;= 11, S1256=10), N1256+2,AND(N1256&lt;= 21, S1256=10), N1256-11)</f>
        <v>10</v>
      </c>
    </row>
    <row r="1257" spans="1:22" x14ac:dyDescent="0.35">
      <c r="A1257" s="4">
        <v>45552</v>
      </c>
      <c r="B1257" s="5">
        <v>0.27689814814814817</v>
      </c>
      <c r="C1257">
        <v>79.599999999999994</v>
      </c>
      <c r="D1257">
        <v>75.2</v>
      </c>
      <c r="E1257">
        <v>80.599999999999994</v>
      </c>
      <c r="F1257">
        <v>78.5</v>
      </c>
      <c r="G1257">
        <v>0</v>
      </c>
      <c r="H1257">
        <v>0</v>
      </c>
      <c r="I1257">
        <v>0</v>
      </c>
      <c r="J1257">
        <v>0</v>
      </c>
      <c r="K1257">
        <v>64.099999999999994</v>
      </c>
      <c r="L1257">
        <v>62.4</v>
      </c>
      <c r="M1257">
        <v>78.38</v>
      </c>
      <c r="N1257">
        <v>17</v>
      </c>
      <c r="O1257">
        <v>7</v>
      </c>
      <c r="P1257">
        <f>MOD(DAY(datos_siembra[[#This Row],[Date]]),7)</f>
        <v>3</v>
      </c>
      <c r="Q1257" t="str">
        <f>CHOOSE(WEEKDAY(datos_siembra[[#This Row],[Date]],2),"L","M","X","J","V","S","D")</f>
        <v>M</v>
      </c>
      <c r="R1257">
        <f>WEEKNUM(datos_siembra[[#This Row],[Date]],2)-WEEKNUM(DATE(YEAR(datos_siembra[[#This Row],[Date]]),MONTH(datos_siembra[[#This Row],[Date]]),1))+1</f>
        <v>3</v>
      </c>
      <c r="S1257">
        <f>MONTH(datos_siembra[[#This Row],[Date]])</f>
        <v>9</v>
      </c>
      <c r="T1257" t="str" cm="1">
        <f t="array" ref="T1257">_xlfn.IFS(AND(N1257&lt;= 22, S1257=9), "SOWING",AND(N1257&lt;= 28, S1257=9), "COVERAGE",AND(N1257&lt;= 30, S1257=9), "FLUSH",AND(N1257&lt;= 11, S1257=10), "FLUSH",AND(N1257&lt;= 21, S1257=10), "PRODUCTION")</f>
        <v>SOWING</v>
      </c>
      <c r="U1257">
        <f>HOUR(datos_siembra[[#This Row],[Hour]])</f>
        <v>6</v>
      </c>
      <c r="V1257" cm="1">
        <f t="array" ref="V1257">_xlfn.IFS(AND(N1257&lt;= 22, S1257=9), N1257-7,AND(N1257&lt;= 28, S1257=9), N1257-25,AND(N1257&lt;= 30, S1257=9), N1257-28,AND(N1257&lt;= 11, S1257=10), N1257+2,AND(N1257&lt;= 21, S1257=10), N1257-11)</f>
        <v>10</v>
      </c>
    </row>
    <row r="1258" spans="1:22" x14ac:dyDescent="0.35">
      <c r="A1258" s="4">
        <v>45552</v>
      </c>
      <c r="B1258" s="5">
        <v>0.28384259259259259</v>
      </c>
      <c r="C1258">
        <v>79.5</v>
      </c>
      <c r="D1258">
        <v>75.3</v>
      </c>
      <c r="E1258">
        <v>80.599999999999994</v>
      </c>
      <c r="F1258">
        <v>78.599999999999994</v>
      </c>
      <c r="G1258">
        <v>0</v>
      </c>
      <c r="H1258">
        <v>0</v>
      </c>
      <c r="I1258">
        <v>0</v>
      </c>
      <c r="J1258">
        <v>0</v>
      </c>
      <c r="K1258">
        <v>64.3</v>
      </c>
      <c r="L1258">
        <v>62.6</v>
      </c>
      <c r="M1258">
        <v>78.459999999999994</v>
      </c>
      <c r="N1258">
        <v>17</v>
      </c>
      <c r="O1258">
        <v>7</v>
      </c>
      <c r="P1258">
        <f>MOD(DAY(datos_siembra[[#This Row],[Date]]),7)</f>
        <v>3</v>
      </c>
      <c r="Q1258" t="str">
        <f>CHOOSE(WEEKDAY(datos_siembra[[#This Row],[Date]],2),"L","M","X","J","V","S","D")</f>
        <v>M</v>
      </c>
      <c r="R1258">
        <f>WEEKNUM(datos_siembra[[#This Row],[Date]],2)-WEEKNUM(DATE(YEAR(datos_siembra[[#This Row],[Date]]),MONTH(datos_siembra[[#This Row],[Date]]),1))+1</f>
        <v>3</v>
      </c>
      <c r="S1258">
        <f>MONTH(datos_siembra[[#This Row],[Date]])</f>
        <v>9</v>
      </c>
      <c r="T1258" t="str" cm="1">
        <f t="array" ref="T1258">_xlfn.IFS(AND(N1258&lt;= 22, S1258=9), "SOWING",AND(N1258&lt;= 28, S1258=9), "COVERAGE",AND(N1258&lt;= 30, S1258=9), "FLUSH",AND(N1258&lt;= 11, S1258=10), "FLUSH",AND(N1258&lt;= 21, S1258=10), "PRODUCTION")</f>
        <v>SOWING</v>
      </c>
      <c r="U1258">
        <f>HOUR(datos_siembra[[#This Row],[Hour]])</f>
        <v>6</v>
      </c>
      <c r="V1258" cm="1">
        <f t="array" ref="V1258">_xlfn.IFS(AND(N1258&lt;= 22, S1258=9), N1258-7,AND(N1258&lt;= 28, S1258=9), N1258-25,AND(N1258&lt;= 30, S1258=9), N1258-28,AND(N1258&lt;= 11, S1258=10), N1258+2,AND(N1258&lt;= 21, S1258=10), N1258-11)</f>
        <v>10</v>
      </c>
    </row>
    <row r="1259" spans="1:22" x14ac:dyDescent="0.35">
      <c r="A1259" s="4">
        <v>45552</v>
      </c>
      <c r="B1259" s="5">
        <v>0.29078703703703701</v>
      </c>
      <c r="C1259">
        <v>79.3</v>
      </c>
      <c r="D1259">
        <v>75.3</v>
      </c>
      <c r="E1259">
        <v>80.7</v>
      </c>
      <c r="F1259">
        <v>78.2</v>
      </c>
      <c r="G1259">
        <v>0</v>
      </c>
      <c r="H1259">
        <v>0</v>
      </c>
      <c r="I1259">
        <v>0</v>
      </c>
      <c r="J1259">
        <v>0</v>
      </c>
      <c r="K1259">
        <v>64.5</v>
      </c>
      <c r="L1259">
        <v>62.7</v>
      </c>
      <c r="M1259">
        <v>78.349999999999994</v>
      </c>
      <c r="N1259">
        <v>17</v>
      </c>
      <c r="O1259">
        <v>7</v>
      </c>
      <c r="P1259">
        <f>MOD(DAY(datos_siembra[[#This Row],[Date]]),7)</f>
        <v>3</v>
      </c>
      <c r="Q1259" t="str">
        <f>CHOOSE(WEEKDAY(datos_siembra[[#This Row],[Date]],2),"L","M","X","J","V","S","D")</f>
        <v>M</v>
      </c>
      <c r="R1259">
        <f>WEEKNUM(datos_siembra[[#This Row],[Date]],2)-WEEKNUM(DATE(YEAR(datos_siembra[[#This Row],[Date]]),MONTH(datos_siembra[[#This Row],[Date]]),1))+1</f>
        <v>3</v>
      </c>
      <c r="S1259">
        <f>MONTH(datos_siembra[[#This Row],[Date]])</f>
        <v>9</v>
      </c>
      <c r="T1259" t="str" cm="1">
        <f t="array" ref="T1259">_xlfn.IFS(AND(N1259&lt;= 22, S1259=9), "SOWING",AND(N1259&lt;= 28, S1259=9), "COVERAGE",AND(N1259&lt;= 30, S1259=9), "FLUSH",AND(N1259&lt;= 11, S1259=10), "FLUSH",AND(N1259&lt;= 21, S1259=10), "PRODUCTION")</f>
        <v>SOWING</v>
      </c>
      <c r="U1259">
        <f>HOUR(datos_siembra[[#This Row],[Hour]])</f>
        <v>6</v>
      </c>
      <c r="V1259" cm="1">
        <f t="array" ref="V1259">_xlfn.IFS(AND(N1259&lt;= 22, S1259=9), N1259-7,AND(N1259&lt;= 28, S1259=9), N1259-25,AND(N1259&lt;= 30, S1259=9), N1259-28,AND(N1259&lt;= 11, S1259=10), N1259+2,AND(N1259&lt;= 21, S1259=10), N1259-11)</f>
        <v>10</v>
      </c>
    </row>
    <row r="1260" spans="1:22" x14ac:dyDescent="0.35">
      <c r="A1260" s="4">
        <v>45552</v>
      </c>
      <c r="B1260" s="5">
        <v>0.29773148148148149</v>
      </c>
      <c r="C1260">
        <v>79.3</v>
      </c>
      <c r="D1260">
        <v>75.2</v>
      </c>
      <c r="E1260">
        <v>80.7</v>
      </c>
      <c r="F1260">
        <v>78.2</v>
      </c>
      <c r="G1260">
        <v>0</v>
      </c>
      <c r="H1260">
        <v>0</v>
      </c>
      <c r="I1260">
        <v>0</v>
      </c>
      <c r="J1260">
        <v>0</v>
      </c>
      <c r="K1260">
        <v>64.599999999999994</v>
      </c>
      <c r="L1260">
        <v>62.9</v>
      </c>
      <c r="M1260">
        <v>78.38</v>
      </c>
      <c r="N1260">
        <v>17</v>
      </c>
      <c r="O1260">
        <v>7</v>
      </c>
      <c r="P1260">
        <f>MOD(DAY(datos_siembra[[#This Row],[Date]]),7)</f>
        <v>3</v>
      </c>
      <c r="Q1260" t="str">
        <f>CHOOSE(WEEKDAY(datos_siembra[[#This Row],[Date]],2),"L","M","X","J","V","S","D")</f>
        <v>M</v>
      </c>
      <c r="R1260">
        <f>WEEKNUM(datos_siembra[[#This Row],[Date]],2)-WEEKNUM(DATE(YEAR(datos_siembra[[#This Row],[Date]]),MONTH(datos_siembra[[#This Row],[Date]]),1))+1</f>
        <v>3</v>
      </c>
      <c r="S1260">
        <f>MONTH(datos_siembra[[#This Row],[Date]])</f>
        <v>9</v>
      </c>
      <c r="T1260" t="str" cm="1">
        <f t="array" ref="T1260">_xlfn.IFS(AND(N1260&lt;= 22, S1260=9), "SOWING",AND(N1260&lt;= 28, S1260=9), "COVERAGE",AND(N1260&lt;= 30, S1260=9), "FLUSH",AND(N1260&lt;= 11, S1260=10), "FLUSH",AND(N1260&lt;= 21, S1260=10), "PRODUCTION")</f>
        <v>SOWING</v>
      </c>
      <c r="U1260">
        <f>HOUR(datos_siembra[[#This Row],[Hour]])</f>
        <v>7</v>
      </c>
      <c r="V1260" cm="1">
        <f t="array" ref="V1260">_xlfn.IFS(AND(N1260&lt;= 22, S1260=9), N1260-7,AND(N1260&lt;= 28, S1260=9), N1260-25,AND(N1260&lt;= 30, S1260=9), N1260-28,AND(N1260&lt;= 11, S1260=10), N1260+2,AND(N1260&lt;= 21, S1260=10), N1260-11)</f>
        <v>10</v>
      </c>
    </row>
    <row r="1261" spans="1:22" x14ac:dyDescent="0.35">
      <c r="A1261" s="4">
        <v>45552</v>
      </c>
      <c r="B1261" s="5">
        <v>0.3046875</v>
      </c>
      <c r="C1261">
        <v>79.400000000000006</v>
      </c>
      <c r="D1261">
        <v>75.3</v>
      </c>
      <c r="E1261">
        <v>80.400000000000006</v>
      </c>
      <c r="F1261">
        <v>78.2</v>
      </c>
      <c r="G1261">
        <v>0</v>
      </c>
      <c r="H1261">
        <v>0</v>
      </c>
      <c r="I1261">
        <v>0</v>
      </c>
      <c r="J1261">
        <v>0</v>
      </c>
      <c r="K1261">
        <v>64.599999999999994</v>
      </c>
      <c r="L1261">
        <v>63.2</v>
      </c>
      <c r="M1261">
        <v>78.319999999999993</v>
      </c>
      <c r="N1261">
        <v>17</v>
      </c>
      <c r="O1261">
        <v>7</v>
      </c>
      <c r="P1261">
        <f>MOD(DAY(datos_siembra[[#This Row],[Date]]),7)</f>
        <v>3</v>
      </c>
      <c r="Q1261" t="str">
        <f>CHOOSE(WEEKDAY(datos_siembra[[#This Row],[Date]],2),"L","M","X","J","V","S","D")</f>
        <v>M</v>
      </c>
      <c r="R1261">
        <f>WEEKNUM(datos_siembra[[#This Row],[Date]],2)-WEEKNUM(DATE(YEAR(datos_siembra[[#This Row],[Date]]),MONTH(datos_siembra[[#This Row],[Date]]),1))+1</f>
        <v>3</v>
      </c>
      <c r="S1261">
        <f>MONTH(datos_siembra[[#This Row],[Date]])</f>
        <v>9</v>
      </c>
      <c r="T1261" t="str" cm="1">
        <f t="array" ref="T1261">_xlfn.IFS(AND(N1261&lt;= 22, S1261=9), "SOWING",AND(N1261&lt;= 28, S1261=9), "COVERAGE",AND(N1261&lt;= 30, S1261=9), "FLUSH",AND(N1261&lt;= 11, S1261=10), "FLUSH",AND(N1261&lt;= 21, S1261=10), "PRODUCTION")</f>
        <v>SOWING</v>
      </c>
      <c r="U1261">
        <f>HOUR(datos_siembra[[#This Row],[Hour]])</f>
        <v>7</v>
      </c>
      <c r="V1261" cm="1">
        <f t="array" ref="V1261">_xlfn.IFS(AND(N1261&lt;= 22, S1261=9), N1261-7,AND(N1261&lt;= 28, S1261=9), N1261-25,AND(N1261&lt;= 30, S1261=9), N1261-28,AND(N1261&lt;= 11, S1261=10), N1261+2,AND(N1261&lt;= 21, S1261=10), N1261-11)</f>
        <v>10</v>
      </c>
    </row>
    <row r="1262" spans="1:22" x14ac:dyDescent="0.35">
      <c r="A1262" s="4">
        <v>45552</v>
      </c>
      <c r="B1262" s="5">
        <v>0.31163194444444442</v>
      </c>
      <c r="C1262">
        <v>79.400000000000006</v>
      </c>
      <c r="D1262">
        <v>75.2</v>
      </c>
      <c r="E1262">
        <v>80.5</v>
      </c>
      <c r="F1262">
        <v>78.400000000000006</v>
      </c>
      <c r="G1262">
        <v>0</v>
      </c>
      <c r="H1262">
        <v>0</v>
      </c>
      <c r="I1262">
        <v>0</v>
      </c>
      <c r="J1262">
        <v>0</v>
      </c>
      <c r="K1262">
        <v>64.900000000000006</v>
      </c>
      <c r="L1262">
        <v>63.3</v>
      </c>
      <c r="M1262">
        <v>78.349999999999994</v>
      </c>
      <c r="N1262">
        <v>17</v>
      </c>
      <c r="O1262">
        <v>7</v>
      </c>
      <c r="P1262">
        <f>MOD(DAY(datos_siembra[[#This Row],[Date]]),7)</f>
        <v>3</v>
      </c>
      <c r="Q1262" t="str">
        <f>CHOOSE(WEEKDAY(datos_siembra[[#This Row],[Date]],2),"L","M","X","J","V","S","D")</f>
        <v>M</v>
      </c>
      <c r="R1262">
        <f>WEEKNUM(datos_siembra[[#This Row],[Date]],2)-WEEKNUM(DATE(YEAR(datos_siembra[[#This Row],[Date]]),MONTH(datos_siembra[[#This Row],[Date]]),1))+1</f>
        <v>3</v>
      </c>
      <c r="S1262">
        <f>MONTH(datos_siembra[[#This Row],[Date]])</f>
        <v>9</v>
      </c>
      <c r="T1262" t="str" cm="1">
        <f t="array" ref="T1262">_xlfn.IFS(AND(N1262&lt;= 22, S1262=9), "SOWING",AND(N1262&lt;= 28, S1262=9), "COVERAGE",AND(N1262&lt;= 30, S1262=9), "FLUSH",AND(N1262&lt;= 11, S1262=10), "FLUSH",AND(N1262&lt;= 21, S1262=10), "PRODUCTION")</f>
        <v>SOWING</v>
      </c>
      <c r="U1262">
        <f>HOUR(datos_siembra[[#This Row],[Hour]])</f>
        <v>7</v>
      </c>
      <c r="V1262" cm="1">
        <f t="array" ref="V1262">_xlfn.IFS(AND(N1262&lt;= 22, S1262=9), N1262-7,AND(N1262&lt;= 28, S1262=9), N1262-25,AND(N1262&lt;= 30, S1262=9), N1262-28,AND(N1262&lt;= 11, S1262=10), N1262+2,AND(N1262&lt;= 21, S1262=10), N1262-11)</f>
        <v>10</v>
      </c>
    </row>
    <row r="1263" spans="1:22" x14ac:dyDescent="0.35">
      <c r="A1263" s="4">
        <v>45552</v>
      </c>
      <c r="B1263" s="5">
        <v>0.3185763888888889</v>
      </c>
      <c r="C1263">
        <v>79.3</v>
      </c>
      <c r="D1263">
        <v>75.2</v>
      </c>
      <c r="E1263">
        <v>80.400000000000006</v>
      </c>
      <c r="F1263">
        <v>78.099999999999994</v>
      </c>
      <c r="G1263">
        <v>0</v>
      </c>
      <c r="H1263">
        <v>0</v>
      </c>
      <c r="I1263">
        <v>0</v>
      </c>
      <c r="J1263">
        <v>0</v>
      </c>
      <c r="K1263">
        <v>65</v>
      </c>
      <c r="L1263">
        <v>63.4</v>
      </c>
      <c r="M1263">
        <v>78.290000000000006</v>
      </c>
      <c r="N1263">
        <v>17</v>
      </c>
      <c r="O1263">
        <v>7</v>
      </c>
      <c r="P1263">
        <f>MOD(DAY(datos_siembra[[#This Row],[Date]]),7)</f>
        <v>3</v>
      </c>
      <c r="Q1263" t="str">
        <f>CHOOSE(WEEKDAY(datos_siembra[[#This Row],[Date]],2),"L","M","X","J","V","S","D")</f>
        <v>M</v>
      </c>
      <c r="R1263">
        <f>WEEKNUM(datos_siembra[[#This Row],[Date]],2)-WEEKNUM(DATE(YEAR(datos_siembra[[#This Row],[Date]]),MONTH(datos_siembra[[#This Row],[Date]]),1))+1</f>
        <v>3</v>
      </c>
      <c r="S1263">
        <f>MONTH(datos_siembra[[#This Row],[Date]])</f>
        <v>9</v>
      </c>
      <c r="T1263" t="str" cm="1">
        <f t="array" ref="T1263">_xlfn.IFS(AND(N1263&lt;= 22, S1263=9), "SOWING",AND(N1263&lt;= 28, S1263=9), "COVERAGE",AND(N1263&lt;= 30, S1263=9), "FLUSH",AND(N1263&lt;= 11, S1263=10), "FLUSH",AND(N1263&lt;= 21, S1263=10), "PRODUCTION")</f>
        <v>SOWING</v>
      </c>
      <c r="U1263">
        <f>HOUR(datos_siembra[[#This Row],[Hour]])</f>
        <v>7</v>
      </c>
      <c r="V1263" cm="1">
        <f t="array" ref="V1263">_xlfn.IFS(AND(N1263&lt;= 22, S1263=9), N1263-7,AND(N1263&lt;= 28, S1263=9), N1263-25,AND(N1263&lt;= 30, S1263=9), N1263-28,AND(N1263&lt;= 11, S1263=10), N1263+2,AND(N1263&lt;= 21, S1263=10), N1263-11)</f>
        <v>10</v>
      </c>
    </row>
    <row r="1264" spans="1:22" x14ac:dyDescent="0.35">
      <c r="A1264" s="4">
        <v>45552</v>
      </c>
      <c r="B1264" s="5">
        <v>0.32553240740740741</v>
      </c>
      <c r="C1264">
        <v>79.099999999999994</v>
      </c>
      <c r="D1264">
        <v>75.3</v>
      </c>
      <c r="E1264">
        <v>80.3</v>
      </c>
      <c r="F1264">
        <v>78.099999999999994</v>
      </c>
      <c r="G1264">
        <v>0</v>
      </c>
      <c r="H1264">
        <v>0</v>
      </c>
      <c r="I1264">
        <v>0</v>
      </c>
      <c r="J1264">
        <v>0</v>
      </c>
      <c r="K1264">
        <v>65.099999999999994</v>
      </c>
      <c r="L1264">
        <v>63.6</v>
      </c>
      <c r="M1264">
        <v>78.27</v>
      </c>
      <c r="N1264">
        <v>17</v>
      </c>
      <c r="O1264">
        <v>7</v>
      </c>
      <c r="P1264">
        <f>MOD(DAY(datos_siembra[[#This Row],[Date]]),7)</f>
        <v>3</v>
      </c>
      <c r="Q1264" t="str">
        <f>CHOOSE(WEEKDAY(datos_siembra[[#This Row],[Date]],2),"L","M","X","J","V","S","D")</f>
        <v>M</v>
      </c>
      <c r="R1264">
        <f>WEEKNUM(datos_siembra[[#This Row],[Date]],2)-WEEKNUM(DATE(YEAR(datos_siembra[[#This Row],[Date]]),MONTH(datos_siembra[[#This Row],[Date]]),1))+1</f>
        <v>3</v>
      </c>
      <c r="S1264">
        <f>MONTH(datos_siembra[[#This Row],[Date]])</f>
        <v>9</v>
      </c>
      <c r="T1264" t="str" cm="1">
        <f t="array" ref="T1264">_xlfn.IFS(AND(N1264&lt;= 22, S1264=9), "SOWING",AND(N1264&lt;= 28, S1264=9), "COVERAGE",AND(N1264&lt;= 30, S1264=9), "FLUSH",AND(N1264&lt;= 11, S1264=10), "FLUSH",AND(N1264&lt;= 21, S1264=10), "PRODUCTION")</f>
        <v>SOWING</v>
      </c>
      <c r="U1264">
        <f>HOUR(datos_siembra[[#This Row],[Hour]])</f>
        <v>7</v>
      </c>
      <c r="V1264" cm="1">
        <f t="array" ref="V1264">_xlfn.IFS(AND(N1264&lt;= 22, S1264=9), N1264-7,AND(N1264&lt;= 28, S1264=9), N1264-25,AND(N1264&lt;= 30, S1264=9), N1264-28,AND(N1264&lt;= 11, S1264=10), N1264+2,AND(N1264&lt;= 21, S1264=10), N1264-11)</f>
        <v>10</v>
      </c>
    </row>
    <row r="1265" spans="1:22" x14ac:dyDescent="0.35">
      <c r="A1265" s="4">
        <v>45552</v>
      </c>
      <c r="B1265" s="5">
        <v>0.33247685185185183</v>
      </c>
      <c r="C1265">
        <v>79.400000000000006</v>
      </c>
      <c r="D1265">
        <v>75.2</v>
      </c>
      <c r="E1265">
        <v>80.3</v>
      </c>
      <c r="F1265">
        <v>78.099999999999994</v>
      </c>
      <c r="G1265">
        <v>0</v>
      </c>
      <c r="H1265">
        <v>0</v>
      </c>
      <c r="I1265">
        <v>0</v>
      </c>
      <c r="J1265">
        <v>0</v>
      </c>
      <c r="K1265">
        <v>65.3</v>
      </c>
      <c r="L1265">
        <v>63.7</v>
      </c>
      <c r="M1265">
        <v>78.239999999999995</v>
      </c>
      <c r="N1265">
        <v>17</v>
      </c>
      <c r="O1265">
        <v>7</v>
      </c>
      <c r="P1265">
        <f>MOD(DAY(datos_siembra[[#This Row],[Date]]),7)</f>
        <v>3</v>
      </c>
      <c r="Q1265" t="str">
        <f>CHOOSE(WEEKDAY(datos_siembra[[#This Row],[Date]],2),"L","M","X","J","V","S","D")</f>
        <v>M</v>
      </c>
      <c r="R1265">
        <f>WEEKNUM(datos_siembra[[#This Row],[Date]],2)-WEEKNUM(DATE(YEAR(datos_siembra[[#This Row],[Date]]),MONTH(datos_siembra[[#This Row],[Date]]),1))+1</f>
        <v>3</v>
      </c>
      <c r="S1265">
        <f>MONTH(datos_siembra[[#This Row],[Date]])</f>
        <v>9</v>
      </c>
      <c r="T1265" t="str" cm="1">
        <f t="array" ref="T1265">_xlfn.IFS(AND(N1265&lt;= 22, S1265=9), "SOWING",AND(N1265&lt;= 28, S1265=9), "COVERAGE",AND(N1265&lt;= 30, S1265=9), "FLUSH",AND(N1265&lt;= 11, S1265=10), "FLUSH",AND(N1265&lt;= 21, S1265=10), "PRODUCTION")</f>
        <v>SOWING</v>
      </c>
      <c r="U1265">
        <f>HOUR(datos_siembra[[#This Row],[Hour]])</f>
        <v>7</v>
      </c>
      <c r="V1265" cm="1">
        <f t="array" ref="V1265">_xlfn.IFS(AND(N1265&lt;= 22, S1265=9), N1265-7,AND(N1265&lt;= 28, S1265=9), N1265-25,AND(N1265&lt;= 30, S1265=9), N1265-28,AND(N1265&lt;= 11, S1265=10), N1265+2,AND(N1265&lt;= 21, S1265=10), N1265-11)</f>
        <v>10</v>
      </c>
    </row>
    <row r="1266" spans="1:22" x14ac:dyDescent="0.35">
      <c r="A1266" s="4">
        <v>45552</v>
      </c>
      <c r="B1266" s="5">
        <v>0.3394212962962963</v>
      </c>
      <c r="C1266">
        <v>79.400000000000006</v>
      </c>
      <c r="D1266">
        <v>75.3</v>
      </c>
      <c r="E1266">
        <v>80.099999999999994</v>
      </c>
      <c r="F1266">
        <v>78</v>
      </c>
      <c r="G1266">
        <v>0</v>
      </c>
      <c r="H1266">
        <v>0</v>
      </c>
      <c r="I1266">
        <v>0</v>
      </c>
      <c r="J1266">
        <v>0</v>
      </c>
      <c r="K1266">
        <v>65.3</v>
      </c>
      <c r="L1266">
        <v>63.9</v>
      </c>
      <c r="M1266">
        <v>78.099999999999994</v>
      </c>
      <c r="N1266">
        <v>17</v>
      </c>
      <c r="O1266">
        <v>7</v>
      </c>
      <c r="P1266">
        <f>MOD(DAY(datos_siembra[[#This Row],[Date]]),7)</f>
        <v>3</v>
      </c>
      <c r="Q1266" t="str">
        <f>CHOOSE(WEEKDAY(datos_siembra[[#This Row],[Date]],2),"L","M","X","J","V","S","D")</f>
        <v>M</v>
      </c>
      <c r="R1266">
        <f>WEEKNUM(datos_siembra[[#This Row],[Date]],2)-WEEKNUM(DATE(YEAR(datos_siembra[[#This Row],[Date]]),MONTH(datos_siembra[[#This Row],[Date]]),1))+1</f>
        <v>3</v>
      </c>
      <c r="S1266">
        <f>MONTH(datos_siembra[[#This Row],[Date]])</f>
        <v>9</v>
      </c>
      <c r="T1266" t="str" cm="1">
        <f t="array" ref="T1266">_xlfn.IFS(AND(N1266&lt;= 22, S1266=9), "SOWING",AND(N1266&lt;= 28, S1266=9), "COVERAGE",AND(N1266&lt;= 30, S1266=9), "FLUSH",AND(N1266&lt;= 11, S1266=10), "FLUSH",AND(N1266&lt;= 21, S1266=10), "PRODUCTION")</f>
        <v>SOWING</v>
      </c>
      <c r="U1266">
        <f>HOUR(datos_siembra[[#This Row],[Hour]])</f>
        <v>8</v>
      </c>
      <c r="V1266" cm="1">
        <f t="array" ref="V1266">_xlfn.IFS(AND(N1266&lt;= 22, S1266=9), N1266-7,AND(N1266&lt;= 28, S1266=9), N1266-25,AND(N1266&lt;= 30, S1266=9), N1266-28,AND(N1266&lt;= 11, S1266=10), N1266+2,AND(N1266&lt;= 21, S1266=10), N1266-11)</f>
        <v>10</v>
      </c>
    </row>
    <row r="1267" spans="1:22" x14ac:dyDescent="0.35">
      <c r="A1267" s="4">
        <v>45552</v>
      </c>
      <c r="B1267" s="5">
        <v>0.34636574074074072</v>
      </c>
      <c r="C1267">
        <v>79.099999999999994</v>
      </c>
      <c r="D1267">
        <v>75.099999999999994</v>
      </c>
      <c r="E1267">
        <v>80.099999999999994</v>
      </c>
      <c r="F1267">
        <v>78.2</v>
      </c>
      <c r="G1267">
        <v>0</v>
      </c>
      <c r="H1267">
        <v>0</v>
      </c>
      <c r="I1267">
        <v>0</v>
      </c>
      <c r="J1267">
        <v>0</v>
      </c>
      <c r="K1267">
        <v>65.5</v>
      </c>
      <c r="L1267">
        <v>64.2</v>
      </c>
      <c r="M1267">
        <v>78.209999999999994</v>
      </c>
      <c r="N1267">
        <v>17</v>
      </c>
      <c r="O1267">
        <v>7</v>
      </c>
      <c r="P1267">
        <f>MOD(DAY(datos_siembra[[#This Row],[Date]]),7)</f>
        <v>3</v>
      </c>
      <c r="Q1267" t="str">
        <f>CHOOSE(WEEKDAY(datos_siembra[[#This Row],[Date]],2),"L","M","X","J","V","S","D")</f>
        <v>M</v>
      </c>
      <c r="R1267">
        <f>WEEKNUM(datos_siembra[[#This Row],[Date]],2)-WEEKNUM(DATE(YEAR(datos_siembra[[#This Row],[Date]]),MONTH(datos_siembra[[#This Row],[Date]]),1))+1</f>
        <v>3</v>
      </c>
      <c r="S1267">
        <f>MONTH(datos_siembra[[#This Row],[Date]])</f>
        <v>9</v>
      </c>
      <c r="T1267" t="str" cm="1">
        <f t="array" ref="T1267">_xlfn.IFS(AND(N1267&lt;= 22, S1267=9), "SOWING",AND(N1267&lt;= 28, S1267=9), "COVERAGE",AND(N1267&lt;= 30, S1267=9), "FLUSH",AND(N1267&lt;= 11, S1267=10), "FLUSH",AND(N1267&lt;= 21, S1267=10), "PRODUCTION")</f>
        <v>SOWING</v>
      </c>
      <c r="U1267">
        <f>HOUR(datos_siembra[[#This Row],[Hour]])</f>
        <v>8</v>
      </c>
      <c r="V1267" cm="1">
        <f t="array" ref="V1267">_xlfn.IFS(AND(N1267&lt;= 22, S1267=9), N1267-7,AND(N1267&lt;= 28, S1267=9), N1267-25,AND(N1267&lt;= 30, S1267=9), N1267-28,AND(N1267&lt;= 11, S1267=10), N1267+2,AND(N1267&lt;= 21, S1267=10), N1267-11)</f>
        <v>10</v>
      </c>
    </row>
    <row r="1268" spans="1:22" x14ac:dyDescent="0.35">
      <c r="A1268" s="4">
        <v>45552</v>
      </c>
      <c r="B1268" s="5">
        <v>0.35332175925925924</v>
      </c>
      <c r="C1268">
        <v>79.099999999999994</v>
      </c>
      <c r="D1268">
        <v>75.3</v>
      </c>
      <c r="E1268">
        <v>80</v>
      </c>
      <c r="F1268">
        <v>78</v>
      </c>
      <c r="G1268">
        <v>0</v>
      </c>
      <c r="H1268">
        <v>0</v>
      </c>
      <c r="I1268">
        <v>0</v>
      </c>
      <c r="J1268">
        <v>0</v>
      </c>
      <c r="K1268">
        <v>65.8</v>
      </c>
      <c r="L1268">
        <v>64.3</v>
      </c>
      <c r="M1268">
        <v>78.180000000000007</v>
      </c>
      <c r="N1268">
        <v>17</v>
      </c>
      <c r="O1268">
        <v>7</v>
      </c>
      <c r="P1268">
        <f>MOD(DAY(datos_siembra[[#This Row],[Date]]),7)</f>
        <v>3</v>
      </c>
      <c r="Q1268" t="str">
        <f>CHOOSE(WEEKDAY(datos_siembra[[#This Row],[Date]],2),"L","M","X","J","V","S","D")</f>
        <v>M</v>
      </c>
      <c r="R1268">
        <f>WEEKNUM(datos_siembra[[#This Row],[Date]],2)-WEEKNUM(DATE(YEAR(datos_siembra[[#This Row],[Date]]),MONTH(datos_siembra[[#This Row],[Date]]),1))+1</f>
        <v>3</v>
      </c>
      <c r="S1268">
        <f>MONTH(datos_siembra[[#This Row],[Date]])</f>
        <v>9</v>
      </c>
      <c r="T1268" t="str" cm="1">
        <f t="array" ref="T1268">_xlfn.IFS(AND(N1268&lt;= 22, S1268=9), "SOWING",AND(N1268&lt;= 28, S1268=9), "COVERAGE",AND(N1268&lt;= 30, S1268=9), "FLUSH",AND(N1268&lt;= 11, S1268=10), "FLUSH",AND(N1268&lt;= 21, S1268=10), "PRODUCTION")</f>
        <v>SOWING</v>
      </c>
      <c r="U1268">
        <f>HOUR(datos_siembra[[#This Row],[Hour]])</f>
        <v>8</v>
      </c>
      <c r="V1268" cm="1">
        <f t="array" ref="V1268">_xlfn.IFS(AND(N1268&lt;= 22, S1268=9), N1268-7,AND(N1268&lt;= 28, S1268=9), N1268-25,AND(N1268&lt;= 30, S1268=9), N1268-28,AND(N1268&lt;= 11, S1268=10), N1268+2,AND(N1268&lt;= 21, S1268=10), N1268-11)</f>
        <v>10</v>
      </c>
    </row>
    <row r="1269" spans="1:22" x14ac:dyDescent="0.35">
      <c r="A1269" s="4">
        <v>45552</v>
      </c>
      <c r="B1269" s="5">
        <v>0.36026620370370371</v>
      </c>
      <c r="C1269">
        <v>79.3</v>
      </c>
      <c r="D1269">
        <v>75.3</v>
      </c>
      <c r="E1269">
        <v>80.099999999999994</v>
      </c>
      <c r="F1269">
        <v>78</v>
      </c>
      <c r="G1269">
        <v>0</v>
      </c>
      <c r="H1269">
        <v>0</v>
      </c>
      <c r="I1269">
        <v>0</v>
      </c>
      <c r="J1269">
        <v>0</v>
      </c>
      <c r="K1269">
        <v>66</v>
      </c>
      <c r="L1269">
        <v>64.5</v>
      </c>
      <c r="M1269">
        <v>78.12</v>
      </c>
      <c r="N1269">
        <v>17</v>
      </c>
      <c r="O1269">
        <v>7</v>
      </c>
      <c r="P1269">
        <f>MOD(DAY(datos_siembra[[#This Row],[Date]]),7)</f>
        <v>3</v>
      </c>
      <c r="Q1269" t="str">
        <f>CHOOSE(WEEKDAY(datos_siembra[[#This Row],[Date]],2),"L","M","X","J","V","S","D")</f>
        <v>M</v>
      </c>
      <c r="R1269">
        <f>WEEKNUM(datos_siembra[[#This Row],[Date]],2)-WEEKNUM(DATE(YEAR(datos_siembra[[#This Row],[Date]]),MONTH(datos_siembra[[#This Row],[Date]]),1))+1</f>
        <v>3</v>
      </c>
      <c r="S1269">
        <f>MONTH(datos_siembra[[#This Row],[Date]])</f>
        <v>9</v>
      </c>
      <c r="T1269" t="str" cm="1">
        <f t="array" ref="T1269">_xlfn.IFS(AND(N1269&lt;= 22, S1269=9), "SOWING",AND(N1269&lt;= 28, S1269=9), "COVERAGE",AND(N1269&lt;= 30, S1269=9), "FLUSH",AND(N1269&lt;= 11, S1269=10), "FLUSH",AND(N1269&lt;= 21, S1269=10), "PRODUCTION")</f>
        <v>SOWING</v>
      </c>
      <c r="U1269">
        <f>HOUR(datos_siembra[[#This Row],[Hour]])</f>
        <v>8</v>
      </c>
      <c r="V1269" cm="1">
        <f t="array" ref="V1269">_xlfn.IFS(AND(N1269&lt;= 22, S1269=9), N1269-7,AND(N1269&lt;= 28, S1269=9), N1269-25,AND(N1269&lt;= 30, S1269=9), N1269-28,AND(N1269&lt;= 11, S1269=10), N1269+2,AND(N1269&lt;= 21, S1269=10), N1269-11)</f>
        <v>10</v>
      </c>
    </row>
    <row r="1270" spans="1:22" x14ac:dyDescent="0.35">
      <c r="A1270" s="4">
        <v>45552</v>
      </c>
      <c r="B1270" s="5">
        <v>0.36721064814814813</v>
      </c>
      <c r="C1270">
        <v>79.099999999999994</v>
      </c>
      <c r="D1270">
        <v>75.3</v>
      </c>
      <c r="E1270">
        <v>79.900000000000006</v>
      </c>
      <c r="F1270">
        <v>78.099999999999994</v>
      </c>
      <c r="G1270">
        <v>0</v>
      </c>
      <c r="H1270">
        <v>0</v>
      </c>
      <c r="I1270">
        <v>0</v>
      </c>
      <c r="J1270">
        <v>0</v>
      </c>
      <c r="K1270">
        <v>66.099999999999994</v>
      </c>
      <c r="L1270">
        <v>64.7</v>
      </c>
      <c r="M1270">
        <v>78.150000000000006</v>
      </c>
      <c r="N1270">
        <v>17</v>
      </c>
      <c r="O1270">
        <v>7</v>
      </c>
      <c r="P1270">
        <f>MOD(DAY(datos_siembra[[#This Row],[Date]]),7)</f>
        <v>3</v>
      </c>
      <c r="Q1270" t="str">
        <f>CHOOSE(WEEKDAY(datos_siembra[[#This Row],[Date]],2),"L","M","X","J","V","S","D")</f>
        <v>M</v>
      </c>
      <c r="R1270">
        <f>WEEKNUM(datos_siembra[[#This Row],[Date]],2)-WEEKNUM(DATE(YEAR(datos_siembra[[#This Row],[Date]]),MONTH(datos_siembra[[#This Row],[Date]]),1))+1</f>
        <v>3</v>
      </c>
      <c r="S1270">
        <f>MONTH(datos_siembra[[#This Row],[Date]])</f>
        <v>9</v>
      </c>
      <c r="T1270" t="str" cm="1">
        <f t="array" ref="T1270">_xlfn.IFS(AND(N1270&lt;= 22, S1270=9), "SOWING",AND(N1270&lt;= 28, S1270=9), "COVERAGE",AND(N1270&lt;= 30, S1270=9), "FLUSH",AND(N1270&lt;= 11, S1270=10), "FLUSH",AND(N1270&lt;= 21, S1270=10), "PRODUCTION")</f>
        <v>SOWING</v>
      </c>
      <c r="U1270">
        <f>HOUR(datos_siembra[[#This Row],[Hour]])</f>
        <v>8</v>
      </c>
      <c r="V1270" cm="1">
        <f t="array" ref="V1270">_xlfn.IFS(AND(N1270&lt;= 22, S1270=9), N1270-7,AND(N1270&lt;= 28, S1270=9), N1270-25,AND(N1270&lt;= 30, S1270=9), N1270-28,AND(N1270&lt;= 11, S1270=10), N1270+2,AND(N1270&lt;= 21, S1270=10), N1270-11)</f>
        <v>10</v>
      </c>
    </row>
    <row r="1271" spans="1:22" x14ac:dyDescent="0.35">
      <c r="A1271" s="4">
        <v>45552</v>
      </c>
      <c r="B1271" s="5">
        <v>0.37416666666666665</v>
      </c>
      <c r="C1271">
        <v>79.3</v>
      </c>
      <c r="D1271">
        <v>75.099999999999994</v>
      </c>
      <c r="E1271">
        <v>80</v>
      </c>
      <c r="F1271">
        <v>78.099999999999994</v>
      </c>
      <c r="G1271">
        <v>0</v>
      </c>
      <c r="H1271">
        <v>0</v>
      </c>
      <c r="I1271">
        <v>0</v>
      </c>
      <c r="J1271">
        <v>0</v>
      </c>
      <c r="K1271">
        <v>66.099999999999994</v>
      </c>
      <c r="L1271">
        <v>64.900000000000006</v>
      </c>
      <c r="M1271">
        <v>78.180000000000007</v>
      </c>
      <c r="N1271">
        <v>17</v>
      </c>
      <c r="O1271">
        <v>7</v>
      </c>
      <c r="P1271">
        <f>MOD(DAY(datos_siembra[[#This Row],[Date]]),7)</f>
        <v>3</v>
      </c>
      <c r="Q1271" t="str">
        <f>CHOOSE(WEEKDAY(datos_siembra[[#This Row],[Date]],2),"L","M","X","J","V","S","D")</f>
        <v>M</v>
      </c>
      <c r="R1271">
        <f>WEEKNUM(datos_siembra[[#This Row],[Date]],2)-WEEKNUM(DATE(YEAR(datos_siembra[[#This Row],[Date]]),MONTH(datos_siembra[[#This Row],[Date]]),1))+1</f>
        <v>3</v>
      </c>
      <c r="S1271">
        <f>MONTH(datos_siembra[[#This Row],[Date]])</f>
        <v>9</v>
      </c>
      <c r="T1271" t="str" cm="1">
        <f t="array" ref="T1271">_xlfn.IFS(AND(N1271&lt;= 22, S1271=9), "SOWING",AND(N1271&lt;= 28, S1271=9), "COVERAGE",AND(N1271&lt;= 30, S1271=9), "FLUSH",AND(N1271&lt;= 11, S1271=10), "FLUSH",AND(N1271&lt;= 21, S1271=10), "PRODUCTION")</f>
        <v>SOWING</v>
      </c>
      <c r="U1271">
        <f>HOUR(datos_siembra[[#This Row],[Hour]])</f>
        <v>8</v>
      </c>
      <c r="V1271" cm="1">
        <f t="array" ref="V1271">_xlfn.IFS(AND(N1271&lt;= 22, S1271=9), N1271-7,AND(N1271&lt;= 28, S1271=9), N1271-25,AND(N1271&lt;= 30, S1271=9), N1271-28,AND(N1271&lt;= 11, S1271=10), N1271+2,AND(N1271&lt;= 21, S1271=10), N1271-11)</f>
        <v>10</v>
      </c>
    </row>
    <row r="1272" spans="1:22" x14ac:dyDescent="0.35">
      <c r="A1272" s="4">
        <v>45552</v>
      </c>
      <c r="B1272" s="5">
        <v>0.38111111111111112</v>
      </c>
      <c r="C1272">
        <v>79.099999999999994</v>
      </c>
      <c r="D1272">
        <v>75.099999999999994</v>
      </c>
      <c r="E1272">
        <v>79.8</v>
      </c>
      <c r="F1272">
        <v>78.099999999999994</v>
      </c>
      <c r="G1272">
        <v>0</v>
      </c>
      <c r="H1272">
        <v>0</v>
      </c>
      <c r="I1272">
        <v>0</v>
      </c>
      <c r="J1272">
        <v>0</v>
      </c>
      <c r="K1272">
        <v>66.2</v>
      </c>
      <c r="L1272">
        <v>65.099999999999994</v>
      </c>
      <c r="M1272">
        <v>78.150000000000006</v>
      </c>
      <c r="N1272">
        <v>17</v>
      </c>
      <c r="O1272">
        <v>7</v>
      </c>
      <c r="P1272">
        <f>MOD(DAY(datos_siembra[[#This Row],[Date]]),7)</f>
        <v>3</v>
      </c>
      <c r="Q1272" t="str">
        <f>CHOOSE(WEEKDAY(datos_siembra[[#This Row],[Date]],2),"L","M","X","J","V","S","D")</f>
        <v>M</v>
      </c>
      <c r="R1272">
        <f>WEEKNUM(datos_siembra[[#This Row],[Date]],2)-WEEKNUM(DATE(YEAR(datos_siembra[[#This Row],[Date]]),MONTH(datos_siembra[[#This Row],[Date]]),1))+1</f>
        <v>3</v>
      </c>
      <c r="S1272">
        <f>MONTH(datos_siembra[[#This Row],[Date]])</f>
        <v>9</v>
      </c>
      <c r="T1272" t="str" cm="1">
        <f t="array" ref="T1272">_xlfn.IFS(AND(N1272&lt;= 22, S1272=9), "SOWING",AND(N1272&lt;= 28, S1272=9), "COVERAGE",AND(N1272&lt;= 30, S1272=9), "FLUSH",AND(N1272&lt;= 11, S1272=10), "FLUSH",AND(N1272&lt;= 21, S1272=10), "PRODUCTION")</f>
        <v>SOWING</v>
      </c>
      <c r="U1272">
        <f>HOUR(datos_siembra[[#This Row],[Hour]])</f>
        <v>9</v>
      </c>
      <c r="V1272" cm="1">
        <f t="array" ref="V1272">_xlfn.IFS(AND(N1272&lt;= 22, S1272=9), N1272-7,AND(N1272&lt;= 28, S1272=9), N1272-25,AND(N1272&lt;= 30, S1272=9), N1272-28,AND(N1272&lt;= 11, S1272=10), N1272+2,AND(N1272&lt;= 21, S1272=10), N1272-11)</f>
        <v>10</v>
      </c>
    </row>
    <row r="1273" spans="1:22" x14ac:dyDescent="0.35">
      <c r="A1273" s="4">
        <v>45552</v>
      </c>
      <c r="B1273" s="5">
        <v>0.38805555555555554</v>
      </c>
      <c r="C1273">
        <v>79.099999999999994</v>
      </c>
      <c r="D1273">
        <v>75.3</v>
      </c>
      <c r="E1273">
        <v>79.8</v>
      </c>
      <c r="F1273">
        <v>77.900000000000006</v>
      </c>
      <c r="G1273">
        <v>0</v>
      </c>
      <c r="H1273">
        <v>0</v>
      </c>
      <c r="I1273">
        <v>0</v>
      </c>
      <c r="J1273">
        <v>0</v>
      </c>
      <c r="K1273">
        <v>66.400000000000006</v>
      </c>
      <c r="L1273">
        <v>65.2</v>
      </c>
      <c r="M1273">
        <v>78.099999999999994</v>
      </c>
      <c r="N1273">
        <v>17</v>
      </c>
      <c r="O1273">
        <v>7</v>
      </c>
      <c r="P1273">
        <f>MOD(DAY(datos_siembra[[#This Row],[Date]]),7)</f>
        <v>3</v>
      </c>
      <c r="Q1273" t="str">
        <f>CHOOSE(WEEKDAY(datos_siembra[[#This Row],[Date]],2),"L","M","X","J","V","S","D")</f>
        <v>M</v>
      </c>
      <c r="R1273">
        <f>WEEKNUM(datos_siembra[[#This Row],[Date]],2)-WEEKNUM(DATE(YEAR(datos_siembra[[#This Row],[Date]]),MONTH(datos_siembra[[#This Row],[Date]]),1))+1</f>
        <v>3</v>
      </c>
      <c r="S1273">
        <f>MONTH(datos_siembra[[#This Row],[Date]])</f>
        <v>9</v>
      </c>
      <c r="T1273" t="str" cm="1">
        <f t="array" ref="T1273">_xlfn.IFS(AND(N1273&lt;= 22, S1273=9), "SOWING",AND(N1273&lt;= 28, S1273=9), "COVERAGE",AND(N1273&lt;= 30, S1273=9), "FLUSH",AND(N1273&lt;= 11, S1273=10), "FLUSH",AND(N1273&lt;= 21, S1273=10), "PRODUCTION")</f>
        <v>SOWING</v>
      </c>
      <c r="U1273">
        <f>HOUR(datos_siembra[[#This Row],[Hour]])</f>
        <v>9</v>
      </c>
      <c r="V1273" cm="1">
        <f t="array" ref="V1273">_xlfn.IFS(AND(N1273&lt;= 22, S1273=9), N1273-7,AND(N1273&lt;= 28, S1273=9), N1273-25,AND(N1273&lt;= 30, S1273=9), N1273-28,AND(N1273&lt;= 11, S1273=10), N1273+2,AND(N1273&lt;= 21, S1273=10), N1273-11)</f>
        <v>10</v>
      </c>
    </row>
    <row r="1274" spans="1:22" x14ac:dyDescent="0.35">
      <c r="A1274" s="4">
        <v>45552</v>
      </c>
      <c r="B1274" s="5">
        <v>0.39501157407407406</v>
      </c>
      <c r="C1274">
        <v>79.3</v>
      </c>
      <c r="D1274">
        <v>75.3</v>
      </c>
      <c r="E1274">
        <v>79.900000000000006</v>
      </c>
      <c r="F1274">
        <v>78.099999999999994</v>
      </c>
      <c r="G1274">
        <v>0</v>
      </c>
      <c r="H1274">
        <v>0</v>
      </c>
      <c r="I1274">
        <v>0</v>
      </c>
      <c r="J1274">
        <v>0</v>
      </c>
      <c r="K1274">
        <v>66.8</v>
      </c>
      <c r="L1274">
        <v>65.3</v>
      </c>
      <c r="M1274">
        <v>78.12</v>
      </c>
      <c r="N1274">
        <v>17</v>
      </c>
      <c r="O1274">
        <v>7</v>
      </c>
      <c r="P1274">
        <f>MOD(DAY(datos_siembra[[#This Row],[Date]]),7)</f>
        <v>3</v>
      </c>
      <c r="Q1274" t="str">
        <f>CHOOSE(WEEKDAY(datos_siembra[[#This Row],[Date]],2),"L","M","X","J","V","S","D")</f>
        <v>M</v>
      </c>
      <c r="R1274">
        <f>WEEKNUM(datos_siembra[[#This Row],[Date]],2)-WEEKNUM(DATE(YEAR(datos_siembra[[#This Row],[Date]]),MONTH(datos_siembra[[#This Row],[Date]]),1))+1</f>
        <v>3</v>
      </c>
      <c r="S1274">
        <f>MONTH(datos_siembra[[#This Row],[Date]])</f>
        <v>9</v>
      </c>
      <c r="T1274" t="str" cm="1">
        <f t="array" ref="T1274">_xlfn.IFS(AND(N1274&lt;= 22, S1274=9), "SOWING",AND(N1274&lt;= 28, S1274=9), "COVERAGE",AND(N1274&lt;= 30, S1274=9), "FLUSH",AND(N1274&lt;= 11, S1274=10), "FLUSH",AND(N1274&lt;= 21, S1274=10), "PRODUCTION")</f>
        <v>SOWING</v>
      </c>
      <c r="U1274">
        <f>HOUR(datos_siembra[[#This Row],[Hour]])</f>
        <v>9</v>
      </c>
      <c r="V1274" cm="1">
        <f t="array" ref="V1274">_xlfn.IFS(AND(N1274&lt;= 22, S1274=9), N1274-7,AND(N1274&lt;= 28, S1274=9), N1274-25,AND(N1274&lt;= 30, S1274=9), N1274-28,AND(N1274&lt;= 11, S1274=10), N1274+2,AND(N1274&lt;= 21, S1274=10), N1274-11)</f>
        <v>10</v>
      </c>
    </row>
    <row r="1275" spans="1:22" x14ac:dyDescent="0.35">
      <c r="A1275" s="4">
        <v>45552</v>
      </c>
      <c r="B1275" s="5">
        <v>0.40195601851851853</v>
      </c>
      <c r="C1275">
        <v>79.3</v>
      </c>
      <c r="D1275">
        <v>75.3</v>
      </c>
      <c r="E1275">
        <v>80</v>
      </c>
      <c r="F1275">
        <v>77.900000000000006</v>
      </c>
      <c r="G1275">
        <v>0</v>
      </c>
      <c r="H1275">
        <v>0</v>
      </c>
      <c r="I1275">
        <v>0</v>
      </c>
      <c r="J1275">
        <v>0</v>
      </c>
      <c r="K1275">
        <v>66.900000000000006</v>
      </c>
      <c r="L1275">
        <v>65.400000000000006</v>
      </c>
      <c r="M1275">
        <v>78.069999999999993</v>
      </c>
      <c r="N1275">
        <v>17</v>
      </c>
      <c r="O1275">
        <v>7</v>
      </c>
      <c r="P1275">
        <f>MOD(DAY(datos_siembra[[#This Row],[Date]]),7)</f>
        <v>3</v>
      </c>
      <c r="Q1275" t="str">
        <f>CHOOSE(WEEKDAY(datos_siembra[[#This Row],[Date]],2),"L","M","X","J","V","S","D")</f>
        <v>M</v>
      </c>
      <c r="R1275">
        <f>WEEKNUM(datos_siembra[[#This Row],[Date]],2)-WEEKNUM(DATE(YEAR(datos_siembra[[#This Row],[Date]]),MONTH(datos_siembra[[#This Row],[Date]]),1))+1</f>
        <v>3</v>
      </c>
      <c r="S1275">
        <f>MONTH(datos_siembra[[#This Row],[Date]])</f>
        <v>9</v>
      </c>
      <c r="T1275" t="str" cm="1">
        <f t="array" ref="T1275">_xlfn.IFS(AND(N1275&lt;= 22, S1275=9), "SOWING",AND(N1275&lt;= 28, S1275=9), "COVERAGE",AND(N1275&lt;= 30, S1275=9), "FLUSH",AND(N1275&lt;= 11, S1275=10), "FLUSH",AND(N1275&lt;= 21, S1275=10), "PRODUCTION")</f>
        <v>SOWING</v>
      </c>
      <c r="U1275">
        <f>HOUR(datos_siembra[[#This Row],[Hour]])</f>
        <v>9</v>
      </c>
      <c r="V1275" cm="1">
        <f t="array" ref="V1275">_xlfn.IFS(AND(N1275&lt;= 22, S1275=9), N1275-7,AND(N1275&lt;= 28, S1275=9), N1275-25,AND(N1275&lt;= 30, S1275=9), N1275-28,AND(N1275&lt;= 11, S1275=10), N1275+2,AND(N1275&lt;= 21, S1275=10), N1275-11)</f>
        <v>10</v>
      </c>
    </row>
    <row r="1276" spans="1:22" x14ac:dyDescent="0.35">
      <c r="A1276" s="4">
        <v>45552</v>
      </c>
      <c r="B1276" s="5">
        <v>0.40890046296296295</v>
      </c>
      <c r="C1276">
        <v>79.099999999999994</v>
      </c>
      <c r="D1276">
        <v>75.2</v>
      </c>
      <c r="E1276">
        <v>79.900000000000006</v>
      </c>
      <c r="F1276">
        <v>78</v>
      </c>
      <c r="G1276">
        <v>0</v>
      </c>
      <c r="H1276">
        <v>0</v>
      </c>
      <c r="I1276">
        <v>0</v>
      </c>
      <c r="J1276">
        <v>0</v>
      </c>
      <c r="K1276">
        <v>66.900000000000006</v>
      </c>
      <c r="L1276">
        <v>65.599999999999994</v>
      </c>
      <c r="M1276">
        <v>78.099999999999994</v>
      </c>
      <c r="N1276">
        <v>17</v>
      </c>
      <c r="O1276">
        <v>7</v>
      </c>
      <c r="P1276">
        <f>MOD(DAY(datos_siembra[[#This Row],[Date]]),7)</f>
        <v>3</v>
      </c>
      <c r="Q1276" t="str">
        <f>CHOOSE(WEEKDAY(datos_siembra[[#This Row],[Date]],2),"L","M","X","J","V","S","D")</f>
        <v>M</v>
      </c>
      <c r="R1276">
        <f>WEEKNUM(datos_siembra[[#This Row],[Date]],2)-WEEKNUM(DATE(YEAR(datos_siembra[[#This Row],[Date]]),MONTH(datos_siembra[[#This Row],[Date]]),1))+1</f>
        <v>3</v>
      </c>
      <c r="S1276">
        <f>MONTH(datos_siembra[[#This Row],[Date]])</f>
        <v>9</v>
      </c>
      <c r="T1276" t="str" cm="1">
        <f t="array" ref="T1276">_xlfn.IFS(AND(N1276&lt;= 22, S1276=9), "SOWING",AND(N1276&lt;= 28, S1276=9), "COVERAGE",AND(N1276&lt;= 30, S1276=9), "FLUSH",AND(N1276&lt;= 11, S1276=10), "FLUSH",AND(N1276&lt;= 21, S1276=10), "PRODUCTION")</f>
        <v>SOWING</v>
      </c>
      <c r="U1276">
        <f>HOUR(datos_siembra[[#This Row],[Hour]])</f>
        <v>9</v>
      </c>
      <c r="V1276" cm="1">
        <f t="array" ref="V1276">_xlfn.IFS(AND(N1276&lt;= 22, S1276=9), N1276-7,AND(N1276&lt;= 28, S1276=9), N1276-25,AND(N1276&lt;= 30, S1276=9), N1276-28,AND(N1276&lt;= 11, S1276=10), N1276+2,AND(N1276&lt;= 21, S1276=10), N1276-11)</f>
        <v>10</v>
      </c>
    </row>
    <row r="1277" spans="1:22" x14ac:dyDescent="0.35">
      <c r="A1277" s="4">
        <v>45552</v>
      </c>
      <c r="B1277" s="5">
        <v>0.41585648148148147</v>
      </c>
      <c r="C1277">
        <v>79.099999999999994</v>
      </c>
      <c r="D1277">
        <v>75.3</v>
      </c>
      <c r="E1277">
        <v>79.900000000000006</v>
      </c>
      <c r="F1277">
        <v>78.099999999999994</v>
      </c>
      <c r="G1277">
        <v>0</v>
      </c>
      <c r="H1277">
        <v>0</v>
      </c>
      <c r="I1277">
        <v>0</v>
      </c>
      <c r="J1277">
        <v>0</v>
      </c>
      <c r="K1277">
        <v>66.900000000000006</v>
      </c>
      <c r="L1277">
        <v>65.599999999999994</v>
      </c>
      <c r="M1277">
        <v>77.98</v>
      </c>
      <c r="N1277">
        <v>17</v>
      </c>
      <c r="O1277">
        <v>7</v>
      </c>
      <c r="P1277">
        <f>MOD(DAY(datos_siembra[[#This Row],[Date]]),7)</f>
        <v>3</v>
      </c>
      <c r="Q1277" t="str">
        <f>CHOOSE(WEEKDAY(datos_siembra[[#This Row],[Date]],2),"L","M","X","J","V","S","D")</f>
        <v>M</v>
      </c>
      <c r="R1277">
        <f>WEEKNUM(datos_siembra[[#This Row],[Date]],2)-WEEKNUM(DATE(YEAR(datos_siembra[[#This Row],[Date]]),MONTH(datos_siembra[[#This Row],[Date]]),1))+1</f>
        <v>3</v>
      </c>
      <c r="S1277">
        <f>MONTH(datos_siembra[[#This Row],[Date]])</f>
        <v>9</v>
      </c>
      <c r="T1277" t="str" cm="1">
        <f t="array" ref="T1277">_xlfn.IFS(AND(N1277&lt;= 22, S1277=9), "SOWING",AND(N1277&lt;= 28, S1277=9), "COVERAGE",AND(N1277&lt;= 30, S1277=9), "FLUSH",AND(N1277&lt;= 11, S1277=10), "FLUSH",AND(N1277&lt;= 21, S1277=10), "PRODUCTION")</f>
        <v>SOWING</v>
      </c>
      <c r="U1277">
        <f>HOUR(datos_siembra[[#This Row],[Hour]])</f>
        <v>9</v>
      </c>
      <c r="V1277" cm="1">
        <f t="array" ref="V1277">_xlfn.IFS(AND(N1277&lt;= 22, S1277=9), N1277-7,AND(N1277&lt;= 28, S1277=9), N1277-25,AND(N1277&lt;= 30, S1277=9), N1277-28,AND(N1277&lt;= 11, S1277=10), N1277+2,AND(N1277&lt;= 21, S1277=10), N1277-11)</f>
        <v>10</v>
      </c>
    </row>
    <row r="1278" spans="1:22" x14ac:dyDescent="0.35">
      <c r="A1278" s="4">
        <v>45552</v>
      </c>
      <c r="B1278" s="5">
        <v>0.42280092592592594</v>
      </c>
      <c r="C1278">
        <v>79</v>
      </c>
      <c r="D1278">
        <v>75.099999999999994</v>
      </c>
      <c r="E1278">
        <v>79.900000000000006</v>
      </c>
      <c r="F1278">
        <v>78.099999999999994</v>
      </c>
      <c r="G1278">
        <v>0</v>
      </c>
      <c r="H1278">
        <v>0</v>
      </c>
      <c r="I1278">
        <v>0</v>
      </c>
      <c r="J1278">
        <v>0</v>
      </c>
      <c r="K1278">
        <v>67.099999999999994</v>
      </c>
      <c r="L1278">
        <v>65.8</v>
      </c>
      <c r="M1278">
        <v>78.040000000000006</v>
      </c>
      <c r="N1278">
        <v>17</v>
      </c>
      <c r="O1278">
        <v>7</v>
      </c>
      <c r="P1278">
        <f>MOD(DAY(datos_siembra[[#This Row],[Date]]),7)</f>
        <v>3</v>
      </c>
      <c r="Q1278" t="str">
        <f>CHOOSE(WEEKDAY(datos_siembra[[#This Row],[Date]],2),"L","M","X","J","V","S","D")</f>
        <v>M</v>
      </c>
      <c r="R1278">
        <f>WEEKNUM(datos_siembra[[#This Row],[Date]],2)-WEEKNUM(DATE(YEAR(datos_siembra[[#This Row],[Date]]),MONTH(datos_siembra[[#This Row],[Date]]),1))+1</f>
        <v>3</v>
      </c>
      <c r="S1278">
        <f>MONTH(datos_siembra[[#This Row],[Date]])</f>
        <v>9</v>
      </c>
      <c r="T1278" t="str" cm="1">
        <f t="array" ref="T1278">_xlfn.IFS(AND(N1278&lt;= 22, S1278=9), "SOWING",AND(N1278&lt;= 28, S1278=9), "COVERAGE",AND(N1278&lt;= 30, S1278=9), "FLUSH",AND(N1278&lt;= 11, S1278=10), "FLUSH",AND(N1278&lt;= 21, S1278=10), "PRODUCTION")</f>
        <v>SOWING</v>
      </c>
      <c r="U1278">
        <f>HOUR(datos_siembra[[#This Row],[Hour]])</f>
        <v>10</v>
      </c>
      <c r="V1278" cm="1">
        <f t="array" ref="V1278">_xlfn.IFS(AND(N1278&lt;= 22, S1278=9), N1278-7,AND(N1278&lt;= 28, S1278=9), N1278-25,AND(N1278&lt;= 30, S1278=9), N1278-28,AND(N1278&lt;= 11, S1278=10), N1278+2,AND(N1278&lt;= 21, S1278=10), N1278-11)</f>
        <v>10</v>
      </c>
    </row>
    <row r="1279" spans="1:22" x14ac:dyDescent="0.35">
      <c r="A1279" s="4">
        <v>45552</v>
      </c>
      <c r="B1279" s="5">
        <v>0.42975694444444446</v>
      </c>
      <c r="C1279">
        <v>79.099999999999994</v>
      </c>
      <c r="D1279">
        <v>75.2</v>
      </c>
      <c r="E1279">
        <v>79.8</v>
      </c>
      <c r="F1279">
        <v>77.900000000000006</v>
      </c>
      <c r="G1279">
        <v>0</v>
      </c>
      <c r="H1279">
        <v>0</v>
      </c>
      <c r="I1279">
        <v>0</v>
      </c>
      <c r="J1279">
        <v>0</v>
      </c>
      <c r="K1279">
        <v>67.2</v>
      </c>
      <c r="L1279">
        <v>65.900000000000006</v>
      </c>
      <c r="M1279">
        <v>78.069999999999993</v>
      </c>
      <c r="N1279">
        <v>17</v>
      </c>
      <c r="O1279">
        <v>7</v>
      </c>
      <c r="P1279">
        <f>MOD(DAY(datos_siembra[[#This Row],[Date]]),7)</f>
        <v>3</v>
      </c>
      <c r="Q1279" t="str">
        <f>CHOOSE(WEEKDAY(datos_siembra[[#This Row],[Date]],2),"L","M","X","J","V","S","D")</f>
        <v>M</v>
      </c>
      <c r="R1279">
        <f>WEEKNUM(datos_siembra[[#This Row],[Date]],2)-WEEKNUM(DATE(YEAR(datos_siembra[[#This Row],[Date]]),MONTH(datos_siembra[[#This Row],[Date]]),1))+1</f>
        <v>3</v>
      </c>
      <c r="S1279">
        <f>MONTH(datos_siembra[[#This Row],[Date]])</f>
        <v>9</v>
      </c>
      <c r="T1279" t="str" cm="1">
        <f t="array" ref="T1279">_xlfn.IFS(AND(N1279&lt;= 22, S1279=9), "SOWING",AND(N1279&lt;= 28, S1279=9), "COVERAGE",AND(N1279&lt;= 30, S1279=9), "FLUSH",AND(N1279&lt;= 11, S1279=10), "FLUSH",AND(N1279&lt;= 21, S1279=10), "PRODUCTION")</f>
        <v>SOWING</v>
      </c>
      <c r="U1279">
        <f>HOUR(datos_siembra[[#This Row],[Hour]])</f>
        <v>10</v>
      </c>
      <c r="V1279" cm="1">
        <f t="array" ref="V1279">_xlfn.IFS(AND(N1279&lt;= 22, S1279=9), N1279-7,AND(N1279&lt;= 28, S1279=9), N1279-25,AND(N1279&lt;= 30, S1279=9), N1279-28,AND(N1279&lt;= 11, S1279=10), N1279+2,AND(N1279&lt;= 21, S1279=10), N1279-11)</f>
        <v>10</v>
      </c>
    </row>
    <row r="1280" spans="1:22" x14ac:dyDescent="0.35">
      <c r="A1280" s="4">
        <v>45552</v>
      </c>
      <c r="B1280" s="5">
        <v>0.43670138888888888</v>
      </c>
      <c r="C1280">
        <v>79.099999999999994</v>
      </c>
      <c r="D1280">
        <v>75.3</v>
      </c>
      <c r="E1280">
        <v>79.8</v>
      </c>
      <c r="F1280">
        <v>78.2</v>
      </c>
      <c r="G1280">
        <v>0</v>
      </c>
      <c r="H1280">
        <v>0</v>
      </c>
      <c r="I1280">
        <v>0</v>
      </c>
      <c r="J1280">
        <v>0</v>
      </c>
      <c r="K1280">
        <v>67.3</v>
      </c>
      <c r="L1280">
        <v>66</v>
      </c>
      <c r="M1280">
        <v>78.040000000000006</v>
      </c>
      <c r="N1280">
        <v>17</v>
      </c>
      <c r="O1280">
        <v>7</v>
      </c>
      <c r="P1280">
        <f>MOD(DAY(datos_siembra[[#This Row],[Date]]),7)</f>
        <v>3</v>
      </c>
      <c r="Q1280" t="str">
        <f>CHOOSE(WEEKDAY(datos_siembra[[#This Row],[Date]],2),"L","M","X","J","V","S","D")</f>
        <v>M</v>
      </c>
      <c r="R1280">
        <f>WEEKNUM(datos_siembra[[#This Row],[Date]],2)-WEEKNUM(DATE(YEAR(datos_siembra[[#This Row],[Date]]),MONTH(datos_siembra[[#This Row],[Date]]),1))+1</f>
        <v>3</v>
      </c>
      <c r="S1280">
        <f>MONTH(datos_siembra[[#This Row],[Date]])</f>
        <v>9</v>
      </c>
      <c r="T1280" t="str" cm="1">
        <f t="array" ref="T1280">_xlfn.IFS(AND(N1280&lt;= 22, S1280=9), "SOWING",AND(N1280&lt;= 28, S1280=9), "COVERAGE",AND(N1280&lt;= 30, S1280=9), "FLUSH",AND(N1280&lt;= 11, S1280=10), "FLUSH",AND(N1280&lt;= 21, S1280=10), "PRODUCTION")</f>
        <v>SOWING</v>
      </c>
      <c r="U1280">
        <f>HOUR(datos_siembra[[#This Row],[Hour]])</f>
        <v>10</v>
      </c>
      <c r="V1280" cm="1">
        <f t="array" ref="V1280">_xlfn.IFS(AND(N1280&lt;= 22, S1280=9), N1280-7,AND(N1280&lt;= 28, S1280=9), N1280-25,AND(N1280&lt;= 30, S1280=9), N1280-28,AND(N1280&lt;= 11, S1280=10), N1280+2,AND(N1280&lt;= 21, S1280=10), N1280-11)</f>
        <v>10</v>
      </c>
    </row>
    <row r="1281" spans="1:22" x14ac:dyDescent="0.35">
      <c r="A1281" s="4">
        <v>45552</v>
      </c>
      <c r="B1281" s="5">
        <v>0.44364583333333335</v>
      </c>
      <c r="C1281">
        <v>79.3</v>
      </c>
      <c r="D1281">
        <v>75.099999999999994</v>
      </c>
      <c r="E1281">
        <v>79.8</v>
      </c>
      <c r="F1281">
        <v>78</v>
      </c>
      <c r="G1281">
        <v>0</v>
      </c>
      <c r="H1281">
        <v>0</v>
      </c>
      <c r="I1281">
        <v>0</v>
      </c>
      <c r="J1281">
        <v>0</v>
      </c>
      <c r="K1281">
        <v>66.8</v>
      </c>
      <c r="L1281">
        <v>65.2</v>
      </c>
      <c r="M1281">
        <v>78.010000000000005</v>
      </c>
      <c r="N1281">
        <v>17</v>
      </c>
      <c r="O1281">
        <v>7</v>
      </c>
      <c r="P1281">
        <f>MOD(DAY(datos_siembra[[#This Row],[Date]]),7)</f>
        <v>3</v>
      </c>
      <c r="Q1281" t="str">
        <f>CHOOSE(WEEKDAY(datos_siembra[[#This Row],[Date]],2),"L","M","X","J","V","S","D")</f>
        <v>M</v>
      </c>
      <c r="R1281">
        <f>WEEKNUM(datos_siembra[[#This Row],[Date]],2)-WEEKNUM(DATE(YEAR(datos_siembra[[#This Row],[Date]]),MONTH(datos_siembra[[#This Row],[Date]]),1))+1</f>
        <v>3</v>
      </c>
      <c r="S1281">
        <f>MONTH(datos_siembra[[#This Row],[Date]])</f>
        <v>9</v>
      </c>
      <c r="T1281" t="str" cm="1">
        <f t="array" ref="T1281">_xlfn.IFS(AND(N1281&lt;= 22, S1281=9), "SOWING",AND(N1281&lt;= 28, S1281=9), "COVERAGE",AND(N1281&lt;= 30, S1281=9), "FLUSH",AND(N1281&lt;= 11, S1281=10), "FLUSH",AND(N1281&lt;= 21, S1281=10), "PRODUCTION")</f>
        <v>SOWING</v>
      </c>
      <c r="U1281">
        <f>HOUR(datos_siembra[[#This Row],[Hour]])</f>
        <v>10</v>
      </c>
      <c r="V1281" cm="1">
        <f t="array" ref="V1281">_xlfn.IFS(AND(N1281&lt;= 22, S1281=9), N1281-7,AND(N1281&lt;= 28, S1281=9), N1281-25,AND(N1281&lt;= 30, S1281=9), N1281-28,AND(N1281&lt;= 11, S1281=10), N1281+2,AND(N1281&lt;= 21, S1281=10), N1281-11)</f>
        <v>10</v>
      </c>
    </row>
    <row r="1282" spans="1:22" x14ac:dyDescent="0.35">
      <c r="A1282" s="4">
        <v>45552</v>
      </c>
      <c r="B1282" s="5">
        <v>0.45060185185185186</v>
      </c>
      <c r="C1282">
        <v>79.099999999999994</v>
      </c>
      <c r="D1282">
        <v>75.3</v>
      </c>
      <c r="E1282">
        <v>79.8</v>
      </c>
      <c r="F1282">
        <v>78</v>
      </c>
      <c r="G1282">
        <v>0</v>
      </c>
      <c r="H1282">
        <v>0</v>
      </c>
      <c r="I1282">
        <v>0</v>
      </c>
      <c r="J1282">
        <v>0</v>
      </c>
      <c r="K1282">
        <v>65.599999999999994</v>
      </c>
      <c r="L1282">
        <v>63.9</v>
      </c>
      <c r="M1282">
        <v>78.069999999999993</v>
      </c>
      <c r="N1282">
        <v>17</v>
      </c>
      <c r="O1282">
        <v>7</v>
      </c>
      <c r="P1282">
        <f>MOD(DAY(datos_siembra[[#This Row],[Date]]),7)</f>
        <v>3</v>
      </c>
      <c r="Q1282" t="str">
        <f>CHOOSE(WEEKDAY(datos_siembra[[#This Row],[Date]],2),"L","M","X","J","V","S","D")</f>
        <v>M</v>
      </c>
      <c r="R1282">
        <f>WEEKNUM(datos_siembra[[#This Row],[Date]],2)-WEEKNUM(DATE(YEAR(datos_siembra[[#This Row],[Date]]),MONTH(datos_siembra[[#This Row],[Date]]),1))+1</f>
        <v>3</v>
      </c>
      <c r="S1282">
        <f>MONTH(datos_siembra[[#This Row],[Date]])</f>
        <v>9</v>
      </c>
      <c r="T1282" t="str" cm="1">
        <f t="array" ref="T1282">_xlfn.IFS(AND(N1282&lt;= 22, S1282=9), "SOWING",AND(N1282&lt;= 28, S1282=9), "COVERAGE",AND(N1282&lt;= 30, S1282=9), "FLUSH",AND(N1282&lt;= 11, S1282=10), "FLUSH",AND(N1282&lt;= 21, S1282=10), "PRODUCTION")</f>
        <v>SOWING</v>
      </c>
      <c r="U1282">
        <f>HOUR(datos_siembra[[#This Row],[Hour]])</f>
        <v>10</v>
      </c>
      <c r="V1282" cm="1">
        <f t="array" ref="V1282">_xlfn.IFS(AND(N1282&lt;= 22, S1282=9), N1282-7,AND(N1282&lt;= 28, S1282=9), N1282-25,AND(N1282&lt;= 30, S1282=9), N1282-28,AND(N1282&lt;= 11, S1282=10), N1282+2,AND(N1282&lt;= 21, S1282=10), N1282-11)</f>
        <v>10</v>
      </c>
    </row>
    <row r="1283" spans="1:22" x14ac:dyDescent="0.35">
      <c r="A1283" s="4">
        <v>45552</v>
      </c>
      <c r="B1283" s="5">
        <v>0.45754629629629628</v>
      </c>
      <c r="C1283">
        <v>79.099999999999994</v>
      </c>
      <c r="D1283">
        <v>75.3</v>
      </c>
      <c r="E1283">
        <v>79.7</v>
      </c>
      <c r="F1283">
        <v>78</v>
      </c>
      <c r="G1283">
        <v>0</v>
      </c>
      <c r="H1283">
        <v>0</v>
      </c>
      <c r="I1283">
        <v>0</v>
      </c>
      <c r="J1283">
        <v>0</v>
      </c>
      <c r="K1283">
        <v>65.3</v>
      </c>
      <c r="L1283">
        <v>63.6</v>
      </c>
      <c r="M1283">
        <v>78.040000000000006</v>
      </c>
      <c r="N1283">
        <v>17</v>
      </c>
      <c r="O1283">
        <v>7</v>
      </c>
      <c r="P1283">
        <f>MOD(DAY(datos_siembra[[#This Row],[Date]]),7)</f>
        <v>3</v>
      </c>
      <c r="Q1283" t="str">
        <f>CHOOSE(WEEKDAY(datos_siembra[[#This Row],[Date]],2),"L","M","X","J","V","S","D")</f>
        <v>M</v>
      </c>
      <c r="R1283">
        <f>WEEKNUM(datos_siembra[[#This Row],[Date]],2)-WEEKNUM(DATE(YEAR(datos_siembra[[#This Row],[Date]]),MONTH(datos_siembra[[#This Row],[Date]]),1))+1</f>
        <v>3</v>
      </c>
      <c r="S1283">
        <f>MONTH(datos_siembra[[#This Row],[Date]])</f>
        <v>9</v>
      </c>
      <c r="T1283" t="str" cm="1">
        <f t="array" ref="T1283">_xlfn.IFS(AND(N1283&lt;= 22, S1283=9), "SOWING",AND(N1283&lt;= 28, S1283=9), "COVERAGE",AND(N1283&lt;= 30, S1283=9), "FLUSH",AND(N1283&lt;= 11, S1283=10), "FLUSH",AND(N1283&lt;= 21, S1283=10), "PRODUCTION")</f>
        <v>SOWING</v>
      </c>
      <c r="U1283">
        <f>HOUR(datos_siembra[[#This Row],[Hour]])</f>
        <v>10</v>
      </c>
      <c r="V1283" cm="1">
        <f t="array" ref="V1283">_xlfn.IFS(AND(N1283&lt;= 22, S1283=9), N1283-7,AND(N1283&lt;= 28, S1283=9), N1283-25,AND(N1283&lt;= 30, S1283=9), N1283-28,AND(N1283&lt;= 11, S1283=10), N1283+2,AND(N1283&lt;= 21, S1283=10), N1283-11)</f>
        <v>10</v>
      </c>
    </row>
    <row r="1284" spans="1:22" x14ac:dyDescent="0.35">
      <c r="A1284" s="4">
        <v>45552</v>
      </c>
      <c r="B1284" s="5">
        <v>0.46449074074074076</v>
      </c>
      <c r="C1284">
        <v>79.099999999999994</v>
      </c>
      <c r="D1284">
        <v>75.2</v>
      </c>
      <c r="E1284">
        <v>79.8</v>
      </c>
      <c r="F1284">
        <v>78</v>
      </c>
      <c r="G1284">
        <v>0</v>
      </c>
      <c r="H1284">
        <v>0</v>
      </c>
      <c r="I1284">
        <v>0</v>
      </c>
      <c r="J1284">
        <v>0</v>
      </c>
      <c r="K1284">
        <v>65.099999999999994</v>
      </c>
      <c r="L1284">
        <v>63.4</v>
      </c>
      <c r="M1284">
        <v>78.040000000000006</v>
      </c>
      <c r="N1284">
        <v>17</v>
      </c>
      <c r="O1284">
        <v>7</v>
      </c>
      <c r="P1284">
        <f>MOD(DAY(datos_siembra[[#This Row],[Date]]),7)</f>
        <v>3</v>
      </c>
      <c r="Q1284" t="str">
        <f>CHOOSE(WEEKDAY(datos_siembra[[#This Row],[Date]],2),"L","M","X","J","V","S","D")</f>
        <v>M</v>
      </c>
      <c r="R1284">
        <f>WEEKNUM(datos_siembra[[#This Row],[Date]],2)-WEEKNUM(DATE(YEAR(datos_siembra[[#This Row],[Date]]),MONTH(datos_siembra[[#This Row],[Date]]),1))+1</f>
        <v>3</v>
      </c>
      <c r="S1284">
        <f>MONTH(datos_siembra[[#This Row],[Date]])</f>
        <v>9</v>
      </c>
      <c r="T1284" t="str" cm="1">
        <f t="array" ref="T1284">_xlfn.IFS(AND(N1284&lt;= 22, S1284=9), "SOWING",AND(N1284&lt;= 28, S1284=9), "COVERAGE",AND(N1284&lt;= 30, S1284=9), "FLUSH",AND(N1284&lt;= 11, S1284=10), "FLUSH",AND(N1284&lt;= 21, S1284=10), "PRODUCTION")</f>
        <v>SOWING</v>
      </c>
      <c r="U1284">
        <f>HOUR(datos_siembra[[#This Row],[Hour]])</f>
        <v>11</v>
      </c>
      <c r="V1284" cm="1">
        <f t="array" ref="V1284">_xlfn.IFS(AND(N1284&lt;= 22, S1284=9), N1284-7,AND(N1284&lt;= 28, S1284=9), N1284-25,AND(N1284&lt;= 30, S1284=9), N1284-28,AND(N1284&lt;= 11, S1284=10), N1284+2,AND(N1284&lt;= 21, S1284=10), N1284-11)</f>
        <v>10</v>
      </c>
    </row>
    <row r="1285" spans="1:22" x14ac:dyDescent="0.35">
      <c r="A1285" s="4">
        <v>45552</v>
      </c>
      <c r="B1285" s="5">
        <v>0.47144675925925927</v>
      </c>
      <c r="C1285">
        <v>79</v>
      </c>
      <c r="D1285">
        <v>75.2</v>
      </c>
      <c r="E1285">
        <v>79.7</v>
      </c>
      <c r="F1285">
        <v>78.2</v>
      </c>
      <c r="G1285">
        <v>0</v>
      </c>
      <c r="H1285">
        <v>0</v>
      </c>
      <c r="I1285">
        <v>0</v>
      </c>
      <c r="J1285">
        <v>0</v>
      </c>
      <c r="K1285">
        <v>65</v>
      </c>
      <c r="L1285">
        <v>63.3</v>
      </c>
      <c r="M1285">
        <v>78.099999999999994</v>
      </c>
      <c r="N1285">
        <v>17</v>
      </c>
      <c r="O1285">
        <v>7</v>
      </c>
      <c r="P1285">
        <f>MOD(DAY(datos_siembra[[#This Row],[Date]]),7)</f>
        <v>3</v>
      </c>
      <c r="Q1285" t="str">
        <f>CHOOSE(WEEKDAY(datos_siembra[[#This Row],[Date]],2),"L","M","X","J","V","S","D")</f>
        <v>M</v>
      </c>
      <c r="R1285">
        <f>WEEKNUM(datos_siembra[[#This Row],[Date]],2)-WEEKNUM(DATE(YEAR(datos_siembra[[#This Row],[Date]]),MONTH(datos_siembra[[#This Row],[Date]]),1))+1</f>
        <v>3</v>
      </c>
      <c r="S1285">
        <f>MONTH(datos_siembra[[#This Row],[Date]])</f>
        <v>9</v>
      </c>
      <c r="T1285" t="str" cm="1">
        <f t="array" ref="T1285">_xlfn.IFS(AND(N1285&lt;= 22, S1285=9), "SOWING",AND(N1285&lt;= 28, S1285=9), "COVERAGE",AND(N1285&lt;= 30, S1285=9), "FLUSH",AND(N1285&lt;= 11, S1285=10), "FLUSH",AND(N1285&lt;= 21, S1285=10), "PRODUCTION")</f>
        <v>SOWING</v>
      </c>
      <c r="U1285">
        <f>HOUR(datos_siembra[[#This Row],[Hour]])</f>
        <v>11</v>
      </c>
      <c r="V1285" cm="1">
        <f t="array" ref="V1285">_xlfn.IFS(AND(N1285&lt;= 22, S1285=9), N1285-7,AND(N1285&lt;= 28, S1285=9), N1285-25,AND(N1285&lt;= 30, S1285=9), N1285-28,AND(N1285&lt;= 11, S1285=10), N1285+2,AND(N1285&lt;= 21, S1285=10), N1285-11)</f>
        <v>10</v>
      </c>
    </row>
    <row r="1286" spans="1:22" x14ac:dyDescent="0.35">
      <c r="A1286" s="4">
        <v>45552</v>
      </c>
      <c r="B1286" s="5">
        <v>0.47839120370370369</v>
      </c>
      <c r="C1286">
        <v>79.099999999999994</v>
      </c>
      <c r="D1286">
        <v>75.3</v>
      </c>
      <c r="E1286">
        <v>79.7</v>
      </c>
      <c r="F1286">
        <v>78.2</v>
      </c>
      <c r="G1286">
        <v>0</v>
      </c>
      <c r="H1286">
        <v>0</v>
      </c>
      <c r="I1286">
        <v>0</v>
      </c>
      <c r="J1286">
        <v>0</v>
      </c>
      <c r="K1286">
        <v>64.900000000000006</v>
      </c>
      <c r="L1286">
        <v>63.2</v>
      </c>
      <c r="M1286">
        <v>78.040000000000006</v>
      </c>
      <c r="N1286">
        <v>17</v>
      </c>
      <c r="O1286">
        <v>7</v>
      </c>
      <c r="P1286">
        <f>MOD(DAY(datos_siembra[[#This Row],[Date]]),7)</f>
        <v>3</v>
      </c>
      <c r="Q1286" t="str">
        <f>CHOOSE(WEEKDAY(datos_siembra[[#This Row],[Date]],2),"L","M","X","J","V","S","D")</f>
        <v>M</v>
      </c>
      <c r="R1286">
        <f>WEEKNUM(datos_siembra[[#This Row],[Date]],2)-WEEKNUM(DATE(YEAR(datos_siembra[[#This Row],[Date]]),MONTH(datos_siembra[[#This Row],[Date]]),1))+1</f>
        <v>3</v>
      </c>
      <c r="S1286">
        <f>MONTH(datos_siembra[[#This Row],[Date]])</f>
        <v>9</v>
      </c>
      <c r="T1286" t="str" cm="1">
        <f t="array" ref="T1286">_xlfn.IFS(AND(N1286&lt;= 22, S1286=9), "SOWING",AND(N1286&lt;= 28, S1286=9), "COVERAGE",AND(N1286&lt;= 30, S1286=9), "FLUSH",AND(N1286&lt;= 11, S1286=10), "FLUSH",AND(N1286&lt;= 21, S1286=10), "PRODUCTION")</f>
        <v>SOWING</v>
      </c>
      <c r="U1286">
        <f>HOUR(datos_siembra[[#This Row],[Hour]])</f>
        <v>11</v>
      </c>
      <c r="V1286" cm="1">
        <f t="array" ref="V1286">_xlfn.IFS(AND(N1286&lt;= 22, S1286=9), N1286-7,AND(N1286&lt;= 28, S1286=9), N1286-25,AND(N1286&lt;= 30, S1286=9), N1286-28,AND(N1286&lt;= 11, S1286=10), N1286+2,AND(N1286&lt;= 21, S1286=10), N1286-11)</f>
        <v>10</v>
      </c>
    </row>
    <row r="1287" spans="1:22" x14ac:dyDescent="0.35">
      <c r="A1287" s="4">
        <v>45552</v>
      </c>
      <c r="B1287" s="5">
        <v>0.48533564814814817</v>
      </c>
      <c r="C1287">
        <v>79</v>
      </c>
      <c r="D1287">
        <v>75.3</v>
      </c>
      <c r="E1287">
        <v>79.7</v>
      </c>
      <c r="F1287">
        <v>78.099999999999994</v>
      </c>
      <c r="G1287">
        <v>0</v>
      </c>
      <c r="H1287">
        <v>0</v>
      </c>
      <c r="I1287">
        <v>0</v>
      </c>
      <c r="J1287">
        <v>0</v>
      </c>
      <c r="K1287">
        <v>64.7</v>
      </c>
      <c r="L1287">
        <v>63</v>
      </c>
      <c r="M1287">
        <v>78.12</v>
      </c>
      <c r="N1287">
        <v>17</v>
      </c>
      <c r="O1287">
        <v>7</v>
      </c>
      <c r="P1287">
        <f>MOD(DAY(datos_siembra[[#This Row],[Date]]),7)</f>
        <v>3</v>
      </c>
      <c r="Q1287" t="str">
        <f>CHOOSE(WEEKDAY(datos_siembra[[#This Row],[Date]],2),"L","M","X","J","V","S","D")</f>
        <v>M</v>
      </c>
      <c r="R1287">
        <f>WEEKNUM(datos_siembra[[#This Row],[Date]],2)-WEEKNUM(DATE(YEAR(datos_siembra[[#This Row],[Date]]),MONTH(datos_siembra[[#This Row],[Date]]),1))+1</f>
        <v>3</v>
      </c>
      <c r="S1287">
        <f>MONTH(datos_siembra[[#This Row],[Date]])</f>
        <v>9</v>
      </c>
      <c r="T1287" t="str" cm="1">
        <f t="array" ref="T1287">_xlfn.IFS(AND(N1287&lt;= 22, S1287=9), "SOWING",AND(N1287&lt;= 28, S1287=9), "COVERAGE",AND(N1287&lt;= 30, S1287=9), "FLUSH",AND(N1287&lt;= 11, S1287=10), "FLUSH",AND(N1287&lt;= 21, S1287=10), "PRODUCTION")</f>
        <v>SOWING</v>
      </c>
      <c r="U1287">
        <f>HOUR(datos_siembra[[#This Row],[Hour]])</f>
        <v>11</v>
      </c>
      <c r="V1287" cm="1">
        <f t="array" ref="V1287">_xlfn.IFS(AND(N1287&lt;= 22, S1287=9), N1287-7,AND(N1287&lt;= 28, S1287=9), N1287-25,AND(N1287&lt;= 30, S1287=9), N1287-28,AND(N1287&lt;= 11, S1287=10), N1287+2,AND(N1287&lt;= 21, S1287=10), N1287-11)</f>
        <v>10</v>
      </c>
    </row>
    <row r="1288" spans="1:22" x14ac:dyDescent="0.35">
      <c r="A1288" s="4">
        <v>45552</v>
      </c>
      <c r="B1288" s="5">
        <v>0.49228009259259259</v>
      </c>
      <c r="C1288">
        <v>79.099999999999994</v>
      </c>
      <c r="D1288">
        <v>75.3</v>
      </c>
      <c r="E1288">
        <v>79.7</v>
      </c>
      <c r="F1288">
        <v>78.2</v>
      </c>
      <c r="G1288">
        <v>0</v>
      </c>
      <c r="H1288">
        <v>0</v>
      </c>
      <c r="I1288">
        <v>0</v>
      </c>
      <c r="J1288">
        <v>0</v>
      </c>
      <c r="K1288">
        <v>64.5</v>
      </c>
      <c r="L1288">
        <v>63</v>
      </c>
      <c r="M1288">
        <v>78.040000000000006</v>
      </c>
      <c r="N1288">
        <v>17</v>
      </c>
      <c r="O1288">
        <v>7</v>
      </c>
      <c r="P1288">
        <f>MOD(DAY(datos_siembra[[#This Row],[Date]]),7)</f>
        <v>3</v>
      </c>
      <c r="Q1288" t="str">
        <f>CHOOSE(WEEKDAY(datos_siembra[[#This Row],[Date]],2),"L","M","X","J","V","S","D")</f>
        <v>M</v>
      </c>
      <c r="R1288">
        <f>WEEKNUM(datos_siembra[[#This Row],[Date]],2)-WEEKNUM(DATE(YEAR(datos_siembra[[#This Row],[Date]]),MONTH(datos_siembra[[#This Row],[Date]]),1))+1</f>
        <v>3</v>
      </c>
      <c r="S1288">
        <f>MONTH(datos_siembra[[#This Row],[Date]])</f>
        <v>9</v>
      </c>
      <c r="T1288" t="str" cm="1">
        <f t="array" ref="T1288">_xlfn.IFS(AND(N1288&lt;= 22, S1288=9), "SOWING",AND(N1288&lt;= 28, S1288=9), "COVERAGE",AND(N1288&lt;= 30, S1288=9), "FLUSH",AND(N1288&lt;= 11, S1288=10), "FLUSH",AND(N1288&lt;= 21, S1288=10), "PRODUCTION")</f>
        <v>SOWING</v>
      </c>
      <c r="U1288">
        <f>HOUR(datos_siembra[[#This Row],[Hour]])</f>
        <v>11</v>
      </c>
      <c r="V1288" cm="1">
        <f t="array" ref="V1288">_xlfn.IFS(AND(N1288&lt;= 22, S1288=9), N1288-7,AND(N1288&lt;= 28, S1288=9), N1288-25,AND(N1288&lt;= 30, S1288=9), N1288-28,AND(N1288&lt;= 11, S1288=10), N1288+2,AND(N1288&lt;= 21, S1288=10), N1288-11)</f>
        <v>10</v>
      </c>
    </row>
    <row r="1289" spans="1:22" x14ac:dyDescent="0.35">
      <c r="A1289" s="4">
        <v>45552</v>
      </c>
      <c r="B1289" s="5">
        <v>0.4992361111111111</v>
      </c>
      <c r="C1289">
        <v>79.099999999999994</v>
      </c>
      <c r="D1289">
        <v>75.2</v>
      </c>
      <c r="E1289">
        <v>79.7</v>
      </c>
      <c r="F1289">
        <v>78.2</v>
      </c>
      <c r="G1289">
        <v>0</v>
      </c>
      <c r="H1289">
        <v>0</v>
      </c>
      <c r="I1289">
        <v>0</v>
      </c>
      <c r="J1289">
        <v>0</v>
      </c>
      <c r="K1289">
        <v>64.599999999999994</v>
      </c>
      <c r="L1289">
        <v>62.9</v>
      </c>
      <c r="M1289">
        <v>78.069999999999993</v>
      </c>
      <c r="N1289">
        <v>17</v>
      </c>
      <c r="O1289">
        <v>7</v>
      </c>
      <c r="P1289">
        <f>MOD(DAY(datos_siembra[[#This Row],[Date]]),7)</f>
        <v>3</v>
      </c>
      <c r="Q1289" t="str">
        <f>CHOOSE(WEEKDAY(datos_siembra[[#This Row],[Date]],2),"L","M","X","J","V","S","D")</f>
        <v>M</v>
      </c>
      <c r="R1289">
        <f>WEEKNUM(datos_siembra[[#This Row],[Date]],2)-WEEKNUM(DATE(YEAR(datos_siembra[[#This Row],[Date]]),MONTH(datos_siembra[[#This Row],[Date]]),1))+1</f>
        <v>3</v>
      </c>
      <c r="S1289">
        <f>MONTH(datos_siembra[[#This Row],[Date]])</f>
        <v>9</v>
      </c>
      <c r="T1289" t="str" cm="1">
        <f t="array" ref="T1289">_xlfn.IFS(AND(N1289&lt;= 22, S1289=9), "SOWING",AND(N1289&lt;= 28, S1289=9), "COVERAGE",AND(N1289&lt;= 30, S1289=9), "FLUSH",AND(N1289&lt;= 11, S1289=10), "FLUSH",AND(N1289&lt;= 21, S1289=10), "PRODUCTION")</f>
        <v>SOWING</v>
      </c>
      <c r="U1289">
        <f>HOUR(datos_siembra[[#This Row],[Hour]])</f>
        <v>11</v>
      </c>
      <c r="V1289" cm="1">
        <f t="array" ref="V1289">_xlfn.IFS(AND(N1289&lt;= 22, S1289=9), N1289-7,AND(N1289&lt;= 28, S1289=9), N1289-25,AND(N1289&lt;= 30, S1289=9), N1289-28,AND(N1289&lt;= 11, S1289=10), N1289+2,AND(N1289&lt;= 21, S1289=10), N1289-11)</f>
        <v>10</v>
      </c>
    </row>
    <row r="1290" spans="1:22" x14ac:dyDescent="0.35">
      <c r="A1290" s="4">
        <v>45552</v>
      </c>
      <c r="B1290" s="5">
        <v>0.50618055555555552</v>
      </c>
      <c r="C1290">
        <v>79</v>
      </c>
      <c r="D1290">
        <v>75.2</v>
      </c>
      <c r="E1290">
        <v>79.7</v>
      </c>
      <c r="F1290">
        <v>78.099999999999994</v>
      </c>
      <c r="G1290">
        <v>0</v>
      </c>
      <c r="H1290">
        <v>0</v>
      </c>
      <c r="I1290">
        <v>0</v>
      </c>
      <c r="J1290">
        <v>0</v>
      </c>
      <c r="K1290">
        <v>65.8</v>
      </c>
      <c r="L1290">
        <v>64.400000000000006</v>
      </c>
      <c r="M1290">
        <v>78.12</v>
      </c>
      <c r="N1290">
        <v>17</v>
      </c>
      <c r="O1290">
        <v>7</v>
      </c>
      <c r="P1290">
        <f>MOD(DAY(datos_siembra[[#This Row],[Date]]),7)</f>
        <v>3</v>
      </c>
      <c r="Q1290" t="str">
        <f>CHOOSE(WEEKDAY(datos_siembra[[#This Row],[Date]],2),"L","M","X","J","V","S","D")</f>
        <v>M</v>
      </c>
      <c r="R1290">
        <f>WEEKNUM(datos_siembra[[#This Row],[Date]],2)-WEEKNUM(DATE(YEAR(datos_siembra[[#This Row],[Date]]),MONTH(datos_siembra[[#This Row],[Date]]),1))+1</f>
        <v>3</v>
      </c>
      <c r="S1290">
        <f>MONTH(datos_siembra[[#This Row],[Date]])</f>
        <v>9</v>
      </c>
      <c r="T1290" t="str" cm="1">
        <f t="array" ref="T1290">_xlfn.IFS(AND(N1290&lt;= 22, S1290=9), "SOWING",AND(N1290&lt;= 28, S1290=9), "COVERAGE",AND(N1290&lt;= 30, S1290=9), "FLUSH",AND(N1290&lt;= 11, S1290=10), "FLUSH",AND(N1290&lt;= 21, S1290=10), "PRODUCTION")</f>
        <v>SOWING</v>
      </c>
      <c r="U1290">
        <f>HOUR(datos_siembra[[#This Row],[Hour]])</f>
        <v>12</v>
      </c>
      <c r="V1290" cm="1">
        <f t="array" ref="V1290">_xlfn.IFS(AND(N1290&lt;= 22, S1290=9), N1290-7,AND(N1290&lt;= 28, S1290=9), N1290-25,AND(N1290&lt;= 30, S1290=9), N1290-28,AND(N1290&lt;= 11, S1290=10), N1290+2,AND(N1290&lt;= 21, S1290=10), N1290-11)</f>
        <v>10</v>
      </c>
    </row>
    <row r="1291" spans="1:22" x14ac:dyDescent="0.35">
      <c r="A1291" s="4">
        <v>45552</v>
      </c>
      <c r="B1291" s="5">
        <v>0.51313657407407409</v>
      </c>
      <c r="C1291">
        <v>79.099999999999994</v>
      </c>
      <c r="D1291">
        <v>75.3</v>
      </c>
      <c r="E1291">
        <v>79.7</v>
      </c>
      <c r="F1291">
        <v>78.400000000000006</v>
      </c>
      <c r="G1291">
        <v>0</v>
      </c>
      <c r="H1291">
        <v>0</v>
      </c>
      <c r="I1291">
        <v>0</v>
      </c>
      <c r="J1291">
        <v>0</v>
      </c>
      <c r="K1291">
        <v>66.400000000000006</v>
      </c>
      <c r="L1291">
        <v>65.099999999999994</v>
      </c>
      <c r="M1291">
        <v>78.12</v>
      </c>
      <c r="N1291">
        <v>17</v>
      </c>
      <c r="O1291">
        <v>7</v>
      </c>
      <c r="P1291">
        <f>MOD(DAY(datos_siembra[[#This Row],[Date]]),7)</f>
        <v>3</v>
      </c>
      <c r="Q1291" t="str">
        <f>CHOOSE(WEEKDAY(datos_siembra[[#This Row],[Date]],2),"L","M","X","J","V","S","D")</f>
        <v>M</v>
      </c>
      <c r="R1291">
        <f>WEEKNUM(datos_siembra[[#This Row],[Date]],2)-WEEKNUM(DATE(YEAR(datos_siembra[[#This Row],[Date]]),MONTH(datos_siembra[[#This Row],[Date]]),1))+1</f>
        <v>3</v>
      </c>
      <c r="S1291">
        <f>MONTH(datos_siembra[[#This Row],[Date]])</f>
        <v>9</v>
      </c>
      <c r="T1291" t="str" cm="1">
        <f t="array" ref="T1291">_xlfn.IFS(AND(N1291&lt;= 22, S1291=9), "SOWING",AND(N1291&lt;= 28, S1291=9), "COVERAGE",AND(N1291&lt;= 30, S1291=9), "FLUSH",AND(N1291&lt;= 11, S1291=10), "FLUSH",AND(N1291&lt;= 21, S1291=10), "PRODUCTION")</f>
        <v>SOWING</v>
      </c>
      <c r="U1291">
        <f>HOUR(datos_siembra[[#This Row],[Hour]])</f>
        <v>12</v>
      </c>
      <c r="V1291" cm="1">
        <f t="array" ref="V1291">_xlfn.IFS(AND(N1291&lt;= 22, S1291=9), N1291-7,AND(N1291&lt;= 28, S1291=9), N1291-25,AND(N1291&lt;= 30, S1291=9), N1291-28,AND(N1291&lt;= 11, S1291=10), N1291+2,AND(N1291&lt;= 21, S1291=10), N1291-11)</f>
        <v>10</v>
      </c>
    </row>
    <row r="1292" spans="1:22" x14ac:dyDescent="0.35">
      <c r="A1292" s="4">
        <v>45552</v>
      </c>
      <c r="B1292" s="5">
        <v>0.52008101851851851</v>
      </c>
      <c r="C1292">
        <v>79.099999999999994</v>
      </c>
      <c r="D1292">
        <v>75.3</v>
      </c>
      <c r="E1292">
        <v>79.7</v>
      </c>
      <c r="F1292">
        <v>78.400000000000006</v>
      </c>
      <c r="G1292">
        <v>0</v>
      </c>
      <c r="H1292">
        <v>0</v>
      </c>
      <c r="I1292">
        <v>0</v>
      </c>
      <c r="J1292">
        <v>0</v>
      </c>
      <c r="K1292">
        <v>66.599999999999994</v>
      </c>
      <c r="L1292">
        <v>65.3</v>
      </c>
      <c r="M1292">
        <v>78.12</v>
      </c>
      <c r="N1292">
        <v>17</v>
      </c>
      <c r="O1292">
        <v>7</v>
      </c>
      <c r="P1292">
        <f>MOD(DAY(datos_siembra[[#This Row],[Date]]),7)</f>
        <v>3</v>
      </c>
      <c r="Q1292" t="str">
        <f>CHOOSE(WEEKDAY(datos_siembra[[#This Row],[Date]],2),"L","M","X","J","V","S","D")</f>
        <v>M</v>
      </c>
      <c r="R1292">
        <f>WEEKNUM(datos_siembra[[#This Row],[Date]],2)-WEEKNUM(DATE(YEAR(datos_siembra[[#This Row],[Date]]),MONTH(datos_siembra[[#This Row],[Date]]),1))+1</f>
        <v>3</v>
      </c>
      <c r="S1292">
        <f>MONTH(datos_siembra[[#This Row],[Date]])</f>
        <v>9</v>
      </c>
      <c r="T1292" t="str" cm="1">
        <f t="array" ref="T1292">_xlfn.IFS(AND(N1292&lt;= 22, S1292=9), "SOWING",AND(N1292&lt;= 28, S1292=9), "COVERAGE",AND(N1292&lt;= 30, S1292=9), "FLUSH",AND(N1292&lt;= 11, S1292=10), "FLUSH",AND(N1292&lt;= 21, S1292=10), "PRODUCTION")</f>
        <v>SOWING</v>
      </c>
      <c r="U1292">
        <f>HOUR(datos_siembra[[#This Row],[Hour]])</f>
        <v>12</v>
      </c>
      <c r="V1292" cm="1">
        <f t="array" ref="V1292">_xlfn.IFS(AND(N1292&lt;= 22, S1292=9), N1292-7,AND(N1292&lt;= 28, S1292=9), N1292-25,AND(N1292&lt;= 30, S1292=9), N1292-28,AND(N1292&lt;= 11, S1292=10), N1292+2,AND(N1292&lt;= 21, S1292=10), N1292-11)</f>
        <v>10</v>
      </c>
    </row>
    <row r="1293" spans="1:22" x14ac:dyDescent="0.35">
      <c r="A1293" s="4">
        <v>45552</v>
      </c>
      <c r="B1293" s="5">
        <v>0.52702546296296293</v>
      </c>
      <c r="C1293">
        <v>79.099999999999994</v>
      </c>
      <c r="D1293">
        <v>75.400000000000006</v>
      </c>
      <c r="E1293">
        <v>79.599999999999994</v>
      </c>
      <c r="F1293">
        <v>78.400000000000006</v>
      </c>
      <c r="G1293">
        <v>0</v>
      </c>
      <c r="H1293">
        <v>0</v>
      </c>
      <c r="I1293">
        <v>0</v>
      </c>
      <c r="J1293">
        <v>0</v>
      </c>
      <c r="K1293">
        <v>66.8</v>
      </c>
      <c r="L1293">
        <v>65.400000000000006</v>
      </c>
      <c r="M1293">
        <v>78.099999999999994</v>
      </c>
      <c r="N1293">
        <v>17</v>
      </c>
      <c r="O1293">
        <v>7</v>
      </c>
      <c r="P1293">
        <f>MOD(DAY(datos_siembra[[#This Row],[Date]]),7)</f>
        <v>3</v>
      </c>
      <c r="Q1293" t="str">
        <f>CHOOSE(WEEKDAY(datos_siembra[[#This Row],[Date]],2),"L","M","X","J","V","S","D")</f>
        <v>M</v>
      </c>
      <c r="R1293">
        <f>WEEKNUM(datos_siembra[[#This Row],[Date]],2)-WEEKNUM(DATE(YEAR(datos_siembra[[#This Row],[Date]]),MONTH(datos_siembra[[#This Row],[Date]]),1))+1</f>
        <v>3</v>
      </c>
      <c r="S1293">
        <f>MONTH(datos_siembra[[#This Row],[Date]])</f>
        <v>9</v>
      </c>
      <c r="T1293" t="str" cm="1">
        <f t="array" ref="T1293">_xlfn.IFS(AND(N1293&lt;= 22, S1293=9), "SOWING",AND(N1293&lt;= 28, S1293=9), "COVERAGE",AND(N1293&lt;= 30, S1293=9), "FLUSH",AND(N1293&lt;= 11, S1293=10), "FLUSH",AND(N1293&lt;= 21, S1293=10), "PRODUCTION")</f>
        <v>SOWING</v>
      </c>
      <c r="U1293">
        <f>HOUR(datos_siembra[[#This Row],[Hour]])</f>
        <v>12</v>
      </c>
      <c r="V1293" cm="1">
        <f t="array" ref="V1293">_xlfn.IFS(AND(N1293&lt;= 22, S1293=9), N1293-7,AND(N1293&lt;= 28, S1293=9), N1293-25,AND(N1293&lt;= 30, S1293=9), N1293-28,AND(N1293&lt;= 11, S1293=10), N1293+2,AND(N1293&lt;= 21, S1293=10), N1293-11)</f>
        <v>10</v>
      </c>
    </row>
    <row r="1294" spans="1:22" x14ac:dyDescent="0.35">
      <c r="A1294" s="4">
        <v>45552</v>
      </c>
      <c r="B1294" s="5">
        <v>0.53396990740740746</v>
      </c>
      <c r="C1294">
        <v>79.099999999999994</v>
      </c>
      <c r="D1294">
        <v>75.3</v>
      </c>
      <c r="E1294">
        <v>79.599999999999994</v>
      </c>
      <c r="F1294">
        <v>78.400000000000006</v>
      </c>
      <c r="G1294">
        <v>0</v>
      </c>
      <c r="H1294">
        <v>0</v>
      </c>
      <c r="I1294">
        <v>0</v>
      </c>
      <c r="J1294">
        <v>0</v>
      </c>
      <c r="K1294">
        <v>66.900000000000006</v>
      </c>
      <c r="L1294">
        <v>65.599999999999994</v>
      </c>
      <c r="M1294">
        <v>78.209999999999994</v>
      </c>
      <c r="N1294">
        <v>17</v>
      </c>
      <c r="O1294">
        <v>7</v>
      </c>
      <c r="P1294">
        <f>MOD(DAY(datos_siembra[[#This Row],[Date]]),7)</f>
        <v>3</v>
      </c>
      <c r="Q1294" t="str">
        <f>CHOOSE(WEEKDAY(datos_siembra[[#This Row],[Date]],2),"L","M","X","J","V","S","D")</f>
        <v>M</v>
      </c>
      <c r="R1294">
        <f>WEEKNUM(datos_siembra[[#This Row],[Date]],2)-WEEKNUM(DATE(YEAR(datos_siembra[[#This Row],[Date]]),MONTH(datos_siembra[[#This Row],[Date]]),1))+1</f>
        <v>3</v>
      </c>
      <c r="S1294">
        <f>MONTH(datos_siembra[[#This Row],[Date]])</f>
        <v>9</v>
      </c>
      <c r="T1294" t="str" cm="1">
        <f t="array" ref="T1294">_xlfn.IFS(AND(N1294&lt;= 22, S1294=9), "SOWING",AND(N1294&lt;= 28, S1294=9), "COVERAGE",AND(N1294&lt;= 30, S1294=9), "FLUSH",AND(N1294&lt;= 11, S1294=10), "FLUSH",AND(N1294&lt;= 21, S1294=10), "PRODUCTION")</f>
        <v>SOWING</v>
      </c>
      <c r="U1294">
        <f>HOUR(datos_siembra[[#This Row],[Hour]])</f>
        <v>12</v>
      </c>
      <c r="V1294" cm="1">
        <f t="array" ref="V1294">_xlfn.IFS(AND(N1294&lt;= 22, S1294=9), N1294-7,AND(N1294&lt;= 28, S1294=9), N1294-25,AND(N1294&lt;= 30, S1294=9), N1294-28,AND(N1294&lt;= 11, S1294=10), N1294+2,AND(N1294&lt;= 21, S1294=10), N1294-11)</f>
        <v>10</v>
      </c>
    </row>
    <row r="1295" spans="1:22" x14ac:dyDescent="0.35">
      <c r="A1295" s="4">
        <v>45552</v>
      </c>
      <c r="B1295" s="5">
        <v>0.54092592592592592</v>
      </c>
      <c r="C1295">
        <v>79</v>
      </c>
      <c r="D1295">
        <v>75.400000000000006</v>
      </c>
      <c r="E1295">
        <v>79.7</v>
      </c>
      <c r="F1295">
        <v>78.599999999999994</v>
      </c>
      <c r="G1295">
        <v>0</v>
      </c>
      <c r="H1295">
        <v>0</v>
      </c>
      <c r="I1295">
        <v>0</v>
      </c>
      <c r="J1295">
        <v>0</v>
      </c>
      <c r="K1295">
        <v>67.099999999999994</v>
      </c>
      <c r="L1295">
        <v>65.8</v>
      </c>
      <c r="M1295">
        <v>78.12</v>
      </c>
      <c r="N1295">
        <v>17</v>
      </c>
      <c r="O1295">
        <v>7</v>
      </c>
      <c r="P1295">
        <f>MOD(DAY(datos_siembra[[#This Row],[Date]]),7)</f>
        <v>3</v>
      </c>
      <c r="Q1295" t="str">
        <f>CHOOSE(WEEKDAY(datos_siembra[[#This Row],[Date]],2),"L","M","X","J","V","S","D")</f>
        <v>M</v>
      </c>
      <c r="R1295">
        <f>WEEKNUM(datos_siembra[[#This Row],[Date]],2)-WEEKNUM(DATE(YEAR(datos_siembra[[#This Row],[Date]]),MONTH(datos_siembra[[#This Row],[Date]]),1))+1</f>
        <v>3</v>
      </c>
      <c r="S1295">
        <f>MONTH(datos_siembra[[#This Row],[Date]])</f>
        <v>9</v>
      </c>
      <c r="T1295" t="str" cm="1">
        <f t="array" ref="T1295">_xlfn.IFS(AND(N1295&lt;= 22, S1295=9), "SOWING",AND(N1295&lt;= 28, S1295=9), "COVERAGE",AND(N1295&lt;= 30, S1295=9), "FLUSH",AND(N1295&lt;= 11, S1295=10), "FLUSH",AND(N1295&lt;= 21, S1295=10), "PRODUCTION")</f>
        <v>SOWING</v>
      </c>
      <c r="U1295">
        <f>HOUR(datos_siembra[[#This Row],[Hour]])</f>
        <v>12</v>
      </c>
      <c r="V1295" cm="1">
        <f t="array" ref="V1295">_xlfn.IFS(AND(N1295&lt;= 22, S1295=9), N1295-7,AND(N1295&lt;= 28, S1295=9), N1295-25,AND(N1295&lt;= 30, S1295=9), N1295-28,AND(N1295&lt;= 11, S1295=10), N1295+2,AND(N1295&lt;= 21, S1295=10), N1295-11)</f>
        <v>10</v>
      </c>
    </row>
    <row r="1296" spans="1:22" x14ac:dyDescent="0.35">
      <c r="A1296" s="4">
        <v>45552</v>
      </c>
      <c r="B1296" s="5">
        <v>0.54787037037037034</v>
      </c>
      <c r="C1296">
        <v>79</v>
      </c>
      <c r="D1296">
        <v>75.5</v>
      </c>
      <c r="E1296">
        <v>79.7</v>
      </c>
      <c r="F1296">
        <v>78.5</v>
      </c>
      <c r="G1296">
        <v>0</v>
      </c>
      <c r="H1296">
        <v>0</v>
      </c>
      <c r="I1296">
        <v>0</v>
      </c>
      <c r="J1296">
        <v>0</v>
      </c>
      <c r="K1296">
        <v>67.3</v>
      </c>
      <c r="L1296">
        <v>66.099999999999994</v>
      </c>
      <c r="M1296">
        <v>78.239999999999995</v>
      </c>
      <c r="N1296">
        <v>17</v>
      </c>
      <c r="O1296">
        <v>7</v>
      </c>
      <c r="P1296">
        <f>MOD(DAY(datos_siembra[[#This Row],[Date]]),7)</f>
        <v>3</v>
      </c>
      <c r="Q1296" t="str">
        <f>CHOOSE(WEEKDAY(datos_siembra[[#This Row],[Date]],2),"L","M","X","J","V","S","D")</f>
        <v>M</v>
      </c>
      <c r="R1296">
        <f>WEEKNUM(datos_siembra[[#This Row],[Date]],2)-WEEKNUM(DATE(YEAR(datos_siembra[[#This Row],[Date]]),MONTH(datos_siembra[[#This Row],[Date]]),1))+1</f>
        <v>3</v>
      </c>
      <c r="S1296">
        <f>MONTH(datos_siembra[[#This Row],[Date]])</f>
        <v>9</v>
      </c>
      <c r="T1296" t="str" cm="1">
        <f t="array" ref="T1296">_xlfn.IFS(AND(N1296&lt;= 22, S1296=9), "SOWING",AND(N1296&lt;= 28, S1296=9), "COVERAGE",AND(N1296&lt;= 30, S1296=9), "FLUSH",AND(N1296&lt;= 11, S1296=10), "FLUSH",AND(N1296&lt;= 21, S1296=10), "PRODUCTION")</f>
        <v>SOWING</v>
      </c>
      <c r="U1296">
        <f>HOUR(datos_siembra[[#This Row],[Hour]])</f>
        <v>13</v>
      </c>
      <c r="V1296" cm="1">
        <f t="array" ref="V1296">_xlfn.IFS(AND(N1296&lt;= 22, S1296=9), N1296-7,AND(N1296&lt;= 28, S1296=9), N1296-25,AND(N1296&lt;= 30, S1296=9), N1296-28,AND(N1296&lt;= 11, S1296=10), N1296+2,AND(N1296&lt;= 21, S1296=10), N1296-11)</f>
        <v>10</v>
      </c>
    </row>
    <row r="1297" spans="1:22" x14ac:dyDescent="0.35">
      <c r="A1297" s="4">
        <v>45552</v>
      </c>
      <c r="B1297" s="5">
        <v>0.55481481481481476</v>
      </c>
      <c r="C1297">
        <v>79.099999999999994</v>
      </c>
      <c r="D1297">
        <v>75.5</v>
      </c>
      <c r="E1297">
        <v>79.7</v>
      </c>
      <c r="F1297">
        <v>78.599999999999994</v>
      </c>
      <c r="G1297">
        <v>0</v>
      </c>
      <c r="H1297">
        <v>0</v>
      </c>
      <c r="I1297">
        <v>0</v>
      </c>
      <c r="J1297">
        <v>0</v>
      </c>
      <c r="K1297">
        <v>66.5</v>
      </c>
      <c r="L1297">
        <v>64.900000000000006</v>
      </c>
      <c r="M1297">
        <v>78.239999999999995</v>
      </c>
      <c r="N1297">
        <v>17</v>
      </c>
      <c r="O1297">
        <v>7</v>
      </c>
      <c r="P1297">
        <f>MOD(DAY(datos_siembra[[#This Row],[Date]]),7)</f>
        <v>3</v>
      </c>
      <c r="Q1297" t="str">
        <f>CHOOSE(WEEKDAY(datos_siembra[[#This Row],[Date]],2),"L","M","X","J","V","S","D")</f>
        <v>M</v>
      </c>
      <c r="R1297">
        <f>WEEKNUM(datos_siembra[[#This Row],[Date]],2)-WEEKNUM(DATE(YEAR(datos_siembra[[#This Row],[Date]]),MONTH(datos_siembra[[#This Row],[Date]]),1))+1</f>
        <v>3</v>
      </c>
      <c r="S1297">
        <f>MONTH(datos_siembra[[#This Row],[Date]])</f>
        <v>9</v>
      </c>
      <c r="T1297" t="str" cm="1">
        <f t="array" ref="T1297">_xlfn.IFS(AND(N1297&lt;= 22, S1297=9), "SOWING",AND(N1297&lt;= 28, S1297=9), "COVERAGE",AND(N1297&lt;= 30, S1297=9), "FLUSH",AND(N1297&lt;= 11, S1297=10), "FLUSH",AND(N1297&lt;= 21, S1297=10), "PRODUCTION")</f>
        <v>SOWING</v>
      </c>
      <c r="U1297">
        <f>HOUR(datos_siembra[[#This Row],[Hour]])</f>
        <v>13</v>
      </c>
      <c r="V1297" cm="1">
        <f t="array" ref="V1297">_xlfn.IFS(AND(N1297&lt;= 22, S1297=9), N1297-7,AND(N1297&lt;= 28, S1297=9), N1297-25,AND(N1297&lt;= 30, S1297=9), N1297-28,AND(N1297&lt;= 11, S1297=10), N1297+2,AND(N1297&lt;= 21, S1297=10), N1297-11)</f>
        <v>10</v>
      </c>
    </row>
    <row r="1298" spans="1:22" x14ac:dyDescent="0.35">
      <c r="A1298" s="4">
        <v>45552</v>
      </c>
      <c r="B1298" s="5">
        <v>0.56177083333333333</v>
      </c>
      <c r="C1298">
        <v>79</v>
      </c>
      <c r="D1298">
        <v>75.5</v>
      </c>
      <c r="E1298">
        <v>79.599999999999994</v>
      </c>
      <c r="F1298">
        <v>78.599999999999994</v>
      </c>
      <c r="G1298">
        <v>0</v>
      </c>
      <c r="H1298">
        <v>0</v>
      </c>
      <c r="I1298">
        <v>0</v>
      </c>
      <c r="J1298">
        <v>0</v>
      </c>
      <c r="K1298">
        <v>66.2</v>
      </c>
      <c r="L1298">
        <v>64.5</v>
      </c>
      <c r="M1298">
        <v>78.239999999999995</v>
      </c>
      <c r="N1298">
        <v>17</v>
      </c>
      <c r="O1298">
        <v>7</v>
      </c>
      <c r="P1298">
        <f>MOD(DAY(datos_siembra[[#This Row],[Date]]),7)</f>
        <v>3</v>
      </c>
      <c r="Q1298" t="str">
        <f>CHOOSE(WEEKDAY(datos_siembra[[#This Row],[Date]],2),"L","M","X","J","V","S","D")</f>
        <v>M</v>
      </c>
      <c r="R1298">
        <f>WEEKNUM(datos_siembra[[#This Row],[Date]],2)-WEEKNUM(DATE(YEAR(datos_siembra[[#This Row],[Date]]),MONTH(datos_siembra[[#This Row],[Date]]),1))+1</f>
        <v>3</v>
      </c>
      <c r="S1298">
        <f>MONTH(datos_siembra[[#This Row],[Date]])</f>
        <v>9</v>
      </c>
      <c r="T1298" t="str" cm="1">
        <f t="array" ref="T1298">_xlfn.IFS(AND(N1298&lt;= 22, S1298=9), "SOWING",AND(N1298&lt;= 28, S1298=9), "COVERAGE",AND(N1298&lt;= 30, S1298=9), "FLUSH",AND(N1298&lt;= 11, S1298=10), "FLUSH",AND(N1298&lt;= 21, S1298=10), "PRODUCTION")</f>
        <v>SOWING</v>
      </c>
      <c r="U1298">
        <f>HOUR(datos_siembra[[#This Row],[Hour]])</f>
        <v>13</v>
      </c>
      <c r="V1298" cm="1">
        <f t="array" ref="V1298">_xlfn.IFS(AND(N1298&lt;= 22, S1298=9), N1298-7,AND(N1298&lt;= 28, S1298=9), N1298-25,AND(N1298&lt;= 30, S1298=9), N1298-28,AND(N1298&lt;= 11, S1298=10), N1298+2,AND(N1298&lt;= 21, S1298=10), N1298-11)</f>
        <v>10</v>
      </c>
    </row>
    <row r="1299" spans="1:22" x14ac:dyDescent="0.35">
      <c r="A1299" s="4">
        <v>45552</v>
      </c>
      <c r="B1299" s="5">
        <v>0.56871527777777775</v>
      </c>
      <c r="C1299">
        <v>79.099999999999994</v>
      </c>
      <c r="D1299">
        <v>75.5</v>
      </c>
      <c r="E1299">
        <v>79.599999999999994</v>
      </c>
      <c r="F1299">
        <v>78.7</v>
      </c>
      <c r="G1299">
        <v>0</v>
      </c>
      <c r="H1299">
        <v>0</v>
      </c>
      <c r="I1299">
        <v>0</v>
      </c>
      <c r="J1299">
        <v>0</v>
      </c>
      <c r="K1299">
        <v>66.099999999999994</v>
      </c>
      <c r="L1299">
        <v>64.400000000000006</v>
      </c>
      <c r="M1299">
        <v>78.27</v>
      </c>
      <c r="N1299">
        <v>17</v>
      </c>
      <c r="O1299">
        <v>7</v>
      </c>
      <c r="P1299">
        <f>MOD(DAY(datos_siembra[[#This Row],[Date]]),7)</f>
        <v>3</v>
      </c>
      <c r="Q1299" t="str">
        <f>CHOOSE(WEEKDAY(datos_siembra[[#This Row],[Date]],2),"L","M","X","J","V","S","D")</f>
        <v>M</v>
      </c>
      <c r="R1299">
        <f>WEEKNUM(datos_siembra[[#This Row],[Date]],2)-WEEKNUM(DATE(YEAR(datos_siembra[[#This Row],[Date]]),MONTH(datos_siembra[[#This Row],[Date]]),1))+1</f>
        <v>3</v>
      </c>
      <c r="S1299">
        <f>MONTH(datos_siembra[[#This Row],[Date]])</f>
        <v>9</v>
      </c>
      <c r="T1299" t="str" cm="1">
        <f t="array" ref="T1299">_xlfn.IFS(AND(N1299&lt;= 22, S1299=9), "SOWING",AND(N1299&lt;= 28, S1299=9), "COVERAGE",AND(N1299&lt;= 30, S1299=9), "FLUSH",AND(N1299&lt;= 11, S1299=10), "FLUSH",AND(N1299&lt;= 21, S1299=10), "PRODUCTION")</f>
        <v>SOWING</v>
      </c>
      <c r="U1299">
        <f>HOUR(datos_siembra[[#This Row],[Hour]])</f>
        <v>13</v>
      </c>
      <c r="V1299" cm="1">
        <f t="array" ref="V1299">_xlfn.IFS(AND(N1299&lt;= 22, S1299=9), N1299-7,AND(N1299&lt;= 28, S1299=9), N1299-25,AND(N1299&lt;= 30, S1299=9), N1299-28,AND(N1299&lt;= 11, S1299=10), N1299+2,AND(N1299&lt;= 21, S1299=10), N1299-11)</f>
        <v>10</v>
      </c>
    </row>
    <row r="1300" spans="1:22" x14ac:dyDescent="0.35">
      <c r="A1300" s="4">
        <v>45552</v>
      </c>
      <c r="B1300" s="5">
        <v>0.57565972222222217</v>
      </c>
      <c r="C1300">
        <v>79.3</v>
      </c>
      <c r="D1300">
        <v>75.8</v>
      </c>
      <c r="E1300">
        <v>79.7</v>
      </c>
      <c r="F1300">
        <v>78.900000000000006</v>
      </c>
      <c r="G1300">
        <v>0</v>
      </c>
      <c r="H1300">
        <v>0</v>
      </c>
      <c r="I1300">
        <v>0</v>
      </c>
      <c r="J1300">
        <v>0</v>
      </c>
      <c r="K1300">
        <v>66</v>
      </c>
      <c r="L1300">
        <v>64.400000000000006</v>
      </c>
      <c r="M1300">
        <v>78.27</v>
      </c>
      <c r="N1300">
        <v>17</v>
      </c>
      <c r="O1300">
        <v>7</v>
      </c>
      <c r="P1300">
        <f>MOD(DAY(datos_siembra[[#This Row],[Date]]),7)</f>
        <v>3</v>
      </c>
      <c r="Q1300" t="str">
        <f>CHOOSE(WEEKDAY(datos_siembra[[#This Row],[Date]],2),"L","M","X","J","V","S","D")</f>
        <v>M</v>
      </c>
      <c r="R1300">
        <f>WEEKNUM(datos_siembra[[#This Row],[Date]],2)-WEEKNUM(DATE(YEAR(datos_siembra[[#This Row],[Date]]),MONTH(datos_siembra[[#This Row],[Date]]),1))+1</f>
        <v>3</v>
      </c>
      <c r="S1300">
        <f>MONTH(datos_siembra[[#This Row],[Date]])</f>
        <v>9</v>
      </c>
      <c r="T1300" t="str" cm="1">
        <f t="array" ref="T1300">_xlfn.IFS(AND(N1300&lt;= 22, S1300=9), "SOWING",AND(N1300&lt;= 28, S1300=9), "COVERAGE",AND(N1300&lt;= 30, S1300=9), "FLUSH",AND(N1300&lt;= 11, S1300=10), "FLUSH",AND(N1300&lt;= 21, S1300=10), "PRODUCTION")</f>
        <v>SOWING</v>
      </c>
      <c r="U1300">
        <f>HOUR(datos_siembra[[#This Row],[Hour]])</f>
        <v>13</v>
      </c>
      <c r="V1300" cm="1">
        <f t="array" ref="V1300">_xlfn.IFS(AND(N1300&lt;= 22, S1300=9), N1300-7,AND(N1300&lt;= 28, S1300=9), N1300-25,AND(N1300&lt;= 30, S1300=9), N1300-28,AND(N1300&lt;= 11, S1300=10), N1300+2,AND(N1300&lt;= 21, S1300=10), N1300-11)</f>
        <v>10</v>
      </c>
    </row>
    <row r="1301" spans="1:22" x14ac:dyDescent="0.35">
      <c r="A1301" s="4">
        <v>45552</v>
      </c>
      <c r="B1301" s="5">
        <v>0.5826041666666667</v>
      </c>
      <c r="C1301">
        <v>79.3</v>
      </c>
      <c r="D1301">
        <v>75.5</v>
      </c>
      <c r="E1301">
        <v>79.7</v>
      </c>
      <c r="F1301">
        <v>78.7</v>
      </c>
      <c r="G1301">
        <v>0</v>
      </c>
      <c r="H1301">
        <v>0</v>
      </c>
      <c r="I1301">
        <v>0</v>
      </c>
      <c r="J1301">
        <v>0</v>
      </c>
      <c r="K1301">
        <v>66.099999999999994</v>
      </c>
      <c r="L1301">
        <v>64.400000000000006</v>
      </c>
      <c r="M1301">
        <v>78.290000000000006</v>
      </c>
      <c r="N1301">
        <v>17</v>
      </c>
      <c r="O1301">
        <v>7</v>
      </c>
      <c r="P1301">
        <f>MOD(DAY(datos_siembra[[#This Row],[Date]]),7)</f>
        <v>3</v>
      </c>
      <c r="Q1301" t="str">
        <f>CHOOSE(WEEKDAY(datos_siembra[[#This Row],[Date]],2),"L","M","X","J","V","S","D")</f>
        <v>M</v>
      </c>
      <c r="R1301">
        <f>WEEKNUM(datos_siembra[[#This Row],[Date]],2)-WEEKNUM(DATE(YEAR(datos_siembra[[#This Row],[Date]]),MONTH(datos_siembra[[#This Row],[Date]]),1))+1</f>
        <v>3</v>
      </c>
      <c r="S1301">
        <f>MONTH(datos_siembra[[#This Row],[Date]])</f>
        <v>9</v>
      </c>
      <c r="T1301" t="str" cm="1">
        <f t="array" ref="T1301">_xlfn.IFS(AND(N1301&lt;= 22, S1301=9), "SOWING",AND(N1301&lt;= 28, S1301=9), "COVERAGE",AND(N1301&lt;= 30, S1301=9), "FLUSH",AND(N1301&lt;= 11, S1301=10), "FLUSH",AND(N1301&lt;= 21, S1301=10), "PRODUCTION")</f>
        <v>SOWING</v>
      </c>
      <c r="U1301">
        <f>HOUR(datos_siembra[[#This Row],[Hour]])</f>
        <v>13</v>
      </c>
      <c r="V1301" cm="1">
        <f t="array" ref="V1301">_xlfn.IFS(AND(N1301&lt;= 22, S1301=9), N1301-7,AND(N1301&lt;= 28, S1301=9), N1301-25,AND(N1301&lt;= 30, S1301=9), N1301-28,AND(N1301&lt;= 11, S1301=10), N1301+2,AND(N1301&lt;= 21, S1301=10), N1301-11)</f>
        <v>10</v>
      </c>
    </row>
    <row r="1302" spans="1:22" x14ac:dyDescent="0.35">
      <c r="A1302" s="4">
        <v>45552</v>
      </c>
      <c r="B1302" s="5">
        <v>0.58956018518518516</v>
      </c>
      <c r="C1302">
        <v>79</v>
      </c>
      <c r="D1302">
        <v>75.8</v>
      </c>
      <c r="E1302">
        <v>79.7</v>
      </c>
      <c r="F1302">
        <v>78.8</v>
      </c>
      <c r="G1302">
        <v>0</v>
      </c>
      <c r="H1302">
        <v>0</v>
      </c>
      <c r="I1302">
        <v>0</v>
      </c>
      <c r="J1302">
        <v>0</v>
      </c>
      <c r="K1302">
        <v>66</v>
      </c>
      <c r="L1302">
        <v>64.3</v>
      </c>
      <c r="M1302">
        <v>78.319999999999993</v>
      </c>
      <c r="N1302">
        <v>17</v>
      </c>
      <c r="O1302">
        <v>7</v>
      </c>
      <c r="P1302">
        <f>MOD(DAY(datos_siembra[[#This Row],[Date]]),7)</f>
        <v>3</v>
      </c>
      <c r="Q1302" t="str">
        <f>CHOOSE(WEEKDAY(datos_siembra[[#This Row],[Date]],2),"L","M","X","J","V","S","D")</f>
        <v>M</v>
      </c>
      <c r="R1302">
        <f>WEEKNUM(datos_siembra[[#This Row],[Date]],2)-WEEKNUM(DATE(YEAR(datos_siembra[[#This Row],[Date]]),MONTH(datos_siembra[[#This Row],[Date]]),1))+1</f>
        <v>3</v>
      </c>
      <c r="S1302">
        <f>MONTH(datos_siembra[[#This Row],[Date]])</f>
        <v>9</v>
      </c>
      <c r="T1302" t="str" cm="1">
        <f t="array" ref="T1302">_xlfn.IFS(AND(N1302&lt;= 22, S1302=9), "SOWING",AND(N1302&lt;= 28, S1302=9), "COVERAGE",AND(N1302&lt;= 30, S1302=9), "FLUSH",AND(N1302&lt;= 11, S1302=10), "FLUSH",AND(N1302&lt;= 21, S1302=10), "PRODUCTION")</f>
        <v>SOWING</v>
      </c>
      <c r="U1302">
        <f>HOUR(datos_siembra[[#This Row],[Hour]])</f>
        <v>14</v>
      </c>
      <c r="V1302" cm="1">
        <f t="array" ref="V1302">_xlfn.IFS(AND(N1302&lt;= 22, S1302=9), N1302-7,AND(N1302&lt;= 28, S1302=9), N1302-25,AND(N1302&lt;= 30, S1302=9), N1302-28,AND(N1302&lt;= 11, S1302=10), N1302+2,AND(N1302&lt;= 21, S1302=10), N1302-11)</f>
        <v>10</v>
      </c>
    </row>
    <row r="1303" spans="1:22" x14ac:dyDescent="0.35">
      <c r="A1303" s="4">
        <v>45552</v>
      </c>
      <c r="B1303" s="5">
        <v>0.59650462962962958</v>
      </c>
      <c r="C1303">
        <v>79</v>
      </c>
      <c r="D1303">
        <v>75.900000000000006</v>
      </c>
      <c r="E1303">
        <v>79.5</v>
      </c>
      <c r="F1303">
        <v>78.8</v>
      </c>
      <c r="G1303">
        <v>0</v>
      </c>
      <c r="H1303">
        <v>0</v>
      </c>
      <c r="I1303">
        <v>0</v>
      </c>
      <c r="J1303">
        <v>0</v>
      </c>
      <c r="K1303">
        <v>65.599999999999994</v>
      </c>
      <c r="L1303">
        <v>64.099999999999994</v>
      </c>
      <c r="M1303">
        <v>78.41</v>
      </c>
      <c r="N1303">
        <v>17</v>
      </c>
      <c r="O1303">
        <v>7</v>
      </c>
      <c r="P1303">
        <f>MOD(DAY(datos_siembra[[#This Row],[Date]]),7)</f>
        <v>3</v>
      </c>
      <c r="Q1303" t="str">
        <f>CHOOSE(WEEKDAY(datos_siembra[[#This Row],[Date]],2),"L","M","X","J","V","S","D")</f>
        <v>M</v>
      </c>
      <c r="R1303">
        <f>WEEKNUM(datos_siembra[[#This Row],[Date]],2)-WEEKNUM(DATE(YEAR(datos_siembra[[#This Row],[Date]]),MONTH(datos_siembra[[#This Row],[Date]]),1))+1</f>
        <v>3</v>
      </c>
      <c r="S1303">
        <f>MONTH(datos_siembra[[#This Row],[Date]])</f>
        <v>9</v>
      </c>
      <c r="T1303" t="str" cm="1">
        <f t="array" ref="T1303">_xlfn.IFS(AND(N1303&lt;= 22, S1303=9), "SOWING",AND(N1303&lt;= 28, S1303=9), "COVERAGE",AND(N1303&lt;= 30, S1303=9), "FLUSH",AND(N1303&lt;= 11, S1303=10), "FLUSH",AND(N1303&lt;= 21, S1303=10), "PRODUCTION")</f>
        <v>SOWING</v>
      </c>
      <c r="U1303">
        <f>HOUR(datos_siembra[[#This Row],[Hour]])</f>
        <v>14</v>
      </c>
      <c r="V1303" cm="1">
        <f t="array" ref="V1303">_xlfn.IFS(AND(N1303&lt;= 22, S1303=9), N1303-7,AND(N1303&lt;= 28, S1303=9), N1303-25,AND(N1303&lt;= 30, S1303=9), N1303-28,AND(N1303&lt;= 11, S1303=10), N1303+2,AND(N1303&lt;= 21, S1303=10), N1303-11)</f>
        <v>10</v>
      </c>
    </row>
    <row r="1304" spans="1:22" x14ac:dyDescent="0.35">
      <c r="A1304" s="4">
        <v>45552</v>
      </c>
      <c r="B1304" s="5">
        <v>0.60344907407407411</v>
      </c>
      <c r="C1304">
        <v>78.900000000000006</v>
      </c>
      <c r="D1304">
        <v>75.8</v>
      </c>
      <c r="E1304">
        <v>79.599999999999994</v>
      </c>
      <c r="F1304">
        <v>78.8</v>
      </c>
      <c r="G1304">
        <v>0</v>
      </c>
      <c r="H1304">
        <v>0</v>
      </c>
      <c r="I1304">
        <v>0</v>
      </c>
      <c r="J1304">
        <v>0</v>
      </c>
      <c r="K1304">
        <v>65.3</v>
      </c>
      <c r="L1304">
        <v>63.6</v>
      </c>
      <c r="M1304">
        <v>78.27</v>
      </c>
      <c r="N1304">
        <v>17</v>
      </c>
      <c r="O1304">
        <v>7</v>
      </c>
      <c r="P1304">
        <f>MOD(DAY(datos_siembra[[#This Row],[Date]]),7)</f>
        <v>3</v>
      </c>
      <c r="Q1304" t="str">
        <f>CHOOSE(WEEKDAY(datos_siembra[[#This Row],[Date]],2),"L","M","X","J","V","S","D")</f>
        <v>M</v>
      </c>
      <c r="R1304">
        <f>WEEKNUM(datos_siembra[[#This Row],[Date]],2)-WEEKNUM(DATE(YEAR(datos_siembra[[#This Row],[Date]]),MONTH(datos_siembra[[#This Row],[Date]]),1))+1</f>
        <v>3</v>
      </c>
      <c r="S1304">
        <f>MONTH(datos_siembra[[#This Row],[Date]])</f>
        <v>9</v>
      </c>
      <c r="T1304" t="str" cm="1">
        <f t="array" ref="T1304">_xlfn.IFS(AND(N1304&lt;= 22, S1304=9), "SOWING",AND(N1304&lt;= 28, S1304=9), "COVERAGE",AND(N1304&lt;= 30, S1304=9), "FLUSH",AND(N1304&lt;= 11, S1304=10), "FLUSH",AND(N1304&lt;= 21, S1304=10), "PRODUCTION")</f>
        <v>SOWING</v>
      </c>
      <c r="U1304">
        <f>HOUR(datos_siembra[[#This Row],[Hour]])</f>
        <v>14</v>
      </c>
      <c r="V1304" cm="1">
        <f t="array" ref="V1304">_xlfn.IFS(AND(N1304&lt;= 22, S1304=9), N1304-7,AND(N1304&lt;= 28, S1304=9), N1304-25,AND(N1304&lt;= 30, S1304=9), N1304-28,AND(N1304&lt;= 11, S1304=10), N1304+2,AND(N1304&lt;= 21, S1304=10), N1304-11)</f>
        <v>10</v>
      </c>
    </row>
    <row r="1305" spans="1:22" x14ac:dyDescent="0.35">
      <c r="A1305" s="4">
        <v>45552</v>
      </c>
      <c r="B1305" s="5">
        <v>0.61040509259259257</v>
      </c>
      <c r="C1305">
        <v>78.900000000000006</v>
      </c>
      <c r="D1305">
        <v>75.8</v>
      </c>
      <c r="E1305">
        <v>79.599999999999994</v>
      </c>
      <c r="F1305">
        <v>78.900000000000006</v>
      </c>
      <c r="G1305">
        <v>0</v>
      </c>
      <c r="H1305">
        <v>0</v>
      </c>
      <c r="I1305">
        <v>0</v>
      </c>
      <c r="J1305">
        <v>0</v>
      </c>
      <c r="K1305">
        <v>65.3</v>
      </c>
      <c r="L1305">
        <v>63.5</v>
      </c>
      <c r="M1305">
        <v>78.27</v>
      </c>
      <c r="N1305">
        <v>17</v>
      </c>
      <c r="O1305">
        <v>7</v>
      </c>
      <c r="P1305">
        <f>MOD(DAY(datos_siembra[[#This Row],[Date]]),7)</f>
        <v>3</v>
      </c>
      <c r="Q1305" t="str">
        <f>CHOOSE(WEEKDAY(datos_siembra[[#This Row],[Date]],2),"L","M","X","J","V","S","D")</f>
        <v>M</v>
      </c>
      <c r="R1305">
        <f>WEEKNUM(datos_siembra[[#This Row],[Date]],2)-WEEKNUM(DATE(YEAR(datos_siembra[[#This Row],[Date]]),MONTH(datos_siembra[[#This Row],[Date]]),1))+1</f>
        <v>3</v>
      </c>
      <c r="S1305">
        <f>MONTH(datos_siembra[[#This Row],[Date]])</f>
        <v>9</v>
      </c>
      <c r="T1305" t="str" cm="1">
        <f t="array" ref="T1305">_xlfn.IFS(AND(N1305&lt;= 22, S1305=9), "SOWING",AND(N1305&lt;= 28, S1305=9), "COVERAGE",AND(N1305&lt;= 30, S1305=9), "FLUSH",AND(N1305&lt;= 11, S1305=10), "FLUSH",AND(N1305&lt;= 21, S1305=10), "PRODUCTION")</f>
        <v>SOWING</v>
      </c>
      <c r="U1305">
        <f>HOUR(datos_siembra[[#This Row],[Hour]])</f>
        <v>14</v>
      </c>
      <c r="V1305" cm="1">
        <f t="array" ref="V1305">_xlfn.IFS(AND(N1305&lt;= 22, S1305=9), N1305-7,AND(N1305&lt;= 28, S1305=9), N1305-25,AND(N1305&lt;= 30, S1305=9), N1305-28,AND(N1305&lt;= 11, S1305=10), N1305+2,AND(N1305&lt;= 21, S1305=10), N1305-11)</f>
        <v>10</v>
      </c>
    </row>
    <row r="1306" spans="1:22" x14ac:dyDescent="0.35">
      <c r="A1306" s="4">
        <v>45552</v>
      </c>
      <c r="B1306" s="5">
        <v>0.61734953703703699</v>
      </c>
      <c r="C1306">
        <v>79.099999999999994</v>
      </c>
      <c r="D1306">
        <v>75.8</v>
      </c>
      <c r="E1306">
        <v>79.599999999999994</v>
      </c>
      <c r="F1306">
        <v>79</v>
      </c>
      <c r="G1306">
        <v>0</v>
      </c>
      <c r="H1306">
        <v>0</v>
      </c>
      <c r="I1306">
        <v>0</v>
      </c>
      <c r="J1306">
        <v>0</v>
      </c>
      <c r="K1306">
        <v>65.400000000000006</v>
      </c>
      <c r="L1306">
        <v>63.7</v>
      </c>
      <c r="M1306">
        <v>78.27</v>
      </c>
      <c r="N1306">
        <v>17</v>
      </c>
      <c r="O1306">
        <v>7</v>
      </c>
      <c r="P1306">
        <f>MOD(DAY(datos_siembra[[#This Row],[Date]]),7)</f>
        <v>3</v>
      </c>
      <c r="Q1306" t="str">
        <f>CHOOSE(WEEKDAY(datos_siembra[[#This Row],[Date]],2),"L","M","X","J","V","S","D")</f>
        <v>M</v>
      </c>
      <c r="R1306">
        <f>WEEKNUM(datos_siembra[[#This Row],[Date]],2)-WEEKNUM(DATE(YEAR(datos_siembra[[#This Row],[Date]]),MONTH(datos_siembra[[#This Row],[Date]]),1))+1</f>
        <v>3</v>
      </c>
      <c r="S1306">
        <f>MONTH(datos_siembra[[#This Row],[Date]])</f>
        <v>9</v>
      </c>
      <c r="T1306" t="str" cm="1">
        <f t="array" ref="T1306">_xlfn.IFS(AND(N1306&lt;= 22, S1306=9), "SOWING",AND(N1306&lt;= 28, S1306=9), "COVERAGE",AND(N1306&lt;= 30, S1306=9), "FLUSH",AND(N1306&lt;= 11, S1306=10), "FLUSH",AND(N1306&lt;= 21, S1306=10), "PRODUCTION")</f>
        <v>SOWING</v>
      </c>
      <c r="U1306">
        <f>HOUR(datos_siembra[[#This Row],[Hour]])</f>
        <v>14</v>
      </c>
      <c r="V1306" cm="1">
        <f t="array" ref="V1306">_xlfn.IFS(AND(N1306&lt;= 22, S1306=9), N1306-7,AND(N1306&lt;= 28, S1306=9), N1306-25,AND(N1306&lt;= 30, S1306=9), N1306-28,AND(N1306&lt;= 11, S1306=10), N1306+2,AND(N1306&lt;= 21, S1306=10), N1306-11)</f>
        <v>10</v>
      </c>
    </row>
    <row r="1307" spans="1:22" x14ac:dyDescent="0.35">
      <c r="A1307" s="4">
        <v>45552</v>
      </c>
      <c r="B1307" s="5">
        <v>0.62429398148148152</v>
      </c>
      <c r="C1307">
        <v>79</v>
      </c>
      <c r="D1307">
        <v>76</v>
      </c>
      <c r="E1307">
        <v>79.599999999999994</v>
      </c>
      <c r="F1307">
        <v>78.900000000000006</v>
      </c>
      <c r="G1307">
        <v>0</v>
      </c>
      <c r="H1307">
        <v>0</v>
      </c>
      <c r="I1307">
        <v>0</v>
      </c>
      <c r="J1307">
        <v>0</v>
      </c>
      <c r="K1307">
        <v>65.5</v>
      </c>
      <c r="L1307">
        <v>63.8</v>
      </c>
      <c r="M1307">
        <v>78.349999999999994</v>
      </c>
      <c r="N1307">
        <v>17</v>
      </c>
      <c r="O1307">
        <v>7</v>
      </c>
      <c r="P1307">
        <f>MOD(DAY(datos_siembra[[#This Row],[Date]]),7)</f>
        <v>3</v>
      </c>
      <c r="Q1307" t="str">
        <f>CHOOSE(WEEKDAY(datos_siembra[[#This Row],[Date]],2),"L","M","X","J","V","S","D")</f>
        <v>M</v>
      </c>
      <c r="R1307">
        <f>WEEKNUM(datos_siembra[[#This Row],[Date]],2)-WEEKNUM(DATE(YEAR(datos_siembra[[#This Row],[Date]]),MONTH(datos_siembra[[#This Row],[Date]]),1))+1</f>
        <v>3</v>
      </c>
      <c r="S1307">
        <f>MONTH(datos_siembra[[#This Row],[Date]])</f>
        <v>9</v>
      </c>
      <c r="T1307" t="str" cm="1">
        <f t="array" ref="T1307">_xlfn.IFS(AND(N1307&lt;= 22, S1307=9), "SOWING",AND(N1307&lt;= 28, S1307=9), "COVERAGE",AND(N1307&lt;= 30, S1307=9), "FLUSH",AND(N1307&lt;= 11, S1307=10), "FLUSH",AND(N1307&lt;= 21, S1307=10), "PRODUCTION")</f>
        <v>SOWING</v>
      </c>
      <c r="U1307">
        <f>HOUR(datos_siembra[[#This Row],[Hour]])</f>
        <v>14</v>
      </c>
      <c r="V1307" cm="1">
        <f t="array" ref="V1307">_xlfn.IFS(AND(N1307&lt;= 22, S1307=9), N1307-7,AND(N1307&lt;= 28, S1307=9), N1307-25,AND(N1307&lt;= 30, S1307=9), N1307-28,AND(N1307&lt;= 11, S1307=10), N1307+2,AND(N1307&lt;= 21, S1307=10), N1307-11)</f>
        <v>10</v>
      </c>
    </row>
    <row r="1308" spans="1:22" x14ac:dyDescent="0.35">
      <c r="A1308" s="4">
        <v>45552</v>
      </c>
      <c r="B1308" s="5">
        <v>0.63124999999999998</v>
      </c>
      <c r="C1308">
        <v>78.900000000000006</v>
      </c>
      <c r="D1308">
        <v>75.900000000000006</v>
      </c>
      <c r="E1308">
        <v>79.599999999999994</v>
      </c>
      <c r="F1308">
        <v>79</v>
      </c>
      <c r="G1308">
        <v>0</v>
      </c>
      <c r="H1308">
        <v>0</v>
      </c>
      <c r="I1308">
        <v>0</v>
      </c>
      <c r="J1308">
        <v>0</v>
      </c>
      <c r="K1308">
        <v>65.5</v>
      </c>
      <c r="L1308">
        <v>63.8</v>
      </c>
      <c r="M1308">
        <v>78.349999999999994</v>
      </c>
      <c r="N1308">
        <v>17</v>
      </c>
      <c r="O1308">
        <v>7</v>
      </c>
      <c r="P1308">
        <f>MOD(DAY(datos_siembra[[#This Row],[Date]]),7)</f>
        <v>3</v>
      </c>
      <c r="Q1308" t="str">
        <f>CHOOSE(WEEKDAY(datos_siembra[[#This Row],[Date]],2),"L","M","X","J","V","S","D")</f>
        <v>M</v>
      </c>
      <c r="R1308">
        <f>WEEKNUM(datos_siembra[[#This Row],[Date]],2)-WEEKNUM(DATE(YEAR(datos_siembra[[#This Row],[Date]]),MONTH(datos_siembra[[#This Row],[Date]]),1))+1</f>
        <v>3</v>
      </c>
      <c r="S1308">
        <f>MONTH(datos_siembra[[#This Row],[Date]])</f>
        <v>9</v>
      </c>
      <c r="T1308" t="str" cm="1">
        <f t="array" ref="T1308">_xlfn.IFS(AND(N1308&lt;= 22, S1308=9), "SOWING",AND(N1308&lt;= 28, S1308=9), "COVERAGE",AND(N1308&lt;= 30, S1308=9), "FLUSH",AND(N1308&lt;= 11, S1308=10), "FLUSH",AND(N1308&lt;= 21, S1308=10), "PRODUCTION")</f>
        <v>SOWING</v>
      </c>
      <c r="U1308">
        <f>HOUR(datos_siembra[[#This Row],[Hour]])</f>
        <v>15</v>
      </c>
      <c r="V1308" cm="1">
        <f t="array" ref="V1308">_xlfn.IFS(AND(N1308&lt;= 22, S1308=9), N1308-7,AND(N1308&lt;= 28, S1308=9), N1308-25,AND(N1308&lt;= 30, S1308=9), N1308-28,AND(N1308&lt;= 11, S1308=10), N1308+2,AND(N1308&lt;= 21, S1308=10), N1308-11)</f>
        <v>10</v>
      </c>
    </row>
    <row r="1309" spans="1:22" x14ac:dyDescent="0.35">
      <c r="A1309" s="4">
        <v>45552</v>
      </c>
      <c r="B1309" s="5">
        <v>0.6381944444444444</v>
      </c>
      <c r="C1309">
        <v>79</v>
      </c>
      <c r="D1309">
        <v>76</v>
      </c>
      <c r="E1309">
        <v>79.5</v>
      </c>
      <c r="F1309">
        <v>79</v>
      </c>
      <c r="G1309">
        <v>0</v>
      </c>
      <c r="H1309">
        <v>0</v>
      </c>
      <c r="I1309">
        <v>0</v>
      </c>
      <c r="J1309">
        <v>0</v>
      </c>
      <c r="K1309">
        <v>65.5</v>
      </c>
      <c r="L1309">
        <v>63.8</v>
      </c>
      <c r="M1309">
        <v>78.349999999999994</v>
      </c>
      <c r="N1309">
        <v>17</v>
      </c>
      <c r="O1309">
        <v>7</v>
      </c>
      <c r="P1309">
        <f>MOD(DAY(datos_siembra[[#This Row],[Date]]),7)</f>
        <v>3</v>
      </c>
      <c r="Q1309" t="str">
        <f>CHOOSE(WEEKDAY(datos_siembra[[#This Row],[Date]],2),"L","M","X","J","V","S","D")</f>
        <v>M</v>
      </c>
      <c r="R1309">
        <f>WEEKNUM(datos_siembra[[#This Row],[Date]],2)-WEEKNUM(DATE(YEAR(datos_siembra[[#This Row],[Date]]),MONTH(datos_siembra[[#This Row],[Date]]),1))+1</f>
        <v>3</v>
      </c>
      <c r="S1309">
        <f>MONTH(datos_siembra[[#This Row],[Date]])</f>
        <v>9</v>
      </c>
      <c r="T1309" t="str" cm="1">
        <f t="array" ref="T1309">_xlfn.IFS(AND(N1309&lt;= 22, S1309=9), "SOWING",AND(N1309&lt;= 28, S1309=9), "COVERAGE",AND(N1309&lt;= 30, S1309=9), "FLUSH",AND(N1309&lt;= 11, S1309=10), "FLUSH",AND(N1309&lt;= 21, S1309=10), "PRODUCTION")</f>
        <v>SOWING</v>
      </c>
      <c r="U1309">
        <f>HOUR(datos_siembra[[#This Row],[Hour]])</f>
        <v>15</v>
      </c>
      <c r="V1309" cm="1">
        <f t="array" ref="V1309">_xlfn.IFS(AND(N1309&lt;= 22, S1309=9), N1309-7,AND(N1309&lt;= 28, S1309=9), N1309-25,AND(N1309&lt;= 30, S1309=9), N1309-28,AND(N1309&lt;= 11, S1309=10), N1309+2,AND(N1309&lt;= 21, S1309=10), N1309-11)</f>
        <v>10</v>
      </c>
    </row>
    <row r="1310" spans="1:22" x14ac:dyDescent="0.35">
      <c r="A1310" s="4">
        <v>45552</v>
      </c>
      <c r="B1310" s="5">
        <v>0.64513888888888893</v>
      </c>
      <c r="C1310">
        <v>79</v>
      </c>
      <c r="D1310">
        <v>75.900000000000006</v>
      </c>
      <c r="E1310">
        <v>79.599999999999994</v>
      </c>
      <c r="F1310">
        <v>79</v>
      </c>
      <c r="G1310">
        <v>0</v>
      </c>
      <c r="H1310">
        <v>0</v>
      </c>
      <c r="I1310">
        <v>0</v>
      </c>
      <c r="J1310">
        <v>0</v>
      </c>
      <c r="K1310">
        <v>65.400000000000006</v>
      </c>
      <c r="L1310">
        <v>63.7</v>
      </c>
      <c r="M1310">
        <v>78.430000000000007</v>
      </c>
      <c r="N1310">
        <v>17</v>
      </c>
      <c r="O1310">
        <v>7</v>
      </c>
      <c r="P1310">
        <f>MOD(DAY(datos_siembra[[#This Row],[Date]]),7)</f>
        <v>3</v>
      </c>
      <c r="Q1310" t="str">
        <f>CHOOSE(WEEKDAY(datos_siembra[[#This Row],[Date]],2),"L","M","X","J","V","S","D")</f>
        <v>M</v>
      </c>
      <c r="R1310">
        <f>WEEKNUM(datos_siembra[[#This Row],[Date]],2)-WEEKNUM(DATE(YEAR(datos_siembra[[#This Row],[Date]]),MONTH(datos_siembra[[#This Row],[Date]]),1))+1</f>
        <v>3</v>
      </c>
      <c r="S1310">
        <f>MONTH(datos_siembra[[#This Row],[Date]])</f>
        <v>9</v>
      </c>
      <c r="T1310" t="str" cm="1">
        <f t="array" ref="T1310">_xlfn.IFS(AND(N1310&lt;= 22, S1310=9), "SOWING",AND(N1310&lt;= 28, S1310=9), "COVERAGE",AND(N1310&lt;= 30, S1310=9), "FLUSH",AND(N1310&lt;= 11, S1310=10), "FLUSH",AND(N1310&lt;= 21, S1310=10), "PRODUCTION")</f>
        <v>SOWING</v>
      </c>
      <c r="U1310">
        <f>HOUR(datos_siembra[[#This Row],[Hour]])</f>
        <v>15</v>
      </c>
      <c r="V1310" cm="1">
        <f t="array" ref="V1310">_xlfn.IFS(AND(N1310&lt;= 22, S1310=9), N1310-7,AND(N1310&lt;= 28, S1310=9), N1310-25,AND(N1310&lt;= 30, S1310=9), N1310-28,AND(N1310&lt;= 11, S1310=10), N1310+2,AND(N1310&lt;= 21, S1310=10), N1310-11)</f>
        <v>10</v>
      </c>
    </row>
    <row r="1311" spans="1:22" x14ac:dyDescent="0.35">
      <c r="A1311" s="4">
        <v>45552</v>
      </c>
      <c r="B1311" s="5">
        <v>0.65208333333333335</v>
      </c>
      <c r="C1311">
        <v>79.099999999999994</v>
      </c>
      <c r="D1311">
        <v>76</v>
      </c>
      <c r="E1311">
        <v>79.599999999999994</v>
      </c>
      <c r="F1311">
        <v>79</v>
      </c>
      <c r="G1311">
        <v>0</v>
      </c>
      <c r="H1311">
        <v>0</v>
      </c>
      <c r="I1311">
        <v>0</v>
      </c>
      <c r="J1311">
        <v>0</v>
      </c>
      <c r="K1311">
        <v>65.2</v>
      </c>
      <c r="L1311">
        <v>63.5</v>
      </c>
      <c r="M1311">
        <v>78.349999999999994</v>
      </c>
      <c r="N1311">
        <v>17</v>
      </c>
      <c r="O1311">
        <v>7</v>
      </c>
      <c r="P1311">
        <f>MOD(DAY(datos_siembra[[#This Row],[Date]]),7)</f>
        <v>3</v>
      </c>
      <c r="Q1311" t="str">
        <f>CHOOSE(WEEKDAY(datos_siembra[[#This Row],[Date]],2),"L","M","X","J","V","S","D")</f>
        <v>M</v>
      </c>
      <c r="R1311">
        <f>WEEKNUM(datos_siembra[[#This Row],[Date]],2)-WEEKNUM(DATE(YEAR(datos_siembra[[#This Row],[Date]]),MONTH(datos_siembra[[#This Row],[Date]]),1))+1</f>
        <v>3</v>
      </c>
      <c r="S1311">
        <f>MONTH(datos_siembra[[#This Row],[Date]])</f>
        <v>9</v>
      </c>
      <c r="T1311" t="str" cm="1">
        <f t="array" ref="T1311">_xlfn.IFS(AND(N1311&lt;= 22, S1311=9), "SOWING",AND(N1311&lt;= 28, S1311=9), "COVERAGE",AND(N1311&lt;= 30, S1311=9), "FLUSH",AND(N1311&lt;= 11, S1311=10), "FLUSH",AND(N1311&lt;= 21, S1311=10), "PRODUCTION")</f>
        <v>SOWING</v>
      </c>
      <c r="U1311">
        <f>HOUR(datos_siembra[[#This Row],[Hour]])</f>
        <v>15</v>
      </c>
      <c r="V1311" cm="1">
        <f t="array" ref="V1311">_xlfn.IFS(AND(N1311&lt;= 22, S1311=9), N1311-7,AND(N1311&lt;= 28, S1311=9), N1311-25,AND(N1311&lt;= 30, S1311=9), N1311-28,AND(N1311&lt;= 11, S1311=10), N1311+2,AND(N1311&lt;= 21, S1311=10), N1311-11)</f>
        <v>10</v>
      </c>
    </row>
    <row r="1312" spans="1:22" x14ac:dyDescent="0.35">
      <c r="A1312" s="4">
        <v>45552</v>
      </c>
      <c r="B1312" s="5">
        <v>0.65903935185185181</v>
      </c>
      <c r="C1312">
        <v>78.900000000000006</v>
      </c>
      <c r="D1312">
        <v>75.8</v>
      </c>
      <c r="E1312">
        <v>79.5</v>
      </c>
      <c r="F1312">
        <v>78.900000000000006</v>
      </c>
      <c r="G1312">
        <v>0</v>
      </c>
      <c r="H1312">
        <v>0</v>
      </c>
      <c r="I1312">
        <v>0</v>
      </c>
      <c r="J1312">
        <v>0</v>
      </c>
      <c r="K1312">
        <v>65</v>
      </c>
      <c r="L1312">
        <v>63.2</v>
      </c>
      <c r="M1312">
        <v>78.319999999999993</v>
      </c>
      <c r="N1312">
        <v>17</v>
      </c>
      <c r="O1312">
        <v>7</v>
      </c>
      <c r="P1312">
        <f>MOD(DAY(datos_siembra[[#This Row],[Date]]),7)</f>
        <v>3</v>
      </c>
      <c r="Q1312" t="str">
        <f>CHOOSE(WEEKDAY(datos_siembra[[#This Row],[Date]],2),"L","M","X","J","V","S","D")</f>
        <v>M</v>
      </c>
      <c r="R1312">
        <f>WEEKNUM(datos_siembra[[#This Row],[Date]],2)-WEEKNUM(DATE(YEAR(datos_siembra[[#This Row],[Date]]),MONTH(datos_siembra[[#This Row],[Date]]),1))+1</f>
        <v>3</v>
      </c>
      <c r="S1312">
        <f>MONTH(datos_siembra[[#This Row],[Date]])</f>
        <v>9</v>
      </c>
      <c r="T1312" t="str" cm="1">
        <f t="array" ref="T1312">_xlfn.IFS(AND(N1312&lt;= 22, S1312=9), "SOWING",AND(N1312&lt;= 28, S1312=9), "COVERAGE",AND(N1312&lt;= 30, S1312=9), "FLUSH",AND(N1312&lt;= 11, S1312=10), "FLUSH",AND(N1312&lt;= 21, S1312=10), "PRODUCTION")</f>
        <v>SOWING</v>
      </c>
      <c r="U1312">
        <f>HOUR(datos_siembra[[#This Row],[Hour]])</f>
        <v>15</v>
      </c>
      <c r="V1312" cm="1">
        <f t="array" ref="V1312">_xlfn.IFS(AND(N1312&lt;= 22, S1312=9), N1312-7,AND(N1312&lt;= 28, S1312=9), N1312-25,AND(N1312&lt;= 30, S1312=9), N1312-28,AND(N1312&lt;= 11, S1312=10), N1312+2,AND(N1312&lt;= 21, S1312=10), N1312-11)</f>
        <v>10</v>
      </c>
    </row>
    <row r="1313" spans="1:22" x14ac:dyDescent="0.35">
      <c r="A1313" s="4">
        <v>45552</v>
      </c>
      <c r="B1313" s="5">
        <v>0.66598379629629634</v>
      </c>
      <c r="C1313">
        <v>79</v>
      </c>
      <c r="D1313">
        <v>75.900000000000006</v>
      </c>
      <c r="E1313">
        <v>79.5</v>
      </c>
      <c r="F1313">
        <v>79.099999999999994</v>
      </c>
      <c r="G1313">
        <v>0</v>
      </c>
      <c r="H1313">
        <v>0</v>
      </c>
      <c r="I1313">
        <v>0</v>
      </c>
      <c r="J1313">
        <v>0</v>
      </c>
      <c r="K1313">
        <v>65</v>
      </c>
      <c r="L1313">
        <v>63.2</v>
      </c>
      <c r="M1313">
        <v>78.41</v>
      </c>
      <c r="N1313">
        <v>17</v>
      </c>
      <c r="O1313">
        <v>7</v>
      </c>
      <c r="P1313">
        <f>MOD(DAY(datos_siembra[[#This Row],[Date]]),7)</f>
        <v>3</v>
      </c>
      <c r="Q1313" t="str">
        <f>CHOOSE(WEEKDAY(datos_siembra[[#This Row],[Date]],2),"L","M","X","J","V","S","D")</f>
        <v>M</v>
      </c>
      <c r="R1313">
        <f>WEEKNUM(datos_siembra[[#This Row],[Date]],2)-WEEKNUM(DATE(YEAR(datos_siembra[[#This Row],[Date]]),MONTH(datos_siembra[[#This Row],[Date]]),1))+1</f>
        <v>3</v>
      </c>
      <c r="S1313">
        <f>MONTH(datos_siembra[[#This Row],[Date]])</f>
        <v>9</v>
      </c>
      <c r="T1313" t="str" cm="1">
        <f t="array" ref="T1313">_xlfn.IFS(AND(N1313&lt;= 22, S1313=9), "SOWING",AND(N1313&lt;= 28, S1313=9), "COVERAGE",AND(N1313&lt;= 30, S1313=9), "FLUSH",AND(N1313&lt;= 11, S1313=10), "FLUSH",AND(N1313&lt;= 21, S1313=10), "PRODUCTION")</f>
        <v>SOWING</v>
      </c>
      <c r="U1313">
        <f>HOUR(datos_siembra[[#This Row],[Hour]])</f>
        <v>15</v>
      </c>
      <c r="V1313" cm="1">
        <f t="array" ref="V1313">_xlfn.IFS(AND(N1313&lt;= 22, S1313=9), N1313-7,AND(N1313&lt;= 28, S1313=9), N1313-25,AND(N1313&lt;= 30, S1313=9), N1313-28,AND(N1313&lt;= 11, S1313=10), N1313+2,AND(N1313&lt;= 21, S1313=10), N1313-11)</f>
        <v>10</v>
      </c>
    </row>
    <row r="1314" spans="1:22" x14ac:dyDescent="0.35">
      <c r="A1314" s="4">
        <v>45552</v>
      </c>
      <c r="B1314" s="5">
        <v>0.67292824074074076</v>
      </c>
      <c r="C1314">
        <v>79</v>
      </c>
      <c r="D1314">
        <v>76</v>
      </c>
      <c r="E1314">
        <v>79.599999999999994</v>
      </c>
      <c r="F1314">
        <v>79</v>
      </c>
      <c r="G1314">
        <v>0</v>
      </c>
      <c r="H1314">
        <v>0</v>
      </c>
      <c r="I1314">
        <v>0</v>
      </c>
      <c r="J1314">
        <v>0</v>
      </c>
      <c r="K1314">
        <v>64.7</v>
      </c>
      <c r="L1314">
        <v>62.9</v>
      </c>
      <c r="M1314">
        <v>78.430000000000007</v>
      </c>
      <c r="N1314">
        <v>17</v>
      </c>
      <c r="O1314">
        <v>7</v>
      </c>
      <c r="P1314">
        <f>MOD(DAY(datos_siembra[[#This Row],[Date]]),7)</f>
        <v>3</v>
      </c>
      <c r="Q1314" t="str">
        <f>CHOOSE(WEEKDAY(datos_siembra[[#This Row],[Date]],2),"L","M","X","J","V","S","D")</f>
        <v>M</v>
      </c>
      <c r="R1314">
        <f>WEEKNUM(datos_siembra[[#This Row],[Date]],2)-WEEKNUM(DATE(YEAR(datos_siembra[[#This Row],[Date]]),MONTH(datos_siembra[[#This Row],[Date]]),1))+1</f>
        <v>3</v>
      </c>
      <c r="S1314">
        <f>MONTH(datos_siembra[[#This Row],[Date]])</f>
        <v>9</v>
      </c>
      <c r="T1314" t="str" cm="1">
        <f t="array" ref="T1314">_xlfn.IFS(AND(N1314&lt;= 22, S1314=9), "SOWING",AND(N1314&lt;= 28, S1314=9), "COVERAGE",AND(N1314&lt;= 30, S1314=9), "FLUSH",AND(N1314&lt;= 11, S1314=10), "FLUSH",AND(N1314&lt;= 21, S1314=10), "PRODUCTION")</f>
        <v>SOWING</v>
      </c>
      <c r="U1314">
        <f>HOUR(datos_siembra[[#This Row],[Hour]])</f>
        <v>16</v>
      </c>
      <c r="V1314" cm="1">
        <f t="array" ref="V1314">_xlfn.IFS(AND(N1314&lt;= 22, S1314=9), N1314-7,AND(N1314&lt;= 28, S1314=9), N1314-25,AND(N1314&lt;= 30, S1314=9), N1314-28,AND(N1314&lt;= 11, S1314=10), N1314+2,AND(N1314&lt;= 21, S1314=10), N1314-11)</f>
        <v>10</v>
      </c>
    </row>
    <row r="1315" spans="1:22" x14ac:dyDescent="0.35">
      <c r="A1315" s="4">
        <v>45552</v>
      </c>
      <c r="B1315" s="5">
        <v>0.67988425925925922</v>
      </c>
      <c r="C1315">
        <v>79.099999999999994</v>
      </c>
      <c r="D1315">
        <v>75.8</v>
      </c>
      <c r="E1315">
        <v>79.599999999999994</v>
      </c>
      <c r="F1315">
        <v>79</v>
      </c>
      <c r="G1315">
        <v>0</v>
      </c>
      <c r="H1315">
        <v>0</v>
      </c>
      <c r="I1315">
        <v>0</v>
      </c>
      <c r="J1315">
        <v>0</v>
      </c>
      <c r="K1315">
        <v>64.5</v>
      </c>
      <c r="L1315">
        <v>62.6</v>
      </c>
      <c r="M1315">
        <v>78.349999999999994</v>
      </c>
      <c r="N1315">
        <v>17</v>
      </c>
      <c r="O1315">
        <v>7</v>
      </c>
      <c r="P1315">
        <f>MOD(DAY(datos_siembra[[#This Row],[Date]]),7)</f>
        <v>3</v>
      </c>
      <c r="Q1315" t="str">
        <f>CHOOSE(WEEKDAY(datos_siembra[[#This Row],[Date]],2),"L","M","X","J","V","S","D")</f>
        <v>M</v>
      </c>
      <c r="R1315">
        <f>WEEKNUM(datos_siembra[[#This Row],[Date]],2)-WEEKNUM(DATE(YEAR(datos_siembra[[#This Row],[Date]]),MONTH(datos_siembra[[#This Row],[Date]]),1))+1</f>
        <v>3</v>
      </c>
      <c r="S1315">
        <f>MONTH(datos_siembra[[#This Row],[Date]])</f>
        <v>9</v>
      </c>
      <c r="T1315" t="str" cm="1">
        <f t="array" ref="T1315">_xlfn.IFS(AND(N1315&lt;= 22, S1315=9), "SOWING",AND(N1315&lt;= 28, S1315=9), "COVERAGE",AND(N1315&lt;= 30, S1315=9), "FLUSH",AND(N1315&lt;= 11, S1315=10), "FLUSH",AND(N1315&lt;= 21, S1315=10), "PRODUCTION")</f>
        <v>SOWING</v>
      </c>
      <c r="U1315">
        <f>HOUR(datos_siembra[[#This Row],[Hour]])</f>
        <v>16</v>
      </c>
      <c r="V1315" cm="1">
        <f t="array" ref="V1315">_xlfn.IFS(AND(N1315&lt;= 22, S1315=9), N1315-7,AND(N1315&lt;= 28, S1315=9), N1315-25,AND(N1315&lt;= 30, S1315=9), N1315-28,AND(N1315&lt;= 11, S1315=10), N1315+2,AND(N1315&lt;= 21, S1315=10), N1315-11)</f>
        <v>10</v>
      </c>
    </row>
    <row r="1316" spans="1:22" x14ac:dyDescent="0.35">
      <c r="A1316" s="4">
        <v>45552</v>
      </c>
      <c r="B1316" s="5">
        <v>0.68682870370370375</v>
      </c>
      <c r="C1316">
        <v>79.099999999999994</v>
      </c>
      <c r="D1316">
        <v>76</v>
      </c>
      <c r="E1316">
        <v>79.599999999999994</v>
      </c>
      <c r="F1316">
        <v>78.900000000000006</v>
      </c>
      <c r="G1316">
        <v>0</v>
      </c>
      <c r="H1316">
        <v>0</v>
      </c>
      <c r="I1316">
        <v>0</v>
      </c>
      <c r="J1316">
        <v>0</v>
      </c>
      <c r="K1316">
        <v>65.5</v>
      </c>
      <c r="L1316">
        <v>63.9</v>
      </c>
      <c r="M1316">
        <v>78.319999999999993</v>
      </c>
      <c r="N1316">
        <v>17</v>
      </c>
      <c r="O1316">
        <v>7</v>
      </c>
      <c r="P1316">
        <f>MOD(DAY(datos_siembra[[#This Row],[Date]]),7)</f>
        <v>3</v>
      </c>
      <c r="Q1316" t="str">
        <f>CHOOSE(WEEKDAY(datos_siembra[[#This Row],[Date]],2),"L","M","X","J","V","S","D")</f>
        <v>M</v>
      </c>
      <c r="R1316">
        <f>WEEKNUM(datos_siembra[[#This Row],[Date]],2)-WEEKNUM(DATE(YEAR(datos_siembra[[#This Row],[Date]]),MONTH(datos_siembra[[#This Row],[Date]]),1))+1</f>
        <v>3</v>
      </c>
      <c r="S1316">
        <f>MONTH(datos_siembra[[#This Row],[Date]])</f>
        <v>9</v>
      </c>
      <c r="T1316" t="str" cm="1">
        <f t="array" ref="T1316">_xlfn.IFS(AND(N1316&lt;= 22, S1316=9), "SOWING",AND(N1316&lt;= 28, S1316=9), "COVERAGE",AND(N1316&lt;= 30, S1316=9), "FLUSH",AND(N1316&lt;= 11, S1316=10), "FLUSH",AND(N1316&lt;= 21, S1316=10), "PRODUCTION")</f>
        <v>SOWING</v>
      </c>
      <c r="U1316">
        <f>HOUR(datos_siembra[[#This Row],[Hour]])</f>
        <v>16</v>
      </c>
      <c r="V1316" cm="1">
        <f t="array" ref="V1316">_xlfn.IFS(AND(N1316&lt;= 22, S1316=9), N1316-7,AND(N1316&lt;= 28, S1316=9), N1316-25,AND(N1316&lt;= 30, S1316=9), N1316-28,AND(N1316&lt;= 11, S1316=10), N1316+2,AND(N1316&lt;= 21, S1316=10), N1316-11)</f>
        <v>10</v>
      </c>
    </row>
    <row r="1317" spans="1:22" x14ac:dyDescent="0.35">
      <c r="A1317" s="4">
        <v>45552</v>
      </c>
      <c r="B1317" s="5">
        <v>0.69377314814814817</v>
      </c>
      <c r="C1317">
        <v>79.099999999999994</v>
      </c>
      <c r="D1317">
        <v>75.8</v>
      </c>
      <c r="E1317">
        <v>79.5</v>
      </c>
      <c r="F1317">
        <v>79</v>
      </c>
      <c r="G1317">
        <v>0</v>
      </c>
      <c r="H1317">
        <v>0</v>
      </c>
      <c r="I1317">
        <v>0</v>
      </c>
      <c r="J1317">
        <v>0</v>
      </c>
      <c r="K1317">
        <v>66.3</v>
      </c>
      <c r="L1317">
        <v>65.099999999999994</v>
      </c>
      <c r="M1317">
        <v>78.349999999999994</v>
      </c>
      <c r="N1317">
        <v>17</v>
      </c>
      <c r="O1317">
        <v>7</v>
      </c>
      <c r="P1317">
        <f>MOD(DAY(datos_siembra[[#This Row],[Date]]),7)</f>
        <v>3</v>
      </c>
      <c r="Q1317" t="str">
        <f>CHOOSE(WEEKDAY(datos_siembra[[#This Row],[Date]],2),"L","M","X","J","V","S","D")</f>
        <v>M</v>
      </c>
      <c r="R1317">
        <f>WEEKNUM(datos_siembra[[#This Row],[Date]],2)-WEEKNUM(DATE(YEAR(datos_siembra[[#This Row],[Date]]),MONTH(datos_siembra[[#This Row],[Date]]),1))+1</f>
        <v>3</v>
      </c>
      <c r="S1317">
        <f>MONTH(datos_siembra[[#This Row],[Date]])</f>
        <v>9</v>
      </c>
      <c r="T1317" t="str" cm="1">
        <f t="array" ref="T1317">_xlfn.IFS(AND(N1317&lt;= 22, S1317=9), "SOWING",AND(N1317&lt;= 28, S1317=9), "COVERAGE",AND(N1317&lt;= 30, S1317=9), "FLUSH",AND(N1317&lt;= 11, S1317=10), "FLUSH",AND(N1317&lt;= 21, S1317=10), "PRODUCTION")</f>
        <v>SOWING</v>
      </c>
      <c r="U1317">
        <f>HOUR(datos_siembra[[#This Row],[Hour]])</f>
        <v>16</v>
      </c>
      <c r="V1317" cm="1">
        <f t="array" ref="V1317">_xlfn.IFS(AND(N1317&lt;= 22, S1317=9), N1317-7,AND(N1317&lt;= 28, S1317=9), N1317-25,AND(N1317&lt;= 30, S1317=9), N1317-28,AND(N1317&lt;= 11, S1317=10), N1317+2,AND(N1317&lt;= 21, S1317=10), N1317-11)</f>
        <v>10</v>
      </c>
    </row>
    <row r="1318" spans="1:22" x14ac:dyDescent="0.35">
      <c r="A1318" s="4">
        <v>45552</v>
      </c>
      <c r="B1318" s="5">
        <v>0.70071759259259259</v>
      </c>
      <c r="C1318">
        <v>79.099999999999994</v>
      </c>
      <c r="D1318">
        <v>75.599999999999994</v>
      </c>
      <c r="E1318">
        <v>79.5</v>
      </c>
      <c r="F1318">
        <v>79.099999999999994</v>
      </c>
      <c r="G1318">
        <v>0</v>
      </c>
      <c r="H1318">
        <v>0</v>
      </c>
      <c r="I1318">
        <v>0</v>
      </c>
      <c r="J1318">
        <v>0</v>
      </c>
      <c r="K1318">
        <v>66.8</v>
      </c>
      <c r="L1318">
        <v>65.400000000000006</v>
      </c>
      <c r="M1318">
        <v>78.41</v>
      </c>
      <c r="N1318">
        <v>17</v>
      </c>
      <c r="O1318">
        <v>7</v>
      </c>
      <c r="P1318">
        <f>MOD(DAY(datos_siembra[[#This Row],[Date]]),7)</f>
        <v>3</v>
      </c>
      <c r="Q1318" t="str">
        <f>CHOOSE(WEEKDAY(datos_siembra[[#This Row],[Date]],2),"L","M","X","J","V","S","D")</f>
        <v>M</v>
      </c>
      <c r="R1318">
        <f>WEEKNUM(datos_siembra[[#This Row],[Date]],2)-WEEKNUM(DATE(YEAR(datos_siembra[[#This Row],[Date]]),MONTH(datos_siembra[[#This Row],[Date]]),1))+1</f>
        <v>3</v>
      </c>
      <c r="S1318">
        <f>MONTH(datos_siembra[[#This Row],[Date]])</f>
        <v>9</v>
      </c>
      <c r="T1318" t="str" cm="1">
        <f t="array" ref="T1318">_xlfn.IFS(AND(N1318&lt;= 22, S1318=9), "SOWING",AND(N1318&lt;= 28, S1318=9), "COVERAGE",AND(N1318&lt;= 30, S1318=9), "FLUSH",AND(N1318&lt;= 11, S1318=10), "FLUSH",AND(N1318&lt;= 21, S1318=10), "PRODUCTION")</f>
        <v>SOWING</v>
      </c>
      <c r="U1318">
        <f>HOUR(datos_siembra[[#This Row],[Hour]])</f>
        <v>16</v>
      </c>
      <c r="V1318" cm="1">
        <f t="array" ref="V1318">_xlfn.IFS(AND(N1318&lt;= 22, S1318=9), N1318-7,AND(N1318&lt;= 28, S1318=9), N1318-25,AND(N1318&lt;= 30, S1318=9), N1318-28,AND(N1318&lt;= 11, S1318=10), N1318+2,AND(N1318&lt;= 21, S1318=10), N1318-11)</f>
        <v>10</v>
      </c>
    </row>
    <row r="1319" spans="1:22" x14ac:dyDescent="0.35">
      <c r="A1319" s="4">
        <v>45552</v>
      </c>
      <c r="B1319" s="5">
        <v>0.70767361111111116</v>
      </c>
      <c r="C1319">
        <v>79.099999999999994</v>
      </c>
      <c r="D1319">
        <v>75.900000000000006</v>
      </c>
      <c r="E1319">
        <v>79.400000000000006</v>
      </c>
      <c r="F1319">
        <v>79</v>
      </c>
      <c r="G1319">
        <v>0</v>
      </c>
      <c r="H1319">
        <v>0</v>
      </c>
      <c r="I1319">
        <v>0</v>
      </c>
      <c r="J1319">
        <v>0</v>
      </c>
      <c r="K1319">
        <v>67</v>
      </c>
      <c r="L1319">
        <v>65.599999999999994</v>
      </c>
      <c r="M1319">
        <v>78.290000000000006</v>
      </c>
      <c r="N1319">
        <v>17</v>
      </c>
      <c r="O1319">
        <v>7</v>
      </c>
      <c r="P1319">
        <f>MOD(DAY(datos_siembra[[#This Row],[Date]]),7)</f>
        <v>3</v>
      </c>
      <c r="Q1319" t="str">
        <f>CHOOSE(WEEKDAY(datos_siembra[[#This Row],[Date]],2),"L","M","X","J","V","S","D")</f>
        <v>M</v>
      </c>
      <c r="R1319">
        <f>WEEKNUM(datos_siembra[[#This Row],[Date]],2)-WEEKNUM(DATE(YEAR(datos_siembra[[#This Row],[Date]]),MONTH(datos_siembra[[#This Row],[Date]]),1))+1</f>
        <v>3</v>
      </c>
      <c r="S1319">
        <f>MONTH(datos_siembra[[#This Row],[Date]])</f>
        <v>9</v>
      </c>
      <c r="T1319" t="str" cm="1">
        <f t="array" ref="T1319">_xlfn.IFS(AND(N1319&lt;= 22, S1319=9), "SOWING",AND(N1319&lt;= 28, S1319=9), "COVERAGE",AND(N1319&lt;= 30, S1319=9), "FLUSH",AND(N1319&lt;= 11, S1319=10), "FLUSH",AND(N1319&lt;= 21, S1319=10), "PRODUCTION")</f>
        <v>SOWING</v>
      </c>
      <c r="U1319">
        <f>HOUR(datos_siembra[[#This Row],[Hour]])</f>
        <v>16</v>
      </c>
      <c r="V1319" cm="1">
        <f t="array" ref="V1319">_xlfn.IFS(AND(N1319&lt;= 22, S1319=9), N1319-7,AND(N1319&lt;= 28, S1319=9), N1319-25,AND(N1319&lt;= 30, S1319=9), N1319-28,AND(N1319&lt;= 11, S1319=10), N1319+2,AND(N1319&lt;= 21, S1319=10), N1319-11)</f>
        <v>10</v>
      </c>
    </row>
    <row r="1320" spans="1:22" x14ac:dyDescent="0.35">
      <c r="A1320" s="4">
        <v>45552</v>
      </c>
      <c r="B1320" s="5">
        <v>0.71461805555555558</v>
      </c>
      <c r="C1320">
        <v>79</v>
      </c>
      <c r="D1320">
        <v>75.8</v>
      </c>
      <c r="E1320">
        <v>79.5</v>
      </c>
      <c r="F1320">
        <v>79</v>
      </c>
      <c r="G1320">
        <v>0</v>
      </c>
      <c r="H1320">
        <v>0</v>
      </c>
      <c r="I1320">
        <v>0</v>
      </c>
      <c r="J1320">
        <v>0</v>
      </c>
      <c r="K1320">
        <v>67.099999999999994</v>
      </c>
      <c r="L1320">
        <v>65.900000000000006</v>
      </c>
      <c r="M1320">
        <v>78.290000000000006</v>
      </c>
      <c r="N1320">
        <v>17</v>
      </c>
      <c r="O1320">
        <v>7</v>
      </c>
      <c r="P1320">
        <f>MOD(DAY(datos_siembra[[#This Row],[Date]]),7)</f>
        <v>3</v>
      </c>
      <c r="Q1320" t="str">
        <f>CHOOSE(WEEKDAY(datos_siembra[[#This Row],[Date]],2),"L","M","X","J","V","S","D")</f>
        <v>M</v>
      </c>
      <c r="R1320">
        <f>WEEKNUM(datos_siembra[[#This Row],[Date]],2)-WEEKNUM(DATE(YEAR(datos_siembra[[#This Row],[Date]]),MONTH(datos_siembra[[#This Row],[Date]]),1))+1</f>
        <v>3</v>
      </c>
      <c r="S1320">
        <f>MONTH(datos_siembra[[#This Row],[Date]])</f>
        <v>9</v>
      </c>
      <c r="T1320" t="str" cm="1">
        <f t="array" ref="T1320">_xlfn.IFS(AND(N1320&lt;= 22, S1320=9), "SOWING",AND(N1320&lt;= 28, S1320=9), "COVERAGE",AND(N1320&lt;= 30, S1320=9), "FLUSH",AND(N1320&lt;= 11, S1320=10), "FLUSH",AND(N1320&lt;= 21, S1320=10), "PRODUCTION")</f>
        <v>SOWING</v>
      </c>
      <c r="U1320">
        <f>HOUR(datos_siembra[[#This Row],[Hour]])</f>
        <v>17</v>
      </c>
      <c r="V1320" cm="1">
        <f t="array" ref="V1320">_xlfn.IFS(AND(N1320&lt;= 22, S1320=9), N1320-7,AND(N1320&lt;= 28, S1320=9), N1320-25,AND(N1320&lt;= 30, S1320=9), N1320-28,AND(N1320&lt;= 11, S1320=10), N1320+2,AND(N1320&lt;= 21, S1320=10), N1320-11)</f>
        <v>10</v>
      </c>
    </row>
    <row r="1321" spans="1:22" x14ac:dyDescent="0.35">
      <c r="A1321" s="4">
        <v>45552</v>
      </c>
      <c r="B1321" s="5">
        <v>0.7215625</v>
      </c>
      <c r="C1321">
        <v>79.3</v>
      </c>
      <c r="D1321">
        <v>75.900000000000006</v>
      </c>
      <c r="E1321">
        <v>79.5</v>
      </c>
      <c r="F1321">
        <v>78.900000000000006</v>
      </c>
      <c r="G1321">
        <v>0</v>
      </c>
      <c r="H1321">
        <v>0</v>
      </c>
      <c r="I1321">
        <v>0</v>
      </c>
      <c r="J1321">
        <v>0</v>
      </c>
      <c r="K1321">
        <v>66.099999999999994</v>
      </c>
      <c r="L1321">
        <v>64.2</v>
      </c>
      <c r="M1321">
        <v>78.319999999999993</v>
      </c>
      <c r="N1321">
        <v>17</v>
      </c>
      <c r="O1321">
        <v>7</v>
      </c>
      <c r="P1321">
        <f>MOD(DAY(datos_siembra[[#This Row],[Date]]),7)</f>
        <v>3</v>
      </c>
      <c r="Q1321" t="str">
        <f>CHOOSE(WEEKDAY(datos_siembra[[#This Row],[Date]],2),"L","M","X","J","V","S","D")</f>
        <v>M</v>
      </c>
      <c r="R1321">
        <f>WEEKNUM(datos_siembra[[#This Row],[Date]],2)-WEEKNUM(DATE(YEAR(datos_siembra[[#This Row],[Date]]),MONTH(datos_siembra[[#This Row],[Date]]),1))+1</f>
        <v>3</v>
      </c>
      <c r="S1321">
        <f>MONTH(datos_siembra[[#This Row],[Date]])</f>
        <v>9</v>
      </c>
      <c r="T1321" t="str" cm="1">
        <f t="array" ref="T1321">_xlfn.IFS(AND(N1321&lt;= 22, S1321=9), "SOWING",AND(N1321&lt;= 28, S1321=9), "COVERAGE",AND(N1321&lt;= 30, S1321=9), "FLUSH",AND(N1321&lt;= 11, S1321=10), "FLUSH",AND(N1321&lt;= 21, S1321=10), "PRODUCTION")</f>
        <v>SOWING</v>
      </c>
      <c r="U1321">
        <f>HOUR(datos_siembra[[#This Row],[Hour]])</f>
        <v>17</v>
      </c>
      <c r="V1321" cm="1">
        <f t="array" ref="V1321">_xlfn.IFS(AND(N1321&lt;= 22, S1321=9), N1321-7,AND(N1321&lt;= 28, S1321=9), N1321-25,AND(N1321&lt;= 30, S1321=9), N1321-28,AND(N1321&lt;= 11, S1321=10), N1321+2,AND(N1321&lt;= 21, S1321=10), N1321-11)</f>
        <v>10</v>
      </c>
    </row>
    <row r="1322" spans="1:22" x14ac:dyDescent="0.35">
      <c r="A1322" s="4">
        <v>45552</v>
      </c>
      <c r="B1322" s="5">
        <v>0.72851851851851857</v>
      </c>
      <c r="C1322">
        <v>79.099999999999994</v>
      </c>
      <c r="D1322">
        <v>75.599999999999994</v>
      </c>
      <c r="E1322">
        <v>79.400000000000006</v>
      </c>
      <c r="F1322">
        <v>78.900000000000006</v>
      </c>
      <c r="G1322">
        <v>0</v>
      </c>
      <c r="H1322">
        <v>0</v>
      </c>
      <c r="I1322">
        <v>0</v>
      </c>
      <c r="J1322">
        <v>0</v>
      </c>
      <c r="K1322">
        <v>64.900000000000006</v>
      </c>
      <c r="L1322">
        <v>62.9</v>
      </c>
      <c r="M1322">
        <v>78.430000000000007</v>
      </c>
      <c r="N1322">
        <v>17</v>
      </c>
      <c r="O1322">
        <v>7</v>
      </c>
      <c r="P1322">
        <f>MOD(DAY(datos_siembra[[#This Row],[Date]]),7)</f>
        <v>3</v>
      </c>
      <c r="Q1322" t="str">
        <f>CHOOSE(WEEKDAY(datos_siembra[[#This Row],[Date]],2),"L","M","X","J","V","S","D")</f>
        <v>M</v>
      </c>
      <c r="R1322">
        <f>WEEKNUM(datos_siembra[[#This Row],[Date]],2)-WEEKNUM(DATE(YEAR(datos_siembra[[#This Row],[Date]]),MONTH(datos_siembra[[#This Row],[Date]]),1))+1</f>
        <v>3</v>
      </c>
      <c r="S1322">
        <f>MONTH(datos_siembra[[#This Row],[Date]])</f>
        <v>9</v>
      </c>
      <c r="T1322" t="str" cm="1">
        <f t="array" ref="T1322">_xlfn.IFS(AND(N1322&lt;= 22, S1322=9), "SOWING",AND(N1322&lt;= 28, S1322=9), "COVERAGE",AND(N1322&lt;= 30, S1322=9), "FLUSH",AND(N1322&lt;= 11, S1322=10), "FLUSH",AND(N1322&lt;= 21, S1322=10), "PRODUCTION")</f>
        <v>SOWING</v>
      </c>
      <c r="U1322">
        <f>HOUR(datos_siembra[[#This Row],[Hour]])</f>
        <v>17</v>
      </c>
      <c r="V1322" cm="1">
        <f t="array" ref="V1322">_xlfn.IFS(AND(N1322&lt;= 22, S1322=9), N1322-7,AND(N1322&lt;= 28, S1322=9), N1322-25,AND(N1322&lt;= 30, S1322=9), N1322-28,AND(N1322&lt;= 11, S1322=10), N1322+2,AND(N1322&lt;= 21, S1322=10), N1322-11)</f>
        <v>10</v>
      </c>
    </row>
    <row r="1323" spans="1:22" x14ac:dyDescent="0.35">
      <c r="A1323" s="4">
        <v>45552</v>
      </c>
      <c r="B1323" s="5">
        <v>0.73546296296296299</v>
      </c>
      <c r="C1323">
        <v>79.099999999999994</v>
      </c>
      <c r="D1323">
        <v>75.599999999999994</v>
      </c>
      <c r="E1323">
        <v>79.400000000000006</v>
      </c>
      <c r="F1323">
        <v>79.099999999999994</v>
      </c>
      <c r="G1323">
        <v>0</v>
      </c>
      <c r="H1323">
        <v>0</v>
      </c>
      <c r="I1323">
        <v>0</v>
      </c>
      <c r="J1323">
        <v>0</v>
      </c>
      <c r="K1323">
        <v>64.5</v>
      </c>
      <c r="L1323">
        <v>62.5</v>
      </c>
      <c r="M1323">
        <v>78.319999999999993</v>
      </c>
      <c r="N1323">
        <v>17</v>
      </c>
      <c r="O1323">
        <v>7</v>
      </c>
      <c r="P1323">
        <f>MOD(DAY(datos_siembra[[#This Row],[Date]]),7)</f>
        <v>3</v>
      </c>
      <c r="Q1323" t="str">
        <f>CHOOSE(WEEKDAY(datos_siembra[[#This Row],[Date]],2),"L","M","X","J","V","S","D")</f>
        <v>M</v>
      </c>
      <c r="R1323">
        <f>WEEKNUM(datos_siembra[[#This Row],[Date]],2)-WEEKNUM(DATE(YEAR(datos_siembra[[#This Row],[Date]]),MONTH(datos_siembra[[#This Row],[Date]]),1))+1</f>
        <v>3</v>
      </c>
      <c r="S1323">
        <f>MONTH(datos_siembra[[#This Row],[Date]])</f>
        <v>9</v>
      </c>
      <c r="T1323" t="str" cm="1">
        <f t="array" ref="T1323">_xlfn.IFS(AND(N1323&lt;= 22, S1323=9), "SOWING",AND(N1323&lt;= 28, S1323=9), "COVERAGE",AND(N1323&lt;= 30, S1323=9), "FLUSH",AND(N1323&lt;= 11, S1323=10), "FLUSH",AND(N1323&lt;= 21, S1323=10), "PRODUCTION")</f>
        <v>SOWING</v>
      </c>
      <c r="U1323">
        <f>HOUR(datos_siembra[[#This Row],[Hour]])</f>
        <v>17</v>
      </c>
      <c r="V1323" cm="1">
        <f t="array" ref="V1323">_xlfn.IFS(AND(N1323&lt;= 22, S1323=9), N1323-7,AND(N1323&lt;= 28, S1323=9), N1323-25,AND(N1323&lt;= 30, S1323=9), N1323-28,AND(N1323&lt;= 11, S1323=10), N1323+2,AND(N1323&lt;= 21, S1323=10), N1323-11)</f>
        <v>10</v>
      </c>
    </row>
    <row r="1324" spans="1:22" x14ac:dyDescent="0.35">
      <c r="A1324" s="4">
        <v>45552</v>
      </c>
      <c r="B1324" s="5">
        <v>0.7424074074074074</v>
      </c>
      <c r="C1324">
        <v>79.099999999999994</v>
      </c>
      <c r="D1324">
        <v>75.5</v>
      </c>
      <c r="E1324">
        <v>79.400000000000006</v>
      </c>
      <c r="F1324">
        <v>79</v>
      </c>
      <c r="G1324">
        <v>0</v>
      </c>
      <c r="H1324">
        <v>0</v>
      </c>
      <c r="I1324">
        <v>0</v>
      </c>
      <c r="J1324">
        <v>0</v>
      </c>
      <c r="K1324">
        <v>64.3</v>
      </c>
      <c r="L1324">
        <v>62.3</v>
      </c>
      <c r="M1324">
        <v>78.27</v>
      </c>
      <c r="N1324">
        <v>17</v>
      </c>
      <c r="O1324">
        <v>7</v>
      </c>
      <c r="P1324">
        <f>MOD(DAY(datos_siembra[[#This Row],[Date]]),7)</f>
        <v>3</v>
      </c>
      <c r="Q1324" t="str">
        <f>CHOOSE(WEEKDAY(datos_siembra[[#This Row],[Date]],2),"L","M","X","J","V","S","D")</f>
        <v>M</v>
      </c>
      <c r="R1324">
        <f>WEEKNUM(datos_siembra[[#This Row],[Date]],2)-WEEKNUM(DATE(YEAR(datos_siembra[[#This Row],[Date]]),MONTH(datos_siembra[[#This Row],[Date]]),1))+1</f>
        <v>3</v>
      </c>
      <c r="S1324">
        <f>MONTH(datos_siembra[[#This Row],[Date]])</f>
        <v>9</v>
      </c>
      <c r="T1324" t="str" cm="1">
        <f t="array" ref="T1324">_xlfn.IFS(AND(N1324&lt;= 22, S1324=9), "SOWING",AND(N1324&lt;= 28, S1324=9), "COVERAGE",AND(N1324&lt;= 30, S1324=9), "FLUSH",AND(N1324&lt;= 11, S1324=10), "FLUSH",AND(N1324&lt;= 21, S1324=10), "PRODUCTION")</f>
        <v>SOWING</v>
      </c>
      <c r="U1324">
        <f>HOUR(datos_siembra[[#This Row],[Hour]])</f>
        <v>17</v>
      </c>
      <c r="V1324" cm="1">
        <f t="array" ref="V1324">_xlfn.IFS(AND(N1324&lt;= 22, S1324=9), N1324-7,AND(N1324&lt;= 28, S1324=9), N1324-25,AND(N1324&lt;= 30, S1324=9), N1324-28,AND(N1324&lt;= 11, S1324=10), N1324+2,AND(N1324&lt;= 21, S1324=10), N1324-11)</f>
        <v>10</v>
      </c>
    </row>
    <row r="1325" spans="1:22" x14ac:dyDescent="0.35">
      <c r="A1325" s="4">
        <v>45552</v>
      </c>
      <c r="B1325" s="5">
        <v>0.74936342592592597</v>
      </c>
      <c r="C1325">
        <v>79.099999999999994</v>
      </c>
      <c r="D1325">
        <v>75.599999999999994</v>
      </c>
      <c r="E1325">
        <v>79.599999999999994</v>
      </c>
      <c r="F1325">
        <v>79.099999999999994</v>
      </c>
      <c r="G1325">
        <v>0</v>
      </c>
      <c r="H1325">
        <v>0</v>
      </c>
      <c r="I1325">
        <v>0</v>
      </c>
      <c r="J1325">
        <v>0</v>
      </c>
      <c r="K1325">
        <v>65.599999999999994</v>
      </c>
      <c r="L1325">
        <v>64.400000000000006</v>
      </c>
      <c r="M1325">
        <v>78.27</v>
      </c>
      <c r="N1325">
        <v>17</v>
      </c>
      <c r="O1325">
        <v>7</v>
      </c>
      <c r="P1325">
        <f>MOD(DAY(datos_siembra[[#This Row],[Date]]),7)</f>
        <v>3</v>
      </c>
      <c r="Q1325" t="str">
        <f>CHOOSE(WEEKDAY(datos_siembra[[#This Row],[Date]],2),"L","M","X","J","V","S","D")</f>
        <v>M</v>
      </c>
      <c r="R1325">
        <f>WEEKNUM(datos_siembra[[#This Row],[Date]],2)-WEEKNUM(DATE(YEAR(datos_siembra[[#This Row],[Date]]),MONTH(datos_siembra[[#This Row],[Date]]),1))+1</f>
        <v>3</v>
      </c>
      <c r="S1325">
        <f>MONTH(datos_siembra[[#This Row],[Date]])</f>
        <v>9</v>
      </c>
      <c r="T1325" t="str" cm="1">
        <f t="array" ref="T1325">_xlfn.IFS(AND(N1325&lt;= 22, S1325=9), "SOWING",AND(N1325&lt;= 28, S1325=9), "COVERAGE",AND(N1325&lt;= 30, S1325=9), "FLUSH",AND(N1325&lt;= 11, S1325=10), "FLUSH",AND(N1325&lt;= 21, S1325=10), "PRODUCTION")</f>
        <v>SOWING</v>
      </c>
      <c r="U1325">
        <f>HOUR(datos_siembra[[#This Row],[Hour]])</f>
        <v>17</v>
      </c>
      <c r="V1325" cm="1">
        <f t="array" ref="V1325">_xlfn.IFS(AND(N1325&lt;= 22, S1325=9), N1325-7,AND(N1325&lt;= 28, S1325=9), N1325-25,AND(N1325&lt;= 30, S1325=9), N1325-28,AND(N1325&lt;= 11, S1325=10), N1325+2,AND(N1325&lt;= 21, S1325=10), N1325-11)</f>
        <v>10</v>
      </c>
    </row>
    <row r="1326" spans="1:22" x14ac:dyDescent="0.35">
      <c r="A1326" s="4">
        <v>45552</v>
      </c>
      <c r="B1326" s="5">
        <v>0.75630787037037039</v>
      </c>
      <c r="C1326">
        <v>79.099999999999994</v>
      </c>
      <c r="D1326">
        <v>75.599999999999994</v>
      </c>
      <c r="E1326">
        <v>79.3</v>
      </c>
      <c r="F1326">
        <v>78.900000000000006</v>
      </c>
      <c r="G1326">
        <v>0</v>
      </c>
      <c r="H1326">
        <v>0</v>
      </c>
      <c r="I1326">
        <v>0</v>
      </c>
      <c r="J1326">
        <v>0</v>
      </c>
      <c r="K1326">
        <v>66.5</v>
      </c>
      <c r="L1326">
        <v>65.3</v>
      </c>
      <c r="M1326">
        <v>78.290000000000006</v>
      </c>
      <c r="N1326">
        <v>17</v>
      </c>
      <c r="O1326">
        <v>7</v>
      </c>
      <c r="P1326">
        <f>MOD(DAY(datos_siembra[[#This Row],[Date]]),7)</f>
        <v>3</v>
      </c>
      <c r="Q1326" t="str">
        <f>CHOOSE(WEEKDAY(datos_siembra[[#This Row],[Date]],2),"L","M","X","J","V","S","D")</f>
        <v>M</v>
      </c>
      <c r="R1326">
        <f>WEEKNUM(datos_siembra[[#This Row],[Date]],2)-WEEKNUM(DATE(YEAR(datos_siembra[[#This Row],[Date]]),MONTH(datos_siembra[[#This Row],[Date]]),1))+1</f>
        <v>3</v>
      </c>
      <c r="S1326">
        <f>MONTH(datos_siembra[[#This Row],[Date]])</f>
        <v>9</v>
      </c>
      <c r="T1326" t="str" cm="1">
        <f t="array" ref="T1326">_xlfn.IFS(AND(N1326&lt;= 22, S1326=9), "SOWING",AND(N1326&lt;= 28, S1326=9), "COVERAGE",AND(N1326&lt;= 30, S1326=9), "FLUSH",AND(N1326&lt;= 11, S1326=10), "FLUSH",AND(N1326&lt;= 21, S1326=10), "PRODUCTION")</f>
        <v>SOWING</v>
      </c>
      <c r="U1326">
        <f>HOUR(datos_siembra[[#This Row],[Hour]])</f>
        <v>18</v>
      </c>
      <c r="V1326" cm="1">
        <f t="array" ref="V1326">_xlfn.IFS(AND(N1326&lt;= 22, S1326=9), N1326-7,AND(N1326&lt;= 28, S1326=9), N1326-25,AND(N1326&lt;= 30, S1326=9), N1326-28,AND(N1326&lt;= 11, S1326=10), N1326+2,AND(N1326&lt;= 21, S1326=10), N1326-11)</f>
        <v>10</v>
      </c>
    </row>
    <row r="1327" spans="1:22" x14ac:dyDescent="0.35">
      <c r="A1327" s="4">
        <v>45552</v>
      </c>
      <c r="B1327" s="5">
        <v>0.76325231481481481</v>
      </c>
      <c r="C1327">
        <v>79.099999999999994</v>
      </c>
      <c r="D1327">
        <v>75.599999999999994</v>
      </c>
      <c r="E1327">
        <v>79.3</v>
      </c>
      <c r="F1327">
        <v>79.099999999999994</v>
      </c>
      <c r="G1327">
        <v>0</v>
      </c>
      <c r="H1327">
        <v>0</v>
      </c>
      <c r="I1327">
        <v>0</v>
      </c>
      <c r="J1327">
        <v>0</v>
      </c>
      <c r="K1327">
        <v>66.8</v>
      </c>
      <c r="L1327">
        <v>65.599999999999994</v>
      </c>
      <c r="M1327">
        <v>78.27</v>
      </c>
      <c r="N1327">
        <v>17</v>
      </c>
      <c r="O1327">
        <v>7</v>
      </c>
      <c r="P1327">
        <f>MOD(DAY(datos_siembra[[#This Row],[Date]]),7)</f>
        <v>3</v>
      </c>
      <c r="Q1327" t="str">
        <f>CHOOSE(WEEKDAY(datos_siembra[[#This Row],[Date]],2),"L","M","X","J","V","S","D")</f>
        <v>M</v>
      </c>
      <c r="R1327">
        <f>WEEKNUM(datos_siembra[[#This Row],[Date]],2)-WEEKNUM(DATE(YEAR(datos_siembra[[#This Row],[Date]]),MONTH(datos_siembra[[#This Row],[Date]]),1))+1</f>
        <v>3</v>
      </c>
      <c r="S1327">
        <f>MONTH(datos_siembra[[#This Row],[Date]])</f>
        <v>9</v>
      </c>
      <c r="T1327" t="str" cm="1">
        <f t="array" ref="T1327">_xlfn.IFS(AND(N1327&lt;= 22, S1327=9), "SOWING",AND(N1327&lt;= 28, S1327=9), "COVERAGE",AND(N1327&lt;= 30, S1327=9), "FLUSH",AND(N1327&lt;= 11, S1327=10), "FLUSH",AND(N1327&lt;= 21, S1327=10), "PRODUCTION")</f>
        <v>SOWING</v>
      </c>
      <c r="U1327">
        <f>HOUR(datos_siembra[[#This Row],[Hour]])</f>
        <v>18</v>
      </c>
      <c r="V1327" cm="1">
        <f t="array" ref="V1327">_xlfn.IFS(AND(N1327&lt;= 22, S1327=9), N1327-7,AND(N1327&lt;= 28, S1327=9), N1327-25,AND(N1327&lt;= 30, S1327=9), N1327-28,AND(N1327&lt;= 11, S1327=10), N1327+2,AND(N1327&lt;= 21, S1327=10), N1327-11)</f>
        <v>10</v>
      </c>
    </row>
    <row r="1328" spans="1:22" x14ac:dyDescent="0.35">
      <c r="A1328" s="4">
        <v>45552</v>
      </c>
      <c r="B1328" s="5">
        <v>0.77019675925925923</v>
      </c>
      <c r="C1328">
        <v>79.099999999999994</v>
      </c>
      <c r="D1328">
        <v>75.900000000000006</v>
      </c>
      <c r="E1328">
        <v>79.400000000000006</v>
      </c>
      <c r="F1328">
        <v>79</v>
      </c>
      <c r="G1328">
        <v>0</v>
      </c>
      <c r="H1328">
        <v>0</v>
      </c>
      <c r="I1328">
        <v>0</v>
      </c>
      <c r="J1328">
        <v>0</v>
      </c>
      <c r="K1328">
        <v>67</v>
      </c>
      <c r="L1328">
        <v>65.8</v>
      </c>
      <c r="M1328">
        <v>78.290000000000006</v>
      </c>
      <c r="N1328">
        <v>17</v>
      </c>
      <c r="O1328">
        <v>7</v>
      </c>
      <c r="P1328">
        <f>MOD(DAY(datos_siembra[[#This Row],[Date]]),7)</f>
        <v>3</v>
      </c>
      <c r="Q1328" t="str">
        <f>CHOOSE(WEEKDAY(datos_siembra[[#This Row],[Date]],2),"L","M","X","J","V","S","D")</f>
        <v>M</v>
      </c>
      <c r="R1328">
        <f>WEEKNUM(datos_siembra[[#This Row],[Date]],2)-WEEKNUM(DATE(YEAR(datos_siembra[[#This Row],[Date]]),MONTH(datos_siembra[[#This Row],[Date]]),1))+1</f>
        <v>3</v>
      </c>
      <c r="S1328">
        <f>MONTH(datos_siembra[[#This Row],[Date]])</f>
        <v>9</v>
      </c>
      <c r="T1328" t="str" cm="1">
        <f t="array" ref="T1328">_xlfn.IFS(AND(N1328&lt;= 22, S1328=9), "SOWING",AND(N1328&lt;= 28, S1328=9), "COVERAGE",AND(N1328&lt;= 30, S1328=9), "FLUSH",AND(N1328&lt;= 11, S1328=10), "FLUSH",AND(N1328&lt;= 21, S1328=10), "PRODUCTION")</f>
        <v>SOWING</v>
      </c>
      <c r="U1328">
        <f>HOUR(datos_siembra[[#This Row],[Hour]])</f>
        <v>18</v>
      </c>
      <c r="V1328" cm="1">
        <f t="array" ref="V1328">_xlfn.IFS(AND(N1328&lt;= 22, S1328=9), N1328-7,AND(N1328&lt;= 28, S1328=9), N1328-25,AND(N1328&lt;= 30, S1328=9), N1328-28,AND(N1328&lt;= 11, S1328=10), N1328+2,AND(N1328&lt;= 21, S1328=10), N1328-11)</f>
        <v>10</v>
      </c>
    </row>
    <row r="1329" spans="1:22" x14ac:dyDescent="0.35">
      <c r="A1329" s="4">
        <v>45552</v>
      </c>
      <c r="B1329" s="5">
        <v>0.7771527777777778</v>
      </c>
      <c r="C1329">
        <v>79.099999999999994</v>
      </c>
      <c r="D1329">
        <v>75.900000000000006</v>
      </c>
      <c r="E1329">
        <v>79.5</v>
      </c>
      <c r="F1329">
        <v>79</v>
      </c>
      <c r="G1329">
        <v>0</v>
      </c>
      <c r="H1329">
        <v>0</v>
      </c>
      <c r="I1329">
        <v>0</v>
      </c>
      <c r="J1329">
        <v>0</v>
      </c>
      <c r="K1329">
        <v>66.599999999999994</v>
      </c>
      <c r="L1329">
        <v>65.099999999999994</v>
      </c>
      <c r="M1329">
        <v>78.319999999999993</v>
      </c>
      <c r="N1329">
        <v>17</v>
      </c>
      <c r="O1329">
        <v>7</v>
      </c>
      <c r="P1329">
        <f>MOD(DAY(datos_siembra[[#This Row],[Date]]),7)</f>
        <v>3</v>
      </c>
      <c r="Q1329" t="str">
        <f>CHOOSE(WEEKDAY(datos_siembra[[#This Row],[Date]],2),"L","M","X","J","V","S","D")</f>
        <v>M</v>
      </c>
      <c r="R1329">
        <f>WEEKNUM(datos_siembra[[#This Row],[Date]],2)-WEEKNUM(DATE(YEAR(datos_siembra[[#This Row],[Date]]),MONTH(datos_siembra[[#This Row],[Date]]),1))+1</f>
        <v>3</v>
      </c>
      <c r="S1329">
        <f>MONTH(datos_siembra[[#This Row],[Date]])</f>
        <v>9</v>
      </c>
      <c r="T1329" t="str" cm="1">
        <f t="array" ref="T1329">_xlfn.IFS(AND(N1329&lt;= 22, S1329=9), "SOWING",AND(N1329&lt;= 28, S1329=9), "COVERAGE",AND(N1329&lt;= 30, S1329=9), "FLUSH",AND(N1329&lt;= 11, S1329=10), "FLUSH",AND(N1329&lt;= 21, S1329=10), "PRODUCTION")</f>
        <v>SOWING</v>
      </c>
      <c r="U1329">
        <f>HOUR(datos_siembra[[#This Row],[Hour]])</f>
        <v>18</v>
      </c>
      <c r="V1329" cm="1">
        <f t="array" ref="V1329">_xlfn.IFS(AND(N1329&lt;= 22, S1329=9), N1329-7,AND(N1329&lt;= 28, S1329=9), N1329-25,AND(N1329&lt;= 30, S1329=9), N1329-28,AND(N1329&lt;= 11, S1329=10), N1329+2,AND(N1329&lt;= 21, S1329=10), N1329-11)</f>
        <v>10</v>
      </c>
    </row>
    <row r="1330" spans="1:22" x14ac:dyDescent="0.35">
      <c r="A1330" s="4">
        <v>45552</v>
      </c>
      <c r="B1330" s="5">
        <v>0.78409722222222222</v>
      </c>
      <c r="C1330">
        <v>79.099999999999994</v>
      </c>
      <c r="D1330">
        <v>76</v>
      </c>
      <c r="E1330">
        <v>79.5</v>
      </c>
      <c r="F1330">
        <v>79.099999999999994</v>
      </c>
      <c r="G1330">
        <v>0</v>
      </c>
      <c r="H1330">
        <v>0</v>
      </c>
      <c r="I1330">
        <v>0</v>
      </c>
      <c r="J1330">
        <v>0</v>
      </c>
      <c r="K1330">
        <v>65</v>
      </c>
      <c r="L1330">
        <v>62.9</v>
      </c>
      <c r="M1330">
        <v>78.430000000000007</v>
      </c>
      <c r="N1330">
        <v>17</v>
      </c>
      <c r="O1330">
        <v>7</v>
      </c>
      <c r="P1330">
        <f>MOD(DAY(datos_siembra[[#This Row],[Date]]),7)</f>
        <v>3</v>
      </c>
      <c r="Q1330" t="str">
        <f>CHOOSE(WEEKDAY(datos_siembra[[#This Row],[Date]],2),"L","M","X","J","V","S","D")</f>
        <v>M</v>
      </c>
      <c r="R1330">
        <f>WEEKNUM(datos_siembra[[#This Row],[Date]],2)-WEEKNUM(DATE(YEAR(datos_siembra[[#This Row],[Date]]),MONTH(datos_siembra[[#This Row],[Date]]),1))+1</f>
        <v>3</v>
      </c>
      <c r="S1330">
        <f>MONTH(datos_siembra[[#This Row],[Date]])</f>
        <v>9</v>
      </c>
      <c r="T1330" t="str" cm="1">
        <f t="array" ref="T1330">_xlfn.IFS(AND(N1330&lt;= 22, S1330=9), "SOWING",AND(N1330&lt;= 28, S1330=9), "COVERAGE",AND(N1330&lt;= 30, S1330=9), "FLUSH",AND(N1330&lt;= 11, S1330=10), "FLUSH",AND(N1330&lt;= 21, S1330=10), "PRODUCTION")</f>
        <v>SOWING</v>
      </c>
      <c r="U1330">
        <f>HOUR(datos_siembra[[#This Row],[Hour]])</f>
        <v>18</v>
      </c>
      <c r="V1330" cm="1">
        <f t="array" ref="V1330">_xlfn.IFS(AND(N1330&lt;= 22, S1330=9), N1330-7,AND(N1330&lt;= 28, S1330=9), N1330-25,AND(N1330&lt;= 30, S1330=9), N1330-28,AND(N1330&lt;= 11, S1330=10), N1330+2,AND(N1330&lt;= 21, S1330=10), N1330-11)</f>
        <v>10</v>
      </c>
    </row>
    <row r="1331" spans="1:22" x14ac:dyDescent="0.35">
      <c r="A1331" s="4">
        <v>45552</v>
      </c>
      <c r="B1331" s="5">
        <v>0.79104166666666664</v>
      </c>
      <c r="C1331">
        <v>79.3</v>
      </c>
      <c r="D1331">
        <v>76</v>
      </c>
      <c r="E1331">
        <v>79.5</v>
      </c>
      <c r="F1331">
        <v>79</v>
      </c>
      <c r="G1331">
        <v>0</v>
      </c>
      <c r="H1331">
        <v>0</v>
      </c>
      <c r="I1331">
        <v>0</v>
      </c>
      <c r="J1331">
        <v>0</v>
      </c>
      <c r="K1331">
        <v>64.400000000000006</v>
      </c>
      <c r="L1331">
        <v>62.5</v>
      </c>
      <c r="M1331">
        <v>78.38</v>
      </c>
      <c r="N1331">
        <v>17</v>
      </c>
      <c r="O1331">
        <v>7</v>
      </c>
      <c r="P1331">
        <f>MOD(DAY(datos_siembra[[#This Row],[Date]]),7)</f>
        <v>3</v>
      </c>
      <c r="Q1331" t="str">
        <f>CHOOSE(WEEKDAY(datos_siembra[[#This Row],[Date]],2),"L","M","X","J","V","S","D")</f>
        <v>M</v>
      </c>
      <c r="R1331">
        <f>WEEKNUM(datos_siembra[[#This Row],[Date]],2)-WEEKNUM(DATE(YEAR(datos_siembra[[#This Row],[Date]]),MONTH(datos_siembra[[#This Row],[Date]]),1))+1</f>
        <v>3</v>
      </c>
      <c r="S1331">
        <f>MONTH(datos_siembra[[#This Row],[Date]])</f>
        <v>9</v>
      </c>
      <c r="T1331" t="str" cm="1">
        <f t="array" ref="T1331">_xlfn.IFS(AND(N1331&lt;= 22, S1331=9), "SOWING",AND(N1331&lt;= 28, S1331=9), "COVERAGE",AND(N1331&lt;= 30, S1331=9), "FLUSH",AND(N1331&lt;= 11, S1331=10), "FLUSH",AND(N1331&lt;= 21, S1331=10), "PRODUCTION")</f>
        <v>SOWING</v>
      </c>
      <c r="U1331">
        <f>HOUR(datos_siembra[[#This Row],[Hour]])</f>
        <v>18</v>
      </c>
      <c r="V1331" cm="1">
        <f t="array" ref="V1331">_xlfn.IFS(AND(N1331&lt;= 22, S1331=9), N1331-7,AND(N1331&lt;= 28, S1331=9), N1331-25,AND(N1331&lt;= 30, S1331=9), N1331-28,AND(N1331&lt;= 11, S1331=10), N1331+2,AND(N1331&lt;= 21, S1331=10), N1331-11)</f>
        <v>10</v>
      </c>
    </row>
    <row r="1332" spans="1:22" x14ac:dyDescent="0.35">
      <c r="A1332" s="4">
        <v>45552</v>
      </c>
      <c r="B1332" s="5">
        <v>0.79798611111111106</v>
      </c>
      <c r="C1332">
        <v>79.400000000000006</v>
      </c>
      <c r="D1332">
        <v>75.900000000000006</v>
      </c>
      <c r="E1332">
        <v>79.400000000000006</v>
      </c>
      <c r="F1332">
        <v>79</v>
      </c>
      <c r="G1332">
        <v>0</v>
      </c>
      <c r="H1332">
        <v>0</v>
      </c>
      <c r="I1332">
        <v>0</v>
      </c>
      <c r="J1332">
        <v>0</v>
      </c>
      <c r="K1332">
        <v>64.2</v>
      </c>
      <c r="L1332">
        <v>62.2</v>
      </c>
      <c r="M1332">
        <v>78.430000000000007</v>
      </c>
      <c r="N1332">
        <v>17</v>
      </c>
      <c r="O1332">
        <v>7</v>
      </c>
      <c r="P1332">
        <f>MOD(DAY(datos_siembra[[#This Row],[Date]]),7)</f>
        <v>3</v>
      </c>
      <c r="Q1332" t="str">
        <f>CHOOSE(WEEKDAY(datos_siembra[[#This Row],[Date]],2),"L","M","X","J","V","S","D")</f>
        <v>M</v>
      </c>
      <c r="R1332">
        <f>WEEKNUM(datos_siembra[[#This Row],[Date]],2)-WEEKNUM(DATE(YEAR(datos_siembra[[#This Row],[Date]]),MONTH(datos_siembra[[#This Row],[Date]]),1))+1</f>
        <v>3</v>
      </c>
      <c r="S1332">
        <f>MONTH(datos_siembra[[#This Row],[Date]])</f>
        <v>9</v>
      </c>
      <c r="T1332" t="str" cm="1">
        <f t="array" ref="T1332">_xlfn.IFS(AND(N1332&lt;= 22, S1332=9), "SOWING",AND(N1332&lt;= 28, S1332=9), "COVERAGE",AND(N1332&lt;= 30, S1332=9), "FLUSH",AND(N1332&lt;= 11, S1332=10), "FLUSH",AND(N1332&lt;= 21, S1332=10), "PRODUCTION")</f>
        <v>SOWING</v>
      </c>
      <c r="U1332">
        <f>HOUR(datos_siembra[[#This Row],[Hour]])</f>
        <v>19</v>
      </c>
      <c r="V1332" cm="1">
        <f t="array" ref="V1332">_xlfn.IFS(AND(N1332&lt;= 22, S1332=9), N1332-7,AND(N1332&lt;= 28, S1332=9), N1332-25,AND(N1332&lt;= 30, S1332=9), N1332-28,AND(N1332&lt;= 11, S1332=10), N1332+2,AND(N1332&lt;= 21, S1332=10), N1332-11)</f>
        <v>10</v>
      </c>
    </row>
    <row r="1333" spans="1:22" x14ac:dyDescent="0.35">
      <c r="A1333" s="4">
        <v>45552</v>
      </c>
      <c r="B1333" s="5">
        <v>0.80494212962962963</v>
      </c>
      <c r="C1333">
        <v>79.599999999999994</v>
      </c>
      <c r="D1333">
        <v>75.599999999999994</v>
      </c>
      <c r="E1333">
        <v>79.5</v>
      </c>
      <c r="F1333">
        <v>79</v>
      </c>
      <c r="G1333">
        <v>0</v>
      </c>
      <c r="H1333">
        <v>0</v>
      </c>
      <c r="I1333">
        <v>0</v>
      </c>
      <c r="J1333">
        <v>0</v>
      </c>
      <c r="K1333">
        <v>65.099999999999994</v>
      </c>
      <c r="L1333">
        <v>63.5</v>
      </c>
      <c r="M1333">
        <v>78.430000000000007</v>
      </c>
      <c r="N1333">
        <v>17</v>
      </c>
      <c r="O1333">
        <v>7</v>
      </c>
      <c r="P1333">
        <f>MOD(DAY(datos_siembra[[#This Row],[Date]]),7)</f>
        <v>3</v>
      </c>
      <c r="Q1333" t="str">
        <f>CHOOSE(WEEKDAY(datos_siembra[[#This Row],[Date]],2),"L","M","X","J","V","S","D")</f>
        <v>M</v>
      </c>
      <c r="R1333">
        <f>WEEKNUM(datos_siembra[[#This Row],[Date]],2)-WEEKNUM(DATE(YEAR(datos_siembra[[#This Row],[Date]]),MONTH(datos_siembra[[#This Row],[Date]]),1))+1</f>
        <v>3</v>
      </c>
      <c r="S1333">
        <f>MONTH(datos_siembra[[#This Row],[Date]])</f>
        <v>9</v>
      </c>
      <c r="T1333" t="str" cm="1">
        <f t="array" ref="T1333">_xlfn.IFS(AND(N1333&lt;= 22, S1333=9), "SOWING",AND(N1333&lt;= 28, S1333=9), "COVERAGE",AND(N1333&lt;= 30, S1333=9), "FLUSH",AND(N1333&lt;= 11, S1333=10), "FLUSH",AND(N1333&lt;= 21, S1333=10), "PRODUCTION")</f>
        <v>SOWING</v>
      </c>
      <c r="U1333">
        <f>HOUR(datos_siembra[[#This Row],[Hour]])</f>
        <v>19</v>
      </c>
      <c r="V1333" cm="1">
        <f t="array" ref="V1333">_xlfn.IFS(AND(N1333&lt;= 22, S1333=9), N1333-7,AND(N1333&lt;= 28, S1333=9), N1333-25,AND(N1333&lt;= 30, S1333=9), N1333-28,AND(N1333&lt;= 11, S1333=10), N1333+2,AND(N1333&lt;= 21, S1333=10), N1333-11)</f>
        <v>10</v>
      </c>
    </row>
    <row r="1334" spans="1:22" x14ac:dyDescent="0.35">
      <c r="A1334" s="4">
        <v>45552</v>
      </c>
      <c r="B1334" s="5">
        <v>0.81188657407407405</v>
      </c>
      <c r="C1334">
        <v>80</v>
      </c>
      <c r="D1334">
        <v>76</v>
      </c>
      <c r="E1334">
        <v>79.5</v>
      </c>
      <c r="F1334">
        <v>79</v>
      </c>
      <c r="G1334">
        <v>0</v>
      </c>
      <c r="H1334">
        <v>0</v>
      </c>
      <c r="I1334">
        <v>0</v>
      </c>
      <c r="J1334">
        <v>0</v>
      </c>
      <c r="K1334">
        <v>66.2</v>
      </c>
      <c r="L1334">
        <v>65.099999999999994</v>
      </c>
      <c r="M1334">
        <v>78.569999999999993</v>
      </c>
      <c r="N1334">
        <v>17</v>
      </c>
      <c r="O1334">
        <v>7</v>
      </c>
      <c r="P1334">
        <f>MOD(DAY(datos_siembra[[#This Row],[Date]]),7)</f>
        <v>3</v>
      </c>
      <c r="Q1334" t="str">
        <f>CHOOSE(WEEKDAY(datos_siembra[[#This Row],[Date]],2),"L","M","X","J","V","S","D")</f>
        <v>M</v>
      </c>
      <c r="R1334">
        <f>WEEKNUM(datos_siembra[[#This Row],[Date]],2)-WEEKNUM(DATE(YEAR(datos_siembra[[#This Row],[Date]]),MONTH(datos_siembra[[#This Row],[Date]]),1))+1</f>
        <v>3</v>
      </c>
      <c r="S1334">
        <f>MONTH(datos_siembra[[#This Row],[Date]])</f>
        <v>9</v>
      </c>
      <c r="T1334" t="str" cm="1">
        <f t="array" ref="T1334">_xlfn.IFS(AND(N1334&lt;= 22, S1334=9), "SOWING",AND(N1334&lt;= 28, S1334=9), "COVERAGE",AND(N1334&lt;= 30, S1334=9), "FLUSH",AND(N1334&lt;= 11, S1334=10), "FLUSH",AND(N1334&lt;= 21, S1334=10), "PRODUCTION")</f>
        <v>SOWING</v>
      </c>
      <c r="U1334">
        <f>HOUR(datos_siembra[[#This Row],[Hour]])</f>
        <v>19</v>
      </c>
      <c r="V1334" cm="1">
        <f t="array" ref="V1334">_xlfn.IFS(AND(N1334&lt;= 22, S1334=9), N1334-7,AND(N1334&lt;= 28, S1334=9), N1334-25,AND(N1334&lt;= 30, S1334=9), N1334-28,AND(N1334&lt;= 11, S1334=10), N1334+2,AND(N1334&lt;= 21, S1334=10), N1334-11)</f>
        <v>10</v>
      </c>
    </row>
    <row r="1335" spans="1:22" x14ac:dyDescent="0.35">
      <c r="A1335" s="4">
        <v>45552</v>
      </c>
      <c r="B1335" s="5">
        <v>0.81883101851851847</v>
      </c>
      <c r="C1335">
        <v>80.400000000000006</v>
      </c>
      <c r="D1335">
        <v>75.900000000000006</v>
      </c>
      <c r="E1335">
        <v>79.5</v>
      </c>
      <c r="F1335">
        <v>79.099999999999994</v>
      </c>
      <c r="G1335">
        <v>0</v>
      </c>
      <c r="H1335">
        <v>0</v>
      </c>
      <c r="I1335">
        <v>0</v>
      </c>
      <c r="J1335">
        <v>0</v>
      </c>
      <c r="K1335">
        <v>66.599999999999994</v>
      </c>
      <c r="L1335">
        <v>65.5</v>
      </c>
      <c r="M1335">
        <v>78.599999999999994</v>
      </c>
      <c r="N1335">
        <v>17</v>
      </c>
      <c r="O1335">
        <v>7</v>
      </c>
      <c r="P1335">
        <f>MOD(DAY(datos_siembra[[#This Row],[Date]]),7)</f>
        <v>3</v>
      </c>
      <c r="Q1335" t="str">
        <f>CHOOSE(WEEKDAY(datos_siembra[[#This Row],[Date]],2),"L","M","X","J","V","S","D")</f>
        <v>M</v>
      </c>
      <c r="R1335">
        <f>WEEKNUM(datos_siembra[[#This Row],[Date]],2)-WEEKNUM(DATE(YEAR(datos_siembra[[#This Row],[Date]]),MONTH(datos_siembra[[#This Row],[Date]]),1))+1</f>
        <v>3</v>
      </c>
      <c r="S1335">
        <f>MONTH(datos_siembra[[#This Row],[Date]])</f>
        <v>9</v>
      </c>
      <c r="T1335" t="str" cm="1">
        <f t="array" ref="T1335">_xlfn.IFS(AND(N1335&lt;= 22, S1335=9), "SOWING",AND(N1335&lt;= 28, S1335=9), "COVERAGE",AND(N1335&lt;= 30, S1335=9), "FLUSH",AND(N1335&lt;= 11, S1335=10), "FLUSH",AND(N1335&lt;= 21, S1335=10), "PRODUCTION")</f>
        <v>SOWING</v>
      </c>
      <c r="U1335">
        <f>HOUR(datos_siembra[[#This Row],[Hour]])</f>
        <v>19</v>
      </c>
      <c r="V1335" cm="1">
        <f t="array" ref="V1335">_xlfn.IFS(AND(N1335&lt;= 22, S1335=9), N1335-7,AND(N1335&lt;= 28, S1335=9), N1335-25,AND(N1335&lt;= 30, S1335=9), N1335-28,AND(N1335&lt;= 11, S1335=10), N1335+2,AND(N1335&lt;= 21, S1335=10), N1335-11)</f>
        <v>10</v>
      </c>
    </row>
    <row r="1336" spans="1:22" x14ac:dyDescent="0.35">
      <c r="A1336" s="4">
        <v>45552</v>
      </c>
      <c r="B1336" s="5">
        <v>0.82578703703703704</v>
      </c>
      <c r="C1336">
        <v>80.8</v>
      </c>
      <c r="D1336">
        <v>75.599999999999994</v>
      </c>
      <c r="E1336">
        <v>79.3</v>
      </c>
      <c r="F1336">
        <v>79.099999999999994</v>
      </c>
      <c r="G1336">
        <v>0</v>
      </c>
      <c r="H1336">
        <v>0</v>
      </c>
      <c r="I1336">
        <v>0</v>
      </c>
      <c r="J1336">
        <v>0</v>
      </c>
      <c r="K1336">
        <v>67</v>
      </c>
      <c r="L1336">
        <v>65.599999999999994</v>
      </c>
      <c r="M1336">
        <v>78.77</v>
      </c>
      <c r="N1336">
        <v>17</v>
      </c>
      <c r="O1336">
        <v>7</v>
      </c>
      <c r="P1336">
        <f>MOD(DAY(datos_siembra[[#This Row],[Date]]),7)</f>
        <v>3</v>
      </c>
      <c r="Q1336" t="str">
        <f>CHOOSE(WEEKDAY(datos_siembra[[#This Row],[Date]],2),"L","M","X","J","V","S","D")</f>
        <v>M</v>
      </c>
      <c r="R1336">
        <f>WEEKNUM(datos_siembra[[#This Row],[Date]],2)-WEEKNUM(DATE(YEAR(datos_siembra[[#This Row],[Date]]),MONTH(datos_siembra[[#This Row],[Date]]),1))+1</f>
        <v>3</v>
      </c>
      <c r="S1336">
        <f>MONTH(datos_siembra[[#This Row],[Date]])</f>
        <v>9</v>
      </c>
      <c r="T1336" t="str" cm="1">
        <f t="array" ref="T1336">_xlfn.IFS(AND(N1336&lt;= 22, S1336=9), "SOWING",AND(N1336&lt;= 28, S1336=9), "COVERAGE",AND(N1336&lt;= 30, S1336=9), "FLUSH",AND(N1336&lt;= 11, S1336=10), "FLUSH",AND(N1336&lt;= 21, S1336=10), "PRODUCTION")</f>
        <v>SOWING</v>
      </c>
      <c r="U1336">
        <f>HOUR(datos_siembra[[#This Row],[Hour]])</f>
        <v>19</v>
      </c>
      <c r="V1336" cm="1">
        <f t="array" ref="V1336">_xlfn.IFS(AND(N1336&lt;= 22, S1336=9), N1336-7,AND(N1336&lt;= 28, S1336=9), N1336-25,AND(N1336&lt;= 30, S1336=9), N1336-28,AND(N1336&lt;= 11, S1336=10), N1336+2,AND(N1336&lt;= 21, S1336=10), N1336-11)</f>
        <v>10</v>
      </c>
    </row>
    <row r="1337" spans="1:22" x14ac:dyDescent="0.35">
      <c r="A1337" s="4">
        <v>45552</v>
      </c>
      <c r="B1337" s="5">
        <v>0.83273148148148146</v>
      </c>
      <c r="C1337">
        <v>80.900000000000006</v>
      </c>
      <c r="D1337">
        <v>76</v>
      </c>
      <c r="E1337">
        <v>79.5</v>
      </c>
      <c r="F1337">
        <v>79</v>
      </c>
      <c r="G1337">
        <v>0</v>
      </c>
      <c r="H1337">
        <v>0</v>
      </c>
      <c r="I1337">
        <v>0</v>
      </c>
      <c r="J1337">
        <v>0</v>
      </c>
      <c r="K1337">
        <v>67.099999999999994</v>
      </c>
      <c r="L1337">
        <v>65.900000000000006</v>
      </c>
      <c r="M1337">
        <v>78.91</v>
      </c>
      <c r="N1337">
        <v>17</v>
      </c>
      <c r="O1337">
        <v>7</v>
      </c>
      <c r="P1337">
        <f>MOD(DAY(datos_siembra[[#This Row],[Date]]),7)</f>
        <v>3</v>
      </c>
      <c r="Q1337" t="str">
        <f>CHOOSE(WEEKDAY(datos_siembra[[#This Row],[Date]],2),"L","M","X","J","V","S","D")</f>
        <v>M</v>
      </c>
      <c r="R1337">
        <f>WEEKNUM(datos_siembra[[#This Row],[Date]],2)-WEEKNUM(DATE(YEAR(datos_siembra[[#This Row],[Date]]),MONTH(datos_siembra[[#This Row],[Date]]),1))+1</f>
        <v>3</v>
      </c>
      <c r="S1337">
        <f>MONTH(datos_siembra[[#This Row],[Date]])</f>
        <v>9</v>
      </c>
      <c r="T1337" t="str" cm="1">
        <f t="array" ref="T1337">_xlfn.IFS(AND(N1337&lt;= 22, S1337=9), "SOWING",AND(N1337&lt;= 28, S1337=9), "COVERAGE",AND(N1337&lt;= 30, S1337=9), "FLUSH",AND(N1337&lt;= 11, S1337=10), "FLUSH",AND(N1337&lt;= 21, S1337=10), "PRODUCTION")</f>
        <v>SOWING</v>
      </c>
      <c r="U1337">
        <f>HOUR(datos_siembra[[#This Row],[Hour]])</f>
        <v>19</v>
      </c>
      <c r="V1337" cm="1">
        <f t="array" ref="V1337">_xlfn.IFS(AND(N1337&lt;= 22, S1337=9), N1337-7,AND(N1337&lt;= 28, S1337=9), N1337-25,AND(N1337&lt;= 30, S1337=9), N1337-28,AND(N1337&lt;= 11, S1337=10), N1337+2,AND(N1337&lt;= 21, S1337=10), N1337-11)</f>
        <v>10</v>
      </c>
    </row>
    <row r="1338" spans="1:22" x14ac:dyDescent="0.35">
      <c r="A1338" s="4">
        <v>45552</v>
      </c>
      <c r="B1338" s="5">
        <v>0.83967592592592588</v>
      </c>
      <c r="C1338">
        <v>81.2</v>
      </c>
      <c r="D1338">
        <v>75.900000000000006</v>
      </c>
      <c r="E1338">
        <v>79.400000000000006</v>
      </c>
      <c r="F1338">
        <v>79.099999999999994</v>
      </c>
      <c r="G1338">
        <v>0</v>
      </c>
      <c r="H1338">
        <v>0</v>
      </c>
      <c r="I1338">
        <v>0</v>
      </c>
      <c r="J1338">
        <v>0</v>
      </c>
      <c r="K1338">
        <v>65.3</v>
      </c>
      <c r="L1338">
        <v>63.2</v>
      </c>
      <c r="M1338">
        <v>78.83</v>
      </c>
      <c r="N1338">
        <v>17</v>
      </c>
      <c r="O1338">
        <v>7</v>
      </c>
      <c r="P1338">
        <f>MOD(DAY(datos_siembra[[#This Row],[Date]]),7)</f>
        <v>3</v>
      </c>
      <c r="Q1338" t="str">
        <f>CHOOSE(WEEKDAY(datos_siembra[[#This Row],[Date]],2),"L","M","X","J","V","S","D")</f>
        <v>M</v>
      </c>
      <c r="R1338">
        <f>WEEKNUM(datos_siembra[[#This Row],[Date]],2)-WEEKNUM(DATE(YEAR(datos_siembra[[#This Row],[Date]]),MONTH(datos_siembra[[#This Row],[Date]]),1))+1</f>
        <v>3</v>
      </c>
      <c r="S1338">
        <f>MONTH(datos_siembra[[#This Row],[Date]])</f>
        <v>9</v>
      </c>
      <c r="T1338" t="str" cm="1">
        <f t="array" ref="T1338">_xlfn.IFS(AND(N1338&lt;= 22, S1338=9), "SOWING",AND(N1338&lt;= 28, S1338=9), "COVERAGE",AND(N1338&lt;= 30, S1338=9), "FLUSH",AND(N1338&lt;= 11, S1338=10), "FLUSH",AND(N1338&lt;= 21, S1338=10), "PRODUCTION")</f>
        <v>SOWING</v>
      </c>
      <c r="U1338">
        <f>HOUR(datos_siembra[[#This Row],[Hour]])</f>
        <v>20</v>
      </c>
      <c r="V1338" cm="1">
        <f t="array" ref="V1338">_xlfn.IFS(AND(N1338&lt;= 22, S1338=9), N1338-7,AND(N1338&lt;= 28, S1338=9), N1338-25,AND(N1338&lt;= 30, S1338=9), N1338-28,AND(N1338&lt;= 11, S1338=10), N1338+2,AND(N1338&lt;= 21, S1338=10), N1338-11)</f>
        <v>10</v>
      </c>
    </row>
    <row r="1339" spans="1:22" x14ac:dyDescent="0.35">
      <c r="A1339" s="4">
        <v>45552</v>
      </c>
      <c r="B1339" s="5">
        <v>0.84662037037037041</v>
      </c>
      <c r="C1339">
        <v>81.3</v>
      </c>
      <c r="D1339">
        <v>75.900000000000006</v>
      </c>
      <c r="E1339">
        <v>79.400000000000006</v>
      </c>
      <c r="F1339">
        <v>78.900000000000006</v>
      </c>
      <c r="G1339">
        <v>0</v>
      </c>
      <c r="H1339">
        <v>0</v>
      </c>
      <c r="I1339">
        <v>0</v>
      </c>
      <c r="J1339">
        <v>0</v>
      </c>
      <c r="K1339">
        <v>64.400000000000006</v>
      </c>
      <c r="L1339">
        <v>62.3</v>
      </c>
      <c r="M1339">
        <v>78.88</v>
      </c>
      <c r="N1339">
        <v>17</v>
      </c>
      <c r="O1339">
        <v>7</v>
      </c>
      <c r="P1339">
        <f>MOD(DAY(datos_siembra[[#This Row],[Date]]),7)</f>
        <v>3</v>
      </c>
      <c r="Q1339" t="str">
        <f>CHOOSE(WEEKDAY(datos_siembra[[#This Row],[Date]],2),"L","M","X","J","V","S","D")</f>
        <v>M</v>
      </c>
      <c r="R1339">
        <f>WEEKNUM(datos_siembra[[#This Row],[Date]],2)-WEEKNUM(DATE(YEAR(datos_siembra[[#This Row],[Date]]),MONTH(datos_siembra[[#This Row],[Date]]),1))+1</f>
        <v>3</v>
      </c>
      <c r="S1339">
        <f>MONTH(datos_siembra[[#This Row],[Date]])</f>
        <v>9</v>
      </c>
      <c r="T1339" t="str" cm="1">
        <f t="array" ref="T1339">_xlfn.IFS(AND(N1339&lt;= 22, S1339=9), "SOWING",AND(N1339&lt;= 28, S1339=9), "COVERAGE",AND(N1339&lt;= 30, S1339=9), "FLUSH",AND(N1339&lt;= 11, S1339=10), "FLUSH",AND(N1339&lt;= 21, S1339=10), "PRODUCTION")</f>
        <v>SOWING</v>
      </c>
      <c r="U1339">
        <f>HOUR(datos_siembra[[#This Row],[Hour]])</f>
        <v>20</v>
      </c>
      <c r="V1339" cm="1">
        <f t="array" ref="V1339">_xlfn.IFS(AND(N1339&lt;= 22, S1339=9), N1339-7,AND(N1339&lt;= 28, S1339=9), N1339-25,AND(N1339&lt;= 30, S1339=9), N1339-28,AND(N1339&lt;= 11, S1339=10), N1339+2,AND(N1339&lt;= 21, S1339=10), N1339-11)</f>
        <v>10</v>
      </c>
    </row>
    <row r="1340" spans="1:22" x14ac:dyDescent="0.35">
      <c r="A1340" s="4">
        <v>45552</v>
      </c>
      <c r="B1340" s="5">
        <v>0.85357638888888887</v>
      </c>
      <c r="C1340">
        <v>81.3</v>
      </c>
      <c r="D1340">
        <v>75.8</v>
      </c>
      <c r="E1340">
        <v>79.5</v>
      </c>
      <c r="F1340">
        <v>79</v>
      </c>
      <c r="G1340">
        <v>0</v>
      </c>
      <c r="H1340">
        <v>0</v>
      </c>
      <c r="I1340">
        <v>0</v>
      </c>
      <c r="J1340">
        <v>0</v>
      </c>
      <c r="K1340">
        <v>64.099999999999994</v>
      </c>
      <c r="L1340">
        <v>61.9</v>
      </c>
      <c r="M1340">
        <v>78.97</v>
      </c>
      <c r="N1340">
        <v>17</v>
      </c>
      <c r="O1340">
        <v>7</v>
      </c>
      <c r="P1340">
        <f>MOD(DAY(datos_siembra[[#This Row],[Date]]),7)</f>
        <v>3</v>
      </c>
      <c r="Q1340" t="str">
        <f>CHOOSE(WEEKDAY(datos_siembra[[#This Row],[Date]],2),"L","M","X","J","V","S","D")</f>
        <v>M</v>
      </c>
      <c r="R1340">
        <f>WEEKNUM(datos_siembra[[#This Row],[Date]],2)-WEEKNUM(DATE(YEAR(datos_siembra[[#This Row],[Date]]),MONTH(datos_siembra[[#This Row],[Date]]),1))+1</f>
        <v>3</v>
      </c>
      <c r="S1340">
        <f>MONTH(datos_siembra[[#This Row],[Date]])</f>
        <v>9</v>
      </c>
      <c r="T1340" t="str" cm="1">
        <f t="array" ref="T1340">_xlfn.IFS(AND(N1340&lt;= 22, S1340=9), "SOWING",AND(N1340&lt;= 28, S1340=9), "COVERAGE",AND(N1340&lt;= 30, S1340=9), "FLUSH",AND(N1340&lt;= 11, S1340=10), "FLUSH",AND(N1340&lt;= 21, S1340=10), "PRODUCTION")</f>
        <v>SOWING</v>
      </c>
      <c r="U1340">
        <f>HOUR(datos_siembra[[#This Row],[Hour]])</f>
        <v>20</v>
      </c>
      <c r="V1340" cm="1">
        <f t="array" ref="V1340">_xlfn.IFS(AND(N1340&lt;= 22, S1340=9), N1340-7,AND(N1340&lt;= 28, S1340=9), N1340-25,AND(N1340&lt;= 30, S1340=9), N1340-28,AND(N1340&lt;= 11, S1340=10), N1340+2,AND(N1340&lt;= 21, S1340=10), N1340-11)</f>
        <v>10</v>
      </c>
    </row>
    <row r="1341" spans="1:22" x14ac:dyDescent="0.35">
      <c r="A1341" s="4">
        <v>45552</v>
      </c>
      <c r="B1341" s="5">
        <v>0.86052083333333329</v>
      </c>
      <c r="C1341">
        <v>81.3</v>
      </c>
      <c r="D1341">
        <v>75.900000000000006</v>
      </c>
      <c r="E1341">
        <v>79.400000000000006</v>
      </c>
      <c r="F1341">
        <v>79.099999999999994</v>
      </c>
      <c r="G1341">
        <v>0</v>
      </c>
      <c r="H1341">
        <v>0</v>
      </c>
      <c r="I1341">
        <v>0</v>
      </c>
      <c r="J1341">
        <v>0</v>
      </c>
      <c r="K1341">
        <v>65.900000000000006</v>
      </c>
      <c r="L1341">
        <v>64.5</v>
      </c>
      <c r="M1341">
        <v>78.91</v>
      </c>
      <c r="N1341">
        <v>17</v>
      </c>
      <c r="O1341">
        <v>7</v>
      </c>
      <c r="P1341">
        <f>MOD(DAY(datos_siembra[[#This Row],[Date]]),7)</f>
        <v>3</v>
      </c>
      <c r="Q1341" t="str">
        <f>CHOOSE(WEEKDAY(datos_siembra[[#This Row],[Date]],2),"L","M","X","J","V","S","D")</f>
        <v>M</v>
      </c>
      <c r="R1341">
        <f>WEEKNUM(datos_siembra[[#This Row],[Date]],2)-WEEKNUM(DATE(YEAR(datos_siembra[[#This Row],[Date]]),MONTH(datos_siembra[[#This Row],[Date]]),1))+1</f>
        <v>3</v>
      </c>
      <c r="S1341">
        <f>MONTH(datos_siembra[[#This Row],[Date]])</f>
        <v>9</v>
      </c>
      <c r="T1341" t="str" cm="1">
        <f t="array" ref="T1341">_xlfn.IFS(AND(N1341&lt;= 22, S1341=9), "SOWING",AND(N1341&lt;= 28, S1341=9), "COVERAGE",AND(N1341&lt;= 30, S1341=9), "FLUSH",AND(N1341&lt;= 11, S1341=10), "FLUSH",AND(N1341&lt;= 21, S1341=10), "PRODUCTION")</f>
        <v>SOWING</v>
      </c>
      <c r="U1341">
        <f>HOUR(datos_siembra[[#This Row],[Hour]])</f>
        <v>20</v>
      </c>
      <c r="V1341" cm="1">
        <f t="array" ref="V1341">_xlfn.IFS(AND(N1341&lt;= 22, S1341=9), N1341-7,AND(N1341&lt;= 28, S1341=9), N1341-25,AND(N1341&lt;= 30, S1341=9), N1341-28,AND(N1341&lt;= 11, S1341=10), N1341+2,AND(N1341&lt;= 21, S1341=10), N1341-11)</f>
        <v>10</v>
      </c>
    </row>
    <row r="1342" spans="1:22" x14ac:dyDescent="0.35">
      <c r="A1342" s="4">
        <v>45552</v>
      </c>
      <c r="B1342" s="5">
        <v>0.86746527777777782</v>
      </c>
      <c r="C1342">
        <v>81.400000000000006</v>
      </c>
      <c r="D1342">
        <v>75.900000000000006</v>
      </c>
      <c r="E1342">
        <v>79.400000000000006</v>
      </c>
      <c r="F1342">
        <v>79</v>
      </c>
      <c r="G1342">
        <v>0</v>
      </c>
      <c r="H1342">
        <v>0</v>
      </c>
      <c r="I1342">
        <v>0</v>
      </c>
      <c r="J1342">
        <v>0</v>
      </c>
      <c r="K1342">
        <v>66.400000000000006</v>
      </c>
      <c r="L1342">
        <v>65.099999999999994</v>
      </c>
      <c r="M1342">
        <v>78.86</v>
      </c>
      <c r="N1342">
        <v>17</v>
      </c>
      <c r="O1342">
        <v>7</v>
      </c>
      <c r="P1342">
        <f>MOD(DAY(datos_siembra[[#This Row],[Date]]),7)</f>
        <v>3</v>
      </c>
      <c r="Q1342" t="str">
        <f>CHOOSE(WEEKDAY(datos_siembra[[#This Row],[Date]],2),"L","M","X","J","V","S","D")</f>
        <v>M</v>
      </c>
      <c r="R1342">
        <f>WEEKNUM(datos_siembra[[#This Row],[Date]],2)-WEEKNUM(DATE(YEAR(datos_siembra[[#This Row],[Date]]),MONTH(datos_siembra[[#This Row],[Date]]),1))+1</f>
        <v>3</v>
      </c>
      <c r="S1342">
        <f>MONTH(datos_siembra[[#This Row],[Date]])</f>
        <v>9</v>
      </c>
      <c r="T1342" t="str" cm="1">
        <f t="array" ref="T1342">_xlfn.IFS(AND(N1342&lt;= 22, S1342=9), "SOWING",AND(N1342&lt;= 28, S1342=9), "COVERAGE",AND(N1342&lt;= 30, S1342=9), "FLUSH",AND(N1342&lt;= 11, S1342=10), "FLUSH",AND(N1342&lt;= 21, S1342=10), "PRODUCTION")</f>
        <v>SOWING</v>
      </c>
      <c r="U1342">
        <f>HOUR(datos_siembra[[#This Row],[Hour]])</f>
        <v>20</v>
      </c>
      <c r="V1342" cm="1">
        <f t="array" ref="V1342">_xlfn.IFS(AND(N1342&lt;= 22, S1342=9), N1342-7,AND(N1342&lt;= 28, S1342=9), N1342-25,AND(N1342&lt;= 30, S1342=9), N1342-28,AND(N1342&lt;= 11, S1342=10), N1342+2,AND(N1342&lt;= 21, S1342=10), N1342-11)</f>
        <v>10</v>
      </c>
    </row>
    <row r="1343" spans="1:22" x14ac:dyDescent="0.35">
      <c r="A1343" s="4">
        <v>45552</v>
      </c>
      <c r="B1343" s="5">
        <v>0.87442129629629628</v>
      </c>
      <c r="C1343">
        <v>81.400000000000006</v>
      </c>
      <c r="D1343">
        <v>75.8</v>
      </c>
      <c r="E1343">
        <v>79.5</v>
      </c>
      <c r="F1343">
        <v>78.900000000000006</v>
      </c>
      <c r="G1343">
        <v>0</v>
      </c>
      <c r="H1343">
        <v>0</v>
      </c>
      <c r="I1343">
        <v>0</v>
      </c>
      <c r="J1343">
        <v>0</v>
      </c>
      <c r="K1343">
        <v>66.8</v>
      </c>
      <c r="L1343">
        <v>65.5</v>
      </c>
      <c r="M1343">
        <v>78.88</v>
      </c>
      <c r="N1343">
        <v>17</v>
      </c>
      <c r="O1343">
        <v>7</v>
      </c>
      <c r="P1343">
        <f>MOD(DAY(datos_siembra[[#This Row],[Date]]),7)</f>
        <v>3</v>
      </c>
      <c r="Q1343" t="str">
        <f>CHOOSE(WEEKDAY(datos_siembra[[#This Row],[Date]],2),"L","M","X","J","V","S","D")</f>
        <v>M</v>
      </c>
      <c r="R1343">
        <f>WEEKNUM(datos_siembra[[#This Row],[Date]],2)-WEEKNUM(DATE(YEAR(datos_siembra[[#This Row],[Date]]),MONTH(datos_siembra[[#This Row],[Date]]),1))+1</f>
        <v>3</v>
      </c>
      <c r="S1343">
        <f>MONTH(datos_siembra[[#This Row],[Date]])</f>
        <v>9</v>
      </c>
      <c r="T1343" t="str" cm="1">
        <f t="array" ref="T1343">_xlfn.IFS(AND(N1343&lt;= 22, S1343=9), "SOWING",AND(N1343&lt;= 28, S1343=9), "COVERAGE",AND(N1343&lt;= 30, S1343=9), "FLUSH",AND(N1343&lt;= 11, S1343=10), "FLUSH",AND(N1343&lt;= 21, S1343=10), "PRODUCTION")</f>
        <v>SOWING</v>
      </c>
      <c r="U1343">
        <f>HOUR(datos_siembra[[#This Row],[Hour]])</f>
        <v>20</v>
      </c>
      <c r="V1343" cm="1">
        <f t="array" ref="V1343">_xlfn.IFS(AND(N1343&lt;= 22, S1343=9), N1343-7,AND(N1343&lt;= 28, S1343=9), N1343-25,AND(N1343&lt;= 30, S1343=9), N1343-28,AND(N1343&lt;= 11, S1343=10), N1343+2,AND(N1343&lt;= 21, S1343=10), N1343-11)</f>
        <v>10</v>
      </c>
    </row>
    <row r="1344" spans="1:22" x14ac:dyDescent="0.35">
      <c r="A1344" s="4">
        <v>45552</v>
      </c>
      <c r="B1344" s="5">
        <v>0.8813657407407407</v>
      </c>
      <c r="C1344">
        <v>81.5</v>
      </c>
      <c r="D1344">
        <v>76</v>
      </c>
      <c r="E1344">
        <v>79.400000000000006</v>
      </c>
      <c r="F1344">
        <v>78.900000000000006</v>
      </c>
      <c r="G1344">
        <v>0</v>
      </c>
      <c r="H1344">
        <v>0</v>
      </c>
      <c r="I1344">
        <v>0</v>
      </c>
      <c r="J1344">
        <v>0</v>
      </c>
      <c r="K1344">
        <v>67</v>
      </c>
      <c r="L1344">
        <v>65.8</v>
      </c>
      <c r="M1344">
        <v>78.83</v>
      </c>
      <c r="N1344">
        <v>17</v>
      </c>
      <c r="O1344">
        <v>7</v>
      </c>
      <c r="P1344">
        <f>MOD(DAY(datos_siembra[[#This Row],[Date]]),7)</f>
        <v>3</v>
      </c>
      <c r="Q1344" t="str">
        <f>CHOOSE(WEEKDAY(datos_siembra[[#This Row],[Date]],2),"L","M","X","J","V","S","D")</f>
        <v>M</v>
      </c>
      <c r="R1344">
        <f>WEEKNUM(datos_siembra[[#This Row],[Date]],2)-WEEKNUM(DATE(YEAR(datos_siembra[[#This Row],[Date]]),MONTH(datos_siembra[[#This Row],[Date]]),1))+1</f>
        <v>3</v>
      </c>
      <c r="S1344">
        <f>MONTH(datos_siembra[[#This Row],[Date]])</f>
        <v>9</v>
      </c>
      <c r="T1344" t="str" cm="1">
        <f t="array" ref="T1344">_xlfn.IFS(AND(N1344&lt;= 22, S1344=9), "SOWING",AND(N1344&lt;= 28, S1344=9), "COVERAGE",AND(N1344&lt;= 30, S1344=9), "FLUSH",AND(N1344&lt;= 11, S1344=10), "FLUSH",AND(N1344&lt;= 21, S1344=10), "PRODUCTION")</f>
        <v>SOWING</v>
      </c>
      <c r="U1344">
        <f>HOUR(datos_siembra[[#This Row],[Hour]])</f>
        <v>21</v>
      </c>
      <c r="V1344" cm="1">
        <f t="array" ref="V1344">_xlfn.IFS(AND(N1344&lt;= 22, S1344=9), N1344-7,AND(N1344&lt;= 28, S1344=9), N1344-25,AND(N1344&lt;= 30, S1344=9), N1344-28,AND(N1344&lt;= 11, S1344=10), N1344+2,AND(N1344&lt;= 21, S1344=10), N1344-11)</f>
        <v>10</v>
      </c>
    </row>
    <row r="1345" spans="1:22" x14ac:dyDescent="0.35">
      <c r="A1345" s="4">
        <v>45552</v>
      </c>
      <c r="B1345" s="5">
        <v>0.88831018518518523</v>
      </c>
      <c r="C1345">
        <v>81.400000000000006</v>
      </c>
      <c r="D1345">
        <v>75.8</v>
      </c>
      <c r="E1345">
        <v>79.400000000000006</v>
      </c>
      <c r="F1345">
        <v>79.3</v>
      </c>
      <c r="G1345">
        <v>0</v>
      </c>
      <c r="H1345">
        <v>0</v>
      </c>
      <c r="I1345">
        <v>0</v>
      </c>
      <c r="J1345">
        <v>0</v>
      </c>
      <c r="K1345">
        <v>65.400000000000006</v>
      </c>
      <c r="L1345">
        <v>63.3</v>
      </c>
      <c r="M1345">
        <v>79</v>
      </c>
      <c r="N1345">
        <v>17</v>
      </c>
      <c r="O1345">
        <v>7</v>
      </c>
      <c r="P1345">
        <f>MOD(DAY(datos_siembra[[#This Row],[Date]]),7)</f>
        <v>3</v>
      </c>
      <c r="Q1345" t="str">
        <f>CHOOSE(WEEKDAY(datos_siembra[[#This Row],[Date]],2),"L","M","X","J","V","S","D")</f>
        <v>M</v>
      </c>
      <c r="R1345">
        <f>WEEKNUM(datos_siembra[[#This Row],[Date]],2)-WEEKNUM(DATE(YEAR(datos_siembra[[#This Row],[Date]]),MONTH(datos_siembra[[#This Row],[Date]]),1))+1</f>
        <v>3</v>
      </c>
      <c r="S1345">
        <f>MONTH(datos_siembra[[#This Row],[Date]])</f>
        <v>9</v>
      </c>
      <c r="T1345" t="str" cm="1">
        <f t="array" ref="T1345">_xlfn.IFS(AND(N1345&lt;= 22, S1345=9), "SOWING",AND(N1345&lt;= 28, S1345=9), "COVERAGE",AND(N1345&lt;= 30, S1345=9), "FLUSH",AND(N1345&lt;= 11, S1345=10), "FLUSH",AND(N1345&lt;= 21, S1345=10), "PRODUCTION")</f>
        <v>SOWING</v>
      </c>
      <c r="U1345">
        <f>HOUR(datos_siembra[[#This Row],[Hour]])</f>
        <v>21</v>
      </c>
      <c r="V1345" cm="1">
        <f t="array" ref="V1345">_xlfn.IFS(AND(N1345&lt;= 22, S1345=9), N1345-7,AND(N1345&lt;= 28, S1345=9), N1345-25,AND(N1345&lt;= 30, S1345=9), N1345-28,AND(N1345&lt;= 11, S1345=10), N1345+2,AND(N1345&lt;= 21, S1345=10), N1345-11)</f>
        <v>10</v>
      </c>
    </row>
    <row r="1346" spans="1:22" x14ac:dyDescent="0.35">
      <c r="A1346" s="4">
        <v>45552</v>
      </c>
      <c r="B1346" s="5">
        <v>0.89525462962962965</v>
      </c>
      <c r="C1346">
        <v>81.400000000000006</v>
      </c>
      <c r="D1346">
        <v>75.900000000000006</v>
      </c>
      <c r="E1346">
        <v>79.3</v>
      </c>
      <c r="F1346">
        <v>79</v>
      </c>
      <c r="G1346">
        <v>0</v>
      </c>
      <c r="H1346">
        <v>0</v>
      </c>
      <c r="I1346">
        <v>0</v>
      </c>
      <c r="J1346">
        <v>0</v>
      </c>
      <c r="K1346">
        <v>64.7</v>
      </c>
      <c r="L1346">
        <v>62.6</v>
      </c>
      <c r="M1346">
        <v>78.91</v>
      </c>
      <c r="N1346">
        <v>17</v>
      </c>
      <c r="O1346">
        <v>7</v>
      </c>
      <c r="P1346">
        <f>MOD(DAY(datos_siembra[[#This Row],[Date]]),7)</f>
        <v>3</v>
      </c>
      <c r="Q1346" t="str">
        <f>CHOOSE(WEEKDAY(datos_siembra[[#This Row],[Date]],2),"L","M","X","J","V","S","D")</f>
        <v>M</v>
      </c>
      <c r="R1346">
        <f>WEEKNUM(datos_siembra[[#This Row],[Date]],2)-WEEKNUM(DATE(YEAR(datos_siembra[[#This Row],[Date]]),MONTH(datos_siembra[[#This Row],[Date]]),1))+1</f>
        <v>3</v>
      </c>
      <c r="S1346">
        <f>MONTH(datos_siembra[[#This Row],[Date]])</f>
        <v>9</v>
      </c>
      <c r="T1346" t="str" cm="1">
        <f t="array" ref="T1346">_xlfn.IFS(AND(N1346&lt;= 22, S1346=9), "SOWING",AND(N1346&lt;= 28, S1346=9), "COVERAGE",AND(N1346&lt;= 30, S1346=9), "FLUSH",AND(N1346&lt;= 11, S1346=10), "FLUSH",AND(N1346&lt;= 21, S1346=10), "PRODUCTION")</f>
        <v>SOWING</v>
      </c>
      <c r="U1346">
        <f>HOUR(datos_siembra[[#This Row],[Hour]])</f>
        <v>21</v>
      </c>
      <c r="V1346" cm="1">
        <f t="array" ref="V1346">_xlfn.IFS(AND(N1346&lt;= 22, S1346=9), N1346-7,AND(N1346&lt;= 28, S1346=9), N1346-25,AND(N1346&lt;= 30, S1346=9), N1346-28,AND(N1346&lt;= 11, S1346=10), N1346+2,AND(N1346&lt;= 21, S1346=10), N1346-11)</f>
        <v>10</v>
      </c>
    </row>
    <row r="1347" spans="1:22" x14ac:dyDescent="0.35">
      <c r="A1347" s="4">
        <v>45552</v>
      </c>
      <c r="B1347" s="5">
        <v>0.90221064814814811</v>
      </c>
      <c r="C1347">
        <v>81.3</v>
      </c>
      <c r="D1347">
        <v>75.8</v>
      </c>
      <c r="E1347">
        <v>79.400000000000006</v>
      </c>
      <c r="F1347">
        <v>79</v>
      </c>
      <c r="G1347">
        <v>0</v>
      </c>
      <c r="H1347">
        <v>0</v>
      </c>
      <c r="I1347">
        <v>0</v>
      </c>
      <c r="J1347">
        <v>0</v>
      </c>
      <c r="K1347">
        <v>66.2</v>
      </c>
      <c r="L1347">
        <v>65</v>
      </c>
      <c r="M1347">
        <v>78.86</v>
      </c>
      <c r="N1347">
        <v>17</v>
      </c>
      <c r="O1347">
        <v>7</v>
      </c>
      <c r="P1347">
        <f>MOD(DAY(datos_siembra[[#This Row],[Date]]),7)</f>
        <v>3</v>
      </c>
      <c r="Q1347" t="str">
        <f>CHOOSE(WEEKDAY(datos_siembra[[#This Row],[Date]],2),"L","M","X","J","V","S","D")</f>
        <v>M</v>
      </c>
      <c r="R1347">
        <f>WEEKNUM(datos_siembra[[#This Row],[Date]],2)-WEEKNUM(DATE(YEAR(datos_siembra[[#This Row],[Date]]),MONTH(datos_siembra[[#This Row],[Date]]),1))+1</f>
        <v>3</v>
      </c>
      <c r="S1347">
        <f>MONTH(datos_siembra[[#This Row],[Date]])</f>
        <v>9</v>
      </c>
      <c r="T1347" t="str" cm="1">
        <f t="array" ref="T1347">_xlfn.IFS(AND(N1347&lt;= 22, S1347=9), "SOWING",AND(N1347&lt;= 28, S1347=9), "COVERAGE",AND(N1347&lt;= 30, S1347=9), "FLUSH",AND(N1347&lt;= 11, S1347=10), "FLUSH",AND(N1347&lt;= 21, S1347=10), "PRODUCTION")</f>
        <v>SOWING</v>
      </c>
      <c r="U1347">
        <f>HOUR(datos_siembra[[#This Row],[Hour]])</f>
        <v>21</v>
      </c>
      <c r="V1347" cm="1">
        <f t="array" ref="V1347">_xlfn.IFS(AND(N1347&lt;= 22, S1347=9), N1347-7,AND(N1347&lt;= 28, S1347=9), N1347-25,AND(N1347&lt;= 30, S1347=9), N1347-28,AND(N1347&lt;= 11, S1347=10), N1347+2,AND(N1347&lt;= 21, S1347=10), N1347-11)</f>
        <v>10</v>
      </c>
    </row>
    <row r="1348" spans="1:22" x14ac:dyDescent="0.35">
      <c r="A1348" s="4">
        <v>45552</v>
      </c>
      <c r="B1348" s="5">
        <v>0.90915509259259264</v>
      </c>
      <c r="C1348">
        <v>81.400000000000006</v>
      </c>
      <c r="D1348">
        <v>75.8</v>
      </c>
      <c r="E1348">
        <v>79.3</v>
      </c>
      <c r="F1348">
        <v>78.900000000000006</v>
      </c>
      <c r="G1348">
        <v>0</v>
      </c>
      <c r="H1348">
        <v>0</v>
      </c>
      <c r="I1348">
        <v>0</v>
      </c>
      <c r="J1348">
        <v>0</v>
      </c>
      <c r="K1348">
        <v>66.599999999999994</v>
      </c>
      <c r="L1348">
        <v>65.3</v>
      </c>
      <c r="M1348">
        <v>78.88</v>
      </c>
      <c r="N1348">
        <v>17</v>
      </c>
      <c r="O1348">
        <v>7</v>
      </c>
      <c r="P1348">
        <f>MOD(DAY(datos_siembra[[#This Row],[Date]]),7)</f>
        <v>3</v>
      </c>
      <c r="Q1348" t="str">
        <f>CHOOSE(WEEKDAY(datos_siembra[[#This Row],[Date]],2),"L","M","X","J","V","S","D")</f>
        <v>M</v>
      </c>
      <c r="R1348">
        <f>WEEKNUM(datos_siembra[[#This Row],[Date]],2)-WEEKNUM(DATE(YEAR(datos_siembra[[#This Row],[Date]]),MONTH(datos_siembra[[#This Row],[Date]]),1))+1</f>
        <v>3</v>
      </c>
      <c r="S1348">
        <f>MONTH(datos_siembra[[#This Row],[Date]])</f>
        <v>9</v>
      </c>
      <c r="T1348" t="str" cm="1">
        <f t="array" ref="T1348">_xlfn.IFS(AND(N1348&lt;= 22, S1348=9), "SOWING",AND(N1348&lt;= 28, S1348=9), "COVERAGE",AND(N1348&lt;= 30, S1348=9), "FLUSH",AND(N1348&lt;= 11, S1348=10), "FLUSH",AND(N1348&lt;= 21, S1348=10), "PRODUCTION")</f>
        <v>SOWING</v>
      </c>
      <c r="U1348">
        <f>HOUR(datos_siembra[[#This Row],[Hour]])</f>
        <v>21</v>
      </c>
      <c r="V1348" cm="1">
        <f t="array" ref="V1348">_xlfn.IFS(AND(N1348&lt;= 22, S1348=9), N1348-7,AND(N1348&lt;= 28, S1348=9), N1348-25,AND(N1348&lt;= 30, S1348=9), N1348-28,AND(N1348&lt;= 11, S1348=10), N1348+2,AND(N1348&lt;= 21, S1348=10), N1348-11)</f>
        <v>10</v>
      </c>
    </row>
    <row r="1349" spans="1:22" x14ac:dyDescent="0.35">
      <c r="A1349" s="4">
        <v>45552</v>
      </c>
      <c r="B1349" s="5">
        <v>0.91609953703703706</v>
      </c>
      <c r="C1349">
        <v>81.400000000000006</v>
      </c>
      <c r="D1349">
        <v>75.5</v>
      </c>
      <c r="E1349">
        <v>79.400000000000006</v>
      </c>
      <c r="F1349">
        <v>79</v>
      </c>
      <c r="G1349">
        <v>0</v>
      </c>
      <c r="H1349">
        <v>0</v>
      </c>
      <c r="I1349">
        <v>0</v>
      </c>
      <c r="J1349">
        <v>0</v>
      </c>
      <c r="K1349">
        <v>67</v>
      </c>
      <c r="L1349">
        <v>65.400000000000006</v>
      </c>
      <c r="M1349">
        <v>78.83</v>
      </c>
      <c r="N1349">
        <v>17</v>
      </c>
      <c r="O1349">
        <v>7</v>
      </c>
      <c r="P1349">
        <f>MOD(DAY(datos_siembra[[#This Row],[Date]]),7)</f>
        <v>3</v>
      </c>
      <c r="Q1349" t="str">
        <f>CHOOSE(WEEKDAY(datos_siembra[[#This Row],[Date]],2),"L","M","X","J","V","S","D")</f>
        <v>M</v>
      </c>
      <c r="R1349">
        <f>WEEKNUM(datos_siembra[[#This Row],[Date]],2)-WEEKNUM(DATE(YEAR(datos_siembra[[#This Row],[Date]]),MONTH(datos_siembra[[#This Row],[Date]]),1))+1</f>
        <v>3</v>
      </c>
      <c r="S1349">
        <f>MONTH(datos_siembra[[#This Row],[Date]])</f>
        <v>9</v>
      </c>
      <c r="T1349" t="str" cm="1">
        <f t="array" ref="T1349">_xlfn.IFS(AND(N1349&lt;= 22, S1349=9), "SOWING",AND(N1349&lt;= 28, S1349=9), "COVERAGE",AND(N1349&lt;= 30, S1349=9), "FLUSH",AND(N1349&lt;= 11, S1349=10), "FLUSH",AND(N1349&lt;= 21, S1349=10), "PRODUCTION")</f>
        <v>SOWING</v>
      </c>
      <c r="U1349">
        <f>HOUR(datos_siembra[[#This Row],[Hour]])</f>
        <v>21</v>
      </c>
      <c r="V1349" cm="1">
        <f t="array" ref="V1349">_xlfn.IFS(AND(N1349&lt;= 22, S1349=9), N1349-7,AND(N1349&lt;= 28, S1349=9), N1349-25,AND(N1349&lt;= 30, S1349=9), N1349-28,AND(N1349&lt;= 11, S1349=10), N1349+2,AND(N1349&lt;= 21, S1349=10), N1349-11)</f>
        <v>10</v>
      </c>
    </row>
    <row r="1350" spans="1:22" x14ac:dyDescent="0.35">
      <c r="A1350" s="4">
        <v>45552</v>
      </c>
      <c r="B1350" s="5">
        <v>0.92304398148148148</v>
      </c>
      <c r="C1350">
        <v>81.400000000000006</v>
      </c>
      <c r="D1350">
        <v>75.8</v>
      </c>
      <c r="E1350">
        <v>79.3</v>
      </c>
      <c r="F1350">
        <v>78.900000000000006</v>
      </c>
      <c r="G1350">
        <v>0</v>
      </c>
      <c r="H1350">
        <v>0</v>
      </c>
      <c r="I1350">
        <v>0</v>
      </c>
      <c r="J1350">
        <v>0</v>
      </c>
      <c r="K1350">
        <v>65.3</v>
      </c>
      <c r="L1350">
        <v>63.2</v>
      </c>
      <c r="M1350">
        <v>78.97</v>
      </c>
      <c r="N1350">
        <v>17</v>
      </c>
      <c r="O1350">
        <v>7</v>
      </c>
      <c r="P1350">
        <f>MOD(DAY(datos_siembra[[#This Row],[Date]]),7)</f>
        <v>3</v>
      </c>
      <c r="Q1350" t="str">
        <f>CHOOSE(WEEKDAY(datos_siembra[[#This Row],[Date]],2),"L","M","X","J","V","S","D")</f>
        <v>M</v>
      </c>
      <c r="R1350">
        <f>WEEKNUM(datos_siembra[[#This Row],[Date]],2)-WEEKNUM(DATE(YEAR(datos_siembra[[#This Row],[Date]]),MONTH(datos_siembra[[#This Row],[Date]]),1))+1</f>
        <v>3</v>
      </c>
      <c r="S1350">
        <f>MONTH(datos_siembra[[#This Row],[Date]])</f>
        <v>9</v>
      </c>
      <c r="T1350" t="str" cm="1">
        <f t="array" ref="T1350">_xlfn.IFS(AND(N1350&lt;= 22, S1350=9), "SOWING",AND(N1350&lt;= 28, S1350=9), "COVERAGE",AND(N1350&lt;= 30, S1350=9), "FLUSH",AND(N1350&lt;= 11, S1350=10), "FLUSH",AND(N1350&lt;= 21, S1350=10), "PRODUCTION")</f>
        <v>SOWING</v>
      </c>
      <c r="U1350">
        <f>HOUR(datos_siembra[[#This Row],[Hour]])</f>
        <v>22</v>
      </c>
      <c r="V1350" cm="1">
        <f t="array" ref="V1350">_xlfn.IFS(AND(N1350&lt;= 22, S1350=9), N1350-7,AND(N1350&lt;= 28, S1350=9), N1350-25,AND(N1350&lt;= 30, S1350=9), N1350-28,AND(N1350&lt;= 11, S1350=10), N1350+2,AND(N1350&lt;= 21, S1350=10), N1350-11)</f>
        <v>10</v>
      </c>
    </row>
    <row r="1351" spans="1:22" x14ac:dyDescent="0.35">
      <c r="A1351" s="4">
        <v>45552</v>
      </c>
      <c r="B1351" s="5">
        <v>0.93</v>
      </c>
      <c r="C1351">
        <v>81.3</v>
      </c>
      <c r="D1351">
        <v>75.900000000000006</v>
      </c>
      <c r="E1351">
        <v>79.400000000000006</v>
      </c>
      <c r="F1351">
        <v>78.900000000000006</v>
      </c>
      <c r="G1351">
        <v>0</v>
      </c>
      <c r="H1351">
        <v>0</v>
      </c>
      <c r="I1351">
        <v>0</v>
      </c>
      <c r="J1351">
        <v>0</v>
      </c>
      <c r="K1351">
        <v>64.099999999999994</v>
      </c>
      <c r="L1351">
        <v>61.7</v>
      </c>
      <c r="M1351">
        <v>78.91</v>
      </c>
      <c r="N1351">
        <v>17</v>
      </c>
      <c r="O1351">
        <v>7</v>
      </c>
      <c r="P1351">
        <f>MOD(DAY(datos_siembra[[#This Row],[Date]]),7)</f>
        <v>3</v>
      </c>
      <c r="Q1351" t="str">
        <f>CHOOSE(WEEKDAY(datos_siembra[[#This Row],[Date]],2),"L","M","X","J","V","S","D")</f>
        <v>M</v>
      </c>
      <c r="R1351">
        <f>WEEKNUM(datos_siembra[[#This Row],[Date]],2)-WEEKNUM(DATE(YEAR(datos_siembra[[#This Row],[Date]]),MONTH(datos_siembra[[#This Row],[Date]]),1))+1</f>
        <v>3</v>
      </c>
      <c r="S1351">
        <f>MONTH(datos_siembra[[#This Row],[Date]])</f>
        <v>9</v>
      </c>
      <c r="T1351" t="str" cm="1">
        <f t="array" ref="T1351">_xlfn.IFS(AND(N1351&lt;= 22, S1351=9), "SOWING",AND(N1351&lt;= 28, S1351=9), "COVERAGE",AND(N1351&lt;= 30, S1351=9), "FLUSH",AND(N1351&lt;= 11, S1351=10), "FLUSH",AND(N1351&lt;= 21, S1351=10), "PRODUCTION")</f>
        <v>SOWING</v>
      </c>
      <c r="U1351">
        <f>HOUR(datos_siembra[[#This Row],[Hour]])</f>
        <v>22</v>
      </c>
      <c r="V1351" cm="1">
        <f t="array" ref="V1351">_xlfn.IFS(AND(N1351&lt;= 22, S1351=9), N1351-7,AND(N1351&lt;= 28, S1351=9), N1351-25,AND(N1351&lt;= 30, S1351=9), N1351-28,AND(N1351&lt;= 11, S1351=10), N1351+2,AND(N1351&lt;= 21, S1351=10), N1351-11)</f>
        <v>10</v>
      </c>
    </row>
    <row r="1352" spans="1:22" x14ac:dyDescent="0.35">
      <c r="A1352" s="4">
        <v>45552</v>
      </c>
      <c r="B1352" s="5">
        <v>0.93694444444444447</v>
      </c>
      <c r="C1352">
        <v>81.400000000000006</v>
      </c>
      <c r="D1352">
        <v>75.599999999999994</v>
      </c>
      <c r="E1352">
        <v>79.400000000000006</v>
      </c>
      <c r="F1352">
        <v>78.8</v>
      </c>
      <c r="G1352">
        <v>0</v>
      </c>
      <c r="H1352">
        <v>0</v>
      </c>
      <c r="I1352">
        <v>0</v>
      </c>
      <c r="J1352">
        <v>0</v>
      </c>
      <c r="K1352">
        <v>63.5</v>
      </c>
      <c r="L1352">
        <v>61.2</v>
      </c>
      <c r="M1352">
        <v>78.83</v>
      </c>
      <c r="N1352">
        <v>17</v>
      </c>
      <c r="O1352">
        <v>7</v>
      </c>
      <c r="P1352">
        <f>MOD(DAY(datos_siembra[[#This Row],[Date]]),7)</f>
        <v>3</v>
      </c>
      <c r="Q1352" t="str">
        <f>CHOOSE(WEEKDAY(datos_siembra[[#This Row],[Date]],2),"L","M","X","J","V","S","D")</f>
        <v>M</v>
      </c>
      <c r="R1352">
        <f>WEEKNUM(datos_siembra[[#This Row],[Date]],2)-WEEKNUM(DATE(YEAR(datos_siembra[[#This Row],[Date]]),MONTH(datos_siembra[[#This Row],[Date]]),1))+1</f>
        <v>3</v>
      </c>
      <c r="S1352">
        <f>MONTH(datos_siembra[[#This Row],[Date]])</f>
        <v>9</v>
      </c>
      <c r="T1352" t="str" cm="1">
        <f t="array" ref="T1352">_xlfn.IFS(AND(N1352&lt;= 22, S1352=9), "SOWING",AND(N1352&lt;= 28, S1352=9), "COVERAGE",AND(N1352&lt;= 30, S1352=9), "FLUSH",AND(N1352&lt;= 11, S1352=10), "FLUSH",AND(N1352&lt;= 21, S1352=10), "PRODUCTION")</f>
        <v>SOWING</v>
      </c>
      <c r="U1352">
        <f>HOUR(datos_siembra[[#This Row],[Hour]])</f>
        <v>22</v>
      </c>
      <c r="V1352" cm="1">
        <f t="array" ref="V1352">_xlfn.IFS(AND(N1352&lt;= 22, S1352=9), N1352-7,AND(N1352&lt;= 28, S1352=9), N1352-25,AND(N1352&lt;= 30, S1352=9), N1352-28,AND(N1352&lt;= 11, S1352=10), N1352+2,AND(N1352&lt;= 21, S1352=10), N1352-11)</f>
        <v>10</v>
      </c>
    </row>
    <row r="1353" spans="1:22" x14ac:dyDescent="0.35">
      <c r="A1353" s="4">
        <v>45552</v>
      </c>
      <c r="B1353" s="5">
        <v>0.94388888888888889</v>
      </c>
      <c r="C1353">
        <v>81.400000000000006</v>
      </c>
      <c r="D1353">
        <v>75.599999999999994</v>
      </c>
      <c r="E1353">
        <v>79.400000000000006</v>
      </c>
      <c r="F1353">
        <v>79</v>
      </c>
      <c r="G1353">
        <v>0</v>
      </c>
      <c r="H1353">
        <v>0</v>
      </c>
      <c r="I1353">
        <v>0</v>
      </c>
      <c r="J1353">
        <v>0</v>
      </c>
      <c r="K1353">
        <v>63.8</v>
      </c>
      <c r="L1353">
        <v>61.9</v>
      </c>
      <c r="M1353">
        <v>78.88</v>
      </c>
      <c r="N1353">
        <v>17</v>
      </c>
      <c r="O1353">
        <v>7</v>
      </c>
      <c r="P1353">
        <f>MOD(DAY(datos_siembra[[#This Row],[Date]]),7)</f>
        <v>3</v>
      </c>
      <c r="Q1353" t="str">
        <f>CHOOSE(WEEKDAY(datos_siembra[[#This Row],[Date]],2),"L","M","X","J","V","S","D")</f>
        <v>M</v>
      </c>
      <c r="R1353">
        <f>WEEKNUM(datos_siembra[[#This Row],[Date]],2)-WEEKNUM(DATE(YEAR(datos_siembra[[#This Row],[Date]]),MONTH(datos_siembra[[#This Row],[Date]]),1))+1</f>
        <v>3</v>
      </c>
      <c r="S1353">
        <f>MONTH(datos_siembra[[#This Row],[Date]])</f>
        <v>9</v>
      </c>
      <c r="T1353" t="str" cm="1">
        <f t="array" ref="T1353">_xlfn.IFS(AND(N1353&lt;= 22, S1353=9), "SOWING",AND(N1353&lt;= 28, S1353=9), "COVERAGE",AND(N1353&lt;= 30, S1353=9), "FLUSH",AND(N1353&lt;= 11, S1353=10), "FLUSH",AND(N1353&lt;= 21, S1353=10), "PRODUCTION")</f>
        <v>SOWING</v>
      </c>
      <c r="U1353">
        <f>HOUR(datos_siembra[[#This Row],[Hour]])</f>
        <v>22</v>
      </c>
      <c r="V1353" cm="1">
        <f t="array" ref="V1353">_xlfn.IFS(AND(N1353&lt;= 22, S1353=9), N1353-7,AND(N1353&lt;= 28, S1353=9), N1353-25,AND(N1353&lt;= 30, S1353=9), N1353-28,AND(N1353&lt;= 11, S1353=10), N1353+2,AND(N1353&lt;= 21, S1353=10), N1353-11)</f>
        <v>10</v>
      </c>
    </row>
    <row r="1354" spans="1:22" x14ac:dyDescent="0.35">
      <c r="A1354" s="4">
        <v>45552</v>
      </c>
      <c r="B1354" s="5">
        <v>0.95084490740740746</v>
      </c>
      <c r="C1354">
        <v>81.3</v>
      </c>
      <c r="D1354">
        <v>75.599999999999994</v>
      </c>
      <c r="E1354">
        <v>79.400000000000006</v>
      </c>
      <c r="F1354">
        <v>79.099999999999994</v>
      </c>
      <c r="G1354">
        <v>0</v>
      </c>
      <c r="H1354">
        <v>0</v>
      </c>
      <c r="I1354">
        <v>0</v>
      </c>
      <c r="J1354">
        <v>0</v>
      </c>
      <c r="K1354">
        <v>65.599999999999994</v>
      </c>
      <c r="L1354">
        <v>64.3</v>
      </c>
      <c r="M1354">
        <v>78.77</v>
      </c>
      <c r="N1354">
        <v>17</v>
      </c>
      <c r="O1354">
        <v>7</v>
      </c>
      <c r="P1354">
        <f>MOD(DAY(datos_siembra[[#This Row],[Date]]),7)</f>
        <v>3</v>
      </c>
      <c r="Q1354" t="str">
        <f>CHOOSE(WEEKDAY(datos_siembra[[#This Row],[Date]],2),"L","M","X","J","V","S","D")</f>
        <v>M</v>
      </c>
      <c r="R1354">
        <f>WEEKNUM(datos_siembra[[#This Row],[Date]],2)-WEEKNUM(DATE(YEAR(datos_siembra[[#This Row],[Date]]),MONTH(datos_siembra[[#This Row],[Date]]),1))+1</f>
        <v>3</v>
      </c>
      <c r="S1354">
        <f>MONTH(datos_siembra[[#This Row],[Date]])</f>
        <v>9</v>
      </c>
      <c r="T1354" t="str" cm="1">
        <f t="array" ref="T1354">_xlfn.IFS(AND(N1354&lt;= 22, S1354=9), "SOWING",AND(N1354&lt;= 28, S1354=9), "COVERAGE",AND(N1354&lt;= 30, S1354=9), "FLUSH",AND(N1354&lt;= 11, S1354=10), "FLUSH",AND(N1354&lt;= 21, S1354=10), "PRODUCTION")</f>
        <v>SOWING</v>
      </c>
      <c r="U1354">
        <f>HOUR(datos_siembra[[#This Row],[Hour]])</f>
        <v>22</v>
      </c>
      <c r="V1354" cm="1">
        <f t="array" ref="V1354">_xlfn.IFS(AND(N1354&lt;= 22, S1354=9), N1354-7,AND(N1354&lt;= 28, S1354=9), N1354-25,AND(N1354&lt;= 30, S1354=9), N1354-28,AND(N1354&lt;= 11, S1354=10), N1354+2,AND(N1354&lt;= 21, S1354=10), N1354-11)</f>
        <v>10</v>
      </c>
    </row>
    <row r="1355" spans="1:22" x14ac:dyDescent="0.35">
      <c r="A1355" s="4">
        <v>45552</v>
      </c>
      <c r="B1355" s="5">
        <v>0.95778935185185188</v>
      </c>
      <c r="C1355">
        <v>81.400000000000006</v>
      </c>
      <c r="D1355">
        <v>75.5</v>
      </c>
      <c r="E1355">
        <v>79.400000000000006</v>
      </c>
      <c r="F1355">
        <v>79.099999999999994</v>
      </c>
      <c r="G1355">
        <v>0</v>
      </c>
      <c r="H1355">
        <v>0</v>
      </c>
      <c r="I1355">
        <v>0</v>
      </c>
      <c r="J1355">
        <v>0</v>
      </c>
      <c r="K1355">
        <v>66.3</v>
      </c>
      <c r="L1355">
        <v>64.900000000000006</v>
      </c>
      <c r="M1355">
        <v>78.77</v>
      </c>
      <c r="N1355">
        <v>17</v>
      </c>
      <c r="O1355">
        <v>7</v>
      </c>
      <c r="P1355">
        <f>MOD(DAY(datos_siembra[[#This Row],[Date]]),7)</f>
        <v>3</v>
      </c>
      <c r="Q1355" t="str">
        <f>CHOOSE(WEEKDAY(datos_siembra[[#This Row],[Date]],2),"L","M","X","J","V","S","D")</f>
        <v>M</v>
      </c>
      <c r="R1355">
        <f>WEEKNUM(datos_siembra[[#This Row],[Date]],2)-WEEKNUM(DATE(YEAR(datos_siembra[[#This Row],[Date]]),MONTH(datos_siembra[[#This Row],[Date]]),1))+1</f>
        <v>3</v>
      </c>
      <c r="S1355">
        <f>MONTH(datos_siembra[[#This Row],[Date]])</f>
        <v>9</v>
      </c>
      <c r="T1355" t="str" cm="1">
        <f t="array" ref="T1355">_xlfn.IFS(AND(N1355&lt;= 22, S1355=9), "SOWING",AND(N1355&lt;= 28, S1355=9), "COVERAGE",AND(N1355&lt;= 30, S1355=9), "FLUSH",AND(N1355&lt;= 11, S1355=10), "FLUSH",AND(N1355&lt;= 21, S1355=10), "PRODUCTION")</f>
        <v>SOWING</v>
      </c>
      <c r="U1355">
        <f>HOUR(datos_siembra[[#This Row],[Hour]])</f>
        <v>22</v>
      </c>
      <c r="V1355" cm="1">
        <f t="array" ref="V1355">_xlfn.IFS(AND(N1355&lt;= 22, S1355=9), N1355-7,AND(N1355&lt;= 28, S1355=9), N1355-25,AND(N1355&lt;= 30, S1355=9), N1355-28,AND(N1355&lt;= 11, S1355=10), N1355+2,AND(N1355&lt;= 21, S1355=10), N1355-11)</f>
        <v>10</v>
      </c>
    </row>
    <row r="1356" spans="1:22" x14ac:dyDescent="0.35">
      <c r="A1356" s="4">
        <v>45552</v>
      </c>
      <c r="B1356" s="5">
        <v>0.9647337962962963</v>
      </c>
      <c r="C1356">
        <v>81.400000000000006</v>
      </c>
      <c r="D1356">
        <v>75.5</v>
      </c>
      <c r="E1356">
        <v>79.5</v>
      </c>
      <c r="F1356">
        <v>79.099999999999994</v>
      </c>
      <c r="G1356">
        <v>0</v>
      </c>
      <c r="H1356">
        <v>0</v>
      </c>
      <c r="I1356">
        <v>0</v>
      </c>
      <c r="J1356">
        <v>0</v>
      </c>
      <c r="K1356">
        <v>66.5</v>
      </c>
      <c r="L1356">
        <v>65.2</v>
      </c>
      <c r="M1356">
        <v>78.88</v>
      </c>
      <c r="N1356">
        <v>17</v>
      </c>
      <c r="O1356">
        <v>7</v>
      </c>
      <c r="P1356">
        <f>MOD(DAY(datos_siembra[[#This Row],[Date]]),7)</f>
        <v>3</v>
      </c>
      <c r="Q1356" t="str">
        <f>CHOOSE(WEEKDAY(datos_siembra[[#This Row],[Date]],2),"L","M","X","J","V","S","D")</f>
        <v>M</v>
      </c>
      <c r="R1356">
        <f>WEEKNUM(datos_siembra[[#This Row],[Date]],2)-WEEKNUM(DATE(YEAR(datos_siembra[[#This Row],[Date]]),MONTH(datos_siembra[[#This Row],[Date]]),1))+1</f>
        <v>3</v>
      </c>
      <c r="S1356">
        <f>MONTH(datos_siembra[[#This Row],[Date]])</f>
        <v>9</v>
      </c>
      <c r="T1356" t="str" cm="1">
        <f t="array" ref="T1356">_xlfn.IFS(AND(N1356&lt;= 22, S1356=9), "SOWING",AND(N1356&lt;= 28, S1356=9), "COVERAGE",AND(N1356&lt;= 30, S1356=9), "FLUSH",AND(N1356&lt;= 11, S1356=10), "FLUSH",AND(N1356&lt;= 21, S1356=10), "PRODUCTION")</f>
        <v>SOWING</v>
      </c>
      <c r="U1356">
        <f>HOUR(datos_siembra[[#This Row],[Hour]])</f>
        <v>23</v>
      </c>
      <c r="V1356" cm="1">
        <f t="array" ref="V1356">_xlfn.IFS(AND(N1356&lt;= 22, S1356=9), N1356-7,AND(N1356&lt;= 28, S1356=9), N1356-25,AND(N1356&lt;= 30, S1356=9), N1356-28,AND(N1356&lt;= 11, S1356=10), N1356+2,AND(N1356&lt;= 21, S1356=10), N1356-11)</f>
        <v>10</v>
      </c>
    </row>
    <row r="1357" spans="1:22" x14ac:dyDescent="0.35">
      <c r="A1357" s="4">
        <v>45552</v>
      </c>
      <c r="B1357" s="5">
        <v>0.97167824074074072</v>
      </c>
      <c r="C1357">
        <v>81.2</v>
      </c>
      <c r="D1357">
        <v>75.5</v>
      </c>
      <c r="E1357">
        <v>79.400000000000006</v>
      </c>
      <c r="F1357">
        <v>79</v>
      </c>
      <c r="G1357">
        <v>0</v>
      </c>
      <c r="H1357">
        <v>0</v>
      </c>
      <c r="I1357">
        <v>0</v>
      </c>
      <c r="J1357">
        <v>0</v>
      </c>
      <c r="K1357">
        <v>66.8</v>
      </c>
      <c r="L1357">
        <v>65.3</v>
      </c>
      <c r="M1357">
        <v>78.72</v>
      </c>
      <c r="N1357">
        <v>17</v>
      </c>
      <c r="O1357">
        <v>7</v>
      </c>
      <c r="P1357">
        <f>MOD(DAY(datos_siembra[[#This Row],[Date]]),7)</f>
        <v>3</v>
      </c>
      <c r="Q1357" t="str">
        <f>CHOOSE(WEEKDAY(datos_siembra[[#This Row],[Date]],2),"L","M","X","J","V","S","D")</f>
        <v>M</v>
      </c>
      <c r="R1357">
        <f>WEEKNUM(datos_siembra[[#This Row],[Date]],2)-WEEKNUM(DATE(YEAR(datos_siembra[[#This Row],[Date]]),MONTH(datos_siembra[[#This Row],[Date]]),1))+1</f>
        <v>3</v>
      </c>
      <c r="S1357">
        <f>MONTH(datos_siembra[[#This Row],[Date]])</f>
        <v>9</v>
      </c>
      <c r="T1357" t="str" cm="1">
        <f t="array" ref="T1357">_xlfn.IFS(AND(N1357&lt;= 22, S1357=9), "SOWING",AND(N1357&lt;= 28, S1357=9), "COVERAGE",AND(N1357&lt;= 30, S1357=9), "FLUSH",AND(N1357&lt;= 11, S1357=10), "FLUSH",AND(N1357&lt;= 21, S1357=10), "PRODUCTION")</f>
        <v>SOWING</v>
      </c>
      <c r="U1357">
        <f>HOUR(datos_siembra[[#This Row],[Hour]])</f>
        <v>23</v>
      </c>
      <c r="V1357" cm="1">
        <f t="array" ref="V1357">_xlfn.IFS(AND(N1357&lt;= 22, S1357=9), N1357-7,AND(N1357&lt;= 28, S1357=9), N1357-25,AND(N1357&lt;= 30, S1357=9), N1357-28,AND(N1357&lt;= 11, S1357=10), N1357+2,AND(N1357&lt;= 21, S1357=10), N1357-11)</f>
        <v>10</v>
      </c>
    </row>
    <row r="1358" spans="1:22" x14ac:dyDescent="0.35">
      <c r="A1358" s="4">
        <v>45552</v>
      </c>
      <c r="B1358" s="5">
        <v>0.97863425925925929</v>
      </c>
      <c r="C1358">
        <v>81.2</v>
      </c>
      <c r="D1358">
        <v>75.5</v>
      </c>
      <c r="E1358">
        <v>79.3</v>
      </c>
      <c r="F1358">
        <v>78.900000000000006</v>
      </c>
      <c r="G1358">
        <v>0</v>
      </c>
      <c r="H1358">
        <v>0</v>
      </c>
      <c r="I1358">
        <v>0</v>
      </c>
      <c r="J1358">
        <v>0</v>
      </c>
      <c r="K1358">
        <v>66.900000000000006</v>
      </c>
      <c r="L1358">
        <v>65.5</v>
      </c>
      <c r="M1358">
        <v>78.86</v>
      </c>
      <c r="N1358">
        <v>17</v>
      </c>
      <c r="O1358">
        <v>7</v>
      </c>
      <c r="P1358">
        <f>MOD(DAY(datos_siembra[[#This Row],[Date]]),7)</f>
        <v>3</v>
      </c>
      <c r="Q1358" t="str">
        <f>CHOOSE(WEEKDAY(datos_siembra[[#This Row],[Date]],2),"L","M","X","J","V","S","D")</f>
        <v>M</v>
      </c>
      <c r="R1358">
        <f>WEEKNUM(datos_siembra[[#This Row],[Date]],2)-WEEKNUM(DATE(YEAR(datos_siembra[[#This Row],[Date]]),MONTH(datos_siembra[[#This Row],[Date]]),1))+1</f>
        <v>3</v>
      </c>
      <c r="S1358">
        <f>MONTH(datos_siembra[[#This Row],[Date]])</f>
        <v>9</v>
      </c>
      <c r="T1358" t="str" cm="1">
        <f t="array" ref="T1358">_xlfn.IFS(AND(N1358&lt;= 22, S1358=9), "SOWING",AND(N1358&lt;= 28, S1358=9), "COVERAGE",AND(N1358&lt;= 30, S1358=9), "FLUSH",AND(N1358&lt;= 11, S1358=10), "FLUSH",AND(N1358&lt;= 21, S1358=10), "PRODUCTION")</f>
        <v>SOWING</v>
      </c>
      <c r="U1358">
        <f>HOUR(datos_siembra[[#This Row],[Hour]])</f>
        <v>23</v>
      </c>
      <c r="V1358" cm="1">
        <f t="array" ref="V1358">_xlfn.IFS(AND(N1358&lt;= 22, S1358=9), N1358-7,AND(N1358&lt;= 28, S1358=9), N1358-25,AND(N1358&lt;= 30, S1358=9), N1358-28,AND(N1358&lt;= 11, S1358=10), N1358+2,AND(N1358&lt;= 21, S1358=10), N1358-11)</f>
        <v>10</v>
      </c>
    </row>
    <row r="1359" spans="1:22" x14ac:dyDescent="0.35">
      <c r="A1359" s="4">
        <v>45552</v>
      </c>
      <c r="B1359" s="5">
        <v>0.98557870370370371</v>
      </c>
      <c r="C1359">
        <v>81.3</v>
      </c>
      <c r="D1359">
        <v>75.599999999999994</v>
      </c>
      <c r="E1359">
        <v>79.3</v>
      </c>
      <c r="F1359">
        <v>79.099999999999994</v>
      </c>
      <c r="G1359">
        <v>0</v>
      </c>
      <c r="H1359">
        <v>0</v>
      </c>
      <c r="I1359">
        <v>0</v>
      </c>
      <c r="J1359">
        <v>0</v>
      </c>
      <c r="K1359">
        <v>66.8</v>
      </c>
      <c r="L1359">
        <v>65.3</v>
      </c>
      <c r="M1359">
        <v>78.739999999999995</v>
      </c>
      <c r="N1359">
        <v>17</v>
      </c>
      <c r="O1359">
        <v>7</v>
      </c>
      <c r="P1359">
        <f>MOD(DAY(datos_siembra[[#This Row],[Date]]),7)</f>
        <v>3</v>
      </c>
      <c r="Q1359" t="str">
        <f>CHOOSE(WEEKDAY(datos_siembra[[#This Row],[Date]],2),"L","M","X","J","V","S","D")</f>
        <v>M</v>
      </c>
      <c r="R1359">
        <f>WEEKNUM(datos_siembra[[#This Row],[Date]],2)-WEEKNUM(DATE(YEAR(datos_siembra[[#This Row],[Date]]),MONTH(datos_siembra[[#This Row],[Date]]),1))+1</f>
        <v>3</v>
      </c>
      <c r="S1359">
        <f>MONTH(datos_siembra[[#This Row],[Date]])</f>
        <v>9</v>
      </c>
      <c r="T1359" t="str" cm="1">
        <f t="array" ref="T1359">_xlfn.IFS(AND(N1359&lt;= 22, S1359=9), "SOWING",AND(N1359&lt;= 28, S1359=9), "COVERAGE",AND(N1359&lt;= 30, S1359=9), "FLUSH",AND(N1359&lt;= 11, S1359=10), "FLUSH",AND(N1359&lt;= 21, S1359=10), "PRODUCTION")</f>
        <v>SOWING</v>
      </c>
      <c r="U1359">
        <f>HOUR(datos_siembra[[#This Row],[Hour]])</f>
        <v>23</v>
      </c>
      <c r="V1359" cm="1">
        <f t="array" ref="V1359">_xlfn.IFS(AND(N1359&lt;= 22, S1359=9), N1359-7,AND(N1359&lt;= 28, S1359=9), N1359-25,AND(N1359&lt;= 30, S1359=9), N1359-28,AND(N1359&lt;= 11, S1359=10), N1359+2,AND(N1359&lt;= 21, S1359=10), N1359-11)</f>
        <v>10</v>
      </c>
    </row>
    <row r="1360" spans="1:22" x14ac:dyDescent="0.35">
      <c r="A1360" s="4">
        <v>45552</v>
      </c>
      <c r="B1360" s="5">
        <v>0.99252314814814813</v>
      </c>
      <c r="C1360">
        <v>81.2</v>
      </c>
      <c r="D1360">
        <v>75.400000000000006</v>
      </c>
      <c r="E1360">
        <v>79.400000000000006</v>
      </c>
      <c r="F1360">
        <v>79</v>
      </c>
      <c r="G1360">
        <v>0</v>
      </c>
      <c r="H1360">
        <v>0</v>
      </c>
      <c r="I1360">
        <v>0</v>
      </c>
      <c r="J1360">
        <v>0</v>
      </c>
      <c r="K1360">
        <v>64.599999999999994</v>
      </c>
      <c r="L1360">
        <v>62.5</v>
      </c>
      <c r="M1360">
        <v>78.88</v>
      </c>
      <c r="N1360">
        <v>17</v>
      </c>
      <c r="O1360">
        <v>7</v>
      </c>
      <c r="P1360">
        <f>MOD(DAY(datos_siembra[[#This Row],[Date]]),7)</f>
        <v>3</v>
      </c>
      <c r="Q1360" t="str">
        <f>CHOOSE(WEEKDAY(datos_siembra[[#This Row],[Date]],2),"L","M","X","J","V","S","D")</f>
        <v>M</v>
      </c>
      <c r="R1360">
        <f>WEEKNUM(datos_siembra[[#This Row],[Date]],2)-WEEKNUM(DATE(YEAR(datos_siembra[[#This Row],[Date]]),MONTH(datos_siembra[[#This Row],[Date]]),1))+1</f>
        <v>3</v>
      </c>
      <c r="S1360">
        <f>MONTH(datos_siembra[[#This Row],[Date]])</f>
        <v>9</v>
      </c>
      <c r="T1360" t="str" cm="1">
        <f t="array" ref="T1360">_xlfn.IFS(AND(N1360&lt;= 22, S1360=9), "SOWING",AND(N1360&lt;= 28, S1360=9), "COVERAGE",AND(N1360&lt;= 30, S1360=9), "FLUSH",AND(N1360&lt;= 11, S1360=10), "FLUSH",AND(N1360&lt;= 21, S1360=10), "PRODUCTION")</f>
        <v>SOWING</v>
      </c>
      <c r="U1360">
        <f>HOUR(datos_siembra[[#This Row],[Hour]])</f>
        <v>23</v>
      </c>
      <c r="V1360" cm="1">
        <f t="array" ref="V1360">_xlfn.IFS(AND(N1360&lt;= 22, S1360=9), N1360-7,AND(N1360&lt;= 28, S1360=9), N1360-25,AND(N1360&lt;= 30, S1360=9), N1360-28,AND(N1360&lt;= 11, S1360=10), N1360+2,AND(N1360&lt;= 21, S1360=10), N1360-11)</f>
        <v>10</v>
      </c>
    </row>
    <row r="1361" spans="1:22" x14ac:dyDescent="0.35">
      <c r="A1361" s="4">
        <v>45552</v>
      </c>
      <c r="B1361" s="5">
        <v>0.99946759259259255</v>
      </c>
      <c r="C1361">
        <v>81.3</v>
      </c>
      <c r="D1361">
        <v>75.5</v>
      </c>
      <c r="E1361">
        <v>79.400000000000006</v>
      </c>
      <c r="F1361">
        <v>79</v>
      </c>
      <c r="G1361">
        <v>0</v>
      </c>
      <c r="H1361">
        <v>0</v>
      </c>
      <c r="I1361">
        <v>0</v>
      </c>
      <c r="J1361">
        <v>0</v>
      </c>
      <c r="K1361">
        <v>63.9</v>
      </c>
      <c r="L1361">
        <v>61.9</v>
      </c>
      <c r="M1361">
        <v>78.739999999999995</v>
      </c>
      <c r="N1361">
        <v>17</v>
      </c>
      <c r="O1361">
        <v>7</v>
      </c>
      <c r="P1361">
        <f>MOD(DAY(datos_siembra[[#This Row],[Date]]),7)</f>
        <v>3</v>
      </c>
      <c r="Q1361" t="str">
        <f>CHOOSE(WEEKDAY(datos_siembra[[#This Row],[Date]],2),"L","M","X","J","V","S","D")</f>
        <v>M</v>
      </c>
      <c r="R1361">
        <f>WEEKNUM(datos_siembra[[#This Row],[Date]],2)-WEEKNUM(DATE(YEAR(datos_siembra[[#This Row],[Date]]),MONTH(datos_siembra[[#This Row],[Date]]),1))+1</f>
        <v>3</v>
      </c>
      <c r="S1361">
        <f>MONTH(datos_siembra[[#This Row],[Date]])</f>
        <v>9</v>
      </c>
      <c r="T1361" t="str" cm="1">
        <f t="array" ref="T1361">_xlfn.IFS(AND(N1361&lt;= 22, S1361=9), "SOWING",AND(N1361&lt;= 28, S1361=9), "COVERAGE",AND(N1361&lt;= 30, S1361=9), "FLUSH",AND(N1361&lt;= 11, S1361=10), "FLUSH",AND(N1361&lt;= 21, S1361=10), "PRODUCTION")</f>
        <v>SOWING</v>
      </c>
      <c r="U1361">
        <f>HOUR(datos_siembra[[#This Row],[Hour]])</f>
        <v>23</v>
      </c>
      <c r="V1361" cm="1">
        <f t="array" ref="V1361">_xlfn.IFS(AND(N1361&lt;= 22, S1361=9), N1361-7,AND(N1361&lt;= 28, S1361=9), N1361-25,AND(N1361&lt;= 30, S1361=9), N1361-28,AND(N1361&lt;= 11, S1361=10), N1361+2,AND(N1361&lt;= 21, S1361=10), N1361-11)</f>
        <v>10</v>
      </c>
    </row>
    <row r="1362" spans="1:22" x14ac:dyDescent="0.35">
      <c r="A1362" s="4">
        <v>45553</v>
      </c>
      <c r="B1362" s="5">
        <v>6.4236111111111108E-3</v>
      </c>
      <c r="C1362">
        <v>81.2</v>
      </c>
      <c r="D1362">
        <v>75.5</v>
      </c>
      <c r="E1362">
        <v>79.5</v>
      </c>
      <c r="F1362">
        <v>79.099999999999994</v>
      </c>
      <c r="G1362">
        <v>0</v>
      </c>
      <c r="H1362">
        <v>0</v>
      </c>
      <c r="I1362">
        <v>0</v>
      </c>
      <c r="J1362">
        <v>0</v>
      </c>
      <c r="K1362">
        <v>63.7</v>
      </c>
      <c r="L1362">
        <v>61.5</v>
      </c>
      <c r="M1362">
        <v>78.739999999999995</v>
      </c>
      <c r="N1362">
        <v>18</v>
      </c>
      <c r="O1362">
        <v>1</v>
      </c>
      <c r="P1362">
        <f>MOD(DAY(datos_siembra[[#This Row],[Date]]),7)</f>
        <v>4</v>
      </c>
      <c r="Q1362" t="str">
        <f>CHOOSE(WEEKDAY(datos_siembra[[#This Row],[Date]],2),"L","M","X","J","V","S","D")</f>
        <v>X</v>
      </c>
      <c r="R1362">
        <f>WEEKNUM(datos_siembra[[#This Row],[Date]],2)-WEEKNUM(DATE(YEAR(datos_siembra[[#This Row],[Date]]),MONTH(datos_siembra[[#This Row],[Date]]),1))+1</f>
        <v>3</v>
      </c>
      <c r="S1362">
        <f>MONTH(datos_siembra[[#This Row],[Date]])</f>
        <v>9</v>
      </c>
      <c r="T1362" t="str" cm="1">
        <f t="array" ref="T1362">_xlfn.IFS(AND(N1362&lt;= 22, S1362=9), "SOWING",AND(N1362&lt;= 28, S1362=9), "COVERAGE",AND(N1362&lt;= 30, S1362=9), "FLUSH",AND(N1362&lt;= 11, S1362=10), "FLUSH",AND(N1362&lt;= 21, S1362=10), "PRODUCTION")</f>
        <v>SOWING</v>
      </c>
      <c r="U1362">
        <f>HOUR(datos_siembra[[#This Row],[Hour]])</f>
        <v>0</v>
      </c>
      <c r="V1362" cm="1">
        <f t="array" ref="V1362">_xlfn.IFS(AND(N1362&lt;= 22, S1362=9), N1362-7,AND(N1362&lt;= 28, S1362=9), N1362-25,AND(N1362&lt;= 30, S1362=9), N1362-28,AND(N1362&lt;= 11, S1362=10), N1362+2,AND(N1362&lt;= 21, S1362=10), N1362-11)</f>
        <v>11</v>
      </c>
    </row>
    <row r="1363" spans="1:22" x14ac:dyDescent="0.35">
      <c r="A1363" s="4">
        <v>45553</v>
      </c>
      <c r="B1363" s="5">
        <v>1.3368055555555555E-2</v>
      </c>
      <c r="C1363">
        <v>81.2</v>
      </c>
      <c r="D1363">
        <v>75.5</v>
      </c>
      <c r="E1363">
        <v>79.400000000000006</v>
      </c>
      <c r="F1363">
        <v>78.900000000000006</v>
      </c>
      <c r="G1363">
        <v>0</v>
      </c>
      <c r="H1363">
        <v>0</v>
      </c>
      <c r="I1363">
        <v>0</v>
      </c>
      <c r="J1363">
        <v>0</v>
      </c>
      <c r="K1363">
        <v>65</v>
      </c>
      <c r="L1363">
        <v>63.7</v>
      </c>
      <c r="M1363">
        <v>78.72</v>
      </c>
      <c r="N1363">
        <v>18</v>
      </c>
      <c r="O1363">
        <v>1</v>
      </c>
      <c r="P1363">
        <f>MOD(DAY(datos_siembra[[#This Row],[Date]]),7)</f>
        <v>4</v>
      </c>
      <c r="Q1363" t="str">
        <f>CHOOSE(WEEKDAY(datos_siembra[[#This Row],[Date]],2),"L","M","X","J","V","S","D")</f>
        <v>X</v>
      </c>
      <c r="R1363">
        <f>WEEKNUM(datos_siembra[[#This Row],[Date]],2)-WEEKNUM(DATE(YEAR(datos_siembra[[#This Row],[Date]]),MONTH(datos_siembra[[#This Row],[Date]]),1))+1</f>
        <v>3</v>
      </c>
      <c r="S1363">
        <f>MONTH(datos_siembra[[#This Row],[Date]])</f>
        <v>9</v>
      </c>
      <c r="T1363" t="str" cm="1">
        <f t="array" ref="T1363">_xlfn.IFS(AND(N1363&lt;= 22, S1363=9), "SOWING",AND(N1363&lt;= 28, S1363=9), "COVERAGE",AND(N1363&lt;= 30, S1363=9), "FLUSH",AND(N1363&lt;= 11, S1363=10), "FLUSH",AND(N1363&lt;= 21, S1363=10), "PRODUCTION")</f>
        <v>SOWING</v>
      </c>
      <c r="U1363">
        <f>HOUR(datos_siembra[[#This Row],[Hour]])</f>
        <v>0</v>
      </c>
      <c r="V1363" cm="1">
        <f t="array" ref="V1363">_xlfn.IFS(AND(N1363&lt;= 22, S1363=9), N1363-7,AND(N1363&lt;= 28, S1363=9), N1363-25,AND(N1363&lt;= 30, S1363=9), N1363-28,AND(N1363&lt;= 11, S1363=10), N1363+2,AND(N1363&lt;= 21, S1363=10), N1363-11)</f>
        <v>11</v>
      </c>
    </row>
    <row r="1364" spans="1:22" x14ac:dyDescent="0.35">
      <c r="A1364" s="4">
        <v>45553</v>
      </c>
      <c r="B1364" s="5">
        <v>2.0312500000000001E-2</v>
      </c>
      <c r="C1364">
        <v>81.2</v>
      </c>
      <c r="D1364">
        <v>75.3</v>
      </c>
      <c r="E1364">
        <v>79.400000000000006</v>
      </c>
      <c r="F1364">
        <v>78.900000000000006</v>
      </c>
      <c r="G1364">
        <v>0</v>
      </c>
      <c r="H1364">
        <v>0</v>
      </c>
      <c r="I1364">
        <v>0</v>
      </c>
      <c r="J1364">
        <v>0</v>
      </c>
      <c r="K1364">
        <v>66</v>
      </c>
      <c r="L1364">
        <v>64.7</v>
      </c>
      <c r="M1364">
        <v>78.739999999999995</v>
      </c>
      <c r="N1364">
        <v>18</v>
      </c>
      <c r="O1364">
        <v>1</v>
      </c>
      <c r="P1364">
        <f>MOD(DAY(datos_siembra[[#This Row],[Date]]),7)</f>
        <v>4</v>
      </c>
      <c r="Q1364" t="str">
        <f>CHOOSE(WEEKDAY(datos_siembra[[#This Row],[Date]],2),"L","M","X","J","V","S","D")</f>
        <v>X</v>
      </c>
      <c r="R1364">
        <f>WEEKNUM(datos_siembra[[#This Row],[Date]],2)-WEEKNUM(DATE(YEAR(datos_siembra[[#This Row],[Date]]),MONTH(datos_siembra[[#This Row],[Date]]),1))+1</f>
        <v>3</v>
      </c>
      <c r="S1364">
        <f>MONTH(datos_siembra[[#This Row],[Date]])</f>
        <v>9</v>
      </c>
      <c r="T1364" t="str" cm="1">
        <f t="array" ref="T1364">_xlfn.IFS(AND(N1364&lt;= 22, S1364=9), "SOWING",AND(N1364&lt;= 28, S1364=9), "COVERAGE",AND(N1364&lt;= 30, S1364=9), "FLUSH",AND(N1364&lt;= 11, S1364=10), "FLUSH",AND(N1364&lt;= 21, S1364=10), "PRODUCTION")</f>
        <v>SOWING</v>
      </c>
      <c r="U1364">
        <f>HOUR(datos_siembra[[#This Row],[Hour]])</f>
        <v>0</v>
      </c>
      <c r="V1364" cm="1">
        <f t="array" ref="V1364">_xlfn.IFS(AND(N1364&lt;= 22, S1364=9), N1364-7,AND(N1364&lt;= 28, S1364=9), N1364-25,AND(N1364&lt;= 30, S1364=9), N1364-28,AND(N1364&lt;= 11, S1364=10), N1364+2,AND(N1364&lt;= 21, S1364=10), N1364-11)</f>
        <v>11</v>
      </c>
    </row>
    <row r="1365" spans="1:22" x14ac:dyDescent="0.35">
      <c r="A1365" s="4">
        <v>45553</v>
      </c>
      <c r="B1365" s="5">
        <v>2.7256944444444445E-2</v>
      </c>
      <c r="C1365">
        <v>81.2</v>
      </c>
      <c r="D1365">
        <v>75.5</v>
      </c>
      <c r="E1365">
        <v>79.3</v>
      </c>
      <c r="F1365">
        <v>78.2</v>
      </c>
      <c r="G1365">
        <v>0</v>
      </c>
      <c r="H1365">
        <v>0</v>
      </c>
      <c r="I1365">
        <v>0</v>
      </c>
      <c r="J1365">
        <v>0</v>
      </c>
      <c r="K1365">
        <v>66.3</v>
      </c>
      <c r="L1365">
        <v>65.099999999999994</v>
      </c>
      <c r="M1365">
        <v>78.63</v>
      </c>
      <c r="N1365">
        <v>18</v>
      </c>
      <c r="O1365">
        <v>1</v>
      </c>
      <c r="P1365">
        <f>MOD(DAY(datos_siembra[[#This Row],[Date]]),7)</f>
        <v>4</v>
      </c>
      <c r="Q1365" t="str">
        <f>CHOOSE(WEEKDAY(datos_siembra[[#This Row],[Date]],2),"L","M","X","J","V","S","D")</f>
        <v>X</v>
      </c>
      <c r="R1365">
        <f>WEEKNUM(datos_siembra[[#This Row],[Date]],2)-WEEKNUM(DATE(YEAR(datos_siembra[[#This Row],[Date]]),MONTH(datos_siembra[[#This Row],[Date]]),1))+1</f>
        <v>3</v>
      </c>
      <c r="S1365">
        <f>MONTH(datos_siembra[[#This Row],[Date]])</f>
        <v>9</v>
      </c>
      <c r="T1365" t="str" cm="1">
        <f t="array" ref="T1365">_xlfn.IFS(AND(N1365&lt;= 22, S1365=9), "SOWING",AND(N1365&lt;= 28, S1365=9), "COVERAGE",AND(N1365&lt;= 30, S1365=9), "FLUSH",AND(N1365&lt;= 11, S1365=10), "FLUSH",AND(N1365&lt;= 21, S1365=10), "PRODUCTION")</f>
        <v>SOWING</v>
      </c>
      <c r="U1365">
        <f>HOUR(datos_siembra[[#This Row],[Hour]])</f>
        <v>0</v>
      </c>
      <c r="V1365" cm="1">
        <f t="array" ref="V1365">_xlfn.IFS(AND(N1365&lt;= 22, S1365=9), N1365-7,AND(N1365&lt;= 28, S1365=9), N1365-25,AND(N1365&lt;= 30, S1365=9), N1365-28,AND(N1365&lt;= 11, S1365=10), N1365+2,AND(N1365&lt;= 21, S1365=10), N1365-11)</f>
        <v>11</v>
      </c>
    </row>
    <row r="1366" spans="1:22" x14ac:dyDescent="0.35">
      <c r="A1366" s="4">
        <v>45553</v>
      </c>
      <c r="B1366" s="5">
        <v>3.4212962962962966E-2</v>
      </c>
      <c r="C1366">
        <v>81.2</v>
      </c>
      <c r="D1366">
        <v>75.400000000000006</v>
      </c>
      <c r="E1366">
        <v>79.400000000000006</v>
      </c>
      <c r="F1366">
        <v>79.099999999999994</v>
      </c>
      <c r="G1366">
        <v>0</v>
      </c>
      <c r="H1366">
        <v>0</v>
      </c>
      <c r="I1366">
        <v>0</v>
      </c>
      <c r="J1366">
        <v>0</v>
      </c>
      <c r="K1366">
        <v>66.5</v>
      </c>
      <c r="L1366">
        <v>65.2</v>
      </c>
      <c r="M1366">
        <v>78.69</v>
      </c>
      <c r="N1366">
        <v>18</v>
      </c>
      <c r="O1366">
        <v>1</v>
      </c>
      <c r="P1366">
        <f>MOD(DAY(datos_siembra[[#This Row],[Date]]),7)</f>
        <v>4</v>
      </c>
      <c r="Q1366" t="str">
        <f>CHOOSE(WEEKDAY(datos_siembra[[#This Row],[Date]],2),"L","M","X","J","V","S","D")</f>
        <v>X</v>
      </c>
      <c r="R1366">
        <f>WEEKNUM(datos_siembra[[#This Row],[Date]],2)-WEEKNUM(DATE(YEAR(datos_siembra[[#This Row],[Date]]),MONTH(datos_siembra[[#This Row],[Date]]),1))+1</f>
        <v>3</v>
      </c>
      <c r="S1366">
        <f>MONTH(datos_siembra[[#This Row],[Date]])</f>
        <v>9</v>
      </c>
      <c r="T1366" t="str" cm="1">
        <f t="array" ref="T1366">_xlfn.IFS(AND(N1366&lt;= 22, S1366=9), "SOWING",AND(N1366&lt;= 28, S1366=9), "COVERAGE",AND(N1366&lt;= 30, S1366=9), "FLUSH",AND(N1366&lt;= 11, S1366=10), "FLUSH",AND(N1366&lt;= 21, S1366=10), "PRODUCTION")</f>
        <v>SOWING</v>
      </c>
      <c r="U1366">
        <f>HOUR(datos_siembra[[#This Row],[Hour]])</f>
        <v>0</v>
      </c>
      <c r="V1366" cm="1">
        <f t="array" ref="V1366">_xlfn.IFS(AND(N1366&lt;= 22, S1366=9), N1366-7,AND(N1366&lt;= 28, S1366=9), N1366-25,AND(N1366&lt;= 30, S1366=9), N1366-28,AND(N1366&lt;= 11, S1366=10), N1366+2,AND(N1366&lt;= 21, S1366=10), N1366-11)</f>
        <v>11</v>
      </c>
    </row>
    <row r="1367" spans="1:22" x14ac:dyDescent="0.35">
      <c r="A1367" s="4">
        <v>45553</v>
      </c>
      <c r="B1367" s="5">
        <v>4.1157407407407406E-2</v>
      </c>
      <c r="C1367">
        <v>81.2</v>
      </c>
      <c r="D1367">
        <v>75.3</v>
      </c>
      <c r="E1367">
        <v>79.3</v>
      </c>
      <c r="F1367">
        <v>78.5</v>
      </c>
      <c r="G1367">
        <v>0</v>
      </c>
      <c r="H1367">
        <v>0</v>
      </c>
      <c r="I1367">
        <v>0</v>
      </c>
      <c r="J1367">
        <v>0</v>
      </c>
      <c r="K1367">
        <v>66.8</v>
      </c>
      <c r="L1367">
        <v>65.3</v>
      </c>
      <c r="M1367">
        <v>78.739999999999995</v>
      </c>
      <c r="N1367">
        <v>18</v>
      </c>
      <c r="O1367">
        <v>1</v>
      </c>
      <c r="P1367">
        <f>MOD(DAY(datos_siembra[[#This Row],[Date]]),7)</f>
        <v>4</v>
      </c>
      <c r="Q1367" t="str">
        <f>CHOOSE(WEEKDAY(datos_siembra[[#This Row],[Date]],2),"L","M","X","J","V","S","D")</f>
        <v>X</v>
      </c>
      <c r="R1367">
        <f>WEEKNUM(datos_siembra[[#This Row],[Date]],2)-WEEKNUM(DATE(YEAR(datos_siembra[[#This Row],[Date]]),MONTH(datos_siembra[[#This Row],[Date]]),1))+1</f>
        <v>3</v>
      </c>
      <c r="S1367">
        <f>MONTH(datos_siembra[[#This Row],[Date]])</f>
        <v>9</v>
      </c>
      <c r="T1367" t="str" cm="1">
        <f t="array" ref="T1367">_xlfn.IFS(AND(N1367&lt;= 22, S1367=9), "SOWING",AND(N1367&lt;= 28, S1367=9), "COVERAGE",AND(N1367&lt;= 30, S1367=9), "FLUSH",AND(N1367&lt;= 11, S1367=10), "FLUSH",AND(N1367&lt;= 21, S1367=10), "PRODUCTION")</f>
        <v>SOWING</v>
      </c>
      <c r="U1367">
        <f>HOUR(datos_siembra[[#This Row],[Hour]])</f>
        <v>0</v>
      </c>
      <c r="V1367" cm="1">
        <f t="array" ref="V1367">_xlfn.IFS(AND(N1367&lt;= 22, S1367=9), N1367-7,AND(N1367&lt;= 28, S1367=9), N1367-25,AND(N1367&lt;= 30, S1367=9), N1367-28,AND(N1367&lt;= 11, S1367=10), N1367+2,AND(N1367&lt;= 21, S1367=10), N1367-11)</f>
        <v>11</v>
      </c>
    </row>
    <row r="1368" spans="1:22" x14ac:dyDescent="0.35">
      <c r="A1368" s="4">
        <v>45553</v>
      </c>
      <c r="B1368" s="5">
        <v>4.8101851851851854E-2</v>
      </c>
      <c r="C1368">
        <v>81.099999999999994</v>
      </c>
      <c r="D1368">
        <v>75.5</v>
      </c>
      <c r="E1368">
        <v>79.400000000000006</v>
      </c>
      <c r="F1368">
        <v>78.8</v>
      </c>
      <c r="G1368">
        <v>0</v>
      </c>
      <c r="H1368">
        <v>0</v>
      </c>
      <c r="I1368">
        <v>0</v>
      </c>
      <c r="J1368">
        <v>0</v>
      </c>
      <c r="K1368">
        <v>67</v>
      </c>
      <c r="L1368">
        <v>65.5</v>
      </c>
      <c r="M1368">
        <v>78.739999999999995</v>
      </c>
      <c r="N1368">
        <v>18</v>
      </c>
      <c r="O1368">
        <v>1</v>
      </c>
      <c r="P1368">
        <f>MOD(DAY(datos_siembra[[#This Row],[Date]]),7)</f>
        <v>4</v>
      </c>
      <c r="Q1368" t="str">
        <f>CHOOSE(WEEKDAY(datos_siembra[[#This Row],[Date]],2),"L","M","X","J","V","S","D")</f>
        <v>X</v>
      </c>
      <c r="R1368">
        <f>WEEKNUM(datos_siembra[[#This Row],[Date]],2)-WEEKNUM(DATE(YEAR(datos_siembra[[#This Row],[Date]]),MONTH(datos_siembra[[#This Row],[Date]]),1))+1</f>
        <v>3</v>
      </c>
      <c r="S1368">
        <f>MONTH(datos_siembra[[#This Row],[Date]])</f>
        <v>9</v>
      </c>
      <c r="T1368" t="str" cm="1">
        <f t="array" ref="T1368">_xlfn.IFS(AND(N1368&lt;= 22, S1368=9), "SOWING",AND(N1368&lt;= 28, S1368=9), "COVERAGE",AND(N1368&lt;= 30, S1368=9), "FLUSH",AND(N1368&lt;= 11, S1368=10), "FLUSH",AND(N1368&lt;= 21, S1368=10), "PRODUCTION")</f>
        <v>SOWING</v>
      </c>
      <c r="U1368">
        <f>HOUR(datos_siembra[[#This Row],[Hour]])</f>
        <v>1</v>
      </c>
      <c r="V1368" cm="1">
        <f t="array" ref="V1368">_xlfn.IFS(AND(N1368&lt;= 22, S1368=9), N1368-7,AND(N1368&lt;= 28, S1368=9), N1368-25,AND(N1368&lt;= 30, S1368=9), N1368-28,AND(N1368&lt;= 11, S1368=10), N1368+2,AND(N1368&lt;= 21, S1368=10), N1368-11)</f>
        <v>11</v>
      </c>
    </row>
    <row r="1369" spans="1:22" x14ac:dyDescent="0.35">
      <c r="A1369" s="4">
        <v>45553</v>
      </c>
      <c r="B1369" s="5">
        <v>5.5057870370370368E-2</v>
      </c>
      <c r="C1369">
        <v>81.2</v>
      </c>
      <c r="D1369">
        <v>75.400000000000006</v>
      </c>
      <c r="E1369">
        <v>79.3</v>
      </c>
      <c r="F1369">
        <v>78.8</v>
      </c>
      <c r="G1369">
        <v>0</v>
      </c>
      <c r="H1369">
        <v>0</v>
      </c>
      <c r="I1369">
        <v>0</v>
      </c>
      <c r="J1369">
        <v>0</v>
      </c>
      <c r="K1369">
        <v>66.5</v>
      </c>
      <c r="L1369">
        <v>64.900000000000006</v>
      </c>
      <c r="M1369">
        <v>78.66</v>
      </c>
      <c r="N1369">
        <v>18</v>
      </c>
      <c r="O1369">
        <v>1</v>
      </c>
      <c r="P1369">
        <f>MOD(DAY(datos_siembra[[#This Row],[Date]]),7)</f>
        <v>4</v>
      </c>
      <c r="Q1369" t="str">
        <f>CHOOSE(WEEKDAY(datos_siembra[[#This Row],[Date]],2),"L","M","X","J","V","S","D")</f>
        <v>X</v>
      </c>
      <c r="R1369">
        <f>WEEKNUM(datos_siembra[[#This Row],[Date]],2)-WEEKNUM(DATE(YEAR(datos_siembra[[#This Row],[Date]]),MONTH(datos_siembra[[#This Row],[Date]]),1))+1</f>
        <v>3</v>
      </c>
      <c r="S1369">
        <f>MONTH(datos_siembra[[#This Row],[Date]])</f>
        <v>9</v>
      </c>
      <c r="T1369" t="str" cm="1">
        <f t="array" ref="T1369">_xlfn.IFS(AND(N1369&lt;= 22, S1369=9), "SOWING",AND(N1369&lt;= 28, S1369=9), "COVERAGE",AND(N1369&lt;= 30, S1369=9), "FLUSH",AND(N1369&lt;= 11, S1369=10), "FLUSH",AND(N1369&lt;= 21, S1369=10), "PRODUCTION")</f>
        <v>SOWING</v>
      </c>
      <c r="U1369">
        <f>HOUR(datos_siembra[[#This Row],[Hour]])</f>
        <v>1</v>
      </c>
      <c r="V1369" cm="1">
        <f t="array" ref="V1369">_xlfn.IFS(AND(N1369&lt;= 22, S1369=9), N1369-7,AND(N1369&lt;= 28, S1369=9), N1369-25,AND(N1369&lt;= 30, S1369=9), N1369-28,AND(N1369&lt;= 11, S1369=10), N1369+2,AND(N1369&lt;= 21, S1369=10), N1369-11)</f>
        <v>11</v>
      </c>
    </row>
    <row r="1370" spans="1:22" x14ac:dyDescent="0.35">
      <c r="A1370" s="4">
        <v>45553</v>
      </c>
      <c r="B1370" s="5">
        <v>6.2002314814814816E-2</v>
      </c>
      <c r="C1370">
        <v>81.2</v>
      </c>
      <c r="D1370">
        <v>75.400000000000006</v>
      </c>
      <c r="E1370">
        <v>79.400000000000006</v>
      </c>
      <c r="F1370">
        <v>78.900000000000006</v>
      </c>
      <c r="G1370">
        <v>0</v>
      </c>
      <c r="H1370">
        <v>0</v>
      </c>
      <c r="I1370">
        <v>0</v>
      </c>
      <c r="J1370">
        <v>0</v>
      </c>
      <c r="K1370">
        <v>64.5</v>
      </c>
      <c r="L1370">
        <v>62.4</v>
      </c>
      <c r="M1370">
        <v>78.72</v>
      </c>
      <c r="N1370">
        <v>18</v>
      </c>
      <c r="O1370">
        <v>1</v>
      </c>
      <c r="P1370">
        <f>MOD(DAY(datos_siembra[[#This Row],[Date]]),7)</f>
        <v>4</v>
      </c>
      <c r="Q1370" t="str">
        <f>CHOOSE(WEEKDAY(datos_siembra[[#This Row],[Date]],2),"L","M","X","J","V","S","D")</f>
        <v>X</v>
      </c>
      <c r="R1370">
        <f>WEEKNUM(datos_siembra[[#This Row],[Date]],2)-WEEKNUM(DATE(YEAR(datos_siembra[[#This Row],[Date]]),MONTH(datos_siembra[[#This Row],[Date]]),1))+1</f>
        <v>3</v>
      </c>
      <c r="S1370">
        <f>MONTH(datos_siembra[[#This Row],[Date]])</f>
        <v>9</v>
      </c>
      <c r="T1370" t="str" cm="1">
        <f t="array" ref="T1370">_xlfn.IFS(AND(N1370&lt;= 22, S1370=9), "SOWING",AND(N1370&lt;= 28, S1370=9), "COVERAGE",AND(N1370&lt;= 30, S1370=9), "FLUSH",AND(N1370&lt;= 11, S1370=10), "FLUSH",AND(N1370&lt;= 21, S1370=10), "PRODUCTION")</f>
        <v>SOWING</v>
      </c>
      <c r="U1370">
        <f>HOUR(datos_siembra[[#This Row],[Hour]])</f>
        <v>1</v>
      </c>
      <c r="V1370" cm="1">
        <f t="array" ref="V1370">_xlfn.IFS(AND(N1370&lt;= 22, S1370=9), N1370-7,AND(N1370&lt;= 28, S1370=9), N1370-25,AND(N1370&lt;= 30, S1370=9), N1370-28,AND(N1370&lt;= 11, S1370=10), N1370+2,AND(N1370&lt;= 21, S1370=10), N1370-11)</f>
        <v>11</v>
      </c>
    </row>
    <row r="1371" spans="1:22" x14ac:dyDescent="0.35">
      <c r="A1371" s="4">
        <v>45553</v>
      </c>
      <c r="B1371" s="5">
        <v>6.8946759259259263E-2</v>
      </c>
      <c r="C1371">
        <v>81.099999999999994</v>
      </c>
      <c r="D1371">
        <v>75.400000000000006</v>
      </c>
      <c r="E1371">
        <v>79.099999999999994</v>
      </c>
      <c r="F1371">
        <v>78.900000000000006</v>
      </c>
      <c r="G1371">
        <v>0</v>
      </c>
      <c r="H1371">
        <v>0</v>
      </c>
      <c r="I1371">
        <v>0</v>
      </c>
      <c r="J1371">
        <v>0</v>
      </c>
      <c r="K1371">
        <v>63.9</v>
      </c>
      <c r="L1371">
        <v>61.8</v>
      </c>
      <c r="M1371">
        <v>78.66</v>
      </c>
      <c r="N1371">
        <v>18</v>
      </c>
      <c r="O1371">
        <v>1</v>
      </c>
      <c r="P1371">
        <f>MOD(DAY(datos_siembra[[#This Row],[Date]]),7)</f>
        <v>4</v>
      </c>
      <c r="Q1371" t="str">
        <f>CHOOSE(WEEKDAY(datos_siembra[[#This Row],[Date]],2),"L","M","X","J","V","S","D")</f>
        <v>X</v>
      </c>
      <c r="R1371">
        <f>WEEKNUM(datos_siembra[[#This Row],[Date]],2)-WEEKNUM(DATE(YEAR(datos_siembra[[#This Row],[Date]]),MONTH(datos_siembra[[#This Row],[Date]]),1))+1</f>
        <v>3</v>
      </c>
      <c r="S1371">
        <f>MONTH(datos_siembra[[#This Row],[Date]])</f>
        <v>9</v>
      </c>
      <c r="T1371" t="str" cm="1">
        <f t="array" ref="T1371">_xlfn.IFS(AND(N1371&lt;= 22, S1371=9), "SOWING",AND(N1371&lt;= 28, S1371=9), "COVERAGE",AND(N1371&lt;= 30, S1371=9), "FLUSH",AND(N1371&lt;= 11, S1371=10), "FLUSH",AND(N1371&lt;= 21, S1371=10), "PRODUCTION")</f>
        <v>SOWING</v>
      </c>
      <c r="U1371">
        <f>HOUR(datos_siembra[[#This Row],[Hour]])</f>
        <v>1</v>
      </c>
      <c r="V1371" cm="1">
        <f t="array" ref="V1371">_xlfn.IFS(AND(N1371&lt;= 22, S1371=9), N1371-7,AND(N1371&lt;= 28, S1371=9), N1371-25,AND(N1371&lt;= 30, S1371=9), N1371-28,AND(N1371&lt;= 11, S1371=10), N1371+2,AND(N1371&lt;= 21, S1371=10), N1371-11)</f>
        <v>11</v>
      </c>
    </row>
    <row r="1372" spans="1:22" x14ac:dyDescent="0.35">
      <c r="A1372" s="4">
        <v>45553</v>
      </c>
      <c r="B1372" s="5">
        <v>7.5891203703703697E-2</v>
      </c>
      <c r="C1372">
        <v>81.2</v>
      </c>
      <c r="D1372">
        <v>75.5</v>
      </c>
      <c r="E1372">
        <v>79.3</v>
      </c>
      <c r="F1372">
        <v>79.400000000000006</v>
      </c>
      <c r="G1372">
        <v>0</v>
      </c>
      <c r="H1372">
        <v>0</v>
      </c>
      <c r="I1372">
        <v>0</v>
      </c>
      <c r="J1372">
        <v>0</v>
      </c>
      <c r="K1372">
        <v>64.3</v>
      </c>
      <c r="L1372">
        <v>62.4</v>
      </c>
      <c r="M1372">
        <v>78.69</v>
      </c>
      <c r="N1372">
        <v>18</v>
      </c>
      <c r="O1372">
        <v>1</v>
      </c>
      <c r="P1372">
        <f>MOD(DAY(datos_siembra[[#This Row],[Date]]),7)</f>
        <v>4</v>
      </c>
      <c r="Q1372" t="str">
        <f>CHOOSE(WEEKDAY(datos_siembra[[#This Row],[Date]],2),"L","M","X","J","V","S","D")</f>
        <v>X</v>
      </c>
      <c r="R1372">
        <f>WEEKNUM(datos_siembra[[#This Row],[Date]],2)-WEEKNUM(DATE(YEAR(datos_siembra[[#This Row],[Date]]),MONTH(datos_siembra[[#This Row],[Date]]),1))+1</f>
        <v>3</v>
      </c>
      <c r="S1372">
        <f>MONTH(datos_siembra[[#This Row],[Date]])</f>
        <v>9</v>
      </c>
      <c r="T1372" t="str" cm="1">
        <f t="array" ref="T1372">_xlfn.IFS(AND(N1372&lt;= 22, S1372=9), "SOWING",AND(N1372&lt;= 28, S1372=9), "COVERAGE",AND(N1372&lt;= 30, S1372=9), "FLUSH",AND(N1372&lt;= 11, S1372=10), "FLUSH",AND(N1372&lt;= 21, S1372=10), "PRODUCTION")</f>
        <v>SOWING</v>
      </c>
      <c r="U1372">
        <f>HOUR(datos_siembra[[#This Row],[Hour]])</f>
        <v>1</v>
      </c>
      <c r="V1372" cm="1">
        <f t="array" ref="V1372">_xlfn.IFS(AND(N1372&lt;= 22, S1372=9), N1372-7,AND(N1372&lt;= 28, S1372=9), N1372-25,AND(N1372&lt;= 30, S1372=9), N1372-28,AND(N1372&lt;= 11, S1372=10), N1372+2,AND(N1372&lt;= 21, S1372=10), N1372-11)</f>
        <v>11</v>
      </c>
    </row>
    <row r="1373" spans="1:22" x14ac:dyDescent="0.35">
      <c r="A1373" s="4">
        <v>45553</v>
      </c>
      <c r="B1373" s="5">
        <v>8.2847222222222225E-2</v>
      </c>
      <c r="C1373">
        <v>81.099999999999994</v>
      </c>
      <c r="D1373">
        <v>75.400000000000006</v>
      </c>
      <c r="E1373">
        <v>79.3</v>
      </c>
      <c r="F1373">
        <v>78.7</v>
      </c>
      <c r="G1373">
        <v>0</v>
      </c>
      <c r="H1373">
        <v>0</v>
      </c>
      <c r="I1373">
        <v>0</v>
      </c>
      <c r="J1373">
        <v>0</v>
      </c>
      <c r="K1373">
        <v>65.900000000000006</v>
      </c>
      <c r="L1373">
        <v>64.400000000000006</v>
      </c>
      <c r="M1373">
        <v>78.66</v>
      </c>
      <c r="N1373">
        <v>18</v>
      </c>
      <c r="O1373">
        <v>1</v>
      </c>
      <c r="P1373">
        <f>MOD(DAY(datos_siembra[[#This Row],[Date]]),7)</f>
        <v>4</v>
      </c>
      <c r="Q1373" t="str">
        <f>CHOOSE(WEEKDAY(datos_siembra[[#This Row],[Date]],2),"L","M","X","J","V","S","D")</f>
        <v>X</v>
      </c>
      <c r="R1373">
        <f>WEEKNUM(datos_siembra[[#This Row],[Date]],2)-WEEKNUM(DATE(YEAR(datos_siembra[[#This Row],[Date]]),MONTH(datos_siembra[[#This Row],[Date]]),1))+1</f>
        <v>3</v>
      </c>
      <c r="S1373">
        <f>MONTH(datos_siembra[[#This Row],[Date]])</f>
        <v>9</v>
      </c>
      <c r="T1373" t="str" cm="1">
        <f t="array" ref="T1373">_xlfn.IFS(AND(N1373&lt;= 22, S1373=9), "SOWING",AND(N1373&lt;= 28, S1373=9), "COVERAGE",AND(N1373&lt;= 30, S1373=9), "FLUSH",AND(N1373&lt;= 11, S1373=10), "FLUSH",AND(N1373&lt;= 21, S1373=10), "PRODUCTION")</f>
        <v>SOWING</v>
      </c>
      <c r="U1373">
        <f>HOUR(datos_siembra[[#This Row],[Hour]])</f>
        <v>1</v>
      </c>
      <c r="V1373" cm="1">
        <f t="array" ref="V1373">_xlfn.IFS(AND(N1373&lt;= 22, S1373=9), N1373-7,AND(N1373&lt;= 28, S1373=9), N1373-25,AND(N1373&lt;= 30, S1373=9), N1373-28,AND(N1373&lt;= 11, S1373=10), N1373+2,AND(N1373&lt;= 21, S1373=10), N1373-11)</f>
        <v>11</v>
      </c>
    </row>
    <row r="1374" spans="1:22" x14ac:dyDescent="0.35">
      <c r="A1374" s="4">
        <v>45553</v>
      </c>
      <c r="B1374" s="5">
        <v>8.9791666666666672E-2</v>
      </c>
      <c r="C1374">
        <v>81.099999999999994</v>
      </c>
      <c r="D1374">
        <v>75.400000000000006</v>
      </c>
      <c r="E1374">
        <v>79</v>
      </c>
      <c r="F1374">
        <v>78.8</v>
      </c>
      <c r="G1374">
        <v>0</v>
      </c>
      <c r="H1374">
        <v>0</v>
      </c>
      <c r="I1374">
        <v>0</v>
      </c>
      <c r="J1374">
        <v>0</v>
      </c>
      <c r="K1374">
        <v>66.3</v>
      </c>
      <c r="L1374">
        <v>64.900000000000006</v>
      </c>
      <c r="M1374">
        <v>78.72</v>
      </c>
      <c r="N1374">
        <v>18</v>
      </c>
      <c r="O1374">
        <v>1</v>
      </c>
      <c r="P1374">
        <f>MOD(DAY(datos_siembra[[#This Row],[Date]]),7)</f>
        <v>4</v>
      </c>
      <c r="Q1374" t="str">
        <f>CHOOSE(WEEKDAY(datos_siembra[[#This Row],[Date]],2),"L","M","X","J","V","S","D")</f>
        <v>X</v>
      </c>
      <c r="R1374">
        <f>WEEKNUM(datos_siembra[[#This Row],[Date]],2)-WEEKNUM(DATE(YEAR(datos_siembra[[#This Row],[Date]]),MONTH(datos_siembra[[#This Row],[Date]]),1))+1</f>
        <v>3</v>
      </c>
      <c r="S1374">
        <f>MONTH(datos_siembra[[#This Row],[Date]])</f>
        <v>9</v>
      </c>
      <c r="T1374" t="str" cm="1">
        <f t="array" ref="T1374">_xlfn.IFS(AND(N1374&lt;= 22, S1374=9), "SOWING",AND(N1374&lt;= 28, S1374=9), "COVERAGE",AND(N1374&lt;= 30, S1374=9), "FLUSH",AND(N1374&lt;= 11, S1374=10), "FLUSH",AND(N1374&lt;= 21, S1374=10), "PRODUCTION")</f>
        <v>SOWING</v>
      </c>
      <c r="U1374">
        <f>HOUR(datos_siembra[[#This Row],[Hour]])</f>
        <v>2</v>
      </c>
      <c r="V1374" cm="1">
        <f t="array" ref="V1374">_xlfn.IFS(AND(N1374&lt;= 22, S1374=9), N1374-7,AND(N1374&lt;= 28, S1374=9), N1374-25,AND(N1374&lt;= 30, S1374=9), N1374-28,AND(N1374&lt;= 11, S1374=10), N1374+2,AND(N1374&lt;= 21, S1374=10), N1374-11)</f>
        <v>11</v>
      </c>
    </row>
    <row r="1375" spans="1:22" x14ac:dyDescent="0.35">
      <c r="A1375" s="4">
        <v>45553</v>
      </c>
      <c r="B1375" s="5">
        <v>9.6736111111111106E-2</v>
      </c>
      <c r="C1375">
        <v>81.099999999999994</v>
      </c>
      <c r="D1375">
        <v>75.400000000000006</v>
      </c>
      <c r="E1375">
        <v>79.3</v>
      </c>
      <c r="F1375">
        <v>79.3</v>
      </c>
      <c r="G1375">
        <v>0</v>
      </c>
      <c r="H1375">
        <v>0</v>
      </c>
      <c r="I1375">
        <v>0</v>
      </c>
      <c r="J1375">
        <v>0</v>
      </c>
      <c r="K1375">
        <v>66.599999999999994</v>
      </c>
      <c r="L1375">
        <v>65.099999999999994</v>
      </c>
      <c r="M1375">
        <v>78.69</v>
      </c>
      <c r="N1375">
        <v>18</v>
      </c>
      <c r="O1375">
        <v>1</v>
      </c>
      <c r="P1375">
        <f>MOD(DAY(datos_siembra[[#This Row],[Date]]),7)</f>
        <v>4</v>
      </c>
      <c r="Q1375" t="str">
        <f>CHOOSE(WEEKDAY(datos_siembra[[#This Row],[Date]],2),"L","M","X","J","V","S","D")</f>
        <v>X</v>
      </c>
      <c r="R1375">
        <f>WEEKNUM(datos_siembra[[#This Row],[Date]],2)-WEEKNUM(DATE(YEAR(datos_siembra[[#This Row],[Date]]),MONTH(datos_siembra[[#This Row],[Date]]),1))+1</f>
        <v>3</v>
      </c>
      <c r="S1375">
        <f>MONTH(datos_siembra[[#This Row],[Date]])</f>
        <v>9</v>
      </c>
      <c r="T1375" t="str" cm="1">
        <f t="array" ref="T1375">_xlfn.IFS(AND(N1375&lt;= 22, S1375=9), "SOWING",AND(N1375&lt;= 28, S1375=9), "COVERAGE",AND(N1375&lt;= 30, S1375=9), "FLUSH",AND(N1375&lt;= 11, S1375=10), "FLUSH",AND(N1375&lt;= 21, S1375=10), "PRODUCTION")</f>
        <v>SOWING</v>
      </c>
      <c r="U1375">
        <f>HOUR(datos_siembra[[#This Row],[Hour]])</f>
        <v>2</v>
      </c>
      <c r="V1375" cm="1">
        <f t="array" ref="V1375">_xlfn.IFS(AND(N1375&lt;= 22, S1375=9), N1375-7,AND(N1375&lt;= 28, S1375=9), N1375-25,AND(N1375&lt;= 30, S1375=9), N1375-28,AND(N1375&lt;= 11, S1375=10), N1375+2,AND(N1375&lt;= 21, S1375=10), N1375-11)</f>
        <v>11</v>
      </c>
    </row>
    <row r="1376" spans="1:22" x14ac:dyDescent="0.35">
      <c r="A1376" s="4">
        <v>45553</v>
      </c>
      <c r="B1376" s="5">
        <v>0.10368055555555555</v>
      </c>
      <c r="C1376">
        <v>81.099999999999994</v>
      </c>
      <c r="D1376">
        <v>75.5</v>
      </c>
      <c r="E1376">
        <v>79.3</v>
      </c>
      <c r="F1376">
        <v>79.3</v>
      </c>
      <c r="G1376">
        <v>0</v>
      </c>
      <c r="H1376">
        <v>0</v>
      </c>
      <c r="I1376">
        <v>0</v>
      </c>
      <c r="J1376">
        <v>0</v>
      </c>
      <c r="K1376">
        <v>66.8</v>
      </c>
      <c r="L1376">
        <v>65.3</v>
      </c>
      <c r="M1376">
        <v>78.72</v>
      </c>
      <c r="N1376">
        <v>18</v>
      </c>
      <c r="O1376">
        <v>1</v>
      </c>
      <c r="P1376">
        <f>MOD(DAY(datos_siembra[[#This Row],[Date]]),7)</f>
        <v>4</v>
      </c>
      <c r="Q1376" t="str">
        <f>CHOOSE(WEEKDAY(datos_siembra[[#This Row],[Date]],2),"L","M","X","J","V","S","D")</f>
        <v>X</v>
      </c>
      <c r="R1376">
        <f>WEEKNUM(datos_siembra[[#This Row],[Date]],2)-WEEKNUM(DATE(YEAR(datos_siembra[[#This Row],[Date]]),MONTH(datos_siembra[[#This Row],[Date]]),1))+1</f>
        <v>3</v>
      </c>
      <c r="S1376">
        <f>MONTH(datos_siembra[[#This Row],[Date]])</f>
        <v>9</v>
      </c>
      <c r="T1376" t="str" cm="1">
        <f t="array" ref="T1376">_xlfn.IFS(AND(N1376&lt;= 22, S1376=9), "SOWING",AND(N1376&lt;= 28, S1376=9), "COVERAGE",AND(N1376&lt;= 30, S1376=9), "FLUSH",AND(N1376&lt;= 11, S1376=10), "FLUSH",AND(N1376&lt;= 21, S1376=10), "PRODUCTION")</f>
        <v>SOWING</v>
      </c>
      <c r="U1376">
        <f>HOUR(datos_siembra[[#This Row],[Hour]])</f>
        <v>2</v>
      </c>
      <c r="V1376" cm="1">
        <f t="array" ref="V1376">_xlfn.IFS(AND(N1376&lt;= 22, S1376=9), N1376-7,AND(N1376&lt;= 28, S1376=9), N1376-25,AND(N1376&lt;= 30, S1376=9), N1376-28,AND(N1376&lt;= 11, S1376=10), N1376+2,AND(N1376&lt;= 21, S1376=10), N1376-11)</f>
        <v>11</v>
      </c>
    </row>
    <row r="1377" spans="1:22" x14ac:dyDescent="0.35">
      <c r="A1377" s="4">
        <v>45553</v>
      </c>
      <c r="B1377" s="5">
        <v>0.11063657407407407</v>
      </c>
      <c r="C1377">
        <v>80.900000000000006</v>
      </c>
      <c r="D1377">
        <v>75.400000000000006</v>
      </c>
      <c r="E1377">
        <v>79.3</v>
      </c>
      <c r="F1377">
        <v>78.900000000000006</v>
      </c>
      <c r="G1377">
        <v>0</v>
      </c>
      <c r="H1377">
        <v>0</v>
      </c>
      <c r="I1377">
        <v>0</v>
      </c>
      <c r="J1377">
        <v>0</v>
      </c>
      <c r="K1377">
        <v>66.900000000000006</v>
      </c>
      <c r="L1377">
        <v>65.400000000000006</v>
      </c>
      <c r="M1377">
        <v>78.38</v>
      </c>
      <c r="N1377">
        <v>18</v>
      </c>
      <c r="O1377">
        <v>1</v>
      </c>
      <c r="P1377">
        <f>MOD(DAY(datos_siembra[[#This Row],[Date]]),7)</f>
        <v>4</v>
      </c>
      <c r="Q1377" t="str">
        <f>CHOOSE(WEEKDAY(datos_siembra[[#This Row],[Date]],2),"L","M","X","J","V","S","D")</f>
        <v>X</v>
      </c>
      <c r="R1377">
        <f>WEEKNUM(datos_siembra[[#This Row],[Date]],2)-WEEKNUM(DATE(YEAR(datos_siembra[[#This Row],[Date]]),MONTH(datos_siembra[[#This Row],[Date]]),1))+1</f>
        <v>3</v>
      </c>
      <c r="S1377">
        <f>MONTH(datos_siembra[[#This Row],[Date]])</f>
        <v>9</v>
      </c>
      <c r="T1377" t="str" cm="1">
        <f t="array" ref="T1377">_xlfn.IFS(AND(N1377&lt;= 22, S1377=9), "SOWING",AND(N1377&lt;= 28, S1377=9), "COVERAGE",AND(N1377&lt;= 30, S1377=9), "FLUSH",AND(N1377&lt;= 11, S1377=10), "FLUSH",AND(N1377&lt;= 21, S1377=10), "PRODUCTION")</f>
        <v>SOWING</v>
      </c>
      <c r="U1377">
        <f>HOUR(datos_siembra[[#This Row],[Hour]])</f>
        <v>2</v>
      </c>
      <c r="V1377" cm="1">
        <f t="array" ref="V1377">_xlfn.IFS(AND(N1377&lt;= 22, S1377=9), N1377-7,AND(N1377&lt;= 28, S1377=9), N1377-25,AND(N1377&lt;= 30, S1377=9), N1377-28,AND(N1377&lt;= 11, S1377=10), N1377+2,AND(N1377&lt;= 21, S1377=10), N1377-11)</f>
        <v>11</v>
      </c>
    </row>
    <row r="1378" spans="1:22" x14ac:dyDescent="0.35">
      <c r="A1378" s="4">
        <v>45553</v>
      </c>
      <c r="B1378" s="5">
        <v>0.11758101851851852</v>
      </c>
      <c r="C1378">
        <v>80.900000000000006</v>
      </c>
      <c r="D1378">
        <v>75.400000000000006</v>
      </c>
      <c r="E1378">
        <v>79.099999999999994</v>
      </c>
      <c r="F1378">
        <v>78.8</v>
      </c>
      <c r="G1378">
        <v>0</v>
      </c>
      <c r="H1378">
        <v>0</v>
      </c>
      <c r="I1378">
        <v>0</v>
      </c>
      <c r="J1378">
        <v>0</v>
      </c>
      <c r="K1378">
        <v>66.2</v>
      </c>
      <c r="L1378">
        <v>64.400000000000006</v>
      </c>
      <c r="M1378">
        <v>78.72</v>
      </c>
      <c r="N1378">
        <v>18</v>
      </c>
      <c r="O1378">
        <v>1</v>
      </c>
      <c r="P1378">
        <f>MOD(DAY(datos_siembra[[#This Row],[Date]]),7)</f>
        <v>4</v>
      </c>
      <c r="Q1378" t="str">
        <f>CHOOSE(WEEKDAY(datos_siembra[[#This Row],[Date]],2),"L","M","X","J","V","S","D")</f>
        <v>X</v>
      </c>
      <c r="R1378">
        <f>WEEKNUM(datos_siembra[[#This Row],[Date]],2)-WEEKNUM(DATE(YEAR(datos_siembra[[#This Row],[Date]]),MONTH(datos_siembra[[#This Row],[Date]]),1))+1</f>
        <v>3</v>
      </c>
      <c r="S1378">
        <f>MONTH(datos_siembra[[#This Row],[Date]])</f>
        <v>9</v>
      </c>
      <c r="T1378" t="str" cm="1">
        <f t="array" ref="T1378">_xlfn.IFS(AND(N1378&lt;= 22, S1378=9), "SOWING",AND(N1378&lt;= 28, S1378=9), "COVERAGE",AND(N1378&lt;= 30, S1378=9), "FLUSH",AND(N1378&lt;= 11, S1378=10), "FLUSH",AND(N1378&lt;= 21, S1378=10), "PRODUCTION")</f>
        <v>SOWING</v>
      </c>
      <c r="U1378">
        <f>HOUR(datos_siembra[[#This Row],[Hour]])</f>
        <v>2</v>
      </c>
      <c r="V1378" cm="1">
        <f t="array" ref="V1378">_xlfn.IFS(AND(N1378&lt;= 22, S1378=9), N1378-7,AND(N1378&lt;= 28, S1378=9), N1378-25,AND(N1378&lt;= 30, S1378=9), N1378-28,AND(N1378&lt;= 11, S1378=10), N1378+2,AND(N1378&lt;= 21, S1378=10), N1378-11)</f>
        <v>11</v>
      </c>
    </row>
    <row r="1379" spans="1:22" x14ac:dyDescent="0.35">
      <c r="A1379" s="4">
        <v>45553</v>
      </c>
      <c r="B1379" s="5">
        <v>0.12452546296296296</v>
      </c>
      <c r="C1379">
        <v>81.099999999999994</v>
      </c>
      <c r="D1379">
        <v>75.400000000000006</v>
      </c>
      <c r="E1379">
        <v>79.400000000000006</v>
      </c>
      <c r="F1379">
        <v>79.3</v>
      </c>
      <c r="G1379">
        <v>0</v>
      </c>
      <c r="H1379">
        <v>0</v>
      </c>
      <c r="I1379">
        <v>0</v>
      </c>
      <c r="J1379">
        <v>0</v>
      </c>
      <c r="K1379">
        <v>64.400000000000006</v>
      </c>
      <c r="L1379">
        <v>62.4</v>
      </c>
      <c r="M1379">
        <v>78.72</v>
      </c>
      <c r="N1379">
        <v>18</v>
      </c>
      <c r="O1379">
        <v>1</v>
      </c>
      <c r="P1379">
        <f>MOD(DAY(datos_siembra[[#This Row],[Date]]),7)</f>
        <v>4</v>
      </c>
      <c r="Q1379" t="str">
        <f>CHOOSE(WEEKDAY(datos_siembra[[#This Row],[Date]],2),"L","M","X","J","V","S","D")</f>
        <v>X</v>
      </c>
      <c r="R1379">
        <f>WEEKNUM(datos_siembra[[#This Row],[Date]],2)-WEEKNUM(DATE(YEAR(datos_siembra[[#This Row],[Date]]),MONTH(datos_siembra[[#This Row],[Date]]),1))+1</f>
        <v>3</v>
      </c>
      <c r="S1379">
        <f>MONTH(datos_siembra[[#This Row],[Date]])</f>
        <v>9</v>
      </c>
      <c r="T1379" t="str" cm="1">
        <f t="array" ref="T1379">_xlfn.IFS(AND(N1379&lt;= 22, S1379=9), "SOWING",AND(N1379&lt;= 28, S1379=9), "COVERAGE",AND(N1379&lt;= 30, S1379=9), "FLUSH",AND(N1379&lt;= 11, S1379=10), "FLUSH",AND(N1379&lt;= 21, S1379=10), "PRODUCTION")</f>
        <v>SOWING</v>
      </c>
      <c r="U1379">
        <f>HOUR(datos_siembra[[#This Row],[Hour]])</f>
        <v>2</v>
      </c>
      <c r="V1379" cm="1">
        <f t="array" ref="V1379">_xlfn.IFS(AND(N1379&lt;= 22, S1379=9), N1379-7,AND(N1379&lt;= 28, S1379=9), N1379-25,AND(N1379&lt;= 30, S1379=9), N1379-28,AND(N1379&lt;= 11, S1379=10), N1379+2,AND(N1379&lt;= 21, S1379=10), N1379-11)</f>
        <v>11</v>
      </c>
    </row>
    <row r="1380" spans="1:22" x14ac:dyDescent="0.35">
      <c r="A1380" s="4">
        <v>45553</v>
      </c>
      <c r="B1380" s="5">
        <v>0.13148148148148148</v>
      </c>
      <c r="C1380">
        <v>80.900000000000006</v>
      </c>
      <c r="D1380">
        <v>75.3</v>
      </c>
      <c r="E1380">
        <v>79.3</v>
      </c>
      <c r="F1380">
        <v>78.7</v>
      </c>
      <c r="G1380">
        <v>0</v>
      </c>
      <c r="H1380">
        <v>0</v>
      </c>
      <c r="I1380">
        <v>0</v>
      </c>
      <c r="J1380">
        <v>0</v>
      </c>
      <c r="K1380">
        <v>63.8</v>
      </c>
      <c r="L1380">
        <v>61.8</v>
      </c>
      <c r="M1380">
        <v>78.430000000000007</v>
      </c>
      <c r="N1380">
        <v>18</v>
      </c>
      <c r="O1380">
        <v>1</v>
      </c>
      <c r="P1380">
        <f>MOD(DAY(datos_siembra[[#This Row],[Date]]),7)</f>
        <v>4</v>
      </c>
      <c r="Q1380" t="str">
        <f>CHOOSE(WEEKDAY(datos_siembra[[#This Row],[Date]],2),"L","M","X","J","V","S","D")</f>
        <v>X</v>
      </c>
      <c r="R1380">
        <f>WEEKNUM(datos_siembra[[#This Row],[Date]],2)-WEEKNUM(DATE(YEAR(datos_siembra[[#This Row],[Date]]),MONTH(datos_siembra[[#This Row],[Date]]),1))+1</f>
        <v>3</v>
      </c>
      <c r="S1380">
        <f>MONTH(datos_siembra[[#This Row],[Date]])</f>
        <v>9</v>
      </c>
      <c r="T1380" t="str" cm="1">
        <f t="array" ref="T1380">_xlfn.IFS(AND(N1380&lt;= 22, S1380=9), "SOWING",AND(N1380&lt;= 28, S1380=9), "COVERAGE",AND(N1380&lt;= 30, S1380=9), "FLUSH",AND(N1380&lt;= 11, S1380=10), "FLUSH",AND(N1380&lt;= 21, S1380=10), "PRODUCTION")</f>
        <v>SOWING</v>
      </c>
      <c r="U1380">
        <f>HOUR(datos_siembra[[#This Row],[Hour]])</f>
        <v>3</v>
      </c>
      <c r="V1380" cm="1">
        <f t="array" ref="V1380">_xlfn.IFS(AND(N1380&lt;= 22, S1380=9), N1380-7,AND(N1380&lt;= 28, S1380=9), N1380-25,AND(N1380&lt;= 30, S1380=9), N1380-28,AND(N1380&lt;= 11, S1380=10), N1380+2,AND(N1380&lt;= 21, S1380=10), N1380-11)</f>
        <v>11</v>
      </c>
    </row>
    <row r="1381" spans="1:22" x14ac:dyDescent="0.35">
      <c r="A1381" s="4">
        <v>45553</v>
      </c>
      <c r="B1381" s="5">
        <v>0.13842592592592592</v>
      </c>
      <c r="C1381">
        <v>80.900000000000006</v>
      </c>
      <c r="D1381">
        <v>75.3</v>
      </c>
      <c r="E1381">
        <v>79.400000000000006</v>
      </c>
      <c r="F1381">
        <v>77.900000000000006</v>
      </c>
      <c r="G1381">
        <v>0</v>
      </c>
      <c r="H1381">
        <v>0</v>
      </c>
      <c r="I1381">
        <v>0</v>
      </c>
      <c r="J1381">
        <v>0</v>
      </c>
      <c r="K1381">
        <v>64.599999999999994</v>
      </c>
      <c r="L1381">
        <v>63</v>
      </c>
      <c r="M1381">
        <v>78.599999999999994</v>
      </c>
      <c r="N1381">
        <v>18</v>
      </c>
      <c r="O1381">
        <v>1</v>
      </c>
      <c r="P1381">
        <f>MOD(DAY(datos_siembra[[#This Row],[Date]]),7)</f>
        <v>4</v>
      </c>
      <c r="Q1381" t="str">
        <f>CHOOSE(WEEKDAY(datos_siembra[[#This Row],[Date]],2),"L","M","X","J","V","S","D")</f>
        <v>X</v>
      </c>
      <c r="R1381">
        <f>WEEKNUM(datos_siembra[[#This Row],[Date]],2)-WEEKNUM(DATE(YEAR(datos_siembra[[#This Row],[Date]]),MONTH(datos_siembra[[#This Row],[Date]]),1))+1</f>
        <v>3</v>
      </c>
      <c r="S1381">
        <f>MONTH(datos_siembra[[#This Row],[Date]])</f>
        <v>9</v>
      </c>
      <c r="T1381" t="str" cm="1">
        <f t="array" ref="T1381">_xlfn.IFS(AND(N1381&lt;= 22, S1381=9), "SOWING",AND(N1381&lt;= 28, S1381=9), "COVERAGE",AND(N1381&lt;= 30, S1381=9), "FLUSH",AND(N1381&lt;= 11, S1381=10), "FLUSH",AND(N1381&lt;= 21, S1381=10), "PRODUCTION")</f>
        <v>SOWING</v>
      </c>
      <c r="U1381">
        <f>HOUR(datos_siembra[[#This Row],[Hour]])</f>
        <v>3</v>
      </c>
      <c r="V1381" cm="1">
        <f t="array" ref="V1381">_xlfn.IFS(AND(N1381&lt;= 22, S1381=9), N1381-7,AND(N1381&lt;= 28, S1381=9), N1381-25,AND(N1381&lt;= 30, S1381=9), N1381-28,AND(N1381&lt;= 11, S1381=10), N1381+2,AND(N1381&lt;= 21, S1381=10), N1381-11)</f>
        <v>11</v>
      </c>
    </row>
    <row r="1382" spans="1:22" x14ac:dyDescent="0.35">
      <c r="A1382" s="4">
        <v>45553</v>
      </c>
      <c r="B1382" s="5">
        <v>0.14537037037037037</v>
      </c>
      <c r="C1382">
        <v>80.900000000000006</v>
      </c>
      <c r="D1382">
        <v>75.3</v>
      </c>
      <c r="E1382">
        <v>79.3</v>
      </c>
      <c r="F1382">
        <v>79</v>
      </c>
      <c r="G1382">
        <v>0</v>
      </c>
      <c r="H1382">
        <v>0</v>
      </c>
      <c r="I1382">
        <v>0</v>
      </c>
      <c r="J1382">
        <v>0</v>
      </c>
      <c r="K1382">
        <v>66</v>
      </c>
      <c r="L1382">
        <v>64.7</v>
      </c>
      <c r="M1382">
        <v>78.63</v>
      </c>
      <c r="N1382">
        <v>18</v>
      </c>
      <c r="O1382">
        <v>1</v>
      </c>
      <c r="P1382">
        <f>MOD(DAY(datos_siembra[[#This Row],[Date]]),7)</f>
        <v>4</v>
      </c>
      <c r="Q1382" t="str">
        <f>CHOOSE(WEEKDAY(datos_siembra[[#This Row],[Date]],2),"L","M","X","J","V","S","D")</f>
        <v>X</v>
      </c>
      <c r="R1382">
        <f>WEEKNUM(datos_siembra[[#This Row],[Date]],2)-WEEKNUM(DATE(YEAR(datos_siembra[[#This Row],[Date]]),MONTH(datos_siembra[[#This Row],[Date]]),1))+1</f>
        <v>3</v>
      </c>
      <c r="S1382">
        <f>MONTH(datos_siembra[[#This Row],[Date]])</f>
        <v>9</v>
      </c>
      <c r="T1382" t="str" cm="1">
        <f t="array" ref="T1382">_xlfn.IFS(AND(N1382&lt;= 22, S1382=9), "SOWING",AND(N1382&lt;= 28, S1382=9), "COVERAGE",AND(N1382&lt;= 30, S1382=9), "FLUSH",AND(N1382&lt;= 11, S1382=10), "FLUSH",AND(N1382&lt;= 21, S1382=10), "PRODUCTION")</f>
        <v>SOWING</v>
      </c>
      <c r="U1382">
        <f>HOUR(datos_siembra[[#This Row],[Hour]])</f>
        <v>3</v>
      </c>
      <c r="V1382" cm="1">
        <f t="array" ref="V1382">_xlfn.IFS(AND(N1382&lt;= 22, S1382=9), N1382-7,AND(N1382&lt;= 28, S1382=9), N1382-25,AND(N1382&lt;= 30, S1382=9), N1382-28,AND(N1382&lt;= 11, S1382=10), N1382+2,AND(N1382&lt;= 21, S1382=10), N1382-11)</f>
        <v>11</v>
      </c>
    </row>
    <row r="1383" spans="1:22" x14ac:dyDescent="0.35">
      <c r="A1383" s="4">
        <v>45553</v>
      </c>
      <c r="B1383" s="5">
        <v>0.15231481481481482</v>
      </c>
      <c r="C1383">
        <v>81.099999999999994</v>
      </c>
      <c r="D1383">
        <v>75.400000000000006</v>
      </c>
      <c r="E1383">
        <v>79.3</v>
      </c>
      <c r="F1383">
        <v>79.8</v>
      </c>
      <c r="G1383">
        <v>0</v>
      </c>
      <c r="H1383">
        <v>0</v>
      </c>
      <c r="I1383">
        <v>0</v>
      </c>
      <c r="J1383">
        <v>0</v>
      </c>
      <c r="K1383">
        <v>66.400000000000006</v>
      </c>
      <c r="L1383">
        <v>65.099999999999994</v>
      </c>
      <c r="M1383">
        <v>78.63</v>
      </c>
      <c r="N1383">
        <v>18</v>
      </c>
      <c r="O1383">
        <v>1</v>
      </c>
      <c r="P1383">
        <f>MOD(DAY(datos_siembra[[#This Row],[Date]]),7)</f>
        <v>4</v>
      </c>
      <c r="Q1383" t="str">
        <f>CHOOSE(WEEKDAY(datos_siembra[[#This Row],[Date]],2),"L","M","X","J","V","S","D")</f>
        <v>X</v>
      </c>
      <c r="R1383">
        <f>WEEKNUM(datos_siembra[[#This Row],[Date]],2)-WEEKNUM(DATE(YEAR(datos_siembra[[#This Row],[Date]]),MONTH(datos_siembra[[#This Row],[Date]]),1))+1</f>
        <v>3</v>
      </c>
      <c r="S1383">
        <f>MONTH(datos_siembra[[#This Row],[Date]])</f>
        <v>9</v>
      </c>
      <c r="T1383" t="str" cm="1">
        <f t="array" ref="T1383">_xlfn.IFS(AND(N1383&lt;= 22, S1383=9), "SOWING",AND(N1383&lt;= 28, S1383=9), "COVERAGE",AND(N1383&lt;= 30, S1383=9), "FLUSH",AND(N1383&lt;= 11, S1383=10), "FLUSH",AND(N1383&lt;= 21, S1383=10), "PRODUCTION")</f>
        <v>SOWING</v>
      </c>
      <c r="U1383">
        <f>HOUR(datos_siembra[[#This Row],[Hour]])</f>
        <v>3</v>
      </c>
      <c r="V1383" cm="1">
        <f t="array" ref="V1383">_xlfn.IFS(AND(N1383&lt;= 22, S1383=9), N1383-7,AND(N1383&lt;= 28, S1383=9), N1383-25,AND(N1383&lt;= 30, S1383=9), N1383-28,AND(N1383&lt;= 11, S1383=10), N1383+2,AND(N1383&lt;= 21, S1383=10), N1383-11)</f>
        <v>11</v>
      </c>
    </row>
    <row r="1384" spans="1:22" x14ac:dyDescent="0.35">
      <c r="A1384" s="4">
        <v>45553</v>
      </c>
      <c r="B1384" s="5">
        <v>0.15927083333333333</v>
      </c>
      <c r="C1384">
        <v>80.8</v>
      </c>
      <c r="D1384">
        <v>75.3</v>
      </c>
      <c r="E1384">
        <v>79.3</v>
      </c>
      <c r="F1384">
        <v>78</v>
      </c>
      <c r="G1384">
        <v>0</v>
      </c>
      <c r="H1384">
        <v>0</v>
      </c>
      <c r="I1384">
        <v>0</v>
      </c>
      <c r="J1384">
        <v>0</v>
      </c>
      <c r="K1384">
        <v>66.5</v>
      </c>
      <c r="L1384">
        <v>65.3</v>
      </c>
      <c r="M1384">
        <v>78.489999999999995</v>
      </c>
      <c r="N1384">
        <v>18</v>
      </c>
      <c r="O1384">
        <v>1</v>
      </c>
      <c r="P1384">
        <f>MOD(DAY(datos_siembra[[#This Row],[Date]]),7)</f>
        <v>4</v>
      </c>
      <c r="Q1384" t="str">
        <f>CHOOSE(WEEKDAY(datos_siembra[[#This Row],[Date]],2),"L","M","X","J","V","S","D")</f>
        <v>X</v>
      </c>
      <c r="R1384">
        <f>WEEKNUM(datos_siembra[[#This Row],[Date]],2)-WEEKNUM(DATE(YEAR(datos_siembra[[#This Row],[Date]]),MONTH(datos_siembra[[#This Row],[Date]]),1))+1</f>
        <v>3</v>
      </c>
      <c r="S1384">
        <f>MONTH(datos_siembra[[#This Row],[Date]])</f>
        <v>9</v>
      </c>
      <c r="T1384" t="str" cm="1">
        <f t="array" ref="T1384">_xlfn.IFS(AND(N1384&lt;= 22, S1384=9), "SOWING",AND(N1384&lt;= 28, S1384=9), "COVERAGE",AND(N1384&lt;= 30, S1384=9), "FLUSH",AND(N1384&lt;= 11, S1384=10), "FLUSH",AND(N1384&lt;= 21, S1384=10), "PRODUCTION")</f>
        <v>SOWING</v>
      </c>
      <c r="U1384">
        <f>HOUR(datos_siembra[[#This Row],[Hour]])</f>
        <v>3</v>
      </c>
      <c r="V1384" cm="1">
        <f t="array" ref="V1384">_xlfn.IFS(AND(N1384&lt;= 22, S1384=9), N1384-7,AND(N1384&lt;= 28, S1384=9), N1384-25,AND(N1384&lt;= 30, S1384=9), N1384-28,AND(N1384&lt;= 11, S1384=10), N1384+2,AND(N1384&lt;= 21, S1384=10), N1384-11)</f>
        <v>11</v>
      </c>
    </row>
    <row r="1385" spans="1:22" x14ac:dyDescent="0.35">
      <c r="A1385" s="4">
        <v>45553</v>
      </c>
      <c r="B1385" s="5">
        <v>0.16621527777777778</v>
      </c>
      <c r="C1385">
        <v>80.8</v>
      </c>
      <c r="D1385">
        <v>75.400000000000006</v>
      </c>
      <c r="E1385">
        <v>79.3</v>
      </c>
      <c r="F1385">
        <v>78.5</v>
      </c>
      <c r="G1385">
        <v>0</v>
      </c>
      <c r="H1385">
        <v>0</v>
      </c>
      <c r="I1385">
        <v>0</v>
      </c>
      <c r="J1385">
        <v>0</v>
      </c>
      <c r="K1385">
        <v>66.8</v>
      </c>
      <c r="L1385">
        <v>65.400000000000006</v>
      </c>
      <c r="M1385">
        <v>78.569999999999993</v>
      </c>
      <c r="N1385">
        <v>18</v>
      </c>
      <c r="O1385">
        <v>1</v>
      </c>
      <c r="P1385">
        <f>MOD(DAY(datos_siembra[[#This Row],[Date]]),7)</f>
        <v>4</v>
      </c>
      <c r="Q1385" t="str">
        <f>CHOOSE(WEEKDAY(datos_siembra[[#This Row],[Date]],2),"L","M","X","J","V","S","D")</f>
        <v>X</v>
      </c>
      <c r="R1385">
        <f>WEEKNUM(datos_siembra[[#This Row],[Date]],2)-WEEKNUM(DATE(YEAR(datos_siembra[[#This Row],[Date]]),MONTH(datos_siembra[[#This Row],[Date]]),1))+1</f>
        <v>3</v>
      </c>
      <c r="S1385">
        <f>MONTH(datos_siembra[[#This Row],[Date]])</f>
        <v>9</v>
      </c>
      <c r="T1385" t="str" cm="1">
        <f t="array" ref="T1385">_xlfn.IFS(AND(N1385&lt;= 22, S1385=9), "SOWING",AND(N1385&lt;= 28, S1385=9), "COVERAGE",AND(N1385&lt;= 30, S1385=9), "FLUSH",AND(N1385&lt;= 11, S1385=10), "FLUSH",AND(N1385&lt;= 21, S1385=10), "PRODUCTION")</f>
        <v>SOWING</v>
      </c>
      <c r="U1385">
        <f>HOUR(datos_siembra[[#This Row],[Hour]])</f>
        <v>3</v>
      </c>
      <c r="V1385" cm="1">
        <f t="array" ref="V1385">_xlfn.IFS(AND(N1385&lt;= 22, S1385=9), N1385-7,AND(N1385&lt;= 28, S1385=9), N1385-25,AND(N1385&lt;= 30, S1385=9), N1385-28,AND(N1385&lt;= 11, S1385=10), N1385+2,AND(N1385&lt;= 21, S1385=10), N1385-11)</f>
        <v>11</v>
      </c>
    </row>
    <row r="1386" spans="1:22" x14ac:dyDescent="0.35">
      <c r="A1386" s="4">
        <v>45553</v>
      </c>
      <c r="B1386" s="5">
        <v>0.17315972222222223</v>
      </c>
      <c r="C1386">
        <v>80.8</v>
      </c>
      <c r="D1386">
        <v>75.400000000000006</v>
      </c>
      <c r="E1386">
        <v>79.3</v>
      </c>
      <c r="F1386">
        <v>78.7</v>
      </c>
      <c r="G1386">
        <v>0</v>
      </c>
      <c r="H1386">
        <v>0</v>
      </c>
      <c r="I1386">
        <v>0</v>
      </c>
      <c r="J1386">
        <v>0</v>
      </c>
      <c r="K1386">
        <v>66.900000000000006</v>
      </c>
      <c r="L1386">
        <v>65.5</v>
      </c>
      <c r="M1386">
        <v>78.599999999999994</v>
      </c>
      <c r="N1386">
        <v>18</v>
      </c>
      <c r="O1386">
        <v>1</v>
      </c>
      <c r="P1386">
        <f>MOD(DAY(datos_siembra[[#This Row],[Date]]),7)</f>
        <v>4</v>
      </c>
      <c r="Q1386" t="str">
        <f>CHOOSE(WEEKDAY(datos_siembra[[#This Row],[Date]],2),"L","M","X","J","V","S","D")</f>
        <v>X</v>
      </c>
      <c r="R1386">
        <f>WEEKNUM(datos_siembra[[#This Row],[Date]],2)-WEEKNUM(DATE(YEAR(datos_siembra[[#This Row],[Date]]),MONTH(datos_siembra[[#This Row],[Date]]),1))+1</f>
        <v>3</v>
      </c>
      <c r="S1386">
        <f>MONTH(datos_siembra[[#This Row],[Date]])</f>
        <v>9</v>
      </c>
      <c r="T1386" t="str" cm="1">
        <f t="array" ref="T1386">_xlfn.IFS(AND(N1386&lt;= 22, S1386=9), "SOWING",AND(N1386&lt;= 28, S1386=9), "COVERAGE",AND(N1386&lt;= 30, S1386=9), "FLUSH",AND(N1386&lt;= 11, S1386=10), "FLUSH",AND(N1386&lt;= 21, S1386=10), "PRODUCTION")</f>
        <v>SOWING</v>
      </c>
      <c r="U1386">
        <f>HOUR(datos_siembra[[#This Row],[Hour]])</f>
        <v>4</v>
      </c>
      <c r="V1386" cm="1">
        <f t="array" ref="V1386">_xlfn.IFS(AND(N1386&lt;= 22, S1386=9), N1386-7,AND(N1386&lt;= 28, S1386=9), N1386-25,AND(N1386&lt;= 30, S1386=9), N1386-28,AND(N1386&lt;= 11, S1386=10), N1386+2,AND(N1386&lt;= 21, S1386=10), N1386-11)</f>
        <v>11</v>
      </c>
    </row>
    <row r="1387" spans="1:22" x14ac:dyDescent="0.35">
      <c r="A1387" s="4">
        <v>45553</v>
      </c>
      <c r="B1387" s="5">
        <v>0.18010416666666668</v>
      </c>
      <c r="C1387">
        <v>80.900000000000006</v>
      </c>
      <c r="D1387">
        <v>75.3</v>
      </c>
      <c r="E1387">
        <v>79.3</v>
      </c>
      <c r="F1387">
        <v>79.099999999999994</v>
      </c>
      <c r="G1387">
        <v>0</v>
      </c>
      <c r="H1387">
        <v>0</v>
      </c>
      <c r="I1387">
        <v>0</v>
      </c>
      <c r="J1387">
        <v>0</v>
      </c>
      <c r="K1387">
        <v>65.900000000000006</v>
      </c>
      <c r="L1387">
        <v>64.099999999999994</v>
      </c>
      <c r="M1387">
        <v>78.77</v>
      </c>
      <c r="N1387">
        <v>18</v>
      </c>
      <c r="O1387">
        <v>1</v>
      </c>
      <c r="P1387">
        <f>MOD(DAY(datos_siembra[[#This Row],[Date]]),7)</f>
        <v>4</v>
      </c>
      <c r="Q1387" t="str">
        <f>CHOOSE(WEEKDAY(datos_siembra[[#This Row],[Date]],2),"L","M","X","J","V","S","D")</f>
        <v>X</v>
      </c>
      <c r="R1387">
        <f>WEEKNUM(datos_siembra[[#This Row],[Date]],2)-WEEKNUM(DATE(YEAR(datos_siembra[[#This Row],[Date]]),MONTH(datos_siembra[[#This Row],[Date]]),1))+1</f>
        <v>3</v>
      </c>
      <c r="S1387">
        <f>MONTH(datos_siembra[[#This Row],[Date]])</f>
        <v>9</v>
      </c>
      <c r="T1387" t="str" cm="1">
        <f t="array" ref="T1387">_xlfn.IFS(AND(N1387&lt;= 22, S1387=9), "SOWING",AND(N1387&lt;= 28, S1387=9), "COVERAGE",AND(N1387&lt;= 30, S1387=9), "FLUSH",AND(N1387&lt;= 11, S1387=10), "FLUSH",AND(N1387&lt;= 21, S1387=10), "PRODUCTION")</f>
        <v>SOWING</v>
      </c>
      <c r="U1387">
        <f>HOUR(datos_siembra[[#This Row],[Hour]])</f>
        <v>4</v>
      </c>
      <c r="V1387" cm="1">
        <f t="array" ref="V1387">_xlfn.IFS(AND(N1387&lt;= 22, S1387=9), N1387-7,AND(N1387&lt;= 28, S1387=9), N1387-25,AND(N1387&lt;= 30, S1387=9), N1387-28,AND(N1387&lt;= 11, S1387=10), N1387+2,AND(N1387&lt;= 21, S1387=10), N1387-11)</f>
        <v>11</v>
      </c>
    </row>
    <row r="1388" spans="1:22" x14ac:dyDescent="0.35">
      <c r="A1388" s="4">
        <v>45553</v>
      </c>
      <c r="B1388" s="5">
        <v>0.18706018518518519</v>
      </c>
      <c r="C1388">
        <v>80.8</v>
      </c>
      <c r="D1388">
        <v>75.400000000000006</v>
      </c>
      <c r="E1388">
        <v>79.3</v>
      </c>
      <c r="F1388">
        <v>78.8</v>
      </c>
      <c r="G1388">
        <v>0</v>
      </c>
      <c r="H1388">
        <v>0</v>
      </c>
      <c r="I1388">
        <v>0</v>
      </c>
      <c r="J1388">
        <v>0</v>
      </c>
      <c r="K1388">
        <v>64.3</v>
      </c>
      <c r="L1388">
        <v>62.3</v>
      </c>
      <c r="M1388">
        <v>78.66</v>
      </c>
      <c r="N1388">
        <v>18</v>
      </c>
      <c r="O1388">
        <v>1</v>
      </c>
      <c r="P1388">
        <f>MOD(DAY(datos_siembra[[#This Row],[Date]]),7)</f>
        <v>4</v>
      </c>
      <c r="Q1388" t="str">
        <f>CHOOSE(WEEKDAY(datos_siembra[[#This Row],[Date]],2),"L","M","X","J","V","S","D")</f>
        <v>X</v>
      </c>
      <c r="R1388">
        <f>WEEKNUM(datos_siembra[[#This Row],[Date]],2)-WEEKNUM(DATE(YEAR(datos_siembra[[#This Row],[Date]]),MONTH(datos_siembra[[#This Row],[Date]]),1))+1</f>
        <v>3</v>
      </c>
      <c r="S1388">
        <f>MONTH(datos_siembra[[#This Row],[Date]])</f>
        <v>9</v>
      </c>
      <c r="T1388" t="str" cm="1">
        <f t="array" ref="T1388">_xlfn.IFS(AND(N1388&lt;= 22, S1388=9), "SOWING",AND(N1388&lt;= 28, S1388=9), "COVERAGE",AND(N1388&lt;= 30, S1388=9), "FLUSH",AND(N1388&lt;= 11, S1388=10), "FLUSH",AND(N1388&lt;= 21, S1388=10), "PRODUCTION")</f>
        <v>SOWING</v>
      </c>
      <c r="U1388">
        <f>HOUR(datos_siembra[[#This Row],[Hour]])</f>
        <v>4</v>
      </c>
      <c r="V1388" cm="1">
        <f t="array" ref="V1388">_xlfn.IFS(AND(N1388&lt;= 22, S1388=9), N1388-7,AND(N1388&lt;= 28, S1388=9), N1388-25,AND(N1388&lt;= 30, S1388=9), N1388-28,AND(N1388&lt;= 11, S1388=10), N1388+2,AND(N1388&lt;= 21, S1388=10), N1388-11)</f>
        <v>11</v>
      </c>
    </row>
    <row r="1389" spans="1:22" x14ac:dyDescent="0.35">
      <c r="A1389" s="4">
        <v>45553</v>
      </c>
      <c r="B1389" s="5">
        <v>0.19400462962962964</v>
      </c>
      <c r="C1389">
        <v>80.8</v>
      </c>
      <c r="D1389">
        <v>75.3</v>
      </c>
      <c r="E1389">
        <v>79.5</v>
      </c>
      <c r="F1389">
        <v>78.8</v>
      </c>
      <c r="G1389">
        <v>0</v>
      </c>
      <c r="H1389">
        <v>0</v>
      </c>
      <c r="I1389">
        <v>0</v>
      </c>
      <c r="J1389">
        <v>0</v>
      </c>
      <c r="K1389">
        <v>65</v>
      </c>
      <c r="L1389">
        <v>63.4</v>
      </c>
      <c r="M1389">
        <v>78.69</v>
      </c>
      <c r="N1389">
        <v>18</v>
      </c>
      <c r="O1389">
        <v>1</v>
      </c>
      <c r="P1389">
        <f>MOD(DAY(datos_siembra[[#This Row],[Date]]),7)</f>
        <v>4</v>
      </c>
      <c r="Q1389" t="str">
        <f>CHOOSE(WEEKDAY(datos_siembra[[#This Row],[Date]],2),"L","M","X","J","V","S","D")</f>
        <v>X</v>
      </c>
      <c r="R1389">
        <f>WEEKNUM(datos_siembra[[#This Row],[Date]],2)-WEEKNUM(DATE(YEAR(datos_siembra[[#This Row],[Date]]),MONTH(datos_siembra[[#This Row],[Date]]),1))+1</f>
        <v>3</v>
      </c>
      <c r="S1389">
        <f>MONTH(datos_siembra[[#This Row],[Date]])</f>
        <v>9</v>
      </c>
      <c r="T1389" t="str" cm="1">
        <f t="array" ref="T1389">_xlfn.IFS(AND(N1389&lt;= 22, S1389=9), "SOWING",AND(N1389&lt;= 28, S1389=9), "COVERAGE",AND(N1389&lt;= 30, S1389=9), "FLUSH",AND(N1389&lt;= 11, S1389=10), "FLUSH",AND(N1389&lt;= 21, S1389=10), "PRODUCTION")</f>
        <v>SOWING</v>
      </c>
      <c r="U1389">
        <f>HOUR(datos_siembra[[#This Row],[Hour]])</f>
        <v>4</v>
      </c>
      <c r="V1389" cm="1">
        <f t="array" ref="V1389">_xlfn.IFS(AND(N1389&lt;= 22, S1389=9), N1389-7,AND(N1389&lt;= 28, S1389=9), N1389-25,AND(N1389&lt;= 30, S1389=9), N1389-28,AND(N1389&lt;= 11, S1389=10), N1389+2,AND(N1389&lt;= 21, S1389=10), N1389-11)</f>
        <v>11</v>
      </c>
    </row>
    <row r="1390" spans="1:22" x14ac:dyDescent="0.35">
      <c r="A1390" s="4">
        <v>45553</v>
      </c>
      <c r="B1390" s="5">
        <v>0.20094907407407409</v>
      </c>
      <c r="C1390">
        <v>80.900000000000006</v>
      </c>
      <c r="D1390">
        <v>75.5</v>
      </c>
      <c r="E1390">
        <v>79.400000000000006</v>
      </c>
      <c r="F1390">
        <v>79</v>
      </c>
      <c r="G1390">
        <v>0</v>
      </c>
      <c r="H1390">
        <v>0</v>
      </c>
      <c r="I1390">
        <v>0</v>
      </c>
      <c r="J1390">
        <v>0</v>
      </c>
      <c r="K1390">
        <v>66.099999999999994</v>
      </c>
      <c r="L1390">
        <v>65</v>
      </c>
      <c r="M1390">
        <v>78.63</v>
      </c>
      <c r="N1390">
        <v>18</v>
      </c>
      <c r="O1390">
        <v>1</v>
      </c>
      <c r="P1390">
        <f>MOD(DAY(datos_siembra[[#This Row],[Date]]),7)</f>
        <v>4</v>
      </c>
      <c r="Q1390" t="str">
        <f>CHOOSE(WEEKDAY(datos_siembra[[#This Row],[Date]],2),"L","M","X","J","V","S","D")</f>
        <v>X</v>
      </c>
      <c r="R1390">
        <f>WEEKNUM(datos_siembra[[#This Row],[Date]],2)-WEEKNUM(DATE(YEAR(datos_siembra[[#This Row],[Date]]),MONTH(datos_siembra[[#This Row],[Date]]),1))+1</f>
        <v>3</v>
      </c>
      <c r="S1390">
        <f>MONTH(datos_siembra[[#This Row],[Date]])</f>
        <v>9</v>
      </c>
      <c r="T1390" t="str" cm="1">
        <f t="array" ref="T1390">_xlfn.IFS(AND(N1390&lt;= 22, S1390=9), "SOWING",AND(N1390&lt;= 28, S1390=9), "COVERAGE",AND(N1390&lt;= 30, S1390=9), "FLUSH",AND(N1390&lt;= 11, S1390=10), "FLUSH",AND(N1390&lt;= 21, S1390=10), "PRODUCTION")</f>
        <v>SOWING</v>
      </c>
      <c r="U1390">
        <f>HOUR(datos_siembra[[#This Row],[Hour]])</f>
        <v>4</v>
      </c>
      <c r="V1390" cm="1">
        <f t="array" ref="V1390">_xlfn.IFS(AND(N1390&lt;= 22, S1390=9), N1390-7,AND(N1390&lt;= 28, S1390=9), N1390-25,AND(N1390&lt;= 30, S1390=9), N1390-28,AND(N1390&lt;= 11, S1390=10), N1390+2,AND(N1390&lt;= 21, S1390=10), N1390-11)</f>
        <v>11</v>
      </c>
    </row>
    <row r="1391" spans="1:22" x14ac:dyDescent="0.35">
      <c r="A1391" s="4">
        <v>45553</v>
      </c>
      <c r="B1391" s="5">
        <v>0.20789351851851851</v>
      </c>
      <c r="C1391">
        <v>80.8</v>
      </c>
      <c r="D1391">
        <v>75.400000000000006</v>
      </c>
      <c r="E1391">
        <v>79.400000000000006</v>
      </c>
      <c r="F1391">
        <v>79</v>
      </c>
      <c r="G1391">
        <v>0</v>
      </c>
      <c r="H1391">
        <v>0</v>
      </c>
      <c r="I1391">
        <v>0</v>
      </c>
      <c r="J1391">
        <v>0</v>
      </c>
      <c r="K1391">
        <v>66.599999999999994</v>
      </c>
      <c r="L1391">
        <v>65.2</v>
      </c>
      <c r="M1391">
        <v>78.430000000000007</v>
      </c>
      <c r="N1391">
        <v>18</v>
      </c>
      <c r="O1391">
        <v>1</v>
      </c>
      <c r="P1391">
        <f>MOD(DAY(datos_siembra[[#This Row],[Date]]),7)</f>
        <v>4</v>
      </c>
      <c r="Q1391" t="str">
        <f>CHOOSE(WEEKDAY(datos_siembra[[#This Row],[Date]],2),"L","M","X","J","V","S","D")</f>
        <v>X</v>
      </c>
      <c r="R1391">
        <f>WEEKNUM(datos_siembra[[#This Row],[Date]],2)-WEEKNUM(DATE(YEAR(datos_siembra[[#This Row],[Date]]),MONTH(datos_siembra[[#This Row],[Date]]),1))+1</f>
        <v>3</v>
      </c>
      <c r="S1391">
        <f>MONTH(datos_siembra[[#This Row],[Date]])</f>
        <v>9</v>
      </c>
      <c r="T1391" t="str" cm="1">
        <f t="array" ref="T1391">_xlfn.IFS(AND(N1391&lt;= 22, S1391=9), "SOWING",AND(N1391&lt;= 28, S1391=9), "COVERAGE",AND(N1391&lt;= 30, S1391=9), "FLUSH",AND(N1391&lt;= 11, S1391=10), "FLUSH",AND(N1391&lt;= 21, S1391=10), "PRODUCTION")</f>
        <v>SOWING</v>
      </c>
      <c r="U1391">
        <f>HOUR(datos_siembra[[#This Row],[Hour]])</f>
        <v>4</v>
      </c>
      <c r="V1391" cm="1">
        <f t="array" ref="V1391">_xlfn.IFS(AND(N1391&lt;= 22, S1391=9), N1391-7,AND(N1391&lt;= 28, S1391=9), N1391-25,AND(N1391&lt;= 30, S1391=9), N1391-28,AND(N1391&lt;= 11, S1391=10), N1391+2,AND(N1391&lt;= 21, S1391=10), N1391-11)</f>
        <v>11</v>
      </c>
    </row>
    <row r="1392" spans="1:22" x14ac:dyDescent="0.35">
      <c r="A1392" s="4">
        <v>45553</v>
      </c>
      <c r="B1392" s="5">
        <v>0.21484953703703705</v>
      </c>
      <c r="C1392">
        <v>80.8</v>
      </c>
      <c r="D1392">
        <v>75.3</v>
      </c>
      <c r="E1392">
        <v>79.3</v>
      </c>
      <c r="F1392">
        <v>78.7</v>
      </c>
      <c r="G1392">
        <v>0</v>
      </c>
      <c r="H1392">
        <v>0</v>
      </c>
      <c r="I1392">
        <v>0</v>
      </c>
      <c r="J1392">
        <v>0</v>
      </c>
      <c r="K1392">
        <v>66.8</v>
      </c>
      <c r="L1392">
        <v>65.400000000000006</v>
      </c>
      <c r="M1392">
        <v>78.66</v>
      </c>
      <c r="N1392">
        <v>18</v>
      </c>
      <c r="O1392">
        <v>1</v>
      </c>
      <c r="P1392">
        <f>MOD(DAY(datos_siembra[[#This Row],[Date]]),7)</f>
        <v>4</v>
      </c>
      <c r="Q1392" t="str">
        <f>CHOOSE(WEEKDAY(datos_siembra[[#This Row],[Date]],2),"L","M","X","J","V","S","D")</f>
        <v>X</v>
      </c>
      <c r="R1392">
        <f>WEEKNUM(datos_siembra[[#This Row],[Date]],2)-WEEKNUM(DATE(YEAR(datos_siembra[[#This Row],[Date]]),MONTH(datos_siembra[[#This Row],[Date]]),1))+1</f>
        <v>3</v>
      </c>
      <c r="S1392">
        <f>MONTH(datos_siembra[[#This Row],[Date]])</f>
        <v>9</v>
      </c>
      <c r="T1392" t="str" cm="1">
        <f t="array" ref="T1392">_xlfn.IFS(AND(N1392&lt;= 22, S1392=9), "SOWING",AND(N1392&lt;= 28, S1392=9), "COVERAGE",AND(N1392&lt;= 30, S1392=9), "FLUSH",AND(N1392&lt;= 11, S1392=10), "FLUSH",AND(N1392&lt;= 21, S1392=10), "PRODUCTION")</f>
        <v>SOWING</v>
      </c>
      <c r="U1392">
        <f>HOUR(datos_siembra[[#This Row],[Hour]])</f>
        <v>5</v>
      </c>
      <c r="V1392" cm="1">
        <f t="array" ref="V1392">_xlfn.IFS(AND(N1392&lt;= 22, S1392=9), N1392-7,AND(N1392&lt;= 28, S1392=9), N1392-25,AND(N1392&lt;= 30, S1392=9), N1392-28,AND(N1392&lt;= 11, S1392=10), N1392+2,AND(N1392&lt;= 21, S1392=10), N1392-11)</f>
        <v>11</v>
      </c>
    </row>
    <row r="1393" spans="1:22" x14ac:dyDescent="0.35">
      <c r="A1393" s="4">
        <v>45553</v>
      </c>
      <c r="B1393" s="5">
        <v>0.22179398148148149</v>
      </c>
      <c r="C1393">
        <v>80.8</v>
      </c>
      <c r="D1393">
        <v>75.3</v>
      </c>
      <c r="E1393">
        <v>79.3</v>
      </c>
      <c r="F1393">
        <v>79.900000000000006</v>
      </c>
      <c r="G1393">
        <v>0</v>
      </c>
      <c r="H1393">
        <v>0</v>
      </c>
      <c r="I1393">
        <v>0</v>
      </c>
      <c r="J1393">
        <v>0</v>
      </c>
      <c r="K1393">
        <v>66.900000000000006</v>
      </c>
      <c r="L1393">
        <v>65.599999999999994</v>
      </c>
      <c r="M1393">
        <v>78.569999999999993</v>
      </c>
      <c r="N1393">
        <v>18</v>
      </c>
      <c r="O1393">
        <v>1</v>
      </c>
      <c r="P1393">
        <f>MOD(DAY(datos_siembra[[#This Row],[Date]]),7)</f>
        <v>4</v>
      </c>
      <c r="Q1393" t="str">
        <f>CHOOSE(WEEKDAY(datos_siembra[[#This Row],[Date]],2),"L","M","X","J","V","S","D")</f>
        <v>X</v>
      </c>
      <c r="R1393">
        <f>WEEKNUM(datos_siembra[[#This Row],[Date]],2)-WEEKNUM(DATE(YEAR(datos_siembra[[#This Row],[Date]]),MONTH(datos_siembra[[#This Row],[Date]]),1))+1</f>
        <v>3</v>
      </c>
      <c r="S1393">
        <f>MONTH(datos_siembra[[#This Row],[Date]])</f>
        <v>9</v>
      </c>
      <c r="T1393" t="str" cm="1">
        <f t="array" ref="T1393">_xlfn.IFS(AND(N1393&lt;= 22, S1393=9), "SOWING",AND(N1393&lt;= 28, S1393=9), "COVERAGE",AND(N1393&lt;= 30, S1393=9), "FLUSH",AND(N1393&lt;= 11, S1393=10), "FLUSH",AND(N1393&lt;= 21, S1393=10), "PRODUCTION")</f>
        <v>SOWING</v>
      </c>
      <c r="U1393">
        <f>HOUR(datos_siembra[[#This Row],[Hour]])</f>
        <v>5</v>
      </c>
      <c r="V1393" cm="1">
        <f t="array" ref="V1393">_xlfn.IFS(AND(N1393&lt;= 22, S1393=9), N1393-7,AND(N1393&lt;= 28, S1393=9), N1393-25,AND(N1393&lt;= 30, S1393=9), N1393-28,AND(N1393&lt;= 11, S1393=10), N1393+2,AND(N1393&lt;= 21, S1393=10), N1393-11)</f>
        <v>11</v>
      </c>
    </row>
    <row r="1394" spans="1:22" x14ac:dyDescent="0.35">
      <c r="A1394" s="4">
        <v>45553</v>
      </c>
      <c r="B1394" s="5">
        <v>0.22873842592592591</v>
      </c>
      <c r="C1394">
        <v>80.8</v>
      </c>
      <c r="D1394">
        <v>75.3</v>
      </c>
      <c r="E1394">
        <v>79.5</v>
      </c>
      <c r="F1394">
        <v>78.7</v>
      </c>
      <c r="G1394">
        <v>0</v>
      </c>
      <c r="H1394">
        <v>0</v>
      </c>
      <c r="I1394">
        <v>0</v>
      </c>
      <c r="J1394">
        <v>0</v>
      </c>
      <c r="K1394">
        <v>65.599999999999994</v>
      </c>
      <c r="L1394">
        <v>63.7</v>
      </c>
      <c r="M1394">
        <v>78.569999999999993</v>
      </c>
      <c r="N1394">
        <v>18</v>
      </c>
      <c r="O1394">
        <v>1</v>
      </c>
      <c r="P1394">
        <f>MOD(DAY(datos_siembra[[#This Row],[Date]]),7)</f>
        <v>4</v>
      </c>
      <c r="Q1394" t="str">
        <f>CHOOSE(WEEKDAY(datos_siembra[[#This Row],[Date]],2),"L","M","X","J","V","S","D")</f>
        <v>X</v>
      </c>
      <c r="R1394">
        <f>WEEKNUM(datos_siembra[[#This Row],[Date]],2)-WEEKNUM(DATE(YEAR(datos_siembra[[#This Row],[Date]]),MONTH(datos_siembra[[#This Row],[Date]]),1))+1</f>
        <v>3</v>
      </c>
      <c r="S1394">
        <f>MONTH(datos_siembra[[#This Row],[Date]])</f>
        <v>9</v>
      </c>
      <c r="T1394" t="str" cm="1">
        <f t="array" ref="T1394">_xlfn.IFS(AND(N1394&lt;= 22, S1394=9), "SOWING",AND(N1394&lt;= 28, S1394=9), "COVERAGE",AND(N1394&lt;= 30, S1394=9), "FLUSH",AND(N1394&lt;= 11, S1394=10), "FLUSH",AND(N1394&lt;= 21, S1394=10), "PRODUCTION")</f>
        <v>SOWING</v>
      </c>
      <c r="U1394">
        <f>HOUR(datos_siembra[[#This Row],[Hour]])</f>
        <v>5</v>
      </c>
      <c r="V1394" cm="1">
        <f t="array" ref="V1394">_xlfn.IFS(AND(N1394&lt;= 22, S1394=9), N1394-7,AND(N1394&lt;= 28, S1394=9), N1394-25,AND(N1394&lt;= 30, S1394=9), N1394-28,AND(N1394&lt;= 11, S1394=10), N1394+2,AND(N1394&lt;= 21, S1394=10), N1394-11)</f>
        <v>11</v>
      </c>
    </row>
    <row r="1395" spans="1:22" x14ac:dyDescent="0.35">
      <c r="A1395" s="4">
        <v>45553</v>
      </c>
      <c r="B1395" s="5">
        <v>0.23569444444444446</v>
      </c>
      <c r="C1395">
        <v>80.8</v>
      </c>
      <c r="D1395">
        <v>75.3</v>
      </c>
      <c r="E1395">
        <v>79.400000000000006</v>
      </c>
      <c r="F1395">
        <v>78.900000000000006</v>
      </c>
      <c r="G1395">
        <v>0</v>
      </c>
      <c r="H1395">
        <v>0</v>
      </c>
      <c r="I1395">
        <v>0</v>
      </c>
      <c r="J1395">
        <v>0</v>
      </c>
      <c r="K1395">
        <v>64.400000000000006</v>
      </c>
      <c r="L1395">
        <v>62.4</v>
      </c>
      <c r="M1395">
        <v>78.599999999999994</v>
      </c>
      <c r="N1395">
        <v>18</v>
      </c>
      <c r="O1395">
        <v>1</v>
      </c>
      <c r="P1395">
        <f>MOD(DAY(datos_siembra[[#This Row],[Date]]),7)</f>
        <v>4</v>
      </c>
      <c r="Q1395" t="str">
        <f>CHOOSE(WEEKDAY(datos_siembra[[#This Row],[Date]],2),"L","M","X","J","V","S","D")</f>
        <v>X</v>
      </c>
      <c r="R1395">
        <f>WEEKNUM(datos_siembra[[#This Row],[Date]],2)-WEEKNUM(DATE(YEAR(datos_siembra[[#This Row],[Date]]),MONTH(datos_siembra[[#This Row],[Date]]),1))+1</f>
        <v>3</v>
      </c>
      <c r="S1395">
        <f>MONTH(datos_siembra[[#This Row],[Date]])</f>
        <v>9</v>
      </c>
      <c r="T1395" t="str" cm="1">
        <f t="array" ref="T1395">_xlfn.IFS(AND(N1395&lt;= 22, S1395=9), "SOWING",AND(N1395&lt;= 28, S1395=9), "COVERAGE",AND(N1395&lt;= 30, S1395=9), "FLUSH",AND(N1395&lt;= 11, S1395=10), "FLUSH",AND(N1395&lt;= 21, S1395=10), "PRODUCTION")</f>
        <v>SOWING</v>
      </c>
      <c r="U1395">
        <f>HOUR(datos_siembra[[#This Row],[Hour]])</f>
        <v>5</v>
      </c>
      <c r="V1395" cm="1">
        <f t="array" ref="V1395">_xlfn.IFS(AND(N1395&lt;= 22, S1395=9), N1395-7,AND(N1395&lt;= 28, S1395=9), N1395-25,AND(N1395&lt;= 30, S1395=9), N1395-28,AND(N1395&lt;= 11, S1395=10), N1395+2,AND(N1395&lt;= 21, S1395=10), N1395-11)</f>
        <v>11</v>
      </c>
    </row>
    <row r="1396" spans="1:22" x14ac:dyDescent="0.35">
      <c r="A1396" s="4">
        <v>45553</v>
      </c>
      <c r="B1396" s="5">
        <v>0.24263888888888888</v>
      </c>
      <c r="C1396">
        <v>80.8</v>
      </c>
      <c r="D1396">
        <v>75.400000000000006</v>
      </c>
      <c r="E1396">
        <v>79.099999999999994</v>
      </c>
      <c r="F1396">
        <v>79</v>
      </c>
      <c r="G1396">
        <v>0</v>
      </c>
      <c r="H1396">
        <v>0</v>
      </c>
      <c r="I1396">
        <v>0</v>
      </c>
      <c r="J1396">
        <v>0</v>
      </c>
      <c r="K1396">
        <v>63.9</v>
      </c>
      <c r="L1396">
        <v>62</v>
      </c>
      <c r="M1396">
        <v>78.38</v>
      </c>
      <c r="N1396">
        <v>18</v>
      </c>
      <c r="O1396">
        <v>1</v>
      </c>
      <c r="P1396">
        <f>MOD(DAY(datos_siembra[[#This Row],[Date]]),7)</f>
        <v>4</v>
      </c>
      <c r="Q1396" t="str">
        <f>CHOOSE(WEEKDAY(datos_siembra[[#This Row],[Date]],2),"L","M","X","J","V","S","D")</f>
        <v>X</v>
      </c>
      <c r="R1396">
        <f>WEEKNUM(datos_siembra[[#This Row],[Date]],2)-WEEKNUM(DATE(YEAR(datos_siembra[[#This Row],[Date]]),MONTH(datos_siembra[[#This Row],[Date]]),1))+1</f>
        <v>3</v>
      </c>
      <c r="S1396">
        <f>MONTH(datos_siembra[[#This Row],[Date]])</f>
        <v>9</v>
      </c>
      <c r="T1396" t="str" cm="1">
        <f t="array" ref="T1396">_xlfn.IFS(AND(N1396&lt;= 22, S1396=9), "SOWING",AND(N1396&lt;= 28, S1396=9), "COVERAGE",AND(N1396&lt;= 30, S1396=9), "FLUSH",AND(N1396&lt;= 11, S1396=10), "FLUSH",AND(N1396&lt;= 21, S1396=10), "PRODUCTION")</f>
        <v>SOWING</v>
      </c>
      <c r="U1396">
        <f>HOUR(datos_siembra[[#This Row],[Hour]])</f>
        <v>5</v>
      </c>
      <c r="V1396" cm="1">
        <f t="array" ref="V1396">_xlfn.IFS(AND(N1396&lt;= 22, S1396=9), N1396-7,AND(N1396&lt;= 28, S1396=9), N1396-25,AND(N1396&lt;= 30, S1396=9), N1396-28,AND(N1396&lt;= 11, S1396=10), N1396+2,AND(N1396&lt;= 21, S1396=10), N1396-11)</f>
        <v>11</v>
      </c>
    </row>
    <row r="1397" spans="1:22" x14ac:dyDescent="0.35">
      <c r="A1397" s="4">
        <v>45553</v>
      </c>
      <c r="B1397" s="5">
        <v>0.24958333333333332</v>
      </c>
      <c r="C1397">
        <v>80.7</v>
      </c>
      <c r="D1397">
        <v>75.400000000000006</v>
      </c>
      <c r="E1397">
        <v>79.400000000000006</v>
      </c>
      <c r="F1397">
        <v>79.3</v>
      </c>
      <c r="G1397">
        <v>0</v>
      </c>
      <c r="H1397">
        <v>0</v>
      </c>
      <c r="I1397">
        <v>0</v>
      </c>
      <c r="J1397">
        <v>0</v>
      </c>
      <c r="K1397">
        <v>65</v>
      </c>
      <c r="L1397">
        <v>63.6</v>
      </c>
      <c r="M1397">
        <v>78.489999999999995</v>
      </c>
      <c r="N1397">
        <v>18</v>
      </c>
      <c r="O1397">
        <v>1</v>
      </c>
      <c r="P1397">
        <f>MOD(DAY(datos_siembra[[#This Row],[Date]]),7)</f>
        <v>4</v>
      </c>
      <c r="Q1397" t="str">
        <f>CHOOSE(WEEKDAY(datos_siembra[[#This Row],[Date]],2),"L","M","X","J","V","S","D")</f>
        <v>X</v>
      </c>
      <c r="R1397">
        <f>WEEKNUM(datos_siembra[[#This Row],[Date]],2)-WEEKNUM(DATE(YEAR(datos_siembra[[#This Row],[Date]]),MONTH(datos_siembra[[#This Row],[Date]]),1))+1</f>
        <v>3</v>
      </c>
      <c r="S1397">
        <f>MONTH(datos_siembra[[#This Row],[Date]])</f>
        <v>9</v>
      </c>
      <c r="T1397" t="str" cm="1">
        <f t="array" ref="T1397">_xlfn.IFS(AND(N1397&lt;= 22, S1397=9), "SOWING",AND(N1397&lt;= 28, S1397=9), "COVERAGE",AND(N1397&lt;= 30, S1397=9), "FLUSH",AND(N1397&lt;= 11, S1397=10), "FLUSH",AND(N1397&lt;= 21, S1397=10), "PRODUCTION")</f>
        <v>SOWING</v>
      </c>
      <c r="U1397">
        <f>HOUR(datos_siembra[[#This Row],[Hour]])</f>
        <v>5</v>
      </c>
      <c r="V1397" cm="1">
        <f t="array" ref="V1397">_xlfn.IFS(AND(N1397&lt;= 22, S1397=9), N1397-7,AND(N1397&lt;= 28, S1397=9), N1397-25,AND(N1397&lt;= 30, S1397=9), N1397-28,AND(N1397&lt;= 11, S1397=10), N1397+2,AND(N1397&lt;= 21, S1397=10), N1397-11)</f>
        <v>11</v>
      </c>
    </row>
    <row r="1398" spans="1:22" x14ac:dyDescent="0.35">
      <c r="A1398" s="4">
        <v>45553</v>
      </c>
      <c r="B1398" s="5">
        <v>0.2565277777777778</v>
      </c>
      <c r="C1398">
        <v>80.7</v>
      </c>
      <c r="D1398">
        <v>75.3</v>
      </c>
      <c r="E1398">
        <v>79.400000000000006</v>
      </c>
      <c r="F1398">
        <v>78.900000000000006</v>
      </c>
      <c r="G1398">
        <v>0</v>
      </c>
      <c r="H1398">
        <v>0</v>
      </c>
      <c r="I1398">
        <v>0</v>
      </c>
      <c r="J1398">
        <v>0</v>
      </c>
      <c r="K1398">
        <v>66</v>
      </c>
      <c r="L1398">
        <v>64.900000000000006</v>
      </c>
      <c r="M1398">
        <v>78.69</v>
      </c>
      <c r="N1398">
        <v>18</v>
      </c>
      <c r="O1398">
        <v>1</v>
      </c>
      <c r="P1398">
        <f>MOD(DAY(datos_siembra[[#This Row],[Date]]),7)</f>
        <v>4</v>
      </c>
      <c r="Q1398" t="str">
        <f>CHOOSE(WEEKDAY(datos_siembra[[#This Row],[Date]],2),"L","M","X","J","V","S","D")</f>
        <v>X</v>
      </c>
      <c r="R1398">
        <f>WEEKNUM(datos_siembra[[#This Row],[Date]],2)-WEEKNUM(DATE(YEAR(datos_siembra[[#This Row],[Date]]),MONTH(datos_siembra[[#This Row],[Date]]),1))+1</f>
        <v>3</v>
      </c>
      <c r="S1398">
        <f>MONTH(datos_siembra[[#This Row],[Date]])</f>
        <v>9</v>
      </c>
      <c r="T1398" t="str" cm="1">
        <f t="array" ref="T1398">_xlfn.IFS(AND(N1398&lt;= 22, S1398=9), "SOWING",AND(N1398&lt;= 28, S1398=9), "COVERAGE",AND(N1398&lt;= 30, S1398=9), "FLUSH",AND(N1398&lt;= 11, S1398=10), "FLUSH",AND(N1398&lt;= 21, S1398=10), "PRODUCTION")</f>
        <v>SOWING</v>
      </c>
      <c r="U1398">
        <f>HOUR(datos_siembra[[#This Row],[Hour]])</f>
        <v>6</v>
      </c>
      <c r="V1398" cm="1">
        <f t="array" ref="V1398">_xlfn.IFS(AND(N1398&lt;= 22, S1398=9), N1398-7,AND(N1398&lt;= 28, S1398=9), N1398-25,AND(N1398&lt;= 30, S1398=9), N1398-28,AND(N1398&lt;= 11, S1398=10), N1398+2,AND(N1398&lt;= 21, S1398=10), N1398-11)</f>
        <v>11</v>
      </c>
    </row>
    <row r="1399" spans="1:22" x14ac:dyDescent="0.35">
      <c r="A1399" s="4">
        <v>45553</v>
      </c>
      <c r="B1399" s="5">
        <v>0.26348379629629631</v>
      </c>
      <c r="C1399">
        <v>80.8</v>
      </c>
      <c r="D1399">
        <v>75.3</v>
      </c>
      <c r="E1399">
        <v>79.5</v>
      </c>
      <c r="F1399">
        <v>78.400000000000006</v>
      </c>
      <c r="G1399">
        <v>0</v>
      </c>
      <c r="H1399">
        <v>0</v>
      </c>
      <c r="I1399">
        <v>0</v>
      </c>
      <c r="J1399">
        <v>0</v>
      </c>
      <c r="K1399">
        <v>66.3</v>
      </c>
      <c r="L1399">
        <v>65.2</v>
      </c>
      <c r="M1399">
        <v>78.63</v>
      </c>
      <c r="N1399">
        <v>18</v>
      </c>
      <c r="O1399">
        <v>1</v>
      </c>
      <c r="P1399">
        <f>MOD(DAY(datos_siembra[[#This Row],[Date]]),7)</f>
        <v>4</v>
      </c>
      <c r="Q1399" t="str">
        <f>CHOOSE(WEEKDAY(datos_siembra[[#This Row],[Date]],2),"L","M","X","J","V","S","D")</f>
        <v>X</v>
      </c>
      <c r="R1399">
        <f>WEEKNUM(datos_siembra[[#This Row],[Date]],2)-WEEKNUM(DATE(YEAR(datos_siembra[[#This Row],[Date]]),MONTH(datos_siembra[[#This Row],[Date]]),1))+1</f>
        <v>3</v>
      </c>
      <c r="S1399">
        <f>MONTH(datos_siembra[[#This Row],[Date]])</f>
        <v>9</v>
      </c>
      <c r="T1399" t="str" cm="1">
        <f t="array" ref="T1399">_xlfn.IFS(AND(N1399&lt;= 22, S1399=9), "SOWING",AND(N1399&lt;= 28, S1399=9), "COVERAGE",AND(N1399&lt;= 30, S1399=9), "FLUSH",AND(N1399&lt;= 11, S1399=10), "FLUSH",AND(N1399&lt;= 21, S1399=10), "PRODUCTION")</f>
        <v>SOWING</v>
      </c>
      <c r="U1399">
        <f>HOUR(datos_siembra[[#This Row],[Hour]])</f>
        <v>6</v>
      </c>
      <c r="V1399" cm="1">
        <f t="array" ref="V1399">_xlfn.IFS(AND(N1399&lt;= 22, S1399=9), N1399-7,AND(N1399&lt;= 28, S1399=9), N1399-25,AND(N1399&lt;= 30, S1399=9), N1399-28,AND(N1399&lt;= 11, S1399=10), N1399+2,AND(N1399&lt;= 21, S1399=10), N1399-11)</f>
        <v>11</v>
      </c>
    </row>
    <row r="1400" spans="1:22" x14ac:dyDescent="0.35">
      <c r="A1400" s="4">
        <v>45553</v>
      </c>
      <c r="B1400" s="5">
        <v>0.27042824074074073</v>
      </c>
      <c r="C1400">
        <v>80.7</v>
      </c>
      <c r="D1400">
        <v>75.400000000000006</v>
      </c>
      <c r="E1400">
        <v>79.3</v>
      </c>
      <c r="F1400">
        <v>78.900000000000006</v>
      </c>
      <c r="G1400">
        <v>0</v>
      </c>
      <c r="H1400">
        <v>0</v>
      </c>
      <c r="I1400">
        <v>0</v>
      </c>
      <c r="J1400">
        <v>0</v>
      </c>
      <c r="K1400">
        <v>66.599999999999994</v>
      </c>
      <c r="L1400">
        <v>65.400000000000006</v>
      </c>
      <c r="M1400">
        <v>78.459999999999994</v>
      </c>
      <c r="N1400">
        <v>18</v>
      </c>
      <c r="O1400">
        <v>1</v>
      </c>
      <c r="P1400">
        <f>MOD(DAY(datos_siembra[[#This Row],[Date]]),7)</f>
        <v>4</v>
      </c>
      <c r="Q1400" t="str">
        <f>CHOOSE(WEEKDAY(datos_siembra[[#This Row],[Date]],2),"L","M","X","J","V","S","D")</f>
        <v>X</v>
      </c>
      <c r="R1400">
        <f>WEEKNUM(datos_siembra[[#This Row],[Date]],2)-WEEKNUM(DATE(YEAR(datos_siembra[[#This Row],[Date]]),MONTH(datos_siembra[[#This Row],[Date]]),1))+1</f>
        <v>3</v>
      </c>
      <c r="S1400">
        <f>MONTH(datos_siembra[[#This Row],[Date]])</f>
        <v>9</v>
      </c>
      <c r="T1400" t="str" cm="1">
        <f t="array" ref="T1400">_xlfn.IFS(AND(N1400&lt;= 22, S1400=9), "SOWING",AND(N1400&lt;= 28, S1400=9), "COVERAGE",AND(N1400&lt;= 30, S1400=9), "FLUSH",AND(N1400&lt;= 11, S1400=10), "FLUSH",AND(N1400&lt;= 21, S1400=10), "PRODUCTION")</f>
        <v>SOWING</v>
      </c>
      <c r="U1400">
        <f>HOUR(datos_siembra[[#This Row],[Hour]])</f>
        <v>6</v>
      </c>
      <c r="V1400" cm="1">
        <f t="array" ref="V1400">_xlfn.IFS(AND(N1400&lt;= 22, S1400=9), N1400-7,AND(N1400&lt;= 28, S1400=9), N1400-25,AND(N1400&lt;= 30, S1400=9), N1400-28,AND(N1400&lt;= 11, S1400=10), N1400+2,AND(N1400&lt;= 21, S1400=10), N1400-11)</f>
        <v>11</v>
      </c>
    </row>
    <row r="1401" spans="1:22" x14ac:dyDescent="0.35">
      <c r="A1401" s="4">
        <v>45553</v>
      </c>
      <c r="B1401" s="5">
        <v>0.27737268518518521</v>
      </c>
      <c r="C1401">
        <v>80.8</v>
      </c>
      <c r="D1401">
        <v>75.3</v>
      </c>
      <c r="E1401">
        <v>79.3</v>
      </c>
      <c r="F1401">
        <v>78.900000000000006</v>
      </c>
      <c r="G1401">
        <v>0</v>
      </c>
      <c r="H1401">
        <v>0</v>
      </c>
      <c r="I1401">
        <v>0</v>
      </c>
      <c r="J1401">
        <v>0</v>
      </c>
      <c r="K1401">
        <v>66.599999999999994</v>
      </c>
      <c r="L1401">
        <v>65.599999999999994</v>
      </c>
      <c r="M1401">
        <v>78.489999999999995</v>
      </c>
      <c r="N1401">
        <v>18</v>
      </c>
      <c r="O1401">
        <v>1</v>
      </c>
      <c r="P1401">
        <f>MOD(DAY(datos_siembra[[#This Row],[Date]]),7)</f>
        <v>4</v>
      </c>
      <c r="Q1401" t="str">
        <f>CHOOSE(WEEKDAY(datos_siembra[[#This Row],[Date]],2),"L","M","X","J","V","S","D")</f>
        <v>X</v>
      </c>
      <c r="R1401">
        <f>WEEKNUM(datos_siembra[[#This Row],[Date]],2)-WEEKNUM(DATE(YEAR(datos_siembra[[#This Row],[Date]]),MONTH(datos_siembra[[#This Row],[Date]]),1))+1</f>
        <v>3</v>
      </c>
      <c r="S1401">
        <f>MONTH(datos_siembra[[#This Row],[Date]])</f>
        <v>9</v>
      </c>
      <c r="T1401" t="str" cm="1">
        <f t="array" ref="T1401">_xlfn.IFS(AND(N1401&lt;= 22, S1401=9), "SOWING",AND(N1401&lt;= 28, S1401=9), "COVERAGE",AND(N1401&lt;= 30, S1401=9), "FLUSH",AND(N1401&lt;= 11, S1401=10), "FLUSH",AND(N1401&lt;= 21, S1401=10), "PRODUCTION")</f>
        <v>SOWING</v>
      </c>
      <c r="U1401">
        <f>HOUR(datos_siembra[[#This Row],[Hour]])</f>
        <v>6</v>
      </c>
      <c r="V1401" cm="1">
        <f t="array" ref="V1401">_xlfn.IFS(AND(N1401&lt;= 22, S1401=9), N1401-7,AND(N1401&lt;= 28, S1401=9), N1401-25,AND(N1401&lt;= 30, S1401=9), N1401-28,AND(N1401&lt;= 11, S1401=10), N1401+2,AND(N1401&lt;= 21, S1401=10), N1401-11)</f>
        <v>11</v>
      </c>
    </row>
    <row r="1402" spans="1:22" x14ac:dyDescent="0.35">
      <c r="A1402" s="4">
        <v>45553</v>
      </c>
      <c r="B1402" s="5">
        <v>0.28431712962962963</v>
      </c>
      <c r="C1402">
        <v>80.7</v>
      </c>
      <c r="D1402">
        <v>75.5</v>
      </c>
      <c r="E1402">
        <v>79.400000000000006</v>
      </c>
      <c r="F1402">
        <v>78.599999999999994</v>
      </c>
      <c r="G1402">
        <v>0</v>
      </c>
      <c r="H1402">
        <v>0</v>
      </c>
      <c r="I1402">
        <v>0</v>
      </c>
      <c r="J1402">
        <v>0</v>
      </c>
      <c r="K1402">
        <v>66.8</v>
      </c>
      <c r="L1402">
        <v>65.599999999999994</v>
      </c>
      <c r="M1402">
        <v>78.66</v>
      </c>
      <c r="N1402">
        <v>18</v>
      </c>
      <c r="O1402">
        <v>1</v>
      </c>
      <c r="P1402">
        <f>MOD(DAY(datos_siembra[[#This Row],[Date]]),7)</f>
        <v>4</v>
      </c>
      <c r="Q1402" t="str">
        <f>CHOOSE(WEEKDAY(datos_siembra[[#This Row],[Date]],2),"L","M","X","J","V","S","D")</f>
        <v>X</v>
      </c>
      <c r="R1402">
        <f>WEEKNUM(datos_siembra[[#This Row],[Date]],2)-WEEKNUM(DATE(YEAR(datos_siembra[[#This Row],[Date]]),MONTH(datos_siembra[[#This Row],[Date]]),1))+1</f>
        <v>3</v>
      </c>
      <c r="S1402">
        <f>MONTH(datos_siembra[[#This Row],[Date]])</f>
        <v>9</v>
      </c>
      <c r="T1402" t="str" cm="1">
        <f t="array" ref="T1402">_xlfn.IFS(AND(N1402&lt;= 22, S1402=9), "SOWING",AND(N1402&lt;= 28, S1402=9), "COVERAGE",AND(N1402&lt;= 30, S1402=9), "FLUSH",AND(N1402&lt;= 11, S1402=10), "FLUSH",AND(N1402&lt;= 21, S1402=10), "PRODUCTION")</f>
        <v>SOWING</v>
      </c>
      <c r="U1402">
        <f>HOUR(datos_siembra[[#This Row],[Hour]])</f>
        <v>6</v>
      </c>
      <c r="V1402" cm="1">
        <f t="array" ref="V1402">_xlfn.IFS(AND(N1402&lt;= 22, S1402=9), N1402-7,AND(N1402&lt;= 28, S1402=9), N1402-25,AND(N1402&lt;= 30, S1402=9), N1402-28,AND(N1402&lt;= 11, S1402=10), N1402+2,AND(N1402&lt;= 21, S1402=10), N1402-11)</f>
        <v>11</v>
      </c>
    </row>
    <row r="1403" spans="1:22" x14ac:dyDescent="0.35">
      <c r="A1403" s="4">
        <v>45553</v>
      </c>
      <c r="B1403" s="5">
        <v>0.29127314814814814</v>
      </c>
      <c r="C1403">
        <v>80.599999999999994</v>
      </c>
      <c r="D1403">
        <v>75.400000000000006</v>
      </c>
      <c r="E1403">
        <v>79.400000000000006</v>
      </c>
      <c r="F1403">
        <v>78.7</v>
      </c>
      <c r="G1403">
        <v>0</v>
      </c>
      <c r="H1403">
        <v>0</v>
      </c>
      <c r="I1403">
        <v>0</v>
      </c>
      <c r="J1403">
        <v>0</v>
      </c>
      <c r="K1403">
        <v>66.900000000000006</v>
      </c>
      <c r="L1403">
        <v>65.8</v>
      </c>
      <c r="M1403">
        <v>78.77</v>
      </c>
      <c r="N1403">
        <v>18</v>
      </c>
      <c r="O1403">
        <v>1</v>
      </c>
      <c r="P1403">
        <f>MOD(DAY(datos_siembra[[#This Row],[Date]]),7)</f>
        <v>4</v>
      </c>
      <c r="Q1403" t="str">
        <f>CHOOSE(WEEKDAY(datos_siembra[[#This Row],[Date]],2),"L","M","X","J","V","S","D")</f>
        <v>X</v>
      </c>
      <c r="R1403">
        <f>WEEKNUM(datos_siembra[[#This Row],[Date]],2)-WEEKNUM(DATE(YEAR(datos_siembra[[#This Row],[Date]]),MONTH(datos_siembra[[#This Row],[Date]]),1))+1</f>
        <v>3</v>
      </c>
      <c r="S1403">
        <f>MONTH(datos_siembra[[#This Row],[Date]])</f>
        <v>9</v>
      </c>
      <c r="T1403" t="str" cm="1">
        <f t="array" ref="T1403">_xlfn.IFS(AND(N1403&lt;= 22, S1403=9), "SOWING",AND(N1403&lt;= 28, S1403=9), "COVERAGE",AND(N1403&lt;= 30, S1403=9), "FLUSH",AND(N1403&lt;= 11, S1403=10), "FLUSH",AND(N1403&lt;= 21, S1403=10), "PRODUCTION")</f>
        <v>SOWING</v>
      </c>
      <c r="U1403">
        <f>HOUR(datos_siembra[[#This Row],[Hour]])</f>
        <v>6</v>
      </c>
      <c r="V1403" cm="1">
        <f t="array" ref="V1403">_xlfn.IFS(AND(N1403&lt;= 22, S1403=9), N1403-7,AND(N1403&lt;= 28, S1403=9), N1403-25,AND(N1403&lt;= 30, S1403=9), N1403-28,AND(N1403&lt;= 11, S1403=10), N1403+2,AND(N1403&lt;= 21, S1403=10), N1403-11)</f>
        <v>11</v>
      </c>
    </row>
    <row r="1404" spans="1:22" x14ac:dyDescent="0.35">
      <c r="A1404" s="4">
        <v>45553</v>
      </c>
      <c r="B1404" s="5">
        <v>0.29821759259259262</v>
      </c>
      <c r="C1404">
        <v>80.8</v>
      </c>
      <c r="D1404">
        <v>75.400000000000006</v>
      </c>
      <c r="E1404">
        <v>79.3</v>
      </c>
      <c r="F1404">
        <v>78.400000000000006</v>
      </c>
      <c r="G1404">
        <v>0</v>
      </c>
      <c r="H1404">
        <v>0</v>
      </c>
      <c r="I1404">
        <v>0</v>
      </c>
      <c r="J1404">
        <v>0</v>
      </c>
      <c r="K1404">
        <v>67.099999999999994</v>
      </c>
      <c r="L1404">
        <v>65.900000000000006</v>
      </c>
      <c r="M1404">
        <v>78.489999999999995</v>
      </c>
      <c r="N1404">
        <v>18</v>
      </c>
      <c r="O1404">
        <v>1</v>
      </c>
      <c r="P1404">
        <f>MOD(DAY(datos_siembra[[#This Row],[Date]]),7)</f>
        <v>4</v>
      </c>
      <c r="Q1404" t="str">
        <f>CHOOSE(WEEKDAY(datos_siembra[[#This Row],[Date]],2),"L","M","X","J","V","S","D")</f>
        <v>X</v>
      </c>
      <c r="R1404">
        <f>WEEKNUM(datos_siembra[[#This Row],[Date]],2)-WEEKNUM(DATE(YEAR(datos_siembra[[#This Row],[Date]]),MONTH(datos_siembra[[#This Row],[Date]]),1))+1</f>
        <v>3</v>
      </c>
      <c r="S1404">
        <f>MONTH(datos_siembra[[#This Row],[Date]])</f>
        <v>9</v>
      </c>
      <c r="T1404" t="str" cm="1">
        <f t="array" ref="T1404">_xlfn.IFS(AND(N1404&lt;= 22, S1404=9), "SOWING",AND(N1404&lt;= 28, S1404=9), "COVERAGE",AND(N1404&lt;= 30, S1404=9), "FLUSH",AND(N1404&lt;= 11, S1404=10), "FLUSH",AND(N1404&lt;= 21, S1404=10), "PRODUCTION")</f>
        <v>SOWING</v>
      </c>
      <c r="U1404">
        <f>HOUR(datos_siembra[[#This Row],[Hour]])</f>
        <v>7</v>
      </c>
      <c r="V1404" cm="1">
        <f t="array" ref="V1404">_xlfn.IFS(AND(N1404&lt;= 22, S1404=9), N1404-7,AND(N1404&lt;= 28, S1404=9), N1404-25,AND(N1404&lt;= 30, S1404=9), N1404-28,AND(N1404&lt;= 11, S1404=10), N1404+2,AND(N1404&lt;= 21, S1404=10), N1404-11)</f>
        <v>11</v>
      </c>
    </row>
    <row r="1405" spans="1:22" x14ac:dyDescent="0.35">
      <c r="A1405" s="4">
        <v>45553</v>
      </c>
      <c r="B1405" s="5">
        <v>0.30516203703703704</v>
      </c>
      <c r="C1405">
        <v>80.8</v>
      </c>
      <c r="D1405">
        <v>75.400000000000006</v>
      </c>
      <c r="E1405">
        <v>79.400000000000006</v>
      </c>
      <c r="F1405">
        <v>79</v>
      </c>
      <c r="G1405">
        <v>0</v>
      </c>
      <c r="H1405">
        <v>0</v>
      </c>
      <c r="I1405">
        <v>0</v>
      </c>
      <c r="J1405">
        <v>0</v>
      </c>
      <c r="K1405">
        <v>67.099999999999994</v>
      </c>
      <c r="L1405">
        <v>66.099999999999994</v>
      </c>
      <c r="M1405">
        <v>78.77</v>
      </c>
      <c r="N1405">
        <v>18</v>
      </c>
      <c r="O1405">
        <v>1</v>
      </c>
      <c r="P1405">
        <f>MOD(DAY(datos_siembra[[#This Row],[Date]]),7)</f>
        <v>4</v>
      </c>
      <c r="Q1405" t="str">
        <f>CHOOSE(WEEKDAY(datos_siembra[[#This Row],[Date]],2),"L","M","X","J","V","S","D")</f>
        <v>X</v>
      </c>
      <c r="R1405">
        <f>WEEKNUM(datos_siembra[[#This Row],[Date]],2)-WEEKNUM(DATE(YEAR(datos_siembra[[#This Row],[Date]]),MONTH(datos_siembra[[#This Row],[Date]]),1))+1</f>
        <v>3</v>
      </c>
      <c r="S1405">
        <f>MONTH(datos_siembra[[#This Row],[Date]])</f>
        <v>9</v>
      </c>
      <c r="T1405" t="str" cm="1">
        <f t="array" ref="T1405">_xlfn.IFS(AND(N1405&lt;= 22, S1405=9), "SOWING",AND(N1405&lt;= 28, S1405=9), "COVERAGE",AND(N1405&lt;= 30, S1405=9), "FLUSH",AND(N1405&lt;= 11, S1405=10), "FLUSH",AND(N1405&lt;= 21, S1405=10), "PRODUCTION")</f>
        <v>SOWING</v>
      </c>
      <c r="U1405">
        <f>HOUR(datos_siembra[[#This Row],[Hour]])</f>
        <v>7</v>
      </c>
      <c r="V1405" cm="1">
        <f t="array" ref="V1405">_xlfn.IFS(AND(N1405&lt;= 22, S1405=9), N1405-7,AND(N1405&lt;= 28, S1405=9), N1405-25,AND(N1405&lt;= 30, S1405=9), N1405-28,AND(N1405&lt;= 11, S1405=10), N1405+2,AND(N1405&lt;= 21, S1405=10), N1405-11)</f>
        <v>11</v>
      </c>
    </row>
    <row r="1406" spans="1:22" x14ac:dyDescent="0.35">
      <c r="A1406" s="4">
        <v>45553</v>
      </c>
      <c r="B1406" s="5">
        <v>0.31211805555555555</v>
      </c>
      <c r="C1406">
        <v>80.8</v>
      </c>
      <c r="D1406">
        <v>75.400000000000006</v>
      </c>
      <c r="E1406">
        <v>79.5</v>
      </c>
      <c r="F1406">
        <v>78.8</v>
      </c>
      <c r="G1406">
        <v>0</v>
      </c>
      <c r="H1406">
        <v>0</v>
      </c>
      <c r="I1406">
        <v>0</v>
      </c>
      <c r="J1406">
        <v>0</v>
      </c>
      <c r="K1406">
        <v>67.3</v>
      </c>
      <c r="L1406">
        <v>66.099999999999994</v>
      </c>
      <c r="M1406">
        <v>78.83</v>
      </c>
      <c r="N1406">
        <v>18</v>
      </c>
      <c r="O1406">
        <v>1</v>
      </c>
      <c r="P1406">
        <f>MOD(DAY(datos_siembra[[#This Row],[Date]]),7)</f>
        <v>4</v>
      </c>
      <c r="Q1406" t="str">
        <f>CHOOSE(WEEKDAY(datos_siembra[[#This Row],[Date]],2),"L","M","X","J","V","S","D")</f>
        <v>X</v>
      </c>
      <c r="R1406">
        <f>WEEKNUM(datos_siembra[[#This Row],[Date]],2)-WEEKNUM(DATE(YEAR(datos_siembra[[#This Row],[Date]]),MONTH(datos_siembra[[#This Row],[Date]]),1))+1</f>
        <v>3</v>
      </c>
      <c r="S1406">
        <f>MONTH(datos_siembra[[#This Row],[Date]])</f>
        <v>9</v>
      </c>
      <c r="T1406" t="str" cm="1">
        <f t="array" ref="T1406">_xlfn.IFS(AND(N1406&lt;= 22, S1406=9), "SOWING",AND(N1406&lt;= 28, S1406=9), "COVERAGE",AND(N1406&lt;= 30, S1406=9), "FLUSH",AND(N1406&lt;= 11, S1406=10), "FLUSH",AND(N1406&lt;= 21, S1406=10), "PRODUCTION")</f>
        <v>SOWING</v>
      </c>
      <c r="U1406">
        <f>HOUR(datos_siembra[[#This Row],[Hour]])</f>
        <v>7</v>
      </c>
      <c r="V1406" cm="1">
        <f t="array" ref="V1406">_xlfn.IFS(AND(N1406&lt;= 22, S1406=9), N1406-7,AND(N1406&lt;= 28, S1406=9), N1406-25,AND(N1406&lt;= 30, S1406=9), N1406-28,AND(N1406&lt;= 11, S1406=10), N1406+2,AND(N1406&lt;= 21, S1406=10), N1406-11)</f>
        <v>11</v>
      </c>
    </row>
    <row r="1407" spans="1:22" x14ac:dyDescent="0.35">
      <c r="A1407" s="4">
        <v>45553</v>
      </c>
      <c r="B1407" s="5">
        <v>0.31906250000000003</v>
      </c>
      <c r="C1407">
        <v>80.7</v>
      </c>
      <c r="D1407">
        <v>75.400000000000006</v>
      </c>
      <c r="E1407">
        <v>79.3</v>
      </c>
      <c r="F1407">
        <v>78.900000000000006</v>
      </c>
      <c r="G1407">
        <v>0</v>
      </c>
      <c r="H1407">
        <v>0</v>
      </c>
      <c r="I1407">
        <v>0</v>
      </c>
      <c r="J1407">
        <v>0</v>
      </c>
      <c r="K1407">
        <v>67.400000000000006</v>
      </c>
      <c r="L1407">
        <v>66.3</v>
      </c>
      <c r="M1407">
        <v>78.66</v>
      </c>
      <c r="N1407">
        <v>18</v>
      </c>
      <c r="O1407">
        <v>1</v>
      </c>
      <c r="P1407">
        <f>MOD(DAY(datos_siembra[[#This Row],[Date]]),7)</f>
        <v>4</v>
      </c>
      <c r="Q1407" t="str">
        <f>CHOOSE(WEEKDAY(datos_siembra[[#This Row],[Date]],2),"L","M","X","J","V","S","D")</f>
        <v>X</v>
      </c>
      <c r="R1407">
        <f>WEEKNUM(datos_siembra[[#This Row],[Date]],2)-WEEKNUM(DATE(YEAR(datos_siembra[[#This Row],[Date]]),MONTH(datos_siembra[[#This Row],[Date]]),1))+1</f>
        <v>3</v>
      </c>
      <c r="S1407">
        <f>MONTH(datos_siembra[[#This Row],[Date]])</f>
        <v>9</v>
      </c>
      <c r="T1407" t="str" cm="1">
        <f t="array" ref="T1407">_xlfn.IFS(AND(N1407&lt;= 22, S1407=9), "SOWING",AND(N1407&lt;= 28, S1407=9), "COVERAGE",AND(N1407&lt;= 30, S1407=9), "FLUSH",AND(N1407&lt;= 11, S1407=10), "FLUSH",AND(N1407&lt;= 21, S1407=10), "PRODUCTION")</f>
        <v>SOWING</v>
      </c>
      <c r="U1407">
        <f>HOUR(datos_siembra[[#This Row],[Hour]])</f>
        <v>7</v>
      </c>
      <c r="V1407" cm="1">
        <f t="array" ref="V1407">_xlfn.IFS(AND(N1407&lt;= 22, S1407=9), N1407-7,AND(N1407&lt;= 28, S1407=9), N1407-25,AND(N1407&lt;= 30, S1407=9), N1407-28,AND(N1407&lt;= 11, S1407=10), N1407+2,AND(N1407&lt;= 21, S1407=10), N1407-11)</f>
        <v>11</v>
      </c>
    </row>
    <row r="1408" spans="1:22" x14ac:dyDescent="0.35">
      <c r="A1408" s="4">
        <v>45553</v>
      </c>
      <c r="B1408" s="5">
        <v>0.32600694444444445</v>
      </c>
      <c r="C1408">
        <v>80.7</v>
      </c>
      <c r="D1408">
        <v>75.400000000000006</v>
      </c>
      <c r="E1408">
        <v>79.3</v>
      </c>
      <c r="F1408">
        <v>78.8</v>
      </c>
      <c r="G1408">
        <v>0</v>
      </c>
      <c r="H1408">
        <v>0</v>
      </c>
      <c r="I1408">
        <v>0</v>
      </c>
      <c r="J1408">
        <v>0</v>
      </c>
      <c r="K1408">
        <v>67.599999999999994</v>
      </c>
      <c r="L1408">
        <v>66.3</v>
      </c>
      <c r="M1408">
        <v>78.55</v>
      </c>
      <c r="N1408">
        <v>18</v>
      </c>
      <c r="O1408">
        <v>1</v>
      </c>
      <c r="P1408">
        <f>MOD(DAY(datos_siembra[[#This Row],[Date]]),7)</f>
        <v>4</v>
      </c>
      <c r="Q1408" t="str">
        <f>CHOOSE(WEEKDAY(datos_siembra[[#This Row],[Date]],2),"L","M","X","J","V","S","D")</f>
        <v>X</v>
      </c>
      <c r="R1408">
        <f>WEEKNUM(datos_siembra[[#This Row],[Date]],2)-WEEKNUM(DATE(YEAR(datos_siembra[[#This Row],[Date]]),MONTH(datos_siembra[[#This Row],[Date]]),1))+1</f>
        <v>3</v>
      </c>
      <c r="S1408">
        <f>MONTH(datos_siembra[[#This Row],[Date]])</f>
        <v>9</v>
      </c>
      <c r="T1408" t="str" cm="1">
        <f t="array" ref="T1408">_xlfn.IFS(AND(N1408&lt;= 22, S1408=9), "SOWING",AND(N1408&lt;= 28, S1408=9), "COVERAGE",AND(N1408&lt;= 30, S1408=9), "FLUSH",AND(N1408&lt;= 11, S1408=10), "FLUSH",AND(N1408&lt;= 21, S1408=10), "PRODUCTION")</f>
        <v>SOWING</v>
      </c>
      <c r="U1408">
        <f>HOUR(datos_siembra[[#This Row],[Hour]])</f>
        <v>7</v>
      </c>
      <c r="V1408" cm="1">
        <f t="array" ref="V1408">_xlfn.IFS(AND(N1408&lt;= 22, S1408=9), N1408-7,AND(N1408&lt;= 28, S1408=9), N1408-25,AND(N1408&lt;= 30, S1408=9), N1408-28,AND(N1408&lt;= 11, S1408=10), N1408+2,AND(N1408&lt;= 21, S1408=10), N1408-11)</f>
        <v>11</v>
      </c>
    </row>
    <row r="1409" spans="1:22" x14ac:dyDescent="0.35">
      <c r="A1409" s="4">
        <v>45553</v>
      </c>
      <c r="B1409" s="5">
        <v>0.33295138888888887</v>
      </c>
      <c r="C1409">
        <v>80.599999999999994</v>
      </c>
      <c r="D1409">
        <v>75.5</v>
      </c>
      <c r="E1409">
        <v>79.400000000000006</v>
      </c>
      <c r="F1409">
        <v>78.599999999999994</v>
      </c>
      <c r="G1409">
        <v>0</v>
      </c>
      <c r="H1409">
        <v>0</v>
      </c>
      <c r="I1409">
        <v>0</v>
      </c>
      <c r="J1409">
        <v>0</v>
      </c>
      <c r="K1409">
        <v>67.599999999999994</v>
      </c>
      <c r="L1409">
        <v>66.5</v>
      </c>
      <c r="M1409">
        <v>78.489999999999995</v>
      </c>
      <c r="N1409">
        <v>18</v>
      </c>
      <c r="O1409">
        <v>1</v>
      </c>
      <c r="P1409">
        <f>MOD(DAY(datos_siembra[[#This Row],[Date]]),7)</f>
        <v>4</v>
      </c>
      <c r="Q1409" t="str">
        <f>CHOOSE(WEEKDAY(datos_siembra[[#This Row],[Date]],2),"L","M","X","J","V","S","D")</f>
        <v>X</v>
      </c>
      <c r="R1409">
        <f>WEEKNUM(datos_siembra[[#This Row],[Date]],2)-WEEKNUM(DATE(YEAR(datos_siembra[[#This Row],[Date]]),MONTH(datos_siembra[[#This Row],[Date]]),1))+1</f>
        <v>3</v>
      </c>
      <c r="S1409">
        <f>MONTH(datos_siembra[[#This Row],[Date]])</f>
        <v>9</v>
      </c>
      <c r="T1409" t="str" cm="1">
        <f t="array" ref="T1409">_xlfn.IFS(AND(N1409&lt;= 22, S1409=9), "SOWING",AND(N1409&lt;= 28, S1409=9), "COVERAGE",AND(N1409&lt;= 30, S1409=9), "FLUSH",AND(N1409&lt;= 11, S1409=10), "FLUSH",AND(N1409&lt;= 21, S1409=10), "PRODUCTION")</f>
        <v>SOWING</v>
      </c>
      <c r="U1409">
        <f>HOUR(datos_siembra[[#This Row],[Hour]])</f>
        <v>7</v>
      </c>
      <c r="V1409" cm="1">
        <f t="array" ref="V1409">_xlfn.IFS(AND(N1409&lt;= 22, S1409=9), N1409-7,AND(N1409&lt;= 28, S1409=9), N1409-25,AND(N1409&lt;= 30, S1409=9), N1409-28,AND(N1409&lt;= 11, S1409=10), N1409+2,AND(N1409&lt;= 21, S1409=10), N1409-11)</f>
        <v>11</v>
      </c>
    </row>
    <row r="1410" spans="1:22" x14ac:dyDescent="0.35">
      <c r="A1410" s="4">
        <v>45553</v>
      </c>
      <c r="B1410" s="5">
        <v>0.33990740740740738</v>
      </c>
      <c r="C1410">
        <v>80.7</v>
      </c>
      <c r="D1410">
        <v>75.3</v>
      </c>
      <c r="E1410">
        <v>79.3</v>
      </c>
      <c r="F1410">
        <v>79.099999999999994</v>
      </c>
      <c r="G1410">
        <v>0</v>
      </c>
      <c r="H1410">
        <v>0</v>
      </c>
      <c r="I1410">
        <v>0</v>
      </c>
      <c r="J1410">
        <v>0</v>
      </c>
      <c r="K1410">
        <v>67.7</v>
      </c>
      <c r="L1410">
        <v>66.5</v>
      </c>
      <c r="M1410">
        <v>78.599999999999994</v>
      </c>
      <c r="N1410">
        <v>18</v>
      </c>
      <c r="O1410">
        <v>1</v>
      </c>
      <c r="P1410">
        <f>MOD(DAY(datos_siembra[[#This Row],[Date]]),7)</f>
        <v>4</v>
      </c>
      <c r="Q1410" t="str">
        <f>CHOOSE(WEEKDAY(datos_siembra[[#This Row],[Date]],2),"L","M","X","J","V","S","D")</f>
        <v>X</v>
      </c>
      <c r="R1410">
        <f>WEEKNUM(datos_siembra[[#This Row],[Date]],2)-WEEKNUM(DATE(YEAR(datos_siembra[[#This Row],[Date]]),MONTH(datos_siembra[[#This Row],[Date]]),1))+1</f>
        <v>3</v>
      </c>
      <c r="S1410">
        <f>MONTH(datos_siembra[[#This Row],[Date]])</f>
        <v>9</v>
      </c>
      <c r="T1410" t="str" cm="1">
        <f t="array" ref="T1410">_xlfn.IFS(AND(N1410&lt;= 22, S1410=9), "SOWING",AND(N1410&lt;= 28, S1410=9), "COVERAGE",AND(N1410&lt;= 30, S1410=9), "FLUSH",AND(N1410&lt;= 11, S1410=10), "FLUSH",AND(N1410&lt;= 21, S1410=10), "PRODUCTION")</f>
        <v>SOWING</v>
      </c>
      <c r="U1410">
        <f>HOUR(datos_siembra[[#This Row],[Hour]])</f>
        <v>8</v>
      </c>
      <c r="V1410" cm="1">
        <f t="array" ref="V1410">_xlfn.IFS(AND(N1410&lt;= 22, S1410=9), N1410-7,AND(N1410&lt;= 28, S1410=9), N1410-25,AND(N1410&lt;= 30, S1410=9), N1410-28,AND(N1410&lt;= 11, S1410=10), N1410+2,AND(N1410&lt;= 21, S1410=10), N1410-11)</f>
        <v>11</v>
      </c>
    </row>
    <row r="1411" spans="1:22" x14ac:dyDescent="0.35">
      <c r="A1411" s="4">
        <v>45553</v>
      </c>
      <c r="B1411" s="5">
        <v>0.34685185185185186</v>
      </c>
      <c r="C1411">
        <v>80.7</v>
      </c>
      <c r="D1411">
        <v>75.400000000000006</v>
      </c>
      <c r="E1411">
        <v>79.5</v>
      </c>
      <c r="F1411">
        <v>78.599999999999994</v>
      </c>
      <c r="G1411">
        <v>0</v>
      </c>
      <c r="H1411">
        <v>0</v>
      </c>
      <c r="I1411">
        <v>0</v>
      </c>
      <c r="J1411">
        <v>0</v>
      </c>
      <c r="K1411">
        <v>67.8</v>
      </c>
      <c r="L1411">
        <v>66.599999999999994</v>
      </c>
      <c r="M1411">
        <v>78.69</v>
      </c>
      <c r="N1411">
        <v>18</v>
      </c>
      <c r="O1411">
        <v>1</v>
      </c>
      <c r="P1411">
        <f>MOD(DAY(datos_siembra[[#This Row],[Date]]),7)</f>
        <v>4</v>
      </c>
      <c r="Q1411" t="str">
        <f>CHOOSE(WEEKDAY(datos_siembra[[#This Row],[Date]],2),"L","M","X","J","V","S","D")</f>
        <v>X</v>
      </c>
      <c r="R1411">
        <f>WEEKNUM(datos_siembra[[#This Row],[Date]],2)-WEEKNUM(DATE(YEAR(datos_siembra[[#This Row],[Date]]),MONTH(datos_siembra[[#This Row],[Date]]),1))+1</f>
        <v>3</v>
      </c>
      <c r="S1411">
        <f>MONTH(datos_siembra[[#This Row],[Date]])</f>
        <v>9</v>
      </c>
      <c r="T1411" t="str" cm="1">
        <f t="array" ref="T1411">_xlfn.IFS(AND(N1411&lt;= 22, S1411=9), "SOWING",AND(N1411&lt;= 28, S1411=9), "COVERAGE",AND(N1411&lt;= 30, S1411=9), "FLUSH",AND(N1411&lt;= 11, S1411=10), "FLUSH",AND(N1411&lt;= 21, S1411=10), "PRODUCTION")</f>
        <v>SOWING</v>
      </c>
      <c r="U1411">
        <f>HOUR(datos_siembra[[#This Row],[Hour]])</f>
        <v>8</v>
      </c>
      <c r="V1411" cm="1">
        <f t="array" ref="V1411">_xlfn.IFS(AND(N1411&lt;= 22, S1411=9), N1411-7,AND(N1411&lt;= 28, S1411=9), N1411-25,AND(N1411&lt;= 30, S1411=9), N1411-28,AND(N1411&lt;= 11, S1411=10), N1411+2,AND(N1411&lt;= 21, S1411=10), N1411-11)</f>
        <v>11</v>
      </c>
    </row>
    <row r="1412" spans="1:22" x14ac:dyDescent="0.35">
      <c r="A1412" s="4">
        <v>45553</v>
      </c>
      <c r="B1412" s="5">
        <v>0.35379629629629628</v>
      </c>
      <c r="C1412">
        <v>80.7</v>
      </c>
      <c r="D1412">
        <v>75.400000000000006</v>
      </c>
      <c r="E1412">
        <v>79.400000000000006</v>
      </c>
      <c r="F1412">
        <v>79.400000000000006</v>
      </c>
      <c r="G1412">
        <v>0</v>
      </c>
      <c r="H1412">
        <v>0</v>
      </c>
      <c r="I1412">
        <v>0</v>
      </c>
      <c r="J1412">
        <v>0</v>
      </c>
      <c r="K1412">
        <v>67.900000000000006</v>
      </c>
      <c r="L1412">
        <v>66.8</v>
      </c>
      <c r="M1412">
        <v>78.77</v>
      </c>
      <c r="N1412">
        <v>18</v>
      </c>
      <c r="O1412">
        <v>1</v>
      </c>
      <c r="P1412">
        <f>MOD(DAY(datos_siembra[[#This Row],[Date]]),7)</f>
        <v>4</v>
      </c>
      <c r="Q1412" t="str">
        <f>CHOOSE(WEEKDAY(datos_siembra[[#This Row],[Date]],2),"L","M","X","J","V","S","D")</f>
        <v>X</v>
      </c>
      <c r="R1412">
        <f>WEEKNUM(datos_siembra[[#This Row],[Date]],2)-WEEKNUM(DATE(YEAR(datos_siembra[[#This Row],[Date]]),MONTH(datos_siembra[[#This Row],[Date]]),1))+1</f>
        <v>3</v>
      </c>
      <c r="S1412">
        <f>MONTH(datos_siembra[[#This Row],[Date]])</f>
        <v>9</v>
      </c>
      <c r="T1412" t="str" cm="1">
        <f t="array" ref="T1412">_xlfn.IFS(AND(N1412&lt;= 22, S1412=9), "SOWING",AND(N1412&lt;= 28, S1412=9), "COVERAGE",AND(N1412&lt;= 30, S1412=9), "FLUSH",AND(N1412&lt;= 11, S1412=10), "FLUSH",AND(N1412&lt;= 21, S1412=10), "PRODUCTION")</f>
        <v>SOWING</v>
      </c>
      <c r="U1412">
        <f>HOUR(datos_siembra[[#This Row],[Hour]])</f>
        <v>8</v>
      </c>
      <c r="V1412" cm="1">
        <f t="array" ref="V1412">_xlfn.IFS(AND(N1412&lt;= 22, S1412=9), N1412-7,AND(N1412&lt;= 28, S1412=9), N1412-25,AND(N1412&lt;= 30, S1412=9), N1412-28,AND(N1412&lt;= 11, S1412=10), N1412+2,AND(N1412&lt;= 21, S1412=10), N1412-11)</f>
        <v>11</v>
      </c>
    </row>
    <row r="1413" spans="1:22" x14ac:dyDescent="0.35">
      <c r="A1413" s="4">
        <v>45553</v>
      </c>
      <c r="B1413" s="5">
        <v>0.36074074074074075</v>
      </c>
      <c r="C1413">
        <v>80.599999999999994</v>
      </c>
      <c r="D1413">
        <v>75.400000000000006</v>
      </c>
      <c r="E1413">
        <v>79.5</v>
      </c>
      <c r="F1413">
        <v>79</v>
      </c>
      <c r="G1413">
        <v>0</v>
      </c>
      <c r="H1413">
        <v>0</v>
      </c>
      <c r="I1413">
        <v>0</v>
      </c>
      <c r="J1413">
        <v>0</v>
      </c>
      <c r="K1413">
        <v>68</v>
      </c>
      <c r="L1413">
        <v>66.900000000000006</v>
      </c>
      <c r="M1413">
        <v>78.41</v>
      </c>
      <c r="N1413">
        <v>18</v>
      </c>
      <c r="O1413">
        <v>1</v>
      </c>
      <c r="P1413">
        <f>MOD(DAY(datos_siembra[[#This Row],[Date]]),7)</f>
        <v>4</v>
      </c>
      <c r="Q1413" t="str">
        <f>CHOOSE(WEEKDAY(datos_siembra[[#This Row],[Date]],2),"L","M","X","J","V","S","D")</f>
        <v>X</v>
      </c>
      <c r="R1413">
        <f>WEEKNUM(datos_siembra[[#This Row],[Date]],2)-WEEKNUM(DATE(YEAR(datos_siembra[[#This Row],[Date]]),MONTH(datos_siembra[[#This Row],[Date]]),1))+1</f>
        <v>3</v>
      </c>
      <c r="S1413">
        <f>MONTH(datos_siembra[[#This Row],[Date]])</f>
        <v>9</v>
      </c>
      <c r="T1413" t="str" cm="1">
        <f t="array" ref="T1413">_xlfn.IFS(AND(N1413&lt;= 22, S1413=9), "SOWING",AND(N1413&lt;= 28, S1413=9), "COVERAGE",AND(N1413&lt;= 30, S1413=9), "FLUSH",AND(N1413&lt;= 11, S1413=10), "FLUSH",AND(N1413&lt;= 21, S1413=10), "PRODUCTION")</f>
        <v>SOWING</v>
      </c>
      <c r="U1413">
        <f>HOUR(datos_siembra[[#This Row],[Hour]])</f>
        <v>8</v>
      </c>
      <c r="V1413" cm="1">
        <f t="array" ref="V1413">_xlfn.IFS(AND(N1413&lt;= 22, S1413=9), N1413-7,AND(N1413&lt;= 28, S1413=9), N1413-25,AND(N1413&lt;= 30, S1413=9), N1413-28,AND(N1413&lt;= 11, S1413=10), N1413+2,AND(N1413&lt;= 21, S1413=10), N1413-11)</f>
        <v>11</v>
      </c>
    </row>
    <row r="1414" spans="1:22" x14ac:dyDescent="0.35">
      <c r="A1414" s="4">
        <v>45553</v>
      </c>
      <c r="B1414" s="5">
        <v>0.36769675925925926</v>
      </c>
      <c r="C1414">
        <v>80.7</v>
      </c>
      <c r="D1414">
        <v>75.599999999999994</v>
      </c>
      <c r="E1414">
        <v>79.400000000000006</v>
      </c>
      <c r="F1414">
        <v>78.8</v>
      </c>
      <c r="G1414">
        <v>0</v>
      </c>
      <c r="H1414">
        <v>0</v>
      </c>
      <c r="I1414">
        <v>0</v>
      </c>
      <c r="J1414">
        <v>0</v>
      </c>
      <c r="K1414">
        <v>68.099999999999994</v>
      </c>
      <c r="L1414">
        <v>67</v>
      </c>
      <c r="M1414">
        <v>78.739999999999995</v>
      </c>
      <c r="N1414">
        <v>18</v>
      </c>
      <c r="O1414">
        <v>1</v>
      </c>
      <c r="P1414">
        <f>MOD(DAY(datos_siembra[[#This Row],[Date]]),7)</f>
        <v>4</v>
      </c>
      <c r="Q1414" t="str">
        <f>CHOOSE(WEEKDAY(datos_siembra[[#This Row],[Date]],2),"L","M","X","J","V","S","D")</f>
        <v>X</v>
      </c>
      <c r="R1414">
        <f>WEEKNUM(datos_siembra[[#This Row],[Date]],2)-WEEKNUM(DATE(YEAR(datos_siembra[[#This Row],[Date]]),MONTH(datos_siembra[[#This Row],[Date]]),1))+1</f>
        <v>3</v>
      </c>
      <c r="S1414">
        <f>MONTH(datos_siembra[[#This Row],[Date]])</f>
        <v>9</v>
      </c>
      <c r="T1414" t="str" cm="1">
        <f t="array" ref="T1414">_xlfn.IFS(AND(N1414&lt;= 22, S1414=9), "SOWING",AND(N1414&lt;= 28, S1414=9), "COVERAGE",AND(N1414&lt;= 30, S1414=9), "FLUSH",AND(N1414&lt;= 11, S1414=10), "FLUSH",AND(N1414&lt;= 21, S1414=10), "PRODUCTION")</f>
        <v>SOWING</v>
      </c>
      <c r="U1414">
        <f>HOUR(datos_siembra[[#This Row],[Hour]])</f>
        <v>8</v>
      </c>
      <c r="V1414" cm="1">
        <f t="array" ref="V1414">_xlfn.IFS(AND(N1414&lt;= 22, S1414=9), N1414-7,AND(N1414&lt;= 28, S1414=9), N1414-25,AND(N1414&lt;= 30, S1414=9), N1414-28,AND(N1414&lt;= 11, S1414=10), N1414+2,AND(N1414&lt;= 21, S1414=10), N1414-11)</f>
        <v>11</v>
      </c>
    </row>
    <row r="1415" spans="1:22" x14ac:dyDescent="0.35">
      <c r="A1415" s="4">
        <v>45553</v>
      </c>
      <c r="B1415" s="5">
        <v>0.37464120370370368</v>
      </c>
      <c r="C1415">
        <v>80.7</v>
      </c>
      <c r="D1415">
        <v>75.599999999999994</v>
      </c>
      <c r="E1415">
        <v>79.400000000000006</v>
      </c>
      <c r="F1415">
        <v>79.400000000000006</v>
      </c>
      <c r="G1415">
        <v>0</v>
      </c>
      <c r="H1415">
        <v>0</v>
      </c>
      <c r="I1415">
        <v>0</v>
      </c>
      <c r="J1415">
        <v>0</v>
      </c>
      <c r="K1415">
        <v>68.2</v>
      </c>
      <c r="L1415">
        <v>67</v>
      </c>
      <c r="M1415">
        <v>78.77</v>
      </c>
      <c r="N1415">
        <v>18</v>
      </c>
      <c r="O1415">
        <v>1</v>
      </c>
      <c r="P1415">
        <f>MOD(DAY(datos_siembra[[#This Row],[Date]]),7)</f>
        <v>4</v>
      </c>
      <c r="Q1415" t="str">
        <f>CHOOSE(WEEKDAY(datos_siembra[[#This Row],[Date]],2),"L","M","X","J","V","S","D")</f>
        <v>X</v>
      </c>
      <c r="R1415">
        <f>WEEKNUM(datos_siembra[[#This Row],[Date]],2)-WEEKNUM(DATE(YEAR(datos_siembra[[#This Row],[Date]]),MONTH(datos_siembra[[#This Row],[Date]]),1))+1</f>
        <v>3</v>
      </c>
      <c r="S1415">
        <f>MONTH(datos_siembra[[#This Row],[Date]])</f>
        <v>9</v>
      </c>
      <c r="T1415" t="str" cm="1">
        <f t="array" ref="T1415">_xlfn.IFS(AND(N1415&lt;= 22, S1415=9), "SOWING",AND(N1415&lt;= 28, S1415=9), "COVERAGE",AND(N1415&lt;= 30, S1415=9), "FLUSH",AND(N1415&lt;= 11, S1415=10), "FLUSH",AND(N1415&lt;= 21, S1415=10), "PRODUCTION")</f>
        <v>SOWING</v>
      </c>
      <c r="U1415">
        <f>HOUR(datos_siembra[[#This Row],[Hour]])</f>
        <v>8</v>
      </c>
      <c r="V1415" cm="1">
        <f t="array" ref="V1415">_xlfn.IFS(AND(N1415&lt;= 22, S1415=9), N1415-7,AND(N1415&lt;= 28, S1415=9), N1415-25,AND(N1415&lt;= 30, S1415=9), N1415-28,AND(N1415&lt;= 11, S1415=10), N1415+2,AND(N1415&lt;= 21, S1415=10), N1415-11)</f>
        <v>11</v>
      </c>
    </row>
    <row r="1416" spans="1:22" x14ac:dyDescent="0.35">
      <c r="A1416" s="4">
        <v>45553</v>
      </c>
      <c r="B1416" s="5">
        <v>0.38158564814814816</v>
      </c>
      <c r="C1416">
        <v>80.8</v>
      </c>
      <c r="D1416">
        <v>75.5</v>
      </c>
      <c r="E1416">
        <v>79.400000000000006</v>
      </c>
      <c r="F1416">
        <v>79.099999999999994</v>
      </c>
      <c r="G1416">
        <v>0</v>
      </c>
      <c r="H1416">
        <v>0</v>
      </c>
      <c r="I1416">
        <v>0</v>
      </c>
      <c r="J1416">
        <v>0</v>
      </c>
      <c r="K1416">
        <v>68.3</v>
      </c>
      <c r="L1416">
        <v>67.099999999999994</v>
      </c>
      <c r="M1416">
        <v>78.66</v>
      </c>
      <c r="N1416">
        <v>18</v>
      </c>
      <c r="O1416">
        <v>1</v>
      </c>
      <c r="P1416">
        <f>MOD(DAY(datos_siembra[[#This Row],[Date]]),7)</f>
        <v>4</v>
      </c>
      <c r="Q1416" t="str">
        <f>CHOOSE(WEEKDAY(datos_siembra[[#This Row],[Date]],2),"L","M","X","J","V","S","D")</f>
        <v>X</v>
      </c>
      <c r="R1416">
        <f>WEEKNUM(datos_siembra[[#This Row],[Date]],2)-WEEKNUM(DATE(YEAR(datos_siembra[[#This Row],[Date]]),MONTH(datos_siembra[[#This Row],[Date]]),1))+1</f>
        <v>3</v>
      </c>
      <c r="S1416">
        <f>MONTH(datos_siembra[[#This Row],[Date]])</f>
        <v>9</v>
      </c>
      <c r="T1416" t="str" cm="1">
        <f t="array" ref="T1416">_xlfn.IFS(AND(N1416&lt;= 22, S1416=9), "SOWING",AND(N1416&lt;= 28, S1416=9), "COVERAGE",AND(N1416&lt;= 30, S1416=9), "FLUSH",AND(N1416&lt;= 11, S1416=10), "FLUSH",AND(N1416&lt;= 21, S1416=10), "PRODUCTION")</f>
        <v>SOWING</v>
      </c>
      <c r="U1416">
        <f>HOUR(datos_siembra[[#This Row],[Hour]])</f>
        <v>9</v>
      </c>
      <c r="V1416" cm="1">
        <f t="array" ref="V1416">_xlfn.IFS(AND(N1416&lt;= 22, S1416=9), N1416-7,AND(N1416&lt;= 28, S1416=9), N1416-25,AND(N1416&lt;= 30, S1416=9), N1416-28,AND(N1416&lt;= 11, S1416=10), N1416+2,AND(N1416&lt;= 21, S1416=10), N1416-11)</f>
        <v>11</v>
      </c>
    </row>
    <row r="1417" spans="1:22" x14ac:dyDescent="0.35">
      <c r="A1417" s="4">
        <v>45553</v>
      </c>
      <c r="B1417" s="5">
        <v>0.38854166666666667</v>
      </c>
      <c r="C1417">
        <v>80.7</v>
      </c>
      <c r="D1417">
        <v>75.5</v>
      </c>
      <c r="E1417">
        <v>79.400000000000006</v>
      </c>
      <c r="F1417">
        <v>78.900000000000006</v>
      </c>
      <c r="G1417">
        <v>0</v>
      </c>
      <c r="H1417">
        <v>0</v>
      </c>
      <c r="I1417">
        <v>0</v>
      </c>
      <c r="J1417">
        <v>0</v>
      </c>
      <c r="K1417">
        <v>68.5</v>
      </c>
      <c r="L1417">
        <v>67.2</v>
      </c>
      <c r="M1417">
        <v>78.63</v>
      </c>
      <c r="N1417">
        <v>18</v>
      </c>
      <c r="O1417">
        <v>1</v>
      </c>
      <c r="P1417">
        <f>MOD(DAY(datos_siembra[[#This Row],[Date]]),7)</f>
        <v>4</v>
      </c>
      <c r="Q1417" t="str">
        <f>CHOOSE(WEEKDAY(datos_siembra[[#This Row],[Date]],2),"L","M","X","J","V","S","D")</f>
        <v>X</v>
      </c>
      <c r="R1417">
        <f>WEEKNUM(datos_siembra[[#This Row],[Date]],2)-WEEKNUM(DATE(YEAR(datos_siembra[[#This Row],[Date]]),MONTH(datos_siembra[[#This Row],[Date]]),1))+1</f>
        <v>3</v>
      </c>
      <c r="S1417">
        <f>MONTH(datos_siembra[[#This Row],[Date]])</f>
        <v>9</v>
      </c>
      <c r="T1417" t="str" cm="1">
        <f t="array" ref="T1417">_xlfn.IFS(AND(N1417&lt;= 22, S1417=9), "SOWING",AND(N1417&lt;= 28, S1417=9), "COVERAGE",AND(N1417&lt;= 30, S1417=9), "FLUSH",AND(N1417&lt;= 11, S1417=10), "FLUSH",AND(N1417&lt;= 21, S1417=10), "PRODUCTION")</f>
        <v>SOWING</v>
      </c>
      <c r="U1417">
        <f>HOUR(datos_siembra[[#This Row],[Hour]])</f>
        <v>9</v>
      </c>
      <c r="V1417" cm="1">
        <f t="array" ref="V1417">_xlfn.IFS(AND(N1417&lt;= 22, S1417=9), N1417-7,AND(N1417&lt;= 28, S1417=9), N1417-25,AND(N1417&lt;= 30, S1417=9), N1417-28,AND(N1417&lt;= 11, S1417=10), N1417+2,AND(N1417&lt;= 21, S1417=10), N1417-11)</f>
        <v>11</v>
      </c>
    </row>
    <row r="1418" spans="1:22" x14ac:dyDescent="0.35">
      <c r="A1418" s="4">
        <v>45553</v>
      </c>
      <c r="B1418" s="5">
        <v>0.39548611111111109</v>
      </c>
      <c r="C1418">
        <v>80.7</v>
      </c>
      <c r="D1418">
        <v>75.5</v>
      </c>
      <c r="E1418">
        <v>79.5</v>
      </c>
      <c r="F1418">
        <v>77.900000000000006</v>
      </c>
      <c r="G1418">
        <v>0</v>
      </c>
      <c r="H1418">
        <v>0</v>
      </c>
      <c r="I1418">
        <v>0</v>
      </c>
      <c r="J1418">
        <v>0</v>
      </c>
      <c r="K1418">
        <v>68.5</v>
      </c>
      <c r="L1418">
        <v>67.3</v>
      </c>
      <c r="M1418">
        <v>78.55</v>
      </c>
      <c r="N1418">
        <v>18</v>
      </c>
      <c r="O1418">
        <v>1</v>
      </c>
      <c r="P1418">
        <f>MOD(DAY(datos_siembra[[#This Row],[Date]]),7)</f>
        <v>4</v>
      </c>
      <c r="Q1418" t="str">
        <f>CHOOSE(WEEKDAY(datos_siembra[[#This Row],[Date]],2),"L","M","X","J","V","S","D")</f>
        <v>X</v>
      </c>
      <c r="R1418">
        <f>WEEKNUM(datos_siembra[[#This Row],[Date]],2)-WEEKNUM(DATE(YEAR(datos_siembra[[#This Row],[Date]]),MONTH(datos_siembra[[#This Row],[Date]]),1))+1</f>
        <v>3</v>
      </c>
      <c r="S1418">
        <f>MONTH(datos_siembra[[#This Row],[Date]])</f>
        <v>9</v>
      </c>
      <c r="T1418" t="str" cm="1">
        <f t="array" ref="T1418">_xlfn.IFS(AND(N1418&lt;= 22, S1418=9), "SOWING",AND(N1418&lt;= 28, S1418=9), "COVERAGE",AND(N1418&lt;= 30, S1418=9), "FLUSH",AND(N1418&lt;= 11, S1418=10), "FLUSH",AND(N1418&lt;= 21, S1418=10), "PRODUCTION")</f>
        <v>SOWING</v>
      </c>
      <c r="U1418">
        <f>HOUR(datos_siembra[[#This Row],[Hour]])</f>
        <v>9</v>
      </c>
      <c r="V1418" cm="1">
        <f t="array" ref="V1418">_xlfn.IFS(AND(N1418&lt;= 22, S1418=9), N1418-7,AND(N1418&lt;= 28, S1418=9), N1418-25,AND(N1418&lt;= 30, S1418=9), N1418-28,AND(N1418&lt;= 11, S1418=10), N1418+2,AND(N1418&lt;= 21, S1418=10), N1418-11)</f>
        <v>11</v>
      </c>
    </row>
    <row r="1419" spans="1:22" x14ac:dyDescent="0.35">
      <c r="A1419" s="4">
        <v>45553</v>
      </c>
      <c r="B1419" s="5">
        <v>0.40243055555555557</v>
      </c>
      <c r="C1419">
        <v>80.7</v>
      </c>
      <c r="D1419">
        <v>75.5</v>
      </c>
      <c r="E1419">
        <v>79.3</v>
      </c>
      <c r="F1419">
        <v>79.099999999999994</v>
      </c>
      <c r="G1419">
        <v>0</v>
      </c>
      <c r="H1419">
        <v>0</v>
      </c>
      <c r="I1419">
        <v>0</v>
      </c>
      <c r="J1419">
        <v>0</v>
      </c>
      <c r="K1419">
        <v>68.5</v>
      </c>
      <c r="L1419">
        <v>67.400000000000006</v>
      </c>
      <c r="M1419">
        <v>78.599999999999994</v>
      </c>
      <c r="N1419">
        <v>18</v>
      </c>
      <c r="O1419">
        <v>1</v>
      </c>
      <c r="P1419">
        <f>MOD(DAY(datos_siembra[[#This Row],[Date]]),7)</f>
        <v>4</v>
      </c>
      <c r="Q1419" t="str">
        <f>CHOOSE(WEEKDAY(datos_siembra[[#This Row],[Date]],2),"L","M","X","J","V","S","D")</f>
        <v>X</v>
      </c>
      <c r="R1419">
        <f>WEEKNUM(datos_siembra[[#This Row],[Date]],2)-WEEKNUM(DATE(YEAR(datos_siembra[[#This Row],[Date]]),MONTH(datos_siembra[[#This Row],[Date]]),1))+1</f>
        <v>3</v>
      </c>
      <c r="S1419">
        <f>MONTH(datos_siembra[[#This Row],[Date]])</f>
        <v>9</v>
      </c>
      <c r="T1419" t="str" cm="1">
        <f t="array" ref="T1419">_xlfn.IFS(AND(N1419&lt;= 22, S1419=9), "SOWING",AND(N1419&lt;= 28, S1419=9), "COVERAGE",AND(N1419&lt;= 30, S1419=9), "FLUSH",AND(N1419&lt;= 11, S1419=10), "FLUSH",AND(N1419&lt;= 21, S1419=10), "PRODUCTION")</f>
        <v>SOWING</v>
      </c>
      <c r="U1419">
        <f>HOUR(datos_siembra[[#This Row],[Hour]])</f>
        <v>9</v>
      </c>
      <c r="V1419" cm="1">
        <f t="array" ref="V1419">_xlfn.IFS(AND(N1419&lt;= 22, S1419=9), N1419-7,AND(N1419&lt;= 28, S1419=9), N1419-25,AND(N1419&lt;= 30, S1419=9), N1419-28,AND(N1419&lt;= 11, S1419=10), N1419+2,AND(N1419&lt;= 21, S1419=10), N1419-11)</f>
        <v>11</v>
      </c>
    </row>
    <row r="1420" spans="1:22" x14ac:dyDescent="0.35">
      <c r="A1420" s="4">
        <v>45553</v>
      </c>
      <c r="B1420" s="5">
        <v>0.40937499999999999</v>
      </c>
      <c r="C1420">
        <v>80.599999999999994</v>
      </c>
      <c r="D1420">
        <v>75.5</v>
      </c>
      <c r="E1420">
        <v>79.400000000000006</v>
      </c>
      <c r="F1420">
        <v>79.7</v>
      </c>
      <c r="G1420">
        <v>0</v>
      </c>
      <c r="H1420">
        <v>0</v>
      </c>
      <c r="I1420">
        <v>0</v>
      </c>
      <c r="J1420">
        <v>0</v>
      </c>
      <c r="K1420">
        <v>68.599999999999994</v>
      </c>
      <c r="L1420">
        <v>67.400000000000006</v>
      </c>
      <c r="M1420">
        <v>78.569999999999993</v>
      </c>
      <c r="N1420">
        <v>18</v>
      </c>
      <c r="O1420">
        <v>1</v>
      </c>
      <c r="P1420">
        <f>MOD(DAY(datos_siembra[[#This Row],[Date]]),7)</f>
        <v>4</v>
      </c>
      <c r="Q1420" t="str">
        <f>CHOOSE(WEEKDAY(datos_siembra[[#This Row],[Date]],2),"L","M","X","J","V","S","D")</f>
        <v>X</v>
      </c>
      <c r="R1420">
        <f>WEEKNUM(datos_siembra[[#This Row],[Date]],2)-WEEKNUM(DATE(YEAR(datos_siembra[[#This Row],[Date]]),MONTH(datos_siembra[[#This Row],[Date]]),1))+1</f>
        <v>3</v>
      </c>
      <c r="S1420">
        <f>MONTH(datos_siembra[[#This Row],[Date]])</f>
        <v>9</v>
      </c>
      <c r="T1420" t="str" cm="1">
        <f t="array" ref="T1420">_xlfn.IFS(AND(N1420&lt;= 22, S1420=9), "SOWING",AND(N1420&lt;= 28, S1420=9), "COVERAGE",AND(N1420&lt;= 30, S1420=9), "FLUSH",AND(N1420&lt;= 11, S1420=10), "FLUSH",AND(N1420&lt;= 21, S1420=10), "PRODUCTION")</f>
        <v>SOWING</v>
      </c>
      <c r="U1420">
        <f>HOUR(datos_siembra[[#This Row],[Hour]])</f>
        <v>9</v>
      </c>
      <c r="V1420" cm="1">
        <f t="array" ref="V1420">_xlfn.IFS(AND(N1420&lt;= 22, S1420=9), N1420-7,AND(N1420&lt;= 28, S1420=9), N1420-25,AND(N1420&lt;= 30, S1420=9), N1420-28,AND(N1420&lt;= 11, S1420=10), N1420+2,AND(N1420&lt;= 21, S1420=10), N1420-11)</f>
        <v>11</v>
      </c>
    </row>
    <row r="1421" spans="1:22" x14ac:dyDescent="0.35">
      <c r="A1421" s="4">
        <v>45553</v>
      </c>
      <c r="B1421" s="5">
        <v>0.4163310185185185</v>
      </c>
      <c r="C1421">
        <v>80.7</v>
      </c>
      <c r="D1421">
        <v>75.599999999999994</v>
      </c>
      <c r="E1421">
        <v>79.5</v>
      </c>
      <c r="F1421">
        <v>78.599999999999994</v>
      </c>
      <c r="G1421">
        <v>0</v>
      </c>
      <c r="H1421">
        <v>0</v>
      </c>
      <c r="I1421">
        <v>0</v>
      </c>
      <c r="J1421">
        <v>0</v>
      </c>
      <c r="K1421">
        <v>68.8</v>
      </c>
      <c r="L1421">
        <v>67.599999999999994</v>
      </c>
      <c r="M1421">
        <v>78.599999999999994</v>
      </c>
      <c r="N1421">
        <v>18</v>
      </c>
      <c r="O1421">
        <v>1</v>
      </c>
      <c r="P1421">
        <f>MOD(DAY(datos_siembra[[#This Row],[Date]]),7)</f>
        <v>4</v>
      </c>
      <c r="Q1421" t="str">
        <f>CHOOSE(WEEKDAY(datos_siembra[[#This Row],[Date]],2),"L","M","X","J","V","S","D")</f>
        <v>X</v>
      </c>
      <c r="R1421">
        <f>WEEKNUM(datos_siembra[[#This Row],[Date]],2)-WEEKNUM(DATE(YEAR(datos_siembra[[#This Row],[Date]]),MONTH(datos_siembra[[#This Row],[Date]]),1))+1</f>
        <v>3</v>
      </c>
      <c r="S1421">
        <f>MONTH(datos_siembra[[#This Row],[Date]])</f>
        <v>9</v>
      </c>
      <c r="T1421" t="str" cm="1">
        <f t="array" ref="T1421">_xlfn.IFS(AND(N1421&lt;= 22, S1421=9), "SOWING",AND(N1421&lt;= 28, S1421=9), "COVERAGE",AND(N1421&lt;= 30, S1421=9), "FLUSH",AND(N1421&lt;= 11, S1421=10), "FLUSH",AND(N1421&lt;= 21, S1421=10), "PRODUCTION")</f>
        <v>SOWING</v>
      </c>
      <c r="U1421">
        <f>HOUR(datos_siembra[[#This Row],[Hour]])</f>
        <v>9</v>
      </c>
      <c r="V1421" cm="1">
        <f t="array" ref="V1421">_xlfn.IFS(AND(N1421&lt;= 22, S1421=9), N1421-7,AND(N1421&lt;= 28, S1421=9), N1421-25,AND(N1421&lt;= 30, S1421=9), N1421-28,AND(N1421&lt;= 11, S1421=10), N1421+2,AND(N1421&lt;= 21, S1421=10), N1421-11)</f>
        <v>11</v>
      </c>
    </row>
    <row r="1422" spans="1:22" x14ac:dyDescent="0.35">
      <c r="A1422" s="4">
        <v>45553</v>
      </c>
      <c r="B1422" s="5">
        <v>0.42327546296296298</v>
      </c>
      <c r="C1422">
        <v>80.7</v>
      </c>
      <c r="D1422">
        <v>75.599999999999994</v>
      </c>
      <c r="E1422">
        <v>79.400000000000006</v>
      </c>
      <c r="F1422">
        <v>79.7</v>
      </c>
      <c r="G1422">
        <v>0</v>
      </c>
      <c r="H1422">
        <v>0</v>
      </c>
      <c r="I1422">
        <v>0</v>
      </c>
      <c r="J1422">
        <v>0</v>
      </c>
      <c r="K1422">
        <v>68.099999999999994</v>
      </c>
      <c r="L1422">
        <v>66.5</v>
      </c>
      <c r="M1422">
        <v>78.55</v>
      </c>
      <c r="N1422">
        <v>18</v>
      </c>
      <c r="O1422">
        <v>1</v>
      </c>
      <c r="P1422">
        <f>MOD(DAY(datos_siembra[[#This Row],[Date]]),7)</f>
        <v>4</v>
      </c>
      <c r="Q1422" t="str">
        <f>CHOOSE(WEEKDAY(datos_siembra[[#This Row],[Date]],2),"L","M","X","J","V","S","D")</f>
        <v>X</v>
      </c>
      <c r="R1422">
        <f>WEEKNUM(datos_siembra[[#This Row],[Date]],2)-WEEKNUM(DATE(YEAR(datos_siembra[[#This Row],[Date]]),MONTH(datos_siembra[[#This Row],[Date]]),1))+1</f>
        <v>3</v>
      </c>
      <c r="S1422">
        <f>MONTH(datos_siembra[[#This Row],[Date]])</f>
        <v>9</v>
      </c>
      <c r="T1422" t="str" cm="1">
        <f t="array" ref="T1422">_xlfn.IFS(AND(N1422&lt;= 22, S1422=9), "SOWING",AND(N1422&lt;= 28, S1422=9), "COVERAGE",AND(N1422&lt;= 30, S1422=9), "FLUSH",AND(N1422&lt;= 11, S1422=10), "FLUSH",AND(N1422&lt;= 21, S1422=10), "PRODUCTION")</f>
        <v>SOWING</v>
      </c>
      <c r="U1422">
        <f>HOUR(datos_siembra[[#This Row],[Hour]])</f>
        <v>10</v>
      </c>
      <c r="V1422" cm="1">
        <f t="array" ref="V1422">_xlfn.IFS(AND(N1422&lt;= 22, S1422=9), N1422-7,AND(N1422&lt;= 28, S1422=9), N1422-25,AND(N1422&lt;= 30, S1422=9), N1422-28,AND(N1422&lt;= 11, S1422=10), N1422+2,AND(N1422&lt;= 21, S1422=10), N1422-11)</f>
        <v>11</v>
      </c>
    </row>
    <row r="1423" spans="1:22" x14ac:dyDescent="0.35">
      <c r="A1423" s="4">
        <v>45553</v>
      </c>
      <c r="B1423" s="5">
        <v>0.4302199074074074</v>
      </c>
      <c r="C1423">
        <v>80.8</v>
      </c>
      <c r="D1423">
        <v>75.8</v>
      </c>
      <c r="E1423">
        <v>79.400000000000006</v>
      </c>
      <c r="F1423">
        <v>79.099999999999994</v>
      </c>
      <c r="G1423">
        <v>0</v>
      </c>
      <c r="H1423">
        <v>0</v>
      </c>
      <c r="I1423">
        <v>0</v>
      </c>
      <c r="J1423">
        <v>0</v>
      </c>
      <c r="K1423">
        <v>66.900000000000006</v>
      </c>
      <c r="L1423">
        <v>65.099999999999994</v>
      </c>
      <c r="M1423">
        <v>78.739999999999995</v>
      </c>
      <c r="N1423">
        <v>18</v>
      </c>
      <c r="O1423">
        <v>1</v>
      </c>
      <c r="P1423">
        <f>MOD(DAY(datos_siembra[[#This Row],[Date]]),7)</f>
        <v>4</v>
      </c>
      <c r="Q1423" t="str">
        <f>CHOOSE(WEEKDAY(datos_siembra[[#This Row],[Date]],2),"L","M","X","J","V","S","D")</f>
        <v>X</v>
      </c>
      <c r="R1423">
        <f>WEEKNUM(datos_siembra[[#This Row],[Date]],2)-WEEKNUM(DATE(YEAR(datos_siembra[[#This Row],[Date]]),MONTH(datos_siembra[[#This Row],[Date]]),1))+1</f>
        <v>3</v>
      </c>
      <c r="S1423">
        <f>MONTH(datos_siembra[[#This Row],[Date]])</f>
        <v>9</v>
      </c>
      <c r="T1423" t="str" cm="1">
        <f t="array" ref="T1423">_xlfn.IFS(AND(N1423&lt;= 22, S1423=9), "SOWING",AND(N1423&lt;= 28, S1423=9), "COVERAGE",AND(N1423&lt;= 30, S1423=9), "FLUSH",AND(N1423&lt;= 11, S1423=10), "FLUSH",AND(N1423&lt;= 21, S1423=10), "PRODUCTION")</f>
        <v>SOWING</v>
      </c>
      <c r="U1423">
        <f>HOUR(datos_siembra[[#This Row],[Hour]])</f>
        <v>10</v>
      </c>
      <c r="V1423" cm="1">
        <f t="array" ref="V1423">_xlfn.IFS(AND(N1423&lt;= 22, S1423=9), N1423-7,AND(N1423&lt;= 28, S1423=9), N1423-25,AND(N1423&lt;= 30, S1423=9), N1423-28,AND(N1423&lt;= 11, S1423=10), N1423+2,AND(N1423&lt;= 21, S1423=10), N1423-11)</f>
        <v>11</v>
      </c>
    </row>
    <row r="1424" spans="1:22" x14ac:dyDescent="0.35">
      <c r="A1424" s="4">
        <v>45553</v>
      </c>
      <c r="B1424" s="5">
        <v>0.43717592592592591</v>
      </c>
      <c r="C1424">
        <v>80.7</v>
      </c>
      <c r="D1424">
        <v>75.599999999999994</v>
      </c>
      <c r="E1424">
        <v>79.5</v>
      </c>
      <c r="F1424">
        <v>79</v>
      </c>
      <c r="G1424">
        <v>0</v>
      </c>
      <c r="H1424">
        <v>0</v>
      </c>
      <c r="I1424">
        <v>0</v>
      </c>
      <c r="J1424">
        <v>0</v>
      </c>
      <c r="K1424">
        <v>66.400000000000006</v>
      </c>
      <c r="L1424">
        <v>64.7</v>
      </c>
      <c r="M1424">
        <v>79.02</v>
      </c>
      <c r="N1424">
        <v>18</v>
      </c>
      <c r="O1424">
        <v>1</v>
      </c>
      <c r="P1424">
        <f>MOD(DAY(datos_siembra[[#This Row],[Date]]),7)</f>
        <v>4</v>
      </c>
      <c r="Q1424" t="str">
        <f>CHOOSE(WEEKDAY(datos_siembra[[#This Row],[Date]],2),"L","M","X","J","V","S","D")</f>
        <v>X</v>
      </c>
      <c r="R1424">
        <f>WEEKNUM(datos_siembra[[#This Row],[Date]],2)-WEEKNUM(DATE(YEAR(datos_siembra[[#This Row],[Date]]),MONTH(datos_siembra[[#This Row],[Date]]),1))+1</f>
        <v>3</v>
      </c>
      <c r="S1424">
        <f>MONTH(datos_siembra[[#This Row],[Date]])</f>
        <v>9</v>
      </c>
      <c r="T1424" t="str" cm="1">
        <f t="array" ref="T1424">_xlfn.IFS(AND(N1424&lt;= 22, S1424=9), "SOWING",AND(N1424&lt;= 28, S1424=9), "COVERAGE",AND(N1424&lt;= 30, S1424=9), "FLUSH",AND(N1424&lt;= 11, S1424=10), "FLUSH",AND(N1424&lt;= 21, S1424=10), "PRODUCTION")</f>
        <v>SOWING</v>
      </c>
      <c r="U1424">
        <f>HOUR(datos_siembra[[#This Row],[Hour]])</f>
        <v>10</v>
      </c>
      <c r="V1424" cm="1">
        <f t="array" ref="V1424">_xlfn.IFS(AND(N1424&lt;= 22, S1424=9), N1424-7,AND(N1424&lt;= 28, S1424=9), N1424-25,AND(N1424&lt;= 30, S1424=9), N1424-28,AND(N1424&lt;= 11, S1424=10), N1424+2,AND(N1424&lt;= 21, S1424=10), N1424-11)</f>
        <v>11</v>
      </c>
    </row>
    <row r="1425" spans="1:22" x14ac:dyDescent="0.35">
      <c r="A1425" s="4">
        <v>45553</v>
      </c>
      <c r="B1425" s="5">
        <v>0.44412037037037039</v>
      </c>
      <c r="C1425">
        <v>80.599999999999994</v>
      </c>
      <c r="D1425">
        <v>75.8</v>
      </c>
      <c r="E1425">
        <v>79.3</v>
      </c>
      <c r="F1425">
        <v>79.400000000000006</v>
      </c>
      <c r="G1425">
        <v>0</v>
      </c>
      <c r="H1425">
        <v>0</v>
      </c>
      <c r="I1425">
        <v>0</v>
      </c>
      <c r="J1425">
        <v>0</v>
      </c>
      <c r="K1425">
        <v>66.400000000000006</v>
      </c>
      <c r="L1425">
        <v>64.5</v>
      </c>
      <c r="M1425">
        <v>78.91</v>
      </c>
      <c r="N1425">
        <v>18</v>
      </c>
      <c r="O1425">
        <v>1</v>
      </c>
      <c r="P1425">
        <f>MOD(DAY(datos_siembra[[#This Row],[Date]]),7)</f>
        <v>4</v>
      </c>
      <c r="Q1425" t="str">
        <f>CHOOSE(WEEKDAY(datos_siembra[[#This Row],[Date]],2),"L","M","X","J","V","S","D")</f>
        <v>X</v>
      </c>
      <c r="R1425">
        <f>WEEKNUM(datos_siembra[[#This Row],[Date]],2)-WEEKNUM(DATE(YEAR(datos_siembra[[#This Row],[Date]]),MONTH(datos_siembra[[#This Row],[Date]]),1))+1</f>
        <v>3</v>
      </c>
      <c r="S1425">
        <f>MONTH(datos_siembra[[#This Row],[Date]])</f>
        <v>9</v>
      </c>
      <c r="T1425" t="str" cm="1">
        <f t="array" ref="T1425">_xlfn.IFS(AND(N1425&lt;= 22, S1425=9), "SOWING",AND(N1425&lt;= 28, S1425=9), "COVERAGE",AND(N1425&lt;= 30, S1425=9), "FLUSH",AND(N1425&lt;= 11, S1425=10), "FLUSH",AND(N1425&lt;= 21, S1425=10), "PRODUCTION")</f>
        <v>SOWING</v>
      </c>
      <c r="U1425">
        <f>HOUR(datos_siembra[[#This Row],[Hour]])</f>
        <v>10</v>
      </c>
      <c r="V1425" cm="1">
        <f t="array" ref="V1425">_xlfn.IFS(AND(N1425&lt;= 22, S1425=9), N1425-7,AND(N1425&lt;= 28, S1425=9), N1425-25,AND(N1425&lt;= 30, S1425=9), N1425-28,AND(N1425&lt;= 11, S1425=10), N1425+2,AND(N1425&lt;= 21, S1425=10), N1425-11)</f>
        <v>11</v>
      </c>
    </row>
    <row r="1426" spans="1:22" x14ac:dyDescent="0.35">
      <c r="A1426" s="4">
        <v>45553</v>
      </c>
      <c r="B1426" s="5">
        <v>0.45106481481481481</v>
      </c>
      <c r="C1426">
        <v>80.7</v>
      </c>
      <c r="D1426">
        <v>75.8</v>
      </c>
      <c r="E1426">
        <v>79.400000000000006</v>
      </c>
      <c r="F1426">
        <v>78.8</v>
      </c>
      <c r="G1426">
        <v>0</v>
      </c>
      <c r="H1426">
        <v>0</v>
      </c>
      <c r="I1426">
        <v>0</v>
      </c>
      <c r="J1426">
        <v>0</v>
      </c>
      <c r="K1426">
        <v>67.599999999999994</v>
      </c>
      <c r="L1426">
        <v>66.400000000000006</v>
      </c>
      <c r="M1426">
        <v>78.83</v>
      </c>
      <c r="N1426">
        <v>18</v>
      </c>
      <c r="O1426">
        <v>1</v>
      </c>
      <c r="P1426">
        <f>MOD(DAY(datos_siembra[[#This Row],[Date]]),7)</f>
        <v>4</v>
      </c>
      <c r="Q1426" t="str">
        <f>CHOOSE(WEEKDAY(datos_siembra[[#This Row],[Date]],2),"L","M","X","J","V","S","D")</f>
        <v>X</v>
      </c>
      <c r="R1426">
        <f>WEEKNUM(datos_siembra[[#This Row],[Date]],2)-WEEKNUM(DATE(YEAR(datos_siembra[[#This Row],[Date]]),MONTH(datos_siembra[[#This Row],[Date]]),1))+1</f>
        <v>3</v>
      </c>
      <c r="S1426">
        <f>MONTH(datos_siembra[[#This Row],[Date]])</f>
        <v>9</v>
      </c>
      <c r="T1426" t="str" cm="1">
        <f t="array" ref="T1426">_xlfn.IFS(AND(N1426&lt;= 22, S1426=9), "SOWING",AND(N1426&lt;= 28, S1426=9), "COVERAGE",AND(N1426&lt;= 30, S1426=9), "FLUSH",AND(N1426&lt;= 11, S1426=10), "FLUSH",AND(N1426&lt;= 21, S1426=10), "PRODUCTION")</f>
        <v>SOWING</v>
      </c>
      <c r="U1426">
        <f>HOUR(datos_siembra[[#This Row],[Hour]])</f>
        <v>10</v>
      </c>
      <c r="V1426" cm="1">
        <f t="array" ref="V1426">_xlfn.IFS(AND(N1426&lt;= 22, S1426=9), N1426-7,AND(N1426&lt;= 28, S1426=9), N1426-25,AND(N1426&lt;= 30, S1426=9), N1426-28,AND(N1426&lt;= 11, S1426=10), N1426+2,AND(N1426&lt;= 21, S1426=10), N1426-11)</f>
        <v>11</v>
      </c>
    </row>
    <row r="1427" spans="1:22" x14ac:dyDescent="0.35">
      <c r="A1427" s="4">
        <v>45553</v>
      </c>
      <c r="B1427" s="5">
        <v>0.45800925925925928</v>
      </c>
      <c r="C1427">
        <v>80.7</v>
      </c>
      <c r="D1427">
        <v>75.8</v>
      </c>
      <c r="E1427">
        <v>79.599999999999994</v>
      </c>
      <c r="F1427">
        <v>78.7</v>
      </c>
      <c r="G1427">
        <v>0</v>
      </c>
      <c r="H1427">
        <v>0</v>
      </c>
      <c r="I1427">
        <v>0</v>
      </c>
      <c r="J1427">
        <v>0</v>
      </c>
      <c r="K1427">
        <v>68.099999999999994</v>
      </c>
      <c r="L1427">
        <v>66.900000000000006</v>
      </c>
      <c r="M1427">
        <v>78.8</v>
      </c>
      <c r="N1427">
        <v>18</v>
      </c>
      <c r="O1427">
        <v>1</v>
      </c>
      <c r="P1427">
        <f>MOD(DAY(datos_siembra[[#This Row],[Date]]),7)</f>
        <v>4</v>
      </c>
      <c r="Q1427" t="str">
        <f>CHOOSE(WEEKDAY(datos_siembra[[#This Row],[Date]],2),"L","M","X","J","V","S","D")</f>
        <v>X</v>
      </c>
      <c r="R1427">
        <f>WEEKNUM(datos_siembra[[#This Row],[Date]],2)-WEEKNUM(DATE(YEAR(datos_siembra[[#This Row],[Date]]),MONTH(datos_siembra[[#This Row],[Date]]),1))+1</f>
        <v>3</v>
      </c>
      <c r="S1427">
        <f>MONTH(datos_siembra[[#This Row],[Date]])</f>
        <v>9</v>
      </c>
      <c r="T1427" t="str" cm="1">
        <f t="array" ref="T1427">_xlfn.IFS(AND(N1427&lt;= 22, S1427=9), "SOWING",AND(N1427&lt;= 28, S1427=9), "COVERAGE",AND(N1427&lt;= 30, S1427=9), "FLUSH",AND(N1427&lt;= 11, S1427=10), "FLUSH",AND(N1427&lt;= 21, S1427=10), "PRODUCTION")</f>
        <v>SOWING</v>
      </c>
      <c r="U1427">
        <f>HOUR(datos_siembra[[#This Row],[Hour]])</f>
        <v>10</v>
      </c>
      <c r="V1427" cm="1">
        <f t="array" ref="V1427">_xlfn.IFS(AND(N1427&lt;= 22, S1427=9), N1427-7,AND(N1427&lt;= 28, S1427=9), N1427-25,AND(N1427&lt;= 30, S1427=9), N1427-28,AND(N1427&lt;= 11, S1427=10), N1427+2,AND(N1427&lt;= 21, S1427=10), N1427-11)</f>
        <v>11</v>
      </c>
    </row>
    <row r="1428" spans="1:22" x14ac:dyDescent="0.35">
      <c r="A1428" s="4">
        <v>45553</v>
      </c>
      <c r="B1428" s="5">
        <v>0.4649652777777778</v>
      </c>
      <c r="C1428">
        <v>80.8</v>
      </c>
      <c r="D1428">
        <v>75.8</v>
      </c>
      <c r="E1428">
        <v>79.599999999999994</v>
      </c>
      <c r="F1428">
        <v>79</v>
      </c>
      <c r="G1428">
        <v>0</v>
      </c>
      <c r="H1428">
        <v>0</v>
      </c>
      <c r="I1428">
        <v>0</v>
      </c>
      <c r="J1428">
        <v>0</v>
      </c>
      <c r="K1428">
        <v>68.2</v>
      </c>
      <c r="L1428">
        <v>67.099999999999994</v>
      </c>
      <c r="M1428">
        <v>78.569999999999993</v>
      </c>
      <c r="N1428">
        <v>18</v>
      </c>
      <c r="O1428">
        <v>1</v>
      </c>
      <c r="P1428">
        <f>MOD(DAY(datos_siembra[[#This Row],[Date]]),7)</f>
        <v>4</v>
      </c>
      <c r="Q1428" t="str">
        <f>CHOOSE(WEEKDAY(datos_siembra[[#This Row],[Date]],2),"L","M","X","J","V","S","D")</f>
        <v>X</v>
      </c>
      <c r="R1428">
        <f>WEEKNUM(datos_siembra[[#This Row],[Date]],2)-WEEKNUM(DATE(YEAR(datos_siembra[[#This Row],[Date]]),MONTH(datos_siembra[[#This Row],[Date]]),1))+1</f>
        <v>3</v>
      </c>
      <c r="S1428">
        <f>MONTH(datos_siembra[[#This Row],[Date]])</f>
        <v>9</v>
      </c>
      <c r="T1428" t="str" cm="1">
        <f t="array" ref="T1428">_xlfn.IFS(AND(N1428&lt;= 22, S1428=9), "SOWING",AND(N1428&lt;= 28, S1428=9), "COVERAGE",AND(N1428&lt;= 30, S1428=9), "FLUSH",AND(N1428&lt;= 11, S1428=10), "FLUSH",AND(N1428&lt;= 21, S1428=10), "PRODUCTION")</f>
        <v>SOWING</v>
      </c>
      <c r="U1428">
        <f>HOUR(datos_siembra[[#This Row],[Hour]])</f>
        <v>11</v>
      </c>
      <c r="V1428" cm="1">
        <f t="array" ref="V1428">_xlfn.IFS(AND(N1428&lt;= 22, S1428=9), N1428-7,AND(N1428&lt;= 28, S1428=9), N1428-25,AND(N1428&lt;= 30, S1428=9), N1428-28,AND(N1428&lt;= 11, S1428=10), N1428+2,AND(N1428&lt;= 21, S1428=10), N1428-11)</f>
        <v>11</v>
      </c>
    </row>
    <row r="1429" spans="1:22" x14ac:dyDescent="0.35">
      <c r="A1429" s="4">
        <v>45553</v>
      </c>
      <c r="B1429" s="5">
        <v>0.47190972222222222</v>
      </c>
      <c r="C1429">
        <v>80.8</v>
      </c>
      <c r="D1429">
        <v>75.8</v>
      </c>
      <c r="E1429">
        <v>79.5</v>
      </c>
      <c r="F1429">
        <v>80.099999999999994</v>
      </c>
      <c r="G1429">
        <v>0</v>
      </c>
      <c r="H1429">
        <v>0</v>
      </c>
      <c r="I1429">
        <v>0</v>
      </c>
      <c r="J1429">
        <v>0</v>
      </c>
      <c r="K1429">
        <v>68.3</v>
      </c>
      <c r="L1429">
        <v>67.099999999999994</v>
      </c>
      <c r="M1429">
        <v>78.8</v>
      </c>
      <c r="N1429">
        <v>18</v>
      </c>
      <c r="O1429">
        <v>1</v>
      </c>
      <c r="P1429">
        <f>MOD(DAY(datos_siembra[[#This Row],[Date]]),7)</f>
        <v>4</v>
      </c>
      <c r="Q1429" t="str">
        <f>CHOOSE(WEEKDAY(datos_siembra[[#This Row],[Date]],2),"L","M","X","J","V","S","D")</f>
        <v>X</v>
      </c>
      <c r="R1429">
        <f>WEEKNUM(datos_siembra[[#This Row],[Date]],2)-WEEKNUM(DATE(YEAR(datos_siembra[[#This Row],[Date]]),MONTH(datos_siembra[[#This Row],[Date]]),1))+1</f>
        <v>3</v>
      </c>
      <c r="S1429">
        <f>MONTH(datos_siembra[[#This Row],[Date]])</f>
        <v>9</v>
      </c>
      <c r="T1429" t="str" cm="1">
        <f t="array" ref="T1429">_xlfn.IFS(AND(N1429&lt;= 22, S1429=9), "SOWING",AND(N1429&lt;= 28, S1429=9), "COVERAGE",AND(N1429&lt;= 30, S1429=9), "FLUSH",AND(N1429&lt;= 11, S1429=10), "FLUSH",AND(N1429&lt;= 21, S1429=10), "PRODUCTION")</f>
        <v>SOWING</v>
      </c>
      <c r="U1429">
        <f>HOUR(datos_siembra[[#This Row],[Hour]])</f>
        <v>11</v>
      </c>
      <c r="V1429" cm="1">
        <f t="array" ref="V1429">_xlfn.IFS(AND(N1429&lt;= 22, S1429=9), N1429-7,AND(N1429&lt;= 28, S1429=9), N1429-25,AND(N1429&lt;= 30, S1429=9), N1429-28,AND(N1429&lt;= 11, S1429=10), N1429+2,AND(N1429&lt;= 21, S1429=10), N1429-11)</f>
        <v>11</v>
      </c>
    </row>
    <row r="1430" spans="1:22" x14ac:dyDescent="0.35">
      <c r="A1430" s="4">
        <v>45553</v>
      </c>
      <c r="B1430" s="5">
        <v>0.47885416666666669</v>
      </c>
      <c r="C1430">
        <v>80.7</v>
      </c>
      <c r="D1430">
        <v>75.900000000000006</v>
      </c>
      <c r="E1430">
        <v>79.5</v>
      </c>
      <c r="F1430">
        <v>78.8</v>
      </c>
      <c r="G1430">
        <v>0</v>
      </c>
      <c r="H1430">
        <v>0</v>
      </c>
      <c r="I1430">
        <v>0</v>
      </c>
      <c r="J1430">
        <v>0</v>
      </c>
      <c r="K1430">
        <v>68.5</v>
      </c>
      <c r="L1430">
        <v>67.2</v>
      </c>
      <c r="M1430">
        <v>78.72</v>
      </c>
      <c r="N1430">
        <v>18</v>
      </c>
      <c r="O1430">
        <v>1</v>
      </c>
      <c r="P1430">
        <f>MOD(DAY(datos_siembra[[#This Row],[Date]]),7)</f>
        <v>4</v>
      </c>
      <c r="Q1430" t="str">
        <f>CHOOSE(WEEKDAY(datos_siembra[[#This Row],[Date]],2),"L","M","X","J","V","S","D")</f>
        <v>X</v>
      </c>
      <c r="R1430">
        <f>WEEKNUM(datos_siembra[[#This Row],[Date]],2)-WEEKNUM(DATE(YEAR(datos_siembra[[#This Row],[Date]]),MONTH(datos_siembra[[#This Row],[Date]]),1))+1</f>
        <v>3</v>
      </c>
      <c r="S1430">
        <f>MONTH(datos_siembra[[#This Row],[Date]])</f>
        <v>9</v>
      </c>
      <c r="T1430" t="str" cm="1">
        <f t="array" ref="T1430">_xlfn.IFS(AND(N1430&lt;= 22, S1430=9), "SOWING",AND(N1430&lt;= 28, S1430=9), "COVERAGE",AND(N1430&lt;= 30, S1430=9), "FLUSH",AND(N1430&lt;= 11, S1430=10), "FLUSH",AND(N1430&lt;= 21, S1430=10), "PRODUCTION")</f>
        <v>SOWING</v>
      </c>
      <c r="U1430">
        <f>HOUR(datos_siembra[[#This Row],[Hour]])</f>
        <v>11</v>
      </c>
      <c r="V1430" cm="1">
        <f t="array" ref="V1430">_xlfn.IFS(AND(N1430&lt;= 22, S1430=9), N1430-7,AND(N1430&lt;= 28, S1430=9), N1430-25,AND(N1430&lt;= 30, S1430=9), N1430-28,AND(N1430&lt;= 11, S1430=10), N1430+2,AND(N1430&lt;= 21, S1430=10), N1430-11)</f>
        <v>11</v>
      </c>
    </row>
    <row r="1431" spans="1:22" x14ac:dyDescent="0.35">
      <c r="A1431" s="4">
        <v>45553</v>
      </c>
      <c r="B1431" s="5">
        <v>0.48581018518518521</v>
      </c>
      <c r="C1431">
        <v>80.7</v>
      </c>
      <c r="D1431">
        <v>75.900000000000006</v>
      </c>
      <c r="E1431">
        <v>79.400000000000006</v>
      </c>
      <c r="F1431">
        <v>78.7</v>
      </c>
      <c r="G1431">
        <v>0</v>
      </c>
      <c r="H1431">
        <v>0</v>
      </c>
      <c r="I1431">
        <v>0</v>
      </c>
      <c r="J1431">
        <v>0</v>
      </c>
      <c r="K1431">
        <v>68.7</v>
      </c>
      <c r="L1431">
        <v>67.3</v>
      </c>
      <c r="M1431">
        <v>78.83</v>
      </c>
      <c r="N1431">
        <v>18</v>
      </c>
      <c r="O1431">
        <v>1</v>
      </c>
      <c r="P1431">
        <f>MOD(DAY(datos_siembra[[#This Row],[Date]]),7)</f>
        <v>4</v>
      </c>
      <c r="Q1431" t="str">
        <f>CHOOSE(WEEKDAY(datos_siembra[[#This Row],[Date]],2),"L","M","X","J","V","S","D")</f>
        <v>X</v>
      </c>
      <c r="R1431">
        <f>WEEKNUM(datos_siembra[[#This Row],[Date]],2)-WEEKNUM(DATE(YEAR(datos_siembra[[#This Row],[Date]]),MONTH(datos_siembra[[#This Row],[Date]]),1))+1</f>
        <v>3</v>
      </c>
      <c r="S1431">
        <f>MONTH(datos_siembra[[#This Row],[Date]])</f>
        <v>9</v>
      </c>
      <c r="T1431" t="str" cm="1">
        <f t="array" ref="T1431">_xlfn.IFS(AND(N1431&lt;= 22, S1431=9), "SOWING",AND(N1431&lt;= 28, S1431=9), "COVERAGE",AND(N1431&lt;= 30, S1431=9), "FLUSH",AND(N1431&lt;= 11, S1431=10), "FLUSH",AND(N1431&lt;= 21, S1431=10), "PRODUCTION")</f>
        <v>SOWING</v>
      </c>
      <c r="U1431">
        <f>HOUR(datos_siembra[[#This Row],[Hour]])</f>
        <v>11</v>
      </c>
      <c r="V1431" cm="1">
        <f t="array" ref="V1431">_xlfn.IFS(AND(N1431&lt;= 22, S1431=9), N1431-7,AND(N1431&lt;= 28, S1431=9), N1431-25,AND(N1431&lt;= 30, S1431=9), N1431-28,AND(N1431&lt;= 11, S1431=10), N1431+2,AND(N1431&lt;= 21, S1431=10), N1431-11)</f>
        <v>11</v>
      </c>
    </row>
    <row r="1432" spans="1:22" x14ac:dyDescent="0.35">
      <c r="A1432" s="4">
        <v>45553</v>
      </c>
      <c r="B1432" s="5">
        <v>0.49275462962962963</v>
      </c>
      <c r="C1432">
        <v>80.599999999999994</v>
      </c>
      <c r="D1432">
        <v>75.900000000000006</v>
      </c>
      <c r="E1432">
        <v>79.5</v>
      </c>
      <c r="F1432">
        <v>79.7</v>
      </c>
      <c r="G1432">
        <v>0</v>
      </c>
      <c r="H1432">
        <v>0</v>
      </c>
      <c r="I1432">
        <v>0</v>
      </c>
      <c r="J1432">
        <v>0</v>
      </c>
      <c r="K1432">
        <v>68.8</v>
      </c>
      <c r="L1432">
        <v>67.400000000000006</v>
      </c>
      <c r="M1432">
        <v>78.83</v>
      </c>
      <c r="N1432">
        <v>18</v>
      </c>
      <c r="O1432">
        <v>1</v>
      </c>
      <c r="P1432">
        <f>MOD(DAY(datos_siembra[[#This Row],[Date]]),7)</f>
        <v>4</v>
      </c>
      <c r="Q1432" t="str">
        <f>CHOOSE(WEEKDAY(datos_siembra[[#This Row],[Date]],2),"L","M","X","J","V","S","D")</f>
        <v>X</v>
      </c>
      <c r="R1432">
        <f>WEEKNUM(datos_siembra[[#This Row],[Date]],2)-WEEKNUM(DATE(YEAR(datos_siembra[[#This Row],[Date]]),MONTH(datos_siembra[[#This Row],[Date]]),1))+1</f>
        <v>3</v>
      </c>
      <c r="S1432">
        <f>MONTH(datos_siembra[[#This Row],[Date]])</f>
        <v>9</v>
      </c>
      <c r="T1432" t="str" cm="1">
        <f t="array" ref="T1432">_xlfn.IFS(AND(N1432&lt;= 22, S1432=9), "SOWING",AND(N1432&lt;= 28, S1432=9), "COVERAGE",AND(N1432&lt;= 30, S1432=9), "FLUSH",AND(N1432&lt;= 11, S1432=10), "FLUSH",AND(N1432&lt;= 21, S1432=10), "PRODUCTION")</f>
        <v>SOWING</v>
      </c>
      <c r="U1432">
        <f>HOUR(datos_siembra[[#This Row],[Hour]])</f>
        <v>11</v>
      </c>
      <c r="V1432" cm="1">
        <f t="array" ref="V1432">_xlfn.IFS(AND(N1432&lt;= 22, S1432=9), N1432-7,AND(N1432&lt;= 28, S1432=9), N1432-25,AND(N1432&lt;= 30, S1432=9), N1432-28,AND(N1432&lt;= 11, S1432=10), N1432+2,AND(N1432&lt;= 21, S1432=10), N1432-11)</f>
        <v>11</v>
      </c>
    </row>
    <row r="1433" spans="1:22" x14ac:dyDescent="0.35">
      <c r="A1433" s="4">
        <v>45553</v>
      </c>
      <c r="B1433" s="5">
        <v>0.4996990740740741</v>
      </c>
      <c r="C1433">
        <v>80.8</v>
      </c>
      <c r="D1433">
        <v>76</v>
      </c>
      <c r="E1433">
        <v>79.5</v>
      </c>
      <c r="F1433">
        <v>79.5</v>
      </c>
      <c r="G1433">
        <v>0</v>
      </c>
      <c r="H1433">
        <v>0</v>
      </c>
      <c r="I1433">
        <v>0</v>
      </c>
      <c r="J1433">
        <v>0</v>
      </c>
      <c r="K1433">
        <v>68.900000000000006</v>
      </c>
      <c r="L1433">
        <v>67.7</v>
      </c>
      <c r="M1433">
        <v>78.91</v>
      </c>
      <c r="N1433">
        <v>18</v>
      </c>
      <c r="O1433">
        <v>1</v>
      </c>
      <c r="P1433">
        <f>MOD(DAY(datos_siembra[[#This Row],[Date]]),7)</f>
        <v>4</v>
      </c>
      <c r="Q1433" t="str">
        <f>CHOOSE(WEEKDAY(datos_siembra[[#This Row],[Date]],2),"L","M","X","J","V","S","D")</f>
        <v>X</v>
      </c>
      <c r="R1433">
        <f>WEEKNUM(datos_siembra[[#This Row],[Date]],2)-WEEKNUM(DATE(YEAR(datos_siembra[[#This Row],[Date]]),MONTH(datos_siembra[[#This Row],[Date]]),1))+1</f>
        <v>3</v>
      </c>
      <c r="S1433">
        <f>MONTH(datos_siembra[[#This Row],[Date]])</f>
        <v>9</v>
      </c>
      <c r="T1433" t="str" cm="1">
        <f t="array" ref="T1433">_xlfn.IFS(AND(N1433&lt;= 22, S1433=9), "SOWING",AND(N1433&lt;= 28, S1433=9), "COVERAGE",AND(N1433&lt;= 30, S1433=9), "FLUSH",AND(N1433&lt;= 11, S1433=10), "FLUSH",AND(N1433&lt;= 21, S1433=10), "PRODUCTION")</f>
        <v>SOWING</v>
      </c>
      <c r="U1433">
        <f>HOUR(datos_siembra[[#This Row],[Hour]])</f>
        <v>11</v>
      </c>
      <c r="V1433" cm="1">
        <f t="array" ref="V1433">_xlfn.IFS(AND(N1433&lt;= 22, S1433=9), N1433-7,AND(N1433&lt;= 28, S1433=9), N1433-25,AND(N1433&lt;= 30, S1433=9), N1433-28,AND(N1433&lt;= 11, S1433=10), N1433+2,AND(N1433&lt;= 21, S1433=10), N1433-11)</f>
        <v>11</v>
      </c>
    </row>
    <row r="1434" spans="1:22" x14ac:dyDescent="0.35">
      <c r="A1434" s="4">
        <v>45553</v>
      </c>
      <c r="B1434" s="5">
        <v>0.50664351851851852</v>
      </c>
      <c r="C1434">
        <v>80.7</v>
      </c>
      <c r="D1434">
        <v>76</v>
      </c>
      <c r="E1434">
        <v>79.400000000000006</v>
      </c>
      <c r="F1434">
        <v>79</v>
      </c>
      <c r="G1434">
        <v>0</v>
      </c>
      <c r="H1434">
        <v>0</v>
      </c>
      <c r="I1434">
        <v>0</v>
      </c>
      <c r="J1434">
        <v>0</v>
      </c>
      <c r="K1434">
        <v>67.599999999999994</v>
      </c>
      <c r="L1434">
        <v>65.8</v>
      </c>
      <c r="M1434">
        <v>78.77</v>
      </c>
      <c r="N1434">
        <v>18</v>
      </c>
      <c r="O1434">
        <v>1</v>
      </c>
      <c r="P1434">
        <f>MOD(DAY(datos_siembra[[#This Row],[Date]]),7)</f>
        <v>4</v>
      </c>
      <c r="Q1434" t="str">
        <f>CHOOSE(WEEKDAY(datos_siembra[[#This Row],[Date]],2),"L","M","X","J","V","S","D")</f>
        <v>X</v>
      </c>
      <c r="R1434">
        <f>WEEKNUM(datos_siembra[[#This Row],[Date]],2)-WEEKNUM(DATE(YEAR(datos_siembra[[#This Row],[Date]]),MONTH(datos_siembra[[#This Row],[Date]]),1))+1</f>
        <v>3</v>
      </c>
      <c r="S1434">
        <f>MONTH(datos_siembra[[#This Row],[Date]])</f>
        <v>9</v>
      </c>
      <c r="T1434" t="str" cm="1">
        <f t="array" ref="T1434">_xlfn.IFS(AND(N1434&lt;= 22, S1434=9), "SOWING",AND(N1434&lt;= 28, S1434=9), "COVERAGE",AND(N1434&lt;= 30, S1434=9), "FLUSH",AND(N1434&lt;= 11, S1434=10), "FLUSH",AND(N1434&lt;= 21, S1434=10), "PRODUCTION")</f>
        <v>SOWING</v>
      </c>
      <c r="U1434">
        <f>HOUR(datos_siembra[[#This Row],[Hour]])</f>
        <v>12</v>
      </c>
      <c r="V1434" cm="1">
        <f t="array" ref="V1434">_xlfn.IFS(AND(N1434&lt;= 22, S1434=9), N1434-7,AND(N1434&lt;= 28, S1434=9), N1434-25,AND(N1434&lt;= 30, S1434=9), N1434-28,AND(N1434&lt;= 11, S1434=10), N1434+2,AND(N1434&lt;= 21, S1434=10), N1434-11)</f>
        <v>11</v>
      </c>
    </row>
    <row r="1435" spans="1:22" x14ac:dyDescent="0.35">
      <c r="A1435" s="4">
        <v>45553</v>
      </c>
      <c r="B1435" s="5">
        <v>0.51359953703703709</v>
      </c>
      <c r="C1435">
        <v>80.599999999999994</v>
      </c>
      <c r="D1435">
        <v>76.099999999999994</v>
      </c>
      <c r="E1435">
        <v>79.599999999999994</v>
      </c>
      <c r="F1435">
        <v>79.400000000000006</v>
      </c>
      <c r="G1435">
        <v>0</v>
      </c>
      <c r="H1435">
        <v>0</v>
      </c>
      <c r="I1435">
        <v>0</v>
      </c>
      <c r="J1435">
        <v>0</v>
      </c>
      <c r="K1435">
        <v>66.8</v>
      </c>
      <c r="L1435">
        <v>65</v>
      </c>
      <c r="M1435">
        <v>78.91</v>
      </c>
      <c r="N1435">
        <v>18</v>
      </c>
      <c r="O1435">
        <v>1</v>
      </c>
      <c r="P1435">
        <f>MOD(DAY(datos_siembra[[#This Row],[Date]]),7)</f>
        <v>4</v>
      </c>
      <c r="Q1435" t="str">
        <f>CHOOSE(WEEKDAY(datos_siembra[[#This Row],[Date]],2),"L","M","X","J","V","S","D")</f>
        <v>X</v>
      </c>
      <c r="R1435">
        <f>WEEKNUM(datos_siembra[[#This Row],[Date]],2)-WEEKNUM(DATE(YEAR(datos_siembra[[#This Row],[Date]]),MONTH(datos_siembra[[#This Row],[Date]]),1))+1</f>
        <v>3</v>
      </c>
      <c r="S1435">
        <f>MONTH(datos_siembra[[#This Row],[Date]])</f>
        <v>9</v>
      </c>
      <c r="T1435" t="str" cm="1">
        <f t="array" ref="T1435">_xlfn.IFS(AND(N1435&lt;= 22, S1435=9), "SOWING",AND(N1435&lt;= 28, S1435=9), "COVERAGE",AND(N1435&lt;= 30, S1435=9), "FLUSH",AND(N1435&lt;= 11, S1435=10), "FLUSH",AND(N1435&lt;= 21, S1435=10), "PRODUCTION")</f>
        <v>SOWING</v>
      </c>
      <c r="U1435">
        <f>HOUR(datos_siembra[[#This Row],[Hour]])</f>
        <v>12</v>
      </c>
      <c r="V1435" cm="1">
        <f t="array" ref="V1435">_xlfn.IFS(AND(N1435&lt;= 22, S1435=9), N1435-7,AND(N1435&lt;= 28, S1435=9), N1435-25,AND(N1435&lt;= 30, S1435=9), N1435-28,AND(N1435&lt;= 11, S1435=10), N1435+2,AND(N1435&lt;= 21, S1435=10), N1435-11)</f>
        <v>11</v>
      </c>
    </row>
    <row r="1436" spans="1:22" x14ac:dyDescent="0.35">
      <c r="A1436" s="4">
        <v>45553</v>
      </c>
      <c r="B1436" s="5">
        <v>0.52054398148148151</v>
      </c>
      <c r="C1436">
        <v>80.8</v>
      </c>
      <c r="D1436">
        <v>76</v>
      </c>
      <c r="E1436">
        <v>79.5</v>
      </c>
      <c r="F1436">
        <v>79.400000000000006</v>
      </c>
      <c r="G1436">
        <v>0</v>
      </c>
      <c r="H1436">
        <v>0</v>
      </c>
      <c r="I1436">
        <v>0</v>
      </c>
      <c r="J1436">
        <v>0</v>
      </c>
      <c r="K1436">
        <v>66.400000000000006</v>
      </c>
      <c r="L1436">
        <v>64.599999999999994</v>
      </c>
      <c r="M1436">
        <v>78.83</v>
      </c>
      <c r="N1436">
        <v>18</v>
      </c>
      <c r="O1436">
        <v>1</v>
      </c>
      <c r="P1436">
        <f>MOD(DAY(datos_siembra[[#This Row],[Date]]),7)</f>
        <v>4</v>
      </c>
      <c r="Q1436" t="str">
        <f>CHOOSE(WEEKDAY(datos_siembra[[#This Row],[Date]],2),"L","M","X","J","V","S","D")</f>
        <v>X</v>
      </c>
      <c r="R1436">
        <f>WEEKNUM(datos_siembra[[#This Row],[Date]],2)-WEEKNUM(DATE(YEAR(datos_siembra[[#This Row],[Date]]),MONTH(datos_siembra[[#This Row],[Date]]),1))+1</f>
        <v>3</v>
      </c>
      <c r="S1436">
        <f>MONTH(datos_siembra[[#This Row],[Date]])</f>
        <v>9</v>
      </c>
      <c r="T1436" t="str" cm="1">
        <f t="array" ref="T1436">_xlfn.IFS(AND(N1436&lt;= 22, S1436=9), "SOWING",AND(N1436&lt;= 28, S1436=9), "COVERAGE",AND(N1436&lt;= 30, S1436=9), "FLUSH",AND(N1436&lt;= 11, S1436=10), "FLUSH",AND(N1436&lt;= 21, S1436=10), "PRODUCTION")</f>
        <v>SOWING</v>
      </c>
      <c r="U1436">
        <f>HOUR(datos_siembra[[#This Row],[Hour]])</f>
        <v>12</v>
      </c>
      <c r="V1436" cm="1">
        <f t="array" ref="V1436">_xlfn.IFS(AND(N1436&lt;= 22, S1436=9), N1436-7,AND(N1436&lt;= 28, S1436=9), N1436-25,AND(N1436&lt;= 30, S1436=9), N1436-28,AND(N1436&lt;= 11, S1436=10), N1436+2,AND(N1436&lt;= 21, S1436=10), N1436-11)</f>
        <v>11</v>
      </c>
    </row>
    <row r="1437" spans="1:22" x14ac:dyDescent="0.35">
      <c r="A1437" s="4">
        <v>45553</v>
      </c>
      <c r="B1437" s="5">
        <v>0.52748842592592593</v>
      </c>
      <c r="C1437">
        <v>80.7</v>
      </c>
      <c r="D1437">
        <v>76.099999999999994</v>
      </c>
      <c r="E1437">
        <v>79.5</v>
      </c>
      <c r="F1437">
        <v>80.400000000000006</v>
      </c>
      <c r="G1437">
        <v>0</v>
      </c>
      <c r="H1437">
        <v>0</v>
      </c>
      <c r="I1437">
        <v>0</v>
      </c>
      <c r="J1437">
        <v>0</v>
      </c>
      <c r="K1437">
        <v>66.2</v>
      </c>
      <c r="L1437">
        <v>64.400000000000006</v>
      </c>
      <c r="M1437">
        <v>79</v>
      </c>
      <c r="N1437">
        <v>18</v>
      </c>
      <c r="O1437">
        <v>1</v>
      </c>
      <c r="P1437">
        <f>MOD(DAY(datos_siembra[[#This Row],[Date]]),7)</f>
        <v>4</v>
      </c>
      <c r="Q1437" t="str">
        <f>CHOOSE(WEEKDAY(datos_siembra[[#This Row],[Date]],2),"L","M","X","J","V","S","D")</f>
        <v>X</v>
      </c>
      <c r="R1437">
        <f>WEEKNUM(datos_siembra[[#This Row],[Date]],2)-WEEKNUM(DATE(YEAR(datos_siembra[[#This Row],[Date]]),MONTH(datos_siembra[[#This Row],[Date]]),1))+1</f>
        <v>3</v>
      </c>
      <c r="S1437">
        <f>MONTH(datos_siembra[[#This Row],[Date]])</f>
        <v>9</v>
      </c>
      <c r="T1437" t="str" cm="1">
        <f t="array" ref="T1437">_xlfn.IFS(AND(N1437&lt;= 22, S1437=9), "SOWING",AND(N1437&lt;= 28, S1437=9), "COVERAGE",AND(N1437&lt;= 30, S1437=9), "FLUSH",AND(N1437&lt;= 11, S1437=10), "FLUSH",AND(N1437&lt;= 21, S1437=10), "PRODUCTION")</f>
        <v>SOWING</v>
      </c>
      <c r="U1437">
        <f>HOUR(datos_siembra[[#This Row],[Hour]])</f>
        <v>12</v>
      </c>
      <c r="V1437" cm="1">
        <f t="array" ref="V1437">_xlfn.IFS(AND(N1437&lt;= 22, S1437=9), N1437-7,AND(N1437&lt;= 28, S1437=9), N1437-25,AND(N1437&lt;= 30, S1437=9), N1437-28,AND(N1437&lt;= 11, S1437=10), N1437+2,AND(N1437&lt;= 21, S1437=10), N1437-11)</f>
        <v>11</v>
      </c>
    </row>
    <row r="1438" spans="1:22" x14ac:dyDescent="0.35">
      <c r="A1438" s="4">
        <v>45553</v>
      </c>
      <c r="B1438" s="5">
        <v>0.5344444444444445</v>
      </c>
      <c r="C1438">
        <v>80.7</v>
      </c>
      <c r="D1438">
        <v>76.099999999999994</v>
      </c>
      <c r="E1438">
        <v>79.599999999999994</v>
      </c>
      <c r="F1438">
        <v>79.8</v>
      </c>
      <c r="G1438">
        <v>0</v>
      </c>
      <c r="H1438">
        <v>0</v>
      </c>
      <c r="I1438">
        <v>0</v>
      </c>
      <c r="J1438">
        <v>0</v>
      </c>
      <c r="K1438">
        <v>66.5</v>
      </c>
      <c r="L1438">
        <v>65</v>
      </c>
      <c r="M1438">
        <v>78.94</v>
      </c>
      <c r="N1438">
        <v>18</v>
      </c>
      <c r="O1438">
        <v>1</v>
      </c>
      <c r="P1438">
        <f>MOD(DAY(datos_siembra[[#This Row],[Date]]),7)</f>
        <v>4</v>
      </c>
      <c r="Q1438" t="str">
        <f>CHOOSE(WEEKDAY(datos_siembra[[#This Row],[Date]],2),"L","M","X","J","V","S","D")</f>
        <v>X</v>
      </c>
      <c r="R1438">
        <f>WEEKNUM(datos_siembra[[#This Row],[Date]],2)-WEEKNUM(DATE(YEAR(datos_siembra[[#This Row],[Date]]),MONTH(datos_siembra[[#This Row],[Date]]),1))+1</f>
        <v>3</v>
      </c>
      <c r="S1438">
        <f>MONTH(datos_siembra[[#This Row],[Date]])</f>
        <v>9</v>
      </c>
      <c r="T1438" t="str" cm="1">
        <f t="array" ref="T1438">_xlfn.IFS(AND(N1438&lt;= 22, S1438=9), "SOWING",AND(N1438&lt;= 28, S1438=9), "COVERAGE",AND(N1438&lt;= 30, S1438=9), "FLUSH",AND(N1438&lt;= 11, S1438=10), "FLUSH",AND(N1438&lt;= 21, S1438=10), "PRODUCTION")</f>
        <v>SOWING</v>
      </c>
      <c r="U1438">
        <f>HOUR(datos_siembra[[#This Row],[Hour]])</f>
        <v>12</v>
      </c>
      <c r="V1438" cm="1">
        <f t="array" ref="V1438">_xlfn.IFS(AND(N1438&lt;= 22, S1438=9), N1438-7,AND(N1438&lt;= 28, S1438=9), N1438-25,AND(N1438&lt;= 30, S1438=9), N1438-28,AND(N1438&lt;= 11, S1438=10), N1438+2,AND(N1438&lt;= 21, S1438=10), N1438-11)</f>
        <v>11</v>
      </c>
    </row>
    <row r="1439" spans="1:22" x14ac:dyDescent="0.35">
      <c r="A1439" s="4">
        <v>45553</v>
      </c>
      <c r="B1439" s="5">
        <v>0.54138888888888892</v>
      </c>
      <c r="C1439">
        <v>80.8</v>
      </c>
      <c r="D1439">
        <v>76</v>
      </c>
      <c r="E1439">
        <v>79.400000000000006</v>
      </c>
      <c r="F1439">
        <v>79.5</v>
      </c>
      <c r="G1439">
        <v>0</v>
      </c>
      <c r="H1439">
        <v>0</v>
      </c>
      <c r="I1439">
        <v>0</v>
      </c>
      <c r="J1439">
        <v>0</v>
      </c>
      <c r="K1439">
        <v>67.8</v>
      </c>
      <c r="L1439">
        <v>66.5</v>
      </c>
      <c r="M1439">
        <v>79.02</v>
      </c>
      <c r="N1439">
        <v>18</v>
      </c>
      <c r="O1439">
        <v>1</v>
      </c>
      <c r="P1439">
        <f>MOD(DAY(datos_siembra[[#This Row],[Date]]),7)</f>
        <v>4</v>
      </c>
      <c r="Q1439" t="str">
        <f>CHOOSE(WEEKDAY(datos_siembra[[#This Row],[Date]],2),"L","M","X","J","V","S","D")</f>
        <v>X</v>
      </c>
      <c r="R1439">
        <f>WEEKNUM(datos_siembra[[#This Row],[Date]],2)-WEEKNUM(DATE(YEAR(datos_siembra[[#This Row],[Date]]),MONTH(datos_siembra[[#This Row],[Date]]),1))+1</f>
        <v>3</v>
      </c>
      <c r="S1439">
        <f>MONTH(datos_siembra[[#This Row],[Date]])</f>
        <v>9</v>
      </c>
      <c r="T1439" t="str" cm="1">
        <f t="array" ref="T1439">_xlfn.IFS(AND(N1439&lt;= 22, S1439=9), "SOWING",AND(N1439&lt;= 28, S1439=9), "COVERAGE",AND(N1439&lt;= 30, S1439=9), "FLUSH",AND(N1439&lt;= 11, S1439=10), "FLUSH",AND(N1439&lt;= 21, S1439=10), "PRODUCTION")</f>
        <v>SOWING</v>
      </c>
      <c r="U1439">
        <f>HOUR(datos_siembra[[#This Row],[Hour]])</f>
        <v>12</v>
      </c>
      <c r="V1439" cm="1">
        <f t="array" ref="V1439">_xlfn.IFS(AND(N1439&lt;= 22, S1439=9), N1439-7,AND(N1439&lt;= 28, S1439=9), N1439-25,AND(N1439&lt;= 30, S1439=9), N1439-28,AND(N1439&lt;= 11, S1439=10), N1439+2,AND(N1439&lt;= 21, S1439=10), N1439-11)</f>
        <v>11</v>
      </c>
    </row>
    <row r="1440" spans="1:22" x14ac:dyDescent="0.35">
      <c r="A1440" s="4">
        <v>45553</v>
      </c>
      <c r="B1440" s="5">
        <v>0.54833333333333334</v>
      </c>
      <c r="C1440">
        <v>80.8</v>
      </c>
      <c r="D1440">
        <v>76.099999999999994</v>
      </c>
      <c r="E1440">
        <v>79.5</v>
      </c>
      <c r="F1440">
        <v>79.5</v>
      </c>
      <c r="G1440">
        <v>0</v>
      </c>
      <c r="H1440">
        <v>0</v>
      </c>
      <c r="I1440">
        <v>0</v>
      </c>
      <c r="J1440">
        <v>0</v>
      </c>
      <c r="K1440">
        <v>68.099999999999994</v>
      </c>
      <c r="L1440">
        <v>66.900000000000006</v>
      </c>
      <c r="M1440">
        <v>78.97</v>
      </c>
      <c r="N1440">
        <v>18</v>
      </c>
      <c r="O1440">
        <v>1</v>
      </c>
      <c r="P1440">
        <f>MOD(DAY(datos_siembra[[#This Row],[Date]]),7)</f>
        <v>4</v>
      </c>
      <c r="Q1440" t="str">
        <f>CHOOSE(WEEKDAY(datos_siembra[[#This Row],[Date]],2),"L","M","X","J","V","S","D")</f>
        <v>X</v>
      </c>
      <c r="R1440">
        <f>WEEKNUM(datos_siembra[[#This Row],[Date]],2)-WEEKNUM(DATE(YEAR(datos_siembra[[#This Row],[Date]]),MONTH(datos_siembra[[#This Row],[Date]]),1))+1</f>
        <v>3</v>
      </c>
      <c r="S1440">
        <f>MONTH(datos_siembra[[#This Row],[Date]])</f>
        <v>9</v>
      </c>
      <c r="T1440" t="str" cm="1">
        <f t="array" ref="T1440">_xlfn.IFS(AND(N1440&lt;= 22, S1440=9), "SOWING",AND(N1440&lt;= 28, S1440=9), "COVERAGE",AND(N1440&lt;= 30, S1440=9), "FLUSH",AND(N1440&lt;= 11, S1440=10), "FLUSH",AND(N1440&lt;= 21, S1440=10), "PRODUCTION")</f>
        <v>SOWING</v>
      </c>
      <c r="U1440">
        <f>HOUR(datos_siembra[[#This Row],[Hour]])</f>
        <v>13</v>
      </c>
      <c r="V1440" cm="1">
        <f t="array" ref="V1440">_xlfn.IFS(AND(N1440&lt;= 22, S1440=9), N1440-7,AND(N1440&lt;= 28, S1440=9), N1440-25,AND(N1440&lt;= 30, S1440=9), N1440-28,AND(N1440&lt;= 11, S1440=10), N1440+2,AND(N1440&lt;= 21, S1440=10), N1440-11)</f>
        <v>11</v>
      </c>
    </row>
    <row r="1441" spans="1:22" x14ac:dyDescent="0.35">
      <c r="A1441" s="4">
        <v>45553</v>
      </c>
      <c r="B1441" s="5">
        <v>0.55527777777777776</v>
      </c>
      <c r="C1441">
        <v>80.7</v>
      </c>
      <c r="D1441">
        <v>76.099999999999994</v>
      </c>
      <c r="E1441">
        <v>79.5</v>
      </c>
      <c r="F1441">
        <v>79.599999999999994</v>
      </c>
      <c r="G1441">
        <v>0</v>
      </c>
      <c r="H1441">
        <v>0</v>
      </c>
      <c r="I1441">
        <v>0</v>
      </c>
      <c r="J1441">
        <v>0</v>
      </c>
      <c r="K1441">
        <v>68.3</v>
      </c>
      <c r="L1441">
        <v>67</v>
      </c>
      <c r="M1441">
        <v>79.05</v>
      </c>
      <c r="N1441">
        <v>18</v>
      </c>
      <c r="O1441">
        <v>1</v>
      </c>
      <c r="P1441">
        <f>MOD(DAY(datos_siembra[[#This Row],[Date]]),7)</f>
        <v>4</v>
      </c>
      <c r="Q1441" t="str">
        <f>CHOOSE(WEEKDAY(datos_siembra[[#This Row],[Date]],2),"L","M","X","J","V","S","D")</f>
        <v>X</v>
      </c>
      <c r="R1441">
        <f>WEEKNUM(datos_siembra[[#This Row],[Date]],2)-WEEKNUM(DATE(YEAR(datos_siembra[[#This Row],[Date]]),MONTH(datos_siembra[[#This Row],[Date]]),1))+1</f>
        <v>3</v>
      </c>
      <c r="S1441">
        <f>MONTH(datos_siembra[[#This Row],[Date]])</f>
        <v>9</v>
      </c>
      <c r="T1441" t="str" cm="1">
        <f t="array" ref="T1441">_xlfn.IFS(AND(N1441&lt;= 22, S1441=9), "SOWING",AND(N1441&lt;= 28, S1441=9), "COVERAGE",AND(N1441&lt;= 30, S1441=9), "FLUSH",AND(N1441&lt;= 11, S1441=10), "FLUSH",AND(N1441&lt;= 21, S1441=10), "PRODUCTION")</f>
        <v>SOWING</v>
      </c>
      <c r="U1441">
        <f>HOUR(datos_siembra[[#This Row],[Hour]])</f>
        <v>13</v>
      </c>
      <c r="V1441" cm="1">
        <f t="array" ref="V1441">_xlfn.IFS(AND(N1441&lt;= 22, S1441=9), N1441-7,AND(N1441&lt;= 28, S1441=9), N1441-25,AND(N1441&lt;= 30, S1441=9), N1441-28,AND(N1441&lt;= 11, S1441=10), N1441+2,AND(N1441&lt;= 21, S1441=10), N1441-11)</f>
        <v>11</v>
      </c>
    </row>
    <row r="1442" spans="1:22" x14ac:dyDescent="0.35">
      <c r="A1442" s="4">
        <v>45553</v>
      </c>
      <c r="B1442" s="5">
        <v>0.56223379629629633</v>
      </c>
      <c r="C1442">
        <v>80.7</v>
      </c>
      <c r="D1442">
        <v>76.099999999999994</v>
      </c>
      <c r="E1442">
        <v>79.7</v>
      </c>
      <c r="F1442">
        <v>79.900000000000006</v>
      </c>
      <c r="G1442">
        <v>0</v>
      </c>
      <c r="H1442">
        <v>0</v>
      </c>
      <c r="I1442">
        <v>0</v>
      </c>
      <c r="J1442">
        <v>0</v>
      </c>
      <c r="K1442">
        <v>68.5</v>
      </c>
      <c r="L1442">
        <v>67.2</v>
      </c>
      <c r="M1442">
        <v>79.14</v>
      </c>
      <c r="N1442">
        <v>18</v>
      </c>
      <c r="O1442">
        <v>1</v>
      </c>
      <c r="P1442">
        <f>MOD(DAY(datos_siembra[[#This Row],[Date]]),7)</f>
        <v>4</v>
      </c>
      <c r="Q1442" t="str">
        <f>CHOOSE(WEEKDAY(datos_siembra[[#This Row],[Date]],2),"L","M","X","J","V","S","D")</f>
        <v>X</v>
      </c>
      <c r="R1442">
        <f>WEEKNUM(datos_siembra[[#This Row],[Date]],2)-WEEKNUM(DATE(YEAR(datos_siembra[[#This Row],[Date]]),MONTH(datos_siembra[[#This Row],[Date]]),1))+1</f>
        <v>3</v>
      </c>
      <c r="S1442">
        <f>MONTH(datos_siembra[[#This Row],[Date]])</f>
        <v>9</v>
      </c>
      <c r="T1442" t="str" cm="1">
        <f t="array" ref="T1442">_xlfn.IFS(AND(N1442&lt;= 22, S1442=9), "SOWING",AND(N1442&lt;= 28, S1442=9), "COVERAGE",AND(N1442&lt;= 30, S1442=9), "FLUSH",AND(N1442&lt;= 11, S1442=10), "FLUSH",AND(N1442&lt;= 21, S1442=10), "PRODUCTION")</f>
        <v>SOWING</v>
      </c>
      <c r="U1442">
        <f>HOUR(datos_siembra[[#This Row],[Hour]])</f>
        <v>13</v>
      </c>
      <c r="V1442" cm="1">
        <f t="array" ref="V1442">_xlfn.IFS(AND(N1442&lt;= 22, S1442=9), N1442-7,AND(N1442&lt;= 28, S1442=9), N1442-25,AND(N1442&lt;= 30, S1442=9), N1442-28,AND(N1442&lt;= 11, S1442=10), N1442+2,AND(N1442&lt;= 21, S1442=10), N1442-11)</f>
        <v>11</v>
      </c>
    </row>
    <row r="1443" spans="1:22" x14ac:dyDescent="0.35">
      <c r="A1443" s="4">
        <v>45553</v>
      </c>
      <c r="B1443" s="5">
        <v>0.56917824074074075</v>
      </c>
      <c r="C1443">
        <v>80.8</v>
      </c>
      <c r="D1443">
        <v>76.2</v>
      </c>
      <c r="E1443">
        <v>79.599999999999994</v>
      </c>
      <c r="F1443">
        <v>80.3</v>
      </c>
      <c r="G1443">
        <v>0</v>
      </c>
      <c r="H1443">
        <v>0</v>
      </c>
      <c r="I1443">
        <v>0</v>
      </c>
      <c r="J1443">
        <v>0</v>
      </c>
      <c r="K1443">
        <v>68.7</v>
      </c>
      <c r="L1443">
        <v>67.400000000000006</v>
      </c>
      <c r="M1443">
        <v>79.17</v>
      </c>
      <c r="N1443">
        <v>18</v>
      </c>
      <c r="O1443">
        <v>1</v>
      </c>
      <c r="P1443">
        <f>MOD(DAY(datos_siembra[[#This Row],[Date]]),7)</f>
        <v>4</v>
      </c>
      <c r="Q1443" t="str">
        <f>CHOOSE(WEEKDAY(datos_siembra[[#This Row],[Date]],2),"L","M","X","J","V","S","D")</f>
        <v>X</v>
      </c>
      <c r="R1443">
        <f>WEEKNUM(datos_siembra[[#This Row],[Date]],2)-WEEKNUM(DATE(YEAR(datos_siembra[[#This Row],[Date]]),MONTH(datos_siembra[[#This Row],[Date]]),1))+1</f>
        <v>3</v>
      </c>
      <c r="S1443">
        <f>MONTH(datos_siembra[[#This Row],[Date]])</f>
        <v>9</v>
      </c>
      <c r="T1443" t="str" cm="1">
        <f t="array" ref="T1443">_xlfn.IFS(AND(N1443&lt;= 22, S1443=9), "SOWING",AND(N1443&lt;= 28, S1443=9), "COVERAGE",AND(N1443&lt;= 30, S1443=9), "FLUSH",AND(N1443&lt;= 11, S1443=10), "FLUSH",AND(N1443&lt;= 21, S1443=10), "PRODUCTION")</f>
        <v>SOWING</v>
      </c>
      <c r="U1443">
        <f>HOUR(datos_siembra[[#This Row],[Hour]])</f>
        <v>13</v>
      </c>
      <c r="V1443" cm="1">
        <f t="array" ref="V1443">_xlfn.IFS(AND(N1443&lt;= 22, S1443=9), N1443-7,AND(N1443&lt;= 28, S1443=9), N1443-25,AND(N1443&lt;= 30, S1443=9), N1443-28,AND(N1443&lt;= 11, S1443=10), N1443+2,AND(N1443&lt;= 21, S1443=10), N1443-11)</f>
        <v>11</v>
      </c>
    </row>
    <row r="1444" spans="1:22" x14ac:dyDescent="0.35">
      <c r="A1444" s="4">
        <v>45553</v>
      </c>
      <c r="B1444" s="5">
        <v>0.57612268518518517</v>
      </c>
      <c r="C1444">
        <v>80.8</v>
      </c>
      <c r="D1444">
        <v>76.2</v>
      </c>
      <c r="E1444">
        <v>79.5</v>
      </c>
      <c r="F1444">
        <v>80.400000000000006</v>
      </c>
      <c r="G1444">
        <v>0</v>
      </c>
      <c r="H1444">
        <v>0</v>
      </c>
      <c r="I1444">
        <v>0</v>
      </c>
      <c r="J1444">
        <v>0</v>
      </c>
      <c r="K1444">
        <v>68.900000000000006</v>
      </c>
      <c r="L1444">
        <v>67.599999999999994</v>
      </c>
      <c r="M1444">
        <v>79.25</v>
      </c>
      <c r="N1444">
        <v>18</v>
      </c>
      <c r="O1444">
        <v>1</v>
      </c>
      <c r="P1444">
        <f>MOD(DAY(datos_siembra[[#This Row],[Date]]),7)</f>
        <v>4</v>
      </c>
      <c r="Q1444" t="str">
        <f>CHOOSE(WEEKDAY(datos_siembra[[#This Row],[Date]],2),"L","M","X","J","V","S","D")</f>
        <v>X</v>
      </c>
      <c r="R1444">
        <f>WEEKNUM(datos_siembra[[#This Row],[Date]],2)-WEEKNUM(DATE(YEAR(datos_siembra[[#This Row],[Date]]),MONTH(datos_siembra[[#This Row],[Date]]),1))+1</f>
        <v>3</v>
      </c>
      <c r="S1444">
        <f>MONTH(datos_siembra[[#This Row],[Date]])</f>
        <v>9</v>
      </c>
      <c r="T1444" t="str" cm="1">
        <f t="array" ref="T1444">_xlfn.IFS(AND(N1444&lt;= 22, S1444=9), "SOWING",AND(N1444&lt;= 28, S1444=9), "COVERAGE",AND(N1444&lt;= 30, S1444=9), "FLUSH",AND(N1444&lt;= 11, S1444=10), "FLUSH",AND(N1444&lt;= 21, S1444=10), "PRODUCTION")</f>
        <v>SOWING</v>
      </c>
      <c r="U1444">
        <f>HOUR(datos_siembra[[#This Row],[Hour]])</f>
        <v>13</v>
      </c>
      <c r="V1444" cm="1">
        <f t="array" ref="V1444">_xlfn.IFS(AND(N1444&lt;= 22, S1444=9), N1444-7,AND(N1444&lt;= 28, S1444=9), N1444-25,AND(N1444&lt;= 30, S1444=9), N1444-28,AND(N1444&lt;= 11, S1444=10), N1444+2,AND(N1444&lt;= 21, S1444=10), N1444-11)</f>
        <v>11</v>
      </c>
    </row>
    <row r="1445" spans="1:22" x14ac:dyDescent="0.35">
      <c r="A1445" s="4">
        <v>45553</v>
      </c>
      <c r="B1445" s="5">
        <v>0.58307870370370374</v>
      </c>
      <c r="C1445">
        <v>80.900000000000006</v>
      </c>
      <c r="D1445">
        <v>76.3</v>
      </c>
      <c r="E1445">
        <v>79.599999999999994</v>
      </c>
      <c r="F1445">
        <v>80.400000000000006</v>
      </c>
      <c r="G1445">
        <v>0</v>
      </c>
      <c r="H1445">
        <v>0</v>
      </c>
      <c r="I1445">
        <v>0</v>
      </c>
      <c r="J1445">
        <v>0</v>
      </c>
      <c r="K1445">
        <v>68.8</v>
      </c>
      <c r="L1445">
        <v>67.400000000000006</v>
      </c>
      <c r="M1445">
        <v>79.22</v>
      </c>
      <c r="N1445">
        <v>18</v>
      </c>
      <c r="O1445">
        <v>1</v>
      </c>
      <c r="P1445">
        <f>MOD(DAY(datos_siembra[[#This Row],[Date]]),7)</f>
        <v>4</v>
      </c>
      <c r="Q1445" t="str">
        <f>CHOOSE(WEEKDAY(datos_siembra[[#This Row],[Date]],2),"L","M","X","J","V","S","D")</f>
        <v>X</v>
      </c>
      <c r="R1445">
        <f>WEEKNUM(datos_siembra[[#This Row],[Date]],2)-WEEKNUM(DATE(YEAR(datos_siembra[[#This Row],[Date]]),MONTH(datos_siembra[[#This Row],[Date]]),1))+1</f>
        <v>3</v>
      </c>
      <c r="S1445">
        <f>MONTH(datos_siembra[[#This Row],[Date]])</f>
        <v>9</v>
      </c>
      <c r="T1445" t="str" cm="1">
        <f t="array" ref="T1445">_xlfn.IFS(AND(N1445&lt;= 22, S1445=9), "SOWING",AND(N1445&lt;= 28, S1445=9), "COVERAGE",AND(N1445&lt;= 30, S1445=9), "FLUSH",AND(N1445&lt;= 11, S1445=10), "FLUSH",AND(N1445&lt;= 21, S1445=10), "PRODUCTION")</f>
        <v>SOWING</v>
      </c>
      <c r="U1445">
        <f>HOUR(datos_siembra[[#This Row],[Hour]])</f>
        <v>13</v>
      </c>
      <c r="V1445" cm="1">
        <f t="array" ref="V1445">_xlfn.IFS(AND(N1445&lt;= 22, S1445=9), N1445-7,AND(N1445&lt;= 28, S1445=9), N1445-25,AND(N1445&lt;= 30, S1445=9), N1445-28,AND(N1445&lt;= 11, S1445=10), N1445+2,AND(N1445&lt;= 21, S1445=10), N1445-11)</f>
        <v>11</v>
      </c>
    </row>
    <row r="1446" spans="1:22" x14ac:dyDescent="0.35">
      <c r="A1446" s="4">
        <v>45553</v>
      </c>
      <c r="B1446" s="5">
        <v>0.59002314814814816</v>
      </c>
      <c r="C1446">
        <v>80.900000000000006</v>
      </c>
      <c r="D1446">
        <v>76.2</v>
      </c>
      <c r="E1446">
        <v>79.7</v>
      </c>
      <c r="F1446">
        <v>80.599999999999994</v>
      </c>
      <c r="G1446">
        <v>0</v>
      </c>
      <c r="H1446">
        <v>0</v>
      </c>
      <c r="I1446">
        <v>0</v>
      </c>
      <c r="J1446">
        <v>0</v>
      </c>
      <c r="K1446">
        <v>67.400000000000006</v>
      </c>
      <c r="L1446">
        <v>65.599999999999994</v>
      </c>
      <c r="M1446">
        <v>79.39</v>
      </c>
      <c r="N1446">
        <v>18</v>
      </c>
      <c r="O1446">
        <v>1</v>
      </c>
      <c r="P1446">
        <f>MOD(DAY(datos_siembra[[#This Row],[Date]]),7)</f>
        <v>4</v>
      </c>
      <c r="Q1446" t="str">
        <f>CHOOSE(WEEKDAY(datos_siembra[[#This Row],[Date]],2),"L","M","X","J","V","S","D")</f>
        <v>X</v>
      </c>
      <c r="R1446">
        <f>WEEKNUM(datos_siembra[[#This Row],[Date]],2)-WEEKNUM(DATE(YEAR(datos_siembra[[#This Row],[Date]]),MONTH(datos_siembra[[#This Row],[Date]]),1))+1</f>
        <v>3</v>
      </c>
      <c r="S1446">
        <f>MONTH(datos_siembra[[#This Row],[Date]])</f>
        <v>9</v>
      </c>
      <c r="T1446" t="str" cm="1">
        <f t="array" ref="T1446">_xlfn.IFS(AND(N1446&lt;= 22, S1446=9), "SOWING",AND(N1446&lt;= 28, S1446=9), "COVERAGE",AND(N1446&lt;= 30, S1446=9), "FLUSH",AND(N1446&lt;= 11, S1446=10), "FLUSH",AND(N1446&lt;= 21, S1446=10), "PRODUCTION")</f>
        <v>SOWING</v>
      </c>
      <c r="U1446">
        <f>HOUR(datos_siembra[[#This Row],[Hour]])</f>
        <v>14</v>
      </c>
      <c r="V1446" cm="1">
        <f t="array" ref="V1446">_xlfn.IFS(AND(N1446&lt;= 22, S1446=9), N1446-7,AND(N1446&lt;= 28, S1446=9), N1446-25,AND(N1446&lt;= 30, S1446=9), N1446-28,AND(N1446&lt;= 11, S1446=10), N1446+2,AND(N1446&lt;= 21, S1446=10), N1446-11)</f>
        <v>11</v>
      </c>
    </row>
    <row r="1447" spans="1:22" x14ac:dyDescent="0.35">
      <c r="A1447" s="4">
        <v>45553</v>
      </c>
      <c r="B1447" s="5">
        <v>0.59696759259259258</v>
      </c>
      <c r="C1447">
        <v>80.900000000000006</v>
      </c>
      <c r="D1447">
        <v>76.400000000000006</v>
      </c>
      <c r="E1447">
        <v>79.599999999999994</v>
      </c>
      <c r="F1447">
        <v>80.7</v>
      </c>
      <c r="G1447">
        <v>0</v>
      </c>
      <c r="H1447">
        <v>0</v>
      </c>
      <c r="I1447">
        <v>0</v>
      </c>
      <c r="J1447">
        <v>0</v>
      </c>
      <c r="K1447">
        <v>67</v>
      </c>
      <c r="L1447">
        <v>65.2</v>
      </c>
      <c r="M1447">
        <v>79.42</v>
      </c>
      <c r="N1447">
        <v>18</v>
      </c>
      <c r="O1447">
        <v>1</v>
      </c>
      <c r="P1447">
        <f>MOD(DAY(datos_siembra[[#This Row],[Date]]),7)</f>
        <v>4</v>
      </c>
      <c r="Q1447" t="str">
        <f>CHOOSE(WEEKDAY(datos_siembra[[#This Row],[Date]],2),"L","M","X","J","V","S","D")</f>
        <v>X</v>
      </c>
      <c r="R1447">
        <f>WEEKNUM(datos_siembra[[#This Row],[Date]],2)-WEEKNUM(DATE(YEAR(datos_siembra[[#This Row],[Date]]),MONTH(datos_siembra[[#This Row],[Date]]),1))+1</f>
        <v>3</v>
      </c>
      <c r="S1447">
        <f>MONTH(datos_siembra[[#This Row],[Date]])</f>
        <v>9</v>
      </c>
      <c r="T1447" t="str" cm="1">
        <f t="array" ref="T1447">_xlfn.IFS(AND(N1447&lt;= 22, S1447=9), "SOWING",AND(N1447&lt;= 28, S1447=9), "COVERAGE",AND(N1447&lt;= 30, S1447=9), "FLUSH",AND(N1447&lt;= 11, S1447=10), "FLUSH",AND(N1447&lt;= 21, S1447=10), "PRODUCTION")</f>
        <v>SOWING</v>
      </c>
      <c r="U1447">
        <f>HOUR(datos_siembra[[#This Row],[Hour]])</f>
        <v>14</v>
      </c>
      <c r="V1447" cm="1">
        <f t="array" ref="V1447">_xlfn.IFS(AND(N1447&lt;= 22, S1447=9), N1447-7,AND(N1447&lt;= 28, S1447=9), N1447-25,AND(N1447&lt;= 30, S1447=9), N1447-28,AND(N1447&lt;= 11, S1447=10), N1447+2,AND(N1447&lt;= 21, S1447=10), N1447-11)</f>
        <v>11</v>
      </c>
    </row>
    <row r="1448" spans="1:22" x14ac:dyDescent="0.35">
      <c r="A1448" s="4">
        <v>45553</v>
      </c>
      <c r="B1448" s="5">
        <v>0.603912037037037</v>
      </c>
      <c r="C1448">
        <v>80.8</v>
      </c>
      <c r="D1448">
        <v>76.3</v>
      </c>
      <c r="E1448">
        <v>79.7</v>
      </c>
      <c r="F1448">
        <v>80.900000000000006</v>
      </c>
      <c r="G1448">
        <v>0</v>
      </c>
      <c r="H1448">
        <v>0</v>
      </c>
      <c r="I1448">
        <v>0</v>
      </c>
      <c r="J1448">
        <v>0</v>
      </c>
      <c r="K1448">
        <v>66.5</v>
      </c>
      <c r="L1448">
        <v>64.7</v>
      </c>
      <c r="M1448">
        <v>79.33</v>
      </c>
      <c r="N1448">
        <v>18</v>
      </c>
      <c r="O1448">
        <v>1</v>
      </c>
      <c r="P1448">
        <f>MOD(DAY(datos_siembra[[#This Row],[Date]]),7)</f>
        <v>4</v>
      </c>
      <c r="Q1448" t="str">
        <f>CHOOSE(WEEKDAY(datos_siembra[[#This Row],[Date]],2),"L","M","X","J","V","S","D")</f>
        <v>X</v>
      </c>
      <c r="R1448">
        <f>WEEKNUM(datos_siembra[[#This Row],[Date]],2)-WEEKNUM(DATE(YEAR(datos_siembra[[#This Row],[Date]]),MONTH(datos_siembra[[#This Row],[Date]]),1))+1</f>
        <v>3</v>
      </c>
      <c r="S1448">
        <f>MONTH(datos_siembra[[#This Row],[Date]])</f>
        <v>9</v>
      </c>
      <c r="T1448" t="str" cm="1">
        <f t="array" ref="T1448">_xlfn.IFS(AND(N1448&lt;= 22, S1448=9), "SOWING",AND(N1448&lt;= 28, S1448=9), "COVERAGE",AND(N1448&lt;= 30, S1448=9), "FLUSH",AND(N1448&lt;= 11, S1448=10), "FLUSH",AND(N1448&lt;= 21, S1448=10), "PRODUCTION")</f>
        <v>SOWING</v>
      </c>
      <c r="U1448">
        <f>HOUR(datos_siembra[[#This Row],[Hour]])</f>
        <v>14</v>
      </c>
      <c r="V1448" cm="1">
        <f t="array" ref="V1448">_xlfn.IFS(AND(N1448&lt;= 22, S1448=9), N1448-7,AND(N1448&lt;= 28, S1448=9), N1448-25,AND(N1448&lt;= 30, S1448=9), N1448-28,AND(N1448&lt;= 11, S1448=10), N1448+2,AND(N1448&lt;= 21, S1448=10), N1448-11)</f>
        <v>11</v>
      </c>
    </row>
    <row r="1449" spans="1:22" x14ac:dyDescent="0.35">
      <c r="A1449" s="4">
        <v>45553</v>
      </c>
      <c r="B1449" s="5">
        <v>0.61086805555555557</v>
      </c>
      <c r="C1449">
        <v>80.900000000000006</v>
      </c>
      <c r="D1449">
        <v>76.3</v>
      </c>
      <c r="E1449">
        <v>79.5</v>
      </c>
      <c r="F1449">
        <v>80.900000000000006</v>
      </c>
      <c r="G1449">
        <v>0</v>
      </c>
      <c r="H1449">
        <v>0</v>
      </c>
      <c r="I1449">
        <v>0</v>
      </c>
      <c r="J1449">
        <v>0</v>
      </c>
      <c r="K1449">
        <v>66.8</v>
      </c>
      <c r="L1449">
        <v>65.099999999999994</v>
      </c>
      <c r="M1449">
        <v>79.42</v>
      </c>
      <c r="N1449">
        <v>18</v>
      </c>
      <c r="O1449">
        <v>1</v>
      </c>
      <c r="P1449">
        <f>MOD(DAY(datos_siembra[[#This Row],[Date]]),7)</f>
        <v>4</v>
      </c>
      <c r="Q1449" t="str">
        <f>CHOOSE(WEEKDAY(datos_siembra[[#This Row],[Date]],2),"L","M","X","J","V","S","D")</f>
        <v>X</v>
      </c>
      <c r="R1449">
        <f>WEEKNUM(datos_siembra[[#This Row],[Date]],2)-WEEKNUM(DATE(YEAR(datos_siembra[[#This Row],[Date]]),MONTH(datos_siembra[[#This Row],[Date]]),1))+1</f>
        <v>3</v>
      </c>
      <c r="S1449">
        <f>MONTH(datos_siembra[[#This Row],[Date]])</f>
        <v>9</v>
      </c>
      <c r="T1449" t="str" cm="1">
        <f t="array" ref="T1449">_xlfn.IFS(AND(N1449&lt;= 22, S1449=9), "SOWING",AND(N1449&lt;= 28, S1449=9), "COVERAGE",AND(N1449&lt;= 30, S1449=9), "FLUSH",AND(N1449&lt;= 11, S1449=10), "FLUSH",AND(N1449&lt;= 21, S1449=10), "PRODUCTION")</f>
        <v>SOWING</v>
      </c>
      <c r="U1449">
        <f>HOUR(datos_siembra[[#This Row],[Hour]])</f>
        <v>14</v>
      </c>
      <c r="V1449" cm="1">
        <f t="array" ref="V1449">_xlfn.IFS(AND(N1449&lt;= 22, S1449=9), N1449-7,AND(N1449&lt;= 28, S1449=9), N1449-25,AND(N1449&lt;= 30, S1449=9), N1449-28,AND(N1449&lt;= 11, S1449=10), N1449+2,AND(N1449&lt;= 21, S1449=10), N1449-11)</f>
        <v>11</v>
      </c>
    </row>
    <row r="1450" spans="1:22" x14ac:dyDescent="0.35">
      <c r="A1450" s="4">
        <v>45553</v>
      </c>
      <c r="B1450" s="5">
        <v>0.61781249999999999</v>
      </c>
      <c r="C1450">
        <v>80.7</v>
      </c>
      <c r="D1450">
        <v>76.3</v>
      </c>
      <c r="E1450">
        <v>79.7</v>
      </c>
      <c r="F1450">
        <v>81.099999999999994</v>
      </c>
      <c r="G1450">
        <v>0</v>
      </c>
      <c r="H1450">
        <v>0</v>
      </c>
      <c r="I1450">
        <v>0</v>
      </c>
      <c r="J1450">
        <v>0</v>
      </c>
      <c r="K1450">
        <v>67.900000000000006</v>
      </c>
      <c r="L1450">
        <v>66.8</v>
      </c>
      <c r="M1450">
        <v>79.45</v>
      </c>
      <c r="N1450">
        <v>18</v>
      </c>
      <c r="O1450">
        <v>1</v>
      </c>
      <c r="P1450">
        <f>MOD(DAY(datos_siembra[[#This Row],[Date]]),7)</f>
        <v>4</v>
      </c>
      <c r="Q1450" t="str">
        <f>CHOOSE(WEEKDAY(datos_siembra[[#This Row],[Date]],2),"L","M","X","J","V","S","D")</f>
        <v>X</v>
      </c>
      <c r="R1450">
        <f>WEEKNUM(datos_siembra[[#This Row],[Date]],2)-WEEKNUM(DATE(YEAR(datos_siembra[[#This Row],[Date]]),MONTH(datos_siembra[[#This Row],[Date]]),1))+1</f>
        <v>3</v>
      </c>
      <c r="S1450">
        <f>MONTH(datos_siembra[[#This Row],[Date]])</f>
        <v>9</v>
      </c>
      <c r="T1450" t="str" cm="1">
        <f t="array" ref="T1450">_xlfn.IFS(AND(N1450&lt;= 22, S1450=9), "SOWING",AND(N1450&lt;= 28, S1450=9), "COVERAGE",AND(N1450&lt;= 30, S1450=9), "FLUSH",AND(N1450&lt;= 11, S1450=10), "FLUSH",AND(N1450&lt;= 21, S1450=10), "PRODUCTION")</f>
        <v>SOWING</v>
      </c>
      <c r="U1450">
        <f>HOUR(datos_siembra[[#This Row],[Hour]])</f>
        <v>14</v>
      </c>
      <c r="V1450" cm="1">
        <f t="array" ref="V1450">_xlfn.IFS(AND(N1450&lt;= 22, S1450=9), N1450-7,AND(N1450&lt;= 28, S1450=9), N1450-25,AND(N1450&lt;= 30, S1450=9), N1450-28,AND(N1450&lt;= 11, S1450=10), N1450+2,AND(N1450&lt;= 21, S1450=10), N1450-11)</f>
        <v>11</v>
      </c>
    </row>
    <row r="1451" spans="1:22" x14ac:dyDescent="0.35">
      <c r="A1451" s="4">
        <v>45553</v>
      </c>
      <c r="B1451" s="5">
        <v>0.62475694444444441</v>
      </c>
      <c r="C1451">
        <v>80.8</v>
      </c>
      <c r="D1451">
        <v>76.3</v>
      </c>
      <c r="E1451">
        <v>79.599999999999994</v>
      </c>
      <c r="F1451">
        <v>80.900000000000006</v>
      </c>
      <c r="G1451">
        <v>0</v>
      </c>
      <c r="H1451">
        <v>0</v>
      </c>
      <c r="I1451">
        <v>0</v>
      </c>
      <c r="J1451">
        <v>0</v>
      </c>
      <c r="K1451">
        <v>68.2</v>
      </c>
      <c r="L1451">
        <v>67.099999999999994</v>
      </c>
      <c r="M1451">
        <v>79.5</v>
      </c>
      <c r="N1451">
        <v>18</v>
      </c>
      <c r="O1451">
        <v>1</v>
      </c>
      <c r="P1451">
        <f>MOD(DAY(datos_siembra[[#This Row],[Date]]),7)</f>
        <v>4</v>
      </c>
      <c r="Q1451" t="str">
        <f>CHOOSE(WEEKDAY(datos_siembra[[#This Row],[Date]],2),"L","M","X","J","V","S","D")</f>
        <v>X</v>
      </c>
      <c r="R1451">
        <f>WEEKNUM(datos_siembra[[#This Row],[Date]],2)-WEEKNUM(DATE(YEAR(datos_siembra[[#This Row],[Date]]),MONTH(datos_siembra[[#This Row],[Date]]),1))+1</f>
        <v>3</v>
      </c>
      <c r="S1451">
        <f>MONTH(datos_siembra[[#This Row],[Date]])</f>
        <v>9</v>
      </c>
      <c r="T1451" t="str" cm="1">
        <f t="array" ref="T1451">_xlfn.IFS(AND(N1451&lt;= 22, S1451=9), "SOWING",AND(N1451&lt;= 28, S1451=9), "COVERAGE",AND(N1451&lt;= 30, S1451=9), "FLUSH",AND(N1451&lt;= 11, S1451=10), "FLUSH",AND(N1451&lt;= 21, S1451=10), "PRODUCTION")</f>
        <v>SOWING</v>
      </c>
      <c r="U1451">
        <f>HOUR(datos_siembra[[#This Row],[Hour]])</f>
        <v>14</v>
      </c>
      <c r="V1451" cm="1">
        <f t="array" ref="V1451">_xlfn.IFS(AND(N1451&lt;= 22, S1451=9), N1451-7,AND(N1451&lt;= 28, S1451=9), N1451-25,AND(N1451&lt;= 30, S1451=9), N1451-28,AND(N1451&lt;= 11, S1451=10), N1451+2,AND(N1451&lt;= 21, S1451=10), N1451-11)</f>
        <v>11</v>
      </c>
    </row>
    <row r="1452" spans="1:22" x14ac:dyDescent="0.35">
      <c r="A1452" s="4">
        <v>45553</v>
      </c>
      <c r="B1452" s="5">
        <v>0.63171296296296298</v>
      </c>
      <c r="C1452">
        <v>80.8</v>
      </c>
      <c r="D1452">
        <v>76.3</v>
      </c>
      <c r="E1452">
        <v>79.599999999999994</v>
      </c>
      <c r="F1452">
        <v>81.099999999999994</v>
      </c>
      <c r="G1452">
        <v>0</v>
      </c>
      <c r="H1452">
        <v>0</v>
      </c>
      <c r="I1452">
        <v>0</v>
      </c>
      <c r="J1452">
        <v>0</v>
      </c>
      <c r="K1452">
        <v>68.599999999999994</v>
      </c>
      <c r="L1452">
        <v>67.2</v>
      </c>
      <c r="M1452">
        <v>79.5</v>
      </c>
      <c r="N1452">
        <v>18</v>
      </c>
      <c r="O1452">
        <v>1</v>
      </c>
      <c r="P1452">
        <f>MOD(DAY(datos_siembra[[#This Row],[Date]]),7)</f>
        <v>4</v>
      </c>
      <c r="Q1452" t="str">
        <f>CHOOSE(WEEKDAY(datos_siembra[[#This Row],[Date]],2),"L","M","X","J","V","S","D")</f>
        <v>X</v>
      </c>
      <c r="R1452">
        <f>WEEKNUM(datos_siembra[[#This Row],[Date]],2)-WEEKNUM(DATE(YEAR(datos_siembra[[#This Row],[Date]]),MONTH(datos_siembra[[#This Row],[Date]]),1))+1</f>
        <v>3</v>
      </c>
      <c r="S1452">
        <f>MONTH(datos_siembra[[#This Row],[Date]])</f>
        <v>9</v>
      </c>
      <c r="T1452" t="str" cm="1">
        <f t="array" ref="T1452">_xlfn.IFS(AND(N1452&lt;= 22, S1452=9), "SOWING",AND(N1452&lt;= 28, S1452=9), "COVERAGE",AND(N1452&lt;= 30, S1452=9), "FLUSH",AND(N1452&lt;= 11, S1452=10), "FLUSH",AND(N1452&lt;= 21, S1452=10), "PRODUCTION")</f>
        <v>SOWING</v>
      </c>
      <c r="U1452">
        <f>HOUR(datos_siembra[[#This Row],[Hour]])</f>
        <v>15</v>
      </c>
      <c r="V1452" cm="1">
        <f t="array" ref="V1452">_xlfn.IFS(AND(N1452&lt;= 22, S1452=9), N1452-7,AND(N1452&lt;= 28, S1452=9), N1452-25,AND(N1452&lt;= 30, S1452=9), N1452-28,AND(N1452&lt;= 11, S1452=10), N1452+2,AND(N1452&lt;= 21, S1452=10), N1452-11)</f>
        <v>11</v>
      </c>
    </row>
    <row r="1453" spans="1:22" x14ac:dyDescent="0.35">
      <c r="A1453" s="4">
        <v>45553</v>
      </c>
      <c r="B1453" s="5">
        <v>0.6386574074074074</v>
      </c>
      <c r="C1453">
        <v>80.8</v>
      </c>
      <c r="D1453">
        <v>76.2</v>
      </c>
      <c r="E1453">
        <v>79.599999999999994</v>
      </c>
      <c r="F1453">
        <v>80.900000000000006</v>
      </c>
      <c r="G1453">
        <v>0</v>
      </c>
      <c r="H1453">
        <v>0</v>
      </c>
      <c r="I1453">
        <v>0</v>
      </c>
      <c r="J1453">
        <v>0</v>
      </c>
      <c r="K1453">
        <v>68.7</v>
      </c>
      <c r="L1453">
        <v>67.400000000000006</v>
      </c>
      <c r="M1453">
        <v>79.53</v>
      </c>
      <c r="N1453">
        <v>18</v>
      </c>
      <c r="O1453">
        <v>1</v>
      </c>
      <c r="P1453">
        <f>MOD(DAY(datos_siembra[[#This Row],[Date]]),7)</f>
        <v>4</v>
      </c>
      <c r="Q1453" t="str">
        <f>CHOOSE(WEEKDAY(datos_siembra[[#This Row],[Date]],2),"L","M","X","J","V","S","D")</f>
        <v>X</v>
      </c>
      <c r="R1453">
        <f>WEEKNUM(datos_siembra[[#This Row],[Date]],2)-WEEKNUM(DATE(YEAR(datos_siembra[[#This Row],[Date]]),MONTH(datos_siembra[[#This Row],[Date]]),1))+1</f>
        <v>3</v>
      </c>
      <c r="S1453">
        <f>MONTH(datos_siembra[[#This Row],[Date]])</f>
        <v>9</v>
      </c>
      <c r="T1453" t="str" cm="1">
        <f t="array" ref="T1453">_xlfn.IFS(AND(N1453&lt;= 22, S1453=9), "SOWING",AND(N1453&lt;= 28, S1453=9), "COVERAGE",AND(N1453&lt;= 30, S1453=9), "FLUSH",AND(N1453&lt;= 11, S1453=10), "FLUSH",AND(N1453&lt;= 21, S1453=10), "PRODUCTION")</f>
        <v>SOWING</v>
      </c>
      <c r="U1453">
        <f>HOUR(datos_siembra[[#This Row],[Hour]])</f>
        <v>15</v>
      </c>
      <c r="V1453" cm="1">
        <f t="array" ref="V1453">_xlfn.IFS(AND(N1453&lt;= 22, S1453=9), N1453-7,AND(N1453&lt;= 28, S1453=9), N1453-25,AND(N1453&lt;= 30, S1453=9), N1453-28,AND(N1453&lt;= 11, S1453=10), N1453+2,AND(N1453&lt;= 21, S1453=10), N1453-11)</f>
        <v>11</v>
      </c>
    </row>
    <row r="1454" spans="1:22" x14ac:dyDescent="0.35">
      <c r="A1454" s="4">
        <v>45553</v>
      </c>
      <c r="B1454" s="5">
        <v>0.64560185185185182</v>
      </c>
      <c r="C1454">
        <v>81.099999999999994</v>
      </c>
      <c r="D1454">
        <v>76.400000000000006</v>
      </c>
      <c r="E1454">
        <v>79.7</v>
      </c>
      <c r="F1454">
        <v>80.900000000000006</v>
      </c>
      <c r="G1454">
        <v>0</v>
      </c>
      <c r="H1454">
        <v>0</v>
      </c>
      <c r="I1454">
        <v>0</v>
      </c>
      <c r="J1454">
        <v>0</v>
      </c>
      <c r="K1454">
        <v>68.900000000000006</v>
      </c>
      <c r="L1454">
        <v>67.599999999999994</v>
      </c>
      <c r="M1454">
        <v>79.47</v>
      </c>
      <c r="N1454">
        <v>18</v>
      </c>
      <c r="O1454">
        <v>1</v>
      </c>
      <c r="P1454">
        <f>MOD(DAY(datos_siembra[[#This Row],[Date]]),7)</f>
        <v>4</v>
      </c>
      <c r="Q1454" t="str">
        <f>CHOOSE(WEEKDAY(datos_siembra[[#This Row],[Date]],2),"L","M","X","J","V","S","D")</f>
        <v>X</v>
      </c>
      <c r="R1454">
        <f>WEEKNUM(datos_siembra[[#This Row],[Date]],2)-WEEKNUM(DATE(YEAR(datos_siembra[[#This Row],[Date]]),MONTH(datos_siembra[[#This Row],[Date]]),1))+1</f>
        <v>3</v>
      </c>
      <c r="S1454">
        <f>MONTH(datos_siembra[[#This Row],[Date]])</f>
        <v>9</v>
      </c>
      <c r="T1454" t="str" cm="1">
        <f t="array" ref="T1454">_xlfn.IFS(AND(N1454&lt;= 22, S1454=9), "SOWING",AND(N1454&lt;= 28, S1454=9), "COVERAGE",AND(N1454&lt;= 30, S1454=9), "FLUSH",AND(N1454&lt;= 11, S1454=10), "FLUSH",AND(N1454&lt;= 21, S1454=10), "PRODUCTION")</f>
        <v>SOWING</v>
      </c>
      <c r="U1454">
        <f>HOUR(datos_siembra[[#This Row],[Hour]])</f>
        <v>15</v>
      </c>
      <c r="V1454" cm="1">
        <f t="array" ref="V1454">_xlfn.IFS(AND(N1454&lt;= 22, S1454=9), N1454-7,AND(N1454&lt;= 28, S1454=9), N1454-25,AND(N1454&lt;= 30, S1454=9), N1454-28,AND(N1454&lt;= 11, S1454=10), N1454+2,AND(N1454&lt;= 21, S1454=10), N1454-11)</f>
        <v>11</v>
      </c>
    </row>
    <row r="1455" spans="1:22" x14ac:dyDescent="0.35">
      <c r="A1455" s="4">
        <v>45553</v>
      </c>
      <c r="B1455" s="5">
        <v>0.65254629629629635</v>
      </c>
      <c r="C1455">
        <v>81.099999999999994</v>
      </c>
      <c r="D1455">
        <v>76.400000000000006</v>
      </c>
      <c r="E1455">
        <v>79.5</v>
      </c>
      <c r="F1455">
        <v>80.900000000000006</v>
      </c>
      <c r="G1455">
        <v>0</v>
      </c>
      <c r="H1455">
        <v>0</v>
      </c>
      <c r="I1455">
        <v>0</v>
      </c>
      <c r="J1455">
        <v>0</v>
      </c>
      <c r="K1455">
        <v>67.599999999999994</v>
      </c>
      <c r="L1455">
        <v>65.8</v>
      </c>
      <c r="M1455">
        <v>79.47</v>
      </c>
      <c r="N1455">
        <v>18</v>
      </c>
      <c r="O1455">
        <v>1</v>
      </c>
      <c r="P1455">
        <f>MOD(DAY(datos_siembra[[#This Row],[Date]]),7)</f>
        <v>4</v>
      </c>
      <c r="Q1455" t="str">
        <f>CHOOSE(WEEKDAY(datos_siembra[[#This Row],[Date]],2),"L","M","X","J","V","S","D")</f>
        <v>X</v>
      </c>
      <c r="R1455">
        <f>WEEKNUM(datos_siembra[[#This Row],[Date]],2)-WEEKNUM(DATE(YEAR(datos_siembra[[#This Row],[Date]]),MONTH(datos_siembra[[#This Row],[Date]]),1))+1</f>
        <v>3</v>
      </c>
      <c r="S1455">
        <f>MONTH(datos_siembra[[#This Row],[Date]])</f>
        <v>9</v>
      </c>
      <c r="T1455" t="str" cm="1">
        <f t="array" ref="T1455">_xlfn.IFS(AND(N1455&lt;= 22, S1455=9), "SOWING",AND(N1455&lt;= 28, S1455=9), "COVERAGE",AND(N1455&lt;= 30, S1455=9), "FLUSH",AND(N1455&lt;= 11, S1455=10), "FLUSH",AND(N1455&lt;= 21, S1455=10), "PRODUCTION")</f>
        <v>SOWING</v>
      </c>
      <c r="U1455">
        <f>HOUR(datos_siembra[[#This Row],[Hour]])</f>
        <v>15</v>
      </c>
      <c r="V1455" cm="1">
        <f t="array" ref="V1455">_xlfn.IFS(AND(N1455&lt;= 22, S1455=9), N1455-7,AND(N1455&lt;= 28, S1455=9), N1455-25,AND(N1455&lt;= 30, S1455=9), N1455-28,AND(N1455&lt;= 11, S1455=10), N1455+2,AND(N1455&lt;= 21, S1455=10), N1455-11)</f>
        <v>11</v>
      </c>
    </row>
    <row r="1456" spans="1:22" x14ac:dyDescent="0.35">
      <c r="A1456" s="4">
        <v>45553</v>
      </c>
      <c r="B1456" s="5">
        <v>0.65950231481481481</v>
      </c>
      <c r="C1456">
        <v>80.900000000000006</v>
      </c>
      <c r="D1456">
        <v>76.400000000000006</v>
      </c>
      <c r="E1456">
        <v>79.599999999999994</v>
      </c>
      <c r="F1456">
        <v>80.900000000000006</v>
      </c>
      <c r="G1456">
        <v>0</v>
      </c>
      <c r="H1456">
        <v>0</v>
      </c>
      <c r="I1456">
        <v>0</v>
      </c>
      <c r="J1456">
        <v>0</v>
      </c>
      <c r="K1456">
        <v>66.599999999999994</v>
      </c>
      <c r="L1456">
        <v>64.7</v>
      </c>
      <c r="M1456">
        <v>79.59</v>
      </c>
      <c r="N1456">
        <v>18</v>
      </c>
      <c r="O1456">
        <v>1</v>
      </c>
      <c r="P1456">
        <f>MOD(DAY(datos_siembra[[#This Row],[Date]]),7)</f>
        <v>4</v>
      </c>
      <c r="Q1456" t="str">
        <f>CHOOSE(WEEKDAY(datos_siembra[[#This Row],[Date]],2),"L","M","X","J","V","S","D")</f>
        <v>X</v>
      </c>
      <c r="R1456">
        <f>WEEKNUM(datos_siembra[[#This Row],[Date]],2)-WEEKNUM(DATE(YEAR(datos_siembra[[#This Row],[Date]]),MONTH(datos_siembra[[#This Row],[Date]]),1))+1</f>
        <v>3</v>
      </c>
      <c r="S1456">
        <f>MONTH(datos_siembra[[#This Row],[Date]])</f>
        <v>9</v>
      </c>
      <c r="T1456" t="str" cm="1">
        <f t="array" ref="T1456">_xlfn.IFS(AND(N1456&lt;= 22, S1456=9), "SOWING",AND(N1456&lt;= 28, S1456=9), "COVERAGE",AND(N1456&lt;= 30, S1456=9), "FLUSH",AND(N1456&lt;= 11, S1456=10), "FLUSH",AND(N1456&lt;= 21, S1456=10), "PRODUCTION")</f>
        <v>SOWING</v>
      </c>
      <c r="U1456">
        <f>HOUR(datos_siembra[[#This Row],[Hour]])</f>
        <v>15</v>
      </c>
      <c r="V1456" cm="1">
        <f t="array" ref="V1456">_xlfn.IFS(AND(N1456&lt;= 22, S1456=9), N1456-7,AND(N1456&lt;= 28, S1456=9), N1456-25,AND(N1456&lt;= 30, S1456=9), N1456-28,AND(N1456&lt;= 11, S1456=10), N1456+2,AND(N1456&lt;= 21, S1456=10), N1456-11)</f>
        <v>11</v>
      </c>
    </row>
    <row r="1457" spans="1:22" x14ac:dyDescent="0.35">
      <c r="A1457" s="4">
        <v>45553</v>
      </c>
      <c r="B1457" s="5">
        <v>0.66644675925925922</v>
      </c>
      <c r="C1457">
        <v>81.099999999999994</v>
      </c>
      <c r="D1457">
        <v>76.7</v>
      </c>
      <c r="E1457">
        <v>79.7</v>
      </c>
      <c r="F1457">
        <v>81.099999999999994</v>
      </c>
      <c r="G1457">
        <v>0</v>
      </c>
      <c r="H1457">
        <v>0</v>
      </c>
      <c r="I1457">
        <v>0</v>
      </c>
      <c r="J1457">
        <v>0</v>
      </c>
      <c r="K1457">
        <v>66.099999999999994</v>
      </c>
      <c r="L1457">
        <v>64.3</v>
      </c>
      <c r="M1457">
        <v>79.62</v>
      </c>
      <c r="N1457">
        <v>18</v>
      </c>
      <c r="O1457">
        <v>1</v>
      </c>
      <c r="P1457">
        <f>MOD(DAY(datos_siembra[[#This Row],[Date]]),7)</f>
        <v>4</v>
      </c>
      <c r="Q1457" t="str">
        <f>CHOOSE(WEEKDAY(datos_siembra[[#This Row],[Date]],2),"L","M","X","J","V","S","D")</f>
        <v>X</v>
      </c>
      <c r="R1457">
        <f>WEEKNUM(datos_siembra[[#This Row],[Date]],2)-WEEKNUM(DATE(YEAR(datos_siembra[[#This Row],[Date]]),MONTH(datos_siembra[[#This Row],[Date]]),1))+1</f>
        <v>3</v>
      </c>
      <c r="S1457">
        <f>MONTH(datos_siembra[[#This Row],[Date]])</f>
        <v>9</v>
      </c>
      <c r="T1457" t="str" cm="1">
        <f t="array" ref="T1457">_xlfn.IFS(AND(N1457&lt;= 22, S1457=9), "SOWING",AND(N1457&lt;= 28, S1457=9), "COVERAGE",AND(N1457&lt;= 30, S1457=9), "FLUSH",AND(N1457&lt;= 11, S1457=10), "FLUSH",AND(N1457&lt;= 21, S1457=10), "PRODUCTION")</f>
        <v>SOWING</v>
      </c>
      <c r="U1457">
        <f>HOUR(datos_siembra[[#This Row],[Hour]])</f>
        <v>15</v>
      </c>
      <c r="V1457" cm="1">
        <f t="array" ref="V1457">_xlfn.IFS(AND(N1457&lt;= 22, S1457=9), N1457-7,AND(N1457&lt;= 28, S1457=9), N1457-25,AND(N1457&lt;= 30, S1457=9), N1457-28,AND(N1457&lt;= 11, S1457=10), N1457+2,AND(N1457&lt;= 21, S1457=10), N1457-11)</f>
        <v>11</v>
      </c>
    </row>
    <row r="1458" spans="1:22" x14ac:dyDescent="0.35">
      <c r="A1458" s="4">
        <v>45553</v>
      </c>
      <c r="B1458" s="5">
        <v>0.67339120370370376</v>
      </c>
      <c r="C1458">
        <v>81.099999999999994</v>
      </c>
      <c r="D1458">
        <v>77.099999999999994</v>
      </c>
      <c r="E1458">
        <v>79.7</v>
      </c>
      <c r="F1458">
        <v>80.900000000000006</v>
      </c>
      <c r="G1458">
        <v>0</v>
      </c>
      <c r="H1458">
        <v>0</v>
      </c>
      <c r="I1458">
        <v>0</v>
      </c>
      <c r="J1458">
        <v>0</v>
      </c>
      <c r="K1458">
        <v>66.900000000000006</v>
      </c>
      <c r="L1458">
        <v>65.599999999999994</v>
      </c>
      <c r="M1458">
        <v>79.760000000000005</v>
      </c>
      <c r="N1458">
        <v>18</v>
      </c>
      <c r="O1458">
        <v>1</v>
      </c>
      <c r="P1458">
        <f>MOD(DAY(datos_siembra[[#This Row],[Date]]),7)</f>
        <v>4</v>
      </c>
      <c r="Q1458" t="str">
        <f>CHOOSE(WEEKDAY(datos_siembra[[#This Row],[Date]],2),"L","M","X","J","V","S","D")</f>
        <v>X</v>
      </c>
      <c r="R1458">
        <f>WEEKNUM(datos_siembra[[#This Row],[Date]],2)-WEEKNUM(DATE(YEAR(datos_siembra[[#This Row],[Date]]),MONTH(datos_siembra[[#This Row],[Date]]),1))+1</f>
        <v>3</v>
      </c>
      <c r="S1458">
        <f>MONTH(datos_siembra[[#This Row],[Date]])</f>
        <v>9</v>
      </c>
      <c r="T1458" t="str" cm="1">
        <f t="array" ref="T1458">_xlfn.IFS(AND(N1458&lt;= 22, S1458=9), "SOWING",AND(N1458&lt;= 28, S1458=9), "COVERAGE",AND(N1458&lt;= 30, S1458=9), "FLUSH",AND(N1458&lt;= 11, S1458=10), "FLUSH",AND(N1458&lt;= 21, S1458=10), "PRODUCTION")</f>
        <v>SOWING</v>
      </c>
      <c r="U1458">
        <f>HOUR(datos_siembra[[#This Row],[Hour]])</f>
        <v>16</v>
      </c>
      <c r="V1458" cm="1">
        <f t="array" ref="V1458">_xlfn.IFS(AND(N1458&lt;= 22, S1458=9), N1458-7,AND(N1458&lt;= 28, S1458=9), N1458-25,AND(N1458&lt;= 30, S1458=9), N1458-28,AND(N1458&lt;= 11, S1458=10), N1458+2,AND(N1458&lt;= 21, S1458=10), N1458-11)</f>
        <v>11</v>
      </c>
    </row>
    <row r="1459" spans="1:22" x14ac:dyDescent="0.35">
      <c r="A1459" s="4">
        <v>45553</v>
      </c>
      <c r="B1459" s="5">
        <v>0.68034722222222221</v>
      </c>
      <c r="C1459">
        <v>81.099999999999994</v>
      </c>
      <c r="D1459">
        <v>77.5</v>
      </c>
      <c r="E1459">
        <v>79.8</v>
      </c>
      <c r="F1459">
        <v>80.900000000000006</v>
      </c>
      <c r="G1459">
        <v>0</v>
      </c>
      <c r="H1459">
        <v>0</v>
      </c>
      <c r="I1459">
        <v>0</v>
      </c>
      <c r="J1459">
        <v>0</v>
      </c>
      <c r="K1459">
        <v>67.900000000000006</v>
      </c>
      <c r="L1459">
        <v>66.8</v>
      </c>
      <c r="M1459">
        <v>79.78</v>
      </c>
      <c r="N1459">
        <v>18</v>
      </c>
      <c r="O1459">
        <v>1</v>
      </c>
      <c r="P1459">
        <f>MOD(DAY(datos_siembra[[#This Row],[Date]]),7)</f>
        <v>4</v>
      </c>
      <c r="Q1459" t="str">
        <f>CHOOSE(WEEKDAY(datos_siembra[[#This Row],[Date]],2),"L","M","X","J","V","S","D")</f>
        <v>X</v>
      </c>
      <c r="R1459">
        <f>WEEKNUM(datos_siembra[[#This Row],[Date]],2)-WEEKNUM(DATE(YEAR(datos_siembra[[#This Row],[Date]]),MONTH(datos_siembra[[#This Row],[Date]]),1))+1</f>
        <v>3</v>
      </c>
      <c r="S1459">
        <f>MONTH(datos_siembra[[#This Row],[Date]])</f>
        <v>9</v>
      </c>
      <c r="T1459" t="str" cm="1">
        <f t="array" ref="T1459">_xlfn.IFS(AND(N1459&lt;= 22, S1459=9), "SOWING",AND(N1459&lt;= 28, S1459=9), "COVERAGE",AND(N1459&lt;= 30, S1459=9), "FLUSH",AND(N1459&lt;= 11, S1459=10), "FLUSH",AND(N1459&lt;= 21, S1459=10), "PRODUCTION")</f>
        <v>SOWING</v>
      </c>
      <c r="U1459">
        <f>HOUR(datos_siembra[[#This Row],[Hour]])</f>
        <v>16</v>
      </c>
      <c r="V1459" cm="1">
        <f t="array" ref="V1459">_xlfn.IFS(AND(N1459&lt;= 22, S1459=9), N1459-7,AND(N1459&lt;= 28, S1459=9), N1459-25,AND(N1459&lt;= 30, S1459=9), N1459-28,AND(N1459&lt;= 11, S1459=10), N1459+2,AND(N1459&lt;= 21, S1459=10), N1459-11)</f>
        <v>11</v>
      </c>
    </row>
    <row r="1460" spans="1:22" x14ac:dyDescent="0.35">
      <c r="A1460" s="4">
        <v>45553</v>
      </c>
      <c r="B1460" s="5">
        <v>0.68729166666666663</v>
      </c>
      <c r="C1460">
        <v>81.099999999999994</v>
      </c>
      <c r="D1460">
        <v>77.7</v>
      </c>
      <c r="E1460">
        <v>79.8</v>
      </c>
      <c r="F1460">
        <v>80.900000000000006</v>
      </c>
      <c r="G1460">
        <v>0</v>
      </c>
      <c r="H1460">
        <v>0</v>
      </c>
      <c r="I1460">
        <v>0</v>
      </c>
      <c r="J1460">
        <v>0</v>
      </c>
      <c r="K1460">
        <v>68.3</v>
      </c>
      <c r="L1460">
        <v>67.099999999999994</v>
      </c>
      <c r="M1460">
        <v>79.87</v>
      </c>
      <c r="N1460">
        <v>18</v>
      </c>
      <c r="O1460">
        <v>1</v>
      </c>
      <c r="P1460">
        <f>MOD(DAY(datos_siembra[[#This Row],[Date]]),7)</f>
        <v>4</v>
      </c>
      <c r="Q1460" t="str">
        <f>CHOOSE(WEEKDAY(datos_siembra[[#This Row],[Date]],2),"L","M","X","J","V","S","D")</f>
        <v>X</v>
      </c>
      <c r="R1460">
        <f>WEEKNUM(datos_siembra[[#This Row],[Date]],2)-WEEKNUM(DATE(YEAR(datos_siembra[[#This Row],[Date]]),MONTH(datos_siembra[[#This Row],[Date]]),1))+1</f>
        <v>3</v>
      </c>
      <c r="S1460">
        <f>MONTH(datos_siembra[[#This Row],[Date]])</f>
        <v>9</v>
      </c>
      <c r="T1460" t="str" cm="1">
        <f t="array" ref="T1460">_xlfn.IFS(AND(N1460&lt;= 22, S1460=9), "SOWING",AND(N1460&lt;= 28, S1460=9), "COVERAGE",AND(N1460&lt;= 30, S1460=9), "FLUSH",AND(N1460&lt;= 11, S1460=10), "FLUSH",AND(N1460&lt;= 21, S1460=10), "PRODUCTION")</f>
        <v>SOWING</v>
      </c>
      <c r="U1460">
        <f>HOUR(datos_siembra[[#This Row],[Hour]])</f>
        <v>16</v>
      </c>
      <c r="V1460" cm="1">
        <f t="array" ref="V1460">_xlfn.IFS(AND(N1460&lt;= 22, S1460=9), N1460-7,AND(N1460&lt;= 28, S1460=9), N1460-25,AND(N1460&lt;= 30, S1460=9), N1460-28,AND(N1460&lt;= 11, S1460=10), N1460+2,AND(N1460&lt;= 21, S1460=10), N1460-11)</f>
        <v>11</v>
      </c>
    </row>
    <row r="1461" spans="1:22" x14ac:dyDescent="0.35">
      <c r="A1461" s="4">
        <v>45553</v>
      </c>
      <c r="B1461" s="5">
        <v>0.69423611111111116</v>
      </c>
      <c r="C1461">
        <v>81.099999999999994</v>
      </c>
      <c r="D1461">
        <v>77.8</v>
      </c>
      <c r="E1461">
        <v>79.900000000000006</v>
      </c>
      <c r="F1461">
        <v>81.099999999999994</v>
      </c>
      <c r="G1461">
        <v>0</v>
      </c>
      <c r="H1461">
        <v>0</v>
      </c>
      <c r="I1461">
        <v>0</v>
      </c>
      <c r="J1461">
        <v>0</v>
      </c>
      <c r="K1461">
        <v>68.599999999999994</v>
      </c>
      <c r="L1461">
        <v>67.2</v>
      </c>
      <c r="M1461">
        <v>79.87</v>
      </c>
      <c r="N1461">
        <v>18</v>
      </c>
      <c r="O1461">
        <v>1</v>
      </c>
      <c r="P1461">
        <f>MOD(DAY(datos_siembra[[#This Row],[Date]]),7)</f>
        <v>4</v>
      </c>
      <c r="Q1461" t="str">
        <f>CHOOSE(WEEKDAY(datos_siembra[[#This Row],[Date]],2),"L","M","X","J","V","S","D")</f>
        <v>X</v>
      </c>
      <c r="R1461">
        <f>WEEKNUM(datos_siembra[[#This Row],[Date]],2)-WEEKNUM(DATE(YEAR(datos_siembra[[#This Row],[Date]]),MONTH(datos_siembra[[#This Row],[Date]]),1))+1</f>
        <v>3</v>
      </c>
      <c r="S1461">
        <f>MONTH(datos_siembra[[#This Row],[Date]])</f>
        <v>9</v>
      </c>
      <c r="T1461" t="str" cm="1">
        <f t="array" ref="T1461">_xlfn.IFS(AND(N1461&lt;= 22, S1461=9), "SOWING",AND(N1461&lt;= 28, S1461=9), "COVERAGE",AND(N1461&lt;= 30, S1461=9), "FLUSH",AND(N1461&lt;= 11, S1461=10), "FLUSH",AND(N1461&lt;= 21, S1461=10), "PRODUCTION")</f>
        <v>SOWING</v>
      </c>
      <c r="U1461">
        <f>HOUR(datos_siembra[[#This Row],[Hour]])</f>
        <v>16</v>
      </c>
      <c r="V1461" cm="1">
        <f t="array" ref="V1461">_xlfn.IFS(AND(N1461&lt;= 22, S1461=9), N1461-7,AND(N1461&lt;= 28, S1461=9), N1461-25,AND(N1461&lt;= 30, S1461=9), N1461-28,AND(N1461&lt;= 11, S1461=10), N1461+2,AND(N1461&lt;= 21, S1461=10), N1461-11)</f>
        <v>11</v>
      </c>
    </row>
    <row r="1462" spans="1:22" x14ac:dyDescent="0.35">
      <c r="A1462" s="4">
        <v>45553</v>
      </c>
      <c r="B1462" s="5">
        <v>0.70118055555555558</v>
      </c>
      <c r="C1462">
        <v>81.099999999999994</v>
      </c>
      <c r="D1462">
        <v>78</v>
      </c>
      <c r="E1462">
        <v>79.900000000000006</v>
      </c>
      <c r="F1462">
        <v>80.900000000000006</v>
      </c>
      <c r="G1462">
        <v>0</v>
      </c>
      <c r="H1462">
        <v>0</v>
      </c>
      <c r="I1462">
        <v>0</v>
      </c>
      <c r="J1462">
        <v>0</v>
      </c>
      <c r="K1462">
        <v>68.8</v>
      </c>
      <c r="L1462">
        <v>67.599999999999994</v>
      </c>
      <c r="M1462">
        <v>79.98</v>
      </c>
      <c r="N1462">
        <v>18</v>
      </c>
      <c r="O1462">
        <v>1</v>
      </c>
      <c r="P1462">
        <f>MOD(DAY(datos_siembra[[#This Row],[Date]]),7)</f>
        <v>4</v>
      </c>
      <c r="Q1462" t="str">
        <f>CHOOSE(WEEKDAY(datos_siembra[[#This Row],[Date]],2),"L","M","X","J","V","S","D")</f>
        <v>X</v>
      </c>
      <c r="R1462">
        <f>WEEKNUM(datos_siembra[[#This Row],[Date]],2)-WEEKNUM(DATE(YEAR(datos_siembra[[#This Row],[Date]]),MONTH(datos_siembra[[#This Row],[Date]]),1))+1</f>
        <v>3</v>
      </c>
      <c r="S1462">
        <f>MONTH(datos_siembra[[#This Row],[Date]])</f>
        <v>9</v>
      </c>
      <c r="T1462" t="str" cm="1">
        <f t="array" ref="T1462">_xlfn.IFS(AND(N1462&lt;= 22, S1462=9), "SOWING",AND(N1462&lt;= 28, S1462=9), "COVERAGE",AND(N1462&lt;= 30, S1462=9), "FLUSH",AND(N1462&lt;= 11, S1462=10), "FLUSH",AND(N1462&lt;= 21, S1462=10), "PRODUCTION")</f>
        <v>SOWING</v>
      </c>
      <c r="U1462">
        <f>HOUR(datos_siembra[[#This Row],[Hour]])</f>
        <v>16</v>
      </c>
      <c r="V1462" cm="1">
        <f t="array" ref="V1462">_xlfn.IFS(AND(N1462&lt;= 22, S1462=9), N1462-7,AND(N1462&lt;= 28, S1462=9), N1462-25,AND(N1462&lt;= 30, S1462=9), N1462-28,AND(N1462&lt;= 11, S1462=10), N1462+2,AND(N1462&lt;= 21, S1462=10), N1462-11)</f>
        <v>11</v>
      </c>
    </row>
    <row r="1463" spans="1:22" x14ac:dyDescent="0.35">
      <c r="A1463" s="4">
        <v>45553</v>
      </c>
      <c r="B1463" s="5">
        <v>0.70813657407407404</v>
      </c>
      <c r="C1463">
        <v>81.2</v>
      </c>
      <c r="D1463">
        <v>78.099999999999994</v>
      </c>
      <c r="E1463">
        <v>79.8</v>
      </c>
      <c r="F1463">
        <v>81.099999999999994</v>
      </c>
      <c r="G1463">
        <v>0</v>
      </c>
      <c r="H1463">
        <v>0</v>
      </c>
      <c r="I1463">
        <v>0</v>
      </c>
      <c r="J1463">
        <v>0</v>
      </c>
      <c r="K1463">
        <v>68.900000000000006</v>
      </c>
      <c r="L1463">
        <v>67.7</v>
      </c>
      <c r="M1463">
        <v>80.040000000000006</v>
      </c>
      <c r="N1463">
        <v>18</v>
      </c>
      <c r="O1463">
        <v>1</v>
      </c>
      <c r="P1463">
        <f>MOD(DAY(datos_siembra[[#This Row],[Date]]),7)</f>
        <v>4</v>
      </c>
      <c r="Q1463" t="str">
        <f>CHOOSE(WEEKDAY(datos_siembra[[#This Row],[Date]],2),"L","M","X","J","V","S","D")</f>
        <v>X</v>
      </c>
      <c r="R1463">
        <f>WEEKNUM(datos_siembra[[#This Row],[Date]],2)-WEEKNUM(DATE(YEAR(datos_siembra[[#This Row],[Date]]),MONTH(datos_siembra[[#This Row],[Date]]),1))+1</f>
        <v>3</v>
      </c>
      <c r="S1463">
        <f>MONTH(datos_siembra[[#This Row],[Date]])</f>
        <v>9</v>
      </c>
      <c r="T1463" t="str" cm="1">
        <f t="array" ref="T1463">_xlfn.IFS(AND(N1463&lt;= 22, S1463=9), "SOWING",AND(N1463&lt;= 28, S1463=9), "COVERAGE",AND(N1463&lt;= 30, S1463=9), "FLUSH",AND(N1463&lt;= 11, S1463=10), "FLUSH",AND(N1463&lt;= 21, S1463=10), "PRODUCTION")</f>
        <v>SOWING</v>
      </c>
      <c r="U1463">
        <f>HOUR(datos_siembra[[#This Row],[Hour]])</f>
        <v>16</v>
      </c>
      <c r="V1463" cm="1">
        <f t="array" ref="V1463">_xlfn.IFS(AND(N1463&lt;= 22, S1463=9), N1463-7,AND(N1463&lt;= 28, S1463=9), N1463-25,AND(N1463&lt;= 30, S1463=9), N1463-28,AND(N1463&lt;= 11, S1463=10), N1463+2,AND(N1463&lt;= 21, S1463=10), N1463-11)</f>
        <v>11</v>
      </c>
    </row>
    <row r="1464" spans="1:22" x14ac:dyDescent="0.35">
      <c r="A1464" s="4">
        <v>45553</v>
      </c>
      <c r="B1464" s="5">
        <v>0.71508101851851846</v>
      </c>
      <c r="C1464">
        <v>81.3</v>
      </c>
      <c r="D1464">
        <v>78.099999999999994</v>
      </c>
      <c r="E1464">
        <v>79.8</v>
      </c>
      <c r="F1464">
        <v>81.2</v>
      </c>
      <c r="G1464">
        <v>0</v>
      </c>
      <c r="H1464">
        <v>0</v>
      </c>
      <c r="I1464">
        <v>0</v>
      </c>
      <c r="J1464">
        <v>0</v>
      </c>
      <c r="K1464">
        <v>66.900000000000006</v>
      </c>
      <c r="L1464">
        <v>65</v>
      </c>
      <c r="M1464">
        <v>79.98</v>
      </c>
      <c r="N1464">
        <v>18</v>
      </c>
      <c r="O1464">
        <v>1</v>
      </c>
      <c r="P1464">
        <f>MOD(DAY(datos_siembra[[#This Row],[Date]]),7)</f>
        <v>4</v>
      </c>
      <c r="Q1464" t="str">
        <f>CHOOSE(WEEKDAY(datos_siembra[[#This Row],[Date]],2),"L","M","X","J","V","S","D")</f>
        <v>X</v>
      </c>
      <c r="R1464">
        <f>WEEKNUM(datos_siembra[[#This Row],[Date]],2)-WEEKNUM(DATE(YEAR(datos_siembra[[#This Row],[Date]]),MONTH(datos_siembra[[#This Row],[Date]]),1))+1</f>
        <v>3</v>
      </c>
      <c r="S1464">
        <f>MONTH(datos_siembra[[#This Row],[Date]])</f>
        <v>9</v>
      </c>
      <c r="T1464" t="str" cm="1">
        <f t="array" ref="T1464">_xlfn.IFS(AND(N1464&lt;= 22, S1464=9), "SOWING",AND(N1464&lt;= 28, S1464=9), "COVERAGE",AND(N1464&lt;= 30, S1464=9), "FLUSH",AND(N1464&lt;= 11, S1464=10), "FLUSH",AND(N1464&lt;= 21, S1464=10), "PRODUCTION")</f>
        <v>SOWING</v>
      </c>
      <c r="U1464">
        <f>HOUR(datos_siembra[[#This Row],[Hour]])</f>
        <v>17</v>
      </c>
      <c r="V1464" cm="1">
        <f t="array" ref="V1464">_xlfn.IFS(AND(N1464&lt;= 22, S1464=9), N1464-7,AND(N1464&lt;= 28, S1464=9), N1464-25,AND(N1464&lt;= 30, S1464=9), N1464-28,AND(N1464&lt;= 11, S1464=10), N1464+2,AND(N1464&lt;= 21, S1464=10), N1464-11)</f>
        <v>11</v>
      </c>
    </row>
    <row r="1465" spans="1:22" x14ac:dyDescent="0.35">
      <c r="A1465" s="4">
        <v>45553</v>
      </c>
      <c r="B1465" s="5">
        <v>0.72202546296296299</v>
      </c>
      <c r="C1465">
        <v>81.2</v>
      </c>
      <c r="D1465">
        <v>78.400000000000006</v>
      </c>
      <c r="E1465">
        <v>79.599999999999994</v>
      </c>
      <c r="F1465">
        <v>80.900000000000006</v>
      </c>
      <c r="G1465">
        <v>0</v>
      </c>
      <c r="H1465">
        <v>0</v>
      </c>
      <c r="I1465">
        <v>0</v>
      </c>
      <c r="J1465">
        <v>0</v>
      </c>
      <c r="K1465">
        <v>66.2</v>
      </c>
      <c r="L1465">
        <v>64.2</v>
      </c>
      <c r="M1465">
        <v>80.069999999999993</v>
      </c>
      <c r="N1465">
        <v>18</v>
      </c>
      <c r="O1465">
        <v>1</v>
      </c>
      <c r="P1465">
        <f>MOD(DAY(datos_siembra[[#This Row],[Date]]),7)</f>
        <v>4</v>
      </c>
      <c r="Q1465" t="str">
        <f>CHOOSE(WEEKDAY(datos_siembra[[#This Row],[Date]],2),"L","M","X","J","V","S","D")</f>
        <v>X</v>
      </c>
      <c r="R1465">
        <f>WEEKNUM(datos_siembra[[#This Row],[Date]],2)-WEEKNUM(DATE(YEAR(datos_siembra[[#This Row],[Date]]),MONTH(datos_siembra[[#This Row],[Date]]),1))+1</f>
        <v>3</v>
      </c>
      <c r="S1465">
        <f>MONTH(datos_siembra[[#This Row],[Date]])</f>
        <v>9</v>
      </c>
      <c r="T1465" t="str" cm="1">
        <f t="array" ref="T1465">_xlfn.IFS(AND(N1465&lt;= 22, S1465=9), "SOWING",AND(N1465&lt;= 28, S1465=9), "COVERAGE",AND(N1465&lt;= 30, S1465=9), "FLUSH",AND(N1465&lt;= 11, S1465=10), "FLUSH",AND(N1465&lt;= 21, S1465=10), "PRODUCTION")</f>
        <v>SOWING</v>
      </c>
      <c r="U1465">
        <f>HOUR(datos_siembra[[#This Row],[Hour]])</f>
        <v>17</v>
      </c>
      <c r="V1465" cm="1">
        <f t="array" ref="V1465">_xlfn.IFS(AND(N1465&lt;= 22, S1465=9), N1465-7,AND(N1465&lt;= 28, S1465=9), N1465-25,AND(N1465&lt;= 30, S1465=9), N1465-28,AND(N1465&lt;= 11, S1465=10), N1465+2,AND(N1465&lt;= 21, S1465=10), N1465-11)</f>
        <v>11</v>
      </c>
    </row>
    <row r="1466" spans="1:22" x14ac:dyDescent="0.35">
      <c r="A1466" s="4">
        <v>45553</v>
      </c>
      <c r="B1466" s="5">
        <v>0.72896990740740741</v>
      </c>
      <c r="C1466">
        <v>81.099999999999994</v>
      </c>
      <c r="D1466">
        <v>78.2</v>
      </c>
      <c r="E1466">
        <v>79.8</v>
      </c>
      <c r="F1466">
        <v>81.2</v>
      </c>
      <c r="G1466">
        <v>0</v>
      </c>
      <c r="H1466">
        <v>0</v>
      </c>
      <c r="I1466">
        <v>0</v>
      </c>
      <c r="J1466">
        <v>0</v>
      </c>
      <c r="K1466">
        <v>66.400000000000006</v>
      </c>
      <c r="L1466">
        <v>64.900000000000006</v>
      </c>
      <c r="M1466">
        <v>80.040000000000006</v>
      </c>
      <c r="N1466">
        <v>18</v>
      </c>
      <c r="O1466">
        <v>1</v>
      </c>
      <c r="P1466">
        <f>MOD(DAY(datos_siembra[[#This Row],[Date]]),7)</f>
        <v>4</v>
      </c>
      <c r="Q1466" t="str">
        <f>CHOOSE(WEEKDAY(datos_siembra[[#This Row],[Date]],2),"L","M","X","J","V","S","D")</f>
        <v>X</v>
      </c>
      <c r="R1466">
        <f>WEEKNUM(datos_siembra[[#This Row],[Date]],2)-WEEKNUM(DATE(YEAR(datos_siembra[[#This Row],[Date]]),MONTH(datos_siembra[[#This Row],[Date]]),1))+1</f>
        <v>3</v>
      </c>
      <c r="S1466">
        <f>MONTH(datos_siembra[[#This Row],[Date]])</f>
        <v>9</v>
      </c>
      <c r="T1466" t="str" cm="1">
        <f t="array" ref="T1466">_xlfn.IFS(AND(N1466&lt;= 22, S1466=9), "SOWING",AND(N1466&lt;= 28, S1466=9), "COVERAGE",AND(N1466&lt;= 30, S1466=9), "FLUSH",AND(N1466&lt;= 11, S1466=10), "FLUSH",AND(N1466&lt;= 21, S1466=10), "PRODUCTION")</f>
        <v>SOWING</v>
      </c>
      <c r="U1466">
        <f>HOUR(datos_siembra[[#This Row],[Hour]])</f>
        <v>17</v>
      </c>
      <c r="V1466" cm="1">
        <f t="array" ref="V1466">_xlfn.IFS(AND(N1466&lt;= 22, S1466=9), N1466-7,AND(N1466&lt;= 28, S1466=9), N1466-25,AND(N1466&lt;= 30, S1466=9), N1466-28,AND(N1466&lt;= 11, S1466=10), N1466+2,AND(N1466&lt;= 21, S1466=10), N1466-11)</f>
        <v>11</v>
      </c>
    </row>
    <row r="1467" spans="1:22" x14ac:dyDescent="0.35">
      <c r="A1467" s="4">
        <v>45553</v>
      </c>
      <c r="B1467" s="5">
        <v>0.73592592592592587</v>
      </c>
      <c r="C1467">
        <v>81.099999999999994</v>
      </c>
      <c r="D1467">
        <v>78.400000000000006</v>
      </c>
      <c r="E1467">
        <v>79.7</v>
      </c>
      <c r="F1467">
        <v>81.2</v>
      </c>
      <c r="G1467">
        <v>0</v>
      </c>
      <c r="H1467">
        <v>0</v>
      </c>
      <c r="I1467">
        <v>0</v>
      </c>
      <c r="J1467">
        <v>0</v>
      </c>
      <c r="K1467">
        <v>67.900000000000006</v>
      </c>
      <c r="L1467">
        <v>66.599999999999994</v>
      </c>
      <c r="M1467">
        <v>80.040000000000006</v>
      </c>
      <c r="N1467">
        <v>18</v>
      </c>
      <c r="O1467">
        <v>1</v>
      </c>
      <c r="P1467">
        <f>MOD(DAY(datos_siembra[[#This Row],[Date]]),7)</f>
        <v>4</v>
      </c>
      <c r="Q1467" t="str">
        <f>CHOOSE(WEEKDAY(datos_siembra[[#This Row],[Date]],2),"L","M","X","J","V","S","D")</f>
        <v>X</v>
      </c>
      <c r="R1467">
        <f>WEEKNUM(datos_siembra[[#This Row],[Date]],2)-WEEKNUM(DATE(YEAR(datos_siembra[[#This Row],[Date]]),MONTH(datos_siembra[[#This Row],[Date]]),1))+1</f>
        <v>3</v>
      </c>
      <c r="S1467">
        <f>MONTH(datos_siembra[[#This Row],[Date]])</f>
        <v>9</v>
      </c>
      <c r="T1467" t="str" cm="1">
        <f t="array" ref="T1467">_xlfn.IFS(AND(N1467&lt;= 22, S1467=9), "SOWING",AND(N1467&lt;= 28, S1467=9), "COVERAGE",AND(N1467&lt;= 30, S1467=9), "FLUSH",AND(N1467&lt;= 11, S1467=10), "FLUSH",AND(N1467&lt;= 21, S1467=10), "PRODUCTION")</f>
        <v>SOWING</v>
      </c>
      <c r="U1467">
        <f>HOUR(datos_siembra[[#This Row],[Hour]])</f>
        <v>17</v>
      </c>
      <c r="V1467" cm="1">
        <f t="array" ref="V1467">_xlfn.IFS(AND(N1467&lt;= 22, S1467=9), N1467-7,AND(N1467&lt;= 28, S1467=9), N1467-25,AND(N1467&lt;= 30, S1467=9), N1467-28,AND(N1467&lt;= 11, S1467=10), N1467+2,AND(N1467&lt;= 21, S1467=10), N1467-11)</f>
        <v>11</v>
      </c>
    </row>
    <row r="1468" spans="1:22" x14ac:dyDescent="0.35">
      <c r="A1468" s="4">
        <v>45553</v>
      </c>
      <c r="B1468" s="5">
        <v>0.7428703703703704</v>
      </c>
      <c r="C1468">
        <v>81.099999999999994</v>
      </c>
      <c r="D1468">
        <v>78.2</v>
      </c>
      <c r="E1468">
        <v>79.599999999999994</v>
      </c>
      <c r="F1468">
        <v>81.099999999999994</v>
      </c>
      <c r="G1468">
        <v>0</v>
      </c>
      <c r="H1468">
        <v>0</v>
      </c>
      <c r="I1468">
        <v>0</v>
      </c>
      <c r="J1468">
        <v>0</v>
      </c>
      <c r="K1468">
        <v>68.3</v>
      </c>
      <c r="L1468">
        <v>67.099999999999994</v>
      </c>
      <c r="M1468">
        <v>80.12</v>
      </c>
      <c r="N1468">
        <v>18</v>
      </c>
      <c r="O1468">
        <v>1</v>
      </c>
      <c r="P1468">
        <f>MOD(DAY(datos_siembra[[#This Row],[Date]]),7)</f>
        <v>4</v>
      </c>
      <c r="Q1468" t="str">
        <f>CHOOSE(WEEKDAY(datos_siembra[[#This Row],[Date]],2),"L","M","X","J","V","S","D")</f>
        <v>X</v>
      </c>
      <c r="R1468">
        <f>WEEKNUM(datos_siembra[[#This Row],[Date]],2)-WEEKNUM(DATE(YEAR(datos_siembra[[#This Row],[Date]]),MONTH(datos_siembra[[#This Row],[Date]]),1))+1</f>
        <v>3</v>
      </c>
      <c r="S1468">
        <f>MONTH(datos_siembra[[#This Row],[Date]])</f>
        <v>9</v>
      </c>
      <c r="T1468" t="str" cm="1">
        <f t="array" ref="T1468">_xlfn.IFS(AND(N1468&lt;= 22, S1468=9), "SOWING",AND(N1468&lt;= 28, S1468=9), "COVERAGE",AND(N1468&lt;= 30, S1468=9), "FLUSH",AND(N1468&lt;= 11, S1468=10), "FLUSH",AND(N1468&lt;= 21, S1468=10), "PRODUCTION")</f>
        <v>SOWING</v>
      </c>
      <c r="U1468">
        <f>HOUR(datos_siembra[[#This Row],[Hour]])</f>
        <v>17</v>
      </c>
      <c r="V1468" cm="1">
        <f t="array" ref="V1468">_xlfn.IFS(AND(N1468&lt;= 22, S1468=9), N1468-7,AND(N1468&lt;= 28, S1468=9), N1468-25,AND(N1468&lt;= 30, S1468=9), N1468-28,AND(N1468&lt;= 11, S1468=10), N1468+2,AND(N1468&lt;= 21, S1468=10), N1468-11)</f>
        <v>11</v>
      </c>
    </row>
    <row r="1469" spans="1:22" x14ac:dyDescent="0.35">
      <c r="A1469" s="4">
        <v>45553</v>
      </c>
      <c r="B1469" s="5">
        <v>0.74981481481481482</v>
      </c>
      <c r="C1469">
        <v>81.2</v>
      </c>
      <c r="D1469">
        <v>78.2</v>
      </c>
      <c r="E1469">
        <v>79.8</v>
      </c>
      <c r="F1469">
        <v>81.099999999999994</v>
      </c>
      <c r="G1469">
        <v>0</v>
      </c>
      <c r="H1469">
        <v>0</v>
      </c>
      <c r="I1469">
        <v>0</v>
      </c>
      <c r="J1469">
        <v>0</v>
      </c>
      <c r="K1469">
        <v>68.599999999999994</v>
      </c>
      <c r="L1469">
        <v>67.3</v>
      </c>
      <c r="M1469">
        <v>80.09</v>
      </c>
      <c r="N1469">
        <v>18</v>
      </c>
      <c r="O1469">
        <v>1</v>
      </c>
      <c r="P1469">
        <f>MOD(DAY(datos_siembra[[#This Row],[Date]]),7)</f>
        <v>4</v>
      </c>
      <c r="Q1469" t="str">
        <f>CHOOSE(WEEKDAY(datos_siembra[[#This Row],[Date]],2),"L","M","X","J","V","S","D")</f>
        <v>X</v>
      </c>
      <c r="R1469">
        <f>WEEKNUM(datos_siembra[[#This Row],[Date]],2)-WEEKNUM(DATE(YEAR(datos_siembra[[#This Row],[Date]]),MONTH(datos_siembra[[#This Row],[Date]]),1))+1</f>
        <v>3</v>
      </c>
      <c r="S1469">
        <f>MONTH(datos_siembra[[#This Row],[Date]])</f>
        <v>9</v>
      </c>
      <c r="T1469" t="str" cm="1">
        <f t="array" ref="T1469">_xlfn.IFS(AND(N1469&lt;= 22, S1469=9), "SOWING",AND(N1469&lt;= 28, S1469=9), "COVERAGE",AND(N1469&lt;= 30, S1469=9), "FLUSH",AND(N1469&lt;= 11, S1469=10), "FLUSH",AND(N1469&lt;= 21, S1469=10), "PRODUCTION")</f>
        <v>SOWING</v>
      </c>
      <c r="U1469">
        <f>HOUR(datos_siembra[[#This Row],[Hour]])</f>
        <v>17</v>
      </c>
      <c r="V1469" cm="1">
        <f t="array" ref="V1469">_xlfn.IFS(AND(N1469&lt;= 22, S1469=9), N1469-7,AND(N1469&lt;= 28, S1469=9), N1469-25,AND(N1469&lt;= 30, S1469=9), N1469-28,AND(N1469&lt;= 11, S1469=10), N1469+2,AND(N1469&lt;= 21, S1469=10), N1469-11)</f>
        <v>11</v>
      </c>
    </row>
    <row r="1470" spans="1:22" x14ac:dyDescent="0.35">
      <c r="A1470" s="4">
        <v>45553</v>
      </c>
      <c r="B1470" s="5">
        <v>0.75677083333333328</v>
      </c>
      <c r="C1470">
        <v>81.3</v>
      </c>
      <c r="D1470">
        <v>78.2</v>
      </c>
      <c r="E1470">
        <v>79.8</v>
      </c>
      <c r="F1470">
        <v>81.099999999999994</v>
      </c>
      <c r="G1470">
        <v>0</v>
      </c>
      <c r="H1470">
        <v>0</v>
      </c>
      <c r="I1470">
        <v>0</v>
      </c>
      <c r="J1470">
        <v>0</v>
      </c>
      <c r="K1470">
        <v>68.8</v>
      </c>
      <c r="L1470">
        <v>67.400000000000006</v>
      </c>
      <c r="M1470">
        <v>80.12</v>
      </c>
      <c r="N1470">
        <v>18</v>
      </c>
      <c r="O1470">
        <v>1</v>
      </c>
      <c r="P1470">
        <f>MOD(DAY(datos_siembra[[#This Row],[Date]]),7)</f>
        <v>4</v>
      </c>
      <c r="Q1470" t="str">
        <f>CHOOSE(WEEKDAY(datos_siembra[[#This Row],[Date]],2),"L","M","X","J","V","S","D")</f>
        <v>X</v>
      </c>
      <c r="R1470">
        <f>WEEKNUM(datos_siembra[[#This Row],[Date]],2)-WEEKNUM(DATE(YEAR(datos_siembra[[#This Row],[Date]]),MONTH(datos_siembra[[#This Row],[Date]]),1))+1</f>
        <v>3</v>
      </c>
      <c r="S1470">
        <f>MONTH(datos_siembra[[#This Row],[Date]])</f>
        <v>9</v>
      </c>
      <c r="T1470" t="str" cm="1">
        <f t="array" ref="T1470">_xlfn.IFS(AND(N1470&lt;= 22, S1470=9), "SOWING",AND(N1470&lt;= 28, S1470=9), "COVERAGE",AND(N1470&lt;= 30, S1470=9), "FLUSH",AND(N1470&lt;= 11, S1470=10), "FLUSH",AND(N1470&lt;= 21, S1470=10), "PRODUCTION")</f>
        <v>SOWING</v>
      </c>
      <c r="U1470">
        <f>HOUR(datos_siembra[[#This Row],[Hour]])</f>
        <v>18</v>
      </c>
      <c r="V1470" cm="1">
        <f t="array" ref="V1470">_xlfn.IFS(AND(N1470&lt;= 22, S1470=9), N1470-7,AND(N1470&lt;= 28, S1470=9), N1470-25,AND(N1470&lt;= 30, S1470=9), N1470-28,AND(N1470&lt;= 11, S1470=10), N1470+2,AND(N1470&lt;= 21, S1470=10), N1470-11)</f>
        <v>11</v>
      </c>
    </row>
    <row r="1471" spans="1:22" x14ac:dyDescent="0.35">
      <c r="A1471" s="4">
        <v>45553</v>
      </c>
      <c r="B1471" s="5">
        <v>0.76371527777777781</v>
      </c>
      <c r="C1471">
        <v>81.099999999999994</v>
      </c>
      <c r="D1471">
        <v>78.2</v>
      </c>
      <c r="E1471">
        <v>79.8</v>
      </c>
      <c r="F1471">
        <v>81.099999999999994</v>
      </c>
      <c r="G1471">
        <v>0</v>
      </c>
      <c r="H1471">
        <v>0</v>
      </c>
      <c r="I1471">
        <v>0</v>
      </c>
      <c r="J1471">
        <v>0</v>
      </c>
      <c r="K1471">
        <v>68.8</v>
      </c>
      <c r="L1471">
        <v>67.599999999999994</v>
      </c>
      <c r="M1471">
        <v>80.12</v>
      </c>
      <c r="N1471">
        <v>18</v>
      </c>
      <c r="O1471">
        <v>1</v>
      </c>
      <c r="P1471">
        <f>MOD(DAY(datos_siembra[[#This Row],[Date]]),7)</f>
        <v>4</v>
      </c>
      <c r="Q1471" t="str">
        <f>CHOOSE(WEEKDAY(datos_siembra[[#This Row],[Date]],2),"L","M","X","J","V","S","D")</f>
        <v>X</v>
      </c>
      <c r="R1471">
        <f>WEEKNUM(datos_siembra[[#This Row],[Date]],2)-WEEKNUM(DATE(YEAR(datos_siembra[[#This Row],[Date]]),MONTH(datos_siembra[[#This Row],[Date]]),1))+1</f>
        <v>3</v>
      </c>
      <c r="S1471">
        <f>MONTH(datos_siembra[[#This Row],[Date]])</f>
        <v>9</v>
      </c>
      <c r="T1471" t="str" cm="1">
        <f t="array" ref="T1471">_xlfn.IFS(AND(N1471&lt;= 22, S1471=9), "SOWING",AND(N1471&lt;= 28, S1471=9), "COVERAGE",AND(N1471&lt;= 30, S1471=9), "FLUSH",AND(N1471&lt;= 11, S1471=10), "FLUSH",AND(N1471&lt;= 21, S1471=10), "PRODUCTION")</f>
        <v>SOWING</v>
      </c>
      <c r="U1471">
        <f>HOUR(datos_siembra[[#This Row],[Hour]])</f>
        <v>18</v>
      </c>
      <c r="V1471" cm="1">
        <f t="array" ref="V1471">_xlfn.IFS(AND(N1471&lt;= 22, S1471=9), N1471-7,AND(N1471&lt;= 28, S1471=9), N1471-25,AND(N1471&lt;= 30, S1471=9), N1471-28,AND(N1471&lt;= 11, S1471=10), N1471+2,AND(N1471&lt;= 21, S1471=10), N1471-11)</f>
        <v>11</v>
      </c>
    </row>
    <row r="1472" spans="1:22" x14ac:dyDescent="0.35">
      <c r="A1472" s="4">
        <v>45553</v>
      </c>
      <c r="B1472" s="5">
        <v>0.77065972222222223</v>
      </c>
      <c r="C1472">
        <v>81.099999999999994</v>
      </c>
      <c r="D1472">
        <v>78.2</v>
      </c>
      <c r="E1472">
        <v>79.7</v>
      </c>
      <c r="F1472">
        <v>81.2</v>
      </c>
      <c r="G1472">
        <v>0</v>
      </c>
      <c r="H1472">
        <v>0</v>
      </c>
      <c r="I1472">
        <v>0</v>
      </c>
      <c r="J1472">
        <v>0</v>
      </c>
      <c r="K1472">
        <v>66.5</v>
      </c>
      <c r="L1472">
        <v>64.5</v>
      </c>
      <c r="M1472">
        <v>80.010000000000005</v>
      </c>
      <c r="N1472">
        <v>18</v>
      </c>
      <c r="O1472">
        <v>1</v>
      </c>
      <c r="P1472">
        <f>MOD(DAY(datos_siembra[[#This Row],[Date]]),7)</f>
        <v>4</v>
      </c>
      <c r="Q1472" t="str">
        <f>CHOOSE(WEEKDAY(datos_siembra[[#This Row],[Date]],2),"L","M","X","J","V","S","D")</f>
        <v>X</v>
      </c>
      <c r="R1472">
        <f>WEEKNUM(datos_siembra[[#This Row],[Date]],2)-WEEKNUM(DATE(YEAR(datos_siembra[[#This Row],[Date]]),MONTH(datos_siembra[[#This Row],[Date]]),1))+1</f>
        <v>3</v>
      </c>
      <c r="S1472">
        <f>MONTH(datos_siembra[[#This Row],[Date]])</f>
        <v>9</v>
      </c>
      <c r="T1472" t="str" cm="1">
        <f t="array" ref="T1472">_xlfn.IFS(AND(N1472&lt;= 22, S1472=9), "SOWING",AND(N1472&lt;= 28, S1472=9), "COVERAGE",AND(N1472&lt;= 30, S1472=9), "FLUSH",AND(N1472&lt;= 11, S1472=10), "FLUSH",AND(N1472&lt;= 21, S1472=10), "PRODUCTION")</f>
        <v>SOWING</v>
      </c>
      <c r="U1472">
        <f>HOUR(datos_siembra[[#This Row],[Hour]])</f>
        <v>18</v>
      </c>
      <c r="V1472" cm="1">
        <f t="array" ref="V1472">_xlfn.IFS(AND(N1472&lt;= 22, S1472=9), N1472-7,AND(N1472&lt;= 28, S1472=9), N1472-25,AND(N1472&lt;= 30, S1472=9), N1472-28,AND(N1472&lt;= 11, S1472=10), N1472+2,AND(N1472&lt;= 21, S1472=10), N1472-11)</f>
        <v>11</v>
      </c>
    </row>
    <row r="1473" spans="1:22" x14ac:dyDescent="0.35">
      <c r="A1473" s="4">
        <v>45553</v>
      </c>
      <c r="B1473" s="5">
        <v>0.77761574074074069</v>
      </c>
      <c r="C1473">
        <v>81.099999999999994</v>
      </c>
      <c r="D1473">
        <v>78.099999999999994</v>
      </c>
      <c r="E1473">
        <v>79.8</v>
      </c>
      <c r="F1473">
        <v>81.2</v>
      </c>
      <c r="G1473">
        <v>0</v>
      </c>
      <c r="H1473">
        <v>0</v>
      </c>
      <c r="I1473">
        <v>0</v>
      </c>
      <c r="J1473">
        <v>0</v>
      </c>
      <c r="K1473">
        <v>65.900000000000006</v>
      </c>
      <c r="L1473">
        <v>63.8</v>
      </c>
      <c r="M1473">
        <v>80.040000000000006</v>
      </c>
      <c r="N1473">
        <v>18</v>
      </c>
      <c r="O1473">
        <v>1</v>
      </c>
      <c r="P1473">
        <f>MOD(DAY(datos_siembra[[#This Row],[Date]]),7)</f>
        <v>4</v>
      </c>
      <c r="Q1473" t="str">
        <f>CHOOSE(WEEKDAY(datos_siembra[[#This Row],[Date]],2),"L","M","X","J","V","S","D")</f>
        <v>X</v>
      </c>
      <c r="R1473">
        <f>WEEKNUM(datos_siembra[[#This Row],[Date]],2)-WEEKNUM(DATE(YEAR(datos_siembra[[#This Row],[Date]]),MONTH(datos_siembra[[#This Row],[Date]]),1))+1</f>
        <v>3</v>
      </c>
      <c r="S1473">
        <f>MONTH(datos_siembra[[#This Row],[Date]])</f>
        <v>9</v>
      </c>
      <c r="T1473" t="str" cm="1">
        <f t="array" ref="T1473">_xlfn.IFS(AND(N1473&lt;= 22, S1473=9), "SOWING",AND(N1473&lt;= 28, S1473=9), "COVERAGE",AND(N1473&lt;= 30, S1473=9), "FLUSH",AND(N1473&lt;= 11, S1473=10), "FLUSH",AND(N1473&lt;= 21, S1473=10), "PRODUCTION")</f>
        <v>SOWING</v>
      </c>
      <c r="U1473">
        <f>HOUR(datos_siembra[[#This Row],[Hour]])</f>
        <v>18</v>
      </c>
      <c r="V1473" cm="1">
        <f t="array" ref="V1473">_xlfn.IFS(AND(N1473&lt;= 22, S1473=9), N1473-7,AND(N1473&lt;= 28, S1473=9), N1473-25,AND(N1473&lt;= 30, S1473=9), N1473-28,AND(N1473&lt;= 11, S1473=10), N1473+2,AND(N1473&lt;= 21, S1473=10), N1473-11)</f>
        <v>11</v>
      </c>
    </row>
    <row r="1474" spans="1:22" x14ac:dyDescent="0.35">
      <c r="A1474" s="4">
        <v>45553</v>
      </c>
      <c r="B1474" s="5">
        <v>0.78456018518518522</v>
      </c>
      <c r="C1474">
        <v>81.2</v>
      </c>
      <c r="D1474">
        <v>78</v>
      </c>
      <c r="E1474">
        <v>79.900000000000006</v>
      </c>
      <c r="F1474">
        <v>81.2</v>
      </c>
      <c r="G1474">
        <v>0</v>
      </c>
      <c r="H1474">
        <v>0</v>
      </c>
      <c r="I1474">
        <v>0</v>
      </c>
      <c r="J1474">
        <v>0</v>
      </c>
      <c r="K1474">
        <v>67.3</v>
      </c>
      <c r="L1474">
        <v>66.099999999999994</v>
      </c>
      <c r="M1474">
        <v>79.95</v>
      </c>
      <c r="N1474">
        <v>18</v>
      </c>
      <c r="O1474">
        <v>1</v>
      </c>
      <c r="P1474">
        <f>MOD(DAY(datos_siembra[[#This Row],[Date]]),7)</f>
        <v>4</v>
      </c>
      <c r="Q1474" t="str">
        <f>CHOOSE(WEEKDAY(datos_siembra[[#This Row],[Date]],2),"L","M","X","J","V","S","D")</f>
        <v>X</v>
      </c>
      <c r="R1474">
        <f>WEEKNUM(datos_siembra[[#This Row],[Date]],2)-WEEKNUM(DATE(YEAR(datos_siembra[[#This Row],[Date]]),MONTH(datos_siembra[[#This Row],[Date]]),1))+1</f>
        <v>3</v>
      </c>
      <c r="S1474">
        <f>MONTH(datos_siembra[[#This Row],[Date]])</f>
        <v>9</v>
      </c>
      <c r="T1474" t="str" cm="1">
        <f t="array" ref="T1474">_xlfn.IFS(AND(N1474&lt;= 22, S1474=9), "SOWING",AND(N1474&lt;= 28, S1474=9), "COVERAGE",AND(N1474&lt;= 30, S1474=9), "FLUSH",AND(N1474&lt;= 11, S1474=10), "FLUSH",AND(N1474&lt;= 21, S1474=10), "PRODUCTION")</f>
        <v>SOWING</v>
      </c>
      <c r="U1474">
        <f>HOUR(datos_siembra[[#This Row],[Hour]])</f>
        <v>18</v>
      </c>
      <c r="V1474" cm="1">
        <f t="array" ref="V1474">_xlfn.IFS(AND(N1474&lt;= 22, S1474=9), N1474-7,AND(N1474&lt;= 28, S1474=9), N1474-25,AND(N1474&lt;= 30, S1474=9), N1474-28,AND(N1474&lt;= 11, S1474=10), N1474+2,AND(N1474&lt;= 21, S1474=10), N1474-11)</f>
        <v>11</v>
      </c>
    </row>
    <row r="1475" spans="1:22" x14ac:dyDescent="0.35">
      <c r="A1475" s="4">
        <v>45553</v>
      </c>
      <c r="B1475" s="5">
        <v>0.79150462962962964</v>
      </c>
      <c r="C1475">
        <v>81.400000000000006</v>
      </c>
      <c r="D1475">
        <v>78</v>
      </c>
      <c r="E1475">
        <v>79.8</v>
      </c>
      <c r="F1475">
        <v>81.099999999999994</v>
      </c>
      <c r="G1475">
        <v>0</v>
      </c>
      <c r="H1475">
        <v>0</v>
      </c>
      <c r="I1475">
        <v>0</v>
      </c>
      <c r="J1475">
        <v>0</v>
      </c>
      <c r="K1475">
        <v>68.2</v>
      </c>
      <c r="L1475">
        <v>66.900000000000006</v>
      </c>
      <c r="M1475">
        <v>80.010000000000005</v>
      </c>
      <c r="N1475">
        <v>18</v>
      </c>
      <c r="O1475">
        <v>1</v>
      </c>
      <c r="P1475">
        <f>MOD(DAY(datos_siembra[[#This Row],[Date]]),7)</f>
        <v>4</v>
      </c>
      <c r="Q1475" t="str">
        <f>CHOOSE(WEEKDAY(datos_siembra[[#This Row],[Date]],2),"L","M","X","J","V","S","D")</f>
        <v>X</v>
      </c>
      <c r="R1475">
        <f>WEEKNUM(datos_siembra[[#This Row],[Date]],2)-WEEKNUM(DATE(YEAR(datos_siembra[[#This Row],[Date]]),MONTH(datos_siembra[[#This Row],[Date]]),1))+1</f>
        <v>3</v>
      </c>
      <c r="S1475">
        <f>MONTH(datos_siembra[[#This Row],[Date]])</f>
        <v>9</v>
      </c>
      <c r="T1475" t="str" cm="1">
        <f t="array" ref="T1475">_xlfn.IFS(AND(N1475&lt;= 22, S1475=9), "SOWING",AND(N1475&lt;= 28, S1475=9), "COVERAGE",AND(N1475&lt;= 30, S1475=9), "FLUSH",AND(N1475&lt;= 11, S1475=10), "FLUSH",AND(N1475&lt;= 21, S1475=10), "PRODUCTION")</f>
        <v>SOWING</v>
      </c>
      <c r="U1475">
        <f>HOUR(datos_siembra[[#This Row],[Hour]])</f>
        <v>18</v>
      </c>
      <c r="V1475" cm="1">
        <f t="array" ref="V1475">_xlfn.IFS(AND(N1475&lt;= 22, S1475=9), N1475-7,AND(N1475&lt;= 28, S1475=9), N1475-25,AND(N1475&lt;= 30, S1475=9), N1475-28,AND(N1475&lt;= 11, S1475=10), N1475+2,AND(N1475&lt;= 21, S1475=10), N1475-11)</f>
        <v>11</v>
      </c>
    </row>
    <row r="1476" spans="1:22" x14ac:dyDescent="0.35">
      <c r="A1476" s="4">
        <v>45553</v>
      </c>
      <c r="B1476" s="5">
        <v>0.79844907407407406</v>
      </c>
      <c r="C1476">
        <v>81.2</v>
      </c>
      <c r="D1476">
        <v>78.099999999999994</v>
      </c>
      <c r="E1476">
        <v>79.8</v>
      </c>
      <c r="F1476">
        <v>81.2</v>
      </c>
      <c r="G1476">
        <v>0</v>
      </c>
      <c r="H1476">
        <v>0</v>
      </c>
      <c r="I1476">
        <v>0</v>
      </c>
      <c r="J1476">
        <v>0</v>
      </c>
      <c r="K1476">
        <v>68.599999999999994</v>
      </c>
      <c r="L1476">
        <v>67.2</v>
      </c>
      <c r="M1476">
        <v>80.040000000000006</v>
      </c>
      <c r="N1476">
        <v>18</v>
      </c>
      <c r="O1476">
        <v>1</v>
      </c>
      <c r="P1476">
        <f>MOD(DAY(datos_siembra[[#This Row],[Date]]),7)</f>
        <v>4</v>
      </c>
      <c r="Q1476" t="str">
        <f>CHOOSE(WEEKDAY(datos_siembra[[#This Row],[Date]],2),"L","M","X","J","V","S","D")</f>
        <v>X</v>
      </c>
      <c r="R1476">
        <f>WEEKNUM(datos_siembra[[#This Row],[Date]],2)-WEEKNUM(DATE(YEAR(datos_siembra[[#This Row],[Date]]),MONTH(datos_siembra[[#This Row],[Date]]),1))+1</f>
        <v>3</v>
      </c>
      <c r="S1476">
        <f>MONTH(datos_siembra[[#This Row],[Date]])</f>
        <v>9</v>
      </c>
      <c r="T1476" t="str" cm="1">
        <f t="array" ref="T1476">_xlfn.IFS(AND(N1476&lt;= 22, S1476=9), "SOWING",AND(N1476&lt;= 28, S1476=9), "COVERAGE",AND(N1476&lt;= 30, S1476=9), "FLUSH",AND(N1476&lt;= 11, S1476=10), "FLUSH",AND(N1476&lt;= 21, S1476=10), "PRODUCTION")</f>
        <v>SOWING</v>
      </c>
      <c r="U1476">
        <f>HOUR(datos_siembra[[#This Row],[Hour]])</f>
        <v>19</v>
      </c>
      <c r="V1476" cm="1">
        <f t="array" ref="V1476">_xlfn.IFS(AND(N1476&lt;= 22, S1476=9), N1476-7,AND(N1476&lt;= 28, S1476=9), N1476-25,AND(N1476&lt;= 30, S1476=9), N1476-28,AND(N1476&lt;= 11, S1476=10), N1476+2,AND(N1476&lt;= 21, S1476=10), N1476-11)</f>
        <v>11</v>
      </c>
    </row>
    <row r="1477" spans="1:22" x14ac:dyDescent="0.35">
      <c r="A1477" s="4">
        <v>45553</v>
      </c>
      <c r="B1477" s="5">
        <v>0.80540509259259263</v>
      </c>
      <c r="C1477">
        <v>81.2</v>
      </c>
      <c r="D1477">
        <v>78</v>
      </c>
      <c r="E1477">
        <v>79.8</v>
      </c>
      <c r="F1477">
        <v>81.099999999999994</v>
      </c>
      <c r="G1477">
        <v>0</v>
      </c>
      <c r="H1477">
        <v>0</v>
      </c>
      <c r="I1477">
        <v>0</v>
      </c>
      <c r="J1477">
        <v>0</v>
      </c>
      <c r="K1477">
        <v>68.7</v>
      </c>
      <c r="L1477">
        <v>67.3</v>
      </c>
      <c r="M1477">
        <v>80.040000000000006</v>
      </c>
      <c r="N1477">
        <v>18</v>
      </c>
      <c r="O1477">
        <v>1</v>
      </c>
      <c r="P1477">
        <f>MOD(DAY(datos_siembra[[#This Row],[Date]]),7)</f>
        <v>4</v>
      </c>
      <c r="Q1477" t="str">
        <f>CHOOSE(WEEKDAY(datos_siembra[[#This Row],[Date]],2),"L","M","X","J","V","S","D")</f>
        <v>X</v>
      </c>
      <c r="R1477">
        <f>WEEKNUM(datos_siembra[[#This Row],[Date]],2)-WEEKNUM(DATE(YEAR(datos_siembra[[#This Row],[Date]]),MONTH(datos_siembra[[#This Row],[Date]]),1))+1</f>
        <v>3</v>
      </c>
      <c r="S1477">
        <f>MONTH(datos_siembra[[#This Row],[Date]])</f>
        <v>9</v>
      </c>
      <c r="T1477" t="str" cm="1">
        <f t="array" ref="T1477">_xlfn.IFS(AND(N1477&lt;= 22, S1477=9), "SOWING",AND(N1477&lt;= 28, S1477=9), "COVERAGE",AND(N1477&lt;= 30, S1477=9), "FLUSH",AND(N1477&lt;= 11, S1477=10), "FLUSH",AND(N1477&lt;= 21, S1477=10), "PRODUCTION")</f>
        <v>SOWING</v>
      </c>
      <c r="U1477">
        <f>HOUR(datos_siembra[[#This Row],[Hour]])</f>
        <v>19</v>
      </c>
      <c r="V1477" cm="1">
        <f t="array" ref="V1477">_xlfn.IFS(AND(N1477&lt;= 22, S1477=9), N1477-7,AND(N1477&lt;= 28, S1477=9), N1477-25,AND(N1477&lt;= 30, S1477=9), N1477-28,AND(N1477&lt;= 11, S1477=10), N1477+2,AND(N1477&lt;= 21, S1477=10), N1477-11)</f>
        <v>11</v>
      </c>
    </row>
    <row r="1478" spans="1:22" x14ac:dyDescent="0.35">
      <c r="A1478" s="4">
        <v>45553</v>
      </c>
      <c r="B1478" s="5">
        <v>0.81234953703703705</v>
      </c>
      <c r="C1478">
        <v>81.2</v>
      </c>
      <c r="D1478">
        <v>78</v>
      </c>
      <c r="E1478">
        <v>79.8</v>
      </c>
      <c r="F1478">
        <v>81.2</v>
      </c>
      <c r="G1478">
        <v>0</v>
      </c>
      <c r="H1478">
        <v>0</v>
      </c>
      <c r="I1478">
        <v>0</v>
      </c>
      <c r="J1478">
        <v>0</v>
      </c>
      <c r="K1478">
        <v>68.900000000000006</v>
      </c>
      <c r="L1478">
        <v>67.400000000000006</v>
      </c>
      <c r="M1478">
        <v>80.010000000000005</v>
      </c>
      <c r="N1478">
        <v>18</v>
      </c>
      <c r="O1478">
        <v>1</v>
      </c>
      <c r="P1478">
        <f>MOD(DAY(datos_siembra[[#This Row],[Date]]),7)</f>
        <v>4</v>
      </c>
      <c r="Q1478" t="str">
        <f>CHOOSE(WEEKDAY(datos_siembra[[#This Row],[Date]],2),"L","M","X","J","V","S","D")</f>
        <v>X</v>
      </c>
      <c r="R1478">
        <f>WEEKNUM(datos_siembra[[#This Row],[Date]],2)-WEEKNUM(DATE(YEAR(datos_siembra[[#This Row],[Date]]),MONTH(datos_siembra[[#This Row],[Date]]),1))+1</f>
        <v>3</v>
      </c>
      <c r="S1478">
        <f>MONTH(datos_siembra[[#This Row],[Date]])</f>
        <v>9</v>
      </c>
      <c r="T1478" t="str" cm="1">
        <f t="array" ref="T1478">_xlfn.IFS(AND(N1478&lt;= 22, S1478=9), "SOWING",AND(N1478&lt;= 28, S1478=9), "COVERAGE",AND(N1478&lt;= 30, S1478=9), "FLUSH",AND(N1478&lt;= 11, S1478=10), "FLUSH",AND(N1478&lt;= 21, S1478=10), "PRODUCTION")</f>
        <v>SOWING</v>
      </c>
      <c r="U1478">
        <f>HOUR(datos_siembra[[#This Row],[Hour]])</f>
        <v>19</v>
      </c>
      <c r="V1478" cm="1">
        <f t="array" ref="V1478">_xlfn.IFS(AND(N1478&lt;= 22, S1478=9), N1478-7,AND(N1478&lt;= 28, S1478=9), N1478-25,AND(N1478&lt;= 30, S1478=9), N1478-28,AND(N1478&lt;= 11, S1478=10), N1478+2,AND(N1478&lt;= 21, S1478=10), N1478-11)</f>
        <v>11</v>
      </c>
    </row>
    <row r="1479" spans="1:22" x14ac:dyDescent="0.35">
      <c r="A1479" s="4">
        <v>45553</v>
      </c>
      <c r="B1479" s="5">
        <v>0.81929398148148147</v>
      </c>
      <c r="C1479">
        <v>81.3</v>
      </c>
      <c r="D1479">
        <v>78</v>
      </c>
      <c r="E1479">
        <v>79.8</v>
      </c>
      <c r="F1479">
        <v>80.900000000000006</v>
      </c>
      <c r="G1479">
        <v>0</v>
      </c>
      <c r="H1479">
        <v>0</v>
      </c>
      <c r="I1479">
        <v>0</v>
      </c>
      <c r="J1479">
        <v>0</v>
      </c>
      <c r="K1479">
        <v>66.3</v>
      </c>
      <c r="L1479">
        <v>64.2</v>
      </c>
      <c r="M1479">
        <v>79.95</v>
      </c>
      <c r="N1479">
        <v>18</v>
      </c>
      <c r="O1479">
        <v>1</v>
      </c>
      <c r="P1479">
        <f>MOD(DAY(datos_siembra[[#This Row],[Date]]),7)</f>
        <v>4</v>
      </c>
      <c r="Q1479" t="str">
        <f>CHOOSE(WEEKDAY(datos_siembra[[#This Row],[Date]],2),"L","M","X","J","V","S","D")</f>
        <v>X</v>
      </c>
      <c r="R1479">
        <f>WEEKNUM(datos_siembra[[#This Row],[Date]],2)-WEEKNUM(DATE(YEAR(datos_siembra[[#This Row],[Date]]),MONTH(datos_siembra[[#This Row],[Date]]),1))+1</f>
        <v>3</v>
      </c>
      <c r="S1479">
        <f>MONTH(datos_siembra[[#This Row],[Date]])</f>
        <v>9</v>
      </c>
      <c r="T1479" t="str" cm="1">
        <f t="array" ref="T1479">_xlfn.IFS(AND(N1479&lt;= 22, S1479=9), "SOWING",AND(N1479&lt;= 28, S1479=9), "COVERAGE",AND(N1479&lt;= 30, S1479=9), "FLUSH",AND(N1479&lt;= 11, S1479=10), "FLUSH",AND(N1479&lt;= 21, S1479=10), "PRODUCTION")</f>
        <v>SOWING</v>
      </c>
      <c r="U1479">
        <f>HOUR(datos_siembra[[#This Row],[Hour]])</f>
        <v>19</v>
      </c>
      <c r="V1479" cm="1">
        <f t="array" ref="V1479">_xlfn.IFS(AND(N1479&lt;= 22, S1479=9), N1479-7,AND(N1479&lt;= 28, S1479=9), N1479-25,AND(N1479&lt;= 30, S1479=9), N1479-28,AND(N1479&lt;= 11, S1479=10), N1479+2,AND(N1479&lt;= 21, S1479=10), N1479-11)</f>
        <v>11</v>
      </c>
    </row>
    <row r="1480" spans="1:22" x14ac:dyDescent="0.35">
      <c r="A1480" s="4">
        <v>45553</v>
      </c>
      <c r="B1480" s="5">
        <v>0.82623842592592589</v>
      </c>
      <c r="C1480">
        <v>81.2</v>
      </c>
      <c r="D1480">
        <v>77.900000000000006</v>
      </c>
      <c r="E1480">
        <v>79.900000000000006</v>
      </c>
      <c r="F1480">
        <v>81.2</v>
      </c>
      <c r="G1480">
        <v>0</v>
      </c>
      <c r="H1480">
        <v>0</v>
      </c>
      <c r="I1480">
        <v>0</v>
      </c>
      <c r="J1480">
        <v>0</v>
      </c>
      <c r="K1480">
        <v>66</v>
      </c>
      <c r="L1480">
        <v>63.8</v>
      </c>
      <c r="M1480">
        <v>79.98</v>
      </c>
      <c r="N1480">
        <v>18</v>
      </c>
      <c r="O1480">
        <v>1</v>
      </c>
      <c r="P1480">
        <f>MOD(DAY(datos_siembra[[#This Row],[Date]]),7)</f>
        <v>4</v>
      </c>
      <c r="Q1480" t="str">
        <f>CHOOSE(WEEKDAY(datos_siembra[[#This Row],[Date]],2),"L","M","X","J","V","S","D")</f>
        <v>X</v>
      </c>
      <c r="R1480">
        <f>WEEKNUM(datos_siembra[[#This Row],[Date]],2)-WEEKNUM(DATE(YEAR(datos_siembra[[#This Row],[Date]]),MONTH(datos_siembra[[#This Row],[Date]]),1))+1</f>
        <v>3</v>
      </c>
      <c r="S1480">
        <f>MONTH(datos_siembra[[#This Row],[Date]])</f>
        <v>9</v>
      </c>
      <c r="T1480" t="str" cm="1">
        <f t="array" ref="T1480">_xlfn.IFS(AND(N1480&lt;= 22, S1480=9), "SOWING",AND(N1480&lt;= 28, S1480=9), "COVERAGE",AND(N1480&lt;= 30, S1480=9), "FLUSH",AND(N1480&lt;= 11, S1480=10), "FLUSH",AND(N1480&lt;= 21, S1480=10), "PRODUCTION")</f>
        <v>SOWING</v>
      </c>
      <c r="U1480">
        <f>HOUR(datos_siembra[[#This Row],[Hour]])</f>
        <v>19</v>
      </c>
      <c r="V1480" cm="1">
        <f t="array" ref="V1480">_xlfn.IFS(AND(N1480&lt;= 22, S1480=9), N1480-7,AND(N1480&lt;= 28, S1480=9), N1480-25,AND(N1480&lt;= 30, S1480=9), N1480-28,AND(N1480&lt;= 11, S1480=10), N1480+2,AND(N1480&lt;= 21, S1480=10), N1480-11)</f>
        <v>11</v>
      </c>
    </row>
    <row r="1481" spans="1:22" x14ac:dyDescent="0.35">
      <c r="A1481" s="4">
        <v>45553</v>
      </c>
      <c r="B1481" s="5">
        <v>0.83319444444444446</v>
      </c>
      <c r="C1481">
        <v>81.2</v>
      </c>
      <c r="D1481">
        <v>77.900000000000006</v>
      </c>
      <c r="E1481">
        <v>79.8</v>
      </c>
      <c r="F1481">
        <v>81.099999999999994</v>
      </c>
      <c r="G1481">
        <v>0</v>
      </c>
      <c r="H1481">
        <v>0</v>
      </c>
      <c r="I1481">
        <v>0</v>
      </c>
      <c r="J1481">
        <v>0</v>
      </c>
      <c r="K1481">
        <v>67.7</v>
      </c>
      <c r="L1481">
        <v>66.3</v>
      </c>
      <c r="M1481">
        <v>80.010000000000005</v>
      </c>
      <c r="N1481">
        <v>18</v>
      </c>
      <c r="O1481">
        <v>1</v>
      </c>
      <c r="P1481">
        <f>MOD(DAY(datos_siembra[[#This Row],[Date]]),7)</f>
        <v>4</v>
      </c>
      <c r="Q1481" t="str">
        <f>CHOOSE(WEEKDAY(datos_siembra[[#This Row],[Date]],2),"L","M","X","J","V","S","D")</f>
        <v>X</v>
      </c>
      <c r="R1481">
        <f>WEEKNUM(datos_siembra[[#This Row],[Date]],2)-WEEKNUM(DATE(YEAR(datos_siembra[[#This Row],[Date]]),MONTH(datos_siembra[[#This Row],[Date]]),1))+1</f>
        <v>3</v>
      </c>
      <c r="S1481">
        <f>MONTH(datos_siembra[[#This Row],[Date]])</f>
        <v>9</v>
      </c>
      <c r="T1481" t="str" cm="1">
        <f t="array" ref="T1481">_xlfn.IFS(AND(N1481&lt;= 22, S1481=9), "SOWING",AND(N1481&lt;= 28, S1481=9), "COVERAGE",AND(N1481&lt;= 30, S1481=9), "FLUSH",AND(N1481&lt;= 11, S1481=10), "FLUSH",AND(N1481&lt;= 21, S1481=10), "PRODUCTION")</f>
        <v>SOWING</v>
      </c>
      <c r="U1481">
        <f>HOUR(datos_siembra[[#This Row],[Hour]])</f>
        <v>19</v>
      </c>
      <c r="V1481" cm="1">
        <f t="array" ref="V1481">_xlfn.IFS(AND(N1481&lt;= 22, S1481=9), N1481-7,AND(N1481&lt;= 28, S1481=9), N1481-25,AND(N1481&lt;= 30, S1481=9), N1481-28,AND(N1481&lt;= 11, S1481=10), N1481+2,AND(N1481&lt;= 21, S1481=10), N1481-11)</f>
        <v>11</v>
      </c>
    </row>
    <row r="1482" spans="1:22" x14ac:dyDescent="0.35">
      <c r="A1482" s="4">
        <v>45553</v>
      </c>
      <c r="B1482" s="5">
        <v>0.84013888888888888</v>
      </c>
      <c r="C1482">
        <v>81.3</v>
      </c>
      <c r="D1482">
        <v>77.900000000000006</v>
      </c>
      <c r="E1482">
        <v>79.900000000000006</v>
      </c>
      <c r="F1482">
        <v>81.099999999999994</v>
      </c>
      <c r="G1482">
        <v>0</v>
      </c>
      <c r="H1482">
        <v>0</v>
      </c>
      <c r="I1482">
        <v>0</v>
      </c>
      <c r="J1482">
        <v>0</v>
      </c>
      <c r="K1482">
        <v>68.2</v>
      </c>
      <c r="L1482">
        <v>66.8</v>
      </c>
      <c r="M1482">
        <v>80.040000000000006</v>
      </c>
      <c r="N1482">
        <v>18</v>
      </c>
      <c r="O1482">
        <v>1</v>
      </c>
      <c r="P1482">
        <f>MOD(DAY(datos_siembra[[#This Row],[Date]]),7)</f>
        <v>4</v>
      </c>
      <c r="Q1482" t="str">
        <f>CHOOSE(WEEKDAY(datos_siembra[[#This Row],[Date]],2),"L","M","X","J","V","S","D")</f>
        <v>X</v>
      </c>
      <c r="R1482">
        <f>WEEKNUM(datos_siembra[[#This Row],[Date]],2)-WEEKNUM(DATE(YEAR(datos_siembra[[#This Row],[Date]]),MONTH(datos_siembra[[#This Row],[Date]]),1))+1</f>
        <v>3</v>
      </c>
      <c r="S1482">
        <f>MONTH(datos_siembra[[#This Row],[Date]])</f>
        <v>9</v>
      </c>
      <c r="T1482" t="str" cm="1">
        <f t="array" ref="T1482">_xlfn.IFS(AND(N1482&lt;= 22, S1482=9), "SOWING",AND(N1482&lt;= 28, S1482=9), "COVERAGE",AND(N1482&lt;= 30, S1482=9), "FLUSH",AND(N1482&lt;= 11, S1482=10), "FLUSH",AND(N1482&lt;= 21, S1482=10), "PRODUCTION")</f>
        <v>SOWING</v>
      </c>
      <c r="U1482">
        <f>HOUR(datos_siembra[[#This Row],[Hour]])</f>
        <v>20</v>
      </c>
      <c r="V1482" cm="1">
        <f t="array" ref="V1482">_xlfn.IFS(AND(N1482&lt;= 22, S1482=9), N1482-7,AND(N1482&lt;= 28, S1482=9), N1482-25,AND(N1482&lt;= 30, S1482=9), N1482-28,AND(N1482&lt;= 11, S1482=10), N1482+2,AND(N1482&lt;= 21, S1482=10), N1482-11)</f>
        <v>11</v>
      </c>
    </row>
    <row r="1483" spans="1:22" x14ac:dyDescent="0.35">
      <c r="A1483" s="4">
        <v>45553</v>
      </c>
      <c r="B1483" s="5">
        <v>0.8470833333333333</v>
      </c>
      <c r="C1483">
        <v>81.3</v>
      </c>
      <c r="D1483">
        <v>78</v>
      </c>
      <c r="E1483">
        <v>79.8</v>
      </c>
      <c r="F1483">
        <v>81.2</v>
      </c>
      <c r="G1483">
        <v>0</v>
      </c>
      <c r="H1483">
        <v>0</v>
      </c>
      <c r="I1483">
        <v>0</v>
      </c>
      <c r="J1483">
        <v>0</v>
      </c>
      <c r="K1483">
        <v>68.5</v>
      </c>
      <c r="L1483">
        <v>66.900000000000006</v>
      </c>
      <c r="M1483">
        <v>80.010000000000005</v>
      </c>
      <c r="N1483">
        <v>18</v>
      </c>
      <c r="O1483">
        <v>1</v>
      </c>
      <c r="P1483">
        <f>MOD(DAY(datos_siembra[[#This Row],[Date]]),7)</f>
        <v>4</v>
      </c>
      <c r="Q1483" t="str">
        <f>CHOOSE(WEEKDAY(datos_siembra[[#This Row],[Date]],2),"L","M","X","J","V","S","D")</f>
        <v>X</v>
      </c>
      <c r="R1483">
        <f>WEEKNUM(datos_siembra[[#This Row],[Date]],2)-WEEKNUM(DATE(YEAR(datos_siembra[[#This Row],[Date]]),MONTH(datos_siembra[[#This Row],[Date]]),1))+1</f>
        <v>3</v>
      </c>
      <c r="S1483">
        <f>MONTH(datos_siembra[[#This Row],[Date]])</f>
        <v>9</v>
      </c>
      <c r="T1483" t="str" cm="1">
        <f t="array" ref="T1483">_xlfn.IFS(AND(N1483&lt;= 22, S1483=9), "SOWING",AND(N1483&lt;= 28, S1483=9), "COVERAGE",AND(N1483&lt;= 30, S1483=9), "FLUSH",AND(N1483&lt;= 11, S1483=10), "FLUSH",AND(N1483&lt;= 21, S1483=10), "PRODUCTION")</f>
        <v>SOWING</v>
      </c>
      <c r="U1483">
        <f>HOUR(datos_siembra[[#This Row],[Hour]])</f>
        <v>20</v>
      </c>
      <c r="V1483" cm="1">
        <f t="array" ref="V1483">_xlfn.IFS(AND(N1483&lt;= 22, S1483=9), N1483-7,AND(N1483&lt;= 28, S1483=9), N1483-25,AND(N1483&lt;= 30, S1483=9), N1483-28,AND(N1483&lt;= 11, S1483=10), N1483+2,AND(N1483&lt;= 21, S1483=10), N1483-11)</f>
        <v>11</v>
      </c>
    </row>
    <row r="1484" spans="1:22" x14ac:dyDescent="0.35">
      <c r="A1484" s="4">
        <v>45553</v>
      </c>
      <c r="B1484" s="5">
        <v>0.85402777777777783</v>
      </c>
      <c r="C1484">
        <v>81.3</v>
      </c>
      <c r="D1484">
        <v>77.8</v>
      </c>
      <c r="E1484">
        <v>79.900000000000006</v>
      </c>
      <c r="F1484">
        <v>80.900000000000006</v>
      </c>
      <c r="G1484">
        <v>0</v>
      </c>
      <c r="H1484">
        <v>0</v>
      </c>
      <c r="I1484">
        <v>0</v>
      </c>
      <c r="J1484">
        <v>0</v>
      </c>
      <c r="K1484">
        <v>68.7</v>
      </c>
      <c r="L1484">
        <v>67.2</v>
      </c>
      <c r="M1484">
        <v>79.95</v>
      </c>
      <c r="N1484">
        <v>18</v>
      </c>
      <c r="O1484">
        <v>1</v>
      </c>
      <c r="P1484">
        <f>MOD(DAY(datos_siembra[[#This Row],[Date]]),7)</f>
        <v>4</v>
      </c>
      <c r="Q1484" t="str">
        <f>CHOOSE(WEEKDAY(datos_siembra[[#This Row],[Date]],2),"L","M","X","J","V","S","D")</f>
        <v>X</v>
      </c>
      <c r="R1484">
        <f>WEEKNUM(datos_siembra[[#This Row],[Date]],2)-WEEKNUM(DATE(YEAR(datos_siembra[[#This Row],[Date]]),MONTH(datos_siembra[[#This Row],[Date]]),1))+1</f>
        <v>3</v>
      </c>
      <c r="S1484">
        <f>MONTH(datos_siembra[[#This Row],[Date]])</f>
        <v>9</v>
      </c>
      <c r="T1484" t="str" cm="1">
        <f t="array" ref="T1484">_xlfn.IFS(AND(N1484&lt;= 22, S1484=9), "SOWING",AND(N1484&lt;= 28, S1484=9), "COVERAGE",AND(N1484&lt;= 30, S1484=9), "FLUSH",AND(N1484&lt;= 11, S1484=10), "FLUSH",AND(N1484&lt;= 21, S1484=10), "PRODUCTION")</f>
        <v>SOWING</v>
      </c>
      <c r="U1484">
        <f>HOUR(datos_siembra[[#This Row],[Hour]])</f>
        <v>20</v>
      </c>
      <c r="V1484" cm="1">
        <f t="array" ref="V1484">_xlfn.IFS(AND(N1484&lt;= 22, S1484=9), N1484-7,AND(N1484&lt;= 28, S1484=9), N1484-25,AND(N1484&lt;= 30, S1484=9), N1484-28,AND(N1484&lt;= 11, S1484=10), N1484+2,AND(N1484&lt;= 21, S1484=10), N1484-11)</f>
        <v>11</v>
      </c>
    </row>
    <row r="1485" spans="1:22" x14ac:dyDescent="0.35">
      <c r="A1485" s="4">
        <v>45553</v>
      </c>
      <c r="B1485" s="5">
        <v>0.86098379629629629</v>
      </c>
      <c r="C1485">
        <v>81.099999999999994</v>
      </c>
      <c r="D1485">
        <v>77.900000000000006</v>
      </c>
      <c r="E1485">
        <v>79.900000000000006</v>
      </c>
      <c r="F1485">
        <v>81.099999999999994</v>
      </c>
      <c r="G1485">
        <v>0</v>
      </c>
      <c r="H1485">
        <v>0</v>
      </c>
      <c r="I1485">
        <v>0</v>
      </c>
      <c r="J1485">
        <v>0</v>
      </c>
      <c r="K1485">
        <v>68.599999999999994</v>
      </c>
      <c r="L1485">
        <v>67</v>
      </c>
      <c r="M1485">
        <v>80.010000000000005</v>
      </c>
      <c r="N1485">
        <v>18</v>
      </c>
      <c r="O1485">
        <v>1</v>
      </c>
      <c r="P1485">
        <f>MOD(DAY(datos_siembra[[#This Row],[Date]]),7)</f>
        <v>4</v>
      </c>
      <c r="Q1485" t="str">
        <f>CHOOSE(WEEKDAY(datos_siembra[[#This Row],[Date]],2),"L","M","X","J","V","S","D")</f>
        <v>X</v>
      </c>
      <c r="R1485">
        <f>WEEKNUM(datos_siembra[[#This Row],[Date]],2)-WEEKNUM(DATE(YEAR(datos_siembra[[#This Row],[Date]]),MONTH(datos_siembra[[#This Row],[Date]]),1))+1</f>
        <v>3</v>
      </c>
      <c r="S1485">
        <f>MONTH(datos_siembra[[#This Row],[Date]])</f>
        <v>9</v>
      </c>
      <c r="T1485" t="str" cm="1">
        <f t="array" ref="T1485">_xlfn.IFS(AND(N1485&lt;= 22, S1485=9), "SOWING",AND(N1485&lt;= 28, S1485=9), "COVERAGE",AND(N1485&lt;= 30, S1485=9), "FLUSH",AND(N1485&lt;= 11, S1485=10), "FLUSH",AND(N1485&lt;= 21, S1485=10), "PRODUCTION")</f>
        <v>SOWING</v>
      </c>
      <c r="U1485">
        <f>HOUR(datos_siembra[[#This Row],[Hour]])</f>
        <v>20</v>
      </c>
      <c r="V1485" cm="1">
        <f t="array" ref="V1485">_xlfn.IFS(AND(N1485&lt;= 22, S1485=9), N1485-7,AND(N1485&lt;= 28, S1485=9), N1485-25,AND(N1485&lt;= 30, S1485=9), N1485-28,AND(N1485&lt;= 11, S1485=10), N1485+2,AND(N1485&lt;= 21, S1485=10), N1485-11)</f>
        <v>11</v>
      </c>
    </row>
    <row r="1486" spans="1:22" x14ac:dyDescent="0.35">
      <c r="A1486" s="4">
        <v>45553</v>
      </c>
      <c r="B1486" s="5">
        <v>0.86792824074074071</v>
      </c>
      <c r="C1486">
        <v>81.3</v>
      </c>
      <c r="D1486">
        <v>77.7</v>
      </c>
      <c r="E1486">
        <v>79.900000000000006</v>
      </c>
      <c r="F1486">
        <v>81.099999999999994</v>
      </c>
      <c r="G1486">
        <v>0</v>
      </c>
      <c r="H1486">
        <v>0</v>
      </c>
      <c r="I1486">
        <v>0</v>
      </c>
      <c r="J1486">
        <v>0</v>
      </c>
      <c r="K1486">
        <v>65.8</v>
      </c>
      <c r="L1486">
        <v>63.4</v>
      </c>
      <c r="M1486">
        <v>79.98</v>
      </c>
      <c r="N1486">
        <v>18</v>
      </c>
      <c r="O1486">
        <v>1</v>
      </c>
      <c r="P1486">
        <f>MOD(DAY(datos_siembra[[#This Row],[Date]]),7)</f>
        <v>4</v>
      </c>
      <c r="Q1486" t="str">
        <f>CHOOSE(WEEKDAY(datos_siembra[[#This Row],[Date]],2),"L","M","X","J","V","S","D")</f>
        <v>X</v>
      </c>
      <c r="R1486">
        <f>WEEKNUM(datos_siembra[[#This Row],[Date]],2)-WEEKNUM(DATE(YEAR(datos_siembra[[#This Row],[Date]]),MONTH(datos_siembra[[#This Row],[Date]]),1))+1</f>
        <v>3</v>
      </c>
      <c r="S1486">
        <f>MONTH(datos_siembra[[#This Row],[Date]])</f>
        <v>9</v>
      </c>
      <c r="T1486" t="str" cm="1">
        <f t="array" ref="T1486">_xlfn.IFS(AND(N1486&lt;= 22, S1486=9), "SOWING",AND(N1486&lt;= 28, S1486=9), "COVERAGE",AND(N1486&lt;= 30, S1486=9), "FLUSH",AND(N1486&lt;= 11, S1486=10), "FLUSH",AND(N1486&lt;= 21, S1486=10), "PRODUCTION")</f>
        <v>SOWING</v>
      </c>
      <c r="U1486">
        <f>HOUR(datos_siembra[[#This Row],[Hour]])</f>
        <v>20</v>
      </c>
      <c r="V1486" cm="1">
        <f t="array" ref="V1486">_xlfn.IFS(AND(N1486&lt;= 22, S1486=9), N1486-7,AND(N1486&lt;= 28, S1486=9), N1486-25,AND(N1486&lt;= 30, S1486=9), N1486-28,AND(N1486&lt;= 11, S1486=10), N1486+2,AND(N1486&lt;= 21, S1486=10), N1486-11)</f>
        <v>11</v>
      </c>
    </row>
    <row r="1487" spans="1:22" x14ac:dyDescent="0.35">
      <c r="A1487" s="4">
        <v>45553</v>
      </c>
      <c r="B1487" s="5">
        <v>0.87487268518518524</v>
      </c>
      <c r="C1487">
        <v>81.3</v>
      </c>
      <c r="D1487">
        <v>77.8</v>
      </c>
      <c r="E1487">
        <v>79.8</v>
      </c>
      <c r="F1487">
        <v>81.099999999999994</v>
      </c>
      <c r="G1487">
        <v>0</v>
      </c>
      <c r="H1487">
        <v>0</v>
      </c>
      <c r="I1487">
        <v>0</v>
      </c>
      <c r="J1487">
        <v>0</v>
      </c>
      <c r="K1487">
        <v>67.400000000000006</v>
      </c>
      <c r="L1487">
        <v>66</v>
      </c>
      <c r="M1487">
        <v>80.040000000000006</v>
      </c>
      <c r="N1487">
        <v>18</v>
      </c>
      <c r="O1487">
        <v>1</v>
      </c>
      <c r="P1487">
        <f>MOD(DAY(datos_siembra[[#This Row],[Date]]),7)</f>
        <v>4</v>
      </c>
      <c r="Q1487" t="str">
        <f>CHOOSE(WEEKDAY(datos_siembra[[#This Row],[Date]],2),"L","M","X","J","V","S","D")</f>
        <v>X</v>
      </c>
      <c r="R1487">
        <f>WEEKNUM(datos_siembra[[#This Row],[Date]],2)-WEEKNUM(DATE(YEAR(datos_siembra[[#This Row],[Date]]),MONTH(datos_siembra[[#This Row],[Date]]),1))+1</f>
        <v>3</v>
      </c>
      <c r="S1487">
        <f>MONTH(datos_siembra[[#This Row],[Date]])</f>
        <v>9</v>
      </c>
      <c r="T1487" t="str" cm="1">
        <f t="array" ref="T1487">_xlfn.IFS(AND(N1487&lt;= 22, S1487=9), "SOWING",AND(N1487&lt;= 28, S1487=9), "COVERAGE",AND(N1487&lt;= 30, S1487=9), "FLUSH",AND(N1487&lt;= 11, S1487=10), "FLUSH",AND(N1487&lt;= 21, S1487=10), "PRODUCTION")</f>
        <v>SOWING</v>
      </c>
      <c r="U1487">
        <f>HOUR(datos_siembra[[#This Row],[Hour]])</f>
        <v>20</v>
      </c>
      <c r="V1487" cm="1">
        <f t="array" ref="V1487">_xlfn.IFS(AND(N1487&lt;= 22, S1487=9), N1487-7,AND(N1487&lt;= 28, S1487=9), N1487-25,AND(N1487&lt;= 30, S1487=9), N1487-28,AND(N1487&lt;= 11, S1487=10), N1487+2,AND(N1487&lt;= 21, S1487=10), N1487-11)</f>
        <v>11</v>
      </c>
    </row>
    <row r="1488" spans="1:22" x14ac:dyDescent="0.35">
      <c r="A1488" s="4">
        <v>45553</v>
      </c>
      <c r="B1488" s="5">
        <v>0.88181712962962966</v>
      </c>
      <c r="C1488">
        <v>81.2</v>
      </c>
      <c r="D1488">
        <v>77.8</v>
      </c>
      <c r="E1488">
        <v>79.900000000000006</v>
      </c>
      <c r="F1488">
        <v>80.900000000000006</v>
      </c>
      <c r="G1488">
        <v>0</v>
      </c>
      <c r="H1488">
        <v>0</v>
      </c>
      <c r="I1488">
        <v>0</v>
      </c>
      <c r="J1488">
        <v>0</v>
      </c>
      <c r="K1488">
        <v>68.2</v>
      </c>
      <c r="L1488">
        <v>66.599999999999994</v>
      </c>
      <c r="M1488">
        <v>80.010000000000005</v>
      </c>
      <c r="N1488">
        <v>18</v>
      </c>
      <c r="O1488">
        <v>1</v>
      </c>
      <c r="P1488">
        <f>MOD(DAY(datos_siembra[[#This Row],[Date]]),7)</f>
        <v>4</v>
      </c>
      <c r="Q1488" t="str">
        <f>CHOOSE(WEEKDAY(datos_siembra[[#This Row],[Date]],2),"L","M","X","J","V","S","D")</f>
        <v>X</v>
      </c>
      <c r="R1488">
        <f>WEEKNUM(datos_siembra[[#This Row],[Date]],2)-WEEKNUM(DATE(YEAR(datos_siembra[[#This Row],[Date]]),MONTH(datos_siembra[[#This Row],[Date]]),1))+1</f>
        <v>3</v>
      </c>
      <c r="S1488">
        <f>MONTH(datos_siembra[[#This Row],[Date]])</f>
        <v>9</v>
      </c>
      <c r="T1488" t="str" cm="1">
        <f t="array" ref="T1488">_xlfn.IFS(AND(N1488&lt;= 22, S1488=9), "SOWING",AND(N1488&lt;= 28, S1488=9), "COVERAGE",AND(N1488&lt;= 30, S1488=9), "FLUSH",AND(N1488&lt;= 11, S1488=10), "FLUSH",AND(N1488&lt;= 21, S1488=10), "PRODUCTION")</f>
        <v>SOWING</v>
      </c>
      <c r="U1488">
        <f>HOUR(datos_siembra[[#This Row],[Hour]])</f>
        <v>21</v>
      </c>
      <c r="V1488" cm="1">
        <f t="array" ref="V1488">_xlfn.IFS(AND(N1488&lt;= 22, S1488=9), N1488-7,AND(N1488&lt;= 28, S1488=9), N1488-25,AND(N1488&lt;= 30, S1488=9), N1488-28,AND(N1488&lt;= 11, S1488=10), N1488+2,AND(N1488&lt;= 21, S1488=10), N1488-11)</f>
        <v>11</v>
      </c>
    </row>
    <row r="1489" spans="1:22" x14ac:dyDescent="0.35">
      <c r="A1489" s="4">
        <v>45553</v>
      </c>
      <c r="B1489" s="5">
        <v>0.88877314814814812</v>
      </c>
      <c r="C1489">
        <v>81.2</v>
      </c>
      <c r="D1489">
        <v>77.8</v>
      </c>
      <c r="E1489">
        <v>79.900000000000006</v>
      </c>
      <c r="F1489">
        <v>80.900000000000006</v>
      </c>
      <c r="G1489">
        <v>0</v>
      </c>
      <c r="H1489">
        <v>0</v>
      </c>
      <c r="I1489">
        <v>0</v>
      </c>
      <c r="J1489">
        <v>0</v>
      </c>
      <c r="K1489">
        <v>68.5</v>
      </c>
      <c r="L1489">
        <v>66.900000000000006</v>
      </c>
      <c r="M1489">
        <v>80.069999999999993</v>
      </c>
      <c r="N1489">
        <v>18</v>
      </c>
      <c r="O1489">
        <v>1</v>
      </c>
      <c r="P1489">
        <f>MOD(DAY(datos_siembra[[#This Row],[Date]]),7)</f>
        <v>4</v>
      </c>
      <c r="Q1489" t="str">
        <f>CHOOSE(WEEKDAY(datos_siembra[[#This Row],[Date]],2),"L","M","X","J","V","S","D")</f>
        <v>X</v>
      </c>
      <c r="R1489">
        <f>WEEKNUM(datos_siembra[[#This Row],[Date]],2)-WEEKNUM(DATE(YEAR(datos_siembra[[#This Row],[Date]]),MONTH(datos_siembra[[#This Row],[Date]]),1))+1</f>
        <v>3</v>
      </c>
      <c r="S1489">
        <f>MONTH(datos_siembra[[#This Row],[Date]])</f>
        <v>9</v>
      </c>
      <c r="T1489" t="str" cm="1">
        <f t="array" ref="T1489">_xlfn.IFS(AND(N1489&lt;= 22, S1489=9), "SOWING",AND(N1489&lt;= 28, S1489=9), "COVERAGE",AND(N1489&lt;= 30, S1489=9), "FLUSH",AND(N1489&lt;= 11, S1489=10), "FLUSH",AND(N1489&lt;= 21, S1489=10), "PRODUCTION")</f>
        <v>SOWING</v>
      </c>
      <c r="U1489">
        <f>HOUR(datos_siembra[[#This Row],[Hour]])</f>
        <v>21</v>
      </c>
      <c r="V1489" cm="1">
        <f t="array" ref="V1489">_xlfn.IFS(AND(N1489&lt;= 22, S1489=9), N1489-7,AND(N1489&lt;= 28, S1489=9), N1489-25,AND(N1489&lt;= 30, S1489=9), N1489-28,AND(N1489&lt;= 11, S1489=10), N1489+2,AND(N1489&lt;= 21, S1489=10), N1489-11)</f>
        <v>11</v>
      </c>
    </row>
    <row r="1490" spans="1:22" x14ac:dyDescent="0.35">
      <c r="A1490" s="4">
        <v>45553</v>
      </c>
      <c r="B1490" s="5">
        <v>0.89571759259259254</v>
      </c>
      <c r="C1490">
        <v>81.2</v>
      </c>
      <c r="D1490">
        <v>77.8</v>
      </c>
      <c r="E1490">
        <v>80</v>
      </c>
      <c r="F1490">
        <v>81.099999999999994</v>
      </c>
      <c r="G1490">
        <v>0</v>
      </c>
      <c r="H1490">
        <v>0</v>
      </c>
      <c r="I1490">
        <v>0</v>
      </c>
      <c r="J1490">
        <v>0</v>
      </c>
      <c r="K1490">
        <v>68.7</v>
      </c>
      <c r="L1490">
        <v>67</v>
      </c>
      <c r="M1490">
        <v>80.069999999999993</v>
      </c>
      <c r="N1490">
        <v>18</v>
      </c>
      <c r="O1490">
        <v>1</v>
      </c>
      <c r="P1490">
        <f>MOD(DAY(datos_siembra[[#This Row],[Date]]),7)</f>
        <v>4</v>
      </c>
      <c r="Q1490" t="str">
        <f>CHOOSE(WEEKDAY(datos_siembra[[#This Row],[Date]],2),"L","M","X","J","V","S","D")</f>
        <v>X</v>
      </c>
      <c r="R1490">
        <f>WEEKNUM(datos_siembra[[#This Row],[Date]],2)-WEEKNUM(DATE(YEAR(datos_siembra[[#This Row],[Date]]),MONTH(datos_siembra[[#This Row],[Date]]),1))+1</f>
        <v>3</v>
      </c>
      <c r="S1490">
        <f>MONTH(datos_siembra[[#This Row],[Date]])</f>
        <v>9</v>
      </c>
      <c r="T1490" t="str" cm="1">
        <f t="array" ref="T1490">_xlfn.IFS(AND(N1490&lt;= 22, S1490=9), "SOWING",AND(N1490&lt;= 28, S1490=9), "COVERAGE",AND(N1490&lt;= 30, S1490=9), "FLUSH",AND(N1490&lt;= 11, S1490=10), "FLUSH",AND(N1490&lt;= 21, S1490=10), "PRODUCTION")</f>
        <v>SOWING</v>
      </c>
      <c r="U1490">
        <f>HOUR(datos_siembra[[#This Row],[Hour]])</f>
        <v>21</v>
      </c>
      <c r="V1490" cm="1">
        <f t="array" ref="V1490">_xlfn.IFS(AND(N1490&lt;= 22, S1490=9), N1490-7,AND(N1490&lt;= 28, S1490=9), N1490-25,AND(N1490&lt;= 30, S1490=9), N1490-28,AND(N1490&lt;= 11, S1490=10), N1490+2,AND(N1490&lt;= 21, S1490=10), N1490-11)</f>
        <v>11</v>
      </c>
    </row>
    <row r="1491" spans="1:22" x14ac:dyDescent="0.35">
      <c r="A1491" s="4">
        <v>45553</v>
      </c>
      <c r="B1491" s="5">
        <v>0.90266203703703707</v>
      </c>
      <c r="C1491">
        <v>81.2</v>
      </c>
      <c r="D1491">
        <v>77.7</v>
      </c>
      <c r="E1491">
        <v>79.900000000000006</v>
      </c>
      <c r="F1491">
        <v>81.099999999999994</v>
      </c>
      <c r="G1491">
        <v>0</v>
      </c>
      <c r="H1491">
        <v>0</v>
      </c>
      <c r="I1491">
        <v>0</v>
      </c>
      <c r="J1491">
        <v>0</v>
      </c>
      <c r="K1491">
        <v>68.8</v>
      </c>
      <c r="L1491">
        <v>67.099999999999994</v>
      </c>
      <c r="M1491">
        <v>79.95</v>
      </c>
      <c r="N1491">
        <v>18</v>
      </c>
      <c r="O1491">
        <v>1</v>
      </c>
      <c r="P1491">
        <f>MOD(DAY(datos_siembra[[#This Row],[Date]]),7)</f>
        <v>4</v>
      </c>
      <c r="Q1491" t="str">
        <f>CHOOSE(WEEKDAY(datos_siembra[[#This Row],[Date]],2),"L","M","X","J","V","S","D")</f>
        <v>X</v>
      </c>
      <c r="R1491">
        <f>WEEKNUM(datos_siembra[[#This Row],[Date]],2)-WEEKNUM(DATE(YEAR(datos_siembra[[#This Row],[Date]]),MONTH(datos_siembra[[#This Row],[Date]]),1))+1</f>
        <v>3</v>
      </c>
      <c r="S1491">
        <f>MONTH(datos_siembra[[#This Row],[Date]])</f>
        <v>9</v>
      </c>
      <c r="T1491" t="str" cm="1">
        <f t="array" ref="T1491">_xlfn.IFS(AND(N1491&lt;= 22, S1491=9), "SOWING",AND(N1491&lt;= 28, S1491=9), "COVERAGE",AND(N1491&lt;= 30, S1491=9), "FLUSH",AND(N1491&lt;= 11, S1491=10), "FLUSH",AND(N1491&lt;= 21, S1491=10), "PRODUCTION")</f>
        <v>SOWING</v>
      </c>
      <c r="U1491">
        <f>HOUR(datos_siembra[[#This Row],[Hour]])</f>
        <v>21</v>
      </c>
      <c r="V1491" cm="1">
        <f t="array" ref="V1491">_xlfn.IFS(AND(N1491&lt;= 22, S1491=9), N1491-7,AND(N1491&lt;= 28, S1491=9), N1491-25,AND(N1491&lt;= 30, S1491=9), N1491-28,AND(N1491&lt;= 11, S1491=10), N1491+2,AND(N1491&lt;= 21, S1491=10), N1491-11)</f>
        <v>11</v>
      </c>
    </row>
    <row r="1492" spans="1:22" x14ac:dyDescent="0.35">
      <c r="A1492" s="4">
        <v>45553</v>
      </c>
      <c r="B1492" s="5">
        <v>0.90915509259259264</v>
      </c>
      <c r="C1492">
        <v>81.3</v>
      </c>
      <c r="D1492">
        <v>78.099999999999994</v>
      </c>
      <c r="E1492">
        <v>79.8</v>
      </c>
      <c r="F1492">
        <v>81.2</v>
      </c>
      <c r="G1492">
        <v>0</v>
      </c>
      <c r="H1492">
        <v>0</v>
      </c>
      <c r="I1492">
        <v>0</v>
      </c>
      <c r="J1492">
        <v>0</v>
      </c>
      <c r="K1492">
        <v>66.900000000000006</v>
      </c>
      <c r="L1492">
        <v>65</v>
      </c>
      <c r="M1492">
        <v>79.98</v>
      </c>
      <c r="N1492">
        <v>18</v>
      </c>
      <c r="O1492">
        <v>1</v>
      </c>
      <c r="P1492">
        <f>MOD(DAY(datos_siembra[[#This Row],[Date]]),7)</f>
        <v>4</v>
      </c>
      <c r="Q1492" t="str">
        <f>CHOOSE(WEEKDAY(datos_siembra[[#This Row],[Date]],2),"L","M","X","J","V","S","D")</f>
        <v>X</v>
      </c>
      <c r="R1492">
        <f>WEEKNUM(datos_siembra[[#This Row],[Date]],2)-WEEKNUM(DATE(YEAR(datos_siembra[[#This Row],[Date]]),MONTH(datos_siembra[[#This Row],[Date]]),1))+1</f>
        <v>3</v>
      </c>
      <c r="S1492">
        <f>MONTH(datos_siembra[[#This Row],[Date]])</f>
        <v>9</v>
      </c>
      <c r="T1492" t="str" cm="1">
        <f t="array" ref="T1492">_xlfn.IFS(AND(N1492&lt;= 22, S1492=9), "SOWING",AND(N1492&lt;= 28, S1492=9), "COVERAGE",AND(N1492&lt;= 30, S1492=9), "FLUSH",AND(N1492&lt;= 11, S1492=10), "FLUSH",AND(N1492&lt;= 21, S1492=10), "PRODUCTION")</f>
        <v>SOWING</v>
      </c>
      <c r="U1492">
        <f>HOUR(datos_siembra[[#This Row],[Hour]])</f>
        <v>21</v>
      </c>
      <c r="V1492" cm="1">
        <f t="array" ref="V1492">_xlfn.IFS(AND(N1492&lt;= 22, S1492=9), N1492-7,AND(N1492&lt;= 28, S1492=9), N1492-25,AND(N1492&lt;= 30, S1492=9), N1492-28,AND(N1492&lt;= 11, S1492=10), N1492+2,AND(N1492&lt;= 21, S1492=10), N1492-11)</f>
        <v>11</v>
      </c>
    </row>
    <row r="1493" spans="1:22" x14ac:dyDescent="0.35">
      <c r="A1493" s="4">
        <v>45553</v>
      </c>
      <c r="B1493" s="5">
        <v>0.91609953703703706</v>
      </c>
      <c r="C1493">
        <v>81.2</v>
      </c>
      <c r="D1493">
        <v>78.400000000000006</v>
      </c>
      <c r="E1493">
        <v>79.599999999999994</v>
      </c>
      <c r="F1493">
        <v>80.900000000000006</v>
      </c>
      <c r="G1493">
        <v>0</v>
      </c>
      <c r="H1493">
        <v>0</v>
      </c>
      <c r="I1493">
        <v>0</v>
      </c>
      <c r="J1493">
        <v>0</v>
      </c>
      <c r="K1493">
        <v>66.2</v>
      </c>
      <c r="L1493">
        <v>64.2</v>
      </c>
      <c r="M1493">
        <v>80.069999999999993</v>
      </c>
      <c r="N1493">
        <v>18</v>
      </c>
      <c r="O1493">
        <v>1</v>
      </c>
      <c r="P1493">
        <f>MOD(DAY(datos_siembra[[#This Row],[Date]]),7)</f>
        <v>4</v>
      </c>
      <c r="Q1493" t="str">
        <f>CHOOSE(WEEKDAY(datos_siembra[[#This Row],[Date]],2),"L","M","X","J","V","S","D")</f>
        <v>X</v>
      </c>
      <c r="R1493">
        <f>WEEKNUM(datos_siembra[[#This Row],[Date]],2)-WEEKNUM(DATE(YEAR(datos_siembra[[#This Row],[Date]]),MONTH(datos_siembra[[#This Row],[Date]]),1))+1</f>
        <v>3</v>
      </c>
      <c r="S1493">
        <f>MONTH(datos_siembra[[#This Row],[Date]])</f>
        <v>9</v>
      </c>
      <c r="T1493" t="str" cm="1">
        <f t="array" ref="T1493">_xlfn.IFS(AND(N1493&lt;= 22, S1493=9), "SOWING",AND(N1493&lt;= 28, S1493=9), "COVERAGE",AND(N1493&lt;= 30, S1493=9), "FLUSH",AND(N1493&lt;= 11, S1493=10), "FLUSH",AND(N1493&lt;= 21, S1493=10), "PRODUCTION")</f>
        <v>SOWING</v>
      </c>
      <c r="U1493">
        <f>HOUR(datos_siembra[[#This Row],[Hour]])</f>
        <v>21</v>
      </c>
      <c r="V1493" cm="1">
        <f t="array" ref="V1493">_xlfn.IFS(AND(N1493&lt;= 22, S1493=9), N1493-7,AND(N1493&lt;= 28, S1493=9), N1493-25,AND(N1493&lt;= 30, S1493=9), N1493-28,AND(N1493&lt;= 11, S1493=10), N1493+2,AND(N1493&lt;= 21, S1493=10), N1493-11)</f>
        <v>11</v>
      </c>
    </row>
    <row r="1494" spans="1:22" x14ac:dyDescent="0.35">
      <c r="A1494" s="4">
        <v>45553</v>
      </c>
      <c r="B1494" s="5">
        <v>0.92304398148148148</v>
      </c>
      <c r="C1494">
        <v>81.099999999999994</v>
      </c>
      <c r="D1494">
        <v>78.2</v>
      </c>
      <c r="E1494">
        <v>79.8</v>
      </c>
      <c r="F1494">
        <v>81.2</v>
      </c>
      <c r="G1494">
        <v>0</v>
      </c>
      <c r="H1494">
        <v>0</v>
      </c>
      <c r="I1494">
        <v>0</v>
      </c>
      <c r="J1494">
        <v>0</v>
      </c>
      <c r="K1494">
        <v>66.400000000000006</v>
      </c>
      <c r="L1494">
        <v>64.900000000000006</v>
      </c>
      <c r="M1494">
        <v>80.040000000000006</v>
      </c>
      <c r="N1494">
        <v>18</v>
      </c>
      <c r="O1494">
        <v>1</v>
      </c>
      <c r="P1494">
        <f>MOD(DAY(datos_siembra[[#This Row],[Date]]),7)</f>
        <v>4</v>
      </c>
      <c r="Q1494" t="str">
        <f>CHOOSE(WEEKDAY(datos_siembra[[#This Row],[Date]],2),"L","M","X","J","V","S","D")</f>
        <v>X</v>
      </c>
      <c r="R1494">
        <f>WEEKNUM(datos_siembra[[#This Row],[Date]],2)-WEEKNUM(DATE(YEAR(datos_siembra[[#This Row],[Date]]),MONTH(datos_siembra[[#This Row],[Date]]),1))+1</f>
        <v>3</v>
      </c>
      <c r="S1494">
        <f>MONTH(datos_siembra[[#This Row],[Date]])</f>
        <v>9</v>
      </c>
      <c r="T1494" t="str" cm="1">
        <f t="array" ref="T1494">_xlfn.IFS(AND(N1494&lt;= 22, S1494=9), "SOWING",AND(N1494&lt;= 28, S1494=9), "COVERAGE",AND(N1494&lt;= 30, S1494=9), "FLUSH",AND(N1494&lt;= 11, S1494=10), "FLUSH",AND(N1494&lt;= 21, S1494=10), "PRODUCTION")</f>
        <v>SOWING</v>
      </c>
      <c r="U1494">
        <f>HOUR(datos_siembra[[#This Row],[Hour]])</f>
        <v>22</v>
      </c>
      <c r="V1494" cm="1">
        <f t="array" ref="V1494">_xlfn.IFS(AND(N1494&lt;= 22, S1494=9), N1494-7,AND(N1494&lt;= 28, S1494=9), N1494-25,AND(N1494&lt;= 30, S1494=9), N1494-28,AND(N1494&lt;= 11, S1494=10), N1494+2,AND(N1494&lt;= 21, S1494=10), N1494-11)</f>
        <v>11</v>
      </c>
    </row>
    <row r="1495" spans="1:22" x14ac:dyDescent="0.35">
      <c r="A1495" s="4">
        <v>45553</v>
      </c>
      <c r="B1495" s="5">
        <v>0.93</v>
      </c>
      <c r="C1495">
        <v>81.099999999999994</v>
      </c>
      <c r="D1495">
        <v>78.400000000000006</v>
      </c>
      <c r="E1495">
        <v>79.7</v>
      </c>
      <c r="F1495">
        <v>81.2</v>
      </c>
      <c r="G1495">
        <v>0</v>
      </c>
      <c r="H1495">
        <v>0</v>
      </c>
      <c r="I1495">
        <v>0</v>
      </c>
      <c r="J1495">
        <v>0</v>
      </c>
      <c r="K1495">
        <v>67.900000000000006</v>
      </c>
      <c r="L1495">
        <v>66.599999999999994</v>
      </c>
      <c r="M1495">
        <v>80.040000000000006</v>
      </c>
      <c r="N1495">
        <v>18</v>
      </c>
      <c r="O1495">
        <v>1</v>
      </c>
      <c r="P1495">
        <f>MOD(DAY(datos_siembra[[#This Row],[Date]]),7)</f>
        <v>4</v>
      </c>
      <c r="Q1495" t="str">
        <f>CHOOSE(WEEKDAY(datos_siembra[[#This Row],[Date]],2),"L","M","X","J","V","S","D")</f>
        <v>X</v>
      </c>
      <c r="R1495">
        <f>WEEKNUM(datos_siembra[[#This Row],[Date]],2)-WEEKNUM(DATE(YEAR(datos_siembra[[#This Row],[Date]]),MONTH(datos_siembra[[#This Row],[Date]]),1))+1</f>
        <v>3</v>
      </c>
      <c r="S1495">
        <f>MONTH(datos_siembra[[#This Row],[Date]])</f>
        <v>9</v>
      </c>
      <c r="T1495" t="str" cm="1">
        <f t="array" ref="T1495">_xlfn.IFS(AND(N1495&lt;= 22, S1495=9), "SOWING",AND(N1495&lt;= 28, S1495=9), "COVERAGE",AND(N1495&lt;= 30, S1495=9), "FLUSH",AND(N1495&lt;= 11, S1495=10), "FLUSH",AND(N1495&lt;= 21, S1495=10), "PRODUCTION")</f>
        <v>SOWING</v>
      </c>
      <c r="U1495">
        <f>HOUR(datos_siembra[[#This Row],[Hour]])</f>
        <v>22</v>
      </c>
      <c r="V1495" cm="1">
        <f t="array" ref="V1495">_xlfn.IFS(AND(N1495&lt;= 22, S1495=9), N1495-7,AND(N1495&lt;= 28, S1495=9), N1495-25,AND(N1495&lt;= 30, S1495=9), N1495-28,AND(N1495&lt;= 11, S1495=10), N1495+2,AND(N1495&lt;= 21, S1495=10), N1495-11)</f>
        <v>11</v>
      </c>
    </row>
    <row r="1496" spans="1:22" x14ac:dyDescent="0.35">
      <c r="A1496" s="4">
        <v>45553</v>
      </c>
      <c r="B1496" s="5">
        <v>0.93694444444444447</v>
      </c>
      <c r="C1496">
        <v>81.099999999999994</v>
      </c>
      <c r="D1496">
        <v>78.2</v>
      </c>
      <c r="E1496">
        <v>79.599999999999994</v>
      </c>
      <c r="F1496">
        <v>81.099999999999994</v>
      </c>
      <c r="G1496">
        <v>0</v>
      </c>
      <c r="H1496">
        <v>0</v>
      </c>
      <c r="I1496">
        <v>0</v>
      </c>
      <c r="J1496">
        <v>0</v>
      </c>
      <c r="K1496">
        <v>68.3</v>
      </c>
      <c r="L1496">
        <v>67.099999999999994</v>
      </c>
      <c r="M1496">
        <v>80.12</v>
      </c>
      <c r="N1496">
        <v>18</v>
      </c>
      <c r="O1496">
        <v>1</v>
      </c>
      <c r="P1496">
        <f>MOD(DAY(datos_siembra[[#This Row],[Date]]),7)</f>
        <v>4</v>
      </c>
      <c r="Q1496" t="str">
        <f>CHOOSE(WEEKDAY(datos_siembra[[#This Row],[Date]],2),"L","M","X","J","V","S","D")</f>
        <v>X</v>
      </c>
      <c r="R1496">
        <f>WEEKNUM(datos_siembra[[#This Row],[Date]],2)-WEEKNUM(DATE(YEAR(datos_siembra[[#This Row],[Date]]),MONTH(datos_siembra[[#This Row],[Date]]),1))+1</f>
        <v>3</v>
      </c>
      <c r="S1496">
        <f>MONTH(datos_siembra[[#This Row],[Date]])</f>
        <v>9</v>
      </c>
      <c r="T1496" t="str" cm="1">
        <f t="array" ref="T1496">_xlfn.IFS(AND(N1496&lt;= 22, S1496=9), "SOWING",AND(N1496&lt;= 28, S1496=9), "COVERAGE",AND(N1496&lt;= 30, S1496=9), "FLUSH",AND(N1496&lt;= 11, S1496=10), "FLUSH",AND(N1496&lt;= 21, S1496=10), "PRODUCTION")</f>
        <v>SOWING</v>
      </c>
      <c r="U1496">
        <f>HOUR(datos_siembra[[#This Row],[Hour]])</f>
        <v>22</v>
      </c>
      <c r="V1496" cm="1">
        <f t="array" ref="V1496">_xlfn.IFS(AND(N1496&lt;= 22, S1496=9), N1496-7,AND(N1496&lt;= 28, S1496=9), N1496-25,AND(N1496&lt;= 30, S1496=9), N1496-28,AND(N1496&lt;= 11, S1496=10), N1496+2,AND(N1496&lt;= 21, S1496=10), N1496-11)</f>
        <v>11</v>
      </c>
    </row>
    <row r="1497" spans="1:22" x14ac:dyDescent="0.35">
      <c r="A1497" s="4">
        <v>45553</v>
      </c>
      <c r="B1497" s="5">
        <v>0.94388888888888889</v>
      </c>
      <c r="C1497">
        <v>81.2</v>
      </c>
      <c r="D1497">
        <v>78.2</v>
      </c>
      <c r="E1497">
        <v>79.8</v>
      </c>
      <c r="F1497">
        <v>81.099999999999994</v>
      </c>
      <c r="G1497">
        <v>0</v>
      </c>
      <c r="H1497">
        <v>0</v>
      </c>
      <c r="I1497">
        <v>0</v>
      </c>
      <c r="J1497">
        <v>0</v>
      </c>
      <c r="K1497">
        <v>68.599999999999994</v>
      </c>
      <c r="L1497">
        <v>67.3</v>
      </c>
      <c r="M1497">
        <v>80.09</v>
      </c>
      <c r="N1497">
        <v>18</v>
      </c>
      <c r="O1497">
        <v>1</v>
      </c>
      <c r="P1497">
        <f>MOD(DAY(datos_siembra[[#This Row],[Date]]),7)</f>
        <v>4</v>
      </c>
      <c r="Q1497" t="str">
        <f>CHOOSE(WEEKDAY(datos_siembra[[#This Row],[Date]],2),"L","M","X","J","V","S","D")</f>
        <v>X</v>
      </c>
      <c r="R1497">
        <f>WEEKNUM(datos_siembra[[#This Row],[Date]],2)-WEEKNUM(DATE(YEAR(datos_siembra[[#This Row],[Date]]),MONTH(datos_siembra[[#This Row],[Date]]),1))+1</f>
        <v>3</v>
      </c>
      <c r="S1497">
        <f>MONTH(datos_siembra[[#This Row],[Date]])</f>
        <v>9</v>
      </c>
      <c r="T1497" t="str" cm="1">
        <f t="array" ref="T1497">_xlfn.IFS(AND(N1497&lt;= 22, S1497=9), "SOWING",AND(N1497&lt;= 28, S1497=9), "COVERAGE",AND(N1497&lt;= 30, S1497=9), "FLUSH",AND(N1497&lt;= 11, S1497=10), "FLUSH",AND(N1497&lt;= 21, S1497=10), "PRODUCTION")</f>
        <v>SOWING</v>
      </c>
      <c r="U1497">
        <f>HOUR(datos_siembra[[#This Row],[Hour]])</f>
        <v>22</v>
      </c>
      <c r="V1497" cm="1">
        <f t="array" ref="V1497">_xlfn.IFS(AND(N1497&lt;= 22, S1497=9), N1497-7,AND(N1497&lt;= 28, S1497=9), N1497-25,AND(N1497&lt;= 30, S1497=9), N1497-28,AND(N1497&lt;= 11, S1497=10), N1497+2,AND(N1497&lt;= 21, S1497=10), N1497-11)</f>
        <v>11</v>
      </c>
    </row>
    <row r="1498" spans="1:22" x14ac:dyDescent="0.35">
      <c r="A1498" s="4">
        <v>45553</v>
      </c>
      <c r="B1498" s="5">
        <v>0.95084490740740746</v>
      </c>
      <c r="C1498">
        <v>81.3</v>
      </c>
      <c r="D1498">
        <v>78.2</v>
      </c>
      <c r="E1498">
        <v>79.8</v>
      </c>
      <c r="F1498">
        <v>81.099999999999994</v>
      </c>
      <c r="G1498">
        <v>0</v>
      </c>
      <c r="H1498">
        <v>0</v>
      </c>
      <c r="I1498">
        <v>0</v>
      </c>
      <c r="J1498">
        <v>0</v>
      </c>
      <c r="K1498">
        <v>68.8</v>
      </c>
      <c r="L1498">
        <v>67.400000000000006</v>
      </c>
      <c r="M1498">
        <v>80.12</v>
      </c>
      <c r="N1498">
        <v>18</v>
      </c>
      <c r="O1498">
        <v>1</v>
      </c>
      <c r="P1498">
        <f>MOD(DAY(datos_siembra[[#This Row],[Date]]),7)</f>
        <v>4</v>
      </c>
      <c r="Q1498" t="str">
        <f>CHOOSE(WEEKDAY(datos_siembra[[#This Row],[Date]],2),"L","M","X","J","V","S","D")</f>
        <v>X</v>
      </c>
      <c r="R1498">
        <f>WEEKNUM(datos_siembra[[#This Row],[Date]],2)-WEEKNUM(DATE(YEAR(datos_siembra[[#This Row],[Date]]),MONTH(datos_siembra[[#This Row],[Date]]),1))+1</f>
        <v>3</v>
      </c>
      <c r="S1498">
        <f>MONTH(datos_siembra[[#This Row],[Date]])</f>
        <v>9</v>
      </c>
      <c r="T1498" t="str" cm="1">
        <f t="array" ref="T1498">_xlfn.IFS(AND(N1498&lt;= 22, S1498=9), "SOWING",AND(N1498&lt;= 28, S1498=9), "COVERAGE",AND(N1498&lt;= 30, S1498=9), "FLUSH",AND(N1498&lt;= 11, S1498=10), "FLUSH",AND(N1498&lt;= 21, S1498=10), "PRODUCTION")</f>
        <v>SOWING</v>
      </c>
      <c r="U1498">
        <f>HOUR(datos_siembra[[#This Row],[Hour]])</f>
        <v>22</v>
      </c>
      <c r="V1498" cm="1">
        <f t="array" ref="V1498">_xlfn.IFS(AND(N1498&lt;= 22, S1498=9), N1498-7,AND(N1498&lt;= 28, S1498=9), N1498-25,AND(N1498&lt;= 30, S1498=9), N1498-28,AND(N1498&lt;= 11, S1498=10), N1498+2,AND(N1498&lt;= 21, S1498=10), N1498-11)</f>
        <v>11</v>
      </c>
    </row>
    <row r="1499" spans="1:22" x14ac:dyDescent="0.35">
      <c r="A1499" s="4">
        <v>45553</v>
      </c>
      <c r="B1499" s="5">
        <v>0.95778935185185188</v>
      </c>
      <c r="C1499">
        <v>81.099999999999994</v>
      </c>
      <c r="D1499">
        <v>78.2</v>
      </c>
      <c r="E1499">
        <v>79.8</v>
      </c>
      <c r="F1499">
        <v>81.099999999999994</v>
      </c>
      <c r="G1499">
        <v>0</v>
      </c>
      <c r="H1499">
        <v>0</v>
      </c>
      <c r="I1499">
        <v>0</v>
      </c>
      <c r="J1499">
        <v>0</v>
      </c>
      <c r="K1499">
        <v>68.8</v>
      </c>
      <c r="L1499">
        <v>67.599999999999994</v>
      </c>
      <c r="M1499">
        <v>80.12</v>
      </c>
      <c r="N1499">
        <v>18</v>
      </c>
      <c r="O1499">
        <v>1</v>
      </c>
      <c r="P1499">
        <f>MOD(DAY(datos_siembra[[#This Row],[Date]]),7)</f>
        <v>4</v>
      </c>
      <c r="Q1499" t="str">
        <f>CHOOSE(WEEKDAY(datos_siembra[[#This Row],[Date]],2),"L","M","X","J","V","S","D")</f>
        <v>X</v>
      </c>
      <c r="R1499">
        <f>WEEKNUM(datos_siembra[[#This Row],[Date]],2)-WEEKNUM(DATE(YEAR(datos_siembra[[#This Row],[Date]]),MONTH(datos_siembra[[#This Row],[Date]]),1))+1</f>
        <v>3</v>
      </c>
      <c r="S1499">
        <f>MONTH(datos_siembra[[#This Row],[Date]])</f>
        <v>9</v>
      </c>
      <c r="T1499" t="str" cm="1">
        <f t="array" ref="T1499">_xlfn.IFS(AND(N1499&lt;= 22, S1499=9), "SOWING",AND(N1499&lt;= 28, S1499=9), "COVERAGE",AND(N1499&lt;= 30, S1499=9), "FLUSH",AND(N1499&lt;= 11, S1499=10), "FLUSH",AND(N1499&lt;= 21, S1499=10), "PRODUCTION")</f>
        <v>SOWING</v>
      </c>
      <c r="U1499">
        <f>HOUR(datos_siembra[[#This Row],[Hour]])</f>
        <v>22</v>
      </c>
      <c r="V1499" cm="1">
        <f t="array" ref="V1499">_xlfn.IFS(AND(N1499&lt;= 22, S1499=9), N1499-7,AND(N1499&lt;= 28, S1499=9), N1499-25,AND(N1499&lt;= 30, S1499=9), N1499-28,AND(N1499&lt;= 11, S1499=10), N1499+2,AND(N1499&lt;= 21, S1499=10), N1499-11)</f>
        <v>11</v>
      </c>
    </row>
    <row r="1500" spans="1:22" x14ac:dyDescent="0.35">
      <c r="A1500" s="4">
        <v>45553</v>
      </c>
      <c r="B1500" s="5">
        <v>0.9647337962962963</v>
      </c>
      <c r="C1500">
        <v>81.099999999999994</v>
      </c>
      <c r="D1500">
        <v>78.2</v>
      </c>
      <c r="E1500">
        <v>79.7</v>
      </c>
      <c r="F1500">
        <v>81.2</v>
      </c>
      <c r="G1500">
        <v>0</v>
      </c>
      <c r="H1500">
        <v>0</v>
      </c>
      <c r="I1500">
        <v>0</v>
      </c>
      <c r="J1500">
        <v>0</v>
      </c>
      <c r="K1500">
        <v>66.5</v>
      </c>
      <c r="L1500">
        <v>64.5</v>
      </c>
      <c r="M1500">
        <v>80.010000000000005</v>
      </c>
      <c r="N1500">
        <v>18</v>
      </c>
      <c r="O1500">
        <v>1</v>
      </c>
      <c r="P1500">
        <f>MOD(DAY(datos_siembra[[#This Row],[Date]]),7)</f>
        <v>4</v>
      </c>
      <c r="Q1500" t="str">
        <f>CHOOSE(WEEKDAY(datos_siembra[[#This Row],[Date]],2),"L","M","X","J","V","S","D")</f>
        <v>X</v>
      </c>
      <c r="R1500">
        <f>WEEKNUM(datos_siembra[[#This Row],[Date]],2)-WEEKNUM(DATE(YEAR(datos_siembra[[#This Row],[Date]]),MONTH(datos_siembra[[#This Row],[Date]]),1))+1</f>
        <v>3</v>
      </c>
      <c r="S1500">
        <f>MONTH(datos_siembra[[#This Row],[Date]])</f>
        <v>9</v>
      </c>
      <c r="T1500" t="str" cm="1">
        <f t="array" ref="T1500">_xlfn.IFS(AND(N1500&lt;= 22, S1500=9), "SOWING",AND(N1500&lt;= 28, S1500=9), "COVERAGE",AND(N1500&lt;= 30, S1500=9), "FLUSH",AND(N1500&lt;= 11, S1500=10), "FLUSH",AND(N1500&lt;= 21, S1500=10), "PRODUCTION")</f>
        <v>SOWING</v>
      </c>
      <c r="U1500">
        <f>HOUR(datos_siembra[[#This Row],[Hour]])</f>
        <v>23</v>
      </c>
      <c r="V1500" cm="1">
        <f t="array" ref="V1500">_xlfn.IFS(AND(N1500&lt;= 22, S1500=9), N1500-7,AND(N1500&lt;= 28, S1500=9), N1500-25,AND(N1500&lt;= 30, S1500=9), N1500-28,AND(N1500&lt;= 11, S1500=10), N1500+2,AND(N1500&lt;= 21, S1500=10), N1500-11)</f>
        <v>11</v>
      </c>
    </row>
    <row r="1501" spans="1:22" x14ac:dyDescent="0.35">
      <c r="A1501" s="4">
        <v>45553</v>
      </c>
      <c r="B1501" s="5">
        <v>0.97167824074074072</v>
      </c>
      <c r="C1501">
        <v>81.099999999999994</v>
      </c>
      <c r="D1501">
        <v>78.099999999999994</v>
      </c>
      <c r="E1501">
        <v>79.8</v>
      </c>
      <c r="F1501">
        <v>81.2</v>
      </c>
      <c r="G1501">
        <v>0</v>
      </c>
      <c r="H1501">
        <v>0</v>
      </c>
      <c r="I1501">
        <v>0</v>
      </c>
      <c r="J1501">
        <v>0</v>
      </c>
      <c r="K1501">
        <v>65.900000000000006</v>
      </c>
      <c r="L1501">
        <v>63.8</v>
      </c>
      <c r="M1501">
        <v>80.040000000000006</v>
      </c>
      <c r="N1501">
        <v>18</v>
      </c>
      <c r="O1501">
        <v>1</v>
      </c>
      <c r="P1501">
        <f>MOD(DAY(datos_siembra[[#This Row],[Date]]),7)</f>
        <v>4</v>
      </c>
      <c r="Q1501" t="str">
        <f>CHOOSE(WEEKDAY(datos_siembra[[#This Row],[Date]],2),"L","M","X","J","V","S","D")</f>
        <v>X</v>
      </c>
      <c r="R1501">
        <f>WEEKNUM(datos_siembra[[#This Row],[Date]],2)-WEEKNUM(DATE(YEAR(datos_siembra[[#This Row],[Date]]),MONTH(datos_siembra[[#This Row],[Date]]),1))+1</f>
        <v>3</v>
      </c>
      <c r="S1501">
        <f>MONTH(datos_siembra[[#This Row],[Date]])</f>
        <v>9</v>
      </c>
      <c r="T1501" t="str" cm="1">
        <f t="array" ref="T1501">_xlfn.IFS(AND(N1501&lt;= 22, S1501=9), "SOWING",AND(N1501&lt;= 28, S1501=9), "COVERAGE",AND(N1501&lt;= 30, S1501=9), "FLUSH",AND(N1501&lt;= 11, S1501=10), "FLUSH",AND(N1501&lt;= 21, S1501=10), "PRODUCTION")</f>
        <v>SOWING</v>
      </c>
      <c r="U1501">
        <f>HOUR(datos_siembra[[#This Row],[Hour]])</f>
        <v>23</v>
      </c>
      <c r="V1501" cm="1">
        <f t="array" ref="V1501">_xlfn.IFS(AND(N1501&lt;= 22, S1501=9), N1501-7,AND(N1501&lt;= 28, S1501=9), N1501-25,AND(N1501&lt;= 30, S1501=9), N1501-28,AND(N1501&lt;= 11, S1501=10), N1501+2,AND(N1501&lt;= 21, S1501=10), N1501-11)</f>
        <v>11</v>
      </c>
    </row>
    <row r="1502" spans="1:22" x14ac:dyDescent="0.35">
      <c r="A1502" s="4">
        <v>45553</v>
      </c>
      <c r="B1502" s="5">
        <v>0.97863425925925929</v>
      </c>
      <c r="C1502">
        <v>81.2</v>
      </c>
      <c r="D1502">
        <v>78</v>
      </c>
      <c r="E1502">
        <v>79.900000000000006</v>
      </c>
      <c r="F1502">
        <v>81.2</v>
      </c>
      <c r="G1502">
        <v>0</v>
      </c>
      <c r="H1502">
        <v>0</v>
      </c>
      <c r="I1502">
        <v>0</v>
      </c>
      <c r="J1502">
        <v>0</v>
      </c>
      <c r="K1502">
        <v>67.3</v>
      </c>
      <c r="L1502">
        <v>66.099999999999994</v>
      </c>
      <c r="M1502">
        <v>79.95</v>
      </c>
      <c r="N1502">
        <v>18</v>
      </c>
      <c r="O1502">
        <v>1</v>
      </c>
      <c r="P1502">
        <f>MOD(DAY(datos_siembra[[#This Row],[Date]]),7)</f>
        <v>4</v>
      </c>
      <c r="Q1502" t="str">
        <f>CHOOSE(WEEKDAY(datos_siembra[[#This Row],[Date]],2),"L","M","X","J","V","S","D")</f>
        <v>X</v>
      </c>
      <c r="R1502">
        <f>WEEKNUM(datos_siembra[[#This Row],[Date]],2)-WEEKNUM(DATE(YEAR(datos_siembra[[#This Row],[Date]]),MONTH(datos_siembra[[#This Row],[Date]]),1))+1</f>
        <v>3</v>
      </c>
      <c r="S1502">
        <f>MONTH(datos_siembra[[#This Row],[Date]])</f>
        <v>9</v>
      </c>
      <c r="T1502" t="str" cm="1">
        <f t="array" ref="T1502">_xlfn.IFS(AND(N1502&lt;= 22, S1502=9), "SOWING",AND(N1502&lt;= 28, S1502=9), "COVERAGE",AND(N1502&lt;= 30, S1502=9), "FLUSH",AND(N1502&lt;= 11, S1502=10), "FLUSH",AND(N1502&lt;= 21, S1502=10), "PRODUCTION")</f>
        <v>SOWING</v>
      </c>
      <c r="U1502">
        <f>HOUR(datos_siembra[[#This Row],[Hour]])</f>
        <v>23</v>
      </c>
      <c r="V1502" cm="1">
        <f t="array" ref="V1502">_xlfn.IFS(AND(N1502&lt;= 22, S1502=9), N1502-7,AND(N1502&lt;= 28, S1502=9), N1502-25,AND(N1502&lt;= 30, S1502=9), N1502-28,AND(N1502&lt;= 11, S1502=10), N1502+2,AND(N1502&lt;= 21, S1502=10), N1502-11)</f>
        <v>11</v>
      </c>
    </row>
    <row r="1503" spans="1:22" x14ac:dyDescent="0.35">
      <c r="A1503" s="4">
        <v>45553</v>
      </c>
      <c r="B1503" s="5">
        <v>0.98557870370370371</v>
      </c>
      <c r="C1503">
        <v>81.400000000000006</v>
      </c>
      <c r="D1503">
        <v>78</v>
      </c>
      <c r="E1503">
        <v>79.8</v>
      </c>
      <c r="F1503">
        <v>81.099999999999994</v>
      </c>
      <c r="G1503">
        <v>0</v>
      </c>
      <c r="H1503">
        <v>0</v>
      </c>
      <c r="I1503">
        <v>0</v>
      </c>
      <c r="J1503">
        <v>0</v>
      </c>
      <c r="K1503">
        <v>68.2</v>
      </c>
      <c r="L1503">
        <v>66.900000000000006</v>
      </c>
      <c r="M1503">
        <v>80.010000000000005</v>
      </c>
      <c r="N1503">
        <v>18</v>
      </c>
      <c r="O1503">
        <v>1</v>
      </c>
      <c r="P1503">
        <f>MOD(DAY(datos_siembra[[#This Row],[Date]]),7)</f>
        <v>4</v>
      </c>
      <c r="Q1503" t="str">
        <f>CHOOSE(WEEKDAY(datos_siembra[[#This Row],[Date]],2),"L","M","X","J","V","S","D")</f>
        <v>X</v>
      </c>
      <c r="R1503">
        <f>WEEKNUM(datos_siembra[[#This Row],[Date]],2)-WEEKNUM(DATE(YEAR(datos_siembra[[#This Row],[Date]]),MONTH(datos_siembra[[#This Row],[Date]]),1))+1</f>
        <v>3</v>
      </c>
      <c r="S1503">
        <f>MONTH(datos_siembra[[#This Row],[Date]])</f>
        <v>9</v>
      </c>
      <c r="T1503" t="str" cm="1">
        <f t="array" ref="T1503">_xlfn.IFS(AND(N1503&lt;= 22, S1503=9), "SOWING",AND(N1503&lt;= 28, S1503=9), "COVERAGE",AND(N1503&lt;= 30, S1503=9), "FLUSH",AND(N1503&lt;= 11, S1503=10), "FLUSH",AND(N1503&lt;= 21, S1503=10), "PRODUCTION")</f>
        <v>SOWING</v>
      </c>
      <c r="U1503">
        <f>HOUR(datos_siembra[[#This Row],[Hour]])</f>
        <v>23</v>
      </c>
      <c r="V1503" cm="1">
        <f t="array" ref="V1503">_xlfn.IFS(AND(N1503&lt;= 22, S1503=9), N1503-7,AND(N1503&lt;= 28, S1503=9), N1503-25,AND(N1503&lt;= 30, S1503=9), N1503-28,AND(N1503&lt;= 11, S1503=10), N1503+2,AND(N1503&lt;= 21, S1503=10), N1503-11)</f>
        <v>11</v>
      </c>
    </row>
    <row r="1504" spans="1:22" x14ac:dyDescent="0.35">
      <c r="A1504" s="4">
        <v>45553</v>
      </c>
      <c r="B1504" s="5">
        <v>0.99252314814814813</v>
      </c>
      <c r="C1504">
        <v>81.2</v>
      </c>
      <c r="D1504">
        <v>78.099999999999994</v>
      </c>
      <c r="E1504">
        <v>79.8</v>
      </c>
      <c r="F1504">
        <v>81.2</v>
      </c>
      <c r="G1504">
        <v>0</v>
      </c>
      <c r="H1504">
        <v>0</v>
      </c>
      <c r="I1504">
        <v>0</v>
      </c>
      <c r="J1504">
        <v>0</v>
      </c>
      <c r="K1504">
        <v>68.599999999999994</v>
      </c>
      <c r="L1504">
        <v>67.2</v>
      </c>
      <c r="M1504">
        <v>80.040000000000006</v>
      </c>
      <c r="N1504">
        <v>18</v>
      </c>
      <c r="O1504">
        <v>1</v>
      </c>
      <c r="P1504">
        <f>MOD(DAY(datos_siembra[[#This Row],[Date]]),7)</f>
        <v>4</v>
      </c>
      <c r="Q1504" t="str">
        <f>CHOOSE(WEEKDAY(datos_siembra[[#This Row],[Date]],2),"L","M","X","J","V","S","D")</f>
        <v>X</v>
      </c>
      <c r="R1504">
        <f>WEEKNUM(datos_siembra[[#This Row],[Date]],2)-WEEKNUM(DATE(YEAR(datos_siembra[[#This Row],[Date]]),MONTH(datos_siembra[[#This Row],[Date]]),1))+1</f>
        <v>3</v>
      </c>
      <c r="S1504">
        <f>MONTH(datos_siembra[[#This Row],[Date]])</f>
        <v>9</v>
      </c>
      <c r="T1504" t="str" cm="1">
        <f t="array" ref="T1504">_xlfn.IFS(AND(N1504&lt;= 22, S1504=9), "SOWING",AND(N1504&lt;= 28, S1504=9), "COVERAGE",AND(N1504&lt;= 30, S1504=9), "FLUSH",AND(N1504&lt;= 11, S1504=10), "FLUSH",AND(N1504&lt;= 21, S1504=10), "PRODUCTION")</f>
        <v>SOWING</v>
      </c>
      <c r="U1504">
        <f>HOUR(datos_siembra[[#This Row],[Hour]])</f>
        <v>23</v>
      </c>
      <c r="V1504" cm="1">
        <f t="array" ref="V1504">_xlfn.IFS(AND(N1504&lt;= 22, S1504=9), N1504-7,AND(N1504&lt;= 28, S1504=9), N1504-25,AND(N1504&lt;= 30, S1504=9), N1504-28,AND(N1504&lt;= 11, S1504=10), N1504+2,AND(N1504&lt;= 21, S1504=10), N1504-11)</f>
        <v>11</v>
      </c>
    </row>
    <row r="1505" spans="1:22" x14ac:dyDescent="0.35">
      <c r="A1505" s="4">
        <v>45553</v>
      </c>
      <c r="B1505" s="5">
        <v>0.99946759259259255</v>
      </c>
      <c r="C1505">
        <v>81.2</v>
      </c>
      <c r="D1505">
        <v>78</v>
      </c>
      <c r="E1505">
        <v>79.8</v>
      </c>
      <c r="F1505">
        <v>81.099999999999994</v>
      </c>
      <c r="G1505">
        <v>0</v>
      </c>
      <c r="H1505">
        <v>0</v>
      </c>
      <c r="I1505">
        <v>0</v>
      </c>
      <c r="J1505">
        <v>0</v>
      </c>
      <c r="K1505">
        <v>68.7</v>
      </c>
      <c r="L1505">
        <v>67.3</v>
      </c>
      <c r="M1505">
        <v>80.040000000000006</v>
      </c>
      <c r="N1505">
        <v>18</v>
      </c>
      <c r="O1505">
        <v>1</v>
      </c>
      <c r="P1505">
        <f>MOD(DAY(datos_siembra[[#This Row],[Date]]),7)</f>
        <v>4</v>
      </c>
      <c r="Q1505" t="str">
        <f>CHOOSE(WEEKDAY(datos_siembra[[#This Row],[Date]],2),"L","M","X","J","V","S","D")</f>
        <v>X</v>
      </c>
      <c r="R1505">
        <f>WEEKNUM(datos_siembra[[#This Row],[Date]],2)-WEEKNUM(DATE(YEAR(datos_siembra[[#This Row],[Date]]),MONTH(datos_siembra[[#This Row],[Date]]),1))+1</f>
        <v>3</v>
      </c>
      <c r="S1505">
        <f>MONTH(datos_siembra[[#This Row],[Date]])</f>
        <v>9</v>
      </c>
      <c r="T1505" t="str" cm="1">
        <f t="array" ref="T1505">_xlfn.IFS(AND(N1505&lt;= 22, S1505=9), "SOWING",AND(N1505&lt;= 28, S1505=9), "COVERAGE",AND(N1505&lt;= 30, S1505=9), "FLUSH",AND(N1505&lt;= 11, S1505=10), "FLUSH",AND(N1505&lt;= 21, S1505=10), "PRODUCTION")</f>
        <v>SOWING</v>
      </c>
      <c r="U1505">
        <f>HOUR(datos_siembra[[#This Row],[Hour]])</f>
        <v>23</v>
      </c>
      <c r="V1505" cm="1">
        <f t="array" ref="V1505">_xlfn.IFS(AND(N1505&lt;= 22, S1505=9), N1505-7,AND(N1505&lt;= 28, S1505=9), N1505-25,AND(N1505&lt;= 30, S1505=9), N1505-28,AND(N1505&lt;= 11, S1505=10), N1505+2,AND(N1505&lt;= 21, S1505=10), N1505-11)</f>
        <v>11</v>
      </c>
    </row>
    <row r="1506" spans="1:22" x14ac:dyDescent="0.35">
      <c r="A1506" s="4">
        <v>45561</v>
      </c>
      <c r="B1506" s="5">
        <v>0.40271990740740743</v>
      </c>
      <c r="C1506">
        <v>81.099999999999994</v>
      </c>
      <c r="D1506">
        <v>79.400000000000006</v>
      </c>
      <c r="E1506">
        <v>80.3</v>
      </c>
      <c r="F1506">
        <v>79.400000000000006</v>
      </c>
      <c r="G1506">
        <v>0</v>
      </c>
      <c r="H1506">
        <v>0</v>
      </c>
      <c r="I1506">
        <v>0</v>
      </c>
      <c r="J1506">
        <v>0</v>
      </c>
      <c r="K1506">
        <v>73.3</v>
      </c>
      <c r="L1506">
        <v>72.3</v>
      </c>
      <c r="M1506">
        <v>80.22</v>
      </c>
      <c r="N1506">
        <v>26</v>
      </c>
      <c r="O1506">
        <v>2</v>
      </c>
      <c r="P1506">
        <f>MOD(DAY(datos_siembra[[#This Row],[Date]]),7)</f>
        <v>5</v>
      </c>
      <c r="Q1506" t="str">
        <f>CHOOSE(WEEKDAY(datos_siembra[[#This Row],[Date]],2),"L","M","X","J","V","S","D")</f>
        <v>J</v>
      </c>
      <c r="R1506">
        <f>WEEKNUM(datos_siembra[[#This Row],[Date]],2)-WEEKNUM(DATE(YEAR(datos_siembra[[#This Row],[Date]]),MONTH(datos_siembra[[#This Row],[Date]]),1))+1</f>
        <v>4</v>
      </c>
      <c r="S1506">
        <f>MONTH(datos_siembra[[#This Row],[Date]])</f>
        <v>9</v>
      </c>
      <c r="T1506" t="str" cm="1">
        <f t="array" ref="T1506">_xlfn.IFS(AND(N1506&lt;= 22, S1506=9), "SOWING",AND(N1506&lt;= 28, S1506=9), "COVERAGE",AND(N1506&lt;= 30, S1506=9), "FLUSH",AND(N1506&lt;= 11, S1506=10), "FLUSH",AND(N1506&lt;= 21, S1506=10), "PRODUCTION")</f>
        <v>COVERAGE</v>
      </c>
      <c r="U1506">
        <f>HOUR(datos_siembra[[#This Row],[Hour]])</f>
        <v>9</v>
      </c>
      <c r="V1506" cm="1">
        <f t="array" ref="V1506">_xlfn.IFS(AND(N1506&lt;= 22, S1506=9), N1506-7,AND(N1506&lt;= 28, S1506=9), N1506-25,AND(N1506&lt;= 30, S1506=9), N1506-28,AND(N1506&lt;= 11, S1506=10), N1506+2,AND(N1506&lt;= 21, S1506=10), N1506-11)</f>
        <v>1</v>
      </c>
    </row>
    <row r="1507" spans="1:22" x14ac:dyDescent="0.35">
      <c r="A1507" s="4">
        <v>45561</v>
      </c>
      <c r="B1507" s="5">
        <v>0.40953703703703703</v>
      </c>
      <c r="C1507">
        <v>81.3</v>
      </c>
      <c r="D1507">
        <v>79.599999999999994</v>
      </c>
      <c r="E1507">
        <v>80.400000000000006</v>
      </c>
      <c r="F1507">
        <v>79.599999999999994</v>
      </c>
      <c r="G1507">
        <v>0</v>
      </c>
      <c r="H1507">
        <v>0</v>
      </c>
      <c r="I1507">
        <v>0</v>
      </c>
      <c r="J1507">
        <v>0</v>
      </c>
      <c r="K1507">
        <v>73.5</v>
      </c>
      <c r="L1507">
        <v>72.3</v>
      </c>
      <c r="M1507">
        <v>80.3</v>
      </c>
      <c r="N1507">
        <v>26</v>
      </c>
      <c r="O1507">
        <v>2</v>
      </c>
      <c r="P1507">
        <f>MOD(DAY(datos_siembra[[#This Row],[Date]]),7)</f>
        <v>5</v>
      </c>
      <c r="Q1507" t="str">
        <f>CHOOSE(WEEKDAY(datos_siembra[[#This Row],[Date]],2),"L","M","X","J","V","S","D")</f>
        <v>J</v>
      </c>
      <c r="R1507">
        <f>WEEKNUM(datos_siembra[[#This Row],[Date]],2)-WEEKNUM(DATE(YEAR(datos_siembra[[#This Row],[Date]]),MONTH(datos_siembra[[#This Row],[Date]]),1))+1</f>
        <v>4</v>
      </c>
      <c r="S1507">
        <f>MONTH(datos_siembra[[#This Row],[Date]])</f>
        <v>9</v>
      </c>
      <c r="T1507" t="str" cm="1">
        <f t="array" ref="T1507">_xlfn.IFS(AND(N1507&lt;= 22, S1507=9), "SOWING",AND(N1507&lt;= 28, S1507=9), "COVERAGE",AND(N1507&lt;= 30, S1507=9), "FLUSH",AND(N1507&lt;= 11, S1507=10), "FLUSH",AND(N1507&lt;= 21, S1507=10), "PRODUCTION")</f>
        <v>COVERAGE</v>
      </c>
      <c r="U1507">
        <f>HOUR(datos_siembra[[#This Row],[Hour]])</f>
        <v>9</v>
      </c>
      <c r="V1507" cm="1">
        <f t="array" ref="V1507">_xlfn.IFS(AND(N1507&lt;= 22, S1507=9), N1507-7,AND(N1507&lt;= 28, S1507=9), N1507-25,AND(N1507&lt;= 30, S1507=9), N1507-28,AND(N1507&lt;= 11, S1507=10), N1507+2,AND(N1507&lt;= 21, S1507=10), N1507-11)</f>
        <v>1</v>
      </c>
    </row>
    <row r="1508" spans="1:22" x14ac:dyDescent="0.35">
      <c r="A1508" s="4">
        <v>45561</v>
      </c>
      <c r="B1508" s="5">
        <v>0.41648148148148151</v>
      </c>
      <c r="C1508">
        <v>81.2</v>
      </c>
      <c r="D1508">
        <v>79.599999999999994</v>
      </c>
      <c r="E1508">
        <v>80.400000000000006</v>
      </c>
      <c r="F1508">
        <v>79.8</v>
      </c>
      <c r="G1508">
        <v>0</v>
      </c>
      <c r="H1508">
        <v>0</v>
      </c>
      <c r="I1508">
        <v>0</v>
      </c>
      <c r="J1508">
        <v>0</v>
      </c>
      <c r="K1508">
        <v>73.400000000000006</v>
      </c>
      <c r="L1508">
        <v>72.400000000000006</v>
      </c>
      <c r="M1508">
        <v>80.34</v>
      </c>
      <c r="N1508">
        <v>26</v>
      </c>
      <c r="O1508">
        <v>2</v>
      </c>
      <c r="P1508">
        <f>MOD(DAY(datos_siembra[[#This Row],[Date]]),7)</f>
        <v>5</v>
      </c>
      <c r="Q1508" t="str">
        <f>CHOOSE(WEEKDAY(datos_siembra[[#This Row],[Date]],2),"L","M","X","J","V","S","D")</f>
        <v>J</v>
      </c>
      <c r="R1508">
        <f>WEEKNUM(datos_siembra[[#This Row],[Date]],2)-WEEKNUM(DATE(YEAR(datos_siembra[[#This Row],[Date]]),MONTH(datos_siembra[[#This Row],[Date]]),1))+1</f>
        <v>4</v>
      </c>
      <c r="S1508">
        <f>MONTH(datos_siembra[[#This Row],[Date]])</f>
        <v>9</v>
      </c>
      <c r="T1508" t="str" cm="1">
        <f t="array" ref="T1508">_xlfn.IFS(AND(N1508&lt;= 22, S1508=9), "SOWING",AND(N1508&lt;= 28, S1508=9), "COVERAGE",AND(N1508&lt;= 30, S1508=9), "FLUSH",AND(N1508&lt;= 11, S1508=10), "FLUSH",AND(N1508&lt;= 21, S1508=10), "PRODUCTION")</f>
        <v>COVERAGE</v>
      </c>
      <c r="U1508">
        <f>HOUR(datos_siembra[[#This Row],[Hour]])</f>
        <v>9</v>
      </c>
      <c r="V1508" cm="1">
        <f t="array" ref="V1508">_xlfn.IFS(AND(N1508&lt;= 22, S1508=9), N1508-7,AND(N1508&lt;= 28, S1508=9), N1508-25,AND(N1508&lt;= 30, S1508=9), N1508-28,AND(N1508&lt;= 11, S1508=10), N1508+2,AND(N1508&lt;= 21, S1508=10), N1508-11)</f>
        <v>1</v>
      </c>
    </row>
    <row r="1509" spans="1:22" x14ac:dyDescent="0.35">
      <c r="A1509" s="4">
        <v>45561</v>
      </c>
      <c r="B1509" s="5">
        <v>0.42342592592592593</v>
      </c>
      <c r="C1509">
        <v>81.2</v>
      </c>
      <c r="D1509">
        <v>79.5</v>
      </c>
      <c r="E1509">
        <v>80.5</v>
      </c>
      <c r="F1509">
        <v>79.599999999999994</v>
      </c>
      <c r="G1509">
        <v>0</v>
      </c>
      <c r="H1509">
        <v>0</v>
      </c>
      <c r="I1509">
        <v>0</v>
      </c>
      <c r="J1509">
        <v>0</v>
      </c>
      <c r="K1509">
        <v>73.5</v>
      </c>
      <c r="L1509">
        <v>72.5</v>
      </c>
      <c r="M1509">
        <v>80.37</v>
      </c>
      <c r="N1509">
        <v>26</v>
      </c>
      <c r="O1509">
        <v>2</v>
      </c>
      <c r="P1509">
        <f>MOD(DAY(datos_siembra[[#This Row],[Date]]),7)</f>
        <v>5</v>
      </c>
      <c r="Q1509" t="str">
        <f>CHOOSE(WEEKDAY(datos_siembra[[#This Row],[Date]],2),"L","M","X","J","V","S","D")</f>
        <v>J</v>
      </c>
      <c r="R1509">
        <f>WEEKNUM(datos_siembra[[#This Row],[Date]],2)-WEEKNUM(DATE(YEAR(datos_siembra[[#This Row],[Date]]),MONTH(datos_siembra[[#This Row],[Date]]),1))+1</f>
        <v>4</v>
      </c>
      <c r="S1509">
        <f>MONTH(datos_siembra[[#This Row],[Date]])</f>
        <v>9</v>
      </c>
      <c r="T1509" t="str" cm="1">
        <f t="array" ref="T1509">_xlfn.IFS(AND(N1509&lt;= 22, S1509=9), "SOWING",AND(N1509&lt;= 28, S1509=9), "COVERAGE",AND(N1509&lt;= 30, S1509=9), "FLUSH",AND(N1509&lt;= 11, S1509=10), "FLUSH",AND(N1509&lt;= 21, S1509=10), "PRODUCTION")</f>
        <v>COVERAGE</v>
      </c>
      <c r="U1509">
        <f>HOUR(datos_siembra[[#This Row],[Hour]])</f>
        <v>10</v>
      </c>
      <c r="V1509" cm="1">
        <f t="array" ref="V1509">_xlfn.IFS(AND(N1509&lt;= 22, S1509=9), N1509-7,AND(N1509&lt;= 28, S1509=9), N1509-25,AND(N1509&lt;= 30, S1509=9), N1509-28,AND(N1509&lt;= 11, S1509=10), N1509+2,AND(N1509&lt;= 21, S1509=10), N1509-11)</f>
        <v>1</v>
      </c>
    </row>
    <row r="1510" spans="1:22" x14ac:dyDescent="0.35">
      <c r="A1510" s="4">
        <v>45561</v>
      </c>
      <c r="B1510" s="5">
        <v>0.43038194444444444</v>
      </c>
      <c r="C1510">
        <v>81.2</v>
      </c>
      <c r="D1510">
        <v>79.5</v>
      </c>
      <c r="E1510">
        <v>80.599999999999994</v>
      </c>
      <c r="F1510">
        <v>79.7</v>
      </c>
      <c r="G1510">
        <v>0</v>
      </c>
      <c r="H1510">
        <v>0</v>
      </c>
      <c r="I1510">
        <v>0</v>
      </c>
      <c r="J1510">
        <v>0</v>
      </c>
      <c r="K1510">
        <v>73.5</v>
      </c>
      <c r="L1510">
        <v>72.5</v>
      </c>
      <c r="M1510">
        <v>80.41</v>
      </c>
      <c r="N1510">
        <v>26</v>
      </c>
      <c r="O1510">
        <v>2</v>
      </c>
      <c r="P1510">
        <f>MOD(DAY(datos_siembra[[#This Row],[Date]]),7)</f>
        <v>5</v>
      </c>
      <c r="Q1510" t="str">
        <f>CHOOSE(WEEKDAY(datos_siembra[[#This Row],[Date]],2),"L","M","X","J","V","S","D")</f>
        <v>J</v>
      </c>
      <c r="R1510">
        <f>WEEKNUM(datos_siembra[[#This Row],[Date]],2)-WEEKNUM(DATE(YEAR(datos_siembra[[#This Row],[Date]]),MONTH(datos_siembra[[#This Row],[Date]]),1))+1</f>
        <v>4</v>
      </c>
      <c r="S1510">
        <f>MONTH(datos_siembra[[#This Row],[Date]])</f>
        <v>9</v>
      </c>
      <c r="T1510" t="str" cm="1">
        <f t="array" ref="T1510">_xlfn.IFS(AND(N1510&lt;= 22, S1510=9), "SOWING",AND(N1510&lt;= 28, S1510=9), "COVERAGE",AND(N1510&lt;= 30, S1510=9), "FLUSH",AND(N1510&lt;= 11, S1510=10), "FLUSH",AND(N1510&lt;= 21, S1510=10), "PRODUCTION")</f>
        <v>COVERAGE</v>
      </c>
      <c r="U1510">
        <f>HOUR(datos_siembra[[#This Row],[Hour]])</f>
        <v>10</v>
      </c>
      <c r="V1510" cm="1">
        <f t="array" ref="V1510">_xlfn.IFS(AND(N1510&lt;= 22, S1510=9), N1510-7,AND(N1510&lt;= 28, S1510=9), N1510-25,AND(N1510&lt;= 30, S1510=9), N1510-28,AND(N1510&lt;= 11, S1510=10), N1510+2,AND(N1510&lt;= 21, S1510=10), N1510-11)</f>
        <v>1</v>
      </c>
    </row>
    <row r="1511" spans="1:22" x14ac:dyDescent="0.35">
      <c r="A1511" s="4">
        <v>45561</v>
      </c>
      <c r="B1511" s="5">
        <v>0.43732638888888886</v>
      </c>
      <c r="C1511">
        <v>81.400000000000006</v>
      </c>
      <c r="D1511">
        <v>79.7</v>
      </c>
      <c r="E1511">
        <v>80.599999999999994</v>
      </c>
      <c r="F1511">
        <v>79.599999999999994</v>
      </c>
      <c r="G1511">
        <v>0</v>
      </c>
      <c r="H1511">
        <v>0</v>
      </c>
      <c r="I1511">
        <v>0</v>
      </c>
      <c r="J1511">
        <v>0</v>
      </c>
      <c r="K1511">
        <v>72.599999999999994</v>
      </c>
      <c r="L1511">
        <v>71.7</v>
      </c>
      <c r="M1511">
        <v>80.489999999999995</v>
      </c>
      <c r="N1511">
        <v>26</v>
      </c>
      <c r="O1511">
        <v>2</v>
      </c>
      <c r="P1511">
        <f>MOD(DAY(datos_siembra[[#This Row],[Date]]),7)</f>
        <v>5</v>
      </c>
      <c r="Q1511" t="str">
        <f>CHOOSE(WEEKDAY(datos_siembra[[#This Row],[Date]],2),"L","M","X","J","V","S","D")</f>
        <v>J</v>
      </c>
      <c r="R1511">
        <f>WEEKNUM(datos_siembra[[#This Row],[Date]],2)-WEEKNUM(DATE(YEAR(datos_siembra[[#This Row],[Date]]),MONTH(datos_siembra[[#This Row],[Date]]),1))+1</f>
        <v>4</v>
      </c>
      <c r="S1511">
        <f>MONTH(datos_siembra[[#This Row],[Date]])</f>
        <v>9</v>
      </c>
      <c r="T1511" t="str" cm="1">
        <f t="array" ref="T1511">_xlfn.IFS(AND(N1511&lt;= 22, S1511=9), "SOWING",AND(N1511&lt;= 28, S1511=9), "COVERAGE",AND(N1511&lt;= 30, S1511=9), "FLUSH",AND(N1511&lt;= 11, S1511=10), "FLUSH",AND(N1511&lt;= 21, S1511=10), "PRODUCTION")</f>
        <v>COVERAGE</v>
      </c>
      <c r="U1511">
        <f>HOUR(datos_siembra[[#This Row],[Hour]])</f>
        <v>10</v>
      </c>
      <c r="V1511" cm="1">
        <f t="array" ref="V1511">_xlfn.IFS(AND(N1511&lt;= 22, S1511=9), N1511-7,AND(N1511&lt;= 28, S1511=9), N1511-25,AND(N1511&lt;= 30, S1511=9), N1511-28,AND(N1511&lt;= 11, S1511=10), N1511+2,AND(N1511&lt;= 21, S1511=10), N1511-11)</f>
        <v>1</v>
      </c>
    </row>
    <row r="1512" spans="1:22" x14ac:dyDescent="0.35">
      <c r="A1512" s="4">
        <v>45561</v>
      </c>
      <c r="B1512" s="5">
        <v>0.44427083333333334</v>
      </c>
      <c r="C1512">
        <v>81.3</v>
      </c>
      <c r="D1512">
        <v>79.599999999999994</v>
      </c>
      <c r="E1512">
        <v>80.5</v>
      </c>
      <c r="F1512">
        <v>79.599999999999994</v>
      </c>
      <c r="G1512">
        <v>0</v>
      </c>
      <c r="H1512">
        <v>0</v>
      </c>
      <c r="I1512">
        <v>0</v>
      </c>
      <c r="J1512">
        <v>0</v>
      </c>
      <c r="K1512">
        <v>72.3</v>
      </c>
      <c r="L1512">
        <v>71.5</v>
      </c>
      <c r="M1512">
        <v>80.52</v>
      </c>
      <c r="N1512">
        <v>26</v>
      </c>
      <c r="O1512">
        <v>2</v>
      </c>
      <c r="P1512">
        <f>MOD(DAY(datos_siembra[[#This Row],[Date]]),7)</f>
        <v>5</v>
      </c>
      <c r="Q1512" t="str">
        <f>CHOOSE(WEEKDAY(datos_siembra[[#This Row],[Date]],2),"L","M","X","J","V","S","D")</f>
        <v>J</v>
      </c>
      <c r="R1512">
        <f>WEEKNUM(datos_siembra[[#This Row],[Date]],2)-WEEKNUM(DATE(YEAR(datos_siembra[[#This Row],[Date]]),MONTH(datos_siembra[[#This Row],[Date]]),1))+1</f>
        <v>4</v>
      </c>
      <c r="S1512">
        <f>MONTH(datos_siembra[[#This Row],[Date]])</f>
        <v>9</v>
      </c>
      <c r="T1512" t="str" cm="1">
        <f t="array" ref="T1512">_xlfn.IFS(AND(N1512&lt;= 22, S1512=9), "SOWING",AND(N1512&lt;= 28, S1512=9), "COVERAGE",AND(N1512&lt;= 30, S1512=9), "FLUSH",AND(N1512&lt;= 11, S1512=10), "FLUSH",AND(N1512&lt;= 21, S1512=10), "PRODUCTION")</f>
        <v>COVERAGE</v>
      </c>
      <c r="U1512">
        <f>HOUR(datos_siembra[[#This Row],[Hour]])</f>
        <v>10</v>
      </c>
      <c r="V1512" cm="1">
        <f t="array" ref="V1512">_xlfn.IFS(AND(N1512&lt;= 22, S1512=9), N1512-7,AND(N1512&lt;= 28, S1512=9), N1512-25,AND(N1512&lt;= 30, S1512=9), N1512-28,AND(N1512&lt;= 11, S1512=10), N1512+2,AND(N1512&lt;= 21, S1512=10), N1512-11)</f>
        <v>1</v>
      </c>
    </row>
    <row r="1513" spans="1:22" x14ac:dyDescent="0.35">
      <c r="A1513" s="4">
        <v>45561</v>
      </c>
      <c r="B1513" s="5">
        <v>0.45122685185185185</v>
      </c>
      <c r="C1513">
        <v>81.400000000000006</v>
      </c>
      <c r="D1513">
        <v>79.599999999999994</v>
      </c>
      <c r="E1513">
        <v>80.599999999999994</v>
      </c>
      <c r="F1513">
        <v>79.7</v>
      </c>
      <c r="G1513">
        <v>0</v>
      </c>
      <c r="H1513">
        <v>0</v>
      </c>
      <c r="I1513">
        <v>0</v>
      </c>
      <c r="J1513">
        <v>0</v>
      </c>
      <c r="K1513">
        <v>71.7</v>
      </c>
      <c r="L1513">
        <v>71</v>
      </c>
      <c r="M1513">
        <v>79.7</v>
      </c>
      <c r="N1513">
        <v>26</v>
      </c>
      <c r="O1513">
        <v>2</v>
      </c>
      <c r="P1513">
        <f>MOD(DAY(datos_siembra[[#This Row],[Date]]),7)</f>
        <v>5</v>
      </c>
      <c r="Q1513" t="str">
        <f>CHOOSE(WEEKDAY(datos_siembra[[#This Row],[Date]],2),"L","M","X","J","V","S","D")</f>
        <v>J</v>
      </c>
      <c r="R1513">
        <f>WEEKNUM(datos_siembra[[#This Row],[Date]],2)-WEEKNUM(DATE(YEAR(datos_siembra[[#This Row],[Date]]),MONTH(datos_siembra[[#This Row],[Date]]),1))+1</f>
        <v>4</v>
      </c>
      <c r="S1513">
        <f>MONTH(datos_siembra[[#This Row],[Date]])</f>
        <v>9</v>
      </c>
      <c r="T1513" t="str" cm="1">
        <f t="array" ref="T1513">_xlfn.IFS(AND(N1513&lt;= 22, S1513=9), "SOWING",AND(N1513&lt;= 28, S1513=9), "COVERAGE",AND(N1513&lt;= 30, S1513=9), "FLUSH",AND(N1513&lt;= 11, S1513=10), "FLUSH",AND(N1513&lt;= 21, S1513=10), "PRODUCTION")</f>
        <v>COVERAGE</v>
      </c>
      <c r="U1513">
        <f>HOUR(datos_siembra[[#This Row],[Hour]])</f>
        <v>10</v>
      </c>
      <c r="V1513" cm="1">
        <f t="array" ref="V1513">_xlfn.IFS(AND(N1513&lt;= 22, S1513=9), N1513-7,AND(N1513&lt;= 28, S1513=9), N1513-25,AND(N1513&lt;= 30, S1513=9), N1513-28,AND(N1513&lt;= 11, S1513=10), N1513+2,AND(N1513&lt;= 21, S1513=10), N1513-11)</f>
        <v>1</v>
      </c>
    </row>
    <row r="1514" spans="1:22" x14ac:dyDescent="0.35">
      <c r="A1514" s="4">
        <v>45561</v>
      </c>
      <c r="B1514" s="5">
        <v>0.45817129629629627</v>
      </c>
      <c r="C1514">
        <v>81.400000000000006</v>
      </c>
      <c r="D1514">
        <v>79.7</v>
      </c>
      <c r="E1514">
        <v>80.599999999999994</v>
      </c>
      <c r="F1514">
        <v>79.7</v>
      </c>
      <c r="G1514">
        <v>0</v>
      </c>
      <c r="H1514">
        <v>0</v>
      </c>
      <c r="I1514">
        <v>0</v>
      </c>
      <c r="J1514">
        <v>0</v>
      </c>
      <c r="K1514">
        <v>71.5</v>
      </c>
      <c r="L1514">
        <v>70.7</v>
      </c>
      <c r="M1514">
        <v>80.56</v>
      </c>
      <c r="N1514">
        <v>26</v>
      </c>
      <c r="O1514">
        <v>2</v>
      </c>
      <c r="P1514">
        <f>MOD(DAY(datos_siembra[[#This Row],[Date]]),7)</f>
        <v>5</v>
      </c>
      <c r="Q1514" t="str">
        <f>CHOOSE(WEEKDAY(datos_siembra[[#This Row],[Date]],2),"L","M","X","J","V","S","D")</f>
        <v>J</v>
      </c>
      <c r="R1514">
        <f>WEEKNUM(datos_siembra[[#This Row],[Date]],2)-WEEKNUM(DATE(YEAR(datos_siembra[[#This Row],[Date]]),MONTH(datos_siembra[[#This Row],[Date]]),1))+1</f>
        <v>4</v>
      </c>
      <c r="S1514">
        <f>MONTH(datos_siembra[[#This Row],[Date]])</f>
        <v>9</v>
      </c>
      <c r="T1514" t="str" cm="1">
        <f t="array" ref="T1514">_xlfn.IFS(AND(N1514&lt;= 22, S1514=9), "SOWING",AND(N1514&lt;= 28, S1514=9), "COVERAGE",AND(N1514&lt;= 30, S1514=9), "FLUSH",AND(N1514&lt;= 11, S1514=10), "FLUSH",AND(N1514&lt;= 21, S1514=10), "PRODUCTION")</f>
        <v>COVERAGE</v>
      </c>
      <c r="U1514">
        <f>HOUR(datos_siembra[[#This Row],[Hour]])</f>
        <v>10</v>
      </c>
      <c r="V1514" cm="1">
        <f t="array" ref="V1514">_xlfn.IFS(AND(N1514&lt;= 22, S1514=9), N1514-7,AND(N1514&lt;= 28, S1514=9), N1514-25,AND(N1514&lt;= 30, S1514=9), N1514-28,AND(N1514&lt;= 11, S1514=10), N1514+2,AND(N1514&lt;= 21, S1514=10), N1514-11)</f>
        <v>1</v>
      </c>
    </row>
    <row r="1515" spans="1:22" x14ac:dyDescent="0.35">
      <c r="A1515" s="4">
        <v>45561</v>
      </c>
      <c r="B1515" s="5">
        <v>0.46511574074074075</v>
      </c>
      <c r="C1515">
        <v>81.3</v>
      </c>
      <c r="D1515">
        <v>79.599999999999994</v>
      </c>
      <c r="E1515">
        <v>80.7</v>
      </c>
      <c r="F1515">
        <v>79.7</v>
      </c>
      <c r="G1515">
        <v>0</v>
      </c>
      <c r="H1515">
        <v>0</v>
      </c>
      <c r="I1515">
        <v>0</v>
      </c>
      <c r="J1515">
        <v>0</v>
      </c>
      <c r="K1515">
        <v>71.5</v>
      </c>
      <c r="L1515">
        <v>70.8</v>
      </c>
      <c r="M1515">
        <v>80.52</v>
      </c>
      <c r="N1515">
        <v>26</v>
      </c>
      <c r="O1515">
        <v>2</v>
      </c>
      <c r="P1515">
        <f>MOD(DAY(datos_siembra[[#This Row],[Date]]),7)</f>
        <v>5</v>
      </c>
      <c r="Q1515" t="str">
        <f>CHOOSE(WEEKDAY(datos_siembra[[#This Row],[Date]],2),"L","M","X","J","V","S","D")</f>
        <v>J</v>
      </c>
      <c r="R1515">
        <f>WEEKNUM(datos_siembra[[#This Row],[Date]],2)-WEEKNUM(DATE(YEAR(datos_siembra[[#This Row],[Date]]),MONTH(datos_siembra[[#This Row],[Date]]),1))+1</f>
        <v>4</v>
      </c>
      <c r="S1515">
        <f>MONTH(datos_siembra[[#This Row],[Date]])</f>
        <v>9</v>
      </c>
      <c r="T1515" t="str" cm="1">
        <f t="array" ref="T1515">_xlfn.IFS(AND(N1515&lt;= 22, S1515=9), "SOWING",AND(N1515&lt;= 28, S1515=9), "COVERAGE",AND(N1515&lt;= 30, S1515=9), "FLUSH",AND(N1515&lt;= 11, S1515=10), "FLUSH",AND(N1515&lt;= 21, S1515=10), "PRODUCTION")</f>
        <v>COVERAGE</v>
      </c>
      <c r="U1515">
        <f>HOUR(datos_siembra[[#This Row],[Hour]])</f>
        <v>11</v>
      </c>
      <c r="V1515" cm="1">
        <f t="array" ref="V1515">_xlfn.IFS(AND(N1515&lt;= 22, S1515=9), N1515-7,AND(N1515&lt;= 28, S1515=9), N1515-25,AND(N1515&lt;= 30, S1515=9), N1515-28,AND(N1515&lt;= 11, S1515=10), N1515+2,AND(N1515&lt;= 21, S1515=10), N1515-11)</f>
        <v>1</v>
      </c>
    </row>
    <row r="1516" spans="1:22" x14ac:dyDescent="0.35">
      <c r="A1516" s="4">
        <v>45561</v>
      </c>
      <c r="B1516" s="5">
        <v>0.47207175925925926</v>
      </c>
      <c r="C1516">
        <v>81.3</v>
      </c>
      <c r="D1516">
        <v>79.5</v>
      </c>
      <c r="E1516">
        <v>80.599999999999994</v>
      </c>
      <c r="F1516">
        <v>79.599999999999994</v>
      </c>
      <c r="G1516">
        <v>0</v>
      </c>
      <c r="H1516">
        <v>0</v>
      </c>
      <c r="I1516">
        <v>0</v>
      </c>
      <c r="J1516">
        <v>0</v>
      </c>
      <c r="K1516">
        <v>71.3</v>
      </c>
      <c r="L1516">
        <v>70.599999999999994</v>
      </c>
      <c r="M1516">
        <v>79.62</v>
      </c>
      <c r="N1516">
        <v>26</v>
      </c>
      <c r="O1516">
        <v>2</v>
      </c>
      <c r="P1516">
        <f>MOD(DAY(datos_siembra[[#This Row],[Date]]),7)</f>
        <v>5</v>
      </c>
      <c r="Q1516" t="str">
        <f>CHOOSE(WEEKDAY(datos_siembra[[#This Row],[Date]],2),"L","M","X","J","V","S","D")</f>
        <v>J</v>
      </c>
      <c r="R1516">
        <f>WEEKNUM(datos_siembra[[#This Row],[Date]],2)-WEEKNUM(DATE(YEAR(datos_siembra[[#This Row],[Date]]),MONTH(datos_siembra[[#This Row],[Date]]),1))+1</f>
        <v>4</v>
      </c>
      <c r="S1516">
        <f>MONTH(datos_siembra[[#This Row],[Date]])</f>
        <v>9</v>
      </c>
      <c r="T1516" t="str" cm="1">
        <f t="array" ref="T1516">_xlfn.IFS(AND(N1516&lt;= 22, S1516=9), "SOWING",AND(N1516&lt;= 28, S1516=9), "COVERAGE",AND(N1516&lt;= 30, S1516=9), "FLUSH",AND(N1516&lt;= 11, S1516=10), "FLUSH",AND(N1516&lt;= 21, S1516=10), "PRODUCTION")</f>
        <v>COVERAGE</v>
      </c>
      <c r="U1516">
        <f>HOUR(datos_siembra[[#This Row],[Hour]])</f>
        <v>11</v>
      </c>
      <c r="V1516" cm="1">
        <f t="array" ref="V1516">_xlfn.IFS(AND(N1516&lt;= 22, S1516=9), N1516-7,AND(N1516&lt;= 28, S1516=9), N1516-25,AND(N1516&lt;= 30, S1516=9), N1516-28,AND(N1516&lt;= 11, S1516=10), N1516+2,AND(N1516&lt;= 21, S1516=10), N1516-11)</f>
        <v>1</v>
      </c>
    </row>
    <row r="1517" spans="1:22" x14ac:dyDescent="0.35">
      <c r="A1517" s="4">
        <v>45561</v>
      </c>
      <c r="B1517" s="5">
        <v>0.47901620370370368</v>
      </c>
      <c r="C1517">
        <v>81.400000000000006</v>
      </c>
      <c r="D1517">
        <v>79.8</v>
      </c>
      <c r="E1517">
        <v>80.599999999999994</v>
      </c>
      <c r="F1517">
        <v>79.5</v>
      </c>
      <c r="G1517">
        <v>0</v>
      </c>
      <c r="H1517">
        <v>0</v>
      </c>
      <c r="I1517">
        <v>0</v>
      </c>
      <c r="J1517">
        <v>0</v>
      </c>
      <c r="K1517">
        <v>71</v>
      </c>
      <c r="L1517">
        <v>70.400000000000006</v>
      </c>
      <c r="M1517">
        <v>80.45</v>
      </c>
      <c r="N1517">
        <v>26</v>
      </c>
      <c r="O1517">
        <v>2</v>
      </c>
      <c r="P1517">
        <f>MOD(DAY(datos_siembra[[#This Row],[Date]]),7)</f>
        <v>5</v>
      </c>
      <c r="Q1517" t="str">
        <f>CHOOSE(WEEKDAY(datos_siembra[[#This Row],[Date]],2),"L","M","X","J","V","S","D")</f>
        <v>J</v>
      </c>
      <c r="R1517">
        <f>WEEKNUM(datos_siembra[[#This Row],[Date]],2)-WEEKNUM(DATE(YEAR(datos_siembra[[#This Row],[Date]]),MONTH(datos_siembra[[#This Row],[Date]]),1))+1</f>
        <v>4</v>
      </c>
      <c r="S1517">
        <f>MONTH(datos_siembra[[#This Row],[Date]])</f>
        <v>9</v>
      </c>
      <c r="T1517" t="str" cm="1">
        <f t="array" ref="T1517">_xlfn.IFS(AND(N1517&lt;= 22, S1517=9), "SOWING",AND(N1517&lt;= 28, S1517=9), "COVERAGE",AND(N1517&lt;= 30, S1517=9), "FLUSH",AND(N1517&lt;= 11, S1517=10), "FLUSH",AND(N1517&lt;= 21, S1517=10), "PRODUCTION")</f>
        <v>COVERAGE</v>
      </c>
      <c r="U1517">
        <f>HOUR(datos_siembra[[#This Row],[Hour]])</f>
        <v>11</v>
      </c>
      <c r="V1517" cm="1">
        <f t="array" ref="V1517">_xlfn.IFS(AND(N1517&lt;= 22, S1517=9), N1517-7,AND(N1517&lt;= 28, S1517=9), N1517-25,AND(N1517&lt;= 30, S1517=9), N1517-28,AND(N1517&lt;= 11, S1517=10), N1517+2,AND(N1517&lt;= 21, S1517=10), N1517-11)</f>
        <v>1</v>
      </c>
    </row>
    <row r="1518" spans="1:22" x14ac:dyDescent="0.35">
      <c r="A1518" s="4">
        <v>45561</v>
      </c>
      <c r="B1518" s="5">
        <v>0.48596064814814816</v>
      </c>
      <c r="C1518">
        <v>81.400000000000006</v>
      </c>
      <c r="D1518">
        <v>79.599999999999994</v>
      </c>
      <c r="E1518">
        <v>80.7</v>
      </c>
      <c r="F1518">
        <v>79.5</v>
      </c>
      <c r="G1518">
        <v>0</v>
      </c>
      <c r="H1518">
        <v>0</v>
      </c>
      <c r="I1518">
        <v>0</v>
      </c>
      <c r="J1518">
        <v>0</v>
      </c>
      <c r="K1518">
        <v>71.7</v>
      </c>
      <c r="L1518">
        <v>71</v>
      </c>
      <c r="M1518">
        <v>80.64</v>
      </c>
      <c r="N1518">
        <v>26</v>
      </c>
      <c r="O1518">
        <v>2</v>
      </c>
      <c r="P1518">
        <f>MOD(DAY(datos_siembra[[#This Row],[Date]]),7)</f>
        <v>5</v>
      </c>
      <c r="Q1518" t="str">
        <f>CHOOSE(WEEKDAY(datos_siembra[[#This Row],[Date]],2),"L","M","X","J","V","S","D")</f>
        <v>J</v>
      </c>
      <c r="R1518">
        <f>WEEKNUM(datos_siembra[[#This Row],[Date]],2)-WEEKNUM(DATE(YEAR(datos_siembra[[#This Row],[Date]]),MONTH(datos_siembra[[#This Row],[Date]]),1))+1</f>
        <v>4</v>
      </c>
      <c r="S1518">
        <f>MONTH(datos_siembra[[#This Row],[Date]])</f>
        <v>9</v>
      </c>
      <c r="T1518" t="str" cm="1">
        <f t="array" ref="T1518">_xlfn.IFS(AND(N1518&lt;= 22, S1518=9), "SOWING",AND(N1518&lt;= 28, S1518=9), "COVERAGE",AND(N1518&lt;= 30, S1518=9), "FLUSH",AND(N1518&lt;= 11, S1518=10), "FLUSH",AND(N1518&lt;= 21, S1518=10), "PRODUCTION")</f>
        <v>COVERAGE</v>
      </c>
      <c r="U1518">
        <f>HOUR(datos_siembra[[#This Row],[Hour]])</f>
        <v>11</v>
      </c>
      <c r="V1518" cm="1">
        <f t="array" ref="V1518">_xlfn.IFS(AND(N1518&lt;= 22, S1518=9), N1518-7,AND(N1518&lt;= 28, S1518=9), N1518-25,AND(N1518&lt;= 30, S1518=9), N1518-28,AND(N1518&lt;= 11, S1518=10), N1518+2,AND(N1518&lt;= 21, S1518=10), N1518-11)</f>
        <v>1</v>
      </c>
    </row>
    <row r="1519" spans="1:22" x14ac:dyDescent="0.35">
      <c r="A1519" s="4">
        <v>45561</v>
      </c>
      <c r="B1519" s="5">
        <v>0.49291666666666667</v>
      </c>
      <c r="C1519">
        <v>81.3</v>
      </c>
      <c r="D1519">
        <v>79.599999999999994</v>
      </c>
      <c r="E1519">
        <v>80.7</v>
      </c>
      <c r="F1519">
        <v>79.599999999999994</v>
      </c>
      <c r="G1519">
        <v>0</v>
      </c>
      <c r="H1519">
        <v>0</v>
      </c>
      <c r="I1519">
        <v>0</v>
      </c>
      <c r="J1519">
        <v>0</v>
      </c>
      <c r="K1519">
        <v>72.2</v>
      </c>
      <c r="L1519">
        <v>71.099999999999994</v>
      </c>
      <c r="M1519">
        <v>80.23</v>
      </c>
      <c r="N1519">
        <v>26</v>
      </c>
      <c r="O1519">
        <v>2</v>
      </c>
      <c r="P1519">
        <f>MOD(DAY(datos_siembra[[#This Row],[Date]]),7)</f>
        <v>5</v>
      </c>
      <c r="Q1519" t="str">
        <f>CHOOSE(WEEKDAY(datos_siembra[[#This Row],[Date]],2),"L","M","X","J","V","S","D")</f>
        <v>J</v>
      </c>
      <c r="R1519">
        <f>WEEKNUM(datos_siembra[[#This Row],[Date]],2)-WEEKNUM(DATE(YEAR(datos_siembra[[#This Row],[Date]]),MONTH(datos_siembra[[#This Row],[Date]]),1))+1</f>
        <v>4</v>
      </c>
      <c r="S1519">
        <f>MONTH(datos_siembra[[#This Row],[Date]])</f>
        <v>9</v>
      </c>
      <c r="T1519" t="str" cm="1">
        <f t="array" ref="T1519">_xlfn.IFS(AND(N1519&lt;= 22, S1519=9), "SOWING",AND(N1519&lt;= 28, S1519=9), "COVERAGE",AND(N1519&lt;= 30, S1519=9), "FLUSH",AND(N1519&lt;= 11, S1519=10), "FLUSH",AND(N1519&lt;= 21, S1519=10), "PRODUCTION")</f>
        <v>COVERAGE</v>
      </c>
      <c r="U1519">
        <f>HOUR(datos_siembra[[#This Row],[Hour]])</f>
        <v>11</v>
      </c>
      <c r="V1519" cm="1">
        <f t="array" ref="V1519">_xlfn.IFS(AND(N1519&lt;= 22, S1519=9), N1519-7,AND(N1519&lt;= 28, S1519=9), N1519-25,AND(N1519&lt;= 30, S1519=9), N1519-28,AND(N1519&lt;= 11, S1519=10), N1519+2,AND(N1519&lt;= 21, S1519=10), N1519-11)</f>
        <v>1</v>
      </c>
    </row>
    <row r="1520" spans="1:22" x14ac:dyDescent="0.35">
      <c r="A1520" s="4">
        <v>45561</v>
      </c>
      <c r="B1520" s="5">
        <v>0.49986111111111109</v>
      </c>
      <c r="C1520">
        <v>81.3</v>
      </c>
      <c r="D1520">
        <v>79.400000000000006</v>
      </c>
      <c r="E1520">
        <v>80.599999999999994</v>
      </c>
      <c r="F1520">
        <v>79.599999999999994</v>
      </c>
      <c r="G1520">
        <v>0</v>
      </c>
      <c r="H1520">
        <v>0</v>
      </c>
      <c r="I1520">
        <v>0</v>
      </c>
      <c r="J1520">
        <v>0</v>
      </c>
      <c r="K1520">
        <v>72.3</v>
      </c>
      <c r="L1520">
        <v>71.400000000000006</v>
      </c>
      <c r="M1520">
        <v>80.489999999999995</v>
      </c>
      <c r="N1520">
        <v>26</v>
      </c>
      <c r="O1520">
        <v>2</v>
      </c>
      <c r="P1520">
        <f>MOD(DAY(datos_siembra[[#This Row],[Date]]),7)</f>
        <v>5</v>
      </c>
      <c r="Q1520" t="str">
        <f>CHOOSE(WEEKDAY(datos_siembra[[#This Row],[Date]],2),"L","M","X","J","V","S","D")</f>
        <v>J</v>
      </c>
      <c r="R1520">
        <f>WEEKNUM(datos_siembra[[#This Row],[Date]],2)-WEEKNUM(DATE(YEAR(datos_siembra[[#This Row],[Date]]),MONTH(datos_siembra[[#This Row],[Date]]),1))+1</f>
        <v>4</v>
      </c>
      <c r="S1520">
        <f>MONTH(datos_siembra[[#This Row],[Date]])</f>
        <v>9</v>
      </c>
      <c r="T1520" t="str" cm="1">
        <f t="array" ref="T1520">_xlfn.IFS(AND(N1520&lt;= 22, S1520=9), "SOWING",AND(N1520&lt;= 28, S1520=9), "COVERAGE",AND(N1520&lt;= 30, S1520=9), "FLUSH",AND(N1520&lt;= 11, S1520=10), "FLUSH",AND(N1520&lt;= 21, S1520=10), "PRODUCTION")</f>
        <v>COVERAGE</v>
      </c>
      <c r="U1520">
        <f>HOUR(datos_siembra[[#This Row],[Hour]])</f>
        <v>11</v>
      </c>
      <c r="V1520" cm="1">
        <f t="array" ref="V1520">_xlfn.IFS(AND(N1520&lt;= 22, S1520=9), N1520-7,AND(N1520&lt;= 28, S1520=9), N1520-25,AND(N1520&lt;= 30, S1520=9), N1520-28,AND(N1520&lt;= 11, S1520=10), N1520+2,AND(N1520&lt;= 21, S1520=10), N1520-11)</f>
        <v>1</v>
      </c>
    </row>
    <row r="1521" spans="1:22" x14ac:dyDescent="0.35">
      <c r="A1521" s="4">
        <v>45561</v>
      </c>
      <c r="B1521" s="5">
        <v>0.50681712962962966</v>
      </c>
      <c r="C1521">
        <v>81.2</v>
      </c>
      <c r="D1521">
        <v>79.7</v>
      </c>
      <c r="E1521">
        <v>80.7</v>
      </c>
      <c r="F1521">
        <v>79.599999999999994</v>
      </c>
      <c r="G1521">
        <v>0</v>
      </c>
      <c r="H1521">
        <v>0</v>
      </c>
      <c r="I1521">
        <v>0</v>
      </c>
      <c r="J1521">
        <v>0</v>
      </c>
      <c r="K1521">
        <v>72.3</v>
      </c>
      <c r="L1521">
        <v>71.5</v>
      </c>
      <c r="M1521">
        <v>80.180000000000007</v>
      </c>
      <c r="N1521">
        <v>26</v>
      </c>
      <c r="O1521">
        <v>2</v>
      </c>
      <c r="P1521">
        <f>MOD(DAY(datos_siembra[[#This Row],[Date]]),7)</f>
        <v>5</v>
      </c>
      <c r="Q1521" t="str">
        <f>CHOOSE(WEEKDAY(datos_siembra[[#This Row],[Date]],2),"L","M","X","J","V","S","D")</f>
        <v>J</v>
      </c>
      <c r="R1521">
        <f>WEEKNUM(datos_siembra[[#This Row],[Date]],2)-WEEKNUM(DATE(YEAR(datos_siembra[[#This Row],[Date]]),MONTH(datos_siembra[[#This Row],[Date]]),1))+1</f>
        <v>4</v>
      </c>
      <c r="S1521">
        <f>MONTH(datos_siembra[[#This Row],[Date]])</f>
        <v>9</v>
      </c>
      <c r="T1521" t="str" cm="1">
        <f t="array" ref="T1521">_xlfn.IFS(AND(N1521&lt;= 22, S1521=9), "SOWING",AND(N1521&lt;= 28, S1521=9), "COVERAGE",AND(N1521&lt;= 30, S1521=9), "FLUSH",AND(N1521&lt;= 11, S1521=10), "FLUSH",AND(N1521&lt;= 21, S1521=10), "PRODUCTION")</f>
        <v>COVERAGE</v>
      </c>
      <c r="U1521">
        <f>HOUR(datos_siembra[[#This Row],[Hour]])</f>
        <v>12</v>
      </c>
      <c r="V1521" cm="1">
        <f t="array" ref="V1521">_xlfn.IFS(AND(N1521&lt;= 22, S1521=9), N1521-7,AND(N1521&lt;= 28, S1521=9), N1521-25,AND(N1521&lt;= 30, S1521=9), N1521-28,AND(N1521&lt;= 11, S1521=10), N1521+2,AND(N1521&lt;= 21, S1521=10), N1521-11)</f>
        <v>1</v>
      </c>
    </row>
    <row r="1522" spans="1:22" x14ac:dyDescent="0.35">
      <c r="A1522" s="4">
        <v>45561</v>
      </c>
      <c r="B1522" s="5">
        <v>0.51376157407407408</v>
      </c>
      <c r="C1522">
        <v>81.3</v>
      </c>
      <c r="D1522">
        <v>79.7</v>
      </c>
      <c r="E1522">
        <v>80.7</v>
      </c>
      <c r="F1522">
        <v>79.599999999999994</v>
      </c>
      <c r="G1522">
        <v>0</v>
      </c>
      <c r="H1522">
        <v>0</v>
      </c>
      <c r="I1522">
        <v>0</v>
      </c>
      <c r="J1522">
        <v>0</v>
      </c>
      <c r="K1522">
        <v>72.400000000000006</v>
      </c>
      <c r="L1522">
        <v>71.7</v>
      </c>
      <c r="M1522">
        <v>80.23</v>
      </c>
      <c r="N1522">
        <v>26</v>
      </c>
      <c r="O1522">
        <v>2</v>
      </c>
      <c r="P1522">
        <f>MOD(DAY(datos_siembra[[#This Row],[Date]]),7)</f>
        <v>5</v>
      </c>
      <c r="Q1522" t="str">
        <f>CHOOSE(WEEKDAY(datos_siembra[[#This Row],[Date]],2),"L","M","X","J","V","S","D")</f>
        <v>J</v>
      </c>
      <c r="R1522">
        <f>WEEKNUM(datos_siembra[[#This Row],[Date]],2)-WEEKNUM(DATE(YEAR(datos_siembra[[#This Row],[Date]]),MONTH(datos_siembra[[#This Row],[Date]]),1))+1</f>
        <v>4</v>
      </c>
      <c r="S1522">
        <f>MONTH(datos_siembra[[#This Row],[Date]])</f>
        <v>9</v>
      </c>
      <c r="T1522" t="str" cm="1">
        <f t="array" ref="T1522">_xlfn.IFS(AND(N1522&lt;= 22, S1522=9), "SOWING",AND(N1522&lt;= 28, S1522=9), "COVERAGE",AND(N1522&lt;= 30, S1522=9), "FLUSH",AND(N1522&lt;= 11, S1522=10), "FLUSH",AND(N1522&lt;= 21, S1522=10), "PRODUCTION")</f>
        <v>COVERAGE</v>
      </c>
      <c r="U1522">
        <f>HOUR(datos_siembra[[#This Row],[Hour]])</f>
        <v>12</v>
      </c>
      <c r="V1522" cm="1">
        <f t="array" ref="V1522">_xlfn.IFS(AND(N1522&lt;= 22, S1522=9), N1522-7,AND(N1522&lt;= 28, S1522=9), N1522-25,AND(N1522&lt;= 30, S1522=9), N1522-28,AND(N1522&lt;= 11, S1522=10), N1522+2,AND(N1522&lt;= 21, S1522=10), N1522-11)</f>
        <v>1</v>
      </c>
    </row>
    <row r="1523" spans="1:22" x14ac:dyDescent="0.35">
      <c r="A1523" s="4">
        <v>45561</v>
      </c>
      <c r="B1523" s="5">
        <v>0.5207060185185185</v>
      </c>
      <c r="C1523">
        <v>81.400000000000006</v>
      </c>
      <c r="D1523">
        <v>79.599999999999994</v>
      </c>
      <c r="E1523">
        <v>80.7</v>
      </c>
      <c r="F1523">
        <v>79.599999999999994</v>
      </c>
      <c r="G1523">
        <v>0</v>
      </c>
      <c r="H1523">
        <v>0</v>
      </c>
      <c r="I1523">
        <v>0</v>
      </c>
      <c r="J1523">
        <v>0</v>
      </c>
      <c r="K1523">
        <v>72.5</v>
      </c>
      <c r="L1523">
        <v>71.8</v>
      </c>
      <c r="M1523">
        <v>79.67</v>
      </c>
      <c r="N1523">
        <v>26</v>
      </c>
      <c r="O1523">
        <v>2</v>
      </c>
      <c r="P1523">
        <f>MOD(DAY(datos_siembra[[#This Row],[Date]]),7)</f>
        <v>5</v>
      </c>
      <c r="Q1523" t="str">
        <f>CHOOSE(WEEKDAY(datos_siembra[[#This Row],[Date]],2),"L","M","X","J","V","S","D")</f>
        <v>J</v>
      </c>
      <c r="R1523">
        <f>WEEKNUM(datos_siembra[[#This Row],[Date]],2)-WEEKNUM(DATE(YEAR(datos_siembra[[#This Row],[Date]]),MONTH(datos_siembra[[#This Row],[Date]]),1))+1</f>
        <v>4</v>
      </c>
      <c r="S1523">
        <f>MONTH(datos_siembra[[#This Row],[Date]])</f>
        <v>9</v>
      </c>
      <c r="T1523" t="str" cm="1">
        <f t="array" ref="T1523">_xlfn.IFS(AND(N1523&lt;= 22, S1523=9), "SOWING",AND(N1523&lt;= 28, S1523=9), "COVERAGE",AND(N1523&lt;= 30, S1523=9), "FLUSH",AND(N1523&lt;= 11, S1523=10), "FLUSH",AND(N1523&lt;= 21, S1523=10), "PRODUCTION")</f>
        <v>COVERAGE</v>
      </c>
      <c r="U1523">
        <f>HOUR(datos_siembra[[#This Row],[Hour]])</f>
        <v>12</v>
      </c>
      <c r="V1523" cm="1">
        <f t="array" ref="V1523">_xlfn.IFS(AND(N1523&lt;= 22, S1523=9), N1523-7,AND(N1523&lt;= 28, S1523=9), N1523-25,AND(N1523&lt;= 30, S1523=9), N1523-28,AND(N1523&lt;= 11, S1523=10), N1523+2,AND(N1523&lt;= 21, S1523=10), N1523-11)</f>
        <v>1</v>
      </c>
    </row>
    <row r="1524" spans="1:22" x14ac:dyDescent="0.35">
      <c r="A1524" s="4">
        <v>45561</v>
      </c>
      <c r="B1524" s="5">
        <v>0.52766203703703707</v>
      </c>
      <c r="C1524">
        <v>81.3</v>
      </c>
      <c r="D1524">
        <v>79.599999999999994</v>
      </c>
      <c r="E1524">
        <v>80.7</v>
      </c>
      <c r="F1524">
        <v>79.5</v>
      </c>
      <c r="G1524">
        <v>0</v>
      </c>
      <c r="H1524">
        <v>0</v>
      </c>
      <c r="I1524">
        <v>0</v>
      </c>
      <c r="J1524">
        <v>0</v>
      </c>
      <c r="K1524">
        <v>72.599999999999994</v>
      </c>
      <c r="L1524">
        <v>71.900000000000006</v>
      </c>
      <c r="M1524">
        <v>80.430000000000007</v>
      </c>
      <c r="N1524">
        <v>26</v>
      </c>
      <c r="O1524">
        <v>2</v>
      </c>
      <c r="P1524">
        <f>MOD(DAY(datos_siembra[[#This Row],[Date]]),7)</f>
        <v>5</v>
      </c>
      <c r="Q1524" t="str">
        <f>CHOOSE(WEEKDAY(datos_siembra[[#This Row],[Date]],2),"L","M","X","J","V","S","D")</f>
        <v>J</v>
      </c>
      <c r="R1524">
        <f>WEEKNUM(datos_siembra[[#This Row],[Date]],2)-WEEKNUM(DATE(YEAR(datos_siembra[[#This Row],[Date]]),MONTH(datos_siembra[[#This Row],[Date]]),1))+1</f>
        <v>4</v>
      </c>
      <c r="S1524">
        <f>MONTH(datos_siembra[[#This Row],[Date]])</f>
        <v>9</v>
      </c>
      <c r="T1524" t="str" cm="1">
        <f t="array" ref="T1524">_xlfn.IFS(AND(N1524&lt;= 22, S1524=9), "SOWING",AND(N1524&lt;= 28, S1524=9), "COVERAGE",AND(N1524&lt;= 30, S1524=9), "FLUSH",AND(N1524&lt;= 11, S1524=10), "FLUSH",AND(N1524&lt;= 21, S1524=10), "PRODUCTION")</f>
        <v>COVERAGE</v>
      </c>
      <c r="U1524">
        <f>HOUR(datos_siembra[[#This Row],[Hour]])</f>
        <v>12</v>
      </c>
      <c r="V1524" cm="1">
        <f t="array" ref="V1524">_xlfn.IFS(AND(N1524&lt;= 22, S1524=9), N1524-7,AND(N1524&lt;= 28, S1524=9), N1524-25,AND(N1524&lt;= 30, S1524=9), N1524-28,AND(N1524&lt;= 11, S1524=10), N1524+2,AND(N1524&lt;= 21, S1524=10), N1524-11)</f>
        <v>1</v>
      </c>
    </row>
    <row r="1525" spans="1:22" x14ac:dyDescent="0.35">
      <c r="A1525" s="4">
        <v>45561</v>
      </c>
      <c r="B1525" s="5">
        <v>0.53460648148148149</v>
      </c>
      <c r="C1525">
        <v>81.400000000000006</v>
      </c>
      <c r="D1525">
        <v>79.599999999999994</v>
      </c>
      <c r="E1525">
        <v>80.7</v>
      </c>
      <c r="F1525">
        <v>79.599999999999994</v>
      </c>
      <c r="G1525">
        <v>0</v>
      </c>
      <c r="H1525">
        <v>0</v>
      </c>
      <c r="I1525">
        <v>0</v>
      </c>
      <c r="J1525">
        <v>0</v>
      </c>
      <c r="K1525">
        <v>72.7</v>
      </c>
      <c r="L1525">
        <v>72.099999999999994</v>
      </c>
      <c r="M1525">
        <v>80.290000000000006</v>
      </c>
      <c r="N1525">
        <v>26</v>
      </c>
      <c r="O1525">
        <v>2</v>
      </c>
      <c r="P1525">
        <f>MOD(DAY(datos_siembra[[#This Row],[Date]]),7)</f>
        <v>5</v>
      </c>
      <c r="Q1525" t="str">
        <f>CHOOSE(WEEKDAY(datos_siembra[[#This Row],[Date]],2),"L","M","X","J","V","S","D")</f>
        <v>J</v>
      </c>
      <c r="R1525">
        <f>WEEKNUM(datos_siembra[[#This Row],[Date]],2)-WEEKNUM(DATE(YEAR(datos_siembra[[#This Row],[Date]]),MONTH(datos_siembra[[#This Row],[Date]]),1))+1</f>
        <v>4</v>
      </c>
      <c r="S1525">
        <f>MONTH(datos_siembra[[#This Row],[Date]])</f>
        <v>9</v>
      </c>
      <c r="T1525" t="str" cm="1">
        <f t="array" ref="T1525">_xlfn.IFS(AND(N1525&lt;= 22, S1525=9), "SOWING",AND(N1525&lt;= 28, S1525=9), "COVERAGE",AND(N1525&lt;= 30, S1525=9), "FLUSH",AND(N1525&lt;= 11, S1525=10), "FLUSH",AND(N1525&lt;= 21, S1525=10), "PRODUCTION")</f>
        <v>COVERAGE</v>
      </c>
      <c r="U1525">
        <f>HOUR(datos_siembra[[#This Row],[Hour]])</f>
        <v>12</v>
      </c>
      <c r="V1525" cm="1">
        <f t="array" ref="V1525">_xlfn.IFS(AND(N1525&lt;= 22, S1525=9), N1525-7,AND(N1525&lt;= 28, S1525=9), N1525-25,AND(N1525&lt;= 30, S1525=9), N1525-28,AND(N1525&lt;= 11, S1525=10), N1525+2,AND(N1525&lt;= 21, S1525=10), N1525-11)</f>
        <v>1</v>
      </c>
    </row>
    <row r="1526" spans="1:22" x14ac:dyDescent="0.35">
      <c r="A1526" s="4">
        <v>45561</v>
      </c>
      <c r="B1526" s="5">
        <v>0.54155092592592591</v>
      </c>
      <c r="C1526">
        <v>81.400000000000006</v>
      </c>
      <c r="D1526">
        <v>79.599999999999994</v>
      </c>
      <c r="E1526">
        <v>80.8</v>
      </c>
      <c r="F1526">
        <v>79.599999999999994</v>
      </c>
      <c r="G1526">
        <v>0</v>
      </c>
      <c r="H1526">
        <v>0</v>
      </c>
      <c r="I1526">
        <v>0</v>
      </c>
      <c r="J1526">
        <v>0</v>
      </c>
      <c r="K1526">
        <v>72.8</v>
      </c>
      <c r="L1526">
        <v>72.3</v>
      </c>
      <c r="M1526">
        <v>80.319999999999993</v>
      </c>
      <c r="N1526">
        <v>26</v>
      </c>
      <c r="O1526">
        <v>2</v>
      </c>
      <c r="P1526">
        <f>MOD(DAY(datos_siembra[[#This Row],[Date]]),7)</f>
        <v>5</v>
      </c>
      <c r="Q1526" t="str">
        <f>CHOOSE(WEEKDAY(datos_siembra[[#This Row],[Date]],2),"L","M","X","J","V","S","D")</f>
        <v>J</v>
      </c>
      <c r="R1526">
        <f>WEEKNUM(datos_siembra[[#This Row],[Date]],2)-WEEKNUM(DATE(YEAR(datos_siembra[[#This Row],[Date]]),MONTH(datos_siembra[[#This Row],[Date]]),1))+1</f>
        <v>4</v>
      </c>
      <c r="S1526">
        <f>MONTH(datos_siembra[[#This Row],[Date]])</f>
        <v>9</v>
      </c>
      <c r="T1526" t="str" cm="1">
        <f t="array" ref="T1526">_xlfn.IFS(AND(N1526&lt;= 22, S1526=9), "SOWING",AND(N1526&lt;= 28, S1526=9), "COVERAGE",AND(N1526&lt;= 30, S1526=9), "FLUSH",AND(N1526&lt;= 11, S1526=10), "FLUSH",AND(N1526&lt;= 21, S1526=10), "PRODUCTION")</f>
        <v>COVERAGE</v>
      </c>
      <c r="U1526">
        <f>HOUR(datos_siembra[[#This Row],[Hour]])</f>
        <v>12</v>
      </c>
      <c r="V1526" cm="1">
        <f t="array" ref="V1526">_xlfn.IFS(AND(N1526&lt;= 22, S1526=9), N1526-7,AND(N1526&lt;= 28, S1526=9), N1526-25,AND(N1526&lt;= 30, S1526=9), N1526-28,AND(N1526&lt;= 11, S1526=10), N1526+2,AND(N1526&lt;= 21, S1526=10), N1526-11)</f>
        <v>1</v>
      </c>
    </row>
    <row r="1527" spans="1:22" x14ac:dyDescent="0.35">
      <c r="A1527" s="4">
        <v>45561</v>
      </c>
      <c r="B1527" s="5">
        <v>0.54849537037037033</v>
      </c>
      <c r="C1527">
        <v>81.400000000000006</v>
      </c>
      <c r="D1527">
        <v>79.599999999999994</v>
      </c>
      <c r="E1527">
        <v>80.7</v>
      </c>
      <c r="F1527">
        <v>79.599999999999994</v>
      </c>
      <c r="G1527">
        <v>0</v>
      </c>
      <c r="H1527">
        <v>0</v>
      </c>
      <c r="I1527">
        <v>0</v>
      </c>
      <c r="J1527">
        <v>0</v>
      </c>
      <c r="K1527">
        <v>72.8</v>
      </c>
      <c r="L1527">
        <v>72.3</v>
      </c>
      <c r="M1527">
        <v>79.67</v>
      </c>
      <c r="N1527">
        <v>26</v>
      </c>
      <c r="O1527">
        <v>2</v>
      </c>
      <c r="P1527">
        <f>MOD(DAY(datos_siembra[[#This Row],[Date]]),7)</f>
        <v>5</v>
      </c>
      <c r="Q1527" t="str">
        <f>CHOOSE(WEEKDAY(datos_siembra[[#This Row],[Date]],2),"L","M","X","J","V","S","D")</f>
        <v>J</v>
      </c>
      <c r="R1527">
        <f>WEEKNUM(datos_siembra[[#This Row],[Date]],2)-WEEKNUM(DATE(YEAR(datos_siembra[[#This Row],[Date]]),MONTH(datos_siembra[[#This Row],[Date]]),1))+1</f>
        <v>4</v>
      </c>
      <c r="S1527">
        <f>MONTH(datos_siembra[[#This Row],[Date]])</f>
        <v>9</v>
      </c>
      <c r="T1527" t="str" cm="1">
        <f t="array" ref="T1527">_xlfn.IFS(AND(N1527&lt;= 22, S1527=9), "SOWING",AND(N1527&lt;= 28, S1527=9), "COVERAGE",AND(N1527&lt;= 30, S1527=9), "FLUSH",AND(N1527&lt;= 11, S1527=10), "FLUSH",AND(N1527&lt;= 21, S1527=10), "PRODUCTION")</f>
        <v>COVERAGE</v>
      </c>
      <c r="U1527">
        <f>HOUR(datos_siembra[[#This Row],[Hour]])</f>
        <v>13</v>
      </c>
      <c r="V1527" cm="1">
        <f t="array" ref="V1527">_xlfn.IFS(AND(N1527&lt;= 22, S1527=9), N1527-7,AND(N1527&lt;= 28, S1527=9), N1527-25,AND(N1527&lt;= 30, S1527=9), N1527-28,AND(N1527&lt;= 11, S1527=10), N1527+2,AND(N1527&lt;= 21, S1527=10), N1527-11)</f>
        <v>1</v>
      </c>
    </row>
    <row r="1528" spans="1:22" x14ac:dyDescent="0.35">
      <c r="A1528" s="4">
        <v>45561</v>
      </c>
      <c r="B1528" s="5">
        <v>0.5554513888888889</v>
      </c>
      <c r="C1528">
        <v>81.400000000000006</v>
      </c>
      <c r="D1528">
        <v>79.599999999999994</v>
      </c>
      <c r="E1528">
        <v>80.599999999999994</v>
      </c>
      <c r="F1528">
        <v>79.7</v>
      </c>
      <c r="G1528">
        <v>0</v>
      </c>
      <c r="H1528">
        <v>0</v>
      </c>
      <c r="I1528">
        <v>0</v>
      </c>
      <c r="J1528">
        <v>0</v>
      </c>
      <c r="K1528">
        <v>73</v>
      </c>
      <c r="L1528">
        <v>72.400000000000006</v>
      </c>
      <c r="M1528">
        <v>80.290000000000006</v>
      </c>
      <c r="N1528">
        <v>26</v>
      </c>
      <c r="O1528">
        <v>2</v>
      </c>
      <c r="P1528">
        <f>MOD(DAY(datos_siembra[[#This Row],[Date]]),7)</f>
        <v>5</v>
      </c>
      <c r="Q1528" t="str">
        <f>CHOOSE(WEEKDAY(datos_siembra[[#This Row],[Date]],2),"L","M","X","J","V","S","D")</f>
        <v>J</v>
      </c>
      <c r="R1528">
        <f>WEEKNUM(datos_siembra[[#This Row],[Date]],2)-WEEKNUM(DATE(YEAR(datos_siembra[[#This Row],[Date]]),MONTH(datos_siembra[[#This Row],[Date]]),1))+1</f>
        <v>4</v>
      </c>
      <c r="S1528">
        <f>MONTH(datos_siembra[[#This Row],[Date]])</f>
        <v>9</v>
      </c>
      <c r="T1528" t="str" cm="1">
        <f t="array" ref="T1528">_xlfn.IFS(AND(N1528&lt;= 22, S1528=9), "SOWING",AND(N1528&lt;= 28, S1528=9), "COVERAGE",AND(N1528&lt;= 30, S1528=9), "FLUSH",AND(N1528&lt;= 11, S1528=10), "FLUSH",AND(N1528&lt;= 21, S1528=10), "PRODUCTION")</f>
        <v>COVERAGE</v>
      </c>
      <c r="U1528">
        <f>HOUR(datos_siembra[[#This Row],[Hour]])</f>
        <v>13</v>
      </c>
      <c r="V1528" cm="1">
        <f t="array" ref="V1528">_xlfn.IFS(AND(N1528&lt;= 22, S1528=9), N1528-7,AND(N1528&lt;= 28, S1528=9), N1528-25,AND(N1528&lt;= 30, S1528=9), N1528-28,AND(N1528&lt;= 11, S1528=10), N1528+2,AND(N1528&lt;= 21, S1528=10), N1528-11)</f>
        <v>1</v>
      </c>
    </row>
    <row r="1529" spans="1:22" x14ac:dyDescent="0.35">
      <c r="A1529" s="4">
        <v>45561</v>
      </c>
      <c r="B1529" s="5">
        <v>0.56239583333333332</v>
      </c>
      <c r="C1529">
        <v>81.5</v>
      </c>
      <c r="D1529">
        <v>79.7</v>
      </c>
      <c r="E1529">
        <v>80.7</v>
      </c>
      <c r="F1529">
        <v>79.599999999999994</v>
      </c>
      <c r="G1529">
        <v>0</v>
      </c>
      <c r="H1529">
        <v>0</v>
      </c>
      <c r="I1529">
        <v>0</v>
      </c>
      <c r="J1529">
        <v>0</v>
      </c>
      <c r="K1529">
        <v>73</v>
      </c>
      <c r="L1529">
        <v>72.5</v>
      </c>
      <c r="M1529">
        <v>80.349999999999994</v>
      </c>
      <c r="N1529">
        <v>26</v>
      </c>
      <c r="O1529">
        <v>2</v>
      </c>
      <c r="P1529">
        <f>MOD(DAY(datos_siembra[[#This Row],[Date]]),7)</f>
        <v>5</v>
      </c>
      <c r="Q1529" t="str">
        <f>CHOOSE(WEEKDAY(datos_siembra[[#This Row],[Date]],2),"L","M","X","J","V","S","D")</f>
        <v>J</v>
      </c>
      <c r="R1529">
        <f>WEEKNUM(datos_siembra[[#This Row],[Date]],2)-WEEKNUM(DATE(YEAR(datos_siembra[[#This Row],[Date]]),MONTH(datos_siembra[[#This Row],[Date]]),1))+1</f>
        <v>4</v>
      </c>
      <c r="S1529">
        <f>MONTH(datos_siembra[[#This Row],[Date]])</f>
        <v>9</v>
      </c>
      <c r="T1529" t="str" cm="1">
        <f t="array" ref="T1529">_xlfn.IFS(AND(N1529&lt;= 22, S1529=9), "SOWING",AND(N1529&lt;= 28, S1529=9), "COVERAGE",AND(N1529&lt;= 30, S1529=9), "FLUSH",AND(N1529&lt;= 11, S1529=10), "FLUSH",AND(N1529&lt;= 21, S1529=10), "PRODUCTION")</f>
        <v>COVERAGE</v>
      </c>
      <c r="U1529">
        <f>HOUR(datos_siembra[[#This Row],[Hour]])</f>
        <v>13</v>
      </c>
      <c r="V1529" cm="1">
        <f t="array" ref="V1529">_xlfn.IFS(AND(N1529&lt;= 22, S1529=9), N1529-7,AND(N1529&lt;= 28, S1529=9), N1529-25,AND(N1529&lt;= 30, S1529=9), N1529-28,AND(N1529&lt;= 11, S1529=10), N1529+2,AND(N1529&lt;= 21, S1529=10), N1529-11)</f>
        <v>1</v>
      </c>
    </row>
    <row r="1530" spans="1:22" x14ac:dyDescent="0.35">
      <c r="A1530" s="4">
        <v>45561</v>
      </c>
      <c r="B1530" s="5">
        <v>0.56934027777777774</v>
      </c>
      <c r="C1530">
        <v>81.3</v>
      </c>
      <c r="D1530">
        <v>79.7</v>
      </c>
      <c r="E1530">
        <v>80.8</v>
      </c>
      <c r="F1530">
        <v>79.5</v>
      </c>
      <c r="G1530">
        <v>0</v>
      </c>
      <c r="H1530">
        <v>0</v>
      </c>
      <c r="I1530">
        <v>0</v>
      </c>
      <c r="J1530">
        <v>0</v>
      </c>
      <c r="K1530">
        <v>73.2</v>
      </c>
      <c r="L1530">
        <v>72.599999999999994</v>
      </c>
      <c r="M1530">
        <v>80.260000000000005</v>
      </c>
      <c r="N1530">
        <v>26</v>
      </c>
      <c r="O1530">
        <v>2</v>
      </c>
      <c r="P1530">
        <f>MOD(DAY(datos_siembra[[#This Row],[Date]]),7)</f>
        <v>5</v>
      </c>
      <c r="Q1530" t="str">
        <f>CHOOSE(WEEKDAY(datos_siembra[[#This Row],[Date]],2),"L","M","X","J","V","S","D")</f>
        <v>J</v>
      </c>
      <c r="R1530">
        <f>WEEKNUM(datos_siembra[[#This Row],[Date]],2)-WEEKNUM(DATE(YEAR(datos_siembra[[#This Row],[Date]]),MONTH(datos_siembra[[#This Row],[Date]]),1))+1</f>
        <v>4</v>
      </c>
      <c r="S1530">
        <f>MONTH(datos_siembra[[#This Row],[Date]])</f>
        <v>9</v>
      </c>
      <c r="T1530" t="str" cm="1">
        <f t="array" ref="T1530">_xlfn.IFS(AND(N1530&lt;= 22, S1530=9), "SOWING",AND(N1530&lt;= 28, S1530=9), "COVERAGE",AND(N1530&lt;= 30, S1530=9), "FLUSH",AND(N1530&lt;= 11, S1530=10), "FLUSH",AND(N1530&lt;= 21, S1530=10), "PRODUCTION")</f>
        <v>COVERAGE</v>
      </c>
      <c r="U1530">
        <f>HOUR(datos_siembra[[#This Row],[Hour]])</f>
        <v>13</v>
      </c>
      <c r="V1530" cm="1">
        <f t="array" ref="V1530">_xlfn.IFS(AND(N1530&lt;= 22, S1530=9), N1530-7,AND(N1530&lt;= 28, S1530=9), N1530-25,AND(N1530&lt;= 30, S1530=9), N1530-28,AND(N1530&lt;= 11, S1530=10), N1530+2,AND(N1530&lt;= 21, S1530=10), N1530-11)</f>
        <v>1</v>
      </c>
    </row>
    <row r="1531" spans="1:22" x14ac:dyDescent="0.35">
      <c r="A1531" s="4">
        <v>45561</v>
      </c>
      <c r="B1531" s="5">
        <v>0.57629629629629631</v>
      </c>
      <c r="C1531">
        <v>81.400000000000006</v>
      </c>
      <c r="D1531">
        <v>79.7</v>
      </c>
      <c r="E1531">
        <v>80.900000000000006</v>
      </c>
      <c r="F1531">
        <v>79.400000000000006</v>
      </c>
      <c r="G1531">
        <v>0</v>
      </c>
      <c r="H1531">
        <v>0</v>
      </c>
      <c r="I1531">
        <v>0</v>
      </c>
      <c r="J1531">
        <v>0</v>
      </c>
      <c r="K1531">
        <v>73.3</v>
      </c>
      <c r="L1531">
        <v>72.599999999999994</v>
      </c>
      <c r="M1531">
        <v>80.260000000000005</v>
      </c>
      <c r="N1531">
        <v>26</v>
      </c>
      <c r="O1531">
        <v>2</v>
      </c>
      <c r="P1531">
        <f>MOD(DAY(datos_siembra[[#This Row],[Date]]),7)</f>
        <v>5</v>
      </c>
      <c r="Q1531" t="str">
        <f>CHOOSE(WEEKDAY(datos_siembra[[#This Row],[Date]],2),"L","M","X","J","V","S","D")</f>
        <v>J</v>
      </c>
      <c r="R1531">
        <f>WEEKNUM(datos_siembra[[#This Row],[Date]],2)-WEEKNUM(DATE(YEAR(datos_siembra[[#This Row],[Date]]),MONTH(datos_siembra[[#This Row],[Date]]),1))+1</f>
        <v>4</v>
      </c>
      <c r="S1531">
        <f>MONTH(datos_siembra[[#This Row],[Date]])</f>
        <v>9</v>
      </c>
      <c r="T1531" t="str" cm="1">
        <f t="array" ref="T1531">_xlfn.IFS(AND(N1531&lt;= 22, S1531=9), "SOWING",AND(N1531&lt;= 28, S1531=9), "COVERAGE",AND(N1531&lt;= 30, S1531=9), "FLUSH",AND(N1531&lt;= 11, S1531=10), "FLUSH",AND(N1531&lt;= 21, S1531=10), "PRODUCTION")</f>
        <v>COVERAGE</v>
      </c>
      <c r="U1531">
        <f>HOUR(datos_siembra[[#This Row],[Hour]])</f>
        <v>13</v>
      </c>
      <c r="V1531" cm="1">
        <f t="array" ref="V1531">_xlfn.IFS(AND(N1531&lt;= 22, S1531=9), N1531-7,AND(N1531&lt;= 28, S1531=9), N1531-25,AND(N1531&lt;= 30, S1531=9), N1531-28,AND(N1531&lt;= 11, S1531=10), N1531+2,AND(N1531&lt;= 21, S1531=10), N1531-11)</f>
        <v>1</v>
      </c>
    </row>
    <row r="1532" spans="1:22" x14ac:dyDescent="0.35">
      <c r="A1532" s="4">
        <v>45561</v>
      </c>
      <c r="B1532" s="5">
        <v>0.58324074074074073</v>
      </c>
      <c r="C1532">
        <v>81.3</v>
      </c>
      <c r="D1532">
        <v>79.7</v>
      </c>
      <c r="E1532">
        <v>80.900000000000006</v>
      </c>
      <c r="F1532">
        <v>79.5</v>
      </c>
      <c r="G1532">
        <v>0</v>
      </c>
      <c r="H1532">
        <v>0</v>
      </c>
      <c r="I1532">
        <v>0</v>
      </c>
      <c r="J1532">
        <v>0</v>
      </c>
      <c r="K1532">
        <v>73.3</v>
      </c>
      <c r="L1532">
        <v>72.7</v>
      </c>
      <c r="M1532">
        <v>80.349999999999994</v>
      </c>
      <c r="N1532">
        <v>26</v>
      </c>
      <c r="O1532">
        <v>2</v>
      </c>
      <c r="P1532">
        <f>MOD(DAY(datos_siembra[[#This Row],[Date]]),7)</f>
        <v>5</v>
      </c>
      <c r="Q1532" t="str">
        <f>CHOOSE(WEEKDAY(datos_siembra[[#This Row],[Date]],2),"L","M","X","J","V","S","D")</f>
        <v>J</v>
      </c>
      <c r="R1532">
        <f>WEEKNUM(datos_siembra[[#This Row],[Date]],2)-WEEKNUM(DATE(YEAR(datos_siembra[[#This Row],[Date]]),MONTH(datos_siembra[[#This Row],[Date]]),1))+1</f>
        <v>4</v>
      </c>
      <c r="S1532">
        <f>MONTH(datos_siembra[[#This Row],[Date]])</f>
        <v>9</v>
      </c>
      <c r="T1532" t="str" cm="1">
        <f t="array" ref="T1532">_xlfn.IFS(AND(N1532&lt;= 22, S1532=9), "SOWING",AND(N1532&lt;= 28, S1532=9), "COVERAGE",AND(N1532&lt;= 30, S1532=9), "FLUSH",AND(N1532&lt;= 11, S1532=10), "FLUSH",AND(N1532&lt;= 21, S1532=10), "PRODUCTION")</f>
        <v>COVERAGE</v>
      </c>
      <c r="U1532">
        <f>HOUR(datos_siembra[[#This Row],[Hour]])</f>
        <v>13</v>
      </c>
      <c r="V1532" cm="1">
        <f t="array" ref="V1532">_xlfn.IFS(AND(N1532&lt;= 22, S1532=9), N1532-7,AND(N1532&lt;= 28, S1532=9), N1532-25,AND(N1532&lt;= 30, S1532=9), N1532-28,AND(N1532&lt;= 11, S1532=10), N1532+2,AND(N1532&lt;= 21, S1532=10), N1532-11)</f>
        <v>1</v>
      </c>
    </row>
    <row r="1533" spans="1:22" x14ac:dyDescent="0.35">
      <c r="A1533" s="4">
        <v>45561</v>
      </c>
      <c r="B1533" s="5">
        <v>0.59018518518518515</v>
      </c>
      <c r="C1533">
        <v>81.3</v>
      </c>
      <c r="D1533">
        <v>79.599999999999994</v>
      </c>
      <c r="E1533">
        <v>80.8</v>
      </c>
      <c r="F1533">
        <v>79.5</v>
      </c>
      <c r="G1533">
        <v>0</v>
      </c>
      <c r="H1533">
        <v>0</v>
      </c>
      <c r="I1533">
        <v>0</v>
      </c>
      <c r="J1533">
        <v>0</v>
      </c>
      <c r="K1533">
        <v>73.400000000000006</v>
      </c>
      <c r="L1533">
        <v>72.8</v>
      </c>
      <c r="M1533">
        <v>80.260000000000005</v>
      </c>
      <c r="N1533">
        <v>26</v>
      </c>
      <c r="O1533">
        <v>2</v>
      </c>
      <c r="P1533">
        <f>MOD(DAY(datos_siembra[[#This Row],[Date]]),7)</f>
        <v>5</v>
      </c>
      <c r="Q1533" t="str">
        <f>CHOOSE(WEEKDAY(datos_siembra[[#This Row],[Date]],2),"L","M","X","J","V","S","D")</f>
        <v>J</v>
      </c>
      <c r="R1533">
        <f>WEEKNUM(datos_siembra[[#This Row],[Date]],2)-WEEKNUM(DATE(YEAR(datos_siembra[[#This Row],[Date]]),MONTH(datos_siembra[[#This Row],[Date]]),1))+1</f>
        <v>4</v>
      </c>
      <c r="S1533">
        <f>MONTH(datos_siembra[[#This Row],[Date]])</f>
        <v>9</v>
      </c>
      <c r="T1533" t="str" cm="1">
        <f t="array" ref="T1533">_xlfn.IFS(AND(N1533&lt;= 22, S1533=9), "SOWING",AND(N1533&lt;= 28, S1533=9), "COVERAGE",AND(N1533&lt;= 30, S1533=9), "FLUSH",AND(N1533&lt;= 11, S1533=10), "FLUSH",AND(N1533&lt;= 21, S1533=10), "PRODUCTION")</f>
        <v>COVERAGE</v>
      </c>
      <c r="U1533">
        <f>HOUR(datos_siembra[[#This Row],[Hour]])</f>
        <v>14</v>
      </c>
      <c r="V1533" cm="1">
        <f t="array" ref="V1533">_xlfn.IFS(AND(N1533&lt;= 22, S1533=9), N1533-7,AND(N1533&lt;= 28, S1533=9), N1533-25,AND(N1533&lt;= 30, S1533=9), N1533-28,AND(N1533&lt;= 11, S1533=10), N1533+2,AND(N1533&lt;= 21, S1533=10), N1533-11)</f>
        <v>1</v>
      </c>
    </row>
    <row r="1534" spans="1:22" x14ac:dyDescent="0.35">
      <c r="A1534" s="4">
        <v>45561</v>
      </c>
      <c r="B1534" s="5">
        <v>0.59712962962962968</v>
      </c>
      <c r="C1534">
        <v>81.5</v>
      </c>
      <c r="D1534">
        <v>79.7</v>
      </c>
      <c r="E1534">
        <v>80.8</v>
      </c>
      <c r="F1534">
        <v>79.599999999999994</v>
      </c>
      <c r="G1534">
        <v>0</v>
      </c>
      <c r="H1534">
        <v>0</v>
      </c>
      <c r="I1534">
        <v>0</v>
      </c>
      <c r="J1534">
        <v>0</v>
      </c>
      <c r="K1534">
        <v>73.400000000000006</v>
      </c>
      <c r="L1534">
        <v>72.8</v>
      </c>
      <c r="M1534">
        <v>79.73</v>
      </c>
      <c r="N1534">
        <v>26</v>
      </c>
      <c r="O1534">
        <v>2</v>
      </c>
      <c r="P1534">
        <f>MOD(DAY(datos_siembra[[#This Row],[Date]]),7)</f>
        <v>5</v>
      </c>
      <c r="Q1534" t="str">
        <f>CHOOSE(WEEKDAY(datos_siembra[[#This Row],[Date]],2),"L","M","X","J","V","S","D")</f>
        <v>J</v>
      </c>
      <c r="R1534">
        <f>WEEKNUM(datos_siembra[[#This Row],[Date]],2)-WEEKNUM(DATE(YEAR(datos_siembra[[#This Row],[Date]]),MONTH(datos_siembra[[#This Row],[Date]]),1))+1</f>
        <v>4</v>
      </c>
      <c r="S1534">
        <f>MONTH(datos_siembra[[#This Row],[Date]])</f>
        <v>9</v>
      </c>
      <c r="T1534" t="str" cm="1">
        <f t="array" ref="T1534">_xlfn.IFS(AND(N1534&lt;= 22, S1534=9), "SOWING",AND(N1534&lt;= 28, S1534=9), "COVERAGE",AND(N1534&lt;= 30, S1534=9), "FLUSH",AND(N1534&lt;= 11, S1534=10), "FLUSH",AND(N1534&lt;= 21, S1534=10), "PRODUCTION")</f>
        <v>COVERAGE</v>
      </c>
      <c r="U1534">
        <f>HOUR(datos_siembra[[#This Row],[Hour]])</f>
        <v>14</v>
      </c>
      <c r="V1534" cm="1">
        <f t="array" ref="V1534">_xlfn.IFS(AND(N1534&lt;= 22, S1534=9), N1534-7,AND(N1534&lt;= 28, S1534=9), N1534-25,AND(N1534&lt;= 30, S1534=9), N1534-28,AND(N1534&lt;= 11, S1534=10), N1534+2,AND(N1534&lt;= 21, S1534=10), N1534-11)</f>
        <v>1</v>
      </c>
    </row>
    <row r="1535" spans="1:22" x14ac:dyDescent="0.35">
      <c r="A1535" s="4">
        <v>45561</v>
      </c>
      <c r="B1535" s="5">
        <v>0.60408564814814814</v>
      </c>
      <c r="C1535">
        <v>81.3</v>
      </c>
      <c r="D1535">
        <v>79.599999999999994</v>
      </c>
      <c r="E1535">
        <v>80.7</v>
      </c>
      <c r="F1535">
        <v>79.599999999999994</v>
      </c>
      <c r="G1535">
        <v>0</v>
      </c>
      <c r="H1535">
        <v>0</v>
      </c>
      <c r="I1535">
        <v>0</v>
      </c>
      <c r="J1535">
        <v>0</v>
      </c>
      <c r="K1535">
        <v>73.400000000000006</v>
      </c>
      <c r="L1535">
        <v>73</v>
      </c>
      <c r="M1535">
        <v>80.400000000000006</v>
      </c>
      <c r="N1535">
        <v>26</v>
      </c>
      <c r="O1535">
        <v>2</v>
      </c>
      <c r="P1535">
        <f>MOD(DAY(datos_siembra[[#This Row],[Date]]),7)</f>
        <v>5</v>
      </c>
      <c r="Q1535" t="str">
        <f>CHOOSE(WEEKDAY(datos_siembra[[#This Row],[Date]],2),"L","M","X","J","V","S","D")</f>
        <v>J</v>
      </c>
      <c r="R1535">
        <f>WEEKNUM(datos_siembra[[#This Row],[Date]],2)-WEEKNUM(DATE(YEAR(datos_siembra[[#This Row],[Date]]),MONTH(datos_siembra[[#This Row],[Date]]),1))+1</f>
        <v>4</v>
      </c>
      <c r="S1535">
        <f>MONTH(datos_siembra[[#This Row],[Date]])</f>
        <v>9</v>
      </c>
      <c r="T1535" t="str" cm="1">
        <f t="array" ref="T1535">_xlfn.IFS(AND(N1535&lt;= 22, S1535=9), "SOWING",AND(N1535&lt;= 28, S1535=9), "COVERAGE",AND(N1535&lt;= 30, S1535=9), "FLUSH",AND(N1535&lt;= 11, S1535=10), "FLUSH",AND(N1535&lt;= 21, S1535=10), "PRODUCTION")</f>
        <v>COVERAGE</v>
      </c>
      <c r="U1535">
        <f>HOUR(datos_siembra[[#This Row],[Hour]])</f>
        <v>14</v>
      </c>
      <c r="V1535" cm="1">
        <f t="array" ref="V1535">_xlfn.IFS(AND(N1535&lt;= 22, S1535=9), N1535-7,AND(N1535&lt;= 28, S1535=9), N1535-25,AND(N1535&lt;= 30, S1535=9), N1535-28,AND(N1535&lt;= 11, S1535=10), N1535+2,AND(N1535&lt;= 21, S1535=10), N1535-11)</f>
        <v>1</v>
      </c>
    </row>
    <row r="1536" spans="1:22" x14ac:dyDescent="0.35">
      <c r="A1536" s="4">
        <v>45561</v>
      </c>
      <c r="B1536" s="5">
        <v>0.61103009259259256</v>
      </c>
      <c r="C1536">
        <v>81.2</v>
      </c>
      <c r="D1536">
        <v>79.599999999999994</v>
      </c>
      <c r="E1536">
        <v>80.8</v>
      </c>
      <c r="F1536">
        <v>79.599999999999994</v>
      </c>
      <c r="G1536">
        <v>0</v>
      </c>
      <c r="H1536">
        <v>0</v>
      </c>
      <c r="I1536">
        <v>0</v>
      </c>
      <c r="J1536">
        <v>0</v>
      </c>
      <c r="K1536">
        <v>73.5</v>
      </c>
      <c r="L1536">
        <v>73</v>
      </c>
      <c r="M1536">
        <v>80.489999999999995</v>
      </c>
      <c r="N1536">
        <v>26</v>
      </c>
      <c r="O1536">
        <v>2</v>
      </c>
      <c r="P1536">
        <f>MOD(DAY(datos_siembra[[#This Row],[Date]]),7)</f>
        <v>5</v>
      </c>
      <c r="Q1536" t="str">
        <f>CHOOSE(WEEKDAY(datos_siembra[[#This Row],[Date]],2),"L","M","X","J","V","S","D")</f>
        <v>J</v>
      </c>
      <c r="R1536">
        <f>WEEKNUM(datos_siembra[[#This Row],[Date]],2)-WEEKNUM(DATE(YEAR(datos_siembra[[#This Row],[Date]]),MONTH(datos_siembra[[#This Row],[Date]]),1))+1</f>
        <v>4</v>
      </c>
      <c r="S1536">
        <f>MONTH(datos_siembra[[#This Row],[Date]])</f>
        <v>9</v>
      </c>
      <c r="T1536" t="str" cm="1">
        <f t="array" ref="T1536">_xlfn.IFS(AND(N1536&lt;= 22, S1536=9), "SOWING",AND(N1536&lt;= 28, S1536=9), "COVERAGE",AND(N1536&lt;= 30, S1536=9), "FLUSH",AND(N1536&lt;= 11, S1536=10), "FLUSH",AND(N1536&lt;= 21, S1536=10), "PRODUCTION")</f>
        <v>COVERAGE</v>
      </c>
      <c r="U1536">
        <f>HOUR(datos_siembra[[#This Row],[Hour]])</f>
        <v>14</v>
      </c>
      <c r="V1536" cm="1">
        <f t="array" ref="V1536">_xlfn.IFS(AND(N1536&lt;= 22, S1536=9), N1536-7,AND(N1536&lt;= 28, S1536=9), N1536-25,AND(N1536&lt;= 30, S1536=9), N1536-28,AND(N1536&lt;= 11, S1536=10), N1536+2,AND(N1536&lt;= 21, S1536=10), N1536-11)</f>
        <v>1</v>
      </c>
    </row>
    <row r="1537" spans="1:22" x14ac:dyDescent="0.35">
      <c r="A1537" s="4">
        <v>45561</v>
      </c>
      <c r="B1537" s="5">
        <v>0.61798611111111112</v>
      </c>
      <c r="C1537">
        <v>81.400000000000006</v>
      </c>
      <c r="D1537">
        <v>79.599999999999994</v>
      </c>
      <c r="E1537">
        <v>80.8</v>
      </c>
      <c r="F1537">
        <v>79.5</v>
      </c>
      <c r="G1537">
        <v>0</v>
      </c>
      <c r="H1537">
        <v>0</v>
      </c>
      <c r="I1537">
        <v>0</v>
      </c>
      <c r="J1537">
        <v>0</v>
      </c>
      <c r="K1537">
        <v>73.599999999999994</v>
      </c>
      <c r="L1537">
        <v>73</v>
      </c>
      <c r="M1537">
        <v>80.400000000000006</v>
      </c>
      <c r="N1537">
        <v>26</v>
      </c>
      <c r="O1537">
        <v>2</v>
      </c>
      <c r="P1537">
        <f>MOD(DAY(datos_siembra[[#This Row],[Date]]),7)</f>
        <v>5</v>
      </c>
      <c r="Q1537" t="str">
        <f>CHOOSE(WEEKDAY(datos_siembra[[#This Row],[Date]],2),"L","M","X","J","V","S","D")</f>
        <v>J</v>
      </c>
      <c r="R1537">
        <f>WEEKNUM(datos_siembra[[#This Row],[Date]],2)-WEEKNUM(DATE(YEAR(datos_siembra[[#This Row],[Date]]),MONTH(datos_siembra[[#This Row],[Date]]),1))+1</f>
        <v>4</v>
      </c>
      <c r="S1537">
        <f>MONTH(datos_siembra[[#This Row],[Date]])</f>
        <v>9</v>
      </c>
      <c r="T1537" t="str" cm="1">
        <f t="array" ref="T1537">_xlfn.IFS(AND(N1537&lt;= 22, S1537=9), "SOWING",AND(N1537&lt;= 28, S1537=9), "COVERAGE",AND(N1537&lt;= 30, S1537=9), "FLUSH",AND(N1537&lt;= 11, S1537=10), "FLUSH",AND(N1537&lt;= 21, S1537=10), "PRODUCTION")</f>
        <v>COVERAGE</v>
      </c>
      <c r="U1537">
        <f>HOUR(datos_siembra[[#This Row],[Hour]])</f>
        <v>14</v>
      </c>
      <c r="V1537" cm="1">
        <f t="array" ref="V1537">_xlfn.IFS(AND(N1537&lt;= 22, S1537=9), N1537-7,AND(N1537&lt;= 28, S1537=9), N1537-25,AND(N1537&lt;= 30, S1537=9), N1537-28,AND(N1537&lt;= 11, S1537=10), N1537+2,AND(N1537&lt;= 21, S1537=10), N1537-11)</f>
        <v>1</v>
      </c>
    </row>
    <row r="1538" spans="1:22" x14ac:dyDescent="0.35">
      <c r="A1538" s="4">
        <v>45561</v>
      </c>
      <c r="B1538" s="5">
        <v>0.62493055555555554</v>
      </c>
      <c r="C1538">
        <v>81.5</v>
      </c>
      <c r="D1538">
        <v>79.7</v>
      </c>
      <c r="E1538">
        <v>80.8</v>
      </c>
      <c r="F1538">
        <v>79.8</v>
      </c>
      <c r="G1538">
        <v>0</v>
      </c>
      <c r="H1538">
        <v>0</v>
      </c>
      <c r="I1538">
        <v>0</v>
      </c>
      <c r="J1538">
        <v>0</v>
      </c>
      <c r="K1538">
        <v>73.7</v>
      </c>
      <c r="L1538">
        <v>73.099999999999994</v>
      </c>
      <c r="M1538">
        <v>80.37</v>
      </c>
      <c r="N1538">
        <v>26</v>
      </c>
      <c r="O1538">
        <v>2</v>
      </c>
      <c r="P1538">
        <f>MOD(DAY(datos_siembra[[#This Row],[Date]]),7)</f>
        <v>5</v>
      </c>
      <c r="Q1538" t="str">
        <f>CHOOSE(WEEKDAY(datos_siembra[[#This Row],[Date]],2),"L","M","X","J","V","S","D")</f>
        <v>J</v>
      </c>
      <c r="R1538">
        <f>WEEKNUM(datos_siembra[[#This Row],[Date]],2)-WEEKNUM(DATE(YEAR(datos_siembra[[#This Row],[Date]]),MONTH(datos_siembra[[#This Row],[Date]]),1))+1</f>
        <v>4</v>
      </c>
      <c r="S1538">
        <f>MONTH(datos_siembra[[#This Row],[Date]])</f>
        <v>9</v>
      </c>
      <c r="T1538" t="str" cm="1">
        <f t="array" ref="T1538">_xlfn.IFS(AND(N1538&lt;= 22, S1538=9), "SOWING",AND(N1538&lt;= 28, S1538=9), "COVERAGE",AND(N1538&lt;= 30, S1538=9), "FLUSH",AND(N1538&lt;= 11, S1538=10), "FLUSH",AND(N1538&lt;= 21, S1538=10), "PRODUCTION")</f>
        <v>COVERAGE</v>
      </c>
      <c r="U1538">
        <f>HOUR(datos_siembra[[#This Row],[Hour]])</f>
        <v>14</v>
      </c>
      <c r="V1538" cm="1">
        <f t="array" ref="V1538">_xlfn.IFS(AND(N1538&lt;= 22, S1538=9), N1538-7,AND(N1538&lt;= 28, S1538=9), N1538-25,AND(N1538&lt;= 30, S1538=9), N1538-28,AND(N1538&lt;= 11, S1538=10), N1538+2,AND(N1538&lt;= 21, S1538=10), N1538-11)</f>
        <v>1</v>
      </c>
    </row>
    <row r="1539" spans="1:22" x14ac:dyDescent="0.35">
      <c r="A1539" s="4">
        <v>45561</v>
      </c>
      <c r="B1539" s="5">
        <v>0.63187499999999996</v>
      </c>
      <c r="C1539">
        <v>81.400000000000006</v>
      </c>
      <c r="D1539">
        <v>79.7</v>
      </c>
      <c r="E1539">
        <v>80.8</v>
      </c>
      <c r="F1539">
        <v>79.8</v>
      </c>
      <c r="G1539">
        <v>0</v>
      </c>
      <c r="H1539">
        <v>0</v>
      </c>
      <c r="I1539">
        <v>0</v>
      </c>
      <c r="J1539">
        <v>0</v>
      </c>
      <c r="K1539">
        <v>73.900000000000006</v>
      </c>
      <c r="L1539">
        <v>73.099999999999994</v>
      </c>
      <c r="M1539">
        <v>80.64</v>
      </c>
      <c r="N1539">
        <v>26</v>
      </c>
      <c r="O1539">
        <v>2</v>
      </c>
      <c r="P1539">
        <f>MOD(DAY(datos_siembra[[#This Row],[Date]]),7)</f>
        <v>5</v>
      </c>
      <c r="Q1539" t="str">
        <f>CHOOSE(WEEKDAY(datos_siembra[[#This Row],[Date]],2),"L","M","X","J","V","S","D")</f>
        <v>J</v>
      </c>
      <c r="R1539">
        <f>WEEKNUM(datos_siembra[[#This Row],[Date]],2)-WEEKNUM(DATE(YEAR(datos_siembra[[#This Row],[Date]]),MONTH(datos_siembra[[#This Row],[Date]]),1))+1</f>
        <v>4</v>
      </c>
      <c r="S1539">
        <f>MONTH(datos_siembra[[#This Row],[Date]])</f>
        <v>9</v>
      </c>
      <c r="T1539" t="str" cm="1">
        <f t="array" ref="T1539">_xlfn.IFS(AND(N1539&lt;= 22, S1539=9), "SOWING",AND(N1539&lt;= 28, S1539=9), "COVERAGE",AND(N1539&lt;= 30, S1539=9), "FLUSH",AND(N1539&lt;= 11, S1539=10), "FLUSH",AND(N1539&lt;= 21, S1539=10), "PRODUCTION")</f>
        <v>COVERAGE</v>
      </c>
      <c r="U1539">
        <f>HOUR(datos_siembra[[#This Row],[Hour]])</f>
        <v>15</v>
      </c>
      <c r="V1539" cm="1">
        <f t="array" ref="V1539">_xlfn.IFS(AND(N1539&lt;= 22, S1539=9), N1539-7,AND(N1539&lt;= 28, S1539=9), N1539-25,AND(N1539&lt;= 30, S1539=9), N1539-28,AND(N1539&lt;= 11, S1539=10), N1539+2,AND(N1539&lt;= 21, S1539=10), N1539-11)</f>
        <v>1</v>
      </c>
    </row>
    <row r="1540" spans="1:22" x14ac:dyDescent="0.35">
      <c r="A1540" s="4">
        <v>45561</v>
      </c>
      <c r="B1540" s="5">
        <v>0.63883101851851853</v>
      </c>
      <c r="C1540">
        <v>81.5</v>
      </c>
      <c r="D1540">
        <v>79.7</v>
      </c>
      <c r="E1540">
        <v>80.8</v>
      </c>
      <c r="F1540">
        <v>79.8</v>
      </c>
      <c r="G1540">
        <v>0</v>
      </c>
      <c r="H1540">
        <v>0</v>
      </c>
      <c r="I1540">
        <v>0</v>
      </c>
      <c r="J1540">
        <v>0</v>
      </c>
      <c r="K1540">
        <v>73.900000000000006</v>
      </c>
      <c r="L1540">
        <v>73.099999999999994</v>
      </c>
      <c r="M1540">
        <v>80.37</v>
      </c>
      <c r="N1540">
        <v>26</v>
      </c>
      <c r="O1540">
        <v>2</v>
      </c>
      <c r="P1540">
        <f>MOD(DAY(datos_siembra[[#This Row],[Date]]),7)</f>
        <v>5</v>
      </c>
      <c r="Q1540" t="str">
        <f>CHOOSE(WEEKDAY(datos_siembra[[#This Row],[Date]],2),"L","M","X","J","V","S","D")</f>
        <v>J</v>
      </c>
      <c r="R1540">
        <f>WEEKNUM(datos_siembra[[#This Row],[Date]],2)-WEEKNUM(DATE(YEAR(datos_siembra[[#This Row],[Date]]),MONTH(datos_siembra[[#This Row],[Date]]),1))+1</f>
        <v>4</v>
      </c>
      <c r="S1540">
        <f>MONTH(datos_siembra[[#This Row],[Date]])</f>
        <v>9</v>
      </c>
      <c r="T1540" t="str" cm="1">
        <f t="array" ref="T1540">_xlfn.IFS(AND(N1540&lt;= 22, S1540=9), "SOWING",AND(N1540&lt;= 28, S1540=9), "COVERAGE",AND(N1540&lt;= 30, S1540=9), "FLUSH",AND(N1540&lt;= 11, S1540=10), "FLUSH",AND(N1540&lt;= 21, S1540=10), "PRODUCTION")</f>
        <v>COVERAGE</v>
      </c>
      <c r="U1540">
        <f>HOUR(datos_siembra[[#This Row],[Hour]])</f>
        <v>15</v>
      </c>
      <c r="V1540" cm="1">
        <f t="array" ref="V1540">_xlfn.IFS(AND(N1540&lt;= 22, S1540=9), N1540-7,AND(N1540&lt;= 28, S1540=9), N1540-25,AND(N1540&lt;= 30, S1540=9), N1540-28,AND(N1540&lt;= 11, S1540=10), N1540+2,AND(N1540&lt;= 21, S1540=10), N1540-11)</f>
        <v>1</v>
      </c>
    </row>
    <row r="1541" spans="1:22" x14ac:dyDescent="0.35">
      <c r="A1541" s="4">
        <v>45561</v>
      </c>
      <c r="B1541" s="5">
        <v>0.64577546296296295</v>
      </c>
      <c r="C1541">
        <v>81.3</v>
      </c>
      <c r="D1541">
        <v>79.7</v>
      </c>
      <c r="E1541">
        <v>80.900000000000006</v>
      </c>
      <c r="F1541">
        <v>79.599999999999994</v>
      </c>
      <c r="G1541">
        <v>0</v>
      </c>
      <c r="H1541">
        <v>0</v>
      </c>
      <c r="I1541">
        <v>0</v>
      </c>
      <c r="J1541">
        <v>0</v>
      </c>
      <c r="K1541">
        <v>74.099999999999994</v>
      </c>
      <c r="L1541">
        <v>73</v>
      </c>
      <c r="M1541">
        <v>80.569999999999993</v>
      </c>
      <c r="N1541">
        <v>26</v>
      </c>
      <c r="O1541">
        <v>2</v>
      </c>
      <c r="P1541">
        <f>MOD(DAY(datos_siembra[[#This Row],[Date]]),7)</f>
        <v>5</v>
      </c>
      <c r="Q1541" t="str">
        <f>CHOOSE(WEEKDAY(datos_siembra[[#This Row],[Date]],2),"L","M","X","J","V","S","D")</f>
        <v>J</v>
      </c>
      <c r="R1541">
        <f>WEEKNUM(datos_siembra[[#This Row],[Date]],2)-WEEKNUM(DATE(YEAR(datos_siembra[[#This Row],[Date]]),MONTH(datos_siembra[[#This Row],[Date]]),1))+1</f>
        <v>4</v>
      </c>
      <c r="S1541">
        <f>MONTH(datos_siembra[[#This Row],[Date]])</f>
        <v>9</v>
      </c>
      <c r="T1541" t="str" cm="1">
        <f t="array" ref="T1541">_xlfn.IFS(AND(N1541&lt;= 22, S1541=9), "SOWING",AND(N1541&lt;= 28, S1541=9), "COVERAGE",AND(N1541&lt;= 30, S1541=9), "FLUSH",AND(N1541&lt;= 11, S1541=10), "FLUSH",AND(N1541&lt;= 21, S1541=10), "PRODUCTION")</f>
        <v>COVERAGE</v>
      </c>
      <c r="U1541">
        <f>HOUR(datos_siembra[[#This Row],[Hour]])</f>
        <v>15</v>
      </c>
      <c r="V1541" cm="1">
        <f t="array" ref="V1541">_xlfn.IFS(AND(N1541&lt;= 22, S1541=9), N1541-7,AND(N1541&lt;= 28, S1541=9), N1541-25,AND(N1541&lt;= 30, S1541=9), N1541-28,AND(N1541&lt;= 11, S1541=10), N1541+2,AND(N1541&lt;= 21, S1541=10), N1541-11)</f>
        <v>1</v>
      </c>
    </row>
    <row r="1542" spans="1:22" x14ac:dyDescent="0.35">
      <c r="A1542" s="4">
        <v>45561</v>
      </c>
      <c r="B1542" s="5">
        <v>0.65271990740740737</v>
      </c>
      <c r="C1542">
        <v>81.3</v>
      </c>
      <c r="D1542">
        <v>79.7</v>
      </c>
      <c r="E1542">
        <v>80.900000000000006</v>
      </c>
      <c r="F1542">
        <v>79.900000000000006</v>
      </c>
      <c r="G1542">
        <v>0</v>
      </c>
      <c r="H1542">
        <v>0</v>
      </c>
      <c r="I1542">
        <v>0</v>
      </c>
      <c r="J1542">
        <v>0</v>
      </c>
      <c r="K1542">
        <v>74</v>
      </c>
      <c r="L1542">
        <v>73</v>
      </c>
      <c r="M1542">
        <v>80.489999999999995</v>
      </c>
      <c r="N1542">
        <v>26</v>
      </c>
      <c r="O1542">
        <v>2</v>
      </c>
      <c r="P1542">
        <f>MOD(DAY(datos_siembra[[#This Row],[Date]]),7)</f>
        <v>5</v>
      </c>
      <c r="Q1542" t="str">
        <f>CHOOSE(WEEKDAY(datos_siembra[[#This Row],[Date]],2),"L","M","X","J","V","S","D")</f>
        <v>J</v>
      </c>
      <c r="R1542">
        <f>WEEKNUM(datos_siembra[[#This Row],[Date]],2)-WEEKNUM(DATE(YEAR(datos_siembra[[#This Row],[Date]]),MONTH(datos_siembra[[#This Row],[Date]]),1))+1</f>
        <v>4</v>
      </c>
      <c r="S1542">
        <f>MONTH(datos_siembra[[#This Row],[Date]])</f>
        <v>9</v>
      </c>
      <c r="T1542" t="str" cm="1">
        <f t="array" ref="T1542">_xlfn.IFS(AND(N1542&lt;= 22, S1542=9), "SOWING",AND(N1542&lt;= 28, S1542=9), "COVERAGE",AND(N1542&lt;= 30, S1542=9), "FLUSH",AND(N1542&lt;= 11, S1542=10), "FLUSH",AND(N1542&lt;= 21, S1542=10), "PRODUCTION")</f>
        <v>COVERAGE</v>
      </c>
      <c r="U1542">
        <f>HOUR(datos_siembra[[#This Row],[Hour]])</f>
        <v>15</v>
      </c>
      <c r="V1542" cm="1">
        <f t="array" ref="V1542">_xlfn.IFS(AND(N1542&lt;= 22, S1542=9), N1542-7,AND(N1542&lt;= 28, S1542=9), N1542-25,AND(N1542&lt;= 30, S1542=9), N1542-28,AND(N1542&lt;= 11, S1542=10), N1542+2,AND(N1542&lt;= 21, S1542=10), N1542-11)</f>
        <v>1</v>
      </c>
    </row>
    <row r="1543" spans="1:22" x14ac:dyDescent="0.35">
      <c r="A1543" s="4">
        <v>45561</v>
      </c>
      <c r="B1543" s="5">
        <v>0.6596643518518519</v>
      </c>
      <c r="C1543">
        <v>81.3</v>
      </c>
      <c r="D1543">
        <v>79.8</v>
      </c>
      <c r="E1543">
        <v>80.8</v>
      </c>
      <c r="F1543">
        <v>79.599999999999994</v>
      </c>
      <c r="G1543">
        <v>0</v>
      </c>
      <c r="H1543">
        <v>0</v>
      </c>
      <c r="I1543">
        <v>0</v>
      </c>
      <c r="J1543">
        <v>0</v>
      </c>
      <c r="K1543">
        <v>74</v>
      </c>
      <c r="L1543">
        <v>73.099999999999994</v>
      </c>
      <c r="M1543">
        <v>80.400000000000006</v>
      </c>
      <c r="N1543">
        <v>26</v>
      </c>
      <c r="O1543">
        <v>2</v>
      </c>
      <c r="P1543">
        <f>MOD(DAY(datos_siembra[[#This Row],[Date]]),7)</f>
        <v>5</v>
      </c>
      <c r="Q1543" t="str">
        <f>CHOOSE(WEEKDAY(datos_siembra[[#This Row],[Date]],2),"L","M","X","J","V","S","D")</f>
        <v>J</v>
      </c>
      <c r="R1543">
        <f>WEEKNUM(datos_siembra[[#This Row],[Date]],2)-WEEKNUM(DATE(YEAR(datos_siembra[[#This Row],[Date]]),MONTH(datos_siembra[[#This Row],[Date]]),1))+1</f>
        <v>4</v>
      </c>
      <c r="S1543">
        <f>MONTH(datos_siembra[[#This Row],[Date]])</f>
        <v>9</v>
      </c>
      <c r="T1543" t="str" cm="1">
        <f t="array" ref="T1543">_xlfn.IFS(AND(N1543&lt;= 22, S1543=9), "SOWING",AND(N1543&lt;= 28, S1543=9), "COVERAGE",AND(N1543&lt;= 30, S1543=9), "FLUSH",AND(N1543&lt;= 11, S1543=10), "FLUSH",AND(N1543&lt;= 21, S1543=10), "PRODUCTION")</f>
        <v>COVERAGE</v>
      </c>
      <c r="U1543">
        <f>HOUR(datos_siembra[[#This Row],[Hour]])</f>
        <v>15</v>
      </c>
      <c r="V1543" cm="1">
        <f t="array" ref="V1543">_xlfn.IFS(AND(N1543&lt;= 22, S1543=9), N1543-7,AND(N1543&lt;= 28, S1543=9), N1543-25,AND(N1543&lt;= 30, S1543=9), N1543-28,AND(N1543&lt;= 11, S1543=10), N1543+2,AND(N1543&lt;= 21, S1543=10), N1543-11)</f>
        <v>1</v>
      </c>
    </row>
    <row r="1544" spans="1:22" x14ac:dyDescent="0.35">
      <c r="A1544" s="4">
        <v>45561</v>
      </c>
      <c r="B1544" s="5">
        <v>0.66662037037037036</v>
      </c>
      <c r="C1544">
        <v>81.400000000000006</v>
      </c>
      <c r="D1544">
        <v>79.7</v>
      </c>
      <c r="E1544">
        <v>81.099999999999994</v>
      </c>
      <c r="F1544">
        <v>79.7</v>
      </c>
      <c r="G1544">
        <v>0</v>
      </c>
      <c r="H1544">
        <v>0</v>
      </c>
      <c r="I1544">
        <v>0</v>
      </c>
      <c r="J1544">
        <v>0</v>
      </c>
      <c r="K1544">
        <v>74.099999999999994</v>
      </c>
      <c r="L1544">
        <v>73.099999999999994</v>
      </c>
      <c r="M1544">
        <v>80.52</v>
      </c>
      <c r="N1544">
        <v>26</v>
      </c>
      <c r="O1544">
        <v>2</v>
      </c>
      <c r="P1544">
        <f>MOD(DAY(datos_siembra[[#This Row],[Date]]),7)</f>
        <v>5</v>
      </c>
      <c r="Q1544" t="str">
        <f>CHOOSE(WEEKDAY(datos_siembra[[#This Row],[Date]],2),"L","M","X","J","V","S","D")</f>
        <v>J</v>
      </c>
      <c r="R1544">
        <f>WEEKNUM(datos_siembra[[#This Row],[Date]],2)-WEEKNUM(DATE(YEAR(datos_siembra[[#This Row],[Date]]),MONTH(datos_siembra[[#This Row],[Date]]),1))+1</f>
        <v>4</v>
      </c>
      <c r="S1544">
        <f>MONTH(datos_siembra[[#This Row],[Date]])</f>
        <v>9</v>
      </c>
      <c r="T1544" t="str" cm="1">
        <f t="array" ref="T1544">_xlfn.IFS(AND(N1544&lt;= 22, S1544=9), "SOWING",AND(N1544&lt;= 28, S1544=9), "COVERAGE",AND(N1544&lt;= 30, S1544=9), "FLUSH",AND(N1544&lt;= 11, S1544=10), "FLUSH",AND(N1544&lt;= 21, S1544=10), "PRODUCTION")</f>
        <v>COVERAGE</v>
      </c>
      <c r="U1544">
        <f>HOUR(datos_siembra[[#This Row],[Hour]])</f>
        <v>15</v>
      </c>
      <c r="V1544" cm="1">
        <f t="array" ref="V1544">_xlfn.IFS(AND(N1544&lt;= 22, S1544=9), N1544-7,AND(N1544&lt;= 28, S1544=9), N1544-25,AND(N1544&lt;= 30, S1544=9), N1544-28,AND(N1544&lt;= 11, S1544=10), N1544+2,AND(N1544&lt;= 21, S1544=10), N1544-11)</f>
        <v>1</v>
      </c>
    </row>
    <row r="1545" spans="1:22" x14ac:dyDescent="0.35">
      <c r="A1545" s="4">
        <v>45561</v>
      </c>
      <c r="B1545" s="5">
        <v>0.67356481481481478</v>
      </c>
      <c r="C1545">
        <v>81.3</v>
      </c>
      <c r="D1545">
        <v>79.8</v>
      </c>
      <c r="E1545">
        <v>80.8</v>
      </c>
      <c r="F1545">
        <v>79.900000000000006</v>
      </c>
      <c r="G1545">
        <v>0</v>
      </c>
      <c r="H1545">
        <v>0</v>
      </c>
      <c r="I1545">
        <v>0</v>
      </c>
      <c r="J1545">
        <v>0</v>
      </c>
      <c r="K1545">
        <v>74.2</v>
      </c>
      <c r="L1545">
        <v>73.099999999999994</v>
      </c>
      <c r="M1545">
        <v>80.459999999999994</v>
      </c>
      <c r="N1545">
        <v>26</v>
      </c>
      <c r="O1545">
        <v>2</v>
      </c>
      <c r="P1545">
        <f>MOD(DAY(datos_siembra[[#This Row],[Date]]),7)</f>
        <v>5</v>
      </c>
      <c r="Q1545" t="str">
        <f>CHOOSE(WEEKDAY(datos_siembra[[#This Row],[Date]],2),"L","M","X","J","V","S","D")</f>
        <v>J</v>
      </c>
      <c r="R1545">
        <f>WEEKNUM(datos_siembra[[#This Row],[Date]],2)-WEEKNUM(DATE(YEAR(datos_siembra[[#This Row],[Date]]),MONTH(datos_siembra[[#This Row],[Date]]),1))+1</f>
        <v>4</v>
      </c>
      <c r="S1545">
        <f>MONTH(datos_siembra[[#This Row],[Date]])</f>
        <v>9</v>
      </c>
      <c r="T1545" t="str" cm="1">
        <f t="array" ref="T1545">_xlfn.IFS(AND(N1545&lt;= 22, S1545=9), "SOWING",AND(N1545&lt;= 28, S1545=9), "COVERAGE",AND(N1545&lt;= 30, S1545=9), "FLUSH",AND(N1545&lt;= 11, S1545=10), "FLUSH",AND(N1545&lt;= 21, S1545=10), "PRODUCTION")</f>
        <v>COVERAGE</v>
      </c>
      <c r="U1545">
        <f>HOUR(datos_siembra[[#This Row],[Hour]])</f>
        <v>16</v>
      </c>
      <c r="V1545" cm="1">
        <f t="array" ref="V1545">_xlfn.IFS(AND(N1545&lt;= 22, S1545=9), N1545-7,AND(N1545&lt;= 28, S1545=9), N1545-25,AND(N1545&lt;= 30, S1545=9), N1545-28,AND(N1545&lt;= 11, S1545=10), N1545+2,AND(N1545&lt;= 21, S1545=10), N1545-11)</f>
        <v>1</v>
      </c>
    </row>
    <row r="1546" spans="1:22" x14ac:dyDescent="0.35">
      <c r="A1546" s="4">
        <v>45561</v>
      </c>
      <c r="B1546" s="5">
        <v>0.68050925925925931</v>
      </c>
      <c r="C1546">
        <v>81.400000000000006</v>
      </c>
      <c r="D1546">
        <v>79.7</v>
      </c>
      <c r="E1546">
        <v>80.900000000000006</v>
      </c>
      <c r="F1546">
        <v>79.8</v>
      </c>
      <c r="G1546">
        <v>0</v>
      </c>
      <c r="H1546">
        <v>0</v>
      </c>
      <c r="I1546">
        <v>0</v>
      </c>
      <c r="J1546">
        <v>0</v>
      </c>
      <c r="K1546">
        <v>74.2</v>
      </c>
      <c r="L1546">
        <v>73.099999999999994</v>
      </c>
      <c r="M1546">
        <v>80.52</v>
      </c>
      <c r="N1546">
        <v>26</v>
      </c>
      <c r="O1546">
        <v>2</v>
      </c>
      <c r="P1546">
        <f>MOD(DAY(datos_siembra[[#This Row],[Date]]),7)</f>
        <v>5</v>
      </c>
      <c r="Q1546" t="str">
        <f>CHOOSE(WEEKDAY(datos_siembra[[#This Row],[Date]],2),"L","M","X","J","V","S","D")</f>
        <v>J</v>
      </c>
      <c r="R1546">
        <f>WEEKNUM(datos_siembra[[#This Row],[Date]],2)-WEEKNUM(DATE(YEAR(datos_siembra[[#This Row],[Date]]),MONTH(datos_siembra[[#This Row],[Date]]),1))+1</f>
        <v>4</v>
      </c>
      <c r="S1546">
        <f>MONTH(datos_siembra[[#This Row],[Date]])</f>
        <v>9</v>
      </c>
      <c r="T1546" t="str" cm="1">
        <f t="array" ref="T1546">_xlfn.IFS(AND(N1546&lt;= 22, S1546=9), "SOWING",AND(N1546&lt;= 28, S1546=9), "COVERAGE",AND(N1546&lt;= 30, S1546=9), "FLUSH",AND(N1546&lt;= 11, S1546=10), "FLUSH",AND(N1546&lt;= 21, S1546=10), "PRODUCTION")</f>
        <v>COVERAGE</v>
      </c>
      <c r="U1546">
        <f>HOUR(datos_siembra[[#This Row],[Hour]])</f>
        <v>16</v>
      </c>
      <c r="V1546" cm="1">
        <f t="array" ref="V1546">_xlfn.IFS(AND(N1546&lt;= 22, S1546=9), N1546-7,AND(N1546&lt;= 28, S1546=9), N1546-25,AND(N1546&lt;= 30, S1546=9), N1546-28,AND(N1546&lt;= 11, S1546=10), N1546+2,AND(N1546&lt;= 21, S1546=10), N1546-11)</f>
        <v>1</v>
      </c>
    </row>
    <row r="1547" spans="1:22" x14ac:dyDescent="0.35">
      <c r="A1547" s="4">
        <v>45561</v>
      </c>
      <c r="B1547" s="5">
        <v>0.68746527777777777</v>
      </c>
      <c r="C1547">
        <v>81.3</v>
      </c>
      <c r="D1547">
        <v>79.7</v>
      </c>
      <c r="E1547">
        <v>80.900000000000006</v>
      </c>
      <c r="F1547">
        <v>79.8</v>
      </c>
      <c r="G1547">
        <v>0</v>
      </c>
      <c r="H1547">
        <v>0</v>
      </c>
      <c r="I1547">
        <v>0</v>
      </c>
      <c r="J1547">
        <v>0</v>
      </c>
      <c r="K1547">
        <v>74.2</v>
      </c>
      <c r="L1547">
        <v>73.099999999999994</v>
      </c>
      <c r="M1547">
        <v>80.569999999999993</v>
      </c>
      <c r="N1547">
        <v>26</v>
      </c>
      <c r="O1547">
        <v>2</v>
      </c>
      <c r="P1547">
        <f>MOD(DAY(datos_siembra[[#This Row],[Date]]),7)</f>
        <v>5</v>
      </c>
      <c r="Q1547" t="str">
        <f>CHOOSE(WEEKDAY(datos_siembra[[#This Row],[Date]],2),"L","M","X","J","V","S","D")</f>
        <v>J</v>
      </c>
      <c r="R1547">
        <f>WEEKNUM(datos_siembra[[#This Row],[Date]],2)-WEEKNUM(DATE(YEAR(datos_siembra[[#This Row],[Date]]),MONTH(datos_siembra[[#This Row],[Date]]),1))+1</f>
        <v>4</v>
      </c>
      <c r="S1547">
        <f>MONTH(datos_siembra[[#This Row],[Date]])</f>
        <v>9</v>
      </c>
      <c r="T1547" t="str" cm="1">
        <f t="array" ref="T1547">_xlfn.IFS(AND(N1547&lt;= 22, S1547=9), "SOWING",AND(N1547&lt;= 28, S1547=9), "COVERAGE",AND(N1547&lt;= 30, S1547=9), "FLUSH",AND(N1547&lt;= 11, S1547=10), "FLUSH",AND(N1547&lt;= 21, S1547=10), "PRODUCTION")</f>
        <v>COVERAGE</v>
      </c>
      <c r="U1547">
        <f>HOUR(datos_siembra[[#This Row],[Hour]])</f>
        <v>16</v>
      </c>
      <c r="V1547" cm="1">
        <f t="array" ref="V1547">_xlfn.IFS(AND(N1547&lt;= 22, S1547=9), N1547-7,AND(N1547&lt;= 28, S1547=9), N1547-25,AND(N1547&lt;= 30, S1547=9), N1547-28,AND(N1547&lt;= 11, S1547=10), N1547+2,AND(N1547&lt;= 21, S1547=10), N1547-11)</f>
        <v>1</v>
      </c>
    </row>
    <row r="1548" spans="1:22" x14ac:dyDescent="0.35">
      <c r="A1548" s="4">
        <v>45561</v>
      </c>
      <c r="B1548" s="5">
        <v>0.69440972222222219</v>
      </c>
      <c r="C1548">
        <v>81.400000000000006</v>
      </c>
      <c r="D1548">
        <v>79.8</v>
      </c>
      <c r="E1548">
        <v>81.099999999999994</v>
      </c>
      <c r="F1548">
        <v>79.8</v>
      </c>
      <c r="G1548">
        <v>0</v>
      </c>
      <c r="H1548">
        <v>0</v>
      </c>
      <c r="I1548">
        <v>0</v>
      </c>
      <c r="J1548">
        <v>0</v>
      </c>
      <c r="K1548">
        <v>74.2</v>
      </c>
      <c r="L1548">
        <v>73.2</v>
      </c>
      <c r="M1548">
        <v>80.489999999999995</v>
      </c>
      <c r="N1548">
        <v>26</v>
      </c>
      <c r="O1548">
        <v>2</v>
      </c>
      <c r="P1548">
        <f>MOD(DAY(datos_siembra[[#This Row],[Date]]),7)</f>
        <v>5</v>
      </c>
      <c r="Q1548" t="str">
        <f>CHOOSE(WEEKDAY(datos_siembra[[#This Row],[Date]],2),"L","M","X","J","V","S","D")</f>
        <v>J</v>
      </c>
      <c r="R1548">
        <f>WEEKNUM(datos_siembra[[#This Row],[Date]],2)-WEEKNUM(DATE(YEAR(datos_siembra[[#This Row],[Date]]),MONTH(datos_siembra[[#This Row],[Date]]),1))+1</f>
        <v>4</v>
      </c>
      <c r="S1548">
        <f>MONTH(datos_siembra[[#This Row],[Date]])</f>
        <v>9</v>
      </c>
      <c r="T1548" t="str" cm="1">
        <f t="array" ref="T1548">_xlfn.IFS(AND(N1548&lt;= 22, S1548=9), "SOWING",AND(N1548&lt;= 28, S1548=9), "COVERAGE",AND(N1548&lt;= 30, S1548=9), "FLUSH",AND(N1548&lt;= 11, S1548=10), "FLUSH",AND(N1548&lt;= 21, S1548=10), "PRODUCTION")</f>
        <v>COVERAGE</v>
      </c>
      <c r="U1548">
        <f>HOUR(datos_siembra[[#This Row],[Hour]])</f>
        <v>16</v>
      </c>
      <c r="V1548" cm="1">
        <f t="array" ref="V1548">_xlfn.IFS(AND(N1548&lt;= 22, S1548=9), N1548-7,AND(N1548&lt;= 28, S1548=9), N1548-25,AND(N1548&lt;= 30, S1548=9), N1548-28,AND(N1548&lt;= 11, S1548=10), N1548+2,AND(N1548&lt;= 21, S1548=10), N1548-11)</f>
        <v>1</v>
      </c>
    </row>
    <row r="1549" spans="1:22" x14ac:dyDescent="0.35">
      <c r="A1549" s="4">
        <v>45561</v>
      </c>
      <c r="B1549" s="5">
        <v>0.70135416666666661</v>
      </c>
      <c r="C1549">
        <v>81.3</v>
      </c>
      <c r="D1549">
        <v>79.7</v>
      </c>
      <c r="E1549">
        <v>80.900000000000006</v>
      </c>
      <c r="F1549">
        <v>79.8</v>
      </c>
      <c r="G1549">
        <v>0</v>
      </c>
      <c r="H1549">
        <v>0</v>
      </c>
      <c r="I1549">
        <v>0</v>
      </c>
      <c r="J1549">
        <v>0</v>
      </c>
      <c r="K1549">
        <v>74.3</v>
      </c>
      <c r="L1549">
        <v>73.2</v>
      </c>
      <c r="M1549">
        <v>80.709999999999994</v>
      </c>
      <c r="N1549">
        <v>26</v>
      </c>
      <c r="O1549">
        <v>2</v>
      </c>
      <c r="P1549">
        <f>MOD(DAY(datos_siembra[[#This Row],[Date]]),7)</f>
        <v>5</v>
      </c>
      <c r="Q1549" t="str">
        <f>CHOOSE(WEEKDAY(datos_siembra[[#This Row],[Date]],2),"L","M","X","J","V","S","D")</f>
        <v>J</v>
      </c>
      <c r="R1549">
        <f>WEEKNUM(datos_siembra[[#This Row],[Date]],2)-WEEKNUM(DATE(YEAR(datos_siembra[[#This Row],[Date]]),MONTH(datos_siembra[[#This Row],[Date]]),1))+1</f>
        <v>4</v>
      </c>
      <c r="S1549">
        <f>MONTH(datos_siembra[[#This Row],[Date]])</f>
        <v>9</v>
      </c>
      <c r="T1549" t="str" cm="1">
        <f t="array" ref="T1549">_xlfn.IFS(AND(N1549&lt;= 22, S1549=9), "SOWING",AND(N1549&lt;= 28, S1549=9), "COVERAGE",AND(N1549&lt;= 30, S1549=9), "FLUSH",AND(N1549&lt;= 11, S1549=10), "FLUSH",AND(N1549&lt;= 21, S1549=10), "PRODUCTION")</f>
        <v>COVERAGE</v>
      </c>
      <c r="U1549">
        <f>HOUR(datos_siembra[[#This Row],[Hour]])</f>
        <v>16</v>
      </c>
      <c r="V1549" cm="1">
        <f t="array" ref="V1549">_xlfn.IFS(AND(N1549&lt;= 22, S1549=9), N1549-7,AND(N1549&lt;= 28, S1549=9), N1549-25,AND(N1549&lt;= 30, S1549=9), N1549-28,AND(N1549&lt;= 11, S1549=10), N1549+2,AND(N1549&lt;= 21, S1549=10), N1549-11)</f>
        <v>1</v>
      </c>
    </row>
    <row r="1550" spans="1:22" x14ac:dyDescent="0.35">
      <c r="A1550" s="4">
        <v>45561</v>
      </c>
      <c r="B1550" s="5">
        <v>0.70831018518518518</v>
      </c>
      <c r="C1550">
        <v>81.3</v>
      </c>
      <c r="D1550">
        <v>79.8</v>
      </c>
      <c r="E1550">
        <v>80.900000000000006</v>
      </c>
      <c r="F1550">
        <v>79.900000000000006</v>
      </c>
      <c r="G1550">
        <v>0</v>
      </c>
      <c r="H1550">
        <v>0</v>
      </c>
      <c r="I1550">
        <v>0</v>
      </c>
      <c r="J1550">
        <v>0</v>
      </c>
      <c r="K1550">
        <v>74.3</v>
      </c>
      <c r="L1550">
        <v>73.2</v>
      </c>
      <c r="M1550">
        <v>80.52</v>
      </c>
      <c r="N1550">
        <v>26</v>
      </c>
      <c r="O1550">
        <v>2</v>
      </c>
      <c r="P1550">
        <f>MOD(DAY(datos_siembra[[#This Row],[Date]]),7)</f>
        <v>5</v>
      </c>
      <c r="Q1550" t="str">
        <f>CHOOSE(WEEKDAY(datos_siembra[[#This Row],[Date]],2),"L","M","X","J","V","S","D")</f>
        <v>J</v>
      </c>
      <c r="R1550">
        <f>WEEKNUM(datos_siembra[[#This Row],[Date]],2)-WEEKNUM(DATE(YEAR(datos_siembra[[#This Row],[Date]]),MONTH(datos_siembra[[#This Row],[Date]]),1))+1</f>
        <v>4</v>
      </c>
      <c r="S1550">
        <f>MONTH(datos_siembra[[#This Row],[Date]])</f>
        <v>9</v>
      </c>
      <c r="T1550" t="str" cm="1">
        <f t="array" ref="T1550">_xlfn.IFS(AND(N1550&lt;= 22, S1550=9), "SOWING",AND(N1550&lt;= 28, S1550=9), "COVERAGE",AND(N1550&lt;= 30, S1550=9), "FLUSH",AND(N1550&lt;= 11, S1550=10), "FLUSH",AND(N1550&lt;= 21, S1550=10), "PRODUCTION")</f>
        <v>COVERAGE</v>
      </c>
      <c r="U1550">
        <f>HOUR(datos_siembra[[#This Row],[Hour]])</f>
        <v>16</v>
      </c>
      <c r="V1550" cm="1">
        <f t="array" ref="V1550">_xlfn.IFS(AND(N1550&lt;= 22, S1550=9), N1550-7,AND(N1550&lt;= 28, S1550=9), N1550-25,AND(N1550&lt;= 30, S1550=9), N1550-28,AND(N1550&lt;= 11, S1550=10), N1550+2,AND(N1550&lt;= 21, S1550=10), N1550-11)</f>
        <v>1</v>
      </c>
    </row>
    <row r="1551" spans="1:22" x14ac:dyDescent="0.35">
      <c r="A1551" s="4">
        <v>45561</v>
      </c>
      <c r="B1551" s="5">
        <v>0.7152546296296296</v>
      </c>
      <c r="C1551">
        <v>81.5</v>
      </c>
      <c r="D1551">
        <v>79.8</v>
      </c>
      <c r="E1551">
        <v>80.900000000000006</v>
      </c>
      <c r="F1551">
        <v>80.400000000000006</v>
      </c>
      <c r="G1551">
        <v>0</v>
      </c>
      <c r="H1551">
        <v>0</v>
      </c>
      <c r="I1551">
        <v>0</v>
      </c>
      <c r="J1551">
        <v>0</v>
      </c>
      <c r="K1551">
        <v>74.400000000000006</v>
      </c>
      <c r="L1551">
        <v>73.2</v>
      </c>
      <c r="M1551">
        <v>80.75</v>
      </c>
      <c r="N1551">
        <v>26</v>
      </c>
      <c r="O1551">
        <v>2</v>
      </c>
      <c r="P1551">
        <f>MOD(DAY(datos_siembra[[#This Row],[Date]]),7)</f>
        <v>5</v>
      </c>
      <c r="Q1551" t="str">
        <f>CHOOSE(WEEKDAY(datos_siembra[[#This Row],[Date]],2),"L","M","X","J","V","S","D")</f>
        <v>J</v>
      </c>
      <c r="R1551">
        <f>WEEKNUM(datos_siembra[[#This Row],[Date]],2)-WEEKNUM(DATE(YEAR(datos_siembra[[#This Row],[Date]]),MONTH(datos_siembra[[#This Row],[Date]]),1))+1</f>
        <v>4</v>
      </c>
      <c r="S1551">
        <f>MONTH(datos_siembra[[#This Row],[Date]])</f>
        <v>9</v>
      </c>
      <c r="T1551" t="str" cm="1">
        <f t="array" ref="T1551">_xlfn.IFS(AND(N1551&lt;= 22, S1551=9), "SOWING",AND(N1551&lt;= 28, S1551=9), "COVERAGE",AND(N1551&lt;= 30, S1551=9), "FLUSH",AND(N1551&lt;= 11, S1551=10), "FLUSH",AND(N1551&lt;= 21, S1551=10), "PRODUCTION")</f>
        <v>COVERAGE</v>
      </c>
      <c r="U1551">
        <f>HOUR(datos_siembra[[#This Row],[Hour]])</f>
        <v>17</v>
      </c>
      <c r="V1551" cm="1">
        <f t="array" ref="V1551">_xlfn.IFS(AND(N1551&lt;= 22, S1551=9), N1551-7,AND(N1551&lt;= 28, S1551=9), N1551-25,AND(N1551&lt;= 30, S1551=9), N1551-28,AND(N1551&lt;= 11, S1551=10), N1551+2,AND(N1551&lt;= 21, S1551=10), N1551-11)</f>
        <v>1</v>
      </c>
    </row>
    <row r="1552" spans="1:22" x14ac:dyDescent="0.35">
      <c r="A1552" s="4">
        <v>45561</v>
      </c>
      <c r="B1552" s="5">
        <v>0.72219907407407402</v>
      </c>
      <c r="C1552">
        <v>81.400000000000006</v>
      </c>
      <c r="D1552">
        <v>79.7</v>
      </c>
      <c r="E1552">
        <v>80.900000000000006</v>
      </c>
      <c r="F1552">
        <v>80.099999999999994</v>
      </c>
      <c r="G1552">
        <v>0</v>
      </c>
      <c r="H1552">
        <v>0</v>
      </c>
      <c r="I1552">
        <v>0</v>
      </c>
      <c r="J1552">
        <v>0</v>
      </c>
      <c r="K1552">
        <v>74.3</v>
      </c>
      <c r="L1552">
        <v>73.2</v>
      </c>
      <c r="M1552">
        <v>80.569999999999993</v>
      </c>
      <c r="N1552">
        <v>26</v>
      </c>
      <c r="O1552">
        <v>2</v>
      </c>
      <c r="P1552">
        <f>MOD(DAY(datos_siembra[[#This Row],[Date]]),7)</f>
        <v>5</v>
      </c>
      <c r="Q1552" t="str">
        <f>CHOOSE(WEEKDAY(datos_siembra[[#This Row],[Date]],2),"L","M","X","J","V","S","D")</f>
        <v>J</v>
      </c>
      <c r="R1552">
        <f>WEEKNUM(datos_siembra[[#This Row],[Date]],2)-WEEKNUM(DATE(YEAR(datos_siembra[[#This Row],[Date]]),MONTH(datos_siembra[[#This Row],[Date]]),1))+1</f>
        <v>4</v>
      </c>
      <c r="S1552">
        <f>MONTH(datos_siembra[[#This Row],[Date]])</f>
        <v>9</v>
      </c>
      <c r="T1552" t="str" cm="1">
        <f t="array" ref="T1552">_xlfn.IFS(AND(N1552&lt;= 22, S1552=9), "SOWING",AND(N1552&lt;= 28, S1552=9), "COVERAGE",AND(N1552&lt;= 30, S1552=9), "FLUSH",AND(N1552&lt;= 11, S1552=10), "FLUSH",AND(N1552&lt;= 21, S1552=10), "PRODUCTION")</f>
        <v>COVERAGE</v>
      </c>
      <c r="U1552">
        <f>HOUR(datos_siembra[[#This Row],[Hour]])</f>
        <v>17</v>
      </c>
      <c r="V1552" cm="1">
        <f t="array" ref="V1552">_xlfn.IFS(AND(N1552&lt;= 22, S1552=9), N1552-7,AND(N1552&lt;= 28, S1552=9), N1552-25,AND(N1552&lt;= 30, S1552=9), N1552-28,AND(N1552&lt;= 11, S1552=10), N1552+2,AND(N1552&lt;= 21, S1552=10), N1552-11)</f>
        <v>1</v>
      </c>
    </row>
    <row r="1553" spans="1:22" x14ac:dyDescent="0.35">
      <c r="A1553" s="4">
        <v>45561</v>
      </c>
      <c r="B1553" s="5">
        <v>0.72914351851851855</v>
      </c>
      <c r="C1553">
        <v>81.400000000000006</v>
      </c>
      <c r="D1553">
        <v>79.8</v>
      </c>
      <c r="E1553">
        <v>80.900000000000006</v>
      </c>
      <c r="F1553">
        <v>80.3</v>
      </c>
      <c r="G1553">
        <v>0</v>
      </c>
      <c r="H1553">
        <v>0</v>
      </c>
      <c r="I1553">
        <v>0</v>
      </c>
      <c r="J1553">
        <v>0</v>
      </c>
      <c r="K1553">
        <v>74.3</v>
      </c>
      <c r="L1553">
        <v>73.2</v>
      </c>
      <c r="M1553">
        <v>80.569999999999993</v>
      </c>
      <c r="N1553">
        <v>26</v>
      </c>
      <c r="O1553">
        <v>2</v>
      </c>
      <c r="P1553">
        <f>MOD(DAY(datos_siembra[[#This Row],[Date]]),7)</f>
        <v>5</v>
      </c>
      <c r="Q1553" t="str">
        <f>CHOOSE(WEEKDAY(datos_siembra[[#This Row],[Date]],2),"L","M","X","J","V","S","D")</f>
        <v>J</v>
      </c>
      <c r="R1553">
        <f>WEEKNUM(datos_siembra[[#This Row],[Date]],2)-WEEKNUM(DATE(YEAR(datos_siembra[[#This Row],[Date]]),MONTH(datos_siembra[[#This Row],[Date]]),1))+1</f>
        <v>4</v>
      </c>
      <c r="S1553">
        <f>MONTH(datos_siembra[[#This Row],[Date]])</f>
        <v>9</v>
      </c>
      <c r="T1553" t="str" cm="1">
        <f t="array" ref="T1553">_xlfn.IFS(AND(N1553&lt;= 22, S1553=9), "SOWING",AND(N1553&lt;= 28, S1553=9), "COVERAGE",AND(N1553&lt;= 30, S1553=9), "FLUSH",AND(N1553&lt;= 11, S1553=10), "FLUSH",AND(N1553&lt;= 21, S1553=10), "PRODUCTION")</f>
        <v>COVERAGE</v>
      </c>
      <c r="U1553">
        <f>HOUR(datos_siembra[[#This Row],[Hour]])</f>
        <v>17</v>
      </c>
      <c r="V1553" cm="1">
        <f t="array" ref="V1553">_xlfn.IFS(AND(N1553&lt;= 22, S1553=9), N1553-7,AND(N1553&lt;= 28, S1553=9), N1553-25,AND(N1553&lt;= 30, S1553=9), N1553-28,AND(N1553&lt;= 11, S1553=10), N1553+2,AND(N1553&lt;= 21, S1553=10), N1553-11)</f>
        <v>1</v>
      </c>
    </row>
    <row r="1554" spans="1:22" x14ac:dyDescent="0.35">
      <c r="A1554" s="4">
        <v>45561</v>
      </c>
      <c r="B1554" s="5">
        <v>0.73609953703703701</v>
      </c>
      <c r="C1554">
        <v>81.400000000000006</v>
      </c>
      <c r="D1554">
        <v>79.8</v>
      </c>
      <c r="E1554">
        <v>80.900000000000006</v>
      </c>
      <c r="F1554">
        <v>80.099999999999994</v>
      </c>
      <c r="G1554">
        <v>0</v>
      </c>
      <c r="H1554">
        <v>0</v>
      </c>
      <c r="I1554">
        <v>0</v>
      </c>
      <c r="J1554">
        <v>0</v>
      </c>
      <c r="K1554">
        <v>74.400000000000006</v>
      </c>
      <c r="L1554">
        <v>73.2</v>
      </c>
      <c r="M1554">
        <v>80.599999999999994</v>
      </c>
      <c r="N1554">
        <v>26</v>
      </c>
      <c r="O1554">
        <v>2</v>
      </c>
      <c r="P1554">
        <f>MOD(DAY(datos_siembra[[#This Row],[Date]]),7)</f>
        <v>5</v>
      </c>
      <c r="Q1554" t="str">
        <f>CHOOSE(WEEKDAY(datos_siembra[[#This Row],[Date]],2),"L","M","X","J","V","S","D")</f>
        <v>J</v>
      </c>
      <c r="R1554">
        <f>WEEKNUM(datos_siembra[[#This Row],[Date]],2)-WEEKNUM(DATE(YEAR(datos_siembra[[#This Row],[Date]]),MONTH(datos_siembra[[#This Row],[Date]]),1))+1</f>
        <v>4</v>
      </c>
      <c r="S1554">
        <f>MONTH(datos_siembra[[#This Row],[Date]])</f>
        <v>9</v>
      </c>
      <c r="T1554" t="str" cm="1">
        <f t="array" ref="T1554">_xlfn.IFS(AND(N1554&lt;= 22, S1554=9), "SOWING",AND(N1554&lt;= 28, S1554=9), "COVERAGE",AND(N1554&lt;= 30, S1554=9), "FLUSH",AND(N1554&lt;= 11, S1554=10), "FLUSH",AND(N1554&lt;= 21, S1554=10), "PRODUCTION")</f>
        <v>COVERAGE</v>
      </c>
      <c r="U1554">
        <f>HOUR(datos_siembra[[#This Row],[Hour]])</f>
        <v>17</v>
      </c>
      <c r="V1554" cm="1">
        <f t="array" ref="V1554">_xlfn.IFS(AND(N1554&lt;= 22, S1554=9), N1554-7,AND(N1554&lt;= 28, S1554=9), N1554-25,AND(N1554&lt;= 30, S1554=9), N1554-28,AND(N1554&lt;= 11, S1554=10), N1554+2,AND(N1554&lt;= 21, S1554=10), N1554-11)</f>
        <v>1</v>
      </c>
    </row>
    <row r="1555" spans="1:22" x14ac:dyDescent="0.35">
      <c r="A1555" s="4">
        <v>45561</v>
      </c>
      <c r="B1555" s="5">
        <v>0.74304398148148143</v>
      </c>
      <c r="C1555">
        <v>81.3</v>
      </c>
      <c r="D1555">
        <v>79.7</v>
      </c>
      <c r="E1555">
        <v>80.900000000000006</v>
      </c>
      <c r="F1555">
        <v>80.3</v>
      </c>
      <c r="G1555">
        <v>0</v>
      </c>
      <c r="H1555">
        <v>0</v>
      </c>
      <c r="I1555">
        <v>0</v>
      </c>
      <c r="J1555">
        <v>0</v>
      </c>
      <c r="K1555">
        <v>74.400000000000006</v>
      </c>
      <c r="L1555">
        <v>73.3</v>
      </c>
      <c r="M1555">
        <v>80.599999999999994</v>
      </c>
      <c r="N1555">
        <v>26</v>
      </c>
      <c r="O1555">
        <v>2</v>
      </c>
      <c r="P1555">
        <f>MOD(DAY(datos_siembra[[#This Row],[Date]]),7)</f>
        <v>5</v>
      </c>
      <c r="Q1555" t="str">
        <f>CHOOSE(WEEKDAY(datos_siembra[[#This Row],[Date]],2),"L","M","X","J","V","S","D")</f>
        <v>J</v>
      </c>
      <c r="R1555">
        <f>WEEKNUM(datos_siembra[[#This Row],[Date]],2)-WEEKNUM(DATE(YEAR(datos_siembra[[#This Row],[Date]]),MONTH(datos_siembra[[#This Row],[Date]]),1))+1</f>
        <v>4</v>
      </c>
      <c r="S1555">
        <f>MONTH(datos_siembra[[#This Row],[Date]])</f>
        <v>9</v>
      </c>
      <c r="T1555" t="str" cm="1">
        <f t="array" ref="T1555">_xlfn.IFS(AND(N1555&lt;= 22, S1555=9), "SOWING",AND(N1555&lt;= 28, S1555=9), "COVERAGE",AND(N1555&lt;= 30, S1555=9), "FLUSH",AND(N1555&lt;= 11, S1555=10), "FLUSH",AND(N1555&lt;= 21, S1555=10), "PRODUCTION")</f>
        <v>COVERAGE</v>
      </c>
      <c r="U1555">
        <f>HOUR(datos_siembra[[#This Row],[Hour]])</f>
        <v>17</v>
      </c>
      <c r="V1555" cm="1">
        <f t="array" ref="V1555">_xlfn.IFS(AND(N1555&lt;= 22, S1555=9), N1555-7,AND(N1555&lt;= 28, S1555=9), N1555-25,AND(N1555&lt;= 30, S1555=9), N1555-28,AND(N1555&lt;= 11, S1555=10), N1555+2,AND(N1555&lt;= 21, S1555=10), N1555-11)</f>
        <v>1</v>
      </c>
    </row>
    <row r="1556" spans="1:22" x14ac:dyDescent="0.35">
      <c r="A1556" s="4">
        <v>45561</v>
      </c>
      <c r="B1556" s="5">
        <v>0.74998842592592596</v>
      </c>
      <c r="C1556">
        <v>81.3</v>
      </c>
      <c r="D1556">
        <v>79.900000000000006</v>
      </c>
      <c r="E1556">
        <v>81.099999999999994</v>
      </c>
      <c r="F1556">
        <v>80.400000000000006</v>
      </c>
      <c r="G1556">
        <v>0</v>
      </c>
      <c r="H1556">
        <v>0</v>
      </c>
      <c r="I1556">
        <v>0</v>
      </c>
      <c r="J1556">
        <v>0</v>
      </c>
      <c r="K1556">
        <v>74.400000000000006</v>
      </c>
      <c r="L1556">
        <v>73.3</v>
      </c>
      <c r="M1556">
        <v>80.599999999999994</v>
      </c>
      <c r="N1556">
        <v>26</v>
      </c>
      <c r="O1556">
        <v>2</v>
      </c>
      <c r="P1556">
        <f>MOD(DAY(datos_siembra[[#This Row],[Date]]),7)</f>
        <v>5</v>
      </c>
      <c r="Q1556" t="str">
        <f>CHOOSE(WEEKDAY(datos_siembra[[#This Row],[Date]],2),"L","M","X","J","V","S","D")</f>
        <v>J</v>
      </c>
      <c r="R1556">
        <f>WEEKNUM(datos_siembra[[#This Row],[Date]],2)-WEEKNUM(DATE(YEAR(datos_siembra[[#This Row],[Date]]),MONTH(datos_siembra[[#This Row],[Date]]),1))+1</f>
        <v>4</v>
      </c>
      <c r="S1556">
        <f>MONTH(datos_siembra[[#This Row],[Date]])</f>
        <v>9</v>
      </c>
      <c r="T1556" t="str" cm="1">
        <f t="array" ref="T1556">_xlfn.IFS(AND(N1556&lt;= 22, S1556=9), "SOWING",AND(N1556&lt;= 28, S1556=9), "COVERAGE",AND(N1556&lt;= 30, S1556=9), "FLUSH",AND(N1556&lt;= 11, S1556=10), "FLUSH",AND(N1556&lt;= 21, S1556=10), "PRODUCTION")</f>
        <v>COVERAGE</v>
      </c>
      <c r="U1556">
        <f>HOUR(datos_siembra[[#This Row],[Hour]])</f>
        <v>17</v>
      </c>
      <c r="V1556" cm="1">
        <f t="array" ref="V1556">_xlfn.IFS(AND(N1556&lt;= 22, S1556=9), N1556-7,AND(N1556&lt;= 28, S1556=9), N1556-25,AND(N1556&lt;= 30, S1556=9), N1556-28,AND(N1556&lt;= 11, S1556=10), N1556+2,AND(N1556&lt;= 21, S1556=10), N1556-11)</f>
        <v>1</v>
      </c>
    </row>
    <row r="1557" spans="1:22" x14ac:dyDescent="0.35">
      <c r="A1557" s="4">
        <v>45561</v>
      </c>
      <c r="B1557" s="5">
        <v>0.75694444444444442</v>
      </c>
      <c r="C1557">
        <v>81.400000000000006</v>
      </c>
      <c r="D1557">
        <v>79.8</v>
      </c>
      <c r="E1557">
        <v>80.8</v>
      </c>
      <c r="F1557">
        <v>80.099999999999994</v>
      </c>
      <c r="G1557">
        <v>0</v>
      </c>
      <c r="H1557">
        <v>0</v>
      </c>
      <c r="I1557">
        <v>0</v>
      </c>
      <c r="J1557">
        <v>0</v>
      </c>
      <c r="K1557">
        <v>74.400000000000006</v>
      </c>
      <c r="L1557">
        <v>73.3</v>
      </c>
      <c r="M1557">
        <v>80.63</v>
      </c>
      <c r="N1557">
        <v>26</v>
      </c>
      <c r="O1557">
        <v>2</v>
      </c>
      <c r="P1557">
        <f>MOD(DAY(datos_siembra[[#This Row],[Date]]),7)</f>
        <v>5</v>
      </c>
      <c r="Q1557" t="str">
        <f>CHOOSE(WEEKDAY(datos_siembra[[#This Row],[Date]],2),"L","M","X","J","V","S","D")</f>
        <v>J</v>
      </c>
      <c r="R1557">
        <f>WEEKNUM(datos_siembra[[#This Row],[Date]],2)-WEEKNUM(DATE(YEAR(datos_siembra[[#This Row],[Date]]),MONTH(datos_siembra[[#This Row],[Date]]),1))+1</f>
        <v>4</v>
      </c>
      <c r="S1557">
        <f>MONTH(datos_siembra[[#This Row],[Date]])</f>
        <v>9</v>
      </c>
      <c r="T1557" t="str" cm="1">
        <f t="array" ref="T1557">_xlfn.IFS(AND(N1557&lt;= 22, S1557=9), "SOWING",AND(N1557&lt;= 28, S1557=9), "COVERAGE",AND(N1557&lt;= 30, S1557=9), "FLUSH",AND(N1557&lt;= 11, S1557=10), "FLUSH",AND(N1557&lt;= 21, S1557=10), "PRODUCTION")</f>
        <v>COVERAGE</v>
      </c>
      <c r="U1557">
        <f>HOUR(datos_siembra[[#This Row],[Hour]])</f>
        <v>18</v>
      </c>
      <c r="V1557" cm="1">
        <f t="array" ref="V1557">_xlfn.IFS(AND(N1557&lt;= 22, S1557=9), N1557-7,AND(N1557&lt;= 28, S1557=9), N1557-25,AND(N1557&lt;= 30, S1557=9), N1557-28,AND(N1557&lt;= 11, S1557=10), N1557+2,AND(N1557&lt;= 21, S1557=10), N1557-11)</f>
        <v>1</v>
      </c>
    </row>
    <row r="1558" spans="1:22" x14ac:dyDescent="0.35">
      <c r="A1558" s="4">
        <v>45561</v>
      </c>
      <c r="B1558" s="5">
        <v>0.76388888888888884</v>
      </c>
      <c r="C1558">
        <v>81.400000000000006</v>
      </c>
      <c r="D1558">
        <v>79.8</v>
      </c>
      <c r="E1558">
        <v>80.900000000000006</v>
      </c>
      <c r="F1558">
        <v>80.3</v>
      </c>
      <c r="G1558">
        <v>0</v>
      </c>
      <c r="H1558">
        <v>0</v>
      </c>
      <c r="I1558">
        <v>0</v>
      </c>
      <c r="J1558">
        <v>0</v>
      </c>
      <c r="K1558">
        <v>74.400000000000006</v>
      </c>
      <c r="L1558">
        <v>73.3</v>
      </c>
      <c r="M1558">
        <v>80.599999999999994</v>
      </c>
      <c r="N1558">
        <v>26</v>
      </c>
      <c r="O1558">
        <v>2</v>
      </c>
      <c r="P1558">
        <f>MOD(DAY(datos_siembra[[#This Row],[Date]]),7)</f>
        <v>5</v>
      </c>
      <c r="Q1558" t="str">
        <f>CHOOSE(WEEKDAY(datos_siembra[[#This Row],[Date]],2),"L","M","X","J","V","S","D")</f>
        <v>J</v>
      </c>
      <c r="R1558">
        <f>WEEKNUM(datos_siembra[[#This Row],[Date]],2)-WEEKNUM(DATE(YEAR(datos_siembra[[#This Row],[Date]]),MONTH(datos_siembra[[#This Row],[Date]]),1))+1</f>
        <v>4</v>
      </c>
      <c r="S1558">
        <f>MONTH(datos_siembra[[#This Row],[Date]])</f>
        <v>9</v>
      </c>
      <c r="T1558" t="str" cm="1">
        <f t="array" ref="T1558">_xlfn.IFS(AND(N1558&lt;= 22, S1558=9), "SOWING",AND(N1558&lt;= 28, S1558=9), "COVERAGE",AND(N1558&lt;= 30, S1558=9), "FLUSH",AND(N1558&lt;= 11, S1558=10), "FLUSH",AND(N1558&lt;= 21, S1558=10), "PRODUCTION")</f>
        <v>COVERAGE</v>
      </c>
      <c r="U1558">
        <f>HOUR(datos_siembra[[#This Row],[Hour]])</f>
        <v>18</v>
      </c>
      <c r="V1558" cm="1">
        <f t="array" ref="V1558">_xlfn.IFS(AND(N1558&lt;= 22, S1558=9), N1558-7,AND(N1558&lt;= 28, S1558=9), N1558-25,AND(N1558&lt;= 30, S1558=9), N1558-28,AND(N1558&lt;= 11, S1558=10), N1558+2,AND(N1558&lt;= 21, S1558=10), N1558-11)</f>
        <v>1</v>
      </c>
    </row>
    <row r="1559" spans="1:22" x14ac:dyDescent="0.35">
      <c r="A1559" s="4">
        <v>45561</v>
      </c>
      <c r="B1559" s="5">
        <v>0.77083333333333337</v>
      </c>
      <c r="C1559">
        <v>81.400000000000006</v>
      </c>
      <c r="D1559">
        <v>79.8</v>
      </c>
      <c r="E1559">
        <v>81.2</v>
      </c>
      <c r="F1559">
        <v>80.400000000000006</v>
      </c>
      <c r="G1559">
        <v>0</v>
      </c>
      <c r="H1559">
        <v>0</v>
      </c>
      <c r="I1559">
        <v>0</v>
      </c>
      <c r="J1559">
        <v>0</v>
      </c>
      <c r="K1559">
        <v>74.400000000000006</v>
      </c>
      <c r="L1559">
        <v>73.3</v>
      </c>
      <c r="M1559">
        <v>80.66</v>
      </c>
      <c r="N1559">
        <v>26</v>
      </c>
      <c r="O1559">
        <v>2</v>
      </c>
      <c r="P1559">
        <f>MOD(DAY(datos_siembra[[#This Row],[Date]]),7)</f>
        <v>5</v>
      </c>
      <c r="Q1559" t="str">
        <f>CHOOSE(WEEKDAY(datos_siembra[[#This Row],[Date]],2),"L","M","X","J","V","S","D")</f>
        <v>J</v>
      </c>
      <c r="R1559">
        <f>WEEKNUM(datos_siembra[[#This Row],[Date]],2)-WEEKNUM(DATE(YEAR(datos_siembra[[#This Row],[Date]]),MONTH(datos_siembra[[#This Row],[Date]]),1))+1</f>
        <v>4</v>
      </c>
      <c r="S1559">
        <f>MONTH(datos_siembra[[#This Row],[Date]])</f>
        <v>9</v>
      </c>
      <c r="T1559" t="str" cm="1">
        <f t="array" ref="T1559">_xlfn.IFS(AND(N1559&lt;= 22, S1559=9), "SOWING",AND(N1559&lt;= 28, S1559=9), "COVERAGE",AND(N1559&lt;= 30, S1559=9), "FLUSH",AND(N1559&lt;= 11, S1559=10), "FLUSH",AND(N1559&lt;= 21, S1559=10), "PRODUCTION")</f>
        <v>COVERAGE</v>
      </c>
      <c r="U1559">
        <f>HOUR(datos_siembra[[#This Row],[Hour]])</f>
        <v>18</v>
      </c>
      <c r="V1559" cm="1">
        <f t="array" ref="V1559">_xlfn.IFS(AND(N1559&lt;= 22, S1559=9), N1559-7,AND(N1559&lt;= 28, S1559=9), N1559-25,AND(N1559&lt;= 30, S1559=9), N1559-28,AND(N1559&lt;= 11, S1559=10), N1559+2,AND(N1559&lt;= 21, S1559=10), N1559-11)</f>
        <v>1</v>
      </c>
    </row>
    <row r="1560" spans="1:22" x14ac:dyDescent="0.35">
      <c r="A1560" s="4">
        <v>45561</v>
      </c>
      <c r="B1560" s="5">
        <v>0.77777777777777779</v>
      </c>
      <c r="C1560">
        <v>81.400000000000006</v>
      </c>
      <c r="D1560">
        <v>79.8</v>
      </c>
      <c r="E1560">
        <v>80.900000000000006</v>
      </c>
      <c r="F1560">
        <v>80.599999999999994</v>
      </c>
      <c r="G1560">
        <v>0</v>
      </c>
      <c r="H1560">
        <v>0</v>
      </c>
      <c r="I1560">
        <v>0</v>
      </c>
      <c r="J1560">
        <v>0</v>
      </c>
      <c r="K1560">
        <v>74.400000000000006</v>
      </c>
      <c r="L1560">
        <v>73.3</v>
      </c>
      <c r="M1560">
        <v>80.709999999999994</v>
      </c>
      <c r="N1560">
        <v>26</v>
      </c>
      <c r="O1560">
        <v>2</v>
      </c>
      <c r="P1560">
        <f>MOD(DAY(datos_siembra[[#This Row],[Date]]),7)</f>
        <v>5</v>
      </c>
      <c r="Q1560" t="str">
        <f>CHOOSE(WEEKDAY(datos_siembra[[#This Row],[Date]],2),"L","M","X","J","V","S","D")</f>
        <v>J</v>
      </c>
      <c r="R1560">
        <f>WEEKNUM(datos_siembra[[#This Row],[Date]],2)-WEEKNUM(DATE(YEAR(datos_siembra[[#This Row],[Date]]),MONTH(datos_siembra[[#This Row],[Date]]),1))+1</f>
        <v>4</v>
      </c>
      <c r="S1560">
        <f>MONTH(datos_siembra[[#This Row],[Date]])</f>
        <v>9</v>
      </c>
      <c r="T1560" t="str" cm="1">
        <f t="array" ref="T1560">_xlfn.IFS(AND(N1560&lt;= 22, S1560=9), "SOWING",AND(N1560&lt;= 28, S1560=9), "COVERAGE",AND(N1560&lt;= 30, S1560=9), "FLUSH",AND(N1560&lt;= 11, S1560=10), "FLUSH",AND(N1560&lt;= 21, S1560=10), "PRODUCTION")</f>
        <v>COVERAGE</v>
      </c>
      <c r="U1560">
        <f>HOUR(datos_siembra[[#This Row],[Hour]])</f>
        <v>18</v>
      </c>
      <c r="V1560" cm="1">
        <f t="array" ref="V1560">_xlfn.IFS(AND(N1560&lt;= 22, S1560=9), N1560-7,AND(N1560&lt;= 28, S1560=9), N1560-25,AND(N1560&lt;= 30, S1560=9), N1560-28,AND(N1560&lt;= 11, S1560=10), N1560+2,AND(N1560&lt;= 21, S1560=10), N1560-11)</f>
        <v>1</v>
      </c>
    </row>
    <row r="1561" spans="1:22" x14ac:dyDescent="0.35">
      <c r="A1561" s="4">
        <v>45561</v>
      </c>
      <c r="B1561" s="5">
        <v>0.78473379629629625</v>
      </c>
      <c r="C1561">
        <v>81.5</v>
      </c>
      <c r="D1561">
        <v>79.900000000000006</v>
      </c>
      <c r="E1561">
        <v>81.099999999999994</v>
      </c>
      <c r="F1561">
        <v>80.400000000000006</v>
      </c>
      <c r="G1561">
        <v>0</v>
      </c>
      <c r="H1561">
        <v>0</v>
      </c>
      <c r="I1561">
        <v>0</v>
      </c>
      <c r="J1561">
        <v>0</v>
      </c>
      <c r="K1561">
        <v>74.5</v>
      </c>
      <c r="L1561">
        <v>73.3</v>
      </c>
      <c r="M1561">
        <v>80.77</v>
      </c>
      <c r="N1561">
        <v>26</v>
      </c>
      <c r="O1561">
        <v>2</v>
      </c>
      <c r="P1561">
        <f>MOD(DAY(datos_siembra[[#This Row],[Date]]),7)</f>
        <v>5</v>
      </c>
      <c r="Q1561" t="str">
        <f>CHOOSE(WEEKDAY(datos_siembra[[#This Row],[Date]],2),"L","M","X","J","V","S","D")</f>
        <v>J</v>
      </c>
      <c r="R1561">
        <f>WEEKNUM(datos_siembra[[#This Row],[Date]],2)-WEEKNUM(DATE(YEAR(datos_siembra[[#This Row],[Date]]),MONTH(datos_siembra[[#This Row],[Date]]),1))+1</f>
        <v>4</v>
      </c>
      <c r="S1561">
        <f>MONTH(datos_siembra[[#This Row],[Date]])</f>
        <v>9</v>
      </c>
      <c r="T1561" t="str" cm="1">
        <f t="array" ref="T1561">_xlfn.IFS(AND(N1561&lt;= 22, S1561=9), "SOWING",AND(N1561&lt;= 28, S1561=9), "COVERAGE",AND(N1561&lt;= 30, S1561=9), "FLUSH",AND(N1561&lt;= 11, S1561=10), "FLUSH",AND(N1561&lt;= 21, S1561=10), "PRODUCTION")</f>
        <v>COVERAGE</v>
      </c>
      <c r="U1561">
        <f>HOUR(datos_siembra[[#This Row],[Hour]])</f>
        <v>18</v>
      </c>
      <c r="V1561" cm="1">
        <f t="array" ref="V1561">_xlfn.IFS(AND(N1561&lt;= 22, S1561=9), N1561-7,AND(N1561&lt;= 28, S1561=9), N1561-25,AND(N1561&lt;= 30, S1561=9), N1561-28,AND(N1561&lt;= 11, S1561=10), N1561+2,AND(N1561&lt;= 21, S1561=10), N1561-11)</f>
        <v>1</v>
      </c>
    </row>
    <row r="1562" spans="1:22" x14ac:dyDescent="0.35">
      <c r="A1562" s="4">
        <v>45561</v>
      </c>
      <c r="B1562" s="5">
        <v>0.79167824074074078</v>
      </c>
      <c r="C1562">
        <v>81.400000000000006</v>
      </c>
      <c r="D1562">
        <v>79.900000000000006</v>
      </c>
      <c r="E1562">
        <v>81.3</v>
      </c>
      <c r="F1562">
        <v>80.3</v>
      </c>
      <c r="G1562">
        <v>0</v>
      </c>
      <c r="H1562">
        <v>0</v>
      </c>
      <c r="I1562">
        <v>0</v>
      </c>
      <c r="J1562">
        <v>0</v>
      </c>
      <c r="K1562">
        <v>74.5</v>
      </c>
      <c r="L1562">
        <v>73.400000000000006</v>
      </c>
      <c r="M1562">
        <v>80.63</v>
      </c>
      <c r="N1562">
        <v>26</v>
      </c>
      <c r="O1562">
        <v>2</v>
      </c>
      <c r="P1562">
        <f>MOD(DAY(datos_siembra[[#This Row],[Date]]),7)</f>
        <v>5</v>
      </c>
      <c r="Q1562" t="str">
        <f>CHOOSE(WEEKDAY(datos_siembra[[#This Row],[Date]],2),"L","M","X","J","V","S","D")</f>
        <v>J</v>
      </c>
      <c r="R1562">
        <f>WEEKNUM(datos_siembra[[#This Row],[Date]],2)-WEEKNUM(DATE(YEAR(datos_siembra[[#This Row],[Date]]),MONTH(datos_siembra[[#This Row],[Date]]),1))+1</f>
        <v>4</v>
      </c>
      <c r="S1562">
        <f>MONTH(datos_siembra[[#This Row],[Date]])</f>
        <v>9</v>
      </c>
      <c r="T1562" t="str" cm="1">
        <f t="array" ref="T1562">_xlfn.IFS(AND(N1562&lt;= 22, S1562=9), "SOWING",AND(N1562&lt;= 28, S1562=9), "COVERAGE",AND(N1562&lt;= 30, S1562=9), "FLUSH",AND(N1562&lt;= 11, S1562=10), "FLUSH",AND(N1562&lt;= 21, S1562=10), "PRODUCTION")</f>
        <v>COVERAGE</v>
      </c>
      <c r="U1562">
        <f>HOUR(datos_siembra[[#This Row],[Hour]])</f>
        <v>19</v>
      </c>
      <c r="V1562" cm="1">
        <f t="array" ref="V1562">_xlfn.IFS(AND(N1562&lt;= 22, S1562=9), N1562-7,AND(N1562&lt;= 28, S1562=9), N1562-25,AND(N1562&lt;= 30, S1562=9), N1562-28,AND(N1562&lt;= 11, S1562=10), N1562+2,AND(N1562&lt;= 21, S1562=10), N1562-11)</f>
        <v>1</v>
      </c>
    </row>
    <row r="1563" spans="1:22" x14ac:dyDescent="0.35">
      <c r="A1563" s="4">
        <v>45561</v>
      </c>
      <c r="B1563" s="5">
        <v>0.7986226851851852</v>
      </c>
      <c r="C1563">
        <v>81.5</v>
      </c>
      <c r="D1563">
        <v>79.900000000000006</v>
      </c>
      <c r="E1563">
        <v>81.099999999999994</v>
      </c>
      <c r="F1563">
        <v>80.599999999999994</v>
      </c>
      <c r="G1563">
        <v>0</v>
      </c>
      <c r="H1563">
        <v>0</v>
      </c>
      <c r="I1563">
        <v>0</v>
      </c>
      <c r="J1563">
        <v>0</v>
      </c>
      <c r="K1563">
        <v>74.5</v>
      </c>
      <c r="L1563">
        <v>73.400000000000006</v>
      </c>
      <c r="M1563">
        <v>80.739999999999995</v>
      </c>
      <c r="N1563">
        <v>26</v>
      </c>
      <c r="O1563">
        <v>2</v>
      </c>
      <c r="P1563">
        <f>MOD(DAY(datos_siembra[[#This Row],[Date]]),7)</f>
        <v>5</v>
      </c>
      <c r="Q1563" t="str">
        <f>CHOOSE(WEEKDAY(datos_siembra[[#This Row],[Date]],2),"L","M","X","J","V","S","D")</f>
        <v>J</v>
      </c>
      <c r="R1563">
        <f>WEEKNUM(datos_siembra[[#This Row],[Date]],2)-WEEKNUM(DATE(YEAR(datos_siembra[[#This Row],[Date]]),MONTH(datos_siembra[[#This Row],[Date]]),1))+1</f>
        <v>4</v>
      </c>
      <c r="S1563">
        <f>MONTH(datos_siembra[[#This Row],[Date]])</f>
        <v>9</v>
      </c>
      <c r="T1563" t="str" cm="1">
        <f t="array" ref="T1563">_xlfn.IFS(AND(N1563&lt;= 22, S1563=9), "SOWING",AND(N1563&lt;= 28, S1563=9), "COVERAGE",AND(N1563&lt;= 30, S1563=9), "FLUSH",AND(N1563&lt;= 11, S1563=10), "FLUSH",AND(N1563&lt;= 21, S1563=10), "PRODUCTION")</f>
        <v>COVERAGE</v>
      </c>
      <c r="U1563">
        <f>HOUR(datos_siembra[[#This Row],[Hour]])</f>
        <v>19</v>
      </c>
      <c r="V1563" cm="1">
        <f t="array" ref="V1563">_xlfn.IFS(AND(N1563&lt;= 22, S1563=9), N1563-7,AND(N1563&lt;= 28, S1563=9), N1563-25,AND(N1563&lt;= 30, S1563=9), N1563-28,AND(N1563&lt;= 11, S1563=10), N1563+2,AND(N1563&lt;= 21, S1563=10), N1563-11)</f>
        <v>1</v>
      </c>
    </row>
    <row r="1564" spans="1:22" x14ac:dyDescent="0.35">
      <c r="A1564" s="4">
        <v>45561</v>
      </c>
      <c r="B1564" s="5">
        <v>0.80556712962962962</v>
      </c>
      <c r="C1564">
        <v>81.400000000000006</v>
      </c>
      <c r="D1564">
        <v>79.900000000000006</v>
      </c>
      <c r="E1564">
        <v>81.2</v>
      </c>
      <c r="F1564">
        <v>80.5</v>
      </c>
      <c r="G1564">
        <v>0</v>
      </c>
      <c r="H1564">
        <v>0</v>
      </c>
      <c r="I1564">
        <v>0</v>
      </c>
      <c r="J1564">
        <v>0</v>
      </c>
      <c r="K1564">
        <v>74.5</v>
      </c>
      <c r="L1564">
        <v>73.400000000000006</v>
      </c>
      <c r="M1564">
        <v>80.739999999999995</v>
      </c>
      <c r="N1564">
        <v>26</v>
      </c>
      <c r="O1564">
        <v>2</v>
      </c>
      <c r="P1564">
        <f>MOD(DAY(datos_siembra[[#This Row],[Date]]),7)</f>
        <v>5</v>
      </c>
      <c r="Q1564" t="str">
        <f>CHOOSE(WEEKDAY(datos_siembra[[#This Row],[Date]],2),"L","M","X","J","V","S","D")</f>
        <v>J</v>
      </c>
      <c r="R1564">
        <f>WEEKNUM(datos_siembra[[#This Row],[Date]],2)-WEEKNUM(DATE(YEAR(datos_siembra[[#This Row],[Date]]),MONTH(datos_siembra[[#This Row],[Date]]),1))+1</f>
        <v>4</v>
      </c>
      <c r="S1564">
        <f>MONTH(datos_siembra[[#This Row],[Date]])</f>
        <v>9</v>
      </c>
      <c r="T1564" t="str" cm="1">
        <f t="array" ref="T1564">_xlfn.IFS(AND(N1564&lt;= 22, S1564=9), "SOWING",AND(N1564&lt;= 28, S1564=9), "COVERAGE",AND(N1564&lt;= 30, S1564=9), "FLUSH",AND(N1564&lt;= 11, S1564=10), "FLUSH",AND(N1564&lt;= 21, S1564=10), "PRODUCTION")</f>
        <v>COVERAGE</v>
      </c>
      <c r="U1564">
        <f>HOUR(datos_siembra[[#This Row],[Hour]])</f>
        <v>19</v>
      </c>
      <c r="V1564" cm="1">
        <f t="array" ref="V1564">_xlfn.IFS(AND(N1564&lt;= 22, S1564=9), N1564-7,AND(N1564&lt;= 28, S1564=9), N1564-25,AND(N1564&lt;= 30, S1564=9), N1564-28,AND(N1564&lt;= 11, S1564=10), N1564+2,AND(N1564&lt;= 21, S1564=10), N1564-11)</f>
        <v>1</v>
      </c>
    </row>
    <row r="1565" spans="1:22" x14ac:dyDescent="0.35">
      <c r="A1565" s="4">
        <v>45561</v>
      </c>
      <c r="B1565" s="5">
        <v>0.81252314814814819</v>
      </c>
      <c r="C1565">
        <v>81.5</v>
      </c>
      <c r="D1565">
        <v>80</v>
      </c>
      <c r="E1565">
        <v>81.2</v>
      </c>
      <c r="F1565">
        <v>80.599999999999994</v>
      </c>
      <c r="G1565">
        <v>0</v>
      </c>
      <c r="H1565">
        <v>0</v>
      </c>
      <c r="I1565">
        <v>0</v>
      </c>
      <c r="J1565">
        <v>0</v>
      </c>
      <c r="K1565">
        <v>74.5</v>
      </c>
      <c r="L1565">
        <v>73.3</v>
      </c>
      <c r="M1565">
        <v>80.8</v>
      </c>
      <c r="N1565">
        <v>26</v>
      </c>
      <c r="O1565">
        <v>2</v>
      </c>
      <c r="P1565">
        <f>MOD(DAY(datos_siembra[[#This Row],[Date]]),7)</f>
        <v>5</v>
      </c>
      <c r="Q1565" t="str">
        <f>CHOOSE(WEEKDAY(datos_siembra[[#This Row],[Date]],2),"L","M","X","J","V","S","D")</f>
        <v>J</v>
      </c>
      <c r="R1565">
        <f>WEEKNUM(datos_siembra[[#This Row],[Date]],2)-WEEKNUM(DATE(YEAR(datos_siembra[[#This Row],[Date]]),MONTH(datos_siembra[[#This Row],[Date]]),1))+1</f>
        <v>4</v>
      </c>
      <c r="S1565">
        <f>MONTH(datos_siembra[[#This Row],[Date]])</f>
        <v>9</v>
      </c>
      <c r="T1565" t="str" cm="1">
        <f t="array" ref="T1565">_xlfn.IFS(AND(N1565&lt;= 22, S1565=9), "SOWING",AND(N1565&lt;= 28, S1565=9), "COVERAGE",AND(N1565&lt;= 30, S1565=9), "FLUSH",AND(N1565&lt;= 11, S1565=10), "FLUSH",AND(N1565&lt;= 21, S1565=10), "PRODUCTION")</f>
        <v>COVERAGE</v>
      </c>
      <c r="U1565">
        <f>HOUR(datos_siembra[[#This Row],[Hour]])</f>
        <v>19</v>
      </c>
      <c r="V1565" cm="1">
        <f t="array" ref="V1565">_xlfn.IFS(AND(N1565&lt;= 22, S1565=9), N1565-7,AND(N1565&lt;= 28, S1565=9), N1565-25,AND(N1565&lt;= 30, S1565=9), N1565-28,AND(N1565&lt;= 11, S1565=10), N1565+2,AND(N1565&lt;= 21, S1565=10), N1565-11)</f>
        <v>1</v>
      </c>
    </row>
    <row r="1566" spans="1:22" x14ac:dyDescent="0.35">
      <c r="A1566" s="4">
        <v>45561</v>
      </c>
      <c r="B1566" s="5">
        <v>0.81946759259259261</v>
      </c>
      <c r="C1566">
        <v>81.5</v>
      </c>
      <c r="D1566">
        <v>80.099999999999994</v>
      </c>
      <c r="E1566">
        <v>81.2</v>
      </c>
      <c r="F1566">
        <v>80.400000000000006</v>
      </c>
      <c r="G1566">
        <v>0</v>
      </c>
      <c r="H1566">
        <v>0</v>
      </c>
      <c r="I1566">
        <v>0</v>
      </c>
      <c r="J1566">
        <v>0</v>
      </c>
      <c r="K1566">
        <v>74.5</v>
      </c>
      <c r="L1566">
        <v>73.400000000000006</v>
      </c>
      <c r="M1566">
        <v>80.66</v>
      </c>
      <c r="N1566">
        <v>26</v>
      </c>
      <c r="O1566">
        <v>2</v>
      </c>
      <c r="P1566">
        <f>MOD(DAY(datos_siembra[[#This Row],[Date]]),7)</f>
        <v>5</v>
      </c>
      <c r="Q1566" t="str">
        <f>CHOOSE(WEEKDAY(datos_siembra[[#This Row],[Date]],2),"L","M","X","J","V","S","D")</f>
        <v>J</v>
      </c>
      <c r="R1566">
        <f>WEEKNUM(datos_siembra[[#This Row],[Date]],2)-WEEKNUM(DATE(YEAR(datos_siembra[[#This Row],[Date]]),MONTH(datos_siembra[[#This Row],[Date]]),1))+1</f>
        <v>4</v>
      </c>
      <c r="S1566">
        <f>MONTH(datos_siembra[[#This Row],[Date]])</f>
        <v>9</v>
      </c>
      <c r="T1566" t="str" cm="1">
        <f t="array" ref="T1566">_xlfn.IFS(AND(N1566&lt;= 22, S1566=9), "SOWING",AND(N1566&lt;= 28, S1566=9), "COVERAGE",AND(N1566&lt;= 30, S1566=9), "FLUSH",AND(N1566&lt;= 11, S1566=10), "FLUSH",AND(N1566&lt;= 21, S1566=10), "PRODUCTION")</f>
        <v>COVERAGE</v>
      </c>
      <c r="U1566">
        <f>HOUR(datos_siembra[[#This Row],[Hour]])</f>
        <v>19</v>
      </c>
      <c r="V1566" cm="1">
        <f t="array" ref="V1566">_xlfn.IFS(AND(N1566&lt;= 22, S1566=9), N1566-7,AND(N1566&lt;= 28, S1566=9), N1566-25,AND(N1566&lt;= 30, S1566=9), N1566-28,AND(N1566&lt;= 11, S1566=10), N1566+2,AND(N1566&lt;= 21, S1566=10), N1566-11)</f>
        <v>1</v>
      </c>
    </row>
    <row r="1567" spans="1:22" x14ac:dyDescent="0.35">
      <c r="A1567" s="4">
        <v>45561</v>
      </c>
      <c r="B1567" s="5">
        <v>0.82641203703703703</v>
      </c>
      <c r="C1567">
        <v>81.3</v>
      </c>
      <c r="D1567">
        <v>79.900000000000006</v>
      </c>
      <c r="E1567">
        <v>81.2</v>
      </c>
      <c r="F1567">
        <v>80.599999999999994</v>
      </c>
      <c r="G1567">
        <v>0</v>
      </c>
      <c r="H1567">
        <v>0</v>
      </c>
      <c r="I1567">
        <v>0</v>
      </c>
      <c r="J1567">
        <v>0</v>
      </c>
      <c r="K1567">
        <v>74.599999999999994</v>
      </c>
      <c r="L1567">
        <v>73.400000000000006</v>
      </c>
      <c r="M1567">
        <v>80.83</v>
      </c>
      <c r="N1567">
        <v>26</v>
      </c>
      <c r="O1567">
        <v>2</v>
      </c>
      <c r="P1567">
        <f>MOD(DAY(datos_siembra[[#This Row],[Date]]),7)</f>
        <v>5</v>
      </c>
      <c r="Q1567" t="str">
        <f>CHOOSE(WEEKDAY(datos_siembra[[#This Row],[Date]],2),"L","M","X","J","V","S","D")</f>
        <v>J</v>
      </c>
      <c r="R1567">
        <f>WEEKNUM(datos_siembra[[#This Row],[Date]],2)-WEEKNUM(DATE(YEAR(datos_siembra[[#This Row],[Date]]),MONTH(datos_siembra[[#This Row],[Date]]),1))+1</f>
        <v>4</v>
      </c>
      <c r="S1567">
        <f>MONTH(datos_siembra[[#This Row],[Date]])</f>
        <v>9</v>
      </c>
      <c r="T1567" t="str" cm="1">
        <f t="array" ref="T1567">_xlfn.IFS(AND(N1567&lt;= 22, S1567=9), "SOWING",AND(N1567&lt;= 28, S1567=9), "COVERAGE",AND(N1567&lt;= 30, S1567=9), "FLUSH",AND(N1567&lt;= 11, S1567=10), "FLUSH",AND(N1567&lt;= 21, S1567=10), "PRODUCTION")</f>
        <v>COVERAGE</v>
      </c>
      <c r="U1567">
        <f>HOUR(datos_siembra[[#This Row],[Hour]])</f>
        <v>19</v>
      </c>
      <c r="V1567" cm="1">
        <f t="array" ref="V1567">_xlfn.IFS(AND(N1567&lt;= 22, S1567=9), N1567-7,AND(N1567&lt;= 28, S1567=9), N1567-25,AND(N1567&lt;= 30, S1567=9), N1567-28,AND(N1567&lt;= 11, S1567=10), N1567+2,AND(N1567&lt;= 21, S1567=10), N1567-11)</f>
        <v>1</v>
      </c>
    </row>
    <row r="1568" spans="1:22" x14ac:dyDescent="0.35">
      <c r="A1568" s="4">
        <v>45561</v>
      </c>
      <c r="B1568" s="5">
        <v>0.8333680555555556</v>
      </c>
      <c r="C1568">
        <v>81.400000000000006</v>
      </c>
      <c r="D1568">
        <v>80.099999999999994</v>
      </c>
      <c r="E1568">
        <v>81.2</v>
      </c>
      <c r="F1568">
        <v>80.599999999999994</v>
      </c>
      <c r="G1568">
        <v>0</v>
      </c>
      <c r="H1568">
        <v>0</v>
      </c>
      <c r="I1568">
        <v>0</v>
      </c>
      <c r="J1568">
        <v>0</v>
      </c>
      <c r="K1568">
        <v>74.599999999999994</v>
      </c>
      <c r="L1568">
        <v>73.5</v>
      </c>
      <c r="M1568">
        <v>80.739999999999995</v>
      </c>
      <c r="N1568">
        <v>26</v>
      </c>
      <c r="O1568">
        <v>2</v>
      </c>
      <c r="P1568">
        <f>MOD(DAY(datos_siembra[[#This Row],[Date]]),7)</f>
        <v>5</v>
      </c>
      <c r="Q1568" t="str">
        <f>CHOOSE(WEEKDAY(datos_siembra[[#This Row],[Date]],2),"L","M","X","J","V","S","D")</f>
        <v>J</v>
      </c>
      <c r="R1568">
        <f>WEEKNUM(datos_siembra[[#This Row],[Date]],2)-WEEKNUM(DATE(YEAR(datos_siembra[[#This Row],[Date]]),MONTH(datos_siembra[[#This Row],[Date]]),1))+1</f>
        <v>4</v>
      </c>
      <c r="S1568">
        <f>MONTH(datos_siembra[[#This Row],[Date]])</f>
        <v>9</v>
      </c>
      <c r="T1568" t="str" cm="1">
        <f t="array" ref="T1568">_xlfn.IFS(AND(N1568&lt;= 22, S1568=9), "SOWING",AND(N1568&lt;= 28, S1568=9), "COVERAGE",AND(N1568&lt;= 30, S1568=9), "FLUSH",AND(N1568&lt;= 11, S1568=10), "FLUSH",AND(N1568&lt;= 21, S1568=10), "PRODUCTION")</f>
        <v>COVERAGE</v>
      </c>
      <c r="U1568">
        <f>HOUR(datos_siembra[[#This Row],[Hour]])</f>
        <v>20</v>
      </c>
      <c r="V1568" cm="1">
        <f t="array" ref="V1568">_xlfn.IFS(AND(N1568&lt;= 22, S1568=9), N1568-7,AND(N1568&lt;= 28, S1568=9), N1568-25,AND(N1568&lt;= 30, S1568=9), N1568-28,AND(N1568&lt;= 11, S1568=10), N1568+2,AND(N1568&lt;= 21, S1568=10), N1568-11)</f>
        <v>1</v>
      </c>
    </row>
    <row r="1569" spans="1:22" x14ac:dyDescent="0.35">
      <c r="A1569" s="4">
        <v>45561</v>
      </c>
      <c r="B1569" s="5">
        <v>0.84031250000000002</v>
      </c>
      <c r="C1569">
        <v>81.5</v>
      </c>
      <c r="D1569">
        <v>80</v>
      </c>
      <c r="E1569">
        <v>81.3</v>
      </c>
      <c r="F1569">
        <v>80.599999999999994</v>
      </c>
      <c r="G1569">
        <v>0</v>
      </c>
      <c r="H1569">
        <v>0</v>
      </c>
      <c r="I1569">
        <v>0</v>
      </c>
      <c r="J1569">
        <v>0</v>
      </c>
      <c r="K1569">
        <v>74.599999999999994</v>
      </c>
      <c r="L1569">
        <v>73.599999999999994</v>
      </c>
      <c r="M1569">
        <v>80.849999999999994</v>
      </c>
      <c r="N1569">
        <v>26</v>
      </c>
      <c r="O1569">
        <v>2</v>
      </c>
      <c r="P1569">
        <f>MOD(DAY(datos_siembra[[#This Row],[Date]]),7)</f>
        <v>5</v>
      </c>
      <c r="Q1569" t="str">
        <f>CHOOSE(WEEKDAY(datos_siembra[[#This Row],[Date]],2),"L","M","X","J","V","S","D")</f>
        <v>J</v>
      </c>
      <c r="R1569">
        <f>WEEKNUM(datos_siembra[[#This Row],[Date]],2)-WEEKNUM(DATE(YEAR(datos_siembra[[#This Row],[Date]]),MONTH(datos_siembra[[#This Row],[Date]]),1))+1</f>
        <v>4</v>
      </c>
      <c r="S1569">
        <f>MONTH(datos_siembra[[#This Row],[Date]])</f>
        <v>9</v>
      </c>
      <c r="T1569" t="str" cm="1">
        <f t="array" ref="T1569">_xlfn.IFS(AND(N1569&lt;= 22, S1569=9), "SOWING",AND(N1569&lt;= 28, S1569=9), "COVERAGE",AND(N1569&lt;= 30, S1569=9), "FLUSH",AND(N1569&lt;= 11, S1569=10), "FLUSH",AND(N1569&lt;= 21, S1569=10), "PRODUCTION")</f>
        <v>COVERAGE</v>
      </c>
      <c r="U1569">
        <f>HOUR(datos_siembra[[#This Row],[Hour]])</f>
        <v>20</v>
      </c>
      <c r="V1569" cm="1">
        <f t="array" ref="V1569">_xlfn.IFS(AND(N1569&lt;= 22, S1569=9), N1569-7,AND(N1569&lt;= 28, S1569=9), N1569-25,AND(N1569&lt;= 30, S1569=9), N1569-28,AND(N1569&lt;= 11, S1569=10), N1569+2,AND(N1569&lt;= 21, S1569=10), N1569-11)</f>
        <v>1</v>
      </c>
    </row>
    <row r="1570" spans="1:22" x14ac:dyDescent="0.35">
      <c r="A1570" s="4">
        <v>45561</v>
      </c>
      <c r="B1570" s="5">
        <v>0.84725694444444444</v>
      </c>
      <c r="C1570">
        <v>81.5</v>
      </c>
      <c r="D1570">
        <v>80</v>
      </c>
      <c r="E1570">
        <v>81.3</v>
      </c>
      <c r="F1570">
        <v>80.5</v>
      </c>
      <c r="G1570">
        <v>0</v>
      </c>
      <c r="H1570">
        <v>0</v>
      </c>
      <c r="I1570">
        <v>0</v>
      </c>
      <c r="J1570">
        <v>0</v>
      </c>
      <c r="K1570">
        <v>74.599999999999994</v>
      </c>
      <c r="L1570">
        <v>73.5</v>
      </c>
      <c r="M1570">
        <v>80.77</v>
      </c>
      <c r="N1570">
        <v>26</v>
      </c>
      <c r="O1570">
        <v>2</v>
      </c>
      <c r="P1570">
        <f>MOD(DAY(datos_siembra[[#This Row],[Date]]),7)</f>
        <v>5</v>
      </c>
      <c r="Q1570" t="str">
        <f>CHOOSE(WEEKDAY(datos_siembra[[#This Row],[Date]],2),"L","M","X","J","V","S","D")</f>
        <v>J</v>
      </c>
      <c r="R1570">
        <f>WEEKNUM(datos_siembra[[#This Row],[Date]],2)-WEEKNUM(DATE(YEAR(datos_siembra[[#This Row],[Date]]),MONTH(datos_siembra[[#This Row],[Date]]),1))+1</f>
        <v>4</v>
      </c>
      <c r="S1570">
        <f>MONTH(datos_siembra[[#This Row],[Date]])</f>
        <v>9</v>
      </c>
      <c r="T1570" t="str" cm="1">
        <f t="array" ref="T1570">_xlfn.IFS(AND(N1570&lt;= 22, S1570=9), "SOWING",AND(N1570&lt;= 28, S1570=9), "COVERAGE",AND(N1570&lt;= 30, S1570=9), "FLUSH",AND(N1570&lt;= 11, S1570=10), "FLUSH",AND(N1570&lt;= 21, S1570=10), "PRODUCTION")</f>
        <v>COVERAGE</v>
      </c>
      <c r="U1570">
        <f>HOUR(datos_siembra[[#This Row],[Hour]])</f>
        <v>20</v>
      </c>
      <c r="V1570" cm="1">
        <f t="array" ref="V1570">_xlfn.IFS(AND(N1570&lt;= 22, S1570=9), N1570-7,AND(N1570&lt;= 28, S1570=9), N1570-25,AND(N1570&lt;= 30, S1570=9), N1570-28,AND(N1570&lt;= 11, S1570=10), N1570+2,AND(N1570&lt;= 21, S1570=10), N1570-11)</f>
        <v>1</v>
      </c>
    </row>
    <row r="1571" spans="1:22" x14ac:dyDescent="0.35">
      <c r="A1571" s="4">
        <v>45561</v>
      </c>
      <c r="B1571" s="5">
        <v>0.85421296296296301</v>
      </c>
      <c r="C1571">
        <v>81.5</v>
      </c>
      <c r="D1571">
        <v>80</v>
      </c>
      <c r="E1571">
        <v>81.3</v>
      </c>
      <c r="F1571">
        <v>80.5</v>
      </c>
      <c r="G1571">
        <v>0</v>
      </c>
      <c r="H1571">
        <v>0</v>
      </c>
      <c r="I1571">
        <v>0</v>
      </c>
      <c r="J1571">
        <v>0</v>
      </c>
      <c r="K1571">
        <v>74.599999999999994</v>
      </c>
      <c r="L1571">
        <v>73.599999999999994</v>
      </c>
      <c r="M1571">
        <v>80.819999999999993</v>
      </c>
      <c r="N1571">
        <v>26</v>
      </c>
      <c r="O1571">
        <v>2</v>
      </c>
      <c r="P1571">
        <f>MOD(DAY(datos_siembra[[#This Row],[Date]]),7)</f>
        <v>5</v>
      </c>
      <c r="Q1571" t="str">
        <f>CHOOSE(WEEKDAY(datos_siembra[[#This Row],[Date]],2),"L","M","X","J","V","S","D")</f>
        <v>J</v>
      </c>
      <c r="R1571">
        <f>WEEKNUM(datos_siembra[[#This Row],[Date]],2)-WEEKNUM(DATE(YEAR(datos_siembra[[#This Row],[Date]]),MONTH(datos_siembra[[#This Row],[Date]]),1))+1</f>
        <v>4</v>
      </c>
      <c r="S1571">
        <f>MONTH(datos_siembra[[#This Row],[Date]])</f>
        <v>9</v>
      </c>
      <c r="T1571" t="str" cm="1">
        <f t="array" ref="T1571">_xlfn.IFS(AND(N1571&lt;= 22, S1571=9), "SOWING",AND(N1571&lt;= 28, S1571=9), "COVERAGE",AND(N1571&lt;= 30, S1571=9), "FLUSH",AND(N1571&lt;= 11, S1571=10), "FLUSH",AND(N1571&lt;= 21, S1571=10), "PRODUCTION")</f>
        <v>COVERAGE</v>
      </c>
      <c r="U1571">
        <f>HOUR(datos_siembra[[#This Row],[Hour]])</f>
        <v>20</v>
      </c>
      <c r="V1571" cm="1">
        <f t="array" ref="V1571">_xlfn.IFS(AND(N1571&lt;= 22, S1571=9), N1571-7,AND(N1571&lt;= 28, S1571=9), N1571-25,AND(N1571&lt;= 30, S1571=9), N1571-28,AND(N1571&lt;= 11, S1571=10), N1571+2,AND(N1571&lt;= 21, S1571=10), N1571-11)</f>
        <v>1</v>
      </c>
    </row>
    <row r="1572" spans="1:22" x14ac:dyDescent="0.35">
      <c r="A1572" s="4">
        <v>45561</v>
      </c>
      <c r="B1572" s="5">
        <v>0.86115740740740743</v>
      </c>
      <c r="C1572">
        <v>81.400000000000006</v>
      </c>
      <c r="D1572">
        <v>80</v>
      </c>
      <c r="E1572">
        <v>81.2</v>
      </c>
      <c r="F1572">
        <v>80.599999999999994</v>
      </c>
      <c r="G1572">
        <v>0</v>
      </c>
      <c r="H1572">
        <v>0</v>
      </c>
      <c r="I1572">
        <v>0</v>
      </c>
      <c r="J1572">
        <v>0</v>
      </c>
      <c r="K1572">
        <v>74.599999999999994</v>
      </c>
      <c r="L1572">
        <v>73.599999999999994</v>
      </c>
      <c r="M1572">
        <v>80.819999999999993</v>
      </c>
      <c r="N1572">
        <v>26</v>
      </c>
      <c r="O1572">
        <v>2</v>
      </c>
      <c r="P1572">
        <f>MOD(DAY(datos_siembra[[#This Row],[Date]]),7)</f>
        <v>5</v>
      </c>
      <c r="Q1572" t="str">
        <f>CHOOSE(WEEKDAY(datos_siembra[[#This Row],[Date]],2),"L","M","X","J","V","S","D")</f>
        <v>J</v>
      </c>
      <c r="R1572">
        <f>WEEKNUM(datos_siembra[[#This Row],[Date]],2)-WEEKNUM(DATE(YEAR(datos_siembra[[#This Row],[Date]]),MONTH(datos_siembra[[#This Row],[Date]]),1))+1</f>
        <v>4</v>
      </c>
      <c r="S1572">
        <f>MONTH(datos_siembra[[#This Row],[Date]])</f>
        <v>9</v>
      </c>
      <c r="T1572" t="str" cm="1">
        <f t="array" ref="T1572">_xlfn.IFS(AND(N1572&lt;= 22, S1572=9), "SOWING",AND(N1572&lt;= 28, S1572=9), "COVERAGE",AND(N1572&lt;= 30, S1572=9), "FLUSH",AND(N1572&lt;= 11, S1572=10), "FLUSH",AND(N1572&lt;= 21, S1572=10), "PRODUCTION")</f>
        <v>COVERAGE</v>
      </c>
      <c r="U1572">
        <f>HOUR(datos_siembra[[#This Row],[Hour]])</f>
        <v>20</v>
      </c>
      <c r="V1572" cm="1">
        <f t="array" ref="V1572">_xlfn.IFS(AND(N1572&lt;= 22, S1572=9), N1572-7,AND(N1572&lt;= 28, S1572=9), N1572-25,AND(N1572&lt;= 30, S1572=9), N1572-28,AND(N1572&lt;= 11, S1572=10), N1572+2,AND(N1572&lt;= 21, S1572=10), N1572-11)</f>
        <v>1</v>
      </c>
    </row>
    <row r="1573" spans="1:22" x14ac:dyDescent="0.35">
      <c r="A1573" s="4">
        <v>45561</v>
      </c>
      <c r="B1573" s="5">
        <v>0.86810185185185185</v>
      </c>
      <c r="C1573">
        <v>81.5</v>
      </c>
      <c r="D1573">
        <v>80.099999999999994</v>
      </c>
      <c r="E1573">
        <v>81.3</v>
      </c>
      <c r="F1573">
        <v>80.7</v>
      </c>
      <c r="G1573">
        <v>0</v>
      </c>
      <c r="H1573">
        <v>0</v>
      </c>
      <c r="I1573">
        <v>0</v>
      </c>
      <c r="J1573">
        <v>0</v>
      </c>
      <c r="K1573">
        <v>74.5</v>
      </c>
      <c r="L1573">
        <v>73.599999999999994</v>
      </c>
      <c r="M1573">
        <v>80.88</v>
      </c>
      <c r="N1573">
        <v>26</v>
      </c>
      <c r="O1573">
        <v>2</v>
      </c>
      <c r="P1573">
        <f>MOD(DAY(datos_siembra[[#This Row],[Date]]),7)</f>
        <v>5</v>
      </c>
      <c r="Q1573" t="str">
        <f>CHOOSE(WEEKDAY(datos_siembra[[#This Row],[Date]],2),"L","M","X","J","V","S","D")</f>
        <v>J</v>
      </c>
      <c r="R1573">
        <f>WEEKNUM(datos_siembra[[#This Row],[Date]],2)-WEEKNUM(DATE(YEAR(datos_siembra[[#This Row],[Date]]),MONTH(datos_siembra[[#This Row],[Date]]),1))+1</f>
        <v>4</v>
      </c>
      <c r="S1573">
        <f>MONTH(datos_siembra[[#This Row],[Date]])</f>
        <v>9</v>
      </c>
      <c r="T1573" t="str" cm="1">
        <f t="array" ref="T1573">_xlfn.IFS(AND(N1573&lt;= 22, S1573=9), "SOWING",AND(N1573&lt;= 28, S1573=9), "COVERAGE",AND(N1573&lt;= 30, S1573=9), "FLUSH",AND(N1573&lt;= 11, S1573=10), "FLUSH",AND(N1573&lt;= 21, S1573=10), "PRODUCTION")</f>
        <v>COVERAGE</v>
      </c>
      <c r="U1573">
        <f>HOUR(datos_siembra[[#This Row],[Hour]])</f>
        <v>20</v>
      </c>
      <c r="V1573" cm="1">
        <f t="array" ref="V1573">_xlfn.IFS(AND(N1573&lt;= 22, S1573=9), N1573-7,AND(N1573&lt;= 28, S1573=9), N1573-25,AND(N1573&lt;= 30, S1573=9), N1573-28,AND(N1573&lt;= 11, S1573=10), N1573+2,AND(N1573&lt;= 21, S1573=10), N1573-11)</f>
        <v>1</v>
      </c>
    </row>
    <row r="1574" spans="1:22" x14ac:dyDescent="0.35">
      <c r="A1574" s="4">
        <v>45561</v>
      </c>
      <c r="B1574" s="5">
        <v>0.87504629629629627</v>
      </c>
      <c r="C1574">
        <v>81.599999999999994</v>
      </c>
      <c r="D1574">
        <v>80.099999999999994</v>
      </c>
      <c r="E1574">
        <v>81.3</v>
      </c>
      <c r="F1574">
        <v>80.599999999999994</v>
      </c>
      <c r="G1574">
        <v>0</v>
      </c>
      <c r="H1574">
        <v>0</v>
      </c>
      <c r="I1574">
        <v>0</v>
      </c>
      <c r="J1574">
        <v>0</v>
      </c>
      <c r="K1574">
        <v>74.599999999999994</v>
      </c>
      <c r="L1574">
        <v>73.7</v>
      </c>
      <c r="M1574">
        <v>80.91</v>
      </c>
      <c r="N1574">
        <v>26</v>
      </c>
      <c r="O1574">
        <v>2</v>
      </c>
      <c r="P1574">
        <f>MOD(DAY(datos_siembra[[#This Row],[Date]]),7)</f>
        <v>5</v>
      </c>
      <c r="Q1574" t="str">
        <f>CHOOSE(WEEKDAY(datos_siembra[[#This Row],[Date]],2),"L","M","X","J","V","S","D")</f>
        <v>J</v>
      </c>
      <c r="R1574">
        <f>WEEKNUM(datos_siembra[[#This Row],[Date]],2)-WEEKNUM(DATE(YEAR(datos_siembra[[#This Row],[Date]]),MONTH(datos_siembra[[#This Row],[Date]]),1))+1</f>
        <v>4</v>
      </c>
      <c r="S1574">
        <f>MONTH(datos_siembra[[#This Row],[Date]])</f>
        <v>9</v>
      </c>
      <c r="T1574" t="str" cm="1">
        <f t="array" ref="T1574">_xlfn.IFS(AND(N1574&lt;= 22, S1574=9), "SOWING",AND(N1574&lt;= 28, S1574=9), "COVERAGE",AND(N1574&lt;= 30, S1574=9), "FLUSH",AND(N1574&lt;= 11, S1574=10), "FLUSH",AND(N1574&lt;= 21, S1574=10), "PRODUCTION")</f>
        <v>COVERAGE</v>
      </c>
      <c r="U1574">
        <f>HOUR(datos_siembra[[#This Row],[Hour]])</f>
        <v>21</v>
      </c>
      <c r="V1574" cm="1">
        <f t="array" ref="V1574">_xlfn.IFS(AND(N1574&lt;= 22, S1574=9), N1574-7,AND(N1574&lt;= 28, S1574=9), N1574-25,AND(N1574&lt;= 30, S1574=9), N1574-28,AND(N1574&lt;= 11, S1574=10), N1574+2,AND(N1574&lt;= 21, S1574=10), N1574-11)</f>
        <v>1</v>
      </c>
    </row>
    <row r="1575" spans="1:22" x14ac:dyDescent="0.35">
      <c r="A1575" s="4">
        <v>45561</v>
      </c>
      <c r="B1575" s="5">
        <v>0.88200231481481484</v>
      </c>
      <c r="C1575">
        <v>81.5</v>
      </c>
      <c r="D1575">
        <v>80.3</v>
      </c>
      <c r="E1575">
        <v>81.3</v>
      </c>
      <c r="F1575">
        <v>80.599999999999994</v>
      </c>
      <c r="G1575">
        <v>0</v>
      </c>
      <c r="H1575">
        <v>0</v>
      </c>
      <c r="I1575">
        <v>0</v>
      </c>
      <c r="J1575">
        <v>0</v>
      </c>
      <c r="K1575">
        <v>74.5</v>
      </c>
      <c r="L1575">
        <v>73.599999999999994</v>
      </c>
      <c r="M1575">
        <v>80.91</v>
      </c>
      <c r="N1575">
        <v>26</v>
      </c>
      <c r="O1575">
        <v>2</v>
      </c>
      <c r="P1575">
        <f>MOD(DAY(datos_siembra[[#This Row],[Date]]),7)</f>
        <v>5</v>
      </c>
      <c r="Q1575" t="str">
        <f>CHOOSE(WEEKDAY(datos_siembra[[#This Row],[Date]],2),"L","M","X","J","V","S","D")</f>
        <v>J</v>
      </c>
      <c r="R1575">
        <f>WEEKNUM(datos_siembra[[#This Row],[Date]],2)-WEEKNUM(DATE(YEAR(datos_siembra[[#This Row],[Date]]),MONTH(datos_siembra[[#This Row],[Date]]),1))+1</f>
        <v>4</v>
      </c>
      <c r="S1575">
        <f>MONTH(datos_siembra[[#This Row],[Date]])</f>
        <v>9</v>
      </c>
      <c r="T1575" t="str" cm="1">
        <f t="array" ref="T1575">_xlfn.IFS(AND(N1575&lt;= 22, S1575=9), "SOWING",AND(N1575&lt;= 28, S1575=9), "COVERAGE",AND(N1575&lt;= 30, S1575=9), "FLUSH",AND(N1575&lt;= 11, S1575=10), "FLUSH",AND(N1575&lt;= 21, S1575=10), "PRODUCTION")</f>
        <v>COVERAGE</v>
      </c>
      <c r="U1575">
        <f>HOUR(datos_siembra[[#This Row],[Hour]])</f>
        <v>21</v>
      </c>
      <c r="V1575" cm="1">
        <f t="array" ref="V1575">_xlfn.IFS(AND(N1575&lt;= 22, S1575=9), N1575-7,AND(N1575&lt;= 28, S1575=9), N1575-25,AND(N1575&lt;= 30, S1575=9), N1575-28,AND(N1575&lt;= 11, S1575=10), N1575+2,AND(N1575&lt;= 21, S1575=10), N1575-11)</f>
        <v>1</v>
      </c>
    </row>
    <row r="1576" spans="1:22" x14ac:dyDescent="0.35">
      <c r="A1576" s="4">
        <v>45561</v>
      </c>
      <c r="B1576" s="5">
        <v>0.88894675925925926</v>
      </c>
      <c r="C1576">
        <v>81.599999999999994</v>
      </c>
      <c r="D1576">
        <v>80.3</v>
      </c>
      <c r="E1576">
        <v>81.3</v>
      </c>
      <c r="F1576">
        <v>80.7</v>
      </c>
      <c r="G1576">
        <v>0</v>
      </c>
      <c r="H1576">
        <v>0</v>
      </c>
      <c r="I1576">
        <v>0</v>
      </c>
      <c r="J1576">
        <v>0</v>
      </c>
      <c r="K1576">
        <v>74.599999999999994</v>
      </c>
      <c r="L1576">
        <v>73.599999999999994</v>
      </c>
      <c r="M1576">
        <v>80.849999999999994</v>
      </c>
      <c r="N1576">
        <v>26</v>
      </c>
      <c r="O1576">
        <v>2</v>
      </c>
      <c r="P1576">
        <f>MOD(DAY(datos_siembra[[#This Row],[Date]]),7)</f>
        <v>5</v>
      </c>
      <c r="Q1576" t="str">
        <f>CHOOSE(WEEKDAY(datos_siembra[[#This Row],[Date]],2),"L","M","X","J","V","S","D")</f>
        <v>J</v>
      </c>
      <c r="R1576">
        <f>WEEKNUM(datos_siembra[[#This Row],[Date]],2)-WEEKNUM(DATE(YEAR(datos_siembra[[#This Row],[Date]]),MONTH(datos_siembra[[#This Row],[Date]]),1))+1</f>
        <v>4</v>
      </c>
      <c r="S1576">
        <f>MONTH(datos_siembra[[#This Row],[Date]])</f>
        <v>9</v>
      </c>
      <c r="T1576" t="str" cm="1">
        <f t="array" ref="T1576">_xlfn.IFS(AND(N1576&lt;= 22, S1576=9), "SOWING",AND(N1576&lt;= 28, S1576=9), "COVERAGE",AND(N1576&lt;= 30, S1576=9), "FLUSH",AND(N1576&lt;= 11, S1576=10), "FLUSH",AND(N1576&lt;= 21, S1576=10), "PRODUCTION")</f>
        <v>COVERAGE</v>
      </c>
      <c r="U1576">
        <f>HOUR(datos_siembra[[#This Row],[Hour]])</f>
        <v>21</v>
      </c>
      <c r="V1576" cm="1">
        <f t="array" ref="V1576">_xlfn.IFS(AND(N1576&lt;= 22, S1576=9), N1576-7,AND(N1576&lt;= 28, S1576=9), N1576-25,AND(N1576&lt;= 30, S1576=9), N1576-28,AND(N1576&lt;= 11, S1576=10), N1576+2,AND(N1576&lt;= 21, S1576=10), N1576-11)</f>
        <v>1</v>
      </c>
    </row>
    <row r="1577" spans="1:22" x14ac:dyDescent="0.35">
      <c r="A1577" s="4">
        <v>45561</v>
      </c>
      <c r="B1577" s="5">
        <v>0.89589120370370368</v>
      </c>
      <c r="C1577">
        <v>81.5</v>
      </c>
      <c r="D1577">
        <v>80.3</v>
      </c>
      <c r="E1577">
        <v>81.3</v>
      </c>
      <c r="F1577">
        <v>80.8</v>
      </c>
      <c r="G1577">
        <v>0</v>
      </c>
      <c r="H1577">
        <v>0</v>
      </c>
      <c r="I1577">
        <v>0</v>
      </c>
      <c r="J1577">
        <v>0</v>
      </c>
      <c r="K1577">
        <v>74.599999999999994</v>
      </c>
      <c r="L1577">
        <v>73.599999999999994</v>
      </c>
      <c r="M1577">
        <v>80.97</v>
      </c>
      <c r="N1577">
        <v>26</v>
      </c>
      <c r="O1577">
        <v>2</v>
      </c>
      <c r="P1577">
        <f>MOD(DAY(datos_siembra[[#This Row],[Date]]),7)</f>
        <v>5</v>
      </c>
      <c r="Q1577" t="str">
        <f>CHOOSE(WEEKDAY(datos_siembra[[#This Row],[Date]],2),"L","M","X","J","V","S","D")</f>
        <v>J</v>
      </c>
      <c r="R1577">
        <f>WEEKNUM(datos_siembra[[#This Row],[Date]],2)-WEEKNUM(DATE(YEAR(datos_siembra[[#This Row],[Date]]),MONTH(datos_siembra[[#This Row],[Date]]),1))+1</f>
        <v>4</v>
      </c>
      <c r="S1577">
        <f>MONTH(datos_siembra[[#This Row],[Date]])</f>
        <v>9</v>
      </c>
      <c r="T1577" t="str" cm="1">
        <f t="array" ref="T1577">_xlfn.IFS(AND(N1577&lt;= 22, S1577=9), "SOWING",AND(N1577&lt;= 28, S1577=9), "COVERAGE",AND(N1577&lt;= 30, S1577=9), "FLUSH",AND(N1577&lt;= 11, S1577=10), "FLUSH",AND(N1577&lt;= 21, S1577=10), "PRODUCTION")</f>
        <v>COVERAGE</v>
      </c>
      <c r="U1577">
        <f>HOUR(datos_siembra[[#This Row],[Hour]])</f>
        <v>21</v>
      </c>
      <c r="V1577" cm="1">
        <f t="array" ref="V1577">_xlfn.IFS(AND(N1577&lt;= 22, S1577=9), N1577-7,AND(N1577&lt;= 28, S1577=9), N1577-25,AND(N1577&lt;= 30, S1577=9), N1577-28,AND(N1577&lt;= 11, S1577=10), N1577+2,AND(N1577&lt;= 21, S1577=10), N1577-11)</f>
        <v>1</v>
      </c>
    </row>
    <row r="1578" spans="1:22" x14ac:dyDescent="0.35">
      <c r="A1578" s="4">
        <v>45561</v>
      </c>
      <c r="B1578" s="5">
        <v>0.9028356481481481</v>
      </c>
      <c r="C1578">
        <v>81.5</v>
      </c>
      <c r="D1578">
        <v>80.3</v>
      </c>
      <c r="E1578">
        <v>81.400000000000006</v>
      </c>
      <c r="F1578">
        <v>80.8</v>
      </c>
      <c r="G1578">
        <v>0</v>
      </c>
      <c r="H1578">
        <v>0</v>
      </c>
      <c r="I1578">
        <v>0</v>
      </c>
      <c r="J1578">
        <v>0</v>
      </c>
      <c r="K1578">
        <v>74.599999999999994</v>
      </c>
      <c r="L1578">
        <v>73.599999999999994</v>
      </c>
      <c r="M1578">
        <v>80.94</v>
      </c>
      <c r="N1578">
        <v>26</v>
      </c>
      <c r="O1578">
        <v>2</v>
      </c>
      <c r="P1578">
        <f>MOD(DAY(datos_siembra[[#This Row],[Date]]),7)</f>
        <v>5</v>
      </c>
      <c r="Q1578" t="str">
        <f>CHOOSE(WEEKDAY(datos_siembra[[#This Row],[Date]],2),"L","M","X","J","V","S","D")</f>
        <v>J</v>
      </c>
      <c r="R1578">
        <f>WEEKNUM(datos_siembra[[#This Row],[Date]],2)-WEEKNUM(DATE(YEAR(datos_siembra[[#This Row],[Date]]),MONTH(datos_siembra[[#This Row],[Date]]),1))+1</f>
        <v>4</v>
      </c>
      <c r="S1578">
        <f>MONTH(datos_siembra[[#This Row],[Date]])</f>
        <v>9</v>
      </c>
      <c r="T1578" t="str" cm="1">
        <f t="array" ref="T1578">_xlfn.IFS(AND(N1578&lt;= 22, S1578=9), "SOWING",AND(N1578&lt;= 28, S1578=9), "COVERAGE",AND(N1578&lt;= 30, S1578=9), "FLUSH",AND(N1578&lt;= 11, S1578=10), "FLUSH",AND(N1578&lt;= 21, S1578=10), "PRODUCTION")</f>
        <v>COVERAGE</v>
      </c>
      <c r="U1578">
        <f>HOUR(datos_siembra[[#This Row],[Hour]])</f>
        <v>21</v>
      </c>
      <c r="V1578" cm="1">
        <f t="array" ref="V1578">_xlfn.IFS(AND(N1578&lt;= 22, S1578=9), N1578-7,AND(N1578&lt;= 28, S1578=9), N1578-25,AND(N1578&lt;= 30, S1578=9), N1578-28,AND(N1578&lt;= 11, S1578=10), N1578+2,AND(N1578&lt;= 21, S1578=10), N1578-11)</f>
        <v>1</v>
      </c>
    </row>
    <row r="1579" spans="1:22" x14ac:dyDescent="0.35">
      <c r="A1579" s="4">
        <v>45561</v>
      </c>
      <c r="B1579" s="5">
        <v>0.90979166666666667</v>
      </c>
      <c r="C1579">
        <v>81.5</v>
      </c>
      <c r="D1579">
        <v>80.400000000000006</v>
      </c>
      <c r="E1579">
        <v>81.5</v>
      </c>
      <c r="F1579">
        <v>80.900000000000006</v>
      </c>
      <c r="G1579">
        <v>0</v>
      </c>
      <c r="H1579">
        <v>0</v>
      </c>
      <c r="I1579">
        <v>0</v>
      </c>
      <c r="J1579">
        <v>0</v>
      </c>
      <c r="K1579">
        <v>74.599999999999994</v>
      </c>
      <c r="L1579">
        <v>73.599999999999994</v>
      </c>
      <c r="M1579">
        <v>80.94</v>
      </c>
      <c r="N1579">
        <v>26</v>
      </c>
      <c r="O1579">
        <v>2</v>
      </c>
      <c r="P1579">
        <f>MOD(DAY(datos_siembra[[#This Row],[Date]]),7)</f>
        <v>5</v>
      </c>
      <c r="Q1579" t="str">
        <f>CHOOSE(WEEKDAY(datos_siembra[[#This Row],[Date]],2),"L","M","X","J","V","S","D")</f>
        <v>J</v>
      </c>
      <c r="R1579">
        <f>WEEKNUM(datos_siembra[[#This Row],[Date]],2)-WEEKNUM(DATE(YEAR(datos_siembra[[#This Row],[Date]]),MONTH(datos_siembra[[#This Row],[Date]]),1))+1</f>
        <v>4</v>
      </c>
      <c r="S1579">
        <f>MONTH(datos_siembra[[#This Row],[Date]])</f>
        <v>9</v>
      </c>
      <c r="T1579" t="str" cm="1">
        <f t="array" ref="T1579">_xlfn.IFS(AND(N1579&lt;= 22, S1579=9), "SOWING",AND(N1579&lt;= 28, S1579=9), "COVERAGE",AND(N1579&lt;= 30, S1579=9), "FLUSH",AND(N1579&lt;= 11, S1579=10), "FLUSH",AND(N1579&lt;= 21, S1579=10), "PRODUCTION")</f>
        <v>COVERAGE</v>
      </c>
      <c r="U1579">
        <f>HOUR(datos_siembra[[#This Row],[Hour]])</f>
        <v>21</v>
      </c>
      <c r="V1579" cm="1">
        <f t="array" ref="V1579">_xlfn.IFS(AND(N1579&lt;= 22, S1579=9), N1579-7,AND(N1579&lt;= 28, S1579=9), N1579-25,AND(N1579&lt;= 30, S1579=9), N1579-28,AND(N1579&lt;= 11, S1579=10), N1579+2,AND(N1579&lt;= 21, S1579=10), N1579-11)</f>
        <v>1</v>
      </c>
    </row>
    <row r="1580" spans="1:22" x14ac:dyDescent="0.35">
      <c r="A1580" s="4">
        <v>45561</v>
      </c>
      <c r="B1580" s="5">
        <v>0.91673611111111108</v>
      </c>
      <c r="C1580">
        <v>81.599999999999994</v>
      </c>
      <c r="D1580">
        <v>80.400000000000006</v>
      </c>
      <c r="E1580">
        <v>81.400000000000006</v>
      </c>
      <c r="F1580">
        <v>80.7</v>
      </c>
      <c r="G1580">
        <v>0</v>
      </c>
      <c r="H1580">
        <v>0</v>
      </c>
      <c r="I1580">
        <v>0</v>
      </c>
      <c r="J1580">
        <v>0</v>
      </c>
      <c r="K1580">
        <v>74.8</v>
      </c>
      <c r="L1580">
        <v>73.7</v>
      </c>
      <c r="M1580">
        <v>80.989999999999995</v>
      </c>
      <c r="N1580">
        <v>26</v>
      </c>
      <c r="O1580">
        <v>2</v>
      </c>
      <c r="P1580">
        <f>MOD(DAY(datos_siembra[[#This Row],[Date]]),7)</f>
        <v>5</v>
      </c>
      <c r="Q1580" t="str">
        <f>CHOOSE(WEEKDAY(datos_siembra[[#This Row],[Date]],2),"L","M","X","J","V","S","D")</f>
        <v>J</v>
      </c>
      <c r="R1580">
        <f>WEEKNUM(datos_siembra[[#This Row],[Date]],2)-WEEKNUM(DATE(YEAR(datos_siembra[[#This Row],[Date]]),MONTH(datos_siembra[[#This Row],[Date]]),1))+1</f>
        <v>4</v>
      </c>
      <c r="S1580">
        <f>MONTH(datos_siembra[[#This Row],[Date]])</f>
        <v>9</v>
      </c>
      <c r="T1580" t="str" cm="1">
        <f t="array" ref="T1580">_xlfn.IFS(AND(N1580&lt;= 22, S1580=9), "SOWING",AND(N1580&lt;= 28, S1580=9), "COVERAGE",AND(N1580&lt;= 30, S1580=9), "FLUSH",AND(N1580&lt;= 11, S1580=10), "FLUSH",AND(N1580&lt;= 21, S1580=10), "PRODUCTION")</f>
        <v>COVERAGE</v>
      </c>
      <c r="U1580">
        <f>HOUR(datos_siembra[[#This Row],[Hour]])</f>
        <v>22</v>
      </c>
      <c r="V1580" cm="1">
        <f t="array" ref="V1580">_xlfn.IFS(AND(N1580&lt;= 22, S1580=9), N1580-7,AND(N1580&lt;= 28, S1580=9), N1580-25,AND(N1580&lt;= 30, S1580=9), N1580-28,AND(N1580&lt;= 11, S1580=10), N1580+2,AND(N1580&lt;= 21, S1580=10), N1580-11)</f>
        <v>1</v>
      </c>
    </row>
    <row r="1581" spans="1:22" x14ac:dyDescent="0.35">
      <c r="A1581" s="4">
        <v>45561</v>
      </c>
      <c r="B1581" s="5">
        <v>0.9236805555555555</v>
      </c>
      <c r="C1581">
        <v>81.599999999999994</v>
      </c>
      <c r="D1581">
        <v>80.400000000000006</v>
      </c>
      <c r="E1581">
        <v>81.400000000000006</v>
      </c>
      <c r="F1581">
        <v>80.7</v>
      </c>
      <c r="G1581">
        <v>0</v>
      </c>
      <c r="H1581">
        <v>0</v>
      </c>
      <c r="I1581">
        <v>0</v>
      </c>
      <c r="J1581">
        <v>0</v>
      </c>
      <c r="K1581">
        <v>74.599999999999994</v>
      </c>
      <c r="L1581">
        <v>73.599999999999994</v>
      </c>
      <c r="M1581">
        <v>81.05</v>
      </c>
      <c r="N1581">
        <v>26</v>
      </c>
      <c r="O1581">
        <v>2</v>
      </c>
      <c r="P1581">
        <f>MOD(DAY(datos_siembra[[#This Row],[Date]]),7)</f>
        <v>5</v>
      </c>
      <c r="Q1581" t="str">
        <f>CHOOSE(WEEKDAY(datos_siembra[[#This Row],[Date]],2),"L","M","X","J","V","S","D")</f>
        <v>J</v>
      </c>
      <c r="R1581">
        <f>WEEKNUM(datos_siembra[[#This Row],[Date]],2)-WEEKNUM(DATE(YEAR(datos_siembra[[#This Row],[Date]]),MONTH(datos_siembra[[#This Row],[Date]]),1))+1</f>
        <v>4</v>
      </c>
      <c r="S1581">
        <f>MONTH(datos_siembra[[#This Row],[Date]])</f>
        <v>9</v>
      </c>
      <c r="T1581" t="str" cm="1">
        <f t="array" ref="T1581">_xlfn.IFS(AND(N1581&lt;= 22, S1581=9), "SOWING",AND(N1581&lt;= 28, S1581=9), "COVERAGE",AND(N1581&lt;= 30, S1581=9), "FLUSH",AND(N1581&lt;= 11, S1581=10), "FLUSH",AND(N1581&lt;= 21, S1581=10), "PRODUCTION")</f>
        <v>COVERAGE</v>
      </c>
      <c r="U1581">
        <f>HOUR(datos_siembra[[#This Row],[Hour]])</f>
        <v>22</v>
      </c>
      <c r="V1581" cm="1">
        <f t="array" ref="V1581">_xlfn.IFS(AND(N1581&lt;= 22, S1581=9), N1581-7,AND(N1581&lt;= 28, S1581=9), N1581-25,AND(N1581&lt;= 30, S1581=9), N1581-28,AND(N1581&lt;= 11, S1581=10), N1581+2,AND(N1581&lt;= 21, S1581=10), N1581-11)</f>
        <v>1</v>
      </c>
    </row>
    <row r="1582" spans="1:22" x14ac:dyDescent="0.35">
      <c r="A1582" s="4">
        <v>45561</v>
      </c>
      <c r="B1582" s="5">
        <v>0.93062500000000004</v>
      </c>
      <c r="C1582">
        <v>81.599999999999994</v>
      </c>
      <c r="D1582">
        <v>80.099999999999994</v>
      </c>
      <c r="E1582">
        <v>81.5</v>
      </c>
      <c r="F1582">
        <v>80.900000000000006</v>
      </c>
      <c r="G1582">
        <v>0</v>
      </c>
      <c r="H1582">
        <v>0</v>
      </c>
      <c r="I1582">
        <v>0</v>
      </c>
      <c r="J1582">
        <v>0</v>
      </c>
      <c r="K1582">
        <v>74.599999999999994</v>
      </c>
      <c r="L1582">
        <v>73.599999999999994</v>
      </c>
      <c r="M1582">
        <v>81.16</v>
      </c>
      <c r="N1582">
        <v>26</v>
      </c>
      <c r="O1582">
        <v>2</v>
      </c>
      <c r="P1582">
        <f>MOD(DAY(datos_siembra[[#This Row],[Date]]),7)</f>
        <v>5</v>
      </c>
      <c r="Q1582" t="str">
        <f>CHOOSE(WEEKDAY(datos_siembra[[#This Row],[Date]],2),"L","M","X","J","V","S","D")</f>
        <v>J</v>
      </c>
      <c r="R1582">
        <f>WEEKNUM(datos_siembra[[#This Row],[Date]],2)-WEEKNUM(DATE(YEAR(datos_siembra[[#This Row],[Date]]),MONTH(datos_siembra[[#This Row],[Date]]),1))+1</f>
        <v>4</v>
      </c>
      <c r="S1582">
        <f>MONTH(datos_siembra[[#This Row],[Date]])</f>
        <v>9</v>
      </c>
      <c r="T1582" t="str" cm="1">
        <f t="array" ref="T1582">_xlfn.IFS(AND(N1582&lt;= 22, S1582=9), "SOWING",AND(N1582&lt;= 28, S1582=9), "COVERAGE",AND(N1582&lt;= 30, S1582=9), "FLUSH",AND(N1582&lt;= 11, S1582=10), "FLUSH",AND(N1582&lt;= 21, S1582=10), "PRODUCTION")</f>
        <v>COVERAGE</v>
      </c>
      <c r="U1582">
        <f>HOUR(datos_siembra[[#This Row],[Hour]])</f>
        <v>22</v>
      </c>
      <c r="V1582" cm="1">
        <f t="array" ref="V1582">_xlfn.IFS(AND(N1582&lt;= 22, S1582=9), N1582-7,AND(N1582&lt;= 28, S1582=9), N1582-25,AND(N1582&lt;= 30, S1582=9), N1582-28,AND(N1582&lt;= 11, S1582=10), N1582+2,AND(N1582&lt;= 21, S1582=10), N1582-11)</f>
        <v>1</v>
      </c>
    </row>
    <row r="1583" spans="1:22" x14ac:dyDescent="0.35">
      <c r="A1583" s="4">
        <v>45561</v>
      </c>
      <c r="B1583" s="5">
        <v>0.93758101851851849</v>
      </c>
      <c r="C1583">
        <v>81.7</v>
      </c>
      <c r="D1583">
        <v>80.400000000000006</v>
      </c>
      <c r="E1583">
        <v>81.5</v>
      </c>
      <c r="F1583">
        <v>80.900000000000006</v>
      </c>
      <c r="G1583">
        <v>0</v>
      </c>
      <c r="H1583">
        <v>0</v>
      </c>
      <c r="I1583">
        <v>0</v>
      </c>
      <c r="J1583">
        <v>0</v>
      </c>
      <c r="K1583">
        <v>74.599999999999994</v>
      </c>
      <c r="L1583">
        <v>73.7</v>
      </c>
      <c r="M1583">
        <v>81.11</v>
      </c>
      <c r="N1583">
        <v>26</v>
      </c>
      <c r="O1583">
        <v>2</v>
      </c>
      <c r="P1583">
        <f>MOD(DAY(datos_siembra[[#This Row],[Date]]),7)</f>
        <v>5</v>
      </c>
      <c r="Q1583" t="str">
        <f>CHOOSE(WEEKDAY(datos_siembra[[#This Row],[Date]],2),"L","M","X","J","V","S","D")</f>
        <v>J</v>
      </c>
      <c r="R1583">
        <f>WEEKNUM(datos_siembra[[#This Row],[Date]],2)-WEEKNUM(DATE(YEAR(datos_siembra[[#This Row],[Date]]),MONTH(datos_siembra[[#This Row],[Date]]),1))+1</f>
        <v>4</v>
      </c>
      <c r="S1583">
        <f>MONTH(datos_siembra[[#This Row],[Date]])</f>
        <v>9</v>
      </c>
      <c r="T1583" t="str" cm="1">
        <f t="array" ref="T1583">_xlfn.IFS(AND(N1583&lt;= 22, S1583=9), "SOWING",AND(N1583&lt;= 28, S1583=9), "COVERAGE",AND(N1583&lt;= 30, S1583=9), "FLUSH",AND(N1583&lt;= 11, S1583=10), "FLUSH",AND(N1583&lt;= 21, S1583=10), "PRODUCTION")</f>
        <v>COVERAGE</v>
      </c>
      <c r="U1583">
        <f>HOUR(datos_siembra[[#This Row],[Hour]])</f>
        <v>22</v>
      </c>
      <c r="V1583" cm="1">
        <f t="array" ref="V1583">_xlfn.IFS(AND(N1583&lt;= 22, S1583=9), N1583-7,AND(N1583&lt;= 28, S1583=9), N1583-25,AND(N1583&lt;= 30, S1583=9), N1583-28,AND(N1583&lt;= 11, S1583=10), N1583+2,AND(N1583&lt;= 21, S1583=10), N1583-11)</f>
        <v>1</v>
      </c>
    </row>
    <row r="1584" spans="1:22" x14ac:dyDescent="0.35">
      <c r="A1584" s="4">
        <v>45561</v>
      </c>
      <c r="B1584" s="5">
        <v>0.94452546296296291</v>
      </c>
      <c r="C1584">
        <v>81.7</v>
      </c>
      <c r="D1584">
        <v>80.400000000000006</v>
      </c>
      <c r="E1584">
        <v>81.599999999999994</v>
      </c>
      <c r="F1584">
        <v>81.099999999999994</v>
      </c>
      <c r="G1584">
        <v>0</v>
      </c>
      <c r="H1584">
        <v>0</v>
      </c>
      <c r="I1584">
        <v>0</v>
      </c>
      <c r="J1584">
        <v>0</v>
      </c>
      <c r="K1584">
        <v>74.8</v>
      </c>
      <c r="L1584">
        <v>73.7</v>
      </c>
      <c r="M1584">
        <v>81.19</v>
      </c>
      <c r="N1584">
        <v>26</v>
      </c>
      <c r="O1584">
        <v>2</v>
      </c>
      <c r="P1584">
        <f>MOD(DAY(datos_siembra[[#This Row],[Date]]),7)</f>
        <v>5</v>
      </c>
      <c r="Q1584" t="str">
        <f>CHOOSE(WEEKDAY(datos_siembra[[#This Row],[Date]],2),"L","M","X","J","V","S","D")</f>
        <v>J</v>
      </c>
      <c r="R1584">
        <f>WEEKNUM(datos_siembra[[#This Row],[Date]],2)-WEEKNUM(DATE(YEAR(datos_siembra[[#This Row],[Date]]),MONTH(datos_siembra[[#This Row],[Date]]),1))+1</f>
        <v>4</v>
      </c>
      <c r="S1584">
        <f>MONTH(datos_siembra[[#This Row],[Date]])</f>
        <v>9</v>
      </c>
      <c r="T1584" t="str" cm="1">
        <f t="array" ref="T1584">_xlfn.IFS(AND(N1584&lt;= 22, S1584=9), "SOWING",AND(N1584&lt;= 28, S1584=9), "COVERAGE",AND(N1584&lt;= 30, S1584=9), "FLUSH",AND(N1584&lt;= 11, S1584=10), "FLUSH",AND(N1584&lt;= 21, S1584=10), "PRODUCTION")</f>
        <v>COVERAGE</v>
      </c>
      <c r="U1584">
        <f>HOUR(datos_siembra[[#This Row],[Hour]])</f>
        <v>22</v>
      </c>
      <c r="V1584" cm="1">
        <f t="array" ref="V1584">_xlfn.IFS(AND(N1584&lt;= 22, S1584=9), N1584-7,AND(N1584&lt;= 28, S1584=9), N1584-25,AND(N1584&lt;= 30, S1584=9), N1584-28,AND(N1584&lt;= 11, S1584=10), N1584+2,AND(N1584&lt;= 21, S1584=10), N1584-11)</f>
        <v>1</v>
      </c>
    </row>
    <row r="1585" spans="1:22" x14ac:dyDescent="0.35">
      <c r="A1585" s="4">
        <v>45561</v>
      </c>
      <c r="B1585" s="5">
        <v>0.95146990740740744</v>
      </c>
      <c r="C1585">
        <v>81.599999999999994</v>
      </c>
      <c r="D1585">
        <v>80.3</v>
      </c>
      <c r="E1585">
        <v>81.599999999999994</v>
      </c>
      <c r="F1585">
        <v>80.8</v>
      </c>
      <c r="G1585">
        <v>0</v>
      </c>
      <c r="H1585">
        <v>0</v>
      </c>
      <c r="I1585">
        <v>0</v>
      </c>
      <c r="J1585">
        <v>0</v>
      </c>
      <c r="K1585">
        <v>74.8</v>
      </c>
      <c r="L1585">
        <v>73.599999999999994</v>
      </c>
      <c r="M1585">
        <v>81.19</v>
      </c>
      <c r="N1585">
        <v>26</v>
      </c>
      <c r="O1585">
        <v>2</v>
      </c>
      <c r="P1585">
        <f>MOD(DAY(datos_siembra[[#This Row],[Date]]),7)</f>
        <v>5</v>
      </c>
      <c r="Q1585" t="str">
        <f>CHOOSE(WEEKDAY(datos_siembra[[#This Row],[Date]],2),"L","M","X","J","V","S","D")</f>
        <v>J</v>
      </c>
      <c r="R1585">
        <f>WEEKNUM(datos_siembra[[#This Row],[Date]],2)-WEEKNUM(DATE(YEAR(datos_siembra[[#This Row],[Date]]),MONTH(datos_siembra[[#This Row],[Date]]),1))+1</f>
        <v>4</v>
      </c>
      <c r="S1585">
        <f>MONTH(datos_siembra[[#This Row],[Date]])</f>
        <v>9</v>
      </c>
      <c r="T1585" t="str" cm="1">
        <f t="array" ref="T1585">_xlfn.IFS(AND(N1585&lt;= 22, S1585=9), "SOWING",AND(N1585&lt;= 28, S1585=9), "COVERAGE",AND(N1585&lt;= 30, S1585=9), "FLUSH",AND(N1585&lt;= 11, S1585=10), "FLUSH",AND(N1585&lt;= 21, S1585=10), "PRODUCTION")</f>
        <v>COVERAGE</v>
      </c>
      <c r="U1585">
        <f>HOUR(datos_siembra[[#This Row],[Hour]])</f>
        <v>22</v>
      </c>
      <c r="V1585" cm="1">
        <f t="array" ref="V1585">_xlfn.IFS(AND(N1585&lt;= 22, S1585=9), N1585-7,AND(N1585&lt;= 28, S1585=9), N1585-25,AND(N1585&lt;= 30, S1585=9), N1585-28,AND(N1585&lt;= 11, S1585=10), N1585+2,AND(N1585&lt;= 21, S1585=10), N1585-11)</f>
        <v>1</v>
      </c>
    </row>
    <row r="1586" spans="1:22" x14ac:dyDescent="0.35">
      <c r="A1586" s="4">
        <v>45561</v>
      </c>
      <c r="B1586" s="5">
        <v>0.95841435185185186</v>
      </c>
      <c r="C1586">
        <v>81.7</v>
      </c>
      <c r="D1586">
        <v>80.400000000000006</v>
      </c>
      <c r="E1586">
        <v>81.7</v>
      </c>
      <c r="F1586">
        <v>80.900000000000006</v>
      </c>
      <c r="G1586">
        <v>0</v>
      </c>
      <c r="H1586">
        <v>0</v>
      </c>
      <c r="I1586">
        <v>0</v>
      </c>
      <c r="J1586">
        <v>0</v>
      </c>
      <c r="K1586">
        <v>74.8</v>
      </c>
      <c r="L1586">
        <v>73.5</v>
      </c>
      <c r="M1586">
        <v>81.16</v>
      </c>
      <c r="N1586">
        <v>26</v>
      </c>
      <c r="O1586">
        <v>2</v>
      </c>
      <c r="P1586">
        <f>MOD(DAY(datos_siembra[[#This Row],[Date]]),7)</f>
        <v>5</v>
      </c>
      <c r="Q1586" t="str">
        <f>CHOOSE(WEEKDAY(datos_siembra[[#This Row],[Date]],2),"L","M","X","J","V","S","D")</f>
        <v>J</v>
      </c>
      <c r="R1586">
        <f>WEEKNUM(datos_siembra[[#This Row],[Date]],2)-WEEKNUM(DATE(YEAR(datos_siembra[[#This Row],[Date]]),MONTH(datos_siembra[[#This Row],[Date]]),1))+1</f>
        <v>4</v>
      </c>
      <c r="S1586">
        <f>MONTH(datos_siembra[[#This Row],[Date]])</f>
        <v>9</v>
      </c>
      <c r="T1586" t="str" cm="1">
        <f t="array" ref="T1586">_xlfn.IFS(AND(N1586&lt;= 22, S1586=9), "SOWING",AND(N1586&lt;= 28, S1586=9), "COVERAGE",AND(N1586&lt;= 30, S1586=9), "FLUSH",AND(N1586&lt;= 11, S1586=10), "FLUSH",AND(N1586&lt;= 21, S1586=10), "PRODUCTION")</f>
        <v>COVERAGE</v>
      </c>
      <c r="U1586">
        <f>HOUR(datos_siembra[[#This Row],[Hour]])</f>
        <v>23</v>
      </c>
      <c r="V1586" cm="1">
        <f t="array" ref="V1586">_xlfn.IFS(AND(N1586&lt;= 22, S1586=9), N1586-7,AND(N1586&lt;= 28, S1586=9), N1586-25,AND(N1586&lt;= 30, S1586=9), N1586-28,AND(N1586&lt;= 11, S1586=10), N1586+2,AND(N1586&lt;= 21, S1586=10), N1586-11)</f>
        <v>1</v>
      </c>
    </row>
    <row r="1587" spans="1:22" x14ac:dyDescent="0.35">
      <c r="A1587" s="4">
        <v>45561</v>
      </c>
      <c r="B1587" s="5">
        <v>0.96537037037037032</v>
      </c>
      <c r="C1587">
        <v>81.7</v>
      </c>
      <c r="D1587">
        <v>80.400000000000006</v>
      </c>
      <c r="E1587">
        <v>81.7</v>
      </c>
      <c r="F1587">
        <v>80.900000000000006</v>
      </c>
      <c r="G1587">
        <v>0</v>
      </c>
      <c r="H1587">
        <v>0</v>
      </c>
      <c r="I1587">
        <v>0</v>
      </c>
      <c r="J1587">
        <v>0</v>
      </c>
      <c r="K1587">
        <v>74.8</v>
      </c>
      <c r="L1587">
        <v>73.5</v>
      </c>
      <c r="M1587">
        <v>81.19</v>
      </c>
      <c r="N1587">
        <v>26</v>
      </c>
      <c r="O1587">
        <v>2</v>
      </c>
      <c r="P1587">
        <f>MOD(DAY(datos_siembra[[#This Row],[Date]]),7)</f>
        <v>5</v>
      </c>
      <c r="Q1587" t="str">
        <f>CHOOSE(WEEKDAY(datos_siembra[[#This Row],[Date]],2),"L","M","X","J","V","S","D")</f>
        <v>J</v>
      </c>
      <c r="R1587">
        <f>WEEKNUM(datos_siembra[[#This Row],[Date]],2)-WEEKNUM(DATE(YEAR(datos_siembra[[#This Row],[Date]]),MONTH(datos_siembra[[#This Row],[Date]]),1))+1</f>
        <v>4</v>
      </c>
      <c r="S1587">
        <f>MONTH(datos_siembra[[#This Row],[Date]])</f>
        <v>9</v>
      </c>
      <c r="T1587" t="str" cm="1">
        <f t="array" ref="T1587">_xlfn.IFS(AND(N1587&lt;= 22, S1587=9), "SOWING",AND(N1587&lt;= 28, S1587=9), "COVERAGE",AND(N1587&lt;= 30, S1587=9), "FLUSH",AND(N1587&lt;= 11, S1587=10), "FLUSH",AND(N1587&lt;= 21, S1587=10), "PRODUCTION")</f>
        <v>COVERAGE</v>
      </c>
      <c r="U1587">
        <f>HOUR(datos_siembra[[#This Row],[Hour]])</f>
        <v>23</v>
      </c>
      <c r="V1587" cm="1">
        <f t="array" ref="V1587">_xlfn.IFS(AND(N1587&lt;= 22, S1587=9), N1587-7,AND(N1587&lt;= 28, S1587=9), N1587-25,AND(N1587&lt;= 30, S1587=9), N1587-28,AND(N1587&lt;= 11, S1587=10), N1587+2,AND(N1587&lt;= 21, S1587=10), N1587-11)</f>
        <v>1</v>
      </c>
    </row>
    <row r="1588" spans="1:22" x14ac:dyDescent="0.35">
      <c r="A1588" s="4">
        <v>45561</v>
      </c>
      <c r="B1588" s="5">
        <v>0.97231481481481485</v>
      </c>
      <c r="C1588">
        <v>81.8</v>
      </c>
      <c r="D1588">
        <v>80.400000000000006</v>
      </c>
      <c r="E1588">
        <v>81.7</v>
      </c>
      <c r="F1588">
        <v>80.900000000000006</v>
      </c>
      <c r="G1588">
        <v>0</v>
      </c>
      <c r="H1588">
        <v>0</v>
      </c>
      <c r="I1588">
        <v>0</v>
      </c>
      <c r="J1588">
        <v>0</v>
      </c>
      <c r="K1588">
        <v>74.8</v>
      </c>
      <c r="L1588">
        <v>73.599999999999994</v>
      </c>
      <c r="M1588">
        <v>81.13</v>
      </c>
      <c r="N1588">
        <v>26</v>
      </c>
      <c r="O1588">
        <v>2</v>
      </c>
      <c r="P1588">
        <f>MOD(DAY(datos_siembra[[#This Row],[Date]]),7)</f>
        <v>5</v>
      </c>
      <c r="Q1588" t="str">
        <f>CHOOSE(WEEKDAY(datos_siembra[[#This Row],[Date]],2),"L","M","X","J","V","S","D")</f>
        <v>J</v>
      </c>
      <c r="R1588">
        <f>WEEKNUM(datos_siembra[[#This Row],[Date]],2)-WEEKNUM(DATE(YEAR(datos_siembra[[#This Row],[Date]]),MONTH(datos_siembra[[#This Row],[Date]]),1))+1</f>
        <v>4</v>
      </c>
      <c r="S1588">
        <f>MONTH(datos_siembra[[#This Row],[Date]])</f>
        <v>9</v>
      </c>
      <c r="T1588" t="str" cm="1">
        <f t="array" ref="T1588">_xlfn.IFS(AND(N1588&lt;= 22, S1588=9), "SOWING",AND(N1588&lt;= 28, S1588=9), "COVERAGE",AND(N1588&lt;= 30, S1588=9), "FLUSH",AND(N1588&lt;= 11, S1588=10), "FLUSH",AND(N1588&lt;= 21, S1588=10), "PRODUCTION")</f>
        <v>COVERAGE</v>
      </c>
      <c r="U1588">
        <f>HOUR(datos_siembra[[#This Row],[Hour]])</f>
        <v>23</v>
      </c>
      <c r="V1588" cm="1">
        <f t="array" ref="V1588">_xlfn.IFS(AND(N1588&lt;= 22, S1588=9), N1588-7,AND(N1588&lt;= 28, S1588=9), N1588-25,AND(N1588&lt;= 30, S1588=9), N1588-28,AND(N1588&lt;= 11, S1588=10), N1588+2,AND(N1588&lt;= 21, S1588=10), N1588-11)</f>
        <v>1</v>
      </c>
    </row>
    <row r="1589" spans="1:22" x14ac:dyDescent="0.35">
      <c r="A1589" s="4">
        <v>45561</v>
      </c>
      <c r="B1589" s="5">
        <v>0.97925925925925927</v>
      </c>
      <c r="C1589">
        <v>81.7</v>
      </c>
      <c r="D1589">
        <v>80.400000000000006</v>
      </c>
      <c r="E1589">
        <v>81.5</v>
      </c>
      <c r="F1589">
        <v>80.900000000000006</v>
      </c>
      <c r="G1589">
        <v>0</v>
      </c>
      <c r="H1589">
        <v>0</v>
      </c>
      <c r="I1589">
        <v>0</v>
      </c>
      <c r="J1589">
        <v>0</v>
      </c>
      <c r="K1589">
        <v>74.8</v>
      </c>
      <c r="L1589">
        <v>73.5</v>
      </c>
      <c r="M1589">
        <v>81.19</v>
      </c>
      <c r="N1589">
        <v>26</v>
      </c>
      <c r="O1589">
        <v>2</v>
      </c>
      <c r="P1589">
        <f>MOD(DAY(datos_siembra[[#This Row],[Date]]),7)</f>
        <v>5</v>
      </c>
      <c r="Q1589" t="str">
        <f>CHOOSE(WEEKDAY(datos_siembra[[#This Row],[Date]],2),"L","M","X","J","V","S","D")</f>
        <v>J</v>
      </c>
      <c r="R1589">
        <f>WEEKNUM(datos_siembra[[#This Row],[Date]],2)-WEEKNUM(DATE(YEAR(datos_siembra[[#This Row],[Date]]),MONTH(datos_siembra[[#This Row],[Date]]),1))+1</f>
        <v>4</v>
      </c>
      <c r="S1589">
        <f>MONTH(datos_siembra[[#This Row],[Date]])</f>
        <v>9</v>
      </c>
      <c r="T1589" t="str" cm="1">
        <f t="array" ref="T1589">_xlfn.IFS(AND(N1589&lt;= 22, S1589=9), "SOWING",AND(N1589&lt;= 28, S1589=9), "COVERAGE",AND(N1589&lt;= 30, S1589=9), "FLUSH",AND(N1589&lt;= 11, S1589=10), "FLUSH",AND(N1589&lt;= 21, S1589=10), "PRODUCTION")</f>
        <v>COVERAGE</v>
      </c>
      <c r="U1589">
        <f>HOUR(datos_siembra[[#This Row],[Hour]])</f>
        <v>23</v>
      </c>
      <c r="V1589" cm="1">
        <f t="array" ref="V1589">_xlfn.IFS(AND(N1589&lt;= 22, S1589=9), N1589-7,AND(N1589&lt;= 28, S1589=9), N1589-25,AND(N1589&lt;= 30, S1589=9), N1589-28,AND(N1589&lt;= 11, S1589=10), N1589+2,AND(N1589&lt;= 21, S1589=10), N1589-11)</f>
        <v>1</v>
      </c>
    </row>
    <row r="1590" spans="1:22" x14ac:dyDescent="0.35">
      <c r="A1590" s="4">
        <v>45561</v>
      </c>
      <c r="B1590" s="5">
        <v>0.98621527777777773</v>
      </c>
      <c r="C1590">
        <v>81.8</v>
      </c>
      <c r="D1590">
        <v>80.5</v>
      </c>
      <c r="E1590">
        <v>81.5</v>
      </c>
      <c r="F1590">
        <v>80.900000000000006</v>
      </c>
      <c r="G1590">
        <v>0</v>
      </c>
      <c r="H1590">
        <v>0</v>
      </c>
      <c r="I1590">
        <v>0</v>
      </c>
      <c r="J1590">
        <v>0</v>
      </c>
      <c r="K1590">
        <v>74.8</v>
      </c>
      <c r="L1590">
        <v>73.7</v>
      </c>
      <c r="M1590">
        <v>81.22</v>
      </c>
      <c r="N1590">
        <v>26</v>
      </c>
      <c r="O1590">
        <v>2</v>
      </c>
      <c r="P1590">
        <f>MOD(DAY(datos_siembra[[#This Row],[Date]]),7)</f>
        <v>5</v>
      </c>
      <c r="Q1590" t="str">
        <f>CHOOSE(WEEKDAY(datos_siembra[[#This Row],[Date]],2),"L","M","X","J","V","S","D")</f>
        <v>J</v>
      </c>
      <c r="R1590">
        <f>WEEKNUM(datos_siembra[[#This Row],[Date]],2)-WEEKNUM(DATE(YEAR(datos_siembra[[#This Row],[Date]]),MONTH(datos_siembra[[#This Row],[Date]]),1))+1</f>
        <v>4</v>
      </c>
      <c r="S1590">
        <f>MONTH(datos_siembra[[#This Row],[Date]])</f>
        <v>9</v>
      </c>
      <c r="T1590" t="str" cm="1">
        <f t="array" ref="T1590">_xlfn.IFS(AND(N1590&lt;= 22, S1590=9), "SOWING",AND(N1590&lt;= 28, S1590=9), "COVERAGE",AND(N1590&lt;= 30, S1590=9), "FLUSH",AND(N1590&lt;= 11, S1590=10), "FLUSH",AND(N1590&lt;= 21, S1590=10), "PRODUCTION")</f>
        <v>COVERAGE</v>
      </c>
      <c r="U1590">
        <f>HOUR(datos_siembra[[#This Row],[Hour]])</f>
        <v>23</v>
      </c>
      <c r="V1590" cm="1">
        <f t="array" ref="V1590">_xlfn.IFS(AND(N1590&lt;= 22, S1590=9), N1590-7,AND(N1590&lt;= 28, S1590=9), N1590-25,AND(N1590&lt;= 30, S1590=9), N1590-28,AND(N1590&lt;= 11, S1590=10), N1590+2,AND(N1590&lt;= 21, S1590=10), N1590-11)</f>
        <v>1</v>
      </c>
    </row>
    <row r="1591" spans="1:22" x14ac:dyDescent="0.35">
      <c r="A1591" s="4">
        <v>45561</v>
      </c>
      <c r="B1591" s="5">
        <v>0.99315972222222226</v>
      </c>
      <c r="C1591">
        <v>81.7</v>
      </c>
      <c r="D1591">
        <v>80.3</v>
      </c>
      <c r="E1591">
        <v>81.7</v>
      </c>
      <c r="F1591">
        <v>81.099999999999994</v>
      </c>
      <c r="G1591">
        <v>0</v>
      </c>
      <c r="H1591">
        <v>0</v>
      </c>
      <c r="I1591">
        <v>0</v>
      </c>
      <c r="J1591">
        <v>0</v>
      </c>
      <c r="K1591">
        <v>74.900000000000006</v>
      </c>
      <c r="L1591">
        <v>73.7</v>
      </c>
      <c r="M1591">
        <v>81.27</v>
      </c>
      <c r="N1591">
        <v>26</v>
      </c>
      <c r="O1591">
        <v>2</v>
      </c>
      <c r="P1591">
        <f>MOD(DAY(datos_siembra[[#This Row],[Date]]),7)</f>
        <v>5</v>
      </c>
      <c r="Q1591" t="str">
        <f>CHOOSE(WEEKDAY(datos_siembra[[#This Row],[Date]],2),"L","M","X","J","V","S","D")</f>
        <v>J</v>
      </c>
      <c r="R1591">
        <f>WEEKNUM(datos_siembra[[#This Row],[Date]],2)-WEEKNUM(DATE(YEAR(datos_siembra[[#This Row],[Date]]),MONTH(datos_siembra[[#This Row],[Date]]),1))+1</f>
        <v>4</v>
      </c>
      <c r="S1591">
        <f>MONTH(datos_siembra[[#This Row],[Date]])</f>
        <v>9</v>
      </c>
      <c r="T1591" t="str" cm="1">
        <f t="array" ref="T1591">_xlfn.IFS(AND(N1591&lt;= 22, S1591=9), "SOWING",AND(N1591&lt;= 28, S1591=9), "COVERAGE",AND(N1591&lt;= 30, S1591=9), "FLUSH",AND(N1591&lt;= 11, S1591=10), "FLUSH",AND(N1591&lt;= 21, S1591=10), "PRODUCTION")</f>
        <v>COVERAGE</v>
      </c>
      <c r="U1591">
        <f>HOUR(datos_siembra[[#This Row],[Hour]])</f>
        <v>23</v>
      </c>
      <c r="V1591" cm="1">
        <f t="array" ref="V1591">_xlfn.IFS(AND(N1591&lt;= 22, S1591=9), N1591-7,AND(N1591&lt;= 28, S1591=9), N1591-25,AND(N1591&lt;= 30, S1591=9), N1591-28,AND(N1591&lt;= 11, S1591=10), N1591+2,AND(N1591&lt;= 21, S1591=10), N1591-11)</f>
        <v>1</v>
      </c>
    </row>
    <row r="1592" spans="1:22" x14ac:dyDescent="0.35">
      <c r="A1592" s="4">
        <v>45562</v>
      </c>
      <c r="B1592" s="5">
        <v>1.0416666666666667E-4</v>
      </c>
      <c r="C1592">
        <v>82</v>
      </c>
      <c r="D1592">
        <v>80.5</v>
      </c>
      <c r="E1592">
        <v>81.8</v>
      </c>
      <c r="F1592">
        <v>80.900000000000006</v>
      </c>
      <c r="G1592">
        <v>0</v>
      </c>
      <c r="H1592">
        <v>0</v>
      </c>
      <c r="I1592">
        <v>0</v>
      </c>
      <c r="J1592">
        <v>0</v>
      </c>
      <c r="K1592">
        <v>74.8</v>
      </c>
      <c r="L1592">
        <v>73.7</v>
      </c>
      <c r="M1592">
        <v>81.22</v>
      </c>
      <c r="N1592">
        <v>27</v>
      </c>
      <c r="O1592">
        <v>3</v>
      </c>
      <c r="P1592">
        <f>MOD(DAY(datos_siembra[[#This Row],[Date]]),7)</f>
        <v>6</v>
      </c>
      <c r="Q1592" t="str">
        <f>CHOOSE(WEEKDAY(datos_siembra[[#This Row],[Date]],2),"L","M","X","J","V","S","D")</f>
        <v>V</v>
      </c>
      <c r="R1592">
        <f>WEEKNUM(datos_siembra[[#This Row],[Date]],2)-WEEKNUM(DATE(YEAR(datos_siembra[[#This Row],[Date]]),MONTH(datos_siembra[[#This Row],[Date]]),1))+1</f>
        <v>4</v>
      </c>
      <c r="S1592">
        <f>MONTH(datos_siembra[[#This Row],[Date]])</f>
        <v>9</v>
      </c>
      <c r="T1592" t="str" cm="1">
        <f t="array" ref="T1592">_xlfn.IFS(AND(N1592&lt;= 22, S1592=9), "SOWING",AND(N1592&lt;= 28, S1592=9), "COVERAGE",AND(N1592&lt;= 30, S1592=9), "FLUSH",AND(N1592&lt;= 11, S1592=10), "FLUSH",AND(N1592&lt;= 21, S1592=10), "PRODUCTION")</f>
        <v>COVERAGE</v>
      </c>
      <c r="U1592">
        <f>HOUR(datos_siembra[[#This Row],[Hour]])</f>
        <v>0</v>
      </c>
      <c r="V1592" cm="1">
        <f t="array" ref="V1592">_xlfn.IFS(AND(N1592&lt;= 22, S1592=9), N1592-7,AND(N1592&lt;= 28, S1592=9), N1592-25,AND(N1592&lt;= 30, S1592=9), N1592-28,AND(N1592&lt;= 11, S1592=10), N1592+2,AND(N1592&lt;= 21, S1592=10), N1592-11)</f>
        <v>2</v>
      </c>
    </row>
    <row r="1593" spans="1:22" x14ac:dyDescent="0.35">
      <c r="A1593" s="4">
        <v>45562</v>
      </c>
      <c r="B1593" s="5">
        <v>7.0486111111111114E-3</v>
      </c>
      <c r="C1593">
        <v>81.8</v>
      </c>
      <c r="D1593">
        <v>80.400000000000006</v>
      </c>
      <c r="E1593">
        <v>81.7</v>
      </c>
      <c r="F1593">
        <v>81.099999999999994</v>
      </c>
      <c r="G1593">
        <v>0</v>
      </c>
      <c r="H1593">
        <v>0</v>
      </c>
      <c r="I1593">
        <v>0</v>
      </c>
      <c r="J1593">
        <v>0</v>
      </c>
      <c r="K1593">
        <v>74.8</v>
      </c>
      <c r="L1593">
        <v>73.599999999999994</v>
      </c>
      <c r="M1593">
        <v>81.3</v>
      </c>
      <c r="N1593">
        <v>27</v>
      </c>
      <c r="O1593">
        <v>3</v>
      </c>
      <c r="P1593">
        <f>MOD(DAY(datos_siembra[[#This Row],[Date]]),7)</f>
        <v>6</v>
      </c>
      <c r="Q1593" t="str">
        <f>CHOOSE(WEEKDAY(datos_siembra[[#This Row],[Date]],2),"L","M","X","J","V","S","D")</f>
        <v>V</v>
      </c>
      <c r="R1593">
        <f>WEEKNUM(datos_siembra[[#This Row],[Date]],2)-WEEKNUM(DATE(YEAR(datos_siembra[[#This Row],[Date]]),MONTH(datos_siembra[[#This Row],[Date]]),1))+1</f>
        <v>4</v>
      </c>
      <c r="S1593">
        <f>MONTH(datos_siembra[[#This Row],[Date]])</f>
        <v>9</v>
      </c>
      <c r="T1593" t="str" cm="1">
        <f t="array" ref="T1593">_xlfn.IFS(AND(N1593&lt;= 22, S1593=9), "SOWING",AND(N1593&lt;= 28, S1593=9), "COVERAGE",AND(N1593&lt;= 30, S1593=9), "FLUSH",AND(N1593&lt;= 11, S1593=10), "FLUSH",AND(N1593&lt;= 21, S1593=10), "PRODUCTION")</f>
        <v>COVERAGE</v>
      </c>
      <c r="U1593">
        <f>HOUR(datos_siembra[[#This Row],[Hour]])</f>
        <v>0</v>
      </c>
      <c r="V1593" cm="1">
        <f t="array" ref="V1593">_xlfn.IFS(AND(N1593&lt;= 22, S1593=9), N1593-7,AND(N1593&lt;= 28, S1593=9), N1593-25,AND(N1593&lt;= 30, S1593=9), N1593-28,AND(N1593&lt;= 11, S1593=10), N1593+2,AND(N1593&lt;= 21, S1593=10), N1593-11)</f>
        <v>2</v>
      </c>
    </row>
    <row r="1594" spans="1:22" x14ac:dyDescent="0.35">
      <c r="A1594" s="4">
        <v>45562</v>
      </c>
      <c r="B1594" s="5">
        <v>1.4004629629629629E-2</v>
      </c>
      <c r="C1594">
        <v>81.8</v>
      </c>
      <c r="D1594">
        <v>80.599999999999994</v>
      </c>
      <c r="E1594">
        <v>81.8</v>
      </c>
      <c r="F1594">
        <v>81.099999999999994</v>
      </c>
      <c r="G1594">
        <v>0</v>
      </c>
      <c r="H1594">
        <v>0</v>
      </c>
      <c r="I1594">
        <v>0</v>
      </c>
      <c r="J1594">
        <v>0</v>
      </c>
      <c r="K1594">
        <v>74.8</v>
      </c>
      <c r="L1594">
        <v>73.599999999999994</v>
      </c>
      <c r="M1594">
        <v>81.36</v>
      </c>
      <c r="N1594">
        <v>27</v>
      </c>
      <c r="O1594">
        <v>3</v>
      </c>
      <c r="P1594">
        <f>MOD(DAY(datos_siembra[[#This Row],[Date]]),7)</f>
        <v>6</v>
      </c>
      <c r="Q1594" t="str">
        <f>CHOOSE(WEEKDAY(datos_siembra[[#This Row],[Date]],2),"L","M","X","J","V","S","D")</f>
        <v>V</v>
      </c>
      <c r="R1594">
        <f>WEEKNUM(datos_siembra[[#This Row],[Date]],2)-WEEKNUM(DATE(YEAR(datos_siembra[[#This Row],[Date]]),MONTH(datos_siembra[[#This Row],[Date]]),1))+1</f>
        <v>4</v>
      </c>
      <c r="S1594">
        <f>MONTH(datos_siembra[[#This Row],[Date]])</f>
        <v>9</v>
      </c>
      <c r="T1594" t="str" cm="1">
        <f t="array" ref="T1594">_xlfn.IFS(AND(N1594&lt;= 22, S1594=9), "SOWING",AND(N1594&lt;= 28, S1594=9), "COVERAGE",AND(N1594&lt;= 30, S1594=9), "FLUSH",AND(N1594&lt;= 11, S1594=10), "FLUSH",AND(N1594&lt;= 21, S1594=10), "PRODUCTION")</f>
        <v>COVERAGE</v>
      </c>
      <c r="U1594">
        <f>HOUR(datos_siembra[[#This Row],[Hour]])</f>
        <v>0</v>
      </c>
      <c r="V1594" cm="1">
        <f t="array" ref="V1594">_xlfn.IFS(AND(N1594&lt;= 22, S1594=9), N1594-7,AND(N1594&lt;= 28, S1594=9), N1594-25,AND(N1594&lt;= 30, S1594=9), N1594-28,AND(N1594&lt;= 11, S1594=10), N1594+2,AND(N1594&lt;= 21, S1594=10), N1594-11)</f>
        <v>2</v>
      </c>
    </row>
    <row r="1595" spans="1:22" x14ac:dyDescent="0.35">
      <c r="A1595" s="4">
        <v>45562</v>
      </c>
      <c r="B1595" s="5">
        <v>2.0949074074074075E-2</v>
      </c>
      <c r="C1595">
        <v>81.8</v>
      </c>
      <c r="D1595">
        <v>80.5</v>
      </c>
      <c r="E1595">
        <v>81.8</v>
      </c>
      <c r="F1595">
        <v>81.3</v>
      </c>
      <c r="G1595">
        <v>0</v>
      </c>
      <c r="H1595">
        <v>0</v>
      </c>
      <c r="I1595">
        <v>0</v>
      </c>
      <c r="J1595">
        <v>0</v>
      </c>
      <c r="K1595">
        <v>74.8</v>
      </c>
      <c r="L1595">
        <v>73.599999999999994</v>
      </c>
      <c r="M1595">
        <v>81.36</v>
      </c>
      <c r="N1595">
        <v>27</v>
      </c>
      <c r="O1595">
        <v>3</v>
      </c>
      <c r="P1595">
        <f>MOD(DAY(datos_siembra[[#This Row],[Date]]),7)</f>
        <v>6</v>
      </c>
      <c r="Q1595" t="str">
        <f>CHOOSE(WEEKDAY(datos_siembra[[#This Row],[Date]],2),"L","M","X","J","V","S","D")</f>
        <v>V</v>
      </c>
      <c r="R1595">
        <f>WEEKNUM(datos_siembra[[#This Row],[Date]],2)-WEEKNUM(DATE(YEAR(datos_siembra[[#This Row],[Date]]),MONTH(datos_siembra[[#This Row],[Date]]),1))+1</f>
        <v>4</v>
      </c>
      <c r="S1595">
        <f>MONTH(datos_siembra[[#This Row],[Date]])</f>
        <v>9</v>
      </c>
      <c r="T1595" t="str" cm="1">
        <f t="array" ref="T1595">_xlfn.IFS(AND(N1595&lt;= 22, S1595=9), "SOWING",AND(N1595&lt;= 28, S1595=9), "COVERAGE",AND(N1595&lt;= 30, S1595=9), "FLUSH",AND(N1595&lt;= 11, S1595=10), "FLUSH",AND(N1595&lt;= 21, S1595=10), "PRODUCTION")</f>
        <v>COVERAGE</v>
      </c>
      <c r="U1595">
        <f>HOUR(datos_siembra[[#This Row],[Hour]])</f>
        <v>0</v>
      </c>
      <c r="V1595" cm="1">
        <f t="array" ref="V1595">_xlfn.IFS(AND(N1595&lt;= 22, S1595=9), N1595-7,AND(N1595&lt;= 28, S1595=9), N1595-25,AND(N1595&lt;= 30, S1595=9), N1595-28,AND(N1595&lt;= 11, S1595=10), N1595+2,AND(N1595&lt;= 21, S1595=10), N1595-11)</f>
        <v>2</v>
      </c>
    </row>
    <row r="1596" spans="1:22" x14ac:dyDescent="0.35">
      <c r="A1596" s="4">
        <v>45562</v>
      </c>
      <c r="B1596" s="5">
        <v>2.7893518518518519E-2</v>
      </c>
      <c r="C1596">
        <v>82.1</v>
      </c>
      <c r="D1596">
        <v>80.7</v>
      </c>
      <c r="E1596">
        <v>82</v>
      </c>
      <c r="F1596">
        <v>81.099999999999994</v>
      </c>
      <c r="G1596">
        <v>0</v>
      </c>
      <c r="H1596">
        <v>0</v>
      </c>
      <c r="I1596">
        <v>0</v>
      </c>
      <c r="J1596">
        <v>0</v>
      </c>
      <c r="K1596">
        <v>74.8</v>
      </c>
      <c r="L1596">
        <v>73.599999999999994</v>
      </c>
      <c r="M1596">
        <v>81.33</v>
      </c>
      <c r="N1596">
        <v>27</v>
      </c>
      <c r="O1596">
        <v>3</v>
      </c>
      <c r="P1596">
        <f>MOD(DAY(datos_siembra[[#This Row],[Date]]),7)</f>
        <v>6</v>
      </c>
      <c r="Q1596" t="str">
        <f>CHOOSE(WEEKDAY(datos_siembra[[#This Row],[Date]],2),"L","M","X","J","V","S","D")</f>
        <v>V</v>
      </c>
      <c r="R1596">
        <f>WEEKNUM(datos_siembra[[#This Row],[Date]],2)-WEEKNUM(DATE(YEAR(datos_siembra[[#This Row],[Date]]),MONTH(datos_siembra[[#This Row],[Date]]),1))+1</f>
        <v>4</v>
      </c>
      <c r="S1596">
        <f>MONTH(datos_siembra[[#This Row],[Date]])</f>
        <v>9</v>
      </c>
      <c r="T1596" t="str" cm="1">
        <f t="array" ref="T1596">_xlfn.IFS(AND(N1596&lt;= 22, S1596=9), "SOWING",AND(N1596&lt;= 28, S1596=9), "COVERAGE",AND(N1596&lt;= 30, S1596=9), "FLUSH",AND(N1596&lt;= 11, S1596=10), "FLUSH",AND(N1596&lt;= 21, S1596=10), "PRODUCTION")</f>
        <v>COVERAGE</v>
      </c>
      <c r="U1596">
        <f>HOUR(datos_siembra[[#This Row],[Hour]])</f>
        <v>0</v>
      </c>
      <c r="V1596" cm="1">
        <f t="array" ref="V1596">_xlfn.IFS(AND(N1596&lt;= 22, S1596=9), N1596-7,AND(N1596&lt;= 28, S1596=9), N1596-25,AND(N1596&lt;= 30, S1596=9), N1596-28,AND(N1596&lt;= 11, S1596=10), N1596+2,AND(N1596&lt;= 21, S1596=10), N1596-11)</f>
        <v>2</v>
      </c>
    </row>
    <row r="1597" spans="1:22" x14ac:dyDescent="0.35">
      <c r="A1597" s="4">
        <v>45562</v>
      </c>
      <c r="B1597" s="5">
        <v>3.4837962962962966E-2</v>
      </c>
      <c r="C1597">
        <v>82</v>
      </c>
      <c r="D1597">
        <v>80.599999999999994</v>
      </c>
      <c r="E1597">
        <v>82</v>
      </c>
      <c r="F1597">
        <v>81.099999999999994</v>
      </c>
      <c r="G1597">
        <v>0</v>
      </c>
      <c r="H1597">
        <v>0</v>
      </c>
      <c r="I1597">
        <v>0</v>
      </c>
      <c r="J1597">
        <v>0</v>
      </c>
      <c r="K1597">
        <v>74.8</v>
      </c>
      <c r="L1597">
        <v>73.599999999999994</v>
      </c>
      <c r="M1597">
        <v>81.39</v>
      </c>
      <c r="N1597">
        <v>27</v>
      </c>
      <c r="O1597">
        <v>3</v>
      </c>
      <c r="P1597">
        <f>MOD(DAY(datos_siembra[[#This Row],[Date]]),7)</f>
        <v>6</v>
      </c>
      <c r="Q1597" t="str">
        <f>CHOOSE(WEEKDAY(datos_siembra[[#This Row],[Date]],2),"L","M","X","J","V","S","D")</f>
        <v>V</v>
      </c>
      <c r="R1597">
        <f>WEEKNUM(datos_siembra[[#This Row],[Date]],2)-WEEKNUM(DATE(YEAR(datos_siembra[[#This Row],[Date]]),MONTH(datos_siembra[[#This Row],[Date]]),1))+1</f>
        <v>4</v>
      </c>
      <c r="S1597">
        <f>MONTH(datos_siembra[[#This Row],[Date]])</f>
        <v>9</v>
      </c>
      <c r="T1597" t="str" cm="1">
        <f t="array" ref="T1597">_xlfn.IFS(AND(N1597&lt;= 22, S1597=9), "SOWING",AND(N1597&lt;= 28, S1597=9), "COVERAGE",AND(N1597&lt;= 30, S1597=9), "FLUSH",AND(N1597&lt;= 11, S1597=10), "FLUSH",AND(N1597&lt;= 21, S1597=10), "PRODUCTION")</f>
        <v>COVERAGE</v>
      </c>
      <c r="U1597">
        <f>HOUR(datos_siembra[[#This Row],[Hour]])</f>
        <v>0</v>
      </c>
      <c r="V1597" cm="1">
        <f t="array" ref="V1597">_xlfn.IFS(AND(N1597&lt;= 22, S1597=9), N1597-7,AND(N1597&lt;= 28, S1597=9), N1597-25,AND(N1597&lt;= 30, S1597=9), N1597-28,AND(N1597&lt;= 11, S1597=10), N1597+2,AND(N1597&lt;= 21, S1597=10), N1597-11)</f>
        <v>2</v>
      </c>
    </row>
    <row r="1598" spans="1:22" x14ac:dyDescent="0.35">
      <c r="A1598" s="4">
        <v>45562</v>
      </c>
      <c r="B1598" s="5">
        <v>4.1793981481481481E-2</v>
      </c>
      <c r="C1598">
        <v>82</v>
      </c>
      <c r="D1598">
        <v>80.599999999999994</v>
      </c>
      <c r="E1598">
        <v>81.8</v>
      </c>
      <c r="F1598">
        <v>81.099999999999994</v>
      </c>
      <c r="G1598">
        <v>0</v>
      </c>
      <c r="H1598">
        <v>0</v>
      </c>
      <c r="I1598">
        <v>0</v>
      </c>
      <c r="J1598">
        <v>0</v>
      </c>
      <c r="K1598">
        <v>74.8</v>
      </c>
      <c r="L1598">
        <v>73.599999999999994</v>
      </c>
      <c r="M1598">
        <v>81.42</v>
      </c>
      <c r="N1598">
        <v>27</v>
      </c>
      <c r="O1598">
        <v>3</v>
      </c>
      <c r="P1598">
        <f>MOD(DAY(datos_siembra[[#This Row],[Date]]),7)</f>
        <v>6</v>
      </c>
      <c r="Q1598" t="str">
        <f>CHOOSE(WEEKDAY(datos_siembra[[#This Row],[Date]],2),"L","M","X","J","V","S","D")</f>
        <v>V</v>
      </c>
      <c r="R1598">
        <f>WEEKNUM(datos_siembra[[#This Row],[Date]],2)-WEEKNUM(DATE(YEAR(datos_siembra[[#This Row],[Date]]),MONTH(datos_siembra[[#This Row],[Date]]),1))+1</f>
        <v>4</v>
      </c>
      <c r="S1598">
        <f>MONTH(datos_siembra[[#This Row],[Date]])</f>
        <v>9</v>
      </c>
      <c r="T1598" t="str" cm="1">
        <f t="array" ref="T1598">_xlfn.IFS(AND(N1598&lt;= 22, S1598=9), "SOWING",AND(N1598&lt;= 28, S1598=9), "COVERAGE",AND(N1598&lt;= 30, S1598=9), "FLUSH",AND(N1598&lt;= 11, S1598=10), "FLUSH",AND(N1598&lt;= 21, S1598=10), "PRODUCTION")</f>
        <v>COVERAGE</v>
      </c>
      <c r="U1598">
        <f>HOUR(datos_siembra[[#This Row],[Hour]])</f>
        <v>1</v>
      </c>
      <c r="V1598" cm="1">
        <f t="array" ref="V1598">_xlfn.IFS(AND(N1598&lt;= 22, S1598=9), N1598-7,AND(N1598&lt;= 28, S1598=9), N1598-25,AND(N1598&lt;= 30, S1598=9), N1598-28,AND(N1598&lt;= 11, S1598=10), N1598+2,AND(N1598&lt;= 21, S1598=10), N1598-11)</f>
        <v>2</v>
      </c>
    </row>
    <row r="1599" spans="1:22" x14ac:dyDescent="0.35">
      <c r="A1599" s="4">
        <v>45562</v>
      </c>
      <c r="B1599" s="5">
        <v>4.8738425925925928E-2</v>
      </c>
      <c r="C1599">
        <v>82</v>
      </c>
      <c r="D1599">
        <v>80.599999999999994</v>
      </c>
      <c r="E1599">
        <v>81.8</v>
      </c>
      <c r="F1599">
        <v>81.3</v>
      </c>
      <c r="G1599">
        <v>0</v>
      </c>
      <c r="H1599">
        <v>0</v>
      </c>
      <c r="I1599">
        <v>0</v>
      </c>
      <c r="J1599">
        <v>0</v>
      </c>
      <c r="K1599">
        <v>74.8</v>
      </c>
      <c r="L1599">
        <v>73.599999999999994</v>
      </c>
      <c r="M1599">
        <v>81.44</v>
      </c>
      <c r="N1599">
        <v>27</v>
      </c>
      <c r="O1599">
        <v>3</v>
      </c>
      <c r="P1599">
        <f>MOD(DAY(datos_siembra[[#This Row],[Date]]),7)</f>
        <v>6</v>
      </c>
      <c r="Q1599" t="str">
        <f>CHOOSE(WEEKDAY(datos_siembra[[#This Row],[Date]],2),"L","M","X","J","V","S","D")</f>
        <v>V</v>
      </c>
      <c r="R1599">
        <f>WEEKNUM(datos_siembra[[#This Row],[Date]],2)-WEEKNUM(DATE(YEAR(datos_siembra[[#This Row],[Date]]),MONTH(datos_siembra[[#This Row],[Date]]),1))+1</f>
        <v>4</v>
      </c>
      <c r="S1599">
        <f>MONTH(datos_siembra[[#This Row],[Date]])</f>
        <v>9</v>
      </c>
      <c r="T1599" t="str" cm="1">
        <f t="array" ref="T1599">_xlfn.IFS(AND(N1599&lt;= 22, S1599=9), "SOWING",AND(N1599&lt;= 28, S1599=9), "COVERAGE",AND(N1599&lt;= 30, S1599=9), "FLUSH",AND(N1599&lt;= 11, S1599=10), "FLUSH",AND(N1599&lt;= 21, S1599=10), "PRODUCTION")</f>
        <v>COVERAGE</v>
      </c>
      <c r="U1599">
        <f>HOUR(datos_siembra[[#This Row],[Hour]])</f>
        <v>1</v>
      </c>
      <c r="V1599" cm="1">
        <f t="array" ref="V1599">_xlfn.IFS(AND(N1599&lt;= 22, S1599=9), N1599-7,AND(N1599&lt;= 28, S1599=9), N1599-25,AND(N1599&lt;= 30, S1599=9), N1599-28,AND(N1599&lt;= 11, S1599=10), N1599+2,AND(N1599&lt;= 21, S1599=10), N1599-11)</f>
        <v>2</v>
      </c>
    </row>
    <row r="1600" spans="1:22" x14ac:dyDescent="0.35">
      <c r="A1600" s="4">
        <v>45562</v>
      </c>
      <c r="B1600" s="5">
        <v>5.5682870370370369E-2</v>
      </c>
      <c r="C1600">
        <v>82.2</v>
      </c>
      <c r="D1600">
        <v>80.599999999999994</v>
      </c>
      <c r="E1600">
        <v>82</v>
      </c>
      <c r="F1600">
        <v>81.2</v>
      </c>
      <c r="G1600">
        <v>0</v>
      </c>
      <c r="H1600">
        <v>0</v>
      </c>
      <c r="I1600">
        <v>0</v>
      </c>
      <c r="J1600">
        <v>0</v>
      </c>
      <c r="K1600">
        <v>74.8</v>
      </c>
      <c r="L1600">
        <v>73.599999999999994</v>
      </c>
      <c r="M1600">
        <v>81.5</v>
      </c>
      <c r="N1600">
        <v>27</v>
      </c>
      <c r="O1600">
        <v>3</v>
      </c>
      <c r="P1600">
        <f>MOD(DAY(datos_siembra[[#This Row],[Date]]),7)</f>
        <v>6</v>
      </c>
      <c r="Q1600" t="str">
        <f>CHOOSE(WEEKDAY(datos_siembra[[#This Row],[Date]],2),"L","M","X","J","V","S","D")</f>
        <v>V</v>
      </c>
      <c r="R1600">
        <f>WEEKNUM(datos_siembra[[#This Row],[Date]],2)-WEEKNUM(DATE(YEAR(datos_siembra[[#This Row],[Date]]),MONTH(datos_siembra[[#This Row],[Date]]),1))+1</f>
        <v>4</v>
      </c>
      <c r="S1600">
        <f>MONTH(datos_siembra[[#This Row],[Date]])</f>
        <v>9</v>
      </c>
      <c r="T1600" t="str" cm="1">
        <f t="array" ref="T1600">_xlfn.IFS(AND(N1600&lt;= 22, S1600=9), "SOWING",AND(N1600&lt;= 28, S1600=9), "COVERAGE",AND(N1600&lt;= 30, S1600=9), "FLUSH",AND(N1600&lt;= 11, S1600=10), "FLUSH",AND(N1600&lt;= 21, S1600=10), "PRODUCTION")</f>
        <v>COVERAGE</v>
      </c>
      <c r="U1600">
        <f>HOUR(datos_siembra[[#This Row],[Hour]])</f>
        <v>1</v>
      </c>
      <c r="V1600" cm="1">
        <f t="array" ref="V1600">_xlfn.IFS(AND(N1600&lt;= 22, S1600=9), N1600-7,AND(N1600&lt;= 28, S1600=9), N1600-25,AND(N1600&lt;= 30, S1600=9), N1600-28,AND(N1600&lt;= 11, S1600=10), N1600+2,AND(N1600&lt;= 21, S1600=10), N1600-11)</f>
        <v>2</v>
      </c>
    </row>
    <row r="1601" spans="1:22" x14ac:dyDescent="0.35">
      <c r="A1601" s="4">
        <v>45562</v>
      </c>
      <c r="B1601" s="5">
        <v>6.2627314814814816E-2</v>
      </c>
      <c r="C1601">
        <v>82.2</v>
      </c>
      <c r="D1601">
        <v>80.599999999999994</v>
      </c>
      <c r="E1601">
        <v>81.8</v>
      </c>
      <c r="F1601">
        <v>81.400000000000006</v>
      </c>
      <c r="G1601">
        <v>0</v>
      </c>
      <c r="H1601">
        <v>0</v>
      </c>
      <c r="I1601">
        <v>0</v>
      </c>
      <c r="J1601">
        <v>0</v>
      </c>
      <c r="K1601">
        <v>74.8</v>
      </c>
      <c r="L1601">
        <v>73.599999999999994</v>
      </c>
      <c r="M1601">
        <v>81.5</v>
      </c>
      <c r="N1601">
        <v>27</v>
      </c>
      <c r="O1601">
        <v>3</v>
      </c>
      <c r="P1601">
        <f>MOD(DAY(datos_siembra[[#This Row],[Date]]),7)</f>
        <v>6</v>
      </c>
      <c r="Q1601" t="str">
        <f>CHOOSE(WEEKDAY(datos_siembra[[#This Row],[Date]],2),"L","M","X","J","V","S","D")</f>
        <v>V</v>
      </c>
      <c r="R1601">
        <f>WEEKNUM(datos_siembra[[#This Row],[Date]],2)-WEEKNUM(DATE(YEAR(datos_siembra[[#This Row],[Date]]),MONTH(datos_siembra[[#This Row],[Date]]),1))+1</f>
        <v>4</v>
      </c>
      <c r="S1601">
        <f>MONTH(datos_siembra[[#This Row],[Date]])</f>
        <v>9</v>
      </c>
      <c r="T1601" t="str" cm="1">
        <f t="array" ref="T1601">_xlfn.IFS(AND(N1601&lt;= 22, S1601=9), "SOWING",AND(N1601&lt;= 28, S1601=9), "COVERAGE",AND(N1601&lt;= 30, S1601=9), "FLUSH",AND(N1601&lt;= 11, S1601=10), "FLUSH",AND(N1601&lt;= 21, S1601=10), "PRODUCTION")</f>
        <v>COVERAGE</v>
      </c>
      <c r="U1601">
        <f>HOUR(datos_siembra[[#This Row],[Hour]])</f>
        <v>1</v>
      </c>
      <c r="V1601" cm="1">
        <f t="array" ref="V1601">_xlfn.IFS(AND(N1601&lt;= 22, S1601=9), N1601-7,AND(N1601&lt;= 28, S1601=9), N1601-25,AND(N1601&lt;= 30, S1601=9), N1601-28,AND(N1601&lt;= 11, S1601=10), N1601+2,AND(N1601&lt;= 21, S1601=10), N1601-11)</f>
        <v>2</v>
      </c>
    </row>
    <row r="1602" spans="1:22" x14ac:dyDescent="0.35">
      <c r="A1602" s="4">
        <v>45562</v>
      </c>
      <c r="B1602" s="5">
        <v>6.958333333333333E-2</v>
      </c>
      <c r="C1602">
        <v>82.4</v>
      </c>
      <c r="D1602">
        <v>80.7</v>
      </c>
      <c r="E1602">
        <v>81.8</v>
      </c>
      <c r="F1602">
        <v>81.3</v>
      </c>
      <c r="G1602">
        <v>0</v>
      </c>
      <c r="H1602">
        <v>0</v>
      </c>
      <c r="I1602">
        <v>0</v>
      </c>
      <c r="J1602">
        <v>0</v>
      </c>
      <c r="K1602">
        <v>74.8</v>
      </c>
      <c r="L1602">
        <v>73.7</v>
      </c>
      <c r="M1602">
        <v>81.5</v>
      </c>
      <c r="N1602">
        <v>27</v>
      </c>
      <c r="O1602">
        <v>3</v>
      </c>
      <c r="P1602">
        <f>MOD(DAY(datos_siembra[[#This Row],[Date]]),7)</f>
        <v>6</v>
      </c>
      <c r="Q1602" t="str">
        <f>CHOOSE(WEEKDAY(datos_siembra[[#This Row],[Date]],2),"L","M","X","J","V","S","D")</f>
        <v>V</v>
      </c>
      <c r="R1602">
        <f>WEEKNUM(datos_siembra[[#This Row],[Date]],2)-WEEKNUM(DATE(YEAR(datos_siembra[[#This Row],[Date]]),MONTH(datos_siembra[[#This Row],[Date]]),1))+1</f>
        <v>4</v>
      </c>
      <c r="S1602">
        <f>MONTH(datos_siembra[[#This Row],[Date]])</f>
        <v>9</v>
      </c>
      <c r="T1602" t="str" cm="1">
        <f t="array" ref="T1602">_xlfn.IFS(AND(N1602&lt;= 22, S1602=9), "SOWING",AND(N1602&lt;= 28, S1602=9), "COVERAGE",AND(N1602&lt;= 30, S1602=9), "FLUSH",AND(N1602&lt;= 11, S1602=10), "FLUSH",AND(N1602&lt;= 21, S1602=10), "PRODUCTION")</f>
        <v>COVERAGE</v>
      </c>
      <c r="U1602">
        <f>HOUR(datos_siembra[[#This Row],[Hour]])</f>
        <v>1</v>
      </c>
      <c r="V1602" cm="1">
        <f t="array" ref="V1602">_xlfn.IFS(AND(N1602&lt;= 22, S1602=9), N1602-7,AND(N1602&lt;= 28, S1602=9), N1602-25,AND(N1602&lt;= 30, S1602=9), N1602-28,AND(N1602&lt;= 11, S1602=10), N1602+2,AND(N1602&lt;= 21, S1602=10), N1602-11)</f>
        <v>2</v>
      </c>
    </row>
    <row r="1603" spans="1:22" x14ac:dyDescent="0.35">
      <c r="A1603" s="4">
        <v>45562</v>
      </c>
      <c r="B1603" s="5">
        <v>7.6527777777777778E-2</v>
      </c>
      <c r="C1603">
        <v>82.3</v>
      </c>
      <c r="D1603">
        <v>80.599999999999994</v>
      </c>
      <c r="E1603">
        <v>82.1</v>
      </c>
      <c r="F1603">
        <v>81.3</v>
      </c>
      <c r="G1603">
        <v>0</v>
      </c>
      <c r="H1603">
        <v>0</v>
      </c>
      <c r="I1603">
        <v>0</v>
      </c>
      <c r="J1603">
        <v>0</v>
      </c>
      <c r="K1603">
        <v>74.8</v>
      </c>
      <c r="L1603">
        <v>73.599999999999994</v>
      </c>
      <c r="M1603">
        <v>81.61</v>
      </c>
      <c r="N1603">
        <v>27</v>
      </c>
      <c r="O1603">
        <v>3</v>
      </c>
      <c r="P1603">
        <f>MOD(DAY(datos_siembra[[#This Row],[Date]]),7)</f>
        <v>6</v>
      </c>
      <c r="Q1603" t="str">
        <f>CHOOSE(WEEKDAY(datos_siembra[[#This Row],[Date]],2),"L","M","X","J","V","S","D")</f>
        <v>V</v>
      </c>
      <c r="R1603">
        <f>WEEKNUM(datos_siembra[[#This Row],[Date]],2)-WEEKNUM(DATE(YEAR(datos_siembra[[#This Row],[Date]]),MONTH(datos_siembra[[#This Row],[Date]]),1))+1</f>
        <v>4</v>
      </c>
      <c r="S1603">
        <f>MONTH(datos_siembra[[#This Row],[Date]])</f>
        <v>9</v>
      </c>
      <c r="T1603" t="str" cm="1">
        <f t="array" ref="T1603">_xlfn.IFS(AND(N1603&lt;= 22, S1603=9), "SOWING",AND(N1603&lt;= 28, S1603=9), "COVERAGE",AND(N1603&lt;= 30, S1603=9), "FLUSH",AND(N1603&lt;= 11, S1603=10), "FLUSH",AND(N1603&lt;= 21, S1603=10), "PRODUCTION")</f>
        <v>COVERAGE</v>
      </c>
      <c r="U1603">
        <f>HOUR(datos_siembra[[#This Row],[Hour]])</f>
        <v>1</v>
      </c>
      <c r="V1603" cm="1">
        <f t="array" ref="V1603">_xlfn.IFS(AND(N1603&lt;= 22, S1603=9), N1603-7,AND(N1603&lt;= 28, S1603=9), N1603-25,AND(N1603&lt;= 30, S1603=9), N1603-28,AND(N1603&lt;= 11, S1603=10), N1603+2,AND(N1603&lt;= 21, S1603=10), N1603-11)</f>
        <v>2</v>
      </c>
    </row>
    <row r="1604" spans="1:22" x14ac:dyDescent="0.35">
      <c r="A1604" s="4">
        <v>45562</v>
      </c>
      <c r="B1604" s="5">
        <v>8.3472222222222225E-2</v>
      </c>
      <c r="C1604">
        <v>82.3</v>
      </c>
      <c r="D1604">
        <v>80.599999999999994</v>
      </c>
      <c r="E1604">
        <v>82</v>
      </c>
      <c r="F1604">
        <v>81.400000000000006</v>
      </c>
      <c r="G1604">
        <v>0</v>
      </c>
      <c r="H1604">
        <v>0</v>
      </c>
      <c r="I1604">
        <v>0</v>
      </c>
      <c r="J1604">
        <v>0</v>
      </c>
      <c r="K1604">
        <v>74.8</v>
      </c>
      <c r="L1604">
        <v>73.599999999999994</v>
      </c>
      <c r="M1604">
        <v>81.64</v>
      </c>
      <c r="N1604">
        <v>27</v>
      </c>
      <c r="O1604">
        <v>3</v>
      </c>
      <c r="P1604">
        <f>MOD(DAY(datos_siembra[[#This Row],[Date]]),7)</f>
        <v>6</v>
      </c>
      <c r="Q1604" t="str">
        <f>CHOOSE(WEEKDAY(datos_siembra[[#This Row],[Date]],2),"L","M","X","J","V","S","D")</f>
        <v>V</v>
      </c>
      <c r="R1604">
        <f>WEEKNUM(datos_siembra[[#This Row],[Date]],2)-WEEKNUM(DATE(YEAR(datos_siembra[[#This Row],[Date]]),MONTH(datos_siembra[[#This Row],[Date]]),1))+1</f>
        <v>4</v>
      </c>
      <c r="S1604">
        <f>MONTH(datos_siembra[[#This Row],[Date]])</f>
        <v>9</v>
      </c>
      <c r="T1604" t="str" cm="1">
        <f t="array" ref="T1604">_xlfn.IFS(AND(N1604&lt;= 22, S1604=9), "SOWING",AND(N1604&lt;= 28, S1604=9), "COVERAGE",AND(N1604&lt;= 30, S1604=9), "FLUSH",AND(N1604&lt;= 11, S1604=10), "FLUSH",AND(N1604&lt;= 21, S1604=10), "PRODUCTION")</f>
        <v>COVERAGE</v>
      </c>
      <c r="U1604">
        <f>HOUR(datos_siembra[[#This Row],[Hour]])</f>
        <v>2</v>
      </c>
      <c r="V1604" cm="1">
        <f t="array" ref="V1604">_xlfn.IFS(AND(N1604&lt;= 22, S1604=9), N1604-7,AND(N1604&lt;= 28, S1604=9), N1604-25,AND(N1604&lt;= 30, S1604=9), N1604-28,AND(N1604&lt;= 11, S1604=10), N1604+2,AND(N1604&lt;= 21, S1604=10), N1604-11)</f>
        <v>2</v>
      </c>
    </row>
    <row r="1605" spans="1:22" x14ac:dyDescent="0.35">
      <c r="A1605" s="4">
        <v>45562</v>
      </c>
      <c r="B1605" s="5">
        <v>9.0416666666666673E-2</v>
      </c>
      <c r="C1605">
        <v>82.4</v>
      </c>
      <c r="D1605">
        <v>80.8</v>
      </c>
      <c r="E1605">
        <v>82.1</v>
      </c>
      <c r="F1605">
        <v>81.3</v>
      </c>
      <c r="G1605">
        <v>0</v>
      </c>
      <c r="H1605">
        <v>0</v>
      </c>
      <c r="I1605">
        <v>0</v>
      </c>
      <c r="J1605">
        <v>0</v>
      </c>
      <c r="K1605">
        <v>74.8</v>
      </c>
      <c r="L1605">
        <v>73.599999999999994</v>
      </c>
      <c r="M1605">
        <v>81.58</v>
      </c>
      <c r="N1605">
        <v>27</v>
      </c>
      <c r="O1605">
        <v>3</v>
      </c>
      <c r="P1605">
        <f>MOD(DAY(datos_siembra[[#This Row],[Date]]),7)</f>
        <v>6</v>
      </c>
      <c r="Q1605" t="str">
        <f>CHOOSE(WEEKDAY(datos_siembra[[#This Row],[Date]],2),"L","M","X","J","V","S","D")</f>
        <v>V</v>
      </c>
      <c r="R1605">
        <f>WEEKNUM(datos_siembra[[#This Row],[Date]],2)-WEEKNUM(DATE(YEAR(datos_siembra[[#This Row],[Date]]),MONTH(datos_siembra[[#This Row],[Date]]),1))+1</f>
        <v>4</v>
      </c>
      <c r="S1605">
        <f>MONTH(datos_siembra[[#This Row],[Date]])</f>
        <v>9</v>
      </c>
      <c r="T1605" t="str" cm="1">
        <f t="array" ref="T1605">_xlfn.IFS(AND(N1605&lt;= 22, S1605=9), "SOWING",AND(N1605&lt;= 28, S1605=9), "COVERAGE",AND(N1605&lt;= 30, S1605=9), "FLUSH",AND(N1605&lt;= 11, S1605=10), "FLUSH",AND(N1605&lt;= 21, S1605=10), "PRODUCTION")</f>
        <v>COVERAGE</v>
      </c>
      <c r="U1605">
        <f>HOUR(datos_siembra[[#This Row],[Hour]])</f>
        <v>2</v>
      </c>
      <c r="V1605" cm="1">
        <f t="array" ref="V1605">_xlfn.IFS(AND(N1605&lt;= 22, S1605=9), N1605-7,AND(N1605&lt;= 28, S1605=9), N1605-25,AND(N1605&lt;= 30, S1605=9), N1605-28,AND(N1605&lt;= 11, S1605=10), N1605+2,AND(N1605&lt;= 21, S1605=10), N1605-11)</f>
        <v>2</v>
      </c>
    </row>
    <row r="1606" spans="1:22" x14ac:dyDescent="0.35">
      <c r="A1606" s="4">
        <v>45562</v>
      </c>
      <c r="B1606" s="5">
        <v>9.7372685185185187E-2</v>
      </c>
      <c r="C1606">
        <v>82.4</v>
      </c>
      <c r="D1606">
        <v>80.599999999999994</v>
      </c>
      <c r="E1606">
        <v>82.1</v>
      </c>
      <c r="F1606">
        <v>81.400000000000006</v>
      </c>
      <c r="G1606">
        <v>0</v>
      </c>
      <c r="H1606">
        <v>0</v>
      </c>
      <c r="I1606">
        <v>0</v>
      </c>
      <c r="J1606">
        <v>0</v>
      </c>
      <c r="K1606">
        <v>74.900000000000006</v>
      </c>
      <c r="L1606">
        <v>73.599999999999994</v>
      </c>
      <c r="M1606">
        <v>81.67</v>
      </c>
      <c r="N1606">
        <v>27</v>
      </c>
      <c r="O1606">
        <v>3</v>
      </c>
      <c r="P1606">
        <f>MOD(DAY(datos_siembra[[#This Row],[Date]]),7)</f>
        <v>6</v>
      </c>
      <c r="Q1606" t="str">
        <f>CHOOSE(WEEKDAY(datos_siembra[[#This Row],[Date]],2),"L","M","X","J","V","S","D")</f>
        <v>V</v>
      </c>
      <c r="R1606">
        <f>WEEKNUM(datos_siembra[[#This Row],[Date]],2)-WEEKNUM(DATE(YEAR(datos_siembra[[#This Row],[Date]]),MONTH(datos_siembra[[#This Row],[Date]]),1))+1</f>
        <v>4</v>
      </c>
      <c r="S1606">
        <f>MONTH(datos_siembra[[#This Row],[Date]])</f>
        <v>9</v>
      </c>
      <c r="T1606" t="str" cm="1">
        <f t="array" ref="T1606">_xlfn.IFS(AND(N1606&lt;= 22, S1606=9), "SOWING",AND(N1606&lt;= 28, S1606=9), "COVERAGE",AND(N1606&lt;= 30, S1606=9), "FLUSH",AND(N1606&lt;= 11, S1606=10), "FLUSH",AND(N1606&lt;= 21, S1606=10), "PRODUCTION")</f>
        <v>COVERAGE</v>
      </c>
      <c r="U1606">
        <f>HOUR(datos_siembra[[#This Row],[Hour]])</f>
        <v>2</v>
      </c>
      <c r="V1606" cm="1">
        <f t="array" ref="V1606">_xlfn.IFS(AND(N1606&lt;= 22, S1606=9), N1606-7,AND(N1606&lt;= 28, S1606=9), N1606-25,AND(N1606&lt;= 30, S1606=9), N1606-28,AND(N1606&lt;= 11, S1606=10), N1606+2,AND(N1606&lt;= 21, S1606=10), N1606-11)</f>
        <v>2</v>
      </c>
    </row>
    <row r="1607" spans="1:22" x14ac:dyDescent="0.35">
      <c r="A1607" s="4">
        <v>45562</v>
      </c>
      <c r="B1607" s="5">
        <v>0.10431712962962963</v>
      </c>
      <c r="C1607">
        <v>82.4</v>
      </c>
      <c r="D1607">
        <v>80.599999999999994</v>
      </c>
      <c r="E1607">
        <v>82</v>
      </c>
      <c r="F1607">
        <v>81.400000000000006</v>
      </c>
      <c r="G1607">
        <v>0</v>
      </c>
      <c r="H1607">
        <v>0</v>
      </c>
      <c r="I1607">
        <v>0</v>
      </c>
      <c r="J1607">
        <v>0</v>
      </c>
      <c r="K1607">
        <v>74.8</v>
      </c>
      <c r="L1607">
        <v>73.599999999999994</v>
      </c>
      <c r="M1607">
        <v>81.67</v>
      </c>
      <c r="N1607">
        <v>27</v>
      </c>
      <c r="O1607">
        <v>3</v>
      </c>
      <c r="P1607">
        <f>MOD(DAY(datos_siembra[[#This Row],[Date]]),7)</f>
        <v>6</v>
      </c>
      <c r="Q1607" t="str">
        <f>CHOOSE(WEEKDAY(datos_siembra[[#This Row],[Date]],2),"L","M","X","J","V","S","D")</f>
        <v>V</v>
      </c>
      <c r="R1607">
        <f>WEEKNUM(datos_siembra[[#This Row],[Date]],2)-WEEKNUM(DATE(YEAR(datos_siembra[[#This Row],[Date]]),MONTH(datos_siembra[[#This Row],[Date]]),1))+1</f>
        <v>4</v>
      </c>
      <c r="S1607">
        <f>MONTH(datos_siembra[[#This Row],[Date]])</f>
        <v>9</v>
      </c>
      <c r="T1607" t="str" cm="1">
        <f t="array" ref="T1607">_xlfn.IFS(AND(N1607&lt;= 22, S1607=9), "SOWING",AND(N1607&lt;= 28, S1607=9), "COVERAGE",AND(N1607&lt;= 30, S1607=9), "FLUSH",AND(N1607&lt;= 11, S1607=10), "FLUSH",AND(N1607&lt;= 21, S1607=10), "PRODUCTION")</f>
        <v>COVERAGE</v>
      </c>
      <c r="U1607">
        <f>HOUR(datos_siembra[[#This Row],[Hour]])</f>
        <v>2</v>
      </c>
      <c r="V1607" cm="1">
        <f t="array" ref="V1607">_xlfn.IFS(AND(N1607&lt;= 22, S1607=9), N1607-7,AND(N1607&lt;= 28, S1607=9), N1607-25,AND(N1607&lt;= 30, S1607=9), N1607-28,AND(N1607&lt;= 11, S1607=10), N1607+2,AND(N1607&lt;= 21, S1607=10), N1607-11)</f>
        <v>2</v>
      </c>
    </row>
    <row r="1608" spans="1:22" x14ac:dyDescent="0.35">
      <c r="A1608" s="4">
        <v>45562</v>
      </c>
      <c r="B1608" s="5">
        <v>0.11126157407407407</v>
      </c>
      <c r="C1608">
        <v>82.5</v>
      </c>
      <c r="D1608">
        <v>80.8</v>
      </c>
      <c r="E1608">
        <v>82.1</v>
      </c>
      <c r="F1608">
        <v>81.5</v>
      </c>
      <c r="G1608">
        <v>0</v>
      </c>
      <c r="H1608">
        <v>0</v>
      </c>
      <c r="I1608">
        <v>0</v>
      </c>
      <c r="J1608">
        <v>0</v>
      </c>
      <c r="K1608">
        <v>74.8</v>
      </c>
      <c r="L1608">
        <v>73.599999999999994</v>
      </c>
      <c r="M1608">
        <v>81.67</v>
      </c>
      <c r="N1608">
        <v>27</v>
      </c>
      <c r="O1608">
        <v>3</v>
      </c>
      <c r="P1608">
        <f>MOD(DAY(datos_siembra[[#This Row],[Date]]),7)</f>
        <v>6</v>
      </c>
      <c r="Q1608" t="str">
        <f>CHOOSE(WEEKDAY(datos_siembra[[#This Row],[Date]],2),"L","M","X","J","V","S","D")</f>
        <v>V</v>
      </c>
      <c r="R1608">
        <f>WEEKNUM(datos_siembra[[#This Row],[Date]],2)-WEEKNUM(DATE(YEAR(datos_siembra[[#This Row],[Date]]),MONTH(datos_siembra[[#This Row],[Date]]),1))+1</f>
        <v>4</v>
      </c>
      <c r="S1608">
        <f>MONTH(datos_siembra[[#This Row],[Date]])</f>
        <v>9</v>
      </c>
      <c r="T1608" t="str" cm="1">
        <f t="array" ref="T1608">_xlfn.IFS(AND(N1608&lt;= 22, S1608=9), "SOWING",AND(N1608&lt;= 28, S1608=9), "COVERAGE",AND(N1608&lt;= 30, S1608=9), "FLUSH",AND(N1608&lt;= 11, S1608=10), "FLUSH",AND(N1608&lt;= 21, S1608=10), "PRODUCTION")</f>
        <v>COVERAGE</v>
      </c>
      <c r="U1608">
        <f>HOUR(datos_siembra[[#This Row],[Hour]])</f>
        <v>2</v>
      </c>
      <c r="V1608" cm="1">
        <f t="array" ref="V1608">_xlfn.IFS(AND(N1608&lt;= 22, S1608=9), N1608-7,AND(N1608&lt;= 28, S1608=9), N1608-25,AND(N1608&lt;= 30, S1608=9), N1608-28,AND(N1608&lt;= 11, S1608=10), N1608+2,AND(N1608&lt;= 21, S1608=10), N1608-11)</f>
        <v>2</v>
      </c>
    </row>
    <row r="1609" spans="1:22" x14ac:dyDescent="0.35">
      <c r="A1609" s="4">
        <v>45562</v>
      </c>
      <c r="B1609" s="5">
        <v>0.11820601851851852</v>
      </c>
      <c r="C1609">
        <v>82.6</v>
      </c>
      <c r="D1609">
        <v>80.7</v>
      </c>
      <c r="E1609">
        <v>82.1</v>
      </c>
      <c r="F1609">
        <v>81.400000000000006</v>
      </c>
      <c r="G1609">
        <v>0</v>
      </c>
      <c r="H1609">
        <v>0</v>
      </c>
      <c r="I1609">
        <v>0</v>
      </c>
      <c r="J1609">
        <v>0</v>
      </c>
      <c r="K1609">
        <v>74.900000000000006</v>
      </c>
      <c r="L1609">
        <v>73.599999999999994</v>
      </c>
      <c r="M1609">
        <v>81.84</v>
      </c>
      <c r="N1609">
        <v>27</v>
      </c>
      <c r="O1609">
        <v>3</v>
      </c>
      <c r="P1609">
        <f>MOD(DAY(datos_siembra[[#This Row],[Date]]),7)</f>
        <v>6</v>
      </c>
      <c r="Q1609" t="str">
        <f>CHOOSE(WEEKDAY(datos_siembra[[#This Row],[Date]],2),"L","M","X","J","V","S","D")</f>
        <v>V</v>
      </c>
      <c r="R1609">
        <f>WEEKNUM(datos_siembra[[#This Row],[Date]],2)-WEEKNUM(DATE(YEAR(datos_siembra[[#This Row],[Date]]),MONTH(datos_siembra[[#This Row],[Date]]),1))+1</f>
        <v>4</v>
      </c>
      <c r="S1609">
        <f>MONTH(datos_siembra[[#This Row],[Date]])</f>
        <v>9</v>
      </c>
      <c r="T1609" t="str" cm="1">
        <f t="array" ref="T1609">_xlfn.IFS(AND(N1609&lt;= 22, S1609=9), "SOWING",AND(N1609&lt;= 28, S1609=9), "COVERAGE",AND(N1609&lt;= 30, S1609=9), "FLUSH",AND(N1609&lt;= 11, S1609=10), "FLUSH",AND(N1609&lt;= 21, S1609=10), "PRODUCTION")</f>
        <v>COVERAGE</v>
      </c>
      <c r="U1609">
        <f>HOUR(datos_siembra[[#This Row],[Hour]])</f>
        <v>2</v>
      </c>
      <c r="V1609" cm="1">
        <f t="array" ref="V1609">_xlfn.IFS(AND(N1609&lt;= 22, S1609=9), N1609-7,AND(N1609&lt;= 28, S1609=9), N1609-25,AND(N1609&lt;= 30, S1609=9), N1609-28,AND(N1609&lt;= 11, S1609=10), N1609+2,AND(N1609&lt;= 21, S1609=10), N1609-11)</f>
        <v>2</v>
      </c>
    </row>
    <row r="1610" spans="1:22" x14ac:dyDescent="0.35">
      <c r="A1610" s="4">
        <v>45562</v>
      </c>
      <c r="B1610" s="5">
        <v>0.12516203703703704</v>
      </c>
      <c r="C1610">
        <v>82.5</v>
      </c>
      <c r="D1610">
        <v>80.599999999999994</v>
      </c>
      <c r="E1610">
        <v>82.1</v>
      </c>
      <c r="F1610">
        <v>81.5</v>
      </c>
      <c r="G1610">
        <v>0</v>
      </c>
      <c r="H1610">
        <v>0</v>
      </c>
      <c r="I1610">
        <v>0</v>
      </c>
      <c r="J1610">
        <v>0</v>
      </c>
      <c r="K1610">
        <v>74.8</v>
      </c>
      <c r="L1610">
        <v>73.599999999999994</v>
      </c>
      <c r="M1610">
        <v>81.67</v>
      </c>
      <c r="N1610">
        <v>27</v>
      </c>
      <c r="O1610">
        <v>3</v>
      </c>
      <c r="P1610">
        <f>MOD(DAY(datos_siembra[[#This Row],[Date]]),7)</f>
        <v>6</v>
      </c>
      <c r="Q1610" t="str">
        <f>CHOOSE(WEEKDAY(datos_siembra[[#This Row],[Date]],2),"L","M","X","J","V","S","D")</f>
        <v>V</v>
      </c>
      <c r="R1610">
        <f>WEEKNUM(datos_siembra[[#This Row],[Date]],2)-WEEKNUM(DATE(YEAR(datos_siembra[[#This Row],[Date]]),MONTH(datos_siembra[[#This Row],[Date]]),1))+1</f>
        <v>4</v>
      </c>
      <c r="S1610">
        <f>MONTH(datos_siembra[[#This Row],[Date]])</f>
        <v>9</v>
      </c>
      <c r="T1610" t="str" cm="1">
        <f t="array" ref="T1610">_xlfn.IFS(AND(N1610&lt;= 22, S1610=9), "SOWING",AND(N1610&lt;= 28, S1610=9), "COVERAGE",AND(N1610&lt;= 30, S1610=9), "FLUSH",AND(N1610&lt;= 11, S1610=10), "FLUSH",AND(N1610&lt;= 21, S1610=10), "PRODUCTION")</f>
        <v>COVERAGE</v>
      </c>
      <c r="U1610">
        <f>HOUR(datos_siembra[[#This Row],[Hour]])</f>
        <v>3</v>
      </c>
      <c r="V1610" cm="1">
        <f t="array" ref="V1610">_xlfn.IFS(AND(N1610&lt;= 22, S1610=9), N1610-7,AND(N1610&lt;= 28, S1610=9), N1610-25,AND(N1610&lt;= 30, S1610=9), N1610-28,AND(N1610&lt;= 11, S1610=10), N1610+2,AND(N1610&lt;= 21, S1610=10), N1610-11)</f>
        <v>2</v>
      </c>
    </row>
    <row r="1611" spans="1:22" x14ac:dyDescent="0.35">
      <c r="A1611" s="4">
        <v>45562</v>
      </c>
      <c r="B1611" s="5">
        <v>0.13210648148148149</v>
      </c>
      <c r="C1611">
        <v>82.6</v>
      </c>
      <c r="D1611">
        <v>80.8</v>
      </c>
      <c r="E1611">
        <v>82.1</v>
      </c>
      <c r="F1611">
        <v>81.400000000000006</v>
      </c>
      <c r="G1611">
        <v>0</v>
      </c>
      <c r="H1611">
        <v>0</v>
      </c>
      <c r="I1611">
        <v>0</v>
      </c>
      <c r="J1611">
        <v>0</v>
      </c>
      <c r="K1611">
        <v>74.8</v>
      </c>
      <c r="L1611">
        <v>73.599999999999994</v>
      </c>
      <c r="M1611">
        <v>81.7</v>
      </c>
      <c r="N1611">
        <v>27</v>
      </c>
      <c r="O1611">
        <v>3</v>
      </c>
      <c r="P1611">
        <f>MOD(DAY(datos_siembra[[#This Row],[Date]]),7)</f>
        <v>6</v>
      </c>
      <c r="Q1611" t="str">
        <f>CHOOSE(WEEKDAY(datos_siembra[[#This Row],[Date]],2),"L","M","X","J","V","S","D")</f>
        <v>V</v>
      </c>
      <c r="R1611">
        <f>WEEKNUM(datos_siembra[[#This Row],[Date]],2)-WEEKNUM(DATE(YEAR(datos_siembra[[#This Row],[Date]]),MONTH(datos_siembra[[#This Row],[Date]]),1))+1</f>
        <v>4</v>
      </c>
      <c r="S1611">
        <f>MONTH(datos_siembra[[#This Row],[Date]])</f>
        <v>9</v>
      </c>
      <c r="T1611" t="str" cm="1">
        <f t="array" ref="T1611">_xlfn.IFS(AND(N1611&lt;= 22, S1611=9), "SOWING",AND(N1611&lt;= 28, S1611=9), "COVERAGE",AND(N1611&lt;= 30, S1611=9), "FLUSH",AND(N1611&lt;= 11, S1611=10), "FLUSH",AND(N1611&lt;= 21, S1611=10), "PRODUCTION")</f>
        <v>COVERAGE</v>
      </c>
      <c r="U1611">
        <f>HOUR(datos_siembra[[#This Row],[Hour]])</f>
        <v>3</v>
      </c>
      <c r="V1611" cm="1">
        <f t="array" ref="V1611">_xlfn.IFS(AND(N1611&lt;= 22, S1611=9), N1611-7,AND(N1611&lt;= 28, S1611=9), N1611-25,AND(N1611&lt;= 30, S1611=9), N1611-28,AND(N1611&lt;= 11, S1611=10), N1611+2,AND(N1611&lt;= 21, S1611=10), N1611-11)</f>
        <v>2</v>
      </c>
    </row>
    <row r="1612" spans="1:22" x14ac:dyDescent="0.35">
      <c r="A1612" s="4">
        <v>45562</v>
      </c>
      <c r="B1612" s="5">
        <v>0.13905092592592594</v>
      </c>
      <c r="C1612">
        <v>82.6</v>
      </c>
      <c r="D1612">
        <v>80.8</v>
      </c>
      <c r="E1612">
        <v>82.2</v>
      </c>
      <c r="F1612">
        <v>81.5</v>
      </c>
      <c r="G1612">
        <v>0</v>
      </c>
      <c r="H1612">
        <v>0</v>
      </c>
      <c r="I1612">
        <v>0</v>
      </c>
      <c r="J1612">
        <v>0</v>
      </c>
      <c r="K1612">
        <v>74.8</v>
      </c>
      <c r="L1612">
        <v>73.599999999999994</v>
      </c>
      <c r="M1612">
        <v>81.7</v>
      </c>
      <c r="N1612">
        <v>27</v>
      </c>
      <c r="O1612">
        <v>3</v>
      </c>
      <c r="P1612">
        <f>MOD(DAY(datos_siembra[[#This Row],[Date]]),7)</f>
        <v>6</v>
      </c>
      <c r="Q1612" t="str">
        <f>CHOOSE(WEEKDAY(datos_siembra[[#This Row],[Date]],2),"L","M","X","J","V","S","D")</f>
        <v>V</v>
      </c>
      <c r="R1612">
        <f>WEEKNUM(datos_siembra[[#This Row],[Date]],2)-WEEKNUM(DATE(YEAR(datos_siembra[[#This Row],[Date]]),MONTH(datos_siembra[[#This Row],[Date]]),1))+1</f>
        <v>4</v>
      </c>
      <c r="S1612">
        <f>MONTH(datos_siembra[[#This Row],[Date]])</f>
        <v>9</v>
      </c>
      <c r="T1612" t="str" cm="1">
        <f t="array" ref="T1612">_xlfn.IFS(AND(N1612&lt;= 22, S1612=9), "SOWING",AND(N1612&lt;= 28, S1612=9), "COVERAGE",AND(N1612&lt;= 30, S1612=9), "FLUSH",AND(N1612&lt;= 11, S1612=10), "FLUSH",AND(N1612&lt;= 21, S1612=10), "PRODUCTION")</f>
        <v>COVERAGE</v>
      </c>
      <c r="U1612">
        <f>HOUR(datos_siembra[[#This Row],[Hour]])</f>
        <v>3</v>
      </c>
      <c r="V1612" cm="1">
        <f t="array" ref="V1612">_xlfn.IFS(AND(N1612&lt;= 22, S1612=9), N1612-7,AND(N1612&lt;= 28, S1612=9), N1612-25,AND(N1612&lt;= 30, S1612=9), N1612-28,AND(N1612&lt;= 11, S1612=10), N1612+2,AND(N1612&lt;= 21, S1612=10), N1612-11)</f>
        <v>2</v>
      </c>
    </row>
    <row r="1613" spans="1:22" x14ac:dyDescent="0.35">
      <c r="A1613" s="4">
        <v>45562</v>
      </c>
      <c r="B1613" s="5">
        <v>0.14599537037037036</v>
      </c>
      <c r="C1613">
        <v>82.7</v>
      </c>
      <c r="D1613">
        <v>80.599999999999994</v>
      </c>
      <c r="E1613">
        <v>82.2</v>
      </c>
      <c r="F1613">
        <v>81.5</v>
      </c>
      <c r="G1613">
        <v>0</v>
      </c>
      <c r="H1613">
        <v>0</v>
      </c>
      <c r="I1613">
        <v>0</v>
      </c>
      <c r="J1613">
        <v>0</v>
      </c>
      <c r="K1613">
        <v>74.8</v>
      </c>
      <c r="L1613">
        <v>73.7</v>
      </c>
      <c r="M1613">
        <v>81.72</v>
      </c>
      <c r="N1613">
        <v>27</v>
      </c>
      <c r="O1613">
        <v>3</v>
      </c>
      <c r="P1613">
        <f>MOD(DAY(datos_siembra[[#This Row],[Date]]),7)</f>
        <v>6</v>
      </c>
      <c r="Q1613" t="str">
        <f>CHOOSE(WEEKDAY(datos_siembra[[#This Row],[Date]],2),"L","M","X","J","V","S","D")</f>
        <v>V</v>
      </c>
      <c r="R1613">
        <f>WEEKNUM(datos_siembra[[#This Row],[Date]],2)-WEEKNUM(DATE(YEAR(datos_siembra[[#This Row],[Date]]),MONTH(datos_siembra[[#This Row],[Date]]),1))+1</f>
        <v>4</v>
      </c>
      <c r="S1613">
        <f>MONTH(datos_siembra[[#This Row],[Date]])</f>
        <v>9</v>
      </c>
      <c r="T1613" t="str" cm="1">
        <f t="array" ref="T1613">_xlfn.IFS(AND(N1613&lt;= 22, S1613=9), "SOWING",AND(N1613&lt;= 28, S1613=9), "COVERAGE",AND(N1613&lt;= 30, S1613=9), "FLUSH",AND(N1613&lt;= 11, S1613=10), "FLUSH",AND(N1613&lt;= 21, S1613=10), "PRODUCTION")</f>
        <v>COVERAGE</v>
      </c>
      <c r="U1613">
        <f>HOUR(datos_siembra[[#This Row],[Hour]])</f>
        <v>3</v>
      </c>
      <c r="V1613" cm="1">
        <f t="array" ref="V1613">_xlfn.IFS(AND(N1613&lt;= 22, S1613=9), N1613-7,AND(N1613&lt;= 28, S1613=9), N1613-25,AND(N1613&lt;= 30, S1613=9), N1613-28,AND(N1613&lt;= 11, S1613=10), N1613+2,AND(N1613&lt;= 21, S1613=10), N1613-11)</f>
        <v>2</v>
      </c>
    </row>
    <row r="1614" spans="1:22" x14ac:dyDescent="0.35">
      <c r="A1614" s="4">
        <v>45562</v>
      </c>
      <c r="B1614" s="5">
        <v>0.1529513888888889</v>
      </c>
      <c r="C1614">
        <v>82.6</v>
      </c>
      <c r="D1614">
        <v>80.599999999999994</v>
      </c>
      <c r="E1614">
        <v>82.2</v>
      </c>
      <c r="F1614">
        <v>81.5</v>
      </c>
      <c r="G1614">
        <v>0</v>
      </c>
      <c r="H1614">
        <v>0</v>
      </c>
      <c r="I1614">
        <v>0</v>
      </c>
      <c r="J1614">
        <v>0</v>
      </c>
      <c r="K1614">
        <v>74.8</v>
      </c>
      <c r="L1614">
        <v>73.7</v>
      </c>
      <c r="M1614">
        <v>81.7</v>
      </c>
      <c r="N1614">
        <v>27</v>
      </c>
      <c r="O1614">
        <v>3</v>
      </c>
      <c r="P1614">
        <f>MOD(DAY(datos_siembra[[#This Row],[Date]]),7)</f>
        <v>6</v>
      </c>
      <c r="Q1614" t="str">
        <f>CHOOSE(WEEKDAY(datos_siembra[[#This Row],[Date]],2),"L","M","X","J","V","S","D")</f>
        <v>V</v>
      </c>
      <c r="R1614">
        <f>WEEKNUM(datos_siembra[[#This Row],[Date]],2)-WEEKNUM(DATE(YEAR(datos_siembra[[#This Row],[Date]]),MONTH(datos_siembra[[#This Row],[Date]]),1))+1</f>
        <v>4</v>
      </c>
      <c r="S1614">
        <f>MONTH(datos_siembra[[#This Row],[Date]])</f>
        <v>9</v>
      </c>
      <c r="T1614" t="str" cm="1">
        <f t="array" ref="T1614">_xlfn.IFS(AND(N1614&lt;= 22, S1614=9), "SOWING",AND(N1614&lt;= 28, S1614=9), "COVERAGE",AND(N1614&lt;= 30, S1614=9), "FLUSH",AND(N1614&lt;= 11, S1614=10), "FLUSH",AND(N1614&lt;= 21, S1614=10), "PRODUCTION")</f>
        <v>COVERAGE</v>
      </c>
      <c r="U1614">
        <f>HOUR(datos_siembra[[#This Row],[Hour]])</f>
        <v>3</v>
      </c>
      <c r="V1614" cm="1">
        <f t="array" ref="V1614">_xlfn.IFS(AND(N1614&lt;= 22, S1614=9), N1614-7,AND(N1614&lt;= 28, S1614=9), N1614-25,AND(N1614&lt;= 30, S1614=9), N1614-28,AND(N1614&lt;= 11, S1614=10), N1614+2,AND(N1614&lt;= 21, S1614=10), N1614-11)</f>
        <v>2</v>
      </c>
    </row>
    <row r="1615" spans="1:22" x14ac:dyDescent="0.35">
      <c r="A1615" s="4">
        <v>45562</v>
      </c>
      <c r="B1615" s="5">
        <v>0.15989583333333332</v>
      </c>
      <c r="C1615">
        <v>82.6</v>
      </c>
      <c r="D1615">
        <v>80.599999999999994</v>
      </c>
      <c r="E1615">
        <v>82.1</v>
      </c>
      <c r="F1615">
        <v>81.5</v>
      </c>
      <c r="G1615">
        <v>0</v>
      </c>
      <c r="H1615">
        <v>0</v>
      </c>
      <c r="I1615">
        <v>0</v>
      </c>
      <c r="J1615">
        <v>0</v>
      </c>
      <c r="K1615">
        <v>74.8</v>
      </c>
      <c r="L1615">
        <v>73.599999999999994</v>
      </c>
      <c r="M1615">
        <v>81.78</v>
      </c>
      <c r="N1615">
        <v>27</v>
      </c>
      <c r="O1615">
        <v>3</v>
      </c>
      <c r="P1615">
        <f>MOD(DAY(datos_siembra[[#This Row],[Date]]),7)</f>
        <v>6</v>
      </c>
      <c r="Q1615" t="str">
        <f>CHOOSE(WEEKDAY(datos_siembra[[#This Row],[Date]],2),"L","M","X","J","V","S","D")</f>
        <v>V</v>
      </c>
      <c r="R1615">
        <f>WEEKNUM(datos_siembra[[#This Row],[Date]],2)-WEEKNUM(DATE(YEAR(datos_siembra[[#This Row],[Date]]),MONTH(datos_siembra[[#This Row],[Date]]),1))+1</f>
        <v>4</v>
      </c>
      <c r="S1615">
        <f>MONTH(datos_siembra[[#This Row],[Date]])</f>
        <v>9</v>
      </c>
      <c r="T1615" t="str" cm="1">
        <f t="array" ref="T1615">_xlfn.IFS(AND(N1615&lt;= 22, S1615=9), "SOWING",AND(N1615&lt;= 28, S1615=9), "COVERAGE",AND(N1615&lt;= 30, S1615=9), "FLUSH",AND(N1615&lt;= 11, S1615=10), "FLUSH",AND(N1615&lt;= 21, S1615=10), "PRODUCTION")</f>
        <v>COVERAGE</v>
      </c>
      <c r="U1615">
        <f>HOUR(datos_siembra[[#This Row],[Hour]])</f>
        <v>3</v>
      </c>
      <c r="V1615" cm="1">
        <f t="array" ref="V1615">_xlfn.IFS(AND(N1615&lt;= 22, S1615=9), N1615-7,AND(N1615&lt;= 28, S1615=9), N1615-25,AND(N1615&lt;= 30, S1615=9), N1615-28,AND(N1615&lt;= 11, S1615=10), N1615+2,AND(N1615&lt;= 21, S1615=10), N1615-11)</f>
        <v>2</v>
      </c>
    </row>
    <row r="1616" spans="1:22" x14ac:dyDescent="0.35">
      <c r="A1616" s="4">
        <v>45562</v>
      </c>
      <c r="B1616" s="5">
        <v>0.16684027777777777</v>
      </c>
      <c r="C1616">
        <v>82.6</v>
      </c>
      <c r="D1616">
        <v>80.599999999999994</v>
      </c>
      <c r="E1616">
        <v>82.2</v>
      </c>
      <c r="F1616">
        <v>81.599999999999994</v>
      </c>
      <c r="G1616">
        <v>0</v>
      </c>
      <c r="H1616">
        <v>0</v>
      </c>
      <c r="I1616">
        <v>0</v>
      </c>
      <c r="J1616">
        <v>0</v>
      </c>
      <c r="K1616">
        <v>74.8</v>
      </c>
      <c r="L1616">
        <v>73.599999999999994</v>
      </c>
      <c r="M1616">
        <v>81.78</v>
      </c>
      <c r="N1616">
        <v>27</v>
      </c>
      <c r="O1616">
        <v>3</v>
      </c>
      <c r="P1616">
        <f>MOD(DAY(datos_siembra[[#This Row],[Date]]),7)</f>
        <v>6</v>
      </c>
      <c r="Q1616" t="str">
        <f>CHOOSE(WEEKDAY(datos_siembra[[#This Row],[Date]],2),"L","M","X","J","V","S","D")</f>
        <v>V</v>
      </c>
      <c r="R1616">
        <f>WEEKNUM(datos_siembra[[#This Row],[Date]],2)-WEEKNUM(DATE(YEAR(datos_siembra[[#This Row],[Date]]),MONTH(datos_siembra[[#This Row],[Date]]),1))+1</f>
        <v>4</v>
      </c>
      <c r="S1616">
        <f>MONTH(datos_siembra[[#This Row],[Date]])</f>
        <v>9</v>
      </c>
      <c r="T1616" t="str" cm="1">
        <f t="array" ref="T1616">_xlfn.IFS(AND(N1616&lt;= 22, S1616=9), "SOWING",AND(N1616&lt;= 28, S1616=9), "COVERAGE",AND(N1616&lt;= 30, S1616=9), "FLUSH",AND(N1616&lt;= 11, S1616=10), "FLUSH",AND(N1616&lt;= 21, S1616=10), "PRODUCTION")</f>
        <v>COVERAGE</v>
      </c>
      <c r="U1616">
        <f>HOUR(datos_siembra[[#This Row],[Hour]])</f>
        <v>4</v>
      </c>
      <c r="V1616" cm="1">
        <f t="array" ref="V1616">_xlfn.IFS(AND(N1616&lt;= 22, S1616=9), N1616-7,AND(N1616&lt;= 28, S1616=9), N1616-25,AND(N1616&lt;= 30, S1616=9), N1616-28,AND(N1616&lt;= 11, S1616=10), N1616+2,AND(N1616&lt;= 21, S1616=10), N1616-11)</f>
        <v>2</v>
      </c>
    </row>
    <row r="1617" spans="1:22" x14ac:dyDescent="0.35">
      <c r="A1617" s="4">
        <v>45562</v>
      </c>
      <c r="B1617" s="5">
        <v>0.17378472222222222</v>
      </c>
      <c r="C1617">
        <v>82.7</v>
      </c>
      <c r="D1617">
        <v>80.599999999999994</v>
      </c>
      <c r="E1617">
        <v>82.2</v>
      </c>
      <c r="F1617">
        <v>81.5</v>
      </c>
      <c r="G1617">
        <v>0</v>
      </c>
      <c r="H1617">
        <v>0</v>
      </c>
      <c r="I1617">
        <v>0</v>
      </c>
      <c r="J1617">
        <v>0</v>
      </c>
      <c r="K1617">
        <v>74.8</v>
      </c>
      <c r="L1617">
        <v>73.599999999999994</v>
      </c>
      <c r="M1617">
        <v>81.81</v>
      </c>
      <c r="N1617">
        <v>27</v>
      </c>
      <c r="O1617">
        <v>3</v>
      </c>
      <c r="P1617">
        <f>MOD(DAY(datos_siembra[[#This Row],[Date]]),7)</f>
        <v>6</v>
      </c>
      <c r="Q1617" t="str">
        <f>CHOOSE(WEEKDAY(datos_siembra[[#This Row],[Date]],2),"L","M","X","J","V","S","D")</f>
        <v>V</v>
      </c>
      <c r="R1617">
        <f>WEEKNUM(datos_siembra[[#This Row],[Date]],2)-WEEKNUM(DATE(YEAR(datos_siembra[[#This Row],[Date]]),MONTH(datos_siembra[[#This Row],[Date]]),1))+1</f>
        <v>4</v>
      </c>
      <c r="S1617">
        <f>MONTH(datos_siembra[[#This Row],[Date]])</f>
        <v>9</v>
      </c>
      <c r="T1617" t="str" cm="1">
        <f t="array" ref="T1617">_xlfn.IFS(AND(N1617&lt;= 22, S1617=9), "SOWING",AND(N1617&lt;= 28, S1617=9), "COVERAGE",AND(N1617&lt;= 30, S1617=9), "FLUSH",AND(N1617&lt;= 11, S1617=10), "FLUSH",AND(N1617&lt;= 21, S1617=10), "PRODUCTION")</f>
        <v>COVERAGE</v>
      </c>
      <c r="U1617">
        <f>HOUR(datos_siembra[[#This Row],[Hour]])</f>
        <v>4</v>
      </c>
      <c r="V1617" cm="1">
        <f t="array" ref="V1617">_xlfn.IFS(AND(N1617&lt;= 22, S1617=9), N1617-7,AND(N1617&lt;= 28, S1617=9), N1617-25,AND(N1617&lt;= 30, S1617=9), N1617-28,AND(N1617&lt;= 11, S1617=10), N1617+2,AND(N1617&lt;= 21, S1617=10), N1617-11)</f>
        <v>2</v>
      </c>
    </row>
    <row r="1618" spans="1:22" x14ac:dyDescent="0.35">
      <c r="A1618" s="4">
        <v>45562</v>
      </c>
      <c r="B1618" s="5">
        <v>0.18074074074074073</v>
      </c>
      <c r="C1618">
        <v>82.9</v>
      </c>
      <c r="D1618">
        <v>80.7</v>
      </c>
      <c r="E1618">
        <v>82.3</v>
      </c>
      <c r="F1618">
        <v>81.7</v>
      </c>
      <c r="G1618">
        <v>0</v>
      </c>
      <c r="H1618">
        <v>0</v>
      </c>
      <c r="I1618">
        <v>0</v>
      </c>
      <c r="J1618">
        <v>0</v>
      </c>
      <c r="K1618">
        <v>74.8</v>
      </c>
      <c r="L1618">
        <v>73.599999999999994</v>
      </c>
      <c r="M1618">
        <v>81.87</v>
      </c>
      <c r="N1618">
        <v>27</v>
      </c>
      <c r="O1618">
        <v>3</v>
      </c>
      <c r="P1618">
        <f>MOD(DAY(datos_siembra[[#This Row],[Date]]),7)</f>
        <v>6</v>
      </c>
      <c r="Q1618" t="str">
        <f>CHOOSE(WEEKDAY(datos_siembra[[#This Row],[Date]],2),"L","M","X","J","V","S","D")</f>
        <v>V</v>
      </c>
      <c r="R1618">
        <f>WEEKNUM(datos_siembra[[#This Row],[Date]],2)-WEEKNUM(DATE(YEAR(datos_siembra[[#This Row],[Date]]),MONTH(datos_siembra[[#This Row],[Date]]),1))+1</f>
        <v>4</v>
      </c>
      <c r="S1618">
        <f>MONTH(datos_siembra[[#This Row],[Date]])</f>
        <v>9</v>
      </c>
      <c r="T1618" t="str" cm="1">
        <f t="array" ref="T1618">_xlfn.IFS(AND(N1618&lt;= 22, S1618=9), "SOWING",AND(N1618&lt;= 28, S1618=9), "COVERAGE",AND(N1618&lt;= 30, S1618=9), "FLUSH",AND(N1618&lt;= 11, S1618=10), "FLUSH",AND(N1618&lt;= 21, S1618=10), "PRODUCTION")</f>
        <v>COVERAGE</v>
      </c>
      <c r="U1618">
        <f>HOUR(datos_siembra[[#This Row],[Hour]])</f>
        <v>4</v>
      </c>
      <c r="V1618" cm="1">
        <f t="array" ref="V1618">_xlfn.IFS(AND(N1618&lt;= 22, S1618=9), N1618-7,AND(N1618&lt;= 28, S1618=9), N1618-25,AND(N1618&lt;= 30, S1618=9), N1618-28,AND(N1618&lt;= 11, S1618=10), N1618+2,AND(N1618&lt;= 21, S1618=10), N1618-11)</f>
        <v>2</v>
      </c>
    </row>
    <row r="1619" spans="1:22" x14ac:dyDescent="0.35">
      <c r="A1619" s="4">
        <v>45562</v>
      </c>
      <c r="B1619" s="5">
        <v>0.18768518518518518</v>
      </c>
      <c r="C1619">
        <v>83</v>
      </c>
      <c r="D1619">
        <v>80.8</v>
      </c>
      <c r="E1619">
        <v>82.3</v>
      </c>
      <c r="F1619">
        <v>81.599999999999994</v>
      </c>
      <c r="G1619">
        <v>0</v>
      </c>
      <c r="H1619">
        <v>0</v>
      </c>
      <c r="I1619">
        <v>0</v>
      </c>
      <c r="J1619">
        <v>0</v>
      </c>
      <c r="K1619">
        <v>74.8</v>
      </c>
      <c r="L1619">
        <v>73.599999999999994</v>
      </c>
      <c r="M1619">
        <v>81.81</v>
      </c>
      <c r="N1619">
        <v>27</v>
      </c>
      <c r="O1619">
        <v>3</v>
      </c>
      <c r="P1619">
        <f>MOD(DAY(datos_siembra[[#This Row],[Date]]),7)</f>
        <v>6</v>
      </c>
      <c r="Q1619" t="str">
        <f>CHOOSE(WEEKDAY(datos_siembra[[#This Row],[Date]],2),"L","M","X","J","V","S","D")</f>
        <v>V</v>
      </c>
      <c r="R1619">
        <f>WEEKNUM(datos_siembra[[#This Row],[Date]],2)-WEEKNUM(DATE(YEAR(datos_siembra[[#This Row],[Date]]),MONTH(datos_siembra[[#This Row],[Date]]),1))+1</f>
        <v>4</v>
      </c>
      <c r="S1619">
        <f>MONTH(datos_siembra[[#This Row],[Date]])</f>
        <v>9</v>
      </c>
      <c r="T1619" t="str" cm="1">
        <f t="array" ref="T1619">_xlfn.IFS(AND(N1619&lt;= 22, S1619=9), "SOWING",AND(N1619&lt;= 28, S1619=9), "COVERAGE",AND(N1619&lt;= 30, S1619=9), "FLUSH",AND(N1619&lt;= 11, S1619=10), "FLUSH",AND(N1619&lt;= 21, S1619=10), "PRODUCTION")</f>
        <v>COVERAGE</v>
      </c>
      <c r="U1619">
        <f>HOUR(datos_siembra[[#This Row],[Hour]])</f>
        <v>4</v>
      </c>
      <c r="V1619" cm="1">
        <f t="array" ref="V1619">_xlfn.IFS(AND(N1619&lt;= 22, S1619=9), N1619-7,AND(N1619&lt;= 28, S1619=9), N1619-25,AND(N1619&lt;= 30, S1619=9), N1619-28,AND(N1619&lt;= 11, S1619=10), N1619+2,AND(N1619&lt;= 21, S1619=10), N1619-11)</f>
        <v>2</v>
      </c>
    </row>
    <row r="1620" spans="1:22" x14ac:dyDescent="0.35">
      <c r="A1620" s="4">
        <v>45562</v>
      </c>
      <c r="B1620" s="5">
        <v>0.19462962962962962</v>
      </c>
      <c r="C1620">
        <v>83</v>
      </c>
      <c r="D1620">
        <v>80.7</v>
      </c>
      <c r="E1620">
        <v>82.3</v>
      </c>
      <c r="F1620">
        <v>81.599999999999994</v>
      </c>
      <c r="G1620">
        <v>0</v>
      </c>
      <c r="H1620">
        <v>0</v>
      </c>
      <c r="I1620">
        <v>0</v>
      </c>
      <c r="J1620">
        <v>0</v>
      </c>
      <c r="K1620">
        <v>74.8</v>
      </c>
      <c r="L1620">
        <v>73.599999999999994</v>
      </c>
      <c r="M1620">
        <v>81.84</v>
      </c>
      <c r="N1620">
        <v>27</v>
      </c>
      <c r="O1620">
        <v>3</v>
      </c>
      <c r="P1620">
        <f>MOD(DAY(datos_siembra[[#This Row],[Date]]),7)</f>
        <v>6</v>
      </c>
      <c r="Q1620" t="str">
        <f>CHOOSE(WEEKDAY(datos_siembra[[#This Row],[Date]],2),"L","M","X","J","V","S","D")</f>
        <v>V</v>
      </c>
      <c r="R1620">
        <f>WEEKNUM(datos_siembra[[#This Row],[Date]],2)-WEEKNUM(DATE(YEAR(datos_siembra[[#This Row],[Date]]),MONTH(datos_siembra[[#This Row],[Date]]),1))+1</f>
        <v>4</v>
      </c>
      <c r="S1620">
        <f>MONTH(datos_siembra[[#This Row],[Date]])</f>
        <v>9</v>
      </c>
      <c r="T1620" t="str" cm="1">
        <f t="array" ref="T1620">_xlfn.IFS(AND(N1620&lt;= 22, S1620=9), "SOWING",AND(N1620&lt;= 28, S1620=9), "COVERAGE",AND(N1620&lt;= 30, S1620=9), "FLUSH",AND(N1620&lt;= 11, S1620=10), "FLUSH",AND(N1620&lt;= 21, S1620=10), "PRODUCTION")</f>
        <v>COVERAGE</v>
      </c>
      <c r="U1620">
        <f>HOUR(datos_siembra[[#This Row],[Hour]])</f>
        <v>4</v>
      </c>
      <c r="V1620" cm="1">
        <f t="array" ref="V1620">_xlfn.IFS(AND(N1620&lt;= 22, S1620=9), N1620-7,AND(N1620&lt;= 28, S1620=9), N1620-25,AND(N1620&lt;= 30, S1620=9), N1620-28,AND(N1620&lt;= 11, S1620=10), N1620+2,AND(N1620&lt;= 21, S1620=10), N1620-11)</f>
        <v>2</v>
      </c>
    </row>
    <row r="1621" spans="1:22" x14ac:dyDescent="0.35">
      <c r="A1621" s="4">
        <v>45562</v>
      </c>
      <c r="B1621" s="5">
        <v>0.20157407407407407</v>
      </c>
      <c r="C1621">
        <v>82.9</v>
      </c>
      <c r="D1621">
        <v>80.8</v>
      </c>
      <c r="E1621">
        <v>82.3</v>
      </c>
      <c r="F1621">
        <v>81.599999999999994</v>
      </c>
      <c r="G1621">
        <v>0</v>
      </c>
      <c r="H1621">
        <v>0</v>
      </c>
      <c r="I1621">
        <v>0</v>
      </c>
      <c r="J1621">
        <v>0</v>
      </c>
      <c r="K1621">
        <v>74.8</v>
      </c>
      <c r="L1621">
        <v>73.599999999999994</v>
      </c>
      <c r="M1621">
        <v>81.89</v>
      </c>
      <c r="N1621">
        <v>27</v>
      </c>
      <c r="O1621">
        <v>3</v>
      </c>
      <c r="P1621">
        <f>MOD(DAY(datos_siembra[[#This Row],[Date]]),7)</f>
        <v>6</v>
      </c>
      <c r="Q1621" t="str">
        <f>CHOOSE(WEEKDAY(datos_siembra[[#This Row],[Date]],2),"L","M","X","J","V","S","D")</f>
        <v>V</v>
      </c>
      <c r="R1621">
        <f>WEEKNUM(datos_siembra[[#This Row],[Date]],2)-WEEKNUM(DATE(YEAR(datos_siembra[[#This Row],[Date]]),MONTH(datos_siembra[[#This Row],[Date]]),1))+1</f>
        <v>4</v>
      </c>
      <c r="S1621">
        <f>MONTH(datos_siembra[[#This Row],[Date]])</f>
        <v>9</v>
      </c>
      <c r="T1621" t="str" cm="1">
        <f t="array" ref="T1621">_xlfn.IFS(AND(N1621&lt;= 22, S1621=9), "SOWING",AND(N1621&lt;= 28, S1621=9), "COVERAGE",AND(N1621&lt;= 30, S1621=9), "FLUSH",AND(N1621&lt;= 11, S1621=10), "FLUSH",AND(N1621&lt;= 21, S1621=10), "PRODUCTION")</f>
        <v>COVERAGE</v>
      </c>
      <c r="U1621">
        <f>HOUR(datos_siembra[[#This Row],[Hour]])</f>
        <v>4</v>
      </c>
      <c r="V1621" cm="1">
        <f t="array" ref="V1621">_xlfn.IFS(AND(N1621&lt;= 22, S1621=9), N1621-7,AND(N1621&lt;= 28, S1621=9), N1621-25,AND(N1621&lt;= 30, S1621=9), N1621-28,AND(N1621&lt;= 11, S1621=10), N1621+2,AND(N1621&lt;= 21, S1621=10), N1621-11)</f>
        <v>2</v>
      </c>
    </row>
    <row r="1622" spans="1:22" x14ac:dyDescent="0.35">
      <c r="A1622" s="4">
        <v>45562</v>
      </c>
      <c r="B1622" s="5">
        <v>0.20853009259259259</v>
      </c>
      <c r="C1622">
        <v>83</v>
      </c>
      <c r="D1622">
        <v>80.8</v>
      </c>
      <c r="E1622">
        <v>82.4</v>
      </c>
      <c r="F1622">
        <v>81.7</v>
      </c>
      <c r="G1622">
        <v>0</v>
      </c>
      <c r="H1622">
        <v>0</v>
      </c>
      <c r="I1622">
        <v>0</v>
      </c>
      <c r="J1622">
        <v>0</v>
      </c>
      <c r="K1622">
        <v>74.8</v>
      </c>
      <c r="L1622">
        <v>73.7</v>
      </c>
      <c r="M1622">
        <v>81.95</v>
      </c>
      <c r="N1622">
        <v>27</v>
      </c>
      <c r="O1622">
        <v>3</v>
      </c>
      <c r="P1622">
        <f>MOD(DAY(datos_siembra[[#This Row],[Date]]),7)</f>
        <v>6</v>
      </c>
      <c r="Q1622" t="str">
        <f>CHOOSE(WEEKDAY(datos_siembra[[#This Row],[Date]],2),"L","M","X","J","V","S","D")</f>
        <v>V</v>
      </c>
      <c r="R1622">
        <f>WEEKNUM(datos_siembra[[#This Row],[Date]],2)-WEEKNUM(DATE(YEAR(datos_siembra[[#This Row],[Date]]),MONTH(datos_siembra[[#This Row],[Date]]),1))+1</f>
        <v>4</v>
      </c>
      <c r="S1622">
        <f>MONTH(datos_siembra[[#This Row],[Date]])</f>
        <v>9</v>
      </c>
      <c r="T1622" t="str" cm="1">
        <f t="array" ref="T1622">_xlfn.IFS(AND(N1622&lt;= 22, S1622=9), "SOWING",AND(N1622&lt;= 28, S1622=9), "COVERAGE",AND(N1622&lt;= 30, S1622=9), "FLUSH",AND(N1622&lt;= 11, S1622=10), "FLUSH",AND(N1622&lt;= 21, S1622=10), "PRODUCTION")</f>
        <v>COVERAGE</v>
      </c>
      <c r="U1622">
        <f>HOUR(datos_siembra[[#This Row],[Hour]])</f>
        <v>5</v>
      </c>
      <c r="V1622" cm="1">
        <f t="array" ref="V1622">_xlfn.IFS(AND(N1622&lt;= 22, S1622=9), N1622-7,AND(N1622&lt;= 28, S1622=9), N1622-25,AND(N1622&lt;= 30, S1622=9), N1622-28,AND(N1622&lt;= 11, S1622=10), N1622+2,AND(N1622&lt;= 21, S1622=10), N1622-11)</f>
        <v>2</v>
      </c>
    </row>
    <row r="1623" spans="1:22" x14ac:dyDescent="0.35">
      <c r="A1623" s="4">
        <v>45562</v>
      </c>
      <c r="B1623" s="5">
        <v>0.21547453703703703</v>
      </c>
      <c r="C1623">
        <v>82.7</v>
      </c>
      <c r="D1623">
        <v>80.8</v>
      </c>
      <c r="E1623">
        <v>82.2</v>
      </c>
      <c r="F1623">
        <v>81.599999999999994</v>
      </c>
      <c r="G1623">
        <v>0</v>
      </c>
      <c r="H1623">
        <v>0</v>
      </c>
      <c r="I1623">
        <v>0</v>
      </c>
      <c r="J1623">
        <v>0</v>
      </c>
      <c r="K1623">
        <v>74.8</v>
      </c>
      <c r="L1623">
        <v>73.599999999999994</v>
      </c>
      <c r="M1623">
        <v>81.84</v>
      </c>
      <c r="N1623">
        <v>27</v>
      </c>
      <c r="O1623">
        <v>3</v>
      </c>
      <c r="P1623">
        <f>MOD(DAY(datos_siembra[[#This Row],[Date]]),7)</f>
        <v>6</v>
      </c>
      <c r="Q1623" t="str">
        <f>CHOOSE(WEEKDAY(datos_siembra[[#This Row],[Date]],2),"L","M","X","J","V","S","D")</f>
        <v>V</v>
      </c>
      <c r="R1623">
        <f>WEEKNUM(datos_siembra[[#This Row],[Date]],2)-WEEKNUM(DATE(YEAR(datos_siembra[[#This Row],[Date]]),MONTH(datos_siembra[[#This Row],[Date]]),1))+1</f>
        <v>4</v>
      </c>
      <c r="S1623">
        <f>MONTH(datos_siembra[[#This Row],[Date]])</f>
        <v>9</v>
      </c>
      <c r="T1623" t="str" cm="1">
        <f t="array" ref="T1623">_xlfn.IFS(AND(N1623&lt;= 22, S1623=9), "SOWING",AND(N1623&lt;= 28, S1623=9), "COVERAGE",AND(N1623&lt;= 30, S1623=9), "FLUSH",AND(N1623&lt;= 11, S1623=10), "FLUSH",AND(N1623&lt;= 21, S1623=10), "PRODUCTION")</f>
        <v>COVERAGE</v>
      </c>
      <c r="U1623">
        <f>HOUR(datos_siembra[[#This Row],[Hour]])</f>
        <v>5</v>
      </c>
      <c r="V1623" cm="1">
        <f t="array" ref="V1623">_xlfn.IFS(AND(N1623&lt;= 22, S1623=9), N1623-7,AND(N1623&lt;= 28, S1623=9), N1623-25,AND(N1623&lt;= 30, S1623=9), N1623-28,AND(N1623&lt;= 11, S1623=10), N1623+2,AND(N1623&lt;= 21, S1623=10), N1623-11)</f>
        <v>2</v>
      </c>
    </row>
    <row r="1624" spans="1:22" x14ac:dyDescent="0.35">
      <c r="A1624" s="4">
        <v>45562</v>
      </c>
      <c r="B1624" s="5">
        <v>0.22241898148148148</v>
      </c>
      <c r="C1624">
        <v>83</v>
      </c>
      <c r="D1624">
        <v>80.8</v>
      </c>
      <c r="E1624">
        <v>82.3</v>
      </c>
      <c r="F1624">
        <v>81.7</v>
      </c>
      <c r="G1624">
        <v>0</v>
      </c>
      <c r="H1624">
        <v>0</v>
      </c>
      <c r="I1624">
        <v>0</v>
      </c>
      <c r="J1624">
        <v>0</v>
      </c>
      <c r="K1624">
        <v>74.8</v>
      </c>
      <c r="L1624">
        <v>73.7</v>
      </c>
      <c r="M1624">
        <v>81.87</v>
      </c>
      <c r="N1624">
        <v>27</v>
      </c>
      <c r="O1624">
        <v>3</v>
      </c>
      <c r="P1624">
        <f>MOD(DAY(datos_siembra[[#This Row],[Date]]),7)</f>
        <v>6</v>
      </c>
      <c r="Q1624" t="str">
        <f>CHOOSE(WEEKDAY(datos_siembra[[#This Row],[Date]],2),"L","M","X","J","V","S","D")</f>
        <v>V</v>
      </c>
      <c r="R1624">
        <f>WEEKNUM(datos_siembra[[#This Row],[Date]],2)-WEEKNUM(DATE(YEAR(datos_siembra[[#This Row],[Date]]),MONTH(datos_siembra[[#This Row],[Date]]),1))+1</f>
        <v>4</v>
      </c>
      <c r="S1624">
        <f>MONTH(datos_siembra[[#This Row],[Date]])</f>
        <v>9</v>
      </c>
      <c r="T1624" t="str" cm="1">
        <f t="array" ref="T1624">_xlfn.IFS(AND(N1624&lt;= 22, S1624=9), "SOWING",AND(N1624&lt;= 28, S1624=9), "COVERAGE",AND(N1624&lt;= 30, S1624=9), "FLUSH",AND(N1624&lt;= 11, S1624=10), "FLUSH",AND(N1624&lt;= 21, S1624=10), "PRODUCTION")</f>
        <v>COVERAGE</v>
      </c>
      <c r="U1624">
        <f>HOUR(datos_siembra[[#This Row],[Hour]])</f>
        <v>5</v>
      </c>
      <c r="V1624" cm="1">
        <f t="array" ref="V1624">_xlfn.IFS(AND(N1624&lt;= 22, S1624=9), N1624-7,AND(N1624&lt;= 28, S1624=9), N1624-25,AND(N1624&lt;= 30, S1624=9), N1624-28,AND(N1624&lt;= 11, S1624=10), N1624+2,AND(N1624&lt;= 21, S1624=10), N1624-11)</f>
        <v>2</v>
      </c>
    </row>
    <row r="1625" spans="1:22" x14ac:dyDescent="0.35">
      <c r="A1625" s="4">
        <v>45562</v>
      </c>
      <c r="B1625" s="5">
        <v>0.22936342592592593</v>
      </c>
      <c r="C1625">
        <v>83.1</v>
      </c>
      <c r="D1625">
        <v>80.7</v>
      </c>
      <c r="E1625">
        <v>82.3</v>
      </c>
      <c r="F1625">
        <v>81.7</v>
      </c>
      <c r="G1625">
        <v>0</v>
      </c>
      <c r="H1625">
        <v>0</v>
      </c>
      <c r="I1625">
        <v>0</v>
      </c>
      <c r="J1625">
        <v>0</v>
      </c>
      <c r="K1625">
        <v>74.599999999999994</v>
      </c>
      <c r="L1625">
        <v>73.7</v>
      </c>
      <c r="M1625">
        <v>82.03</v>
      </c>
      <c r="N1625">
        <v>27</v>
      </c>
      <c r="O1625">
        <v>3</v>
      </c>
      <c r="P1625">
        <f>MOD(DAY(datos_siembra[[#This Row],[Date]]),7)</f>
        <v>6</v>
      </c>
      <c r="Q1625" t="str">
        <f>CHOOSE(WEEKDAY(datos_siembra[[#This Row],[Date]],2),"L","M","X","J","V","S","D")</f>
        <v>V</v>
      </c>
      <c r="R1625">
        <f>WEEKNUM(datos_siembra[[#This Row],[Date]],2)-WEEKNUM(DATE(YEAR(datos_siembra[[#This Row],[Date]]),MONTH(datos_siembra[[#This Row],[Date]]),1))+1</f>
        <v>4</v>
      </c>
      <c r="S1625">
        <f>MONTH(datos_siembra[[#This Row],[Date]])</f>
        <v>9</v>
      </c>
      <c r="T1625" t="str" cm="1">
        <f t="array" ref="T1625">_xlfn.IFS(AND(N1625&lt;= 22, S1625=9), "SOWING",AND(N1625&lt;= 28, S1625=9), "COVERAGE",AND(N1625&lt;= 30, S1625=9), "FLUSH",AND(N1625&lt;= 11, S1625=10), "FLUSH",AND(N1625&lt;= 21, S1625=10), "PRODUCTION")</f>
        <v>COVERAGE</v>
      </c>
      <c r="U1625">
        <f>HOUR(datos_siembra[[#This Row],[Hour]])</f>
        <v>5</v>
      </c>
      <c r="V1625" cm="1">
        <f t="array" ref="V1625">_xlfn.IFS(AND(N1625&lt;= 22, S1625=9), N1625-7,AND(N1625&lt;= 28, S1625=9), N1625-25,AND(N1625&lt;= 30, S1625=9), N1625-28,AND(N1625&lt;= 11, S1625=10), N1625+2,AND(N1625&lt;= 21, S1625=10), N1625-11)</f>
        <v>2</v>
      </c>
    </row>
    <row r="1626" spans="1:22" x14ac:dyDescent="0.35">
      <c r="A1626" s="4">
        <v>45562</v>
      </c>
      <c r="B1626" s="5">
        <v>0.23631944444444444</v>
      </c>
      <c r="C1626">
        <v>83.1</v>
      </c>
      <c r="D1626">
        <v>80.900000000000006</v>
      </c>
      <c r="E1626">
        <v>82.3</v>
      </c>
      <c r="F1626">
        <v>81.7</v>
      </c>
      <c r="G1626">
        <v>0</v>
      </c>
      <c r="H1626">
        <v>0</v>
      </c>
      <c r="I1626">
        <v>0</v>
      </c>
      <c r="J1626">
        <v>0</v>
      </c>
      <c r="K1626">
        <v>74.8</v>
      </c>
      <c r="L1626">
        <v>73.7</v>
      </c>
      <c r="M1626">
        <v>81.98</v>
      </c>
      <c r="N1626">
        <v>27</v>
      </c>
      <c r="O1626">
        <v>3</v>
      </c>
      <c r="P1626">
        <f>MOD(DAY(datos_siembra[[#This Row],[Date]]),7)</f>
        <v>6</v>
      </c>
      <c r="Q1626" t="str">
        <f>CHOOSE(WEEKDAY(datos_siembra[[#This Row],[Date]],2),"L","M","X","J","V","S","D")</f>
        <v>V</v>
      </c>
      <c r="R1626">
        <f>WEEKNUM(datos_siembra[[#This Row],[Date]],2)-WEEKNUM(DATE(YEAR(datos_siembra[[#This Row],[Date]]),MONTH(datos_siembra[[#This Row],[Date]]),1))+1</f>
        <v>4</v>
      </c>
      <c r="S1626">
        <f>MONTH(datos_siembra[[#This Row],[Date]])</f>
        <v>9</v>
      </c>
      <c r="T1626" t="str" cm="1">
        <f t="array" ref="T1626">_xlfn.IFS(AND(N1626&lt;= 22, S1626=9), "SOWING",AND(N1626&lt;= 28, S1626=9), "COVERAGE",AND(N1626&lt;= 30, S1626=9), "FLUSH",AND(N1626&lt;= 11, S1626=10), "FLUSH",AND(N1626&lt;= 21, S1626=10), "PRODUCTION")</f>
        <v>COVERAGE</v>
      </c>
      <c r="U1626">
        <f>HOUR(datos_siembra[[#This Row],[Hour]])</f>
        <v>5</v>
      </c>
      <c r="V1626" cm="1">
        <f t="array" ref="V1626">_xlfn.IFS(AND(N1626&lt;= 22, S1626=9), N1626-7,AND(N1626&lt;= 28, S1626=9), N1626-25,AND(N1626&lt;= 30, S1626=9), N1626-28,AND(N1626&lt;= 11, S1626=10), N1626+2,AND(N1626&lt;= 21, S1626=10), N1626-11)</f>
        <v>2</v>
      </c>
    </row>
    <row r="1627" spans="1:22" x14ac:dyDescent="0.35">
      <c r="A1627" s="4">
        <v>45562</v>
      </c>
      <c r="B1627" s="5">
        <v>0.24326388888888889</v>
      </c>
      <c r="C1627">
        <v>83</v>
      </c>
      <c r="D1627">
        <v>80.8</v>
      </c>
      <c r="E1627">
        <v>82.3</v>
      </c>
      <c r="F1627">
        <v>81.7</v>
      </c>
      <c r="G1627">
        <v>0</v>
      </c>
      <c r="H1627">
        <v>0</v>
      </c>
      <c r="I1627">
        <v>0</v>
      </c>
      <c r="J1627">
        <v>0</v>
      </c>
      <c r="K1627">
        <v>74.8</v>
      </c>
      <c r="L1627">
        <v>73.7</v>
      </c>
      <c r="M1627">
        <v>82.01</v>
      </c>
      <c r="N1627">
        <v>27</v>
      </c>
      <c r="O1627">
        <v>3</v>
      </c>
      <c r="P1627">
        <f>MOD(DAY(datos_siembra[[#This Row],[Date]]),7)</f>
        <v>6</v>
      </c>
      <c r="Q1627" t="str">
        <f>CHOOSE(WEEKDAY(datos_siembra[[#This Row],[Date]],2),"L","M","X","J","V","S","D")</f>
        <v>V</v>
      </c>
      <c r="R1627">
        <f>WEEKNUM(datos_siembra[[#This Row],[Date]],2)-WEEKNUM(DATE(YEAR(datos_siembra[[#This Row],[Date]]),MONTH(datos_siembra[[#This Row],[Date]]),1))+1</f>
        <v>4</v>
      </c>
      <c r="S1627">
        <f>MONTH(datos_siembra[[#This Row],[Date]])</f>
        <v>9</v>
      </c>
      <c r="T1627" t="str" cm="1">
        <f t="array" ref="T1627">_xlfn.IFS(AND(N1627&lt;= 22, S1627=9), "SOWING",AND(N1627&lt;= 28, S1627=9), "COVERAGE",AND(N1627&lt;= 30, S1627=9), "FLUSH",AND(N1627&lt;= 11, S1627=10), "FLUSH",AND(N1627&lt;= 21, S1627=10), "PRODUCTION")</f>
        <v>COVERAGE</v>
      </c>
      <c r="U1627">
        <f>HOUR(datos_siembra[[#This Row],[Hour]])</f>
        <v>5</v>
      </c>
      <c r="V1627" cm="1">
        <f t="array" ref="V1627">_xlfn.IFS(AND(N1627&lt;= 22, S1627=9), N1627-7,AND(N1627&lt;= 28, S1627=9), N1627-25,AND(N1627&lt;= 30, S1627=9), N1627-28,AND(N1627&lt;= 11, S1627=10), N1627+2,AND(N1627&lt;= 21, S1627=10), N1627-11)</f>
        <v>2</v>
      </c>
    </row>
    <row r="1628" spans="1:22" x14ac:dyDescent="0.35">
      <c r="A1628" s="4">
        <v>45562</v>
      </c>
      <c r="B1628" s="5">
        <v>0.25020833333333331</v>
      </c>
      <c r="C1628">
        <v>83.1</v>
      </c>
      <c r="D1628">
        <v>80.900000000000006</v>
      </c>
      <c r="E1628">
        <v>82.4</v>
      </c>
      <c r="F1628">
        <v>81.7</v>
      </c>
      <c r="G1628">
        <v>0</v>
      </c>
      <c r="H1628">
        <v>0</v>
      </c>
      <c r="I1628">
        <v>0</v>
      </c>
      <c r="J1628">
        <v>0</v>
      </c>
      <c r="K1628">
        <v>74.8</v>
      </c>
      <c r="L1628">
        <v>73.599999999999994</v>
      </c>
      <c r="M1628">
        <v>82.06</v>
      </c>
      <c r="N1628">
        <v>27</v>
      </c>
      <c r="O1628">
        <v>3</v>
      </c>
      <c r="P1628">
        <f>MOD(DAY(datos_siembra[[#This Row],[Date]]),7)</f>
        <v>6</v>
      </c>
      <c r="Q1628" t="str">
        <f>CHOOSE(WEEKDAY(datos_siembra[[#This Row],[Date]],2),"L","M","X","J","V","S","D")</f>
        <v>V</v>
      </c>
      <c r="R1628">
        <f>WEEKNUM(datos_siembra[[#This Row],[Date]],2)-WEEKNUM(DATE(YEAR(datos_siembra[[#This Row],[Date]]),MONTH(datos_siembra[[#This Row],[Date]]),1))+1</f>
        <v>4</v>
      </c>
      <c r="S1628">
        <f>MONTH(datos_siembra[[#This Row],[Date]])</f>
        <v>9</v>
      </c>
      <c r="T1628" t="str" cm="1">
        <f t="array" ref="T1628">_xlfn.IFS(AND(N1628&lt;= 22, S1628=9), "SOWING",AND(N1628&lt;= 28, S1628=9), "COVERAGE",AND(N1628&lt;= 30, S1628=9), "FLUSH",AND(N1628&lt;= 11, S1628=10), "FLUSH",AND(N1628&lt;= 21, S1628=10), "PRODUCTION")</f>
        <v>COVERAGE</v>
      </c>
      <c r="U1628">
        <f>HOUR(datos_siembra[[#This Row],[Hour]])</f>
        <v>6</v>
      </c>
      <c r="V1628" cm="1">
        <f t="array" ref="V1628">_xlfn.IFS(AND(N1628&lt;= 22, S1628=9), N1628-7,AND(N1628&lt;= 28, S1628=9), N1628-25,AND(N1628&lt;= 30, S1628=9), N1628-28,AND(N1628&lt;= 11, S1628=10), N1628+2,AND(N1628&lt;= 21, S1628=10), N1628-11)</f>
        <v>2</v>
      </c>
    </row>
    <row r="1629" spans="1:22" x14ac:dyDescent="0.35">
      <c r="A1629" s="4">
        <v>45562</v>
      </c>
      <c r="B1629" s="5">
        <v>0.25715277777777779</v>
      </c>
      <c r="C1629">
        <v>83.1</v>
      </c>
      <c r="D1629">
        <v>80.8</v>
      </c>
      <c r="E1629">
        <v>82.4</v>
      </c>
      <c r="F1629">
        <v>82</v>
      </c>
      <c r="G1629">
        <v>0</v>
      </c>
      <c r="H1629">
        <v>0</v>
      </c>
      <c r="I1629">
        <v>0</v>
      </c>
      <c r="J1629">
        <v>0</v>
      </c>
      <c r="K1629">
        <v>74.8</v>
      </c>
      <c r="L1629">
        <v>73.599999999999994</v>
      </c>
      <c r="M1629">
        <v>82.03</v>
      </c>
      <c r="N1629">
        <v>27</v>
      </c>
      <c r="O1629">
        <v>3</v>
      </c>
      <c r="P1629">
        <f>MOD(DAY(datos_siembra[[#This Row],[Date]]),7)</f>
        <v>6</v>
      </c>
      <c r="Q1629" t="str">
        <f>CHOOSE(WEEKDAY(datos_siembra[[#This Row],[Date]],2),"L","M","X","J","V","S","D")</f>
        <v>V</v>
      </c>
      <c r="R1629">
        <f>WEEKNUM(datos_siembra[[#This Row],[Date]],2)-WEEKNUM(DATE(YEAR(datos_siembra[[#This Row],[Date]]),MONTH(datos_siembra[[#This Row],[Date]]),1))+1</f>
        <v>4</v>
      </c>
      <c r="S1629">
        <f>MONTH(datos_siembra[[#This Row],[Date]])</f>
        <v>9</v>
      </c>
      <c r="T1629" t="str" cm="1">
        <f t="array" ref="T1629">_xlfn.IFS(AND(N1629&lt;= 22, S1629=9), "SOWING",AND(N1629&lt;= 28, S1629=9), "COVERAGE",AND(N1629&lt;= 30, S1629=9), "FLUSH",AND(N1629&lt;= 11, S1629=10), "FLUSH",AND(N1629&lt;= 21, S1629=10), "PRODUCTION")</f>
        <v>COVERAGE</v>
      </c>
      <c r="U1629">
        <f>HOUR(datos_siembra[[#This Row],[Hour]])</f>
        <v>6</v>
      </c>
      <c r="V1629" cm="1">
        <f t="array" ref="V1629">_xlfn.IFS(AND(N1629&lt;= 22, S1629=9), N1629-7,AND(N1629&lt;= 28, S1629=9), N1629-25,AND(N1629&lt;= 30, S1629=9), N1629-28,AND(N1629&lt;= 11, S1629=10), N1629+2,AND(N1629&lt;= 21, S1629=10), N1629-11)</f>
        <v>2</v>
      </c>
    </row>
    <row r="1630" spans="1:22" x14ac:dyDescent="0.35">
      <c r="A1630" s="4">
        <v>45562</v>
      </c>
      <c r="B1630" s="5">
        <v>0.2641087962962963</v>
      </c>
      <c r="C1630">
        <v>83.1</v>
      </c>
      <c r="D1630">
        <v>80.8</v>
      </c>
      <c r="E1630">
        <v>82.4</v>
      </c>
      <c r="F1630">
        <v>81.7</v>
      </c>
      <c r="G1630">
        <v>0</v>
      </c>
      <c r="H1630">
        <v>0</v>
      </c>
      <c r="I1630">
        <v>0</v>
      </c>
      <c r="J1630">
        <v>0</v>
      </c>
      <c r="K1630">
        <v>74.8</v>
      </c>
      <c r="L1630">
        <v>73.599999999999994</v>
      </c>
      <c r="M1630">
        <v>82.03</v>
      </c>
      <c r="N1630">
        <v>27</v>
      </c>
      <c r="O1630">
        <v>3</v>
      </c>
      <c r="P1630">
        <f>MOD(DAY(datos_siembra[[#This Row],[Date]]),7)</f>
        <v>6</v>
      </c>
      <c r="Q1630" t="str">
        <f>CHOOSE(WEEKDAY(datos_siembra[[#This Row],[Date]],2),"L","M","X","J","V","S","D")</f>
        <v>V</v>
      </c>
      <c r="R1630">
        <f>WEEKNUM(datos_siembra[[#This Row],[Date]],2)-WEEKNUM(DATE(YEAR(datos_siembra[[#This Row],[Date]]),MONTH(datos_siembra[[#This Row],[Date]]),1))+1</f>
        <v>4</v>
      </c>
      <c r="S1630">
        <f>MONTH(datos_siembra[[#This Row],[Date]])</f>
        <v>9</v>
      </c>
      <c r="T1630" t="str" cm="1">
        <f t="array" ref="T1630">_xlfn.IFS(AND(N1630&lt;= 22, S1630=9), "SOWING",AND(N1630&lt;= 28, S1630=9), "COVERAGE",AND(N1630&lt;= 30, S1630=9), "FLUSH",AND(N1630&lt;= 11, S1630=10), "FLUSH",AND(N1630&lt;= 21, S1630=10), "PRODUCTION")</f>
        <v>COVERAGE</v>
      </c>
      <c r="U1630">
        <f>HOUR(datos_siembra[[#This Row],[Hour]])</f>
        <v>6</v>
      </c>
      <c r="V1630" cm="1">
        <f t="array" ref="V1630">_xlfn.IFS(AND(N1630&lt;= 22, S1630=9), N1630-7,AND(N1630&lt;= 28, S1630=9), N1630-25,AND(N1630&lt;= 30, S1630=9), N1630-28,AND(N1630&lt;= 11, S1630=10), N1630+2,AND(N1630&lt;= 21, S1630=10), N1630-11)</f>
        <v>2</v>
      </c>
    </row>
    <row r="1631" spans="1:22" x14ac:dyDescent="0.35">
      <c r="A1631" s="4">
        <v>45562</v>
      </c>
      <c r="B1631" s="5">
        <v>0.27105324074074072</v>
      </c>
      <c r="C1631">
        <v>83.1</v>
      </c>
      <c r="D1631">
        <v>80.8</v>
      </c>
      <c r="E1631">
        <v>82.4</v>
      </c>
      <c r="F1631">
        <v>81.8</v>
      </c>
      <c r="G1631">
        <v>0</v>
      </c>
      <c r="H1631">
        <v>0</v>
      </c>
      <c r="I1631">
        <v>0</v>
      </c>
      <c r="J1631">
        <v>0</v>
      </c>
      <c r="K1631">
        <v>74.599999999999994</v>
      </c>
      <c r="L1631">
        <v>73.599999999999994</v>
      </c>
      <c r="M1631">
        <v>82.03</v>
      </c>
      <c r="N1631">
        <v>27</v>
      </c>
      <c r="O1631">
        <v>3</v>
      </c>
      <c r="P1631">
        <f>MOD(DAY(datos_siembra[[#This Row],[Date]]),7)</f>
        <v>6</v>
      </c>
      <c r="Q1631" t="str">
        <f>CHOOSE(WEEKDAY(datos_siembra[[#This Row],[Date]],2),"L","M","X","J","V","S","D")</f>
        <v>V</v>
      </c>
      <c r="R1631">
        <f>WEEKNUM(datos_siembra[[#This Row],[Date]],2)-WEEKNUM(DATE(YEAR(datos_siembra[[#This Row],[Date]]),MONTH(datos_siembra[[#This Row],[Date]]),1))+1</f>
        <v>4</v>
      </c>
      <c r="S1631">
        <f>MONTH(datos_siembra[[#This Row],[Date]])</f>
        <v>9</v>
      </c>
      <c r="T1631" t="str" cm="1">
        <f t="array" ref="T1631">_xlfn.IFS(AND(N1631&lt;= 22, S1631=9), "SOWING",AND(N1631&lt;= 28, S1631=9), "COVERAGE",AND(N1631&lt;= 30, S1631=9), "FLUSH",AND(N1631&lt;= 11, S1631=10), "FLUSH",AND(N1631&lt;= 21, S1631=10), "PRODUCTION")</f>
        <v>COVERAGE</v>
      </c>
      <c r="U1631">
        <f>HOUR(datos_siembra[[#This Row],[Hour]])</f>
        <v>6</v>
      </c>
      <c r="V1631" cm="1">
        <f t="array" ref="V1631">_xlfn.IFS(AND(N1631&lt;= 22, S1631=9), N1631-7,AND(N1631&lt;= 28, S1631=9), N1631-25,AND(N1631&lt;= 30, S1631=9), N1631-28,AND(N1631&lt;= 11, S1631=10), N1631+2,AND(N1631&lt;= 21, S1631=10), N1631-11)</f>
        <v>2</v>
      </c>
    </row>
    <row r="1632" spans="1:22" x14ac:dyDescent="0.35">
      <c r="A1632" s="4">
        <v>45562</v>
      </c>
      <c r="B1632" s="5">
        <v>0.27799768518518519</v>
      </c>
      <c r="C1632">
        <v>83.1</v>
      </c>
      <c r="D1632">
        <v>80.900000000000006</v>
      </c>
      <c r="E1632">
        <v>82.4</v>
      </c>
      <c r="F1632">
        <v>81.8</v>
      </c>
      <c r="G1632">
        <v>0</v>
      </c>
      <c r="H1632">
        <v>0</v>
      </c>
      <c r="I1632">
        <v>0</v>
      </c>
      <c r="J1632">
        <v>0</v>
      </c>
      <c r="K1632">
        <v>74.8</v>
      </c>
      <c r="L1632">
        <v>73.599999999999994</v>
      </c>
      <c r="M1632">
        <v>82.09</v>
      </c>
      <c r="N1632">
        <v>27</v>
      </c>
      <c r="O1632">
        <v>3</v>
      </c>
      <c r="P1632">
        <f>MOD(DAY(datos_siembra[[#This Row],[Date]]),7)</f>
        <v>6</v>
      </c>
      <c r="Q1632" t="str">
        <f>CHOOSE(WEEKDAY(datos_siembra[[#This Row],[Date]],2),"L","M","X","J","V","S","D")</f>
        <v>V</v>
      </c>
      <c r="R1632">
        <f>WEEKNUM(datos_siembra[[#This Row],[Date]],2)-WEEKNUM(DATE(YEAR(datos_siembra[[#This Row],[Date]]),MONTH(datos_siembra[[#This Row],[Date]]),1))+1</f>
        <v>4</v>
      </c>
      <c r="S1632">
        <f>MONTH(datos_siembra[[#This Row],[Date]])</f>
        <v>9</v>
      </c>
      <c r="T1632" t="str" cm="1">
        <f t="array" ref="T1632">_xlfn.IFS(AND(N1632&lt;= 22, S1632=9), "SOWING",AND(N1632&lt;= 28, S1632=9), "COVERAGE",AND(N1632&lt;= 30, S1632=9), "FLUSH",AND(N1632&lt;= 11, S1632=10), "FLUSH",AND(N1632&lt;= 21, S1632=10), "PRODUCTION")</f>
        <v>COVERAGE</v>
      </c>
      <c r="U1632">
        <f>HOUR(datos_siembra[[#This Row],[Hour]])</f>
        <v>6</v>
      </c>
      <c r="V1632" cm="1">
        <f t="array" ref="V1632">_xlfn.IFS(AND(N1632&lt;= 22, S1632=9), N1632-7,AND(N1632&lt;= 28, S1632=9), N1632-25,AND(N1632&lt;= 30, S1632=9), N1632-28,AND(N1632&lt;= 11, S1632=10), N1632+2,AND(N1632&lt;= 21, S1632=10), N1632-11)</f>
        <v>2</v>
      </c>
    </row>
    <row r="1633" spans="1:22" x14ac:dyDescent="0.35">
      <c r="A1633" s="4">
        <v>45562</v>
      </c>
      <c r="B1633" s="5">
        <v>0.28494212962962961</v>
      </c>
      <c r="C1633">
        <v>83.2</v>
      </c>
      <c r="D1633">
        <v>80.900000000000006</v>
      </c>
      <c r="E1633">
        <v>82.5</v>
      </c>
      <c r="F1633">
        <v>81.8</v>
      </c>
      <c r="G1633">
        <v>0</v>
      </c>
      <c r="H1633">
        <v>0</v>
      </c>
      <c r="I1633">
        <v>0</v>
      </c>
      <c r="J1633">
        <v>0</v>
      </c>
      <c r="K1633">
        <v>74.8</v>
      </c>
      <c r="L1633">
        <v>73.7</v>
      </c>
      <c r="M1633">
        <v>82.09</v>
      </c>
      <c r="N1633">
        <v>27</v>
      </c>
      <c r="O1633">
        <v>3</v>
      </c>
      <c r="P1633">
        <f>MOD(DAY(datos_siembra[[#This Row],[Date]]),7)</f>
        <v>6</v>
      </c>
      <c r="Q1633" t="str">
        <f>CHOOSE(WEEKDAY(datos_siembra[[#This Row],[Date]],2),"L","M","X","J","V","S","D")</f>
        <v>V</v>
      </c>
      <c r="R1633">
        <f>WEEKNUM(datos_siembra[[#This Row],[Date]],2)-WEEKNUM(DATE(YEAR(datos_siembra[[#This Row],[Date]]),MONTH(datos_siembra[[#This Row],[Date]]),1))+1</f>
        <v>4</v>
      </c>
      <c r="S1633">
        <f>MONTH(datos_siembra[[#This Row],[Date]])</f>
        <v>9</v>
      </c>
      <c r="T1633" t="str" cm="1">
        <f t="array" ref="T1633">_xlfn.IFS(AND(N1633&lt;= 22, S1633=9), "SOWING",AND(N1633&lt;= 28, S1633=9), "COVERAGE",AND(N1633&lt;= 30, S1633=9), "FLUSH",AND(N1633&lt;= 11, S1633=10), "FLUSH",AND(N1633&lt;= 21, S1633=10), "PRODUCTION")</f>
        <v>COVERAGE</v>
      </c>
      <c r="U1633">
        <f>HOUR(datos_siembra[[#This Row],[Hour]])</f>
        <v>6</v>
      </c>
      <c r="V1633" cm="1">
        <f t="array" ref="V1633">_xlfn.IFS(AND(N1633&lt;= 22, S1633=9), N1633-7,AND(N1633&lt;= 28, S1633=9), N1633-25,AND(N1633&lt;= 30, S1633=9), N1633-28,AND(N1633&lt;= 11, S1633=10), N1633+2,AND(N1633&lt;= 21, S1633=10), N1633-11)</f>
        <v>2</v>
      </c>
    </row>
    <row r="1634" spans="1:22" x14ac:dyDescent="0.35">
      <c r="A1634" s="4">
        <v>45562</v>
      </c>
      <c r="B1634" s="5">
        <v>0.29189814814814813</v>
      </c>
      <c r="C1634">
        <v>83.2</v>
      </c>
      <c r="D1634">
        <v>80.900000000000006</v>
      </c>
      <c r="E1634">
        <v>82.6</v>
      </c>
      <c r="F1634">
        <v>81.8</v>
      </c>
      <c r="G1634">
        <v>0</v>
      </c>
      <c r="H1634">
        <v>0</v>
      </c>
      <c r="I1634">
        <v>0</v>
      </c>
      <c r="J1634">
        <v>0</v>
      </c>
      <c r="K1634">
        <v>74.8</v>
      </c>
      <c r="L1634">
        <v>73.599999999999994</v>
      </c>
      <c r="M1634">
        <v>82.18</v>
      </c>
      <c r="N1634">
        <v>27</v>
      </c>
      <c r="O1634">
        <v>3</v>
      </c>
      <c r="P1634">
        <f>MOD(DAY(datos_siembra[[#This Row],[Date]]),7)</f>
        <v>6</v>
      </c>
      <c r="Q1634" t="str">
        <f>CHOOSE(WEEKDAY(datos_siembra[[#This Row],[Date]],2),"L","M","X","J","V","S","D")</f>
        <v>V</v>
      </c>
      <c r="R1634">
        <f>WEEKNUM(datos_siembra[[#This Row],[Date]],2)-WEEKNUM(DATE(YEAR(datos_siembra[[#This Row],[Date]]),MONTH(datos_siembra[[#This Row],[Date]]),1))+1</f>
        <v>4</v>
      </c>
      <c r="S1634">
        <f>MONTH(datos_siembra[[#This Row],[Date]])</f>
        <v>9</v>
      </c>
      <c r="T1634" t="str" cm="1">
        <f t="array" ref="T1634">_xlfn.IFS(AND(N1634&lt;= 22, S1634=9), "SOWING",AND(N1634&lt;= 28, S1634=9), "COVERAGE",AND(N1634&lt;= 30, S1634=9), "FLUSH",AND(N1634&lt;= 11, S1634=10), "FLUSH",AND(N1634&lt;= 21, S1634=10), "PRODUCTION")</f>
        <v>COVERAGE</v>
      </c>
      <c r="U1634">
        <f>HOUR(datos_siembra[[#This Row],[Hour]])</f>
        <v>7</v>
      </c>
      <c r="V1634" cm="1">
        <f t="array" ref="V1634">_xlfn.IFS(AND(N1634&lt;= 22, S1634=9), N1634-7,AND(N1634&lt;= 28, S1634=9), N1634-25,AND(N1634&lt;= 30, S1634=9), N1634-28,AND(N1634&lt;= 11, S1634=10), N1634+2,AND(N1634&lt;= 21, S1634=10), N1634-11)</f>
        <v>2</v>
      </c>
    </row>
    <row r="1635" spans="1:22" x14ac:dyDescent="0.35">
      <c r="A1635" s="4">
        <v>45562</v>
      </c>
      <c r="B1635" s="5">
        <v>0.2988425925925926</v>
      </c>
      <c r="C1635">
        <v>83.1</v>
      </c>
      <c r="D1635">
        <v>80.900000000000006</v>
      </c>
      <c r="E1635">
        <v>82.7</v>
      </c>
      <c r="F1635">
        <v>82</v>
      </c>
      <c r="G1635">
        <v>0</v>
      </c>
      <c r="H1635">
        <v>0</v>
      </c>
      <c r="I1635">
        <v>0</v>
      </c>
      <c r="J1635">
        <v>0</v>
      </c>
      <c r="K1635">
        <v>74.599999999999994</v>
      </c>
      <c r="L1635">
        <v>73.599999999999994</v>
      </c>
      <c r="M1635">
        <v>82.09</v>
      </c>
      <c r="N1635">
        <v>27</v>
      </c>
      <c r="O1635">
        <v>3</v>
      </c>
      <c r="P1635">
        <f>MOD(DAY(datos_siembra[[#This Row],[Date]]),7)</f>
        <v>6</v>
      </c>
      <c r="Q1635" t="str">
        <f>CHOOSE(WEEKDAY(datos_siembra[[#This Row],[Date]],2),"L","M","X","J","V","S","D")</f>
        <v>V</v>
      </c>
      <c r="R1635">
        <f>WEEKNUM(datos_siembra[[#This Row],[Date]],2)-WEEKNUM(DATE(YEAR(datos_siembra[[#This Row],[Date]]),MONTH(datos_siembra[[#This Row],[Date]]),1))+1</f>
        <v>4</v>
      </c>
      <c r="S1635">
        <f>MONTH(datos_siembra[[#This Row],[Date]])</f>
        <v>9</v>
      </c>
      <c r="T1635" t="str" cm="1">
        <f t="array" ref="T1635">_xlfn.IFS(AND(N1635&lt;= 22, S1635=9), "SOWING",AND(N1635&lt;= 28, S1635=9), "COVERAGE",AND(N1635&lt;= 30, S1635=9), "FLUSH",AND(N1635&lt;= 11, S1635=10), "FLUSH",AND(N1635&lt;= 21, S1635=10), "PRODUCTION")</f>
        <v>COVERAGE</v>
      </c>
      <c r="U1635">
        <f>HOUR(datos_siembra[[#This Row],[Hour]])</f>
        <v>7</v>
      </c>
      <c r="V1635" cm="1">
        <f t="array" ref="V1635">_xlfn.IFS(AND(N1635&lt;= 22, S1635=9), N1635-7,AND(N1635&lt;= 28, S1635=9), N1635-25,AND(N1635&lt;= 30, S1635=9), N1635-28,AND(N1635&lt;= 11, S1635=10), N1635+2,AND(N1635&lt;= 21, S1635=10), N1635-11)</f>
        <v>2</v>
      </c>
    </row>
    <row r="1636" spans="1:22" x14ac:dyDescent="0.35">
      <c r="A1636" s="4">
        <v>45562</v>
      </c>
      <c r="B1636" s="5">
        <v>0.30578703703703702</v>
      </c>
      <c r="C1636">
        <v>83.1</v>
      </c>
      <c r="D1636">
        <v>80.900000000000006</v>
      </c>
      <c r="E1636">
        <v>82.6</v>
      </c>
      <c r="F1636">
        <v>82</v>
      </c>
      <c r="G1636">
        <v>0</v>
      </c>
      <c r="H1636">
        <v>0</v>
      </c>
      <c r="I1636">
        <v>0</v>
      </c>
      <c r="J1636">
        <v>0</v>
      </c>
      <c r="K1636">
        <v>74.599999999999994</v>
      </c>
      <c r="L1636">
        <v>73.599999999999994</v>
      </c>
      <c r="M1636">
        <v>82.15</v>
      </c>
      <c r="N1636">
        <v>27</v>
      </c>
      <c r="O1636">
        <v>3</v>
      </c>
      <c r="P1636">
        <f>MOD(DAY(datos_siembra[[#This Row],[Date]]),7)</f>
        <v>6</v>
      </c>
      <c r="Q1636" t="str">
        <f>CHOOSE(WEEKDAY(datos_siembra[[#This Row],[Date]],2),"L","M","X","J","V","S","D")</f>
        <v>V</v>
      </c>
      <c r="R1636">
        <f>WEEKNUM(datos_siembra[[#This Row],[Date]],2)-WEEKNUM(DATE(YEAR(datos_siembra[[#This Row],[Date]]),MONTH(datos_siembra[[#This Row],[Date]]),1))+1</f>
        <v>4</v>
      </c>
      <c r="S1636">
        <f>MONTH(datos_siembra[[#This Row],[Date]])</f>
        <v>9</v>
      </c>
      <c r="T1636" t="str" cm="1">
        <f t="array" ref="T1636">_xlfn.IFS(AND(N1636&lt;= 22, S1636=9), "SOWING",AND(N1636&lt;= 28, S1636=9), "COVERAGE",AND(N1636&lt;= 30, S1636=9), "FLUSH",AND(N1636&lt;= 11, S1636=10), "FLUSH",AND(N1636&lt;= 21, S1636=10), "PRODUCTION")</f>
        <v>COVERAGE</v>
      </c>
      <c r="U1636">
        <f>HOUR(datos_siembra[[#This Row],[Hour]])</f>
        <v>7</v>
      </c>
      <c r="V1636" cm="1">
        <f t="array" ref="V1636">_xlfn.IFS(AND(N1636&lt;= 22, S1636=9), N1636-7,AND(N1636&lt;= 28, S1636=9), N1636-25,AND(N1636&lt;= 30, S1636=9), N1636-28,AND(N1636&lt;= 11, S1636=10), N1636+2,AND(N1636&lt;= 21, S1636=10), N1636-11)</f>
        <v>2</v>
      </c>
    </row>
    <row r="1637" spans="1:22" x14ac:dyDescent="0.35">
      <c r="A1637" s="4">
        <v>45562</v>
      </c>
      <c r="B1637" s="5">
        <v>0.3127314814814815</v>
      </c>
      <c r="C1637">
        <v>83.1</v>
      </c>
      <c r="D1637">
        <v>81.099999999999994</v>
      </c>
      <c r="E1637">
        <v>82.9</v>
      </c>
      <c r="F1637">
        <v>82</v>
      </c>
      <c r="G1637">
        <v>0</v>
      </c>
      <c r="H1637">
        <v>0</v>
      </c>
      <c r="I1637">
        <v>0</v>
      </c>
      <c r="J1637">
        <v>0</v>
      </c>
      <c r="K1637">
        <v>74.8</v>
      </c>
      <c r="L1637">
        <v>73.599999999999994</v>
      </c>
      <c r="M1637">
        <v>82.23</v>
      </c>
      <c r="N1637">
        <v>27</v>
      </c>
      <c r="O1637">
        <v>3</v>
      </c>
      <c r="P1637">
        <f>MOD(DAY(datos_siembra[[#This Row],[Date]]),7)</f>
        <v>6</v>
      </c>
      <c r="Q1637" t="str">
        <f>CHOOSE(WEEKDAY(datos_siembra[[#This Row],[Date]],2),"L","M","X","J","V","S","D")</f>
        <v>V</v>
      </c>
      <c r="R1637">
        <f>WEEKNUM(datos_siembra[[#This Row],[Date]],2)-WEEKNUM(DATE(YEAR(datos_siembra[[#This Row],[Date]]),MONTH(datos_siembra[[#This Row],[Date]]),1))+1</f>
        <v>4</v>
      </c>
      <c r="S1637">
        <f>MONTH(datos_siembra[[#This Row],[Date]])</f>
        <v>9</v>
      </c>
      <c r="T1637" t="str" cm="1">
        <f t="array" ref="T1637">_xlfn.IFS(AND(N1637&lt;= 22, S1637=9), "SOWING",AND(N1637&lt;= 28, S1637=9), "COVERAGE",AND(N1637&lt;= 30, S1637=9), "FLUSH",AND(N1637&lt;= 11, S1637=10), "FLUSH",AND(N1637&lt;= 21, S1637=10), "PRODUCTION")</f>
        <v>COVERAGE</v>
      </c>
      <c r="U1637">
        <f>HOUR(datos_siembra[[#This Row],[Hour]])</f>
        <v>7</v>
      </c>
      <c r="V1637" cm="1">
        <f t="array" ref="V1637">_xlfn.IFS(AND(N1637&lt;= 22, S1637=9), N1637-7,AND(N1637&lt;= 28, S1637=9), N1637-25,AND(N1637&lt;= 30, S1637=9), N1637-28,AND(N1637&lt;= 11, S1637=10), N1637+2,AND(N1637&lt;= 21, S1637=10), N1637-11)</f>
        <v>2</v>
      </c>
    </row>
    <row r="1638" spans="1:22" x14ac:dyDescent="0.35">
      <c r="A1638" s="4">
        <v>45562</v>
      </c>
      <c r="B1638" s="5">
        <v>0.31968750000000001</v>
      </c>
      <c r="C1638">
        <v>83.1</v>
      </c>
      <c r="D1638">
        <v>80.900000000000006</v>
      </c>
      <c r="E1638">
        <v>82.7</v>
      </c>
      <c r="F1638">
        <v>82</v>
      </c>
      <c r="G1638">
        <v>0</v>
      </c>
      <c r="H1638">
        <v>0</v>
      </c>
      <c r="I1638">
        <v>0</v>
      </c>
      <c r="J1638">
        <v>0</v>
      </c>
      <c r="K1638">
        <v>74.8</v>
      </c>
      <c r="L1638">
        <v>73.599999999999994</v>
      </c>
      <c r="M1638">
        <v>82.18</v>
      </c>
      <c r="N1638">
        <v>27</v>
      </c>
      <c r="O1638">
        <v>3</v>
      </c>
      <c r="P1638">
        <f>MOD(DAY(datos_siembra[[#This Row],[Date]]),7)</f>
        <v>6</v>
      </c>
      <c r="Q1638" t="str">
        <f>CHOOSE(WEEKDAY(datos_siembra[[#This Row],[Date]],2),"L","M","X","J","V","S","D")</f>
        <v>V</v>
      </c>
      <c r="R1638">
        <f>WEEKNUM(datos_siembra[[#This Row],[Date]],2)-WEEKNUM(DATE(YEAR(datos_siembra[[#This Row],[Date]]),MONTH(datos_siembra[[#This Row],[Date]]),1))+1</f>
        <v>4</v>
      </c>
      <c r="S1638">
        <f>MONTH(datos_siembra[[#This Row],[Date]])</f>
        <v>9</v>
      </c>
      <c r="T1638" t="str" cm="1">
        <f t="array" ref="T1638">_xlfn.IFS(AND(N1638&lt;= 22, S1638=9), "SOWING",AND(N1638&lt;= 28, S1638=9), "COVERAGE",AND(N1638&lt;= 30, S1638=9), "FLUSH",AND(N1638&lt;= 11, S1638=10), "FLUSH",AND(N1638&lt;= 21, S1638=10), "PRODUCTION")</f>
        <v>COVERAGE</v>
      </c>
      <c r="U1638">
        <f>HOUR(datos_siembra[[#This Row],[Hour]])</f>
        <v>7</v>
      </c>
      <c r="V1638" cm="1">
        <f t="array" ref="V1638">_xlfn.IFS(AND(N1638&lt;= 22, S1638=9), N1638-7,AND(N1638&lt;= 28, S1638=9), N1638-25,AND(N1638&lt;= 30, S1638=9), N1638-28,AND(N1638&lt;= 11, S1638=10), N1638+2,AND(N1638&lt;= 21, S1638=10), N1638-11)</f>
        <v>2</v>
      </c>
    </row>
    <row r="1639" spans="1:22" x14ac:dyDescent="0.35">
      <c r="A1639" s="4">
        <v>45562</v>
      </c>
      <c r="B1639" s="5">
        <v>0.32663194444444443</v>
      </c>
      <c r="C1639">
        <v>83.2</v>
      </c>
      <c r="D1639">
        <v>80.900000000000006</v>
      </c>
      <c r="E1639">
        <v>82.7</v>
      </c>
      <c r="F1639">
        <v>81.8</v>
      </c>
      <c r="G1639">
        <v>0</v>
      </c>
      <c r="H1639">
        <v>0</v>
      </c>
      <c r="I1639">
        <v>0</v>
      </c>
      <c r="J1639">
        <v>0</v>
      </c>
      <c r="K1639">
        <v>74.8</v>
      </c>
      <c r="L1639">
        <v>73.599999999999994</v>
      </c>
      <c r="M1639">
        <v>82.18</v>
      </c>
      <c r="N1639">
        <v>27</v>
      </c>
      <c r="O1639">
        <v>3</v>
      </c>
      <c r="P1639">
        <f>MOD(DAY(datos_siembra[[#This Row],[Date]]),7)</f>
        <v>6</v>
      </c>
      <c r="Q1639" t="str">
        <f>CHOOSE(WEEKDAY(datos_siembra[[#This Row],[Date]],2),"L","M","X","J","V","S","D")</f>
        <v>V</v>
      </c>
      <c r="R1639">
        <f>WEEKNUM(datos_siembra[[#This Row],[Date]],2)-WEEKNUM(DATE(YEAR(datos_siembra[[#This Row],[Date]]),MONTH(datos_siembra[[#This Row],[Date]]),1))+1</f>
        <v>4</v>
      </c>
      <c r="S1639">
        <f>MONTH(datos_siembra[[#This Row],[Date]])</f>
        <v>9</v>
      </c>
      <c r="T1639" t="str" cm="1">
        <f t="array" ref="T1639">_xlfn.IFS(AND(N1639&lt;= 22, S1639=9), "SOWING",AND(N1639&lt;= 28, S1639=9), "COVERAGE",AND(N1639&lt;= 30, S1639=9), "FLUSH",AND(N1639&lt;= 11, S1639=10), "FLUSH",AND(N1639&lt;= 21, S1639=10), "PRODUCTION")</f>
        <v>COVERAGE</v>
      </c>
      <c r="U1639">
        <f>HOUR(datos_siembra[[#This Row],[Hour]])</f>
        <v>7</v>
      </c>
      <c r="V1639" cm="1">
        <f t="array" ref="V1639">_xlfn.IFS(AND(N1639&lt;= 22, S1639=9), N1639-7,AND(N1639&lt;= 28, S1639=9), N1639-25,AND(N1639&lt;= 30, S1639=9), N1639-28,AND(N1639&lt;= 11, S1639=10), N1639+2,AND(N1639&lt;= 21, S1639=10), N1639-11)</f>
        <v>2</v>
      </c>
    </row>
    <row r="1640" spans="1:22" x14ac:dyDescent="0.35">
      <c r="A1640" s="4">
        <v>45562</v>
      </c>
      <c r="B1640" s="5">
        <v>0.33336805555555554</v>
      </c>
      <c r="C1640">
        <v>83.1</v>
      </c>
      <c r="D1640">
        <v>80.7</v>
      </c>
      <c r="E1640">
        <v>82.6</v>
      </c>
      <c r="F1640">
        <v>81.8</v>
      </c>
      <c r="G1640">
        <v>0</v>
      </c>
      <c r="H1640">
        <v>0</v>
      </c>
      <c r="I1640">
        <v>0</v>
      </c>
      <c r="J1640">
        <v>0</v>
      </c>
      <c r="K1640">
        <v>74.900000000000006</v>
      </c>
      <c r="L1640">
        <v>73.900000000000006</v>
      </c>
      <c r="M1640">
        <v>82.06</v>
      </c>
      <c r="N1640">
        <v>27</v>
      </c>
      <c r="O1640">
        <v>3</v>
      </c>
      <c r="P1640">
        <f>MOD(DAY(datos_siembra[[#This Row],[Date]]),7)</f>
        <v>6</v>
      </c>
      <c r="Q1640" t="str">
        <f>CHOOSE(WEEKDAY(datos_siembra[[#This Row],[Date]],2),"L","M","X","J","V","S","D")</f>
        <v>V</v>
      </c>
      <c r="R1640">
        <f>WEEKNUM(datos_siembra[[#This Row],[Date]],2)-WEEKNUM(DATE(YEAR(datos_siembra[[#This Row],[Date]]),MONTH(datos_siembra[[#This Row],[Date]]),1))+1</f>
        <v>4</v>
      </c>
      <c r="S1640">
        <f>MONTH(datos_siembra[[#This Row],[Date]])</f>
        <v>9</v>
      </c>
      <c r="T1640" t="str" cm="1">
        <f t="array" ref="T1640">_xlfn.IFS(AND(N1640&lt;= 22, S1640=9), "SOWING",AND(N1640&lt;= 28, S1640=9), "COVERAGE",AND(N1640&lt;= 30, S1640=9), "FLUSH",AND(N1640&lt;= 11, S1640=10), "FLUSH",AND(N1640&lt;= 21, S1640=10), "PRODUCTION")</f>
        <v>COVERAGE</v>
      </c>
      <c r="U1640">
        <f>HOUR(datos_siembra[[#This Row],[Hour]])</f>
        <v>8</v>
      </c>
      <c r="V1640" cm="1">
        <f t="array" ref="V1640">_xlfn.IFS(AND(N1640&lt;= 22, S1640=9), N1640-7,AND(N1640&lt;= 28, S1640=9), N1640-25,AND(N1640&lt;= 30, S1640=9), N1640-28,AND(N1640&lt;= 11, S1640=10), N1640+2,AND(N1640&lt;= 21, S1640=10), N1640-11)</f>
        <v>2</v>
      </c>
    </row>
    <row r="1641" spans="1:22" x14ac:dyDescent="0.35">
      <c r="A1641" s="4">
        <v>45562</v>
      </c>
      <c r="B1641" s="5">
        <v>0.34017361111111111</v>
      </c>
      <c r="C1641">
        <v>83.1</v>
      </c>
      <c r="D1641">
        <v>80.8</v>
      </c>
      <c r="E1641">
        <v>82.7</v>
      </c>
      <c r="F1641">
        <v>82.3</v>
      </c>
      <c r="G1641">
        <v>0</v>
      </c>
      <c r="H1641">
        <v>0</v>
      </c>
      <c r="I1641">
        <v>0</v>
      </c>
      <c r="J1641">
        <v>0</v>
      </c>
      <c r="K1641">
        <v>74.900000000000006</v>
      </c>
      <c r="L1641">
        <v>73.900000000000006</v>
      </c>
      <c r="M1641">
        <v>82.12</v>
      </c>
      <c r="N1641">
        <v>27</v>
      </c>
      <c r="O1641">
        <v>3</v>
      </c>
      <c r="P1641">
        <f>MOD(DAY(datos_siembra[[#This Row],[Date]]),7)</f>
        <v>6</v>
      </c>
      <c r="Q1641" t="str">
        <f>CHOOSE(WEEKDAY(datos_siembra[[#This Row],[Date]],2),"L","M","X","J","V","S","D")</f>
        <v>V</v>
      </c>
      <c r="R1641">
        <f>WEEKNUM(datos_siembra[[#This Row],[Date]],2)-WEEKNUM(DATE(YEAR(datos_siembra[[#This Row],[Date]]),MONTH(datos_siembra[[#This Row],[Date]]),1))+1</f>
        <v>4</v>
      </c>
      <c r="S1641">
        <f>MONTH(datos_siembra[[#This Row],[Date]])</f>
        <v>9</v>
      </c>
      <c r="T1641" t="str" cm="1">
        <f t="array" ref="T1641">_xlfn.IFS(AND(N1641&lt;= 22, S1641=9), "SOWING",AND(N1641&lt;= 28, S1641=9), "COVERAGE",AND(N1641&lt;= 30, S1641=9), "FLUSH",AND(N1641&lt;= 11, S1641=10), "FLUSH",AND(N1641&lt;= 21, S1641=10), "PRODUCTION")</f>
        <v>COVERAGE</v>
      </c>
      <c r="U1641">
        <f>HOUR(datos_siembra[[#This Row],[Hour]])</f>
        <v>8</v>
      </c>
      <c r="V1641" cm="1">
        <f t="array" ref="V1641">_xlfn.IFS(AND(N1641&lt;= 22, S1641=9), N1641-7,AND(N1641&lt;= 28, S1641=9), N1641-25,AND(N1641&lt;= 30, S1641=9), N1641-28,AND(N1641&lt;= 11, S1641=10), N1641+2,AND(N1641&lt;= 21, S1641=10), N1641-11)</f>
        <v>2</v>
      </c>
    </row>
    <row r="1642" spans="1:22" x14ac:dyDescent="0.35">
      <c r="A1642" s="4">
        <v>45562</v>
      </c>
      <c r="B1642" s="5">
        <v>0.34711805555555558</v>
      </c>
      <c r="C1642">
        <v>83</v>
      </c>
      <c r="D1642">
        <v>80.7</v>
      </c>
      <c r="E1642">
        <v>82.6</v>
      </c>
      <c r="F1642">
        <v>82.1</v>
      </c>
      <c r="G1642">
        <v>0</v>
      </c>
      <c r="H1642">
        <v>0</v>
      </c>
      <c r="I1642">
        <v>0</v>
      </c>
      <c r="J1642">
        <v>0</v>
      </c>
      <c r="K1642">
        <v>74.900000000000006</v>
      </c>
      <c r="L1642">
        <v>73.900000000000006</v>
      </c>
      <c r="M1642">
        <v>82.09</v>
      </c>
      <c r="N1642">
        <v>27</v>
      </c>
      <c r="O1642">
        <v>3</v>
      </c>
      <c r="P1642">
        <f>MOD(DAY(datos_siembra[[#This Row],[Date]]),7)</f>
        <v>6</v>
      </c>
      <c r="Q1642" t="str">
        <f>CHOOSE(WEEKDAY(datos_siembra[[#This Row],[Date]],2),"L","M","X","J","V","S","D")</f>
        <v>V</v>
      </c>
      <c r="R1642">
        <f>WEEKNUM(datos_siembra[[#This Row],[Date]],2)-WEEKNUM(DATE(YEAR(datos_siembra[[#This Row],[Date]]),MONTH(datos_siembra[[#This Row],[Date]]),1))+1</f>
        <v>4</v>
      </c>
      <c r="S1642">
        <f>MONTH(datos_siembra[[#This Row],[Date]])</f>
        <v>9</v>
      </c>
      <c r="T1642" t="str" cm="1">
        <f t="array" ref="T1642">_xlfn.IFS(AND(N1642&lt;= 22, S1642=9), "SOWING",AND(N1642&lt;= 28, S1642=9), "COVERAGE",AND(N1642&lt;= 30, S1642=9), "FLUSH",AND(N1642&lt;= 11, S1642=10), "FLUSH",AND(N1642&lt;= 21, S1642=10), "PRODUCTION")</f>
        <v>COVERAGE</v>
      </c>
      <c r="U1642">
        <f>HOUR(datos_siembra[[#This Row],[Hour]])</f>
        <v>8</v>
      </c>
      <c r="V1642" cm="1">
        <f t="array" ref="V1642">_xlfn.IFS(AND(N1642&lt;= 22, S1642=9), N1642-7,AND(N1642&lt;= 28, S1642=9), N1642-25,AND(N1642&lt;= 30, S1642=9), N1642-28,AND(N1642&lt;= 11, S1642=10), N1642+2,AND(N1642&lt;= 21, S1642=10), N1642-11)</f>
        <v>2</v>
      </c>
    </row>
    <row r="1643" spans="1:22" x14ac:dyDescent="0.35">
      <c r="A1643" s="4">
        <v>45562</v>
      </c>
      <c r="B1643" s="5">
        <v>0.3540740740740741</v>
      </c>
      <c r="C1643">
        <v>83.2</v>
      </c>
      <c r="D1643">
        <v>80.7</v>
      </c>
      <c r="E1643">
        <v>82.7</v>
      </c>
      <c r="F1643">
        <v>82</v>
      </c>
      <c r="G1643">
        <v>0</v>
      </c>
      <c r="H1643">
        <v>0</v>
      </c>
      <c r="I1643">
        <v>0</v>
      </c>
      <c r="J1643">
        <v>0</v>
      </c>
      <c r="K1643">
        <v>74.900000000000006</v>
      </c>
      <c r="L1643">
        <v>73.900000000000006</v>
      </c>
      <c r="M1643">
        <v>82.12</v>
      </c>
      <c r="N1643">
        <v>27</v>
      </c>
      <c r="O1643">
        <v>3</v>
      </c>
      <c r="P1643">
        <f>MOD(DAY(datos_siembra[[#This Row],[Date]]),7)</f>
        <v>6</v>
      </c>
      <c r="Q1643" t="str">
        <f>CHOOSE(WEEKDAY(datos_siembra[[#This Row],[Date]],2),"L","M","X","J","V","S","D")</f>
        <v>V</v>
      </c>
      <c r="R1643">
        <f>WEEKNUM(datos_siembra[[#This Row],[Date]],2)-WEEKNUM(DATE(YEAR(datos_siembra[[#This Row],[Date]]),MONTH(datos_siembra[[#This Row],[Date]]),1))+1</f>
        <v>4</v>
      </c>
      <c r="S1643">
        <f>MONTH(datos_siembra[[#This Row],[Date]])</f>
        <v>9</v>
      </c>
      <c r="T1643" t="str" cm="1">
        <f t="array" ref="T1643">_xlfn.IFS(AND(N1643&lt;= 22, S1643=9), "SOWING",AND(N1643&lt;= 28, S1643=9), "COVERAGE",AND(N1643&lt;= 30, S1643=9), "FLUSH",AND(N1643&lt;= 11, S1643=10), "FLUSH",AND(N1643&lt;= 21, S1643=10), "PRODUCTION")</f>
        <v>COVERAGE</v>
      </c>
      <c r="U1643">
        <f>HOUR(datos_siembra[[#This Row],[Hour]])</f>
        <v>8</v>
      </c>
      <c r="V1643" cm="1">
        <f t="array" ref="V1643">_xlfn.IFS(AND(N1643&lt;= 22, S1643=9), N1643-7,AND(N1643&lt;= 28, S1643=9), N1643-25,AND(N1643&lt;= 30, S1643=9), N1643-28,AND(N1643&lt;= 11, S1643=10), N1643+2,AND(N1643&lt;= 21, S1643=10), N1643-11)</f>
        <v>2</v>
      </c>
    </row>
    <row r="1644" spans="1:22" x14ac:dyDescent="0.35">
      <c r="A1644" s="4">
        <v>45562</v>
      </c>
      <c r="B1644" s="5">
        <v>0.36101851851851852</v>
      </c>
      <c r="C1644">
        <v>83.1</v>
      </c>
      <c r="D1644">
        <v>80.7</v>
      </c>
      <c r="E1644">
        <v>82.7</v>
      </c>
      <c r="F1644">
        <v>82.1</v>
      </c>
      <c r="G1644">
        <v>0</v>
      </c>
      <c r="H1644">
        <v>0</v>
      </c>
      <c r="I1644">
        <v>0</v>
      </c>
      <c r="J1644">
        <v>0</v>
      </c>
      <c r="K1644">
        <v>74.900000000000006</v>
      </c>
      <c r="L1644">
        <v>73.900000000000006</v>
      </c>
      <c r="M1644">
        <v>82.23</v>
      </c>
      <c r="N1644">
        <v>27</v>
      </c>
      <c r="O1644">
        <v>3</v>
      </c>
      <c r="P1644">
        <f>MOD(DAY(datos_siembra[[#This Row],[Date]]),7)</f>
        <v>6</v>
      </c>
      <c r="Q1644" t="str">
        <f>CHOOSE(WEEKDAY(datos_siembra[[#This Row],[Date]],2),"L","M","X","J","V","S","D")</f>
        <v>V</v>
      </c>
      <c r="R1644">
        <f>WEEKNUM(datos_siembra[[#This Row],[Date]],2)-WEEKNUM(DATE(YEAR(datos_siembra[[#This Row],[Date]]),MONTH(datos_siembra[[#This Row],[Date]]),1))+1</f>
        <v>4</v>
      </c>
      <c r="S1644">
        <f>MONTH(datos_siembra[[#This Row],[Date]])</f>
        <v>9</v>
      </c>
      <c r="T1644" t="str" cm="1">
        <f t="array" ref="T1644">_xlfn.IFS(AND(N1644&lt;= 22, S1644=9), "SOWING",AND(N1644&lt;= 28, S1644=9), "COVERAGE",AND(N1644&lt;= 30, S1644=9), "FLUSH",AND(N1644&lt;= 11, S1644=10), "FLUSH",AND(N1644&lt;= 21, S1644=10), "PRODUCTION")</f>
        <v>COVERAGE</v>
      </c>
      <c r="U1644">
        <f>HOUR(datos_siembra[[#This Row],[Hour]])</f>
        <v>8</v>
      </c>
      <c r="V1644" cm="1">
        <f t="array" ref="V1644">_xlfn.IFS(AND(N1644&lt;= 22, S1644=9), N1644-7,AND(N1644&lt;= 28, S1644=9), N1644-25,AND(N1644&lt;= 30, S1644=9), N1644-28,AND(N1644&lt;= 11, S1644=10), N1644+2,AND(N1644&lt;= 21, S1644=10), N1644-11)</f>
        <v>2</v>
      </c>
    </row>
    <row r="1645" spans="1:22" x14ac:dyDescent="0.35">
      <c r="A1645" s="4">
        <v>45562</v>
      </c>
      <c r="B1645" s="5">
        <v>0.36796296296296294</v>
      </c>
      <c r="C1645">
        <v>83.2</v>
      </c>
      <c r="D1645">
        <v>80.7</v>
      </c>
      <c r="E1645">
        <v>82.7</v>
      </c>
      <c r="F1645">
        <v>82.2</v>
      </c>
      <c r="G1645">
        <v>0</v>
      </c>
      <c r="H1645">
        <v>0</v>
      </c>
      <c r="I1645">
        <v>0</v>
      </c>
      <c r="J1645">
        <v>0</v>
      </c>
      <c r="K1645">
        <v>75</v>
      </c>
      <c r="L1645">
        <v>73.900000000000006</v>
      </c>
      <c r="M1645">
        <v>82.23</v>
      </c>
      <c r="N1645">
        <v>27</v>
      </c>
      <c r="O1645">
        <v>3</v>
      </c>
      <c r="P1645">
        <f>MOD(DAY(datos_siembra[[#This Row],[Date]]),7)</f>
        <v>6</v>
      </c>
      <c r="Q1645" t="str">
        <f>CHOOSE(WEEKDAY(datos_siembra[[#This Row],[Date]],2),"L","M","X","J","V","S","D")</f>
        <v>V</v>
      </c>
      <c r="R1645">
        <f>WEEKNUM(datos_siembra[[#This Row],[Date]],2)-WEEKNUM(DATE(YEAR(datos_siembra[[#This Row],[Date]]),MONTH(datos_siembra[[#This Row],[Date]]),1))+1</f>
        <v>4</v>
      </c>
      <c r="S1645">
        <f>MONTH(datos_siembra[[#This Row],[Date]])</f>
        <v>9</v>
      </c>
      <c r="T1645" t="str" cm="1">
        <f t="array" ref="T1645">_xlfn.IFS(AND(N1645&lt;= 22, S1645=9), "SOWING",AND(N1645&lt;= 28, S1645=9), "COVERAGE",AND(N1645&lt;= 30, S1645=9), "FLUSH",AND(N1645&lt;= 11, S1645=10), "FLUSH",AND(N1645&lt;= 21, S1645=10), "PRODUCTION")</f>
        <v>COVERAGE</v>
      </c>
      <c r="U1645">
        <f>HOUR(datos_siembra[[#This Row],[Hour]])</f>
        <v>8</v>
      </c>
      <c r="V1645" cm="1">
        <f t="array" ref="V1645">_xlfn.IFS(AND(N1645&lt;= 22, S1645=9), N1645-7,AND(N1645&lt;= 28, S1645=9), N1645-25,AND(N1645&lt;= 30, S1645=9), N1645-28,AND(N1645&lt;= 11, S1645=10), N1645+2,AND(N1645&lt;= 21, S1645=10), N1645-11)</f>
        <v>2</v>
      </c>
    </row>
    <row r="1646" spans="1:22" x14ac:dyDescent="0.35">
      <c r="A1646" s="4">
        <v>45562</v>
      </c>
      <c r="B1646" s="5">
        <v>0.37490740740740741</v>
      </c>
      <c r="C1646">
        <v>83.2</v>
      </c>
      <c r="D1646">
        <v>80.8</v>
      </c>
      <c r="E1646">
        <v>82.9</v>
      </c>
      <c r="F1646">
        <v>82.1</v>
      </c>
      <c r="G1646">
        <v>0</v>
      </c>
      <c r="H1646">
        <v>0</v>
      </c>
      <c r="I1646">
        <v>0</v>
      </c>
      <c r="J1646">
        <v>0</v>
      </c>
      <c r="K1646">
        <v>75</v>
      </c>
      <c r="L1646">
        <v>73.099999999999994</v>
      </c>
      <c r="M1646">
        <v>82.2</v>
      </c>
      <c r="N1646">
        <v>27</v>
      </c>
      <c r="O1646">
        <v>3</v>
      </c>
      <c r="P1646">
        <f>MOD(DAY(datos_siembra[[#This Row],[Date]]),7)</f>
        <v>6</v>
      </c>
      <c r="Q1646" t="str">
        <f>CHOOSE(WEEKDAY(datos_siembra[[#This Row],[Date]],2),"L","M","X","J","V","S","D")</f>
        <v>V</v>
      </c>
      <c r="R1646">
        <f>WEEKNUM(datos_siembra[[#This Row],[Date]],2)-WEEKNUM(DATE(YEAR(datos_siembra[[#This Row],[Date]]),MONTH(datos_siembra[[#This Row],[Date]]),1))+1</f>
        <v>4</v>
      </c>
      <c r="S1646">
        <f>MONTH(datos_siembra[[#This Row],[Date]])</f>
        <v>9</v>
      </c>
      <c r="T1646" t="str" cm="1">
        <f t="array" ref="T1646">_xlfn.IFS(AND(N1646&lt;= 22, S1646=9), "SOWING",AND(N1646&lt;= 28, S1646=9), "COVERAGE",AND(N1646&lt;= 30, S1646=9), "FLUSH",AND(N1646&lt;= 11, S1646=10), "FLUSH",AND(N1646&lt;= 21, S1646=10), "PRODUCTION")</f>
        <v>COVERAGE</v>
      </c>
      <c r="U1646">
        <f>HOUR(datos_siembra[[#This Row],[Hour]])</f>
        <v>8</v>
      </c>
      <c r="V1646" cm="1">
        <f t="array" ref="V1646">_xlfn.IFS(AND(N1646&lt;= 22, S1646=9), N1646-7,AND(N1646&lt;= 28, S1646=9), N1646-25,AND(N1646&lt;= 30, S1646=9), N1646-28,AND(N1646&lt;= 11, S1646=10), N1646+2,AND(N1646&lt;= 21, S1646=10), N1646-11)</f>
        <v>2</v>
      </c>
    </row>
    <row r="1647" spans="1:22" x14ac:dyDescent="0.35">
      <c r="A1647" s="4">
        <v>45562</v>
      </c>
      <c r="B1647" s="5">
        <v>0.38186342592592593</v>
      </c>
      <c r="C1647">
        <v>83.2</v>
      </c>
      <c r="D1647">
        <v>80.7</v>
      </c>
      <c r="E1647">
        <v>83</v>
      </c>
      <c r="F1647">
        <v>82.2</v>
      </c>
      <c r="G1647">
        <v>0</v>
      </c>
      <c r="H1647">
        <v>0</v>
      </c>
      <c r="I1647">
        <v>0</v>
      </c>
      <c r="J1647">
        <v>0</v>
      </c>
      <c r="K1647">
        <v>74.900000000000006</v>
      </c>
      <c r="L1647">
        <v>73.3</v>
      </c>
      <c r="M1647">
        <v>82.23</v>
      </c>
      <c r="N1647">
        <v>27</v>
      </c>
      <c r="O1647">
        <v>3</v>
      </c>
      <c r="P1647">
        <f>MOD(DAY(datos_siembra[[#This Row],[Date]]),7)</f>
        <v>6</v>
      </c>
      <c r="Q1647" t="str">
        <f>CHOOSE(WEEKDAY(datos_siembra[[#This Row],[Date]],2),"L","M","X","J","V","S","D")</f>
        <v>V</v>
      </c>
      <c r="R1647">
        <f>WEEKNUM(datos_siembra[[#This Row],[Date]],2)-WEEKNUM(DATE(YEAR(datos_siembra[[#This Row],[Date]]),MONTH(datos_siembra[[#This Row],[Date]]),1))+1</f>
        <v>4</v>
      </c>
      <c r="S1647">
        <f>MONTH(datos_siembra[[#This Row],[Date]])</f>
        <v>9</v>
      </c>
      <c r="T1647" t="str" cm="1">
        <f t="array" ref="T1647">_xlfn.IFS(AND(N1647&lt;= 22, S1647=9), "SOWING",AND(N1647&lt;= 28, S1647=9), "COVERAGE",AND(N1647&lt;= 30, S1647=9), "FLUSH",AND(N1647&lt;= 11, S1647=10), "FLUSH",AND(N1647&lt;= 21, S1647=10), "PRODUCTION")</f>
        <v>COVERAGE</v>
      </c>
      <c r="U1647">
        <f>HOUR(datos_siembra[[#This Row],[Hour]])</f>
        <v>9</v>
      </c>
      <c r="V1647" cm="1">
        <f t="array" ref="V1647">_xlfn.IFS(AND(N1647&lt;= 22, S1647=9), N1647-7,AND(N1647&lt;= 28, S1647=9), N1647-25,AND(N1647&lt;= 30, S1647=9), N1647-28,AND(N1647&lt;= 11, S1647=10), N1647+2,AND(N1647&lt;= 21, S1647=10), N1647-11)</f>
        <v>2</v>
      </c>
    </row>
    <row r="1648" spans="1:22" x14ac:dyDescent="0.35">
      <c r="A1648" s="4">
        <v>45562</v>
      </c>
      <c r="B1648" s="5">
        <v>0.38880787037037035</v>
      </c>
      <c r="C1648">
        <v>83.2</v>
      </c>
      <c r="D1648">
        <v>80.7</v>
      </c>
      <c r="E1648">
        <v>83</v>
      </c>
      <c r="F1648">
        <v>82.1</v>
      </c>
      <c r="G1648">
        <v>0</v>
      </c>
      <c r="H1648">
        <v>0</v>
      </c>
      <c r="I1648">
        <v>0</v>
      </c>
      <c r="J1648">
        <v>0</v>
      </c>
      <c r="K1648">
        <v>75</v>
      </c>
      <c r="L1648">
        <v>73.5</v>
      </c>
      <c r="M1648">
        <v>82.2</v>
      </c>
      <c r="N1648">
        <v>27</v>
      </c>
      <c r="O1648">
        <v>3</v>
      </c>
      <c r="P1648">
        <f>MOD(DAY(datos_siembra[[#This Row],[Date]]),7)</f>
        <v>6</v>
      </c>
      <c r="Q1648" t="str">
        <f>CHOOSE(WEEKDAY(datos_siembra[[#This Row],[Date]],2),"L","M","X","J","V","S","D")</f>
        <v>V</v>
      </c>
      <c r="R1648">
        <f>WEEKNUM(datos_siembra[[#This Row],[Date]],2)-WEEKNUM(DATE(YEAR(datos_siembra[[#This Row],[Date]]),MONTH(datos_siembra[[#This Row],[Date]]),1))+1</f>
        <v>4</v>
      </c>
      <c r="S1648">
        <f>MONTH(datos_siembra[[#This Row],[Date]])</f>
        <v>9</v>
      </c>
      <c r="T1648" t="str" cm="1">
        <f t="array" ref="T1648">_xlfn.IFS(AND(N1648&lt;= 22, S1648=9), "SOWING",AND(N1648&lt;= 28, S1648=9), "COVERAGE",AND(N1648&lt;= 30, S1648=9), "FLUSH",AND(N1648&lt;= 11, S1648=10), "FLUSH",AND(N1648&lt;= 21, S1648=10), "PRODUCTION")</f>
        <v>COVERAGE</v>
      </c>
      <c r="U1648">
        <f>HOUR(datos_siembra[[#This Row],[Hour]])</f>
        <v>9</v>
      </c>
      <c r="V1648" cm="1">
        <f t="array" ref="V1648">_xlfn.IFS(AND(N1648&lt;= 22, S1648=9), N1648-7,AND(N1648&lt;= 28, S1648=9), N1648-25,AND(N1648&lt;= 30, S1648=9), N1648-28,AND(N1648&lt;= 11, S1648=10), N1648+2,AND(N1648&lt;= 21, S1648=10), N1648-11)</f>
        <v>2</v>
      </c>
    </row>
    <row r="1649" spans="1:22" x14ac:dyDescent="0.35">
      <c r="A1649" s="4">
        <v>45562</v>
      </c>
      <c r="B1649" s="5">
        <v>0.39575231481481482</v>
      </c>
      <c r="C1649">
        <v>83.1</v>
      </c>
      <c r="D1649">
        <v>80.7</v>
      </c>
      <c r="E1649">
        <v>82.9</v>
      </c>
      <c r="F1649">
        <v>82</v>
      </c>
      <c r="G1649">
        <v>0</v>
      </c>
      <c r="H1649">
        <v>0</v>
      </c>
      <c r="I1649">
        <v>0</v>
      </c>
      <c r="J1649">
        <v>0</v>
      </c>
      <c r="K1649">
        <v>75</v>
      </c>
      <c r="L1649">
        <v>73.400000000000006</v>
      </c>
      <c r="M1649">
        <v>82.23</v>
      </c>
      <c r="N1649">
        <v>27</v>
      </c>
      <c r="O1649">
        <v>3</v>
      </c>
      <c r="P1649">
        <f>MOD(DAY(datos_siembra[[#This Row],[Date]]),7)</f>
        <v>6</v>
      </c>
      <c r="Q1649" t="str">
        <f>CHOOSE(WEEKDAY(datos_siembra[[#This Row],[Date]],2),"L","M","X","J","V","S","D")</f>
        <v>V</v>
      </c>
      <c r="R1649">
        <f>WEEKNUM(datos_siembra[[#This Row],[Date]],2)-WEEKNUM(DATE(YEAR(datos_siembra[[#This Row],[Date]]),MONTH(datos_siembra[[#This Row],[Date]]),1))+1</f>
        <v>4</v>
      </c>
      <c r="S1649">
        <f>MONTH(datos_siembra[[#This Row],[Date]])</f>
        <v>9</v>
      </c>
      <c r="T1649" t="str" cm="1">
        <f t="array" ref="T1649">_xlfn.IFS(AND(N1649&lt;= 22, S1649=9), "SOWING",AND(N1649&lt;= 28, S1649=9), "COVERAGE",AND(N1649&lt;= 30, S1649=9), "FLUSH",AND(N1649&lt;= 11, S1649=10), "FLUSH",AND(N1649&lt;= 21, S1649=10), "PRODUCTION")</f>
        <v>COVERAGE</v>
      </c>
      <c r="U1649">
        <f>HOUR(datos_siembra[[#This Row],[Hour]])</f>
        <v>9</v>
      </c>
      <c r="V1649" cm="1">
        <f t="array" ref="V1649">_xlfn.IFS(AND(N1649&lt;= 22, S1649=9), N1649-7,AND(N1649&lt;= 28, S1649=9), N1649-25,AND(N1649&lt;= 30, S1649=9), N1649-28,AND(N1649&lt;= 11, S1649=10), N1649+2,AND(N1649&lt;= 21, S1649=10), N1649-11)</f>
        <v>2</v>
      </c>
    </row>
    <row r="1650" spans="1:22" x14ac:dyDescent="0.35">
      <c r="A1650" s="4">
        <v>45562</v>
      </c>
      <c r="B1650" s="5">
        <v>0.40270833333333333</v>
      </c>
      <c r="C1650">
        <v>83.2</v>
      </c>
      <c r="D1650">
        <v>80.8</v>
      </c>
      <c r="E1650">
        <v>83</v>
      </c>
      <c r="F1650">
        <v>82.1</v>
      </c>
      <c r="G1650">
        <v>0</v>
      </c>
      <c r="H1650">
        <v>0</v>
      </c>
      <c r="I1650">
        <v>0</v>
      </c>
      <c r="J1650">
        <v>0</v>
      </c>
      <c r="K1650">
        <v>75</v>
      </c>
      <c r="L1650">
        <v>73.599999999999994</v>
      </c>
      <c r="M1650">
        <v>82.2</v>
      </c>
      <c r="N1650">
        <v>27</v>
      </c>
      <c r="O1650">
        <v>3</v>
      </c>
      <c r="P1650">
        <f>MOD(DAY(datos_siembra[[#This Row],[Date]]),7)</f>
        <v>6</v>
      </c>
      <c r="Q1650" t="str">
        <f>CHOOSE(WEEKDAY(datos_siembra[[#This Row],[Date]],2),"L","M","X","J","V","S","D")</f>
        <v>V</v>
      </c>
      <c r="R1650">
        <f>WEEKNUM(datos_siembra[[#This Row],[Date]],2)-WEEKNUM(DATE(YEAR(datos_siembra[[#This Row],[Date]]),MONTH(datos_siembra[[#This Row],[Date]]),1))+1</f>
        <v>4</v>
      </c>
      <c r="S1650">
        <f>MONTH(datos_siembra[[#This Row],[Date]])</f>
        <v>9</v>
      </c>
      <c r="T1650" t="str" cm="1">
        <f t="array" ref="T1650">_xlfn.IFS(AND(N1650&lt;= 22, S1650=9), "SOWING",AND(N1650&lt;= 28, S1650=9), "COVERAGE",AND(N1650&lt;= 30, S1650=9), "FLUSH",AND(N1650&lt;= 11, S1650=10), "FLUSH",AND(N1650&lt;= 21, S1650=10), "PRODUCTION")</f>
        <v>COVERAGE</v>
      </c>
      <c r="U1650">
        <f>HOUR(datos_siembra[[#This Row],[Hour]])</f>
        <v>9</v>
      </c>
      <c r="V1650" cm="1">
        <f t="array" ref="V1650">_xlfn.IFS(AND(N1650&lt;= 22, S1650=9), N1650-7,AND(N1650&lt;= 28, S1650=9), N1650-25,AND(N1650&lt;= 30, S1650=9), N1650-28,AND(N1650&lt;= 11, S1650=10), N1650+2,AND(N1650&lt;= 21, S1650=10), N1650-11)</f>
        <v>2</v>
      </c>
    </row>
    <row r="1651" spans="1:22" x14ac:dyDescent="0.35">
      <c r="A1651" s="4">
        <v>45562</v>
      </c>
      <c r="B1651" s="5">
        <v>0.40965277777777775</v>
      </c>
      <c r="C1651">
        <v>83.1</v>
      </c>
      <c r="D1651">
        <v>80.7</v>
      </c>
      <c r="E1651">
        <v>83</v>
      </c>
      <c r="F1651">
        <v>82.1</v>
      </c>
      <c r="G1651">
        <v>0</v>
      </c>
      <c r="H1651">
        <v>0</v>
      </c>
      <c r="I1651">
        <v>0</v>
      </c>
      <c r="J1651">
        <v>0</v>
      </c>
      <c r="K1651">
        <v>75.099999999999994</v>
      </c>
      <c r="L1651">
        <v>73.599999999999994</v>
      </c>
      <c r="M1651">
        <v>82.2</v>
      </c>
      <c r="N1651">
        <v>27</v>
      </c>
      <c r="O1651">
        <v>3</v>
      </c>
      <c r="P1651">
        <f>MOD(DAY(datos_siembra[[#This Row],[Date]]),7)</f>
        <v>6</v>
      </c>
      <c r="Q1651" t="str">
        <f>CHOOSE(WEEKDAY(datos_siembra[[#This Row],[Date]],2),"L","M","X","J","V","S","D")</f>
        <v>V</v>
      </c>
      <c r="R1651">
        <f>WEEKNUM(datos_siembra[[#This Row],[Date]],2)-WEEKNUM(DATE(YEAR(datos_siembra[[#This Row],[Date]]),MONTH(datos_siembra[[#This Row],[Date]]),1))+1</f>
        <v>4</v>
      </c>
      <c r="S1651">
        <f>MONTH(datos_siembra[[#This Row],[Date]])</f>
        <v>9</v>
      </c>
      <c r="T1651" t="str" cm="1">
        <f t="array" ref="T1651">_xlfn.IFS(AND(N1651&lt;= 22, S1651=9), "SOWING",AND(N1651&lt;= 28, S1651=9), "COVERAGE",AND(N1651&lt;= 30, S1651=9), "FLUSH",AND(N1651&lt;= 11, S1651=10), "FLUSH",AND(N1651&lt;= 21, S1651=10), "PRODUCTION")</f>
        <v>COVERAGE</v>
      </c>
      <c r="U1651">
        <f>HOUR(datos_siembra[[#This Row],[Hour]])</f>
        <v>9</v>
      </c>
      <c r="V1651" cm="1">
        <f t="array" ref="V1651">_xlfn.IFS(AND(N1651&lt;= 22, S1651=9), N1651-7,AND(N1651&lt;= 28, S1651=9), N1651-25,AND(N1651&lt;= 30, S1651=9), N1651-28,AND(N1651&lt;= 11, S1651=10), N1651+2,AND(N1651&lt;= 21, S1651=10), N1651-11)</f>
        <v>2</v>
      </c>
    </row>
    <row r="1652" spans="1:22" x14ac:dyDescent="0.35">
      <c r="A1652" s="4">
        <v>45562</v>
      </c>
      <c r="B1652" s="5">
        <v>0.41659722222222223</v>
      </c>
      <c r="C1652">
        <v>83.3</v>
      </c>
      <c r="D1652">
        <v>80.900000000000006</v>
      </c>
      <c r="E1652">
        <v>83.1</v>
      </c>
      <c r="F1652">
        <v>82.2</v>
      </c>
      <c r="G1652">
        <v>0</v>
      </c>
      <c r="H1652">
        <v>0</v>
      </c>
      <c r="I1652">
        <v>0</v>
      </c>
      <c r="J1652">
        <v>0</v>
      </c>
      <c r="K1652">
        <v>75.2</v>
      </c>
      <c r="L1652">
        <v>73.599999999999994</v>
      </c>
      <c r="M1652">
        <v>82.26</v>
      </c>
      <c r="N1652">
        <v>27</v>
      </c>
      <c r="O1652">
        <v>3</v>
      </c>
      <c r="P1652">
        <f>MOD(DAY(datos_siembra[[#This Row],[Date]]),7)</f>
        <v>6</v>
      </c>
      <c r="Q1652" t="str">
        <f>CHOOSE(WEEKDAY(datos_siembra[[#This Row],[Date]],2),"L","M","X","J","V","S","D")</f>
        <v>V</v>
      </c>
      <c r="R1652">
        <f>WEEKNUM(datos_siembra[[#This Row],[Date]],2)-WEEKNUM(DATE(YEAR(datos_siembra[[#This Row],[Date]]),MONTH(datos_siembra[[#This Row],[Date]]),1))+1</f>
        <v>4</v>
      </c>
      <c r="S1652">
        <f>MONTH(datos_siembra[[#This Row],[Date]])</f>
        <v>9</v>
      </c>
      <c r="T1652" t="str" cm="1">
        <f t="array" ref="T1652">_xlfn.IFS(AND(N1652&lt;= 22, S1652=9), "SOWING",AND(N1652&lt;= 28, S1652=9), "COVERAGE",AND(N1652&lt;= 30, S1652=9), "FLUSH",AND(N1652&lt;= 11, S1652=10), "FLUSH",AND(N1652&lt;= 21, S1652=10), "PRODUCTION")</f>
        <v>COVERAGE</v>
      </c>
      <c r="U1652">
        <f>HOUR(datos_siembra[[#This Row],[Hour]])</f>
        <v>9</v>
      </c>
      <c r="V1652" cm="1">
        <f t="array" ref="V1652">_xlfn.IFS(AND(N1652&lt;= 22, S1652=9), N1652-7,AND(N1652&lt;= 28, S1652=9), N1652-25,AND(N1652&lt;= 30, S1652=9), N1652-28,AND(N1652&lt;= 11, S1652=10), N1652+2,AND(N1652&lt;= 21, S1652=10), N1652-11)</f>
        <v>2</v>
      </c>
    </row>
    <row r="1653" spans="1:22" x14ac:dyDescent="0.35">
      <c r="A1653" s="4">
        <v>45562</v>
      </c>
      <c r="B1653" s="5">
        <v>0.42355324074074074</v>
      </c>
      <c r="C1653">
        <v>83.1</v>
      </c>
      <c r="D1653">
        <v>80.7</v>
      </c>
      <c r="E1653">
        <v>83.1</v>
      </c>
      <c r="F1653">
        <v>82.2</v>
      </c>
      <c r="G1653">
        <v>0</v>
      </c>
      <c r="H1653">
        <v>0</v>
      </c>
      <c r="I1653">
        <v>0</v>
      </c>
      <c r="J1653">
        <v>0</v>
      </c>
      <c r="K1653">
        <v>75.2</v>
      </c>
      <c r="L1653">
        <v>73.599999999999994</v>
      </c>
      <c r="M1653">
        <v>82.26</v>
      </c>
      <c r="N1653">
        <v>27</v>
      </c>
      <c r="O1653">
        <v>3</v>
      </c>
      <c r="P1653">
        <f>MOD(DAY(datos_siembra[[#This Row],[Date]]),7)</f>
        <v>6</v>
      </c>
      <c r="Q1653" t="str">
        <f>CHOOSE(WEEKDAY(datos_siembra[[#This Row],[Date]],2),"L","M","X","J","V","S","D")</f>
        <v>V</v>
      </c>
      <c r="R1653">
        <f>WEEKNUM(datos_siembra[[#This Row],[Date]],2)-WEEKNUM(DATE(YEAR(datos_siembra[[#This Row],[Date]]),MONTH(datos_siembra[[#This Row],[Date]]),1))+1</f>
        <v>4</v>
      </c>
      <c r="S1653">
        <f>MONTH(datos_siembra[[#This Row],[Date]])</f>
        <v>9</v>
      </c>
      <c r="T1653" t="str" cm="1">
        <f t="array" ref="T1653">_xlfn.IFS(AND(N1653&lt;= 22, S1653=9), "SOWING",AND(N1653&lt;= 28, S1653=9), "COVERAGE",AND(N1653&lt;= 30, S1653=9), "FLUSH",AND(N1653&lt;= 11, S1653=10), "FLUSH",AND(N1653&lt;= 21, S1653=10), "PRODUCTION")</f>
        <v>COVERAGE</v>
      </c>
      <c r="U1653">
        <f>HOUR(datos_siembra[[#This Row],[Hour]])</f>
        <v>10</v>
      </c>
      <c r="V1653" cm="1">
        <f t="array" ref="V1653">_xlfn.IFS(AND(N1653&lt;= 22, S1653=9), N1653-7,AND(N1653&lt;= 28, S1653=9), N1653-25,AND(N1653&lt;= 30, S1653=9), N1653-28,AND(N1653&lt;= 11, S1653=10), N1653+2,AND(N1653&lt;= 21, S1653=10), N1653-11)</f>
        <v>2</v>
      </c>
    </row>
    <row r="1654" spans="1:22" x14ac:dyDescent="0.35">
      <c r="A1654" s="4">
        <v>45562</v>
      </c>
      <c r="B1654" s="5">
        <v>0.43049768518518516</v>
      </c>
      <c r="C1654">
        <v>83.2</v>
      </c>
      <c r="D1654">
        <v>80.7</v>
      </c>
      <c r="E1654">
        <v>83.2</v>
      </c>
      <c r="F1654">
        <v>82.1</v>
      </c>
      <c r="G1654">
        <v>0</v>
      </c>
      <c r="H1654">
        <v>0</v>
      </c>
      <c r="I1654">
        <v>0</v>
      </c>
      <c r="J1654">
        <v>0</v>
      </c>
      <c r="K1654">
        <v>75.2</v>
      </c>
      <c r="L1654">
        <v>73.7</v>
      </c>
      <c r="M1654">
        <v>82.32</v>
      </c>
      <c r="N1654">
        <v>27</v>
      </c>
      <c r="O1654">
        <v>3</v>
      </c>
      <c r="P1654">
        <f>MOD(DAY(datos_siembra[[#This Row],[Date]]),7)</f>
        <v>6</v>
      </c>
      <c r="Q1654" t="str">
        <f>CHOOSE(WEEKDAY(datos_siembra[[#This Row],[Date]],2),"L","M","X","J","V","S","D")</f>
        <v>V</v>
      </c>
      <c r="R1654">
        <f>WEEKNUM(datos_siembra[[#This Row],[Date]],2)-WEEKNUM(DATE(YEAR(datos_siembra[[#This Row],[Date]]),MONTH(datos_siembra[[#This Row],[Date]]),1))+1</f>
        <v>4</v>
      </c>
      <c r="S1654">
        <f>MONTH(datos_siembra[[#This Row],[Date]])</f>
        <v>9</v>
      </c>
      <c r="T1654" t="str" cm="1">
        <f t="array" ref="T1654">_xlfn.IFS(AND(N1654&lt;= 22, S1654=9), "SOWING",AND(N1654&lt;= 28, S1654=9), "COVERAGE",AND(N1654&lt;= 30, S1654=9), "FLUSH",AND(N1654&lt;= 11, S1654=10), "FLUSH",AND(N1654&lt;= 21, S1654=10), "PRODUCTION")</f>
        <v>COVERAGE</v>
      </c>
      <c r="U1654">
        <f>HOUR(datos_siembra[[#This Row],[Hour]])</f>
        <v>10</v>
      </c>
      <c r="V1654" cm="1">
        <f t="array" ref="V1654">_xlfn.IFS(AND(N1654&lt;= 22, S1654=9), N1654-7,AND(N1654&lt;= 28, S1654=9), N1654-25,AND(N1654&lt;= 30, S1654=9), N1654-28,AND(N1654&lt;= 11, S1654=10), N1654+2,AND(N1654&lt;= 21, S1654=10), N1654-11)</f>
        <v>2</v>
      </c>
    </row>
    <row r="1655" spans="1:22" x14ac:dyDescent="0.35">
      <c r="A1655" s="4">
        <v>45562</v>
      </c>
      <c r="B1655" s="5">
        <v>0.43744212962962964</v>
      </c>
      <c r="C1655">
        <v>83.1</v>
      </c>
      <c r="D1655">
        <v>80.8</v>
      </c>
      <c r="E1655">
        <v>83.1</v>
      </c>
      <c r="F1655">
        <v>82.1</v>
      </c>
      <c r="G1655">
        <v>0</v>
      </c>
      <c r="H1655">
        <v>0</v>
      </c>
      <c r="I1655">
        <v>0</v>
      </c>
      <c r="J1655">
        <v>0</v>
      </c>
      <c r="K1655">
        <v>75.400000000000006</v>
      </c>
      <c r="L1655">
        <v>73.7</v>
      </c>
      <c r="M1655">
        <v>82.37</v>
      </c>
      <c r="N1655">
        <v>27</v>
      </c>
      <c r="O1655">
        <v>3</v>
      </c>
      <c r="P1655">
        <f>MOD(DAY(datos_siembra[[#This Row],[Date]]),7)</f>
        <v>6</v>
      </c>
      <c r="Q1655" t="str">
        <f>CHOOSE(WEEKDAY(datos_siembra[[#This Row],[Date]],2),"L","M","X","J","V","S","D")</f>
        <v>V</v>
      </c>
      <c r="R1655">
        <f>WEEKNUM(datos_siembra[[#This Row],[Date]],2)-WEEKNUM(DATE(YEAR(datos_siembra[[#This Row],[Date]]),MONTH(datos_siembra[[#This Row],[Date]]),1))+1</f>
        <v>4</v>
      </c>
      <c r="S1655">
        <f>MONTH(datos_siembra[[#This Row],[Date]])</f>
        <v>9</v>
      </c>
      <c r="T1655" t="str" cm="1">
        <f t="array" ref="T1655">_xlfn.IFS(AND(N1655&lt;= 22, S1655=9), "SOWING",AND(N1655&lt;= 28, S1655=9), "COVERAGE",AND(N1655&lt;= 30, S1655=9), "FLUSH",AND(N1655&lt;= 11, S1655=10), "FLUSH",AND(N1655&lt;= 21, S1655=10), "PRODUCTION")</f>
        <v>COVERAGE</v>
      </c>
      <c r="U1655">
        <f>HOUR(datos_siembra[[#This Row],[Hour]])</f>
        <v>10</v>
      </c>
      <c r="V1655" cm="1">
        <f t="array" ref="V1655">_xlfn.IFS(AND(N1655&lt;= 22, S1655=9), N1655-7,AND(N1655&lt;= 28, S1655=9), N1655-25,AND(N1655&lt;= 30, S1655=9), N1655-28,AND(N1655&lt;= 11, S1655=10), N1655+2,AND(N1655&lt;= 21, S1655=10), N1655-11)</f>
        <v>2</v>
      </c>
    </row>
    <row r="1656" spans="1:22" x14ac:dyDescent="0.35">
      <c r="A1656" s="4">
        <v>45562</v>
      </c>
      <c r="B1656" s="5">
        <v>0.44439814814814815</v>
      </c>
      <c r="C1656">
        <v>83.2</v>
      </c>
      <c r="D1656">
        <v>80.8</v>
      </c>
      <c r="E1656">
        <v>83.2</v>
      </c>
      <c r="F1656">
        <v>82.2</v>
      </c>
      <c r="G1656">
        <v>0</v>
      </c>
      <c r="H1656">
        <v>0</v>
      </c>
      <c r="I1656">
        <v>0</v>
      </c>
      <c r="J1656">
        <v>0</v>
      </c>
      <c r="K1656">
        <v>75.400000000000006</v>
      </c>
      <c r="L1656">
        <v>73.900000000000006</v>
      </c>
      <c r="M1656">
        <v>82.4</v>
      </c>
      <c r="N1656">
        <v>27</v>
      </c>
      <c r="O1656">
        <v>3</v>
      </c>
      <c r="P1656">
        <f>MOD(DAY(datos_siembra[[#This Row],[Date]]),7)</f>
        <v>6</v>
      </c>
      <c r="Q1656" t="str">
        <f>CHOOSE(WEEKDAY(datos_siembra[[#This Row],[Date]],2),"L","M","X","J","V","S","D")</f>
        <v>V</v>
      </c>
      <c r="R1656">
        <f>WEEKNUM(datos_siembra[[#This Row],[Date]],2)-WEEKNUM(DATE(YEAR(datos_siembra[[#This Row],[Date]]),MONTH(datos_siembra[[#This Row],[Date]]),1))+1</f>
        <v>4</v>
      </c>
      <c r="S1656">
        <f>MONTH(datos_siembra[[#This Row],[Date]])</f>
        <v>9</v>
      </c>
      <c r="T1656" t="str" cm="1">
        <f t="array" ref="T1656">_xlfn.IFS(AND(N1656&lt;= 22, S1656=9), "SOWING",AND(N1656&lt;= 28, S1656=9), "COVERAGE",AND(N1656&lt;= 30, S1656=9), "FLUSH",AND(N1656&lt;= 11, S1656=10), "FLUSH",AND(N1656&lt;= 21, S1656=10), "PRODUCTION")</f>
        <v>COVERAGE</v>
      </c>
      <c r="U1656">
        <f>HOUR(datos_siembra[[#This Row],[Hour]])</f>
        <v>10</v>
      </c>
      <c r="V1656" cm="1">
        <f t="array" ref="V1656">_xlfn.IFS(AND(N1656&lt;= 22, S1656=9), N1656-7,AND(N1656&lt;= 28, S1656=9), N1656-25,AND(N1656&lt;= 30, S1656=9), N1656-28,AND(N1656&lt;= 11, S1656=10), N1656+2,AND(N1656&lt;= 21, S1656=10), N1656-11)</f>
        <v>2</v>
      </c>
    </row>
    <row r="1657" spans="1:22" x14ac:dyDescent="0.35">
      <c r="A1657" s="4">
        <v>45562</v>
      </c>
      <c r="B1657" s="5">
        <v>0.45134259259259257</v>
      </c>
      <c r="C1657">
        <v>83.1</v>
      </c>
      <c r="D1657">
        <v>80.8</v>
      </c>
      <c r="E1657">
        <v>83.2</v>
      </c>
      <c r="F1657">
        <v>82.3</v>
      </c>
      <c r="G1657">
        <v>0</v>
      </c>
      <c r="H1657">
        <v>0</v>
      </c>
      <c r="I1657">
        <v>0</v>
      </c>
      <c r="J1657">
        <v>0</v>
      </c>
      <c r="K1657">
        <v>75.5</v>
      </c>
      <c r="L1657">
        <v>73.7</v>
      </c>
      <c r="M1657">
        <v>82.4</v>
      </c>
      <c r="N1657">
        <v>27</v>
      </c>
      <c r="O1657">
        <v>3</v>
      </c>
      <c r="P1657">
        <f>MOD(DAY(datos_siembra[[#This Row],[Date]]),7)</f>
        <v>6</v>
      </c>
      <c r="Q1657" t="str">
        <f>CHOOSE(WEEKDAY(datos_siembra[[#This Row],[Date]],2),"L","M","X","J","V","S","D")</f>
        <v>V</v>
      </c>
      <c r="R1657">
        <f>WEEKNUM(datos_siembra[[#This Row],[Date]],2)-WEEKNUM(DATE(YEAR(datos_siembra[[#This Row],[Date]]),MONTH(datos_siembra[[#This Row],[Date]]),1))+1</f>
        <v>4</v>
      </c>
      <c r="S1657">
        <f>MONTH(datos_siembra[[#This Row],[Date]])</f>
        <v>9</v>
      </c>
      <c r="T1657" t="str" cm="1">
        <f t="array" ref="T1657">_xlfn.IFS(AND(N1657&lt;= 22, S1657=9), "SOWING",AND(N1657&lt;= 28, S1657=9), "COVERAGE",AND(N1657&lt;= 30, S1657=9), "FLUSH",AND(N1657&lt;= 11, S1657=10), "FLUSH",AND(N1657&lt;= 21, S1657=10), "PRODUCTION")</f>
        <v>COVERAGE</v>
      </c>
      <c r="U1657">
        <f>HOUR(datos_siembra[[#This Row],[Hour]])</f>
        <v>10</v>
      </c>
      <c r="V1657" cm="1">
        <f t="array" ref="V1657">_xlfn.IFS(AND(N1657&lt;= 22, S1657=9), N1657-7,AND(N1657&lt;= 28, S1657=9), N1657-25,AND(N1657&lt;= 30, S1657=9), N1657-28,AND(N1657&lt;= 11, S1657=10), N1657+2,AND(N1657&lt;= 21, S1657=10), N1657-11)</f>
        <v>2</v>
      </c>
    </row>
    <row r="1658" spans="1:22" x14ac:dyDescent="0.35">
      <c r="A1658" s="4">
        <v>45562</v>
      </c>
      <c r="B1658" s="5">
        <v>0.45828703703703705</v>
      </c>
      <c r="C1658">
        <v>83.2</v>
      </c>
      <c r="D1658">
        <v>80.8</v>
      </c>
      <c r="E1658">
        <v>83.2</v>
      </c>
      <c r="F1658">
        <v>82.2</v>
      </c>
      <c r="G1658">
        <v>0</v>
      </c>
      <c r="H1658">
        <v>0</v>
      </c>
      <c r="I1658">
        <v>0</v>
      </c>
      <c r="J1658">
        <v>0</v>
      </c>
      <c r="K1658">
        <v>75.5</v>
      </c>
      <c r="L1658">
        <v>73.7</v>
      </c>
      <c r="M1658">
        <v>82.4</v>
      </c>
      <c r="N1658">
        <v>27</v>
      </c>
      <c r="O1658">
        <v>3</v>
      </c>
      <c r="P1658">
        <f>MOD(DAY(datos_siembra[[#This Row],[Date]]),7)</f>
        <v>6</v>
      </c>
      <c r="Q1658" t="str">
        <f>CHOOSE(WEEKDAY(datos_siembra[[#This Row],[Date]],2),"L","M","X","J","V","S","D")</f>
        <v>V</v>
      </c>
      <c r="R1658">
        <f>WEEKNUM(datos_siembra[[#This Row],[Date]],2)-WEEKNUM(DATE(YEAR(datos_siembra[[#This Row],[Date]]),MONTH(datos_siembra[[#This Row],[Date]]),1))+1</f>
        <v>4</v>
      </c>
      <c r="S1658">
        <f>MONTH(datos_siembra[[#This Row],[Date]])</f>
        <v>9</v>
      </c>
      <c r="T1658" t="str" cm="1">
        <f t="array" ref="T1658">_xlfn.IFS(AND(N1658&lt;= 22, S1658=9), "SOWING",AND(N1658&lt;= 28, S1658=9), "COVERAGE",AND(N1658&lt;= 30, S1658=9), "FLUSH",AND(N1658&lt;= 11, S1658=10), "FLUSH",AND(N1658&lt;= 21, S1658=10), "PRODUCTION")</f>
        <v>COVERAGE</v>
      </c>
      <c r="U1658">
        <f>HOUR(datos_siembra[[#This Row],[Hour]])</f>
        <v>10</v>
      </c>
      <c r="V1658" cm="1">
        <f t="array" ref="V1658">_xlfn.IFS(AND(N1658&lt;= 22, S1658=9), N1658-7,AND(N1658&lt;= 28, S1658=9), N1658-25,AND(N1658&lt;= 30, S1658=9), N1658-28,AND(N1658&lt;= 11, S1658=10), N1658+2,AND(N1658&lt;= 21, S1658=10), N1658-11)</f>
        <v>2</v>
      </c>
    </row>
    <row r="1659" spans="1:22" x14ac:dyDescent="0.35">
      <c r="A1659" s="4">
        <v>45562</v>
      </c>
      <c r="B1659" s="5">
        <v>0.46524305555555556</v>
      </c>
      <c r="C1659">
        <v>83.3</v>
      </c>
      <c r="D1659">
        <v>80.8</v>
      </c>
      <c r="E1659">
        <v>83.2</v>
      </c>
      <c r="F1659">
        <v>82.2</v>
      </c>
      <c r="G1659">
        <v>0</v>
      </c>
      <c r="H1659">
        <v>0</v>
      </c>
      <c r="I1659">
        <v>0</v>
      </c>
      <c r="J1659">
        <v>0</v>
      </c>
      <c r="K1659">
        <v>75.599999999999994</v>
      </c>
      <c r="L1659">
        <v>73.7</v>
      </c>
      <c r="M1659">
        <v>82.37</v>
      </c>
      <c r="N1659">
        <v>27</v>
      </c>
      <c r="O1659">
        <v>3</v>
      </c>
      <c r="P1659">
        <f>MOD(DAY(datos_siembra[[#This Row],[Date]]),7)</f>
        <v>6</v>
      </c>
      <c r="Q1659" t="str">
        <f>CHOOSE(WEEKDAY(datos_siembra[[#This Row],[Date]],2),"L","M","X","J","V","S","D")</f>
        <v>V</v>
      </c>
      <c r="R1659">
        <f>WEEKNUM(datos_siembra[[#This Row],[Date]],2)-WEEKNUM(DATE(YEAR(datos_siembra[[#This Row],[Date]]),MONTH(datos_siembra[[#This Row],[Date]]),1))+1</f>
        <v>4</v>
      </c>
      <c r="S1659">
        <f>MONTH(datos_siembra[[#This Row],[Date]])</f>
        <v>9</v>
      </c>
      <c r="T1659" t="str" cm="1">
        <f t="array" ref="T1659">_xlfn.IFS(AND(N1659&lt;= 22, S1659=9), "SOWING",AND(N1659&lt;= 28, S1659=9), "COVERAGE",AND(N1659&lt;= 30, S1659=9), "FLUSH",AND(N1659&lt;= 11, S1659=10), "FLUSH",AND(N1659&lt;= 21, S1659=10), "PRODUCTION")</f>
        <v>COVERAGE</v>
      </c>
      <c r="U1659">
        <f>HOUR(datos_siembra[[#This Row],[Hour]])</f>
        <v>11</v>
      </c>
      <c r="V1659" cm="1">
        <f t="array" ref="V1659">_xlfn.IFS(AND(N1659&lt;= 22, S1659=9), N1659-7,AND(N1659&lt;= 28, S1659=9), N1659-25,AND(N1659&lt;= 30, S1659=9), N1659-28,AND(N1659&lt;= 11, S1659=10), N1659+2,AND(N1659&lt;= 21, S1659=10), N1659-11)</f>
        <v>2</v>
      </c>
    </row>
    <row r="1660" spans="1:22" x14ac:dyDescent="0.35">
      <c r="A1660" s="4">
        <v>45562</v>
      </c>
      <c r="B1660" s="5">
        <v>0.47218749999999998</v>
      </c>
      <c r="C1660">
        <v>83.2</v>
      </c>
      <c r="D1660">
        <v>80.8</v>
      </c>
      <c r="E1660">
        <v>83.2</v>
      </c>
      <c r="F1660">
        <v>82.3</v>
      </c>
      <c r="G1660">
        <v>0</v>
      </c>
      <c r="H1660">
        <v>0</v>
      </c>
      <c r="I1660">
        <v>0</v>
      </c>
      <c r="J1660">
        <v>0</v>
      </c>
      <c r="K1660">
        <v>75.599999999999994</v>
      </c>
      <c r="L1660">
        <v>74</v>
      </c>
      <c r="M1660">
        <v>82.43</v>
      </c>
      <c r="N1660">
        <v>27</v>
      </c>
      <c r="O1660">
        <v>3</v>
      </c>
      <c r="P1660">
        <f>MOD(DAY(datos_siembra[[#This Row],[Date]]),7)</f>
        <v>6</v>
      </c>
      <c r="Q1660" t="str">
        <f>CHOOSE(WEEKDAY(datos_siembra[[#This Row],[Date]],2),"L","M","X","J","V","S","D")</f>
        <v>V</v>
      </c>
      <c r="R1660">
        <f>WEEKNUM(datos_siembra[[#This Row],[Date]],2)-WEEKNUM(DATE(YEAR(datos_siembra[[#This Row],[Date]]),MONTH(datos_siembra[[#This Row],[Date]]),1))+1</f>
        <v>4</v>
      </c>
      <c r="S1660">
        <f>MONTH(datos_siembra[[#This Row],[Date]])</f>
        <v>9</v>
      </c>
      <c r="T1660" t="str" cm="1">
        <f t="array" ref="T1660">_xlfn.IFS(AND(N1660&lt;= 22, S1660=9), "SOWING",AND(N1660&lt;= 28, S1660=9), "COVERAGE",AND(N1660&lt;= 30, S1660=9), "FLUSH",AND(N1660&lt;= 11, S1660=10), "FLUSH",AND(N1660&lt;= 21, S1660=10), "PRODUCTION")</f>
        <v>COVERAGE</v>
      </c>
      <c r="U1660">
        <f>HOUR(datos_siembra[[#This Row],[Hour]])</f>
        <v>11</v>
      </c>
      <c r="V1660" cm="1">
        <f t="array" ref="V1660">_xlfn.IFS(AND(N1660&lt;= 22, S1660=9), N1660-7,AND(N1660&lt;= 28, S1660=9), N1660-25,AND(N1660&lt;= 30, S1660=9), N1660-28,AND(N1660&lt;= 11, S1660=10), N1660+2,AND(N1660&lt;= 21, S1660=10), N1660-11)</f>
        <v>2</v>
      </c>
    </row>
    <row r="1661" spans="1:22" x14ac:dyDescent="0.35">
      <c r="A1661" s="4">
        <v>45562</v>
      </c>
      <c r="B1661" s="5">
        <v>0.47913194444444446</v>
      </c>
      <c r="C1661">
        <v>83.2</v>
      </c>
      <c r="D1661">
        <v>80.900000000000006</v>
      </c>
      <c r="E1661">
        <v>83.3</v>
      </c>
      <c r="F1661">
        <v>82.4</v>
      </c>
      <c r="G1661">
        <v>0</v>
      </c>
      <c r="H1661">
        <v>0</v>
      </c>
      <c r="I1661">
        <v>0</v>
      </c>
      <c r="J1661">
        <v>0</v>
      </c>
      <c r="K1661">
        <v>75.8</v>
      </c>
      <c r="L1661">
        <v>74</v>
      </c>
      <c r="M1661">
        <v>82.43</v>
      </c>
      <c r="N1661">
        <v>27</v>
      </c>
      <c r="O1661">
        <v>3</v>
      </c>
      <c r="P1661">
        <f>MOD(DAY(datos_siembra[[#This Row],[Date]]),7)</f>
        <v>6</v>
      </c>
      <c r="Q1661" t="str">
        <f>CHOOSE(WEEKDAY(datos_siembra[[#This Row],[Date]],2),"L","M","X","J","V","S","D")</f>
        <v>V</v>
      </c>
      <c r="R1661">
        <f>WEEKNUM(datos_siembra[[#This Row],[Date]],2)-WEEKNUM(DATE(YEAR(datos_siembra[[#This Row],[Date]]),MONTH(datos_siembra[[#This Row],[Date]]),1))+1</f>
        <v>4</v>
      </c>
      <c r="S1661">
        <f>MONTH(datos_siembra[[#This Row],[Date]])</f>
        <v>9</v>
      </c>
      <c r="T1661" t="str" cm="1">
        <f t="array" ref="T1661">_xlfn.IFS(AND(N1661&lt;= 22, S1661=9), "SOWING",AND(N1661&lt;= 28, S1661=9), "COVERAGE",AND(N1661&lt;= 30, S1661=9), "FLUSH",AND(N1661&lt;= 11, S1661=10), "FLUSH",AND(N1661&lt;= 21, S1661=10), "PRODUCTION")</f>
        <v>COVERAGE</v>
      </c>
      <c r="U1661">
        <f>HOUR(datos_siembra[[#This Row],[Hour]])</f>
        <v>11</v>
      </c>
      <c r="V1661" cm="1">
        <f t="array" ref="V1661">_xlfn.IFS(AND(N1661&lt;= 22, S1661=9), N1661-7,AND(N1661&lt;= 28, S1661=9), N1661-25,AND(N1661&lt;= 30, S1661=9), N1661-28,AND(N1661&lt;= 11, S1661=10), N1661+2,AND(N1661&lt;= 21, S1661=10), N1661-11)</f>
        <v>2</v>
      </c>
    </row>
    <row r="1662" spans="1:22" x14ac:dyDescent="0.35">
      <c r="A1662" s="4">
        <v>45562</v>
      </c>
      <c r="B1662" s="5">
        <v>0.48608796296296297</v>
      </c>
      <c r="C1662">
        <v>83.2</v>
      </c>
      <c r="D1662">
        <v>80.900000000000006</v>
      </c>
      <c r="E1662">
        <v>83.3</v>
      </c>
      <c r="F1662">
        <v>82.3</v>
      </c>
      <c r="G1662">
        <v>0</v>
      </c>
      <c r="H1662">
        <v>0</v>
      </c>
      <c r="I1662">
        <v>0</v>
      </c>
      <c r="J1662">
        <v>0</v>
      </c>
      <c r="K1662">
        <v>75.900000000000006</v>
      </c>
      <c r="L1662">
        <v>74</v>
      </c>
      <c r="M1662">
        <v>82.4</v>
      </c>
      <c r="N1662">
        <v>27</v>
      </c>
      <c r="O1662">
        <v>3</v>
      </c>
      <c r="P1662">
        <f>MOD(DAY(datos_siembra[[#This Row],[Date]]),7)</f>
        <v>6</v>
      </c>
      <c r="Q1662" t="str">
        <f>CHOOSE(WEEKDAY(datos_siembra[[#This Row],[Date]],2),"L","M","X","J","V","S","D")</f>
        <v>V</v>
      </c>
      <c r="R1662">
        <f>WEEKNUM(datos_siembra[[#This Row],[Date]],2)-WEEKNUM(DATE(YEAR(datos_siembra[[#This Row],[Date]]),MONTH(datos_siembra[[#This Row],[Date]]),1))+1</f>
        <v>4</v>
      </c>
      <c r="S1662">
        <f>MONTH(datos_siembra[[#This Row],[Date]])</f>
        <v>9</v>
      </c>
      <c r="T1662" t="str" cm="1">
        <f t="array" ref="T1662">_xlfn.IFS(AND(N1662&lt;= 22, S1662=9), "SOWING",AND(N1662&lt;= 28, S1662=9), "COVERAGE",AND(N1662&lt;= 30, S1662=9), "FLUSH",AND(N1662&lt;= 11, S1662=10), "FLUSH",AND(N1662&lt;= 21, S1662=10), "PRODUCTION")</f>
        <v>COVERAGE</v>
      </c>
      <c r="U1662">
        <f>HOUR(datos_siembra[[#This Row],[Hour]])</f>
        <v>11</v>
      </c>
      <c r="V1662" cm="1">
        <f t="array" ref="V1662">_xlfn.IFS(AND(N1662&lt;= 22, S1662=9), N1662-7,AND(N1662&lt;= 28, S1662=9), N1662-25,AND(N1662&lt;= 30, S1662=9), N1662-28,AND(N1662&lt;= 11, S1662=10), N1662+2,AND(N1662&lt;= 21, S1662=10), N1662-11)</f>
        <v>2</v>
      </c>
    </row>
    <row r="1663" spans="1:22" x14ac:dyDescent="0.35">
      <c r="A1663" s="4">
        <v>45562</v>
      </c>
      <c r="B1663" s="5">
        <v>0.49303240740740739</v>
      </c>
      <c r="C1663">
        <v>83.2</v>
      </c>
      <c r="D1663">
        <v>80.7</v>
      </c>
      <c r="E1663">
        <v>82.7</v>
      </c>
      <c r="F1663">
        <v>82.2</v>
      </c>
      <c r="G1663">
        <v>0</v>
      </c>
      <c r="H1663">
        <v>0</v>
      </c>
      <c r="I1663">
        <v>0</v>
      </c>
      <c r="J1663">
        <v>0</v>
      </c>
      <c r="K1663">
        <v>75</v>
      </c>
      <c r="L1663">
        <v>73.900000000000006</v>
      </c>
      <c r="M1663">
        <v>82.23</v>
      </c>
      <c r="N1663">
        <v>27</v>
      </c>
      <c r="O1663">
        <v>3</v>
      </c>
      <c r="P1663">
        <f>MOD(DAY(datos_siembra[[#This Row],[Date]]),7)</f>
        <v>6</v>
      </c>
      <c r="Q1663" t="str">
        <f>CHOOSE(WEEKDAY(datos_siembra[[#This Row],[Date]],2),"L","M","X","J","V","S","D")</f>
        <v>V</v>
      </c>
      <c r="R1663">
        <f>WEEKNUM(datos_siembra[[#This Row],[Date]],2)-WEEKNUM(DATE(YEAR(datos_siembra[[#This Row],[Date]]),MONTH(datos_siembra[[#This Row],[Date]]),1))+1</f>
        <v>4</v>
      </c>
      <c r="S1663">
        <f>MONTH(datos_siembra[[#This Row],[Date]])</f>
        <v>9</v>
      </c>
      <c r="T1663" t="str" cm="1">
        <f t="array" ref="T1663">_xlfn.IFS(AND(N1663&lt;= 22, S1663=9), "SOWING",AND(N1663&lt;= 28, S1663=9), "COVERAGE",AND(N1663&lt;= 30, S1663=9), "FLUSH",AND(N1663&lt;= 11, S1663=10), "FLUSH",AND(N1663&lt;= 21, S1663=10), "PRODUCTION")</f>
        <v>COVERAGE</v>
      </c>
      <c r="U1663">
        <f>HOUR(datos_siembra[[#This Row],[Hour]])</f>
        <v>11</v>
      </c>
      <c r="V1663" cm="1">
        <f t="array" ref="V1663">_xlfn.IFS(AND(N1663&lt;= 22, S1663=9), N1663-7,AND(N1663&lt;= 28, S1663=9), N1663-25,AND(N1663&lt;= 30, S1663=9), N1663-28,AND(N1663&lt;= 11, S1663=10), N1663+2,AND(N1663&lt;= 21, S1663=10), N1663-11)</f>
        <v>2</v>
      </c>
    </row>
    <row r="1664" spans="1:22" x14ac:dyDescent="0.35">
      <c r="A1664" s="4">
        <v>45562</v>
      </c>
      <c r="B1664" s="5">
        <v>0.49997685185185187</v>
      </c>
      <c r="C1664">
        <v>83.2</v>
      </c>
      <c r="D1664">
        <v>80.8</v>
      </c>
      <c r="E1664">
        <v>82.9</v>
      </c>
      <c r="F1664">
        <v>82.1</v>
      </c>
      <c r="G1664">
        <v>0</v>
      </c>
      <c r="H1664">
        <v>0</v>
      </c>
      <c r="I1664">
        <v>0</v>
      </c>
      <c r="J1664">
        <v>0</v>
      </c>
      <c r="K1664">
        <v>75</v>
      </c>
      <c r="L1664">
        <v>73.099999999999994</v>
      </c>
      <c r="M1664">
        <v>82.2</v>
      </c>
      <c r="N1664">
        <v>27</v>
      </c>
      <c r="O1664">
        <v>3</v>
      </c>
      <c r="P1664">
        <f>MOD(DAY(datos_siembra[[#This Row],[Date]]),7)</f>
        <v>6</v>
      </c>
      <c r="Q1664" t="str">
        <f>CHOOSE(WEEKDAY(datos_siembra[[#This Row],[Date]],2),"L","M","X","J","V","S","D")</f>
        <v>V</v>
      </c>
      <c r="R1664">
        <f>WEEKNUM(datos_siembra[[#This Row],[Date]],2)-WEEKNUM(DATE(YEAR(datos_siembra[[#This Row],[Date]]),MONTH(datos_siembra[[#This Row],[Date]]),1))+1</f>
        <v>4</v>
      </c>
      <c r="S1664">
        <f>MONTH(datos_siembra[[#This Row],[Date]])</f>
        <v>9</v>
      </c>
      <c r="T1664" t="str" cm="1">
        <f t="array" ref="T1664">_xlfn.IFS(AND(N1664&lt;= 22, S1664=9), "SOWING",AND(N1664&lt;= 28, S1664=9), "COVERAGE",AND(N1664&lt;= 30, S1664=9), "FLUSH",AND(N1664&lt;= 11, S1664=10), "FLUSH",AND(N1664&lt;= 21, S1664=10), "PRODUCTION")</f>
        <v>COVERAGE</v>
      </c>
      <c r="U1664">
        <f>HOUR(datos_siembra[[#This Row],[Hour]])</f>
        <v>11</v>
      </c>
      <c r="V1664" cm="1">
        <f t="array" ref="V1664">_xlfn.IFS(AND(N1664&lt;= 22, S1664=9), N1664-7,AND(N1664&lt;= 28, S1664=9), N1664-25,AND(N1664&lt;= 30, S1664=9), N1664-28,AND(N1664&lt;= 11, S1664=10), N1664+2,AND(N1664&lt;= 21, S1664=10), N1664-11)</f>
        <v>2</v>
      </c>
    </row>
    <row r="1665" spans="1:22" x14ac:dyDescent="0.35">
      <c r="A1665" s="4">
        <v>45562</v>
      </c>
      <c r="B1665" s="5">
        <v>0.50692129629629634</v>
      </c>
      <c r="C1665">
        <v>83.2</v>
      </c>
      <c r="D1665">
        <v>80.7</v>
      </c>
      <c r="E1665">
        <v>83</v>
      </c>
      <c r="F1665">
        <v>82.2</v>
      </c>
      <c r="G1665">
        <v>0</v>
      </c>
      <c r="H1665">
        <v>0</v>
      </c>
      <c r="I1665">
        <v>0</v>
      </c>
      <c r="J1665">
        <v>0</v>
      </c>
      <c r="K1665">
        <v>74.900000000000006</v>
      </c>
      <c r="L1665">
        <v>73.3</v>
      </c>
      <c r="M1665">
        <v>82.23</v>
      </c>
      <c r="N1665">
        <v>27</v>
      </c>
      <c r="O1665">
        <v>3</v>
      </c>
      <c r="P1665">
        <f>MOD(DAY(datos_siembra[[#This Row],[Date]]),7)</f>
        <v>6</v>
      </c>
      <c r="Q1665" t="str">
        <f>CHOOSE(WEEKDAY(datos_siembra[[#This Row],[Date]],2),"L","M","X","J","V","S","D")</f>
        <v>V</v>
      </c>
      <c r="R1665">
        <f>WEEKNUM(datos_siembra[[#This Row],[Date]],2)-WEEKNUM(DATE(YEAR(datos_siembra[[#This Row],[Date]]),MONTH(datos_siembra[[#This Row],[Date]]),1))+1</f>
        <v>4</v>
      </c>
      <c r="S1665">
        <f>MONTH(datos_siembra[[#This Row],[Date]])</f>
        <v>9</v>
      </c>
      <c r="T1665" t="str" cm="1">
        <f t="array" ref="T1665">_xlfn.IFS(AND(N1665&lt;= 22, S1665=9), "SOWING",AND(N1665&lt;= 28, S1665=9), "COVERAGE",AND(N1665&lt;= 30, S1665=9), "FLUSH",AND(N1665&lt;= 11, S1665=10), "FLUSH",AND(N1665&lt;= 21, S1665=10), "PRODUCTION")</f>
        <v>COVERAGE</v>
      </c>
      <c r="U1665">
        <f>HOUR(datos_siembra[[#This Row],[Hour]])</f>
        <v>12</v>
      </c>
      <c r="V1665" cm="1">
        <f t="array" ref="V1665">_xlfn.IFS(AND(N1665&lt;= 22, S1665=9), N1665-7,AND(N1665&lt;= 28, S1665=9), N1665-25,AND(N1665&lt;= 30, S1665=9), N1665-28,AND(N1665&lt;= 11, S1665=10), N1665+2,AND(N1665&lt;= 21, S1665=10), N1665-11)</f>
        <v>2</v>
      </c>
    </row>
    <row r="1666" spans="1:22" x14ac:dyDescent="0.35">
      <c r="A1666" s="4">
        <v>45562</v>
      </c>
      <c r="B1666" s="5">
        <v>0.51386574074074076</v>
      </c>
      <c r="C1666">
        <v>83.2</v>
      </c>
      <c r="D1666">
        <v>80.7</v>
      </c>
      <c r="E1666">
        <v>83</v>
      </c>
      <c r="F1666">
        <v>82.1</v>
      </c>
      <c r="G1666">
        <v>0</v>
      </c>
      <c r="H1666">
        <v>0</v>
      </c>
      <c r="I1666">
        <v>0</v>
      </c>
      <c r="J1666">
        <v>0</v>
      </c>
      <c r="K1666">
        <v>75</v>
      </c>
      <c r="L1666">
        <v>73.5</v>
      </c>
      <c r="M1666">
        <v>82.2</v>
      </c>
      <c r="N1666">
        <v>27</v>
      </c>
      <c r="O1666">
        <v>3</v>
      </c>
      <c r="P1666">
        <f>MOD(DAY(datos_siembra[[#This Row],[Date]]),7)</f>
        <v>6</v>
      </c>
      <c r="Q1666" t="str">
        <f>CHOOSE(WEEKDAY(datos_siembra[[#This Row],[Date]],2),"L","M","X","J","V","S","D")</f>
        <v>V</v>
      </c>
      <c r="R1666">
        <f>WEEKNUM(datos_siembra[[#This Row],[Date]],2)-WEEKNUM(DATE(YEAR(datos_siembra[[#This Row],[Date]]),MONTH(datos_siembra[[#This Row],[Date]]),1))+1</f>
        <v>4</v>
      </c>
      <c r="S1666">
        <f>MONTH(datos_siembra[[#This Row],[Date]])</f>
        <v>9</v>
      </c>
      <c r="T1666" t="str" cm="1">
        <f t="array" ref="T1666">_xlfn.IFS(AND(N1666&lt;= 22, S1666=9), "SOWING",AND(N1666&lt;= 28, S1666=9), "COVERAGE",AND(N1666&lt;= 30, S1666=9), "FLUSH",AND(N1666&lt;= 11, S1666=10), "FLUSH",AND(N1666&lt;= 21, S1666=10), "PRODUCTION")</f>
        <v>COVERAGE</v>
      </c>
      <c r="U1666">
        <f>HOUR(datos_siembra[[#This Row],[Hour]])</f>
        <v>12</v>
      </c>
      <c r="V1666" cm="1">
        <f t="array" ref="V1666">_xlfn.IFS(AND(N1666&lt;= 22, S1666=9), N1666-7,AND(N1666&lt;= 28, S1666=9), N1666-25,AND(N1666&lt;= 30, S1666=9), N1666-28,AND(N1666&lt;= 11, S1666=10), N1666+2,AND(N1666&lt;= 21, S1666=10), N1666-11)</f>
        <v>2</v>
      </c>
    </row>
    <row r="1667" spans="1:22" x14ac:dyDescent="0.35">
      <c r="A1667" s="4">
        <v>45562</v>
      </c>
      <c r="B1667" s="5">
        <v>0.52081018518518518</v>
      </c>
      <c r="C1667">
        <v>83.1</v>
      </c>
      <c r="D1667">
        <v>80.7</v>
      </c>
      <c r="E1667">
        <v>82.9</v>
      </c>
      <c r="F1667">
        <v>82</v>
      </c>
      <c r="G1667">
        <v>0</v>
      </c>
      <c r="H1667">
        <v>0</v>
      </c>
      <c r="I1667">
        <v>0</v>
      </c>
      <c r="J1667">
        <v>0</v>
      </c>
      <c r="K1667">
        <v>75</v>
      </c>
      <c r="L1667">
        <v>73.400000000000006</v>
      </c>
      <c r="M1667">
        <v>82.23</v>
      </c>
      <c r="N1667">
        <v>27</v>
      </c>
      <c r="O1667">
        <v>3</v>
      </c>
      <c r="P1667">
        <f>MOD(DAY(datos_siembra[[#This Row],[Date]]),7)</f>
        <v>6</v>
      </c>
      <c r="Q1667" t="str">
        <f>CHOOSE(WEEKDAY(datos_siembra[[#This Row],[Date]],2),"L","M","X","J","V","S","D")</f>
        <v>V</v>
      </c>
      <c r="R1667">
        <f>WEEKNUM(datos_siembra[[#This Row],[Date]],2)-WEEKNUM(DATE(YEAR(datos_siembra[[#This Row],[Date]]),MONTH(datos_siembra[[#This Row],[Date]]),1))+1</f>
        <v>4</v>
      </c>
      <c r="S1667">
        <f>MONTH(datos_siembra[[#This Row],[Date]])</f>
        <v>9</v>
      </c>
      <c r="T1667" t="str" cm="1">
        <f t="array" ref="T1667">_xlfn.IFS(AND(N1667&lt;= 22, S1667=9), "SOWING",AND(N1667&lt;= 28, S1667=9), "COVERAGE",AND(N1667&lt;= 30, S1667=9), "FLUSH",AND(N1667&lt;= 11, S1667=10), "FLUSH",AND(N1667&lt;= 21, S1667=10), "PRODUCTION")</f>
        <v>COVERAGE</v>
      </c>
      <c r="U1667">
        <f>HOUR(datos_siembra[[#This Row],[Hour]])</f>
        <v>12</v>
      </c>
      <c r="V1667" cm="1">
        <f t="array" ref="V1667">_xlfn.IFS(AND(N1667&lt;= 22, S1667=9), N1667-7,AND(N1667&lt;= 28, S1667=9), N1667-25,AND(N1667&lt;= 30, S1667=9), N1667-28,AND(N1667&lt;= 11, S1667=10), N1667+2,AND(N1667&lt;= 21, S1667=10), N1667-11)</f>
        <v>2</v>
      </c>
    </row>
    <row r="1668" spans="1:22" x14ac:dyDescent="0.35">
      <c r="A1668" s="4">
        <v>45562</v>
      </c>
      <c r="B1668" s="5">
        <v>0.5277546296296296</v>
      </c>
      <c r="C1668">
        <v>83.2</v>
      </c>
      <c r="D1668">
        <v>80.8</v>
      </c>
      <c r="E1668">
        <v>83</v>
      </c>
      <c r="F1668">
        <v>82.1</v>
      </c>
      <c r="G1668">
        <v>0</v>
      </c>
      <c r="H1668">
        <v>0</v>
      </c>
      <c r="I1668">
        <v>0</v>
      </c>
      <c r="J1668">
        <v>0</v>
      </c>
      <c r="K1668">
        <v>75</v>
      </c>
      <c r="L1668">
        <v>73.599999999999994</v>
      </c>
      <c r="M1668">
        <v>82.2</v>
      </c>
      <c r="N1668">
        <v>27</v>
      </c>
      <c r="O1668">
        <v>3</v>
      </c>
      <c r="P1668">
        <f>MOD(DAY(datos_siembra[[#This Row],[Date]]),7)</f>
        <v>6</v>
      </c>
      <c r="Q1668" t="str">
        <f>CHOOSE(WEEKDAY(datos_siembra[[#This Row],[Date]],2),"L","M","X","J","V","S","D")</f>
        <v>V</v>
      </c>
      <c r="R1668">
        <f>WEEKNUM(datos_siembra[[#This Row],[Date]],2)-WEEKNUM(DATE(YEAR(datos_siembra[[#This Row],[Date]]),MONTH(datos_siembra[[#This Row],[Date]]),1))+1</f>
        <v>4</v>
      </c>
      <c r="S1668">
        <f>MONTH(datos_siembra[[#This Row],[Date]])</f>
        <v>9</v>
      </c>
      <c r="T1668" t="str" cm="1">
        <f t="array" ref="T1668">_xlfn.IFS(AND(N1668&lt;= 22, S1668=9), "SOWING",AND(N1668&lt;= 28, S1668=9), "COVERAGE",AND(N1668&lt;= 30, S1668=9), "FLUSH",AND(N1668&lt;= 11, S1668=10), "FLUSH",AND(N1668&lt;= 21, S1668=10), "PRODUCTION")</f>
        <v>COVERAGE</v>
      </c>
      <c r="U1668">
        <f>HOUR(datos_siembra[[#This Row],[Hour]])</f>
        <v>12</v>
      </c>
      <c r="V1668" cm="1">
        <f t="array" ref="V1668">_xlfn.IFS(AND(N1668&lt;= 22, S1668=9), N1668-7,AND(N1668&lt;= 28, S1668=9), N1668-25,AND(N1668&lt;= 30, S1668=9), N1668-28,AND(N1668&lt;= 11, S1668=10), N1668+2,AND(N1668&lt;= 21, S1668=10), N1668-11)</f>
        <v>2</v>
      </c>
    </row>
    <row r="1669" spans="1:22" x14ac:dyDescent="0.35">
      <c r="A1669" s="4">
        <v>45562</v>
      </c>
      <c r="B1669" s="5">
        <v>0.53469907407407402</v>
      </c>
      <c r="C1669">
        <v>83.1</v>
      </c>
      <c r="D1669">
        <v>80.7</v>
      </c>
      <c r="E1669">
        <v>83</v>
      </c>
      <c r="F1669">
        <v>82.1</v>
      </c>
      <c r="G1669">
        <v>0</v>
      </c>
      <c r="H1669">
        <v>0</v>
      </c>
      <c r="I1669">
        <v>0</v>
      </c>
      <c r="J1669">
        <v>0</v>
      </c>
      <c r="K1669">
        <v>75.099999999999994</v>
      </c>
      <c r="L1669">
        <v>73.599999999999994</v>
      </c>
      <c r="M1669">
        <v>82.2</v>
      </c>
      <c r="N1669">
        <v>27</v>
      </c>
      <c r="O1669">
        <v>3</v>
      </c>
      <c r="P1669">
        <f>MOD(DAY(datos_siembra[[#This Row],[Date]]),7)</f>
        <v>6</v>
      </c>
      <c r="Q1669" t="str">
        <f>CHOOSE(WEEKDAY(datos_siembra[[#This Row],[Date]],2),"L","M","X","J","V","S","D")</f>
        <v>V</v>
      </c>
      <c r="R1669">
        <f>WEEKNUM(datos_siembra[[#This Row],[Date]],2)-WEEKNUM(DATE(YEAR(datos_siembra[[#This Row],[Date]]),MONTH(datos_siembra[[#This Row],[Date]]),1))+1</f>
        <v>4</v>
      </c>
      <c r="S1669">
        <f>MONTH(datos_siembra[[#This Row],[Date]])</f>
        <v>9</v>
      </c>
      <c r="T1669" t="str" cm="1">
        <f t="array" ref="T1669">_xlfn.IFS(AND(N1669&lt;= 22, S1669=9), "SOWING",AND(N1669&lt;= 28, S1669=9), "COVERAGE",AND(N1669&lt;= 30, S1669=9), "FLUSH",AND(N1669&lt;= 11, S1669=10), "FLUSH",AND(N1669&lt;= 21, S1669=10), "PRODUCTION")</f>
        <v>COVERAGE</v>
      </c>
      <c r="U1669">
        <f>HOUR(datos_siembra[[#This Row],[Hour]])</f>
        <v>12</v>
      </c>
      <c r="V1669" cm="1">
        <f t="array" ref="V1669">_xlfn.IFS(AND(N1669&lt;= 22, S1669=9), N1669-7,AND(N1669&lt;= 28, S1669=9), N1669-25,AND(N1669&lt;= 30, S1669=9), N1669-28,AND(N1669&lt;= 11, S1669=10), N1669+2,AND(N1669&lt;= 21, S1669=10), N1669-11)</f>
        <v>2</v>
      </c>
    </row>
    <row r="1670" spans="1:22" x14ac:dyDescent="0.35">
      <c r="A1670" s="4">
        <v>45562</v>
      </c>
      <c r="B1670" s="5">
        <v>0.54164351851851855</v>
      </c>
      <c r="C1670">
        <v>83.3</v>
      </c>
      <c r="D1670">
        <v>80.900000000000006</v>
      </c>
      <c r="E1670">
        <v>83.1</v>
      </c>
      <c r="F1670">
        <v>82.2</v>
      </c>
      <c r="G1670">
        <v>0</v>
      </c>
      <c r="H1670">
        <v>0</v>
      </c>
      <c r="I1670">
        <v>0</v>
      </c>
      <c r="J1670">
        <v>0</v>
      </c>
      <c r="K1670">
        <v>75.2</v>
      </c>
      <c r="L1670">
        <v>73.599999999999994</v>
      </c>
      <c r="M1670">
        <v>82.26</v>
      </c>
      <c r="N1670">
        <v>27</v>
      </c>
      <c r="O1670">
        <v>3</v>
      </c>
      <c r="P1670">
        <f>MOD(DAY(datos_siembra[[#This Row],[Date]]),7)</f>
        <v>6</v>
      </c>
      <c r="Q1670" t="str">
        <f>CHOOSE(WEEKDAY(datos_siembra[[#This Row],[Date]],2),"L","M","X","J","V","S","D")</f>
        <v>V</v>
      </c>
      <c r="R1670">
        <f>WEEKNUM(datos_siembra[[#This Row],[Date]],2)-WEEKNUM(DATE(YEAR(datos_siembra[[#This Row],[Date]]),MONTH(datos_siembra[[#This Row],[Date]]),1))+1</f>
        <v>4</v>
      </c>
      <c r="S1670">
        <f>MONTH(datos_siembra[[#This Row],[Date]])</f>
        <v>9</v>
      </c>
      <c r="T1670" t="str" cm="1">
        <f t="array" ref="T1670">_xlfn.IFS(AND(N1670&lt;= 22, S1670=9), "SOWING",AND(N1670&lt;= 28, S1670=9), "COVERAGE",AND(N1670&lt;= 30, S1670=9), "FLUSH",AND(N1670&lt;= 11, S1670=10), "FLUSH",AND(N1670&lt;= 21, S1670=10), "PRODUCTION")</f>
        <v>COVERAGE</v>
      </c>
      <c r="U1670">
        <f>HOUR(datos_siembra[[#This Row],[Hour]])</f>
        <v>12</v>
      </c>
      <c r="V1670" cm="1">
        <f t="array" ref="V1670">_xlfn.IFS(AND(N1670&lt;= 22, S1670=9), N1670-7,AND(N1670&lt;= 28, S1670=9), N1670-25,AND(N1670&lt;= 30, S1670=9), N1670-28,AND(N1670&lt;= 11, S1670=10), N1670+2,AND(N1670&lt;= 21, S1670=10), N1670-11)</f>
        <v>2</v>
      </c>
    </row>
    <row r="1671" spans="1:22" x14ac:dyDescent="0.35">
      <c r="A1671" s="4">
        <v>45562</v>
      </c>
      <c r="B1671" s="5">
        <v>0.54858796296296297</v>
      </c>
      <c r="C1671">
        <v>83.1</v>
      </c>
      <c r="D1671">
        <v>80.7</v>
      </c>
      <c r="E1671">
        <v>83.1</v>
      </c>
      <c r="F1671">
        <v>82.2</v>
      </c>
      <c r="G1671">
        <v>0</v>
      </c>
      <c r="H1671">
        <v>0</v>
      </c>
      <c r="I1671">
        <v>0</v>
      </c>
      <c r="J1671">
        <v>0</v>
      </c>
      <c r="K1671">
        <v>75.2</v>
      </c>
      <c r="L1671">
        <v>73.599999999999994</v>
      </c>
      <c r="M1671">
        <v>82.26</v>
      </c>
      <c r="N1671">
        <v>27</v>
      </c>
      <c r="O1671">
        <v>3</v>
      </c>
      <c r="P1671">
        <f>MOD(DAY(datos_siembra[[#This Row],[Date]]),7)</f>
        <v>6</v>
      </c>
      <c r="Q1671" t="str">
        <f>CHOOSE(WEEKDAY(datos_siembra[[#This Row],[Date]],2),"L","M","X","J","V","S","D")</f>
        <v>V</v>
      </c>
      <c r="R1671">
        <f>WEEKNUM(datos_siembra[[#This Row],[Date]],2)-WEEKNUM(DATE(YEAR(datos_siembra[[#This Row],[Date]]),MONTH(datos_siembra[[#This Row],[Date]]),1))+1</f>
        <v>4</v>
      </c>
      <c r="S1671">
        <f>MONTH(datos_siembra[[#This Row],[Date]])</f>
        <v>9</v>
      </c>
      <c r="T1671" t="str" cm="1">
        <f t="array" ref="T1671">_xlfn.IFS(AND(N1671&lt;= 22, S1671=9), "SOWING",AND(N1671&lt;= 28, S1671=9), "COVERAGE",AND(N1671&lt;= 30, S1671=9), "FLUSH",AND(N1671&lt;= 11, S1671=10), "FLUSH",AND(N1671&lt;= 21, S1671=10), "PRODUCTION")</f>
        <v>COVERAGE</v>
      </c>
      <c r="U1671">
        <f>HOUR(datos_siembra[[#This Row],[Hour]])</f>
        <v>13</v>
      </c>
      <c r="V1671" cm="1">
        <f t="array" ref="V1671">_xlfn.IFS(AND(N1671&lt;= 22, S1671=9), N1671-7,AND(N1671&lt;= 28, S1671=9), N1671-25,AND(N1671&lt;= 30, S1671=9), N1671-28,AND(N1671&lt;= 11, S1671=10), N1671+2,AND(N1671&lt;= 21, S1671=10), N1671-11)</f>
        <v>2</v>
      </c>
    </row>
    <row r="1672" spans="1:22" x14ac:dyDescent="0.35">
      <c r="A1672" s="4">
        <v>45562</v>
      </c>
      <c r="B1672" s="5">
        <v>0.55554398148148143</v>
      </c>
      <c r="C1672">
        <v>83.2</v>
      </c>
      <c r="D1672">
        <v>80.7</v>
      </c>
      <c r="E1672">
        <v>83.2</v>
      </c>
      <c r="F1672">
        <v>82.1</v>
      </c>
      <c r="G1672">
        <v>0</v>
      </c>
      <c r="H1672">
        <v>0</v>
      </c>
      <c r="I1672">
        <v>0</v>
      </c>
      <c r="J1672">
        <v>0</v>
      </c>
      <c r="K1672">
        <v>75.2</v>
      </c>
      <c r="L1672">
        <v>73.7</v>
      </c>
      <c r="M1672">
        <v>82.32</v>
      </c>
      <c r="N1672">
        <v>27</v>
      </c>
      <c r="O1672">
        <v>3</v>
      </c>
      <c r="P1672">
        <f>MOD(DAY(datos_siembra[[#This Row],[Date]]),7)</f>
        <v>6</v>
      </c>
      <c r="Q1672" t="str">
        <f>CHOOSE(WEEKDAY(datos_siembra[[#This Row],[Date]],2),"L","M","X","J","V","S","D")</f>
        <v>V</v>
      </c>
      <c r="R1672">
        <f>WEEKNUM(datos_siembra[[#This Row],[Date]],2)-WEEKNUM(DATE(YEAR(datos_siembra[[#This Row],[Date]]),MONTH(datos_siembra[[#This Row],[Date]]),1))+1</f>
        <v>4</v>
      </c>
      <c r="S1672">
        <f>MONTH(datos_siembra[[#This Row],[Date]])</f>
        <v>9</v>
      </c>
      <c r="T1672" t="str" cm="1">
        <f t="array" ref="T1672">_xlfn.IFS(AND(N1672&lt;= 22, S1672=9), "SOWING",AND(N1672&lt;= 28, S1672=9), "COVERAGE",AND(N1672&lt;= 30, S1672=9), "FLUSH",AND(N1672&lt;= 11, S1672=10), "FLUSH",AND(N1672&lt;= 21, S1672=10), "PRODUCTION")</f>
        <v>COVERAGE</v>
      </c>
      <c r="U1672">
        <f>HOUR(datos_siembra[[#This Row],[Hour]])</f>
        <v>13</v>
      </c>
      <c r="V1672" cm="1">
        <f t="array" ref="V1672">_xlfn.IFS(AND(N1672&lt;= 22, S1672=9), N1672-7,AND(N1672&lt;= 28, S1672=9), N1672-25,AND(N1672&lt;= 30, S1672=9), N1672-28,AND(N1672&lt;= 11, S1672=10), N1672+2,AND(N1672&lt;= 21, S1672=10), N1672-11)</f>
        <v>2</v>
      </c>
    </row>
    <row r="1673" spans="1:22" x14ac:dyDescent="0.35">
      <c r="A1673" s="4">
        <v>45562</v>
      </c>
      <c r="B1673" s="5">
        <v>0.56248842592592596</v>
      </c>
      <c r="C1673">
        <v>83.1</v>
      </c>
      <c r="D1673">
        <v>80.8</v>
      </c>
      <c r="E1673">
        <v>83.1</v>
      </c>
      <c r="F1673">
        <v>82.1</v>
      </c>
      <c r="G1673">
        <v>0</v>
      </c>
      <c r="H1673">
        <v>0</v>
      </c>
      <c r="I1673">
        <v>0</v>
      </c>
      <c r="J1673">
        <v>0</v>
      </c>
      <c r="K1673">
        <v>75.400000000000006</v>
      </c>
      <c r="L1673">
        <v>73.7</v>
      </c>
      <c r="M1673">
        <v>82.37</v>
      </c>
      <c r="N1673">
        <v>27</v>
      </c>
      <c r="O1673">
        <v>3</v>
      </c>
      <c r="P1673">
        <f>MOD(DAY(datos_siembra[[#This Row],[Date]]),7)</f>
        <v>6</v>
      </c>
      <c r="Q1673" t="str">
        <f>CHOOSE(WEEKDAY(datos_siembra[[#This Row],[Date]],2),"L","M","X","J","V","S","D")</f>
        <v>V</v>
      </c>
      <c r="R1673">
        <f>WEEKNUM(datos_siembra[[#This Row],[Date]],2)-WEEKNUM(DATE(YEAR(datos_siembra[[#This Row],[Date]]),MONTH(datos_siembra[[#This Row],[Date]]),1))+1</f>
        <v>4</v>
      </c>
      <c r="S1673">
        <f>MONTH(datos_siembra[[#This Row],[Date]])</f>
        <v>9</v>
      </c>
      <c r="T1673" t="str" cm="1">
        <f t="array" ref="T1673">_xlfn.IFS(AND(N1673&lt;= 22, S1673=9), "SOWING",AND(N1673&lt;= 28, S1673=9), "COVERAGE",AND(N1673&lt;= 30, S1673=9), "FLUSH",AND(N1673&lt;= 11, S1673=10), "FLUSH",AND(N1673&lt;= 21, S1673=10), "PRODUCTION")</f>
        <v>COVERAGE</v>
      </c>
      <c r="U1673">
        <f>HOUR(datos_siembra[[#This Row],[Hour]])</f>
        <v>13</v>
      </c>
      <c r="V1673" cm="1">
        <f t="array" ref="V1673">_xlfn.IFS(AND(N1673&lt;= 22, S1673=9), N1673-7,AND(N1673&lt;= 28, S1673=9), N1673-25,AND(N1673&lt;= 30, S1673=9), N1673-28,AND(N1673&lt;= 11, S1673=10), N1673+2,AND(N1673&lt;= 21, S1673=10), N1673-11)</f>
        <v>2</v>
      </c>
    </row>
    <row r="1674" spans="1:22" x14ac:dyDescent="0.35">
      <c r="A1674" s="4">
        <v>45562</v>
      </c>
      <c r="B1674" s="5">
        <v>0.56943287037037038</v>
      </c>
      <c r="C1674">
        <v>83.2</v>
      </c>
      <c r="D1674">
        <v>80.8</v>
      </c>
      <c r="E1674">
        <v>83.2</v>
      </c>
      <c r="F1674">
        <v>82.2</v>
      </c>
      <c r="G1674">
        <v>0</v>
      </c>
      <c r="H1674">
        <v>0</v>
      </c>
      <c r="I1674">
        <v>0</v>
      </c>
      <c r="J1674">
        <v>0</v>
      </c>
      <c r="K1674">
        <v>75.400000000000006</v>
      </c>
      <c r="L1674">
        <v>73.900000000000006</v>
      </c>
      <c r="M1674">
        <v>82.4</v>
      </c>
      <c r="N1674">
        <v>27</v>
      </c>
      <c r="O1674">
        <v>3</v>
      </c>
      <c r="P1674">
        <f>MOD(DAY(datos_siembra[[#This Row],[Date]]),7)</f>
        <v>6</v>
      </c>
      <c r="Q1674" t="str">
        <f>CHOOSE(WEEKDAY(datos_siembra[[#This Row],[Date]],2),"L","M","X","J","V","S","D")</f>
        <v>V</v>
      </c>
      <c r="R1674">
        <f>WEEKNUM(datos_siembra[[#This Row],[Date]],2)-WEEKNUM(DATE(YEAR(datos_siembra[[#This Row],[Date]]),MONTH(datos_siembra[[#This Row],[Date]]),1))+1</f>
        <v>4</v>
      </c>
      <c r="S1674">
        <f>MONTH(datos_siembra[[#This Row],[Date]])</f>
        <v>9</v>
      </c>
      <c r="T1674" t="str" cm="1">
        <f t="array" ref="T1674">_xlfn.IFS(AND(N1674&lt;= 22, S1674=9), "SOWING",AND(N1674&lt;= 28, S1674=9), "COVERAGE",AND(N1674&lt;= 30, S1674=9), "FLUSH",AND(N1674&lt;= 11, S1674=10), "FLUSH",AND(N1674&lt;= 21, S1674=10), "PRODUCTION")</f>
        <v>COVERAGE</v>
      </c>
      <c r="U1674">
        <f>HOUR(datos_siembra[[#This Row],[Hour]])</f>
        <v>13</v>
      </c>
      <c r="V1674" cm="1">
        <f t="array" ref="V1674">_xlfn.IFS(AND(N1674&lt;= 22, S1674=9), N1674-7,AND(N1674&lt;= 28, S1674=9), N1674-25,AND(N1674&lt;= 30, S1674=9), N1674-28,AND(N1674&lt;= 11, S1674=10), N1674+2,AND(N1674&lt;= 21, S1674=10), N1674-11)</f>
        <v>2</v>
      </c>
    </row>
    <row r="1675" spans="1:22" x14ac:dyDescent="0.35">
      <c r="A1675" s="4">
        <v>45562</v>
      </c>
      <c r="B1675" s="5">
        <v>0.5763773148148148</v>
      </c>
      <c r="C1675">
        <v>83.1</v>
      </c>
      <c r="D1675">
        <v>80.8</v>
      </c>
      <c r="E1675">
        <v>83.2</v>
      </c>
      <c r="F1675">
        <v>82.3</v>
      </c>
      <c r="G1675">
        <v>0</v>
      </c>
      <c r="H1675">
        <v>0</v>
      </c>
      <c r="I1675">
        <v>0</v>
      </c>
      <c r="J1675">
        <v>0</v>
      </c>
      <c r="K1675">
        <v>75.5</v>
      </c>
      <c r="L1675">
        <v>73.7</v>
      </c>
      <c r="M1675">
        <v>82.4</v>
      </c>
      <c r="N1675">
        <v>27</v>
      </c>
      <c r="O1675">
        <v>3</v>
      </c>
      <c r="P1675">
        <f>MOD(DAY(datos_siembra[[#This Row],[Date]]),7)</f>
        <v>6</v>
      </c>
      <c r="Q1675" t="str">
        <f>CHOOSE(WEEKDAY(datos_siembra[[#This Row],[Date]],2),"L","M","X","J","V","S","D")</f>
        <v>V</v>
      </c>
      <c r="R1675">
        <f>WEEKNUM(datos_siembra[[#This Row],[Date]],2)-WEEKNUM(DATE(YEAR(datos_siembra[[#This Row],[Date]]),MONTH(datos_siembra[[#This Row],[Date]]),1))+1</f>
        <v>4</v>
      </c>
      <c r="S1675">
        <f>MONTH(datos_siembra[[#This Row],[Date]])</f>
        <v>9</v>
      </c>
      <c r="T1675" t="str" cm="1">
        <f t="array" ref="T1675">_xlfn.IFS(AND(N1675&lt;= 22, S1675=9), "SOWING",AND(N1675&lt;= 28, S1675=9), "COVERAGE",AND(N1675&lt;= 30, S1675=9), "FLUSH",AND(N1675&lt;= 11, S1675=10), "FLUSH",AND(N1675&lt;= 21, S1675=10), "PRODUCTION")</f>
        <v>COVERAGE</v>
      </c>
      <c r="U1675">
        <f>HOUR(datos_siembra[[#This Row],[Hour]])</f>
        <v>13</v>
      </c>
      <c r="V1675" cm="1">
        <f t="array" ref="V1675">_xlfn.IFS(AND(N1675&lt;= 22, S1675=9), N1675-7,AND(N1675&lt;= 28, S1675=9), N1675-25,AND(N1675&lt;= 30, S1675=9), N1675-28,AND(N1675&lt;= 11, S1675=10), N1675+2,AND(N1675&lt;= 21, S1675=10), N1675-11)</f>
        <v>2</v>
      </c>
    </row>
    <row r="1676" spans="1:22" x14ac:dyDescent="0.35">
      <c r="A1676" s="4">
        <v>45562</v>
      </c>
      <c r="B1676" s="5">
        <v>0.58332175925925922</v>
      </c>
      <c r="C1676">
        <v>83.2</v>
      </c>
      <c r="D1676">
        <v>80.8</v>
      </c>
      <c r="E1676">
        <v>83.2</v>
      </c>
      <c r="F1676">
        <v>82.2</v>
      </c>
      <c r="G1676">
        <v>0</v>
      </c>
      <c r="H1676">
        <v>0</v>
      </c>
      <c r="I1676">
        <v>0</v>
      </c>
      <c r="J1676">
        <v>0</v>
      </c>
      <c r="K1676">
        <v>75.5</v>
      </c>
      <c r="L1676">
        <v>73.7</v>
      </c>
      <c r="M1676">
        <v>82.4</v>
      </c>
      <c r="N1676">
        <v>27</v>
      </c>
      <c r="O1676">
        <v>3</v>
      </c>
      <c r="P1676">
        <f>MOD(DAY(datos_siembra[[#This Row],[Date]]),7)</f>
        <v>6</v>
      </c>
      <c r="Q1676" t="str">
        <f>CHOOSE(WEEKDAY(datos_siembra[[#This Row],[Date]],2),"L","M","X","J","V","S","D")</f>
        <v>V</v>
      </c>
      <c r="R1676">
        <f>WEEKNUM(datos_siembra[[#This Row],[Date]],2)-WEEKNUM(DATE(YEAR(datos_siembra[[#This Row],[Date]]),MONTH(datos_siembra[[#This Row],[Date]]),1))+1</f>
        <v>4</v>
      </c>
      <c r="S1676">
        <f>MONTH(datos_siembra[[#This Row],[Date]])</f>
        <v>9</v>
      </c>
      <c r="T1676" t="str" cm="1">
        <f t="array" ref="T1676">_xlfn.IFS(AND(N1676&lt;= 22, S1676=9), "SOWING",AND(N1676&lt;= 28, S1676=9), "COVERAGE",AND(N1676&lt;= 30, S1676=9), "FLUSH",AND(N1676&lt;= 11, S1676=10), "FLUSH",AND(N1676&lt;= 21, S1676=10), "PRODUCTION")</f>
        <v>COVERAGE</v>
      </c>
      <c r="U1676">
        <f>HOUR(datos_siembra[[#This Row],[Hour]])</f>
        <v>13</v>
      </c>
      <c r="V1676" cm="1">
        <f t="array" ref="V1676">_xlfn.IFS(AND(N1676&lt;= 22, S1676=9), N1676-7,AND(N1676&lt;= 28, S1676=9), N1676-25,AND(N1676&lt;= 30, S1676=9), N1676-28,AND(N1676&lt;= 11, S1676=10), N1676+2,AND(N1676&lt;= 21, S1676=10), N1676-11)</f>
        <v>2</v>
      </c>
    </row>
    <row r="1677" spans="1:22" x14ac:dyDescent="0.35">
      <c r="A1677" s="4">
        <v>45563</v>
      </c>
      <c r="B1677" s="5">
        <v>0.33592592592592591</v>
      </c>
      <c r="C1677">
        <v>84.6</v>
      </c>
      <c r="D1677">
        <v>82.5</v>
      </c>
      <c r="E1677">
        <v>86</v>
      </c>
      <c r="F1677">
        <v>84.4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75.599999999999994</v>
      </c>
      <c r="M1677">
        <v>84.4</v>
      </c>
      <c r="N1677">
        <v>28</v>
      </c>
      <c r="O1677">
        <v>4</v>
      </c>
      <c r="P1677">
        <f>MOD(DAY(datos_siembra[[#This Row],[Date]]),7)</f>
        <v>0</v>
      </c>
      <c r="Q1677" t="str">
        <f>CHOOSE(WEEKDAY(datos_siembra[[#This Row],[Date]],2),"L","M","X","J","V","S","D")</f>
        <v>S</v>
      </c>
      <c r="R1677">
        <f>WEEKNUM(datos_siembra[[#This Row],[Date]],2)-WEEKNUM(DATE(YEAR(datos_siembra[[#This Row],[Date]]),MONTH(datos_siembra[[#This Row],[Date]]),1))+1</f>
        <v>4</v>
      </c>
      <c r="S1677">
        <f>MONTH(datos_siembra[[#This Row],[Date]])</f>
        <v>9</v>
      </c>
      <c r="T1677" t="str" cm="1">
        <f t="array" ref="T1677">_xlfn.IFS(AND(N1677&lt;= 22, S1677=9), "SOWING",AND(N1677&lt;= 28, S1677=9), "COVERAGE",AND(N1677&lt;= 30, S1677=9), "FLUSH",AND(N1677&lt;= 11, S1677=10), "FLUSH",AND(N1677&lt;= 21, S1677=10), "PRODUCTION")</f>
        <v>COVERAGE</v>
      </c>
      <c r="U1677">
        <f>HOUR(datos_siembra[[#This Row],[Hour]])</f>
        <v>8</v>
      </c>
      <c r="V1677" cm="1">
        <f t="array" ref="V1677">_xlfn.IFS(AND(N1677&lt;= 22, S1677=9), N1677-7,AND(N1677&lt;= 28, S1677=9), N1677-25,AND(N1677&lt;= 30, S1677=9), N1677-28,AND(N1677&lt;= 11, S1677=10), N1677+2,AND(N1677&lt;= 21, S1677=10), N1677-11)</f>
        <v>3</v>
      </c>
    </row>
    <row r="1678" spans="1:22" x14ac:dyDescent="0.35">
      <c r="A1678" s="4">
        <v>45563</v>
      </c>
      <c r="B1678" s="5">
        <v>0.34274305555555556</v>
      </c>
      <c r="C1678">
        <v>84.5</v>
      </c>
      <c r="D1678">
        <v>82.6</v>
      </c>
      <c r="E1678">
        <v>86.2</v>
      </c>
      <c r="F1678">
        <v>84.6</v>
      </c>
      <c r="G1678">
        <v>0</v>
      </c>
      <c r="H1678">
        <v>0</v>
      </c>
      <c r="I1678">
        <v>0</v>
      </c>
      <c r="J1678">
        <v>0</v>
      </c>
      <c r="K1678">
        <v>76.8</v>
      </c>
      <c r="L1678">
        <v>75.599999999999994</v>
      </c>
      <c r="M1678">
        <v>84.59</v>
      </c>
      <c r="N1678">
        <v>28</v>
      </c>
      <c r="O1678">
        <v>4</v>
      </c>
      <c r="P1678">
        <f>MOD(DAY(datos_siembra[[#This Row],[Date]]),7)</f>
        <v>0</v>
      </c>
      <c r="Q1678" t="str">
        <f>CHOOSE(WEEKDAY(datos_siembra[[#This Row],[Date]],2),"L","M","X","J","V","S","D")</f>
        <v>S</v>
      </c>
      <c r="R1678">
        <f>WEEKNUM(datos_siembra[[#This Row],[Date]],2)-WEEKNUM(DATE(YEAR(datos_siembra[[#This Row],[Date]]),MONTH(datos_siembra[[#This Row],[Date]]),1))+1</f>
        <v>4</v>
      </c>
      <c r="S1678">
        <f>MONTH(datos_siembra[[#This Row],[Date]])</f>
        <v>9</v>
      </c>
      <c r="T1678" t="str" cm="1">
        <f t="array" ref="T1678">_xlfn.IFS(AND(N1678&lt;= 22, S1678=9), "SOWING",AND(N1678&lt;= 28, S1678=9), "COVERAGE",AND(N1678&lt;= 30, S1678=9), "FLUSH",AND(N1678&lt;= 11, S1678=10), "FLUSH",AND(N1678&lt;= 21, S1678=10), "PRODUCTION")</f>
        <v>COVERAGE</v>
      </c>
      <c r="U1678">
        <f>HOUR(datos_siembra[[#This Row],[Hour]])</f>
        <v>8</v>
      </c>
      <c r="V1678" cm="1">
        <f t="array" ref="V1678">_xlfn.IFS(AND(N1678&lt;= 22, S1678=9), N1678-7,AND(N1678&lt;= 28, S1678=9), N1678-25,AND(N1678&lt;= 30, S1678=9), N1678-28,AND(N1678&lt;= 11, S1678=10), N1678+2,AND(N1678&lt;= 21, S1678=10), N1678-11)</f>
        <v>3</v>
      </c>
    </row>
    <row r="1679" spans="1:22" x14ac:dyDescent="0.35">
      <c r="A1679" s="4">
        <v>45563</v>
      </c>
      <c r="B1679" s="5">
        <v>0.34969907407407408</v>
      </c>
      <c r="C1679">
        <v>84.8</v>
      </c>
      <c r="D1679">
        <v>82.6</v>
      </c>
      <c r="E1679">
        <v>86.1</v>
      </c>
      <c r="F1679">
        <v>84.6</v>
      </c>
      <c r="G1679">
        <v>0</v>
      </c>
      <c r="H1679">
        <v>0</v>
      </c>
      <c r="I1679">
        <v>0</v>
      </c>
      <c r="J1679">
        <v>0</v>
      </c>
      <c r="K1679">
        <v>76.8</v>
      </c>
      <c r="L1679">
        <v>75.5</v>
      </c>
      <c r="M1679">
        <v>84.57</v>
      </c>
      <c r="N1679">
        <v>28</v>
      </c>
      <c r="O1679">
        <v>4</v>
      </c>
      <c r="P1679">
        <f>MOD(DAY(datos_siembra[[#This Row],[Date]]),7)</f>
        <v>0</v>
      </c>
      <c r="Q1679" t="str">
        <f>CHOOSE(WEEKDAY(datos_siembra[[#This Row],[Date]],2),"L","M","X","J","V","S","D")</f>
        <v>S</v>
      </c>
      <c r="R1679">
        <f>WEEKNUM(datos_siembra[[#This Row],[Date]],2)-WEEKNUM(DATE(YEAR(datos_siembra[[#This Row],[Date]]),MONTH(datos_siembra[[#This Row],[Date]]),1))+1</f>
        <v>4</v>
      </c>
      <c r="S1679">
        <f>MONTH(datos_siembra[[#This Row],[Date]])</f>
        <v>9</v>
      </c>
      <c r="T1679" t="str" cm="1">
        <f t="array" ref="T1679">_xlfn.IFS(AND(N1679&lt;= 22, S1679=9), "SOWING",AND(N1679&lt;= 28, S1679=9), "COVERAGE",AND(N1679&lt;= 30, S1679=9), "FLUSH",AND(N1679&lt;= 11, S1679=10), "FLUSH",AND(N1679&lt;= 21, S1679=10), "PRODUCTION")</f>
        <v>COVERAGE</v>
      </c>
      <c r="U1679">
        <f>HOUR(datos_siembra[[#This Row],[Hour]])</f>
        <v>8</v>
      </c>
      <c r="V1679" cm="1">
        <f t="array" ref="V1679">_xlfn.IFS(AND(N1679&lt;= 22, S1679=9), N1679-7,AND(N1679&lt;= 28, S1679=9), N1679-25,AND(N1679&lt;= 30, S1679=9), N1679-28,AND(N1679&lt;= 11, S1679=10), N1679+2,AND(N1679&lt;= 21, S1679=10), N1679-11)</f>
        <v>3</v>
      </c>
    </row>
    <row r="1680" spans="1:22" x14ac:dyDescent="0.35">
      <c r="A1680" s="4">
        <v>45563</v>
      </c>
      <c r="B1680" s="5">
        <v>0.3566435185185185</v>
      </c>
      <c r="C1680">
        <v>84.6</v>
      </c>
      <c r="D1680">
        <v>82.7</v>
      </c>
      <c r="E1680">
        <v>86.2</v>
      </c>
      <c r="F1680">
        <v>84.4</v>
      </c>
      <c r="G1680">
        <v>0</v>
      </c>
      <c r="H1680">
        <v>0</v>
      </c>
      <c r="I1680">
        <v>0</v>
      </c>
      <c r="J1680">
        <v>0</v>
      </c>
      <c r="K1680">
        <v>76.7</v>
      </c>
      <c r="L1680">
        <v>75.8</v>
      </c>
      <c r="M1680">
        <v>84.57</v>
      </c>
      <c r="N1680">
        <v>28</v>
      </c>
      <c r="O1680">
        <v>4</v>
      </c>
      <c r="P1680">
        <f>MOD(DAY(datos_siembra[[#This Row],[Date]]),7)</f>
        <v>0</v>
      </c>
      <c r="Q1680" t="str">
        <f>CHOOSE(WEEKDAY(datos_siembra[[#This Row],[Date]],2),"L","M","X","J","V","S","D")</f>
        <v>S</v>
      </c>
      <c r="R1680">
        <f>WEEKNUM(datos_siembra[[#This Row],[Date]],2)-WEEKNUM(DATE(YEAR(datos_siembra[[#This Row],[Date]]),MONTH(datos_siembra[[#This Row],[Date]]),1))+1</f>
        <v>4</v>
      </c>
      <c r="S1680">
        <f>MONTH(datos_siembra[[#This Row],[Date]])</f>
        <v>9</v>
      </c>
      <c r="T1680" t="str" cm="1">
        <f t="array" ref="T1680">_xlfn.IFS(AND(N1680&lt;= 22, S1680=9), "SOWING",AND(N1680&lt;= 28, S1680=9), "COVERAGE",AND(N1680&lt;= 30, S1680=9), "FLUSH",AND(N1680&lt;= 11, S1680=10), "FLUSH",AND(N1680&lt;= 21, S1680=10), "PRODUCTION")</f>
        <v>COVERAGE</v>
      </c>
      <c r="U1680">
        <f>HOUR(datos_siembra[[#This Row],[Hour]])</f>
        <v>8</v>
      </c>
      <c r="V1680" cm="1">
        <f t="array" ref="V1680">_xlfn.IFS(AND(N1680&lt;= 22, S1680=9), N1680-7,AND(N1680&lt;= 28, S1680=9), N1680-25,AND(N1680&lt;= 30, S1680=9), N1680-28,AND(N1680&lt;= 11, S1680=10), N1680+2,AND(N1680&lt;= 21, S1680=10), N1680-11)</f>
        <v>3</v>
      </c>
    </row>
    <row r="1681" spans="1:22" x14ac:dyDescent="0.35">
      <c r="A1681" s="4">
        <v>45563</v>
      </c>
      <c r="B1681" s="5">
        <v>0.36358796296296297</v>
      </c>
      <c r="C1681">
        <v>84.6</v>
      </c>
      <c r="D1681">
        <v>82.7</v>
      </c>
      <c r="E1681">
        <v>86.2</v>
      </c>
      <c r="F1681">
        <v>84.8</v>
      </c>
      <c r="G1681">
        <v>0</v>
      </c>
      <c r="H1681">
        <v>0</v>
      </c>
      <c r="I1681">
        <v>0</v>
      </c>
      <c r="J1681">
        <v>0</v>
      </c>
      <c r="K1681">
        <v>76.8</v>
      </c>
      <c r="L1681">
        <v>75.599999999999994</v>
      </c>
      <c r="M1681">
        <v>84.68</v>
      </c>
      <c r="N1681">
        <v>28</v>
      </c>
      <c r="O1681">
        <v>4</v>
      </c>
      <c r="P1681">
        <f>MOD(DAY(datos_siembra[[#This Row],[Date]]),7)</f>
        <v>0</v>
      </c>
      <c r="Q1681" t="str">
        <f>CHOOSE(WEEKDAY(datos_siembra[[#This Row],[Date]],2),"L","M","X","J","V","S","D")</f>
        <v>S</v>
      </c>
      <c r="R1681">
        <f>WEEKNUM(datos_siembra[[#This Row],[Date]],2)-WEEKNUM(DATE(YEAR(datos_siembra[[#This Row],[Date]]),MONTH(datos_siembra[[#This Row],[Date]]),1))+1</f>
        <v>4</v>
      </c>
      <c r="S1681">
        <f>MONTH(datos_siembra[[#This Row],[Date]])</f>
        <v>9</v>
      </c>
      <c r="T1681" t="str" cm="1">
        <f t="array" ref="T1681">_xlfn.IFS(AND(N1681&lt;= 22, S1681=9), "SOWING",AND(N1681&lt;= 28, S1681=9), "COVERAGE",AND(N1681&lt;= 30, S1681=9), "FLUSH",AND(N1681&lt;= 11, S1681=10), "FLUSH",AND(N1681&lt;= 21, S1681=10), "PRODUCTION")</f>
        <v>COVERAGE</v>
      </c>
      <c r="U1681">
        <f>HOUR(datos_siembra[[#This Row],[Hour]])</f>
        <v>8</v>
      </c>
      <c r="V1681" cm="1">
        <f t="array" ref="V1681">_xlfn.IFS(AND(N1681&lt;= 22, S1681=9), N1681-7,AND(N1681&lt;= 28, S1681=9), N1681-25,AND(N1681&lt;= 30, S1681=9), N1681-28,AND(N1681&lt;= 11, S1681=10), N1681+2,AND(N1681&lt;= 21, S1681=10), N1681-11)</f>
        <v>3</v>
      </c>
    </row>
    <row r="1682" spans="1:22" x14ac:dyDescent="0.35">
      <c r="A1682" s="4">
        <v>45563</v>
      </c>
      <c r="B1682" s="5">
        <v>0.37053240740740739</v>
      </c>
      <c r="C1682">
        <v>84.6</v>
      </c>
      <c r="D1682">
        <v>82.7</v>
      </c>
      <c r="E1682">
        <v>86.2</v>
      </c>
      <c r="F1682">
        <v>84.6</v>
      </c>
      <c r="G1682">
        <v>0</v>
      </c>
      <c r="H1682">
        <v>0</v>
      </c>
      <c r="I1682">
        <v>0</v>
      </c>
      <c r="J1682">
        <v>0</v>
      </c>
      <c r="K1682">
        <v>76.8</v>
      </c>
      <c r="L1682">
        <v>75.599999999999994</v>
      </c>
      <c r="M1682">
        <v>84.65</v>
      </c>
      <c r="N1682">
        <v>28</v>
      </c>
      <c r="O1682">
        <v>4</v>
      </c>
      <c r="P1682">
        <f>MOD(DAY(datos_siembra[[#This Row],[Date]]),7)</f>
        <v>0</v>
      </c>
      <c r="Q1682" t="str">
        <f>CHOOSE(WEEKDAY(datos_siembra[[#This Row],[Date]],2),"L","M","X","J","V","S","D")</f>
        <v>S</v>
      </c>
      <c r="R1682">
        <f>WEEKNUM(datos_siembra[[#This Row],[Date]],2)-WEEKNUM(DATE(YEAR(datos_siembra[[#This Row],[Date]]),MONTH(datos_siembra[[#This Row],[Date]]),1))+1</f>
        <v>4</v>
      </c>
      <c r="S1682">
        <f>MONTH(datos_siembra[[#This Row],[Date]])</f>
        <v>9</v>
      </c>
      <c r="T1682" t="str" cm="1">
        <f t="array" ref="T1682">_xlfn.IFS(AND(N1682&lt;= 22, S1682=9), "SOWING",AND(N1682&lt;= 28, S1682=9), "COVERAGE",AND(N1682&lt;= 30, S1682=9), "FLUSH",AND(N1682&lt;= 11, S1682=10), "FLUSH",AND(N1682&lt;= 21, S1682=10), "PRODUCTION")</f>
        <v>COVERAGE</v>
      </c>
      <c r="U1682">
        <f>HOUR(datos_siembra[[#This Row],[Hour]])</f>
        <v>8</v>
      </c>
      <c r="V1682" cm="1">
        <f t="array" ref="V1682">_xlfn.IFS(AND(N1682&lt;= 22, S1682=9), N1682-7,AND(N1682&lt;= 28, S1682=9), N1682-25,AND(N1682&lt;= 30, S1682=9), N1682-28,AND(N1682&lt;= 11, S1682=10), N1682+2,AND(N1682&lt;= 21, S1682=10), N1682-11)</f>
        <v>3</v>
      </c>
    </row>
    <row r="1683" spans="1:22" x14ac:dyDescent="0.35">
      <c r="A1683" s="4">
        <v>45563</v>
      </c>
      <c r="B1683" s="5">
        <v>0.37748842592592591</v>
      </c>
      <c r="C1683">
        <v>84.6</v>
      </c>
      <c r="D1683">
        <v>82.7</v>
      </c>
      <c r="E1683">
        <v>86.3</v>
      </c>
      <c r="F1683">
        <v>84.6</v>
      </c>
      <c r="G1683">
        <v>0</v>
      </c>
      <c r="H1683">
        <v>0</v>
      </c>
      <c r="I1683">
        <v>0</v>
      </c>
      <c r="J1683">
        <v>0</v>
      </c>
      <c r="K1683">
        <v>76.900000000000006</v>
      </c>
      <c r="L1683">
        <v>75.599999999999994</v>
      </c>
      <c r="M1683">
        <v>84.65</v>
      </c>
      <c r="N1683">
        <v>28</v>
      </c>
      <c r="O1683">
        <v>4</v>
      </c>
      <c r="P1683">
        <f>MOD(DAY(datos_siembra[[#This Row],[Date]]),7)</f>
        <v>0</v>
      </c>
      <c r="Q1683" t="str">
        <f>CHOOSE(WEEKDAY(datos_siembra[[#This Row],[Date]],2),"L","M","X","J","V","S","D")</f>
        <v>S</v>
      </c>
      <c r="R1683">
        <f>WEEKNUM(datos_siembra[[#This Row],[Date]],2)-WEEKNUM(DATE(YEAR(datos_siembra[[#This Row],[Date]]),MONTH(datos_siembra[[#This Row],[Date]]),1))+1</f>
        <v>4</v>
      </c>
      <c r="S1683">
        <f>MONTH(datos_siembra[[#This Row],[Date]])</f>
        <v>9</v>
      </c>
      <c r="T1683" t="str" cm="1">
        <f t="array" ref="T1683">_xlfn.IFS(AND(N1683&lt;= 22, S1683=9), "SOWING",AND(N1683&lt;= 28, S1683=9), "COVERAGE",AND(N1683&lt;= 30, S1683=9), "FLUSH",AND(N1683&lt;= 11, S1683=10), "FLUSH",AND(N1683&lt;= 21, S1683=10), "PRODUCTION")</f>
        <v>COVERAGE</v>
      </c>
      <c r="U1683">
        <f>HOUR(datos_siembra[[#This Row],[Hour]])</f>
        <v>9</v>
      </c>
      <c r="V1683" cm="1">
        <f t="array" ref="V1683">_xlfn.IFS(AND(N1683&lt;= 22, S1683=9), N1683-7,AND(N1683&lt;= 28, S1683=9), N1683-25,AND(N1683&lt;= 30, S1683=9), N1683-28,AND(N1683&lt;= 11, S1683=10), N1683+2,AND(N1683&lt;= 21, S1683=10), N1683-11)</f>
        <v>3</v>
      </c>
    </row>
    <row r="1684" spans="1:22" x14ac:dyDescent="0.35">
      <c r="A1684" s="4">
        <v>45563</v>
      </c>
      <c r="B1684" s="5">
        <v>0.38443287037037038</v>
      </c>
      <c r="C1684">
        <v>84.5</v>
      </c>
      <c r="D1684">
        <v>82.7</v>
      </c>
      <c r="E1684">
        <v>86.3</v>
      </c>
      <c r="F1684">
        <v>84.9</v>
      </c>
      <c r="G1684">
        <v>0</v>
      </c>
      <c r="H1684">
        <v>0</v>
      </c>
      <c r="I1684">
        <v>0</v>
      </c>
      <c r="J1684">
        <v>0</v>
      </c>
      <c r="K1684">
        <v>76.900000000000006</v>
      </c>
      <c r="L1684">
        <v>75.8</v>
      </c>
      <c r="M1684">
        <v>84.68</v>
      </c>
      <c r="N1684">
        <v>28</v>
      </c>
      <c r="O1684">
        <v>4</v>
      </c>
      <c r="P1684">
        <f>MOD(DAY(datos_siembra[[#This Row],[Date]]),7)</f>
        <v>0</v>
      </c>
      <c r="Q1684" t="str">
        <f>CHOOSE(WEEKDAY(datos_siembra[[#This Row],[Date]],2),"L","M","X","J","V","S","D")</f>
        <v>S</v>
      </c>
      <c r="R1684">
        <f>WEEKNUM(datos_siembra[[#This Row],[Date]],2)-WEEKNUM(DATE(YEAR(datos_siembra[[#This Row],[Date]]),MONTH(datos_siembra[[#This Row],[Date]]),1))+1</f>
        <v>4</v>
      </c>
      <c r="S1684">
        <f>MONTH(datos_siembra[[#This Row],[Date]])</f>
        <v>9</v>
      </c>
      <c r="T1684" t="str" cm="1">
        <f t="array" ref="T1684">_xlfn.IFS(AND(N1684&lt;= 22, S1684=9), "SOWING",AND(N1684&lt;= 28, S1684=9), "COVERAGE",AND(N1684&lt;= 30, S1684=9), "FLUSH",AND(N1684&lt;= 11, S1684=10), "FLUSH",AND(N1684&lt;= 21, S1684=10), "PRODUCTION")</f>
        <v>COVERAGE</v>
      </c>
      <c r="U1684">
        <f>HOUR(datos_siembra[[#This Row],[Hour]])</f>
        <v>9</v>
      </c>
      <c r="V1684" cm="1">
        <f t="array" ref="V1684">_xlfn.IFS(AND(N1684&lt;= 22, S1684=9), N1684-7,AND(N1684&lt;= 28, S1684=9), N1684-25,AND(N1684&lt;= 30, S1684=9), N1684-28,AND(N1684&lt;= 11, S1684=10), N1684+2,AND(N1684&lt;= 21, S1684=10), N1684-11)</f>
        <v>3</v>
      </c>
    </row>
    <row r="1685" spans="1:22" x14ac:dyDescent="0.35">
      <c r="A1685" s="4">
        <v>45563</v>
      </c>
      <c r="B1685" s="5">
        <v>0.3913773148148148</v>
      </c>
      <c r="C1685">
        <v>84.9</v>
      </c>
      <c r="D1685">
        <v>82.9</v>
      </c>
      <c r="E1685">
        <v>86.3</v>
      </c>
      <c r="F1685">
        <v>84.9</v>
      </c>
      <c r="G1685">
        <v>0</v>
      </c>
      <c r="H1685">
        <v>0</v>
      </c>
      <c r="I1685">
        <v>0</v>
      </c>
      <c r="J1685">
        <v>0</v>
      </c>
      <c r="K1685">
        <v>76.900000000000006</v>
      </c>
      <c r="L1685">
        <v>75.8</v>
      </c>
      <c r="M1685">
        <v>84.65</v>
      </c>
      <c r="N1685">
        <v>28</v>
      </c>
      <c r="O1685">
        <v>4</v>
      </c>
      <c r="P1685">
        <f>MOD(DAY(datos_siembra[[#This Row],[Date]]),7)</f>
        <v>0</v>
      </c>
      <c r="Q1685" t="str">
        <f>CHOOSE(WEEKDAY(datos_siembra[[#This Row],[Date]],2),"L","M","X","J","V","S","D")</f>
        <v>S</v>
      </c>
      <c r="R1685">
        <f>WEEKNUM(datos_siembra[[#This Row],[Date]],2)-WEEKNUM(DATE(YEAR(datos_siembra[[#This Row],[Date]]),MONTH(datos_siembra[[#This Row],[Date]]),1))+1</f>
        <v>4</v>
      </c>
      <c r="S1685">
        <f>MONTH(datos_siembra[[#This Row],[Date]])</f>
        <v>9</v>
      </c>
      <c r="T1685" t="str" cm="1">
        <f t="array" ref="T1685">_xlfn.IFS(AND(N1685&lt;= 22, S1685=9), "SOWING",AND(N1685&lt;= 28, S1685=9), "COVERAGE",AND(N1685&lt;= 30, S1685=9), "FLUSH",AND(N1685&lt;= 11, S1685=10), "FLUSH",AND(N1685&lt;= 21, S1685=10), "PRODUCTION")</f>
        <v>COVERAGE</v>
      </c>
      <c r="U1685">
        <f>HOUR(datos_siembra[[#This Row],[Hour]])</f>
        <v>9</v>
      </c>
      <c r="V1685" cm="1">
        <f t="array" ref="V1685">_xlfn.IFS(AND(N1685&lt;= 22, S1685=9), N1685-7,AND(N1685&lt;= 28, S1685=9), N1685-25,AND(N1685&lt;= 30, S1685=9), N1685-28,AND(N1685&lt;= 11, S1685=10), N1685+2,AND(N1685&lt;= 21, S1685=10), N1685-11)</f>
        <v>3</v>
      </c>
    </row>
    <row r="1686" spans="1:22" x14ac:dyDescent="0.35">
      <c r="A1686" s="4">
        <v>45563</v>
      </c>
      <c r="B1686" s="5">
        <v>0.39833333333333332</v>
      </c>
      <c r="C1686">
        <v>84.8</v>
      </c>
      <c r="D1686">
        <v>82.7</v>
      </c>
      <c r="E1686">
        <v>86.3</v>
      </c>
      <c r="F1686">
        <v>84.5</v>
      </c>
      <c r="G1686">
        <v>0</v>
      </c>
      <c r="H1686">
        <v>0</v>
      </c>
      <c r="I1686">
        <v>0</v>
      </c>
      <c r="J1686">
        <v>0</v>
      </c>
      <c r="K1686">
        <v>77</v>
      </c>
      <c r="L1686">
        <v>75.8</v>
      </c>
      <c r="M1686">
        <v>84.62</v>
      </c>
      <c r="N1686">
        <v>28</v>
      </c>
      <c r="O1686">
        <v>4</v>
      </c>
      <c r="P1686">
        <f>MOD(DAY(datos_siembra[[#This Row],[Date]]),7)</f>
        <v>0</v>
      </c>
      <c r="Q1686" t="str">
        <f>CHOOSE(WEEKDAY(datos_siembra[[#This Row],[Date]],2),"L","M","X","J","V","S","D")</f>
        <v>S</v>
      </c>
      <c r="R1686">
        <f>WEEKNUM(datos_siembra[[#This Row],[Date]],2)-WEEKNUM(DATE(YEAR(datos_siembra[[#This Row],[Date]]),MONTH(datos_siembra[[#This Row],[Date]]),1))+1</f>
        <v>4</v>
      </c>
      <c r="S1686">
        <f>MONTH(datos_siembra[[#This Row],[Date]])</f>
        <v>9</v>
      </c>
      <c r="T1686" t="str" cm="1">
        <f t="array" ref="T1686">_xlfn.IFS(AND(N1686&lt;= 22, S1686=9), "SOWING",AND(N1686&lt;= 28, S1686=9), "COVERAGE",AND(N1686&lt;= 30, S1686=9), "FLUSH",AND(N1686&lt;= 11, S1686=10), "FLUSH",AND(N1686&lt;= 21, S1686=10), "PRODUCTION")</f>
        <v>COVERAGE</v>
      </c>
      <c r="U1686">
        <f>HOUR(datos_siembra[[#This Row],[Hour]])</f>
        <v>9</v>
      </c>
      <c r="V1686" cm="1">
        <f t="array" ref="V1686">_xlfn.IFS(AND(N1686&lt;= 22, S1686=9), N1686-7,AND(N1686&lt;= 28, S1686=9), N1686-25,AND(N1686&lt;= 30, S1686=9), N1686-28,AND(N1686&lt;= 11, S1686=10), N1686+2,AND(N1686&lt;= 21, S1686=10), N1686-11)</f>
        <v>3</v>
      </c>
    </row>
    <row r="1687" spans="1:22" x14ac:dyDescent="0.35">
      <c r="A1687" s="4">
        <v>45563</v>
      </c>
      <c r="B1687" s="5">
        <v>0.40527777777777779</v>
      </c>
      <c r="C1687">
        <v>84.8</v>
      </c>
      <c r="D1687">
        <v>83</v>
      </c>
      <c r="E1687">
        <v>86.5</v>
      </c>
      <c r="F1687">
        <v>84.8</v>
      </c>
      <c r="G1687">
        <v>0</v>
      </c>
      <c r="H1687">
        <v>0</v>
      </c>
      <c r="I1687">
        <v>0</v>
      </c>
      <c r="J1687">
        <v>0</v>
      </c>
      <c r="K1687">
        <v>77</v>
      </c>
      <c r="L1687">
        <v>75.900000000000006</v>
      </c>
      <c r="M1687">
        <v>84.73</v>
      </c>
      <c r="N1687">
        <v>28</v>
      </c>
      <c r="O1687">
        <v>4</v>
      </c>
      <c r="P1687">
        <f>MOD(DAY(datos_siembra[[#This Row],[Date]]),7)</f>
        <v>0</v>
      </c>
      <c r="Q1687" t="str">
        <f>CHOOSE(WEEKDAY(datos_siembra[[#This Row],[Date]],2),"L","M","X","J","V","S","D")</f>
        <v>S</v>
      </c>
      <c r="R1687">
        <f>WEEKNUM(datos_siembra[[#This Row],[Date]],2)-WEEKNUM(DATE(YEAR(datos_siembra[[#This Row],[Date]]),MONTH(datos_siembra[[#This Row],[Date]]),1))+1</f>
        <v>4</v>
      </c>
      <c r="S1687">
        <f>MONTH(datos_siembra[[#This Row],[Date]])</f>
        <v>9</v>
      </c>
      <c r="T1687" t="str" cm="1">
        <f t="array" ref="T1687">_xlfn.IFS(AND(N1687&lt;= 22, S1687=9), "SOWING",AND(N1687&lt;= 28, S1687=9), "COVERAGE",AND(N1687&lt;= 30, S1687=9), "FLUSH",AND(N1687&lt;= 11, S1687=10), "FLUSH",AND(N1687&lt;= 21, S1687=10), "PRODUCTION")</f>
        <v>COVERAGE</v>
      </c>
      <c r="U1687">
        <f>HOUR(datos_siembra[[#This Row],[Hour]])</f>
        <v>9</v>
      </c>
      <c r="V1687" cm="1">
        <f t="array" ref="V1687">_xlfn.IFS(AND(N1687&lt;= 22, S1687=9), N1687-7,AND(N1687&lt;= 28, S1687=9), N1687-25,AND(N1687&lt;= 30, S1687=9), N1687-28,AND(N1687&lt;= 11, S1687=10), N1687+2,AND(N1687&lt;= 21, S1687=10), N1687-11)</f>
        <v>3</v>
      </c>
    </row>
    <row r="1688" spans="1:22" x14ac:dyDescent="0.35">
      <c r="A1688" s="4">
        <v>45563</v>
      </c>
      <c r="B1688" s="5">
        <v>0.41222222222222221</v>
      </c>
      <c r="C1688">
        <v>84.8</v>
      </c>
      <c r="D1688">
        <v>82.7</v>
      </c>
      <c r="E1688">
        <v>86.5</v>
      </c>
      <c r="F1688">
        <v>84.8</v>
      </c>
      <c r="G1688">
        <v>0</v>
      </c>
      <c r="H1688">
        <v>0</v>
      </c>
      <c r="I1688">
        <v>0</v>
      </c>
      <c r="J1688">
        <v>0</v>
      </c>
      <c r="K1688">
        <v>77</v>
      </c>
      <c r="L1688">
        <v>76</v>
      </c>
      <c r="M1688">
        <v>84.71</v>
      </c>
      <c r="N1688">
        <v>28</v>
      </c>
      <c r="O1688">
        <v>4</v>
      </c>
      <c r="P1688">
        <f>MOD(DAY(datos_siembra[[#This Row],[Date]]),7)</f>
        <v>0</v>
      </c>
      <c r="Q1688" t="str">
        <f>CHOOSE(WEEKDAY(datos_siembra[[#This Row],[Date]],2),"L","M","X","J","V","S","D")</f>
        <v>S</v>
      </c>
      <c r="R1688">
        <f>WEEKNUM(datos_siembra[[#This Row],[Date]],2)-WEEKNUM(DATE(YEAR(datos_siembra[[#This Row],[Date]]),MONTH(datos_siembra[[#This Row],[Date]]),1))+1</f>
        <v>4</v>
      </c>
      <c r="S1688">
        <f>MONTH(datos_siembra[[#This Row],[Date]])</f>
        <v>9</v>
      </c>
      <c r="T1688" t="str" cm="1">
        <f t="array" ref="T1688">_xlfn.IFS(AND(N1688&lt;= 22, S1688=9), "SOWING",AND(N1688&lt;= 28, S1688=9), "COVERAGE",AND(N1688&lt;= 30, S1688=9), "FLUSH",AND(N1688&lt;= 11, S1688=10), "FLUSH",AND(N1688&lt;= 21, S1688=10), "PRODUCTION")</f>
        <v>COVERAGE</v>
      </c>
      <c r="U1688">
        <f>HOUR(datos_siembra[[#This Row],[Hour]])</f>
        <v>9</v>
      </c>
      <c r="V1688" cm="1">
        <f t="array" ref="V1688">_xlfn.IFS(AND(N1688&lt;= 22, S1688=9), N1688-7,AND(N1688&lt;= 28, S1688=9), N1688-25,AND(N1688&lt;= 30, S1688=9), N1688-28,AND(N1688&lt;= 11, S1688=10), N1688+2,AND(N1688&lt;= 21, S1688=10), N1688-11)</f>
        <v>3</v>
      </c>
    </row>
    <row r="1689" spans="1:22" x14ac:dyDescent="0.35">
      <c r="A1689" s="4">
        <v>45563</v>
      </c>
      <c r="B1689" s="5">
        <v>0.41916666666666669</v>
      </c>
      <c r="C1689">
        <v>84.8</v>
      </c>
      <c r="D1689">
        <v>82.9</v>
      </c>
      <c r="E1689">
        <v>86.6</v>
      </c>
      <c r="F1689">
        <v>84.9</v>
      </c>
      <c r="G1689">
        <v>0</v>
      </c>
      <c r="H1689">
        <v>0</v>
      </c>
      <c r="I1689">
        <v>0</v>
      </c>
      <c r="J1689">
        <v>0</v>
      </c>
      <c r="K1689">
        <v>77.099999999999994</v>
      </c>
      <c r="L1689">
        <v>75.900000000000006</v>
      </c>
      <c r="M1689">
        <v>84.82</v>
      </c>
      <c r="N1689">
        <v>28</v>
      </c>
      <c r="O1689">
        <v>4</v>
      </c>
      <c r="P1689">
        <f>MOD(DAY(datos_siembra[[#This Row],[Date]]),7)</f>
        <v>0</v>
      </c>
      <c r="Q1689" t="str">
        <f>CHOOSE(WEEKDAY(datos_siembra[[#This Row],[Date]],2),"L","M","X","J","V","S","D")</f>
        <v>S</v>
      </c>
      <c r="R1689">
        <f>WEEKNUM(datos_siembra[[#This Row],[Date]],2)-WEEKNUM(DATE(YEAR(datos_siembra[[#This Row],[Date]]),MONTH(datos_siembra[[#This Row],[Date]]),1))+1</f>
        <v>4</v>
      </c>
      <c r="S1689">
        <f>MONTH(datos_siembra[[#This Row],[Date]])</f>
        <v>9</v>
      </c>
      <c r="T1689" t="str" cm="1">
        <f t="array" ref="T1689">_xlfn.IFS(AND(N1689&lt;= 22, S1689=9), "SOWING",AND(N1689&lt;= 28, S1689=9), "COVERAGE",AND(N1689&lt;= 30, S1689=9), "FLUSH",AND(N1689&lt;= 11, S1689=10), "FLUSH",AND(N1689&lt;= 21, S1689=10), "PRODUCTION")</f>
        <v>COVERAGE</v>
      </c>
      <c r="U1689">
        <f>HOUR(datos_siembra[[#This Row],[Hour]])</f>
        <v>10</v>
      </c>
      <c r="V1689" cm="1">
        <f t="array" ref="V1689">_xlfn.IFS(AND(N1689&lt;= 22, S1689=9), N1689-7,AND(N1689&lt;= 28, S1689=9), N1689-25,AND(N1689&lt;= 30, S1689=9), N1689-28,AND(N1689&lt;= 11, S1689=10), N1689+2,AND(N1689&lt;= 21, S1689=10), N1689-11)</f>
        <v>3</v>
      </c>
    </row>
    <row r="1690" spans="1:22" x14ac:dyDescent="0.35">
      <c r="A1690" s="4">
        <v>45563</v>
      </c>
      <c r="B1690" s="5">
        <v>0.4261226851851852</v>
      </c>
      <c r="C1690">
        <v>84.9</v>
      </c>
      <c r="D1690">
        <v>82.9</v>
      </c>
      <c r="E1690">
        <v>86.5</v>
      </c>
      <c r="F1690">
        <v>84.8</v>
      </c>
      <c r="G1690">
        <v>0</v>
      </c>
      <c r="H1690">
        <v>0</v>
      </c>
      <c r="I1690">
        <v>0</v>
      </c>
      <c r="J1690">
        <v>0</v>
      </c>
      <c r="K1690">
        <v>77.099999999999994</v>
      </c>
      <c r="L1690">
        <v>75.900000000000006</v>
      </c>
      <c r="M1690">
        <v>84.73</v>
      </c>
      <c r="N1690">
        <v>28</v>
      </c>
      <c r="O1690">
        <v>4</v>
      </c>
      <c r="P1690">
        <f>MOD(DAY(datos_siembra[[#This Row],[Date]]),7)</f>
        <v>0</v>
      </c>
      <c r="Q1690" t="str">
        <f>CHOOSE(WEEKDAY(datos_siembra[[#This Row],[Date]],2),"L","M","X","J","V","S","D")</f>
        <v>S</v>
      </c>
      <c r="R1690">
        <f>WEEKNUM(datos_siembra[[#This Row],[Date]],2)-WEEKNUM(DATE(YEAR(datos_siembra[[#This Row],[Date]]),MONTH(datos_siembra[[#This Row],[Date]]),1))+1</f>
        <v>4</v>
      </c>
      <c r="S1690">
        <f>MONTH(datos_siembra[[#This Row],[Date]])</f>
        <v>9</v>
      </c>
      <c r="T1690" t="str" cm="1">
        <f t="array" ref="T1690">_xlfn.IFS(AND(N1690&lt;= 22, S1690=9), "SOWING",AND(N1690&lt;= 28, S1690=9), "COVERAGE",AND(N1690&lt;= 30, S1690=9), "FLUSH",AND(N1690&lt;= 11, S1690=10), "FLUSH",AND(N1690&lt;= 21, S1690=10), "PRODUCTION")</f>
        <v>COVERAGE</v>
      </c>
      <c r="U1690">
        <f>HOUR(datos_siembra[[#This Row],[Hour]])</f>
        <v>10</v>
      </c>
      <c r="V1690" cm="1">
        <f t="array" ref="V1690">_xlfn.IFS(AND(N1690&lt;= 22, S1690=9), N1690-7,AND(N1690&lt;= 28, S1690=9), N1690-25,AND(N1690&lt;= 30, S1690=9), N1690-28,AND(N1690&lt;= 11, S1690=10), N1690+2,AND(N1690&lt;= 21, S1690=10), N1690-11)</f>
        <v>3</v>
      </c>
    </row>
    <row r="1691" spans="1:22" x14ac:dyDescent="0.35">
      <c r="A1691" s="4">
        <v>45563</v>
      </c>
      <c r="B1691" s="5">
        <v>0.43306712962962962</v>
      </c>
      <c r="C1691">
        <v>84.9</v>
      </c>
      <c r="D1691">
        <v>82.9</v>
      </c>
      <c r="E1691">
        <v>86.5</v>
      </c>
      <c r="F1691">
        <v>84.8</v>
      </c>
      <c r="G1691">
        <v>0</v>
      </c>
      <c r="H1691">
        <v>0</v>
      </c>
      <c r="I1691">
        <v>0</v>
      </c>
      <c r="J1691">
        <v>0</v>
      </c>
      <c r="K1691">
        <v>77.3</v>
      </c>
      <c r="L1691">
        <v>76</v>
      </c>
      <c r="M1691">
        <v>84.68</v>
      </c>
      <c r="N1691">
        <v>28</v>
      </c>
      <c r="O1691">
        <v>4</v>
      </c>
      <c r="P1691">
        <f>MOD(DAY(datos_siembra[[#This Row],[Date]]),7)</f>
        <v>0</v>
      </c>
      <c r="Q1691" t="str">
        <f>CHOOSE(WEEKDAY(datos_siembra[[#This Row],[Date]],2),"L","M","X","J","V","S","D")</f>
        <v>S</v>
      </c>
      <c r="R1691">
        <f>WEEKNUM(datos_siembra[[#This Row],[Date]],2)-WEEKNUM(DATE(YEAR(datos_siembra[[#This Row],[Date]]),MONTH(datos_siembra[[#This Row],[Date]]),1))+1</f>
        <v>4</v>
      </c>
      <c r="S1691">
        <f>MONTH(datos_siembra[[#This Row],[Date]])</f>
        <v>9</v>
      </c>
      <c r="T1691" t="str" cm="1">
        <f t="array" ref="T1691">_xlfn.IFS(AND(N1691&lt;= 22, S1691=9), "SOWING",AND(N1691&lt;= 28, S1691=9), "COVERAGE",AND(N1691&lt;= 30, S1691=9), "FLUSH",AND(N1691&lt;= 11, S1691=10), "FLUSH",AND(N1691&lt;= 21, S1691=10), "PRODUCTION")</f>
        <v>COVERAGE</v>
      </c>
      <c r="U1691">
        <f>HOUR(datos_siembra[[#This Row],[Hour]])</f>
        <v>10</v>
      </c>
      <c r="V1691" cm="1">
        <f t="array" ref="V1691">_xlfn.IFS(AND(N1691&lt;= 22, S1691=9), N1691-7,AND(N1691&lt;= 28, S1691=9), N1691-25,AND(N1691&lt;= 30, S1691=9), N1691-28,AND(N1691&lt;= 11, S1691=10), N1691+2,AND(N1691&lt;= 21, S1691=10), N1691-11)</f>
        <v>3</v>
      </c>
    </row>
    <row r="1692" spans="1:22" x14ac:dyDescent="0.35">
      <c r="A1692" s="4">
        <v>45563</v>
      </c>
      <c r="B1692" s="5">
        <v>0.4400115740740741</v>
      </c>
      <c r="C1692">
        <v>84.9</v>
      </c>
      <c r="D1692">
        <v>82.9</v>
      </c>
      <c r="E1692">
        <v>86.6</v>
      </c>
      <c r="F1692">
        <v>84.8</v>
      </c>
      <c r="G1692">
        <v>0</v>
      </c>
      <c r="H1692">
        <v>0</v>
      </c>
      <c r="I1692">
        <v>0</v>
      </c>
      <c r="J1692">
        <v>0</v>
      </c>
      <c r="K1692">
        <v>77.3</v>
      </c>
      <c r="L1692">
        <v>76</v>
      </c>
      <c r="M1692">
        <v>84.73</v>
      </c>
      <c r="N1692">
        <v>28</v>
      </c>
      <c r="O1692">
        <v>4</v>
      </c>
      <c r="P1692">
        <f>MOD(DAY(datos_siembra[[#This Row],[Date]]),7)</f>
        <v>0</v>
      </c>
      <c r="Q1692" t="str">
        <f>CHOOSE(WEEKDAY(datos_siembra[[#This Row],[Date]],2),"L","M","X","J","V","S","D")</f>
        <v>S</v>
      </c>
      <c r="R1692">
        <f>WEEKNUM(datos_siembra[[#This Row],[Date]],2)-WEEKNUM(DATE(YEAR(datos_siembra[[#This Row],[Date]]),MONTH(datos_siembra[[#This Row],[Date]]),1))+1</f>
        <v>4</v>
      </c>
      <c r="S1692">
        <f>MONTH(datos_siembra[[#This Row],[Date]])</f>
        <v>9</v>
      </c>
      <c r="T1692" t="str" cm="1">
        <f t="array" ref="T1692">_xlfn.IFS(AND(N1692&lt;= 22, S1692=9), "SOWING",AND(N1692&lt;= 28, S1692=9), "COVERAGE",AND(N1692&lt;= 30, S1692=9), "FLUSH",AND(N1692&lt;= 11, S1692=10), "FLUSH",AND(N1692&lt;= 21, S1692=10), "PRODUCTION")</f>
        <v>COVERAGE</v>
      </c>
      <c r="U1692">
        <f>HOUR(datos_siembra[[#This Row],[Hour]])</f>
        <v>10</v>
      </c>
      <c r="V1692" cm="1">
        <f t="array" ref="V1692">_xlfn.IFS(AND(N1692&lt;= 22, S1692=9), N1692-7,AND(N1692&lt;= 28, S1692=9), N1692-25,AND(N1692&lt;= 30, S1692=9), N1692-28,AND(N1692&lt;= 11, S1692=10), N1692+2,AND(N1692&lt;= 21, S1692=10), N1692-11)</f>
        <v>3</v>
      </c>
    </row>
    <row r="1693" spans="1:22" x14ac:dyDescent="0.35">
      <c r="A1693" s="4">
        <v>45563</v>
      </c>
      <c r="B1693" s="5">
        <v>0.44696759259259261</v>
      </c>
      <c r="C1693">
        <v>84.9</v>
      </c>
      <c r="D1693">
        <v>82.9</v>
      </c>
      <c r="E1693">
        <v>86.6</v>
      </c>
      <c r="F1693">
        <v>84.8</v>
      </c>
      <c r="G1693">
        <v>0</v>
      </c>
      <c r="H1693">
        <v>0</v>
      </c>
      <c r="I1693">
        <v>0</v>
      </c>
      <c r="J1693">
        <v>0</v>
      </c>
      <c r="K1693">
        <v>77.5</v>
      </c>
      <c r="L1693">
        <v>76.099999999999994</v>
      </c>
      <c r="M1693">
        <v>84.82</v>
      </c>
      <c r="N1693">
        <v>28</v>
      </c>
      <c r="O1693">
        <v>4</v>
      </c>
      <c r="P1693">
        <f>MOD(DAY(datos_siembra[[#This Row],[Date]]),7)</f>
        <v>0</v>
      </c>
      <c r="Q1693" t="str">
        <f>CHOOSE(WEEKDAY(datos_siembra[[#This Row],[Date]],2),"L","M","X","J","V","S","D")</f>
        <v>S</v>
      </c>
      <c r="R1693">
        <f>WEEKNUM(datos_siembra[[#This Row],[Date]],2)-WEEKNUM(DATE(YEAR(datos_siembra[[#This Row],[Date]]),MONTH(datos_siembra[[#This Row],[Date]]),1))+1</f>
        <v>4</v>
      </c>
      <c r="S1693">
        <f>MONTH(datos_siembra[[#This Row],[Date]])</f>
        <v>9</v>
      </c>
      <c r="T1693" t="str" cm="1">
        <f t="array" ref="T1693">_xlfn.IFS(AND(N1693&lt;= 22, S1693=9), "SOWING",AND(N1693&lt;= 28, S1693=9), "COVERAGE",AND(N1693&lt;= 30, S1693=9), "FLUSH",AND(N1693&lt;= 11, S1693=10), "FLUSH",AND(N1693&lt;= 21, S1693=10), "PRODUCTION")</f>
        <v>COVERAGE</v>
      </c>
      <c r="U1693">
        <f>HOUR(datos_siembra[[#This Row],[Hour]])</f>
        <v>10</v>
      </c>
      <c r="V1693" cm="1">
        <f t="array" ref="V1693">_xlfn.IFS(AND(N1693&lt;= 22, S1693=9), N1693-7,AND(N1693&lt;= 28, S1693=9), N1693-25,AND(N1693&lt;= 30, S1693=9), N1693-28,AND(N1693&lt;= 11, S1693=10), N1693+2,AND(N1693&lt;= 21, S1693=10), N1693-11)</f>
        <v>3</v>
      </c>
    </row>
    <row r="1694" spans="1:22" x14ac:dyDescent="0.35">
      <c r="A1694" s="4">
        <v>45563</v>
      </c>
      <c r="B1694" s="5">
        <v>0.45391203703703703</v>
      </c>
      <c r="C1694">
        <v>84.8</v>
      </c>
      <c r="D1694">
        <v>82.9</v>
      </c>
      <c r="E1694">
        <v>86.5</v>
      </c>
      <c r="F1694">
        <v>84.8</v>
      </c>
      <c r="G1694">
        <v>0</v>
      </c>
      <c r="H1694">
        <v>0</v>
      </c>
      <c r="I1694">
        <v>0</v>
      </c>
      <c r="J1694">
        <v>0</v>
      </c>
      <c r="K1694">
        <v>77.5</v>
      </c>
      <c r="L1694">
        <v>76.099999999999994</v>
      </c>
      <c r="M1694">
        <v>84.79</v>
      </c>
      <c r="N1694">
        <v>28</v>
      </c>
      <c r="O1694">
        <v>4</v>
      </c>
      <c r="P1694">
        <f>MOD(DAY(datos_siembra[[#This Row],[Date]]),7)</f>
        <v>0</v>
      </c>
      <c r="Q1694" t="str">
        <f>CHOOSE(WEEKDAY(datos_siembra[[#This Row],[Date]],2),"L","M","X","J","V","S","D")</f>
        <v>S</v>
      </c>
      <c r="R1694">
        <f>WEEKNUM(datos_siembra[[#This Row],[Date]],2)-WEEKNUM(DATE(YEAR(datos_siembra[[#This Row],[Date]]),MONTH(datos_siembra[[#This Row],[Date]]),1))+1</f>
        <v>4</v>
      </c>
      <c r="S1694">
        <f>MONTH(datos_siembra[[#This Row],[Date]])</f>
        <v>9</v>
      </c>
      <c r="T1694" t="str" cm="1">
        <f t="array" ref="T1694">_xlfn.IFS(AND(N1694&lt;= 22, S1694=9), "SOWING",AND(N1694&lt;= 28, S1694=9), "COVERAGE",AND(N1694&lt;= 30, S1694=9), "FLUSH",AND(N1694&lt;= 11, S1694=10), "FLUSH",AND(N1694&lt;= 21, S1694=10), "PRODUCTION")</f>
        <v>COVERAGE</v>
      </c>
      <c r="U1694">
        <f>HOUR(datos_siembra[[#This Row],[Hour]])</f>
        <v>10</v>
      </c>
      <c r="V1694" cm="1">
        <f t="array" ref="V1694">_xlfn.IFS(AND(N1694&lt;= 22, S1694=9), N1694-7,AND(N1694&lt;= 28, S1694=9), N1694-25,AND(N1694&lt;= 30, S1694=9), N1694-28,AND(N1694&lt;= 11, S1694=10), N1694+2,AND(N1694&lt;= 21, S1694=10), N1694-11)</f>
        <v>3</v>
      </c>
    </row>
    <row r="1695" spans="1:22" x14ac:dyDescent="0.35">
      <c r="A1695" s="4">
        <v>45563</v>
      </c>
      <c r="B1695" s="5">
        <v>0.46085648148148151</v>
      </c>
      <c r="C1695">
        <v>84.8</v>
      </c>
      <c r="D1695">
        <v>82.9</v>
      </c>
      <c r="E1695">
        <v>86.6</v>
      </c>
      <c r="F1695">
        <v>84.8</v>
      </c>
      <c r="G1695">
        <v>0</v>
      </c>
      <c r="H1695">
        <v>0</v>
      </c>
      <c r="I1695">
        <v>0</v>
      </c>
      <c r="J1695">
        <v>0</v>
      </c>
      <c r="K1695">
        <v>77.599999999999994</v>
      </c>
      <c r="L1695">
        <v>75.900000000000006</v>
      </c>
      <c r="M1695">
        <v>84.79</v>
      </c>
      <c r="N1695">
        <v>28</v>
      </c>
      <c r="O1695">
        <v>4</v>
      </c>
      <c r="P1695">
        <f>MOD(DAY(datos_siembra[[#This Row],[Date]]),7)</f>
        <v>0</v>
      </c>
      <c r="Q1695" t="str">
        <f>CHOOSE(WEEKDAY(datos_siembra[[#This Row],[Date]],2),"L","M","X","J","V","S","D")</f>
        <v>S</v>
      </c>
      <c r="R1695">
        <f>WEEKNUM(datos_siembra[[#This Row],[Date]],2)-WEEKNUM(DATE(YEAR(datos_siembra[[#This Row],[Date]]),MONTH(datos_siembra[[#This Row],[Date]]),1))+1</f>
        <v>4</v>
      </c>
      <c r="S1695">
        <f>MONTH(datos_siembra[[#This Row],[Date]])</f>
        <v>9</v>
      </c>
      <c r="T1695" t="str" cm="1">
        <f t="array" ref="T1695">_xlfn.IFS(AND(N1695&lt;= 22, S1695=9), "SOWING",AND(N1695&lt;= 28, S1695=9), "COVERAGE",AND(N1695&lt;= 30, S1695=9), "FLUSH",AND(N1695&lt;= 11, S1695=10), "FLUSH",AND(N1695&lt;= 21, S1695=10), "PRODUCTION")</f>
        <v>COVERAGE</v>
      </c>
      <c r="U1695">
        <f>HOUR(datos_siembra[[#This Row],[Hour]])</f>
        <v>11</v>
      </c>
      <c r="V1695" cm="1">
        <f t="array" ref="V1695">_xlfn.IFS(AND(N1695&lt;= 22, S1695=9), N1695-7,AND(N1695&lt;= 28, S1695=9), N1695-25,AND(N1695&lt;= 30, S1695=9), N1695-28,AND(N1695&lt;= 11, S1695=10), N1695+2,AND(N1695&lt;= 21, S1695=10), N1695-11)</f>
        <v>3</v>
      </c>
    </row>
    <row r="1696" spans="1:22" x14ac:dyDescent="0.35">
      <c r="A1696" s="4">
        <v>45563</v>
      </c>
      <c r="B1696" s="5">
        <v>0.46781250000000002</v>
      </c>
      <c r="C1696">
        <v>84.9</v>
      </c>
      <c r="D1696">
        <v>82.9</v>
      </c>
      <c r="E1696">
        <v>86.6</v>
      </c>
      <c r="F1696">
        <v>84.6</v>
      </c>
      <c r="G1696">
        <v>0</v>
      </c>
      <c r="H1696">
        <v>0</v>
      </c>
      <c r="I1696">
        <v>0</v>
      </c>
      <c r="J1696">
        <v>0</v>
      </c>
      <c r="K1696">
        <v>77.599999999999994</v>
      </c>
      <c r="L1696">
        <v>76.3</v>
      </c>
      <c r="M1696">
        <v>84.79</v>
      </c>
      <c r="N1696">
        <v>28</v>
      </c>
      <c r="O1696">
        <v>4</v>
      </c>
      <c r="P1696">
        <f>MOD(DAY(datos_siembra[[#This Row],[Date]]),7)</f>
        <v>0</v>
      </c>
      <c r="Q1696" t="str">
        <f>CHOOSE(WEEKDAY(datos_siembra[[#This Row],[Date]],2),"L","M","X","J","V","S","D")</f>
        <v>S</v>
      </c>
      <c r="R1696">
        <f>WEEKNUM(datos_siembra[[#This Row],[Date]],2)-WEEKNUM(DATE(YEAR(datos_siembra[[#This Row],[Date]]),MONTH(datos_siembra[[#This Row],[Date]]),1))+1</f>
        <v>4</v>
      </c>
      <c r="S1696">
        <f>MONTH(datos_siembra[[#This Row],[Date]])</f>
        <v>9</v>
      </c>
      <c r="T1696" t="str" cm="1">
        <f t="array" ref="T1696">_xlfn.IFS(AND(N1696&lt;= 22, S1696=9), "SOWING",AND(N1696&lt;= 28, S1696=9), "COVERAGE",AND(N1696&lt;= 30, S1696=9), "FLUSH",AND(N1696&lt;= 11, S1696=10), "FLUSH",AND(N1696&lt;= 21, S1696=10), "PRODUCTION")</f>
        <v>COVERAGE</v>
      </c>
      <c r="U1696">
        <f>HOUR(datos_siembra[[#This Row],[Hour]])</f>
        <v>11</v>
      </c>
      <c r="V1696" cm="1">
        <f t="array" ref="V1696">_xlfn.IFS(AND(N1696&lt;= 22, S1696=9), N1696-7,AND(N1696&lt;= 28, S1696=9), N1696-25,AND(N1696&lt;= 30, S1696=9), N1696-28,AND(N1696&lt;= 11, S1696=10), N1696+2,AND(N1696&lt;= 21, S1696=10), N1696-11)</f>
        <v>3</v>
      </c>
    </row>
    <row r="1697" spans="1:22" x14ac:dyDescent="0.35">
      <c r="A1697" s="4">
        <v>45563</v>
      </c>
      <c r="B1697" s="5">
        <v>0.47475694444444444</v>
      </c>
      <c r="C1697">
        <v>84.9</v>
      </c>
      <c r="D1697">
        <v>82.9</v>
      </c>
      <c r="E1697">
        <v>86.8</v>
      </c>
      <c r="F1697">
        <v>84.9</v>
      </c>
      <c r="G1697">
        <v>0</v>
      </c>
      <c r="H1697">
        <v>0</v>
      </c>
      <c r="I1697">
        <v>0</v>
      </c>
      <c r="J1697">
        <v>0</v>
      </c>
      <c r="K1697">
        <v>77.5</v>
      </c>
      <c r="L1697">
        <v>76.3</v>
      </c>
      <c r="M1697">
        <v>84.82</v>
      </c>
      <c r="N1697">
        <v>28</v>
      </c>
      <c r="O1697">
        <v>4</v>
      </c>
      <c r="P1697">
        <f>MOD(DAY(datos_siembra[[#This Row],[Date]]),7)</f>
        <v>0</v>
      </c>
      <c r="Q1697" t="str">
        <f>CHOOSE(WEEKDAY(datos_siembra[[#This Row],[Date]],2),"L","M","X","J","V","S","D")</f>
        <v>S</v>
      </c>
      <c r="R1697">
        <f>WEEKNUM(datos_siembra[[#This Row],[Date]],2)-WEEKNUM(DATE(YEAR(datos_siembra[[#This Row],[Date]]),MONTH(datos_siembra[[#This Row],[Date]]),1))+1</f>
        <v>4</v>
      </c>
      <c r="S1697">
        <f>MONTH(datos_siembra[[#This Row],[Date]])</f>
        <v>9</v>
      </c>
      <c r="T1697" t="str" cm="1">
        <f t="array" ref="T1697">_xlfn.IFS(AND(N1697&lt;= 22, S1697=9), "SOWING",AND(N1697&lt;= 28, S1697=9), "COVERAGE",AND(N1697&lt;= 30, S1697=9), "FLUSH",AND(N1697&lt;= 11, S1697=10), "FLUSH",AND(N1697&lt;= 21, S1697=10), "PRODUCTION")</f>
        <v>COVERAGE</v>
      </c>
      <c r="U1697">
        <f>HOUR(datos_siembra[[#This Row],[Hour]])</f>
        <v>11</v>
      </c>
      <c r="V1697" cm="1">
        <f t="array" ref="V1697">_xlfn.IFS(AND(N1697&lt;= 22, S1697=9), N1697-7,AND(N1697&lt;= 28, S1697=9), N1697-25,AND(N1697&lt;= 30, S1697=9), N1697-28,AND(N1697&lt;= 11, S1697=10), N1697+2,AND(N1697&lt;= 21, S1697=10), N1697-11)</f>
        <v>3</v>
      </c>
    </row>
    <row r="1698" spans="1:22" x14ac:dyDescent="0.35">
      <c r="A1698" s="4">
        <v>45563</v>
      </c>
      <c r="B1698" s="5">
        <v>0.48170138888888892</v>
      </c>
      <c r="C1698">
        <v>84.8</v>
      </c>
      <c r="D1698">
        <v>82.9</v>
      </c>
      <c r="E1698">
        <v>86.7</v>
      </c>
      <c r="F1698">
        <v>84.9</v>
      </c>
      <c r="G1698">
        <v>0</v>
      </c>
      <c r="H1698">
        <v>0</v>
      </c>
      <c r="I1698">
        <v>0</v>
      </c>
      <c r="J1698">
        <v>0</v>
      </c>
      <c r="K1698">
        <v>77.599999999999994</v>
      </c>
      <c r="L1698">
        <v>76.400000000000006</v>
      </c>
      <c r="M1698">
        <v>84.82</v>
      </c>
      <c r="N1698">
        <v>28</v>
      </c>
      <c r="O1698">
        <v>4</v>
      </c>
      <c r="P1698">
        <f>MOD(DAY(datos_siembra[[#This Row],[Date]]),7)</f>
        <v>0</v>
      </c>
      <c r="Q1698" t="str">
        <f>CHOOSE(WEEKDAY(datos_siembra[[#This Row],[Date]],2),"L","M","X","J","V","S","D")</f>
        <v>S</v>
      </c>
      <c r="R1698">
        <f>WEEKNUM(datos_siembra[[#This Row],[Date]],2)-WEEKNUM(DATE(YEAR(datos_siembra[[#This Row],[Date]]),MONTH(datos_siembra[[#This Row],[Date]]),1))+1</f>
        <v>4</v>
      </c>
      <c r="S1698">
        <f>MONTH(datos_siembra[[#This Row],[Date]])</f>
        <v>9</v>
      </c>
      <c r="T1698" t="str" cm="1">
        <f t="array" ref="T1698">_xlfn.IFS(AND(N1698&lt;= 22, S1698=9), "SOWING",AND(N1698&lt;= 28, S1698=9), "COVERAGE",AND(N1698&lt;= 30, S1698=9), "FLUSH",AND(N1698&lt;= 11, S1698=10), "FLUSH",AND(N1698&lt;= 21, S1698=10), "PRODUCTION")</f>
        <v>COVERAGE</v>
      </c>
      <c r="U1698">
        <f>HOUR(datos_siembra[[#This Row],[Hour]])</f>
        <v>11</v>
      </c>
      <c r="V1698" cm="1">
        <f t="array" ref="V1698">_xlfn.IFS(AND(N1698&lt;= 22, S1698=9), N1698-7,AND(N1698&lt;= 28, S1698=9), N1698-25,AND(N1698&lt;= 30, S1698=9), N1698-28,AND(N1698&lt;= 11, S1698=10), N1698+2,AND(N1698&lt;= 21, S1698=10), N1698-11)</f>
        <v>3</v>
      </c>
    </row>
    <row r="1699" spans="1:22" x14ac:dyDescent="0.35">
      <c r="A1699" s="4">
        <v>45563</v>
      </c>
      <c r="B1699" s="5">
        <v>0.48865740740740743</v>
      </c>
      <c r="C1699">
        <v>84.9</v>
      </c>
      <c r="D1699">
        <v>82.9</v>
      </c>
      <c r="E1699">
        <v>86.6</v>
      </c>
      <c r="F1699">
        <v>84.8</v>
      </c>
      <c r="G1699">
        <v>0</v>
      </c>
      <c r="H1699">
        <v>0</v>
      </c>
      <c r="I1699">
        <v>0</v>
      </c>
      <c r="J1699">
        <v>0</v>
      </c>
      <c r="K1699">
        <v>77.7</v>
      </c>
      <c r="L1699">
        <v>76.599999999999994</v>
      </c>
      <c r="M1699">
        <v>84.82</v>
      </c>
      <c r="N1699">
        <v>28</v>
      </c>
      <c r="O1699">
        <v>4</v>
      </c>
      <c r="P1699">
        <f>MOD(DAY(datos_siembra[[#This Row],[Date]]),7)</f>
        <v>0</v>
      </c>
      <c r="Q1699" t="str">
        <f>CHOOSE(WEEKDAY(datos_siembra[[#This Row],[Date]],2),"L","M","X","J","V","S","D")</f>
        <v>S</v>
      </c>
      <c r="R1699">
        <f>WEEKNUM(datos_siembra[[#This Row],[Date]],2)-WEEKNUM(DATE(YEAR(datos_siembra[[#This Row],[Date]]),MONTH(datos_siembra[[#This Row],[Date]]),1))+1</f>
        <v>4</v>
      </c>
      <c r="S1699">
        <f>MONTH(datos_siembra[[#This Row],[Date]])</f>
        <v>9</v>
      </c>
      <c r="T1699" t="str" cm="1">
        <f t="array" ref="T1699">_xlfn.IFS(AND(N1699&lt;= 22, S1699=9), "SOWING",AND(N1699&lt;= 28, S1699=9), "COVERAGE",AND(N1699&lt;= 30, S1699=9), "FLUSH",AND(N1699&lt;= 11, S1699=10), "FLUSH",AND(N1699&lt;= 21, S1699=10), "PRODUCTION")</f>
        <v>COVERAGE</v>
      </c>
      <c r="U1699">
        <f>HOUR(datos_siembra[[#This Row],[Hour]])</f>
        <v>11</v>
      </c>
      <c r="V1699" cm="1">
        <f t="array" ref="V1699">_xlfn.IFS(AND(N1699&lt;= 22, S1699=9), N1699-7,AND(N1699&lt;= 28, S1699=9), N1699-25,AND(N1699&lt;= 30, S1699=9), N1699-28,AND(N1699&lt;= 11, S1699=10), N1699+2,AND(N1699&lt;= 21, S1699=10), N1699-11)</f>
        <v>3</v>
      </c>
    </row>
    <row r="1700" spans="1:22" x14ac:dyDescent="0.35">
      <c r="A1700" s="4">
        <v>45563</v>
      </c>
      <c r="B1700" s="5">
        <v>0.49560185185185185</v>
      </c>
      <c r="C1700">
        <v>84.9</v>
      </c>
      <c r="D1700">
        <v>82.7</v>
      </c>
      <c r="E1700">
        <v>86.6</v>
      </c>
      <c r="F1700">
        <v>85</v>
      </c>
      <c r="G1700">
        <v>0</v>
      </c>
      <c r="H1700">
        <v>0</v>
      </c>
      <c r="I1700">
        <v>0</v>
      </c>
      <c r="J1700">
        <v>0</v>
      </c>
      <c r="K1700">
        <v>77.7</v>
      </c>
      <c r="L1700">
        <v>76.599999999999994</v>
      </c>
      <c r="M1700">
        <v>84.82</v>
      </c>
      <c r="N1700">
        <v>28</v>
      </c>
      <c r="O1700">
        <v>4</v>
      </c>
      <c r="P1700">
        <f>MOD(DAY(datos_siembra[[#This Row],[Date]]),7)</f>
        <v>0</v>
      </c>
      <c r="Q1700" t="str">
        <f>CHOOSE(WEEKDAY(datos_siembra[[#This Row],[Date]],2),"L","M","X","J","V","S","D")</f>
        <v>S</v>
      </c>
      <c r="R1700">
        <f>WEEKNUM(datos_siembra[[#This Row],[Date]],2)-WEEKNUM(DATE(YEAR(datos_siembra[[#This Row],[Date]]),MONTH(datos_siembra[[#This Row],[Date]]),1))+1</f>
        <v>4</v>
      </c>
      <c r="S1700">
        <f>MONTH(datos_siembra[[#This Row],[Date]])</f>
        <v>9</v>
      </c>
      <c r="T1700" t="str" cm="1">
        <f t="array" ref="T1700">_xlfn.IFS(AND(N1700&lt;= 22, S1700=9), "SOWING",AND(N1700&lt;= 28, S1700=9), "COVERAGE",AND(N1700&lt;= 30, S1700=9), "FLUSH",AND(N1700&lt;= 11, S1700=10), "FLUSH",AND(N1700&lt;= 21, S1700=10), "PRODUCTION")</f>
        <v>COVERAGE</v>
      </c>
      <c r="U1700">
        <f>HOUR(datos_siembra[[#This Row],[Hour]])</f>
        <v>11</v>
      </c>
      <c r="V1700" cm="1">
        <f t="array" ref="V1700">_xlfn.IFS(AND(N1700&lt;= 22, S1700=9), N1700-7,AND(N1700&lt;= 28, S1700=9), N1700-25,AND(N1700&lt;= 30, S1700=9), N1700-28,AND(N1700&lt;= 11, S1700=10), N1700+2,AND(N1700&lt;= 21, S1700=10), N1700-11)</f>
        <v>3</v>
      </c>
    </row>
    <row r="1701" spans="1:22" x14ac:dyDescent="0.35">
      <c r="A1701" s="4">
        <v>45563</v>
      </c>
      <c r="B1701" s="5">
        <v>0.50254629629629632</v>
      </c>
      <c r="C1701">
        <v>85</v>
      </c>
      <c r="D1701">
        <v>83</v>
      </c>
      <c r="E1701">
        <v>86.7</v>
      </c>
      <c r="F1701">
        <v>84.9</v>
      </c>
      <c r="G1701">
        <v>0</v>
      </c>
      <c r="H1701">
        <v>0</v>
      </c>
      <c r="I1701">
        <v>0</v>
      </c>
      <c r="J1701">
        <v>0</v>
      </c>
      <c r="K1701">
        <v>77.7</v>
      </c>
      <c r="L1701">
        <v>76.7</v>
      </c>
      <c r="M1701">
        <v>84.87</v>
      </c>
      <c r="N1701">
        <v>28</v>
      </c>
      <c r="O1701">
        <v>4</v>
      </c>
      <c r="P1701">
        <f>MOD(DAY(datos_siembra[[#This Row],[Date]]),7)</f>
        <v>0</v>
      </c>
      <c r="Q1701" t="str">
        <f>CHOOSE(WEEKDAY(datos_siembra[[#This Row],[Date]],2),"L","M","X","J","V","S","D")</f>
        <v>S</v>
      </c>
      <c r="R1701">
        <f>WEEKNUM(datos_siembra[[#This Row],[Date]],2)-WEEKNUM(DATE(YEAR(datos_siembra[[#This Row],[Date]]),MONTH(datos_siembra[[#This Row],[Date]]),1))+1</f>
        <v>4</v>
      </c>
      <c r="S1701">
        <f>MONTH(datos_siembra[[#This Row],[Date]])</f>
        <v>9</v>
      </c>
      <c r="T1701" t="str" cm="1">
        <f t="array" ref="T1701">_xlfn.IFS(AND(N1701&lt;= 22, S1701=9), "SOWING",AND(N1701&lt;= 28, S1701=9), "COVERAGE",AND(N1701&lt;= 30, S1701=9), "FLUSH",AND(N1701&lt;= 11, S1701=10), "FLUSH",AND(N1701&lt;= 21, S1701=10), "PRODUCTION")</f>
        <v>COVERAGE</v>
      </c>
      <c r="U1701">
        <f>HOUR(datos_siembra[[#This Row],[Hour]])</f>
        <v>12</v>
      </c>
      <c r="V1701" cm="1">
        <f t="array" ref="V1701">_xlfn.IFS(AND(N1701&lt;= 22, S1701=9), N1701-7,AND(N1701&lt;= 28, S1701=9), N1701-25,AND(N1701&lt;= 30, S1701=9), N1701-28,AND(N1701&lt;= 11, S1701=10), N1701+2,AND(N1701&lt;= 21, S1701=10), N1701-11)</f>
        <v>3</v>
      </c>
    </row>
    <row r="1702" spans="1:22" x14ac:dyDescent="0.35">
      <c r="A1702" s="4">
        <v>45563</v>
      </c>
      <c r="B1702" s="5">
        <v>0.50950231481481478</v>
      </c>
      <c r="C1702">
        <v>85</v>
      </c>
      <c r="D1702">
        <v>83</v>
      </c>
      <c r="E1702">
        <v>86.7</v>
      </c>
      <c r="F1702">
        <v>85</v>
      </c>
      <c r="G1702">
        <v>0</v>
      </c>
      <c r="H1702">
        <v>0</v>
      </c>
      <c r="I1702">
        <v>0</v>
      </c>
      <c r="J1702">
        <v>0</v>
      </c>
      <c r="K1702">
        <v>77.7</v>
      </c>
      <c r="L1702">
        <v>76.8</v>
      </c>
      <c r="M1702">
        <v>84.9</v>
      </c>
      <c r="N1702">
        <v>28</v>
      </c>
      <c r="O1702">
        <v>4</v>
      </c>
      <c r="P1702">
        <f>MOD(DAY(datos_siembra[[#This Row],[Date]]),7)</f>
        <v>0</v>
      </c>
      <c r="Q1702" t="str">
        <f>CHOOSE(WEEKDAY(datos_siembra[[#This Row],[Date]],2),"L","M","X","J","V","S","D")</f>
        <v>S</v>
      </c>
      <c r="R1702">
        <f>WEEKNUM(datos_siembra[[#This Row],[Date]],2)-WEEKNUM(DATE(YEAR(datos_siembra[[#This Row],[Date]]),MONTH(datos_siembra[[#This Row],[Date]]),1))+1</f>
        <v>4</v>
      </c>
      <c r="S1702">
        <f>MONTH(datos_siembra[[#This Row],[Date]])</f>
        <v>9</v>
      </c>
      <c r="T1702" t="str" cm="1">
        <f t="array" ref="T1702">_xlfn.IFS(AND(N1702&lt;= 22, S1702=9), "SOWING",AND(N1702&lt;= 28, S1702=9), "COVERAGE",AND(N1702&lt;= 30, S1702=9), "FLUSH",AND(N1702&lt;= 11, S1702=10), "FLUSH",AND(N1702&lt;= 21, S1702=10), "PRODUCTION")</f>
        <v>COVERAGE</v>
      </c>
      <c r="U1702">
        <f>HOUR(datos_siembra[[#This Row],[Hour]])</f>
        <v>12</v>
      </c>
      <c r="V1702" cm="1">
        <f t="array" ref="V1702">_xlfn.IFS(AND(N1702&lt;= 22, S1702=9), N1702-7,AND(N1702&lt;= 28, S1702=9), N1702-25,AND(N1702&lt;= 30, S1702=9), N1702-28,AND(N1702&lt;= 11, S1702=10), N1702+2,AND(N1702&lt;= 21, S1702=10), N1702-11)</f>
        <v>3</v>
      </c>
    </row>
    <row r="1703" spans="1:22" x14ac:dyDescent="0.35">
      <c r="A1703" s="4">
        <v>45563</v>
      </c>
      <c r="B1703" s="5">
        <v>0.51644675925925931</v>
      </c>
      <c r="C1703">
        <v>84.9</v>
      </c>
      <c r="D1703">
        <v>82.9</v>
      </c>
      <c r="E1703">
        <v>86.7</v>
      </c>
      <c r="F1703">
        <v>85</v>
      </c>
      <c r="G1703">
        <v>0</v>
      </c>
      <c r="H1703">
        <v>0</v>
      </c>
      <c r="I1703">
        <v>0</v>
      </c>
      <c r="J1703">
        <v>0</v>
      </c>
      <c r="K1703">
        <v>77.7</v>
      </c>
      <c r="L1703">
        <v>76.8</v>
      </c>
      <c r="M1703">
        <v>84.85</v>
      </c>
      <c r="N1703">
        <v>28</v>
      </c>
      <c r="O1703">
        <v>4</v>
      </c>
      <c r="P1703">
        <f>MOD(DAY(datos_siembra[[#This Row],[Date]]),7)</f>
        <v>0</v>
      </c>
      <c r="Q1703" t="str">
        <f>CHOOSE(WEEKDAY(datos_siembra[[#This Row],[Date]],2),"L","M","X","J","V","S","D")</f>
        <v>S</v>
      </c>
      <c r="R1703">
        <f>WEEKNUM(datos_siembra[[#This Row],[Date]],2)-WEEKNUM(DATE(YEAR(datos_siembra[[#This Row],[Date]]),MONTH(datos_siembra[[#This Row],[Date]]),1))+1</f>
        <v>4</v>
      </c>
      <c r="S1703">
        <f>MONTH(datos_siembra[[#This Row],[Date]])</f>
        <v>9</v>
      </c>
      <c r="T1703" t="str" cm="1">
        <f t="array" ref="T1703">_xlfn.IFS(AND(N1703&lt;= 22, S1703=9), "SOWING",AND(N1703&lt;= 28, S1703=9), "COVERAGE",AND(N1703&lt;= 30, S1703=9), "FLUSH",AND(N1703&lt;= 11, S1703=10), "FLUSH",AND(N1703&lt;= 21, S1703=10), "PRODUCTION")</f>
        <v>COVERAGE</v>
      </c>
      <c r="U1703">
        <f>HOUR(datos_siembra[[#This Row],[Hour]])</f>
        <v>12</v>
      </c>
      <c r="V1703" cm="1">
        <f t="array" ref="V1703">_xlfn.IFS(AND(N1703&lt;= 22, S1703=9), N1703-7,AND(N1703&lt;= 28, S1703=9), N1703-25,AND(N1703&lt;= 30, S1703=9), N1703-28,AND(N1703&lt;= 11, S1703=10), N1703+2,AND(N1703&lt;= 21, S1703=10), N1703-11)</f>
        <v>3</v>
      </c>
    </row>
    <row r="1704" spans="1:22" x14ac:dyDescent="0.35">
      <c r="A1704" s="4">
        <v>45563</v>
      </c>
      <c r="B1704" s="5">
        <v>0.52339120370370373</v>
      </c>
      <c r="C1704">
        <v>84.9</v>
      </c>
      <c r="D1704">
        <v>82.9</v>
      </c>
      <c r="E1704">
        <v>86.9</v>
      </c>
      <c r="F1704">
        <v>84.9</v>
      </c>
      <c r="G1704">
        <v>0</v>
      </c>
      <c r="H1704">
        <v>0</v>
      </c>
      <c r="I1704">
        <v>0</v>
      </c>
      <c r="J1704">
        <v>0</v>
      </c>
      <c r="K1704">
        <v>77.8</v>
      </c>
      <c r="L1704">
        <v>76.8</v>
      </c>
      <c r="M1704">
        <v>84.99</v>
      </c>
      <c r="N1704">
        <v>28</v>
      </c>
      <c r="O1704">
        <v>4</v>
      </c>
      <c r="P1704">
        <f>MOD(DAY(datos_siembra[[#This Row],[Date]]),7)</f>
        <v>0</v>
      </c>
      <c r="Q1704" t="str">
        <f>CHOOSE(WEEKDAY(datos_siembra[[#This Row],[Date]],2),"L","M","X","J","V","S","D")</f>
        <v>S</v>
      </c>
      <c r="R1704">
        <f>WEEKNUM(datos_siembra[[#This Row],[Date]],2)-WEEKNUM(DATE(YEAR(datos_siembra[[#This Row],[Date]]),MONTH(datos_siembra[[#This Row],[Date]]),1))+1</f>
        <v>4</v>
      </c>
      <c r="S1704">
        <f>MONTH(datos_siembra[[#This Row],[Date]])</f>
        <v>9</v>
      </c>
      <c r="T1704" t="str" cm="1">
        <f t="array" ref="T1704">_xlfn.IFS(AND(N1704&lt;= 22, S1704=9), "SOWING",AND(N1704&lt;= 28, S1704=9), "COVERAGE",AND(N1704&lt;= 30, S1704=9), "FLUSH",AND(N1704&lt;= 11, S1704=10), "FLUSH",AND(N1704&lt;= 21, S1704=10), "PRODUCTION")</f>
        <v>COVERAGE</v>
      </c>
      <c r="U1704">
        <f>HOUR(datos_siembra[[#This Row],[Hour]])</f>
        <v>12</v>
      </c>
      <c r="V1704" cm="1">
        <f t="array" ref="V1704">_xlfn.IFS(AND(N1704&lt;= 22, S1704=9), N1704-7,AND(N1704&lt;= 28, S1704=9), N1704-25,AND(N1704&lt;= 30, S1704=9), N1704-28,AND(N1704&lt;= 11, S1704=10), N1704+2,AND(N1704&lt;= 21, S1704=10), N1704-11)</f>
        <v>3</v>
      </c>
    </row>
    <row r="1705" spans="1:22" x14ac:dyDescent="0.35">
      <c r="A1705" s="4">
        <v>45563</v>
      </c>
      <c r="B1705" s="5">
        <v>0.53034722222222219</v>
      </c>
      <c r="C1705">
        <v>84.9</v>
      </c>
      <c r="D1705">
        <v>82.9</v>
      </c>
      <c r="E1705">
        <v>86.8</v>
      </c>
      <c r="F1705">
        <v>84.9</v>
      </c>
      <c r="G1705">
        <v>0</v>
      </c>
      <c r="H1705">
        <v>0</v>
      </c>
      <c r="I1705">
        <v>0</v>
      </c>
      <c r="J1705">
        <v>0</v>
      </c>
      <c r="K1705">
        <v>77.8</v>
      </c>
      <c r="L1705">
        <v>76.900000000000006</v>
      </c>
      <c r="M1705">
        <v>84.93</v>
      </c>
      <c r="N1705">
        <v>28</v>
      </c>
      <c r="O1705">
        <v>4</v>
      </c>
      <c r="P1705">
        <f>MOD(DAY(datos_siembra[[#This Row],[Date]]),7)</f>
        <v>0</v>
      </c>
      <c r="Q1705" t="str">
        <f>CHOOSE(WEEKDAY(datos_siembra[[#This Row],[Date]],2),"L","M","X","J","V","S","D")</f>
        <v>S</v>
      </c>
      <c r="R1705">
        <f>WEEKNUM(datos_siembra[[#This Row],[Date]],2)-WEEKNUM(DATE(YEAR(datos_siembra[[#This Row],[Date]]),MONTH(datos_siembra[[#This Row],[Date]]),1))+1</f>
        <v>4</v>
      </c>
      <c r="S1705">
        <f>MONTH(datos_siembra[[#This Row],[Date]])</f>
        <v>9</v>
      </c>
      <c r="T1705" t="str" cm="1">
        <f t="array" ref="T1705">_xlfn.IFS(AND(N1705&lt;= 22, S1705=9), "SOWING",AND(N1705&lt;= 28, S1705=9), "COVERAGE",AND(N1705&lt;= 30, S1705=9), "FLUSH",AND(N1705&lt;= 11, S1705=10), "FLUSH",AND(N1705&lt;= 21, S1705=10), "PRODUCTION")</f>
        <v>COVERAGE</v>
      </c>
      <c r="U1705">
        <f>HOUR(datos_siembra[[#This Row],[Hour]])</f>
        <v>12</v>
      </c>
      <c r="V1705" cm="1">
        <f t="array" ref="V1705">_xlfn.IFS(AND(N1705&lt;= 22, S1705=9), N1705-7,AND(N1705&lt;= 28, S1705=9), N1705-25,AND(N1705&lt;= 30, S1705=9), N1705-28,AND(N1705&lt;= 11, S1705=10), N1705+2,AND(N1705&lt;= 21, S1705=10), N1705-11)</f>
        <v>3</v>
      </c>
    </row>
    <row r="1706" spans="1:22" x14ac:dyDescent="0.35">
      <c r="A1706" s="4">
        <v>45563</v>
      </c>
      <c r="B1706" s="5">
        <v>0.53729166666666661</v>
      </c>
      <c r="C1706">
        <v>84.9</v>
      </c>
      <c r="D1706">
        <v>83</v>
      </c>
      <c r="E1706">
        <v>86.8</v>
      </c>
      <c r="F1706">
        <v>85</v>
      </c>
      <c r="G1706">
        <v>0</v>
      </c>
      <c r="H1706">
        <v>0</v>
      </c>
      <c r="I1706">
        <v>0</v>
      </c>
      <c r="J1706">
        <v>0</v>
      </c>
      <c r="K1706">
        <v>77.8</v>
      </c>
      <c r="L1706">
        <v>76.8</v>
      </c>
      <c r="M1706">
        <v>84.87</v>
      </c>
      <c r="N1706">
        <v>28</v>
      </c>
      <c r="O1706">
        <v>4</v>
      </c>
      <c r="P1706">
        <f>MOD(DAY(datos_siembra[[#This Row],[Date]]),7)</f>
        <v>0</v>
      </c>
      <c r="Q1706" t="str">
        <f>CHOOSE(WEEKDAY(datos_siembra[[#This Row],[Date]],2),"L","M","X","J","V","S","D")</f>
        <v>S</v>
      </c>
      <c r="R1706">
        <f>WEEKNUM(datos_siembra[[#This Row],[Date]],2)-WEEKNUM(DATE(YEAR(datos_siembra[[#This Row],[Date]]),MONTH(datos_siembra[[#This Row],[Date]]),1))+1</f>
        <v>4</v>
      </c>
      <c r="S1706">
        <f>MONTH(datos_siembra[[#This Row],[Date]])</f>
        <v>9</v>
      </c>
      <c r="T1706" t="str" cm="1">
        <f t="array" ref="T1706">_xlfn.IFS(AND(N1706&lt;= 22, S1706=9), "SOWING",AND(N1706&lt;= 28, S1706=9), "COVERAGE",AND(N1706&lt;= 30, S1706=9), "FLUSH",AND(N1706&lt;= 11, S1706=10), "FLUSH",AND(N1706&lt;= 21, S1706=10), "PRODUCTION")</f>
        <v>COVERAGE</v>
      </c>
      <c r="U1706">
        <f>HOUR(datos_siembra[[#This Row],[Hour]])</f>
        <v>12</v>
      </c>
      <c r="V1706" cm="1">
        <f t="array" ref="V1706">_xlfn.IFS(AND(N1706&lt;= 22, S1706=9), N1706-7,AND(N1706&lt;= 28, S1706=9), N1706-25,AND(N1706&lt;= 30, S1706=9), N1706-28,AND(N1706&lt;= 11, S1706=10), N1706+2,AND(N1706&lt;= 21, S1706=10), N1706-11)</f>
        <v>3</v>
      </c>
    </row>
    <row r="1707" spans="1:22" x14ac:dyDescent="0.35">
      <c r="A1707" s="4">
        <v>45563</v>
      </c>
      <c r="B1707" s="5">
        <v>0.54423611111111114</v>
      </c>
      <c r="C1707">
        <v>84.9</v>
      </c>
      <c r="D1707">
        <v>83</v>
      </c>
      <c r="E1707">
        <v>86.9</v>
      </c>
      <c r="F1707">
        <v>85</v>
      </c>
      <c r="G1707">
        <v>0</v>
      </c>
      <c r="H1707">
        <v>0</v>
      </c>
      <c r="I1707">
        <v>0</v>
      </c>
      <c r="J1707">
        <v>0</v>
      </c>
      <c r="K1707">
        <v>77.900000000000006</v>
      </c>
      <c r="L1707">
        <v>76.900000000000006</v>
      </c>
      <c r="M1707">
        <v>84.93</v>
      </c>
      <c r="N1707">
        <v>28</v>
      </c>
      <c r="O1707">
        <v>4</v>
      </c>
      <c r="P1707">
        <f>MOD(DAY(datos_siembra[[#This Row],[Date]]),7)</f>
        <v>0</v>
      </c>
      <c r="Q1707" t="str">
        <f>CHOOSE(WEEKDAY(datos_siembra[[#This Row],[Date]],2),"L","M","X","J","V","S","D")</f>
        <v>S</v>
      </c>
      <c r="R1707">
        <f>WEEKNUM(datos_siembra[[#This Row],[Date]],2)-WEEKNUM(DATE(YEAR(datos_siembra[[#This Row],[Date]]),MONTH(datos_siembra[[#This Row],[Date]]),1))+1</f>
        <v>4</v>
      </c>
      <c r="S1707">
        <f>MONTH(datos_siembra[[#This Row],[Date]])</f>
        <v>9</v>
      </c>
      <c r="T1707" t="str" cm="1">
        <f t="array" ref="T1707">_xlfn.IFS(AND(N1707&lt;= 22, S1707=9), "SOWING",AND(N1707&lt;= 28, S1707=9), "COVERAGE",AND(N1707&lt;= 30, S1707=9), "FLUSH",AND(N1707&lt;= 11, S1707=10), "FLUSH",AND(N1707&lt;= 21, S1707=10), "PRODUCTION")</f>
        <v>COVERAGE</v>
      </c>
      <c r="U1707">
        <f>HOUR(datos_siembra[[#This Row],[Hour]])</f>
        <v>13</v>
      </c>
      <c r="V1707" cm="1">
        <f t="array" ref="V1707">_xlfn.IFS(AND(N1707&lt;= 22, S1707=9), N1707-7,AND(N1707&lt;= 28, S1707=9), N1707-25,AND(N1707&lt;= 30, S1707=9), N1707-28,AND(N1707&lt;= 11, S1707=10), N1707+2,AND(N1707&lt;= 21, S1707=10), N1707-11)</f>
        <v>3</v>
      </c>
    </row>
    <row r="1708" spans="1:22" x14ac:dyDescent="0.35">
      <c r="A1708" s="4">
        <v>45563</v>
      </c>
      <c r="B1708" s="5">
        <v>0.5511921296296296</v>
      </c>
      <c r="C1708">
        <v>85</v>
      </c>
      <c r="D1708">
        <v>82.9</v>
      </c>
      <c r="E1708">
        <v>86.8</v>
      </c>
      <c r="F1708">
        <v>85</v>
      </c>
      <c r="G1708">
        <v>0</v>
      </c>
      <c r="H1708">
        <v>0</v>
      </c>
      <c r="I1708">
        <v>0</v>
      </c>
      <c r="J1708">
        <v>0</v>
      </c>
      <c r="K1708">
        <v>77.900000000000006</v>
      </c>
      <c r="L1708">
        <v>76.900000000000006</v>
      </c>
      <c r="M1708">
        <v>84.85</v>
      </c>
      <c r="N1708">
        <v>28</v>
      </c>
      <c r="O1708">
        <v>4</v>
      </c>
      <c r="P1708">
        <f>MOD(DAY(datos_siembra[[#This Row],[Date]]),7)</f>
        <v>0</v>
      </c>
      <c r="Q1708" t="str">
        <f>CHOOSE(WEEKDAY(datos_siembra[[#This Row],[Date]],2),"L","M","X","J","V","S","D")</f>
        <v>S</v>
      </c>
      <c r="R1708">
        <f>WEEKNUM(datos_siembra[[#This Row],[Date]],2)-WEEKNUM(DATE(YEAR(datos_siembra[[#This Row],[Date]]),MONTH(datos_siembra[[#This Row],[Date]]),1))+1</f>
        <v>4</v>
      </c>
      <c r="S1708">
        <f>MONTH(datos_siembra[[#This Row],[Date]])</f>
        <v>9</v>
      </c>
      <c r="T1708" t="str" cm="1">
        <f t="array" ref="T1708">_xlfn.IFS(AND(N1708&lt;= 22, S1708=9), "SOWING",AND(N1708&lt;= 28, S1708=9), "COVERAGE",AND(N1708&lt;= 30, S1708=9), "FLUSH",AND(N1708&lt;= 11, S1708=10), "FLUSH",AND(N1708&lt;= 21, S1708=10), "PRODUCTION")</f>
        <v>COVERAGE</v>
      </c>
      <c r="U1708">
        <f>HOUR(datos_siembra[[#This Row],[Hour]])</f>
        <v>13</v>
      </c>
      <c r="V1708" cm="1">
        <f t="array" ref="V1708">_xlfn.IFS(AND(N1708&lt;= 22, S1708=9), N1708-7,AND(N1708&lt;= 28, S1708=9), N1708-25,AND(N1708&lt;= 30, S1708=9), N1708-28,AND(N1708&lt;= 11, S1708=10), N1708+2,AND(N1708&lt;= 21, S1708=10), N1708-11)</f>
        <v>3</v>
      </c>
    </row>
    <row r="1709" spans="1:22" x14ac:dyDescent="0.35">
      <c r="A1709" s="4">
        <v>45563</v>
      </c>
      <c r="B1709" s="5">
        <v>0.55813657407407402</v>
      </c>
      <c r="C1709">
        <v>84.9</v>
      </c>
      <c r="D1709">
        <v>83</v>
      </c>
      <c r="E1709">
        <v>86.9</v>
      </c>
      <c r="F1709">
        <v>85.1</v>
      </c>
      <c r="G1709">
        <v>0</v>
      </c>
      <c r="H1709">
        <v>0</v>
      </c>
      <c r="I1709">
        <v>0</v>
      </c>
      <c r="J1709">
        <v>0</v>
      </c>
      <c r="K1709">
        <v>77.8</v>
      </c>
      <c r="L1709">
        <v>77</v>
      </c>
      <c r="M1709">
        <v>84.93</v>
      </c>
      <c r="N1709">
        <v>28</v>
      </c>
      <c r="O1709">
        <v>4</v>
      </c>
      <c r="P1709">
        <f>MOD(DAY(datos_siembra[[#This Row],[Date]]),7)</f>
        <v>0</v>
      </c>
      <c r="Q1709" t="str">
        <f>CHOOSE(WEEKDAY(datos_siembra[[#This Row],[Date]],2),"L","M","X","J","V","S","D")</f>
        <v>S</v>
      </c>
      <c r="R1709">
        <f>WEEKNUM(datos_siembra[[#This Row],[Date]],2)-WEEKNUM(DATE(YEAR(datos_siembra[[#This Row],[Date]]),MONTH(datos_siembra[[#This Row],[Date]]),1))+1</f>
        <v>4</v>
      </c>
      <c r="S1709">
        <f>MONTH(datos_siembra[[#This Row],[Date]])</f>
        <v>9</v>
      </c>
      <c r="T1709" t="str" cm="1">
        <f t="array" ref="T1709">_xlfn.IFS(AND(N1709&lt;= 22, S1709=9), "SOWING",AND(N1709&lt;= 28, S1709=9), "COVERAGE",AND(N1709&lt;= 30, S1709=9), "FLUSH",AND(N1709&lt;= 11, S1709=10), "FLUSH",AND(N1709&lt;= 21, S1709=10), "PRODUCTION")</f>
        <v>COVERAGE</v>
      </c>
      <c r="U1709">
        <f>HOUR(datos_siembra[[#This Row],[Hour]])</f>
        <v>13</v>
      </c>
      <c r="V1709" cm="1">
        <f t="array" ref="V1709">_xlfn.IFS(AND(N1709&lt;= 22, S1709=9), N1709-7,AND(N1709&lt;= 28, S1709=9), N1709-25,AND(N1709&lt;= 30, S1709=9), N1709-28,AND(N1709&lt;= 11, S1709=10), N1709+2,AND(N1709&lt;= 21, S1709=10), N1709-11)</f>
        <v>3</v>
      </c>
    </row>
    <row r="1710" spans="1:22" x14ac:dyDescent="0.35">
      <c r="A1710" s="4">
        <v>45563</v>
      </c>
      <c r="B1710" s="5">
        <v>0.56508101851851855</v>
      </c>
      <c r="C1710">
        <v>85</v>
      </c>
      <c r="D1710">
        <v>83</v>
      </c>
      <c r="E1710">
        <v>86.9</v>
      </c>
      <c r="F1710">
        <v>85.1</v>
      </c>
      <c r="G1710">
        <v>0</v>
      </c>
      <c r="H1710">
        <v>0</v>
      </c>
      <c r="I1710">
        <v>0</v>
      </c>
      <c r="J1710">
        <v>0</v>
      </c>
      <c r="K1710">
        <v>77.900000000000006</v>
      </c>
      <c r="L1710">
        <v>76.900000000000006</v>
      </c>
      <c r="M1710">
        <v>84.96</v>
      </c>
      <c r="N1710">
        <v>28</v>
      </c>
      <c r="O1710">
        <v>4</v>
      </c>
      <c r="P1710">
        <f>MOD(DAY(datos_siembra[[#This Row],[Date]]),7)</f>
        <v>0</v>
      </c>
      <c r="Q1710" t="str">
        <f>CHOOSE(WEEKDAY(datos_siembra[[#This Row],[Date]],2),"L","M","X","J","V","S","D")</f>
        <v>S</v>
      </c>
      <c r="R1710">
        <f>WEEKNUM(datos_siembra[[#This Row],[Date]],2)-WEEKNUM(DATE(YEAR(datos_siembra[[#This Row],[Date]]),MONTH(datos_siembra[[#This Row],[Date]]),1))+1</f>
        <v>4</v>
      </c>
      <c r="S1710">
        <f>MONTH(datos_siembra[[#This Row],[Date]])</f>
        <v>9</v>
      </c>
      <c r="T1710" t="str" cm="1">
        <f t="array" ref="T1710">_xlfn.IFS(AND(N1710&lt;= 22, S1710=9), "SOWING",AND(N1710&lt;= 28, S1710=9), "COVERAGE",AND(N1710&lt;= 30, S1710=9), "FLUSH",AND(N1710&lt;= 11, S1710=10), "FLUSH",AND(N1710&lt;= 21, S1710=10), "PRODUCTION")</f>
        <v>COVERAGE</v>
      </c>
      <c r="U1710">
        <f>HOUR(datos_siembra[[#This Row],[Hour]])</f>
        <v>13</v>
      </c>
      <c r="V1710" cm="1">
        <f t="array" ref="V1710">_xlfn.IFS(AND(N1710&lt;= 22, S1710=9), N1710-7,AND(N1710&lt;= 28, S1710=9), N1710-25,AND(N1710&lt;= 30, S1710=9), N1710-28,AND(N1710&lt;= 11, S1710=10), N1710+2,AND(N1710&lt;= 21, S1710=10), N1710-11)</f>
        <v>3</v>
      </c>
    </row>
    <row r="1711" spans="1:22" x14ac:dyDescent="0.35">
      <c r="A1711" s="4">
        <v>45563</v>
      </c>
      <c r="B1711" s="5">
        <v>0.57203703703703701</v>
      </c>
      <c r="C1711">
        <v>85</v>
      </c>
      <c r="D1711">
        <v>83</v>
      </c>
      <c r="E1711">
        <v>86.8</v>
      </c>
      <c r="F1711">
        <v>85.2</v>
      </c>
      <c r="G1711">
        <v>0</v>
      </c>
      <c r="H1711">
        <v>0</v>
      </c>
      <c r="I1711">
        <v>0</v>
      </c>
      <c r="J1711">
        <v>0</v>
      </c>
      <c r="K1711">
        <v>77.900000000000006</v>
      </c>
      <c r="L1711">
        <v>77</v>
      </c>
      <c r="M1711">
        <v>84.99</v>
      </c>
      <c r="N1711">
        <v>28</v>
      </c>
      <c r="O1711">
        <v>4</v>
      </c>
      <c r="P1711">
        <f>MOD(DAY(datos_siembra[[#This Row],[Date]]),7)</f>
        <v>0</v>
      </c>
      <c r="Q1711" t="str">
        <f>CHOOSE(WEEKDAY(datos_siembra[[#This Row],[Date]],2),"L","M","X","J","V","S","D")</f>
        <v>S</v>
      </c>
      <c r="R1711">
        <f>WEEKNUM(datos_siembra[[#This Row],[Date]],2)-WEEKNUM(DATE(YEAR(datos_siembra[[#This Row],[Date]]),MONTH(datos_siembra[[#This Row],[Date]]),1))+1</f>
        <v>4</v>
      </c>
      <c r="S1711">
        <f>MONTH(datos_siembra[[#This Row],[Date]])</f>
        <v>9</v>
      </c>
      <c r="T1711" t="str" cm="1">
        <f t="array" ref="T1711">_xlfn.IFS(AND(N1711&lt;= 22, S1711=9), "SOWING",AND(N1711&lt;= 28, S1711=9), "COVERAGE",AND(N1711&lt;= 30, S1711=9), "FLUSH",AND(N1711&lt;= 11, S1711=10), "FLUSH",AND(N1711&lt;= 21, S1711=10), "PRODUCTION")</f>
        <v>COVERAGE</v>
      </c>
      <c r="U1711">
        <f>HOUR(datos_siembra[[#This Row],[Hour]])</f>
        <v>13</v>
      </c>
      <c r="V1711" cm="1">
        <f t="array" ref="V1711">_xlfn.IFS(AND(N1711&lt;= 22, S1711=9), N1711-7,AND(N1711&lt;= 28, S1711=9), N1711-25,AND(N1711&lt;= 30, S1711=9), N1711-28,AND(N1711&lt;= 11, S1711=10), N1711+2,AND(N1711&lt;= 21, S1711=10), N1711-11)</f>
        <v>3</v>
      </c>
    </row>
    <row r="1712" spans="1:22" x14ac:dyDescent="0.35">
      <c r="A1712" s="4">
        <v>45563</v>
      </c>
      <c r="B1712" s="5">
        <v>0.57898148148148143</v>
      </c>
      <c r="C1712">
        <v>84.9</v>
      </c>
      <c r="D1712">
        <v>83</v>
      </c>
      <c r="E1712">
        <v>86.8</v>
      </c>
      <c r="F1712">
        <v>85</v>
      </c>
      <c r="G1712">
        <v>0</v>
      </c>
      <c r="H1712">
        <v>0</v>
      </c>
      <c r="I1712">
        <v>0</v>
      </c>
      <c r="J1712">
        <v>0</v>
      </c>
      <c r="K1712">
        <v>78</v>
      </c>
      <c r="L1712">
        <v>77</v>
      </c>
      <c r="M1712">
        <v>84.9</v>
      </c>
      <c r="N1712">
        <v>28</v>
      </c>
      <c r="O1712">
        <v>4</v>
      </c>
      <c r="P1712">
        <f>MOD(DAY(datos_siembra[[#This Row],[Date]]),7)</f>
        <v>0</v>
      </c>
      <c r="Q1712" t="str">
        <f>CHOOSE(WEEKDAY(datos_siembra[[#This Row],[Date]],2),"L","M","X","J","V","S","D")</f>
        <v>S</v>
      </c>
      <c r="R1712">
        <f>WEEKNUM(datos_siembra[[#This Row],[Date]],2)-WEEKNUM(DATE(YEAR(datos_siembra[[#This Row],[Date]]),MONTH(datos_siembra[[#This Row],[Date]]),1))+1</f>
        <v>4</v>
      </c>
      <c r="S1712">
        <f>MONTH(datos_siembra[[#This Row],[Date]])</f>
        <v>9</v>
      </c>
      <c r="T1712" t="str" cm="1">
        <f t="array" ref="T1712">_xlfn.IFS(AND(N1712&lt;= 22, S1712=9), "SOWING",AND(N1712&lt;= 28, S1712=9), "COVERAGE",AND(N1712&lt;= 30, S1712=9), "FLUSH",AND(N1712&lt;= 11, S1712=10), "FLUSH",AND(N1712&lt;= 21, S1712=10), "PRODUCTION")</f>
        <v>COVERAGE</v>
      </c>
      <c r="U1712">
        <f>HOUR(datos_siembra[[#This Row],[Hour]])</f>
        <v>13</v>
      </c>
      <c r="V1712" cm="1">
        <f t="array" ref="V1712">_xlfn.IFS(AND(N1712&lt;= 22, S1712=9), N1712-7,AND(N1712&lt;= 28, S1712=9), N1712-25,AND(N1712&lt;= 30, S1712=9), N1712-28,AND(N1712&lt;= 11, S1712=10), N1712+2,AND(N1712&lt;= 21, S1712=10), N1712-11)</f>
        <v>3</v>
      </c>
    </row>
    <row r="1713" spans="1:22" x14ac:dyDescent="0.35">
      <c r="A1713" s="4">
        <v>45563</v>
      </c>
      <c r="B1713" s="5">
        <v>0.58592592592592596</v>
      </c>
      <c r="C1713">
        <v>85</v>
      </c>
      <c r="D1713">
        <v>83.1</v>
      </c>
      <c r="E1713">
        <v>86.9</v>
      </c>
      <c r="F1713">
        <v>85.1</v>
      </c>
      <c r="G1713">
        <v>0</v>
      </c>
      <c r="H1713">
        <v>0</v>
      </c>
      <c r="I1713">
        <v>0</v>
      </c>
      <c r="J1713">
        <v>0</v>
      </c>
      <c r="K1713">
        <v>78</v>
      </c>
      <c r="L1713">
        <v>77</v>
      </c>
      <c r="M1713">
        <v>85.04</v>
      </c>
      <c r="N1713">
        <v>28</v>
      </c>
      <c r="O1713">
        <v>4</v>
      </c>
      <c r="P1713">
        <f>MOD(DAY(datos_siembra[[#This Row],[Date]]),7)</f>
        <v>0</v>
      </c>
      <c r="Q1713" t="str">
        <f>CHOOSE(WEEKDAY(datos_siembra[[#This Row],[Date]],2),"L","M","X","J","V","S","D")</f>
        <v>S</v>
      </c>
      <c r="R1713">
        <f>WEEKNUM(datos_siembra[[#This Row],[Date]],2)-WEEKNUM(DATE(YEAR(datos_siembra[[#This Row],[Date]]),MONTH(datos_siembra[[#This Row],[Date]]),1))+1</f>
        <v>4</v>
      </c>
      <c r="S1713">
        <f>MONTH(datos_siembra[[#This Row],[Date]])</f>
        <v>9</v>
      </c>
      <c r="T1713" t="str" cm="1">
        <f t="array" ref="T1713">_xlfn.IFS(AND(N1713&lt;= 22, S1713=9), "SOWING",AND(N1713&lt;= 28, S1713=9), "COVERAGE",AND(N1713&lt;= 30, S1713=9), "FLUSH",AND(N1713&lt;= 11, S1713=10), "FLUSH",AND(N1713&lt;= 21, S1713=10), "PRODUCTION")</f>
        <v>COVERAGE</v>
      </c>
      <c r="U1713">
        <f>HOUR(datos_siembra[[#This Row],[Hour]])</f>
        <v>14</v>
      </c>
      <c r="V1713" cm="1">
        <f t="array" ref="V1713">_xlfn.IFS(AND(N1713&lt;= 22, S1713=9), N1713-7,AND(N1713&lt;= 28, S1713=9), N1713-25,AND(N1713&lt;= 30, S1713=9), N1713-28,AND(N1713&lt;= 11, S1713=10), N1713+2,AND(N1713&lt;= 21, S1713=10), N1713-11)</f>
        <v>3</v>
      </c>
    </row>
    <row r="1714" spans="1:22" x14ac:dyDescent="0.35">
      <c r="A1714" s="4">
        <v>45563</v>
      </c>
      <c r="B1714" s="5">
        <v>0.59288194444444442</v>
      </c>
      <c r="C1714">
        <v>85</v>
      </c>
      <c r="D1714">
        <v>83</v>
      </c>
      <c r="E1714">
        <v>86.9</v>
      </c>
      <c r="F1714">
        <v>85.2</v>
      </c>
      <c r="G1714">
        <v>0</v>
      </c>
      <c r="H1714">
        <v>0</v>
      </c>
      <c r="I1714">
        <v>0</v>
      </c>
      <c r="J1714">
        <v>0</v>
      </c>
      <c r="K1714">
        <v>78.099999999999994</v>
      </c>
      <c r="L1714">
        <v>77</v>
      </c>
      <c r="M1714">
        <v>85.02</v>
      </c>
      <c r="N1714">
        <v>28</v>
      </c>
      <c r="O1714">
        <v>4</v>
      </c>
      <c r="P1714">
        <f>MOD(DAY(datos_siembra[[#This Row],[Date]]),7)</f>
        <v>0</v>
      </c>
      <c r="Q1714" t="str">
        <f>CHOOSE(WEEKDAY(datos_siembra[[#This Row],[Date]],2),"L","M","X","J","V","S","D")</f>
        <v>S</v>
      </c>
      <c r="R1714">
        <f>WEEKNUM(datos_siembra[[#This Row],[Date]],2)-WEEKNUM(DATE(YEAR(datos_siembra[[#This Row],[Date]]),MONTH(datos_siembra[[#This Row],[Date]]),1))+1</f>
        <v>4</v>
      </c>
      <c r="S1714">
        <f>MONTH(datos_siembra[[#This Row],[Date]])</f>
        <v>9</v>
      </c>
      <c r="T1714" t="str" cm="1">
        <f t="array" ref="T1714">_xlfn.IFS(AND(N1714&lt;= 22, S1714=9), "SOWING",AND(N1714&lt;= 28, S1714=9), "COVERAGE",AND(N1714&lt;= 30, S1714=9), "FLUSH",AND(N1714&lt;= 11, S1714=10), "FLUSH",AND(N1714&lt;= 21, S1714=10), "PRODUCTION")</f>
        <v>COVERAGE</v>
      </c>
      <c r="U1714">
        <f>HOUR(datos_siembra[[#This Row],[Hour]])</f>
        <v>14</v>
      </c>
      <c r="V1714" cm="1">
        <f t="array" ref="V1714">_xlfn.IFS(AND(N1714&lt;= 22, S1714=9), N1714-7,AND(N1714&lt;= 28, S1714=9), N1714-25,AND(N1714&lt;= 30, S1714=9), N1714-28,AND(N1714&lt;= 11, S1714=10), N1714+2,AND(N1714&lt;= 21, S1714=10), N1714-11)</f>
        <v>3</v>
      </c>
    </row>
    <row r="1715" spans="1:22" x14ac:dyDescent="0.35">
      <c r="A1715" s="4">
        <v>45563</v>
      </c>
      <c r="B1715" s="5">
        <v>0.59982638888888884</v>
      </c>
      <c r="C1715">
        <v>85</v>
      </c>
      <c r="D1715">
        <v>83.1</v>
      </c>
      <c r="E1715">
        <v>87</v>
      </c>
      <c r="F1715">
        <v>85.2</v>
      </c>
      <c r="G1715">
        <v>0</v>
      </c>
      <c r="H1715">
        <v>0</v>
      </c>
      <c r="I1715">
        <v>0</v>
      </c>
      <c r="J1715">
        <v>0</v>
      </c>
      <c r="K1715">
        <v>78.099999999999994</v>
      </c>
      <c r="L1715">
        <v>77</v>
      </c>
      <c r="M1715">
        <v>84.99</v>
      </c>
      <c r="N1715">
        <v>28</v>
      </c>
      <c r="O1715">
        <v>4</v>
      </c>
      <c r="P1715">
        <f>MOD(DAY(datos_siembra[[#This Row],[Date]]),7)</f>
        <v>0</v>
      </c>
      <c r="Q1715" t="str">
        <f>CHOOSE(WEEKDAY(datos_siembra[[#This Row],[Date]],2),"L","M","X","J","V","S","D")</f>
        <v>S</v>
      </c>
      <c r="R1715">
        <f>WEEKNUM(datos_siembra[[#This Row],[Date]],2)-WEEKNUM(DATE(YEAR(datos_siembra[[#This Row],[Date]]),MONTH(datos_siembra[[#This Row],[Date]]),1))+1</f>
        <v>4</v>
      </c>
      <c r="S1715">
        <f>MONTH(datos_siembra[[#This Row],[Date]])</f>
        <v>9</v>
      </c>
      <c r="T1715" t="str" cm="1">
        <f t="array" ref="T1715">_xlfn.IFS(AND(N1715&lt;= 22, S1715=9), "SOWING",AND(N1715&lt;= 28, S1715=9), "COVERAGE",AND(N1715&lt;= 30, S1715=9), "FLUSH",AND(N1715&lt;= 11, S1715=10), "FLUSH",AND(N1715&lt;= 21, S1715=10), "PRODUCTION")</f>
        <v>COVERAGE</v>
      </c>
      <c r="U1715">
        <f>HOUR(datos_siembra[[#This Row],[Hour]])</f>
        <v>14</v>
      </c>
      <c r="V1715" cm="1">
        <f t="array" ref="V1715">_xlfn.IFS(AND(N1715&lt;= 22, S1715=9), N1715-7,AND(N1715&lt;= 28, S1715=9), N1715-25,AND(N1715&lt;= 30, S1715=9), N1715-28,AND(N1715&lt;= 11, S1715=10), N1715+2,AND(N1715&lt;= 21, S1715=10), N1715-11)</f>
        <v>3</v>
      </c>
    </row>
    <row r="1716" spans="1:22" x14ac:dyDescent="0.35">
      <c r="A1716" s="4">
        <v>45563</v>
      </c>
      <c r="B1716" s="5">
        <v>0.60677083333333337</v>
      </c>
      <c r="C1716">
        <v>85</v>
      </c>
      <c r="D1716">
        <v>83.1</v>
      </c>
      <c r="E1716">
        <v>86.9</v>
      </c>
      <c r="F1716">
        <v>85.2</v>
      </c>
      <c r="G1716">
        <v>0</v>
      </c>
      <c r="H1716">
        <v>0</v>
      </c>
      <c r="I1716">
        <v>0</v>
      </c>
      <c r="J1716">
        <v>0</v>
      </c>
      <c r="K1716">
        <v>78.2</v>
      </c>
      <c r="L1716">
        <v>76.900000000000006</v>
      </c>
      <c r="M1716">
        <v>85.04</v>
      </c>
      <c r="N1716">
        <v>28</v>
      </c>
      <c r="O1716">
        <v>4</v>
      </c>
      <c r="P1716">
        <f>MOD(DAY(datos_siembra[[#This Row],[Date]]),7)</f>
        <v>0</v>
      </c>
      <c r="Q1716" t="str">
        <f>CHOOSE(WEEKDAY(datos_siembra[[#This Row],[Date]],2),"L","M","X","J","V","S","D")</f>
        <v>S</v>
      </c>
      <c r="R1716">
        <f>WEEKNUM(datos_siembra[[#This Row],[Date]],2)-WEEKNUM(DATE(YEAR(datos_siembra[[#This Row],[Date]]),MONTH(datos_siembra[[#This Row],[Date]]),1))+1</f>
        <v>4</v>
      </c>
      <c r="S1716">
        <f>MONTH(datos_siembra[[#This Row],[Date]])</f>
        <v>9</v>
      </c>
      <c r="T1716" t="str" cm="1">
        <f t="array" ref="T1716">_xlfn.IFS(AND(N1716&lt;= 22, S1716=9), "SOWING",AND(N1716&lt;= 28, S1716=9), "COVERAGE",AND(N1716&lt;= 30, S1716=9), "FLUSH",AND(N1716&lt;= 11, S1716=10), "FLUSH",AND(N1716&lt;= 21, S1716=10), "PRODUCTION")</f>
        <v>COVERAGE</v>
      </c>
      <c r="U1716">
        <f>HOUR(datos_siembra[[#This Row],[Hour]])</f>
        <v>14</v>
      </c>
      <c r="V1716" cm="1">
        <f t="array" ref="V1716">_xlfn.IFS(AND(N1716&lt;= 22, S1716=9), N1716-7,AND(N1716&lt;= 28, S1716=9), N1716-25,AND(N1716&lt;= 30, S1716=9), N1716-28,AND(N1716&lt;= 11, S1716=10), N1716+2,AND(N1716&lt;= 21, S1716=10), N1716-11)</f>
        <v>3</v>
      </c>
    </row>
    <row r="1717" spans="1:22" x14ac:dyDescent="0.35">
      <c r="A1717" s="4">
        <v>45563</v>
      </c>
      <c r="B1717" s="5">
        <v>0.61372685185185183</v>
      </c>
      <c r="C1717">
        <v>85</v>
      </c>
      <c r="D1717">
        <v>83</v>
      </c>
      <c r="E1717">
        <v>86.9</v>
      </c>
      <c r="F1717">
        <v>85.4</v>
      </c>
      <c r="G1717">
        <v>0</v>
      </c>
      <c r="H1717">
        <v>0</v>
      </c>
      <c r="I1717">
        <v>0</v>
      </c>
      <c r="J1717">
        <v>0</v>
      </c>
      <c r="K1717">
        <v>78.2</v>
      </c>
      <c r="L1717">
        <v>76.900000000000006</v>
      </c>
      <c r="M1717">
        <v>85.04</v>
      </c>
      <c r="N1717">
        <v>28</v>
      </c>
      <c r="O1717">
        <v>4</v>
      </c>
      <c r="P1717">
        <f>MOD(DAY(datos_siembra[[#This Row],[Date]]),7)</f>
        <v>0</v>
      </c>
      <c r="Q1717" t="str">
        <f>CHOOSE(WEEKDAY(datos_siembra[[#This Row],[Date]],2),"L","M","X","J","V","S","D")</f>
        <v>S</v>
      </c>
      <c r="R1717">
        <f>WEEKNUM(datos_siembra[[#This Row],[Date]],2)-WEEKNUM(DATE(YEAR(datos_siembra[[#This Row],[Date]]),MONTH(datos_siembra[[#This Row],[Date]]),1))+1</f>
        <v>4</v>
      </c>
      <c r="S1717">
        <f>MONTH(datos_siembra[[#This Row],[Date]])</f>
        <v>9</v>
      </c>
      <c r="T1717" t="str" cm="1">
        <f t="array" ref="T1717">_xlfn.IFS(AND(N1717&lt;= 22, S1717=9), "SOWING",AND(N1717&lt;= 28, S1717=9), "COVERAGE",AND(N1717&lt;= 30, S1717=9), "FLUSH",AND(N1717&lt;= 11, S1717=10), "FLUSH",AND(N1717&lt;= 21, S1717=10), "PRODUCTION")</f>
        <v>COVERAGE</v>
      </c>
      <c r="U1717">
        <f>HOUR(datos_siembra[[#This Row],[Hour]])</f>
        <v>14</v>
      </c>
      <c r="V1717" cm="1">
        <f t="array" ref="V1717">_xlfn.IFS(AND(N1717&lt;= 22, S1717=9), N1717-7,AND(N1717&lt;= 28, S1717=9), N1717-25,AND(N1717&lt;= 30, S1717=9), N1717-28,AND(N1717&lt;= 11, S1717=10), N1717+2,AND(N1717&lt;= 21, S1717=10), N1717-11)</f>
        <v>3</v>
      </c>
    </row>
    <row r="1718" spans="1:22" x14ac:dyDescent="0.35">
      <c r="A1718" s="4">
        <v>45563</v>
      </c>
      <c r="B1718" s="5">
        <v>0.62067129629629625</v>
      </c>
      <c r="C1718">
        <v>85</v>
      </c>
      <c r="D1718">
        <v>83.1</v>
      </c>
      <c r="E1718">
        <v>87</v>
      </c>
      <c r="F1718">
        <v>85.2</v>
      </c>
      <c r="G1718">
        <v>0</v>
      </c>
      <c r="H1718">
        <v>0</v>
      </c>
      <c r="I1718">
        <v>0</v>
      </c>
      <c r="J1718">
        <v>0</v>
      </c>
      <c r="K1718">
        <v>78.400000000000006</v>
      </c>
      <c r="L1718">
        <v>76.8</v>
      </c>
      <c r="M1718">
        <v>85.1</v>
      </c>
      <c r="N1718">
        <v>28</v>
      </c>
      <c r="O1718">
        <v>4</v>
      </c>
      <c r="P1718">
        <f>MOD(DAY(datos_siembra[[#This Row],[Date]]),7)</f>
        <v>0</v>
      </c>
      <c r="Q1718" t="str">
        <f>CHOOSE(WEEKDAY(datos_siembra[[#This Row],[Date]],2),"L","M","X","J","V","S","D")</f>
        <v>S</v>
      </c>
      <c r="R1718">
        <f>WEEKNUM(datos_siembra[[#This Row],[Date]],2)-WEEKNUM(DATE(YEAR(datos_siembra[[#This Row],[Date]]),MONTH(datos_siembra[[#This Row],[Date]]),1))+1</f>
        <v>4</v>
      </c>
      <c r="S1718">
        <f>MONTH(datos_siembra[[#This Row],[Date]])</f>
        <v>9</v>
      </c>
      <c r="T1718" t="str" cm="1">
        <f t="array" ref="T1718">_xlfn.IFS(AND(N1718&lt;= 22, S1718=9), "SOWING",AND(N1718&lt;= 28, S1718=9), "COVERAGE",AND(N1718&lt;= 30, S1718=9), "FLUSH",AND(N1718&lt;= 11, S1718=10), "FLUSH",AND(N1718&lt;= 21, S1718=10), "PRODUCTION")</f>
        <v>COVERAGE</v>
      </c>
      <c r="U1718">
        <f>HOUR(datos_siembra[[#This Row],[Hour]])</f>
        <v>14</v>
      </c>
      <c r="V1718" cm="1">
        <f t="array" ref="V1718">_xlfn.IFS(AND(N1718&lt;= 22, S1718=9), N1718-7,AND(N1718&lt;= 28, S1718=9), N1718-25,AND(N1718&lt;= 30, S1718=9), N1718-28,AND(N1718&lt;= 11, S1718=10), N1718+2,AND(N1718&lt;= 21, S1718=10), N1718-11)</f>
        <v>3</v>
      </c>
    </row>
    <row r="1719" spans="1:22" x14ac:dyDescent="0.35">
      <c r="A1719" s="4">
        <v>45563</v>
      </c>
      <c r="B1719" s="5">
        <v>0.62761574074074078</v>
      </c>
      <c r="C1719">
        <v>84.9</v>
      </c>
      <c r="D1719">
        <v>83.1</v>
      </c>
      <c r="E1719">
        <v>87</v>
      </c>
      <c r="F1719">
        <v>85.4</v>
      </c>
      <c r="G1719">
        <v>0</v>
      </c>
      <c r="H1719">
        <v>0</v>
      </c>
      <c r="I1719">
        <v>0</v>
      </c>
      <c r="J1719">
        <v>0</v>
      </c>
      <c r="K1719">
        <v>76.7</v>
      </c>
      <c r="L1719">
        <v>75.2</v>
      </c>
      <c r="M1719">
        <v>85.16</v>
      </c>
      <c r="N1719">
        <v>28</v>
      </c>
      <c r="O1719">
        <v>4</v>
      </c>
      <c r="P1719">
        <f>MOD(DAY(datos_siembra[[#This Row],[Date]]),7)</f>
        <v>0</v>
      </c>
      <c r="Q1719" t="str">
        <f>CHOOSE(WEEKDAY(datos_siembra[[#This Row],[Date]],2),"L","M","X","J","V","S","D")</f>
        <v>S</v>
      </c>
      <c r="R1719">
        <f>WEEKNUM(datos_siembra[[#This Row],[Date]],2)-WEEKNUM(DATE(YEAR(datos_siembra[[#This Row],[Date]]),MONTH(datos_siembra[[#This Row],[Date]]),1))+1</f>
        <v>4</v>
      </c>
      <c r="S1719">
        <f>MONTH(datos_siembra[[#This Row],[Date]])</f>
        <v>9</v>
      </c>
      <c r="T1719" t="str" cm="1">
        <f t="array" ref="T1719">_xlfn.IFS(AND(N1719&lt;= 22, S1719=9), "SOWING",AND(N1719&lt;= 28, S1719=9), "COVERAGE",AND(N1719&lt;= 30, S1719=9), "FLUSH",AND(N1719&lt;= 11, S1719=10), "FLUSH",AND(N1719&lt;= 21, S1719=10), "PRODUCTION")</f>
        <v>COVERAGE</v>
      </c>
      <c r="U1719">
        <f>HOUR(datos_siembra[[#This Row],[Hour]])</f>
        <v>15</v>
      </c>
      <c r="V1719" cm="1">
        <f t="array" ref="V1719">_xlfn.IFS(AND(N1719&lt;= 22, S1719=9), N1719-7,AND(N1719&lt;= 28, S1719=9), N1719-25,AND(N1719&lt;= 30, S1719=9), N1719-28,AND(N1719&lt;= 11, S1719=10), N1719+2,AND(N1719&lt;= 21, S1719=10), N1719-11)</f>
        <v>3</v>
      </c>
    </row>
    <row r="1720" spans="1:22" x14ac:dyDescent="0.35">
      <c r="A1720" s="4">
        <v>45563</v>
      </c>
      <c r="B1720" s="5">
        <v>0.63457175925925924</v>
      </c>
      <c r="C1720">
        <v>85</v>
      </c>
      <c r="D1720">
        <v>83.2</v>
      </c>
      <c r="E1720">
        <v>87.1</v>
      </c>
      <c r="F1720">
        <v>85.3</v>
      </c>
      <c r="G1720">
        <v>0</v>
      </c>
      <c r="H1720">
        <v>0</v>
      </c>
      <c r="I1720">
        <v>0</v>
      </c>
      <c r="J1720">
        <v>0</v>
      </c>
      <c r="K1720">
        <v>75.8</v>
      </c>
      <c r="L1720">
        <v>74.099999999999994</v>
      </c>
      <c r="M1720">
        <v>85.13</v>
      </c>
      <c r="N1720">
        <v>28</v>
      </c>
      <c r="O1720">
        <v>4</v>
      </c>
      <c r="P1720">
        <f>MOD(DAY(datos_siembra[[#This Row],[Date]]),7)</f>
        <v>0</v>
      </c>
      <c r="Q1720" t="str">
        <f>CHOOSE(WEEKDAY(datos_siembra[[#This Row],[Date]],2),"L","M","X","J","V","S","D")</f>
        <v>S</v>
      </c>
      <c r="R1720">
        <f>WEEKNUM(datos_siembra[[#This Row],[Date]],2)-WEEKNUM(DATE(YEAR(datos_siembra[[#This Row],[Date]]),MONTH(datos_siembra[[#This Row],[Date]]),1))+1</f>
        <v>4</v>
      </c>
      <c r="S1720">
        <f>MONTH(datos_siembra[[#This Row],[Date]])</f>
        <v>9</v>
      </c>
      <c r="T1720" t="str" cm="1">
        <f t="array" ref="T1720">_xlfn.IFS(AND(N1720&lt;= 22, S1720=9), "SOWING",AND(N1720&lt;= 28, S1720=9), "COVERAGE",AND(N1720&lt;= 30, S1720=9), "FLUSH",AND(N1720&lt;= 11, S1720=10), "FLUSH",AND(N1720&lt;= 21, S1720=10), "PRODUCTION")</f>
        <v>COVERAGE</v>
      </c>
      <c r="U1720">
        <f>HOUR(datos_siembra[[#This Row],[Hour]])</f>
        <v>15</v>
      </c>
      <c r="V1720" cm="1">
        <f t="array" ref="V1720">_xlfn.IFS(AND(N1720&lt;= 22, S1720=9), N1720-7,AND(N1720&lt;= 28, S1720=9), N1720-25,AND(N1720&lt;= 30, S1720=9), N1720-28,AND(N1720&lt;= 11, S1720=10), N1720+2,AND(N1720&lt;= 21, S1720=10), N1720-11)</f>
        <v>3</v>
      </c>
    </row>
    <row r="1721" spans="1:22" x14ac:dyDescent="0.35">
      <c r="A1721" s="4">
        <v>45563</v>
      </c>
      <c r="B1721" s="5">
        <v>0.64151620370370366</v>
      </c>
      <c r="C1721">
        <v>85</v>
      </c>
      <c r="D1721">
        <v>83</v>
      </c>
      <c r="E1721">
        <v>87.1</v>
      </c>
      <c r="F1721">
        <v>85.4</v>
      </c>
      <c r="G1721">
        <v>0</v>
      </c>
      <c r="H1721">
        <v>0</v>
      </c>
      <c r="I1721">
        <v>0</v>
      </c>
      <c r="J1721">
        <v>0</v>
      </c>
      <c r="K1721">
        <v>75.3</v>
      </c>
      <c r="L1721">
        <v>74.2</v>
      </c>
      <c r="M1721">
        <v>85.16</v>
      </c>
      <c r="N1721">
        <v>28</v>
      </c>
      <c r="O1721">
        <v>4</v>
      </c>
      <c r="P1721">
        <f>MOD(DAY(datos_siembra[[#This Row],[Date]]),7)</f>
        <v>0</v>
      </c>
      <c r="Q1721" t="str">
        <f>CHOOSE(WEEKDAY(datos_siembra[[#This Row],[Date]],2),"L","M","X","J","V","S","D")</f>
        <v>S</v>
      </c>
      <c r="R1721">
        <f>WEEKNUM(datos_siembra[[#This Row],[Date]],2)-WEEKNUM(DATE(YEAR(datos_siembra[[#This Row],[Date]]),MONTH(datos_siembra[[#This Row],[Date]]),1))+1</f>
        <v>4</v>
      </c>
      <c r="S1721">
        <f>MONTH(datos_siembra[[#This Row],[Date]])</f>
        <v>9</v>
      </c>
      <c r="T1721" t="str" cm="1">
        <f t="array" ref="T1721">_xlfn.IFS(AND(N1721&lt;= 22, S1721=9), "SOWING",AND(N1721&lt;= 28, S1721=9), "COVERAGE",AND(N1721&lt;= 30, S1721=9), "FLUSH",AND(N1721&lt;= 11, S1721=10), "FLUSH",AND(N1721&lt;= 21, S1721=10), "PRODUCTION")</f>
        <v>COVERAGE</v>
      </c>
      <c r="U1721">
        <f>HOUR(datos_siembra[[#This Row],[Hour]])</f>
        <v>15</v>
      </c>
      <c r="V1721" cm="1">
        <f t="array" ref="V1721">_xlfn.IFS(AND(N1721&lt;= 22, S1721=9), N1721-7,AND(N1721&lt;= 28, S1721=9), N1721-25,AND(N1721&lt;= 30, S1721=9), N1721-28,AND(N1721&lt;= 11, S1721=10), N1721+2,AND(N1721&lt;= 21, S1721=10), N1721-11)</f>
        <v>3</v>
      </c>
    </row>
    <row r="1722" spans="1:22" x14ac:dyDescent="0.35">
      <c r="A1722" s="4">
        <v>45563</v>
      </c>
      <c r="B1722" s="5">
        <v>0.64846064814814819</v>
      </c>
      <c r="C1722">
        <v>85.1</v>
      </c>
      <c r="D1722">
        <v>83.2</v>
      </c>
      <c r="E1722">
        <v>87.2</v>
      </c>
      <c r="F1722">
        <v>85.4</v>
      </c>
      <c r="G1722">
        <v>0</v>
      </c>
      <c r="H1722">
        <v>0</v>
      </c>
      <c r="I1722">
        <v>0</v>
      </c>
      <c r="J1722">
        <v>0</v>
      </c>
      <c r="K1722">
        <v>75.099999999999994</v>
      </c>
      <c r="L1722">
        <v>74.099999999999994</v>
      </c>
      <c r="M1722">
        <v>85.18</v>
      </c>
      <c r="N1722">
        <v>28</v>
      </c>
      <c r="O1722">
        <v>4</v>
      </c>
      <c r="P1722">
        <f>MOD(DAY(datos_siembra[[#This Row],[Date]]),7)</f>
        <v>0</v>
      </c>
      <c r="Q1722" t="str">
        <f>CHOOSE(WEEKDAY(datos_siembra[[#This Row],[Date]],2),"L","M","X","J","V","S","D")</f>
        <v>S</v>
      </c>
      <c r="R1722">
        <f>WEEKNUM(datos_siembra[[#This Row],[Date]],2)-WEEKNUM(DATE(YEAR(datos_siembra[[#This Row],[Date]]),MONTH(datos_siembra[[#This Row],[Date]]),1))+1</f>
        <v>4</v>
      </c>
      <c r="S1722">
        <f>MONTH(datos_siembra[[#This Row],[Date]])</f>
        <v>9</v>
      </c>
      <c r="T1722" t="str" cm="1">
        <f t="array" ref="T1722">_xlfn.IFS(AND(N1722&lt;= 22, S1722=9), "SOWING",AND(N1722&lt;= 28, S1722=9), "COVERAGE",AND(N1722&lt;= 30, S1722=9), "FLUSH",AND(N1722&lt;= 11, S1722=10), "FLUSH",AND(N1722&lt;= 21, S1722=10), "PRODUCTION")</f>
        <v>COVERAGE</v>
      </c>
      <c r="U1722">
        <f>HOUR(datos_siembra[[#This Row],[Hour]])</f>
        <v>15</v>
      </c>
      <c r="V1722" cm="1">
        <f t="array" ref="V1722">_xlfn.IFS(AND(N1722&lt;= 22, S1722=9), N1722-7,AND(N1722&lt;= 28, S1722=9), N1722-25,AND(N1722&lt;= 30, S1722=9), N1722-28,AND(N1722&lt;= 11, S1722=10), N1722+2,AND(N1722&lt;= 21, S1722=10), N1722-11)</f>
        <v>3</v>
      </c>
    </row>
    <row r="1723" spans="1:22" x14ac:dyDescent="0.35">
      <c r="A1723" s="4">
        <v>45563</v>
      </c>
      <c r="B1723" s="5">
        <v>0.65540509259259261</v>
      </c>
      <c r="C1723">
        <v>85.1</v>
      </c>
      <c r="D1723">
        <v>83.2</v>
      </c>
      <c r="E1723">
        <v>87.1</v>
      </c>
      <c r="F1723">
        <v>85.4</v>
      </c>
      <c r="G1723">
        <v>0</v>
      </c>
      <c r="H1723">
        <v>0</v>
      </c>
      <c r="I1723">
        <v>0</v>
      </c>
      <c r="J1723">
        <v>0</v>
      </c>
      <c r="K1723">
        <v>74.900000000000006</v>
      </c>
      <c r="L1723">
        <v>74</v>
      </c>
      <c r="M1723">
        <v>85.18</v>
      </c>
      <c r="N1723">
        <v>28</v>
      </c>
      <c r="O1723">
        <v>4</v>
      </c>
      <c r="P1723">
        <f>MOD(DAY(datos_siembra[[#This Row],[Date]]),7)</f>
        <v>0</v>
      </c>
      <c r="Q1723" t="str">
        <f>CHOOSE(WEEKDAY(datos_siembra[[#This Row],[Date]],2),"L","M","X","J","V","S","D")</f>
        <v>S</v>
      </c>
      <c r="R1723">
        <f>WEEKNUM(datos_siembra[[#This Row],[Date]],2)-WEEKNUM(DATE(YEAR(datos_siembra[[#This Row],[Date]]),MONTH(datos_siembra[[#This Row],[Date]]),1))+1</f>
        <v>4</v>
      </c>
      <c r="S1723">
        <f>MONTH(datos_siembra[[#This Row],[Date]])</f>
        <v>9</v>
      </c>
      <c r="T1723" t="str" cm="1">
        <f t="array" ref="T1723">_xlfn.IFS(AND(N1723&lt;= 22, S1723=9), "SOWING",AND(N1723&lt;= 28, S1723=9), "COVERAGE",AND(N1723&lt;= 30, S1723=9), "FLUSH",AND(N1723&lt;= 11, S1723=10), "FLUSH",AND(N1723&lt;= 21, S1723=10), "PRODUCTION")</f>
        <v>COVERAGE</v>
      </c>
      <c r="U1723">
        <f>HOUR(datos_siembra[[#This Row],[Hour]])</f>
        <v>15</v>
      </c>
      <c r="V1723" cm="1">
        <f t="array" ref="V1723">_xlfn.IFS(AND(N1723&lt;= 22, S1723=9), N1723-7,AND(N1723&lt;= 28, S1723=9), N1723-25,AND(N1723&lt;= 30, S1723=9), N1723-28,AND(N1723&lt;= 11, S1723=10), N1723+2,AND(N1723&lt;= 21, S1723=10), N1723-11)</f>
        <v>3</v>
      </c>
    </row>
    <row r="1724" spans="1:22" x14ac:dyDescent="0.35">
      <c r="A1724" s="4">
        <v>45563</v>
      </c>
      <c r="B1724" s="5">
        <v>0.66236111111111107</v>
      </c>
      <c r="C1724">
        <v>85</v>
      </c>
      <c r="D1724">
        <v>83.1</v>
      </c>
      <c r="E1724">
        <v>87.2</v>
      </c>
      <c r="F1724">
        <v>85.6</v>
      </c>
      <c r="G1724">
        <v>0</v>
      </c>
      <c r="H1724">
        <v>0</v>
      </c>
      <c r="I1724">
        <v>0</v>
      </c>
      <c r="J1724">
        <v>0</v>
      </c>
      <c r="K1724">
        <v>74.8</v>
      </c>
      <c r="L1724">
        <v>73.599999999999994</v>
      </c>
      <c r="M1724">
        <v>85.16</v>
      </c>
      <c r="N1724">
        <v>28</v>
      </c>
      <c r="O1724">
        <v>4</v>
      </c>
      <c r="P1724">
        <f>MOD(DAY(datos_siembra[[#This Row],[Date]]),7)</f>
        <v>0</v>
      </c>
      <c r="Q1724" t="str">
        <f>CHOOSE(WEEKDAY(datos_siembra[[#This Row],[Date]],2),"L","M","X","J","V","S","D")</f>
        <v>S</v>
      </c>
      <c r="R1724">
        <f>WEEKNUM(datos_siembra[[#This Row],[Date]],2)-WEEKNUM(DATE(YEAR(datos_siembra[[#This Row],[Date]]),MONTH(datos_siembra[[#This Row],[Date]]),1))+1</f>
        <v>4</v>
      </c>
      <c r="S1724">
        <f>MONTH(datos_siembra[[#This Row],[Date]])</f>
        <v>9</v>
      </c>
      <c r="T1724" t="str" cm="1">
        <f t="array" ref="T1724">_xlfn.IFS(AND(N1724&lt;= 22, S1724=9), "SOWING",AND(N1724&lt;= 28, S1724=9), "COVERAGE",AND(N1724&lt;= 30, S1724=9), "FLUSH",AND(N1724&lt;= 11, S1724=10), "FLUSH",AND(N1724&lt;= 21, S1724=10), "PRODUCTION")</f>
        <v>COVERAGE</v>
      </c>
      <c r="U1724">
        <f>HOUR(datos_siembra[[#This Row],[Hour]])</f>
        <v>15</v>
      </c>
      <c r="V1724" cm="1">
        <f t="array" ref="V1724">_xlfn.IFS(AND(N1724&lt;= 22, S1724=9), N1724-7,AND(N1724&lt;= 28, S1724=9), N1724-25,AND(N1724&lt;= 30, S1724=9), N1724-28,AND(N1724&lt;= 11, S1724=10), N1724+2,AND(N1724&lt;= 21, S1724=10), N1724-11)</f>
        <v>3</v>
      </c>
    </row>
    <row r="1725" spans="1:22" x14ac:dyDescent="0.35">
      <c r="A1725" s="4">
        <v>45563</v>
      </c>
      <c r="B1725" s="5">
        <v>0.6693055555555556</v>
      </c>
      <c r="C1725">
        <v>85</v>
      </c>
      <c r="D1725">
        <v>83.3</v>
      </c>
      <c r="E1725">
        <v>87</v>
      </c>
      <c r="F1725">
        <v>85.4</v>
      </c>
      <c r="G1725">
        <v>0</v>
      </c>
      <c r="H1725">
        <v>0</v>
      </c>
      <c r="I1725">
        <v>0</v>
      </c>
      <c r="J1725">
        <v>0</v>
      </c>
      <c r="K1725">
        <v>74.400000000000006</v>
      </c>
      <c r="L1725">
        <v>73.599999999999994</v>
      </c>
      <c r="M1725">
        <v>85.18</v>
      </c>
      <c r="N1725">
        <v>28</v>
      </c>
      <c r="O1725">
        <v>4</v>
      </c>
      <c r="P1725">
        <f>MOD(DAY(datos_siembra[[#This Row],[Date]]),7)</f>
        <v>0</v>
      </c>
      <c r="Q1725" t="str">
        <f>CHOOSE(WEEKDAY(datos_siembra[[#This Row],[Date]],2),"L","M","X","J","V","S","D")</f>
        <v>S</v>
      </c>
      <c r="R1725">
        <f>WEEKNUM(datos_siembra[[#This Row],[Date]],2)-WEEKNUM(DATE(YEAR(datos_siembra[[#This Row],[Date]]),MONTH(datos_siembra[[#This Row],[Date]]),1))+1</f>
        <v>4</v>
      </c>
      <c r="S1725">
        <f>MONTH(datos_siembra[[#This Row],[Date]])</f>
        <v>9</v>
      </c>
      <c r="T1725" t="str" cm="1">
        <f t="array" ref="T1725">_xlfn.IFS(AND(N1725&lt;= 22, S1725=9), "SOWING",AND(N1725&lt;= 28, S1725=9), "COVERAGE",AND(N1725&lt;= 30, S1725=9), "FLUSH",AND(N1725&lt;= 11, S1725=10), "FLUSH",AND(N1725&lt;= 21, S1725=10), "PRODUCTION")</f>
        <v>COVERAGE</v>
      </c>
      <c r="U1725">
        <f>HOUR(datos_siembra[[#This Row],[Hour]])</f>
        <v>16</v>
      </c>
      <c r="V1725" cm="1">
        <f t="array" ref="V1725">_xlfn.IFS(AND(N1725&lt;= 22, S1725=9), N1725-7,AND(N1725&lt;= 28, S1725=9), N1725-25,AND(N1725&lt;= 30, S1725=9), N1725-28,AND(N1725&lt;= 11, S1725=10), N1725+2,AND(N1725&lt;= 21, S1725=10), N1725-11)</f>
        <v>3</v>
      </c>
    </row>
    <row r="1726" spans="1:22" x14ac:dyDescent="0.35">
      <c r="A1726" s="4">
        <v>45563</v>
      </c>
      <c r="B1726" s="5">
        <v>0.67625000000000002</v>
      </c>
      <c r="C1726">
        <v>85</v>
      </c>
      <c r="D1726">
        <v>83.1</v>
      </c>
      <c r="E1726">
        <v>87.1</v>
      </c>
      <c r="F1726">
        <v>85.4</v>
      </c>
      <c r="G1726">
        <v>0</v>
      </c>
      <c r="H1726">
        <v>0</v>
      </c>
      <c r="I1726">
        <v>0</v>
      </c>
      <c r="J1726">
        <v>0</v>
      </c>
      <c r="K1726">
        <v>74.3</v>
      </c>
      <c r="L1726">
        <v>73.5</v>
      </c>
      <c r="M1726">
        <v>85.21</v>
      </c>
      <c r="N1726">
        <v>28</v>
      </c>
      <c r="O1726">
        <v>4</v>
      </c>
      <c r="P1726">
        <f>MOD(DAY(datos_siembra[[#This Row],[Date]]),7)</f>
        <v>0</v>
      </c>
      <c r="Q1726" t="str">
        <f>CHOOSE(WEEKDAY(datos_siembra[[#This Row],[Date]],2),"L","M","X","J","V","S","D")</f>
        <v>S</v>
      </c>
      <c r="R1726">
        <f>WEEKNUM(datos_siembra[[#This Row],[Date]],2)-WEEKNUM(DATE(YEAR(datos_siembra[[#This Row],[Date]]),MONTH(datos_siembra[[#This Row],[Date]]),1))+1</f>
        <v>4</v>
      </c>
      <c r="S1726">
        <f>MONTH(datos_siembra[[#This Row],[Date]])</f>
        <v>9</v>
      </c>
      <c r="T1726" t="str" cm="1">
        <f t="array" ref="T1726">_xlfn.IFS(AND(N1726&lt;= 22, S1726=9), "SOWING",AND(N1726&lt;= 28, S1726=9), "COVERAGE",AND(N1726&lt;= 30, S1726=9), "FLUSH",AND(N1726&lt;= 11, S1726=10), "FLUSH",AND(N1726&lt;= 21, S1726=10), "PRODUCTION")</f>
        <v>COVERAGE</v>
      </c>
      <c r="U1726">
        <f>HOUR(datos_siembra[[#This Row],[Hour]])</f>
        <v>16</v>
      </c>
      <c r="V1726" cm="1">
        <f t="array" ref="V1726">_xlfn.IFS(AND(N1726&lt;= 22, S1726=9), N1726-7,AND(N1726&lt;= 28, S1726=9), N1726-25,AND(N1726&lt;= 30, S1726=9), N1726-28,AND(N1726&lt;= 11, S1726=10), N1726+2,AND(N1726&lt;= 21, S1726=10), N1726-11)</f>
        <v>3</v>
      </c>
    </row>
    <row r="1727" spans="1:22" x14ac:dyDescent="0.35">
      <c r="A1727" s="4">
        <v>45563</v>
      </c>
      <c r="B1727" s="5">
        <v>0.68320601851851848</v>
      </c>
      <c r="C1727">
        <v>85.1</v>
      </c>
      <c r="D1727">
        <v>83.1</v>
      </c>
      <c r="E1727">
        <v>87.2</v>
      </c>
      <c r="F1727">
        <v>85.6</v>
      </c>
      <c r="G1727">
        <v>0</v>
      </c>
      <c r="H1727">
        <v>0</v>
      </c>
      <c r="I1727">
        <v>0</v>
      </c>
      <c r="J1727">
        <v>0</v>
      </c>
      <c r="K1727">
        <v>74</v>
      </c>
      <c r="L1727">
        <v>73.3</v>
      </c>
      <c r="M1727">
        <v>85.24</v>
      </c>
      <c r="N1727">
        <v>28</v>
      </c>
      <c r="O1727">
        <v>4</v>
      </c>
      <c r="P1727">
        <f>MOD(DAY(datos_siembra[[#This Row],[Date]]),7)</f>
        <v>0</v>
      </c>
      <c r="Q1727" t="str">
        <f>CHOOSE(WEEKDAY(datos_siembra[[#This Row],[Date]],2),"L","M","X","J","V","S","D")</f>
        <v>S</v>
      </c>
      <c r="R1727">
        <f>WEEKNUM(datos_siembra[[#This Row],[Date]],2)-WEEKNUM(DATE(YEAR(datos_siembra[[#This Row],[Date]]),MONTH(datos_siembra[[#This Row],[Date]]),1))+1</f>
        <v>4</v>
      </c>
      <c r="S1727">
        <f>MONTH(datos_siembra[[#This Row],[Date]])</f>
        <v>9</v>
      </c>
      <c r="T1727" t="str" cm="1">
        <f t="array" ref="T1727">_xlfn.IFS(AND(N1727&lt;= 22, S1727=9), "SOWING",AND(N1727&lt;= 28, S1727=9), "COVERAGE",AND(N1727&lt;= 30, S1727=9), "FLUSH",AND(N1727&lt;= 11, S1727=10), "FLUSH",AND(N1727&lt;= 21, S1727=10), "PRODUCTION")</f>
        <v>COVERAGE</v>
      </c>
      <c r="U1727">
        <f>HOUR(datos_siembra[[#This Row],[Hour]])</f>
        <v>16</v>
      </c>
      <c r="V1727" cm="1">
        <f t="array" ref="V1727">_xlfn.IFS(AND(N1727&lt;= 22, S1727=9), N1727-7,AND(N1727&lt;= 28, S1727=9), N1727-25,AND(N1727&lt;= 30, S1727=9), N1727-28,AND(N1727&lt;= 11, S1727=10), N1727+2,AND(N1727&lt;= 21, S1727=10), N1727-11)</f>
        <v>3</v>
      </c>
    </row>
    <row r="1728" spans="1:22" x14ac:dyDescent="0.35">
      <c r="A1728" s="4">
        <v>45563</v>
      </c>
      <c r="B1728" s="5">
        <v>0.69015046296296301</v>
      </c>
      <c r="C1728">
        <v>85.1</v>
      </c>
      <c r="D1728">
        <v>83.3</v>
      </c>
      <c r="E1728">
        <v>87.2</v>
      </c>
      <c r="F1728">
        <v>85.4</v>
      </c>
      <c r="G1728">
        <v>0</v>
      </c>
      <c r="H1728">
        <v>0</v>
      </c>
      <c r="I1728">
        <v>0</v>
      </c>
      <c r="J1728">
        <v>0</v>
      </c>
      <c r="K1728">
        <v>74</v>
      </c>
      <c r="L1728">
        <v>73.2</v>
      </c>
      <c r="M1728">
        <v>85.24</v>
      </c>
      <c r="N1728">
        <v>28</v>
      </c>
      <c r="O1728">
        <v>4</v>
      </c>
      <c r="P1728">
        <f>MOD(DAY(datos_siembra[[#This Row],[Date]]),7)</f>
        <v>0</v>
      </c>
      <c r="Q1728" t="str">
        <f>CHOOSE(WEEKDAY(datos_siembra[[#This Row],[Date]],2),"L","M","X","J","V","S","D")</f>
        <v>S</v>
      </c>
      <c r="R1728">
        <f>WEEKNUM(datos_siembra[[#This Row],[Date]],2)-WEEKNUM(DATE(YEAR(datos_siembra[[#This Row],[Date]]),MONTH(datos_siembra[[#This Row],[Date]]),1))+1</f>
        <v>4</v>
      </c>
      <c r="S1728">
        <f>MONTH(datos_siembra[[#This Row],[Date]])</f>
        <v>9</v>
      </c>
      <c r="T1728" t="str" cm="1">
        <f t="array" ref="T1728">_xlfn.IFS(AND(N1728&lt;= 22, S1728=9), "SOWING",AND(N1728&lt;= 28, S1728=9), "COVERAGE",AND(N1728&lt;= 30, S1728=9), "FLUSH",AND(N1728&lt;= 11, S1728=10), "FLUSH",AND(N1728&lt;= 21, S1728=10), "PRODUCTION")</f>
        <v>COVERAGE</v>
      </c>
      <c r="U1728">
        <f>HOUR(datos_siembra[[#This Row],[Hour]])</f>
        <v>16</v>
      </c>
      <c r="V1728" cm="1">
        <f t="array" ref="V1728">_xlfn.IFS(AND(N1728&lt;= 22, S1728=9), N1728-7,AND(N1728&lt;= 28, S1728=9), N1728-25,AND(N1728&lt;= 30, S1728=9), N1728-28,AND(N1728&lt;= 11, S1728=10), N1728+2,AND(N1728&lt;= 21, S1728=10), N1728-11)</f>
        <v>3</v>
      </c>
    </row>
    <row r="1729" spans="1:22" x14ac:dyDescent="0.35">
      <c r="A1729" s="4">
        <v>45563</v>
      </c>
      <c r="B1729" s="5">
        <v>0.69709490740740743</v>
      </c>
      <c r="C1729">
        <v>85.1</v>
      </c>
      <c r="D1729">
        <v>83.3</v>
      </c>
      <c r="E1729">
        <v>87.2</v>
      </c>
      <c r="F1729">
        <v>85.4</v>
      </c>
      <c r="G1729">
        <v>0</v>
      </c>
      <c r="H1729">
        <v>0</v>
      </c>
      <c r="I1729">
        <v>0</v>
      </c>
      <c r="J1729">
        <v>0</v>
      </c>
      <c r="K1729">
        <v>74</v>
      </c>
      <c r="L1729">
        <v>73</v>
      </c>
      <c r="M1729">
        <v>85.27</v>
      </c>
      <c r="N1729">
        <v>28</v>
      </c>
      <c r="O1729">
        <v>4</v>
      </c>
      <c r="P1729">
        <f>MOD(DAY(datos_siembra[[#This Row],[Date]]),7)</f>
        <v>0</v>
      </c>
      <c r="Q1729" t="str">
        <f>CHOOSE(WEEKDAY(datos_siembra[[#This Row],[Date]],2),"L","M","X","J","V","S","D")</f>
        <v>S</v>
      </c>
      <c r="R1729">
        <f>WEEKNUM(datos_siembra[[#This Row],[Date]],2)-WEEKNUM(DATE(YEAR(datos_siembra[[#This Row],[Date]]),MONTH(datos_siembra[[#This Row],[Date]]),1))+1</f>
        <v>4</v>
      </c>
      <c r="S1729">
        <f>MONTH(datos_siembra[[#This Row],[Date]])</f>
        <v>9</v>
      </c>
      <c r="T1729" t="str" cm="1">
        <f t="array" ref="T1729">_xlfn.IFS(AND(N1729&lt;= 22, S1729=9), "SOWING",AND(N1729&lt;= 28, S1729=9), "COVERAGE",AND(N1729&lt;= 30, S1729=9), "FLUSH",AND(N1729&lt;= 11, S1729=10), "FLUSH",AND(N1729&lt;= 21, S1729=10), "PRODUCTION")</f>
        <v>COVERAGE</v>
      </c>
      <c r="U1729">
        <f>HOUR(datos_siembra[[#This Row],[Hour]])</f>
        <v>16</v>
      </c>
      <c r="V1729" cm="1">
        <f t="array" ref="V1729">_xlfn.IFS(AND(N1729&lt;= 22, S1729=9), N1729-7,AND(N1729&lt;= 28, S1729=9), N1729-25,AND(N1729&lt;= 30, S1729=9), N1729-28,AND(N1729&lt;= 11, S1729=10), N1729+2,AND(N1729&lt;= 21, S1729=10), N1729-11)</f>
        <v>3</v>
      </c>
    </row>
    <row r="1730" spans="1:22" x14ac:dyDescent="0.35">
      <c r="A1730" s="4">
        <v>45563</v>
      </c>
      <c r="B1730" s="5">
        <v>0.70405092592592589</v>
      </c>
      <c r="C1730">
        <v>85.1</v>
      </c>
      <c r="D1730">
        <v>83.2</v>
      </c>
      <c r="E1730">
        <v>87.4</v>
      </c>
      <c r="F1730">
        <v>85.6</v>
      </c>
      <c r="G1730">
        <v>0</v>
      </c>
      <c r="H1730">
        <v>0</v>
      </c>
      <c r="I1730">
        <v>0</v>
      </c>
      <c r="J1730">
        <v>0</v>
      </c>
      <c r="K1730">
        <v>73.7</v>
      </c>
      <c r="L1730">
        <v>72.7</v>
      </c>
      <c r="M1730">
        <v>85.24</v>
      </c>
      <c r="N1730">
        <v>28</v>
      </c>
      <c r="O1730">
        <v>4</v>
      </c>
      <c r="P1730">
        <f>MOD(DAY(datos_siembra[[#This Row],[Date]]),7)</f>
        <v>0</v>
      </c>
      <c r="Q1730" t="str">
        <f>CHOOSE(WEEKDAY(datos_siembra[[#This Row],[Date]],2),"L","M","X","J","V","S","D")</f>
        <v>S</v>
      </c>
      <c r="R1730">
        <f>WEEKNUM(datos_siembra[[#This Row],[Date]],2)-WEEKNUM(DATE(YEAR(datos_siembra[[#This Row],[Date]]),MONTH(datos_siembra[[#This Row],[Date]]),1))+1</f>
        <v>4</v>
      </c>
      <c r="S1730">
        <f>MONTH(datos_siembra[[#This Row],[Date]])</f>
        <v>9</v>
      </c>
      <c r="T1730" t="str" cm="1">
        <f t="array" ref="T1730">_xlfn.IFS(AND(N1730&lt;= 22, S1730=9), "SOWING",AND(N1730&lt;= 28, S1730=9), "COVERAGE",AND(N1730&lt;= 30, S1730=9), "FLUSH",AND(N1730&lt;= 11, S1730=10), "FLUSH",AND(N1730&lt;= 21, S1730=10), "PRODUCTION")</f>
        <v>COVERAGE</v>
      </c>
      <c r="U1730">
        <f>HOUR(datos_siembra[[#This Row],[Hour]])</f>
        <v>16</v>
      </c>
      <c r="V1730" cm="1">
        <f t="array" ref="V1730">_xlfn.IFS(AND(N1730&lt;= 22, S1730=9), N1730-7,AND(N1730&lt;= 28, S1730=9), N1730-25,AND(N1730&lt;= 30, S1730=9), N1730-28,AND(N1730&lt;= 11, S1730=10), N1730+2,AND(N1730&lt;= 21, S1730=10), N1730-11)</f>
        <v>3</v>
      </c>
    </row>
    <row r="1731" spans="1:22" x14ac:dyDescent="0.35">
      <c r="A1731" s="4">
        <v>45563</v>
      </c>
      <c r="B1731" s="5">
        <v>0.71099537037037042</v>
      </c>
      <c r="C1731">
        <v>85.1</v>
      </c>
      <c r="D1731">
        <v>83.2</v>
      </c>
      <c r="E1731">
        <v>87.2</v>
      </c>
      <c r="F1731">
        <v>85.6</v>
      </c>
      <c r="G1731">
        <v>0</v>
      </c>
      <c r="H1731">
        <v>0</v>
      </c>
      <c r="I1731">
        <v>0</v>
      </c>
      <c r="J1731">
        <v>0</v>
      </c>
      <c r="K1731">
        <v>73.599999999999994</v>
      </c>
      <c r="L1731">
        <v>72.599999999999994</v>
      </c>
      <c r="M1731">
        <v>85.33</v>
      </c>
      <c r="N1731">
        <v>28</v>
      </c>
      <c r="O1731">
        <v>4</v>
      </c>
      <c r="P1731">
        <f>MOD(DAY(datos_siembra[[#This Row],[Date]]),7)</f>
        <v>0</v>
      </c>
      <c r="Q1731" t="str">
        <f>CHOOSE(WEEKDAY(datos_siembra[[#This Row],[Date]],2),"L","M","X","J","V","S","D")</f>
        <v>S</v>
      </c>
      <c r="R1731">
        <f>WEEKNUM(datos_siembra[[#This Row],[Date]],2)-WEEKNUM(DATE(YEAR(datos_siembra[[#This Row],[Date]]),MONTH(datos_siembra[[#This Row],[Date]]),1))+1</f>
        <v>4</v>
      </c>
      <c r="S1731">
        <f>MONTH(datos_siembra[[#This Row],[Date]])</f>
        <v>9</v>
      </c>
      <c r="T1731" t="str" cm="1">
        <f t="array" ref="T1731">_xlfn.IFS(AND(N1731&lt;= 22, S1731=9), "SOWING",AND(N1731&lt;= 28, S1731=9), "COVERAGE",AND(N1731&lt;= 30, S1731=9), "FLUSH",AND(N1731&lt;= 11, S1731=10), "FLUSH",AND(N1731&lt;= 21, S1731=10), "PRODUCTION")</f>
        <v>COVERAGE</v>
      </c>
      <c r="U1731">
        <f>HOUR(datos_siembra[[#This Row],[Hour]])</f>
        <v>17</v>
      </c>
      <c r="V1731" cm="1">
        <f t="array" ref="V1731">_xlfn.IFS(AND(N1731&lt;= 22, S1731=9), N1731-7,AND(N1731&lt;= 28, S1731=9), N1731-25,AND(N1731&lt;= 30, S1731=9), N1731-28,AND(N1731&lt;= 11, S1731=10), N1731+2,AND(N1731&lt;= 21, S1731=10), N1731-11)</f>
        <v>3</v>
      </c>
    </row>
    <row r="1732" spans="1:22" x14ac:dyDescent="0.35">
      <c r="A1732" s="4">
        <v>45563</v>
      </c>
      <c r="B1732" s="5">
        <v>0.71793981481481484</v>
      </c>
      <c r="C1732">
        <v>85</v>
      </c>
      <c r="D1732">
        <v>83.3</v>
      </c>
      <c r="E1732">
        <v>87.4</v>
      </c>
      <c r="F1732">
        <v>85.4</v>
      </c>
      <c r="G1732">
        <v>0</v>
      </c>
      <c r="H1732">
        <v>0</v>
      </c>
      <c r="I1732">
        <v>0</v>
      </c>
      <c r="J1732">
        <v>0</v>
      </c>
      <c r="K1732">
        <v>73.5</v>
      </c>
      <c r="L1732">
        <v>72.5</v>
      </c>
      <c r="M1732">
        <v>85.3</v>
      </c>
      <c r="N1732">
        <v>28</v>
      </c>
      <c r="O1732">
        <v>4</v>
      </c>
      <c r="P1732">
        <f>MOD(DAY(datos_siembra[[#This Row],[Date]]),7)</f>
        <v>0</v>
      </c>
      <c r="Q1732" t="str">
        <f>CHOOSE(WEEKDAY(datos_siembra[[#This Row],[Date]],2),"L","M","X","J","V","S","D")</f>
        <v>S</v>
      </c>
      <c r="R1732">
        <f>WEEKNUM(datos_siembra[[#This Row],[Date]],2)-WEEKNUM(DATE(YEAR(datos_siembra[[#This Row],[Date]]),MONTH(datos_siembra[[#This Row],[Date]]),1))+1</f>
        <v>4</v>
      </c>
      <c r="S1732">
        <f>MONTH(datos_siembra[[#This Row],[Date]])</f>
        <v>9</v>
      </c>
      <c r="T1732" t="str" cm="1">
        <f t="array" ref="T1732">_xlfn.IFS(AND(N1732&lt;= 22, S1732=9), "SOWING",AND(N1732&lt;= 28, S1732=9), "COVERAGE",AND(N1732&lt;= 30, S1732=9), "FLUSH",AND(N1732&lt;= 11, S1732=10), "FLUSH",AND(N1732&lt;= 21, S1732=10), "PRODUCTION")</f>
        <v>COVERAGE</v>
      </c>
      <c r="U1732">
        <f>HOUR(datos_siembra[[#This Row],[Hour]])</f>
        <v>17</v>
      </c>
      <c r="V1732" cm="1">
        <f t="array" ref="V1732">_xlfn.IFS(AND(N1732&lt;= 22, S1732=9), N1732-7,AND(N1732&lt;= 28, S1732=9), N1732-25,AND(N1732&lt;= 30, S1732=9), N1732-28,AND(N1732&lt;= 11, S1732=10), N1732+2,AND(N1732&lt;= 21, S1732=10), N1732-11)</f>
        <v>3</v>
      </c>
    </row>
    <row r="1733" spans="1:22" x14ac:dyDescent="0.35">
      <c r="A1733" s="4">
        <v>45563</v>
      </c>
      <c r="B1733" s="5">
        <v>0.72488425925925926</v>
      </c>
      <c r="C1733">
        <v>85.2</v>
      </c>
      <c r="D1733">
        <v>83.3</v>
      </c>
      <c r="E1733">
        <v>87.4</v>
      </c>
      <c r="F1733">
        <v>85.7</v>
      </c>
      <c r="G1733">
        <v>0</v>
      </c>
      <c r="H1733">
        <v>0</v>
      </c>
      <c r="I1733">
        <v>0</v>
      </c>
      <c r="J1733">
        <v>0</v>
      </c>
      <c r="K1733">
        <v>73.400000000000006</v>
      </c>
      <c r="L1733">
        <v>72.400000000000006</v>
      </c>
      <c r="M1733">
        <v>85.27</v>
      </c>
      <c r="N1733">
        <v>28</v>
      </c>
      <c r="O1733">
        <v>4</v>
      </c>
      <c r="P1733">
        <f>MOD(DAY(datos_siembra[[#This Row],[Date]]),7)</f>
        <v>0</v>
      </c>
      <c r="Q1733" t="str">
        <f>CHOOSE(WEEKDAY(datos_siembra[[#This Row],[Date]],2),"L","M","X","J","V","S","D")</f>
        <v>S</v>
      </c>
      <c r="R1733">
        <f>WEEKNUM(datos_siembra[[#This Row],[Date]],2)-WEEKNUM(DATE(YEAR(datos_siembra[[#This Row],[Date]]),MONTH(datos_siembra[[#This Row],[Date]]),1))+1</f>
        <v>4</v>
      </c>
      <c r="S1733">
        <f>MONTH(datos_siembra[[#This Row],[Date]])</f>
        <v>9</v>
      </c>
      <c r="T1733" t="str" cm="1">
        <f t="array" ref="T1733">_xlfn.IFS(AND(N1733&lt;= 22, S1733=9), "SOWING",AND(N1733&lt;= 28, S1733=9), "COVERAGE",AND(N1733&lt;= 30, S1733=9), "FLUSH",AND(N1733&lt;= 11, S1733=10), "FLUSH",AND(N1733&lt;= 21, S1733=10), "PRODUCTION")</f>
        <v>COVERAGE</v>
      </c>
      <c r="U1733">
        <f>HOUR(datos_siembra[[#This Row],[Hour]])</f>
        <v>17</v>
      </c>
      <c r="V1733" cm="1">
        <f t="array" ref="V1733">_xlfn.IFS(AND(N1733&lt;= 22, S1733=9), N1733-7,AND(N1733&lt;= 28, S1733=9), N1733-25,AND(N1733&lt;= 30, S1733=9), N1733-28,AND(N1733&lt;= 11, S1733=10), N1733+2,AND(N1733&lt;= 21, S1733=10), N1733-11)</f>
        <v>3</v>
      </c>
    </row>
    <row r="1734" spans="1:22" x14ac:dyDescent="0.35">
      <c r="A1734" s="4">
        <v>45563</v>
      </c>
      <c r="B1734" s="5">
        <v>0.73184027777777783</v>
      </c>
      <c r="C1734">
        <v>85.1</v>
      </c>
      <c r="D1734">
        <v>83.2</v>
      </c>
      <c r="E1734">
        <v>87.1</v>
      </c>
      <c r="F1734">
        <v>85.6</v>
      </c>
      <c r="G1734">
        <v>0</v>
      </c>
      <c r="H1734">
        <v>0</v>
      </c>
      <c r="I1734">
        <v>0</v>
      </c>
      <c r="J1734">
        <v>0</v>
      </c>
      <c r="K1734">
        <v>73.3</v>
      </c>
      <c r="L1734">
        <v>72.2</v>
      </c>
      <c r="M1734">
        <v>85.27</v>
      </c>
      <c r="N1734">
        <v>28</v>
      </c>
      <c r="O1734">
        <v>4</v>
      </c>
      <c r="P1734">
        <f>MOD(DAY(datos_siembra[[#This Row],[Date]]),7)</f>
        <v>0</v>
      </c>
      <c r="Q1734" t="str">
        <f>CHOOSE(WEEKDAY(datos_siembra[[#This Row],[Date]],2),"L","M","X","J","V","S","D")</f>
        <v>S</v>
      </c>
      <c r="R1734">
        <f>WEEKNUM(datos_siembra[[#This Row],[Date]],2)-WEEKNUM(DATE(YEAR(datos_siembra[[#This Row],[Date]]),MONTH(datos_siembra[[#This Row],[Date]]),1))+1</f>
        <v>4</v>
      </c>
      <c r="S1734">
        <f>MONTH(datos_siembra[[#This Row],[Date]])</f>
        <v>9</v>
      </c>
      <c r="T1734" t="str" cm="1">
        <f t="array" ref="T1734">_xlfn.IFS(AND(N1734&lt;= 22, S1734=9), "SOWING",AND(N1734&lt;= 28, S1734=9), "COVERAGE",AND(N1734&lt;= 30, S1734=9), "FLUSH",AND(N1734&lt;= 11, S1734=10), "FLUSH",AND(N1734&lt;= 21, S1734=10), "PRODUCTION")</f>
        <v>COVERAGE</v>
      </c>
      <c r="U1734">
        <f>HOUR(datos_siembra[[#This Row],[Hour]])</f>
        <v>17</v>
      </c>
      <c r="V1734" cm="1">
        <f t="array" ref="V1734">_xlfn.IFS(AND(N1734&lt;= 22, S1734=9), N1734-7,AND(N1734&lt;= 28, S1734=9), N1734-25,AND(N1734&lt;= 30, S1734=9), N1734-28,AND(N1734&lt;= 11, S1734=10), N1734+2,AND(N1734&lt;= 21, S1734=10), N1734-11)</f>
        <v>3</v>
      </c>
    </row>
    <row r="1735" spans="1:22" x14ac:dyDescent="0.35">
      <c r="A1735" s="4">
        <v>45563</v>
      </c>
      <c r="B1735" s="5">
        <v>0.73878472222222225</v>
      </c>
      <c r="C1735">
        <v>85.2</v>
      </c>
      <c r="D1735">
        <v>83.1</v>
      </c>
      <c r="E1735">
        <v>87.4</v>
      </c>
      <c r="F1735">
        <v>85.6</v>
      </c>
      <c r="G1735">
        <v>0</v>
      </c>
      <c r="H1735">
        <v>0</v>
      </c>
      <c r="I1735">
        <v>0</v>
      </c>
      <c r="J1735">
        <v>0</v>
      </c>
      <c r="K1735">
        <v>73.099999999999994</v>
      </c>
      <c r="L1735">
        <v>72.099999999999994</v>
      </c>
      <c r="M1735">
        <v>85.27</v>
      </c>
      <c r="N1735">
        <v>28</v>
      </c>
      <c r="O1735">
        <v>4</v>
      </c>
      <c r="P1735">
        <f>MOD(DAY(datos_siembra[[#This Row],[Date]]),7)</f>
        <v>0</v>
      </c>
      <c r="Q1735" t="str">
        <f>CHOOSE(WEEKDAY(datos_siembra[[#This Row],[Date]],2),"L","M","X","J","V","S","D")</f>
        <v>S</v>
      </c>
      <c r="R1735">
        <f>WEEKNUM(datos_siembra[[#This Row],[Date]],2)-WEEKNUM(DATE(YEAR(datos_siembra[[#This Row],[Date]]),MONTH(datos_siembra[[#This Row],[Date]]),1))+1</f>
        <v>4</v>
      </c>
      <c r="S1735">
        <f>MONTH(datos_siembra[[#This Row],[Date]])</f>
        <v>9</v>
      </c>
      <c r="T1735" t="str" cm="1">
        <f t="array" ref="T1735">_xlfn.IFS(AND(N1735&lt;= 22, S1735=9), "SOWING",AND(N1735&lt;= 28, S1735=9), "COVERAGE",AND(N1735&lt;= 30, S1735=9), "FLUSH",AND(N1735&lt;= 11, S1735=10), "FLUSH",AND(N1735&lt;= 21, S1735=10), "PRODUCTION")</f>
        <v>COVERAGE</v>
      </c>
      <c r="U1735">
        <f>HOUR(datos_siembra[[#This Row],[Hour]])</f>
        <v>17</v>
      </c>
      <c r="V1735" cm="1">
        <f t="array" ref="V1735">_xlfn.IFS(AND(N1735&lt;= 22, S1735=9), N1735-7,AND(N1735&lt;= 28, S1735=9), N1735-25,AND(N1735&lt;= 30, S1735=9), N1735-28,AND(N1735&lt;= 11, S1735=10), N1735+2,AND(N1735&lt;= 21, S1735=10), N1735-11)</f>
        <v>3</v>
      </c>
    </row>
    <row r="1736" spans="1:22" x14ac:dyDescent="0.35">
      <c r="A1736" s="4">
        <v>45563</v>
      </c>
      <c r="B1736" s="5">
        <v>0.74572916666666667</v>
      </c>
      <c r="C1736">
        <v>85</v>
      </c>
      <c r="D1736">
        <v>83.2</v>
      </c>
      <c r="E1736">
        <v>87.4</v>
      </c>
      <c r="F1736">
        <v>85.6</v>
      </c>
      <c r="G1736">
        <v>0</v>
      </c>
      <c r="H1736">
        <v>0</v>
      </c>
      <c r="I1736">
        <v>0</v>
      </c>
      <c r="J1736">
        <v>0</v>
      </c>
      <c r="K1736">
        <v>73</v>
      </c>
      <c r="L1736">
        <v>71.7</v>
      </c>
      <c r="M1736">
        <v>85.35</v>
      </c>
      <c r="N1736">
        <v>28</v>
      </c>
      <c r="O1736">
        <v>4</v>
      </c>
      <c r="P1736">
        <f>MOD(DAY(datos_siembra[[#This Row],[Date]]),7)</f>
        <v>0</v>
      </c>
      <c r="Q1736" t="str">
        <f>CHOOSE(WEEKDAY(datos_siembra[[#This Row],[Date]],2),"L","M","X","J","V","S","D")</f>
        <v>S</v>
      </c>
      <c r="R1736">
        <f>WEEKNUM(datos_siembra[[#This Row],[Date]],2)-WEEKNUM(DATE(YEAR(datos_siembra[[#This Row],[Date]]),MONTH(datos_siembra[[#This Row],[Date]]),1))+1</f>
        <v>4</v>
      </c>
      <c r="S1736">
        <f>MONTH(datos_siembra[[#This Row],[Date]])</f>
        <v>9</v>
      </c>
      <c r="T1736" t="str" cm="1">
        <f t="array" ref="T1736">_xlfn.IFS(AND(N1736&lt;= 22, S1736=9), "SOWING",AND(N1736&lt;= 28, S1736=9), "COVERAGE",AND(N1736&lt;= 30, S1736=9), "FLUSH",AND(N1736&lt;= 11, S1736=10), "FLUSH",AND(N1736&lt;= 21, S1736=10), "PRODUCTION")</f>
        <v>COVERAGE</v>
      </c>
      <c r="U1736">
        <f>HOUR(datos_siembra[[#This Row],[Hour]])</f>
        <v>17</v>
      </c>
      <c r="V1736" cm="1">
        <f t="array" ref="V1736">_xlfn.IFS(AND(N1736&lt;= 22, S1736=9), N1736-7,AND(N1736&lt;= 28, S1736=9), N1736-25,AND(N1736&lt;= 30, S1736=9), N1736-28,AND(N1736&lt;= 11, S1736=10), N1736+2,AND(N1736&lt;= 21, S1736=10), N1736-11)</f>
        <v>3</v>
      </c>
    </row>
    <row r="1737" spans="1:22" x14ac:dyDescent="0.35">
      <c r="A1737" s="4">
        <v>45563</v>
      </c>
      <c r="B1737" s="5">
        <v>0.75268518518518523</v>
      </c>
      <c r="C1737">
        <v>85.2</v>
      </c>
      <c r="D1737">
        <v>83.2</v>
      </c>
      <c r="E1737">
        <v>87.2</v>
      </c>
      <c r="F1737">
        <v>85.6</v>
      </c>
      <c r="G1737">
        <v>0</v>
      </c>
      <c r="H1737">
        <v>0</v>
      </c>
      <c r="I1737">
        <v>0</v>
      </c>
      <c r="J1737">
        <v>0</v>
      </c>
      <c r="K1737">
        <v>72.8</v>
      </c>
      <c r="L1737">
        <v>71.7</v>
      </c>
      <c r="M1737">
        <v>85.3</v>
      </c>
      <c r="N1737">
        <v>28</v>
      </c>
      <c r="O1737">
        <v>4</v>
      </c>
      <c r="P1737">
        <f>MOD(DAY(datos_siembra[[#This Row],[Date]]),7)</f>
        <v>0</v>
      </c>
      <c r="Q1737" t="str">
        <f>CHOOSE(WEEKDAY(datos_siembra[[#This Row],[Date]],2),"L","M","X","J","V","S","D")</f>
        <v>S</v>
      </c>
      <c r="R1737">
        <f>WEEKNUM(datos_siembra[[#This Row],[Date]],2)-WEEKNUM(DATE(YEAR(datos_siembra[[#This Row],[Date]]),MONTH(datos_siembra[[#This Row],[Date]]),1))+1</f>
        <v>4</v>
      </c>
      <c r="S1737">
        <f>MONTH(datos_siembra[[#This Row],[Date]])</f>
        <v>9</v>
      </c>
      <c r="T1737" t="str" cm="1">
        <f t="array" ref="T1737">_xlfn.IFS(AND(N1737&lt;= 22, S1737=9), "SOWING",AND(N1737&lt;= 28, S1737=9), "COVERAGE",AND(N1737&lt;= 30, S1737=9), "FLUSH",AND(N1737&lt;= 11, S1737=10), "FLUSH",AND(N1737&lt;= 21, S1737=10), "PRODUCTION")</f>
        <v>COVERAGE</v>
      </c>
      <c r="U1737">
        <f>HOUR(datos_siembra[[#This Row],[Hour]])</f>
        <v>18</v>
      </c>
      <c r="V1737" cm="1">
        <f t="array" ref="V1737">_xlfn.IFS(AND(N1737&lt;= 22, S1737=9), N1737-7,AND(N1737&lt;= 28, S1737=9), N1737-25,AND(N1737&lt;= 30, S1737=9), N1737-28,AND(N1737&lt;= 11, S1737=10), N1737+2,AND(N1737&lt;= 21, S1737=10), N1737-11)</f>
        <v>3</v>
      </c>
    </row>
    <row r="1738" spans="1:22" x14ac:dyDescent="0.35">
      <c r="A1738" s="4">
        <v>45563</v>
      </c>
      <c r="B1738" s="5">
        <v>0.75962962962962965</v>
      </c>
      <c r="C1738">
        <v>85</v>
      </c>
      <c r="D1738">
        <v>83.1</v>
      </c>
      <c r="E1738">
        <v>87.4</v>
      </c>
      <c r="F1738">
        <v>85.7</v>
      </c>
      <c r="G1738">
        <v>0</v>
      </c>
      <c r="H1738">
        <v>0</v>
      </c>
      <c r="I1738">
        <v>0</v>
      </c>
      <c r="J1738">
        <v>0</v>
      </c>
      <c r="K1738">
        <v>72.599999999999994</v>
      </c>
      <c r="L1738">
        <v>71.5</v>
      </c>
      <c r="M1738">
        <v>85.3</v>
      </c>
      <c r="N1738">
        <v>28</v>
      </c>
      <c r="O1738">
        <v>4</v>
      </c>
      <c r="P1738">
        <f>MOD(DAY(datos_siembra[[#This Row],[Date]]),7)</f>
        <v>0</v>
      </c>
      <c r="Q1738" t="str">
        <f>CHOOSE(WEEKDAY(datos_siembra[[#This Row],[Date]],2),"L","M","X","J","V","S","D")</f>
        <v>S</v>
      </c>
      <c r="R1738">
        <f>WEEKNUM(datos_siembra[[#This Row],[Date]],2)-WEEKNUM(DATE(YEAR(datos_siembra[[#This Row],[Date]]),MONTH(datos_siembra[[#This Row],[Date]]),1))+1</f>
        <v>4</v>
      </c>
      <c r="S1738">
        <f>MONTH(datos_siembra[[#This Row],[Date]])</f>
        <v>9</v>
      </c>
      <c r="T1738" t="str" cm="1">
        <f t="array" ref="T1738">_xlfn.IFS(AND(N1738&lt;= 22, S1738=9), "SOWING",AND(N1738&lt;= 28, S1738=9), "COVERAGE",AND(N1738&lt;= 30, S1738=9), "FLUSH",AND(N1738&lt;= 11, S1738=10), "FLUSH",AND(N1738&lt;= 21, S1738=10), "PRODUCTION")</f>
        <v>COVERAGE</v>
      </c>
      <c r="U1738">
        <f>HOUR(datos_siembra[[#This Row],[Hour]])</f>
        <v>18</v>
      </c>
      <c r="V1738" cm="1">
        <f t="array" ref="V1738">_xlfn.IFS(AND(N1738&lt;= 22, S1738=9), N1738-7,AND(N1738&lt;= 28, S1738=9), N1738-25,AND(N1738&lt;= 30, S1738=9), N1738-28,AND(N1738&lt;= 11, S1738=10), N1738+2,AND(N1738&lt;= 21, S1738=10), N1738-11)</f>
        <v>3</v>
      </c>
    </row>
    <row r="1739" spans="1:22" x14ac:dyDescent="0.35">
      <c r="A1739" s="4">
        <v>45563</v>
      </c>
      <c r="B1739" s="5">
        <v>0.76657407407407407</v>
      </c>
      <c r="C1739">
        <v>85.2</v>
      </c>
      <c r="D1739">
        <v>83.1</v>
      </c>
      <c r="E1739">
        <v>87.2</v>
      </c>
      <c r="F1739">
        <v>85.6</v>
      </c>
      <c r="G1739">
        <v>0</v>
      </c>
      <c r="H1739">
        <v>0</v>
      </c>
      <c r="I1739">
        <v>0</v>
      </c>
      <c r="J1739">
        <v>0</v>
      </c>
      <c r="K1739">
        <v>72.5</v>
      </c>
      <c r="L1739">
        <v>71.5</v>
      </c>
      <c r="M1739">
        <v>85.27</v>
      </c>
      <c r="N1739">
        <v>28</v>
      </c>
      <c r="O1739">
        <v>4</v>
      </c>
      <c r="P1739">
        <f>MOD(DAY(datos_siembra[[#This Row],[Date]]),7)</f>
        <v>0</v>
      </c>
      <c r="Q1739" t="str">
        <f>CHOOSE(WEEKDAY(datos_siembra[[#This Row],[Date]],2),"L","M","X","J","V","S","D")</f>
        <v>S</v>
      </c>
      <c r="R1739">
        <f>WEEKNUM(datos_siembra[[#This Row],[Date]],2)-WEEKNUM(DATE(YEAR(datos_siembra[[#This Row],[Date]]),MONTH(datos_siembra[[#This Row],[Date]]),1))+1</f>
        <v>4</v>
      </c>
      <c r="S1739">
        <f>MONTH(datos_siembra[[#This Row],[Date]])</f>
        <v>9</v>
      </c>
      <c r="T1739" t="str" cm="1">
        <f t="array" ref="T1739">_xlfn.IFS(AND(N1739&lt;= 22, S1739=9), "SOWING",AND(N1739&lt;= 28, S1739=9), "COVERAGE",AND(N1739&lt;= 30, S1739=9), "FLUSH",AND(N1739&lt;= 11, S1739=10), "FLUSH",AND(N1739&lt;= 21, S1739=10), "PRODUCTION")</f>
        <v>COVERAGE</v>
      </c>
      <c r="U1739">
        <f>HOUR(datos_siembra[[#This Row],[Hour]])</f>
        <v>18</v>
      </c>
      <c r="V1739" cm="1">
        <f t="array" ref="V1739">_xlfn.IFS(AND(N1739&lt;= 22, S1739=9), N1739-7,AND(N1739&lt;= 28, S1739=9), N1739-25,AND(N1739&lt;= 30, S1739=9), N1739-28,AND(N1739&lt;= 11, S1739=10), N1739+2,AND(N1739&lt;= 21, S1739=10), N1739-11)</f>
        <v>3</v>
      </c>
    </row>
    <row r="1740" spans="1:22" x14ac:dyDescent="0.35">
      <c r="A1740" s="4">
        <v>45563</v>
      </c>
      <c r="B1740" s="5">
        <v>0.77351851851851849</v>
      </c>
      <c r="C1740">
        <v>85.1</v>
      </c>
      <c r="D1740">
        <v>83.2</v>
      </c>
      <c r="E1740">
        <v>87.2</v>
      </c>
      <c r="F1740">
        <v>85.7</v>
      </c>
      <c r="G1740">
        <v>0</v>
      </c>
      <c r="H1740">
        <v>0</v>
      </c>
      <c r="I1740">
        <v>0</v>
      </c>
      <c r="J1740">
        <v>0</v>
      </c>
      <c r="K1740">
        <v>72.3</v>
      </c>
      <c r="L1740">
        <v>71.400000000000006</v>
      </c>
      <c r="M1740">
        <v>85.32</v>
      </c>
      <c r="N1740">
        <v>28</v>
      </c>
      <c r="O1740">
        <v>4</v>
      </c>
      <c r="P1740">
        <f>MOD(DAY(datos_siembra[[#This Row],[Date]]),7)</f>
        <v>0</v>
      </c>
      <c r="Q1740" t="str">
        <f>CHOOSE(WEEKDAY(datos_siembra[[#This Row],[Date]],2),"L","M","X","J","V","S","D")</f>
        <v>S</v>
      </c>
      <c r="R1740">
        <f>WEEKNUM(datos_siembra[[#This Row],[Date]],2)-WEEKNUM(DATE(YEAR(datos_siembra[[#This Row],[Date]]),MONTH(datos_siembra[[#This Row],[Date]]),1))+1</f>
        <v>4</v>
      </c>
      <c r="S1740">
        <f>MONTH(datos_siembra[[#This Row],[Date]])</f>
        <v>9</v>
      </c>
      <c r="T1740" t="str" cm="1">
        <f t="array" ref="T1740">_xlfn.IFS(AND(N1740&lt;= 22, S1740=9), "SOWING",AND(N1740&lt;= 28, S1740=9), "COVERAGE",AND(N1740&lt;= 30, S1740=9), "FLUSH",AND(N1740&lt;= 11, S1740=10), "FLUSH",AND(N1740&lt;= 21, S1740=10), "PRODUCTION")</f>
        <v>COVERAGE</v>
      </c>
      <c r="U1740">
        <f>HOUR(datos_siembra[[#This Row],[Hour]])</f>
        <v>18</v>
      </c>
      <c r="V1740" cm="1">
        <f t="array" ref="V1740">_xlfn.IFS(AND(N1740&lt;= 22, S1740=9), N1740-7,AND(N1740&lt;= 28, S1740=9), N1740-25,AND(N1740&lt;= 30, S1740=9), N1740-28,AND(N1740&lt;= 11, S1740=10), N1740+2,AND(N1740&lt;= 21, S1740=10), N1740-11)</f>
        <v>3</v>
      </c>
    </row>
    <row r="1741" spans="1:22" x14ac:dyDescent="0.35">
      <c r="A1741" s="4">
        <v>45563</v>
      </c>
      <c r="B1741" s="5">
        <v>0.78047453703703706</v>
      </c>
      <c r="C1741">
        <v>85.1</v>
      </c>
      <c r="D1741">
        <v>83.2</v>
      </c>
      <c r="E1741">
        <v>87.4</v>
      </c>
      <c r="F1741">
        <v>85.8</v>
      </c>
      <c r="G1741">
        <v>0</v>
      </c>
      <c r="H1741">
        <v>0</v>
      </c>
      <c r="I1741">
        <v>0</v>
      </c>
      <c r="J1741">
        <v>0</v>
      </c>
      <c r="K1741">
        <v>72.2</v>
      </c>
      <c r="L1741">
        <v>71.3</v>
      </c>
      <c r="M1741">
        <v>85.27</v>
      </c>
      <c r="N1741">
        <v>28</v>
      </c>
      <c r="O1741">
        <v>4</v>
      </c>
      <c r="P1741">
        <f>MOD(DAY(datos_siembra[[#This Row],[Date]]),7)</f>
        <v>0</v>
      </c>
      <c r="Q1741" t="str">
        <f>CHOOSE(WEEKDAY(datos_siembra[[#This Row],[Date]],2),"L","M","X","J","V","S","D")</f>
        <v>S</v>
      </c>
      <c r="R1741">
        <f>WEEKNUM(datos_siembra[[#This Row],[Date]],2)-WEEKNUM(DATE(YEAR(datos_siembra[[#This Row],[Date]]),MONTH(datos_siembra[[#This Row],[Date]]),1))+1</f>
        <v>4</v>
      </c>
      <c r="S1741">
        <f>MONTH(datos_siembra[[#This Row],[Date]])</f>
        <v>9</v>
      </c>
      <c r="T1741" t="str" cm="1">
        <f t="array" ref="T1741">_xlfn.IFS(AND(N1741&lt;= 22, S1741=9), "SOWING",AND(N1741&lt;= 28, S1741=9), "COVERAGE",AND(N1741&lt;= 30, S1741=9), "FLUSH",AND(N1741&lt;= 11, S1741=10), "FLUSH",AND(N1741&lt;= 21, S1741=10), "PRODUCTION")</f>
        <v>COVERAGE</v>
      </c>
      <c r="U1741">
        <f>HOUR(datos_siembra[[#This Row],[Hour]])</f>
        <v>18</v>
      </c>
      <c r="V1741" cm="1">
        <f t="array" ref="V1741">_xlfn.IFS(AND(N1741&lt;= 22, S1741=9), N1741-7,AND(N1741&lt;= 28, S1741=9), N1741-25,AND(N1741&lt;= 30, S1741=9), N1741-28,AND(N1741&lt;= 11, S1741=10), N1741+2,AND(N1741&lt;= 21, S1741=10), N1741-11)</f>
        <v>3</v>
      </c>
    </row>
    <row r="1742" spans="1:22" x14ac:dyDescent="0.35">
      <c r="A1742" s="4">
        <v>45563</v>
      </c>
      <c r="B1742" s="5">
        <v>0.78741898148148148</v>
      </c>
      <c r="C1742">
        <v>85.1</v>
      </c>
      <c r="D1742">
        <v>83.1</v>
      </c>
      <c r="E1742">
        <v>87.2</v>
      </c>
      <c r="F1742">
        <v>85.4</v>
      </c>
      <c r="G1742">
        <v>0</v>
      </c>
      <c r="H1742">
        <v>0</v>
      </c>
      <c r="I1742">
        <v>0</v>
      </c>
      <c r="J1742">
        <v>0</v>
      </c>
      <c r="K1742">
        <v>72.099999999999994</v>
      </c>
      <c r="L1742">
        <v>71.099999999999994</v>
      </c>
      <c r="M1742">
        <v>85.21</v>
      </c>
      <c r="N1742">
        <v>28</v>
      </c>
      <c r="O1742">
        <v>4</v>
      </c>
      <c r="P1742">
        <f>MOD(DAY(datos_siembra[[#This Row],[Date]]),7)</f>
        <v>0</v>
      </c>
      <c r="Q1742" t="str">
        <f>CHOOSE(WEEKDAY(datos_siembra[[#This Row],[Date]],2),"L","M","X","J","V","S","D")</f>
        <v>S</v>
      </c>
      <c r="R1742">
        <f>WEEKNUM(datos_siembra[[#This Row],[Date]],2)-WEEKNUM(DATE(YEAR(datos_siembra[[#This Row],[Date]]),MONTH(datos_siembra[[#This Row],[Date]]),1))+1</f>
        <v>4</v>
      </c>
      <c r="S1742">
        <f>MONTH(datos_siembra[[#This Row],[Date]])</f>
        <v>9</v>
      </c>
      <c r="T1742" t="str" cm="1">
        <f t="array" ref="T1742">_xlfn.IFS(AND(N1742&lt;= 22, S1742=9), "SOWING",AND(N1742&lt;= 28, S1742=9), "COVERAGE",AND(N1742&lt;= 30, S1742=9), "FLUSH",AND(N1742&lt;= 11, S1742=10), "FLUSH",AND(N1742&lt;= 21, S1742=10), "PRODUCTION")</f>
        <v>COVERAGE</v>
      </c>
      <c r="U1742">
        <f>HOUR(datos_siembra[[#This Row],[Hour]])</f>
        <v>18</v>
      </c>
      <c r="V1742" cm="1">
        <f t="array" ref="V1742">_xlfn.IFS(AND(N1742&lt;= 22, S1742=9), N1742-7,AND(N1742&lt;= 28, S1742=9), N1742-25,AND(N1742&lt;= 30, S1742=9), N1742-28,AND(N1742&lt;= 11, S1742=10), N1742+2,AND(N1742&lt;= 21, S1742=10), N1742-11)</f>
        <v>3</v>
      </c>
    </row>
    <row r="1743" spans="1:22" x14ac:dyDescent="0.35">
      <c r="A1743" s="4">
        <v>45563</v>
      </c>
      <c r="B1743" s="5">
        <v>0.7943634259259259</v>
      </c>
      <c r="C1743">
        <v>85.1</v>
      </c>
      <c r="D1743">
        <v>83.1</v>
      </c>
      <c r="E1743">
        <v>87.2</v>
      </c>
      <c r="F1743">
        <v>85.4</v>
      </c>
      <c r="G1743">
        <v>0</v>
      </c>
      <c r="H1743">
        <v>0</v>
      </c>
      <c r="I1743">
        <v>0</v>
      </c>
      <c r="J1743">
        <v>0</v>
      </c>
      <c r="K1743">
        <v>72.099999999999994</v>
      </c>
      <c r="L1743">
        <v>71</v>
      </c>
      <c r="M1743">
        <v>85.24</v>
      </c>
      <c r="N1743">
        <v>28</v>
      </c>
      <c r="O1743">
        <v>4</v>
      </c>
      <c r="P1743">
        <f>MOD(DAY(datos_siembra[[#This Row],[Date]]),7)</f>
        <v>0</v>
      </c>
      <c r="Q1743" t="str">
        <f>CHOOSE(WEEKDAY(datos_siembra[[#This Row],[Date]],2),"L","M","X","J","V","S","D")</f>
        <v>S</v>
      </c>
      <c r="R1743">
        <f>WEEKNUM(datos_siembra[[#This Row],[Date]],2)-WEEKNUM(DATE(YEAR(datos_siembra[[#This Row],[Date]]),MONTH(datos_siembra[[#This Row],[Date]]),1))+1</f>
        <v>4</v>
      </c>
      <c r="S1743">
        <f>MONTH(datos_siembra[[#This Row],[Date]])</f>
        <v>9</v>
      </c>
      <c r="T1743" t="str" cm="1">
        <f t="array" ref="T1743">_xlfn.IFS(AND(N1743&lt;= 22, S1743=9), "SOWING",AND(N1743&lt;= 28, S1743=9), "COVERAGE",AND(N1743&lt;= 30, S1743=9), "FLUSH",AND(N1743&lt;= 11, S1743=10), "FLUSH",AND(N1743&lt;= 21, S1743=10), "PRODUCTION")</f>
        <v>COVERAGE</v>
      </c>
      <c r="U1743">
        <f>HOUR(datos_siembra[[#This Row],[Hour]])</f>
        <v>19</v>
      </c>
      <c r="V1743" cm="1">
        <f t="array" ref="V1743">_xlfn.IFS(AND(N1743&lt;= 22, S1743=9), N1743-7,AND(N1743&lt;= 28, S1743=9), N1743-25,AND(N1743&lt;= 30, S1743=9), N1743-28,AND(N1743&lt;= 11, S1743=10), N1743+2,AND(N1743&lt;= 21, S1743=10), N1743-11)</f>
        <v>3</v>
      </c>
    </row>
    <row r="1744" spans="1:22" x14ac:dyDescent="0.35">
      <c r="A1744" s="4">
        <v>45563</v>
      </c>
      <c r="B1744" s="5">
        <v>0.80131944444444447</v>
      </c>
      <c r="C1744">
        <v>85.1</v>
      </c>
      <c r="D1744">
        <v>83.2</v>
      </c>
      <c r="E1744">
        <v>87.2</v>
      </c>
      <c r="F1744">
        <v>85.6</v>
      </c>
      <c r="G1744">
        <v>0</v>
      </c>
      <c r="H1744">
        <v>0</v>
      </c>
      <c r="I1744">
        <v>0</v>
      </c>
      <c r="J1744">
        <v>0</v>
      </c>
      <c r="K1744">
        <v>71.900000000000006</v>
      </c>
      <c r="L1744">
        <v>70.900000000000006</v>
      </c>
      <c r="M1744">
        <v>85.3</v>
      </c>
      <c r="N1744">
        <v>28</v>
      </c>
      <c r="O1744">
        <v>4</v>
      </c>
      <c r="P1744">
        <f>MOD(DAY(datos_siembra[[#This Row],[Date]]),7)</f>
        <v>0</v>
      </c>
      <c r="Q1744" t="str">
        <f>CHOOSE(WEEKDAY(datos_siembra[[#This Row],[Date]],2),"L","M","X","J","V","S","D")</f>
        <v>S</v>
      </c>
      <c r="R1744">
        <f>WEEKNUM(datos_siembra[[#This Row],[Date]],2)-WEEKNUM(DATE(YEAR(datos_siembra[[#This Row],[Date]]),MONTH(datos_siembra[[#This Row],[Date]]),1))+1</f>
        <v>4</v>
      </c>
      <c r="S1744">
        <f>MONTH(datos_siembra[[#This Row],[Date]])</f>
        <v>9</v>
      </c>
      <c r="T1744" t="str" cm="1">
        <f t="array" ref="T1744">_xlfn.IFS(AND(N1744&lt;= 22, S1744=9), "SOWING",AND(N1744&lt;= 28, S1744=9), "COVERAGE",AND(N1744&lt;= 30, S1744=9), "FLUSH",AND(N1744&lt;= 11, S1744=10), "FLUSH",AND(N1744&lt;= 21, S1744=10), "PRODUCTION")</f>
        <v>COVERAGE</v>
      </c>
      <c r="U1744">
        <f>HOUR(datos_siembra[[#This Row],[Hour]])</f>
        <v>19</v>
      </c>
      <c r="V1744" cm="1">
        <f t="array" ref="V1744">_xlfn.IFS(AND(N1744&lt;= 22, S1744=9), N1744-7,AND(N1744&lt;= 28, S1744=9), N1744-25,AND(N1744&lt;= 30, S1744=9), N1744-28,AND(N1744&lt;= 11, S1744=10), N1744+2,AND(N1744&lt;= 21, S1744=10), N1744-11)</f>
        <v>3</v>
      </c>
    </row>
    <row r="1745" spans="1:22" x14ac:dyDescent="0.35">
      <c r="A1745" s="4">
        <v>45563</v>
      </c>
      <c r="B1745" s="5">
        <v>0.80826388888888889</v>
      </c>
      <c r="C1745">
        <v>85</v>
      </c>
      <c r="D1745">
        <v>83.1</v>
      </c>
      <c r="E1745">
        <v>87.1</v>
      </c>
      <c r="F1745">
        <v>85.4</v>
      </c>
      <c r="G1745">
        <v>0</v>
      </c>
      <c r="H1745">
        <v>0</v>
      </c>
      <c r="I1745">
        <v>0</v>
      </c>
      <c r="J1745">
        <v>0</v>
      </c>
      <c r="K1745">
        <v>71.8</v>
      </c>
      <c r="L1745">
        <v>70.8</v>
      </c>
      <c r="M1745">
        <v>85.18</v>
      </c>
      <c r="N1745">
        <v>28</v>
      </c>
      <c r="O1745">
        <v>4</v>
      </c>
      <c r="P1745">
        <f>MOD(DAY(datos_siembra[[#This Row],[Date]]),7)</f>
        <v>0</v>
      </c>
      <c r="Q1745" t="str">
        <f>CHOOSE(WEEKDAY(datos_siembra[[#This Row],[Date]],2),"L","M","X","J","V","S","D")</f>
        <v>S</v>
      </c>
      <c r="R1745">
        <f>WEEKNUM(datos_siembra[[#This Row],[Date]],2)-WEEKNUM(DATE(YEAR(datos_siembra[[#This Row],[Date]]),MONTH(datos_siembra[[#This Row],[Date]]),1))+1</f>
        <v>4</v>
      </c>
      <c r="S1745">
        <f>MONTH(datos_siembra[[#This Row],[Date]])</f>
        <v>9</v>
      </c>
      <c r="T1745" t="str" cm="1">
        <f t="array" ref="T1745">_xlfn.IFS(AND(N1745&lt;= 22, S1745=9), "SOWING",AND(N1745&lt;= 28, S1745=9), "COVERAGE",AND(N1745&lt;= 30, S1745=9), "FLUSH",AND(N1745&lt;= 11, S1745=10), "FLUSH",AND(N1745&lt;= 21, S1745=10), "PRODUCTION")</f>
        <v>COVERAGE</v>
      </c>
      <c r="U1745">
        <f>HOUR(datos_siembra[[#This Row],[Hour]])</f>
        <v>19</v>
      </c>
      <c r="V1745" cm="1">
        <f t="array" ref="V1745">_xlfn.IFS(AND(N1745&lt;= 22, S1745=9), N1745-7,AND(N1745&lt;= 28, S1745=9), N1745-25,AND(N1745&lt;= 30, S1745=9), N1745-28,AND(N1745&lt;= 11, S1745=10), N1745+2,AND(N1745&lt;= 21, S1745=10), N1745-11)</f>
        <v>3</v>
      </c>
    </row>
    <row r="1746" spans="1:22" x14ac:dyDescent="0.35">
      <c r="A1746" s="4">
        <v>45563</v>
      </c>
      <c r="B1746" s="5">
        <v>0.81520833333333331</v>
      </c>
      <c r="C1746">
        <v>85</v>
      </c>
      <c r="D1746">
        <v>83.2</v>
      </c>
      <c r="E1746">
        <v>87.4</v>
      </c>
      <c r="F1746">
        <v>85.6</v>
      </c>
      <c r="G1746">
        <v>0</v>
      </c>
      <c r="H1746">
        <v>0</v>
      </c>
      <c r="I1746">
        <v>0</v>
      </c>
      <c r="J1746">
        <v>0</v>
      </c>
      <c r="K1746">
        <v>71.7</v>
      </c>
      <c r="L1746">
        <v>70.8</v>
      </c>
      <c r="M1746">
        <v>85.27</v>
      </c>
      <c r="N1746">
        <v>28</v>
      </c>
      <c r="O1746">
        <v>4</v>
      </c>
      <c r="P1746">
        <f>MOD(DAY(datos_siembra[[#This Row],[Date]]),7)</f>
        <v>0</v>
      </c>
      <c r="Q1746" t="str">
        <f>CHOOSE(WEEKDAY(datos_siembra[[#This Row],[Date]],2),"L","M","X","J","V","S","D")</f>
        <v>S</v>
      </c>
      <c r="R1746">
        <f>WEEKNUM(datos_siembra[[#This Row],[Date]],2)-WEEKNUM(DATE(YEAR(datos_siembra[[#This Row],[Date]]),MONTH(datos_siembra[[#This Row],[Date]]),1))+1</f>
        <v>4</v>
      </c>
      <c r="S1746">
        <f>MONTH(datos_siembra[[#This Row],[Date]])</f>
        <v>9</v>
      </c>
      <c r="T1746" t="str" cm="1">
        <f t="array" ref="T1746">_xlfn.IFS(AND(N1746&lt;= 22, S1746=9), "SOWING",AND(N1746&lt;= 28, S1746=9), "COVERAGE",AND(N1746&lt;= 30, S1746=9), "FLUSH",AND(N1746&lt;= 11, S1746=10), "FLUSH",AND(N1746&lt;= 21, S1746=10), "PRODUCTION")</f>
        <v>COVERAGE</v>
      </c>
      <c r="U1746">
        <f>HOUR(datos_siembra[[#This Row],[Hour]])</f>
        <v>19</v>
      </c>
      <c r="V1746" cm="1">
        <f t="array" ref="V1746">_xlfn.IFS(AND(N1746&lt;= 22, S1746=9), N1746-7,AND(N1746&lt;= 28, S1746=9), N1746-25,AND(N1746&lt;= 30, S1746=9), N1746-28,AND(N1746&lt;= 11, S1746=10), N1746+2,AND(N1746&lt;= 21, S1746=10), N1746-11)</f>
        <v>3</v>
      </c>
    </row>
    <row r="1747" spans="1:22" x14ac:dyDescent="0.35">
      <c r="A1747" s="4">
        <v>45563</v>
      </c>
      <c r="B1747" s="5">
        <v>0.82215277777777773</v>
      </c>
      <c r="C1747">
        <v>85.1</v>
      </c>
      <c r="D1747">
        <v>83.2</v>
      </c>
      <c r="E1747">
        <v>87.2</v>
      </c>
      <c r="F1747">
        <v>85.3</v>
      </c>
      <c r="G1747">
        <v>0</v>
      </c>
      <c r="H1747">
        <v>0</v>
      </c>
      <c r="I1747">
        <v>0</v>
      </c>
      <c r="J1747">
        <v>0</v>
      </c>
      <c r="K1747">
        <v>71.7</v>
      </c>
      <c r="L1747">
        <v>70.7</v>
      </c>
      <c r="M1747">
        <v>85.21</v>
      </c>
      <c r="N1747">
        <v>28</v>
      </c>
      <c r="O1747">
        <v>4</v>
      </c>
      <c r="P1747">
        <f>MOD(DAY(datos_siembra[[#This Row],[Date]]),7)</f>
        <v>0</v>
      </c>
      <c r="Q1747" t="str">
        <f>CHOOSE(WEEKDAY(datos_siembra[[#This Row],[Date]],2),"L","M","X","J","V","S","D")</f>
        <v>S</v>
      </c>
      <c r="R1747">
        <f>WEEKNUM(datos_siembra[[#This Row],[Date]],2)-WEEKNUM(DATE(YEAR(datos_siembra[[#This Row],[Date]]),MONTH(datos_siembra[[#This Row],[Date]]),1))+1</f>
        <v>4</v>
      </c>
      <c r="S1747">
        <f>MONTH(datos_siembra[[#This Row],[Date]])</f>
        <v>9</v>
      </c>
      <c r="T1747" t="str" cm="1">
        <f t="array" ref="T1747">_xlfn.IFS(AND(N1747&lt;= 22, S1747=9), "SOWING",AND(N1747&lt;= 28, S1747=9), "COVERAGE",AND(N1747&lt;= 30, S1747=9), "FLUSH",AND(N1747&lt;= 11, S1747=10), "FLUSH",AND(N1747&lt;= 21, S1747=10), "PRODUCTION")</f>
        <v>COVERAGE</v>
      </c>
      <c r="U1747">
        <f>HOUR(datos_siembra[[#This Row],[Hour]])</f>
        <v>19</v>
      </c>
      <c r="V1747" cm="1">
        <f t="array" ref="V1747">_xlfn.IFS(AND(N1747&lt;= 22, S1747=9), N1747-7,AND(N1747&lt;= 28, S1747=9), N1747-25,AND(N1747&lt;= 30, S1747=9), N1747-28,AND(N1747&lt;= 11, S1747=10), N1747+2,AND(N1747&lt;= 21, S1747=10), N1747-11)</f>
        <v>3</v>
      </c>
    </row>
    <row r="1748" spans="1:22" x14ac:dyDescent="0.35">
      <c r="A1748" s="4">
        <v>45563</v>
      </c>
      <c r="B1748" s="5">
        <v>0.8291087962962963</v>
      </c>
      <c r="C1748">
        <v>85</v>
      </c>
      <c r="D1748">
        <v>83.2</v>
      </c>
      <c r="E1748">
        <v>87.4</v>
      </c>
      <c r="F1748">
        <v>85.6</v>
      </c>
      <c r="G1748">
        <v>0</v>
      </c>
      <c r="H1748">
        <v>0</v>
      </c>
      <c r="I1748">
        <v>0</v>
      </c>
      <c r="J1748">
        <v>0</v>
      </c>
      <c r="K1748">
        <v>71.5</v>
      </c>
      <c r="L1748">
        <v>70.599999999999994</v>
      </c>
      <c r="M1748">
        <v>85.18</v>
      </c>
      <c r="N1748">
        <v>28</v>
      </c>
      <c r="O1748">
        <v>4</v>
      </c>
      <c r="P1748">
        <f>MOD(DAY(datos_siembra[[#This Row],[Date]]),7)</f>
        <v>0</v>
      </c>
      <c r="Q1748" t="str">
        <f>CHOOSE(WEEKDAY(datos_siembra[[#This Row],[Date]],2),"L","M","X","J","V","S","D")</f>
        <v>S</v>
      </c>
      <c r="R1748">
        <f>WEEKNUM(datos_siembra[[#This Row],[Date]],2)-WEEKNUM(DATE(YEAR(datos_siembra[[#This Row],[Date]]),MONTH(datos_siembra[[#This Row],[Date]]),1))+1</f>
        <v>4</v>
      </c>
      <c r="S1748">
        <f>MONTH(datos_siembra[[#This Row],[Date]])</f>
        <v>9</v>
      </c>
      <c r="T1748" t="str" cm="1">
        <f t="array" ref="T1748">_xlfn.IFS(AND(N1748&lt;= 22, S1748=9), "SOWING",AND(N1748&lt;= 28, S1748=9), "COVERAGE",AND(N1748&lt;= 30, S1748=9), "FLUSH",AND(N1748&lt;= 11, S1748=10), "FLUSH",AND(N1748&lt;= 21, S1748=10), "PRODUCTION")</f>
        <v>COVERAGE</v>
      </c>
      <c r="U1748">
        <f>HOUR(datos_siembra[[#This Row],[Hour]])</f>
        <v>19</v>
      </c>
      <c r="V1748" cm="1">
        <f t="array" ref="V1748">_xlfn.IFS(AND(N1748&lt;= 22, S1748=9), N1748-7,AND(N1748&lt;= 28, S1748=9), N1748-25,AND(N1748&lt;= 30, S1748=9), N1748-28,AND(N1748&lt;= 11, S1748=10), N1748+2,AND(N1748&lt;= 21, S1748=10), N1748-11)</f>
        <v>3</v>
      </c>
    </row>
    <row r="1749" spans="1:22" x14ac:dyDescent="0.35">
      <c r="A1749" s="4">
        <v>45563</v>
      </c>
      <c r="B1749" s="5">
        <v>0.83605324074074072</v>
      </c>
      <c r="C1749">
        <v>85.1</v>
      </c>
      <c r="D1749">
        <v>83.2</v>
      </c>
      <c r="E1749">
        <v>87.1</v>
      </c>
      <c r="F1749">
        <v>85.4</v>
      </c>
      <c r="G1749">
        <v>0</v>
      </c>
      <c r="H1749">
        <v>0</v>
      </c>
      <c r="I1749">
        <v>0</v>
      </c>
      <c r="J1749">
        <v>0</v>
      </c>
      <c r="K1749">
        <v>71.5</v>
      </c>
      <c r="L1749">
        <v>70.599999999999994</v>
      </c>
      <c r="M1749">
        <v>85.21</v>
      </c>
      <c r="N1749">
        <v>28</v>
      </c>
      <c r="O1749">
        <v>4</v>
      </c>
      <c r="P1749">
        <f>MOD(DAY(datos_siembra[[#This Row],[Date]]),7)</f>
        <v>0</v>
      </c>
      <c r="Q1749" t="str">
        <f>CHOOSE(WEEKDAY(datos_siembra[[#This Row],[Date]],2),"L","M","X","J","V","S","D")</f>
        <v>S</v>
      </c>
      <c r="R1749">
        <f>WEEKNUM(datos_siembra[[#This Row],[Date]],2)-WEEKNUM(DATE(YEAR(datos_siembra[[#This Row],[Date]]),MONTH(datos_siembra[[#This Row],[Date]]),1))+1</f>
        <v>4</v>
      </c>
      <c r="S1749">
        <f>MONTH(datos_siembra[[#This Row],[Date]])</f>
        <v>9</v>
      </c>
      <c r="T1749" t="str" cm="1">
        <f t="array" ref="T1749">_xlfn.IFS(AND(N1749&lt;= 22, S1749=9), "SOWING",AND(N1749&lt;= 28, S1749=9), "COVERAGE",AND(N1749&lt;= 30, S1749=9), "FLUSH",AND(N1749&lt;= 11, S1749=10), "FLUSH",AND(N1749&lt;= 21, S1749=10), "PRODUCTION")</f>
        <v>COVERAGE</v>
      </c>
      <c r="U1749">
        <f>HOUR(datos_siembra[[#This Row],[Hour]])</f>
        <v>20</v>
      </c>
      <c r="V1749" cm="1">
        <f t="array" ref="V1749">_xlfn.IFS(AND(N1749&lt;= 22, S1749=9), N1749-7,AND(N1749&lt;= 28, S1749=9), N1749-25,AND(N1749&lt;= 30, S1749=9), N1749-28,AND(N1749&lt;= 11, S1749=10), N1749+2,AND(N1749&lt;= 21, S1749=10), N1749-11)</f>
        <v>3</v>
      </c>
    </row>
    <row r="1750" spans="1:22" x14ac:dyDescent="0.35">
      <c r="A1750" s="4">
        <v>45563</v>
      </c>
      <c r="B1750" s="5">
        <v>0.84299768518518514</v>
      </c>
      <c r="C1750">
        <v>84.9</v>
      </c>
      <c r="D1750">
        <v>83.1</v>
      </c>
      <c r="E1750">
        <v>87</v>
      </c>
      <c r="F1750">
        <v>85.3</v>
      </c>
      <c r="G1750">
        <v>0</v>
      </c>
      <c r="H1750">
        <v>0</v>
      </c>
      <c r="I1750">
        <v>0</v>
      </c>
      <c r="J1750">
        <v>0</v>
      </c>
      <c r="K1750">
        <v>71.5</v>
      </c>
      <c r="L1750">
        <v>70.5</v>
      </c>
      <c r="M1750">
        <v>85.16</v>
      </c>
      <c r="N1750">
        <v>28</v>
      </c>
      <c r="O1750">
        <v>4</v>
      </c>
      <c r="P1750">
        <f>MOD(DAY(datos_siembra[[#This Row],[Date]]),7)</f>
        <v>0</v>
      </c>
      <c r="Q1750" t="str">
        <f>CHOOSE(WEEKDAY(datos_siembra[[#This Row],[Date]],2),"L","M","X","J","V","S","D")</f>
        <v>S</v>
      </c>
      <c r="R1750">
        <f>WEEKNUM(datos_siembra[[#This Row],[Date]],2)-WEEKNUM(DATE(YEAR(datos_siembra[[#This Row],[Date]]),MONTH(datos_siembra[[#This Row],[Date]]),1))+1</f>
        <v>4</v>
      </c>
      <c r="S1750">
        <f>MONTH(datos_siembra[[#This Row],[Date]])</f>
        <v>9</v>
      </c>
      <c r="T1750" t="str" cm="1">
        <f t="array" ref="T1750">_xlfn.IFS(AND(N1750&lt;= 22, S1750=9), "SOWING",AND(N1750&lt;= 28, S1750=9), "COVERAGE",AND(N1750&lt;= 30, S1750=9), "FLUSH",AND(N1750&lt;= 11, S1750=10), "FLUSH",AND(N1750&lt;= 21, S1750=10), "PRODUCTION")</f>
        <v>COVERAGE</v>
      </c>
      <c r="U1750">
        <f>HOUR(datos_siembra[[#This Row],[Hour]])</f>
        <v>20</v>
      </c>
      <c r="V1750" cm="1">
        <f t="array" ref="V1750">_xlfn.IFS(AND(N1750&lt;= 22, S1750=9), N1750-7,AND(N1750&lt;= 28, S1750=9), N1750-25,AND(N1750&lt;= 30, S1750=9), N1750-28,AND(N1750&lt;= 11, S1750=10), N1750+2,AND(N1750&lt;= 21, S1750=10), N1750-11)</f>
        <v>3</v>
      </c>
    </row>
    <row r="1751" spans="1:22" x14ac:dyDescent="0.35">
      <c r="A1751" s="4">
        <v>45563</v>
      </c>
      <c r="B1751" s="5">
        <v>0.84994212962962967</v>
      </c>
      <c r="C1751">
        <v>84.9</v>
      </c>
      <c r="D1751">
        <v>83.1</v>
      </c>
      <c r="E1751">
        <v>87.1</v>
      </c>
      <c r="F1751">
        <v>85.2</v>
      </c>
      <c r="G1751">
        <v>0</v>
      </c>
      <c r="H1751">
        <v>0</v>
      </c>
      <c r="I1751">
        <v>0</v>
      </c>
      <c r="J1751">
        <v>0</v>
      </c>
      <c r="K1751">
        <v>71.400000000000006</v>
      </c>
      <c r="L1751">
        <v>70.400000000000006</v>
      </c>
      <c r="M1751">
        <v>85.1</v>
      </c>
      <c r="N1751">
        <v>28</v>
      </c>
      <c r="O1751">
        <v>4</v>
      </c>
      <c r="P1751">
        <f>MOD(DAY(datos_siembra[[#This Row],[Date]]),7)</f>
        <v>0</v>
      </c>
      <c r="Q1751" t="str">
        <f>CHOOSE(WEEKDAY(datos_siembra[[#This Row],[Date]],2),"L","M","X","J","V","S","D")</f>
        <v>S</v>
      </c>
      <c r="R1751">
        <f>WEEKNUM(datos_siembra[[#This Row],[Date]],2)-WEEKNUM(DATE(YEAR(datos_siembra[[#This Row],[Date]]),MONTH(datos_siembra[[#This Row],[Date]]),1))+1</f>
        <v>4</v>
      </c>
      <c r="S1751">
        <f>MONTH(datos_siembra[[#This Row],[Date]])</f>
        <v>9</v>
      </c>
      <c r="T1751" t="str" cm="1">
        <f t="array" ref="T1751">_xlfn.IFS(AND(N1751&lt;= 22, S1751=9), "SOWING",AND(N1751&lt;= 28, S1751=9), "COVERAGE",AND(N1751&lt;= 30, S1751=9), "FLUSH",AND(N1751&lt;= 11, S1751=10), "FLUSH",AND(N1751&lt;= 21, S1751=10), "PRODUCTION")</f>
        <v>COVERAGE</v>
      </c>
      <c r="U1751">
        <f>HOUR(datos_siembra[[#This Row],[Hour]])</f>
        <v>20</v>
      </c>
      <c r="V1751" cm="1">
        <f t="array" ref="V1751">_xlfn.IFS(AND(N1751&lt;= 22, S1751=9), N1751-7,AND(N1751&lt;= 28, S1751=9), N1751-25,AND(N1751&lt;= 30, S1751=9), N1751-28,AND(N1751&lt;= 11, S1751=10), N1751+2,AND(N1751&lt;= 21, S1751=10), N1751-11)</f>
        <v>3</v>
      </c>
    </row>
    <row r="1752" spans="1:22" x14ac:dyDescent="0.35">
      <c r="A1752" s="4">
        <v>45563</v>
      </c>
      <c r="B1752" s="5">
        <v>0.85689814814814813</v>
      </c>
      <c r="C1752">
        <v>85</v>
      </c>
      <c r="D1752">
        <v>83</v>
      </c>
      <c r="E1752">
        <v>87.1</v>
      </c>
      <c r="F1752">
        <v>85.3</v>
      </c>
      <c r="G1752">
        <v>0</v>
      </c>
      <c r="H1752">
        <v>0</v>
      </c>
      <c r="I1752">
        <v>0</v>
      </c>
      <c r="J1752">
        <v>0</v>
      </c>
      <c r="K1752">
        <v>71.3</v>
      </c>
      <c r="L1752">
        <v>70.099999999999994</v>
      </c>
      <c r="M1752">
        <v>85.1</v>
      </c>
      <c r="N1752">
        <v>28</v>
      </c>
      <c r="O1752">
        <v>4</v>
      </c>
      <c r="P1752">
        <f>MOD(DAY(datos_siembra[[#This Row],[Date]]),7)</f>
        <v>0</v>
      </c>
      <c r="Q1752" t="str">
        <f>CHOOSE(WEEKDAY(datos_siembra[[#This Row],[Date]],2),"L","M","X","J","V","S","D")</f>
        <v>S</v>
      </c>
      <c r="R1752">
        <f>WEEKNUM(datos_siembra[[#This Row],[Date]],2)-WEEKNUM(DATE(YEAR(datos_siembra[[#This Row],[Date]]),MONTH(datos_siembra[[#This Row],[Date]]),1))+1</f>
        <v>4</v>
      </c>
      <c r="S1752">
        <f>MONTH(datos_siembra[[#This Row],[Date]])</f>
        <v>9</v>
      </c>
      <c r="T1752" t="str" cm="1">
        <f t="array" ref="T1752">_xlfn.IFS(AND(N1752&lt;= 22, S1752=9), "SOWING",AND(N1752&lt;= 28, S1752=9), "COVERAGE",AND(N1752&lt;= 30, S1752=9), "FLUSH",AND(N1752&lt;= 11, S1752=10), "FLUSH",AND(N1752&lt;= 21, S1752=10), "PRODUCTION")</f>
        <v>COVERAGE</v>
      </c>
      <c r="U1752">
        <f>HOUR(datos_siembra[[#This Row],[Hour]])</f>
        <v>20</v>
      </c>
      <c r="V1752" cm="1">
        <f t="array" ref="V1752">_xlfn.IFS(AND(N1752&lt;= 22, S1752=9), N1752-7,AND(N1752&lt;= 28, S1752=9), N1752-25,AND(N1752&lt;= 30, S1752=9), N1752-28,AND(N1752&lt;= 11, S1752=10), N1752+2,AND(N1752&lt;= 21, S1752=10), N1752-11)</f>
        <v>3</v>
      </c>
    </row>
    <row r="1753" spans="1:22" x14ac:dyDescent="0.35">
      <c r="A1753" s="4">
        <v>45563</v>
      </c>
      <c r="B1753" s="5">
        <v>0.86384259259259255</v>
      </c>
      <c r="C1753">
        <v>85</v>
      </c>
      <c r="D1753">
        <v>83</v>
      </c>
      <c r="E1753">
        <v>87.2</v>
      </c>
      <c r="F1753">
        <v>85.2</v>
      </c>
      <c r="G1753">
        <v>0</v>
      </c>
      <c r="H1753">
        <v>0</v>
      </c>
      <c r="I1753">
        <v>0</v>
      </c>
      <c r="J1753">
        <v>0</v>
      </c>
      <c r="K1753">
        <v>71</v>
      </c>
      <c r="L1753">
        <v>70.099999999999994</v>
      </c>
      <c r="M1753">
        <v>85.16</v>
      </c>
      <c r="N1753">
        <v>28</v>
      </c>
      <c r="O1753">
        <v>4</v>
      </c>
      <c r="P1753">
        <f>MOD(DAY(datos_siembra[[#This Row],[Date]]),7)</f>
        <v>0</v>
      </c>
      <c r="Q1753" t="str">
        <f>CHOOSE(WEEKDAY(datos_siembra[[#This Row],[Date]],2),"L","M","X","J","V","S","D")</f>
        <v>S</v>
      </c>
      <c r="R1753">
        <f>WEEKNUM(datos_siembra[[#This Row],[Date]],2)-WEEKNUM(DATE(YEAR(datos_siembra[[#This Row],[Date]]),MONTH(datos_siembra[[#This Row],[Date]]),1))+1</f>
        <v>4</v>
      </c>
      <c r="S1753">
        <f>MONTH(datos_siembra[[#This Row],[Date]])</f>
        <v>9</v>
      </c>
      <c r="T1753" t="str" cm="1">
        <f t="array" ref="T1753">_xlfn.IFS(AND(N1753&lt;= 22, S1753=9), "SOWING",AND(N1753&lt;= 28, S1753=9), "COVERAGE",AND(N1753&lt;= 30, S1753=9), "FLUSH",AND(N1753&lt;= 11, S1753=10), "FLUSH",AND(N1753&lt;= 21, S1753=10), "PRODUCTION")</f>
        <v>COVERAGE</v>
      </c>
      <c r="U1753">
        <f>HOUR(datos_siembra[[#This Row],[Hour]])</f>
        <v>20</v>
      </c>
      <c r="V1753" cm="1">
        <f t="array" ref="V1753">_xlfn.IFS(AND(N1753&lt;= 22, S1753=9), N1753-7,AND(N1753&lt;= 28, S1753=9), N1753-25,AND(N1753&lt;= 30, S1753=9), N1753-28,AND(N1753&lt;= 11, S1753=10), N1753+2,AND(N1753&lt;= 21, S1753=10), N1753-11)</f>
        <v>3</v>
      </c>
    </row>
    <row r="1754" spans="1:22" x14ac:dyDescent="0.35">
      <c r="A1754" s="4">
        <v>45563</v>
      </c>
      <c r="B1754" s="5">
        <v>0.87078703703703708</v>
      </c>
      <c r="C1754">
        <v>84.9</v>
      </c>
      <c r="D1754">
        <v>83</v>
      </c>
      <c r="E1754">
        <v>87.2</v>
      </c>
      <c r="F1754">
        <v>85.4</v>
      </c>
      <c r="G1754">
        <v>0</v>
      </c>
      <c r="H1754">
        <v>0</v>
      </c>
      <c r="I1754">
        <v>0</v>
      </c>
      <c r="J1754">
        <v>0</v>
      </c>
      <c r="K1754">
        <v>70.900000000000006</v>
      </c>
      <c r="L1754">
        <v>70</v>
      </c>
      <c r="M1754">
        <v>85.1</v>
      </c>
      <c r="N1754">
        <v>28</v>
      </c>
      <c r="O1754">
        <v>4</v>
      </c>
      <c r="P1754">
        <f>MOD(DAY(datos_siembra[[#This Row],[Date]]),7)</f>
        <v>0</v>
      </c>
      <c r="Q1754" t="str">
        <f>CHOOSE(WEEKDAY(datos_siembra[[#This Row],[Date]],2),"L","M","X","J","V","S","D")</f>
        <v>S</v>
      </c>
      <c r="R1754">
        <f>WEEKNUM(datos_siembra[[#This Row],[Date]],2)-WEEKNUM(DATE(YEAR(datos_siembra[[#This Row],[Date]]),MONTH(datos_siembra[[#This Row],[Date]]),1))+1</f>
        <v>4</v>
      </c>
      <c r="S1754">
        <f>MONTH(datos_siembra[[#This Row],[Date]])</f>
        <v>9</v>
      </c>
      <c r="T1754" t="str" cm="1">
        <f t="array" ref="T1754">_xlfn.IFS(AND(N1754&lt;= 22, S1754=9), "SOWING",AND(N1754&lt;= 28, S1754=9), "COVERAGE",AND(N1754&lt;= 30, S1754=9), "FLUSH",AND(N1754&lt;= 11, S1754=10), "FLUSH",AND(N1754&lt;= 21, S1754=10), "PRODUCTION")</f>
        <v>COVERAGE</v>
      </c>
      <c r="U1754">
        <f>HOUR(datos_siembra[[#This Row],[Hour]])</f>
        <v>20</v>
      </c>
      <c r="V1754" cm="1">
        <f t="array" ref="V1754">_xlfn.IFS(AND(N1754&lt;= 22, S1754=9), N1754-7,AND(N1754&lt;= 28, S1754=9), N1754-25,AND(N1754&lt;= 30, S1754=9), N1754-28,AND(N1754&lt;= 11, S1754=10), N1754+2,AND(N1754&lt;= 21, S1754=10), N1754-11)</f>
        <v>3</v>
      </c>
    </row>
    <row r="1755" spans="1:22" x14ac:dyDescent="0.35">
      <c r="A1755" s="4">
        <v>45563</v>
      </c>
      <c r="B1755" s="5">
        <v>0.87774305555555554</v>
      </c>
      <c r="C1755">
        <v>84.9</v>
      </c>
      <c r="D1755">
        <v>83</v>
      </c>
      <c r="E1755">
        <v>87.1</v>
      </c>
      <c r="F1755">
        <v>84.9</v>
      </c>
      <c r="G1755">
        <v>0</v>
      </c>
      <c r="H1755">
        <v>0</v>
      </c>
      <c r="I1755">
        <v>0</v>
      </c>
      <c r="J1755">
        <v>0</v>
      </c>
      <c r="K1755">
        <v>70.8</v>
      </c>
      <c r="L1755">
        <v>70</v>
      </c>
      <c r="M1755">
        <v>84.96</v>
      </c>
      <c r="N1755">
        <v>28</v>
      </c>
      <c r="O1755">
        <v>4</v>
      </c>
      <c r="P1755">
        <f>MOD(DAY(datos_siembra[[#This Row],[Date]]),7)</f>
        <v>0</v>
      </c>
      <c r="Q1755" t="str">
        <f>CHOOSE(WEEKDAY(datos_siembra[[#This Row],[Date]],2),"L","M","X","J","V","S","D")</f>
        <v>S</v>
      </c>
      <c r="R1755">
        <f>WEEKNUM(datos_siembra[[#This Row],[Date]],2)-WEEKNUM(DATE(YEAR(datos_siembra[[#This Row],[Date]]),MONTH(datos_siembra[[#This Row],[Date]]),1))+1</f>
        <v>4</v>
      </c>
      <c r="S1755">
        <f>MONTH(datos_siembra[[#This Row],[Date]])</f>
        <v>9</v>
      </c>
      <c r="T1755" t="str" cm="1">
        <f t="array" ref="T1755">_xlfn.IFS(AND(N1755&lt;= 22, S1755=9), "SOWING",AND(N1755&lt;= 28, S1755=9), "COVERAGE",AND(N1755&lt;= 30, S1755=9), "FLUSH",AND(N1755&lt;= 11, S1755=10), "FLUSH",AND(N1755&lt;= 21, S1755=10), "PRODUCTION")</f>
        <v>COVERAGE</v>
      </c>
      <c r="U1755">
        <f>HOUR(datos_siembra[[#This Row],[Hour]])</f>
        <v>21</v>
      </c>
      <c r="V1755" cm="1">
        <f t="array" ref="V1755">_xlfn.IFS(AND(N1755&lt;= 22, S1755=9), N1755-7,AND(N1755&lt;= 28, S1755=9), N1755-25,AND(N1755&lt;= 30, S1755=9), N1755-28,AND(N1755&lt;= 11, S1755=10), N1755+2,AND(N1755&lt;= 21, S1755=10), N1755-11)</f>
        <v>3</v>
      </c>
    </row>
    <row r="1756" spans="1:22" x14ac:dyDescent="0.35">
      <c r="A1756" s="4">
        <v>45563</v>
      </c>
      <c r="B1756" s="5">
        <v>0.88468749999999996</v>
      </c>
      <c r="C1756">
        <v>85</v>
      </c>
      <c r="D1756">
        <v>83.1</v>
      </c>
      <c r="E1756">
        <v>87.2</v>
      </c>
      <c r="F1756">
        <v>85</v>
      </c>
      <c r="G1756">
        <v>0</v>
      </c>
      <c r="H1756">
        <v>0</v>
      </c>
      <c r="I1756">
        <v>0</v>
      </c>
      <c r="J1756">
        <v>0</v>
      </c>
      <c r="K1756">
        <v>70.8</v>
      </c>
      <c r="L1756">
        <v>69.8</v>
      </c>
      <c r="M1756">
        <v>85.07</v>
      </c>
      <c r="N1756">
        <v>28</v>
      </c>
      <c r="O1756">
        <v>4</v>
      </c>
      <c r="P1756">
        <f>MOD(DAY(datos_siembra[[#This Row],[Date]]),7)</f>
        <v>0</v>
      </c>
      <c r="Q1756" t="str">
        <f>CHOOSE(WEEKDAY(datos_siembra[[#This Row],[Date]],2),"L","M","X","J","V","S","D")</f>
        <v>S</v>
      </c>
      <c r="R1756">
        <f>WEEKNUM(datos_siembra[[#This Row],[Date]],2)-WEEKNUM(DATE(YEAR(datos_siembra[[#This Row],[Date]]),MONTH(datos_siembra[[#This Row],[Date]]),1))+1</f>
        <v>4</v>
      </c>
      <c r="S1756">
        <f>MONTH(datos_siembra[[#This Row],[Date]])</f>
        <v>9</v>
      </c>
      <c r="T1756" t="str" cm="1">
        <f t="array" ref="T1756">_xlfn.IFS(AND(N1756&lt;= 22, S1756=9), "SOWING",AND(N1756&lt;= 28, S1756=9), "COVERAGE",AND(N1756&lt;= 30, S1756=9), "FLUSH",AND(N1756&lt;= 11, S1756=10), "FLUSH",AND(N1756&lt;= 21, S1756=10), "PRODUCTION")</f>
        <v>COVERAGE</v>
      </c>
      <c r="U1756">
        <f>HOUR(datos_siembra[[#This Row],[Hour]])</f>
        <v>21</v>
      </c>
      <c r="V1756" cm="1">
        <f t="array" ref="V1756">_xlfn.IFS(AND(N1756&lt;= 22, S1756=9), N1756-7,AND(N1756&lt;= 28, S1756=9), N1756-25,AND(N1756&lt;= 30, S1756=9), N1756-28,AND(N1756&lt;= 11, S1756=10), N1756+2,AND(N1756&lt;= 21, S1756=10), N1756-11)</f>
        <v>3</v>
      </c>
    </row>
    <row r="1757" spans="1:22" x14ac:dyDescent="0.35">
      <c r="A1757" s="4">
        <v>45563</v>
      </c>
      <c r="B1757" s="5">
        <v>0.89163194444444449</v>
      </c>
      <c r="C1757">
        <v>85</v>
      </c>
      <c r="D1757">
        <v>83</v>
      </c>
      <c r="E1757">
        <v>87</v>
      </c>
      <c r="F1757">
        <v>85.1</v>
      </c>
      <c r="G1757">
        <v>0</v>
      </c>
      <c r="H1757">
        <v>0</v>
      </c>
      <c r="I1757">
        <v>0</v>
      </c>
      <c r="J1757">
        <v>0</v>
      </c>
      <c r="K1757">
        <v>70.8</v>
      </c>
      <c r="L1757">
        <v>69.8</v>
      </c>
      <c r="M1757">
        <v>85.04</v>
      </c>
      <c r="N1757">
        <v>28</v>
      </c>
      <c r="O1757">
        <v>4</v>
      </c>
      <c r="P1757">
        <f>MOD(DAY(datos_siembra[[#This Row],[Date]]),7)</f>
        <v>0</v>
      </c>
      <c r="Q1757" t="str">
        <f>CHOOSE(WEEKDAY(datos_siembra[[#This Row],[Date]],2),"L","M","X","J","V","S","D")</f>
        <v>S</v>
      </c>
      <c r="R1757">
        <f>WEEKNUM(datos_siembra[[#This Row],[Date]],2)-WEEKNUM(DATE(YEAR(datos_siembra[[#This Row],[Date]]),MONTH(datos_siembra[[#This Row],[Date]]),1))+1</f>
        <v>4</v>
      </c>
      <c r="S1757">
        <f>MONTH(datos_siembra[[#This Row],[Date]])</f>
        <v>9</v>
      </c>
      <c r="T1757" t="str" cm="1">
        <f t="array" ref="T1757">_xlfn.IFS(AND(N1757&lt;= 22, S1757=9), "SOWING",AND(N1757&lt;= 28, S1757=9), "COVERAGE",AND(N1757&lt;= 30, S1757=9), "FLUSH",AND(N1757&lt;= 11, S1757=10), "FLUSH",AND(N1757&lt;= 21, S1757=10), "PRODUCTION")</f>
        <v>COVERAGE</v>
      </c>
      <c r="U1757">
        <f>HOUR(datos_siembra[[#This Row],[Hour]])</f>
        <v>21</v>
      </c>
      <c r="V1757" cm="1">
        <f t="array" ref="V1757">_xlfn.IFS(AND(N1757&lt;= 22, S1757=9), N1757-7,AND(N1757&lt;= 28, S1757=9), N1757-25,AND(N1757&lt;= 30, S1757=9), N1757-28,AND(N1757&lt;= 11, S1757=10), N1757+2,AND(N1757&lt;= 21, S1757=10), N1757-11)</f>
        <v>3</v>
      </c>
    </row>
    <row r="1758" spans="1:22" x14ac:dyDescent="0.35">
      <c r="A1758" s="4">
        <v>45563</v>
      </c>
      <c r="B1758" s="5">
        <v>0.89857638888888891</v>
      </c>
      <c r="C1758">
        <v>84.9</v>
      </c>
      <c r="D1758">
        <v>83</v>
      </c>
      <c r="E1758">
        <v>87.2</v>
      </c>
      <c r="F1758">
        <v>85</v>
      </c>
      <c r="G1758">
        <v>0</v>
      </c>
      <c r="H1758">
        <v>0</v>
      </c>
      <c r="I1758">
        <v>0</v>
      </c>
      <c r="J1758">
        <v>0</v>
      </c>
      <c r="K1758">
        <v>70.7</v>
      </c>
      <c r="L1758">
        <v>69.7</v>
      </c>
      <c r="M1758">
        <v>85.02</v>
      </c>
      <c r="N1758">
        <v>28</v>
      </c>
      <c r="O1758">
        <v>4</v>
      </c>
      <c r="P1758">
        <f>MOD(DAY(datos_siembra[[#This Row],[Date]]),7)</f>
        <v>0</v>
      </c>
      <c r="Q1758" t="str">
        <f>CHOOSE(WEEKDAY(datos_siembra[[#This Row],[Date]],2),"L","M","X","J","V","S","D")</f>
        <v>S</v>
      </c>
      <c r="R1758">
        <f>WEEKNUM(datos_siembra[[#This Row],[Date]],2)-WEEKNUM(DATE(YEAR(datos_siembra[[#This Row],[Date]]),MONTH(datos_siembra[[#This Row],[Date]]),1))+1</f>
        <v>4</v>
      </c>
      <c r="S1758">
        <f>MONTH(datos_siembra[[#This Row],[Date]])</f>
        <v>9</v>
      </c>
      <c r="T1758" t="str" cm="1">
        <f t="array" ref="T1758">_xlfn.IFS(AND(N1758&lt;= 22, S1758=9), "SOWING",AND(N1758&lt;= 28, S1758=9), "COVERAGE",AND(N1758&lt;= 30, S1758=9), "FLUSH",AND(N1758&lt;= 11, S1758=10), "FLUSH",AND(N1758&lt;= 21, S1758=10), "PRODUCTION")</f>
        <v>COVERAGE</v>
      </c>
      <c r="U1758">
        <f>HOUR(datos_siembra[[#This Row],[Hour]])</f>
        <v>21</v>
      </c>
      <c r="V1758" cm="1">
        <f t="array" ref="V1758">_xlfn.IFS(AND(N1758&lt;= 22, S1758=9), N1758-7,AND(N1758&lt;= 28, S1758=9), N1758-25,AND(N1758&lt;= 30, S1758=9), N1758-28,AND(N1758&lt;= 11, S1758=10), N1758+2,AND(N1758&lt;= 21, S1758=10), N1758-11)</f>
        <v>3</v>
      </c>
    </row>
    <row r="1759" spans="1:22" x14ac:dyDescent="0.35">
      <c r="A1759" s="4">
        <v>45563</v>
      </c>
      <c r="B1759" s="5">
        <v>0.90553240740740737</v>
      </c>
      <c r="C1759">
        <v>84.9</v>
      </c>
      <c r="D1759">
        <v>83</v>
      </c>
      <c r="E1759">
        <v>87.1</v>
      </c>
      <c r="F1759">
        <v>85</v>
      </c>
      <c r="G1759">
        <v>0</v>
      </c>
      <c r="H1759">
        <v>0</v>
      </c>
      <c r="I1759">
        <v>0</v>
      </c>
      <c r="J1759">
        <v>0</v>
      </c>
      <c r="K1759">
        <v>70.599999999999994</v>
      </c>
      <c r="L1759">
        <v>69.7</v>
      </c>
      <c r="M1759">
        <v>84.96</v>
      </c>
      <c r="N1759">
        <v>28</v>
      </c>
      <c r="O1759">
        <v>4</v>
      </c>
      <c r="P1759">
        <f>MOD(DAY(datos_siembra[[#This Row],[Date]]),7)</f>
        <v>0</v>
      </c>
      <c r="Q1759" t="str">
        <f>CHOOSE(WEEKDAY(datos_siembra[[#This Row],[Date]],2),"L","M","X","J","V","S","D")</f>
        <v>S</v>
      </c>
      <c r="R1759">
        <f>WEEKNUM(datos_siembra[[#This Row],[Date]],2)-WEEKNUM(DATE(YEAR(datos_siembra[[#This Row],[Date]]),MONTH(datos_siembra[[#This Row],[Date]]),1))+1</f>
        <v>4</v>
      </c>
      <c r="S1759">
        <f>MONTH(datos_siembra[[#This Row],[Date]])</f>
        <v>9</v>
      </c>
      <c r="T1759" t="str" cm="1">
        <f t="array" ref="T1759">_xlfn.IFS(AND(N1759&lt;= 22, S1759=9), "SOWING",AND(N1759&lt;= 28, S1759=9), "COVERAGE",AND(N1759&lt;= 30, S1759=9), "FLUSH",AND(N1759&lt;= 11, S1759=10), "FLUSH",AND(N1759&lt;= 21, S1759=10), "PRODUCTION")</f>
        <v>COVERAGE</v>
      </c>
      <c r="U1759">
        <f>HOUR(datos_siembra[[#This Row],[Hour]])</f>
        <v>21</v>
      </c>
      <c r="V1759" cm="1">
        <f t="array" ref="V1759">_xlfn.IFS(AND(N1759&lt;= 22, S1759=9), N1759-7,AND(N1759&lt;= 28, S1759=9), N1759-25,AND(N1759&lt;= 30, S1759=9), N1759-28,AND(N1759&lt;= 11, S1759=10), N1759+2,AND(N1759&lt;= 21, S1759=10), N1759-11)</f>
        <v>3</v>
      </c>
    </row>
    <row r="1760" spans="1:22" x14ac:dyDescent="0.35">
      <c r="A1760" s="4">
        <v>45563</v>
      </c>
      <c r="B1760" s="5">
        <v>0.9124768518518519</v>
      </c>
      <c r="C1760">
        <v>84.9</v>
      </c>
      <c r="D1760">
        <v>82.9</v>
      </c>
      <c r="E1760">
        <v>87</v>
      </c>
      <c r="F1760">
        <v>85</v>
      </c>
      <c r="G1760">
        <v>0</v>
      </c>
      <c r="H1760">
        <v>0</v>
      </c>
      <c r="I1760">
        <v>0</v>
      </c>
      <c r="J1760">
        <v>0</v>
      </c>
      <c r="K1760">
        <v>70.5</v>
      </c>
      <c r="L1760">
        <v>69.599999999999994</v>
      </c>
      <c r="M1760">
        <v>84.96</v>
      </c>
      <c r="N1760">
        <v>28</v>
      </c>
      <c r="O1760">
        <v>4</v>
      </c>
      <c r="P1760">
        <f>MOD(DAY(datos_siembra[[#This Row],[Date]]),7)</f>
        <v>0</v>
      </c>
      <c r="Q1760" t="str">
        <f>CHOOSE(WEEKDAY(datos_siembra[[#This Row],[Date]],2),"L","M","X","J","V","S","D")</f>
        <v>S</v>
      </c>
      <c r="R1760">
        <f>WEEKNUM(datos_siembra[[#This Row],[Date]],2)-WEEKNUM(DATE(YEAR(datos_siembra[[#This Row],[Date]]),MONTH(datos_siembra[[#This Row],[Date]]),1))+1</f>
        <v>4</v>
      </c>
      <c r="S1760">
        <f>MONTH(datos_siembra[[#This Row],[Date]])</f>
        <v>9</v>
      </c>
      <c r="T1760" t="str" cm="1">
        <f t="array" ref="T1760">_xlfn.IFS(AND(N1760&lt;= 22, S1760=9), "SOWING",AND(N1760&lt;= 28, S1760=9), "COVERAGE",AND(N1760&lt;= 30, S1760=9), "FLUSH",AND(N1760&lt;= 11, S1760=10), "FLUSH",AND(N1760&lt;= 21, S1760=10), "PRODUCTION")</f>
        <v>COVERAGE</v>
      </c>
      <c r="U1760">
        <f>HOUR(datos_siembra[[#This Row],[Hour]])</f>
        <v>21</v>
      </c>
      <c r="V1760" cm="1">
        <f t="array" ref="V1760">_xlfn.IFS(AND(N1760&lt;= 22, S1760=9), N1760-7,AND(N1760&lt;= 28, S1760=9), N1760-25,AND(N1760&lt;= 30, S1760=9), N1760-28,AND(N1760&lt;= 11, S1760=10), N1760+2,AND(N1760&lt;= 21, S1760=10), N1760-11)</f>
        <v>3</v>
      </c>
    </row>
    <row r="1761" spans="1:22" x14ac:dyDescent="0.35">
      <c r="A1761" s="4">
        <v>45563</v>
      </c>
      <c r="B1761" s="5">
        <v>0.91942129629629632</v>
      </c>
      <c r="C1761">
        <v>85</v>
      </c>
      <c r="D1761">
        <v>82.7</v>
      </c>
      <c r="E1761">
        <v>87.1</v>
      </c>
      <c r="F1761">
        <v>84.8</v>
      </c>
      <c r="G1761">
        <v>0</v>
      </c>
      <c r="H1761">
        <v>0</v>
      </c>
      <c r="I1761">
        <v>0</v>
      </c>
      <c r="J1761">
        <v>0</v>
      </c>
      <c r="K1761">
        <v>70.400000000000006</v>
      </c>
      <c r="L1761">
        <v>69.5</v>
      </c>
      <c r="M1761">
        <v>84.93</v>
      </c>
      <c r="N1761">
        <v>28</v>
      </c>
      <c r="O1761">
        <v>4</v>
      </c>
      <c r="P1761">
        <f>MOD(DAY(datos_siembra[[#This Row],[Date]]),7)</f>
        <v>0</v>
      </c>
      <c r="Q1761" t="str">
        <f>CHOOSE(WEEKDAY(datos_siembra[[#This Row],[Date]],2),"L","M","X","J","V","S","D")</f>
        <v>S</v>
      </c>
      <c r="R1761">
        <f>WEEKNUM(datos_siembra[[#This Row],[Date]],2)-WEEKNUM(DATE(YEAR(datos_siembra[[#This Row],[Date]]),MONTH(datos_siembra[[#This Row],[Date]]),1))+1</f>
        <v>4</v>
      </c>
      <c r="S1761">
        <f>MONTH(datos_siembra[[#This Row],[Date]])</f>
        <v>9</v>
      </c>
      <c r="T1761" t="str" cm="1">
        <f t="array" ref="T1761">_xlfn.IFS(AND(N1761&lt;= 22, S1761=9), "SOWING",AND(N1761&lt;= 28, S1761=9), "COVERAGE",AND(N1761&lt;= 30, S1761=9), "FLUSH",AND(N1761&lt;= 11, S1761=10), "FLUSH",AND(N1761&lt;= 21, S1761=10), "PRODUCTION")</f>
        <v>COVERAGE</v>
      </c>
      <c r="U1761">
        <f>HOUR(datos_siembra[[#This Row],[Hour]])</f>
        <v>22</v>
      </c>
      <c r="V1761" cm="1">
        <f t="array" ref="V1761">_xlfn.IFS(AND(N1761&lt;= 22, S1761=9), N1761-7,AND(N1761&lt;= 28, S1761=9), N1761-25,AND(N1761&lt;= 30, S1761=9), N1761-28,AND(N1761&lt;= 11, S1761=10), N1761+2,AND(N1761&lt;= 21, S1761=10), N1761-11)</f>
        <v>3</v>
      </c>
    </row>
    <row r="1762" spans="1:22" x14ac:dyDescent="0.35">
      <c r="A1762" s="4">
        <v>45563</v>
      </c>
      <c r="B1762" s="5">
        <v>0.92636574074074074</v>
      </c>
      <c r="C1762">
        <v>84.9</v>
      </c>
      <c r="D1762">
        <v>82.9</v>
      </c>
      <c r="E1762">
        <v>87</v>
      </c>
      <c r="F1762">
        <v>84.9</v>
      </c>
      <c r="G1762">
        <v>0</v>
      </c>
      <c r="H1762">
        <v>0</v>
      </c>
      <c r="I1762">
        <v>0</v>
      </c>
      <c r="J1762">
        <v>0</v>
      </c>
      <c r="K1762">
        <v>70.3</v>
      </c>
      <c r="L1762">
        <v>69.400000000000006</v>
      </c>
      <c r="M1762">
        <v>84.87</v>
      </c>
      <c r="N1762">
        <v>28</v>
      </c>
      <c r="O1762">
        <v>4</v>
      </c>
      <c r="P1762">
        <f>MOD(DAY(datos_siembra[[#This Row],[Date]]),7)</f>
        <v>0</v>
      </c>
      <c r="Q1762" t="str">
        <f>CHOOSE(WEEKDAY(datos_siembra[[#This Row],[Date]],2),"L","M","X","J","V","S","D")</f>
        <v>S</v>
      </c>
      <c r="R1762">
        <f>WEEKNUM(datos_siembra[[#This Row],[Date]],2)-WEEKNUM(DATE(YEAR(datos_siembra[[#This Row],[Date]]),MONTH(datos_siembra[[#This Row],[Date]]),1))+1</f>
        <v>4</v>
      </c>
      <c r="S1762">
        <f>MONTH(datos_siembra[[#This Row],[Date]])</f>
        <v>9</v>
      </c>
      <c r="T1762" t="str" cm="1">
        <f t="array" ref="T1762">_xlfn.IFS(AND(N1762&lt;= 22, S1762=9), "SOWING",AND(N1762&lt;= 28, S1762=9), "COVERAGE",AND(N1762&lt;= 30, S1762=9), "FLUSH",AND(N1762&lt;= 11, S1762=10), "FLUSH",AND(N1762&lt;= 21, S1762=10), "PRODUCTION")</f>
        <v>COVERAGE</v>
      </c>
      <c r="U1762">
        <f>HOUR(datos_siembra[[#This Row],[Hour]])</f>
        <v>22</v>
      </c>
      <c r="V1762" cm="1">
        <f t="array" ref="V1762">_xlfn.IFS(AND(N1762&lt;= 22, S1762=9), N1762-7,AND(N1762&lt;= 28, S1762=9), N1762-25,AND(N1762&lt;= 30, S1762=9), N1762-28,AND(N1762&lt;= 11, S1762=10), N1762+2,AND(N1762&lt;= 21, S1762=10), N1762-11)</f>
        <v>3</v>
      </c>
    </row>
    <row r="1763" spans="1:22" x14ac:dyDescent="0.35">
      <c r="A1763" s="4">
        <v>45563</v>
      </c>
      <c r="B1763" s="5">
        <v>0.93332175925925931</v>
      </c>
      <c r="C1763">
        <v>84.9</v>
      </c>
      <c r="D1763">
        <v>82.9</v>
      </c>
      <c r="E1763">
        <v>86.9</v>
      </c>
      <c r="F1763">
        <v>84.8</v>
      </c>
      <c r="G1763">
        <v>0</v>
      </c>
      <c r="H1763">
        <v>0</v>
      </c>
      <c r="I1763">
        <v>0</v>
      </c>
      <c r="J1763">
        <v>0</v>
      </c>
      <c r="K1763">
        <v>70.099999999999994</v>
      </c>
      <c r="L1763">
        <v>69.2</v>
      </c>
      <c r="M1763">
        <v>84.9</v>
      </c>
      <c r="N1763">
        <v>28</v>
      </c>
      <c r="O1763">
        <v>4</v>
      </c>
      <c r="P1763">
        <f>MOD(DAY(datos_siembra[[#This Row],[Date]]),7)</f>
        <v>0</v>
      </c>
      <c r="Q1763" t="str">
        <f>CHOOSE(WEEKDAY(datos_siembra[[#This Row],[Date]],2),"L","M","X","J","V","S","D")</f>
        <v>S</v>
      </c>
      <c r="R1763">
        <f>WEEKNUM(datos_siembra[[#This Row],[Date]],2)-WEEKNUM(DATE(YEAR(datos_siembra[[#This Row],[Date]]),MONTH(datos_siembra[[#This Row],[Date]]),1))+1</f>
        <v>4</v>
      </c>
      <c r="S1763">
        <f>MONTH(datos_siembra[[#This Row],[Date]])</f>
        <v>9</v>
      </c>
      <c r="T1763" t="str" cm="1">
        <f t="array" ref="T1763">_xlfn.IFS(AND(N1763&lt;= 22, S1763=9), "SOWING",AND(N1763&lt;= 28, S1763=9), "COVERAGE",AND(N1763&lt;= 30, S1763=9), "FLUSH",AND(N1763&lt;= 11, S1763=10), "FLUSH",AND(N1763&lt;= 21, S1763=10), "PRODUCTION")</f>
        <v>COVERAGE</v>
      </c>
      <c r="U1763">
        <f>HOUR(datos_siembra[[#This Row],[Hour]])</f>
        <v>22</v>
      </c>
      <c r="V1763" cm="1">
        <f t="array" ref="V1763">_xlfn.IFS(AND(N1763&lt;= 22, S1763=9), N1763-7,AND(N1763&lt;= 28, S1763=9), N1763-25,AND(N1763&lt;= 30, S1763=9), N1763-28,AND(N1763&lt;= 11, S1763=10), N1763+2,AND(N1763&lt;= 21, S1763=10), N1763-11)</f>
        <v>3</v>
      </c>
    </row>
    <row r="1764" spans="1:22" x14ac:dyDescent="0.35">
      <c r="A1764" s="4">
        <v>45563</v>
      </c>
      <c r="B1764" s="5">
        <v>0.94026620370370373</v>
      </c>
      <c r="C1764">
        <v>84.8</v>
      </c>
      <c r="D1764">
        <v>82.6</v>
      </c>
      <c r="E1764">
        <v>87</v>
      </c>
      <c r="F1764">
        <v>84.8</v>
      </c>
      <c r="G1764">
        <v>0</v>
      </c>
      <c r="H1764">
        <v>0</v>
      </c>
      <c r="I1764">
        <v>0</v>
      </c>
      <c r="J1764">
        <v>0</v>
      </c>
      <c r="K1764">
        <v>70.099999999999994</v>
      </c>
      <c r="L1764">
        <v>69.099999999999994</v>
      </c>
      <c r="M1764">
        <v>84.85</v>
      </c>
      <c r="N1764">
        <v>28</v>
      </c>
      <c r="O1764">
        <v>4</v>
      </c>
      <c r="P1764">
        <f>MOD(DAY(datos_siembra[[#This Row],[Date]]),7)</f>
        <v>0</v>
      </c>
      <c r="Q1764" t="str">
        <f>CHOOSE(WEEKDAY(datos_siembra[[#This Row],[Date]],2),"L","M","X","J","V","S","D")</f>
        <v>S</v>
      </c>
      <c r="R1764">
        <f>WEEKNUM(datos_siembra[[#This Row],[Date]],2)-WEEKNUM(DATE(YEAR(datos_siembra[[#This Row],[Date]]),MONTH(datos_siembra[[#This Row],[Date]]),1))+1</f>
        <v>4</v>
      </c>
      <c r="S1764">
        <f>MONTH(datos_siembra[[#This Row],[Date]])</f>
        <v>9</v>
      </c>
      <c r="T1764" t="str" cm="1">
        <f t="array" ref="T1764">_xlfn.IFS(AND(N1764&lt;= 22, S1764=9), "SOWING",AND(N1764&lt;= 28, S1764=9), "COVERAGE",AND(N1764&lt;= 30, S1764=9), "FLUSH",AND(N1764&lt;= 11, S1764=10), "FLUSH",AND(N1764&lt;= 21, S1764=10), "PRODUCTION")</f>
        <v>COVERAGE</v>
      </c>
      <c r="U1764">
        <f>HOUR(datos_siembra[[#This Row],[Hour]])</f>
        <v>22</v>
      </c>
      <c r="V1764" cm="1">
        <f t="array" ref="V1764">_xlfn.IFS(AND(N1764&lt;= 22, S1764=9), N1764-7,AND(N1764&lt;= 28, S1764=9), N1764-25,AND(N1764&lt;= 30, S1764=9), N1764-28,AND(N1764&lt;= 11, S1764=10), N1764+2,AND(N1764&lt;= 21, S1764=10), N1764-11)</f>
        <v>3</v>
      </c>
    </row>
    <row r="1765" spans="1:22" x14ac:dyDescent="0.35">
      <c r="A1765" s="4">
        <v>45563</v>
      </c>
      <c r="B1765" s="5">
        <v>0.94721064814814815</v>
      </c>
      <c r="C1765">
        <v>84.8</v>
      </c>
      <c r="D1765">
        <v>82.7</v>
      </c>
      <c r="E1765">
        <v>87</v>
      </c>
      <c r="F1765">
        <v>84.9</v>
      </c>
      <c r="G1765">
        <v>0</v>
      </c>
      <c r="H1765">
        <v>0</v>
      </c>
      <c r="I1765">
        <v>0</v>
      </c>
      <c r="J1765">
        <v>0</v>
      </c>
      <c r="K1765">
        <v>69.900000000000006</v>
      </c>
      <c r="L1765">
        <v>69.099999999999994</v>
      </c>
      <c r="M1765">
        <v>84.85</v>
      </c>
      <c r="N1765">
        <v>28</v>
      </c>
      <c r="O1765">
        <v>4</v>
      </c>
      <c r="P1765">
        <f>MOD(DAY(datos_siembra[[#This Row],[Date]]),7)</f>
        <v>0</v>
      </c>
      <c r="Q1765" t="str">
        <f>CHOOSE(WEEKDAY(datos_siembra[[#This Row],[Date]],2),"L","M","X","J","V","S","D")</f>
        <v>S</v>
      </c>
      <c r="R1765">
        <f>WEEKNUM(datos_siembra[[#This Row],[Date]],2)-WEEKNUM(DATE(YEAR(datos_siembra[[#This Row],[Date]]),MONTH(datos_siembra[[#This Row],[Date]]),1))+1</f>
        <v>4</v>
      </c>
      <c r="S1765">
        <f>MONTH(datos_siembra[[#This Row],[Date]])</f>
        <v>9</v>
      </c>
      <c r="T1765" t="str" cm="1">
        <f t="array" ref="T1765">_xlfn.IFS(AND(N1765&lt;= 22, S1765=9), "SOWING",AND(N1765&lt;= 28, S1765=9), "COVERAGE",AND(N1765&lt;= 30, S1765=9), "FLUSH",AND(N1765&lt;= 11, S1765=10), "FLUSH",AND(N1765&lt;= 21, S1765=10), "PRODUCTION")</f>
        <v>COVERAGE</v>
      </c>
      <c r="U1765">
        <f>HOUR(datos_siembra[[#This Row],[Hour]])</f>
        <v>22</v>
      </c>
      <c r="V1765" cm="1">
        <f t="array" ref="V1765">_xlfn.IFS(AND(N1765&lt;= 22, S1765=9), N1765-7,AND(N1765&lt;= 28, S1765=9), N1765-25,AND(N1765&lt;= 30, S1765=9), N1765-28,AND(N1765&lt;= 11, S1765=10), N1765+2,AND(N1765&lt;= 21, S1765=10), N1765-11)</f>
        <v>3</v>
      </c>
    </row>
    <row r="1766" spans="1:22" x14ac:dyDescent="0.35">
      <c r="A1766" s="4">
        <v>45563</v>
      </c>
      <c r="B1766" s="5">
        <v>0.95416666666666672</v>
      </c>
      <c r="C1766">
        <v>84.9</v>
      </c>
      <c r="D1766">
        <v>82.7</v>
      </c>
      <c r="E1766">
        <v>87</v>
      </c>
      <c r="F1766">
        <v>84.8</v>
      </c>
      <c r="G1766">
        <v>0</v>
      </c>
      <c r="H1766">
        <v>0</v>
      </c>
      <c r="I1766">
        <v>0</v>
      </c>
      <c r="J1766">
        <v>0</v>
      </c>
      <c r="K1766">
        <v>69.900000000000006</v>
      </c>
      <c r="L1766">
        <v>69</v>
      </c>
      <c r="M1766">
        <v>84.82</v>
      </c>
      <c r="N1766">
        <v>28</v>
      </c>
      <c r="O1766">
        <v>4</v>
      </c>
      <c r="P1766">
        <f>MOD(DAY(datos_siembra[[#This Row],[Date]]),7)</f>
        <v>0</v>
      </c>
      <c r="Q1766" t="str">
        <f>CHOOSE(WEEKDAY(datos_siembra[[#This Row],[Date]],2),"L","M","X","J","V","S","D")</f>
        <v>S</v>
      </c>
      <c r="R1766">
        <f>WEEKNUM(datos_siembra[[#This Row],[Date]],2)-WEEKNUM(DATE(YEAR(datos_siembra[[#This Row],[Date]]),MONTH(datos_siembra[[#This Row],[Date]]),1))+1</f>
        <v>4</v>
      </c>
      <c r="S1766">
        <f>MONTH(datos_siembra[[#This Row],[Date]])</f>
        <v>9</v>
      </c>
      <c r="T1766" t="str" cm="1">
        <f t="array" ref="T1766">_xlfn.IFS(AND(N1766&lt;= 22, S1766=9), "SOWING",AND(N1766&lt;= 28, S1766=9), "COVERAGE",AND(N1766&lt;= 30, S1766=9), "FLUSH",AND(N1766&lt;= 11, S1766=10), "FLUSH",AND(N1766&lt;= 21, S1766=10), "PRODUCTION")</f>
        <v>COVERAGE</v>
      </c>
      <c r="U1766">
        <f>HOUR(datos_siembra[[#This Row],[Hour]])</f>
        <v>22</v>
      </c>
      <c r="V1766" cm="1">
        <f t="array" ref="V1766">_xlfn.IFS(AND(N1766&lt;= 22, S1766=9), N1766-7,AND(N1766&lt;= 28, S1766=9), N1766-25,AND(N1766&lt;= 30, S1766=9), N1766-28,AND(N1766&lt;= 11, S1766=10), N1766+2,AND(N1766&lt;= 21, S1766=10), N1766-11)</f>
        <v>3</v>
      </c>
    </row>
    <row r="1767" spans="1:22" x14ac:dyDescent="0.35">
      <c r="A1767" s="4">
        <v>45563</v>
      </c>
      <c r="B1767" s="5">
        <v>0.96111111111111114</v>
      </c>
      <c r="C1767">
        <v>84.9</v>
      </c>
      <c r="D1767">
        <v>82.7</v>
      </c>
      <c r="E1767">
        <v>86.8</v>
      </c>
      <c r="F1767">
        <v>84.8</v>
      </c>
      <c r="G1767">
        <v>0</v>
      </c>
      <c r="H1767">
        <v>0</v>
      </c>
      <c r="I1767">
        <v>0</v>
      </c>
      <c r="J1767">
        <v>0</v>
      </c>
      <c r="K1767">
        <v>69.8</v>
      </c>
      <c r="L1767">
        <v>68.900000000000006</v>
      </c>
      <c r="M1767">
        <v>84.79</v>
      </c>
      <c r="N1767">
        <v>28</v>
      </c>
      <c r="O1767">
        <v>4</v>
      </c>
      <c r="P1767">
        <f>MOD(DAY(datos_siembra[[#This Row],[Date]]),7)</f>
        <v>0</v>
      </c>
      <c r="Q1767" t="str">
        <f>CHOOSE(WEEKDAY(datos_siembra[[#This Row],[Date]],2),"L","M","X","J","V","S","D")</f>
        <v>S</v>
      </c>
      <c r="R1767">
        <f>WEEKNUM(datos_siembra[[#This Row],[Date]],2)-WEEKNUM(DATE(YEAR(datos_siembra[[#This Row],[Date]]),MONTH(datos_siembra[[#This Row],[Date]]),1))+1</f>
        <v>4</v>
      </c>
      <c r="S1767">
        <f>MONTH(datos_siembra[[#This Row],[Date]])</f>
        <v>9</v>
      </c>
      <c r="T1767" t="str" cm="1">
        <f t="array" ref="T1767">_xlfn.IFS(AND(N1767&lt;= 22, S1767=9), "SOWING",AND(N1767&lt;= 28, S1767=9), "COVERAGE",AND(N1767&lt;= 30, S1767=9), "FLUSH",AND(N1767&lt;= 11, S1767=10), "FLUSH",AND(N1767&lt;= 21, S1767=10), "PRODUCTION")</f>
        <v>COVERAGE</v>
      </c>
      <c r="U1767">
        <f>HOUR(datos_siembra[[#This Row],[Hour]])</f>
        <v>23</v>
      </c>
      <c r="V1767" cm="1">
        <f t="array" ref="V1767">_xlfn.IFS(AND(N1767&lt;= 22, S1767=9), N1767-7,AND(N1767&lt;= 28, S1767=9), N1767-25,AND(N1767&lt;= 30, S1767=9), N1767-28,AND(N1767&lt;= 11, S1767=10), N1767+2,AND(N1767&lt;= 21, S1767=10), N1767-11)</f>
        <v>3</v>
      </c>
    </row>
    <row r="1768" spans="1:22" x14ac:dyDescent="0.35">
      <c r="A1768" s="4">
        <v>45563</v>
      </c>
      <c r="B1768" s="5">
        <v>0.96805555555555556</v>
      </c>
      <c r="C1768">
        <v>84.8</v>
      </c>
      <c r="D1768">
        <v>82.7</v>
      </c>
      <c r="E1768">
        <v>86.9</v>
      </c>
      <c r="F1768">
        <v>84.5</v>
      </c>
      <c r="G1768">
        <v>0</v>
      </c>
      <c r="H1768">
        <v>0</v>
      </c>
      <c r="I1768">
        <v>0</v>
      </c>
      <c r="J1768">
        <v>0</v>
      </c>
      <c r="K1768">
        <v>69.7</v>
      </c>
      <c r="L1768">
        <v>68.8</v>
      </c>
      <c r="M1768">
        <v>84.73</v>
      </c>
      <c r="N1768">
        <v>28</v>
      </c>
      <c r="O1768">
        <v>4</v>
      </c>
      <c r="P1768">
        <f>MOD(DAY(datos_siembra[[#This Row],[Date]]),7)</f>
        <v>0</v>
      </c>
      <c r="Q1768" t="str">
        <f>CHOOSE(WEEKDAY(datos_siembra[[#This Row],[Date]],2),"L","M","X","J","V","S","D")</f>
        <v>S</v>
      </c>
      <c r="R1768">
        <f>WEEKNUM(datos_siembra[[#This Row],[Date]],2)-WEEKNUM(DATE(YEAR(datos_siembra[[#This Row],[Date]]),MONTH(datos_siembra[[#This Row],[Date]]),1))+1</f>
        <v>4</v>
      </c>
      <c r="S1768">
        <f>MONTH(datos_siembra[[#This Row],[Date]])</f>
        <v>9</v>
      </c>
      <c r="T1768" t="str" cm="1">
        <f t="array" ref="T1768">_xlfn.IFS(AND(N1768&lt;= 22, S1768=9), "SOWING",AND(N1768&lt;= 28, S1768=9), "COVERAGE",AND(N1768&lt;= 30, S1768=9), "FLUSH",AND(N1768&lt;= 11, S1768=10), "FLUSH",AND(N1768&lt;= 21, S1768=10), "PRODUCTION")</f>
        <v>COVERAGE</v>
      </c>
      <c r="U1768">
        <f>HOUR(datos_siembra[[#This Row],[Hour]])</f>
        <v>23</v>
      </c>
      <c r="V1768" cm="1">
        <f t="array" ref="V1768">_xlfn.IFS(AND(N1768&lt;= 22, S1768=9), N1768-7,AND(N1768&lt;= 28, S1768=9), N1768-25,AND(N1768&lt;= 30, S1768=9), N1768-28,AND(N1768&lt;= 11, S1768=10), N1768+2,AND(N1768&lt;= 21, S1768=10), N1768-11)</f>
        <v>3</v>
      </c>
    </row>
    <row r="1769" spans="1:22" x14ac:dyDescent="0.35">
      <c r="A1769" s="4">
        <v>45563</v>
      </c>
      <c r="B1769" s="5">
        <v>0.97499999999999998</v>
      </c>
      <c r="C1769">
        <v>84.9</v>
      </c>
      <c r="D1769">
        <v>82.6</v>
      </c>
      <c r="E1769">
        <v>86.9</v>
      </c>
      <c r="F1769">
        <v>84.5</v>
      </c>
      <c r="G1769">
        <v>0</v>
      </c>
      <c r="H1769">
        <v>0</v>
      </c>
      <c r="I1769">
        <v>0</v>
      </c>
      <c r="J1769">
        <v>0</v>
      </c>
      <c r="K1769">
        <v>70.599999999999994</v>
      </c>
      <c r="L1769">
        <v>69.8</v>
      </c>
      <c r="M1769">
        <v>84.71</v>
      </c>
      <c r="N1769">
        <v>28</v>
      </c>
      <c r="O1769">
        <v>4</v>
      </c>
      <c r="P1769">
        <f>MOD(DAY(datos_siembra[[#This Row],[Date]]),7)</f>
        <v>0</v>
      </c>
      <c r="Q1769" t="str">
        <f>CHOOSE(WEEKDAY(datos_siembra[[#This Row],[Date]],2),"L","M","X","J","V","S","D")</f>
        <v>S</v>
      </c>
      <c r="R1769">
        <f>WEEKNUM(datos_siembra[[#This Row],[Date]],2)-WEEKNUM(DATE(YEAR(datos_siembra[[#This Row],[Date]]),MONTH(datos_siembra[[#This Row],[Date]]),1))+1</f>
        <v>4</v>
      </c>
      <c r="S1769">
        <f>MONTH(datos_siembra[[#This Row],[Date]])</f>
        <v>9</v>
      </c>
      <c r="T1769" t="str" cm="1">
        <f t="array" ref="T1769">_xlfn.IFS(AND(N1769&lt;= 22, S1769=9), "SOWING",AND(N1769&lt;= 28, S1769=9), "COVERAGE",AND(N1769&lt;= 30, S1769=9), "FLUSH",AND(N1769&lt;= 11, S1769=10), "FLUSH",AND(N1769&lt;= 21, S1769=10), "PRODUCTION")</f>
        <v>COVERAGE</v>
      </c>
      <c r="U1769">
        <f>HOUR(datos_siembra[[#This Row],[Hour]])</f>
        <v>23</v>
      </c>
      <c r="V1769" cm="1">
        <f t="array" ref="V1769">_xlfn.IFS(AND(N1769&lt;= 22, S1769=9), N1769-7,AND(N1769&lt;= 28, S1769=9), N1769-25,AND(N1769&lt;= 30, S1769=9), N1769-28,AND(N1769&lt;= 11, S1769=10), N1769+2,AND(N1769&lt;= 21, S1769=10), N1769-11)</f>
        <v>3</v>
      </c>
    </row>
    <row r="1770" spans="1:22" x14ac:dyDescent="0.35">
      <c r="A1770" s="4">
        <v>45563</v>
      </c>
      <c r="B1770" s="5">
        <v>0.98195601851851855</v>
      </c>
      <c r="C1770">
        <v>84.6</v>
      </c>
      <c r="D1770">
        <v>82.6</v>
      </c>
      <c r="E1770">
        <v>86.8</v>
      </c>
      <c r="F1770">
        <v>84.5</v>
      </c>
      <c r="G1770">
        <v>0</v>
      </c>
      <c r="H1770">
        <v>0</v>
      </c>
      <c r="I1770">
        <v>0</v>
      </c>
      <c r="J1770">
        <v>0</v>
      </c>
      <c r="K1770">
        <v>71</v>
      </c>
      <c r="L1770">
        <v>70.099999999999994</v>
      </c>
      <c r="M1770">
        <v>84.65</v>
      </c>
      <c r="N1770">
        <v>28</v>
      </c>
      <c r="O1770">
        <v>4</v>
      </c>
      <c r="P1770">
        <f>MOD(DAY(datos_siembra[[#This Row],[Date]]),7)</f>
        <v>0</v>
      </c>
      <c r="Q1770" t="str">
        <f>CHOOSE(WEEKDAY(datos_siembra[[#This Row],[Date]],2),"L","M","X","J","V","S","D")</f>
        <v>S</v>
      </c>
      <c r="R1770">
        <f>WEEKNUM(datos_siembra[[#This Row],[Date]],2)-WEEKNUM(DATE(YEAR(datos_siembra[[#This Row],[Date]]),MONTH(datos_siembra[[#This Row],[Date]]),1))+1</f>
        <v>4</v>
      </c>
      <c r="S1770">
        <f>MONTH(datos_siembra[[#This Row],[Date]])</f>
        <v>9</v>
      </c>
      <c r="T1770" t="str" cm="1">
        <f t="array" ref="T1770">_xlfn.IFS(AND(N1770&lt;= 22, S1770=9), "SOWING",AND(N1770&lt;= 28, S1770=9), "COVERAGE",AND(N1770&lt;= 30, S1770=9), "FLUSH",AND(N1770&lt;= 11, S1770=10), "FLUSH",AND(N1770&lt;= 21, S1770=10), "PRODUCTION")</f>
        <v>COVERAGE</v>
      </c>
      <c r="U1770">
        <f>HOUR(datos_siembra[[#This Row],[Hour]])</f>
        <v>23</v>
      </c>
      <c r="V1770" cm="1">
        <f t="array" ref="V1770">_xlfn.IFS(AND(N1770&lt;= 22, S1770=9), N1770-7,AND(N1770&lt;= 28, S1770=9), N1770-25,AND(N1770&lt;= 30, S1770=9), N1770-28,AND(N1770&lt;= 11, S1770=10), N1770+2,AND(N1770&lt;= 21, S1770=10), N1770-11)</f>
        <v>3</v>
      </c>
    </row>
    <row r="1771" spans="1:22" x14ac:dyDescent="0.35">
      <c r="A1771" s="4">
        <v>45563</v>
      </c>
      <c r="B1771" s="5">
        <v>0.98890046296296297</v>
      </c>
      <c r="C1771">
        <v>84.8</v>
      </c>
      <c r="D1771">
        <v>82.5</v>
      </c>
      <c r="E1771">
        <v>86.8</v>
      </c>
      <c r="F1771">
        <v>84.5</v>
      </c>
      <c r="G1771">
        <v>0</v>
      </c>
      <c r="H1771">
        <v>0</v>
      </c>
      <c r="I1771">
        <v>0</v>
      </c>
      <c r="J1771">
        <v>0</v>
      </c>
      <c r="K1771">
        <v>71.099999999999994</v>
      </c>
      <c r="L1771">
        <v>70.3</v>
      </c>
      <c r="M1771">
        <v>84.62</v>
      </c>
      <c r="N1771">
        <v>28</v>
      </c>
      <c r="O1771">
        <v>4</v>
      </c>
      <c r="P1771">
        <f>MOD(DAY(datos_siembra[[#This Row],[Date]]),7)</f>
        <v>0</v>
      </c>
      <c r="Q1771" t="str">
        <f>CHOOSE(WEEKDAY(datos_siembra[[#This Row],[Date]],2),"L","M","X","J","V","S","D")</f>
        <v>S</v>
      </c>
      <c r="R1771">
        <f>WEEKNUM(datos_siembra[[#This Row],[Date]],2)-WEEKNUM(DATE(YEAR(datos_siembra[[#This Row],[Date]]),MONTH(datos_siembra[[#This Row],[Date]]),1))+1</f>
        <v>4</v>
      </c>
      <c r="S1771">
        <f>MONTH(datos_siembra[[#This Row],[Date]])</f>
        <v>9</v>
      </c>
      <c r="T1771" t="str" cm="1">
        <f t="array" ref="T1771">_xlfn.IFS(AND(N1771&lt;= 22, S1771=9), "SOWING",AND(N1771&lt;= 28, S1771=9), "COVERAGE",AND(N1771&lt;= 30, S1771=9), "FLUSH",AND(N1771&lt;= 11, S1771=10), "FLUSH",AND(N1771&lt;= 21, S1771=10), "PRODUCTION")</f>
        <v>COVERAGE</v>
      </c>
      <c r="U1771">
        <f>HOUR(datos_siembra[[#This Row],[Hour]])</f>
        <v>23</v>
      </c>
      <c r="V1771" cm="1">
        <f t="array" ref="V1771">_xlfn.IFS(AND(N1771&lt;= 22, S1771=9), N1771-7,AND(N1771&lt;= 28, S1771=9), N1771-25,AND(N1771&lt;= 30, S1771=9), N1771-28,AND(N1771&lt;= 11, S1771=10), N1771+2,AND(N1771&lt;= 21, S1771=10), N1771-11)</f>
        <v>3</v>
      </c>
    </row>
    <row r="1772" spans="1:22" x14ac:dyDescent="0.35">
      <c r="A1772" s="4">
        <v>45563</v>
      </c>
      <c r="B1772" s="5">
        <v>0.99584490740740739</v>
      </c>
      <c r="C1772">
        <v>84.6</v>
      </c>
      <c r="D1772">
        <v>82.5</v>
      </c>
      <c r="E1772">
        <v>86.8</v>
      </c>
      <c r="F1772">
        <v>84.2</v>
      </c>
      <c r="G1772">
        <v>0</v>
      </c>
      <c r="H1772">
        <v>0</v>
      </c>
      <c r="I1772">
        <v>0</v>
      </c>
      <c r="J1772">
        <v>0</v>
      </c>
      <c r="K1772">
        <v>71.3</v>
      </c>
      <c r="L1772">
        <v>70.5</v>
      </c>
      <c r="M1772">
        <v>84.65</v>
      </c>
      <c r="N1772">
        <v>28</v>
      </c>
      <c r="O1772">
        <v>4</v>
      </c>
      <c r="P1772">
        <f>MOD(DAY(datos_siembra[[#This Row],[Date]]),7)</f>
        <v>0</v>
      </c>
      <c r="Q1772" t="str">
        <f>CHOOSE(WEEKDAY(datos_siembra[[#This Row],[Date]],2),"L","M","X","J","V","S","D")</f>
        <v>S</v>
      </c>
      <c r="R1772">
        <f>WEEKNUM(datos_siembra[[#This Row],[Date]],2)-WEEKNUM(DATE(YEAR(datos_siembra[[#This Row],[Date]]),MONTH(datos_siembra[[#This Row],[Date]]),1))+1</f>
        <v>4</v>
      </c>
      <c r="S1772">
        <f>MONTH(datos_siembra[[#This Row],[Date]])</f>
        <v>9</v>
      </c>
      <c r="T1772" t="str" cm="1">
        <f t="array" ref="T1772">_xlfn.IFS(AND(N1772&lt;= 22, S1772=9), "SOWING",AND(N1772&lt;= 28, S1772=9), "COVERAGE",AND(N1772&lt;= 30, S1772=9), "FLUSH",AND(N1772&lt;= 11, S1772=10), "FLUSH",AND(N1772&lt;= 21, S1772=10), "PRODUCTION")</f>
        <v>COVERAGE</v>
      </c>
      <c r="U1772">
        <f>HOUR(datos_siembra[[#This Row],[Hour]])</f>
        <v>23</v>
      </c>
      <c r="V1772" cm="1">
        <f t="array" ref="V1772">_xlfn.IFS(AND(N1772&lt;= 22, S1772=9), N1772-7,AND(N1772&lt;= 28, S1772=9), N1772-25,AND(N1772&lt;= 30, S1772=9), N1772-28,AND(N1772&lt;= 11, S1772=10), N1772+2,AND(N1772&lt;= 21, S1772=10), N1772-11)</f>
        <v>3</v>
      </c>
    </row>
    <row r="1773" spans="1:22" x14ac:dyDescent="0.35">
      <c r="A1773" s="4">
        <v>45564</v>
      </c>
      <c r="B1773" s="5">
        <v>2.7893518518518519E-3</v>
      </c>
      <c r="C1773">
        <v>84.8</v>
      </c>
      <c r="D1773">
        <v>82.3</v>
      </c>
      <c r="E1773">
        <v>86.8</v>
      </c>
      <c r="F1773">
        <v>84.4</v>
      </c>
      <c r="G1773">
        <v>0</v>
      </c>
      <c r="H1773">
        <v>0</v>
      </c>
      <c r="I1773">
        <v>0</v>
      </c>
      <c r="J1773">
        <v>0</v>
      </c>
      <c r="K1773">
        <v>71.400000000000006</v>
      </c>
      <c r="L1773">
        <v>70.599999999999994</v>
      </c>
      <c r="M1773">
        <v>84.59</v>
      </c>
      <c r="N1773">
        <v>29</v>
      </c>
      <c r="O1773">
        <v>5</v>
      </c>
      <c r="P1773">
        <f>MOD(DAY(datos_siembra[[#This Row],[Date]]),7)</f>
        <v>1</v>
      </c>
      <c r="Q1773" t="str">
        <f>CHOOSE(WEEKDAY(datos_siembra[[#This Row],[Date]],2),"L","M","X","J","V","S","D")</f>
        <v>D</v>
      </c>
      <c r="R1773">
        <f>WEEKNUM(datos_siembra[[#This Row],[Date]],2)-WEEKNUM(DATE(YEAR(datos_siembra[[#This Row],[Date]]),MONTH(datos_siembra[[#This Row],[Date]]),1))+1</f>
        <v>4</v>
      </c>
      <c r="S1773">
        <f>MONTH(datos_siembra[[#This Row],[Date]])</f>
        <v>9</v>
      </c>
      <c r="T1773" t="str" cm="1">
        <f t="array" ref="T1773">_xlfn.IFS(AND(N1773&lt;= 22, S1773=9), "SOWING",AND(N1773&lt;= 28, S1773=9), "COVERAGE",AND(N1773&lt;= 30, S1773=9), "FLUSH",AND(N1773&lt;= 11, S1773=10), "FLUSH",AND(N1773&lt;= 21, S1773=10), "PRODUCTION")</f>
        <v>FLUSH</v>
      </c>
      <c r="U1773">
        <f>HOUR(datos_siembra[[#This Row],[Hour]])</f>
        <v>0</v>
      </c>
      <c r="V1773" cm="1">
        <f t="array" ref="V1773">_xlfn.IFS(AND(N1773&lt;= 22, S1773=9), N1773-7,AND(N1773&lt;= 28, S1773=9), N1773-25,AND(N1773&lt;= 30, S1773=9), N1773-28,AND(N1773&lt;= 11, S1773=10), N1773+2,AND(N1773&lt;= 21, S1773=10), N1773-11)</f>
        <v>1</v>
      </c>
    </row>
    <row r="1774" spans="1:22" x14ac:dyDescent="0.35">
      <c r="A1774" s="4">
        <v>45564</v>
      </c>
      <c r="B1774" s="5">
        <v>9.7453703703703695E-3</v>
      </c>
      <c r="C1774">
        <v>84.8</v>
      </c>
      <c r="D1774">
        <v>82.5</v>
      </c>
      <c r="E1774">
        <v>86.8</v>
      </c>
      <c r="F1774">
        <v>84.2</v>
      </c>
      <c r="G1774">
        <v>0</v>
      </c>
      <c r="H1774">
        <v>0</v>
      </c>
      <c r="I1774">
        <v>0</v>
      </c>
      <c r="J1774">
        <v>0</v>
      </c>
      <c r="K1774">
        <v>71.5</v>
      </c>
      <c r="L1774">
        <v>70.599999999999994</v>
      </c>
      <c r="M1774">
        <v>84.48</v>
      </c>
      <c r="N1774">
        <v>29</v>
      </c>
      <c r="O1774">
        <v>5</v>
      </c>
      <c r="P1774">
        <f>MOD(DAY(datos_siembra[[#This Row],[Date]]),7)</f>
        <v>1</v>
      </c>
      <c r="Q1774" t="str">
        <f>CHOOSE(WEEKDAY(datos_siembra[[#This Row],[Date]],2),"L","M","X","J","V","S","D")</f>
        <v>D</v>
      </c>
      <c r="R1774">
        <f>WEEKNUM(datos_siembra[[#This Row],[Date]],2)-WEEKNUM(DATE(YEAR(datos_siembra[[#This Row],[Date]]),MONTH(datos_siembra[[#This Row],[Date]]),1))+1</f>
        <v>4</v>
      </c>
      <c r="S1774">
        <f>MONTH(datos_siembra[[#This Row],[Date]])</f>
        <v>9</v>
      </c>
      <c r="T1774" t="str" cm="1">
        <f t="array" ref="T1774">_xlfn.IFS(AND(N1774&lt;= 22, S1774=9), "SOWING",AND(N1774&lt;= 28, S1774=9), "COVERAGE",AND(N1774&lt;= 30, S1774=9), "FLUSH",AND(N1774&lt;= 11, S1774=10), "FLUSH",AND(N1774&lt;= 21, S1774=10), "PRODUCTION")</f>
        <v>FLUSH</v>
      </c>
      <c r="U1774">
        <f>HOUR(datos_siembra[[#This Row],[Hour]])</f>
        <v>0</v>
      </c>
      <c r="V1774" cm="1">
        <f t="array" ref="V1774">_xlfn.IFS(AND(N1774&lt;= 22, S1774=9), N1774-7,AND(N1774&lt;= 28, S1774=9), N1774-25,AND(N1774&lt;= 30, S1774=9), N1774-28,AND(N1774&lt;= 11, S1774=10), N1774+2,AND(N1774&lt;= 21, S1774=10), N1774-11)</f>
        <v>1</v>
      </c>
    </row>
    <row r="1775" spans="1:22" x14ac:dyDescent="0.35">
      <c r="A1775" s="4">
        <v>45564</v>
      </c>
      <c r="B1775" s="5">
        <v>1.6689814814814814E-2</v>
      </c>
      <c r="C1775">
        <v>84.8</v>
      </c>
      <c r="D1775">
        <v>82.4</v>
      </c>
      <c r="E1775">
        <v>86.6</v>
      </c>
      <c r="F1775">
        <v>84.2</v>
      </c>
      <c r="G1775">
        <v>0</v>
      </c>
      <c r="H1775">
        <v>0</v>
      </c>
      <c r="I1775">
        <v>0</v>
      </c>
      <c r="J1775">
        <v>0</v>
      </c>
      <c r="K1775">
        <v>71.599999999999994</v>
      </c>
      <c r="L1775">
        <v>70.7</v>
      </c>
      <c r="M1775">
        <v>84.54</v>
      </c>
      <c r="N1775">
        <v>29</v>
      </c>
      <c r="O1775">
        <v>5</v>
      </c>
      <c r="P1775">
        <f>MOD(DAY(datos_siembra[[#This Row],[Date]]),7)</f>
        <v>1</v>
      </c>
      <c r="Q1775" t="str">
        <f>CHOOSE(WEEKDAY(datos_siembra[[#This Row],[Date]],2),"L","M","X","J","V","S","D")</f>
        <v>D</v>
      </c>
      <c r="R1775">
        <f>WEEKNUM(datos_siembra[[#This Row],[Date]],2)-WEEKNUM(DATE(YEAR(datos_siembra[[#This Row],[Date]]),MONTH(datos_siembra[[#This Row],[Date]]),1))+1</f>
        <v>4</v>
      </c>
      <c r="S1775">
        <f>MONTH(datos_siembra[[#This Row],[Date]])</f>
        <v>9</v>
      </c>
      <c r="T1775" t="str" cm="1">
        <f t="array" ref="T1775">_xlfn.IFS(AND(N1775&lt;= 22, S1775=9), "SOWING",AND(N1775&lt;= 28, S1775=9), "COVERAGE",AND(N1775&lt;= 30, S1775=9), "FLUSH",AND(N1775&lt;= 11, S1775=10), "FLUSH",AND(N1775&lt;= 21, S1775=10), "PRODUCTION")</f>
        <v>FLUSH</v>
      </c>
      <c r="U1775">
        <f>HOUR(datos_siembra[[#This Row],[Hour]])</f>
        <v>0</v>
      </c>
      <c r="V1775" cm="1">
        <f t="array" ref="V1775">_xlfn.IFS(AND(N1775&lt;= 22, S1775=9), N1775-7,AND(N1775&lt;= 28, S1775=9), N1775-25,AND(N1775&lt;= 30, S1775=9), N1775-28,AND(N1775&lt;= 11, S1775=10), N1775+2,AND(N1775&lt;= 21, S1775=10), N1775-11)</f>
        <v>1</v>
      </c>
    </row>
    <row r="1776" spans="1:22" x14ac:dyDescent="0.35">
      <c r="A1776" s="4">
        <v>45564</v>
      </c>
      <c r="B1776" s="5">
        <v>2.3634259259259258E-2</v>
      </c>
      <c r="C1776">
        <v>84.8</v>
      </c>
      <c r="D1776">
        <v>82.5</v>
      </c>
      <c r="E1776">
        <v>86.7</v>
      </c>
      <c r="F1776">
        <v>84.2</v>
      </c>
      <c r="G1776">
        <v>0</v>
      </c>
      <c r="H1776">
        <v>0</v>
      </c>
      <c r="I1776">
        <v>0</v>
      </c>
      <c r="J1776">
        <v>0</v>
      </c>
      <c r="K1776">
        <v>71.599999999999994</v>
      </c>
      <c r="L1776">
        <v>70.8</v>
      </c>
      <c r="M1776">
        <v>84.48</v>
      </c>
      <c r="N1776">
        <v>29</v>
      </c>
      <c r="O1776">
        <v>5</v>
      </c>
      <c r="P1776">
        <f>MOD(DAY(datos_siembra[[#This Row],[Date]]),7)</f>
        <v>1</v>
      </c>
      <c r="Q1776" t="str">
        <f>CHOOSE(WEEKDAY(datos_siembra[[#This Row],[Date]],2),"L","M","X","J","V","S","D")</f>
        <v>D</v>
      </c>
      <c r="R1776">
        <f>WEEKNUM(datos_siembra[[#This Row],[Date]],2)-WEEKNUM(DATE(YEAR(datos_siembra[[#This Row],[Date]]),MONTH(datos_siembra[[#This Row],[Date]]),1))+1</f>
        <v>4</v>
      </c>
      <c r="S1776">
        <f>MONTH(datos_siembra[[#This Row],[Date]])</f>
        <v>9</v>
      </c>
      <c r="T1776" t="str" cm="1">
        <f t="array" ref="T1776">_xlfn.IFS(AND(N1776&lt;= 22, S1776=9), "SOWING",AND(N1776&lt;= 28, S1776=9), "COVERAGE",AND(N1776&lt;= 30, S1776=9), "FLUSH",AND(N1776&lt;= 11, S1776=10), "FLUSH",AND(N1776&lt;= 21, S1776=10), "PRODUCTION")</f>
        <v>FLUSH</v>
      </c>
      <c r="U1776">
        <f>HOUR(datos_siembra[[#This Row],[Hour]])</f>
        <v>0</v>
      </c>
      <c r="V1776" cm="1">
        <f t="array" ref="V1776">_xlfn.IFS(AND(N1776&lt;= 22, S1776=9), N1776-7,AND(N1776&lt;= 28, S1776=9), N1776-25,AND(N1776&lt;= 30, S1776=9), N1776-28,AND(N1776&lt;= 11, S1776=10), N1776+2,AND(N1776&lt;= 21, S1776=10), N1776-11)</f>
        <v>1</v>
      </c>
    </row>
    <row r="1777" spans="1:22" x14ac:dyDescent="0.35">
      <c r="A1777" s="4">
        <v>45564</v>
      </c>
      <c r="B1777" s="5">
        <v>3.0578703703703705E-2</v>
      </c>
      <c r="C1777">
        <v>84.9</v>
      </c>
      <c r="D1777">
        <v>82.4</v>
      </c>
      <c r="E1777">
        <v>86.7</v>
      </c>
      <c r="F1777">
        <v>84.1</v>
      </c>
      <c r="G1777">
        <v>0</v>
      </c>
      <c r="H1777">
        <v>0</v>
      </c>
      <c r="I1777">
        <v>0</v>
      </c>
      <c r="J1777">
        <v>0</v>
      </c>
      <c r="K1777">
        <v>71.7</v>
      </c>
      <c r="L1777">
        <v>70.900000000000006</v>
      </c>
      <c r="M1777">
        <v>84.45</v>
      </c>
      <c r="N1777">
        <v>29</v>
      </c>
      <c r="O1777">
        <v>5</v>
      </c>
      <c r="P1777">
        <f>MOD(DAY(datos_siembra[[#This Row],[Date]]),7)</f>
        <v>1</v>
      </c>
      <c r="Q1777" t="str">
        <f>CHOOSE(WEEKDAY(datos_siembra[[#This Row],[Date]],2),"L","M","X","J","V","S","D")</f>
        <v>D</v>
      </c>
      <c r="R1777">
        <f>WEEKNUM(datos_siembra[[#This Row],[Date]],2)-WEEKNUM(DATE(YEAR(datos_siembra[[#This Row],[Date]]),MONTH(datos_siembra[[#This Row],[Date]]),1))+1</f>
        <v>4</v>
      </c>
      <c r="S1777">
        <f>MONTH(datos_siembra[[#This Row],[Date]])</f>
        <v>9</v>
      </c>
      <c r="T1777" t="str" cm="1">
        <f t="array" ref="T1777">_xlfn.IFS(AND(N1777&lt;= 22, S1777=9), "SOWING",AND(N1777&lt;= 28, S1777=9), "COVERAGE",AND(N1777&lt;= 30, S1777=9), "FLUSH",AND(N1777&lt;= 11, S1777=10), "FLUSH",AND(N1777&lt;= 21, S1777=10), "PRODUCTION")</f>
        <v>FLUSH</v>
      </c>
      <c r="U1777">
        <f>HOUR(datos_siembra[[#This Row],[Hour]])</f>
        <v>0</v>
      </c>
      <c r="V1777" cm="1">
        <f t="array" ref="V1777">_xlfn.IFS(AND(N1777&lt;= 22, S1777=9), N1777-7,AND(N1777&lt;= 28, S1777=9), N1777-25,AND(N1777&lt;= 30, S1777=9), N1777-28,AND(N1777&lt;= 11, S1777=10), N1777+2,AND(N1777&lt;= 21, S1777=10), N1777-11)</f>
        <v>1</v>
      </c>
    </row>
    <row r="1778" spans="1:22" x14ac:dyDescent="0.35">
      <c r="A1778" s="4">
        <v>45564</v>
      </c>
      <c r="B1778" s="5">
        <v>3.7534722222222219E-2</v>
      </c>
      <c r="C1778">
        <v>85</v>
      </c>
      <c r="D1778">
        <v>82.4</v>
      </c>
      <c r="E1778">
        <v>86.6</v>
      </c>
      <c r="F1778">
        <v>84.1</v>
      </c>
      <c r="G1778">
        <v>0</v>
      </c>
      <c r="H1778">
        <v>0</v>
      </c>
      <c r="I1778">
        <v>0</v>
      </c>
      <c r="J1778">
        <v>0</v>
      </c>
      <c r="K1778">
        <v>71.8</v>
      </c>
      <c r="L1778">
        <v>70.900000000000006</v>
      </c>
      <c r="M1778">
        <v>84.51</v>
      </c>
      <c r="N1778">
        <v>29</v>
      </c>
      <c r="O1778">
        <v>5</v>
      </c>
      <c r="P1778">
        <f>MOD(DAY(datos_siembra[[#This Row],[Date]]),7)</f>
        <v>1</v>
      </c>
      <c r="Q1778" t="str">
        <f>CHOOSE(WEEKDAY(datos_siembra[[#This Row],[Date]],2),"L","M","X","J","V","S","D")</f>
        <v>D</v>
      </c>
      <c r="R1778">
        <f>WEEKNUM(datos_siembra[[#This Row],[Date]],2)-WEEKNUM(DATE(YEAR(datos_siembra[[#This Row],[Date]]),MONTH(datos_siembra[[#This Row],[Date]]),1))+1</f>
        <v>4</v>
      </c>
      <c r="S1778">
        <f>MONTH(datos_siembra[[#This Row],[Date]])</f>
        <v>9</v>
      </c>
      <c r="T1778" t="str" cm="1">
        <f t="array" ref="T1778">_xlfn.IFS(AND(N1778&lt;= 22, S1778=9), "SOWING",AND(N1778&lt;= 28, S1778=9), "COVERAGE",AND(N1778&lt;= 30, S1778=9), "FLUSH",AND(N1778&lt;= 11, S1778=10), "FLUSH",AND(N1778&lt;= 21, S1778=10), "PRODUCTION")</f>
        <v>FLUSH</v>
      </c>
      <c r="U1778">
        <f>HOUR(datos_siembra[[#This Row],[Hour]])</f>
        <v>0</v>
      </c>
      <c r="V1778" cm="1">
        <f t="array" ref="V1778">_xlfn.IFS(AND(N1778&lt;= 22, S1778=9), N1778-7,AND(N1778&lt;= 28, S1778=9), N1778-25,AND(N1778&lt;= 30, S1778=9), N1778-28,AND(N1778&lt;= 11, S1778=10), N1778+2,AND(N1778&lt;= 21, S1778=10), N1778-11)</f>
        <v>1</v>
      </c>
    </row>
    <row r="1779" spans="1:22" x14ac:dyDescent="0.35">
      <c r="A1779" s="4">
        <v>45564</v>
      </c>
      <c r="B1779" s="5">
        <v>4.4479166666666667E-2</v>
      </c>
      <c r="C1779">
        <v>84.9</v>
      </c>
      <c r="D1779">
        <v>82.2</v>
      </c>
      <c r="E1779">
        <v>86.6</v>
      </c>
      <c r="F1779">
        <v>84</v>
      </c>
      <c r="G1779">
        <v>0</v>
      </c>
      <c r="H1779">
        <v>0</v>
      </c>
      <c r="I1779">
        <v>0</v>
      </c>
      <c r="J1779">
        <v>0</v>
      </c>
      <c r="K1779">
        <v>71.8</v>
      </c>
      <c r="L1779">
        <v>70.900000000000006</v>
      </c>
      <c r="M1779">
        <v>84.45</v>
      </c>
      <c r="N1779">
        <v>29</v>
      </c>
      <c r="O1779">
        <v>5</v>
      </c>
      <c r="P1779">
        <f>MOD(DAY(datos_siembra[[#This Row],[Date]]),7)</f>
        <v>1</v>
      </c>
      <c r="Q1779" t="str">
        <f>CHOOSE(WEEKDAY(datos_siembra[[#This Row],[Date]],2),"L","M","X","J","V","S","D")</f>
        <v>D</v>
      </c>
      <c r="R1779">
        <f>WEEKNUM(datos_siembra[[#This Row],[Date]],2)-WEEKNUM(DATE(YEAR(datos_siembra[[#This Row],[Date]]),MONTH(datos_siembra[[#This Row],[Date]]),1))+1</f>
        <v>4</v>
      </c>
      <c r="S1779">
        <f>MONTH(datos_siembra[[#This Row],[Date]])</f>
        <v>9</v>
      </c>
      <c r="T1779" t="str" cm="1">
        <f t="array" ref="T1779">_xlfn.IFS(AND(N1779&lt;= 22, S1779=9), "SOWING",AND(N1779&lt;= 28, S1779=9), "COVERAGE",AND(N1779&lt;= 30, S1779=9), "FLUSH",AND(N1779&lt;= 11, S1779=10), "FLUSH",AND(N1779&lt;= 21, S1779=10), "PRODUCTION")</f>
        <v>FLUSH</v>
      </c>
      <c r="U1779">
        <f>HOUR(datos_siembra[[#This Row],[Hour]])</f>
        <v>1</v>
      </c>
      <c r="V1779" cm="1">
        <f t="array" ref="V1779">_xlfn.IFS(AND(N1779&lt;= 22, S1779=9), N1779-7,AND(N1779&lt;= 28, S1779=9), N1779-25,AND(N1779&lt;= 30, S1779=9), N1779-28,AND(N1779&lt;= 11, S1779=10), N1779+2,AND(N1779&lt;= 21, S1779=10), N1779-11)</f>
        <v>1</v>
      </c>
    </row>
    <row r="1780" spans="1:22" x14ac:dyDescent="0.35">
      <c r="A1780" s="4">
        <v>45564</v>
      </c>
      <c r="B1780" s="5">
        <v>5.1423611111111114E-2</v>
      </c>
      <c r="C1780">
        <v>84.9</v>
      </c>
      <c r="D1780">
        <v>82.3</v>
      </c>
      <c r="E1780">
        <v>86.5</v>
      </c>
      <c r="F1780">
        <v>84.1</v>
      </c>
      <c r="G1780">
        <v>0</v>
      </c>
      <c r="H1780">
        <v>0</v>
      </c>
      <c r="I1780">
        <v>0</v>
      </c>
      <c r="J1780">
        <v>0</v>
      </c>
      <c r="K1780">
        <v>71.8</v>
      </c>
      <c r="L1780">
        <v>70.900000000000006</v>
      </c>
      <c r="M1780">
        <v>84.37</v>
      </c>
      <c r="N1780">
        <v>29</v>
      </c>
      <c r="O1780">
        <v>5</v>
      </c>
      <c r="P1780">
        <f>MOD(DAY(datos_siembra[[#This Row],[Date]]),7)</f>
        <v>1</v>
      </c>
      <c r="Q1780" t="str">
        <f>CHOOSE(WEEKDAY(datos_siembra[[#This Row],[Date]],2),"L","M","X","J","V","S","D")</f>
        <v>D</v>
      </c>
      <c r="R1780">
        <f>WEEKNUM(datos_siembra[[#This Row],[Date]],2)-WEEKNUM(DATE(YEAR(datos_siembra[[#This Row],[Date]]),MONTH(datos_siembra[[#This Row],[Date]]),1))+1</f>
        <v>4</v>
      </c>
      <c r="S1780">
        <f>MONTH(datos_siembra[[#This Row],[Date]])</f>
        <v>9</v>
      </c>
      <c r="T1780" t="str" cm="1">
        <f t="array" ref="T1780">_xlfn.IFS(AND(N1780&lt;= 22, S1780=9), "SOWING",AND(N1780&lt;= 28, S1780=9), "COVERAGE",AND(N1780&lt;= 30, S1780=9), "FLUSH",AND(N1780&lt;= 11, S1780=10), "FLUSH",AND(N1780&lt;= 21, S1780=10), "PRODUCTION")</f>
        <v>FLUSH</v>
      </c>
      <c r="U1780">
        <f>HOUR(datos_siembra[[#This Row],[Hour]])</f>
        <v>1</v>
      </c>
      <c r="V1780" cm="1">
        <f t="array" ref="V1780">_xlfn.IFS(AND(N1780&lt;= 22, S1780=9), N1780-7,AND(N1780&lt;= 28, S1780=9), N1780-25,AND(N1780&lt;= 30, S1780=9), N1780-28,AND(N1780&lt;= 11, S1780=10), N1780+2,AND(N1780&lt;= 21, S1780=10), N1780-11)</f>
        <v>1</v>
      </c>
    </row>
    <row r="1781" spans="1:22" x14ac:dyDescent="0.35">
      <c r="A1781" s="4">
        <v>45564</v>
      </c>
      <c r="B1781" s="5">
        <v>5.8379629629629629E-2</v>
      </c>
      <c r="C1781">
        <v>84.9</v>
      </c>
      <c r="D1781">
        <v>82.1</v>
      </c>
      <c r="E1781">
        <v>86.5</v>
      </c>
      <c r="F1781">
        <v>84</v>
      </c>
      <c r="G1781">
        <v>0</v>
      </c>
      <c r="H1781">
        <v>0</v>
      </c>
      <c r="I1781">
        <v>0</v>
      </c>
      <c r="J1781">
        <v>0</v>
      </c>
      <c r="K1781">
        <v>71.8</v>
      </c>
      <c r="L1781">
        <v>70.900000000000006</v>
      </c>
      <c r="M1781">
        <v>84.34</v>
      </c>
      <c r="N1781">
        <v>29</v>
      </c>
      <c r="O1781">
        <v>5</v>
      </c>
      <c r="P1781">
        <f>MOD(DAY(datos_siembra[[#This Row],[Date]]),7)</f>
        <v>1</v>
      </c>
      <c r="Q1781" t="str">
        <f>CHOOSE(WEEKDAY(datos_siembra[[#This Row],[Date]],2),"L","M","X","J","V","S","D")</f>
        <v>D</v>
      </c>
      <c r="R1781">
        <f>WEEKNUM(datos_siembra[[#This Row],[Date]],2)-WEEKNUM(DATE(YEAR(datos_siembra[[#This Row],[Date]]),MONTH(datos_siembra[[#This Row],[Date]]),1))+1</f>
        <v>4</v>
      </c>
      <c r="S1781">
        <f>MONTH(datos_siembra[[#This Row],[Date]])</f>
        <v>9</v>
      </c>
      <c r="T1781" t="str" cm="1">
        <f t="array" ref="T1781">_xlfn.IFS(AND(N1781&lt;= 22, S1781=9), "SOWING",AND(N1781&lt;= 28, S1781=9), "COVERAGE",AND(N1781&lt;= 30, S1781=9), "FLUSH",AND(N1781&lt;= 11, S1781=10), "FLUSH",AND(N1781&lt;= 21, S1781=10), "PRODUCTION")</f>
        <v>FLUSH</v>
      </c>
      <c r="U1781">
        <f>HOUR(datos_siembra[[#This Row],[Hour]])</f>
        <v>1</v>
      </c>
      <c r="V1781" cm="1">
        <f t="array" ref="V1781">_xlfn.IFS(AND(N1781&lt;= 22, S1781=9), N1781-7,AND(N1781&lt;= 28, S1781=9), N1781-25,AND(N1781&lt;= 30, S1781=9), N1781-28,AND(N1781&lt;= 11, S1781=10), N1781+2,AND(N1781&lt;= 21, S1781=10), N1781-11)</f>
        <v>1</v>
      </c>
    </row>
    <row r="1782" spans="1:22" x14ac:dyDescent="0.35">
      <c r="A1782" s="4">
        <v>45564</v>
      </c>
      <c r="B1782" s="5">
        <v>6.5324074074074076E-2</v>
      </c>
      <c r="C1782">
        <v>84.9</v>
      </c>
      <c r="D1782">
        <v>82.2</v>
      </c>
      <c r="E1782">
        <v>86.6</v>
      </c>
      <c r="F1782">
        <v>83.9</v>
      </c>
      <c r="G1782">
        <v>0</v>
      </c>
      <c r="H1782">
        <v>0</v>
      </c>
      <c r="I1782">
        <v>0</v>
      </c>
      <c r="J1782">
        <v>0</v>
      </c>
      <c r="K1782">
        <v>71.8</v>
      </c>
      <c r="L1782">
        <v>70.900000000000006</v>
      </c>
      <c r="M1782">
        <v>84.4</v>
      </c>
      <c r="N1782">
        <v>29</v>
      </c>
      <c r="O1782">
        <v>5</v>
      </c>
      <c r="P1782">
        <f>MOD(DAY(datos_siembra[[#This Row],[Date]]),7)</f>
        <v>1</v>
      </c>
      <c r="Q1782" t="str">
        <f>CHOOSE(WEEKDAY(datos_siembra[[#This Row],[Date]],2),"L","M","X","J","V","S","D")</f>
        <v>D</v>
      </c>
      <c r="R1782">
        <f>WEEKNUM(datos_siembra[[#This Row],[Date]],2)-WEEKNUM(DATE(YEAR(datos_siembra[[#This Row],[Date]]),MONTH(datos_siembra[[#This Row],[Date]]),1))+1</f>
        <v>4</v>
      </c>
      <c r="S1782">
        <f>MONTH(datos_siembra[[#This Row],[Date]])</f>
        <v>9</v>
      </c>
      <c r="T1782" t="str" cm="1">
        <f t="array" ref="T1782">_xlfn.IFS(AND(N1782&lt;= 22, S1782=9), "SOWING",AND(N1782&lt;= 28, S1782=9), "COVERAGE",AND(N1782&lt;= 30, S1782=9), "FLUSH",AND(N1782&lt;= 11, S1782=10), "FLUSH",AND(N1782&lt;= 21, S1782=10), "PRODUCTION")</f>
        <v>FLUSH</v>
      </c>
      <c r="U1782">
        <f>HOUR(datos_siembra[[#This Row],[Hour]])</f>
        <v>1</v>
      </c>
      <c r="V1782" cm="1">
        <f t="array" ref="V1782">_xlfn.IFS(AND(N1782&lt;= 22, S1782=9), N1782-7,AND(N1782&lt;= 28, S1782=9), N1782-25,AND(N1782&lt;= 30, S1782=9), N1782-28,AND(N1782&lt;= 11, S1782=10), N1782+2,AND(N1782&lt;= 21, S1782=10), N1782-11)</f>
        <v>1</v>
      </c>
    </row>
    <row r="1783" spans="1:22" x14ac:dyDescent="0.35">
      <c r="A1783" s="4">
        <v>45564</v>
      </c>
      <c r="B1783" s="5">
        <v>7.2268518518518524E-2</v>
      </c>
      <c r="C1783">
        <v>84.9</v>
      </c>
      <c r="D1783">
        <v>82.2</v>
      </c>
      <c r="E1783">
        <v>86.6</v>
      </c>
      <c r="F1783">
        <v>83.8</v>
      </c>
      <c r="G1783">
        <v>0</v>
      </c>
      <c r="H1783">
        <v>0</v>
      </c>
      <c r="I1783">
        <v>0</v>
      </c>
      <c r="J1783">
        <v>0</v>
      </c>
      <c r="K1783">
        <v>71.900000000000006</v>
      </c>
      <c r="L1783">
        <v>70.900000000000006</v>
      </c>
      <c r="M1783">
        <v>84.4</v>
      </c>
      <c r="N1783">
        <v>29</v>
      </c>
      <c r="O1783">
        <v>5</v>
      </c>
      <c r="P1783">
        <f>MOD(DAY(datos_siembra[[#This Row],[Date]]),7)</f>
        <v>1</v>
      </c>
      <c r="Q1783" t="str">
        <f>CHOOSE(WEEKDAY(datos_siembra[[#This Row],[Date]],2),"L","M","X","J","V","S","D")</f>
        <v>D</v>
      </c>
      <c r="R1783">
        <f>WEEKNUM(datos_siembra[[#This Row],[Date]],2)-WEEKNUM(DATE(YEAR(datos_siembra[[#This Row],[Date]]),MONTH(datos_siembra[[#This Row],[Date]]),1))+1</f>
        <v>4</v>
      </c>
      <c r="S1783">
        <f>MONTH(datos_siembra[[#This Row],[Date]])</f>
        <v>9</v>
      </c>
      <c r="T1783" t="str" cm="1">
        <f t="array" ref="T1783">_xlfn.IFS(AND(N1783&lt;= 22, S1783=9), "SOWING",AND(N1783&lt;= 28, S1783=9), "COVERAGE",AND(N1783&lt;= 30, S1783=9), "FLUSH",AND(N1783&lt;= 11, S1783=10), "FLUSH",AND(N1783&lt;= 21, S1783=10), "PRODUCTION")</f>
        <v>FLUSH</v>
      </c>
      <c r="U1783">
        <f>HOUR(datos_siembra[[#This Row],[Hour]])</f>
        <v>1</v>
      </c>
      <c r="V1783" cm="1">
        <f t="array" ref="V1783">_xlfn.IFS(AND(N1783&lt;= 22, S1783=9), N1783-7,AND(N1783&lt;= 28, S1783=9), N1783-25,AND(N1783&lt;= 30, S1783=9), N1783-28,AND(N1783&lt;= 11, S1783=10), N1783+2,AND(N1783&lt;= 21, S1783=10), N1783-11)</f>
        <v>1</v>
      </c>
    </row>
    <row r="1784" spans="1:22" x14ac:dyDescent="0.35">
      <c r="A1784" s="4">
        <v>45564</v>
      </c>
      <c r="B1784" s="5">
        <v>7.9212962962962957E-2</v>
      </c>
      <c r="C1784">
        <v>85</v>
      </c>
      <c r="D1784">
        <v>82.1</v>
      </c>
      <c r="E1784">
        <v>86.5</v>
      </c>
      <c r="F1784">
        <v>83.9</v>
      </c>
      <c r="G1784">
        <v>0</v>
      </c>
      <c r="H1784">
        <v>0</v>
      </c>
      <c r="I1784">
        <v>0</v>
      </c>
      <c r="J1784">
        <v>0</v>
      </c>
      <c r="K1784">
        <v>71.900000000000006</v>
      </c>
      <c r="L1784">
        <v>70.900000000000006</v>
      </c>
      <c r="M1784">
        <v>84.34</v>
      </c>
      <c r="N1784">
        <v>29</v>
      </c>
      <c r="O1784">
        <v>5</v>
      </c>
      <c r="P1784">
        <f>MOD(DAY(datos_siembra[[#This Row],[Date]]),7)</f>
        <v>1</v>
      </c>
      <c r="Q1784" t="str">
        <f>CHOOSE(WEEKDAY(datos_siembra[[#This Row],[Date]],2),"L","M","X","J","V","S","D")</f>
        <v>D</v>
      </c>
      <c r="R1784">
        <f>WEEKNUM(datos_siembra[[#This Row],[Date]],2)-WEEKNUM(DATE(YEAR(datos_siembra[[#This Row],[Date]]),MONTH(datos_siembra[[#This Row],[Date]]),1))+1</f>
        <v>4</v>
      </c>
      <c r="S1784">
        <f>MONTH(datos_siembra[[#This Row],[Date]])</f>
        <v>9</v>
      </c>
      <c r="T1784" t="str" cm="1">
        <f t="array" ref="T1784">_xlfn.IFS(AND(N1784&lt;= 22, S1784=9), "SOWING",AND(N1784&lt;= 28, S1784=9), "COVERAGE",AND(N1784&lt;= 30, S1784=9), "FLUSH",AND(N1784&lt;= 11, S1784=10), "FLUSH",AND(N1784&lt;= 21, S1784=10), "PRODUCTION")</f>
        <v>FLUSH</v>
      </c>
      <c r="U1784">
        <f>HOUR(datos_siembra[[#This Row],[Hour]])</f>
        <v>1</v>
      </c>
      <c r="V1784" cm="1">
        <f t="array" ref="V1784">_xlfn.IFS(AND(N1784&lt;= 22, S1784=9), N1784-7,AND(N1784&lt;= 28, S1784=9), N1784-25,AND(N1784&lt;= 30, S1784=9), N1784-28,AND(N1784&lt;= 11, S1784=10), N1784+2,AND(N1784&lt;= 21, S1784=10), N1784-11)</f>
        <v>1</v>
      </c>
    </row>
    <row r="1785" spans="1:22" x14ac:dyDescent="0.35">
      <c r="A1785" s="4">
        <v>45564</v>
      </c>
      <c r="B1785" s="5">
        <v>8.6168981481481485E-2</v>
      </c>
      <c r="C1785">
        <v>85</v>
      </c>
      <c r="D1785">
        <v>82.2</v>
      </c>
      <c r="E1785">
        <v>86.2</v>
      </c>
      <c r="F1785">
        <v>83.8</v>
      </c>
      <c r="G1785">
        <v>0</v>
      </c>
      <c r="H1785">
        <v>0</v>
      </c>
      <c r="I1785">
        <v>0</v>
      </c>
      <c r="J1785">
        <v>0</v>
      </c>
      <c r="K1785">
        <v>72.3</v>
      </c>
      <c r="L1785">
        <v>70.8</v>
      </c>
      <c r="M1785">
        <v>84.4</v>
      </c>
      <c r="N1785">
        <v>29</v>
      </c>
      <c r="O1785">
        <v>5</v>
      </c>
      <c r="P1785">
        <f>MOD(DAY(datos_siembra[[#This Row],[Date]]),7)</f>
        <v>1</v>
      </c>
      <c r="Q1785" t="str">
        <f>CHOOSE(WEEKDAY(datos_siembra[[#This Row],[Date]],2),"L","M","X","J","V","S","D")</f>
        <v>D</v>
      </c>
      <c r="R1785">
        <f>WEEKNUM(datos_siembra[[#This Row],[Date]],2)-WEEKNUM(DATE(YEAR(datos_siembra[[#This Row],[Date]]),MONTH(datos_siembra[[#This Row],[Date]]),1))+1</f>
        <v>4</v>
      </c>
      <c r="S1785">
        <f>MONTH(datos_siembra[[#This Row],[Date]])</f>
        <v>9</v>
      </c>
      <c r="T1785" t="str" cm="1">
        <f t="array" ref="T1785">_xlfn.IFS(AND(N1785&lt;= 22, S1785=9), "SOWING",AND(N1785&lt;= 28, S1785=9), "COVERAGE",AND(N1785&lt;= 30, S1785=9), "FLUSH",AND(N1785&lt;= 11, S1785=10), "FLUSH",AND(N1785&lt;= 21, S1785=10), "PRODUCTION")</f>
        <v>FLUSH</v>
      </c>
      <c r="U1785">
        <f>HOUR(datos_siembra[[#This Row],[Hour]])</f>
        <v>2</v>
      </c>
      <c r="V1785" cm="1">
        <f t="array" ref="V1785">_xlfn.IFS(AND(N1785&lt;= 22, S1785=9), N1785-7,AND(N1785&lt;= 28, S1785=9), N1785-25,AND(N1785&lt;= 30, S1785=9), N1785-28,AND(N1785&lt;= 11, S1785=10), N1785+2,AND(N1785&lt;= 21, S1785=10), N1785-11)</f>
        <v>1</v>
      </c>
    </row>
    <row r="1786" spans="1:22" x14ac:dyDescent="0.35">
      <c r="A1786" s="4">
        <v>45564</v>
      </c>
      <c r="B1786" s="5">
        <v>9.3113425925925933E-2</v>
      </c>
      <c r="C1786">
        <v>85.1</v>
      </c>
      <c r="D1786">
        <v>82.1</v>
      </c>
      <c r="E1786">
        <v>86.6</v>
      </c>
      <c r="F1786">
        <v>83.8</v>
      </c>
      <c r="G1786">
        <v>0</v>
      </c>
      <c r="H1786">
        <v>0</v>
      </c>
      <c r="I1786">
        <v>0</v>
      </c>
      <c r="J1786">
        <v>0</v>
      </c>
      <c r="K1786">
        <v>71.900000000000006</v>
      </c>
      <c r="L1786">
        <v>70.8</v>
      </c>
      <c r="M1786">
        <v>84.31</v>
      </c>
      <c r="N1786">
        <v>29</v>
      </c>
      <c r="O1786">
        <v>5</v>
      </c>
      <c r="P1786">
        <f>MOD(DAY(datos_siembra[[#This Row],[Date]]),7)</f>
        <v>1</v>
      </c>
      <c r="Q1786" t="str">
        <f>CHOOSE(WEEKDAY(datos_siembra[[#This Row],[Date]],2),"L","M","X","J","V","S","D")</f>
        <v>D</v>
      </c>
      <c r="R1786">
        <f>WEEKNUM(datos_siembra[[#This Row],[Date]],2)-WEEKNUM(DATE(YEAR(datos_siembra[[#This Row],[Date]]),MONTH(datos_siembra[[#This Row],[Date]]),1))+1</f>
        <v>4</v>
      </c>
      <c r="S1786">
        <f>MONTH(datos_siembra[[#This Row],[Date]])</f>
        <v>9</v>
      </c>
      <c r="T1786" t="str" cm="1">
        <f t="array" ref="T1786">_xlfn.IFS(AND(N1786&lt;= 22, S1786=9), "SOWING",AND(N1786&lt;= 28, S1786=9), "COVERAGE",AND(N1786&lt;= 30, S1786=9), "FLUSH",AND(N1786&lt;= 11, S1786=10), "FLUSH",AND(N1786&lt;= 21, S1786=10), "PRODUCTION")</f>
        <v>FLUSH</v>
      </c>
      <c r="U1786">
        <f>HOUR(datos_siembra[[#This Row],[Hour]])</f>
        <v>2</v>
      </c>
      <c r="V1786" cm="1">
        <f t="array" ref="V1786">_xlfn.IFS(AND(N1786&lt;= 22, S1786=9), N1786-7,AND(N1786&lt;= 28, S1786=9), N1786-25,AND(N1786&lt;= 30, S1786=9), N1786-28,AND(N1786&lt;= 11, S1786=10), N1786+2,AND(N1786&lt;= 21, S1786=10), N1786-11)</f>
        <v>1</v>
      </c>
    </row>
    <row r="1787" spans="1:22" x14ac:dyDescent="0.35">
      <c r="A1787" s="4">
        <v>45564</v>
      </c>
      <c r="B1787" s="5">
        <v>0.10005787037037037</v>
      </c>
      <c r="C1787">
        <v>84.9</v>
      </c>
      <c r="D1787">
        <v>82.1</v>
      </c>
      <c r="E1787">
        <v>86.2</v>
      </c>
      <c r="F1787">
        <v>83.8</v>
      </c>
      <c r="G1787">
        <v>0</v>
      </c>
      <c r="H1787">
        <v>0</v>
      </c>
      <c r="I1787">
        <v>0</v>
      </c>
      <c r="J1787">
        <v>0</v>
      </c>
      <c r="K1787">
        <v>71.900000000000006</v>
      </c>
      <c r="L1787">
        <v>70.900000000000006</v>
      </c>
      <c r="M1787">
        <v>84.2</v>
      </c>
      <c r="N1787">
        <v>29</v>
      </c>
      <c r="O1787">
        <v>5</v>
      </c>
      <c r="P1787">
        <f>MOD(DAY(datos_siembra[[#This Row],[Date]]),7)</f>
        <v>1</v>
      </c>
      <c r="Q1787" t="str">
        <f>CHOOSE(WEEKDAY(datos_siembra[[#This Row],[Date]],2),"L","M","X","J","V","S","D")</f>
        <v>D</v>
      </c>
      <c r="R1787">
        <f>WEEKNUM(datos_siembra[[#This Row],[Date]],2)-WEEKNUM(DATE(YEAR(datos_siembra[[#This Row],[Date]]),MONTH(datos_siembra[[#This Row],[Date]]),1))+1</f>
        <v>4</v>
      </c>
      <c r="S1787">
        <f>MONTH(datos_siembra[[#This Row],[Date]])</f>
        <v>9</v>
      </c>
      <c r="T1787" t="str" cm="1">
        <f t="array" ref="T1787">_xlfn.IFS(AND(N1787&lt;= 22, S1787=9), "SOWING",AND(N1787&lt;= 28, S1787=9), "COVERAGE",AND(N1787&lt;= 30, S1787=9), "FLUSH",AND(N1787&lt;= 11, S1787=10), "FLUSH",AND(N1787&lt;= 21, S1787=10), "PRODUCTION")</f>
        <v>FLUSH</v>
      </c>
      <c r="U1787">
        <f>HOUR(datos_siembra[[#This Row],[Hour]])</f>
        <v>2</v>
      </c>
      <c r="V1787" cm="1">
        <f t="array" ref="V1787">_xlfn.IFS(AND(N1787&lt;= 22, S1787=9), N1787-7,AND(N1787&lt;= 28, S1787=9), N1787-25,AND(N1787&lt;= 30, S1787=9), N1787-28,AND(N1787&lt;= 11, S1787=10), N1787+2,AND(N1787&lt;= 21, S1787=10), N1787-11)</f>
        <v>1</v>
      </c>
    </row>
    <row r="1788" spans="1:22" x14ac:dyDescent="0.35">
      <c r="A1788" s="4">
        <v>45564</v>
      </c>
      <c r="B1788" s="5">
        <v>0.10700231481481481</v>
      </c>
      <c r="C1788">
        <v>85</v>
      </c>
      <c r="D1788">
        <v>82.1</v>
      </c>
      <c r="E1788">
        <v>86.3</v>
      </c>
      <c r="F1788">
        <v>83.6</v>
      </c>
      <c r="G1788">
        <v>0</v>
      </c>
      <c r="H1788">
        <v>0</v>
      </c>
      <c r="I1788">
        <v>0</v>
      </c>
      <c r="J1788">
        <v>0</v>
      </c>
      <c r="K1788">
        <v>71.900000000000006</v>
      </c>
      <c r="L1788">
        <v>71</v>
      </c>
      <c r="M1788">
        <v>84.28</v>
      </c>
      <c r="N1788">
        <v>29</v>
      </c>
      <c r="O1788">
        <v>5</v>
      </c>
      <c r="P1788">
        <f>MOD(DAY(datos_siembra[[#This Row],[Date]]),7)</f>
        <v>1</v>
      </c>
      <c r="Q1788" t="str">
        <f>CHOOSE(WEEKDAY(datos_siembra[[#This Row],[Date]],2),"L","M","X","J","V","S","D")</f>
        <v>D</v>
      </c>
      <c r="R1788">
        <f>WEEKNUM(datos_siembra[[#This Row],[Date]],2)-WEEKNUM(DATE(YEAR(datos_siembra[[#This Row],[Date]]),MONTH(datos_siembra[[#This Row],[Date]]),1))+1</f>
        <v>4</v>
      </c>
      <c r="S1788">
        <f>MONTH(datos_siembra[[#This Row],[Date]])</f>
        <v>9</v>
      </c>
      <c r="T1788" t="str" cm="1">
        <f t="array" ref="T1788">_xlfn.IFS(AND(N1788&lt;= 22, S1788=9), "SOWING",AND(N1788&lt;= 28, S1788=9), "COVERAGE",AND(N1788&lt;= 30, S1788=9), "FLUSH",AND(N1788&lt;= 11, S1788=10), "FLUSH",AND(N1788&lt;= 21, S1788=10), "PRODUCTION")</f>
        <v>FLUSH</v>
      </c>
      <c r="U1788">
        <f>HOUR(datos_siembra[[#This Row],[Hour]])</f>
        <v>2</v>
      </c>
      <c r="V1788" cm="1">
        <f t="array" ref="V1788">_xlfn.IFS(AND(N1788&lt;= 22, S1788=9), N1788-7,AND(N1788&lt;= 28, S1788=9), N1788-25,AND(N1788&lt;= 30, S1788=9), N1788-28,AND(N1788&lt;= 11, S1788=10), N1788+2,AND(N1788&lt;= 21, S1788=10), N1788-11)</f>
        <v>1</v>
      </c>
    </row>
    <row r="1789" spans="1:22" x14ac:dyDescent="0.35">
      <c r="A1789" s="4">
        <v>45564</v>
      </c>
      <c r="B1789" s="5">
        <v>0.11395833333333333</v>
      </c>
      <c r="C1789">
        <v>85</v>
      </c>
      <c r="D1789">
        <v>81.8</v>
      </c>
      <c r="E1789">
        <v>86.2</v>
      </c>
      <c r="F1789">
        <v>83.6</v>
      </c>
      <c r="G1789">
        <v>0</v>
      </c>
      <c r="H1789">
        <v>0</v>
      </c>
      <c r="I1789">
        <v>0</v>
      </c>
      <c r="J1789">
        <v>0</v>
      </c>
      <c r="K1789">
        <v>71.900000000000006</v>
      </c>
      <c r="L1789">
        <v>71</v>
      </c>
      <c r="M1789">
        <v>84.2</v>
      </c>
      <c r="N1789">
        <v>29</v>
      </c>
      <c r="O1789">
        <v>5</v>
      </c>
      <c r="P1789">
        <f>MOD(DAY(datos_siembra[[#This Row],[Date]]),7)</f>
        <v>1</v>
      </c>
      <c r="Q1789" t="str">
        <f>CHOOSE(WEEKDAY(datos_siembra[[#This Row],[Date]],2),"L","M","X","J","V","S","D")</f>
        <v>D</v>
      </c>
      <c r="R1789">
        <f>WEEKNUM(datos_siembra[[#This Row],[Date]],2)-WEEKNUM(DATE(YEAR(datos_siembra[[#This Row],[Date]]),MONTH(datos_siembra[[#This Row],[Date]]),1))+1</f>
        <v>4</v>
      </c>
      <c r="S1789">
        <f>MONTH(datos_siembra[[#This Row],[Date]])</f>
        <v>9</v>
      </c>
      <c r="T1789" t="str" cm="1">
        <f t="array" ref="T1789">_xlfn.IFS(AND(N1789&lt;= 22, S1789=9), "SOWING",AND(N1789&lt;= 28, S1789=9), "COVERAGE",AND(N1789&lt;= 30, S1789=9), "FLUSH",AND(N1789&lt;= 11, S1789=10), "FLUSH",AND(N1789&lt;= 21, S1789=10), "PRODUCTION")</f>
        <v>FLUSH</v>
      </c>
      <c r="U1789">
        <f>HOUR(datos_siembra[[#This Row],[Hour]])</f>
        <v>2</v>
      </c>
      <c r="V1789" cm="1">
        <f t="array" ref="V1789">_xlfn.IFS(AND(N1789&lt;= 22, S1789=9), N1789-7,AND(N1789&lt;= 28, S1789=9), N1789-25,AND(N1789&lt;= 30, S1789=9), N1789-28,AND(N1789&lt;= 11, S1789=10), N1789+2,AND(N1789&lt;= 21, S1789=10), N1789-11)</f>
        <v>1</v>
      </c>
    </row>
    <row r="1790" spans="1:22" x14ac:dyDescent="0.35">
      <c r="A1790" s="4">
        <v>45564</v>
      </c>
      <c r="B1790" s="5">
        <v>0.12090277777777778</v>
      </c>
      <c r="C1790">
        <v>85</v>
      </c>
      <c r="D1790">
        <v>82.1</v>
      </c>
      <c r="E1790">
        <v>86.5</v>
      </c>
      <c r="F1790">
        <v>83.6</v>
      </c>
      <c r="G1790">
        <v>0</v>
      </c>
      <c r="H1790">
        <v>0</v>
      </c>
      <c r="I1790">
        <v>0</v>
      </c>
      <c r="J1790">
        <v>0</v>
      </c>
      <c r="K1790">
        <v>72.099999999999994</v>
      </c>
      <c r="L1790">
        <v>71</v>
      </c>
      <c r="M1790">
        <v>84.26</v>
      </c>
      <c r="N1790">
        <v>29</v>
      </c>
      <c r="O1790">
        <v>5</v>
      </c>
      <c r="P1790">
        <f>MOD(DAY(datos_siembra[[#This Row],[Date]]),7)</f>
        <v>1</v>
      </c>
      <c r="Q1790" t="str">
        <f>CHOOSE(WEEKDAY(datos_siembra[[#This Row],[Date]],2),"L","M","X","J","V","S","D")</f>
        <v>D</v>
      </c>
      <c r="R1790">
        <f>WEEKNUM(datos_siembra[[#This Row],[Date]],2)-WEEKNUM(DATE(YEAR(datos_siembra[[#This Row],[Date]]),MONTH(datos_siembra[[#This Row],[Date]]),1))+1</f>
        <v>4</v>
      </c>
      <c r="S1790">
        <f>MONTH(datos_siembra[[#This Row],[Date]])</f>
        <v>9</v>
      </c>
      <c r="T1790" t="str" cm="1">
        <f t="array" ref="T1790">_xlfn.IFS(AND(N1790&lt;= 22, S1790=9), "SOWING",AND(N1790&lt;= 28, S1790=9), "COVERAGE",AND(N1790&lt;= 30, S1790=9), "FLUSH",AND(N1790&lt;= 11, S1790=10), "FLUSH",AND(N1790&lt;= 21, S1790=10), "PRODUCTION")</f>
        <v>FLUSH</v>
      </c>
      <c r="U1790">
        <f>HOUR(datos_siembra[[#This Row],[Hour]])</f>
        <v>2</v>
      </c>
      <c r="V1790" cm="1">
        <f t="array" ref="V1790">_xlfn.IFS(AND(N1790&lt;= 22, S1790=9), N1790-7,AND(N1790&lt;= 28, S1790=9), N1790-25,AND(N1790&lt;= 30, S1790=9), N1790-28,AND(N1790&lt;= 11, S1790=10), N1790+2,AND(N1790&lt;= 21, S1790=10), N1790-11)</f>
        <v>1</v>
      </c>
    </row>
    <row r="1791" spans="1:22" x14ac:dyDescent="0.35">
      <c r="A1791" s="4">
        <v>45564</v>
      </c>
      <c r="B1791" s="5">
        <v>0.12784722222222222</v>
      </c>
      <c r="C1791">
        <v>85</v>
      </c>
      <c r="D1791">
        <v>82</v>
      </c>
      <c r="E1791">
        <v>86.2</v>
      </c>
      <c r="F1791">
        <v>83.5</v>
      </c>
      <c r="G1791">
        <v>0</v>
      </c>
      <c r="H1791">
        <v>0</v>
      </c>
      <c r="I1791">
        <v>0</v>
      </c>
      <c r="J1791">
        <v>0</v>
      </c>
      <c r="K1791">
        <v>72.099999999999994</v>
      </c>
      <c r="L1791">
        <v>70.900000000000006</v>
      </c>
      <c r="M1791">
        <v>84.12</v>
      </c>
      <c r="N1791">
        <v>29</v>
      </c>
      <c r="O1791">
        <v>5</v>
      </c>
      <c r="P1791">
        <f>MOD(DAY(datos_siembra[[#This Row],[Date]]),7)</f>
        <v>1</v>
      </c>
      <c r="Q1791" t="str">
        <f>CHOOSE(WEEKDAY(datos_siembra[[#This Row],[Date]],2),"L","M","X","J","V","S","D")</f>
        <v>D</v>
      </c>
      <c r="R1791">
        <f>WEEKNUM(datos_siembra[[#This Row],[Date]],2)-WEEKNUM(DATE(YEAR(datos_siembra[[#This Row],[Date]]),MONTH(datos_siembra[[#This Row],[Date]]),1))+1</f>
        <v>4</v>
      </c>
      <c r="S1791">
        <f>MONTH(datos_siembra[[#This Row],[Date]])</f>
        <v>9</v>
      </c>
      <c r="T1791" t="str" cm="1">
        <f t="array" ref="T1791">_xlfn.IFS(AND(N1791&lt;= 22, S1791=9), "SOWING",AND(N1791&lt;= 28, S1791=9), "COVERAGE",AND(N1791&lt;= 30, S1791=9), "FLUSH",AND(N1791&lt;= 11, S1791=10), "FLUSH",AND(N1791&lt;= 21, S1791=10), "PRODUCTION")</f>
        <v>FLUSH</v>
      </c>
      <c r="U1791">
        <f>HOUR(datos_siembra[[#This Row],[Hour]])</f>
        <v>3</v>
      </c>
      <c r="V1791" cm="1">
        <f t="array" ref="V1791">_xlfn.IFS(AND(N1791&lt;= 22, S1791=9), N1791-7,AND(N1791&lt;= 28, S1791=9), N1791-25,AND(N1791&lt;= 30, S1791=9), N1791-28,AND(N1791&lt;= 11, S1791=10), N1791+2,AND(N1791&lt;= 21, S1791=10), N1791-11)</f>
        <v>1</v>
      </c>
    </row>
    <row r="1792" spans="1:22" x14ac:dyDescent="0.35">
      <c r="A1792" s="4">
        <v>45564</v>
      </c>
      <c r="B1792" s="5">
        <v>0.13479166666666667</v>
      </c>
      <c r="C1792">
        <v>85</v>
      </c>
      <c r="D1792">
        <v>82</v>
      </c>
      <c r="E1792">
        <v>86.3</v>
      </c>
      <c r="F1792">
        <v>83.5</v>
      </c>
      <c r="G1792">
        <v>0</v>
      </c>
      <c r="H1792">
        <v>0</v>
      </c>
      <c r="I1792">
        <v>0</v>
      </c>
      <c r="J1792">
        <v>0</v>
      </c>
      <c r="K1792">
        <v>72.099999999999994</v>
      </c>
      <c r="L1792">
        <v>70.900000000000006</v>
      </c>
      <c r="M1792">
        <v>84.12</v>
      </c>
      <c r="N1792">
        <v>29</v>
      </c>
      <c r="O1792">
        <v>5</v>
      </c>
      <c r="P1792">
        <f>MOD(DAY(datos_siembra[[#This Row],[Date]]),7)</f>
        <v>1</v>
      </c>
      <c r="Q1792" t="str">
        <f>CHOOSE(WEEKDAY(datos_siembra[[#This Row],[Date]],2),"L","M","X","J","V","S","D")</f>
        <v>D</v>
      </c>
      <c r="R1792">
        <f>WEEKNUM(datos_siembra[[#This Row],[Date]],2)-WEEKNUM(DATE(YEAR(datos_siembra[[#This Row],[Date]]),MONTH(datos_siembra[[#This Row],[Date]]),1))+1</f>
        <v>4</v>
      </c>
      <c r="S1792">
        <f>MONTH(datos_siembra[[#This Row],[Date]])</f>
        <v>9</v>
      </c>
      <c r="T1792" t="str" cm="1">
        <f t="array" ref="T1792">_xlfn.IFS(AND(N1792&lt;= 22, S1792=9), "SOWING",AND(N1792&lt;= 28, S1792=9), "COVERAGE",AND(N1792&lt;= 30, S1792=9), "FLUSH",AND(N1792&lt;= 11, S1792=10), "FLUSH",AND(N1792&lt;= 21, S1792=10), "PRODUCTION")</f>
        <v>FLUSH</v>
      </c>
      <c r="U1792">
        <f>HOUR(datos_siembra[[#This Row],[Hour]])</f>
        <v>3</v>
      </c>
      <c r="V1792" cm="1">
        <f t="array" ref="V1792">_xlfn.IFS(AND(N1792&lt;= 22, S1792=9), N1792-7,AND(N1792&lt;= 28, S1792=9), N1792-25,AND(N1792&lt;= 30, S1792=9), N1792-28,AND(N1792&lt;= 11, S1792=10), N1792+2,AND(N1792&lt;= 21, S1792=10), N1792-11)</f>
        <v>1</v>
      </c>
    </row>
    <row r="1793" spans="1:22" x14ac:dyDescent="0.35">
      <c r="A1793" s="4">
        <v>45564</v>
      </c>
      <c r="B1793" s="5">
        <v>0.14174768518518518</v>
      </c>
      <c r="C1793">
        <v>85</v>
      </c>
      <c r="D1793">
        <v>82</v>
      </c>
      <c r="E1793">
        <v>86.2</v>
      </c>
      <c r="F1793">
        <v>83.4</v>
      </c>
      <c r="G1793">
        <v>0</v>
      </c>
      <c r="H1793">
        <v>0</v>
      </c>
      <c r="I1793">
        <v>0</v>
      </c>
      <c r="J1793">
        <v>0</v>
      </c>
      <c r="K1793">
        <v>72.099999999999994</v>
      </c>
      <c r="L1793">
        <v>70.900000000000006</v>
      </c>
      <c r="M1793">
        <v>84.12</v>
      </c>
      <c r="N1793">
        <v>29</v>
      </c>
      <c r="O1793">
        <v>5</v>
      </c>
      <c r="P1793">
        <f>MOD(DAY(datos_siembra[[#This Row],[Date]]),7)</f>
        <v>1</v>
      </c>
      <c r="Q1793" t="str">
        <f>CHOOSE(WEEKDAY(datos_siembra[[#This Row],[Date]],2),"L","M","X","J","V","S","D")</f>
        <v>D</v>
      </c>
      <c r="R1793">
        <f>WEEKNUM(datos_siembra[[#This Row],[Date]],2)-WEEKNUM(DATE(YEAR(datos_siembra[[#This Row],[Date]]),MONTH(datos_siembra[[#This Row],[Date]]),1))+1</f>
        <v>4</v>
      </c>
      <c r="S1793">
        <f>MONTH(datos_siembra[[#This Row],[Date]])</f>
        <v>9</v>
      </c>
      <c r="T1793" t="str" cm="1">
        <f t="array" ref="T1793">_xlfn.IFS(AND(N1793&lt;= 22, S1793=9), "SOWING",AND(N1793&lt;= 28, S1793=9), "COVERAGE",AND(N1793&lt;= 30, S1793=9), "FLUSH",AND(N1793&lt;= 11, S1793=10), "FLUSH",AND(N1793&lt;= 21, S1793=10), "PRODUCTION")</f>
        <v>FLUSH</v>
      </c>
      <c r="U1793">
        <f>HOUR(datos_siembra[[#This Row],[Hour]])</f>
        <v>3</v>
      </c>
      <c r="V1793" cm="1">
        <f t="array" ref="V1793">_xlfn.IFS(AND(N1793&lt;= 22, S1793=9), N1793-7,AND(N1793&lt;= 28, S1793=9), N1793-25,AND(N1793&lt;= 30, S1793=9), N1793-28,AND(N1793&lt;= 11, S1793=10), N1793+2,AND(N1793&lt;= 21, S1793=10), N1793-11)</f>
        <v>1</v>
      </c>
    </row>
    <row r="1794" spans="1:22" x14ac:dyDescent="0.35">
      <c r="A1794" s="4">
        <v>45564</v>
      </c>
      <c r="B1794" s="5">
        <v>0.14869212962962963</v>
      </c>
      <c r="C1794">
        <v>85</v>
      </c>
      <c r="D1794">
        <v>82</v>
      </c>
      <c r="E1794">
        <v>86.2</v>
      </c>
      <c r="F1794">
        <v>83.3</v>
      </c>
      <c r="G1794">
        <v>0</v>
      </c>
      <c r="H1794">
        <v>0</v>
      </c>
      <c r="I1794">
        <v>0</v>
      </c>
      <c r="J1794">
        <v>0</v>
      </c>
      <c r="K1794">
        <v>72.099999999999994</v>
      </c>
      <c r="L1794">
        <v>71</v>
      </c>
      <c r="M1794">
        <v>84.12</v>
      </c>
      <c r="N1794">
        <v>29</v>
      </c>
      <c r="O1794">
        <v>5</v>
      </c>
      <c r="P1794">
        <f>MOD(DAY(datos_siembra[[#This Row],[Date]]),7)</f>
        <v>1</v>
      </c>
      <c r="Q1794" t="str">
        <f>CHOOSE(WEEKDAY(datos_siembra[[#This Row],[Date]],2),"L","M","X","J","V","S","D")</f>
        <v>D</v>
      </c>
      <c r="R1794">
        <f>WEEKNUM(datos_siembra[[#This Row],[Date]],2)-WEEKNUM(DATE(YEAR(datos_siembra[[#This Row],[Date]]),MONTH(datos_siembra[[#This Row],[Date]]),1))+1</f>
        <v>4</v>
      </c>
      <c r="S1794">
        <f>MONTH(datos_siembra[[#This Row],[Date]])</f>
        <v>9</v>
      </c>
      <c r="T1794" t="str" cm="1">
        <f t="array" ref="T1794">_xlfn.IFS(AND(N1794&lt;= 22, S1794=9), "SOWING",AND(N1794&lt;= 28, S1794=9), "COVERAGE",AND(N1794&lt;= 30, S1794=9), "FLUSH",AND(N1794&lt;= 11, S1794=10), "FLUSH",AND(N1794&lt;= 21, S1794=10), "PRODUCTION")</f>
        <v>FLUSH</v>
      </c>
      <c r="U1794">
        <f>HOUR(datos_siembra[[#This Row],[Hour]])</f>
        <v>3</v>
      </c>
      <c r="V1794" cm="1">
        <f t="array" ref="V1794">_xlfn.IFS(AND(N1794&lt;= 22, S1794=9), N1794-7,AND(N1794&lt;= 28, S1794=9), N1794-25,AND(N1794&lt;= 30, S1794=9), N1794-28,AND(N1794&lt;= 11, S1794=10), N1794+2,AND(N1794&lt;= 21, S1794=10), N1794-11)</f>
        <v>1</v>
      </c>
    </row>
    <row r="1795" spans="1:22" x14ac:dyDescent="0.35">
      <c r="A1795" s="4">
        <v>45564</v>
      </c>
      <c r="B1795" s="5">
        <v>0.15563657407407408</v>
      </c>
      <c r="C1795">
        <v>84.8</v>
      </c>
      <c r="D1795">
        <v>82</v>
      </c>
      <c r="E1795">
        <v>86.3</v>
      </c>
      <c r="F1795">
        <v>83.4</v>
      </c>
      <c r="G1795">
        <v>0</v>
      </c>
      <c r="H1795">
        <v>0</v>
      </c>
      <c r="I1795">
        <v>0</v>
      </c>
      <c r="J1795">
        <v>0</v>
      </c>
      <c r="K1795">
        <v>71.900000000000006</v>
      </c>
      <c r="L1795">
        <v>71</v>
      </c>
      <c r="M1795">
        <v>83.98</v>
      </c>
      <c r="N1795">
        <v>29</v>
      </c>
      <c r="O1795">
        <v>5</v>
      </c>
      <c r="P1795">
        <f>MOD(DAY(datos_siembra[[#This Row],[Date]]),7)</f>
        <v>1</v>
      </c>
      <c r="Q1795" t="str">
        <f>CHOOSE(WEEKDAY(datos_siembra[[#This Row],[Date]],2),"L","M","X","J","V","S","D")</f>
        <v>D</v>
      </c>
      <c r="R1795">
        <f>WEEKNUM(datos_siembra[[#This Row],[Date]],2)-WEEKNUM(DATE(YEAR(datos_siembra[[#This Row],[Date]]),MONTH(datos_siembra[[#This Row],[Date]]),1))+1</f>
        <v>4</v>
      </c>
      <c r="S1795">
        <f>MONTH(datos_siembra[[#This Row],[Date]])</f>
        <v>9</v>
      </c>
      <c r="T1795" t="str" cm="1">
        <f t="array" ref="T1795">_xlfn.IFS(AND(N1795&lt;= 22, S1795=9), "SOWING",AND(N1795&lt;= 28, S1795=9), "COVERAGE",AND(N1795&lt;= 30, S1795=9), "FLUSH",AND(N1795&lt;= 11, S1795=10), "FLUSH",AND(N1795&lt;= 21, S1795=10), "PRODUCTION")</f>
        <v>FLUSH</v>
      </c>
      <c r="U1795">
        <f>HOUR(datos_siembra[[#This Row],[Hour]])</f>
        <v>3</v>
      </c>
      <c r="V1795" cm="1">
        <f t="array" ref="V1795">_xlfn.IFS(AND(N1795&lt;= 22, S1795=9), N1795-7,AND(N1795&lt;= 28, S1795=9), N1795-25,AND(N1795&lt;= 30, S1795=9), N1795-28,AND(N1795&lt;= 11, S1795=10), N1795+2,AND(N1795&lt;= 21, S1795=10), N1795-11)</f>
        <v>1</v>
      </c>
    </row>
    <row r="1796" spans="1:22" x14ac:dyDescent="0.35">
      <c r="A1796" s="4">
        <v>45564</v>
      </c>
      <c r="B1796" s="5">
        <v>0.16258101851851853</v>
      </c>
      <c r="C1796">
        <v>85.1</v>
      </c>
      <c r="D1796">
        <v>81.7</v>
      </c>
      <c r="E1796">
        <v>86.2</v>
      </c>
      <c r="F1796">
        <v>83.3</v>
      </c>
      <c r="G1796">
        <v>0</v>
      </c>
      <c r="H1796">
        <v>0</v>
      </c>
      <c r="I1796">
        <v>0</v>
      </c>
      <c r="J1796">
        <v>0</v>
      </c>
      <c r="K1796">
        <v>72.099999999999994</v>
      </c>
      <c r="L1796">
        <v>70.900000000000006</v>
      </c>
      <c r="M1796">
        <v>83.97</v>
      </c>
      <c r="N1796">
        <v>29</v>
      </c>
      <c r="O1796">
        <v>5</v>
      </c>
      <c r="P1796">
        <f>MOD(DAY(datos_siembra[[#This Row],[Date]]),7)</f>
        <v>1</v>
      </c>
      <c r="Q1796" t="str">
        <f>CHOOSE(WEEKDAY(datos_siembra[[#This Row],[Date]],2),"L","M","X","J","V","S","D")</f>
        <v>D</v>
      </c>
      <c r="R1796">
        <f>WEEKNUM(datos_siembra[[#This Row],[Date]],2)-WEEKNUM(DATE(YEAR(datos_siembra[[#This Row],[Date]]),MONTH(datos_siembra[[#This Row],[Date]]),1))+1</f>
        <v>4</v>
      </c>
      <c r="S1796">
        <f>MONTH(datos_siembra[[#This Row],[Date]])</f>
        <v>9</v>
      </c>
      <c r="T1796" t="str" cm="1">
        <f t="array" ref="T1796">_xlfn.IFS(AND(N1796&lt;= 22, S1796=9), "SOWING",AND(N1796&lt;= 28, S1796=9), "COVERAGE",AND(N1796&lt;= 30, S1796=9), "FLUSH",AND(N1796&lt;= 11, S1796=10), "FLUSH",AND(N1796&lt;= 21, S1796=10), "PRODUCTION")</f>
        <v>FLUSH</v>
      </c>
      <c r="U1796">
        <f>HOUR(datos_siembra[[#This Row],[Hour]])</f>
        <v>3</v>
      </c>
      <c r="V1796" cm="1">
        <f t="array" ref="V1796">_xlfn.IFS(AND(N1796&lt;= 22, S1796=9), N1796-7,AND(N1796&lt;= 28, S1796=9), N1796-25,AND(N1796&lt;= 30, S1796=9), N1796-28,AND(N1796&lt;= 11, S1796=10), N1796+2,AND(N1796&lt;= 21, S1796=10), N1796-11)</f>
        <v>1</v>
      </c>
    </row>
    <row r="1797" spans="1:22" x14ac:dyDescent="0.35">
      <c r="A1797" s="4">
        <v>45564</v>
      </c>
      <c r="B1797" s="5">
        <v>0.16953703703703704</v>
      </c>
      <c r="C1797">
        <v>84.9</v>
      </c>
      <c r="D1797">
        <v>81.7</v>
      </c>
      <c r="E1797">
        <v>86.1</v>
      </c>
      <c r="F1797">
        <v>83.3</v>
      </c>
      <c r="G1797">
        <v>0</v>
      </c>
      <c r="H1797">
        <v>0</v>
      </c>
      <c r="I1797">
        <v>0</v>
      </c>
      <c r="J1797">
        <v>0</v>
      </c>
      <c r="K1797">
        <v>72.099999999999994</v>
      </c>
      <c r="L1797">
        <v>70.8</v>
      </c>
      <c r="M1797">
        <v>84.03</v>
      </c>
      <c r="N1797">
        <v>29</v>
      </c>
      <c r="O1797">
        <v>5</v>
      </c>
      <c r="P1797">
        <f>MOD(DAY(datos_siembra[[#This Row],[Date]]),7)</f>
        <v>1</v>
      </c>
      <c r="Q1797" t="str">
        <f>CHOOSE(WEEKDAY(datos_siembra[[#This Row],[Date]],2),"L","M","X","J","V","S","D")</f>
        <v>D</v>
      </c>
      <c r="R1797">
        <f>WEEKNUM(datos_siembra[[#This Row],[Date]],2)-WEEKNUM(DATE(YEAR(datos_siembra[[#This Row],[Date]]),MONTH(datos_siembra[[#This Row],[Date]]),1))+1</f>
        <v>4</v>
      </c>
      <c r="S1797">
        <f>MONTH(datos_siembra[[#This Row],[Date]])</f>
        <v>9</v>
      </c>
      <c r="T1797" t="str" cm="1">
        <f t="array" ref="T1797">_xlfn.IFS(AND(N1797&lt;= 22, S1797=9), "SOWING",AND(N1797&lt;= 28, S1797=9), "COVERAGE",AND(N1797&lt;= 30, S1797=9), "FLUSH",AND(N1797&lt;= 11, S1797=10), "FLUSH",AND(N1797&lt;= 21, S1797=10), "PRODUCTION")</f>
        <v>FLUSH</v>
      </c>
      <c r="U1797">
        <f>HOUR(datos_siembra[[#This Row],[Hour]])</f>
        <v>4</v>
      </c>
      <c r="V1797" cm="1">
        <f t="array" ref="V1797">_xlfn.IFS(AND(N1797&lt;= 22, S1797=9), N1797-7,AND(N1797&lt;= 28, S1797=9), N1797-25,AND(N1797&lt;= 30, S1797=9), N1797-28,AND(N1797&lt;= 11, S1797=10), N1797+2,AND(N1797&lt;= 21, S1797=10), N1797-11)</f>
        <v>1</v>
      </c>
    </row>
    <row r="1798" spans="1:22" x14ac:dyDescent="0.35">
      <c r="A1798" s="4">
        <v>45564</v>
      </c>
      <c r="B1798" s="5">
        <v>0.17648148148148149</v>
      </c>
      <c r="C1798">
        <v>85</v>
      </c>
      <c r="D1798">
        <v>81.8</v>
      </c>
      <c r="E1798">
        <v>86.1</v>
      </c>
      <c r="F1798">
        <v>83.2</v>
      </c>
      <c r="G1798">
        <v>0</v>
      </c>
      <c r="H1798">
        <v>0</v>
      </c>
      <c r="I1798">
        <v>0</v>
      </c>
      <c r="J1798">
        <v>0</v>
      </c>
      <c r="K1798">
        <v>72.099999999999994</v>
      </c>
      <c r="L1798">
        <v>71</v>
      </c>
      <c r="M1798">
        <v>83.95</v>
      </c>
      <c r="N1798">
        <v>29</v>
      </c>
      <c r="O1798">
        <v>5</v>
      </c>
      <c r="P1798">
        <f>MOD(DAY(datos_siembra[[#This Row],[Date]]),7)</f>
        <v>1</v>
      </c>
      <c r="Q1798" t="str">
        <f>CHOOSE(WEEKDAY(datos_siembra[[#This Row],[Date]],2),"L","M","X","J","V","S","D")</f>
        <v>D</v>
      </c>
      <c r="R1798">
        <f>WEEKNUM(datos_siembra[[#This Row],[Date]],2)-WEEKNUM(DATE(YEAR(datos_siembra[[#This Row],[Date]]),MONTH(datos_siembra[[#This Row],[Date]]),1))+1</f>
        <v>4</v>
      </c>
      <c r="S1798">
        <f>MONTH(datos_siembra[[#This Row],[Date]])</f>
        <v>9</v>
      </c>
      <c r="T1798" t="str" cm="1">
        <f t="array" ref="T1798">_xlfn.IFS(AND(N1798&lt;= 22, S1798=9), "SOWING",AND(N1798&lt;= 28, S1798=9), "COVERAGE",AND(N1798&lt;= 30, S1798=9), "FLUSH",AND(N1798&lt;= 11, S1798=10), "FLUSH",AND(N1798&lt;= 21, S1798=10), "PRODUCTION")</f>
        <v>FLUSH</v>
      </c>
      <c r="U1798">
        <f>HOUR(datos_siembra[[#This Row],[Hour]])</f>
        <v>4</v>
      </c>
      <c r="V1798" cm="1">
        <f t="array" ref="V1798">_xlfn.IFS(AND(N1798&lt;= 22, S1798=9), N1798-7,AND(N1798&lt;= 28, S1798=9), N1798-25,AND(N1798&lt;= 30, S1798=9), N1798-28,AND(N1798&lt;= 11, S1798=10), N1798+2,AND(N1798&lt;= 21, S1798=10), N1798-11)</f>
        <v>1</v>
      </c>
    </row>
    <row r="1799" spans="1:22" x14ac:dyDescent="0.35">
      <c r="A1799" s="4">
        <v>45564</v>
      </c>
      <c r="B1799" s="5">
        <v>0.18342592592592594</v>
      </c>
      <c r="C1799">
        <v>84.9</v>
      </c>
      <c r="D1799">
        <v>81.7</v>
      </c>
      <c r="E1799">
        <v>86.2</v>
      </c>
      <c r="F1799">
        <v>83.1</v>
      </c>
      <c r="G1799">
        <v>0</v>
      </c>
      <c r="H1799">
        <v>0</v>
      </c>
      <c r="I1799">
        <v>0</v>
      </c>
      <c r="J1799">
        <v>0</v>
      </c>
      <c r="K1799">
        <v>72.099999999999994</v>
      </c>
      <c r="L1799">
        <v>71</v>
      </c>
      <c r="M1799">
        <v>84</v>
      </c>
      <c r="N1799">
        <v>29</v>
      </c>
      <c r="O1799">
        <v>5</v>
      </c>
      <c r="P1799">
        <f>MOD(DAY(datos_siembra[[#This Row],[Date]]),7)</f>
        <v>1</v>
      </c>
      <c r="Q1799" t="str">
        <f>CHOOSE(WEEKDAY(datos_siembra[[#This Row],[Date]],2),"L","M","X","J","V","S","D")</f>
        <v>D</v>
      </c>
      <c r="R1799">
        <f>WEEKNUM(datos_siembra[[#This Row],[Date]],2)-WEEKNUM(DATE(YEAR(datos_siembra[[#This Row],[Date]]),MONTH(datos_siembra[[#This Row],[Date]]),1))+1</f>
        <v>4</v>
      </c>
      <c r="S1799">
        <f>MONTH(datos_siembra[[#This Row],[Date]])</f>
        <v>9</v>
      </c>
      <c r="T1799" t="str" cm="1">
        <f t="array" ref="T1799">_xlfn.IFS(AND(N1799&lt;= 22, S1799=9), "SOWING",AND(N1799&lt;= 28, S1799=9), "COVERAGE",AND(N1799&lt;= 30, S1799=9), "FLUSH",AND(N1799&lt;= 11, S1799=10), "FLUSH",AND(N1799&lt;= 21, S1799=10), "PRODUCTION")</f>
        <v>FLUSH</v>
      </c>
      <c r="U1799">
        <f>HOUR(datos_siembra[[#This Row],[Hour]])</f>
        <v>4</v>
      </c>
      <c r="V1799" cm="1">
        <f t="array" ref="V1799">_xlfn.IFS(AND(N1799&lt;= 22, S1799=9), N1799-7,AND(N1799&lt;= 28, S1799=9), N1799-25,AND(N1799&lt;= 30, S1799=9), N1799-28,AND(N1799&lt;= 11, S1799=10), N1799+2,AND(N1799&lt;= 21, S1799=10), N1799-11)</f>
        <v>1</v>
      </c>
    </row>
    <row r="1800" spans="1:22" x14ac:dyDescent="0.35">
      <c r="A1800" s="4">
        <v>45564</v>
      </c>
      <c r="B1800" s="5">
        <v>0.19037037037037038</v>
      </c>
      <c r="C1800">
        <v>84.9</v>
      </c>
      <c r="D1800">
        <v>81.7</v>
      </c>
      <c r="E1800">
        <v>86.1</v>
      </c>
      <c r="F1800">
        <v>83.1</v>
      </c>
      <c r="G1800">
        <v>0</v>
      </c>
      <c r="H1800">
        <v>0</v>
      </c>
      <c r="I1800">
        <v>0</v>
      </c>
      <c r="J1800">
        <v>0</v>
      </c>
      <c r="K1800">
        <v>72.099999999999994</v>
      </c>
      <c r="L1800">
        <v>70.900000000000006</v>
      </c>
      <c r="M1800">
        <v>83.95</v>
      </c>
      <c r="N1800">
        <v>29</v>
      </c>
      <c r="O1800">
        <v>5</v>
      </c>
      <c r="P1800">
        <f>MOD(DAY(datos_siembra[[#This Row],[Date]]),7)</f>
        <v>1</v>
      </c>
      <c r="Q1800" t="str">
        <f>CHOOSE(WEEKDAY(datos_siembra[[#This Row],[Date]],2),"L","M","X","J","V","S","D")</f>
        <v>D</v>
      </c>
      <c r="R1800">
        <f>WEEKNUM(datos_siembra[[#This Row],[Date]],2)-WEEKNUM(DATE(YEAR(datos_siembra[[#This Row],[Date]]),MONTH(datos_siembra[[#This Row],[Date]]),1))+1</f>
        <v>4</v>
      </c>
      <c r="S1800">
        <f>MONTH(datos_siembra[[#This Row],[Date]])</f>
        <v>9</v>
      </c>
      <c r="T1800" t="str" cm="1">
        <f t="array" ref="T1800">_xlfn.IFS(AND(N1800&lt;= 22, S1800=9), "SOWING",AND(N1800&lt;= 28, S1800=9), "COVERAGE",AND(N1800&lt;= 30, S1800=9), "FLUSH",AND(N1800&lt;= 11, S1800=10), "FLUSH",AND(N1800&lt;= 21, S1800=10), "PRODUCTION")</f>
        <v>FLUSH</v>
      </c>
      <c r="U1800">
        <f>HOUR(datos_siembra[[#This Row],[Hour]])</f>
        <v>4</v>
      </c>
      <c r="V1800" cm="1">
        <f t="array" ref="V1800">_xlfn.IFS(AND(N1800&lt;= 22, S1800=9), N1800-7,AND(N1800&lt;= 28, S1800=9), N1800-25,AND(N1800&lt;= 30, S1800=9), N1800-28,AND(N1800&lt;= 11, S1800=10), N1800+2,AND(N1800&lt;= 21, S1800=10), N1800-11)</f>
        <v>1</v>
      </c>
    </row>
    <row r="1801" spans="1:22" x14ac:dyDescent="0.35">
      <c r="A1801" s="4">
        <v>45564</v>
      </c>
      <c r="B1801" s="5">
        <v>0.1973263888888889</v>
      </c>
      <c r="C1801">
        <v>84.9</v>
      </c>
      <c r="D1801">
        <v>81.8</v>
      </c>
      <c r="E1801">
        <v>86.2</v>
      </c>
      <c r="F1801">
        <v>83.1</v>
      </c>
      <c r="G1801">
        <v>0</v>
      </c>
      <c r="H1801">
        <v>0</v>
      </c>
      <c r="I1801">
        <v>0</v>
      </c>
      <c r="J1801">
        <v>0</v>
      </c>
      <c r="K1801">
        <v>72.099999999999994</v>
      </c>
      <c r="L1801">
        <v>70.900000000000006</v>
      </c>
      <c r="M1801">
        <v>84</v>
      </c>
      <c r="N1801">
        <v>29</v>
      </c>
      <c r="O1801">
        <v>5</v>
      </c>
      <c r="P1801">
        <f>MOD(DAY(datos_siembra[[#This Row],[Date]]),7)</f>
        <v>1</v>
      </c>
      <c r="Q1801" t="str">
        <f>CHOOSE(WEEKDAY(datos_siembra[[#This Row],[Date]],2),"L","M","X","J","V","S","D")</f>
        <v>D</v>
      </c>
      <c r="R1801">
        <f>WEEKNUM(datos_siembra[[#This Row],[Date]],2)-WEEKNUM(DATE(YEAR(datos_siembra[[#This Row],[Date]]),MONTH(datos_siembra[[#This Row],[Date]]),1))+1</f>
        <v>4</v>
      </c>
      <c r="S1801">
        <f>MONTH(datos_siembra[[#This Row],[Date]])</f>
        <v>9</v>
      </c>
      <c r="T1801" t="str" cm="1">
        <f t="array" ref="T1801">_xlfn.IFS(AND(N1801&lt;= 22, S1801=9), "SOWING",AND(N1801&lt;= 28, S1801=9), "COVERAGE",AND(N1801&lt;= 30, S1801=9), "FLUSH",AND(N1801&lt;= 11, S1801=10), "FLUSH",AND(N1801&lt;= 21, S1801=10), "PRODUCTION")</f>
        <v>FLUSH</v>
      </c>
      <c r="U1801">
        <f>HOUR(datos_siembra[[#This Row],[Hour]])</f>
        <v>4</v>
      </c>
      <c r="V1801" cm="1">
        <f t="array" ref="V1801">_xlfn.IFS(AND(N1801&lt;= 22, S1801=9), N1801-7,AND(N1801&lt;= 28, S1801=9), N1801-25,AND(N1801&lt;= 30, S1801=9), N1801-28,AND(N1801&lt;= 11, S1801=10), N1801+2,AND(N1801&lt;= 21, S1801=10), N1801-11)</f>
        <v>1</v>
      </c>
    </row>
    <row r="1802" spans="1:22" x14ac:dyDescent="0.35">
      <c r="A1802" s="4">
        <v>45564</v>
      </c>
      <c r="B1802" s="5">
        <v>0.20427083333333335</v>
      </c>
      <c r="C1802">
        <v>84.8</v>
      </c>
      <c r="D1802">
        <v>81.7</v>
      </c>
      <c r="E1802">
        <v>86.1</v>
      </c>
      <c r="F1802">
        <v>83</v>
      </c>
      <c r="G1802">
        <v>0</v>
      </c>
      <c r="H1802">
        <v>0</v>
      </c>
      <c r="I1802">
        <v>0</v>
      </c>
      <c r="J1802">
        <v>0</v>
      </c>
      <c r="K1802">
        <v>72.099999999999994</v>
      </c>
      <c r="L1802">
        <v>70.900000000000006</v>
      </c>
      <c r="M1802">
        <v>83.95</v>
      </c>
      <c r="N1802">
        <v>29</v>
      </c>
      <c r="O1802">
        <v>5</v>
      </c>
      <c r="P1802">
        <f>MOD(DAY(datos_siembra[[#This Row],[Date]]),7)</f>
        <v>1</v>
      </c>
      <c r="Q1802" t="str">
        <f>CHOOSE(WEEKDAY(datos_siembra[[#This Row],[Date]],2),"L","M","X","J","V","S","D")</f>
        <v>D</v>
      </c>
      <c r="R1802">
        <f>WEEKNUM(datos_siembra[[#This Row],[Date]],2)-WEEKNUM(DATE(YEAR(datos_siembra[[#This Row],[Date]]),MONTH(datos_siembra[[#This Row],[Date]]),1))+1</f>
        <v>4</v>
      </c>
      <c r="S1802">
        <f>MONTH(datos_siembra[[#This Row],[Date]])</f>
        <v>9</v>
      </c>
      <c r="T1802" t="str" cm="1">
        <f t="array" ref="T1802">_xlfn.IFS(AND(N1802&lt;= 22, S1802=9), "SOWING",AND(N1802&lt;= 28, S1802=9), "COVERAGE",AND(N1802&lt;= 30, S1802=9), "FLUSH",AND(N1802&lt;= 11, S1802=10), "FLUSH",AND(N1802&lt;= 21, S1802=10), "PRODUCTION")</f>
        <v>FLUSH</v>
      </c>
      <c r="U1802">
        <f>HOUR(datos_siembra[[#This Row],[Hour]])</f>
        <v>4</v>
      </c>
      <c r="V1802" cm="1">
        <f t="array" ref="V1802">_xlfn.IFS(AND(N1802&lt;= 22, S1802=9), N1802-7,AND(N1802&lt;= 28, S1802=9), N1802-25,AND(N1802&lt;= 30, S1802=9), N1802-28,AND(N1802&lt;= 11, S1802=10), N1802+2,AND(N1802&lt;= 21, S1802=10), N1802-11)</f>
        <v>1</v>
      </c>
    </row>
    <row r="1803" spans="1:22" x14ac:dyDescent="0.35">
      <c r="A1803" s="4">
        <v>45564</v>
      </c>
      <c r="B1803" s="5">
        <v>0.21121527777777777</v>
      </c>
      <c r="C1803">
        <v>84.8</v>
      </c>
      <c r="D1803">
        <v>81.7</v>
      </c>
      <c r="E1803">
        <v>86</v>
      </c>
      <c r="F1803">
        <v>83.1</v>
      </c>
      <c r="G1803">
        <v>0</v>
      </c>
      <c r="H1803">
        <v>0</v>
      </c>
      <c r="I1803">
        <v>0</v>
      </c>
      <c r="J1803">
        <v>0</v>
      </c>
      <c r="K1803">
        <v>72.099999999999994</v>
      </c>
      <c r="L1803">
        <v>71</v>
      </c>
      <c r="M1803">
        <v>83.92</v>
      </c>
      <c r="N1803">
        <v>29</v>
      </c>
      <c r="O1803">
        <v>5</v>
      </c>
      <c r="P1803">
        <f>MOD(DAY(datos_siembra[[#This Row],[Date]]),7)</f>
        <v>1</v>
      </c>
      <c r="Q1803" t="str">
        <f>CHOOSE(WEEKDAY(datos_siembra[[#This Row],[Date]],2),"L","M","X","J","V","S","D")</f>
        <v>D</v>
      </c>
      <c r="R1803">
        <f>WEEKNUM(datos_siembra[[#This Row],[Date]],2)-WEEKNUM(DATE(YEAR(datos_siembra[[#This Row],[Date]]),MONTH(datos_siembra[[#This Row],[Date]]),1))+1</f>
        <v>4</v>
      </c>
      <c r="S1803">
        <f>MONTH(datos_siembra[[#This Row],[Date]])</f>
        <v>9</v>
      </c>
      <c r="T1803" t="str" cm="1">
        <f t="array" ref="T1803">_xlfn.IFS(AND(N1803&lt;= 22, S1803=9), "SOWING",AND(N1803&lt;= 28, S1803=9), "COVERAGE",AND(N1803&lt;= 30, S1803=9), "FLUSH",AND(N1803&lt;= 11, S1803=10), "FLUSH",AND(N1803&lt;= 21, S1803=10), "PRODUCTION")</f>
        <v>FLUSH</v>
      </c>
      <c r="U1803">
        <f>HOUR(datos_siembra[[#This Row],[Hour]])</f>
        <v>5</v>
      </c>
      <c r="V1803" cm="1">
        <f t="array" ref="V1803">_xlfn.IFS(AND(N1803&lt;= 22, S1803=9), N1803-7,AND(N1803&lt;= 28, S1803=9), N1803-25,AND(N1803&lt;= 30, S1803=9), N1803-28,AND(N1803&lt;= 11, S1803=10), N1803+2,AND(N1803&lt;= 21, S1803=10), N1803-11)</f>
        <v>1</v>
      </c>
    </row>
    <row r="1804" spans="1:22" x14ac:dyDescent="0.35">
      <c r="A1804" s="4">
        <v>45564</v>
      </c>
      <c r="B1804" s="5">
        <v>0.21815972222222221</v>
      </c>
      <c r="C1804">
        <v>84.8</v>
      </c>
      <c r="D1804">
        <v>81.7</v>
      </c>
      <c r="E1804">
        <v>86.1</v>
      </c>
      <c r="F1804">
        <v>83.1</v>
      </c>
      <c r="G1804">
        <v>0</v>
      </c>
      <c r="H1804">
        <v>0</v>
      </c>
      <c r="I1804">
        <v>0</v>
      </c>
      <c r="J1804">
        <v>0</v>
      </c>
      <c r="K1804">
        <v>71.900000000000006</v>
      </c>
      <c r="L1804">
        <v>71</v>
      </c>
      <c r="M1804">
        <v>83.83</v>
      </c>
      <c r="N1804">
        <v>29</v>
      </c>
      <c r="O1804">
        <v>5</v>
      </c>
      <c r="P1804">
        <f>MOD(DAY(datos_siembra[[#This Row],[Date]]),7)</f>
        <v>1</v>
      </c>
      <c r="Q1804" t="str">
        <f>CHOOSE(WEEKDAY(datos_siembra[[#This Row],[Date]],2),"L","M","X","J","V","S","D")</f>
        <v>D</v>
      </c>
      <c r="R1804">
        <f>WEEKNUM(datos_siembra[[#This Row],[Date]],2)-WEEKNUM(DATE(YEAR(datos_siembra[[#This Row],[Date]]),MONTH(datos_siembra[[#This Row],[Date]]),1))+1</f>
        <v>4</v>
      </c>
      <c r="S1804">
        <f>MONTH(datos_siembra[[#This Row],[Date]])</f>
        <v>9</v>
      </c>
      <c r="T1804" t="str" cm="1">
        <f t="array" ref="T1804">_xlfn.IFS(AND(N1804&lt;= 22, S1804=9), "SOWING",AND(N1804&lt;= 28, S1804=9), "COVERAGE",AND(N1804&lt;= 30, S1804=9), "FLUSH",AND(N1804&lt;= 11, S1804=10), "FLUSH",AND(N1804&lt;= 21, S1804=10), "PRODUCTION")</f>
        <v>FLUSH</v>
      </c>
      <c r="U1804">
        <f>HOUR(datos_siembra[[#This Row],[Hour]])</f>
        <v>5</v>
      </c>
      <c r="V1804" cm="1">
        <f t="array" ref="V1804">_xlfn.IFS(AND(N1804&lt;= 22, S1804=9), N1804-7,AND(N1804&lt;= 28, S1804=9), N1804-25,AND(N1804&lt;= 30, S1804=9), N1804-28,AND(N1804&lt;= 11, S1804=10), N1804+2,AND(N1804&lt;= 21, S1804=10), N1804-11)</f>
        <v>1</v>
      </c>
    </row>
    <row r="1805" spans="1:22" x14ac:dyDescent="0.35">
      <c r="A1805" s="4">
        <v>45564</v>
      </c>
      <c r="B1805" s="5">
        <v>0.22511574074074073</v>
      </c>
      <c r="C1805">
        <v>84.8</v>
      </c>
      <c r="D1805">
        <v>81.8</v>
      </c>
      <c r="E1805">
        <v>86</v>
      </c>
      <c r="F1805">
        <v>83</v>
      </c>
      <c r="G1805">
        <v>0</v>
      </c>
      <c r="H1805">
        <v>0</v>
      </c>
      <c r="I1805">
        <v>0</v>
      </c>
      <c r="J1805">
        <v>0</v>
      </c>
      <c r="K1805">
        <v>71.900000000000006</v>
      </c>
      <c r="L1805">
        <v>70.900000000000006</v>
      </c>
      <c r="M1805">
        <v>83.81</v>
      </c>
      <c r="N1805">
        <v>29</v>
      </c>
      <c r="O1805">
        <v>5</v>
      </c>
      <c r="P1805">
        <f>MOD(DAY(datos_siembra[[#This Row],[Date]]),7)</f>
        <v>1</v>
      </c>
      <c r="Q1805" t="str">
        <f>CHOOSE(WEEKDAY(datos_siembra[[#This Row],[Date]],2),"L","M","X","J","V","S","D")</f>
        <v>D</v>
      </c>
      <c r="R1805">
        <f>WEEKNUM(datos_siembra[[#This Row],[Date]],2)-WEEKNUM(DATE(YEAR(datos_siembra[[#This Row],[Date]]),MONTH(datos_siembra[[#This Row],[Date]]),1))+1</f>
        <v>4</v>
      </c>
      <c r="S1805">
        <f>MONTH(datos_siembra[[#This Row],[Date]])</f>
        <v>9</v>
      </c>
      <c r="T1805" t="str" cm="1">
        <f t="array" ref="T1805">_xlfn.IFS(AND(N1805&lt;= 22, S1805=9), "SOWING",AND(N1805&lt;= 28, S1805=9), "COVERAGE",AND(N1805&lt;= 30, S1805=9), "FLUSH",AND(N1805&lt;= 11, S1805=10), "FLUSH",AND(N1805&lt;= 21, S1805=10), "PRODUCTION")</f>
        <v>FLUSH</v>
      </c>
      <c r="U1805">
        <f>HOUR(datos_siembra[[#This Row],[Hour]])</f>
        <v>5</v>
      </c>
      <c r="V1805" cm="1">
        <f t="array" ref="V1805">_xlfn.IFS(AND(N1805&lt;= 22, S1805=9), N1805-7,AND(N1805&lt;= 28, S1805=9), N1805-25,AND(N1805&lt;= 30, S1805=9), N1805-28,AND(N1805&lt;= 11, S1805=10), N1805+2,AND(N1805&lt;= 21, S1805=10), N1805-11)</f>
        <v>1</v>
      </c>
    </row>
    <row r="1806" spans="1:22" x14ac:dyDescent="0.35">
      <c r="A1806" s="4">
        <v>45564</v>
      </c>
      <c r="B1806" s="5">
        <v>0.23206018518518517</v>
      </c>
      <c r="C1806">
        <v>84.6</v>
      </c>
      <c r="D1806">
        <v>81.599999999999994</v>
      </c>
      <c r="E1806">
        <v>86.1</v>
      </c>
      <c r="F1806">
        <v>83.1</v>
      </c>
      <c r="G1806">
        <v>0</v>
      </c>
      <c r="H1806">
        <v>0</v>
      </c>
      <c r="I1806">
        <v>0</v>
      </c>
      <c r="J1806">
        <v>0</v>
      </c>
      <c r="K1806">
        <v>71.900000000000006</v>
      </c>
      <c r="L1806">
        <v>70.900000000000006</v>
      </c>
      <c r="M1806">
        <v>83.89</v>
      </c>
      <c r="N1806">
        <v>29</v>
      </c>
      <c r="O1806">
        <v>5</v>
      </c>
      <c r="P1806">
        <f>MOD(DAY(datos_siembra[[#This Row],[Date]]),7)</f>
        <v>1</v>
      </c>
      <c r="Q1806" t="str">
        <f>CHOOSE(WEEKDAY(datos_siembra[[#This Row],[Date]],2),"L","M","X","J","V","S","D")</f>
        <v>D</v>
      </c>
      <c r="R1806">
        <f>WEEKNUM(datos_siembra[[#This Row],[Date]],2)-WEEKNUM(DATE(YEAR(datos_siembra[[#This Row],[Date]]),MONTH(datos_siembra[[#This Row],[Date]]),1))+1</f>
        <v>4</v>
      </c>
      <c r="S1806">
        <f>MONTH(datos_siembra[[#This Row],[Date]])</f>
        <v>9</v>
      </c>
      <c r="T1806" t="str" cm="1">
        <f t="array" ref="T1806">_xlfn.IFS(AND(N1806&lt;= 22, S1806=9), "SOWING",AND(N1806&lt;= 28, S1806=9), "COVERAGE",AND(N1806&lt;= 30, S1806=9), "FLUSH",AND(N1806&lt;= 11, S1806=10), "FLUSH",AND(N1806&lt;= 21, S1806=10), "PRODUCTION")</f>
        <v>FLUSH</v>
      </c>
      <c r="U1806">
        <f>HOUR(datos_siembra[[#This Row],[Hour]])</f>
        <v>5</v>
      </c>
      <c r="V1806" cm="1">
        <f t="array" ref="V1806">_xlfn.IFS(AND(N1806&lt;= 22, S1806=9), N1806-7,AND(N1806&lt;= 28, S1806=9), N1806-25,AND(N1806&lt;= 30, S1806=9), N1806-28,AND(N1806&lt;= 11, S1806=10), N1806+2,AND(N1806&lt;= 21, S1806=10), N1806-11)</f>
        <v>1</v>
      </c>
    </row>
    <row r="1807" spans="1:22" x14ac:dyDescent="0.35">
      <c r="A1807" s="4">
        <v>45564</v>
      </c>
      <c r="B1807" s="5">
        <v>0.23900462962962962</v>
      </c>
      <c r="C1807">
        <v>84.6</v>
      </c>
      <c r="D1807">
        <v>81.8</v>
      </c>
      <c r="E1807">
        <v>86</v>
      </c>
      <c r="F1807">
        <v>82.9</v>
      </c>
      <c r="G1807">
        <v>0</v>
      </c>
      <c r="H1807">
        <v>0</v>
      </c>
      <c r="I1807">
        <v>0</v>
      </c>
      <c r="J1807">
        <v>0</v>
      </c>
      <c r="K1807">
        <v>71.900000000000006</v>
      </c>
      <c r="L1807">
        <v>70.900000000000006</v>
      </c>
      <c r="M1807">
        <v>83.83</v>
      </c>
      <c r="N1807">
        <v>29</v>
      </c>
      <c r="O1807">
        <v>5</v>
      </c>
      <c r="P1807">
        <f>MOD(DAY(datos_siembra[[#This Row],[Date]]),7)</f>
        <v>1</v>
      </c>
      <c r="Q1807" t="str">
        <f>CHOOSE(WEEKDAY(datos_siembra[[#This Row],[Date]],2),"L","M","X","J","V","S","D")</f>
        <v>D</v>
      </c>
      <c r="R1807">
        <f>WEEKNUM(datos_siembra[[#This Row],[Date]],2)-WEEKNUM(DATE(YEAR(datos_siembra[[#This Row],[Date]]),MONTH(datos_siembra[[#This Row],[Date]]),1))+1</f>
        <v>4</v>
      </c>
      <c r="S1807">
        <f>MONTH(datos_siembra[[#This Row],[Date]])</f>
        <v>9</v>
      </c>
      <c r="T1807" t="str" cm="1">
        <f t="array" ref="T1807">_xlfn.IFS(AND(N1807&lt;= 22, S1807=9), "SOWING",AND(N1807&lt;= 28, S1807=9), "COVERAGE",AND(N1807&lt;= 30, S1807=9), "FLUSH",AND(N1807&lt;= 11, S1807=10), "FLUSH",AND(N1807&lt;= 21, S1807=10), "PRODUCTION")</f>
        <v>FLUSH</v>
      </c>
      <c r="U1807">
        <f>HOUR(datos_siembra[[#This Row],[Hour]])</f>
        <v>5</v>
      </c>
      <c r="V1807" cm="1">
        <f t="array" ref="V1807">_xlfn.IFS(AND(N1807&lt;= 22, S1807=9), N1807-7,AND(N1807&lt;= 28, S1807=9), N1807-25,AND(N1807&lt;= 30, S1807=9), N1807-28,AND(N1807&lt;= 11, S1807=10), N1807+2,AND(N1807&lt;= 21, S1807=10), N1807-11)</f>
        <v>1</v>
      </c>
    </row>
    <row r="1808" spans="1:22" x14ac:dyDescent="0.35">
      <c r="A1808" s="4">
        <v>45564</v>
      </c>
      <c r="B1808" s="5">
        <v>0.24594907407407407</v>
      </c>
      <c r="C1808">
        <v>84.6</v>
      </c>
      <c r="D1808">
        <v>81.7</v>
      </c>
      <c r="E1808">
        <v>86</v>
      </c>
      <c r="F1808">
        <v>82.9</v>
      </c>
      <c r="G1808">
        <v>0</v>
      </c>
      <c r="H1808">
        <v>0</v>
      </c>
      <c r="I1808">
        <v>0</v>
      </c>
      <c r="J1808">
        <v>0</v>
      </c>
      <c r="K1808">
        <v>72.099999999999994</v>
      </c>
      <c r="L1808">
        <v>70.900000000000006</v>
      </c>
      <c r="M1808">
        <v>83.78</v>
      </c>
      <c r="N1808">
        <v>29</v>
      </c>
      <c r="O1808">
        <v>5</v>
      </c>
      <c r="P1808">
        <f>MOD(DAY(datos_siembra[[#This Row],[Date]]),7)</f>
        <v>1</v>
      </c>
      <c r="Q1808" t="str">
        <f>CHOOSE(WEEKDAY(datos_siembra[[#This Row],[Date]],2),"L","M","X","J","V","S","D")</f>
        <v>D</v>
      </c>
      <c r="R1808">
        <f>WEEKNUM(datos_siembra[[#This Row],[Date]],2)-WEEKNUM(DATE(YEAR(datos_siembra[[#This Row],[Date]]),MONTH(datos_siembra[[#This Row],[Date]]),1))+1</f>
        <v>4</v>
      </c>
      <c r="S1808">
        <f>MONTH(datos_siembra[[#This Row],[Date]])</f>
        <v>9</v>
      </c>
      <c r="T1808" t="str" cm="1">
        <f t="array" ref="T1808">_xlfn.IFS(AND(N1808&lt;= 22, S1808=9), "SOWING",AND(N1808&lt;= 28, S1808=9), "COVERAGE",AND(N1808&lt;= 30, S1808=9), "FLUSH",AND(N1808&lt;= 11, S1808=10), "FLUSH",AND(N1808&lt;= 21, S1808=10), "PRODUCTION")</f>
        <v>FLUSH</v>
      </c>
      <c r="U1808">
        <f>HOUR(datos_siembra[[#This Row],[Hour]])</f>
        <v>5</v>
      </c>
      <c r="V1808" cm="1">
        <f t="array" ref="V1808">_xlfn.IFS(AND(N1808&lt;= 22, S1808=9), N1808-7,AND(N1808&lt;= 28, S1808=9), N1808-25,AND(N1808&lt;= 30, S1808=9), N1808-28,AND(N1808&lt;= 11, S1808=10), N1808+2,AND(N1808&lt;= 21, S1808=10), N1808-11)</f>
        <v>1</v>
      </c>
    </row>
    <row r="1809" spans="1:22" x14ac:dyDescent="0.35">
      <c r="A1809" s="4">
        <v>45564</v>
      </c>
      <c r="B1809" s="5">
        <v>0.25290509259259258</v>
      </c>
      <c r="C1809">
        <v>84.6</v>
      </c>
      <c r="D1809">
        <v>81.7</v>
      </c>
      <c r="E1809">
        <v>86</v>
      </c>
      <c r="F1809">
        <v>82.9</v>
      </c>
      <c r="G1809">
        <v>0</v>
      </c>
      <c r="H1809">
        <v>0</v>
      </c>
      <c r="I1809">
        <v>0</v>
      </c>
      <c r="J1809">
        <v>0</v>
      </c>
      <c r="K1809">
        <v>71.900000000000006</v>
      </c>
      <c r="L1809">
        <v>70.900000000000006</v>
      </c>
      <c r="M1809">
        <v>83.78</v>
      </c>
      <c r="N1809">
        <v>29</v>
      </c>
      <c r="O1809">
        <v>5</v>
      </c>
      <c r="P1809">
        <f>MOD(DAY(datos_siembra[[#This Row],[Date]]),7)</f>
        <v>1</v>
      </c>
      <c r="Q1809" t="str">
        <f>CHOOSE(WEEKDAY(datos_siembra[[#This Row],[Date]],2),"L","M","X","J","V","S","D")</f>
        <v>D</v>
      </c>
      <c r="R1809">
        <f>WEEKNUM(datos_siembra[[#This Row],[Date]],2)-WEEKNUM(DATE(YEAR(datos_siembra[[#This Row],[Date]]),MONTH(datos_siembra[[#This Row],[Date]]),1))+1</f>
        <v>4</v>
      </c>
      <c r="S1809">
        <f>MONTH(datos_siembra[[#This Row],[Date]])</f>
        <v>9</v>
      </c>
      <c r="T1809" t="str" cm="1">
        <f t="array" ref="T1809">_xlfn.IFS(AND(N1809&lt;= 22, S1809=9), "SOWING",AND(N1809&lt;= 28, S1809=9), "COVERAGE",AND(N1809&lt;= 30, S1809=9), "FLUSH",AND(N1809&lt;= 11, S1809=10), "FLUSH",AND(N1809&lt;= 21, S1809=10), "PRODUCTION")</f>
        <v>FLUSH</v>
      </c>
      <c r="U1809">
        <f>HOUR(datos_siembra[[#This Row],[Hour]])</f>
        <v>6</v>
      </c>
      <c r="V1809" cm="1">
        <f t="array" ref="V1809">_xlfn.IFS(AND(N1809&lt;= 22, S1809=9), N1809-7,AND(N1809&lt;= 28, S1809=9), N1809-25,AND(N1809&lt;= 30, S1809=9), N1809-28,AND(N1809&lt;= 11, S1809=10), N1809+2,AND(N1809&lt;= 21, S1809=10), N1809-11)</f>
        <v>1</v>
      </c>
    </row>
    <row r="1810" spans="1:22" x14ac:dyDescent="0.35">
      <c r="A1810" s="4">
        <v>45564</v>
      </c>
      <c r="B1810" s="5">
        <v>0.25984953703703706</v>
      </c>
      <c r="C1810">
        <v>84.6</v>
      </c>
      <c r="D1810">
        <v>81.7</v>
      </c>
      <c r="E1810">
        <v>86</v>
      </c>
      <c r="F1810">
        <v>82.7</v>
      </c>
      <c r="G1810">
        <v>0</v>
      </c>
      <c r="H1810">
        <v>0</v>
      </c>
      <c r="I1810">
        <v>0</v>
      </c>
      <c r="J1810">
        <v>0</v>
      </c>
      <c r="K1810">
        <v>71.900000000000006</v>
      </c>
      <c r="L1810">
        <v>70.7</v>
      </c>
      <c r="M1810">
        <v>83.75</v>
      </c>
      <c r="N1810">
        <v>29</v>
      </c>
      <c r="O1810">
        <v>5</v>
      </c>
      <c r="P1810">
        <f>MOD(DAY(datos_siembra[[#This Row],[Date]]),7)</f>
        <v>1</v>
      </c>
      <c r="Q1810" t="str">
        <f>CHOOSE(WEEKDAY(datos_siembra[[#This Row],[Date]],2),"L","M","X","J","V","S","D")</f>
        <v>D</v>
      </c>
      <c r="R1810">
        <f>WEEKNUM(datos_siembra[[#This Row],[Date]],2)-WEEKNUM(DATE(YEAR(datos_siembra[[#This Row],[Date]]),MONTH(datos_siembra[[#This Row],[Date]]),1))+1</f>
        <v>4</v>
      </c>
      <c r="S1810">
        <f>MONTH(datos_siembra[[#This Row],[Date]])</f>
        <v>9</v>
      </c>
      <c r="T1810" t="str" cm="1">
        <f t="array" ref="T1810">_xlfn.IFS(AND(N1810&lt;= 22, S1810=9), "SOWING",AND(N1810&lt;= 28, S1810=9), "COVERAGE",AND(N1810&lt;= 30, S1810=9), "FLUSH",AND(N1810&lt;= 11, S1810=10), "FLUSH",AND(N1810&lt;= 21, S1810=10), "PRODUCTION")</f>
        <v>FLUSH</v>
      </c>
      <c r="U1810">
        <f>HOUR(datos_siembra[[#This Row],[Hour]])</f>
        <v>6</v>
      </c>
      <c r="V1810" cm="1">
        <f t="array" ref="V1810">_xlfn.IFS(AND(N1810&lt;= 22, S1810=9), N1810-7,AND(N1810&lt;= 28, S1810=9), N1810-25,AND(N1810&lt;= 30, S1810=9), N1810-28,AND(N1810&lt;= 11, S1810=10), N1810+2,AND(N1810&lt;= 21, S1810=10), N1810-11)</f>
        <v>1</v>
      </c>
    </row>
    <row r="1811" spans="1:22" x14ac:dyDescent="0.35">
      <c r="A1811" s="4">
        <v>45564</v>
      </c>
      <c r="B1811" s="5">
        <v>0.26679398148148148</v>
      </c>
      <c r="C1811">
        <v>84.5</v>
      </c>
      <c r="D1811">
        <v>81.7</v>
      </c>
      <c r="E1811">
        <v>85.8</v>
      </c>
      <c r="F1811">
        <v>82.9</v>
      </c>
      <c r="G1811">
        <v>0</v>
      </c>
      <c r="H1811">
        <v>0</v>
      </c>
      <c r="I1811">
        <v>0</v>
      </c>
      <c r="J1811">
        <v>0</v>
      </c>
      <c r="K1811">
        <v>71.900000000000006</v>
      </c>
      <c r="L1811">
        <v>70.8</v>
      </c>
      <c r="M1811">
        <v>83.78</v>
      </c>
      <c r="N1811">
        <v>29</v>
      </c>
      <c r="O1811">
        <v>5</v>
      </c>
      <c r="P1811">
        <f>MOD(DAY(datos_siembra[[#This Row],[Date]]),7)</f>
        <v>1</v>
      </c>
      <c r="Q1811" t="str">
        <f>CHOOSE(WEEKDAY(datos_siembra[[#This Row],[Date]],2),"L","M","X","J","V","S","D")</f>
        <v>D</v>
      </c>
      <c r="R1811">
        <f>WEEKNUM(datos_siembra[[#This Row],[Date]],2)-WEEKNUM(DATE(YEAR(datos_siembra[[#This Row],[Date]]),MONTH(datos_siembra[[#This Row],[Date]]),1))+1</f>
        <v>4</v>
      </c>
      <c r="S1811">
        <f>MONTH(datos_siembra[[#This Row],[Date]])</f>
        <v>9</v>
      </c>
      <c r="T1811" t="str" cm="1">
        <f t="array" ref="T1811">_xlfn.IFS(AND(N1811&lt;= 22, S1811=9), "SOWING",AND(N1811&lt;= 28, S1811=9), "COVERAGE",AND(N1811&lt;= 30, S1811=9), "FLUSH",AND(N1811&lt;= 11, S1811=10), "FLUSH",AND(N1811&lt;= 21, S1811=10), "PRODUCTION")</f>
        <v>FLUSH</v>
      </c>
      <c r="U1811">
        <f>HOUR(datos_siembra[[#This Row],[Hour]])</f>
        <v>6</v>
      </c>
      <c r="V1811" cm="1">
        <f t="array" ref="V1811">_xlfn.IFS(AND(N1811&lt;= 22, S1811=9), N1811-7,AND(N1811&lt;= 28, S1811=9), N1811-25,AND(N1811&lt;= 30, S1811=9), N1811-28,AND(N1811&lt;= 11, S1811=10), N1811+2,AND(N1811&lt;= 21, S1811=10), N1811-11)</f>
        <v>1</v>
      </c>
    </row>
    <row r="1812" spans="1:22" x14ac:dyDescent="0.35">
      <c r="A1812" s="4">
        <v>45564</v>
      </c>
      <c r="B1812" s="5">
        <v>0.2737384259259259</v>
      </c>
      <c r="C1812">
        <v>84.5</v>
      </c>
      <c r="D1812">
        <v>81.599999999999994</v>
      </c>
      <c r="E1812">
        <v>85.9</v>
      </c>
      <c r="F1812">
        <v>82.7</v>
      </c>
      <c r="G1812">
        <v>0</v>
      </c>
      <c r="H1812">
        <v>0</v>
      </c>
      <c r="I1812">
        <v>0</v>
      </c>
      <c r="J1812">
        <v>0</v>
      </c>
      <c r="K1812">
        <v>71.900000000000006</v>
      </c>
      <c r="L1812">
        <v>70.8</v>
      </c>
      <c r="M1812">
        <v>83.67</v>
      </c>
      <c r="N1812">
        <v>29</v>
      </c>
      <c r="O1812">
        <v>5</v>
      </c>
      <c r="P1812">
        <f>MOD(DAY(datos_siembra[[#This Row],[Date]]),7)</f>
        <v>1</v>
      </c>
      <c r="Q1812" t="str">
        <f>CHOOSE(WEEKDAY(datos_siembra[[#This Row],[Date]],2),"L","M","X","J","V","S","D")</f>
        <v>D</v>
      </c>
      <c r="R1812">
        <f>WEEKNUM(datos_siembra[[#This Row],[Date]],2)-WEEKNUM(DATE(YEAR(datos_siembra[[#This Row],[Date]]),MONTH(datos_siembra[[#This Row],[Date]]),1))+1</f>
        <v>4</v>
      </c>
      <c r="S1812">
        <f>MONTH(datos_siembra[[#This Row],[Date]])</f>
        <v>9</v>
      </c>
      <c r="T1812" t="str" cm="1">
        <f t="array" ref="T1812">_xlfn.IFS(AND(N1812&lt;= 22, S1812=9), "SOWING",AND(N1812&lt;= 28, S1812=9), "COVERAGE",AND(N1812&lt;= 30, S1812=9), "FLUSH",AND(N1812&lt;= 11, S1812=10), "FLUSH",AND(N1812&lt;= 21, S1812=10), "PRODUCTION")</f>
        <v>FLUSH</v>
      </c>
      <c r="U1812">
        <f>HOUR(datos_siembra[[#This Row],[Hour]])</f>
        <v>6</v>
      </c>
      <c r="V1812" cm="1">
        <f t="array" ref="V1812">_xlfn.IFS(AND(N1812&lt;= 22, S1812=9), N1812-7,AND(N1812&lt;= 28, S1812=9), N1812-25,AND(N1812&lt;= 30, S1812=9), N1812-28,AND(N1812&lt;= 11, S1812=10), N1812+2,AND(N1812&lt;= 21, S1812=10), N1812-11)</f>
        <v>1</v>
      </c>
    </row>
    <row r="1813" spans="1:22" x14ac:dyDescent="0.35">
      <c r="A1813" s="4">
        <v>45564</v>
      </c>
      <c r="B1813" s="5">
        <v>0.28069444444444447</v>
      </c>
      <c r="C1813">
        <v>84.4</v>
      </c>
      <c r="D1813">
        <v>81.599999999999994</v>
      </c>
      <c r="E1813">
        <v>85.9</v>
      </c>
      <c r="F1813">
        <v>82.6</v>
      </c>
      <c r="G1813">
        <v>0</v>
      </c>
      <c r="H1813">
        <v>0</v>
      </c>
      <c r="I1813">
        <v>0</v>
      </c>
      <c r="J1813">
        <v>0</v>
      </c>
      <c r="K1813">
        <v>72.099999999999994</v>
      </c>
      <c r="L1813">
        <v>70.8</v>
      </c>
      <c r="M1813">
        <v>83.67</v>
      </c>
      <c r="N1813">
        <v>29</v>
      </c>
      <c r="O1813">
        <v>5</v>
      </c>
      <c r="P1813">
        <f>MOD(DAY(datos_siembra[[#This Row],[Date]]),7)</f>
        <v>1</v>
      </c>
      <c r="Q1813" t="str">
        <f>CHOOSE(WEEKDAY(datos_siembra[[#This Row],[Date]],2),"L","M","X","J","V","S","D")</f>
        <v>D</v>
      </c>
      <c r="R1813">
        <f>WEEKNUM(datos_siembra[[#This Row],[Date]],2)-WEEKNUM(DATE(YEAR(datos_siembra[[#This Row],[Date]]),MONTH(datos_siembra[[#This Row],[Date]]),1))+1</f>
        <v>4</v>
      </c>
      <c r="S1813">
        <f>MONTH(datos_siembra[[#This Row],[Date]])</f>
        <v>9</v>
      </c>
      <c r="T1813" t="str" cm="1">
        <f t="array" ref="T1813">_xlfn.IFS(AND(N1813&lt;= 22, S1813=9), "SOWING",AND(N1813&lt;= 28, S1813=9), "COVERAGE",AND(N1813&lt;= 30, S1813=9), "FLUSH",AND(N1813&lt;= 11, S1813=10), "FLUSH",AND(N1813&lt;= 21, S1813=10), "PRODUCTION")</f>
        <v>FLUSH</v>
      </c>
      <c r="U1813">
        <f>HOUR(datos_siembra[[#This Row],[Hour]])</f>
        <v>6</v>
      </c>
      <c r="V1813" cm="1">
        <f t="array" ref="V1813">_xlfn.IFS(AND(N1813&lt;= 22, S1813=9), N1813-7,AND(N1813&lt;= 28, S1813=9), N1813-25,AND(N1813&lt;= 30, S1813=9), N1813-28,AND(N1813&lt;= 11, S1813=10), N1813+2,AND(N1813&lt;= 21, S1813=10), N1813-11)</f>
        <v>1</v>
      </c>
    </row>
    <row r="1814" spans="1:22" x14ac:dyDescent="0.35">
      <c r="A1814" s="4">
        <v>45564</v>
      </c>
      <c r="B1814" s="5">
        <v>0.28763888888888889</v>
      </c>
      <c r="C1814">
        <v>84.5</v>
      </c>
      <c r="D1814">
        <v>81.599999999999994</v>
      </c>
      <c r="E1814">
        <v>85.7</v>
      </c>
      <c r="F1814">
        <v>82.6</v>
      </c>
      <c r="G1814">
        <v>0</v>
      </c>
      <c r="H1814">
        <v>0</v>
      </c>
      <c r="I1814">
        <v>0</v>
      </c>
      <c r="J1814">
        <v>0</v>
      </c>
      <c r="K1814">
        <v>72.099999999999994</v>
      </c>
      <c r="L1814">
        <v>70.900000000000006</v>
      </c>
      <c r="M1814">
        <v>83.64</v>
      </c>
      <c r="N1814">
        <v>29</v>
      </c>
      <c r="O1814">
        <v>5</v>
      </c>
      <c r="P1814">
        <f>MOD(DAY(datos_siembra[[#This Row],[Date]]),7)</f>
        <v>1</v>
      </c>
      <c r="Q1814" t="str">
        <f>CHOOSE(WEEKDAY(datos_siembra[[#This Row],[Date]],2),"L","M","X","J","V","S","D")</f>
        <v>D</v>
      </c>
      <c r="R1814">
        <f>WEEKNUM(datos_siembra[[#This Row],[Date]],2)-WEEKNUM(DATE(YEAR(datos_siembra[[#This Row],[Date]]),MONTH(datos_siembra[[#This Row],[Date]]),1))+1</f>
        <v>4</v>
      </c>
      <c r="S1814">
        <f>MONTH(datos_siembra[[#This Row],[Date]])</f>
        <v>9</v>
      </c>
      <c r="T1814" t="str" cm="1">
        <f t="array" ref="T1814">_xlfn.IFS(AND(N1814&lt;= 22, S1814=9), "SOWING",AND(N1814&lt;= 28, S1814=9), "COVERAGE",AND(N1814&lt;= 30, S1814=9), "FLUSH",AND(N1814&lt;= 11, S1814=10), "FLUSH",AND(N1814&lt;= 21, S1814=10), "PRODUCTION")</f>
        <v>FLUSH</v>
      </c>
      <c r="U1814">
        <f>HOUR(datos_siembra[[#This Row],[Hour]])</f>
        <v>6</v>
      </c>
      <c r="V1814" cm="1">
        <f t="array" ref="V1814">_xlfn.IFS(AND(N1814&lt;= 22, S1814=9), N1814-7,AND(N1814&lt;= 28, S1814=9), N1814-25,AND(N1814&lt;= 30, S1814=9), N1814-28,AND(N1814&lt;= 11, S1814=10), N1814+2,AND(N1814&lt;= 21, S1814=10), N1814-11)</f>
        <v>1</v>
      </c>
    </row>
    <row r="1815" spans="1:22" x14ac:dyDescent="0.35">
      <c r="A1815" s="4">
        <v>45564</v>
      </c>
      <c r="B1815" s="5">
        <v>0.29458333333333331</v>
      </c>
      <c r="C1815">
        <v>84.5</v>
      </c>
      <c r="D1815">
        <v>81.599999999999994</v>
      </c>
      <c r="E1815">
        <v>85.8</v>
      </c>
      <c r="F1815">
        <v>82.9</v>
      </c>
      <c r="G1815">
        <v>0</v>
      </c>
      <c r="H1815">
        <v>0</v>
      </c>
      <c r="I1815">
        <v>0</v>
      </c>
      <c r="J1815">
        <v>0</v>
      </c>
      <c r="K1815">
        <v>72.099999999999994</v>
      </c>
      <c r="L1815">
        <v>71</v>
      </c>
      <c r="M1815">
        <v>83.55</v>
      </c>
      <c r="N1815">
        <v>29</v>
      </c>
      <c r="O1815">
        <v>5</v>
      </c>
      <c r="P1815">
        <f>MOD(DAY(datos_siembra[[#This Row],[Date]]),7)</f>
        <v>1</v>
      </c>
      <c r="Q1815" t="str">
        <f>CHOOSE(WEEKDAY(datos_siembra[[#This Row],[Date]],2),"L","M","X","J","V","S","D")</f>
        <v>D</v>
      </c>
      <c r="R1815">
        <f>WEEKNUM(datos_siembra[[#This Row],[Date]],2)-WEEKNUM(DATE(YEAR(datos_siembra[[#This Row],[Date]]),MONTH(datos_siembra[[#This Row],[Date]]),1))+1</f>
        <v>4</v>
      </c>
      <c r="S1815">
        <f>MONTH(datos_siembra[[#This Row],[Date]])</f>
        <v>9</v>
      </c>
      <c r="T1815" t="str" cm="1">
        <f t="array" ref="T1815">_xlfn.IFS(AND(N1815&lt;= 22, S1815=9), "SOWING",AND(N1815&lt;= 28, S1815=9), "COVERAGE",AND(N1815&lt;= 30, S1815=9), "FLUSH",AND(N1815&lt;= 11, S1815=10), "FLUSH",AND(N1815&lt;= 21, S1815=10), "PRODUCTION")</f>
        <v>FLUSH</v>
      </c>
      <c r="U1815">
        <f>HOUR(datos_siembra[[#This Row],[Hour]])</f>
        <v>7</v>
      </c>
      <c r="V1815" cm="1">
        <f t="array" ref="V1815">_xlfn.IFS(AND(N1815&lt;= 22, S1815=9), N1815-7,AND(N1815&lt;= 28, S1815=9), N1815-25,AND(N1815&lt;= 30, S1815=9), N1815-28,AND(N1815&lt;= 11, S1815=10), N1815+2,AND(N1815&lt;= 21, S1815=10), N1815-11)</f>
        <v>1</v>
      </c>
    </row>
    <row r="1816" spans="1:22" x14ac:dyDescent="0.35">
      <c r="A1816" s="4">
        <v>45564</v>
      </c>
      <c r="B1816" s="5">
        <v>0.30152777777777778</v>
      </c>
      <c r="C1816">
        <v>84.4</v>
      </c>
      <c r="D1816">
        <v>81.5</v>
      </c>
      <c r="E1816">
        <v>85.8</v>
      </c>
      <c r="F1816">
        <v>82.5</v>
      </c>
      <c r="G1816">
        <v>0</v>
      </c>
      <c r="H1816">
        <v>0</v>
      </c>
      <c r="I1816">
        <v>0</v>
      </c>
      <c r="J1816">
        <v>0</v>
      </c>
      <c r="K1816">
        <v>72.099999999999994</v>
      </c>
      <c r="L1816">
        <v>71</v>
      </c>
      <c r="M1816">
        <v>83.55</v>
      </c>
      <c r="N1816">
        <v>29</v>
      </c>
      <c r="O1816">
        <v>5</v>
      </c>
      <c r="P1816">
        <f>MOD(DAY(datos_siembra[[#This Row],[Date]]),7)</f>
        <v>1</v>
      </c>
      <c r="Q1816" t="str">
        <f>CHOOSE(WEEKDAY(datos_siembra[[#This Row],[Date]],2),"L","M","X","J","V","S","D")</f>
        <v>D</v>
      </c>
      <c r="R1816">
        <f>WEEKNUM(datos_siembra[[#This Row],[Date]],2)-WEEKNUM(DATE(YEAR(datos_siembra[[#This Row],[Date]]),MONTH(datos_siembra[[#This Row],[Date]]),1))+1</f>
        <v>4</v>
      </c>
      <c r="S1816">
        <f>MONTH(datos_siembra[[#This Row],[Date]])</f>
        <v>9</v>
      </c>
      <c r="T1816" t="str" cm="1">
        <f t="array" ref="T1816">_xlfn.IFS(AND(N1816&lt;= 22, S1816=9), "SOWING",AND(N1816&lt;= 28, S1816=9), "COVERAGE",AND(N1816&lt;= 30, S1816=9), "FLUSH",AND(N1816&lt;= 11, S1816=10), "FLUSH",AND(N1816&lt;= 21, S1816=10), "PRODUCTION")</f>
        <v>FLUSH</v>
      </c>
      <c r="U1816">
        <f>HOUR(datos_siembra[[#This Row],[Hour]])</f>
        <v>7</v>
      </c>
      <c r="V1816" cm="1">
        <f t="array" ref="V1816">_xlfn.IFS(AND(N1816&lt;= 22, S1816=9), N1816-7,AND(N1816&lt;= 28, S1816=9), N1816-25,AND(N1816&lt;= 30, S1816=9), N1816-28,AND(N1816&lt;= 11, S1816=10), N1816+2,AND(N1816&lt;= 21, S1816=10), N1816-11)</f>
        <v>1</v>
      </c>
    </row>
    <row r="1817" spans="1:22" x14ac:dyDescent="0.35">
      <c r="A1817" s="4">
        <v>45564</v>
      </c>
      <c r="B1817" s="5">
        <v>0.3084837962962963</v>
      </c>
      <c r="C1817">
        <v>84.3</v>
      </c>
      <c r="D1817">
        <v>81.5</v>
      </c>
      <c r="E1817">
        <v>85.7</v>
      </c>
      <c r="F1817">
        <v>82.5</v>
      </c>
      <c r="G1817">
        <v>0</v>
      </c>
      <c r="H1817">
        <v>0</v>
      </c>
      <c r="I1817">
        <v>0</v>
      </c>
      <c r="J1817">
        <v>0</v>
      </c>
      <c r="K1817">
        <v>72.2</v>
      </c>
      <c r="L1817">
        <v>70.900000000000006</v>
      </c>
      <c r="M1817">
        <v>83.5</v>
      </c>
      <c r="N1817">
        <v>29</v>
      </c>
      <c r="O1817">
        <v>5</v>
      </c>
      <c r="P1817">
        <f>MOD(DAY(datos_siembra[[#This Row],[Date]]),7)</f>
        <v>1</v>
      </c>
      <c r="Q1817" t="str">
        <f>CHOOSE(WEEKDAY(datos_siembra[[#This Row],[Date]],2),"L","M","X","J","V","S","D")</f>
        <v>D</v>
      </c>
      <c r="R1817">
        <f>WEEKNUM(datos_siembra[[#This Row],[Date]],2)-WEEKNUM(DATE(YEAR(datos_siembra[[#This Row],[Date]]),MONTH(datos_siembra[[#This Row],[Date]]),1))+1</f>
        <v>4</v>
      </c>
      <c r="S1817">
        <f>MONTH(datos_siembra[[#This Row],[Date]])</f>
        <v>9</v>
      </c>
      <c r="T1817" t="str" cm="1">
        <f t="array" ref="T1817">_xlfn.IFS(AND(N1817&lt;= 22, S1817=9), "SOWING",AND(N1817&lt;= 28, S1817=9), "COVERAGE",AND(N1817&lt;= 30, S1817=9), "FLUSH",AND(N1817&lt;= 11, S1817=10), "FLUSH",AND(N1817&lt;= 21, S1817=10), "PRODUCTION")</f>
        <v>FLUSH</v>
      </c>
      <c r="U1817">
        <f>HOUR(datos_siembra[[#This Row],[Hour]])</f>
        <v>7</v>
      </c>
      <c r="V1817" cm="1">
        <f t="array" ref="V1817">_xlfn.IFS(AND(N1817&lt;= 22, S1817=9), N1817-7,AND(N1817&lt;= 28, S1817=9), N1817-25,AND(N1817&lt;= 30, S1817=9), N1817-28,AND(N1817&lt;= 11, S1817=10), N1817+2,AND(N1817&lt;= 21, S1817=10), N1817-11)</f>
        <v>1</v>
      </c>
    </row>
    <row r="1818" spans="1:22" x14ac:dyDescent="0.35">
      <c r="A1818" s="4">
        <v>45564</v>
      </c>
      <c r="B1818" s="5">
        <v>0.31570601851851854</v>
      </c>
      <c r="C1818">
        <v>84.4</v>
      </c>
      <c r="D1818">
        <v>81.400000000000006</v>
      </c>
      <c r="E1818">
        <v>85.7</v>
      </c>
      <c r="F1818">
        <v>82.5</v>
      </c>
      <c r="G1818">
        <v>0</v>
      </c>
      <c r="H1818">
        <v>0</v>
      </c>
      <c r="I1818">
        <v>0</v>
      </c>
      <c r="J1818">
        <v>0</v>
      </c>
      <c r="K1818">
        <v>72.2</v>
      </c>
      <c r="L1818">
        <v>71</v>
      </c>
      <c r="M1818">
        <v>83.5</v>
      </c>
      <c r="N1818">
        <v>29</v>
      </c>
      <c r="O1818">
        <v>5</v>
      </c>
      <c r="P1818">
        <f>MOD(DAY(datos_siembra[[#This Row],[Date]]),7)</f>
        <v>1</v>
      </c>
      <c r="Q1818" t="str">
        <f>CHOOSE(WEEKDAY(datos_siembra[[#This Row],[Date]],2),"L","M","X","J","V","S","D")</f>
        <v>D</v>
      </c>
      <c r="R1818">
        <f>WEEKNUM(datos_siembra[[#This Row],[Date]],2)-WEEKNUM(DATE(YEAR(datos_siembra[[#This Row],[Date]]),MONTH(datos_siembra[[#This Row],[Date]]),1))+1</f>
        <v>4</v>
      </c>
      <c r="S1818">
        <f>MONTH(datos_siembra[[#This Row],[Date]])</f>
        <v>9</v>
      </c>
      <c r="T1818" t="str" cm="1">
        <f t="array" ref="T1818">_xlfn.IFS(AND(N1818&lt;= 22, S1818=9), "SOWING",AND(N1818&lt;= 28, S1818=9), "COVERAGE",AND(N1818&lt;= 30, S1818=9), "FLUSH",AND(N1818&lt;= 11, S1818=10), "FLUSH",AND(N1818&lt;= 21, S1818=10), "PRODUCTION")</f>
        <v>FLUSH</v>
      </c>
      <c r="U1818">
        <f>HOUR(datos_siembra[[#This Row],[Hour]])</f>
        <v>7</v>
      </c>
      <c r="V1818" cm="1">
        <f t="array" ref="V1818">_xlfn.IFS(AND(N1818&lt;= 22, S1818=9), N1818-7,AND(N1818&lt;= 28, S1818=9), N1818-25,AND(N1818&lt;= 30, S1818=9), N1818-28,AND(N1818&lt;= 11, S1818=10), N1818+2,AND(N1818&lt;= 21, S1818=10), N1818-11)</f>
        <v>1</v>
      </c>
    </row>
    <row r="1819" spans="1:22" x14ac:dyDescent="0.35">
      <c r="A1819" s="4">
        <v>45564</v>
      </c>
      <c r="B1819" s="5">
        <v>0.32251157407407405</v>
      </c>
      <c r="C1819">
        <v>84.3</v>
      </c>
      <c r="D1819">
        <v>81.400000000000006</v>
      </c>
      <c r="E1819">
        <v>85.6</v>
      </c>
      <c r="F1819">
        <v>82.5</v>
      </c>
      <c r="G1819">
        <v>0</v>
      </c>
      <c r="H1819">
        <v>0</v>
      </c>
      <c r="I1819">
        <v>0</v>
      </c>
      <c r="J1819">
        <v>0</v>
      </c>
      <c r="K1819">
        <v>72.099999999999994</v>
      </c>
      <c r="L1819">
        <v>70.900000000000006</v>
      </c>
      <c r="M1819">
        <v>83.41</v>
      </c>
      <c r="N1819">
        <v>29</v>
      </c>
      <c r="O1819">
        <v>5</v>
      </c>
      <c r="P1819">
        <f>MOD(DAY(datos_siembra[[#This Row],[Date]]),7)</f>
        <v>1</v>
      </c>
      <c r="Q1819" t="str">
        <f>CHOOSE(WEEKDAY(datos_siembra[[#This Row],[Date]],2),"L","M","X","J","V","S","D")</f>
        <v>D</v>
      </c>
      <c r="R1819">
        <f>WEEKNUM(datos_siembra[[#This Row],[Date]],2)-WEEKNUM(DATE(YEAR(datos_siembra[[#This Row],[Date]]),MONTH(datos_siembra[[#This Row],[Date]]),1))+1</f>
        <v>4</v>
      </c>
      <c r="S1819">
        <f>MONTH(datos_siembra[[#This Row],[Date]])</f>
        <v>9</v>
      </c>
      <c r="T1819" t="str" cm="1">
        <f t="array" ref="T1819">_xlfn.IFS(AND(N1819&lt;= 22, S1819=9), "SOWING",AND(N1819&lt;= 28, S1819=9), "COVERAGE",AND(N1819&lt;= 30, S1819=9), "FLUSH",AND(N1819&lt;= 11, S1819=10), "FLUSH",AND(N1819&lt;= 21, S1819=10), "PRODUCTION")</f>
        <v>FLUSH</v>
      </c>
      <c r="U1819">
        <f>HOUR(datos_siembra[[#This Row],[Hour]])</f>
        <v>7</v>
      </c>
      <c r="V1819" cm="1">
        <f t="array" ref="V1819">_xlfn.IFS(AND(N1819&lt;= 22, S1819=9), N1819-7,AND(N1819&lt;= 28, S1819=9), N1819-25,AND(N1819&lt;= 30, S1819=9), N1819-28,AND(N1819&lt;= 11, S1819=10), N1819+2,AND(N1819&lt;= 21, S1819=10), N1819-11)</f>
        <v>1</v>
      </c>
    </row>
    <row r="1820" spans="1:22" x14ac:dyDescent="0.35">
      <c r="A1820" s="4">
        <v>45564</v>
      </c>
      <c r="B1820" s="5">
        <v>0.32946759259259262</v>
      </c>
      <c r="C1820">
        <v>84.3</v>
      </c>
      <c r="D1820">
        <v>81.5</v>
      </c>
      <c r="E1820">
        <v>85.6</v>
      </c>
      <c r="F1820">
        <v>82.5</v>
      </c>
      <c r="G1820">
        <v>0</v>
      </c>
      <c r="H1820">
        <v>0</v>
      </c>
      <c r="I1820">
        <v>0</v>
      </c>
      <c r="J1820">
        <v>0</v>
      </c>
      <c r="K1820">
        <v>71.3</v>
      </c>
      <c r="L1820">
        <v>69.8</v>
      </c>
      <c r="M1820">
        <v>83.44</v>
      </c>
      <c r="N1820">
        <v>29</v>
      </c>
      <c r="O1820">
        <v>5</v>
      </c>
      <c r="P1820">
        <f>MOD(DAY(datos_siembra[[#This Row],[Date]]),7)</f>
        <v>1</v>
      </c>
      <c r="Q1820" t="str">
        <f>CHOOSE(WEEKDAY(datos_siembra[[#This Row],[Date]],2),"L","M","X","J","V","S","D")</f>
        <v>D</v>
      </c>
      <c r="R1820">
        <f>WEEKNUM(datos_siembra[[#This Row],[Date]],2)-WEEKNUM(DATE(YEAR(datos_siembra[[#This Row],[Date]]),MONTH(datos_siembra[[#This Row],[Date]]),1))+1</f>
        <v>4</v>
      </c>
      <c r="S1820">
        <f>MONTH(datos_siembra[[#This Row],[Date]])</f>
        <v>9</v>
      </c>
      <c r="T1820" t="str" cm="1">
        <f t="array" ref="T1820">_xlfn.IFS(AND(N1820&lt;= 22, S1820=9), "SOWING",AND(N1820&lt;= 28, S1820=9), "COVERAGE",AND(N1820&lt;= 30, S1820=9), "FLUSH",AND(N1820&lt;= 11, S1820=10), "FLUSH",AND(N1820&lt;= 21, S1820=10), "PRODUCTION")</f>
        <v>FLUSH</v>
      </c>
      <c r="U1820">
        <f>HOUR(datos_siembra[[#This Row],[Hour]])</f>
        <v>7</v>
      </c>
      <c r="V1820" cm="1">
        <f t="array" ref="V1820">_xlfn.IFS(AND(N1820&lt;= 22, S1820=9), N1820-7,AND(N1820&lt;= 28, S1820=9), N1820-25,AND(N1820&lt;= 30, S1820=9), N1820-28,AND(N1820&lt;= 11, S1820=10), N1820+2,AND(N1820&lt;= 21, S1820=10), N1820-11)</f>
        <v>1</v>
      </c>
    </row>
    <row r="1821" spans="1:22" x14ac:dyDescent="0.35">
      <c r="A1821" s="4">
        <v>45564</v>
      </c>
      <c r="B1821" s="5">
        <v>0.33641203703703704</v>
      </c>
      <c r="C1821">
        <v>84.3</v>
      </c>
      <c r="D1821">
        <v>81.3</v>
      </c>
      <c r="E1821">
        <v>85.4</v>
      </c>
      <c r="F1821">
        <v>82.4</v>
      </c>
      <c r="G1821">
        <v>0</v>
      </c>
      <c r="H1821">
        <v>0</v>
      </c>
      <c r="I1821">
        <v>0</v>
      </c>
      <c r="J1821">
        <v>0</v>
      </c>
      <c r="K1821">
        <v>70.8</v>
      </c>
      <c r="L1821">
        <v>69.5</v>
      </c>
      <c r="M1821">
        <v>83.41</v>
      </c>
      <c r="N1821">
        <v>29</v>
      </c>
      <c r="O1821">
        <v>5</v>
      </c>
      <c r="P1821">
        <f>MOD(DAY(datos_siembra[[#This Row],[Date]]),7)</f>
        <v>1</v>
      </c>
      <c r="Q1821" t="str">
        <f>CHOOSE(WEEKDAY(datos_siembra[[#This Row],[Date]],2),"L","M","X","J","V","S","D")</f>
        <v>D</v>
      </c>
      <c r="R1821">
        <f>WEEKNUM(datos_siembra[[#This Row],[Date]],2)-WEEKNUM(DATE(YEAR(datos_siembra[[#This Row],[Date]]),MONTH(datos_siembra[[#This Row],[Date]]),1))+1</f>
        <v>4</v>
      </c>
      <c r="S1821">
        <f>MONTH(datos_siembra[[#This Row],[Date]])</f>
        <v>9</v>
      </c>
      <c r="T1821" t="str" cm="1">
        <f t="array" ref="T1821">_xlfn.IFS(AND(N1821&lt;= 22, S1821=9), "SOWING",AND(N1821&lt;= 28, S1821=9), "COVERAGE",AND(N1821&lt;= 30, S1821=9), "FLUSH",AND(N1821&lt;= 11, S1821=10), "FLUSH",AND(N1821&lt;= 21, S1821=10), "PRODUCTION")</f>
        <v>FLUSH</v>
      </c>
      <c r="U1821">
        <f>HOUR(datos_siembra[[#This Row],[Hour]])</f>
        <v>8</v>
      </c>
      <c r="V1821" cm="1">
        <f t="array" ref="V1821">_xlfn.IFS(AND(N1821&lt;= 22, S1821=9), N1821-7,AND(N1821&lt;= 28, S1821=9), N1821-25,AND(N1821&lt;= 30, S1821=9), N1821-28,AND(N1821&lt;= 11, S1821=10), N1821+2,AND(N1821&lt;= 21, S1821=10), N1821-11)</f>
        <v>1</v>
      </c>
    </row>
    <row r="1822" spans="1:22" x14ac:dyDescent="0.35">
      <c r="A1822" s="4">
        <v>45564</v>
      </c>
      <c r="B1822" s="5">
        <v>0.34335648148148146</v>
      </c>
      <c r="C1822">
        <v>84.2</v>
      </c>
      <c r="D1822">
        <v>81.400000000000006</v>
      </c>
      <c r="E1822">
        <v>85.4</v>
      </c>
      <c r="F1822">
        <v>82.6</v>
      </c>
      <c r="G1822">
        <v>0</v>
      </c>
      <c r="H1822">
        <v>0</v>
      </c>
      <c r="I1822">
        <v>0</v>
      </c>
      <c r="J1822">
        <v>0</v>
      </c>
      <c r="K1822">
        <v>70.599999999999994</v>
      </c>
      <c r="L1822">
        <v>69.400000000000006</v>
      </c>
      <c r="M1822">
        <v>83.38</v>
      </c>
      <c r="N1822">
        <v>29</v>
      </c>
      <c r="O1822">
        <v>5</v>
      </c>
      <c r="P1822">
        <f>MOD(DAY(datos_siembra[[#This Row],[Date]]),7)</f>
        <v>1</v>
      </c>
      <c r="Q1822" t="str">
        <f>CHOOSE(WEEKDAY(datos_siembra[[#This Row],[Date]],2),"L","M","X","J","V","S","D")</f>
        <v>D</v>
      </c>
      <c r="R1822">
        <f>WEEKNUM(datos_siembra[[#This Row],[Date]],2)-WEEKNUM(DATE(YEAR(datos_siembra[[#This Row],[Date]]),MONTH(datos_siembra[[#This Row],[Date]]),1))+1</f>
        <v>4</v>
      </c>
      <c r="S1822">
        <f>MONTH(datos_siembra[[#This Row],[Date]])</f>
        <v>9</v>
      </c>
      <c r="T1822" t="str" cm="1">
        <f t="array" ref="T1822">_xlfn.IFS(AND(N1822&lt;= 22, S1822=9), "SOWING",AND(N1822&lt;= 28, S1822=9), "COVERAGE",AND(N1822&lt;= 30, S1822=9), "FLUSH",AND(N1822&lt;= 11, S1822=10), "FLUSH",AND(N1822&lt;= 21, S1822=10), "PRODUCTION")</f>
        <v>FLUSH</v>
      </c>
      <c r="U1822">
        <f>HOUR(datos_siembra[[#This Row],[Hour]])</f>
        <v>8</v>
      </c>
      <c r="V1822" cm="1">
        <f t="array" ref="V1822">_xlfn.IFS(AND(N1822&lt;= 22, S1822=9), N1822-7,AND(N1822&lt;= 28, S1822=9), N1822-25,AND(N1822&lt;= 30, S1822=9), N1822-28,AND(N1822&lt;= 11, S1822=10), N1822+2,AND(N1822&lt;= 21, S1822=10), N1822-11)</f>
        <v>1</v>
      </c>
    </row>
    <row r="1823" spans="1:22" x14ac:dyDescent="0.35">
      <c r="A1823" s="4">
        <v>45564</v>
      </c>
      <c r="B1823" s="5">
        <v>0.35030092592592593</v>
      </c>
      <c r="C1823">
        <v>84.2</v>
      </c>
      <c r="D1823">
        <v>81.400000000000006</v>
      </c>
      <c r="E1823">
        <v>85.6</v>
      </c>
      <c r="F1823">
        <v>82.4</v>
      </c>
      <c r="G1823">
        <v>0</v>
      </c>
      <c r="H1823">
        <v>0</v>
      </c>
      <c r="I1823">
        <v>0</v>
      </c>
      <c r="J1823">
        <v>0</v>
      </c>
      <c r="K1823">
        <v>70.400000000000006</v>
      </c>
      <c r="L1823">
        <v>69.099999999999994</v>
      </c>
      <c r="M1823">
        <v>83.38</v>
      </c>
      <c r="N1823">
        <v>29</v>
      </c>
      <c r="O1823">
        <v>5</v>
      </c>
      <c r="P1823">
        <f>MOD(DAY(datos_siembra[[#This Row],[Date]]),7)</f>
        <v>1</v>
      </c>
      <c r="Q1823" t="str">
        <f>CHOOSE(WEEKDAY(datos_siembra[[#This Row],[Date]],2),"L","M","X","J","V","S","D")</f>
        <v>D</v>
      </c>
      <c r="R1823">
        <f>WEEKNUM(datos_siembra[[#This Row],[Date]],2)-WEEKNUM(DATE(YEAR(datos_siembra[[#This Row],[Date]]),MONTH(datos_siembra[[#This Row],[Date]]),1))+1</f>
        <v>4</v>
      </c>
      <c r="S1823">
        <f>MONTH(datos_siembra[[#This Row],[Date]])</f>
        <v>9</v>
      </c>
      <c r="T1823" t="str" cm="1">
        <f t="array" ref="T1823">_xlfn.IFS(AND(N1823&lt;= 22, S1823=9), "SOWING",AND(N1823&lt;= 28, S1823=9), "COVERAGE",AND(N1823&lt;= 30, S1823=9), "FLUSH",AND(N1823&lt;= 11, S1823=10), "FLUSH",AND(N1823&lt;= 21, S1823=10), "PRODUCTION")</f>
        <v>FLUSH</v>
      </c>
      <c r="U1823">
        <f>HOUR(datos_siembra[[#This Row],[Hour]])</f>
        <v>8</v>
      </c>
      <c r="V1823" cm="1">
        <f t="array" ref="V1823">_xlfn.IFS(AND(N1823&lt;= 22, S1823=9), N1823-7,AND(N1823&lt;= 28, S1823=9), N1823-25,AND(N1823&lt;= 30, S1823=9), N1823-28,AND(N1823&lt;= 11, S1823=10), N1823+2,AND(N1823&lt;= 21, S1823=10), N1823-11)</f>
        <v>1</v>
      </c>
    </row>
    <row r="1824" spans="1:22" x14ac:dyDescent="0.35">
      <c r="A1824" s="4">
        <v>45564</v>
      </c>
      <c r="B1824" s="5">
        <v>0.35725694444444445</v>
      </c>
      <c r="C1824">
        <v>84.3</v>
      </c>
      <c r="D1824">
        <v>81.3</v>
      </c>
      <c r="E1824">
        <v>85.4</v>
      </c>
      <c r="F1824">
        <v>82.5</v>
      </c>
      <c r="G1824">
        <v>0</v>
      </c>
      <c r="H1824">
        <v>0</v>
      </c>
      <c r="I1824">
        <v>0</v>
      </c>
      <c r="J1824">
        <v>0</v>
      </c>
      <c r="K1824">
        <v>70.400000000000006</v>
      </c>
      <c r="L1824">
        <v>69.099999999999994</v>
      </c>
      <c r="M1824">
        <v>83.3</v>
      </c>
      <c r="N1824">
        <v>29</v>
      </c>
      <c r="O1824">
        <v>5</v>
      </c>
      <c r="P1824">
        <f>MOD(DAY(datos_siembra[[#This Row],[Date]]),7)</f>
        <v>1</v>
      </c>
      <c r="Q1824" t="str">
        <f>CHOOSE(WEEKDAY(datos_siembra[[#This Row],[Date]],2),"L","M","X","J","V","S","D")</f>
        <v>D</v>
      </c>
      <c r="R1824">
        <f>WEEKNUM(datos_siembra[[#This Row],[Date]],2)-WEEKNUM(DATE(YEAR(datos_siembra[[#This Row],[Date]]),MONTH(datos_siembra[[#This Row],[Date]]),1))+1</f>
        <v>4</v>
      </c>
      <c r="S1824">
        <f>MONTH(datos_siembra[[#This Row],[Date]])</f>
        <v>9</v>
      </c>
      <c r="T1824" t="str" cm="1">
        <f t="array" ref="T1824">_xlfn.IFS(AND(N1824&lt;= 22, S1824=9), "SOWING",AND(N1824&lt;= 28, S1824=9), "COVERAGE",AND(N1824&lt;= 30, S1824=9), "FLUSH",AND(N1824&lt;= 11, S1824=10), "FLUSH",AND(N1824&lt;= 21, S1824=10), "PRODUCTION")</f>
        <v>FLUSH</v>
      </c>
      <c r="U1824">
        <f>HOUR(datos_siembra[[#This Row],[Hour]])</f>
        <v>8</v>
      </c>
      <c r="V1824" cm="1">
        <f t="array" ref="V1824">_xlfn.IFS(AND(N1824&lt;= 22, S1824=9), N1824-7,AND(N1824&lt;= 28, S1824=9), N1824-25,AND(N1824&lt;= 30, S1824=9), N1824-28,AND(N1824&lt;= 11, S1824=10), N1824+2,AND(N1824&lt;= 21, S1824=10), N1824-11)</f>
        <v>1</v>
      </c>
    </row>
    <row r="1825" spans="1:22" x14ac:dyDescent="0.35">
      <c r="A1825" s="4">
        <v>45564</v>
      </c>
      <c r="B1825" s="5">
        <v>0.36420138888888887</v>
      </c>
      <c r="C1825">
        <v>84.2</v>
      </c>
      <c r="D1825">
        <v>81.3</v>
      </c>
      <c r="E1825">
        <v>85.3</v>
      </c>
      <c r="F1825">
        <v>82.2</v>
      </c>
      <c r="G1825">
        <v>0</v>
      </c>
      <c r="H1825">
        <v>0</v>
      </c>
      <c r="I1825">
        <v>0</v>
      </c>
      <c r="J1825">
        <v>0</v>
      </c>
      <c r="K1825">
        <v>70.3</v>
      </c>
      <c r="L1825">
        <v>69</v>
      </c>
      <c r="M1825">
        <v>83.27</v>
      </c>
      <c r="N1825">
        <v>29</v>
      </c>
      <c r="O1825">
        <v>5</v>
      </c>
      <c r="P1825">
        <f>MOD(DAY(datos_siembra[[#This Row],[Date]]),7)</f>
        <v>1</v>
      </c>
      <c r="Q1825" t="str">
        <f>CHOOSE(WEEKDAY(datos_siembra[[#This Row],[Date]],2),"L","M","X","J","V","S","D")</f>
        <v>D</v>
      </c>
      <c r="R1825">
        <f>WEEKNUM(datos_siembra[[#This Row],[Date]],2)-WEEKNUM(DATE(YEAR(datos_siembra[[#This Row],[Date]]),MONTH(datos_siembra[[#This Row],[Date]]),1))+1</f>
        <v>4</v>
      </c>
      <c r="S1825">
        <f>MONTH(datos_siembra[[#This Row],[Date]])</f>
        <v>9</v>
      </c>
      <c r="T1825" t="str" cm="1">
        <f t="array" ref="T1825">_xlfn.IFS(AND(N1825&lt;= 22, S1825=9), "SOWING",AND(N1825&lt;= 28, S1825=9), "COVERAGE",AND(N1825&lt;= 30, S1825=9), "FLUSH",AND(N1825&lt;= 11, S1825=10), "FLUSH",AND(N1825&lt;= 21, S1825=10), "PRODUCTION")</f>
        <v>FLUSH</v>
      </c>
      <c r="U1825">
        <f>HOUR(datos_siembra[[#This Row],[Hour]])</f>
        <v>8</v>
      </c>
      <c r="V1825" cm="1">
        <f t="array" ref="V1825">_xlfn.IFS(AND(N1825&lt;= 22, S1825=9), N1825-7,AND(N1825&lt;= 28, S1825=9), N1825-25,AND(N1825&lt;= 30, S1825=9), N1825-28,AND(N1825&lt;= 11, S1825=10), N1825+2,AND(N1825&lt;= 21, S1825=10), N1825-11)</f>
        <v>1</v>
      </c>
    </row>
    <row r="1826" spans="1:22" x14ac:dyDescent="0.35">
      <c r="A1826" s="4">
        <v>45564</v>
      </c>
      <c r="B1826" s="5">
        <v>0.37114583333333334</v>
      </c>
      <c r="C1826">
        <v>84.2</v>
      </c>
      <c r="D1826">
        <v>81.3</v>
      </c>
      <c r="E1826">
        <v>85.6</v>
      </c>
      <c r="F1826">
        <v>82.2</v>
      </c>
      <c r="G1826">
        <v>0</v>
      </c>
      <c r="H1826">
        <v>0</v>
      </c>
      <c r="I1826">
        <v>0</v>
      </c>
      <c r="J1826">
        <v>0</v>
      </c>
      <c r="K1826">
        <v>70.099999999999994</v>
      </c>
      <c r="L1826">
        <v>69</v>
      </c>
      <c r="M1826">
        <v>83.19</v>
      </c>
      <c r="N1826">
        <v>29</v>
      </c>
      <c r="O1826">
        <v>5</v>
      </c>
      <c r="P1826">
        <f>MOD(DAY(datos_siembra[[#This Row],[Date]]),7)</f>
        <v>1</v>
      </c>
      <c r="Q1826" t="str">
        <f>CHOOSE(WEEKDAY(datos_siembra[[#This Row],[Date]],2),"L","M","X","J","V","S","D")</f>
        <v>D</v>
      </c>
      <c r="R1826">
        <f>WEEKNUM(datos_siembra[[#This Row],[Date]],2)-WEEKNUM(DATE(YEAR(datos_siembra[[#This Row],[Date]]),MONTH(datos_siembra[[#This Row],[Date]]),1))+1</f>
        <v>4</v>
      </c>
      <c r="S1826">
        <f>MONTH(datos_siembra[[#This Row],[Date]])</f>
        <v>9</v>
      </c>
      <c r="T1826" t="str" cm="1">
        <f t="array" ref="T1826">_xlfn.IFS(AND(N1826&lt;= 22, S1826=9), "SOWING",AND(N1826&lt;= 28, S1826=9), "COVERAGE",AND(N1826&lt;= 30, S1826=9), "FLUSH",AND(N1826&lt;= 11, S1826=10), "FLUSH",AND(N1826&lt;= 21, S1826=10), "PRODUCTION")</f>
        <v>FLUSH</v>
      </c>
      <c r="U1826">
        <f>HOUR(datos_siembra[[#This Row],[Hour]])</f>
        <v>8</v>
      </c>
      <c r="V1826" cm="1">
        <f t="array" ref="V1826">_xlfn.IFS(AND(N1826&lt;= 22, S1826=9), N1826-7,AND(N1826&lt;= 28, S1826=9), N1826-25,AND(N1826&lt;= 30, S1826=9), N1826-28,AND(N1826&lt;= 11, S1826=10), N1826+2,AND(N1826&lt;= 21, S1826=10), N1826-11)</f>
        <v>1</v>
      </c>
    </row>
    <row r="1827" spans="1:22" x14ac:dyDescent="0.35">
      <c r="A1827" s="4">
        <v>45564</v>
      </c>
      <c r="B1827" s="5">
        <v>0.37810185185185186</v>
      </c>
      <c r="C1827">
        <v>84.1</v>
      </c>
      <c r="D1827">
        <v>81.5</v>
      </c>
      <c r="E1827">
        <v>85.3</v>
      </c>
      <c r="F1827">
        <v>82.3</v>
      </c>
      <c r="G1827">
        <v>0</v>
      </c>
      <c r="H1827">
        <v>0</v>
      </c>
      <c r="I1827">
        <v>0</v>
      </c>
      <c r="J1827">
        <v>0</v>
      </c>
      <c r="K1827">
        <v>70</v>
      </c>
      <c r="L1827">
        <v>68.8</v>
      </c>
      <c r="M1827">
        <v>83.24</v>
      </c>
      <c r="N1827">
        <v>29</v>
      </c>
      <c r="O1827">
        <v>5</v>
      </c>
      <c r="P1827">
        <f>MOD(DAY(datos_siembra[[#This Row],[Date]]),7)</f>
        <v>1</v>
      </c>
      <c r="Q1827" t="str">
        <f>CHOOSE(WEEKDAY(datos_siembra[[#This Row],[Date]],2),"L","M","X","J","V","S","D")</f>
        <v>D</v>
      </c>
      <c r="R1827">
        <f>WEEKNUM(datos_siembra[[#This Row],[Date]],2)-WEEKNUM(DATE(YEAR(datos_siembra[[#This Row],[Date]]),MONTH(datos_siembra[[#This Row],[Date]]),1))+1</f>
        <v>4</v>
      </c>
      <c r="S1827">
        <f>MONTH(datos_siembra[[#This Row],[Date]])</f>
        <v>9</v>
      </c>
      <c r="T1827" t="str" cm="1">
        <f t="array" ref="T1827">_xlfn.IFS(AND(N1827&lt;= 22, S1827=9), "SOWING",AND(N1827&lt;= 28, S1827=9), "COVERAGE",AND(N1827&lt;= 30, S1827=9), "FLUSH",AND(N1827&lt;= 11, S1827=10), "FLUSH",AND(N1827&lt;= 21, S1827=10), "PRODUCTION")</f>
        <v>FLUSH</v>
      </c>
      <c r="U1827">
        <f>HOUR(datos_siembra[[#This Row],[Hour]])</f>
        <v>9</v>
      </c>
      <c r="V1827" cm="1">
        <f t="array" ref="V1827">_xlfn.IFS(AND(N1827&lt;= 22, S1827=9), N1827-7,AND(N1827&lt;= 28, S1827=9), N1827-25,AND(N1827&lt;= 30, S1827=9), N1827-28,AND(N1827&lt;= 11, S1827=10), N1827+2,AND(N1827&lt;= 21, S1827=10), N1827-11)</f>
        <v>1</v>
      </c>
    </row>
    <row r="1828" spans="1:22" x14ac:dyDescent="0.35">
      <c r="A1828" s="4">
        <v>45564</v>
      </c>
      <c r="B1828" s="5">
        <v>0.38504629629629628</v>
      </c>
      <c r="C1828">
        <v>84.1</v>
      </c>
      <c r="D1828">
        <v>81.400000000000006</v>
      </c>
      <c r="E1828">
        <v>85.3</v>
      </c>
      <c r="F1828">
        <v>82.3</v>
      </c>
      <c r="G1828">
        <v>0</v>
      </c>
      <c r="H1828">
        <v>0</v>
      </c>
      <c r="I1828">
        <v>0</v>
      </c>
      <c r="J1828">
        <v>0</v>
      </c>
      <c r="K1828">
        <v>69.900000000000006</v>
      </c>
      <c r="L1828">
        <v>68.7</v>
      </c>
      <c r="M1828">
        <v>83.24</v>
      </c>
      <c r="N1828">
        <v>29</v>
      </c>
      <c r="O1828">
        <v>5</v>
      </c>
      <c r="P1828">
        <f>MOD(DAY(datos_siembra[[#This Row],[Date]]),7)</f>
        <v>1</v>
      </c>
      <c r="Q1828" t="str">
        <f>CHOOSE(WEEKDAY(datos_siembra[[#This Row],[Date]],2),"L","M","X","J","V","S","D")</f>
        <v>D</v>
      </c>
      <c r="R1828">
        <f>WEEKNUM(datos_siembra[[#This Row],[Date]],2)-WEEKNUM(DATE(YEAR(datos_siembra[[#This Row],[Date]]),MONTH(datos_siembra[[#This Row],[Date]]),1))+1</f>
        <v>4</v>
      </c>
      <c r="S1828">
        <f>MONTH(datos_siembra[[#This Row],[Date]])</f>
        <v>9</v>
      </c>
      <c r="T1828" t="str" cm="1">
        <f t="array" ref="T1828">_xlfn.IFS(AND(N1828&lt;= 22, S1828=9), "SOWING",AND(N1828&lt;= 28, S1828=9), "COVERAGE",AND(N1828&lt;= 30, S1828=9), "FLUSH",AND(N1828&lt;= 11, S1828=10), "FLUSH",AND(N1828&lt;= 21, S1828=10), "PRODUCTION")</f>
        <v>FLUSH</v>
      </c>
      <c r="U1828">
        <f>HOUR(datos_siembra[[#This Row],[Hour]])</f>
        <v>9</v>
      </c>
      <c r="V1828" cm="1">
        <f t="array" ref="V1828">_xlfn.IFS(AND(N1828&lt;= 22, S1828=9), N1828-7,AND(N1828&lt;= 28, S1828=9), N1828-25,AND(N1828&lt;= 30, S1828=9), N1828-28,AND(N1828&lt;= 11, S1828=10), N1828+2,AND(N1828&lt;= 21, S1828=10), N1828-11)</f>
        <v>1</v>
      </c>
    </row>
    <row r="1829" spans="1:22" x14ac:dyDescent="0.35">
      <c r="A1829" s="4">
        <v>45564</v>
      </c>
      <c r="B1829" s="5">
        <v>0.39199074074074075</v>
      </c>
      <c r="C1829">
        <v>84.2</v>
      </c>
      <c r="D1829">
        <v>81.2</v>
      </c>
      <c r="E1829">
        <v>85.3</v>
      </c>
      <c r="F1829">
        <v>82.3</v>
      </c>
      <c r="G1829">
        <v>0</v>
      </c>
      <c r="H1829">
        <v>0</v>
      </c>
      <c r="I1829">
        <v>0</v>
      </c>
      <c r="J1829">
        <v>0</v>
      </c>
      <c r="K1829">
        <v>69.8</v>
      </c>
      <c r="L1829">
        <v>68.599999999999994</v>
      </c>
      <c r="M1829">
        <v>83.22</v>
      </c>
      <c r="N1829">
        <v>29</v>
      </c>
      <c r="O1829">
        <v>5</v>
      </c>
      <c r="P1829">
        <f>MOD(DAY(datos_siembra[[#This Row],[Date]]),7)</f>
        <v>1</v>
      </c>
      <c r="Q1829" t="str">
        <f>CHOOSE(WEEKDAY(datos_siembra[[#This Row],[Date]],2),"L","M","X","J","V","S","D")</f>
        <v>D</v>
      </c>
      <c r="R1829">
        <f>WEEKNUM(datos_siembra[[#This Row],[Date]],2)-WEEKNUM(DATE(YEAR(datos_siembra[[#This Row],[Date]]),MONTH(datos_siembra[[#This Row],[Date]]),1))+1</f>
        <v>4</v>
      </c>
      <c r="S1829">
        <f>MONTH(datos_siembra[[#This Row],[Date]])</f>
        <v>9</v>
      </c>
      <c r="T1829" t="str" cm="1">
        <f t="array" ref="T1829">_xlfn.IFS(AND(N1829&lt;= 22, S1829=9), "SOWING",AND(N1829&lt;= 28, S1829=9), "COVERAGE",AND(N1829&lt;= 30, S1829=9), "FLUSH",AND(N1829&lt;= 11, S1829=10), "FLUSH",AND(N1829&lt;= 21, S1829=10), "PRODUCTION")</f>
        <v>FLUSH</v>
      </c>
      <c r="U1829">
        <f>HOUR(datos_siembra[[#This Row],[Hour]])</f>
        <v>9</v>
      </c>
      <c r="V1829" cm="1">
        <f t="array" ref="V1829">_xlfn.IFS(AND(N1829&lt;= 22, S1829=9), N1829-7,AND(N1829&lt;= 28, S1829=9), N1829-25,AND(N1829&lt;= 30, S1829=9), N1829-28,AND(N1829&lt;= 11, S1829=10), N1829+2,AND(N1829&lt;= 21, S1829=10), N1829-11)</f>
        <v>1</v>
      </c>
    </row>
    <row r="1830" spans="1:22" x14ac:dyDescent="0.35">
      <c r="A1830" s="4">
        <v>45564</v>
      </c>
      <c r="B1830" s="5">
        <v>0.39893518518518517</v>
      </c>
      <c r="C1830">
        <v>84.1</v>
      </c>
      <c r="D1830">
        <v>81.2</v>
      </c>
      <c r="E1830">
        <v>85.2</v>
      </c>
      <c r="F1830">
        <v>82.2</v>
      </c>
      <c r="G1830">
        <v>0</v>
      </c>
      <c r="H1830">
        <v>0</v>
      </c>
      <c r="I1830">
        <v>0</v>
      </c>
      <c r="J1830">
        <v>0</v>
      </c>
      <c r="K1830">
        <v>69.8</v>
      </c>
      <c r="L1830">
        <v>68.599999999999994</v>
      </c>
      <c r="M1830">
        <v>83.27</v>
      </c>
      <c r="N1830">
        <v>29</v>
      </c>
      <c r="O1830">
        <v>5</v>
      </c>
      <c r="P1830">
        <f>MOD(DAY(datos_siembra[[#This Row],[Date]]),7)</f>
        <v>1</v>
      </c>
      <c r="Q1830" t="str">
        <f>CHOOSE(WEEKDAY(datos_siembra[[#This Row],[Date]],2),"L","M","X","J","V","S","D")</f>
        <v>D</v>
      </c>
      <c r="R1830">
        <f>WEEKNUM(datos_siembra[[#This Row],[Date]],2)-WEEKNUM(DATE(YEAR(datos_siembra[[#This Row],[Date]]),MONTH(datos_siembra[[#This Row],[Date]]),1))+1</f>
        <v>4</v>
      </c>
      <c r="S1830">
        <f>MONTH(datos_siembra[[#This Row],[Date]])</f>
        <v>9</v>
      </c>
      <c r="T1830" t="str" cm="1">
        <f t="array" ref="T1830">_xlfn.IFS(AND(N1830&lt;= 22, S1830=9), "SOWING",AND(N1830&lt;= 28, S1830=9), "COVERAGE",AND(N1830&lt;= 30, S1830=9), "FLUSH",AND(N1830&lt;= 11, S1830=10), "FLUSH",AND(N1830&lt;= 21, S1830=10), "PRODUCTION")</f>
        <v>FLUSH</v>
      </c>
      <c r="U1830">
        <f>HOUR(datos_siembra[[#This Row],[Hour]])</f>
        <v>9</v>
      </c>
      <c r="V1830" cm="1">
        <f t="array" ref="V1830">_xlfn.IFS(AND(N1830&lt;= 22, S1830=9), N1830-7,AND(N1830&lt;= 28, S1830=9), N1830-25,AND(N1830&lt;= 30, S1830=9), N1830-28,AND(N1830&lt;= 11, S1830=10), N1830+2,AND(N1830&lt;= 21, S1830=10), N1830-11)</f>
        <v>1</v>
      </c>
    </row>
    <row r="1831" spans="1:22" x14ac:dyDescent="0.35">
      <c r="A1831" s="4">
        <v>45564</v>
      </c>
      <c r="B1831" s="5">
        <v>0.40589120370370368</v>
      </c>
      <c r="C1831">
        <v>84.1</v>
      </c>
      <c r="D1831">
        <v>81.3</v>
      </c>
      <c r="E1831">
        <v>85.2</v>
      </c>
      <c r="F1831">
        <v>82.2</v>
      </c>
      <c r="G1831">
        <v>0</v>
      </c>
      <c r="H1831">
        <v>0</v>
      </c>
      <c r="I1831">
        <v>0</v>
      </c>
      <c r="J1831">
        <v>0</v>
      </c>
      <c r="K1831">
        <v>69.7</v>
      </c>
      <c r="L1831">
        <v>68.599999999999994</v>
      </c>
      <c r="M1831">
        <v>83.19</v>
      </c>
      <c r="N1831">
        <v>29</v>
      </c>
      <c r="O1831">
        <v>5</v>
      </c>
      <c r="P1831">
        <f>MOD(DAY(datos_siembra[[#This Row],[Date]]),7)</f>
        <v>1</v>
      </c>
      <c r="Q1831" t="str">
        <f>CHOOSE(WEEKDAY(datos_siembra[[#This Row],[Date]],2),"L","M","X","J","V","S","D")</f>
        <v>D</v>
      </c>
      <c r="R1831">
        <f>WEEKNUM(datos_siembra[[#This Row],[Date]],2)-WEEKNUM(DATE(YEAR(datos_siembra[[#This Row],[Date]]),MONTH(datos_siembra[[#This Row],[Date]]),1))+1</f>
        <v>4</v>
      </c>
      <c r="S1831">
        <f>MONTH(datos_siembra[[#This Row],[Date]])</f>
        <v>9</v>
      </c>
      <c r="T1831" t="str" cm="1">
        <f t="array" ref="T1831">_xlfn.IFS(AND(N1831&lt;= 22, S1831=9), "SOWING",AND(N1831&lt;= 28, S1831=9), "COVERAGE",AND(N1831&lt;= 30, S1831=9), "FLUSH",AND(N1831&lt;= 11, S1831=10), "FLUSH",AND(N1831&lt;= 21, S1831=10), "PRODUCTION")</f>
        <v>FLUSH</v>
      </c>
      <c r="U1831">
        <f>HOUR(datos_siembra[[#This Row],[Hour]])</f>
        <v>9</v>
      </c>
      <c r="V1831" cm="1">
        <f t="array" ref="V1831">_xlfn.IFS(AND(N1831&lt;= 22, S1831=9), N1831-7,AND(N1831&lt;= 28, S1831=9), N1831-25,AND(N1831&lt;= 30, S1831=9), N1831-28,AND(N1831&lt;= 11, S1831=10), N1831+2,AND(N1831&lt;= 21, S1831=10), N1831-11)</f>
        <v>1</v>
      </c>
    </row>
    <row r="1832" spans="1:22" x14ac:dyDescent="0.35">
      <c r="A1832" s="4">
        <v>45564</v>
      </c>
      <c r="B1832" s="5">
        <v>0.41283564814814816</v>
      </c>
      <c r="C1832">
        <v>84</v>
      </c>
      <c r="D1832">
        <v>81.099999999999994</v>
      </c>
      <c r="E1832">
        <v>85.1</v>
      </c>
      <c r="F1832">
        <v>82.1</v>
      </c>
      <c r="G1832">
        <v>0</v>
      </c>
      <c r="H1832">
        <v>0</v>
      </c>
      <c r="I1832">
        <v>0</v>
      </c>
      <c r="J1832">
        <v>0</v>
      </c>
      <c r="K1832">
        <v>69.7</v>
      </c>
      <c r="L1832">
        <v>68.5</v>
      </c>
      <c r="M1832">
        <v>83.19</v>
      </c>
      <c r="N1832">
        <v>29</v>
      </c>
      <c r="O1832">
        <v>5</v>
      </c>
      <c r="P1832">
        <f>MOD(DAY(datos_siembra[[#This Row],[Date]]),7)</f>
        <v>1</v>
      </c>
      <c r="Q1832" t="str">
        <f>CHOOSE(WEEKDAY(datos_siembra[[#This Row],[Date]],2),"L","M","X","J","V","S","D")</f>
        <v>D</v>
      </c>
      <c r="R1832">
        <f>WEEKNUM(datos_siembra[[#This Row],[Date]],2)-WEEKNUM(DATE(YEAR(datos_siembra[[#This Row],[Date]]),MONTH(datos_siembra[[#This Row],[Date]]),1))+1</f>
        <v>4</v>
      </c>
      <c r="S1832">
        <f>MONTH(datos_siembra[[#This Row],[Date]])</f>
        <v>9</v>
      </c>
      <c r="T1832" t="str" cm="1">
        <f t="array" ref="T1832">_xlfn.IFS(AND(N1832&lt;= 22, S1832=9), "SOWING",AND(N1832&lt;= 28, S1832=9), "COVERAGE",AND(N1832&lt;= 30, S1832=9), "FLUSH",AND(N1832&lt;= 11, S1832=10), "FLUSH",AND(N1832&lt;= 21, S1832=10), "PRODUCTION")</f>
        <v>FLUSH</v>
      </c>
      <c r="U1832">
        <f>HOUR(datos_siembra[[#This Row],[Hour]])</f>
        <v>9</v>
      </c>
      <c r="V1832" cm="1">
        <f t="array" ref="V1832">_xlfn.IFS(AND(N1832&lt;= 22, S1832=9), N1832-7,AND(N1832&lt;= 28, S1832=9), N1832-25,AND(N1832&lt;= 30, S1832=9), N1832-28,AND(N1832&lt;= 11, S1832=10), N1832+2,AND(N1832&lt;= 21, S1832=10), N1832-11)</f>
        <v>1</v>
      </c>
    </row>
    <row r="1833" spans="1:22" x14ac:dyDescent="0.35">
      <c r="A1833" s="4">
        <v>45564</v>
      </c>
      <c r="B1833" s="5">
        <v>0.41978009259259258</v>
      </c>
      <c r="C1833">
        <v>83.9</v>
      </c>
      <c r="D1833">
        <v>81.099999999999994</v>
      </c>
      <c r="E1833">
        <v>85</v>
      </c>
      <c r="F1833">
        <v>82.2</v>
      </c>
      <c r="G1833">
        <v>0</v>
      </c>
      <c r="H1833">
        <v>0</v>
      </c>
      <c r="I1833">
        <v>0</v>
      </c>
      <c r="J1833">
        <v>0</v>
      </c>
      <c r="K1833">
        <v>69.599999999999994</v>
      </c>
      <c r="L1833">
        <v>68.5</v>
      </c>
      <c r="M1833">
        <v>83.05</v>
      </c>
      <c r="N1833">
        <v>29</v>
      </c>
      <c r="O1833">
        <v>5</v>
      </c>
      <c r="P1833">
        <f>MOD(DAY(datos_siembra[[#This Row],[Date]]),7)</f>
        <v>1</v>
      </c>
      <c r="Q1833" t="str">
        <f>CHOOSE(WEEKDAY(datos_siembra[[#This Row],[Date]],2),"L","M","X","J","V","S","D")</f>
        <v>D</v>
      </c>
      <c r="R1833">
        <f>WEEKNUM(datos_siembra[[#This Row],[Date]],2)-WEEKNUM(DATE(YEAR(datos_siembra[[#This Row],[Date]]),MONTH(datos_siembra[[#This Row],[Date]]),1))+1</f>
        <v>4</v>
      </c>
      <c r="S1833">
        <f>MONTH(datos_siembra[[#This Row],[Date]])</f>
        <v>9</v>
      </c>
      <c r="T1833" t="str" cm="1">
        <f t="array" ref="T1833">_xlfn.IFS(AND(N1833&lt;= 22, S1833=9), "SOWING",AND(N1833&lt;= 28, S1833=9), "COVERAGE",AND(N1833&lt;= 30, S1833=9), "FLUSH",AND(N1833&lt;= 11, S1833=10), "FLUSH",AND(N1833&lt;= 21, S1833=10), "PRODUCTION")</f>
        <v>FLUSH</v>
      </c>
      <c r="U1833">
        <f>HOUR(datos_siembra[[#This Row],[Hour]])</f>
        <v>10</v>
      </c>
      <c r="V1833" cm="1">
        <f t="array" ref="V1833">_xlfn.IFS(AND(N1833&lt;= 22, S1833=9), N1833-7,AND(N1833&lt;= 28, S1833=9), N1833-25,AND(N1833&lt;= 30, S1833=9), N1833-28,AND(N1833&lt;= 11, S1833=10), N1833+2,AND(N1833&lt;= 21, S1833=10), N1833-11)</f>
        <v>1</v>
      </c>
    </row>
    <row r="1834" spans="1:22" x14ac:dyDescent="0.35">
      <c r="A1834" s="4">
        <v>45564</v>
      </c>
      <c r="B1834" s="5">
        <v>0.42673611111111109</v>
      </c>
      <c r="C1834">
        <v>83.9</v>
      </c>
      <c r="D1834">
        <v>81.2</v>
      </c>
      <c r="E1834">
        <v>85.2</v>
      </c>
      <c r="F1834">
        <v>82.1</v>
      </c>
      <c r="G1834">
        <v>0</v>
      </c>
      <c r="H1834">
        <v>0</v>
      </c>
      <c r="I1834">
        <v>0</v>
      </c>
      <c r="J1834">
        <v>0</v>
      </c>
      <c r="K1834">
        <v>69.599999999999994</v>
      </c>
      <c r="L1834">
        <v>68.5</v>
      </c>
      <c r="M1834">
        <v>83.07</v>
      </c>
      <c r="N1834">
        <v>29</v>
      </c>
      <c r="O1834">
        <v>5</v>
      </c>
      <c r="P1834">
        <f>MOD(DAY(datos_siembra[[#This Row],[Date]]),7)</f>
        <v>1</v>
      </c>
      <c r="Q1834" t="str">
        <f>CHOOSE(WEEKDAY(datos_siembra[[#This Row],[Date]],2),"L","M","X","J","V","S","D")</f>
        <v>D</v>
      </c>
      <c r="R1834">
        <f>WEEKNUM(datos_siembra[[#This Row],[Date]],2)-WEEKNUM(DATE(YEAR(datos_siembra[[#This Row],[Date]]),MONTH(datos_siembra[[#This Row],[Date]]),1))+1</f>
        <v>4</v>
      </c>
      <c r="S1834">
        <f>MONTH(datos_siembra[[#This Row],[Date]])</f>
        <v>9</v>
      </c>
      <c r="T1834" t="str" cm="1">
        <f t="array" ref="T1834">_xlfn.IFS(AND(N1834&lt;= 22, S1834=9), "SOWING",AND(N1834&lt;= 28, S1834=9), "COVERAGE",AND(N1834&lt;= 30, S1834=9), "FLUSH",AND(N1834&lt;= 11, S1834=10), "FLUSH",AND(N1834&lt;= 21, S1834=10), "PRODUCTION")</f>
        <v>FLUSH</v>
      </c>
      <c r="U1834">
        <f>HOUR(datos_siembra[[#This Row],[Hour]])</f>
        <v>10</v>
      </c>
      <c r="V1834" cm="1">
        <f t="array" ref="V1834">_xlfn.IFS(AND(N1834&lt;= 22, S1834=9), N1834-7,AND(N1834&lt;= 28, S1834=9), N1834-25,AND(N1834&lt;= 30, S1834=9), N1834-28,AND(N1834&lt;= 11, S1834=10), N1834+2,AND(N1834&lt;= 21, S1834=10), N1834-11)</f>
        <v>1</v>
      </c>
    </row>
    <row r="1835" spans="1:22" x14ac:dyDescent="0.35">
      <c r="A1835" s="4">
        <v>45564</v>
      </c>
      <c r="B1835" s="5">
        <v>0.43368055555555557</v>
      </c>
      <c r="C1835">
        <v>83.9</v>
      </c>
      <c r="D1835">
        <v>81.2</v>
      </c>
      <c r="E1835">
        <v>85.1</v>
      </c>
      <c r="F1835">
        <v>82</v>
      </c>
      <c r="G1835">
        <v>0</v>
      </c>
      <c r="H1835">
        <v>0</v>
      </c>
      <c r="I1835">
        <v>0</v>
      </c>
      <c r="J1835">
        <v>0</v>
      </c>
      <c r="K1835">
        <v>69.599999999999994</v>
      </c>
      <c r="L1835">
        <v>68.5</v>
      </c>
      <c r="M1835">
        <v>83.05</v>
      </c>
      <c r="N1835">
        <v>29</v>
      </c>
      <c r="O1835">
        <v>5</v>
      </c>
      <c r="P1835">
        <f>MOD(DAY(datos_siembra[[#This Row],[Date]]),7)</f>
        <v>1</v>
      </c>
      <c r="Q1835" t="str">
        <f>CHOOSE(WEEKDAY(datos_siembra[[#This Row],[Date]],2),"L","M","X","J","V","S","D")</f>
        <v>D</v>
      </c>
      <c r="R1835">
        <f>WEEKNUM(datos_siembra[[#This Row],[Date]],2)-WEEKNUM(DATE(YEAR(datos_siembra[[#This Row],[Date]]),MONTH(datos_siembra[[#This Row],[Date]]),1))+1</f>
        <v>4</v>
      </c>
      <c r="S1835">
        <f>MONTH(datos_siembra[[#This Row],[Date]])</f>
        <v>9</v>
      </c>
      <c r="T1835" t="str" cm="1">
        <f t="array" ref="T1835">_xlfn.IFS(AND(N1835&lt;= 22, S1835=9), "SOWING",AND(N1835&lt;= 28, S1835=9), "COVERAGE",AND(N1835&lt;= 30, S1835=9), "FLUSH",AND(N1835&lt;= 11, S1835=10), "FLUSH",AND(N1835&lt;= 21, S1835=10), "PRODUCTION")</f>
        <v>FLUSH</v>
      </c>
      <c r="U1835">
        <f>HOUR(datos_siembra[[#This Row],[Hour]])</f>
        <v>10</v>
      </c>
      <c r="V1835" cm="1">
        <f t="array" ref="V1835">_xlfn.IFS(AND(N1835&lt;= 22, S1835=9), N1835-7,AND(N1835&lt;= 28, S1835=9), N1835-25,AND(N1835&lt;= 30, S1835=9), N1835-28,AND(N1835&lt;= 11, S1835=10), N1835+2,AND(N1835&lt;= 21, S1835=10), N1835-11)</f>
        <v>1</v>
      </c>
    </row>
    <row r="1836" spans="1:22" x14ac:dyDescent="0.35">
      <c r="A1836" s="4">
        <v>45564</v>
      </c>
      <c r="B1836" s="5">
        <v>0.44062499999999999</v>
      </c>
      <c r="C1836">
        <v>83.9</v>
      </c>
      <c r="D1836">
        <v>81.2</v>
      </c>
      <c r="E1836">
        <v>85</v>
      </c>
      <c r="F1836">
        <v>82.1</v>
      </c>
      <c r="G1836">
        <v>0</v>
      </c>
      <c r="H1836">
        <v>0</v>
      </c>
      <c r="I1836">
        <v>0</v>
      </c>
      <c r="J1836">
        <v>0</v>
      </c>
      <c r="K1836">
        <v>69.5</v>
      </c>
      <c r="L1836">
        <v>68.3</v>
      </c>
      <c r="M1836">
        <v>83.07</v>
      </c>
      <c r="N1836">
        <v>29</v>
      </c>
      <c r="O1836">
        <v>5</v>
      </c>
      <c r="P1836">
        <f>MOD(DAY(datos_siembra[[#This Row],[Date]]),7)</f>
        <v>1</v>
      </c>
      <c r="Q1836" t="str">
        <f>CHOOSE(WEEKDAY(datos_siembra[[#This Row],[Date]],2),"L","M","X","J","V","S","D")</f>
        <v>D</v>
      </c>
      <c r="R1836">
        <f>WEEKNUM(datos_siembra[[#This Row],[Date]],2)-WEEKNUM(DATE(YEAR(datos_siembra[[#This Row],[Date]]),MONTH(datos_siembra[[#This Row],[Date]]),1))+1</f>
        <v>4</v>
      </c>
      <c r="S1836">
        <f>MONTH(datos_siembra[[#This Row],[Date]])</f>
        <v>9</v>
      </c>
      <c r="T1836" t="str" cm="1">
        <f t="array" ref="T1836">_xlfn.IFS(AND(N1836&lt;= 22, S1836=9), "SOWING",AND(N1836&lt;= 28, S1836=9), "COVERAGE",AND(N1836&lt;= 30, S1836=9), "FLUSH",AND(N1836&lt;= 11, S1836=10), "FLUSH",AND(N1836&lt;= 21, S1836=10), "PRODUCTION")</f>
        <v>FLUSH</v>
      </c>
      <c r="U1836">
        <f>HOUR(datos_siembra[[#This Row],[Hour]])</f>
        <v>10</v>
      </c>
      <c r="V1836" cm="1">
        <f t="array" ref="V1836">_xlfn.IFS(AND(N1836&lt;= 22, S1836=9), N1836-7,AND(N1836&lt;= 28, S1836=9), N1836-25,AND(N1836&lt;= 30, S1836=9), N1836-28,AND(N1836&lt;= 11, S1836=10), N1836+2,AND(N1836&lt;= 21, S1836=10), N1836-11)</f>
        <v>1</v>
      </c>
    </row>
    <row r="1837" spans="1:22" x14ac:dyDescent="0.35">
      <c r="A1837" s="4">
        <v>45564</v>
      </c>
      <c r="B1837" s="5">
        <v>0.44756944444444446</v>
      </c>
      <c r="C1837">
        <v>83.9</v>
      </c>
      <c r="D1837">
        <v>81.2</v>
      </c>
      <c r="E1837">
        <v>84.9</v>
      </c>
      <c r="F1837">
        <v>82</v>
      </c>
      <c r="G1837">
        <v>0</v>
      </c>
      <c r="H1837">
        <v>0</v>
      </c>
      <c r="I1837">
        <v>0</v>
      </c>
      <c r="J1837">
        <v>0</v>
      </c>
      <c r="K1837">
        <v>69.5</v>
      </c>
      <c r="L1837">
        <v>68.3</v>
      </c>
      <c r="M1837">
        <v>82.99</v>
      </c>
      <c r="N1837">
        <v>29</v>
      </c>
      <c r="O1837">
        <v>5</v>
      </c>
      <c r="P1837">
        <f>MOD(DAY(datos_siembra[[#This Row],[Date]]),7)</f>
        <v>1</v>
      </c>
      <c r="Q1837" t="str">
        <f>CHOOSE(WEEKDAY(datos_siembra[[#This Row],[Date]],2),"L","M","X","J","V","S","D")</f>
        <v>D</v>
      </c>
      <c r="R1837">
        <f>WEEKNUM(datos_siembra[[#This Row],[Date]],2)-WEEKNUM(DATE(YEAR(datos_siembra[[#This Row],[Date]]),MONTH(datos_siembra[[#This Row],[Date]]),1))+1</f>
        <v>4</v>
      </c>
      <c r="S1837">
        <f>MONTH(datos_siembra[[#This Row],[Date]])</f>
        <v>9</v>
      </c>
      <c r="T1837" t="str" cm="1">
        <f t="array" ref="T1837">_xlfn.IFS(AND(N1837&lt;= 22, S1837=9), "SOWING",AND(N1837&lt;= 28, S1837=9), "COVERAGE",AND(N1837&lt;= 30, S1837=9), "FLUSH",AND(N1837&lt;= 11, S1837=10), "FLUSH",AND(N1837&lt;= 21, S1837=10), "PRODUCTION")</f>
        <v>FLUSH</v>
      </c>
      <c r="U1837">
        <f>HOUR(datos_siembra[[#This Row],[Hour]])</f>
        <v>10</v>
      </c>
      <c r="V1837" cm="1">
        <f t="array" ref="V1837">_xlfn.IFS(AND(N1837&lt;= 22, S1837=9), N1837-7,AND(N1837&lt;= 28, S1837=9), N1837-25,AND(N1837&lt;= 30, S1837=9), N1837-28,AND(N1837&lt;= 11, S1837=10), N1837+2,AND(N1837&lt;= 21, S1837=10), N1837-11)</f>
        <v>1</v>
      </c>
    </row>
    <row r="1838" spans="1:22" x14ac:dyDescent="0.35">
      <c r="A1838" s="4">
        <v>45564</v>
      </c>
      <c r="B1838" s="5">
        <v>0.45452546296296298</v>
      </c>
      <c r="C1838">
        <v>83.8</v>
      </c>
      <c r="D1838">
        <v>81.099999999999994</v>
      </c>
      <c r="E1838">
        <v>84.9</v>
      </c>
      <c r="F1838">
        <v>81.8</v>
      </c>
      <c r="G1838">
        <v>0</v>
      </c>
      <c r="H1838">
        <v>0</v>
      </c>
      <c r="I1838">
        <v>0</v>
      </c>
      <c r="J1838">
        <v>0</v>
      </c>
      <c r="K1838">
        <v>69.599999999999994</v>
      </c>
      <c r="L1838">
        <v>68.5</v>
      </c>
      <c r="M1838">
        <v>82.93</v>
      </c>
      <c r="N1838">
        <v>29</v>
      </c>
      <c r="O1838">
        <v>5</v>
      </c>
      <c r="P1838">
        <f>MOD(DAY(datos_siembra[[#This Row],[Date]]),7)</f>
        <v>1</v>
      </c>
      <c r="Q1838" t="str">
        <f>CHOOSE(WEEKDAY(datos_siembra[[#This Row],[Date]],2),"L","M","X","J","V","S","D")</f>
        <v>D</v>
      </c>
      <c r="R1838">
        <f>WEEKNUM(datos_siembra[[#This Row],[Date]],2)-WEEKNUM(DATE(YEAR(datos_siembra[[#This Row],[Date]]),MONTH(datos_siembra[[#This Row],[Date]]),1))+1</f>
        <v>4</v>
      </c>
      <c r="S1838">
        <f>MONTH(datos_siembra[[#This Row],[Date]])</f>
        <v>9</v>
      </c>
      <c r="T1838" t="str" cm="1">
        <f t="array" ref="T1838">_xlfn.IFS(AND(N1838&lt;= 22, S1838=9), "SOWING",AND(N1838&lt;= 28, S1838=9), "COVERAGE",AND(N1838&lt;= 30, S1838=9), "FLUSH",AND(N1838&lt;= 11, S1838=10), "FLUSH",AND(N1838&lt;= 21, S1838=10), "PRODUCTION")</f>
        <v>FLUSH</v>
      </c>
      <c r="U1838">
        <f>HOUR(datos_siembra[[#This Row],[Hour]])</f>
        <v>10</v>
      </c>
      <c r="V1838" cm="1">
        <f t="array" ref="V1838">_xlfn.IFS(AND(N1838&lt;= 22, S1838=9), N1838-7,AND(N1838&lt;= 28, S1838=9), N1838-25,AND(N1838&lt;= 30, S1838=9), N1838-28,AND(N1838&lt;= 11, S1838=10), N1838+2,AND(N1838&lt;= 21, S1838=10), N1838-11)</f>
        <v>1</v>
      </c>
    </row>
    <row r="1839" spans="1:22" x14ac:dyDescent="0.35">
      <c r="A1839" s="4">
        <v>45564</v>
      </c>
      <c r="B1839" s="5">
        <v>0.4614699074074074</v>
      </c>
      <c r="C1839">
        <v>83.8</v>
      </c>
      <c r="D1839">
        <v>81.099999999999994</v>
      </c>
      <c r="E1839">
        <v>84.9</v>
      </c>
      <c r="F1839">
        <v>81.7</v>
      </c>
      <c r="G1839">
        <v>0</v>
      </c>
      <c r="H1839">
        <v>0</v>
      </c>
      <c r="I1839">
        <v>0</v>
      </c>
      <c r="J1839">
        <v>0</v>
      </c>
      <c r="K1839">
        <v>69.5</v>
      </c>
      <c r="L1839">
        <v>68.3</v>
      </c>
      <c r="M1839">
        <v>82.85</v>
      </c>
      <c r="N1839">
        <v>29</v>
      </c>
      <c r="O1839">
        <v>5</v>
      </c>
      <c r="P1839">
        <f>MOD(DAY(datos_siembra[[#This Row],[Date]]),7)</f>
        <v>1</v>
      </c>
      <c r="Q1839" t="str">
        <f>CHOOSE(WEEKDAY(datos_siembra[[#This Row],[Date]],2),"L","M","X","J","V","S","D")</f>
        <v>D</v>
      </c>
      <c r="R1839">
        <f>WEEKNUM(datos_siembra[[#This Row],[Date]],2)-WEEKNUM(DATE(YEAR(datos_siembra[[#This Row],[Date]]),MONTH(datos_siembra[[#This Row],[Date]]),1))+1</f>
        <v>4</v>
      </c>
      <c r="S1839">
        <f>MONTH(datos_siembra[[#This Row],[Date]])</f>
        <v>9</v>
      </c>
      <c r="T1839" t="str" cm="1">
        <f t="array" ref="T1839">_xlfn.IFS(AND(N1839&lt;= 22, S1839=9), "SOWING",AND(N1839&lt;= 28, S1839=9), "COVERAGE",AND(N1839&lt;= 30, S1839=9), "FLUSH",AND(N1839&lt;= 11, S1839=10), "FLUSH",AND(N1839&lt;= 21, S1839=10), "PRODUCTION")</f>
        <v>FLUSH</v>
      </c>
      <c r="U1839">
        <f>HOUR(datos_siembra[[#This Row],[Hour]])</f>
        <v>11</v>
      </c>
      <c r="V1839" cm="1">
        <f t="array" ref="V1839">_xlfn.IFS(AND(N1839&lt;= 22, S1839=9), N1839-7,AND(N1839&lt;= 28, S1839=9), N1839-25,AND(N1839&lt;= 30, S1839=9), N1839-28,AND(N1839&lt;= 11, S1839=10), N1839+2,AND(N1839&lt;= 21, S1839=10), N1839-11)</f>
        <v>1</v>
      </c>
    </row>
    <row r="1840" spans="1:22" x14ac:dyDescent="0.35">
      <c r="A1840" s="4">
        <v>45564</v>
      </c>
      <c r="B1840" s="5">
        <v>0.46841435185185187</v>
      </c>
      <c r="C1840">
        <v>83.8</v>
      </c>
      <c r="D1840">
        <v>80.900000000000006</v>
      </c>
      <c r="E1840">
        <v>84.9</v>
      </c>
      <c r="F1840">
        <v>82</v>
      </c>
      <c r="G1840">
        <v>0</v>
      </c>
      <c r="H1840">
        <v>0</v>
      </c>
      <c r="I1840">
        <v>0</v>
      </c>
      <c r="J1840">
        <v>0</v>
      </c>
      <c r="K1840">
        <v>69.5</v>
      </c>
      <c r="L1840">
        <v>68.3</v>
      </c>
      <c r="M1840">
        <v>82.82</v>
      </c>
      <c r="N1840">
        <v>29</v>
      </c>
      <c r="O1840">
        <v>5</v>
      </c>
      <c r="P1840">
        <f>MOD(DAY(datos_siembra[[#This Row],[Date]]),7)</f>
        <v>1</v>
      </c>
      <c r="Q1840" t="str">
        <f>CHOOSE(WEEKDAY(datos_siembra[[#This Row],[Date]],2),"L","M","X","J","V","S","D")</f>
        <v>D</v>
      </c>
      <c r="R1840">
        <f>WEEKNUM(datos_siembra[[#This Row],[Date]],2)-WEEKNUM(DATE(YEAR(datos_siembra[[#This Row],[Date]]),MONTH(datos_siembra[[#This Row],[Date]]),1))+1</f>
        <v>4</v>
      </c>
      <c r="S1840">
        <f>MONTH(datos_siembra[[#This Row],[Date]])</f>
        <v>9</v>
      </c>
      <c r="T1840" t="str" cm="1">
        <f t="array" ref="T1840">_xlfn.IFS(AND(N1840&lt;= 22, S1840=9), "SOWING",AND(N1840&lt;= 28, S1840=9), "COVERAGE",AND(N1840&lt;= 30, S1840=9), "FLUSH",AND(N1840&lt;= 11, S1840=10), "FLUSH",AND(N1840&lt;= 21, S1840=10), "PRODUCTION")</f>
        <v>FLUSH</v>
      </c>
      <c r="U1840">
        <f>HOUR(datos_siembra[[#This Row],[Hour]])</f>
        <v>11</v>
      </c>
      <c r="V1840" cm="1">
        <f t="array" ref="V1840">_xlfn.IFS(AND(N1840&lt;= 22, S1840=9), N1840-7,AND(N1840&lt;= 28, S1840=9), N1840-25,AND(N1840&lt;= 30, S1840=9), N1840-28,AND(N1840&lt;= 11, S1840=10), N1840+2,AND(N1840&lt;= 21, S1840=10), N1840-11)</f>
        <v>1</v>
      </c>
    </row>
    <row r="1841" spans="1:22" x14ac:dyDescent="0.35">
      <c r="A1841" s="4">
        <v>45564</v>
      </c>
      <c r="B1841" s="5">
        <v>0.47537037037037039</v>
      </c>
      <c r="C1841">
        <v>83.8</v>
      </c>
      <c r="D1841">
        <v>80.900000000000006</v>
      </c>
      <c r="E1841">
        <v>84.8</v>
      </c>
      <c r="F1841">
        <v>81.7</v>
      </c>
      <c r="G1841">
        <v>0</v>
      </c>
      <c r="H1841">
        <v>0</v>
      </c>
      <c r="I1841">
        <v>0</v>
      </c>
      <c r="J1841">
        <v>0</v>
      </c>
      <c r="K1841">
        <v>69.5</v>
      </c>
      <c r="L1841">
        <v>68.2</v>
      </c>
      <c r="M1841">
        <v>82.79</v>
      </c>
      <c r="N1841">
        <v>29</v>
      </c>
      <c r="O1841">
        <v>5</v>
      </c>
      <c r="P1841">
        <f>MOD(DAY(datos_siembra[[#This Row],[Date]]),7)</f>
        <v>1</v>
      </c>
      <c r="Q1841" t="str">
        <f>CHOOSE(WEEKDAY(datos_siembra[[#This Row],[Date]],2),"L","M","X","J","V","S","D")</f>
        <v>D</v>
      </c>
      <c r="R1841">
        <f>WEEKNUM(datos_siembra[[#This Row],[Date]],2)-WEEKNUM(DATE(YEAR(datos_siembra[[#This Row],[Date]]),MONTH(datos_siembra[[#This Row],[Date]]),1))+1</f>
        <v>4</v>
      </c>
      <c r="S1841">
        <f>MONTH(datos_siembra[[#This Row],[Date]])</f>
        <v>9</v>
      </c>
      <c r="T1841" t="str" cm="1">
        <f t="array" ref="T1841">_xlfn.IFS(AND(N1841&lt;= 22, S1841=9), "SOWING",AND(N1841&lt;= 28, S1841=9), "COVERAGE",AND(N1841&lt;= 30, S1841=9), "FLUSH",AND(N1841&lt;= 11, S1841=10), "FLUSH",AND(N1841&lt;= 21, S1841=10), "PRODUCTION")</f>
        <v>FLUSH</v>
      </c>
      <c r="U1841">
        <f>HOUR(datos_siembra[[#This Row],[Hour]])</f>
        <v>11</v>
      </c>
      <c r="V1841" cm="1">
        <f t="array" ref="V1841">_xlfn.IFS(AND(N1841&lt;= 22, S1841=9), N1841-7,AND(N1841&lt;= 28, S1841=9), N1841-25,AND(N1841&lt;= 30, S1841=9), N1841-28,AND(N1841&lt;= 11, S1841=10), N1841+2,AND(N1841&lt;= 21, S1841=10), N1841-11)</f>
        <v>1</v>
      </c>
    </row>
    <row r="1842" spans="1:22" x14ac:dyDescent="0.35">
      <c r="A1842" s="4">
        <v>45564</v>
      </c>
      <c r="B1842" s="5">
        <v>0.48231481481481481</v>
      </c>
      <c r="C1842">
        <v>83.6</v>
      </c>
      <c r="D1842">
        <v>80.900000000000006</v>
      </c>
      <c r="E1842">
        <v>84.6</v>
      </c>
      <c r="F1842">
        <v>81.5</v>
      </c>
      <c r="G1842">
        <v>0</v>
      </c>
      <c r="H1842">
        <v>0</v>
      </c>
      <c r="I1842">
        <v>0</v>
      </c>
      <c r="J1842">
        <v>0</v>
      </c>
      <c r="K1842">
        <v>69.400000000000006</v>
      </c>
      <c r="L1842">
        <v>68.099999999999994</v>
      </c>
      <c r="M1842">
        <v>82.74</v>
      </c>
      <c r="N1842">
        <v>29</v>
      </c>
      <c r="O1842">
        <v>5</v>
      </c>
      <c r="P1842">
        <f>MOD(DAY(datos_siembra[[#This Row],[Date]]),7)</f>
        <v>1</v>
      </c>
      <c r="Q1842" t="str">
        <f>CHOOSE(WEEKDAY(datos_siembra[[#This Row],[Date]],2),"L","M","X","J","V","S","D")</f>
        <v>D</v>
      </c>
      <c r="R1842">
        <f>WEEKNUM(datos_siembra[[#This Row],[Date]],2)-WEEKNUM(DATE(YEAR(datos_siembra[[#This Row],[Date]]),MONTH(datos_siembra[[#This Row],[Date]]),1))+1</f>
        <v>4</v>
      </c>
      <c r="S1842">
        <f>MONTH(datos_siembra[[#This Row],[Date]])</f>
        <v>9</v>
      </c>
      <c r="T1842" t="str" cm="1">
        <f t="array" ref="T1842">_xlfn.IFS(AND(N1842&lt;= 22, S1842=9), "SOWING",AND(N1842&lt;= 28, S1842=9), "COVERAGE",AND(N1842&lt;= 30, S1842=9), "FLUSH",AND(N1842&lt;= 11, S1842=10), "FLUSH",AND(N1842&lt;= 21, S1842=10), "PRODUCTION")</f>
        <v>FLUSH</v>
      </c>
      <c r="U1842">
        <f>HOUR(datos_siembra[[#This Row],[Hour]])</f>
        <v>11</v>
      </c>
      <c r="V1842" cm="1">
        <f t="array" ref="V1842">_xlfn.IFS(AND(N1842&lt;= 22, S1842=9), N1842-7,AND(N1842&lt;= 28, S1842=9), N1842-25,AND(N1842&lt;= 30, S1842=9), N1842-28,AND(N1842&lt;= 11, S1842=10), N1842+2,AND(N1842&lt;= 21, S1842=10), N1842-11)</f>
        <v>1</v>
      </c>
    </row>
    <row r="1843" spans="1:22" x14ac:dyDescent="0.35">
      <c r="A1843" s="4">
        <v>45564</v>
      </c>
      <c r="B1843" s="5">
        <v>0.48925925925925928</v>
      </c>
      <c r="C1843">
        <v>83.5</v>
      </c>
      <c r="D1843">
        <v>80.900000000000006</v>
      </c>
      <c r="E1843">
        <v>84.8</v>
      </c>
      <c r="F1843">
        <v>81.3</v>
      </c>
      <c r="G1843">
        <v>0</v>
      </c>
      <c r="H1843">
        <v>0</v>
      </c>
      <c r="I1843">
        <v>0</v>
      </c>
      <c r="J1843">
        <v>0</v>
      </c>
      <c r="K1843">
        <v>69.599999999999994</v>
      </c>
      <c r="L1843">
        <v>68.099999999999994</v>
      </c>
      <c r="M1843">
        <v>82.6</v>
      </c>
      <c r="N1843">
        <v>29</v>
      </c>
      <c r="O1843">
        <v>5</v>
      </c>
      <c r="P1843">
        <f>MOD(DAY(datos_siembra[[#This Row],[Date]]),7)</f>
        <v>1</v>
      </c>
      <c r="Q1843" t="str">
        <f>CHOOSE(WEEKDAY(datos_siembra[[#This Row],[Date]],2),"L","M","X","J","V","S","D")</f>
        <v>D</v>
      </c>
      <c r="R1843">
        <f>WEEKNUM(datos_siembra[[#This Row],[Date]],2)-WEEKNUM(DATE(YEAR(datos_siembra[[#This Row],[Date]]),MONTH(datos_siembra[[#This Row],[Date]]),1))+1</f>
        <v>4</v>
      </c>
      <c r="S1843">
        <f>MONTH(datos_siembra[[#This Row],[Date]])</f>
        <v>9</v>
      </c>
      <c r="T1843" t="str" cm="1">
        <f t="array" ref="T1843">_xlfn.IFS(AND(N1843&lt;= 22, S1843=9), "SOWING",AND(N1843&lt;= 28, S1843=9), "COVERAGE",AND(N1843&lt;= 30, S1843=9), "FLUSH",AND(N1843&lt;= 11, S1843=10), "FLUSH",AND(N1843&lt;= 21, S1843=10), "PRODUCTION")</f>
        <v>FLUSH</v>
      </c>
      <c r="U1843">
        <f>HOUR(datos_siembra[[#This Row],[Hour]])</f>
        <v>11</v>
      </c>
      <c r="V1843" cm="1">
        <f t="array" ref="V1843">_xlfn.IFS(AND(N1843&lt;= 22, S1843=9), N1843-7,AND(N1843&lt;= 28, S1843=9), N1843-25,AND(N1843&lt;= 30, S1843=9), N1843-28,AND(N1843&lt;= 11, S1843=10), N1843+2,AND(N1843&lt;= 21, S1843=10), N1843-11)</f>
        <v>1</v>
      </c>
    </row>
    <row r="1844" spans="1:22" x14ac:dyDescent="0.35">
      <c r="A1844" s="4">
        <v>45564</v>
      </c>
      <c r="B1844" s="5">
        <v>0.4962152777777778</v>
      </c>
      <c r="C1844">
        <v>83.5</v>
      </c>
      <c r="D1844">
        <v>80.8</v>
      </c>
      <c r="E1844">
        <v>84.5</v>
      </c>
      <c r="F1844">
        <v>81.3</v>
      </c>
      <c r="G1844">
        <v>0</v>
      </c>
      <c r="H1844">
        <v>0</v>
      </c>
      <c r="I1844">
        <v>0</v>
      </c>
      <c r="J1844">
        <v>0</v>
      </c>
      <c r="K1844">
        <v>69.5</v>
      </c>
      <c r="L1844">
        <v>68.599999999999994</v>
      </c>
      <c r="M1844">
        <v>82.54</v>
      </c>
      <c r="N1844">
        <v>29</v>
      </c>
      <c r="O1844">
        <v>5</v>
      </c>
      <c r="P1844">
        <f>MOD(DAY(datos_siembra[[#This Row],[Date]]),7)</f>
        <v>1</v>
      </c>
      <c r="Q1844" t="str">
        <f>CHOOSE(WEEKDAY(datos_siembra[[#This Row],[Date]],2),"L","M","X","J","V","S","D")</f>
        <v>D</v>
      </c>
      <c r="R1844">
        <f>WEEKNUM(datos_siembra[[#This Row],[Date]],2)-WEEKNUM(DATE(YEAR(datos_siembra[[#This Row],[Date]]),MONTH(datos_siembra[[#This Row],[Date]]),1))+1</f>
        <v>4</v>
      </c>
      <c r="S1844">
        <f>MONTH(datos_siembra[[#This Row],[Date]])</f>
        <v>9</v>
      </c>
      <c r="T1844" t="str" cm="1">
        <f t="array" ref="T1844">_xlfn.IFS(AND(N1844&lt;= 22, S1844=9), "SOWING",AND(N1844&lt;= 28, S1844=9), "COVERAGE",AND(N1844&lt;= 30, S1844=9), "FLUSH",AND(N1844&lt;= 11, S1844=10), "FLUSH",AND(N1844&lt;= 21, S1844=10), "PRODUCTION")</f>
        <v>FLUSH</v>
      </c>
      <c r="U1844">
        <f>HOUR(datos_siembra[[#This Row],[Hour]])</f>
        <v>11</v>
      </c>
      <c r="V1844" cm="1">
        <f t="array" ref="V1844">_xlfn.IFS(AND(N1844&lt;= 22, S1844=9), N1844-7,AND(N1844&lt;= 28, S1844=9), N1844-25,AND(N1844&lt;= 30, S1844=9), N1844-28,AND(N1844&lt;= 11, S1844=10), N1844+2,AND(N1844&lt;= 21, S1844=10), N1844-11)</f>
        <v>1</v>
      </c>
    </row>
    <row r="1845" spans="1:22" x14ac:dyDescent="0.35">
      <c r="A1845" s="4">
        <v>45564</v>
      </c>
      <c r="B1845" s="5">
        <v>0.50315972222222227</v>
      </c>
      <c r="C1845">
        <v>83.5</v>
      </c>
      <c r="D1845">
        <v>80.8</v>
      </c>
      <c r="E1845">
        <v>84.5</v>
      </c>
      <c r="F1845">
        <v>81.5</v>
      </c>
      <c r="G1845">
        <v>0</v>
      </c>
      <c r="H1845">
        <v>0</v>
      </c>
      <c r="I1845">
        <v>0</v>
      </c>
      <c r="J1845">
        <v>0</v>
      </c>
      <c r="K1845">
        <v>69.900000000000006</v>
      </c>
      <c r="L1845">
        <v>69</v>
      </c>
      <c r="M1845">
        <v>82.51</v>
      </c>
      <c r="N1845">
        <v>29</v>
      </c>
      <c r="O1845">
        <v>5</v>
      </c>
      <c r="P1845">
        <f>MOD(DAY(datos_siembra[[#This Row],[Date]]),7)</f>
        <v>1</v>
      </c>
      <c r="Q1845" t="str">
        <f>CHOOSE(WEEKDAY(datos_siembra[[#This Row],[Date]],2),"L","M","X","J","V","S","D")</f>
        <v>D</v>
      </c>
      <c r="R1845">
        <f>WEEKNUM(datos_siembra[[#This Row],[Date]],2)-WEEKNUM(DATE(YEAR(datos_siembra[[#This Row],[Date]]),MONTH(datos_siembra[[#This Row],[Date]]),1))+1</f>
        <v>4</v>
      </c>
      <c r="S1845">
        <f>MONTH(datos_siembra[[#This Row],[Date]])</f>
        <v>9</v>
      </c>
      <c r="T1845" t="str" cm="1">
        <f t="array" ref="T1845">_xlfn.IFS(AND(N1845&lt;= 22, S1845=9), "SOWING",AND(N1845&lt;= 28, S1845=9), "COVERAGE",AND(N1845&lt;= 30, S1845=9), "FLUSH",AND(N1845&lt;= 11, S1845=10), "FLUSH",AND(N1845&lt;= 21, S1845=10), "PRODUCTION")</f>
        <v>FLUSH</v>
      </c>
      <c r="U1845">
        <f>HOUR(datos_siembra[[#This Row],[Hour]])</f>
        <v>12</v>
      </c>
      <c r="V1845" cm="1">
        <f t="array" ref="V1845">_xlfn.IFS(AND(N1845&lt;= 22, S1845=9), N1845-7,AND(N1845&lt;= 28, S1845=9), N1845-25,AND(N1845&lt;= 30, S1845=9), N1845-28,AND(N1845&lt;= 11, S1845=10), N1845+2,AND(N1845&lt;= 21, S1845=10), N1845-11)</f>
        <v>1</v>
      </c>
    </row>
    <row r="1846" spans="1:22" x14ac:dyDescent="0.35">
      <c r="A1846" s="4">
        <v>45564</v>
      </c>
      <c r="B1846" s="5">
        <v>0.51010416666666669</v>
      </c>
      <c r="C1846">
        <v>83.6</v>
      </c>
      <c r="D1846">
        <v>80.7</v>
      </c>
      <c r="E1846">
        <v>84.5</v>
      </c>
      <c r="F1846">
        <v>81.3</v>
      </c>
      <c r="G1846">
        <v>0</v>
      </c>
      <c r="H1846">
        <v>0</v>
      </c>
      <c r="I1846">
        <v>0</v>
      </c>
      <c r="J1846">
        <v>0</v>
      </c>
      <c r="K1846">
        <v>70.099999999999994</v>
      </c>
      <c r="L1846">
        <v>69.099999999999994</v>
      </c>
      <c r="M1846">
        <v>82.48</v>
      </c>
      <c r="N1846">
        <v>29</v>
      </c>
      <c r="O1846">
        <v>5</v>
      </c>
      <c r="P1846">
        <f>MOD(DAY(datos_siembra[[#This Row],[Date]]),7)</f>
        <v>1</v>
      </c>
      <c r="Q1846" t="str">
        <f>CHOOSE(WEEKDAY(datos_siembra[[#This Row],[Date]],2),"L","M","X","J","V","S","D")</f>
        <v>D</v>
      </c>
      <c r="R1846">
        <f>WEEKNUM(datos_siembra[[#This Row],[Date]],2)-WEEKNUM(DATE(YEAR(datos_siembra[[#This Row],[Date]]),MONTH(datos_siembra[[#This Row],[Date]]),1))+1</f>
        <v>4</v>
      </c>
      <c r="S1846">
        <f>MONTH(datos_siembra[[#This Row],[Date]])</f>
        <v>9</v>
      </c>
      <c r="T1846" t="str" cm="1">
        <f t="array" ref="T1846">_xlfn.IFS(AND(N1846&lt;= 22, S1846=9), "SOWING",AND(N1846&lt;= 28, S1846=9), "COVERAGE",AND(N1846&lt;= 30, S1846=9), "FLUSH",AND(N1846&lt;= 11, S1846=10), "FLUSH",AND(N1846&lt;= 21, S1846=10), "PRODUCTION")</f>
        <v>FLUSH</v>
      </c>
      <c r="U1846">
        <f>HOUR(datos_siembra[[#This Row],[Hour]])</f>
        <v>12</v>
      </c>
      <c r="V1846" cm="1">
        <f t="array" ref="V1846">_xlfn.IFS(AND(N1846&lt;= 22, S1846=9), N1846-7,AND(N1846&lt;= 28, S1846=9), N1846-25,AND(N1846&lt;= 30, S1846=9), N1846-28,AND(N1846&lt;= 11, S1846=10), N1846+2,AND(N1846&lt;= 21, S1846=10), N1846-11)</f>
        <v>1</v>
      </c>
    </row>
    <row r="1847" spans="1:22" x14ac:dyDescent="0.35">
      <c r="A1847" s="4">
        <v>45564</v>
      </c>
      <c r="B1847" s="5">
        <v>0.55871527777777774</v>
      </c>
      <c r="C1847">
        <v>83.4</v>
      </c>
      <c r="D1847">
        <v>80.7</v>
      </c>
      <c r="E1847">
        <v>84.5</v>
      </c>
      <c r="F1847">
        <v>81.2</v>
      </c>
      <c r="G1847">
        <v>0</v>
      </c>
      <c r="H1847">
        <v>0</v>
      </c>
      <c r="I1847">
        <v>0</v>
      </c>
      <c r="J1847">
        <v>0</v>
      </c>
      <c r="K1847">
        <v>69.5</v>
      </c>
      <c r="L1847">
        <v>68.7</v>
      </c>
      <c r="M1847">
        <v>82.51</v>
      </c>
      <c r="N1847">
        <v>29</v>
      </c>
      <c r="O1847">
        <v>5</v>
      </c>
      <c r="P1847">
        <f>MOD(DAY(datos_siembra[[#This Row],[Date]]),7)</f>
        <v>1</v>
      </c>
      <c r="Q1847" t="str">
        <f>CHOOSE(WEEKDAY(datos_siembra[[#This Row],[Date]],2),"L","M","X","J","V","S","D")</f>
        <v>D</v>
      </c>
      <c r="R1847">
        <f>WEEKNUM(datos_siembra[[#This Row],[Date]],2)-WEEKNUM(DATE(YEAR(datos_siembra[[#This Row],[Date]]),MONTH(datos_siembra[[#This Row],[Date]]),1))+1</f>
        <v>4</v>
      </c>
      <c r="S1847">
        <f>MONTH(datos_siembra[[#This Row],[Date]])</f>
        <v>9</v>
      </c>
      <c r="T1847" t="str" cm="1">
        <f t="array" ref="T1847">_xlfn.IFS(AND(N1847&lt;= 22, S1847=9), "SOWING",AND(N1847&lt;= 28, S1847=9), "COVERAGE",AND(N1847&lt;= 30, S1847=9), "FLUSH",AND(N1847&lt;= 11, S1847=10), "FLUSH",AND(N1847&lt;= 21, S1847=10), "PRODUCTION")</f>
        <v>FLUSH</v>
      </c>
      <c r="U1847">
        <f>HOUR(datos_siembra[[#This Row],[Hour]])</f>
        <v>13</v>
      </c>
      <c r="V1847" cm="1">
        <f t="array" ref="V1847">_xlfn.IFS(AND(N1847&lt;= 22, S1847=9), N1847-7,AND(N1847&lt;= 28, S1847=9), N1847-25,AND(N1847&lt;= 30, S1847=9), N1847-28,AND(N1847&lt;= 11, S1847=10), N1847+2,AND(N1847&lt;= 21, S1847=10), N1847-11)</f>
        <v>1</v>
      </c>
    </row>
    <row r="1848" spans="1:22" x14ac:dyDescent="0.35">
      <c r="A1848" s="4">
        <v>45564</v>
      </c>
      <c r="B1848" s="5">
        <v>0.56567129629629631</v>
      </c>
      <c r="C1848">
        <v>83.3</v>
      </c>
      <c r="D1848">
        <v>80.7</v>
      </c>
      <c r="E1848">
        <v>84.4</v>
      </c>
      <c r="F1848">
        <v>80.900000000000006</v>
      </c>
      <c r="G1848">
        <v>0</v>
      </c>
      <c r="H1848">
        <v>0</v>
      </c>
      <c r="I1848">
        <v>0</v>
      </c>
      <c r="J1848">
        <v>0</v>
      </c>
      <c r="K1848">
        <v>69.2</v>
      </c>
      <c r="L1848">
        <v>68.099999999999994</v>
      </c>
      <c r="M1848">
        <v>82.43</v>
      </c>
      <c r="N1848">
        <v>29</v>
      </c>
      <c r="O1848">
        <v>5</v>
      </c>
      <c r="P1848">
        <f>MOD(DAY(datos_siembra[[#This Row],[Date]]),7)</f>
        <v>1</v>
      </c>
      <c r="Q1848" t="str">
        <f>CHOOSE(WEEKDAY(datos_siembra[[#This Row],[Date]],2),"L","M","X","J","V","S","D")</f>
        <v>D</v>
      </c>
      <c r="R1848">
        <f>WEEKNUM(datos_siembra[[#This Row],[Date]],2)-WEEKNUM(DATE(YEAR(datos_siembra[[#This Row],[Date]]),MONTH(datos_siembra[[#This Row],[Date]]),1))+1</f>
        <v>4</v>
      </c>
      <c r="S1848">
        <f>MONTH(datos_siembra[[#This Row],[Date]])</f>
        <v>9</v>
      </c>
      <c r="T1848" t="str" cm="1">
        <f t="array" ref="T1848">_xlfn.IFS(AND(N1848&lt;= 22, S1848=9), "SOWING",AND(N1848&lt;= 28, S1848=9), "COVERAGE",AND(N1848&lt;= 30, S1848=9), "FLUSH",AND(N1848&lt;= 11, S1848=10), "FLUSH",AND(N1848&lt;= 21, S1848=10), "PRODUCTION")</f>
        <v>FLUSH</v>
      </c>
      <c r="U1848">
        <f>HOUR(datos_siembra[[#This Row],[Hour]])</f>
        <v>13</v>
      </c>
      <c r="V1848" cm="1">
        <f t="array" ref="V1848">_xlfn.IFS(AND(N1848&lt;= 22, S1848=9), N1848-7,AND(N1848&lt;= 28, S1848=9), N1848-25,AND(N1848&lt;= 30, S1848=9), N1848-28,AND(N1848&lt;= 11, S1848=10), N1848+2,AND(N1848&lt;= 21, S1848=10), N1848-11)</f>
        <v>1</v>
      </c>
    </row>
    <row r="1849" spans="1:22" x14ac:dyDescent="0.35">
      <c r="A1849" s="4">
        <v>45564</v>
      </c>
      <c r="B1849" s="5">
        <v>0.57261574074074073</v>
      </c>
      <c r="C1849">
        <v>83.4</v>
      </c>
      <c r="D1849">
        <v>80.8</v>
      </c>
      <c r="E1849">
        <v>84.5</v>
      </c>
      <c r="F1849">
        <v>80.5</v>
      </c>
      <c r="G1849">
        <v>0</v>
      </c>
      <c r="H1849">
        <v>0</v>
      </c>
      <c r="I1849">
        <v>0</v>
      </c>
      <c r="J1849">
        <v>0</v>
      </c>
      <c r="K1849">
        <v>69</v>
      </c>
      <c r="L1849">
        <v>68</v>
      </c>
      <c r="M1849">
        <v>82.43</v>
      </c>
      <c r="N1849">
        <v>29</v>
      </c>
      <c r="O1849">
        <v>5</v>
      </c>
      <c r="P1849">
        <f>MOD(DAY(datos_siembra[[#This Row],[Date]]),7)</f>
        <v>1</v>
      </c>
      <c r="Q1849" t="str">
        <f>CHOOSE(WEEKDAY(datos_siembra[[#This Row],[Date]],2),"L","M","X","J","V","S","D")</f>
        <v>D</v>
      </c>
      <c r="R1849">
        <f>WEEKNUM(datos_siembra[[#This Row],[Date]],2)-WEEKNUM(DATE(YEAR(datos_siembra[[#This Row],[Date]]),MONTH(datos_siembra[[#This Row],[Date]]),1))+1</f>
        <v>4</v>
      </c>
      <c r="S1849">
        <f>MONTH(datos_siembra[[#This Row],[Date]])</f>
        <v>9</v>
      </c>
      <c r="T1849" t="str" cm="1">
        <f t="array" ref="T1849">_xlfn.IFS(AND(N1849&lt;= 22, S1849=9), "SOWING",AND(N1849&lt;= 28, S1849=9), "COVERAGE",AND(N1849&lt;= 30, S1849=9), "FLUSH",AND(N1849&lt;= 11, S1849=10), "FLUSH",AND(N1849&lt;= 21, S1849=10), "PRODUCTION")</f>
        <v>FLUSH</v>
      </c>
      <c r="U1849">
        <f>HOUR(datos_siembra[[#This Row],[Hour]])</f>
        <v>13</v>
      </c>
      <c r="V1849" cm="1">
        <f t="array" ref="V1849">_xlfn.IFS(AND(N1849&lt;= 22, S1849=9), N1849-7,AND(N1849&lt;= 28, S1849=9), N1849-25,AND(N1849&lt;= 30, S1849=9), N1849-28,AND(N1849&lt;= 11, S1849=10), N1849+2,AND(N1849&lt;= 21, S1849=10), N1849-11)</f>
        <v>1</v>
      </c>
    </row>
    <row r="1850" spans="1:22" x14ac:dyDescent="0.35">
      <c r="A1850" s="4">
        <v>45564</v>
      </c>
      <c r="B1850" s="5">
        <v>0.57956018518518515</v>
      </c>
      <c r="C1850">
        <v>83.4</v>
      </c>
      <c r="D1850">
        <v>80.8</v>
      </c>
      <c r="E1850">
        <v>84.3</v>
      </c>
      <c r="F1850">
        <v>81.599999999999994</v>
      </c>
      <c r="G1850">
        <v>0</v>
      </c>
      <c r="H1850">
        <v>0</v>
      </c>
      <c r="I1850">
        <v>0</v>
      </c>
      <c r="J1850">
        <v>0</v>
      </c>
      <c r="K1850">
        <v>68.900000000000006</v>
      </c>
      <c r="L1850">
        <v>67.599999999999994</v>
      </c>
      <c r="M1850">
        <v>82.23</v>
      </c>
      <c r="N1850">
        <v>29</v>
      </c>
      <c r="O1850">
        <v>5</v>
      </c>
      <c r="P1850">
        <f>MOD(DAY(datos_siembra[[#This Row],[Date]]),7)</f>
        <v>1</v>
      </c>
      <c r="Q1850" t="str">
        <f>CHOOSE(WEEKDAY(datos_siembra[[#This Row],[Date]],2),"L","M","X","J","V","S","D")</f>
        <v>D</v>
      </c>
      <c r="R1850">
        <f>WEEKNUM(datos_siembra[[#This Row],[Date]],2)-WEEKNUM(DATE(YEAR(datos_siembra[[#This Row],[Date]]),MONTH(datos_siembra[[#This Row],[Date]]),1))+1</f>
        <v>4</v>
      </c>
      <c r="S1850">
        <f>MONTH(datos_siembra[[#This Row],[Date]])</f>
        <v>9</v>
      </c>
      <c r="T1850" t="str" cm="1">
        <f t="array" ref="T1850">_xlfn.IFS(AND(N1850&lt;= 22, S1850=9), "SOWING",AND(N1850&lt;= 28, S1850=9), "COVERAGE",AND(N1850&lt;= 30, S1850=9), "FLUSH",AND(N1850&lt;= 11, S1850=10), "FLUSH",AND(N1850&lt;= 21, S1850=10), "PRODUCTION")</f>
        <v>FLUSH</v>
      </c>
      <c r="U1850">
        <f>HOUR(datos_siembra[[#This Row],[Hour]])</f>
        <v>13</v>
      </c>
      <c r="V1850" cm="1">
        <f t="array" ref="V1850">_xlfn.IFS(AND(N1850&lt;= 22, S1850=9), N1850-7,AND(N1850&lt;= 28, S1850=9), N1850-25,AND(N1850&lt;= 30, S1850=9), N1850-28,AND(N1850&lt;= 11, S1850=10), N1850+2,AND(N1850&lt;= 21, S1850=10), N1850-11)</f>
        <v>1</v>
      </c>
    </row>
    <row r="1851" spans="1:22" x14ac:dyDescent="0.35">
      <c r="A1851" s="4">
        <v>45564</v>
      </c>
      <c r="B1851" s="5">
        <v>0.58651620370370372</v>
      </c>
      <c r="C1851">
        <v>83.2</v>
      </c>
      <c r="D1851">
        <v>80.5</v>
      </c>
      <c r="E1851">
        <v>84.3</v>
      </c>
      <c r="F1851">
        <v>81.2</v>
      </c>
      <c r="G1851">
        <v>0</v>
      </c>
      <c r="H1851">
        <v>0</v>
      </c>
      <c r="I1851">
        <v>0</v>
      </c>
      <c r="J1851">
        <v>0</v>
      </c>
      <c r="K1851">
        <v>68.7</v>
      </c>
      <c r="L1851">
        <v>67.7</v>
      </c>
      <c r="M1851">
        <v>82.23</v>
      </c>
      <c r="N1851">
        <v>29</v>
      </c>
      <c r="O1851">
        <v>5</v>
      </c>
      <c r="P1851">
        <f>MOD(DAY(datos_siembra[[#This Row],[Date]]),7)</f>
        <v>1</v>
      </c>
      <c r="Q1851" t="str">
        <f>CHOOSE(WEEKDAY(datos_siembra[[#This Row],[Date]],2),"L","M","X","J","V","S","D")</f>
        <v>D</v>
      </c>
      <c r="R1851">
        <f>WEEKNUM(datos_siembra[[#This Row],[Date]],2)-WEEKNUM(DATE(YEAR(datos_siembra[[#This Row],[Date]]),MONTH(datos_siembra[[#This Row],[Date]]),1))+1</f>
        <v>4</v>
      </c>
      <c r="S1851">
        <f>MONTH(datos_siembra[[#This Row],[Date]])</f>
        <v>9</v>
      </c>
      <c r="T1851" t="str" cm="1">
        <f t="array" ref="T1851">_xlfn.IFS(AND(N1851&lt;= 22, S1851=9), "SOWING",AND(N1851&lt;= 28, S1851=9), "COVERAGE",AND(N1851&lt;= 30, S1851=9), "FLUSH",AND(N1851&lt;= 11, S1851=10), "FLUSH",AND(N1851&lt;= 21, S1851=10), "PRODUCTION")</f>
        <v>FLUSH</v>
      </c>
      <c r="U1851">
        <f>HOUR(datos_siembra[[#This Row],[Hour]])</f>
        <v>14</v>
      </c>
      <c r="V1851" cm="1">
        <f t="array" ref="V1851">_xlfn.IFS(AND(N1851&lt;= 22, S1851=9), N1851-7,AND(N1851&lt;= 28, S1851=9), N1851-25,AND(N1851&lt;= 30, S1851=9), N1851-28,AND(N1851&lt;= 11, S1851=10), N1851+2,AND(N1851&lt;= 21, S1851=10), N1851-11)</f>
        <v>1</v>
      </c>
    </row>
    <row r="1852" spans="1:22" x14ac:dyDescent="0.35">
      <c r="A1852" s="4">
        <v>45564</v>
      </c>
      <c r="B1852" s="5">
        <v>0.59346064814814814</v>
      </c>
      <c r="C1852">
        <v>83.2</v>
      </c>
      <c r="D1852">
        <v>80.599999999999994</v>
      </c>
      <c r="E1852">
        <v>84.3</v>
      </c>
      <c r="F1852">
        <v>81.5</v>
      </c>
      <c r="G1852">
        <v>0</v>
      </c>
      <c r="H1852">
        <v>0</v>
      </c>
      <c r="I1852">
        <v>0</v>
      </c>
      <c r="J1852">
        <v>0</v>
      </c>
      <c r="K1852">
        <v>68.8</v>
      </c>
      <c r="L1852">
        <v>67.900000000000006</v>
      </c>
      <c r="M1852">
        <v>82.43</v>
      </c>
      <c r="N1852">
        <v>29</v>
      </c>
      <c r="O1852">
        <v>5</v>
      </c>
      <c r="P1852">
        <f>MOD(DAY(datos_siembra[[#This Row],[Date]]),7)</f>
        <v>1</v>
      </c>
      <c r="Q1852" t="str">
        <f>CHOOSE(WEEKDAY(datos_siembra[[#This Row],[Date]],2),"L","M","X","J","V","S","D")</f>
        <v>D</v>
      </c>
      <c r="R1852">
        <f>WEEKNUM(datos_siembra[[#This Row],[Date]],2)-WEEKNUM(DATE(YEAR(datos_siembra[[#This Row],[Date]]),MONTH(datos_siembra[[#This Row],[Date]]),1))+1</f>
        <v>4</v>
      </c>
      <c r="S1852">
        <f>MONTH(datos_siembra[[#This Row],[Date]])</f>
        <v>9</v>
      </c>
      <c r="T1852" t="str" cm="1">
        <f t="array" ref="T1852">_xlfn.IFS(AND(N1852&lt;= 22, S1852=9), "SOWING",AND(N1852&lt;= 28, S1852=9), "COVERAGE",AND(N1852&lt;= 30, S1852=9), "FLUSH",AND(N1852&lt;= 11, S1852=10), "FLUSH",AND(N1852&lt;= 21, S1852=10), "PRODUCTION")</f>
        <v>FLUSH</v>
      </c>
      <c r="U1852">
        <f>HOUR(datos_siembra[[#This Row],[Hour]])</f>
        <v>14</v>
      </c>
      <c r="V1852" cm="1">
        <f t="array" ref="V1852">_xlfn.IFS(AND(N1852&lt;= 22, S1852=9), N1852-7,AND(N1852&lt;= 28, S1852=9), N1852-25,AND(N1852&lt;= 30, S1852=9), N1852-28,AND(N1852&lt;= 11, S1852=10), N1852+2,AND(N1852&lt;= 21, S1852=10), N1852-11)</f>
        <v>1</v>
      </c>
    </row>
    <row r="1853" spans="1:22" x14ac:dyDescent="0.35">
      <c r="A1853" s="4">
        <v>45564</v>
      </c>
      <c r="B1853" s="5">
        <v>0.60040509259259256</v>
      </c>
      <c r="C1853">
        <v>83.3</v>
      </c>
      <c r="D1853">
        <v>80.5</v>
      </c>
      <c r="E1853">
        <v>84.2</v>
      </c>
      <c r="F1853">
        <v>81.5</v>
      </c>
      <c r="G1853">
        <v>0</v>
      </c>
      <c r="H1853">
        <v>0</v>
      </c>
      <c r="I1853">
        <v>0</v>
      </c>
      <c r="J1853">
        <v>0</v>
      </c>
      <c r="K1853">
        <v>68.8</v>
      </c>
      <c r="L1853">
        <v>68</v>
      </c>
      <c r="M1853">
        <v>82.37</v>
      </c>
      <c r="N1853">
        <v>29</v>
      </c>
      <c r="O1853">
        <v>5</v>
      </c>
      <c r="P1853">
        <f>MOD(DAY(datos_siembra[[#This Row],[Date]]),7)</f>
        <v>1</v>
      </c>
      <c r="Q1853" t="str">
        <f>CHOOSE(WEEKDAY(datos_siembra[[#This Row],[Date]],2),"L","M","X","J","V","S","D")</f>
        <v>D</v>
      </c>
      <c r="R1853">
        <f>WEEKNUM(datos_siembra[[#This Row],[Date]],2)-WEEKNUM(DATE(YEAR(datos_siembra[[#This Row],[Date]]),MONTH(datos_siembra[[#This Row],[Date]]),1))+1</f>
        <v>4</v>
      </c>
      <c r="S1853">
        <f>MONTH(datos_siembra[[#This Row],[Date]])</f>
        <v>9</v>
      </c>
      <c r="T1853" t="str" cm="1">
        <f t="array" ref="T1853">_xlfn.IFS(AND(N1853&lt;= 22, S1853=9), "SOWING",AND(N1853&lt;= 28, S1853=9), "COVERAGE",AND(N1853&lt;= 30, S1853=9), "FLUSH",AND(N1853&lt;= 11, S1853=10), "FLUSH",AND(N1853&lt;= 21, S1853=10), "PRODUCTION")</f>
        <v>FLUSH</v>
      </c>
      <c r="U1853">
        <f>HOUR(datos_siembra[[#This Row],[Hour]])</f>
        <v>14</v>
      </c>
      <c r="V1853" cm="1">
        <f t="array" ref="V1853">_xlfn.IFS(AND(N1853&lt;= 22, S1853=9), N1853-7,AND(N1853&lt;= 28, S1853=9), N1853-25,AND(N1853&lt;= 30, S1853=9), N1853-28,AND(N1853&lt;= 11, S1853=10), N1853+2,AND(N1853&lt;= 21, S1853=10), N1853-11)</f>
        <v>1</v>
      </c>
    </row>
    <row r="1854" spans="1:22" x14ac:dyDescent="0.35">
      <c r="A1854" s="4">
        <v>45564</v>
      </c>
      <c r="B1854" s="5">
        <v>0.60736111111111113</v>
      </c>
      <c r="C1854">
        <v>83.2</v>
      </c>
      <c r="D1854">
        <v>80.5</v>
      </c>
      <c r="E1854">
        <v>84.2</v>
      </c>
      <c r="F1854">
        <v>80.900000000000006</v>
      </c>
      <c r="G1854">
        <v>0</v>
      </c>
      <c r="H1854">
        <v>0</v>
      </c>
      <c r="I1854">
        <v>0</v>
      </c>
      <c r="J1854">
        <v>0</v>
      </c>
      <c r="K1854">
        <v>68.900000000000006</v>
      </c>
      <c r="L1854">
        <v>68.2</v>
      </c>
      <c r="M1854">
        <v>82.26</v>
      </c>
      <c r="N1854">
        <v>29</v>
      </c>
      <c r="O1854">
        <v>5</v>
      </c>
      <c r="P1854">
        <f>MOD(DAY(datos_siembra[[#This Row],[Date]]),7)</f>
        <v>1</v>
      </c>
      <c r="Q1854" t="str">
        <f>CHOOSE(WEEKDAY(datos_siembra[[#This Row],[Date]],2),"L","M","X","J","V","S","D")</f>
        <v>D</v>
      </c>
      <c r="R1854">
        <f>WEEKNUM(datos_siembra[[#This Row],[Date]],2)-WEEKNUM(DATE(YEAR(datos_siembra[[#This Row],[Date]]),MONTH(datos_siembra[[#This Row],[Date]]),1))+1</f>
        <v>4</v>
      </c>
      <c r="S1854">
        <f>MONTH(datos_siembra[[#This Row],[Date]])</f>
        <v>9</v>
      </c>
      <c r="T1854" t="str" cm="1">
        <f t="array" ref="T1854">_xlfn.IFS(AND(N1854&lt;= 22, S1854=9), "SOWING",AND(N1854&lt;= 28, S1854=9), "COVERAGE",AND(N1854&lt;= 30, S1854=9), "FLUSH",AND(N1854&lt;= 11, S1854=10), "FLUSH",AND(N1854&lt;= 21, S1854=10), "PRODUCTION")</f>
        <v>FLUSH</v>
      </c>
      <c r="U1854">
        <f>HOUR(datos_siembra[[#This Row],[Hour]])</f>
        <v>14</v>
      </c>
      <c r="V1854" cm="1">
        <f t="array" ref="V1854">_xlfn.IFS(AND(N1854&lt;= 22, S1854=9), N1854-7,AND(N1854&lt;= 28, S1854=9), N1854-25,AND(N1854&lt;= 30, S1854=9), N1854-28,AND(N1854&lt;= 11, S1854=10), N1854+2,AND(N1854&lt;= 21, S1854=10), N1854-11)</f>
        <v>1</v>
      </c>
    </row>
    <row r="1855" spans="1:22" x14ac:dyDescent="0.35">
      <c r="A1855" s="4">
        <v>45564</v>
      </c>
      <c r="B1855" s="5">
        <v>0.61430555555555555</v>
      </c>
      <c r="C1855">
        <v>83</v>
      </c>
      <c r="D1855">
        <v>80.5</v>
      </c>
      <c r="E1855">
        <v>84.2</v>
      </c>
      <c r="F1855">
        <v>80.3</v>
      </c>
      <c r="G1855">
        <v>0</v>
      </c>
      <c r="H1855">
        <v>0</v>
      </c>
      <c r="I1855">
        <v>0</v>
      </c>
      <c r="J1855">
        <v>0</v>
      </c>
      <c r="K1855">
        <v>68.8</v>
      </c>
      <c r="L1855">
        <v>68.3</v>
      </c>
      <c r="M1855">
        <v>82.15</v>
      </c>
      <c r="N1855">
        <v>29</v>
      </c>
      <c r="O1855">
        <v>5</v>
      </c>
      <c r="P1855">
        <f>MOD(DAY(datos_siembra[[#This Row],[Date]]),7)</f>
        <v>1</v>
      </c>
      <c r="Q1855" t="str">
        <f>CHOOSE(WEEKDAY(datos_siembra[[#This Row],[Date]],2),"L","M","X","J","V","S","D")</f>
        <v>D</v>
      </c>
      <c r="R1855">
        <f>WEEKNUM(datos_siembra[[#This Row],[Date]],2)-WEEKNUM(DATE(YEAR(datos_siembra[[#This Row],[Date]]),MONTH(datos_siembra[[#This Row],[Date]]),1))+1</f>
        <v>4</v>
      </c>
      <c r="S1855">
        <f>MONTH(datos_siembra[[#This Row],[Date]])</f>
        <v>9</v>
      </c>
      <c r="T1855" t="str" cm="1">
        <f t="array" ref="T1855">_xlfn.IFS(AND(N1855&lt;= 22, S1855=9), "SOWING",AND(N1855&lt;= 28, S1855=9), "COVERAGE",AND(N1855&lt;= 30, S1855=9), "FLUSH",AND(N1855&lt;= 11, S1855=10), "FLUSH",AND(N1855&lt;= 21, S1855=10), "PRODUCTION")</f>
        <v>FLUSH</v>
      </c>
      <c r="U1855">
        <f>HOUR(datos_siembra[[#This Row],[Hour]])</f>
        <v>14</v>
      </c>
      <c r="V1855" cm="1">
        <f t="array" ref="V1855">_xlfn.IFS(AND(N1855&lt;= 22, S1855=9), N1855-7,AND(N1855&lt;= 28, S1855=9), N1855-25,AND(N1855&lt;= 30, S1855=9), N1855-28,AND(N1855&lt;= 11, S1855=10), N1855+2,AND(N1855&lt;= 21, S1855=10), N1855-11)</f>
        <v>1</v>
      </c>
    </row>
    <row r="1856" spans="1:22" x14ac:dyDescent="0.35">
      <c r="A1856" s="4">
        <v>45564</v>
      </c>
      <c r="B1856" s="5">
        <v>0.62124999999999997</v>
      </c>
      <c r="C1856">
        <v>83.2</v>
      </c>
      <c r="D1856">
        <v>80.400000000000006</v>
      </c>
      <c r="E1856">
        <v>84.2</v>
      </c>
      <c r="F1856">
        <v>81.599999999999994</v>
      </c>
      <c r="G1856">
        <v>0</v>
      </c>
      <c r="H1856">
        <v>0</v>
      </c>
      <c r="I1856">
        <v>0</v>
      </c>
      <c r="J1856">
        <v>0</v>
      </c>
      <c r="K1856">
        <v>68.7</v>
      </c>
      <c r="L1856">
        <v>68.2</v>
      </c>
      <c r="M1856">
        <v>82.15</v>
      </c>
      <c r="N1856">
        <v>29</v>
      </c>
      <c r="O1856">
        <v>5</v>
      </c>
      <c r="P1856">
        <f>MOD(DAY(datos_siembra[[#This Row],[Date]]),7)</f>
        <v>1</v>
      </c>
      <c r="Q1856" t="str">
        <f>CHOOSE(WEEKDAY(datos_siembra[[#This Row],[Date]],2),"L","M","X","J","V","S","D")</f>
        <v>D</v>
      </c>
      <c r="R1856">
        <f>WEEKNUM(datos_siembra[[#This Row],[Date]],2)-WEEKNUM(DATE(YEAR(datos_siembra[[#This Row],[Date]]),MONTH(datos_siembra[[#This Row],[Date]]),1))+1</f>
        <v>4</v>
      </c>
      <c r="S1856">
        <f>MONTH(datos_siembra[[#This Row],[Date]])</f>
        <v>9</v>
      </c>
      <c r="T1856" t="str" cm="1">
        <f t="array" ref="T1856">_xlfn.IFS(AND(N1856&lt;= 22, S1856=9), "SOWING",AND(N1856&lt;= 28, S1856=9), "COVERAGE",AND(N1856&lt;= 30, S1856=9), "FLUSH",AND(N1856&lt;= 11, S1856=10), "FLUSH",AND(N1856&lt;= 21, S1856=10), "PRODUCTION")</f>
        <v>FLUSH</v>
      </c>
      <c r="U1856">
        <f>HOUR(datos_siembra[[#This Row],[Hour]])</f>
        <v>14</v>
      </c>
      <c r="V1856" cm="1">
        <f t="array" ref="V1856">_xlfn.IFS(AND(N1856&lt;= 22, S1856=9), N1856-7,AND(N1856&lt;= 28, S1856=9), N1856-25,AND(N1856&lt;= 30, S1856=9), N1856-28,AND(N1856&lt;= 11, S1856=10), N1856+2,AND(N1856&lt;= 21, S1856=10), N1856-11)</f>
        <v>1</v>
      </c>
    </row>
    <row r="1857" spans="1:22" x14ac:dyDescent="0.35">
      <c r="A1857" s="4">
        <v>45564</v>
      </c>
      <c r="B1857" s="5">
        <v>0.62820601851851854</v>
      </c>
      <c r="C1857">
        <v>83.1</v>
      </c>
      <c r="D1857">
        <v>80.400000000000006</v>
      </c>
      <c r="E1857">
        <v>84.2</v>
      </c>
      <c r="F1857">
        <v>80.8</v>
      </c>
      <c r="G1857">
        <v>0</v>
      </c>
      <c r="H1857">
        <v>0</v>
      </c>
      <c r="I1857">
        <v>0</v>
      </c>
      <c r="J1857">
        <v>0</v>
      </c>
      <c r="K1857">
        <v>68.599999999999994</v>
      </c>
      <c r="L1857">
        <v>68.2</v>
      </c>
      <c r="M1857">
        <v>82.12</v>
      </c>
      <c r="N1857">
        <v>29</v>
      </c>
      <c r="O1857">
        <v>5</v>
      </c>
      <c r="P1857">
        <f>MOD(DAY(datos_siembra[[#This Row],[Date]]),7)</f>
        <v>1</v>
      </c>
      <c r="Q1857" t="str">
        <f>CHOOSE(WEEKDAY(datos_siembra[[#This Row],[Date]],2),"L","M","X","J","V","S","D")</f>
        <v>D</v>
      </c>
      <c r="R1857">
        <f>WEEKNUM(datos_siembra[[#This Row],[Date]],2)-WEEKNUM(DATE(YEAR(datos_siembra[[#This Row],[Date]]),MONTH(datos_siembra[[#This Row],[Date]]),1))+1</f>
        <v>4</v>
      </c>
      <c r="S1857">
        <f>MONTH(datos_siembra[[#This Row],[Date]])</f>
        <v>9</v>
      </c>
      <c r="T1857" t="str" cm="1">
        <f t="array" ref="T1857">_xlfn.IFS(AND(N1857&lt;= 22, S1857=9), "SOWING",AND(N1857&lt;= 28, S1857=9), "COVERAGE",AND(N1857&lt;= 30, S1857=9), "FLUSH",AND(N1857&lt;= 11, S1857=10), "FLUSH",AND(N1857&lt;= 21, S1857=10), "PRODUCTION")</f>
        <v>FLUSH</v>
      </c>
      <c r="U1857">
        <f>HOUR(datos_siembra[[#This Row],[Hour]])</f>
        <v>15</v>
      </c>
      <c r="V1857" cm="1">
        <f t="array" ref="V1857">_xlfn.IFS(AND(N1857&lt;= 22, S1857=9), N1857-7,AND(N1857&lt;= 28, S1857=9), N1857-25,AND(N1857&lt;= 30, S1857=9), N1857-28,AND(N1857&lt;= 11, S1857=10), N1857+2,AND(N1857&lt;= 21, S1857=10), N1857-11)</f>
        <v>1</v>
      </c>
    </row>
    <row r="1858" spans="1:22" x14ac:dyDescent="0.35">
      <c r="A1858" s="4">
        <v>45564</v>
      </c>
      <c r="B1858" s="5">
        <v>0.63515046296296296</v>
      </c>
      <c r="C1858">
        <v>83.2</v>
      </c>
      <c r="D1858">
        <v>80.3</v>
      </c>
      <c r="E1858">
        <v>84.1</v>
      </c>
      <c r="F1858">
        <v>80.900000000000006</v>
      </c>
      <c r="G1858">
        <v>0</v>
      </c>
      <c r="H1858">
        <v>0</v>
      </c>
      <c r="I1858">
        <v>0</v>
      </c>
      <c r="J1858">
        <v>0</v>
      </c>
      <c r="K1858">
        <v>68.3</v>
      </c>
      <c r="L1858">
        <v>68.3</v>
      </c>
      <c r="M1858">
        <v>82.01</v>
      </c>
      <c r="N1858">
        <v>29</v>
      </c>
      <c r="O1858">
        <v>5</v>
      </c>
      <c r="P1858">
        <f>MOD(DAY(datos_siembra[[#This Row],[Date]]),7)</f>
        <v>1</v>
      </c>
      <c r="Q1858" t="str">
        <f>CHOOSE(WEEKDAY(datos_siembra[[#This Row],[Date]],2),"L","M","X","J","V","S","D")</f>
        <v>D</v>
      </c>
      <c r="R1858">
        <f>WEEKNUM(datos_siembra[[#This Row],[Date]],2)-WEEKNUM(DATE(YEAR(datos_siembra[[#This Row],[Date]]),MONTH(datos_siembra[[#This Row],[Date]]),1))+1</f>
        <v>4</v>
      </c>
      <c r="S1858">
        <f>MONTH(datos_siembra[[#This Row],[Date]])</f>
        <v>9</v>
      </c>
      <c r="T1858" t="str" cm="1">
        <f t="array" ref="T1858">_xlfn.IFS(AND(N1858&lt;= 22, S1858=9), "SOWING",AND(N1858&lt;= 28, S1858=9), "COVERAGE",AND(N1858&lt;= 30, S1858=9), "FLUSH",AND(N1858&lt;= 11, S1858=10), "FLUSH",AND(N1858&lt;= 21, S1858=10), "PRODUCTION")</f>
        <v>FLUSH</v>
      </c>
      <c r="U1858">
        <f>HOUR(datos_siembra[[#This Row],[Hour]])</f>
        <v>15</v>
      </c>
      <c r="V1858" cm="1">
        <f t="array" ref="V1858">_xlfn.IFS(AND(N1858&lt;= 22, S1858=9), N1858-7,AND(N1858&lt;= 28, S1858=9), N1858-25,AND(N1858&lt;= 30, S1858=9), N1858-28,AND(N1858&lt;= 11, S1858=10), N1858+2,AND(N1858&lt;= 21, S1858=10), N1858-11)</f>
        <v>1</v>
      </c>
    </row>
    <row r="1859" spans="1:22" x14ac:dyDescent="0.35">
      <c r="A1859" s="4">
        <v>45564</v>
      </c>
      <c r="B1859" s="5">
        <v>0.64209490740740738</v>
      </c>
      <c r="C1859">
        <v>83</v>
      </c>
      <c r="D1859">
        <v>80.3</v>
      </c>
      <c r="E1859">
        <v>84.1</v>
      </c>
      <c r="F1859">
        <v>81.099999999999994</v>
      </c>
      <c r="G1859">
        <v>0</v>
      </c>
      <c r="H1859">
        <v>0</v>
      </c>
      <c r="I1859">
        <v>0</v>
      </c>
      <c r="J1859">
        <v>0</v>
      </c>
      <c r="K1859">
        <v>68.3</v>
      </c>
      <c r="L1859">
        <v>68.2</v>
      </c>
      <c r="M1859">
        <v>82.03</v>
      </c>
      <c r="N1859">
        <v>29</v>
      </c>
      <c r="O1859">
        <v>5</v>
      </c>
      <c r="P1859">
        <f>MOD(DAY(datos_siembra[[#This Row],[Date]]),7)</f>
        <v>1</v>
      </c>
      <c r="Q1859" t="str">
        <f>CHOOSE(WEEKDAY(datos_siembra[[#This Row],[Date]],2),"L","M","X","J","V","S","D")</f>
        <v>D</v>
      </c>
      <c r="R1859">
        <f>WEEKNUM(datos_siembra[[#This Row],[Date]],2)-WEEKNUM(DATE(YEAR(datos_siembra[[#This Row],[Date]]),MONTH(datos_siembra[[#This Row],[Date]]),1))+1</f>
        <v>4</v>
      </c>
      <c r="S1859">
        <f>MONTH(datos_siembra[[#This Row],[Date]])</f>
        <v>9</v>
      </c>
      <c r="T1859" t="str" cm="1">
        <f t="array" ref="T1859">_xlfn.IFS(AND(N1859&lt;= 22, S1859=9), "SOWING",AND(N1859&lt;= 28, S1859=9), "COVERAGE",AND(N1859&lt;= 30, S1859=9), "FLUSH",AND(N1859&lt;= 11, S1859=10), "FLUSH",AND(N1859&lt;= 21, S1859=10), "PRODUCTION")</f>
        <v>FLUSH</v>
      </c>
      <c r="U1859">
        <f>HOUR(datos_siembra[[#This Row],[Hour]])</f>
        <v>15</v>
      </c>
      <c r="V1859" cm="1">
        <f t="array" ref="V1859">_xlfn.IFS(AND(N1859&lt;= 22, S1859=9), N1859-7,AND(N1859&lt;= 28, S1859=9), N1859-25,AND(N1859&lt;= 30, S1859=9), N1859-28,AND(N1859&lt;= 11, S1859=10), N1859+2,AND(N1859&lt;= 21, S1859=10), N1859-11)</f>
        <v>1</v>
      </c>
    </row>
    <row r="1860" spans="1:22" x14ac:dyDescent="0.35">
      <c r="A1860" s="4">
        <v>45564</v>
      </c>
      <c r="B1860" s="5">
        <v>0.6490393518518518</v>
      </c>
      <c r="C1860">
        <v>82.9</v>
      </c>
      <c r="D1860">
        <v>80.400000000000006</v>
      </c>
      <c r="E1860">
        <v>84</v>
      </c>
      <c r="F1860">
        <v>80.900000000000006</v>
      </c>
      <c r="G1860">
        <v>0</v>
      </c>
      <c r="H1860">
        <v>0</v>
      </c>
      <c r="I1860">
        <v>0</v>
      </c>
      <c r="J1860">
        <v>0</v>
      </c>
      <c r="K1860">
        <v>68.5</v>
      </c>
      <c r="L1860">
        <v>68.2</v>
      </c>
      <c r="M1860">
        <v>82.09</v>
      </c>
      <c r="N1860">
        <v>29</v>
      </c>
      <c r="O1860">
        <v>5</v>
      </c>
      <c r="P1860">
        <f>MOD(DAY(datos_siembra[[#This Row],[Date]]),7)</f>
        <v>1</v>
      </c>
      <c r="Q1860" t="str">
        <f>CHOOSE(WEEKDAY(datos_siembra[[#This Row],[Date]],2),"L","M","X","J","V","S","D")</f>
        <v>D</v>
      </c>
      <c r="R1860">
        <f>WEEKNUM(datos_siembra[[#This Row],[Date]],2)-WEEKNUM(DATE(YEAR(datos_siembra[[#This Row],[Date]]),MONTH(datos_siembra[[#This Row],[Date]]),1))+1</f>
        <v>4</v>
      </c>
      <c r="S1860">
        <f>MONTH(datos_siembra[[#This Row],[Date]])</f>
        <v>9</v>
      </c>
      <c r="T1860" t="str" cm="1">
        <f t="array" ref="T1860">_xlfn.IFS(AND(N1860&lt;= 22, S1860=9), "SOWING",AND(N1860&lt;= 28, S1860=9), "COVERAGE",AND(N1860&lt;= 30, S1860=9), "FLUSH",AND(N1860&lt;= 11, S1860=10), "FLUSH",AND(N1860&lt;= 21, S1860=10), "PRODUCTION")</f>
        <v>FLUSH</v>
      </c>
      <c r="U1860">
        <f>HOUR(datos_siembra[[#This Row],[Hour]])</f>
        <v>15</v>
      </c>
      <c r="V1860" cm="1">
        <f t="array" ref="V1860">_xlfn.IFS(AND(N1860&lt;= 22, S1860=9), N1860-7,AND(N1860&lt;= 28, S1860=9), N1860-25,AND(N1860&lt;= 30, S1860=9), N1860-28,AND(N1860&lt;= 11, S1860=10), N1860+2,AND(N1860&lt;= 21, S1860=10), N1860-11)</f>
        <v>1</v>
      </c>
    </row>
    <row r="1861" spans="1:22" x14ac:dyDescent="0.35">
      <c r="A1861" s="4">
        <v>45564</v>
      </c>
      <c r="B1861" s="5">
        <v>0.65599537037037037</v>
      </c>
      <c r="C1861">
        <v>82.9</v>
      </c>
      <c r="D1861">
        <v>80.099999999999994</v>
      </c>
      <c r="E1861">
        <v>83.9</v>
      </c>
      <c r="F1861">
        <v>81.2</v>
      </c>
      <c r="G1861">
        <v>0</v>
      </c>
      <c r="H1861">
        <v>0</v>
      </c>
      <c r="I1861">
        <v>0</v>
      </c>
      <c r="J1861">
        <v>0</v>
      </c>
      <c r="K1861">
        <v>68.099999999999994</v>
      </c>
      <c r="L1861">
        <v>68.3</v>
      </c>
      <c r="M1861">
        <v>81.84</v>
      </c>
      <c r="N1861">
        <v>29</v>
      </c>
      <c r="O1861">
        <v>5</v>
      </c>
      <c r="P1861">
        <f>MOD(DAY(datos_siembra[[#This Row],[Date]]),7)</f>
        <v>1</v>
      </c>
      <c r="Q1861" t="str">
        <f>CHOOSE(WEEKDAY(datos_siembra[[#This Row],[Date]],2),"L","M","X","J","V","S","D")</f>
        <v>D</v>
      </c>
      <c r="R1861">
        <f>WEEKNUM(datos_siembra[[#This Row],[Date]],2)-WEEKNUM(DATE(YEAR(datos_siembra[[#This Row],[Date]]),MONTH(datos_siembra[[#This Row],[Date]]),1))+1</f>
        <v>4</v>
      </c>
      <c r="S1861">
        <f>MONTH(datos_siembra[[#This Row],[Date]])</f>
        <v>9</v>
      </c>
      <c r="T1861" t="str" cm="1">
        <f t="array" ref="T1861">_xlfn.IFS(AND(N1861&lt;= 22, S1861=9), "SOWING",AND(N1861&lt;= 28, S1861=9), "COVERAGE",AND(N1861&lt;= 30, S1861=9), "FLUSH",AND(N1861&lt;= 11, S1861=10), "FLUSH",AND(N1861&lt;= 21, S1861=10), "PRODUCTION")</f>
        <v>FLUSH</v>
      </c>
      <c r="U1861">
        <f>HOUR(datos_siembra[[#This Row],[Hour]])</f>
        <v>15</v>
      </c>
      <c r="V1861" cm="1">
        <f t="array" ref="V1861">_xlfn.IFS(AND(N1861&lt;= 22, S1861=9), N1861-7,AND(N1861&lt;= 28, S1861=9), N1861-25,AND(N1861&lt;= 30, S1861=9), N1861-28,AND(N1861&lt;= 11, S1861=10), N1861+2,AND(N1861&lt;= 21, S1861=10), N1861-11)</f>
        <v>1</v>
      </c>
    </row>
    <row r="1862" spans="1:22" x14ac:dyDescent="0.35">
      <c r="A1862" s="4">
        <v>45564</v>
      </c>
      <c r="B1862" s="5">
        <v>0.66293981481481479</v>
      </c>
      <c r="C1862">
        <v>82.9</v>
      </c>
      <c r="D1862">
        <v>80.3</v>
      </c>
      <c r="E1862">
        <v>83.8</v>
      </c>
      <c r="F1862">
        <v>80.8</v>
      </c>
      <c r="G1862">
        <v>0</v>
      </c>
      <c r="H1862">
        <v>0</v>
      </c>
      <c r="I1862">
        <v>0</v>
      </c>
      <c r="J1862">
        <v>0</v>
      </c>
      <c r="K1862">
        <v>68.2</v>
      </c>
      <c r="L1862">
        <v>68.2</v>
      </c>
      <c r="M1862">
        <v>81.89</v>
      </c>
      <c r="N1862">
        <v>29</v>
      </c>
      <c r="O1862">
        <v>5</v>
      </c>
      <c r="P1862">
        <f>MOD(DAY(datos_siembra[[#This Row],[Date]]),7)</f>
        <v>1</v>
      </c>
      <c r="Q1862" t="str">
        <f>CHOOSE(WEEKDAY(datos_siembra[[#This Row],[Date]],2),"L","M","X","J","V","S","D")</f>
        <v>D</v>
      </c>
      <c r="R1862">
        <f>WEEKNUM(datos_siembra[[#This Row],[Date]],2)-WEEKNUM(DATE(YEAR(datos_siembra[[#This Row],[Date]]),MONTH(datos_siembra[[#This Row],[Date]]),1))+1</f>
        <v>4</v>
      </c>
      <c r="S1862">
        <f>MONTH(datos_siembra[[#This Row],[Date]])</f>
        <v>9</v>
      </c>
      <c r="T1862" t="str" cm="1">
        <f t="array" ref="T1862">_xlfn.IFS(AND(N1862&lt;= 22, S1862=9), "SOWING",AND(N1862&lt;= 28, S1862=9), "COVERAGE",AND(N1862&lt;= 30, S1862=9), "FLUSH",AND(N1862&lt;= 11, S1862=10), "FLUSH",AND(N1862&lt;= 21, S1862=10), "PRODUCTION")</f>
        <v>FLUSH</v>
      </c>
      <c r="U1862">
        <f>HOUR(datos_siembra[[#This Row],[Hour]])</f>
        <v>15</v>
      </c>
      <c r="V1862" cm="1">
        <f t="array" ref="V1862">_xlfn.IFS(AND(N1862&lt;= 22, S1862=9), N1862-7,AND(N1862&lt;= 28, S1862=9), N1862-25,AND(N1862&lt;= 30, S1862=9), N1862-28,AND(N1862&lt;= 11, S1862=10), N1862+2,AND(N1862&lt;= 21, S1862=10), N1862-11)</f>
        <v>1</v>
      </c>
    </row>
    <row r="1863" spans="1:22" x14ac:dyDescent="0.35">
      <c r="A1863" s="4">
        <v>45564</v>
      </c>
      <c r="B1863" s="5">
        <v>0.66988425925925921</v>
      </c>
      <c r="C1863">
        <v>82.9</v>
      </c>
      <c r="D1863">
        <v>80.099999999999994</v>
      </c>
      <c r="E1863">
        <v>83.9</v>
      </c>
      <c r="F1863">
        <v>80.8</v>
      </c>
      <c r="G1863">
        <v>0</v>
      </c>
      <c r="H1863">
        <v>0</v>
      </c>
      <c r="I1863">
        <v>0</v>
      </c>
      <c r="J1863">
        <v>0</v>
      </c>
      <c r="K1863">
        <v>68.2</v>
      </c>
      <c r="L1863">
        <v>68.2</v>
      </c>
      <c r="M1863">
        <v>81.81</v>
      </c>
      <c r="N1863">
        <v>29</v>
      </c>
      <c r="O1863">
        <v>5</v>
      </c>
      <c r="P1863">
        <f>MOD(DAY(datos_siembra[[#This Row],[Date]]),7)</f>
        <v>1</v>
      </c>
      <c r="Q1863" t="str">
        <f>CHOOSE(WEEKDAY(datos_siembra[[#This Row],[Date]],2),"L","M","X","J","V","S","D")</f>
        <v>D</v>
      </c>
      <c r="R1863">
        <f>WEEKNUM(datos_siembra[[#This Row],[Date]],2)-WEEKNUM(DATE(YEAR(datos_siembra[[#This Row],[Date]]),MONTH(datos_siembra[[#This Row],[Date]]),1))+1</f>
        <v>4</v>
      </c>
      <c r="S1863">
        <f>MONTH(datos_siembra[[#This Row],[Date]])</f>
        <v>9</v>
      </c>
      <c r="T1863" t="str" cm="1">
        <f t="array" ref="T1863">_xlfn.IFS(AND(N1863&lt;= 22, S1863=9), "SOWING",AND(N1863&lt;= 28, S1863=9), "COVERAGE",AND(N1863&lt;= 30, S1863=9), "FLUSH",AND(N1863&lt;= 11, S1863=10), "FLUSH",AND(N1863&lt;= 21, S1863=10), "PRODUCTION")</f>
        <v>FLUSH</v>
      </c>
      <c r="U1863">
        <f>HOUR(datos_siembra[[#This Row],[Hour]])</f>
        <v>16</v>
      </c>
      <c r="V1863" cm="1">
        <f t="array" ref="V1863">_xlfn.IFS(AND(N1863&lt;= 22, S1863=9), N1863-7,AND(N1863&lt;= 28, S1863=9), N1863-25,AND(N1863&lt;= 30, S1863=9), N1863-28,AND(N1863&lt;= 11, S1863=10), N1863+2,AND(N1863&lt;= 21, S1863=10), N1863-11)</f>
        <v>1</v>
      </c>
    </row>
    <row r="1864" spans="1:22" x14ac:dyDescent="0.35">
      <c r="A1864" s="4">
        <v>45564</v>
      </c>
      <c r="B1864" s="5">
        <v>0.67684027777777778</v>
      </c>
      <c r="C1864">
        <v>82.9</v>
      </c>
      <c r="D1864">
        <v>80</v>
      </c>
      <c r="E1864">
        <v>83.8</v>
      </c>
      <c r="F1864">
        <v>80.8</v>
      </c>
      <c r="G1864">
        <v>0</v>
      </c>
      <c r="H1864">
        <v>0</v>
      </c>
      <c r="I1864">
        <v>0</v>
      </c>
      <c r="J1864">
        <v>0</v>
      </c>
      <c r="K1864">
        <v>68.2</v>
      </c>
      <c r="L1864">
        <v>68.099999999999994</v>
      </c>
      <c r="M1864">
        <v>81.87</v>
      </c>
      <c r="N1864">
        <v>29</v>
      </c>
      <c r="O1864">
        <v>5</v>
      </c>
      <c r="P1864">
        <f>MOD(DAY(datos_siembra[[#This Row],[Date]]),7)</f>
        <v>1</v>
      </c>
      <c r="Q1864" t="str">
        <f>CHOOSE(WEEKDAY(datos_siembra[[#This Row],[Date]],2),"L","M","X","J","V","S","D")</f>
        <v>D</v>
      </c>
      <c r="R1864">
        <f>WEEKNUM(datos_siembra[[#This Row],[Date]],2)-WEEKNUM(DATE(YEAR(datos_siembra[[#This Row],[Date]]),MONTH(datos_siembra[[#This Row],[Date]]),1))+1</f>
        <v>4</v>
      </c>
      <c r="S1864">
        <f>MONTH(datos_siembra[[#This Row],[Date]])</f>
        <v>9</v>
      </c>
      <c r="T1864" t="str" cm="1">
        <f t="array" ref="T1864">_xlfn.IFS(AND(N1864&lt;= 22, S1864=9), "SOWING",AND(N1864&lt;= 28, S1864=9), "COVERAGE",AND(N1864&lt;= 30, S1864=9), "FLUSH",AND(N1864&lt;= 11, S1864=10), "FLUSH",AND(N1864&lt;= 21, S1864=10), "PRODUCTION")</f>
        <v>FLUSH</v>
      </c>
      <c r="U1864">
        <f>HOUR(datos_siembra[[#This Row],[Hour]])</f>
        <v>16</v>
      </c>
      <c r="V1864" cm="1">
        <f t="array" ref="V1864">_xlfn.IFS(AND(N1864&lt;= 22, S1864=9), N1864-7,AND(N1864&lt;= 28, S1864=9), N1864-25,AND(N1864&lt;= 30, S1864=9), N1864-28,AND(N1864&lt;= 11, S1864=10), N1864+2,AND(N1864&lt;= 21, S1864=10), N1864-11)</f>
        <v>1</v>
      </c>
    </row>
    <row r="1865" spans="1:22" x14ac:dyDescent="0.35">
      <c r="A1865" s="4">
        <v>45564</v>
      </c>
      <c r="B1865" s="5">
        <v>0.6837847222222222</v>
      </c>
      <c r="C1865">
        <v>82.9</v>
      </c>
      <c r="D1865">
        <v>80</v>
      </c>
      <c r="E1865">
        <v>83.8</v>
      </c>
      <c r="F1865">
        <v>80.599999999999994</v>
      </c>
      <c r="G1865">
        <v>0</v>
      </c>
      <c r="H1865">
        <v>0</v>
      </c>
      <c r="I1865">
        <v>0</v>
      </c>
      <c r="J1865">
        <v>0</v>
      </c>
      <c r="K1865">
        <v>68</v>
      </c>
      <c r="L1865">
        <v>68.099999999999994</v>
      </c>
      <c r="M1865">
        <v>81.87</v>
      </c>
      <c r="N1865">
        <v>29</v>
      </c>
      <c r="O1865">
        <v>5</v>
      </c>
      <c r="P1865">
        <f>MOD(DAY(datos_siembra[[#This Row],[Date]]),7)</f>
        <v>1</v>
      </c>
      <c r="Q1865" t="str">
        <f>CHOOSE(WEEKDAY(datos_siembra[[#This Row],[Date]],2),"L","M","X","J","V","S","D")</f>
        <v>D</v>
      </c>
      <c r="R1865">
        <f>WEEKNUM(datos_siembra[[#This Row],[Date]],2)-WEEKNUM(DATE(YEAR(datos_siembra[[#This Row],[Date]]),MONTH(datos_siembra[[#This Row],[Date]]),1))+1</f>
        <v>4</v>
      </c>
      <c r="S1865">
        <f>MONTH(datos_siembra[[#This Row],[Date]])</f>
        <v>9</v>
      </c>
      <c r="T1865" t="str" cm="1">
        <f t="array" ref="T1865">_xlfn.IFS(AND(N1865&lt;= 22, S1865=9), "SOWING",AND(N1865&lt;= 28, S1865=9), "COVERAGE",AND(N1865&lt;= 30, S1865=9), "FLUSH",AND(N1865&lt;= 11, S1865=10), "FLUSH",AND(N1865&lt;= 21, S1865=10), "PRODUCTION")</f>
        <v>FLUSH</v>
      </c>
      <c r="U1865">
        <f>HOUR(datos_siembra[[#This Row],[Hour]])</f>
        <v>16</v>
      </c>
      <c r="V1865" cm="1">
        <f t="array" ref="V1865">_xlfn.IFS(AND(N1865&lt;= 22, S1865=9), N1865-7,AND(N1865&lt;= 28, S1865=9), N1865-25,AND(N1865&lt;= 30, S1865=9), N1865-28,AND(N1865&lt;= 11, S1865=10), N1865+2,AND(N1865&lt;= 21, S1865=10), N1865-11)</f>
        <v>1</v>
      </c>
    </row>
    <row r="1866" spans="1:22" x14ac:dyDescent="0.35">
      <c r="A1866" s="4">
        <v>45564</v>
      </c>
      <c r="B1866" s="5">
        <v>0.69072916666666662</v>
      </c>
      <c r="C1866">
        <v>82.9</v>
      </c>
      <c r="D1866">
        <v>80.099999999999994</v>
      </c>
      <c r="E1866">
        <v>83.8</v>
      </c>
      <c r="F1866">
        <v>80.7</v>
      </c>
      <c r="G1866">
        <v>0</v>
      </c>
      <c r="H1866">
        <v>0</v>
      </c>
      <c r="I1866">
        <v>0</v>
      </c>
      <c r="J1866">
        <v>0</v>
      </c>
      <c r="K1866">
        <v>68</v>
      </c>
      <c r="L1866">
        <v>68</v>
      </c>
      <c r="M1866">
        <v>81.75</v>
      </c>
      <c r="N1866">
        <v>29</v>
      </c>
      <c r="O1866">
        <v>5</v>
      </c>
      <c r="P1866">
        <f>MOD(DAY(datos_siembra[[#This Row],[Date]]),7)</f>
        <v>1</v>
      </c>
      <c r="Q1866" t="str">
        <f>CHOOSE(WEEKDAY(datos_siembra[[#This Row],[Date]],2),"L","M","X","J","V","S","D")</f>
        <v>D</v>
      </c>
      <c r="R1866">
        <f>WEEKNUM(datos_siembra[[#This Row],[Date]],2)-WEEKNUM(DATE(YEAR(datos_siembra[[#This Row],[Date]]),MONTH(datos_siembra[[#This Row],[Date]]),1))+1</f>
        <v>4</v>
      </c>
      <c r="S1866">
        <f>MONTH(datos_siembra[[#This Row],[Date]])</f>
        <v>9</v>
      </c>
      <c r="T1866" t="str" cm="1">
        <f t="array" ref="T1866">_xlfn.IFS(AND(N1866&lt;= 22, S1866=9), "SOWING",AND(N1866&lt;= 28, S1866=9), "COVERAGE",AND(N1866&lt;= 30, S1866=9), "FLUSH",AND(N1866&lt;= 11, S1866=10), "FLUSH",AND(N1866&lt;= 21, S1866=10), "PRODUCTION")</f>
        <v>FLUSH</v>
      </c>
      <c r="U1866">
        <f>HOUR(datos_siembra[[#This Row],[Hour]])</f>
        <v>16</v>
      </c>
      <c r="V1866" cm="1">
        <f t="array" ref="V1866">_xlfn.IFS(AND(N1866&lt;= 22, S1866=9), N1866-7,AND(N1866&lt;= 28, S1866=9), N1866-25,AND(N1866&lt;= 30, S1866=9), N1866-28,AND(N1866&lt;= 11, S1866=10), N1866+2,AND(N1866&lt;= 21, S1866=10), N1866-11)</f>
        <v>1</v>
      </c>
    </row>
    <row r="1867" spans="1:22" x14ac:dyDescent="0.35">
      <c r="A1867" s="4">
        <v>45564</v>
      </c>
      <c r="B1867" s="5">
        <v>0.69768518518518519</v>
      </c>
      <c r="C1867">
        <v>82.6</v>
      </c>
      <c r="D1867">
        <v>80</v>
      </c>
      <c r="E1867">
        <v>83.8</v>
      </c>
      <c r="F1867">
        <v>80.5</v>
      </c>
      <c r="G1867">
        <v>0</v>
      </c>
      <c r="H1867">
        <v>0</v>
      </c>
      <c r="I1867">
        <v>0</v>
      </c>
      <c r="J1867">
        <v>0</v>
      </c>
      <c r="K1867">
        <v>68</v>
      </c>
      <c r="L1867">
        <v>67.900000000000006</v>
      </c>
      <c r="M1867">
        <v>81.58</v>
      </c>
      <c r="N1867">
        <v>29</v>
      </c>
      <c r="O1867">
        <v>5</v>
      </c>
      <c r="P1867">
        <f>MOD(DAY(datos_siembra[[#This Row],[Date]]),7)</f>
        <v>1</v>
      </c>
      <c r="Q1867" t="str">
        <f>CHOOSE(WEEKDAY(datos_siembra[[#This Row],[Date]],2),"L","M","X","J","V","S","D")</f>
        <v>D</v>
      </c>
      <c r="R1867">
        <f>WEEKNUM(datos_siembra[[#This Row],[Date]],2)-WEEKNUM(DATE(YEAR(datos_siembra[[#This Row],[Date]]),MONTH(datos_siembra[[#This Row],[Date]]),1))+1</f>
        <v>4</v>
      </c>
      <c r="S1867">
        <f>MONTH(datos_siembra[[#This Row],[Date]])</f>
        <v>9</v>
      </c>
      <c r="T1867" t="str" cm="1">
        <f t="array" ref="T1867">_xlfn.IFS(AND(N1867&lt;= 22, S1867=9), "SOWING",AND(N1867&lt;= 28, S1867=9), "COVERAGE",AND(N1867&lt;= 30, S1867=9), "FLUSH",AND(N1867&lt;= 11, S1867=10), "FLUSH",AND(N1867&lt;= 21, S1867=10), "PRODUCTION")</f>
        <v>FLUSH</v>
      </c>
      <c r="U1867">
        <f>HOUR(datos_siembra[[#This Row],[Hour]])</f>
        <v>16</v>
      </c>
      <c r="V1867" cm="1">
        <f t="array" ref="V1867">_xlfn.IFS(AND(N1867&lt;= 22, S1867=9), N1867-7,AND(N1867&lt;= 28, S1867=9), N1867-25,AND(N1867&lt;= 30, S1867=9), N1867-28,AND(N1867&lt;= 11, S1867=10), N1867+2,AND(N1867&lt;= 21, S1867=10), N1867-11)</f>
        <v>1</v>
      </c>
    </row>
    <row r="1868" spans="1:22" x14ac:dyDescent="0.35">
      <c r="A1868" s="4">
        <v>45564</v>
      </c>
      <c r="B1868" s="5">
        <v>0.70462962962962961</v>
      </c>
      <c r="C1868">
        <v>82.7</v>
      </c>
      <c r="D1868">
        <v>80.099999999999994</v>
      </c>
      <c r="E1868">
        <v>83.5</v>
      </c>
      <c r="F1868">
        <v>80.5</v>
      </c>
      <c r="G1868">
        <v>0</v>
      </c>
      <c r="H1868">
        <v>0</v>
      </c>
      <c r="I1868">
        <v>0</v>
      </c>
      <c r="J1868">
        <v>0</v>
      </c>
      <c r="K1868">
        <v>67.900000000000006</v>
      </c>
      <c r="L1868">
        <v>67.900000000000006</v>
      </c>
      <c r="M1868">
        <v>81.72</v>
      </c>
      <c r="N1868">
        <v>29</v>
      </c>
      <c r="O1868">
        <v>5</v>
      </c>
      <c r="P1868">
        <f>MOD(DAY(datos_siembra[[#This Row],[Date]]),7)</f>
        <v>1</v>
      </c>
      <c r="Q1868" t="str">
        <f>CHOOSE(WEEKDAY(datos_siembra[[#This Row],[Date]],2),"L","M","X","J","V","S","D")</f>
        <v>D</v>
      </c>
      <c r="R1868">
        <f>WEEKNUM(datos_siembra[[#This Row],[Date]],2)-WEEKNUM(DATE(YEAR(datos_siembra[[#This Row],[Date]]),MONTH(datos_siembra[[#This Row],[Date]]),1))+1</f>
        <v>4</v>
      </c>
      <c r="S1868">
        <f>MONTH(datos_siembra[[#This Row],[Date]])</f>
        <v>9</v>
      </c>
      <c r="T1868" t="str" cm="1">
        <f t="array" ref="T1868">_xlfn.IFS(AND(N1868&lt;= 22, S1868=9), "SOWING",AND(N1868&lt;= 28, S1868=9), "COVERAGE",AND(N1868&lt;= 30, S1868=9), "FLUSH",AND(N1868&lt;= 11, S1868=10), "FLUSH",AND(N1868&lt;= 21, S1868=10), "PRODUCTION")</f>
        <v>FLUSH</v>
      </c>
      <c r="U1868">
        <f>HOUR(datos_siembra[[#This Row],[Hour]])</f>
        <v>16</v>
      </c>
      <c r="V1868" cm="1">
        <f t="array" ref="V1868">_xlfn.IFS(AND(N1868&lt;= 22, S1868=9), N1868-7,AND(N1868&lt;= 28, S1868=9), N1868-25,AND(N1868&lt;= 30, S1868=9), N1868-28,AND(N1868&lt;= 11, S1868=10), N1868+2,AND(N1868&lt;= 21, S1868=10), N1868-11)</f>
        <v>1</v>
      </c>
    </row>
    <row r="1869" spans="1:22" x14ac:dyDescent="0.35">
      <c r="A1869" s="4">
        <v>45564</v>
      </c>
      <c r="B1869" s="5">
        <v>0.71157407407407403</v>
      </c>
      <c r="C1869">
        <v>82.5</v>
      </c>
      <c r="D1869">
        <v>80</v>
      </c>
      <c r="E1869">
        <v>83.6</v>
      </c>
      <c r="F1869">
        <v>80.5</v>
      </c>
      <c r="G1869">
        <v>0</v>
      </c>
      <c r="H1869">
        <v>0</v>
      </c>
      <c r="I1869">
        <v>0</v>
      </c>
      <c r="J1869">
        <v>0</v>
      </c>
      <c r="K1869">
        <v>68</v>
      </c>
      <c r="L1869">
        <v>67.900000000000006</v>
      </c>
      <c r="M1869">
        <v>81.64</v>
      </c>
      <c r="N1869">
        <v>29</v>
      </c>
      <c r="O1869">
        <v>5</v>
      </c>
      <c r="P1869">
        <f>MOD(DAY(datos_siembra[[#This Row],[Date]]),7)</f>
        <v>1</v>
      </c>
      <c r="Q1869" t="str">
        <f>CHOOSE(WEEKDAY(datos_siembra[[#This Row],[Date]],2),"L","M","X","J","V","S","D")</f>
        <v>D</v>
      </c>
      <c r="R1869">
        <f>WEEKNUM(datos_siembra[[#This Row],[Date]],2)-WEEKNUM(DATE(YEAR(datos_siembra[[#This Row],[Date]]),MONTH(datos_siembra[[#This Row],[Date]]),1))+1</f>
        <v>4</v>
      </c>
      <c r="S1869">
        <f>MONTH(datos_siembra[[#This Row],[Date]])</f>
        <v>9</v>
      </c>
      <c r="T1869" t="str" cm="1">
        <f t="array" ref="T1869">_xlfn.IFS(AND(N1869&lt;= 22, S1869=9), "SOWING",AND(N1869&lt;= 28, S1869=9), "COVERAGE",AND(N1869&lt;= 30, S1869=9), "FLUSH",AND(N1869&lt;= 11, S1869=10), "FLUSH",AND(N1869&lt;= 21, S1869=10), "PRODUCTION")</f>
        <v>FLUSH</v>
      </c>
      <c r="U1869">
        <f>HOUR(datos_siembra[[#This Row],[Hour]])</f>
        <v>17</v>
      </c>
      <c r="V1869" cm="1">
        <f t="array" ref="V1869">_xlfn.IFS(AND(N1869&lt;= 22, S1869=9), N1869-7,AND(N1869&lt;= 28, S1869=9), N1869-25,AND(N1869&lt;= 30, S1869=9), N1869-28,AND(N1869&lt;= 11, S1869=10), N1869+2,AND(N1869&lt;= 21, S1869=10), N1869-11)</f>
        <v>1</v>
      </c>
    </row>
    <row r="1870" spans="1:22" x14ac:dyDescent="0.35">
      <c r="A1870" s="4">
        <v>45564</v>
      </c>
      <c r="B1870" s="5">
        <v>0.7185300925925926</v>
      </c>
      <c r="C1870">
        <v>82.6</v>
      </c>
      <c r="D1870">
        <v>79.900000000000006</v>
      </c>
      <c r="E1870">
        <v>83.4</v>
      </c>
      <c r="F1870">
        <v>80.400000000000006</v>
      </c>
      <c r="G1870">
        <v>0</v>
      </c>
      <c r="H1870">
        <v>0</v>
      </c>
      <c r="I1870">
        <v>0</v>
      </c>
      <c r="J1870">
        <v>0</v>
      </c>
      <c r="K1870">
        <v>68.099999999999994</v>
      </c>
      <c r="L1870">
        <v>68</v>
      </c>
      <c r="M1870">
        <v>81.58</v>
      </c>
      <c r="N1870">
        <v>29</v>
      </c>
      <c r="O1870">
        <v>5</v>
      </c>
      <c r="P1870">
        <f>MOD(DAY(datos_siembra[[#This Row],[Date]]),7)</f>
        <v>1</v>
      </c>
      <c r="Q1870" t="str">
        <f>CHOOSE(WEEKDAY(datos_siembra[[#This Row],[Date]],2),"L","M","X","J","V","S","D")</f>
        <v>D</v>
      </c>
      <c r="R1870">
        <f>WEEKNUM(datos_siembra[[#This Row],[Date]],2)-WEEKNUM(DATE(YEAR(datos_siembra[[#This Row],[Date]]),MONTH(datos_siembra[[#This Row],[Date]]),1))+1</f>
        <v>4</v>
      </c>
      <c r="S1870">
        <f>MONTH(datos_siembra[[#This Row],[Date]])</f>
        <v>9</v>
      </c>
      <c r="T1870" t="str" cm="1">
        <f t="array" ref="T1870">_xlfn.IFS(AND(N1870&lt;= 22, S1870=9), "SOWING",AND(N1870&lt;= 28, S1870=9), "COVERAGE",AND(N1870&lt;= 30, S1870=9), "FLUSH",AND(N1870&lt;= 11, S1870=10), "FLUSH",AND(N1870&lt;= 21, S1870=10), "PRODUCTION")</f>
        <v>FLUSH</v>
      </c>
      <c r="U1870">
        <f>HOUR(datos_siembra[[#This Row],[Hour]])</f>
        <v>17</v>
      </c>
      <c r="V1870" cm="1">
        <f t="array" ref="V1870">_xlfn.IFS(AND(N1870&lt;= 22, S1870=9), N1870-7,AND(N1870&lt;= 28, S1870=9), N1870-25,AND(N1870&lt;= 30, S1870=9), N1870-28,AND(N1870&lt;= 11, S1870=10), N1870+2,AND(N1870&lt;= 21, S1870=10), N1870-11)</f>
        <v>1</v>
      </c>
    </row>
    <row r="1871" spans="1:22" x14ac:dyDescent="0.35">
      <c r="A1871" s="4">
        <v>45564</v>
      </c>
      <c r="B1871" s="5">
        <v>0.72547453703703701</v>
      </c>
      <c r="C1871">
        <v>82.6</v>
      </c>
      <c r="D1871">
        <v>79.900000000000006</v>
      </c>
      <c r="E1871">
        <v>83.5</v>
      </c>
      <c r="F1871">
        <v>80.400000000000006</v>
      </c>
      <c r="G1871">
        <v>0</v>
      </c>
      <c r="H1871">
        <v>0</v>
      </c>
      <c r="I1871">
        <v>0</v>
      </c>
      <c r="J1871">
        <v>0</v>
      </c>
      <c r="K1871">
        <v>68.900000000000006</v>
      </c>
      <c r="L1871">
        <v>68.599999999999994</v>
      </c>
      <c r="M1871">
        <v>81.61</v>
      </c>
      <c r="N1871">
        <v>29</v>
      </c>
      <c r="O1871">
        <v>5</v>
      </c>
      <c r="P1871">
        <f>MOD(DAY(datos_siembra[[#This Row],[Date]]),7)</f>
        <v>1</v>
      </c>
      <c r="Q1871" t="str">
        <f>CHOOSE(WEEKDAY(datos_siembra[[#This Row],[Date]],2),"L","M","X","J","V","S","D")</f>
        <v>D</v>
      </c>
      <c r="R1871">
        <f>WEEKNUM(datos_siembra[[#This Row],[Date]],2)-WEEKNUM(DATE(YEAR(datos_siembra[[#This Row],[Date]]),MONTH(datos_siembra[[#This Row],[Date]]),1))+1</f>
        <v>4</v>
      </c>
      <c r="S1871">
        <f>MONTH(datos_siembra[[#This Row],[Date]])</f>
        <v>9</v>
      </c>
      <c r="T1871" t="str" cm="1">
        <f t="array" ref="T1871">_xlfn.IFS(AND(N1871&lt;= 22, S1871=9), "SOWING",AND(N1871&lt;= 28, S1871=9), "COVERAGE",AND(N1871&lt;= 30, S1871=9), "FLUSH",AND(N1871&lt;= 11, S1871=10), "FLUSH",AND(N1871&lt;= 21, S1871=10), "PRODUCTION")</f>
        <v>FLUSH</v>
      </c>
      <c r="U1871">
        <f>HOUR(datos_siembra[[#This Row],[Hour]])</f>
        <v>17</v>
      </c>
      <c r="V1871" cm="1">
        <f t="array" ref="V1871">_xlfn.IFS(AND(N1871&lt;= 22, S1871=9), N1871-7,AND(N1871&lt;= 28, S1871=9), N1871-25,AND(N1871&lt;= 30, S1871=9), N1871-28,AND(N1871&lt;= 11, S1871=10), N1871+2,AND(N1871&lt;= 21, S1871=10), N1871-11)</f>
        <v>1</v>
      </c>
    </row>
    <row r="1872" spans="1:22" x14ac:dyDescent="0.35">
      <c r="A1872" s="4">
        <v>45564</v>
      </c>
      <c r="B1872" s="5">
        <v>0.73241898148148143</v>
      </c>
      <c r="C1872">
        <v>82.5</v>
      </c>
      <c r="D1872">
        <v>79.900000000000006</v>
      </c>
      <c r="E1872">
        <v>83.4</v>
      </c>
      <c r="F1872">
        <v>80.400000000000006</v>
      </c>
      <c r="G1872">
        <v>0</v>
      </c>
      <c r="H1872">
        <v>0</v>
      </c>
      <c r="I1872">
        <v>0</v>
      </c>
      <c r="J1872">
        <v>0</v>
      </c>
      <c r="K1872">
        <v>69.400000000000006</v>
      </c>
      <c r="L1872">
        <v>69</v>
      </c>
      <c r="M1872">
        <v>81.5</v>
      </c>
      <c r="N1872">
        <v>29</v>
      </c>
      <c r="O1872">
        <v>5</v>
      </c>
      <c r="P1872">
        <f>MOD(DAY(datos_siembra[[#This Row],[Date]]),7)</f>
        <v>1</v>
      </c>
      <c r="Q1872" t="str">
        <f>CHOOSE(WEEKDAY(datos_siembra[[#This Row],[Date]],2),"L","M","X","J","V","S","D")</f>
        <v>D</v>
      </c>
      <c r="R1872">
        <f>WEEKNUM(datos_siembra[[#This Row],[Date]],2)-WEEKNUM(DATE(YEAR(datos_siembra[[#This Row],[Date]]),MONTH(datos_siembra[[#This Row],[Date]]),1))+1</f>
        <v>4</v>
      </c>
      <c r="S1872">
        <f>MONTH(datos_siembra[[#This Row],[Date]])</f>
        <v>9</v>
      </c>
      <c r="T1872" t="str" cm="1">
        <f t="array" ref="T1872">_xlfn.IFS(AND(N1872&lt;= 22, S1872=9), "SOWING",AND(N1872&lt;= 28, S1872=9), "COVERAGE",AND(N1872&lt;= 30, S1872=9), "FLUSH",AND(N1872&lt;= 11, S1872=10), "FLUSH",AND(N1872&lt;= 21, S1872=10), "PRODUCTION")</f>
        <v>FLUSH</v>
      </c>
      <c r="U1872">
        <f>HOUR(datos_siembra[[#This Row],[Hour]])</f>
        <v>17</v>
      </c>
      <c r="V1872" cm="1">
        <f t="array" ref="V1872">_xlfn.IFS(AND(N1872&lt;= 22, S1872=9), N1872-7,AND(N1872&lt;= 28, S1872=9), N1872-25,AND(N1872&lt;= 30, S1872=9), N1872-28,AND(N1872&lt;= 11, S1872=10), N1872+2,AND(N1872&lt;= 21, S1872=10), N1872-11)</f>
        <v>1</v>
      </c>
    </row>
    <row r="1873" spans="1:22" x14ac:dyDescent="0.35">
      <c r="A1873" s="4">
        <v>45564</v>
      </c>
      <c r="B1873" s="5">
        <v>0.73936342592592597</v>
      </c>
      <c r="C1873">
        <v>82.3</v>
      </c>
      <c r="D1873">
        <v>79.8</v>
      </c>
      <c r="E1873">
        <v>83.3</v>
      </c>
      <c r="F1873">
        <v>80.400000000000006</v>
      </c>
      <c r="G1873">
        <v>0</v>
      </c>
      <c r="H1873">
        <v>0</v>
      </c>
      <c r="I1873">
        <v>0</v>
      </c>
      <c r="J1873">
        <v>0</v>
      </c>
      <c r="K1873">
        <v>68.599999999999994</v>
      </c>
      <c r="L1873">
        <v>68.5</v>
      </c>
      <c r="M1873">
        <v>81.47</v>
      </c>
      <c r="N1873">
        <v>29</v>
      </c>
      <c r="O1873">
        <v>5</v>
      </c>
      <c r="P1873">
        <f>MOD(DAY(datos_siembra[[#This Row],[Date]]),7)</f>
        <v>1</v>
      </c>
      <c r="Q1873" t="str">
        <f>CHOOSE(WEEKDAY(datos_siembra[[#This Row],[Date]],2),"L","M","X","J","V","S","D")</f>
        <v>D</v>
      </c>
      <c r="R1873">
        <f>WEEKNUM(datos_siembra[[#This Row],[Date]],2)-WEEKNUM(DATE(YEAR(datos_siembra[[#This Row],[Date]]),MONTH(datos_siembra[[#This Row],[Date]]),1))+1</f>
        <v>4</v>
      </c>
      <c r="S1873">
        <f>MONTH(datos_siembra[[#This Row],[Date]])</f>
        <v>9</v>
      </c>
      <c r="T1873" t="str" cm="1">
        <f t="array" ref="T1873">_xlfn.IFS(AND(N1873&lt;= 22, S1873=9), "SOWING",AND(N1873&lt;= 28, S1873=9), "COVERAGE",AND(N1873&lt;= 30, S1873=9), "FLUSH",AND(N1873&lt;= 11, S1873=10), "FLUSH",AND(N1873&lt;= 21, S1873=10), "PRODUCTION")</f>
        <v>FLUSH</v>
      </c>
      <c r="U1873">
        <f>HOUR(datos_siembra[[#This Row],[Hour]])</f>
        <v>17</v>
      </c>
      <c r="V1873" cm="1">
        <f t="array" ref="V1873">_xlfn.IFS(AND(N1873&lt;= 22, S1873=9), N1873-7,AND(N1873&lt;= 28, S1873=9), N1873-25,AND(N1873&lt;= 30, S1873=9), N1873-28,AND(N1873&lt;= 11, S1873=10), N1873+2,AND(N1873&lt;= 21, S1873=10), N1873-11)</f>
        <v>1</v>
      </c>
    </row>
    <row r="1874" spans="1:22" x14ac:dyDescent="0.35">
      <c r="A1874" s="4">
        <v>45564</v>
      </c>
      <c r="B1874" s="5">
        <v>0.74631944444444442</v>
      </c>
      <c r="C1874">
        <v>82.4</v>
      </c>
      <c r="D1874">
        <v>79.900000000000006</v>
      </c>
      <c r="E1874">
        <v>83.3</v>
      </c>
      <c r="F1874">
        <v>80.3</v>
      </c>
      <c r="G1874">
        <v>0</v>
      </c>
      <c r="H1874">
        <v>0</v>
      </c>
      <c r="I1874">
        <v>0</v>
      </c>
      <c r="J1874">
        <v>0</v>
      </c>
      <c r="K1874">
        <v>68.2</v>
      </c>
      <c r="L1874">
        <v>68.2</v>
      </c>
      <c r="M1874">
        <v>81.42</v>
      </c>
      <c r="N1874">
        <v>29</v>
      </c>
      <c r="O1874">
        <v>5</v>
      </c>
      <c r="P1874">
        <f>MOD(DAY(datos_siembra[[#This Row],[Date]]),7)</f>
        <v>1</v>
      </c>
      <c r="Q1874" t="str">
        <f>CHOOSE(WEEKDAY(datos_siembra[[#This Row],[Date]],2),"L","M","X","J","V","S","D")</f>
        <v>D</v>
      </c>
      <c r="R1874">
        <f>WEEKNUM(datos_siembra[[#This Row],[Date]],2)-WEEKNUM(DATE(YEAR(datos_siembra[[#This Row],[Date]]),MONTH(datos_siembra[[#This Row],[Date]]),1))+1</f>
        <v>4</v>
      </c>
      <c r="S1874">
        <f>MONTH(datos_siembra[[#This Row],[Date]])</f>
        <v>9</v>
      </c>
      <c r="T1874" t="str" cm="1">
        <f t="array" ref="T1874">_xlfn.IFS(AND(N1874&lt;= 22, S1874=9), "SOWING",AND(N1874&lt;= 28, S1874=9), "COVERAGE",AND(N1874&lt;= 30, S1874=9), "FLUSH",AND(N1874&lt;= 11, S1874=10), "FLUSH",AND(N1874&lt;= 21, S1874=10), "PRODUCTION")</f>
        <v>FLUSH</v>
      </c>
      <c r="U1874">
        <f>HOUR(datos_siembra[[#This Row],[Hour]])</f>
        <v>17</v>
      </c>
      <c r="V1874" cm="1">
        <f t="array" ref="V1874">_xlfn.IFS(AND(N1874&lt;= 22, S1874=9), N1874-7,AND(N1874&lt;= 28, S1874=9), N1874-25,AND(N1874&lt;= 30, S1874=9), N1874-28,AND(N1874&lt;= 11, S1874=10), N1874+2,AND(N1874&lt;= 21, S1874=10), N1874-11)</f>
        <v>1</v>
      </c>
    </row>
    <row r="1875" spans="1:22" x14ac:dyDescent="0.35">
      <c r="A1875" s="4">
        <v>45564</v>
      </c>
      <c r="B1875" s="5">
        <v>0.75326388888888884</v>
      </c>
      <c r="C1875">
        <v>82.4</v>
      </c>
      <c r="D1875">
        <v>79.8</v>
      </c>
      <c r="E1875">
        <v>83.3</v>
      </c>
      <c r="F1875">
        <v>80.3</v>
      </c>
      <c r="G1875">
        <v>0</v>
      </c>
      <c r="H1875">
        <v>0</v>
      </c>
      <c r="I1875">
        <v>0</v>
      </c>
      <c r="J1875">
        <v>0</v>
      </c>
      <c r="K1875">
        <v>68.099999999999994</v>
      </c>
      <c r="L1875">
        <v>68.099999999999994</v>
      </c>
      <c r="M1875">
        <v>81.33</v>
      </c>
      <c r="N1875">
        <v>29</v>
      </c>
      <c r="O1875">
        <v>5</v>
      </c>
      <c r="P1875">
        <f>MOD(DAY(datos_siembra[[#This Row],[Date]]),7)</f>
        <v>1</v>
      </c>
      <c r="Q1875" t="str">
        <f>CHOOSE(WEEKDAY(datos_siembra[[#This Row],[Date]],2),"L","M","X","J","V","S","D")</f>
        <v>D</v>
      </c>
      <c r="R1875">
        <f>WEEKNUM(datos_siembra[[#This Row],[Date]],2)-WEEKNUM(DATE(YEAR(datos_siembra[[#This Row],[Date]]),MONTH(datos_siembra[[#This Row],[Date]]),1))+1</f>
        <v>4</v>
      </c>
      <c r="S1875">
        <f>MONTH(datos_siembra[[#This Row],[Date]])</f>
        <v>9</v>
      </c>
      <c r="T1875" t="str" cm="1">
        <f t="array" ref="T1875">_xlfn.IFS(AND(N1875&lt;= 22, S1875=9), "SOWING",AND(N1875&lt;= 28, S1875=9), "COVERAGE",AND(N1875&lt;= 30, S1875=9), "FLUSH",AND(N1875&lt;= 11, S1875=10), "FLUSH",AND(N1875&lt;= 21, S1875=10), "PRODUCTION")</f>
        <v>FLUSH</v>
      </c>
      <c r="U1875">
        <f>HOUR(datos_siembra[[#This Row],[Hour]])</f>
        <v>18</v>
      </c>
      <c r="V1875" cm="1">
        <f t="array" ref="V1875">_xlfn.IFS(AND(N1875&lt;= 22, S1875=9), N1875-7,AND(N1875&lt;= 28, S1875=9), N1875-25,AND(N1875&lt;= 30, S1875=9), N1875-28,AND(N1875&lt;= 11, S1875=10), N1875+2,AND(N1875&lt;= 21, S1875=10), N1875-11)</f>
        <v>1</v>
      </c>
    </row>
    <row r="1876" spans="1:22" x14ac:dyDescent="0.35">
      <c r="A1876" s="4">
        <v>45564</v>
      </c>
      <c r="B1876" s="5">
        <v>0.76020833333333337</v>
      </c>
      <c r="C1876">
        <v>82.3</v>
      </c>
      <c r="D1876">
        <v>79.8</v>
      </c>
      <c r="E1876">
        <v>83.2</v>
      </c>
      <c r="F1876">
        <v>80.3</v>
      </c>
      <c r="G1876">
        <v>0</v>
      </c>
      <c r="H1876">
        <v>0</v>
      </c>
      <c r="I1876">
        <v>0</v>
      </c>
      <c r="J1876">
        <v>0</v>
      </c>
      <c r="K1876">
        <v>68</v>
      </c>
      <c r="L1876">
        <v>68</v>
      </c>
      <c r="M1876">
        <v>81.36</v>
      </c>
      <c r="N1876">
        <v>29</v>
      </c>
      <c r="O1876">
        <v>5</v>
      </c>
      <c r="P1876">
        <f>MOD(DAY(datos_siembra[[#This Row],[Date]]),7)</f>
        <v>1</v>
      </c>
      <c r="Q1876" t="str">
        <f>CHOOSE(WEEKDAY(datos_siembra[[#This Row],[Date]],2),"L","M","X","J","V","S","D")</f>
        <v>D</v>
      </c>
      <c r="R1876">
        <f>WEEKNUM(datos_siembra[[#This Row],[Date]],2)-WEEKNUM(DATE(YEAR(datos_siembra[[#This Row],[Date]]),MONTH(datos_siembra[[#This Row],[Date]]),1))+1</f>
        <v>4</v>
      </c>
      <c r="S1876">
        <f>MONTH(datos_siembra[[#This Row],[Date]])</f>
        <v>9</v>
      </c>
      <c r="T1876" t="str" cm="1">
        <f t="array" ref="T1876">_xlfn.IFS(AND(N1876&lt;= 22, S1876=9), "SOWING",AND(N1876&lt;= 28, S1876=9), "COVERAGE",AND(N1876&lt;= 30, S1876=9), "FLUSH",AND(N1876&lt;= 11, S1876=10), "FLUSH",AND(N1876&lt;= 21, S1876=10), "PRODUCTION")</f>
        <v>FLUSH</v>
      </c>
      <c r="U1876">
        <f>HOUR(datos_siembra[[#This Row],[Hour]])</f>
        <v>18</v>
      </c>
      <c r="V1876" cm="1">
        <f t="array" ref="V1876">_xlfn.IFS(AND(N1876&lt;= 22, S1876=9), N1876-7,AND(N1876&lt;= 28, S1876=9), N1876-25,AND(N1876&lt;= 30, S1876=9), N1876-28,AND(N1876&lt;= 11, S1876=10), N1876+2,AND(N1876&lt;= 21, S1876=10), N1876-11)</f>
        <v>1</v>
      </c>
    </row>
    <row r="1877" spans="1:22" x14ac:dyDescent="0.35">
      <c r="A1877" s="4">
        <v>45564</v>
      </c>
      <c r="B1877" s="5">
        <v>0.76716435185185183</v>
      </c>
      <c r="C1877">
        <v>82.3</v>
      </c>
      <c r="D1877">
        <v>79.8</v>
      </c>
      <c r="E1877">
        <v>83.1</v>
      </c>
      <c r="F1877">
        <v>80</v>
      </c>
      <c r="G1877">
        <v>0</v>
      </c>
      <c r="H1877">
        <v>0</v>
      </c>
      <c r="I1877">
        <v>0</v>
      </c>
      <c r="J1877">
        <v>0</v>
      </c>
      <c r="K1877">
        <v>67.8</v>
      </c>
      <c r="L1877">
        <v>67.8</v>
      </c>
      <c r="M1877">
        <v>81.3</v>
      </c>
      <c r="N1877">
        <v>29</v>
      </c>
      <c r="O1877">
        <v>5</v>
      </c>
      <c r="P1877">
        <f>MOD(DAY(datos_siembra[[#This Row],[Date]]),7)</f>
        <v>1</v>
      </c>
      <c r="Q1877" t="str">
        <f>CHOOSE(WEEKDAY(datos_siembra[[#This Row],[Date]],2),"L","M","X","J","V","S","D")</f>
        <v>D</v>
      </c>
      <c r="R1877">
        <f>WEEKNUM(datos_siembra[[#This Row],[Date]],2)-WEEKNUM(DATE(YEAR(datos_siembra[[#This Row],[Date]]),MONTH(datos_siembra[[#This Row],[Date]]),1))+1</f>
        <v>4</v>
      </c>
      <c r="S1877">
        <f>MONTH(datos_siembra[[#This Row],[Date]])</f>
        <v>9</v>
      </c>
      <c r="T1877" t="str" cm="1">
        <f t="array" ref="T1877">_xlfn.IFS(AND(N1877&lt;= 22, S1877=9), "SOWING",AND(N1877&lt;= 28, S1877=9), "COVERAGE",AND(N1877&lt;= 30, S1877=9), "FLUSH",AND(N1877&lt;= 11, S1877=10), "FLUSH",AND(N1877&lt;= 21, S1877=10), "PRODUCTION")</f>
        <v>FLUSH</v>
      </c>
      <c r="U1877">
        <f>HOUR(datos_siembra[[#This Row],[Hour]])</f>
        <v>18</v>
      </c>
      <c r="V1877" cm="1">
        <f t="array" ref="V1877">_xlfn.IFS(AND(N1877&lt;= 22, S1877=9), N1877-7,AND(N1877&lt;= 28, S1877=9), N1877-25,AND(N1877&lt;= 30, S1877=9), N1877-28,AND(N1877&lt;= 11, S1877=10), N1877+2,AND(N1877&lt;= 21, S1877=10), N1877-11)</f>
        <v>1</v>
      </c>
    </row>
    <row r="1878" spans="1:22" x14ac:dyDescent="0.35">
      <c r="A1878" s="4">
        <v>45564</v>
      </c>
      <c r="B1878" s="5">
        <v>0.77410879629629625</v>
      </c>
      <c r="C1878">
        <v>82.3</v>
      </c>
      <c r="D1878">
        <v>79.7</v>
      </c>
      <c r="E1878">
        <v>83.2</v>
      </c>
      <c r="F1878">
        <v>80</v>
      </c>
      <c r="G1878">
        <v>0</v>
      </c>
      <c r="H1878">
        <v>0</v>
      </c>
      <c r="I1878">
        <v>0</v>
      </c>
      <c r="J1878">
        <v>0</v>
      </c>
      <c r="K1878">
        <v>67.7</v>
      </c>
      <c r="L1878">
        <v>67.7</v>
      </c>
      <c r="M1878">
        <v>81.3</v>
      </c>
      <c r="N1878">
        <v>29</v>
      </c>
      <c r="O1878">
        <v>5</v>
      </c>
      <c r="P1878">
        <f>MOD(DAY(datos_siembra[[#This Row],[Date]]),7)</f>
        <v>1</v>
      </c>
      <c r="Q1878" t="str">
        <f>CHOOSE(WEEKDAY(datos_siembra[[#This Row],[Date]],2),"L","M","X","J","V","S","D")</f>
        <v>D</v>
      </c>
      <c r="R1878">
        <f>WEEKNUM(datos_siembra[[#This Row],[Date]],2)-WEEKNUM(DATE(YEAR(datos_siembra[[#This Row],[Date]]),MONTH(datos_siembra[[#This Row],[Date]]),1))+1</f>
        <v>4</v>
      </c>
      <c r="S1878">
        <f>MONTH(datos_siembra[[#This Row],[Date]])</f>
        <v>9</v>
      </c>
      <c r="T1878" t="str" cm="1">
        <f t="array" ref="T1878">_xlfn.IFS(AND(N1878&lt;= 22, S1878=9), "SOWING",AND(N1878&lt;= 28, S1878=9), "COVERAGE",AND(N1878&lt;= 30, S1878=9), "FLUSH",AND(N1878&lt;= 11, S1878=10), "FLUSH",AND(N1878&lt;= 21, S1878=10), "PRODUCTION")</f>
        <v>FLUSH</v>
      </c>
      <c r="U1878">
        <f>HOUR(datos_siembra[[#This Row],[Hour]])</f>
        <v>18</v>
      </c>
      <c r="V1878" cm="1">
        <f t="array" ref="V1878">_xlfn.IFS(AND(N1878&lt;= 22, S1878=9), N1878-7,AND(N1878&lt;= 28, S1878=9), N1878-25,AND(N1878&lt;= 30, S1878=9), N1878-28,AND(N1878&lt;= 11, S1878=10), N1878+2,AND(N1878&lt;= 21, S1878=10), N1878-11)</f>
        <v>1</v>
      </c>
    </row>
    <row r="1879" spans="1:22" x14ac:dyDescent="0.35">
      <c r="A1879" s="4">
        <v>45564</v>
      </c>
      <c r="B1879" s="5">
        <v>0.78105324074074078</v>
      </c>
      <c r="C1879">
        <v>82.2</v>
      </c>
      <c r="D1879">
        <v>79.599999999999994</v>
      </c>
      <c r="E1879">
        <v>83</v>
      </c>
      <c r="F1879">
        <v>80.099999999999994</v>
      </c>
      <c r="G1879">
        <v>0</v>
      </c>
      <c r="H1879">
        <v>0</v>
      </c>
      <c r="I1879">
        <v>0</v>
      </c>
      <c r="J1879">
        <v>0</v>
      </c>
      <c r="K1879">
        <v>68</v>
      </c>
      <c r="L1879">
        <v>67.8</v>
      </c>
      <c r="M1879">
        <v>81.22</v>
      </c>
      <c r="N1879">
        <v>29</v>
      </c>
      <c r="O1879">
        <v>5</v>
      </c>
      <c r="P1879">
        <f>MOD(DAY(datos_siembra[[#This Row],[Date]]),7)</f>
        <v>1</v>
      </c>
      <c r="Q1879" t="str">
        <f>CHOOSE(WEEKDAY(datos_siembra[[#This Row],[Date]],2),"L","M","X","J","V","S","D")</f>
        <v>D</v>
      </c>
      <c r="R1879">
        <f>WEEKNUM(datos_siembra[[#This Row],[Date]],2)-WEEKNUM(DATE(YEAR(datos_siembra[[#This Row],[Date]]),MONTH(datos_siembra[[#This Row],[Date]]),1))+1</f>
        <v>4</v>
      </c>
      <c r="S1879">
        <f>MONTH(datos_siembra[[#This Row],[Date]])</f>
        <v>9</v>
      </c>
      <c r="T1879" t="str" cm="1">
        <f t="array" ref="T1879">_xlfn.IFS(AND(N1879&lt;= 22, S1879=9), "SOWING",AND(N1879&lt;= 28, S1879=9), "COVERAGE",AND(N1879&lt;= 30, S1879=9), "FLUSH",AND(N1879&lt;= 11, S1879=10), "FLUSH",AND(N1879&lt;= 21, S1879=10), "PRODUCTION")</f>
        <v>FLUSH</v>
      </c>
      <c r="U1879">
        <f>HOUR(datos_siembra[[#This Row],[Hour]])</f>
        <v>18</v>
      </c>
      <c r="V1879" cm="1">
        <f t="array" ref="V1879">_xlfn.IFS(AND(N1879&lt;= 22, S1879=9), N1879-7,AND(N1879&lt;= 28, S1879=9), N1879-25,AND(N1879&lt;= 30, S1879=9), N1879-28,AND(N1879&lt;= 11, S1879=10), N1879+2,AND(N1879&lt;= 21, S1879=10), N1879-11)</f>
        <v>1</v>
      </c>
    </row>
    <row r="1880" spans="1:22" x14ac:dyDescent="0.35">
      <c r="A1880" s="4">
        <v>45564</v>
      </c>
      <c r="B1880" s="5">
        <v>0.7879976851851852</v>
      </c>
      <c r="C1880">
        <v>82.2</v>
      </c>
      <c r="D1880">
        <v>79.7</v>
      </c>
      <c r="E1880">
        <v>83</v>
      </c>
      <c r="F1880">
        <v>79.7</v>
      </c>
      <c r="G1880">
        <v>0</v>
      </c>
      <c r="H1880">
        <v>0</v>
      </c>
      <c r="I1880">
        <v>0</v>
      </c>
      <c r="J1880">
        <v>0</v>
      </c>
      <c r="K1880">
        <v>68.8</v>
      </c>
      <c r="L1880">
        <v>68.5</v>
      </c>
      <c r="M1880">
        <v>81.13</v>
      </c>
      <c r="N1880">
        <v>29</v>
      </c>
      <c r="O1880">
        <v>5</v>
      </c>
      <c r="P1880">
        <f>MOD(DAY(datos_siembra[[#This Row],[Date]]),7)</f>
        <v>1</v>
      </c>
      <c r="Q1880" t="str">
        <f>CHOOSE(WEEKDAY(datos_siembra[[#This Row],[Date]],2),"L","M","X","J","V","S","D")</f>
        <v>D</v>
      </c>
      <c r="R1880">
        <f>WEEKNUM(datos_siembra[[#This Row],[Date]],2)-WEEKNUM(DATE(YEAR(datos_siembra[[#This Row],[Date]]),MONTH(datos_siembra[[#This Row],[Date]]),1))+1</f>
        <v>4</v>
      </c>
      <c r="S1880">
        <f>MONTH(datos_siembra[[#This Row],[Date]])</f>
        <v>9</v>
      </c>
      <c r="T1880" t="str" cm="1">
        <f t="array" ref="T1880">_xlfn.IFS(AND(N1880&lt;= 22, S1880=9), "SOWING",AND(N1880&lt;= 28, S1880=9), "COVERAGE",AND(N1880&lt;= 30, S1880=9), "FLUSH",AND(N1880&lt;= 11, S1880=10), "FLUSH",AND(N1880&lt;= 21, S1880=10), "PRODUCTION")</f>
        <v>FLUSH</v>
      </c>
      <c r="U1880">
        <f>HOUR(datos_siembra[[#This Row],[Hour]])</f>
        <v>18</v>
      </c>
      <c r="V1880" cm="1">
        <f t="array" ref="V1880">_xlfn.IFS(AND(N1880&lt;= 22, S1880=9), N1880-7,AND(N1880&lt;= 28, S1880=9), N1880-25,AND(N1880&lt;= 30, S1880=9), N1880-28,AND(N1880&lt;= 11, S1880=10), N1880+2,AND(N1880&lt;= 21, S1880=10), N1880-11)</f>
        <v>1</v>
      </c>
    </row>
    <row r="1881" spans="1:22" x14ac:dyDescent="0.35">
      <c r="A1881" s="4">
        <v>45564</v>
      </c>
      <c r="B1881" s="5">
        <v>0.79495370370370366</v>
      </c>
      <c r="C1881">
        <v>82.1</v>
      </c>
      <c r="D1881">
        <v>79.5</v>
      </c>
      <c r="E1881">
        <v>83</v>
      </c>
      <c r="F1881">
        <v>79.8</v>
      </c>
      <c r="G1881">
        <v>0</v>
      </c>
      <c r="H1881">
        <v>0</v>
      </c>
      <c r="I1881">
        <v>0</v>
      </c>
      <c r="J1881">
        <v>0</v>
      </c>
      <c r="K1881">
        <v>69.099999999999994</v>
      </c>
      <c r="L1881">
        <v>68.7</v>
      </c>
      <c r="M1881">
        <v>81.13</v>
      </c>
      <c r="N1881">
        <v>29</v>
      </c>
      <c r="O1881">
        <v>5</v>
      </c>
      <c r="P1881">
        <f>MOD(DAY(datos_siembra[[#This Row],[Date]]),7)</f>
        <v>1</v>
      </c>
      <c r="Q1881" t="str">
        <f>CHOOSE(WEEKDAY(datos_siembra[[#This Row],[Date]],2),"L","M","X","J","V","S","D")</f>
        <v>D</v>
      </c>
      <c r="R1881">
        <f>WEEKNUM(datos_siembra[[#This Row],[Date]],2)-WEEKNUM(DATE(YEAR(datos_siembra[[#This Row],[Date]]),MONTH(datos_siembra[[#This Row],[Date]]),1))+1</f>
        <v>4</v>
      </c>
      <c r="S1881">
        <f>MONTH(datos_siembra[[#This Row],[Date]])</f>
        <v>9</v>
      </c>
      <c r="T1881" t="str" cm="1">
        <f t="array" ref="T1881">_xlfn.IFS(AND(N1881&lt;= 22, S1881=9), "SOWING",AND(N1881&lt;= 28, S1881=9), "COVERAGE",AND(N1881&lt;= 30, S1881=9), "FLUSH",AND(N1881&lt;= 11, S1881=10), "FLUSH",AND(N1881&lt;= 21, S1881=10), "PRODUCTION")</f>
        <v>FLUSH</v>
      </c>
      <c r="U1881">
        <f>HOUR(datos_siembra[[#This Row],[Hour]])</f>
        <v>19</v>
      </c>
      <c r="V1881" cm="1">
        <f t="array" ref="V1881">_xlfn.IFS(AND(N1881&lt;= 22, S1881=9), N1881-7,AND(N1881&lt;= 28, S1881=9), N1881-25,AND(N1881&lt;= 30, S1881=9), N1881-28,AND(N1881&lt;= 11, S1881=10), N1881+2,AND(N1881&lt;= 21, S1881=10), N1881-11)</f>
        <v>1</v>
      </c>
    </row>
    <row r="1882" spans="1:22" x14ac:dyDescent="0.35">
      <c r="A1882" s="4">
        <v>45564</v>
      </c>
      <c r="B1882" s="5">
        <v>0.80189814814814819</v>
      </c>
      <c r="C1882">
        <v>82.1</v>
      </c>
      <c r="D1882">
        <v>79.599999999999994</v>
      </c>
      <c r="E1882">
        <v>83</v>
      </c>
      <c r="F1882">
        <v>79.7</v>
      </c>
      <c r="G1882">
        <v>0</v>
      </c>
      <c r="H1882">
        <v>0</v>
      </c>
      <c r="I1882">
        <v>0</v>
      </c>
      <c r="J1882">
        <v>0</v>
      </c>
      <c r="K1882">
        <v>69.2</v>
      </c>
      <c r="L1882">
        <v>68.8</v>
      </c>
      <c r="M1882">
        <v>81.13</v>
      </c>
      <c r="N1882">
        <v>29</v>
      </c>
      <c r="O1882">
        <v>5</v>
      </c>
      <c r="P1882">
        <f>MOD(DAY(datos_siembra[[#This Row],[Date]]),7)</f>
        <v>1</v>
      </c>
      <c r="Q1882" t="str">
        <f>CHOOSE(WEEKDAY(datos_siembra[[#This Row],[Date]],2),"L","M","X","J","V","S","D")</f>
        <v>D</v>
      </c>
      <c r="R1882">
        <f>WEEKNUM(datos_siembra[[#This Row],[Date]],2)-WEEKNUM(DATE(YEAR(datos_siembra[[#This Row],[Date]]),MONTH(datos_siembra[[#This Row],[Date]]),1))+1</f>
        <v>4</v>
      </c>
      <c r="S1882">
        <f>MONTH(datos_siembra[[#This Row],[Date]])</f>
        <v>9</v>
      </c>
      <c r="T1882" t="str" cm="1">
        <f t="array" ref="T1882">_xlfn.IFS(AND(N1882&lt;= 22, S1882=9), "SOWING",AND(N1882&lt;= 28, S1882=9), "COVERAGE",AND(N1882&lt;= 30, S1882=9), "FLUSH",AND(N1882&lt;= 11, S1882=10), "FLUSH",AND(N1882&lt;= 21, S1882=10), "PRODUCTION")</f>
        <v>FLUSH</v>
      </c>
      <c r="U1882">
        <f>HOUR(datos_siembra[[#This Row],[Hour]])</f>
        <v>19</v>
      </c>
      <c r="V1882" cm="1">
        <f t="array" ref="V1882">_xlfn.IFS(AND(N1882&lt;= 22, S1882=9), N1882-7,AND(N1882&lt;= 28, S1882=9), N1882-25,AND(N1882&lt;= 30, S1882=9), N1882-28,AND(N1882&lt;= 11, S1882=10), N1882+2,AND(N1882&lt;= 21, S1882=10), N1882-11)</f>
        <v>1</v>
      </c>
    </row>
    <row r="1883" spans="1:22" x14ac:dyDescent="0.35">
      <c r="A1883" s="4">
        <v>45564</v>
      </c>
      <c r="B1883" s="5">
        <v>0.80884259259259261</v>
      </c>
      <c r="C1883">
        <v>82.2</v>
      </c>
      <c r="D1883">
        <v>79.5</v>
      </c>
      <c r="E1883">
        <v>82.9</v>
      </c>
      <c r="F1883">
        <v>79.7</v>
      </c>
      <c r="G1883">
        <v>0</v>
      </c>
      <c r="H1883">
        <v>0</v>
      </c>
      <c r="I1883">
        <v>0</v>
      </c>
      <c r="J1883">
        <v>0</v>
      </c>
      <c r="K1883">
        <v>69.400000000000006</v>
      </c>
      <c r="L1883">
        <v>68.900000000000006</v>
      </c>
      <c r="M1883">
        <v>81.05</v>
      </c>
      <c r="N1883">
        <v>29</v>
      </c>
      <c r="O1883">
        <v>5</v>
      </c>
      <c r="P1883">
        <f>MOD(DAY(datos_siembra[[#This Row],[Date]]),7)</f>
        <v>1</v>
      </c>
      <c r="Q1883" t="str">
        <f>CHOOSE(WEEKDAY(datos_siembra[[#This Row],[Date]],2),"L","M","X","J","V","S","D")</f>
        <v>D</v>
      </c>
      <c r="R1883">
        <f>WEEKNUM(datos_siembra[[#This Row],[Date]],2)-WEEKNUM(DATE(YEAR(datos_siembra[[#This Row],[Date]]),MONTH(datos_siembra[[#This Row],[Date]]),1))+1</f>
        <v>4</v>
      </c>
      <c r="S1883">
        <f>MONTH(datos_siembra[[#This Row],[Date]])</f>
        <v>9</v>
      </c>
      <c r="T1883" t="str" cm="1">
        <f t="array" ref="T1883">_xlfn.IFS(AND(N1883&lt;= 22, S1883=9), "SOWING",AND(N1883&lt;= 28, S1883=9), "COVERAGE",AND(N1883&lt;= 30, S1883=9), "FLUSH",AND(N1883&lt;= 11, S1883=10), "FLUSH",AND(N1883&lt;= 21, S1883=10), "PRODUCTION")</f>
        <v>FLUSH</v>
      </c>
      <c r="U1883">
        <f>HOUR(datos_siembra[[#This Row],[Hour]])</f>
        <v>19</v>
      </c>
      <c r="V1883" cm="1">
        <f t="array" ref="V1883">_xlfn.IFS(AND(N1883&lt;= 22, S1883=9), N1883-7,AND(N1883&lt;= 28, S1883=9), N1883-25,AND(N1883&lt;= 30, S1883=9), N1883-28,AND(N1883&lt;= 11, S1883=10), N1883+2,AND(N1883&lt;= 21, S1883=10), N1883-11)</f>
        <v>1</v>
      </c>
    </row>
    <row r="1884" spans="1:22" x14ac:dyDescent="0.35">
      <c r="A1884" s="4">
        <v>45564</v>
      </c>
      <c r="B1884" s="5">
        <v>0.81579861111111107</v>
      </c>
      <c r="C1884">
        <v>82.1</v>
      </c>
      <c r="D1884">
        <v>79.400000000000006</v>
      </c>
      <c r="E1884">
        <v>82.9</v>
      </c>
      <c r="F1884">
        <v>79.8</v>
      </c>
      <c r="G1884">
        <v>0</v>
      </c>
      <c r="H1884">
        <v>0</v>
      </c>
      <c r="I1884">
        <v>0</v>
      </c>
      <c r="J1884">
        <v>0</v>
      </c>
      <c r="K1884">
        <v>69.5</v>
      </c>
      <c r="L1884">
        <v>68.900000000000006</v>
      </c>
      <c r="M1884">
        <v>81.05</v>
      </c>
      <c r="N1884">
        <v>29</v>
      </c>
      <c r="O1884">
        <v>5</v>
      </c>
      <c r="P1884">
        <f>MOD(DAY(datos_siembra[[#This Row],[Date]]),7)</f>
        <v>1</v>
      </c>
      <c r="Q1884" t="str">
        <f>CHOOSE(WEEKDAY(datos_siembra[[#This Row],[Date]],2),"L","M","X","J","V","S","D")</f>
        <v>D</v>
      </c>
      <c r="R1884">
        <f>WEEKNUM(datos_siembra[[#This Row],[Date]],2)-WEEKNUM(DATE(YEAR(datos_siembra[[#This Row],[Date]]),MONTH(datos_siembra[[#This Row],[Date]]),1))+1</f>
        <v>4</v>
      </c>
      <c r="S1884">
        <f>MONTH(datos_siembra[[#This Row],[Date]])</f>
        <v>9</v>
      </c>
      <c r="T1884" t="str" cm="1">
        <f t="array" ref="T1884">_xlfn.IFS(AND(N1884&lt;= 22, S1884=9), "SOWING",AND(N1884&lt;= 28, S1884=9), "COVERAGE",AND(N1884&lt;= 30, S1884=9), "FLUSH",AND(N1884&lt;= 11, S1884=10), "FLUSH",AND(N1884&lt;= 21, S1884=10), "PRODUCTION")</f>
        <v>FLUSH</v>
      </c>
      <c r="U1884">
        <f>HOUR(datos_siembra[[#This Row],[Hour]])</f>
        <v>19</v>
      </c>
      <c r="V1884" cm="1">
        <f t="array" ref="V1884">_xlfn.IFS(AND(N1884&lt;= 22, S1884=9), N1884-7,AND(N1884&lt;= 28, S1884=9), N1884-25,AND(N1884&lt;= 30, S1884=9), N1884-28,AND(N1884&lt;= 11, S1884=10), N1884+2,AND(N1884&lt;= 21, S1884=10), N1884-11)</f>
        <v>1</v>
      </c>
    </row>
    <row r="1885" spans="1:22" x14ac:dyDescent="0.35">
      <c r="A1885" s="4">
        <v>45564</v>
      </c>
      <c r="B1885" s="5">
        <v>0.8227430555555556</v>
      </c>
      <c r="C1885">
        <v>82</v>
      </c>
      <c r="D1885">
        <v>79.5</v>
      </c>
      <c r="E1885">
        <v>82.7</v>
      </c>
      <c r="F1885">
        <v>79.599999999999994</v>
      </c>
      <c r="G1885">
        <v>0</v>
      </c>
      <c r="H1885">
        <v>0</v>
      </c>
      <c r="I1885">
        <v>0</v>
      </c>
      <c r="J1885">
        <v>0</v>
      </c>
      <c r="K1885">
        <v>69.5</v>
      </c>
      <c r="L1885">
        <v>69</v>
      </c>
      <c r="M1885">
        <v>80.97</v>
      </c>
      <c r="N1885">
        <v>29</v>
      </c>
      <c r="O1885">
        <v>5</v>
      </c>
      <c r="P1885">
        <f>MOD(DAY(datos_siembra[[#This Row],[Date]]),7)</f>
        <v>1</v>
      </c>
      <c r="Q1885" t="str">
        <f>CHOOSE(WEEKDAY(datos_siembra[[#This Row],[Date]],2),"L","M","X","J","V","S","D")</f>
        <v>D</v>
      </c>
      <c r="R1885">
        <f>WEEKNUM(datos_siembra[[#This Row],[Date]],2)-WEEKNUM(DATE(YEAR(datos_siembra[[#This Row],[Date]]),MONTH(datos_siembra[[#This Row],[Date]]),1))+1</f>
        <v>4</v>
      </c>
      <c r="S1885">
        <f>MONTH(datos_siembra[[#This Row],[Date]])</f>
        <v>9</v>
      </c>
      <c r="T1885" t="str" cm="1">
        <f t="array" ref="T1885">_xlfn.IFS(AND(N1885&lt;= 22, S1885=9), "SOWING",AND(N1885&lt;= 28, S1885=9), "COVERAGE",AND(N1885&lt;= 30, S1885=9), "FLUSH",AND(N1885&lt;= 11, S1885=10), "FLUSH",AND(N1885&lt;= 21, S1885=10), "PRODUCTION")</f>
        <v>FLUSH</v>
      </c>
      <c r="U1885">
        <f>HOUR(datos_siembra[[#This Row],[Hour]])</f>
        <v>19</v>
      </c>
      <c r="V1885" cm="1">
        <f t="array" ref="V1885">_xlfn.IFS(AND(N1885&lt;= 22, S1885=9), N1885-7,AND(N1885&lt;= 28, S1885=9), N1885-25,AND(N1885&lt;= 30, S1885=9), N1885-28,AND(N1885&lt;= 11, S1885=10), N1885+2,AND(N1885&lt;= 21, S1885=10), N1885-11)</f>
        <v>1</v>
      </c>
    </row>
    <row r="1886" spans="1:22" x14ac:dyDescent="0.35">
      <c r="A1886" s="4">
        <v>45564</v>
      </c>
      <c r="B1886" s="5">
        <v>0.82968750000000002</v>
      </c>
      <c r="C1886">
        <v>82</v>
      </c>
      <c r="D1886">
        <v>79.5</v>
      </c>
      <c r="E1886">
        <v>82.7</v>
      </c>
      <c r="F1886">
        <v>79.599999999999994</v>
      </c>
      <c r="G1886">
        <v>0</v>
      </c>
      <c r="H1886">
        <v>0</v>
      </c>
      <c r="I1886">
        <v>0</v>
      </c>
      <c r="J1886">
        <v>0</v>
      </c>
      <c r="K1886">
        <v>68.3</v>
      </c>
      <c r="L1886">
        <v>68.099999999999994</v>
      </c>
      <c r="M1886">
        <v>80.94</v>
      </c>
      <c r="N1886">
        <v>29</v>
      </c>
      <c r="O1886">
        <v>5</v>
      </c>
      <c r="P1886">
        <f>MOD(DAY(datos_siembra[[#This Row],[Date]]),7)</f>
        <v>1</v>
      </c>
      <c r="Q1886" t="str">
        <f>CHOOSE(WEEKDAY(datos_siembra[[#This Row],[Date]],2),"L","M","X","J","V","S","D")</f>
        <v>D</v>
      </c>
      <c r="R1886">
        <f>WEEKNUM(datos_siembra[[#This Row],[Date]],2)-WEEKNUM(DATE(YEAR(datos_siembra[[#This Row],[Date]]),MONTH(datos_siembra[[#This Row],[Date]]),1))+1</f>
        <v>4</v>
      </c>
      <c r="S1886">
        <f>MONTH(datos_siembra[[#This Row],[Date]])</f>
        <v>9</v>
      </c>
      <c r="T1886" t="str" cm="1">
        <f t="array" ref="T1886">_xlfn.IFS(AND(N1886&lt;= 22, S1886=9), "SOWING",AND(N1886&lt;= 28, S1886=9), "COVERAGE",AND(N1886&lt;= 30, S1886=9), "FLUSH",AND(N1886&lt;= 11, S1886=10), "FLUSH",AND(N1886&lt;= 21, S1886=10), "PRODUCTION")</f>
        <v>FLUSH</v>
      </c>
      <c r="U1886">
        <f>HOUR(datos_siembra[[#This Row],[Hour]])</f>
        <v>19</v>
      </c>
      <c r="V1886" cm="1">
        <f t="array" ref="V1886">_xlfn.IFS(AND(N1886&lt;= 22, S1886=9), N1886-7,AND(N1886&lt;= 28, S1886=9), N1886-25,AND(N1886&lt;= 30, S1886=9), N1886-28,AND(N1886&lt;= 11, S1886=10), N1886+2,AND(N1886&lt;= 21, S1886=10), N1886-11)</f>
        <v>1</v>
      </c>
    </row>
    <row r="1887" spans="1:22" x14ac:dyDescent="0.35">
      <c r="A1887" s="4">
        <v>45564</v>
      </c>
      <c r="B1887" s="5">
        <v>0.83664351851851848</v>
      </c>
      <c r="C1887">
        <v>82</v>
      </c>
      <c r="D1887">
        <v>79.400000000000006</v>
      </c>
      <c r="E1887">
        <v>82.7</v>
      </c>
      <c r="F1887">
        <v>79.599999999999994</v>
      </c>
      <c r="G1887">
        <v>0</v>
      </c>
      <c r="H1887">
        <v>0</v>
      </c>
      <c r="I1887">
        <v>0</v>
      </c>
      <c r="J1887">
        <v>0</v>
      </c>
      <c r="K1887">
        <v>67.900000000000006</v>
      </c>
      <c r="L1887">
        <v>67.8</v>
      </c>
      <c r="M1887">
        <v>80.94</v>
      </c>
      <c r="N1887">
        <v>29</v>
      </c>
      <c r="O1887">
        <v>5</v>
      </c>
      <c r="P1887">
        <f>MOD(DAY(datos_siembra[[#This Row],[Date]]),7)</f>
        <v>1</v>
      </c>
      <c r="Q1887" t="str">
        <f>CHOOSE(WEEKDAY(datos_siembra[[#This Row],[Date]],2),"L","M","X","J","V","S","D")</f>
        <v>D</v>
      </c>
      <c r="R1887">
        <f>WEEKNUM(datos_siembra[[#This Row],[Date]],2)-WEEKNUM(DATE(YEAR(datos_siembra[[#This Row],[Date]]),MONTH(datos_siembra[[#This Row],[Date]]),1))+1</f>
        <v>4</v>
      </c>
      <c r="S1887">
        <f>MONTH(datos_siembra[[#This Row],[Date]])</f>
        <v>9</v>
      </c>
      <c r="T1887" t="str" cm="1">
        <f t="array" ref="T1887">_xlfn.IFS(AND(N1887&lt;= 22, S1887=9), "SOWING",AND(N1887&lt;= 28, S1887=9), "COVERAGE",AND(N1887&lt;= 30, S1887=9), "FLUSH",AND(N1887&lt;= 11, S1887=10), "FLUSH",AND(N1887&lt;= 21, S1887=10), "PRODUCTION")</f>
        <v>FLUSH</v>
      </c>
      <c r="U1887">
        <f>HOUR(datos_siembra[[#This Row],[Hour]])</f>
        <v>20</v>
      </c>
      <c r="V1887" cm="1">
        <f t="array" ref="V1887">_xlfn.IFS(AND(N1887&lt;= 22, S1887=9), N1887-7,AND(N1887&lt;= 28, S1887=9), N1887-25,AND(N1887&lt;= 30, S1887=9), N1887-28,AND(N1887&lt;= 11, S1887=10), N1887+2,AND(N1887&lt;= 21, S1887=10), N1887-11)</f>
        <v>1</v>
      </c>
    </row>
    <row r="1888" spans="1:22" x14ac:dyDescent="0.35">
      <c r="A1888" s="4">
        <v>45564</v>
      </c>
      <c r="B1888" s="5">
        <v>0.84358796296296301</v>
      </c>
      <c r="C1888">
        <v>81.8</v>
      </c>
      <c r="D1888">
        <v>79.400000000000006</v>
      </c>
      <c r="E1888">
        <v>82.6</v>
      </c>
      <c r="F1888">
        <v>79.400000000000006</v>
      </c>
      <c r="G1888">
        <v>0</v>
      </c>
      <c r="H1888">
        <v>0</v>
      </c>
      <c r="I1888">
        <v>0</v>
      </c>
      <c r="J1888">
        <v>0</v>
      </c>
      <c r="K1888">
        <v>67.8</v>
      </c>
      <c r="L1888">
        <v>67.599999999999994</v>
      </c>
      <c r="M1888">
        <v>80.91</v>
      </c>
      <c r="N1888">
        <v>29</v>
      </c>
      <c r="O1888">
        <v>5</v>
      </c>
      <c r="P1888">
        <f>MOD(DAY(datos_siembra[[#This Row],[Date]]),7)</f>
        <v>1</v>
      </c>
      <c r="Q1888" t="str">
        <f>CHOOSE(WEEKDAY(datos_siembra[[#This Row],[Date]],2),"L","M","X","J","V","S","D")</f>
        <v>D</v>
      </c>
      <c r="R1888">
        <f>WEEKNUM(datos_siembra[[#This Row],[Date]],2)-WEEKNUM(DATE(YEAR(datos_siembra[[#This Row],[Date]]),MONTH(datos_siembra[[#This Row],[Date]]),1))+1</f>
        <v>4</v>
      </c>
      <c r="S1888">
        <f>MONTH(datos_siembra[[#This Row],[Date]])</f>
        <v>9</v>
      </c>
      <c r="T1888" t="str" cm="1">
        <f t="array" ref="T1888">_xlfn.IFS(AND(N1888&lt;= 22, S1888=9), "SOWING",AND(N1888&lt;= 28, S1888=9), "COVERAGE",AND(N1888&lt;= 30, S1888=9), "FLUSH",AND(N1888&lt;= 11, S1888=10), "FLUSH",AND(N1888&lt;= 21, S1888=10), "PRODUCTION")</f>
        <v>FLUSH</v>
      </c>
      <c r="U1888">
        <f>HOUR(datos_siembra[[#This Row],[Hour]])</f>
        <v>20</v>
      </c>
      <c r="V1888" cm="1">
        <f t="array" ref="V1888">_xlfn.IFS(AND(N1888&lt;= 22, S1888=9), N1888-7,AND(N1888&lt;= 28, S1888=9), N1888-25,AND(N1888&lt;= 30, S1888=9), N1888-28,AND(N1888&lt;= 11, S1888=10), N1888+2,AND(N1888&lt;= 21, S1888=10), N1888-11)</f>
        <v>1</v>
      </c>
    </row>
    <row r="1889" spans="1:22" x14ac:dyDescent="0.35">
      <c r="A1889" s="4">
        <v>45564</v>
      </c>
      <c r="B1889" s="5">
        <v>0.85053240740740743</v>
      </c>
      <c r="C1889">
        <v>81.8</v>
      </c>
      <c r="D1889">
        <v>79.3</v>
      </c>
      <c r="E1889">
        <v>82.5</v>
      </c>
      <c r="F1889">
        <v>79.5</v>
      </c>
      <c r="G1889">
        <v>0</v>
      </c>
      <c r="H1889">
        <v>0</v>
      </c>
      <c r="I1889">
        <v>0</v>
      </c>
      <c r="J1889">
        <v>0</v>
      </c>
      <c r="K1889">
        <v>68</v>
      </c>
      <c r="L1889">
        <v>67.599999999999994</v>
      </c>
      <c r="M1889">
        <v>80.8</v>
      </c>
      <c r="N1889">
        <v>29</v>
      </c>
      <c r="O1889">
        <v>5</v>
      </c>
      <c r="P1889">
        <f>MOD(DAY(datos_siembra[[#This Row],[Date]]),7)</f>
        <v>1</v>
      </c>
      <c r="Q1889" t="str">
        <f>CHOOSE(WEEKDAY(datos_siembra[[#This Row],[Date]],2),"L","M","X","J","V","S","D")</f>
        <v>D</v>
      </c>
      <c r="R1889">
        <f>WEEKNUM(datos_siembra[[#This Row],[Date]],2)-WEEKNUM(DATE(YEAR(datos_siembra[[#This Row],[Date]]),MONTH(datos_siembra[[#This Row],[Date]]),1))+1</f>
        <v>4</v>
      </c>
      <c r="S1889">
        <f>MONTH(datos_siembra[[#This Row],[Date]])</f>
        <v>9</v>
      </c>
      <c r="T1889" t="str" cm="1">
        <f t="array" ref="T1889">_xlfn.IFS(AND(N1889&lt;= 22, S1889=9), "SOWING",AND(N1889&lt;= 28, S1889=9), "COVERAGE",AND(N1889&lt;= 30, S1889=9), "FLUSH",AND(N1889&lt;= 11, S1889=10), "FLUSH",AND(N1889&lt;= 21, S1889=10), "PRODUCTION")</f>
        <v>FLUSH</v>
      </c>
      <c r="U1889">
        <f>HOUR(datos_siembra[[#This Row],[Hour]])</f>
        <v>20</v>
      </c>
      <c r="V1889" cm="1">
        <f t="array" ref="V1889">_xlfn.IFS(AND(N1889&lt;= 22, S1889=9), N1889-7,AND(N1889&lt;= 28, S1889=9), N1889-25,AND(N1889&lt;= 30, S1889=9), N1889-28,AND(N1889&lt;= 11, S1889=10), N1889+2,AND(N1889&lt;= 21, S1889=10), N1889-11)</f>
        <v>1</v>
      </c>
    </row>
    <row r="1890" spans="1:22" x14ac:dyDescent="0.35">
      <c r="A1890" s="4">
        <v>45564</v>
      </c>
      <c r="B1890" s="5">
        <v>0.85747685185185185</v>
      </c>
      <c r="C1890">
        <v>81.8</v>
      </c>
      <c r="D1890">
        <v>79.3</v>
      </c>
      <c r="E1890">
        <v>82.5</v>
      </c>
      <c r="F1890">
        <v>79.5</v>
      </c>
      <c r="G1890">
        <v>0</v>
      </c>
      <c r="H1890">
        <v>0</v>
      </c>
      <c r="I1890">
        <v>0</v>
      </c>
      <c r="J1890">
        <v>0</v>
      </c>
      <c r="K1890">
        <v>68.900000000000006</v>
      </c>
      <c r="L1890">
        <v>68.5</v>
      </c>
      <c r="M1890">
        <v>80.77</v>
      </c>
      <c r="N1890">
        <v>29</v>
      </c>
      <c r="O1890">
        <v>5</v>
      </c>
      <c r="P1890">
        <f>MOD(DAY(datos_siembra[[#This Row],[Date]]),7)</f>
        <v>1</v>
      </c>
      <c r="Q1890" t="str">
        <f>CHOOSE(WEEKDAY(datos_siembra[[#This Row],[Date]],2),"L","M","X","J","V","S","D")</f>
        <v>D</v>
      </c>
      <c r="R1890">
        <f>WEEKNUM(datos_siembra[[#This Row],[Date]],2)-WEEKNUM(DATE(YEAR(datos_siembra[[#This Row],[Date]]),MONTH(datos_siembra[[#This Row],[Date]]),1))+1</f>
        <v>4</v>
      </c>
      <c r="S1890">
        <f>MONTH(datos_siembra[[#This Row],[Date]])</f>
        <v>9</v>
      </c>
      <c r="T1890" t="str" cm="1">
        <f t="array" ref="T1890">_xlfn.IFS(AND(N1890&lt;= 22, S1890=9), "SOWING",AND(N1890&lt;= 28, S1890=9), "COVERAGE",AND(N1890&lt;= 30, S1890=9), "FLUSH",AND(N1890&lt;= 11, S1890=10), "FLUSH",AND(N1890&lt;= 21, S1890=10), "PRODUCTION")</f>
        <v>FLUSH</v>
      </c>
      <c r="U1890">
        <f>HOUR(datos_siembra[[#This Row],[Hour]])</f>
        <v>20</v>
      </c>
      <c r="V1890" cm="1">
        <f t="array" ref="V1890">_xlfn.IFS(AND(N1890&lt;= 22, S1890=9), N1890-7,AND(N1890&lt;= 28, S1890=9), N1890-25,AND(N1890&lt;= 30, S1890=9), N1890-28,AND(N1890&lt;= 11, S1890=10), N1890+2,AND(N1890&lt;= 21, S1890=10), N1890-11)</f>
        <v>1</v>
      </c>
    </row>
    <row r="1891" spans="1:22" x14ac:dyDescent="0.35">
      <c r="A1891" s="4">
        <v>45564</v>
      </c>
      <c r="B1891" s="5">
        <v>0.86443287037037042</v>
      </c>
      <c r="C1891">
        <v>81.8</v>
      </c>
      <c r="D1891">
        <v>79.400000000000006</v>
      </c>
      <c r="E1891">
        <v>82.5</v>
      </c>
      <c r="F1891">
        <v>79.400000000000006</v>
      </c>
      <c r="G1891">
        <v>0</v>
      </c>
      <c r="H1891">
        <v>0</v>
      </c>
      <c r="I1891">
        <v>0</v>
      </c>
      <c r="J1891">
        <v>0</v>
      </c>
      <c r="K1891">
        <v>69.099999999999994</v>
      </c>
      <c r="L1891">
        <v>68.7</v>
      </c>
      <c r="M1891">
        <v>80.739999999999995</v>
      </c>
      <c r="N1891">
        <v>29</v>
      </c>
      <c r="O1891">
        <v>5</v>
      </c>
      <c r="P1891">
        <f>MOD(DAY(datos_siembra[[#This Row],[Date]]),7)</f>
        <v>1</v>
      </c>
      <c r="Q1891" t="str">
        <f>CHOOSE(WEEKDAY(datos_siembra[[#This Row],[Date]],2),"L","M","X","J","V","S","D")</f>
        <v>D</v>
      </c>
      <c r="R1891">
        <f>WEEKNUM(datos_siembra[[#This Row],[Date]],2)-WEEKNUM(DATE(YEAR(datos_siembra[[#This Row],[Date]]),MONTH(datos_siembra[[#This Row],[Date]]),1))+1</f>
        <v>4</v>
      </c>
      <c r="S1891">
        <f>MONTH(datos_siembra[[#This Row],[Date]])</f>
        <v>9</v>
      </c>
      <c r="T1891" t="str" cm="1">
        <f t="array" ref="T1891">_xlfn.IFS(AND(N1891&lt;= 22, S1891=9), "SOWING",AND(N1891&lt;= 28, S1891=9), "COVERAGE",AND(N1891&lt;= 30, S1891=9), "FLUSH",AND(N1891&lt;= 11, S1891=10), "FLUSH",AND(N1891&lt;= 21, S1891=10), "PRODUCTION")</f>
        <v>FLUSH</v>
      </c>
      <c r="U1891">
        <f>HOUR(datos_siembra[[#This Row],[Hour]])</f>
        <v>20</v>
      </c>
      <c r="V1891" cm="1">
        <f t="array" ref="V1891">_xlfn.IFS(AND(N1891&lt;= 22, S1891=9), N1891-7,AND(N1891&lt;= 28, S1891=9), N1891-25,AND(N1891&lt;= 30, S1891=9), N1891-28,AND(N1891&lt;= 11, S1891=10), N1891+2,AND(N1891&lt;= 21, S1891=10), N1891-11)</f>
        <v>1</v>
      </c>
    </row>
    <row r="1892" spans="1:22" x14ac:dyDescent="0.35">
      <c r="A1892" s="4">
        <v>45564</v>
      </c>
      <c r="B1892" s="5">
        <v>0.87137731481481484</v>
      </c>
      <c r="C1892">
        <v>81.7</v>
      </c>
      <c r="D1892">
        <v>79.400000000000006</v>
      </c>
      <c r="E1892">
        <v>82.4</v>
      </c>
      <c r="F1892">
        <v>79.3</v>
      </c>
      <c r="G1892">
        <v>0</v>
      </c>
      <c r="H1892">
        <v>0</v>
      </c>
      <c r="I1892">
        <v>0</v>
      </c>
      <c r="J1892">
        <v>0</v>
      </c>
      <c r="K1892">
        <v>69.2</v>
      </c>
      <c r="L1892">
        <v>68.900000000000006</v>
      </c>
      <c r="M1892">
        <v>80.709999999999994</v>
      </c>
      <c r="N1892">
        <v>29</v>
      </c>
      <c r="O1892">
        <v>5</v>
      </c>
      <c r="P1892">
        <f>MOD(DAY(datos_siembra[[#This Row],[Date]]),7)</f>
        <v>1</v>
      </c>
      <c r="Q1892" t="str">
        <f>CHOOSE(WEEKDAY(datos_siembra[[#This Row],[Date]],2),"L","M","X","J","V","S","D")</f>
        <v>D</v>
      </c>
      <c r="R1892">
        <f>WEEKNUM(datos_siembra[[#This Row],[Date]],2)-WEEKNUM(DATE(YEAR(datos_siembra[[#This Row],[Date]]),MONTH(datos_siembra[[#This Row],[Date]]),1))+1</f>
        <v>4</v>
      </c>
      <c r="S1892">
        <f>MONTH(datos_siembra[[#This Row],[Date]])</f>
        <v>9</v>
      </c>
      <c r="T1892" t="str" cm="1">
        <f t="array" ref="T1892">_xlfn.IFS(AND(N1892&lt;= 22, S1892=9), "SOWING",AND(N1892&lt;= 28, S1892=9), "COVERAGE",AND(N1892&lt;= 30, S1892=9), "FLUSH",AND(N1892&lt;= 11, S1892=10), "FLUSH",AND(N1892&lt;= 21, S1892=10), "PRODUCTION")</f>
        <v>FLUSH</v>
      </c>
      <c r="U1892">
        <f>HOUR(datos_siembra[[#This Row],[Hour]])</f>
        <v>20</v>
      </c>
      <c r="V1892" cm="1">
        <f t="array" ref="V1892">_xlfn.IFS(AND(N1892&lt;= 22, S1892=9), N1892-7,AND(N1892&lt;= 28, S1892=9), N1892-25,AND(N1892&lt;= 30, S1892=9), N1892-28,AND(N1892&lt;= 11, S1892=10), N1892+2,AND(N1892&lt;= 21, S1892=10), N1892-11)</f>
        <v>1</v>
      </c>
    </row>
    <row r="1893" spans="1:22" x14ac:dyDescent="0.35">
      <c r="A1893" s="4">
        <v>45564</v>
      </c>
      <c r="B1893" s="5">
        <v>0.87832175925925926</v>
      </c>
      <c r="C1893">
        <v>81.599999999999994</v>
      </c>
      <c r="D1893">
        <v>79.3</v>
      </c>
      <c r="E1893">
        <v>82.4</v>
      </c>
      <c r="F1893">
        <v>79.3</v>
      </c>
      <c r="G1893">
        <v>0</v>
      </c>
      <c r="H1893">
        <v>0</v>
      </c>
      <c r="I1893">
        <v>0</v>
      </c>
      <c r="J1893">
        <v>0</v>
      </c>
      <c r="K1893">
        <v>69.400000000000006</v>
      </c>
      <c r="L1893">
        <v>69</v>
      </c>
      <c r="M1893">
        <v>80.680000000000007</v>
      </c>
      <c r="N1893">
        <v>29</v>
      </c>
      <c r="O1893">
        <v>5</v>
      </c>
      <c r="P1893">
        <f>MOD(DAY(datos_siembra[[#This Row],[Date]]),7)</f>
        <v>1</v>
      </c>
      <c r="Q1893" t="str">
        <f>CHOOSE(WEEKDAY(datos_siembra[[#This Row],[Date]],2),"L","M","X","J","V","S","D")</f>
        <v>D</v>
      </c>
      <c r="R1893">
        <f>WEEKNUM(datos_siembra[[#This Row],[Date]],2)-WEEKNUM(DATE(YEAR(datos_siembra[[#This Row],[Date]]),MONTH(datos_siembra[[#This Row],[Date]]),1))+1</f>
        <v>4</v>
      </c>
      <c r="S1893">
        <f>MONTH(datos_siembra[[#This Row],[Date]])</f>
        <v>9</v>
      </c>
      <c r="T1893" t="str" cm="1">
        <f t="array" ref="T1893">_xlfn.IFS(AND(N1893&lt;= 22, S1893=9), "SOWING",AND(N1893&lt;= 28, S1893=9), "COVERAGE",AND(N1893&lt;= 30, S1893=9), "FLUSH",AND(N1893&lt;= 11, S1893=10), "FLUSH",AND(N1893&lt;= 21, S1893=10), "PRODUCTION")</f>
        <v>FLUSH</v>
      </c>
      <c r="U1893">
        <f>HOUR(datos_siembra[[#This Row],[Hour]])</f>
        <v>21</v>
      </c>
      <c r="V1893" cm="1">
        <f t="array" ref="V1893">_xlfn.IFS(AND(N1893&lt;= 22, S1893=9), N1893-7,AND(N1893&lt;= 28, S1893=9), N1893-25,AND(N1893&lt;= 30, S1893=9), N1893-28,AND(N1893&lt;= 11, S1893=10), N1893+2,AND(N1893&lt;= 21, S1893=10), N1893-11)</f>
        <v>1</v>
      </c>
    </row>
    <row r="1894" spans="1:22" x14ac:dyDescent="0.35">
      <c r="A1894" s="4">
        <v>45564</v>
      </c>
      <c r="B1894" s="5">
        <v>0.88526620370370368</v>
      </c>
      <c r="C1894">
        <v>81.7</v>
      </c>
      <c r="D1894">
        <v>79.099999999999994</v>
      </c>
      <c r="E1894">
        <v>82.4</v>
      </c>
      <c r="F1894">
        <v>79.3</v>
      </c>
      <c r="G1894">
        <v>0</v>
      </c>
      <c r="H1894">
        <v>0</v>
      </c>
      <c r="I1894">
        <v>0</v>
      </c>
      <c r="J1894">
        <v>0</v>
      </c>
      <c r="K1894">
        <v>68.5</v>
      </c>
      <c r="L1894">
        <v>68.3</v>
      </c>
      <c r="M1894">
        <v>80.599999999999994</v>
      </c>
      <c r="N1894">
        <v>29</v>
      </c>
      <c r="O1894">
        <v>5</v>
      </c>
      <c r="P1894">
        <f>MOD(DAY(datos_siembra[[#This Row],[Date]]),7)</f>
        <v>1</v>
      </c>
      <c r="Q1894" t="str">
        <f>CHOOSE(WEEKDAY(datos_siembra[[#This Row],[Date]],2),"L","M","X","J","V","S","D")</f>
        <v>D</v>
      </c>
      <c r="R1894">
        <f>WEEKNUM(datos_siembra[[#This Row],[Date]],2)-WEEKNUM(DATE(YEAR(datos_siembra[[#This Row],[Date]]),MONTH(datos_siembra[[#This Row],[Date]]),1))+1</f>
        <v>4</v>
      </c>
      <c r="S1894">
        <f>MONTH(datos_siembra[[#This Row],[Date]])</f>
        <v>9</v>
      </c>
      <c r="T1894" t="str" cm="1">
        <f t="array" ref="T1894">_xlfn.IFS(AND(N1894&lt;= 22, S1894=9), "SOWING",AND(N1894&lt;= 28, S1894=9), "COVERAGE",AND(N1894&lt;= 30, S1894=9), "FLUSH",AND(N1894&lt;= 11, S1894=10), "FLUSH",AND(N1894&lt;= 21, S1894=10), "PRODUCTION")</f>
        <v>FLUSH</v>
      </c>
      <c r="U1894">
        <f>HOUR(datos_siembra[[#This Row],[Hour]])</f>
        <v>21</v>
      </c>
      <c r="V1894" cm="1">
        <f t="array" ref="V1894">_xlfn.IFS(AND(N1894&lt;= 22, S1894=9), N1894-7,AND(N1894&lt;= 28, S1894=9), N1894-25,AND(N1894&lt;= 30, S1894=9), N1894-28,AND(N1894&lt;= 11, S1894=10), N1894+2,AND(N1894&lt;= 21, S1894=10), N1894-11)</f>
        <v>1</v>
      </c>
    </row>
    <row r="1895" spans="1:22" x14ac:dyDescent="0.35">
      <c r="A1895" s="4">
        <v>45564</v>
      </c>
      <c r="B1895" s="5">
        <v>0.89222222222222225</v>
      </c>
      <c r="C1895">
        <v>81.599999999999994</v>
      </c>
      <c r="D1895">
        <v>79.099999999999994</v>
      </c>
      <c r="E1895">
        <v>82.3</v>
      </c>
      <c r="F1895">
        <v>79.3</v>
      </c>
      <c r="G1895">
        <v>0</v>
      </c>
      <c r="H1895">
        <v>0</v>
      </c>
      <c r="I1895">
        <v>0</v>
      </c>
      <c r="J1895">
        <v>0</v>
      </c>
      <c r="K1895">
        <v>67.900000000000006</v>
      </c>
      <c r="L1895">
        <v>67.8</v>
      </c>
      <c r="M1895">
        <v>80.599999999999994</v>
      </c>
      <c r="N1895">
        <v>29</v>
      </c>
      <c r="O1895">
        <v>5</v>
      </c>
      <c r="P1895">
        <f>MOD(DAY(datos_siembra[[#This Row],[Date]]),7)</f>
        <v>1</v>
      </c>
      <c r="Q1895" t="str">
        <f>CHOOSE(WEEKDAY(datos_siembra[[#This Row],[Date]],2),"L","M","X","J","V","S","D")</f>
        <v>D</v>
      </c>
      <c r="R1895">
        <f>WEEKNUM(datos_siembra[[#This Row],[Date]],2)-WEEKNUM(DATE(YEAR(datos_siembra[[#This Row],[Date]]),MONTH(datos_siembra[[#This Row],[Date]]),1))+1</f>
        <v>4</v>
      </c>
      <c r="S1895">
        <f>MONTH(datos_siembra[[#This Row],[Date]])</f>
        <v>9</v>
      </c>
      <c r="T1895" t="str" cm="1">
        <f t="array" ref="T1895">_xlfn.IFS(AND(N1895&lt;= 22, S1895=9), "SOWING",AND(N1895&lt;= 28, S1895=9), "COVERAGE",AND(N1895&lt;= 30, S1895=9), "FLUSH",AND(N1895&lt;= 11, S1895=10), "FLUSH",AND(N1895&lt;= 21, S1895=10), "PRODUCTION")</f>
        <v>FLUSH</v>
      </c>
      <c r="U1895">
        <f>HOUR(datos_siembra[[#This Row],[Hour]])</f>
        <v>21</v>
      </c>
      <c r="V1895" cm="1">
        <f t="array" ref="V1895">_xlfn.IFS(AND(N1895&lt;= 22, S1895=9), N1895-7,AND(N1895&lt;= 28, S1895=9), N1895-25,AND(N1895&lt;= 30, S1895=9), N1895-28,AND(N1895&lt;= 11, S1895=10), N1895+2,AND(N1895&lt;= 21, S1895=10), N1895-11)</f>
        <v>1</v>
      </c>
    </row>
    <row r="1896" spans="1:22" x14ac:dyDescent="0.35">
      <c r="A1896" s="4">
        <v>45564</v>
      </c>
      <c r="B1896" s="5">
        <v>0.89916666666666667</v>
      </c>
      <c r="C1896">
        <v>81.599999999999994</v>
      </c>
      <c r="D1896">
        <v>79.3</v>
      </c>
      <c r="E1896">
        <v>82.2</v>
      </c>
      <c r="F1896">
        <v>79.099999999999994</v>
      </c>
      <c r="G1896">
        <v>0</v>
      </c>
      <c r="H1896">
        <v>0</v>
      </c>
      <c r="I1896">
        <v>0</v>
      </c>
      <c r="J1896">
        <v>0</v>
      </c>
      <c r="K1896">
        <v>67.599999999999994</v>
      </c>
      <c r="L1896">
        <v>67.599999999999994</v>
      </c>
      <c r="M1896">
        <v>80.540000000000006</v>
      </c>
      <c r="N1896">
        <v>29</v>
      </c>
      <c r="O1896">
        <v>5</v>
      </c>
      <c r="P1896">
        <f>MOD(DAY(datos_siembra[[#This Row],[Date]]),7)</f>
        <v>1</v>
      </c>
      <c r="Q1896" t="str">
        <f>CHOOSE(WEEKDAY(datos_siembra[[#This Row],[Date]],2),"L","M","X","J","V","S","D")</f>
        <v>D</v>
      </c>
      <c r="R1896">
        <f>WEEKNUM(datos_siembra[[#This Row],[Date]],2)-WEEKNUM(DATE(YEAR(datos_siembra[[#This Row],[Date]]),MONTH(datos_siembra[[#This Row],[Date]]),1))+1</f>
        <v>4</v>
      </c>
      <c r="S1896">
        <f>MONTH(datos_siembra[[#This Row],[Date]])</f>
        <v>9</v>
      </c>
      <c r="T1896" t="str" cm="1">
        <f t="array" ref="T1896">_xlfn.IFS(AND(N1896&lt;= 22, S1896=9), "SOWING",AND(N1896&lt;= 28, S1896=9), "COVERAGE",AND(N1896&lt;= 30, S1896=9), "FLUSH",AND(N1896&lt;= 11, S1896=10), "FLUSH",AND(N1896&lt;= 21, S1896=10), "PRODUCTION")</f>
        <v>FLUSH</v>
      </c>
      <c r="U1896">
        <f>HOUR(datos_siembra[[#This Row],[Hour]])</f>
        <v>21</v>
      </c>
      <c r="V1896" cm="1">
        <f t="array" ref="V1896">_xlfn.IFS(AND(N1896&lt;= 22, S1896=9), N1896-7,AND(N1896&lt;= 28, S1896=9), N1896-25,AND(N1896&lt;= 30, S1896=9), N1896-28,AND(N1896&lt;= 11, S1896=10), N1896+2,AND(N1896&lt;= 21, S1896=10), N1896-11)</f>
        <v>1</v>
      </c>
    </row>
    <row r="1897" spans="1:22" x14ac:dyDescent="0.35">
      <c r="A1897" s="4">
        <v>45564</v>
      </c>
      <c r="B1897" s="5">
        <v>0.90611111111111109</v>
      </c>
      <c r="C1897">
        <v>81.5</v>
      </c>
      <c r="D1897">
        <v>79.099999999999994</v>
      </c>
      <c r="E1897">
        <v>82.2</v>
      </c>
      <c r="F1897">
        <v>79</v>
      </c>
      <c r="G1897">
        <v>0</v>
      </c>
      <c r="H1897">
        <v>0</v>
      </c>
      <c r="I1897">
        <v>0</v>
      </c>
      <c r="J1897">
        <v>0</v>
      </c>
      <c r="K1897">
        <v>67.3</v>
      </c>
      <c r="L1897">
        <v>67.3</v>
      </c>
      <c r="M1897">
        <v>80.569999999999993</v>
      </c>
      <c r="N1897">
        <v>29</v>
      </c>
      <c r="O1897">
        <v>5</v>
      </c>
      <c r="P1897">
        <f>MOD(DAY(datos_siembra[[#This Row],[Date]]),7)</f>
        <v>1</v>
      </c>
      <c r="Q1897" t="str">
        <f>CHOOSE(WEEKDAY(datos_siembra[[#This Row],[Date]],2),"L","M","X","J","V","S","D")</f>
        <v>D</v>
      </c>
      <c r="R1897">
        <f>WEEKNUM(datos_siembra[[#This Row],[Date]],2)-WEEKNUM(DATE(YEAR(datos_siembra[[#This Row],[Date]]),MONTH(datos_siembra[[#This Row],[Date]]),1))+1</f>
        <v>4</v>
      </c>
      <c r="S1897">
        <f>MONTH(datos_siembra[[#This Row],[Date]])</f>
        <v>9</v>
      </c>
      <c r="T1897" t="str" cm="1">
        <f t="array" ref="T1897">_xlfn.IFS(AND(N1897&lt;= 22, S1897=9), "SOWING",AND(N1897&lt;= 28, S1897=9), "COVERAGE",AND(N1897&lt;= 30, S1897=9), "FLUSH",AND(N1897&lt;= 11, S1897=10), "FLUSH",AND(N1897&lt;= 21, S1897=10), "PRODUCTION")</f>
        <v>FLUSH</v>
      </c>
      <c r="U1897">
        <f>HOUR(datos_siembra[[#This Row],[Hour]])</f>
        <v>21</v>
      </c>
      <c r="V1897" cm="1">
        <f t="array" ref="V1897">_xlfn.IFS(AND(N1897&lt;= 22, S1897=9), N1897-7,AND(N1897&lt;= 28, S1897=9), N1897-25,AND(N1897&lt;= 30, S1897=9), N1897-28,AND(N1897&lt;= 11, S1897=10), N1897+2,AND(N1897&lt;= 21, S1897=10), N1897-11)</f>
        <v>1</v>
      </c>
    </row>
    <row r="1898" spans="1:22" x14ac:dyDescent="0.35">
      <c r="A1898" s="4">
        <v>45564</v>
      </c>
      <c r="B1898" s="5">
        <v>0.91306712962962966</v>
      </c>
      <c r="C1898">
        <v>81.400000000000006</v>
      </c>
      <c r="D1898">
        <v>79.099999999999994</v>
      </c>
      <c r="E1898">
        <v>82.2</v>
      </c>
      <c r="F1898">
        <v>79.099999999999994</v>
      </c>
      <c r="G1898">
        <v>0</v>
      </c>
      <c r="H1898">
        <v>0</v>
      </c>
      <c r="I1898">
        <v>0</v>
      </c>
      <c r="J1898">
        <v>0</v>
      </c>
      <c r="K1898">
        <v>67.2</v>
      </c>
      <c r="L1898">
        <v>67.2</v>
      </c>
      <c r="M1898">
        <v>80.540000000000006</v>
      </c>
      <c r="N1898">
        <v>29</v>
      </c>
      <c r="O1898">
        <v>5</v>
      </c>
      <c r="P1898">
        <f>MOD(DAY(datos_siembra[[#This Row],[Date]]),7)</f>
        <v>1</v>
      </c>
      <c r="Q1898" t="str">
        <f>CHOOSE(WEEKDAY(datos_siembra[[#This Row],[Date]],2),"L","M","X","J","V","S","D")</f>
        <v>D</v>
      </c>
      <c r="R1898">
        <f>WEEKNUM(datos_siembra[[#This Row],[Date]],2)-WEEKNUM(DATE(YEAR(datos_siembra[[#This Row],[Date]]),MONTH(datos_siembra[[#This Row],[Date]]),1))+1</f>
        <v>4</v>
      </c>
      <c r="S1898">
        <f>MONTH(datos_siembra[[#This Row],[Date]])</f>
        <v>9</v>
      </c>
      <c r="T1898" t="str" cm="1">
        <f t="array" ref="T1898">_xlfn.IFS(AND(N1898&lt;= 22, S1898=9), "SOWING",AND(N1898&lt;= 28, S1898=9), "COVERAGE",AND(N1898&lt;= 30, S1898=9), "FLUSH",AND(N1898&lt;= 11, S1898=10), "FLUSH",AND(N1898&lt;= 21, S1898=10), "PRODUCTION")</f>
        <v>FLUSH</v>
      </c>
      <c r="U1898">
        <f>HOUR(datos_siembra[[#This Row],[Hour]])</f>
        <v>21</v>
      </c>
      <c r="V1898" cm="1">
        <f t="array" ref="V1898">_xlfn.IFS(AND(N1898&lt;= 22, S1898=9), N1898-7,AND(N1898&lt;= 28, S1898=9), N1898-25,AND(N1898&lt;= 30, S1898=9), N1898-28,AND(N1898&lt;= 11, S1898=10), N1898+2,AND(N1898&lt;= 21, S1898=10), N1898-11)</f>
        <v>1</v>
      </c>
    </row>
    <row r="1899" spans="1:22" x14ac:dyDescent="0.35">
      <c r="A1899" s="4">
        <v>45564</v>
      </c>
      <c r="B1899" s="5">
        <v>0.92001157407407408</v>
      </c>
      <c r="C1899">
        <v>81.5</v>
      </c>
      <c r="D1899">
        <v>78.900000000000006</v>
      </c>
      <c r="E1899">
        <v>82.2</v>
      </c>
      <c r="F1899">
        <v>79.099999999999994</v>
      </c>
      <c r="G1899">
        <v>0</v>
      </c>
      <c r="H1899">
        <v>0</v>
      </c>
      <c r="I1899">
        <v>0</v>
      </c>
      <c r="J1899">
        <v>0</v>
      </c>
      <c r="K1899">
        <v>67</v>
      </c>
      <c r="L1899">
        <v>67.099999999999994</v>
      </c>
      <c r="M1899">
        <v>80.430000000000007</v>
      </c>
      <c r="N1899">
        <v>29</v>
      </c>
      <c r="O1899">
        <v>5</v>
      </c>
      <c r="P1899">
        <f>MOD(DAY(datos_siembra[[#This Row],[Date]]),7)</f>
        <v>1</v>
      </c>
      <c r="Q1899" t="str">
        <f>CHOOSE(WEEKDAY(datos_siembra[[#This Row],[Date]],2),"L","M","X","J","V","S","D")</f>
        <v>D</v>
      </c>
      <c r="R1899">
        <f>WEEKNUM(datos_siembra[[#This Row],[Date]],2)-WEEKNUM(DATE(YEAR(datos_siembra[[#This Row],[Date]]),MONTH(datos_siembra[[#This Row],[Date]]),1))+1</f>
        <v>4</v>
      </c>
      <c r="S1899">
        <f>MONTH(datos_siembra[[#This Row],[Date]])</f>
        <v>9</v>
      </c>
      <c r="T1899" t="str" cm="1">
        <f t="array" ref="T1899">_xlfn.IFS(AND(N1899&lt;= 22, S1899=9), "SOWING",AND(N1899&lt;= 28, S1899=9), "COVERAGE",AND(N1899&lt;= 30, S1899=9), "FLUSH",AND(N1899&lt;= 11, S1899=10), "FLUSH",AND(N1899&lt;= 21, S1899=10), "PRODUCTION")</f>
        <v>FLUSH</v>
      </c>
      <c r="U1899">
        <f>HOUR(datos_siembra[[#This Row],[Hour]])</f>
        <v>22</v>
      </c>
      <c r="V1899" cm="1">
        <f t="array" ref="V1899">_xlfn.IFS(AND(N1899&lt;= 22, S1899=9), N1899-7,AND(N1899&lt;= 28, S1899=9), N1899-25,AND(N1899&lt;= 30, S1899=9), N1899-28,AND(N1899&lt;= 11, S1899=10), N1899+2,AND(N1899&lt;= 21, S1899=10), N1899-11)</f>
        <v>1</v>
      </c>
    </row>
    <row r="1900" spans="1:22" x14ac:dyDescent="0.35">
      <c r="A1900" s="4">
        <v>45564</v>
      </c>
      <c r="B1900" s="5">
        <v>0.9269560185185185</v>
      </c>
      <c r="C1900">
        <v>81.400000000000006</v>
      </c>
      <c r="D1900">
        <v>79</v>
      </c>
      <c r="E1900">
        <v>82</v>
      </c>
      <c r="F1900">
        <v>78.900000000000006</v>
      </c>
      <c r="G1900">
        <v>0</v>
      </c>
      <c r="H1900">
        <v>0</v>
      </c>
      <c r="I1900">
        <v>0</v>
      </c>
      <c r="J1900">
        <v>0</v>
      </c>
      <c r="K1900">
        <v>66.900000000000006</v>
      </c>
      <c r="L1900">
        <v>66.900000000000006</v>
      </c>
      <c r="M1900">
        <v>80.319999999999993</v>
      </c>
      <c r="N1900">
        <v>29</v>
      </c>
      <c r="O1900">
        <v>5</v>
      </c>
      <c r="P1900">
        <f>MOD(DAY(datos_siembra[[#This Row],[Date]]),7)</f>
        <v>1</v>
      </c>
      <c r="Q1900" t="str">
        <f>CHOOSE(WEEKDAY(datos_siembra[[#This Row],[Date]],2),"L","M","X","J","V","S","D")</f>
        <v>D</v>
      </c>
      <c r="R1900">
        <f>WEEKNUM(datos_siembra[[#This Row],[Date]],2)-WEEKNUM(DATE(YEAR(datos_siembra[[#This Row],[Date]]),MONTH(datos_siembra[[#This Row],[Date]]),1))+1</f>
        <v>4</v>
      </c>
      <c r="S1900">
        <f>MONTH(datos_siembra[[#This Row],[Date]])</f>
        <v>9</v>
      </c>
      <c r="T1900" t="str" cm="1">
        <f t="array" ref="T1900">_xlfn.IFS(AND(N1900&lt;= 22, S1900=9), "SOWING",AND(N1900&lt;= 28, S1900=9), "COVERAGE",AND(N1900&lt;= 30, S1900=9), "FLUSH",AND(N1900&lt;= 11, S1900=10), "FLUSH",AND(N1900&lt;= 21, S1900=10), "PRODUCTION")</f>
        <v>FLUSH</v>
      </c>
      <c r="U1900">
        <f>HOUR(datos_siembra[[#This Row],[Hour]])</f>
        <v>22</v>
      </c>
      <c r="V1900" cm="1">
        <f t="array" ref="V1900">_xlfn.IFS(AND(N1900&lt;= 22, S1900=9), N1900-7,AND(N1900&lt;= 28, S1900=9), N1900-25,AND(N1900&lt;= 30, S1900=9), N1900-28,AND(N1900&lt;= 11, S1900=10), N1900+2,AND(N1900&lt;= 21, S1900=10), N1900-11)</f>
        <v>1</v>
      </c>
    </row>
    <row r="1901" spans="1:22" x14ac:dyDescent="0.35">
      <c r="A1901" s="4">
        <v>45564</v>
      </c>
      <c r="B1901" s="5">
        <v>0.93390046296296292</v>
      </c>
      <c r="C1901">
        <v>81.5</v>
      </c>
      <c r="D1901">
        <v>79.099999999999994</v>
      </c>
      <c r="E1901">
        <v>82</v>
      </c>
      <c r="F1901">
        <v>78.900000000000006</v>
      </c>
      <c r="G1901">
        <v>0</v>
      </c>
      <c r="H1901">
        <v>0</v>
      </c>
      <c r="I1901">
        <v>0</v>
      </c>
      <c r="J1901">
        <v>0</v>
      </c>
      <c r="K1901">
        <v>66.8</v>
      </c>
      <c r="L1901">
        <v>66.8</v>
      </c>
      <c r="M1901">
        <v>80.37</v>
      </c>
      <c r="N1901">
        <v>29</v>
      </c>
      <c r="O1901">
        <v>5</v>
      </c>
      <c r="P1901">
        <f>MOD(DAY(datos_siembra[[#This Row],[Date]]),7)</f>
        <v>1</v>
      </c>
      <c r="Q1901" t="str">
        <f>CHOOSE(WEEKDAY(datos_siembra[[#This Row],[Date]],2),"L","M","X","J","V","S","D")</f>
        <v>D</v>
      </c>
      <c r="R1901">
        <f>WEEKNUM(datos_siembra[[#This Row],[Date]],2)-WEEKNUM(DATE(YEAR(datos_siembra[[#This Row],[Date]]),MONTH(datos_siembra[[#This Row],[Date]]),1))+1</f>
        <v>4</v>
      </c>
      <c r="S1901">
        <f>MONTH(datos_siembra[[#This Row],[Date]])</f>
        <v>9</v>
      </c>
      <c r="T1901" t="str" cm="1">
        <f t="array" ref="T1901">_xlfn.IFS(AND(N1901&lt;= 22, S1901=9), "SOWING",AND(N1901&lt;= 28, S1901=9), "COVERAGE",AND(N1901&lt;= 30, S1901=9), "FLUSH",AND(N1901&lt;= 11, S1901=10), "FLUSH",AND(N1901&lt;= 21, S1901=10), "PRODUCTION")</f>
        <v>FLUSH</v>
      </c>
      <c r="U1901">
        <f>HOUR(datos_siembra[[#This Row],[Hour]])</f>
        <v>22</v>
      </c>
      <c r="V1901" cm="1">
        <f t="array" ref="V1901">_xlfn.IFS(AND(N1901&lt;= 22, S1901=9), N1901-7,AND(N1901&lt;= 28, S1901=9), N1901-25,AND(N1901&lt;= 30, S1901=9), N1901-28,AND(N1901&lt;= 11, S1901=10), N1901+2,AND(N1901&lt;= 21, S1901=10), N1901-11)</f>
        <v>1</v>
      </c>
    </row>
    <row r="1902" spans="1:22" x14ac:dyDescent="0.35">
      <c r="A1902" s="4">
        <v>45564</v>
      </c>
      <c r="B1902" s="5">
        <v>0.94085648148148149</v>
      </c>
      <c r="C1902">
        <v>81.5</v>
      </c>
      <c r="D1902">
        <v>79.099999999999994</v>
      </c>
      <c r="E1902">
        <v>82</v>
      </c>
      <c r="F1902">
        <v>78.8</v>
      </c>
      <c r="G1902">
        <v>0</v>
      </c>
      <c r="H1902">
        <v>0</v>
      </c>
      <c r="I1902">
        <v>0</v>
      </c>
      <c r="J1902">
        <v>0</v>
      </c>
      <c r="K1902">
        <v>66.599999999999994</v>
      </c>
      <c r="L1902">
        <v>66.599999999999994</v>
      </c>
      <c r="M1902">
        <v>80.290000000000006</v>
      </c>
      <c r="N1902">
        <v>29</v>
      </c>
      <c r="O1902">
        <v>5</v>
      </c>
      <c r="P1902">
        <f>MOD(DAY(datos_siembra[[#This Row],[Date]]),7)</f>
        <v>1</v>
      </c>
      <c r="Q1902" t="str">
        <f>CHOOSE(WEEKDAY(datos_siembra[[#This Row],[Date]],2),"L","M","X","J","V","S","D")</f>
        <v>D</v>
      </c>
      <c r="R1902">
        <f>WEEKNUM(datos_siembra[[#This Row],[Date]],2)-WEEKNUM(DATE(YEAR(datos_siembra[[#This Row],[Date]]),MONTH(datos_siembra[[#This Row],[Date]]),1))+1</f>
        <v>4</v>
      </c>
      <c r="S1902">
        <f>MONTH(datos_siembra[[#This Row],[Date]])</f>
        <v>9</v>
      </c>
      <c r="T1902" t="str" cm="1">
        <f t="array" ref="T1902">_xlfn.IFS(AND(N1902&lt;= 22, S1902=9), "SOWING",AND(N1902&lt;= 28, S1902=9), "COVERAGE",AND(N1902&lt;= 30, S1902=9), "FLUSH",AND(N1902&lt;= 11, S1902=10), "FLUSH",AND(N1902&lt;= 21, S1902=10), "PRODUCTION")</f>
        <v>FLUSH</v>
      </c>
      <c r="U1902">
        <f>HOUR(datos_siembra[[#This Row],[Hour]])</f>
        <v>22</v>
      </c>
      <c r="V1902" cm="1">
        <f t="array" ref="V1902">_xlfn.IFS(AND(N1902&lt;= 22, S1902=9), N1902-7,AND(N1902&lt;= 28, S1902=9), N1902-25,AND(N1902&lt;= 30, S1902=9), N1902-28,AND(N1902&lt;= 11, S1902=10), N1902+2,AND(N1902&lt;= 21, S1902=10), N1902-11)</f>
        <v>1</v>
      </c>
    </row>
    <row r="1903" spans="1:22" x14ac:dyDescent="0.35">
      <c r="A1903" s="4">
        <v>45564</v>
      </c>
      <c r="B1903" s="5">
        <v>0.94780092592592591</v>
      </c>
      <c r="C1903">
        <v>81.5</v>
      </c>
      <c r="D1903">
        <v>79</v>
      </c>
      <c r="E1903">
        <v>82</v>
      </c>
      <c r="F1903">
        <v>78.900000000000006</v>
      </c>
      <c r="G1903">
        <v>0</v>
      </c>
      <c r="H1903">
        <v>0</v>
      </c>
      <c r="I1903">
        <v>0</v>
      </c>
      <c r="J1903">
        <v>0</v>
      </c>
      <c r="K1903">
        <v>66.5</v>
      </c>
      <c r="L1903">
        <v>66.5</v>
      </c>
      <c r="M1903">
        <v>80.290000000000006</v>
      </c>
      <c r="N1903">
        <v>29</v>
      </c>
      <c r="O1903">
        <v>5</v>
      </c>
      <c r="P1903">
        <f>MOD(DAY(datos_siembra[[#This Row],[Date]]),7)</f>
        <v>1</v>
      </c>
      <c r="Q1903" t="str">
        <f>CHOOSE(WEEKDAY(datos_siembra[[#This Row],[Date]],2),"L","M","X","J","V","S","D")</f>
        <v>D</v>
      </c>
      <c r="R1903">
        <f>WEEKNUM(datos_siembra[[#This Row],[Date]],2)-WEEKNUM(DATE(YEAR(datos_siembra[[#This Row],[Date]]),MONTH(datos_siembra[[#This Row],[Date]]),1))+1</f>
        <v>4</v>
      </c>
      <c r="S1903">
        <f>MONTH(datos_siembra[[#This Row],[Date]])</f>
        <v>9</v>
      </c>
      <c r="T1903" t="str" cm="1">
        <f t="array" ref="T1903">_xlfn.IFS(AND(N1903&lt;= 22, S1903=9), "SOWING",AND(N1903&lt;= 28, S1903=9), "COVERAGE",AND(N1903&lt;= 30, S1903=9), "FLUSH",AND(N1903&lt;= 11, S1903=10), "FLUSH",AND(N1903&lt;= 21, S1903=10), "PRODUCTION")</f>
        <v>FLUSH</v>
      </c>
      <c r="U1903">
        <f>HOUR(datos_siembra[[#This Row],[Hour]])</f>
        <v>22</v>
      </c>
      <c r="V1903" cm="1">
        <f t="array" ref="V1903">_xlfn.IFS(AND(N1903&lt;= 22, S1903=9), N1903-7,AND(N1903&lt;= 28, S1903=9), N1903-25,AND(N1903&lt;= 30, S1903=9), N1903-28,AND(N1903&lt;= 11, S1903=10), N1903+2,AND(N1903&lt;= 21, S1903=10), N1903-11)</f>
        <v>1</v>
      </c>
    </row>
    <row r="1904" spans="1:22" x14ac:dyDescent="0.35">
      <c r="A1904" s="4">
        <v>45564</v>
      </c>
      <c r="B1904" s="5">
        <v>0.95474537037037033</v>
      </c>
      <c r="C1904">
        <v>81.400000000000006</v>
      </c>
      <c r="D1904">
        <v>79</v>
      </c>
      <c r="E1904">
        <v>81.8</v>
      </c>
      <c r="F1904">
        <v>78.900000000000006</v>
      </c>
      <c r="G1904">
        <v>0</v>
      </c>
      <c r="H1904">
        <v>0</v>
      </c>
      <c r="I1904">
        <v>0</v>
      </c>
      <c r="J1904">
        <v>0</v>
      </c>
      <c r="K1904">
        <v>66.3</v>
      </c>
      <c r="L1904">
        <v>66.400000000000006</v>
      </c>
      <c r="M1904">
        <v>80.260000000000005</v>
      </c>
      <c r="N1904">
        <v>29</v>
      </c>
      <c r="O1904">
        <v>5</v>
      </c>
      <c r="P1904">
        <f>MOD(DAY(datos_siembra[[#This Row],[Date]]),7)</f>
        <v>1</v>
      </c>
      <c r="Q1904" t="str">
        <f>CHOOSE(WEEKDAY(datos_siembra[[#This Row],[Date]],2),"L","M","X","J","V","S","D")</f>
        <v>D</v>
      </c>
      <c r="R1904">
        <f>WEEKNUM(datos_siembra[[#This Row],[Date]],2)-WEEKNUM(DATE(YEAR(datos_siembra[[#This Row],[Date]]),MONTH(datos_siembra[[#This Row],[Date]]),1))+1</f>
        <v>4</v>
      </c>
      <c r="S1904">
        <f>MONTH(datos_siembra[[#This Row],[Date]])</f>
        <v>9</v>
      </c>
      <c r="T1904" t="str" cm="1">
        <f t="array" ref="T1904">_xlfn.IFS(AND(N1904&lt;= 22, S1904=9), "SOWING",AND(N1904&lt;= 28, S1904=9), "COVERAGE",AND(N1904&lt;= 30, S1904=9), "FLUSH",AND(N1904&lt;= 11, S1904=10), "FLUSH",AND(N1904&lt;= 21, S1904=10), "PRODUCTION")</f>
        <v>FLUSH</v>
      </c>
      <c r="U1904">
        <f>HOUR(datos_siembra[[#This Row],[Hour]])</f>
        <v>22</v>
      </c>
      <c r="V1904" cm="1">
        <f t="array" ref="V1904">_xlfn.IFS(AND(N1904&lt;= 22, S1904=9), N1904-7,AND(N1904&lt;= 28, S1904=9), N1904-25,AND(N1904&lt;= 30, S1904=9), N1904-28,AND(N1904&lt;= 11, S1904=10), N1904+2,AND(N1904&lt;= 21, S1904=10), N1904-11)</f>
        <v>1</v>
      </c>
    </row>
    <row r="1905" spans="1:22" x14ac:dyDescent="0.35">
      <c r="A1905" s="4">
        <v>45564</v>
      </c>
      <c r="B1905" s="5">
        <v>0.9617013888888889</v>
      </c>
      <c r="C1905">
        <v>81.400000000000006</v>
      </c>
      <c r="D1905">
        <v>78.900000000000006</v>
      </c>
      <c r="E1905">
        <v>82</v>
      </c>
      <c r="F1905">
        <v>78.8</v>
      </c>
      <c r="G1905">
        <v>0</v>
      </c>
      <c r="H1905">
        <v>0</v>
      </c>
      <c r="I1905">
        <v>0</v>
      </c>
      <c r="J1905">
        <v>0</v>
      </c>
      <c r="K1905">
        <v>66.599999999999994</v>
      </c>
      <c r="L1905">
        <v>66.5</v>
      </c>
      <c r="M1905">
        <v>80.260000000000005</v>
      </c>
      <c r="N1905">
        <v>29</v>
      </c>
      <c r="O1905">
        <v>5</v>
      </c>
      <c r="P1905">
        <f>MOD(DAY(datos_siembra[[#This Row],[Date]]),7)</f>
        <v>1</v>
      </c>
      <c r="Q1905" t="str">
        <f>CHOOSE(WEEKDAY(datos_siembra[[#This Row],[Date]],2),"L","M","X","J","V","S","D")</f>
        <v>D</v>
      </c>
      <c r="R1905">
        <f>WEEKNUM(datos_siembra[[#This Row],[Date]],2)-WEEKNUM(DATE(YEAR(datos_siembra[[#This Row],[Date]]),MONTH(datos_siembra[[#This Row],[Date]]),1))+1</f>
        <v>4</v>
      </c>
      <c r="S1905">
        <f>MONTH(datos_siembra[[#This Row],[Date]])</f>
        <v>9</v>
      </c>
      <c r="T1905" t="str" cm="1">
        <f t="array" ref="T1905">_xlfn.IFS(AND(N1905&lt;= 22, S1905=9), "SOWING",AND(N1905&lt;= 28, S1905=9), "COVERAGE",AND(N1905&lt;= 30, S1905=9), "FLUSH",AND(N1905&lt;= 11, S1905=10), "FLUSH",AND(N1905&lt;= 21, S1905=10), "PRODUCTION")</f>
        <v>FLUSH</v>
      </c>
      <c r="U1905">
        <f>HOUR(datos_siembra[[#This Row],[Hour]])</f>
        <v>23</v>
      </c>
      <c r="V1905" cm="1">
        <f t="array" ref="V1905">_xlfn.IFS(AND(N1905&lt;= 22, S1905=9), N1905-7,AND(N1905&lt;= 28, S1905=9), N1905-25,AND(N1905&lt;= 30, S1905=9), N1905-28,AND(N1905&lt;= 11, S1905=10), N1905+2,AND(N1905&lt;= 21, S1905=10), N1905-11)</f>
        <v>1</v>
      </c>
    </row>
    <row r="1906" spans="1:22" x14ac:dyDescent="0.35">
      <c r="A1906" s="4">
        <v>45564</v>
      </c>
      <c r="B1906" s="5">
        <v>0.96864583333333332</v>
      </c>
      <c r="C1906">
        <v>81.3</v>
      </c>
      <c r="D1906">
        <v>78.8</v>
      </c>
      <c r="E1906">
        <v>81.7</v>
      </c>
      <c r="F1906">
        <v>78.8</v>
      </c>
      <c r="G1906">
        <v>0</v>
      </c>
      <c r="H1906">
        <v>0</v>
      </c>
      <c r="I1906">
        <v>0</v>
      </c>
      <c r="J1906">
        <v>0</v>
      </c>
      <c r="K1906">
        <v>67.7</v>
      </c>
      <c r="L1906">
        <v>67.3</v>
      </c>
      <c r="M1906">
        <v>80.260000000000005</v>
      </c>
      <c r="N1906">
        <v>29</v>
      </c>
      <c r="O1906">
        <v>5</v>
      </c>
      <c r="P1906">
        <f>MOD(DAY(datos_siembra[[#This Row],[Date]]),7)</f>
        <v>1</v>
      </c>
      <c r="Q1906" t="str">
        <f>CHOOSE(WEEKDAY(datos_siembra[[#This Row],[Date]],2),"L","M","X","J","V","S","D")</f>
        <v>D</v>
      </c>
      <c r="R1906">
        <f>WEEKNUM(datos_siembra[[#This Row],[Date]],2)-WEEKNUM(DATE(YEAR(datos_siembra[[#This Row],[Date]]),MONTH(datos_siembra[[#This Row],[Date]]),1))+1</f>
        <v>4</v>
      </c>
      <c r="S1906">
        <f>MONTH(datos_siembra[[#This Row],[Date]])</f>
        <v>9</v>
      </c>
      <c r="T1906" t="str" cm="1">
        <f t="array" ref="T1906">_xlfn.IFS(AND(N1906&lt;= 22, S1906=9), "SOWING",AND(N1906&lt;= 28, S1906=9), "COVERAGE",AND(N1906&lt;= 30, S1906=9), "FLUSH",AND(N1906&lt;= 11, S1906=10), "FLUSH",AND(N1906&lt;= 21, S1906=10), "PRODUCTION")</f>
        <v>FLUSH</v>
      </c>
      <c r="U1906">
        <f>HOUR(datos_siembra[[#This Row],[Hour]])</f>
        <v>23</v>
      </c>
      <c r="V1906" cm="1">
        <f t="array" ref="V1906">_xlfn.IFS(AND(N1906&lt;= 22, S1906=9), N1906-7,AND(N1906&lt;= 28, S1906=9), N1906-25,AND(N1906&lt;= 30, S1906=9), N1906-28,AND(N1906&lt;= 11, S1906=10), N1906+2,AND(N1906&lt;= 21, S1906=10), N1906-11)</f>
        <v>1</v>
      </c>
    </row>
    <row r="1907" spans="1:22" x14ac:dyDescent="0.35">
      <c r="A1907" s="4">
        <v>45564</v>
      </c>
      <c r="B1907" s="5">
        <v>0.97559027777777774</v>
      </c>
      <c r="C1907">
        <v>81.400000000000006</v>
      </c>
      <c r="D1907">
        <v>78.900000000000006</v>
      </c>
      <c r="E1907">
        <v>81.7</v>
      </c>
      <c r="F1907">
        <v>78.8</v>
      </c>
      <c r="G1907">
        <v>0</v>
      </c>
      <c r="H1907">
        <v>0</v>
      </c>
      <c r="I1907">
        <v>0</v>
      </c>
      <c r="J1907">
        <v>0</v>
      </c>
      <c r="K1907">
        <v>68</v>
      </c>
      <c r="L1907">
        <v>67.599999999999994</v>
      </c>
      <c r="M1907">
        <v>80.180000000000007</v>
      </c>
      <c r="N1907">
        <v>29</v>
      </c>
      <c r="O1907">
        <v>5</v>
      </c>
      <c r="P1907">
        <f>MOD(DAY(datos_siembra[[#This Row],[Date]]),7)</f>
        <v>1</v>
      </c>
      <c r="Q1907" t="str">
        <f>CHOOSE(WEEKDAY(datos_siembra[[#This Row],[Date]],2),"L","M","X","J","V","S","D")</f>
        <v>D</v>
      </c>
      <c r="R1907">
        <f>WEEKNUM(datos_siembra[[#This Row],[Date]],2)-WEEKNUM(DATE(YEAR(datos_siembra[[#This Row],[Date]]),MONTH(datos_siembra[[#This Row],[Date]]),1))+1</f>
        <v>4</v>
      </c>
      <c r="S1907">
        <f>MONTH(datos_siembra[[#This Row],[Date]])</f>
        <v>9</v>
      </c>
      <c r="T1907" t="str" cm="1">
        <f t="array" ref="T1907">_xlfn.IFS(AND(N1907&lt;= 22, S1907=9), "SOWING",AND(N1907&lt;= 28, S1907=9), "COVERAGE",AND(N1907&lt;= 30, S1907=9), "FLUSH",AND(N1907&lt;= 11, S1907=10), "FLUSH",AND(N1907&lt;= 21, S1907=10), "PRODUCTION")</f>
        <v>FLUSH</v>
      </c>
      <c r="U1907">
        <f>HOUR(datos_siembra[[#This Row],[Hour]])</f>
        <v>23</v>
      </c>
      <c r="V1907" cm="1">
        <f t="array" ref="V1907">_xlfn.IFS(AND(N1907&lt;= 22, S1907=9), N1907-7,AND(N1907&lt;= 28, S1907=9), N1907-25,AND(N1907&lt;= 30, S1907=9), N1907-28,AND(N1907&lt;= 11, S1907=10), N1907+2,AND(N1907&lt;= 21, S1907=10), N1907-11)</f>
        <v>1</v>
      </c>
    </row>
    <row r="1908" spans="1:22" x14ac:dyDescent="0.35">
      <c r="A1908" s="4">
        <v>45564</v>
      </c>
      <c r="B1908" s="5">
        <v>0.98253472222222227</v>
      </c>
      <c r="C1908">
        <v>81.3</v>
      </c>
      <c r="D1908">
        <v>78.8</v>
      </c>
      <c r="E1908">
        <v>81.599999999999994</v>
      </c>
      <c r="F1908">
        <v>78.8</v>
      </c>
      <c r="G1908">
        <v>0</v>
      </c>
      <c r="H1908">
        <v>0</v>
      </c>
      <c r="I1908">
        <v>0</v>
      </c>
      <c r="J1908">
        <v>0</v>
      </c>
      <c r="K1908">
        <v>68.099999999999994</v>
      </c>
      <c r="L1908">
        <v>67.8</v>
      </c>
      <c r="M1908">
        <v>80.12</v>
      </c>
      <c r="N1908">
        <v>29</v>
      </c>
      <c r="O1908">
        <v>5</v>
      </c>
      <c r="P1908">
        <f>MOD(DAY(datos_siembra[[#This Row],[Date]]),7)</f>
        <v>1</v>
      </c>
      <c r="Q1908" t="str">
        <f>CHOOSE(WEEKDAY(datos_siembra[[#This Row],[Date]],2),"L","M","X","J","V","S","D")</f>
        <v>D</v>
      </c>
      <c r="R1908">
        <f>WEEKNUM(datos_siembra[[#This Row],[Date]],2)-WEEKNUM(DATE(YEAR(datos_siembra[[#This Row],[Date]]),MONTH(datos_siembra[[#This Row],[Date]]),1))+1</f>
        <v>4</v>
      </c>
      <c r="S1908">
        <f>MONTH(datos_siembra[[#This Row],[Date]])</f>
        <v>9</v>
      </c>
      <c r="T1908" t="str" cm="1">
        <f t="array" ref="T1908">_xlfn.IFS(AND(N1908&lt;= 22, S1908=9), "SOWING",AND(N1908&lt;= 28, S1908=9), "COVERAGE",AND(N1908&lt;= 30, S1908=9), "FLUSH",AND(N1908&lt;= 11, S1908=10), "FLUSH",AND(N1908&lt;= 21, S1908=10), "PRODUCTION")</f>
        <v>FLUSH</v>
      </c>
      <c r="U1908">
        <f>HOUR(datos_siembra[[#This Row],[Hour]])</f>
        <v>23</v>
      </c>
      <c r="V1908" cm="1">
        <f t="array" ref="V1908">_xlfn.IFS(AND(N1908&lt;= 22, S1908=9), N1908-7,AND(N1908&lt;= 28, S1908=9), N1908-25,AND(N1908&lt;= 30, S1908=9), N1908-28,AND(N1908&lt;= 11, S1908=10), N1908+2,AND(N1908&lt;= 21, S1908=10), N1908-11)</f>
        <v>1</v>
      </c>
    </row>
    <row r="1909" spans="1:22" x14ac:dyDescent="0.35">
      <c r="A1909" s="4">
        <v>45564</v>
      </c>
      <c r="B1909" s="5">
        <v>0.98949074074074073</v>
      </c>
      <c r="C1909">
        <v>81.2</v>
      </c>
      <c r="D1909">
        <v>78.8</v>
      </c>
      <c r="E1909">
        <v>81.599999999999994</v>
      </c>
      <c r="F1909">
        <v>78.599999999999994</v>
      </c>
      <c r="G1909">
        <v>0</v>
      </c>
      <c r="H1909">
        <v>0</v>
      </c>
      <c r="I1909">
        <v>0</v>
      </c>
      <c r="J1909">
        <v>0</v>
      </c>
      <c r="K1909">
        <v>68.2</v>
      </c>
      <c r="L1909">
        <v>67.900000000000006</v>
      </c>
      <c r="M1909">
        <v>80.040000000000006</v>
      </c>
      <c r="N1909">
        <v>29</v>
      </c>
      <c r="O1909">
        <v>5</v>
      </c>
      <c r="P1909">
        <f>MOD(DAY(datos_siembra[[#This Row],[Date]]),7)</f>
        <v>1</v>
      </c>
      <c r="Q1909" t="str">
        <f>CHOOSE(WEEKDAY(datos_siembra[[#This Row],[Date]],2),"L","M","X","J","V","S","D")</f>
        <v>D</v>
      </c>
      <c r="R1909">
        <f>WEEKNUM(datos_siembra[[#This Row],[Date]],2)-WEEKNUM(DATE(YEAR(datos_siembra[[#This Row],[Date]]),MONTH(datos_siembra[[#This Row],[Date]]),1))+1</f>
        <v>4</v>
      </c>
      <c r="S1909">
        <f>MONTH(datos_siembra[[#This Row],[Date]])</f>
        <v>9</v>
      </c>
      <c r="T1909" t="str" cm="1">
        <f t="array" ref="T1909">_xlfn.IFS(AND(N1909&lt;= 22, S1909=9), "SOWING",AND(N1909&lt;= 28, S1909=9), "COVERAGE",AND(N1909&lt;= 30, S1909=9), "FLUSH",AND(N1909&lt;= 11, S1909=10), "FLUSH",AND(N1909&lt;= 21, S1909=10), "PRODUCTION")</f>
        <v>FLUSH</v>
      </c>
      <c r="U1909">
        <f>HOUR(datos_siembra[[#This Row],[Hour]])</f>
        <v>23</v>
      </c>
      <c r="V1909" cm="1">
        <f t="array" ref="V1909">_xlfn.IFS(AND(N1909&lt;= 22, S1909=9), N1909-7,AND(N1909&lt;= 28, S1909=9), N1909-25,AND(N1909&lt;= 30, S1909=9), N1909-28,AND(N1909&lt;= 11, S1909=10), N1909+2,AND(N1909&lt;= 21, S1909=10), N1909-11)</f>
        <v>1</v>
      </c>
    </row>
    <row r="1910" spans="1:22" x14ac:dyDescent="0.35">
      <c r="A1910" s="4">
        <v>45564</v>
      </c>
      <c r="B1910" s="5">
        <v>0.99643518518518515</v>
      </c>
      <c r="C1910">
        <v>81.2</v>
      </c>
      <c r="D1910">
        <v>78.8</v>
      </c>
      <c r="E1910">
        <v>81.599999999999994</v>
      </c>
      <c r="F1910">
        <v>78.7</v>
      </c>
      <c r="G1910">
        <v>0</v>
      </c>
      <c r="H1910">
        <v>0</v>
      </c>
      <c r="I1910">
        <v>0</v>
      </c>
      <c r="J1910">
        <v>0</v>
      </c>
      <c r="K1910">
        <v>68.3</v>
      </c>
      <c r="L1910">
        <v>68</v>
      </c>
      <c r="M1910">
        <v>80.040000000000006</v>
      </c>
      <c r="N1910">
        <v>29</v>
      </c>
      <c r="O1910">
        <v>5</v>
      </c>
      <c r="P1910">
        <f>MOD(DAY(datos_siembra[[#This Row],[Date]]),7)</f>
        <v>1</v>
      </c>
      <c r="Q1910" t="str">
        <f>CHOOSE(WEEKDAY(datos_siembra[[#This Row],[Date]],2),"L","M","X","J","V","S","D")</f>
        <v>D</v>
      </c>
      <c r="R1910">
        <f>WEEKNUM(datos_siembra[[#This Row],[Date]],2)-WEEKNUM(DATE(YEAR(datos_siembra[[#This Row],[Date]]),MONTH(datos_siembra[[#This Row],[Date]]),1))+1</f>
        <v>4</v>
      </c>
      <c r="S1910">
        <f>MONTH(datos_siembra[[#This Row],[Date]])</f>
        <v>9</v>
      </c>
      <c r="T1910" t="str" cm="1">
        <f t="array" ref="T1910">_xlfn.IFS(AND(N1910&lt;= 22, S1910=9), "SOWING",AND(N1910&lt;= 28, S1910=9), "COVERAGE",AND(N1910&lt;= 30, S1910=9), "FLUSH",AND(N1910&lt;= 11, S1910=10), "FLUSH",AND(N1910&lt;= 21, S1910=10), "PRODUCTION")</f>
        <v>FLUSH</v>
      </c>
      <c r="U1910">
        <f>HOUR(datos_siembra[[#This Row],[Hour]])</f>
        <v>23</v>
      </c>
      <c r="V1910" cm="1">
        <f t="array" ref="V1910">_xlfn.IFS(AND(N1910&lt;= 22, S1910=9), N1910-7,AND(N1910&lt;= 28, S1910=9), N1910-25,AND(N1910&lt;= 30, S1910=9), N1910-28,AND(N1910&lt;= 11, S1910=10), N1910+2,AND(N1910&lt;= 21, S1910=10), N1910-11)</f>
        <v>1</v>
      </c>
    </row>
    <row r="1911" spans="1:22" x14ac:dyDescent="0.35">
      <c r="A1911" s="4">
        <v>45565</v>
      </c>
      <c r="B1911" s="5">
        <v>3.3796296296296296E-3</v>
      </c>
      <c r="C1911">
        <v>81.099999999999994</v>
      </c>
      <c r="D1911">
        <v>78.7</v>
      </c>
      <c r="E1911">
        <v>81.5</v>
      </c>
      <c r="F1911">
        <v>78.8</v>
      </c>
      <c r="G1911">
        <v>0</v>
      </c>
      <c r="H1911">
        <v>0</v>
      </c>
      <c r="I1911">
        <v>0</v>
      </c>
      <c r="J1911">
        <v>0</v>
      </c>
      <c r="K1911">
        <v>67.3</v>
      </c>
      <c r="L1911">
        <v>67.3</v>
      </c>
      <c r="M1911">
        <v>79.930000000000007</v>
      </c>
      <c r="N1911">
        <v>30</v>
      </c>
      <c r="O1911">
        <v>6</v>
      </c>
      <c r="P1911">
        <f>MOD(DAY(datos_siembra[[#This Row],[Date]]),7)</f>
        <v>2</v>
      </c>
      <c r="Q1911" t="str">
        <f>CHOOSE(WEEKDAY(datos_siembra[[#This Row],[Date]],2),"L","M","X","J","V","S","D")</f>
        <v>L</v>
      </c>
      <c r="R1911">
        <f>WEEKNUM(datos_siembra[[#This Row],[Date]],2)-WEEKNUM(DATE(YEAR(datos_siembra[[#This Row],[Date]]),MONTH(datos_siembra[[#This Row],[Date]]),1))+1</f>
        <v>5</v>
      </c>
      <c r="S1911">
        <f>MONTH(datos_siembra[[#This Row],[Date]])</f>
        <v>9</v>
      </c>
      <c r="T1911" t="str" cm="1">
        <f t="array" ref="T1911">_xlfn.IFS(AND(N1911&lt;= 22, S1911=9), "SOWING",AND(N1911&lt;= 28, S1911=9), "COVERAGE",AND(N1911&lt;= 30, S1911=9), "FLUSH",AND(N1911&lt;= 11, S1911=10), "FLUSH",AND(N1911&lt;= 21, S1911=10), "PRODUCTION")</f>
        <v>FLUSH</v>
      </c>
      <c r="U1911">
        <f>HOUR(datos_siembra[[#This Row],[Hour]])</f>
        <v>0</v>
      </c>
      <c r="V1911" cm="1">
        <f t="array" ref="V1911">_xlfn.IFS(AND(N1911&lt;= 22, S1911=9), N1911-7,AND(N1911&lt;= 28, S1911=9), N1911-25,AND(N1911&lt;= 30, S1911=9), N1911-28,AND(N1911&lt;= 11, S1911=10), N1911+2,AND(N1911&lt;= 21, S1911=10), N1911-11)</f>
        <v>2</v>
      </c>
    </row>
    <row r="1912" spans="1:22" x14ac:dyDescent="0.35">
      <c r="A1912" s="4">
        <v>45565</v>
      </c>
      <c r="B1912" s="5">
        <v>1.0324074074074074E-2</v>
      </c>
      <c r="C1912">
        <v>80.900000000000006</v>
      </c>
      <c r="D1912">
        <v>78.8</v>
      </c>
      <c r="E1912">
        <v>81.400000000000006</v>
      </c>
      <c r="F1912">
        <v>78.7</v>
      </c>
      <c r="G1912">
        <v>0</v>
      </c>
      <c r="H1912">
        <v>0</v>
      </c>
      <c r="I1912">
        <v>0</v>
      </c>
      <c r="J1912">
        <v>0</v>
      </c>
      <c r="K1912">
        <v>66.8</v>
      </c>
      <c r="L1912">
        <v>66.900000000000006</v>
      </c>
      <c r="M1912">
        <v>79.98</v>
      </c>
      <c r="N1912">
        <v>30</v>
      </c>
      <c r="O1912">
        <v>6</v>
      </c>
      <c r="P1912">
        <f>MOD(DAY(datos_siembra[[#This Row],[Date]]),7)</f>
        <v>2</v>
      </c>
      <c r="Q1912" t="str">
        <f>CHOOSE(WEEKDAY(datos_siembra[[#This Row],[Date]],2),"L","M","X","J","V","S","D")</f>
        <v>L</v>
      </c>
      <c r="R1912">
        <f>WEEKNUM(datos_siembra[[#This Row],[Date]],2)-WEEKNUM(DATE(YEAR(datos_siembra[[#This Row],[Date]]),MONTH(datos_siembra[[#This Row],[Date]]),1))+1</f>
        <v>5</v>
      </c>
      <c r="S1912">
        <f>MONTH(datos_siembra[[#This Row],[Date]])</f>
        <v>9</v>
      </c>
      <c r="T1912" t="str" cm="1">
        <f t="array" ref="T1912">_xlfn.IFS(AND(N1912&lt;= 22, S1912=9), "SOWING",AND(N1912&lt;= 28, S1912=9), "COVERAGE",AND(N1912&lt;= 30, S1912=9), "FLUSH",AND(N1912&lt;= 11, S1912=10), "FLUSH",AND(N1912&lt;= 21, S1912=10), "PRODUCTION")</f>
        <v>FLUSH</v>
      </c>
      <c r="U1912">
        <f>HOUR(datos_siembra[[#This Row],[Hour]])</f>
        <v>0</v>
      </c>
      <c r="V1912" cm="1">
        <f t="array" ref="V1912">_xlfn.IFS(AND(N1912&lt;= 22, S1912=9), N1912-7,AND(N1912&lt;= 28, S1912=9), N1912-25,AND(N1912&lt;= 30, S1912=9), N1912-28,AND(N1912&lt;= 11, S1912=10), N1912+2,AND(N1912&lt;= 21, S1912=10), N1912-11)</f>
        <v>2</v>
      </c>
    </row>
    <row r="1913" spans="1:22" x14ac:dyDescent="0.35">
      <c r="A1913" s="4">
        <v>45565</v>
      </c>
      <c r="B1913" s="5">
        <v>1.7280092592592593E-2</v>
      </c>
      <c r="C1913">
        <v>80.900000000000006</v>
      </c>
      <c r="D1913">
        <v>78.7</v>
      </c>
      <c r="E1913">
        <v>81.5</v>
      </c>
      <c r="F1913">
        <v>78.599999999999994</v>
      </c>
      <c r="G1913">
        <v>0</v>
      </c>
      <c r="H1913">
        <v>0</v>
      </c>
      <c r="I1913">
        <v>0</v>
      </c>
      <c r="J1913">
        <v>0</v>
      </c>
      <c r="K1913">
        <v>66.400000000000006</v>
      </c>
      <c r="L1913">
        <v>66.5</v>
      </c>
      <c r="M1913">
        <v>79.95</v>
      </c>
      <c r="N1913">
        <v>30</v>
      </c>
      <c r="O1913">
        <v>6</v>
      </c>
      <c r="P1913">
        <f>MOD(DAY(datos_siembra[[#This Row],[Date]]),7)</f>
        <v>2</v>
      </c>
      <c r="Q1913" t="str">
        <f>CHOOSE(WEEKDAY(datos_siembra[[#This Row],[Date]],2),"L","M","X","J","V","S","D")</f>
        <v>L</v>
      </c>
      <c r="R1913">
        <f>WEEKNUM(datos_siembra[[#This Row],[Date]],2)-WEEKNUM(DATE(YEAR(datos_siembra[[#This Row],[Date]]),MONTH(datos_siembra[[#This Row],[Date]]),1))+1</f>
        <v>5</v>
      </c>
      <c r="S1913">
        <f>MONTH(datos_siembra[[#This Row],[Date]])</f>
        <v>9</v>
      </c>
      <c r="T1913" t="str" cm="1">
        <f t="array" ref="T1913">_xlfn.IFS(AND(N1913&lt;= 22, S1913=9), "SOWING",AND(N1913&lt;= 28, S1913=9), "COVERAGE",AND(N1913&lt;= 30, S1913=9), "FLUSH",AND(N1913&lt;= 11, S1913=10), "FLUSH",AND(N1913&lt;= 21, S1913=10), "PRODUCTION")</f>
        <v>FLUSH</v>
      </c>
      <c r="U1913">
        <f>HOUR(datos_siembra[[#This Row],[Hour]])</f>
        <v>0</v>
      </c>
      <c r="V1913" cm="1">
        <f t="array" ref="V1913">_xlfn.IFS(AND(N1913&lt;= 22, S1913=9), N1913-7,AND(N1913&lt;= 28, S1913=9), N1913-25,AND(N1913&lt;= 30, S1913=9), N1913-28,AND(N1913&lt;= 11, S1913=10), N1913+2,AND(N1913&lt;= 21, S1913=10), N1913-11)</f>
        <v>2</v>
      </c>
    </row>
    <row r="1914" spans="1:22" x14ac:dyDescent="0.35">
      <c r="A1914" s="4">
        <v>45565</v>
      </c>
      <c r="B1914" s="5">
        <v>2.4224537037037037E-2</v>
      </c>
      <c r="C1914">
        <v>80.900000000000006</v>
      </c>
      <c r="D1914">
        <v>78.599999999999994</v>
      </c>
      <c r="E1914">
        <v>81.400000000000006</v>
      </c>
      <c r="F1914">
        <v>78.599999999999994</v>
      </c>
      <c r="G1914">
        <v>0</v>
      </c>
      <c r="H1914">
        <v>0</v>
      </c>
      <c r="I1914">
        <v>0</v>
      </c>
      <c r="J1914">
        <v>0</v>
      </c>
      <c r="K1914">
        <v>67</v>
      </c>
      <c r="L1914">
        <v>66.599999999999994</v>
      </c>
      <c r="M1914">
        <v>79.84</v>
      </c>
      <c r="N1914">
        <v>30</v>
      </c>
      <c r="O1914">
        <v>6</v>
      </c>
      <c r="P1914">
        <f>MOD(DAY(datos_siembra[[#This Row],[Date]]),7)</f>
        <v>2</v>
      </c>
      <c r="Q1914" t="str">
        <f>CHOOSE(WEEKDAY(datos_siembra[[#This Row],[Date]],2),"L","M","X","J","V","S","D")</f>
        <v>L</v>
      </c>
      <c r="R1914">
        <f>WEEKNUM(datos_siembra[[#This Row],[Date]],2)-WEEKNUM(DATE(YEAR(datos_siembra[[#This Row],[Date]]),MONTH(datos_siembra[[#This Row],[Date]]),1))+1</f>
        <v>5</v>
      </c>
      <c r="S1914">
        <f>MONTH(datos_siembra[[#This Row],[Date]])</f>
        <v>9</v>
      </c>
      <c r="T1914" t="str" cm="1">
        <f t="array" ref="T1914">_xlfn.IFS(AND(N1914&lt;= 22, S1914=9), "SOWING",AND(N1914&lt;= 28, S1914=9), "COVERAGE",AND(N1914&lt;= 30, S1914=9), "FLUSH",AND(N1914&lt;= 11, S1914=10), "FLUSH",AND(N1914&lt;= 21, S1914=10), "PRODUCTION")</f>
        <v>FLUSH</v>
      </c>
      <c r="U1914">
        <f>HOUR(datos_siembra[[#This Row],[Hour]])</f>
        <v>0</v>
      </c>
      <c r="V1914" cm="1">
        <f t="array" ref="V1914">_xlfn.IFS(AND(N1914&lt;= 22, S1914=9), N1914-7,AND(N1914&lt;= 28, S1914=9), N1914-25,AND(N1914&lt;= 30, S1914=9), N1914-28,AND(N1914&lt;= 11, S1914=10), N1914+2,AND(N1914&lt;= 21, S1914=10), N1914-11)</f>
        <v>2</v>
      </c>
    </row>
    <row r="1915" spans="1:22" x14ac:dyDescent="0.35">
      <c r="A1915" s="4">
        <v>45565</v>
      </c>
      <c r="B1915" s="5">
        <v>3.1168981481481482E-2</v>
      </c>
      <c r="C1915">
        <v>80.8</v>
      </c>
      <c r="D1915">
        <v>78.599999999999994</v>
      </c>
      <c r="E1915">
        <v>81.400000000000006</v>
      </c>
      <c r="F1915">
        <v>78.400000000000006</v>
      </c>
      <c r="G1915">
        <v>0</v>
      </c>
      <c r="H1915">
        <v>0</v>
      </c>
      <c r="I1915">
        <v>0</v>
      </c>
      <c r="J1915">
        <v>0</v>
      </c>
      <c r="K1915">
        <v>67.7</v>
      </c>
      <c r="L1915">
        <v>67.3</v>
      </c>
      <c r="M1915">
        <v>79.84</v>
      </c>
      <c r="N1915">
        <v>30</v>
      </c>
      <c r="O1915">
        <v>6</v>
      </c>
      <c r="P1915">
        <f>MOD(DAY(datos_siembra[[#This Row],[Date]]),7)</f>
        <v>2</v>
      </c>
      <c r="Q1915" t="str">
        <f>CHOOSE(WEEKDAY(datos_siembra[[#This Row],[Date]],2),"L","M","X","J","V","S","D")</f>
        <v>L</v>
      </c>
      <c r="R1915">
        <f>WEEKNUM(datos_siembra[[#This Row],[Date]],2)-WEEKNUM(DATE(YEAR(datos_siembra[[#This Row],[Date]]),MONTH(datos_siembra[[#This Row],[Date]]),1))+1</f>
        <v>5</v>
      </c>
      <c r="S1915">
        <f>MONTH(datos_siembra[[#This Row],[Date]])</f>
        <v>9</v>
      </c>
      <c r="T1915" t="str" cm="1">
        <f t="array" ref="T1915">_xlfn.IFS(AND(N1915&lt;= 22, S1915=9), "SOWING",AND(N1915&lt;= 28, S1915=9), "COVERAGE",AND(N1915&lt;= 30, S1915=9), "FLUSH",AND(N1915&lt;= 11, S1915=10), "FLUSH",AND(N1915&lt;= 21, S1915=10), "PRODUCTION")</f>
        <v>FLUSH</v>
      </c>
      <c r="U1915">
        <f>HOUR(datos_siembra[[#This Row],[Hour]])</f>
        <v>0</v>
      </c>
      <c r="V1915" cm="1">
        <f t="array" ref="V1915">_xlfn.IFS(AND(N1915&lt;= 22, S1915=9), N1915-7,AND(N1915&lt;= 28, S1915=9), N1915-25,AND(N1915&lt;= 30, S1915=9), N1915-28,AND(N1915&lt;= 11, S1915=10), N1915+2,AND(N1915&lt;= 21, S1915=10), N1915-11)</f>
        <v>2</v>
      </c>
    </row>
    <row r="1916" spans="1:22" x14ac:dyDescent="0.35">
      <c r="A1916" s="4">
        <v>45565</v>
      </c>
      <c r="B1916" s="5">
        <v>3.8113425925925926E-2</v>
      </c>
      <c r="C1916">
        <v>80.900000000000006</v>
      </c>
      <c r="D1916">
        <v>78.599999999999994</v>
      </c>
      <c r="E1916">
        <v>81.2</v>
      </c>
      <c r="F1916">
        <v>78.5</v>
      </c>
      <c r="G1916">
        <v>0</v>
      </c>
      <c r="H1916">
        <v>0</v>
      </c>
      <c r="I1916">
        <v>0</v>
      </c>
      <c r="J1916">
        <v>0</v>
      </c>
      <c r="K1916">
        <v>67.900000000000006</v>
      </c>
      <c r="L1916">
        <v>67.599999999999994</v>
      </c>
      <c r="M1916">
        <v>79.81</v>
      </c>
      <c r="N1916">
        <v>30</v>
      </c>
      <c r="O1916">
        <v>6</v>
      </c>
      <c r="P1916">
        <f>MOD(DAY(datos_siembra[[#This Row],[Date]]),7)</f>
        <v>2</v>
      </c>
      <c r="Q1916" t="str">
        <f>CHOOSE(WEEKDAY(datos_siembra[[#This Row],[Date]],2),"L","M","X","J","V","S","D")</f>
        <v>L</v>
      </c>
      <c r="R1916">
        <f>WEEKNUM(datos_siembra[[#This Row],[Date]],2)-WEEKNUM(DATE(YEAR(datos_siembra[[#This Row],[Date]]),MONTH(datos_siembra[[#This Row],[Date]]),1))+1</f>
        <v>5</v>
      </c>
      <c r="S1916">
        <f>MONTH(datos_siembra[[#This Row],[Date]])</f>
        <v>9</v>
      </c>
      <c r="T1916" t="str" cm="1">
        <f t="array" ref="T1916">_xlfn.IFS(AND(N1916&lt;= 22, S1916=9), "SOWING",AND(N1916&lt;= 28, S1916=9), "COVERAGE",AND(N1916&lt;= 30, S1916=9), "FLUSH",AND(N1916&lt;= 11, S1916=10), "FLUSH",AND(N1916&lt;= 21, S1916=10), "PRODUCTION")</f>
        <v>FLUSH</v>
      </c>
      <c r="U1916">
        <f>HOUR(datos_siembra[[#This Row],[Hour]])</f>
        <v>0</v>
      </c>
      <c r="V1916" cm="1">
        <f t="array" ref="V1916">_xlfn.IFS(AND(N1916&lt;= 22, S1916=9), N1916-7,AND(N1916&lt;= 28, S1916=9), N1916-25,AND(N1916&lt;= 30, S1916=9), N1916-28,AND(N1916&lt;= 11, S1916=10), N1916+2,AND(N1916&lt;= 21, S1916=10), N1916-11)</f>
        <v>2</v>
      </c>
    </row>
    <row r="1917" spans="1:22" x14ac:dyDescent="0.35">
      <c r="A1917" s="4">
        <v>45565</v>
      </c>
      <c r="B1917" s="5">
        <v>4.5069444444444447E-2</v>
      </c>
      <c r="C1917">
        <v>80.900000000000006</v>
      </c>
      <c r="D1917">
        <v>78.599999999999994</v>
      </c>
      <c r="E1917">
        <v>81.2</v>
      </c>
      <c r="F1917">
        <v>78.400000000000006</v>
      </c>
      <c r="G1917">
        <v>0</v>
      </c>
      <c r="H1917">
        <v>0</v>
      </c>
      <c r="I1917">
        <v>0</v>
      </c>
      <c r="J1917">
        <v>0</v>
      </c>
      <c r="K1917">
        <v>68</v>
      </c>
      <c r="L1917">
        <v>67.7</v>
      </c>
      <c r="M1917">
        <v>79.7</v>
      </c>
      <c r="N1917">
        <v>30</v>
      </c>
      <c r="O1917">
        <v>6</v>
      </c>
      <c r="P1917">
        <f>MOD(DAY(datos_siembra[[#This Row],[Date]]),7)</f>
        <v>2</v>
      </c>
      <c r="Q1917" t="str">
        <f>CHOOSE(WEEKDAY(datos_siembra[[#This Row],[Date]],2),"L","M","X","J","V","S","D")</f>
        <v>L</v>
      </c>
      <c r="R1917">
        <f>WEEKNUM(datos_siembra[[#This Row],[Date]],2)-WEEKNUM(DATE(YEAR(datos_siembra[[#This Row],[Date]]),MONTH(datos_siembra[[#This Row],[Date]]),1))+1</f>
        <v>5</v>
      </c>
      <c r="S1917">
        <f>MONTH(datos_siembra[[#This Row],[Date]])</f>
        <v>9</v>
      </c>
      <c r="T1917" t="str" cm="1">
        <f t="array" ref="T1917">_xlfn.IFS(AND(N1917&lt;= 22, S1917=9), "SOWING",AND(N1917&lt;= 28, S1917=9), "COVERAGE",AND(N1917&lt;= 30, S1917=9), "FLUSH",AND(N1917&lt;= 11, S1917=10), "FLUSH",AND(N1917&lt;= 21, S1917=10), "PRODUCTION")</f>
        <v>FLUSH</v>
      </c>
      <c r="U1917">
        <f>HOUR(datos_siembra[[#This Row],[Hour]])</f>
        <v>1</v>
      </c>
      <c r="V1917" cm="1">
        <f t="array" ref="V1917">_xlfn.IFS(AND(N1917&lt;= 22, S1917=9), N1917-7,AND(N1917&lt;= 28, S1917=9), N1917-25,AND(N1917&lt;= 30, S1917=9), N1917-28,AND(N1917&lt;= 11, S1917=10), N1917+2,AND(N1917&lt;= 21, S1917=10), N1917-11)</f>
        <v>2</v>
      </c>
    </row>
    <row r="1918" spans="1:22" x14ac:dyDescent="0.35">
      <c r="A1918" s="4">
        <v>45565</v>
      </c>
      <c r="B1918" s="5">
        <v>5.2013888888888887E-2</v>
      </c>
      <c r="C1918">
        <v>80.8</v>
      </c>
      <c r="D1918">
        <v>78.599999999999994</v>
      </c>
      <c r="E1918">
        <v>81.3</v>
      </c>
      <c r="F1918">
        <v>78.400000000000006</v>
      </c>
      <c r="G1918">
        <v>0</v>
      </c>
      <c r="H1918">
        <v>0</v>
      </c>
      <c r="I1918">
        <v>0</v>
      </c>
      <c r="J1918">
        <v>0</v>
      </c>
      <c r="K1918">
        <v>68.099999999999994</v>
      </c>
      <c r="L1918">
        <v>67.8</v>
      </c>
      <c r="M1918">
        <v>79.760000000000005</v>
      </c>
      <c r="N1918">
        <v>30</v>
      </c>
      <c r="O1918">
        <v>6</v>
      </c>
      <c r="P1918">
        <f>MOD(DAY(datos_siembra[[#This Row],[Date]]),7)</f>
        <v>2</v>
      </c>
      <c r="Q1918" t="str">
        <f>CHOOSE(WEEKDAY(datos_siembra[[#This Row],[Date]],2),"L","M","X","J","V","S","D")</f>
        <v>L</v>
      </c>
      <c r="R1918">
        <f>WEEKNUM(datos_siembra[[#This Row],[Date]],2)-WEEKNUM(DATE(YEAR(datos_siembra[[#This Row],[Date]]),MONTH(datos_siembra[[#This Row],[Date]]),1))+1</f>
        <v>5</v>
      </c>
      <c r="S1918">
        <f>MONTH(datos_siembra[[#This Row],[Date]])</f>
        <v>9</v>
      </c>
      <c r="T1918" t="str" cm="1">
        <f t="array" ref="T1918">_xlfn.IFS(AND(N1918&lt;= 22, S1918=9), "SOWING",AND(N1918&lt;= 28, S1918=9), "COVERAGE",AND(N1918&lt;= 30, S1918=9), "FLUSH",AND(N1918&lt;= 11, S1918=10), "FLUSH",AND(N1918&lt;= 21, S1918=10), "PRODUCTION")</f>
        <v>FLUSH</v>
      </c>
      <c r="U1918">
        <f>HOUR(datos_siembra[[#This Row],[Hour]])</f>
        <v>1</v>
      </c>
      <c r="V1918" cm="1">
        <f t="array" ref="V1918">_xlfn.IFS(AND(N1918&lt;= 22, S1918=9), N1918-7,AND(N1918&lt;= 28, S1918=9), N1918-25,AND(N1918&lt;= 30, S1918=9), N1918-28,AND(N1918&lt;= 11, S1918=10), N1918+2,AND(N1918&lt;= 21, S1918=10), N1918-11)</f>
        <v>2</v>
      </c>
    </row>
    <row r="1919" spans="1:22" x14ac:dyDescent="0.35">
      <c r="A1919" s="4">
        <v>45565</v>
      </c>
      <c r="B1919" s="5">
        <v>5.8958333333333335E-2</v>
      </c>
      <c r="C1919">
        <v>80.7</v>
      </c>
      <c r="D1919">
        <v>78.5</v>
      </c>
      <c r="E1919">
        <v>81.2</v>
      </c>
      <c r="F1919">
        <v>78.400000000000006</v>
      </c>
      <c r="G1919">
        <v>0</v>
      </c>
      <c r="H1919">
        <v>0</v>
      </c>
      <c r="I1919">
        <v>0</v>
      </c>
      <c r="J1919">
        <v>0</v>
      </c>
      <c r="K1919">
        <v>68.2</v>
      </c>
      <c r="L1919">
        <v>67.900000000000006</v>
      </c>
      <c r="M1919">
        <v>79.73</v>
      </c>
      <c r="N1919">
        <v>30</v>
      </c>
      <c r="O1919">
        <v>6</v>
      </c>
      <c r="P1919">
        <f>MOD(DAY(datos_siembra[[#This Row],[Date]]),7)</f>
        <v>2</v>
      </c>
      <c r="Q1919" t="str">
        <f>CHOOSE(WEEKDAY(datos_siembra[[#This Row],[Date]],2),"L","M","X","J","V","S","D")</f>
        <v>L</v>
      </c>
      <c r="R1919">
        <f>WEEKNUM(datos_siembra[[#This Row],[Date]],2)-WEEKNUM(DATE(YEAR(datos_siembra[[#This Row],[Date]]),MONTH(datos_siembra[[#This Row],[Date]]),1))+1</f>
        <v>5</v>
      </c>
      <c r="S1919">
        <f>MONTH(datos_siembra[[#This Row],[Date]])</f>
        <v>9</v>
      </c>
      <c r="T1919" t="str" cm="1">
        <f t="array" ref="T1919">_xlfn.IFS(AND(N1919&lt;= 22, S1919=9), "SOWING",AND(N1919&lt;= 28, S1919=9), "COVERAGE",AND(N1919&lt;= 30, S1919=9), "FLUSH",AND(N1919&lt;= 11, S1919=10), "FLUSH",AND(N1919&lt;= 21, S1919=10), "PRODUCTION")</f>
        <v>FLUSH</v>
      </c>
      <c r="U1919">
        <f>HOUR(datos_siembra[[#This Row],[Hour]])</f>
        <v>1</v>
      </c>
      <c r="V1919" cm="1">
        <f t="array" ref="V1919">_xlfn.IFS(AND(N1919&lt;= 22, S1919=9), N1919-7,AND(N1919&lt;= 28, S1919=9), N1919-25,AND(N1919&lt;= 30, S1919=9), N1919-28,AND(N1919&lt;= 11, S1919=10), N1919+2,AND(N1919&lt;= 21, S1919=10), N1919-11)</f>
        <v>2</v>
      </c>
    </row>
    <row r="1920" spans="1:22" x14ac:dyDescent="0.35">
      <c r="A1920" s="4">
        <v>45565</v>
      </c>
      <c r="B1920" s="5">
        <v>6.5914351851851849E-2</v>
      </c>
      <c r="C1920">
        <v>80.7</v>
      </c>
      <c r="D1920">
        <v>78.599999999999994</v>
      </c>
      <c r="E1920">
        <v>81.2</v>
      </c>
      <c r="F1920">
        <v>78.2</v>
      </c>
      <c r="G1920">
        <v>0</v>
      </c>
      <c r="H1920">
        <v>0</v>
      </c>
      <c r="I1920">
        <v>0</v>
      </c>
      <c r="J1920">
        <v>0</v>
      </c>
      <c r="K1920">
        <v>68.2</v>
      </c>
      <c r="L1920">
        <v>67.900000000000006</v>
      </c>
      <c r="M1920">
        <v>79.73</v>
      </c>
      <c r="N1920">
        <v>30</v>
      </c>
      <c r="O1920">
        <v>6</v>
      </c>
      <c r="P1920">
        <f>MOD(DAY(datos_siembra[[#This Row],[Date]]),7)</f>
        <v>2</v>
      </c>
      <c r="Q1920" t="str">
        <f>CHOOSE(WEEKDAY(datos_siembra[[#This Row],[Date]],2),"L","M","X","J","V","S","D")</f>
        <v>L</v>
      </c>
      <c r="R1920">
        <f>WEEKNUM(datos_siembra[[#This Row],[Date]],2)-WEEKNUM(DATE(YEAR(datos_siembra[[#This Row],[Date]]),MONTH(datos_siembra[[#This Row],[Date]]),1))+1</f>
        <v>5</v>
      </c>
      <c r="S1920">
        <f>MONTH(datos_siembra[[#This Row],[Date]])</f>
        <v>9</v>
      </c>
      <c r="T1920" t="str" cm="1">
        <f t="array" ref="T1920">_xlfn.IFS(AND(N1920&lt;= 22, S1920=9), "SOWING",AND(N1920&lt;= 28, S1920=9), "COVERAGE",AND(N1920&lt;= 30, S1920=9), "FLUSH",AND(N1920&lt;= 11, S1920=10), "FLUSH",AND(N1920&lt;= 21, S1920=10), "PRODUCTION")</f>
        <v>FLUSH</v>
      </c>
      <c r="U1920">
        <f>HOUR(datos_siembra[[#This Row],[Hour]])</f>
        <v>1</v>
      </c>
      <c r="V1920" cm="1">
        <f t="array" ref="V1920">_xlfn.IFS(AND(N1920&lt;= 22, S1920=9), N1920-7,AND(N1920&lt;= 28, S1920=9), N1920-25,AND(N1920&lt;= 30, S1920=9), N1920-28,AND(N1920&lt;= 11, S1920=10), N1920+2,AND(N1920&lt;= 21, S1920=10), N1920-11)</f>
        <v>2</v>
      </c>
    </row>
    <row r="1921" spans="1:22" x14ac:dyDescent="0.35">
      <c r="A1921" s="4">
        <v>45565</v>
      </c>
      <c r="B1921" s="5">
        <v>7.2858796296296297E-2</v>
      </c>
      <c r="C1921">
        <v>80.599999999999994</v>
      </c>
      <c r="D1921">
        <v>78.599999999999994</v>
      </c>
      <c r="E1921">
        <v>81.099999999999994</v>
      </c>
      <c r="F1921">
        <v>78.5</v>
      </c>
      <c r="G1921">
        <v>0</v>
      </c>
      <c r="H1921">
        <v>0</v>
      </c>
      <c r="I1921">
        <v>0</v>
      </c>
      <c r="J1921">
        <v>0</v>
      </c>
      <c r="K1921">
        <v>68.3</v>
      </c>
      <c r="L1921">
        <v>68</v>
      </c>
      <c r="M1921">
        <v>79.64</v>
      </c>
      <c r="N1921">
        <v>30</v>
      </c>
      <c r="O1921">
        <v>6</v>
      </c>
      <c r="P1921">
        <f>MOD(DAY(datos_siembra[[#This Row],[Date]]),7)</f>
        <v>2</v>
      </c>
      <c r="Q1921" t="str">
        <f>CHOOSE(WEEKDAY(datos_siembra[[#This Row],[Date]],2),"L","M","X","J","V","S","D")</f>
        <v>L</v>
      </c>
      <c r="R1921">
        <f>WEEKNUM(datos_siembra[[#This Row],[Date]],2)-WEEKNUM(DATE(YEAR(datos_siembra[[#This Row],[Date]]),MONTH(datos_siembra[[#This Row],[Date]]),1))+1</f>
        <v>5</v>
      </c>
      <c r="S1921">
        <f>MONTH(datos_siembra[[#This Row],[Date]])</f>
        <v>9</v>
      </c>
      <c r="T1921" t="str" cm="1">
        <f t="array" ref="T1921">_xlfn.IFS(AND(N1921&lt;= 22, S1921=9), "SOWING",AND(N1921&lt;= 28, S1921=9), "COVERAGE",AND(N1921&lt;= 30, S1921=9), "FLUSH",AND(N1921&lt;= 11, S1921=10), "FLUSH",AND(N1921&lt;= 21, S1921=10), "PRODUCTION")</f>
        <v>FLUSH</v>
      </c>
      <c r="U1921">
        <f>HOUR(datos_siembra[[#This Row],[Hour]])</f>
        <v>1</v>
      </c>
      <c r="V1921" cm="1">
        <f t="array" ref="V1921">_xlfn.IFS(AND(N1921&lt;= 22, S1921=9), N1921-7,AND(N1921&lt;= 28, S1921=9), N1921-25,AND(N1921&lt;= 30, S1921=9), N1921-28,AND(N1921&lt;= 11, S1921=10), N1921+2,AND(N1921&lt;= 21, S1921=10), N1921-11)</f>
        <v>2</v>
      </c>
    </row>
    <row r="1922" spans="1:22" x14ac:dyDescent="0.35">
      <c r="A1922" s="4">
        <v>45565</v>
      </c>
      <c r="B1922" s="5">
        <v>7.9803240740740744E-2</v>
      </c>
      <c r="C1922">
        <v>80.7</v>
      </c>
      <c r="D1922">
        <v>78.400000000000006</v>
      </c>
      <c r="E1922">
        <v>81.099999999999994</v>
      </c>
      <c r="F1922">
        <v>78.5</v>
      </c>
      <c r="G1922">
        <v>0</v>
      </c>
      <c r="H1922">
        <v>0</v>
      </c>
      <c r="I1922">
        <v>0</v>
      </c>
      <c r="J1922">
        <v>0</v>
      </c>
      <c r="K1922">
        <v>68.3</v>
      </c>
      <c r="L1922">
        <v>68</v>
      </c>
      <c r="M1922">
        <v>79.64</v>
      </c>
      <c r="N1922">
        <v>30</v>
      </c>
      <c r="O1922">
        <v>6</v>
      </c>
      <c r="P1922">
        <f>MOD(DAY(datos_siembra[[#This Row],[Date]]),7)</f>
        <v>2</v>
      </c>
      <c r="Q1922" t="str">
        <f>CHOOSE(WEEKDAY(datos_siembra[[#This Row],[Date]],2),"L","M","X","J","V","S","D")</f>
        <v>L</v>
      </c>
      <c r="R1922">
        <f>WEEKNUM(datos_siembra[[#This Row],[Date]],2)-WEEKNUM(DATE(YEAR(datos_siembra[[#This Row],[Date]]),MONTH(datos_siembra[[#This Row],[Date]]),1))+1</f>
        <v>5</v>
      </c>
      <c r="S1922">
        <f>MONTH(datos_siembra[[#This Row],[Date]])</f>
        <v>9</v>
      </c>
      <c r="T1922" t="str" cm="1">
        <f t="array" ref="T1922">_xlfn.IFS(AND(N1922&lt;= 22, S1922=9), "SOWING",AND(N1922&lt;= 28, S1922=9), "COVERAGE",AND(N1922&lt;= 30, S1922=9), "FLUSH",AND(N1922&lt;= 11, S1922=10), "FLUSH",AND(N1922&lt;= 21, S1922=10), "PRODUCTION")</f>
        <v>FLUSH</v>
      </c>
      <c r="U1922">
        <f>HOUR(datos_siembra[[#This Row],[Hour]])</f>
        <v>1</v>
      </c>
      <c r="V1922" cm="1">
        <f t="array" ref="V1922">_xlfn.IFS(AND(N1922&lt;= 22, S1922=9), N1922-7,AND(N1922&lt;= 28, S1922=9), N1922-25,AND(N1922&lt;= 30, S1922=9), N1922-28,AND(N1922&lt;= 11, S1922=10), N1922+2,AND(N1922&lt;= 21, S1922=10), N1922-11)</f>
        <v>2</v>
      </c>
    </row>
    <row r="1923" spans="1:22" x14ac:dyDescent="0.35">
      <c r="A1923" s="4">
        <v>45565</v>
      </c>
      <c r="B1923" s="5">
        <v>8.6747685185185192E-2</v>
      </c>
      <c r="C1923">
        <v>80.7</v>
      </c>
      <c r="D1923">
        <v>78.5</v>
      </c>
      <c r="E1923">
        <v>81.099999999999994</v>
      </c>
      <c r="F1923">
        <v>78.400000000000006</v>
      </c>
      <c r="G1923">
        <v>0</v>
      </c>
      <c r="H1923">
        <v>0</v>
      </c>
      <c r="I1923">
        <v>0</v>
      </c>
      <c r="J1923">
        <v>0</v>
      </c>
      <c r="K1923">
        <v>68.3</v>
      </c>
      <c r="L1923">
        <v>68</v>
      </c>
      <c r="M1923">
        <v>79.62</v>
      </c>
      <c r="N1923">
        <v>30</v>
      </c>
      <c r="O1923">
        <v>6</v>
      </c>
      <c r="P1923">
        <f>MOD(DAY(datos_siembra[[#This Row],[Date]]),7)</f>
        <v>2</v>
      </c>
      <c r="Q1923" t="str">
        <f>CHOOSE(WEEKDAY(datos_siembra[[#This Row],[Date]],2),"L","M","X","J","V","S","D")</f>
        <v>L</v>
      </c>
      <c r="R1923">
        <f>WEEKNUM(datos_siembra[[#This Row],[Date]],2)-WEEKNUM(DATE(YEAR(datos_siembra[[#This Row],[Date]]),MONTH(datos_siembra[[#This Row],[Date]]),1))+1</f>
        <v>5</v>
      </c>
      <c r="S1923">
        <f>MONTH(datos_siembra[[#This Row],[Date]])</f>
        <v>9</v>
      </c>
      <c r="T1923" t="str" cm="1">
        <f t="array" ref="T1923">_xlfn.IFS(AND(N1923&lt;= 22, S1923=9), "SOWING",AND(N1923&lt;= 28, S1923=9), "COVERAGE",AND(N1923&lt;= 30, S1923=9), "FLUSH",AND(N1923&lt;= 11, S1923=10), "FLUSH",AND(N1923&lt;= 21, S1923=10), "PRODUCTION")</f>
        <v>FLUSH</v>
      </c>
      <c r="U1923">
        <f>HOUR(datos_siembra[[#This Row],[Hour]])</f>
        <v>2</v>
      </c>
      <c r="V1923" cm="1">
        <f t="array" ref="V1923">_xlfn.IFS(AND(N1923&lt;= 22, S1923=9), N1923-7,AND(N1923&lt;= 28, S1923=9), N1923-25,AND(N1923&lt;= 30, S1923=9), N1923-28,AND(N1923&lt;= 11, S1923=10), N1923+2,AND(N1923&lt;= 21, S1923=10), N1923-11)</f>
        <v>2</v>
      </c>
    </row>
    <row r="1924" spans="1:22" x14ac:dyDescent="0.35">
      <c r="A1924" s="4">
        <v>45565</v>
      </c>
      <c r="B1924" s="5">
        <v>9.3703703703703706E-2</v>
      </c>
      <c r="C1924">
        <v>80.5</v>
      </c>
      <c r="D1924">
        <v>78.400000000000006</v>
      </c>
      <c r="E1924">
        <v>80.900000000000006</v>
      </c>
      <c r="F1924">
        <v>78.400000000000006</v>
      </c>
      <c r="G1924">
        <v>0</v>
      </c>
      <c r="H1924">
        <v>0</v>
      </c>
      <c r="I1924">
        <v>0</v>
      </c>
      <c r="J1924">
        <v>0</v>
      </c>
      <c r="K1924">
        <v>67.3</v>
      </c>
      <c r="L1924">
        <v>67.3</v>
      </c>
      <c r="M1924">
        <v>79.59</v>
      </c>
      <c r="N1924">
        <v>30</v>
      </c>
      <c r="O1924">
        <v>6</v>
      </c>
      <c r="P1924">
        <f>MOD(DAY(datos_siembra[[#This Row],[Date]]),7)</f>
        <v>2</v>
      </c>
      <c r="Q1924" t="str">
        <f>CHOOSE(WEEKDAY(datos_siembra[[#This Row],[Date]],2),"L","M","X","J","V","S","D")</f>
        <v>L</v>
      </c>
      <c r="R1924">
        <f>WEEKNUM(datos_siembra[[#This Row],[Date]],2)-WEEKNUM(DATE(YEAR(datos_siembra[[#This Row],[Date]]),MONTH(datos_siembra[[#This Row],[Date]]),1))+1</f>
        <v>5</v>
      </c>
      <c r="S1924">
        <f>MONTH(datos_siembra[[#This Row],[Date]])</f>
        <v>9</v>
      </c>
      <c r="T1924" t="str" cm="1">
        <f t="array" ref="T1924">_xlfn.IFS(AND(N1924&lt;= 22, S1924=9), "SOWING",AND(N1924&lt;= 28, S1924=9), "COVERAGE",AND(N1924&lt;= 30, S1924=9), "FLUSH",AND(N1924&lt;= 11, S1924=10), "FLUSH",AND(N1924&lt;= 21, S1924=10), "PRODUCTION")</f>
        <v>FLUSH</v>
      </c>
      <c r="U1924">
        <f>HOUR(datos_siembra[[#This Row],[Hour]])</f>
        <v>2</v>
      </c>
      <c r="V1924" cm="1">
        <f t="array" ref="V1924">_xlfn.IFS(AND(N1924&lt;= 22, S1924=9), N1924-7,AND(N1924&lt;= 28, S1924=9), N1924-25,AND(N1924&lt;= 30, S1924=9), N1924-28,AND(N1924&lt;= 11, S1924=10), N1924+2,AND(N1924&lt;= 21, S1924=10), N1924-11)</f>
        <v>2</v>
      </c>
    </row>
    <row r="1925" spans="1:22" x14ac:dyDescent="0.35">
      <c r="A1925" s="4">
        <v>45565</v>
      </c>
      <c r="B1925" s="5">
        <v>0.10064814814814815</v>
      </c>
      <c r="C1925">
        <v>80.599999999999994</v>
      </c>
      <c r="D1925">
        <v>78.5</v>
      </c>
      <c r="E1925">
        <v>80.900000000000006</v>
      </c>
      <c r="F1925">
        <v>78.099999999999994</v>
      </c>
      <c r="G1925">
        <v>0</v>
      </c>
      <c r="H1925">
        <v>0</v>
      </c>
      <c r="I1925">
        <v>0</v>
      </c>
      <c r="J1925">
        <v>0</v>
      </c>
      <c r="K1925">
        <v>66.599999999999994</v>
      </c>
      <c r="L1925">
        <v>66.8</v>
      </c>
      <c r="M1925">
        <v>79.48</v>
      </c>
      <c r="N1925">
        <v>30</v>
      </c>
      <c r="O1925">
        <v>6</v>
      </c>
      <c r="P1925">
        <f>MOD(DAY(datos_siembra[[#This Row],[Date]]),7)</f>
        <v>2</v>
      </c>
      <c r="Q1925" t="str">
        <f>CHOOSE(WEEKDAY(datos_siembra[[#This Row],[Date]],2),"L","M","X","J","V","S","D")</f>
        <v>L</v>
      </c>
      <c r="R1925">
        <f>WEEKNUM(datos_siembra[[#This Row],[Date]],2)-WEEKNUM(DATE(YEAR(datos_siembra[[#This Row],[Date]]),MONTH(datos_siembra[[#This Row],[Date]]),1))+1</f>
        <v>5</v>
      </c>
      <c r="S1925">
        <f>MONTH(datos_siembra[[#This Row],[Date]])</f>
        <v>9</v>
      </c>
      <c r="T1925" t="str" cm="1">
        <f t="array" ref="T1925">_xlfn.IFS(AND(N1925&lt;= 22, S1925=9), "SOWING",AND(N1925&lt;= 28, S1925=9), "COVERAGE",AND(N1925&lt;= 30, S1925=9), "FLUSH",AND(N1925&lt;= 11, S1925=10), "FLUSH",AND(N1925&lt;= 21, S1925=10), "PRODUCTION")</f>
        <v>FLUSH</v>
      </c>
      <c r="U1925">
        <f>HOUR(datos_siembra[[#This Row],[Hour]])</f>
        <v>2</v>
      </c>
      <c r="V1925" cm="1">
        <f t="array" ref="V1925">_xlfn.IFS(AND(N1925&lt;= 22, S1925=9), N1925-7,AND(N1925&lt;= 28, S1925=9), N1925-25,AND(N1925&lt;= 30, S1925=9), N1925-28,AND(N1925&lt;= 11, S1925=10), N1925+2,AND(N1925&lt;= 21, S1925=10), N1925-11)</f>
        <v>2</v>
      </c>
    </row>
    <row r="1926" spans="1:22" x14ac:dyDescent="0.35">
      <c r="A1926" s="4">
        <v>45565</v>
      </c>
      <c r="B1926" s="5">
        <v>0.10759259259259259</v>
      </c>
      <c r="C1926">
        <v>80.599999999999994</v>
      </c>
      <c r="D1926">
        <v>78.2</v>
      </c>
      <c r="E1926">
        <v>80.900000000000006</v>
      </c>
      <c r="F1926">
        <v>78.2</v>
      </c>
      <c r="G1926">
        <v>0</v>
      </c>
      <c r="H1926">
        <v>0</v>
      </c>
      <c r="I1926">
        <v>0</v>
      </c>
      <c r="J1926">
        <v>0</v>
      </c>
      <c r="K1926">
        <v>66.3</v>
      </c>
      <c r="L1926">
        <v>66.400000000000006</v>
      </c>
      <c r="M1926">
        <v>79.5</v>
      </c>
      <c r="N1926">
        <v>30</v>
      </c>
      <c r="O1926">
        <v>6</v>
      </c>
      <c r="P1926">
        <f>MOD(DAY(datos_siembra[[#This Row],[Date]]),7)</f>
        <v>2</v>
      </c>
      <c r="Q1926" t="str">
        <f>CHOOSE(WEEKDAY(datos_siembra[[#This Row],[Date]],2),"L","M","X","J","V","S","D")</f>
        <v>L</v>
      </c>
      <c r="R1926">
        <f>WEEKNUM(datos_siembra[[#This Row],[Date]],2)-WEEKNUM(DATE(YEAR(datos_siembra[[#This Row],[Date]]),MONTH(datos_siembra[[#This Row],[Date]]),1))+1</f>
        <v>5</v>
      </c>
      <c r="S1926">
        <f>MONTH(datos_siembra[[#This Row],[Date]])</f>
        <v>9</v>
      </c>
      <c r="T1926" t="str" cm="1">
        <f t="array" ref="T1926">_xlfn.IFS(AND(N1926&lt;= 22, S1926=9), "SOWING",AND(N1926&lt;= 28, S1926=9), "COVERAGE",AND(N1926&lt;= 30, S1926=9), "FLUSH",AND(N1926&lt;= 11, S1926=10), "FLUSH",AND(N1926&lt;= 21, S1926=10), "PRODUCTION")</f>
        <v>FLUSH</v>
      </c>
      <c r="U1926">
        <f>HOUR(datos_siembra[[#This Row],[Hour]])</f>
        <v>2</v>
      </c>
      <c r="V1926" cm="1">
        <f t="array" ref="V1926">_xlfn.IFS(AND(N1926&lt;= 22, S1926=9), N1926-7,AND(N1926&lt;= 28, S1926=9), N1926-25,AND(N1926&lt;= 30, S1926=9), N1926-28,AND(N1926&lt;= 11, S1926=10), N1926+2,AND(N1926&lt;= 21, S1926=10), N1926-11)</f>
        <v>2</v>
      </c>
    </row>
    <row r="1927" spans="1:22" x14ac:dyDescent="0.35">
      <c r="A1927" s="4">
        <v>45565</v>
      </c>
      <c r="B1927" s="5">
        <v>0.11453703703703703</v>
      </c>
      <c r="C1927">
        <v>80.599999999999994</v>
      </c>
      <c r="D1927">
        <v>78.2</v>
      </c>
      <c r="E1927">
        <v>80.900000000000006</v>
      </c>
      <c r="F1927">
        <v>78.2</v>
      </c>
      <c r="G1927">
        <v>0</v>
      </c>
      <c r="H1927">
        <v>0</v>
      </c>
      <c r="I1927">
        <v>0</v>
      </c>
      <c r="J1927">
        <v>0</v>
      </c>
      <c r="K1927">
        <v>67.3</v>
      </c>
      <c r="L1927">
        <v>67.099999999999994</v>
      </c>
      <c r="M1927">
        <v>79.45</v>
      </c>
      <c r="N1927">
        <v>30</v>
      </c>
      <c r="O1927">
        <v>6</v>
      </c>
      <c r="P1927">
        <f>MOD(DAY(datos_siembra[[#This Row],[Date]]),7)</f>
        <v>2</v>
      </c>
      <c r="Q1927" t="str">
        <f>CHOOSE(WEEKDAY(datos_siembra[[#This Row],[Date]],2),"L","M","X","J","V","S","D")</f>
        <v>L</v>
      </c>
      <c r="R1927">
        <f>WEEKNUM(datos_siembra[[#This Row],[Date]],2)-WEEKNUM(DATE(YEAR(datos_siembra[[#This Row],[Date]]),MONTH(datos_siembra[[#This Row],[Date]]),1))+1</f>
        <v>5</v>
      </c>
      <c r="S1927">
        <f>MONTH(datos_siembra[[#This Row],[Date]])</f>
        <v>9</v>
      </c>
      <c r="T1927" t="str" cm="1">
        <f t="array" ref="T1927">_xlfn.IFS(AND(N1927&lt;= 22, S1927=9), "SOWING",AND(N1927&lt;= 28, S1927=9), "COVERAGE",AND(N1927&lt;= 30, S1927=9), "FLUSH",AND(N1927&lt;= 11, S1927=10), "FLUSH",AND(N1927&lt;= 21, S1927=10), "PRODUCTION")</f>
        <v>FLUSH</v>
      </c>
      <c r="U1927">
        <f>HOUR(datos_siembra[[#This Row],[Hour]])</f>
        <v>2</v>
      </c>
      <c r="V1927" cm="1">
        <f t="array" ref="V1927">_xlfn.IFS(AND(N1927&lt;= 22, S1927=9), N1927-7,AND(N1927&lt;= 28, S1927=9), N1927-25,AND(N1927&lt;= 30, S1927=9), N1927-28,AND(N1927&lt;= 11, S1927=10), N1927+2,AND(N1927&lt;= 21, S1927=10), N1927-11)</f>
        <v>2</v>
      </c>
    </row>
    <row r="1928" spans="1:22" x14ac:dyDescent="0.35">
      <c r="A1928" s="4">
        <v>45565</v>
      </c>
      <c r="B1928" s="5">
        <v>0.12149305555555556</v>
      </c>
      <c r="C1928">
        <v>80.5</v>
      </c>
      <c r="D1928">
        <v>78.400000000000006</v>
      </c>
      <c r="E1928">
        <v>80.8</v>
      </c>
      <c r="F1928">
        <v>78.2</v>
      </c>
      <c r="G1928">
        <v>0</v>
      </c>
      <c r="H1928">
        <v>0</v>
      </c>
      <c r="I1928">
        <v>0</v>
      </c>
      <c r="J1928">
        <v>0</v>
      </c>
      <c r="K1928">
        <v>67.8</v>
      </c>
      <c r="L1928">
        <v>67.400000000000006</v>
      </c>
      <c r="M1928">
        <v>79.5</v>
      </c>
      <c r="N1928">
        <v>30</v>
      </c>
      <c r="O1928">
        <v>6</v>
      </c>
      <c r="P1928">
        <f>MOD(DAY(datos_siembra[[#This Row],[Date]]),7)</f>
        <v>2</v>
      </c>
      <c r="Q1928" t="str">
        <f>CHOOSE(WEEKDAY(datos_siembra[[#This Row],[Date]],2),"L","M","X","J","V","S","D")</f>
        <v>L</v>
      </c>
      <c r="R1928">
        <f>WEEKNUM(datos_siembra[[#This Row],[Date]],2)-WEEKNUM(DATE(YEAR(datos_siembra[[#This Row],[Date]]),MONTH(datos_siembra[[#This Row],[Date]]),1))+1</f>
        <v>5</v>
      </c>
      <c r="S1928">
        <f>MONTH(datos_siembra[[#This Row],[Date]])</f>
        <v>9</v>
      </c>
      <c r="T1928" t="str" cm="1">
        <f t="array" ref="T1928">_xlfn.IFS(AND(N1928&lt;= 22, S1928=9), "SOWING",AND(N1928&lt;= 28, S1928=9), "COVERAGE",AND(N1928&lt;= 30, S1928=9), "FLUSH",AND(N1928&lt;= 11, S1928=10), "FLUSH",AND(N1928&lt;= 21, S1928=10), "PRODUCTION")</f>
        <v>FLUSH</v>
      </c>
      <c r="U1928">
        <f>HOUR(datos_siembra[[#This Row],[Hour]])</f>
        <v>2</v>
      </c>
      <c r="V1928" cm="1">
        <f t="array" ref="V1928">_xlfn.IFS(AND(N1928&lt;= 22, S1928=9), N1928-7,AND(N1928&lt;= 28, S1928=9), N1928-25,AND(N1928&lt;= 30, S1928=9), N1928-28,AND(N1928&lt;= 11, S1928=10), N1928+2,AND(N1928&lt;= 21, S1928=10), N1928-11)</f>
        <v>2</v>
      </c>
    </row>
    <row r="1929" spans="1:22" x14ac:dyDescent="0.35">
      <c r="A1929" s="4">
        <v>45565</v>
      </c>
      <c r="B1929" s="5">
        <v>0.12843750000000001</v>
      </c>
      <c r="C1929">
        <v>80.3</v>
      </c>
      <c r="D1929">
        <v>78.2</v>
      </c>
      <c r="E1929">
        <v>80.900000000000006</v>
      </c>
      <c r="F1929">
        <v>78.2</v>
      </c>
      <c r="G1929">
        <v>0</v>
      </c>
      <c r="H1929">
        <v>0</v>
      </c>
      <c r="I1929">
        <v>0</v>
      </c>
      <c r="J1929">
        <v>0</v>
      </c>
      <c r="K1929">
        <v>67.900000000000006</v>
      </c>
      <c r="L1929">
        <v>67.7</v>
      </c>
      <c r="M1929">
        <v>79.42</v>
      </c>
      <c r="N1929">
        <v>30</v>
      </c>
      <c r="O1929">
        <v>6</v>
      </c>
      <c r="P1929">
        <f>MOD(DAY(datos_siembra[[#This Row],[Date]]),7)</f>
        <v>2</v>
      </c>
      <c r="Q1929" t="str">
        <f>CHOOSE(WEEKDAY(datos_siembra[[#This Row],[Date]],2),"L","M","X","J","V","S","D")</f>
        <v>L</v>
      </c>
      <c r="R1929">
        <f>WEEKNUM(datos_siembra[[#This Row],[Date]],2)-WEEKNUM(DATE(YEAR(datos_siembra[[#This Row],[Date]]),MONTH(datos_siembra[[#This Row],[Date]]),1))+1</f>
        <v>5</v>
      </c>
      <c r="S1929">
        <f>MONTH(datos_siembra[[#This Row],[Date]])</f>
        <v>9</v>
      </c>
      <c r="T1929" t="str" cm="1">
        <f t="array" ref="T1929">_xlfn.IFS(AND(N1929&lt;= 22, S1929=9), "SOWING",AND(N1929&lt;= 28, S1929=9), "COVERAGE",AND(N1929&lt;= 30, S1929=9), "FLUSH",AND(N1929&lt;= 11, S1929=10), "FLUSH",AND(N1929&lt;= 21, S1929=10), "PRODUCTION")</f>
        <v>FLUSH</v>
      </c>
      <c r="U1929">
        <f>HOUR(datos_siembra[[#This Row],[Hour]])</f>
        <v>3</v>
      </c>
      <c r="V1929" cm="1">
        <f t="array" ref="V1929">_xlfn.IFS(AND(N1929&lt;= 22, S1929=9), N1929-7,AND(N1929&lt;= 28, S1929=9), N1929-25,AND(N1929&lt;= 30, S1929=9), N1929-28,AND(N1929&lt;= 11, S1929=10), N1929+2,AND(N1929&lt;= 21, S1929=10), N1929-11)</f>
        <v>2</v>
      </c>
    </row>
    <row r="1930" spans="1:22" x14ac:dyDescent="0.35">
      <c r="A1930" s="4">
        <v>45565</v>
      </c>
      <c r="B1930" s="5">
        <v>0.13538194444444446</v>
      </c>
      <c r="C1930">
        <v>80.5</v>
      </c>
      <c r="D1930">
        <v>78.2</v>
      </c>
      <c r="E1930">
        <v>80.7</v>
      </c>
      <c r="F1930">
        <v>78.099999999999994</v>
      </c>
      <c r="G1930">
        <v>0</v>
      </c>
      <c r="H1930">
        <v>0</v>
      </c>
      <c r="I1930">
        <v>0</v>
      </c>
      <c r="J1930">
        <v>0</v>
      </c>
      <c r="K1930">
        <v>68.099999999999994</v>
      </c>
      <c r="L1930">
        <v>67.8</v>
      </c>
      <c r="M1930">
        <v>79.33</v>
      </c>
      <c r="N1930">
        <v>30</v>
      </c>
      <c r="O1930">
        <v>6</v>
      </c>
      <c r="P1930">
        <f>MOD(DAY(datos_siembra[[#This Row],[Date]]),7)</f>
        <v>2</v>
      </c>
      <c r="Q1930" t="str">
        <f>CHOOSE(WEEKDAY(datos_siembra[[#This Row],[Date]],2),"L","M","X","J","V","S","D")</f>
        <v>L</v>
      </c>
      <c r="R1930">
        <f>WEEKNUM(datos_siembra[[#This Row],[Date]],2)-WEEKNUM(DATE(YEAR(datos_siembra[[#This Row],[Date]]),MONTH(datos_siembra[[#This Row],[Date]]),1))+1</f>
        <v>5</v>
      </c>
      <c r="S1930">
        <f>MONTH(datos_siembra[[#This Row],[Date]])</f>
        <v>9</v>
      </c>
      <c r="T1930" t="str" cm="1">
        <f t="array" ref="T1930">_xlfn.IFS(AND(N1930&lt;= 22, S1930=9), "SOWING",AND(N1930&lt;= 28, S1930=9), "COVERAGE",AND(N1930&lt;= 30, S1930=9), "FLUSH",AND(N1930&lt;= 11, S1930=10), "FLUSH",AND(N1930&lt;= 21, S1930=10), "PRODUCTION")</f>
        <v>FLUSH</v>
      </c>
      <c r="U1930">
        <f>HOUR(datos_siembra[[#This Row],[Hour]])</f>
        <v>3</v>
      </c>
      <c r="V1930" cm="1">
        <f t="array" ref="V1930">_xlfn.IFS(AND(N1930&lt;= 22, S1930=9), N1930-7,AND(N1930&lt;= 28, S1930=9), N1930-25,AND(N1930&lt;= 30, S1930=9), N1930-28,AND(N1930&lt;= 11, S1930=10), N1930+2,AND(N1930&lt;= 21, S1930=10), N1930-11)</f>
        <v>2</v>
      </c>
    </row>
    <row r="1931" spans="1:22" x14ac:dyDescent="0.35">
      <c r="A1931" s="4">
        <v>45565</v>
      </c>
      <c r="B1931" s="5">
        <v>0.14232638888888888</v>
      </c>
      <c r="C1931">
        <v>80.3</v>
      </c>
      <c r="D1931">
        <v>78.099999999999994</v>
      </c>
      <c r="E1931">
        <v>80.7</v>
      </c>
      <c r="F1931">
        <v>78</v>
      </c>
      <c r="G1931">
        <v>0</v>
      </c>
      <c r="H1931">
        <v>0</v>
      </c>
      <c r="I1931">
        <v>0</v>
      </c>
      <c r="J1931">
        <v>0</v>
      </c>
      <c r="K1931">
        <v>68.2</v>
      </c>
      <c r="L1931">
        <v>67.900000000000006</v>
      </c>
      <c r="M1931">
        <v>79.33</v>
      </c>
      <c r="N1931">
        <v>30</v>
      </c>
      <c r="O1931">
        <v>6</v>
      </c>
      <c r="P1931">
        <f>MOD(DAY(datos_siembra[[#This Row],[Date]]),7)</f>
        <v>2</v>
      </c>
      <c r="Q1931" t="str">
        <f>CHOOSE(WEEKDAY(datos_siembra[[#This Row],[Date]],2),"L","M","X","J","V","S","D")</f>
        <v>L</v>
      </c>
      <c r="R1931">
        <f>WEEKNUM(datos_siembra[[#This Row],[Date]],2)-WEEKNUM(DATE(YEAR(datos_siembra[[#This Row],[Date]]),MONTH(datos_siembra[[#This Row],[Date]]),1))+1</f>
        <v>5</v>
      </c>
      <c r="S1931">
        <f>MONTH(datos_siembra[[#This Row],[Date]])</f>
        <v>9</v>
      </c>
      <c r="T1931" t="str" cm="1">
        <f t="array" ref="T1931">_xlfn.IFS(AND(N1931&lt;= 22, S1931=9), "SOWING",AND(N1931&lt;= 28, S1931=9), "COVERAGE",AND(N1931&lt;= 30, S1931=9), "FLUSH",AND(N1931&lt;= 11, S1931=10), "FLUSH",AND(N1931&lt;= 21, S1931=10), "PRODUCTION")</f>
        <v>FLUSH</v>
      </c>
      <c r="U1931">
        <f>HOUR(datos_siembra[[#This Row],[Hour]])</f>
        <v>3</v>
      </c>
      <c r="V1931" cm="1">
        <f t="array" ref="V1931">_xlfn.IFS(AND(N1931&lt;= 22, S1931=9), N1931-7,AND(N1931&lt;= 28, S1931=9), N1931-25,AND(N1931&lt;= 30, S1931=9), N1931-28,AND(N1931&lt;= 11, S1931=10), N1931+2,AND(N1931&lt;= 21, S1931=10), N1931-11)</f>
        <v>2</v>
      </c>
    </row>
    <row r="1932" spans="1:22" x14ac:dyDescent="0.35">
      <c r="A1932" s="4">
        <v>45565</v>
      </c>
      <c r="B1932" s="5">
        <v>0.14928240740740742</v>
      </c>
      <c r="C1932">
        <v>80.400000000000006</v>
      </c>
      <c r="D1932">
        <v>78.099999999999994</v>
      </c>
      <c r="E1932">
        <v>80.7</v>
      </c>
      <c r="F1932">
        <v>77.900000000000006</v>
      </c>
      <c r="G1932">
        <v>0</v>
      </c>
      <c r="H1932">
        <v>0</v>
      </c>
      <c r="I1932">
        <v>0</v>
      </c>
      <c r="J1932">
        <v>0</v>
      </c>
      <c r="K1932">
        <v>68.2</v>
      </c>
      <c r="L1932">
        <v>67.900000000000006</v>
      </c>
      <c r="M1932">
        <v>79.31</v>
      </c>
      <c r="N1932">
        <v>30</v>
      </c>
      <c r="O1932">
        <v>6</v>
      </c>
      <c r="P1932">
        <f>MOD(DAY(datos_siembra[[#This Row],[Date]]),7)</f>
        <v>2</v>
      </c>
      <c r="Q1932" t="str">
        <f>CHOOSE(WEEKDAY(datos_siembra[[#This Row],[Date]],2),"L","M","X","J","V","S","D")</f>
        <v>L</v>
      </c>
      <c r="R1932">
        <f>WEEKNUM(datos_siembra[[#This Row],[Date]],2)-WEEKNUM(DATE(YEAR(datos_siembra[[#This Row],[Date]]),MONTH(datos_siembra[[#This Row],[Date]]),1))+1</f>
        <v>5</v>
      </c>
      <c r="S1932">
        <f>MONTH(datos_siembra[[#This Row],[Date]])</f>
        <v>9</v>
      </c>
      <c r="T1932" t="str" cm="1">
        <f t="array" ref="T1932">_xlfn.IFS(AND(N1932&lt;= 22, S1932=9), "SOWING",AND(N1932&lt;= 28, S1932=9), "COVERAGE",AND(N1932&lt;= 30, S1932=9), "FLUSH",AND(N1932&lt;= 11, S1932=10), "FLUSH",AND(N1932&lt;= 21, S1932=10), "PRODUCTION")</f>
        <v>FLUSH</v>
      </c>
      <c r="U1932">
        <f>HOUR(datos_siembra[[#This Row],[Hour]])</f>
        <v>3</v>
      </c>
      <c r="V1932" cm="1">
        <f t="array" ref="V1932">_xlfn.IFS(AND(N1932&lt;= 22, S1932=9), N1932-7,AND(N1932&lt;= 28, S1932=9), N1932-25,AND(N1932&lt;= 30, S1932=9), N1932-28,AND(N1932&lt;= 11, S1932=10), N1932+2,AND(N1932&lt;= 21, S1932=10), N1932-11)</f>
        <v>2</v>
      </c>
    </row>
    <row r="1933" spans="1:22" x14ac:dyDescent="0.35">
      <c r="A1933" s="4">
        <v>45565</v>
      </c>
      <c r="B1933" s="5">
        <v>0.15622685185185184</v>
      </c>
      <c r="C1933">
        <v>80.3</v>
      </c>
      <c r="D1933">
        <v>78.099999999999994</v>
      </c>
      <c r="E1933">
        <v>80.7</v>
      </c>
      <c r="F1933">
        <v>78</v>
      </c>
      <c r="G1933">
        <v>0</v>
      </c>
      <c r="H1933">
        <v>0</v>
      </c>
      <c r="I1933">
        <v>0</v>
      </c>
      <c r="J1933">
        <v>0</v>
      </c>
      <c r="K1933">
        <v>68.3</v>
      </c>
      <c r="L1933">
        <v>68</v>
      </c>
      <c r="M1933">
        <v>79.28</v>
      </c>
      <c r="N1933">
        <v>30</v>
      </c>
      <c r="O1933">
        <v>6</v>
      </c>
      <c r="P1933">
        <f>MOD(DAY(datos_siembra[[#This Row],[Date]]),7)</f>
        <v>2</v>
      </c>
      <c r="Q1933" t="str">
        <f>CHOOSE(WEEKDAY(datos_siembra[[#This Row],[Date]],2),"L","M","X","J","V","S","D")</f>
        <v>L</v>
      </c>
      <c r="R1933">
        <f>WEEKNUM(datos_siembra[[#This Row],[Date]],2)-WEEKNUM(DATE(YEAR(datos_siembra[[#This Row],[Date]]),MONTH(datos_siembra[[#This Row],[Date]]),1))+1</f>
        <v>5</v>
      </c>
      <c r="S1933">
        <f>MONTH(datos_siembra[[#This Row],[Date]])</f>
        <v>9</v>
      </c>
      <c r="T1933" t="str" cm="1">
        <f t="array" ref="T1933">_xlfn.IFS(AND(N1933&lt;= 22, S1933=9), "SOWING",AND(N1933&lt;= 28, S1933=9), "COVERAGE",AND(N1933&lt;= 30, S1933=9), "FLUSH",AND(N1933&lt;= 11, S1933=10), "FLUSH",AND(N1933&lt;= 21, S1933=10), "PRODUCTION")</f>
        <v>FLUSH</v>
      </c>
      <c r="U1933">
        <f>HOUR(datos_siembra[[#This Row],[Hour]])</f>
        <v>3</v>
      </c>
      <c r="V1933" cm="1">
        <f t="array" ref="V1933">_xlfn.IFS(AND(N1933&lt;= 22, S1933=9), N1933-7,AND(N1933&lt;= 28, S1933=9), N1933-25,AND(N1933&lt;= 30, S1933=9), N1933-28,AND(N1933&lt;= 11, S1933=10), N1933+2,AND(N1933&lt;= 21, S1933=10), N1933-11)</f>
        <v>2</v>
      </c>
    </row>
    <row r="1934" spans="1:22" x14ac:dyDescent="0.35">
      <c r="A1934" s="4">
        <v>45565</v>
      </c>
      <c r="B1934" s="5">
        <v>0.16317129629629629</v>
      </c>
      <c r="C1934">
        <v>80.400000000000006</v>
      </c>
      <c r="D1934">
        <v>78.099999999999994</v>
      </c>
      <c r="E1934">
        <v>80.7</v>
      </c>
      <c r="F1934">
        <v>77.8</v>
      </c>
      <c r="G1934">
        <v>0</v>
      </c>
      <c r="H1934">
        <v>0</v>
      </c>
      <c r="I1934">
        <v>0</v>
      </c>
      <c r="J1934">
        <v>0</v>
      </c>
      <c r="K1934">
        <v>68.3</v>
      </c>
      <c r="L1934">
        <v>68</v>
      </c>
      <c r="M1934">
        <v>79.25</v>
      </c>
      <c r="N1934">
        <v>30</v>
      </c>
      <c r="O1934">
        <v>6</v>
      </c>
      <c r="P1934">
        <f>MOD(DAY(datos_siembra[[#This Row],[Date]]),7)</f>
        <v>2</v>
      </c>
      <c r="Q1934" t="str">
        <f>CHOOSE(WEEKDAY(datos_siembra[[#This Row],[Date]],2),"L","M","X","J","V","S","D")</f>
        <v>L</v>
      </c>
      <c r="R1934">
        <f>WEEKNUM(datos_siembra[[#This Row],[Date]],2)-WEEKNUM(DATE(YEAR(datos_siembra[[#This Row],[Date]]),MONTH(datos_siembra[[#This Row],[Date]]),1))+1</f>
        <v>5</v>
      </c>
      <c r="S1934">
        <f>MONTH(datos_siembra[[#This Row],[Date]])</f>
        <v>9</v>
      </c>
      <c r="T1934" t="str" cm="1">
        <f t="array" ref="T1934">_xlfn.IFS(AND(N1934&lt;= 22, S1934=9), "SOWING",AND(N1934&lt;= 28, S1934=9), "COVERAGE",AND(N1934&lt;= 30, S1934=9), "FLUSH",AND(N1934&lt;= 11, S1934=10), "FLUSH",AND(N1934&lt;= 21, S1934=10), "PRODUCTION")</f>
        <v>FLUSH</v>
      </c>
      <c r="U1934">
        <f>HOUR(datos_siembra[[#This Row],[Hour]])</f>
        <v>3</v>
      </c>
      <c r="V1934" cm="1">
        <f t="array" ref="V1934">_xlfn.IFS(AND(N1934&lt;= 22, S1934=9), N1934-7,AND(N1934&lt;= 28, S1934=9), N1934-25,AND(N1934&lt;= 30, S1934=9), N1934-28,AND(N1934&lt;= 11, S1934=10), N1934+2,AND(N1934&lt;= 21, S1934=10), N1934-11)</f>
        <v>2</v>
      </c>
    </row>
    <row r="1935" spans="1:22" x14ac:dyDescent="0.35">
      <c r="A1935" s="4">
        <v>45565</v>
      </c>
      <c r="B1935" s="5">
        <v>0.17012731481481483</v>
      </c>
      <c r="C1935">
        <v>80.3</v>
      </c>
      <c r="D1935">
        <v>78.099999999999994</v>
      </c>
      <c r="E1935">
        <v>80.5</v>
      </c>
      <c r="F1935">
        <v>77.8</v>
      </c>
      <c r="G1935">
        <v>0</v>
      </c>
      <c r="H1935">
        <v>0</v>
      </c>
      <c r="I1935">
        <v>0</v>
      </c>
      <c r="J1935">
        <v>0</v>
      </c>
      <c r="K1935">
        <v>68.3</v>
      </c>
      <c r="L1935">
        <v>68.099999999999994</v>
      </c>
      <c r="M1935">
        <v>79.17</v>
      </c>
      <c r="N1935">
        <v>30</v>
      </c>
      <c r="O1935">
        <v>6</v>
      </c>
      <c r="P1935">
        <f>MOD(DAY(datos_siembra[[#This Row],[Date]]),7)</f>
        <v>2</v>
      </c>
      <c r="Q1935" t="str">
        <f>CHOOSE(WEEKDAY(datos_siembra[[#This Row],[Date]],2),"L","M","X","J","V","S","D")</f>
        <v>L</v>
      </c>
      <c r="R1935">
        <f>WEEKNUM(datos_siembra[[#This Row],[Date]],2)-WEEKNUM(DATE(YEAR(datos_siembra[[#This Row],[Date]]),MONTH(datos_siembra[[#This Row],[Date]]),1))+1</f>
        <v>5</v>
      </c>
      <c r="S1935">
        <f>MONTH(datos_siembra[[#This Row],[Date]])</f>
        <v>9</v>
      </c>
      <c r="T1935" t="str" cm="1">
        <f t="array" ref="T1935">_xlfn.IFS(AND(N1935&lt;= 22, S1935=9), "SOWING",AND(N1935&lt;= 28, S1935=9), "COVERAGE",AND(N1935&lt;= 30, S1935=9), "FLUSH",AND(N1935&lt;= 11, S1935=10), "FLUSH",AND(N1935&lt;= 21, S1935=10), "PRODUCTION")</f>
        <v>FLUSH</v>
      </c>
      <c r="U1935">
        <f>HOUR(datos_siembra[[#This Row],[Hour]])</f>
        <v>4</v>
      </c>
      <c r="V1935" cm="1">
        <f t="array" ref="V1935">_xlfn.IFS(AND(N1935&lt;= 22, S1935=9), N1935-7,AND(N1935&lt;= 28, S1935=9), N1935-25,AND(N1935&lt;= 30, S1935=9), N1935-28,AND(N1935&lt;= 11, S1935=10), N1935+2,AND(N1935&lt;= 21, S1935=10), N1935-11)</f>
        <v>2</v>
      </c>
    </row>
    <row r="1936" spans="1:22" x14ac:dyDescent="0.35">
      <c r="A1936" s="4">
        <v>45565</v>
      </c>
      <c r="B1936" s="5">
        <v>0.17707175925925925</v>
      </c>
      <c r="C1936">
        <v>80.3</v>
      </c>
      <c r="D1936">
        <v>78.099999999999994</v>
      </c>
      <c r="E1936">
        <v>80.599999999999994</v>
      </c>
      <c r="F1936">
        <v>77.7</v>
      </c>
      <c r="G1936">
        <v>0</v>
      </c>
      <c r="H1936">
        <v>0</v>
      </c>
      <c r="I1936">
        <v>0</v>
      </c>
      <c r="J1936">
        <v>0</v>
      </c>
      <c r="K1936">
        <v>68.5</v>
      </c>
      <c r="L1936">
        <v>68.099999999999994</v>
      </c>
      <c r="M1936">
        <v>79.19</v>
      </c>
      <c r="N1936">
        <v>30</v>
      </c>
      <c r="O1936">
        <v>6</v>
      </c>
      <c r="P1936">
        <f>MOD(DAY(datos_siembra[[#This Row],[Date]]),7)</f>
        <v>2</v>
      </c>
      <c r="Q1936" t="str">
        <f>CHOOSE(WEEKDAY(datos_siembra[[#This Row],[Date]],2),"L","M","X","J","V","S","D")</f>
        <v>L</v>
      </c>
      <c r="R1936">
        <f>WEEKNUM(datos_siembra[[#This Row],[Date]],2)-WEEKNUM(DATE(YEAR(datos_siembra[[#This Row],[Date]]),MONTH(datos_siembra[[#This Row],[Date]]),1))+1</f>
        <v>5</v>
      </c>
      <c r="S1936">
        <f>MONTH(datos_siembra[[#This Row],[Date]])</f>
        <v>9</v>
      </c>
      <c r="T1936" t="str" cm="1">
        <f t="array" ref="T1936">_xlfn.IFS(AND(N1936&lt;= 22, S1936=9), "SOWING",AND(N1936&lt;= 28, S1936=9), "COVERAGE",AND(N1936&lt;= 30, S1936=9), "FLUSH",AND(N1936&lt;= 11, S1936=10), "FLUSH",AND(N1936&lt;= 21, S1936=10), "PRODUCTION")</f>
        <v>FLUSH</v>
      </c>
      <c r="U1936">
        <f>HOUR(datos_siembra[[#This Row],[Hour]])</f>
        <v>4</v>
      </c>
      <c r="V1936" cm="1">
        <f t="array" ref="V1936">_xlfn.IFS(AND(N1936&lt;= 22, S1936=9), N1936-7,AND(N1936&lt;= 28, S1936=9), N1936-25,AND(N1936&lt;= 30, S1936=9), N1936-28,AND(N1936&lt;= 11, S1936=10), N1936+2,AND(N1936&lt;= 21, S1936=10), N1936-11)</f>
        <v>2</v>
      </c>
    </row>
    <row r="1937" spans="1:22" x14ac:dyDescent="0.35">
      <c r="A1937" s="4">
        <v>45565</v>
      </c>
      <c r="B1937" s="5">
        <v>0.1840162037037037</v>
      </c>
      <c r="C1937">
        <v>80.3</v>
      </c>
      <c r="D1937">
        <v>78.099999999999994</v>
      </c>
      <c r="E1937">
        <v>80.599999999999994</v>
      </c>
      <c r="F1937">
        <v>77.7</v>
      </c>
      <c r="G1937">
        <v>0</v>
      </c>
      <c r="H1937">
        <v>0</v>
      </c>
      <c r="I1937">
        <v>0</v>
      </c>
      <c r="J1937">
        <v>0</v>
      </c>
      <c r="K1937">
        <v>67.2</v>
      </c>
      <c r="L1937">
        <v>67.2</v>
      </c>
      <c r="M1937">
        <v>79.08</v>
      </c>
      <c r="N1937">
        <v>30</v>
      </c>
      <c r="O1937">
        <v>6</v>
      </c>
      <c r="P1937">
        <f>MOD(DAY(datos_siembra[[#This Row],[Date]]),7)</f>
        <v>2</v>
      </c>
      <c r="Q1937" t="str">
        <f>CHOOSE(WEEKDAY(datos_siembra[[#This Row],[Date]],2),"L","M","X","J","V","S","D")</f>
        <v>L</v>
      </c>
      <c r="R1937">
        <f>WEEKNUM(datos_siembra[[#This Row],[Date]],2)-WEEKNUM(DATE(YEAR(datos_siembra[[#This Row],[Date]]),MONTH(datos_siembra[[#This Row],[Date]]),1))+1</f>
        <v>5</v>
      </c>
      <c r="S1937">
        <f>MONTH(datos_siembra[[#This Row],[Date]])</f>
        <v>9</v>
      </c>
      <c r="T1937" t="str" cm="1">
        <f t="array" ref="T1937">_xlfn.IFS(AND(N1937&lt;= 22, S1937=9), "SOWING",AND(N1937&lt;= 28, S1937=9), "COVERAGE",AND(N1937&lt;= 30, S1937=9), "FLUSH",AND(N1937&lt;= 11, S1937=10), "FLUSH",AND(N1937&lt;= 21, S1937=10), "PRODUCTION")</f>
        <v>FLUSH</v>
      </c>
      <c r="U1937">
        <f>HOUR(datos_siembra[[#This Row],[Hour]])</f>
        <v>4</v>
      </c>
      <c r="V1937" cm="1">
        <f t="array" ref="V1937">_xlfn.IFS(AND(N1937&lt;= 22, S1937=9), N1937-7,AND(N1937&lt;= 28, S1937=9), N1937-25,AND(N1937&lt;= 30, S1937=9), N1937-28,AND(N1937&lt;= 11, S1937=10), N1937+2,AND(N1937&lt;= 21, S1937=10), N1937-11)</f>
        <v>2</v>
      </c>
    </row>
    <row r="1938" spans="1:22" x14ac:dyDescent="0.35">
      <c r="A1938" s="4">
        <v>45565</v>
      </c>
      <c r="B1938" s="5">
        <v>0.19096064814814814</v>
      </c>
      <c r="C1938">
        <v>80.3</v>
      </c>
      <c r="D1938">
        <v>78.099999999999994</v>
      </c>
      <c r="E1938">
        <v>80.400000000000006</v>
      </c>
      <c r="F1938">
        <v>77.8</v>
      </c>
      <c r="G1938">
        <v>0</v>
      </c>
      <c r="H1938">
        <v>0</v>
      </c>
      <c r="I1938">
        <v>0</v>
      </c>
      <c r="J1938">
        <v>0</v>
      </c>
      <c r="K1938">
        <v>66.8</v>
      </c>
      <c r="L1938">
        <v>66.900000000000006</v>
      </c>
      <c r="M1938">
        <v>79.17</v>
      </c>
      <c r="N1938">
        <v>30</v>
      </c>
      <c r="O1938">
        <v>6</v>
      </c>
      <c r="P1938">
        <f>MOD(DAY(datos_siembra[[#This Row],[Date]]),7)</f>
        <v>2</v>
      </c>
      <c r="Q1938" t="str">
        <f>CHOOSE(WEEKDAY(datos_siembra[[#This Row],[Date]],2),"L","M","X","J","V","S","D")</f>
        <v>L</v>
      </c>
      <c r="R1938">
        <f>WEEKNUM(datos_siembra[[#This Row],[Date]],2)-WEEKNUM(DATE(YEAR(datos_siembra[[#This Row],[Date]]),MONTH(datos_siembra[[#This Row],[Date]]),1))+1</f>
        <v>5</v>
      </c>
      <c r="S1938">
        <f>MONTH(datos_siembra[[#This Row],[Date]])</f>
        <v>9</v>
      </c>
      <c r="T1938" t="str" cm="1">
        <f t="array" ref="T1938">_xlfn.IFS(AND(N1938&lt;= 22, S1938=9), "SOWING",AND(N1938&lt;= 28, S1938=9), "COVERAGE",AND(N1938&lt;= 30, S1938=9), "FLUSH",AND(N1938&lt;= 11, S1938=10), "FLUSH",AND(N1938&lt;= 21, S1938=10), "PRODUCTION")</f>
        <v>FLUSH</v>
      </c>
      <c r="U1938">
        <f>HOUR(datos_siembra[[#This Row],[Hour]])</f>
        <v>4</v>
      </c>
      <c r="V1938" cm="1">
        <f t="array" ref="V1938">_xlfn.IFS(AND(N1938&lt;= 22, S1938=9), N1938-7,AND(N1938&lt;= 28, S1938=9), N1938-25,AND(N1938&lt;= 30, S1938=9), N1938-28,AND(N1938&lt;= 11, S1938=10), N1938+2,AND(N1938&lt;= 21, S1938=10), N1938-11)</f>
        <v>2</v>
      </c>
    </row>
    <row r="1939" spans="1:22" x14ac:dyDescent="0.35">
      <c r="A1939" s="4">
        <v>45565</v>
      </c>
      <c r="B1939" s="5">
        <v>0.19791666666666666</v>
      </c>
      <c r="C1939">
        <v>80.3</v>
      </c>
      <c r="D1939">
        <v>78.099999999999994</v>
      </c>
      <c r="E1939">
        <v>80.5</v>
      </c>
      <c r="F1939">
        <v>77.599999999999994</v>
      </c>
      <c r="G1939">
        <v>0</v>
      </c>
      <c r="H1939">
        <v>0</v>
      </c>
      <c r="I1939">
        <v>0</v>
      </c>
      <c r="J1939">
        <v>0</v>
      </c>
      <c r="K1939">
        <v>66.400000000000006</v>
      </c>
      <c r="L1939">
        <v>66.5</v>
      </c>
      <c r="M1939">
        <v>79.05</v>
      </c>
      <c r="N1939">
        <v>30</v>
      </c>
      <c r="O1939">
        <v>6</v>
      </c>
      <c r="P1939">
        <f>MOD(DAY(datos_siembra[[#This Row],[Date]]),7)</f>
        <v>2</v>
      </c>
      <c r="Q1939" t="str">
        <f>CHOOSE(WEEKDAY(datos_siembra[[#This Row],[Date]],2),"L","M","X","J","V","S","D")</f>
        <v>L</v>
      </c>
      <c r="R1939">
        <f>WEEKNUM(datos_siembra[[#This Row],[Date]],2)-WEEKNUM(DATE(YEAR(datos_siembra[[#This Row],[Date]]),MONTH(datos_siembra[[#This Row],[Date]]),1))+1</f>
        <v>5</v>
      </c>
      <c r="S1939">
        <f>MONTH(datos_siembra[[#This Row],[Date]])</f>
        <v>9</v>
      </c>
      <c r="T1939" t="str" cm="1">
        <f t="array" ref="T1939">_xlfn.IFS(AND(N1939&lt;= 22, S1939=9), "SOWING",AND(N1939&lt;= 28, S1939=9), "COVERAGE",AND(N1939&lt;= 30, S1939=9), "FLUSH",AND(N1939&lt;= 11, S1939=10), "FLUSH",AND(N1939&lt;= 21, S1939=10), "PRODUCTION")</f>
        <v>FLUSH</v>
      </c>
      <c r="U1939">
        <f>HOUR(datos_siembra[[#This Row],[Hour]])</f>
        <v>4</v>
      </c>
      <c r="V1939" cm="1">
        <f t="array" ref="V1939">_xlfn.IFS(AND(N1939&lt;= 22, S1939=9), N1939-7,AND(N1939&lt;= 28, S1939=9), N1939-25,AND(N1939&lt;= 30, S1939=9), N1939-28,AND(N1939&lt;= 11, S1939=10), N1939+2,AND(N1939&lt;= 21, S1939=10), N1939-11)</f>
        <v>2</v>
      </c>
    </row>
    <row r="1940" spans="1:22" x14ac:dyDescent="0.35">
      <c r="A1940" s="4">
        <v>45565</v>
      </c>
      <c r="B1940" s="5">
        <v>0.2048611111111111</v>
      </c>
      <c r="C1940">
        <v>80.099999999999994</v>
      </c>
      <c r="D1940">
        <v>78</v>
      </c>
      <c r="E1940">
        <v>80.400000000000006</v>
      </c>
      <c r="F1940">
        <v>77.599999999999994</v>
      </c>
      <c r="G1940">
        <v>0</v>
      </c>
      <c r="H1940">
        <v>0</v>
      </c>
      <c r="I1940">
        <v>0</v>
      </c>
      <c r="J1940">
        <v>0</v>
      </c>
      <c r="K1940">
        <v>67.400000000000006</v>
      </c>
      <c r="L1940">
        <v>67.2</v>
      </c>
      <c r="M1940">
        <v>79.08</v>
      </c>
      <c r="N1940">
        <v>30</v>
      </c>
      <c r="O1940">
        <v>6</v>
      </c>
      <c r="P1940">
        <f>MOD(DAY(datos_siembra[[#This Row],[Date]]),7)</f>
        <v>2</v>
      </c>
      <c r="Q1940" t="str">
        <f>CHOOSE(WEEKDAY(datos_siembra[[#This Row],[Date]],2),"L","M","X","J","V","S","D")</f>
        <v>L</v>
      </c>
      <c r="R1940">
        <f>WEEKNUM(datos_siembra[[#This Row],[Date]],2)-WEEKNUM(DATE(YEAR(datos_siembra[[#This Row],[Date]]),MONTH(datos_siembra[[#This Row],[Date]]),1))+1</f>
        <v>5</v>
      </c>
      <c r="S1940">
        <f>MONTH(datos_siembra[[#This Row],[Date]])</f>
        <v>9</v>
      </c>
      <c r="T1940" t="str" cm="1">
        <f t="array" ref="T1940">_xlfn.IFS(AND(N1940&lt;= 22, S1940=9), "SOWING",AND(N1940&lt;= 28, S1940=9), "COVERAGE",AND(N1940&lt;= 30, S1940=9), "FLUSH",AND(N1940&lt;= 11, S1940=10), "FLUSH",AND(N1940&lt;= 21, S1940=10), "PRODUCTION")</f>
        <v>FLUSH</v>
      </c>
      <c r="U1940">
        <f>HOUR(datos_siembra[[#This Row],[Hour]])</f>
        <v>4</v>
      </c>
      <c r="V1940" cm="1">
        <f t="array" ref="V1940">_xlfn.IFS(AND(N1940&lt;= 22, S1940=9), N1940-7,AND(N1940&lt;= 28, S1940=9), N1940-25,AND(N1940&lt;= 30, S1940=9), N1940-28,AND(N1940&lt;= 11, S1940=10), N1940+2,AND(N1940&lt;= 21, S1940=10), N1940-11)</f>
        <v>2</v>
      </c>
    </row>
    <row r="1941" spans="1:22" x14ac:dyDescent="0.35">
      <c r="A1941" s="4">
        <v>45565</v>
      </c>
      <c r="B1941" s="5">
        <v>0.21180555555555555</v>
      </c>
      <c r="C1941">
        <v>80.099999999999994</v>
      </c>
      <c r="D1941">
        <v>78</v>
      </c>
      <c r="E1941">
        <v>80.5</v>
      </c>
      <c r="F1941">
        <v>77.5</v>
      </c>
      <c r="G1941">
        <v>0</v>
      </c>
      <c r="H1941">
        <v>0</v>
      </c>
      <c r="I1941">
        <v>0</v>
      </c>
      <c r="J1941">
        <v>0</v>
      </c>
      <c r="K1941">
        <v>67.900000000000006</v>
      </c>
      <c r="L1941">
        <v>67.599999999999994</v>
      </c>
      <c r="M1941">
        <v>79.05</v>
      </c>
      <c r="N1941">
        <v>30</v>
      </c>
      <c r="O1941">
        <v>6</v>
      </c>
      <c r="P1941">
        <f>MOD(DAY(datos_siembra[[#This Row],[Date]]),7)</f>
        <v>2</v>
      </c>
      <c r="Q1941" t="str">
        <f>CHOOSE(WEEKDAY(datos_siembra[[#This Row],[Date]],2),"L","M","X","J","V","S","D")</f>
        <v>L</v>
      </c>
      <c r="R1941">
        <f>WEEKNUM(datos_siembra[[#This Row],[Date]],2)-WEEKNUM(DATE(YEAR(datos_siembra[[#This Row],[Date]]),MONTH(datos_siembra[[#This Row],[Date]]),1))+1</f>
        <v>5</v>
      </c>
      <c r="S1941">
        <f>MONTH(datos_siembra[[#This Row],[Date]])</f>
        <v>9</v>
      </c>
      <c r="T1941" t="str" cm="1">
        <f t="array" ref="T1941">_xlfn.IFS(AND(N1941&lt;= 22, S1941=9), "SOWING",AND(N1941&lt;= 28, S1941=9), "COVERAGE",AND(N1941&lt;= 30, S1941=9), "FLUSH",AND(N1941&lt;= 11, S1941=10), "FLUSH",AND(N1941&lt;= 21, S1941=10), "PRODUCTION")</f>
        <v>FLUSH</v>
      </c>
      <c r="U1941">
        <f>HOUR(datos_siembra[[#This Row],[Hour]])</f>
        <v>5</v>
      </c>
      <c r="V1941" cm="1">
        <f t="array" ref="V1941">_xlfn.IFS(AND(N1941&lt;= 22, S1941=9), N1941-7,AND(N1941&lt;= 28, S1941=9), N1941-25,AND(N1941&lt;= 30, S1941=9), N1941-28,AND(N1941&lt;= 11, S1941=10), N1941+2,AND(N1941&lt;= 21, S1941=10), N1941-11)</f>
        <v>2</v>
      </c>
    </row>
    <row r="1942" spans="1:22" x14ac:dyDescent="0.35">
      <c r="A1942" s="4">
        <v>45565</v>
      </c>
      <c r="B1942" s="5">
        <v>0.21875</v>
      </c>
      <c r="C1942">
        <v>80.099999999999994</v>
      </c>
      <c r="D1942">
        <v>78.099999999999994</v>
      </c>
      <c r="E1942">
        <v>80.3</v>
      </c>
      <c r="F1942">
        <v>77.5</v>
      </c>
      <c r="G1942">
        <v>0</v>
      </c>
      <c r="H1942">
        <v>0</v>
      </c>
      <c r="I1942">
        <v>0</v>
      </c>
      <c r="J1942">
        <v>0</v>
      </c>
      <c r="K1942">
        <v>68</v>
      </c>
      <c r="L1942">
        <v>67.7</v>
      </c>
      <c r="M1942">
        <v>78.97</v>
      </c>
      <c r="N1942">
        <v>30</v>
      </c>
      <c r="O1942">
        <v>6</v>
      </c>
      <c r="P1942">
        <f>MOD(DAY(datos_siembra[[#This Row],[Date]]),7)</f>
        <v>2</v>
      </c>
      <c r="Q1942" t="str">
        <f>CHOOSE(WEEKDAY(datos_siembra[[#This Row],[Date]],2),"L","M","X","J","V","S","D")</f>
        <v>L</v>
      </c>
      <c r="R1942">
        <f>WEEKNUM(datos_siembra[[#This Row],[Date]],2)-WEEKNUM(DATE(YEAR(datos_siembra[[#This Row],[Date]]),MONTH(datos_siembra[[#This Row],[Date]]),1))+1</f>
        <v>5</v>
      </c>
      <c r="S1942">
        <f>MONTH(datos_siembra[[#This Row],[Date]])</f>
        <v>9</v>
      </c>
      <c r="T1942" t="str" cm="1">
        <f t="array" ref="T1942">_xlfn.IFS(AND(N1942&lt;= 22, S1942=9), "SOWING",AND(N1942&lt;= 28, S1942=9), "COVERAGE",AND(N1942&lt;= 30, S1942=9), "FLUSH",AND(N1942&lt;= 11, S1942=10), "FLUSH",AND(N1942&lt;= 21, S1942=10), "PRODUCTION")</f>
        <v>FLUSH</v>
      </c>
      <c r="U1942">
        <f>HOUR(datos_siembra[[#This Row],[Hour]])</f>
        <v>5</v>
      </c>
      <c r="V1942" cm="1">
        <f t="array" ref="V1942">_xlfn.IFS(AND(N1942&lt;= 22, S1942=9), N1942-7,AND(N1942&lt;= 28, S1942=9), N1942-25,AND(N1942&lt;= 30, S1942=9), N1942-28,AND(N1942&lt;= 11, S1942=10), N1942+2,AND(N1942&lt;= 21, S1942=10), N1942-11)</f>
        <v>2</v>
      </c>
    </row>
    <row r="1943" spans="1:22" x14ac:dyDescent="0.35">
      <c r="A1943" s="4">
        <v>45565</v>
      </c>
      <c r="B1943" s="5">
        <v>0.22570601851851851</v>
      </c>
      <c r="C1943">
        <v>80</v>
      </c>
      <c r="D1943">
        <v>78</v>
      </c>
      <c r="E1943">
        <v>80.3</v>
      </c>
      <c r="F1943">
        <v>77.5</v>
      </c>
      <c r="G1943">
        <v>0</v>
      </c>
      <c r="H1943">
        <v>0</v>
      </c>
      <c r="I1943">
        <v>0</v>
      </c>
      <c r="J1943">
        <v>0</v>
      </c>
      <c r="K1943">
        <v>68.099999999999994</v>
      </c>
      <c r="L1943">
        <v>67.8</v>
      </c>
      <c r="M1943">
        <v>78.88</v>
      </c>
      <c r="N1943">
        <v>30</v>
      </c>
      <c r="O1943">
        <v>6</v>
      </c>
      <c r="P1943">
        <f>MOD(DAY(datos_siembra[[#This Row],[Date]]),7)</f>
        <v>2</v>
      </c>
      <c r="Q1943" t="str">
        <f>CHOOSE(WEEKDAY(datos_siembra[[#This Row],[Date]],2),"L","M","X","J","V","S","D")</f>
        <v>L</v>
      </c>
      <c r="R1943">
        <f>WEEKNUM(datos_siembra[[#This Row],[Date]],2)-WEEKNUM(DATE(YEAR(datos_siembra[[#This Row],[Date]]),MONTH(datos_siembra[[#This Row],[Date]]),1))+1</f>
        <v>5</v>
      </c>
      <c r="S1943">
        <f>MONTH(datos_siembra[[#This Row],[Date]])</f>
        <v>9</v>
      </c>
      <c r="T1943" t="str" cm="1">
        <f t="array" ref="T1943">_xlfn.IFS(AND(N1943&lt;= 22, S1943=9), "SOWING",AND(N1943&lt;= 28, S1943=9), "COVERAGE",AND(N1943&lt;= 30, S1943=9), "FLUSH",AND(N1943&lt;= 11, S1943=10), "FLUSH",AND(N1943&lt;= 21, S1943=10), "PRODUCTION")</f>
        <v>FLUSH</v>
      </c>
      <c r="U1943">
        <f>HOUR(datos_siembra[[#This Row],[Hour]])</f>
        <v>5</v>
      </c>
      <c r="V1943" cm="1">
        <f t="array" ref="V1943">_xlfn.IFS(AND(N1943&lt;= 22, S1943=9), N1943-7,AND(N1943&lt;= 28, S1943=9), N1943-25,AND(N1943&lt;= 30, S1943=9), N1943-28,AND(N1943&lt;= 11, S1943=10), N1943+2,AND(N1943&lt;= 21, S1943=10), N1943-11)</f>
        <v>2</v>
      </c>
    </row>
    <row r="1944" spans="1:22" x14ac:dyDescent="0.35">
      <c r="A1944" s="4">
        <v>45565</v>
      </c>
      <c r="B1944" s="5">
        <v>0.23265046296296296</v>
      </c>
      <c r="C1944">
        <v>80</v>
      </c>
      <c r="D1944">
        <v>77.8</v>
      </c>
      <c r="E1944">
        <v>80.099999999999994</v>
      </c>
      <c r="F1944">
        <v>77.5</v>
      </c>
      <c r="G1944">
        <v>0</v>
      </c>
      <c r="H1944">
        <v>0</v>
      </c>
      <c r="I1944">
        <v>0</v>
      </c>
      <c r="J1944">
        <v>0</v>
      </c>
      <c r="K1944">
        <v>68.2</v>
      </c>
      <c r="L1944">
        <v>67.8</v>
      </c>
      <c r="M1944">
        <v>78.94</v>
      </c>
      <c r="N1944">
        <v>30</v>
      </c>
      <c r="O1944">
        <v>6</v>
      </c>
      <c r="P1944">
        <f>MOD(DAY(datos_siembra[[#This Row],[Date]]),7)</f>
        <v>2</v>
      </c>
      <c r="Q1944" t="str">
        <f>CHOOSE(WEEKDAY(datos_siembra[[#This Row],[Date]],2),"L","M","X","J","V","S","D")</f>
        <v>L</v>
      </c>
      <c r="R1944">
        <f>WEEKNUM(datos_siembra[[#This Row],[Date]],2)-WEEKNUM(DATE(YEAR(datos_siembra[[#This Row],[Date]]),MONTH(datos_siembra[[#This Row],[Date]]),1))+1</f>
        <v>5</v>
      </c>
      <c r="S1944">
        <f>MONTH(datos_siembra[[#This Row],[Date]])</f>
        <v>9</v>
      </c>
      <c r="T1944" t="str" cm="1">
        <f t="array" ref="T1944">_xlfn.IFS(AND(N1944&lt;= 22, S1944=9), "SOWING",AND(N1944&lt;= 28, S1944=9), "COVERAGE",AND(N1944&lt;= 30, S1944=9), "FLUSH",AND(N1944&lt;= 11, S1944=10), "FLUSH",AND(N1944&lt;= 21, S1944=10), "PRODUCTION")</f>
        <v>FLUSH</v>
      </c>
      <c r="U1944">
        <f>HOUR(datos_siembra[[#This Row],[Hour]])</f>
        <v>5</v>
      </c>
      <c r="V1944" cm="1">
        <f t="array" ref="V1944">_xlfn.IFS(AND(N1944&lt;= 22, S1944=9), N1944-7,AND(N1944&lt;= 28, S1944=9), N1944-25,AND(N1944&lt;= 30, S1944=9), N1944-28,AND(N1944&lt;= 11, S1944=10), N1944+2,AND(N1944&lt;= 21, S1944=10), N1944-11)</f>
        <v>2</v>
      </c>
    </row>
    <row r="1945" spans="1:22" x14ac:dyDescent="0.35">
      <c r="A1945" s="4">
        <v>45565</v>
      </c>
      <c r="B1945" s="5">
        <v>0.23959490740740741</v>
      </c>
      <c r="C1945">
        <v>80</v>
      </c>
      <c r="D1945">
        <v>77.8</v>
      </c>
      <c r="E1945">
        <v>80.3</v>
      </c>
      <c r="F1945">
        <v>77.099999999999994</v>
      </c>
      <c r="G1945">
        <v>0</v>
      </c>
      <c r="H1945">
        <v>0</v>
      </c>
      <c r="I1945">
        <v>0</v>
      </c>
      <c r="J1945">
        <v>0</v>
      </c>
      <c r="K1945">
        <v>68.2</v>
      </c>
      <c r="L1945">
        <v>67.900000000000006</v>
      </c>
      <c r="M1945">
        <v>78.86</v>
      </c>
      <c r="N1945">
        <v>30</v>
      </c>
      <c r="O1945">
        <v>6</v>
      </c>
      <c r="P1945">
        <f>MOD(DAY(datos_siembra[[#This Row],[Date]]),7)</f>
        <v>2</v>
      </c>
      <c r="Q1945" t="str">
        <f>CHOOSE(WEEKDAY(datos_siembra[[#This Row],[Date]],2),"L","M","X","J","V","S","D")</f>
        <v>L</v>
      </c>
      <c r="R1945">
        <f>WEEKNUM(datos_siembra[[#This Row],[Date]],2)-WEEKNUM(DATE(YEAR(datos_siembra[[#This Row],[Date]]),MONTH(datos_siembra[[#This Row],[Date]]),1))+1</f>
        <v>5</v>
      </c>
      <c r="S1945">
        <f>MONTH(datos_siembra[[#This Row],[Date]])</f>
        <v>9</v>
      </c>
      <c r="T1945" t="str" cm="1">
        <f t="array" ref="T1945">_xlfn.IFS(AND(N1945&lt;= 22, S1945=9), "SOWING",AND(N1945&lt;= 28, S1945=9), "COVERAGE",AND(N1945&lt;= 30, S1945=9), "FLUSH",AND(N1945&lt;= 11, S1945=10), "FLUSH",AND(N1945&lt;= 21, S1945=10), "PRODUCTION")</f>
        <v>FLUSH</v>
      </c>
      <c r="U1945">
        <f>HOUR(datos_siembra[[#This Row],[Hour]])</f>
        <v>5</v>
      </c>
      <c r="V1945" cm="1">
        <f t="array" ref="V1945">_xlfn.IFS(AND(N1945&lt;= 22, S1945=9), N1945-7,AND(N1945&lt;= 28, S1945=9), N1945-25,AND(N1945&lt;= 30, S1945=9), N1945-28,AND(N1945&lt;= 11, S1945=10), N1945+2,AND(N1945&lt;= 21, S1945=10), N1945-11)</f>
        <v>2</v>
      </c>
    </row>
    <row r="1946" spans="1:22" x14ac:dyDescent="0.35">
      <c r="A1946" s="4">
        <v>45565</v>
      </c>
      <c r="B1946" s="5">
        <v>0.24653935185185186</v>
      </c>
      <c r="C1946">
        <v>79.900000000000006</v>
      </c>
      <c r="D1946">
        <v>78</v>
      </c>
      <c r="E1946">
        <v>80.099999999999994</v>
      </c>
      <c r="F1946">
        <v>77.099999999999994</v>
      </c>
      <c r="G1946">
        <v>0</v>
      </c>
      <c r="H1946">
        <v>0</v>
      </c>
      <c r="I1946">
        <v>0</v>
      </c>
      <c r="J1946">
        <v>0</v>
      </c>
      <c r="K1946">
        <v>68.2</v>
      </c>
      <c r="L1946">
        <v>67.900000000000006</v>
      </c>
      <c r="M1946">
        <v>78.8</v>
      </c>
      <c r="N1946">
        <v>30</v>
      </c>
      <c r="O1946">
        <v>6</v>
      </c>
      <c r="P1946">
        <f>MOD(DAY(datos_siembra[[#This Row],[Date]]),7)</f>
        <v>2</v>
      </c>
      <c r="Q1946" t="str">
        <f>CHOOSE(WEEKDAY(datos_siembra[[#This Row],[Date]],2),"L","M","X","J","V","S","D")</f>
        <v>L</v>
      </c>
      <c r="R1946">
        <f>WEEKNUM(datos_siembra[[#This Row],[Date]],2)-WEEKNUM(DATE(YEAR(datos_siembra[[#This Row],[Date]]),MONTH(datos_siembra[[#This Row],[Date]]),1))+1</f>
        <v>5</v>
      </c>
      <c r="S1946">
        <f>MONTH(datos_siembra[[#This Row],[Date]])</f>
        <v>9</v>
      </c>
      <c r="T1946" t="str" cm="1">
        <f t="array" ref="T1946">_xlfn.IFS(AND(N1946&lt;= 22, S1946=9), "SOWING",AND(N1946&lt;= 28, S1946=9), "COVERAGE",AND(N1946&lt;= 30, S1946=9), "FLUSH",AND(N1946&lt;= 11, S1946=10), "FLUSH",AND(N1946&lt;= 21, S1946=10), "PRODUCTION")</f>
        <v>FLUSH</v>
      </c>
      <c r="U1946">
        <f>HOUR(datos_siembra[[#This Row],[Hour]])</f>
        <v>5</v>
      </c>
      <c r="V1946" cm="1">
        <f t="array" ref="V1946">_xlfn.IFS(AND(N1946&lt;= 22, S1946=9), N1946-7,AND(N1946&lt;= 28, S1946=9), N1946-25,AND(N1946&lt;= 30, S1946=9), N1946-28,AND(N1946&lt;= 11, S1946=10), N1946+2,AND(N1946&lt;= 21, S1946=10), N1946-11)</f>
        <v>2</v>
      </c>
    </row>
    <row r="1947" spans="1:22" x14ac:dyDescent="0.35">
      <c r="A1947" s="4">
        <v>45565</v>
      </c>
      <c r="B1947" s="5">
        <v>0.25349537037037034</v>
      </c>
      <c r="C1947">
        <v>79.900000000000006</v>
      </c>
      <c r="D1947">
        <v>77.900000000000006</v>
      </c>
      <c r="E1947">
        <v>80.099999999999994</v>
      </c>
      <c r="F1947">
        <v>77.3</v>
      </c>
      <c r="G1947">
        <v>0</v>
      </c>
      <c r="H1947">
        <v>0</v>
      </c>
      <c r="I1947">
        <v>0</v>
      </c>
      <c r="J1947">
        <v>0</v>
      </c>
      <c r="K1947">
        <v>68.2</v>
      </c>
      <c r="L1947">
        <v>68</v>
      </c>
      <c r="M1947">
        <v>78.83</v>
      </c>
      <c r="N1947">
        <v>30</v>
      </c>
      <c r="O1947">
        <v>6</v>
      </c>
      <c r="P1947">
        <f>MOD(DAY(datos_siembra[[#This Row],[Date]]),7)</f>
        <v>2</v>
      </c>
      <c r="Q1947" t="str">
        <f>CHOOSE(WEEKDAY(datos_siembra[[#This Row],[Date]],2),"L","M","X","J","V","S","D")</f>
        <v>L</v>
      </c>
      <c r="R1947">
        <f>WEEKNUM(datos_siembra[[#This Row],[Date]],2)-WEEKNUM(DATE(YEAR(datos_siembra[[#This Row],[Date]]),MONTH(datos_siembra[[#This Row],[Date]]),1))+1</f>
        <v>5</v>
      </c>
      <c r="S1947">
        <f>MONTH(datos_siembra[[#This Row],[Date]])</f>
        <v>9</v>
      </c>
      <c r="T1947" t="str" cm="1">
        <f t="array" ref="T1947">_xlfn.IFS(AND(N1947&lt;= 22, S1947=9), "SOWING",AND(N1947&lt;= 28, S1947=9), "COVERAGE",AND(N1947&lt;= 30, S1947=9), "FLUSH",AND(N1947&lt;= 11, S1947=10), "FLUSH",AND(N1947&lt;= 21, S1947=10), "PRODUCTION")</f>
        <v>FLUSH</v>
      </c>
      <c r="U1947">
        <f>HOUR(datos_siembra[[#This Row],[Hour]])</f>
        <v>6</v>
      </c>
      <c r="V1947" cm="1">
        <f t="array" ref="V1947">_xlfn.IFS(AND(N1947&lt;= 22, S1947=9), N1947-7,AND(N1947&lt;= 28, S1947=9), N1947-25,AND(N1947&lt;= 30, S1947=9), N1947-28,AND(N1947&lt;= 11, S1947=10), N1947+2,AND(N1947&lt;= 21, S1947=10), N1947-11)</f>
        <v>2</v>
      </c>
    </row>
    <row r="1948" spans="1:22" x14ac:dyDescent="0.35">
      <c r="A1948" s="4">
        <v>45565</v>
      </c>
      <c r="B1948" s="5">
        <v>0.26043981481481482</v>
      </c>
      <c r="C1948">
        <v>79.8</v>
      </c>
      <c r="D1948">
        <v>78</v>
      </c>
      <c r="E1948">
        <v>80</v>
      </c>
      <c r="F1948">
        <v>77.2</v>
      </c>
      <c r="G1948">
        <v>0</v>
      </c>
      <c r="H1948">
        <v>0</v>
      </c>
      <c r="I1948">
        <v>0</v>
      </c>
      <c r="J1948">
        <v>0</v>
      </c>
      <c r="K1948">
        <v>68.3</v>
      </c>
      <c r="L1948">
        <v>68</v>
      </c>
      <c r="M1948">
        <v>78.77</v>
      </c>
      <c r="N1948">
        <v>30</v>
      </c>
      <c r="O1948">
        <v>6</v>
      </c>
      <c r="P1948">
        <f>MOD(DAY(datos_siembra[[#This Row],[Date]]),7)</f>
        <v>2</v>
      </c>
      <c r="Q1948" t="str">
        <f>CHOOSE(WEEKDAY(datos_siembra[[#This Row],[Date]],2),"L","M","X","J","V","S","D")</f>
        <v>L</v>
      </c>
      <c r="R1948">
        <f>WEEKNUM(datos_siembra[[#This Row],[Date]],2)-WEEKNUM(DATE(YEAR(datos_siembra[[#This Row],[Date]]),MONTH(datos_siembra[[#This Row],[Date]]),1))+1</f>
        <v>5</v>
      </c>
      <c r="S1948">
        <f>MONTH(datos_siembra[[#This Row],[Date]])</f>
        <v>9</v>
      </c>
      <c r="T1948" t="str" cm="1">
        <f t="array" ref="T1948">_xlfn.IFS(AND(N1948&lt;= 22, S1948=9), "SOWING",AND(N1948&lt;= 28, S1948=9), "COVERAGE",AND(N1948&lt;= 30, S1948=9), "FLUSH",AND(N1948&lt;= 11, S1948=10), "FLUSH",AND(N1948&lt;= 21, S1948=10), "PRODUCTION")</f>
        <v>FLUSH</v>
      </c>
      <c r="U1948">
        <f>HOUR(datos_siembra[[#This Row],[Hour]])</f>
        <v>6</v>
      </c>
      <c r="V1948" cm="1">
        <f t="array" ref="V1948">_xlfn.IFS(AND(N1948&lt;= 22, S1948=9), N1948-7,AND(N1948&lt;= 28, S1948=9), N1948-25,AND(N1948&lt;= 30, S1948=9), N1948-28,AND(N1948&lt;= 11, S1948=10), N1948+2,AND(N1948&lt;= 21, S1948=10), N1948-11)</f>
        <v>2</v>
      </c>
    </row>
    <row r="1949" spans="1:22" x14ac:dyDescent="0.35">
      <c r="A1949" s="4">
        <v>45565</v>
      </c>
      <c r="B1949" s="5">
        <v>0.26738425925925924</v>
      </c>
      <c r="C1949">
        <v>79.8</v>
      </c>
      <c r="D1949">
        <v>77.8</v>
      </c>
      <c r="E1949">
        <v>80.099999999999994</v>
      </c>
      <c r="F1949">
        <v>77.2</v>
      </c>
      <c r="G1949">
        <v>0</v>
      </c>
      <c r="H1949">
        <v>0</v>
      </c>
      <c r="I1949">
        <v>0</v>
      </c>
      <c r="J1949">
        <v>0</v>
      </c>
      <c r="K1949">
        <v>68.3</v>
      </c>
      <c r="L1949">
        <v>68</v>
      </c>
      <c r="M1949">
        <v>78.77</v>
      </c>
      <c r="N1949">
        <v>30</v>
      </c>
      <c r="O1949">
        <v>6</v>
      </c>
      <c r="P1949">
        <f>MOD(DAY(datos_siembra[[#This Row],[Date]]),7)</f>
        <v>2</v>
      </c>
      <c r="Q1949" t="str">
        <f>CHOOSE(WEEKDAY(datos_siembra[[#This Row],[Date]],2),"L","M","X","J","V","S","D")</f>
        <v>L</v>
      </c>
      <c r="R1949">
        <f>WEEKNUM(datos_siembra[[#This Row],[Date]],2)-WEEKNUM(DATE(YEAR(datos_siembra[[#This Row],[Date]]),MONTH(datos_siembra[[#This Row],[Date]]),1))+1</f>
        <v>5</v>
      </c>
      <c r="S1949">
        <f>MONTH(datos_siembra[[#This Row],[Date]])</f>
        <v>9</v>
      </c>
      <c r="T1949" t="str" cm="1">
        <f t="array" ref="T1949">_xlfn.IFS(AND(N1949&lt;= 22, S1949=9), "SOWING",AND(N1949&lt;= 28, S1949=9), "COVERAGE",AND(N1949&lt;= 30, S1949=9), "FLUSH",AND(N1949&lt;= 11, S1949=10), "FLUSH",AND(N1949&lt;= 21, S1949=10), "PRODUCTION")</f>
        <v>FLUSH</v>
      </c>
      <c r="U1949">
        <f>HOUR(datos_siembra[[#This Row],[Hour]])</f>
        <v>6</v>
      </c>
      <c r="V1949" cm="1">
        <f t="array" ref="V1949">_xlfn.IFS(AND(N1949&lt;= 22, S1949=9), N1949-7,AND(N1949&lt;= 28, S1949=9), N1949-25,AND(N1949&lt;= 30, S1949=9), N1949-28,AND(N1949&lt;= 11, S1949=10), N1949+2,AND(N1949&lt;= 21, S1949=10), N1949-11)</f>
        <v>2</v>
      </c>
    </row>
    <row r="1950" spans="1:22" x14ac:dyDescent="0.35">
      <c r="A1950" s="4">
        <v>45565</v>
      </c>
      <c r="B1950" s="5">
        <v>0.27432870370370371</v>
      </c>
      <c r="C1950">
        <v>79.900000000000006</v>
      </c>
      <c r="D1950">
        <v>77.8</v>
      </c>
      <c r="E1950">
        <v>80</v>
      </c>
      <c r="F1950">
        <v>77.3</v>
      </c>
      <c r="G1950">
        <v>0</v>
      </c>
      <c r="H1950">
        <v>0</v>
      </c>
      <c r="I1950">
        <v>0</v>
      </c>
      <c r="J1950">
        <v>0</v>
      </c>
      <c r="K1950">
        <v>68.5</v>
      </c>
      <c r="L1950">
        <v>68</v>
      </c>
      <c r="M1950">
        <v>78.72</v>
      </c>
      <c r="N1950">
        <v>30</v>
      </c>
      <c r="O1950">
        <v>6</v>
      </c>
      <c r="P1950">
        <f>MOD(DAY(datos_siembra[[#This Row],[Date]]),7)</f>
        <v>2</v>
      </c>
      <c r="Q1950" t="str">
        <f>CHOOSE(WEEKDAY(datos_siembra[[#This Row],[Date]],2),"L","M","X","J","V","S","D")</f>
        <v>L</v>
      </c>
      <c r="R1950">
        <f>WEEKNUM(datos_siembra[[#This Row],[Date]],2)-WEEKNUM(DATE(YEAR(datos_siembra[[#This Row],[Date]]),MONTH(datos_siembra[[#This Row],[Date]]),1))+1</f>
        <v>5</v>
      </c>
      <c r="S1950">
        <f>MONTH(datos_siembra[[#This Row],[Date]])</f>
        <v>9</v>
      </c>
      <c r="T1950" t="str" cm="1">
        <f t="array" ref="T1950">_xlfn.IFS(AND(N1950&lt;= 22, S1950=9), "SOWING",AND(N1950&lt;= 28, S1950=9), "COVERAGE",AND(N1950&lt;= 30, S1950=9), "FLUSH",AND(N1950&lt;= 11, S1950=10), "FLUSH",AND(N1950&lt;= 21, S1950=10), "PRODUCTION")</f>
        <v>FLUSH</v>
      </c>
      <c r="U1950">
        <f>HOUR(datos_siembra[[#This Row],[Hour]])</f>
        <v>6</v>
      </c>
      <c r="V1950" cm="1">
        <f t="array" ref="V1950">_xlfn.IFS(AND(N1950&lt;= 22, S1950=9), N1950-7,AND(N1950&lt;= 28, S1950=9), N1950-25,AND(N1950&lt;= 30, S1950=9), N1950-28,AND(N1950&lt;= 11, S1950=10), N1950+2,AND(N1950&lt;= 21, S1950=10), N1950-11)</f>
        <v>2</v>
      </c>
    </row>
    <row r="1951" spans="1:22" x14ac:dyDescent="0.35">
      <c r="A1951" s="4">
        <v>45565</v>
      </c>
      <c r="B1951" s="5">
        <v>0.28128472222222223</v>
      </c>
      <c r="C1951">
        <v>79.8</v>
      </c>
      <c r="D1951">
        <v>77.8</v>
      </c>
      <c r="E1951">
        <v>79.900000000000006</v>
      </c>
      <c r="F1951">
        <v>77.099999999999994</v>
      </c>
      <c r="G1951">
        <v>0</v>
      </c>
      <c r="H1951">
        <v>0</v>
      </c>
      <c r="I1951">
        <v>0</v>
      </c>
      <c r="J1951">
        <v>0</v>
      </c>
      <c r="K1951">
        <v>68.3</v>
      </c>
      <c r="L1951">
        <v>68</v>
      </c>
      <c r="M1951">
        <v>78.739999999999995</v>
      </c>
      <c r="N1951">
        <v>30</v>
      </c>
      <c r="O1951">
        <v>6</v>
      </c>
      <c r="P1951">
        <f>MOD(DAY(datos_siembra[[#This Row],[Date]]),7)</f>
        <v>2</v>
      </c>
      <c r="Q1951" t="str">
        <f>CHOOSE(WEEKDAY(datos_siembra[[#This Row],[Date]],2),"L","M","X","J","V","S","D")</f>
        <v>L</v>
      </c>
      <c r="R1951">
        <f>WEEKNUM(datos_siembra[[#This Row],[Date]],2)-WEEKNUM(DATE(YEAR(datos_siembra[[#This Row],[Date]]),MONTH(datos_siembra[[#This Row],[Date]]),1))+1</f>
        <v>5</v>
      </c>
      <c r="S1951">
        <f>MONTH(datos_siembra[[#This Row],[Date]])</f>
        <v>9</v>
      </c>
      <c r="T1951" t="str" cm="1">
        <f t="array" ref="T1951">_xlfn.IFS(AND(N1951&lt;= 22, S1951=9), "SOWING",AND(N1951&lt;= 28, S1951=9), "COVERAGE",AND(N1951&lt;= 30, S1951=9), "FLUSH",AND(N1951&lt;= 11, S1951=10), "FLUSH",AND(N1951&lt;= 21, S1951=10), "PRODUCTION")</f>
        <v>FLUSH</v>
      </c>
      <c r="U1951">
        <f>HOUR(datos_siembra[[#This Row],[Hour]])</f>
        <v>6</v>
      </c>
      <c r="V1951" cm="1">
        <f t="array" ref="V1951">_xlfn.IFS(AND(N1951&lt;= 22, S1951=9), N1951-7,AND(N1951&lt;= 28, S1951=9), N1951-25,AND(N1951&lt;= 30, S1951=9), N1951-28,AND(N1951&lt;= 11, S1951=10), N1951+2,AND(N1951&lt;= 21, S1951=10), N1951-11)</f>
        <v>2</v>
      </c>
    </row>
    <row r="1952" spans="1:22" x14ac:dyDescent="0.35">
      <c r="A1952" s="4">
        <v>45565</v>
      </c>
      <c r="B1952" s="5">
        <v>0.28822916666666665</v>
      </c>
      <c r="C1952">
        <v>79.900000000000006</v>
      </c>
      <c r="D1952">
        <v>77.8</v>
      </c>
      <c r="E1952">
        <v>79.900000000000006</v>
      </c>
      <c r="F1952">
        <v>76.900000000000006</v>
      </c>
      <c r="G1952">
        <v>0</v>
      </c>
      <c r="H1952">
        <v>0</v>
      </c>
      <c r="I1952">
        <v>0</v>
      </c>
      <c r="J1952">
        <v>0</v>
      </c>
      <c r="K1952">
        <v>68.5</v>
      </c>
      <c r="L1952">
        <v>68</v>
      </c>
      <c r="M1952">
        <v>78.72</v>
      </c>
      <c r="N1952">
        <v>30</v>
      </c>
      <c r="O1952">
        <v>6</v>
      </c>
      <c r="P1952">
        <f>MOD(DAY(datos_siembra[[#This Row],[Date]]),7)</f>
        <v>2</v>
      </c>
      <c r="Q1952" t="str">
        <f>CHOOSE(WEEKDAY(datos_siembra[[#This Row],[Date]],2),"L","M","X","J","V","S","D")</f>
        <v>L</v>
      </c>
      <c r="R1952">
        <f>WEEKNUM(datos_siembra[[#This Row],[Date]],2)-WEEKNUM(DATE(YEAR(datos_siembra[[#This Row],[Date]]),MONTH(datos_siembra[[#This Row],[Date]]),1))+1</f>
        <v>5</v>
      </c>
      <c r="S1952">
        <f>MONTH(datos_siembra[[#This Row],[Date]])</f>
        <v>9</v>
      </c>
      <c r="T1952" t="str" cm="1">
        <f t="array" ref="T1952">_xlfn.IFS(AND(N1952&lt;= 22, S1952=9), "SOWING",AND(N1952&lt;= 28, S1952=9), "COVERAGE",AND(N1952&lt;= 30, S1952=9), "FLUSH",AND(N1952&lt;= 11, S1952=10), "FLUSH",AND(N1952&lt;= 21, S1952=10), "PRODUCTION")</f>
        <v>FLUSH</v>
      </c>
      <c r="U1952">
        <f>HOUR(datos_siembra[[#This Row],[Hour]])</f>
        <v>6</v>
      </c>
      <c r="V1952" cm="1">
        <f t="array" ref="V1952">_xlfn.IFS(AND(N1952&lt;= 22, S1952=9), N1952-7,AND(N1952&lt;= 28, S1952=9), N1952-25,AND(N1952&lt;= 30, S1952=9), N1952-28,AND(N1952&lt;= 11, S1952=10), N1952+2,AND(N1952&lt;= 21, S1952=10), N1952-11)</f>
        <v>2</v>
      </c>
    </row>
    <row r="1953" spans="1:22" x14ac:dyDescent="0.35">
      <c r="A1953" s="4">
        <v>45565</v>
      </c>
      <c r="B1953" s="5">
        <v>0.29517361111111112</v>
      </c>
      <c r="C1953">
        <v>79.900000000000006</v>
      </c>
      <c r="D1953">
        <v>77.7</v>
      </c>
      <c r="E1953">
        <v>79.8</v>
      </c>
      <c r="F1953">
        <v>77</v>
      </c>
      <c r="G1953">
        <v>0</v>
      </c>
      <c r="H1953">
        <v>0</v>
      </c>
      <c r="I1953">
        <v>0</v>
      </c>
      <c r="J1953">
        <v>0</v>
      </c>
      <c r="K1953">
        <v>68.5</v>
      </c>
      <c r="L1953">
        <v>68</v>
      </c>
      <c r="M1953">
        <v>78.569999999999993</v>
      </c>
      <c r="N1953">
        <v>30</v>
      </c>
      <c r="O1953">
        <v>6</v>
      </c>
      <c r="P1953">
        <f>MOD(DAY(datos_siembra[[#This Row],[Date]]),7)</f>
        <v>2</v>
      </c>
      <c r="Q1953" t="str">
        <f>CHOOSE(WEEKDAY(datos_siembra[[#This Row],[Date]],2),"L","M","X","J","V","S","D")</f>
        <v>L</v>
      </c>
      <c r="R1953">
        <f>WEEKNUM(datos_siembra[[#This Row],[Date]],2)-WEEKNUM(DATE(YEAR(datos_siembra[[#This Row],[Date]]),MONTH(datos_siembra[[#This Row],[Date]]),1))+1</f>
        <v>5</v>
      </c>
      <c r="S1953">
        <f>MONTH(datos_siembra[[#This Row],[Date]])</f>
        <v>9</v>
      </c>
      <c r="T1953" t="str" cm="1">
        <f t="array" ref="T1953">_xlfn.IFS(AND(N1953&lt;= 22, S1953=9), "SOWING",AND(N1953&lt;= 28, S1953=9), "COVERAGE",AND(N1953&lt;= 30, S1953=9), "FLUSH",AND(N1953&lt;= 11, S1953=10), "FLUSH",AND(N1953&lt;= 21, S1953=10), "PRODUCTION")</f>
        <v>FLUSH</v>
      </c>
      <c r="U1953">
        <f>HOUR(datos_siembra[[#This Row],[Hour]])</f>
        <v>7</v>
      </c>
      <c r="V1953" cm="1">
        <f t="array" ref="V1953">_xlfn.IFS(AND(N1953&lt;= 22, S1953=9), N1953-7,AND(N1953&lt;= 28, S1953=9), N1953-25,AND(N1953&lt;= 30, S1953=9), N1953-28,AND(N1953&lt;= 11, S1953=10), N1953+2,AND(N1953&lt;= 21, S1953=10), N1953-11)</f>
        <v>2</v>
      </c>
    </row>
    <row r="1954" spans="1:22" x14ac:dyDescent="0.35">
      <c r="A1954" s="4">
        <v>45565</v>
      </c>
      <c r="B1954" s="5">
        <v>0.30211805555555554</v>
      </c>
      <c r="C1954">
        <v>79.7</v>
      </c>
      <c r="D1954">
        <v>77.7</v>
      </c>
      <c r="E1954">
        <v>79.8</v>
      </c>
      <c r="F1954">
        <v>77</v>
      </c>
      <c r="G1954">
        <v>0</v>
      </c>
      <c r="H1954">
        <v>0</v>
      </c>
      <c r="I1954">
        <v>0</v>
      </c>
      <c r="J1954">
        <v>0</v>
      </c>
      <c r="K1954">
        <v>68.5</v>
      </c>
      <c r="L1954">
        <v>68</v>
      </c>
      <c r="M1954">
        <v>78.569999999999993</v>
      </c>
      <c r="N1954">
        <v>30</v>
      </c>
      <c r="O1954">
        <v>6</v>
      </c>
      <c r="P1954">
        <f>MOD(DAY(datos_siembra[[#This Row],[Date]]),7)</f>
        <v>2</v>
      </c>
      <c r="Q1954" t="str">
        <f>CHOOSE(WEEKDAY(datos_siembra[[#This Row],[Date]],2),"L","M","X","J","V","S","D")</f>
        <v>L</v>
      </c>
      <c r="R1954">
        <f>WEEKNUM(datos_siembra[[#This Row],[Date]],2)-WEEKNUM(DATE(YEAR(datos_siembra[[#This Row],[Date]]),MONTH(datos_siembra[[#This Row],[Date]]),1))+1</f>
        <v>5</v>
      </c>
      <c r="S1954">
        <f>MONTH(datos_siembra[[#This Row],[Date]])</f>
        <v>9</v>
      </c>
      <c r="T1954" t="str" cm="1">
        <f t="array" ref="T1954">_xlfn.IFS(AND(N1954&lt;= 22, S1954=9), "SOWING",AND(N1954&lt;= 28, S1954=9), "COVERAGE",AND(N1954&lt;= 30, S1954=9), "FLUSH",AND(N1954&lt;= 11, S1954=10), "FLUSH",AND(N1954&lt;= 21, S1954=10), "PRODUCTION")</f>
        <v>FLUSH</v>
      </c>
      <c r="U1954">
        <f>HOUR(datos_siembra[[#This Row],[Hour]])</f>
        <v>7</v>
      </c>
      <c r="V1954" cm="1">
        <f t="array" ref="V1954">_xlfn.IFS(AND(N1954&lt;= 22, S1954=9), N1954-7,AND(N1954&lt;= 28, S1954=9), N1954-25,AND(N1954&lt;= 30, S1954=9), N1954-28,AND(N1954&lt;= 11, S1954=10), N1954+2,AND(N1954&lt;= 21, S1954=10), N1954-11)</f>
        <v>2</v>
      </c>
    </row>
    <row r="1955" spans="1:22" x14ac:dyDescent="0.35">
      <c r="A1955" s="4">
        <v>45565</v>
      </c>
      <c r="B1955" s="5">
        <v>0.30907407407407406</v>
      </c>
      <c r="C1955">
        <v>79.8</v>
      </c>
      <c r="D1955">
        <v>77.8</v>
      </c>
      <c r="E1955">
        <v>79.7</v>
      </c>
      <c r="F1955">
        <v>76.900000000000006</v>
      </c>
      <c r="G1955">
        <v>0</v>
      </c>
      <c r="H1955">
        <v>0</v>
      </c>
      <c r="I1955">
        <v>0</v>
      </c>
      <c r="J1955">
        <v>0</v>
      </c>
      <c r="K1955">
        <v>67.2</v>
      </c>
      <c r="L1955">
        <v>67.2</v>
      </c>
      <c r="M1955">
        <v>78.55</v>
      </c>
      <c r="N1955">
        <v>30</v>
      </c>
      <c r="O1955">
        <v>6</v>
      </c>
      <c r="P1955">
        <f>MOD(DAY(datos_siembra[[#This Row],[Date]]),7)</f>
        <v>2</v>
      </c>
      <c r="Q1955" t="str">
        <f>CHOOSE(WEEKDAY(datos_siembra[[#This Row],[Date]],2),"L","M","X","J","V","S","D")</f>
        <v>L</v>
      </c>
      <c r="R1955">
        <f>WEEKNUM(datos_siembra[[#This Row],[Date]],2)-WEEKNUM(DATE(YEAR(datos_siembra[[#This Row],[Date]]),MONTH(datos_siembra[[#This Row],[Date]]),1))+1</f>
        <v>5</v>
      </c>
      <c r="S1955">
        <f>MONTH(datos_siembra[[#This Row],[Date]])</f>
        <v>9</v>
      </c>
      <c r="T1955" t="str" cm="1">
        <f t="array" ref="T1955">_xlfn.IFS(AND(N1955&lt;= 22, S1955=9), "SOWING",AND(N1955&lt;= 28, S1955=9), "COVERAGE",AND(N1955&lt;= 30, S1955=9), "FLUSH",AND(N1955&lt;= 11, S1955=10), "FLUSH",AND(N1955&lt;= 21, S1955=10), "PRODUCTION")</f>
        <v>FLUSH</v>
      </c>
      <c r="U1955">
        <f>HOUR(datos_siembra[[#This Row],[Hour]])</f>
        <v>7</v>
      </c>
      <c r="V1955" cm="1">
        <f t="array" ref="V1955">_xlfn.IFS(AND(N1955&lt;= 22, S1955=9), N1955-7,AND(N1955&lt;= 28, S1955=9), N1955-25,AND(N1955&lt;= 30, S1955=9), N1955-28,AND(N1955&lt;= 11, S1955=10), N1955+2,AND(N1955&lt;= 21, S1955=10), N1955-11)</f>
        <v>2</v>
      </c>
    </row>
    <row r="1956" spans="1:22" x14ac:dyDescent="0.35">
      <c r="A1956" s="4">
        <v>45565</v>
      </c>
      <c r="B1956" s="5">
        <v>0.31601851851851853</v>
      </c>
      <c r="C1956">
        <v>79.7</v>
      </c>
      <c r="D1956">
        <v>77.7</v>
      </c>
      <c r="E1956">
        <v>79.8</v>
      </c>
      <c r="F1956">
        <v>76.900000000000006</v>
      </c>
      <c r="G1956">
        <v>0</v>
      </c>
      <c r="H1956">
        <v>0</v>
      </c>
      <c r="I1956">
        <v>0</v>
      </c>
      <c r="J1956">
        <v>0</v>
      </c>
      <c r="K1956">
        <v>66.8</v>
      </c>
      <c r="L1956">
        <v>66.599999999999994</v>
      </c>
      <c r="M1956">
        <v>78.569999999999993</v>
      </c>
      <c r="N1956">
        <v>30</v>
      </c>
      <c r="O1956">
        <v>6</v>
      </c>
      <c r="P1956">
        <f>MOD(DAY(datos_siembra[[#This Row],[Date]]),7)</f>
        <v>2</v>
      </c>
      <c r="Q1956" t="str">
        <f>CHOOSE(WEEKDAY(datos_siembra[[#This Row],[Date]],2),"L","M","X","J","V","S","D")</f>
        <v>L</v>
      </c>
      <c r="R1956">
        <f>WEEKNUM(datos_siembra[[#This Row],[Date]],2)-WEEKNUM(DATE(YEAR(datos_siembra[[#This Row],[Date]]),MONTH(datos_siembra[[#This Row],[Date]]),1))+1</f>
        <v>5</v>
      </c>
      <c r="S1956">
        <f>MONTH(datos_siembra[[#This Row],[Date]])</f>
        <v>9</v>
      </c>
      <c r="T1956" t="str" cm="1">
        <f t="array" ref="T1956">_xlfn.IFS(AND(N1956&lt;= 22, S1956=9), "SOWING",AND(N1956&lt;= 28, S1956=9), "COVERAGE",AND(N1956&lt;= 30, S1956=9), "FLUSH",AND(N1956&lt;= 11, S1956=10), "FLUSH",AND(N1956&lt;= 21, S1956=10), "PRODUCTION")</f>
        <v>FLUSH</v>
      </c>
      <c r="U1956">
        <f>HOUR(datos_siembra[[#This Row],[Hour]])</f>
        <v>7</v>
      </c>
      <c r="V1956" cm="1">
        <f t="array" ref="V1956">_xlfn.IFS(AND(N1956&lt;= 22, S1956=9), N1956-7,AND(N1956&lt;= 28, S1956=9), N1956-25,AND(N1956&lt;= 30, S1956=9), N1956-28,AND(N1956&lt;= 11, S1956=10), N1956+2,AND(N1956&lt;= 21, S1956=10), N1956-11)</f>
        <v>2</v>
      </c>
    </row>
    <row r="1957" spans="1:22" x14ac:dyDescent="0.35">
      <c r="A1957" s="4">
        <v>45565</v>
      </c>
      <c r="B1957" s="5">
        <v>0.32296296296296295</v>
      </c>
      <c r="C1957">
        <v>79.7</v>
      </c>
      <c r="D1957">
        <v>77.8</v>
      </c>
      <c r="E1957">
        <v>79.7</v>
      </c>
      <c r="F1957">
        <v>77</v>
      </c>
      <c r="G1957">
        <v>0</v>
      </c>
      <c r="H1957">
        <v>0</v>
      </c>
      <c r="I1957">
        <v>0</v>
      </c>
      <c r="J1957">
        <v>0</v>
      </c>
      <c r="K1957">
        <v>66.599999999999994</v>
      </c>
      <c r="L1957">
        <v>66.5</v>
      </c>
      <c r="M1957">
        <v>78.52</v>
      </c>
      <c r="N1957">
        <v>30</v>
      </c>
      <c r="O1957">
        <v>6</v>
      </c>
      <c r="P1957">
        <f>MOD(DAY(datos_siembra[[#This Row],[Date]]),7)</f>
        <v>2</v>
      </c>
      <c r="Q1957" t="str">
        <f>CHOOSE(WEEKDAY(datos_siembra[[#This Row],[Date]],2),"L","M","X","J","V","S","D")</f>
        <v>L</v>
      </c>
      <c r="R1957">
        <f>WEEKNUM(datos_siembra[[#This Row],[Date]],2)-WEEKNUM(DATE(YEAR(datos_siembra[[#This Row],[Date]]),MONTH(datos_siembra[[#This Row],[Date]]),1))+1</f>
        <v>5</v>
      </c>
      <c r="S1957">
        <f>MONTH(datos_siembra[[#This Row],[Date]])</f>
        <v>9</v>
      </c>
      <c r="T1957" t="str" cm="1">
        <f t="array" ref="T1957">_xlfn.IFS(AND(N1957&lt;= 22, S1957=9), "SOWING",AND(N1957&lt;= 28, S1957=9), "COVERAGE",AND(N1957&lt;= 30, S1957=9), "FLUSH",AND(N1957&lt;= 11, S1957=10), "FLUSH",AND(N1957&lt;= 21, S1957=10), "PRODUCTION")</f>
        <v>FLUSH</v>
      </c>
      <c r="U1957">
        <f>HOUR(datos_siembra[[#This Row],[Hour]])</f>
        <v>7</v>
      </c>
      <c r="V1957" cm="1">
        <f t="array" ref="V1957">_xlfn.IFS(AND(N1957&lt;= 22, S1957=9), N1957-7,AND(N1957&lt;= 28, S1957=9), N1957-25,AND(N1957&lt;= 30, S1957=9), N1957-28,AND(N1957&lt;= 11, S1957=10), N1957+2,AND(N1957&lt;= 21, S1957=10), N1957-11)</f>
        <v>2</v>
      </c>
    </row>
    <row r="1958" spans="1:22" x14ac:dyDescent="0.35">
      <c r="A1958" s="4">
        <v>45565</v>
      </c>
      <c r="B1958" s="5">
        <v>0.32991898148148147</v>
      </c>
      <c r="C1958">
        <v>79.599999999999994</v>
      </c>
      <c r="D1958">
        <v>77.599999999999994</v>
      </c>
      <c r="E1958">
        <v>79.7</v>
      </c>
      <c r="F1958">
        <v>76.900000000000006</v>
      </c>
      <c r="G1958">
        <v>0</v>
      </c>
      <c r="H1958">
        <v>0</v>
      </c>
      <c r="I1958">
        <v>0</v>
      </c>
      <c r="J1958">
        <v>0</v>
      </c>
      <c r="K1958">
        <v>66.400000000000006</v>
      </c>
      <c r="L1958">
        <v>66.3</v>
      </c>
      <c r="M1958">
        <v>78.52</v>
      </c>
      <c r="N1958">
        <v>30</v>
      </c>
      <c r="O1958">
        <v>6</v>
      </c>
      <c r="P1958">
        <f>MOD(DAY(datos_siembra[[#This Row],[Date]]),7)</f>
        <v>2</v>
      </c>
      <c r="Q1958" t="str">
        <f>CHOOSE(WEEKDAY(datos_siembra[[#This Row],[Date]],2),"L","M","X","J","V","S","D")</f>
        <v>L</v>
      </c>
      <c r="R1958">
        <f>WEEKNUM(datos_siembra[[#This Row],[Date]],2)-WEEKNUM(DATE(YEAR(datos_siembra[[#This Row],[Date]]),MONTH(datos_siembra[[#This Row],[Date]]),1))+1</f>
        <v>5</v>
      </c>
      <c r="S1958">
        <f>MONTH(datos_siembra[[#This Row],[Date]])</f>
        <v>9</v>
      </c>
      <c r="T1958" t="str" cm="1">
        <f t="array" ref="T1958">_xlfn.IFS(AND(N1958&lt;= 22, S1958=9), "SOWING",AND(N1958&lt;= 28, S1958=9), "COVERAGE",AND(N1958&lt;= 30, S1958=9), "FLUSH",AND(N1958&lt;= 11, S1958=10), "FLUSH",AND(N1958&lt;= 21, S1958=10), "PRODUCTION")</f>
        <v>FLUSH</v>
      </c>
      <c r="U1958">
        <f>HOUR(datos_siembra[[#This Row],[Hour]])</f>
        <v>7</v>
      </c>
      <c r="V1958" cm="1">
        <f t="array" ref="V1958">_xlfn.IFS(AND(N1958&lt;= 22, S1958=9), N1958-7,AND(N1958&lt;= 28, S1958=9), N1958-25,AND(N1958&lt;= 30, S1958=9), N1958-28,AND(N1958&lt;= 11, S1958=10), N1958+2,AND(N1958&lt;= 21, S1958=10), N1958-11)</f>
        <v>2</v>
      </c>
    </row>
    <row r="1959" spans="1:22" x14ac:dyDescent="0.35">
      <c r="A1959" s="4">
        <v>45565</v>
      </c>
      <c r="B1959" s="5">
        <v>0.33686342592592594</v>
      </c>
      <c r="C1959">
        <v>79.599999999999994</v>
      </c>
      <c r="D1959">
        <v>77.8</v>
      </c>
      <c r="E1959">
        <v>79.7</v>
      </c>
      <c r="F1959">
        <v>76.900000000000006</v>
      </c>
      <c r="G1959">
        <v>0</v>
      </c>
      <c r="H1959">
        <v>0</v>
      </c>
      <c r="I1959">
        <v>0</v>
      </c>
      <c r="J1959">
        <v>0</v>
      </c>
      <c r="K1959">
        <v>66.3</v>
      </c>
      <c r="L1959">
        <v>66.099999999999994</v>
      </c>
      <c r="M1959">
        <v>78.489999999999995</v>
      </c>
      <c r="N1959">
        <v>30</v>
      </c>
      <c r="O1959">
        <v>6</v>
      </c>
      <c r="P1959">
        <f>MOD(DAY(datos_siembra[[#This Row],[Date]]),7)</f>
        <v>2</v>
      </c>
      <c r="Q1959" t="str">
        <f>CHOOSE(WEEKDAY(datos_siembra[[#This Row],[Date]],2),"L","M","X","J","V","S","D")</f>
        <v>L</v>
      </c>
      <c r="R1959">
        <f>WEEKNUM(datos_siembra[[#This Row],[Date]],2)-WEEKNUM(DATE(YEAR(datos_siembra[[#This Row],[Date]]),MONTH(datos_siembra[[#This Row],[Date]]),1))+1</f>
        <v>5</v>
      </c>
      <c r="S1959">
        <f>MONTH(datos_siembra[[#This Row],[Date]])</f>
        <v>9</v>
      </c>
      <c r="T1959" t="str" cm="1">
        <f t="array" ref="T1959">_xlfn.IFS(AND(N1959&lt;= 22, S1959=9), "SOWING",AND(N1959&lt;= 28, S1959=9), "COVERAGE",AND(N1959&lt;= 30, S1959=9), "FLUSH",AND(N1959&lt;= 11, S1959=10), "FLUSH",AND(N1959&lt;= 21, S1959=10), "PRODUCTION")</f>
        <v>FLUSH</v>
      </c>
      <c r="U1959">
        <f>HOUR(datos_siembra[[#This Row],[Hour]])</f>
        <v>8</v>
      </c>
      <c r="V1959" cm="1">
        <f t="array" ref="V1959">_xlfn.IFS(AND(N1959&lt;= 22, S1959=9), N1959-7,AND(N1959&lt;= 28, S1959=9), N1959-25,AND(N1959&lt;= 30, S1959=9), N1959-28,AND(N1959&lt;= 11, S1959=10), N1959+2,AND(N1959&lt;= 21, S1959=10), N1959-11)</f>
        <v>2</v>
      </c>
    </row>
    <row r="1960" spans="1:22" x14ac:dyDescent="0.35">
      <c r="A1960" s="4">
        <v>45565</v>
      </c>
      <c r="B1960" s="5">
        <v>0.34380787037037036</v>
      </c>
      <c r="C1960">
        <v>79.599999999999994</v>
      </c>
      <c r="D1960">
        <v>77.8</v>
      </c>
      <c r="E1960">
        <v>79.7</v>
      </c>
      <c r="F1960">
        <v>76.900000000000006</v>
      </c>
      <c r="G1960">
        <v>0</v>
      </c>
      <c r="H1960">
        <v>0</v>
      </c>
      <c r="I1960">
        <v>0</v>
      </c>
      <c r="J1960">
        <v>0</v>
      </c>
      <c r="K1960">
        <v>66.099999999999994</v>
      </c>
      <c r="L1960">
        <v>66</v>
      </c>
      <c r="M1960">
        <v>78.430000000000007</v>
      </c>
      <c r="N1960">
        <v>30</v>
      </c>
      <c r="O1960">
        <v>6</v>
      </c>
      <c r="P1960">
        <f>MOD(DAY(datos_siembra[[#This Row],[Date]]),7)</f>
        <v>2</v>
      </c>
      <c r="Q1960" t="str">
        <f>CHOOSE(WEEKDAY(datos_siembra[[#This Row],[Date]],2),"L","M","X","J","V","S","D")</f>
        <v>L</v>
      </c>
      <c r="R1960">
        <f>WEEKNUM(datos_siembra[[#This Row],[Date]],2)-WEEKNUM(DATE(YEAR(datos_siembra[[#This Row],[Date]]),MONTH(datos_siembra[[#This Row],[Date]]),1))+1</f>
        <v>5</v>
      </c>
      <c r="S1960">
        <f>MONTH(datos_siembra[[#This Row],[Date]])</f>
        <v>9</v>
      </c>
      <c r="T1960" t="str" cm="1">
        <f t="array" ref="T1960">_xlfn.IFS(AND(N1960&lt;= 22, S1960=9), "SOWING",AND(N1960&lt;= 28, S1960=9), "COVERAGE",AND(N1960&lt;= 30, S1960=9), "FLUSH",AND(N1960&lt;= 11, S1960=10), "FLUSH",AND(N1960&lt;= 21, S1960=10), "PRODUCTION")</f>
        <v>FLUSH</v>
      </c>
      <c r="U1960">
        <f>HOUR(datos_siembra[[#This Row],[Hour]])</f>
        <v>8</v>
      </c>
      <c r="V1960" cm="1">
        <f t="array" ref="V1960">_xlfn.IFS(AND(N1960&lt;= 22, S1960=9), N1960-7,AND(N1960&lt;= 28, S1960=9), N1960-25,AND(N1960&lt;= 30, S1960=9), N1960-28,AND(N1960&lt;= 11, S1960=10), N1960+2,AND(N1960&lt;= 21, S1960=10), N1960-11)</f>
        <v>2</v>
      </c>
    </row>
    <row r="1961" spans="1:22" x14ac:dyDescent="0.35">
      <c r="A1961" s="4">
        <v>45565</v>
      </c>
      <c r="B1961" s="5">
        <v>0.35075231481481484</v>
      </c>
      <c r="C1961">
        <v>79.599999999999994</v>
      </c>
      <c r="D1961">
        <v>77.8</v>
      </c>
      <c r="E1961">
        <v>79.7</v>
      </c>
      <c r="F1961">
        <v>76.900000000000006</v>
      </c>
      <c r="G1961">
        <v>0</v>
      </c>
      <c r="H1961">
        <v>0</v>
      </c>
      <c r="I1961">
        <v>0</v>
      </c>
      <c r="J1961">
        <v>0</v>
      </c>
      <c r="K1961">
        <v>66.099999999999994</v>
      </c>
      <c r="L1961">
        <v>66</v>
      </c>
      <c r="M1961">
        <v>78.489999999999995</v>
      </c>
      <c r="N1961">
        <v>30</v>
      </c>
      <c r="O1961">
        <v>6</v>
      </c>
      <c r="P1961">
        <f>MOD(DAY(datos_siembra[[#This Row],[Date]]),7)</f>
        <v>2</v>
      </c>
      <c r="Q1961" t="str">
        <f>CHOOSE(WEEKDAY(datos_siembra[[#This Row],[Date]],2),"L","M","X","J","V","S","D")</f>
        <v>L</v>
      </c>
      <c r="R1961">
        <f>WEEKNUM(datos_siembra[[#This Row],[Date]],2)-WEEKNUM(DATE(YEAR(datos_siembra[[#This Row],[Date]]),MONTH(datos_siembra[[#This Row],[Date]]),1))+1</f>
        <v>5</v>
      </c>
      <c r="S1961">
        <f>MONTH(datos_siembra[[#This Row],[Date]])</f>
        <v>9</v>
      </c>
      <c r="T1961" t="str" cm="1">
        <f t="array" ref="T1961">_xlfn.IFS(AND(N1961&lt;= 22, S1961=9), "SOWING",AND(N1961&lt;= 28, S1961=9), "COVERAGE",AND(N1961&lt;= 30, S1961=9), "FLUSH",AND(N1961&lt;= 11, S1961=10), "FLUSH",AND(N1961&lt;= 21, S1961=10), "PRODUCTION")</f>
        <v>FLUSH</v>
      </c>
      <c r="U1961">
        <f>HOUR(datos_siembra[[#This Row],[Hour]])</f>
        <v>8</v>
      </c>
      <c r="V1961" cm="1">
        <f t="array" ref="V1961">_xlfn.IFS(AND(N1961&lt;= 22, S1961=9), N1961-7,AND(N1961&lt;= 28, S1961=9), N1961-25,AND(N1961&lt;= 30, S1961=9), N1961-28,AND(N1961&lt;= 11, S1961=10), N1961+2,AND(N1961&lt;= 21, S1961=10), N1961-11)</f>
        <v>2</v>
      </c>
    </row>
    <row r="1962" spans="1:22" x14ac:dyDescent="0.35">
      <c r="A1962" s="4">
        <v>45565</v>
      </c>
      <c r="B1962" s="5">
        <v>0.35770833333333335</v>
      </c>
      <c r="C1962">
        <v>79.599999999999994</v>
      </c>
      <c r="D1962">
        <v>77.7</v>
      </c>
      <c r="E1962">
        <v>79.7</v>
      </c>
      <c r="F1962">
        <v>76.8</v>
      </c>
      <c r="G1962">
        <v>0</v>
      </c>
      <c r="H1962">
        <v>0</v>
      </c>
      <c r="I1962">
        <v>0</v>
      </c>
      <c r="J1962">
        <v>0</v>
      </c>
      <c r="K1962">
        <v>65.900000000000006</v>
      </c>
      <c r="L1962">
        <v>65.900000000000006</v>
      </c>
      <c r="M1962">
        <v>78.349999999999994</v>
      </c>
      <c r="N1962">
        <v>30</v>
      </c>
      <c r="O1962">
        <v>6</v>
      </c>
      <c r="P1962">
        <f>MOD(DAY(datos_siembra[[#This Row],[Date]]),7)</f>
        <v>2</v>
      </c>
      <c r="Q1962" t="str">
        <f>CHOOSE(WEEKDAY(datos_siembra[[#This Row],[Date]],2),"L","M","X","J","V","S","D")</f>
        <v>L</v>
      </c>
      <c r="R1962">
        <f>WEEKNUM(datos_siembra[[#This Row],[Date]],2)-WEEKNUM(DATE(YEAR(datos_siembra[[#This Row],[Date]]),MONTH(datos_siembra[[#This Row],[Date]]),1))+1</f>
        <v>5</v>
      </c>
      <c r="S1962">
        <f>MONTH(datos_siembra[[#This Row],[Date]])</f>
        <v>9</v>
      </c>
      <c r="T1962" t="str" cm="1">
        <f t="array" ref="T1962">_xlfn.IFS(AND(N1962&lt;= 22, S1962=9), "SOWING",AND(N1962&lt;= 28, S1962=9), "COVERAGE",AND(N1962&lt;= 30, S1962=9), "FLUSH",AND(N1962&lt;= 11, S1962=10), "FLUSH",AND(N1962&lt;= 21, S1962=10), "PRODUCTION")</f>
        <v>FLUSH</v>
      </c>
      <c r="U1962">
        <f>HOUR(datos_siembra[[#This Row],[Hour]])</f>
        <v>8</v>
      </c>
      <c r="V1962" cm="1">
        <f t="array" ref="V1962">_xlfn.IFS(AND(N1962&lt;= 22, S1962=9), N1962-7,AND(N1962&lt;= 28, S1962=9), N1962-25,AND(N1962&lt;= 30, S1962=9), N1962-28,AND(N1962&lt;= 11, S1962=10), N1962+2,AND(N1962&lt;= 21, S1962=10), N1962-11)</f>
        <v>2</v>
      </c>
    </row>
    <row r="1963" spans="1:22" x14ac:dyDescent="0.35">
      <c r="A1963" s="4">
        <v>45565</v>
      </c>
      <c r="B1963" s="5">
        <v>0.36465277777777777</v>
      </c>
      <c r="C1963">
        <v>79.599999999999994</v>
      </c>
      <c r="D1963">
        <v>77.7</v>
      </c>
      <c r="E1963">
        <v>79.5</v>
      </c>
      <c r="F1963">
        <v>76.7</v>
      </c>
      <c r="G1963">
        <v>0</v>
      </c>
      <c r="H1963">
        <v>0</v>
      </c>
      <c r="I1963">
        <v>0</v>
      </c>
      <c r="J1963">
        <v>0</v>
      </c>
      <c r="K1963">
        <v>65.900000000000006</v>
      </c>
      <c r="L1963">
        <v>65.8</v>
      </c>
      <c r="M1963">
        <v>78.349999999999994</v>
      </c>
      <c r="N1963">
        <v>30</v>
      </c>
      <c r="O1963">
        <v>6</v>
      </c>
      <c r="P1963">
        <f>MOD(DAY(datos_siembra[[#This Row],[Date]]),7)</f>
        <v>2</v>
      </c>
      <c r="Q1963" t="str">
        <f>CHOOSE(WEEKDAY(datos_siembra[[#This Row],[Date]],2),"L","M","X","J","V","S","D")</f>
        <v>L</v>
      </c>
      <c r="R1963">
        <f>WEEKNUM(datos_siembra[[#This Row],[Date]],2)-WEEKNUM(DATE(YEAR(datos_siembra[[#This Row],[Date]]),MONTH(datos_siembra[[#This Row],[Date]]),1))+1</f>
        <v>5</v>
      </c>
      <c r="S1963">
        <f>MONTH(datos_siembra[[#This Row],[Date]])</f>
        <v>9</v>
      </c>
      <c r="T1963" t="str" cm="1">
        <f t="array" ref="T1963">_xlfn.IFS(AND(N1963&lt;= 22, S1963=9), "SOWING",AND(N1963&lt;= 28, S1963=9), "COVERAGE",AND(N1963&lt;= 30, S1963=9), "FLUSH",AND(N1963&lt;= 11, S1963=10), "FLUSH",AND(N1963&lt;= 21, S1963=10), "PRODUCTION")</f>
        <v>FLUSH</v>
      </c>
      <c r="U1963">
        <f>HOUR(datos_siembra[[#This Row],[Hour]])</f>
        <v>8</v>
      </c>
      <c r="V1963" cm="1">
        <f t="array" ref="V1963">_xlfn.IFS(AND(N1963&lt;= 22, S1963=9), N1963-7,AND(N1963&lt;= 28, S1963=9), N1963-25,AND(N1963&lt;= 30, S1963=9), N1963-28,AND(N1963&lt;= 11, S1963=10), N1963+2,AND(N1963&lt;= 21, S1963=10), N1963-11)</f>
        <v>2</v>
      </c>
    </row>
    <row r="1964" spans="1:22" x14ac:dyDescent="0.35">
      <c r="A1964" s="4">
        <v>45565</v>
      </c>
      <c r="B1964" s="5">
        <v>0.37159722222222225</v>
      </c>
      <c r="C1964">
        <v>79.400000000000006</v>
      </c>
      <c r="D1964">
        <v>77.7</v>
      </c>
      <c r="E1964">
        <v>79.400000000000006</v>
      </c>
      <c r="F1964">
        <v>76.7</v>
      </c>
      <c r="G1964">
        <v>0</v>
      </c>
      <c r="H1964">
        <v>0</v>
      </c>
      <c r="I1964">
        <v>0</v>
      </c>
      <c r="J1964">
        <v>0</v>
      </c>
      <c r="K1964">
        <v>65.8</v>
      </c>
      <c r="L1964">
        <v>65.8</v>
      </c>
      <c r="M1964">
        <v>78.349999999999994</v>
      </c>
      <c r="N1964">
        <v>30</v>
      </c>
      <c r="O1964">
        <v>6</v>
      </c>
      <c r="P1964">
        <f>MOD(DAY(datos_siembra[[#This Row],[Date]]),7)</f>
        <v>2</v>
      </c>
      <c r="Q1964" t="str">
        <f>CHOOSE(WEEKDAY(datos_siembra[[#This Row],[Date]],2),"L","M","X","J","V","S","D")</f>
        <v>L</v>
      </c>
      <c r="R1964">
        <f>WEEKNUM(datos_siembra[[#This Row],[Date]],2)-WEEKNUM(DATE(YEAR(datos_siembra[[#This Row],[Date]]),MONTH(datos_siembra[[#This Row],[Date]]),1))+1</f>
        <v>5</v>
      </c>
      <c r="S1964">
        <f>MONTH(datos_siembra[[#This Row],[Date]])</f>
        <v>9</v>
      </c>
      <c r="T1964" t="str" cm="1">
        <f t="array" ref="T1964">_xlfn.IFS(AND(N1964&lt;= 22, S1964=9), "SOWING",AND(N1964&lt;= 28, S1964=9), "COVERAGE",AND(N1964&lt;= 30, S1964=9), "FLUSH",AND(N1964&lt;= 11, S1964=10), "FLUSH",AND(N1964&lt;= 21, S1964=10), "PRODUCTION")</f>
        <v>FLUSH</v>
      </c>
      <c r="U1964">
        <f>HOUR(datos_siembra[[#This Row],[Hour]])</f>
        <v>8</v>
      </c>
      <c r="V1964" cm="1">
        <f t="array" ref="V1964">_xlfn.IFS(AND(N1964&lt;= 22, S1964=9), N1964-7,AND(N1964&lt;= 28, S1964=9), N1964-25,AND(N1964&lt;= 30, S1964=9), N1964-28,AND(N1964&lt;= 11, S1964=10), N1964+2,AND(N1964&lt;= 21, S1964=10), N1964-11)</f>
        <v>2</v>
      </c>
    </row>
    <row r="1965" spans="1:22" x14ac:dyDescent="0.35">
      <c r="A1965" s="4">
        <v>45565</v>
      </c>
      <c r="B1965" s="5">
        <v>0.37854166666666667</v>
      </c>
      <c r="C1965">
        <v>79.5</v>
      </c>
      <c r="D1965">
        <v>77.7</v>
      </c>
      <c r="E1965">
        <v>79.599999999999994</v>
      </c>
      <c r="F1965">
        <v>76.7</v>
      </c>
      <c r="G1965">
        <v>0</v>
      </c>
      <c r="H1965">
        <v>0</v>
      </c>
      <c r="I1965">
        <v>0</v>
      </c>
      <c r="J1965">
        <v>0</v>
      </c>
      <c r="K1965">
        <v>65.8</v>
      </c>
      <c r="L1965">
        <v>65.8</v>
      </c>
      <c r="M1965">
        <v>78.319999999999993</v>
      </c>
      <c r="N1965">
        <v>30</v>
      </c>
      <c r="O1965">
        <v>6</v>
      </c>
      <c r="P1965">
        <f>MOD(DAY(datos_siembra[[#This Row],[Date]]),7)</f>
        <v>2</v>
      </c>
      <c r="Q1965" t="str">
        <f>CHOOSE(WEEKDAY(datos_siembra[[#This Row],[Date]],2),"L","M","X","J","V","S","D")</f>
        <v>L</v>
      </c>
      <c r="R1965">
        <f>WEEKNUM(datos_siembra[[#This Row],[Date]],2)-WEEKNUM(DATE(YEAR(datos_siembra[[#This Row],[Date]]),MONTH(datos_siembra[[#This Row],[Date]]),1))+1</f>
        <v>5</v>
      </c>
      <c r="S1965">
        <f>MONTH(datos_siembra[[#This Row],[Date]])</f>
        <v>9</v>
      </c>
      <c r="T1965" t="str" cm="1">
        <f t="array" ref="T1965">_xlfn.IFS(AND(N1965&lt;= 22, S1965=9), "SOWING",AND(N1965&lt;= 28, S1965=9), "COVERAGE",AND(N1965&lt;= 30, S1965=9), "FLUSH",AND(N1965&lt;= 11, S1965=10), "FLUSH",AND(N1965&lt;= 21, S1965=10), "PRODUCTION")</f>
        <v>FLUSH</v>
      </c>
      <c r="U1965">
        <f>HOUR(datos_siembra[[#This Row],[Hour]])</f>
        <v>9</v>
      </c>
      <c r="V1965" cm="1">
        <f t="array" ref="V1965">_xlfn.IFS(AND(N1965&lt;= 22, S1965=9), N1965-7,AND(N1965&lt;= 28, S1965=9), N1965-25,AND(N1965&lt;= 30, S1965=9), N1965-28,AND(N1965&lt;= 11, S1965=10), N1965+2,AND(N1965&lt;= 21, S1965=10), N1965-11)</f>
        <v>2</v>
      </c>
    </row>
    <row r="1966" spans="1:22" x14ac:dyDescent="0.35">
      <c r="A1966" s="4">
        <v>45565</v>
      </c>
      <c r="B1966" s="5">
        <v>0.38549768518518518</v>
      </c>
      <c r="C1966">
        <v>79.400000000000006</v>
      </c>
      <c r="D1966">
        <v>77.599999999999994</v>
      </c>
      <c r="E1966">
        <v>79.400000000000006</v>
      </c>
      <c r="F1966">
        <v>76.599999999999994</v>
      </c>
      <c r="G1966">
        <v>0</v>
      </c>
      <c r="H1966">
        <v>0</v>
      </c>
      <c r="I1966">
        <v>0</v>
      </c>
      <c r="J1966">
        <v>0</v>
      </c>
      <c r="K1966">
        <v>65.599999999999994</v>
      </c>
      <c r="L1966">
        <v>65.599999999999994</v>
      </c>
      <c r="M1966">
        <v>78.349999999999994</v>
      </c>
      <c r="N1966">
        <v>30</v>
      </c>
      <c r="O1966">
        <v>6</v>
      </c>
      <c r="P1966">
        <f>MOD(DAY(datos_siembra[[#This Row],[Date]]),7)</f>
        <v>2</v>
      </c>
      <c r="Q1966" t="str">
        <f>CHOOSE(WEEKDAY(datos_siembra[[#This Row],[Date]],2),"L","M","X","J","V","S","D")</f>
        <v>L</v>
      </c>
      <c r="R1966">
        <f>WEEKNUM(datos_siembra[[#This Row],[Date]],2)-WEEKNUM(DATE(YEAR(datos_siembra[[#This Row],[Date]]),MONTH(datos_siembra[[#This Row],[Date]]),1))+1</f>
        <v>5</v>
      </c>
      <c r="S1966">
        <f>MONTH(datos_siembra[[#This Row],[Date]])</f>
        <v>9</v>
      </c>
      <c r="T1966" t="str" cm="1">
        <f t="array" ref="T1966">_xlfn.IFS(AND(N1966&lt;= 22, S1966=9), "SOWING",AND(N1966&lt;= 28, S1966=9), "COVERAGE",AND(N1966&lt;= 30, S1966=9), "FLUSH",AND(N1966&lt;= 11, S1966=10), "FLUSH",AND(N1966&lt;= 21, S1966=10), "PRODUCTION")</f>
        <v>FLUSH</v>
      </c>
      <c r="U1966">
        <f>HOUR(datos_siembra[[#This Row],[Hour]])</f>
        <v>9</v>
      </c>
      <c r="V1966" cm="1">
        <f t="array" ref="V1966">_xlfn.IFS(AND(N1966&lt;= 22, S1966=9), N1966-7,AND(N1966&lt;= 28, S1966=9), N1966-25,AND(N1966&lt;= 30, S1966=9), N1966-28,AND(N1966&lt;= 11, S1966=10), N1966+2,AND(N1966&lt;= 21, S1966=10), N1966-11)</f>
        <v>2</v>
      </c>
    </row>
    <row r="1967" spans="1:22" x14ac:dyDescent="0.35">
      <c r="A1967" s="4">
        <v>45565</v>
      </c>
      <c r="B1967" s="5">
        <v>0.39244212962962965</v>
      </c>
      <c r="C1967">
        <v>79.5</v>
      </c>
      <c r="D1967">
        <v>77.599999999999994</v>
      </c>
      <c r="E1967">
        <v>79.5</v>
      </c>
      <c r="F1967">
        <v>76.599999999999994</v>
      </c>
      <c r="G1967">
        <v>0</v>
      </c>
      <c r="H1967">
        <v>0</v>
      </c>
      <c r="I1967">
        <v>0</v>
      </c>
      <c r="J1967">
        <v>0</v>
      </c>
      <c r="K1967">
        <v>66.2</v>
      </c>
      <c r="L1967">
        <v>66</v>
      </c>
      <c r="M1967">
        <v>78.27</v>
      </c>
      <c r="N1967">
        <v>30</v>
      </c>
      <c r="O1967">
        <v>6</v>
      </c>
      <c r="P1967">
        <f>MOD(DAY(datos_siembra[[#This Row],[Date]]),7)</f>
        <v>2</v>
      </c>
      <c r="Q1967" t="str">
        <f>CHOOSE(WEEKDAY(datos_siembra[[#This Row],[Date]],2),"L","M","X","J","V","S","D")</f>
        <v>L</v>
      </c>
      <c r="R1967">
        <f>WEEKNUM(datos_siembra[[#This Row],[Date]],2)-WEEKNUM(DATE(YEAR(datos_siembra[[#This Row],[Date]]),MONTH(datos_siembra[[#This Row],[Date]]),1))+1</f>
        <v>5</v>
      </c>
      <c r="S1967">
        <f>MONTH(datos_siembra[[#This Row],[Date]])</f>
        <v>9</v>
      </c>
      <c r="T1967" t="str" cm="1">
        <f t="array" ref="T1967">_xlfn.IFS(AND(N1967&lt;= 22, S1967=9), "SOWING",AND(N1967&lt;= 28, S1967=9), "COVERAGE",AND(N1967&lt;= 30, S1967=9), "FLUSH",AND(N1967&lt;= 11, S1967=10), "FLUSH",AND(N1967&lt;= 21, S1967=10), "PRODUCTION")</f>
        <v>FLUSH</v>
      </c>
      <c r="U1967">
        <f>HOUR(datos_siembra[[#This Row],[Hour]])</f>
        <v>9</v>
      </c>
      <c r="V1967" cm="1">
        <f t="array" ref="V1967">_xlfn.IFS(AND(N1967&lt;= 22, S1967=9), N1967-7,AND(N1967&lt;= 28, S1967=9), N1967-25,AND(N1967&lt;= 30, S1967=9), N1967-28,AND(N1967&lt;= 11, S1967=10), N1967+2,AND(N1967&lt;= 21, S1967=10), N1967-11)</f>
        <v>2</v>
      </c>
    </row>
    <row r="1968" spans="1:22" x14ac:dyDescent="0.35">
      <c r="A1968" s="4">
        <v>45565</v>
      </c>
      <c r="B1968" s="5">
        <v>0.39938657407407407</v>
      </c>
      <c r="C1968">
        <v>79.5</v>
      </c>
      <c r="D1968">
        <v>77.599999999999994</v>
      </c>
      <c r="E1968">
        <v>79.400000000000006</v>
      </c>
      <c r="F1968">
        <v>76.599999999999994</v>
      </c>
      <c r="G1968">
        <v>0</v>
      </c>
      <c r="H1968">
        <v>0</v>
      </c>
      <c r="I1968">
        <v>0</v>
      </c>
      <c r="J1968">
        <v>0</v>
      </c>
      <c r="K1968">
        <v>66.8</v>
      </c>
      <c r="L1968">
        <v>66.5</v>
      </c>
      <c r="M1968">
        <v>78.150000000000006</v>
      </c>
      <c r="N1968">
        <v>30</v>
      </c>
      <c r="O1968">
        <v>6</v>
      </c>
      <c r="P1968">
        <f>MOD(DAY(datos_siembra[[#This Row],[Date]]),7)</f>
        <v>2</v>
      </c>
      <c r="Q1968" t="str">
        <f>CHOOSE(WEEKDAY(datos_siembra[[#This Row],[Date]],2),"L","M","X","J","V","S","D")</f>
        <v>L</v>
      </c>
      <c r="R1968">
        <f>WEEKNUM(datos_siembra[[#This Row],[Date]],2)-WEEKNUM(DATE(YEAR(datos_siembra[[#This Row],[Date]]),MONTH(datos_siembra[[#This Row],[Date]]),1))+1</f>
        <v>5</v>
      </c>
      <c r="S1968">
        <f>MONTH(datos_siembra[[#This Row],[Date]])</f>
        <v>9</v>
      </c>
      <c r="T1968" t="str" cm="1">
        <f t="array" ref="T1968">_xlfn.IFS(AND(N1968&lt;= 22, S1968=9), "SOWING",AND(N1968&lt;= 28, S1968=9), "COVERAGE",AND(N1968&lt;= 30, S1968=9), "FLUSH",AND(N1968&lt;= 11, S1968=10), "FLUSH",AND(N1968&lt;= 21, S1968=10), "PRODUCTION")</f>
        <v>FLUSH</v>
      </c>
      <c r="U1968">
        <f>HOUR(datos_siembra[[#This Row],[Hour]])</f>
        <v>9</v>
      </c>
      <c r="V1968" cm="1">
        <f t="array" ref="V1968">_xlfn.IFS(AND(N1968&lt;= 22, S1968=9), N1968-7,AND(N1968&lt;= 28, S1968=9), N1968-25,AND(N1968&lt;= 30, S1968=9), N1968-28,AND(N1968&lt;= 11, S1968=10), N1968+2,AND(N1968&lt;= 21, S1968=10), N1968-11)</f>
        <v>2</v>
      </c>
    </row>
    <row r="1969" spans="1:22" x14ac:dyDescent="0.35">
      <c r="A1969" s="4">
        <v>45565</v>
      </c>
      <c r="B1969" s="5">
        <v>0.40634259259259259</v>
      </c>
      <c r="C1969">
        <v>79.5</v>
      </c>
      <c r="D1969">
        <v>77.599999999999994</v>
      </c>
      <c r="E1969">
        <v>79.3</v>
      </c>
      <c r="F1969">
        <v>76.400000000000006</v>
      </c>
      <c r="G1969">
        <v>0</v>
      </c>
      <c r="H1969">
        <v>0</v>
      </c>
      <c r="I1969">
        <v>0</v>
      </c>
      <c r="J1969">
        <v>0</v>
      </c>
      <c r="K1969">
        <v>67.099999999999994</v>
      </c>
      <c r="L1969">
        <v>66.8</v>
      </c>
      <c r="M1969">
        <v>78.150000000000006</v>
      </c>
      <c r="N1969">
        <v>30</v>
      </c>
      <c r="O1969">
        <v>6</v>
      </c>
      <c r="P1969">
        <f>MOD(DAY(datos_siembra[[#This Row],[Date]]),7)</f>
        <v>2</v>
      </c>
      <c r="Q1969" t="str">
        <f>CHOOSE(WEEKDAY(datos_siembra[[#This Row],[Date]],2),"L","M","X","J","V","S","D")</f>
        <v>L</v>
      </c>
      <c r="R1969">
        <f>WEEKNUM(datos_siembra[[#This Row],[Date]],2)-WEEKNUM(DATE(YEAR(datos_siembra[[#This Row],[Date]]),MONTH(datos_siembra[[#This Row],[Date]]),1))+1</f>
        <v>5</v>
      </c>
      <c r="S1969">
        <f>MONTH(datos_siembra[[#This Row],[Date]])</f>
        <v>9</v>
      </c>
      <c r="T1969" t="str" cm="1">
        <f t="array" ref="T1969">_xlfn.IFS(AND(N1969&lt;= 22, S1969=9), "SOWING",AND(N1969&lt;= 28, S1969=9), "COVERAGE",AND(N1969&lt;= 30, S1969=9), "FLUSH",AND(N1969&lt;= 11, S1969=10), "FLUSH",AND(N1969&lt;= 21, S1969=10), "PRODUCTION")</f>
        <v>FLUSH</v>
      </c>
      <c r="U1969">
        <f>HOUR(datos_siembra[[#This Row],[Hour]])</f>
        <v>9</v>
      </c>
      <c r="V1969" cm="1">
        <f t="array" ref="V1969">_xlfn.IFS(AND(N1969&lt;= 22, S1969=9), N1969-7,AND(N1969&lt;= 28, S1969=9), N1969-25,AND(N1969&lt;= 30, S1969=9), N1969-28,AND(N1969&lt;= 11, S1969=10), N1969+2,AND(N1969&lt;= 21, S1969=10), N1969-11)</f>
        <v>2</v>
      </c>
    </row>
    <row r="1970" spans="1:22" x14ac:dyDescent="0.35">
      <c r="A1970" s="4">
        <v>45565</v>
      </c>
      <c r="B1970" s="5">
        <v>0.41328703703703706</v>
      </c>
      <c r="C1970">
        <v>79.400000000000006</v>
      </c>
      <c r="D1970">
        <v>77.5</v>
      </c>
      <c r="E1970">
        <v>79.3</v>
      </c>
      <c r="F1970">
        <v>76.599999999999994</v>
      </c>
      <c r="G1970">
        <v>0</v>
      </c>
      <c r="H1970">
        <v>0</v>
      </c>
      <c r="I1970">
        <v>0</v>
      </c>
      <c r="J1970">
        <v>0</v>
      </c>
      <c r="K1970">
        <v>67.2</v>
      </c>
      <c r="L1970">
        <v>67</v>
      </c>
      <c r="M1970">
        <v>78.12</v>
      </c>
      <c r="N1970">
        <v>30</v>
      </c>
      <c r="O1970">
        <v>6</v>
      </c>
      <c r="P1970">
        <f>MOD(DAY(datos_siembra[[#This Row],[Date]]),7)</f>
        <v>2</v>
      </c>
      <c r="Q1970" t="str">
        <f>CHOOSE(WEEKDAY(datos_siembra[[#This Row],[Date]],2),"L","M","X","J","V","S","D")</f>
        <v>L</v>
      </c>
      <c r="R1970">
        <f>WEEKNUM(datos_siembra[[#This Row],[Date]],2)-WEEKNUM(DATE(YEAR(datos_siembra[[#This Row],[Date]]),MONTH(datos_siembra[[#This Row],[Date]]),1))+1</f>
        <v>5</v>
      </c>
      <c r="S1970">
        <f>MONTH(datos_siembra[[#This Row],[Date]])</f>
        <v>9</v>
      </c>
      <c r="T1970" t="str" cm="1">
        <f t="array" ref="T1970">_xlfn.IFS(AND(N1970&lt;= 22, S1970=9), "SOWING",AND(N1970&lt;= 28, S1970=9), "COVERAGE",AND(N1970&lt;= 30, S1970=9), "FLUSH",AND(N1970&lt;= 11, S1970=10), "FLUSH",AND(N1970&lt;= 21, S1970=10), "PRODUCTION")</f>
        <v>FLUSH</v>
      </c>
      <c r="U1970">
        <f>HOUR(datos_siembra[[#This Row],[Hour]])</f>
        <v>9</v>
      </c>
      <c r="V1970" cm="1">
        <f t="array" ref="V1970">_xlfn.IFS(AND(N1970&lt;= 22, S1970=9), N1970-7,AND(N1970&lt;= 28, S1970=9), N1970-25,AND(N1970&lt;= 30, S1970=9), N1970-28,AND(N1970&lt;= 11, S1970=10), N1970+2,AND(N1970&lt;= 21, S1970=10), N1970-11)</f>
        <v>2</v>
      </c>
    </row>
    <row r="1971" spans="1:22" x14ac:dyDescent="0.35">
      <c r="A1971" s="4">
        <v>45565</v>
      </c>
      <c r="B1971" s="5">
        <v>0.42023148148148148</v>
      </c>
      <c r="C1971">
        <v>79.3</v>
      </c>
      <c r="D1971">
        <v>77.599999999999994</v>
      </c>
      <c r="E1971">
        <v>79.099999999999994</v>
      </c>
      <c r="F1971">
        <v>76.3</v>
      </c>
      <c r="G1971">
        <v>0</v>
      </c>
      <c r="H1971">
        <v>0</v>
      </c>
      <c r="I1971">
        <v>0</v>
      </c>
      <c r="J1971">
        <v>0</v>
      </c>
      <c r="K1971">
        <v>67.400000000000006</v>
      </c>
      <c r="L1971">
        <v>67.099999999999994</v>
      </c>
      <c r="M1971">
        <v>78.069999999999993</v>
      </c>
      <c r="N1971">
        <v>30</v>
      </c>
      <c r="O1971">
        <v>6</v>
      </c>
      <c r="P1971">
        <f>MOD(DAY(datos_siembra[[#This Row],[Date]]),7)</f>
        <v>2</v>
      </c>
      <c r="Q1971" t="str">
        <f>CHOOSE(WEEKDAY(datos_siembra[[#This Row],[Date]],2),"L","M","X","J","V","S","D")</f>
        <v>L</v>
      </c>
      <c r="R1971">
        <f>WEEKNUM(datos_siembra[[#This Row],[Date]],2)-WEEKNUM(DATE(YEAR(datos_siembra[[#This Row],[Date]]),MONTH(datos_siembra[[#This Row],[Date]]),1))+1</f>
        <v>5</v>
      </c>
      <c r="S1971">
        <f>MONTH(datos_siembra[[#This Row],[Date]])</f>
        <v>9</v>
      </c>
      <c r="T1971" t="str" cm="1">
        <f t="array" ref="T1971">_xlfn.IFS(AND(N1971&lt;= 22, S1971=9), "SOWING",AND(N1971&lt;= 28, S1971=9), "COVERAGE",AND(N1971&lt;= 30, S1971=9), "FLUSH",AND(N1971&lt;= 11, S1971=10), "FLUSH",AND(N1971&lt;= 21, S1971=10), "PRODUCTION")</f>
        <v>FLUSH</v>
      </c>
      <c r="U1971">
        <f>HOUR(datos_siembra[[#This Row],[Hour]])</f>
        <v>10</v>
      </c>
      <c r="V1971" cm="1">
        <f t="array" ref="V1971">_xlfn.IFS(AND(N1971&lt;= 22, S1971=9), N1971-7,AND(N1971&lt;= 28, S1971=9), N1971-25,AND(N1971&lt;= 30, S1971=9), N1971-28,AND(N1971&lt;= 11, S1971=10), N1971+2,AND(N1971&lt;= 21, S1971=10), N1971-11)</f>
        <v>2</v>
      </c>
    </row>
    <row r="1972" spans="1:22" x14ac:dyDescent="0.35">
      <c r="A1972" s="4">
        <v>45565</v>
      </c>
      <c r="B1972" s="5">
        <v>0.4271759259259259</v>
      </c>
      <c r="C1972">
        <v>79.099999999999994</v>
      </c>
      <c r="D1972">
        <v>77.5</v>
      </c>
      <c r="E1972">
        <v>79</v>
      </c>
      <c r="F1972">
        <v>76.3</v>
      </c>
      <c r="G1972">
        <v>0</v>
      </c>
      <c r="H1972">
        <v>0</v>
      </c>
      <c r="I1972">
        <v>0</v>
      </c>
      <c r="J1972">
        <v>0</v>
      </c>
      <c r="K1972">
        <v>67.400000000000006</v>
      </c>
      <c r="L1972">
        <v>67.2</v>
      </c>
      <c r="M1972">
        <v>78.069999999999993</v>
      </c>
      <c r="N1972">
        <v>30</v>
      </c>
      <c r="O1972">
        <v>6</v>
      </c>
      <c r="P1972">
        <f>MOD(DAY(datos_siembra[[#This Row],[Date]]),7)</f>
        <v>2</v>
      </c>
      <c r="Q1972" t="str">
        <f>CHOOSE(WEEKDAY(datos_siembra[[#This Row],[Date]],2),"L","M","X","J","V","S","D")</f>
        <v>L</v>
      </c>
      <c r="R1972">
        <f>WEEKNUM(datos_siembra[[#This Row],[Date]],2)-WEEKNUM(DATE(YEAR(datos_siembra[[#This Row],[Date]]),MONTH(datos_siembra[[#This Row],[Date]]),1))+1</f>
        <v>5</v>
      </c>
      <c r="S1972">
        <f>MONTH(datos_siembra[[#This Row],[Date]])</f>
        <v>9</v>
      </c>
      <c r="T1972" t="str" cm="1">
        <f t="array" ref="T1972">_xlfn.IFS(AND(N1972&lt;= 22, S1972=9), "SOWING",AND(N1972&lt;= 28, S1972=9), "COVERAGE",AND(N1972&lt;= 30, S1972=9), "FLUSH",AND(N1972&lt;= 11, S1972=10), "FLUSH",AND(N1972&lt;= 21, S1972=10), "PRODUCTION")</f>
        <v>FLUSH</v>
      </c>
      <c r="U1972">
        <f>HOUR(datos_siembra[[#This Row],[Hour]])</f>
        <v>10</v>
      </c>
      <c r="V1972" cm="1">
        <f t="array" ref="V1972">_xlfn.IFS(AND(N1972&lt;= 22, S1972=9), N1972-7,AND(N1972&lt;= 28, S1972=9), N1972-25,AND(N1972&lt;= 30, S1972=9), N1972-28,AND(N1972&lt;= 11, S1972=10), N1972+2,AND(N1972&lt;= 21, S1972=10), N1972-11)</f>
        <v>2</v>
      </c>
    </row>
    <row r="1973" spans="1:22" x14ac:dyDescent="0.35">
      <c r="A1973" s="4">
        <v>45565</v>
      </c>
      <c r="B1973" s="5">
        <v>0.43413194444444442</v>
      </c>
      <c r="C1973">
        <v>79.3</v>
      </c>
      <c r="D1973">
        <v>77.599999999999994</v>
      </c>
      <c r="E1973">
        <v>79.099999999999994</v>
      </c>
      <c r="F1973">
        <v>76.2</v>
      </c>
      <c r="G1973">
        <v>0</v>
      </c>
      <c r="H1973">
        <v>0</v>
      </c>
      <c r="I1973">
        <v>0</v>
      </c>
      <c r="J1973">
        <v>0</v>
      </c>
      <c r="K1973">
        <v>66.8</v>
      </c>
      <c r="L1973">
        <v>66.400000000000006</v>
      </c>
      <c r="M1973">
        <v>78.069999999999993</v>
      </c>
      <c r="N1973">
        <v>30</v>
      </c>
      <c r="O1973">
        <v>6</v>
      </c>
      <c r="P1973">
        <f>MOD(DAY(datos_siembra[[#This Row],[Date]]),7)</f>
        <v>2</v>
      </c>
      <c r="Q1973" t="str">
        <f>CHOOSE(WEEKDAY(datos_siembra[[#This Row],[Date]],2),"L","M","X","J","V","S","D")</f>
        <v>L</v>
      </c>
      <c r="R1973">
        <f>WEEKNUM(datos_siembra[[#This Row],[Date]],2)-WEEKNUM(DATE(YEAR(datos_siembra[[#This Row],[Date]]),MONTH(datos_siembra[[#This Row],[Date]]),1))+1</f>
        <v>5</v>
      </c>
      <c r="S1973">
        <f>MONTH(datos_siembra[[#This Row],[Date]])</f>
        <v>9</v>
      </c>
      <c r="T1973" t="str" cm="1">
        <f t="array" ref="T1973">_xlfn.IFS(AND(N1973&lt;= 22, S1973=9), "SOWING",AND(N1973&lt;= 28, S1973=9), "COVERAGE",AND(N1973&lt;= 30, S1973=9), "FLUSH",AND(N1973&lt;= 11, S1973=10), "FLUSH",AND(N1973&lt;= 21, S1973=10), "PRODUCTION")</f>
        <v>FLUSH</v>
      </c>
      <c r="U1973">
        <f>HOUR(datos_siembra[[#This Row],[Hour]])</f>
        <v>10</v>
      </c>
      <c r="V1973" cm="1">
        <f t="array" ref="V1973">_xlfn.IFS(AND(N1973&lt;= 22, S1973=9), N1973-7,AND(N1973&lt;= 28, S1973=9), N1973-25,AND(N1973&lt;= 30, S1973=9), N1973-28,AND(N1973&lt;= 11, S1973=10), N1973+2,AND(N1973&lt;= 21, S1973=10), N1973-11)</f>
        <v>2</v>
      </c>
    </row>
    <row r="1974" spans="1:22" x14ac:dyDescent="0.35">
      <c r="A1974" s="4">
        <v>45565</v>
      </c>
      <c r="B1974" s="5">
        <v>0.44107638888888889</v>
      </c>
      <c r="C1974">
        <v>79.099999999999994</v>
      </c>
      <c r="D1974">
        <v>77.599999999999994</v>
      </c>
      <c r="E1974">
        <v>79</v>
      </c>
      <c r="F1974">
        <v>76.2</v>
      </c>
      <c r="G1974">
        <v>0</v>
      </c>
      <c r="H1974">
        <v>0</v>
      </c>
      <c r="I1974">
        <v>0</v>
      </c>
      <c r="J1974">
        <v>0</v>
      </c>
      <c r="K1974">
        <v>66.3</v>
      </c>
      <c r="L1974">
        <v>66.099999999999994</v>
      </c>
      <c r="M1974">
        <v>77.98</v>
      </c>
      <c r="N1974">
        <v>30</v>
      </c>
      <c r="O1974">
        <v>6</v>
      </c>
      <c r="P1974">
        <f>MOD(DAY(datos_siembra[[#This Row],[Date]]),7)</f>
        <v>2</v>
      </c>
      <c r="Q1974" t="str">
        <f>CHOOSE(WEEKDAY(datos_siembra[[#This Row],[Date]],2),"L","M","X","J","V","S","D")</f>
        <v>L</v>
      </c>
      <c r="R1974">
        <f>WEEKNUM(datos_siembra[[#This Row],[Date]],2)-WEEKNUM(DATE(YEAR(datos_siembra[[#This Row],[Date]]),MONTH(datos_siembra[[#This Row],[Date]]),1))+1</f>
        <v>5</v>
      </c>
      <c r="S1974">
        <f>MONTH(datos_siembra[[#This Row],[Date]])</f>
        <v>9</v>
      </c>
      <c r="T1974" t="str" cm="1">
        <f t="array" ref="T1974">_xlfn.IFS(AND(N1974&lt;= 22, S1974=9), "SOWING",AND(N1974&lt;= 28, S1974=9), "COVERAGE",AND(N1974&lt;= 30, S1974=9), "FLUSH",AND(N1974&lt;= 11, S1974=10), "FLUSH",AND(N1974&lt;= 21, S1974=10), "PRODUCTION")</f>
        <v>FLUSH</v>
      </c>
      <c r="U1974">
        <f>HOUR(datos_siembra[[#This Row],[Hour]])</f>
        <v>10</v>
      </c>
      <c r="V1974" cm="1">
        <f t="array" ref="V1974">_xlfn.IFS(AND(N1974&lt;= 22, S1974=9), N1974-7,AND(N1974&lt;= 28, S1974=9), N1974-25,AND(N1974&lt;= 30, S1974=9), N1974-28,AND(N1974&lt;= 11, S1974=10), N1974+2,AND(N1974&lt;= 21, S1974=10), N1974-11)</f>
        <v>2</v>
      </c>
    </row>
    <row r="1975" spans="1:22" x14ac:dyDescent="0.35">
      <c r="A1975" s="4">
        <v>45565</v>
      </c>
      <c r="B1975" s="5">
        <v>0.44802083333333331</v>
      </c>
      <c r="C1975">
        <v>79.099999999999994</v>
      </c>
      <c r="D1975">
        <v>77.599999999999994</v>
      </c>
      <c r="E1975">
        <v>79</v>
      </c>
      <c r="F1975">
        <v>76.2</v>
      </c>
      <c r="G1975">
        <v>0</v>
      </c>
      <c r="H1975">
        <v>0</v>
      </c>
      <c r="I1975">
        <v>0</v>
      </c>
      <c r="J1975">
        <v>0</v>
      </c>
      <c r="K1975">
        <v>66.099999999999994</v>
      </c>
      <c r="L1975">
        <v>66</v>
      </c>
      <c r="M1975">
        <v>77.959999999999994</v>
      </c>
      <c r="N1975">
        <v>30</v>
      </c>
      <c r="O1975">
        <v>6</v>
      </c>
      <c r="P1975">
        <f>MOD(DAY(datos_siembra[[#This Row],[Date]]),7)</f>
        <v>2</v>
      </c>
      <c r="Q1975" t="str">
        <f>CHOOSE(WEEKDAY(datos_siembra[[#This Row],[Date]],2),"L","M","X","J","V","S","D")</f>
        <v>L</v>
      </c>
      <c r="R1975">
        <f>WEEKNUM(datos_siembra[[#This Row],[Date]],2)-WEEKNUM(DATE(YEAR(datos_siembra[[#This Row],[Date]]),MONTH(datos_siembra[[#This Row],[Date]]),1))+1</f>
        <v>5</v>
      </c>
      <c r="S1975">
        <f>MONTH(datos_siembra[[#This Row],[Date]])</f>
        <v>9</v>
      </c>
      <c r="T1975" t="str" cm="1">
        <f t="array" ref="T1975">_xlfn.IFS(AND(N1975&lt;= 22, S1975=9), "SOWING",AND(N1975&lt;= 28, S1975=9), "COVERAGE",AND(N1975&lt;= 30, S1975=9), "FLUSH",AND(N1975&lt;= 11, S1975=10), "FLUSH",AND(N1975&lt;= 21, S1975=10), "PRODUCTION")</f>
        <v>FLUSH</v>
      </c>
      <c r="U1975">
        <f>HOUR(datos_siembra[[#This Row],[Hour]])</f>
        <v>10</v>
      </c>
      <c r="V1975" cm="1">
        <f t="array" ref="V1975">_xlfn.IFS(AND(N1975&lt;= 22, S1975=9), N1975-7,AND(N1975&lt;= 28, S1975=9), N1975-25,AND(N1975&lt;= 30, S1975=9), N1975-28,AND(N1975&lt;= 11, S1975=10), N1975+2,AND(N1975&lt;= 21, S1975=10), N1975-11)</f>
        <v>2</v>
      </c>
    </row>
    <row r="1976" spans="1:22" x14ac:dyDescent="0.35">
      <c r="A1976" s="4">
        <v>45565</v>
      </c>
      <c r="B1976" s="5">
        <v>0.45497685185185183</v>
      </c>
      <c r="C1976">
        <v>79.3</v>
      </c>
      <c r="D1976">
        <v>77.3</v>
      </c>
      <c r="E1976">
        <v>79</v>
      </c>
      <c r="F1976">
        <v>76.099999999999994</v>
      </c>
      <c r="G1976">
        <v>0</v>
      </c>
      <c r="H1976">
        <v>0</v>
      </c>
      <c r="I1976">
        <v>0</v>
      </c>
      <c r="J1976">
        <v>0</v>
      </c>
      <c r="K1976">
        <v>66.099999999999994</v>
      </c>
      <c r="L1976">
        <v>65.900000000000006</v>
      </c>
      <c r="M1976">
        <v>78.010000000000005</v>
      </c>
      <c r="N1976">
        <v>30</v>
      </c>
      <c r="O1976">
        <v>6</v>
      </c>
      <c r="P1976">
        <f>MOD(DAY(datos_siembra[[#This Row],[Date]]),7)</f>
        <v>2</v>
      </c>
      <c r="Q1976" t="str">
        <f>CHOOSE(WEEKDAY(datos_siembra[[#This Row],[Date]],2),"L","M","X","J","V","S","D")</f>
        <v>L</v>
      </c>
      <c r="R1976">
        <f>WEEKNUM(datos_siembra[[#This Row],[Date]],2)-WEEKNUM(DATE(YEAR(datos_siembra[[#This Row],[Date]]),MONTH(datos_siembra[[#This Row],[Date]]),1))+1</f>
        <v>5</v>
      </c>
      <c r="S1976">
        <f>MONTH(datos_siembra[[#This Row],[Date]])</f>
        <v>9</v>
      </c>
      <c r="T1976" t="str" cm="1">
        <f t="array" ref="T1976">_xlfn.IFS(AND(N1976&lt;= 22, S1976=9), "SOWING",AND(N1976&lt;= 28, S1976=9), "COVERAGE",AND(N1976&lt;= 30, S1976=9), "FLUSH",AND(N1976&lt;= 11, S1976=10), "FLUSH",AND(N1976&lt;= 21, S1976=10), "PRODUCTION")</f>
        <v>FLUSH</v>
      </c>
      <c r="U1976">
        <f>HOUR(datos_siembra[[#This Row],[Hour]])</f>
        <v>10</v>
      </c>
      <c r="V1976" cm="1">
        <f t="array" ref="V1976">_xlfn.IFS(AND(N1976&lt;= 22, S1976=9), N1976-7,AND(N1976&lt;= 28, S1976=9), N1976-25,AND(N1976&lt;= 30, S1976=9), N1976-28,AND(N1976&lt;= 11, S1976=10), N1976+2,AND(N1976&lt;= 21, S1976=10), N1976-11)</f>
        <v>2</v>
      </c>
    </row>
    <row r="1977" spans="1:22" x14ac:dyDescent="0.35">
      <c r="A1977" s="4">
        <v>45565</v>
      </c>
      <c r="B1977" s="5">
        <v>0.4619212962962963</v>
      </c>
      <c r="C1977">
        <v>79.099999999999994</v>
      </c>
      <c r="D1977">
        <v>77.5</v>
      </c>
      <c r="E1977">
        <v>78.900000000000006</v>
      </c>
      <c r="F1977">
        <v>76.3</v>
      </c>
      <c r="G1977">
        <v>0</v>
      </c>
      <c r="H1977">
        <v>0</v>
      </c>
      <c r="I1977">
        <v>0</v>
      </c>
      <c r="J1977">
        <v>0</v>
      </c>
      <c r="K1977">
        <v>66</v>
      </c>
      <c r="L1977">
        <v>65.900000000000006</v>
      </c>
      <c r="M1977">
        <v>77.87</v>
      </c>
      <c r="N1977">
        <v>30</v>
      </c>
      <c r="O1977">
        <v>6</v>
      </c>
      <c r="P1977">
        <f>MOD(DAY(datos_siembra[[#This Row],[Date]]),7)</f>
        <v>2</v>
      </c>
      <c r="Q1977" t="str">
        <f>CHOOSE(WEEKDAY(datos_siembra[[#This Row],[Date]],2),"L","M","X","J","V","S","D")</f>
        <v>L</v>
      </c>
      <c r="R1977">
        <f>WEEKNUM(datos_siembra[[#This Row],[Date]],2)-WEEKNUM(DATE(YEAR(datos_siembra[[#This Row],[Date]]),MONTH(datos_siembra[[#This Row],[Date]]),1))+1</f>
        <v>5</v>
      </c>
      <c r="S1977">
        <f>MONTH(datos_siembra[[#This Row],[Date]])</f>
        <v>9</v>
      </c>
      <c r="T1977" t="str" cm="1">
        <f t="array" ref="T1977">_xlfn.IFS(AND(N1977&lt;= 22, S1977=9), "SOWING",AND(N1977&lt;= 28, S1977=9), "COVERAGE",AND(N1977&lt;= 30, S1977=9), "FLUSH",AND(N1977&lt;= 11, S1977=10), "FLUSH",AND(N1977&lt;= 21, S1977=10), "PRODUCTION")</f>
        <v>FLUSH</v>
      </c>
      <c r="U1977">
        <f>HOUR(datos_siembra[[#This Row],[Hour]])</f>
        <v>11</v>
      </c>
      <c r="V1977" cm="1">
        <f t="array" ref="V1977">_xlfn.IFS(AND(N1977&lt;= 22, S1977=9), N1977-7,AND(N1977&lt;= 28, S1977=9), N1977-25,AND(N1977&lt;= 30, S1977=9), N1977-28,AND(N1977&lt;= 11, S1977=10), N1977+2,AND(N1977&lt;= 21, S1977=10), N1977-11)</f>
        <v>2</v>
      </c>
    </row>
    <row r="1978" spans="1:22" x14ac:dyDescent="0.35">
      <c r="A1978" s="4">
        <v>45565</v>
      </c>
      <c r="B1978" s="5">
        <v>0.46886574074074072</v>
      </c>
      <c r="C1978">
        <v>79.099999999999994</v>
      </c>
      <c r="D1978">
        <v>77.3</v>
      </c>
      <c r="E1978">
        <v>78.900000000000006</v>
      </c>
      <c r="F1978">
        <v>76.099999999999994</v>
      </c>
      <c r="G1978">
        <v>0</v>
      </c>
      <c r="H1978">
        <v>0</v>
      </c>
      <c r="I1978">
        <v>0</v>
      </c>
      <c r="J1978">
        <v>0</v>
      </c>
      <c r="K1978">
        <v>66</v>
      </c>
      <c r="L1978">
        <v>65.8</v>
      </c>
      <c r="M1978">
        <v>77.87</v>
      </c>
      <c r="N1978">
        <v>30</v>
      </c>
      <c r="O1978">
        <v>6</v>
      </c>
      <c r="P1978">
        <f>MOD(DAY(datos_siembra[[#This Row],[Date]]),7)</f>
        <v>2</v>
      </c>
      <c r="Q1978" t="str">
        <f>CHOOSE(WEEKDAY(datos_siembra[[#This Row],[Date]],2),"L","M","X","J","V","S","D")</f>
        <v>L</v>
      </c>
      <c r="R1978">
        <f>WEEKNUM(datos_siembra[[#This Row],[Date]],2)-WEEKNUM(DATE(YEAR(datos_siembra[[#This Row],[Date]]),MONTH(datos_siembra[[#This Row],[Date]]),1))+1</f>
        <v>5</v>
      </c>
      <c r="S1978">
        <f>MONTH(datos_siembra[[#This Row],[Date]])</f>
        <v>9</v>
      </c>
      <c r="T1978" t="str" cm="1">
        <f t="array" ref="T1978">_xlfn.IFS(AND(N1978&lt;= 22, S1978=9), "SOWING",AND(N1978&lt;= 28, S1978=9), "COVERAGE",AND(N1978&lt;= 30, S1978=9), "FLUSH",AND(N1978&lt;= 11, S1978=10), "FLUSH",AND(N1978&lt;= 21, S1978=10), "PRODUCTION")</f>
        <v>FLUSH</v>
      </c>
      <c r="U1978">
        <f>HOUR(datos_siembra[[#This Row],[Hour]])</f>
        <v>11</v>
      </c>
      <c r="V1978" cm="1">
        <f t="array" ref="V1978">_xlfn.IFS(AND(N1978&lt;= 22, S1978=9), N1978-7,AND(N1978&lt;= 28, S1978=9), N1978-25,AND(N1978&lt;= 30, S1978=9), N1978-28,AND(N1978&lt;= 11, S1978=10), N1978+2,AND(N1978&lt;= 21, S1978=10), N1978-11)</f>
        <v>2</v>
      </c>
    </row>
    <row r="1979" spans="1:22" x14ac:dyDescent="0.35">
      <c r="A1979" s="4">
        <v>45565</v>
      </c>
      <c r="B1979" s="5">
        <v>0.4758101851851852</v>
      </c>
      <c r="C1979">
        <v>79</v>
      </c>
      <c r="D1979">
        <v>77.5</v>
      </c>
      <c r="E1979">
        <v>78.900000000000006</v>
      </c>
      <c r="F1979">
        <v>76.099999999999994</v>
      </c>
      <c r="G1979">
        <v>0</v>
      </c>
      <c r="H1979">
        <v>0</v>
      </c>
      <c r="I1979">
        <v>0</v>
      </c>
      <c r="J1979">
        <v>0</v>
      </c>
      <c r="K1979">
        <v>66.099999999999994</v>
      </c>
      <c r="L1979">
        <v>65.900000000000006</v>
      </c>
      <c r="M1979">
        <v>77.84</v>
      </c>
      <c r="N1979">
        <v>30</v>
      </c>
      <c r="O1979">
        <v>6</v>
      </c>
      <c r="P1979">
        <f>MOD(DAY(datos_siembra[[#This Row],[Date]]),7)</f>
        <v>2</v>
      </c>
      <c r="Q1979" t="str">
        <f>CHOOSE(WEEKDAY(datos_siembra[[#This Row],[Date]],2),"L","M","X","J","V","S","D")</f>
        <v>L</v>
      </c>
      <c r="R1979">
        <f>WEEKNUM(datos_siembra[[#This Row],[Date]],2)-WEEKNUM(DATE(YEAR(datos_siembra[[#This Row],[Date]]),MONTH(datos_siembra[[#This Row],[Date]]),1))+1</f>
        <v>5</v>
      </c>
      <c r="S1979">
        <f>MONTH(datos_siembra[[#This Row],[Date]])</f>
        <v>9</v>
      </c>
      <c r="T1979" t="str" cm="1">
        <f t="array" ref="T1979">_xlfn.IFS(AND(N1979&lt;= 22, S1979=9), "SOWING",AND(N1979&lt;= 28, S1979=9), "COVERAGE",AND(N1979&lt;= 30, S1979=9), "FLUSH",AND(N1979&lt;= 11, S1979=10), "FLUSH",AND(N1979&lt;= 21, S1979=10), "PRODUCTION")</f>
        <v>FLUSH</v>
      </c>
      <c r="U1979">
        <f>HOUR(datos_siembra[[#This Row],[Hour]])</f>
        <v>11</v>
      </c>
      <c r="V1979" cm="1">
        <f t="array" ref="V1979">_xlfn.IFS(AND(N1979&lt;= 22, S1979=9), N1979-7,AND(N1979&lt;= 28, S1979=9), N1979-25,AND(N1979&lt;= 30, S1979=9), N1979-28,AND(N1979&lt;= 11, S1979=10), N1979+2,AND(N1979&lt;= 21, S1979=10), N1979-11)</f>
        <v>2</v>
      </c>
    </row>
    <row r="1980" spans="1:22" x14ac:dyDescent="0.35">
      <c r="A1980" s="4">
        <v>45565</v>
      </c>
      <c r="B1980" s="5">
        <v>0.48276620370370371</v>
      </c>
      <c r="C1980">
        <v>78.900000000000006</v>
      </c>
      <c r="D1980">
        <v>77.5</v>
      </c>
      <c r="E1980">
        <v>78.8</v>
      </c>
      <c r="F1980">
        <v>76.099999999999994</v>
      </c>
      <c r="G1980">
        <v>0</v>
      </c>
      <c r="H1980">
        <v>0</v>
      </c>
      <c r="I1980">
        <v>0</v>
      </c>
      <c r="J1980">
        <v>0</v>
      </c>
      <c r="K1980">
        <v>67</v>
      </c>
      <c r="L1980">
        <v>66.8</v>
      </c>
      <c r="M1980">
        <v>77.84</v>
      </c>
      <c r="N1980">
        <v>30</v>
      </c>
      <c r="O1980">
        <v>6</v>
      </c>
      <c r="P1980">
        <f>MOD(DAY(datos_siembra[[#This Row],[Date]]),7)</f>
        <v>2</v>
      </c>
      <c r="Q1980" t="str">
        <f>CHOOSE(WEEKDAY(datos_siembra[[#This Row],[Date]],2),"L","M","X","J","V","S","D")</f>
        <v>L</v>
      </c>
      <c r="R1980">
        <f>WEEKNUM(datos_siembra[[#This Row],[Date]],2)-WEEKNUM(DATE(YEAR(datos_siembra[[#This Row],[Date]]),MONTH(datos_siembra[[#This Row],[Date]]),1))+1</f>
        <v>5</v>
      </c>
      <c r="S1980">
        <f>MONTH(datos_siembra[[#This Row],[Date]])</f>
        <v>9</v>
      </c>
      <c r="T1980" t="str" cm="1">
        <f t="array" ref="T1980">_xlfn.IFS(AND(N1980&lt;= 22, S1980=9), "SOWING",AND(N1980&lt;= 28, S1980=9), "COVERAGE",AND(N1980&lt;= 30, S1980=9), "FLUSH",AND(N1980&lt;= 11, S1980=10), "FLUSH",AND(N1980&lt;= 21, S1980=10), "PRODUCTION")</f>
        <v>FLUSH</v>
      </c>
      <c r="U1980">
        <f>HOUR(datos_siembra[[#This Row],[Hour]])</f>
        <v>11</v>
      </c>
      <c r="V1980" cm="1">
        <f t="array" ref="V1980">_xlfn.IFS(AND(N1980&lt;= 22, S1980=9), N1980-7,AND(N1980&lt;= 28, S1980=9), N1980-25,AND(N1980&lt;= 30, S1980=9), N1980-28,AND(N1980&lt;= 11, S1980=10), N1980+2,AND(N1980&lt;= 21, S1980=10), N1980-11)</f>
        <v>2</v>
      </c>
    </row>
    <row r="1981" spans="1:22" x14ac:dyDescent="0.35">
      <c r="A1981" s="4">
        <v>45565</v>
      </c>
      <c r="B1981" s="5">
        <v>0.48971064814814813</v>
      </c>
      <c r="C1981">
        <v>79</v>
      </c>
      <c r="D1981">
        <v>77.3</v>
      </c>
      <c r="E1981">
        <v>78.8</v>
      </c>
      <c r="F1981">
        <v>76</v>
      </c>
      <c r="G1981">
        <v>0</v>
      </c>
      <c r="H1981">
        <v>0</v>
      </c>
      <c r="I1981">
        <v>0</v>
      </c>
      <c r="J1981">
        <v>0</v>
      </c>
      <c r="K1981">
        <v>67.400000000000006</v>
      </c>
      <c r="L1981">
        <v>67.099999999999994</v>
      </c>
      <c r="M1981">
        <v>77.819999999999993</v>
      </c>
      <c r="N1981">
        <v>30</v>
      </c>
      <c r="O1981">
        <v>6</v>
      </c>
      <c r="P1981">
        <f>MOD(DAY(datos_siembra[[#This Row],[Date]]),7)</f>
        <v>2</v>
      </c>
      <c r="Q1981" t="str">
        <f>CHOOSE(WEEKDAY(datos_siembra[[#This Row],[Date]],2),"L","M","X","J","V","S","D")</f>
        <v>L</v>
      </c>
      <c r="R1981">
        <f>WEEKNUM(datos_siembra[[#This Row],[Date]],2)-WEEKNUM(DATE(YEAR(datos_siembra[[#This Row],[Date]]),MONTH(datos_siembra[[#This Row],[Date]]),1))+1</f>
        <v>5</v>
      </c>
      <c r="S1981">
        <f>MONTH(datos_siembra[[#This Row],[Date]])</f>
        <v>9</v>
      </c>
      <c r="T1981" t="str" cm="1">
        <f t="array" ref="T1981">_xlfn.IFS(AND(N1981&lt;= 22, S1981=9), "SOWING",AND(N1981&lt;= 28, S1981=9), "COVERAGE",AND(N1981&lt;= 30, S1981=9), "FLUSH",AND(N1981&lt;= 11, S1981=10), "FLUSH",AND(N1981&lt;= 21, S1981=10), "PRODUCTION")</f>
        <v>FLUSH</v>
      </c>
      <c r="U1981">
        <f>HOUR(datos_siembra[[#This Row],[Hour]])</f>
        <v>11</v>
      </c>
      <c r="V1981" cm="1">
        <f t="array" ref="V1981">_xlfn.IFS(AND(N1981&lt;= 22, S1981=9), N1981-7,AND(N1981&lt;= 28, S1981=9), N1981-25,AND(N1981&lt;= 30, S1981=9), N1981-28,AND(N1981&lt;= 11, S1981=10), N1981+2,AND(N1981&lt;= 21, S1981=10), N1981-11)</f>
        <v>2</v>
      </c>
    </row>
    <row r="1982" spans="1:22" x14ac:dyDescent="0.35">
      <c r="A1982" s="4">
        <v>45565</v>
      </c>
      <c r="B1982" s="5">
        <v>0.49665509259259261</v>
      </c>
      <c r="C1982">
        <v>78.900000000000006</v>
      </c>
      <c r="D1982">
        <v>77.099999999999994</v>
      </c>
      <c r="E1982">
        <v>78.7</v>
      </c>
      <c r="F1982">
        <v>76</v>
      </c>
      <c r="G1982">
        <v>0</v>
      </c>
      <c r="H1982">
        <v>0</v>
      </c>
      <c r="I1982">
        <v>0</v>
      </c>
      <c r="J1982">
        <v>0</v>
      </c>
      <c r="K1982">
        <v>67.7</v>
      </c>
      <c r="L1982">
        <v>67.400000000000006</v>
      </c>
      <c r="M1982">
        <v>77.73</v>
      </c>
      <c r="N1982">
        <v>30</v>
      </c>
      <c r="O1982">
        <v>6</v>
      </c>
      <c r="P1982">
        <f>MOD(DAY(datos_siembra[[#This Row],[Date]]),7)</f>
        <v>2</v>
      </c>
      <c r="Q1982" t="str">
        <f>CHOOSE(WEEKDAY(datos_siembra[[#This Row],[Date]],2),"L","M","X","J","V","S","D")</f>
        <v>L</v>
      </c>
      <c r="R1982">
        <f>WEEKNUM(datos_siembra[[#This Row],[Date]],2)-WEEKNUM(DATE(YEAR(datos_siembra[[#This Row],[Date]]),MONTH(datos_siembra[[#This Row],[Date]]),1))+1</f>
        <v>5</v>
      </c>
      <c r="S1982">
        <f>MONTH(datos_siembra[[#This Row],[Date]])</f>
        <v>9</v>
      </c>
      <c r="T1982" t="str" cm="1">
        <f t="array" ref="T1982">_xlfn.IFS(AND(N1982&lt;= 22, S1982=9), "SOWING",AND(N1982&lt;= 28, S1982=9), "COVERAGE",AND(N1982&lt;= 30, S1982=9), "FLUSH",AND(N1982&lt;= 11, S1982=10), "FLUSH",AND(N1982&lt;= 21, S1982=10), "PRODUCTION")</f>
        <v>FLUSH</v>
      </c>
      <c r="U1982">
        <f>HOUR(datos_siembra[[#This Row],[Hour]])</f>
        <v>11</v>
      </c>
      <c r="V1982" cm="1">
        <f t="array" ref="V1982">_xlfn.IFS(AND(N1982&lt;= 22, S1982=9), N1982-7,AND(N1982&lt;= 28, S1982=9), N1982-25,AND(N1982&lt;= 30, S1982=9), N1982-28,AND(N1982&lt;= 11, S1982=10), N1982+2,AND(N1982&lt;= 21, S1982=10), N1982-11)</f>
        <v>2</v>
      </c>
    </row>
    <row r="1983" spans="1:22" x14ac:dyDescent="0.35">
      <c r="A1983" s="4">
        <v>45565</v>
      </c>
      <c r="B1983" s="5">
        <v>0.50361111111111112</v>
      </c>
      <c r="C1983">
        <v>78.900000000000006</v>
      </c>
      <c r="D1983">
        <v>77.2</v>
      </c>
      <c r="E1983">
        <v>78.7</v>
      </c>
      <c r="F1983">
        <v>76</v>
      </c>
      <c r="G1983">
        <v>0</v>
      </c>
      <c r="H1983">
        <v>0</v>
      </c>
      <c r="I1983">
        <v>0</v>
      </c>
      <c r="J1983">
        <v>0</v>
      </c>
      <c r="K1983">
        <v>67</v>
      </c>
      <c r="L1983">
        <v>66.900000000000006</v>
      </c>
      <c r="M1983">
        <v>77.760000000000005</v>
      </c>
      <c r="N1983">
        <v>30</v>
      </c>
      <c r="O1983">
        <v>6</v>
      </c>
      <c r="P1983">
        <f>MOD(DAY(datos_siembra[[#This Row],[Date]]),7)</f>
        <v>2</v>
      </c>
      <c r="Q1983" t="str">
        <f>CHOOSE(WEEKDAY(datos_siembra[[#This Row],[Date]],2),"L","M","X","J","V","S","D")</f>
        <v>L</v>
      </c>
      <c r="R1983">
        <f>WEEKNUM(datos_siembra[[#This Row],[Date]],2)-WEEKNUM(DATE(YEAR(datos_siembra[[#This Row],[Date]]),MONTH(datos_siembra[[#This Row],[Date]]),1))+1</f>
        <v>5</v>
      </c>
      <c r="S1983">
        <f>MONTH(datos_siembra[[#This Row],[Date]])</f>
        <v>9</v>
      </c>
      <c r="T1983" t="str" cm="1">
        <f t="array" ref="T1983">_xlfn.IFS(AND(N1983&lt;= 22, S1983=9), "SOWING",AND(N1983&lt;= 28, S1983=9), "COVERAGE",AND(N1983&lt;= 30, S1983=9), "FLUSH",AND(N1983&lt;= 11, S1983=10), "FLUSH",AND(N1983&lt;= 21, S1983=10), "PRODUCTION")</f>
        <v>FLUSH</v>
      </c>
      <c r="U1983">
        <f>HOUR(datos_siembra[[#This Row],[Hour]])</f>
        <v>12</v>
      </c>
      <c r="V1983" cm="1">
        <f t="array" ref="V1983">_xlfn.IFS(AND(N1983&lt;= 22, S1983=9), N1983-7,AND(N1983&lt;= 28, S1983=9), N1983-25,AND(N1983&lt;= 30, S1983=9), N1983-28,AND(N1983&lt;= 11, S1983=10), N1983+2,AND(N1983&lt;= 21, S1983=10), N1983-11)</f>
        <v>2</v>
      </c>
    </row>
    <row r="1984" spans="1:22" x14ac:dyDescent="0.35">
      <c r="A1984" s="4">
        <v>45565</v>
      </c>
      <c r="B1984" s="5">
        <v>0.51055555555555554</v>
      </c>
      <c r="C1984">
        <v>79</v>
      </c>
      <c r="D1984">
        <v>77.099999999999994</v>
      </c>
      <c r="E1984">
        <v>78.599999999999994</v>
      </c>
      <c r="F1984">
        <v>75.900000000000006</v>
      </c>
      <c r="G1984">
        <v>0</v>
      </c>
      <c r="H1984">
        <v>0</v>
      </c>
      <c r="I1984">
        <v>0</v>
      </c>
      <c r="J1984">
        <v>0</v>
      </c>
      <c r="K1984">
        <v>66.5</v>
      </c>
      <c r="L1984">
        <v>66.400000000000006</v>
      </c>
      <c r="M1984">
        <v>77.650000000000006</v>
      </c>
      <c r="N1984">
        <v>30</v>
      </c>
      <c r="O1984">
        <v>6</v>
      </c>
      <c r="P1984">
        <f>MOD(DAY(datos_siembra[[#This Row],[Date]]),7)</f>
        <v>2</v>
      </c>
      <c r="Q1984" t="str">
        <f>CHOOSE(WEEKDAY(datos_siembra[[#This Row],[Date]],2),"L","M","X","J","V","S","D")</f>
        <v>L</v>
      </c>
      <c r="R1984">
        <f>WEEKNUM(datos_siembra[[#This Row],[Date]],2)-WEEKNUM(DATE(YEAR(datos_siembra[[#This Row],[Date]]),MONTH(datos_siembra[[#This Row],[Date]]),1))+1</f>
        <v>5</v>
      </c>
      <c r="S1984">
        <f>MONTH(datos_siembra[[#This Row],[Date]])</f>
        <v>9</v>
      </c>
      <c r="T1984" t="str" cm="1">
        <f t="array" ref="T1984">_xlfn.IFS(AND(N1984&lt;= 22, S1984=9), "SOWING",AND(N1984&lt;= 28, S1984=9), "COVERAGE",AND(N1984&lt;= 30, S1984=9), "FLUSH",AND(N1984&lt;= 11, S1984=10), "FLUSH",AND(N1984&lt;= 21, S1984=10), "PRODUCTION")</f>
        <v>FLUSH</v>
      </c>
      <c r="U1984">
        <f>HOUR(datos_siembra[[#This Row],[Hour]])</f>
        <v>12</v>
      </c>
      <c r="V1984" cm="1">
        <f t="array" ref="V1984">_xlfn.IFS(AND(N1984&lt;= 22, S1984=9), N1984-7,AND(N1984&lt;= 28, S1984=9), N1984-25,AND(N1984&lt;= 30, S1984=9), N1984-28,AND(N1984&lt;= 11, S1984=10), N1984+2,AND(N1984&lt;= 21, S1984=10), N1984-11)</f>
        <v>2</v>
      </c>
    </row>
    <row r="1985" spans="1:22" x14ac:dyDescent="0.35">
      <c r="A1985" s="4">
        <v>45565</v>
      </c>
      <c r="B1985" s="5">
        <v>0.51749999999999996</v>
      </c>
      <c r="C1985">
        <v>79</v>
      </c>
      <c r="D1985">
        <v>77.099999999999994</v>
      </c>
      <c r="E1985">
        <v>78.7</v>
      </c>
      <c r="F1985">
        <v>76</v>
      </c>
      <c r="G1985">
        <v>0</v>
      </c>
      <c r="H1985">
        <v>0</v>
      </c>
      <c r="I1985">
        <v>0</v>
      </c>
      <c r="J1985">
        <v>0</v>
      </c>
      <c r="K1985">
        <v>66.5</v>
      </c>
      <c r="L1985">
        <v>66.3</v>
      </c>
      <c r="M1985">
        <v>77.650000000000006</v>
      </c>
      <c r="N1985">
        <v>30</v>
      </c>
      <c r="O1985">
        <v>6</v>
      </c>
      <c r="P1985">
        <f>MOD(DAY(datos_siembra[[#This Row],[Date]]),7)</f>
        <v>2</v>
      </c>
      <c r="Q1985" t="str">
        <f>CHOOSE(WEEKDAY(datos_siembra[[#This Row],[Date]],2),"L","M","X","J","V","S","D")</f>
        <v>L</v>
      </c>
      <c r="R1985">
        <f>WEEKNUM(datos_siembra[[#This Row],[Date]],2)-WEEKNUM(DATE(YEAR(datos_siembra[[#This Row],[Date]]),MONTH(datos_siembra[[#This Row],[Date]]),1))+1</f>
        <v>5</v>
      </c>
      <c r="S1985">
        <f>MONTH(datos_siembra[[#This Row],[Date]])</f>
        <v>9</v>
      </c>
      <c r="T1985" t="str" cm="1">
        <f t="array" ref="T1985">_xlfn.IFS(AND(N1985&lt;= 22, S1985=9), "SOWING",AND(N1985&lt;= 28, S1985=9), "COVERAGE",AND(N1985&lt;= 30, S1985=9), "FLUSH",AND(N1985&lt;= 11, S1985=10), "FLUSH",AND(N1985&lt;= 21, S1985=10), "PRODUCTION")</f>
        <v>FLUSH</v>
      </c>
      <c r="U1985">
        <f>HOUR(datos_siembra[[#This Row],[Hour]])</f>
        <v>12</v>
      </c>
      <c r="V1985" cm="1">
        <f t="array" ref="V1985">_xlfn.IFS(AND(N1985&lt;= 22, S1985=9), N1985-7,AND(N1985&lt;= 28, S1985=9), N1985-25,AND(N1985&lt;= 30, S1985=9), N1985-28,AND(N1985&lt;= 11, S1985=10), N1985+2,AND(N1985&lt;= 21, S1985=10), N1985-11)</f>
        <v>2</v>
      </c>
    </row>
    <row r="1986" spans="1:22" x14ac:dyDescent="0.35">
      <c r="A1986" s="4">
        <v>45565</v>
      </c>
      <c r="B1986" s="5">
        <v>0.52445601851851853</v>
      </c>
      <c r="C1986">
        <v>79</v>
      </c>
      <c r="D1986">
        <v>77.099999999999994</v>
      </c>
      <c r="E1986">
        <v>78.7</v>
      </c>
      <c r="F1986">
        <v>75.8</v>
      </c>
      <c r="G1986">
        <v>0</v>
      </c>
      <c r="H1986">
        <v>0</v>
      </c>
      <c r="I1986">
        <v>0</v>
      </c>
      <c r="J1986">
        <v>0</v>
      </c>
      <c r="K1986">
        <v>66.5</v>
      </c>
      <c r="L1986">
        <v>66.3</v>
      </c>
      <c r="M1986">
        <v>77.599999999999994</v>
      </c>
      <c r="N1986">
        <v>30</v>
      </c>
      <c r="O1986">
        <v>6</v>
      </c>
      <c r="P1986">
        <f>MOD(DAY(datos_siembra[[#This Row],[Date]]),7)</f>
        <v>2</v>
      </c>
      <c r="Q1986" t="str">
        <f>CHOOSE(WEEKDAY(datos_siembra[[#This Row],[Date]],2),"L","M","X","J","V","S","D")</f>
        <v>L</v>
      </c>
      <c r="R1986">
        <f>WEEKNUM(datos_siembra[[#This Row],[Date]],2)-WEEKNUM(DATE(YEAR(datos_siembra[[#This Row],[Date]]),MONTH(datos_siembra[[#This Row],[Date]]),1))+1</f>
        <v>5</v>
      </c>
      <c r="S1986">
        <f>MONTH(datos_siembra[[#This Row],[Date]])</f>
        <v>9</v>
      </c>
      <c r="T1986" t="str" cm="1">
        <f t="array" ref="T1986">_xlfn.IFS(AND(N1986&lt;= 22, S1986=9), "SOWING",AND(N1986&lt;= 28, S1986=9), "COVERAGE",AND(N1986&lt;= 30, S1986=9), "FLUSH",AND(N1986&lt;= 11, S1986=10), "FLUSH",AND(N1986&lt;= 21, S1986=10), "PRODUCTION")</f>
        <v>FLUSH</v>
      </c>
      <c r="U1986">
        <f>HOUR(datos_siembra[[#This Row],[Hour]])</f>
        <v>12</v>
      </c>
      <c r="V1986" cm="1">
        <f t="array" ref="V1986">_xlfn.IFS(AND(N1986&lt;= 22, S1986=9), N1986-7,AND(N1986&lt;= 28, S1986=9), N1986-25,AND(N1986&lt;= 30, S1986=9), N1986-28,AND(N1986&lt;= 11, S1986=10), N1986+2,AND(N1986&lt;= 21, S1986=10), N1986-11)</f>
        <v>2</v>
      </c>
    </row>
    <row r="1987" spans="1:22" x14ac:dyDescent="0.35">
      <c r="A1987" s="4">
        <v>45565</v>
      </c>
      <c r="B1987" s="5">
        <v>0.53140046296296295</v>
      </c>
      <c r="C1987">
        <v>78.900000000000006</v>
      </c>
      <c r="D1987">
        <v>77.099999999999994</v>
      </c>
      <c r="E1987">
        <v>78.400000000000006</v>
      </c>
      <c r="F1987">
        <v>75.900000000000006</v>
      </c>
      <c r="G1987">
        <v>0</v>
      </c>
      <c r="H1987">
        <v>0</v>
      </c>
      <c r="I1987">
        <v>0</v>
      </c>
      <c r="J1987">
        <v>0</v>
      </c>
      <c r="K1987">
        <v>66.3</v>
      </c>
      <c r="L1987">
        <v>66.2</v>
      </c>
      <c r="M1987">
        <v>77.56</v>
      </c>
      <c r="N1987">
        <v>30</v>
      </c>
      <c r="O1987">
        <v>6</v>
      </c>
      <c r="P1987">
        <f>MOD(DAY(datos_siembra[[#This Row],[Date]]),7)</f>
        <v>2</v>
      </c>
      <c r="Q1987" t="str">
        <f>CHOOSE(WEEKDAY(datos_siembra[[#This Row],[Date]],2),"L","M","X","J","V","S","D")</f>
        <v>L</v>
      </c>
      <c r="R1987">
        <f>WEEKNUM(datos_siembra[[#This Row],[Date]],2)-WEEKNUM(DATE(YEAR(datos_siembra[[#This Row],[Date]]),MONTH(datos_siembra[[#This Row],[Date]]),1))+1</f>
        <v>5</v>
      </c>
      <c r="S1987">
        <f>MONTH(datos_siembra[[#This Row],[Date]])</f>
        <v>9</v>
      </c>
      <c r="T1987" t="str" cm="1">
        <f t="array" ref="T1987">_xlfn.IFS(AND(N1987&lt;= 22, S1987=9), "SOWING",AND(N1987&lt;= 28, S1987=9), "COVERAGE",AND(N1987&lt;= 30, S1987=9), "FLUSH",AND(N1987&lt;= 11, S1987=10), "FLUSH",AND(N1987&lt;= 21, S1987=10), "PRODUCTION")</f>
        <v>FLUSH</v>
      </c>
      <c r="U1987">
        <f>HOUR(datos_siembra[[#This Row],[Hour]])</f>
        <v>12</v>
      </c>
      <c r="V1987" cm="1">
        <f t="array" ref="V1987">_xlfn.IFS(AND(N1987&lt;= 22, S1987=9), N1987-7,AND(N1987&lt;= 28, S1987=9), N1987-25,AND(N1987&lt;= 30, S1987=9), N1987-28,AND(N1987&lt;= 11, S1987=10), N1987+2,AND(N1987&lt;= 21, S1987=10), N1987-11)</f>
        <v>2</v>
      </c>
    </row>
    <row r="1988" spans="1:22" x14ac:dyDescent="0.35">
      <c r="A1988" s="4">
        <v>45565</v>
      </c>
      <c r="B1988" s="5">
        <v>0.53834490740740737</v>
      </c>
      <c r="C1988">
        <v>78.900000000000006</v>
      </c>
      <c r="D1988">
        <v>77.099999999999994</v>
      </c>
      <c r="E1988">
        <v>78.599999999999994</v>
      </c>
      <c r="F1988">
        <v>75.599999999999994</v>
      </c>
      <c r="G1988">
        <v>0</v>
      </c>
      <c r="H1988">
        <v>0</v>
      </c>
      <c r="I1988">
        <v>0</v>
      </c>
      <c r="J1988">
        <v>0</v>
      </c>
      <c r="K1988">
        <v>66.2</v>
      </c>
      <c r="L1988">
        <v>66.2</v>
      </c>
      <c r="M1988">
        <v>77.510000000000005</v>
      </c>
      <c r="N1988">
        <v>30</v>
      </c>
      <c r="O1988">
        <v>6</v>
      </c>
      <c r="P1988">
        <f>MOD(DAY(datos_siembra[[#This Row],[Date]]),7)</f>
        <v>2</v>
      </c>
      <c r="Q1988" t="str">
        <f>CHOOSE(WEEKDAY(datos_siembra[[#This Row],[Date]],2),"L","M","X","J","V","S","D")</f>
        <v>L</v>
      </c>
      <c r="R1988">
        <f>WEEKNUM(datos_siembra[[#This Row],[Date]],2)-WEEKNUM(DATE(YEAR(datos_siembra[[#This Row],[Date]]),MONTH(datos_siembra[[#This Row],[Date]]),1))+1</f>
        <v>5</v>
      </c>
      <c r="S1988">
        <f>MONTH(datos_siembra[[#This Row],[Date]])</f>
        <v>9</v>
      </c>
      <c r="T1988" t="str" cm="1">
        <f t="array" ref="T1988">_xlfn.IFS(AND(N1988&lt;= 22, S1988=9), "SOWING",AND(N1988&lt;= 28, S1988=9), "COVERAGE",AND(N1988&lt;= 30, S1988=9), "FLUSH",AND(N1988&lt;= 11, S1988=10), "FLUSH",AND(N1988&lt;= 21, S1988=10), "PRODUCTION")</f>
        <v>FLUSH</v>
      </c>
      <c r="U1988">
        <f>HOUR(datos_siembra[[#This Row],[Hour]])</f>
        <v>12</v>
      </c>
      <c r="V1988" cm="1">
        <f t="array" ref="V1988">_xlfn.IFS(AND(N1988&lt;= 22, S1988=9), N1988-7,AND(N1988&lt;= 28, S1988=9), N1988-25,AND(N1988&lt;= 30, S1988=9), N1988-28,AND(N1988&lt;= 11, S1988=10), N1988+2,AND(N1988&lt;= 21, S1988=10), N1988-11)</f>
        <v>2</v>
      </c>
    </row>
    <row r="1989" spans="1:22" x14ac:dyDescent="0.35">
      <c r="A1989" s="4">
        <v>45565</v>
      </c>
      <c r="B1989" s="5">
        <v>0.5452893518518519</v>
      </c>
      <c r="C1989">
        <v>78.8</v>
      </c>
      <c r="D1989">
        <v>77</v>
      </c>
      <c r="E1989">
        <v>78.5</v>
      </c>
      <c r="F1989">
        <v>75.599999999999994</v>
      </c>
      <c r="G1989">
        <v>0</v>
      </c>
      <c r="H1989">
        <v>0</v>
      </c>
      <c r="I1989">
        <v>0</v>
      </c>
      <c r="J1989">
        <v>0</v>
      </c>
      <c r="K1989">
        <v>66.3</v>
      </c>
      <c r="L1989">
        <v>66.099999999999994</v>
      </c>
      <c r="M1989">
        <v>77.42</v>
      </c>
      <c r="N1989">
        <v>30</v>
      </c>
      <c r="O1989">
        <v>6</v>
      </c>
      <c r="P1989">
        <f>MOD(DAY(datos_siembra[[#This Row],[Date]]),7)</f>
        <v>2</v>
      </c>
      <c r="Q1989" t="str">
        <f>CHOOSE(WEEKDAY(datos_siembra[[#This Row],[Date]],2),"L","M","X","J","V","S","D")</f>
        <v>L</v>
      </c>
      <c r="R1989">
        <f>WEEKNUM(datos_siembra[[#This Row],[Date]],2)-WEEKNUM(DATE(YEAR(datos_siembra[[#This Row],[Date]]),MONTH(datos_siembra[[#This Row],[Date]]),1))+1</f>
        <v>5</v>
      </c>
      <c r="S1989">
        <f>MONTH(datos_siembra[[#This Row],[Date]])</f>
        <v>9</v>
      </c>
      <c r="T1989" t="str" cm="1">
        <f t="array" ref="T1989">_xlfn.IFS(AND(N1989&lt;= 22, S1989=9), "SOWING",AND(N1989&lt;= 28, S1989=9), "COVERAGE",AND(N1989&lt;= 30, S1989=9), "FLUSH",AND(N1989&lt;= 11, S1989=10), "FLUSH",AND(N1989&lt;= 21, S1989=10), "PRODUCTION")</f>
        <v>FLUSH</v>
      </c>
      <c r="U1989">
        <f>HOUR(datos_siembra[[#This Row],[Hour]])</f>
        <v>13</v>
      </c>
      <c r="V1989" cm="1">
        <f t="array" ref="V1989">_xlfn.IFS(AND(N1989&lt;= 22, S1989=9), N1989-7,AND(N1989&lt;= 28, S1989=9), N1989-25,AND(N1989&lt;= 30, S1989=9), N1989-28,AND(N1989&lt;= 11, S1989=10), N1989+2,AND(N1989&lt;= 21, S1989=10), N1989-11)</f>
        <v>2</v>
      </c>
    </row>
    <row r="1990" spans="1:22" x14ac:dyDescent="0.35">
      <c r="A1990" s="4">
        <v>45565</v>
      </c>
      <c r="B1990" s="5">
        <v>0.55224537037037036</v>
      </c>
      <c r="C1990">
        <v>78.7</v>
      </c>
      <c r="D1990">
        <v>77.099999999999994</v>
      </c>
      <c r="E1990">
        <v>78.400000000000006</v>
      </c>
      <c r="F1990">
        <v>75.599999999999994</v>
      </c>
      <c r="G1990">
        <v>0</v>
      </c>
      <c r="H1990">
        <v>0</v>
      </c>
      <c r="I1990">
        <v>0</v>
      </c>
      <c r="J1990">
        <v>0</v>
      </c>
      <c r="K1990">
        <v>66.2</v>
      </c>
      <c r="L1990">
        <v>66</v>
      </c>
      <c r="M1990">
        <v>77.53</v>
      </c>
      <c r="N1990">
        <v>30</v>
      </c>
      <c r="O1990">
        <v>6</v>
      </c>
      <c r="P1990">
        <f>MOD(DAY(datos_siembra[[#This Row],[Date]]),7)</f>
        <v>2</v>
      </c>
      <c r="Q1990" t="str">
        <f>CHOOSE(WEEKDAY(datos_siembra[[#This Row],[Date]],2),"L","M","X","J","V","S","D")</f>
        <v>L</v>
      </c>
      <c r="R1990">
        <f>WEEKNUM(datos_siembra[[#This Row],[Date]],2)-WEEKNUM(DATE(YEAR(datos_siembra[[#This Row],[Date]]),MONTH(datos_siembra[[#This Row],[Date]]),1))+1</f>
        <v>5</v>
      </c>
      <c r="S1990">
        <f>MONTH(datos_siembra[[#This Row],[Date]])</f>
        <v>9</v>
      </c>
      <c r="T1990" t="str" cm="1">
        <f t="array" ref="T1990">_xlfn.IFS(AND(N1990&lt;= 22, S1990=9), "SOWING",AND(N1990&lt;= 28, S1990=9), "COVERAGE",AND(N1990&lt;= 30, S1990=9), "FLUSH",AND(N1990&lt;= 11, S1990=10), "FLUSH",AND(N1990&lt;= 21, S1990=10), "PRODUCTION")</f>
        <v>FLUSH</v>
      </c>
      <c r="U1990">
        <f>HOUR(datos_siembra[[#This Row],[Hour]])</f>
        <v>13</v>
      </c>
      <c r="V1990" cm="1">
        <f t="array" ref="V1990">_xlfn.IFS(AND(N1990&lt;= 22, S1990=9), N1990-7,AND(N1990&lt;= 28, S1990=9), N1990-25,AND(N1990&lt;= 30, S1990=9), N1990-28,AND(N1990&lt;= 11, S1990=10), N1990+2,AND(N1990&lt;= 21, S1990=10), N1990-11)</f>
        <v>2</v>
      </c>
    </row>
    <row r="1991" spans="1:22" x14ac:dyDescent="0.35">
      <c r="A1991" s="4">
        <v>45565</v>
      </c>
      <c r="B1991" s="5">
        <v>0.55918981481481478</v>
      </c>
      <c r="C1991">
        <v>79</v>
      </c>
      <c r="D1991">
        <v>77</v>
      </c>
      <c r="E1991">
        <v>78.400000000000006</v>
      </c>
      <c r="F1991">
        <v>75.599999999999994</v>
      </c>
      <c r="G1991">
        <v>0</v>
      </c>
      <c r="H1991">
        <v>0</v>
      </c>
      <c r="I1991">
        <v>0</v>
      </c>
      <c r="J1991">
        <v>0</v>
      </c>
      <c r="K1991">
        <v>66.2</v>
      </c>
      <c r="L1991">
        <v>66</v>
      </c>
      <c r="M1991">
        <v>77.48</v>
      </c>
      <c r="N1991">
        <v>30</v>
      </c>
      <c r="O1991">
        <v>6</v>
      </c>
      <c r="P1991">
        <f>MOD(DAY(datos_siembra[[#This Row],[Date]]),7)</f>
        <v>2</v>
      </c>
      <c r="Q1991" t="str">
        <f>CHOOSE(WEEKDAY(datos_siembra[[#This Row],[Date]],2),"L","M","X","J","V","S","D")</f>
        <v>L</v>
      </c>
      <c r="R1991">
        <f>WEEKNUM(datos_siembra[[#This Row],[Date]],2)-WEEKNUM(DATE(YEAR(datos_siembra[[#This Row],[Date]]),MONTH(datos_siembra[[#This Row],[Date]]),1))+1</f>
        <v>5</v>
      </c>
      <c r="S1991">
        <f>MONTH(datos_siembra[[#This Row],[Date]])</f>
        <v>9</v>
      </c>
      <c r="T1991" t="str" cm="1">
        <f t="array" ref="T1991">_xlfn.IFS(AND(N1991&lt;= 22, S1991=9), "SOWING",AND(N1991&lt;= 28, S1991=9), "COVERAGE",AND(N1991&lt;= 30, S1991=9), "FLUSH",AND(N1991&lt;= 11, S1991=10), "FLUSH",AND(N1991&lt;= 21, S1991=10), "PRODUCTION")</f>
        <v>FLUSH</v>
      </c>
      <c r="U1991">
        <f>HOUR(datos_siembra[[#This Row],[Hour]])</f>
        <v>13</v>
      </c>
      <c r="V1991" cm="1">
        <f t="array" ref="V1991">_xlfn.IFS(AND(N1991&lt;= 22, S1991=9), N1991-7,AND(N1991&lt;= 28, S1991=9), N1991-25,AND(N1991&lt;= 30, S1991=9), N1991-28,AND(N1991&lt;= 11, S1991=10), N1991+2,AND(N1991&lt;= 21, S1991=10), N1991-11)</f>
        <v>2</v>
      </c>
    </row>
    <row r="1992" spans="1:22" x14ac:dyDescent="0.35">
      <c r="A1992" s="4">
        <v>45565</v>
      </c>
      <c r="B1992" s="5">
        <v>0.56613425925925931</v>
      </c>
      <c r="C1992">
        <v>78.8</v>
      </c>
      <c r="D1992">
        <v>77</v>
      </c>
      <c r="E1992">
        <v>78.2</v>
      </c>
      <c r="F1992">
        <v>75.599999999999994</v>
      </c>
      <c r="G1992">
        <v>0</v>
      </c>
      <c r="H1992">
        <v>0</v>
      </c>
      <c r="I1992">
        <v>0</v>
      </c>
      <c r="J1992">
        <v>0</v>
      </c>
      <c r="K1992">
        <v>66</v>
      </c>
      <c r="L1992">
        <v>65.900000000000006</v>
      </c>
      <c r="M1992">
        <v>77.37</v>
      </c>
      <c r="N1992">
        <v>30</v>
      </c>
      <c r="O1992">
        <v>6</v>
      </c>
      <c r="P1992">
        <f>MOD(DAY(datos_siembra[[#This Row],[Date]]),7)</f>
        <v>2</v>
      </c>
      <c r="Q1992" t="str">
        <f>CHOOSE(WEEKDAY(datos_siembra[[#This Row],[Date]],2),"L","M","X","J","V","S","D")</f>
        <v>L</v>
      </c>
      <c r="R1992">
        <f>WEEKNUM(datos_siembra[[#This Row],[Date]],2)-WEEKNUM(DATE(YEAR(datos_siembra[[#This Row],[Date]]),MONTH(datos_siembra[[#This Row],[Date]]),1))+1</f>
        <v>5</v>
      </c>
      <c r="S1992">
        <f>MONTH(datos_siembra[[#This Row],[Date]])</f>
        <v>9</v>
      </c>
      <c r="T1992" t="str" cm="1">
        <f t="array" ref="T1992">_xlfn.IFS(AND(N1992&lt;= 22, S1992=9), "SOWING",AND(N1992&lt;= 28, S1992=9), "COVERAGE",AND(N1992&lt;= 30, S1992=9), "FLUSH",AND(N1992&lt;= 11, S1992=10), "FLUSH",AND(N1992&lt;= 21, S1992=10), "PRODUCTION")</f>
        <v>FLUSH</v>
      </c>
      <c r="U1992">
        <f>HOUR(datos_siembra[[#This Row],[Hour]])</f>
        <v>13</v>
      </c>
      <c r="V1992" cm="1">
        <f t="array" ref="V1992">_xlfn.IFS(AND(N1992&lt;= 22, S1992=9), N1992-7,AND(N1992&lt;= 28, S1992=9), N1992-25,AND(N1992&lt;= 30, S1992=9), N1992-28,AND(N1992&lt;= 11, S1992=10), N1992+2,AND(N1992&lt;= 21, S1992=10), N1992-11)</f>
        <v>2</v>
      </c>
    </row>
    <row r="1993" spans="1:22" x14ac:dyDescent="0.35">
      <c r="A1993" s="4">
        <v>45565</v>
      </c>
      <c r="B1993" s="5">
        <v>0.57309027777777777</v>
      </c>
      <c r="C1993">
        <v>78.7</v>
      </c>
      <c r="D1993">
        <v>77</v>
      </c>
      <c r="E1993">
        <v>78.2</v>
      </c>
      <c r="F1993">
        <v>75.5</v>
      </c>
      <c r="G1993">
        <v>0</v>
      </c>
      <c r="H1993">
        <v>0</v>
      </c>
      <c r="I1993">
        <v>0</v>
      </c>
      <c r="J1993">
        <v>0</v>
      </c>
      <c r="K1993">
        <v>66.400000000000006</v>
      </c>
      <c r="L1993">
        <v>66.2</v>
      </c>
      <c r="M1993">
        <v>77.45</v>
      </c>
      <c r="N1993">
        <v>30</v>
      </c>
      <c r="O1993">
        <v>6</v>
      </c>
      <c r="P1993">
        <f>MOD(DAY(datos_siembra[[#This Row],[Date]]),7)</f>
        <v>2</v>
      </c>
      <c r="Q1993" t="str">
        <f>CHOOSE(WEEKDAY(datos_siembra[[#This Row],[Date]],2),"L","M","X","J","V","S","D")</f>
        <v>L</v>
      </c>
      <c r="R1993">
        <f>WEEKNUM(datos_siembra[[#This Row],[Date]],2)-WEEKNUM(DATE(YEAR(datos_siembra[[#This Row],[Date]]),MONTH(datos_siembra[[#This Row],[Date]]),1))+1</f>
        <v>5</v>
      </c>
      <c r="S1993">
        <f>MONTH(datos_siembra[[#This Row],[Date]])</f>
        <v>9</v>
      </c>
      <c r="T1993" t="str" cm="1">
        <f t="array" ref="T1993">_xlfn.IFS(AND(N1993&lt;= 22, S1993=9), "SOWING",AND(N1993&lt;= 28, S1993=9), "COVERAGE",AND(N1993&lt;= 30, S1993=9), "FLUSH",AND(N1993&lt;= 11, S1993=10), "FLUSH",AND(N1993&lt;= 21, S1993=10), "PRODUCTION")</f>
        <v>FLUSH</v>
      </c>
      <c r="U1993">
        <f>HOUR(datos_siembra[[#This Row],[Hour]])</f>
        <v>13</v>
      </c>
      <c r="V1993" cm="1">
        <f t="array" ref="V1993">_xlfn.IFS(AND(N1993&lt;= 22, S1993=9), N1993-7,AND(N1993&lt;= 28, S1993=9), N1993-25,AND(N1993&lt;= 30, S1993=9), N1993-28,AND(N1993&lt;= 11, S1993=10), N1993+2,AND(N1993&lt;= 21, S1993=10), N1993-11)</f>
        <v>2</v>
      </c>
    </row>
    <row r="1994" spans="1:22" x14ac:dyDescent="0.35">
      <c r="A1994" s="4">
        <v>45565</v>
      </c>
      <c r="B1994" s="5">
        <v>0.58003472222222219</v>
      </c>
      <c r="C1994">
        <v>78.8</v>
      </c>
      <c r="D1994">
        <v>77</v>
      </c>
      <c r="E1994">
        <v>78.099999999999994</v>
      </c>
      <c r="F1994">
        <v>75.400000000000006</v>
      </c>
      <c r="G1994">
        <v>0</v>
      </c>
      <c r="H1994">
        <v>0</v>
      </c>
      <c r="I1994">
        <v>0</v>
      </c>
      <c r="J1994">
        <v>0</v>
      </c>
      <c r="K1994">
        <v>67.099999999999994</v>
      </c>
      <c r="L1994">
        <v>66.8</v>
      </c>
      <c r="M1994">
        <v>77.34</v>
      </c>
      <c r="N1994">
        <v>30</v>
      </c>
      <c r="O1994">
        <v>6</v>
      </c>
      <c r="P1994">
        <f>MOD(DAY(datos_siembra[[#This Row],[Date]]),7)</f>
        <v>2</v>
      </c>
      <c r="Q1994" t="str">
        <f>CHOOSE(WEEKDAY(datos_siembra[[#This Row],[Date]],2),"L","M","X","J","V","S","D")</f>
        <v>L</v>
      </c>
      <c r="R1994">
        <f>WEEKNUM(datos_siembra[[#This Row],[Date]],2)-WEEKNUM(DATE(YEAR(datos_siembra[[#This Row],[Date]]),MONTH(datos_siembra[[#This Row],[Date]]),1))+1</f>
        <v>5</v>
      </c>
      <c r="S1994">
        <f>MONTH(datos_siembra[[#This Row],[Date]])</f>
        <v>9</v>
      </c>
      <c r="T1994" t="str" cm="1">
        <f t="array" ref="T1994">_xlfn.IFS(AND(N1994&lt;= 22, S1994=9), "SOWING",AND(N1994&lt;= 28, S1994=9), "COVERAGE",AND(N1994&lt;= 30, S1994=9), "FLUSH",AND(N1994&lt;= 11, S1994=10), "FLUSH",AND(N1994&lt;= 21, S1994=10), "PRODUCTION")</f>
        <v>FLUSH</v>
      </c>
      <c r="U1994">
        <f>HOUR(datos_siembra[[#This Row],[Hour]])</f>
        <v>13</v>
      </c>
      <c r="V1994" cm="1">
        <f t="array" ref="V1994">_xlfn.IFS(AND(N1994&lt;= 22, S1994=9), N1994-7,AND(N1994&lt;= 28, S1994=9), N1994-25,AND(N1994&lt;= 30, S1994=9), N1994-28,AND(N1994&lt;= 11, S1994=10), N1994+2,AND(N1994&lt;= 21, S1994=10), N1994-11)</f>
        <v>2</v>
      </c>
    </row>
    <row r="1995" spans="1:22" x14ac:dyDescent="0.35">
      <c r="A1995" s="4">
        <v>45565</v>
      </c>
      <c r="B1995" s="5">
        <v>0.58697916666666672</v>
      </c>
      <c r="C1995">
        <v>78.7</v>
      </c>
      <c r="D1995">
        <v>77</v>
      </c>
      <c r="E1995">
        <v>78.099999999999994</v>
      </c>
      <c r="F1995">
        <v>75.3</v>
      </c>
      <c r="G1995">
        <v>0</v>
      </c>
      <c r="H1995">
        <v>0</v>
      </c>
      <c r="I1995">
        <v>0</v>
      </c>
      <c r="J1995">
        <v>0</v>
      </c>
      <c r="K1995">
        <v>67.3</v>
      </c>
      <c r="L1995">
        <v>67</v>
      </c>
      <c r="M1995">
        <v>77.34</v>
      </c>
      <c r="N1995">
        <v>30</v>
      </c>
      <c r="O1995">
        <v>6</v>
      </c>
      <c r="P1995">
        <f>MOD(DAY(datos_siembra[[#This Row],[Date]]),7)</f>
        <v>2</v>
      </c>
      <c r="Q1995" t="str">
        <f>CHOOSE(WEEKDAY(datos_siembra[[#This Row],[Date]],2),"L","M","X","J","V","S","D")</f>
        <v>L</v>
      </c>
      <c r="R1995">
        <f>WEEKNUM(datos_siembra[[#This Row],[Date]],2)-WEEKNUM(DATE(YEAR(datos_siembra[[#This Row],[Date]]),MONTH(datos_siembra[[#This Row],[Date]]),1))+1</f>
        <v>5</v>
      </c>
      <c r="S1995">
        <f>MONTH(datos_siembra[[#This Row],[Date]])</f>
        <v>9</v>
      </c>
      <c r="T1995" t="str" cm="1">
        <f t="array" ref="T1995">_xlfn.IFS(AND(N1995&lt;= 22, S1995=9), "SOWING",AND(N1995&lt;= 28, S1995=9), "COVERAGE",AND(N1995&lt;= 30, S1995=9), "FLUSH",AND(N1995&lt;= 11, S1995=10), "FLUSH",AND(N1995&lt;= 21, S1995=10), "PRODUCTION")</f>
        <v>FLUSH</v>
      </c>
      <c r="U1995">
        <f>HOUR(datos_siembra[[#This Row],[Hour]])</f>
        <v>14</v>
      </c>
      <c r="V1995" cm="1">
        <f t="array" ref="V1995">_xlfn.IFS(AND(N1995&lt;= 22, S1995=9), N1995-7,AND(N1995&lt;= 28, S1995=9), N1995-25,AND(N1995&lt;= 30, S1995=9), N1995-28,AND(N1995&lt;= 11, S1995=10), N1995+2,AND(N1995&lt;= 21, S1995=10), N1995-11)</f>
        <v>2</v>
      </c>
    </row>
    <row r="1996" spans="1:22" x14ac:dyDescent="0.35">
      <c r="A1996" s="4">
        <v>45565</v>
      </c>
      <c r="B1996" s="5">
        <v>0.59393518518518518</v>
      </c>
      <c r="C1996">
        <v>78.599999999999994</v>
      </c>
      <c r="D1996">
        <v>76.8</v>
      </c>
      <c r="E1996">
        <v>78</v>
      </c>
      <c r="F1996">
        <v>75.400000000000006</v>
      </c>
      <c r="G1996">
        <v>0</v>
      </c>
      <c r="H1996">
        <v>0</v>
      </c>
      <c r="I1996">
        <v>0</v>
      </c>
      <c r="J1996">
        <v>0</v>
      </c>
      <c r="K1996">
        <v>67.400000000000006</v>
      </c>
      <c r="L1996">
        <v>67.2</v>
      </c>
      <c r="M1996">
        <v>77.31</v>
      </c>
      <c r="N1996">
        <v>30</v>
      </c>
      <c r="O1996">
        <v>6</v>
      </c>
      <c r="P1996">
        <f>MOD(DAY(datos_siembra[[#This Row],[Date]]),7)</f>
        <v>2</v>
      </c>
      <c r="Q1996" t="str">
        <f>CHOOSE(WEEKDAY(datos_siembra[[#This Row],[Date]],2),"L","M","X","J","V","S","D")</f>
        <v>L</v>
      </c>
      <c r="R1996">
        <f>WEEKNUM(datos_siembra[[#This Row],[Date]],2)-WEEKNUM(DATE(YEAR(datos_siembra[[#This Row],[Date]]),MONTH(datos_siembra[[#This Row],[Date]]),1))+1</f>
        <v>5</v>
      </c>
      <c r="S1996">
        <f>MONTH(datos_siembra[[#This Row],[Date]])</f>
        <v>9</v>
      </c>
      <c r="T1996" t="str" cm="1">
        <f t="array" ref="T1996">_xlfn.IFS(AND(N1996&lt;= 22, S1996=9), "SOWING",AND(N1996&lt;= 28, S1996=9), "COVERAGE",AND(N1996&lt;= 30, S1996=9), "FLUSH",AND(N1996&lt;= 11, S1996=10), "FLUSH",AND(N1996&lt;= 21, S1996=10), "PRODUCTION")</f>
        <v>FLUSH</v>
      </c>
      <c r="U1996">
        <f>HOUR(datos_siembra[[#This Row],[Hour]])</f>
        <v>14</v>
      </c>
      <c r="V1996" cm="1">
        <f t="array" ref="V1996">_xlfn.IFS(AND(N1996&lt;= 22, S1996=9), N1996-7,AND(N1996&lt;= 28, S1996=9), N1996-25,AND(N1996&lt;= 30, S1996=9), N1996-28,AND(N1996&lt;= 11, S1996=10), N1996+2,AND(N1996&lt;= 21, S1996=10), N1996-11)</f>
        <v>2</v>
      </c>
    </row>
    <row r="1997" spans="1:22" x14ac:dyDescent="0.35">
      <c r="A1997" s="4">
        <v>45565</v>
      </c>
      <c r="B1997" s="5">
        <v>0.6008796296296296</v>
      </c>
      <c r="C1997">
        <v>78.7</v>
      </c>
      <c r="D1997">
        <v>76.8</v>
      </c>
      <c r="E1997">
        <v>78</v>
      </c>
      <c r="F1997">
        <v>75.3</v>
      </c>
      <c r="G1997">
        <v>0</v>
      </c>
      <c r="H1997">
        <v>0</v>
      </c>
      <c r="I1997">
        <v>0</v>
      </c>
      <c r="J1997">
        <v>0</v>
      </c>
      <c r="K1997">
        <v>67.599999999999994</v>
      </c>
      <c r="L1997">
        <v>67.2</v>
      </c>
      <c r="M1997">
        <v>77.25</v>
      </c>
      <c r="N1997">
        <v>30</v>
      </c>
      <c r="O1997">
        <v>6</v>
      </c>
      <c r="P1997">
        <f>MOD(DAY(datos_siembra[[#This Row],[Date]]),7)</f>
        <v>2</v>
      </c>
      <c r="Q1997" t="str">
        <f>CHOOSE(WEEKDAY(datos_siembra[[#This Row],[Date]],2),"L","M","X","J","V","S","D")</f>
        <v>L</v>
      </c>
      <c r="R1997">
        <f>WEEKNUM(datos_siembra[[#This Row],[Date]],2)-WEEKNUM(DATE(YEAR(datos_siembra[[#This Row],[Date]]),MONTH(datos_siembra[[#This Row],[Date]]),1))+1</f>
        <v>5</v>
      </c>
      <c r="S1997">
        <f>MONTH(datos_siembra[[#This Row],[Date]])</f>
        <v>9</v>
      </c>
      <c r="T1997" t="str" cm="1">
        <f t="array" ref="T1997">_xlfn.IFS(AND(N1997&lt;= 22, S1997=9), "SOWING",AND(N1997&lt;= 28, S1997=9), "COVERAGE",AND(N1997&lt;= 30, S1997=9), "FLUSH",AND(N1997&lt;= 11, S1997=10), "FLUSH",AND(N1997&lt;= 21, S1997=10), "PRODUCTION")</f>
        <v>FLUSH</v>
      </c>
      <c r="U1997">
        <f>HOUR(datos_siembra[[#This Row],[Hour]])</f>
        <v>14</v>
      </c>
      <c r="V1997" cm="1">
        <f t="array" ref="V1997">_xlfn.IFS(AND(N1997&lt;= 22, S1997=9), N1997-7,AND(N1997&lt;= 28, S1997=9), N1997-25,AND(N1997&lt;= 30, S1997=9), N1997-28,AND(N1997&lt;= 11, S1997=10), N1997+2,AND(N1997&lt;= 21, S1997=10), N1997-11)</f>
        <v>2</v>
      </c>
    </row>
    <row r="1998" spans="1:22" x14ac:dyDescent="0.35">
      <c r="A1998" s="4">
        <v>45565</v>
      </c>
      <c r="B1998" s="5">
        <v>0.60782407407407413</v>
      </c>
      <c r="C1998">
        <v>78.400000000000006</v>
      </c>
      <c r="D1998">
        <v>76.8</v>
      </c>
      <c r="E1998">
        <v>78</v>
      </c>
      <c r="F1998">
        <v>75.2</v>
      </c>
      <c r="G1998">
        <v>0</v>
      </c>
      <c r="H1998">
        <v>0</v>
      </c>
      <c r="I1998">
        <v>0</v>
      </c>
      <c r="J1998">
        <v>0</v>
      </c>
      <c r="K1998">
        <v>67.599999999999994</v>
      </c>
      <c r="L1998">
        <v>67.3</v>
      </c>
      <c r="M1998">
        <v>77.17</v>
      </c>
      <c r="N1998">
        <v>30</v>
      </c>
      <c r="O1998">
        <v>6</v>
      </c>
      <c r="P1998">
        <f>MOD(DAY(datos_siembra[[#This Row],[Date]]),7)</f>
        <v>2</v>
      </c>
      <c r="Q1998" t="str">
        <f>CHOOSE(WEEKDAY(datos_siembra[[#This Row],[Date]],2),"L","M","X","J","V","S","D")</f>
        <v>L</v>
      </c>
      <c r="R1998">
        <f>WEEKNUM(datos_siembra[[#This Row],[Date]],2)-WEEKNUM(DATE(YEAR(datos_siembra[[#This Row],[Date]]),MONTH(datos_siembra[[#This Row],[Date]]),1))+1</f>
        <v>5</v>
      </c>
      <c r="S1998">
        <f>MONTH(datos_siembra[[#This Row],[Date]])</f>
        <v>9</v>
      </c>
      <c r="T1998" t="str" cm="1">
        <f t="array" ref="T1998">_xlfn.IFS(AND(N1998&lt;= 22, S1998=9), "SOWING",AND(N1998&lt;= 28, S1998=9), "COVERAGE",AND(N1998&lt;= 30, S1998=9), "FLUSH",AND(N1998&lt;= 11, S1998=10), "FLUSH",AND(N1998&lt;= 21, S1998=10), "PRODUCTION")</f>
        <v>FLUSH</v>
      </c>
      <c r="U1998">
        <f>HOUR(datos_siembra[[#This Row],[Hour]])</f>
        <v>14</v>
      </c>
      <c r="V1998" cm="1">
        <f t="array" ref="V1998">_xlfn.IFS(AND(N1998&lt;= 22, S1998=9), N1998-7,AND(N1998&lt;= 28, S1998=9), N1998-25,AND(N1998&lt;= 30, S1998=9), N1998-28,AND(N1998&lt;= 11, S1998=10), N1998+2,AND(N1998&lt;= 21, S1998=10), N1998-11)</f>
        <v>2</v>
      </c>
    </row>
    <row r="1999" spans="1:22" x14ac:dyDescent="0.35">
      <c r="A1999" s="4">
        <v>45565</v>
      </c>
      <c r="B1999" s="5">
        <v>0.61478009259259259</v>
      </c>
      <c r="C1999">
        <v>78.599999999999994</v>
      </c>
      <c r="D1999">
        <v>76.8</v>
      </c>
      <c r="E1999">
        <v>78</v>
      </c>
      <c r="F1999">
        <v>75.2</v>
      </c>
      <c r="G1999">
        <v>0</v>
      </c>
      <c r="H1999">
        <v>0</v>
      </c>
      <c r="I1999">
        <v>0</v>
      </c>
      <c r="J1999">
        <v>0</v>
      </c>
      <c r="K1999">
        <v>66.5</v>
      </c>
      <c r="L1999">
        <v>66.400000000000006</v>
      </c>
      <c r="M1999">
        <v>77.14</v>
      </c>
      <c r="N1999">
        <v>30</v>
      </c>
      <c r="O1999">
        <v>6</v>
      </c>
      <c r="P1999">
        <f>MOD(DAY(datos_siembra[[#This Row],[Date]]),7)</f>
        <v>2</v>
      </c>
      <c r="Q1999" t="str">
        <f>CHOOSE(WEEKDAY(datos_siembra[[#This Row],[Date]],2),"L","M","X","J","V","S","D")</f>
        <v>L</v>
      </c>
      <c r="R1999">
        <f>WEEKNUM(datos_siembra[[#This Row],[Date]],2)-WEEKNUM(DATE(YEAR(datos_siembra[[#This Row],[Date]]),MONTH(datos_siembra[[#This Row],[Date]]),1))+1</f>
        <v>5</v>
      </c>
      <c r="S1999">
        <f>MONTH(datos_siembra[[#This Row],[Date]])</f>
        <v>9</v>
      </c>
      <c r="T1999" t="str" cm="1">
        <f t="array" ref="T1999">_xlfn.IFS(AND(N1999&lt;= 22, S1999=9), "SOWING",AND(N1999&lt;= 28, S1999=9), "COVERAGE",AND(N1999&lt;= 30, S1999=9), "FLUSH",AND(N1999&lt;= 11, S1999=10), "FLUSH",AND(N1999&lt;= 21, S1999=10), "PRODUCTION")</f>
        <v>FLUSH</v>
      </c>
      <c r="U1999">
        <f>HOUR(datos_siembra[[#This Row],[Hour]])</f>
        <v>14</v>
      </c>
      <c r="V1999" cm="1">
        <f t="array" ref="V1999">_xlfn.IFS(AND(N1999&lt;= 22, S1999=9), N1999-7,AND(N1999&lt;= 28, S1999=9), N1999-25,AND(N1999&lt;= 30, S1999=9), N1999-28,AND(N1999&lt;= 11, S1999=10), N1999+2,AND(N1999&lt;= 21, S1999=10), N1999-11)</f>
        <v>2</v>
      </c>
    </row>
    <row r="2000" spans="1:22" x14ac:dyDescent="0.35">
      <c r="A2000" s="4">
        <v>45565</v>
      </c>
      <c r="B2000" s="5">
        <v>0.62172453703703701</v>
      </c>
      <c r="C2000">
        <v>78.599999999999994</v>
      </c>
      <c r="D2000">
        <v>76.8</v>
      </c>
      <c r="E2000">
        <v>77.900000000000006</v>
      </c>
      <c r="F2000">
        <v>75.099999999999994</v>
      </c>
      <c r="G2000">
        <v>0</v>
      </c>
      <c r="H2000">
        <v>0</v>
      </c>
      <c r="I2000">
        <v>0</v>
      </c>
      <c r="J2000">
        <v>0</v>
      </c>
      <c r="K2000">
        <v>66.099999999999994</v>
      </c>
      <c r="L2000">
        <v>66.099999999999994</v>
      </c>
      <c r="M2000">
        <v>77.08</v>
      </c>
      <c r="N2000">
        <v>30</v>
      </c>
      <c r="O2000">
        <v>6</v>
      </c>
      <c r="P2000">
        <f>MOD(DAY(datos_siembra[[#This Row],[Date]]),7)</f>
        <v>2</v>
      </c>
      <c r="Q2000" t="str">
        <f>CHOOSE(WEEKDAY(datos_siembra[[#This Row],[Date]],2),"L","M","X","J","V","S","D")</f>
        <v>L</v>
      </c>
      <c r="R2000">
        <f>WEEKNUM(datos_siembra[[#This Row],[Date]],2)-WEEKNUM(DATE(YEAR(datos_siembra[[#This Row],[Date]]),MONTH(datos_siembra[[#This Row],[Date]]),1))+1</f>
        <v>5</v>
      </c>
      <c r="S2000">
        <f>MONTH(datos_siembra[[#This Row],[Date]])</f>
        <v>9</v>
      </c>
      <c r="T2000" t="str" cm="1">
        <f t="array" ref="T2000">_xlfn.IFS(AND(N2000&lt;= 22, S2000=9), "SOWING",AND(N2000&lt;= 28, S2000=9), "COVERAGE",AND(N2000&lt;= 30, S2000=9), "FLUSH",AND(N2000&lt;= 11, S2000=10), "FLUSH",AND(N2000&lt;= 21, S2000=10), "PRODUCTION")</f>
        <v>FLUSH</v>
      </c>
      <c r="U2000">
        <f>HOUR(datos_siembra[[#This Row],[Hour]])</f>
        <v>14</v>
      </c>
      <c r="V2000" cm="1">
        <f t="array" ref="V2000">_xlfn.IFS(AND(N2000&lt;= 22, S2000=9), N2000-7,AND(N2000&lt;= 28, S2000=9), N2000-25,AND(N2000&lt;= 30, S2000=9), N2000-28,AND(N2000&lt;= 11, S2000=10), N2000+2,AND(N2000&lt;= 21, S2000=10), N2000-11)</f>
        <v>2</v>
      </c>
    </row>
    <row r="2001" spans="1:22" x14ac:dyDescent="0.35">
      <c r="A2001" s="4">
        <v>45565</v>
      </c>
      <c r="B2001" s="5">
        <v>0.62866898148148154</v>
      </c>
      <c r="C2001">
        <v>78.599999999999994</v>
      </c>
      <c r="D2001">
        <v>76.8</v>
      </c>
      <c r="E2001">
        <v>77.900000000000006</v>
      </c>
      <c r="F2001">
        <v>75.2</v>
      </c>
      <c r="G2001">
        <v>0</v>
      </c>
      <c r="H2001">
        <v>0</v>
      </c>
      <c r="I2001">
        <v>0</v>
      </c>
      <c r="J2001">
        <v>0</v>
      </c>
      <c r="K2001">
        <v>65.900000000000006</v>
      </c>
      <c r="L2001">
        <v>65.900000000000006</v>
      </c>
      <c r="M2001">
        <v>77.14</v>
      </c>
      <c r="N2001">
        <v>30</v>
      </c>
      <c r="O2001">
        <v>6</v>
      </c>
      <c r="P2001">
        <f>MOD(DAY(datos_siembra[[#This Row],[Date]]),7)</f>
        <v>2</v>
      </c>
      <c r="Q2001" t="str">
        <f>CHOOSE(WEEKDAY(datos_siembra[[#This Row],[Date]],2),"L","M","X","J","V","S","D")</f>
        <v>L</v>
      </c>
      <c r="R2001">
        <f>WEEKNUM(datos_siembra[[#This Row],[Date]],2)-WEEKNUM(DATE(YEAR(datos_siembra[[#This Row],[Date]]),MONTH(datos_siembra[[#This Row],[Date]]),1))+1</f>
        <v>5</v>
      </c>
      <c r="S2001">
        <f>MONTH(datos_siembra[[#This Row],[Date]])</f>
        <v>9</v>
      </c>
      <c r="T2001" t="str" cm="1">
        <f t="array" ref="T2001">_xlfn.IFS(AND(N2001&lt;= 22, S2001=9), "SOWING",AND(N2001&lt;= 28, S2001=9), "COVERAGE",AND(N2001&lt;= 30, S2001=9), "FLUSH",AND(N2001&lt;= 11, S2001=10), "FLUSH",AND(N2001&lt;= 21, S2001=10), "PRODUCTION")</f>
        <v>FLUSH</v>
      </c>
      <c r="U2001">
        <f>HOUR(datos_siembra[[#This Row],[Hour]])</f>
        <v>15</v>
      </c>
      <c r="V2001" cm="1">
        <f t="array" ref="V2001">_xlfn.IFS(AND(N2001&lt;= 22, S2001=9), N2001-7,AND(N2001&lt;= 28, S2001=9), N2001-25,AND(N2001&lt;= 30, S2001=9), N2001-28,AND(N2001&lt;= 11, S2001=10), N2001+2,AND(N2001&lt;= 21, S2001=10), N2001-11)</f>
        <v>2</v>
      </c>
    </row>
    <row r="2002" spans="1:22" x14ac:dyDescent="0.35">
      <c r="A2002" s="4">
        <v>45565</v>
      </c>
      <c r="B2002" s="5">
        <v>0.63561342592592596</v>
      </c>
      <c r="C2002">
        <v>78.5</v>
      </c>
      <c r="D2002">
        <v>76.8</v>
      </c>
      <c r="E2002">
        <v>77.8</v>
      </c>
      <c r="F2002">
        <v>75.3</v>
      </c>
      <c r="G2002">
        <v>0</v>
      </c>
      <c r="H2002">
        <v>0</v>
      </c>
      <c r="I2002">
        <v>0</v>
      </c>
      <c r="J2002">
        <v>0</v>
      </c>
      <c r="K2002">
        <v>65.599999999999994</v>
      </c>
      <c r="L2002">
        <v>65.8</v>
      </c>
      <c r="M2002">
        <v>77.11</v>
      </c>
      <c r="N2002">
        <v>30</v>
      </c>
      <c r="O2002">
        <v>6</v>
      </c>
      <c r="P2002">
        <f>MOD(DAY(datos_siembra[[#This Row],[Date]]),7)</f>
        <v>2</v>
      </c>
      <c r="Q2002" t="str">
        <f>CHOOSE(WEEKDAY(datos_siembra[[#This Row],[Date]],2),"L","M","X","J","V","S","D")</f>
        <v>L</v>
      </c>
      <c r="R2002">
        <f>WEEKNUM(datos_siembra[[#This Row],[Date]],2)-WEEKNUM(DATE(YEAR(datos_siembra[[#This Row],[Date]]),MONTH(datos_siembra[[#This Row],[Date]]),1))+1</f>
        <v>5</v>
      </c>
      <c r="S2002">
        <f>MONTH(datos_siembra[[#This Row],[Date]])</f>
        <v>9</v>
      </c>
      <c r="T2002" t="str" cm="1">
        <f t="array" ref="T2002">_xlfn.IFS(AND(N2002&lt;= 22, S2002=9), "SOWING",AND(N2002&lt;= 28, S2002=9), "COVERAGE",AND(N2002&lt;= 30, S2002=9), "FLUSH",AND(N2002&lt;= 11, S2002=10), "FLUSH",AND(N2002&lt;= 21, S2002=10), "PRODUCTION")</f>
        <v>FLUSH</v>
      </c>
      <c r="U2002">
        <f>HOUR(datos_siembra[[#This Row],[Hour]])</f>
        <v>15</v>
      </c>
      <c r="V2002" cm="1">
        <f t="array" ref="V2002">_xlfn.IFS(AND(N2002&lt;= 22, S2002=9), N2002-7,AND(N2002&lt;= 28, S2002=9), N2002-25,AND(N2002&lt;= 30, S2002=9), N2002-28,AND(N2002&lt;= 11, S2002=10), N2002+2,AND(N2002&lt;= 21, S2002=10), N2002-11)</f>
        <v>2</v>
      </c>
    </row>
    <row r="2003" spans="1:22" x14ac:dyDescent="0.35">
      <c r="A2003" s="4">
        <v>45565</v>
      </c>
      <c r="B2003" s="5">
        <v>0.64256944444444442</v>
      </c>
      <c r="C2003">
        <v>78.400000000000006</v>
      </c>
      <c r="D2003">
        <v>76.8</v>
      </c>
      <c r="E2003">
        <v>77.7</v>
      </c>
      <c r="F2003">
        <v>75.2</v>
      </c>
      <c r="G2003">
        <v>0</v>
      </c>
      <c r="H2003">
        <v>0</v>
      </c>
      <c r="I2003">
        <v>0</v>
      </c>
      <c r="J2003">
        <v>0</v>
      </c>
      <c r="K2003">
        <v>65.599999999999994</v>
      </c>
      <c r="L2003">
        <v>65.8</v>
      </c>
      <c r="M2003">
        <v>77.03</v>
      </c>
      <c r="N2003">
        <v>30</v>
      </c>
      <c r="O2003">
        <v>6</v>
      </c>
      <c r="P2003">
        <f>MOD(DAY(datos_siembra[[#This Row],[Date]]),7)</f>
        <v>2</v>
      </c>
      <c r="Q2003" t="str">
        <f>CHOOSE(WEEKDAY(datos_siembra[[#This Row],[Date]],2),"L","M","X","J","V","S","D")</f>
        <v>L</v>
      </c>
      <c r="R2003">
        <f>WEEKNUM(datos_siembra[[#This Row],[Date]],2)-WEEKNUM(DATE(YEAR(datos_siembra[[#This Row],[Date]]),MONTH(datos_siembra[[#This Row],[Date]]),1))+1</f>
        <v>5</v>
      </c>
      <c r="S2003">
        <f>MONTH(datos_siembra[[#This Row],[Date]])</f>
        <v>9</v>
      </c>
      <c r="T2003" t="str" cm="1">
        <f t="array" ref="T2003">_xlfn.IFS(AND(N2003&lt;= 22, S2003=9), "SOWING",AND(N2003&lt;= 28, S2003=9), "COVERAGE",AND(N2003&lt;= 30, S2003=9), "FLUSH",AND(N2003&lt;= 11, S2003=10), "FLUSH",AND(N2003&lt;= 21, S2003=10), "PRODUCTION")</f>
        <v>FLUSH</v>
      </c>
      <c r="U2003">
        <f>HOUR(datos_siembra[[#This Row],[Hour]])</f>
        <v>15</v>
      </c>
      <c r="V2003" cm="1">
        <f t="array" ref="V2003">_xlfn.IFS(AND(N2003&lt;= 22, S2003=9), N2003-7,AND(N2003&lt;= 28, S2003=9), N2003-25,AND(N2003&lt;= 30, S2003=9), N2003-28,AND(N2003&lt;= 11, S2003=10), N2003+2,AND(N2003&lt;= 21, S2003=10), N2003-11)</f>
        <v>2</v>
      </c>
    </row>
    <row r="2004" spans="1:22" x14ac:dyDescent="0.35">
      <c r="A2004" s="4">
        <v>45565</v>
      </c>
      <c r="B2004" s="5">
        <v>0.64951388888888884</v>
      </c>
      <c r="C2004">
        <v>78.599999999999994</v>
      </c>
      <c r="D2004">
        <v>76.7</v>
      </c>
      <c r="E2004">
        <v>77.7</v>
      </c>
      <c r="F2004">
        <v>75.3</v>
      </c>
      <c r="G2004">
        <v>0</v>
      </c>
      <c r="H2004">
        <v>0</v>
      </c>
      <c r="I2004">
        <v>0</v>
      </c>
      <c r="J2004">
        <v>0</v>
      </c>
      <c r="K2004">
        <v>66.5</v>
      </c>
      <c r="L2004">
        <v>66.400000000000006</v>
      </c>
      <c r="M2004">
        <v>76.97</v>
      </c>
      <c r="N2004">
        <v>30</v>
      </c>
      <c r="O2004">
        <v>6</v>
      </c>
      <c r="P2004">
        <f>MOD(DAY(datos_siembra[[#This Row],[Date]]),7)</f>
        <v>2</v>
      </c>
      <c r="Q2004" t="str">
        <f>CHOOSE(WEEKDAY(datos_siembra[[#This Row],[Date]],2),"L","M","X","J","V","S","D")</f>
        <v>L</v>
      </c>
      <c r="R2004">
        <f>WEEKNUM(datos_siembra[[#This Row],[Date]],2)-WEEKNUM(DATE(YEAR(datos_siembra[[#This Row],[Date]]),MONTH(datos_siembra[[#This Row],[Date]]),1))+1</f>
        <v>5</v>
      </c>
      <c r="S2004">
        <f>MONTH(datos_siembra[[#This Row],[Date]])</f>
        <v>9</v>
      </c>
      <c r="T2004" t="str" cm="1">
        <f t="array" ref="T2004">_xlfn.IFS(AND(N2004&lt;= 22, S2004=9), "SOWING",AND(N2004&lt;= 28, S2004=9), "COVERAGE",AND(N2004&lt;= 30, S2004=9), "FLUSH",AND(N2004&lt;= 11, S2004=10), "FLUSH",AND(N2004&lt;= 21, S2004=10), "PRODUCTION")</f>
        <v>FLUSH</v>
      </c>
      <c r="U2004">
        <f>HOUR(datos_siembra[[#This Row],[Hour]])</f>
        <v>15</v>
      </c>
      <c r="V2004" cm="1">
        <f t="array" ref="V2004">_xlfn.IFS(AND(N2004&lt;= 22, S2004=9), N2004-7,AND(N2004&lt;= 28, S2004=9), N2004-25,AND(N2004&lt;= 30, S2004=9), N2004-28,AND(N2004&lt;= 11, S2004=10), N2004+2,AND(N2004&lt;= 21, S2004=10), N2004-11)</f>
        <v>2</v>
      </c>
    </row>
    <row r="2005" spans="1:22" x14ac:dyDescent="0.35">
      <c r="A2005" s="4">
        <v>45565</v>
      </c>
      <c r="B2005" s="5">
        <v>0.65645833333333337</v>
      </c>
      <c r="C2005">
        <v>78.400000000000006</v>
      </c>
      <c r="D2005">
        <v>76.7</v>
      </c>
      <c r="E2005">
        <v>77.7</v>
      </c>
      <c r="F2005">
        <v>75.099999999999994</v>
      </c>
      <c r="G2005">
        <v>0</v>
      </c>
      <c r="H2005">
        <v>0</v>
      </c>
      <c r="I2005">
        <v>0</v>
      </c>
      <c r="J2005">
        <v>0</v>
      </c>
      <c r="K2005">
        <v>66.8</v>
      </c>
      <c r="L2005">
        <v>66.599999999999994</v>
      </c>
      <c r="M2005">
        <v>76.97</v>
      </c>
      <c r="N2005">
        <v>30</v>
      </c>
      <c r="O2005">
        <v>6</v>
      </c>
      <c r="P2005">
        <f>MOD(DAY(datos_siembra[[#This Row],[Date]]),7)</f>
        <v>2</v>
      </c>
      <c r="Q2005" t="str">
        <f>CHOOSE(WEEKDAY(datos_siembra[[#This Row],[Date]],2),"L","M","X","J","V","S","D")</f>
        <v>L</v>
      </c>
      <c r="R2005">
        <f>WEEKNUM(datos_siembra[[#This Row],[Date]],2)-WEEKNUM(DATE(YEAR(datos_siembra[[#This Row],[Date]]),MONTH(datos_siembra[[#This Row],[Date]]),1))+1</f>
        <v>5</v>
      </c>
      <c r="S2005">
        <f>MONTH(datos_siembra[[#This Row],[Date]])</f>
        <v>9</v>
      </c>
      <c r="T2005" t="str" cm="1">
        <f t="array" ref="T2005">_xlfn.IFS(AND(N2005&lt;= 22, S2005=9), "SOWING",AND(N2005&lt;= 28, S2005=9), "COVERAGE",AND(N2005&lt;= 30, S2005=9), "FLUSH",AND(N2005&lt;= 11, S2005=10), "FLUSH",AND(N2005&lt;= 21, S2005=10), "PRODUCTION")</f>
        <v>FLUSH</v>
      </c>
      <c r="U2005">
        <f>HOUR(datos_siembra[[#This Row],[Hour]])</f>
        <v>15</v>
      </c>
      <c r="V2005" cm="1">
        <f t="array" ref="V2005">_xlfn.IFS(AND(N2005&lt;= 22, S2005=9), N2005-7,AND(N2005&lt;= 28, S2005=9), N2005-25,AND(N2005&lt;= 30, S2005=9), N2005-28,AND(N2005&lt;= 11, S2005=10), N2005+2,AND(N2005&lt;= 21, S2005=10), N2005-11)</f>
        <v>2</v>
      </c>
    </row>
    <row r="2006" spans="1:22" x14ac:dyDescent="0.35">
      <c r="A2006" s="4">
        <v>45565</v>
      </c>
      <c r="B2006" s="5">
        <v>0.66341435185185182</v>
      </c>
      <c r="C2006">
        <v>78.5</v>
      </c>
      <c r="D2006">
        <v>76.7</v>
      </c>
      <c r="E2006">
        <v>77.599999999999994</v>
      </c>
      <c r="F2006">
        <v>75</v>
      </c>
      <c r="G2006">
        <v>0</v>
      </c>
      <c r="H2006">
        <v>0</v>
      </c>
      <c r="I2006">
        <v>0</v>
      </c>
      <c r="J2006">
        <v>0</v>
      </c>
      <c r="K2006">
        <v>67</v>
      </c>
      <c r="L2006">
        <v>66.8</v>
      </c>
      <c r="M2006">
        <v>76.92</v>
      </c>
      <c r="N2006">
        <v>30</v>
      </c>
      <c r="O2006">
        <v>6</v>
      </c>
      <c r="P2006">
        <f>MOD(DAY(datos_siembra[[#This Row],[Date]]),7)</f>
        <v>2</v>
      </c>
      <c r="Q2006" t="str">
        <f>CHOOSE(WEEKDAY(datos_siembra[[#This Row],[Date]],2),"L","M","X","J","V","S","D")</f>
        <v>L</v>
      </c>
      <c r="R2006">
        <f>WEEKNUM(datos_siembra[[#This Row],[Date]],2)-WEEKNUM(DATE(YEAR(datos_siembra[[#This Row],[Date]]),MONTH(datos_siembra[[#This Row],[Date]]),1))+1</f>
        <v>5</v>
      </c>
      <c r="S2006">
        <f>MONTH(datos_siembra[[#This Row],[Date]])</f>
        <v>9</v>
      </c>
      <c r="T2006" t="str" cm="1">
        <f t="array" ref="T2006">_xlfn.IFS(AND(N2006&lt;= 22, S2006=9), "SOWING",AND(N2006&lt;= 28, S2006=9), "COVERAGE",AND(N2006&lt;= 30, S2006=9), "FLUSH",AND(N2006&lt;= 11, S2006=10), "FLUSH",AND(N2006&lt;= 21, S2006=10), "PRODUCTION")</f>
        <v>FLUSH</v>
      </c>
      <c r="U2006">
        <f>HOUR(datos_siembra[[#This Row],[Hour]])</f>
        <v>15</v>
      </c>
      <c r="V2006" cm="1">
        <f t="array" ref="V2006">_xlfn.IFS(AND(N2006&lt;= 22, S2006=9), N2006-7,AND(N2006&lt;= 28, S2006=9), N2006-25,AND(N2006&lt;= 30, S2006=9), N2006-28,AND(N2006&lt;= 11, S2006=10), N2006+2,AND(N2006&lt;= 21, S2006=10), N2006-11)</f>
        <v>2</v>
      </c>
    </row>
    <row r="2007" spans="1:22" x14ac:dyDescent="0.35">
      <c r="A2007" s="4">
        <v>45565</v>
      </c>
      <c r="B2007" s="5">
        <v>0.67035879629629624</v>
      </c>
      <c r="C2007">
        <v>78.2</v>
      </c>
      <c r="D2007">
        <v>76.8</v>
      </c>
      <c r="E2007">
        <v>77.599999999999994</v>
      </c>
      <c r="F2007">
        <v>75.099999999999994</v>
      </c>
      <c r="G2007">
        <v>0</v>
      </c>
      <c r="H2007">
        <v>0</v>
      </c>
      <c r="I2007">
        <v>0</v>
      </c>
      <c r="J2007">
        <v>0</v>
      </c>
      <c r="K2007">
        <v>67.2</v>
      </c>
      <c r="L2007">
        <v>66.900000000000006</v>
      </c>
      <c r="M2007">
        <v>76.92</v>
      </c>
      <c r="N2007">
        <v>30</v>
      </c>
      <c r="O2007">
        <v>6</v>
      </c>
      <c r="P2007">
        <f>MOD(DAY(datos_siembra[[#This Row],[Date]]),7)</f>
        <v>2</v>
      </c>
      <c r="Q2007" t="str">
        <f>CHOOSE(WEEKDAY(datos_siembra[[#This Row],[Date]],2),"L","M","X","J","V","S","D")</f>
        <v>L</v>
      </c>
      <c r="R2007">
        <f>WEEKNUM(datos_siembra[[#This Row],[Date]],2)-WEEKNUM(DATE(YEAR(datos_siembra[[#This Row],[Date]]),MONTH(datos_siembra[[#This Row],[Date]]),1))+1</f>
        <v>5</v>
      </c>
      <c r="S2007">
        <f>MONTH(datos_siembra[[#This Row],[Date]])</f>
        <v>9</v>
      </c>
      <c r="T2007" t="str" cm="1">
        <f t="array" ref="T2007">_xlfn.IFS(AND(N2007&lt;= 22, S2007=9), "SOWING",AND(N2007&lt;= 28, S2007=9), "COVERAGE",AND(N2007&lt;= 30, S2007=9), "FLUSH",AND(N2007&lt;= 11, S2007=10), "FLUSH",AND(N2007&lt;= 21, S2007=10), "PRODUCTION")</f>
        <v>FLUSH</v>
      </c>
      <c r="U2007">
        <f>HOUR(datos_siembra[[#This Row],[Hour]])</f>
        <v>16</v>
      </c>
      <c r="V2007" cm="1">
        <f t="array" ref="V2007">_xlfn.IFS(AND(N2007&lt;= 22, S2007=9), N2007-7,AND(N2007&lt;= 28, S2007=9), N2007-25,AND(N2007&lt;= 30, S2007=9), N2007-28,AND(N2007&lt;= 11, S2007=10), N2007+2,AND(N2007&lt;= 21, S2007=10), N2007-11)</f>
        <v>2</v>
      </c>
    </row>
    <row r="2008" spans="1:22" x14ac:dyDescent="0.35">
      <c r="A2008" s="4">
        <v>45565</v>
      </c>
      <c r="B2008" s="5">
        <v>0.67730324074074078</v>
      </c>
      <c r="C2008">
        <v>78.5</v>
      </c>
      <c r="D2008">
        <v>76.599999999999994</v>
      </c>
      <c r="E2008">
        <v>77.5</v>
      </c>
      <c r="F2008">
        <v>75.099999999999994</v>
      </c>
      <c r="G2008">
        <v>0</v>
      </c>
      <c r="H2008">
        <v>0</v>
      </c>
      <c r="I2008">
        <v>0</v>
      </c>
      <c r="J2008">
        <v>0</v>
      </c>
      <c r="K2008">
        <v>67.2</v>
      </c>
      <c r="L2008">
        <v>67.099999999999994</v>
      </c>
      <c r="M2008">
        <v>76.86</v>
      </c>
      <c r="N2008">
        <v>30</v>
      </c>
      <c r="O2008">
        <v>6</v>
      </c>
      <c r="P2008">
        <f>MOD(DAY(datos_siembra[[#This Row],[Date]]),7)</f>
        <v>2</v>
      </c>
      <c r="Q2008" t="str">
        <f>CHOOSE(WEEKDAY(datos_siembra[[#This Row],[Date]],2),"L","M","X","J","V","S","D")</f>
        <v>L</v>
      </c>
      <c r="R2008">
        <f>WEEKNUM(datos_siembra[[#This Row],[Date]],2)-WEEKNUM(DATE(YEAR(datos_siembra[[#This Row],[Date]]),MONTH(datos_siembra[[#This Row],[Date]]),1))+1</f>
        <v>5</v>
      </c>
      <c r="S2008">
        <f>MONTH(datos_siembra[[#This Row],[Date]])</f>
        <v>9</v>
      </c>
      <c r="T2008" t="str" cm="1">
        <f t="array" ref="T2008">_xlfn.IFS(AND(N2008&lt;= 22, S2008=9), "SOWING",AND(N2008&lt;= 28, S2008=9), "COVERAGE",AND(N2008&lt;= 30, S2008=9), "FLUSH",AND(N2008&lt;= 11, S2008=10), "FLUSH",AND(N2008&lt;= 21, S2008=10), "PRODUCTION")</f>
        <v>FLUSH</v>
      </c>
      <c r="U2008">
        <f>HOUR(datos_siembra[[#This Row],[Hour]])</f>
        <v>16</v>
      </c>
      <c r="V2008" cm="1">
        <f t="array" ref="V2008">_xlfn.IFS(AND(N2008&lt;= 22, S2008=9), N2008-7,AND(N2008&lt;= 28, S2008=9), N2008-25,AND(N2008&lt;= 30, S2008=9), N2008-28,AND(N2008&lt;= 11, S2008=10), N2008+2,AND(N2008&lt;= 21, S2008=10), N2008-11)</f>
        <v>2</v>
      </c>
    </row>
    <row r="2009" spans="1:22" x14ac:dyDescent="0.35">
      <c r="A2009" s="4">
        <v>45565</v>
      </c>
      <c r="B2009" s="5">
        <v>0.68425925925925923</v>
      </c>
      <c r="C2009">
        <v>78.2</v>
      </c>
      <c r="D2009">
        <v>76.599999999999994</v>
      </c>
      <c r="E2009">
        <v>77.599999999999994</v>
      </c>
      <c r="F2009">
        <v>74.8</v>
      </c>
      <c r="G2009">
        <v>0</v>
      </c>
      <c r="H2009">
        <v>0</v>
      </c>
      <c r="I2009">
        <v>0</v>
      </c>
      <c r="J2009">
        <v>0</v>
      </c>
      <c r="K2009">
        <v>67.400000000000006</v>
      </c>
      <c r="L2009">
        <v>67.2</v>
      </c>
      <c r="M2009">
        <v>76.83</v>
      </c>
      <c r="N2009">
        <v>30</v>
      </c>
      <c r="O2009">
        <v>6</v>
      </c>
      <c r="P2009">
        <f>MOD(DAY(datos_siembra[[#This Row],[Date]]),7)</f>
        <v>2</v>
      </c>
      <c r="Q2009" t="str">
        <f>CHOOSE(WEEKDAY(datos_siembra[[#This Row],[Date]],2),"L","M","X","J","V","S","D")</f>
        <v>L</v>
      </c>
      <c r="R2009">
        <f>WEEKNUM(datos_siembra[[#This Row],[Date]],2)-WEEKNUM(DATE(YEAR(datos_siembra[[#This Row],[Date]]),MONTH(datos_siembra[[#This Row],[Date]]),1))+1</f>
        <v>5</v>
      </c>
      <c r="S2009">
        <f>MONTH(datos_siembra[[#This Row],[Date]])</f>
        <v>9</v>
      </c>
      <c r="T2009" t="str" cm="1">
        <f t="array" ref="T2009">_xlfn.IFS(AND(N2009&lt;= 22, S2009=9), "SOWING",AND(N2009&lt;= 28, S2009=9), "COVERAGE",AND(N2009&lt;= 30, S2009=9), "FLUSH",AND(N2009&lt;= 11, S2009=10), "FLUSH",AND(N2009&lt;= 21, S2009=10), "PRODUCTION")</f>
        <v>FLUSH</v>
      </c>
      <c r="U2009">
        <f>HOUR(datos_siembra[[#This Row],[Hour]])</f>
        <v>16</v>
      </c>
      <c r="V2009" cm="1">
        <f t="array" ref="V2009">_xlfn.IFS(AND(N2009&lt;= 22, S2009=9), N2009-7,AND(N2009&lt;= 28, S2009=9), N2009-25,AND(N2009&lt;= 30, S2009=9), N2009-28,AND(N2009&lt;= 11, S2009=10), N2009+2,AND(N2009&lt;= 21, S2009=10), N2009-11)</f>
        <v>2</v>
      </c>
    </row>
    <row r="2010" spans="1:22" x14ac:dyDescent="0.35">
      <c r="A2010" s="4">
        <v>45565</v>
      </c>
      <c r="B2010" s="5">
        <v>0.69120370370370365</v>
      </c>
      <c r="C2010">
        <v>78.400000000000006</v>
      </c>
      <c r="D2010">
        <v>76.599999999999994</v>
      </c>
      <c r="E2010">
        <v>77.599999999999994</v>
      </c>
      <c r="F2010">
        <v>74.900000000000006</v>
      </c>
      <c r="G2010">
        <v>0</v>
      </c>
      <c r="H2010">
        <v>0</v>
      </c>
      <c r="I2010">
        <v>0</v>
      </c>
      <c r="J2010">
        <v>0</v>
      </c>
      <c r="K2010">
        <v>66.900000000000006</v>
      </c>
      <c r="L2010">
        <v>66.8</v>
      </c>
      <c r="M2010">
        <v>76.8</v>
      </c>
      <c r="N2010">
        <v>30</v>
      </c>
      <c r="O2010">
        <v>6</v>
      </c>
      <c r="P2010">
        <f>MOD(DAY(datos_siembra[[#This Row],[Date]]),7)</f>
        <v>2</v>
      </c>
      <c r="Q2010" t="str">
        <f>CHOOSE(WEEKDAY(datos_siembra[[#This Row],[Date]],2),"L","M","X","J","V","S","D")</f>
        <v>L</v>
      </c>
      <c r="R2010">
        <f>WEEKNUM(datos_siembra[[#This Row],[Date]],2)-WEEKNUM(DATE(YEAR(datos_siembra[[#This Row],[Date]]),MONTH(datos_siembra[[#This Row],[Date]]),1))+1</f>
        <v>5</v>
      </c>
      <c r="S2010">
        <f>MONTH(datos_siembra[[#This Row],[Date]])</f>
        <v>9</v>
      </c>
      <c r="T2010" t="str" cm="1">
        <f t="array" ref="T2010">_xlfn.IFS(AND(N2010&lt;= 22, S2010=9), "SOWING",AND(N2010&lt;= 28, S2010=9), "COVERAGE",AND(N2010&lt;= 30, S2010=9), "FLUSH",AND(N2010&lt;= 11, S2010=10), "FLUSH",AND(N2010&lt;= 21, S2010=10), "PRODUCTION")</f>
        <v>FLUSH</v>
      </c>
      <c r="U2010">
        <f>HOUR(datos_siembra[[#This Row],[Hour]])</f>
        <v>16</v>
      </c>
      <c r="V2010" cm="1">
        <f t="array" ref="V2010">_xlfn.IFS(AND(N2010&lt;= 22, S2010=9), N2010-7,AND(N2010&lt;= 28, S2010=9), N2010-25,AND(N2010&lt;= 30, S2010=9), N2010-28,AND(N2010&lt;= 11, S2010=10), N2010+2,AND(N2010&lt;= 21, S2010=10), N2010-11)</f>
        <v>2</v>
      </c>
    </row>
    <row r="2011" spans="1:22" x14ac:dyDescent="0.35">
      <c r="A2011" s="4">
        <v>45565</v>
      </c>
      <c r="B2011" s="5">
        <v>0.69814814814814818</v>
      </c>
      <c r="C2011">
        <v>78.2</v>
      </c>
      <c r="D2011">
        <v>76.7</v>
      </c>
      <c r="E2011">
        <v>77.5</v>
      </c>
      <c r="F2011">
        <v>75</v>
      </c>
      <c r="G2011">
        <v>0</v>
      </c>
      <c r="H2011">
        <v>0</v>
      </c>
      <c r="I2011">
        <v>0</v>
      </c>
      <c r="J2011">
        <v>0</v>
      </c>
      <c r="K2011">
        <v>66.3</v>
      </c>
      <c r="L2011">
        <v>66.3</v>
      </c>
      <c r="M2011">
        <v>76.83</v>
      </c>
      <c r="N2011">
        <v>30</v>
      </c>
      <c r="O2011">
        <v>6</v>
      </c>
      <c r="P2011">
        <f>MOD(DAY(datos_siembra[[#This Row],[Date]]),7)</f>
        <v>2</v>
      </c>
      <c r="Q2011" t="str">
        <f>CHOOSE(WEEKDAY(datos_siembra[[#This Row],[Date]],2),"L","M","X","J","V","S","D")</f>
        <v>L</v>
      </c>
      <c r="R2011">
        <f>WEEKNUM(datos_siembra[[#This Row],[Date]],2)-WEEKNUM(DATE(YEAR(datos_siembra[[#This Row],[Date]]),MONTH(datos_siembra[[#This Row],[Date]]),1))+1</f>
        <v>5</v>
      </c>
      <c r="S2011">
        <f>MONTH(datos_siembra[[#This Row],[Date]])</f>
        <v>9</v>
      </c>
      <c r="T2011" t="str" cm="1">
        <f t="array" ref="T2011">_xlfn.IFS(AND(N2011&lt;= 22, S2011=9), "SOWING",AND(N2011&lt;= 28, S2011=9), "COVERAGE",AND(N2011&lt;= 30, S2011=9), "FLUSH",AND(N2011&lt;= 11, S2011=10), "FLUSH",AND(N2011&lt;= 21, S2011=10), "PRODUCTION")</f>
        <v>FLUSH</v>
      </c>
      <c r="U2011">
        <f>HOUR(datos_siembra[[#This Row],[Hour]])</f>
        <v>16</v>
      </c>
      <c r="V2011" cm="1">
        <f t="array" ref="V2011">_xlfn.IFS(AND(N2011&lt;= 22, S2011=9), N2011-7,AND(N2011&lt;= 28, S2011=9), N2011-25,AND(N2011&lt;= 30, S2011=9), N2011-28,AND(N2011&lt;= 11, S2011=10), N2011+2,AND(N2011&lt;= 21, S2011=10), N2011-11)</f>
        <v>2</v>
      </c>
    </row>
    <row r="2012" spans="1:22" x14ac:dyDescent="0.35">
      <c r="A2012" s="4">
        <v>45565</v>
      </c>
      <c r="B2012" s="5">
        <v>0.7050925925925926</v>
      </c>
      <c r="C2012">
        <v>78.2</v>
      </c>
      <c r="D2012">
        <v>76.599999999999994</v>
      </c>
      <c r="E2012">
        <v>77.3</v>
      </c>
      <c r="F2012">
        <v>74.599999999999994</v>
      </c>
      <c r="G2012">
        <v>0</v>
      </c>
      <c r="H2012">
        <v>0</v>
      </c>
      <c r="I2012">
        <v>0</v>
      </c>
      <c r="J2012">
        <v>0</v>
      </c>
      <c r="K2012">
        <v>66.099999999999994</v>
      </c>
      <c r="L2012">
        <v>66.2</v>
      </c>
      <c r="M2012">
        <v>76.69</v>
      </c>
      <c r="N2012">
        <v>30</v>
      </c>
      <c r="O2012">
        <v>6</v>
      </c>
      <c r="P2012">
        <f>MOD(DAY(datos_siembra[[#This Row],[Date]]),7)</f>
        <v>2</v>
      </c>
      <c r="Q2012" t="str">
        <f>CHOOSE(WEEKDAY(datos_siembra[[#This Row],[Date]],2),"L","M","X","J","V","S","D")</f>
        <v>L</v>
      </c>
      <c r="R2012">
        <f>WEEKNUM(datos_siembra[[#This Row],[Date]],2)-WEEKNUM(DATE(YEAR(datos_siembra[[#This Row],[Date]]),MONTH(datos_siembra[[#This Row],[Date]]),1))+1</f>
        <v>5</v>
      </c>
      <c r="S2012">
        <f>MONTH(datos_siembra[[#This Row],[Date]])</f>
        <v>9</v>
      </c>
      <c r="T2012" t="str" cm="1">
        <f t="array" ref="T2012">_xlfn.IFS(AND(N2012&lt;= 22, S2012=9), "SOWING",AND(N2012&lt;= 28, S2012=9), "COVERAGE",AND(N2012&lt;= 30, S2012=9), "FLUSH",AND(N2012&lt;= 11, S2012=10), "FLUSH",AND(N2012&lt;= 21, S2012=10), "PRODUCTION")</f>
        <v>FLUSH</v>
      </c>
      <c r="U2012">
        <f>HOUR(datos_siembra[[#This Row],[Hour]])</f>
        <v>16</v>
      </c>
      <c r="V2012" cm="1">
        <f t="array" ref="V2012">_xlfn.IFS(AND(N2012&lt;= 22, S2012=9), N2012-7,AND(N2012&lt;= 28, S2012=9), N2012-25,AND(N2012&lt;= 30, S2012=9), N2012-28,AND(N2012&lt;= 11, S2012=10), N2012+2,AND(N2012&lt;= 21, S2012=10), N2012-11)</f>
        <v>2</v>
      </c>
    </row>
    <row r="2013" spans="1:22" x14ac:dyDescent="0.35">
      <c r="A2013" s="4">
        <v>45565</v>
      </c>
      <c r="B2013" s="5">
        <v>0.71204861111111106</v>
      </c>
      <c r="C2013">
        <v>78.099999999999994</v>
      </c>
      <c r="D2013">
        <v>76.599999999999994</v>
      </c>
      <c r="E2013">
        <v>77.5</v>
      </c>
      <c r="F2013">
        <v>74.599999999999994</v>
      </c>
      <c r="G2013">
        <v>0</v>
      </c>
      <c r="H2013">
        <v>0</v>
      </c>
      <c r="I2013">
        <v>0</v>
      </c>
      <c r="J2013">
        <v>0</v>
      </c>
      <c r="K2013">
        <v>66</v>
      </c>
      <c r="L2013">
        <v>66</v>
      </c>
      <c r="M2013">
        <v>76.69</v>
      </c>
      <c r="N2013">
        <v>30</v>
      </c>
      <c r="O2013">
        <v>6</v>
      </c>
      <c r="P2013">
        <f>MOD(DAY(datos_siembra[[#This Row],[Date]]),7)</f>
        <v>2</v>
      </c>
      <c r="Q2013" t="str">
        <f>CHOOSE(WEEKDAY(datos_siembra[[#This Row],[Date]],2),"L","M","X","J","V","S","D")</f>
        <v>L</v>
      </c>
      <c r="R2013">
        <f>WEEKNUM(datos_siembra[[#This Row],[Date]],2)-WEEKNUM(DATE(YEAR(datos_siembra[[#This Row],[Date]]),MONTH(datos_siembra[[#This Row],[Date]]),1))+1</f>
        <v>5</v>
      </c>
      <c r="S2013">
        <f>MONTH(datos_siembra[[#This Row],[Date]])</f>
        <v>9</v>
      </c>
      <c r="T2013" t="str" cm="1">
        <f t="array" ref="T2013">_xlfn.IFS(AND(N2013&lt;= 22, S2013=9), "SOWING",AND(N2013&lt;= 28, S2013=9), "COVERAGE",AND(N2013&lt;= 30, S2013=9), "FLUSH",AND(N2013&lt;= 11, S2013=10), "FLUSH",AND(N2013&lt;= 21, S2013=10), "PRODUCTION")</f>
        <v>FLUSH</v>
      </c>
      <c r="U2013">
        <f>HOUR(datos_siembra[[#This Row],[Hour]])</f>
        <v>17</v>
      </c>
      <c r="V2013" cm="1">
        <f t="array" ref="V2013">_xlfn.IFS(AND(N2013&lt;= 22, S2013=9), N2013-7,AND(N2013&lt;= 28, S2013=9), N2013-25,AND(N2013&lt;= 30, S2013=9), N2013-28,AND(N2013&lt;= 11, S2013=10), N2013+2,AND(N2013&lt;= 21, S2013=10), N2013-11)</f>
        <v>2</v>
      </c>
    </row>
    <row r="2014" spans="1:22" x14ac:dyDescent="0.35">
      <c r="A2014" s="4">
        <v>45565</v>
      </c>
      <c r="B2014" s="5">
        <v>0.71899305555555559</v>
      </c>
      <c r="C2014">
        <v>78.099999999999994</v>
      </c>
      <c r="D2014">
        <v>76.599999999999994</v>
      </c>
      <c r="E2014">
        <v>77.3</v>
      </c>
      <c r="F2014">
        <v>74.599999999999994</v>
      </c>
      <c r="G2014">
        <v>0</v>
      </c>
      <c r="H2014">
        <v>0</v>
      </c>
      <c r="I2014">
        <v>0</v>
      </c>
      <c r="J2014">
        <v>0</v>
      </c>
      <c r="K2014">
        <v>65.900000000000006</v>
      </c>
      <c r="L2014">
        <v>66</v>
      </c>
      <c r="M2014">
        <v>76.72</v>
      </c>
      <c r="N2014">
        <v>30</v>
      </c>
      <c r="O2014">
        <v>6</v>
      </c>
      <c r="P2014">
        <f>MOD(DAY(datos_siembra[[#This Row],[Date]]),7)</f>
        <v>2</v>
      </c>
      <c r="Q2014" t="str">
        <f>CHOOSE(WEEKDAY(datos_siembra[[#This Row],[Date]],2),"L","M","X","J","V","S","D")</f>
        <v>L</v>
      </c>
      <c r="R2014">
        <f>WEEKNUM(datos_siembra[[#This Row],[Date]],2)-WEEKNUM(DATE(YEAR(datos_siembra[[#This Row],[Date]]),MONTH(datos_siembra[[#This Row],[Date]]),1))+1</f>
        <v>5</v>
      </c>
      <c r="S2014">
        <f>MONTH(datos_siembra[[#This Row],[Date]])</f>
        <v>9</v>
      </c>
      <c r="T2014" t="str" cm="1">
        <f t="array" ref="T2014">_xlfn.IFS(AND(N2014&lt;= 22, S2014=9), "SOWING",AND(N2014&lt;= 28, S2014=9), "COVERAGE",AND(N2014&lt;= 30, S2014=9), "FLUSH",AND(N2014&lt;= 11, S2014=10), "FLUSH",AND(N2014&lt;= 21, S2014=10), "PRODUCTION")</f>
        <v>FLUSH</v>
      </c>
      <c r="U2014">
        <f>HOUR(datos_siembra[[#This Row],[Hour]])</f>
        <v>17</v>
      </c>
      <c r="V2014" cm="1">
        <f t="array" ref="V2014">_xlfn.IFS(AND(N2014&lt;= 22, S2014=9), N2014-7,AND(N2014&lt;= 28, S2014=9), N2014-25,AND(N2014&lt;= 30, S2014=9), N2014-28,AND(N2014&lt;= 11, S2014=10), N2014+2,AND(N2014&lt;= 21, S2014=10), N2014-11)</f>
        <v>2</v>
      </c>
    </row>
    <row r="2015" spans="1:22" x14ac:dyDescent="0.35">
      <c r="A2015" s="4">
        <v>45565</v>
      </c>
      <c r="B2015" s="5">
        <v>0.72593750000000001</v>
      </c>
      <c r="C2015">
        <v>78.400000000000006</v>
      </c>
      <c r="D2015">
        <v>76.400000000000006</v>
      </c>
      <c r="E2015">
        <v>77.2</v>
      </c>
      <c r="F2015">
        <v>74.599999999999994</v>
      </c>
      <c r="G2015">
        <v>0</v>
      </c>
      <c r="H2015">
        <v>0</v>
      </c>
      <c r="I2015">
        <v>0</v>
      </c>
      <c r="J2015">
        <v>0</v>
      </c>
      <c r="K2015">
        <v>66</v>
      </c>
      <c r="L2015">
        <v>66</v>
      </c>
      <c r="M2015">
        <v>76.58</v>
      </c>
      <c r="N2015">
        <v>30</v>
      </c>
      <c r="O2015">
        <v>6</v>
      </c>
      <c r="P2015">
        <f>MOD(DAY(datos_siembra[[#This Row],[Date]]),7)</f>
        <v>2</v>
      </c>
      <c r="Q2015" t="str">
        <f>CHOOSE(WEEKDAY(datos_siembra[[#This Row],[Date]],2),"L","M","X","J","V","S","D")</f>
        <v>L</v>
      </c>
      <c r="R2015">
        <f>WEEKNUM(datos_siembra[[#This Row],[Date]],2)-WEEKNUM(DATE(YEAR(datos_siembra[[#This Row],[Date]]),MONTH(datos_siembra[[#This Row],[Date]]),1))+1</f>
        <v>5</v>
      </c>
      <c r="S2015">
        <f>MONTH(datos_siembra[[#This Row],[Date]])</f>
        <v>9</v>
      </c>
      <c r="T2015" t="str" cm="1">
        <f t="array" ref="T2015">_xlfn.IFS(AND(N2015&lt;= 22, S2015=9), "SOWING",AND(N2015&lt;= 28, S2015=9), "COVERAGE",AND(N2015&lt;= 30, S2015=9), "FLUSH",AND(N2015&lt;= 11, S2015=10), "FLUSH",AND(N2015&lt;= 21, S2015=10), "PRODUCTION")</f>
        <v>FLUSH</v>
      </c>
      <c r="U2015">
        <f>HOUR(datos_siembra[[#This Row],[Hour]])</f>
        <v>17</v>
      </c>
      <c r="V2015" cm="1">
        <f t="array" ref="V2015">_xlfn.IFS(AND(N2015&lt;= 22, S2015=9), N2015-7,AND(N2015&lt;= 28, S2015=9), N2015-25,AND(N2015&lt;= 30, S2015=9), N2015-28,AND(N2015&lt;= 11, S2015=10), N2015+2,AND(N2015&lt;= 21, S2015=10), N2015-11)</f>
        <v>2</v>
      </c>
    </row>
    <row r="2016" spans="1:22" x14ac:dyDescent="0.35">
      <c r="A2016" s="4">
        <v>45565</v>
      </c>
      <c r="B2016" s="5">
        <v>0.73289351851851847</v>
      </c>
      <c r="C2016">
        <v>78.099999999999994</v>
      </c>
      <c r="D2016">
        <v>76.3</v>
      </c>
      <c r="E2016">
        <v>77.2</v>
      </c>
      <c r="F2016">
        <v>74.599999999999994</v>
      </c>
      <c r="G2016">
        <v>0</v>
      </c>
      <c r="H2016">
        <v>0</v>
      </c>
      <c r="I2016">
        <v>0</v>
      </c>
      <c r="J2016">
        <v>0</v>
      </c>
      <c r="K2016">
        <v>65.900000000000006</v>
      </c>
      <c r="L2016">
        <v>66</v>
      </c>
      <c r="M2016">
        <v>76.63</v>
      </c>
      <c r="N2016">
        <v>30</v>
      </c>
      <c r="O2016">
        <v>6</v>
      </c>
      <c r="P2016">
        <f>MOD(DAY(datos_siembra[[#This Row],[Date]]),7)</f>
        <v>2</v>
      </c>
      <c r="Q2016" t="str">
        <f>CHOOSE(WEEKDAY(datos_siembra[[#This Row],[Date]],2),"L","M","X","J","V","S","D")</f>
        <v>L</v>
      </c>
      <c r="R2016">
        <f>WEEKNUM(datos_siembra[[#This Row],[Date]],2)-WEEKNUM(DATE(YEAR(datos_siembra[[#This Row],[Date]]),MONTH(datos_siembra[[#This Row],[Date]]),1))+1</f>
        <v>5</v>
      </c>
      <c r="S2016">
        <f>MONTH(datos_siembra[[#This Row],[Date]])</f>
        <v>9</v>
      </c>
      <c r="T2016" t="str" cm="1">
        <f t="array" ref="T2016">_xlfn.IFS(AND(N2016&lt;= 22, S2016=9), "SOWING",AND(N2016&lt;= 28, S2016=9), "COVERAGE",AND(N2016&lt;= 30, S2016=9), "FLUSH",AND(N2016&lt;= 11, S2016=10), "FLUSH",AND(N2016&lt;= 21, S2016=10), "PRODUCTION")</f>
        <v>FLUSH</v>
      </c>
      <c r="U2016">
        <f>HOUR(datos_siembra[[#This Row],[Hour]])</f>
        <v>17</v>
      </c>
      <c r="V2016" cm="1">
        <f t="array" ref="V2016">_xlfn.IFS(AND(N2016&lt;= 22, S2016=9), N2016-7,AND(N2016&lt;= 28, S2016=9), N2016-25,AND(N2016&lt;= 30, S2016=9), N2016-28,AND(N2016&lt;= 11, S2016=10), N2016+2,AND(N2016&lt;= 21, S2016=10), N2016-11)</f>
        <v>2</v>
      </c>
    </row>
    <row r="2017" spans="1:22" x14ac:dyDescent="0.35">
      <c r="A2017" s="4">
        <v>45565</v>
      </c>
      <c r="B2017" s="5">
        <v>0.739837962962963</v>
      </c>
      <c r="C2017">
        <v>78.099999999999994</v>
      </c>
      <c r="D2017">
        <v>76.3</v>
      </c>
      <c r="E2017">
        <v>77.099999999999994</v>
      </c>
      <c r="F2017">
        <v>74.8</v>
      </c>
      <c r="G2017">
        <v>0</v>
      </c>
      <c r="H2017">
        <v>0</v>
      </c>
      <c r="I2017">
        <v>0</v>
      </c>
      <c r="J2017">
        <v>0</v>
      </c>
      <c r="K2017">
        <v>66.400000000000006</v>
      </c>
      <c r="L2017">
        <v>66.2</v>
      </c>
      <c r="M2017">
        <v>76.55</v>
      </c>
      <c r="N2017">
        <v>30</v>
      </c>
      <c r="O2017">
        <v>6</v>
      </c>
      <c r="P2017">
        <f>MOD(DAY(datos_siembra[[#This Row],[Date]]),7)</f>
        <v>2</v>
      </c>
      <c r="Q2017" t="str">
        <f>CHOOSE(WEEKDAY(datos_siembra[[#This Row],[Date]],2),"L","M","X","J","V","S","D")</f>
        <v>L</v>
      </c>
      <c r="R2017">
        <f>WEEKNUM(datos_siembra[[#This Row],[Date]],2)-WEEKNUM(DATE(YEAR(datos_siembra[[#This Row],[Date]]),MONTH(datos_siembra[[#This Row],[Date]]),1))+1</f>
        <v>5</v>
      </c>
      <c r="S2017">
        <f>MONTH(datos_siembra[[#This Row],[Date]])</f>
        <v>9</v>
      </c>
      <c r="T2017" t="str" cm="1">
        <f t="array" ref="T2017">_xlfn.IFS(AND(N2017&lt;= 22, S2017=9), "SOWING",AND(N2017&lt;= 28, S2017=9), "COVERAGE",AND(N2017&lt;= 30, S2017=9), "FLUSH",AND(N2017&lt;= 11, S2017=10), "FLUSH",AND(N2017&lt;= 21, S2017=10), "PRODUCTION")</f>
        <v>FLUSH</v>
      </c>
      <c r="U2017">
        <f>HOUR(datos_siembra[[#This Row],[Hour]])</f>
        <v>17</v>
      </c>
      <c r="V2017" cm="1">
        <f t="array" ref="V2017">_xlfn.IFS(AND(N2017&lt;= 22, S2017=9), N2017-7,AND(N2017&lt;= 28, S2017=9), N2017-25,AND(N2017&lt;= 30, S2017=9), N2017-28,AND(N2017&lt;= 11, S2017=10), N2017+2,AND(N2017&lt;= 21, S2017=10), N2017-11)</f>
        <v>2</v>
      </c>
    </row>
    <row r="2018" spans="1:22" x14ac:dyDescent="0.35">
      <c r="A2018" s="4">
        <v>45565</v>
      </c>
      <c r="B2018" s="5">
        <v>0.74678240740740742</v>
      </c>
      <c r="C2018">
        <v>78.099999999999994</v>
      </c>
      <c r="D2018">
        <v>76.3</v>
      </c>
      <c r="E2018">
        <v>77.099999999999994</v>
      </c>
      <c r="F2018">
        <v>74.5</v>
      </c>
      <c r="G2018">
        <v>0</v>
      </c>
      <c r="H2018">
        <v>0</v>
      </c>
      <c r="I2018">
        <v>0</v>
      </c>
      <c r="J2018">
        <v>0</v>
      </c>
      <c r="K2018">
        <v>67</v>
      </c>
      <c r="L2018">
        <v>66.8</v>
      </c>
      <c r="M2018">
        <v>76.489999999999995</v>
      </c>
      <c r="N2018">
        <v>30</v>
      </c>
      <c r="O2018">
        <v>6</v>
      </c>
      <c r="P2018">
        <f>MOD(DAY(datos_siembra[[#This Row],[Date]]),7)</f>
        <v>2</v>
      </c>
      <c r="Q2018" t="str">
        <f>CHOOSE(WEEKDAY(datos_siembra[[#This Row],[Date]],2),"L","M","X","J","V","S","D")</f>
        <v>L</v>
      </c>
      <c r="R2018">
        <f>WEEKNUM(datos_siembra[[#This Row],[Date]],2)-WEEKNUM(DATE(YEAR(datos_siembra[[#This Row],[Date]]),MONTH(datos_siembra[[#This Row],[Date]]),1))+1</f>
        <v>5</v>
      </c>
      <c r="S2018">
        <f>MONTH(datos_siembra[[#This Row],[Date]])</f>
        <v>9</v>
      </c>
      <c r="T2018" t="str" cm="1">
        <f t="array" ref="T2018">_xlfn.IFS(AND(N2018&lt;= 22, S2018=9), "SOWING",AND(N2018&lt;= 28, S2018=9), "COVERAGE",AND(N2018&lt;= 30, S2018=9), "FLUSH",AND(N2018&lt;= 11, S2018=10), "FLUSH",AND(N2018&lt;= 21, S2018=10), "PRODUCTION")</f>
        <v>FLUSH</v>
      </c>
      <c r="U2018">
        <f>HOUR(datos_siembra[[#This Row],[Hour]])</f>
        <v>17</v>
      </c>
      <c r="V2018" cm="1">
        <f t="array" ref="V2018">_xlfn.IFS(AND(N2018&lt;= 22, S2018=9), N2018-7,AND(N2018&lt;= 28, S2018=9), N2018-25,AND(N2018&lt;= 30, S2018=9), N2018-28,AND(N2018&lt;= 11, S2018=10), N2018+2,AND(N2018&lt;= 21, S2018=10), N2018-11)</f>
        <v>2</v>
      </c>
    </row>
    <row r="2019" spans="1:22" x14ac:dyDescent="0.35">
      <c r="A2019" s="4">
        <v>45565</v>
      </c>
      <c r="B2019" s="5">
        <v>0.75372685185185184</v>
      </c>
      <c r="C2019">
        <v>78</v>
      </c>
      <c r="D2019">
        <v>76.3</v>
      </c>
      <c r="E2019">
        <v>77.099999999999994</v>
      </c>
      <c r="F2019">
        <v>74.5</v>
      </c>
      <c r="G2019">
        <v>0</v>
      </c>
      <c r="H2019">
        <v>0</v>
      </c>
      <c r="I2019">
        <v>0</v>
      </c>
      <c r="J2019">
        <v>0</v>
      </c>
      <c r="K2019">
        <v>67.2</v>
      </c>
      <c r="L2019">
        <v>66.900000000000006</v>
      </c>
      <c r="M2019">
        <v>76.47</v>
      </c>
      <c r="N2019">
        <v>30</v>
      </c>
      <c r="O2019">
        <v>6</v>
      </c>
      <c r="P2019">
        <f>MOD(DAY(datos_siembra[[#This Row],[Date]]),7)</f>
        <v>2</v>
      </c>
      <c r="Q2019" t="str">
        <f>CHOOSE(WEEKDAY(datos_siembra[[#This Row],[Date]],2),"L","M","X","J","V","S","D")</f>
        <v>L</v>
      </c>
      <c r="R2019">
        <f>WEEKNUM(datos_siembra[[#This Row],[Date]],2)-WEEKNUM(DATE(YEAR(datos_siembra[[#This Row],[Date]]),MONTH(datos_siembra[[#This Row],[Date]]),1))+1</f>
        <v>5</v>
      </c>
      <c r="S2019">
        <f>MONTH(datos_siembra[[#This Row],[Date]])</f>
        <v>9</v>
      </c>
      <c r="T2019" t="str" cm="1">
        <f t="array" ref="T2019">_xlfn.IFS(AND(N2019&lt;= 22, S2019=9), "SOWING",AND(N2019&lt;= 28, S2019=9), "COVERAGE",AND(N2019&lt;= 30, S2019=9), "FLUSH",AND(N2019&lt;= 11, S2019=10), "FLUSH",AND(N2019&lt;= 21, S2019=10), "PRODUCTION")</f>
        <v>FLUSH</v>
      </c>
      <c r="U2019">
        <f>HOUR(datos_siembra[[#This Row],[Hour]])</f>
        <v>18</v>
      </c>
      <c r="V2019" cm="1">
        <f t="array" ref="V2019">_xlfn.IFS(AND(N2019&lt;= 22, S2019=9), N2019-7,AND(N2019&lt;= 28, S2019=9), N2019-25,AND(N2019&lt;= 30, S2019=9), N2019-28,AND(N2019&lt;= 11, S2019=10), N2019+2,AND(N2019&lt;= 21, S2019=10), N2019-11)</f>
        <v>2</v>
      </c>
    </row>
    <row r="2020" spans="1:22" x14ac:dyDescent="0.35">
      <c r="A2020" s="4">
        <v>45565</v>
      </c>
      <c r="B2020" s="5">
        <v>0.76068287037037041</v>
      </c>
      <c r="C2020">
        <v>78.099999999999994</v>
      </c>
      <c r="D2020">
        <v>76.400000000000006</v>
      </c>
      <c r="E2020">
        <v>77.099999999999994</v>
      </c>
      <c r="F2020">
        <v>74.3</v>
      </c>
      <c r="G2020">
        <v>0</v>
      </c>
      <c r="H2020">
        <v>0</v>
      </c>
      <c r="I2020">
        <v>0</v>
      </c>
      <c r="J2020">
        <v>0</v>
      </c>
      <c r="K2020">
        <v>67.3</v>
      </c>
      <c r="L2020">
        <v>67.099999999999994</v>
      </c>
      <c r="M2020">
        <v>76.38</v>
      </c>
      <c r="N2020">
        <v>30</v>
      </c>
      <c r="O2020">
        <v>6</v>
      </c>
      <c r="P2020">
        <f>MOD(DAY(datos_siembra[[#This Row],[Date]]),7)</f>
        <v>2</v>
      </c>
      <c r="Q2020" t="str">
        <f>CHOOSE(WEEKDAY(datos_siembra[[#This Row],[Date]],2),"L","M","X","J","V","S","D")</f>
        <v>L</v>
      </c>
      <c r="R2020">
        <f>WEEKNUM(datos_siembra[[#This Row],[Date]],2)-WEEKNUM(DATE(YEAR(datos_siembra[[#This Row],[Date]]),MONTH(datos_siembra[[#This Row],[Date]]),1))+1</f>
        <v>5</v>
      </c>
      <c r="S2020">
        <f>MONTH(datos_siembra[[#This Row],[Date]])</f>
        <v>9</v>
      </c>
      <c r="T2020" t="str" cm="1">
        <f t="array" ref="T2020">_xlfn.IFS(AND(N2020&lt;= 22, S2020=9), "SOWING",AND(N2020&lt;= 28, S2020=9), "COVERAGE",AND(N2020&lt;= 30, S2020=9), "FLUSH",AND(N2020&lt;= 11, S2020=10), "FLUSH",AND(N2020&lt;= 21, S2020=10), "PRODUCTION")</f>
        <v>FLUSH</v>
      </c>
      <c r="U2020">
        <f>HOUR(datos_siembra[[#This Row],[Hour]])</f>
        <v>18</v>
      </c>
      <c r="V2020" cm="1">
        <f t="array" ref="V2020">_xlfn.IFS(AND(N2020&lt;= 22, S2020=9), N2020-7,AND(N2020&lt;= 28, S2020=9), N2020-25,AND(N2020&lt;= 30, S2020=9), N2020-28,AND(N2020&lt;= 11, S2020=10), N2020+2,AND(N2020&lt;= 21, S2020=10), N2020-11)</f>
        <v>2</v>
      </c>
    </row>
    <row r="2021" spans="1:22" x14ac:dyDescent="0.35">
      <c r="A2021" s="4">
        <v>45565</v>
      </c>
      <c r="B2021" s="5">
        <v>0.76762731481481483</v>
      </c>
      <c r="C2021">
        <v>78</v>
      </c>
      <c r="D2021">
        <v>76.3</v>
      </c>
      <c r="E2021">
        <v>77.099999999999994</v>
      </c>
      <c r="F2021">
        <v>74.5</v>
      </c>
      <c r="G2021">
        <v>0</v>
      </c>
      <c r="H2021">
        <v>0</v>
      </c>
      <c r="I2021">
        <v>0</v>
      </c>
      <c r="J2021">
        <v>0</v>
      </c>
      <c r="K2021">
        <v>67.3</v>
      </c>
      <c r="L2021">
        <v>67.099999999999994</v>
      </c>
      <c r="M2021">
        <v>76.349999999999994</v>
      </c>
      <c r="N2021">
        <v>30</v>
      </c>
      <c r="O2021">
        <v>6</v>
      </c>
      <c r="P2021">
        <f>MOD(DAY(datos_siembra[[#This Row],[Date]]),7)</f>
        <v>2</v>
      </c>
      <c r="Q2021" t="str">
        <f>CHOOSE(WEEKDAY(datos_siembra[[#This Row],[Date]],2),"L","M","X","J","V","S","D")</f>
        <v>L</v>
      </c>
      <c r="R2021">
        <f>WEEKNUM(datos_siembra[[#This Row],[Date]],2)-WEEKNUM(DATE(YEAR(datos_siembra[[#This Row],[Date]]),MONTH(datos_siembra[[#This Row],[Date]]),1))+1</f>
        <v>5</v>
      </c>
      <c r="S2021">
        <f>MONTH(datos_siembra[[#This Row],[Date]])</f>
        <v>9</v>
      </c>
      <c r="T2021" t="str" cm="1">
        <f t="array" ref="T2021">_xlfn.IFS(AND(N2021&lt;= 22, S2021=9), "SOWING",AND(N2021&lt;= 28, S2021=9), "COVERAGE",AND(N2021&lt;= 30, S2021=9), "FLUSH",AND(N2021&lt;= 11, S2021=10), "FLUSH",AND(N2021&lt;= 21, S2021=10), "PRODUCTION")</f>
        <v>FLUSH</v>
      </c>
      <c r="U2021">
        <f>HOUR(datos_siembra[[#This Row],[Hour]])</f>
        <v>18</v>
      </c>
      <c r="V2021" cm="1">
        <f t="array" ref="V2021">_xlfn.IFS(AND(N2021&lt;= 22, S2021=9), N2021-7,AND(N2021&lt;= 28, S2021=9), N2021-25,AND(N2021&lt;= 30, S2021=9), N2021-28,AND(N2021&lt;= 11, S2021=10), N2021+2,AND(N2021&lt;= 21, S2021=10), N2021-11)</f>
        <v>2</v>
      </c>
    </row>
    <row r="2022" spans="1:22" x14ac:dyDescent="0.35">
      <c r="A2022" s="4">
        <v>45565</v>
      </c>
      <c r="B2022" s="5">
        <v>0.77457175925925925</v>
      </c>
      <c r="C2022">
        <v>78</v>
      </c>
      <c r="D2022">
        <v>76.3</v>
      </c>
      <c r="E2022">
        <v>77</v>
      </c>
      <c r="F2022">
        <v>74.3</v>
      </c>
      <c r="G2022">
        <v>0</v>
      </c>
      <c r="H2022">
        <v>0</v>
      </c>
      <c r="I2022">
        <v>0</v>
      </c>
      <c r="J2022">
        <v>0</v>
      </c>
      <c r="K2022">
        <v>67.400000000000006</v>
      </c>
      <c r="L2022">
        <v>67.099999999999994</v>
      </c>
      <c r="M2022">
        <v>76.349999999999994</v>
      </c>
      <c r="N2022">
        <v>30</v>
      </c>
      <c r="O2022">
        <v>6</v>
      </c>
      <c r="P2022">
        <f>MOD(DAY(datos_siembra[[#This Row],[Date]]),7)</f>
        <v>2</v>
      </c>
      <c r="Q2022" t="str">
        <f>CHOOSE(WEEKDAY(datos_siembra[[#This Row],[Date]],2),"L","M","X","J","V","S","D")</f>
        <v>L</v>
      </c>
      <c r="R2022">
        <f>WEEKNUM(datos_siembra[[#This Row],[Date]],2)-WEEKNUM(DATE(YEAR(datos_siembra[[#This Row],[Date]]),MONTH(datos_siembra[[#This Row],[Date]]),1))+1</f>
        <v>5</v>
      </c>
      <c r="S2022">
        <f>MONTH(datos_siembra[[#This Row],[Date]])</f>
        <v>9</v>
      </c>
      <c r="T2022" t="str" cm="1">
        <f t="array" ref="T2022">_xlfn.IFS(AND(N2022&lt;= 22, S2022=9), "SOWING",AND(N2022&lt;= 28, S2022=9), "COVERAGE",AND(N2022&lt;= 30, S2022=9), "FLUSH",AND(N2022&lt;= 11, S2022=10), "FLUSH",AND(N2022&lt;= 21, S2022=10), "PRODUCTION")</f>
        <v>FLUSH</v>
      </c>
      <c r="U2022">
        <f>HOUR(datos_siembra[[#This Row],[Hour]])</f>
        <v>18</v>
      </c>
      <c r="V2022" cm="1">
        <f t="array" ref="V2022">_xlfn.IFS(AND(N2022&lt;= 22, S2022=9), N2022-7,AND(N2022&lt;= 28, S2022=9), N2022-25,AND(N2022&lt;= 30, S2022=9), N2022-28,AND(N2022&lt;= 11, S2022=10), N2022+2,AND(N2022&lt;= 21, S2022=10), N2022-11)</f>
        <v>2</v>
      </c>
    </row>
    <row r="2023" spans="1:22" x14ac:dyDescent="0.35">
      <c r="A2023" s="4">
        <v>45565</v>
      </c>
      <c r="B2023" s="5">
        <v>0.78152777777777782</v>
      </c>
      <c r="C2023">
        <v>78</v>
      </c>
      <c r="D2023">
        <v>76.400000000000006</v>
      </c>
      <c r="E2023">
        <v>77</v>
      </c>
      <c r="F2023">
        <v>74.3</v>
      </c>
      <c r="G2023">
        <v>0</v>
      </c>
      <c r="H2023">
        <v>0</v>
      </c>
      <c r="I2023">
        <v>0</v>
      </c>
      <c r="J2023">
        <v>0</v>
      </c>
      <c r="K2023">
        <v>67.400000000000006</v>
      </c>
      <c r="L2023">
        <v>67.099999999999994</v>
      </c>
      <c r="M2023">
        <v>76.319999999999993</v>
      </c>
      <c r="N2023">
        <v>30</v>
      </c>
      <c r="O2023">
        <v>6</v>
      </c>
      <c r="P2023">
        <f>MOD(DAY(datos_siembra[[#This Row],[Date]]),7)</f>
        <v>2</v>
      </c>
      <c r="Q2023" t="str">
        <f>CHOOSE(WEEKDAY(datos_siembra[[#This Row],[Date]],2),"L","M","X","J","V","S","D")</f>
        <v>L</v>
      </c>
      <c r="R2023">
        <f>WEEKNUM(datos_siembra[[#This Row],[Date]],2)-WEEKNUM(DATE(YEAR(datos_siembra[[#This Row],[Date]]),MONTH(datos_siembra[[#This Row],[Date]]),1))+1</f>
        <v>5</v>
      </c>
      <c r="S2023">
        <f>MONTH(datos_siembra[[#This Row],[Date]])</f>
        <v>9</v>
      </c>
      <c r="T2023" t="str" cm="1">
        <f t="array" ref="T2023">_xlfn.IFS(AND(N2024&lt;= 22, S2024=9), "SOWING",AND(N2024&lt;= 28, S2024=9), "COVERAGE",AND(N2024&lt;= 30, S2024=9), "FLUSH",AND(N2024&lt;= 11, S2024=10), "FLUSH",AND(N2024&lt;= 21, S2024=10), "PRODUCTION")</f>
        <v>FLUSH</v>
      </c>
      <c r="U2023">
        <f>HOUR(datos_siembra[[#This Row],[Hour]])</f>
        <v>18</v>
      </c>
      <c r="V2023" cm="1">
        <f t="array" ref="V2023">_xlfn.IFS(AND(N2024&lt;= 22, S2024=9), N2024-7,AND(N2024&lt;= 28, S2024=9), N2024-25,AND(N2024&lt;= 30, S2024=9), N2024-28,AND(N2024&lt;= 11, S2024=10), N2024+2,AND(N2024&lt;= 21, S2024=10), N2024-11)</f>
        <v>2</v>
      </c>
    </row>
    <row r="2024" spans="1:22" x14ac:dyDescent="0.35">
      <c r="A2024" s="4">
        <v>45565</v>
      </c>
      <c r="B2024" s="5">
        <v>0.78847222222222224</v>
      </c>
      <c r="C2024">
        <v>77.8</v>
      </c>
      <c r="D2024">
        <v>76.2</v>
      </c>
      <c r="E2024">
        <v>77</v>
      </c>
      <c r="F2024">
        <v>74.2</v>
      </c>
      <c r="G2024">
        <v>0</v>
      </c>
      <c r="H2024">
        <v>0</v>
      </c>
      <c r="I2024">
        <v>0</v>
      </c>
      <c r="J2024">
        <v>0</v>
      </c>
      <c r="K2024">
        <v>67.400000000000006</v>
      </c>
      <c r="L2024">
        <v>67.2</v>
      </c>
      <c r="M2024">
        <v>76.319999999999993</v>
      </c>
      <c r="N2024">
        <v>30</v>
      </c>
      <c r="O2024">
        <v>6</v>
      </c>
      <c r="P2024">
        <f>MOD(DAY(datos_siembra[[#This Row],[Date]]),7)</f>
        <v>2</v>
      </c>
      <c r="Q2024" t="str">
        <f>CHOOSE(WEEKDAY(datos_siembra[[#This Row],[Date]],2),"L","M","X","J","V","S","D")</f>
        <v>L</v>
      </c>
      <c r="R2024">
        <f>WEEKNUM(datos_siembra[[#This Row],[Date]],2)-WEEKNUM(DATE(YEAR(datos_siembra[[#This Row],[Date]]),MONTH(datos_siembra[[#This Row],[Date]]),1))+1</f>
        <v>5</v>
      </c>
      <c r="S2024">
        <f>MONTH(datos_siembra[[#This Row],[Date]])</f>
        <v>9</v>
      </c>
      <c r="T2024" t="str" cm="1">
        <f t="array" ref="T2024">_xlfn.IFS(AND(N2024&lt;= 22, S2024=9), "SOWING",AND(N2024&lt;= 28, S2024=9), "COVERAGE",AND(N2024&lt;= 30, S2024=9), "FLUSH",AND(N2024&lt;= 11, S2024=10), "FLUSH",AND(N2024&lt;= 21, S2024=10), "PRODUCTION")</f>
        <v>FLUSH</v>
      </c>
      <c r="U2024">
        <f>HOUR(datos_siembra[[#This Row],[Hour]])</f>
        <v>18</v>
      </c>
      <c r="V2024" cm="1">
        <f t="array" ref="V2024">_xlfn.IFS(AND(N2024&lt;= 22, S2024=9), N2024-7,AND(N2024&lt;= 28, S2024=9), N2024-25,AND(N2024&lt;= 30, S2024=9), N2024-28,AND(N2024&lt;= 11, S2024=10), N2024+2,AND(N2024&lt;= 21, S2024=10), N2024-11)</f>
        <v>2</v>
      </c>
    </row>
    <row r="2025" spans="1:22" x14ac:dyDescent="0.35">
      <c r="A2025" s="4">
        <v>45565</v>
      </c>
      <c r="B2025" s="5">
        <v>0.79541666666666666</v>
      </c>
      <c r="C2025">
        <v>77.8</v>
      </c>
      <c r="D2025">
        <v>76.099999999999994</v>
      </c>
      <c r="E2025">
        <v>76.8</v>
      </c>
      <c r="F2025">
        <v>74.3</v>
      </c>
      <c r="G2025">
        <v>0</v>
      </c>
      <c r="H2025">
        <v>0</v>
      </c>
      <c r="I2025">
        <v>0</v>
      </c>
      <c r="J2025">
        <v>0</v>
      </c>
      <c r="K2025">
        <v>66.900000000000006</v>
      </c>
      <c r="L2025">
        <v>66.8</v>
      </c>
      <c r="M2025">
        <v>76.3</v>
      </c>
      <c r="N2025">
        <v>30</v>
      </c>
      <c r="O2025">
        <v>6</v>
      </c>
      <c r="P2025">
        <f>MOD(DAY(datos_siembra[[#This Row],[Date]]),7)</f>
        <v>2</v>
      </c>
      <c r="Q2025" t="str">
        <f>CHOOSE(WEEKDAY(datos_siembra[[#This Row],[Date]],2),"L","M","X","J","V","S","D")</f>
        <v>L</v>
      </c>
      <c r="R2025">
        <f>WEEKNUM(datos_siembra[[#This Row],[Date]],2)-WEEKNUM(DATE(YEAR(datos_siembra[[#This Row],[Date]]),MONTH(datos_siembra[[#This Row],[Date]]),1))+1</f>
        <v>5</v>
      </c>
      <c r="S2025">
        <f>MONTH(datos_siembra[[#This Row],[Date]])</f>
        <v>9</v>
      </c>
      <c r="T2025" t="str" cm="1">
        <f t="array" ref="T2025">_xlfn.IFS(AND(N2025&lt;= 22, S2025=9), "SOWING",AND(N2025&lt;= 28, S2025=9), "COVERAGE",AND(N2025&lt;= 30, S2025=9), "FLUSH",AND(N2025&lt;= 11, S2025=10), "FLUSH",AND(N2025&lt;= 21, S2025=10), "PRODUCTION")</f>
        <v>FLUSH</v>
      </c>
      <c r="U2025">
        <f>HOUR(datos_siembra[[#This Row],[Hour]])</f>
        <v>19</v>
      </c>
      <c r="V2025" cm="1">
        <f t="array" ref="V2025">_xlfn.IFS(AND(N2025&lt;= 22, S2025=9), N2025-7,AND(N2025&lt;= 28, S2025=9), N2025-25,AND(N2025&lt;= 30, S2025=9), N2025-28,AND(N2025&lt;= 11, S2025=10), N2025+2,AND(N2025&lt;= 21, S2025=10), N2025-11)</f>
        <v>2</v>
      </c>
    </row>
    <row r="2026" spans="1:22" x14ac:dyDescent="0.35">
      <c r="A2026" s="4">
        <v>45565</v>
      </c>
      <c r="B2026" s="5">
        <v>0.80237268518518523</v>
      </c>
      <c r="C2026">
        <v>77.8</v>
      </c>
      <c r="D2026">
        <v>76.2</v>
      </c>
      <c r="E2026">
        <v>76.8</v>
      </c>
      <c r="F2026">
        <v>74.400000000000006</v>
      </c>
      <c r="G2026">
        <v>0</v>
      </c>
      <c r="H2026">
        <v>0</v>
      </c>
      <c r="I2026">
        <v>0</v>
      </c>
      <c r="J2026">
        <v>0</v>
      </c>
      <c r="K2026">
        <v>66.2</v>
      </c>
      <c r="L2026">
        <v>66.2</v>
      </c>
      <c r="M2026">
        <v>76.3</v>
      </c>
      <c r="N2026">
        <v>30</v>
      </c>
      <c r="O2026">
        <v>6</v>
      </c>
      <c r="P2026">
        <f>MOD(DAY(datos_siembra[[#This Row],[Date]]),7)</f>
        <v>2</v>
      </c>
      <c r="Q2026" t="str">
        <f>CHOOSE(WEEKDAY(datos_siembra[[#This Row],[Date]],2),"L","M","X","J","V","S","D")</f>
        <v>L</v>
      </c>
      <c r="R2026">
        <f>WEEKNUM(datos_siembra[[#This Row],[Date]],2)-WEEKNUM(DATE(YEAR(datos_siembra[[#This Row],[Date]]),MONTH(datos_siembra[[#This Row],[Date]]),1))+1</f>
        <v>5</v>
      </c>
      <c r="S2026">
        <f>MONTH(datos_siembra[[#This Row],[Date]])</f>
        <v>9</v>
      </c>
      <c r="T2026" t="str" cm="1">
        <f t="array" ref="T2026">_xlfn.IFS(AND(N2026&lt;= 22, S2026=9), "SOWING",AND(N2026&lt;= 28, S2026=9), "COVERAGE",AND(N2026&lt;= 30, S2026=9), "FLUSH",AND(N2026&lt;= 11, S2026=10), "FLUSH",AND(N2026&lt;= 21, S2026=10), "PRODUCTION")</f>
        <v>FLUSH</v>
      </c>
      <c r="U2026">
        <f>HOUR(datos_siembra[[#This Row],[Hour]])</f>
        <v>19</v>
      </c>
      <c r="V2026" cm="1">
        <f t="array" ref="V2026">_xlfn.IFS(AND(N2026&lt;= 22, S2026=9), N2026-7,AND(N2026&lt;= 28, S2026=9), N2026-25,AND(N2026&lt;= 30, S2026=9), N2026-28,AND(N2026&lt;= 11, S2026=10), N2026+2,AND(N2026&lt;= 21, S2026=10), N2026-11)</f>
        <v>2</v>
      </c>
    </row>
    <row r="2027" spans="1:22" x14ac:dyDescent="0.35">
      <c r="A2027" s="4">
        <v>45565</v>
      </c>
      <c r="B2027" s="5">
        <v>0.80931712962962965</v>
      </c>
      <c r="C2027">
        <v>77.7</v>
      </c>
      <c r="D2027">
        <v>76.099999999999994</v>
      </c>
      <c r="E2027">
        <v>76.8</v>
      </c>
      <c r="F2027">
        <v>74.3</v>
      </c>
      <c r="G2027">
        <v>0</v>
      </c>
      <c r="H2027">
        <v>0</v>
      </c>
      <c r="I2027">
        <v>0</v>
      </c>
      <c r="J2027">
        <v>0</v>
      </c>
      <c r="K2027">
        <v>65.8</v>
      </c>
      <c r="L2027">
        <v>65.900000000000006</v>
      </c>
      <c r="M2027">
        <v>76.27</v>
      </c>
      <c r="N2027">
        <v>30</v>
      </c>
      <c r="O2027">
        <v>6</v>
      </c>
      <c r="P2027">
        <f>MOD(DAY(datos_siembra[[#This Row],[Date]]),7)</f>
        <v>2</v>
      </c>
      <c r="Q2027" t="str">
        <f>CHOOSE(WEEKDAY(datos_siembra[[#This Row],[Date]],2),"L","M","X","J","V","S","D")</f>
        <v>L</v>
      </c>
      <c r="R2027">
        <f>WEEKNUM(datos_siembra[[#This Row],[Date]],2)-WEEKNUM(DATE(YEAR(datos_siembra[[#This Row],[Date]]),MONTH(datos_siembra[[#This Row],[Date]]),1))+1</f>
        <v>5</v>
      </c>
      <c r="S2027">
        <f>MONTH(datos_siembra[[#This Row],[Date]])</f>
        <v>9</v>
      </c>
      <c r="T2027" t="str" cm="1">
        <f t="array" ref="T2027">_xlfn.IFS(AND(N2027&lt;= 22, S2027=9), "SOWING",AND(N2027&lt;= 28, S2027=9), "COVERAGE",AND(N2027&lt;= 30, S2027=9), "FLUSH",AND(N2027&lt;= 11, S2027=10), "FLUSH",AND(N2027&lt;= 21, S2027=10), "PRODUCTION")</f>
        <v>FLUSH</v>
      </c>
      <c r="U2027">
        <f>HOUR(datos_siembra[[#This Row],[Hour]])</f>
        <v>19</v>
      </c>
      <c r="V2027" cm="1">
        <f t="array" ref="V2027">_xlfn.IFS(AND(N2027&lt;= 22, S2027=9), N2027-7,AND(N2027&lt;= 28, S2027=9), N2027-25,AND(N2027&lt;= 30, S2027=9), N2027-28,AND(N2027&lt;= 11, S2027=10), N2027+2,AND(N2027&lt;= 21, S2027=10), N2027-11)</f>
        <v>2</v>
      </c>
    </row>
    <row r="2028" spans="1:22" x14ac:dyDescent="0.35">
      <c r="A2028" s="4">
        <v>45565</v>
      </c>
      <c r="B2028" s="5">
        <v>0.81626157407407407</v>
      </c>
      <c r="C2028">
        <v>77.8</v>
      </c>
      <c r="D2028">
        <v>76.3</v>
      </c>
      <c r="E2028">
        <v>76.8</v>
      </c>
      <c r="F2028">
        <v>74.400000000000006</v>
      </c>
      <c r="G2028">
        <v>0</v>
      </c>
      <c r="H2028">
        <v>0</v>
      </c>
      <c r="I2028">
        <v>0</v>
      </c>
      <c r="J2028">
        <v>0</v>
      </c>
      <c r="K2028">
        <v>65.5</v>
      </c>
      <c r="L2028">
        <v>65.599999999999994</v>
      </c>
      <c r="M2028">
        <v>76.209999999999994</v>
      </c>
      <c r="N2028">
        <v>30</v>
      </c>
      <c r="O2028">
        <v>6</v>
      </c>
      <c r="P2028">
        <f>MOD(DAY(datos_siembra[[#This Row],[Date]]),7)</f>
        <v>2</v>
      </c>
      <c r="Q2028" t="str">
        <f>CHOOSE(WEEKDAY(datos_siembra[[#This Row],[Date]],2),"L","M","X","J","V","S","D")</f>
        <v>L</v>
      </c>
      <c r="R2028">
        <f>WEEKNUM(datos_siembra[[#This Row],[Date]],2)-WEEKNUM(DATE(YEAR(datos_siembra[[#This Row],[Date]]),MONTH(datos_siembra[[#This Row],[Date]]),1))+1</f>
        <v>5</v>
      </c>
      <c r="S2028">
        <f>MONTH(datos_siembra[[#This Row],[Date]])</f>
        <v>9</v>
      </c>
      <c r="T2028" t="str" cm="1">
        <f t="array" ref="T2028">_xlfn.IFS(AND(N2028&lt;= 22, S2028=9), "SOWING",AND(N2028&lt;= 28, S2028=9), "COVERAGE",AND(N2028&lt;= 30, S2028=9), "FLUSH",AND(N2028&lt;= 11, S2028=10), "FLUSH",AND(N2028&lt;= 21, S2028=10), "PRODUCTION")</f>
        <v>FLUSH</v>
      </c>
      <c r="U2028">
        <f>HOUR(datos_siembra[[#This Row],[Hour]])</f>
        <v>19</v>
      </c>
      <c r="V2028" cm="1">
        <f t="array" ref="V2028">_xlfn.IFS(AND(N2028&lt;= 22, S2028=9), N2028-7,AND(N2028&lt;= 28, S2028=9), N2028-25,AND(N2028&lt;= 30, S2028=9), N2028-28,AND(N2028&lt;= 11, S2028=10), N2028+2,AND(N2028&lt;= 21, S2028=10), N2028-11)</f>
        <v>2</v>
      </c>
    </row>
    <row r="2029" spans="1:22" x14ac:dyDescent="0.35">
      <c r="A2029" s="4">
        <v>45565</v>
      </c>
      <c r="B2029" s="5">
        <v>0.82320601851851849</v>
      </c>
      <c r="C2029">
        <v>77.8</v>
      </c>
      <c r="D2029">
        <v>76.2</v>
      </c>
      <c r="E2029">
        <v>76.8</v>
      </c>
      <c r="F2029">
        <v>74.3</v>
      </c>
      <c r="G2029">
        <v>0</v>
      </c>
      <c r="H2029">
        <v>0</v>
      </c>
      <c r="I2029">
        <v>0</v>
      </c>
      <c r="J2029">
        <v>0</v>
      </c>
      <c r="K2029">
        <v>66.099999999999994</v>
      </c>
      <c r="L2029">
        <v>66</v>
      </c>
      <c r="M2029">
        <v>76.209999999999994</v>
      </c>
      <c r="N2029">
        <v>30</v>
      </c>
      <c r="O2029">
        <v>6</v>
      </c>
      <c r="P2029">
        <f>MOD(DAY(datos_siembra[[#This Row],[Date]]),7)</f>
        <v>2</v>
      </c>
      <c r="Q2029" t="str">
        <f>CHOOSE(WEEKDAY(datos_siembra[[#This Row],[Date]],2),"L","M","X","J","V","S","D")</f>
        <v>L</v>
      </c>
      <c r="R2029">
        <f>WEEKNUM(datos_siembra[[#This Row],[Date]],2)-WEEKNUM(DATE(YEAR(datos_siembra[[#This Row],[Date]]),MONTH(datos_siembra[[#This Row],[Date]]),1))+1</f>
        <v>5</v>
      </c>
      <c r="S2029">
        <f>MONTH(datos_siembra[[#This Row],[Date]])</f>
        <v>9</v>
      </c>
      <c r="T2029" t="str" cm="1">
        <f t="array" ref="T2029">_xlfn.IFS(AND(N2029&lt;= 22, S2029=9), "SOWING",AND(N2029&lt;= 28, S2029=9), "COVERAGE",AND(N2029&lt;= 30, S2029=9), "FLUSH",AND(N2029&lt;= 11, S2029=10), "FLUSH",AND(N2029&lt;= 21, S2029=10), "PRODUCTION")</f>
        <v>FLUSH</v>
      </c>
      <c r="U2029">
        <f>HOUR(datos_siembra[[#This Row],[Hour]])</f>
        <v>19</v>
      </c>
      <c r="V2029" cm="1">
        <f t="array" ref="V2029">_xlfn.IFS(AND(N2029&lt;= 22, S2029=9), N2029-7,AND(N2029&lt;= 28, S2029=9), N2029-25,AND(N2029&lt;= 30, S2029=9), N2029-28,AND(N2029&lt;= 11, S2029=10), N2029+2,AND(N2029&lt;= 21, S2029=10), N2029-11)</f>
        <v>2</v>
      </c>
    </row>
    <row r="2030" spans="1:22" x14ac:dyDescent="0.35">
      <c r="A2030" s="4">
        <v>45565</v>
      </c>
      <c r="B2030" s="5">
        <v>0.83016203703703706</v>
      </c>
      <c r="C2030">
        <v>77.7</v>
      </c>
      <c r="D2030">
        <v>76.2</v>
      </c>
      <c r="E2030">
        <v>76.7</v>
      </c>
      <c r="F2030">
        <v>74</v>
      </c>
      <c r="G2030">
        <v>0</v>
      </c>
      <c r="H2030">
        <v>0</v>
      </c>
      <c r="I2030">
        <v>0</v>
      </c>
      <c r="J2030">
        <v>0</v>
      </c>
      <c r="K2030">
        <v>66.5</v>
      </c>
      <c r="L2030">
        <v>66.400000000000006</v>
      </c>
      <c r="M2030">
        <v>76.180000000000007</v>
      </c>
      <c r="N2030">
        <v>30</v>
      </c>
      <c r="O2030">
        <v>6</v>
      </c>
      <c r="P2030">
        <f>MOD(DAY(datos_siembra[[#This Row],[Date]]),7)</f>
        <v>2</v>
      </c>
      <c r="Q2030" t="str">
        <f>CHOOSE(WEEKDAY(datos_siembra[[#This Row],[Date]],2),"L","M","X","J","V","S","D")</f>
        <v>L</v>
      </c>
      <c r="R2030">
        <f>WEEKNUM(datos_siembra[[#This Row],[Date]],2)-WEEKNUM(DATE(YEAR(datos_siembra[[#This Row],[Date]]),MONTH(datos_siembra[[#This Row],[Date]]),1))+1</f>
        <v>5</v>
      </c>
      <c r="S2030">
        <f>MONTH(datos_siembra[[#This Row],[Date]])</f>
        <v>9</v>
      </c>
      <c r="T2030" t="str" cm="1">
        <f t="array" ref="T2030">_xlfn.IFS(AND(N2030&lt;= 22, S2030=9), "SOWING",AND(N2030&lt;= 28, S2030=9), "COVERAGE",AND(N2030&lt;= 30, S2030=9), "FLUSH",AND(N2030&lt;= 11, S2030=10), "FLUSH",AND(N2030&lt;= 21, S2030=10), "PRODUCTION")</f>
        <v>FLUSH</v>
      </c>
      <c r="U2030">
        <f>HOUR(datos_siembra[[#This Row],[Hour]])</f>
        <v>19</v>
      </c>
      <c r="V2030" cm="1">
        <f t="array" ref="V2030">_xlfn.IFS(AND(N2030&lt;= 22, S2030=9), N2030-7,AND(N2030&lt;= 28, S2030=9), N2030-25,AND(N2030&lt;= 30, S2030=9), N2030-28,AND(N2030&lt;= 11, S2030=10), N2030+2,AND(N2030&lt;= 21, S2030=10), N2030-11)</f>
        <v>2</v>
      </c>
    </row>
    <row r="2031" spans="1:22" x14ac:dyDescent="0.35">
      <c r="A2031" s="4">
        <v>45565</v>
      </c>
      <c r="B2031" s="5">
        <v>0.83710648148148148</v>
      </c>
      <c r="C2031">
        <v>77.7</v>
      </c>
      <c r="D2031">
        <v>76.099999999999994</v>
      </c>
      <c r="E2031">
        <v>76.8</v>
      </c>
      <c r="F2031">
        <v>74.099999999999994</v>
      </c>
      <c r="G2031">
        <v>0</v>
      </c>
      <c r="H2031">
        <v>0</v>
      </c>
      <c r="I2031">
        <v>0</v>
      </c>
      <c r="J2031">
        <v>0</v>
      </c>
      <c r="K2031">
        <v>66.8</v>
      </c>
      <c r="L2031">
        <v>66.599999999999994</v>
      </c>
      <c r="M2031">
        <v>76.16</v>
      </c>
      <c r="N2031">
        <v>30</v>
      </c>
      <c r="O2031">
        <v>6</v>
      </c>
      <c r="P2031">
        <f>MOD(DAY(datos_siembra[[#This Row],[Date]]),7)</f>
        <v>2</v>
      </c>
      <c r="Q2031" t="str">
        <f>CHOOSE(WEEKDAY(datos_siembra[[#This Row],[Date]],2),"L","M","X","J","V","S","D")</f>
        <v>L</v>
      </c>
      <c r="R2031">
        <f>WEEKNUM(datos_siembra[[#This Row],[Date]],2)-WEEKNUM(DATE(YEAR(datos_siembra[[#This Row],[Date]]),MONTH(datos_siembra[[#This Row],[Date]]),1))+1</f>
        <v>5</v>
      </c>
      <c r="S2031">
        <f>MONTH(datos_siembra[[#This Row],[Date]])</f>
        <v>9</v>
      </c>
      <c r="T2031" t="str" cm="1">
        <f t="array" ref="T2031">_xlfn.IFS(AND(N2031&lt;= 22, S2031=9), "SOWING",AND(N2031&lt;= 28, S2031=9), "COVERAGE",AND(N2031&lt;= 30, S2031=9), "FLUSH",AND(N2031&lt;= 11, S2031=10), "FLUSH",AND(N2031&lt;= 21, S2031=10), "PRODUCTION")</f>
        <v>FLUSH</v>
      </c>
      <c r="U2031">
        <f>HOUR(datos_siembra[[#This Row],[Hour]])</f>
        <v>20</v>
      </c>
      <c r="V2031" cm="1">
        <f t="array" ref="V2031">_xlfn.IFS(AND(N2031&lt;= 22, S2031=9), N2031-7,AND(N2031&lt;= 28, S2031=9), N2031-25,AND(N2031&lt;= 30, S2031=9), N2031-28,AND(N2031&lt;= 11, S2031=10), N2031+2,AND(N2031&lt;= 21, S2031=10), N2031-11)</f>
        <v>2</v>
      </c>
    </row>
    <row r="2032" spans="1:22" x14ac:dyDescent="0.35">
      <c r="A2032" s="4">
        <v>45565</v>
      </c>
      <c r="B2032" s="5">
        <v>0.8440509259259259</v>
      </c>
      <c r="C2032">
        <v>77.8</v>
      </c>
      <c r="D2032">
        <v>76.099999999999994</v>
      </c>
      <c r="E2032">
        <v>76.7</v>
      </c>
      <c r="F2032">
        <v>74</v>
      </c>
      <c r="G2032">
        <v>0</v>
      </c>
      <c r="H2032">
        <v>0</v>
      </c>
      <c r="I2032">
        <v>0</v>
      </c>
      <c r="J2032">
        <v>0</v>
      </c>
      <c r="K2032">
        <v>66.900000000000006</v>
      </c>
      <c r="L2032">
        <v>66.8</v>
      </c>
      <c r="M2032">
        <v>76.099999999999994</v>
      </c>
      <c r="N2032">
        <v>30</v>
      </c>
      <c r="O2032">
        <v>6</v>
      </c>
      <c r="P2032">
        <f>MOD(DAY(datos_siembra[[#This Row],[Date]]),7)</f>
        <v>2</v>
      </c>
      <c r="Q2032" t="str">
        <f>CHOOSE(WEEKDAY(datos_siembra[[#This Row],[Date]],2),"L","M","X","J","V","S","D")</f>
        <v>L</v>
      </c>
      <c r="R2032">
        <f>WEEKNUM(datos_siembra[[#This Row],[Date]],2)-WEEKNUM(DATE(YEAR(datos_siembra[[#This Row],[Date]]),MONTH(datos_siembra[[#This Row],[Date]]),1))+1</f>
        <v>5</v>
      </c>
      <c r="S2032">
        <f>MONTH(datos_siembra[[#This Row],[Date]])</f>
        <v>9</v>
      </c>
      <c r="T2032" t="str" cm="1">
        <f t="array" ref="T2032">_xlfn.IFS(AND(N2032&lt;= 22, S2032=9), "SOWING",AND(N2032&lt;= 28, S2032=9), "COVERAGE",AND(N2032&lt;= 30, S2032=9), "FLUSH",AND(N2032&lt;= 11, S2032=10), "FLUSH",AND(N2032&lt;= 21, S2032=10), "PRODUCTION")</f>
        <v>FLUSH</v>
      </c>
      <c r="U2032">
        <f>HOUR(datos_siembra[[#This Row],[Hour]])</f>
        <v>20</v>
      </c>
      <c r="V2032" cm="1">
        <f t="array" ref="V2032">_xlfn.IFS(AND(N2032&lt;= 22, S2032=9), N2032-7,AND(N2032&lt;= 28, S2032=9), N2032-25,AND(N2032&lt;= 30, S2032=9), N2032-28,AND(N2032&lt;= 11, S2032=10), N2032+2,AND(N2032&lt;= 21, S2032=10), N2032-11)</f>
        <v>2</v>
      </c>
    </row>
    <row r="2033" spans="1:22" x14ac:dyDescent="0.35">
      <c r="A2033" s="4">
        <v>45565</v>
      </c>
      <c r="B2033" s="5">
        <v>0.85099537037037032</v>
      </c>
      <c r="C2033">
        <v>77.7</v>
      </c>
      <c r="D2033">
        <v>76</v>
      </c>
      <c r="E2033">
        <v>76.400000000000006</v>
      </c>
      <c r="F2033">
        <v>74.099999999999994</v>
      </c>
      <c r="G2033">
        <v>0</v>
      </c>
      <c r="H2033">
        <v>0</v>
      </c>
      <c r="I2033">
        <v>0</v>
      </c>
      <c r="J2033">
        <v>0</v>
      </c>
      <c r="K2033">
        <v>67</v>
      </c>
      <c r="L2033">
        <v>66.8</v>
      </c>
      <c r="M2033">
        <v>75.959999999999994</v>
      </c>
      <c r="N2033">
        <v>30</v>
      </c>
      <c r="O2033">
        <v>6</v>
      </c>
      <c r="P2033">
        <f>MOD(DAY(datos_siembra[[#This Row],[Date]]),7)</f>
        <v>2</v>
      </c>
      <c r="Q2033" t="str">
        <f>CHOOSE(WEEKDAY(datos_siembra[[#This Row],[Date]],2),"L","M","X","J","V","S","D")</f>
        <v>L</v>
      </c>
      <c r="R2033">
        <f>WEEKNUM(datos_siembra[[#This Row],[Date]],2)-WEEKNUM(DATE(YEAR(datos_siembra[[#This Row],[Date]]),MONTH(datos_siembra[[#This Row],[Date]]),1))+1</f>
        <v>5</v>
      </c>
      <c r="S2033">
        <f>MONTH(datos_siembra[[#This Row],[Date]])</f>
        <v>9</v>
      </c>
      <c r="T2033" t="str" cm="1">
        <f t="array" ref="T2033">_xlfn.IFS(AND(N2033&lt;= 22, S2033=9), "SOWING",AND(N2033&lt;= 28, S2033=9), "COVERAGE",AND(N2033&lt;= 30, S2033=9), "FLUSH",AND(N2033&lt;= 11, S2033=10), "FLUSH",AND(N2033&lt;= 21, S2033=10), "PRODUCTION")</f>
        <v>FLUSH</v>
      </c>
      <c r="U2033">
        <f>HOUR(datos_siembra[[#This Row],[Hour]])</f>
        <v>20</v>
      </c>
      <c r="V2033" cm="1">
        <f t="array" ref="V2033">_xlfn.IFS(AND(N2033&lt;= 22, S2033=9), N2033-7,AND(N2033&lt;= 28, S2033=9), N2033-25,AND(N2033&lt;= 30, S2033=9), N2033-28,AND(N2033&lt;= 11, S2033=10), N2033+2,AND(N2033&lt;= 21, S2033=10), N2033-11)</f>
        <v>2</v>
      </c>
    </row>
    <row r="2034" spans="1:22" x14ac:dyDescent="0.35">
      <c r="A2034" s="4">
        <v>45565</v>
      </c>
      <c r="B2034" s="5">
        <v>0.85795138888888889</v>
      </c>
      <c r="C2034">
        <v>77.599999999999994</v>
      </c>
      <c r="D2034">
        <v>76.2</v>
      </c>
      <c r="E2034">
        <v>76.400000000000006</v>
      </c>
      <c r="F2034">
        <v>74.099999999999994</v>
      </c>
      <c r="G2034">
        <v>0</v>
      </c>
      <c r="H2034">
        <v>0</v>
      </c>
      <c r="I2034">
        <v>0</v>
      </c>
      <c r="J2034">
        <v>0</v>
      </c>
      <c r="K2034">
        <v>67</v>
      </c>
      <c r="L2034">
        <v>66.900000000000006</v>
      </c>
      <c r="M2034">
        <v>76.040000000000006</v>
      </c>
      <c r="N2034">
        <v>30</v>
      </c>
      <c r="O2034">
        <v>6</v>
      </c>
      <c r="P2034">
        <f>MOD(DAY(datos_siembra[[#This Row],[Date]]),7)</f>
        <v>2</v>
      </c>
      <c r="Q2034" t="str">
        <f>CHOOSE(WEEKDAY(datos_siembra[[#This Row],[Date]],2),"L","M","X","J","V","S","D")</f>
        <v>L</v>
      </c>
      <c r="R2034">
        <f>WEEKNUM(datos_siembra[[#This Row],[Date]],2)-WEEKNUM(DATE(YEAR(datos_siembra[[#This Row],[Date]]),MONTH(datos_siembra[[#This Row],[Date]]),1))+1</f>
        <v>5</v>
      </c>
      <c r="S2034">
        <f>MONTH(datos_siembra[[#This Row],[Date]])</f>
        <v>9</v>
      </c>
      <c r="T2034" t="str" cm="1">
        <f t="array" ref="T2034">_xlfn.IFS(AND(N2034&lt;= 22, S2034=9), "SOWING",AND(N2034&lt;= 28, S2034=9), "COVERAGE",AND(N2034&lt;= 30, S2034=9), "FLUSH",AND(N2034&lt;= 11, S2034=10), "FLUSH",AND(N2034&lt;= 21, S2034=10), "PRODUCTION")</f>
        <v>FLUSH</v>
      </c>
      <c r="U2034">
        <f>HOUR(datos_siembra[[#This Row],[Hour]])</f>
        <v>20</v>
      </c>
      <c r="V2034" cm="1">
        <f t="array" ref="V2034">_xlfn.IFS(AND(N2034&lt;= 22, S2034=9), N2034-7,AND(N2034&lt;= 28, S2034=9), N2034-25,AND(N2034&lt;= 30, S2034=9), N2034-28,AND(N2034&lt;= 11, S2034=10), N2034+2,AND(N2034&lt;= 21, S2034=10), N2034-11)</f>
        <v>2</v>
      </c>
    </row>
    <row r="2035" spans="1:22" x14ac:dyDescent="0.35">
      <c r="A2035" s="4">
        <v>45565</v>
      </c>
      <c r="B2035" s="5">
        <v>0.86489583333333331</v>
      </c>
      <c r="C2035">
        <v>77.7</v>
      </c>
      <c r="D2035">
        <v>76.099999999999994</v>
      </c>
      <c r="E2035">
        <v>76.599999999999994</v>
      </c>
      <c r="F2035">
        <v>74</v>
      </c>
      <c r="G2035">
        <v>0</v>
      </c>
      <c r="H2035">
        <v>0</v>
      </c>
      <c r="I2035">
        <v>0</v>
      </c>
      <c r="J2035">
        <v>0</v>
      </c>
      <c r="K2035">
        <v>67</v>
      </c>
      <c r="L2035">
        <v>66.900000000000006</v>
      </c>
      <c r="M2035">
        <v>76.040000000000006</v>
      </c>
      <c r="N2035">
        <v>30</v>
      </c>
      <c r="O2035">
        <v>6</v>
      </c>
      <c r="P2035">
        <f>MOD(DAY(datos_siembra[[#This Row],[Date]]),7)</f>
        <v>2</v>
      </c>
      <c r="Q2035" t="str">
        <f>CHOOSE(WEEKDAY(datos_siembra[[#This Row],[Date]],2),"L","M","X","J","V","S","D")</f>
        <v>L</v>
      </c>
      <c r="R2035">
        <f>WEEKNUM(datos_siembra[[#This Row],[Date]],2)-WEEKNUM(DATE(YEAR(datos_siembra[[#This Row],[Date]]),MONTH(datos_siembra[[#This Row],[Date]]),1))+1</f>
        <v>5</v>
      </c>
      <c r="S2035">
        <f>MONTH(datos_siembra[[#This Row],[Date]])</f>
        <v>9</v>
      </c>
      <c r="T2035" t="str" cm="1">
        <f t="array" ref="T2035">_xlfn.IFS(AND(N2035&lt;= 22, S2035=9), "SOWING",AND(N2035&lt;= 28, S2035=9), "COVERAGE",AND(N2035&lt;= 30, S2035=9), "FLUSH",AND(N2035&lt;= 11, S2035=10), "FLUSH",AND(N2035&lt;= 21, S2035=10), "PRODUCTION")</f>
        <v>FLUSH</v>
      </c>
      <c r="U2035">
        <f>HOUR(datos_siembra[[#This Row],[Hour]])</f>
        <v>20</v>
      </c>
      <c r="V2035" cm="1">
        <f t="array" ref="V2035">_xlfn.IFS(AND(N2035&lt;= 22, S2035=9), N2035-7,AND(N2035&lt;= 28, S2035=9), N2035-25,AND(N2035&lt;= 30, S2035=9), N2035-28,AND(N2035&lt;= 11, S2035=10), N2035+2,AND(N2035&lt;= 21, S2035=10), N2035-11)</f>
        <v>2</v>
      </c>
    </row>
    <row r="2036" spans="1:22" x14ac:dyDescent="0.35">
      <c r="A2036" s="4">
        <v>45565</v>
      </c>
      <c r="B2036" s="5">
        <v>0.87184027777777773</v>
      </c>
      <c r="C2036">
        <v>77.599999999999994</v>
      </c>
      <c r="D2036">
        <v>75.900000000000006</v>
      </c>
      <c r="E2036">
        <v>76.599999999999994</v>
      </c>
      <c r="F2036">
        <v>73.900000000000006</v>
      </c>
      <c r="G2036">
        <v>0</v>
      </c>
      <c r="H2036">
        <v>0</v>
      </c>
      <c r="I2036">
        <v>0</v>
      </c>
      <c r="J2036">
        <v>0</v>
      </c>
      <c r="K2036">
        <v>67</v>
      </c>
      <c r="L2036">
        <v>66.900000000000006</v>
      </c>
      <c r="M2036">
        <v>75.959999999999994</v>
      </c>
      <c r="N2036">
        <v>30</v>
      </c>
      <c r="O2036">
        <v>6</v>
      </c>
      <c r="P2036">
        <f>MOD(DAY(datos_siembra[[#This Row],[Date]]),7)</f>
        <v>2</v>
      </c>
      <c r="Q2036" t="str">
        <f>CHOOSE(WEEKDAY(datos_siembra[[#This Row],[Date]],2),"L","M","X","J","V","S","D")</f>
        <v>L</v>
      </c>
      <c r="R2036">
        <f>WEEKNUM(datos_siembra[[#This Row],[Date]],2)-WEEKNUM(DATE(YEAR(datos_siembra[[#This Row],[Date]]),MONTH(datos_siembra[[#This Row],[Date]]),1))+1</f>
        <v>5</v>
      </c>
      <c r="S2036">
        <f>MONTH(datos_siembra[[#This Row],[Date]])</f>
        <v>9</v>
      </c>
      <c r="T2036" t="str" cm="1">
        <f t="array" ref="T2036">_xlfn.IFS(AND(N2036&lt;= 22, S2036=9), "SOWING",AND(N2036&lt;= 28, S2036=9), "COVERAGE",AND(N2036&lt;= 30, S2036=9), "FLUSH",AND(N2036&lt;= 11, S2036=10), "FLUSH",AND(N2036&lt;= 21, S2036=10), "PRODUCTION")</f>
        <v>FLUSH</v>
      </c>
      <c r="U2036">
        <f>HOUR(datos_siembra[[#This Row],[Hour]])</f>
        <v>20</v>
      </c>
      <c r="V2036" cm="1">
        <f t="array" ref="V2036">_xlfn.IFS(AND(N2036&lt;= 22, S2036=9), N2036-7,AND(N2036&lt;= 28, S2036=9), N2036-25,AND(N2036&lt;= 30, S2036=9), N2036-28,AND(N2036&lt;= 11, S2036=10), N2036+2,AND(N2036&lt;= 21, S2036=10), N2036-11)</f>
        <v>2</v>
      </c>
    </row>
    <row r="2037" spans="1:22" x14ac:dyDescent="0.35">
      <c r="A2037" s="4">
        <v>45565</v>
      </c>
      <c r="B2037" s="5">
        <v>0.8787962962962963</v>
      </c>
      <c r="C2037">
        <v>77.7</v>
      </c>
      <c r="D2037">
        <v>76.099999999999994</v>
      </c>
      <c r="E2037">
        <v>76.400000000000006</v>
      </c>
      <c r="F2037">
        <v>74</v>
      </c>
      <c r="G2037">
        <v>0</v>
      </c>
      <c r="H2037">
        <v>0</v>
      </c>
      <c r="I2037">
        <v>0</v>
      </c>
      <c r="J2037">
        <v>0</v>
      </c>
      <c r="K2037">
        <v>67.099999999999994</v>
      </c>
      <c r="L2037">
        <v>67</v>
      </c>
      <c r="M2037">
        <v>75.959999999999994</v>
      </c>
      <c r="N2037">
        <v>30</v>
      </c>
      <c r="O2037">
        <v>6</v>
      </c>
      <c r="P2037">
        <f>MOD(DAY(datos_siembra[[#This Row],[Date]]),7)</f>
        <v>2</v>
      </c>
      <c r="Q2037" t="str">
        <f>CHOOSE(WEEKDAY(datos_siembra[[#This Row],[Date]],2),"L","M","X","J","V","S","D")</f>
        <v>L</v>
      </c>
      <c r="R2037">
        <f>WEEKNUM(datos_siembra[[#This Row],[Date]],2)-WEEKNUM(DATE(YEAR(datos_siembra[[#This Row],[Date]]),MONTH(datos_siembra[[#This Row],[Date]]),1))+1</f>
        <v>5</v>
      </c>
      <c r="S2037">
        <f>MONTH(datos_siembra[[#This Row],[Date]])</f>
        <v>9</v>
      </c>
      <c r="T2037" t="str" cm="1">
        <f t="array" ref="T2037">_xlfn.IFS(AND(N2037&lt;= 22, S2037=9), "SOWING",AND(N2037&lt;= 28, S2037=9), "COVERAGE",AND(N2037&lt;= 30, S2037=9), "FLUSH",AND(N2037&lt;= 11, S2037=10), "FLUSH",AND(N2037&lt;= 21, S2037=10), "PRODUCTION")</f>
        <v>FLUSH</v>
      </c>
      <c r="U2037">
        <f>HOUR(datos_siembra[[#This Row],[Hour]])</f>
        <v>21</v>
      </c>
      <c r="V2037" cm="1">
        <f t="array" ref="V2037">_xlfn.IFS(AND(N2037&lt;= 22, S2037=9), N2037-7,AND(N2037&lt;= 28, S2037=9), N2037-25,AND(N2037&lt;= 30, S2037=9), N2037-28,AND(N2037&lt;= 11, S2037=10), N2037+2,AND(N2037&lt;= 21, S2037=10), N2037-11)</f>
        <v>2</v>
      </c>
    </row>
    <row r="2038" spans="1:22" x14ac:dyDescent="0.35">
      <c r="A2038" s="4">
        <v>45565</v>
      </c>
      <c r="B2038" s="5">
        <v>0.88574074074074072</v>
      </c>
      <c r="C2038">
        <v>77.599999999999994</v>
      </c>
      <c r="D2038">
        <v>76.2</v>
      </c>
      <c r="E2038">
        <v>76.400000000000006</v>
      </c>
      <c r="F2038">
        <v>73.7</v>
      </c>
      <c r="G2038">
        <v>0</v>
      </c>
      <c r="H2038">
        <v>0</v>
      </c>
      <c r="I2038">
        <v>0</v>
      </c>
      <c r="J2038">
        <v>0</v>
      </c>
      <c r="K2038">
        <v>66.900000000000006</v>
      </c>
      <c r="L2038">
        <v>66.8</v>
      </c>
      <c r="M2038">
        <v>75.900000000000006</v>
      </c>
      <c r="N2038">
        <v>30</v>
      </c>
      <c r="O2038">
        <v>6</v>
      </c>
      <c r="P2038">
        <f>MOD(DAY(datos_siembra[[#This Row],[Date]]),7)</f>
        <v>2</v>
      </c>
      <c r="Q2038" t="str">
        <f>CHOOSE(WEEKDAY(datos_siembra[[#This Row],[Date]],2),"L","M","X","J","V","S","D")</f>
        <v>L</v>
      </c>
      <c r="R2038">
        <f>WEEKNUM(datos_siembra[[#This Row],[Date]],2)-WEEKNUM(DATE(YEAR(datos_siembra[[#This Row],[Date]]),MONTH(datos_siembra[[#This Row],[Date]]),1))+1</f>
        <v>5</v>
      </c>
      <c r="S2038">
        <f>MONTH(datos_siembra[[#This Row],[Date]])</f>
        <v>9</v>
      </c>
      <c r="T2038" t="str" cm="1">
        <f t="array" ref="T2038">_xlfn.IFS(AND(N2038&lt;= 22, S2038=9), "SOWING",AND(N2038&lt;= 28, S2038=9), "COVERAGE",AND(N2038&lt;= 30, S2038=9), "FLUSH",AND(N2038&lt;= 11, S2038=10), "FLUSH",AND(N2038&lt;= 21, S2038=10), "PRODUCTION")</f>
        <v>FLUSH</v>
      </c>
      <c r="U2038">
        <f>HOUR(datos_siembra[[#This Row],[Hour]])</f>
        <v>21</v>
      </c>
      <c r="V2038" cm="1">
        <f t="array" ref="V2038">_xlfn.IFS(AND(N2038&lt;= 22, S2038=9), N2038-7,AND(N2038&lt;= 28, S2038=9), N2038-25,AND(N2038&lt;= 30, S2038=9), N2038-28,AND(N2038&lt;= 11, S2038=10), N2038+2,AND(N2038&lt;= 21, S2038=10), N2038-11)</f>
        <v>2</v>
      </c>
    </row>
    <row r="2039" spans="1:22" x14ac:dyDescent="0.35">
      <c r="A2039" s="4">
        <v>45565</v>
      </c>
      <c r="B2039" s="5">
        <v>0.89268518518518514</v>
      </c>
      <c r="C2039">
        <v>77.5</v>
      </c>
      <c r="D2039">
        <v>76</v>
      </c>
      <c r="E2039">
        <v>76.400000000000006</v>
      </c>
      <c r="F2039">
        <v>73.900000000000006</v>
      </c>
      <c r="G2039">
        <v>0</v>
      </c>
      <c r="H2039">
        <v>0</v>
      </c>
      <c r="I2039">
        <v>0</v>
      </c>
      <c r="J2039">
        <v>0</v>
      </c>
      <c r="K2039">
        <v>66</v>
      </c>
      <c r="L2039">
        <v>66</v>
      </c>
      <c r="M2039">
        <v>75.930000000000007</v>
      </c>
      <c r="N2039">
        <v>30</v>
      </c>
      <c r="O2039">
        <v>6</v>
      </c>
      <c r="P2039">
        <f>MOD(DAY(datos_siembra[[#This Row],[Date]]),7)</f>
        <v>2</v>
      </c>
      <c r="Q2039" t="str">
        <f>CHOOSE(WEEKDAY(datos_siembra[[#This Row],[Date]],2),"L","M","X","J","V","S","D")</f>
        <v>L</v>
      </c>
      <c r="R2039">
        <f>WEEKNUM(datos_siembra[[#This Row],[Date]],2)-WEEKNUM(DATE(YEAR(datos_siembra[[#This Row],[Date]]),MONTH(datos_siembra[[#This Row],[Date]]),1))+1</f>
        <v>5</v>
      </c>
      <c r="S2039">
        <f>MONTH(datos_siembra[[#This Row],[Date]])</f>
        <v>9</v>
      </c>
      <c r="T2039" t="str" cm="1">
        <f t="array" ref="T2039">_xlfn.IFS(AND(N2039&lt;= 22, S2039=9), "SOWING",AND(N2039&lt;= 28, S2039=9), "COVERAGE",AND(N2039&lt;= 30, S2039=9), "FLUSH",AND(N2039&lt;= 11, S2039=10), "FLUSH",AND(N2039&lt;= 21, S2039=10), "PRODUCTION")</f>
        <v>FLUSH</v>
      </c>
      <c r="U2039">
        <f>HOUR(datos_siembra[[#This Row],[Hour]])</f>
        <v>21</v>
      </c>
      <c r="V2039" cm="1">
        <f t="array" ref="V2039">_xlfn.IFS(AND(N2039&lt;= 22, S2039=9), N2039-7,AND(N2039&lt;= 28, S2039=9), N2039-25,AND(N2039&lt;= 30, S2039=9), N2039-28,AND(N2039&lt;= 11, S2039=10), N2039+2,AND(N2039&lt;= 21, S2039=10), N2039-11)</f>
        <v>2</v>
      </c>
    </row>
    <row r="2040" spans="1:22" x14ac:dyDescent="0.35">
      <c r="A2040" s="4">
        <v>45565</v>
      </c>
      <c r="B2040" s="5">
        <v>0.89962962962962967</v>
      </c>
      <c r="C2040">
        <v>77.599999999999994</v>
      </c>
      <c r="D2040">
        <v>76</v>
      </c>
      <c r="E2040">
        <v>76.400000000000006</v>
      </c>
      <c r="F2040">
        <v>74</v>
      </c>
      <c r="G2040">
        <v>0</v>
      </c>
      <c r="H2040">
        <v>0</v>
      </c>
      <c r="I2040">
        <v>0</v>
      </c>
      <c r="J2040">
        <v>0</v>
      </c>
      <c r="K2040">
        <v>65.5</v>
      </c>
      <c r="L2040">
        <v>65.5</v>
      </c>
      <c r="M2040">
        <v>75.87</v>
      </c>
      <c r="N2040">
        <v>30</v>
      </c>
      <c r="O2040">
        <v>6</v>
      </c>
      <c r="P2040">
        <f>MOD(DAY(datos_siembra[[#This Row],[Date]]),7)</f>
        <v>2</v>
      </c>
      <c r="Q2040" t="str">
        <f>CHOOSE(WEEKDAY(datos_siembra[[#This Row],[Date]],2),"L","M","X","J","V","S","D")</f>
        <v>L</v>
      </c>
      <c r="R2040">
        <f>WEEKNUM(datos_siembra[[#This Row],[Date]],2)-WEEKNUM(DATE(YEAR(datos_siembra[[#This Row],[Date]]),MONTH(datos_siembra[[#This Row],[Date]]),1))+1</f>
        <v>5</v>
      </c>
      <c r="S2040">
        <f>MONTH(datos_siembra[[#This Row],[Date]])</f>
        <v>9</v>
      </c>
      <c r="T2040" t="str" cm="1">
        <f t="array" ref="T2040">_xlfn.IFS(AND(N2040&lt;= 22, S2040=9), "SOWING",AND(N2040&lt;= 28, S2040=9), "COVERAGE",AND(N2040&lt;= 30, S2040=9), "FLUSH",AND(N2040&lt;= 11, S2040=10), "FLUSH",AND(N2040&lt;= 21, S2040=10), "PRODUCTION")</f>
        <v>FLUSH</v>
      </c>
      <c r="U2040">
        <f>HOUR(datos_siembra[[#This Row],[Hour]])</f>
        <v>21</v>
      </c>
      <c r="V2040" cm="1">
        <f t="array" ref="V2040">_xlfn.IFS(AND(N2040&lt;= 22, S2040=9), N2040-7,AND(N2040&lt;= 28, S2040=9), N2040-25,AND(N2040&lt;= 30, S2040=9), N2040-28,AND(N2040&lt;= 11, S2040=10), N2040+2,AND(N2040&lt;= 21, S2040=10), N2040-11)</f>
        <v>2</v>
      </c>
    </row>
    <row r="2041" spans="1:22" x14ac:dyDescent="0.35">
      <c r="A2041" s="4">
        <v>45565</v>
      </c>
      <c r="B2041" s="5">
        <v>0.90658564814814813</v>
      </c>
      <c r="C2041">
        <v>77.599999999999994</v>
      </c>
      <c r="D2041">
        <v>76.099999999999994</v>
      </c>
      <c r="E2041">
        <v>76.3</v>
      </c>
      <c r="F2041">
        <v>73.900000000000006</v>
      </c>
      <c r="G2041">
        <v>0</v>
      </c>
      <c r="H2041">
        <v>0</v>
      </c>
      <c r="I2041">
        <v>0</v>
      </c>
      <c r="J2041">
        <v>0</v>
      </c>
      <c r="K2041">
        <v>65.2</v>
      </c>
      <c r="L2041">
        <v>65.3</v>
      </c>
      <c r="M2041">
        <v>75.87</v>
      </c>
      <c r="N2041">
        <v>30</v>
      </c>
      <c r="O2041">
        <v>6</v>
      </c>
      <c r="P2041">
        <f>MOD(DAY(datos_siembra[[#This Row],[Date]]),7)</f>
        <v>2</v>
      </c>
      <c r="Q2041" t="str">
        <f>CHOOSE(WEEKDAY(datos_siembra[[#This Row],[Date]],2),"L","M","X","J","V","S","D")</f>
        <v>L</v>
      </c>
      <c r="R2041">
        <f>WEEKNUM(datos_siembra[[#This Row],[Date]],2)-WEEKNUM(DATE(YEAR(datos_siembra[[#This Row],[Date]]),MONTH(datos_siembra[[#This Row],[Date]]),1))+1</f>
        <v>5</v>
      </c>
      <c r="S2041">
        <f>MONTH(datos_siembra[[#This Row],[Date]])</f>
        <v>9</v>
      </c>
      <c r="T2041" t="str" cm="1">
        <f t="array" ref="T2041">_xlfn.IFS(AND(N2041&lt;= 22, S2041=9), "SOWING",AND(N2041&lt;= 28, S2041=9), "COVERAGE",AND(N2041&lt;= 30, S2041=9), "FLUSH",AND(N2041&lt;= 11, S2041=10), "FLUSH",AND(N2041&lt;= 21, S2041=10), "PRODUCTION")</f>
        <v>FLUSH</v>
      </c>
      <c r="U2041">
        <f>HOUR(datos_siembra[[#This Row],[Hour]])</f>
        <v>21</v>
      </c>
      <c r="V2041" cm="1">
        <f t="array" ref="V2041">_xlfn.IFS(AND(N2041&lt;= 22, S2041=9), N2041-7,AND(N2041&lt;= 28, S2041=9), N2041-25,AND(N2041&lt;= 30, S2041=9), N2041-28,AND(N2041&lt;= 11, S2041=10), N2041+2,AND(N2041&lt;= 21, S2041=10), N2041-11)</f>
        <v>2</v>
      </c>
    </row>
    <row r="2042" spans="1:22" x14ac:dyDescent="0.35">
      <c r="A2042" s="4">
        <v>45565</v>
      </c>
      <c r="B2042" s="5">
        <v>0.91353009259259255</v>
      </c>
      <c r="C2042">
        <v>77.599999999999994</v>
      </c>
      <c r="D2042">
        <v>76</v>
      </c>
      <c r="E2042">
        <v>76.3</v>
      </c>
      <c r="F2042">
        <v>73.900000000000006</v>
      </c>
      <c r="G2042">
        <v>0</v>
      </c>
      <c r="H2042">
        <v>0</v>
      </c>
      <c r="I2042">
        <v>0</v>
      </c>
      <c r="J2042">
        <v>0</v>
      </c>
      <c r="K2042">
        <v>65</v>
      </c>
      <c r="L2042">
        <v>65.099999999999994</v>
      </c>
      <c r="M2042">
        <v>75.930000000000007</v>
      </c>
      <c r="N2042">
        <v>30</v>
      </c>
      <c r="O2042">
        <v>6</v>
      </c>
      <c r="P2042">
        <f>MOD(DAY(datos_siembra[[#This Row],[Date]]),7)</f>
        <v>2</v>
      </c>
      <c r="Q2042" t="str">
        <f>CHOOSE(WEEKDAY(datos_siembra[[#This Row],[Date]],2),"L","M","X","J","V","S","D")</f>
        <v>L</v>
      </c>
      <c r="R2042">
        <f>WEEKNUM(datos_siembra[[#This Row],[Date]],2)-WEEKNUM(DATE(YEAR(datos_siembra[[#This Row],[Date]]),MONTH(datos_siembra[[#This Row],[Date]]),1))+1</f>
        <v>5</v>
      </c>
      <c r="S2042">
        <f>MONTH(datos_siembra[[#This Row],[Date]])</f>
        <v>9</v>
      </c>
      <c r="T2042" t="str" cm="1">
        <f t="array" ref="T2042">_xlfn.IFS(AND(N2042&lt;= 22, S2042=9), "SOWING",AND(N2042&lt;= 28, S2042=9), "COVERAGE",AND(N2042&lt;= 30, S2042=9), "FLUSH",AND(N2042&lt;= 11, S2042=10), "FLUSH",AND(N2042&lt;= 21, S2042=10), "PRODUCTION")</f>
        <v>FLUSH</v>
      </c>
      <c r="U2042">
        <f>HOUR(datos_siembra[[#This Row],[Hour]])</f>
        <v>21</v>
      </c>
      <c r="V2042" cm="1">
        <f t="array" ref="V2042">_xlfn.IFS(AND(N2042&lt;= 22, S2042=9), N2042-7,AND(N2042&lt;= 28, S2042=9), N2042-25,AND(N2042&lt;= 30, S2042=9), N2042-28,AND(N2042&lt;= 11, S2042=10), N2042+2,AND(N2042&lt;= 21, S2042=10), N2042-11)</f>
        <v>2</v>
      </c>
    </row>
    <row r="2043" spans="1:22" x14ac:dyDescent="0.35">
      <c r="A2043" s="4">
        <v>45565</v>
      </c>
      <c r="B2043" s="5">
        <v>0.92047453703703708</v>
      </c>
      <c r="C2043">
        <v>77.5</v>
      </c>
      <c r="D2043">
        <v>75.900000000000006</v>
      </c>
      <c r="E2043">
        <v>76.3</v>
      </c>
      <c r="F2043">
        <v>73.900000000000006</v>
      </c>
      <c r="G2043">
        <v>0</v>
      </c>
      <c r="H2043">
        <v>0</v>
      </c>
      <c r="I2043">
        <v>0</v>
      </c>
      <c r="J2043">
        <v>0</v>
      </c>
      <c r="K2043">
        <v>64.900000000000006</v>
      </c>
      <c r="L2043">
        <v>64.900000000000006</v>
      </c>
      <c r="M2043">
        <v>75.849999999999994</v>
      </c>
      <c r="N2043">
        <v>30</v>
      </c>
      <c r="O2043">
        <v>6</v>
      </c>
      <c r="P2043">
        <f>MOD(DAY(datos_siembra[[#This Row],[Date]]),7)</f>
        <v>2</v>
      </c>
      <c r="Q2043" t="str">
        <f>CHOOSE(WEEKDAY(datos_siembra[[#This Row],[Date]],2),"L","M","X","J","V","S","D")</f>
        <v>L</v>
      </c>
      <c r="R2043">
        <f>WEEKNUM(datos_siembra[[#This Row],[Date]],2)-WEEKNUM(DATE(YEAR(datos_siembra[[#This Row],[Date]]),MONTH(datos_siembra[[#This Row],[Date]]),1))+1</f>
        <v>5</v>
      </c>
      <c r="S2043">
        <f>MONTH(datos_siembra[[#This Row],[Date]])</f>
        <v>9</v>
      </c>
      <c r="T2043" t="str" cm="1">
        <f t="array" ref="T2043">_xlfn.IFS(AND(N2043&lt;= 22, S2043=9), "SOWING",AND(N2043&lt;= 28, S2043=9), "COVERAGE",AND(N2043&lt;= 30, S2043=9), "FLUSH",AND(N2043&lt;= 11, S2043=10), "FLUSH",AND(N2043&lt;= 21, S2043=10), "PRODUCTION")</f>
        <v>FLUSH</v>
      </c>
      <c r="U2043">
        <f>HOUR(datos_siembra[[#This Row],[Hour]])</f>
        <v>22</v>
      </c>
      <c r="V2043" cm="1">
        <f t="array" ref="V2043">_xlfn.IFS(AND(N2043&lt;= 22, S2043=9), N2043-7,AND(N2043&lt;= 28, S2043=9), N2043-25,AND(N2043&lt;= 30, S2043=9), N2043-28,AND(N2043&lt;= 11, S2043=10), N2043+2,AND(N2043&lt;= 21, S2043=10), N2043-11)</f>
        <v>2</v>
      </c>
    </row>
    <row r="2044" spans="1:22" x14ac:dyDescent="0.35">
      <c r="A2044" s="4">
        <v>45565</v>
      </c>
      <c r="B2044" s="5">
        <v>0.9274189814814815</v>
      </c>
      <c r="C2044">
        <v>77.5</v>
      </c>
      <c r="D2044">
        <v>76</v>
      </c>
      <c r="E2044">
        <v>76.3</v>
      </c>
      <c r="F2044">
        <v>73.599999999999994</v>
      </c>
      <c r="G2044">
        <v>0</v>
      </c>
      <c r="H2044">
        <v>0</v>
      </c>
      <c r="I2044">
        <v>0</v>
      </c>
      <c r="J2044">
        <v>0</v>
      </c>
      <c r="K2044">
        <v>64.7</v>
      </c>
      <c r="L2044">
        <v>64.900000000000006</v>
      </c>
      <c r="M2044">
        <v>75.760000000000005</v>
      </c>
      <c r="N2044">
        <v>30</v>
      </c>
      <c r="O2044">
        <v>6</v>
      </c>
      <c r="P2044">
        <f>MOD(DAY(datos_siembra[[#This Row],[Date]]),7)</f>
        <v>2</v>
      </c>
      <c r="Q2044" t="str">
        <f>CHOOSE(WEEKDAY(datos_siembra[[#This Row],[Date]],2),"L","M","X","J","V","S","D")</f>
        <v>L</v>
      </c>
      <c r="R2044">
        <f>WEEKNUM(datos_siembra[[#This Row],[Date]],2)-WEEKNUM(DATE(YEAR(datos_siembra[[#This Row],[Date]]),MONTH(datos_siembra[[#This Row],[Date]]),1))+1</f>
        <v>5</v>
      </c>
      <c r="S2044">
        <f>MONTH(datos_siembra[[#This Row],[Date]])</f>
        <v>9</v>
      </c>
      <c r="T2044" t="str" cm="1">
        <f t="array" ref="T2044">_xlfn.IFS(AND(N2044&lt;= 22, S2044=9), "SOWING",AND(N2044&lt;= 28, S2044=9), "COVERAGE",AND(N2044&lt;= 30, S2044=9), "FLUSH",AND(N2044&lt;= 11, S2044=10), "FLUSH",AND(N2044&lt;= 21, S2044=10), "PRODUCTION")</f>
        <v>FLUSH</v>
      </c>
      <c r="U2044">
        <f>HOUR(datos_siembra[[#This Row],[Hour]])</f>
        <v>22</v>
      </c>
      <c r="V2044" cm="1">
        <f t="array" ref="V2044">_xlfn.IFS(AND(N2044&lt;= 22, S2044=9), N2044-7,AND(N2044&lt;= 28, S2044=9), N2044-25,AND(N2044&lt;= 30, S2044=9), N2044-28,AND(N2044&lt;= 11, S2044=10), N2044+2,AND(N2044&lt;= 21, S2044=10), N2044-11)</f>
        <v>2</v>
      </c>
    </row>
    <row r="2045" spans="1:22" x14ac:dyDescent="0.35">
      <c r="A2045" s="4">
        <v>45565</v>
      </c>
      <c r="B2045" s="5">
        <v>0.93437499999999996</v>
      </c>
      <c r="C2045">
        <v>77.3</v>
      </c>
      <c r="D2045">
        <v>75.900000000000006</v>
      </c>
      <c r="E2045">
        <v>76.2</v>
      </c>
      <c r="F2045">
        <v>73.7</v>
      </c>
      <c r="G2045">
        <v>0</v>
      </c>
      <c r="H2045">
        <v>0</v>
      </c>
      <c r="I2045">
        <v>0</v>
      </c>
      <c r="J2045">
        <v>0</v>
      </c>
      <c r="K2045">
        <v>64.599999999999994</v>
      </c>
      <c r="L2045">
        <v>64.900000000000006</v>
      </c>
      <c r="M2045">
        <v>75.709999999999994</v>
      </c>
      <c r="N2045">
        <v>30</v>
      </c>
      <c r="O2045">
        <v>6</v>
      </c>
      <c r="P2045">
        <f>MOD(DAY(datos_siembra[[#This Row],[Date]]),7)</f>
        <v>2</v>
      </c>
      <c r="Q2045" t="str">
        <f>CHOOSE(WEEKDAY(datos_siembra[[#This Row],[Date]],2),"L","M","X","J","V","S","D")</f>
        <v>L</v>
      </c>
      <c r="R2045">
        <f>WEEKNUM(datos_siembra[[#This Row],[Date]],2)-WEEKNUM(DATE(YEAR(datos_siembra[[#This Row],[Date]]),MONTH(datos_siembra[[#This Row],[Date]]),1))+1</f>
        <v>5</v>
      </c>
      <c r="S2045">
        <f>MONTH(datos_siembra[[#This Row],[Date]])</f>
        <v>9</v>
      </c>
      <c r="T2045" t="str" cm="1">
        <f t="array" ref="T2045">_xlfn.IFS(AND(N2045&lt;= 22, S2045=9), "SOWING",AND(N2045&lt;= 28, S2045=9), "COVERAGE",AND(N2045&lt;= 30, S2045=9), "FLUSH",AND(N2045&lt;= 11, S2045=10), "FLUSH",AND(N2045&lt;= 21, S2045=10), "PRODUCTION")</f>
        <v>FLUSH</v>
      </c>
      <c r="U2045">
        <f>HOUR(datos_siembra[[#This Row],[Hour]])</f>
        <v>22</v>
      </c>
      <c r="V2045" cm="1">
        <f t="array" ref="V2045">_xlfn.IFS(AND(N2045&lt;= 22, S2045=9), N2045-7,AND(N2045&lt;= 28, S2045=9), N2045-25,AND(N2045&lt;= 30, S2045=9), N2045-28,AND(N2045&lt;= 11, S2045=10), N2045+2,AND(N2045&lt;= 21, S2045=10), N2045-11)</f>
        <v>2</v>
      </c>
    </row>
    <row r="2046" spans="1:22" x14ac:dyDescent="0.35">
      <c r="A2046" s="4">
        <v>45565</v>
      </c>
      <c r="B2046" s="5">
        <v>0.94131944444444449</v>
      </c>
      <c r="C2046">
        <v>77.5</v>
      </c>
      <c r="D2046">
        <v>76</v>
      </c>
      <c r="E2046">
        <v>76.2</v>
      </c>
      <c r="F2046">
        <v>73.7</v>
      </c>
      <c r="G2046">
        <v>0</v>
      </c>
      <c r="H2046">
        <v>0</v>
      </c>
      <c r="I2046">
        <v>0</v>
      </c>
      <c r="J2046">
        <v>0</v>
      </c>
      <c r="K2046">
        <v>64.400000000000006</v>
      </c>
      <c r="L2046">
        <v>64.599999999999994</v>
      </c>
      <c r="M2046">
        <v>75.760000000000005</v>
      </c>
      <c r="N2046">
        <v>30</v>
      </c>
      <c r="O2046">
        <v>6</v>
      </c>
      <c r="P2046">
        <f>MOD(DAY(datos_siembra[[#This Row],[Date]]),7)</f>
        <v>2</v>
      </c>
      <c r="Q2046" t="str">
        <f>CHOOSE(WEEKDAY(datos_siembra[[#This Row],[Date]],2),"L","M","X","J","V","S","D")</f>
        <v>L</v>
      </c>
      <c r="R2046">
        <f>WEEKNUM(datos_siembra[[#This Row],[Date]],2)-WEEKNUM(DATE(YEAR(datos_siembra[[#This Row],[Date]]),MONTH(datos_siembra[[#This Row],[Date]]),1))+1</f>
        <v>5</v>
      </c>
      <c r="S2046">
        <f>MONTH(datos_siembra[[#This Row],[Date]])</f>
        <v>9</v>
      </c>
      <c r="T2046" t="str" cm="1">
        <f t="array" ref="T2046">_xlfn.IFS(AND(N2046&lt;= 22, S2046=9), "SOWING",AND(N2046&lt;= 28, S2046=9), "COVERAGE",AND(N2046&lt;= 30, S2046=9), "FLUSH",AND(N2046&lt;= 11, S2046=10), "FLUSH",AND(N2046&lt;= 21, S2046=10), "PRODUCTION")</f>
        <v>FLUSH</v>
      </c>
      <c r="U2046">
        <f>HOUR(datos_siembra[[#This Row],[Hour]])</f>
        <v>22</v>
      </c>
      <c r="V2046" cm="1">
        <f t="array" ref="V2046">_xlfn.IFS(AND(N2046&lt;= 22, S2046=9), N2046-7,AND(N2046&lt;= 28, S2046=9), N2046-25,AND(N2046&lt;= 30, S2046=9), N2046-28,AND(N2046&lt;= 11, S2046=10), N2046+2,AND(N2046&lt;= 21, S2046=10), N2046-11)</f>
        <v>2</v>
      </c>
    </row>
    <row r="2047" spans="1:22" x14ac:dyDescent="0.35">
      <c r="A2047" s="4">
        <v>45565</v>
      </c>
      <c r="B2047" s="5">
        <v>0.94826388888888891</v>
      </c>
      <c r="C2047">
        <v>77.3</v>
      </c>
      <c r="D2047">
        <v>75.8</v>
      </c>
      <c r="E2047">
        <v>76.2</v>
      </c>
      <c r="F2047">
        <v>73.599999999999994</v>
      </c>
      <c r="G2047">
        <v>0</v>
      </c>
      <c r="H2047">
        <v>0</v>
      </c>
      <c r="I2047">
        <v>0</v>
      </c>
      <c r="J2047">
        <v>0</v>
      </c>
      <c r="K2047">
        <v>64.3</v>
      </c>
      <c r="L2047">
        <v>64.599999999999994</v>
      </c>
      <c r="M2047">
        <v>75.680000000000007</v>
      </c>
      <c r="N2047">
        <v>30</v>
      </c>
      <c r="O2047">
        <v>6</v>
      </c>
      <c r="P2047">
        <f>MOD(DAY(datos_siembra[[#This Row],[Date]]),7)</f>
        <v>2</v>
      </c>
      <c r="Q2047" t="str">
        <f>CHOOSE(WEEKDAY(datos_siembra[[#This Row],[Date]],2),"L","M","X","J","V","S","D")</f>
        <v>L</v>
      </c>
      <c r="R2047">
        <f>WEEKNUM(datos_siembra[[#This Row],[Date]],2)-WEEKNUM(DATE(YEAR(datos_siembra[[#This Row],[Date]]),MONTH(datos_siembra[[#This Row],[Date]]),1))+1</f>
        <v>5</v>
      </c>
      <c r="S2047">
        <f>MONTH(datos_siembra[[#This Row],[Date]])</f>
        <v>9</v>
      </c>
      <c r="T2047" t="str" cm="1">
        <f t="array" ref="T2047">_xlfn.IFS(AND(N2047&lt;= 22, S2047=9), "SOWING",AND(N2047&lt;= 28, S2047=9), "COVERAGE",AND(N2047&lt;= 30, S2047=9), "FLUSH",AND(N2047&lt;= 11, S2047=10), "FLUSH",AND(N2047&lt;= 21, S2047=10), "PRODUCTION")</f>
        <v>FLUSH</v>
      </c>
      <c r="U2047">
        <f>HOUR(datos_siembra[[#This Row],[Hour]])</f>
        <v>22</v>
      </c>
      <c r="V2047" cm="1">
        <f t="array" ref="V2047">_xlfn.IFS(AND(N2047&lt;= 22, S2047=9), N2047-7,AND(N2047&lt;= 28, S2047=9), N2047-25,AND(N2047&lt;= 30, S2047=9), N2047-28,AND(N2047&lt;= 11, S2047=10), N2047+2,AND(N2047&lt;= 21, S2047=10), N2047-11)</f>
        <v>2</v>
      </c>
    </row>
    <row r="2048" spans="1:22" x14ac:dyDescent="0.35">
      <c r="A2048" s="4">
        <v>45565</v>
      </c>
      <c r="B2048" s="5">
        <v>0.95521990740740736</v>
      </c>
      <c r="C2048">
        <v>77.5</v>
      </c>
      <c r="D2048">
        <v>75.900000000000006</v>
      </c>
      <c r="E2048">
        <v>76</v>
      </c>
      <c r="F2048">
        <v>73.7</v>
      </c>
      <c r="G2048">
        <v>0</v>
      </c>
      <c r="H2048">
        <v>0</v>
      </c>
      <c r="I2048">
        <v>0</v>
      </c>
      <c r="J2048">
        <v>0</v>
      </c>
      <c r="K2048">
        <v>64.2</v>
      </c>
      <c r="L2048">
        <v>64.5</v>
      </c>
      <c r="M2048">
        <v>75.680000000000007</v>
      </c>
      <c r="N2048">
        <v>30</v>
      </c>
      <c r="O2048">
        <v>6</v>
      </c>
      <c r="P2048">
        <f>MOD(DAY(datos_siembra[[#This Row],[Date]]),7)</f>
        <v>2</v>
      </c>
      <c r="Q2048" t="str">
        <f>CHOOSE(WEEKDAY(datos_siembra[[#This Row],[Date]],2),"L","M","X","J","V","S","D")</f>
        <v>L</v>
      </c>
      <c r="R2048">
        <f>WEEKNUM(datos_siembra[[#This Row],[Date]],2)-WEEKNUM(DATE(YEAR(datos_siembra[[#This Row],[Date]]),MONTH(datos_siembra[[#This Row],[Date]]),1))+1</f>
        <v>5</v>
      </c>
      <c r="S2048">
        <f>MONTH(datos_siembra[[#This Row],[Date]])</f>
        <v>9</v>
      </c>
      <c r="T2048" t="str" cm="1">
        <f t="array" ref="T2048">_xlfn.IFS(AND(N2048&lt;= 22, S2048=9), "SOWING",AND(N2048&lt;= 28, S2048=9), "COVERAGE",AND(N2048&lt;= 30, S2048=9), "FLUSH",AND(N2048&lt;= 11, S2048=10), "FLUSH",AND(N2048&lt;= 21, S2048=10), "PRODUCTION")</f>
        <v>FLUSH</v>
      </c>
      <c r="U2048">
        <f>HOUR(datos_siembra[[#This Row],[Hour]])</f>
        <v>22</v>
      </c>
      <c r="V2048" cm="1">
        <f t="array" ref="V2048">_xlfn.IFS(AND(N2048&lt;= 22, S2048=9), N2048-7,AND(N2048&lt;= 28, S2048=9), N2048-25,AND(N2048&lt;= 30, S2048=9), N2048-28,AND(N2048&lt;= 11, S2048=10), N2048+2,AND(N2048&lt;= 21, S2048=10), N2048-11)</f>
        <v>2</v>
      </c>
    </row>
    <row r="2049" spans="1:22" x14ac:dyDescent="0.35">
      <c r="A2049" s="4">
        <v>45565</v>
      </c>
      <c r="B2049" s="5">
        <v>0.9621643518518519</v>
      </c>
      <c r="C2049">
        <v>77.2</v>
      </c>
      <c r="D2049">
        <v>75.8</v>
      </c>
      <c r="E2049">
        <v>76.099999999999994</v>
      </c>
      <c r="F2049">
        <v>73.5</v>
      </c>
      <c r="G2049">
        <v>0</v>
      </c>
      <c r="H2049">
        <v>0</v>
      </c>
      <c r="I2049">
        <v>0</v>
      </c>
      <c r="J2049">
        <v>0</v>
      </c>
      <c r="K2049">
        <v>65.099999999999994</v>
      </c>
      <c r="L2049">
        <v>65.099999999999994</v>
      </c>
      <c r="M2049">
        <v>75.709999999999994</v>
      </c>
      <c r="N2049">
        <v>30</v>
      </c>
      <c r="O2049">
        <v>6</v>
      </c>
      <c r="P2049">
        <f>MOD(DAY(datos_siembra[[#This Row],[Date]]),7)</f>
        <v>2</v>
      </c>
      <c r="Q2049" t="str">
        <f>CHOOSE(WEEKDAY(datos_siembra[[#This Row],[Date]],2),"L","M","X","J","V","S","D")</f>
        <v>L</v>
      </c>
      <c r="R2049">
        <f>WEEKNUM(datos_siembra[[#This Row],[Date]],2)-WEEKNUM(DATE(YEAR(datos_siembra[[#This Row],[Date]]),MONTH(datos_siembra[[#This Row],[Date]]),1))+1</f>
        <v>5</v>
      </c>
      <c r="S2049">
        <f>MONTH(datos_siembra[[#This Row],[Date]])</f>
        <v>9</v>
      </c>
      <c r="T2049" t="str" cm="1">
        <f t="array" ref="T2049">_xlfn.IFS(AND(N2049&lt;= 22, S2049=9), "SOWING",AND(N2049&lt;= 28, S2049=9), "COVERAGE",AND(N2049&lt;= 30, S2049=9), "FLUSH",AND(N2049&lt;= 11, S2049=10), "FLUSH",AND(N2049&lt;= 21, S2049=10), "PRODUCTION")</f>
        <v>FLUSH</v>
      </c>
      <c r="U2049">
        <f>HOUR(datos_siembra[[#This Row],[Hour]])</f>
        <v>23</v>
      </c>
      <c r="V2049" cm="1">
        <f t="array" ref="V2049">_xlfn.IFS(AND(N2049&lt;= 22, S2049=9), N2049-7,AND(N2049&lt;= 28, S2049=9), N2049-25,AND(N2049&lt;= 30, S2049=9), N2049-28,AND(N2049&lt;= 11, S2049=10), N2049+2,AND(N2049&lt;= 21, S2049=10), N2049-11)</f>
        <v>2</v>
      </c>
    </row>
    <row r="2050" spans="1:22" x14ac:dyDescent="0.35">
      <c r="A2050" s="4">
        <v>45565</v>
      </c>
      <c r="B2050" s="5">
        <v>0.96910879629629632</v>
      </c>
      <c r="C2050">
        <v>77.2</v>
      </c>
      <c r="D2050">
        <v>76</v>
      </c>
      <c r="E2050">
        <v>76</v>
      </c>
      <c r="F2050">
        <v>73.599999999999994</v>
      </c>
      <c r="G2050">
        <v>0</v>
      </c>
      <c r="H2050">
        <v>0</v>
      </c>
      <c r="I2050">
        <v>0</v>
      </c>
      <c r="J2050">
        <v>0</v>
      </c>
      <c r="K2050">
        <v>65.5</v>
      </c>
      <c r="L2050">
        <v>65.5</v>
      </c>
      <c r="M2050">
        <v>75.650000000000006</v>
      </c>
      <c r="N2050">
        <v>30</v>
      </c>
      <c r="O2050">
        <v>6</v>
      </c>
      <c r="P2050">
        <f>MOD(DAY(datos_siembra[[#This Row],[Date]]),7)</f>
        <v>2</v>
      </c>
      <c r="Q2050" t="str">
        <f>CHOOSE(WEEKDAY(datos_siembra[[#This Row],[Date]],2),"L","M","X","J","V","S","D")</f>
        <v>L</v>
      </c>
      <c r="R2050">
        <f>WEEKNUM(datos_siembra[[#This Row],[Date]],2)-WEEKNUM(DATE(YEAR(datos_siembra[[#This Row],[Date]]),MONTH(datos_siembra[[#This Row],[Date]]),1))+1</f>
        <v>5</v>
      </c>
      <c r="S2050">
        <f>MONTH(datos_siembra[[#This Row],[Date]])</f>
        <v>9</v>
      </c>
      <c r="T2050" t="str" cm="1">
        <f t="array" ref="T2050">_xlfn.IFS(AND(N2050&lt;= 22, S2050=9), "SOWING",AND(N2050&lt;= 28, S2050=9), "COVERAGE",AND(N2050&lt;= 30, S2050=9), "FLUSH",AND(N2050&lt;= 11, S2050=10), "FLUSH",AND(N2050&lt;= 21, S2050=10), "PRODUCTION")</f>
        <v>FLUSH</v>
      </c>
      <c r="U2050">
        <f>HOUR(datos_siembra[[#This Row],[Hour]])</f>
        <v>23</v>
      </c>
      <c r="V2050" cm="1">
        <f t="array" ref="V2050">_xlfn.IFS(AND(N2050&lt;= 22, S2050=9), N2050-7,AND(N2050&lt;= 28, S2050=9), N2050-25,AND(N2050&lt;= 30, S2050=9), N2050-28,AND(N2050&lt;= 11, S2050=10), N2050+2,AND(N2050&lt;= 21, S2050=10), N2050-11)</f>
        <v>2</v>
      </c>
    </row>
    <row r="2051" spans="1:22" x14ac:dyDescent="0.35">
      <c r="A2051" s="4">
        <v>45565</v>
      </c>
      <c r="B2051" s="5">
        <v>0.97605324074074074</v>
      </c>
      <c r="C2051">
        <v>77.099999999999994</v>
      </c>
      <c r="D2051">
        <v>76</v>
      </c>
      <c r="E2051">
        <v>75.900000000000006</v>
      </c>
      <c r="F2051">
        <v>73.400000000000006</v>
      </c>
      <c r="G2051">
        <v>0</v>
      </c>
      <c r="H2051">
        <v>0</v>
      </c>
      <c r="I2051">
        <v>0</v>
      </c>
      <c r="J2051">
        <v>0</v>
      </c>
      <c r="K2051">
        <v>65.599999999999994</v>
      </c>
      <c r="L2051">
        <v>65.599999999999994</v>
      </c>
      <c r="M2051">
        <v>75.650000000000006</v>
      </c>
      <c r="N2051">
        <v>30</v>
      </c>
      <c r="O2051">
        <v>6</v>
      </c>
      <c r="P2051">
        <f>MOD(DAY(datos_siembra[[#This Row],[Date]]),7)</f>
        <v>2</v>
      </c>
      <c r="Q2051" t="str">
        <f>CHOOSE(WEEKDAY(datos_siembra[[#This Row],[Date]],2),"L","M","X","J","V","S","D")</f>
        <v>L</v>
      </c>
      <c r="R2051">
        <f>WEEKNUM(datos_siembra[[#This Row],[Date]],2)-WEEKNUM(DATE(YEAR(datos_siembra[[#This Row],[Date]]),MONTH(datos_siembra[[#This Row],[Date]]),1))+1</f>
        <v>5</v>
      </c>
      <c r="S2051">
        <f>MONTH(datos_siembra[[#This Row],[Date]])</f>
        <v>9</v>
      </c>
      <c r="T2051" t="str" cm="1">
        <f t="array" ref="T2051">_xlfn.IFS(AND(N2051&lt;= 22, S2051=9), "SOWING",AND(N2051&lt;= 28, S2051=9), "COVERAGE",AND(N2051&lt;= 30, S2051=9), "FLUSH",AND(N2051&lt;= 11, S2051=10), "FLUSH",AND(N2051&lt;= 21, S2051=10), "PRODUCTION")</f>
        <v>FLUSH</v>
      </c>
      <c r="U2051">
        <f>HOUR(datos_siembra[[#This Row],[Hour]])</f>
        <v>23</v>
      </c>
      <c r="V2051" cm="1">
        <f t="array" ref="V2051">_xlfn.IFS(AND(N2051&lt;= 22, S2051=9), N2051-7,AND(N2051&lt;= 28, S2051=9), N2051-25,AND(N2051&lt;= 30, S2051=9), N2051-28,AND(N2051&lt;= 11, S2051=10), N2051+2,AND(N2051&lt;= 21, S2051=10), N2051-11)</f>
        <v>2</v>
      </c>
    </row>
    <row r="2052" spans="1:22" x14ac:dyDescent="0.35">
      <c r="A2052" s="4">
        <v>45565</v>
      </c>
      <c r="B2052" s="5">
        <v>0.9830092592592593</v>
      </c>
      <c r="C2052">
        <v>77.2</v>
      </c>
      <c r="D2052">
        <v>75.599999999999994</v>
      </c>
      <c r="E2052">
        <v>75.900000000000006</v>
      </c>
      <c r="F2052">
        <v>73.5</v>
      </c>
      <c r="G2052">
        <v>0</v>
      </c>
      <c r="H2052">
        <v>0</v>
      </c>
      <c r="I2052">
        <v>0</v>
      </c>
      <c r="J2052">
        <v>0</v>
      </c>
      <c r="K2052">
        <v>65.900000000000006</v>
      </c>
      <c r="L2052">
        <v>65.900000000000006</v>
      </c>
      <c r="M2052">
        <v>75.569999999999993</v>
      </c>
      <c r="N2052">
        <v>30</v>
      </c>
      <c r="O2052">
        <v>6</v>
      </c>
      <c r="P2052">
        <f>MOD(DAY(datos_siembra[[#This Row],[Date]]),7)</f>
        <v>2</v>
      </c>
      <c r="Q2052" t="str">
        <f>CHOOSE(WEEKDAY(datos_siembra[[#This Row],[Date]],2),"L","M","X","J","V","S","D")</f>
        <v>L</v>
      </c>
      <c r="R2052">
        <f>WEEKNUM(datos_siembra[[#This Row],[Date]],2)-WEEKNUM(DATE(YEAR(datos_siembra[[#This Row],[Date]]),MONTH(datos_siembra[[#This Row],[Date]]),1))+1</f>
        <v>5</v>
      </c>
      <c r="S2052">
        <f>MONTH(datos_siembra[[#This Row],[Date]])</f>
        <v>9</v>
      </c>
      <c r="T2052" t="str" cm="1">
        <f t="array" ref="T2052">_xlfn.IFS(AND(N2052&lt;= 22, S2052=9), "SOWING",AND(N2052&lt;= 28, S2052=9), "COVERAGE",AND(N2052&lt;= 30, S2052=9), "FLUSH",AND(N2052&lt;= 11, S2052=10), "FLUSH",AND(N2052&lt;= 21, S2052=10), "PRODUCTION")</f>
        <v>FLUSH</v>
      </c>
      <c r="U2052">
        <f>HOUR(datos_siembra[[#This Row],[Hour]])</f>
        <v>23</v>
      </c>
      <c r="V2052" cm="1">
        <f t="array" ref="V2052">_xlfn.IFS(AND(N2052&lt;= 22, S2052=9), N2052-7,AND(N2052&lt;= 28, S2052=9), N2052-25,AND(N2052&lt;= 30, S2052=9), N2052-28,AND(N2052&lt;= 11, S2052=10), N2052+2,AND(N2052&lt;= 21, S2052=10), N2052-11)</f>
        <v>2</v>
      </c>
    </row>
    <row r="2053" spans="1:22" x14ac:dyDescent="0.35">
      <c r="A2053" s="4">
        <v>45565</v>
      </c>
      <c r="B2053" s="5">
        <v>0.98995370370370372</v>
      </c>
      <c r="C2053">
        <v>77.2</v>
      </c>
      <c r="D2053">
        <v>75.8</v>
      </c>
      <c r="E2053">
        <v>76.099999999999994</v>
      </c>
      <c r="F2053">
        <v>73.5</v>
      </c>
      <c r="G2053">
        <v>0</v>
      </c>
      <c r="H2053">
        <v>0</v>
      </c>
      <c r="I2053">
        <v>0</v>
      </c>
      <c r="J2053">
        <v>0</v>
      </c>
      <c r="K2053">
        <v>66</v>
      </c>
      <c r="L2053">
        <v>65.900000000000006</v>
      </c>
      <c r="M2053">
        <v>75.62</v>
      </c>
      <c r="N2053">
        <v>30</v>
      </c>
      <c r="O2053">
        <v>6</v>
      </c>
      <c r="P2053">
        <f>MOD(DAY(datos_siembra[[#This Row],[Date]]),7)</f>
        <v>2</v>
      </c>
      <c r="Q2053" t="str">
        <f>CHOOSE(WEEKDAY(datos_siembra[[#This Row],[Date]],2),"L","M","X","J","V","S","D")</f>
        <v>L</v>
      </c>
      <c r="R2053">
        <f>WEEKNUM(datos_siembra[[#This Row],[Date]],2)-WEEKNUM(DATE(YEAR(datos_siembra[[#This Row],[Date]]),MONTH(datos_siembra[[#This Row],[Date]]),1))+1</f>
        <v>5</v>
      </c>
      <c r="S2053">
        <f>MONTH(datos_siembra[[#This Row],[Date]])</f>
        <v>9</v>
      </c>
      <c r="T2053" t="str" cm="1">
        <f t="array" ref="T2053">_xlfn.IFS(AND(N2053&lt;= 22, S2053=9), "SOWING",AND(N2053&lt;= 28, S2053=9), "COVERAGE",AND(N2053&lt;= 30, S2053=9), "FLUSH",AND(N2053&lt;= 11, S2053=10), "FLUSH",AND(N2053&lt;= 21, S2053=10), "PRODUCTION")</f>
        <v>FLUSH</v>
      </c>
      <c r="U2053">
        <f>HOUR(datos_siembra[[#This Row],[Hour]])</f>
        <v>23</v>
      </c>
      <c r="V2053" cm="1">
        <f t="array" ref="V2053">_xlfn.IFS(AND(N2053&lt;= 22, S2053=9), N2053-7,AND(N2053&lt;= 28, S2053=9), N2053-25,AND(N2053&lt;= 30, S2053=9), N2053-28,AND(N2053&lt;= 11, S2053=10), N2053+2,AND(N2053&lt;= 21, S2053=10), N2053-11)</f>
        <v>2</v>
      </c>
    </row>
    <row r="2054" spans="1:22" x14ac:dyDescent="0.35">
      <c r="A2054" s="4">
        <v>45565</v>
      </c>
      <c r="B2054" s="5">
        <v>0.99689814814814814</v>
      </c>
      <c r="C2054">
        <v>77.2</v>
      </c>
      <c r="D2054">
        <v>75.8</v>
      </c>
      <c r="E2054">
        <v>76</v>
      </c>
      <c r="F2054">
        <v>73.5</v>
      </c>
      <c r="G2054">
        <v>0</v>
      </c>
      <c r="H2054">
        <v>0</v>
      </c>
      <c r="I2054">
        <v>0</v>
      </c>
      <c r="J2054">
        <v>0</v>
      </c>
      <c r="K2054">
        <v>66</v>
      </c>
      <c r="L2054">
        <v>66</v>
      </c>
      <c r="M2054">
        <v>75.59</v>
      </c>
      <c r="N2054">
        <v>30</v>
      </c>
      <c r="O2054">
        <v>6</v>
      </c>
      <c r="P2054">
        <f>MOD(DAY(datos_siembra[[#This Row],[Date]]),7)</f>
        <v>2</v>
      </c>
      <c r="Q2054" t="str">
        <f>CHOOSE(WEEKDAY(datos_siembra[[#This Row],[Date]],2),"L","M","X","J","V","S","D")</f>
        <v>L</v>
      </c>
      <c r="R2054">
        <f>WEEKNUM(datos_siembra[[#This Row],[Date]],2)-WEEKNUM(DATE(YEAR(datos_siembra[[#This Row],[Date]]),MONTH(datos_siembra[[#This Row],[Date]]),1))+1</f>
        <v>5</v>
      </c>
      <c r="S2054">
        <f>MONTH(datos_siembra[[#This Row],[Date]])</f>
        <v>9</v>
      </c>
      <c r="T2054" t="str" cm="1">
        <f t="array" ref="T2054">_xlfn.IFS(AND(N2054&lt;= 22, S2054=9), "SOWING",AND(N2054&lt;= 28, S2054=9), "COVERAGE",AND(N2054&lt;= 30, S2054=9), "FLUSH",AND(N2054&lt;= 11, S2054=10), "FLUSH",AND(N2054&lt;= 21, S2054=10), "PRODUCTION")</f>
        <v>FLUSH</v>
      </c>
      <c r="U2054">
        <f>HOUR(datos_siembra[[#This Row],[Hour]])</f>
        <v>23</v>
      </c>
      <c r="V2054" cm="1">
        <f t="array" ref="V2054">_xlfn.IFS(AND(N2054&lt;= 22, S2054=9), N2054-7,AND(N2054&lt;= 28, S2054=9), N2054-25,AND(N2054&lt;= 30, S2054=9), N2054-28,AND(N2054&lt;= 11, S2054=10), N2054+2,AND(N2054&lt;= 21, S2054=10), N2054-11)</f>
        <v>2</v>
      </c>
    </row>
    <row r="2055" spans="1:22" x14ac:dyDescent="0.35">
      <c r="A2055" s="4">
        <v>45566</v>
      </c>
      <c r="B2055" s="5">
        <v>3.8425925925925928E-3</v>
      </c>
      <c r="C2055">
        <v>77.2</v>
      </c>
      <c r="D2055">
        <v>75.599999999999994</v>
      </c>
      <c r="E2055">
        <v>75.900000000000006</v>
      </c>
      <c r="F2055">
        <v>73.400000000000006</v>
      </c>
      <c r="G2055">
        <v>0</v>
      </c>
      <c r="H2055">
        <v>0</v>
      </c>
      <c r="I2055">
        <v>0</v>
      </c>
      <c r="J2055">
        <v>0</v>
      </c>
      <c r="K2055">
        <v>66.099999999999994</v>
      </c>
      <c r="L2055">
        <v>66</v>
      </c>
      <c r="M2055">
        <v>75.62</v>
      </c>
      <c r="N2055">
        <v>1</v>
      </c>
      <c r="O2055">
        <v>7</v>
      </c>
      <c r="P2055">
        <f>MOD(DAY(datos_siembra[[#This Row],[Date]]),7)</f>
        <v>1</v>
      </c>
      <c r="Q2055" t="str">
        <f>CHOOSE(WEEKDAY(datos_siembra[[#This Row],[Date]],2),"L","M","X","J","V","S","D")</f>
        <v>M</v>
      </c>
      <c r="R2055">
        <f>WEEKNUM(datos_siembra[[#This Row],[Date]],2)-WEEKNUM(DATE(YEAR(datos_siembra[[#This Row],[Date]]),MONTH(datos_siembra[[#This Row],[Date]]),1))+1</f>
        <v>1</v>
      </c>
      <c r="S2055">
        <f>MONTH(datos_siembra[[#This Row],[Date]])</f>
        <v>10</v>
      </c>
      <c r="T2055" t="str" cm="1">
        <f t="array" ref="T2055">_xlfn.IFS(AND(N2055&lt;= 22, S2055=9), "SOWING",AND(N2055&lt;= 28, S2055=9), "COVERAGE",AND(N2055&lt;= 30, S2055=9), "FLUSH",AND(N2055&lt;= 11, S2055=10), "FLUSH",AND(N2055&lt;= 21, S2055=10), "PRODUCTION")</f>
        <v>FLUSH</v>
      </c>
      <c r="U2055">
        <f>HOUR(datos_siembra[[#This Row],[Hour]])</f>
        <v>0</v>
      </c>
      <c r="V2055" cm="1">
        <f t="array" ref="V2055">_xlfn.IFS(AND(N2055&lt;= 22, S2055=9), N2055-7,AND(N2055&lt;= 28, S2055=9), N2055-25,AND(N2055&lt;= 30, S2055=9), N2055-28,AND(N2055&lt;= 11, S2055=10), N2055+2,AND(N2055&lt;= 21, S2055=10), N2055-11)</f>
        <v>3</v>
      </c>
    </row>
    <row r="2056" spans="1:22" x14ac:dyDescent="0.35">
      <c r="A2056" s="4">
        <v>45566</v>
      </c>
      <c r="B2056" s="5">
        <v>1.0798611111111111E-2</v>
      </c>
      <c r="C2056">
        <v>77.099999999999994</v>
      </c>
      <c r="D2056">
        <v>75.8</v>
      </c>
      <c r="E2056">
        <v>75.8</v>
      </c>
      <c r="F2056">
        <v>73.5</v>
      </c>
      <c r="G2056">
        <v>0</v>
      </c>
      <c r="H2056">
        <v>0</v>
      </c>
      <c r="I2056">
        <v>0</v>
      </c>
      <c r="J2056">
        <v>0</v>
      </c>
      <c r="K2056">
        <v>66.099999999999994</v>
      </c>
      <c r="L2056">
        <v>66.099999999999994</v>
      </c>
      <c r="M2056">
        <v>75.540000000000006</v>
      </c>
      <c r="N2056">
        <v>1</v>
      </c>
      <c r="O2056">
        <v>7</v>
      </c>
      <c r="P2056">
        <f>MOD(DAY(datos_siembra[[#This Row],[Date]]),7)</f>
        <v>1</v>
      </c>
      <c r="Q2056" t="str">
        <f>CHOOSE(WEEKDAY(datos_siembra[[#This Row],[Date]],2),"L","M","X","J","V","S","D")</f>
        <v>M</v>
      </c>
      <c r="R2056">
        <f>WEEKNUM(datos_siembra[[#This Row],[Date]],2)-WEEKNUM(DATE(YEAR(datos_siembra[[#This Row],[Date]]),MONTH(datos_siembra[[#This Row],[Date]]),1))+1</f>
        <v>1</v>
      </c>
      <c r="S2056">
        <f>MONTH(datos_siembra[[#This Row],[Date]])</f>
        <v>10</v>
      </c>
      <c r="T2056" t="str" cm="1">
        <f t="array" ref="T2056">_xlfn.IFS(AND(N2056&lt;= 22, S2056=9), "SOWING",AND(N2056&lt;= 28, S2056=9), "COVERAGE",AND(N2056&lt;= 30, S2056=9), "FLUSH",AND(N2056&lt;= 11, S2056=10), "FLUSH",AND(N2056&lt;= 21, S2056=10), "PRODUCTION")</f>
        <v>FLUSH</v>
      </c>
      <c r="U2056">
        <f>HOUR(datos_siembra[[#This Row],[Hour]])</f>
        <v>0</v>
      </c>
      <c r="V2056" cm="1">
        <f t="array" ref="V2056">_xlfn.IFS(AND(N2056&lt;= 22, S2056=9), N2056-7,AND(N2056&lt;= 28, S2056=9), N2056-25,AND(N2056&lt;= 30, S2056=9), N2056-28,AND(N2056&lt;= 11, S2056=10), N2056+2,AND(N2056&lt;= 21, S2056=10), N2056-11)</f>
        <v>3</v>
      </c>
    </row>
    <row r="2057" spans="1:22" x14ac:dyDescent="0.35">
      <c r="A2057" s="4">
        <v>45566</v>
      </c>
      <c r="B2057" s="5">
        <v>1.7743055555555557E-2</v>
      </c>
      <c r="C2057">
        <v>77.099999999999994</v>
      </c>
      <c r="D2057">
        <v>75.8</v>
      </c>
      <c r="E2057">
        <v>75.900000000000006</v>
      </c>
      <c r="F2057">
        <v>73.400000000000006</v>
      </c>
      <c r="G2057">
        <v>0</v>
      </c>
      <c r="H2057">
        <v>0</v>
      </c>
      <c r="I2057">
        <v>0</v>
      </c>
      <c r="J2057">
        <v>0</v>
      </c>
      <c r="K2057">
        <v>66.2</v>
      </c>
      <c r="L2057">
        <v>66.099999999999994</v>
      </c>
      <c r="M2057">
        <v>75.48</v>
      </c>
      <c r="N2057">
        <v>1</v>
      </c>
      <c r="O2057">
        <v>7</v>
      </c>
      <c r="P2057">
        <f>MOD(DAY(datos_siembra[[#This Row],[Date]]),7)</f>
        <v>1</v>
      </c>
      <c r="Q2057" t="str">
        <f>CHOOSE(WEEKDAY(datos_siembra[[#This Row],[Date]],2),"L","M","X","J","V","S","D")</f>
        <v>M</v>
      </c>
      <c r="R2057">
        <f>WEEKNUM(datos_siembra[[#This Row],[Date]],2)-WEEKNUM(DATE(YEAR(datos_siembra[[#This Row],[Date]]),MONTH(datos_siembra[[#This Row],[Date]]),1))+1</f>
        <v>1</v>
      </c>
      <c r="S2057">
        <f>MONTH(datos_siembra[[#This Row],[Date]])</f>
        <v>10</v>
      </c>
      <c r="T2057" t="str" cm="1">
        <f t="array" ref="T2057">_xlfn.IFS(AND(N2057&lt;= 22, S2057=9), "SOWING",AND(N2057&lt;= 28, S2057=9), "COVERAGE",AND(N2057&lt;= 30, S2057=9), "FLUSH",AND(N2057&lt;= 11, S2057=10), "FLUSH",AND(N2057&lt;= 21, S2057=10), "PRODUCTION")</f>
        <v>FLUSH</v>
      </c>
      <c r="U2057">
        <f>HOUR(datos_siembra[[#This Row],[Hour]])</f>
        <v>0</v>
      </c>
      <c r="V2057" cm="1">
        <f t="array" ref="V2057">_xlfn.IFS(AND(N2057&lt;= 22, S2057=9), N2057-7,AND(N2057&lt;= 28, S2057=9), N2057-25,AND(N2057&lt;= 30, S2057=9), N2057-28,AND(N2057&lt;= 11, S2057=10), N2057+2,AND(N2057&lt;= 21, S2057=10), N2057-11)</f>
        <v>3</v>
      </c>
    </row>
    <row r="2058" spans="1:22" x14ac:dyDescent="0.35">
      <c r="A2058" s="4">
        <v>45566</v>
      </c>
      <c r="B2058" s="5">
        <v>2.4687500000000001E-2</v>
      </c>
      <c r="C2058">
        <v>77.099999999999994</v>
      </c>
      <c r="D2058">
        <v>75.8</v>
      </c>
      <c r="E2058">
        <v>75.900000000000006</v>
      </c>
      <c r="F2058">
        <v>73.5</v>
      </c>
      <c r="G2058">
        <v>0</v>
      </c>
      <c r="H2058">
        <v>0</v>
      </c>
      <c r="I2058">
        <v>0</v>
      </c>
      <c r="J2058">
        <v>0</v>
      </c>
      <c r="K2058">
        <v>66.099999999999994</v>
      </c>
      <c r="L2058">
        <v>66.099999999999994</v>
      </c>
      <c r="M2058">
        <v>75.48</v>
      </c>
      <c r="N2058">
        <v>1</v>
      </c>
      <c r="O2058">
        <v>7</v>
      </c>
      <c r="P2058">
        <f>MOD(DAY(datos_siembra[[#This Row],[Date]]),7)</f>
        <v>1</v>
      </c>
      <c r="Q2058" t="str">
        <f>CHOOSE(WEEKDAY(datos_siembra[[#This Row],[Date]],2),"L","M","X","J","V","S","D")</f>
        <v>M</v>
      </c>
      <c r="R2058">
        <f>WEEKNUM(datos_siembra[[#This Row],[Date]],2)-WEEKNUM(DATE(YEAR(datos_siembra[[#This Row],[Date]]),MONTH(datos_siembra[[#This Row],[Date]]),1))+1</f>
        <v>1</v>
      </c>
      <c r="S2058">
        <f>MONTH(datos_siembra[[#This Row],[Date]])</f>
        <v>10</v>
      </c>
      <c r="T2058" t="str" cm="1">
        <f t="array" ref="T2058">_xlfn.IFS(AND(N2058&lt;= 22, S2058=9), "SOWING",AND(N2058&lt;= 28, S2058=9), "COVERAGE",AND(N2058&lt;= 30, S2058=9), "FLUSH",AND(N2058&lt;= 11, S2058=10), "FLUSH",AND(N2058&lt;= 21, S2058=10), "PRODUCTION")</f>
        <v>FLUSH</v>
      </c>
      <c r="U2058">
        <f>HOUR(datos_siembra[[#This Row],[Hour]])</f>
        <v>0</v>
      </c>
      <c r="V2058" cm="1">
        <f t="array" ref="V2058">_xlfn.IFS(AND(N2058&lt;= 22, S2058=9), N2058-7,AND(N2058&lt;= 28, S2058=9), N2058-25,AND(N2058&lt;= 30, S2058=9), N2058-28,AND(N2058&lt;= 11, S2058=10), N2058+2,AND(N2058&lt;= 21, S2058=10), N2058-11)</f>
        <v>3</v>
      </c>
    </row>
    <row r="2059" spans="1:22" x14ac:dyDescent="0.35">
      <c r="A2059" s="4">
        <v>45566</v>
      </c>
      <c r="B2059" s="5">
        <v>3.1631944444444442E-2</v>
      </c>
      <c r="C2059">
        <v>77.099999999999994</v>
      </c>
      <c r="D2059">
        <v>75.599999999999994</v>
      </c>
      <c r="E2059">
        <v>75.900000000000006</v>
      </c>
      <c r="F2059">
        <v>73.3</v>
      </c>
      <c r="G2059">
        <v>0</v>
      </c>
      <c r="H2059">
        <v>0</v>
      </c>
      <c r="I2059">
        <v>0</v>
      </c>
      <c r="J2059">
        <v>0</v>
      </c>
      <c r="K2059">
        <v>65.099999999999994</v>
      </c>
      <c r="L2059">
        <v>65.2</v>
      </c>
      <c r="M2059">
        <v>75.510000000000005</v>
      </c>
      <c r="N2059">
        <v>1</v>
      </c>
      <c r="O2059">
        <v>7</v>
      </c>
      <c r="P2059">
        <f>MOD(DAY(datos_siembra[[#This Row],[Date]]),7)</f>
        <v>1</v>
      </c>
      <c r="Q2059" t="str">
        <f>CHOOSE(WEEKDAY(datos_siembra[[#This Row],[Date]],2),"L","M","X","J","V","S","D")</f>
        <v>M</v>
      </c>
      <c r="R2059">
        <f>WEEKNUM(datos_siembra[[#This Row],[Date]],2)-WEEKNUM(DATE(YEAR(datos_siembra[[#This Row],[Date]]),MONTH(datos_siembra[[#This Row],[Date]]),1))+1</f>
        <v>1</v>
      </c>
      <c r="S2059">
        <f>MONTH(datos_siembra[[#This Row],[Date]])</f>
        <v>10</v>
      </c>
      <c r="T2059" t="str" cm="1">
        <f t="array" ref="T2059">_xlfn.IFS(AND(N2059&lt;= 22, S2059=9), "SOWING",AND(N2059&lt;= 28, S2059=9), "COVERAGE",AND(N2059&lt;= 30, S2059=9), "FLUSH",AND(N2059&lt;= 11, S2059=10), "FLUSH",AND(N2059&lt;= 21, S2059=10), "PRODUCTION")</f>
        <v>FLUSH</v>
      </c>
      <c r="U2059">
        <f>HOUR(datos_siembra[[#This Row],[Hour]])</f>
        <v>0</v>
      </c>
      <c r="V2059" cm="1">
        <f t="array" ref="V2059">_xlfn.IFS(AND(N2059&lt;= 22, S2059=9), N2059-7,AND(N2059&lt;= 28, S2059=9), N2059-25,AND(N2059&lt;= 30, S2059=9), N2059-28,AND(N2059&lt;= 11, S2059=10), N2059+2,AND(N2059&lt;= 21, S2059=10), N2059-11)</f>
        <v>3</v>
      </c>
    </row>
    <row r="2060" spans="1:22" x14ac:dyDescent="0.35">
      <c r="A2060" s="4">
        <v>45566</v>
      </c>
      <c r="B2060" s="5">
        <v>3.8587962962962963E-2</v>
      </c>
      <c r="C2060">
        <v>77.099999999999994</v>
      </c>
      <c r="D2060">
        <v>75.599999999999994</v>
      </c>
      <c r="E2060">
        <v>75.900000000000006</v>
      </c>
      <c r="F2060">
        <v>73.400000000000006</v>
      </c>
      <c r="G2060">
        <v>0</v>
      </c>
      <c r="H2060">
        <v>0</v>
      </c>
      <c r="I2060">
        <v>0</v>
      </c>
      <c r="J2060">
        <v>0</v>
      </c>
      <c r="K2060">
        <v>64.599999999999994</v>
      </c>
      <c r="L2060">
        <v>64.599999999999994</v>
      </c>
      <c r="M2060">
        <v>75.42</v>
      </c>
      <c r="N2060">
        <v>1</v>
      </c>
      <c r="O2060">
        <v>7</v>
      </c>
      <c r="P2060">
        <f>MOD(DAY(datos_siembra[[#This Row],[Date]]),7)</f>
        <v>1</v>
      </c>
      <c r="Q2060" t="str">
        <f>CHOOSE(WEEKDAY(datos_siembra[[#This Row],[Date]],2),"L","M","X","J","V","S","D")</f>
        <v>M</v>
      </c>
      <c r="R2060">
        <f>WEEKNUM(datos_siembra[[#This Row],[Date]],2)-WEEKNUM(DATE(YEAR(datos_siembra[[#This Row],[Date]]),MONTH(datos_siembra[[#This Row],[Date]]),1))+1</f>
        <v>1</v>
      </c>
      <c r="S2060">
        <f>MONTH(datos_siembra[[#This Row],[Date]])</f>
        <v>10</v>
      </c>
      <c r="T2060" t="str" cm="1">
        <f t="array" ref="T2060">_xlfn.IFS(AND(N2060&lt;= 22, S2060=9), "SOWING",AND(N2060&lt;= 28, S2060=9), "COVERAGE",AND(N2060&lt;= 30, S2060=9), "FLUSH",AND(N2060&lt;= 11, S2060=10), "FLUSH",AND(N2060&lt;= 21, S2060=10), "PRODUCTION")</f>
        <v>FLUSH</v>
      </c>
      <c r="U2060">
        <f>HOUR(datos_siembra[[#This Row],[Hour]])</f>
        <v>0</v>
      </c>
      <c r="V2060" cm="1">
        <f t="array" ref="V2060">_xlfn.IFS(AND(N2060&lt;= 22, S2060=9), N2060-7,AND(N2060&lt;= 28, S2060=9), N2060-25,AND(N2060&lt;= 30, S2060=9), N2060-28,AND(N2060&lt;= 11, S2060=10), N2060+2,AND(N2060&lt;= 21, S2060=10), N2060-11)</f>
        <v>3</v>
      </c>
    </row>
    <row r="2061" spans="1:22" x14ac:dyDescent="0.35">
      <c r="A2061" s="4">
        <v>45566</v>
      </c>
      <c r="B2061" s="5">
        <v>4.553240740740741E-2</v>
      </c>
      <c r="C2061">
        <v>77.099999999999994</v>
      </c>
      <c r="D2061">
        <v>75.8</v>
      </c>
      <c r="E2061">
        <v>75.900000000000006</v>
      </c>
      <c r="F2061">
        <v>73.3</v>
      </c>
      <c r="G2061">
        <v>0</v>
      </c>
      <c r="H2061">
        <v>0</v>
      </c>
      <c r="I2061">
        <v>0</v>
      </c>
      <c r="J2061">
        <v>0</v>
      </c>
      <c r="K2061">
        <v>64.3</v>
      </c>
      <c r="L2061">
        <v>64.400000000000006</v>
      </c>
      <c r="M2061">
        <v>75.48</v>
      </c>
      <c r="N2061">
        <v>1</v>
      </c>
      <c r="O2061">
        <v>7</v>
      </c>
      <c r="P2061">
        <f>MOD(DAY(datos_siembra[[#This Row],[Date]]),7)</f>
        <v>1</v>
      </c>
      <c r="Q2061" t="str">
        <f>CHOOSE(WEEKDAY(datos_siembra[[#This Row],[Date]],2),"L","M","X","J","V","S","D")</f>
        <v>M</v>
      </c>
      <c r="R2061">
        <f>WEEKNUM(datos_siembra[[#This Row],[Date]],2)-WEEKNUM(DATE(YEAR(datos_siembra[[#This Row],[Date]]),MONTH(datos_siembra[[#This Row],[Date]]),1))+1</f>
        <v>1</v>
      </c>
      <c r="S2061">
        <f>MONTH(datos_siembra[[#This Row],[Date]])</f>
        <v>10</v>
      </c>
      <c r="T2061" t="str" cm="1">
        <f t="array" ref="T2061">_xlfn.IFS(AND(N2061&lt;= 22, S2061=9), "SOWING",AND(N2061&lt;= 28, S2061=9), "COVERAGE",AND(N2061&lt;= 30, S2061=9), "FLUSH",AND(N2061&lt;= 11, S2061=10), "FLUSH",AND(N2061&lt;= 21, S2061=10), "PRODUCTION")</f>
        <v>FLUSH</v>
      </c>
      <c r="U2061">
        <f>HOUR(datos_siembra[[#This Row],[Hour]])</f>
        <v>1</v>
      </c>
      <c r="V2061" cm="1">
        <f t="array" ref="V2061">_xlfn.IFS(AND(N2061&lt;= 22, S2061=9), N2061-7,AND(N2061&lt;= 28, S2061=9), N2061-25,AND(N2061&lt;= 30, S2061=9), N2061-28,AND(N2061&lt;= 11, S2061=10), N2061+2,AND(N2061&lt;= 21, S2061=10), N2061-11)</f>
        <v>3</v>
      </c>
    </row>
    <row r="2062" spans="1:22" x14ac:dyDescent="0.35">
      <c r="A2062" s="4">
        <v>45566</v>
      </c>
      <c r="B2062" s="5">
        <v>5.2476851851851851E-2</v>
      </c>
      <c r="C2062">
        <v>77</v>
      </c>
      <c r="D2062">
        <v>75.8</v>
      </c>
      <c r="E2062">
        <v>75.599999999999994</v>
      </c>
      <c r="F2062">
        <v>73.3</v>
      </c>
      <c r="G2062">
        <v>0</v>
      </c>
      <c r="H2062">
        <v>0</v>
      </c>
      <c r="I2062">
        <v>0</v>
      </c>
      <c r="J2062">
        <v>0</v>
      </c>
      <c r="K2062">
        <v>64.7</v>
      </c>
      <c r="L2062">
        <v>64.900000000000006</v>
      </c>
      <c r="M2062">
        <v>75.37</v>
      </c>
      <c r="N2062">
        <v>1</v>
      </c>
      <c r="O2062">
        <v>7</v>
      </c>
      <c r="P2062">
        <f>MOD(DAY(datos_siembra[[#This Row],[Date]]),7)</f>
        <v>1</v>
      </c>
      <c r="Q2062" t="str">
        <f>CHOOSE(WEEKDAY(datos_siembra[[#This Row],[Date]],2),"L","M","X","J","V","S","D")</f>
        <v>M</v>
      </c>
      <c r="R2062">
        <f>WEEKNUM(datos_siembra[[#This Row],[Date]],2)-WEEKNUM(DATE(YEAR(datos_siembra[[#This Row],[Date]]),MONTH(datos_siembra[[#This Row],[Date]]),1))+1</f>
        <v>1</v>
      </c>
      <c r="S2062">
        <f>MONTH(datos_siembra[[#This Row],[Date]])</f>
        <v>10</v>
      </c>
      <c r="T2062" t="str" cm="1">
        <f t="array" ref="T2062">_xlfn.IFS(AND(N2062&lt;= 22, S2062=9), "SOWING",AND(N2062&lt;= 28, S2062=9), "COVERAGE",AND(N2062&lt;= 30, S2062=9), "FLUSH",AND(N2062&lt;= 11, S2062=10), "FLUSH",AND(N2062&lt;= 21, S2062=10), "PRODUCTION")</f>
        <v>FLUSH</v>
      </c>
      <c r="U2062">
        <f>HOUR(datos_siembra[[#This Row],[Hour]])</f>
        <v>1</v>
      </c>
      <c r="V2062" cm="1">
        <f t="array" ref="V2062">_xlfn.IFS(AND(N2062&lt;= 22, S2062=9), N2062-7,AND(N2062&lt;= 28, S2062=9), N2062-25,AND(N2062&lt;= 30, S2062=9), N2062-28,AND(N2062&lt;= 11, S2062=10), N2062+2,AND(N2062&lt;= 21, S2062=10), N2062-11)</f>
        <v>3</v>
      </c>
    </row>
    <row r="2063" spans="1:22" x14ac:dyDescent="0.35">
      <c r="A2063" s="4">
        <v>45566</v>
      </c>
      <c r="B2063" s="5">
        <v>5.9432870370370372E-2</v>
      </c>
      <c r="C2063">
        <v>76.900000000000006</v>
      </c>
      <c r="D2063">
        <v>75.8</v>
      </c>
      <c r="E2063">
        <v>75.599999999999994</v>
      </c>
      <c r="F2063">
        <v>73.3</v>
      </c>
      <c r="G2063">
        <v>0</v>
      </c>
      <c r="H2063">
        <v>0</v>
      </c>
      <c r="I2063">
        <v>0</v>
      </c>
      <c r="J2063">
        <v>0</v>
      </c>
      <c r="K2063">
        <v>65.3</v>
      </c>
      <c r="L2063">
        <v>65.3</v>
      </c>
      <c r="M2063">
        <v>75.42</v>
      </c>
      <c r="N2063">
        <v>1</v>
      </c>
      <c r="O2063">
        <v>7</v>
      </c>
      <c r="P2063">
        <f>MOD(DAY(datos_siembra[[#This Row],[Date]]),7)</f>
        <v>1</v>
      </c>
      <c r="Q2063" t="str">
        <f>CHOOSE(WEEKDAY(datos_siembra[[#This Row],[Date]],2),"L","M","X","J","V","S","D")</f>
        <v>M</v>
      </c>
      <c r="R2063">
        <f>WEEKNUM(datos_siembra[[#This Row],[Date]],2)-WEEKNUM(DATE(YEAR(datos_siembra[[#This Row],[Date]]),MONTH(datos_siembra[[#This Row],[Date]]),1))+1</f>
        <v>1</v>
      </c>
      <c r="S2063">
        <f>MONTH(datos_siembra[[#This Row],[Date]])</f>
        <v>10</v>
      </c>
      <c r="T2063" t="str" cm="1">
        <f t="array" ref="T2063">_xlfn.IFS(AND(N2063&lt;= 22, S2063=9), "SOWING",AND(N2063&lt;= 28, S2063=9), "COVERAGE",AND(N2063&lt;= 30, S2063=9), "FLUSH",AND(N2063&lt;= 11, S2063=10), "FLUSH",AND(N2063&lt;= 21, S2063=10), "PRODUCTION")</f>
        <v>FLUSH</v>
      </c>
      <c r="U2063">
        <f>HOUR(datos_siembra[[#This Row],[Hour]])</f>
        <v>1</v>
      </c>
      <c r="V2063" cm="1">
        <f t="array" ref="V2063">_xlfn.IFS(AND(N2063&lt;= 22, S2063=9), N2063-7,AND(N2063&lt;= 28, S2063=9), N2063-25,AND(N2063&lt;= 30, S2063=9), N2063-28,AND(N2063&lt;= 11, S2063=10), N2063+2,AND(N2063&lt;= 21, S2063=10), N2063-11)</f>
        <v>3</v>
      </c>
    </row>
    <row r="2064" spans="1:22" x14ac:dyDescent="0.35">
      <c r="A2064" s="4">
        <v>45566</v>
      </c>
      <c r="B2064" s="5">
        <v>6.637731481481482E-2</v>
      </c>
      <c r="C2064">
        <v>76.900000000000006</v>
      </c>
      <c r="D2064">
        <v>75.599999999999994</v>
      </c>
      <c r="E2064">
        <v>75.599999999999994</v>
      </c>
      <c r="F2064">
        <v>73.3</v>
      </c>
      <c r="G2064">
        <v>0</v>
      </c>
      <c r="H2064">
        <v>0</v>
      </c>
      <c r="I2064">
        <v>0</v>
      </c>
      <c r="J2064">
        <v>0</v>
      </c>
      <c r="K2064">
        <v>65.5</v>
      </c>
      <c r="L2064">
        <v>65.5</v>
      </c>
      <c r="M2064">
        <v>75.28</v>
      </c>
      <c r="N2064">
        <v>1</v>
      </c>
      <c r="O2064">
        <v>7</v>
      </c>
      <c r="P2064">
        <f>MOD(DAY(datos_siembra[[#This Row],[Date]]),7)</f>
        <v>1</v>
      </c>
      <c r="Q2064" t="str">
        <f>CHOOSE(WEEKDAY(datos_siembra[[#This Row],[Date]],2),"L","M","X","J","V","S","D")</f>
        <v>M</v>
      </c>
      <c r="R2064">
        <f>WEEKNUM(datos_siembra[[#This Row],[Date]],2)-WEEKNUM(DATE(YEAR(datos_siembra[[#This Row],[Date]]),MONTH(datos_siembra[[#This Row],[Date]]),1))+1</f>
        <v>1</v>
      </c>
      <c r="S2064">
        <f>MONTH(datos_siembra[[#This Row],[Date]])</f>
        <v>10</v>
      </c>
      <c r="T2064" t="str" cm="1">
        <f t="array" ref="T2064">_xlfn.IFS(AND(N2064&lt;= 22, S2064=9), "SOWING",AND(N2064&lt;= 28, S2064=9), "COVERAGE",AND(N2064&lt;= 30, S2064=9), "FLUSH",AND(N2064&lt;= 11, S2064=10), "FLUSH",AND(N2064&lt;= 21, S2064=10), "PRODUCTION")</f>
        <v>FLUSH</v>
      </c>
      <c r="U2064">
        <f>HOUR(datos_siembra[[#This Row],[Hour]])</f>
        <v>1</v>
      </c>
      <c r="V2064" cm="1">
        <f t="array" ref="V2064">_xlfn.IFS(AND(N2064&lt;= 22, S2064=9), N2064-7,AND(N2064&lt;= 28, S2064=9), N2064-25,AND(N2064&lt;= 30, S2064=9), N2064-28,AND(N2064&lt;= 11, S2064=10), N2064+2,AND(N2064&lt;= 21, S2064=10), N2064-11)</f>
        <v>3</v>
      </c>
    </row>
    <row r="2065" spans="1:22" x14ac:dyDescent="0.35">
      <c r="A2065" s="4">
        <v>45566</v>
      </c>
      <c r="B2065" s="5">
        <v>7.3321759259259253E-2</v>
      </c>
      <c r="C2065">
        <v>76.900000000000006</v>
      </c>
      <c r="D2065">
        <v>75.599999999999994</v>
      </c>
      <c r="E2065">
        <v>75.5</v>
      </c>
      <c r="F2065">
        <v>73.3</v>
      </c>
      <c r="G2065">
        <v>0</v>
      </c>
      <c r="H2065">
        <v>0</v>
      </c>
      <c r="I2065">
        <v>0</v>
      </c>
      <c r="J2065">
        <v>0</v>
      </c>
      <c r="K2065">
        <v>65.599999999999994</v>
      </c>
      <c r="L2065">
        <v>65.5</v>
      </c>
      <c r="M2065">
        <v>75.34</v>
      </c>
      <c r="N2065">
        <v>1</v>
      </c>
      <c r="O2065">
        <v>7</v>
      </c>
      <c r="P2065">
        <f>MOD(DAY(datos_siembra[[#This Row],[Date]]),7)</f>
        <v>1</v>
      </c>
      <c r="Q2065" t="str">
        <f>CHOOSE(WEEKDAY(datos_siembra[[#This Row],[Date]],2),"L","M","X","J","V","S","D")</f>
        <v>M</v>
      </c>
      <c r="R2065">
        <f>WEEKNUM(datos_siembra[[#This Row],[Date]],2)-WEEKNUM(DATE(YEAR(datos_siembra[[#This Row],[Date]]),MONTH(datos_siembra[[#This Row],[Date]]),1))+1</f>
        <v>1</v>
      </c>
      <c r="S2065">
        <f>MONTH(datos_siembra[[#This Row],[Date]])</f>
        <v>10</v>
      </c>
      <c r="T2065" t="str" cm="1">
        <f t="array" ref="T2065">_xlfn.IFS(AND(N2065&lt;= 22, S2065=9), "SOWING",AND(N2065&lt;= 28, S2065=9), "COVERAGE",AND(N2065&lt;= 30, S2065=9), "FLUSH",AND(N2065&lt;= 11, S2065=10), "FLUSH",AND(N2065&lt;= 21, S2065=10), "PRODUCTION")</f>
        <v>FLUSH</v>
      </c>
      <c r="U2065">
        <f>HOUR(datos_siembra[[#This Row],[Hour]])</f>
        <v>1</v>
      </c>
      <c r="V2065" cm="1">
        <f t="array" ref="V2065">_xlfn.IFS(AND(N2065&lt;= 22, S2065=9), N2065-7,AND(N2065&lt;= 28, S2065=9), N2065-25,AND(N2065&lt;= 30, S2065=9), N2065-28,AND(N2065&lt;= 11, S2065=10), N2065+2,AND(N2065&lt;= 21, S2065=10), N2065-11)</f>
        <v>3</v>
      </c>
    </row>
    <row r="2066" spans="1:22" x14ac:dyDescent="0.35">
      <c r="A2066" s="4">
        <v>45566</v>
      </c>
      <c r="B2066" s="5">
        <v>8.0266203703703701E-2</v>
      </c>
      <c r="C2066">
        <v>76.900000000000006</v>
      </c>
      <c r="D2066">
        <v>75.599999999999994</v>
      </c>
      <c r="E2066">
        <v>75.599999999999994</v>
      </c>
      <c r="F2066">
        <v>73.099999999999994</v>
      </c>
      <c r="G2066">
        <v>0</v>
      </c>
      <c r="H2066">
        <v>0</v>
      </c>
      <c r="I2066">
        <v>0</v>
      </c>
      <c r="J2066">
        <v>0</v>
      </c>
      <c r="K2066">
        <v>65.8</v>
      </c>
      <c r="L2066">
        <v>65.599999999999994</v>
      </c>
      <c r="M2066">
        <v>75.31</v>
      </c>
      <c r="N2066">
        <v>1</v>
      </c>
      <c r="O2066">
        <v>7</v>
      </c>
      <c r="P2066">
        <f>MOD(DAY(datos_siembra[[#This Row],[Date]]),7)</f>
        <v>1</v>
      </c>
      <c r="Q2066" t="str">
        <f>CHOOSE(WEEKDAY(datos_siembra[[#This Row],[Date]],2),"L","M","X","J","V","S","D")</f>
        <v>M</v>
      </c>
      <c r="R2066">
        <f>WEEKNUM(datos_siembra[[#This Row],[Date]],2)-WEEKNUM(DATE(YEAR(datos_siembra[[#This Row],[Date]]),MONTH(datos_siembra[[#This Row],[Date]]),1))+1</f>
        <v>1</v>
      </c>
      <c r="S2066">
        <f>MONTH(datos_siembra[[#This Row],[Date]])</f>
        <v>10</v>
      </c>
      <c r="T2066" t="str" cm="1">
        <f t="array" ref="T2066">_xlfn.IFS(AND(N2066&lt;= 22, S2066=9), "SOWING",AND(N2066&lt;= 28, S2066=9), "COVERAGE",AND(N2066&lt;= 30, S2066=9), "FLUSH",AND(N2066&lt;= 11, S2066=10), "FLUSH",AND(N2066&lt;= 21, S2066=10), "PRODUCTION")</f>
        <v>FLUSH</v>
      </c>
      <c r="U2066">
        <f>HOUR(datos_siembra[[#This Row],[Hour]])</f>
        <v>1</v>
      </c>
      <c r="V2066" cm="1">
        <f t="array" ref="V2066">_xlfn.IFS(AND(N2066&lt;= 22, S2066=9), N2066-7,AND(N2066&lt;= 28, S2066=9), N2066-25,AND(N2066&lt;= 30, S2066=9), N2066-28,AND(N2066&lt;= 11, S2066=10), N2066+2,AND(N2066&lt;= 21, S2066=10), N2066-11)</f>
        <v>3</v>
      </c>
    </row>
    <row r="2067" spans="1:22" x14ac:dyDescent="0.35">
      <c r="A2067" s="4">
        <v>45566</v>
      </c>
      <c r="B2067" s="5">
        <v>8.7222222222222229E-2</v>
      </c>
      <c r="C2067">
        <v>76.900000000000006</v>
      </c>
      <c r="D2067">
        <v>75.5</v>
      </c>
      <c r="E2067">
        <v>75.599999999999994</v>
      </c>
      <c r="F2067">
        <v>73.099999999999994</v>
      </c>
      <c r="G2067">
        <v>0</v>
      </c>
      <c r="H2067">
        <v>0</v>
      </c>
      <c r="I2067">
        <v>0</v>
      </c>
      <c r="J2067">
        <v>0</v>
      </c>
      <c r="K2067">
        <v>65.8</v>
      </c>
      <c r="L2067">
        <v>65.599999999999994</v>
      </c>
      <c r="M2067">
        <v>75.28</v>
      </c>
      <c r="N2067">
        <v>1</v>
      </c>
      <c r="O2067">
        <v>7</v>
      </c>
      <c r="P2067">
        <f>MOD(DAY(datos_siembra[[#This Row],[Date]]),7)</f>
        <v>1</v>
      </c>
      <c r="Q2067" t="str">
        <f>CHOOSE(WEEKDAY(datos_siembra[[#This Row],[Date]],2),"L","M","X","J","V","S","D")</f>
        <v>M</v>
      </c>
      <c r="R2067">
        <f>WEEKNUM(datos_siembra[[#This Row],[Date]],2)-WEEKNUM(DATE(YEAR(datos_siembra[[#This Row],[Date]]),MONTH(datos_siembra[[#This Row],[Date]]),1))+1</f>
        <v>1</v>
      </c>
      <c r="S2067">
        <f>MONTH(datos_siembra[[#This Row],[Date]])</f>
        <v>10</v>
      </c>
      <c r="T2067" t="str" cm="1">
        <f t="array" ref="T2067">_xlfn.IFS(AND(N2067&lt;= 22, S2067=9), "SOWING",AND(N2067&lt;= 28, S2067=9), "COVERAGE",AND(N2067&lt;= 30, S2067=9), "FLUSH",AND(N2067&lt;= 11, S2067=10), "FLUSH",AND(N2067&lt;= 21, S2067=10), "PRODUCTION")</f>
        <v>FLUSH</v>
      </c>
      <c r="U2067">
        <f>HOUR(datos_siembra[[#This Row],[Hour]])</f>
        <v>2</v>
      </c>
      <c r="V2067" cm="1">
        <f t="array" ref="V2067">_xlfn.IFS(AND(N2067&lt;= 22, S2067=9), N2067-7,AND(N2067&lt;= 28, S2067=9), N2067-25,AND(N2067&lt;= 30, S2067=9), N2067-28,AND(N2067&lt;= 11, S2067=10), N2067+2,AND(N2067&lt;= 21, S2067=10), N2067-11)</f>
        <v>3</v>
      </c>
    </row>
    <row r="2068" spans="1:22" x14ac:dyDescent="0.35">
      <c r="A2068" s="4">
        <v>45566</v>
      </c>
      <c r="B2068" s="5">
        <v>9.4166666666666662E-2</v>
      </c>
      <c r="C2068">
        <v>76.900000000000006</v>
      </c>
      <c r="D2068">
        <v>75.400000000000006</v>
      </c>
      <c r="E2068">
        <v>75.599999999999994</v>
      </c>
      <c r="F2068">
        <v>73.2</v>
      </c>
      <c r="G2068">
        <v>0</v>
      </c>
      <c r="H2068">
        <v>0</v>
      </c>
      <c r="I2068">
        <v>0</v>
      </c>
      <c r="J2068">
        <v>0</v>
      </c>
      <c r="K2068">
        <v>65.8</v>
      </c>
      <c r="L2068">
        <v>65.599999999999994</v>
      </c>
      <c r="M2068">
        <v>75.260000000000005</v>
      </c>
      <c r="N2068">
        <v>1</v>
      </c>
      <c r="O2068">
        <v>7</v>
      </c>
      <c r="P2068">
        <f>MOD(DAY(datos_siembra[[#This Row],[Date]]),7)</f>
        <v>1</v>
      </c>
      <c r="Q2068" t="str">
        <f>CHOOSE(WEEKDAY(datos_siembra[[#This Row],[Date]],2),"L","M","X","J","V","S","D")</f>
        <v>M</v>
      </c>
      <c r="R2068">
        <f>WEEKNUM(datos_siembra[[#This Row],[Date]],2)-WEEKNUM(DATE(YEAR(datos_siembra[[#This Row],[Date]]),MONTH(datos_siembra[[#This Row],[Date]]),1))+1</f>
        <v>1</v>
      </c>
      <c r="S2068">
        <f>MONTH(datos_siembra[[#This Row],[Date]])</f>
        <v>10</v>
      </c>
      <c r="T2068" t="str" cm="1">
        <f t="array" ref="T2068">_xlfn.IFS(AND(N2068&lt;= 22, S2068=9), "SOWING",AND(N2068&lt;= 28, S2068=9), "COVERAGE",AND(N2068&lt;= 30, S2068=9), "FLUSH",AND(N2068&lt;= 11, S2068=10), "FLUSH",AND(N2068&lt;= 21, S2068=10), "PRODUCTION")</f>
        <v>FLUSH</v>
      </c>
      <c r="U2068">
        <f>HOUR(datos_siembra[[#This Row],[Hour]])</f>
        <v>2</v>
      </c>
      <c r="V2068" cm="1">
        <f t="array" ref="V2068">_xlfn.IFS(AND(N2068&lt;= 22, S2068=9), N2068-7,AND(N2068&lt;= 28, S2068=9), N2068-25,AND(N2068&lt;= 30, S2068=9), N2068-28,AND(N2068&lt;= 11, S2068=10), N2068+2,AND(N2068&lt;= 21, S2068=10), N2068-11)</f>
        <v>3</v>
      </c>
    </row>
    <row r="2069" spans="1:22" x14ac:dyDescent="0.35">
      <c r="A2069" s="4">
        <v>45566</v>
      </c>
      <c r="B2069" s="5">
        <v>0.10111111111111111</v>
      </c>
      <c r="C2069">
        <v>76.900000000000006</v>
      </c>
      <c r="D2069">
        <v>75.5</v>
      </c>
      <c r="E2069">
        <v>75.599999999999994</v>
      </c>
      <c r="F2069">
        <v>73</v>
      </c>
      <c r="G2069">
        <v>0</v>
      </c>
      <c r="H2069">
        <v>0</v>
      </c>
      <c r="I2069">
        <v>0</v>
      </c>
      <c r="J2069">
        <v>0</v>
      </c>
      <c r="K2069">
        <v>65.8</v>
      </c>
      <c r="L2069">
        <v>65.599999999999994</v>
      </c>
      <c r="M2069">
        <v>75.23</v>
      </c>
      <c r="N2069">
        <v>1</v>
      </c>
      <c r="O2069">
        <v>7</v>
      </c>
      <c r="P2069">
        <f>MOD(DAY(datos_siembra[[#This Row],[Date]]),7)</f>
        <v>1</v>
      </c>
      <c r="Q2069" t="str">
        <f>CHOOSE(WEEKDAY(datos_siembra[[#This Row],[Date]],2),"L","M","X","J","V","S","D")</f>
        <v>M</v>
      </c>
      <c r="R2069">
        <f>WEEKNUM(datos_siembra[[#This Row],[Date]],2)-WEEKNUM(DATE(YEAR(datos_siembra[[#This Row],[Date]]),MONTH(datos_siembra[[#This Row],[Date]]),1))+1</f>
        <v>1</v>
      </c>
      <c r="S2069">
        <f>MONTH(datos_siembra[[#This Row],[Date]])</f>
        <v>10</v>
      </c>
      <c r="T2069" t="str" cm="1">
        <f t="array" ref="T2069">_xlfn.IFS(AND(N2069&lt;= 22, S2069=9), "SOWING",AND(N2069&lt;= 28, S2069=9), "COVERAGE",AND(N2069&lt;= 30, S2069=9), "FLUSH",AND(N2069&lt;= 11, S2069=10), "FLUSH",AND(N2069&lt;= 21, S2069=10), "PRODUCTION")</f>
        <v>FLUSH</v>
      </c>
      <c r="U2069">
        <f>HOUR(datos_siembra[[#This Row],[Hour]])</f>
        <v>2</v>
      </c>
      <c r="V2069" cm="1">
        <f t="array" ref="V2069">_xlfn.IFS(AND(N2069&lt;= 22, S2069=9), N2069-7,AND(N2069&lt;= 28, S2069=9), N2069-25,AND(N2069&lt;= 30, S2069=9), N2069-28,AND(N2069&lt;= 11, S2069=10), N2069+2,AND(N2069&lt;= 21, S2069=10), N2069-11)</f>
        <v>3</v>
      </c>
    </row>
    <row r="2070" spans="1:22" x14ac:dyDescent="0.35">
      <c r="A2070" s="4">
        <v>45566</v>
      </c>
      <c r="B2070" s="5">
        <v>0.10805555555555556</v>
      </c>
      <c r="C2070">
        <v>77</v>
      </c>
      <c r="D2070">
        <v>75.400000000000006</v>
      </c>
      <c r="E2070">
        <v>75.5</v>
      </c>
      <c r="F2070">
        <v>73</v>
      </c>
      <c r="G2070">
        <v>0</v>
      </c>
      <c r="H2070">
        <v>0</v>
      </c>
      <c r="I2070">
        <v>0</v>
      </c>
      <c r="J2070">
        <v>0</v>
      </c>
      <c r="K2070">
        <v>65.900000000000006</v>
      </c>
      <c r="L2070">
        <v>65.8</v>
      </c>
      <c r="M2070">
        <v>75.23</v>
      </c>
      <c r="N2070">
        <v>1</v>
      </c>
      <c r="O2070">
        <v>7</v>
      </c>
      <c r="P2070">
        <f>MOD(DAY(datos_siembra[[#This Row],[Date]]),7)</f>
        <v>1</v>
      </c>
      <c r="Q2070" t="str">
        <f>CHOOSE(WEEKDAY(datos_siembra[[#This Row],[Date]],2),"L","M","X","J","V","S","D")</f>
        <v>M</v>
      </c>
      <c r="R2070">
        <f>WEEKNUM(datos_siembra[[#This Row],[Date]],2)-WEEKNUM(DATE(YEAR(datos_siembra[[#This Row],[Date]]),MONTH(datos_siembra[[#This Row],[Date]]),1))+1</f>
        <v>1</v>
      </c>
      <c r="S2070">
        <f>MONTH(datos_siembra[[#This Row],[Date]])</f>
        <v>10</v>
      </c>
      <c r="T2070" t="str" cm="1">
        <f t="array" ref="T2070">_xlfn.IFS(AND(N2070&lt;= 22, S2070=9), "SOWING",AND(N2070&lt;= 28, S2070=9), "COVERAGE",AND(N2070&lt;= 30, S2070=9), "FLUSH",AND(N2070&lt;= 11, S2070=10), "FLUSH",AND(N2070&lt;= 21, S2070=10), "PRODUCTION")</f>
        <v>FLUSH</v>
      </c>
      <c r="U2070">
        <f>HOUR(datos_siembra[[#This Row],[Hour]])</f>
        <v>2</v>
      </c>
      <c r="V2070" cm="1">
        <f t="array" ref="V2070">_xlfn.IFS(AND(N2070&lt;= 22, S2070=9), N2070-7,AND(N2070&lt;= 28, S2070=9), N2070-25,AND(N2070&lt;= 30, S2070=9), N2070-28,AND(N2070&lt;= 11, S2070=10), N2070+2,AND(N2070&lt;= 21, S2070=10), N2070-11)</f>
        <v>3</v>
      </c>
    </row>
    <row r="2071" spans="1:22" x14ac:dyDescent="0.35">
      <c r="A2071" s="4">
        <v>45566</v>
      </c>
      <c r="B2071" s="5">
        <v>0.11501157407407407</v>
      </c>
      <c r="C2071">
        <v>76.900000000000006</v>
      </c>
      <c r="D2071">
        <v>75.599999999999994</v>
      </c>
      <c r="E2071">
        <v>75.5</v>
      </c>
      <c r="F2071">
        <v>73</v>
      </c>
      <c r="G2071">
        <v>0</v>
      </c>
      <c r="H2071">
        <v>0</v>
      </c>
      <c r="I2071">
        <v>0</v>
      </c>
      <c r="J2071">
        <v>0</v>
      </c>
      <c r="K2071">
        <v>65.900000000000006</v>
      </c>
      <c r="L2071">
        <v>65.8</v>
      </c>
      <c r="M2071">
        <v>75.2</v>
      </c>
      <c r="N2071">
        <v>1</v>
      </c>
      <c r="O2071">
        <v>7</v>
      </c>
      <c r="P2071">
        <f>MOD(DAY(datos_siembra[[#This Row],[Date]]),7)</f>
        <v>1</v>
      </c>
      <c r="Q2071" t="str">
        <f>CHOOSE(WEEKDAY(datos_siembra[[#This Row],[Date]],2),"L","M","X","J","V","S","D")</f>
        <v>M</v>
      </c>
      <c r="R2071">
        <f>WEEKNUM(datos_siembra[[#This Row],[Date]],2)-WEEKNUM(DATE(YEAR(datos_siembra[[#This Row],[Date]]),MONTH(datos_siembra[[#This Row],[Date]]),1))+1</f>
        <v>1</v>
      </c>
      <c r="S2071">
        <f>MONTH(datos_siembra[[#This Row],[Date]])</f>
        <v>10</v>
      </c>
      <c r="T2071" t="str" cm="1">
        <f t="array" ref="T2071">_xlfn.IFS(AND(N2071&lt;= 22, S2071=9), "SOWING",AND(N2071&lt;= 28, S2071=9), "COVERAGE",AND(N2071&lt;= 30, S2071=9), "FLUSH",AND(N2071&lt;= 11, S2071=10), "FLUSH",AND(N2071&lt;= 21, S2071=10), "PRODUCTION")</f>
        <v>FLUSH</v>
      </c>
      <c r="U2071">
        <f>HOUR(datos_siembra[[#This Row],[Hour]])</f>
        <v>2</v>
      </c>
      <c r="V2071" cm="1">
        <f t="array" ref="V2071">_xlfn.IFS(AND(N2071&lt;= 22, S2071=9), N2071-7,AND(N2071&lt;= 28, S2071=9), N2071-25,AND(N2071&lt;= 30, S2071=9), N2071-28,AND(N2071&lt;= 11, S2071=10), N2071+2,AND(N2071&lt;= 21, S2071=10), N2071-11)</f>
        <v>3</v>
      </c>
    </row>
    <row r="2072" spans="1:22" x14ac:dyDescent="0.35">
      <c r="A2072" s="4">
        <v>45566</v>
      </c>
      <c r="B2072" s="5">
        <v>0.12195601851851852</v>
      </c>
      <c r="C2072">
        <v>76.900000000000006</v>
      </c>
      <c r="D2072">
        <v>75.400000000000006</v>
      </c>
      <c r="E2072">
        <v>75.400000000000006</v>
      </c>
      <c r="F2072">
        <v>73</v>
      </c>
      <c r="G2072">
        <v>0</v>
      </c>
      <c r="H2072">
        <v>0</v>
      </c>
      <c r="I2072">
        <v>0</v>
      </c>
      <c r="J2072">
        <v>0</v>
      </c>
      <c r="K2072">
        <v>65.8</v>
      </c>
      <c r="L2072">
        <v>65.8</v>
      </c>
      <c r="M2072">
        <v>75.17</v>
      </c>
      <c r="N2072">
        <v>1</v>
      </c>
      <c r="O2072">
        <v>7</v>
      </c>
      <c r="P2072">
        <f>MOD(DAY(datos_siembra[[#This Row],[Date]]),7)</f>
        <v>1</v>
      </c>
      <c r="Q2072" t="str">
        <f>CHOOSE(WEEKDAY(datos_siembra[[#This Row],[Date]],2),"L","M","X","J","V","S","D")</f>
        <v>M</v>
      </c>
      <c r="R2072">
        <f>WEEKNUM(datos_siembra[[#This Row],[Date]],2)-WEEKNUM(DATE(YEAR(datos_siembra[[#This Row],[Date]]),MONTH(datos_siembra[[#This Row],[Date]]),1))+1</f>
        <v>1</v>
      </c>
      <c r="S2072">
        <f>MONTH(datos_siembra[[#This Row],[Date]])</f>
        <v>10</v>
      </c>
      <c r="T2072" t="str" cm="1">
        <f t="array" ref="T2072">_xlfn.IFS(AND(N2072&lt;= 22, S2072=9), "SOWING",AND(N2072&lt;= 28, S2072=9), "COVERAGE",AND(N2072&lt;= 30, S2072=9), "FLUSH",AND(N2072&lt;= 11, S2072=10), "FLUSH",AND(N2072&lt;= 21, S2072=10), "PRODUCTION")</f>
        <v>FLUSH</v>
      </c>
      <c r="U2072">
        <f>HOUR(datos_siembra[[#This Row],[Hour]])</f>
        <v>2</v>
      </c>
      <c r="V2072" cm="1">
        <f t="array" ref="V2072">_xlfn.IFS(AND(N2072&lt;= 22, S2072=9), N2072-7,AND(N2072&lt;= 28, S2072=9), N2072-25,AND(N2072&lt;= 30, S2072=9), N2072-28,AND(N2072&lt;= 11, S2072=10), N2072+2,AND(N2072&lt;= 21, S2072=10), N2072-11)</f>
        <v>3</v>
      </c>
    </row>
    <row r="2073" spans="1:22" x14ac:dyDescent="0.35">
      <c r="A2073" s="4">
        <v>45566</v>
      </c>
      <c r="B2073" s="5">
        <v>0.12890046296296295</v>
      </c>
      <c r="C2073">
        <v>77</v>
      </c>
      <c r="D2073">
        <v>75.3</v>
      </c>
      <c r="E2073">
        <v>75.5</v>
      </c>
      <c r="F2073">
        <v>72.8</v>
      </c>
      <c r="G2073">
        <v>0</v>
      </c>
      <c r="H2073">
        <v>0</v>
      </c>
      <c r="I2073">
        <v>0</v>
      </c>
      <c r="J2073">
        <v>0</v>
      </c>
      <c r="K2073">
        <v>65.900000000000006</v>
      </c>
      <c r="L2073">
        <v>65.8</v>
      </c>
      <c r="M2073">
        <v>75.17</v>
      </c>
      <c r="N2073">
        <v>1</v>
      </c>
      <c r="O2073">
        <v>7</v>
      </c>
      <c r="P2073">
        <f>MOD(DAY(datos_siembra[[#This Row],[Date]]),7)</f>
        <v>1</v>
      </c>
      <c r="Q2073" t="str">
        <f>CHOOSE(WEEKDAY(datos_siembra[[#This Row],[Date]],2),"L","M","X","J","V","S","D")</f>
        <v>M</v>
      </c>
      <c r="R2073">
        <f>WEEKNUM(datos_siembra[[#This Row],[Date]],2)-WEEKNUM(DATE(YEAR(datos_siembra[[#This Row],[Date]]),MONTH(datos_siembra[[#This Row],[Date]]),1))+1</f>
        <v>1</v>
      </c>
      <c r="S2073">
        <f>MONTH(datos_siembra[[#This Row],[Date]])</f>
        <v>10</v>
      </c>
      <c r="T2073" t="str" cm="1">
        <f t="array" ref="T2073">_xlfn.IFS(AND(N2073&lt;= 22, S2073=9), "SOWING",AND(N2073&lt;= 28, S2073=9), "COVERAGE",AND(N2073&lt;= 30, S2073=9), "FLUSH",AND(N2073&lt;= 11, S2073=10), "FLUSH",AND(N2073&lt;= 21, S2073=10), "PRODUCTION")</f>
        <v>FLUSH</v>
      </c>
      <c r="U2073">
        <f>HOUR(datos_siembra[[#This Row],[Hour]])</f>
        <v>3</v>
      </c>
      <c r="V2073" cm="1">
        <f t="array" ref="V2073">_xlfn.IFS(AND(N2073&lt;= 22, S2073=9), N2073-7,AND(N2073&lt;= 28, S2073=9), N2073-25,AND(N2073&lt;= 30, S2073=9), N2073-28,AND(N2073&lt;= 11, S2073=10), N2073+2,AND(N2073&lt;= 21, S2073=10), N2073-11)</f>
        <v>3</v>
      </c>
    </row>
    <row r="2074" spans="1:22" x14ac:dyDescent="0.35">
      <c r="A2074" s="4">
        <v>45566</v>
      </c>
      <c r="B2074" s="5">
        <v>0.1358449074074074</v>
      </c>
      <c r="C2074">
        <v>77</v>
      </c>
      <c r="D2074">
        <v>75.5</v>
      </c>
      <c r="E2074">
        <v>75.400000000000006</v>
      </c>
      <c r="F2074">
        <v>72.8</v>
      </c>
      <c r="G2074">
        <v>0</v>
      </c>
      <c r="H2074">
        <v>0</v>
      </c>
      <c r="I2074">
        <v>0</v>
      </c>
      <c r="J2074">
        <v>0</v>
      </c>
      <c r="K2074">
        <v>65.900000000000006</v>
      </c>
      <c r="L2074">
        <v>65.8</v>
      </c>
      <c r="M2074">
        <v>75.2</v>
      </c>
      <c r="N2074">
        <v>1</v>
      </c>
      <c r="O2074">
        <v>7</v>
      </c>
      <c r="P2074">
        <f>MOD(DAY(datos_siembra[[#This Row],[Date]]),7)</f>
        <v>1</v>
      </c>
      <c r="Q2074" t="str">
        <f>CHOOSE(WEEKDAY(datos_siembra[[#This Row],[Date]],2),"L","M","X","J","V","S","D")</f>
        <v>M</v>
      </c>
      <c r="R2074">
        <f>WEEKNUM(datos_siembra[[#This Row],[Date]],2)-WEEKNUM(DATE(YEAR(datos_siembra[[#This Row],[Date]]),MONTH(datos_siembra[[#This Row],[Date]]),1))+1</f>
        <v>1</v>
      </c>
      <c r="S2074">
        <f>MONTH(datos_siembra[[#This Row],[Date]])</f>
        <v>10</v>
      </c>
      <c r="T2074" t="str" cm="1">
        <f t="array" ref="T2074">_xlfn.IFS(AND(N2074&lt;= 22, S2074=9), "SOWING",AND(N2074&lt;= 28, S2074=9), "COVERAGE",AND(N2074&lt;= 30, S2074=9), "FLUSH",AND(N2074&lt;= 11, S2074=10), "FLUSH",AND(N2074&lt;= 21, S2074=10), "PRODUCTION")</f>
        <v>FLUSH</v>
      </c>
      <c r="U2074">
        <f>HOUR(datos_siembra[[#This Row],[Hour]])</f>
        <v>3</v>
      </c>
      <c r="V2074" cm="1">
        <f t="array" ref="V2074">_xlfn.IFS(AND(N2074&lt;= 22, S2074=9), N2074-7,AND(N2074&lt;= 28, S2074=9), N2074-25,AND(N2074&lt;= 30, S2074=9), N2074-28,AND(N2074&lt;= 11, S2074=10), N2074+2,AND(N2074&lt;= 21, S2074=10), N2074-11)</f>
        <v>3</v>
      </c>
    </row>
    <row r="2075" spans="1:22" x14ac:dyDescent="0.35">
      <c r="A2075" s="4">
        <v>45566</v>
      </c>
      <c r="B2075" s="5">
        <v>0.14280092592592591</v>
      </c>
      <c r="C2075">
        <v>76.900000000000006</v>
      </c>
      <c r="D2075">
        <v>75.3</v>
      </c>
      <c r="E2075">
        <v>75.400000000000006</v>
      </c>
      <c r="F2075">
        <v>72.8</v>
      </c>
      <c r="G2075">
        <v>0</v>
      </c>
      <c r="H2075">
        <v>0</v>
      </c>
      <c r="I2075">
        <v>0</v>
      </c>
      <c r="J2075">
        <v>0</v>
      </c>
      <c r="K2075">
        <v>65.900000000000006</v>
      </c>
      <c r="L2075">
        <v>65.8</v>
      </c>
      <c r="M2075">
        <v>75.2</v>
      </c>
      <c r="N2075">
        <v>1</v>
      </c>
      <c r="O2075">
        <v>7</v>
      </c>
      <c r="P2075">
        <f>MOD(DAY(datos_siembra[[#This Row],[Date]]),7)</f>
        <v>1</v>
      </c>
      <c r="Q2075" t="str">
        <f>CHOOSE(WEEKDAY(datos_siembra[[#This Row],[Date]],2),"L","M","X","J","V","S","D")</f>
        <v>M</v>
      </c>
      <c r="R2075">
        <f>WEEKNUM(datos_siembra[[#This Row],[Date]],2)-WEEKNUM(DATE(YEAR(datos_siembra[[#This Row],[Date]]),MONTH(datos_siembra[[#This Row],[Date]]),1))+1</f>
        <v>1</v>
      </c>
      <c r="S2075">
        <f>MONTH(datos_siembra[[#This Row],[Date]])</f>
        <v>10</v>
      </c>
      <c r="T2075" t="str" cm="1">
        <f t="array" ref="T2075">_xlfn.IFS(AND(N2075&lt;= 22, S2075=9), "SOWING",AND(N2075&lt;= 28, S2075=9), "COVERAGE",AND(N2075&lt;= 30, S2075=9), "FLUSH",AND(N2075&lt;= 11, S2075=10), "FLUSH",AND(N2075&lt;= 21, S2075=10), "PRODUCTION")</f>
        <v>FLUSH</v>
      </c>
      <c r="U2075">
        <f>HOUR(datos_siembra[[#This Row],[Hour]])</f>
        <v>3</v>
      </c>
      <c r="V2075" cm="1">
        <f t="array" ref="V2075">_xlfn.IFS(AND(N2075&lt;= 22, S2075=9), N2075-7,AND(N2075&lt;= 28, S2075=9), N2075-25,AND(N2075&lt;= 30, S2075=9), N2075-28,AND(N2075&lt;= 11, S2075=10), N2075+2,AND(N2075&lt;= 21, S2075=10), N2075-11)</f>
        <v>3</v>
      </c>
    </row>
    <row r="2076" spans="1:22" x14ac:dyDescent="0.35">
      <c r="A2076" s="4">
        <v>45566</v>
      </c>
      <c r="B2076" s="5">
        <v>0.14974537037037036</v>
      </c>
      <c r="C2076">
        <v>76.8</v>
      </c>
      <c r="D2076">
        <v>75.400000000000006</v>
      </c>
      <c r="E2076">
        <v>75.3</v>
      </c>
      <c r="F2076">
        <v>72.7</v>
      </c>
      <c r="G2076">
        <v>0</v>
      </c>
      <c r="H2076">
        <v>0</v>
      </c>
      <c r="I2076">
        <v>0</v>
      </c>
      <c r="J2076">
        <v>0</v>
      </c>
      <c r="K2076">
        <v>65.900000000000006</v>
      </c>
      <c r="L2076">
        <v>65.8</v>
      </c>
      <c r="M2076">
        <v>75.12</v>
      </c>
      <c r="N2076">
        <v>1</v>
      </c>
      <c r="O2076">
        <v>7</v>
      </c>
      <c r="P2076">
        <f>MOD(DAY(datos_siembra[[#This Row],[Date]]),7)</f>
        <v>1</v>
      </c>
      <c r="Q2076" t="str">
        <f>CHOOSE(WEEKDAY(datos_siembra[[#This Row],[Date]],2),"L","M","X","J","V","S","D")</f>
        <v>M</v>
      </c>
      <c r="R2076">
        <f>WEEKNUM(datos_siembra[[#This Row],[Date]],2)-WEEKNUM(DATE(YEAR(datos_siembra[[#This Row],[Date]]),MONTH(datos_siembra[[#This Row],[Date]]),1))+1</f>
        <v>1</v>
      </c>
      <c r="S2076">
        <f>MONTH(datos_siembra[[#This Row],[Date]])</f>
        <v>10</v>
      </c>
      <c r="T2076" t="str" cm="1">
        <f t="array" ref="T2076">_xlfn.IFS(AND(N2076&lt;= 22, S2076=9), "SOWING",AND(N2076&lt;= 28, S2076=9), "COVERAGE",AND(N2076&lt;= 30, S2076=9), "FLUSH",AND(N2076&lt;= 11, S2076=10), "FLUSH",AND(N2076&lt;= 21, S2076=10), "PRODUCTION")</f>
        <v>FLUSH</v>
      </c>
      <c r="U2076">
        <f>HOUR(datos_siembra[[#This Row],[Hour]])</f>
        <v>3</v>
      </c>
      <c r="V2076" cm="1">
        <f t="array" ref="V2076">_xlfn.IFS(AND(N2076&lt;= 22, S2076=9), N2076-7,AND(N2076&lt;= 28, S2076=9), N2076-25,AND(N2076&lt;= 30, S2076=9), N2076-28,AND(N2076&lt;= 11, S2076=10), N2076+2,AND(N2076&lt;= 21, S2076=10), N2076-11)</f>
        <v>3</v>
      </c>
    </row>
    <row r="2077" spans="1:22" x14ac:dyDescent="0.35">
      <c r="A2077" s="4">
        <v>45566</v>
      </c>
      <c r="B2077" s="5">
        <v>0.15668981481481481</v>
      </c>
      <c r="C2077">
        <v>76.8</v>
      </c>
      <c r="D2077">
        <v>75.400000000000006</v>
      </c>
      <c r="E2077">
        <v>75.3</v>
      </c>
      <c r="F2077">
        <v>72.8</v>
      </c>
      <c r="G2077">
        <v>0</v>
      </c>
      <c r="H2077">
        <v>0</v>
      </c>
      <c r="I2077">
        <v>0</v>
      </c>
      <c r="J2077">
        <v>0</v>
      </c>
      <c r="K2077">
        <v>65.900000000000006</v>
      </c>
      <c r="L2077">
        <v>65.8</v>
      </c>
      <c r="M2077">
        <v>75.14</v>
      </c>
      <c r="N2077">
        <v>1</v>
      </c>
      <c r="O2077">
        <v>7</v>
      </c>
      <c r="P2077">
        <f>MOD(DAY(datos_siembra[[#This Row],[Date]]),7)</f>
        <v>1</v>
      </c>
      <c r="Q2077" t="str">
        <f>CHOOSE(WEEKDAY(datos_siembra[[#This Row],[Date]],2),"L","M","X","J","V","S","D")</f>
        <v>M</v>
      </c>
      <c r="R2077">
        <f>WEEKNUM(datos_siembra[[#This Row],[Date]],2)-WEEKNUM(DATE(YEAR(datos_siembra[[#This Row],[Date]]),MONTH(datos_siembra[[#This Row],[Date]]),1))+1</f>
        <v>1</v>
      </c>
      <c r="S2077">
        <f>MONTH(datos_siembra[[#This Row],[Date]])</f>
        <v>10</v>
      </c>
      <c r="T2077" t="str" cm="1">
        <f t="array" ref="T2077">_xlfn.IFS(AND(N2077&lt;= 22, S2077=9), "SOWING",AND(N2077&lt;= 28, S2077=9), "COVERAGE",AND(N2077&lt;= 30, S2077=9), "FLUSH",AND(N2077&lt;= 11, S2077=10), "FLUSH",AND(N2077&lt;= 21, S2077=10), "PRODUCTION")</f>
        <v>FLUSH</v>
      </c>
      <c r="U2077">
        <f>HOUR(datos_siembra[[#This Row],[Hour]])</f>
        <v>3</v>
      </c>
      <c r="V2077" cm="1">
        <f t="array" ref="V2077">_xlfn.IFS(AND(N2077&lt;= 22, S2077=9), N2077-7,AND(N2077&lt;= 28, S2077=9), N2077-25,AND(N2077&lt;= 30, S2077=9), N2077-28,AND(N2077&lt;= 11, S2077=10), N2077+2,AND(N2077&lt;= 21, S2077=10), N2077-11)</f>
        <v>3</v>
      </c>
    </row>
    <row r="2078" spans="1:22" x14ac:dyDescent="0.35">
      <c r="A2078" s="4">
        <v>45566</v>
      </c>
      <c r="B2078" s="5">
        <v>0.16364583333333332</v>
      </c>
      <c r="C2078">
        <v>76.900000000000006</v>
      </c>
      <c r="D2078">
        <v>75.400000000000006</v>
      </c>
      <c r="E2078">
        <v>75.400000000000006</v>
      </c>
      <c r="F2078">
        <v>72.7</v>
      </c>
      <c r="G2078">
        <v>0</v>
      </c>
      <c r="H2078">
        <v>0</v>
      </c>
      <c r="I2078">
        <v>0</v>
      </c>
      <c r="J2078">
        <v>0</v>
      </c>
      <c r="K2078">
        <v>65.900000000000006</v>
      </c>
      <c r="L2078">
        <v>65.900000000000006</v>
      </c>
      <c r="M2078">
        <v>75.12</v>
      </c>
      <c r="N2078">
        <v>1</v>
      </c>
      <c r="O2078">
        <v>7</v>
      </c>
      <c r="P2078">
        <f>MOD(DAY(datos_siembra[[#This Row],[Date]]),7)</f>
        <v>1</v>
      </c>
      <c r="Q2078" t="str">
        <f>CHOOSE(WEEKDAY(datos_siembra[[#This Row],[Date]],2),"L","M","X","J","V","S","D")</f>
        <v>M</v>
      </c>
      <c r="R2078">
        <f>WEEKNUM(datos_siembra[[#This Row],[Date]],2)-WEEKNUM(DATE(YEAR(datos_siembra[[#This Row],[Date]]),MONTH(datos_siembra[[#This Row],[Date]]),1))+1</f>
        <v>1</v>
      </c>
      <c r="S2078">
        <f>MONTH(datos_siembra[[#This Row],[Date]])</f>
        <v>10</v>
      </c>
      <c r="T2078" t="str" cm="1">
        <f t="array" ref="T2078">_xlfn.IFS(AND(N2078&lt;= 22, S2078=9), "SOWING",AND(N2078&lt;= 28, S2078=9), "COVERAGE",AND(N2078&lt;= 30, S2078=9), "FLUSH",AND(N2078&lt;= 11, S2078=10), "FLUSH",AND(N2078&lt;= 21, S2078=10), "PRODUCTION")</f>
        <v>FLUSH</v>
      </c>
      <c r="U2078">
        <f>HOUR(datos_siembra[[#This Row],[Hour]])</f>
        <v>3</v>
      </c>
      <c r="V2078" cm="1">
        <f t="array" ref="V2078">_xlfn.IFS(AND(N2078&lt;= 22, S2078=9), N2078-7,AND(N2078&lt;= 28, S2078=9), N2078-25,AND(N2078&lt;= 30, S2078=9), N2078-28,AND(N2078&lt;= 11, S2078=10), N2078+2,AND(N2078&lt;= 21, S2078=10), N2078-11)</f>
        <v>3</v>
      </c>
    </row>
    <row r="2079" spans="1:22" x14ac:dyDescent="0.35">
      <c r="A2079" s="4">
        <v>45566</v>
      </c>
      <c r="B2079" s="5">
        <v>0.17059027777777777</v>
      </c>
      <c r="C2079">
        <v>76.900000000000006</v>
      </c>
      <c r="D2079">
        <v>75.400000000000006</v>
      </c>
      <c r="E2079">
        <v>75.3</v>
      </c>
      <c r="F2079">
        <v>72.7</v>
      </c>
      <c r="G2079">
        <v>0</v>
      </c>
      <c r="H2079">
        <v>0</v>
      </c>
      <c r="I2079">
        <v>0</v>
      </c>
      <c r="J2079">
        <v>0</v>
      </c>
      <c r="K2079">
        <v>66</v>
      </c>
      <c r="L2079">
        <v>65.8</v>
      </c>
      <c r="M2079">
        <v>75.06</v>
      </c>
      <c r="N2079">
        <v>1</v>
      </c>
      <c r="O2079">
        <v>7</v>
      </c>
      <c r="P2079">
        <f>MOD(DAY(datos_siembra[[#This Row],[Date]]),7)</f>
        <v>1</v>
      </c>
      <c r="Q2079" t="str">
        <f>CHOOSE(WEEKDAY(datos_siembra[[#This Row],[Date]],2),"L","M","X","J","V","S","D")</f>
        <v>M</v>
      </c>
      <c r="R2079">
        <f>WEEKNUM(datos_siembra[[#This Row],[Date]],2)-WEEKNUM(DATE(YEAR(datos_siembra[[#This Row],[Date]]),MONTH(datos_siembra[[#This Row],[Date]]),1))+1</f>
        <v>1</v>
      </c>
      <c r="S2079">
        <f>MONTH(datos_siembra[[#This Row],[Date]])</f>
        <v>10</v>
      </c>
      <c r="T2079" t="str" cm="1">
        <f t="array" ref="T2079">_xlfn.IFS(AND(N2079&lt;= 22, S2079=9), "SOWING",AND(N2079&lt;= 28, S2079=9), "COVERAGE",AND(N2079&lt;= 30, S2079=9), "FLUSH",AND(N2079&lt;= 11, S2079=10), "FLUSH",AND(N2079&lt;= 21, S2079=10), "PRODUCTION")</f>
        <v>FLUSH</v>
      </c>
      <c r="U2079">
        <f>HOUR(datos_siembra[[#This Row],[Hour]])</f>
        <v>4</v>
      </c>
      <c r="V2079" cm="1">
        <f t="array" ref="V2079">_xlfn.IFS(AND(N2079&lt;= 22, S2079=9), N2079-7,AND(N2079&lt;= 28, S2079=9), N2079-25,AND(N2079&lt;= 30, S2079=9), N2079-28,AND(N2079&lt;= 11, S2079=10), N2079+2,AND(N2079&lt;= 21, S2079=10), N2079-11)</f>
        <v>3</v>
      </c>
    </row>
    <row r="2080" spans="1:22" x14ac:dyDescent="0.35">
      <c r="A2080" s="4">
        <v>45566</v>
      </c>
      <c r="B2080" s="5">
        <v>0.17753472222222222</v>
      </c>
      <c r="C2080">
        <v>76.900000000000006</v>
      </c>
      <c r="D2080">
        <v>75.5</v>
      </c>
      <c r="E2080">
        <v>75.5</v>
      </c>
      <c r="F2080">
        <v>72.7</v>
      </c>
      <c r="G2080">
        <v>0</v>
      </c>
      <c r="H2080">
        <v>0</v>
      </c>
      <c r="I2080">
        <v>0</v>
      </c>
      <c r="J2080">
        <v>0</v>
      </c>
      <c r="K2080">
        <v>65.900000000000006</v>
      </c>
      <c r="L2080">
        <v>65.900000000000006</v>
      </c>
      <c r="M2080">
        <v>75</v>
      </c>
      <c r="N2080">
        <v>1</v>
      </c>
      <c r="O2080">
        <v>7</v>
      </c>
      <c r="P2080">
        <f>MOD(DAY(datos_siembra[[#This Row],[Date]]),7)</f>
        <v>1</v>
      </c>
      <c r="Q2080" t="str">
        <f>CHOOSE(WEEKDAY(datos_siembra[[#This Row],[Date]],2),"L","M","X","J","V","S","D")</f>
        <v>M</v>
      </c>
      <c r="R2080">
        <f>WEEKNUM(datos_siembra[[#This Row],[Date]],2)-WEEKNUM(DATE(YEAR(datos_siembra[[#This Row],[Date]]),MONTH(datos_siembra[[#This Row],[Date]]),1))+1</f>
        <v>1</v>
      </c>
      <c r="S2080">
        <f>MONTH(datos_siembra[[#This Row],[Date]])</f>
        <v>10</v>
      </c>
      <c r="T2080" t="str" cm="1">
        <f t="array" ref="T2080">_xlfn.IFS(AND(N2080&lt;= 22, S2080=9), "SOWING",AND(N2080&lt;= 28, S2080=9), "COVERAGE",AND(N2080&lt;= 30, S2080=9), "FLUSH",AND(N2080&lt;= 11, S2080=10), "FLUSH",AND(N2080&lt;= 21, S2080=10), "PRODUCTION")</f>
        <v>FLUSH</v>
      </c>
      <c r="U2080">
        <f>HOUR(datos_siembra[[#This Row],[Hour]])</f>
        <v>4</v>
      </c>
      <c r="V2080" cm="1">
        <f t="array" ref="V2080">_xlfn.IFS(AND(N2080&lt;= 22, S2080=9), N2080-7,AND(N2080&lt;= 28, S2080=9), N2080-25,AND(N2080&lt;= 30, S2080=9), N2080-28,AND(N2080&lt;= 11, S2080=10), N2080+2,AND(N2080&lt;= 21, S2080=10), N2080-11)</f>
        <v>3</v>
      </c>
    </row>
    <row r="2081" spans="1:22" x14ac:dyDescent="0.35">
      <c r="A2081" s="4">
        <v>45566</v>
      </c>
      <c r="B2081" s="5">
        <v>0.18447916666666667</v>
      </c>
      <c r="C2081">
        <v>76.8</v>
      </c>
      <c r="D2081">
        <v>75.400000000000006</v>
      </c>
      <c r="E2081">
        <v>75.3</v>
      </c>
      <c r="F2081">
        <v>72.8</v>
      </c>
      <c r="G2081">
        <v>0</v>
      </c>
      <c r="H2081">
        <v>0</v>
      </c>
      <c r="I2081">
        <v>0</v>
      </c>
      <c r="J2081">
        <v>0</v>
      </c>
      <c r="K2081">
        <v>65.900000000000006</v>
      </c>
      <c r="L2081">
        <v>65.8</v>
      </c>
      <c r="M2081">
        <v>75.06</v>
      </c>
      <c r="N2081">
        <v>1</v>
      </c>
      <c r="O2081">
        <v>7</v>
      </c>
      <c r="P2081">
        <f>MOD(DAY(datos_siembra[[#This Row],[Date]]),7)</f>
        <v>1</v>
      </c>
      <c r="Q2081" t="str">
        <f>CHOOSE(WEEKDAY(datos_siembra[[#This Row],[Date]],2),"L","M","X","J","V","S","D")</f>
        <v>M</v>
      </c>
      <c r="R2081">
        <f>WEEKNUM(datos_siembra[[#This Row],[Date]],2)-WEEKNUM(DATE(YEAR(datos_siembra[[#This Row],[Date]]),MONTH(datos_siembra[[#This Row],[Date]]),1))+1</f>
        <v>1</v>
      </c>
      <c r="S2081">
        <f>MONTH(datos_siembra[[#This Row],[Date]])</f>
        <v>10</v>
      </c>
      <c r="T2081" t="str" cm="1">
        <f t="array" ref="T2081">_xlfn.IFS(AND(N2081&lt;= 22, S2081=9), "SOWING",AND(N2081&lt;= 28, S2081=9), "COVERAGE",AND(N2081&lt;= 30, S2081=9), "FLUSH",AND(N2081&lt;= 11, S2081=10), "FLUSH",AND(N2081&lt;= 21, S2081=10), "PRODUCTION")</f>
        <v>FLUSH</v>
      </c>
      <c r="U2081">
        <f>HOUR(datos_siembra[[#This Row],[Hour]])</f>
        <v>4</v>
      </c>
      <c r="V2081" cm="1">
        <f t="array" ref="V2081">_xlfn.IFS(AND(N2081&lt;= 22, S2081=9), N2081-7,AND(N2081&lt;= 28, S2081=9), N2081-25,AND(N2081&lt;= 30, S2081=9), N2081-28,AND(N2081&lt;= 11, S2081=10), N2081+2,AND(N2081&lt;= 21, S2081=10), N2081-11)</f>
        <v>3</v>
      </c>
    </row>
    <row r="2082" spans="1:22" x14ac:dyDescent="0.35">
      <c r="A2082" s="4">
        <v>45566</v>
      </c>
      <c r="B2082" s="5">
        <v>0.19143518518518518</v>
      </c>
      <c r="C2082">
        <v>76.599999999999994</v>
      </c>
      <c r="D2082">
        <v>75.2</v>
      </c>
      <c r="E2082">
        <v>75.2</v>
      </c>
      <c r="F2082">
        <v>72.7</v>
      </c>
      <c r="G2082">
        <v>0</v>
      </c>
      <c r="H2082">
        <v>0</v>
      </c>
      <c r="I2082">
        <v>0</v>
      </c>
      <c r="J2082">
        <v>0</v>
      </c>
      <c r="K2082">
        <v>65.900000000000006</v>
      </c>
      <c r="L2082">
        <v>65.8</v>
      </c>
      <c r="M2082">
        <v>74.92</v>
      </c>
      <c r="N2082">
        <v>1</v>
      </c>
      <c r="O2082">
        <v>7</v>
      </c>
      <c r="P2082">
        <f>MOD(DAY(datos_siembra[[#This Row],[Date]]),7)</f>
        <v>1</v>
      </c>
      <c r="Q2082" t="str">
        <f>CHOOSE(WEEKDAY(datos_siembra[[#This Row],[Date]],2),"L","M","X","J","V","S","D")</f>
        <v>M</v>
      </c>
      <c r="R2082">
        <f>WEEKNUM(datos_siembra[[#This Row],[Date]],2)-WEEKNUM(DATE(YEAR(datos_siembra[[#This Row],[Date]]),MONTH(datos_siembra[[#This Row],[Date]]),1))+1</f>
        <v>1</v>
      </c>
      <c r="S2082">
        <f>MONTH(datos_siembra[[#This Row],[Date]])</f>
        <v>10</v>
      </c>
      <c r="T2082" t="str" cm="1">
        <f t="array" ref="T2082">_xlfn.IFS(AND(N2082&lt;= 22, S2082=9), "SOWING",AND(N2082&lt;= 28, S2082=9), "COVERAGE",AND(N2082&lt;= 30, S2082=9), "FLUSH",AND(N2082&lt;= 11, S2082=10), "FLUSH",AND(N2082&lt;= 21, S2082=10), "PRODUCTION")</f>
        <v>FLUSH</v>
      </c>
      <c r="U2082">
        <f>HOUR(datos_siembra[[#This Row],[Hour]])</f>
        <v>4</v>
      </c>
      <c r="V2082" cm="1">
        <f t="array" ref="V2082">_xlfn.IFS(AND(N2082&lt;= 22, S2082=9), N2082-7,AND(N2082&lt;= 28, S2082=9), N2082-25,AND(N2082&lt;= 30, S2082=9), N2082-28,AND(N2082&lt;= 11, S2082=10), N2082+2,AND(N2082&lt;= 21, S2082=10), N2082-11)</f>
        <v>3</v>
      </c>
    </row>
    <row r="2083" spans="1:22" x14ac:dyDescent="0.35">
      <c r="A2083" s="4">
        <v>45566</v>
      </c>
      <c r="B2083" s="5">
        <v>0.19837962962962963</v>
      </c>
      <c r="C2083">
        <v>76.7</v>
      </c>
      <c r="D2083">
        <v>75.2</v>
      </c>
      <c r="E2083">
        <v>75.2</v>
      </c>
      <c r="F2083">
        <v>72.7</v>
      </c>
      <c r="G2083">
        <v>0</v>
      </c>
      <c r="H2083">
        <v>0</v>
      </c>
      <c r="I2083">
        <v>0</v>
      </c>
      <c r="J2083">
        <v>0</v>
      </c>
      <c r="K2083">
        <v>65.900000000000006</v>
      </c>
      <c r="L2083">
        <v>65.8</v>
      </c>
      <c r="M2083">
        <v>74.97</v>
      </c>
      <c r="N2083">
        <v>1</v>
      </c>
      <c r="O2083">
        <v>7</v>
      </c>
      <c r="P2083">
        <f>MOD(DAY(datos_siembra[[#This Row],[Date]]),7)</f>
        <v>1</v>
      </c>
      <c r="Q2083" t="str">
        <f>CHOOSE(WEEKDAY(datos_siembra[[#This Row],[Date]],2),"L","M","X","J","V","S","D")</f>
        <v>M</v>
      </c>
      <c r="R2083">
        <f>WEEKNUM(datos_siembra[[#This Row],[Date]],2)-WEEKNUM(DATE(YEAR(datos_siembra[[#This Row],[Date]]),MONTH(datos_siembra[[#This Row],[Date]]),1))+1</f>
        <v>1</v>
      </c>
      <c r="S2083">
        <f>MONTH(datos_siembra[[#This Row],[Date]])</f>
        <v>10</v>
      </c>
      <c r="T2083" t="str" cm="1">
        <f t="array" ref="T2083">_xlfn.IFS(AND(N2083&lt;= 22, S2083=9), "SOWING",AND(N2083&lt;= 28, S2083=9), "COVERAGE",AND(N2083&lt;= 30, S2083=9), "FLUSH",AND(N2083&lt;= 11, S2083=10), "FLUSH",AND(N2083&lt;= 21, S2083=10), "PRODUCTION")</f>
        <v>FLUSH</v>
      </c>
      <c r="U2083">
        <f>HOUR(datos_siembra[[#This Row],[Hour]])</f>
        <v>4</v>
      </c>
      <c r="V2083" cm="1">
        <f t="array" ref="V2083">_xlfn.IFS(AND(N2083&lt;= 22, S2083=9), N2083-7,AND(N2083&lt;= 28, S2083=9), N2083-25,AND(N2083&lt;= 30, S2083=9), N2083-28,AND(N2083&lt;= 11, S2083=10), N2083+2,AND(N2083&lt;= 21, S2083=10), N2083-11)</f>
        <v>3</v>
      </c>
    </row>
    <row r="2084" spans="1:22" x14ac:dyDescent="0.35">
      <c r="A2084" s="4">
        <v>45566</v>
      </c>
      <c r="B2084" s="5">
        <v>0.20532407407407408</v>
      </c>
      <c r="C2084">
        <v>76.599999999999994</v>
      </c>
      <c r="D2084">
        <v>75.3</v>
      </c>
      <c r="E2084">
        <v>75</v>
      </c>
      <c r="F2084">
        <v>72.599999999999994</v>
      </c>
      <c r="G2084">
        <v>0</v>
      </c>
      <c r="H2084">
        <v>0</v>
      </c>
      <c r="I2084">
        <v>0</v>
      </c>
      <c r="J2084">
        <v>0</v>
      </c>
      <c r="K2084">
        <v>65.900000000000006</v>
      </c>
      <c r="L2084">
        <v>65.8</v>
      </c>
      <c r="M2084">
        <v>74.89</v>
      </c>
      <c r="N2084">
        <v>1</v>
      </c>
      <c r="O2084">
        <v>7</v>
      </c>
      <c r="P2084">
        <f>MOD(DAY(datos_siembra[[#This Row],[Date]]),7)</f>
        <v>1</v>
      </c>
      <c r="Q2084" t="str">
        <f>CHOOSE(WEEKDAY(datos_siembra[[#This Row],[Date]],2),"L","M","X","J","V","S","D")</f>
        <v>M</v>
      </c>
      <c r="R2084">
        <f>WEEKNUM(datos_siembra[[#This Row],[Date]],2)-WEEKNUM(DATE(YEAR(datos_siembra[[#This Row],[Date]]),MONTH(datos_siembra[[#This Row],[Date]]),1))+1</f>
        <v>1</v>
      </c>
      <c r="S2084">
        <f>MONTH(datos_siembra[[#This Row],[Date]])</f>
        <v>10</v>
      </c>
      <c r="T2084" t="str" cm="1">
        <f t="array" ref="T2084">_xlfn.IFS(AND(N2084&lt;= 22, S2084=9), "SOWING",AND(N2084&lt;= 28, S2084=9), "COVERAGE",AND(N2084&lt;= 30, S2084=9), "FLUSH",AND(N2084&lt;= 11, S2084=10), "FLUSH",AND(N2084&lt;= 21, S2084=10), "PRODUCTION")</f>
        <v>FLUSH</v>
      </c>
      <c r="U2084">
        <f>HOUR(datos_siembra[[#This Row],[Hour]])</f>
        <v>4</v>
      </c>
      <c r="V2084" cm="1">
        <f t="array" ref="V2084">_xlfn.IFS(AND(N2084&lt;= 22, S2084=9), N2084-7,AND(N2084&lt;= 28, S2084=9), N2084-25,AND(N2084&lt;= 30, S2084=9), N2084-28,AND(N2084&lt;= 11, S2084=10), N2084+2,AND(N2084&lt;= 21, S2084=10), N2084-11)</f>
        <v>3</v>
      </c>
    </row>
    <row r="2085" spans="1:22" x14ac:dyDescent="0.35">
      <c r="A2085" s="4">
        <v>45566</v>
      </c>
      <c r="B2085" s="5">
        <v>0.21226851851851852</v>
      </c>
      <c r="C2085">
        <v>76.7</v>
      </c>
      <c r="D2085">
        <v>75.3</v>
      </c>
      <c r="E2085">
        <v>75.3</v>
      </c>
      <c r="F2085">
        <v>72.599999999999994</v>
      </c>
      <c r="G2085">
        <v>0</v>
      </c>
      <c r="H2085">
        <v>0</v>
      </c>
      <c r="I2085">
        <v>0</v>
      </c>
      <c r="J2085">
        <v>0</v>
      </c>
      <c r="K2085">
        <v>65.900000000000006</v>
      </c>
      <c r="L2085">
        <v>65.8</v>
      </c>
      <c r="M2085">
        <v>74.89</v>
      </c>
      <c r="N2085">
        <v>1</v>
      </c>
      <c r="O2085">
        <v>7</v>
      </c>
      <c r="P2085">
        <f>MOD(DAY(datos_siembra[[#This Row],[Date]]),7)</f>
        <v>1</v>
      </c>
      <c r="Q2085" t="str">
        <f>CHOOSE(WEEKDAY(datos_siembra[[#This Row],[Date]],2),"L","M","X","J","V","S","D")</f>
        <v>M</v>
      </c>
      <c r="R2085">
        <f>WEEKNUM(datos_siembra[[#This Row],[Date]],2)-WEEKNUM(DATE(YEAR(datos_siembra[[#This Row],[Date]]),MONTH(datos_siembra[[#This Row],[Date]]),1))+1</f>
        <v>1</v>
      </c>
      <c r="S2085">
        <f>MONTH(datos_siembra[[#This Row],[Date]])</f>
        <v>10</v>
      </c>
      <c r="T2085" t="str" cm="1">
        <f t="array" ref="T2085">_xlfn.IFS(AND(N2085&lt;= 22, S2085=9), "SOWING",AND(N2085&lt;= 28, S2085=9), "COVERAGE",AND(N2085&lt;= 30, S2085=9), "FLUSH",AND(N2085&lt;= 11, S2085=10), "FLUSH",AND(N2085&lt;= 21, S2085=10), "PRODUCTION")</f>
        <v>FLUSH</v>
      </c>
      <c r="U2085">
        <f>HOUR(datos_siembra[[#This Row],[Hour]])</f>
        <v>5</v>
      </c>
      <c r="V2085" cm="1">
        <f t="array" ref="V2085">_xlfn.IFS(AND(N2085&lt;= 22, S2085=9), N2085-7,AND(N2085&lt;= 28, S2085=9), N2085-25,AND(N2085&lt;= 30, S2085=9), N2085-28,AND(N2085&lt;= 11, S2085=10), N2085+2,AND(N2085&lt;= 21, S2085=10), N2085-11)</f>
        <v>3</v>
      </c>
    </row>
    <row r="2086" spans="1:22" x14ac:dyDescent="0.35">
      <c r="A2086" s="4">
        <v>45566</v>
      </c>
      <c r="B2086" s="5">
        <v>0.21922453703703704</v>
      </c>
      <c r="C2086">
        <v>76.599999999999994</v>
      </c>
      <c r="D2086">
        <v>75.2</v>
      </c>
      <c r="E2086">
        <v>75.099999999999994</v>
      </c>
      <c r="F2086">
        <v>72.599999999999994</v>
      </c>
      <c r="G2086">
        <v>0</v>
      </c>
      <c r="H2086">
        <v>0</v>
      </c>
      <c r="I2086">
        <v>0</v>
      </c>
      <c r="J2086">
        <v>0</v>
      </c>
      <c r="K2086">
        <v>65.900000000000006</v>
      </c>
      <c r="L2086">
        <v>65.8</v>
      </c>
      <c r="M2086">
        <v>74.89</v>
      </c>
      <c r="N2086">
        <v>1</v>
      </c>
      <c r="O2086">
        <v>7</v>
      </c>
      <c r="P2086">
        <f>MOD(DAY(datos_siembra[[#This Row],[Date]]),7)</f>
        <v>1</v>
      </c>
      <c r="Q2086" t="str">
        <f>CHOOSE(WEEKDAY(datos_siembra[[#This Row],[Date]],2),"L","M","X","J","V","S","D")</f>
        <v>M</v>
      </c>
      <c r="R2086">
        <f>WEEKNUM(datos_siembra[[#This Row],[Date]],2)-WEEKNUM(DATE(YEAR(datos_siembra[[#This Row],[Date]]),MONTH(datos_siembra[[#This Row],[Date]]),1))+1</f>
        <v>1</v>
      </c>
      <c r="S2086">
        <f>MONTH(datos_siembra[[#This Row],[Date]])</f>
        <v>10</v>
      </c>
      <c r="T2086" t="str" cm="1">
        <f t="array" ref="T2086">_xlfn.IFS(AND(N2086&lt;= 22, S2086=9), "SOWING",AND(N2086&lt;= 28, S2086=9), "COVERAGE",AND(N2086&lt;= 30, S2086=9), "FLUSH",AND(N2086&lt;= 11, S2086=10), "FLUSH",AND(N2086&lt;= 21, S2086=10), "PRODUCTION")</f>
        <v>FLUSH</v>
      </c>
      <c r="U2086">
        <f>HOUR(datos_siembra[[#This Row],[Hour]])</f>
        <v>5</v>
      </c>
      <c r="V2086" cm="1">
        <f t="array" ref="V2086">_xlfn.IFS(AND(N2086&lt;= 22, S2086=9), N2086-7,AND(N2086&lt;= 28, S2086=9), N2086-25,AND(N2086&lt;= 30, S2086=9), N2086-28,AND(N2086&lt;= 11, S2086=10), N2086+2,AND(N2086&lt;= 21, S2086=10), N2086-11)</f>
        <v>3</v>
      </c>
    </row>
    <row r="2087" spans="1:22" x14ac:dyDescent="0.35">
      <c r="A2087" s="4">
        <v>45566</v>
      </c>
      <c r="B2087" s="5">
        <v>0.22616898148148148</v>
      </c>
      <c r="C2087">
        <v>76.400000000000006</v>
      </c>
      <c r="D2087">
        <v>75.3</v>
      </c>
      <c r="E2087">
        <v>75.099999999999994</v>
      </c>
      <c r="F2087">
        <v>72.5</v>
      </c>
      <c r="G2087">
        <v>0</v>
      </c>
      <c r="H2087">
        <v>0</v>
      </c>
      <c r="I2087">
        <v>0</v>
      </c>
      <c r="J2087">
        <v>0</v>
      </c>
      <c r="K2087">
        <v>66</v>
      </c>
      <c r="L2087">
        <v>65.8</v>
      </c>
      <c r="M2087">
        <v>74.89</v>
      </c>
      <c r="N2087">
        <v>1</v>
      </c>
      <c r="O2087">
        <v>7</v>
      </c>
      <c r="P2087">
        <f>MOD(DAY(datos_siembra[[#This Row],[Date]]),7)</f>
        <v>1</v>
      </c>
      <c r="Q2087" t="str">
        <f>CHOOSE(WEEKDAY(datos_siembra[[#This Row],[Date]],2),"L","M","X","J","V","S","D")</f>
        <v>M</v>
      </c>
      <c r="R2087">
        <f>WEEKNUM(datos_siembra[[#This Row],[Date]],2)-WEEKNUM(DATE(YEAR(datos_siembra[[#This Row],[Date]]),MONTH(datos_siembra[[#This Row],[Date]]),1))+1</f>
        <v>1</v>
      </c>
      <c r="S2087">
        <f>MONTH(datos_siembra[[#This Row],[Date]])</f>
        <v>10</v>
      </c>
      <c r="T2087" t="str" cm="1">
        <f t="array" ref="T2087">_xlfn.IFS(AND(N2087&lt;= 22, S2087=9), "SOWING",AND(N2087&lt;= 28, S2087=9), "COVERAGE",AND(N2087&lt;= 30, S2087=9), "FLUSH",AND(N2087&lt;= 11, S2087=10), "FLUSH",AND(N2087&lt;= 21, S2087=10), "PRODUCTION")</f>
        <v>FLUSH</v>
      </c>
      <c r="U2087">
        <f>HOUR(datos_siembra[[#This Row],[Hour]])</f>
        <v>5</v>
      </c>
      <c r="V2087" cm="1">
        <f t="array" ref="V2087">_xlfn.IFS(AND(N2087&lt;= 22, S2087=9), N2087-7,AND(N2087&lt;= 28, S2087=9), N2087-25,AND(N2087&lt;= 30, S2087=9), N2087-28,AND(N2087&lt;= 11, S2087=10), N2087+2,AND(N2087&lt;= 21, S2087=10), N2087-11)</f>
        <v>3</v>
      </c>
    </row>
    <row r="2088" spans="1:22" x14ac:dyDescent="0.35">
      <c r="A2088" s="4">
        <v>45566</v>
      </c>
      <c r="B2088" s="5">
        <v>0.23311342592592593</v>
      </c>
      <c r="C2088">
        <v>76.400000000000006</v>
      </c>
      <c r="D2088">
        <v>75.3</v>
      </c>
      <c r="E2088">
        <v>75.099999999999994</v>
      </c>
      <c r="F2088">
        <v>72.5</v>
      </c>
      <c r="G2088">
        <v>0</v>
      </c>
      <c r="H2088">
        <v>0</v>
      </c>
      <c r="I2088">
        <v>0</v>
      </c>
      <c r="J2088">
        <v>0</v>
      </c>
      <c r="K2088">
        <v>65.900000000000006</v>
      </c>
      <c r="L2088">
        <v>65.8</v>
      </c>
      <c r="M2088">
        <v>74.83</v>
      </c>
      <c r="N2088">
        <v>1</v>
      </c>
      <c r="O2088">
        <v>7</v>
      </c>
      <c r="P2088">
        <f>MOD(DAY(datos_siembra[[#This Row],[Date]]),7)</f>
        <v>1</v>
      </c>
      <c r="Q2088" t="str">
        <f>CHOOSE(WEEKDAY(datos_siembra[[#This Row],[Date]],2),"L","M","X","J","V","S","D")</f>
        <v>M</v>
      </c>
      <c r="R2088">
        <f>WEEKNUM(datos_siembra[[#This Row],[Date]],2)-WEEKNUM(DATE(YEAR(datos_siembra[[#This Row],[Date]]),MONTH(datos_siembra[[#This Row],[Date]]),1))+1</f>
        <v>1</v>
      </c>
      <c r="S2088">
        <f>MONTH(datos_siembra[[#This Row],[Date]])</f>
        <v>10</v>
      </c>
      <c r="T2088" t="str" cm="1">
        <f t="array" ref="T2088">_xlfn.IFS(AND(N2088&lt;= 22, S2088=9), "SOWING",AND(N2088&lt;= 28, S2088=9), "COVERAGE",AND(N2088&lt;= 30, S2088=9), "FLUSH",AND(N2088&lt;= 11, S2088=10), "FLUSH",AND(N2088&lt;= 21, S2088=10), "PRODUCTION")</f>
        <v>FLUSH</v>
      </c>
      <c r="U2088">
        <f>HOUR(datos_siembra[[#This Row],[Hour]])</f>
        <v>5</v>
      </c>
      <c r="V2088" cm="1">
        <f t="array" ref="V2088">_xlfn.IFS(AND(N2088&lt;= 22, S2088=9), N2088-7,AND(N2088&lt;= 28, S2088=9), N2088-25,AND(N2088&lt;= 30, S2088=9), N2088-28,AND(N2088&lt;= 11, S2088=10), N2088+2,AND(N2088&lt;= 21, S2088=10), N2088-11)</f>
        <v>3</v>
      </c>
    </row>
    <row r="2089" spans="1:22" x14ac:dyDescent="0.35">
      <c r="A2089" s="4">
        <v>45566</v>
      </c>
      <c r="B2089" s="5">
        <v>0.24005787037037038</v>
      </c>
      <c r="C2089">
        <v>76.599999999999994</v>
      </c>
      <c r="D2089">
        <v>75.3</v>
      </c>
      <c r="E2089">
        <v>75</v>
      </c>
      <c r="F2089">
        <v>72.5</v>
      </c>
      <c r="G2089">
        <v>0</v>
      </c>
      <c r="H2089">
        <v>0</v>
      </c>
      <c r="I2089">
        <v>0</v>
      </c>
      <c r="J2089">
        <v>0</v>
      </c>
      <c r="K2089">
        <v>65.900000000000006</v>
      </c>
      <c r="L2089">
        <v>65.8</v>
      </c>
      <c r="M2089">
        <v>74.78</v>
      </c>
      <c r="N2089">
        <v>1</v>
      </c>
      <c r="O2089">
        <v>7</v>
      </c>
      <c r="P2089">
        <f>MOD(DAY(datos_siembra[[#This Row],[Date]]),7)</f>
        <v>1</v>
      </c>
      <c r="Q2089" t="str">
        <f>CHOOSE(WEEKDAY(datos_siembra[[#This Row],[Date]],2),"L","M","X","J","V","S","D")</f>
        <v>M</v>
      </c>
      <c r="R2089">
        <f>WEEKNUM(datos_siembra[[#This Row],[Date]],2)-WEEKNUM(DATE(YEAR(datos_siembra[[#This Row],[Date]]),MONTH(datos_siembra[[#This Row],[Date]]),1))+1</f>
        <v>1</v>
      </c>
      <c r="S2089">
        <f>MONTH(datos_siembra[[#This Row],[Date]])</f>
        <v>10</v>
      </c>
      <c r="T2089" t="str" cm="1">
        <f t="array" ref="T2089">_xlfn.IFS(AND(N2089&lt;= 22, S2089=9), "SOWING",AND(N2089&lt;= 28, S2089=9), "COVERAGE",AND(N2089&lt;= 30, S2089=9), "FLUSH",AND(N2089&lt;= 11, S2089=10), "FLUSH",AND(N2089&lt;= 21, S2089=10), "PRODUCTION")</f>
        <v>FLUSH</v>
      </c>
      <c r="U2089">
        <f>HOUR(datos_siembra[[#This Row],[Hour]])</f>
        <v>5</v>
      </c>
      <c r="V2089" cm="1">
        <f t="array" ref="V2089">_xlfn.IFS(AND(N2089&lt;= 22, S2089=9), N2089-7,AND(N2089&lt;= 28, S2089=9), N2089-25,AND(N2089&lt;= 30, S2089=9), N2089-28,AND(N2089&lt;= 11, S2089=10), N2089+2,AND(N2089&lt;= 21, S2089=10), N2089-11)</f>
        <v>3</v>
      </c>
    </row>
    <row r="2090" spans="1:22" x14ac:dyDescent="0.35">
      <c r="A2090" s="4">
        <v>45566</v>
      </c>
      <c r="B2090" s="5">
        <v>0.24701388888888889</v>
      </c>
      <c r="C2090">
        <v>76.400000000000006</v>
      </c>
      <c r="D2090">
        <v>75</v>
      </c>
      <c r="E2090">
        <v>75</v>
      </c>
      <c r="F2090">
        <v>72.5</v>
      </c>
      <c r="G2090">
        <v>0</v>
      </c>
      <c r="H2090">
        <v>0</v>
      </c>
      <c r="I2090">
        <v>0</v>
      </c>
      <c r="J2090">
        <v>0</v>
      </c>
      <c r="K2090">
        <v>65.900000000000006</v>
      </c>
      <c r="L2090">
        <v>65.8</v>
      </c>
      <c r="M2090">
        <v>74.81</v>
      </c>
      <c r="N2090">
        <v>1</v>
      </c>
      <c r="O2090">
        <v>7</v>
      </c>
      <c r="P2090">
        <f>MOD(DAY(datos_siembra[[#This Row],[Date]]),7)</f>
        <v>1</v>
      </c>
      <c r="Q2090" t="str">
        <f>CHOOSE(WEEKDAY(datos_siembra[[#This Row],[Date]],2),"L","M","X","J","V","S","D")</f>
        <v>M</v>
      </c>
      <c r="R2090">
        <f>WEEKNUM(datos_siembra[[#This Row],[Date]],2)-WEEKNUM(DATE(YEAR(datos_siembra[[#This Row],[Date]]),MONTH(datos_siembra[[#This Row],[Date]]),1))+1</f>
        <v>1</v>
      </c>
      <c r="S2090">
        <f>MONTH(datos_siembra[[#This Row],[Date]])</f>
        <v>10</v>
      </c>
      <c r="T2090" t="str" cm="1">
        <f t="array" ref="T2090">_xlfn.IFS(AND(N2090&lt;= 22, S2090=9), "SOWING",AND(N2090&lt;= 28, S2090=9), "COVERAGE",AND(N2090&lt;= 30, S2090=9), "FLUSH",AND(N2090&lt;= 11, S2090=10), "FLUSH",AND(N2090&lt;= 21, S2090=10), "PRODUCTION")</f>
        <v>FLUSH</v>
      </c>
      <c r="U2090">
        <f>HOUR(datos_siembra[[#This Row],[Hour]])</f>
        <v>5</v>
      </c>
      <c r="V2090" cm="1">
        <f t="array" ref="V2090">_xlfn.IFS(AND(N2090&lt;= 22, S2090=9), N2090-7,AND(N2090&lt;= 28, S2090=9), N2090-25,AND(N2090&lt;= 30, S2090=9), N2090-28,AND(N2090&lt;= 11, S2090=10), N2090+2,AND(N2090&lt;= 21, S2090=10), N2090-11)</f>
        <v>3</v>
      </c>
    </row>
    <row r="2091" spans="1:22" x14ac:dyDescent="0.35">
      <c r="A2091" s="4">
        <v>45566</v>
      </c>
      <c r="B2091" s="5">
        <v>0.25395833333333334</v>
      </c>
      <c r="C2091">
        <v>76.599999999999994</v>
      </c>
      <c r="D2091">
        <v>75.2</v>
      </c>
      <c r="E2091">
        <v>75.099999999999994</v>
      </c>
      <c r="F2091">
        <v>72.5</v>
      </c>
      <c r="G2091">
        <v>0</v>
      </c>
      <c r="H2091">
        <v>0</v>
      </c>
      <c r="I2091">
        <v>0</v>
      </c>
      <c r="J2091">
        <v>0</v>
      </c>
      <c r="K2091">
        <v>65.900000000000006</v>
      </c>
      <c r="L2091">
        <v>65.8</v>
      </c>
      <c r="M2091">
        <v>74.83</v>
      </c>
      <c r="N2091">
        <v>1</v>
      </c>
      <c r="O2091">
        <v>7</v>
      </c>
      <c r="P2091">
        <f>MOD(DAY(datos_siembra[[#This Row],[Date]]),7)</f>
        <v>1</v>
      </c>
      <c r="Q2091" t="str">
        <f>CHOOSE(WEEKDAY(datos_siembra[[#This Row],[Date]],2),"L","M","X","J","V","S","D")</f>
        <v>M</v>
      </c>
      <c r="R2091">
        <f>WEEKNUM(datos_siembra[[#This Row],[Date]],2)-WEEKNUM(DATE(YEAR(datos_siembra[[#This Row],[Date]]),MONTH(datos_siembra[[#This Row],[Date]]),1))+1</f>
        <v>1</v>
      </c>
      <c r="S2091">
        <f>MONTH(datos_siembra[[#This Row],[Date]])</f>
        <v>10</v>
      </c>
      <c r="T2091" t="str" cm="1">
        <f t="array" ref="T2091">_xlfn.IFS(AND(N2091&lt;= 22, S2091=9), "SOWING",AND(N2091&lt;= 28, S2091=9), "COVERAGE",AND(N2091&lt;= 30, S2091=9), "FLUSH",AND(N2091&lt;= 11, S2091=10), "FLUSH",AND(N2091&lt;= 21, S2091=10), "PRODUCTION")</f>
        <v>FLUSH</v>
      </c>
      <c r="U2091">
        <f>HOUR(datos_siembra[[#This Row],[Hour]])</f>
        <v>6</v>
      </c>
      <c r="V2091" cm="1">
        <f t="array" ref="V2091">_xlfn.IFS(AND(N2091&lt;= 22, S2091=9), N2091-7,AND(N2091&lt;= 28, S2091=9), N2091-25,AND(N2091&lt;= 30, S2091=9), N2091-28,AND(N2091&lt;= 11, S2091=10), N2091+2,AND(N2091&lt;= 21, S2091=10), N2091-11)</f>
        <v>3</v>
      </c>
    </row>
    <row r="2092" spans="1:22" x14ac:dyDescent="0.35">
      <c r="A2092" s="4">
        <v>45566</v>
      </c>
      <c r="B2092" s="5">
        <v>0.26090277777777776</v>
      </c>
      <c r="C2092">
        <v>76.599999999999994</v>
      </c>
      <c r="D2092">
        <v>75.099999999999994</v>
      </c>
      <c r="E2092">
        <v>75</v>
      </c>
      <c r="F2092">
        <v>72.400000000000006</v>
      </c>
      <c r="G2092">
        <v>0</v>
      </c>
      <c r="H2092">
        <v>0</v>
      </c>
      <c r="I2092">
        <v>0</v>
      </c>
      <c r="J2092">
        <v>0</v>
      </c>
      <c r="K2092">
        <v>65.900000000000006</v>
      </c>
      <c r="L2092">
        <v>65.8</v>
      </c>
      <c r="M2092">
        <v>74.78</v>
      </c>
      <c r="N2092">
        <v>1</v>
      </c>
      <c r="O2092">
        <v>7</v>
      </c>
      <c r="P2092">
        <f>MOD(DAY(datos_siembra[[#This Row],[Date]]),7)</f>
        <v>1</v>
      </c>
      <c r="Q2092" t="str">
        <f>CHOOSE(WEEKDAY(datos_siembra[[#This Row],[Date]],2),"L","M","X","J","V","S","D")</f>
        <v>M</v>
      </c>
      <c r="R2092">
        <f>WEEKNUM(datos_siembra[[#This Row],[Date]],2)-WEEKNUM(DATE(YEAR(datos_siembra[[#This Row],[Date]]),MONTH(datos_siembra[[#This Row],[Date]]),1))+1</f>
        <v>1</v>
      </c>
      <c r="S2092">
        <f>MONTH(datos_siembra[[#This Row],[Date]])</f>
        <v>10</v>
      </c>
      <c r="T2092" t="str" cm="1">
        <f t="array" ref="T2092">_xlfn.IFS(AND(N2092&lt;= 22, S2092=9), "SOWING",AND(N2092&lt;= 28, S2092=9), "COVERAGE",AND(N2092&lt;= 30, S2092=9), "FLUSH",AND(N2092&lt;= 11, S2092=10), "FLUSH",AND(N2092&lt;= 21, S2092=10), "PRODUCTION")</f>
        <v>FLUSH</v>
      </c>
      <c r="U2092">
        <f>HOUR(datos_siembra[[#This Row],[Hour]])</f>
        <v>6</v>
      </c>
      <c r="V2092" cm="1">
        <f t="array" ref="V2092">_xlfn.IFS(AND(N2092&lt;= 22, S2092=9), N2092-7,AND(N2092&lt;= 28, S2092=9), N2092-25,AND(N2092&lt;= 30, S2092=9), N2092-28,AND(N2092&lt;= 11, S2092=10), N2092+2,AND(N2092&lt;= 21, S2092=10), N2092-11)</f>
        <v>3</v>
      </c>
    </row>
    <row r="2093" spans="1:22" x14ac:dyDescent="0.35">
      <c r="A2093" s="4">
        <v>45566</v>
      </c>
      <c r="B2093" s="5">
        <v>0.26784722222222224</v>
      </c>
      <c r="C2093">
        <v>76.400000000000006</v>
      </c>
      <c r="D2093">
        <v>75.2</v>
      </c>
      <c r="E2093">
        <v>75</v>
      </c>
      <c r="F2093">
        <v>72.5</v>
      </c>
      <c r="G2093">
        <v>0</v>
      </c>
      <c r="H2093">
        <v>0</v>
      </c>
      <c r="I2093">
        <v>0</v>
      </c>
      <c r="J2093">
        <v>0</v>
      </c>
      <c r="K2093">
        <v>65.900000000000006</v>
      </c>
      <c r="L2093">
        <v>65.8</v>
      </c>
      <c r="M2093">
        <v>74.75</v>
      </c>
      <c r="N2093">
        <v>1</v>
      </c>
      <c r="O2093">
        <v>7</v>
      </c>
      <c r="P2093">
        <f>MOD(DAY(datos_siembra[[#This Row],[Date]]),7)</f>
        <v>1</v>
      </c>
      <c r="Q2093" t="str">
        <f>CHOOSE(WEEKDAY(datos_siembra[[#This Row],[Date]],2),"L","M","X","J","V","S","D")</f>
        <v>M</v>
      </c>
      <c r="R2093">
        <f>WEEKNUM(datos_siembra[[#This Row],[Date]],2)-WEEKNUM(DATE(YEAR(datos_siembra[[#This Row],[Date]]),MONTH(datos_siembra[[#This Row],[Date]]),1))+1</f>
        <v>1</v>
      </c>
      <c r="S2093">
        <f>MONTH(datos_siembra[[#This Row],[Date]])</f>
        <v>10</v>
      </c>
      <c r="T2093" t="str" cm="1">
        <f t="array" ref="T2093">_xlfn.IFS(AND(N2093&lt;= 22, S2093=9), "SOWING",AND(N2093&lt;= 28, S2093=9), "COVERAGE",AND(N2093&lt;= 30, S2093=9), "FLUSH",AND(N2093&lt;= 11, S2093=10), "FLUSH",AND(N2093&lt;= 21, S2093=10), "PRODUCTION")</f>
        <v>FLUSH</v>
      </c>
      <c r="U2093">
        <f>HOUR(datos_siembra[[#This Row],[Hour]])</f>
        <v>6</v>
      </c>
      <c r="V2093" cm="1">
        <f t="array" ref="V2093">_xlfn.IFS(AND(N2093&lt;= 22, S2093=9), N2093-7,AND(N2093&lt;= 28, S2093=9), N2093-25,AND(N2093&lt;= 30, S2093=9), N2093-28,AND(N2093&lt;= 11, S2093=10), N2093+2,AND(N2093&lt;= 21, S2093=10), N2093-11)</f>
        <v>3</v>
      </c>
    </row>
    <row r="2094" spans="1:22" x14ac:dyDescent="0.35">
      <c r="A2094" s="4">
        <v>45566</v>
      </c>
      <c r="B2094" s="5">
        <v>0.27480324074074075</v>
      </c>
      <c r="C2094">
        <v>76.400000000000006</v>
      </c>
      <c r="D2094">
        <v>75.2</v>
      </c>
      <c r="E2094">
        <v>74.900000000000006</v>
      </c>
      <c r="F2094">
        <v>72.400000000000006</v>
      </c>
      <c r="G2094">
        <v>0</v>
      </c>
      <c r="H2094">
        <v>0</v>
      </c>
      <c r="I2094">
        <v>0</v>
      </c>
      <c r="J2094">
        <v>0</v>
      </c>
      <c r="K2094">
        <v>66</v>
      </c>
      <c r="L2094">
        <v>65.8</v>
      </c>
      <c r="M2094">
        <v>74.72</v>
      </c>
      <c r="N2094">
        <v>1</v>
      </c>
      <c r="O2094">
        <v>7</v>
      </c>
      <c r="P2094">
        <f>MOD(DAY(datos_siembra[[#This Row],[Date]]),7)</f>
        <v>1</v>
      </c>
      <c r="Q2094" t="str">
        <f>CHOOSE(WEEKDAY(datos_siembra[[#This Row],[Date]],2),"L","M","X","J","V","S","D")</f>
        <v>M</v>
      </c>
      <c r="R2094">
        <f>WEEKNUM(datos_siembra[[#This Row],[Date]],2)-WEEKNUM(DATE(YEAR(datos_siembra[[#This Row],[Date]]),MONTH(datos_siembra[[#This Row],[Date]]),1))+1</f>
        <v>1</v>
      </c>
      <c r="S2094">
        <f>MONTH(datos_siembra[[#This Row],[Date]])</f>
        <v>10</v>
      </c>
      <c r="T2094" t="str" cm="1">
        <f t="array" ref="T2094">_xlfn.IFS(AND(N2094&lt;= 22, S2094=9), "SOWING",AND(N2094&lt;= 28, S2094=9), "COVERAGE",AND(N2094&lt;= 30, S2094=9), "FLUSH",AND(N2094&lt;= 11, S2094=10), "FLUSH",AND(N2094&lt;= 21, S2094=10), "PRODUCTION")</f>
        <v>FLUSH</v>
      </c>
      <c r="U2094">
        <f>HOUR(datos_siembra[[#This Row],[Hour]])</f>
        <v>6</v>
      </c>
      <c r="V2094" cm="1">
        <f t="array" ref="V2094">_xlfn.IFS(AND(N2094&lt;= 22, S2094=9), N2094-7,AND(N2094&lt;= 28, S2094=9), N2094-25,AND(N2094&lt;= 30, S2094=9), N2094-28,AND(N2094&lt;= 11, S2094=10), N2094+2,AND(N2094&lt;= 21, S2094=10), N2094-11)</f>
        <v>3</v>
      </c>
    </row>
    <row r="2095" spans="1:22" x14ac:dyDescent="0.35">
      <c r="A2095" s="4">
        <v>45566</v>
      </c>
      <c r="B2095" s="5">
        <v>0.28174768518518517</v>
      </c>
      <c r="C2095">
        <v>76.599999999999994</v>
      </c>
      <c r="D2095">
        <v>75</v>
      </c>
      <c r="E2095">
        <v>74.900000000000006</v>
      </c>
      <c r="F2095">
        <v>72.400000000000006</v>
      </c>
      <c r="G2095">
        <v>0</v>
      </c>
      <c r="H2095">
        <v>0</v>
      </c>
      <c r="I2095">
        <v>0</v>
      </c>
      <c r="J2095">
        <v>0</v>
      </c>
      <c r="K2095">
        <v>66</v>
      </c>
      <c r="L2095">
        <v>65.8</v>
      </c>
      <c r="M2095">
        <v>74.67</v>
      </c>
      <c r="N2095">
        <v>1</v>
      </c>
      <c r="O2095">
        <v>7</v>
      </c>
      <c r="P2095">
        <f>MOD(DAY(datos_siembra[[#This Row],[Date]]),7)</f>
        <v>1</v>
      </c>
      <c r="Q2095" t="str">
        <f>CHOOSE(WEEKDAY(datos_siembra[[#This Row],[Date]],2),"L","M","X","J","V","S","D")</f>
        <v>M</v>
      </c>
      <c r="R2095">
        <f>WEEKNUM(datos_siembra[[#This Row],[Date]],2)-WEEKNUM(DATE(YEAR(datos_siembra[[#This Row],[Date]]),MONTH(datos_siembra[[#This Row],[Date]]),1))+1</f>
        <v>1</v>
      </c>
      <c r="S2095">
        <f>MONTH(datos_siembra[[#This Row],[Date]])</f>
        <v>10</v>
      </c>
      <c r="T2095" t="str" cm="1">
        <f t="array" ref="T2095">_xlfn.IFS(AND(N2095&lt;= 22, S2095=9), "SOWING",AND(N2095&lt;= 28, S2095=9), "COVERAGE",AND(N2095&lt;= 30, S2095=9), "FLUSH",AND(N2095&lt;= 11, S2095=10), "FLUSH",AND(N2095&lt;= 21, S2095=10), "PRODUCTION")</f>
        <v>FLUSH</v>
      </c>
      <c r="U2095">
        <f>HOUR(datos_siembra[[#This Row],[Hour]])</f>
        <v>6</v>
      </c>
      <c r="V2095" cm="1">
        <f t="array" ref="V2095">_xlfn.IFS(AND(N2095&lt;= 22, S2095=9), N2095-7,AND(N2095&lt;= 28, S2095=9), N2095-25,AND(N2095&lt;= 30, S2095=9), N2095-28,AND(N2095&lt;= 11, S2095=10), N2095+2,AND(N2095&lt;= 21, S2095=10), N2095-11)</f>
        <v>3</v>
      </c>
    </row>
    <row r="2096" spans="1:22" x14ac:dyDescent="0.35">
      <c r="A2096" s="4">
        <v>45566</v>
      </c>
      <c r="B2096" s="5">
        <v>0.28869212962962965</v>
      </c>
      <c r="C2096">
        <v>76.599999999999994</v>
      </c>
      <c r="D2096">
        <v>75.099999999999994</v>
      </c>
      <c r="E2096">
        <v>74.900000000000006</v>
      </c>
      <c r="F2096">
        <v>72.3</v>
      </c>
      <c r="G2096">
        <v>0</v>
      </c>
      <c r="H2096">
        <v>0</v>
      </c>
      <c r="I2096">
        <v>0</v>
      </c>
      <c r="J2096">
        <v>0</v>
      </c>
      <c r="K2096">
        <v>65.900000000000006</v>
      </c>
      <c r="L2096">
        <v>65.8</v>
      </c>
      <c r="M2096">
        <v>74.67</v>
      </c>
      <c r="N2096">
        <v>1</v>
      </c>
      <c r="O2096">
        <v>7</v>
      </c>
      <c r="P2096">
        <f>MOD(DAY(datos_siembra[[#This Row],[Date]]),7)</f>
        <v>1</v>
      </c>
      <c r="Q2096" t="str">
        <f>CHOOSE(WEEKDAY(datos_siembra[[#This Row],[Date]],2),"L","M","X","J","V","S","D")</f>
        <v>M</v>
      </c>
      <c r="R2096">
        <f>WEEKNUM(datos_siembra[[#This Row],[Date]],2)-WEEKNUM(DATE(YEAR(datos_siembra[[#This Row],[Date]]),MONTH(datos_siembra[[#This Row],[Date]]),1))+1</f>
        <v>1</v>
      </c>
      <c r="S2096">
        <f>MONTH(datos_siembra[[#This Row],[Date]])</f>
        <v>10</v>
      </c>
      <c r="T2096" t="str" cm="1">
        <f t="array" ref="T2096">_xlfn.IFS(AND(N2096&lt;= 22, S2096=9), "SOWING",AND(N2096&lt;= 28, S2096=9), "COVERAGE",AND(N2096&lt;= 30, S2096=9), "FLUSH",AND(N2096&lt;= 11, S2096=10), "FLUSH",AND(N2096&lt;= 21, S2096=10), "PRODUCTION")</f>
        <v>FLUSH</v>
      </c>
      <c r="U2096">
        <f>HOUR(datos_siembra[[#This Row],[Hour]])</f>
        <v>6</v>
      </c>
      <c r="V2096" cm="1">
        <f t="array" ref="V2096">_xlfn.IFS(AND(N2096&lt;= 22, S2096=9), N2096-7,AND(N2096&lt;= 28, S2096=9), N2096-25,AND(N2096&lt;= 30, S2096=9), N2096-28,AND(N2096&lt;= 11, S2096=10), N2096+2,AND(N2096&lt;= 21, S2096=10), N2096-11)</f>
        <v>3</v>
      </c>
    </row>
    <row r="2097" spans="1:22" x14ac:dyDescent="0.35">
      <c r="A2097" s="4">
        <v>45566</v>
      </c>
      <c r="B2097" s="5">
        <v>0.29563657407407407</v>
      </c>
      <c r="C2097">
        <v>76.3</v>
      </c>
      <c r="D2097">
        <v>75</v>
      </c>
      <c r="E2097">
        <v>74.900000000000006</v>
      </c>
      <c r="F2097">
        <v>72.3</v>
      </c>
      <c r="G2097">
        <v>0</v>
      </c>
      <c r="H2097">
        <v>0</v>
      </c>
      <c r="I2097">
        <v>0</v>
      </c>
      <c r="J2097">
        <v>0</v>
      </c>
      <c r="K2097">
        <v>65.900000000000006</v>
      </c>
      <c r="L2097">
        <v>65.8</v>
      </c>
      <c r="M2097">
        <v>74.72</v>
      </c>
      <c r="N2097">
        <v>1</v>
      </c>
      <c r="O2097">
        <v>7</v>
      </c>
      <c r="P2097">
        <f>MOD(DAY(datos_siembra[[#This Row],[Date]]),7)</f>
        <v>1</v>
      </c>
      <c r="Q2097" t="str">
        <f>CHOOSE(WEEKDAY(datos_siembra[[#This Row],[Date]],2),"L","M","X","J","V","S","D")</f>
        <v>M</v>
      </c>
      <c r="R2097">
        <f>WEEKNUM(datos_siembra[[#This Row],[Date]],2)-WEEKNUM(DATE(YEAR(datos_siembra[[#This Row],[Date]]),MONTH(datos_siembra[[#This Row],[Date]]),1))+1</f>
        <v>1</v>
      </c>
      <c r="S2097">
        <f>MONTH(datos_siembra[[#This Row],[Date]])</f>
        <v>10</v>
      </c>
      <c r="T2097" t="str" cm="1">
        <f t="array" ref="T2097">_xlfn.IFS(AND(N2097&lt;= 22, S2097=9), "SOWING",AND(N2097&lt;= 28, S2097=9), "COVERAGE",AND(N2097&lt;= 30, S2097=9), "FLUSH",AND(N2097&lt;= 11, S2097=10), "FLUSH",AND(N2097&lt;= 21, S2097=10), "PRODUCTION")</f>
        <v>FLUSH</v>
      </c>
      <c r="U2097">
        <f>HOUR(datos_siembra[[#This Row],[Hour]])</f>
        <v>7</v>
      </c>
      <c r="V2097" cm="1">
        <f t="array" ref="V2097">_xlfn.IFS(AND(N2097&lt;= 22, S2097=9), N2097-7,AND(N2097&lt;= 28, S2097=9), N2097-25,AND(N2097&lt;= 30, S2097=9), N2097-28,AND(N2097&lt;= 11, S2097=10), N2097+2,AND(N2097&lt;= 21, S2097=10), N2097-11)</f>
        <v>3</v>
      </c>
    </row>
    <row r="2098" spans="1:22" x14ac:dyDescent="0.35">
      <c r="A2098" s="4">
        <v>45566</v>
      </c>
      <c r="B2098" s="5">
        <v>0.30259259259259258</v>
      </c>
      <c r="C2098">
        <v>76.400000000000006</v>
      </c>
      <c r="D2098">
        <v>75.2</v>
      </c>
      <c r="E2098">
        <v>74.8</v>
      </c>
      <c r="F2098">
        <v>72.400000000000006</v>
      </c>
      <c r="G2098">
        <v>0</v>
      </c>
      <c r="H2098">
        <v>0</v>
      </c>
      <c r="I2098">
        <v>0</v>
      </c>
      <c r="J2098">
        <v>0</v>
      </c>
      <c r="K2098">
        <v>65.900000000000006</v>
      </c>
      <c r="L2098">
        <v>65.599999999999994</v>
      </c>
      <c r="M2098">
        <v>74.67</v>
      </c>
      <c r="N2098">
        <v>1</v>
      </c>
      <c r="O2098">
        <v>7</v>
      </c>
      <c r="P2098">
        <f>MOD(DAY(datos_siembra[[#This Row],[Date]]),7)</f>
        <v>1</v>
      </c>
      <c r="Q2098" t="str">
        <f>CHOOSE(WEEKDAY(datos_siembra[[#This Row],[Date]],2),"L","M","X","J","V","S","D")</f>
        <v>M</v>
      </c>
      <c r="R2098">
        <f>WEEKNUM(datos_siembra[[#This Row],[Date]],2)-WEEKNUM(DATE(YEAR(datos_siembra[[#This Row],[Date]]),MONTH(datos_siembra[[#This Row],[Date]]),1))+1</f>
        <v>1</v>
      </c>
      <c r="S2098">
        <f>MONTH(datos_siembra[[#This Row],[Date]])</f>
        <v>10</v>
      </c>
      <c r="T2098" t="str" cm="1">
        <f t="array" ref="T2098">_xlfn.IFS(AND(N2098&lt;= 22, S2098=9), "SOWING",AND(N2098&lt;= 28, S2098=9), "COVERAGE",AND(N2098&lt;= 30, S2098=9), "FLUSH",AND(N2098&lt;= 11, S2098=10), "FLUSH",AND(N2098&lt;= 21, S2098=10), "PRODUCTION")</f>
        <v>FLUSH</v>
      </c>
      <c r="U2098">
        <f>HOUR(datos_siembra[[#This Row],[Hour]])</f>
        <v>7</v>
      </c>
      <c r="V2098" cm="1">
        <f t="array" ref="V2098">_xlfn.IFS(AND(N2098&lt;= 22, S2098=9), N2098-7,AND(N2098&lt;= 28, S2098=9), N2098-25,AND(N2098&lt;= 30, S2098=9), N2098-28,AND(N2098&lt;= 11, S2098=10), N2098+2,AND(N2098&lt;= 21, S2098=10), N2098-11)</f>
        <v>3</v>
      </c>
    </row>
    <row r="2099" spans="1:22" x14ac:dyDescent="0.35">
      <c r="A2099" s="4">
        <v>45566</v>
      </c>
      <c r="B2099" s="5">
        <v>0.30953703703703705</v>
      </c>
      <c r="C2099">
        <v>76.2</v>
      </c>
      <c r="D2099">
        <v>75</v>
      </c>
      <c r="E2099">
        <v>74.900000000000006</v>
      </c>
      <c r="F2099">
        <v>72.400000000000006</v>
      </c>
      <c r="G2099">
        <v>0</v>
      </c>
      <c r="H2099">
        <v>0</v>
      </c>
      <c r="I2099">
        <v>0</v>
      </c>
      <c r="J2099">
        <v>0</v>
      </c>
      <c r="K2099">
        <v>65.900000000000006</v>
      </c>
      <c r="L2099">
        <v>65.599999999999994</v>
      </c>
      <c r="M2099">
        <v>74.61</v>
      </c>
      <c r="N2099">
        <v>1</v>
      </c>
      <c r="O2099">
        <v>7</v>
      </c>
      <c r="P2099">
        <f>MOD(DAY(datos_siembra[[#This Row],[Date]]),7)</f>
        <v>1</v>
      </c>
      <c r="Q2099" t="str">
        <f>CHOOSE(WEEKDAY(datos_siembra[[#This Row],[Date]],2),"L","M","X","J","V","S","D")</f>
        <v>M</v>
      </c>
      <c r="R2099">
        <f>WEEKNUM(datos_siembra[[#This Row],[Date]],2)-WEEKNUM(DATE(YEAR(datos_siembra[[#This Row],[Date]]),MONTH(datos_siembra[[#This Row],[Date]]),1))+1</f>
        <v>1</v>
      </c>
      <c r="S2099">
        <f>MONTH(datos_siembra[[#This Row],[Date]])</f>
        <v>10</v>
      </c>
      <c r="T2099" t="str" cm="1">
        <f t="array" ref="T2099">_xlfn.IFS(AND(N2099&lt;= 22, S2099=9), "SOWING",AND(N2099&lt;= 28, S2099=9), "COVERAGE",AND(N2099&lt;= 30, S2099=9), "FLUSH",AND(N2099&lt;= 11, S2099=10), "FLUSH",AND(N2099&lt;= 21, S2099=10), "PRODUCTION")</f>
        <v>FLUSH</v>
      </c>
      <c r="U2099">
        <f>HOUR(datos_siembra[[#This Row],[Hour]])</f>
        <v>7</v>
      </c>
      <c r="V2099" cm="1">
        <f t="array" ref="V2099">_xlfn.IFS(AND(N2099&lt;= 22, S2099=9), N2099-7,AND(N2099&lt;= 28, S2099=9), N2099-25,AND(N2099&lt;= 30, S2099=9), N2099-28,AND(N2099&lt;= 11, S2099=10), N2099+2,AND(N2099&lt;= 21, S2099=10), N2099-11)</f>
        <v>3</v>
      </c>
    </row>
    <row r="2100" spans="1:22" x14ac:dyDescent="0.35">
      <c r="A2100" s="4">
        <v>45566</v>
      </c>
      <c r="B2100" s="5">
        <v>0.31648148148148147</v>
      </c>
      <c r="C2100">
        <v>76.400000000000006</v>
      </c>
      <c r="D2100">
        <v>75.099999999999994</v>
      </c>
      <c r="E2100">
        <v>74.8</v>
      </c>
      <c r="F2100">
        <v>72.3</v>
      </c>
      <c r="G2100">
        <v>0</v>
      </c>
      <c r="H2100">
        <v>0</v>
      </c>
      <c r="I2100">
        <v>0</v>
      </c>
      <c r="J2100">
        <v>0</v>
      </c>
      <c r="K2100">
        <v>65.900000000000006</v>
      </c>
      <c r="L2100">
        <v>65.599999999999994</v>
      </c>
      <c r="M2100">
        <v>74.58</v>
      </c>
      <c r="N2100">
        <v>1</v>
      </c>
      <c r="O2100">
        <v>7</v>
      </c>
      <c r="P2100">
        <f>MOD(DAY(datos_siembra[[#This Row],[Date]]),7)</f>
        <v>1</v>
      </c>
      <c r="Q2100" t="str">
        <f>CHOOSE(WEEKDAY(datos_siembra[[#This Row],[Date]],2),"L","M","X","J","V","S","D")</f>
        <v>M</v>
      </c>
      <c r="R2100">
        <f>WEEKNUM(datos_siembra[[#This Row],[Date]],2)-WEEKNUM(DATE(YEAR(datos_siembra[[#This Row],[Date]]),MONTH(datos_siembra[[#This Row],[Date]]),1))+1</f>
        <v>1</v>
      </c>
      <c r="S2100">
        <f>MONTH(datos_siembra[[#This Row],[Date]])</f>
        <v>10</v>
      </c>
      <c r="T2100" t="str" cm="1">
        <f t="array" ref="T2100">_xlfn.IFS(AND(N2100&lt;= 22, S2100=9), "SOWING",AND(N2100&lt;= 28, S2100=9), "COVERAGE",AND(N2100&lt;= 30, S2100=9), "FLUSH",AND(N2100&lt;= 11, S2100=10), "FLUSH",AND(N2100&lt;= 21, S2100=10), "PRODUCTION")</f>
        <v>FLUSH</v>
      </c>
      <c r="U2100">
        <f>HOUR(datos_siembra[[#This Row],[Hour]])</f>
        <v>7</v>
      </c>
      <c r="V2100" cm="1">
        <f t="array" ref="V2100">_xlfn.IFS(AND(N2100&lt;= 22, S2100=9), N2100-7,AND(N2100&lt;= 28, S2100=9), N2100-25,AND(N2100&lt;= 30, S2100=9), N2100-28,AND(N2100&lt;= 11, S2100=10), N2100+2,AND(N2100&lt;= 21, S2100=10), N2100-11)</f>
        <v>3</v>
      </c>
    </row>
    <row r="2101" spans="1:22" x14ac:dyDescent="0.35">
      <c r="A2101" s="4">
        <v>45566</v>
      </c>
      <c r="B2101" s="5">
        <v>0.32342592592592595</v>
      </c>
      <c r="C2101">
        <v>76.2</v>
      </c>
      <c r="D2101">
        <v>75</v>
      </c>
      <c r="E2101">
        <v>74.8</v>
      </c>
      <c r="F2101">
        <v>72.3</v>
      </c>
      <c r="G2101">
        <v>0</v>
      </c>
      <c r="H2101">
        <v>0</v>
      </c>
      <c r="I2101">
        <v>0</v>
      </c>
      <c r="J2101">
        <v>0</v>
      </c>
      <c r="K2101">
        <v>65.8</v>
      </c>
      <c r="L2101">
        <v>65.599999999999994</v>
      </c>
      <c r="M2101">
        <v>74.61</v>
      </c>
      <c r="N2101">
        <v>1</v>
      </c>
      <c r="O2101">
        <v>7</v>
      </c>
      <c r="P2101">
        <f>MOD(DAY(datos_siembra[[#This Row],[Date]]),7)</f>
        <v>1</v>
      </c>
      <c r="Q2101" t="str">
        <f>CHOOSE(WEEKDAY(datos_siembra[[#This Row],[Date]],2),"L","M","X","J","V","S","D")</f>
        <v>M</v>
      </c>
      <c r="R2101">
        <f>WEEKNUM(datos_siembra[[#This Row],[Date]],2)-WEEKNUM(DATE(YEAR(datos_siembra[[#This Row],[Date]]),MONTH(datos_siembra[[#This Row],[Date]]),1))+1</f>
        <v>1</v>
      </c>
      <c r="S2101">
        <f>MONTH(datos_siembra[[#This Row],[Date]])</f>
        <v>10</v>
      </c>
      <c r="T2101" t="str" cm="1">
        <f t="array" ref="T2101">_xlfn.IFS(AND(N2101&lt;= 22, S2101=9), "SOWING",AND(N2101&lt;= 28, S2101=9), "COVERAGE",AND(N2101&lt;= 30, S2101=9), "FLUSH",AND(N2101&lt;= 11, S2101=10), "FLUSH",AND(N2101&lt;= 21, S2101=10), "PRODUCTION")</f>
        <v>FLUSH</v>
      </c>
      <c r="U2101">
        <f>HOUR(datos_siembra[[#This Row],[Hour]])</f>
        <v>7</v>
      </c>
      <c r="V2101" cm="1">
        <f t="array" ref="V2101">_xlfn.IFS(AND(N2101&lt;= 22, S2101=9), N2101-7,AND(N2101&lt;= 28, S2101=9), N2101-25,AND(N2101&lt;= 30, S2101=9), N2101-28,AND(N2101&lt;= 11, S2101=10), N2101+2,AND(N2101&lt;= 21, S2101=10), N2101-11)</f>
        <v>3</v>
      </c>
    </row>
    <row r="2102" spans="1:22" x14ac:dyDescent="0.35">
      <c r="A2102" s="4">
        <v>45566</v>
      </c>
      <c r="B2102" s="5">
        <v>0.33038194444444446</v>
      </c>
      <c r="C2102">
        <v>76.2</v>
      </c>
      <c r="D2102">
        <v>75.2</v>
      </c>
      <c r="E2102">
        <v>74.8</v>
      </c>
      <c r="F2102">
        <v>72.2</v>
      </c>
      <c r="G2102">
        <v>0</v>
      </c>
      <c r="H2102">
        <v>0</v>
      </c>
      <c r="I2102">
        <v>0</v>
      </c>
      <c r="J2102">
        <v>0</v>
      </c>
      <c r="K2102">
        <v>65.900000000000006</v>
      </c>
      <c r="L2102">
        <v>65.599999999999994</v>
      </c>
      <c r="M2102">
        <v>74.61</v>
      </c>
      <c r="N2102">
        <v>1</v>
      </c>
      <c r="O2102">
        <v>7</v>
      </c>
      <c r="P2102">
        <f>MOD(DAY(datos_siembra[[#This Row],[Date]]),7)</f>
        <v>1</v>
      </c>
      <c r="Q2102" t="str">
        <f>CHOOSE(WEEKDAY(datos_siembra[[#This Row],[Date]],2),"L","M","X","J","V","S","D")</f>
        <v>M</v>
      </c>
      <c r="R2102">
        <f>WEEKNUM(datos_siembra[[#This Row],[Date]],2)-WEEKNUM(DATE(YEAR(datos_siembra[[#This Row],[Date]]),MONTH(datos_siembra[[#This Row],[Date]]),1))+1</f>
        <v>1</v>
      </c>
      <c r="S2102">
        <f>MONTH(datos_siembra[[#This Row],[Date]])</f>
        <v>10</v>
      </c>
      <c r="T2102" t="str" cm="1">
        <f t="array" ref="T2102">_xlfn.IFS(AND(N2102&lt;= 22, S2102=9), "SOWING",AND(N2102&lt;= 28, S2102=9), "COVERAGE",AND(N2102&lt;= 30, S2102=9), "FLUSH",AND(N2102&lt;= 11, S2102=10), "FLUSH",AND(N2102&lt;= 21, S2102=10), "PRODUCTION")</f>
        <v>FLUSH</v>
      </c>
      <c r="U2102">
        <f>HOUR(datos_siembra[[#This Row],[Hour]])</f>
        <v>7</v>
      </c>
      <c r="V2102" cm="1">
        <f t="array" ref="V2102">_xlfn.IFS(AND(N2102&lt;= 22, S2102=9), N2102-7,AND(N2102&lt;= 28, S2102=9), N2102-25,AND(N2102&lt;= 30, S2102=9), N2102-28,AND(N2102&lt;= 11, S2102=10), N2102+2,AND(N2102&lt;= 21, S2102=10), N2102-11)</f>
        <v>3</v>
      </c>
    </row>
    <row r="2103" spans="1:22" x14ac:dyDescent="0.35">
      <c r="A2103" s="4">
        <v>45566</v>
      </c>
      <c r="B2103" s="5">
        <v>0.33732638888888888</v>
      </c>
      <c r="C2103">
        <v>76.3</v>
      </c>
      <c r="D2103">
        <v>75.099999999999994</v>
      </c>
      <c r="E2103">
        <v>74.8</v>
      </c>
      <c r="F2103">
        <v>72.400000000000006</v>
      </c>
      <c r="G2103">
        <v>0</v>
      </c>
      <c r="H2103">
        <v>0</v>
      </c>
      <c r="I2103">
        <v>0</v>
      </c>
      <c r="J2103">
        <v>0</v>
      </c>
      <c r="K2103">
        <v>65</v>
      </c>
      <c r="L2103">
        <v>65.099999999999994</v>
      </c>
      <c r="M2103">
        <v>74.55</v>
      </c>
      <c r="N2103">
        <v>1</v>
      </c>
      <c r="O2103">
        <v>7</v>
      </c>
      <c r="P2103">
        <f>MOD(DAY(datos_siembra[[#This Row],[Date]]),7)</f>
        <v>1</v>
      </c>
      <c r="Q2103" t="str">
        <f>CHOOSE(WEEKDAY(datos_siembra[[#This Row],[Date]],2),"L","M","X","J","V","S","D")</f>
        <v>M</v>
      </c>
      <c r="R2103">
        <f>WEEKNUM(datos_siembra[[#This Row],[Date]],2)-WEEKNUM(DATE(YEAR(datos_siembra[[#This Row],[Date]]),MONTH(datos_siembra[[#This Row],[Date]]),1))+1</f>
        <v>1</v>
      </c>
      <c r="S2103">
        <f>MONTH(datos_siembra[[#This Row],[Date]])</f>
        <v>10</v>
      </c>
      <c r="T2103" t="str" cm="1">
        <f t="array" ref="T2103">_xlfn.IFS(AND(N2103&lt;= 22, S2103=9), "SOWING",AND(N2103&lt;= 28, S2103=9), "COVERAGE",AND(N2103&lt;= 30, S2103=9), "FLUSH",AND(N2103&lt;= 11, S2103=10), "FLUSH",AND(N2103&lt;= 21, S2103=10), "PRODUCTION")</f>
        <v>FLUSH</v>
      </c>
      <c r="U2103">
        <f>HOUR(datos_siembra[[#This Row],[Hour]])</f>
        <v>8</v>
      </c>
      <c r="V2103" cm="1">
        <f t="array" ref="V2103">_xlfn.IFS(AND(N2103&lt;= 22, S2103=9), N2103-7,AND(N2103&lt;= 28, S2103=9), N2103-25,AND(N2103&lt;= 30, S2103=9), N2103-28,AND(N2103&lt;= 11, S2103=10), N2103+2,AND(N2103&lt;= 21, S2103=10), N2103-11)</f>
        <v>3</v>
      </c>
    </row>
    <row r="2104" spans="1:22" x14ac:dyDescent="0.35">
      <c r="A2104" s="4">
        <v>45566</v>
      </c>
      <c r="B2104" s="5">
        <v>0.34427083333333336</v>
      </c>
      <c r="C2104">
        <v>76.3</v>
      </c>
      <c r="D2104">
        <v>75.099999999999994</v>
      </c>
      <c r="E2104">
        <v>74.599999999999994</v>
      </c>
      <c r="F2104">
        <v>72.3</v>
      </c>
      <c r="G2104">
        <v>0</v>
      </c>
      <c r="H2104">
        <v>0</v>
      </c>
      <c r="I2104">
        <v>0</v>
      </c>
      <c r="J2104">
        <v>0</v>
      </c>
      <c r="K2104">
        <v>64.400000000000006</v>
      </c>
      <c r="L2104">
        <v>64.400000000000006</v>
      </c>
      <c r="M2104">
        <v>74.58</v>
      </c>
      <c r="N2104">
        <v>1</v>
      </c>
      <c r="O2104">
        <v>7</v>
      </c>
      <c r="P2104">
        <f>MOD(DAY(datos_siembra[[#This Row],[Date]]),7)</f>
        <v>1</v>
      </c>
      <c r="Q2104" t="str">
        <f>CHOOSE(WEEKDAY(datos_siembra[[#This Row],[Date]],2),"L","M","X","J","V","S","D")</f>
        <v>M</v>
      </c>
      <c r="R2104">
        <f>WEEKNUM(datos_siembra[[#This Row],[Date]],2)-WEEKNUM(DATE(YEAR(datos_siembra[[#This Row],[Date]]),MONTH(datos_siembra[[#This Row],[Date]]),1))+1</f>
        <v>1</v>
      </c>
      <c r="S2104">
        <f>MONTH(datos_siembra[[#This Row],[Date]])</f>
        <v>10</v>
      </c>
      <c r="T2104" t="str" cm="1">
        <f t="array" ref="T2104">_xlfn.IFS(AND(N2104&lt;= 22, S2104=9), "SOWING",AND(N2104&lt;= 28, S2104=9), "COVERAGE",AND(N2104&lt;= 30, S2104=9), "FLUSH",AND(N2104&lt;= 11, S2104=10), "FLUSH",AND(N2104&lt;= 21, S2104=10), "PRODUCTION")</f>
        <v>FLUSH</v>
      </c>
      <c r="U2104">
        <f>HOUR(datos_siembra[[#This Row],[Hour]])</f>
        <v>8</v>
      </c>
      <c r="V2104" cm="1">
        <f t="array" ref="V2104">_xlfn.IFS(AND(N2104&lt;= 22, S2104=9), N2104-7,AND(N2104&lt;= 28, S2104=9), N2104-25,AND(N2104&lt;= 30, S2104=9), N2104-28,AND(N2104&lt;= 11, S2104=10), N2104+2,AND(N2104&lt;= 21, S2104=10), N2104-11)</f>
        <v>3</v>
      </c>
    </row>
    <row r="2105" spans="1:22" x14ac:dyDescent="0.35">
      <c r="A2105" s="4">
        <v>45566</v>
      </c>
      <c r="B2105" s="5">
        <v>0.35121527777777778</v>
      </c>
      <c r="C2105">
        <v>76.099999999999994</v>
      </c>
      <c r="D2105">
        <v>75.099999999999994</v>
      </c>
      <c r="E2105">
        <v>74.900000000000006</v>
      </c>
      <c r="F2105">
        <v>72.400000000000006</v>
      </c>
      <c r="G2105">
        <v>0</v>
      </c>
      <c r="H2105">
        <v>0</v>
      </c>
      <c r="I2105">
        <v>0</v>
      </c>
      <c r="J2105">
        <v>0</v>
      </c>
      <c r="K2105">
        <v>64.099999999999994</v>
      </c>
      <c r="L2105">
        <v>64.099999999999994</v>
      </c>
      <c r="M2105">
        <v>74.52</v>
      </c>
      <c r="N2105">
        <v>1</v>
      </c>
      <c r="O2105">
        <v>7</v>
      </c>
      <c r="P2105">
        <f>MOD(DAY(datos_siembra[[#This Row],[Date]]),7)</f>
        <v>1</v>
      </c>
      <c r="Q2105" t="str">
        <f>CHOOSE(WEEKDAY(datos_siembra[[#This Row],[Date]],2),"L","M","X","J","V","S","D")</f>
        <v>M</v>
      </c>
      <c r="R2105">
        <f>WEEKNUM(datos_siembra[[#This Row],[Date]],2)-WEEKNUM(DATE(YEAR(datos_siembra[[#This Row],[Date]]),MONTH(datos_siembra[[#This Row],[Date]]),1))+1</f>
        <v>1</v>
      </c>
      <c r="S2105">
        <f>MONTH(datos_siembra[[#This Row],[Date]])</f>
        <v>10</v>
      </c>
      <c r="T2105" t="str" cm="1">
        <f t="array" ref="T2105">_xlfn.IFS(AND(N2105&lt;= 22, S2105=9), "SOWING",AND(N2105&lt;= 28, S2105=9), "COVERAGE",AND(N2105&lt;= 30, S2105=9), "FLUSH",AND(N2105&lt;= 11, S2105=10), "FLUSH",AND(N2105&lt;= 21, S2105=10), "PRODUCTION")</f>
        <v>FLUSH</v>
      </c>
      <c r="U2105">
        <f>HOUR(datos_siembra[[#This Row],[Hour]])</f>
        <v>8</v>
      </c>
      <c r="V2105" cm="1">
        <f t="array" ref="V2105">_xlfn.IFS(AND(N2105&lt;= 22, S2105=9), N2105-7,AND(N2105&lt;= 28, S2105=9), N2105-25,AND(N2105&lt;= 30, S2105=9), N2105-28,AND(N2105&lt;= 11, S2105=10), N2105+2,AND(N2105&lt;= 21, S2105=10), N2105-11)</f>
        <v>3</v>
      </c>
    </row>
    <row r="2106" spans="1:22" x14ac:dyDescent="0.35">
      <c r="A2106" s="4">
        <v>45566</v>
      </c>
      <c r="B2106" s="5">
        <v>0.35817129629629629</v>
      </c>
      <c r="C2106">
        <v>76.2</v>
      </c>
      <c r="D2106">
        <v>75</v>
      </c>
      <c r="E2106">
        <v>74.900000000000006</v>
      </c>
      <c r="F2106">
        <v>72.3</v>
      </c>
      <c r="G2106">
        <v>0</v>
      </c>
      <c r="H2106">
        <v>0</v>
      </c>
      <c r="I2106">
        <v>0</v>
      </c>
      <c r="J2106">
        <v>0</v>
      </c>
      <c r="K2106">
        <v>63.8</v>
      </c>
      <c r="L2106">
        <v>63.9</v>
      </c>
      <c r="M2106">
        <v>74.55</v>
      </c>
      <c r="N2106">
        <v>1</v>
      </c>
      <c r="O2106">
        <v>7</v>
      </c>
      <c r="P2106">
        <f>MOD(DAY(datos_siembra[[#This Row],[Date]]),7)</f>
        <v>1</v>
      </c>
      <c r="Q2106" t="str">
        <f>CHOOSE(WEEKDAY(datos_siembra[[#This Row],[Date]],2),"L","M","X","J","V","S","D")</f>
        <v>M</v>
      </c>
      <c r="R2106">
        <f>WEEKNUM(datos_siembra[[#This Row],[Date]],2)-WEEKNUM(DATE(YEAR(datos_siembra[[#This Row],[Date]]),MONTH(datos_siembra[[#This Row],[Date]]),1))+1</f>
        <v>1</v>
      </c>
      <c r="S2106">
        <f>MONTH(datos_siembra[[#This Row],[Date]])</f>
        <v>10</v>
      </c>
      <c r="T2106" t="str" cm="1">
        <f t="array" ref="T2106">_xlfn.IFS(AND(N2106&lt;= 22, S2106=9), "SOWING",AND(N2106&lt;= 28, S2106=9), "COVERAGE",AND(N2106&lt;= 30, S2106=9), "FLUSH",AND(N2106&lt;= 11, S2106=10), "FLUSH",AND(N2106&lt;= 21, S2106=10), "PRODUCTION")</f>
        <v>FLUSH</v>
      </c>
      <c r="U2106">
        <f>HOUR(datos_siembra[[#This Row],[Hour]])</f>
        <v>8</v>
      </c>
      <c r="V2106" cm="1">
        <f t="array" ref="V2106">_xlfn.IFS(AND(N2106&lt;= 22, S2106=9), N2106-7,AND(N2106&lt;= 28, S2106=9), N2106-25,AND(N2106&lt;= 30, S2106=9), N2106-28,AND(N2106&lt;= 11, S2106=10), N2106+2,AND(N2106&lt;= 21, S2106=10), N2106-11)</f>
        <v>3</v>
      </c>
    </row>
    <row r="2107" spans="1:22" x14ac:dyDescent="0.35">
      <c r="A2107" s="4">
        <v>45566</v>
      </c>
      <c r="B2107" s="5">
        <v>0.36511574074074077</v>
      </c>
      <c r="C2107">
        <v>76.2</v>
      </c>
      <c r="D2107">
        <v>74.8</v>
      </c>
      <c r="E2107">
        <v>74.599999999999994</v>
      </c>
      <c r="F2107">
        <v>72.3</v>
      </c>
      <c r="G2107">
        <v>0</v>
      </c>
      <c r="H2107">
        <v>0</v>
      </c>
      <c r="I2107">
        <v>0</v>
      </c>
      <c r="J2107">
        <v>0</v>
      </c>
      <c r="K2107">
        <v>63.7</v>
      </c>
      <c r="L2107">
        <v>63.8</v>
      </c>
      <c r="M2107">
        <v>74.41</v>
      </c>
      <c r="N2107">
        <v>1</v>
      </c>
      <c r="O2107">
        <v>7</v>
      </c>
      <c r="P2107">
        <f>MOD(DAY(datos_siembra[[#This Row],[Date]]),7)</f>
        <v>1</v>
      </c>
      <c r="Q2107" t="str">
        <f>CHOOSE(WEEKDAY(datos_siembra[[#This Row],[Date]],2),"L","M","X","J","V","S","D")</f>
        <v>M</v>
      </c>
      <c r="R2107">
        <f>WEEKNUM(datos_siembra[[#This Row],[Date]],2)-WEEKNUM(DATE(YEAR(datos_siembra[[#This Row],[Date]]),MONTH(datos_siembra[[#This Row],[Date]]),1))+1</f>
        <v>1</v>
      </c>
      <c r="S2107">
        <f>MONTH(datos_siembra[[#This Row],[Date]])</f>
        <v>10</v>
      </c>
      <c r="T2107" t="str" cm="1">
        <f t="array" ref="T2107">_xlfn.IFS(AND(N2107&lt;= 22, S2107=9), "SOWING",AND(N2107&lt;= 28, S2107=9), "COVERAGE",AND(N2107&lt;= 30, S2107=9), "FLUSH",AND(N2107&lt;= 11, S2107=10), "FLUSH",AND(N2107&lt;= 21, S2107=10), "PRODUCTION")</f>
        <v>FLUSH</v>
      </c>
      <c r="U2107">
        <f>HOUR(datos_siembra[[#This Row],[Hour]])</f>
        <v>8</v>
      </c>
      <c r="V2107" cm="1">
        <f t="array" ref="V2107">_xlfn.IFS(AND(N2107&lt;= 22, S2107=9), N2107-7,AND(N2107&lt;= 28, S2107=9), N2107-25,AND(N2107&lt;= 30, S2107=9), N2107-28,AND(N2107&lt;= 11, S2107=10), N2107+2,AND(N2107&lt;= 21, S2107=10), N2107-11)</f>
        <v>3</v>
      </c>
    </row>
    <row r="2108" spans="1:22" x14ac:dyDescent="0.35">
      <c r="A2108" s="4">
        <v>45566</v>
      </c>
      <c r="B2108" s="5">
        <v>0.37206018518518519</v>
      </c>
      <c r="C2108">
        <v>76.2</v>
      </c>
      <c r="D2108">
        <v>74.900000000000006</v>
      </c>
      <c r="E2108">
        <v>74.5</v>
      </c>
      <c r="F2108">
        <v>72.3</v>
      </c>
      <c r="G2108">
        <v>0</v>
      </c>
      <c r="H2108">
        <v>0</v>
      </c>
      <c r="I2108">
        <v>0</v>
      </c>
      <c r="J2108">
        <v>0</v>
      </c>
      <c r="K2108">
        <v>63.6</v>
      </c>
      <c r="L2108">
        <v>63.6</v>
      </c>
      <c r="M2108">
        <v>74.47</v>
      </c>
      <c r="N2108">
        <v>1</v>
      </c>
      <c r="O2108">
        <v>7</v>
      </c>
      <c r="P2108">
        <f>MOD(DAY(datos_siembra[[#This Row],[Date]]),7)</f>
        <v>1</v>
      </c>
      <c r="Q2108" t="str">
        <f>CHOOSE(WEEKDAY(datos_siembra[[#This Row],[Date]],2),"L","M","X","J","V","S","D")</f>
        <v>M</v>
      </c>
      <c r="R2108">
        <f>WEEKNUM(datos_siembra[[#This Row],[Date]],2)-WEEKNUM(DATE(YEAR(datos_siembra[[#This Row],[Date]]),MONTH(datos_siembra[[#This Row],[Date]]),1))+1</f>
        <v>1</v>
      </c>
      <c r="S2108">
        <f>MONTH(datos_siembra[[#This Row],[Date]])</f>
        <v>10</v>
      </c>
      <c r="T2108" t="str" cm="1">
        <f t="array" ref="T2108">_xlfn.IFS(AND(N2108&lt;= 22, S2108=9), "SOWING",AND(N2108&lt;= 28, S2108=9), "COVERAGE",AND(N2108&lt;= 30, S2108=9), "FLUSH",AND(N2108&lt;= 11, S2108=10), "FLUSH",AND(N2108&lt;= 21, S2108=10), "PRODUCTION")</f>
        <v>FLUSH</v>
      </c>
      <c r="U2108">
        <f>HOUR(datos_siembra[[#This Row],[Hour]])</f>
        <v>8</v>
      </c>
      <c r="V2108" cm="1">
        <f t="array" ref="V2108">_xlfn.IFS(AND(N2108&lt;= 22, S2108=9), N2108-7,AND(N2108&lt;= 28, S2108=9), N2108-25,AND(N2108&lt;= 30, S2108=9), N2108-28,AND(N2108&lt;= 11, S2108=10), N2108+2,AND(N2108&lt;= 21, S2108=10), N2108-11)</f>
        <v>3</v>
      </c>
    </row>
    <row r="2109" spans="1:22" x14ac:dyDescent="0.35">
      <c r="A2109" s="4">
        <v>45566</v>
      </c>
      <c r="B2109" s="5">
        <v>0.37900462962962961</v>
      </c>
      <c r="C2109">
        <v>76</v>
      </c>
      <c r="D2109">
        <v>75</v>
      </c>
      <c r="E2109">
        <v>74.599999999999994</v>
      </c>
      <c r="F2109">
        <v>72.3</v>
      </c>
      <c r="G2109">
        <v>0</v>
      </c>
      <c r="H2109">
        <v>0</v>
      </c>
      <c r="I2109">
        <v>0</v>
      </c>
      <c r="J2109">
        <v>0</v>
      </c>
      <c r="K2109">
        <v>63.5</v>
      </c>
      <c r="L2109">
        <v>63.7</v>
      </c>
      <c r="M2109">
        <v>74.5</v>
      </c>
      <c r="N2109">
        <v>1</v>
      </c>
      <c r="O2109">
        <v>7</v>
      </c>
      <c r="P2109">
        <f>MOD(DAY(datos_siembra[[#This Row],[Date]]),7)</f>
        <v>1</v>
      </c>
      <c r="Q2109" t="str">
        <f>CHOOSE(WEEKDAY(datos_siembra[[#This Row],[Date]],2),"L","M","X","J","V","S","D")</f>
        <v>M</v>
      </c>
      <c r="R2109">
        <f>WEEKNUM(datos_siembra[[#This Row],[Date]],2)-WEEKNUM(DATE(YEAR(datos_siembra[[#This Row],[Date]]),MONTH(datos_siembra[[#This Row],[Date]]),1))+1</f>
        <v>1</v>
      </c>
      <c r="S2109">
        <f>MONTH(datos_siembra[[#This Row],[Date]])</f>
        <v>10</v>
      </c>
      <c r="T2109" t="str" cm="1">
        <f t="array" ref="T2109">_xlfn.IFS(AND(N2109&lt;= 22, S2109=9), "SOWING",AND(N2109&lt;= 28, S2109=9), "COVERAGE",AND(N2109&lt;= 30, S2109=9), "FLUSH",AND(N2109&lt;= 11, S2109=10), "FLUSH",AND(N2109&lt;= 21, S2109=10), "PRODUCTION")</f>
        <v>FLUSH</v>
      </c>
      <c r="U2109">
        <f>HOUR(datos_siembra[[#This Row],[Hour]])</f>
        <v>9</v>
      </c>
      <c r="V2109" cm="1">
        <f t="array" ref="V2109">_xlfn.IFS(AND(N2109&lt;= 22, S2109=9), N2109-7,AND(N2109&lt;= 28, S2109=9), N2109-25,AND(N2109&lt;= 30, S2109=9), N2109-28,AND(N2109&lt;= 11, S2109=10), N2109+2,AND(N2109&lt;= 21, S2109=10), N2109-11)</f>
        <v>3</v>
      </c>
    </row>
    <row r="2110" spans="1:22" x14ac:dyDescent="0.35">
      <c r="A2110" s="4">
        <v>45566</v>
      </c>
      <c r="B2110" s="5">
        <v>0.38596064814814812</v>
      </c>
      <c r="C2110">
        <v>76.2</v>
      </c>
      <c r="D2110">
        <v>75</v>
      </c>
      <c r="E2110">
        <v>74.5</v>
      </c>
      <c r="F2110">
        <v>72.2</v>
      </c>
      <c r="G2110">
        <v>0</v>
      </c>
      <c r="H2110">
        <v>0</v>
      </c>
      <c r="I2110">
        <v>0</v>
      </c>
      <c r="J2110">
        <v>0</v>
      </c>
      <c r="K2110">
        <v>63.4</v>
      </c>
      <c r="L2110">
        <v>63.7</v>
      </c>
      <c r="M2110">
        <v>74.38</v>
      </c>
      <c r="N2110">
        <v>1</v>
      </c>
      <c r="O2110">
        <v>7</v>
      </c>
      <c r="P2110">
        <f>MOD(DAY(datos_siembra[[#This Row],[Date]]),7)</f>
        <v>1</v>
      </c>
      <c r="Q2110" t="str">
        <f>CHOOSE(WEEKDAY(datos_siembra[[#This Row],[Date]],2),"L","M","X","J","V","S","D")</f>
        <v>M</v>
      </c>
      <c r="R2110">
        <f>WEEKNUM(datos_siembra[[#This Row],[Date]],2)-WEEKNUM(DATE(YEAR(datos_siembra[[#This Row],[Date]]),MONTH(datos_siembra[[#This Row],[Date]]),1))+1</f>
        <v>1</v>
      </c>
      <c r="S2110">
        <f>MONTH(datos_siembra[[#This Row],[Date]])</f>
        <v>10</v>
      </c>
      <c r="T2110" t="str" cm="1">
        <f t="array" ref="T2110">_xlfn.IFS(AND(N2110&lt;= 22, S2110=9), "SOWING",AND(N2110&lt;= 28, S2110=9), "COVERAGE",AND(N2110&lt;= 30, S2110=9), "FLUSH",AND(N2110&lt;= 11, S2110=10), "FLUSH",AND(N2110&lt;= 21, S2110=10), "PRODUCTION")</f>
        <v>FLUSH</v>
      </c>
      <c r="U2110">
        <f>HOUR(datos_siembra[[#This Row],[Hour]])</f>
        <v>9</v>
      </c>
      <c r="V2110" cm="1">
        <f t="array" ref="V2110">_xlfn.IFS(AND(N2110&lt;= 22, S2110=9), N2110-7,AND(N2110&lt;= 28, S2110=9), N2110-25,AND(N2110&lt;= 30, S2110=9), N2110-28,AND(N2110&lt;= 11, S2110=10), N2110+2,AND(N2110&lt;= 21, S2110=10), N2110-11)</f>
        <v>3</v>
      </c>
    </row>
    <row r="2111" spans="1:22" x14ac:dyDescent="0.35">
      <c r="A2111" s="4">
        <v>45566</v>
      </c>
      <c r="B2111" s="5">
        <v>0.3929050925925926</v>
      </c>
      <c r="C2111">
        <v>76</v>
      </c>
      <c r="D2111">
        <v>74.8</v>
      </c>
      <c r="E2111">
        <v>74.5</v>
      </c>
      <c r="F2111">
        <v>72.099999999999994</v>
      </c>
      <c r="G2111">
        <v>0</v>
      </c>
      <c r="H2111">
        <v>0</v>
      </c>
      <c r="I2111">
        <v>0</v>
      </c>
      <c r="J2111">
        <v>0</v>
      </c>
      <c r="K2111">
        <v>63.5</v>
      </c>
      <c r="L2111">
        <v>63.6</v>
      </c>
      <c r="M2111">
        <v>74.41</v>
      </c>
      <c r="N2111">
        <v>1</v>
      </c>
      <c r="O2111">
        <v>7</v>
      </c>
      <c r="P2111">
        <f>MOD(DAY(datos_siembra[[#This Row],[Date]]),7)</f>
        <v>1</v>
      </c>
      <c r="Q2111" t="str">
        <f>CHOOSE(WEEKDAY(datos_siembra[[#This Row],[Date]],2),"L","M","X","J","V","S","D")</f>
        <v>M</v>
      </c>
      <c r="R2111">
        <f>WEEKNUM(datos_siembra[[#This Row],[Date]],2)-WEEKNUM(DATE(YEAR(datos_siembra[[#This Row],[Date]]),MONTH(datos_siembra[[#This Row],[Date]]),1))+1</f>
        <v>1</v>
      </c>
      <c r="S2111">
        <f>MONTH(datos_siembra[[#This Row],[Date]])</f>
        <v>10</v>
      </c>
      <c r="T2111" t="str" cm="1">
        <f t="array" ref="T2111">_xlfn.IFS(AND(N2111&lt;= 22, S2111=9), "SOWING",AND(N2111&lt;= 28, S2111=9), "COVERAGE",AND(N2111&lt;= 30, S2111=9), "FLUSH",AND(N2111&lt;= 11, S2111=10), "FLUSH",AND(N2111&lt;= 21, S2111=10), "PRODUCTION")</f>
        <v>FLUSH</v>
      </c>
      <c r="U2111">
        <f>HOUR(datos_siembra[[#This Row],[Hour]])</f>
        <v>9</v>
      </c>
      <c r="V2111" cm="1">
        <f t="array" ref="V2111">_xlfn.IFS(AND(N2111&lt;= 22, S2111=9), N2111-7,AND(N2111&lt;= 28, S2111=9), N2111-25,AND(N2111&lt;= 30, S2111=9), N2111-28,AND(N2111&lt;= 11, S2111=10), N2111+2,AND(N2111&lt;= 21, S2111=10), N2111-11)</f>
        <v>3</v>
      </c>
    </row>
    <row r="2112" spans="1:22" x14ac:dyDescent="0.35">
      <c r="A2112" s="4">
        <v>45566</v>
      </c>
      <c r="B2112" s="5">
        <v>0.39984953703703702</v>
      </c>
      <c r="C2112">
        <v>76.099999999999994</v>
      </c>
      <c r="D2112">
        <v>74.900000000000006</v>
      </c>
      <c r="E2112">
        <v>74.400000000000006</v>
      </c>
      <c r="F2112">
        <v>72.2</v>
      </c>
      <c r="G2112">
        <v>0</v>
      </c>
      <c r="H2112">
        <v>0</v>
      </c>
      <c r="I2112">
        <v>0</v>
      </c>
      <c r="J2112">
        <v>0</v>
      </c>
      <c r="K2112">
        <v>64.5</v>
      </c>
      <c r="L2112">
        <v>64.900000000000006</v>
      </c>
      <c r="M2112">
        <v>74.5</v>
      </c>
      <c r="N2112">
        <v>1</v>
      </c>
      <c r="O2112">
        <v>7</v>
      </c>
      <c r="P2112">
        <f>MOD(DAY(datos_siembra[[#This Row],[Date]]),7)</f>
        <v>1</v>
      </c>
      <c r="Q2112" t="str">
        <f>CHOOSE(WEEKDAY(datos_siembra[[#This Row],[Date]],2),"L","M","X","J","V","S","D")</f>
        <v>M</v>
      </c>
      <c r="R2112">
        <f>WEEKNUM(datos_siembra[[#This Row],[Date]],2)-WEEKNUM(DATE(YEAR(datos_siembra[[#This Row],[Date]]),MONTH(datos_siembra[[#This Row],[Date]]),1))+1</f>
        <v>1</v>
      </c>
      <c r="S2112">
        <f>MONTH(datos_siembra[[#This Row],[Date]])</f>
        <v>10</v>
      </c>
      <c r="T2112" t="str" cm="1">
        <f t="array" ref="T2112">_xlfn.IFS(AND(N2112&lt;= 22, S2112=9), "SOWING",AND(N2112&lt;= 28, S2112=9), "COVERAGE",AND(N2112&lt;= 30, S2112=9), "FLUSH",AND(N2112&lt;= 11, S2112=10), "FLUSH",AND(N2112&lt;= 21, S2112=10), "PRODUCTION")</f>
        <v>FLUSH</v>
      </c>
      <c r="U2112">
        <f>HOUR(datos_siembra[[#This Row],[Hour]])</f>
        <v>9</v>
      </c>
      <c r="V2112" cm="1">
        <f t="array" ref="V2112">_xlfn.IFS(AND(N2112&lt;= 22, S2112=9), N2112-7,AND(N2112&lt;= 28, S2112=9), N2112-25,AND(N2112&lt;= 30, S2112=9), N2112-28,AND(N2112&lt;= 11, S2112=10), N2112+2,AND(N2112&lt;= 21, S2112=10), N2112-11)</f>
        <v>3</v>
      </c>
    </row>
    <row r="2113" spans="1:22" x14ac:dyDescent="0.35">
      <c r="A2113" s="4">
        <v>45566</v>
      </c>
      <c r="B2113" s="5">
        <v>0.40680555555555553</v>
      </c>
      <c r="C2113">
        <v>76.099999999999994</v>
      </c>
      <c r="D2113">
        <v>74.8</v>
      </c>
      <c r="E2113">
        <v>74.3</v>
      </c>
      <c r="F2113">
        <v>72.2</v>
      </c>
      <c r="G2113">
        <v>0</v>
      </c>
      <c r="H2113">
        <v>0</v>
      </c>
      <c r="I2113">
        <v>0</v>
      </c>
      <c r="J2113">
        <v>0</v>
      </c>
      <c r="K2113">
        <v>64.900000000000006</v>
      </c>
      <c r="L2113">
        <v>64.2</v>
      </c>
      <c r="M2113">
        <v>74.41</v>
      </c>
      <c r="N2113">
        <v>1</v>
      </c>
      <c r="O2113">
        <v>7</v>
      </c>
      <c r="P2113">
        <f>MOD(DAY(datos_siembra[[#This Row],[Date]]),7)</f>
        <v>1</v>
      </c>
      <c r="Q2113" t="str">
        <f>CHOOSE(WEEKDAY(datos_siembra[[#This Row],[Date]],2),"L","M","X","J","V","S","D")</f>
        <v>M</v>
      </c>
      <c r="R2113">
        <f>WEEKNUM(datos_siembra[[#This Row],[Date]],2)-WEEKNUM(DATE(YEAR(datos_siembra[[#This Row],[Date]]),MONTH(datos_siembra[[#This Row],[Date]]),1))+1</f>
        <v>1</v>
      </c>
      <c r="S2113">
        <f>MONTH(datos_siembra[[#This Row],[Date]])</f>
        <v>10</v>
      </c>
      <c r="T2113" t="str" cm="1">
        <f t="array" ref="T2113">_xlfn.IFS(AND(N2113&lt;= 22, S2113=9), "SOWING",AND(N2113&lt;= 28, S2113=9), "COVERAGE",AND(N2113&lt;= 30, S2113=9), "FLUSH",AND(N2113&lt;= 11, S2113=10), "FLUSH",AND(N2113&lt;= 21, S2113=10), "PRODUCTION")</f>
        <v>FLUSH</v>
      </c>
      <c r="U2113">
        <f>HOUR(datos_siembra[[#This Row],[Hour]])</f>
        <v>9</v>
      </c>
      <c r="V2113" cm="1">
        <f t="array" ref="V2113">_xlfn.IFS(AND(N2113&lt;= 22, S2113=9), N2113-7,AND(N2113&lt;= 28, S2113=9), N2113-25,AND(N2113&lt;= 30, S2113=9), N2113-28,AND(N2113&lt;= 11, S2113=10), N2113+2,AND(N2113&lt;= 21, S2113=10), N2113-11)</f>
        <v>3</v>
      </c>
    </row>
    <row r="2114" spans="1:22" x14ac:dyDescent="0.35">
      <c r="A2114" s="4">
        <v>45566</v>
      </c>
      <c r="B2114" s="5">
        <v>0.41375000000000001</v>
      </c>
      <c r="C2114">
        <v>76</v>
      </c>
      <c r="D2114">
        <v>74.8</v>
      </c>
      <c r="E2114">
        <v>74.3</v>
      </c>
      <c r="F2114">
        <v>72.099999999999994</v>
      </c>
      <c r="G2114">
        <v>0</v>
      </c>
      <c r="H2114">
        <v>0</v>
      </c>
      <c r="I2114">
        <v>0</v>
      </c>
      <c r="J2114">
        <v>0</v>
      </c>
      <c r="K2114">
        <v>65.099999999999994</v>
      </c>
      <c r="L2114">
        <v>64.599999999999994</v>
      </c>
      <c r="M2114">
        <v>74.27</v>
      </c>
      <c r="N2114">
        <v>1</v>
      </c>
      <c r="O2114">
        <v>7</v>
      </c>
      <c r="P2114">
        <f>MOD(DAY(datos_siembra[[#This Row],[Date]]),7)</f>
        <v>1</v>
      </c>
      <c r="Q2114" t="str">
        <f>CHOOSE(WEEKDAY(datos_siembra[[#This Row],[Date]],2),"L","M","X","J","V","S","D")</f>
        <v>M</v>
      </c>
      <c r="R2114">
        <f>WEEKNUM(datos_siembra[[#This Row],[Date]],2)-WEEKNUM(DATE(YEAR(datos_siembra[[#This Row],[Date]]),MONTH(datos_siembra[[#This Row],[Date]]),1))+1</f>
        <v>1</v>
      </c>
      <c r="S2114">
        <f>MONTH(datos_siembra[[#This Row],[Date]])</f>
        <v>10</v>
      </c>
      <c r="T2114" t="str" cm="1">
        <f t="array" ref="T2114">_xlfn.IFS(AND(N2114&lt;= 22, S2114=9), "SOWING",AND(N2114&lt;= 28, S2114=9), "COVERAGE",AND(N2114&lt;= 30, S2114=9), "FLUSH",AND(N2114&lt;= 11, S2114=10), "FLUSH",AND(N2114&lt;= 21, S2114=10), "PRODUCTION")</f>
        <v>FLUSH</v>
      </c>
      <c r="U2114">
        <f>HOUR(datos_siembra[[#This Row],[Hour]])</f>
        <v>9</v>
      </c>
      <c r="V2114" cm="1">
        <f t="array" ref="V2114">_xlfn.IFS(AND(N2114&lt;= 22, S2114=9), N2114-7,AND(N2114&lt;= 28, S2114=9), N2114-25,AND(N2114&lt;= 30, S2114=9), N2114-28,AND(N2114&lt;= 11, S2114=10), N2114+2,AND(N2114&lt;= 21, S2114=10), N2114-11)</f>
        <v>3</v>
      </c>
    </row>
    <row r="2115" spans="1:22" x14ac:dyDescent="0.35">
      <c r="A2115" s="4">
        <v>45566</v>
      </c>
      <c r="B2115" s="5">
        <v>0.42069444444444443</v>
      </c>
      <c r="C2115">
        <v>75.900000000000006</v>
      </c>
      <c r="D2115">
        <v>74.599999999999994</v>
      </c>
      <c r="E2115">
        <v>74.3</v>
      </c>
      <c r="F2115">
        <v>71.900000000000006</v>
      </c>
      <c r="G2115">
        <v>0</v>
      </c>
      <c r="H2115">
        <v>0</v>
      </c>
      <c r="I2115">
        <v>0</v>
      </c>
      <c r="J2115">
        <v>0</v>
      </c>
      <c r="K2115">
        <v>65.5</v>
      </c>
      <c r="L2115">
        <v>64.900000000000006</v>
      </c>
      <c r="M2115">
        <v>74.27</v>
      </c>
      <c r="N2115">
        <v>1</v>
      </c>
      <c r="O2115">
        <v>7</v>
      </c>
      <c r="P2115">
        <f>MOD(DAY(datos_siembra[[#This Row],[Date]]),7)</f>
        <v>1</v>
      </c>
      <c r="Q2115" t="str">
        <f>CHOOSE(WEEKDAY(datos_siembra[[#This Row],[Date]],2),"L","M","X","J","V","S","D")</f>
        <v>M</v>
      </c>
      <c r="R2115">
        <f>WEEKNUM(datos_siembra[[#This Row],[Date]],2)-WEEKNUM(DATE(YEAR(datos_siembra[[#This Row],[Date]]),MONTH(datos_siembra[[#This Row],[Date]]),1))+1</f>
        <v>1</v>
      </c>
      <c r="S2115">
        <f>MONTH(datos_siembra[[#This Row],[Date]])</f>
        <v>10</v>
      </c>
      <c r="T2115" t="str" cm="1">
        <f t="array" ref="T2115">_xlfn.IFS(AND(N2115&lt;= 22, S2115=9), "SOWING",AND(N2115&lt;= 28, S2115=9), "COVERAGE",AND(N2115&lt;= 30, S2115=9), "FLUSH",AND(N2115&lt;= 11, S2115=10), "FLUSH",AND(N2115&lt;= 21, S2115=10), "PRODUCTION")</f>
        <v>FLUSH</v>
      </c>
      <c r="U2115">
        <f>HOUR(datos_siembra[[#This Row],[Hour]])</f>
        <v>10</v>
      </c>
      <c r="V2115" cm="1">
        <f t="array" ref="V2115">_xlfn.IFS(AND(N2115&lt;= 22, S2115=9), N2115-7,AND(N2115&lt;= 28, S2115=9), N2115-25,AND(N2115&lt;= 30, S2115=9), N2115-28,AND(N2115&lt;= 11, S2115=10), N2115+2,AND(N2115&lt;= 21, S2115=10), N2115-11)</f>
        <v>3</v>
      </c>
    </row>
    <row r="2116" spans="1:22" x14ac:dyDescent="0.35">
      <c r="A2116" s="4">
        <v>45566</v>
      </c>
      <c r="B2116" s="5">
        <v>0.4276388888888889</v>
      </c>
      <c r="C2116">
        <v>75.900000000000006</v>
      </c>
      <c r="D2116">
        <v>74.8</v>
      </c>
      <c r="E2116">
        <v>74.3</v>
      </c>
      <c r="F2116">
        <v>72.099999999999994</v>
      </c>
      <c r="G2116">
        <v>0</v>
      </c>
      <c r="H2116">
        <v>0</v>
      </c>
      <c r="I2116">
        <v>0</v>
      </c>
      <c r="J2116">
        <v>0</v>
      </c>
      <c r="K2116">
        <v>65.599999999999994</v>
      </c>
      <c r="L2116">
        <v>65</v>
      </c>
      <c r="M2116">
        <v>74.19</v>
      </c>
      <c r="N2116">
        <v>1</v>
      </c>
      <c r="O2116">
        <v>7</v>
      </c>
      <c r="P2116">
        <f>MOD(DAY(datos_siembra[[#This Row],[Date]]),7)</f>
        <v>1</v>
      </c>
      <c r="Q2116" t="str">
        <f>CHOOSE(WEEKDAY(datos_siembra[[#This Row],[Date]],2),"L","M","X","J","V","S","D")</f>
        <v>M</v>
      </c>
      <c r="R2116">
        <f>WEEKNUM(datos_siembra[[#This Row],[Date]],2)-WEEKNUM(DATE(YEAR(datos_siembra[[#This Row],[Date]]),MONTH(datos_siembra[[#This Row],[Date]]),1))+1</f>
        <v>1</v>
      </c>
      <c r="S2116">
        <f>MONTH(datos_siembra[[#This Row],[Date]])</f>
        <v>10</v>
      </c>
      <c r="T2116" t="str" cm="1">
        <f t="array" ref="T2116">_xlfn.IFS(AND(N2116&lt;= 22, S2116=9), "SOWING",AND(N2116&lt;= 28, S2116=9), "COVERAGE",AND(N2116&lt;= 30, S2116=9), "FLUSH",AND(N2116&lt;= 11, S2116=10), "FLUSH",AND(N2116&lt;= 21, S2116=10), "PRODUCTION")</f>
        <v>FLUSH</v>
      </c>
      <c r="U2116">
        <f>HOUR(datos_siembra[[#This Row],[Hour]])</f>
        <v>10</v>
      </c>
      <c r="V2116" cm="1">
        <f t="array" ref="V2116">_xlfn.IFS(AND(N2116&lt;= 22, S2116=9), N2116-7,AND(N2116&lt;= 28, S2116=9), N2116-25,AND(N2116&lt;= 30, S2116=9), N2116-28,AND(N2116&lt;= 11, S2116=10), N2116+2,AND(N2116&lt;= 21, S2116=10), N2116-11)</f>
        <v>3</v>
      </c>
    </row>
    <row r="2117" spans="1:22" x14ac:dyDescent="0.35">
      <c r="A2117" s="4">
        <v>45566</v>
      </c>
      <c r="B2117" s="5">
        <v>0.43459490740740742</v>
      </c>
      <c r="C2117">
        <v>75.8</v>
      </c>
      <c r="D2117">
        <v>74.599999999999994</v>
      </c>
      <c r="E2117">
        <v>74.2</v>
      </c>
      <c r="F2117">
        <v>72.099999999999994</v>
      </c>
      <c r="G2117">
        <v>0</v>
      </c>
      <c r="H2117">
        <v>0</v>
      </c>
      <c r="I2117">
        <v>0</v>
      </c>
      <c r="J2117">
        <v>0</v>
      </c>
      <c r="K2117">
        <v>65.8</v>
      </c>
      <c r="L2117">
        <v>65.2</v>
      </c>
      <c r="M2117">
        <v>74.16</v>
      </c>
      <c r="N2117">
        <v>1</v>
      </c>
      <c r="O2117">
        <v>7</v>
      </c>
      <c r="P2117">
        <f>MOD(DAY(datos_siembra[[#This Row],[Date]]),7)</f>
        <v>1</v>
      </c>
      <c r="Q2117" t="str">
        <f>CHOOSE(WEEKDAY(datos_siembra[[#This Row],[Date]],2),"L","M","X","J","V","S","D")</f>
        <v>M</v>
      </c>
      <c r="R2117">
        <f>WEEKNUM(datos_siembra[[#This Row],[Date]],2)-WEEKNUM(DATE(YEAR(datos_siembra[[#This Row],[Date]]),MONTH(datos_siembra[[#This Row],[Date]]),1))+1</f>
        <v>1</v>
      </c>
      <c r="S2117">
        <f>MONTH(datos_siembra[[#This Row],[Date]])</f>
        <v>10</v>
      </c>
      <c r="T2117" t="str" cm="1">
        <f t="array" ref="T2117">_xlfn.IFS(AND(N2117&lt;= 22, S2117=9), "SOWING",AND(N2117&lt;= 28, S2117=9), "COVERAGE",AND(N2117&lt;= 30, S2117=9), "FLUSH",AND(N2117&lt;= 11, S2117=10), "FLUSH",AND(N2117&lt;= 21, S2117=10), "PRODUCTION")</f>
        <v>FLUSH</v>
      </c>
      <c r="U2117">
        <f>HOUR(datos_siembra[[#This Row],[Hour]])</f>
        <v>10</v>
      </c>
      <c r="V2117" cm="1">
        <f t="array" ref="V2117">_xlfn.IFS(AND(N2117&lt;= 22, S2117=9), N2117-7,AND(N2117&lt;= 28, S2117=9), N2117-25,AND(N2117&lt;= 30, S2117=9), N2117-28,AND(N2117&lt;= 11, S2117=10), N2117+2,AND(N2117&lt;= 21, S2117=10), N2117-11)</f>
        <v>3</v>
      </c>
    </row>
    <row r="2118" spans="1:22" x14ac:dyDescent="0.35">
      <c r="A2118" s="4">
        <v>45566</v>
      </c>
      <c r="B2118" s="5">
        <v>0.44153935185185184</v>
      </c>
      <c r="C2118">
        <v>75.900000000000006</v>
      </c>
      <c r="D2118">
        <v>74.900000000000006</v>
      </c>
      <c r="E2118">
        <v>74.3</v>
      </c>
      <c r="F2118">
        <v>72.099999999999994</v>
      </c>
      <c r="G2118">
        <v>0</v>
      </c>
      <c r="H2118">
        <v>0</v>
      </c>
      <c r="I2118">
        <v>0</v>
      </c>
      <c r="J2118">
        <v>0</v>
      </c>
      <c r="K2118">
        <v>65.900000000000006</v>
      </c>
      <c r="L2118">
        <v>65.3</v>
      </c>
      <c r="M2118">
        <v>74.19</v>
      </c>
      <c r="N2118">
        <v>1</v>
      </c>
      <c r="O2118">
        <v>7</v>
      </c>
      <c r="P2118">
        <f>MOD(DAY(datos_siembra[[#This Row],[Date]]),7)</f>
        <v>1</v>
      </c>
      <c r="Q2118" t="str">
        <f>CHOOSE(WEEKDAY(datos_siembra[[#This Row],[Date]],2),"L","M","X","J","V","S","D")</f>
        <v>M</v>
      </c>
      <c r="R2118">
        <f>WEEKNUM(datos_siembra[[#This Row],[Date]],2)-WEEKNUM(DATE(YEAR(datos_siembra[[#This Row],[Date]]),MONTH(datos_siembra[[#This Row],[Date]]),1))+1</f>
        <v>1</v>
      </c>
      <c r="S2118">
        <f>MONTH(datos_siembra[[#This Row],[Date]])</f>
        <v>10</v>
      </c>
      <c r="T2118" t="str" cm="1">
        <f t="array" ref="T2118">_xlfn.IFS(AND(N2118&lt;= 22, S2118=9), "SOWING",AND(N2118&lt;= 28, S2118=9), "COVERAGE",AND(N2118&lt;= 30, S2118=9), "FLUSH",AND(N2118&lt;= 11, S2118=10), "FLUSH",AND(N2118&lt;= 21, S2118=10), "PRODUCTION")</f>
        <v>FLUSH</v>
      </c>
      <c r="U2118">
        <f>HOUR(datos_siembra[[#This Row],[Hour]])</f>
        <v>10</v>
      </c>
      <c r="V2118" cm="1">
        <f t="array" ref="V2118">_xlfn.IFS(AND(N2118&lt;= 22, S2118=9), N2118-7,AND(N2118&lt;= 28, S2118=9), N2118-25,AND(N2118&lt;= 30, S2118=9), N2118-28,AND(N2118&lt;= 11, S2118=10), N2118+2,AND(N2118&lt;= 21, S2118=10), N2118-11)</f>
        <v>3</v>
      </c>
    </row>
    <row r="2119" spans="1:22" x14ac:dyDescent="0.35">
      <c r="A2119" s="4">
        <v>45566</v>
      </c>
      <c r="B2119" s="5">
        <v>0.44848379629629631</v>
      </c>
      <c r="C2119">
        <v>75.8</v>
      </c>
      <c r="D2119">
        <v>74.599999999999994</v>
      </c>
      <c r="E2119">
        <v>74.2</v>
      </c>
      <c r="F2119">
        <v>72.099999999999994</v>
      </c>
      <c r="G2119">
        <v>0</v>
      </c>
      <c r="H2119">
        <v>0</v>
      </c>
      <c r="I2119">
        <v>0</v>
      </c>
      <c r="J2119">
        <v>0</v>
      </c>
      <c r="K2119">
        <v>66</v>
      </c>
      <c r="L2119">
        <v>65.5</v>
      </c>
      <c r="M2119">
        <v>74.13</v>
      </c>
      <c r="N2119">
        <v>1</v>
      </c>
      <c r="O2119">
        <v>7</v>
      </c>
      <c r="P2119">
        <f>MOD(DAY(datos_siembra[[#This Row],[Date]]),7)</f>
        <v>1</v>
      </c>
      <c r="Q2119" t="str">
        <f>CHOOSE(WEEKDAY(datos_siembra[[#This Row],[Date]],2),"L","M","X","J","V","S","D")</f>
        <v>M</v>
      </c>
      <c r="R2119">
        <f>WEEKNUM(datos_siembra[[#This Row],[Date]],2)-WEEKNUM(DATE(YEAR(datos_siembra[[#This Row],[Date]]),MONTH(datos_siembra[[#This Row],[Date]]),1))+1</f>
        <v>1</v>
      </c>
      <c r="S2119">
        <f>MONTH(datos_siembra[[#This Row],[Date]])</f>
        <v>10</v>
      </c>
      <c r="T2119" t="str" cm="1">
        <f t="array" ref="T2119">_xlfn.IFS(AND(N2119&lt;= 22, S2119=9), "SOWING",AND(N2119&lt;= 28, S2119=9), "COVERAGE",AND(N2119&lt;= 30, S2119=9), "FLUSH",AND(N2119&lt;= 11, S2119=10), "FLUSH",AND(N2119&lt;= 21, S2119=10), "PRODUCTION")</f>
        <v>FLUSH</v>
      </c>
      <c r="U2119">
        <f>HOUR(datos_siembra[[#This Row],[Hour]])</f>
        <v>10</v>
      </c>
      <c r="V2119" cm="1">
        <f t="array" ref="V2119">_xlfn.IFS(AND(N2119&lt;= 22, S2119=9), N2119-7,AND(N2119&lt;= 28, S2119=9), N2119-25,AND(N2119&lt;= 30, S2119=9), N2119-28,AND(N2119&lt;= 11, S2119=10), N2119+2,AND(N2119&lt;= 21, S2119=10), N2119-11)</f>
        <v>3</v>
      </c>
    </row>
    <row r="2120" spans="1:22" x14ac:dyDescent="0.35">
      <c r="A2120" s="4">
        <v>45566</v>
      </c>
      <c r="B2120" s="5">
        <v>0.45543981481481483</v>
      </c>
      <c r="C2120">
        <v>75.8</v>
      </c>
      <c r="D2120">
        <v>74.8</v>
      </c>
      <c r="E2120">
        <v>74.3</v>
      </c>
      <c r="F2120">
        <v>71.900000000000006</v>
      </c>
      <c r="G2120">
        <v>0</v>
      </c>
      <c r="H2120">
        <v>0</v>
      </c>
      <c r="I2120">
        <v>0</v>
      </c>
      <c r="J2120">
        <v>0</v>
      </c>
      <c r="K2120">
        <v>66.099999999999994</v>
      </c>
      <c r="L2120">
        <v>65.8</v>
      </c>
      <c r="M2120">
        <v>74.19</v>
      </c>
      <c r="N2120">
        <v>1</v>
      </c>
      <c r="O2120">
        <v>7</v>
      </c>
      <c r="P2120">
        <f>MOD(DAY(datos_siembra[[#This Row],[Date]]),7)</f>
        <v>1</v>
      </c>
      <c r="Q2120" t="str">
        <f>CHOOSE(WEEKDAY(datos_siembra[[#This Row],[Date]],2),"L","M","X","J","V","S","D")</f>
        <v>M</v>
      </c>
      <c r="R2120">
        <f>WEEKNUM(datos_siembra[[#This Row],[Date]],2)-WEEKNUM(DATE(YEAR(datos_siembra[[#This Row],[Date]]),MONTH(datos_siembra[[#This Row],[Date]]),1))+1</f>
        <v>1</v>
      </c>
      <c r="S2120">
        <f>MONTH(datos_siembra[[#This Row],[Date]])</f>
        <v>10</v>
      </c>
      <c r="T2120" t="str" cm="1">
        <f t="array" ref="T2120">_xlfn.IFS(AND(N2120&lt;= 22, S2120=9), "SOWING",AND(N2120&lt;= 28, S2120=9), "COVERAGE",AND(N2120&lt;= 30, S2120=9), "FLUSH",AND(N2120&lt;= 11, S2120=10), "FLUSH",AND(N2120&lt;= 21, S2120=10), "PRODUCTION")</f>
        <v>FLUSH</v>
      </c>
      <c r="U2120">
        <f>HOUR(datos_siembra[[#This Row],[Hour]])</f>
        <v>10</v>
      </c>
      <c r="V2120" cm="1">
        <f t="array" ref="V2120">_xlfn.IFS(AND(N2120&lt;= 22, S2120=9), N2120-7,AND(N2120&lt;= 28, S2120=9), N2120-25,AND(N2120&lt;= 30, S2120=9), N2120-28,AND(N2120&lt;= 11, S2120=10), N2120+2,AND(N2120&lt;= 21, S2120=10), N2120-11)</f>
        <v>3</v>
      </c>
    </row>
    <row r="2121" spans="1:22" x14ac:dyDescent="0.35">
      <c r="A2121" s="4">
        <v>45566</v>
      </c>
      <c r="B2121" s="5">
        <v>0.46238425925925924</v>
      </c>
      <c r="C2121">
        <v>75.599999999999994</v>
      </c>
      <c r="D2121">
        <v>74.599999999999994</v>
      </c>
      <c r="E2121">
        <v>74.2</v>
      </c>
      <c r="F2121">
        <v>71.900000000000006</v>
      </c>
      <c r="G2121">
        <v>0</v>
      </c>
      <c r="H2121">
        <v>0</v>
      </c>
      <c r="I2121">
        <v>0</v>
      </c>
      <c r="J2121">
        <v>0</v>
      </c>
      <c r="K2121">
        <v>66.3</v>
      </c>
      <c r="L2121">
        <v>66</v>
      </c>
      <c r="M2121">
        <v>74.099999999999994</v>
      </c>
      <c r="N2121">
        <v>1</v>
      </c>
      <c r="O2121">
        <v>7</v>
      </c>
      <c r="P2121">
        <f>MOD(DAY(datos_siembra[[#This Row],[Date]]),7)</f>
        <v>1</v>
      </c>
      <c r="Q2121" t="str">
        <f>CHOOSE(WEEKDAY(datos_siembra[[#This Row],[Date]],2),"L","M","X","J","V","S","D")</f>
        <v>M</v>
      </c>
      <c r="R2121">
        <f>WEEKNUM(datos_siembra[[#This Row],[Date]],2)-WEEKNUM(DATE(YEAR(datos_siembra[[#This Row],[Date]]),MONTH(datos_siembra[[#This Row],[Date]]),1))+1</f>
        <v>1</v>
      </c>
      <c r="S2121">
        <f>MONTH(datos_siembra[[#This Row],[Date]])</f>
        <v>10</v>
      </c>
      <c r="T2121" t="str" cm="1">
        <f t="array" ref="T2121">_xlfn.IFS(AND(N2121&lt;= 22, S2121=9), "SOWING",AND(N2121&lt;= 28, S2121=9), "COVERAGE",AND(N2121&lt;= 30, S2121=9), "FLUSH",AND(N2121&lt;= 11, S2121=10), "FLUSH",AND(N2121&lt;= 21, S2121=10), "PRODUCTION")</f>
        <v>FLUSH</v>
      </c>
      <c r="U2121">
        <f>HOUR(datos_siembra[[#This Row],[Hour]])</f>
        <v>11</v>
      </c>
      <c r="V2121" cm="1">
        <f t="array" ref="V2121">_xlfn.IFS(AND(N2121&lt;= 22, S2121=9), N2121-7,AND(N2121&lt;= 28, S2121=9), N2121-25,AND(N2121&lt;= 30, S2121=9), N2121-28,AND(N2121&lt;= 11, S2121=10), N2121+2,AND(N2121&lt;= 21, S2121=10), N2121-11)</f>
        <v>3</v>
      </c>
    </row>
    <row r="2122" spans="1:22" x14ac:dyDescent="0.35">
      <c r="A2122" s="4">
        <v>45566</v>
      </c>
      <c r="B2122" s="5">
        <v>0.46932870370370372</v>
      </c>
      <c r="C2122">
        <v>75.599999999999994</v>
      </c>
      <c r="D2122">
        <v>74.5</v>
      </c>
      <c r="E2122">
        <v>74.099999999999994</v>
      </c>
      <c r="F2122">
        <v>71.900000000000006</v>
      </c>
      <c r="G2122">
        <v>0</v>
      </c>
      <c r="H2122">
        <v>0</v>
      </c>
      <c r="I2122">
        <v>0</v>
      </c>
      <c r="J2122">
        <v>0</v>
      </c>
      <c r="K2122">
        <v>66.099999999999994</v>
      </c>
      <c r="L2122">
        <v>65.5</v>
      </c>
      <c r="M2122">
        <v>74.13</v>
      </c>
      <c r="N2122">
        <v>1</v>
      </c>
      <c r="O2122">
        <v>7</v>
      </c>
      <c r="P2122">
        <f>MOD(DAY(datos_siembra[[#This Row],[Date]]),7)</f>
        <v>1</v>
      </c>
      <c r="Q2122" t="str">
        <f>CHOOSE(WEEKDAY(datos_siembra[[#This Row],[Date]],2),"L","M","X","J","V","S","D")</f>
        <v>M</v>
      </c>
      <c r="R2122">
        <f>WEEKNUM(datos_siembra[[#This Row],[Date]],2)-WEEKNUM(DATE(YEAR(datos_siembra[[#This Row],[Date]]),MONTH(datos_siembra[[#This Row],[Date]]),1))+1</f>
        <v>1</v>
      </c>
      <c r="S2122">
        <f>MONTH(datos_siembra[[#This Row],[Date]])</f>
        <v>10</v>
      </c>
      <c r="T2122" t="str" cm="1">
        <f t="array" ref="T2122">_xlfn.IFS(AND(N2122&lt;= 22, S2122=9), "SOWING",AND(N2122&lt;= 28, S2122=9), "COVERAGE",AND(N2122&lt;= 30, S2122=9), "FLUSH",AND(N2122&lt;= 11, S2122=10), "FLUSH",AND(N2122&lt;= 21, S2122=10), "PRODUCTION")</f>
        <v>FLUSH</v>
      </c>
      <c r="U2122">
        <f>HOUR(datos_siembra[[#This Row],[Hour]])</f>
        <v>11</v>
      </c>
      <c r="V2122" cm="1">
        <f t="array" ref="V2122">_xlfn.IFS(AND(N2122&lt;= 22, S2122=9), N2122-7,AND(N2122&lt;= 28, S2122=9), N2122-25,AND(N2122&lt;= 30, S2122=9), N2122-28,AND(N2122&lt;= 11, S2122=10), N2122+2,AND(N2122&lt;= 21, S2122=10), N2122-11)</f>
        <v>3</v>
      </c>
    </row>
    <row r="2123" spans="1:22" x14ac:dyDescent="0.35">
      <c r="A2123" s="4">
        <v>45566</v>
      </c>
      <c r="B2123" s="5">
        <v>0.47628472222222223</v>
      </c>
      <c r="C2123">
        <v>75.8</v>
      </c>
      <c r="D2123">
        <v>74.599999999999994</v>
      </c>
      <c r="E2123">
        <v>74.2</v>
      </c>
      <c r="F2123">
        <v>71.900000000000006</v>
      </c>
      <c r="G2123">
        <v>0</v>
      </c>
      <c r="H2123">
        <v>0</v>
      </c>
      <c r="I2123">
        <v>0</v>
      </c>
      <c r="J2123">
        <v>0</v>
      </c>
      <c r="K2123">
        <v>65.5</v>
      </c>
      <c r="L2123">
        <v>64.900000000000006</v>
      </c>
      <c r="M2123">
        <v>74.16</v>
      </c>
      <c r="N2123">
        <v>1</v>
      </c>
      <c r="O2123">
        <v>7</v>
      </c>
      <c r="P2123">
        <f>MOD(DAY(datos_siembra[[#This Row],[Date]]),7)</f>
        <v>1</v>
      </c>
      <c r="Q2123" t="str">
        <f>CHOOSE(WEEKDAY(datos_siembra[[#This Row],[Date]],2),"L","M","X","J","V","S","D")</f>
        <v>M</v>
      </c>
      <c r="R2123">
        <f>WEEKNUM(datos_siembra[[#This Row],[Date]],2)-WEEKNUM(DATE(YEAR(datos_siembra[[#This Row],[Date]]),MONTH(datos_siembra[[#This Row],[Date]]),1))+1</f>
        <v>1</v>
      </c>
      <c r="S2123">
        <f>MONTH(datos_siembra[[#This Row],[Date]])</f>
        <v>10</v>
      </c>
      <c r="T2123" t="str" cm="1">
        <f t="array" ref="T2123">_xlfn.IFS(AND(N2123&lt;= 22, S2123=9), "SOWING",AND(N2123&lt;= 28, S2123=9), "COVERAGE",AND(N2123&lt;= 30, S2123=9), "FLUSH",AND(N2123&lt;= 11, S2123=10), "FLUSH",AND(N2123&lt;= 21, S2123=10), "PRODUCTION")</f>
        <v>FLUSH</v>
      </c>
      <c r="U2123">
        <f>HOUR(datos_siembra[[#This Row],[Hour]])</f>
        <v>11</v>
      </c>
      <c r="V2123" cm="1">
        <f t="array" ref="V2123">_xlfn.IFS(AND(N2123&lt;= 22, S2123=9), N2123-7,AND(N2123&lt;= 28, S2123=9), N2123-25,AND(N2123&lt;= 30, S2123=9), N2123-28,AND(N2123&lt;= 11, S2123=10), N2123+2,AND(N2123&lt;= 21, S2123=10), N2123-11)</f>
        <v>3</v>
      </c>
    </row>
    <row r="2124" spans="1:22" x14ac:dyDescent="0.35">
      <c r="A2124" s="4">
        <v>45566</v>
      </c>
      <c r="B2124" s="5">
        <v>0.48322916666666665</v>
      </c>
      <c r="C2124">
        <v>75.599999999999994</v>
      </c>
      <c r="D2124">
        <v>74.8</v>
      </c>
      <c r="E2124">
        <v>74.099999999999994</v>
      </c>
      <c r="F2124">
        <v>71.900000000000006</v>
      </c>
      <c r="G2124">
        <v>0</v>
      </c>
      <c r="H2124">
        <v>0</v>
      </c>
      <c r="I2124">
        <v>0</v>
      </c>
      <c r="J2124">
        <v>0</v>
      </c>
      <c r="K2124">
        <v>65.2</v>
      </c>
      <c r="L2124">
        <v>64.5</v>
      </c>
      <c r="M2124">
        <v>74.069999999999993</v>
      </c>
      <c r="N2124">
        <v>1</v>
      </c>
      <c r="O2124">
        <v>7</v>
      </c>
      <c r="P2124">
        <f>MOD(DAY(datos_siembra[[#This Row],[Date]]),7)</f>
        <v>1</v>
      </c>
      <c r="Q2124" t="str">
        <f>CHOOSE(WEEKDAY(datos_siembra[[#This Row],[Date]],2),"L","M","X","J","V","S","D")</f>
        <v>M</v>
      </c>
      <c r="R2124">
        <f>WEEKNUM(datos_siembra[[#This Row],[Date]],2)-WEEKNUM(DATE(YEAR(datos_siembra[[#This Row],[Date]]),MONTH(datos_siembra[[#This Row],[Date]]),1))+1</f>
        <v>1</v>
      </c>
      <c r="S2124">
        <f>MONTH(datos_siembra[[#This Row],[Date]])</f>
        <v>10</v>
      </c>
      <c r="T2124" t="str" cm="1">
        <f t="array" ref="T2124">_xlfn.IFS(AND(N2124&lt;= 22, S2124=9), "SOWING",AND(N2124&lt;= 28, S2124=9), "COVERAGE",AND(N2124&lt;= 30, S2124=9), "FLUSH",AND(N2124&lt;= 11, S2124=10), "FLUSH",AND(N2124&lt;= 21, S2124=10), "PRODUCTION")</f>
        <v>FLUSH</v>
      </c>
      <c r="U2124">
        <f>HOUR(datos_siembra[[#This Row],[Hour]])</f>
        <v>11</v>
      </c>
      <c r="V2124" cm="1">
        <f t="array" ref="V2124">_xlfn.IFS(AND(N2124&lt;= 22, S2124=9), N2124-7,AND(N2124&lt;= 28, S2124=9), N2124-25,AND(N2124&lt;= 30, S2124=9), N2124-28,AND(N2124&lt;= 11, S2124=10), N2124+2,AND(N2124&lt;= 21, S2124=10), N2124-11)</f>
        <v>3</v>
      </c>
    </row>
    <row r="2125" spans="1:22" x14ac:dyDescent="0.35">
      <c r="A2125" s="4">
        <v>45566</v>
      </c>
      <c r="B2125" s="5">
        <v>0.49017361111111113</v>
      </c>
      <c r="C2125">
        <v>75.599999999999994</v>
      </c>
      <c r="D2125">
        <v>74.8</v>
      </c>
      <c r="E2125">
        <v>74.099999999999994</v>
      </c>
      <c r="F2125">
        <v>72.099999999999994</v>
      </c>
      <c r="G2125">
        <v>0</v>
      </c>
      <c r="H2125">
        <v>0</v>
      </c>
      <c r="I2125">
        <v>0</v>
      </c>
      <c r="J2125">
        <v>0</v>
      </c>
      <c r="K2125">
        <v>65.099999999999994</v>
      </c>
      <c r="L2125">
        <v>64.400000000000006</v>
      </c>
      <c r="M2125">
        <v>74.099999999999994</v>
      </c>
      <c r="N2125">
        <v>1</v>
      </c>
      <c r="O2125">
        <v>7</v>
      </c>
      <c r="P2125">
        <f>MOD(DAY(datos_siembra[[#This Row],[Date]]),7)</f>
        <v>1</v>
      </c>
      <c r="Q2125" t="str">
        <f>CHOOSE(WEEKDAY(datos_siembra[[#This Row],[Date]],2),"L","M","X","J","V","S","D")</f>
        <v>M</v>
      </c>
      <c r="R2125">
        <f>WEEKNUM(datos_siembra[[#This Row],[Date]],2)-WEEKNUM(DATE(YEAR(datos_siembra[[#This Row],[Date]]),MONTH(datos_siembra[[#This Row],[Date]]),1))+1</f>
        <v>1</v>
      </c>
      <c r="S2125">
        <f>MONTH(datos_siembra[[#This Row],[Date]])</f>
        <v>10</v>
      </c>
      <c r="T2125" t="str" cm="1">
        <f t="array" ref="T2125">_xlfn.IFS(AND(N2125&lt;= 22, S2125=9), "SOWING",AND(N2125&lt;= 28, S2125=9), "COVERAGE",AND(N2125&lt;= 30, S2125=9), "FLUSH",AND(N2125&lt;= 11, S2125=10), "FLUSH",AND(N2125&lt;= 21, S2125=10), "PRODUCTION")</f>
        <v>FLUSH</v>
      </c>
      <c r="U2125">
        <f>HOUR(datos_siembra[[#This Row],[Hour]])</f>
        <v>11</v>
      </c>
      <c r="V2125" cm="1">
        <f t="array" ref="V2125">_xlfn.IFS(AND(N2125&lt;= 22, S2125=9), N2125-7,AND(N2125&lt;= 28, S2125=9), N2125-25,AND(N2125&lt;= 30, S2125=9), N2125-28,AND(N2125&lt;= 11, S2125=10), N2125+2,AND(N2125&lt;= 21, S2125=10), N2125-11)</f>
        <v>3</v>
      </c>
    </row>
    <row r="2126" spans="1:22" x14ac:dyDescent="0.35">
      <c r="A2126" s="4">
        <v>45566</v>
      </c>
      <c r="B2126" s="5">
        <v>0.49712962962962964</v>
      </c>
      <c r="C2126">
        <v>75.8</v>
      </c>
      <c r="D2126">
        <v>74.599999999999994</v>
      </c>
      <c r="E2126">
        <v>74.2</v>
      </c>
      <c r="F2126">
        <v>71.900000000000006</v>
      </c>
      <c r="G2126">
        <v>0</v>
      </c>
      <c r="H2126">
        <v>0</v>
      </c>
      <c r="I2126">
        <v>0</v>
      </c>
      <c r="J2126">
        <v>0</v>
      </c>
      <c r="K2126">
        <v>65</v>
      </c>
      <c r="L2126">
        <v>64.400000000000006</v>
      </c>
      <c r="M2126">
        <v>74.099999999999994</v>
      </c>
      <c r="N2126">
        <v>1</v>
      </c>
      <c r="O2126">
        <v>7</v>
      </c>
      <c r="P2126">
        <f>MOD(DAY(datos_siembra[[#This Row],[Date]]),7)</f>
        <v>1</v>
      </c>
      <c r="Q2126" t="str">
        <f>CHOOSE(WEEKDAY(datos_siembra[[#This Row],[Date]],2),"L","M","X","J","V","S","D")</f>
        <v>M</v>
      </c>
      <c r="R2126">
        <f>WEEKNUM(datos_siembra[[#This Row],[Date]],2)-WEEKNUM(DATE(YEAR(datos_siembra[[#This Row],[Date]]),MONTH(datos_siembra[[#This Row],[Date]]),1))+1</f>
        <v>1</v>
      </c>
      <c r="S2126">
        <f>MONTH(datos_siembra[[#This Row],[Date]])</f>
        <v>10</v>
      </c>
      <c r="T2126" t="str" cm="1">
        <f t="array" ref="T2126">_xlfn.IFS(AND(N2126&lt;= 22, S2126=9), "SOWING",AND(N2126&lt;= 28, S2126=9), "COVERAGE",AND(N2126&lt;= 30, S2126=9), "FLUSH",AND(N2126&lt;= 11, S2126=10), "FLUSH",AND(N2126&lt;= 21, S2126=10), "PRODUCTION")</f>
        <v>FLUSH</v>
      </c>
      <c r="U2126">
        <f>HOUR(datos_siembra[[#This Row],[Hour]])</f>
        <v>11</v>
      </c>
      <c r="V2126" cm="1">
        <f t="array" ref="V2126">_xlfn.IFS(AND(N2126&lt;= 22, S2126=9), N2126-7,AND(N2126&lt;= 28, S2126=9), N2126-25,AND(N2126&lt;= 30, S2126=9), N2126-28,AND(N2126&lt;= 11, S2126=10), N2126+2,AND(N2126&lt;= 21, S2126=10), N2126-11)</f>
        <v>3</v>
      </c>
    </row>
    <row r="2127" spans="1:22" x14ac:dyDescent="0.35">
      <c r="A2127" s="4">
        <v>45566</v>
      </c>
      <c r="B2127" s="5">
        <v>0.50407407407407412</v>
      </c>
      <c r="C2127">
        <v>75.599999999999994</v>
      </c>
      <c r="D2127">
        <v>74.599999999999994</v>
      </c>
      <c r="E2127">
        <v>74.2</v>
      </c>
      <c r="F2127">
        <v>71.8</v>
      </c>
      <c r="G2127">
        <v>0</v>
      </c>
      <c r="H2127">
        <v>0</v>
      </c>
      <c r="I2127">
        <v>0</v>
      </c>
      <c r="J2127">
        <v>0</v>
      </c>
      <c r="K2127">
        <v>64.900000000000006</v>
      </c>
      <c r="L2127">
        <v>64.400000000000006</v>
      </c>
      <c r="M2127">
        <v>74.099999999999994</v>
      </c>
      <c r="N2127">
        <v>1</v>
      </c>
      <c r="O2127">
        <v>7</v>
      </c>
      <c r="P2127">
        <f>MOD(DAY(datos_siembra[[#This Row],[Date]]),7)</f>
        <v>1</v>
      </c>
      <c r="Q2127" t="str">
        <f>CHOOSE(WEEKDAY(datos_siembra[[#This Row],[Date]],2),"L","M","X","J","V","S","D")</f>
        <v>M</v>
      </c>
      <c r="R2127">
        <f>WEEKNUM(datos_siembra[[#This Row],[Date]],2)-WEEKNUM(DATE(YEAR(datos_siembra[[#This Row],[Date]]),MONTH(datos_siembra[[#This Row],[Date]]),1))+1</f>
        <v>1</v>
      </c>
      <c r="S2127">
        <f>MONTH(datos_siembra[[#This Row],[Date]])</f>
        <v>10</v>
      </c>
      <c r="T2127" t="str" cm="1">
        <f t="array" ref="T2127">_xlfn.IFS(AND(N2127&lt;= 22, S2127=9), "SOWING",AND(N2127&lt;= 28, S2127=9), "COVERAGE",AND(N2127&lt;= 30, S2127=9), "FLUSH",AND(N2127&lt;= 11, S2127=10), "FLUSH",AND(N2127&lt;= 21, S2127=10), "PRODUCTION")</f>
        <v>FLUSH</v>
      </c>
      <c r="U2127">
        <f>HOUR(datos_siembra[[#This Row],[Hour]])</f>
        <v>12</v>
      </c>
      <c r="V2127" cm="1">
        <f t="array" ref="V2127">_xlfn.IFS(AND(N2127&lt;= 22, S2127=9), N2127-7,AND(N2127&lt;= 28, S2127=9), N2127-25,AND(N2127&lt;= 30, S2127=9), N2127-28,AND(N2127&lt;= 11, S2127=10), N2127+2,AND(N2127&lt;= 21, S2127=10), N2127-11)</f>
        <v>3</v>
      </c>
    </row>
    <row r="2128" spans="1:22" x14ac:dyDescent="0.35">
      <c r="A2128" s="4">
        <v>45566</v>
      </c>
      <c r="B2128" s="5">
        <v>0.51101851851851854</v>
      </c>
      <c r="C2128">
        <v>75.599999999999994</v>
      </c>
      <c r="D2128">
        <v>74.599999999999994</v>
      </c>
      <c r="E2128">
        <v>74.2</v>
      </c>
      <c r="F2128">
        <v>71.900000000000006</v>
      </c>
      <c r="G2128">
        <v>0</v>
      </c>
      <c r="H2128">
        <v>0</v>
      </c>
      <c r="I2128">
        <v>0</v>
      </c>
      <c r="J2128">
        <v>0</v>
      </c>
      <c r="K2128">
        <v>64.7</v>
      </c>
      <c r="L2128">
        <v>64.400000000000006</v>
      </c>
      <c r="M2128">
        <v>74.05</v>
      </c>
      <c r="N2128">
        <v>1</v>
      </c>
      <c r="O2128">
        <v>7</v>
      </c>
      <c r="P2128">
        <f>MOD(DAY(datos_siembra[[#This Row],[Date]]),7)</f>
        <v>1</v>
      </c>
      <c r="Q2128" t="str">
        <f>CHOOSE(WEEKDAY(datos_siembra[[#This Row],[Date]],2),"L","M","X","J","V","S","D")</f>
        <v>M</v>
      </c>
      <c r="R2128">
        <f>WEEKNUM(datos_siembra[[#This Row],[Date]],2)-WEEKNUM(DATE(YEAR(datos_siembra[[#This Row],[Date]]),MONTH(datos_siembra[[#This Row],[Date]]),1))+1</f>
        <v>1</v>
      </c>
      <c r="S2128">
        <f>MONTH(datos_siembra[[#This Row],[Date]])</f>
        <v>10</v>
      </c>
      <c r="T2128" t="str" cm="1">
        <f t="array" ref="T2128">_xlfn.IFS(AND(N2128&lt;= 22, S2128=9), "SOWING",AND(N2128&lt;= 28, S2128=9), "COVERAGE",AND(N2128&lt;= 30, S2128=9), "FLUSH",AND(N2128&lt;= 11, S2128=10), "FLUSH",AND(N2128&lt;= 21, S2128=10), "PRODUCTION")</f>
        <v>FLUSH</v>
      </c>
      <c r="U2128">
        <f>HOUR(datos_siembra[[#This Row],[Hour]])</f>
        <v>12</v>
      </c>
      <c r="V2128" cm="1">
        <f t="array" ref="V2128">_xlfn.IFS(AND(N2128&lt;= 22, S2128=9), N2128-7,AND(N2128&lt;= 28, S2128=9), N2128-25,AND(N2128&lt;= 30, S2128=9), N2128-28,AND(N2128&lt;= 11, S2128=10), N2128+2,AND(N2128&lt;= 21, S2128=10), N2128-11)</f>
        <v>3</v>
      </c>
    </row>
    <row r="2129" spans="1:22" x14ac:dyDescent="0.35">
      <c r="A2129" s="4">
        <v>45566</v>
      </c>
      <c r="B2129" s="5">
        <v>0.517974537037037</v>
      </c>
      <c r="C2129">
        <v>75.5</v>
      </c>
      <c r="D2129">
        <v>74.599999999999994</v>
      </c>
      <c r="E2129">
        <v>74</v>
      </c>
      <c r="F2129">
        <v>71.900000000000006</v>
      </c>
      <c r="G2129">
        <v>0</v>
      </c>
      <c r="H2129">
        <v>0</v>
      </c>
      <c r="I2129">
        <v>0</v>
      </c>
      <c r="J2129">
        <v>0</v>
      </c>
      <c r="K2129">
        <v>64.7</v>
      </c>
      <c r="L2129">
        <v>64.400000000000006</v>
      </c>
      <c r="M2129">
        <v>74.02</v>
      </c>
      <c r="N2129">
        <v>1</v>
      </c>
      <c r="O2129">
        <v>7</v>
      </c>
      <c r="P2129">
        <f>MOD(DAY(datos_siembra[[#This Row],[Date]]),7)</f>
        <v>1</v>
      </c>
      <c r="Q2129" t="str">
        <f>CHOOSE(WEEKDAY(datos_siembra[[#This Row],[Date]],2),"L","M","X","J","V","S","D")</f>
        <v>M</v>
      </c>
      <c r="R2129">
        <f>WEEKNUM(datos_siembra[[#This Row],[Date]],2)-WEEKNUM(DATE(YEAR(datos_siembra[[#This Row],[Date]]),MONTH(datos_siembra[[#This Row],[Date]]),1))+1</f>
        <v>1</v>
      </c>
      <c r="S2129">
        <f>MONTH(datos_siembra[[#This Row],[Date]])</f>
        <v>10</v>
      </c>
      <c r="T2129" t="str" cm="1">
        <f t="array" ref="T2129">_xlfn.IFS(AND(N2129&lt;= 22, S2129=9), "SOWING",AND(N2129&lt;= 28, S2129=9), "COVERAGE",AND(N2129&lt;= 30, S2129=9), "FLUSH",AND(N2129&lt;= 11, S2129=10), "FLUSH",AND(N2129&lt;= 21, S2129=10), "PRODUCTION")</f>
        <v>FLUSH</v>
      </c>
      <c r="U2129">
        <f>HOUR(datos_siembra[[#This Row],[Hour]])</f>
        <v>12</v>
      </c>
      <c r="V2129" cm="1">
        <f t="array" ref="V2129">_xlfn.IFS(AND(N2129&lt;= 22, S2129=9), N2129-7,AND(N2129&lt;= 28, S2129=9), N2129-25,AND(N2129&lt;= 30, S2129=9), N2129-28,AND(N2129&lt;= 11, S2129=10), N2129+2,AND(N2129&lt;= 21, S2129=10), N2129-11)</f>
        <v>3</v>
      </c>
    </row>
    <row r="2130" spans="1:22" x14ac:dyDescent="0.35">
      <c r="A2130" s="4">
        <v>45566</v>
      </c>
      <c r="B2130" s="5">
        <v>0.52491898148148153</v>
      </c>
      <c r="C2130">
        <v>75.599999999999994</v>
      </c>
      <c r="D2130">
        <v>74.5</v>
      </c>
      <c r="E2130">
        <v>74.099999999999994</v>
      </c>
      <c r="F2130">
        <v>71.8</v>
      </c>
      <c r="G2130">
        <v>0</v>
      </c>
      <c r="H2130">
        <v>0</v>
      </c>
      <c r="I2130">
        <v>0</v>
      </c>
      <c r="J2130">
        <v>0</v>
      </c>
      <c r="K2130">
        <v>64.7</v>
      </c>
      <c r="L2130">
        <v>64.3</v>
      </c>
      <c r="M2130">
        <v>74.02</v>
      </c>
      <c r="N2130">
        <v>1</v>
      </c>
      <c r="O2130">
        <v>7</v>
      </c>
      <c r="P2130">
        <f>MOD(DAY(datos_siembra[[#This Row],[Date]]),7)</f>
        <v>1</v>
      </c>
      <c r="Q2130" t="str">
        <f>CHOOSE(WEEKDAY(datos_siembra[[#This Row],[Date]],2),"L","M","X","J","V","S","D")</f>
        <v>M</v>
      </c>
      <c r="R2130">
        <f>WEEKNUM(datos_siembra[[#This Row],[Date]],2)-WEEKNUM(DATE(YEAR(datos_siembra[[#This Row],[Date]]),MONTH(datos_siembra[[#This Row],[Date]]),1))+1</f>
        <v>1</v>
      </c>
      <c r="S2130">
        <f>MONTH(datos_siembra[[#This Row],[Date]])</f>
        <v>10</v>
      </c>
      <c r="T2130" t="str" cm="1">
        <f t="array" ref="T2130">_xlfn.IFS(AND(N2130&lt;= 22, S2130=9), "SOWING",AND(N2130&lt;= 28, S2130=9), "COVERAGE",AND(N2130&lt;= 30, S2130=9), "FLUSH",AND(N2130&lt;= 11, S2130=10), "FLUSH",AND(N2130&lt;= 21, S2130=10), "PRODUCTION")</f>
        <v>FLUSH</v>
      </c>
      <c r="U2130">
        <f>HOUR(datos_siembra[[#This Row],[Hour]])</f>
        <v>12</v>
      </c>
      <c r="V2130" cm="1">
        <f t="array" ref="V2130">_xlfn.IFS(AND(N2130&lt;= 22, S2130=9), N2130-7,AND(N2130&lt;= 28, S2130=9), N2130-25,AND(N2130&lt;= 30, S2130=9), N2130-28,AND(N2130&lt;= 11, S2130=10), N2130+2,AND(N2130&lt;= 21, S2130=10), N2130-11)</f>
        <v>3</v>
      </c>
    </row>
    <row r="2131" spans="1:22" x14ac:dyDescent="0.35">
      <c r="A2131" s="4">
        <v>45566</v>
      </c>
      <c r="B2131" s="5">
        <v>0.53186342592592595</v>
      </c>
      <c r="C2131">
        <v>75.5</v>
      </c>
      <c r="D2131">
        <v>74.599999999999994</v>
      </c>
      <c r="E2131">
        <v>74.099999999999994</v>
      </c>
      <c r="F2131">
        <v>71.900000000000006</v>
      </c>
      <c r="G2131">
        <v>0</v>
      </c>
      <c r="H2131">
        <v>0</v>
      </c>
      <c r="I2131">
        <v>0</v>
      </c>
      <c r="J2131">
        <v>0</v>
      </c>
      <c r="K2131">
        <v>64.599999999999994</v>
      </c>
      <c r="L2131">
        <v>64.3</v>
      </c>
      <c r="M2131">
        <v>74.02</v>
      </c>
      <c r="N2131">
        <v>1</v>
      </c>
      <c r="O2131">
        <v>7</v>
      </c>
      <c r="P2131">
        <f>MOD(DAY(datos_siembra[[#This Row],[Date]]),7)</f>
        <v>1</v>
      </c>
      <c r="Q2131" t="str">
        <f>CHOOSE(WEEKDAY(datos_siembra[[#This Row],[Date]],2),"L","M","X","J","V","S","D")</f>
        <v>M</v>
      </c>
      <c r="R2131">
        <f>WEEKNUM(datos_siembra[[#This Row],[Date]],2)-WEEKNUM(DATE(YEAR(datos_siembra[[#This Row],[Date]]),MONTH(datos_siembra[[#This Row],[Date]]),1))+1</f>
        <v>1</v>
      </c>
      <c r="S2131">
        <f>MONTH(datos_siembra[[#This Row],[Date]])</f>
        <v>10</v>
      </c>
      <c r="T2131" t="str" cm="1">
        <f t="array" ref="T2131">_xlfn.IFS(AND(N2131&lt;= 22, S2131=9), "SOWING",AND(N2131&lt;= 28, S2131=9), "COVERAGE",AND(N2131&lt;= 30, S2131=9), "FLUSH",AND(N2131&lt;= 11, S2131=10), "FLUSH",AND(N2131&lt;= 21, S2131=10), "PRODUCTION")</f>
        <v>FLUSH</v>
      </c>
      <c r="U2131">
        <f>HOUR(datos_siembra[[#This Row],[Hour]])</f>
        <v>12</v>
      </c>
      <c r="V2131" cm="1">
        <f t="array" ref="V2131">_xlfn.IFS(AND(N2131&lt;= 22, S2131=9), N2131-7,AND(N2131&lt;= 28, S2131=9), N2131-25,AND(N2131&lt;= 30, S2131=9), N2131-28,AND(N2131&lt;= 11, S2131=10), N2131+2,AND(N2131&lt;= 21, S2131=10), N2131-11)</f>
        <v>3</v>
      </c>
    </row>
    <row r="2132" spans="1:22" x14ac:dyDescent="0.35">
      <c r="A2132" s="4">
        <v>45566</v>
      </c>
      <c r="B2132" s="5">
        <v>0.53881944444444441</v>
      </c>
      <c r="C2132">
        <v>75.400000000000006</v>
      </c>
      <c r="D2132">
        <v>74.5</v>
      </c>
      <c r="E2132">
        <v>74</v>
      </c>
      <c r="F2132">
        <v>71.7</v>
      </c>
      <c r="G2132">
        <v>0</v>
      </c>
      <c r="H2132">
        <v>0</v>
      </c>
      <c r="I2132">
        <v>0</v>
      </c>
      <c r="J2132">
        <v>0</v>
      </c>
      <c r="K2132">
        <v>64.5</v>
      </c>
      <c r="L2132">
        <v>64.2</v>
      </c>
      <c r="M2132">
        <v>74.02</v>
      </c>
      <c r="N2132">
        <v>1</v>
      </c>
      <c r="O2132">
        <v>7</v>
      </c>
      <c r="P2132">
        <f>MOD(DAY(datos_siembra[[#This Row],[Date]]),7)</f>
        <v>1</v>
      </c>
      <c r="Q2132" t="str">
        <f>CHOOSE(WEEKDAY(datos_siembra[[#This Row],[Date]],2),"L","M","X","J","V","S","D")</f>
        <v>M</v>
      </c>
      <c r="R2132">
        <f>WEEKNUM(datos_siembra[[#This Row],[Date]],2)-WEEKNUM(DATE(YEAR(datos_siembra[[#This Row],[Date]]),MONTH(datos_siembra[[#This Row],[Date]]),1))+1</f>
        <v>1</v>
      </c>
      <c r="S2132">
        <f>MONTH(datos_siembra[[#This Row],[Date]])</f>
        <v>10</v>
      </c>
      <c r="T2132" t="str" cm="1">
        <f t="array" ref="T2132">_xlfn.IFS(AND(N2132&lt;= 22, S2132=9), "SOWING",AND(N2132&lt;= 28, S2132=9), "COVERAGE",AND(N2132&lt;= 30, S2132=9), "FLUSH",AND(N2132&lt;= 11, S2132=10), "FLUSH",AND(N2132&lt;= 21, S2132=10), "PRODUCTION")</f>
        <v>FLUSH</v>
      </c>
      <c r="U2132">
        <f>HOUR(datos_siembra[[#This Row],[Hour]])</f>
        <v>12</v>
      </c>
      <c r="V2132" cm="1">
        <f t="array" ref="V2132">_xlfn.IFS(AND(N2132&lt;= 22, S2132=9), N2132-7,AND(N2132&lt;= 28, S2132=9), N2132-25,AND(N2132&lt;= 30, S2132=9), N2132-28,AND(N2132&lt;= 11, S2132=10), N2132+2,AND(N2132&lt;= 21, S2132=10), N2132-11)</f>
        <v>3</v>
      </c>
    </row>
    <row r="2133" spans="1:22" x14ac:dyDescent="0.35">
      <c r="A2133" s="4">
        <v>45566</v>
      </c>
      <c r="B2133" s="5">
        <v>0.54576388888888894</v>
      </c>
      <c r="C2133">
        <v>75.5</v>
      </c>
      <c r="D2133">
        <v>74.599999999999994</v>
      </c>
      <c r="E2133">
        <v>73.900000000000006</v>
      </c>
      <c r="F2133">
        <v>71.7</v>
      </c>
      <c r="G2133">
        <v>0</v>
      </c>
      <c r="H2133">
        <v>0</v>
      </c>
      <c r="I2133">
        <v>0</v>
      </c>
      <c r="J2133">
        <v>0</v>
      </c>
      <c r="K2133">
        <v>64.599999999999994</v>
      </c>
      <c r="L2133">
        <v>64.2</v>
      </c>
      <c r="M2133">
        <v>73.959999999999994</v>
      </c>
      <c r="N2133">
        <v>1</v>
      </c>
      <c r="O2133">
        <v>7</v>
      </c>
      <c r="P2133">
        <f>MOD(DAY(datos_siembra[[#This Row],[Date]]),7)</f>
        <v>1</v>
      </c>
      <c r="Q2133" t="str">
        <f>CHOOSE(WEEKDAY(datos_siembra[[#This Row],[Date]],2),"L","M","X","J","V","S","D")</f>
        <v>M</v>
      </c>
      <c r="R2133">
        <f>WEEKNUM(datos_siembra[[#This Row],[Date]],2)-WEEKNUM(DATE(YEAR(datos_siembra[[#This Row],[Date]]),MONTH(datos_siembra[[#This Row],[Date]]),1))+1</f>
        <v>1</v>
      </c>
      <c r="S2133">
        <f>MONTH(datos_siembra[[#This Row],[Date]])</f>
        <v>10</v>
      </c>
      <c r="T2133" t="str" cm="1">
        <f t="array" ref="T2133">_xlfn.IFS(AND(N2133&lt;= 22, S2133=9), "SOWING",AND(N2133&lt;= 28, S2133=9), "COVERAGE",AND(N2133&lt;= 30, S2133=9), "FLUSH",AND(N2133&lt;= 11, S2133=10), "FLUSH",AND(N2133&lt;= 21, S2133=10), "PRODUCTION")</f>
        <v>FLUSH</v>
      </c>
      <c r="U2133">
        <f>HOUR(datos_siembra[[#This Row],[Hour]])</f>
        <v>13</v>
      </c>
      <c r="V2133" cm="1">
        <f t="array" ref="V2133">_xlfn.IFS(AND(N2133&lt;= 22, S2133=9), N2133-7,AND(N2133&lt;= 28, S2133=9), N2133-25,AND(N2133&lt;= 30, S2133=9), N2133-28,AND(N2133&lt;= 11, S2133=10), N2133+2,AND(N2133&lt;= 21, S2133=10), N2133-11)</f>
        <v>3</v>
      </c>
    </row>
    <row r="2134" spans="1:22" x14ac:dyDescent="0.35">
      <c r="A2134" s="4">
        <v>45566</v>
      </c>
      <c r="B2134" s="5">
        <v>0.55270833333333336</v>
      </c>
      <c r="C2134">
        <v>75.400000000000006</v>
      </c>
      <c r="D2134">
        <v>74.5</v>
      </c>
      <c r="E2134">
        <v>74.099999999999994</v>
      </c>
      <c r="F2134">
        <v>71.7</v>
      </c>
      <c r="G2134">
        <v>0</v>
      </c>
      <c r="H2134">
        <v>0</v>
      </c>
      <c r="I2134">
        <v>0</v>
      </c>
      <c r="J2134">
        <v>0</v>
      </c>
      <c r="K2134">
        <v>64.5</v>
      </c>
      <c r="L2134">
        <v>64.099999999999994</v>
      </c>
      <c r="M2134">
        <v>73.930000000000007</v>
      </c>
      <c r="N2134">
        <v>1</v>
      </c>
      <c r="O2134">
        <v>7</v>
      </c>
      <c r="P2134">
        <f>MOD(DAY(datos_siembra[[#This Row],[Date]]),7)</f>
        <v>1</v>
      </c>
      <c r="Q2134" t="str">
        <f>CHOOSE(WEEKDAY(datos_siembra[[#This Row],[Date]],2),"L","M","X","J","V","S","D")</f>
        <v>M</v>
      </c>
      <c r="R2134">
        <f>WEEKNUM(datos_siembra[[#This Row],[Date]],2)-WEEKNUM(DATE(YEAR(datos_siembra[[#This Row],[Date]]),MONTH(datos_siembra[[#This Row],[Date]]),1))+1</f>
        <v>1</v>
      </c>
      <c r="S2134">
        <f>MONTH(datos_siembra[[#This Row],[Date]])</f>
        <v>10</v>
      </c>
      <c r="T2134" t="str" cm="1">
        <f t="array" ref="T2134">_xlfn.IFS(AND(N2134&lt;= 22, S2134=9), "SOWING",AND(N2134&lt;= 28, S2134=9), "COVERAGE",AND(N2134&lt;= 30, S2134=9), "FLUSH",AND(N2134&lt;= 11, S2134=10), "FLUSH",AND(N2134&lt;= 21, S2134=10), "PRODUCTION")</f>
        <v>FLUSH</v>
      </c>
      <c r="U2134">
        <f>HOUR(datos_siembra[[#This Row],[Hour]])</f>
        <v>13</v>
      </c>
      <c r="V2134" cm="1">
        <f t="array" ref="V2134">_xlfn.IFS(AND(N2134&lt;= 22, S2134=9), N2134-7,AND(N2134&lt;= 28, S2134=9), N2134-25,AND(N2134&lt;= 30, S2134=9), N2134-28,AND(N2134&lt;= 11, S2134=10), N2134+2,AND(N2134&lt;= 21, S2134=10), N2134-11)</f>
        <v>3</v>
      </c>
    </row>
    <row r="2135" spans="1:22" x14ac:dyDescent="0.35">
      <c r="A2135" s="4">
        <v>45566</v>
      </c>
      <c r="B2135" s="5">
        <v>0.55965277777777778</v>
      </c>
      <c r="C2135">
        <v>75.400000000000006</v>
      </c>
      <c r="D2135">
        <v>74.5</v>
      </c>
      <c r="E2135">
        <v>73.900000000000006</v>
      </c>
      <c r="F2135">
        <v>71.7</v>
      </c>
      <c r="G2135">
        <v>0</v>
      </c>
      <c r="H2135">
        <v>0</v>
      </c>
      <c r="I2135">
        <v>0</v>
      </c>
      <c r="J2135">
        <v>0</v>
      </c>
      <c r="K2135">
        <v>64.400000000000006</v>
      </c>
      <c r="L2135">
        <v>64.099999999999994</v>
      </c>
      <c r="M2135">
        <v>73.849999999999994</v>
      </c>
      <c r="N2135">
        <v>1</v>
      </c>
      <c r="O2135">
        <v>7</v>
      </c>
      <c r="P2135">
        <f>MOD(DAY(datos_siembra[[#This Row],[Date]]),7)</f>
        <v>1</v>
      </c>
      <c r="Q2135" t="str">
        <f>CHOOSE(WEEKDAY(datos_siembra[[#This Row],[Date]],2),"L","M","X","J","V","S","D")</f>
        <v>M</v>
      </c>
      <c r="R2135">
        <f>WEEKNUM(datos_siembra[[#This Row],[Date]],2)-WEEKNUM(DATE(YEAR(datos_siembra[[#This Row],[Date]]),MONTH(datos_siembra[[#This Row],[Date]]),1))+1</f>
        <v>1</v>
      </c>
      <c r="S2135">
        <f>MONTH(datos_siembra[[#This Row],[Date]])</f>
        <v>10</v>
      </c>
      <c r="T2135" t="str" cm="1">
        <f t="array" ref="T2135">_xlfn.IFS(AND(N2135&lt;= 22, S2135=9), "SOWING",AND(N2135&lt;= 28, S2135=9), "COVERAGE",AND(N2135&lt;= 30, S2135=9), "FLUSH",AND(N2135&lt;= 11, S2135=10), "FLUSH",AND(N2135&lt;= 21, S2135=10), "PRODUCTION")</f>
        <v>FLUSH</v>
      </c>
      <c r="U2135">
        <f>HOUR(datos_siembra[[#This Row],[Hour]])</f>
        <v>13</v>
      </c>
      <c r="V2135" cm="1">
        <f t="array" ref="V2135">_xlfn.IFS(AND(N2135&lt;= 22, S2135=9), N2135-7,AND(N2135&lt;= 28, S2135=9), N2135-25,AND(N2135&lt;= 30, S2135=9), N2135-28,AND(N2135&lt;= 11, S2135=10), N2135+2,AND(N2135&lt;= 21, S2135=10), N2135-11)</f>
        <v>3</v>
      </c>
    </row>
    <row r="2136" spans="1:22" x14ac:dyDescent="0.35">
      <c r="A2136" s="4">
        <v>45566</v>
      </c>
      <c r="B2136" s="5">
        <v>0.56660879629629635</v>
      </c>
      <c r="C2136">
        <v>75.400000000000006</v>
      </c>
      <c r="D2136">
        <v>74.5</v>
      </c>
      <c r="E2136">
        <v>73.7</v>
      </c>
      <c r="F2136">
        <v>71.8</v>
      </c>
      <c r="G2136">
        <v>0</v>
      </c>
      <c r="H2136">
        <v>0</v>
      </c>
      <c r="I2136">
        <v>0</v>
      </c>
      <c r="J2136">
        <v>0</v>
      </c>
      <c r="K2136">
        <v>64.400000000000006</v>
      </c>
      <c r="L2136">
        <v>63.9</v>
      </c>
      <c r="M2136">
        <v>73.849999999999994</v>
      </c>
      <c r="N2136">
        <v>1</v>
      </c>
      <c r="O2136">
        <v>7</v>
      </c>
      <c r="P2136">
        <f>MOD(DAY(datos_siembra[[#This Row],[Date]]),7)</f>
        <v>1</v>
      </c>
      <c r="Q2136" t="str">
        <f>CHOOSE(WEEKDAY(datos_siembra[[#This Row],[Date]],2),"L","M","X","J","V","S","D")</f>
        <v>M</v>
      </c>
      <c r="R2136">
        <f>WEEKNUM(datos_siembra[[#This Row],[Date]],2)-WEEKNUM(DATE(YEAR(datos_siembra[[#This Row],[Date]]),MONTH(datos_siembra[[#This Row],[Date]]),1))+1</f>
        <v>1</v>
      </c>
      <c r="S2136">
        <f>MONTH(datos_siembra[[#This Row],[Date]])</f>
        <v>10</v>
      </c>
      <c r="T2136" t="str" cm="1">
        <f t="array" ref="T2136">_xlfn.IFS(AND(N2136&lt;= 22, S2136=9), "SOWING",AND(N2136&lt;= 28, S2136=9), "COVERAGE",AND(N2136&lt;= 30, S2136=9), "FLUSH",AND(N2136&lt;= 11, S2136=10), "FLUSH",AND(N2136&lt;= 21, S2136=10), "PRODUCTION")</f>
        <v>FLUSH</v>
      </c>
      <c r="U2136">
        <f>HOUR(datos_siembra[[#This Row],[Hour]])</f>
        <v>13</v>
      </c>
      <c r="V2136" cm="1">
        <f t="array" ref="V2136">_xlfn.IFS(AND(N2136&lt;= 22, S2136=9), N2136-7,AND(N2136&lt;= 28, S2136=9), N2136-25,AND(N2136&lt;= 30, S2136=9), N2136-28,AND(N2136&lt;= 11, S2136=10), N2136+2,AND(N2136&lt;= 21, S2136=10), N2136-11)</f>
        <v>3</v>
      </c>
    </row>
    <row r="2137" spans="1:22" x14ac:dyDescent="0.35">
      <c r="A2137" s="4">
        <v>45566</v>
      </c>
      <c r="B2137" s="5">
        <v>0.57355324074074077</v>
      </c>
      <c r="C2137">
        <v>75.400000000000006</v>
      </c>
      <c r="D2137">
        <v>74.5</v>
      </c>
      <c r="E2137">
        <v>73.900000000000006</v>
      </c>
      <c r="F2137">
        <v>71.7</v>
      </c>
      <c r="G2137">
        <v>0</v>
      </c>
      <c r="H2137">
        <v>0</v>
      </c>
      <c r="I2137">
        <v>0</v>
      </c>
      <c r="J2137">
        <v>0</v>
      </c>
      <c r="K2137">
        <v>64.400000000000006</v>
      </c>
      <c r="L2137">
        <v>63.9</v>
      </c>
      <c r="M2137">
        <v>73.91</v>
      </c>
      <c r="N2137">
        <v>1</v>
      </c>
      <c r="O2137">
        <v>7</v>
      </c>
      <c r="P2137">
        <f>MOD(DAY(datos_siembra[[#This Row],[Date]]),7)</f>
        <v>1</v>
      </c>
      <c r="Q2137" t="str">
        <f>CHOOSE(WEEKDAY(datos_siembra[[#This Row],[Date]],2),"L","M","X","J","V","S","D")</f>
        <v>M</v>
      </c>
      <c r="R2137">
        <f>WEEKNUM(datos_siembra[[#This Row],[Date]],2)-WEEKNUM(DATE(YEAR(datos_siembra[[#This Row],[Date]]),MONTH(datos_siembra[[#This Row],[Date]]),1))+1</f>
        <v>1</v>
      </c>
      <c r="S2137">
        <f>MONTH(datos_siembra[[#This Row],[Date]])</f>
        <v>10</v>
      </c>
      <c r="T2137" t="str" cm="1">
        <f t="array" ref="T2137">_xlfn.IFS(AND(N2137&lt;= 22, S2137=9), "SOWING",AND(N2137&lt;= 28, S2137=9), "COVERAGE",AND(N2137&lt;= 30, S2137=9), "FLUSH",AND(N2137&lt;= 11, S2137=10), "FLUSH",AND(N2137&lt;= 21, S2137=10), "PRODUCTION")</f>
        <v>FLUSH</v>
      </c>
      <c r="U2137">
        <f>HOUR(datos_siembra[[#This Row],[Hour]])</f>
        <v>13</v>
      </c>
      <c r="V2137" cm="1">
        <f t="array" ref="V2137">_xlfn.IFS(AND(N2137&lt;= 22, S2137=9), N2137-7,AND(N2137&lt;= 28, S2137=9), N2137-25,AND(N2137&lt;= 30, S2137=9), N2137-28,AND(N2137&lt;= 11, S2137=10), N2137+2,AND(N2137&lt;= 21, S2137=10), N2137-11)</f>
        <v>3</v>
      </c>
    </row>
    <row r="2138" spans="1:22" x14ac:dyDescent="0.35">
      <c r="A2138" s="4">
        <v>45566</v>
      </c>
      <c r="B2138" s="5">
        <v>0.58049768518518519</v>
      </c>
      <c r="C2138">
        <v>75.3</v>
      </c>
      <c r="D2138">
        <v>74.5</v>
      </c>
      <c r="E2138">
        <v>73.7</v>
      </c>
      <c r="F2138">
        <v>71.7</v>
      </c>
      <c r="G2138">
        <v>0</v>
      </c>
      <c r="H2138">
        <v>0</v>
      </c>
      <c r="I2138">
        <v>0</v>
      </c>
      <c r="J2138">
        <v>0</v>
      </c>
      <c r="K2138">
        <v>64.7</v>
      </c>
      <c r="L2138">
        <v>64.400000000000006</v>
      </c>
      <c r="M2138">
        <v>73.819999999999993</v>
      </c>
      <c r="N2138">
        <v>1</v>
      </c>
      <c r="O2138">
        <v>7</v>
      </c>
      <c r="P2138">
        <f>MOD(DAY(datos_siembra[[#This Row],[Date]]),7)</f>
        <v>1</v>
      </c>
      <c r="Q2138" t="str">
        <f>CHOOSE(WEEKDAY(datos_siembra[[#This Row],[Date]],2),"L","M","X","J","V","S","D")</f>
        <v>M</v>
      </c>
      <c r="R2138">
        <f>WEEKNUM(datos_siembra[[#This Row],[Date]],2)-WEEKNUM(DATE(YEAR(datos_siembra[[#This Row],[Date]]),MONTH(datos_siembra[[#This Row],[Date]]),1))+1</f>
        <v>1</v>
      </c>
      <c r="S2138">
        <f>MONTH(datos_siembra[[#This Row],[Date]])</f>
        <v>10</v>
      </c>
      <c r="T2138" t="str" cm="1">
        <f t="array" ref="T2138">_xlfn.IFS(AND(N2138&lt;= 22, S2138=9), "SOWING",AND(N2138&lt;= 28, S2138=9), "COVERAGE",AND(N2138&lt;= 30, S2138=9), "FLUSH",AND(N2138&lt;= 11, S2138=10), "FLUSH",AND(N2138&lt;= 21, S2138=10), "PRODUCTION")</f>
        <v>FLUSH</v>
      </c>
      <c r="U2138">
        <f>HOUR(datos_siembra[[#This Row],[Hour]])</f>
        <v>13</v>
      </c>
      <c r="V2138" cm="1">
        <f t="array" ref="V2138">_xlfn.IFS(AND(N2138&lt;= 22, S2138=9), N2138-7,AND(N2138&lt;= 28, S2138=9), N2138-25,AND(N2138&lt;= 30, S2138=9), N2138-28,AND(N2138&lt;= 11, S2138=10), N2138+2,AND(N2138&lt;= 21, S2138=10), N2138-11)</f>
        <v>3</v>
      </c>
    </row>
    <row r="2139" spans="1:22" x14ac:dyDescent="0.35">
      <c r="A2139" s="4">
        <v>45566</v>
      </c>
      <c r="B2139" s="5">
        <v>0.58745370370370376</v>
      </c>
      <c r="C2139">
        <v>75.3</v>
      </c>
      <c r="D2139">
        <v>74.400000000000006</v>
      </c>
      <c r="E2139">
        <v>73.7</v>
      </c>
      <c r="F2139">
        <v>71.599999999999994</v>
      </c>
      <c r="G2139">
        <v>0</v>
      </c>
      <c r="H2139">
        <v>0</v>
      </c>
      <c r="I2139">
        <v>0</v>
      </c>
      <c r="J2139">
        <v>0</v>
      </c>
      <c r="K2139">
        <v>65.2</v>
      </c>
      <c r="L2139">
        <v>65.099999999999994</v>
      </c>
      <c r="M2139">
        <v>73.739999999999995</v>
      </c>
      <c r="N2139">
        <v>1</v>
      </c>
      <c r="O2139">
        <v>7</v>
      </c>
      <c r="P2139">
        <f>MOD(DAY(datos_siembra[[#This Row],[Date]]),7)</f>
        <v>1</v>
      </c>
      <c r="Q2139" t="str">
        <f>CHOOSE(WEEKDAY(datos_siembra[[#This Row],[Date]],2),"L","M","X","J","V","S","D")</f>
        <v>M</v>
      </c>
      <c r="R2139">
        <f>WEEKNUM(datos_siembra[[#This Row],[Date]],2)-WEEKNUM(DATE(YEAR(datos_siembra[[#This Row],[Date]]),MONTH(datos_siembra[[#This Row],[Date]]),1))+1</f>
        <v>1</v>
      </c>
      <c r="S2139">
        <f>MONTH(datos_siembra[[#This Row],[Date]])</f>
        <v>10</v>
      </c>
      <c r="T2139" t="str" cm="1">
        <f t="array" ref="T2139">_xlfn.IFS(AND(N2139&lt;= 22, S2139=9), "SOWING",AND(N2139&lt;= 28, S2139=9), "COVERAGE",AND(N2139&lt;= 30, S2139=9), "FLUSH",AND(N2139&lt;= 11, S2139=10), "FLUSH",AND(N2139&lt;= 21, S2139=10), "PRODUCTION")</f>
        <v>FLUSH</v>
      </c>
      <c r="U2139">
        <f>HOUR(datos_siembra[[#This Row],[Hour]])</f>
        <v>14</v>
      </c>
      <c r="V2139" cm="1">
        <f t="array" ref="V2139">_xlfn.IFS(AND(N2139&lt;= 22, S2139=9), N2139-7,AND(N2139&lt;= 28, S2139=9), N2139-25,AND(N2139&lt;= 30, S2139=9), N2139-28,AND(N2139&lt;= 11, S2139=10), N2139+2,AND(N2139&lt;= 21, S2139=10), N2139-11)</f>
        <v>3</v>
      </c>
    </row>
    <row r="2140" spans="1:22" x14ac:dyDescent="0.35">
      <c r="A2140" s="4">
        <v>45566</v>
      </c>
      <c r="B2140" s="5">
        <v>0.59439814814814818</v>
      </c>
      <c r="C2140">
        <v>75.3</v>
      </c>
      <c r="D2140">
        <v>74.400000000000006</v>
      </c>
      <c r="E2140">
        <v>73.900000000000006</v>
      </c>
      <c r="F2140">
        <v>71.5</v>
      </c>
      <c r="G2140">
        <v>0</v>
      </c>
      <c r="H2140">
        <v>0</v>
      </c>
      <c r="I2140">
        <v>0</v>
      </c>
      <c r="J2140">
        <v>0</v>
      </c>
      <c r="K2140">
        <v>65.400000000000006</v>
      </c>
      <c r="L2140">
        <v>65.3</v>
      </c>
      <c r="M2140">
        <v>73.790000000000006</v>
      </c>
      <c r="N2140">
        <v>1</v>
      </c>
      <c r="O2140">
        <v>7</v>
      </c>
      <c r="P2140">
        <f>MOD(DAY(datos_siembra[[#This Row],[Date]]),7)</f>
        <v>1</v>
      </c>
      <c r="Q2140" t="str">
        <f>CHOOSE(WEEKDAY(datos_siembra[[#This Row],[Date]],2),"L","M","X","J","V","S","D")</f>
        <v>M</v>
      </c>
      <c r="R2140">
        <f>WEEKNUM(datos_siembra[[#This Row],[Date]],2)-WEEKNUM(DATE(YEAR(datos_siembra[[#This Row],[Date]]),MONTH(datos_siembra[[#This Row],[Date]]),1))+1</f>
        <v>1</v>
      </c>
      <c r="S2140">
        <f>MONTH(datos_siembra[[#This Row],[Date]])</f>
        <v>10</v>
      </c>
      <c r="T2140" t="str" cm="1">
        <f t="array" ref="T2140">_xlfn.IFS(AND(N2140&lt;= 22, S2140=9), "SOWING",AND(N2140&lt;= 28, S2140=9), "COVERAGE",AND(N2140&lt;= 30, S2140=9), "FLUSH",AND(N2140&lt;= 11, S2140=10), "FLUSH",AND(N2140&lt;= 21, S2140=10), "PRODUCTION")</f>
        <v>FLUSH</v>
      </c>
      <c r="U2140">
        <f>HOUR(datos_siembra[[#This Row],[Hour]])</f>
        <v>14</v>
      </c>
      <c r="V2140" cm="1">
        <f t="array" ref="V2140">_xlfn.IFS(AND(N2140&lt;= 22, S2140=9), N2140-7,AND(N2140&lt;= 28, S2140=9), N2140-25,AND(N2140&lt;= 30, S2140=9), N2140-28,AND(N2140&lt;= 11, S2140=10), N2140+2,AND(N2140&lt;= 21, S2140=10), N2140-11)</f>
        <v>3</v>
      </c>
    </row>
    <row r="2141" spans="1:22" x14ac:dyDescent="0.35">
      <c r="A2141" s="4">
        <v>45566</v>
      </c>
      <c r="B2141" s="5">
        <v>0.6013425925925926</v>
      </c>
      <c r="C2141">
        <v>75.3</v>
      </c>
      <c r="D2141">
        <v>74.400000000000006</v>
      </c>
      <c r="E2141">
        <v>73.7</v>
      </c>
      <c r="F2141">
        <v>71.599999999999994</v>
      </c>
      <c r="G2141">
        <v>0</v>
      </c>
      <c r="H2141">
        <v>0</v>
      </c>
      <c r="I2141">
        <v>0</v>
      </c>
      <c r="J2141">
        <v>0</v>
      </c>
      <c r="K2141">
        <v>65.599999999999994</v>
      </c>
      <c r="L2141">
        <v>65.5</v>
      </c>
      <c r="M2141">
        <v>73.739999999999995</v>
      </c>
      <c r="N2141">
        <v>1</v>
      </c>
      <c r="O2141">
        <v>7</v>
      </c>
      <c r="P2141">
        <f>MOD(DAY(datos_siembra[[#This Row],[Date]]),7)</f>
        <v>1</v>
      </c>
      <c r="Q2141" t="str">
        <f>CHOOSE(WEEKDAY(datos_siembra[[#This Row],[Date]],2),"L","M","X","J","V","S","D")</f>
        <v>M</v>
      </c>
      <c r="R2141">
        <f>WEEKNUM(datos_siembra[[#This Row],[Date]],2)-WEEKNUM(DATE(YEAR(datos_siembra[[#This Row],[Date]]),MONTH(datos_siembra[[#This Row],[Date]]),1))+1</f>
        <v>1</v>
      </c>
      <c r="S2141">
        <f>MONTH(datos_siembra[[#This Row],[Date]])</f>
        <v>10</v>
      </c>
      <c r="T2141" t="str" cm="1">
        <f t="array" ref="T2141">_xlfn.IFS(AND(N2141&lt;= 22, S2141=9), "SOWING",AND(N2141&lt;= 28, S2141=9), "COVERAGE",AND(N2141&lt;= 30, S2141=9), "FLUSH",AND(N2141&lt;= 11, S2141=10), "FLUSH",AND(N2141&lt;= 21, S2141=10), "PRODUCTION")</f>
        <v>FLUSH</v>
      </c>
      <c r="U2141">
        <f>HOUR(datos_siembra[[#This Row],[Hour]])</f>
        <v>14</v>
      </c>
      <c r="V2141" cm="1">
        <f t="array" ref="V2141">_xlfn.IFS(AND(N2141&lt;= 22, S2141=9), N2141-7,AND(N2141&lt;= 28, S2141=9), N2141-25,AND(N2141&lt;= 30, S2141=9), N2141-28,AND(N2141&lt;= 11, S2141=10), N2141+2,AND(N2141&lt;= 21, S2141=10), N2141-11)</f>
        <v>3</v>
      </c>
    </row>
    <row r="2142" spans="1:22" x14ac:dyDescent="0.35">
      <c r="A2142" s="4">
        <v>45566</v>
      </c>
      <c r="B2142" s="5">
        <v>0.60829861111111116</v>
      </c>
      <c r="C2142">
        <v>75.3</v>
      </c>
      <c r="D2142">
        <v>74.5</v>
      </c>
      <c r="E2142">
        <v>73.7</v>
      </c>
      <c r="F2142">
        <v>71.5</v>
      </c>
      <c r="G2142">
        <v>0</v>
      </c>
      <c r="H2142">
        <v>0</v>
      </c>
      <c r="I2142">
        <v>0</v>
      </c>
      <c r="J2142">
        <v>0</v>
      </c>
      <c r="K2142">
        <v>65.8</v>
      </c>
      <c r="L2142">
        <v>65.599999999999994</v>
      </c>
      <c r="M2142">
        <v>73.790000000000006</v>
      </c>
      <c r="N2142">
        <v>1</v>
      </c>
      <c r="O2142">
        <v>7</v>
      </c>
      <c r="P2142">
        <f>MOD(DAY(datos_siembra[[#This Row],[Date]]),7)</f>
        <v>1</v>
      </c>
      <c r="Q2142" t="str">
        <f>CHOOSE(WEEKDAY(datos_siembra[[#This Row],[Date]],2),"L","M","X","J","V","S","D")</f>
        <v>M</v>
      </c>
      <c r="R2142">
        <f>WEEKNUM(datos_siembra[[#This Row],[Date]],2)-WEEKNUM(DATE(YEAR(datos_siembra[[#This Row],[Date]]),MONTH(datos_siembra[[#This Row],[Date]]),1))+1</f>
        <v>1</v>
      </c>
      <c r="S2142">
        <f>MONTH(datos_siembra[[#This Row],[Date]])</f>
        <v>10</v>
      </c>
      <c r="T2142" t="str" cm="1">
        <f t="array" ref="T2142">_xlfn.IFS(AND(N2142&lt;= 22, S2142=9), "SOWING",AND(N2142&lt;= 28, S2142=9), "COVERAGE",AND(N2142&lt;= 30, S2142=9), "FLUSH",AND(N2142&lt;= 11, S2142=10), "FLUSH",AND(N2142&lt;= 21, S2142=10), "PRODUCTION")</f>
        <v>FLUSH</v>
      </c>
      <c r="U2142">
        <f>HOUR(datos_siembra[[#This Row],[Hour]])</f>
        <v>14</v>
      </c>
      <c r="V2142" cm="1">
        <f t="array" ref="V2142">_xlfn.IFS(AND(N2142&lt;= 22, S2142=9), N2142-7,AND(N2142&lt;= 28, S2142=9), N2142-25,AND(N2142&lt;= 30, S2142=9), N2142-28,AND(N2142&lt;= 11, S2142=10), N2142+2,AND(N2142&lt;= 21, S2142=10), N2142-11)</f>
        <v>3</v>
      </c>
    </row>
    <row r="2143" spans="1:22" x14ac:dyDescent="0.35">
      <c r="A2143" s="4">
        <v>45566</v>
      </c>
      <c r="B2143" s="5">
        <v>0.61524305555555558</v>
      </c>
      <c r="C2143">
        <v>75.3</v>
      </c>
      <c r="D2143">
        <v>74.5</v>
      </c>
      <c r="E2143">
        <v>73.7</v>
      </c>
      <c r="F2143">
        <v>71.5</v>
      </c>
      <c r="G2143">
        <v>0</v>
      </c>
      <c r="H2143">
        <v>0</v>
      </c>
      <c r="I2143">
        <v>0</v>
      </c>
      <c r="J2143">
        <v>0</v>
      </c>
      <c r="K2143">
        <v>65.900000000000006</v>
      </c>
      <c r="L2143">
        <v>65.8</v>
      </c>
      <c r="M2143">
        <v>73.77</v>
      </c>
      <c r="N2143">
        <v>1</v>
      </c>
      <c r="O2143">
        <v>7</v>
      </c>
      <c r="P2143">
        <f>MOD(DAY(datos_siembra[[#This Row],[Date]]),7)</f>
        <v>1</v>
      </c>
      <c r="Q2143" t="str">
        <f>CHOOSE(WEEKDAY(datos_siembra[[#This Row],[Date]],2),"L","M","X","J","V","S","D")</f>
        <v>M</v>
      </c>
      <c r="R2143">
        <f>WEEKNUM(datos_siembra[[#This Row],[Date]],2)-WEEKNUM(DATE(YEAR(datos_siembra[[#This Row],[Date]]),MONTH(datos_siembra[[#This Row],[Date]]),1))+1</f>
        <v>1</v>
      </c>
      <c r="S2143">
        <f>MONTH(datos_siembra[[#This Row],[Date]])</f>
        <v>10</v>
      </c>
      <c r="T2143" t="str" cm="1">
        <f t="array" ref="T2143">_xlfn.IFS(AND(N2143&lt;= 22, S2143=9), "SOWING",AND(N2143&lt;= 28, S2143=9), "COVERAGE",AND(N2143&lt;= 30, S2143=9), "FLUSH",AND(N2143&lt;= 11, S2143=10), "FLUSH",AND(N2143&lt;= 21, S2143=10), "PRODUCTION")</f>
        <v>FLUSH</v>
      </c>
      <c r="U2143">
        <f>HOUR(datos_siembra[[#This Row],[Hour]])</f>
        <v>14</v>
      </c>
      <c r="V2143" cm="1">
        <f t="array" ref="V2143">_xlfn.IFS(AND(N2143&lt;= 22, S2143=9), N2143-7,AND(N2143&lt;= 28, S2143=9), N2143-25,AND(N2143&lt;= 30, S2143=9), N2143-28,AND(N2143&lt;= 11, S2143=10), N2143+2,AND(N2143&lt;= 21, S2143=10), N2143-11)</f>
        <v>3</v>
      </c>
    </row>
    <row r="2144" spans="1:22" x14ac:dyDescent="0.35">
      <c r="A2144" s="4">
        <v>45566</v>
      </c>
      <c r="B2144" s="5">
        <v>0.6221875</v>
      </c>
      <c r="C2144">
        <v>75.2</v>
      </c>
      <c r="D2144">
        <v>74.5</v>
      </c>
      <c r="E2144">
        <v>73.7</v>
      </c>
      <c r="F2144">
        <v>71.5</v>
      </c>
      <c r="G2144">
        <v>0</v>
      </c>
      <c r="H2144">
        <v>0</v>
      </c>
      <c r="I2144">
        <v>0</v>
      </c>
      <c r="J2144">
        <v>0</v>
      </c>
      <c r="K2144">
        <v>65.5</v>
      </c>
      <c r="L2144">
        <v>65.099999999999994</v>
      </c>
      <c r="M2144">
        <v>73.77</v>
      </c>
      <c r="N2144">
        <v>1</v>
      </c>
      <c r="O2144">
        <v>7</v>
      </c>
      <c r="P2144">
        <f>MOD(DAY(datos_siembra[[#This Row],[Date]]),7)</f>
        <v>1</v>
      </c>
      <c r="Q2144" t="str">
        <f>CHOOSE(WEEKDAY(datos_siembra[[#This Row],[Date]],2),"L","M","X","J","V","S","D")</f>
        <v>M</v>
      </c>
      <c r="R2144">
        <f>WEEKNUM(datos_siembra[[#This Row],[Date]],2)-WEEKNUM(DATE(YEAR(datos_siembra[[#This Row],[Date]]),MONTH(datos_siembra[[#This Row],[Date]]),1))+1</f>
        <v>1</v>
      </c>
      <c r="S2144">
        <f>MONTH(datos_siembra[[#This Row],[Date]])</f>
        <v>10</v>
      </c>
      <c r="T2144" t="str" cm="1">
        <f t="array" ref="T2144">_xlfn.IFS(AND(N2144&lt;= 22, S2144=9), "SOWING",AND(N2144&lt;= 28, S2144=9), "COVERAGE",AND(N2144&lt;= 30, S2144=9), "FLUSH",AND(N2144&lt;= 11, S2144=10), "FLUSH",AND(N2144&lt;= 21, S2144=10), "PRODUCTION")</f>
        <v>FLUSH</v>
      </c>
      <c r="U2144">
        <f>HOUR(datos_siembra[[#This Row],[Hour]])</f>
        <v>14</v>
      </c>
      <c r="V2144" cm="1">
        <f t="array" ref="V2144">_xlfn.IFS(AND(N2144&lt;= 22, S2144=9), N2144-7,AND(N2144&lt;= 28, S2144=9), N2144-25,AND(N2144&lt;= 30, S2144=9), N2144-28,AND(N2144&lt;= 11, S2144=10), N2144+2,AND(N2144&lt;= 21, S2144=10), N2144-11)</f>
        <v>3</v>
      </c>
    </row>
    <row r="2145" spans="1:22" x14ac:dyDescent="0.35">
      <c r="A2145" s="4">
        <v>45566</v>
      </c>
      <c r="B2145" s="5">
        <v>0.62914351851851846</v>
      </c>
      <c r="C2145">
        <v>75.099999999999994</v>
      </c>
      <c r="D2145">
        <v>74.5</v>
      </c>
      <c r="E2145">
        <v>73.7</v>
      </c>
      <c r="F2145">
        <v>71.5</v>
      </c>
      <c r="G2145">
        <v>0</v>
      </c>
      <c r="H2145">
        <v>0</v>
      </c>
      <c r="I2145">
        <v>0</v>
      </c>
      <c r="J2145">
        <v>0</v>
      </c>
      <c r="K2145">
        <v>64.900000000000006</v>
      </c>
      <c r="L2145">
        <v>64.400000000000006</v>
      </c>
      <c r="M2145">
        <v>73.790000000000006</v>
      </c>
      <c r="N2145">
        <v>1</v>
      </c>
      <c r="O2145">
        <v>7</v>
      </c>
      <c r="P2145">
        <f>MOD(DAY(datos_siembra[[#This Row],[Date]]),7)</f>
        <v>1</v>
      </c>
      <c r="Q2145" t="str">
        <f>CHOOSE(WEEKDAY(datos_siembra[[#This Row],[Date]],2),"L","M","X","J","V","S","D")</f>
        <v>M</v>
      </c>
      <c r="R2145">
        <f>WEEKNUM(datos_siembra[[#This Row],[Date]],2)-WEEKNUM(DATE(YEAR(datos_siembra[[#This Row],[Date]]),MONTH(datos_siembra[[#This Row],[Date]]),1))+1</f>
        <v>1</v>
      </c>
      <c r="S2145">
        <f>MONTH(datos_siembra[[#This Row],[Date]])</f>
        <v>10</v>
      </c>
      <c r="T2145" t="str" cm="1">
        <f t="array" ref="T2145">_xlfn.IFS(AND(N2145&lt;= 22, S2145=9), "SOWING",AND(N2145&lt;= 28, S2145=9), "COVERAGE",AND(N2145&lt;= 30, S2145=9), "FLUSH",AND(N2145&lt;= 11, S2145=10), "FLUSH",AND(N2145&lt;= 21, S2145=10), "PRODUCTION")</f>
        <v>FLUSH</v>
      </c>
      <c r="U2145">
        <f>HOUR(datos_siembra[[#This Row],[Hour]])</f>
        <v>15</v>
      </c>
      <c r="V2145" cm="1">
        <f t="array" ref="V2145">_xlfn.IFS(AND(N2145&lt;= 22, S2145=9), N2145-7,AND(N2145&lt;= 28, S2145=9), N2145-25,AND(N2145&lt;= 30, S2145=9), N2145-28,AND(N2145&lt;= 11, S2145=10), N2145+2,AND(N2145&lt;= 21, S2145=10), N2145-11)</f>
        <v>3</v>
      </c>
    </row>
    <row r="2146" spans="1:22" x14ac:dyDescent="0.35">
      <c r="A2146" s="4">
        <v>45566</v>
      </c>
      <c r="B2146" s="5">
        <v>0.63608796296296299</v>
      </c>
      <c r="C2146">
        <v>75.099999999999994</v>
      </c>
      <c r="D2146">
        <v>74.599999999999994</v>
      </c>
      <c r="E2146">
        <v>73.599999999999994</v>
      </c>
      <c r="F2146">
        <v>71.400000000000006</v>
      </c>
      <c r="G2146">
        <v>0</v>
      </c>
      <c r="H2146">
        <v>0</v>
      </c>
      <c r="I2146">
        <v>0</v>
      </c>
      <c r="J2146">
        <v>0</v>
      </c>
      <c r="K2146">
        <v>64.599999999999994</v>
      </c>
      <c r="L2146">
        <v>64.099999999999994</v>
      </c>
      <c r="M2146">
        <v>73.739999999999995</v>
      </c>
      <c r="N2146">
        <v>1</v>
      </c>
      <c r="O2146">
        <v>7</v>
      </c>
      <c r="P2146">
        <f>MOD(DAY(datos_siembra[[#This Row],[Date]]),7)</f>
        <v>1</v>
      </c>
      <c r="Q2146" t="str">
        <f>CHOOSE(WEEKDAY(datos_siembra[[#This Row],[Date]],2),"L","M","X","J","V","S","D")</f>
        <v>M</v>
      </c>
      <c r="R2146">
        <f>WEEKNUM(datos_siembra[[#This Row],[Date]],2)-WEEKNUM(DATE(YEAR(datos_siembra[[#This Row],[Date]]),MONTH(datos_siembra[[#This Row],[Date]]),1))+1</f>
        <v>1</v>
      </c>
      <c r="S2146">
        <f>MONTH(datos_siembra[[#This Row],[Date]])</f>
        <v>10</v>
      </c>
      <c r="T2146" t="str" cm="1">
        <f t="array" ref="T2146">_xlfn.IFS(AND(N2146&lt;= 22, S2146=9), "SOWING",AND(N2146&lt;= 28, S2146=9), "COVERAGE",AND(N2146&lt;= 30, S2146=9), "FLUSH",AND(N2146&lt;= 11, S2146=10), "FLUSH",AND(N2146&lt;= 21, S2146=10), "PRODUCTION")</f>
        <v>FLUSH</v>
      </c>
      <c r="U2146">
        <f>HOUR(datos_siembra[[#This Row],[Hour]])</f>
        <v>15</v>
      </c>
      <c r="V2146" cm="1">
        <f t="array" ref="V2146">_xlfn.IFS(AND(N2146&lt;= 22, S2146=9), N2146-7,AND(N2146&lt;= 28, S2146=9), N2146-25,AND(N2146&lt;= 30, S2146=9), N2146-28,AND(N2146&lt;= 11, S2146=10), N2146+2,AND(N2146&lt;= 21, S2146=10), N2146-11)</f>
        <v>3</v>
      </c>
    </row>
    <row r="2147" spans="1:22" x14ac:dyDescent="0.35">
      <c r="A2147" s="4">
        <v>45566</v>
      </c>
      <c r="B2147" s="5">
        <v>0.64303240740740741</v>
      </c>
      <c r="C2147">
        <v>75.2</v>
      </c>
      <c r="D2147">
        <v>74.5</v>
      </c>
      <c r="E2147">
        <v>73.5</v>
      </c>
      <c r="F2147">
        <v>71.5</v>
      </c>
      <c r="G2147">
        <v>0</v>
      </c>
      <c r="H2147">
        <v>0</v>
      </c>
      <c r="I2147">
        <v>0</v>
      </c>
      <c r="J2147">
        <v>0</v>
      </c>
      <c r="K2147">
        <v>64.400000000000006</v>
      </c>
      <c r="L2147">
        <v>63.8</v>
      </c>
      <c r="M2147">
        <v>73.709999999999994</v>
      </c>
      <c r="N2147">
        <v>1</v>
      </c>
      <c r="O2147">
        <v>7</v>
      </c>
      <c r="P2147">
        <f>MOD(DAY(datos_siembra[[#This Row],[Date]]),7)</f>
        <v>1</v>
      </c>
      <c r="Q2147" t="str">
        <f>CHOOSE(WEEKDAY(datos_siembra[[#This Row],[Date]],2),"L","M","X","J","V","S","D")</f>
        <v>M</v>
      </c>
      <c r="R2147">
        <f>WEEKNUM(datos_siembra[[#This Row],[Date]],2)-WEEKNUM(DATE(YEAR(datos_siembra[[#This Row],[Date]]),MONTH(datos_siembra[[#This Row],[Date]]),1))+1</f>
        <v>1</v>
      </c>
      <c r="S2147">
        <f>MONTH(datos_siembra[[#This Row],[Date]])</f>
        <v>10</v>
      </c>
      <c r="T2147" t="str" cm="1">
        <f t="array" ref="T2147">_xlfn.IFS(AND(N2147&lt;= 22, S2147=9), "SOWING",AND(N2147&lt;= 28, S2147=9), "COVERAGE",AND(N2147&lt;= 30, S2147=9), "FLUSH",AND(N2147&lt;= 11, S2147=10), "FLUSH",AND(N2147&lt;= 21, S2147=10), "PRODUCTION")</f>
        <v>FLUSH</v>
      </c>
      <c r="U2147">
        <f>HOUR(datos_siembra[[#This Row],[Hour]])</f>
        <v>15</v>
      </c>
      <c r="V2147" cm="1">
        <f t="array" ref="V2147">_xlfn.IFS(AND(N2147&lt;= 22, S2147=9), N2147-7,AND(N2147&lt;= 28, S2147=9), N2147-25,AND(N2147&lt;= 30, S2147=9), N2147-28,AND(N2147&lt;= 11, S2147=10), N2147+2,AND(N2147&lt;= 21, S2147=10), N2147-11)</f>
        <v>3</v>
      </c>
    </row>
    <row r="2148" spans="1:22" x14ac:dyDescent="0.35">
      <c r="A2148" s="4">
        <v>45566</v>
      </c>
      <c r="B2148" s="5">
        <v>0.64997685185185183</v>
      </c>
      <c r="C2148">
        <v>75.099999999999994</v>
      </c>
      <c r="D2148">
        <v>74.5</v>
      </c>
      <c r="E2148">
        <v>73.5</v>
      </c>
      <c r="F2148">
        <v>71.400000000000006</v>
      </c>
      <c r="G2148">
        <v>0</v>
      </c>
      <c r="H2148">
        <v>0</v>
      </c>
      <c r="I2148">
        <v>0</v>
      </c>
      <c r="J2148">
        <v>0</v>
      </c>
      <c r="K2148">
        <v>64.2</v>
      </c>
      <c r="L2148">
        <v>63.7</v>
      </c>
      <c r="M2148">
        <v>73.709999999999994</v>
      </c>
      <c r="N2148">
        <v>1</v>
      </c>
      <c r="O2148">
        <v>7</v>
      </c>
      <c r="P2148">
        <f>MOD(DAY(datos_siembra[[#This Row],[Date]]),7)</f>
        <v>1</v>
      </c>
      <c r="Q2148" t="str">
        <f>CHOOSE(WEEKDAY(datos_siembra[[#This Row],[Date]],2),"L","M","X","J","V","S","D")</f>
        <v>M</v>
      </c>
      <c r="R2148">
        <f>WEEKNUM(datos_siembra[[#This Row],[Date]],2)-WEEKNUM(DATE(YEAR(datos_siembra[[#This Row],[Date]]),MONTH(datos_siembra[[#This Row],[Date]]),1))+1</f>
        <v>1</v>
      </c>
      <c r="S2148">
        <f>MONTH(datos_siembra[[#This Row],[Date]])</f>
        <v>10</v>
      </c>
      <c r="T2148" t="str" cm="1">
        <f t="array" ref="T2148">_xlfn.IFS(AND(N2148&lt;= 22, S2148=9), "SOWING",AND(N2148&lt;= 28, S2148=9), "COVERAGE",AND(N2148&lt;= 30, S2148=9), "FLUSH",AND(N2148&lt;= 11, S2148=10), "FLUSH",AND(N2148&lt;= 21, S2148=10), "PRODUCTION")</f>
        <v>FLUSH</v>
      </c>
      <c r="U2148">
        <f>HOUR(datos_siembra[[#This Row],[Hour]])</f>
        <v>15</v>
      </c>
      <c r="V2148" cm="1">
        <f t="array" ref="V2148">_xlfn.IFS(AND(N2148&lt;= 22, S2148=9), N2148-7,AND(N2148&lt;= 28, S2148=9), N2148-25,AND(N2148&lt;= 30, S2148=9), N2148-28,AND(N2148&lt;= 11, S2148=10), N2148+2,AND(N2148&lt;= 21, S2148=10), N2148-11)</f>
        <v>3</v>
      </c>
    </row>
    <row r="2149" spans="1:22" x14ac:dyDescent="0.35">
      <c r="A2149" s="4">
        <v>45566</v>
      </c>
      <c r="B2149" s="5">
        <v>0.6569328703703704</v>
      </c>
      <c r="C2149">
        <v>75.099999999999994</v>
      </c>
      <c r="D2149">
        <v>74.400000000000006</v>
      </c>
      <c r="E2149">
        <v>73.599999999999994</v>
      </c>
      <c r="F2149">
        <v>71.5</v>
      </c>
      <c r="G2149">
        <v>0</v>
      </c>
      <c r="H2149">
        <v>0</v>
      </c>
      <c r="I2149">
        <v>0</v>
      </c>
      <c r="J2149">
        <v>0</v>
      </c>
      <c r="K2149">
        <v>64.2</v>
      </c>
      <c r="L2149">
        <v>63.7</v>
      </c>
      <c r="M2149">
        <v>73.709999999999994</v>
      </c>
      <c r="N2149">
        <v>1</v>
      </c>
      <c r="O2149">
        <v>7</v>
      </c>
      <c r="P2149">
        <f>MOD(DAY(datos_siembra[[#This Row],[Date]]),7)</f>
        <v>1</v>
      </c>
      <c r="Q2149" t="str">
        <f>CHOOSE(WEEKDAY(datos_siembra[[#This Row],[Date]],2),"L","M","X","J","V","S","D")</f>
        <v>M</v>
      </c>
      <c r="R2149">
        <f>WEEKNUM(datos_siembra[[#This Row],[Date]],2)-WEEKNUM(DATE(YEAR(datos_siembra[[#This Row],[Date]]),MONTH(datos_siembra[[#This Row],[Date]]),1))+1</f>
        <v>1</v>
      </c>
      <c r="S2149">
        <f>MONTH(datos_siembra[[#This Row],[Date]])</f>
        <v>10</v>
      </c>
      <c r="T2149" t="str" cm="1">
        <f t="array" ref="T2149">_xlfn.IFS(AND(N2149&lt;= 22, S2149=9), "SOWING",AND(N2149&lt;= 28, S2149=9), "COVERAGE",AND(N2149&lt;= 30, S2149=9), "FLUSH",AND(N2149&lt;= 11, S2149=10), "FLUSH",AND(N2149&lt;= 21, S2149=10), "PRODUCTION")</f>
        <v>FLUSH</v>
      </c>
      <c r="U2149">
        <f>HOUR(datos_siembra[[#This Row],[Hour]])</f>
        <v>15</v>
      </c>
      <c r="V2149" cm="1">
        <f t="array" ref="V2149">_xlfn.IFS(AND(N2149&lt;= 22, S2149=9), N2149-7,AND(N2149&lt;= 28, S2149=9), N2149-25,AND(N2149&lt;= 30, S2149=9), N2149-28,AND(N2149&lt;= 11, S2149=10), N2149+2,AND(N2149&lt;= 21, S2149=10), N2149-11)</f>
        <v>3</v>
      </c>
    </row>
    <row r="2150" spans="1:22" x14ac:dyDescent="0.35">
      <c r="A2150" s="4">
        <v>45566</v>
      </c>
      <c r="B2150" s="5">
        <v>0.66387731481481482</v>
      </c>
      <c r="C2150">
        <v>74.900000000000006</v>
      </c>
      <c r="D2150">
        <v>74.2</v>
      </c>
      <c r="E2150">
        <v>73.599999999999994</v>
      </c>
      <c r="F2150">
        <v>71.5</v>
      </c>
      <c r="G2150">
        <v>0</v>
      </c>
      <c r="H2150">
        <v>0</v>
      </c>
      <c r="I2150">
        <v>0</v>
      </c>
      <c r="J2150">
        <v>0</v>
      </c>
      <c r="K2150">
        <v>64.099999999999994</v>
      </c>
      <c r="L2150">
        <v>63.6</v>
      </c>
      <c r="M2150">
        <v>73.650000000000006</v>
      </c>
      <c r="N2150">
        <v>1</v>
      </c>
      <c r="O2150">
        <v>7</v>
      </c>
      <c r="P2150">
        <f>MOD(DAY(datos_siembra[[#This Row],[Date]]),7)</f>
        <v>1</v>
      </c>
      <c r="Q2150" t="str">
        <f>CHOOSE(WEEKDAY(datos_siembra[[#This Row],[Date]],2),"L","M","X","J","V","S","D")</f>
        <v>M</v>
      </c>
      <c r="R2150">
        <f>WEEKNUM(datos_siembra[[#This Row],[Date]],2)-WEEKNUM(DATE(YEAR(datos_siembra[[#This Row],[Date]]),MONTH(datos_siembra[[#This Row],[Date]]),1))+1</f>
        <v>1</v>
      </c>
      <c r="S2150">
        <f>MONTH(datos_siembra[[#This Row],[Date]])</f>
        <v>10</v>
      </c>
      <c r="T2150" t="str" cm="1">
        <f t="array" ref="T2150">_xlfn.IFS(AND(N2150&lt;= 22, S2150=9), "SOWING",AND(N2150&lt;= 28, S2150=9), "COVERAGE",AND(N2150&lt;= 30, S2150=9), "FLUSH",AND(N2150&lt;= 11, S2150=10), "FLUSH",AND(N2150&lt;= 21, S2150=10), "PRODUCTION")</f>
        <v>FLUSH</v>
      </c>
      <c r="U2150">
        <f>HOUR(datos_siembra[[#This Row],[Hour]])</f>
        <v>15</v>
      </c>
      <c r="V2150" cm="1">
        <f t="array" ref="V2150">_xlfn.IFS(AND(N2150&lt;= 22, S2150=9), N2150-7,AND(N2150&lt;= 28, S2150=9), N2150-25,AND(N2150&lt;= 30, S2150=9), N2150-28,AND(N2150&lt;= 11, S2150=10), N2150+2,AND(N2150&lt;= 21, S2150=10), N2150-11)</f>
        <v>3</v>
      </c>
    </row>
    <row r="2151" spans="1:22" x14ac:dyDescent="0.35">
      <c r="A2151" s="4">
        <v>45566</v>
      </c>
      <c r="B2151" s="5">
        <v>0.67082175925925924</v>
      </c>
      <c r="C2151">
        <v>75.099999999999994</v>
      </c>
      <c r="D2151">
        <v>74.400000000000006</v>
      </c>
      <c r="E2151">
        <v>73.5</v>
      </c>
      <c r="F2151">
        <v>71.400000000000006</v>
      </c>
      <c r="G2151">
        <v>0</v>
      </c>
      <c r="H2151">
        <v>0</v>
      </c>
      <c r="I2151">
        <v>0</v>
      </c>
      <c r="J2151">
        <v>0</v>
      </c>
      <c r="K2151">
        <v>64.400000000000006</v>
      </c>
      <c r="L2151">
        <v>64.2</v>
      </c>
      <c r="M2151">
        <v>73.599999999999994</v>
      </c>
      <c r="N2151">
        <v>1</v>
      </c>
      <c r="O2151">
        <v>7</v>
      </c>
      <c r="P2151">
        <f>MOD(DAY(datos_siembra[[#This Row],[Date]]),7)</f>
        <v>1</v>
      </c>
      <c r="Q2151" t="str">
        <f>CHOOSE(WEEKDAY(datos_siembra[[#This Row],[Date]],2),"L","M","X","J","V","S","D")</f>
        <v>M</v>
      </c>
      <c r="R2151">
        <f>WEEKNUM(datos_siembra[[#This Row],[Date]],2)-WEEKNUM(DATE(YEAR(datos_siembra[[#This Row],[Date]]),MONTH(datos_siembra[[#This Row],[Date]]),1))+1</f>
        <v>1</v>
      </c>
      <c r="S2151">
        <f>MONTH(datos_siembra[[#This Row],[Date]])</f>
        <v>10</v>
      </c>
      <c r="T2151" t="str" cm="1">
        <f t="array" ref="T2151">_xlfn.IFS(AND(N2151&lt;= 22, S2151=9), "SOWING",AND(N2151&lt;= 28, S2151=9), "COVERAGE",AND(N2151&lt;= 30, S2151=9), "FLUSH",AND(N2151&lt;= 11, S2151=10), "FLUSH",AND(N2151&lt;= 21, S2151=10), "PRODUCTION")</f>
        <v>FLUSH</v>
      </c>
      <c r="U2151">
        <f>HOUR(datos_siembra[[#This Row],[Hour]])</f>
        <v>16</v>
      </c>
      <c r="V2151" cm="1">
        <f t="array" ref="V2151">_xlfn.IFS(AND(N2151&lt;= 22, S2151=9), N2151-7,AND(N2151&lt;= 28, S2151=9), N2151-25,AND(N2151&lt;= 30, S2151=9), N2151-28,AND(N2151&lt;= 11, S2151=10), N2151+2,AND(N2151&lt;= 21, S2151=10), N2151-11)</f>
        <v>3</v>
      </c>
    </row>
    <row r="2152" spans="1:22" x14ac:dyDescent="0.35">
      <c r="A2152" s="4">
        <v>45566</v>
      </c>
      <c r="B2152" s="5">
        <v>0.67777777777777781</v>
      </c>
      <c r="C2152">
        <v>75</v>
      </c>
      <c r="D2152">
        <v>74.400000000000006</v>
      </c>
      <c r="E2152">
        <v>73.5</v>
      </c>
      <c r="F2152">
        <v>71.400000000000006</v>
      </c>
      <c r="G2152">
        <v>0</v>
      </c>
      <c r="H2152">
        <v>0</v>
      </c>
      <c r="I2152">
        <v>0</v>
      </c>
      <c r="J2152">
        <v>0</v>
      </c>
      <c r="K2152">
        <v>65</v>
      </c>
      <c r="L2152">
        <v>64.900000000000006</v>
      </c>
      <c r="M2152">
        <v>73.540000000000006</v>
      </c>
      <c r="N2152">
        <v>1</v>
      </c>
      <c r="O2152">
        <v>7</v>
      </c>
      <c r="P2152">
        <f>MOD(DAY(datos_siembra[[#This Row],[Date]]),7)</f>
        <v>1</v>
      </c>
      <c r="Q2152" t="str">
        <f>CHOOSE(WEEKDAY(datos_siembra[[#This Row],[Date]],2),"L","M","X","J","V","S","D")</f>
        <v>M</v>
      </c>
      <c r="R2152">
        <f>WEEKNUM(datos_siembra[[#This Row],[Date]],2)-WEEKNUM(DATE(YEAR(datos_siembra[[#This Row],[Date]]),MONTH(datos_siembra[[#This Row],[Date]]),1))+1</f>
        <v>1</v>
      </c>
      <c r="S2152">
        <f>MONTH(datos_siembra[[#This Row],[Date]])</f>
        <v>10</v>
      </c>
      <c r="T2152" t="str" cm="1">
        <f t="array" ref="T2152">_xlfn.IFS(AND(N2152&lt;= 22, S2152=9), "SOWING",AND(N2152&lt;= 28, S2152=9), "COVERAGE",AND(N2152&lt;= 30, S2152=9), "FLUSH",AND(N2152&lt;= 11, S2152=10), "FLUSH",AND(N2152&lt;= 21, S2152=10), "PRODUCTION")</f>
        <v>FLUSH</v>
      </c>
      <c r="U2152">
        <f>HOUR(datos_siembra[[#This Row],[Hour]])</f>
        <v>16</v>
      </c>
      <c r="V2152" cm="1">
        <f t="array" ref="V2152">_xlfn.IFS(AND(N2152&lt;= 22, S2152=9), N2152-7,AND(N2152&lt;= 28, S2152=9), N2152-25,AND(N2152&lt;= 30, S2152=9), N2152-28,AND(N2152&lt;= 11, S2152=10), N2152+2,AND(N2152&lt;= 21, S2152=10), N2152-11)</f>
        <v>3</v>
      </c>
    </row>
    <row r="2153" spans="1:22" x14ac:dyDescent="0.35">
      <c r="A2153" s="4">
        <v>45566</v>
      </c>
      <c r="B2153" s="5">
        <v>0.68472222222222223</v>
      </c>
      <c r="C2153">
        <v>75</v>
      </c>
      <c r="D2153">
        <v>74.3</v>
      </c>
      <c r="E2153">
        <v>73.400000000000006</v>
      </c>
      <c r="F2153">
        <v>71.400000000000006</v>
      </c>
      <c r="G2153">
        <v>0</v>
      </c>
      <c r="H2153">
        <v>0</v>
      </c>
      <c r="I2153">
        <v>0</v>
      </c>
      <c r="J2153">
        <v>0</v>
      </c>
      <c r="K2153">
        <v>65.3</v>
      </c>
      <c r="L2153">
        <v>65.2</v>
      </c>
      <c r="M2153">
        <v>73.569999999999993</v>
      </c>
      <c r="N2153">
        <v>1</v>
      </c>
      <c r="O2153">
        <v>7</v>
      </c>
      <c r="P2153">
        <f>MOD(DAY(datos_siembra[[#This Row],[Date]]),7)</f>
        <v>1</v>
      </c>
      <c r="Q2153" t="str">
        <f>CHOOSE(WEEKDAY(datos_siembra[[#This Row],[Date]],2),"L","M","X","J","V","S","D")</f>
        <v>M</v>
      </c>
      <c r="R2153">
        <f>WEEKNUM(datos_siembra[[#This Row],[Date]],2)-WEEKNUM(DATE(YEAR(datos_siembra[[#This Row],[Date]]),MONTH(datos_siembra[[#This Row],[Date]]),1))+1</f>
        <v>1</v>
      </c>
      <c r="S2153">
        <f>MONTH(datos_siembra[[#This Row],[Date]])</f>
        <v>10</v>
      </c>
      <c r="T2153" t="str" cm="1">
        <f t="array" ref="T2153">_xlfn.IFS(AND(N2153&lt;= 22, S2153=9), "SOWING",AND(N2153&lt;= 28, S2153=9), "COVERAGE",AND(N2153&lt;= 30, S2153=9), "FLUSH",AND(N2153&lt;= 11, S2153=10), "FLUSH",AND(N2153&lt;= 21, S2153=10), "PRODUCTION")</f>
        <v>FLUSH</v>
      </c>
      <c r="U2153">
        <f>HOUR(datos_siembra[[#This Row],[Hour]])</f>
        <v>16</v>
      </c>
      <c r="V2153" cm="1">
        <f t="array" ref="V2153">_xlfn.IFS(AND(N2153&lt;= 22, S2153=9), N2153-7,AND(N2153&lt;= 28, S2153=9), N2153-25,AND(N2153&lt;= 30, S2153=9), N2153-28,AND(N2153&lt;= 11, S2153=10), N2153+2,AND(N2153&lt;= 21, S2153=10), N2153-11)</f>
        <v>3</v>
      </c>
    </row>
    <row r="2154" spans="1:22" x14ac:dyDescent="0.35">
      <c r="A2154" s="4">
        <v>45566</v>
      </c>
      <c r="B2154" s="5">
        <v>0.69166666666666665</v>
      </c>
      <c r="C2154">
        <v>75.099999999999994</v>
      </c>
      <c r="D2154">
        <v>74.2</v>
      </c>
      <c r="E2154">
        <v>73.5</v>
      </c>
      <c r="F2154">
        <v>71.3</v>
      </c>
      <c r="G2154">
        <v>0</v>
      </c>
      <c r="H2154">
        <v>0</v>
      </c>
      <c r="I2154">
        <v>0</v>
      </c>
      <c r="J2154">
        <v>0</v>
      </c>
      <c r="K2154">
        <v>65.5</v>
      </c>
      <c r="L2154">
        <v>65.400000000000006</v>
      </c>
      <c r="M2154">
        <v>73.540000000000006</v>
      </c>
      <c r="N2154">
        <v>1</v>
      </c>
      <c r="O2154">
        <v>7</v>
      </c>
      <c r="P2154">
        <f>MOD(DAY(datos_siembra[[#This Row],[Date]]),7)</f>
        <v>1</v>
      </c>
      <c r="Q2154" t="str">
        <f>CHOOSE(WEEKDAY(datos_siembra[[#This Row],[Date]],2),"L","M","X","J","V","S","D")</f>
        <v>M</v>
      </c>
      <c r="R2154">
        <f>WEEKNUM(datos_siembra[[#This Row],[Date]],2)-WEEKNUM(DATE(YEAR(datos_siembra[[#This Row],[Date]]),MONTH(datos_siembra[[#This Row],[Date]]),1))+1</f>
        <v>1</v>
      </c>
      <c r="S2154">
        <f>MONTH(datos_siembra[[#This Row],[Date]])</f>
        <v>10</v>
      </c>
      <c r="T2154" t="str" cm="1">
        <f t="array" ref="T2154">_xlfn.IFS(AND(N2154&lt;= 22, S2154=9), "SOWING",AND(N2154&lt;= 28, S2154=9), "COVERAGE",AND(N2154&lt;= 30, S2154=9), "FLUSH",AND(N2154&lt;= 11, S2154=10), "FLUSH",AND(N2154&lt;= 21, S2154=10), "PRODUCTION")</f>
        <v>FLUSH</v>
      </c>
      <c r="U2154">
        <f>HOUR(datos_siembra[[#This Row],[Hour]])</f>
        <v>16</v>
      </c>
      <c r="V2154" cm="1">
        <f t="array" ref="V2154">_xlfn.IFS(AND(N2154&lt;= 22, S2154=9), N2154-7,AND(N2154&lt;= 28, S2154=9), N2154-25,AND(N2154&lt;= 30, S2154=9), N2154-28,AND(N2154&lt;= 11, S2154=10), N2154+2,AND(N2154&lt;= 21, S2154=10), N2154-11)</f>
        <v>3</v>
      </c>
    </row>
    <row r="2155" spans="1:22" x14ac:dyDescent="0.35">
      <c r="A2155" s="4">
        <v>45566</v>
      </c>
      <c r="B2155" s="5">
        <v>0.69862268518518522</v>
      </c>
      <c r="C2155">
        <v>74.900000000000006</v>
      </c>
      <c r="D2155">
        <v>74.2</v>
      </c>
      <c r="E2155">
        <v>73.599999999999994</v>
      </c>
      <c r="F2155">
        <v>71.099999999999994</v>
      </c>
      <c r="G2155">
        <v>0</v>
      </c>
      <c r="H2155">
        <v>0</v>
      </c>
      <c r="I2155">
        <v>0</v>
      </c>
      <c r="J2155">
        <v>0</v>
      </c>
      <c r="K2155">
        <v>65.8</v>
      </c>
      <c r="L2155">
        <v>65.599999999999994</v>
      </c>
      <c r="M2155">
        <v>73.459999999999994</v>
      </c>
      <c r="N2155">
        <v>1</v>
      </c>
      <c r="O2155">
        <v>7</v>
      </c>
      <c r="P2155">
        <f>MOD(DAY(datos_siembra[[#This Row],[Date]]),7)</f>
        <v>1</v>
      </c>
      <c r="Q2155" t="str">
        <f>CHOOSE(WEEKDAY(datos_siembra[[#This Row],[Date]],2),"L","M","X","J","V","S","D")</f>
        <v>M</v>
      </c>
      <c r="R2155">
        <f>WEEKNUM(datos_siembra[[#This Row],[Date]],2)-WEEKNUM(DATE(YEAR(datos_siembra[[#This Row],[Date]]),MONTH(datos_siembra[[#This Row],[Date]]),1))+1</f>
        <v>1</v>
      </c>
      <c r="S2155">
        <f>MONTH(datos_siembra[[#This Row],[Date]])</f>
        <v>10</v>
      </c>
      <c r="T2155" t="str" cm="1">
        <f t="array" ref="T2155">_xlfn.IFS(AND(N2155&lt;= 22, S2155=9), "SOWING",AND(N2155&lt;= 28, S2155=9), "COVERAGE",AND(N2155&lt;= 30, S2155=9), "FLUSH",AND(N2155&lt;= 11, S2155=10), "FLUSH",AND(N2155&lt;= 21, S2155=10), "PRODUCTION")</f>
        <v>FLUSH</v>
      </c>
      <c r="U2155">
        <f>HOUR(datos_siembra[[#This Row],[Hour]])</f>
        <v>16</v>
      </c>
      <c r="V2155" cm="1">
        <f t="array" ref="V2155">_xlfn.IFS(AND(N2155&lt;= 22, S2155=9), N2155-7,AND(N2155&lt;= 28, S2155=9), N2155-25,AND(N2155&lt;= 30, S2155=9), N2155-28,AND(N2155&lt;= 11, S2155=10), N2155+2,AND(N2155&lt;= 21, S2155=10), N2155-11)</f>
        <v>3</v>
      </c>
    </row>
    <row r="2156" spans="1:22" x14ac:dyDescent="0.35">
      <c r="A2156" s="4">
        <v>45566</v>
      </c>
      <c r="B2156" s="5">
        <v>0.70556712962962964</v>
      </c>
      <c r="C2156">
        <v>74.900000000000006</v>
      </c>
      <c r="D2156">
        <v>74.3</v>
      </c>
      <c r="E2156">
        <v>73.400000000000006</v>
      </c>
      <c r="F2156">
        <v>71.400000000000006</v>
      </c>
      <c r="G2156">
        <v>0</v>
      </c>
      <c r="H2156">
        <v>0</v>
      </c>
      <c r="I2156">
        <v>0</v>
      </c>
      <c r="J2156">
        <v>0</v>
      </c>
      <c r="K2156">
        <v>66</v>
      </c>
      <c r="L2156">
        <v>66</v>
      </c>
      <c r="M2156">
        <v>73.48</v>
      </c>
      <c r="N2156">
        <v>1</v>
      </c>
      <c r="O2156">
        <v>7</v>
      </c>
      <c r="P2156">
        <f>MOD(DAY(datos_siembra[[#This Row],[Date]]),7)</f>
        <v>1</v>
      </c>
      <c r="Q2156" t="str">
        <f>CHOOSE(WEEKDAY(datos_siembra[[#This Row],[Date]],2),"L","M","X","J","V","S","D")</f>
        <v>M</v>
      </c>
      <c r="R2156">
        <f>WEEKNUM(datos_siembra[[#This Row],[Date]],2)-WEEKNUM(DATE(YEAR(datos_siembra[[#This Row],[Date]]),MONTH(datos_siembra[[#This Row],[Date]]),1))+1</f>
        <v>1</v>
      </c>
      <c r="S2156">
        <f>MONTH(datos_siembra[[#This Row],[Date]])</f>
        <v>10</v>
      </c>
      <c r="T2156" t="str" cm="1">
        <f t="array" ref="T2156">_xlfn.IFS(AND(N2156&lt;= 22, S2156=9), "SOWING",AND(N2156&lt;= 28, S2156=9), "COVERAGE",AND(N2156&lt;= 30, S2156=9), "FLUSH",AND(N2156&lt;= 11, S2156=10), "FLUSH",AND(N2156&lt;= 21, S2156=10), "PRODUCTION")</f>
        <v>FLUSH</v>
      </c>
      <c r="U2156">
        <f>HOUR(datos_siembra[[#This Row],[Hour]])</f>
        <v>16</v>
      </c>
      <c r="V2156" cm="1">
        <f t="array" ref="V2156">_xlfn.IFS(AND(N2156&lt;= 22, S2156=9), N2156-7,AND(N2156&lt;= 28, S2156=9), N2156-25,AND(N2156&lt;= 30, S2156=9), N2156-28,AND(N2156&lt;= 11, S2156=10), N2156+2,AND(N2156&lt;= 21, S2156=10), N2156-11)</f>
        <v>3</v>
      </c>
    </row>
    <row r="2157" spans="1:22" x14ac:dyDescent="0.35">
      <c r="A2157" s="4">
        <v>45566</v>
      </c>
      <c r="B2157" s="5">
        <v>0.71251157407407406</v>
      </c>
      <c r="C2157">
        <v>75</v>
      </c>
      <c r="D2157">
        <v>74.099999999999994</v>
      </c>
      <c r="E2157">
        <v>73.5</v>
      </c>
      <c r="F2157">
        <v>71.099999999999994</v>
      </c>
      <c r="G2157">
        <v>0</v>
      </c>
      <c r="H2157">
        <v>0</v>
      </c>
      <c r="I2157">
        <v>0</v>
      </c>
      <c r="J2157">
        <v>0</v>
      </c>
      <c r="K2157">
        <v>65.099999999999994</v>
      </c>
      <c r="L2157">
        <v>64.599999999999994</v>
      </c>
      <c r="M2157">
        <v>73.459999999999994</v>
      </c>
      <c r="N2157">
        <v>1</v>
      </c>
      <c r="O2157">
        <v>7</v>
      </c>
      <c r="P2157">
        <f>MOD(DAY(datos_siembra[[#This Row],[Date]]),7)</f>
        <v>1</v>
      </c>
      <c r="Q2157" t="str">
        <f>CHOOSE(WEEKDAY(datos_siembra[[#This Row],[Date]],2),"L","M","X","J","V","S","D")</f>
        <v>M</v>
      </c>
      <c r="R2157">
        <f>WEEKNUM(datos_siembra[[#This Row],[Date]],2)-WEEKNUM(DATE(YEAR(datos_siembra[[#This Row],[Date]]),MONTH(datos_siembra[[#This Row],[Date]]),1))+1</f>
        <v>1</v>
      </c>
      <c r="S2157">
        <f>MONTH(datos_siembra[[#This Row],[Date]])</f>
        <v>10</v>
      </c>
      <c r="T2157" t="str" cm="1">
        <f t="array" ref="T2157">_xlfn.IFS(AND(N2157&lt;= 22, S2157=9), "SOWING",AND(N2157&lt;= 28, S2157=9), "COVERAGE",AND(N2157&lt;= 30, S2157=9), "FLUSH",AND(N2157&lt;= 11, S2157=10), "FLUSH",AND(N2157&lt;= 21, S2157=10), "PRODUCTION")</f>
        <v>FLUSH</v>
      </c>
      <c r="U2157">
        <f>HOUR(datos_siembra[[#This Row],[Hour]])</f>
        <v>17</v>
      </c>
      <c r="V2157" cm="1">
        <f t="array" ref="V2157">_xlfn.IFS(AND(N2157&lt;= 22, S2157=9), N2157-7,AND(N2157&lt;= 28, S2157=9), N2157-25,AND(N2157&lt;= 30, S2157=9), N2157-28,AND(N2157&lt;= 11, S2157=10), N2157+2,AND(N2157&lt;= 21, S2157=10), N2157-11)</f>
        <v>3</v>
      </c>
    </row>
    <row r="2158" spans="1:22" x14ac:dyDescent="0.35">
      <c r="A2158" s="4">
        <v>45566</v>
      </c>
      <c r="B2158" s="5">
        <v>0.71945601851851848</v>
      </c>
      <c r="C2158">
        <v>74.900000000000006</v>
      </c>
      <c r="D2158">
        <v>74.2</v>
      </c>
      <c r="E2158">
        <v>73.400000000000006</v>
      </c>
      <c r="F2158">
        <v>71.3</v>
      </c>
      <c r="G2158">
        <v>0</v>
      </c>
      <c r="H2158">
        <v>0</v>
      </c>
      <c r="I2158">
        <v>0</v>
      </c>
      <c r="J2158">
        <v>0</v>
      </c>
      <c r="K2158">
        <v>64.599999999999994</v>
      </c>
      <c r="L2158">
        <v>64.2</v>
      </c>
      <c r="M2158">
        <v>73.430000000000007</v>
      </c>
      <c r="N2158">
        <v>1</v>
      </c>
      <c r="O2158">
        <v>7</v>
      </c>
      <c r="P2158">
        <f>MOD(DAY(datos_siembra[[#This Row],[Date]]),7)</f>
        <v>1</v>
      </c>
      <c r="Q2158" t="str">
        <f>CHOOSE(WEEKDAY(datos_siembra[[#This Row],[Date]],2),"L","M","X","J","V","S","D")</f>
        <v>M</v>
      </c>
      <c r="R2158">
        <f>WEEKNUM(datos_siembra[[#This Row],[Date]],2)-WEEKNUM(DATE(YEAR(datos_siembra[[#This Row],[Date]]),MONTH(datos_siembra[[#This Row],[Date]]),1))+1</f>
        <v>1</v>
      </c>
      <c r="S2158">
        <f>MONTH(datos_siembra[[#This Row],[Date]])</f>
        <v>10</v>
      </c>
      <c r="T2158" t="str" cm="1">
        <f t="array" ref="T2158">_xlfn.IFS(AND(N2158&lt;= 22, S2158=9), "SOWING",AND(N2158&lt;= 28, S2158=9), "COVERAGE",AND(N2158&lt;= 30, S2158=9), "FLUSH",AND(N2158&lt;= 11, S2158=10), "FLUSH",AND(N2158&lt;= 21, S2158=10), "PRODUCTION")</f>
        <v>FLUSH</v>
      </c>
      <c r="U2158">
        <f>HOUR(datos_siembra[[#This Row],[Hour]])</f>
        <v>17</v>
      </c>
      <c r="V2158" cm="1">
        <f t="array" ref="V2158">_xlfn.IFS(AND(N2158&lt;= 22, S2158=9), N2158-7,AND(N2158&lt;= 28, S2158=9), N2158-25,AND(N2158&lt;= 30, S2158=9), N2158-28,AND(N2158&lt;= 11, S2158=10), N2158+2,AND(N2158&lt;= 21, S2158=10), N2158-11)</f>
        <v>3</v>
      </c>
    </row>
    <row r="2159" spans="1:22" x14ac:dyDescent="0.35">
      <c r="A2159" s="4">
        <v>45566</v>
      </c>
      <c r="B2159" s="5">
        <v>0.72641203703703705</v>
      </c>
      <c r="C2159">
        <v>74.8</v>
      </c>
      <c r="D2159">
        <v>74.099999999999994</v>
      </c>
      <c r="E2159">
        <v>73.3</v>
      </c>
      <c r="F2159">
        <v>71.099999999999994</v>
      </c>
      <c r="G2159">
        <v>0</v>
      </c>
      <c r="H2159">
        <v>0</v>
      </c>
      <c r="I2159">
        <v>0</v>
      </c>
      <c r="J2159">
        <v>0</v>
      </c>
      <c r="K2159">
        <v>64.400000000000006</v>
      </c>
      <c r="L2159">
        <v>63.9</v>
      </c>
      <c r="M2159">
        <v>73.37</v>
      </c>
      <c r="N2159">
        <v>1</v>
      </c>
      <c r="O2159">
        <v>7</v>
      </c>
      <c r="P2159">
        <f>MOD(DAY(datos_siembra[[#This Row],[Date]]),7)</f>
        <v>1</v>
      </c>
      <c r="Q2159" t="str">
        <f>CHOOSE(WEEKDAY(datos_siembra[[#This Row],[Date]],2),"L","M","X","J","V","S","D")</f>
        <v>M</v>
      </c>
      <c r="R2159">
        <f>WEEKNUM(datos_siembra[[#This Row],[Date]],2)-WEEKNUM(DATE(YEAR(datos_siembra[[#This Row],[Date]]),MONTH(datos_siembra[[#This Row],[Date]]),1))+1</f>
        <v>1</v>
      </c>
      <c r="S2159">
        <f>MONTH(datos_siembra[[#This Row],[Date]])</f>
        <v>10</v>
      </c>
      <c r="T2159" t="str" cm="1">
        <f t="array" ref="T2159">_xlfn.IFS(AND(N2159&lt;= 22, S2159=9), "SOWING",AND(N2159&lt;= 28, S2159=9), "COVERAGE",AND(N2159&lt;= 30, S2159=9), "FLUSH",AND(N2159&lt;= 11, S2159=10), "FLUSH",AND(N2159&lt;= 21, S2159=10), "PRODUCTION")</f>
        <v>FLUSH</v>
      </c>
      <c r="U2159">
        <f>HOUR(datos_siembra[[#This Row],[Hour]])</f>
        <v>17</v>
      </c>
      <c r="V2159" cm="1">
        <f t="array" ref="V2159">_xlfn.IFS(AND(N2159&lt;= 22, S2159=9), N2159-7,AND(N2159&lt;= 28, S2159=9), N2159-25,AND(N2159&lt;= 30, S2159=9), N2159-28,AND(N2159&lt;= 11, S2159=10), N2159+2,AND(N2159&lt;= 21, S2159=10), N2159-11)</f>
        <v>3</v>
      </c>
    </row>
    <row r="2160" spans="1:22" x14ac:dyDescent="0.35">
      <c r="A2160" s="4">
        <v>45566</v>
      </c>
      <c r="B2160" s="5">
        <v>0.73335648148148147</v>
      </c>
      <c r="C2160">
        <v>74.8</v>
      </c>
      <c r="D2160">
        <v>74</v>
      </c>
      <c r="E2160">
        <v>73.5</v>
      </c>
      <c r="F2160">
        <v>71.3</v>
      </c>
      <c r="G2160">
        <v>0</v>
      </c>
      <c r="H2160">
        <v>0</v>
      </c>
      <c r="I2160">
        <v>0</v>
      </c>
      <c r="J2160">
        <v>0</v>
      </c>
      <c r="K2160">
        <v>64.2</v>
      </c>
      <c r="L2160">
        <v>63.7</v>
      </c>
      <c r="M2160">
        <v>73.34</v>
      </c>
      <c r="N2160">
        <v>1</v>
      </c>
      <c r="O2160">
        <v>7</v>
      </c>
      <c r="P2160">
        <f>MOD(DAY(datos_siembra[[#This Row],[Date]]),7)</f>
        <v>1</v>
      </c>
      <c r="Q2160" t="str">
        <f>CHOOSE(WEEKDAY(datos_siembra[[#This Row],[Date]],2),"L","M","X","J","V","S","D")</f>
        <v>M</v>
      </c>
      <c r="R2160">
        <f>WEEKNUM(datos_siembra[[#This Row],[Date]],2)-WEEKNUM(DATE(YEAR(datos_siembra[[#This Row],[Date]]),MONTH(datos_siembra[[#This Row],[Date]]),1))+1</f>
        <v>1</v>
      </c>
      <c r="S2160">
        <f>MONTH(datos_siembra[[#This Row],[Date]])</f>
        <v>10</v>
      </c>
      <c r="T2160" t="str" cm="1">
        <f t="array" ref="T2160">_xlfn.IFS(AND(N2160&lt;= 22, S2160=9), "SOWING",AND(N2160&lt;= 28, S2160=9), "COVERAGE",AND(N2160&lt;= 30, S2160=9), "FLUSH",AND(N2160&lt;= 11, S2160=10), "FLUSH",AND(N2160&lt;= 21, S2160=10), "PRODUCTION")</f>
        <v>FLUSH</v>
      </c>
      <c r="U2160">
        <f>HOUR(datos_siembra[[#This Row],[Hour]])</f>
        <v>17</v>
      </c>
      <c r="V2160" cm="1">
        <f t="array" ref="V2160">_xlfn.IFS(AND(N2160&lt;= 22, S2160=9), N2160-7,AND(N2160&lt;= 28, S2160=9), N2160-25,AND(N2160&lt;= 30, S2160=9), N2160-28,AND(N2160&lt;= 11, S2160=10), N2160+2,AND(N2160&lt;= 21, S2160=10), N2160-11)</f>
        <v>3</v>
      </c>
    </row>
    <row r="2161" spans="1:22" x14ac:dyDescent="0.35">
      <c r="A2161" s="4">
        <v>45566</v>
      </c>
      <c r="B2161" s="5">
        <v>0.74030092592592589</v>
      </c>
      <c r="C2161">
        <v>74.8</v>
      </c>
      <c r="D2161">
        <v>74.099999999999994</v>
      </c>
      <c r="E2161">
        <v>73.3</v>
      </c>
      <c r="F2161">
        <v>71.099999999999994</v>
      </c>
      <c r="G2161">
        <v>0</v>
      </c>
      <c r="H2161">
        <v>0</v>
      </c>
      <c r="I2161">
        <v>0</v>
      </c>
      <c r="J2161">
        <v>0</v>
      </c>
      <c r="K2161">
        <v>64.099999999999994</v>
      </c>
      <c r="L2161">
        <v>63.6</v>
      </c>
      <c r="M2161">
        <v>73.37</v>
      </c>
      <c r="N2161">
        <v>1</v>
      </c>
      <c r="O2161">
        <v>7</v>
      </c>
      <c r="P2161">
        <f>MOD(DAY(datos_siembra[[#This Row],[Date]]),7)</f>
        <v>1</v>
      </c>
      <c r="Q2161" t="str">
        <f>CHOOSE(WEEKDAY(datos_siembra[[#This Row],[Date]],2),"L","M","X","J","V","S","D")</f>
        <v>M</v>
      </c>
      <c r="R2161">
        <f>WEEKNUM(datos_siembra[[#This Row],[Date]],2)-WEEKNUM(DATE(YEAR(datos_siembra[[#This Row],[Date]]),MONTH(datos_siembra[[#This Row],[Date]]),1))+1</f>
        <v>1</v>
      </c>
      <c r="S2161">
        <f>MONTH(datos_siembra[[#This Row],[Date]])</f>
        <v>10</v>
      </c>
      <c r="T2161" t="str" cm="1">
        <f t="array" ref="T2161">_xlfn.IFS(AND(N2161&lt;= 22, S2161=9), "SOWING",AND(N2161&lt;= 28, S2161=9), "COVERAGE",AND(N2161&lt;= 30, S2161=9), "FLUSH",AND(N2161&lt;= 11, S2161=10), "FLUSH",AND(N2161&lt;= 21, S2161=10), "PRODUCTION")</f>
        <v>FLUSH</v>
      </c>
      <c r="U2161">
        <f>HOUR(datos_siembra[[#This Row],[Hour]])</f>
        <v>17</v>
      </c>
      <c r="V2161" cm="1">
        <f t="array" ref="V2161">_xlfn.IFS(AND(N2161&lt;= 22, S2161=9), N2161-7,AND(N2161&lt;= 28, S2161=9), N2161-25,AND(N2161&lt;= 30, S2161=9), N2161-28,AND(N2161&lt;= 11, S2161=10), N2161+2,AND(N2161&lt;= 21, S2161=10), N2161-11)</f>
        <v>3</v>
      </c>
    </row>
    <row r="2162" spans="1:22" x14ac:dyDescent="0.35">
      <c r="A2162" s="4">
        <v>45566</v>
      </c>
      <c r="B2162" s="5">
        <v>0.74725694444444446</v>
      </c>
      <c r="C2162">
        <v>74.8</v>
      </c>
      <c r="D2162">
        <v>74</v>
      </c>
      <c r="E2162">
        <v>73.3</v>
      </c>
      <c r="F2162">
        <v>71</v>
      </c>
      <c r="G2162">
        <v>0</v>
      </c>
      <c r="H2162">
        <v>0</v>
      </c>
      <c r="I2162">
        <v>0</v>
      </c>
      <c r="J2162">
        <v>0</v>
      </c>
      <c r="K2162">
        <v>63.9</v>
      </c>
      <c r="L2162">
        <v>63.5</v>
      </c>
      <c r="M2162">
        <v>73.23</v>
      </c>
      <c r="N2162">
        <v>1</v>
      </c>
      <c r="O2162">
        <v>7</v>
      </c>
      <c r="P2162">
        <f>MOD(DAY(datos_siembra[[#This Row],[Date]]),7)</f>
        <v>1</v>
      </c>
      <c r="Q2162" t="str">
        <f>CHOOSE(WEEKDAY(datos_siembra[[#This Row],[Date]],2),"L","M","X","J","V","S","D")</f>
        <v>M</v>
      </c>
      <c r="R2162">
        <f>WEEKNUM(datos_siembra[[#This Row],[Date]],2)-WEEKNUM(DATE(YEAR(datos_siembra[[#This Row],[Date]]),MONTH(datos_siembra[[#This Row],[Date]]),1))+1</f>
        <v>1</v>
      </c>
      <c r="S2162">
        <f>MONTH(datos_siembra[[#This Row],[Date]])</f>
        <v>10</v>
      </c>
      <c r="T2162" t="str" cm="1">
        <f t="array" ref="T2162">_xlfn.IFS(AND(N2162&lt;= 22, S2162=9), "SOWING",AND(N2162&lt;= 28, S2162=9), "COVERAGE",AND(N2162&lt;= 30, S2162=9), "FLUSH",AND(N2162&lt;= 11, S2162=10), "FLUSH",AND(N2162&lt;= 21, S2162=10), "PRODUCTION")</f>
        <v>FLUSH</v>
      </c>
      <c r="U2162">
        <f>HOUR(datos_siembra[[#This Row],[Hour]])</f>
        <v>17</v>
      </c>
      <c r="V2162" cm="1">
        <f t="array" ref="V2162">_xlfn.IFS(AND(N2162&lt;= 22, S2162=9), N2162-7,AND(N2162&lt;= 28, S2162=9), N2162-25,AND(N2162&lt;= 30, S2162=9), N2162-28,AND(N2162&lt;= 11, S2162=10), N2162+2,AND(N2162&lt;= 21, S2162=10), N2162-11)</f>
        <v>3</v>
      </c>
    </row>
    <row r="2163" spans="1:22" x14ac:dyDescent="0.35">
      <c r="A2163" s="4">
        <v>45566</v>
      </c>
      <c r="B2163" s="5">
        <v>0.75420138888888888</v>
      </c>
      <c r="C2163">
        <v>74.8</v>
      </c>
      <c r="D2163">
        <v>74</v>
      </c>
      <c r="E2163">
        <v>73.3</v>
      </c>
      <c r="F2163">
        <v>71.099999999999994</v>
      </c>
      <c r="G2163">
        <v>0</v>
      </c>
      <c r="H2163">
        <v>0</v>
      </c>
      <c r="I2163">
        <v>0</v>
      </c>
      <c r="J2163">
        <v>0</v>
      </c>
      <c r="K2163">
        <v>64.7</v>
      </c>
      <c r="L2163">
        <v>64.5</v>
      </c>
      <c r="M2163">
        <v>73.23</v>
      </c>
      <c r="N2163">
        <v>1</v>
      </c>
      <c r="O2163">
        <v>7</v>
      </c>
      <c r="P2163">
        <f>MOD(DAY(datos_siembra[[#This Row],[Date]]),7)</f>
        <v>1</v>
      </c>
      <c r="Q2163" t="str">
        <f>CHOOSE(WEEKDAY(datos_siembra[[#This Row],[Date]],2),"L","M","X","J","V","S","D")</f>
        <v>M</v>
      </c>
      <c r="R2163">
        <f>WEEKNUM(datos_siembra[[#This Row],[Date]],2)-WEEKNUM(DATE(YEAR(datos_siembra[[#This Row],[Date]]),MONTH(datos_siembra[[#This Row],[Date]]),1))+1</f>
        <v>1</v>
      </c>
      <c r="S2163">
        <f>MONTH(datos_siembra[[#This Row],[Date]])</f>
        <v>10</v>
      </c>
      <c r="T2163" t="str" cm="1">
        <f t="array" ref="T2163">_xlfn.IFS(AND(N2163&lt;= 22, S2163=9), "SOWING",AND(N2163&lt;= 28, S2163=9), "COVERAGE",AND(N2163&lt;= 30, S2163=9), "FLUSH",AND(N2163&lt;= 11, S2163=10), "FLUSH",AND(N2163&lt;= 21, S2163=10), "PRODUCTION")</f>
        <v>FLUSH</v>
      </c>
      <c r="U2163">
        <f>HOUR(datos_siembra[[#This Row],[Hour]])</f>
        <v>18</v>
      </c>
      <c r="V2163" cm="1">
        <f t="array" ref="V2163">_xlfn.IFS(AND(N2163&lt;= 22, S2163=9), N2163-7,AND(N2163&lt;= 28, S2163=9), N2163-25,AND(N2163&lt;= 30, S2163=9), N2163-28,AND(N2163&lt;= 11, S2163=10), N2163+2,AND(N2163&lt;= 21, S2163=10), N2163-11)</f>
        <v>3</v>
      </c>
    </row>
    <row r="2164" spans="1:22" x14ac:dyDescent="0.35">
      <c r="A2164" s="4">
        <v>45566</v>
      </c>
      <c r="B2164" s="5">
        <v>0.7611458333333333</v>
      </c>
      <c r="C2164">
        <v>74.599999999999994</v>
      </c>
      <c r="D2164">
        <v>73.900000000000006</v>
      </c>
      <c r="E2164">
        <v>73.3</v>
      </c>
      <c r="F2164">
        <v>71.099999999999994</v>
      </c>
      <c r="G2164">
        <v>0</v>
      </c>
      <c r="H2164">
        <v>0</v>
      </c>
      <c r="I2164">
        <v>0</v>
      </c>
      <c r="J2164">
        <v>0</v>
      </c>
      <c r="K2164">
        <v>65.2</v>
      </c>
      <c r="L2164">
        <v>64.900000000000006</v>
      </c>
      <c r="M2164">
        <v>73.260000000000005</v>
      </c>
      <c r="N2164">
        <v>1</v>
      </c>
      <c r="O2164">
        <v>7</v>
      </c>
      <c r="P2164">
        <f>MOD(DAY(datos_siembra[[#This Row],[Date]]),7)</f>
        <v>1</v>
      </c>
      <c r="Q2164" t="str">
        <f>CHOOSE(WEEKDAY(datos_siembra[[#This Row],[Date]],2),"L","M","X","J","V","S","D")</f>
        <v>M</v>
      </c>
      <c r="R2164">
        <f>WEEKNUM(datos_siembra[[#This Row],[Date]],2)-WEEKNUM(DATE(YEAR(datos_siembra[[#This Row],[Date]]),MONTH(datos_siembra[[#This Row],[Date]]),1))+1</f>
        <v>1</v>
      </c>
      <c r="S2164">
        <f>MONTH(datos_siembra[[#This Row],[Date]])</f>
        <v>10</v>
      </c>
      <c r="T2164" t="str" cm="1">
        <f t="array" ref="T2164">_xlfn.IFS(AND(N2164&lt;= 22, S2164=9), "SOWING",AND(N2164&lt;= 28, S2164=9), "COVERAGE",AND(N2164&lt;= 30, S2164=9), "FLUSH",AND(N2164&lt;= 11, S2164=10), "FLUSH",AND(N2164&lt;= 21, S2164=10), "PRODUCTION")</f>
        <v>FLUSH</v>
      </c>
      <c r="U2164">
        <f>HOUR(datos_siembra[[#This Row],[Hour]])</f>
        <v>18</v>
      </c>
      <c r="V2164" cm="1">
        <f t="array" ref="V2164">_xlfn.IFS(AND(N2164&lt;= 22, S2164=9), N2164-7,AND(N2164&lt;= 28, S2164=9), N2164-25,AND(N2164&lt;= 30, S2164=9), N2164-28,AND(N2164&lt;= 11, S2164=10), N2164+2,AND(N2164&lt;= 21, S2164=10), N2164-11)</f>
        <v>3</v>
      </c>
    </row>
    <row r="2165" spans="1:22" x14ac:dyDescent="0.35">
      <c r="A2165" s="4">
        <v>45566</v>
      </c>
      <c r="B2165" s="5">
        <v>0.76809027777777783</v>
      </c>
      <c r="C2165">
        <v>74.599999999999994</v>
      </c>
      <c r="D2165">
        <v>73.900000000000006</v>
      </c>
      <c r="E2165">
        <v>73.400000000000006</v>
      </c>
      <c r="F2165">
        <v>71.099999999999994</v>
      </c>
      <c r="G2165">
        <v>0</v>
      </c>
      <c r="H2165">
        <v>0</v>
      </c>
      <c r="I2165">
        <v>0</v>
      </c>
      <c r="J2165">
        <v>0</v>
      </c>
      <c r="K2165">
        <v>65.3</v>
      </c>
      <c r="L2165">
        <v>65</v>
      </c>
      <c r="M2165">
        <v>73.2</v>
      </c>
      <c r="N2165">
        <v>1</v>
      </c>
      <c r="O2165">
        <v>7</v>
      </c>
      <c r="P2165">
        <f>MOD(DAY(datos_siembra[[#This Row],[Date]]),7)</f>
        <v>1</v>
      </c>
      <c r="Q2165" t="str">
        <f>CHOOSE(WEEKDAY(datos_siembra[[#This Row],[Date]],2),"L","M","X","J","V","S","D")</f>
        <v>M</v>
      </c>
      <c r="R2165">
        <f>WEEKNUM(datos_siembra[[#This Row],[Date]],2)-WEEKNUM(DATE(YEAR(datos_siembra[[#This Row],[Date]]),MONTH(datos_siembra[[#This Row],[Date]]),1))+1</f>
        <v>1</v>
      </c>
      <c r="S2165">
        <f>MONTH(datos_siembra[[#This Row],[Date]])</f>
        <v>10</v>
      </c>
      <c r="T2165" t="str" cm="1">
        <f t="array" ref="T2165">_xlfn.IFS(AND(N2165&lt;= 22, S2165=9), "SOWING",AND(N2165&lt;= 28, S2165=9), "COVERAGE",AND(N2165&lt;= 30, S2165=9), "FLUSH",AND(N2165&lt;= 11, S2165=10), "FLUSH",AND(N2165&lt;= 21, S2165=10), "PRODUCTION")</f>
        <v>FLUSH</v>
      </c>
      <c r="U2165">
        <f>HOUR(datos_siembra[[#This Row],[Hour]])</f>
        <v>18</v>
      </c>
      <c r="V2165" cm="1">
        <f t="array" ref="V2165">_xlfn.IFS(AND(N2165&lt;= 22, S2165=9), N2165-7,AND(N2165&lt;= 28, S2165=9), N2165-25,AND(N2165&lt;= 30, S2165=9), N2165-28,AND(N2165&lt;= 11, S2165=10), N2165+2,AND(N2165&lt;= 21, S2165=10), N2165-11)</f>
        <v>3</v>
      </c>
    </row>
    <row r="2166" spans="1:22" x14ac:dyDescent="0.35">
      <c r="A2166" s="4">
        <v>45566</v>
      </c>
      <c r="B2166" s="5">
        <v>0.77504629629629629</v>
      </c>
      <c r="C2166">
        <v>74.599999999999994</v>
      </c>
      <c r="D2166">
        <v>73.7</v>
      </c>
      <c r="E2166">
        <v>73.3</v>
      </c>
      <c r="F2166">
        <v>71</v>
      </c>
      <c r="G2166">
        <v>0</v>
      </c>
      <c r="H2166">
        <v>0</v>
      </c>
      <c r="I2166">
        <v>0</v>
      </c>
      <c r="J2166">
        <v>0</v>
      </c>
      <c r="K2166">
        <v>65.400000000000006</v>
      </c>
      <c r="L2166">
        <v>65.2</v>
      </c>
      <c r="M2166">
        <v>73.23</v>
      </c>
      <c r="N2166">
        <v>1</v>
      </c>
      <c r="O2166">
        <v>7</v>
      </c>
      <c r="P2166">
        <f>MOD(DAY(datos_siembra[[#This Row],[Date]]),7)</f>
        <v>1</v>
      </c>
      <c r="Q2166" t="str">
        <f>CHOOSE(WEEKDAY(datos_siembra[[#This Row],[Date]],2),"L","M","X","J","V","S","D")</f>
        <v>M</v>
      </c>
      <c r="R2166">
        <f>WEEKNUM(datos_siembra[[#This Row],[Date]],2)-WEEKNUM(DATE(YEAR(datos_siembra[[#This Row],[Date]]),MONTH(datos_siembra[[#This Row],[Date]]),1))+1</f>
        <v>1</v>
      </c>
      <c r="S2166">
        <f>MONTH(datos_siembra[[#This Row],[Date]])</f>
        <v>10</v>
      </c>
      <c r="T2166" t="str" cm="1">
        <f t="array" ref="T2166">_xlfn.IFS(AND(N2166&lt;= 22, S2166=9), "SOWING",AND(N2166&lt;= 28, S2166=9), "COVERAGE",AND(N2166&lt;= 30, S2166=9), "FLUSH",AND(N2166&lt;= 11, S2166=10), "FLUSH",AND(N2166&lt;= 21, S2166=10), "PRODUCTION")</f>
        <v>FLUSH</v>
      </c>
      <c r="U2166">
        <f>HOUR(datos_siembra[[#This Row],[Hour]])</f>
        <v>18</v>
      </c>
      <c r="V2166" cm="1">
        <f t="array" ref="V2166">_xlfn.IFS(AND(N2166&lt;= 22, S2166=9), N2166-7,AND(N2166&lt;= 28, S2166=9), N2166-25,AND(N2166&lt;= 30, S2166=9), N2166-28,AND(N2166&lt;= 11, S2166=10), N2166+2,AND(N2166&lt;= 21, S2166=10), N2166-11)</f>
        <v>3</v>
      </c>
    </row>
    <row r="2167" spans="1:22" x14ac:dyDescent="0.35">
      <c r="A2167" s="4">
        <v>45566</v>
      </c>
      <c r="B2167" s="5">
        <v>0.78199074074074071</v>
      </c>
      <c r="C2167">
        <v>74.599999999999994</v>
      </c>
      <c r="D2167">
        <v>73.7</v>
      </c>
      <c r="E2167">
        <v>73.2</v>
      </c>
      <c r="F2167">
        <v>71</v>
      </c>
      <c r="G2167">
        <v>0</v>
      </c>
      <c r="H2167">
        <v>0</v>
      </c>
      <c r="I2167">
        <v>0</v>
      </c>
      <c r="J2167">
        <v>0</v>
      </c>
      <c r="K2167">
        <v>65.400000000000006</v>
      </c>
      <c r="L2167">
        <v>65.2</v>
      </c>
      <c r="M2167">
        <v>73.150000000000006</v>
      </c>
      <c r="N2167">
        <v>1</v>
      </c>
      <c r="O2167">
        <v>7</v>
      </c>
      <c r="P2167">
        <f>MOD(DAY(datos_siembra[[#This Row],[Date]]),7)</f>
        <v>1</v>
      </c>
      <c r="Q2167" t="str">
        <f>CHOOSE(WEEKDAY(datos_siembra[[#This Row],[Date]],2),"L","M","X","J","V","S","D")</f>
        <v>M</v>
      </c>
      <c r="R2167">
        <f>WEEKNUM(datos_siembra[[#This Row],[Date]],2)-WEEKNUM(DATE(YEAR(datos_siembra[[#This Row],[Date]]),MONTH(datos_siembra[[#This Row],[Date]]),1))+1</f>
        <v>1</v>
      </c>
      <c r="S2167">
        <f>MONTH(datos_siembra[[#This Row],[Date]])</f>
        <v>10</v>
      </c>
      <c r="T2167" t="str" cm="1">
        <f t="array" ref="T2167">_xlfn.IFS(AND(N2167&lt;= 22, S2167=9), "SOWING",AND(N2167&lt;= 28, S2167=9), "COVERAGE",AND(N2167&lt;= 30, S2167=9), "FLUSH",AND(N2167&lt;= 11, S2167=10), "FLUSH",AND(N2167&lt;= 21, S2167=10), "PRODUCTION")</f>
        <v>FLUSH</v>
      </c>
      <c r="U2167">
        <f>HOUR(datos_siembra[[#This Row],[Hour]])</f>
        <v>18</v>
      </c>
      <c r="V2167" cm="1">
        <f t="array" ref="V2167">_xlfn.IFS(AND(N2167&lt;= 22, S2167=9), N2167-7,AND(N2167&lt;= 28, S2167=9), N2167-25,AND(N2167&lt;= 30, S2167=9), N2167-28,AND(N2167&lt;= 11, S2167=10), N2167+2,AND(N2167&lt;= 21, S2167=10), N2167-11)</f>
        <v>3</v>
      </c>
    </row>
    <row r="2168" spans="1:22" x14ac:dyDescent="0.35">
      <c r="A2168" s="4">
        <v>45566</v>
      </c>
      <c r="B2168" s="5">
        <v>0.78893518518518524</v>
      </c>
      <c r="C2168">
        <v>74.599999999999994</v>
      </c>
      <c r="D2168">
        <v>73.900000000000006</v>
      </c>
      <c r="E2168">
        <v>73.2</v>
      </c>
      <c r="F2168">
        <v>71</v>
      </c>
      <c r="G2168">
        <v>0</v>
      </c>
      <c r="H2168">
        <v>0</v>
      </c>
      <c r="I2168">
        <v>0</v>
      </c>
      <c r="J2168">
        <v>0</v>
      </c>
      <c r="K2168">
        <v>65.5</v>
      </c>
      <c r="L2168">
        <v>65.3</v>
      </c>
      <c r="M2168">
        <v>73.12</v>
      </c>
      <c r="N2168">
        <v>1</v>
      </c>
      <c r="O2168">
        <v>7</v>
      </c>
      <c r="P2168">
        <f>MOD(DAY(datos_siembra[[#This Row],[Date]]),7)</f>
        <v>1</v>
      </c>
      <c r="Q2168" t="str">
        <f>CHOOSE(WEEKDAY(datos_siembra[[#This Row],[Date]],2),"L","M","X","J","V","S","D")</f>
        <v>M</v>
      </c>
      <c r="R2168">
        <f>WEEKNUM(datos_siembra[[#This Row],[Date]],2)-WEEKNUM(DATE(YEAR(datos_siembra[[#This Row],[Date]]),MONTH(datos_siembra[[#This Row],[Date]]),1))+1</f>
        <v>1</v>
      </c>
      <c r="S2168">
        <f>MONTH(datos_siembra[[#This Row],[Date]])</f>
        <v>10</v>
      </c>
      <c r="T2168" t="str" cm="1">
        <f t="array" ref="T2168">_xlfn.IFS(AND(N2168&lt;= 22, S2168=9), "SOWING",AND(N2168&lt;= 28, S2168=9), "COVERAGE",AND(N2168&lt;= 30, S2168=9), "FLUSH",AND(N2168&lt;= 11, S2168=10), "FLUSH",AND(N2168&lt;= 21, S2168=10), "PRODUCTION")</f>
        <v>FLUSH</v>
      </c>
      <c r="U2168">
        <f>HOUR(datos_siembra[[#This Row],[Hour]])</f>
        <v>18</v>
      </c>
      <c r="V2168" cm="1">
        <f t="array" ref="V2168">_xlfn.IFS(AND(N2168&lt;= 22, S2168=9), N2168-7,AND(N2168&lt;= 28, S2168=9), N2168-25,AND(N2168&lt;= 30, S2168=9), N2168-28,AND(N2168&lt;= 11, S2168=10), N2168+2,AND(N2168&lt;= 21, S2168=10), N2168-11)</f>
        <v>3</v>
      </c>
    </row>
    <row r="2169" spans="1:22" x14ac:dyDescent="0.35">
      <c r="A2169" s="4">
        <v>45566</v>
      </c>
      <c r="B2169" s="5">
        <v>0.83755787037037033</v>
      </c>
      <c r="C2169">
        <v>74.5</v>
      </c>
      <c r="D2169">
        <v>73.7</v>
      </c>
      <c r="E2169">
        <v>73.099999999999994</v>
      </c>
      <c r="F2169">
        <v>71</v>
      </c>
      <c r="G2169">
        <v>0</v>
      </c>
      <c r="H2169">
        <v>0</v>
      </c>
      <c r="I2169">
        <v>0</v>
      </c>
      <c r="J2169">
        <v>0</v>
      </c>
      <c r="K2169">
        <v>65.599999999999994</v>
      </c>
      <c r="L2169">
        <v>65.3</v>
      </c>
      <c r="M2169">
        <v>73.09</v>
      </c>
      <c r="N2169">
        <v>1</v>
      </c>
      <c r="O2169">
        <v>7</v>
      </c>
      <c r="P2169">
        <f>MOD(DAY(datos_siembra[[#This Row],[Date]]),7)</f>
        <v>1</v>
      </c>
      <c r="Q2169" t="str">
        <f>CHOOSE(WEEKDAY(datos_siembra[[#This Row],[Date]],2),"L","M","X","J","V","S","D")</f>
        <v>M</v>
      </c>
      <c r="R2169">
        <f>WEEKNUM(datos_siembra[[#This Row],[Date]],2)-WEEKNUM(DATE(YEAR(datos_siembra[[#This Row],[Date]]),MONTH(datos_siembra[[#This Row],[Date]]),1))+1</f>
        <v>1</v>
      </c>
      <c r="S2169">
        <f>MONTH(datos_siembra[[#This Row],[Date]])</f>
        <v>10</v>
      </c>
      <c r="T2169" t="str" cm="1">
        <f t="array" ref="T2169">_xlfn.IFS(AND(N2169&lt;= 22, S2169=9), "SOWING",AND(N2169&lt;= 28, S2169=9), "COVERAGE",AND(N2169&lt;= 30, S2169=9), "FLUSH",AND(N2169&lt;= 11, S2169=10), "FLUSH",AND(N2169&lt;= 21, S2169=10), "PRODUCTION")</f>
        <v>FLUSH</v>
      </c>
      <c r="U2169">
        <f>HOUR(datos_siembra[[#This Row],[Hour]])</f>
        <v>20</v>
      </c>
      <c r="V2169" cm="1">
        <f t="array" ref="V2169">_xlfn.IFS(AND(N2169&lt;= 22, S2169=9), N2169-7,AND(N2169&lt;= 28, S2169=9), N2169-25,AND(N2169&lt;= 30, S2169=9), N2169-28,AND(N2169&lt;= 11, S2169=10), N2169+2,AND(N2169&lt;= 21, S2169=10), N2169-11)</f>
        <v>3</v>
      </c>
    </row>
    <row r="2170" spans="1:22" x14ac:dyDescent="0.35">
      <c r="A2170" s="4">
        <v>45566</v>
      </c>
      <c r="B2170" s="5">
        <v>0.84450231481481486</v>
      </c>
      <c r="C2170">
        <v>74.5</v>
      </c>
      <c r="D2170">
        <v>73.900000000000006</v>
      </c>
      <c r="E2170">
        <v>73.2</v>
      </c>
      <c r="F2170">
        <v>71</v>
      </c>
      <c r="G2170">
        <v>0</v>
      </c>
      <c r="H2170">
        <v>0</v>
      </c>
      <c r="I2170">
        <v>0</v>
      </c>
      <c r="J2170">
        <v>0</v>
      </c>
      <c r="K2170">
        <v>65.599999999999994</v>
      </c>
      <c r="L2170">
        <v>65.3</v>
      </c>
      <c r="M2170">
        <v>73.09</v>
      </c>
      <c r="N2170">
        <v>1</v>
      </c>
      <c r="O2170">
        <v>7</v>
      </c>
      <c r="P2170">
        <f>MOD(DAY(datos_siembra[[#This Row],[Date]]),7)</f>
        <v>1</v>
      </c>
      <c r="Q2170" t="str">
        <f>CHOOSE(WEEKDAY(datos_siembra[[#This Row],[Date]],2),"L","M","X","J","V","S","D")</f>
        <v>M</v>
      </c>
      <c r="R2170">
        <f>WEEKNUM(datos_siembra[[#This Row],[Date]],2)-WEEKNUM(DATE(YEAR(datos_siembra[[#This Row],[Date]]),MONTH(datos_siembra[[#This Row],[Date]]),1))+1</f>
        <v>1</v>
      </c>
      <c r="S2170">
        <f>MONTH(datos_siembra[[#This Row],[Date]])</f>
        <v>10</v>
      </c>
      <c r="T2170" t="str" cm="1">
        <f t="array" ref="T2170">_xlfn.IFS(AND(N2170&lt;= 22, S2170=9), "SOWING",AND(N2170&lt;= 28, S2170=9), "COVERAGE",AND(N2170&lt;= 30, S2170=9), "FLUSH",AND(N2170&lt;= 11, S2170=10), "FLUSH",AND(N2170&lt;= 21, S2170=10), "PRODUCTION")</f>
        <v>FLUSH</v>
      </c>
      <c r="U2170">
        <f>HOUR(datos_siembra[[#This Row],[Hour]])</f>
        <v>20</v>
      </c>
      <c r="V2170" cm="1">
        <f t="array" ref="V2170">_xlfn.IFS(AND(N2170&lt;= 22, S2170=9), N2170-7,AND(N2170&lt;= 28, S2170=9), N2170-25,AND(N2170&lt;= 30, S2170=9), N2170-28,AND(N2170&lt;= 11, S2170=10), N2170+2,AND(N2170&lt;= 21, S2170=10), N2170-11)</f>
        <v>3</v>
      </c>
    </row>
    <row r="2171" spans="1:22" x14ac:dyDescent="0.35">
      <c r="A2171" s="4">
        <v>45566</v>
      </c>
      <c r="B2171" s="5">
        <v>0.85144675925925928</v>
      </c>
      <c r="C2171">
        <v>74.599999999999994</v>
      </c>
      <c r="D2171">
        <v>73.599999999999994</v>
      </c>
      <c r="E2171">
        <v>73.2</v>
      </c>
      <c r="F2171">
        <v>71</v>
      </c>
      <c r="G2171">
        <v>0</v>
      </c>
      <c r="H2171">
        <v>0</v>
      </c>
      <c r="I2171">
        <v>0</v>
      </c>
      <c r="J2171">
        <v>0</v>
      </c>
      <c r="K2171">
        <v>65.599999999999994</v>
      </c>
      <c r="L2171">
        <v>65.400000000000006</v>
      </c>
      <c r="M2171">
        <v>73.06</v>
      </c>
      <c r="N2171">
        <v>1</v>
      </c>
      <c r="O2171">
        <v>7</v>
      </c>
      <c r="P2171">
        <f>MOD(DAY(datos_siembra[[#This Row],[Date]]),7)</f>
        <v>1</v>
      </c>
      <c r="Q2171" t="str">
        <f>CHOOSE(WEEKDAY(datos_siembra[[#This Row],[Date]],2),"L","M","X","J","V","S","D")</f>
        <v>M</v>
      </c>
      <c r="R2171">
        <f>WEEKNUM(datos_siembra[[#This Row],[Date]],2)-WEEKNUM(DATE(YEAR(datos_siembra[[#This Row],[Date]]),MONTH(datos_siembra[[#This Row],[Date]]),1))+1</f>
        <v>1</v>
      </c>
      <c r="S2171">
        <f>MONTH(datos_siembra[[#This Row],[Date]])</f>
        <v>10</v>
      </c>
      <c r="T2171" t="str" cm="1">
        <f t="array" ref="T2171">_xlfn.IFS(AND(N2171&lt;= 22, S2171=9), "SOWING",AND(N2171&lt;= 28, S2171=9), "COVERAGE",AND(N2171&lt;= 30, S2171=9), "FLUSH",AND(N2171&lt;= 11, S2171=10), "FLUSH",AND(N2171&lt;= 21, S2171=10), "PRODUCTION")</f>
        <v>FLUSH</v>
      </c>
      <c r="U2171">
        <f>HOUR(datos_siembra[[#This Row],[Hour]])</f>
        <v>20</v>
      </c>
      <c r="V2171" cm="1">
        <f t="array" ref="V2171">_xlfn.IFS(AND(N2171&lt;= 22, S2171=9), N2171-7,AND(N2171&lt;= 28, S2171=9), N2171-25,AND(N2171&lt;= 30, S2171=9), N2171-28,AND(N2171&lt;= 11, S2171=10), N2171+2,AND(N2171&lt;= 21, S2171=10), N2171-11)</f>
        <v>3</v>
      </c>
    </row>
    <row r="2172" spans="1:22" x14ac:dyDescent="0.35">
      <c r="A2172" s="4">
        <v>45566</v>
      </c>
      <c r="B2172" s="5">
        <v>0.85840277777777774</v>
      </c>
      <c r="C2172">
        <v>74.599999999999994</v>
      </c>
      <c r="D2172">
        <v>73.599999999999994</v>
      </c>
      <c r="E2172">
        <v>73.3</v>
      </c>
      <c r="F2172">
        <v>70.900000000000006</v>
      </c>
      <c r="G2172">
        <v>0</v>
      </c>
      <c r="H2172">
        <v>0</v>
      </c>
      <c r="I2172">
        <v>0</v>
      </c>
      <c r="J2172">
        <v>0</v>
      </c>
      <c r="K2172">
        <v>64.7</v>
      </c>
      <c r="L2172">
        <v>64.2</v>
      </c>
      <c r="M2172">
        <v>73.06</v>
      </c>
      <c r="N2172">
        <v>1</v>
      </c>
      <c r="O2172">
        <v>7</v>
      </c>
      <c r="P2172">
        <f>MOD(DAY(datos_siembra[[#This Row],[Date]]),7)</f>
        <v>1</v>
      </c>
      <c r="Q2172" t="str">
        <f>CHOOSE(WEEKDAY(datos_siembra[[#This Row],[Date]],2),"L","M","X","J","V","S","D")</f>
        <v>M</v>
      </c>
      <c r="R2172">
        <f>WEEKNUM(datos_siembra[[#This Row],[Date]],2)-WEEKNUM(DATE(YEAR(datos_siembra[[#This Row],[Date]]),MONTH(datos_siembra[[#This Row],[Date]]),1))+1</f>
        <v>1</v>
      </c>
      <c r="S2172">
        <f>MONTH(datos_siembra[[#This Row],[Date]])</f>
        <v>10</v>
      </c>
      <c r="T2172" t="str" cm="1">
        <f t="array" ref="T2172">_xlfn.IFS(AND(N2172&lt;= 22, S2172=9), "SOWING",AND(N2172&lt;= 28, S2172=9), "COVERAGE",AND(N2172&lt;= 30, S2172=9), "FLUSH",AND(N2172&lt;= 11, S2172=10), "FLUSH",AND(N2172&lt;= 21, S2172=10), "PRODUCTION")</f>
        <v>FLUSH</v>
      </c>
      <c r="U2172">
        <f>HOUR(datos_siembra[[#This Row],[Hour]])</f>
        <v>20</v>
      </c>
      <c r="V2172" cm="1">
        <f t="array" ref="V2172">_xlfn.IFS(AND(N2172&lt;= 22, S2172=9), N2172-7,AND(N2172&lt;= 28, S2172=9), N2172-25,AND(N2172&lt;= 30, S2172=9), N2172-28,AND(N2172&lt;= 11, S2172=10), N2172+2,AND(N2172&lt;= 21, S2172=10), N2172-11)</f>
        <v>3</v>
      </c>
    </row>
    <row r="2173" spans="1:22" x14ac:dyDescent="0.35">
      <c r="A2173" s="4">
        <v>45566</v>
      </c>
      <c r="B2173" s="5">
        <v>0.86534722222222227</v>
      </c>
      <c r="C2173">
        <v>74.599999999999994</v>
      </c>
      <c r="D2173">
        <v>73.5</v>
      </c>
      <c r="E2173">
        <v>73.099999999999994</v>
      </c>
      <c r="F2173">
        <v>71.099999999999994</v>
      </c>
      <c r="G2173">
        <v>0</v>
      </c>
      <c r="H2173">
        <v>0</v>
      </c>
      <c r="I2173">
        <v>0</v>
      </c>
      <c r="J2173">
        <v>0</v>
      </c>
      <c r="K2173">
        <v>64.3</v>
      </c>
      <c r="L2173">
        <v>63.7</v>
      </c>
      <c r="M2173">
        <v>73.12</v>
      </c>
      <c r="N2173">
        <v>1</v>
      </c>
      <c r="O2173">
        <v>7</v>
      </c>
      <c r="P2173">
        <f>MOD(DAY(datos_siembra[[#This Row],[Date]]),7)</f>
        <v>1</v>
      </c>
      <c r="Q2173" t="str">
        <f>CHOOSE(WEEKDAY(datos_siembra[[#This Row],[Date]],2),"L","M","X","J","V","S","D")</f>
        <v>M</v>
      </c>
      <c r="R2173">
        <f>WEEKNUM(datos_siembra[[#This Row],[Date]],2)-WEEKNUM(DATE(YEAR(datos_siembra[[#This Row],[Date]]),MONTH(datos_siembra[[#This Row],[Date]]),1))+1</f>
        <v>1</v>
      </c>
      <c r="S2173">
        <f>MONTH(datos_siembra[[#This Row],[Date]])</f>
        <v>10</v>
      </c>
      <c r="T2173" t="str" cm="1">
        <f t="array" ref="T2173">_xlfn.IFS(AND(N2173&lt;= 22, S2173=9), "SOWING",AND(N2173&lt;= 28, S2173=9), "COVERAGE",AND(N2173&lt;= 30, S2173=9), "FLUSH",AND(N2173&lt;= 11, S2173=10), "FLUSH",AND(N2173&lt;= 21, S2173=10), "PRODUCTION")</f>
        <v>FLUSH</v>
      </c>
      <c r="U2173">
        <f>HOUR(datos_siembra[[#This Row],[Hour]])</f>
        <v>20</v>
      </c>
      <c r="V2173" cm="1">
        <f t="array" ref="V2173">_xlfn.IFS(AND(N2173&lt;= 22, S2173=9), N2173-7,AND(N2173&lt;= 28, S2173=9), N2173-25,AND(N2173&lt;= 30, S2173=9), N2173-28,AND(N2173&lt;= 11, S2173=10), N2173+2,AND(N2173&lt;= 21, S2173=10), N2173-11)</f>
        <v>3</v>
      </c>
    </row>
    <row r="2174" spans="1:22" x14ac:dyDescent="0.35">
      <c r="A2174" s="4">
        <v>45566</v>
      </c>
      <c r="B2174" s="5">
        <v>0.87229166666666669</v>
      </c>
      <c r="C2174">
        <v>74.599999999999994</v>
      </c>
      <c r="D2174">
        <v>73.599999999999994</v>
      </c>
      <c r="E2174">
        <v>73.099999999999994</v>
      </c>
      <c r="F2174">
        <v>71</v>
      </c>
      <c r="G2174">
        <v>0</v>
      </c>
      <c r="H2174">
        <v>0</v>
      </c>
      <c r="I2174">
        <v>0</v>
      </c>
      <c r="J2174">
        <v>0</v>
      </c>
      <c r="K2174">
        <v>64.2</v>
      </c>
      <c r="L2174">
        <v>63.5</v>
      </c>
      <c r="M2174">
        <v>73.03</v>
      </c>
      <c r="N2174">
        <v>1</v>
      </c>
      <c r="O2174">
        <v>7</v>
      </c>
      <c r="P2174">
        <f>MOD(DAY(datos_siembra[[#This Row],[Date]]),7)</f>
        <v>1</v>
      </c>
      <c r="Q2174" t="str">
        <f>CHOOSE(WEEKDAY(datos_siembra[[#This Row],[Date]],2),"L","M","X","J","V","S","D")</f>
        <v>M</v>
      </c>
      <c r="R2174">
        <f>WEEKNUM(datos_siembra[[#This Row],[Date]],2)-WEEKNUM(DATE(YEAR(datos_siembra[[#This Row],[Date]]),MONTH(datos_siembra[[#This Row],[Date]]),1))+1</f>
        <v>1</v>
      </c>
      <c r="S2174">
        <f>MONTH(datos_siembra[[#This Row],[Date]])</f>
        <v>10</v>
      </c>
      <c r="T2174" t="str" cm="1">
        <f t="array" ref="T2174">_xlfn.IFS(AND(N2174&lt;= 22, S2174=9), "SOWING",AND(N2174&lt;= 28, S2174=9), "COVERAGE",AND(N2174&lt;= 30, S2174=9), "FLUSH",AND(N2174&lt;= 11, S2174=10), "FLUSH",AND(N2174&lt;= 21, S2174=10), "PRODUCTION")</f>
        <v>FLUSH</v>
      </c>
      <c r="U2174">
        <f>HOUR(datos_siembra[[#This Row],[Hour]])</f>
        <v>20</v>
      </c>
      <c r="V2174" cm="1">
        <f t="array" ref="V2174">_xlfn.IFS(AND(N2174&lt;= 22, S2174=9), N2174-7,AND(N2174&lt;= 28, S2174=9), N2174-25,AND(N2174&lt;= 30, S2174=9), N2174-28,AND(N2174&lt;= 11, S2174=10), N2174+2,AND(N2174&lt;= 21, S2174=10), N2174-11)</f>
        <v>3</v>
      </c>
    </row>
    <row r="2175" spans="1:22" x14ac:dyDescent="0.35">
      <c r="A2175" s="4">
        <v>45566</v>
      </c>
      <c r="B2175" s="5">
        <v>0.87923611111111111</v>
      </c>
      <c r="C2175">
        <v>74.5</v>
      </c>
      <c r="D2175">
        <v>73.400000000000006</v>
      </c>
      <c r="E2175">
        <v>73</v>
      </c>
      <c r="F2175">
        <v>71.099999999999994</v>
      </c>
      <c r="G2175">
        <v>0</v>
      </c>
      <c r="H2175">
        <v>0</v>
      </c>
      <c r="I2175">
        <v>0</v>
      </c>
      <c r="J2175">
        <v>0</v>
      </c>
      <c r="K2175">
        <v>63.9</v>
      </c>
      <c r="L2175">
        <v>63.3</v>
      </c>
      <c r="M2175">
        <v>72.95</v>
      </c>
      <c r="N2175">
        <v>1</v>
      </c>
      <c r="O2175">
        <v>7</v>
      </c>
      <c r="P2175">
        <f>MOD(DAY(datos_siembra[[#This Row],[Date]]),7)</f>
        <v>1</v>
      </c>
      <c r="Q2175" t="str">
        <f>CHOOSE(WEEKDAY(datos_siembra[[#This Row],[Date]],2),"L","M","X","J","V","S","D")</f>
        <v>M</v>
      </c>
      <c r="R2175">
        <f>WEEKNUM(datos_siembra[[#This Row],[Date]],2)-WEEKNUM(DATE(YEAR(datos_siembra[[#This Row],[Date]]),MONTH(datos_siembra[[#This Row],[Date]]),1))+1</f>
        <v>1</v>
      </c>
      <c r="S2175">
        <f>MONTH(datos_siembra[[#This Row],[Date]])</f>
        <v>10</v>
      </c>
      <c r="T2175" t="str" cm="1">
        <f t="array" ref="T2175">_xlfn.IFS(AND(N2175&lt;= 22, S2175=9), "SOWING",AND(N2175&lt;= 28, S2175=9), "COVERAGE",AND(N2175&lt;= 30, S2175=9), "FLUSH",AND(N2175&lt;= 11, S2175=10), "FLUSH",AND(N2175&lt;= 21, S2175=10), "PRODUCTION")</f>
        <v>FLUSH</v>
      </c>
      <c r="U2175">
        <f>HOUR(datos_siembra[[#This Row],[Hour]])</f>
        <v>21</v>
      </c>
      <c r="V2175" cm="1">
        <f t="array" ref="V2175">_xlfn.IFS(AND(N2175&lt;= 22, S2175=9), N2175-7,AND(N2175&lt;= 28, S2175=9), N2175-25,AND(N2175&lt;= 30, S2175=9), N2175-28,AND(N2175&lt;= 11, S2175=10), N2175+2,AND(N2175&lt;= 21, S2175=10), N2175-11)</f>
        <v>3</v>
      </c>
    </row>
    <row r="2176" spans="1:22" x14ac:dyDescent="0.35">
      <c r="A2176" s="4">
        <v>45566</v>
      </c>
      <c r="B2176" s="5">
        <v>0.88619212962962968</v>
      </c>
      <c r="C2176">
        <v>74.400000000000006</v>
      </c>
      <c r="D2176">
        <v>73.3</v>
      </c>
      <c r="E2176">
        <v>73.099999999999994</v>
      </c>
      <c r="F2176">
        <v>70.900000000000006</v>
      </c>
      <c r="G2176">
        <v>0</v>
      </c>
      <c r="H2176">
        <v>0</v>
      </c>
      <c r="I2176">
        <v>0</v>
      </c>
      <c r="J2176">
        <v>0</v>
      </c>
      <c r="K2176">
        <v>64.400000000000006</v>
      </c>
      <c r="L2176">
        <v>64.2</v>
      </c>
      <c r="M2176">
        <v>72.95</v>
      </c>
      <c r="N2176">
        <v>1</v>
      </c>
      <c r="O2176">
        <v>7</v>
      </c>
      <c r="P2176">
        <f>MOD(DAY(datos_siembra[[#This Row],[Date]]),7)</f>
        <v>1</v>
      </c>
      <c r="Q2176" t="str">
        <f>CHOOSE(WEEKDAY(datos_siembra[[#This Row],[Date]],2),"L","M","X","J","V","S","D")</f>
        <v>M</v>
      </c>
      <c r="R2176">
        <f>WEEKNUM(datos_siembra[[#This Row],[Date]],2)-WEEKNUM(DATE(YEAR(datos_siembra[[#This Row],[Date]]),MONTH(datos_siembra[[#This Row],[Date]]),1))+1</f>
        <v>1</v>
      </c>
      <c r="S2176">
        <f>MONTH(datos_siembra[[#This Row],[Date]])</f>
        <v>10</v>
      </c>
      <c r="T2176" t="str" cm="1">
        <f t="array" ref="T2176">_xlfn.IFS(AND(N2176&lt;= 22, S2176=9), "SOWING",AND(N2176&lt;= 28, S2176=9), "COVERAGE",AND(N2176&lt;= 30, S2176=9), "FLUSH",AND(N2176&lt;= 11, S2176=10), "FLUSH",AND(N2176&lt;= 21, S2176=10), "PRODUCTION")</f>
        <v>FLUSH</v>
      </c>
      <c r="U2176">
        <f>HOUR(datos_siembra[[#This Row],[Hour]])</f>
        <v>21</v>
      </c>
      <c r="V2176" cm="1">
        <f t="array" ref="V2176">_xlfn.IFS(AND(N2176&lt;= 22, S2176=9), N2176-7,AND(N2176&lt;= 28, S2176=9), N2176-25,AND(N2176&lt;= 30, S2176=9), N2176-28,AND(N2176&lt;= 11, S2176=10), N2176+2,AND(N2176&lt;= 21, S2176=10), N2176-11)</f>
        <v>3</v>
      </c>
    </row>
    <row r="2177" spans="1:22" x14ac:dyDescent="0.35">
      <c r="A2177" s="4">
        <v>45566</v>
      </c>
      <c r="B2177" s="5">
        <v>0.8931365740740741</v>
      </c>
      <c r="C2177">
        <v>74.400000000000006</v>
      </c>
      <c r="D2177">
        <v>73.400000000000006</v>
      </c>
      <c r="E2177">
        <v>73</v>
      </c>
      <c r="F2177">
        <v>71</v>
      </c>
      <c r="G2177">
        <v>0</v>
      </c>
      <c r="H2177">
        <v>0</v>
      </c>
      <c r="I2177">
        <v>0</v>
      </c>
      <c r="J2177">
        <v>0</v>
      </c>
      <c r="K2177">
        <v>64.900000000000006</v>
      </c>
      <c r="L2177">
        <v>64.599999999999994</v>
      </c>
      <c r="M2177">
        <v>73.010000000000005</v>
      </c>
      <c r="N2177">
        <v>1</v>
      </c>
      <c r="O2177">
        <v>7</v>
      </c>
      <c r="P2177">
        <f>MOD(DAY(datos_siembra[[#This Row],[Date]]),7)</f>
        <v>1</v>
      </c>
      <c r="Q2177" t="str">
        <f>CHOOSE(WEEKDAY(datos_siembra[[#This Row],[Date]],2),"L","M","X","J","V","S","D")</f>
        <v>M</v>
      </c>
      <c r="R2177">
        <f>WEEKNUM(datos_siembra[[#This Row],[Date]],2)-WEEKNUM(DATE(YEAR(datos_siembra[[#This Row],[Date]]),MONTH(datos_siembra[[#This Row],[Date]]),1))+1</f>
        <v>1</v>
      </c>
      <c r="S2177">
        <f>MONTH(datos_siembra[[#This Row],[Date]])</f>
        <v>10</v>
      </c>
      <c r="T2177" t="str" cm="1">
        <f t="array" ref="T2177">_xlfn.IFS(AND(N2177&lt;= 22, S2177=9), "SOWING",AND(N2177&lt;= 28, S2177=9), "COVERAGE",AND(N2177&lt;= 30, S2177=9), "FLUSH",AND(N2177&lt;= 11, S2177=10), "FLUSH",AND(N2177&lt;= 21, S2177=10), "PRODUCTION")</f>
        <v>FLUSH</v>
      </c>
      <c r="U2177">
        <f>HOUR(datos_siembra[[#This Row],[Hour]])</f>
        <v>21</v>
      </c>
      <c r="V2177" cm="1">
        <f t="array" ref="V2177">_xlfn.IFS(AND(N2177&lt;= 22, S2177=9), N2177-7,AND(N2177&lt;= 28, S2177=9), N2177-25,AND(N2177&lt;= 30, S2177=9), N2177-28,AND(N2177&lt;= 11, S2177=10), N2177+2,AND(N2177&lt;= 21, S2177=10), N2177-11)</f>
        <v>3</v>
      </c>
    </row>
    <row r="2178" spans="1:22" x14ac:dyDescent="0.35">
      <c r="A2178" s="4">
        <v>45566</v>
      </c>
      <c r="B2178" s="5">
        <v>0.90008101851851852</v>
      </c>
      <c r="C2178">
        <v>74.400000000000006</v>
      </c>
      <c r="D2178">
        <v>73.400000000000006</v>
      </c>
      <c r="E2178">
        <v>73.099999999999994</v>
      </c>
      <c r="F2178">
        <v>70.900000000000006</v>
      </c>
      <c r="G2178">
        <v>0</v>
      </c>
      <c r="H2178">
        <v>0</v>
      </c>
      <c r="I2178">
        <v>0</v>
      </c>
      <c r="J2178">
        <v>0</v>
      </c>
      <c r="K2178">
        <v>65</v>
      </c>
      <c r="L2178">
        <v>64.7</v>
      </c>
      <c r="M2178">
        <v>72.98</v>
      </c>
      <c r="N2178">
        <v>1</v>
      </c>
      <c r="O2178">
        <v>7</v>
      </c>
      <c r="P2178">
        <f>MOD(DAY(datos_siembra[[#This Row],[Date]]),7)</f>
        <v>1</v>
      </c>
      <c r="Q2178" t="str">
        <f>CHOOSE(WEEKDAY(datos_siembra[[#This Row],[Date]],2),"L","M","X","J","V","S","D")</f>
        <v>M</v>
      </c>
      <c r="R2178">
        <f>WEEKNUM(datos_siembra[[#This Row],[Date]],2)-WEEKNUM(DATE(YEAR(datos_siembra[[#This Row],[Date]]),MONTH(datos_siembra[[#This Row],[Date]]),1))+1</f>
        <v>1</v>
      </c>
      <c r="S2178">
        <f>MONTH(datos_siembra[[#This Row],[Date]])</f>
        <v>10</v>
      </c>
      <c r="T2178" t="str" cm="1">
        <f t="array" ref="T2178">_xlfn.IFS(AND(N2178&lt;= 22, S2178=9), "SOWING",AND(N2178&lt;= 28, S2178=9), "COVERAGE",AND(N2178&lt;= 30, S2178=9), "FLUSH",AND(N2178&lt;= 11, S2178=10), "FLUSH",AND(N2178&lt;= 21, S2178=10), "PRODUCTION")</f>
        <v>FLUSH</v>
      </c>
      <c r="U2178">
        <f>HOUR(datos_siembra[[#This Row],[Hour]])</f>
        <v>21</v>
      </c>
      <c r="V2178" cm="1">
        <f t="array" ref="V2178">_xlfn.IFS(AND(N2178&lt;= 22, S2178=9), N2178-7,AND(N2178&lt;= 28, S2178=9), N2178-25,AND(N2178&lt;= 30, S2178=9), N2178-28,AND(N2178&lt;= 11, S2178=10), N2178+2,AND(N2178&lt;= 21, S2178=10), N2178-11)</f>
        <v>3</v>
      </c>
    </row>
    <row r="2179" spans="1:22" x14ac:dyDescent="0.35">
      <c r="A2179" s="4">
        <v>45566</v>
      </c>
      <c r="B2179" s="5">
        <v>0.90702546296296294</v>
      </c>
      <c r="C2179">
        <v>74.400000000000006</v>
      </c>
      <c r="D2179">
        <v>73.400000000000006</v>
      </c>
      <c r="E2179">
        <v>73.099999999999994</v>
      </c>
      <c r="F2179">
        <v>70.900000000000006</v>
      </c>
      <c r="G2179">
        <v>0</v>
      </c>
      <c r="H2179">
        <v>0</v>
      </c>
      <c r="I2179">
        <v>0</v>
      </c>
      <c r="J2179">
        <v>0</v>
      </c>
      <c r="K2179">
        <v>65.099999999999994</v>
      </c>
      <c r="L2179">
        <v>64.900000000000006</v>
      </c>
      <c r="M2179">
        <v>72.92</v>
      </c>
      <c r="N2179">
        <v>1</v>
      </c>
      <c r="O2179">
        <v>7</v>
      </c>
      <c r="P2179">
        <f>MOD(DAY(datos_siembra[[#This Row],[Date]]),7)</f>
        <v>1</v>
      </c>
      <c r="Q2179" t="str">
        <f>CHOOSE(WEEKDAY(datos_siembra[[#This Row],[Date]],2),"L","M","X","J","V","S","D")</f>
        <v>M</v>
      </c>
      <c r="R2179">
        <f>WEEKNUM(datos_siembra[[#This Row],[Date]],2)-WEEKNUM(DATE(YEAR(datos_siembra[[#This Row],[Date]]),MONTH(datos_siembra[[#This Row],[Date]]),1))+1</f>
        <v>1</v>
      </c>
      <c r="S2179">
        <f>MONTH(datos_siembra[[#This Row],[Date]])</f>
        <v>10</v>
      </c>
      <c r="T2179" t="str" cm="1">
        <f t="array" ref="T2179">_xlfn.IFS(AND(N2179&lt;= 22, S2179=9), "SOWING",AND(N2179&lt;= 28, S2179=9), "COVERAGE",AND(N2179&lt;= 30, S2179=9), "FLUSH",AND(N2179&lt;= 11, S2179=10), "FLUSH",AND(N2179&lt;= 21, S2179=10), "PRODUCTION")</f>
        <v>FLUSH</v>
      </c>
      <c r="U2179">
        <f>HOUR(datos_siembra[[#This Row],[Hour]])</f>
        <v>21</v>
      </c>
      <c r="V2179" cm="1">
        <f t="array" ref="V2179">_xlfn.IFS(AND(N2179&lt;= 22, S2179=9), N2179-7,AND(N2179&lt;= 28, S2179=9), N2179-25,AND(N2179&lt;= 30, S2179=9), N2179-28,AND(N2179&lt;= 11, S2179=10), N2179+2,AND(N2179&lt;= 21, S2179=10), N2179-11)</f>
        <v>3</v>
      </c>
    </row>
    <row r="2180" spans="1:22" x14ac:dyDescent="0.35">
      <c r="A2180" s="4">
        <v>45566</v>
      </c>
      <c r="B2180" s="5">
        <v>0.91398148148148151</v>
      </c>
      <c r="C2180">
        <v>74.400000000000006</v>
      </c>
      <c r="D2180">
        <v>73.400000000000006</v>
      </c>
      <c r="E2180">
        <v>73</v>
      </c>
      <c r="F2180">
        <v>71</v>
      </c>
      <c r="G2180">
        <v>0</v>
      </c>
      <c r="H2180">
        <v>0</v>
      </c>
      <c r="I2180">
        <v>0</v>
      </c>
      <c r="J2180">
        <v>0</v>
      </c>
      <c r="K2180">
        <v>65.2</v>
      </c>
      <c r="L2180">
        <v>65</v>
      </c>
      <c r="M2180">
        <v>72.92</v>
      </c>
      <c r="N2180">
        <v>1</v>
      </c>
      <c r="O2180">
        <v>7</v>
      </c>
      <c r="P2180">
        <f>MOD(DAY(datos_siembra[[#This Row],[Date]]),7)</f>
        <v>1</v>
      </c>
      <c r="Q2180" t="str">
        <f>CHOOSE(WEEKDAY(datos_siembra[[#This Row],[Date]],2),"L","M","X","J","V","S","D")</f>
        <v>M</v>
      </c>
      <c r="R2180">
        <f>WEEKNUM(datos_siembra[[#This Row],[Date]],2)-WEEKNUM(DATE(YEAR(datos_siembra[[#This Row],[Date]]),MONTH(datos_siembra[[#This Row],[Date]]),1))+1</f>
        <v>1</v>
      </c>
      <c r="S2180">
        <f>MONTH(datos_siembra[[#This Row],[Date]])</f>
        <v>10</v>
      </c>
      <c r="T2180" t="str" cm="1">
        <f t="array" ref="T2180">_xlfn.IFS(AND(N2180&lt;= 22, S2180=9), "SOWING",AND(N2180&lt;= 28, S2180=9), "COVERAGE",AND(N2180&lt;= 30, S2180=9), "FLUSH",AND(N2180&lt;= 11, S2180=10), "FLUSH",AND(N2180&lt;= 21, S2180=10), "PRODUCTION")</f>
        <v>FLUSH</v>
      </c>
      <c r="U2180">
        <f>HOUR(datos_siembra[[#This Row],[Hour]])</f>
        <v>21</v>
      </c>
      <c r="V2180" cm="1">
        <f t="array" ref="V2180">_xlfn.IFS(AND(N2180&lt;= 22, S2180=9), N2180-7,AND(N2180&lt;= 28, S2180=9), N2180-25,AND(N2180&lt;= 30, S2180=9), N2180-28,AND(N2180&lt;= 11, S2180=10), N2180+2,AND(N2180&lt;= 21, S2180=10), N2180-11)</f>
        <v>3</v>
      </c>
    </row>
    <row r="2181" spans="1:22" x14ac:dyDescent="0.35">
      <c r="A2181" s="4">
        <v>45566</v>
      </c>
      <c r="B2181" s="5">
        <v>0.92092592592592593</v>
      </c>
      <c r="C2181">
        <v>74.3</v>
      </c>
      <c r="D2181">
        <v>73.3</v>
      </c>
      <c r="E2181">
        <v>73.099999999999994</v>
      </c>
      <c r="F2181">
        <v>70.900000000000006</v>
      </c>
      <c r="G2181">
        <v>0</v>
      </c>
      <c r="H2181">
        <v>0</v>
      </c>
      <c r="I2181">
        <v>0</v>
      </c>
      <c r="J2181">
        <v>0</v>
      </c>
      <c r="K2181">
        <v>65.3</v>
      </c>
      <c r="L2181">
        <v>65</v>
      </c>
      <c r="M2181">
        <v>72.92</v>
      </c>
      <c r="N2181">
        <v>1</v>
      </c>
      <c r="O2181">
        <v>7</v>
      </c>
      <c r="P2181">
        <f>MOD(DAY(datos_siembra[[#This Row],[Date]]),7)</f>
        <v>1</v>
      </c>
      <c r="Q2181" t="str">
        <f>CHOOSE(WEEKDAY(datos_siembra[[#This Row],[Date]],2),"L","M","X","J","V","S","D")</f>
        <v>M</v>
      </c>
      <c r="R2181">
        <f>WEEKNUM(datos_siembra[[#This Row],[Date]],2)-WEEKNUM(DATE(YEAR(datos_siembra[[#This Row],[Date]]),MONTH(datos_siembra[[#This Row],[Date]]),1))+1</f>
        <v>1</v>
      </c>
      <c r="S2181">
        <f>MONTH(datos_siembra[[#This Row],[Date]])</f>
        <v>10</v>
      </c>
      <c r="T2181" t="str" cm="1">
        <f t="array" ref="T2181">_xlfn.IFS(AND(N2181&lt;= 22, S2181=9), "SOWING",AND(N2181&lt;= 28, S2181=9), "COVERAGE",AND(N2181&lt;= 30, S2181=9), "FLUSH",AND(N2181&lt;= 11, S2181=10), "FLUSH",AND(N2181&lt;= 21, S2181=10), "PRODUCTION")</f>
        <v>FLUSH</v>
      </c>
      <c r="U2181">
        <f>HOUR(datos_siembra[[#This Row],[Hour]])</f>
        <v>22</v>
      </c>
      <c r="V2181" cm="1">
        <f t="array" ref="V2181">_xlfn.IFS(AND(N2181&lt;= 22, S2181=9), N2181-7,AND(N2181&lt;= 28, S2181=9), N2181-25,AND(N2181&lt;= 30, S2181=9), N2181-28,AND(N2181&lt;= 11, S2181=10), N2181+2,AND(N2181&lt;= 21, S2181=10), N2181-11)</f>
        <v>3</v>
      </c>
    </row>
    <row r="2182" spans="1:22" x14ac:dyDescent="0.35">
      <c r="A2182" s="4">
        <v>45566</v>
      </c>
      <c r="B2182" s="5">
        <v>0.92787037037037035</v>
      </c>
      <c r="C2182">
        <v>74.400000000000006</v>
      </c>
      <c r="D2182">
        <v>73.400000000000006</v>
      </c>
      <c r="E2182">
        <v>73</v>
      </c>
      <c r="F2182">
        <v>70.8</v>
      </c>
      <c r="G2182">
        <v>0</v>
      </c>
      <c r="H2182">
        <v>0</v>
      </c>
      <c r="I2182">
        <v>0</v>
      </c>
      <c r="J2182">
        <v>0</v>
      </c>
      <c r="K2182">
        <v>65.3</v>
      </c>
      <c r="L2182">
        <v>64.900000000000006</v>
      </c>
      <c r="M2182">
        <v>72.89</v>
      </c>
      <c r="N2182">
        <v>1</v>
      </c>
      <c r="O2182">
        <v>7</v>
      </c>
      <c r="P2182">
        <f>MOD(DAY(datos_siembra[[#This Row],[Date]]),7)</f>
        <v>1</v>
      </c>
      <c r="Q2182" t="str">
        <f>CHOOSE(WEEKDAY(datos_siembra[[#This Row],[Date]],2),"L","M","X","J","V","S","D")</f>
        <v>M</v>
      </c>
      <c r="R2182">
        <f>WEEKNUM(datos_siembra[[#This Row],[Date]],2)-WEEKNUM(DATE(YEAR(datos_siembra[[#This Row],[Date]]),MONTH(datos_siembra[[#This Row],[Date]]),1))+1</f>
        <v>1</v>
      </c>
      <c r="S2182">
        <f>MONTH(datos_siembra[[#This Row],[Date]])</f>
        <v>10</v>
      </c>
      <c r="T2182" t="str" cm="1">
        <f t="array" ref="T2182">_xlfn.IFS(AND(N2182&lt;= 22, S2182=9), "SOWING",AND(N2182&lt;= 28, S2182=9), "COVERAGE",AND(N2182&lt;= 30, S2182=9), "FLUSH",AND(N2182&lt;= 11, S2182=10), "FLUSH",AND(N2182&lt;= 21, S2182=10), "PRODUCTION")</f>
        <v>FLUSH</v>
      </c>
      <c r="U2182">
        <f>HOUR(datos_siembra[[#This Row],[Hour]])</f>
        <v>22</v>
      </c>
      <c r="V2182" cm="1">
        <f t="array" ref="V2182">_xlfn.IFS(AND(N2182&lt;= 22, S2182=9), N2182-7,AND(N2182&lt;= 28, S2182=9), N2182-25,AND(N2182&lt;= 30, S2182=9), N2182-28,AND(N2182&lt;= 11, S2182=10), N2182+2,AND(N2182&lt;= 21, S2182=10), N2182-11)</f>
        <v>3</v>
      </c>
    </row>
    <row r="2183" spans="1:22" x14ac:dyDescent="0.35">
      <c r="A2183" s="4">
        <v>45566</v>
      </c>
      <c r="B2183" s="5">
        <v>0.93482638888888892</v>
      </c>
      <c r="C2183">
        <v>74.3</v>
      </c>
      <c r="D2183">
        <v>73.2</v>
      </c>
      <c r="E2183">
        <v>73</v>
      </c>
      <c r="F2183">
        <v>70.900000000000006</v>
      </c>
      <c r="G2183">
        <v>0</v>
      </c>
      <c r="H2183">
        <v>0</v>
      </c>
      <c r="I2183">
        <v>0</v>
      </c>
      <c r="J2183">
        <v>0</v>
      </c>
      <c r="K2183">
        <v>64.3</v>
      </c>
      <c r="L2183">
        <v>63.6</v>
      </c>
      <c r="M2183">
        <v>72.87</v>
      </c>
      <c r="N2183">
        <v>1</v>
      </c>
      <c r="O2183">
        <v>7</v>
      </c>
      <c r="P2183">
        <f>MOD(DAY(datos_siembra[[#This Row],[Date]]),7)</f>
        <v>1</v>
      </c>
      <c r="Q2183" t="str">
        <f>CHOOSE(WEEKDAY(datos_siembra[[#This Row],[Date]],2),"L","M","X","J","V","S","D")</f>
        <v>M</v>
      </c>
      <c r="R2183">
        <f>WEEKNUM(datos_siembra[[#This Row],[Date]],2)-WEEKNUM(DATE(YEAR(datos_siembra[[#This Row],[Date]]),MONTH(datos_siembra[[#This Row],[Date]]),1))+1</f>
        <v>1</v>
      </c>
      <c r="S2183">
        <f>MONTH(datos_siembra[[#This Row],[Date]])</f>
        <v>10</v>
      </c>
      <c r="T2183" t="str" cm="1">
        <f t="array" ref="T2183">_xlfn.IFS(AND(N2183&lt;= 22, S2183=9), "SOWING",AND(N2183&lt;= 28, S2183=9), "COVERAGE",AND(N2183&lt;= 30, S2183=9), "FLUSH",AND(N2183&lt;= 11, S2183=10), "FLUSH",AND(N2183&lt;= 21, S2183=10), "PRODUCTION")</f>
        <v>FLUSH</v>
      </c>
      <c r="U2183">
        <f>HOUR(datos_siembra[[#This Row],[Hour]])</f>
        <v>22</v>
      </c>
      <c r="V2183" cm="1">
        <f t="array" ref="V2183">_xlfn.IFS(AND(N2183&lt;= 22, S2183=9), N2183-7,AND(N2183&lt;= 28, S2183=9), N2183-25,AND(N2183&lt;= 30, S2183=9), N2183-28,AND(N2183&lt;= 11, S2183=10), N2183+2,AND(N2183&lt;= 21, S2183=10), N2183-11)</f>
        <v>3</v>
      </c>
    </row>
    <row r="2184" spans="1:22" x14ac:dyDescent="0.35">
      <c r="A2184" s="4">
        <v>45566</v>
      </c>
      <c r="B2184" s="5">
        <v>0.94177083333333333</v>
      </c>
      <c r="C2184">
        <v>74.2</v>
      </c>
      <c r="D2184">
        <v>73.3</v>
      </c>
      <c r="E2184">
        <v>73.2</v>
      </c>
      <c r="F2184">
        <v>70.900000000000006</v>
      </c>
      <c r="G2184">
        <v>0</v>
      </c>
      <c r="H2184">
        <v>0</v>
      </c>
      <c r="I2184">
        <v>0</v>
      </c>
      <c r="J2184">
        <v>0</v>
      </c>
      <c r="K2184">
        <v>63.9</v>
      </c>
      <c r="L2184">
        <v>63.3</v>
      </c>
      <c r="M2184">
        <v>72.84</v>
      </c>
      <c r="N2184">
        <v>1</v>
      </c>
      <c r="O2184">
        <v>7</v>
      </c>
      <c r="P2184">
        <f>MOD(DAY(datos_siembra[[#This Row],[Date]]),7)</f>
        <v>1</v>
      </c>
      <c r="Q2184" t="str">
        <f>CHOOSE(WEEKDAY(datos_siembra[[#This Row],[Date]],2),"L","M","X","J","V","S","D")</f>
        <v>M</v>
      </c>
      <c r="R2184">
        <f>WEEKNUM(datos_siembra[[#This Row],[Date]],2)-WEEKNUM(DATE(YEAR(datos_siembra[[#This Row],[Date]]),MONTH(datos_siembra[[#This Row],[Date]]),1))+1</f>
        <v>1</v>
      </c>
      <c r="S2184">
        <f>MONTH(datos_siembra[[#This Row],[Date]])</f>
        <v>10</v>
      </c>
      <c r="T2184" t="str" cm="1">
        <f t="array" ref="T2184">_xlfn.IFS(AND(N2184&lt;= 22, S2184=9), "SOWING",AND(N2184&lt;= 28, S2184=9), "COVERAGE",AND(N2184&lt;= 30, S2184=9), "FLUSH",AND(N2184&lt;= 11, S2184=10), "FLUSH",AND(N2184&lt;= 21, S2184=10), "PRODUCTION")</f>
        <v>FLUSH</v>
      </c>
      <c r="U2184">
        <f>HOUR(datos_siembra[[#This Row],[Hour]])</f>
        <v>22</v>
      </c>
      <c r="V2184" cm="1">
        <f t="array" ref="V2184">_xlfn.IFS(AND(N2184&lt;= 22, S2184=9), N2184-7,AND(N2184&lt;= 28, S2184=9), N2184-25,AND(N2184&lt;= 30, S2184=9), N2184-28,AND(N2184&lt;= 11, S2184=10), N2184+2,AND(N2184&lt;= 21, S2184=10), N2184-11)</f>
        <v>3</v>
      </c>
    </row>
    <row r="2185" spans="1:22" x14ac:dyDescent="0.35">
      <c r="A2185" s="4">
        <v>45566</v>
      </c>
      <c r="B2185" s="5">
        <v>0.94871527777777775</v>
      </c>
      <c r="C2185">
        <v>74.3</v>
      </c>
      <c r="D2185">
        <v>73.3</v>
      </c>
      <c r="E2185">
        <v>73</v>
      </c>
      <c r="F2185">
        <v>71.099999999999994</v>
      </c>
      <c r="G2185">
        <v>0</v>
      </c>
      <c r="H2185">
        <v>0</v>
      </c>
      <c r="I2185">
        <v>0</v>
      </c>
      <c r="J2185">
        <v>0</v>
      </c>
      <c r="K2185">
        <v>63.6</v>
      </c>
      <c r="L2185">
        <v>62.9</v>
      </c>
      <c r="M2185">
        <v>72.84</v>
      </c>
      <c r="N2185">
        <v>1</v>
      </c>
      <c r="O2185">
        <v>7</v>
      </c>
      <c r="P2185">
        <f>MOD(DAY(datos_siembra[[#This Row],[Date]]),7)</f>
        <v>1</v>
      </c>
      <c r="Q2185" t="str">
        <f>CHOOSE(WEEKDAY(datos_siembra[[#This Row],[Date]],2),"L","M","X","J","V","S","D")</f>
        <v>M</v>
      </c>
      <c r="R2185">
        <f>WEEKNUM(datos_siembra[[#This Row],[Date]],2)-WEEKNUM(DATE(YEAR(datos_siembra[[#This Row],[Date]]),MONTH(datos_siembra[[#This Row],[Date]]),1))+1</f>
        <v>1</v>
      </c>
      <c r="S2185">
        <f>MONTH(datos_siembra[[#This Row],[Date]])</f>
        <v>10</v>
      </c>
      <c r="T2185" t="str" cm="1">
        <f t="array" ref="T2185">_xlfn.IFS(AND(N2185&lt;= 22, S2185=9), "SOWING",AND(N2185&lt;= 28, S2185=9), "COVERAGE",AND(N2185&lt;= 30, S2185=9), "FLUSH",AND(N2185&lt;= 11, S2185=10), "FLUSH",AND(N2185&lt;= 21, S2185=10), "PRODUCTION")</f>
        <v>FLUSH</v>
      </c>
      <c r="U2185">
        <f>HOUR(datos_siembra[[#This Row],[Hour]])</f>
        <v>22</v>
      </c>
      <c r="V2185" cm="1">
        <f t="array" ref="V2185">_xlfn.IFS(AND(N2185&lt;= 22, S2185=9), N2185-7,AND(N2185&lt;= 28, S2185=9), N2185-25,AND(N2185&lt;= 30, S2185=9), N2185-28,AND(N2185&lt;= 11, S2185=10), N2185+2,AND(N2185&lt;= 21, S2185=10), N2185-11)</f>
        <v>3</v>
      </c>
    </row>
    <row r="2186" spans="1:22" x14ac:dyDescent="0.35">
      <c r="A2186" s="4">
        <v>45566</v>
      </c>
      <c r="B2186" s="5">
        <v>0.95565972222222217</v>
      </c>
      <c r="C2186">
        <v>74.400000000000006</v>
      </c>
      <c r="D2186">
        <v>73.599999999999994</v>
      </c>
      <c r="E2186">
        <v>73.5</v>
      </c>
      <c r="F2186">
        <v>71.400000000000006</v>
      </c>
      <c r="G2186">
        <v>0</v>
      </c>
      <c r="H2186">
        <v>0</v>
      </c>
      <c r="I2186">
        <v>0</v>
      </c>
      <c r="J2186">
        <v>0</v>
      </c>
      <c r="K2186">
        <v>63.3</v>
      </c>
      <c r="L2186">
        <v>62.7</v>
      </c>
      <c r="M2186">
        <v>73.03</v>
      </c>
      <c r="N2186">
        <v>1</v>
      </c>
      <c r="O2186">
        <v>7</v>
      </c>
      <c r="P2186">
        <f>MOD(DAY(datos_siembra[[#This Row],[Date]]),7)</f>
        <v>1</v>
      </c>
      <c r="Q2186" t="str">
        <f>CHOOSE(WEEKDAY(datos_siembra[[#This Row],[Date]],2),"L","M","X","J","V","S","D")</f>
        <v>M</v>
      </c>
      <c r="R2186">
        <f>WEEKNUM(datos_siembra[[#This Row],[Date]],2)-WEEKNUM(DATE(YEAR(datos_siembra[[#This Row],[Date]]),MONTH(datos_siembra[[#This Row],[Date]]),1))+1</f>
        <v>1</v>
      </c>
      <c r="S2186">
        <f>MONTH(datos_siembra[[#This Row],[Date]])</f>
        <v>10</v>
      </c>
      <c r="T2186" t="str" cm="1">
        <f t="array" ref="T2186">_xlfn.IFS(AND(N2186&lt;= 22, S2186=9), "SOWING",AND(N2186&lt;= 28, S2186=9), "COVERAGE",AND(N2186&lt;= 30, S2186=9), "FLUSH",AND(N2186&lt;= 11, S2186=10), "FLUSH",AND(N2186&lt;= 21, S2186=10), "PRODUCTION")</f>
        <v>FLUSH</v>
      </c>
      <c r="U2186">
        <f>HOUR(datos_siembra[[#This Row],[Hour]])</f>
        <v>22</v>
      </c>
      <c r="V2186" cm="1">
        <f t="array" ref="V2186">_xlfn.IFS(AND(N2186&lt;= 22, S2186=9), N2186-7,AND(N2186&lt;= 28, S2186=9), N2186-25,AND(N2186&lt;= 30, S2186=9), N2186-28,AND(N2186&lt;= 11, S2186=10), N2186+2,AND(N2186&lt;= 21, S2186=10), N2186-11)</f>
        <v>3</v>
      </c>
    </row>
    <row r="2187" spans="1:22" x14ac:dyDescent="0.35">
      <c r="A2187" s="4">
        <v>45566</v>
      </c>
      <c r="B2187" s="5">
        <v>0.96261574074074074</v>
      </c>
      <c r="C2187">
        <v>74.2</v>
      </c>
      <c r="D2187">
        <v>73.2</v>
      </c>
      <c r="E2187">
        <v>72.8</v>
      </c>
      <c r="F2187">
        <v>70.900000000000006</v>
      </c>
      <c r="G2187">
        <v>0</v>
      </c>
      <c r="H2187">
        <v>0</v>
      </c>
      <c r="I2187">
        <v>0</v>
      </c>
      <c r="J2187">
        <v>0</v>
      </c>
      <c r="K2187">
        <v>63.3</v>
      </c>
      <c r="L2187">
        <v>62.6</v>
      </c>
      <c r="M2187">
        <v>72.87</v>
      </c>
      <c r="N2187">
        <v>1</v>
      </c>
      <c r="O2187">
        <v>7</v>
      </c>
      <c r="P2187">
        <f>MOD(DAY(datos_siembra[[#This Row],[Date]]),7)</f>
        <v>1</v>
      </c>
      <c r="Q2187" t="str">
        <f>CHOOSE(WEEKDAY(datos_siembra[[#This Row],[Date]],2),"L","M","X","J","V","S","D")</f>
        <v>M</v>
      </c>
      <c r="R2187">
        <f>WEEKNUM(datos_siembra[[#This Row],[Date]],2)-WEEKNUM(DATE(YEAR(datos_siembra[[#This Row],[Date]]),MONTH(datos_siembra[[#This Row],[Date]]),1))+1</f>
        <v>1</v>
      </c>
      <c r="S2187">
        <f>MONTH(datos_siembra[[#This Row],[Date]])</f>
        <v>10</v>
      </c>
      <c r="T2187" t="str" cm="1">
        <f t="array" ref="T2187">_xlfn.IFS(AND(N2187&lt;= 22, S2187=9), "SOWING",AND(N2187&lt;= 28, S2187=9), "COVERAGE",AND(N2187&lt;= 30, S2187=9), "FLUSH",AND(N2187&lt;= 11, S2187=10), "FLUSH",AND(N2187&lt;= 21, S2187=10), "PRODUCTION")</f>
        <v>FLUSH</v>
      </c>
      <c r="U2187">
        <f>HOUR(datos_siembra[[#This Row],[Hour]])</f>
        <v>23</v>
      </c>
      <c r="V2187" cm="1">
        <f t="array" ref="V2187">_xlfn.IFS(AND(N2187&lt;= 22, S2187=9), N2187-7,AND(N2187&lt;= 28, S2187=9), N2187-25,AND(N2187&lt;= 30, S2187=9), N2187-28,AND(N2187&lt;= 11, S2187=10), N2187+2,AND(N2187&lt;= 21, S2187=10), N2187-11)</f>
        <v>3</v>
      </c>
    </row>
    <row r="2188" spans="1:22" x14ac:dyDescent="0.35">
      <c r="A2188" s="4">
        <v>45566</v>
      </c>
      <c r="B2188" s="5">
        <v>0.96956018518518516</v>
      </c>
      <c r="C2188">
        <v>74.2</v>
      </c>
      <c r="D2188">
        <v>73.099999999999994</v>
      </c>
      <c r="E2188">
        <v>73</v>
      </c>
      <c r="F2188">
        <v>71</v>
      </c>
      <c r="G2188">
        <v>0</v>
      </c>
      <c r="H2188">
        <v>0</v>
      </c>
      <c r="I2188">
        <v>0</v>
      </c>
      <c r="J2188">
        <v>0</v>
      </c>
      <c r="K2188">
        <v>63</v>
      </c>
      <c r="L2188">
        <v>62.5</v>
      </c>
      <c r="M2188">
        <v>72.75</v>
      </c>
      <c r="N2188">
        <v>1</v>
      </c>
      <c r="O2188">
        <v>7</v>
      </c>
      <c r="P2188">
        <f>MOD(DAY(datos_siembra[[#This Row],[Date]]),7)</f>
        <v>1</v>
      </c>
      <c r="Q2188" t="str">
        <f>CHOOSE(WEEKDAY(datos_siembra[[#This Row],[Date]],2),"L","M","X","J","V","S","D")</f>
        <v>M</v>
      </c>
      <c r="R2188">
        <f>WEEKNUM(datos_siembra[[#This Row],[Date]],2)-WEEKNUM(DATE(YEAR(datos_siembra[[#This Row],[Date]]),MONTH(datos_siembra[[#This Row],[Date]]),1))+1</f>
        <v>1</v>
      </c>
      <c r="S2188">
        <f>MONTH(datos_siembra[[#This Row],[Date]])</f>
        <v>10</v>
      </c>
      <c r="T2188" t="str" cm="1">
        <f t="array" ref="T2188">_xlfn.IFS(AND(N2188&lt;= 22, S2188=9), "SOWING",AND(N2188&lt;= 28, S2188=9), "COVERAGE",AND(N2188&lt;= 30, S2188=9), "FLUSH",AND(N2188&lt;= 11, S2188=10), "FLUSH",AND(N2188&lt;= 21, S2188=10), "PRODUCTION")</f>
        <v>FLUSH</v>
      </c>
      <c r="U2188">
        <f>HOUR(datos_siembra[[#This Row],[Hour]])</f>
        <v>23</v>
      </c>
      <c r="V2188" cm="1">
        <f t="array" ref="V2188">_xlfn.IFS(AND(N2188&lt;= 22, S2188=9), N2188-7,AND(N2188&lt;= 28, S2188=9), N2188-25,AND(N2188&lt;= 30, S2188=9), N2188-28,AND(N2188&lt;= 11, S2188=10), N2188+2,AND(N2188&lt;= 21, S2188=10), N2188-11)</f>
        <v>3</v>
      </c>
    </row>
    <row r="2189" spans="1:22" x14ac:dyDescent="0.35">
      <c r="A2189" s="4">
        <v>45566</v>
      </c>
      <c r="B2189" s="5">
        <v>0.97650462962962958</v>
      </c>
      <c r="C2189">
        <v>74.099999999999994</v>
      </c>
      <c r="D2189">
        <v>73.400000000000006</v>
      </c>
      <c r="E2189">
        <v>73.2</v>
      </c>
      <c r="F2189">
        <v>71</v>
      </c>
      <c r="G2189">
        <v>0</v>
      </c>
      <c r="H2189">
        <v>0</v>
      </c>
      <c r="I2189">
        <v>0</v>
      </c>
      <c r="J2189">
        <v>0</v>
      </c>
      <c r="K2189">
        <v>62.8</v>
      </c>
      <c r="L2189">
        <v>62.2</v>
      </c>
      <c r="M2189">
        <v>72.87</v>
      </c>
      <c r="N2189">
        <v>1</v>
      </c>
      <c r="O2189">
        <v>7</v>
      </c>
      <c r="P2189">
        <f>MOD(DAY(datos_siembra[[#This Row],[Date]]),7)</f>
        <v>1</v>
      </c>
      <c r="Q2189" t="str">
        <f>CHOOSE(WEEKDAY(datos_siembra[[#This Row],[Date]],2),"L","M","X","J","V","S","D")</f>
        <v>M</v>
      </c>
      <c r="R2189">
        <f>WEEKNUM(datos_siembra[[#This Row],[Date]],2)-WEEKNUM(DATE(YEAR(datos_siembra[[#This Row],[Date]]),MONTH(datos_siembra[[#This Row],[Date]]),1))+1</f>
        <v>1</v>
      </c>
      <c r="S2189">
        <f>MONTH(datos_siembra[[#This Row],[Date]])</f>
        <v>10</v>
      </c>
      <c r="T2189" t="str" cm="1">
        <f t="array" ref="T2189">_xlfn.IFS(AND(N2189&lt;= 22, S2189=9), "SOWING",AND(N2189&lt;= 28, S2189=9), "COVERAGE",AND(N2189&lt;= 30, S2189=9), "FLUSH",AND(N2189&lt;= 11, S2189=10), "FLUSH",AND(N2189&lt;= 21, S2189=10), "PRODUCTION")</f>
        <v>FLUSH</v>
      </c>
      <c r="U2189">
        <f>HOUR(datos_siembra[[#This Row],[Hour]])</f>
        <v>23</v>
      </c>
      <c r="V2189" cm="1">
        <f t="array" ref="V2189">_xlfn.IFS(AND(N2189&lt;= 22, S2189=9), N2189-7,AND(N2189&lt;= 28, S2189=9), N2189-25,AND(N2189&lt;= 30, S2189=9), N2189-28,AND(N2189&lt;= 11, S2189=10), N2189+2,AND(N2189&lt;= 21, S2189=10), N2189-11)</f>
        <v>3</v>
      </c>
    </row>
    <row r="2190" spans="1:22" x14ac:dyDescent="0.35">
      <c r="A2190" s="4">
        <v>45566</v>
      </c>
      <c r="B2190" s="5">
        <v>0.98346064814814815</v>
      </c>
      <c r="C2190">
        <v>74.2</v>
      </c>
      <c r="D2190">
        <v>73.400000000000006</v>
      </c>
      <c r="E2190">
        <v>73.2</v>
      </c>
      <c r="F2190">
        <v>71</v>
      </c>
      <c r="G2190">
        <v>0</v>
      </c>
      <c r="H2190">
        <v>0</v>
      </c>
      <c r="I2190">
        <v>0</v>
      </c>
      <c r="J2190">
        <v>0</v>
      </c>
      <c r="K2190">
        <v>62.7</v>
      </c>
      <c r="L2190">
        <v>62</v>
      </c>
      <c r="M2190">
        <v>72.87</v>
      </c>
      <c r="N2190">
        <v>1</v>
      </c>
      <c r="O2190">
        <v>7</v>
      </c>
      <c r="P2190">
        <f>MOD(DAY(datos_siembra[[#This Row],[Date]]),7)</f>
        <v>1</v>
      </c>
      <c r="Q2190" t="str">
        <f>CHOOSE(WEEKDAY(datos_siembra[[#This Row],[Date]],2),"L","M","X","J","V","S","D")</f>
        <v>M</v>
      </c>
      <c r="R2190">
        <f>WEEKNUM(datos_siembra[[#This Row],[Date]],2)-WEEKNUM(DATE(YEAR(datos_siembra[[#This Row],[Date]]),MONTH(datos_siembra[[#This Row],[Date]]),1))+1</f>
        <v>1</v>
      </c>
      <c r="S2190">
        <f>MONTH(datos_siembra[[#This Row],[Date]])</f>
        <v>10</v>
      </c>
      <c r="T2190" t="str" cm="1">
        <f t="array" ref="T2190">_xlfn.IFS(AND(N2190&lt;= 22, S2190=9), "SOWING",AND(N2190&lt;= 28, S2190=9), "COVERAGE",AND(N2190&lt;= 30, S2190=9), "FLUSH",AND(N2190&lt;= 11, S2190=10), "FLUSH",AND(N2190&lt;= 21, S2190=10), "PRODUCTION")</f>
        <v>FLUSH</v>
      </c>
      <c r="U2190">
        <f>HOUR(datos_siembra[[#This Row],[Hour]])</f>
        <v>23</v>
      </c>
      <c r="V2190" cm="1">
        <f t="array" ref="V2190">_xlfn.IFS(AND(N2190&lt;= 22, S2190=9), N2190-7,AND(N2190&lt;= 28, S2190=9), N2190-25,AND(N2190&lt;= 30, S2190=9), N2190-28,AND(N2190&lt;= 11, S2190=10), N2190+2,AND(N2190&lt;= 21, S2190=10), N2190-11)</f>
        <v>3</v>
      </c>
    </row>
    <row r="2191" spans="1:22" x14ac:dyDescent="0.35">
      <c r="A2191" s="4">
        <v>45566</v>
      </c>
      <c r="B2191" s="5">
        <v>0.99040509259259257</v>
      </c>
      <c r="C2191">
        <v>74.2</v>
      </c>
      <c r="D2191">
        <v>73.099999999999994</v>
      </c>
      <c r="E2191">
        <v>73</v>
      </c>
      <c r="F2191">
        <v>70.900000000000006</v>
      </c>
      <c r="G2191">
        <v>0</v>
      </c>
      <c r="H2191">
        <v>0</v>
      </c>
      <c r="I2191">
        <v>0</v>
      </c>
      <c r="J2191">
        <v>0</v>
      </c>
      <c r="K2191">
        <v>62.6</v>
      </c>
      <c r="L2191">
        <v>61.9</v>
      </c>
      <c r="M2191">
        <v>72.75</v>
      </c>
      <c r="N2191">
        <v>1</v>
      </c>
      <c r="O2191">
        <v>7</v>
      </c>
      <c r="P2191">
        <f>MOD(DAY(datos_siembra[[#This Row],[Date]]),7)</f>
        <v>1</v>
      </c>
      <c r="Q2191" t="str">
        <f>CHOOSE(WEEKDAY(datos_siembra[[#This Row],[Date]],2),"L","M","X","J","V","S","D")</f>
        <v>M</v>
      </c>
      <c r="R2191">
        <f>WEEKNUM(datos_siembra[[#This Row],[Date]],2)-WEEKNUM(DATE(YEAR(datos_siembra[[#This Row],[Date]]),MONTH(datos_siembra[[#This Row],[Date]]),1))+1</f>
        <v>1</v>
      </c>
      <c r="S2191">
        <f>MONTH(datos_siembra[[#This Row],[Date]])</f>
        <v>10</v>
      </c>
      <c r="T2191" t="str" cm="1">
        <f t="array" ref="T2191">_xlfn.IFS(AND(N2191&lt;= 22, S2191=9), "SOWING",AND(N2191&lt;= 28, S2191=9), "COVERAGE",AND(N2191&lt;= 30, S2191=9), "FLUSH",AND(N2191&lt;= 11, S2191=10), "FLUSH",AND(N2191&lt;= 21, S2191=10), "PRODUCTION")</f>
        <v>FLUSH</v>
      </c>
      <c r="U2191">
        <f>HOUR(datos_siembra[[#This Row],[Hour]])</f>
        <v>23</v>
      </c>
      <c r="V2191" cm="1">
        <f t="array" ref="V2191">_xlfn.IFS(AND(N2191&lt;= 22, S2191=9), N2191-7,AND(N2191&lt;= 28, S2191=9), N2191-25,AND(N2191&lt;= 30, S2191=9), N2191-28,AND(N2191&lt;= 11, S2191=10), N2191+2,AND(N2191&lt;= 21, S2191=10), N2191-11)</f>
        <v>3</v>
      </c>
    </row>
    <row r="2192" spans="1:22" x14ac:dyDescent="0.35">
      <c r="A2192" s="4">
        <v>45566</v>
      </c>
      <c r="B2192" s="5">
        <v>0.99734953703703699</v>
      </c>
      <c r="C2192">
        <v>74.2</v>
      </c>
      <c r="D2192">
        <v>73.099999999999994</v>
      </c>
      <c r="E2192">
        <v>73.099999999999994</v>
      </c>
      <c r="F2192">
        <v>70.900000000000006</v>
      </c>
      <c r="G2192">
        <v>0</v>
      </c>
      <c r="H2192">
        <v>0</v>
      </c>
      <c r="I2192">
        <v>0</v>
      </c>
      <c r="J2192">
        <v>0</v>
      </c>
      <c r="K2192">
        <v>63.5</v>
      </c>
      <c r="L2192">
        <v>63</v>
      </c>
      <c r="M2192">
        <v>72.75</v>
      </c>
      <c r="N2192">
        <v>1</v>
      </c>
      <c r="O2192">
        <v>7</v>
      </c>
      <c r="P2192">
        <f>MOD(DAY(datos_siembra[[#This Row],[Date]]),7)</f>
        <v>1</v>
      </c>
      <c r="Q2192" t="str">
        <f>CHOOSE(WEEKDAY(datos_siembra[[#This Row],[Date]],2),"L","M","X","J","V","S","D")</f>
        <v>M</v>
      </c>
      <c r="R2192">
        <f>WEEKNUM(datos_siembra[[#This Row],[Date]],2)-WEEKNUM(DATE(YEAR(datos_siembra[[#This Row],[Date]]),MONTH(datos_siembra[[#This Row],[Date]]),1))+1</f>
        <v>1</v>
      </c>
      <c r="S2192">
        <f>MONTH(datos_siembra[[#This Row],[Date]])</f>
        <v>10</v>
      </c>
      <c r="T2192" t="str" cm="1">
        <f t="array" ref="T2192">_xlfn.IFS(AND(N2192&lt;= 22, S2192=9), "SOWING",AND(N2192&lt;= 28, S2192=9), "COVERAGE",AND(N2192&lt;= 30, S2192=9), "FLUSH",AND(N2192&lt;= 11, S2192=10), "FLUSH",AND(N2192&lt;= 21, S2192=10), "PRODUCTION")</f>
        <v>FLUSH</v>
      </c>
      <c r="U2192">
        <f>HOUR(datos_siembra[[#This Row],[Hour]])</f>
        <v>23</v>
      </c>
      <c r="V2192" cm="1">
        <f t="array" ref="V2192">_xlfn.IFS(AND(N2192&lt;= 22, S2192=9), N2192-7,AND(N2192&lt;= 28, S2192=9), N2192-25,AND(N2192&lt;= 30, S2192=9), N2192-28,AND(N2192&lt;= 11, S2192=10), N2192+2,AND(N2192&lt;= 21, S2192=10), N2192-11)</f>
        <v>3</v>
      </c>
    </row>
    <row r="2193" spans="1:22" x14ac:dyDescent="0.35">
      <c r="A2193" s="4">
        <v>45567</v>
      </c>
      <c r="B2193" s="5">
        <v>4.2939814814814811E-3</v>
      </c>
      <c r="C2193">
        <v>74.099999999999994</v>
      </c>
      <c r="D2193">
        <v>73.2</v>
      </c>
      <c r="E2193">
        <v>73</v>
      </c>
      <c r="F2193">
        <v>70.900000000000006</v>
      </c>
      <c r="G2193">
        <v>0</v>
      </c>
      <c r="H2193">
        <v>0</v>
      </c>
      <c r="I2193">
        <v>0</v>
      </c>
      <c r="J2193">
        <v>0</v>
      </c>
      <c r="K2193">
        <v>63.8</v>
      </c>
      <c r="L2193">
        <v>63.4</v>
      </c>
      <c r="M2193">
        <v>72.87</v>
      </c>
      <c r="N2193">
        <v>2</v>
      </c>
      <c r="O2193">
        <v>1</v>
      </c>
      <c r="P2193">
        <f>MOD(DAY(datos_siembra[[#This Row],[Date]]),7)</f>
        <v>2</v>
      </c>
      <c r="Q2193" t="str">
        <f>CHOOSE(WEEKDAY(datos_siembra[[#This Row],[Date]],2),"L","M","X","J","V","S","D")</f>
        <v>X</v>
      </c>
      <c r="R2193">
        <f>WEEKNUM(datos_siembra[[#This Row],[Date]],2)-WEEKNUM(DATE(YEAR(datos_siembra[[#This Row],[Date]]),MONTH(datos_siembra[[#This Row],[Date]]),1))+1</f>
        <v>1</v>
      </c>
      <c r="S2193">
        <f>MONTH(datos_siembra[[#This Row],[Date]])</f>
        <v>10</v>
      </c>
      <c r="T2193" t="str" cm="1">
        <f t="array" ref="T2193">_xlfn.IFS(AND(N2193&lt;= 22, S2193=9), "SOWING",AND(N2193&lt;= 28, S2193=9), "COVERAGE",AND(N2193&lt;= 30, S2193=9), "FLUSH",AND(N2193&lt;= 11, S2193=10), "FLUSH",AND(N2193&lt;= 21, S2193=10), "PRODUCTION")</f>
        <v>FLUSH</v>
      </c>
      <c r="U2193">
        <f>HOUR(datos_siembra[[#This Row],[Hour]])</f>
        <v>0</v>
      </c>
      <c r="V2193" cm="1">
        <f t="array" ref="V2193">_xlfn.IFS(AND(N2193&lt;= 22, S2193=9), N2193-7,AND(N2193&lt;= 28, S2193=9), N2193-25,AND(N2193&lt;= 30, S2193=9), N2193-28,AND(N2193&lt;= 11, S2193=10), N2193+2,AND(N2193&lt;= 21, S2193=10), N2193-11)</f>
        <v>4</v>
      </c>
    </row>
    <row r="2194" spans="1:22" x14ac:dyDescent="0.35">
      <c r="A2194" s="4">
        <v>45567</v>
      </c>
      <c r="B2194" s="5">
        <v>1.125E-2</v>
      </c>
      <c r="C2194">
        <v>74.3</v>
      </c>
      <c r="D2194">
        <v>73.2</v>
      </c>
      <c r="E2194">
        <v>73</v>
      </c>
      <c r="F2194">
        <v>70.900000000000006</v>
      </c>
      <c r="G2194">
        <v>0</v>
      </c>
      <c r="H2194">
        <v>0</v>
      </c>
      <c r="I2194">
        <v>0</v>
      </c>
      <c r="J2194">
        <v>0</v>
      </c>
      <c r="K2194">
        <v>64.099999999999994</v>
      </c>
      <c r="L2194">
        <v>63.6</v>
      </c>
      <c r="M2194">
        <v>72.87</v>
      </c>
      <c r="N2194">
        <v>2</v>
      </c>
      <c r="O2194">
        <v>1</v>
      </c>
      <c r="P2194">
        <f>MOD(DAY(datos_siembra[[#This Row],[Date]]),7)</f>
        <v>2</v>
      </c>
      <c r="Q2194" t="str">
        <f>CHOOSE(WEEKDAY(datos_siembra[[#This Row],[Date]],2),"L","M","X","J","V","S","D")</f>
        <v>X</v>
      </c>
      <c r="R2194">
        <f>WEEKNUM(datos_siembra[[#This Row],[Date]],2)-WEEKNUM(DATE(YEAR(datos_siembra[[#This Row],[Date]]),MONTH(datos_siembra[[#This Row],[Date]]),1))+1</f>
        <v>1</v>
      </c>
      <c r="S2194">
        <f>MONTH(datos_siembra[[#This Row],[Date]])</f>
        <v>10</v>
      </c>
      <c r="T2194" t="str" cm="1">
        <f t="array" ref="T2194">_xlfn.IFS(AND(N2194&lt;= 22, S2194=9), "SOWING",AND(N2194&lt;= 28, S2194=9), "COVERAGE",AND(N2194&lt;= 30, S2194=9), "FLUSH",AND(N2194&lt;= 11, S2194=10), "FLUSH",AND(N2194&lt;= 21, S2194=10), "PRODUCTION")</f>
        <v>FLUSH</v>
      </c>
      <c r="U2194">
        <f>HOUR(datos_siembra[[#This Row],[Hour]])</f>
        <v>0</v>
      </c>
      <c r="V2194" cm="1">
        <f t="array" ref="V2194">_xlfn.IFS(AND(N2194&lt;= 22, S2194=9), N2194-7,AND(N2194&lt;= 28, S2194=9), N2194-25,AND(N2194&lt;= 30, S2194=9), N2194-28,AND(N2194&lt;= 11, S2194=10), N2194+2,AND(N2194&lt;= 21, S2194=10), N2194-11)</f>
        <v>4</v>
      </c>
    </row>
    <row r="2195" spans="1:22" x14ac:dyDescent="0.35">
      <c r="A2195" s="4">
        <v>45567</v>
      </c>
      <c r="B2195" s="5">
        <v>1.8194444444444444E-2</v>
      </c>
      <c r="C2195">
        <v>74.3</v>
      </c>
      <c r="D2195">
        <v>73.2</v>
      </c>
      <c r="E2195">
        <v>73.2</v>
      </c>
      <c r="F2195">
        <v>71</v>
      </c>
      <c r="G2195">
        <v>0</v>
      </c>
      <c r="H2195">
        <v>0</v>
      </c>
      <c r="I2195">
        <v>0</v>
      </c>
      <c r="J2195">
        <v>0</v>
      </c>
      <c r="K2195">
        <v>64.099999999999994</v>
      </c>
      <c r="L2195">
        <v>63.7</v>
      </c>
      <c r="M2195">
        <v>72.92</v>
      </c>
      <c r="N2195">
        <v>2</v>
      </c>
      <c r="O2195">
        <v>1</v>
      </c>
      <c r="P2195">
        <f>MOD(DAY(datos_siembra[[#This Row],[Date]]),7)</f>
        <v>2</v>
      </c>
      <c r="Q2195" t="str">
        <f>CHOOSE(WEEKDAY(datos_siembra[[#This Row],[Date]],2),"L","M","X","J","V","S","D")</f>
        <v>X</v>
      </c>
      <c r="R2195">
        <f>WEEKNUM(datos_siembra[[#This Row],[Date]],2)-WEEKNUM(DATE(YEAR(datos_siembra[[#This Row],[Date]]),MONTH(datos_siembra[[#This Row],[Date]]),1))+1</f>
        <v>1</v>
      </c>
      <c r="S2195">
        <f>MONTH(datos_siembra[[#This Row],[Date]])</f>
        <v>10</v>
      </c>
      <c r="T2195" t="str" cm="1">
        <f t="array" ref="T2195">_xlfn.IFS(AND(N2195&lt;= 22, S2195=9), "SOWING",AND(N2195&lt;= 28, S2195=9), "COVERAGE",AND(N2195&lt;= 30, S2195=9), "FLUSH",AND(N2195&lt;= 11, S2195=10), "FLUSH",AND(N2195&lt;= 21, S2195=10), "PRODUCTION")</f>
        <v>FLUSH</v>
      </c>
      <c r="U2195">
        <f>HOUR(datos_siembra[[#This Row],[Hour]])</f>
        <v>0</v>
      </c>
      <c r="V2195" cm="1">
        <f t="array" ref="V2195">_xlfn.IFS(AND(N2195&lt;= 22, S2195=9), N2195-7,AND(N2195&lt;= 28, S2195=9), N2195-25,AND(N2195&lt;= 30, S2195=9), N2195-28,AND(N2195&lt;= 11, S2195=10), N2195+2,AND(N2195&lt;= 21, S2195=10), N2195-11)</f>
        <v>4</v>
      </c>
    </row>
    <row r="2196" spans="1:22" x14ac:dyDescent="0.35">
      <c r="A2196" s="4">
        <v>45567</v>
      </c>
      <c r="B2196" s="5">
        <v>2.5138888888888888E-2</v>
      </c>
      <c r="C2196">
        <v>74</v>
      </c>
      <c r="D2196">
        <v>73.2</v>
      </c>
      <c r="E2196">
        <v>72.8</v>
      </c>
      <c r="F2196">
        <v>71</v>
      </c>
      <c r="G2196">
        <v>0</v>
      </c>
      <c r="H2196">
        <v>0</v>
      </c>
      <c r="I2196">
        <v>0</v>
      </c>
      <c r="J2196">
        <v>0</v>
      </c>
      <c r="K2196">
        <v>64.3</v>
      </c>
      <c r="L2196">
        <v>63.8</v>
      </c>
      <c r="M2196">
        <v>72.78</v>
      </c>
      <c r="N2196">
        <v>2</v>
      </c>
      <c r="O2196">
        <v>1</v>
      </c>
      <c r="P2196">
        <f>MOD(DAY(datos_siembra[[#This Row],[Date]]),7)</f>
        <v>2</v>
      </c>
      <c r="Q2196" t="str">
        <f>CHOOSE(WEEKDAY(datos_siembra[[#This Row],[Date]],2),"L","M","X","J","V","S","D")</f>
        <v>X</v>
      </c>
      <c r="R2196">
        <f>WEEKNUM(datos_siembra[[#This Row],[Date]],2)-WEEKNUM(DATE(YEAR(datos_siembra[[#This Row],[Date]]),MONTH(datos_siembra[[#This Row],[Date]]),1))+1</f>
        <v>1</v>
      </c>
      <c r="S2196">
        <f>MONTH(datos_siembra[[#This Row],[Date]])</f>
        <v>10</v>
      </c>
      <c r="T2196" t="str" cm="1">
        <f t="array" ref="T2196">_xlfn.IFS(AND(N2196&lt;= 22, S2196=9), "SOWING",AND(N2196&lt;= 28, S2196=9), "COVERAGE",AND(N2196&lt;= 30, S2196=9), "FLUSH",AND(N2196&lt;= 11, S2196=10), "FLUSH",AND(N2196&lt;= 21, S2196=10), "PRODUCTION")</f>
        <v>FLUSH</v>
      </c>
      <c r="U2196">
        <f>HOUR(datos_siembra[[#This Row],[Hour]])</f>
        <v>0</v>
      </c>
      <c r="V2196" cm="1">
        <f t="array" ref="V2196">_xlfn.IFS(AND(N2196&lt;= 22, S2196=9), N2196-7,AND(N2196&lt;= 28, S2196=9), N2196-25,AND(N2196&lt;= 30, S2196=9), N2196-28,AND(N2196&lt;= 11, S2196=10), N2196+2,AND(N2196&lt;= 21, S2196=10), N2196-11)</f>
        <v>4</v>
      </c>
    </row>
    <row r="2197" spans="1:22" x14ac:dyDescent="0.35">
      <c r="A2197" s="4">
        <v>45567</v>
      </c>
      <c r="B2197" s="5">
        <v>3.2083333333333332E-2</v>
      </c>
      <c r="C2197">
        <v>74</v>
      </c>
      <c r="D2197">
        <v>73.099999999999994</v>
      </c>
      <c r="E2197">
        <v>73</v>
      </c>
      <c r="F2197">
        <v>70.900000000000006</v>
      </c>
      <c r="G2197">
        <v>0</v>
      </c>
      <c r="H2197">
        <v>0</v>
      </c>
      <c r="I2197">
        <v>0</v>
      </c>
      <c r="J2197">
        <v>0</v>
      </c>
      <c r="K2197">
        <v>64.3</v>
      </c>
      <c r="L2197">
        <v>63.9</v>
      </c>
      <c r="M2197">
        <v>72.7</v>
      </c>
      <c r="N2197">
        <v>2</v>
      </c>
      <c r="O2197">
        <v>1</v>
      </c>
      <c r="P2197">
        <f>MOD(DAY(datos_siembra[[#This Row],[Date]]),7)</f>
        <v>2</v>
      </c>
      <c r="Q2197" t="str">
        <f>CHOOSE(WEEKDAY(datos_siembra[[#This Row],[Date]],2),"L","M","X","J","V","S","D")</f>
        <v>X</v>
      </c>
      <c r="R2197">
        <f>WEEKNUM(datos_siembra[[#This Row],[Date]],2)-WEEKNUM(DATE(YEAR(datos_siembra[[#This Row],[Date]]),MONTH(datos_siembra[[#This Row],[Date]]),1))+1</f>
        <v>1</v>
      </c>
      <c r="S2197">
        <f>MONTH(datos_siembra[[#This Row],[Date]])</f>
        <v>10</v>
      </c>
      <c r="T2197" t="str" cm="1">
        <f t="array" ref="T2197">_xlfn.IFS(AND(N2197&lt;= 22, S2197=9), "SOWING",AND(N2197&lt;= 28, S2197=9), "COVERAGE",AND(N2197&lt;= 30, S2197=9), "FLUSH",AND(N2197&lt;= 11, S2197=10), "FLUSH",AND(N2197&lt;= 21, S2197=10), "PRODUCTION")</f>
        <v>FLUSH</v>
      </c>
      <c r="U2197">
        <f>HOUR(datos_siembra[[#This Row],[Hour]])</f>
        <v>0</v>
      </c>
      <c r="V2197" cm="1">
        <f t="array" ref="V2197">_xlfn.IFS(AND(N2197&lt;= 22, S2197=9), N2197-7,AND(N2197&lt;= 28, S2197=9), N2197-25,AND(N2197&lt;= 30, S2197=9), N2197-28,AND(N2197&lt;= 11, S2197=10), N2197+2,AND(N2197&lt;= 21, S2197=10), N2197-11)</f>
        <v>4</v>
      </c>
    </row>
    <row r="2198" spans="1:22" x14ac:dyDescent="0.35">
      <c r="A2198" s="4">
        <v>45567</v>
      </c>
      <c r="B2198" s="5">
        <v>3.9039351851851853E-2</v>
      </c>
      <c r="C2198">
        <v>74</v>
      </c>
      <c r="D2198">
        <v>73.2</v>
      </c>
      <c r="E2198">
        <v>72.8</v>
      </c>
      <c r="F2198">
        <v>70.7</v>
      </c>
      <c r="G2198">
        <v>0</v>
      </c>
      <c r="H2198">
        <v>0</v>
      </c>
      <c r="I2198">
        <v>0</v>
      </c>
      <c r="J2198">
        <v>0</v>
      </c>
      <c r="K2198">
        <v>64.3</v>
      </c>
      <c r="L2198">
        <v>63.9</v>
      </c>
      <c r="M2198">
        <v>72.64</v>
      </c>
      <c r="N2198">
        <v>2</v>
      </c>
      <c r="O2198">
        <v>1</v>
      </c>
      <c r="P2198">
        <f>MOD(DAY(datos_siembra[[#This Row],[Date]]),7)</f>
        <v>2</v>
      </c>
      <c r="Q2198" t="str">
        <f>CHOOSE(WEEKDAY(datos_siembra[[#This Row],[Date]],2),"L","M","X","J","V","S","D")</f>
        <v>X</v>
      </c>
      <c r="R2198">
        <f>WEEKNUM(datos_siembra[[#This Row],[Date]],2)-WEEKNUM(DATE(YEAR(datos_siembra[[#This Row],[Date]]),MONTH(datos_siembra[[#This Row],[Date]]),1))+1</f>
        <v>1</v>
      </c>
      <c r="S2198">
        <f>MONTH(datos_siembra[[#This Row],[Date]])</f>
        <v>10</v>
      </c>
      <c r="T2198" t="str" cm="1">
        <f t="array" ref="T2198">_xlfn.IFS(AND(N2198&lt;= 22, S2198=9), "SOWING",AND(N2198&lt;= 28, S2198=9), "COVERAGE",AND(N2198&lt;= 30, S2198=9), "FLUSH",AND(N2198&lt;= 11, S2198=10), "FLUSH",AND(N2198&lt;= 21, S2198=10), "PRODUCTION")</f>
        <v>FLUSH</v>
      </c>
      <c r="U2198">
        <f>HOUR(datos_siembra[[#This Row],[Hour]])</f>
        <v>0</v>
      </c>
      <c r="V2198" cm="1">
        <f t="array" ref="V2198">_xlfn.IFS(AND(N2198&lt;= 22, S2198=9), N2198-7,AND(N2198&lt;= 28, S2198=9), N2198-25,AND(N2198&lt;= 30, S2198=9), N2198-28,AND(N2198&lt;= 11, S2198=10), N2198+2,AND(N2198&lt;= 21, S2198=10), N2198-11)</f>
        <v>4</v>
      </c>
    </row>
    <row r="2199" spans="1:22" x14ac:dyDescent="0.35">
      <c r="A2199" s="4">
        <v>45567</v>
      </c>
      <c r="B2199" s="5">
        <v>4.5983796296296293E-2</v>
      </c>
      <c r="C2199">
        <v>74.099999999999994</v>
      </c>
      <c r="D2199">
        <v>73.099999999999994</v>
      </c>
      <c r="E2199">
        <v>72.8</v>
      </c>
      <c r="F2199">
        <v>70.8</v>
      </c>
      <c r="G2199">
        <v>0</v>
      </c>
      <c r="H2199">
        <v>0</v>
      </c>
      <c r="I2199">
        <v>0</v>
      </c>
      <c r="J2199">
        <v>0</v>
      </c>
      <c r="K2199">
        <v>64.099999999999994</v>
      </c>
      <c r="L2199">
        <v>63.4</v>
      </c>
      <c r="M2199">
        <v>72.7</v>
      </c>
      <c r="N2199">
        <v>2</v>
      </c>
      <c r="O2199">
        <v>1</v>
      </c>
      <c r="P2199">
        <f>MOD(DAY(datos_siembra[[#This Row],[Date]]),7)</f>
        <v>2</v>
      </c>
      <c r="Q2199" t="str">
        <f>CHOOSE(WEEKDAY(datos_siembra[[#This Row],[Date]],2),"L","M","X","J","V","S","D")</f>
        <v>X</v>
      </c>
      <c r="R2199">
        <f>WEEKNUM(datos_siembra[[#This Row],[Date]],2)-WEEKNUM(DATE(YEAR(datos_siembra[[#This Row],[Date]]),MONTH(datos_siembra[[#This Row],[Date]]),1))+1</f>
        <v>1</v>
      </c>
      <c r="S2199">
        <f>MONTH(datos_siembra[[#This Row],[Date]])</f>
        <v>10</v>
      </c>
      <c r="T2199" t="str" cm="1">
        <f t="array" ref="T2199">_xlfn.IFS(AND(N2199&lt;= 22, S2199=9), "SOWING",AND(N2199&lt;= 28, S2199=9), "COVERAGE",AND(N2199&lt;= 30, S2199=9), "FLUSH",AND(N2199&lt;= 11, S2199=10), "FLUSH",AND(N2199&lt;= 21, S2199=10), "PRODUCTION")</f>
        <v>FLUSH</v>
      </c>
      <c r="U2199">
        <f>HOUR(datos_siembra[[#This Row],[Hour]])</f>
        <v>1</v>
      </c>
      <c r="V2199" cm="1">
        <f t="array" ref="V2199">_xlfn.IFS(AND(N2199&lt;= 22, S2199=9), N2199-7,AND(N2199&lt;= 28, S2199=9), N2199-25,AND(N2199&lt;= 30, S2199=9), N2199-28,AND(N2199&lt;= 11, S2199=10), N2199+2,AND(N2199&lt;= 21, S2199=10), N2199-11)</f>
        <v>4</v>
      </c>
    </row>
    <row r="2200" spans="1:22" x14ac:dyDescent="0.35">
      <c r="A2200" s="4">
        <v>45567</v>
      </c>
      <c r="B2200" s="5">
        <v>5.2928240740740741E-2</v>
      </c>
      <c r="C2200">
        <v>73.900000000000006</v>
      </c>
      <c r="D2200">
        <v>72.8</v>
      </c>
      <c r="E2200">
        <v>72.7</v>
      </c>
      <c r="F2200">
        <v>70.8</v>
      </c>
      <c r="G2200">
        <v>0</v>
      </c>
      <c r="H2200">
        <v>0</v>
      </c>
      <c r="I2200">
        <v>0</v>
      </c>
      <c r="J2200">
        <v>0</v>
      </c>
      <c r="K2200">
        <v>63.3</v>
      </c>
      <c r="L2200">
        <v>62.7</v>
      </c>
      <c r="M2200">
        <v>72.53</v>
      </c>
      <c r="N2200">
        <v>2</v>
      </c>
      <c r="O2200">
        <v>1</v>
      </c>
      <c r="P2200">
        <f>MOD(DAY(datos_siembra[[#This Row],[Date]]),7)</f>
        <v>2</v>
      </c>
      <c r="Q2200" t="str">
        <f>CHOOSE(WEEKDAY(datos_siembra[[#This Row],[Date]],2),"L","M","X","J","V","S","D")</f>
        <v>X</v>
      </c>
      <c r="R2200">
        <f>WEEKNUM(datos_siembra[[#This Row],[Date]],2)-WEEKNUM(DATE(YEAR(datos_siembra[[#This Row],[Date]]),MONTH(datos_siembra[[#This Row],[Date]]),1))+1</f>
        <v>1</v>
      </c>
      <c r="S2200">
        <f>MONTH(datos_siembra[[#This Row],[Date]])</f>
        <v>10</v>
      </c>
      <c r="T2200" t="str" cm="1">
        <f t="array" ref="T2200">_xlfn.IFS(AND(N2200&lt;= 22, S2200=9), "SOWING",AND(N2200&lt;= 28, S2200=9), "COVERAGE",AND(N2200&lt;= 30, S2200=9), "FLUSH",AND(N2200&lt;= 11, S2200=10), "FLUSH",AND(N2200&lt;= 21, S2200=10), "PRODUCTION")</f>
        <v>FLUSH</v>
      </c>
      <c r="U2200">
        <f>HOUR(datos_siembra[[#This Row],[Hour]])</f>
        <v>1</v>
      </c>
      <c r="V2200" cm="1">
        <f t="array" ref="V2200">_xlfn.IFS(AND(N2200&lt;= 22, S2200=9), N2200-7,AND(N2200&lt;= 28, S2200=9), N2200-25,AND(N2200&lt;= 30, S2200=9), N2200-28,AND(N2200&lt;= 11, S2200=10), N2200+2,AND(N2200&lt;= 21, S2200=10), N2200-11)</f>
        <v>4</v>
      </c>
    </row>
    <row r="2201" spans="1:22" x14ac:dyDescent="0.35">
      <c r="A2201" s="4">
        <v>45567</v>
      </c>
      <c r="B2201" s="5">
        <v>5.9872685185185189E-2</v>
      </c>
      <c r="C2201">
        <v>74</v>
      </c>
      <c r="D2201">
        <v>72.8</v>
      </c>
      <c r="E2201">
        <v>72.7</v>
      </c>
      <c r="F2201">
        <v>70.7</v>
      </c>
      <c r="G2201">
        <v>0</v>
      </c>
      <c r="H2201">
        <v>0</v>
      </c>
      <c r="I2201">
        <v>0</v>
      </c>
      <c r="J2201">
        <v>0</v>
      </c>
      <c r="K2201">
        <v>62.8</v>
      </c>
      <c r="L2201">
        <v>62.3</v>
      </c>
      <c r="M2201">
        <v>72.56</v>
      </c>
      <c r="N2201">
        <v>2</v>
      </c>
      <c r="O2201">
        <v>1</v>
      </c>
      <c r="P2201">
        <f>MOD(DAY(datos_siembra[[#This Row],[Date]]),7)</f>
        <v>2</v>
      </c>
      <c r="Q2201" t="str">
        <f>CHOOSE(WEEKDAY(datos_siembra[[#This Row],[Date]],2),"L","M","X","J","V","S","D")</f>
        <v>X</v>
      </c>
      <c r="R2201">
        <f>WEEKNUM(datos_siembra[[#This Row],[Date]],2)-WEEKNUM(DATE(YEAR(datos_siembra[[#This Row],[Date]]),MONTH(datos_siembra[[#This Row],[Date]]),1))+1</f>
        <v>1</v>
      </c>
      <c r="S2201">
        <f>MONTH(datos_siembra[[#This Row],[Date]])</f>
        <v>10</v>
      </c>
      <c r="T2201" t="str" cm="1">
        <f t="array" ref="T2201">_xlfn.IFS(AND(N2201&lt;= 22, S2201=9), "SOWING",AND(N2201&lt;= 28, S2201=9), "COVERAGE",AND(N2201&lt;= 30, S2201=9), "FLUSH",AND(N2201&lt;= 11, S2201=10), "FLUSH",AND(N2201&lt;= 21, S2201=10), "PRODUCTION")</f>
        <v>FLUSH</v>
      </c>
      <c r="U2201">
        <f>HOUR(datos_siembra[[#This Row],[Hour]])</f>
        <v>1</v>
      </c>
      <c r="V2201" cm="1">
        <f t="array" ref="V2201">_xlfn.IFS(AND(N2201&lt;= 22, S2201=9), N2201-7,AND(N2201&lt;= 28, S2201=9), N2201-25,AND(N2201&lt;= 30, S2201=9), N2201-28,AND(N2201&lt;= 11, S2201=10), N2201+2,AND(N2201&lt;= 21, S2201=10), N2201-11)</f>
        <v>4</v>
      </c>
    </row>
    <row r="2202" spans="1:22" x14ac:dyDescent="0.35">
      <c r="A2202" s="4">
        <v>45567</v>
      </c>
      <c r="B2202" s="5">
        <v>6.682870370370371E-2</v>
      </c>
      <c r="C2202">
        <v>73.7</v>
      </c>
      <c r="D2202">
        <v>72.599999999999994</v>
      </c>
      <c r="E2202">
        <v>72.7</v>
      </c>
      <c r="F2202">
        <v>70.599999999999994</v>
      </c>
      <c r="G2202">
        <v>0</v>
      </c>
      <c r="H2202">
        <v>0</v>
      </c>
      <c r="I2202">
        <v>0</v>
      </c>
      <c r="J2202">
        <v>0</v>
      </c>
      <c r="K2202">
        <v>62.6</v>
      </c>
      <c r="L2202">
        <v>62</v>
      </c>
      <c r="M2202">
        <v>72.42</v>
      </c>
      <c r="N2202">
        <v>2</v>
      </c>
      <c r="O2202">
        <v>1</v>
      </c>
      <c r="P2202">
        <f>MOD(DAY(datos_siembra[[#This Row],[Date]]),7)</f>
        <v>2</v>
      </c>
      <c r="Q2202" t="str">
        <f>CHOOSE(WEEKDAY(datos_siembra[[#This Row],[Date]],2),"L","M","X","J","V","S","D")</f>
        <v>X</v>
      </c>
      <c r="R2202">
        <f>WEEKNUM(datos_siembra[[#This Row],[Date]],2)-WEEKNUM(DATE(YEAR(datos_siembra[[#This Row],[Date]]),MONTH(datos_siembra[[#This Row],[Date]]),1))+1</f>
        <v>1</v>
      </c>
      <c r="S2202">
        <f>MONTH(datos_siembra[[#This Row],[Date]])</f>
        <v>10</v>
      </c>
      <c r="T2202" t="str" cm="1">
        <f t="array" ref="T2202">_xlfn.IFS(AND(N2202&lt;= 22, S2202=9), "SOWING",AND(N2202&lt;= 28, S2202=9), "COVERAGE",AND(N2202&lt;= 30, S2202=9), "FLUSH",AND(N2202&lt;= 11, S2202=10), "FLUSH",AND(N2202&lt;= 21, S2202=10), "PRODUCTION")</f>
        <v>FLUSH</v>
      </c>
      <c r="U2202">
        <f>HOUR(datos_siembra[[#This Row],[Hour]])</f>
        <v>1</v>
      </c>
      <c r="V2202" cm="1">
        <f t="array" ref="V2202">_xlfn.IFS(AND(N2202&lt;= 22, S2202=9), N2202-7,AND(N2202&lt;= 28, S2202=9), N2202-25,AND(N2202&lt;= 30, S2202=9), N2202-28,AND(N2202&lt;= 11, S2202=10), N2202+2,AND(N2202&lt;= 21, S2202=10), N2202-11)</f>
        <v>4</v>
      </c>
    </row>
    <row r="2203" spans="1:22" x14ac:dyDescent="0.35">
      <c r="A2203" s="4">
        <v>45567</v>
      </c>
      <c r="B2203" s="5">
        <v>7.3773148148148143E-2</v>
      </c>
      <c r="C2203">
        <v>73.900000000000006</v>
      </c>
      <c r="D2203">
        <v>72.599999999999994</v>
      </c>
      <c r="E2203">
        <v>72.7</v>
      </c>
      <c r="F2203">
        <v>70.7</v>
      </c>
      <c r="G2203">
        <v>0</v>
      </c>
      <c r="H2203">
        <v>0</v>
      </c>
      <c r="I2203">
        <v>0</v>
      </c>
      <c r="J2203">
        <v>0</v>
      </c>
      <c r="K2203">
        <v>63.4</v>
      </c>
      <c r="L2203">
        <v>63</v>
      </c>
      <c r="M2203">
        <v>72.5</v>
      </c>
      <c r="N2203">
        <v>2</v>
      </c>
      <c r="O2203">
        <v>1</v>
      </c>
      <c r="P2203">
        <f>MOD(DAY(datos_siembra[[#This Row],[Date]]),7)</f>
        <v>2</v>
      </c>
      <c r="Q2203" t="str">
        <f>CHOOSE(WEEKDAY(datos_siembra[[#This Row],[Date]],2),"L","M","X","J","V","S","D")</f>
        <v>X</v>
      </c>
      <c r="R2203">
        <f>WEEKNUM(datos_siembra[[#This Row],[Date]],2)-WEEKNUM(DATE(YEAR(datos_siembra[[#This Row],[Date]]),MONTH(datos_siembra[[#This Row],[Date]]),1))+1</f>
        <v>1</v>
      </c>
      <c r="S2203">
        <f>MONTH(datos_siembra[[#This Row],[Date]])</f>
        <v>10</v>
      </c>
      <c r="T2203" t="str" cm="1">
        <f t="array" ref="T2203">_xlfn.IFS(AND(N2203&lt;= 22, S2203=9), "SOWING",AND(N2203&lt;= 28, S2203=9), "COVERAGE",AND(N2203&lt;= 30, S2203=9), "FLUSH",AND(N2203&lt;= 11, S2203=10), "FLUSH",AND(N2203&lt;= 21, S2203=10), "PRODUCTION")</f>
        <v>FLUSH</v>
      </c>
      <c r="U2203">
        <f>HOUR(datos_siembra[[#This Row],[Hour]])</f>
        <v>1</v>
      </c>
      <c r="V2203" cm="1">
        <f t="array" ref="V2203">_xlfn.IFS(AND(N2203&lt;= 22, S2203=9), N2203-7,AND(N2203&lt;= 28, S2203=9), N2203-25,AND(N2203&lt;= 30, S2203=9), N2203-28,AND(N2203&lt;= 11, S2203=10), N2203+2,AND(N2203&lt;= 21, S2203=10), N2203-11)</f>
        <v>4</v>
      </c>
    </row>
    <row r="2204" spans="1:22" x14ac:dyDescent="0.35">
      <c r="A2204" s="4">
        <v>45567</v>
      </c>
      <c r="B2204" s="5">
        <v>8.0717592592592591E-2</v>
      </c>
      <c r="C2204">
        <v>73.7</v>
      </c>
      <c r="D2204">
        <v>72.8</v>
      </c>
      <c r="E2204">
        <v>72.599999999999994</v>
      </c>
      <c r="F2204">
        <v>70.599999999999994</v>
      </c>
      <c r="G2204">
        <v>0</v>
      </c>
      <c r="H2204">
        <v>0</v>
      </c>
      <c r="I2204">
        <v>0</v>
      </c>
      <c r="J2204">
        <v>0</v>
      </c>
      <c r="K2204">
        <v>63.7</v>
      </c>
      <c r="L2204">
        <v>63.4</v>
      </c>
      <c r="M2204">
        <v>72.44</v>
      </c>
      <c r="N2204">
        <v>2</v>
      </c>
      <c r="O2204">
        <v>1</v>
      </c>
      <c r="P2204">
        <f>MOD(DAY(datos_siembra[[#This Row],[Date]]),7)</f>
        <v>2</v>
      </c>
      <c r="Q2204" t="str">
        <f>CHOOSE(WEEKDAY(datos_siembra[[#This Row],[Date]],2),"L","M","X","J","V","S","D")</f>
        <v>X</v>
      </c>
      <c r="R2204">
        <f>WEEKNUM(datos_siembra[[#This Row],[Date]],2)-WEEKNUM(DATE(YEAR(datos_siembra[[#This Row],[Date]]),MONTH(datos_siembra[[#This Row],[Date]]),1))+1</f>
        <v>1</v>
      </c>
      <c r="S2204">
        <f>MONTH(datos_siembra[[#This Row],[Date]])</f>
        <v>10</v>
      </c>
      <c r="T2204" t="str" cm="1">
        <f t="array" ref="T2204">_xlfn.IFS(AND(N2204&lt;= 22, S2204=9), "SOWING",AND(N2204&lt;= 28, S2204=9), "COVERAGE",AND(N2204&lt;= 30, S2204=9), "FLUSH",AND(N2204&lt;= 11, S2204=10), "FLUSH",AND(N2204&lt;= 21, S2204=10), "PRODUCTION")</f>
        <v>FLUSH</v>
      </c>
      <c r="U2204">
        <f>HOUR(datos_siembra[[#This Row],[Hour]])</f>
        <v>1</v>
      </c>
      <c r="V2204" cm="1">
        <f t="array" ref="V2204">_xlfn.IFS(AND(N2204&lt;= 22, S2204=9), N2204-7,AND(N2204&lt;= 28, S2204=9), N2204-25,AND(N2204&lt;= 30, S2204=9), N2204-28,AND(N2204&lt;= 11, S2204=10), N2204+2,AND(N2204&lt;= 21, S2204=10), N2204-11)</f>
        <v>4</v>
      </c>
    </row>
    <row r="2205" spans="1:22" x14ac:dyDescent="0.35">
      <c r="A2205" s="4">
        <v>45567</v>
      </c>
      <c r="B2205" s="5">
        <v>8.7673611111111105E-2</v>
      </c>
      <c r="C2205">
        <v>73.900000000000006</v>
      </c>
      <c r="D2205">
        <v>72.599999999999994</v>
      </c>
      <c r="E2205">
        <v>72.599999999999994</v>
      </c>
      <c r="F2205">
        <v>70.7</v>
      </c>
      <c r="G2205">
        <v>0</v>
      </c>
      <c r="H2205">
        <v>0</v>
      </c>
      <c r="I2205">
        <v>0</v>
      </c>
      <c r="J2205">
        <v>0</v>
      </c>
      <c r="K2205">
        <v>63.9</v>
      </c>
      <c r="L2205">
        <v>63.5</v>
      </c>
      <c r="M2205">
        <v>72.47</v>
      </c>
      <c r="N2205">
        <v>2</v>
      </c>
      <c r="O2205">
        <v>1</v>
      </c>
      <c r="P2205">
        <f>MOD(DAY(datos_siembra[[#This Row],[Date]]),7)</f>
        <v>2</v>
      </c>
      <c r="Q2205" t="str">
        <f>CHOOSE(WEEKDAY(datos_siembra[[#This Row],[Date]],2),"L","M","X","J","V","S","D")</f>
        <v>X</v>
      </c>
      <c r="R2205">
        <f>WEEKNUM(datos_siembra[[#This Row],[Date]],2)-WEEKNUM(DATE(YEAR(datos_siembra[[#This Row],[Date]]),MONTH(datos_siembra[[#This Row],[Date]]),1))+1</f>
        <v>1</v>
      </c>
      <c r="S2205">
        <f>MONTH(datos_siembra[[#This Row],[Date]])</f>
        <v>10</v>
      </c>
      <c r="T2205" t="str" cm="1">
        <f t="array" ref="T2205">_xlfn.IFS(AND(N2205&lt;= 22, S2205=9), "SOWING",AND(N2205&lt;= 28, S2205=9), "COVERAGE",AND(N2205&lt;= 30, S2205=9), "FLUSH",AND(N2205&lt;= 11, S2205=10), "FLUSH",AND(N2205&lt;= 21, S2205=10), "PRODUCTION")</f>
        <v>FLUSH</v>
      </c>
      <c r="U2205">
        <f>HOUR(datos_siembra[[#This Row],[Hour]])</f>
        <v>2</v>
      </c>
      <c r="V2205" cm="1">
        <f t="array" ref="V2205">_xlfn.IFS(AND(N2205&lt;= 22, S2205=9), N2205-7,AND(N2205&lt;= 28, S2205=9), N2205-25,AND(N2205&lt;= 30, S2205=9), N2205-28,AND(N2205&lt;= 11, S2205=10), N2205+2,AND(N2205&lt;= 21, S2205=10), N2205-11)</f>
        <v>4</v>
      </c>
    </row>
    <row r="2206" spans="1:22" x14ac:dyDescent="0.35">
      <c r="A2206" s="4">
        <v>45567</v>
      </c>
      <c r="B2206" s="5">
        <v>9.4618055555555552E-2</v>
      </c>
      <c r="C2206">
        <v>73.7</v>
      </c>
      <c r="D2206">
        <v>72.7</v>
      </c>
      <c r="E2206">
        <v>72.7</v>
      </c>
      <c r="F2206">
        <v>70.8</v>
      </c>
      <c r="G2206">
        <v>0</v>
      </c>
      <c r="H2206">
        <v>0</v>
      </c>
      <c r="I2206">
        <v>0</v>
      </c>
      <c r="J2206">
        <v>0</v>
      </c>
      <c r="K2206">
        <v>63.9</v>
      </c>
      <c r="L2206">
        <v>63.6</v>
      </c>
      <c r="M2206">
        <v>72.56</v>
      </c>
      <c r="N2206">
        <v>2</v>
      </c>
      <c r="O2206">
        <v>1</v>
      </c>
      <c r="P2206">
        <f>MOD(DAY(datos_siembra[[#This Row],[Date]]),7)</f>
        <v>2</v>
      </c>
      <c r="Q2206" t="str">
        <f>CHOOSE(WEEKDAY(datos_siembra[[#This Row],[Date]],2),"L","M","X","J","V","S","D")</f>
        <v>X</v>
      </c>
      <c r="R2206">
        <f>WEEKNUM(datos_siembra[[#This Row],[Date]],2)-WEEKNUM(DATE(YEAR(datos_siembra[[#This Row],[Date]]),MONTH(datos_siembra[[#This Row],[Date]]),1))+1</f>
        <v>1</v>
      </c>
      <c r="S2206">
        <f>MONTH(datos_siembra[[#This Row],[Date]])</f>
        <v>10</v>
      </c>
      <c r="T2206" t="str" cm="1">
        <f t="array" ref="T2206">_xlfn.IFS(AND(N2206&lt;= 22, S2206=9), "SOWING",AND(N2206&lt;= 28, S2206=9), "COVERAGE",AND(N2206&lt;= 30, S2206=9), "FLUSH",AND(N2206&lt;= 11, S2206=10), "FLUSH",AND(N2206&lt;= 21, S2206=10), "PRODUCTION")</f>
        <v>FLUSH</v>
      </c>
      <c r="U2206">
        <f>HOUR(datos_siembra[[#This Row],[Hour]])</f>
        <v>2</v>
      </c>
      <c r="V2206" cm="1">
        <f t="array" ref="V2206">_xlfn.IFS(AND(N2206&lt;= 22, S2206=9), N2206-7,AND(N2206&lt;= 28, S2206=9), N2206-25,AND(N2206&lt;= 30, S2206=9), N2206-28,AND(N2206&lt;= 11, S2206=10), N2206+2,AND(N2206&lt;= 21, S2206=10), N2206-11)</f>
        <v>4</v>
      </c>
    </row>
    <row r="2207" spans="1:22" x14ac:dyDescent="0.35">
      <c r="A2207" s="4">
        <v>45567</v>
      </c>
      <c r="B2207" s="5">
        <v>0.1015625</v>
      </c>
      <c r="C2207">
        <v>73.7</v>
      </c>
      <c r="D2207">
        <v>72.599999999999994</v>
      </c>
      <c r="E2207">
        <v>72.599999999999994</v>
      </c>
      <c r="F2207">
        <v>70.599999999999994</v>
      </c>
      <c r="G2207">
        <v>0</v>
      </c>
      <c r="H2207">
        <v>0</v>
      </c>
      <c r="I2207">
        <v>0</v>
      </c>
      <c r="J2207">
        <v>0</v>
      </c>
      <c r="K2207">
        <v>64.099999999999994</v>
      </c>
      <c r="L2207">
        <v>63.7</v>
      </c>
      <c r="M2207">
        <v>72.42</v>
      </c>
      <c r="N2207">
        <v>2</v>
      </c>
      <c r="O2207">
        <v>1</v>
      </c>
      <c r="P2207">
        <f>MOD(DAY(datos_siembra[[#This Row],[Date]]),7)</f>
        <v>2</v>
      </c>
      <c r="Q2207" t="str">
        <f>CHOOSE(WEEKDAY(datos_siembra[[#This Row],[Date]],2),"L","M","X","J","V","S","D")</f>
        <v>X</v>
      </c>
      <c r="R2207">
        <f>WEEKNUM(datos_siembra[[#This Row],[Date]],2)-WEEKNUM(DATE(YEAR(datos_siembra[[#This Row],[Date]]),MONTH(datos_siembra[[#This Row],[Date]]),1))+1</f>
        <v>1</v>
      </c>
      <c r="S2207">
        <f>MONTH(datos_siembra[[#This Row],[Date]])</f>
        <v>10</v>
      </c>
      <c r="T2207" t="str" cm="1">
        <f t="array" ref="T2207">_xlfn.IFS(AND(N2207&lt;= 22, S2207=9), "SOWING",AND(N2207&lt;= 28, S2207=9), "COVERAGE",AND(N2207&lt;= 30, S2207=9), "FLUSH",AND(N2207&lt;= 11, S2207=10), "FLUSH",AND(N2207&lt;= 21, S2207=10), "PRODUCTION")</f>
        <v>FLUSH</v>
      </c>
      <c r="U2207">
        <f>HOUR(datos_siembra[[#This Row],[Hour]])</f>
        <v>2</v>
      </c>
      <c r="V2207" cm="1">
        <f t="array" ref="V2207">_xlfn.IFS(AND(N2207&lt;= 22, S2207=9), N2207-7,AND(N2207&lt;= 28, S2207=9), N2207-25,AND(N2207&lt;= 30, S2207=9), N2207-28,AND(N2207&lt;= 11, S2207=10), N2207+2,AND(N2207&lt;= 21, S2207=10), N2207-11)</f>
        <v>4</v>
      </c>
    </row>
    <row r="2208" spans="1:22" x14ac:dyDescent="0.35">
      <c r="A2208" s="4">
        <v>45567</v>
      </c>
      <c r="B2208" s="5">
        <v>0.10850694444444445</v>
      </c>
      <c r="C2208">
        <v>73.7</v>
      </c>
      <c r="D2208">
        <v>72.599999999999994</v>
      </c>
      <c r="E2208">
        <v>72.5</v>
      </c>
      <c r="F2208">
        <v>70.599999999999994</v>
      </c>
      <c r="G2208">
        <v>0</v>
      </c>
      <c r="H2208">
        <v>0</v>
      </c>
      <c r="I2208">
        <v>0</v>
      </c>
      <c r="J2208">
        <v>0</v>
      </c>
      <c r="K2208">
        <v>64.2</v>
      </c>
      <c r="L2208">
        <v>63.7</v>
      </c>
      <c r="M2208">
        <v>72.36</v>
      </c>
      <c r="N2208">
        <v>2</v>
      </c>
      <c r="O2208">
        <v>1</v>
      </c>
      <c r="P2208">
        <f>MOD(DAY(datos_siembra[[#This Row],[Date]]),7)</f>
        <v>2</v>
      </c>
      <c r="Q2208" t="str">
        <f>CHOOSE(WEEKDAY(datos_siembra[[#This Row],[Date]],2),"L","M","X","J","V","S","D")</f>
        <v>X</v>
      </c>
      <c r="R2208">
        <f>WEEKNUM(datos_siembra[[#This Row],[Date]],2)-WEEKNUM(DATE(YEAR(datos_siembra[[#This Row],[Date]]),MONTH(datos_siembra[[#This Row],[Date]]),1))+1</f>
        <v>1</v>
      </c>
      <c r="S2208">
        <f>MONTH(datos_siembra[[#This Row],[Date]])</f>
        <v>10</v>
      </c>
      <c r="T2208" t="str" cm="1">
        <f t="array" ref="T2208">_xlfn.IFS(AND(N2208&lt;= 22, S2208=9), "SOWING",AND(N2208&lt;= 28, S2208=9), "COVERAGE",AND(N2208&lt;= 30, S2208=9), "FLUSH",AND(N2208&lt;= 11, S2208=10), "FLUSH",AND(N2208&lt;= 21, S2208=10), "PRODUCTION")</f>
        <v>FLUSH</v>
      </c>
      <c r="U2208">
        <f>HOUR(datos_siembra[[#This Row],[Hour]])</f>
        <v>2</v>
      </c>
      <c r="V2208" cm="1">
        <f t="array" ref="V2208">_xlfn.IFS(AND(N2208&lt;= 22, S2208=9), N2208-7,AND(N2208&lt;= 28, S2208=9), N2208-25,AND(N2208&lt;= 30, S2208=9), N2208-28,AND(N2208&lt;= 11, S2208=10), N2208+2,AND(N2208&lt;= 21, S2208=10), N2208-11)</f>
        <v>4</v>
      </c>
    </row>
    <row r="2209" spans="1:22" x14ac:dyDescent="0.35">
      <c r="A2209" s="4">
        <v>45567</v>
      </c>
      <c r="B2209" s="5">
        <v>0.11546296296296296</v>
      </c>
      <c r="C2209">
        <v>73.599999999999994</v>
      </c>
      <c r="D2209">
        <v>72.599999999999994</v>
      </c>
      <c r="E2209">
        <v>72.400000000000006</v>
      </c>
      <c r="F2209">
        <v>70.599999999999994</v>
      </c>
      <c r="G2209">
        <v>0</v>
      </c>
      <c r="H2209">
        <v>0</v>
      </c>
      <c r="I2209">
        <v>0</v>
      </c>
      <c r="J2209">
        <v>0</v>
      </c>
      <c r="K2209">
        <v>64.2</v>
      </c>
      <c r="L2209">
        <v>63.7</v>
      </c>
      <c r="M2209">
        <v>72.36</v>
      </c>
      <c r="N2209">
        <v>2</v>
      </c>
      <c r="O2209">
        <v>1</v>
      </c>
      <c r="P2209">
        <f>MOD(DAY(datos_siembra[[#This Row],[Date]]),7)</f>
        <v>2</v>
      </c>
      <c r="Q2209" t="str">
        <f>CHOOSE(WEEKDAY(datos_siembra[[#This Row],[Date]],2),"L","M","X","J","V","S","D")</f>
        <v>X</v>
      </c>
      <c r="R2209">
        <f>WEEKNUM(datos_siembra[[#This Row],[Date]],2)-WEEKNUM(DATE(YEAR(datos_siembra[[#This Row],[Date]]),MONTH(datos_siembra[[#This Row],[Date]]),1))+1</f>
        <v>1</v>
      </c>
      <c r="S2209">
        <f>MONTH(datos_siembra[[#This Row],[Date]])</f>
        <v>10</v>
      </c>
      <c r="T2209" t="str" cm="1">
        <f t="array" ref="T2209">_xlfn.IFS(AND(N2209&lt;= 22, S2209=9), "SOWING",AND(N2209&lt;= 28, S2209=9), "COVERAGE",AND(N2209&lt;= 30, S2209=9), "FLUSH",AND(N2209&lt;= 11, S2209=10), "FLUSH",AND(N2209&lt;= 21, S2209=10), "PRODUCTION")</f>
        <v>FLUSH</v>
      </c>
      <c r="U2209">
        <f>HOUR(datos_siembra[[#This Row],[Hour]])</f>
        <v>2</v>
      </c>
      <c r="V2209" cm="1">
        <f t="array" ref="V2209">_xlfn.IFS(AND(N2209&lt;= 22, S2209=9), N2209-7,AND(N2209&lt;= 28, S2209=9), N2209-25,AND(N2209&lt;= 30, S2209=9), N2209-28,AND(N2209&lt;= 11, S2209=10), N2209+2,AND(N2209&lt;= 21, S2209=10), N2209-11)</f>
        <v>4</v>
      </c>
    </row>
    <row r="2210" spans="1:22" x14ac:dyDescent="0.35">
      <c r="A2210" s="4">
        <v>45567</v>
      </c>
      <c r="B2210" s="5">
        <v>0.12240740740740741</v>
      </c>
      <c r="C2210">
        <v>73.599999999999994</v>
      </c>
      <c r="D2210">
        <v>72.5</v>
      </c>
      <c r="E2210">
        <v>72.599999999999994</v>
      </c>
      <c r="F2210">
        <v>70.7</v>
      </c>
      <c r="G2210">
        <v>0</v>
      </c>
      <c r="H2210">
        <v>0</v>
      </c>
      <c r="I2210">
        <v>0</v>
      </c>
      <c r="J2210">
        <v>0</v>
      </c>
      <c r="K2210">
        <v>64.2</v>
      </c>
      <c r="L2210">
        <v>63.7</v>
      </c>
      <c r="M2210">
        <v>72.3</v>
      </c>
      <c r="N2210">
        <v>2</v>
      </c>
      <c r="O2210">
        <v>1</v>
      </c>
      <c r="P2210">
        <f>MOD(DAY(datos_siembra[[#This Row],[Date]]),7)</f>
        <v>2</v>
      </c>
      <c r="Q2210" t="str">
        <f>CHOOSE(WEEKDAY(datos_siembra[[#This Row],[Date]],2),"L","M","X","J","V","S","D")</f>
        <v>X</v>
      </c>
      <c r="R2210">
        <f>WEEKNUM(datos_siembra[[#This Row],[Date]],2)-WEEKNUM(DATE(YEAR(datos_siembra[[#This Row],[Date]]),MONTH(datos_siembra[[#This Row],[Date]]),1))+1</f>
        <v>1</v>
      </c>
      <c r="S2210">
        <f>MONTH(datos_siembra[[#This Row],[Date]])</f>
        <v>10</v>
      </c>
      <c r="T2210" t="str" cm="1">
        <f t="array" ref="T2210">_xlfn.IFS(AND(N2210&lt;= 22, S2210=9), "SOWING",AND(N2210&lt;= 28, S2210=9), "COVERAGE",AND(N2210&lt;= 30, S2210=9), "FLUSH",AND(N2210&lt;= 11, S2210=10), "FLUSH",AND(N2210&lt;= 21, S2210=10), "PRODUCTION")</f>
        <v>FLUSH</v>
      </c>
      <c r="U2210">
        <f>HOUR(datos_siembra[[#This Row],[Hour]])</f>
        <v>2</v>
      </c>
      <c r="V2210" cm="1">
        <f t="array" ref="V2210">_xlfn.IFS(AND(N2210&lt;= 22, S2210=9), N2210-7,AND(N2210&lt;= 28, S2210=9), N2210-25,AND(N2210&lt;= 30, S2210=9), N2210-28,AND(N2210&lt;= 11, S2210=10), N2210+2,AND(N2210&lt;= 21, S2210=10), N2210-11)</f>
        <v>4</v>
      </c>
    </row>
    <row r="2211" spans="1:22" x14ac:dyDescent="0.35">
      <c r="A2211" s="4">
        <v>45567</v>
      </c>
      <c r="B2211" s="5">
        <v>0.12935185185185186</v>
      </c>
      <c r="C2211">
        <v>73.599999999999994</v>
      </c>
      <c r="D2211">
        <v>72.5</v>
      </c>
      <c r="E2211">
        <v>72.599999999999994</v>
      </c>
      <c r="F2211">
        <v>70.599999999999994</v>
      </c>
      <c r="G2211">
        <v>0</v>
      </c>
      <c r="H2211">
        <v>0</v>
      </c>
      <c r="I2211">
        <v>0</v>
      </c>
      <c r="J2211">
        <v>0</v>
      </c>
      <c r="K2211">
        <v>64.099999999999994</v>
      </c>
      <c r="L2211">
        <v>63.6</v>
      </c>
      <c r="M2211">
        <v>72.36</v>
      </c>
      <c r="N2211">
        <v>2</v>
      </c>
      <c r="O2211">
        <v>1</v>
      </c>
      <c r="P2211">
        <f>MOD(DAY(datos_siembra[[#This Row],[Date]]),7)</f>
        <v>2</v>
      </c>
      <c r="Q2211" t="str">
        <f>CHOOSE(WEEKDAY(datos_siembra[[#This Row],[Date]],2),"L","M","X","J","V","S","D")</f>
        <v>X</v>
      </c>
      <c r="R2211">
        <f>WEEKNUM(datos_siembra[[#This Row],[Date]],2)-WEEKNUM(DATE(YEAR(datos_siembra[[#This Row],[Date]]),MONTH(datos_siembra[[#This Row],[Date]]),1))+1</f>
        <v>1</v>
      </c>
      <c r="S2211">
        <f>MONTH(datos_siembra[[#This Row],[Date]])</f>
        <v>10</v>
      </c>
      <c r="T2211" t="str" cm="1">
        <f t="array" ref="T2211">_xlfn.IFS(AND(N2211&lt;= 22, S2211=9), "SOWING",AND(N2211&lt;= 28, S2211=9), "COVERAGE",AND(N2211&lt;= 30, S2211=9), "FLUSH",AND(N2211&lt;= 11, S2211=10), "FLUSH",AND(N2211&lt;= 21, S2211=10), "PRODUCTION")</f>
        <v>FLUSH</v>
      </c>
      <c r="U2211">
        <f>HOUR(datos_siembra[[#This Row],[Hour]])</f>
        <v>3</v>
      </c>
      <c r="V2211" cm="1">
        <f t="array" ref="V2211">_xlfn.IFS(AND(N2211&lt;= 22, S2211=9), N2211-7,AND(N2211&lt;= 28, S2211=9), N2211-25,AND(N2211&lt;= 30, S2211=9), N2211-28,AND(N2211&lt;= 11, S2211=10), N2211+2,AND(N2211&lt;= 21, S2211=10), N2211-11)</f>
        <v>4</v>
      </c>
    </row>
    <row r="2212" spans="1:22" x14ac:dyDescent="0.35">
      <c r="A2212" s="4">
        <v>45567</v>
      </c>
      <c r="B2212" s="5">
        <v>0.1362962962962963</v>
      </c>
      <c r="C2212">
        <v>73.599999999999994</v>
      </c>
      <c r="D2212">
        <v>72.400000000000006</v>
      </c>
      <c r="E2212">
        <v>72.599999999999994</v>
      </c>
      <c r="F2212">
        <v>70.5</v>
      </c>
      <c r="G2212">
        <v>0</v>
      </c>
      <c r="H2212">
        <v>0</v>
      </c>
      <c r="I2212">
        <v>0</v>
      </c>
      <c r="J2212">
        <v>0</v>
      </c>
      <c r="K2212">
        <v>64.099999999999994</v>
      </c>
      <c r="L2212">
        <v>63.6</v>
      </c>
      <c r="M2212">
        <v>72.19</v>
      </c>
      <c r="N2212">
        <v>2</v>
      </c>
      <c r="O2212">
        <v>1</v>
      </c>
      <c r="P2212">
        <f>MOD(DAY(datos_siembra[[#This Row],[Date]]),7)</f>
        <v>2</v>
      </c>
      <c r="Q2212" t="str">
        <f>CHOOSE(WEEKDAY(datos_siembra[[#This Row],[Date]],2),"L","M","X","J","V","S","D")</f>
        <v>X</v>
      </c>
      <c r="R2212">
        <f>WEEKNUM(datos_siembra[[#This Row],[Date]],2)-WEEKNUM(DATE(YEAR(datos_siembra[[#This Row],[Date]]),MONTH(datos_siembra[[#This Row],[Date]]),1))+1</f>
        <v>1</v>
      </c>
      <c r="S2212">
        <f>MONTH(datos_siembra[[#This Row],[Date]])</f>
        <v>10</v>
      </c>
      <c r="T2212" t="str" cm="1">
        <f t="array" ref="T2212">_xlfn.IFS(AND(N2212&lt;= 22, S2212=9), "SOWING",AND(N2212&lt;= 28, S2212=9), "COVERAGE",AND(N2212&lt;= 30, S2212=9), "FLUSH",AND(N2212&lt;= 11, S2212=10), "FLUSH",AND(N2212&lt;= 21, S2212=10), "PRODUCTION")</f>
        <v>FLUSH</v>
      </c>
      <c r="U2212">
        <f>HOUR(datos_siembra[[#This Row],[Hour]])</f>
        <v>3</v>
      </c>
      <c r="V2212" cm="1">
        <f t="array" ref="V2212">_xlfn.IFS(AND(N2212&lt;= 22, S2212=9), N2212-7,AND(N2212&lt;= 28, S2212=9), N2212-25,AND(N2212&lt;= 30, S2212=9), N2212-28,AND(N2212&lt;= 11, S2212=10), N2212+2,AND(N2212&lt;= 21, S2212=10), N2212-11)</f>
        <v>4</v>
      </c>
    </row>
    <row r="2213" spans="1:22" x14ac:dyDescent="0.35">
      <c r="A2213" s="4">
        <v>45567</v>
      </c>
      <c r="B2213" s="5">
        <v>0.14325231481481482</v>
      </c>
      <c r="C2213">
        <v>73.599999999999994</v>
      </c>
      <c r="D2213">
        <v>72.400000000000006</v>
      </c>
      <c r="E2213">
        <v>72.400000000000006</v>
      </c>
      <c r="F2213">
        <v>70.5</v>
      </c>
      <c r="G2213">
        <v>0</v>
      </c>
      <c r="H2213">
        <v>0</v>
      </c>
      <c r="I2213">
        <v>0</v>
      </c>
      <c r="J2213">
        <v>0</v>
      </c>
      <c r="K2213">
        <v>64.2</v>
      </c>
      <c r="L2213">
        <v>63.8</v>
      </c>
      <c r="M2213">
        <v>72.19</v>
      </c>
      <c r="N2213">
        <v>2</v>
      </c>
      <c r="O2213">
        <v>1</v>
      </c>
      <c r="P2213">
        <f>MOD(DAY(datos_siembra[[#This Row],[Date]]),7)</f>
        <v>2</v>
      </c>
      <c r="Q2213" t="str">
        <f>CHOOSE(WEEKDAY(datos_siembra[[#This Row],[Date]],2),"L","M","X","J","V","S","D")</f>
        <v>X</v>
      </c>
      <c r="R2213">
        <f>WEEKNUM(datos_siembra[[#This Row],[Date]],2)-WEEKNUM(DATE(YEAR(datos_siembra[[#This Row],[Date]]),MONTH(datos_siembra[[#This Row],[Date]]),1))+1</f>
        <v>1</v>
      </c>
      <c r="S2213">
        <f>MONTH(datos_siembra[[#This Row],[Date]])</f>
        <v>10</v>
      </c>
      <c r="T2213" t="str" cm="1">
        <f t="array" ref="T2213">_xlfn.IFS(AND(N2213&lt;= 22, S2213=9), "SOWING",AND(N2213&lt;= 28, S2213=9), "COVERAGE",AND(N2213&lt;= 30, S2213=9), "FLUSH",AND(N2213&lt;= 11, S2213=10), "FLUSH",AND(N2213&lt;= 21, S2213=10), "PRODUCTION")</f>
        <v>FLUSH</v>
      </c>
      <c r="U2213">
        <f>HOUR(datos_siembra[[#This Row],[Hour]])</f>
        <v>3</v>
      </c>
      <c r="V2213" cm="1">
        <f t="array" ref="V2213">_xlfn.IFS(AND(N2213&lt;= 22, S2213=9), N2213-7,AND(N2213&lt;= 28, S2213=9), N2213-25,AND(N2213&lt;= 30, S2213=9), N2213-28,AND(N2213&lt;= 11, S2213=10), N2213+2,AND(N2213&lt;= 21, S2213=10), N2213-11)</f>
        <v>4</v>
      </c>
    </row>
    <row r="2214" spans="1:22" x14ac:dyDescent="0.35">
      <c r="A2214" s="4">
        <v>45567</v>
      </c>
      <c r="B2214" s="5">
        <v>0.15019675925925927</v>
      </c>
      <c r="C2214">
        <v>73.5</v>
      </c>
      <c r="D2214">
        <v>72.3</v>
      </c>
      <c r="E2214">
        <v>72.5</v>
      </c>
      <c r="F2214">
        <v>70.5</v>
      </c>
      <c r="G2214">
        <v>0</v>
      </c>
      <c r="H2214">
        <v>0</v>
      </c>
      <c r="I2214">
        <v>0</v>
      </c>
      <c r="J2214">
        <v>0</v>
      </c>
      <c r="K2214">
        <v>64.099999999999994</v>
      </c>
      <c r="L2214">
        <v>63.7</v>
      </c>
      <c r="M2214">
        <v>72.19</v>
      </c>
      <c r="N2214">
        <v>2</v>
      </c>
      <c r="O2214">
        <v>1</v>
      </c>
      <c r="P2214">
        <f>MOD(DAY(datos_siembra[[#This Row],[Date]]),7)</f>
        <v>2</v>
      </c>
      <c r="Q2214" t="str">
        <f>CHOOSE(WEEKDAY(datos_siembra[[#This Row],[Date]],2),"L","M","X","J","V","S","D")</f>
        <v>X</v>
      </c>
      <c r="R2214">
        <f>WEEKNUM(datos_siembra[[#This Row],[Date]],2)-WEEKNUM(DATE(YEAR(datos_siembra[[#This Row],[Date]]),MONTH(datos_siembra[[#This Row],[Date]]),1))+1</f>
        <v>1</v>
      </c>
      <c r="S2214">
        <f>MONTH(datos_siembra[[#This Row],[Date]])</f>
        <v>10</v>
      </c>
      <c r="T2214" t="str" cm="1">
        <f t="array" ref="T2214">_xlfn.IFS(AND(N2214&lt;= 22, S2214=9), "SOWING",AND(N2214&lt;= 28, S2214=9), "COVERAGE",AND(N2214&lt;= 30, S2214=9), "FLUSH",AND(N2214&lt;= 11, S2214=10), "FLUSH",AND(N2214&lt;= 21, S2214=10), "PRODUCTION")</f>
        <v>FLUSH</v>
      </c>
      <c r="U2214">
        <f>HOUR(datos_siembra[[#This Row],[Hour]])</f>
        <v>3</v>
      </c>
      <c r="V2214" cm="1">
        <f t="array" ref="V2214">_xlfn.IFS(AND(N2214&lt;= 22, S2214=9), N2214-7,AND(N2214&lt;= 28, S2214=9), N2214-25,AND(N2214&lt;= 30, S2214=9), N2214-28,AND(N2214&lt;= 11, S2214=10), N2214+2,AND(N2214&lt;= 21, S2214=10), N2214-11)</f>
        <v>4</v>
      </c>
    </row>
    <row r="2215" spans="1:22" x14ac:dyDescent="0.35">
      <c r="A2215" s="4">
        <v>45567</v>
      </c>
      <c r="B2215" s="5">
        <v>0.15714120370370371</v>
      </c>
      <c r="C2215">
        <v>73.400000000000006</v>
      </c>
      <c r="D2215">
        <v>72.5</v>
      </c>
      <c r="E2215">
        <v>72.599999999999994</v>
      </c>
      <c r="F2215">
        <v>70.5</v>
      </c>
      <c r="G2215">
        <v>0</v>
      </c>
      <c r="H2215">
        <v>0</v>
      </c>
      <c r="I2215">
        <v>0</v>
      </c>
      <c r="J2215">
        <v>0</v>
      </c>
      <c r="K2215">
        <v>64.2</v>
      </c>
      <c r="L2215">
        <v>63.7</v>
      </c>
      <c r="M2215">
        <v>72.25</v>
      </c>
      <c r="N2215">
        <v>2</v>
      </c>
      <c r="O2215">
        <v>1</v>
      </c>
      <c r="P2215">
        <f>MOD(DAY(datos_siembra[[#This Row],[Date]]),7)</f>
        <v>2</v>
      </c>
      <c r="Q2215" t="str">
        <f>CHOOSE(WEEKDAY(datos_siembra[[#This Row],[Date]],2),"L","M","X","J","V","S","D")</f>
        <v>X</v>
      </c>
      <c r="R2215">
        <f>WEEKNUM(datos_siembra[[#This Row],[Date]],2)-WEEKNUM(DATE(YEAR(datos_siembra[[#This Row],[Date]]),MONTH(datos_siembra[[#This Row],[Date]]),1))+1</f>
        <v>1</v>
      </c>
      <c r="S2215">
        <f>MONTH(datos_siembra[[#This Row],[Date]])</f>
        <v>10</v>
      </c>
      <c r="T2215" t="str" cm="1">
        <f t="array" ref="T2215">_xlfn.IFS(AND(N2215&lt;= 22, S2215=9), "SOWING",AND(N2215&lt;= 28, S2215=9), "COVERAGE",AND(N2215&lt;= 30, S2215=9), "FLUSH",AND(N2215&lt;= 11, S2215=10), "FLUSH",AND(N2215&lt;= 21, S2215=10), "PRODUCTION")</f>
        <v>FLUSH</v>
      </c>
      <c r="U2215">
        <f>HOUR(datos_siembra[[#This Row],[Hour]])</f>
        <v>3</v>
      </c>
      <c r="V2215" cm="1">
        <f t="array" ref="V2215">_xlfn.IFS(AND(N2215&lt;= 22, S2215=9), N2215-7,AND(N2215&lt;= 28, S2215=9), N2215-25,AND(N2215&lt;= 30, S2215=9), N2215-28,AND(N2215&lt;= 11, S2215=10), N2215+2,AND(N2215&lt;= 21, S2215=10), N2215-11)</f>
        <v>4</v>
      </c>
    </row>
    <row r="2216" spans="1:22" x14ac:dyDescent="0.35">
      <c r="A2216" s="4">
        <v>45567</v>
      </c>
      <c r="B2216" s="5">
        <v>0.16408564814814816</v>
      </c>
      <c r="C2216">
        <v>73.5</v>
      </c>
      <c r="D2216">
        <v>72.400000000000006</v>
      </c>
      <c r="E2216">
        <v>72.599999999999994</v>
      </c>
      <c r="F2216">
        <v>70.599999999999994</v>
      </c>
      <c r="G2216">
        <v>0</v>
      </c>
      <c r="H2216">
        <v>0</v>
      </c>
      <c r="I2216">
        <v>0</v>
      </c>
      <c r="J2216">
        <v>0</v>
      </c>
      <c r="K2216">
        <v>64.099999999999994</v>
      </c>
      <c r="L2216">
        <v>63.7</v>
      </c>
      <c r="M2216">
        <v>72.25</v>
      </c>
      <c r="N2216">
        <v>2</v>
      </c>
      <c r="O2216">
        <v>1</v>
      </c>
      <c r="P2216">
        <f>MOD(DAY(datos_siembra[[#This Row],[Date]]),7)</f>
        <v>2</v>
      </c>
      <c r="Q2216" t="str">
        <f>CHOOSE(WEEKDAY(datos_siembra[[#This Row],[Date]],2),"L","M","X","J","V","S","D")</f>
        <v>X</v>
      </c>
      <c r="R2216">
        <f>WEEKNUM(datos_siembra[[#This Row],[Date]],2)-WEEKNUM(DATE(YEAR(datos_siembra[[#This Row],[Date]]),MONTH(datos_siembra[[#This Row],[Date]]),1))+1</f>
        <v>1</v>
      </c>
      <c r="S2216">
        <f>MONTH(datos_siembra[[#This Row],[Date]])</f>
        <v>10</v>
      </c>
      <c r="T2216" t="str" cm="1">
        <f t="array" ref="T2216">_xlfn.IFS(AND(N2216&lt;= 22, S2216=9), "SOWING",AND(N2216&lt;= 28, S2216=9), "COVERAGE",AND(N2216&lt;= 30, S2216=9), "FLUSH",AND(N2216&lt;= 11, S2216=10), "FLUSH",AND(N2216&lt;= 21, S2216=10), "PRODUCTION")</f>
        <v>FLUSH</v>
      </c>
      <c r="U2216">
        <f>HOUR(datos_siembra[[#This Row],[Hour]])</f>
        <v>3</v>
      </c>
      <c r="V2216" cm="1">
        <f t="array" ref="V2216">_xlfn.IFS(AND(N2216&lt;= 22, S2216=9), N2216-7,AND(N2216&lt;= 28, S2216=9), N2216-25,AND(N2216&lt;= 30, S2216=9), N2216-28,AND(N2216&lt;= 11, S2216=10), N2216+2,AND(N2216&lt;= 21, S2216=10), N2216-11)</f>
        <v>4</v>
      </c>
    </row>
    <row r="2217" spans="1:22" x14ac:dyDescent="0.35">
      <c r="A2217" s="4">
        <v>45567</v>
      </c>
      <c r="B2217" s="5">
        <v>0.17104166666666668</v>
      </c>
      <c r="C2217">
        <v>73.400000000000006</v>
      </c>
      <c r="D2217">
        <v>72.5</v>
      </c>
      <c r="E2217">
        <v>72.599999999999994</v>
      </c>
      <c r="F2217">
        <v>70.5</v>
      </c>
      <c r="G2217">
        <v>0</v>
      </c>
      <c r="H2217">
        <v>0</v>
      </c>
      <c r="I2217">
        <v>0</v>
      </c>
      <c r="J2217">
        <v>0</v>
      </c>
      <c r="K2217">
        <v>64.099999999999994</v>
      </c>
      <c r="L2217">
        <v>63.7</v>
      </c>
      <c r="M2217">
        <v>72.42</v>
      </c>
      <c r="N2217">
        <v>2</v>
      </c>
      <c r="O2217">
        <v>1</v>
      </c>
      <c r="P2217">
        <f>MOD(DAY(datos_siembra[[#This Row],[Date]]),7)</f>
        <v>2</v>
      </c>
      <c r="Q2217" t="str">
        <f>CHOOSE(WEEKDAY(datos_siembra[[#This Row],[Date]],2),"L","M","X","J","V","S","D")</f>
        <v>X</v>
      </c>
      <c r="R2217">
        <f>WEEKNUM(datos_siembra[[#This Row],[Date]],2)-WEEKNUM(DATE(YEAR(datos_siembra[[#This Row],[Date]]),MONTH(datos_siembra[[#This Row],[Date]]),1))+1</f>
        <v>1</v>
      </c>
      <c r="S2217">
        <f>MONTH(datos_siembra[[#This Row],[Date]])</f>
        <v>10</v>
      </c>
      <c r="T2217" t="str" cm="1">
        <f t="array" ref="T2217">_xlfn.IFS(AND(N2217&lt;= 22, S2217=9), "SOWING",AND(N2217&lt;= 28, S2217=9), "COVERAGE",AND(N2217&lt;= 30, S2217=9), "FLUSH",AND(N2217&lt;= 11, S2217=10), "FLUSH",AND(N2217&lt;= 21, S2217=10), "PRODUCTION")</f>
        <v>FLUSH</v>
      </c>
      <c r="U2217">
        <f>HOUR(datos_siembra[[#This Row],[Hour]])</f>
        <v>4</v>
      </c>
      <c r="V2217" cm="1">
        <f t="array" ref="V2217">_xlfn.IFS(AND(N2217&lt;= 22, S2217=9), N2217-7,AND(N2217&lt;= 28, S2217=9), N2217-25,AND(N2217&lt;= 30, S2217=9), N2217-28,AND(N2217&lt;= 11, S2217=10), N2217+2,AND(N2217&lt;= 21, S2217=10), N2217-11)</f>
        <v>4</v>
      </c>
    </row>
    <row r="2218" spans="1:22" x14ac:dyDescent="0.35">
      <c r="A2218" s="4">
        <v>45567</v>
      </c>
      <c r="B2218" s="5">
        <v>0.17798611111111112</v>
      </c>
      <c r="C2218">
        <v>73.5</v>
      </c>
      <c r="D2218">
        <v>72.599999999999994</v>
      </c>
      <c r="E2218">
        <v>73</v>
      </c>
      <c r="F2218">
        <v>70.7</v>
      </c>
      <c r="G2218">
        <v>0</v>
      </c>
      <c r="H2218">
        <v>0</v>
      </c>
      <c r="I2218">
        <v>0</v>
      </c>
      <c r="J2218">
        <v>0</v>
      </c>
      <c r="K2218">
        <v>64.099999999999994</v>
      </c>
      <c r="L2218">
        <v>63.6</v>
      </c>
      <c r="M2218">
        <v>72.39</v>
      </c>
      <c r="N2218">
        <v>2</v>
      </c>
      <c r="O2218">
        <v>1</v>
      </c>
      <c r="P2218">
        <f>MOD(DAY(datos_siembra[[#This Row],[Date]]),7)</f>
        <v>2</v>
      </c>
      <c r="Q2218" t="str">
        <f>CHOOSE(WEEKDAY(datos_siembra[[#This Row],[Date]],2),"L","M","X","J","V","S","D")</f>
        <v>X</v>
      </c>
      <c r="R2218">
        <f>WEEKNUM(datos_siembra[[#This Row],[Date]],2)-WEEKNUM(DATE(YEAR(datos_siembra[[#This Row],[Date]]),MONTH(datos_siembra[[#This Row],[Date]]),1))+1</f>
        <v>1</v>
      </c>
      <c r="S2218">
        <f>MONTH(datos_siembra[[#This Row],[Date]])</f>
        <v>10</v>
      </c>
      <c r="T2218" t="str" cm="1">
        <f t="array" ref="T2218">_xlfn.IFS(AND(N2218&lt;= 22, S2218=9), "SOWING",AND(N2218&lt;= 28, S2218=9), "COVERAGE",AND(N2218&lt;= 30, S2218=9), "FLUSH",AND(N2218&lt;= 11, S2218=10), "FLUSH",AND(N2218&lt;= 21, S2218=10), "PRODUCTION")</f>
        <v>FLUSH</v>
      </c>
      <c r="U2218">
        <f>HOUR(datos_siembra[[#This Row],[Hour]])</f>
        <v>4</v>
      </c>
      <c r="V2218" cm="1">
        <f t="array" ref="V2218">_xlfn.IFS(AND(N2218&lt;= 22, S2218=9), N2218-7,AND(N2218&lt;= 28, S2218=9), N2218-25,AND(N2218&lt;= 30, S2218=9), N2218-28,AND(N2218&lt;= 11, S2218=10), N2218+2,AND(N2218&lt;= 21, S2218=10), N2218-11)</f>
        <v>4</v>
      </c>
    </row>
    <row r="2219" spans="1:22" x14ac:dyDescent="0.35">
      <c r="A2219" s="4">
        <v>45567</v>
      </c>
      <c r="B2219" s="5">
        <v>0.18493055555555554</v>
      </c>
      <c r="C2219">
        <v>73.3</v>
      </c>
      <c r="D2219">
        <v>72.2</v>
      </c>
      <c r="E2219">
        <v>72.3</v>
      </c>
      <c r="F2219">
        <v>70.3</v>
      </c>
      <c r="G2219">
        <v>0</v>
      </c>
      <c r="H2219">
        <v>0</v>
      </c>
      <c r="I2219">
        <v>0</v>
      </c>
      <c r="J2219">
        <v>0</v>
      </c>
      <c r="K2219">
        <v>64.2</v>
      </c>
      <c r="L2219">
        <v>63.7</v>
      </c>
      <c r="M2219">
        <v>72.05</v>
      </c>
      <c r="N2219">
        <v>2</v>
      </c>
      <c r="O2219">
        <v>1</v>
      </c>
      <c r="P2219">
        <f>MOD(DAY(datos_siembra[[#This Row],[Date]]),7)</f>
        <v>2</v>
      </c>
      <c r="Q2219" t="str">
        <f>CHOOSE(WEEKDAY(datos_siembra[[#This Row],[Date]],2),"L","M","X","J","V","S","D")</f>
        <v>X</v>
      </c>
      <c r="R2219">
        <f>WEEKNUM(datos_siembra[[#This Row],[Date]],2)-WEEKNUM(DATE(YEAR(datos_siembra[[#This Row],[Date]]),MONTH(datos_siembra[[#This Row],[Date]]),1))+1</f>
        <v>1</v>
      </c>
      <c r="S2219">
        <f>MONTH(datos_siembra[[#This Row],[Date]])</f>
        <v>10</v>
      </c>
      <c r="T2219" t="str" cm="1">
        <f t="array" ref="T2219">_xlfn.IFS(AND(N2219&lt;= 22, S2219=9), "SOWING",AND(N2219&lt;= 28, S2219=9), "COVERAGE",AND(N2219&lt;= 30, S2219=9), "FLUSH",AND(N2219&lt;= 11, S2219=10), "FLUSH",AND(N2219&lt;= 21, S2219=10), "PRODUCTION")</f>
        <v>FLUSH</v>
      </c>
      <c r="U2219">
        <f>HOUR(datos_siembra[[#This Row],[Hour]])</f>
        <v>4</v>
      </c>
      <c r="V2219" cm="1">
        <f t="array" ref="V2219">_xlfn.IFS(AND(N2219&lt;= 22, S2219=9), N2219-7,AND(N2219&lt;= 28, S2219=9), N2219-25,AND(N2219&lt;= 30, S2219=9), N2219-28,AND(N2219&lt;= 11, S2219=10), N2219+2,AND(N2219&lt;= 21, S2219=10), N2219-11)</f>
        <v>4</v>
      </c>
    </row>
    <row r="2220" spans="1:22" x14ac:dyDescent="0.35">
      <c r="A2220" s="4">
        <v>45567</v>
      </c>
      <c r="B2220" s="5">
        <v>0.19187499999999999</v>
      </c>
      <c r="C2220">
        <v>73.400000000000006</v>
      </c>
      <c r="D2220">
        <v>72.2</v>
      </c>
      <c r="E2220">
        <v>72.3</v>
      </c>
      <c r="F2220">
        <v>70.3</v>
      </c>
      <c r="G2220">
        <v>0</v>
      </c>
      <c r="H2220">
        <v>0</v>
      </c>
      <c r="I2220">
        <v>0</v>
      </c>
      <c r="J2220">
        <v>0</v>
      </c>
      <c r="K2220">
        <v>64.099999999999994</v>
      </c>
      <c r="L2220">
        <v>63.8</v>
      </c>
      <c r="M2220">
        <v>71.97</v>
      </c>
      <c r="N2220">
        <v>2</v>
      </c>
      <c r="O2220">
        <v>1</v>
      </c>
      <c r="P2220">
        <f>MOD(DAY(datos_siembra[[#This Row],[Date]]),7)</f>
        <v>2</v>
      </c>
      <c r="Q2220" t="str">
        <f>CHOOSE(WEEKDAY(datos_siembra[[#This Row],[Date]],2),"L","M","X","J","V","S","D")</f>
        <v>X</v>
      </c>
      <c r="R2220">
        <f>WEEKNUM(datos_siembra[[#This Row],[Date]],2)-WEEKNUM(DATE(YEAR(datos_siembra[[#This Row],[Date]]),MONTH(datos_siembra[[#This Row],[Date]]),1))+1</f>
        <v>1</v>
      </c>
      <c r="S2220">
        <f>MONTH(datos_siembra[[#This Row],[Date]])</f>
        <v>10</v>
      </c>
      <c r="T2220" t="str" cm="1">
        <f t="array" ref="T2220">_xlfn.IFS(AND(N2220&lt;= 22, S2220=9), "SOWING",AND(N2220&lt;= 28, S2220=9), "COVERAGE",AND(N2220&lt;= 30, S2220=9), "FLUSH",AND(N2220&lt;= 11, S2220=10), "FLUSH",AND(N2220&lt;= 21, S2220=10), "PRODUCTION")</f>
        <v>FLUSH</v>
      </c>
      <c r="U2220">
        <f>HOUR(datos_siembra[[#This Row],[Hour]])</f>
        <v>4</v>
      </c>
      <c r="V2220" cm="1">
        <f t="array" ref="V2220">_xlfn.IFS(AND(N2220&lt;= 22, S2220=9), N2220-7,AND(N2220&lt;= 28, S2220=9), N2220-25,AND(N2220&lt;= 30, S2220=9), N2220-28,AND(N2220&lt;= 11, S2220=10), N2220+2,AND(N2220&lt;= 21, S2220=10), N2220-11)</f>
        <v>4</v>
      </c>
    </row>
    <row r="2221" spans="1:22" x14ac:dyDescent="0.35">
      <c r="A2221" s="4">
        <v>45567</v>
      </c>
      <c r="B2221" s="5">
        <v>0.19883101851851853</v>
      </c>
      <c r="C2221">
        <v>73.3</v>
      </c>
      <c r="D2221">
        <v>72.2</v>
      </c>
      <c r="E2221">
        <v>72.2</v>
      </c>
      <c r="F2221">
        <v>70.400000000000006</v>
      </c>
      <c r="G2221">
        <v>0</v>
      </c>
      <c r="H2221">
        <v>0</v>
      </c>
      <c r="I2221">
        <v>0</v>
      </c>
      <c r="J2221">
        <v>0</v>
      </c>
      <c r="K2221">
        <v>64.2</v>
      </c>
      <c r="L2221">
        <v>63.8</v>
      </c>
      <c r="M2221">
        <v>71.989999999999995</v>
      </c>
      <c r="N2221">
        <v>2</v>
      </c>
      <c r="O2221">
        <v>1</v>
      </c>
      <c r="P2221">
        <f>MOD(DAY(datos_siembra[[#This Row],[Date]]),7)</f>
        <v>2</v>
      </c>
      <c r="Q2221" t="str">
        <f>CHOOSE(WEEKDAY(datos_siembra[[#This Row],[Date]],2),"L","M","X","J","V","S","D")</f>
        <v>X</v>
      </c>
      <c r="R2221">
        <f>WEEKNUM(datos_siembra[[#This Row],[Date]],2)-WEEKNUM(DATE(YEAR(datos_siembra[[#This Row],[Date]]),MONTH(datos_siembra[[#This Row],[Date]]),1))+1</f>
        <v>1</v>
      </c>
      <c r="S2221">
        <f>MONTH(datos_siembra[[#This Row],[Date]])</f>
        <v>10</v>
      </c>
      <c r="T2221" t="str" cm="1">
        <f t="array" ref="T2221">_xlfn.IFS(AND(N2221&lt;= 22, S2221=9), "SOWING",AND(N2221&lt;= 28, S2221=9), "COVERAGE",AND(N2221&lt;= 30, S2221=9), "FLUSH",AND(N2221&lt;= 11, S2221=10), "FLUSH",AND(N2221&lt;= 21, S2221=10), "PRODUCTION")</f>
        <v>FLUSH</v>
      </c>
      <c r="U2221">
        <f>HOUR(datos_siembra[[#This Row],[Hour]])</f>
        <v>4</v>
      </c>
      <c r="V2221" cm="1">
        <f t="array" ref="V2221">_xlfn.IFS(AND(N2221&lt;= 22, S2221=9), N2221-7,AND(N2221&lt;= 28, S2221=9), N2221-25,AND(N2221&lt;= 30, S2221=9), N2221-28,AND(N2221&lt;= 11, S2221=10), N2221+2,AND(N2221&lt;= 21, S2221=10), N2221-11)</f>
        <v>4</v>
      </c>
    </row>
    <row r="2222" spans="1:22" x14ac:dyDescent="0.35">
      <c r="A2222" s="4">
        <v>45567</v>
      </c>
      <c r="B2222" s="5">
        <v>0.20577546296296295</v>
      </c>
      <c r="C2222">
        <v>73.2</v>
      </c>
      <c r="D2222">
        <v>72.099999999999994</v>
      </c>
      <c r="E2222">
        <v>72.2</v>
      </c>
      <c r="F2222">
        <v>70.099999999999994</v>
      </c>
      <c r="G2222">
        <v>0</v>
      </c>
      <c r="H2222">
        <v>0</v>
      </c>
      <c r="I2222">
        <v>0</v>
      </c>
      <c r="J2222">
        <v>0</v>
      </c>
      <c r="K2222">
        <v>64.2</v>
      </c>
      <c r="L2222">
        <v>63.8</v>
      </c>
      <c r="M2222">
        <v>71.91</v>
      </c>
      <c r="N2222">
        <v>2</v>
      </c>
      <c r="O2222">
        <v>1</v>
      </c>
      <c r="P2222">
        <f>MOD(DAY(datos_siembra[[#This Row],[Date]]),7)</f>
        <v>2</v>
      </c>
      <c r="Q2222" t="str">
        <f>CHOOSE(WEEKDAY(datos_siembra[[#This Row],[Date]],2),"L","M","X","J","V","S","D")</f>
        <v>X</v>
      </c>
      <c r="R2222">
        <f>WEEKNUM(datos_siembra[[#This Row],[Date]],2)-WEEKNUM(DATE(YEAR(datos_siembra[[#This Row],[Date]]),MONTH(datos_siembra[[#This Row],[Date]]),1))+1</f>
        <v>1</v>
      </c>
      <c r="S2222">
        <f>MONTH(datos_siembra[[#This Row],[Date]])</f>
        <v>10</v>
      </c>
      <c r="T2222" t="str" cm="1">
        <f t="array" ref="T2222">_xlfn.IFS(AND(N2222&lt;= 22, S2222=9), "SOWING",AND(N2222&lt;= 28, S2222=9), "COVERAGE",AND(N2222&lt;= 30, S2222=9), "FLUSH",AND(N2222&lt;= 11, S2222=10), "FLUSH",AND(N2222&lt;= 21, S2222=10), "PRODUCTION")</f>
        <v>FLUSH</v>
      </c>
      <c r="U2222">
        <f>HOUR(datos_siembra[[#This Row],[Hour]])</f>
        <v>4</v>
      </c>
      <c r="V2222" cm="1">
        <f t="array" ref="V2222">_xlfn.IFS(AND(N2222&lt;= 22, S2222=9), N2222-7,AND(N2222&lt;= 28, S2222=9), N2222-25,AND(N2222&lt;= 30, S2222=9), N2222-28,AND(N2222&lt;= 11, S2222=10), N2222+2,AND(N2222&lt;= 21, S2222=10), N2222-11)</f>
        <v>4</v>
      </c>
    </row>
    <row r="2223" spans="1:22" x14ac:dyDescent="0.35">
      <c r="A2223" s="4">
        <v>45567</v>
      </c>
      <c r="B2223" s="5">
        <v>0.2127199074074074</v>
      </c>
      <c r="C2223">
        <v>73.3</v>
      </c>
      <c r="D2223">
        <v>72.099999999999994</v>
      </c>
      <c r="E2223">
        <v>72.2</v>
      </c>
      <c r="F2223">
        <v>70.400000000000006</v>
      </c>
      <c r="G2223">
        <v>0</v>
      </c>
      <c r="H2223">
        <v>0</v>
      </c>
      <c r="I2223">
        <v>0</v>
      </c>
      <c r="J2223">
        <v>0</v>
      </c>
      <c r="K2223">
        <v>64.099999999999994</v>
      </c>
      <c r="L2223">
        <v>63.8</v>
      </c>
      <c r="M2223">
        <v>71.97</v>
      </c>
      <c r="N2223">
        <v>2</v>
      </c>
      <c r="O2223">
        <v>1</v>
      </c>
      <c r="P2223">
        <f>MOD(DAY(datos_siembra[[#This Row],[Date]]),7)</f>
        <v>2</v>
      </c>
      <c r="Q2223" t="str">
        <f>CHOOSE(WEEKDAY(datos_siembra[[#This Row],[Date]],2),"L","M","X","J","V","S","D")</f>
        <v>X</v>
      </c>
      <c r="R2223">
        <f>WEEKNUM(datos_siembra[[#This Row],[Date]],2)-WEEKNUM(DATE(YEAR(datos_siembra[[#This Row],[Date]]),MONTH(datos_siembra[[#This Row],[Date]]),1))+1</f>
        <v>1</v>
      </c>
      <c r="S2223">
        <f>MONTH(datos_siembra[[#This Row],[Date]])</f>
        <v>10</v>
      </c>
      <c r="T2223" t="str" cm="1">
        <f t="array" ref="T2223">_xlfn.IFS(AND(N2223&lt;= 22, S2223=9), "SOWING",AND(N2223&lt;= 28, S2223=9), "COVERAGE",AND(N2223&lt;= 30, S2223=9), "FLUSH",AND(N2223&lt;= 11, S2223=10), "FLUSH",AND(N2223&lt;= 21, S2223=10), "PRODUCTION")</f>
        <v>FLUSH</v>
      </c>
      <c r="U2223">
        <f>HOUR(datos_siembra[[#This Row],[Hour]])</f>
        <v>5</v>
      </c>
      <c r="V2223" cm="1">
        <f t="array" ref="V2223">_xlfn.IFS(AND(N2223&lt;= 22, S2223=9), N2223-7,AND(N2223&lt;= 28, S2223=9), N2223-25,AND(N2223&lt;= 30, S2223=9), N2223-28,AND(N2223&lt;= 11, S2223=10), N2223+2,AND(N2223&lt;= 21, S2223=10), N2223-11)</f>
        <v>4</v>
      </c>
    </row>
    <row r="2224" spans="1:22" x14ac:dyDescent="0.35">
      <c r="A2224" s="4">
        <v>45567</v>
      </c>
      <c r="B2224" s="5">
        <v>0.21966435185185185</v>
      </c>
      <c r="C2224">
        <v>73.2</v>
      </c>
      <c r="D2224">
        <v>71.900000000000006</v>
      </c>
      <c r="E2224">
        <v>72.099999999999994</v>
      </c>
      <c r="F2224">
        <v>70.3</v>
      </c>
      <c r="G2224">
        <v>0</v>
      </c>
      <c r="H2224">
        <v>0</v>
      </c>
      <c r="I2224">
        <v>0</v>
      </c>
      <c r="J2224">
        <v>0</v>
      </c>
      <c r="K2224">
        <v>64.099999999999994</v>
      </c>
      <c r="L2224">
        <v>63.8</v>
      </c>
      <c r="M2224">
        <v>71.88</v>
      </c>
      <c r="N2224">
        <v>2</v>
      </c>
      <c r="O2224">
        <v>1</v>
      </c>
      <c r="P2224">
        <f>MOD(DAY(datos_siembra[[#This Row],[Date]]),7)</f>
        <v>2</v>
      </c>
      <c r="Q2224" t="str">
        <f>CHOOSE(WEEKDAY(datos_siembra[[#This Row],[Date]],2),"L","M","X","J","V","S","D")</f>
        <v>X</v>
      </c>
      <c r="R2224">
        <f>WEEKNUM(datos_siembra[[#This Row],[Date]],2)-WEEKNUM(DATE(YEAR(datos_siembra[[#This Row],[Date]]),MONTH(datos_siembra[[#This Row],[Date]]),1))+1</f>
        <v>1</v>
      </c>
      <c r="S2224">
        <f>MONTH(datos_siembra[[#This Row],[Date]])</f>
        <v>10</v>
      </c>
      <c r="T2224" t="str" cm="1">
        <f t="array" ref="T2224">_xlfn.IFS(AND(N2224&lt;= 22, S2224=9), "SOWING",AND(N2224&lt;= 28, S2224=9), "COVERAGE",AND(N2224&lt;= 30, S2224=9), "FLUSH",AND(N2224&lt;= 11, S2224=10), "FLUSH",AND(N2224&lt;= 21, S2224=10), "PRODUCTION")</f>
        <v>FLUSH</v>
      </c>
      <c r="U2224">
        <f>HOUR(datos_siembra[[#This Row],[Hour]])</f>
        <v>5</v>
      </c>
      <c r="V2224" cm="1">
        <f t="array" ref="V2224">_xlfn.IFS(AND(N2224&lt;= 22, S2224=9), N2224-7,AND(N2224&lt;= 28, S2224=9), N2224-25,AND(N2224&lt;= 30, S2224=9), N2224-28,AND(N2224&lt;= 11, S2224=10), N2224+2,AND(N2224&lt;= 21, S2224=10), N2224-11)</f>
        <v>4</v>
      </c>
    </row>
    <row r="2225" spans="1:22" x14ac:dyDescent="0.35">
      <c r="A2225" s="4">
        <v>45567</v>
      </c>
      <c r="B2225" s="5">
        <v>0.22662037037037036</v>
      </c>
      <c r="C2225">
        <v>73.2</v>
      </c>
      <c r="D2225">
        <v>71.900000000000006</v>
      </c>
      <c r="E2225">
        <v>72.3</v>
      </c>
      <c r="F2225">
        <v>70.3</v>
      </c>
      <c r="G2225">
        <v>0</v>
      </c>
      <c r="H2225">
        <v>0</v>
      </c>
      <c r="I2225">
        <v>0</v>
      </c>
      <c r="J2225">
        <v>0</v>
      </c>
      <c r="K2225">
        <v>64.099999999999994</v>
      </c>
      <c r="L2225">
        <v>63.8</v>
      </c>
      <c r="M2225">
        <v>71.88</v>
      </c>
      <c r="N2225">
        <v>2</v>
      </c>
      <c r="O2225">
        <v>1</v>
      </c>
      <c r="P2225">
        <f>MOD(DAY(datos_siembra[[#This Row],[Date]]),7)</f>
        <v>2</v>
      </c>
      <c r="Q2225" t="str">
        <f>CHOOSE(WEEKDAY(datos_siembra[[#This Row],[Date]],2),"L","M","X","J","V","S","D")</f>
        <v>X</v>
      </c>
      <c r="R2225">
        <f>WEEKNUM(datos_siembra[[#This Row],[Date]],2)-WEEKNUM(DATE(YEAR(datos_siembra[[#This Row],[Date]]),MONTH(datos_siembra[[#This Row],[Date]]),1))+1</f>
        <v>1</v>
      </c>
      <c r="S2225">
        <f>MONTH(datos_siembra[[#This Row],[Date]])</f>
        <v>10</v>
      </c>
      <c r="T2225" t="str" cm="1">
        <f t="array" ref="T2225">_xlfn.IFS(AND(N2225&lt;= 22, S2225=9), "SOWING",AND(N2225&lt;= 28, S2225=9), "COVERAGE",AND(N2225&lt;= 30, S2225=9), "FLUSH",AND(N2225&lt;= 11, S2225=10), "FLUSH",AND(N2225&lt;= 21, S2225=10), "PRODUCTION")</f>
        <v>FLUSH</v>
      </c>
      <c r="U2225">
        <f>HOUR(datos_siembra[[#This Row],[Hour]])</f>
        <v>5</v>
      </c>
      <c r="V2225" cm="1">
        <f t="array" ref="V2225">_xlfn.IFS(AND(N2225&lt;= 22, S2225=9), N2225-7,AND(N2225&lt;= 28, S2225=9), N2225-25,AND(N2225&lt;= 30, S2225=9), N2225-28,AND(N2225&lt;= 11, S2225=10), N2225+2,AND(N2225&lt;= 21, S2225=10), N2225-11)</f>
        <v>4</v>
      </c>
    </row>
    <row r="2226" spans="1:22" x14ac:dyDescent="0.35">
      <c r="A2226" s="4">
        <v>45567</v>
      </c>
      <c r="B2226" s="5">
        <v>0.23356481481481481</v>
      </c>
      <c r="C2226">
        <v>73.2</v>
      </c>
      <c r="D2226">
        <v>71.8</v>
      </c>
      <c r="E2226">
        <v>71.900000000000006</v>
      </c>
      <c r="F2226">
        <v>70.3</v>
      </c>
      <c r="G2226">
        <v>0</v>
      </c>
      <c r="H2226">
        <v>0</v>
      </c>
      <c r="I2226">
        <v>0</v>
      </c>
      <c r="J2226">
        <v>0</v>
      </c>
      <c r="K2226">
        <v>64.2</v>
      </c>
      <c r="L2226">
        <v>63.8</v>
      </c>
      <c r="M2226">
        <v>71.8</v>
      </c>
      <c r="N2226">
        <v>2</v>
      </c>
      <c r="O2226">
        <v>1</v>
      </c>
      <c r="P2226">
        <f>MOD(DAY(datos_siembra[[#This Row],[Date]]),7)</f>
        <v>2</v>
      </c>
      <c r="Q2226" t="str">
        <f>CHOOSE(WEEKDAY(datos_siembra[[#This Row],[Date]],2),"L","M","X","J","V","S","D")</f>
        <v>X</v>
      </c>
      <c r="R2226">
        <f>WEEKNUM(datos_siembra[[#This Row],[Date]],2)-WEEKNUM(DATE(YEAR(datos_siembra[[#This Row],[Date]]),MONTH(datos_siembra[[#This Row],[Date]]),1))+1</f>
        <v>1</v>
      </c>
      <c r="S2226">
        <f>MONTH(datos_siembra[[#This Row],[Date]])</f>
        <v>10</v>
      </c>
      <c r="T2226" t="str" cm="1">
        <f t="array" ref="T2226">_xlfn.IFS(AND(N2226&lt;= 22, S2226=9), "SOWING",AND(N2226&lt;= 28, S2226=9), "COVERAGE",AND(N2226&lt;= 30, S2226=9), "FLUSH",AND(N2226&lt;= 11, S2226=10), "FLUSH",AND(N2226&lt;= 21, S2226=10), "PRODUCTION")</f>
        <v>FLUSH</v>
      </c>
      <c r="U2226">
        <f>HOUR(datos_siembra[[#This Row],[Hour]])</f>
        <v>5</v>
      </c>
      <c r="V2226" cm="1">
        <f t="array" ref="V2226">_xlfn.IFS(AND(N2226&lt;= 22, S2226=9), N2226-7,AND(N2226&lt;= 28, S2226=9), N2226-25,AND(N2226&lt;= 30, S2226=9), N2226-28,AND(N2226&lt;= 11, S2226=10), N2226+2,AND(N2226&lt;= 21, S2226=10), N2226-11)</f>
        <v>4</v>
      </c>
    </row>
    <row r="2227" spans="1:22" x14ac:dyDescent="0.35">
      <c r="A2227" s="4">
        <v>45567</v>
      </c>
      <c r="B2227" s="5">
        <v>0.24050925925925926</v>
      </c>
      <c r="C2227">
        <v>73.2</v>
      </c>
      <c r="D2227">
        <v>71.900000000000006</v>
      </c>
      <c r="E2227">
        <v>72.2</v>
      </c>
      <c r="F2227">
        <v>70.099999999999994</v>
      </c>
      <c r="G2227">
        <v>0</v>
      </c>
      <c r="H2227">
        <v>0</v>
      </c>
      <c r="I2227">
        <v>0</v>
      </c>
      <c r="J2227">
        <v>0</v>
      </c>
      <c r="K2227">
        <v>64.099999999999994</v>
      </c>
      <c r="L2227">
        <v>63.7</v>
      </c>
      <c r="M2227">
        <v>71.91</v>
      </c>
      <c r="N2227">
        <v>2</v>
      </c>
      <c r="O2227">
        <v>1</v>
      </c>
      <c r="P2227">
        <f>MOD(DAY(datos_siembra[[#This Row],[Date]]),7)</f>
        <v>2</v>
      </c>
      <c r="Q2227" t="str">
        <f>CHOOSE(WEEKDAY(datos_siembra[[#This Row],[Date]],2),"L","M","X","J","V","S","D")</f>
        <v>X</v>
      </c>
      <c r="R2227">
        <f>WEEKNUM(datos_siembra[[#This Row],[Date]],2)-WEEKNUM(DATE(YEAR(datos_siembra[[#This Row],[Date]]),MONTH(datos_siembra[[#This Row],[Date]]),1))+1</f>
        <v>1</v>
      </c>
      <c r="S2227">
        <f>MONTH(datos_siembra[[#This Row],[Date]])</f>
        <v>10</v>
      </c>
      <c r="T2227" t="str" cm="1">
        <f t="array" ref="T2227">_xlfn.IFS(AND(N2227&lt;= 22, S2227=9), "SOWING",AND(N2227&lt;= 28, S2227=9), "COVERAGE",AND(N2227&lt;= 30, S2227=9), "FLUSH",AND(N2227&lt;= 11, S2227=10), "FLUSH",AND(N2227&lt;= 21, S2227=10), "PRODUCTION")</f>
        <v>FLUSH</v>
      </c>
      <c r="U2227">
        <f>HOUR(datos_siembra[[#This Row],[Hour]])</f>
        <v>5</v>
      </c>
      <c r="V2227" cm="1">
        <f t="array" ref="V2227">_xlfn.IFS(AND(N2227&lt;= 22, S2227=9), N2227-7,AND(N2227&lt;= 28, S2227=9), N2227-25,AND(N2227&lt;= 30, S2227=9), N2227-28,AND(N2227&lt;= 11, S2227=10), N2227+2,AND(N2227&lt;= 21, S2227=10), N2227-11)</f>
        <v>4</v>
      </c>
    </row>
    <row r="2228" spans="1:22" x14ac:dyDescent="0.35">
      <c r="A2228" s="4">
        <v>45567</v>
      </c>
      <c r="B2228" s="5">
        <v>0.2474537037037037</v>
      </c>
      <c r="C2228">
        <v>73.099999999999994</v>
      </c>
      <c r="D2228">
        <v>71.8</v>
      </c>
      <c r="E2228">
        <v>72.2</v>
      </c>
      <c r="F2228">
        <v>70.099999999999994</v>
      </c>
      <c r="G2228">
        <v>0</v>
      </c>
      <c r="H2228">
        <v>0</v>
      </c>
      <c r="I2228">
        <v>0</v>
      </c>
      <c r="J2228">
        <v>0</v>
      </c>
      <c r="K2228">
        <v>64.099999999999994</v>
      </c>
      <c r="L2228">
        <v>63.7</v>
      </c>
      <c r="M2228">
        <v>71.77</v>
      </c>
      <c r="N2228">
        <v>2</v>
      </c>
      <c r="O2228">
        <v>1</v>
      </c>
      <c r="P2228">
        <f>MOD(DAY(datos_siembra[[#This Row],[Date]]),7)</f>
        <v>2</v>
      </c>
      <c r="Q2228" t="str">
        <f>CHOOSE(WEEKDAY(datos_siembra[[#This Row],[Date]],2),"L","M","X","J","V","S","D")</f>
        <v>X</v>
      </c>
      <c r="R2228">
        <f>WEEKNUM(datos_siembra[[#This Row],[Date]],2)-WEEKNUM(DATE(YEAR(datos_siembra[[#This Row],[Date]]),MONTH(datos_siembra[[#This Row],[Date]]),1))+1</f>
        <v>1</v>
      </c>
      <c r="S2228">
        <f>MONTH(datos_siembra[[#This Row],[Date]])</f>
        <v>10</v>
      </c>
      <c r="T2228" t="str" cm="1">
        <f t="array" ref="T2228">_xlfn.IFS(AND(N2228&lt;= 22, S2228=9), "SOWING",AND(N2228&lt;= 28, S2228=9), "COVERAGE",AND(N2228&lt;= 30, S2228=9), "FLUSH",AND(N2228&lt;= 11, S2228=10), "FLUSH",AND(N2228&lt;= 21, S2228=10), "PRODUCTION")</f>
        <v>FLUSH</v>
      </c>
      <c r="U2228">
        <f>HOUR(datos_siembra[[#This Row],[Hour]])</f>
        <v>5</v>
      </c>
      <c r="V2228" cm="1">
        <f t="array" ref="V2228">_xlfn.IFS(AND(N2228&lt;= 22, S2228=9), N2228-7,AND(N2228&lt;= 28, S2228=9), N2228-25,AND(N2228&lt;= 30, S2228=9), N2228-28,AND(N2228&lt;= 11, S2228=10), N2228+2,AND(N2228&lt;= 21, S2228=10), N2228-11)</f>
        <v>4</v>
      </c>
    </row>
    <row r="2229" spans="1:22" x14ac:dyDescent="0.35">
      <c r="A2229" s="4">
        <v>45567</v>
      </c>
      <c r="B2229" s="5">
        <v>0.25440972222222225</v>
      </c>
      <c r="C2229">
        <v>73.2</v>
      </c>
      <c r="D2229">
        <v>71.8</v>
      </c>
      <c r="E2229">
        <v>72.2</v>
      </c>
      <c r="F2229">
        <v>70</v>
      </c>
      <c r="G2229">
        <v>0</v>
      </c>
      <c r="H2229">
        <v>0</v>
      </c>
      <c r="I2229">
        <v>0</v>
      </c>
      <c r="J2229">
        <v>0</v>
      </c>
      <c r="K2229">
        <v>64.099999999999994</v>
      </c>
      <c r="L2229">
        <v>63.7</v>
      </c>
      <c r="M2229">
        <v>71.849999999999994</v>
      </c>
      <c r="N2229">
        <v>2</v>
      </c>
      <c r="O2229">
        <v>1</v>
      </c>
      <c r="P2229">
        <f>MOD(DAY(datos_siembra[[#This Row],[Date]]),7)</f>
        <v>2</v>
      </c>
      <c r="Q2229" t="str">
        <f>CHOOSE(WEEKDAY(datos_siembra[[#This Row],[Date]],2),"L","M","X","J","V","S","D")</f>
        <v>X</v>
      </c>
      <c r="R2229">
        <f>WEEKNUM(datos_siembra[[#This Row],[Date]],2)-WEEKNUM(DATE(YEAR(datos_siembra[[#This Row],[Date]]),MONTH(datos_siembra[[#This Row],[Date]]),1))+1</f>
        <v>1</v>
      </c>
      <c r="S2229">
        <f>MONTH(datos_siembra[[#This Row],[Date]])</f>
        <v>10</v>
      </c>
      <c r="T2229" t="str" cm="1">
        <f t="array" ref="T2229">_xlfn.IFS(AND(N2229&lt;= 22, S2229=9), "SOWING",AND(N2229&lt;= 28, S2229=9), "COVERAGE",AND(N2229&lt;= 30, S2229=9), "FLUSH",AND(N2229&lt;= 11, S2229=10), "FLUSH",AND(N2229&lt;= 21, S2229=10), "PRODUCTION")</f>
        <v>FLUSH</v>
      </c>
      <c r="U2229">
        <f>HOUR(datos_siembra[[#This Row],[Hour]])</f>
        <v>6</v>
      </c>
      <c r="V2229" cm="1">
        <f t="array" ref="V2229">_xlfn.IFS(AND(N2229&lt;= 22, S2229=9), N2229-7,AND(N2229&lt;= 28, S2229=9), N2229-25,AND(N2229&lt;= 30, S2229=9), N2229-28,AND(N2229&lt;= 11, S2229=10), N2229+2,AND(N2229&lt;= 21, S2229=10), N2229-11)</f>
        <v>4</v>
      </c>
    </row>
    <row r="2230" spans="1:22" x14ac:dyDescent="0.35">
      <c r="A2230" s="4">
        <v>45567</v>
      </c>
      <c r="B2230" s="5">
        <v>0.26135416666666667</v>
      </c>
      <c r="C2230">
        <v>73.2</v>
      </c>
      <c r="D2230">
        <v>71.8</v>
      </c>
      <c r="E2230">
        <v>72.2</v>
      </c>
      <c r="F2230">
        <v>70.099999999999994</v>
      </c>
      <c r="G2230">
        <v>0</v>
      </c>
      <c r="H2230">
        <v>0</v>
      </c>
      <c r="I2230">
        <v>0</v>
      </c>
      <c r="J2230">
        <v>0</v>
      </c>
      <c r="K2230">
        <v>64.2</v>
      </c>
      <c r="L2230">
        <v>63.7</v>
      </c>
      <c r="M2230">
        <v>71.8</v>
      </c>
      <c r="N2230">
        <v>2</v>
      </c>
      <c r="O2230">
        <v>1</v>
      </c>
      <c r="P2230">
        <f>MOD(DAY(datos_siembra[[#This Row],[Date]]),7)</f>
        <v>2</v>
      </c>
      <c r="Q2230" t="str">
        <f>CHOOSE(WEEKDAY(datos_siembra[[#This Row],[Date]],2),"L","M","X","J","V","S","D")</f>
        <v>X</v>
      </c>
      <c r="R2230">
        <f>WEEKNUM(datos_siembra[[#This Row],[Date]],2)-WEEKNUM(DATE(YEAR(datos_siembra[[#This Row],[Date]]),MONTH(datos_siembra[[#This Row],[Date]]),1))+1</f>
        <v>1</v>
      </c>
      <c r="S2230">
        <f>MONTH(datos_siembra[[#This Row],[Date]])</f>
        <v>10</v>
      </c>
      <c r="T2230" t="str" cm="1">
        <f t="array" ref="T2230">_xlfn.IFS(AND(N2230&lt;= 22, S2230=9), "SOWING",AND(N2230&lt;= 28, S2230=9), "COVERAGE",AND(N2230&lt;= 30, S2230=9), "FLUSH",AND(N2230&lt;= 11, S2230=10), "FLUSH",AND(N2230&lt;= 21, S2230=10), "PRODUCTION")</f>
        <v>FLUSH</v>
      </c>
      <c r="U2230">
        <f>HOUR(datos_siembra[[#This Row],[Hour]])</f>
        <v>6</v>
      </c>
      <c r="V2230" cm="1">
        <f t="array" ref="V2230">_xlfn.IFS(AND(N2230&lt;= 22, S2230=9), N2230-7,AND(N2230&lt;= 28, S2230=9), N2230-25,AND(N2230&lt;= 30, S2230=9), N2230-28,AND(N2230&lt;= 11, S2230=10), N2230+2,AND(N2230&lt;= 21, S2230=10), N2230-11)</f>
        <v>4</v>
      </c>
    </row>
    <row r="2231" spans="1:22" x14ac:dyDescent="0.35">
      <c r="A2231" s="4">
        <v>45567</v>
      </c>
      <c r="B2231" s="5">
        <v>0.26829861111111108</v>
      </c>
      <c r="C2231">
        <v>73.2</v>
      </c>
      <c r="D2231">
        <v>71.8</v>
      </c>
      <c r="E2231">
        <v>72.099999999999994</v>
      </c>
      <c r="F2231">
        <v>70</v>
      </c>
      <c r="G2231">
        <v>0</v>
      </c>
      <c r="H2231">
        <v>0</v>
      </c>
      <c r="I2231">
        <v>0</v>
      </c>
      <c r="J2231">
        <v>0</v>
      </c>
      <c r="K2231">
        <v>64.099999999999994</v>
      </c>
      <c r="L2231">
        <v>63.7</v>
      </c>
      <c r="M2231">
        <v>71.819999999999993</v>
      </c>
      <c r="N2231">
        <v>2</v>
      </c>
      <c r="O2231">
        <v>1</v>
      </c>
      <c r="P2231">
        <f>MOD(DAY(datos_siembra[[#This Row],[Date]]),7)</f>
        <v>2</v>
      </c>
      <c r="Q2231" t="str">
        <f>CHOOSE(WEEKDAY(datos_siembra[[#This Row],[Date]],2),"L","M","X","J","V","S","D")</f>
        <v>X</v>
      </c>
      <c r="R2231">
        <f>WEEKNUM(datos_siembra[[#This Row],[Date]],2)-WEEKNUM(DATE(YEAR(datos_siembra[[#This Row],[Date]]),MONTH(datos_siembra[[#This Row],[Date]]),1))+1</f>
        <v>1</v>
      </c>
      <c r="S2231">
        <f>MONTH(datos_siembra[[#This Row],[Date]])</f>
        <v>10</v>
      </c>
      <c r="T2231" t="str" cm="1">
        <f t="array" ref="T2231">_xlfn.IFS(AND(N2231&lt;= 22, S2231=9), "SOWING",AND(N2231&lt;= 28, S2231=9), "COVERAGE",AND(N2231&lt;= 30, S2231=9), "FLUSH",AND(N2231&lt;= 11, S2231=10), "FLUSH",AND(N2231&lt;= 21, S2231=10), "PRODUCTION")</f>
        <v>FLUSH</v>
      </c>
      <c r="U2231">
        <f>HOUR(datos_siembra[[#This Row],[Hour]])</f>
        <v>6</v>
      </c>
      <c r="V2231" cm="1">
        <f t="array" ref="V2231">_xlfn.IFS(AND(N2231&lt;= 22, S2231=9), N2231-7,AND(N2231&lt;= 28, S2231=9), N2231-25,AND(N2231&lt;= 30, S2231=9), N2231-28,AND(N2231&lt;= 11, S2231=10), N2231+2,AND(N2231&lt;= 21, S2231=10), N2231-11)</f>
        <v>4</v>
      </c>
    </row>
    <row r="2232" spans="1:22" x14ac:dyDescent="0.35">
      <c r="A2232" s="4">
        <v>45567</v>
      </c>
      <c r="B2232" s="5">
        <v>0.27524305555555556</v>
      </c>
      <c r="C2232">
        <v>73.099999999999994</v>
      </c>
      <c r="D2232">
        <v>71.8</v>
      </c>
      <c r="E2232">
        <v>71.900000000000006</v>
      </c>
      <c r="F2232">
        <v>70.099999999999994</v>
      </c>
      <c r="G2232">
        <v>0</v>
      </c>
      <c r="H2232">
        <v>0</v>
      </c>
      <c r="I2232">
        <v>0</v>
      </c>
      <c r="J2232">
        <v>0</v>
      </c>
      <c r="K2232">
        <v>64.099999999999994</v>
      </c>
      <c r="L2232">
        <v>63.7</v>
      </c>
      <c r="M2232">
        <v>71.709999999999994</v>
      </c>
      <c r="N2232">
        <v>2</v>
      </c>
      <c r="O2232">
        <v>1</v>
      </c>
      <c r="P2232">
        <f>MOD(DAY(datos_siembra[[#This Row],[Date]]),7)</f>
        <v>2</v>
      </c>
      <c r="Q2232" t="str">
        <f>CHOOSE(WEEKDAY(datos_siembra[[#This Row],[Date]],2),"L","M","X","J","V","S","D")</f>
        <v>X</v>
      </c>
      <c r="R2232">
        <f>WEEKNUM(datos_siembra[[#This Row],[Date]],2)-WEEKNUM(DATE(YEAR(datos_siembra[[#This Row],[Date]]),MONTH(datos_siembra[[#This Row],[Date]]),1))+1</f>
        <v>1</v>
      </c>
      <c r="S2232">
        <f>MONTH(datos_siembra[[#This Row],[Date]])</f>
        <v>10</v>
      </c>
      <c r="T2232" t="str" cm="1">
        <f t="array" ref="T2232">_xlfn.IFS(AND(N2232&lt;= 22, S2232=9), "SOWING",AND(N2232&lt;= 28, S2232=9), "COVERAGE",AND(N2232&lt;= 30, S2232=9), "FLUSH",AND(N2232&lt;= 11, S2232=10), "FLUSH",AND(N2232&lt;= 21, S2232=10), "PRODUCTION")</f>
        <v>FLUSH</v>
      </c>
      <c r="U2232">
        <f>HOUR(datos_siembra[[#This Row],[Hour]])</f>
        <v>6</v>
      </c>
      <c r="V2232" cm="1">
        <f t="array" ref="V2232">_xlfn.IFS(AND(N2232&lt;= 22, S2232=9), N2232-7,AND(N2232&lt;= 28, S2232=9), N2232-25,AND(N2232&lt;= 30, S2232=9), N2232-28,AND(N2232&lt;= 11, S2232=10), N2232+2,AND(N2232&lt;= 21, S2232=10), N2232-11)</f>
        <v>4</v>
      </c>
    </row>
    <row r="2233" spans="1:22" x14ac:dyDescent="0.35">
      <c r="A2233" s="4">
        <v>45567</v>
      </c>
      <c r="B2233" s="5">
        <v>0.28219907407407407</v>
      </c>
      <c r="C2233">
        <v>73.2</v>
      </c>
      <c r="D2233">
        <v>71.8</v>
      </c>
      <c r="E2233">
        <v>72.099999999999994</v>
      </c>
      <c r="F2233">
        <v>70</v>
      </c>
      <c r="G2233">
        <v>0</v>
      </c>
      <c r="H2233">
        <v>0</v>
      </c>
      <c r="I2233">
        <v>0</v>
      </c>
      <c r="J2233">
        <v>0</v>
      </c>
      <c r="K2233">
        <v>63.9</v>
      </c>
      <c r="L2233">
        <v>63.6</v>
      </c>
      <c r="M2233">
        <v>71.739999999999995</v>
      </c>
      <c r="N2233">
        <v>2</v>
      </c>
      <c r="O2233">
        <v>1</v>
      </c>
      <c r="P2233">
        <f>MOD(DAY(datos_siembra[[#This Row],[Date]]),7)</f>
        <v>2</v>
      </c>
      <c r="Q2233" t="str">
        <f>CHOOSE(WEEKDAY(datos_siembra[[#This Row],[Date]],2),"L","M","X","J","V","S","D")</f>
        <v>X</v>
      </c>
      <c r="R2233">
        <f>WEEKNUM(datos_siembra[[#This Row],[Date]],2)-WEEKNUM(DATE(YEAR(datos_siembra[[#This Row],[Date]]),MONTH(datos_siembra[[#This Row],[Date]]),1))+1</f>
        <v>1</v>
      </c>
      <c r="S2233">
        <f>MONTH(datos_siembra[[#This Row],[Date]])</f>
        <v>10</v>
      </c>
      <c r="T2233" t="str" cm="1">
        <f t="array" ref="T2233">_xlfn.IFS(AND(N2233&lt;= 22, S2233=9), "SOWING",AND(N2233&lt;= 28, S2233=9), "COVERAGE",AND(N2233&lt;= 30, S2233=9), "FLUSH",AND(N2233&lt;= 11, S2233=10), "FLUSH",AND(N2233&lt;= 21, S2233=10), "PRODUCTION")</f>
        <v>FLUSH</v>
      </c>
      <c r="U2233">
        <f>HOUR(datos_siembra[[#This Row],[Hour]])</f>
        <v>6</v>
      </c>
      <c r="V2233" cm="1">
        <f t="array" ref="V2233">_xlfn.IFS(AND(N2233&lt;= 22, S2233=9), N2233-7,AND(N2233&lt;= 28, S2233=9), N2233-25,AND(N2233&lt;= 30, S2233=9), N2233-28,AND(N2233&lt;= 11, S2233=10), N2233+2,AND(N2233&lt;= 21, S2233=10), N2233-11)</f>
        <v>4</v>
      </c>
    </row>
    <row r="2234" spans="1:22" x14ac:dyDescent="0.35">
      <c r="A2234" s="4">
        <v>45567</v>
      </c>
      <c r="B2234" s="5">
        <v>0.28914351851851849</v>
      </c>
      <c r="C2234">
        <v>73.099999999999994</v>
      </c>
      <c r="D2234">
        <v>71.8</v>
      </c>
      <c r="E2234">
        <v>71.900000000000006</v>
      </c>
      <c r="F2234">
        <v>70</v>
      </c>
      <c r="G2234">
        <v>0</v>
      </c>
      <c r="H2234">
        <v>0</v>
      </c>
      <c r="I2234">
        <v>0</v>
      </c>
      <c r="J2234">
        <v>0</v>
      </c>
      <c r="K2234">
        <v>63.9</v>
      </c>
      <c r="L2234">
        <v>63.6</v>
      </c>
      <c r="M2234">
        <v>71.709999999999994</v>
      </c>
      <c r="N2234">
        <v>2</v>
      </c>
      <c r="O2234">
        <v>1</v>
      </c>
      <c r="P2234">
        <f>MOD(DAY(datos_siembra[[#This Row],[Date]]),7)</f>
        <v>2</v>
      </c>
      <c r="Q2234" t="str">
        <f>CHOOSE(WEEKDAY(datos_siembra[[#This Row],[Date]],2),"L","M","X","J","V","S","D")</f>
        <v>X</v>
      </c>
      <c r="R2234">
        <f>WEEKNUM(datos_siembra[[#This Row],[Date]],2)-WEEKNUM(DATE(YEAR(datos_siembra[[#This Row],[Date]]),MONTH(datos_siembra[[#This Row],[Date]]),1))+1</f>
        <v>1</v>
      </c>
      <c r="S2234">
        <f>MONTH(datos_siembra[[#This Row],[Date]])</f>
        <v>10</v>
      </c>
      <c r="T2234" t="str" cm="1">
        <f t="array" ref="T2234">_xlfn.IFS(AND(N2234&lt;= 22, S2234=9), "SOWING",AND(N2234&lt;= 28, S2234=9), "COVERAGE",AND(N2234&lt;= 30, S2234=9), "FLUSH",AND(N2234&lt;= 11, S2234=10), "FLUSH",AND(N2234&lt;= 21, S2234=10), "PRODUCTION")</f>
        <v>FLUSH</v>
      </c>
      <c r="U2234">
        <f>HOUR(datos_siembra[[#This Row],[Hour]])</f>
        <v>6</v>
      </c>
      <c r="V2234" cm="1">
        <f t="array" ref="V2234">_xlfn.IFS(AND(N2234&lt;= 22, S2234=9), N2234-7,AND(N2234&lt;= 28, S2234=9), N2234-25,AND(N2234&lt;= 30, S2234=9), N2234-28,AND(N2234&lt;= 11, S2234=10), N2234+2,AND(N2234&lt;= 21, S2234=10), N2234-11)</f>
        <v>4</v>
      </c>
    </row>
    <row r="2235" spans="1:22" x14ac:dyDescent="0.35">
      <c r="A2235" s="4">
        <v>45567</v>
      </c>
      <c r="B2235" s="5">
        <v>0.29608796296296297</v>
      </c>
      <c r="C2235">
        <v>73.099999999999994</v>
      </c>
      <c r="D2235">
        <v>71.7</v>
      </c>
      <c r="E2235">
        <v>72.099999999999994</v>
      </c>
      <c r="F2235">
        <v>70.099999999999994</v>
      </c>
      <c r="G2235">
        <v>0</v>
      </c>
      <c r="H2235">
        <v>0</v>
      </c>
      <c r="I2235">
        <v>0</v>
      </c>
      <c r="J2235">
        <v>0</v>
      </c>
      <c r="K2235">
        <v>63.9</v>
      </c>
      <c r="L2235">
        <v>63.6</v>
      </c>
      <c r="M2235">
        <v>71.66</v>
      </c>
      <c r="N2235">
        <v>2</v>
      </c>
      <c r="O2235">
        <v>1</v>
      </c>
      <c r="P2235">
        <f>MOD(DAY(datos_siembra[[#This Row],[Date]]),7)</f>
        <v>2</v>
      </c>
      <c r="Q2235" t="str">
        <f>CHOOSE(WEEKDAY(datos_siembra[[#This Row],[Date]],2),"L","M","X","J","V","S","D")</f>
        <v>X</v>
      </c>
      <c r="R2235">
        <f>WEEKNUM(datos_siembra[[#This Row],[Date]],2)-WEEKNUM(DATE(YEAR(datos_siembra[[#This Row],[Date]]),MONTH(datos_siembra[[#This Row],[Date]]),1))+1</f>
        <v>1</v>
      </c>
      <c r="S2235">
        <f>MONTH(datos_siembra[[#This Row],[Date]])</f>
        <v>10</v>
      </c>
      <c r="T2235" t="str" cm="1">
        <f t="array" ref="T2235">_xlfn.IFS(AND(N2235&lt;= 22, S2235=9), "SOWING",AND(N2235&lt;= 28, S2235=9), "COVERAGE",AND(N2235&lt;= 30, S2235=9), "FLUSH",AND(N2235&lt;= 11, S2235=10), "FLUSH",AND(N2235&lt;= 21, S2235=10), "PRODUCTION")</f>
        <v>FLUSH</v>
      </c>
      <c r="U2235">
        <f>HOUR(datos_siembra[[#This Row],[Hour]])</f>
        <v>7</v>
      </c>
      <c r="V2235" cm="1">
        <f t="array" ref="V2235">_xlfn.IFS(AND(N2235&lt;= 22, S2235=9), N2235-7,AND(N2235&lt;= 28, S2235=9), N2235-25,AND(N2235&lt;= 30, S2235=9), N2235-28,AND(N2235&lt;= 11, S2235=10), N2235+2,AND(N2235&lt;= 21, S2235=10), N2235-11)</f>
        <v>4</v>
      </c>
    </row>
    <row r="2236" spans="1:22" x14ac:dyDescent="0.35">
      <c r="A2236" s="4">
        <v>45567</v>
      </c>
      <c r="B2236" s="5">
        <v>0.30303240740740739</v>
      </c>
      <c r="C2236">
        <v>73.099999999999994</v>
      </c>
      <c r="D2236">
        <v>71.7</v>
      </c>
      <c r="E2236">
        <v>72.099999999999994</v>
      </c>
      <c r="F2236">
        <v>70</v>
      </c>
      <c r="G2236">
        <v>0</v>
      </c>
      <c r="H2236">
        <v>0</v>
      </c>
      <c r="I2236">
        <v>0</v>
      </c>
      <c r="J2236">
        <v>0</v>
      </c>
      <c r="K2236">
        <v>63.9</v>
      </c>
      <c r="L2236">
        <v>63.6</v>
      </c>
      <c r="M2236">
        <v>71.680000000000007</v>
      </c>
      <c r="N2236">
        <v>2</v>
      </c>
      <c r="O2236">
        <v>1</v>
      </c>
      <c r="P2236">
        <f>MOD(DAY(datos_siembra[[#This Row],[Date]]),7)</f>
        <v>2</v>
      </c>
      <c r="Q2236" t="str">
        <f>CHOOSE(WEEKDAY(datos_siembra[[#This Row],[Date]],2),"L","M","X","J","V","S","D")</f>
        <v>X</v>
      </c>
      <c r="R2236">
        <f>WEEKNUM(datos_siembra[[#This Row],[Date]],2)-WEEKNUM(DATE(YEAR(datos_siembra[[#This Row],[Date]]),MONTH(datos_siembra[[#This Row],[Date]]),1))+1</f>
        <v>1</v>
      </c>
      <c r="S2236">
        <f>MONTH(datos_siembra[[#This Row],[Date]])</f>
        <v>10</v>
      </c>
      <c r="T2236" t="str" cm="1">
        <f t="array" ref="T2236">_xlfn.IFS(AND(N2236&lt;= 22, S2236=9), "SOWING",AND(N2236&lt;= 28, S2236=9), "COVERAGE",AND(N2236&lt;= 30, S2236=9), "FLUSH",AND(N2236&lt;= 11, S2236=10), "FLUSH",AND(N2236&lt;= 21, S2236=10), "PRODUCTION")</f>
        <v>FLUSH</v>
      </c>
      <c r="U2236">
        <f>HOUR(datos_siembra[[#This Row],[Hour]])</f>
        <v>7</v>
      </c>
      <c r="V2236" cm="1">
        <f t="array" ref="V2236">_xlfn.IFS(AND(N2236&lt;= 22, S2236=9), N2236-7,AND(N2236&lt;= 28, S2236=9), N2236-25,AND(N2236&lt;= 30, S2236=9), N2236-28,AND(N2236&lt;= 11, S2236=10), N2236+2,AND(N2236&lt;= 21, S2236=10), N2236-11)</f>
        <v>4</v>
      </c>
    </row>
    <row r="2237" spans="1:22" x14ac:dyDescent="0.35">
      <c r="A2237" s="4">
        <v>45567</v>
      </c>
      <c r="B2237" s="5">
        <v>0.3099884259259259</v>
      </c>
      <c r="C2237">
        <v>73.2</v>
      </c>
      <c r="D2237">
        <v>71.7</v>
      </c>
      <c r="E2237">
        <v>71.8</v>
      </c>
      <c r="F2237">
        <v>70</v>
      </c>
      <c r="G2237">
        <v>0</v>
      </c>
      <c r="H2237">
        <v>0</v>
      </c>
      <c r="I2237">
        <v>0</v>
      </c>
      <c r="J2237">
        <v>0</v>
      </c>
      <c r="K2237">
        <v>64.099999999999994</v>
      </c>
      <c r="L2237">
        <v>63.6</v>
      </c>
      <c r="M2237">
        <v>71.63</v>
      </c>
      <c r="N2237">
        <v>2</v>
      </c>
      <c r="O2237">
        <v>1</v>
      </c>
      <c r="P2237">
        <f>MOD(DAY(datos_siembra[[#This Row],[Date]]),7)</f>
        <v>2</v>
      </c>
      <c r="Q2237" t="str">
        <f>CHOOSE(WEEKDAY(datos_siembra[[#This Row],[Date]],2),"L","M","X","J","V","S","D")</f>
        <v>X</v>
      </c>
      <c r="R2237">
        <f>WEEKNUM(datos_siembra[[#This Row],[Date]],2)-WEEKNUM(DATE(YEAR(datos_siembra[[#This Row],[Date]]),MONTH(datos_siembra[[#This Row],[Date]]),1))+1</f>
        <v>1</v>
      </c>
      <c r="S2237">
        <f>MONTH(datos_siembra[[#This Row],[Date]])</f>
        <v>10</v>
      </c>
      <c r="T2237" t="str" cm="1">
        <f t="array" ref="T2237">_xlfn.IFS(AND(N2237&lt;= 22, S2237=9), "SOWING",AND(N2237&lt;= 28, S2237=9), "COVERAGE",AND(N2237&lt;= 30, S2237=9), "FLUSH",AND(N2237&lt;= 11, S2237=10), "FLUSH",AND(N2237&lt;= 21, S2237=10), "PRODUCTION")</f>
        <v>FLUSH</v>
      </c>
      <c r="U2237">
        <f>HOUR(datos_siembra[[#This Row],[Hour]])</f>
        <v>7</v>
      </c>
      <c r="V2237" cm="1">
        <f t="array" ref="V2237">_xlfn.IFS(AND(N2237&lt;= 22, S2237=9), N2237-7,AND(N2237&lt;= 28, S2237=9), N2237-25,AND(N2237&lt;= 30, S2237=9), N2237-28,AND(N2237&lt;= 11, S2237=10), N2237+2,AND(N2237&lt;= 21, S2237=10), N2237-11)</f>
        <v>4</v>
      </c>
    </row>
    <row r="2238" spans="1:22" x14ac:dyDescent="0.35">
      <c r="A2238" s="4">
        <v>45567</v>
      </c>
      <c r="B2238" s="5">
        <v>0.31693287037037038</v>
      </c>
      <c r="C2238">
        <v>73.2</v>
      </c>
      <c r="D2238">
        <v>71.5</v>
      </c>
      <c r="E2238">
        <v>71.900000000000006</v>
      </c>
      <c r="F2238">
        <v>70</v>
      </c>
      <c r="G2238">
        <v>0</v>
      </c>
      <c r="H2238">
        <v>0</v>
      </c>
      <c r="I2238">
        <v>0</v>
      </c>
      <c r="J2238">
        <v>0</v>
      </c>
      <c r="K2238">
        <v>63.9</v>
      </c>
      <c r="L2238">
        <v>63.6</v>
      </c>
      <c r="M2238">
        <v>71.66</v>
      </c>
      <c r="N2238">
        <v>2</v>
      </c>
      <c r="O2238">
        <v>1</v>
      </c>
      <c r="P2238">
        <f>MOD(DAY(datos_siembra[[#This Row],[Date]]),7)</f>
        <v>2</v>
      </c>
      <c r="Q2238" t="str">
        <f>CHOOSE(WEEKDAY(datos_siembra[[#This Row],[Date]],2),"L","M","X","J","V","S","D")</f>
        <v>X</v>
      </c>
      <c r="R2238">
        <f>WEEKNUM(datos_siembra[[#This Row],[Date]],2)-WEEKNUM(DATE(YEAR(datos_siembra[[#This Row],[Date]]),MONTH(datos_siembra[[#This Row],[Date]]),1))+1</f>
        <v>1</v>
      </c>
      <c r="S2238">
        <f>MONTH(datos_siembra[[#This Row],[Date]])</f>
        <v>10</v>
      </c>
      <c r="T2238" t="str" cm="1">
        <f t="array" ref="T2238">_xlfn.IFS(AND(N2238&lt;= 22, S2238=9), "SOWING",AND(N2238&lt;= 28, S2238=9), "COVERAGE",AND(N2238&lt;= 30, S2238=9), "FLUSH",AND(N2238&lt;= 11, S2238=10), "FLUSH",AND(N2238&lt;= 21, S2238=10), "PRODUCTION")</f>
        <v>FLUSH</v>
      </c>
      <c r="U2238">
        <f>HOUR(datos_siembra[[#This Row],[Hour]])</f>
        <v>7</v>
      </c>
      <c r="V2238" cm="1">
        <f t="array" ref="V2238">_xlfn.IFS(AND(N2238&lt;= 22, S2238=9), N2238-7,AND(N2238&lt;= 28, S2238=9), N2238-25,AND(N2238&lt;= 30, S2238=9), N2238-28,AND(N2238&lt;= 11, S2238=10), N2238+2,AND(N2238&lt;= 21, S2238=10), N2238-11)</f>
        <v>4</v>
      </c>
    </row>
    <row r="2239" spans="1:22" x14ac:dyDescent="0.35">
      <c r="A2239" s="4">
        <v>45567</v>
      </c>
      <c r="B2239" s="5">
        <v>0.3238773148148148</v>
      </c>
      <c r="C2239">
        <v>73.099999999999994</v>
      </c>
      <c r="D2239">
        <v>71.7</v>
      </c>
      <c r="E2239">
        <v>71.8</v>
      </c>
      <c r="F2239">
        <v>70</v>
      </c>
      <c r="G2239">
        <v>0</v>
      </c>
      <c r="H2239">
        <v>0</v>
      </c>
      <c r="I2239">
        <v>0</v>
      </c>
      <c r="J2239">
        <v>0</v>
      </c>
      <c r="K2239">
        <v>63.9</v>
      </c>
      <c r="L2239">
        <v>63.6</v>
      </c>
      <c r="M2239">
        <v>71.66</v>
      </c>
      <c r="N2239">
        <v>2</v>
      </c>
      <c r="O2239">
        <v>1</v>
      </c>
      <c r="P2239">
        <f>MOD(DAY(datos_siembra[[#This Row],[Date]]),7)</f>
        <v>2</v>
      </c>
      <c r="Q2239" t="str">
        <f>CHOOSE(WEEKDAY(datos_siembra[[#This Row],[Date]],2),"L","M","X","J","V","S","D")</f>
        <v>X</v>
      </c>
      <c r="R2239">
        <f>WEEKNUM(datos_siembra[[#This Row],[Date]],2)-WEEKNUM(DATE(YEAR(datos_siembra[[#This Row],[Date]]),MONTH(datos_siembra[[#This Row],[Date]]),1))+1</f>
        <v>1</v>
      </c>
      <c r="S2239">
        <f>MONTH(datos_siembra[[#This Row],[Date]])</f>
        <v>10</v>
      </c>
      <c r="T2239" t="str" cm="1">
        <f t="array" ref="T2239">_xlfn.IFS(AND(N2239&lt;= 22, S2239=9), "SOWING",AND(N2239&lt;= 28, S2239=9), "COVERAGE",AND(N2239&lt;= 30, S2239=9), "FLUSH",AND(N2239&lt;= 11, S2239=10), "FLUSH",AND(N2239&lt;= 21, S2239=10), "PRODUCTION")</f>
        <v>FLUSH</v>
      </c>
      <c r="U2239">
        <f>HOUR(datos_siembra[[#This Row],[Hour]])</f>
        <v>7</v>
      </c>
      <c r="V2239" cm="1">
        <f t="array" ref="V2239">_xlfn.IFS(AND(N2239&lt;= 22, S2239=9), N2239-7,AND(N2239&lt;= 28, S2239=9), N2239-25,AND(N2239&lt;= 30, S2239=9), N2239-28,AND(N2239&lt;= 11, S2239=10), N2239+2,AND(N2239&lt;= 21, S2239=10), N2239-11)</f>
        <v>4</v>
      </c>
    </row>
    <row r="2240" spans="1:22" x14ac:dyDescent="0.35">
      <c r="A2240" s="4">
        <v>45567</v>
      </c>
      <c r="B2240" s="5">
        <v>0.33082175925925927</v>
      </c>
      <c r="C2240">
        <v>73.099999999999994</v>
      </c>
      <c r="D2240">
        <v>71.5</v>
      </c>
      <c r="E2240">
        <v>71.8</v>
      </c>
      <c r="F2240">
        <v>69.900000000000006</v>
      </c>
      <c r="G2240">
        <v>0</v>
      </c>
      <c r="H2240">
        <v>0</v>
      </c>
      <c r="I2240">
        <v>0</v>
      </c>
      <c r="J2240">
        <v>0</v>
      </c>
      <c r="K2240">
        <v>63.9</v>
      </c>
      <c r="L2240">
        <v>63.5</v>
      </c>
      <c r="M2240">
        <v>71.569999999999993</v>
      </c>
      <c r="N2240">
        <v>2</v>
      </c>
      <c r="O2240">
        <v>1</v>
      </c>
      <c r="P2240">
        <f>MOD(DAY(datos_siembra[[#This Row],[Date]]),7)</f>
        <v>2</v>
      </c>
      <c r="Q2240" t="str">
        <f>CHOOSE(WEEKDAY(datos_siembra[[#This Row],[Date]],2),"L","M","X","J","V","S","D")</f>
        <v>X</v>
      </c>
      <c r="R2240">
        <f>WEEKNUM(datos_siembra[[#This Row],[Date]],2)-WEEKNUM(DATE(YEAR(datos_siembra[[#This Row],[Date]]),MONTH(datos_siembra[[#This Row],[Date]]),1))+1</f>
        <v>1</v>
      </c>
      <c r="S2240">
        <f>MONTH(datos_siembra[[#This Row],[Date]])</f>
        <v>10</v>
      </c>
      <c r="T2240" t="str" cm="1">
        <f t="array" ref="T2240">_xlfn.IFS(AND(N2240&lt;= 22, S2240=9), "SOWING",AND(N2240&lt;= 28, S2240=9), "COVERAGE",AND(N2240&lt;= 30, S2240=9), "FLUSH",AND(N2240&lt;= 11, S2240=10), "FLUSH",AND(N2240&lt;= 21, S2240=10), "PRODUCTION")</f>
        <v>FLUSH</v>
      </c>
      <c r="U2240">
        <f>HOUR(datos_siembra[[#This Row],[Hour]])</f>
        <v>7</v>
      </c>
      <c r="V2240" cm="1">
        <f t="array" ref="V2240">_xlfn.IFS(AND(N2240&lt;= 22, S2240=9), N2240-7,AND(N2240&lt;= 28, S2240=9), N2240-25,AND(N2240&lt;= 30, S2240=9), N2240-28,AND(N2240&lt;= 11, S2240=10), N2240+2,AND(N2240&lt;= 21, S2240=10), N2240-11)</f>
        <v>4</v>
      </c>
    </row>
    <row r="2241" spans="1:22" x14ac:dyDescent="0.35">
      <c r="A2241" s="4">
        <v>45567</v>
      </c>
      <c r="B2241" s="5">
        <v>0.33777777777777779</v>
      </c>
      <c r="C2241">
        <v>73.099999999999994</v>
      </c>
      <c r="D2241">
        <v>71.599999999999994</v>
      </c>
      <c r="E2241">
        <v>71.900000000000006</v>
      </c>
      <c r="F2241">
        <v>69.900000000000006</v>
      </c>
      <c r="G2241">
        <v>0</v>
      </c>
      <c r="H2241">
        <v>0</v>
      </c>
      <c r="I2241">
        <v>0</v>
      </c>
      <c r="J2241">
        <v>0</v>
      </c>
      <c r="K2241">
        <v>64.099999999999994</v>
      </c>
      <c r="L2241">
        <v>63.5</v>
      </c>
      <c r="M2241">
        <v>71.569999999999993</v>
      </c>
      <c r="N2241">
        <v>2</v>
      </c>
      <c r="O2241">
        <v>1</v>
      </c>
      <c r="P2241">
        <f>MOD(DAY(datos_siembra[[#This Row],[Date]]),7)</f>
        <v>2</v>
      </c>
      <c r="Q2241" t="str">
        <f>CHOOSE(WEEKDAY(datos_siembra[[#This Row],[Date]],2),"L","M","X","J","V","S","D")</f>
        <v>X</v>
      </c>
      <c r="R2241">
        <f>WEEKNUM(datos_siembra[[#This Row],[Date]],2)-WEEKNUM(DATE(YEAR(datos_siembra[[#This Row],[Date]]),MONTH(datos_siembra[[#This Row],[Date]]),1))+1</f>
        <v>1</v>
      </c>
      <c r="S2241">
        <f>MONTH(datos_siembra[[#This Row],[Date]])</f>
        <v>10</v>
      </c>
      <c r="T2241" t="str" cm="1">
        <f t="array" ref="T2241">_xlfn.IFS(AND(N2241&lt;= 22, S2241=9), "SOWING",AND(N2241&lt;= 28, S2241=9), "COVERAGE",AND(N2241&lt;= 30, S2241=9), "FLUSH",AND(N2241&lt;= 11, S2241=10), "FLUSH",AND(N2241&lt;= 21, S2241=10), "PRODUCTION")</f>
        <v>FLUSH</v>
      </c>
      <c r="U2241">
        <f>HOUR(datos_siembra[[#This Row],[Hour]])</f>
        <v>8</v>
      </c>
      <c r="V2241" cm="1">
        <f t="array" ref="V2241">_xlfn.IFS(AND(N2241&lt;= 22, S2241=9), N2241-7,AND(N2241&lt;= 28, S2241=9), N2241-25,AND(N2241&lt;= 30, S2241=9), N2241-28,AND(N2241&lt;= 11, S2241=10), N2241+2,AND(N2241&lt;= 21, S2241=10), N2241-11)</f>
        <v>4</v>
      </c>
    </row>
    <row r="2242" spans="1:22" x14ac:dyDescent="0.35">
      <c r="A2242" s="4">
        <v>45567</v>
      </c>
      <c r="B2242" s="5">
        <v>0.34472222222222221</v>
      </c>
      <c r="C2242">
        <v>73</v>
      </c>
      <c r="D2242">
        <v>71.5</v>
      </c>
      <c r="E2242">
        <v>71.900000000000006</v>
      </c>
      <c r="F2242">
        <v>69.900000000000006</v>
      </c>
      <c r="G2242">
        <v>0</v>
      </c>
      <c r="H2242">
        <v>0</v>
      </c>
      <c r="I2242">
        <v>0</v>
      </c>
      <c r="J2242">
        <v>0</v>
      </c>
      <c r="K2242">
        <v>63.9</v>
      </c>
      <c r="L2242">
        <v>63.5</v>
      </c>
      <c r="M2242">
        <v>71.599999999999994</v>
      </c>
      <c r="N2242">
        <v>2</v>
      </c>
      <c r="O2242">
        <v>1</v>
      </c>
      <c r="P2242">
        <f>MOD(DAY(datos_siembra[[#This Row],[Date]]),7)</f>
        <v>2</v>
      </c>
      <c r="Q2242" t="str">
        <f>CHOOSE(WEEKDAY(datos_siembra[[#This Row],[Date]],2),"L","M","X","J","V","S","D")</f>
        <v>X</v>
      </c>
      <c r="R2242">
        <f>WEEKNUM(datos_siembra[[#This Row],[Date]],2)-WEEKNUM(DATE(YEAR(datos_siembra[[#This Row],[Date]]),MONTH(datos_siembra[[#This Row],[Date]]),1))+1</f>
        <v>1</v>
      </c>
      <c r="S2242">
        <f>MONTH(datos_siembra[[#This Row],[Date]])</f>
        <v>10</v>
      </c>
      <c r="T2242" t="str" cm="1">
        <f t="array" ref="T2242">_xlfn.IFS(AND(N2242&lt;= 22, S2242=9), "SOWING",AND(N2242&lt;= 28, S2242=9), "COVERAGE",AND(N2242&lt;= 30, S2242=9), "FLUSH",AND(N2242&lt;= 11, S2242=10), "FLUSH",AND(N2242&lt;= 21, S2242=10), "PRODUCTION")</f>
        <v>FLUSH</v>
      </c>
      <c r="U2242">
        <f>HOUR(datos_siembra[[#This Row],[Hour]])</f>
        <v>8</v>
      </c>
      <c r="V2242" cm="1">
        <f t="array" ref="V2242">_xlfn.IFS(AND(N2242&lt;= 22, S2242=9), N2242-7,AND(N2242&lt;= 28, S2242=9), N2242-25,AND(N2242&lt;= 30, S2242=9), N2242-28,AND(N2242&lt;= 11, S2242=10), N2242+2,AND(N2242&lt;= 21, S2242=10), N2242-11)</f>
        <v>4</v>
      </c>
    </row>
    <row r="2243" spans="1:22" x14ac:dyDescent="0.35">
      <c r="A2243" s="4">
        <v>45567</v>
      </c>
      <c r="B2243" s="5">
        <v>0.35166666666666668</v>
      </c>
      <c r="C2243">
        <v>73</v>
      </c>
      <c r="D2243">
        <v>71.400000000000006</v>
      </c>
      <c r="E2243">
        <v>71.8</v>
      </c>
      <c r="F2243">
        <v>70</v>
      </c>
      <c r="G2243">
        <v>0</v>
      </c>
      <c r="H2243">
        <v>0</v>
      </c>
      <c r="I2243">
        <v>0</v>
      </c>
      <c r="J2243">
        <v>0</v>
      </c>
      <c r="K2243">
        <v>63.8</v>
      </c>
      <c r="L2243">
        <v>63.5</v>
      </c>
      <c r="M2243">
        <v>71.540000000000006</v>
      </c>
      <c r="N2243">
        <v>2</v>
      </c>
      <c r="O2243">
        <v>1</v>
      </c>
      <c r="P2243">
        <f>MOD(DAY(datos_siembra[[#This Row],[Date]]),7)</f>
        <v>2</v>
      </c>
      <c r="Q2243" t="str">
        <f>CHOOSE(WEEKDAY(datos_siembra[[#This Row],[Date]],2),"L","M","X","J","V","S","D")</f>
        <v>X</v>
      </c>
      <c r="R2243">
        <f>WEEKNUM(datos_siembra[[#This Row],[Date]],2)-WEEKNUM(DATE(YEAR(datos_siembra[[#This Row],[Date]]),MONTH(datos_siembra[[#This Row],[Date]]),1))+1</f>
        <v>1</v>
      </c>
      <c r="S2243">
        <f>MONTH(datos_siembra[[#This Row],[Date]])</f>
        <v>10</v>
      </c>
      <c r="T2243" t="str" cm="1">
        <f t="array" ref="T2243">_xlfn.IFS(AND(N2243&lt;= 22, S2243=9), "SOWING",AND(N2243&lt;= 28, S2243=9), "COVERAGE",AND(N2243&lt;= 30, S2243=9), "FLUSH",AND(N2243&lt;= 11, S2243=10), "FLUSH",AND(N2243&lt;= 21, S2243=10), "PRODUCTION")</f>
        <v>FLUSH</v>
      </c>
      <c r="U2243">
        <f>HOUR(datos_siembra[[#This Row],[Hour]])</f>
        <v>8</v>
      </c>
      <c r="V2243" cm="1">
        <f t="array" ref="V2243">_xlfn.IFS(AND(N2243&lt;= 22, S2243=9), N2243-7,AND(N2243&lt;= 28, S2243=9), N2243-25,AND(N2243&lt;= 30, S2243=9), N2243-28,AND(N2243&lt;= 11, S2243=10), N2243+2,AND(N2243&lt;= 21, S2243=10), N2243-11)</f>
        <v>4</v>
      </c>
    </row>
    <row r="2244" spans="1:22" x14ac:dyDescent="0.35">
      <c r="A2244" s="4">
        <v>45567</v>
      </c>
      <c r="B2244" s="5">
        <v>0.3586111111111111</v>
      </c>
      <c r="C2244">
        <v>73.099999999999994</v>
      </c>
      <c r="D2244">
        <v>71.400000000000006</v>
      </c>
      <c r="E2244">
        <v>71.7</v>
      </c>
      <c r="F2244">
        <v>70.099999999999994</v>
      </c>
      <c r="G2244">
        <v>0</v>
      </c>
      <c r="H2244">
        <v>0</v>
      </c>
      <c r="I2244">
        <v>0</v>
      </c>
      <c r="J2244">
        <v>0</v>
      </c>
      <c r="K2244">
        <v>63.9</v>
      </c>
      <c r="L2244">
        <v>63.6</v>
      </c>
      <c r="M2244">
        <v>71.599999999999994</v>
      </c>
      <c r="N2244">
        <v>2</v>
      </c>
      <c r="O2244">
        <v>1</v>
      </c>
      <c r="P2244">
        <f>MOD(DAY(datos_siembra[[#This Row],[Date]]),7)</f>
        <v>2</v>
      </c>
      <c r="Q2244" t="str">
        <f>CHOOSE(WEEKDAY(datos_siembra[[#This Row],[Date]],2),"L","M","X","J","V","S","D")</f>
        <v>X</v>
      </c>
      <c r="R2244">
        <f>WEEKNUM(datos_siembra[[#This Row],[Date]],2)-WEEKNUM(DATE(YEAR(datos_siembra[[#This Row],[Date]]),MONTH(datos_siembra[[#This Row],[Date]]),1))+1</f>
        <v>1</v>
      </c>
      <c r="S2244">
        <f>MONTH(datos_siembra[[#This Row],[Date]])</f>
        <v>10</v>
      </c>
      <c r="T2244" t="str" cm="1">
        <f t="array" ref="T2244">_xlfn.IFS(AND(N2244&lt;= 22, S2244=9), "SOWING",AND(N2244&lt;= 28, S2244=9), "COVERAGE",AND(N2244&lt;= 30, S2244=9), "FLUSH",AND(N2244&lt;= 11, S2244=10), "FLUSH",AND(N2244&lt;= 21, S2244=10), "PRODUCTION")</f>
        <v>FLUSH</v>
      </c>
      <c r="U2244">
        <f>HOUR(datos_siembra[[#This Row],[Hour]])</f>
        <v>8</v>
      </c>
      <c r="V2244" cm="1">
        <f t="array" ref="V2244">_xlfn.IFS(AND(N2244&lt;= 22, S2244=9), N2244-7,AND(N2244&lt;= 28, S2244=9), N2244-25,AND(N2244&lt;= 30, S2244=9), N2244-28,AND(N2244&lt;= 11, S2244=10), N2244+2,AND(N2244&lt;= 21, S2244=10), N2244-11)</f>
        <v>4</v>
      </c>
    </row>
    <row r="2245" spans="1:22" x14ac:dyDescent="0.35">
      <c r="A2245" s="4">
        <v>45567</v>
      </c>
      <c r="B2245" s="5">
        <v>0.3658912037037037</v>
      </c>
      <c r="C2245">
        <v>73.2</v>
      </c>
      <c r="D2245">
        <v>70.900000000000006</v>
      </c>
      <c r="E2245">
        <v>71.400000000000006</v>
      </c>
      <c r="F2245">
        <v>69.5</v>
      </c>
      <c r="G2245">
        <v>0</v>
      </c>
      <c r="H2245">
        <v>0</v>
      </c>
      <c r="I2245">
        <v>0</v>
      </c>
      <c r="J2245">
        <v>0</v>
      </c>
      <c r="K2245">
        <v>62.4</v>
      </c>
      <c r="L2245">
        <v>61.5</v>
      </c>
      <c r="M2245">
        <v>71.23</v>
      </c>
      <c r="N2245">
        <v>2</v>
      </c>
      <c r="O2245">
        <v>1</v>
      </c>
      <c r="P2245">
        <f>MOD(DAY(datos_siembra[[#This Row],[Date]]),7)</f>
        <v>2</v>
      </c>
      <c r="Q2245" t="str">
        <f>CHOOSE(WEEKDAY(datos_siembra[[#This Row],[Date]],2),"L","M","X","J","V","S","D")</f>
        <v>X</v>
      </c>
      <c r="R2245">
        <f>WEEKNUM(datos_siembra[[#This Row],[Date]],2)-WEEKNUM(DATE(YEAR(datos_siembra[[#This Row],[Date]]),MONTH(datos_siembra[[#This Row],[Date]]),1))+1</f>
        <v>1</v>
      </c>
      <c r="S2245">
        <f>MONTH(datos_siembra[[#This Row],[Date]])</f>
        <v>10</v>
      </c>
      <c r="T2245" t="str" cm="1">
        <f t="array" ref="T2245">_xlfn.IFS(AND(N2245&lt;= 22, S2245=9), "SOWING",AND(N2245&lt;= 28, S2245=9), "COVERAGE",AND(N2245&lt;= 30, S2245=9), "FLUSH",AND(N2245&lt;= 11, S2245=10), "FLUSH",AND(N2245&lt;= 21, S2245=10), "PRODUCTION")</f>
        <v>FLUSH</v>
      </c>
      <c r="U2245">
        <f>HOUR(datos_siembra[[#This Row],[Hour]])</f>
        <v>8</v>
      </c>
      <c r="V2245" cm="1">
        <f t="array" ref="V2245">_xlfn.IFS(AND(N2245&lt;= 22, S2245=9), N2245-7,AND(N2245&lt;= 28, S2245=9), N2245-25,AND(N2245&lt;= 30, S2245=9), N2245-28,AND(N2245&lt;= 11, S2245=10), N2245+2,AND(N2245&lt;= 21, S2245=10), N2245-11)</f>
        <v>4</v>
      </c>
    </row>
    <row r="2246" spans="1:22" x14ac:dyDescent="0.35">
      <c r="A2246" s="4">
        <v>45567</v>
      </c>
      <c r="B2246" s="5">
        <v>0.37270833333333331</v>
      </c>
      <c r="C2246">
        <v>73.099999999999994</v>
      </c>
      <c r="D2246">
        <v>71</v>
      </c>
      <c r="E2246">
        <v>71.5</v>
      </c>
      <c r="F2246">
        <v>69.5</v>
      </c>
      <c r="G2246">
        <v>0</v>
      </c>
      <c r="H2246">
        <v>0</v>
      </c>
      <c r="I2246">
        <v>0</v>
      </c>
      <c r="J2246">
        <v>0</v>
      </c>
      <c r="K2246">
        <v>62.3</v>
      </c>
      <c r="L2246">
        <v>61.5</v>
      </c>
      <c r="M2246">
        <v>71.349999999999994</v>
      </c>
      <c r="N2246">
        <v>2</v>
      </c>
      <c r="O2246">
        <v>1</v>
      </c>
      <c r="P2246">
        <f>MOD(DAY(datos_siembra[[#This Row],[Date]]),7)</f>
        <v>2</v>
      </c>
      <c r="Q2246" t="str">
        <f>CHOOSE(WEEKDAY(datos_siembra[[#This Row],[Date]],2),"L","M","X","J","V","S","D")</f>
        <v>X</v>
      </c>
      <c r="R2246">
        <f>WEEKNUM(datos_siembra[[#This Row],[Date]],2)-WEEKNUM(DATE(YEAR(datos_siembra[[#This Row],[Date]]),MONTH(datos_siembra[[#This Row],[Date]]),1))+1</f>
        <v>1</v>
      </c>
      <c r="S2246">
        <f>MONTH(datos_siembra[[#This Row],[Date]])</f>
        <v>10</v>
      </c>
      <c r="T2246" t="str" cm="1">
        <f t="array" ref="T2246">_xlfn.IFS(AND(N2246&lt;= 22, S2246=9), "SOWING",AND(N2246&lt;= 28, S2246=9), "COVERAGE",AND(N2246&lt;= 30, S2246=9), "FLUSH",AND(N2246&lt;= 11, S2246=10), "FLUSH",AND(N2246&lt;= 21, S2246=10), "PRODUCTION")</f>
        <v>FLUSH</v>
      </c>
      <c r="U2246">
        <f>HOUR(datos_siembra[[#This Row],[Hour]])</f>
        <v>8</v>
      </c>
      <c r="V2246" cm="1">
        <f t="array" ref="V2246">_xlfn.IFS(AND(N2246&lt;= 22, S2246=9), N2246-7,AND(N2246&lt;= 28, S2246=9), N2246-25,AND(N2246&lt;= 30, S2246=9), N2246-28,AND(N2246&lt;= 11, S2246=10), N2246+2,AND(N2246&lt;= 21, S2246=10), N2246-11)</f>
        <v>4</v>
      </c>
    </row>
    <row r="2247" spans="1:22" x14ac:dyDescent="0.35">
      <c r="A2247" s="4">
        <v>45567</v>
      </c>
      <c r="B2247" s="5">
        <v>0.37965277777777778</v>
      </c>
      <c r="C2247">
        <v>73.2</v>
      </c>
      <c r="D2247">
        <v>71</v>
      </c>
      <c r="E2247">
        <v>71.599999999999994</v>
      </c>
      <c r="F2247">
        <v>69.5</v>
      </c>
      <c r="G2247">
        <v>0</v>
      </c>
      <c r="H2247">
        <v>0</v>
      </c>
      <c r="I2247">
        <v>0</v>
      </c>
      <c r="J2247">
        <v>0</v>
      </c>
      <c r="K2247">
        <v>62.3</v>
      </c>
      <c r="L2247">
        <v>61.7</v>
      </c>
      <c r="M2247">
        <v>71.400000000000006</v>
      </c>
      <c r="N2247">
        <v>2</v>
      </c>
      <c r="O2247">
        <v>1</v>
      </c>
      <c r="P2247">
        <f>MOD(DAY(datos_siembra[[#This Row],[Date]]),7)</f>
        <v>2</v>
      </c>
      <c r="Q2247" t="str">
        <f>CHOOSE(WEEKDAY(datos_siembra[[#This Row],[Date]],2),"L","M","X","J","V","S","D")</f>
        <v>X</v>
      </c>
      <c r="R2247">
        <f>WEEKNUM(datos_siembra[[#This Row],[Date]],2)-WEEKNUM(DATE(YEAR(datos_siembra[[#This Row],[Date]]),MONTH(datos_siembra[[#This Row],[Date]]),1))+1</f>
        <v>1</v>
      </c>
      <c r="S2247">
        <f>MONTH(datos_siembra[[#This Row],[Date]])</f>
        <v>10</v>
      </c>
      <c r="T2247" t="str" cm="1">
        <f t="array" ref="T2247">_xlfn.IFS(AND(N2247&lt;= 22, S2247=9), "SOWING",AND(N2247&lt;= 28, S2247=9), "COVERAGE",AND(N2247&lt;= 30, S2247=9), "FLUSH",AND(N2247&lt;= 11, S2247=10), "FLUSH",AND(N2247&lt;= 21, S2247=10), "PRODUCTION")</f>
        <v>FLUSH</v>
      </c>
      <c r="U2247">
        <f>HOUR(datos_siembra[[#This Row],[Hour]])</f>
        <v>9</v>
      </c>
      <c r="V2247" cm="1">
        <f t="array" ref="V2247">_xlfn.IFS(AND(N2247&lt;= 22, S2247=9), N2247-7,AND(N2247&lt;= 28, S2247=9), N2247-25,AND(N2247&lt;= 30, S2247=9), N2247-28,AND(N2247&lt;= 11, S2247=10), N2247+2,AND(N2247&lt;= 21, S2247=10), N2247-11)</f>
        <v>4</v>
      </c>
    </row>
    <row r="2248" spans="1:22" x14ac:dyDescent="0.35">
      <c r="A2248" s="4">
        <v>45567</v>
      </c>
      <c r="B2248" s="5">
        <v>0.3866087962962963</v>
      </c>
      <c r="C2248">
        <v>73.3</v>
      </c>
      <c r="D2248">
        <v>71</v>
      </c>
      <c r="E2248">
        <v>71.5</v>
      </c>
      <c r="F2248">
        <v>69.5</v>
      </c>
      <c r="G2248">
        <v>0</v>
      </c>
      <c r="H2248">
        <v>0</v>
      </c>
      <c r="I2248">
        <v>0</v>
      </c>
      <c r="J2248">
        <v>0</v>
      </c>
      <c r="K2248">
        <v>62.3</v>
      </c>
      <c r="L2248">
        <v>61.7</v>
      </c>
      <c r="M2248">
        <v>71.319999999999993</v>
      </c>
      <c r="N2248">
        <v>2</v>
      </c>
      <c r="O2248">
        <v>1</v>
      </c>
      <c r="P2248">
        <f>MOD(DAY(datos_siembra[[#This Row],[Date]]),7)</f>
        <v>2</v>
      </c>
      <c r="Q2248" t="str">
        <f>CHOOSE(WEEKDAY(datos_siembra[[#This Row],[Date]],2),"L","M","X","J","V","S","D")</f>
        <v>X</v>
      </c>
      <c r="R2248">
        <f>WEEKNUM(datos_siembra[[#This Row],[Date]],2)-WEEKNUM(DATE(YEAR(datos_siembra[[#This Row],[Date]]),MONTH(datos_siembra[[#This Row],[Date]]),1))+1</f>
        <v>1</v>
      </c>
      <c r="S2248">
        <f>MONTH(datos_siembra[[#This Row],[Date]])</f>
        <v>10</v>
      </c>
      <c r="T2248" t="str" cm="1">
        <f t="array" ref="T2248">_xlfn.IFS(AND(N2248&lt;= 22, S2248=9), "SOWING",AND(N2248&lt;= 28, S2248=9), "COVERAGE",AND(N2248&lt;= 30, S2248=9), "FLUSH",AND(N2248&lt;= 11, S2248=10), "FLUSH",AND(N2248&lt;= 21, S2248=10), "PRODUCTION")</f>
        <v>FLUSH</v>
      </c>
      <c r="U2248">
        <f>HOUR(datos_siembra[[#This Row],[Hour]])</f>
        <v>9</v>
      </c>
      <c r="V2248" cm="1">
        <f t="array" ref="V2248">_xlfn.IFS(AND(N2248&lt;= 22, S2248=9), N2248-7,AND(N2248&lt;= 28, S2248=9), N2248-25,AND(N2248&lt;= 30, S2248=9), N2248-28,AND(N2248&lt;= 11, S2248=10), N2248+2,AND(N2248&lt;= 21, S2248=10), N2248-11)</f>
        <v>4</v>
      </c>
    </row>
    <row r="2249" spans="1:22" x14ac:dyDescent="0.35">
      <c r="A2249" s="4">
        <v>45567</v>
      </c>
      <c r="B2249" s="5">
        <v>0.39355324074074072</v>
      </c>
      <c r="C2249">
        <v>73.2</v>
      </c>
      <c r="D2249">
        <v>71</v>
      </c>
      <c r="E2249">
        <v>71.5</v>
      </c>
      <c r="F2249">
        <v>69.5</v>
      </c>
      <c r="G2249">
        <v>0</v>
      </c>
      <c r="H2249">
        <v>0</v>
      </c>
      <c r="I2249">
        <v>0</v>
      </c>
      <c r="J2249">
        <v>0</v>
      </c>
      <c r="K2249">
        <v>62.4</v>
      </c>
      <c r="L2249">
        <v>61.7</v>
      </c>
      <c r="M2249">
        <v>71.319999999999993</v>
      </c>
      <c r="N2249">
        <v>2</v>
      </c>
      <c r="O2249">
        <v>1</v>
      </c>
      <c r="P2249">
        <f>MOD(DAY(datos_siembra[[#This Row],[Date]]),7)</f>
        <v>2</v>
      </c>
      <c r="Q2249" t="str">
        <f>CHOOSE(WEEKDAY(datos_siembra[[#This Row],[Date]],2),"L","M","X","J","V","S","D")</f>
        <v>X</v>
      </c>
      <c r="R2249">
        <f>WEEKNUM(datos_siembra[[#This Row],[Date]],2)-WEEKNUM(DATE(YEAR(datos_siembra[[#This Row],[Date]]),MONTH(datos_siembra[[#This Row],[Date]]),1))+1</f>
        <v>1</v>
      </c>
      <c r="S2249">
        <f>MONTH(datos_siembra[[#This Row],[Date]])</f>
        <v>10</v>
      </c>
      <c r="T2249" t="str" cm="1">
        <f t="array" ref="T2249">_xlfn.IFS(AND(N2249&lt;= 22, S2249=9), "SOWING",AND(N2249&lt;= 28, S2249=9), "COVERAGE",AND(N2249&lt;= 30, S2249=9), "FLUSH",AND(N2249&lt;= 11, S2249=10), "FLUSH",AND(N2249&lt;= 21, S2249=10), "PRODUCTION")</f>
        <v>FLUSH</v>
      </c>
      <c r="U2249">
        <f>HOUR(datos_siembra[[#This Row],[Hour]])</f>
        <v>9</v>
      </c>
      <c r="V2249" cm="1">
        <f t="array" ref="V2249">_xlfn.IFS(AND(N2249&lt;= 22, S2249=9), N2249-7,AND(N2249&lt;= 28, S2249=9), N2249-25,AND(N2249&lt;= 30, S2249=9), N2249-28,AND(N2249&lt;= 11, S2249=10), N2249+2,AND(N2249&lt;= 21, S2249=10), N2249-11)</f>
        <v>4</v>
      </c>
    </row>
    <row r="2250" spans="1:22" x14ac:dyDescent="0.35">
      <c r="A2250" s="4">
        <v>45567</v>
      </c>
      <c r="B2250" s="5">
        <v>0.40049768518518519</v>
      </c>
      <c r="C2250">
        <v>73.3</v>
      </c>
      <c r="D2250">
        <v>70.900000000000006</v>
      </c>
      <c r="E2250">
        <v>71.400000000000006</v>
      </c>
      <c r="F2250">
        <v>69.599999999999994</v>
      </c>
      <c r="G2250">
        <v>0</v>
      </c>
      <c r="H2250">
        <v>0</v>
      </c>
      <c r="I2250">
        <v>0</v>
      </c>
      <c r="J2250">
        <v>0</v>
      </c>
      <c r="K2250">
        <v>62.3</v>
      </c>
      <c r="L2250">
        <v>61.7</v>
      </c>
      <c r="M2250">
        <v>71.349999999999994</v>
      </c>
      <c r="N2250">
        <v>2</v>
      </c>
      <c r="O2250">
        <v>1</v>
      </c>
      <c r="P2250">
        <f>MOD(DAY(datos_siembra[[#This Row],[Date]]),7)</f>
        <v>2</v>
      </c>
      <c r="Q2250" t="str">
        <f>CHOOSE(WEEKDAY(datos_siembra[[#This Row],[Date]],2),"L","M","X","J","V","S","D")</f>
        <v>X</v>
      </c>
      <c r="R2250">
        <f>WEEKNUM(datos_siembra[[#This Row],[Date]],2)-WEEKNUM(DATE(YEAR(datos_siembra[[#This Row],[Date]]),MONTH(datos_siembra[[#This Row],[Date]]),1))+1</f>
        <v>1</v>
      </c>
      <c r="S2250">
        <f>MONTH(datos_siembra[[#This Row],[Date]])</f>
        <v>10</v>
      </c>
      <c r="T2250" t="str" cm="1">
        <f t="array" ref="T2250">_xlfn.IFS(AND(N2250&lt;= 22, S2250=9), "SOWING",AND(N2250&lt;= 28, S2250=9), "COVERAGE",AND(N2250&lt;= 30, S2250=9), "FLUSH",AND(N2250&lt;= 11, S2250=10), "FLUSH",AND(N2250&lt;= 21, S2250=10), "PRODUCTION")</f>
        <v>FLUSH</v>
      </c>
      <c r="U2250">
        <f>HOUR(datos_siembra[[#This Row],[Hour]])</f>
        <v>9</v>
      </c>
      <c r="V2250" cm="1">
        <f t="array" ref="V2250">_xlfn.IFS(AND(N2250&lt;= 22, S2250=9), N2250-7,AND(N2250&lt;= 28, S2250=9), N2250-25,AND(N2250&lt;= 30, S2250=9), N2250-28,AND(N2250&lt;= 11, S2250=10), N2250+2,AND(N2250&lt;= 21, S2250=10), N2250-11)</f>
        <v>4</v>
      </c>
    </row>
    <row r="2251" spans="1:22" x14ac:dyDescent="0.35">
      <c r="A2251" s="4">
        <v>45567</v>
      </c>
      <c r="B2251" s="5">
        <v>0.40744212962962961</v>
      </c>
      <c r="C2251">
        <v>73.3</v>
      </c>
      <c r="D2251">
        <v>71.3</v>
      </c>
      <c r="E2251">
        <v>71.599999999999994</v>
      </c>
      <c r="F2251">
        <v>69.599999999999994</v>
      </c>
      <c r="G2251">
        <v>0</v>
      </c>
      <c r="H2251">
        <v>0</v>
      </c>
      <c r="I2251">
        <v>0</v>
      </c>
      <c r="J2251">
        <v>0</v>
      </c>
      <c r="K2251">
        <v>62.2</v>
      </c>
      <c r="L2251">
        <v>61.8</v>
      </c>
      <c r="M2251">
        <v>71.319999999999993</v>
      </c>
      <c r="N2251">
        <v>2</v>
      </c>
      <c r="O2251">
        <v>1</v>
      </c>
      <c r="P2251">
        <f>MOD(DAY(datos_siembra[[#This Row],[Date]]),7)</f>
        <v>2</v>
      </c>
      <c r="Q2251" t="str">
        <f>CHOOSE(WEEKDAY(datos_siembra[[#This Row],[Date]],2),"L","M","X","J","V","S","D")</f>
        <v>X</v>
      </c>
      <c r="R2251">
        <f>WEEKNUM(datos_siembra[[#This Row],[Date]],2)-WEEKNUM(DATE(YEAR(datos_siembra[[#This Row],[Date]]),MONTH(datos_siembra[[#This Row],[Date]]),1))+1</f>
        <v>1</v>
      </c>
      <c r="S2251">
        <f>MONTH(datos_siembra[[#This Row],[Date]])</f>
        <v>10</v>
      </c>
      <c r="T2251" t="str" cm="1">
        <f t="array" ref="T2251">_xlfn.IFS(AND(N2251&lt;= 22, S2251=9), "SOWING",AND(N2251&lt;= 28, S2251=9), "COVERAGE",AND(N2251&lt;= 30, S2251=9), "FLUSH",AND(N2251&lt;= 11, S2251=10), "FLUSH",AND(N2251&lt;= 21, S2251=10), "PRODUCTION")</f>
        <v>FLUSH</v>
      </c>
      <c r="U2251">
        <f>HOUR(datos_siembra[[#This Row],[Hour]])</f>
        <v>9</v>
      </c>
      <c r="V2251" cm="1">
        <f t="array" ref="V2251">_xlfn.IFS(AND(N2251&lt;= 22, S2251=9), N2251-7,AND(N2251&lt;= 28, S2251=9), N2251-25,AND(N2251&lt;= 30, S2251=9), N2251-28,AND(N2251&lt;= 11, S2251=10), N2251+2,AND(N2251&lt;= 21, S2251=10), N2251-11)</f>
        <v>4</v>
      </c>
    </row>
    <row r="2252" spans="1:22" x14ac:dyDescent="0.35">
      <c r="A2252" s="4">
        <v>45567</v>
      </c>
      <c r="B2252" s="5">
        <v>0.41439814814814813</v>
      </c>
      <c r="C2252">
        <v>73.3</v>
      </c>
      <c r="D2252">
        <v>70.900000000000006</v>
      </c>
      <c r="E2252">
        <v>71.599999999999994</v>
      </c>
      <c r="F2252">
        <v>69.599999999999994</v>
      </c>
      <c r="G2252">
        <v>0</v>
      </c>
      <c r="H2252">
        <v>0</v>
      </c>
      <c r="I2252">
        <v>0</v>
      </c>
      <c r="J2252">
        <v>0</v>
      </c>
      <c r="K2252">
        <v>62.3</v>
      </c>
      <c r="L2252">
        <v>61.8</v>
      </c>
      <c r="M2252">
        <v>71.37</v>
      </c>
      <c r="N2252">
        <v>2</v>
      </c>
      <c r="O2252">
        <v>1</v>
      </c>
      <c r="P2252">
        <f>MOD(DAY(datos_siembra[[#This Row],[Date]]),7)</f>
        <v>2</v>
      </c>
      <c r="Q2252" t="str">
        <f>CHOOSE(WEEKDAY(datos_siembra[[#This Row],[Date]],2),"L","M","X","J","V","S","D")</f>
        <v>X</v>
      </c>
      <c r="R2252">
        <f>WEEKNUM(datos_siembra[[#This Row],[Date]],2)-WEEKNUM(DATE(YEAR(datos_siembra[[#This Row],[Date]]),MONTH(datos_siembra[[#This Row],[Date]]),1))+1</f>
        <v>1</v>
      </c>
      <c r="S2252">
        <f>MONTH(datos_siembra[[#This Row],[Date]])</f>
        <v>10</v>
      </c>
      <c r="T2252" t="str" cm="1">
        <f t="array" ref="T2252">_xlfn.IFS(AND(N2252&lt;= 22, S2252=9), "SOWING",AND(N2252&lt;= 28, S2252=9), "COVERAGE",AND(N2252&lt;= 30, S2252=9), "FLUSH",AND(N2252&lt;= 11, S2252=10), "FLUSH",AND(N2252&lt;= 21, S2252=10), "PRODUCTION")</f>
        <v>FLUSH</v>
      </c>
      <c r="U2252">
        <f>HOUR(datos_siembra[[#This Row],[Hour]])</f>
        <v>9</v>
      </c>
      <c r="V2252" cm="1">
        <f t="array" ref="V2252">_xlfn.IFS(AND(N2252&lt;= 22, S2252=9), N2252-7,AND(N2252&lt;= 28, S2252=9), N2252-25,AND(N2252&lt;= 30, S2252=9), N2252-28,AND(N2252&lt;= 11, S2252=10), N2252+2,AND(N2252&lt;= 21, S2252=10), N2252-11)</f>
        <v>4</v>
      </c>
    </row>
    <row r="2253" spans="1:22" x14ac:dyDescent="0.35">
      <c r="A2253" s="4">
        <v>45567</v>
      </c>
      <c r="B2253" s="5">
        <v>0.4213425925925926</v>
      </c>
      <c r="C2253">
        <v>73.3</v>
      </c>
      <c r="D2253">
        <v>70.900000000000006</v>
      </c>
      <c r="E2253">
        <v>71.5</v>
      </c>
      <c r="F2253">
        <v>69.599999999999994</v>
      </c>
      <c r="G2253">
        <v>0</v>
      </c>
      <c r="H2253">
        <v>0</v>
      </c>
      <c r="I2253">
        <v>0</v>
      </c>
      <c r="J2253">
        <v>0</v>
      </c>
      <c r="K2253">
        <v>62.3</v>
      </c>
      <c r="L2253">
        <v>61.9</v>
      </c>
      <c r="M2253">
        <v>71.319999999999993</v>
      </c>
      <c r="N2253">
        <v>2</v>
      </c>
      <c r="O2253">
        <v>1</v>
      </c>
      <c r="P2253">
        <f>MOD(DAY(datos_siembra[[#This Row],[Date]]),7)</f>
        <v>2</v>
      </c>
      <c r="Q2253" t="str">
        <f>CHOOSE(WEEKDAY(datos_siembra[[#This Row],[Date]],2),"L","M","X","J","V","S","D")</f>
        <v>X</v>
      </c>
      <c r="R2253">
        <f>WEEKNUM(datos_siembra[[#This Row],[Date]],2)-WEEKNUM(DATE(YEAR(datos_siembra[[#This Row],[Date]]),MONTH(datos_siembra[[#This Row],[Date]]),1))+1</f>
        <v>1</v>
      </c>
      <c r="S2253">
        <f>MONTH(datos_siembra[[#This Row],[Date]])</f>
        <v>10</v>
      </c>
      <c r="T2253" t="str" cm="1">
        <f t="array" ref="T2253">_xlfn.IFS(AND(N2253&lt;= 22, S2253=9), "SOWING",AND(N2253&lt;= 28, S2253=9), "COVERAGE",AND(N2253&lt;= 30, S2253=9), "FLUSH",AND(N2253&lt;= 11, S2253=10), "FLUSH",AND(N2253&lt;= 21, S2253=10), "PRODUCTION")</f>
        <v>FLUSH</v>
      </c>
      <c r="U2253">
        <f>HOUR(datos_siembra[[#This Row],[Hour]])</f>
        <v>10</v>
      </c>
      <c r="V2253" cm="1">
        <f t="array" ref="V2253">_xlfn.IFS(AND(N2253&lt;= 22, S2253=9), N2253-7,AND(N2253&lt;= 28, S2253=9), N2253-25,AND(N2253&lt;= 30, S2253=9), N2253-28,AND(N2253&lt;= 11, S2253=10), N2253+2,AND(N2253&lt;= 21, S2253=10), N2253-11)</f>
        <v>4</v>
      </c>
    </row>
    <row r="2254" spans="1:22" x14ac:dyDescent="0.35">
      <c r="A2254" s="4">
        <v>45567</v>
      </c>
      <c r="B2254" s="5">
        <v>0.42828703703703702</v>
      </c>
      <c r="C2254">
        <v>73.400000000000006</v>
      </c>
      <c r="D2254">
        <v>70.900000000000006</v>
      </c>
      <c r="E2254">
        <v>71.5</v>
      </c>
      <c r="F2254">
        <v>69.599999999999994</v>
      </c>
      <c r="G2254">
        <v>0</v>
      </c>
      <c r="H2254">
        <v>0</v>
      </c>
      <c r="I2254">
        <v>0</v>
      </c>
      <c r="J2254">
        <v>0</v>
      </c>
      <c r="K2254">
        <v>62.4</v>
      </c>
      <c r="L2254">
        <v>61.9</v>
      </c>
      <c r="M2254">
        <v>71.400000000000006</v>
      </c>
      <c r="N2254">
        <v>2</v>
      </c>
      <c r="O2254">
        <v>1</v>
      </c>
      <c r="P2254">
        <f>MOD(DAY(datos_siembra[[#This Row],[Date]]),7)</f>
        <v>2</v>
      </c>
      <c r="Q2254" t="str">
        <f>CHOOSE(WEEKDAY(datos_siembra[[#This Row],[Date]],2),"L","M","X","J","V","S","D")</f>
        <v>X</v>
      </c>
      <c r="R2254">
        <f>WEEKNUM(datos_siembra[[#This Row],[Date]],2)-WEEKNUM(DATE(YEAR(datos_siembra[[#This Row],[Date]]),MONTH(datos_siembra[[#This Row],[Date]]),1))+1</f>
        <v>1</v>
      </c>
      <c r="S2254">
        <f>MONTH(datos_siembra[[#This Row],[Date]])</f>
        <v>10</v>
      </c>
      <c r="T2254" t="str" cm="1">
        <f t="array" ref="T2254">_xlfn.IFS(AND(N2254&lt;= 22, S2254=9), "SOWING",AND(N2254&lt;= 28, S2254=9), "COVERAGE",AND(N2254&lt;= 30, S2254=9), "FLUSH",AND(N2254&lt;= 11, S2254=10), "FLUSH",AND(N2254&lt;= 21, S2254=10), "PRODUCTION")</f>
        <v>FLUSH</v>
      </c>
      <c r="U2254">
        <f>HOUR(datos_siembra[[#This Row],[Hour]])</f>
        <v>10</v>
      </c>
      <c r="V2254" cm="1">
        <f t="array" ref="V2254">_xlfn.IFS(AND(N2254&lt;= 22, S2254=9), N2254-7,AND(N2254&lt;= 28, S2254=9), N2254-25,AND(N2254&lt;= 30, S2254=9), N2254-28,AND(N2254&lt;= 11, S2254=10), N2254+2,AND(N2254&lt;= 21, S2254=10), N2254-11)</f>
        <v>4</v>
      </c>
    </row>
    <row r="2255" spans="1:22" x14ac:dyDescent="0.35">
      <c r="A2255" s="4">
        <v>45567</v>
      </c>
      <c r="B2255" s="5">
        <v>0.43524305555555554</v>
      </c>
      <c r="C2255">
        <v>73.3</v>
      </c>
      <c r="D2255">
        <v>70.8</v>
      </c>
      <c r="E2255">
        <v>71.599999999999994</v>
      </c>
      <c r="F2255">
        <v>69.599999999999994</v>
      </c>
      <c r="G2255">
        <v>0</v>
      </c>
      <c r="H2255">
        <v>0</v>
      </c>
      <c r="I2255">
        <v>0</v>
      </c>
      <c r="J2255">
        <v>0</v>
      </c>
      <c r="K2255">
        <v>62.5</v>
      </c>
      <c r="L2255">
        <v>62.3</v>
      </c>
      <c r="M2255">
        <v>71.37</v>
      </c>
      <c r="N2255">
        <v>2</v>
      </c>
      <c r="O2255">
        <v>1</v>
      </c>
      <c r="P2255">
        <f>MOD(DAY(datos_siembra[[#This Row],[Date]]),7)</f>
        <v>2</v>
      </c>
      <c r="Q2255" t="str">
        <f>CHOOSE(WEEKDAY(datos_siembra[[#This Row],[Date]],2),"L","M","X","J","V","S","D")</f>
        <v>X</v>
      </c>
      <c r="R2255">
        <f>WEEKNUM(datos_siembra[[#This Row],[Date]],2)-WEEKNUM(DATE(YEAR(datos_siembra[[#This Row],[Date]]),MONTH(datos_siembra[[#This Row],[Date]]),1))+1</f>
        <v>1</v>
      </c>
      <c r="S2255">
        <f>MONTH(datos_siembra[[#This Row],[Date]])</f>
        <v>10</v>
      </c>
      <c r="T2255" t="str" cm="1">
        <f t="array" ref="T2255">_xlfn.IFS(AND(N2255&lt;= 22, S2255=9), "SOWING",AND(N2255&lt;= 28, S2255=9), "COVERAGE",AND(N2255&lt;= 30, S2255=9), "FLUSH",AND(N2255&lt;= 11, S2255=10), "FLUSH",AND(N2255&lt;= 21, S2255=10), "PRODUCTION")</f>
        <v>FLUSH</v>
      </c>
      <c r="U2255">
        <f>HOUR(datos_siembra[[#This Row],[Hour]])</f>
        <v>10</v>
      </c>
      <c r="V2255" cm="1">
        <f t="array" ref="V2255">_xlfn.IFS(AND(N2255&lt;= 22, S2255=9), N2255-7,AND(N2255&lt;= 28, S2255=9), N2255-25,AND(N2255&lt;= 30, S2255=9), N2255-28,AND(N2255&lt;= 11, S2255=10), N2255+2,AND(N2255&lt;= 21, S2255=10), N2255-11)</f>
        <v>4</v>
      </c>
    </row>
    <row r="2256" spans="1:22" x14ac:dyDescent="0.35">
      <c r="A2256" s="4">
        <v>45567</v>
      </c>
      <c r="B2256" s="5">
        <v>0.44218750000000001</v>
      </c>
      <c r="C2256">
        <v>73.400000000000006</v>
      </c>
      <c r="D2256">
        <v>70.8</v>
      </c>
      <c r="E2256">
        <v>71.400000000000006</v>
      </c>
      <c r="F2256">
        <v>69.599999999999994</v>
      </c>
      <c r="G2256">
        <v>0</v>
      </c>
      <c r="H2256">
        <v>0</v>
      </c>
      <c r="I2256">
        <v>0</v>
      </c>
      <c r="J2256">
        <v>0</v>
      </c>
      <c r="K2256">
        <v>62.5</v>
      </c>
      <c r="L2256">
        <v>62.4</v>
      </c>
      <c r="M2256">
        <v>71.260000000000005</v>
      </c>
      <c r="N2256">
        <v>2</v>
      </c>
      <c r="O2256">
        <v>1</v>
      </c>
      <c r="P2256">
        <f>MOD(DAY(datos_siembra[[#This Row],[Date]]),7)</f>
        <v>2</v>
      </c>
      <c r="Q2256" t="str">
        <f>CHOOSE(WEEKDAY(datos_siembra[[#This Row],[Date]],2),"L","M","X","J","V","S","D")</f>
        <v>X</v>
      </c>
      <c r="R2256">
        <f>WEEKNUM(datos_siembra[[#This Row],[Date]],2)-WEEKNUM(DATE(YEAR(datos_siembra[[#This Row],[Date]]),MONTH(datos_siembra[[#This Row],[Date]]),1))+1</f>
        <v>1</v>
      </c>
      <c r="S2256">
        <f>MONTH(datos_siembra[[#This Row],[Date]])</f>
        <v>10</v>
      </c>
      <c r="T2256" t="str" cm="1">
        <f t="array" ref="T2256">_xlfn.IFS(AND(N2256&lt;= 22, S2256=9), "SOWING",AND(N2256&lt;= 28, S2256=9), "COVERAGE",AND(N2256&lt;= 30, S2256=9), "FLUSH",AND(N2256&lt;= 11, S2256=10), "FLUSH",AND(N2256&lt;= 21, S2256=10), "PRODUCTION")</f>
        <v>FLUSH</v>
      </c>
      <c r="U2256">
        <f>HOUR(datos_siembra[[#This Row],[Hour]])</f>
        <v>10</v>
      </c>
      <c r="V2256" cm="1">
        <f t="array" ref="V2256">_xlfn.IFS(AND(N2256&lt;= 22, S2256=9), N2256-7,AND(N2256&lt;= 28, S2256=9), N2256-25,AND(N2256&lt;= 30, S2256=9), N2256-28,AND(N2256&lt;= 11, S2256=10), N2256+2,AND(N2256&lt;= 21, S2256=10), N2256-11)</f>
        <v>4</v>
      </c>
    </row>
    <row r="2257" spans="1:22" x14ac:dyDescent="0.35">
      <c r="A2257" s="4">
        <v>45567</v>
      </c>
      <c r="B2257" s="5">
        <v>0.44913194444444443</v>
      </c>
      <c r="C2257">
        <v>73.400000000000006</v>
      </c>
      <c r="D2257">
        <v>70.8</v>
      </c>
      <c r="E2257">
        <v>71.3</v>
      </c>
      <c r="F2257">
        <v>69.599999999999994</v>
      </c>
      <c r="G2257">
        <v>0</v>
      </c>
      <c r="H2257">
        <v>0</v>
      </c>
      <c r="I2257">
        <v>0</v>
      </c>
      <c r="J2257">
        <v>0</v>
      </c>
      <c r="K2257">
        <v>62.4</v>
      </c>
      <c r="L2257">
        <v>62.3</v>
      </c>
      <c r="M2257">
        <v>71.260000000000005</v>
      </c>
      <c r="N2257">
        <v>2</v>
      </c>
      <c r="O2257">
        <v>1</v>
      </c>
      <c r="P2257">
        <f>MOD(DAY(datos_siembra[[#This Row],[Date]]),7)</f>
        <v>2</v>
      </c>
      <c r="Q2257" t="str">
        <f>CHOOSE(WEEKDAY(datos_siembra[[#This Row],[Date]],2),"L","M","X","J","V","S","D")</f>
        <v>X</v>
      </c>
      <c r="R2257">
        <f>WEEKNUM(datos_siembra[[#This Row],[Date]],2)-WEEKNUM(DATE(YEAR(datos_siembra[[#This Row],[Date]]),MONTH(datos_siembra[[#This Row],[Date]]),1))+1</f>
        <v>1</v>
      </c>
      <c r="S2257">
        <f>MONTH(datos_siembra[[#This Row],[Date]])</f>
        <v>10</v>
      </c>
      <c r="T2257" t="str" cm="1">
        <f t="array" ref="T2257">_xlfn.IFS(AND(N2257&lt;= 22, S2257=9), "SOWING",AND(N2257&lt;= 28, S2257=9), "COVERAGE",AND(N2257&lt;= 30, S2257=9), "FLUSH",AND(N2257&lt;= 11, S2257=10), "FLUSH",AND(N2257&lt;= 21, S2257=10), "PRODUCTION")</f>
        <v>FLUSH</v>
      </c>
      <c r="U2257">
        <f>HOUR(datos_siembra[[#This Row],[Hour]])</f>
        <v>10</v>
      </c>
      <c r="V2257" cm="1">
        <f t="array" ref="V2257">_xlfn.IFS(AND(N2257&lt;= 22, S2257=9), N2257-7,AND(N2257&lt;= 28, S2257=9), N2257-25,AND(N2257&lt;= 30, S2257=9), N2257-28,AND(N2257&lt;= 11, S2257=10), N2257+2,AND(N2257&lt;= 21, S2257=10), N2257-11)</f>
        <v>4</v>
      </c>
    </row>
    <row r="2258" spans="1:22" x14ac:dyDescent="0.35">
      <c r="A2258" s="4">
        <v>45567</v>
      </c>
      <c r="B2258" s="5">
        <v>0.45608796296296295</v>
      </c>
      <c r="C2258">
        <v>73.400000000000006</v>
      </c>
      <c r="D2258">
        <v>70.7</v>
      </c>
      <c r="E2258">
        <v>71.400000000000006</v>
      </c>
      <c r="F2258">
        <v>69.5</v>
      </c>
      <c r="G2258">
        <v>0</v>
      </c>
      <c r="H2258">
        <v>0</v>
      </c>
      <c r="I2258">
        <v>0</v>
      </c>
      <c r="J2258">
        <v>0</v>
      </c>
      <c r="K2258">
        <v>62.5</v>
      </c>
      <c r="L2258">
        <v>62.4</v>
      </c>
      <c r="M2258">
        <v>71.23</v>
      </c>
      <c r="N2258">
        <v>2</v>
      </c>
      <c r="O2258">
        <v>1</v>
      </c>
      <c r="P2258">
        <f>MOD(DAY(datos_siembra[[#This Row],[Date]]),7)</f>
        <v>2</v>
      </c>
      <c r="Q2258" t="str">
        <f>CHOOSE(WEEKDAY(datos_siembra[[#This Row],[Date]],2),"L","M","X","J","V","S","D")</f>
        <v>X</v>
      </c>
      <c r="R2258">
        <f>WEEKNUM(datos_siembra[[#This Row],[Date]],2)-WEEKNUM(DATE(YEAR(datos_siembra[[#This Row],[Date]]),MONTH(datos_siembra[[#This Row],[Date]]),1))+1</f>
        <v>1</v>
      </c>
      <c r="S2258">
        <f>MONTH(datos_siembra[[#This Row],[Date]])</f>
        <v>10</v>
      </c>
      <c r="T2258" t="str" cm="1">
        <f t="array" ref="T2258">_xlfn.IFS(AND(N2258&lt;= 22, S2258=9), "SOWING",AND(N2258&lt;= 28, S2258=9), "COVERAGE",AND(N2258&lt;= 30, S2258=9), "FLUSH",AND(N2258&lt;= 11, S2258=10), "FLUSH",AND(N2258&lt;= 21, S2258=10), "PRODUCTION")</f>
        <v>FLUSH</v>
      </c>
      <c r="U2258">
        <f>HOUR(datos_siembra[[#This Row],[Hour]])</f>
        <v>10</v>
      </c>
      <c r="V2258" cm="1">
        <f t="array" ref="V2258">_xlfn.IFS(AND(N2258&lt;= 22, S2258=9), N2258-7,AND(N2258&lt;= 28, S2258=9), N2258-25,AND(N2258&lt;= 30, S2258=9), N2258-28,AND(N2258&lt;= 11, S2258=10), N2258+2,AND(N2258&lt;= 21, S2258=10), N2258-11)</f>
        <v>4</v>
      </c>
    </row>
    <row r="2259" spans="1:22" x14ac:dyDescent="0.35">
      <c r="A2259" s="4">
        <v>45567</v>
      </c>
      <c r="B2259" s="5">
        <v>0.46303240740740742</v>
      </c>
      <c r="C2259">
        <v>73.400000000000006</v>
      </c>
      <c r="D2259">
        <v>70.8</v>
      </c>
      <c r="E2259">
        <v>71.400000000000006</v>
      </c>
      <c r="F2259">
        <v>69.599999999999994</v>
      </c>
      <c r="G2259">
        <v>0</v>
      </c>
      <c r="H2259">
        <v>0</v>
      </c>
      <c r="I2259">
        <v>0</v>
      </c>
      <c r="J2259">
        <v>0</v>
      </c>
      <c r="K2259">
        <v>62.6</v>
      </c>
      <c r="L2259">
        <v>62.4</v>
      </c>
      <c r="M2259">
        <v>71.260000000000005</v>
      </c>
      <c r="N2259">
        <v>2</v>
      </c>
      <c r="O2259">
        <v>1</v>
      </c>
      <c r="P2259">
        <f>MOD(DAY(datos_siembra[[#This Row],[Date]]),7)</f>
        <v>2</v>
      </c>
      <c r="Q2259" t="str">
        <f>CHOOSE(WEEKDAY(datos_siembra[[#This Row],[Date]],2),"L","M","X","J","V","S","D")</f>
        <v>X</v>
      </c>
      <c r="R2259">
        <f>WEEKNUM(datos_siembra[[#This Row],[Date]],2)-WEEKNUM(DATE(YEAR(datos_siembra[[#This Row],[Date]]),MONTH(datos_siembra[[#This Row],[Date]]),1))+1</f>
        <v>1</v>
      </c>
      <c r="S2259">
        <f>MONTH(datos_siembra[[#This Row],[Date]])</f>
        <v>10</v>
      </c>
      <c r="T2259" t="str" cm="1">
        <f t="array" ref="T2259">_xlfn.IFS(AND(N2259&lt;= 22, S2259=9), "SOWING",AND(N2259&lt;= 28, S2259=9), "COVERAGE",AND(N2259&lt;= 30, S2259=9), "FLUSH",AND(N2259&lt;= 11, S2259=10), "FLUSH",AND(N2259&lt;= 21, S2259=10), "PRODUCTION")</f>
        <v>FLUSH</v>
      </c>
      <c r="U2259">
        <f>HOUR(datos_siembra[[#This Row],[Hour]])</f>
        <v>11</v>
      </c>
      <c r="V2259" cm="1">
        <f t="array" ref="V2259">_xlfn.IFS(AND(N2259&lt;= 22, S2259=9), N2259-7,AND(N2259&lt;= 28, S2259=9), N2259-25,AND(N2259&lt;= 30, S2259=9), N2259-28,AND(N2259&lt;= 11, S2259=10), N2259+2,AND(N2259&lt;= 21, S2259=10), N2259-11)</f>
        <v>4</v>
      </c>
    </row>
    <row r="2260" spans="1:22" x14ac:dyDescent="0.35">
      <c r="A2260" s="4">
        <v>45567</v>
      </c>
      <c r="B2260" s="5">
        <v>0.46997685185185184</v>
      </c>
      <c r="C2260">
        <v>73.3</v>
      </c>
      <c r="D2260">
        <v>70.8</v>
      </c>
      <c r="E2260">
        <v>71.400000000000006</v>
      </c>
      <c r="F2260">
        <v>69.599999999999994</v>
      </c>
      <c r="G2260">
        <v>0</v>
      </c>
      <c r="H2260">
        <v>0</v>
      </c>
      <c r="I2260">
        <v>0</v>
      </c>
      <c r="J2260">
        <v>0</v>
      </c>
      <c r="K2260">
        <v>62.6</v>
      </c>
      <c r="L2260">
        <v>62.5</v>
      </c>
      <c r="M2260">
        <v>71.209999999999994</v>
      </c>
      <c r="N2260">
        <v>2</v>
      </c>
      <c r="O2260">
        <v>1</v>
      </c>
      <c r="P2260">
        <f>MOD(DAY(datos_siembra[[#This Row],[Date]]),7)</f>
        <v>2</v>
      </c>
      <c r="Q2260" t="str">
        <f>CHOOSE(WEEKDAY(datos_siembra[[#This Row],[Date]],2),"L","M","X","J","V","S","D")</f>
        <v>X</v>
      </c>
      <c r="R2260">
        <f>WEEKNUM(datos_siembra[[#This Row],[Date]],2)-WEEKNUM(DATE(YEAR(datos_siembra[[#This Row],[Date]]),MONTH(datos_siembra[[#This Row],[Date]]),1))+1</f>
        <v>1</v>
      </c>
      <c r="S2260">
        <f>MONTH(datos_siembra[[#This Row],[Date]])</f>
        <v>10</v>
      </c>
      <c r="T2260" t="str" cm="1">
        <f t="array" ref="T2260">_xlfn.IFS(AND(N2260&lt;= 22, S2260=9), "SOWING",AND(N2260&lt;= 28, S2260=9), "COVERAGE",AND(N2260&lt;= 30, S2260=9), "FLUSH",AND(N2260&lt;= 11, S2260=10), "FLUSH",AND(N2260&lt;= 21, S2260=10), "PRODUCTION")</f>
        <v>FLUSH</v>
      </c>
      <c r="U2260">
        <f>HOUR(datos_siembra[[#This Row],[Hour]])</f>
        <v>11</v>
      </c>
      <c r="V2260" cm="1">
        <f t="array" ref="V2260">_xlfn.IFS(AND(N2260&lt;= 22, S2260=9), N2260-7,AND(N2260&lt;= 28, S2260=9), N2260-25,AND(N2260&lt;= 30, S2260=9), N2260-28,AND(N2260&lt;= 11, S2260=10), N2260+2,AND(N2260&lt;= 21, S2260=10), N2260-11)</f>
        <v>4</v>
      </c>
    </row>
    <row r="2261" spans="1:22" x14ac:dyDescent="0.35">
      <c r="A2261" s="4">
        <v>45567</v>
      </c>
      <c r="B2261" s="5">
        <v>0.47692129629629632</v>
      </c>
      <c r="C2261">
        <v>73.400000000000006</v>
      </c>
      <c r="D2261">
        <v>70.7</v>
      </c>
      <c r="E2261">
        <v>71.400000000000006</v>
      </c>
      <c r="F2261">
        <v>69.5</v>
      </c>
      <c r="G2261">
        <v>0</v>
      </c>
      <c r="H2261">
        <v>0</v>
      </c>
      <c r="I2261">
        <v>0</v>
      </c>
      <c r="J2261">
        <v>0</v>
      </c>
      <c r="K2261">
        <v>62.5</v>
      </c>
      <c r="L2261">
        <v>62.5</v>
      </c>
      <c r="M2261">
        <v>71.23</v>
      </c>
      <c r="N2261">
        <v>2</v>
      </c>
      <c r="O2261">
        <v>1</v>
      </c>
      <c r="P2261">
        <f>MOD(DAY(datos_siembra[[#This Row],[Date]]),7)</f>
        <v>2</v>
      </c>
      <c r="Q2261" t="str">
        <f>CHOOSE(WEEKDAY(datos_siembra[[#This Row],[Date]],2),"L","M","X","J","V","S","D")</f>
        <v>X</v>
      </c>
      <c r="R2261">
        <f>WEEKNUM(datos_siembra[[#This Row],[Date]],2)-WEEKNUM(DATE(YEAR(datos_siembra[[#This Row],[Date]]),MONTH(datos_siembra[[#This Row],[Date]]),1))+1</f>
        <v>1</v>
      </c>
      <c r="S2261">
        <f>MONTH(datos_siembra[[#This Row],[Date]])</f>
        <v>10</v>
      </c>
      <c r="T2261" t="str" cm="1">
        <f t="array" ref="T2261">_xlfn.IFS(AND(N2261&lt;= 22, S2261=9), "SOWING",AND(N2261&lt;= 28, S2261=9), "COVERAGE",AND(N2261&lt;= 30, S2261=9), "FLUSH",AND(N2261&lt;= 11, S2261=10), "FLUSH",AND(N2261&lt;= 21, S2261=10), "PRODUCTION")</f>
        <v>FLUSH</v>
      </c>
      <c r="U2261">
        <f>HOUR(datos_siembra[[#This Row],[Hour]])</f>
        <v>11</v>
      </c>
      <c r="V2261" cm="1">
        <f t="array" ref="V2261">_xlfn.IFS(AND(N2261&lt;= 22, S2261=9), N2261-7,AND(N2261&lt;= 28, S2261=9), N2261-25,AND(N2261&lt;= 30, S2261=9), N2261-28,AND(N2261&lt;= 11, S2261=10), N2261+2,AND(N2261&lt;= 21, S2261=10), N2261-11)</f>
        <v>4</v>
      </c>
    </row>
    <row r="2262" spans="1:22" x14ac:dyDescent="0.35">
      <c r="A2262" s="4">
        <v>45567</v>
      </c>
      <c r="B2262" s="5">
        <v>0.48387731481481483</v>
      </c>
      <c r="C2262">
        <v>73.3</v>
      </c>
      <c r="D2262">
        <v>70.7</v>
      </c>
      <c r="E2262">
        <v>71.400000000000006</v>
      </c>
      <c r="F2262">
        <v>69.5</v>
      </c>
      <c r="G2262">
        <v>0</v>
      </c>
      <c r="H2262">
        <v>0</v>
      </c>
      <c r="I2262">
        <v>0</v>
      </c>
      <c r="J2262">
        <v>0</v>
      </c>
      <c r="K2262">
        <v>62.5</v>
      </c>
      <c r="L2262">
        <v>62.4</v>
      </c>
      <c r="M2262">
        <v>71.209999999999994</v>
      </c>
      <c r="N2262">
        <v>2</v>
      </c>
      <c r="O2262">
        <v>1</v>
      </c>
      <c r="P2262">
        <f>MOD(DAY(datos_siembra[[#This Row],[Date]]),7)</f>
        <v>2</v>
      </c>
      <c r="Q2262" t="str">
        <f>CHOOSE(WEEKDAY(datos_siembra[[#This Row],[Date]],2),"L","M","X","J","V","S","D")</f>
        <v>X</v>
      </c>
      <c r="R2262">
        <f>WEEKNUM(datos_siembra[[#This Row],[Date]],2)-WEEKNUM(DATE(YEAR(datos_siembra[[#This Row],[Date]]),MONTH(datos_siembra[[#This Row],[Date]]),1))+1</f>
        <v>1</v>
      </c>
      <c r="S2262">
        <f>MONTH(datos_siembra[[#This Row],[Date]])</f>
        <v>10</v>
      </c>
      <c r="T2262" t="str" cm="1">
        <f t="array" ref="T2262">_xlfn.IFS(AND(N2262&lt;= 22, S2262=9), "SOWING",AND(N2262&lt;= 28, S2262=9), "COVERAGE",AND(N2262&lt;= 30, S2262=9), "FLUSH",AND(N2262&lt;= 11, S2262=10), "FLUSH",AND(N2262&lt;= 21, S2262=10), "PRODUCTION")</f>
        <v>FLUSH</v>
      </c>
      <c r="U2262">
        <f>HOUR(datos_siembra[[#This Row],[Hour]])</f>
        <v>11</v>
      </c>
      <c r="V2262" cm="1">
        <f t="array" ref="V2262">_xlfn.IFS(AND(N2262&lt;= 22, S2262=9), N2262-7,AND(N2262&lt;= 28, S2262=9), N2262-25,AND(N2262&lt;= 30, S2262=9), N2262-28,AND(N2262&lt;= 11, S2262=10), N2262+2,AND(N2262&lt;= 21, S2262=10), N2262-11)</f>
        <v>4</v>
      </c>
    </row>
    <row r="2263" spans="1:22" x14ac:dyDescent="0.35">
      <c r="A2263" s="4">
        <v>45567</v>
      </c>
      <c r="B2263" s="5">
        <v>0.49082175925925925</v>
      </c>
      <c r="C2263">
        <v>73.400000000000006</v>
      </c>
      <c r="D2263">
        <v>70.7</v>
      </c>
      <c r="E2263">
        <v>71.400000000000006</v>
      </c>
      <c r="F2263">
        <v>69.2</v>
      </c>
      <c r="G2263">
        <v>0</v>
      </c>
      <c r="H2263">
        <v>0</v>
      </c>
      <c r="I2263">
        <v>0</v>
      </c>
      <c r="J2263">
        <v>0</v>
      </c>
      <c r="K2263">
        <v>62.6</v>
      </c>
      <c r="L2263">
        <v>62.5</v>
      </c>
      <c r="M2263">
        <v>71.180000000000007</v>
      </c>
      <c r="N2263">
        <v>2</v>
      </c>
      <c r="O2263">
        <v>1</v>
      </c>
      <c r="P2263">
        <f>MOD(DAY(datos_siembra[[#This Row],[Date]]),7)</f>
        <v>2</v>
      </c>
      <c r="Q2263" t="str">
        <f>CHOOSE(WEEKDAY(datos_siembra[[#This Row],[Date]],2),"L","M","X","J","V","S","D")</f>
        <v>X</v>
      </c>
      <c r="R2263">
        <f>WEEKNUM(datos_siembra[[#This Row],[Date]],2)-WEEKNUM(DATE(YEAR(datos_siembra[[#This Row],[Date]]),MONTH(datos_siembra[[#This Row],[Date]]),1))+1</f>
        <v>1</v>
      </c>
      <c r="S2263">
        <f>MONTH(datos_siembra[[#This Row],[Date]])</f>
        <v>10</v>
      </c>
      <c r="T2263" t="str" cm="1">
        <f t="array" ref="T2263">_xlfn.IFS(AND(N2263&lt;= 22, S2263=9), "SOWING",AND(N2263&lt;= 28, S2263=9), "COVERAGE",AND(N2263&lt;= 30, S2263=9), "FLUSH",AND(N2263&lt;= 11, S2263=10), "FLUSH",AND(N2263&lt;= 21, S2263=10), "PRODUCTION")</f>
        <v>FLUSH</v>
      </c>
      <c r="U2263">
        <f>HOUR(datos_siembra[[#This Row],[Hour]])</f>
        <v>11</v>
      </c>
      <c r="V2263" cm="1">
        <f t="array" ref="V2263">_xlfn.IFS(AND(N2263&lt;= 22, S2263=9), N2263-7,AND(N2263&lt;= 28, S2263=9), N2263-25,AND(N2263&lt;= 30, S2263=9), N2263-28,AND(N2263&lt;= 11, S2263=10), N2263+2,AND(N2263&lt;= 21, S2263=10), N2263-11)</f>
        <v>4</v>
      </c>
    </row>
    <row r="2264" spans="1:22" x14ac:dyDescent="0.35">
      <c r="A2264" s="4">
        <v>45567</v>
      </c>
      <c r="B2264" s="5">
        <v>0.49776620370370372</v>
      </c>
      <c r="C2264">
        <v>73.400000000000006</v>
      </c>
      <c r="D2264">
        <v>70.7</v>
      </c>
      <c r="E2264">
        <v>71.3</v>
      </c>
      <c r="F2264">
        <v>69.400000000000006</v>
      </c>
      <c r="G2264">
        <v>0</v>
      </c>
      <c r="H2264">
        <v>0</v>
      </c>
      <c r="I2264">
        <v>0</v>
      </c>
      <c r="J2264">
        <v>0</v>
      </c>
      <c r="K2264">
        <v>62.5</v>
      </c>
      <c r="L2264">
        <v>62.6</v>
      </c>
      <c r="M2264">
        <v>71.209999999999994</v>
      </c>
      <c r="N2264">
        <v>2</v>
      </c>
      <c r="O2264">
        <v>1</v>
      </c>
      <c r="P2264">
        <f>MOD(DAY(datos_siembra[[#This Row],[Date]]),7)</f>
        <v>2</v>
      </c>
      <c r="Q2264" t="str">
        <f>CHOOSE(WEEKDAY(datos_siembra[[#This Row],[Date]],2),"L","M","X","J","V","S","D")</f>
        <v>X</v>
      </c>
      <c r="R2264">
        <f>WEEKNUM(datos_siembra[[#This Row],[Date]],2)-WEEKNUM(DATE(YEAR(datos_siembra[[#This Row],[Date]]),MONTH(datos_siembra[[#This Row],[Date]]),1))+1</f>
        <v>1</v>
      </c>
      <c r="S2264">
        <f>MONTH(datos_siembra[[#This Row],[Date]])</f>
        <v>10</v>
      </c>
      <c r="T2264" t="str" cm="1">
        <f t="array" ref="T2264">_xlfn.IFS(AND(N2264&lt;= 22, S2264=9), "SOWING",AND(N2264&lt;= 28, S2264=9), "COVERAGE",AND(N2264&lt;= 30, S2264=9), "FLUSH",AND(N2264&lt;= 11, S2264=10), "FLUSH",AND(N2264&lt;= 21, S2264=10), "PRODUCTION")</f>
        <v>FLUSH</v>
      </c>
      <c r="U2264">
        <f>HOUR(datos_siembra[[#This Row],[Hour]])</f>
        <v>11</v>
      </c>
      <c r="V2264" cm="1">
        <f t="array" ref="V2264">_xlfn.IFS(AND(N2264&lt;= 22, S2264=9), N2264-7,AND(N2264&lt;= 28, S2264=9), N2264-25,AND(N2264&lt;= 30, S2264=9), N2264-28,AND(N2264&lt;= 11, S2264=10), N2264+2,AND(N2264&lt;= 21, S2264=10), N2264-11)</f>
        <v>4</v>
      </c>
    </row>
    <row r="2265" spans="1:22" x14ac:dyDescent="0.35">
      <c r="A2265" s="4">
        <v>45567</v>
      </c>
      <c r="B2265" s="5">
        <v>0.50472222222222218</v>
      </c>
      <c r="C2265">
        <v>73.3</v>
      </c>
      <c r="D2265">
        <v>70.599999999999994</v>
      </c>
      <c r="E2265">
        <v>71.400000000000006</v>
      </c>
      <c r="F2265">
        <v>69.400000000000006</v>
      </c>
      <c r="G2265">
        <v>0</v>
      </c>
      <c r="H2265">
        <v>0</v>
      </c>
      <c r="I2265">
        <v>0</v>
      </c>
      <c r="J2265">
        <v>0</v>
      </c>
      <c r="K2265">
        <v>62.5</v>
      </c>
      <c r="L2265">
        <v>62.6</v>
      </c>
      <c r="M2265">
        <v>71.180000000000007</v>
      </c>
      <c r="N2265">
        <v>2</v>
      </c>
      <c r="O2265">
        <v>1</v>
      </c>
      <c r="P2265">
        <f>MOD(DAY(datos_siembra[[#This Row],[Date]]),7)</f>
        <v>2</v>
      </c>
      <c r="Q2265" t="str">
        <f>CHOOSE(WEEKDAY(datos_siembra[[#This Row],[Date]],2),"L","M","X","J","V","S","D")</f>
        <v>X</v>
      </c>
      <c r="R2265">
        <f>WEEKNUM(datos_siembra[[#This Row],[Date]],2)-WEEKNUM(DATE(YEAR(datos_siembra[[#This Row],[Date]]),MONTH(datos_siembra[[#This Row],[Date]]),1))+1</f>
        <v>1</v>
      </c>
      <c r="S2265">
        <f>MONTH(datos_siembra[[#This Row],[Date]])</f>
        <v>10</v>
      </c>
      <c r="T2265" t="str" cm="1">
        <f t="array" ref="T2265">_xlfn.IFS(AND(N2265&lt;= 22, S2265=9), "SOWING",AND(N2265&lt;= 28, S2265=9), "COVERAGE",AND(N2265&lt;= 30, S2265=9), "FLUSH",AND(N2265&lt;= 11, S2265=10), "FLUSH",AND(N2265&lt;= 21, S2265=10), "PRODUCTION")</f>
        <v>FLUSH</v>
      </c>
      <c r="U2265">
        <f>HOUR(datos_siembra[[#This Row],[Hour]])</f>
        <v>12</v>
      </c>
      <c r="V2265" cm="1">
        <f t="array" ref="V2265">_xlfn.IFS(AND(N2265&lt;= 22, S2265=9), N2265-7,AND(N2265&lt;= 28, S2265=9), N2265-25,AND(N2265&lt;= 30, S2265=9), N2265-28,AND(N2265&lt;= 11, S2265=10), N2265+2,AND(N2265&lt;= 21, S2265=10), N2265-11)</f>
        <v>4</v>
      </c>
    </row>
    <row r="2266" spans="1:22" x14ac:dyDescent="0.35">
      <c r="A2266" s="4">
        <v>45567</v>
      </c>
      <c r="B2266" s="5">
        <v>0.51166666666666671</v>
      </c>
      <c r="C2266">
        <v>73.400000000000006</v>
      </c>
      <c r="D2266">
        <v>70.599999999999994</v>
      </c>
      <c r="E2266">
        <v>71.3</v>
      </c>
      <c r="F2266">
        <v>69.2</v>
      </c>
      <c r="G2266">
        <v>0</v>
      </c>
      <c r="H2266">
        <v>0</v>
      </c>
      <c r="I2266">
        <v>0</v>
      </c>
      <c r="J2266">
        <v>0</v>
      </c>
      <c r="K2266">
        <v>62.5</v>
      </c>
      <c r="L2266">
        <v>62.6</v>
      </c>
      <c r="M2266">
        <v>71.12</v>
      </c>
      <c r="N2266">
        <v>2</v>
      </c>
      <c r="O2266">
        <v>1</v>
      </c>
      <c r="P2266">
        <f>MOD(DAY(datos_siembra[[#This Row],[Date]]),7)</f>
        <v>2</v>
      </c>
      <c r="Q2266" t="str">
        <f>CHOOSE(WEEKDAY(datos_siembra[[#This Row],[Date]],2),"L","M","X","J","V","S","D")</f>
        <v>X</v>
      </c>
      <c r="R2266">
        <f>WEEKNUM(datos_siembra[[#This Row],[Date]],2)-WEEKNUM(DATE(YEAR(datos_siembra[[#This Row],[Date]]),MONTH(datos_siembra[[#This Row],[Date]]),1))+1</f>
        <v>1</v>
      </c>
      <c r="S2266">
        <f>MONTH(datos_siembra[[#This Row],[Date]])</f>
        <v>10</v>
      </c>
      <c r="T2266" t="str" cm="1">
        <f t="array" ref="T2266">_xlfn.IFS(AND(N2266&lt;= 22, S2266=9), "SOWING",AND(N2266&lt;= 28, S2266=9), "COVERAGE",AND(N2266&lt;= 30, S2266=9), "FLUSH",AND(N2266&lt;= 11, S2266=10), "FLUSH",AND(N2266&lt;= 21, S2266=10), "PRODUCTION")</f>
        <v>FLUSH</v>
      </c>
      <c r="U2266">
        <f>HOUR(datos_siembra[[#This Row],[Hour]])</f>
        <v>12</v>
      </c>
      <c r="V2266" cm="1">
        <f t="array" ref="V2266">_xlfn.IFS(AND(N2266&lt;= 22, S2266=9), N2266-7,AND(N2266&lt;= 28, S2266=9), N2266-25,AND(N2266&lt;= 30, S2266=9), N2266-28,AND(N2266&lt;= 11, S2266=10), N2266+2,AND(N2266&lt;= 21, S2266=10), N2266-11)</f>
        <v>4</v>
      </c>
    </row>
    <row r="2267" spans="1:22" x14ac:dyDescent="0.35">
      <c r="A2267" s="4">
        <v>45567</v>
      </c>
      <c r="B2267" s="5">
        <v>0.51861111111111113</v>
      </c>
      <c r="C2267">
        <v>73.5</v>
      </c>
      <c r="D2267">
        <v>70.7</v>
      </c>
      <c r="E2267">
        <v>71.400000000000006</v>
      </c>
      <c r="F2267">
        <v>69.400000000000006</v>
      </c>
      <c r="G2267">
        <v>0</v>
      </c>
      <c r="H2267">
        <v>0</v>
      </c>
      <c r="I2267">
        <v>0</v>
      </c>
      <c r="J2267">
        <v>0</v>
      </c>
      <c r="K2267">
        <v>62.4</v>
      </c>
      <c r="L2267">
        <v>62.6</v>
      </c>
      <c r="M2267">
        <v>71.209999999999994</v>
      </c>
      <c r="N2267">
        <v>2</v>
      </c>
      <c r="O2267">
        <v>1</v>
      </c>
      <c r="P2267">
        <f>MOD(DAY(datos_siembra[[#This Row],[Date]]),7)</f>
        <v>2</v>
      </c>
      <c r="Q2267" t="str">
        <f>CHOOSE(WEEKDAY(datos_siembra[[#This Row],[Date]],2),"L","M","X","J","V","S","D")</f>
        <v>X</v>
      </c>
      <c r="R2267">
        <f>WEEKNUM(datos_siembra[[#This Row],[Date]],2)-WEEKNUM(DATE(YEAR(datos_siembra[[#This Row],[Date]]),MONTH(datos_siembra[[#This Row],[Date]]),1))+1</f>
        <v>1</v>
      </c>
      <c r="S2267">
        <f>MONTH(datos_siembra[[#This Row],[Date]])</f>
        <v>10</v>
      </c>
      <c r="T2267" t="str" cm="1">
        <f t="array" ref="T2267">_xlfn.IFS(AND(N2267&lt;= 22, S2267=9), "SOWING",AND(N2267&lt;= 28, S2267=9), "COVERAGE",AND(N2267&lt;= 30, S2267=9), "FLUSH",AND(N2267&lt;= 11, S2267=10), "FLUSH",AND(N2267&lt;= 21, S2267=10), "PRODUCTION")</f>
        <v>FLUSH</v>
      </c>
      <c r="U2267">
        <f>HOUR(datos_siembra[[#This Row],[Hour]])</f>
        <v>12</v>
      </c>
      <c r="V2267" cm="1">
        <f t="array" ref="V2267">_xlfn.IFS(AND(N2267&lt;= 22, S2267=9), N2267-7,AND(N2267&lt;= 28, S2267=9), N2267-25,AND(N2267&lt;= 30, S2267=9), N2267-28,AND(N2267&lt;= 11, S2267=10), N2267+2,AND(N2267&lt;= 21, S2267=10), N2267-11)</f>
        <v>4</v>
      </c>
    </row>
    <row r="2268" spans="1:22" x14ac:dyDescent="0.35">
      <c r="A2268" s="4">
        <v>45567</v>
      </c>
      <c r="B2268" s="5">
        <v>0.52556712962962959</v>
      </c>
      <c r="C2268">
        <v>73.3</v>
      </c>
      <c r="D2268">
        <v>70.599999999999994</v>
      </c>
      <c r="E2268">
        <v>71.400000000000006</v>
      </c>
      <c r="F2268">
        <v>69.099999999999994</v>
      </c>
      <c r="G2268">
        <v>0</v>
      </c>
      <c r="H2268">
        <v>0</v>
      </c>
      <c r="I2268">
        <v>0</v>
      </c>
      <c r="J2268">
        <v>0</v>
      </c>
      <c r="K2268">
        <v>62.4</v>
      </c>
      <c r="L2268">
        <v>62.7</v>
      </c>
      <c r="M2268">
        <v>71.209999999999994</v>
      </c>
      <c r="N2268">
        <v>2</v>
      </c>
      <c r="O2268">
        <v>1</v>
      </c>
      <c r="P2268">
        <f>MOD(DAY(datos_siembra[[#This Row],[Date]]),7)</f>
        <v>2</v>
      </c>
      <c r="Q2268" t="str">
        <f>CHOOSE(WEEKDAY(datos_siembra[[#This Row],[Date]],2),"L","M","X","J","V","S","D")</f>
        <v>X</v>
      </c>
      <c r="R2268">
        <f>WEEKNUM(datos_siembra[[#This Row],[Date]],2)-WEEKNUM(DATE(YEAR(datos_siembra[[#This Row],[Date]]),MONTH(datos_siembra[[#This Row],[Date]]),1))+1</f>
        <v>1</v>
      </c>
      <c r="S2268">
        <f>MONTH(datos_siembra[[#This Row],[Date]])</f>
        <v>10</v>
      </c>
      <c r="T2268" t="str" cm="1">
        <f t="array" ref="T2268">_xlfn.IFS(AND(N2268&lt;= 22, S2268=9), "SOWING",AND(N2268&lt;= 28, S2268=9), "COVERAGE",AND(N2268&lt;= 30, S2268=9), "FLUSH",AND(N2268&lt;= 11, S2268=10), "FLUSH",AND(N2268&lt;= 21, S2268=10), "PRODUCTION")</f>
        <v>FLUSH</v>
      </c>
      <c r="U2268">
        <f>HOUR(datos_siembra[[#This Row],[Hour]])</f>
        <v>12</v>
      </c>
      <c r="V2268" cm="1">
        <f t="array" ref="V2268">_xlfn.IFS(AND(N2268&lt;= 22, S2268=9), N2268-7,AND(N2268&lt;= 28, S2268=9), N2268-25,AND(N2268&lt;= 30, S2268=9), N2268-28,AND(N2268&lt;= 11, S2268=10), N2268+2,AND(N2268&lt;= 21, S2268=10), N2268-11)</f>
        <v>4</v>
      </c>
    </row>
    <row r="2269" spans="1:22" x14ac:dyDescent="0.35">
      <c r="A2269" s="4">
        <v>45567</v>
      </c>
      <c r="B2269" s="5">
        <v>0.53251157407407412</v>
      </c>
      <c r="C2269">
        <v>73.3</v>
      </c>
      <c r="D2269">
        <v>70.599999999999994</v>
      </c>
      <c r="E2269">
        <v>71.400000000000006</v>
      </c>
      <c r="F2269">
        <v>69.2</v>
      </c>
      <c r="G2269">
        <v>0</v>
      </c>
      <c r="H2269">
        <v>0</v>
      </c>
      <c r="I2269">
        <v>0</v>
      </c>
      <c r="J2269">
        <v>0</v>
      </c>
      <c r="K2269">
        <v>62.3</v>
      </c>
      <c r="L2269">
        <v>62.6</v>
      </c>
      <c r="M2269">
        <v>71.069999999999993</v>
      </c>
      <c r="N2269">
        <v>2</v>
      </c>
      <c r="O2269">
        <v>1</v>
      </c>
      <c r="P2269">
        <f>MOD(DAY(datos_siembra[[#This Row],[Date]]),7)</f>
        <v>2</v>
      </c>
      <c r="Q2269" t="str">
        <f>CHOOSE(WEEKDAY(datos_siembra[[#This Row],[Date]],2),"L","M","X","J","V","S","D")</f>
        <v>X</v>
      </c>
      <c r="R2269">
        <f>WEEKNUM(datos_siembra[[#This Row],[Date]],2)-WEEKNUM(DATE(YEAR(datos_siembra[[#This Row],[Date]]),MONTH(datos_siembra[[#This Row],[Date]]),1))+1</f>
        <v>1</v>
      </c>
      <c r="S2269">
        <f>MONTH(datos_siembra[[#This Row],[Date]])</f>
        <v>10</v>
      </c>
      <c r="T2269" t="str" cm="1">
        <f t="array" ref="T2269">_xlfn.IFS(AND(N2269&lt;= 22, S2269=9), "SOWING",AND(N2269&lt;= 28, S2269=9), "COVERAGE",AND(N2269&lt;= 30, S2269=9), "FLUSH",AND(N2269&lt;= 11, S2269=10), "FLUSH",AND(N2269&lt;= 21, S2269=10), "PRODUCTION")</f>
        <v>FLUSH</v>
      </c>
      <c r="U2269">
        <f>HOUR(datos_siembra[[#This Row],[Hour]])</f>
        <v>12</v>
      </c>
      <c r="V2269" cm="1">
        <f t="array" ref="V2269">_xlfn.IFS(AND(N2269&lt;= 22, S2269=9), N2269-7,AND(N2269&lt;= 28, S2269=9), N2269-25,AND(N2269&lt;= 30, S2269=9), N2269-28,AND(N2269&lt;= 11, S2269=10), N2269+2,AND(N2269&lt;= 21, S2269=10), N2269-11)</f>
        <v>4</v>
      </c>
    </row>
    <row r="2270" spans="1:22" x14ac:dyDescent="0.35">
      <c r="A2270" s="4">
        <v>45567</v>
      </c>
      <c r="B2270" s="5">
        <v>0.53945601851851854</v>
      </c>
      <c r="C2270">
        <v>73.3</v>
      </c>
      <c r="D2270">
        <v>70.599999999999994</v>
      </c>
      <c r="E2270">
        <v>71.3</v>
      </c>
      <c r="F2270">
        <v>69</v>
      </c>
      <c r="G2270">
        <v>0</v>
      </c>
      <c r="H2270">
        <v>0</v>
      </c>
      <c r="I2270">
        <v>0</v>
      </c>
      <c r="J2270">
        <v>0</v>
      </c>
      <c r="K2270">
        <v>62.3</v>
      </c>
      <c r="L2270">
        <v>62.5</v>
      </c>
      <c r="M2270">
        <v>71.040000000000006</v>
      </c>
      <c r="N2270">
        <v>2</v>
      </c>
      <c r="O2270">
        <v>1</v>
      </c>
      <c r="P2270">
        <f>MOD(DAY(datos_siembra[[#This Row],[Date]]),7)</f>
        <v>2</v>
      </c>
      <c r="Q2270" t="str">
        <f>CHOOSE(WEEKDAY(datos_siembra[[#This Row],[Date]],2),"L","M","X","J","V","S","D")</f>
        <v>X</v>
      </c>
      <c r="R2270">
        <f>WEEKNUM(datos_siembra[[#This Row],[Date]],2)-WEEKNUM(DATE(YEAR(datos_siembra[[#This Row],[Date]]),MONTH(datos_siembra[[#This Row],[Date]]),1))+1</f>
        <v>1</v>
      </c>
      <c r="S2270">
        <f>MONTH(datos_siembra[[#This Row],[Date]])</f>
        <v>10</v>
      </c>
      <c r="T2270" t="str" cm="1">
        <f t="array" ref="T2270">_xlfn.IFS(AND(N2270&lt;= 22, S2270=9), "SOWING",AND(N2270&lt;= 28, S2270=9), "COVERAGE",AND(N2270&lt;= 30, S2270=9), "FLUSH",AND(N2270&lt;= 11, S2270=10), "FLUSH",AND(N2270&lt;= 21, S2270=10), "PRODUCTION")</f>
        <v>FLUSH</v>
      </c>
      <c r="U2270">
        <f>HOUR(datos_siembra[[#This Row],[Hour]])</f>
        <v>12</v>
      </c>
      <c r="V2270" cm="1">
        <f t="array" ref="V2270">_xlfn.IFS(AND(N2270&lt;= 22, S2270=9), N2270-7,AND(N2270&lt;= 28, S2270=9), N2270-25,AND(N2270&lt;= 30, S2270=9), N2270-28,AND(N2270&lt;= 11, S2270=10), N2270+2,AND(N2270&lt;= 21, S2270=10), N2270-11)</f>
        <v>4</v>
      </c>
    </row>
    <row r="2271" spans="1:22" x14ac:dyDescent="0.35">
      <c r="A2271" s="4">
        <v>45567</v>
      </c>
      <c r="B2271" s="5">
        <v>0.546412037037037</v>
      </c>
      <c r="C2271">
        <v>73.3</v>
      </c>
      <c r="D2271">
        <v>70.599999999999994</v>
      </c>
      <c r="E2271">
        <v>71.3</v>
      </c>
      <c r="F2271">
        <v>69.2</v>
      </c>
      <c r="G2271">
        <v>0</v>
      </c>
      <c r="H2271">
        <v>0</v>
      </c>
      <c r="I2271">
        <v>0</v>
      </c>
      <c r="J2271">
        <v>0</v>
      </c>
      <c r="K2271">
        <v>62.2</v>
      </c>
      <c r="L2271">
        <v>62.6</v>
      </c>
      <c r="M2271">
        <v>71.09</v>
      </c>
      <c r="N2271">
        <v>2</v>
      </c>
      <c r="O2271">
        <v>1</v>
      </c>
      <c r="P2271">
        <f>MOD(DAY(datos_siembra[[#This Row],[Date]]),7)</f>
        <v>2</v>
      </c>
      <c r="Q2271" t="str">
        <f>CHOOSE(WEEKDAY(datos_siembra[[#This Row],[Date]],2),"L","M","X","J","V","S","D")</f>
        <v>X</v>
      </c>
      <c r="R2271">
        <f>WEEKNUM(datos_siembra[[#This Row],[Date]],2)-WEEKNUM(DATE(YEAR(datos_siembra[[#This Row],[Date]]),MONTH(datos_siembra[[#This Row],[Date]]),1))+1</f>
        <v>1</v>
      </c>
      <c r="S2271">
        <f>MONTH(datos_siembra[[#This Row],[Date]])</f>
        <v>10</v>
      </c>
      <c r="T2271" t="str" cm="1">
        <f t="array" ref="T2271">_xlfn.IFS(AND(N2271&lt;= 22, S2271=9), "SOWING",AND(N2271&lt;= 28, S2271=9), "COVERAGE",AND(N2271&lt;= 30, S2271=9), "FLUSH",AND(N2271&lt;= 11, S2271=10), "FLUSH",AND(N2271&lt;= 21, S2271=10), "PRODUCTION")</f>
        <v>FLUSH</v>
      </c>
      <c r="U2271">
        <f>HOUR(datos_siembra[[#This Row],[Hour]])</f>
        <v>13</v>
      </c>
      <c r="V2271" cm="1">
        <f t="array" ref="V2271">_xlfn.IFS(AND(N2271&lt;= 22, S2271=9), N2271-7,AND(N2271&lt;= 28, S2271=9), N2271-25,AND(N2271&lt;= 30, S2271=9), N2271-28,AND(N2271&lt;= 11, S2271=10), N2271+2,AND(N2271&lt;= 21, S2271=10), N2271-11)</f>
        <v>4</v>
      </c>
    </row>
    <row r="2272" spans="1:22" x14ac:dyDescent="0.35">
      <c r="A2272" s="4">
        <v>45567</v>
      </c>
      <c r="B2272" s="5">
        <v>0.55335648148148153</v>
      </c>
      <c r="C2272">
        <v>73.3</v>
      </c>
      <c r="D2272">
        <v>70.7</v>
      </c>
      <c r="E2272">
        <v>71.099999999999994</v>
      </c>
      <c r="F2272">
        <v>69.099999999999994</v>
      </c>
      <c r="G2272">
        <v>0</v>
      </c>
      <c r="H2272">
        <v>0</v>
      </c>
      <c r="I2272">
        <v>0</v>
      </c>
      <c r="J2272">
        <v>0</v>
      </c>
      <c r="K2272">
        <v>62</v>
      </c>
      <c r="L2272">
        <v>62.5</v>
      </c>
      <c r="M2272">
        <v>71.040000000000006</v>
      </c>
      <c r="N2272">
        <v>2</v>
      </c>
      <c r="O2272">
        <v>1</v>
      </c>
      <c r="P2272">
        <f>MOD(DAY(datos_siembra[[#This Row],[Date]]),7)</f>
        <v>2</v>
      </c>
      <c r="Q2272" t="str">
        <f>CHOOSE(WEEKDAY(datos_siembra[[#This Row],[Date]],2),"L","M","X","J","V","S","D")</f>
        <v>X</v>
      </c>
      <c r="R2272">
        <f>WEEKNUM(datos_siembra[[#This Row],[Date]],2)-WEEKNUM(DATE(YEAR(datos_siembra[[#This Row],[Date]]),MONTH(datos_siembra[[#This Row],[Date]]),1))+1</f>
        <v>1</v>
      </c>
      <c r="S2272">
        <f>MONTH(datos_siembra[[#This Row],[Date]])</f>
        <v>10</v>
      </c>
      <c r="T2272" t="str" cm="1">
        <f t="array" ref="T2272">_xlfn.IFS(AND(N2272&lt;= 22, S2272=9), "SOWING",AND(N2272&lt;= 28, S2272=9), "COVERAGE",AND(N2272&lt;= 30, S2272=9), "FLUSH",AND(N2272&lt;= 11, S2272=10), "FLUSH",AND(N2272&lt;= 21, S2272=10), "PRODUCTION")</f>
        <v>FLUSH</v>
      </c>
      <c r="U2272">
        <f>HOUR(datos_siembra[[#This Row],[Hour]])</f>
        <v>13</v>
      </c>
      <c r="V2272" cm="1">
        <f t="array" ref="V2272">_xlfn.IFS(AND(N2272&lt;= 22, S2272=9), N2272-7,AND(N2272&lt;= 28, S2272=9), N2272-25,AND(N2272&lt;= 30, S2272=9), N2272-28,AND(N2272&lt;= 11, S2272=10), N2272+2,AND(N2272&lt;= 21, S2272=10), N2272-11)</f>
        <v>4</v>
      </c>
    </row>
    <row r="2273" spans="1:22" x14ac:dyDescent="0.35">
      <c r="A2273" s="4">
        <v>45567</v>
      </c>
      <c r="B2273" s="5">
        <v>0.56030092592592595</v>
      </c>
      <c r="C2273">
        <v>73.3</v>
      </c>
      <c r="D2273">
        <v>70.5</v>
      </c>
      <c r="E2273">
        <v>71.3</v>
      </c>
      <c r="F2273">
        <v>69.099999999999994</v>
      </c>
      <c r="G2273">
        <v>0</v>
      </c>
      <c r="H2273">
        <v>0</v>
      </c>
      <c r="I2273">
        <v>0</v>
      </c>
      <c r="J2273">
        <v>0</v>
      </c>
      <c r="K2273">
        <v>62</v>
      </c>
      <c r="L2273">
        <v>62.6</v>
      </c>
      <c r="M2273">
        <v>71.09</v>
      </c>
      <c r="N2273">
        <v>2</v>
      </c>
      <c r="O2273">
        <v>1</v>
      </c>
      <c r="P2273">
        <f>MOD(DAY(datos_siembra[[#This Row],[Date]]),7)</f>
        <v>2</v>
      </c>
      <c r="Q2273" t="str">
        <f>CHOOSE(WEEKDAY(datos_siembra[[#This Row],[Date]],2),"L","M","X","J","V","S","D")</f>
        <v>X</v>
      </c>
      <c r="R2273">
        <f>WEEKNUM(datos_siembra[[#This Row],[Date]],2)-WEEKNUM(DATE(YEAR(datos_siembra[[#This Row],[Date]]),MONTH(datos_siembra[[#This Row],[Date]]),1))+1</f>
        <v>1</v>
      </c>
      <c r="S2273">
        <f>MONTH(datos_siembra[[#This Row],[Date]])</f>
        <v>10</v>
      </c>
      <c r="T2273" t="str" cm="1">
        <f t="array" ref="T2273">_xlfn.IFS(AND(N2273&lt;= 22, S2273=9), "SOWING",AND(N2273&lt;= 28, S2273=9), "COVERAGE",AND(N2273&lt;= 30, S2273=9), "FLUSH",AND(N2273&lt;= 11, S2273=10), "FLUSH",AND(N2273&lt;= 21, S2273=10), "PRODUCTION")</f>
        <v>FLUSH</v>
      </c>
      <c r="U2273">
        <f>HOUR(datos_siembra[[#This Row],[Hour]])</f>
        <v>13</v>
      </c>
      <c r="V2273" cm="1">
        <f t="array" ref="V2273">_xlfn.IFS(AND(N2273&lt;= 22, S2273=9), N2273-7,AND(N2273&lt;= 28, S2273=9), N2273-25,AND(N2273&lt;= 30, S2273=9), N2273-28,AND(N2273&lt;= 11, S2273=10), N2273+2,AND(N2273&lt;= 21, S2273=10), N2273-11)</f>
        <v>4</v>
      </c>
    </row>
    <row r="2274" spans="1:22" x14ac:dyDescent="0.35">
      <c r="A2274" s="4">
        <v>45567</v>
      </c>
      <c r="B2274" s="5">
        <v>0.56724537037037037</v>
      </c>
      <c r="C2274">
        <v>73.400000000000006</v>
      </c>
      <c r="D2274">
        <v>70.7</v>
      </c>
      <c r="E2274">
        <v>71.099999999999994</v>
      </c>
      <c r="F2274">
        <v>69.099999999999994</v>
      </c>
      <c r="G2274">
        <v>0</v>
      </c>
      <c r="H2274">
        <v>0</v>
      </c>
      <c r="I2274">
        <v>0</v>
      </c>
      <c r="J2274">
        <v>0</v>
      </c>
      <c r="K2274">
        <v>62</v>
      </c>
      <c r="L2274">
        <v>62.5</v>
      </c>
      <c r="M2274">
        <v>71.069999999999993</v>
      </c>
      <c r="N2274">
        <v>2</v>
      </c>
      <c r="O2274">
        <v>1</v>
      </c>
      <c r="P2274">
        <f>MOD(DAY(datos_siembra[[#This Row],[Date]]),7)</f>
        <v>2</v>
      </c>
      <c r="Q2274" t="str">
        <f>CHOOSE(WEEKDAY(datos_siembra[[#This Row],[Date]],2),"L","M","X","J","V","S","D")</f>
        <v>X</v>
      </c>
      <c r="R2274">
        <f>WEEKNUM(datos_siembra[[#This Row],[Date]],2)-WEEKNUM(DATE(YEAR(datos_siembra[[#This Row],[Date]]),MONTH(datos_siembra[[#This Row],[Date]]),1))+1</f>
        <v>1</v>
      </c>
      <c r="S2274">
        <f>MONTH(datos_siembra[[#This Row],[Date]])</f>
        <v>10</v>
      </c>
      <c r="T2274" t="str" cm="1">
        <f t="array" ref="T2274">_xlfn.IFS(AND(N2274&lt;= 22, S2274=9), "SOWING",AND(N2274&lt;= 28, S2274=9), "COVERAGE",AND(N2274&lt;= 30, S2274=9), "FLUSH",AND(N2274&lt;= 11, S2274=10), "FLUSH",AND(N2274&lt;= 21, S2274=10), "PRODUCTION")</f>
        <v>FLUSH</v>
      </c>
      <c r="U2274">
        <f>HOUR(datos_siembra[[#This Row],[Hour]])</f>
        <v>13</v>
      </c>
      <c r="V2274" cm="1">
        <f t="array" ref="V2274">_xlfn.IFS(AND(N2274&lt;= 22, S2274=9), N2274-7,AND(N2274&lt;= 28, S2274=9), N2274-25,AND(N2274&lt;= 30, S2274=9), N2274-28,AND(N2274&lt;= 11, S2274=10), N2274+2,AND(N2274&lt;= 21, S2274=10), N2274-11)</f>
        <v>4</v>
      </c>
    </row>
    <row r="2275" spans="1:22" x14ac:dyDescent="0.35">
      <c r="A2275" s="4">
        <v>45567</v>
      </c>
      <c r="B2275" s="5">
        <v>0.57420138888888894</v>
      </c>
      <c r="C2275">
        <v>73.2</v>
      </c>
      <c r="D2275">
        <v>70.599999999999994</v>
      </c>
      <c r="E2275">
        <v>71.099999999999994</v>
      </c>
      <c r="F2275">
        <v>69</v>
      </c>
      <c r="G2275">
        <v>0</v>
      </c>
      <c r="H2275">
        <v>0</v>
      </c>
      <c r="I2275">
        <v>0</v>
      </c>
      <c r="J2275">
        <v>0</v>
      </c>
      <c r="K2275">
        <v>62.5</v>
      </c>
      <c r="L2275">
        <v>62.8</v>
      </c>
      <c r="M2275">
        <v>70.92</v>
      </c>
      <c r="N2275">
        <v>2</v>
      </c>
      <c r="O2275">
        <v>1</v>
      </c>
      <c r="P2275">
        <f>MOD(DAY(datos_siembra[[#This Row],[Date]]),7)</f>
        <v>2</v>
      </c>
      <c r="Q2275" t="str">
        <f>CHOOSE(WEEKDAY(datos_siembra[[#This Row],[Date]],2),"L","M","X","J","V","S","D")</f>
        <v>X</v>
      </c>
      <c r="R2275">
        <f>WEEKNUM(datos_siembra[[#This Row],[Date]],2)-WEEKNUM(DATE(YEAR(datos_siembra[[#This Row],[Date]]),MONTH(datos_siembra[[#This Row],[Date]]),1))+1</f>
        <v>1</v>
      </c>
      <c r="S2275">
        <f>MONTH(datos_siembra[[#This Row],[Date]])</f>
        <v>10</v>
      </c>
      <c r="T2275" t="str" cm="1">
        <f t="array" ref="T2275">_xlfn.IFS(AND(N2275&lt;= 22, S2275=9), "SOWING",AND(N2275&lt;= 28, S2275=9), "COVERAGE",AND(N2275&lt;= 30, S2275=9), "FLUSH",AND(N2275&lt;= 11, S2275=10), "FLUSH",AND(N2275&lt;= 21, S2275=10), "PRODUCTION")</f>
        <v>FLUSH</v>
      </c>
      <c r="U2275">
        <f>HOUR(datos_siembra[[#This Row],[Hour]])</f>
        <v>13</v>
      </c>
      <c r="V2275" cm="1">
        <f t="array" ref="V2275">_xlfn.IFS(AND(N2275&lt;= 22, S2275=9), N2275-7,AND(N2275&lt;= 28, S2275=9), N2275-25,AND(N2275&lt;= 30, S2275=9), N2275-28,AND(N2275&lt;= 11, S2275=10), N2275+2,AND(N2275&lt;= 21, S2275=10), N2275-11)</f>
        <v>4</v>
      </c>
    </row>
    <row r="2276" spans="1:22" x14ac:dyDescent="0.35">
      <c r="A2276" s="4">
        <v>45567</v>
      </c>
      <c r="B2276" s="5">
        <v>0.58114583333333336</v>
      </c>
      <c r="C2276">
        <v>73.2</v>
      </c>
      <c r="D2276">
        <v>70.5</v>
      </c>
      <c r="E2276">
        <v>71.099999999999994</v>
      </c>
      <c r="F2276">
        <v>69</v>
      </c>
      <c r="G2276">
        <v>0</v>
      </c>
      <c r="H2276">
        <v>0</v>
      </c>
      <c r="I2276">
        <v>0</v>
      </c>
      <c r="J2276">
        <v>0</v>
      </c>
      <c r="K2276">
        <v>63.2</v>
      </c>
      <c r="L2276">
        <v>63.4</v>
      </c>
      <c r="M2276">
        <v>70.95</v>
      </c>
      <c r="N2276">
        <v>2</v>
      </c>
      <c r="O2276">
        <v>1</v>
      </c>
      <c r="P2276">
        <f>MOD(DAY(datos_siembra[[#This Row],[Date]]),7)</f>
        <v>2</v>
      </c>
      <c r="Q2276" t="str">
        <f>CHOOSE(WEEKDAY(datos_siembra[[#This Row],[Date]],2),"L","M","X","J","V","S","D")</f>
        <v>X</v>
      </c>
      <c r="R2276">
        <f>WEEKNUM(datos_siembra[[#This Row],[Date]],2)-WEEKNUM(DATE(YEAR(datos_siembra[[#This Row],[Date]]),MONTH(datos_siembra[[#This Row],[Date]]),1))+1</f>
        <v>1</v>
      </c>
      <c r="S2276">
        <f>MONTH(datos_siembra[[#This Row],[Date]])</f>
        <v>10</v>
      </c>
      <c r="T2276" t="str" cm="1">
        <f t="array" ref="T2276">_xlfn.IFS(AND(N2276&lt;= 22, S2276=9), "SOWING",AND(N2276&lt;= 28, S2276=9), "COVERAGE",AND(N2276&lt;= 30, S2276=9), "FLUSH",AND(N2276&lt;= 11, S2276=10), "FLUSH",AND(N2276&lt;= 21, S2276=10), "PRODUCTION")</f>
        <v>FLUSH</v>
      </c>
      <c r="U2276">
        <f>HOUR(datos_siembra[[#This Row],[Hour]])</f>
        <v>13</v>
      </c>
      <c r="V2276" cm="1">
        <f t="array" ref="V2276">_xlfn.IFS(AND(N2276&lt;= 22, S2276=9), N2276-7,AND(N2276&lt;= 28, S2276=9), N2276-25,AND(N2276&lt;= 30, S2276=9), N2276-28,AND(N2276&lt;= 11, S2276=10), N2276+2,AND(N2276&lt;= 21, S2276=10), N2276-11)</f>
        <v>4</v>
      </c>
    </row>
    <row r="2277" spans="1:22" x14ac:dyDescent="0.35">
      <c r="A2277" s="4">
        <v>45567</v>
      </c>
      <c r="B2277" s="5">
        <v>0.58809027777777778</v>
      </c>
      <c r="C2277">
        <v>73.2</v>
      </c>
      <c r="D2277">
        <v>70.599999999999994</v>
      </c>
      <c r="E2277">
        <v>71.099999999999994</v>
      </c>
      <c r="F2277">
        <v>69.099999999999994</v>
      </c>
      <c r="G2277">
        <v>0</v>
      </c>
      <c r="H2277">
        <v>0</v>
      </c>
      <c r="I2277">
        <v>0</v>
      </c>
      <c r="J2277">
        <v>0</v>
      </c>
      <c r="K2277">
        <v>63.4</v>
      </c>
      <c r="L2277">
        <v>63.7</v>
      </c>
      <c r="M2277">
        <v>70.98</v>
      </c>
      <c r="N2277">
        <v>2</v>
      </c>
      <c r="O2277">
        <v>1</v>
      </c>
      <c r="P2277">
        <f>MOD(DAY(datos_siembra[[#This Row],[Date]]),7)</f>
        <v>2</v>
      </c>
      <c r="Q2277" t="str">
        <f>CHOOSE(WEEKDAY(datos_siembra[[#This Row],[Date]],2),"L","M","X","J","V","S","D")</f>
        <v>X</v>
      </c>
      <c r="R2277">
        <f>WEEKNUM(datos_siembra[[#This Row],[Date]],2)-WEEKNUM(DATE(YEAR(datos_siembra[[#This Row],[Date]]),MONTH(datos_siembra[[#This Row],[Date]]),1))+1</f>
        <v>1</v>
      </c>
      <c r="S2277">
        <f>MONTH(datos_siembra[[#This Row],[Date]])</f>
        <v>10</v>
      </c>
      <c r="T2277" t="str" cm="1">
        <f t="array" ref="T2277">_xlfn.IFS(AND(N2277&lt;= 22, S2277=9), "SOWING",AND(N2277&lt;= 28, S2277=9), "COVERAGE",AND(N2277&lt;= 30, S2277=9), "FLUSH",AND(N2277&lt;= 11, S2277=10), "FLUSH",AND(N2277&lt;= 21, S2277=10), "PRODUCTION")</f>
        <v>FLUSH</v>
      </c>
      <c r="U2277">
        <f>HOUR(datos_siembra[[#This Row],[Hour]])</f>
        <v>14</v>
      </c>
      <c r="V2277" cm="1">
        <f t="array" ref="V2277">_xlfn.IFS(AND(N2277&lt;= 22, S2277=9), N2277-7,AND(N2277&lt;= 28, S2277=9), N2277-25,AND(N2277&lt;= 30, S2277=9), N2277-28,AND(N2277&lt;= 11, S2277=10), N2277+2,AND(N2277&lt;= 21, S2277=10), N2277-11)</f>
        <v>4</v>
      </c>
    </row>
    <row r="2278" spans="1:22" x14ac:dyDescent="0.35">
      <c r="A2278" s="4">
        <v>45567</v>
      </c>
      <c r="B2278" s="5">
        <v>0.59504629629629635</v>
      </c>
      <c r="C2278">
        <v>73.2</v>
      </c>
      <c r="D2278">
        <v>70.5</v>
      </c>
      <c r="E2278">
        <v>71</v>
      </c>
      <c r="F2278">
        <v>68.900000000000006</v>
      </c>
      <c r="G2278">
        <v>0</v>
      </c>
      <c r="H2278">
        <v>0</v>
      </c>
      <c r="I2278">
        <v>0</v>
      </c>
      <c r="J2278">
        <v>0</v>
      </c>
      <c r="K2278">
        <v>63.6</v>
      </c>
      <c r="L2278">
        <v>63.8</v>
      </c>
      <c r="M2278">
        <v>70.900000000000006</v>
      </c>
      <c r="N2278">
        <v>2</v>
      </c>
      <c r="O2278">
        <v>1</v>
      </c>
      <c r="P2278">
        <f>MOD(DAY(datos_siembra[[#This Row],[Date]]),7)</f>
        <v>2</v>
      </c>
      <c r="Q2278" t="str">
        <f>CHOOSE(WEEKDAY(datos_siembra[[#This Row],[Date]],2),"L","M","X","J","V","S","D")</f>
        <v>X</v>
      </c>
      <c r="R2278">
        <f>WEEKNUM(datos_siembra[[#This Row],[Date]],2)-WEEKNUM(DATE(YEAR(datos_siembra[[#This Row],[Date]]),MONTH(datos_siembra[[#This Row],[Date]]),1))+1</f>
        <v>1</v>
      </c>
      <c r="S2278">
        <f>MONTH(datos_siembra[[#This Row],[Date]])</f>
        <v>10</v>
      </c>
      <c r="T2278" t="str" cm="1">
        <f t="array" ref="T2278">_xlfn.IFS(AND(N2278&lt;= 22, S2278=9), "SOWING",AND(N2278&lt;= 28, S2278=9), "COVERAGE",AND(N2278&lt;= 30, S2278=9), "FLUSH",AND(N2278&lt;= 11, S2278=10), "FLUSH",AND(N2278&lt;= 21, S2278=10), "PRODUCTION")</f>
        <v>FLUSH</v>
      </c>
      <c r="U2278">
        <f>HOUR(datos_siembra[[#This Row],[Hour]])</f>
        <v>14</v>
      </c>
      <c r="V2278" cm="1">
        <f t="array" ref="V2278">_xlfn.IFS(AND(N2278&lt;= 22, S2278=9), N2278-7,AND(N2278&lt;= 28, S2278=9), N2278-25,AND(N2278&lt;= 30, S2278=9), N2278-28,AND(N2278&lt;= 11, S2278=10), N2278+2,AND(N2278&lt;= 21, S2278=10), N2278-11)</f>
        <v>4</v>
      </c>
    </row>
    <row r="2279" spans="1:22" x14ac:dyDescent="0.35">
      <c r="A2279" s="4">
        <v>45567</v>
      </c>
      <c r="B2279" s="5">
        <v>0.60199074074074077</v>
      </c>
      <c r="C2279">
        <v>73.2</v>
      </c>
      <c r="D2279">
        <v>70.5</v>
      </c>
      <c r="E2279">
        <v>71.099999999999994</v>
      </c>
      <c r="F2279">
        <v>68.900000000000006</v>
      </c>
      <c r="G2279">
        <v>0</v>
      </c>
      <c r="H2279">
        <v>0</v>
      </c>
      <c r="I2279">
        <v>0</v>
      </c>
      <c r="J2279">
        <v>0</v>
      </c>
      <c r="K2279">
        <v>63.3</v>
      </c>
      <c r="L2279">
        <v>63.6</v>
      </c>
      <c r="M2279">
        <v>70.930000000000007</v>
      </c>
      <c r="N2279">
        <v>2</v>
      </c>
      <c r="O2279">
        <v>1</v>
      </c>
      <c r="P2279">
        <f>MOD(DAY(datos_siembra[[#This Row],[Date]]),7)</f>
        <v>2</v>
      </c>
      <c r="Q2279" t="str">
        <f>CHOOSE(WEEKDAY(datos_siembra[[#This Row],[Date]],2),"L","M","X","J","V","S","D")</f>
        <v>X</v>
      </c>
      <c r="R2279">
        <f>WEEKNUM(datos_siembra[[#This Row],[Date]],2)-WEEKNUM(DATE(YEAR(datos_siembra[[#This Row],[Date]]),MONTH(datos_siembra[[#This Row],[Date]]),1))+1</f>
        <v>1</v>
      </c>
      <c r="S2279">
        <f>MONTH(datos_siembra[[#This Row],[Date]])</f>
        <v>10</v>
      </c>
      <c r="T2279" t="str" cm="1">
        <f t="array" ref="T2279">_xlfn.IFS(AND(N2279&lt;= 22, S2279=9), "SOWING",AND(N2279&lt;= 28, S2279=9), "COVERAGE",AND(N2279&lt;= 30, S2279=9), "FLUSH",AND(N2279&lt;= 11, S2279=10), "FLUSH",AND(N2279&lt;= 21, S2279=10), "PRODUCTION")</f>
        <v>FLUSH</v>
      </c>
      <c r="U2279">
        <f>HOUR(datos_siembra[[#This Row],[Hour]])</f>
        <v>14</v>
      </c>
      <c r="V2279" cm="1">
        <f t="array" ref="V2279">_xlfn.IFS(AND(N2279&lt;= 22, S2279=9), N2279-7,AND(N2279&lt;= 28, S2279=9), N2279-25,AND(N2279&lt;= 30, S2279=9), N2279-28,AND(N2279&lt;= 11, S2279=10), N2279+2,AND(N2279&lt;= 21, S2279=10), N2279-11)</f>
        <v>4</v>
      </c>
    </row>
    <row r="2280" spans="1:22" x14ac:dyDescent="0.35">
      <c r="A2280" s="4">
        <v>45567</v>
      </c>
      <c r="B2280" s="5">
        <v>0.60893518518518519</v>
      </c>
      <c r="C2280">
        <v>73.2</v>
      </c>
      <c r="D2280">
        <v>70.5</v>
      </c>
      <c r="E2280">
        <v>71.099999999999994</v>
      </c>
      <c r="F2280">
        <v>69</v>
      </c>
      <c r="G2280">
        <v>0</v>
      </c>
      <c r="H2280">
        <v>0</v>
      </c>
      <c r="I2280">
        <v>0</v>
      </c>
      <c r="J2280">
        <v>0</v>
      </c>
      <c r="K2280">
        <v>62.6</v>
      </c>
      <c r="L2280">
        <v>63</v>
      </c>
      <c r="M2280">
        <v>70.92</v>
      </c>
      <c r="N2280">
        <v>2</v>
      </c>
      <c r="O2280">
        <v>1</v>
      </c>
      <c r="P2280">
        <f>MOD(DAY(datos_siembra[[#This Row],[Date]]),7)</f>
        <v>2</v>
      </c>
      <c r="Q2280" t="str">
        <f>CHOOSE(WEEKDAY(datos_siembra[[#This Row],[Date]],2),"L","M","X","J","V","S","D")</f>
        <v>X</v>
      </c>
      <c r="R2280">
        <f>WEEKNUM(datos_siembra[[#This Row],[Date]],2)-WEEKNUM(DATE(YEAR(datos_siembra[[#This Row],[Date]]),MONTH(datos_siembra[[#This Row],[Date]]),1))+1</f>
        <v>1</v>
      </c>
      <c r="S2280">
        <f>MONTH(datos_siembra[[#This Row],[Date]])</f>
        <v>10</v>
      </c>
      <c r="T2280" t="str" cm="1">
        <f t="array" ref="T2280">_xlfn.IFS(AND(N2280&lt;= 22, S2280=9), "SOWING",AND(N2280&lt;= 28, S2280=9), "COVERAGE",AND(N2280&lt;= 30, S2280=9), "FLUSH",AND(N2280&lt;= 11, S2280=10), "FLUSH",AND(N2280&lt;= 21, S2280=10), "PRODUCTION")</f>
        <v>FLUSH</v>
      </c>
      <c r="U2280">
        <f>HOUR(datos_siembra[[#This Row],[Hour]])</f>
        <v>14</v>
      </c>
      <c r="V2280" cm="1">
        <f t="array" ref="V2280">_xlfn.IFS(AND(N2280&lt;= 22, S2280=9), N2280-7,AND(N2280&lt;= 28, S2280=9), N2280-25,AND(N2280&lt;= 30, S2280=9), N2280-28,AND(N2280&lt;= 11, S2280=10), N2280+2,AND(N2280&lt;= 21, S2280=10), N2280-11)</f>
        <v>4</v>
      </c>
    </row>
    <row r="2281" spans="1:22" x14ac:dyDescent="0.35">
      <c r="A2281" s="4">
        <v>45567</v>
      </c>
      <c r="B2281" s="5">
        <v>0.61587962962962961</v>
      </c>
      <c r="C2281">
        <v>73.2</v>
      </c>
      <c r="D2281">
        <v>70.599999999999994</v>
      </c>
      <c r="E2281">
        <v>71.099999999999994</v>
      </c>
      <c r="F2281">
        <v>68.8</v>
      </c>
      <c r="G2281">
        <v>0</v>
      </c>
      <c r="H2281">
        <v>0</v>
      </c>
      <c r="I2281">
        <v>0</v>
      </c>
      <c r="J2281">
        <v>0</v>
      </c>
      <c r="K2281">
        <v>62.4</v>
      </c>
      <c r="L2281">
        <v>62.8</v>
      </c>
      <c r="M2281">
        <v>70.900000000000006</v>
      </c>
      <c r="N2281">
        <v>2</v>
      </c>
      <c r="O2281">
        <v>1</v>
      </c>
      <c r="P2281">
        <f>MOD(DAY(datos_siembra[[#This Row],[Date]]),7)</f>
        <v>2</v>
      </c>
      <c r="Q2281" t="str">
        <f>CHOOSE(WEEKDAY(datos_siembra[[#This Row],[Date]],2),"L","M","X","J","V","S","D")</f>
        <v>X</v>
      </c>
      <c r="R2281">
        <f>WEEKNUM(datos_siembra[[#This Row],[Date]],2)-WEEKNUM(DATE(YEAR(datos_siembra[[#This Row],[Date]]),MONTH(datos_siembra[[#This Row],[Date]]),1))+1</f>
        <v>1</v>
      </c>
      <c r="S2281">
        <f>MONTH(datos_siembra[[#This Row],[Date]])</f>
        <v>10</v>
      </c>
      <c r="T2281" t="str" cm="1">
        <f t="array" ref="T2281">_xlfn.IFS(AND(N2281&lt;= 22, S2281=9), "SOWING",AND(N2281&lt;= 28, S2281=9), "COVERAGE",AND(N2281&lt;= 30, S2281=9), "FLUSH",AND(N2281&lt;= 11, S2281=10), "FLUSH",AND(N2281&lt;= 21, S2281=10), "PRODUCTION")</f>
        <v>FLUSH</v>
      </c>
      <c r="U2281">
        <f>HOUR(datos_siembra[[#This Row],[Hour]])</f>
        <v>14</v>
      </c>
      <c r="V2281" cm="1">
        <f t="array" ref="V2281">_xlfn.IFS(AND(N2281&lt;= 22, S2281=9), N2281-7,AND(N2281&lt;= 28, S2281=9), N2281-25,AND(N2281&lt;= 30, S2281=9), N2281-28,AND(N2281&lt;= 11, S2281=10), N2281+2,AND(N2281&lt;= 21, S2281=10), N2281-11)</f>
        <v>4</v>
      </c>
    </row>
    <row r="2282" spans="1:22" x14ac:dyDescent="0.35">
      <c r="A2282" s="4">
        <v>45567</v>
      </c>
      <c r="B2282" s="5">
        <v>0.62283564814814818</v>
      </c>
      <c r="C2282">
        <v>73.099999999999994</v>
      </c>
      <c r="D2282">
        <v>70.5</v>
      </c>
      <c r="E2282">
        <v>70.900000000000006</v>
      </c>
      <c r="F2282">
        <v>68.7</v>
      </c>
      <c r="G2282">
        <v>0</v>
      </c>
      <c r="H2282">
        <v>0</v>
      </c>
      <c r="I2282">
        <v>0</v>
      </c>
      <c r="J2282">
        <v>0</v>
      </c>
      <c r="K2282">
        <v>62.3</v>
      </c>
      <c r="L2282">
        <v>62.7</v>
      </c>
      <c r="M2282">
        <v>70.92</v>
      </c>
      <c r="N2282">
        <v>2</v>
      </c>
      <c r="O2282">
        <v>1</v>
      </c>
      <c r="P2282">
        <f>MOD(DAY(datos_siembra[[#This Row],[Date]]),7)</f>
        <v>2</v>
      </c>
      <c r="Q2282" t="str">
        <f>CHOOSE(WEEKDAY(datos_siembra[[#This Row],[Date]],2),"L","M","X","J","V","S","D")</f>
        <v>X</v>
      </c>
      <c r="R2282">
        <f>WEEKNUM(datos_siembra[[#This Row],[Date]],2)-WEEKNUM(DATE(YEAR(datos_siembra[[#This Row],[Date]]),MONTH(datos_siembra[[#This Row],[Date]]),1))+1</f>
        <v>1</v>
      </c>
      <c r="S2282">
        <f>MONTH(datos_siembra[[#This Row],[Date]])</f>
        <v>10</v>
      </c>
      <c r="T2282" t="str" cm="1">
        <f t="array" ref="T2282">_xlfn.IFS(AND(N2282&lt;= 22, S2282=9), "SOWING",AND(N2282&lt;= 28, S2282=9), "COVERAGE",AND(N2282&lt;= 30, S2282=9), "FLUSH",AND(N2282&lt;= 11, S2282=10), "FLUSH",AND(N2282&lt;= 21, S2282=10), "PRODUCTION")</f>
        <v>FLUSH</v>
      </c>
      <c r="U2282">
        <f>HOUR(datos_siembra[[#This Row],[Hour]])</f>
        <v>14</v>
      </c>
      <c r="V2282" cm="1">
        <f t="array" ref="V2282">_xlfn.IFS(AND(N2282&lt;= 22, S2282=9), N2282-7,AND(N2282&lt;= 28, S2282=9), N2282-25,AND(N2282&lt;= 30, S2282=9), N2282-28,AND(N2282&lt;= 11, S2282=10), N2282+2,AND(N2282&lt;= 21, S2282=10), N2282-11)</f>
        <v>4</v>
      </c>
    </row>
    <row r="2283" spans="1:22" x14ac:dyDescent="0.35">
      <c r="A2283" s="4">
        <v>45567</v>
      </c>
      <c r="B2283" s="5">
        <v>0.6297800925925926</v>
      </c>
      <c r="C2283">
        <v>73.2</v>
      </c>
      <c r="D2283">
        <v>70.5</v>
      </c>
      <c r="E2283">
        <v>71</v>
      </c>
      <c r="F2283">
        <v>68.8</v>
      </c>
      <c r="G2283">
        <v>0</v>
      </c>
      <c r="H2283">
        <v>0</v>
      </c>
      <c r="I2283">
        <v>0</v>
      </c>
      <c r="J2283">
        <v>0</v>
      </c>
      <c r="K2283">
        <v>62.3</v>
      </c>
      <c r="L2283">
        <v>62.7</v>
      </c>
      <c r="M2283">
        <v>70.87</v>
      </c>
      <c r="N2283">
        <v>2</v>
      </c>
      <c r="O2283">
        <v>1</v>
      </c>
      <c r="P2283">
        <f>MOD(DAY(datos_siembra[[#This Row],[Date]]),7)</f>
        <v>2</v>
      </c>
      <c r="Q2283" t="str">
        <f>CHOOSE(WEEKDAY(datos_siembra[[#This Row],[Date]],2),"L","M","X","J","V","S","D")</f>
        <v>X</v>
      </c>
      <c r="R2283">
        <f>WEEKNUM(datos_siembra[[#This Row],[Date]],2)-WEEKNUM(DATE(YEAR(datos_siembra[[#This Row],[Date]]),MONTH(datos_siembra[[#This Row],[Date]]),1))+1</f>
        <v>1</v>
      </c>
      <c r="S2283">
        <f>MONTH(datos_siembra[[#This Row],[Date]])</f>
        <v>10</v>
      </c>
      <c r="T2283" t="str" cm="1">
        <f t="array" ref="T2283">_xlfn.IFS(AND(N2283&lt;= 22, S2283=9), "SOWING",AND(N2283&lt;= 28, S2283=9), "COVERAGE",AND(N2283&lt;= 30, S2283=9), "FLUSH",AND(N2283&lt;= 11, S2283=10), "FLUSH",AND(N2283&lt;= 21, S2283=10), "PRODUCTION")</f>
        <v>FLUSH</v>
      </c>
      <c r="U2283">
        <f>HOUR(datos_siembra[[#This Row],[Hour]])</f>
        <v>15</v>
      </c>
      <c r="V2283" cm="1">
        <f t="array" ref="V2283">_xlfn.IFS(AND(N2283&lt;= 22, S2283=9), N2283-7,AND(N2283&lt;= 28, S2283=9), N2283-25,AND(N2283&lt;= 30, S2283=9), N2283-28,AND(N2283&lt;= 11, S2283=10), N2283+2,AND(N2283&lt;= 21, S2283=10), N2283-11)</f>
        <v>4</v>
      </c>
    </row>
    <row r="2284" spans="1:22" x14ac:dyDescent="0.35">
      <c r="A2284" s="4">
        <v>45567</v>
      </c>
      <c r="B2284" s="5">
        <v>0.63672453703703702</v>
      </c>
      <c r="C2284">
        <v>73.2</v>
      </c>
      <c r="D2284">
        <v>70.5</v>
      </c>
      <c r="E2284">
        <v>71</v>
      </c>
      <c r="F2284">
        <v>68.7</v>
      </c>
      <c r="G2284">
        <v>0</v>
      </c>
      <c r="H2284">
        <v>0</v>
      </c>
      <c r="I2284">
        <v>0</v>
      </c>
      <c r="J2284">
        <v>0</v>
      </c>
      <c r="K2284">
        <v>62.2</v>
      </c>
      <c r="L2284">
        <v>62.7</v>
      </c>
      <c r="M2284">
        <v>70.84</v>
      </c>
      <c r="N2284">
        <v>2</v>
      </c>
      <c r="O2284">
        <v>1</v>
      </c>
      <c r="P2284">
        <f>MOD(DAY(datos_siembra[[#This Row],[Date]]),7)</f>
        <v>2</v>
      </c>
      <c r="Q2284" t="str">
        <f>CHOOSE(WEEKDAY(datos_siembra[[#This Row],[Date]],2),"L","M","X","J","V","S","D")</f>
        <v>X</v>
      </c>
      <c r="R2284">
        <f>WEEKNUM(datos_siembra[[#This Row],[Date]],2)-WEEKNUM(DATE(YEAR(datos_siembra[[#This Row],[Date]]),MONTH(datos_siembra[[#This Row],[Date]]),1))+1</f>
        <v>1</v>
      </c>
      <c r="S2284">
        <f>MONTH(datos_siembra[[#This Row],[Date]])</f>
        <v>10</v>
      </c>
      <c r="T2284" t="str" cm="1">
        <f t="array" ref="T2284">_xlfn.IFS(AND(N2284&lt;= 22, S2284=9), "SOWING",AND(N2284&lt;= 28, S2284=9), "COVERAGE",AND(N2284&lt;= 30, S2284=9), "FLUSH",AND(N2284&lt;= 11, S2284=10), "FLUSH",AND(N2284&lt;= 21, S2284=10), "PRODUCTION")</f>
        <v>FLUSH</v>
      </c>
      <c r="U2284">
        <f>HOUR(datos_siembra[[#This Row],[Hour]])</f>
        <v>15</v>
      </c>
      <c r="V2284" cm="1">
        <f t="array" ref="V2284">_xlfn.IFS(AND(N2284&lt;= 22, S2284=9), N2284-7,AND(N2284&lt;= 28, S2284=9), N2284-25,AND(N2284&lt;= 30, S2284=9), N2284-28,AND(N2284&lt;= 11, S2284=10), N2284+2,AND(N2284&lt;= 21, S2284=10), N2284-11)</f>
        <v>4</v>
      </c>
    </row>
    <row r="2285" spans="1:22" x14ac:dyDescent="0.35">
      <c r="A2285" s="4">
        <v>45567</v>
      </c>
      <c r="B2285" s="5">
        <v>0.64368055555555559</v>
      </c>
      <c r="C2285">
        <v>73.099999999999994</v>
      </c>
      <c r="D2285">
        <v>70.3</v>
      </c>
      <c r="E2285">
        <v>71</v>
      </c>
      <c r="F2285">
        <v>69</v>
      </c>
      <c r="G2285">
        <v>0</v>
      </c>
      <c r="H2285">
        <v>0</v>
      </c>
      <c r="I2285">
        <v>0</v>
      </c>
      <c r="J2285">
        <v>0</v>
      </c>
      <c r="K2285">
        <v>62.2</v>
      </c>
      <c r="L2285">
        <v>62.7</v>
      </c>
      <c r="M2285">
        <v>70.81</v>
      </c>
      <c r="N2285">
        <v>2</v>
      </c>
      <c r="O2285">
        <v>1</v>
      </c>
      <c r="P2285">
        <f>MOD(DAY(datos_siembra[[#This Row],[Date]]),7)</f>
        <v>2</v>
      </c>
      <c r="Q2285" t="str">
        <f>CHOOSE(WEEKDAY(datos_siembra[[#This Row],[Date]],2),"L","M","X","J","V","S","D")</f>
        <v>X</v>
      </c>
      <c r="R2285">
        <f>WEEKNUM(datos_siembra[[#This Row],[Date]],2)-WEEKNUM(DATE(YEAR(datos_siembra[[#This Row],[Date]]),MONTH(datos_siembra[[#This Row],[Date]]),1))+1</f>
        <v>1</v>
      </c>
      <c r="S2285">
        <f>MONTH(datos_siembra[[#This Row],[Date]])</f>
        <v>10</v>
      </c>
      <c r="T2285" t="str" cm="1">
        <f t="array" ref="T2285">_xlfn.IFS(AND(N2285&lt;= 22, S2285=9), "SOWING",AND(N2285&lt;= 28, S2285=9), "COVERAGE",AND(N2285&lt;= 30, S2285=9), "FLUSH",AND(N2285&lt;= 11, S2285=10), "FLUSH",AND(N2285&lt;= 21, S2285=10), "PRODUCTION")</f>
        <v>FLUSH</v>
      </c>
      <c r="U2285">
        <f>HOUR(datos_siembra[[#This Row],[Hour]])</f>
        <v>15</v>
      </c>
      <c r="V2285" cm="1">
        <f t="array" ref="V2285">_xlfn.IFS(AND(N2285&lt;= 22, S2285=9), N2285-7,AND(N2285&lt;= 28, S2285=9), N2285-25,AND(N2285&lt;= 30, S2285=9), N2285-28,AND(N2285&lt;= 11, S2285=10), N2285+2,AND(N2285&lt;= 21, S2285=10), N2285-11)</f>
        <v>4</v>
      </c>
    </row>
    <row r="2286" spans="1:22" x14ac:dyDescent="0.35">
      <c r="A2286" s="4">
        <v>45567</v>
      </c>
      <c r="B2286" s="5">
        <v>0.65062500000000001</v>
      </c>
      <c r="C2286">
        <v>73.099999999999994</v>
      </c>
      <c r="D2286">
        <v>70.400000000000006</v>
      </c>
      <c r="E2286">
        <v>71</v>
      </c>
      <c r="F2286">
        <v>68.900000000000006</v>
      </c>
      <c r="G2286">
        <v>0</v>
      </c>
      <c r="H2286">
        <v>0</v>
      </c>
      <c r="I2286">
        <v>0</v>
      </c>
      <c r="J2286">
        <v>0</v>
      </c>
      <c r="K2286">
        <v>62</v>
      </c>
      <c r="L2286">
        <v>62.6</v>
      </c>
      <c r="M2286">
        <v>70.78</v>
      </c>
      <c r="N2286">
        <v>2</v>
      </c>
      <c r="O2286">
        <v>1</v>
      </c>
      <c r="P2286">
        <f>MOD(DAY(datos_siembra[[#This Row],[Date]]),7)</f>
        <v>2</v>
      </c>
      <c r="Q2286" t="str">
        <f>CHOOSE(WEEKDAY(datos_siembra[[#This Row],[Date]],2),"L","M","X","J","V","S","D")</f>
        <v>X</v>
      </c>
      <c r="R2286">
        <f>WEEKNUM(datos_siembra[[#This Row],[Date]],2)-WEEKNUM(DATE(YEAR(datos_siembra[[#This Row],[Date]]),MONTH(datos_siembra[[#This Row],[Date]]),1))+1</f>
        <v>1</v>
      </c>
      <c r="S2286">
        <f>MONTH(datos_siembra[[#This Row],[Date]])</f>
        <v>10</v>
      </c>
      <c r="T2286" t="str" cm="1">
        <f t="array" ref="T2286">_xlfn.IFS(AND(N2286&lt;= 22, S2286=9), "SOWING",AND(N2286&lt;= 28, S2286=9), "COVERAGE",AND(N2286&lt;= 30, S2286=9), "FLUSH",AND(N2286&lt;= 11, S2286=10), "FLUSH",AND(N2286&lt;= 21, S2286=10), "PRODUCTION")</f>
        <v>FLUSH</v>
      </c>
      <c r="U2286">
        <f>HOUR(datos_siembra[[#This Row],[Hour]])</f>
        <v>15</v>
      </c>
      <c r="V2286" cm="1">
        <f t="array" ref="V2286">_xlfn.IFS(AND(N2286&lt;= 22, S2286=9), N2286-7,AND(N2286&lt;= 28, S2286=9), N2286-25,AND(N2286&lt;= 30, S2286=9), N2286-28,AND(N2286&lt;= 11, S2286=10), N2286+2,AND(N2286&lt;= 21, S2286=10), N2286-11)</f>
        <v>4</v>
      </c>
    </row>
    <row r="2287" spans="1:22" x14ac:dyDescent="0.35">
      <c r="A2287" s="4">
        <v>45567</v>
      </c>
      <c r="B2287" s="5">
        <v>0.65756944444444443</v>
      </c>
      <c r="C2287">
        <v>73</v>
      </c>
      <c r="D2287">
        <v>70.400000000000006</v>
      </c>
      <c r="E2287">
        <v>70.900000000000006</v>
      </c>
      <c r="F2287">
        <v>68.8</v>
      </c>
      <c r="G2287">
        <v>0</v>
      </c>
      <c r="H2287">
        <v>0</v>
      </c>
      <c r="I2287">
        <v>0</v>
      </c>
      <c r="J2287">
        <v>0</v>
      </c>
      <c r="K2287">
        <v>61.9</v>
      </c>
      <c r="L2287">
        <v>62.5</v>
      </c>
      <c r="M2287">
        <v>70.7</v>
      </c>
      <c r="N2287">
        <v>2</v>
      </c>
      <c r="O2287">
        <v>1</v>
      </c>
      <c r="P2287">
        <f>MOD(DAY(datos_siembra[[#This Row],[Date]]),7)</f>
        <v>2</v>
      </c>
      <c r="Q2287" t="str">
        <f>CHOOSE(WEEKDAY(datos_siembra[[#This Row],[Date]],2),"L","M","X","J","V","S","D")</f>
        <v>X</v>
      </c>
      <c r="R2287">
        <f>WEEKNUM(datos_siembra[[#This Row],[Date]],2)-WEEKNUM(DATE(YEAR(datos_siembra[[#This Row],[Date]]),MONTH(datos_siembra[[#This Row],[Date]]),1))+1</f>
        <v>1</v>
      </c>
      <c r="S2287">
        <f>MONTH(datos_siembra[[#This Row],[Date]])</f>
        <v>10</v>
      </c>
      <c r="T2287" t="str" cm="1">
        <f t="array" ref="T2287">_xlfn.IFS(AND(N2287&lt;= 22, S2287=9), "SOWING",AND(N2287&lt;= 28, S2287=9), "COVERAGE",AND(N2287&lt;= 30, S2287=9), "FLUSH",AND(N2287&lt;= 11, S2287=10), "FLUSH",AND(N2287&lt;= 21, S2287=10), "PRODUCTION")</f>
        <v>FLUSH</v>
      </c>
      <c r="U2287">
        <f>HOUR(datos_siembra[[#This Row],[Hour]])</f>
        <v>15</v>
      </c>
      <c r="V2287" cm="1">
        <f t="array" ref="V2287">_xlfn.IFS(AND(N2287&lt;= 22, S2287=9), N2287-7,AND(N2287&lt;= 28, S2287=9), N2287-25,AND(N2287&lt;= 30, S2287=9), N2287-28,AND(N2287&lt;= 11, S2287=10), N2287+2,AND(N2287&lt;= 21, S2287=10), N2287-11)</f>
        <v>4</v>
      </c>
    </row>
    <row r="2288" spans="1:22" x14ac:dyDescent="0.35">
      <c r="A2288" s="4">
        <v>45567</v>
      </c>
      <c r="B2288" s="5">
        <v>0.66451388888888885</v>
      </c>
      <c r="C2288">
        <v>73.099999999999994</v>
      </c>
      <c r="D2288">
        <v>70.400000000000006</v>
      </c>
      <c r="E2288">
        <v>71.099999999999994</v>
      </c>
      <c r="F2288">
        <v>68.900000000000006</v>
      </c>
      <c r="G2288">
        <v>0</v>
      </c>
      <c r="H2288">
        <v>0</v>
      </c>
      <c r="I2288">
        <v>0</v>
      </c>
      <c r="J2288">
        <v>0</v>
      </c>
      <c r="K2288">
        <v>61.9</v>
      </c>
      <c r="L2288">
        <v>62.5</v>
      </c>
      <c r="M2288">
        <v>70.760000000000005</v>
      </c>
      <c r="N2288">
        <v>2</v>
      </c>
      <c r="O2288">
        <v>1</v>
      </c>
      <c r="P2288">
        <f>MOD(DAY(datos_siembra[[#This Row],[Date]]),7)</f>
        <v>2</v>
      </c>
      <c r="Q2288" t="str">
        <f>CHOOSE(WEEKDAY(datos_siembra[[#This Row],[Date]],2),"L","M","X","J","V","S","D")</f>
        <v>X</v>
      </c>
      <c r="R2288">
        <f>WEEKNUM(datos_siembra[[#This Row],[Date]],2)-WEEKNUM(DATE(YEAR(datos_siembra[[#This Row],[Date]]),MONTH(datos_siembra[[#This Row],[Date]]),1))+1</f>
        <v>1</v>
      </c>
      <c r="S2288">
        <f>MONTH(datos_siembra[[#This Row],[Date]])</f>
        <v>10</v>
      </c>
      <c r="T2288" t="str" cm="1">
        <f t="array" ref="T2288">_xlfn.IFS(AND(N2288&lt;= 22, S2288=9), "SOWING",AND(N2288&lt;= 28, S2288=9), "COVERAGE",AND(N2288&lt;= 30, S2288=9), "FLUSH",AND(N2288&lt;= 11, S2288=10), "FLUSH",AND(N2288&lt;= 21, S2288=10), "PRODUCTION")</f>
        <v>FLUSH</v>
      </c>
      <c r="U2288">
        <f>HOUR(datos_siembra[[#This Row],[Hour]])</f>
        <v>15</v>
      </c>
      <c r="V2288" cm="1">
        <f t="array" ref="V2288">_xlfn.IFS(AND(N2288&lt;= 22, S2288=9), N2288-7,AND(N2288&lt;= 28, S2288=9), N2288-25,AND(N2288&lt;= 30, S2288=9), N2288-28,AND(N2288&lt;= 11, S2288=10), N2288+2,AND(N2288&lt;= 21, S2288=10), N2288-11)</f>
        <v>4</v>
      </c>
    </row>
    <row r="2289" spans="1:22" x14ac:dyDescent="0.35">
      <c r="A2289" s="4">
        <v>45567</v>
      </c>
      <c r="B2289" s="5">
        <v>0.67146990740740742</v>
      </c>
      <c r="C2289">
        <v>73.099999999999994</v>
      </c>
      <c r="D2289">
        <v>70.3</v>
      </c>
      <c r="E2289">
        <v>70.900000000000006</v>
      </c>
      <c r="F2289">
        <v>68.599999999999994</v>
      </c>
      <c r="G2289">
        <v>0</v>
      </c>
      <c r="H2289">
        <v>0</v>
      </c>
      <c r="I2289">
        <v>0</v>
      </c>
      <c r="J2289">
        <v>0</v>
      </c>
      <c r="K2289">
        <v>61.8</v>
      </c>
      <c r="L2289">
        <v>62.5</v>
      </c>
      <c r="M2289">
        <v>70.760000000000005</v>
      </c>
      <c r="N2289">
        <v>2</v>
      </c>
      <c r="O2289">
        <v>1</v>
      </c>
      <c r="P2289">
        <f>MOD(DAY(datos_siembra[[#This Row],[Date]]),7)</f>
        <v>2</v>
      </c>
      <c r="Q2289" t="str">
        <f>CHOOSE(WEEKDAY(datos_siembra[[#This Row],[Date]],2),"L","M","X","J","V","S","D")</f>
        <v>X</v>
      </c>
      <c r="R2289">
        <f>WEEKNUM(datos_siembra[[#This Row],[Date]],2)-WEEKNUM(DATE(YEAR(datos_siembra[[#This Row],[Date]]),MONTH(datos_siembra[[#This Row],[Date]]),1))+1</f>
        <v>1</v>
      </c>
      <c r="S2289">
        <f>MONTH(datos_siembra[[#This Row],[Date]])</f>
        <v>10</v>
      </c>
      <c r="T2289" t="str" cm="1">
        <f t="array" ref="T2289">_xlfn.IFS(AND(N2289&lt;= 22, S2289=9), "SOWING",AND(N2289&lt;= 28, S2289=9), "COVERAGE",AND(N2289&lt;= 30, S2289=9), "FLUSH",AND(N2289&lt;= 11, S2289=10), "FLUSH",AND(N2289&lt;= 21, S2289=10), "PRODUCTION")</f>
        <v>FLUSH</v>
      </c>
      <c r="U2289">
        <f>HOUR(datos_siembra[[#This Row],[Hour]])</f>
        <v>16</v>
      </c>
      <c r="V2289" cm="1">
        <f t="array" ref="V2289">_xlfn.IFS(AND(N2289&lt;= 22, S2289=9), N2289-7,AND(N2289&lt;= 28, S2289=9), N2289-25,AND(N2289&lt;= 30, S2289=9), N2289-28,AND(N2289&lt;= 11, S2289=10), N2289+2,AND(N2289&lt;= 21, S2289=10), N2289-11)</f>
        <v>4</v>
      </c>
    </row>
    <row r="2290" spans="1:22" x14ac:dyDescent="0.35">
      <c r="A2290" s="4">
        <v>45567</v>
      </c>
      <c r="B2290" s="5">
        <v>0.67841435185185184</v>
      </c>
      <c r="C2290">
        <v>73</v>
      </c>
      <c r="D2290">
        <v>70.400000000000006</v>
      </c>
      <c r="E2290">
        <v>70.900000000000006</v>
      </c>
      <c r="F2290">
        <v>68.8</v>
      </c>
      <c r="G2290">
        <v>0</v>
      </c>
      <c r="H2290">
        <v>0</v>
      </c>
      <c r="I2290">
        <v>0</v>
      </c>
      <c r="J2290">
        <v>0</v>
      </c>
      <c r="K2290">
        <v>61.8</v>
      </c>
      <c r="L2290">
        <v>62.5</v>
      </c>
      <c r="M2290">
        <v>70.760000000000005</v>
      </c>
      <c r="N2290">
        <v>2</v>
      </c>
      <c r="O2290">
        <v>1</v>
      </c>
      <c r="P2290">
        <f>MOD(DAY(datos_siembra[[#This Row],[Date]]),7)</f>
        <v>2</v>
      </c>
      <c r="Q2290" t="str">
        <f>CHOOSE(WEEKDAY(datos_siembra[[#This Row],[Date]],2),"L","M","X","J","V","S","D")</f>
        <v>X</v>
      </c>
      <c r="R2290">
        <f>WEEKNUM(datos_siembra[[#This Row],[Date]],2)-WEEKNUM(DATE(YEAR(datos_siembra[[#This Row],[Date]]),MONTH(datos_siembra[[#This Row],[Date]]),1))+1</f>
        <v>1</v>
      </c>
      <c r="S2290">
        <f>MONTH(datos_siembra[[#This Row],[Date]])</f>
        <v>10</v>
      </c>
      <c r="T2290" t="str" cm="1">
        <f t="array" ref="T2290">_xlfn.IFS(AND(N2290&lt;= 22, S2290=9), "SOWING",AND(N2290&lt;= 28, S2290=9), "COVERAGE",AND(N2290&lt;= 30, S2290=9), "FLUSH",AND(N2290&lt;= 11, S2290=10), "FLUSH",AND(N2290&lt;= 21, S2290=10), "PRODUCTION")</f>
        <v>FLUSH</v>
      </c>
      <c r="U2290">
        <f>HOUR(datos_siembra[[#This Row],[Hour]])</f>
        <v>16</v>
      </c>
      <c r="V2290" cm="1">
        <f t="array" ref="V2290">_xlfn.IFS(AND(N2290&lt;= 22, S2290=9), N2290-7,AND(N2290&lt;= 28, S2290=9), N2290-25,AND(N2290&lt;= 30, S2290=9), N2290-28,AND(N2290&lt;= 11, S2290=10), N2290+2,AND(N2290&lt;= 21, S2290=10), N2290-11)</f>
        <v>4</v>
      </c>
    </row>
    <row r="2291" spans="1:22" x14ac:dyDescent="0.35">
      <c r="A2291" s="4">
        <v>45567</v>
      </c>
      <c r="B2291" s="5">
        <v>0.68535879629629626</v>
      </c>
      <c r="C2291">
        <v>73.099999999999994</v>
      </c>
      <c r="D2291">
        <v>70.400000000000006</v>
      </c>
      <c r="E2291">
        <v>70.8</v>
      </c>
      <c r="F2291">
        <v>68.7</v>
      </c>
      <c r="G2291">
        <v>0</v>
      </c>
      <c r="H2291">
        <v>0</v>
      </c>
      <c r="I2291">
        <v>0</v>
      </c>
      <c r="J2291">
        <v>0</v>
      </c>
      <c r="K2291">
        <v>61.8</v>
      </c>
      <c r="L2291">
        <v>62.4</v>
      </c>
      <c r="M2291">
        <v>70.67</v>
      </c>
      <c r="N2291">
        <v>2</v>
      </c>
      <c r="O2291">
        <v>1</v>
      </c>
      <c r="P2291">
        <f>MOD(DAY(datos_siembra[[#This Row],[Date]]),7)</f>
        <v>2</v>
      </c>
      <c r="Q2291" t="str">
        <f>CHOOSE(WEEKDAY(datos_siembra[[#This Row],[Date]],2),"L","M","X","J","V","S","D")</f>
        <v>X</v>
      </c>
      <c r="R2291">
        <f>WEEKNUM(datos_siembra[[#This Row],[Date]],2)-WEEKNUM(DATE(YEAR(datos_siembra[[#This Row],[Date]]),MONTH(datos_siembra[[#This Row],[Date]]),1))+1</f>
        <v>1</v>
      </c>
      <c r="S2291">
        <f>MONTH(datos_siembra[[#This Row],[Date]])</f>
        <v>10</v>
      </c>
      <c r="T2291" t="str" cm="1">
        <f t="array" ref="T2291">_xlfn.IFS(AND(N2291&lt;= 22, S2291=9), "SOWING",AND(N2291&lt;= 28, S2291=9), "COVERAGE",AND(N2291&lt;= 30, S2291=9), "FLUSH",AND(N2291&lt;= 11, S2291=10), "FLUSH",AND(N2291&lt;= 21, S2291=10), "PRODUCTION")</f>
        <v>FLUSH</v>
      </c>
      <c r="U2291">
        <f>HOUR(datos_siembra[[#This Row],[Hour]])</f>
        <v>16</v>
      </c>
      <c r="V2291" cm="1">
        <f t="array" ref="V2291">_xlfn.IFS(AND(N2291&lt;= 22, S2291=9), N2291-7,AND(N2291&lt;= 28, S2291=9), N2291-25,AND(N2291&lt;= 30, S2291=9), N2291-28,AND(N2291&lt;= 11, S2291=10), N2291+2,AND(N2291&lt;= 21, S2291=10), N2291-11)</f>
        <v>4</v>
      </c>
    </row>
    <row r="2292" spans="1:22" x14ac:dyDescent="0.35">
      <c r="A2292" s="4">
        <v>45567</v>
      </c>
      <c r="B2292" s="5">
        <v>0.69231481481481483</v>
      </c>
      <c r="C2292">
        <v>73</v>
      </c>
      <c r="D2292">
        <v>70.3</v>
      </c>
      <c r="E2292">
        <v>70.7</v>
      </c>
      <c r="F2292">
        <v>68.599999999999994</v>
      </c>
      <c r="G2292">
        <v>0</v>
      </c>
      <c r="H2292">
        <v>0</v>
      </c>
      <c r="I2292">
        <v>0</v>
      </c>
      <c r="J2292">
        <v>0</v>
      </c>
      <c r="K2292">
        <v>61.6</v>
      </c>
      <c r="L2292">
        <v>62.3</v>
      </c>
      <c r="M2292">
        <v>70.64</v>
      </c>
      <c r="N2292">
        <v>2</v>
      </c>
      <c r="O2292">
        <v>1</v>
      </c>
      <c r="P2292">
        <f>MOD(DAY(datos_siembra[[#This Row],[Date]]),7)</f>
        <v>2</v>
      </c>
      <c r="Q2292" t="str">
        <f>CHOOSE(WEEKDAY(datos_siembra[[#This Row],[Date]],2),"L","M","X","J","V","S","D")</f>
        <v>X</v>
      </c>
      <c r="R2292">
        <f>WEEKNUM(datos_siembra[[#This Row],[Date]],2)-WEEKNUM(DATE(YEAR(datos_siembra[[#This Row],[Date]]),MONTH(datos_siembra[[#This Row],[Date]]),1))+1</f>
        <v>1</v>
      </c>
      <c r="S2292">
        <f>MONTH(datos_siembra[[#This Row],[Date]])</f>
        <v>10</v>
      </c>
      <c r="T2292" t="str" cm="1">
        <f t="array" ref="T2292">_xlfn.IFS(AND(N2292&lt;= 22, S2292=9), "SOWING",AND(N2292&lt;= 28, S2292=9), "COVERAGE",AND(N2292&lt;= 30, S2292=9), "FLUSH",AND(N2292&lt;= 11, S2292=10), "FLUSH",AND(N2292&lt;= 21, S2292=10), "PRODUCTION")</f>
        <v>FLUSH</v>
      </c>
      <c r="U2292">
        <f>HOUR(datos_siembra[[#This Row],[Hour]])</f>
        <v>16</v>
      </c>
      <c r="V2292" cm="1">
        <f t="array" ref="V2292">_xlfn.IFS(AND(N2292&lt;= 22, S2292=9), N2292-7,AND(N2292&lt;= 28, S2292=9), N2292-25,AND(N2292&lt;= 30, S2292=9), N2292-28,AND(N2292&lt;= 11, S2292=10), N2292+2,AND(N2292&lt;= 21, S2292=10), N2292-11)</f>
        <v>4</v>
      </c>
    </row>
    <row r="2293" spans="1:22" x14ac:dyDescent="0.35">
      <c r="A2293" s="4">
        <v>45567</v>
      </c>
      <c r="B2293" s="5">
        <v>0.69925925925925925</v>
      </c>
      <c r="C2293">
        <v>73</v>
      </c>
      <c r="D2293">
        <v>70.3</v>
      </c>
      <c r="E2293">
        <v>70.7</v>
      </c>
      <c r="F2293">
        <v>68.7</v>
      </c>
      <c r="G2293">
        <v>0</v>
      </c>
      <c r="H2293">
        <v>0</v>
      </c>
      <c r="I2293">
        <v>0</v>
      </c>
      <c r="J2293">
        <v>0</v>
      </c>
      <c r="K2293">
        <v>61.9</v>
      </c>
      <c r="L2293">
        <v>62.5</v>
      </c>
      <c r="M2293">
        <v>70.64</v>
      </c>
      <c r="N2293">
        <v>2</v>
      </c>
      <c r="O2293">
        <v>1</v>
      </c>
      <c r="P2293">
        <f>MOD(DAY(datos_siembra[[#This Row],[Date]]),7)</f>
        <v>2</v>
      </c>
      <c r="Q2293" t="str">
        <f>CHOOSE(WEEKDAY(datos_siembra[[#This Row],[Date]],2),"L","M","X","J","V","S","D")</f>
        <v>X</v>
      </c>
      <c r="R2293">
        <f>WEEKNUM(datos_siembra[[#This Row],[Date]],2)-WEEKNUM(DATE(YEAR(datos_siembra[[#This Row],[Date]]),MONTH(datos_siembra[[#This Row],[Date]]),1))+1</f>
        <v>1</v>
      </c>
      <c r="S2293">
        <f>MONTH(datos_siembra[[#This Row],[Date]])</f>
        <v>10</v>
      </c>
      <c r="T2293" t="str" cm="1">
        <f t="array" ref="T2293">_xlfn.IFS(AND(N2293&lt;= 22, S2293=9), "SOWING",AND(N2293&lt;= 28, S2293=9), "COVERAGE",AND(N2293&lt;= 30, S2293=9), "FLUSH",AND(N2293&lt;= 11, S2293=10), "FLUSH",AND(N2293&lt;= 21, S2293=10), "PRODUCTION")</f>
        <v>FLUSH</v>
      </c>
      <c r="U2293">
        <f>HOUR(datos_siembra[[#This Row],[Hour]])</f>
        <v>16</v>
      </c>
      <c r="V2293" cm="1">
        <f t="array" ref="V2293">_xlfn.IFS(AND(N2293&lt;= 22, S2293=9), N2293-7,AND(N2293&lt;= 28, S2293=9), N2293-25,AND(N2293&lt;= 30, S2293=9), N2293-28,AND(N2293&lt;= 11, S2293=10), N2293+2,AND(N2293&lt;= 21, S2293=10), N2293-11)</f>
        <v>4</v>
      </c>
    </row>
    <row r="2294" spans="1:22" x14ac:dyDescent="0.35">
      <c r="A2294" s="4">
        <v>45567</v>
      </c>
      <c r="B2294" s="5">
        <v>0.70620370370370367</v>
      </c>
      <c r="C2294">
        <v>73</v>
      </c>
      <c r="D2294">
        <v>70.3</v>
      </c>
      <c r="E2294">
        <v>70.7</v>
      </c>
      <c r="F2294">
        <v>68.599999999999994</v>
      </c>
      <c r="G2294">
        <v>0</v>
      </c>
      <c r="H2294">
        <v>0</v>
      </c>
      <c r="I2294">
        <v>0</v>
      </c>
      <c r="J2294">
        <v>0</v>
      </c>
      <c r="K2294">
        <v>62.7</v>
      </c>
      <c r="L2294">
        <v>63</v>
      </c>
      <c r="M2294">
        <v>70.59</v>
      </c>
      <c r="N2294">
        <v>2</v>
      </c>
      <c r="O2294">
        <v>1</v>
      </c>
      <c r="P2294">
        <f>MOD(DAY(datos_siembra[[#This Row],[Date]]),7)</f>
        <v>2</v>
      </c>
      <c r="Q2294" t="str">
        <f>CHOOSE(WEEKDAY(datos_siembra[[#This Row],[Date]],2),"L","M","X","J","V","S","D")</f>
        <v>X</v>
      </c>
      <c r="R2294">
        <f>WEEKNUM(datos_siembra[[#This Row],[Date]],2)-WEEKNUM(DATE(YEAR(datos_siembra[[#This Row],[Date]]),MONTH(datos_siembra[[#This Row],[Date]]),1))+1</f>
        <v>1</v>
      </c>
      <c r="S2294">
        <f>MONTH(datos_siembra[[#This Row],[Date]])</f>
        <v>10</v>
      </c>
      <c r="T2294" t="str" cm="1">
        <f t="array" ref="T2294">_xlfn.IFS(AND(N2294&lt;= 22, S2294=9), "SOWING",AND(N2294&lt;= 28, S2294=9), "COVERAGE",AND(N2294&lt;= 30, S2294=9), "FLUSH",AND(N2294&lt;= 11, S2294=10), "FLUSH",AND(N2294&lt;= 21, S2294=10), "PRODUCTION")</f>
        <v>FLUSH</v>
      </c>
      <c r="U2294">
        <f>HOUR(datos_siembra[[#This Row],[Hour]])</f>
        <v>16</v>
      </c>
      <c r="V2294" cm="1">
        <f t="array" ref="V2294">_xlfn.IFS(AND(N2294&lt;= 22, S2294=9), N2294-7,AND(N2294&lt;= 28, S2294=9), N2294-25,AND(N2294&lt;= 30, S2294=9), N2294-28,AND(N2294&lt;= 11, S2294=10), N2294+2,AND(N2294&lt;= 21, S2294=10), N2294-11)</f>
        <v>4</v>
      </c>
    </row>
    <row r="2295" spans="1:22" x14ac:dyDescent="0.35">
      <c r="A2295" s="4">
        <v>45567</v>
      </c>
      <c r="B2295" s="5">
        <v>0.7131481481481482</v>
      </c>
      <c r="C2295">
        <v>72.8</v>
      </c>
      <c r="D2295">
        <v>70.400000000000006</v>
      </c>
      <c r="E2295">
        <v>70.7</v>
      </c>
      <c r="F2295">
        <v>68.599999999999994</v>
      </c>
      <c r="G2295">
        <v>0</v>
      </c>
      <c r="H2295">
        <v>0</v>
      </c>
      <c r="I2295">
        <v>0</v>
      </c>
      <c r="J2295">
        <v>0</v>
      </c>
      <c r="K2295">
        <v>63</v>
      </c>
      <c r="L2295">
        <v>63.4</v>
      </c>
      <c r="M2295">
        <v>70.59</v>
      </c>
      <c r="N2295">
        <v>2</v>
      </c>
      <c r="O2295">
        <v>1</v>
      </c>
      <c r="P2295">
        <f>MOD(DAY(datos_siembra[[#This Row],[Date]]),7)</f>
        <v>2</v>
      </c>
      <c r="Q2295" t="str">
        <f>CHOOSE(WEEKDAY(datos_siembra[[#This Row],[Date]],2),"L","M","X","J","V","S","D")</f>
        <v>X</v>
      </c>
      <c r="R2295">
        <f>WEEKNUM(datos_siembra[[#This Row],[Date]],2)-WEEKNUM(DATE(YEAR(datos_siembra[[#This Row],[Date]]),MONTH(datos_siembra[[#This Row],[Date]]),1))+1</f>
        <v>1</v>
      </c>
      <c r="S2295">
        <f>MONTH(datos_siembra[[#This Row],[Date]])</f>
        <v>10</v>
      </c>
      <c r="T2295" t="str" cm="1">
        <f t="array" ref="T2295">_xlfn.IFS(AND(N2295&lt;= 22, S2295=9), "SOWING",AND(N2295&lt;= 28, S2295=9), "COVERAGE",AND(N2295&lt;= 30, S2295=9), "FLUSH",AND(N2295&lt;= 11, S2295=10), "FLUSH",AND(N2295&lt;= 21, S2295=10), "PRODUCTION")</f>
        <v>FLUSH</v>
      </c>
      <c r="U2295">
        <f>HOUR(datos_siembra[[#This Row],[Hour]])</f>
        <v>17</v>
      </c>
      <c r="V2295" cm="1">
        <f t="array" ref="V2295">_xlfn.IFS(AND(N2295&lt;= 22, S2295=9), N2295-7,AND(N2295&lt;= 28, S2295=9), N2295-25,AND(N2295&lt;= 30, S2295=9), N2295-28,AND(N2295&lt;= 11, S2295=10), N2295+2,AND(N2295&lt;= 21, S2295=10), N2295-11)</f>
        <v>4</v>
      </c>
    </row>
    <row r="2296" spans="1:22" x14ac:dyDescent="0.35">
      <c r="A2296" s="4">
        <v>45567</v>
      </c>
      <c r="B2296" s="5">
        <v>0.72010416666666666</v>
      </c>
      <c r="C2296">
        <v>72.8</v>
      </c>
      <c r="D2296">
        <v>70.3</v>
      </c>
      <c r="E2296">
        <v>70.7</v>
      </c>
      <c r="F2296">
        <v>68.599999999999994</v>
      </c>
      <c r="G2296">
        <v>0</v>
      </c>
      <c r="H2296">
        <v>0</v>
      </c>
      <c r="I2296">
        <v>0</v>
      </c>
      <c r="J2296">
        <v>0</v>
      </c>
      <c r="K2296">
        <v>63.2</v>
      </c>
      <c r="L2296">
        <v>63.5</v>
      </c>
      <c r="M2296">
        <v>70.59</v>
      </c>
      <c r="N2296">
        <v>2</v>
      </c>
      <c r="O2296">
        <v>1</v>
      </c>
      <c r="P2296">
        <f>MOD(DAY(datos_siembra[[#This Row],[Date]]),7)</f>
        <v>2</v>
      </c>
      <c r="Q2296" t="str">
        <f>CHOOSE(WEEKDAY(datos_siembra[[#This Row],[Date]],2),"L","M","X","J","V","S","D")</f>
        <v>X</v>
      </c>
      <c r="R2296">
        <f>WEEKNUM(datos_siembra[[#This Row],[Date]],2)-WEEKNUM(DATE(YEAR(datos_siembra[[#This Row],[Date]]),MONTH(datos_siembra[[#This Row],[Date]]),1))+1</f>
        <v>1</v>
      </c>
      <c r="S2296">
        <f>MONTH(datos_siembra[[#This Row],[Date]])</f>
        <v>10</v>
      </c>
      <c r="T2296" t="str" cm="1">
        <f t="array" ref="T2296">_xlfn.IFS(AND(N2296&lt;= 22, S2296=9), "SOWING",AND(N2296&lt;= 28, S2296=9), "COVERAGE",AND(N2296&lt;= 30, S2296=9), "FLUSH",AND(N2296&lt;= 11, S2296=10), "FLUSH",AND(N2296&lt;= 21, S2296=10), "PRODUCTION")</f>
        <v>FLUSH</v>
      </c>
      <c r="U2296">
        <f>HOUR(datos_siembra[[#This Row],[Hour]])</f>
        <v>17</v>
      </c>
      <c r="V2296" cm="1">
        <f t="array" ref="V2296">_xlfn.IFS(AND(N2296&lt;= 22, S2296=9), N2296-7,AND(N2296&lt;= 28, S2296=9), N2296-25,AND(N2296&lt;= 30, S2296=9), N2296-28,AND(N2296&lt;= 11, S2296=10), N2296+2,AND(N2296&lt;= 21, S2296=10), N2296-11)</f>
        <v>4</v>
      </c>
    </row>
    <row r="2297" spans="1:22" x14ac:dyDescent="0.35">
      <c r="A2297" s="4">
        <v>45567</v>
      </c>
      <c r="B2297" s="5">
        <v>0.72704861111111108</v>
      </c>
      <c r="C2297">
        <v>72.8</v>
      </c>
      <c r="D2297">
        <v>70.099999999999994</v>
      </c>
      <c r="E2297">
        <v>70.7</v>
      </c>
      <c r="F2297">
        <v>68.5</v>
      </c>
      <c r="G2297">
        <v>0</v>
      </c>
      <c r="H2297">
        <v>0</v>
      </c>
      <c r="I2297">
        <v>0</v>
      </c>
      <c r="J2297">
        <v>0</v>
      </c>
      <c r="K2297">
        <v>63.4</v>
      </c>
      <c r="L2297">
        <v>63.6</v>
      </c>
      <c r="M2297">
        <v>70.53</v>
      </c>
      <c r="N2297">
        <v>2</v>
      </c>
      <c r="O2297">
        <v>1</v>
      </c>
      <c r="P2297">
        <f>MOD(DAY(datos_siembra[[#This Row],[Date]]),7)</f>
        <v>2</v>
      </c>
      <c r="Q2297" t="str">
        <f>CHOOSE(WEEKDAY(datos_siembra[[#This Row],[Date]],2),"L","M","X","J","V","S","D")</f>
        <v>X</v>
      </c>
      <c r="R2297">
        <f>WEEKNUM(datos_siembra[[#This Row],[Date]],2)-WEEKNUM(DATE(YEAR(datos_siembra[[#This Row],[Date]]),MONTH(datos_siembra[[#This Row],[Date]]),1))+1</f>
        <v>1</v>
      </c>
      <c r="S2297">
        <f>MONTH(datos_siembra[[#This Row],[Date]])</f>
        <v>10</v>
      </c>
      <c r="T2297" t="str" cm="1">
        <f t="array" ref="T2297">_xlfn.IFS(AND(N2297&lt;= 22, S2297=9), "SOWING",AND(N2297&lt;= 28, S2297=9), "COVERAGE",AND(N2297&lt;= 30, S2297=9), "FLUSH",AND(N2297&lt;= 11, S2297=10), "FLUSH",AND(N2297&lt;= 21, S2297=10), "PRODUCTION")</f>
        <v>FLUSH</v>
      </c>
      <c r="U2297">
        <f>HOUR(datos_siembra[[#This Row],[Hour]])</f>
        <v>17</v>
      </c>
      <c r="V2297" cm="1">
        <f t="array" ref="V2297">_xlfn.IFS(AND(N2297&lt;= 22, S2297=9), N2297-7,AND(N2297&lt;= 28, S2297=9), N2297-25,AND(N2297&lt;= 30, S2297=9), N2297-28,AND(N2297&lt;= 11, S2297=10), N2297+2,AND(N2297&lt;= 21, S2297=10), N2297-11)</f>
        <v>4</v>
      </c>
    </row>
    <row r="2298" spans="1:22" x14ac:dyDescent="0.35">
      <c r="A2298" s="4">
        <v>45567</v>
      </c>
      <c r="B2298" s="5">
        <v>0.73399305555555561</v>
      </c>
      <c r="C2298">
        <v>72.8</v>
      </c>
      <c r="D2298">
        <v>70.099999999999994</v>
      </c>
      <c r="E2298">
        <v>70.7</v>
      </c>
      <c r="F2298">
        <v>68.5</v>
      </c>
      <c r="G2298">
        <v>0</v>
      </c>
      <c r="H2298">
        <v>0</v>
      </c>
      <c r="I2298">
        <v>0</v>
      </c>
      <c r="J2298">
        <v>0</v>
      </c>
      <c r="K2298">
        <v>63.4</v>
      </c>
      <c r="L2298">
        <v>63.7</v>
      </c>
      <c r="M2298">
        <v>70.53</v>
      </c>
      <c r="N2298">
        <v>2</v>
      </c>
      <c r="O2298">
        <v>1</v>
      </c>
      <c r="P2298">
        <f>MOD(DAY(datos_siembra[[#This Row],[Date]]),7)</f>
        <v>2</v>
      </c>
      <c r="Q2298" t="str">
        <f>CHOOSE(WEEKDAY(datos_siembra[[#This Row],[Date]],2),"L","M","X","J","V","S","D")</f>
        <v>X</v>
      </c>
      <c r="R2298">
        <f>WEEKNUM(datos_siembra[[#This Row],[Date]],2)-WEEKNUM(DATE(YEAR(datos_siembra[[#This Row],[Date]]),MONTH(datos_siembra[[#This Row],[Date]]),1))+1</f>
        <v>1</v>
      </c>
      <c r="S2298">
        <f>MONTH(datos_siembra[[#This Row],[Date]])</f>
        <v>10</v>
      </c>
      <c r="T2298" t="str" cm="1">
        <f t="array" ref="T2298">_xlfn.IFS(AND(N2298&lt;= 22, S2298=9), "SOWING",AND(N2298&lt;= 28, S2298=9), "COVERAGE",AND(N2298&lt;= 30, S2298=9), "FLUSH",AND(N2298&lt;= 11, S2298=10), "FLUSH",AND(N2298&lt;= 21, S2298=10), "PRODUCTION")</f>
        <v>FLUSH</v>
      </c>
      <c r="U2298">
        <f>HOUR(datos_siembra[[#This Row],[Hour]])</f>
        <v>17</v>
      </c>
      <c r="V2298" cm="1">
        <f t="array" ref="V2298">_xlfn.IFS(AND(N2298&lt;= 22, S2298=9), N2298-7,AND(N2298&lt;= 28, S2298=9), N2298-25,AND(N2298&lt;= 30, S2298=9), N2298-28,AND(N2298&lt;= 11, S2298=10), N2298+2,AND(N2298&lt;= 21, S2298=10), N2298-11)</f>
        <v>4</v>
      </c>
    </row>
    <row r="2299" spans="1:22" x14ac:dyDescent="0.35">
      <c r="A2299" s="4">
        <v>45567</v>
      </c>
      <c r="B2299" s="5">
        <v>0.74094907407407407</v>
      </c>
      <c r="C2299">
        <v>72.599999999999994</v>
      </c>
      <c r="D2299">
        <v>70.099999999999994</v>
      </c>
      <c r="E2299">
        <v>70.599999999999994</v>
      </c>
      <c r="F2299">
        <v>68.5</v>
      </c>
      <c r="G2299">
        <v>0</v>
      </c>
      <c r="H2299">
        <v>0</v>
      </c>
      <c r="I2299">
        <v>0</v>
      </c>
      <c r="J2299">
        <v>0</v>
      </c>
      <c r="K2299">
        <v>63.4</v>
      </c>
      <c r="L2299">
        <v>63.7</v>
      </c>
      <c r="M2299">
        <v>70.5</v>
      </c>
      <c r="N2299">
        <v>2</v>
      </c>
      <c r="O2299">
        <v>1</v>
      </c>
      <c r="P2299">
        <f>MOD(DAY(datos_siembra[[#This Row],[Date]]),7)</f>
        <v>2</v>
      </c>
      <c r="Q2299" t="str">
        <f>CHOOSE(WEEKDAY(datos_siembra[[#This Row],[Date]],2),"L","M","X","J","V","S","D")</f>
        <v>X</v>
      </c>
      <c r="R2299">
        <f>WEEKNUM(datos_siembra[[#This Row],[Date]],2)-WEEKNUM(DATE(YEAR(datos_siembra[[#This Row],[Date]]),MONTH(datos_siembra[[#This Row],[Date]]),1))+1</f>
        <v>1</v>
      </c>
      <c r="S2299">
        <f>MONTH(datos_siembra[[#This Row],[Date]])</f>
        <v>10</v>
      </c>
      <c r="T2299" t="str" cm="1">
        <f t="array" ref="T2299">_xlfn.IFS(AND(N2299&lt;= 22, S2299=9), "SOWING",AND(N2299&lt;= 28, S2299=9), "COVERAGE",AND(N2299&lt;= 30, S2299=9), "FLUSH",AND(N2299&lt;= 11, S2299=10), "FLUSH",AND(N2299&lt;= 21, S2299=10), "PRODUCTION")</f>
        <v>FLUSH</v>
      </c>
      <c r="U2299">
        <f>HOUR(datos_siembra[[#This Row],[Hour]])</f>
        <v>17</v>
      </c>
      <c r="V2299" cm="1">
        <f t="array" ref="V2299">_xlfn.IFS(AND(N2299&lt;= 22, S2299=9), N2299-7,AND(N2299&lt;= 28, S2299=9), N2299-25,AND(N2299&lt;= 30, S2299=9), N2299-28,AND(N2299&lt;= 11, S2299=10), N2299+2,AND(N2299&lt;= 21, S2299=10), N2299-11)</f>
        <v>4</v>
      </c>
    </row>
    <row r="2300" spans="1:22" x14ac:dyDescent="0.35">
      <c r="A2300" s="4">
        <v>45567</v>
      </c>
      <c r="B2300" s="5">
        <v>0.74789351851851849</v>
      </c>
      <c r="C2300">
        <v>72.7</v>
      </c>
      <c r="D2300">
        <v>70.3</v>
      </c>
      <c r="E2300">
        <v>70.599999999999994</v>
      </c>
      <c r="F2300">
        <v>68.5</v>
      </c>
      <c r="G2300">
        <v>0</v>
      </c>
      <c r="H2300">
        <v>0</v>
      </c>
      <c r="I2300">
        <v>0</v>
      </c>
      <c r="J2300">
        <v>0</v>
      </c>
      <c r="K2300">
        <v>63.3</v>
      </c>
      <c r="L2300">
        <v>63.8</v>
      </c>
      <c r="M2300">
        <v>70.47</v>
      </c>
      <c r="N2300">
        <v>2</v>
      </c>
      <c r="O2300">
        <v>1</v>
      </c>
      <c r="P2300">
        <f>MOD(DAY(datos_siembra[[#This Row],[Date]]),7)</f>
        <v>2</v>
      </c>
      <c r="Q2300" t="str">
        <f>CHOOSE(WEEKDAY(datos_siembra[[#This Row],[Date]],2),"L","M","X","J","V","S","D")</f>
        <v>X</v>
      </c>
      <c r="R2300">
        <f>WEEKNUM(datos_siembra[[#This Row],[Date]],2)-WEEKNUM(DATE(YEAR(datos_siembra[[#This Row],[Date]]),MONTH(datos_siembra[[#This Row],[Date]]),1))+1</f>
        <v>1</v>
      </c>
      <c r="S2300">
        <f>MONTH(datos_siembra[[#This Row],[Date]])</f>
        <v>10</v>
      </c>
      <c r="T2300" t="str" cm="1">
        <f t="array" ref="T2300">_xlfn.IFS(AND(N2300&lt;= 22, S2300=9), "SOWING",AND(N2300&lt;= 28, S2300=9), "COVERAGE",AND(N2300&lt;= 30, S2300=9), "FLUSH",AND(N2300&lt;= 11, S2300=10), "FLUSH",AND(N2300&lt;= 21, S2300=10), "PRODUCTION")</f>
        <v>FLUSH</v>
      </c>
      <c r="U2300">
        <f>HOUR(datos_siembra[[#This Row],[Hour]])</f>
        <v>17</v>
      </c>
      <c r="V2300" cm="1">
        <f t="array" ref="V2300">_xlfn.IFS(AND(N2300&lt;= 22, S2300=9), N2300-7,AND(N2300&lt;= 28, S2300=9), N2300-25,AND(N2300&lt;= 30, S2300=9), N2300-28,AND(N2300&lt;= 11, S2300=10), N2300+2,AND(N2300&lt;= 21, S2300=10), N2300-11)</f>
        <v>4</v>
      </c>
    </row>
    <row r="2301" spans="1:22" x14ac:dyDescent="0.35">
      <c r="A2301" s="4">
        <v>45567</v>
      </c>
      <c r="B2301" s="5">
        <v>0.75483796296296302</v>
      </c>
      <c r="C2301">
        <v>72.599999999999994</v>
      </c>
      <c r="D2301">
        <v>70.3</v>
      </c>
      <c r="E2301">
        <v>70.7</v>
      </c>
      <c r="F2301">
        <v>68.5</v>
      </c>
      <c r="G2301">
        <v>0</v>
      </c>
      <c r="H2301">
        <v>0</v>
      </c>
      <c r="I2301">
        <v>0</v>
      </c>
      <c r="J2301">
        <v>0</v>
      </c>
      <c r="K2301">
        <v>62.6</v>
      </c>
      <c r="L2301">
        <v>63.3</v>
      </c>
      <c r="M2301">
        <v>70.5</v>
      </c>
      <c r="N2301">
        <v>2</v>
      </c>
      <c r="O2301">
        <v>1</v>
      </c>
      <c r="P2301">
        <f>MOD(DAY(datos_siembra[[#This Row],[Date]]),7)</f>
        <v>2</v>
      </c>
      <c r="Q2301" t="str">
        <f>CHOOSE(WEEKDAY(datos_siembra[[#This Row],[Date]],2),"L","M","X","J","V","S","D")</f>
        <v>X</v>
      </c>
      <c r="R2301">
        <f>WEEKNUM(datos_siembra[[#This Row],[Date]],2)-WEEKNUM(DATE(YEAR(datos_siembra[[#This Row],[Date]]),MONTH(datos_siembra[[#This Row],[Date]]),1))+1</f>
        <v>1</v>
      </c>
      <c r="S2301">
        <f>MONTH(datos_siembra[[#This Row],[Date]])</f>
        <v>10</v>
      </c>
      <c r="T2301" t="str" cm="1">
        <f t="array" ref="T2301">_xlfn.IFS(AND(N2301&lt;= 22, S2301=9), "SOWING",AND(N2301&lt;= 28, S2301=9), "COVERAGE",AND(N2301&lt;= 30, S2301=9), "FLUSH",AND(N2301&lt;= 11, S2301=10), "FLUSH",AND(N2301&lt;= 21, S2301=10), "PRODUCTION")</f>
        <v>FLUSH</v>
      </c>
      <c r="U2301">
        <f>HOUR(datos_siembra[[#This Row],[Hour]])</f>
        <v>18</v>
      </c>
      <c r="V2301" cm="1">
        <f t="array" ref="V2301">_xlfn.IFS(AND(N2301&lt;= 22, S2301=9), N2301-7,AND(N2301&lt;= 28, S2301=9), N2301-25,AND(N2301&lt;= 30, S2301=9), N2301-28,AND(N2301&lt;= 11, S2301=10), N2301+2,AND(N2301&lt;= 21, S2301=10), N2301-11)</f>
        <v>4</v>
      </c>
    </row>
    <row r="2302" spans="1:22" x14ac:dyDescent="0.35">
      <c r="A2302" s="4">
        <v>45567</v>
      </c>
      <c r="B2302" s="5">
        <v>0.76178240740740744</v>
      </c>
      <c r="C2302">
        <v>72.599999999999994</v>
      </c>
      <c r="D2302">
        <v>70.099999999999994</v>
      </c>
      <c r="E2302">
        <v>70.5</v>
      </c>
      <c r="F2302">
        <v>68.2</v>
      </c>
      <c r="G2302">
        <v>0</v>
      </c>
      <c r="H2302">
        <v>0</v>
      </c>
      <c r="I2302">
        <v>0</v>
      </c>
      <c r="J2302">
        <v>0</v>
      </c>
      <c r="K2302">
        <v>62.2</v>
      </c>
      <c r="L2302">
        <v>62.8</v>
      </c>
      <c r="M2302">
        <v>70.36</v>
      </c>
      <c r="N2302">
        <v>2</v>
      </c>
      <c r="O2302">
        <v>1</v>
      </c>
      <c r="P2302">
        <f>MOD(DAY(datos_siembra[[#This Row],[Date]]),7)</f>
        <v>2</v>
      </c>
      <c r="Q2302" t="str">
        <f>CHOOSE(WEEKDAY(datos_siembra[[#This Row],[Date]],2),"L","M","X","J","V","S","D")</f>
        <v>X</v>
      </c>
      <c r="R2302">
        <f>WEEKNUM(datos_siembra[[#This Row],[Date]],2)-WEEKNUM(DATE(YEAR(datos_siembra[[#This Row],[Date]]),MONTH(datos_siembra[[#This Row],[Date]]),1))+1</f>
        <v>1</v>
      </c>
      <c r="S2302">
        <f>MONTH(datos_siembra[[#This Row],[Date]])</f>
        <v>10</v>
      </c>
      <c r="T2302" t="str" cm="1">
        <f t="array" ref="T2302">_xlfn.IFS(AND(N2302&lt;= 22, S2302=9), "SOWING",AND(N2302&lt;= 28, S2302=9), "COVERAGE",AND(N2302&lt;= 30, S2302=9), "FLUSH",AND(N2302&lt;= 11, S2302=10), "FLUSH",AND(N2302&lt;= 21, S2302=10), "PRODUCTION")</f>
        <v>FLUSH</v>
      </c>
      <c r="U2302">
        <f>HOUR(datos_siembra[[#This Row],[Hour]])</f>
        <v>18</v>
      </c>
      <c r="V2302" cm="1">
        <f t="array" ref="V2302">_xlfn.IFS(AND(N2302&lt;= 22, S2302=9), N2302-7,AND(N2302&lt;= 28, S2302=9), N2302-25,AND(N2302&lt;= 30, S2302=9), N2302-28,AND(N2302&lt;= 11, S2302=10), N2302+2,AND(N2302&lt;= 21, S2302=10), N2302-11)</f>
        <v>4</v>
      </c>
    </row>
    <row r="2303" spans="1:22" x14ac:dyDescent="0.35">
      <c r="A2303" s="4">
        <v>45567</v>
      </c>
      <c r="B2303" s="5">
        <v>0.76873842592592589</v>
      </c>
      <c r="C2303">
        <v>72.7</v>
      </c>
      <c r="D2303">
        <v>70.3</v>
      </c>
      <c r="E2303">
        <v>70.5</v>
      </c>
      <c r="F2303">
        <v>68.3</v>
      </c>
      <c r="G2303">
        <v>0</v>
      </c>
      <c r="H2303">
        <v>0</v>
      </c>
      <c r="I2303">
        <v>0</v>
      </c>
      <c r="J2303">
        <v>0</v>
      </c>
      <c r="K2303">
        <v>61.9</v>
      </c>
      <c r="L2303">
        <v>62.4</v>
      </c>
      <c r="M2303">
        <v>70.42</v>
      </c>
      <c r="N2303">
        <v>2</v>
      </c>
      <c r="O2303">
        <v>1</v>
      </c>
      <c r="P2303">
        <f>MOD(DAY(datos_siembra[[#This Row],[Date]]),7)</f>
        <v>2</v>
      </c>
      <c r="Q2303" t="str">
        <f>CHOOSE(WEEKDAY(datos_siembra[[#This Row],[Date]],2),"L","M","X","J","V","S","D")</f>
        <v>X</v>
      </c>
      <c r="R2303">
        <f>WEEKNUM(datos_siembra[[#This Row],[Date]],2)-WEEKNUM(DATE(YEAR(datos_siembra[[#This Row],[Date]]),MONTH(datos_siembra[[#This Row],[Date]]),1))+1</f>
        <v>1</v>
      </c>
      <c r="S2303">
        <f>MONTH(datos_siembra[[#This Row],[Date]])</f>
        <v>10</v>
      </c>
      <c r="T2303" t="str" cm="1">
        <f t="array" ref="T2303">_xlfn.IFS(AND(N2303&lt;= 22, S2303=9), "SOWING",AND(N2303&lt;= 28, S2303=9), "COVERAGE",AND(N2303&lt;= 30, S2303=9), "FLUSH",AND(N2303&lt;= 11, S2303=10), "FLUSH",AND(N2303&lt;= 21, S2303=10), "PRODUCTION")</f>
        <v>FLUSH</v>
      </c>
      <c r="U2303">
        <f>HOUR(datos_siembra[[#This Row],[Hour]])</f>
        <v>18</v>
      </c>
      <c r="V2303" cm="1">
        <f t="array" ref="V2303">_xlfn.IFS(AND(N2303&lt;= 22, S2303=9), N2303-7,AND(N2303&lt;= 28, S2303=9), N2303-25,AND(N2303&lt;= 30, S2303=9), N2303-28,AND(N2303&lt;= 11, S2303=10), N2303+2,AND(N2303&lt;= 21, S2303=10), N2303-11)</f>
        <v>4</v>
      </c>
    </row>
    <row r="2304" spans="1:22" x14ac:dyDescent="0.35">
      <c r="A2304" s="4">
        <v>45567</v>
      </c>
      <c r="B2304" s="5">
        <v>0.77568287037037043</v>
      </c>
      <c r="C2304">
        <v>72.599999999999994</v>
      </c>
      <c r="D2304">
        <v>70.5</v>
      </c>
      <c r="E2304">
        <v>70.5</v>
      </c>
      <c r="F2304">
        <v>68.3</v>
      </c>
      <c r="G2304">
        <v>0</v>
      </c>
      <c r="H2304">
        <v>0</v>
      </c>
      <c r="I2304">
        <v>0</v>
      </c>
      <c r="J2304">
        <v>0</v>
      </c>
      <c r="K2304">
        <v>61.6</v>
      </c>
      <c r="L2304">
        <v>62.5</v>
      </c>
      <c r="M2304">
        <v>70.39</v>
      </c>
      <c r="N2304">
        <v>2</v>
      </c>
      <c r="O2304">
        <v>1</v>
      </c>
      <c r="P2304">
        <f>MOD(DAY(datos_siembra[[#This Row],[Date]]),7)</f>
        <v>2</v>
      </c>
      <c r="Q2304" t="str">
        <f>CHOOSE(WEEKDAY(datos_siembra[[#This Row],[Date]],2),"L","M","X","J","V","S","D")</f>
        <v>X</v>
      </c>
      <c r="R2304">
        <f>WEEKNUM(datos_siembra[[#This Row],[Date]],2)-WEEKNUM(DATE(YEAR(datos_siembra[[#This Row],[Date]]),MONTH(datos_siembra[[#This Row],[Date]]),1))+1</f>
        <v>1</v>
      </c>
      <c r="S2304">
        <f>MONTH(datos_siembra[[#This Row],[Date]])</f>
        <v>10</v>
      </c>
      <c r="T2304" t="str" cm="1">
        <f t="array" ref="T2304">_xlfn.IFS(AND(N2304&lt;= 22, S2304=9), "SOWING",AND(N2304&lt;= 28, S2304=9), "COVERAGE",AND(N2304&lt;= 30, S2304=9), "FLUSH",AND(N2304&lt;= 11, S2304=10), "FLUSH",AND(N2304&lt;= 21, S2304=10), "PRODUCTION")</f>
        <v>FLUSH</v>
      </c>
      <c r="U2304">
        <f>HOUR(datos_siembra[[#This Row],[Hour]])</f>
        <v>18</v>
      </c>
      <c r="V2304" cm="1">
        <f t="array" ref="V2304">_xlfn.IFS(AND(N2304&lt;= 22, S2304=9), N2304-7,AND(N2304&lt;= 28, S2304=9), N2304-25,AND(N2304&lt;= 30, S2304=9), N2304-28,AND(N2304&lt;= 11, S2304=10), N2304+2,AND(N2304&lt;= 21, S2304=10), N2304-11)</f>
        <v>4</v>
      </c>
    </row>
    <row r="2305" spans="1:22" x14ac:dyDescent="0.35">
      <c r="A2305" s="4">
        <v>45567</v>
      </c>
      <c r="B2305" s="5">
        <v>0.78262731481481485</v>
      </c>
      <c r="C2305">
        <v>72.599999999999994</v>
      </c>
      <c r="D2305">
        <v>70.5</v>
      </c>
      <c r="E2305">
        <v>70.5</v>
      </c>
      <c r="F2305">
        <v>68.3</v>
      </c>
      <c r="G2305">
        <v>0</v>
      </c>
      <c r="H2305">
        <v>0</v>
      </c>
      <c r="I2305">
        <v>0</v>
      </c>
      <c r="J2305">
        <v>0</v>
      </c>
      <c r="K2305">
        <v>61.5</v>
      </c>
      <c r="L2305">
        <v>62.3</v>
      </c>
      <c r="M2305">
        <v>70.42</v>
      </c>
      <c r="N2305">
        <v>2</v>
      </c>
      <c r="O2305">
        <v>1</v>
      </c>
      <c r="P2305">
        <f>MOD(DAY(datos_siembra[[#This Row],[Date]]),7)</f>
        <v>2</v>
      </c>
      <c r="Q2305" t="str">
        <f>CHOOSE(WEEKDAY(datos_siembra[[#This Row],[Date]],2),"L","M","X","J","V","S","D")</f>
        <v>X</v>
      </c>
      <c r="R2305">
        <f>WEEKNUM(datos_siembra[[#This Row],[Date]],2)-WEEKNUM(DATE(YEAR(datos_siembra[[#This Row],[Date]]),MONTH(datos_siembra[[#This Row],[Date]]),1))+1</f>
        <v>1</v>
      </c>
      <c r="S2305">
        <f>MONTH(datos_siembra[[#This Row],[Date]])</f>
        <v>10</v>
      </c>
      <c r="T2305" t="str" cm="1">
        <f t="array" ref="T2305">_xlfn.IFS(AND(N2305&lt;= 22, S2305=9), "SOWING",AND(N2305&lt;= 28, S2305=9), "COVERAGE",AND(N2305&lt;= 30, S2305=9), "FLUSH",AND(N2305&lt;= 11, S2305=10), "FLUSH",AND(N2305&lt;= 21, S2305=10), "PRODUCTION")</f>
        <v>FLUSH</v>
      </c>
      <c r="U2305">
        <f>HOUR(datos_siembra[[#This Row],[Hour]])</f>
        <v>18</v>
      </c>
      <c r="V2305" cm="1">
        <f t="array" ref="V2305">_xlfn.IFS(AND(N2305&lt;= 22, S2305=9), N2305-7,AND(N2305&lt;= 28, S2305=9), N2305-25,AND(N2305&lt;= 30, S2305=9), N2305-28,AND(N2305&lt;= 11, S2305=10), N2305+2,AND(N2305&lt;= 21, S2305=10), N2305-11)</f>
        <v>4</v>
      </c>
    </row>
    <row r="2306" spans="1:22" x14ac:dyDescent="0.35">
      <c r="A2306" s="4">
        <v>45567</v>
      </c>
      <c r="B2306" s="5">
        <v>0.7895833333333333</v>
      </c>
      <c r="C2306">
        <v>72.5</v>
      </c>
      <c r="D2306">
        <v>70.599999999999994</v>
      </c>
      <c r="E2306">
        <v>70.5</v>
      </c>
      <c r="F2306">
        <v>68.2</v>
      </c>
      <c r="G2306">
        <v>0</v>
      </c>
      <c r="H2306">
        <v>0</v>
      </c>
      <c r="I2306">
        <v>0</v>
      </c>
      <c r="J2306">
        <v>0</v>
      </c>
      <c r="K2306">
        <v>61.5</v>
      </c>
      <c r="L2306">
        <v>62.2</v>
      </c>
      <c r="M2306">
        <v>70.39</v>
      </c>
      <c r="N2306">
        <v>2</v>
      </c>
      <c r="O2306">
        <v>1</v>
      </c>
      <c r="P2306">
        <f>MOD(DAY(datos_siembra[[#This Row],[Date]]),7)</f>
        <v>2</v>
      </c>
      <c r="Q2306" t="str">
        <f>CHOOSE(WEEKDAY(datos_siembra[[#This Row],[Date]],2),"L","M","X","J","V","S","D")</f>
        <v>X</v>
      </c>
      <c r="R2306">
        <f>WEEKNUM(datos_siembra[[#This Row],[Date]],2)-WEEKNUM(DATE(YEAR(datos_siembra[[#This Row],[Date]]),MONTH(datos_siembra[[#This Row],[Date]]),1))+1</f>
        <v>1</v>
      </c>
      <c r="S2306">
        <f>MONTH(datos_siembra[[#This Row],[Date]])</f>
        <v>10</v>
      </c>
      <c r="T2306" t="str" cm="1">
        <f t="array" ref="T2306">_xlfn.IFS(AND(N2306&lt;= 22, S2306=9), "SOWING",AND(N2306&lt;= 28, S2306=9), "COVERAGE",AND(N2306&lt;= 30, S2306=9), "FLUSH",AND(N2306&lt;= 11, S2306=10), "FLUSH",AND(N2306&lt;= 21, S2306=10), "PRODUCTION")</f>
        <v>FLUSH</v>
      </c>
      <c r="U2306">
        <f>HOUR(datos_siembra[[#This Row],[Hour]])</f>
        <v>18</v>
      </c>
      <c r="V2306" cm="1">
        <f t="array" ref="V2306">_xlfn.IFS(AND(N2306&lt;= 22, S2306=9), N2306-7,AND(N2306&lt;= 28, S2306=9), N2306-25,AND(N2306&lt;= 30, S2306=9), N2306-28,AND(N2306&lt;= 11, S2306=10), N2306+2,AND(N2306&lt;= 21, S2306=10), N2306-11)</f>
        <v>4</v>
      </c>
    </row>
    <row r="2307" spans="1:22" x14ac:dyDescent="0.35">
      <c r="A2307" s="4">
        <v>45567</v>
      </c>
      <c r="B2307" s="5">
        <v>0.79652777777777772</v>
      </c>
      <c r="C2307">
        <v>72.5</v>
      </c>
      <c r="D2307">
        <v>70.3</v>
      </c>
      <c r="E2307">
        <v>70.5</v>
      </c>
      <c r="F2307">
        <v>68.2</v>
      </c>
      <c r="G2307">
        <v>0</v>
      </c>
      <c r="H2307">
        <v>0</v>
      </c>
      <c r="I2307">
        <v>0</v>
      </c>
      <c r="J2307">
        <v>0</v>
      </c>
      <c r="K2307">
        <v>61.4</v>
      </c>
      <c r="L2307">
        <v>62.2</v>
      </c>
      <c r="M2307">
        <v>70.47</v>
      </c>
      <c r="N2307">
        <v>2</v>
      </c>
      <c r="O2307">
        <v>1</v>
      </c>
      <c r="P2307">
        <f>MOD(DAY(datos_siembra[[#This Row],[Date]]),7)</f>
        <v>2</v>
      </c>
      <c r="Q2307" t="str">
        <f>CHOOSE(WEEKDAY(datos_siembra[[#This Row],[Date]],2),"L","M","X","J","V","S","D")</f>
        <v>X</v>
      </c>
      <c r="R2307">
        <f>WEEKNUM(datos_siembra[[#This Row],[Date]],2)-WEEKNUM(DATE(YEAR(datos_siembra[[#This Row],[Date]]),MONTH(datos_siembra[[#This Row],[Date]]),1))+1</f>
        <v>1</v>
      </c>
      <c r="S2307">
        <f>MONTH(datos_siembra[[#This Row],[Date]])</f>
        <v>10</v>
      </c>
      <c r="T2307" t="str" cm="1">
        <f t="array" ref="T2307">_xlfn.IFS(AND(N2307&lt;= 22, S2307=9), "SOWING",AND(N2307&lt;= 28, S2307=9), "COVERAGE",AND(N2307&lt;= 30, S2307=9), "FLUSH",AND(N2307&lt;= 11, S2307=10), "FLUSH",AND(N2307&lt;= 21, S2307=10), "PRODUCTION")</f>
        <v>FLUSH</v>
      </c>
      <c r="U2307">
        <f>HOUR(datos_siembra[[#This Row],[Hour]])</f>
        <v>19</v>
      </c>
      <c r="V2307" cm="1">
        <f t="array" ref="V2307">_xlfn.IFS(AND(N2307&lt;= 22, S2307=9), N2307-7,AND(N2307&lt;= 28, S2307=9), N2307-25,AND(N2307&lt;= 30, S2307=9), N2307-28,AND(N2307&lt;= 11, S2307=10), N2307+2,AND(N2307&lt;= 21, S2307=10), N2307-11)</f>
        <v>4</v>
      </c>
    </row>
    <row r="2308" spans="1:22" x14ac:dyDescent="0.35">
      <c r="A2308" s="4">
        <v>45567</v>
      </c>
      <c r="B2308" s="5">
        <v>0.80347222222222225</v>
      </c>
      <c r="C2308">
        <v>72.599999999999994</v>
      </c>
      <c r="D2308">
        <v>70.400000000000006</v>
      </c>
      <c r="E2308">
        <v>70.5</v>
      </c>
      <c r="F2308">
        <v>68.3</v>
      </c>
      <c r="G2308">
        <v>0</v>
      </c>
      <c r="H2308">
        <v>0</v>
      </c>
      <c r="I2308">
        <v>0</v>
      </c>
      <c r="J2308">
        <v>0</v>
      </c>
      <c r="K2308">
        <v>61.8</v>
      </c>
      <c r="L2308">
        <v>62.5</v>
      </c>
      <c r="M2308">
        <v>70.39</v>
      </c>
      <c r="N2308">
        <v>2</v>
      </c>
      <c r="O2308">
        <v>1</v>
      </c>
      <c r="P2308">
        <f>MOD(DAY(datos_siembra[[#This Row],[Date]]),7)</f>
        <v>2</v>
      </c>
      <c r="Q2308" t="str">
        <f>CHOOSE(WEEKDAY(datos_siembra[[#This Row],[Date]],2),"L","M","X","J","V","S","D")</f>
        <v>X</v>
      </c>
      <c r="R2308">
        <f>WEEKNUM(datos_siembra[[#This Row],[Date]],2)-WEEKNUM(DATE(YEAR(datos_siembra[[#This Row],[Date]]),MONTH(datos_siembra[[#This Row],[Date]]),1))+1</f>
        <v>1</v>
      </c>
      <c r="S2308">
        <f>MONTH(datos_siembra[[#This Row],[Date]])</f>
        <v>10</v>
      </c>
      <c r="T2308" t="str" cm="1">
        <f t="array" ref="T2308">_xlfn.IFS(AND(N2308&lt;= 22, S2308=9), "SOWING",AND(N2308&lt;= 28, S2308=9), "COVERAGE",AND(N2308&lt;= 30, S2308=9), "FLUSH",AND(N2308&lt;= 11, S2308=10), "FLUSH",AND(N2308&lt;= 21, S2308=10), "PRODUCTION")</f>
        <v>FLUSH</v>
      </c>
      <c r="U2308">
        <f>HOUR(datos_siembra[[#This Row],[Hour]])</f>
        <v>19</v>
      </c>
      <c r="V2308" cm="1">
        <f t="array" ref="V2308">_xlfn.IFS(AND(N2308&lt;= 22, S2308=9), N2308-7,AND(N2308&lt;= 28, S2308=9), N2308-25,AND(N2308&lt;= 30, S2308=9), N2308-28,AND(N2308&lt;= 11, S2308=10), N2308+2,AND(N2308&lt;= 21, S2308=10), N2308-11)</f>
        <v>4</v>
      </c>
    </row>
    <row r="2309" spans="1:22" x14ac:dyDescent="0.35">
      <c r="A2309" s="4">
        <v>45567</v>
      </c>
      <c r="B2309" s="5">
        <v>0.81041666666666667</v>
      </c>
      <c r="C2309">
        <v>72.400000000000006</v>
      </c>
      <c r="D2309">
        <v>70.5</v>
      </c>
      <c r="E2309">
        <v>70.5</v>
      </c>
      <c r="F2309">
        <v>68.099999999999994</v>
      </c>
      <c r="G2309">
        <v>0</v>
      </c>
      <c r="H2309">
        <v>0</v>
      </c>
      <c r="I2309">
        <v>0</v>
      </c>
      <c r="J2309">
        <v>0</v>
      </c>
      <c r="K2309">
        <v>62.5</v>
      </c>
      <c r="L2309">
        <v>63</v>
      </c>
      <c r="M2309">
        <v>70.33</v>
      </c>
      <c r="N2309">
        <v>2</v>
      </c>
      <c r="O2309">
        <v>1</v>
      </c>
      <c r="P2309">
        <f>MOD(DAY(datos_siembra[[#This Row],[Date]]),7)</f>
        <v>2</v>
      </c>
      <c r="Q2309" t="str">
        <f>CHOOSE(WEEKDAY(datos_siembra[[#This Row],[Date]],2),"L","M","X","J","V","S","D")</f>
        <v>X</v>
      </c>
      <c r="R2309">
        <f>WEEKNUM(datos_siembra[[#This Row],[Date]],2)-WEEKNUM(DATE(YEAR(datos_siembra[[#This Row],[Date]]),MONTH(datos_siembra[[#This Row],[Date]]),1))+1</f>
        <v>1</v>
      </c>
      <c r="S2309">
        <f>MONTH(datos_siembra[[#This Row],[Date]])</f>
        <v>10</v>
      </c>
      <c r="T2309" t="str" cm="1">
        <f t="array" ref="T2309">_xlfn.IFS(AND(N2309&lt;= 22, S2309=9), "SOWING",AND(N2309&lt;= 28, S2309=9), "COVERAGE",AND(N2309&lt;= 30, S2309=9), "FLUSH",AND(N2309&lt;= 11, S2309=10), "FLUSH",AND(N2309&lt;= 21, S2309=10), "PRODUCTION")</f>
        <v>FLUSH</v>
      </c>
      <c r="U2309">
        <f>HOUR(datos_siembra[[#This Row],[Hour]])</f>
        <v>19</v>
      </c>
      <c r="V2309" cm="1">
        <f t="array" ref="V2309">_xlfn.IFS(AND(N2309&lt;= 22, S2309=9), N2309-7,AND(N2309&lt;= 28, S2309=9), N2309-25,AND(N2309&lt;= 30, S2309=9), N2309-28,AND(N2309&lt;= 11, S2309=10), N2309+2,AND(N2309&lt;= 21, S2309=10), N2309-11)</f>
        <v>4</v>
      </c>
    </row>
    <row r="2310" spans="1:22" x14ac:dyDescent="0.35">
      <c r="A2310" s="4">
        <v>45567</v>
      </c>
      <c r="B2310" s="5">
        <v>0.81737268518518513</v>
      </c>
      <c r="C2310">
        <v>72.5</v>
      </c>
      <c r="D2310">
        <v>70.5</v>
      </c>
      <c r="E2310">
        <v>70.400000000000006</v>
      </c>
      <c r="F2310">
        <v>68.2</v>
      </c>
      <c r="G2310">
        <v>0</v>
      </c>
      <c r="H2310">
        <v>0</v>
      </c>
      <c r="I2310">
        <v>0</v>
      </c>
      <c r="J2310">
        <v>0</v>
      </c>
      <c r="K2310">
        <v>62.7</v>
      </c>
      <c r="L2310">
        <v>63.2</v>
      </c>
      <c r="M2310">
        <v>70.39</v>
      </c>
      <c r="N2310">
        <v>2</v>
      </c>
      <c r="O2310">
        <v>1</v>
      </c>
      <c r="P2310">
        <f>MOD(DAY(datos_siembra[[#This Row],[Date]]),7)</f>
        <v>2</v>
      </c>
      <c r="Q2310" t="str">
        <f>CHOOSE(WEEKDAY(datos_siembra[[#This Row],[Date]],2),"L","M","X","J","V","S","D")</f>
        <v>X</v>
      </c>
      <c r="R2310">
        <f>WEEKNUM(datos_siembra[[#This Row],[Date]],2)-WEEKNUM(DATE(YEAR(datos_siembra[[#This Row],[Date]]),MONTH(datos_siembra[[#This Row],[Date]]),1))+1</f>
        <v>1</v>
      </c>
      <c r="S2310">
        <f>MONTH(datos_siembra[[#This Row],[Date]])</f>
        <v>10</v>
      </c>
      <c r="T2310" t="str" cm="1">
        <f t="array" ref="T2310">_xlfn.IFS(AND(N2310&lt;= 22, S2310=9), "SOWING",AND(N2310&lt;= 28, S2310=9), "COVERAGE",AND(N2310&lt;= 30, S2310=9), "FLUSH",AND(N2310&lt;= 11, S2310=10), "FLUSH",AND(N2310&lt;= 21, S2310=10), "PRODUCTION")</f>
        <v>FLUSH</v>
      </c>
      <c r="U2310">
        <f>HOUR(datos_siembra[[#This Row],[Hour]])</f>
        <v>19</v>
      </c>
      <c r="V2310" cm="1">
        <f t="array" ref="V2310">_xlfn.IFS(AND(N2310&lt;= 22, S2310=9), N2310-7,AND(N2310&lt;= 28, S2310=9), N2310-25,AND(N2310&lt;= 30, S2310=9), N2310-28,AND(N2310&lt;= 11, S2310=10), N2310+2,AND(N2310&lt;= 21, S2310=10), N2310-11)</f>
        <v>4</v>
      </c>
    </row>
    <row r="2311" spans="1:22" x14ac:dyDescent="0.35">
      <c r="A2311" s="4">
        <v>45567</v>
      </c>
      <c r="B2311" s="5">
        <v>0.82431712962962966</v>
      </c>
      <c r="C2311">
        <v>72.5</v>
      </c>
      <c r="D2311">
        <v>70.400000000000006</v>
      </c>
      <c r="E2311">
        <v>70.3</v>
      </c>
      <c r="F2311">
        <v>68</v>
      </c>
      <c r="G2311">
        <v>0</v>
      </c>
      <c r="H2311">
        <v>0</v>
      </c>
      <c r="I2311">
        <v>0</v>
      </c>
      <c r="J2311">
        <v>0</v>
      </c>
      <c r="K2311">
        <v>62.9</v>
      </c>
      <c r="L2311">
        <v>63.4</v>
      </c>
      <c r="M2311">
        <v>70.36</v>
      </c>
      <c r="N2311">
        <v>2</v>
      </c>
      <c r="O2311">
        <v>1</v>
      </c>
      <c r="P2311">
        <f>MOD(DAY(datos_siembra[[#This Row],[Date]]),7)</f>
        <v>2</v>
      </c>
      <c r="Q2311" t="str">
        <f>CHOOSE(WEEKDAY(datos_siembra[[#This Row],[Date]],2),"L","M","X","J","V","S","D")</f>
        <v>X</v>
      </c>
      <c r="R2311">
        <f>WEEKNUM(datos_siembra[[#This Row],[Date]],2)-WEEKNUM(DATE(YEAR(datos_siembra[[#This Row],[Date]]),MONTH(datos_siembra[[#This Row],[Date]]),1))+1</f>
        <v>1</v>
      </c>
      <c r="S2311">
        <f>MONTH(datos_siembra[[#This Row],[Date]])</f>
        <v>10</v>
      </c>
      <c r="T2311" t="str" cm="1">
        <f t="array" ref="T2311">_xlfn.IFS(AND(N2311&lt;= 22, S2311=9), "SOWING",AND(N2311&lt;= 28, S2311=9), "COVERAGE",AND(N2311&lt;= 30, S2311=9), "FLUSH",AND(N2311&lt;= 11, S2311=10), "FLUSH",AND(N2311&lt;= 21, S2311=10), "PRODUCTION")</f>
        <v>FLUSH</v>
      </c>
      <c r="U2311">
        <f>HOUR(datos_siembra[[#This Row],[Hour]])</f>
        <v>19</v>
      </c>
      <c r="V2311" cm="1">
        <f t="array" ref="V2311">_xlfn.IFS(AND(N2311&lt;= 22, S2311=9), N2311-7,AND(N2311&lt;= 28, S2311=9), N2311-25,AND(N2311&lt;= 30, S2311=9), N2311-28,AND(N2311&lt;= 11, S2311=10), N2311+2,AND(N2311&lt;= 21, S2311=10), N2311-11)</f>
        <v>4</v>
      </c>
    </row>
    <row r="2312" spans="1:22" x14ac:dyDescent="0.35">
      <c r="A2312" s="4">
        <v>45567</v>
      </c>
      <c r="B2312" s="5">
        <v>0.83126157407407408</v>
      </c>
      <c r="C2312">
        <v>72.3</v>
      </c>
      <c r="D2312">
        <v>70.5</v>
      </c>
      <c r="E2312">
        <v>70.5</v>
      </c>
      <c r="F2312">
        <v>68</v>
      </c>
      <c r="G2312">
        <v>0</v>
      </c>
      <c r="H2312">
        <v>0</v>
      </c>
      <c r="I2312">
        <v>0</v>
      </c>
      <c r="J2312">
        <v>0</v>
      </c>
      <c r="K2312">
        <v>63</v>
      </c>
      <c r="L2312">
        <v>63.4</v>
      </c>
      <c r="M2312">
        <v>70.22</v>
      </c>
      <c r="N2312">
        <v>2</v>
      </c>
      <c r="O2312">
        <v>1</v>
      </c>
      <c r="P2312">
        <f>MOD(DAY(datos_siembra[[#This Row],[Date]]),7)</f>
        <v>2</v>
      </c>
      <c r="Q2312" t="str">
        <f>CHOOSE(WEEKDAY(datos_siembra[[#This Row],[Date]],2),"L","M","X","J","V","S","D")</f>
        <v>X</v>
      </c>
      <c r="R2312">
        <f>WEEKNUM(datos_siembra[[#This Row],[Date]],2)-WEEKNUM(DATE(YEAR(datos_siembra[[#This Row],[Date]]),MONTH(datos_siembra[[#This Row],[Date]]),1))+1</f>
        <v>1</v>
      </c>
      <c r="S2312">
        <f>MONTH(datos_siembra[[#This Row],[Date]])</f>
        <v>10</v>
      </c>
      <c r="T2312" t="str" cm="1">
        <f t="array" ref="T2312">_xlfn.IFS(AND(N2312&lt;= 22, S2312=9), "SOWING",AND(N2312&lt;= 28, S2312=9), "COVERAGE",AND(N2312&lt;= 30, S2312=9), "FLUSH",AND(N2312&lt;= 11, S2312=10), "FLUSH",AND(N2312&lt;= 21, S2312=10), "PRODUCTION")</f>
        <v>FLUSH</v>
      </c>
      <c r="U2312">
        <f>HOUR(datos_siembra[[#This Row],[Hour]])</f>
        <v>19</v>
      </c>
      <c r="V2312" cm="1">
        <f t="array" ref="V2312">_xlfn.IFS(AND(N2312&lt;= 22, S2312=9), N2312-7,AND(N2312&lt;= 28, S2312=9), N2312-25,AND(N2312&lt;= 30, S2312=9), N2312-28,AND(N2312&lt;= 11, S2312=10), N2312+2,AND(N2312&lt;= 21, S2312=10), N2312-11)</f>
        <v>4</v>
      </c>
    </row>
    <row r="2313" spans="1:22" x14ac:dyDescent="0.35">
      <c r="A2313" s="4">
        <v>45567</v>
      </c>
      <c r="B2313" s="5">
        <v>0.83821759259259254</v>
      </c>
      <c r="C2313">
        <v>72.3</v>
      </c>
      <c r="D2313">
        <v>70.400000000000006</v>
      </c>
      <c r="E2313">
        <v>70.400000000000006</v>
      </c>
      <c r="F2313">
        <v>68</v>
      </c>
      <c r="G2313">
        <v>0</v>
      </c>
      <c r="H2313">
        <v>0</v>
      </c>
      <c r="I2313">
        <v>0</v>
      </c>
      <c r="J2313">
        <v>0</v>
      </c>
      <c r="K2313">
        <v>63</v>
      </c>
      <c r="L2313">
        <v>63.5</v>
      </c>
      <c r="M2313">
        <v>70.31</v>
      </c>
      <c r="N2313">
        <v>2</v>
      </c>
      <c r="O2313">
        <v>1</v>
      </c>
      <c r="P2313">
        <f>MOD(DAY(datos_siembra[[#This Row],[Date]]),7)</f>
        <v>2</v>
      </c>
      <c r="Q2313" t="str">
        <f>CHOOSE(WEEKDAY(datos_siembra[[#This Row],[Date]],2),"L","M","X","J","V","S","D")</f>
        <v>X</v>
      </c>
      <c r="R2313">
        <f>WEEKNUM(datos_siembra[[#This Row],[Date]],2)-WEEKNUM(DATE(YEAR(datos_siembra[[#This Row],[Date]]),MONTH(datos_siembra[[#This Row],[Date]]),1))+1</f>
        <v>1</v>
      </c>
      <c r="S2313">
        <f>MONTH(datos_siembra[[#This Row],[Date]])</f>
        <v>10</v>
      </c>
      <c r="T2313" t="str" cm="1">
        <f t="array" ref="T2313">_xlfn.IFS(AND(N2313&lt;= 22, S2313=9), "SOWING",AND(N2313&lt;= 28, S2313=9), "COVERAGE",AND(N2313&lt;= 30, S2313=9), "FLUSH",AND(N2313&lt;= 11, S2313=10), "FLUSH",AND(N2313&lt;= 21, S2313=10), "PRODUCTION")</f>
        <v>FLUSH</v>
      </c>
      <c r="U2313">
        <f>HOUR(datos_siembra[[#This Row],[Hour]])</f>
        <v>20</v>
      </c>
      <c r="V2313" cm="1">
        <f t="array" ref="V2313">_xlfn.IFS(AND(N2313&lt;= 22, S2313=9), N2313-7,AND(N2313&lt;= 28, S2313=9), N2313-25,AND(N2313&lt;= 30, S2313=9), N2313-28,AND(N2313&lt;= 11, S2313=10), N2313+2,AND(N2313&lt;= 21, S2313=10), N2313-11)</f>
        <v>4</v>
      </c>
    </row>
    <row r="2314" spans="1:22" x14ac:dyDescent="0.35">
      <c r="A2314" s="4">
        <v>45567</v>
      </c>
      <c r="B2314" s="5">
        <v>0.84516203703703707</v>
      </c>
      <c r="C2314">
        <v>72.5</v>
      </c>
      <c r="D2314">
        <v>70.400000000000006</v>
      </c>
      <c r="E2314">
        <v>70.3</v>
      </c>
      <c r="F2314">
        <v>68</v>
      </c>
      <c r="G2314">
        <v>0</v>
      </c>
      <c r="H2314">
        <v>0</v>
      </c>
      <c r="I2314">
        <v>0</v>
      </c>
      <c r="J2314">
        <v>0</v>
      </c>
      <c r="K2314">
        <v>63.2</v>
      </c>
      <c r="L2314">
        <v>63.5</v>
      </c>
      <c r="M2314">
        <v>70.31</v>
      </c>
      <c r="N2314">
        <v>2</v>
      </c>
      <c r="O2314">
        <v>1</v>
      </c>
      <c r="P2314">
        <f>MOD(DAY(datos_siembra[[#This Row],[Date]]),7)</f>
        <v>2</v>
      </c>
      <c r="Q2314" t="str">
        <f>CHOOSE(WEEKDAY(datos_siembra[[#This Row],[Date]],2),"L","M","X","J","V","S","D")</f>
        <v>X</v>
      </c>
      <c r="R2314">
        <f>WEEKNUM(datos_siembra[[#This Row],[Date]],2)-WEEKNUM(DATE(YEAR(datos_siembra[[#This Row],[Date]]),MONTH(datos_siembra[[#This Row],[Date]]),1))+1</f>
        <v>1</v>
      </c>
      <c r="S2314">
        <f>MONTH(datos_siembra[[#This Row],[Date]])</f>
        <v>10</v>
      </c>
      <c r="T2314" t="str" cm="1">
        <f t="array" ref="T2314">_xlfn.IFS(AND(N2314&lt;= 22, S2314=9), "SOWING",AND(N2314&lt;= 28, S2314=9), "COVERAGE",AND(N2314&lt;= 30, S2314=9), "FLUSH",AND(N2314&lt;= 11, S2314=10), "FLUSH",AND(N2314&lt;= 21, S2314=10), "PRODUCTION")</f>
        <v>FLUSH</v>
      </c>
      <c r="U2314">
        <f>HOUR(datos_siembra[[#This Row],[Hour]])</f>
        <v>20</v>
      </c>
      <c r="V2314" cm="1">
        <f t="array" ref="V2314">_xlfn.IFS(AND(N2314&lt;= 22, S2314=9), N2314-7,AND(N2314&lt;= 28, S2314=9), N2314-25,AND(N2314&lt;= 30, S2314=9), N2314-28,AND(N2314&lt;= 11, S2314=10), N2314+2,AND(N2314&lt;= 21, S2314=10), N2314-11)</f>
        <v>4</v>
      </c>
    </row>
    <row r="2315" spans="1:22" x14ac:dyDescent="0.35">
      <c r="A2315" s="4">
        <v>45567</v>
      </c>
      <c r="B2315" s="5">
        <v>0.85210648148148149</v>
      </c>
      <c r="C2315">
        <v>72.3</v>
      </c>
      <c r="D2315">
        <v>70.5</v>
      </c>
      <c r="E2315">
        <v>70.3</v>
      </c>
      <c r="F2315">
        <v>68.2</v>
      </c>
      <c r="G2315">
        <v>0</v>
      </c>
      <c r="H2315">
        <v>0</v>
      </c>
      <c r="I2315">
        <v>0</v>
      </c>
      <c r="J2315">
        <v>0</v>
      </c>
      <c r="K2315">
        <v>63.3</v>
      </c>
      <c r="L2315">
        <v>63.6</v>
      </c>
      <c r="M2315">
        <v>70.22</v>
      </c>
      <c r="N2315">
        <v>2</v>
      </c>
      <c r="O2315">
        <v>1</v>
      </c>
      <c r="P2315">
        <f>MOD(DAY(datos_siembra[[#This Row],[Date]]),7)</f>
        <v>2</v>
      </c>
      <c r="Q2315" t="str">
        <f>CHOOSE(WEEKDAY(datos_siembra[[#This Row],[Date]],2),"L","M","X","J","V","S","D")</f>
        <v>X</v>
      </c>
      <c r="R2315">
        <f>WEEKNUM(datos_siembra[[#This Row],[Date]],2)-WEEKNUM(DATE(YEAR(datos_siembra[[#This Row],[Date]]),MONTH(datos_siembra[[#This Row],[Date]]),1))+1</f>
        <v>1</v>
      </c>
      <c r="S2315">
        <f>MONTH(datos_siembra[[#This Row],[Date]])</f>
        <v>10</v>
      </c>
      <c r="T2315" t="str" cm="1">
        <f t="array" ref="T2315">_xlfn.IFS(AND(N2315&lt;= 22, S2315=9), "SOWING",AND(N2315&lt;= 28, S2315=9), "COVERAGE",AND(N2315&lt;= 30, S2315=9), "FLUSH",AND(N2315&lt;= 11, S2315=10), "FLUSH",AND(N2315&lt;= 21, S2315=10), "PRODUCTION")</f>
        <v>FLUSH</v>
      </c>
      <c r="U2315">
        <f>HOUR(datos_siembra[[#This Row],[Hour]])</f>
        <v>20</v>
      </c>
      <c r="V2315" cm="1">
        <f t="array" ref="V2315">_xlfn.IFS(AND(N2315&lt;= 22, S2315=9), N2315-7,AND(N2315&lt;= 28, S2315=9), N2315-25,AND(N2315&lt;= 30, S2315=9), N2315-28,AND(N2315&lt;= 11, S2315=10), N2315+2,AND(N2315&lt;= 21, S2315=10), N2315-11)</f>
        <v>4</v>
      </c>
    </row>
    <row r="2316" spans="1:22" x14ac:dyDescent="0.35">
      <c r="A2316" s="4">
        <v>45567</v>
      </c>
      <c r="B2316" s="5">
        <v>0.85905092592592591</v>
      </c>
      <c r="C2316">
        <v>72.3</v>
      </c>
      <c r="D2316">
        <v>70.3</v>
      </c>
      <c r="E2316">
        <v>70.400000000000006</v>
      </c>
      <c r="F2316">
        <v>68.099999999999994</v>
      </c>
      <c r="G2316">
        <v>0</v>
      </c>
      <c r="H2316">
        <v>0</v>
      </c>
      <c r="I2316">
        <v>0</v>
      </c>
      <c r="J2316">
        <v>0</v>
      </c>
      <c r="K2316">
        <v>63.4</v>
      </c>
      <c r="L2316">
        <v>63.7</v>
      </c>
      <c r="M2316">
        <v>70.22</v>
      </c>
      <c r="N2316">
        <v>2</v>
      </c>
      <c r="O2316">
        <v>1</v>
      </c>
      <c r="P2316">
        <f>MOD(DAY(datos_siembra[[#This Row],[Date]]),7)</f>
        <v>2</v>
      </c>
      <c r="Q2316" t="str">
        <f>CHOOSE(WEEKDAY(datos_siembra[[#This Row],[Date]],2),"L","M","X","J","V","S","D")</f>
        <v>X</v>
      </c>
      <c r="R2316">
        <f>WEEKNUM(datos_siembra[[#This Row],[Date]],2)-WEEKNUM(DATE(YEAR(datos_siembra[[#This Row],[Date]]),MONTH(datos_siembra[[#This Row],[Date]]),1))+1</f>
        <v>1</v>
      </c>
      <c r="S2316">
        <f>MONTH(datos_siembra[[#This Row],[Date]])</f>
        <v>10</v>
      </c>
      <c r="T2316" t="str" cm="1">
        <f t="array" ref="T2316">_xlfn.IFS(AND(N2316&lt;= 22, S2316=9), "SOWING",AND(N2316&lt;= 28, S2316=9), "COVERAGE",AND(N2316&lt;= 30, S2316=9), "FLUSH",AND(N2316&lt;= 11, S2316=10), "FLUSH",AND(N2316&lt;= 21, S2316=10), "PRODUCTION")</f>
        <v>FLUSH</v>
      </c>
      <c r="U2316">
        <f>HOUR(datos_siembra[[#This Row],[Hour]])</f>
        <v>20</v>
      </c>
      <c r="V2316" cm="1">
        <f t="array" ref="V2316">_xlfn.IFS(AND(N2316&lt;= 22, S2316=9), N2316-7,AND(N2316&lt;= 28, S2316=9), N2316-25,AND(N2316&lt;= 30, S2316=9), N2316-28,AND(N2316&lt;= 11, S2316=10), N2316+2,AND(N2316&lt;= 21, S2316=10), N2316-11)</f>
        <v>4</v>
      </c>
    </row>
    <row r="2317" spans="1:22" x14ac:dyDescent="0.35">
      <c r="A2317" s="4">
        <v>45567</v>
      </c>
      <c r="B2317" s="5">
        <v>0.86600694444444448</v>
      </c>
      <c r="C2317">
        <v>72.099999999999994</v>
      </c>
      <c r="D2317">
        <v>70.5</v>
      </c>
      <c r="E2317">
        <v>70.3</v>
      </c>
      <c r="F2317">
        <v>68.099999999999994</v>
      </c>
      <c r="G2317">
        <v>0</v>
      </c>
      <c r="H2317">
        <v>0</v>
      </c>
      <c r="I2317">
        <v>0</v>
      </c>
      <c r="J2317">
        <v>0</v>
      </c>
      <c r="K2317">
        <v>63.4</v>
      </c>
      <c r="L2317">
        <v>63.8</v>
      </c>
      <c r="M2317">
        <v>70.19</v>
      </c>
      <c r="N2317">
        <v>2</v>
      </c>
      <c r="O2317">
        <v>1</v>
      </c>
      <c r="P2317">
        <f>MOD(DAY(datos_siembra[[#This Row],[Date]]),7)</f>
        <v>2</v>
      </c>
      <c r="Q2317" t="str">
        <f>CHOOSE(WEEKDAY(datos_siembra[[#This Row],[Date]],2),"L","M","X","J","V","S","D")</f>
        <v>X</v>
      </c>
      <c r="R2317">
        <f>WEEKNUM(datos_siembra[[#This Row],[Date]],2)-WEEKNUM(DATE(YEAR(datos_siembra[[#This Row],[Date]]),MONTH(datos_siembra[[#This Row],[Date]]),1))+1</f>
        <v>1</v>
      </c>
      <c r="S2317">
        <f>MONTH(datos_siembra[[#This Row],[Date]])</f>
        <v>10</v>
      </c>
      <c r="T2317" t="str" cm="1">
        <f t="array" ref="T2317">_xlfn.IFS(AND(N2317&lt;= 22, S2317=9), "SOWING",AND(N2317&lt;= 28, S2317=9), "COVERAGE",AND(N2317&lt;= 30, S2317=9), "FLUSH",AND(N2317&lt;= 11, S2317=10), "FLUSH",AND(N2317&lt;= 21, S2317=10), "PRODUCTION")</f>
        <v>FLUSH</v>
      </c>
      <c r="U2317">
        <f>HOUR(datos_siembra[[#This Row],[Hour]])</f>
        <v>20</v>
      </c>
      <c r="V2317" cm="1">
        <f t="array" ref="V2317">_xlfn.IFS(AND(N2317&lt;= 22, S2317=9), N2317-7,AND(N2317&lt;= 28, S2317=9), N2317-25,AND(N2317&lt;= 30, S2317=9), N2317-28,AND(N2317&lt;= 11, S2317=10), N2317+2,AND(N2317&lt;= 21, S2317=10), N2317-11)</f>
        <v>4</v>
      </c>
    </row>
    <row r="2318" spans="1:22" x14ac:dyDescent="0.35">
      <c r="A2318" s="4">
        <v>45567</v>
      </c>
      <c r="B2318" s="5">
        <v>0.8729513888888889</v>
      </c>
      <c r="C2318">
        <v>72.3</v>
      </c>
      <c r="D2318">
        <v>70.5</v>
      </c>
      <c r="E2318">
        <v>70.099999999999994</v>
      </c>
      <c r="F2318">
        <v>68</v>
      </c>
      <c r="G2318">
        <v>0</v>
      </c>
      <c r="H2318">
        <v>0</v>
      </c>
      <c r="I2318">
        <v>0</v>
      </c>
      <c r="J2318">
        <v>0</v>
      </c>
      <c r="K2318">
        <v>63.4</v>
      </c>
      <c r="L2318">
        <v>63.8</v>
      </c>
      <c r="M2318">
        <v>70.17</v>
      </c>
      <c r="N2318">
        <v>2</v>
      </c>
      <c r="O2318">
        <v>1</v>
      </c>
      <c r="P2318">
        <f>MOD(DAY(datos_siembra[[#This Row],[Date]]),7)</f>
        <v>2</v>
      </c>
      <c r="Q2318" t="str">
        <f>CHOOSE(WEEKDAY(datos_siembra[[#This Row],[Date]],2),"L","M","X","J","V","S","D")</f>
        <v>X</v>
      </c>
      <c r="R2318">
        <f>WEEKNUM(datos_siembra[[#This Row],[Date]],2)-WEEKNUM(DATE(YEAR(datos_siembra[[#This Row],[Date]]),MONTH(datos_siembra[[#This Row],[Date]]),1))+1</f>
        <v>1</v>
      </c>
      <c r="S2318">
        <f>MONTH(datos_siembra[[#This Row],[Date]])</f>
        <v>10</v>
      </c>
      <c r="T2318" t="str" cm="1">
        <f t="array" ref="T2318">_xlfn.IFS(AND(N2318&lt;= 22, S2318=9), "SOWING",AND(N2318&lt;= 28, S2318=9), "COVERAGE",AND(N2318&lt;= 30, S2318=9), "FLUSH",AND(N2318&lt;= 11, S2318=10), "FLUSH",AND(N2318&lt;= 21, S2318=10), "PRODUCTION")</f>
        <v>FLUSH</v>
      </c>
      <c r="U2318">
        <f>HOUR(datos_siembra[[#This Row],[Hour]])</f>
        <v>20</v>
      </c>
      <c r="V2318" cm="1">
        <f t="array" ref="V2318">_xlfn.IFS(AND(N2318&lt;= 22, S2318=9), N2318-7,AND(N2318&lt;= 28, S2318=9), N2318-25,AND(N2318&lt;= 30, S2318=9), N2318-28,AND(N2318&lt;= 11, S2318=10), N2318+2,AND(N2318&lt;= 21, S2318=10), N2318-11)</f>
        <v>4</v>
      </c>
    </row>
    <row r="2319" spans="1:22" x14ac:dyDescent="0.35">
      <c r="A2319" s="4">
        <v>45567</v>
      </c>
      <c r="B2319" s="5">
        <v>0.87989583333333332</v>
      </c>
      <c r="C2319">
        <v>72.3</v>
      </c>
      <c r="D2319">
        <v>70.3</v>
      </c>
      <c r="E2319">
        <v>70.3</v>
      </c>
      <c r="F2319">
        <v>68</v>
      </c>
      <c r="G2319">
        <v>0</v>
      </c>
      <c r="H2319">
        <v>0</v>
      </c>
      <c r="I2319">
        <v>0</v>
      </c>
      <c r="J2319">
        <v>0</v>
      </c>
      <c r="K2319">
        <v>62.3</v>
      </c>
      <c r="L2319">
        <v>63</v>
      </c>
      <c r="M2319">
        <v>70.08</v>
      </c>
      <c r="N2319">
        <v>2</v>
      </c>
      <c r="O2319">
        <v>1</v>
      </c>
      <c r="P2319">
        <f>MOD(DAY(datos_siembra[[#This Row],[Date]]),7)</f>
        <v>2</v>
      </c>
      <c r="Q2319" t="str">
        <f>CHOOSE(WEEKDAY(datos_siembra[[#This Row],[Date]],2),"L","M","X","J","V","S","D")</f>
        <v>X</v>
      </c>
      <c r="R2319">
        <f>WEEKNUM(datos_siembra[[#This Row],[Date]],2)-WEEKNUM(DATE(YEAR(datos_siembra[[#This Row],[Date]]),MONTH(datos_siembra[[#This Row],[Date]]),1))+1</f>
        <v>1</v>
      </c>
      <c r="S2319">
        <f>MONTH(datos_siembra[[#This Row],[Date]])</f>
        <v>10</v>
      </c>
      <c r="T2319" t="str" cm="1">
        <f t="array" ref="T2319">_xlfn.IFS(AND(N2319&lt;= 22, S2319=9), "SOWING",AND(N2319&lt;= 28, S2319=9), "COVERAGE",AND(N2319&lt;= 30, S2319=9), "FLUSH",AND(N2319&lt;= 11, S2319=10), "FLUSH",AND(N2319&lt;= 21, S2319=10), "PRODUCTION")</f>
        <v>FLUSH</v>
      </c>
      <c r="U2319">
        <f>HOUR(datos_siembra[[#This Row],[Hour]])</f>
        <v>21</v>
      </c>
      <c r="V2319" cm="1">
        <f t="array" ref="V2319">_xlfn.IFS(AND(N2319&lt;= 22, S2319=9), N2319-7,AND(N2319&lt;= 28, S2319=9), N2319-25,AND(N2319&lt;= 30, S2319=9), N2319-28,AND(N2319&lt;= 11, S2319=10), N2319+2,AND(N2319&lt;= 21, S2319=10), N2319-11)</f>
        <v>4</v>
      </c>
    </row>
    <row r="2320" spans="1:22" x14ac:dyDescent="0.35">
      <c r="A2320" s="4">
        <v>45567</v>
      </c>
      <c r="B2320" s="5">
        <v>0.88684027777777774</v>
      </c>
      <c r="C2320">
        <v>72.2</v>
      </c>
      <c r="D2320">
        <v>70.3</v>
      </c>
      <c r="E2320">
        <v>70.099999999999994</v>
      </c>
      <c r="F2320">
        <v>68</v>
      </c>
      <c r="G2320">
        <v>0</v>
      </c>
      <c r="H2320">
        <v>0</v>
      </c>
      <c r="I2320">
        <v>0</v>
      </c>
      <c r="J2320">
        <v>0</v>
      </c>
      <c r="K2320">
        <v>61.9</v>
      </c>
      <c r="L2320">
        <v>62.6</v>
      </c>
      <c r="M2320">
        <v>70.14</v>
      </c>
      <c r="N2320">
        <v>2</v>
      </c>
      <c r="O2320">
        <v>1</v>
      </c>
      <c r="P2320">
        <f>MOD(DAY(datos_siembra[[#This Row],[Date]]),7)</f>
        <v>2</v>
      </c>
      <c r="Q2320" t="str">
        <f>CHOOSE(WEEKDAY(datos_siembra[[#This Row],[Date]],2),"L","M","X","J","V","S","D")</f>
        <v>X</v>
      </c>
      <c r="R2320">
        <f>WEEKNUM(datos_siembra[[#This Row],[Date]],2)-WEEKNUM(DATE(YEAR(datos_siembra[[#This Row],[Date]]),MONTH(datos_siembra[[#This Row],[Date]]),1))+1</f>
        <v>1</v>
      </c>
      <c r="S2320">
        <f>MONTH(datos_siembra[[#This Row],[Date]])</f>
        <v>10</v>
      </c>
      <c r="T2320" t="str" cm="1">
        <f t="array" ref="T2320">_xlfn.IFS(AND(N2320&lt;= 22, S2320=9), "SOWING",AND(N2320&lt;= 28, S2320=9), "COVERAGE",AND(N2320&lt;= 30, S2320=9), "FLUSH",AND(N2320&lt;= 11, S2320=10), "FLUSH",AND(N2320&lt;= 21, S2320=10), "PRODUCTION")</f>
        <v>FLUSH</v>
      </c>
      <c r="U2320">
        <f>HOUR(datos_siembra[[#This Row],[Hour]])</f>
        <v>21</v>
      </c>
      <c r="V2320" cm="1">
        <f t="array" ref="V2320">_xlfn.IFS(AND(N2320&lt;= 22, S2320=9), N2320-7,AND(N2320&lt;= 28, S2320=9), N2320-25,AND(N2320&lt;= 30, S2320=9), N2320-28,AND(N2320&lt;= 11, S2320=10), N2320+2,AND(N2320&lt;= 21, S2320=10), N2320-11)</f>
        <v>4</v>
      </c>
    </row>
    <row r="2321" spans="1:22" x14ac:dyDescent="0.35">
      <c r="A2321" s="4">
        <v>45567</v>
      </c>
      <c r="B2321" s="5">
        <v>0.89379629629629631</v>
      </c>
      <c r="C2321">
        <v>72.099999999999994</v>
      </c>
      <c r="D2321">
        <v>70.3</v>
      </c>
      <c r="E2321">
        <v>70.099999999999994</v>
      </c>
      <c r="F2321">
        <v>68</v>
      </c>
      <c r="G2321">
        <v>0</v>
      </c>
      <c r="H2321">
        <v>0</v>
      </c>
      <c r="I2321">
        <v>0</v>
      </c>
      <c r="J2321">
        <v>0</v>
      </c>
      <c r="K2321">
        <v>61.6</v>
      </c>
      <c r="L2321">
        <v>62.3</v>
      </c>
      <c r="M2321">
        <v>70.17</v>
      </c>
      <c r="N2321">
        <v>2</v>
      </c>
      <c r="O2321">
        <v>1</v>
      </c>
      <c r="P2321">
        <f>MOD(DAY(datos_siembra[[#This Row],[Date]]),7)</f>
        <v>2</v>
      </c>
      <c r="Q2321" t="str">
        <f>CHOOSE(WEEKDAY(datos_siembra[[#This Row],[Date]],2),"L","M","X","J","V","S","D")</f>
        <v>X</v>
      </c>
      <c r="R2321">
        <f>WEEKNUM(datos_siembra[[#This Row],[Date]],2)-WEEKNUM(DATE(YEAR(datos_siembra[[#This Row],[Date]]),MONTH(datos_siembra[[#This Row],[Date]]),1))+1</f>
        <v>1</v>
      </c>
      <c r="S2321">
        <f>MONTH(datos_siembra[[#This Row],[Date]])</f>
        <v>10</v>
      </c>
      <c r="T2321" t="str" cm="1">
        <f t="array" ref="T2321">_xlfn.IFS(AND(N2321&lt;= 22, S2321=9), "SOWING",AND(N2321&lt;= 28, S2321=9), "COVERAGE",AND(N2321&lt;= 30, S2321=9), "FLUSH",AND(N2321&lt;= 11, S2321=10), "FLUSH",AND(N2321&lt;= 21, S2321=10), "PRODUCTION")</f>
        <v>FLUSH</v>
      </c>
      <c r="U2321">
        <f>HOUR(datos_siembra[[#This Row],[Hour]])</f>
        <v>21</v>
      </c>
      <c r="V2321" cm="1">
        <f t="array" ref="V2321">_xlfn.IFS(AND(N2321&lt;= 22, S2321=9), N2321-7,AND(N2321&lt;= 28, S2321=9), N2321-25,AND(N2321&lt;= 30, S2321=9), N2321-28,AND(N2321&lt;= 11, S2321=10), N2321+2,AND(N2321&lt;= 21, S2321=10), N2321-11)</f>
        <v>4</v>
      </c>
    </row>
    <row r="2322" spans="1:22" x14ac:dyDescent="0.35">
      <c r="A2322" s="4">
        <v>45567</v>
      </c>
      <c r="B2322" s="5">
        <v>0.90074074074074073</v>
      </c>
      <c r="C2322">
        <v>72.2</v>
      </c>
      <c r="D2322">
        <v>70.400000000000006</v>
      </c>
      <c r="E2322">
        <v>70.099999999999994</v>
      </c>
      <c r="F2322">
        <v>67.900000000000006</v>
      </c>
      <c r="G2322">
        <v>0</v>
      </c>
      <c r="H2322">
        <v>0</v>
      </c>
      <c r="I2322">
        <v>0</v>
      </c>
      <c r="J2322">
        <v>0</v>
      </c>
      <c r="K2322">
        <v>61.4</v>
      </c>
      <c r="L2322">
        <v>62</v>
      </c>
      <c r="M2322">
        <v>70.02</v>
      </c>
      <c r="N2322">
        <v>2</v>
      </c>
      <c r="O2322">
        <v>1</v>
      </c>
      <c r="P2322">
        <f>MOD(DAY(datos_siembra[[#This Row],[Date]]),7)</f>
        <v>2</v>
      </c>
      <c r="Q2322" t="str">
        <f>CHOOSE(WEEKDAY(datos_siembra[[#This Row],[Date]],2),"L","M","X","J","V","S","D")</f>
        <v>X</v>
      </c>
      <c r="R2322">
        <f>WEEKNUM(datos_siembra[[#This Row],[Date]],2)-WEEKNUM(DATE(YEAR(datos_siembra[[#This Row],[Date]]),MONTH(datos_siembra[[#This Row],[Date]]),1))+1</f>
        <v>1</v>
      </c>
      <c r="S2322">
        <f>MONTH(datos_siembra[[#This Row],[Date]])</f>
        <v>10</v>
      </c>
      <c r="T2322" t="str" cm="1">
        <f t="array" ref="T2322">_xlfn.IFS(AND(N2322&lt;= 22, S2322=9), "SOWING",AND(N2322&lt;= 28, S2322=9), "COVERAGE",AND(N2322&lt;= 30, S2322=9), "FLUSH",AND(N2322&lt;= 11, S2322=10), "FLUSH",AND(N2322&lt;= 21, S2322=10), "PRODUCTION")</f>
        <v>FLUSH</v>
      </c>
      <c r="U2322">
        <f>HOUR(datos_siembra[[#This Row],[Hour]])</f>
        <v>21</v>
      </c>
      <c r="V2322" cm="1">
        <f t="array" ref="V2322">_xlfn.IFS(AND(N2322&lt;= 22, S2322=9), N2322-7,AND(N2322&lt;= 28, S2322=9), N2322-25,AND(N2322&lt;= 30, S2322=9), N2322-28,AND(N2322&lt;= 11, S2322=10), N2322+2,AND(N2322&lt;= 21, S2322=10), N2322-11)</f>
        <v>4</v>
      </c>
    </row>
    <row r="2323" spans="1:22" x14ac:dyDescent="0.35">
      <c r="A2323" s="4">
        <v>45567</v>
      </c>
      <c r="B2323" s="5">
        <v>0.90768518518518515</v>
      </c>
      <c r="C2323">
        <v>72.3</v>
      </c>
      <c r="D2323">
        <v>70.099999999999994</v>
      </c>
      <c r="E2323">
        <v>70.099999999999994</v>
      </c>
      <c r="F2323">
        <v>67.900000000000006</v>
      </c>
      <c r="G2323">
        <v>0</v>
      </c>
      <c r="H2323">
        <v>0</v>
      </c>
      <c r="I2323">
        <v>0</v>
      </c>
      <c r="J2323">
        <v>0</v>
      </c>
      <c r="K2323">
        <v>61.2</v>
      </c>
      <c r="L2323">
        <v>62</v>
      </c>
      <c r="M2323">
        <v>70.11</v>
      </c>
      <c r="N2323">
        <v>2</v>
      </c>
      <c r="O2323">
        <v>1</v>
      </c>
      <c r="P2323">
        <f>MOD(DAY(datos_siembra[[#This Row],[Date]]),7)</f>
        <v>2</v>
      </c>
      <c r="Q2323" t="str">
        <f>CHOOSE(WEEKDAY(datos_siembra[[#This Row],[Date]],2),"L","M","X","J","V","S","D")</f>
        <v>X</v>
      </c>
      <c r="R2323">
        <f>WEEKNUM(datos_siembra[[#This Row],[Date]],2)-WEEKNUM(DATE(YEAR(datos_siembra[[#This Row],[Date]]),MONTH(datos_siembra[[#This Row],[Date]]),1))+1</f>
        <v>1</v>
      </c>
      <c r="S2323">
        <f>MONTH(datos_siembra[[#This Row],[Date]])</f>
        <v>10</v>
      </c>
      <c r="T2323" t="str" cm="1">
        <f t="array" ref="T2323">_xlfn.IFS(AND(N2323&lt;= 22, S2323=9), "SOWING",AND(N2323&lt;= 28, S2323=9), "COVERAGE",AND(N2323&lt;= 30, S2323=9), "FLUSH",AND(N2323&lt;= 11, S2323=10), "FLUSH",AND(N2323&lt;= 21, S2323=10), "PRODUCTION")</f>
        <v>FLUSH</v>
      </c>
      <c r="U2323">
        <f>HOUR(datos_siembra[[#This Row],[Hour]])</f>
        <v>21</v>
      </c>
      <c r="V2323" cm="1">
        <f t="array" ref="V2323">_xlfn.IFS(AND(N2323&lt;= 22, S2323=9), N2323-7,AND(N2323&lt;= 28, S2323=9), N2323-25,AND(N2323&lt;= 30, S2323=9), N2323-28,AND(N2323&lt;= 11, S2323=10), N2323+2,AND(N2323&lt;= 21, S2323=10), N2323-11)</f>
        <v>4</v>
      </c>
    </row>
    <row r="2324" spans="1:22" x14ac:dyDescent="0.35">
      <c r="A2324" s="4">
        <v>45567</v>
      </c>
      <c r="B2324" s="5">
        <v>0.91464120370370372</v>
      </c>
      <c r="C2324">
        <v>71.900000000000006</v>
      </c>
      <c r="D2324">
        <v>70.3</v>
      </c>
      <c r="E2324">
        <v>70.099999999999994</v>
      </c>
      <c r="F2324">
        <v>67.900000000000006</v>
      </c>
      <c r="G2324">
        <v>0</v>
      </c>
      <c r="H2324">
        <v>0</v>
      </c>
      <c r="I2324">
        <v>0</v>
      </c>
      <c r="J2324">
        <v>0</v>
      </c>
      <c r="K2324">
        <v>61.8</v>
      </c>
      <c r="L2324">
        <v>62.6</v>
      </c>
      <c r="M2324">
        <v>70.14</v>
      </c>
      <c r="N2324">
        <v>2</v>
      </c>
      <c r="O2324">
        <v>1</v>
      </c>
      <c r="P2324">
        <f>MOD(DAY(datos_siembra[[#This Row],[Date]]),7)</f>
        <v>2</v>
      </c>
      <c r="Q2324" t="str">
        <f>CHOOSE(WEEKDAY(datos_siembra[[#This Row],[Date]],2),"L","M","X","J","V","S","D")</f>
        <v>X</v>
      </c>
      <c r="R2324">
        <f>WEEKNUM(datos_siembra[[#This Row],[Date]],2)-WEEKNUM(DATE(YEAR(datos_siembra[[#This Row],[Date]]),MONTH(datos_siembra[[#This Row],[Date]]),1))+1</f>
        <v>1</v>
      </c>
      <c r="S2324">
        <f>MONTH(datos_siembra[[#This Row],[Date]])</f>
        <v>10</v>
      </c>
      <c r="T2324" t="str" cm="1">
        <f t="array" ref="T2324">_xlfn.IFS(AND(N2324&lt;= 22, S2324=9), "SOWING",AND(N2324&lt;= 28, S2324=9), "COVERAGE",AND(N2324&lt;= 30, S2324=9), "FLUSH",AND(N2324&lt;= 11, S2324=10), "FLUSH",AND(N2324&lt;= 21, S2324=10), "PRODUCTION")</f>
        <v>FLUSH</v>
      </c>
      <c r="U2324">
        <f>HOUR(datos_siembra[[#This Row],[Hour]])</f>
        <v>21</v>
      </c>
      <c r="V2324" cm="1">
        <f t="array" ref="V2324">_xlfn.IFS(AND(N2324&lt;= 22, S2324=9), N2324-7,AND(N2324&lt;= 28, S2324=9), N2324-25,AND(N2324&lt;= 30, S2324=9), N2324-28,AND(N2324&lt;= 11, S2324=10), N2324+2,AND(N2324&lt;= 21, S2324=10), N2324-11)</f>
        <v>4</v>
      </c>
    </row>
    <row r="2325" spans="1:22" x14ac:dyDescent="0.35">
      <c r="A2325" s="4">
        <v>45567</v>
      </c>
      <c r="B2325" s="5">
        <v>0.92158564814814814</v>
      </c>
      <c r="C2325">
        <v>72.099999999999994</v>
      </c>
      <c r="D2325">
        <v>70.099999999999994</v>
      </c>
      <c r="E2325">
        <v>70</v>
      </c>
      <c r="F2325">
        <v>68</v>
      </c>
      <c r="G2325">
        <v>0</v>
      </c>
      <c r="H2325">
        <v>0</v>
      </c>
      <c r="I2325">
        <v>0</v>
      </c>
      <c r="J2325">
        <v>0</v>
      </c>
      <c r="K2325">
        <v>62.3</v>
      </c>
      <c r="L2325">
        <v>62.9</v>
      </c>
      <c r="M2325">
        <v>70.08</v>
      </c>
      <c r="N2325">
        <v>2</v>
      </c>
      <c r="O2325">
        <v>1</v>
      </c>
      <c r="P2325">
        <f>MOD(DAY(datos_siembra[[#This Row],[Date]]),7)</f>
        <v>2</v>
      </c>
      <c r="Q2325" t="str">
        <f>CHOOSE(WEEKDAY(datos_siembra[[#This Row],[Date]],2),"L","M","X","J","V","S","D")</f>
        <v>X</v>
      </c>
      <c r="R2325">
        <f>WEEKNUM(datos_siembra[[#This Row],[Date]],2)-WEEKNUM(DATE(YEAR(datos_siembra[[#This Row],[Date]]),MONTH(datos_siembra[[#This Row],[Date]]),1))+1</f>
        <v>1</v>
      </c>
      <c r="S2325">
        <f>MONTH(datos_siembra[[#This Row],[Date]])</f>
        <v>10</v>
      </c>
      <c r="T2325" t="str" cm="1">
        <f t="array" ref="T2325">_xlfn.IFS(AND(N2325&lt;= 22, S2325=9), "SOWING",AND(N2325&lt;= 28, S2325=9), "COVERAGE",AND(N2325&lt;= 30, S2325=9), "FLUSH",AND(N2325&lt;= 11, S2325=10), "FLUSH",AND(N2325&lt;= 21, S2325=10), "PRODUCTION")</f>
        <v>FLUSH</v>
      </c>
      <c r="U2325">
        <f>HOUR(datos_siembra[[#This Row],[Hour]])</f>
        <v>22</v>
      </c>
      <c r="V2325" cm="1">
        <f t="array" ref="V2325">_xlfn.IFS(AND(N2325&lt;= 22, S2325=9), N2325-7,AND(N2325&lt;= 28, S2325=9), N2325-25,AND(N2325&lt;= 30, S2325=9), N2325-28,AND(N2325&lt;= 11, S2325=10), N2325+2,AND(N2325&lt;= 21, S2325=10), N2325-11)</f>
        <v>4</v>
      </c>
    </row>
    <row r="2326" spans="1:22" x14ac:dyDescent="0.35">
      <c r="A2326" s="4">
        <v>45567</v>
      </c>
      <c r="B2326" s="5">
        <v>0.92853009259259256</v>
      </c>
      <c r="C2326">
        <v>71.900000000000006</v>
      </c>
      <c r="D2326">
        <v>70.099999999999994</v>
      </c>
      <c r="E2326">
        <v>70</v>
      </c>
      <c r="F2326">
        <v>67.900000000000006</v>
      </c>
      <c r="G2326">
        <v>0</v>
      </c>
      <c r="H2326">
        <v>0</v>
      </c>
      <c r="I2326">
        <v>0</v>
      </c>
      <c r="J2326">
        <v>0</v>
      </c>
      <c r="K2326">
        <v>62.6</v>
      </c>
      <c r="L2326">
        <v>63</v>
      </c>
      <c r="M2326">
        <v>70</v>
      </c>
      <c r="N2326">
        <v>2</v>
      </c>
      <c r="O2326">
        <v>1</v>
      </c>
      <c r="P2326">
        <f>MOD(DAY(datos_siembra[[#This Row],[Date]]),7)</f>
        <v>2</v>
      </c>
      <c r="Q2326" t="str">
        <f>CHOOSE(WEEKDAY(datos_siembra[[#This Row],[Date]],2),"L","M","X","J","V","S","D")</f>
        <v>X</v>
      </c>
      <c r="R2326">
        <f>WEEKNUM(datos_siembra[[#This Row],[Date]],2)-WEEKNUM(DATE(YEAR(datos_siembra[[#This Row],[Date]]),MONTH(datos_siembra[[#This Row],[Date]]),1))+1</f>
        <v>1</v>
      </c>
      <c r="S2326">
        <f>MONTH(datos_siembra[[#This Row],[Date]])</f>
        <v>10</v>
      </c>
      <c r="T2326" t="str" cm="1">
        <f t="array" ref="T2326">_xlfn.IFS(AND(N2326&lt;= 22, S2326=9), "SOWING",AND(N2326&lt;= 28, S2326=9), "COVERAGE",AND(N2326&lt;= 30, S2326=9), "FLUSH",AND(N2326&lt;= 11, S2326=10), "FLUSH",AND(N2326&lt;= 21, S2326=10), "PRODUCTION")</f>
        <v>FLUSH</v>
      </c>
      <c r="U2326">
        <f>HOUR(datos_siembra[[#This Row],[Hour]])</f>
        <v>22</v>
      </c>
      <c r="V2326" cm="1">
        <f t="array" ref="V2326">_xlfn.IFS(AND(N2326&lt;= 22, S2326=9), N2326-7,AND(N2326&lt;= 28, S2326=9), N2326-25,AND(N2326&lt;= 30, S2326=9), N2326-28,AND(N2326&lt;= 11, S2326=10), N2326+2,AND(N2326&lt;= 21, S2326=10), N2326-11)</f>
        <v>4</v>
      </c>
    </row>
    <row r="2327" spans="1:22" x14ac:dyDescent="0.35">
      <c r="A2327" s="4">
        <v>45567</v>
      </c>
      <c r="B2327" s="5">
        <v>0.93547453703703709</v>
      </c>
      <c r="C2327">
        <v>71.900000000000006</v>
      </c>
      <c r="D2327">
        <v>70.3</v>
      </c>
      <c r="E2327">
        <v>70</v>
      </c>
      <c r="F2327">
        <v>67.8</v>
      </c>
      <c r="G2327">
        <v>0</v>
      </c>
      <c r="H2327">
        <v>0</v>
      </c>
      <c r="I2327">
        <v>0</v>
      </c>
      <c r="J2327">
        <v>0</v>
      </c>
      <c r="K2327">
        <v>62.6</v>
      </c>
      <c r="L2327">
        <v>63.2</v>
      </c>
      <c r="M2327">
        <v>70</v>
      </c>
      <c r="N2327">
        <v>2</v>
      </c>
      <c r="O2327">
        <v>1</v>
      </c>
      <c r="P2327">
        <f>MOD(DAY(datos_siembra[[#This Row],[Date]]),7)</f>
        <v>2</v>
      </c>
      <c r="Q2327" t="str">
        <f>CHOOSE(WEEKDAY(datos_siembra[[#This Row],[Date]],2),"L","M","X","J","V","S","D")</f>
        <v>X</v>
      </c>
      <c r="R2327">
        <f>WEEKNUM(datos_siembra[[#This Row],[Date]],2)-WEEKNUM(DATE(YEAR(datos_siembra[[#This Row],[Date]]),MONTH(datos_siembra[[#This Row],[Date]]),1))+1</f>
        <v>1</v>
      </c>
      <c r="S2327">
        <f>MONTH(datos_siembra[[#This Row],[Date]])</f>
        <v>10</v>
      </c>
      <c r="T2327" t="str" cm="1">
        <f t="array" ref="T2327">_xlfn.IFS(AND(N2327&lt;= 22, S2327=9), "SOWING",AND(N2327&lt;= 28, S2327=9), "COVERAGE",AND(N2327&lt;= 30, S2327=9), "FLUSH",AND(N2327&lt;= 11, S2327=10), "FLUSH",AND(N2327&lt;= 21, S2327=10), "PRODUCTION")</f>
        <v>FLUSH</v>
      </c>
      <c r="U2327">
        <f>HOUR(datos_siembra[[#This Row],[Hour]])</f>
        <v>22</v>
      </c>
      <c r="V2327" cm="1">
        <f t="array" ref="V2327">_xlfn.IFS(AND(N2327&lt;= 22, S2327=9), N2327-7,AND(N2327&lt;= 28, S2327=9), N2327-25,AND(N2327&lt;= 30, S2327=9), N2327-28,AND(N2327&lt;= 11, S2327=10), N2327+2,AND(N2327&lt;= 21, S2327=10), N2327-11)</f>
        <v>4</v>
      </c>
    </row>
    <row r="2328" spans="1:22" x14ac:dyDescent="0.35">
      <c r="A2328" s="4">
        <v>45567</v>
      </c>
      <c r="B2328" s="5">
        <v>0.94243055555555555</v>
      </c>
      <c r="C2328">
        <v>71.900000000000006</v>
      </c>
      <c r="D2328">
        <v>70.099999999999994</v>
      </c>
      <c r="E2328">
        <v>69.900000000000006</v>
      </c>
      <c r="F2328">
        <v>67.8</v>
      </c>
      <c r="G2328">
        <v>0</v>
      </c>
      <c r="H2328">
        <v>0</v>
      </c>
      <c r="I2328">
        <v>0</v>
      </c>
      <c r="J2328">
        <v>0</v>
      </c>
      <c r="K2328">
        <v>62.7</v>
      </c>
      <c r="L2328">
        <v>63.2</v>
      </c>
      <c r="M2328">
        <v>69.91</v>
      </c>
      <c r="N2328">
        <v>2</v>
      </c>
      <c r="O2328">
        <v>1</v>
      </c>
      <c r="P2328">
        <f>MOD(DAY(datos_siembra[[#This Row],[Date]]),7)</f>
        <v>2</v>
      </c>
      <c r="Q2328" t="str">
        <f>CHOOSE(WEEKDAY(datos_siembra[[#This Row],[Date]],2),"L","M","X","J","V","S","D")</f>
        <v>X</v>
      </c>
      <c r="R2328">
        <f>WEEKNUM(datos_siembra[[#This Row],[Date]],2)-WEEKNUM(DATE(YEAR(datos_siembra[[#This Row],[Date]]),MONTH(datos_siembra[[#This Row],[Date]]),1))+1</f>
        <v>1</v>
      </c>
      <c r="S2328">
        <f>MONTH(datos_siembra[[#This Row],[Date]])</f>
        <v>10</v>
      </c>
      <c r="T2328" t="str" cm="1">
        <f t="array" ref="T2328">_xlfn.IFS(AND(N2328&lt;= 22, S2328=9), "SOWING",AND(N2328&lt;= 28, S2328=9), "COVERAGE",AND(N2328&lt;= 30, S2328=9), "FLUSH",AND(N2328&lt;= 11, S2328=10), "FLUSH",AND(N2328&lt;= 21, S2328=10), "PRODUCTION")</f>
        <v>FLUSH</v>
      </c>
      <c r="U2328">
        <f>HOUR(datos_siembra[[#This Row],[Hour]])</f>
        <v>22</v>
      </c>
      <c r="V2328" cm="1">
        <f t="array" ref="V2328">_xlfn.IFS(AND(N2328&lt;= 22, S2328=9), N2328-7,AND(N2328&lt;= 28, S2328=9), N2328-25,AND(N2328&lt;= 30, S2328=9), N2328-28,AND(N2328&lt;= 11, S2328=10), N2328+2,AND(N2328&lt;= 21, S2328=10), N2328-11)</f>
        <v>4</v>
      </c>
    </row>
    <row r="2329" spans="1:22" x14ac:dyDescent="0.35">
      <c r="A2329" s="4">
        <v>45567</v>
      </c>
      <c r="B2329" s="5">
        <v>0.94937499999999997</v>
      </c>
      <c r="C2329">
        <v>71.900000000000006</v>
      </c>
      <c r="D2329">
        <v>70.099999999999994</v>
      </c>
      <c r="E2329">
        <v>69.8</v>
      </c>
      <c r="F2329">
        <v>67.8</v>
      </c>
      <c r="G2329">
        <v>0</v>
      </c>
      <c r="H2329">
        <v>0</v>
      </c>
      <c r="I2329">
        <v>0</v>
      </c>
      <c r="J2329">
        <v>0</v>
      </c>
      <c r="K2329">
        <v>62.8</v>
      </c>
      <c r="L2329">
        <v>63.3</v>
      </c>
      <c r="M2329">
        <v>69.86</v>
      </c>
      <c r="N2329">
        <v>2</v>
      </c>
      <c r="O2329">
        <v>1</v>
      </c>
      <c r="P2329">
        <f>MOD(DAY(datos_siembra[[#This Row],[Date]]),7)</f>
        <v>2</v>
      </c>
      <c r="Q2329" t="str">
        <f>CHOOSE(WEEKDAY(datos_siembra[[#This Row],[Date]],2),"L","M","X","J","V","S","D")</f>
        <v>X</v>
      </c>
      <c r="R2329">
        <f>WEEKNUM(datos_siembra[[#This Row],[Date]],2)-WEEKNUM(DATE(YEAR(datos_siembra[[#This Row],[Date]]),MONTH(datos_siembra[[#This Row],[Date]]),1))+1</f>
        <v>1</v>
      </c>
      <c r="S2329">
        <f>MONTH(datos_siembra[[#This Row],[Date]])</f>
        <v>10</v>
      </c>
      <c r="T2329" t="str" cm="1">
        <f t="array" ref="T2329">_xlfn.IFS(AND(N2329&lt;= 22, S2329=9), "SOWING",AND(N2329&lt;= 28, S2329=9), "COVERAGE",AND(N2329&lt;= 30, S2329=9), "FLUSH",AND(N2329&lt;= 11, S2329=10), "FLUSH",AND(N2329&lt;= 21, S2329=10), "PRODUCTION")</f>
        <v>FLUSH</v>
      </c>
      <c r="U2329">
        <f>HOUR(datos_siembra[[#This Row],[Hour]])</f>
        <v>22</v>
      </c>
      <c r="V2329" cm="1">
        <f t="array" ref="V2329">_xlfn.IFS(AND(N2329&lt;= 22, S2329=9), N2329-7,AND(N2329&lt;= 28, S2329=9), N2329-25,AND(N2329&lt;= 30, S2329=9), N2329-28,AND(N2329&lt;= 11, S2329=10), N2329+2,AND(N2329&lt;= 21, S2329=10), N2329-11)</f>
        <v>4</v>
      </c>
    </row>
    <row r="2330" spans="1:22" x14ac:dyDescent="0.35">
      <c r="A2330" s="4">
        <v>45567</v>
      </c>
      <c r="B2330" s="5">
        <v>0.9563194444444445</v>
      </c>
      <c r="C2330">
        <v>71.8</v>
      </c>
      <c r="D2330">
        <v>70.099999999999994</v>
      </c>
      <c r="E2330">
        <v>69.8</v>
      </c>
      <c r="F2330">
        <v>67.7</v>
      </c>
      <c r="G2330">
        <v>0</v>
      </c>
      <c r="H2330">
        <v>0</v>
      </c>
      <c r="I2330">
        <v>0</v>
      </c>
      <c r="J2330">
        <v>0</v>
      </c>
      <c r="K2330">
        <v>62.8</v>
      </c>
      <c r="L2330">
        <v>63.3</v>
      </c>
      <c r="M2330">
        <v>69.94</v>
      </c>
      <c r="N2330">
        <v>2</v>
      </c>
      <c r="O2330">
        <v>1</v>
      </c>
      <c r="P2330">
        <f>MOD(DAY(datos_siembra[[#This Row],[Date]]),7)</f>
        <v>2</v>
      </c>
      <c r="Q2330" t="str">
        <f>CHOOSE(WEEKDAY(datos_siembra[[#This Row],[Date]],2),"L","M","X","J","V","S","D")</f>
        <v>X</v>
      </c>
      <c r="R2330">
        <f>WEEKNUM(datos_siembra[[#This Row],[Date]],2)-WEEKNUM(DATE(YEAR(datos_siembra[[#This Row],[Date]]),MONTH(datos_siembra[[#This Row],[Date]]),1))+1</f>
        <v>1</v>
      </c>
      <c r="S2330">
        <f>MONTH(datos_siembra[[#This Row],[Date]])</f>
        <v>10</v>
      </c>
      <c r="T2330" t="str" cm="1">
        <f t="array" ref="T2330">_xlfn.IFS(AND(N2330&lt;= 22, S2330=9), "SOWING",AND(N2330&lt;= 28, S2330=9), "COVERAGE",AND(N2330&lt;= 30, S2330=9), "FLUSH",AND(N2330&lt;= 11, S2330=10), "FLUSH",AND(N2330&lt;= 21, S2330=10), "PRODUCTION")</f>
        <v>FLUSH</v>
      </c>
      <c r="U2330">
        <f>HOUR(datos_siembra[[#This Row],[Hour]])</f>
        <v>22</v>
      </c>
      <c r="V2330" cm="1">
        <f t="array" ref="V2330">_xlfn.IFS(AND(N2330&lt;= 22, S2330=9), N2330-7,AND(N2330&lt;= 28, S2330=9), N2330-25,AND(N2330&lt;= 30, S2330=9), N2330-28,AND(N2330&lt;= 11, S2330=10), N2330+2,AND(N2330&lt;= 21, S2330=10), N2330-11)</f>
        <v>4</v>
      </c>
    </row>
    <row r="2331" spans="1:22" x14ac:dyDescent="0.35">
      <c r="A2331" s="4">
        <v>45567</v>
      </c>
      <c r="B2331" s="5">
        <v>0.96327546296296296</v>
      </c>
      <c r="C2331">
        <v>71.8</v>
      </c>
      <c r="D2331">
        <v>70.099999999999994</v>
      </c>
      <c r="E2331">
        <v>69.8</v>
      </c>
      <c r="F2331">
        <v>67.8</v>
      </c>
      <c r="G2331">
        <v>0</v>
      </c>
      <c r="H2331">
        <v>0</v>
      </c>
      <c r="I2331">
        <v>0</v>
      </c>
      <c r="J2331">
        <v>0</v>
      </c>
      <c r="K2331">
        <v>62.8</v>
      </c>
      <c r="L2331">
        <v>63.3</v>
      </c>
      <c r="M2331">
        <v>69.88</v>
      </c>
      <c r="N2331">
        <v>2</v>
      </c>
      <c r="O2331">
        <v>1</v>
      </c>
      <c r="P2331">
        <f>MOD(DAY(datos_siembra[[#This Row],[Date]]),7)</f>
        <v>2</v>
      </c>
      <c r="Q2331" t="str">
        <f>CHOOSE(WEEKDAY(datos_siembra[[#This Row],[Date]],2),"L","M","X","J","V","S","D")</f>
        <v>X</v>
      </c>
      <c r="R2331">
        <f>WEEKNUM(datos_siembra[[#This Row],[Date]],2)-WEEKNUM(DATE(YEAR(datos_siembra[[#This Row],[Date]]),MONTH(datos_siembra[[#This Row],[Date]]),1))+1</f>
        <v>1</v>
      </c>
      <c r="S2331">
        <f>MONTH(datos_siembra[[#This Row],[Date]])</f>
        <v>10</v>
      </c>
      <c r="T2331" t="str" cm="1">
        <f t="array" ref="T2331">_xlfn.IFS(AND(N2331&lt;= 22, S2331=9), "SOWING",AND(N2331&lt;= 28, S2331=9), "COVERAGE",AND(N2331&lt;= 30, S2331=9), "FLUSH",AND(N2331&lt;= 11, S2331=10), "FLUSH",AND(N2331&lt;= 21, S2331=10), "PRODUCTION")</f>
        <v>FLUSH</v>
      </c>
      <c r="U2331">
        <f>HOUR(datos_siembra[[#This Row],[Hour]])</f>
        <v>23</v>
      </c>
      <c r="V2331" cm="1">
        <f t="array" ref="V2331">_xlfn.IFS(AND(N2331&lt;= 22, S2331=9), N2331-7,AND(N2331&lt;= 28, S2331=9), N2331-25,AND(N2331&lt;= 30, S2331=9), N2331-28,AND(N2331&lt;= 11, S2331=10), N2331+2,AND(N2331&lt;= 21, S2331=10), N2331-11)</f>
        <v>4</v>
      </c>
    </row>
    <row r="2332" spans="1:22" x14ac:dyDescent="0.35">
      <c r="A2332" s="4">
        <v>45567</v>
      </c>
      <c r="B2332" s="5">
        <v>0.97021990740740738</v>
      </c>
      <c r="C2332">
        <v>71.8</v>
      </c>
      <c r="D2332">
        <v>70.099999999999994</v>
      </c>
      <c r="E2332">
        <v>69.900000000000006</v>
      </c>
      <c r="F2332">
        <v>67.8</v>
      </c>
      <c r="G2332">
        <v>0</v>
      </c>
      <c r="H2332">
        <v>0</v>
      </c>
      <c r="I2332">
        <v>0</v>
      </c>
      <c r="J2332">
        <v>0</v>
      </c>
      <c r="K2332">
        <v>62.8</v>
      </c>
      <c r="L2332">
        <v>63.2</v>
      </c>
      <c r="M2332">
        <v>69.83</v>
      </c>
      <c r="N2332">
        <v>2</v>
      </c>
      <c r="O2332">
        <v>1</v>
      </c>
      <c r="P2332">
        <f>MOD(DAY(datos_siembra[[#This Row],[Date]]),7)</f>
        <v>2</v>
      </c>
      <c r="Q2332" t="str">
        <f>CHOOSE(WEEKDAY(datos_siembra[[#This Row],[Date]],2),"L","M","X","J","V","S","D")</f>
        <v>X</v>
      </c>
      <c r="R2332">
        <f>WEEKNUM(datos_siembra[[#This Row],[Date]],2)-WEEKNUM(DATE(YEAR(datos_siembra[[#This Row],[Date]]),MONTH(datos_siembra[[#This Row],[Date]]),1))+1</f>
        <v>1</v>
      </c>
      <c r="S2332">
        <f>MONTH(datos_siembra[[#This Row],[Date]])</f>
        <v>10</v>
      </c>
      <c r="T2332" t="str" cm="1">
        <f t="array" ref="T2332">_xlfn.IFS(AND(N2332&lt;= 22, S2332=9), "SOWING",AND(N2332&lt;= 28, S2332=9), "COVERAGE",AND(N2332&lt;= 30, S2332=9), "FLUSH",AND(N2332&lt;= 11, S2332=10), "FLUSH",AND(N2332&lt;= 21, S2332=10), "PRODUCTION")</f>
        <v>FLUSH</v>
      </c>
      <c r="U2332">
        <f>HOUR(datos_siembra[[#This Row],[Hour]])</f>
        <v>23</v>
      </c>
      <c r="V2332" cm="1">
        <f t="array" ref="V2332">_xlfn.IFS(AND(N2332&lt;= 22, S2332=9), N2332-7,AND(N2332&lt;= 28, S2332=9), N2332-25,AND(N2332&lt;= 30, S2332=9), N2332-28,AND(N2332&lt;= 11, S2332=10), N2332+2,AND(N2332&lt;= 21, S2332=10), N2332-11)</f>
        <v>4</v>
      </c>
    </row>
    <row r="2333" spans="1:22" x14ac:dyDescent="0.35">
      <c r="A2333" s="4">
        <v>45567</v>
      </c>
      <c r="B2333" s="5">
        <v>0.9771643518518518</v>
      </c>
      <c r="C2333">
        <v>71.7</v>
      </c>
      <c r="D2333">
        <v>70.099999999999994</v>
      </c>
      <c r="E2333">
        <v>69.900000000000006</v>
      </c>
      <c r="F2333">
        <v>67.8</v>
      </c>
      <c r="G2333">
        <v>0</v>
      </c>
      <c r="H2333">
        <v>0</v>
      </c>
      <c r="I2333">
        <v>0</v>
      </c>
      <c r="J2333">
        <v>0</v>
      </c>
      <c r="K2333">
        <v>62.8</v>
      </c>
      <c r="L2333">
        <v>63.3</v>
      </c>
      <c r="M2333">
        <v>69.88</v>
      </c>
      <c r="N2333">
        <v>2</v>
      </c>
      <c r="O2333">
        <v>1</v>
      </c>
      <c r="P2333">
        <f>MOD(DAY(datos_siembra[[#This Row],[Date]]),7)</f>
        <v>2</v>
      </c>
      <c r="Q2333" t="str">
        <f>CHOOSE(WEEKDAY(datos_siembra[[#This Row],[Date]],2),"L","M","X","J","V","S","D")</f>
        <v>X</v>
      </c>
      <c r="R2333">
        <f>WEEKNUM(datos_siembra[[#This Row],[Date]],2)-WEEKNUM(DATE(YEAR(datos_siembra[[#This Row],[Date]]),MONTH(datos_siembra[[#This Row],[Date]]),1))+1</f>
        <v>1</v>
      </c>
      <c r="S2333">
        <f>MONTH(datos_siembra[[#This Row],[Date]])</f>
        <v>10</v>
      </c>
      <c r="T2333" t="str" cm="1">
        <f t="array" ref="T2333">_xlfn.IFS(AND(N2333&lt;= 22, S2333=9), "SOWING",AND(N2333&lt;= 28, S2333=9), "COVERAGE",AND(N2333&lt;= 30, S2333=9), "FLUSH",AND(N2333&lt;= 11, S2333=10), "FLUSH",AND(N2333&lt;= 21, S2333=10), "PRODUCTION")</f>
        <v>FLUSH</v>
      </c>
      <c r="U2333">
        <f>HOUR(datos_siembra[[#This Row],[Hour]])</f>
        <v>23</v>
      </c>
      <c r="V2333" cm="1">
        <f t="array" ref="V2333">_xlfn.IFS(AND(N2333&lt;= 22, S2333=9), N2333-7,AND(N2333&lt;= 28, S2333=9), N2333-25,AND(N2333&lt;= 30, S2333=9), N2333-28,AND(N2333&lt;= 11, S2333=10), N2333+2,AND(N2333&lt;= 21, S2333=10), N2333-11)</f>
        <v>4</v>
      </c>
    </row>
    <row r="2334" spans="1:22" x14ac:dyDescent="0.35">
      <c r="A2334" s="4">
        <v>45567</v>
      </c>
      <c r="B2334" s="5">
        <v>0.98410879629629633</v>
      </c>
      <c r="C2334">
        <v>71.900000000000006</v>
      </c>
      <c r="D2334">
        <v>70</v>
      </c>
      <c r="E2334">
        <v>69.7</v>
      </c>
      <c r="F2334">
        <v>67.599999999999994</v>
      </c>
      <c r="G2334">
        <v>0</v>
      </c>
      <c r="H2334">
        <v>0</v>
      </c>
      <c r="I2334">
        <v>0</v>
      </c>
      <c r="J2334">
        <v>0</v>
      </c>
      <c r="K2334">
        <v>62.8</v>
      </c>
      <c r="L2334">
        <v>63.2</v>
      </c>
      <c r="M2334">
        <v>69.77</v>
      </c>
      <c r="N2334">
        <v>2</v>
      </c>
      <c r="O2334">
        <v>1</v>
      </c>
      <c r="P2334">
        <f>MOD(DAY(datos_siembra[[#This Row],[Date]]),7)</f>
        <v>2</v>
      </c>
      <c r="Q2334" t="str">
        <f>CHOOSE(WEEKDAY(datos_siembra[[#This Row],[Date]],2),"L","M","X","J","V","S","D")</f>
        <v>X</v>
      </c>
      <c r="R2334">
        <f>WEEKNUM(datos_siembra[[#This Row],[Date]],2)-WEEKNUM(DATE(YEAR(datos_siembra[[#This Row],[Date]]),MONTH(datos_siembra[[#This Row],[Date]]),1))+1</f>
        <v>1</v>
      </c>
      <c r="S2334">
        <f>MONTH(datos_siembra[[#This Row],[Date]])</f>
        <v>10</v>
      </c>
      <c r="T2334" t="str" cm="1">
        <f t="array" ref="T2334">_xlfn.IFS(AND(N2334&lt;= 22, S2334=9), "SOWING",AND(N2334&lt;= 28, S2334=9), "COVERAGE",AND(N2334&lt;= 30, S2334=9), "FLUSH",AND(N2334&lt;= 11, S2334=10), "FLUSH",AND(N2334&lt;= 21, S2334=10), "PRODUCTION")</f>
        <v>FLUSH</v>
      </c>
      <c r="U2334">
        <f>HOUR(datos_siembra[[#This Row],[Hour]])</f>
        <v>23</v>
      </c>
      <c r="V2334" cm="1">
        <f t="array" ref="V2334">_xlfn.IFS(AND(N2334&lt;= 22, S2334=9), N2334-7,AND(N2334&lt;= 28, S2334=9), N2334-25,AND(N2334&lt;= 30, S2334=9), N2334-28,AND(N2334&lt;= 11, S2334=10), N2334+2,AND(N2334&lt;= 21, S2334=10), N2334-11)</f>
        <v>4</v>
      </c>
    </row>
    <row r="2335" spans="1:22" x14ac:dyDescent="0.35">
      <c r="A2335" s="4">
        <v>45567</v>
      </c>
      <c r="B2335" s="5">
        <v>0.99106481481481479</v>
      </c>
      <c r="C2335">
        <v>71.8</v>
      </c>
      <c r="D2335">
        <v>70</v>
      </c>
      <c r="E2335">
        <v>69.7</v>
      </c>
      <c r="F2335">
        <v>67.8</v>
      </c>
      <c r="G2335">
        <v>0</v>
      </c>
      <c r="H2335">
        <v>0</v>
      </c>
      <c r="I2335">
        <v>0</v>
      </c>
      <c r="J2335">
        <v>0</v>
      </c>
      <c r="K2335">
        <v>62.7</v>
      </c>
      <c r="L2335">
        <v>63.2</v>
      </c>
      <c r="M2335">
        <v>69.88</v>
      </c>
      <c r="N2335">
        <v>2</v>
      </c>
      <c r="O2335">
        <v>1</v>
      </c>
      <c r="P2335">
        <f>MOD(DAY(datos_siembra[[#This Row],[Date]]),7)</f>
        <v>2</v>
      </c>
      <c r="Q2335" t="str">
        <f>CHOOSE(WEEKDAY(datos_siembra[[#This Row],[Date]],2),"L","M","X","J","V","S","D")</f>
        <v>X</v>
      </c>
      <c r="R2335">
        <f>WEEKNUM(datos_siembra[[#This Row],[Date]],2)-WEEKNUM(DATE(YEAR(datos_siembra[[#This Row],[Date]]),MONTH(datos_siembra[[#This Row],[Date]]),1))+1</f>
        <v>1</v>
      </c>
      <c r="S2335">
        <f>MONTH(datos_siembra[[#This Row],[Date]])</f>
        <v>10</v>
      </c>
      <c r="T2335" t="str" cm="1">
        <f t="array" ref="T2335">_xlfn.IFS(AND(N2335&lt;= 22, S2335=9), "SOWING",AND(N2335&lt;= 28, S2335=9), "COVERAGE",AND(N2335&lt;= 30, S2335=9), "FLUSH",AND(N2335&lt;= 11, S2335=10), "FLUSH",AND(N2335&lt;= 21, S2335=10), "PRODUCTION")</f>
        <v>FLUSH</v>
      </c>
      <c r="U2335">
        <f>HOUR(datos_siembra[[#This Row],[Hour]])</f>
        <v>23</v>
      </c>
      <c r="V2335" cm="1">
        <f t="array" ref="V2335">_xlfn.IFS(AND(N2335&lt;= 22, S2335=9), N2335-7,AND(N2335&lt;= 28, S2335=9), N2335-25,AND(N2335&lt;= 30, S2335=9), N2335-28,AND(N2335&lt;= 11, S2335=10), N2335+2,AND(N2335&lt;= 21, S2335=10), N2335-11)</f>
        <v>4</v>
      </c>
    </row>
    <row r="2336" spans="1:22" x14ac:dyDescent="0.35">
      <c r="A2336" s="4">
        <v>45567</v>
      </c>
      <c r="B2336" s="5">
        <v>0.99800925925925921</v>
      </c>
      <c r="C2336">
        <v>71.900000000000006</v>
      </c>
      <c r="D2336">
        <v>70.099999999999994</v>
      </c>
      <c r="E2336">
        <v>69.8</v>
      </c>
      <c r="F2336">
        <v>67.900000000000006</v>
      </c>
      <c r="G2336">
        <v>0</v>
      </c>
      <c r="H2336">
        <v>0</v>
      </c>
      <c r="I2336">
        <v>0</v>
      </c>
      <c r="J2336">
        <v>0</v>
      </c>
      <c r="K2336">
        <v>62.6</v>
      </c>
      <c r="L2336">
        <v>63</v>
      </c>
      <c r="M2336">
        <v>69.94</v>
      </c>
      <c r="N2336">
        <v>2</v>
      </c>
      <c r="O2336">
        <v>1</v>
      </c>
      <c r="P2336">
        <f>MOD(DAY(datos_siembra[[#This Row],[Date]]),7)</f>
        <v>2</v>
      </c>
      <c r="Q2336" t="str">
        <f>CHOOSE(WEEKDAY(datos_siembra[[#This Row],[Date]],2),"L","M","X","J","V","S","D")</f>
        <v>X</v>
      </c>
      <c r="R2336">
        <f>WEEKNUM(datos_siembra[[#This Row],[Date]],2)-WEEKNUM(DATE(YEAR(datos_siembra[[#This Row],[Date]]),MONTH(datos_siembra[[#This Row],[Date]]),1))+1</f>
        <v>1</v>
      </c>
      <c r="S2336">
        <f>MONTH(datos_siembra[[#This Row],[Date]])</f>
        <v>10</v>
      </c>
      <c r="T2336" t="str" cm="1">
        <f t="array" ref="T2336">_xlfn.IFS(AND(N2336&lt;= 22, S2336=9), "SOWING",AND(N2336&lt;= 28, S2336=9), "COVERAGE",AND(N2336&lt;= 30, S2336=9), "FLUSH",AND(N2336&lt;= 11, S2336=10), "FLUSH",AND(N2336&lt;= 21, S2336=10), "PRODUCTION")</f>
        <v>FLUSH</v>
      </c>
      <c r="U2336">
        <f>HOUR(datos_siembra[[#This Row],[Hour]])</f>
        <v>23</v>
      </c>
      <c r="V2336" cm="1">
        <f t="array" ref="V2336">_xlfn.IFS(AND(N2336&lt;= 22, S2336=9), N2336-7,AND(N2336&lt;= 28, S2336=9), N2336-25,AND(N2336&lt;= 30, S2336=9), N2336-28,AND(N2336&lt;= 11, S2336=10), N2336+2,AND(N2336&lt;= 21, S2336=10), N2336-11)</f>
        <v>4</v>
      </c>
    </row>
    <row r="2337" spans="1:22" x14ac:dyDescent="0.35">
      <c r="A2337" s="4">
        <v>45568</v>
      </c>
      <c r="B2337" s="5">
        <v>4.9537037037037041E-3</v>
      </c>
      <c r="C2337">
        <v>71.7</v>
      </c>
      <c r="D2337">
        <v>70.099999999999994</v>
      </c>
      <c r="E2337">
        <v>69.599999999999994</v>
      </c>
      <c r="F2337">
        <v>67.8</v>
      </c>
      <c r="G2337">
        <v>0</v>
      </c>
      <c r="H2337">
        <v>0</v>
      </c>
      <c r="I2337">
        <v>0</v>
      </c>
      <c r="J2337">
        <v>0</v>
      </c>
      <c r="K2337">
        <v>62.7</v>
      </c>
      <c r="L2337">
        <v>63.2</v>
      </c>
      <c r="M2337">
        <v>69.83</v>
      </c>
      <c r="N2337">
        <v>3</v>
      </c>
      <c r="O2337">
        <v>2</v>
      </c>
      <c r="P2337">
        <f>MOD(DAY(datos_siembra[[#This Row],[Date]]),7)</f>
        <v>3</v>
      </c>
      <c r="Q2337" t="str">
        <f>CHOOSE(WEEKDAY(datos_siembra[[#This Row],[Date]],2),"L","M","X","J","V","S","D")</f>
        <v>J</v>
      </c>
      <c r="R2337">
        <f>WEEKNUM(datos_siembra[[#This Row],[Date]],2)-WEEKNUM(DATE(YEAR(datos_siembra[[#This Row],[Date]]),MONTH(datos_siembra[[#This Row],[Date]]),1))+1</f>
        <v>1</v>
      </c>
      <c r="S2337">
        <f>MONTH(datos_siembra[[#This Row],[Date]])</f>
        <v>10</v>
      </c>
      <c r="T2337" t="str" cm="1">
        <f t="array" ref="T2337">_xlfn.IFS(AND(N2337&lt;= 22, S2337=9), "SOWING",AND(N2337&lt;= 28, S2337=9), "COVERAGE",AND(N2337&lt;= 30, S2337=9), "FLUSH",AND(N2337&lt;= 11, S2337=10), "FLUSH",AND(N2337&lt;= 21, S2337=10), "PRODUCTION")</f>
        <v>FLUSH</v>
      </c>
      <c r="U2337">
        <f>HOUR(datos_siembra[[#This Row],[Hour]])</f>
        <v>0</v>
      </c>
      <c r="V2337" cm="1">
        <f t="array" ref="V2337">_xlfn.IFS(AND(N2337&lt;= 22, S2337=9), N2337-7,AND(N2337&lt;= 28, S2337=9), N2337-25,AND(N2337&lt;= 30, S2337=9), N2337-28,AND(N2337&lt;= 11, S2337=10), N2337+2,AND(N2337&lt;= 21, S2337=10), N2337-11)</f>
        <v>5</v>
      </c>
    </row>
    <row r="2338" spans="1:22" x14ac:dyDescent="0.35">
      <c r="A2338" s="4">
        <v>45568</v>
      </c>
      <c r="B2338" s="5">
        <v>1.1898148148148149E-2</v>
      </c>
      <c r="C2338">
        <v>71.599999999999994</v>
      </c>
      <c r="D2338">
        <v>70.099999999999994</v>
      </c>
      <c r="E2338">
        <v>69.7</v>
      </c>
      <c r="F2338">
        <v>67.599999999999994</v>
      </c>
      <c r="G2338">
        <v>0</v>
      </c>
      <c r="H2338">
        <v>0</v>
      </c>
      <c r="I2338">
        <v>0</v>
      </c>
      <c r="J2338">
        <v>0</v>
      </c>
      <c r="K2338">
        <v>62.5</v>
      </c>
      <c r="L2338">
        <v>63.2</v>
      </c>
      <c r="M2338">
        <v>69.739999999999995</v>
      </c>
      <c r="N2338">
        <v>3</v>
      </c>
      <c r="O2338">
        <v>2</v>
      </c>
      <c r="P2338">
        <f>MOD(DAY(datos_siembra[[#This Row],[Date]]),7)</f>
        <v>3</v>
      </c>
      <c r="Q2338" t="str">
        <f>CHOOSE(WEEKDAY(datos_siembra[[#This Row],[Date]],2),"L","M","X","J","V","S","D")</f>
        <v>J</v>
      </c>
      <c r="R2338">
        <f>WEEKNUM(datos_siembra[[#This Row],[Date]],2)-WEEKNUM(DATE(YEAR(datos_siembra[[#This Row],[Date]]),MONTH(datos_siembra[[#This Row],[Date]]),1))+1</f>
        <v>1</v>
      </c>
      <c r="S2338">
        <f>MONTH(datos_siembra[[#This Row],[Date]])</f>
        <v>10</v>
      </c>
      <c r="T2338" t="str" cm="1">
        <f t="array" ref="T2338">_xlfn.IFS(AND(N2338&lt;= 22, S2338=9), "SOWING",AND(N2338&lt;= 28, S2338=9), "COVERAGE",AND(N2338&lt;= 30, S2338=9), "FLUSH",AND(N2338&lt;= 11, S2338=10), "FLUSH",AND(N2338&lt;= 21, S2338=10), "PRODUCTION")</f>
        <v>FLUSH</v>
      </c>
      <c r="U2338">
        <f>HOUR(datos_siembra[[#This Row],[Hour]])</f>
        <v>0</v>
      </c>
      <c r="V2338" cm="1">
        <f t="array" ref="V2338">_xlfn.IFS(AND(N2338&lt;= 22, S2338=9), N2338-7,AND(N2338&lt;= 28, S2338=9), N2338-25,AND(N2338&lt;= 30, S2338=9), N2338-28,AND(N2338&lt;= 11, S2338=10), N2338+2,AND(N2338&lt;= 21, S2338=10), N2338-11)</f>
        <v>5</v>
      </c>
    </row>
    <row r="2339" spans="1:22" x14ac:dyDescent="0.35">
      <c r="A2339" s="4">
        <v>45568</v>
      </c>
      <c r="B2339" s="5">
        <v>1.8854166666666668E-2</v>
      </c>
      <c r="C2339">
        <v>71.5</v>
      </c>
      <c r="D2339">
        <v>70.099999999999994</v>
      </c>
      <c r="E2339">
        <v>69.7</v>
      </c>
      <c r="F2339">
        <v>67.8</v>
      </c>
      <c r="G2339">
        <v>0</v>
      </c>
      <c r="H2339">
        <v>0</v>
      </c>
      <c r="I2339">
        <v>0</v>
      </c>
      <c r="J2339">
        <v>0</v>
      </c>
      <c r="K2339">
        <v>62.6</v>
      </c>
      <c r="L2339">
        <v>63</v>
      </c>
      <c r="M2339">
        <v>69.83</v>
      </c>
      <c r="N2339">
        <v>3</v>
      </c>
      <c r="O2339">
        <v>2</v>
      </c>
      <c r="P2339">
        <f>MOD(DAY(datos_siembra[[#This Row],[Date]]),7)</f>
        <v>3</v>
      </c>
      <c r="Q2339" t="str">
        <f>CHOOSE(WEEKDAY(datos_siembra[[#This Row],[Date]],2),"L","M","X","J","V","S","D")</f>
        <v>J</v>
      </c>
      <c r="R2339">
        <f>WEEKNUM(datos_siembra[[#This Row],[Date]],2)-WEEKNUM(DATE(YEAR(datos_siembra[[#This Row],[Date]]),MONTH(datos_siembra[[#This Row],[Date]]),1))+1</f>
        <v>1</v>
      </c>
      <c r="S2339">
        <f>MONTH(datos_siembra[[#This Row],[Date]])</f>
        <v>10</v>
      </c>
      <c r="T2339" t="str" cm="1">
        <f t="array" ref="T2339">_xlfn.IFS(AND(N2339&lt;= 22, S2339=9), "SOWING",AND(N2339&lt;= 28, S2339=9), "COVERAGE",AND(N2339&lt;= 30, S2339=9), "FLUSH",AND(N2339&lt;= 11, S2339=10), "FLUSH",AND(N2339&lt;= 21, S2339=10), "PRODUCTION")</f>
        <v>FLUSH</v>
      </c>
      <c r="U2339">
        <f>HOUR(datos_siembra[[#This Row],[Hour]])</f>
        <v>0</v>
      </c>
      <c r="V2339" cm="1">
        <f t="array" ref="V2339">_xlfn.IFS(AND(N2339&lt;= 22, S2339=9), N2339-7,AND(N2339&lt;= 28, S2339=9), N2339-25,AND(N2339&lt;= 30, S2339=9), N2339-28,AND(N2339&lt;= 11, S2339=10), N2339+2,AND(N2339&lt;= 21, S2339=10), N2339-11)</f>
        <v>5</v>
      </c>
    </row>
    <row r="2340" spans="1:22" x14ac:dyDescent="0.35">
      <c r="A2340" s="4">
        <v>45568</v>
      </c>
      <c r="B2340" s="5">
        <v>2.5798611111111112E-2</v>
      </c>
      <c r="C2340">
        <v>71.5</v>
      </c>
      <c r="D2340">
        <v>70</v>
      </c>
      <c r="E2340">
        <v>69.599999999999994</v>
      </c>
      <c r="F2340">
        <v>67.7</v>
      </c>
      <c r="G2340">
        <v>0</v>
      </c>
      <c r="H2340">
        <v>0</v>
      </c>
      <c r="I2340">
        <v>0</v>
      </c>
      <c r="J2340">
        <v>0</v>
      </c>
      <c r="K2340">
        <v>62.7</v>
      </c>
      <c r="L2340">
        <v>63.2</v>
      </c>
      <c r="M2340">
        <v>69.8</v>
      </c>
      <c r="N2340">
        <v>3</v>
      </c>
      <c r="O2340">
        <v>2</v>
      </c>
      <c r="P2340">
        <f>MOD(DAY(datos_siembra[[#This Row],[Date]]),7)</f>
        <v>3</v>
      </c>
      <c r="Q2340" t="str">
        <f>CHOOSE(WEEKDAY(datos_siembra[[#This Row],[Date]],2),"L","M","X","J","V","S","D")</f>
        <v>J</v>
      </c>
      <c r="R2340">
        <f>WEEKNUM(datos_siembra[[#This Row],[Date]],2)-WEEKNUM(DATE(YEAR(datos_siembra[[#This Row],[Date]]),MONTH(datos_siembra[[#This Row],[Date]]),1))+1</f>
        <v>1</v>
      </c>
      <c r="S2340">
        <f>MONTH(datos_siembra[[#This Row],[Date]])</f>
        <v>10</v>
      </c>
      <c r="T2340" t="str" cm="1">
        <f t="array" ref="T2340">_xlfn.IFS(AND(N2340&lt;= 22, S2340=9), "SOWING",AND(N2340&lt;= 28, S2340=9), "COVERAGE",AND(N2340&lt;= 30, S2340=9), "FLUSH",AND(N2340&lt;= 11, S2340=10), "FLUSH",AND(N2340&lt;= 21, S2340=10), "PRODUCTION")</f>
        <v>FLUSH</v>
      </c>
      <c r="U2340">
        <f>HOUR(datos_siembra[[#This Row],[Hour]])</f>
        <v>0</v>
      </c>
      <c r="V2340" cm="1">
        <f t="array" ref="V2340">_xlfn.IFS(AND(N2340&lt;= 22, S2340=9), N2340-7,AND(N2340&lt;= 28, S2340=9), N2340-25,AND(N2340&lt;= 30, S2340=9), N2340-28,AND(N2340&lt;= 11, S2340=10), N2340+2,AND(N2340&lt;= 21, S2340=10), N2340-11)</f>
        <v>5</v>
      </c>
    </row>
    <row r="2341" spans="1:22" x14ac:dyDescent="0.35">
      <c r="A2341" s="4">
        <v>45568</v>
      </c>
      <c r="B2341" s="5">
        <v>3.2743055555555553E-2</v>
      </c>
      <c r="C2341">
        <v>71.7</v>
      </c>
      <c r="D2341">
        <v>70</v>
      </c>
      <c r="E2341">
        <v>69.599999999999994</v>
      </c>
      <c r="F2341">
        <v>67.7</v>
      </c>
      <c r="G2341">
        <v>0</v>
      </c>
      <c r="H2341">
        <v>0</v>
      </c>
      <c r="I2341">
        <v>0</v>
      </c>
      <c r="J2341">
        <v>0</v>
      </c>
      <c r="K2341">
        <v>62.7</v>
      </c>
      <c r="L2341">
        <v>63.2</v>
      </c>
      <c r="M2341">
        <v>69.77</v>
      </c>
      <c r="N2341">
        <v>3</v>
      </c>
      <c r="O2341">
        <v>2</v>
      </c>
      <c r="P2341">
        <f>MOD(DAY(datos_siembra[[#This Row],[Date]]),7)</f>
        <v>3</v>
      </c>
      <c r="Q2341" t="str">
        <f>CHOOSE(WEEKDAY(datos_siembra[[#This Row],[Date]],2),"L","M","X","J","V","S","D")</f>
        <v>J</v>
      </c>
      <c r="R2341">
        <f>WEEKNUM(datos_siembra[[#This Row],[Date]],2)-WEEKNUM(DATE(YEAR(datos_siembra[[#This Row],[Date]]),MONTH(datos_siembra[[#This Row],[Date]]),1))+1</f>
        <v>1</v>
      </c>
      <c r="S2341">
        <f>MONTH(datos_siembra[[#This Row],[Date]])</f>
        <v>10</v>
      </c>
      <c r="T2341" t="str" cm="1">
        <f t="array" ref="T2341">_xlfn.IFS(AND(N2341&lt;= 22, S2341=9), "SOWING",AND(N2341&lt;= 28, S2341=9), "COVERAGE",AND(N2341&lt;= 30, S2341=9), "FLUSH",AND(N2341&lt;= 11, S2341=10), "FLUSH",AND(N2341&lt;= 21, S2341=10), "PRODUCTION")</f>
        <v>FLUSH</v>
      </c>
      <c r="U2341">
        <f>HOUR(datos_siembra[[#This Row],[Hour]])</f>
        <v>0</v>
      </c>
      <c r="V2341" cm="1">
        <f t="array" ref="V2341">_xlfn.IFS(AND(N2341&lt;= 22, S2341=9), N2341-7,AND(N2341&lt;= 28, S2341=9), N2341-25,AND(N2341&lt;= 30, S2341=9), N2341-28,AND(N2341&lt;= 11, S2341=10), N2341+2,AND(N2341&lt;= 21, S2341=10), N2341-11)</f>
        <v>5</v>
      </c>
    </row>
    <row r="2342" spans="1:22" x14ac:dyDescent="0.35">
      <c r="A2342" s="4">
        <v>45568</v>
      </c>
      <c r="B2342" s="5">
        <v>3.9687500000000001E-2</v>
      </c>
      <c r="C2342">
        <v>71.7</v>
      </c>
      <c r="D2342">
        <v>70</v>
      </c>
      <c r="E2342">
        <v>69.7</v>
      </c>
      <c r="F2342">
        <v>67.7</v>
      </c>
      <c r="G2342">
        <v>0</v>
      </c>
      <c r="H2342">
        <v>0</v>
      </c>
      <c r="I2342">
        <v>0</v>
      </c>
      <c r="J2342">
        <v>0</v>
      </c>
      <c r="K2342">
        <v>62.6</v>
      </c>
      <c r="L2342">
        <v>63.2</v>
      </c>
      <c r="M2342">
        <v>69.72</v>
      </c>
      <c r="N2342">
        <v>3</v>
      </c>
      <c r="O2342">
        <v>2</v>
      </c>
      <c r="P2342">
        <f>MOD(DAY(datos_siembra[[#This Row],[Date]]),7)</f>
        <v>3</v>
      </c>
      <c r="Q2342" t="str">
        <f>CHOOSE(WEEKDAY(datos_siembra[[#This Row],[Date]],2),"L","M","X","J","V","S","D")</f>
        <v>J</v>
      </c>
      <c r="R2342">
        <f>WEEKNUM(datos_siembra[[#This Row],[Date]],2)-WEEKNUM(DATE(YEAR(datos_siembra[[#This Row],[Date]]),MONTH(datos_siembra[[#This Row],[Date]]),1))+1</f>
        <v>1</v>
      </c>
      <c r="S2342">
        <f>MONTH(datos_siembra[[#This Row],[Date]])</f>
        <v>10</v>
      </c>
      <c r="T2342" t="str" cm="1">
        <f t="array" ref="T2342">_xlfn.IFS(AND(N2342&lt;= 22, S2342=9), "SOWING",AND(N2342&lt;= 28, S2342=9), "COVERAGE",AND(N2342&lt;= 30, S2342=9), "FLUSH",AND(N2342&lt;= 11, S2342=10), "FLUSH",AND(N2342&lt;= 21, S2342=10), "PRODUCTION")</f>
        <v>FLUSH</v>
      </c>
      <c r="U2342">
        <f>HOUR(datos_siembra[[#This Row],[Hour]])</f>
        <v>0</v>
      </c>
      <c r="V2342" cm="1">
        <f t="array" ref="V2342">_xlfn.IFS(AND(N2342&lt;= 22, S2342=9), N2342-7,AND(N2342&lt;= 28, S2342=9), N2342-25,AND(N2342&lt;= 30, S2342=9), N2342-28,AND(N2342&lt;= 11, S2342=10), N2342+2,AND(N2342&lt;= 21, S2342=10), N2342-11)</f>
        <v>5</v>
      </c>
    </row>
    <row r="2343" spans="1:22" x14ac:dyDescent="0.35">
      <c r="A2343" s="4">
        <v>45568</v>
      </c>
      <c r="B2343" s="5">
        <v>4.6643518518518522E-2</v>
      </c>
      <c r="C2343">
        <v>71.599999999999994</v>
      </c>
      <c r="D2343">
        <v>69.900000000000006</v>
      </c>
      <c r="E2343">
        <v>69.7</v>
      </c>
      <c r="F2343">
        <v>67.599999999999994</v>
      </c>
      <c r="G2343">
        <v>0</v>
      </c>
      <c r="H2343">
        <v>0</v>
      </c>
      <c r="I2343">
        <v>0</v>
      </c>
      <c r="J2343">
        <v>0</v>
      </c>
      <c r="K2343">
        <v>62.5</v>
      </c>
      <c r="L2343">
        <v>63</v>
      </c>
      <c r="M2343">
        <v>69.66</v>
      </c>
      <c r="N2343">
        <v>3</v>
      </c>
      <c r="O2343">
        <v>2</v>
      </c>
      <c r="P2343">
        <f>MOD(DAY(datos_siembra[[#This Row],[Date]]),7)</f>
        <v>3</v>
      </c>
      <c r="Q2343" t="str">
        <f>CHOOSE(WEEKDAY(datos_siembra[[#This Row],[Date]],2),"L","M","X","J","V","S","D")</f>
        <v>J</v>
      </c>
      <c r="R2343">
        <f>WEEKNUM(datos_siembra[[#This Row],[Date]],2)-WEEKNUM(DATE(YEAR(datos_siembra[[#This Row],[Date]]),MONTH(datos_siembra[[#This Row],[Date]]),1))+1</f>
        <v>1</v>
      </c>
      <c r="S2343">
        <f>MONTH(datos_siembra[[#This Row],[Date]])</f>
        <v>10</v>
      </c>
      <c r="T2343" t="str" cm="1">
        <f t="array" ref="T2343">_xlfn.IFS(AND(N2343&lt;= 22, S2343=9), "SOWING",AND(N2343&lt;= 28, S2343=9), "COVERAGE",AND(N2343&lt;= 30, S2343=9), "FLUSH",AND(N2343&lt;= 11, S2343=10), "FLUSH",AND(N2343&lt;= 21, S2343=10), "PRODUCTION")</f>
        <v>FLUSH</v>
      </c>
      <c r="U2343">
        <f>HOUR(datos_siembra[[#This Row],[Hour]])</f>
        <v>1</v>
      </c>
      <c r="V2343" cm="1">
        <f t="array" ref="V2343">_xlfn.IFS(AND(N2343&lt;= 22, S2343=9), N2343-7,AND(N2343&lt;= 28, S2343=9), N2343-25,AND(N2343&lt;= 30, S2343=9), N2343-28,AND(N2343&lt;= 11, S2343=10), N2343+2,AND(N2343&lt;= 21, S2343=10), N2343-11)</f>
        <v>5</v>
      </c>
    </row>
    <row r="2344" spans="1:22" x14ac:dyDescent="0.35">
      <c r="A2344" s="4">
        <v>45568</v>
      </c>
      <c r="B2344" s="5">
        <v>5.3587962962962962E-2</v>
      </c>
      <c r="C2344">
        <v>71.5</v>
      </c>
      <c r="D2344">
        <v>70.099999999999994</v>
      </c>
      <c r="E2344">
        <v>69.5</v>
      </c>
      <c r="F2344">
        <v>67.599999999999994</v>
      </c>
      <c r="G2344">
        <v>0</v>
      </c>
      <c r="H2344">
        <v>0</v>
      </c>
      <c r="I2344">
        <v>0</v>
      </c>
      <c r="J2344">
        <v>0</v>
      </c>
      <c r="K2344">
        <v>62.6</v>
      </c>
      <c r="L2344">
        <v>63</v>
      </c>
      <c r="M2344">
        <v>69.63</v>
      </c>
      <c r="N2344">
        <v>3</v>
      </c>
      <c r="O2344">
        <v>2</v>
      </c>
      <c r="P2344">
        <f>MOD(DAY(datos_siembra[[#This Row],[Date]]),7)</f>
        <v>3</v>
      </c>
      <c r="Q2344" t="str">
        <f>CHOOSE(WEEKDAY(datos_siembra[[#This Row],[Date]],2),"L","M","X","J","V","S","D")</f>
        <v>J</v>
      </c>
      <c r="R2344">
        <f>WEEKNUM(datos_siembra[[#This Row],[Date]],2)-WEEKNUM(DATE(YEAR(datos_siembra[[#This Row],[Date]]),MONTH(datos_siembra[[#This Row],[Date]]),1))+1</f>
        <v>1</v>
      </c>
      <c r="S2344">
        <f>MONTH(datos_siembra[[#This Row],[Date]])</f>
        <v>10</v>
      </c>
      <c r="T2344" t="str" cm="1">
        <f t="array" ref="T2344">_xlfn.IFS(AND(N2344&lt;= 22, S2344=9), "SOWING",AND(N2344&lt;= 28, S2344=9), "COVERAGE",AND(N2344&lt;= 30, S2344=9), "FLUSH",AND(N2344&lt;= 11, S2344=10), "FLUSH",AND(N2344&lt;= 21, S2344=10), "PRODUCTION")</f>
        <v>FLUSH</v>
      </c>
      <c r="U2344">
        <f>HOUR(datos_siembra[[#This Row],[Hour]])</f>
        <v>1</v>
      </c>
      <c r="V2344" cm="1">
        <f t="array" ref="V2344">_xlfn.IFS(AND(N2344&lt;= 22, S2344=9), N2344-7,AND(N2344&lt;= 28, S2344=9), N2344-25,AND(N2344&lt;= 30, S2344=9), N2344-28,AND(N2344&lt;= 11, S2344=10), N2344+2,AND(N2344&lt;= 21, S2344=10), N2344-11)</f>
        <v>5</v>
      </c>
    </row>
    <row r="2345" spans="1:22" x14ac:dyDescent="0.35">
      <c r="A2345" s="4">
        <v>45568</v>
      </c>
      <c r="B2345" s="5">
        <v>6.053240740740741E-2</v>
      </c>
      <c r="C2345">
        <v>71.400000000000006</v>
      </c>
      <c r="D2345">
        <v>70</v>
      </c>
      <c r="E2345">
        <v>69.7</v>
      </c>
      <c r="F2345">
        <v>67.3</v>
      </c>
      <c r="G2345">
        <v>0</v>
      </c>
      <c r="H2345">
        <v>0</v>
      </c>
      <c r="I2345">
        <v>0</v>
      </c>
      <c r="J2345">
        <v>0</v>
      </c>
      <c r="K2345">
        <v>62.6</v>
      </c>
      <c r="L2345">
        <v>63</v>
      </c>
      <c r="M2345">
        <v>69.599999999999994</v>
      </c>
      <c r="N2345">
        <v>3</v>
      </c>
      <c r="O2345">
        <v>2</v>
      </c>
      <c r="P2345">
        <f>MOD(DAY(datos_siembra[[#This Row],[Date]]),7)</f>
        <v>3</v>
      </c>
      <c r="Q2345" t="str">
        <f>CHOOSE(WEEKDAY(datos_siembra[[#This Row],[Date]],2),"L","M","X","J","V","S","D")</f>
        <v>J</v>
      </c>
      <c r="R2345">
        <f>WEEKNUM(datos_siembra[[#This Row],[Date]],2)-WEEKNUM(DATE(YEAR(datos_siembra[[#This Row],[Date]]),MONTH(datos_siembra[[#This Row],[Date]]),1))+1</f>
        <v>1</v>
      </c>
      <c r="S2345">
        <f>MONTH(datos_siembra[[#This Row],[Date]])</f>
        <v>10</v>
      </c>
      <c r="T2345" t="str" cm="1">
        <f t="array" ref="T2345">_xlfn.IFS(AND(N2345&lt;= 22, S2345=9), "SOWING",AND(N2345&lt;= 28, S2345=9), "COVERAGE",AND(N2345&lt;= 30, S2345=9), "FLUSH",AND(N2345&lt;= 11, S2345=10), "FLUSH",AND(N2345&lt;= 21, S2345=10), "PRODUCTION")</f>
        <v>FLUSH</v>
      </c>
      <c r="U2345">
        <f>HOUR(datos_siembra[[#This Row],[Hour]])</f>
        <v>1</v>
      </c>
      <c r="V2345" cm="1">
        <f t="array" ref="V2345">_xlfn.IFS(AND(N2345&lt;= 22, S2345=9), N2345-7,AND(N2345&lt;= 28, S2345=9), N2345-25,AND(N2345&lt;= 30, S2345=9), N2345-28,AND(N2345&lt;= 11, S2345=10), N2345+2,AND(N2345&lt;= 21, S2345=10), N2345-11)</f>
        <v>5</v>
      </c>
    </row>
    <row r="2346" spans="1:22" x14ac:dyDescent="0.35">
      <c r="A2346" s="4">
        <v>45568</v>
      </c>
      <c r="B2346" s="5">
        <v>6.7476851851851857E-2</v>
      </c>
      <c r="C2346">
        <v>71.5</v>
      </c>
      <c r="D2346">
        <v>69.900000000000006</v>
      </c>
      <c r="E2346">
        <v>69.7</v>
      </c>
      <c r="F2346">
        <v>67.400000000000006</v>
      </c>
      <c r="G2346">
        <v>0</v>
      </c>
      <c r="H2346">
        <v>0</v>
      </c>
      <c r="I2346">
        <v>0</v>
      </c>
      <c r="J2346">
        <v>0</v>
      </c>
      <c r="K2346">
        <v>62.6</v>
      </c>
      <c r="L2346">
        <v>63</v>
      </c>
      <c r="M2346">
        <v>69.63</v>
      </c>
      <c r="N2346">
        <v>3</v>
      </c>
      <c r="O2346">
        <v>2</v>
      </c>
      <c r="P2346">
        <f>MOD(DAY(datos_siembra[[#This Row],[Date]]),7)</f>
        <v>3</v>
      </c>
      <c r="Q2346" t="str">
        <f>CHOOSE(WEEKDAY(datos_siembra[[#This Row],[Date]],2),"L","M","X","J","V","S","D")</f>
        <v>J</v>
      </c>
      <c r="R2346">
        <f>WEEKNUM(datos_siembra[[#This Row],[Date]],2)-WEEKNUM(DATE(YEAR(datos_siembra[[#This Row],[Date]]),MONTH(datos_siembra[[#This Row],[Date]]),1))+1</f>
        <v>1</v>
      </c>
      <c r="S2346">
        <f>MONTH(datos_siembra[[#This Row],[Date]])</f>
        <v>10</v>
      </c>
      <c r="T2346" t="str" cm="1">
        <f t="array" ref="T2346">_xlfn.IFS(AND(N2346&lt;= 22, S2346=9), "SOWING",AND(N2346&lt;= 28, S2346=9), "COVERAGE",AND(N2346&lt;= 30, S2346=9), "FLUSH",AND(N2346&lt;= 11, S2346=10), "FLUSH",AND(N2346&lt;= 21, S2346=10), "PRODUCTION")</f>
        <v>FLUSH</v>
      </c>
      <c r="U2346">
        <f>HOUR(datos_siembra[[#This Row],[Hour]])</f>
        <v>1</v>
      </c>
      <c r="V2346" cm="1">
        <f t="array" ref="V2346">_xlfn.IFS(AND(N2346&lt;= 22, S2346=9), N2346-7,AND(N2346&lt;= 28, S2346=9), N2346-25,AND(N2346&lt;= 30, S2346=9), N2346-28,AND(N2346&lt;= 11, S2346=10), N2346+2,AND(N2346&lt;= 21, S2346=10), N2346-11)</f>
        <v>5</v>
      </c>
    </row>
    <row r="2347" spans="1:22" x14ac:dyDescent="0.35">
      <c r="A2347" s="4">
        <v>45568</v>
      </c>
      <c r="B2347" s="5">
        <v>7.4432870370370371E-2</v>
      </c>
      <c r="C2347">
        <v>71.5</v>
      </c>
      <c r="D2347">
        <v>69.900000000000006</v>
      </c>
      <c r="E2347">
        <v>69.599999999999994</v>
      </c>
      <c r="F2347">
        <v>67.599999999999994</v>
      </c>
      <c r="G2347">
        <v>0</v>
      </c>
      <c r="H2347">
        <v>0</v>
      </c>
      <c r="I2347">
        <v>0</v>
      </c>
      <c r="J2347">
        <v>0</v>
      </c>
      <c r="K2347">
        <v>62.6</v>
      </c>
      <c r="L2347">
        <v>62.9</v>
      </c>
      <c r="M2347">
        <v>69.66</v>
      </c>
      <c r="N2347">
        <v>3</v>
      </c>
      <c r="O2347">
        <v>2</v>
      </c>
      <c r="P2347">
        <f>MOD(DAY(datos_siembra[[#This Row],[Date]]),7)</f>
        <v>3</v>
      </c>
      <c r="Q2347" t="str">
        <f>CHOOSE(WEEKDAY(datos_siembra[[#This Row],[Date]],2),"L","M","X","J","V","S","D")</f>
        <v>J</v>
      </c>
      <c r="R2347">
        <f>WEEKNUM(datos_siembra[[#This Row],[Date]],2)-WEEKNUM(DATE(YEAR(datos_siembra[[#This Row],[Date]]),MONTH(datos_siembra[[#This Row],[Date]]),1))+1</f>
        <v>1</v>
      </c>
      <c r="S2347">
        <f>MONTH(datos_siembra[[#This Row],[Date]])</f>
        <v>10</v>
      </c>
      <c r="T2347" t="str" cm="1">
        <f t="array" ref="T2347">_xlfn.IFS(AND(N2347&lt;= 22, S2347=9), "SOWING",AND(N2347&lt;= 28, S2347=9), "COVERAGE",AND(N2347&lt;= 30, S2347=9), "FLUSH",AND(N2347&lt;= 11, S2347=10), "FLUSH",AND(N2347&lt;= 21, S2347=10), "PRODUCTION")</f>
        <v>FLUSH</v>
      </c>
      <c r="U2347">
        <f>HOUR(datos_siembra[[#This Row],[Hour]])</f>
        <v>1</v>
      </c>
      <c r="V2347" cm="1">
        <f t="array" ref="V2347">_xlfn.IFS(AND(N2347&lt;= 22, S2347=9), N2347-7,AND(N2347&lt;= 28, S2347=9), N2347-25,AND(N2347&lt;= 30, S2347=9), N2347-28,AND(N2347&lt;= 11, S2347=10), N2347+2,AND(N2347&lt;= 21, S2347=10), N2347-11)</f>
        <v>5</v>
      </c>
    </row>
    <row r="2348" spans="1:22" x14ac:dyDescent="0.35">
      <c r="A2348" s="4">
        <v>45568</v>
      </c>
      <c r="B2348" s="5">
        <v>8.1377314814814819E-2</v>
      </c>
      <c r="C2348">
        <v>71.5</v>
      </c>
      <c r="D2348">
        <v>70</v>
      </c>
      <c r="E2348">
        <v>69.599999999999994</v>
      </c>
      <c r="F2348">
        <v>67.400000000000006</v>
      </c>
      <c r="G2348">
        <v>0</v>
      </c>
      <c r="H2348">
        <v>0</v>
      </c>
      <c r="I2348">
        <v>0</v>
      </c>
      <c r="J2348">
        <v>0</v>
      </c>
      <c r="K2348">
        <v>62.6</v>
      </c>
      <c r="L2348">
        <v>63</v>
      </c>
      <c r="M2348">
        <v>69.599999999999994</v>
      </c>
      <c r="N2348">
        <v>3</v>
      </c>
      <c r="O2348">
        <v>2</v>
      </c>
      <c r="P2348">
        <f>MOD(DAY(datos_siembra[[#This Row],[Date]]),7)</f>
        <v>3</v>
      </c>
      <c r="Q2348" t="str">
        <f>CHOOSE(WEEKDAY(datos_siembra[[#This Row],[Date]],2),"L","M","X","J","V","S","D")</f>
        <v>J</v>
      </c>
      <c r="R2348">
        <f>WEEKNUM(datos_siembra[[#This Row],[Date]],2)-WEEKNUM(DATE(YEAR(datos_siembra[[#This Row],[Date]]),MONTH(datos_siembra[[#This Row],[Date]]),1))+1</f>
        <v>1</v>
      </c>
      <c r="S2348">
        <f>MONTH(datos_siembra[[#This Row],[Date]])</f>
        <v>10</v>
      </c>
      <c r="T2348" t="str" cm="1">
        <f t="array" ref="T2348">_xlfn.IFS(AND(N2348&lt;= 22, S2348=9), "SOWING",AND(N2348&lt;= 28, S2348=9), "COVERAGE",AND(N2348&lt;= 30, S2348=9), "FLUSH",AND(N2348&lt;= 11, S2348=10), "FLUSH",AND(N2348&lt;= 21, S2348=10), "PRODUCTION")</f>
        <v>FLUSH</v>
      </c>
      <c r="U2348">
        <f>HOUR(datos_siembra[[#This Row],[Hour]])</f>
        <v>1</v>
      </c>
      <c r="V2348" cm="1">
        <f t="array" ref="V2348">_xlfn.IFS(AND(N2348&lt;= 22, S2348=9), N2348-7,AND(N2348&lt;= 28, S2348=9), N2348-25,AND(N2348&lt;= 30, S2348=9), N2348-28,AND(N2348&lt;= 11, S2348=10), N2348+2,AND(N2348&lt;= 21, S2348=10), N2348-11)</f>
        <v>5</v>
      </c>
    </row>
    <row r="2349" spans="1:22" x14ac:dyDescent="0.35">
      <c r="A2349" s="4">
        <v>45568</v>
      </c>
      <c r="B2349" s="5">
        <v>8.8321759259259253E-2</v>
      </c>
      <c r="C2349">
        <v>71.5</v>
      </c>
      <c r="D2349">
        <v>70</v>
      </c>
      <c r="E2349">
        <v>69.5</v>
      </c>
      <c r="F2349">
        <v>67.599999999999994</v>
      </c>
      <c r="G2349">
        <v>0</v>
      </c>
      <c r="H2349">
        <v>0</v>
      </c>
      <c r="I2349">
        <v>0</v>
      </c>
      <c r="J2349">
        <v>0</v>
      </c>
      <c r="K2349">
        <v>62.5</v>
      </c>
      <c r="L2349">
        <v>62.9</v>
      </c>
      <c r="M2349">
        <v>69.63</v>
      </c>
      <c r="N2349">
        <v>3</v>
      </c>
      <c r="O2349">
        <v>2</v>
      </c>
      <c r="P2349">
        <f>MOD(DAY(datos_siembra[[#This Row],[Date]]),7)</f>
        <v>3</v>
      </c>
      <c r="Q2349" t="str">
        <f>CHOOSE(WEEKDAY(datos_siembra[[#This Row],[Date]],2),"L","M","X","J","V","S","D")</f>
        <v>J</v>
      </c>
      <c r="R2349">
        <f>WEEKNUM(datos_siembra[[#This Row],[Date]],2)-WEEKNUM(DATE(YEAR(datos_siembra[[#This Row],[Date]]),MONTH(datos_siembra[[#This Row],[Date]]),1))+1</f>
        <v>1</v>
      </c>
      <c r="S2349">
        <f>MONTH(datos_siembra[[#This Row],[Date]])</f>
        <v>10</v>
      </c>
      <c r="T2349" t="str" cm="1">
        <f t="array" ref="T2349">_xlfn.IFS(AND(N2349&lt;= 22, S2349=9), "SOWING",AND(N2349&lt;= 28, S2349=9), "COVERAGE",AND(N2349&lt;= 30, S2349=9), "FLUSH",AND(N2349&lt;= 11, S2349=10), "FLUSH",AND(N2349&lt;= 21, S2349=10), "PRODUCTION")</f>
        <v>FLUSH</v>
      </c>
      <c r="U2349">
        <f>HOUR(datos_siembra[[#This Row],[Hour]])</f>
        <v>2</v>
      </c>
      <c r="V2349" cm="1">
        <f t="array" ref="V2349">_xlfn.IFS(AND(N2349&lt;= 22, S2349=9), N2349-7,AND(N2349&lt;= 28, S2349=9), N2349-25,AND(N2349&lt;= 30, S2349=9), N2349-28,AND(N2349&lt;= 11, S2349=10), N2349+2,AND(N2349&lt;= 21, S2349=10), N2349-11)</f>
        <v>5</v>
      </c>
    </row>
    <row r="2350" spans="1:22" x14ac:dyDescent="0.35">
      <c r="A2350" s="4">
        <v>45568</v>
      </c>
      <c r="B2350" s="5">
        <v>9.5277777777777781E-2</v>
      </c>
      <c r="C2350">
        <v>71.400000000000006</v>
      </c>
      <c r="D2350">
        <v>69.900000000000006</v>
      </c>
      <c r="E2350">
        <v>69.5</v>
      </c>
      <c r="F2350">
        <v>67.400000000000006</v>
      </c>
      <c r="G2350">
        <v>0</v>
      </c>
      <c r="H2350">
        <v>0</v>
      </c>
      <c r="I2350">
        <v>0</v>
      </c>
      <c r="J2350">
        <v>0</v>
      </c>
      <c r="K2350">
        <v>62.4</v>
      </c>
      <c r="L2350">
        <v>62.8</v>
      </c>
      <c r="M2350">
        <v>69.52</v>
      </c>
      <c r="N2350">
        <v>3</v>
      </c>
      <c r="O2350">
        <v>2</v>
      </c>
      <c r="P2350">
        <f>MOD(DAY(datos_siembra[[#This Row],[Date]]),7)</f>
        <v>3</v>
      </c>
      <c r="Q2350" t="str">
        <f>CHOOSE(WEEKDAY(datos_siembra[[#This Row],[Date]],2),"L","M","X","J","V","S","D")</f>
        <v>J</v>
      </c>
      <c r="R2350">
        <f>WEEKNUM(datos_siembra[[#This Row],[Date]],2)-WEEKNUM(DATE(YEAR(datos_siembra[[#This Row],[Date]]),MONTH(datos_siembra[[#This Row],[Date]]),1))+1</f>
        <v>1</v>
      </c>
      <c r="S2350">
        <f>MONTH(datos_siembra[[#This Row],[Date]])</f>
        <v>10</v>
      </c>
      <c r="T2350" t="str" cm="1">
        <f t="array" ref="T2350">_xlfn.IFS(AND(N2350&lt;= 22, S2350=9), "SOWING",AND(N2350&lt;= 28, S2350=9), "COVERAGE",AND(N2350&lt;= 30, S2350=9), "FLUSH",AND(N2350&lt;= 11, S2350=10), "FLUSH",AND(N2350&lt;= 21, S2350=10), "PRODUCTION")</f>
        <v>FLUSH</v>
      </c>
      <c r="U2350">
        <f>HOUR(datos_siembra[[#This Row],[Hour]])</f>
        <v>2</v>
      </c>
      <c r="V2350" cm="1">
        <f t="array" ref="V2350">_xlfn.IFS(AND(N2350&lt;= 22, S2350=9), N2350-7,AND(N2350&lt;= 28, S2350=9), N2350-25,AND(N2350&lt;= 30, S2350=9), N2350-28,AND(N2350&lt;= 11, S2350=10), N2350+2,AND(N2350&lt;= 21, S2350=10), N2350-11)</f>
        <v>5</v>
      </c>
    </row>
    <row r="2351" spans="1:22" x14ac:dyDescent="0.35">
      <c r="A2351" s="4">
        <v>45568</v>
      </c>
      <c r="B2351" s="5">
        <v>0.10222222222222223</v>
      </c>
      <c r="C2351">
        <v>71.400000000000006</v>
      </c>
      <c r="D2351">
        <v>69.900000000000006</v>
      </c>
      <c r="E2351">
        <v>69.5</v>
      </c>
      <c r="F2351">
        <v>67.400000000000006</v>
      </c>
      <c r="G2351">
        <v>0</v>
      </c>
      <c r="H2351">
        <v>0</v>
      </c>
      <c r="I2351">
        <v>0</v>
      </c>
      <c r="J2351">
        <v>0</v>
      </c>
      <c r="K2351">
        <v>62.3</v>
      </c>
      <c r="L2351">
        <v>62.8</v>
      </c>
      <c r="M2351">
        <v>69.599999999999994</v>
      </c>
      <c r="N2351">
        <v>3</v>
      </c>
      <c r="O2351">
        <v>2</v>
      </c>
      <c r="P2351">
        <f>MOD(DAY(datos_siembra[[#This Row],[Date]]),7)</f>
        <v>3</v>
      </c>
      <c r="Q2351" t="str">
        <f>CHOOSE(WEEKDAY(datos_siembra[[#This Row],[Date]],2),"L","M","X","J","V","S","D")</f>
        <v>J</v>
      </c>
      <c r="R2351">
        <f>WEEKNUM(datos_siembra[[#This Row],[Date]],2)-WEEKNUM(DATE(YEAR(datos_siembra[[#This Row],[Date]]),MONTH(datos_siembra[[#This Row],[Date]]),1))+1</f>
        <v>1</v>
      </c>
      <c r="S2351">
        <f>MONTH(datos_siembra[[#This Row],[Date]])</f>
        <v>10</v>
      </c>
      <c r="T2351" t="str" cm="1">
        <f t="array" ref="T2351">_xlfn.IFS(AND(N2351&lt;= 22, S2351=9), "SOWING",AND(N2351&lt;= 28, S2351=9), "COVERAGE",AND(N2351&lt;= 30, S2351=9), "FLUSH",AND(N2351&lt;= 11, S2351=10), "FLUSH",AND(N2351&lt;= 21, S2351=10), "PRODUCTION")</f>
        <v>FLUSH</v>
      </c>
      <c r="U2351">
        <f>HOUR(datos_siembra[[#This Row],[Hour]])</f>
        <v>2</v>
      </c>
      <c r="V2351" cm="1">
        <f t="array" ref="V2351">_xlfn.IFS(AND(N2351&lt;= 22, S2351=9), N2351-7,AND(N2351&lt;= 28, S2351=9), N2351-25,AND(N2351&lt;= 30, S2351=9), N2351-28,AND(N2351&lt;= 11, S2351=10), N2351+2,AND(N2351&lt;= 21, S2351=10), N2351-11)</f>
        <v>5</v>
      </c>
    </row>
    <row r="2352" spans="1:22" x14ac:dyDescent="0.35">
      <c r="A2352" s="4">
        <v>45568</v>
      </c>
      <c r="B2352" s="5">
        <v>0.10916666666666666</v>
      </c>
      <c r="C2352">
        <v>71.400000000000006</v>
      </c>
      <c r="D2352">
        <v>69.8</v>
      </c>
      <c r="E2352">
        <v>69.400000000000006</v>
      </c>
      <c r="F2352">
        <v>67.400000000000006</v>
      </c>
      <c r="G2352">
        <v>0</v>
      </c>
      <c r="H2352">
        <v>0</v>
      </c>
      <c r="I2352">
        <v>0</v>
      </c>
      <c r="J2352">
        <v>0</v>
      </c>
      <c r="K2352">
        <v>62.2</v>
      </c>
      <c r="L2352">
        <v>62.8</v>
      </c>
      <c r="M2352">
        <v>69.52</v>
      </c>
      <c r="N2352">
        <v>3</v>
      </c>
      <c r="O2352">
        <v>2</v>
      </c>
      <c r="P2352">
        <f>MOD(DAY(datos_siembra[[#This Row],[Date]]),7)</f>
        <v>3</v>
      </c>
      <c r="Q2352" t="str">
        <f>CHOOSE(WEEKDAY(datos_siembra[[#This Row],[Date]],2),"L","M","X","J","V","S","D")</f>
        <v>J</v>
      </c>
      <c r="R2352">
        <f>WEEKNUM(datos_siembra[[#This Row],[Date]],2)-WEEKNUM(DATE(YEAR(datos_siembra[[#This Row],[Date]]),MONTH(datos_siembra[[#This Row],[Date]]),1))+1</f>
        <v>1</v>
      </c>
      <c r="S2352">
        <f>MONTH(datos_siembra[[#This Row],[Date]])</f>
        <v>10</v>
      </c>
      <c r="T2352" t="str" cm="1">
        <f t="array" ref="T2352">_xlfn.IFS(AND(N2352&lt;= 22, S2352=9), "SOWING",AND(N2352&lt;= 28, S2352=9), "COVERAGE",AND(N2352&lt;= 30, S2352=9), "FLUSH",AND(N2352&lt;= 11, S2352=10), "FLUSH",AND(N2352&lt;= 21, S2352=10), "PRODUCTION")</f>
        <v>FLUSH</v>
      </c>
      <c r="U2352">
        <f>HOUR(datos_siembra[[#This Row],[Hour]])</f>
        <v>2</v>
      </c>
      <c r="V2352" cm="1">
        <f t="array" ref="V2352">_xlfn.IFS(AND(N2352&lt;= 22, S2352=9), N2352-7,AND(N2352&lt;= 28, S2352=9), N2352-25,AND(N2352&lt;= 30, S2352=9), N2352-28,AND(N2352&lt;= 11, S2352=10), N2352+2,AND(N2352&lt;= 21, S2352=10), N2352-11)</f>
        <v>5</v>
      </c>
    </row>
    <row r="2353" spans="1:22" x14ac:dyDescent="0.35">
      <c r="A2353" s="4">
        <v>45568</v>
      </c>
      <c r="B2353" s="5">
        <v>0.11611111111111111</v>
      </c>
      <c r="C2353">
        <v>71.3</v>
      </c>
      <c r="D2353">
        <v>69.900000000000006</v>
      </c>
      <c r="E2353">
        <v>69.5</v>
      </c>
      <c r="F2353">
        <v>67.3</v>
      </c>
      <c r="G2353">
        <v>0</v>
      </c>
      <c r="H2353">
        <v>0</v>
      </c>
      <c r="I2353">
        <v>0</v>
      </c>
      <c r="J2353">
        <v>0</v>
      </c>
      <c r="K2353">
        <v>62.2</v>
      </c>
      <c r="L2353">
        <v>62.8</v>
      </c>
      <c r="M2353">
        <v>69.569999999999993</v>
      </c>
      <c r="N2353">
        <v>3</v>
      </c>
      <c r="O2353">
        <v>2</v>
      </c>
      <c r="P2353">
        <f>MOD(DAY(datos_siembra[[#This Row],[Date]]),7)</f>
        <v>3</v>
      </c>
      <c r="Q2353" t="str">
        <f>CHOOSE(WEEKDAY(datos_siembra[[#This Row],[Date]],2),"L","M","X","J","V","S","D")</f>
        <v>J</v>
      </c>
      <c r="R2353">
        <f>WEEKNUM(datos_siembra[[#This Row],[Date]],2)-WEEKNUM(DATE(YEAR(datos_siembra[[#This Row],[Date]]),MONTH(datos_siembra[[#This Row],[Date]]),1))+1</f>
        <v>1</v>
      </c>
      <c r="S2353">
        <f>MONTH(datos_siembra[[#This Row],[Date]])</f>
        <v>10</v>
      </c>
      <c r="T2353" t="str" cm="1">
        <f t="array" ref="T2353">_xlfn.IFS(AND(N2353&lt;= 22, S2353=9), "SOWING",AND(N2353&lt;= 28, S2353=9), "COVERAGE",AND(N2353&lt;= 30, S2353=9), "FLUSH",AND(N2353&lt;= 11, S2353=10), "FLUSH",AND(N2353&lt;= 21, S2353=10), "PRODUCTION")</f>
        <v>FLUSH</v>
      </c>
      <c r="U2353">
        <f>HOUR(datos_siembra[[#This Row],[Hour]])</f>
        <v>2</v>
      </c>
      <c r="V2353" cm="1">
        <f t="array" ref="V2353">_xlfn.IFS(AND(N2353&lt;= 22, S2353=9), N2353-7,AND(N2353&lt;= 28, S2353=9), N2353-25,AND(N2353&lt;= 30, S2353=9), N2353-28,AND(N2353&lt;= 11, S2353=10), N2353+2,AND(N2353&lt;= 21, S2353=10), N2353-11)</f>
        <v>5</v>
      </c>
    </row>
    <row r="2354" spans="1:22" x14ac:dyDescent="0.35">
      <c r="A2354" s="4">
        <v>45568</v>
      </c>
      <c r="B2354" s="5">
        <v>0.12306712962962962</v>
      </c>
      <c r="C2354">
        <v>71.3</v>
      </c>
      <c r="D2354">
        <v>69.8</v>
      </c>
      <c r="E2354">
        <v>69.5</v>
      </c>
      <c r="F2354">
        <v>67.3</v>
      </c>
      <c r="G2354">
        <v>0</v>
      </c>
      <c r="H2354">
        <v>0</v>
      </c>
      <c r="I2354">
        <v>0</v>
      </c>
      <c r="J2354">
        <v>0</v>
      </c>
      <c r="K2354">
        <v>62.2</v>
      </c>
      <c r="L2354">
        <v>62.7</v>
      </c>
      <c r="M2354">
        <v>69.52</v>
      </c>
      <c r="N2354">
        <v>3</v>
      </c>
      <c r="O2354">
        <v>2</v>
      </c>
      <c r="P2354">
        <f>MOD(DAY(datos_siembra[[#This Row],[Date]]),7)</f>
        <v>3</v>
      </c>
      <c r="Q2354" t="str">
        <f>CHOOSE(WEEKDAY(datos_siembra[[#This Row],[Date]],2),"L","M","X","J","V","S","D")</f>
        <v>J</v>
      </c>
      <c r="R2354">
        <f>WEEKNUM(datos_siembra[[#This Row],[Date]],2)-WEEKNUM(DATE(YEAR(datos_siembra[[#This Row],[Date]]),MONTH(datos_siembra[[#This Row],[Date]]),1))+1</f>
        <v>1</v>
      </c>
      <c r="S2354">
        <f>MONTH(datos_siembra[[#This Row],[Date]])</f>
        <v>10</v>
      </c>
      <c r="T2354" t="str" cm="1">
        <f t="array" ref="T2354">_xlfn.IFS(AND(N2354&lt;= 22, S2354=9), "SOWING",AND(N2354&lt;= 28, S2354=9), "COVERAGE",AND(N2354&lt;= 30, S2354=9), "FLUSH",AND(N2354&lt;= 11, S2354=10), "FLUSH",AND(N2354&lt;= 21, S2354=10), "PRODUCTION")</f>
        <v>FLUSH</v>
      </c>
      <c r="U2354">
        <f>HOUR(datos_siembra[[#This Row],[Hour]])</f>
        <v>2</v>
      </c>
      <c r="V2354" cm="1">
        <f t="array" ref="V2354">_xlfn.IFS(AND(N2354&lt;= 22, S2354=9), N2354-7,AND(N2354&lt;= 28, S2354=9), N2354-25,AND(N2354&lt;= 30, S2354=9), N2354-28,AND(N2354&lt;= 11, S2354=10), N2354+2,AND(N2354&lt;= 21, S2354=10), N2354-11)</f>
        <v>5</v>
      </c>
    </row>
    <row r="2355" spans="1:22" x14ac:dyDescent="0.35">
      <c r="A2355" s="4">
        <v>45568</v>
      </c>
      <c r="B2355" s="5">
        <v>0.13001157407407407</v>
      </c>
      <c r="C2355">
        <v>71.400000000000006</v>
      </c>
      <c r="D2355">
        <v>69.900000000000006</v>
      </c>
      <c r="E2355">
        <v>69.2</v>
      </c>
      <c r="F2355">
        <v>67.400000000000006</v>
      </c>
      <c r="G2355">
        <v>0</v>
      </c>
      <c r="H2355">
        <v>0</v>
      </c>
      <c r="I2355">
        <v>0</v>
      </c>
      <c r="J2355">
        <v>0</v>
      </c>
      <c r="K2355">
        <v>62.2</v>
      </c>
      <c r="L2355">
        <v>62.7</v>
      </c>
      <c r="M2355">
        <v>69.489999999999995</v>
      </c>
      <c r="N2355">
        <v>3</v>
      </c>
      <c r="O2355">
        <v>2</v>
      </c>
      <c r="P2355">
        <f>MOD(DAY(datos_siembra[[#This Row],[Date]]),7)</f>
        <v>3</v>
      </c>
      <c r="Q2355" t="str">
        <f>CHOOSE(WEEKDAY(datos_siembra[[#This Row],[Date]],2),"L","M","X","J","V","S","D")</f>
        <v>J</v>
      </c>
      <c r="R2355">
        <f>WEEKNUM(datos_siembra[[#This Row],[Date]],2)-WEEKNUM(DATE(YEAR(datos_siembra[[#This Row],[Date]]),MONTH(datos_siembra[[#This Row],[Date]]),1))+1</f>
        <v>1</v>
      </c>
      <c r="S2355">
        <f>MONTH(datos_siembra[[#This Row],[Date]])</f>
        <v>10</v>
      </c>
      <c r="T2355" t="str" cm="1">
        <f t="array" ref="T2355">_xlfn.IFS(AND(N2355&lt;= 22, S2355=9), "SOWING",AND(N2355&lt;= 28, S2355=9), "COVERAGE",AND(N2355&lt;= 30, S2355=9), "FLUSH",AND(N2355&lt;= 11, S2355=10), "FLUSH",AND(N2355&lt;= 21, S2355=10), "PRODUCTION")</f>
        <v>FLUSH</v>
      </c>
      <c r="U2355">
        <f>HOUR(datos_siembra[[#This Row],[Hour]])</f>
        <v>3</v>
      </c>
      <c r="V2355" cm="1">
        <f t="array" ref="V2355">_xlfn.IFS(AND(N2355&lt;= 22, S2355=9), N2355-7,AND(N2355&lt;= 28, S2355=9), N2355-25,AND(N2355&lt;= 30, S2355=9), N2355-28,AND(N2355&lt;= 11, S2355=10), N2355+2,AND(N2355&lt;= 21, S2355=10), N2355-11)</f>
        <v>5</v>
      </c>
    </row>
    <row r="2356" spans="1:22" x14ac:dyDescent="0.35">
      <c r="A2356" s="4">
        <v>45568</v>
      </c>
      <c r="B2356" s="5">
        <v>0.13695601851851852</v>
      </c>
      <c r="C2356">
        <v>71.3</v>
      </c>
      <c r="D2356">
        <v>69.8</v>
      </c>
      <c r="E2356">
        <v>69.5</v>
      </c>
      <c r="F2356">
        <v>67.400000000000006</v>
      </c>
      <c r="G2356">
        <v>0</v>
      </c>
      <c r="H2356">
        <v>0</v>
      </c>
      <c r="I2356">
        <v>0</v>
      </c>
      <c r="J2356">
        <v>0</v>
      </c>
      <c r="K2356">
        <v>62.2</v>
      </c>
      <c r="L2356">
        <v>62.7</v>
      </c>
      <c r="M2356">
        <v>69.41</v>
      </c>
      <c r="N2356">
        <v>3</v>
      </c>
      <c r="O2356">
        <v>2</v>
      </c>
      <c r="P2356">
        <f>MOD(DAY(datos_siembra[[#This Row],[Date]]),7)</f>
        <v>3</v>
      </c>
      <c r="Q2356" t="str">
        <f>CHOOSE(WEEKDAY(datos_siembra[[#This Row],[Date]],2),"L","M","X","J","V","S","D")</f>
        <v>J</v>
      </c>
      <c r="R2356">
        <f>WEEKNUM(datos_siembra[[#This Row],[Date]],2)-WEEKNUM(DATE(YEAR(datos_siembra[[#This Row],[Date]]),MONTH(datos_siembra[[#This Row],[Date]]),1))+1</f>
        <v>1</v>
      </c>
      <c r="S2356">
        <f>MONTH(datos_siembra[[#This Row],[Date]])</f>
        <v>10</v>
      </c>
      <c r="T2356" t="str" cm="1">
        <f t="array" ref="T2356">_xlfn.IFS(AND(N2356&lt;= 22, S2356=9), "SOWING",AND(N2356&lt;= 28, S2356=9), "COVERAGE",AND(N2356&lt;= 30, S2356=9), "FLUSH",AND(N2356&lt;= 11, S2356=10), "FLUSH",AND(N2356&lt;= 21, S2356=10), "PRODUCTION")</f>
        <v>FLUSH</v>
      </c>
      <c r="U2356">
        <f>HOUR(datos_siembra[[#This Row],[Hour]])</f>
        <v>3</v>
      </c>
      <c r="V2356" cm="1">
        <f t="array" ref="V2356">_xlfn.IFS(AND(N2356&lt;= 22, S2356=9), N2356-7,AND(N2356&lt;= 28, S2356=9), N2356-25,AND(N2356&lt;= 30, S2356=9), N2356-28,AND(N2356&lt;= 11, S2356=10), N2356+2,AND(N2356&lt;= 21, S2356=10), N2356-11)</f>
        <v>5</v>
      </c>
    </row>
    <row r="2357" spans="1:22" x14ac:dyDescent="0.35">
      <c r="A2357" s="4">
        <v>45568</v>
      </c>
      <c r="B2357" s="5">
        <v>0.14390046296296297</v>
      </c>
      <c r="C2357">
        <v>71.3</v>
      </c>
      <c r="D2357">
        <v>69.900000000000006</v>
      </c>
      <c r="E2357">
        <v>69.400000000000006</v>
      </c>
      <c r="F2357">
        <v>67.3</v>
      </c>
      <c r="G2357">
        <v>0</v>
      </c>
      <c r="H2357">
        <v>0</v>
      </c>
      <c r="I2357">
        <v>0</v>
      </c>
      <c r="J2357">
        <v>0</v>
      </c>
      <c r="K2357">
        <v>62.2</v>
      </c>
      <c r="L2357">
        <v>62.6</v>
      </c>
      <c r="M2357">
        <v>69.52</v>
      </c>
      <c r="N2357">
        <v>3</v>
      </c>
      <c r="O2357">
        <v>2</v>
      </c>
      <c r="P2357">
        <f>MOD(DAY(datos_siembra[[#This Row],[Date]]),7)</f>
        <v>3</v>
      </c>
      <c r="Q2357" t="str">
        <f>CHOOSE(WEEKDAY(datos_siembra[[#This Row],[Date]],2),"L","M","X","J","V","S","D")</f>
        <v>J</v>
      </c>
      <c r="R2357">
        <f>WEEKNUM(datos_siembra[[#This Row],[Date]],2)-WEEKNUM(DATE(YEAR(datos_siembra[[#This Row],[Date]]),MONTH(datos_siembra[[#This Row],[Date]]),1))+1</f>
        <v>1</v>
      </c>
      <c r="S2357">
        <f>MONTH(datos_siembra[[#This Row],[Date]])</f>
        <v>10</v>
      </c>
      <c r="T2357" t="str" cm="1">
        <f t="array" ref="T2357">_xlfn.IFS(AND(N2357&lt;= 22, S2357=9), "SOWING",AND(N2357&lt;= 28, S2357=9), "COVERAGE",AND(N2357&lt;= 30, S2357=9), "FLUSH",AND(N2357&lt;= 11, S2357=10), "FLUSH",AND(N2357&lt;= 21, S2357=10), "PRODUCTION")</f>
        <v>FLUSH</v>
      </c>
      <c r="U2357">
        <f>HOUR(datos_siembra[[#This Row],[Hour]])</f>
        <v>3</v>
      </c>
      <c r="V2357" cm="1">
        <f t="array" ref="V2357">_xlfn.IFS(AND(N2357&lt;= 22, S2357=9), N2357-7,AND(N2357&lt;= 28, S2357=9), N2357-25,AND(N2357&lt;= 30, S2357=9), N2357-28,AND(N2357&lt;= 11, S2357=10), N2357+2,AND(N2357&lt;= 21, S2357=10), N2357-11)</f>
        <v>5</v>
      </c>
    </row>
    <row r="2358" spans="1:22" x14ac:dyDescent="0.35">
      <c r="A2358" s="4">
        <v>45568</v>
      </c>
      <c r="B2358" s="5">
        <v>0.15085648148148148</v>
      </c>
      <c r="C2358">
        <v>71.3</v>
      </c>
      <c r="D2358">
        <v>69.900000000000006</v>
      </c>
      <c r="E2358">
        <v>69.5</v>
      </c>
      <c r="F2358">
        <v>67.2</v>
      </c>
      <c r="G2358">
        <v>0</v>
      </c>
      <c r="H2358">
        <v>0</v>
      </c>
      <c r="I2358">
        <v>0</v>
      </c>
      <c r="J2358">
        <v>0</v>
      </c>
      <c r="K2358">
        <v>62</v>
      </c>
      <c r="L2358">
        <v>62.5</v>
      </c>
      <c r="M2358">
        <v>69.41</v>
      </c>
      <c r="N2358">
        <v>3</v>
      </c>
      <c r="O2358">
        <v>2</v>
      </c>
      <c r="P2358">
        <f>MOD(DAY(datos_siembra[[#This Row],[Date]]),7)</f>
        <v>3</v>
      </c>
      <c r="Q2358" t="str">
        <f>CHOOSE(WEEKDAY(datos_siembra[[#This Row],[Date]],2),"L","M","X","J","V","S","D")</f>
        <v>J</v>
      </c>
      <c r="R2358">
        <f>WEEKNUM(datos_siembra[[#This Row],[Date]],2)-WEEKNUM(DATE(YEAR(datos_siembra[[#This Row],[Date]]),MONTH(datos_siembra[[#This Row],[Date]]),1))+1</f>
        <v>1</v>
      </c>
      <c r="S2358">
        <f>MONTH(datos_siembra[[#This Row],[Date]])</f>
        <v>10</v>
      </c>
      <c r="T2358" t="str" cm="1">
        <f t="array" ref="T2358">_xlfn.IFS(AND(N2358&lt;= 22, S2358=9), "SOWING",AND(N2358&lt;= 28, S2358=9), "COVERAGE",AND(N2358&lt;= 30, S2358=9), "FLUSH",AND(N2358&lt;= 11, S2358=10), "FLUSH",AND(N2358&lt;= 21, S2358=10), "PRODUCTION")</f>
        <v>FLUSH</v>
      </c>
      <c r="U2358">
        <f>HOUR(datos_siembra[[#This Row],[Hour]])</f>
        <v>3</v>
      </c>
      <c r="V2358" cm="1">
        <f t="array" ref="V2358">_xlfn.IFS(AND(N2358&lt;= 22, S2358=9), N2358-7,AND(N2358&lt;= 28, S2358=9), N2358-25,AND(N2358&lt;= 30, S2358=9), N2358-28,AND(N2358&lt;= 11, S2358=10), N2358+2,AND(N2358&lt;= 21, S2358=10), N2358-11)</f>
        <v>5</v>
      </c>
    </row>
    <row r="2359" spans="1:22" x14ac:dyDescent="0.35">
      <c r="A2359" s="4">
        <v>45568</v>
      </c>
      <c r="B2359" s="5">
        <v>0.15780092592592593</v>
      </c>
      <c r="C2359">
        <v>71.3</v>
      </c>
      <c r="D2359">
        <v>69.8</v>
      </c>
      <c r="E2359">
        <v>69.400000000000006</v>
      </c>
      <c r="F2359">
        <v>67.3</v>
      </c>
      <c r="G2359">
        <v>0</v>
      </c>
      <c r="H2359">
        <v>0</v>
      </c>
      <c r="I2359">
        <v>0</v>
      </c>
      <c r="J2359">
        <v>0</v>
      </c>
      <c r="K2359">
        <v>61.9</v>
      </c>
      <c r="L2359">
        <v>62.6</v>
      </c>
      <c r="M2359">
        <v>69.38</v>
      </c>
      <c r="N2359">
        <v>3</v>
      </c>
      <c r="O2359">
        <v>2</v>
      </c>
      <c r="P2359">
        <f>MOD(DAY(datos_siembra[[#This Row],[Date]]),7)</f>
        <v>3</v>
      </c>
      <c r="Q2359" t="str">
        <f>CHOOSE(WEEKDAY(datos_siembra[[#This Row],[Date]],2),"L","M","X","J","V","S","D")</f>
        <v>J</v>
      </c>
      <c r="R2359">
        <f>WEEKNUM(datos_siembra[[#This Row],[Date]],2)-WEEKNUM(DATE(YEAR(datos_siembra[[#This Row],[Date]]),MONTH(datos_siembra[[#This Row],[Date]]),1))+1</f>
        <v>1</v>
      </c>
      <c r="S2359">
        <f>MONTH(datos_siembra[[#This Row],[Date]])</f>
        <v>10</v>
      </c>
      <c r="T2359" t="str" cm="1">
        <f t="array" ref="T2359">_xlfn.IFS(AND(N2359&lt;= 22, S2359=9), "SOWING",AND(N2359&lt;= 28, S2359=9), "COVERAGE",AND(N2359&lt;= 30, S2359=9), "FLUSH",AND(N2359&lt;= 11, S2359=10), "FLUSH",AND(N2359&lt;= 21, S2359=10), "PRODUCTION")</f>
        <v>FLUSH</v>
      </c>
      <c r="U2359">
        <f>HOUR(datos_siembra[[#This Row],[Hour]])</f>
        <v>3</v>
      </c>
      <c r="V2359" cm="1">
        <f t="array" ref="V2359">_xlfn.IFS(AND(N2359&lt;= 22, S2359=9), N2359-7,AND(N2359&lt;= 28, S2359=9), N2359-25,AND(N2359&lt;= 30, S2359=9), N2359-28,AND(N2359&lt;= 11, S2359=10), N2359+2,AND(N2359&lt;= 21, S2359=10), N2359-11)</f>
        <v>5</v>
      </c>
    </row>
    <row r="2360" spans="1:22" x14ac:dyDescent="0.35">
      <c r="A2360" s="4">
        <v>45568</v>
      </c>
      <c r="B2360" s="5">
        <v>0.16474537037037038</v>
      </c>
      <c r="C2360">
        <v>71.3</v>
      </c>
      <c r="D2360">
        <v>69.8</v>
      </c>
      <c r="E2360">
        <v>69.099999999999994</v>
      </c>
      <c r="F2360">
        <v>67.400000000000006</v>
      </c>
      <c r="G2360">
        <v>0</v>
      </c>
      <c r="H2360">
        <v>0</v>
      </c>
      <c r="I2360">
        <v>0</v>
      </c>
      <c r="J2360">
        <v>0</v>
      </c>
      <c r="K2360">
        <v>62</v>
      </c>
      <c r="L2360">
        <v>62.6</v>
      </c>
      <c r="M2360">
        <v>69.430000000000007</v>
      </c>
      <c r="N2360">
        <v>3</v>
      </c>
      <c r="O2360">
        <v>2</v>
      </c>
      <c r="P2360">
        <f>MOD(DAY(datos_siembra[[#This Row],[Date]]),7)</f>
        <v>3</v>
      </c>
      <c r="Q2360" t="str">
        <f>CHOOSE(WEEKDAY(datos_siembra[[#This Row],[Date]],2),"L","M","X","J","V","S","D")</f>
        <v>J</v>
      </c>
      <c r="R2360">
        <f>WEEKNUM(datos_siembra[[#This Row],[Date]],2)-WEEKNUM(DATE(YEAR(datos_siembra[[#This Row],[Date]]),MONTH(datos_siembra[[#This Row],[Date]]),1))+1</f>
        <v>1</v>
      </c>
      <c r="S2360">
        <f>MONTH(datos_siembra[[#This Row],[Date]])</f>
        <v>10</v>
      </c>
      <c r="T2360" t="str" cm="1">
        <f t="array" ref="T2360">_xlfn.IFS(AND(N2360&lt;= 22, S2360=9), "SOWING",AND(N2360&lt;= 28, S2360=9), "COVERAGE",AND(N2360&lt;= 30, S2360=9), "FLUSH",AND(N2360&lt;= 11, S2360=10), "FLUSH",AND(N2360&lt;= 21, S2360=10), "PRODUCTION")</f>
        <v>FLUSH</v>
      </c>
      <c r="U2360">
        <f>HOUR(datos_siembra[[#This Row],[Hour]])</f>
        <v>3</v>
      </c>
      <c r="V2360" cm="1">
        <f t="array" ref="V2360">_xlfn.IFS(AND(N2360&lt;= 22, S2360=9), N2360-7,AND(N2360&lt;= 28, S2360=9), N2360-25,AND(N2360&lt;= 30, S2360=9), N2360-28,AND(N2360&lt;= 11, S2360=10), N2360+2,AND(N2360&lt;= 21, S2360=10), N2360-11)</f>
        <v>5</v>
      </c>
    </row>
    <row r="2361" spans="1:22" x14ac:dyDescent="0.35">
      <c r="A2361" s="4">
        <v>45568</v>
      </c>
      <c r="B2361" s="5">
        <v>0.17168981481481482</v>
      </c>
      <c r="C2361">
        <v>71.3</v>
      </c>
      <c r="D2361">
        <v>69.8</v>
      </c>
      <c r="E2361">
        <v>69.2</v>
      </c>
      <c r="F2361">
        <v>67.3</v>
      </c>
      <c r="G2361">
        <v>0</v>
      </c>
      <c r="H2361">
        <v>0</v>
      </c>
      <c r="I2361">
        <v>0</v>
      </c>
      <c r="J2361">
        <v>0</v>
      </c>
      <c r="K2361">
        <v>61.8</v>
      </c>
      <c r="L2361">
        <v>62.5</v>
      </c>
      <c r="M2361">
        <v>69.489999999999995</v>
      </c>
      <c r="N2361">
        <v>3</v>
      </c>
      <c r="O2361">
        <v>2</v>
      </c>
      <c r="P2361">
        <f>MOD(DAY(datos_siembra[[#This Row],[Date]]),7)</f>
        <v>3</v>
      </c>
      <c r="Q2361" t="str">
        <f>CHOOSE(WEEKDAY(datos_siembra[[#This Row],[Date]],2),"L","M","X","J","V","S","D")</f>
        <v>J</v>
      </c>
      <c r="R2361">
        <f>WEEKNUM(datos_siembra[[#This Row],[Date]],2)-WEEKNUM(DATE(YEAR(datos_siembra[[#This Row],[Date]]),MONTH(datos_siembra[[#This Row],[Date]]),1))+1</f>
        <v>1</v>
      </c>
      <c r="S2361">
        <f>MONTH(datos_siembra[[#This Row],[Date]])</f>
        <v>10</v>
      </c>
      <c r="T2361" t="str" cm="1">
        <f t="array" ref="T2361">_xlfn.IFS(AND(N2361&lt;= 22, S2361=9), "SOWING",AND(N2361&lt;= 28, S2361=9), "COVERAGE",AND(N2361&lt;= 30, S2361=9), "FLUSH",AND(N2361&lt;= 11, S2361=10), "FLUSH",AND(N2361&lt;= 21, S2361=10), "PRODUCTION")</f>
        <v>FLUSH</v>
      </c>
      <c r="U2361">
        <f>HOUR(datos_siembra[[#This Row],[Hour]])</f>
        <v>4</v>
      </c>
      <c r="V2361" cm="1">
        <f t="array" ref="V2361">_xlfn.IFS(AND(N2361&lt;= 22, S2361=9), N2361-7,AND(N2361&lt;= 28, S2361=9), N2361-25,AND(N2361&lt;= 30, S2361=9), N2361-28,AND(N2361&lt;= 11, S2361=10), N2361+2,AND(N2361&lt;= 21, S2361=10), N2361-11)</f>
        <v>5</v>
      </c>
    </row>
    <row r="2362" spans="1:22" x14ac:dyDescent="0.35">
      <c r="A2362" s="4">
        <v>45568</v>
      </c>
      <c r="B2362" s="5">
        <v>0.17864583333333334</v>
      </c>
      <c r="C2362">
        <v>71.3</v>
      </c>
      <c r="D2362">
        <v>69.900000000000006</v>
      </c>
      <c r="E2362">
        <v>69.2</v>
      </c>
      <c r="F2362">
        <v>67.3</v>
      </c>
      <c r="G2362">
        <v>0</v>
      </c>
      <c r="H2362">
        <v>0</v>
      </c>
      <c r="I2362">
        <v>0</v>
      </c>
      <c r="J2362">
        <v>0</v>
      </c>
      <c r="K2362">
        <v>61.8</v>
      </c>
      <c r="L2362">
        <v>62.5</v>
      </c>
      <c r="M2362">
        <v>69.430000000000007</v>
      </c>
      <c r="N2362">
        <v>3</v>
      </c>
      <c r="O2362">
        <v>2</v>
      </c>
      <c r="P2362">
        <f>MOD(DAY(datos_siembra[[#This Row],[Date]]),7)</f>
        <v>3</v>
      </c>
      <c r="Q2362" t="str">
        <f>CHOOSE(WEEKDAY(datos_siembra[[#This Row],[Date]],2),"L","M","X","J","V","S","D")</f>
        <v>J</v>
      </c>
      <c r="R2362">
        <f>WEEKNUM(datos_siembra[[#This Row],[Date]],2)-WEEKNUM(DATE(YEAR(datos_siembra[[#This Row],[Date]]),MONTH(datos_siembra[[#This Row],[Date]]),1))+1</f>
        <v>1</v>
      </c>
      <c r="S2362">
        <f>MONTH(datos_siembra[[#This Row],[Date]])</f>
        <v>10</v>
      </c>
      <c r="T2362" t="str" cm="1">
        <f t="array" ref="T2362">_xlfn.IFS(AND(N2362&lt;= 22, S2362=9), "SOWING",AND(N2362&lt;= 28, S2362=9), "COVERAGE",AND(N2362&lt;= 30, S2362=9), "FLUSH",AND(N2362&lt;= 11, S2362=10), "FLUSH",AND(N2362&lt;= 21, S2362=10), "PRODUCTION")</f>
        <v>FLUSH</v>
      </c>
      <c r="U2362">
        <f>HOUR(datos_siembra[[#This Row],[Hour]])</f>
        <v>4</v>
      </c>
      <c r="V2362" cm="1">
        <f t="array" ref="V2362">_xlfn.IFS(AND(N2362&lt;= 22, S2362=9), N2362-7,AND(N2362&lt;= 28, S2362=9), N2362-25,AND(N2362&lt;= 30, S2362=9), N2362-28,AND(N2362&lt;= 11, S2362=10), N2362+2,AND(N2362&lt;= 21, S2362=10), N2362-11)</f>
        <v>5</v>
      </c>
    </row>
    <row r="2363" spans="1:22" x14ac:dyDescent="0.35">
      <c r="A2363" s="4">
        <v>45568</v>
      </c>
      <c r="B2363" s="5">
        <v>0.18559027777777778</v>
      </c>
      <c r="C2363">
        <v>71.3</v>
      </c>
      <c r="D2363">
        <v>69.8</v>
      </c>
      <c r="E2363">
        <v>69.099999999999994</v>
      </c>
      <c r="F2363">
        <v>67.400000000000006</v>
      </c>
      <c r="G2363">
        <v>0</v>
      </c>
      <c r="H2363">
        <v>0</v>
      </c>
      <c r="I2363">
        <v>0</v>
      </c>
      <c r="J2363">
        <v>0</v>
      </c>
      <c r="K2363">
        <v>61.7</v>
      </c>
      <c r="L2363">
        <v>62.4</v>
      </c>
      <c r="M2363">
        <v>69.349999999999994</v>
      </c>
      <c r="N2363">
        <v>3</v>
      </c>
      <c r="O2363">
        <v>2</v>
      </c>
      <c r="P2363">
        <f>MOD(DAY(datos_siembra[[#This Row],[Date]]),7)</f>
        <v>3</v>
      </c>
      <c r="Q2363" t="str">
        <f>CHOOSE(WEEKDAY(datos_siembra[[#This Row],[Date]],2),"L","M","X","J","V","S","D")</f>
        <v>J</v>
      </c>
      <c r="R2363">
        <f>WEEKNUM(datos_siembra[[#This Row],[Date]],2)-WEEKNUM(DATE(YEAR(datos_siembra[[#This Row],[Date]]),MONTH(datos_siembra[[#This Row],[Date]]),1))+1</f>
        <v>1</v>
      </c>
      <c r="S2363">
        <f>MONTH(datos_siembra[[#This Row],[Date]])</f>
        <v>10</v>
      </c>
      <c r="T2363" t="str" cm="1">
        <f t="array" ref="T2363">_xlfn.IFS(AND(N2363&lt;= 22, S2363=9), "SOWING",AND(N2363&lt;= 28, S2363=9), "COVERAGE",AND(N2363&lt;= 30, S2363=9), "FLUSH",AND(N2363&lt;= 11, S2363=10), "FLUSH",AND(N2363&lt;= 21, S2363=10), "PRODUCTION")</f>
        <v>FLUSH</v>
      </c>
      <c r="U2363">
        <f>HOUR(datos_siembra[[#This Row],[Hour]])</f>
        <v>4</v>
      </c>
      <c r="V2363" cm="1">
        <f t="array" ref="V2363">_xlfn.IFS(AND(N2363&lt;= 22, S2363=9), N2363-7,AND(N2363&lt;= 28, S2363=9), N2363-25,AND(N2363&lt;= 30, S2363=9), N2363-28,AND(N2363&lt;= 11, S2363=10), N2363+2,AND(N2363&lt;= 21, S2363=10), N2363-11)</f>
        <v>5</v>
      </c>
    </row>
    <row r="2364" spans="1:22" x14ac:dyDescent="0.35">
      <c r="A2364" s="4">
        <v>45568</v>
      </c>
      <c r="B2364" s="5">
        <v>0.19253472222222223</v>
      </c>
      <c r="C2364">
        <v>71.099999999999994</v>
      </c>
      <c r="D2364">
        <v>69.900000000000006</v>
      </c>
      <c r="E2364">
        <v>69.099999999999994</v>
      </c>
      <c r="F2364">
        <v>67.2</v>
      </c>
      <c r="G2364">
        <v>0</v>
      </c>
      <c r="H2364">
        <v>0</v>
      </c>
      <c r="I2364">
        <v>0</v>
      </c>
      <c r="J2364">
        <v>0</v>
      </c>
      <c r="K2364">
        <v>61.8</v>
      </c>
      <c r="L2364">
        <v>62.4</v>
      </c>
      <c r="M2364">
        <v>69.38</v>
      </c>
      <c r="N2364">
        <v>3</v>
      </c>
      <c r="O2364">
        <v>2</v>
      </c>
      <c r="P2364">
        <f>MOD(DAY(datos_siembra[[#This Row],[Date]]),7)</f>
        <v>3</v>
      </c>
      <c r="Q2364" t="str">
        <f>CHOOSE(WEEKDAY(datos_siembra[[#This Row],[Date]],2),"L","M","X","J","V","S","D")</f>
        <v>J</v>
      </c>
      <c r="R2364">
        <f>WEEKNUM(datos_siembra[[#This Row],[Date]],2)-WEEKNUM(DATE(YEAR(datos_siembra[[#This Row],[Date]]),MONTH(datos_siembra[[#This Row],[Date]]),1))+1</f>
        <v>1</v>
      </c>
      <c r="S2364">
        <f>MONTH(datos_siembra[[#This Row],[Date]])</f>
        <v>10</v>
      </c>
      <c r="T2364" t="str" cm="1">
        <f t="array" ref="T2364">_xlfn.IFS(AND(N2364&lt;= 22, S2364=9), "SOWING",AND(N2364&lt;= 28, S2364=9), "COVERAGE",AND(N2364&lt;= 30, S2364=9), "FLUSH",AND(N2364&lt;= 11, S2364=10), "FLUSH",AND(N2364&lt;= 21, S2364=10), "PRODUCTION")</f>
        <v>FLUSH</v>
      </c>
      <c r="U2364">
        <f>HOUR(datos_siembra[[#This Row],[Hour]])</f>
        <v>4</v>
      </c>
      <c r="V2364" cm="1">
        <f t="array" ref="V2364">_xlfn.IFS(AND(N2364&lt;= 22, S2364=9), N2364-7,AND(N2364&lt;= 28, S2364=9), N2364-25,AND(N2364&lt;= 30, S2364=9), N2364-28,AND(N2364&lt;= 11, S2364=10), N2364+2,AND(N2364&lt;= 21, S2364=10), N2364-11)</f>
        <v>5</v>
      </c>
    </row>
    <row r="2365" spans="1:22" x14ac:dyDescent="0.35">
      <c r="A2365" s="4">
        <v>45568</v>
      </c>
      <c r="B2365" s="5">
        <v>0.19947916666666668</v>
      </c>
      <c r="C2365">
        <v>71</v>
      </c>
      <c r="D2365">
        <v>69.8</v>
      </c>
      <c r="E2365">
        <v>69.2</v>
      </c>
      <c r="F2365">
        <v>67.2</v>
      </c>
      <c r="G2365">
        <v>0</v>
      </c>
      <c r="H2365">
        <v>0</v>
      </c>
      <c r="I2365">
        <v>0</v>
      </c>
      <c r="J2365">
        <v>0</v>
      </c>
      <c r="K2365">
        <v>61.8</v>
      </c>
      <c r="L2365">
        <v>62.4</v>
      </c>
      <c r="M2365">
        <v>69.430000000000007</v>
      </c>
      <c r="N2365">
        <v>3</v>
      </c>
      <c r="O2365">
        <v>2</v>
      </c>
      <c r="P2365">
        <f>MOD(DAY(datos_siembra[[#This Row],[Date]]),7)</f>
        <v>3</v>
      </c>
      <c r="Q2365" t="str">
        <f>CHOOSE(WEEKDAY(datos_siembra[[#This Row],[Date]],2),"L","M","X","J","V","S","D")</f>
        <v>J</v>
      </c>
      <c r="R2365">
        <f>WEEKNUM(datos_siembra[[#This Row],[Date]],2)-WEEKNUM(DATE(YEAR(datos_siembra[[#This Row],[Date]]),MONTH(datos_siembra[[#This Row],[Date]]),1))+1</f>
        <v>1</v>
      </c>
      <c r="S2365">
        <f>MONTH(datos_siembra[[#This Row],[Date]])</f>
        <v>10</v>
      </c>
      <c r="T2365" t="str" cm="1">
        <f t="array" ref="T2365">_xlfn.IFS(AND(N2365&lt;= 22, S2365=9), "SOWING",AND(N2365&lt;= 28, S2365=9), "COVERAGE",AND(N2365&lt;= 30, S2365=9), "FLUSH",AND(N2365&lt;= 11, S2365=10), "FLUSH",AND(N2365&lt;= 21, S2365=10), "PRODUCTION")</f>
        <v>FLUSH</v>
      </c>
      <c r="U2365">
        <f>HOUR(datos_siembra[[#This Row],[Hour]])</f>
        <v>4</v>
      </c>
      <c r="V2365" cm="1">
        <f t="array" ref="V2365">_xlfn.IFS(AND(N2365&lt;= 22, S2365=9), N2365-7,AND(N2365&lt;= 28, S2365=9), N2365-25,AND(N2365&lt;= 30, S2365=9), N2365-28,AND(N2365&lt;= 11, S2365=10), N2365+2,AND(N2365&lt;= 21, S2365=10), N2365-11)</f>
        <v>5</v>
      </c>
    </row>
    <row r="2366" spans="1:22" x14ac:dyDescent="0.35">
      <c r="A2366" s="4">
        <v>45568</v>
      </c>
      <c r="B2366" s="5">
        <v>0.20643518518518519</v>
      </c>
      <c r="C2366">
        <v>71</v>
      </c>
      <c r="D2366">
        <v>69.8</v>
      </c>
      <c r="E2366">
        <v>69.2</v>
      </c>
      <c r="F2366">
        <v>67.2</v>
      </c>
      <c r="G2366">
        <v>0</v>
      </c>
      <c r="H2366">
        <v>0</v>
      </c>
      <c r="I2366">
        <v>0</v>
      </c>
      <c r="J2366">
        <v>0</v>
      </c>
      <c r="K2366">
        <v>61.8</v>
      </c>
      <c r="L2366">
        <v>62.3</v>
      </c>
      <c r="M2366">
        <v>69.38</v>
      </c>
      <c r="N2366">
        <v>3</v>
      </c>
      <c r="O2366">
        <v>2</v>
      </c>
      <c r="P2366">
        <f>MOD(DAY(datos_siembra[[#This Row],[Date]]),7)</f>
        <v>3</v>
      </c>
      <c r="Q2366" t="str">
        <f>CHOOSE(WEEKDAY(datos_siembra[[#This Row],[Date]],2),"L","M","X","J","V","S","D")</f>
        <v>J</v>
      </c>
      <c r="R2366">
        <f>WEEKNUM(datos_siembra[[#This Row],[Date]],2)-WEEKNUM(DATE(YEAR(datos_siembra[[#This Row],[Date]]),MONTH(datos_siembra[[#This Row],[Date]]),1))+1</f>
        <v>1</v>
      </c>
      <c r="S2366">
        <f>MONTH(datos_siembra[[#This Row],[Date]])</f>
        <v>10</v>
      </c>
      <c r="T2366" t="str" cm="1">
        <f t="array" ref="T2366">_xlfn.IFS(AND(N2366&lt;= 22, S2366=9), "SOWING",AND(N2366&lt;= 28, S2366=9), "COVERAGE",AND(N2366&lt;= 30, S2366=9), "FLUSH",AND(N2366&lt;= 11, S2366=10), "FLUSH",AND(N2366&lt;= 21, S2366=10), "PRODUCTION")</f>
        <v>FLUSH</v>
      </c>
      <c r="U2366">
        <f>HOUR(datos_siembra[[#This Row],[Hour]])</f>
        <v>4</v>
      </c>
      <c r="V2366" cm="1">
        <f t="array" ref="V2366">_xlfn.IFS(AND(N2366&lt;= 22, S2366=9), N2366-7,AND(N2366&lt;= 28, S2366=9), N2366-25,AND(N2366&lt;= 30, S2366=9), N2366-28,AND(N2366&lt;= 11, S2366=10), N2366+2,AND(N2366&lt;= 21, S2366=10), N2366-11)</f>
        <v>5</v>
      </c>
    </row>
    <row r="2367" spans="1:22" x14ac:dyDescent="0.35">
      <c r="A2367" s="4">
        <v>45568</v>
      </c>
      <c r="B2367" s="5">
        <v>0.21337962962962964</v>
      </c>
      <c r="C2367">
        <v>71</v>
      </c>
      <c r="D2367">
        <v>69.900000000000006</v>
      </c>
      <c r="E2367">
        <v>69.400000000000006</v>
      </c>
      <c r="F2367">
        <v>67.3</v>
      </c>
      <c r="G2367">
        <v>0</v>
      </c>
      <c r="H2367">
        <v>0</v>
      </c>
      <c r="I2367">
        <v>0</v>
      </c>
      <c r="J2367">
        <v>0</v>
      </c>
      <c r="K2367">
        <v>61.7</v>
      </c>
      <c r="L2367">
        <v>62.3</v>
      </c>
      <c r="M2367">
        <v>69.38</v>
      </c>
      <c r="N2367">
        <v>3</v>
      </c>
      <c r="O2367">
        <v>2</v>
      </c>
      <c r="P2367">
        <f>MOD(DAY(datos_siembra[[#This Row],[Date]]),7)</f>
        <v>3</v>
      </c>
      <c r="Q2367" t="str">
        <f>CHOOSE(WEEKDAY(datos_siembra[[#This Row],[Date]],2),"L","M","X","J","V","S","D")</f>
        <v>J</v>
      </c>
      <c r="R2367">
        <f>WEEKNUM(datos_siembra[[#This Row],[Date]],2)-WEEKNUM(DATE(YEAR(datos_siembra[[#This Row],[Date]]),MONTH(datos_siembra[[#This Row],[Date]]),1))+1</f>
        <v>1</v>
      </c>
      <c r="S2367">
        <f>MONTH(datos_siembra[[#This Row],[Date]])</f>
        <v>10</v>
      </c>
      <c r="T2367" t="str" cm="1">
        <f t="array" ref="T2367">_xlfn.IFS(AND(N2367&lt;= 22, S2367=9), "SOWING",AND(N2367&lt;= 28, S2367=9), "COVERAGE",AND(N2367&lt;= 30, S2367=9), "FLUSH",AND(N2367&lt;= 11, S2367=10), "FLUSH",AND(N2367&lt;= 21, S2367=10), "PRODUCTION")</f>
        <v>FLUSH</v>
      </c>
      <c r="U2367">
        <f>HOUR(datos_siembra[[#This Row],[Hour]])</f>
        <v>5</v>
      </c>
      <c r="V2367" cm="1">
        <f t="array" ref="V2367">_xlfn.IFS(AND(N2367&lt;= 22, S2367=9), N2367-7,AND(N2367&lt;= 28, S2367=9), N2367-25,AND(N2367&lt;= 30, S2367=9), N2367-28,AND(N2367&lt;= 11, S2367=10), N2367+2,AND(N2367&lt;= 21, S2367=10), N2367-11)</f>
        <v>5</v>
      </c>
    </row>
    <row r="2368" spans="1:22" x14ac:dyDescent="0.35">
      <c r="A2368" s="4">
        <v>45568</v>
      </c>
      <c r="B2368" s="5">
        <v>0.22032407407407406</v>
      </c>
      <c r="C2368">
        <v>71.099999999999994</v>
      </c>
      <c r="D2368">
        <v>69.7</v>
      </c>
      <c r="E2368">
        <v>69.099999999999994</v>
      </c>
      <c r="F2368">
        <v>67.400000000000006</v>
      </c>
      <c r="G2368">
        <v>0</v>
      </c>
      <c r="H2368">
        <v>0</v>
      </c>
      <c r="I2368">
        <v>0</v>
      </c>
      <c r="J2368">
        <v>0</v>
      </c>
      <c r="K2368">
        <v>61.7</v>
      </c>
      <c r="L2368">
        <v>62.3</v>
      </c>
      <c r="M2368">
        <v>69.459999999999994</v>
      </c>
      <c r="N2368">
        <v>3</v>
      </c>
      <c r="O2368">
        <v>2</v>
      </c>
      <c r="P2368">
        <f>MOD(DAY(datos_siembra[[#This Row],[Date]]),7)</f>
        <v>3</v>
      </c>
      <c r="Q2368" t="str">
        <f>CHOOSE(WEEKDAY(datos_siembra[[#This Row],[Date]],2),"L","M","X","J","V","S","D")</f>
        <v>J</v>
      </c>
      <c r="R2368">
        <f>WEEKNUM(datos_siembra[[#This Row],[Date]],2)-WEEKNUM(DATE(YEAR(datos_siembra[[#This Row],[Date]]),MONTH(datos_siembra[[#This Row],[Date]]),1))+1</f>
        <v>1</v>
      </c>
      <c r="S2368">
        <f>MONTH(datos_siembra[[#This Row],[Date]])</f>
        <v>10</v>
      </c>
      <c r="T2368" t="str" cm="1">
        <f t="array" ref="T2368">_xlfn.IFS(AND(N2368&lt;= 22, S2368=9), "SOWING",AND(N2368&lt;= 28, S2368=9), "COVERAGE",AND(N2368&lt;= 30, S2368=9), "FLUSH",AND(N2368&lt;= 11, S2368=10), "FLUSH",AND(N2368&lt;= 21, S2368=10), "PRODUCTION")</f>
        <v>FLUSH</v>
      </c>
      <c r="U2368">
        <f>HOUR(datos_siembra[[#This Row],[Hour]])</f>
        <v>5</v>
      </c>
      <c r="V2368" cm="1">
        <f t="array" ref="V2368">_xlfn.IFS(AND(N2368&lt;= 22, S2368=9), N2368-7,AND(N2368&lt;= 28, S2368=9), N2368-25,AND(N2368&lt;= 30, S2368=9), N2368-28,AND(N2368&lt;= 11, S2368=10), N2368+2,AND(N2368&lt;= 21, S2368=10), N2368-11)</f>
        <v>5</v>
      </c>
    </row>
    <row r="2369" spans="1:22" x14ac:dyDescent="0.35">
      <c r="A2369" s="4">
        <v>45568</v>
      </c>
      <c r="B2369" s="5">
        <v>0.22726851851851851</v>
      </c>
      <c r="C2369">
        <v>71</v>
      </c>
      <c r="D2369">
        <v>69.8</v>
      </c>
      <c r="E2369">
        <v>69.2</v>
      </c>
      <c r="F2369">
        <v>67.099999999999994</v>
      </c>
      <c r="G2369">
        <v>0</v>
      </c>
      <c r="H2369">
        <v>0</v>
      </c>
      <c r="I2369">
        <v>0</v>
      </c>
      <c r="J2369">
        <v>0</v>
      </c>
      <c r="K2369">
        <v>61.6</v>
      </c>
      <c r="L2369">
        <v>62.3</v>
      </c>
      <c r="M2369">
        <v>69.319999999999993</v>
      </c>
      <c r="N2369">
        <v>3</v>
      </c>
      <c r="O2369">
        <v>2</v>
      </c>
      <c r="P2369">
        <f>MOD(DAY(datos_siembra[[#This Row],[Date]]),7)</f>
        <v>3</v>
      </c>
      <c r="Q2369" t="str">
        <f>CHOOSE(WEEKDAY(datos_siembra[[#This Row],[Date]],2),"L","M","X","J","V","S","D")</f>
        <v>J</v>
      </c>
      <c r="R2369">
        <f>WEEKNUM(datos_siembra[[#This Row],[Date]],2)-WEEKNUM(DATE(YEAR(datos_siembra[[#This Row],[Date]]),MONTH(datos_siembra[[#This Row],[Date]]),1))+1</f>
        <v>1</v>
      </c>
      <c r="S2369">
        <f>MONTH(datos_siembra[[#This Row],[Date]])</f>
        <v>10</v>
      </c>
      <c r="T2369" t="str" cm="1">
        <f t="array" ref="T2369">_xlfn.IFS(AND(N2369&lt;= 22, S2369=9), "SOWING",AND(N2369&lt;= 28, S2369=9), "COVERAGE",AND(N2369&lt;= 30, S2369=9), "FLUSH",AND(N2369&lt;= 11, S2369=10), "FLUSH",AND(N2369&lt;= 21, S2369=10), "PRODUCTION")</f>
        <v>FLUSH</v>
      </c>
      <c r="U2369">
        <f>HOUR(datos_siembra[[#This Row],[Hour]])</f>
        <v>5</v>
      </c>
      <c r="V2369" cm="1">
        <f t="array" ref="V2369">_xlfn.IFS(AND(N2369&lt;= 22, S2369=9), N2369-7,AND(N2369&lt;= 28, S2369=9), N2369-25,AND(N2369&lt;= 30, S2369=9), N2369-28,AND(N2369&lt;= 11, S2369=10), N2369+2,AND(N2369&lt;= 21, S2369=10), N2369-11)</f>
        <v>5</v>
      </c>
    </row>
    <row r="2370" spans="1:22" x14ac:dyDescent="0.35">
      <c r="A2370" s="4">
        <v>45568</v>
      </c>
      <c r="B2370" s="5">
        <v>0.23422453703703705</v>
      </c>
      <c r="C2370">
        <v>71</v>
      </c>
      <c r="D2370">
        <v>69.8</v>
      </c>
      <c r="E2370">
        <v>69.2</v>
      </c>
      <c r="F2370">
        <v>67.2</v>
      </c>
      <c r="G2370">
        <v>0</v>
      </c>
      <c r="H2370">
        <v>0</v>
      </c>
      <c r="I2370">
        <v>0</v>
      </c>
      <c r="J2370">
        <v>0</v>
      </c>
      <c r="K2370">
        <v>61.7</v>
      </c>
      <c r="L2370">
        <v>62.3</v>
      </c>
      <c r="M2370">
        <v>69.349999999999994</v>
      </c>
      <c r="N2370">
        <v>3</v>
      </c>
      <c r="O2370">
        <v>2</v>
      </c>
      <c r="P2370">
        <f>MOD(DAY(datos_siembra[[#This Row],[Date]]),7)</f>
        <v>3</v>
      </c>
      <c r="Q2370" t="str">
        <f>CHOOSE(WEEKDAY(datos_siembra[[#This Row],[Date]],2),"L","M","X","J","V","S","D")</f>
        <v>J</v>
      </c>
      <c r="R2370">
        <f>WEEKNUM(datos_siembra[[#This Row],[Date]],2)-WEEKNUM(DATE(YEAR(datos_siembra[[#This Row],[Date]]),MONTH(datos_siembra[[#This Row],[Date]]),1))+1</f>
        <v>1</v>
      </c>
      <c r="S2370">
        <f>MONTH(datos_siembra[[#This Row],[Date]])</f>
        <v>10</v>
      </c>
      <c r="T2370" t="str" cm="1">
        <f t="array" ref="T2370">_xlfn.IFS(AND(N2370&lt;= 22, S2370=9), "SOWING",AND(N2370&lt;= 28, S2370=9), "COVERAGE",AND(N2370&lt;= 30, S2370=9), "FLUSH",AND(N2370&lt;= 11, S2370=10), "FLUSH",AND(N2370&lt;= 21, S2370=10), "PRODUCTION")</f>
        <v>FLUSH</v>
      </c>
      <c r="U2370">
        <f>HOUR(datos_siembra[[#This Row],[Hour]])</f>
        <v>5</v>
      </c>
      <c r="V2370" cm="1">
        <f t="array" ref="V2370">_xlfn.IFS(AND(N2370&lt;= 22, S2370=9), N2370-7,AND(N2370&lt;= 28, S2370=9), N2370-25,AND(N2370&lt;= 30, S2370=9), N2370-28,AND(N2370&lt;= 11, S2370=10), N2370+2,AND(N2370&lt;= 21, S2370=10), N2370-11)</f>
        <v>5</v>
      </c>
    </row>
    <row r="2371" spans="1:22" x14ac:dyDescent="0.35">
      <c r="A2371" s="4">
        <v>45568</v>
      </c>
      <c r="B2371" s="5">
        <v>0.24116898148148147</v>
      </c>
      <c r="C2371">
        <v>70.900000000000006</v>
      </c>
      <c r="D2371">
        <v>69.8</v>
      </c>
      <c r="E2371">
        <v>69</v>
      </c>
      <c r="F2371">
        <v>67.400000000000006</v>
      </c>
      <c r="G2371">
        <v>0</v>
      </c>
      <c r="H2371">
        <v>0</v>
      </c>
      <c r="I2371">
        <v>0</v>
      </c>
      <c r="J2371">
        <v>0</v>
      </c>
      <c r="K2371">
        <v>61.7</v>
      </c>
      <c r="L2371">
        <v>62.3</v>
      </c>
      <c r="M2371">
        <v>69.349999999999994</v>
      </c>
      <c r="N2371">
        <v>3</v>
      </c>
      <c r="O2371">
        <v>2</v>
      </c>
      <c r="P2371">
        <f>MOD(DAY(datos_siembra[[#This Row],[Date]]),7)</f>
        <v>3</v>
      </c>
      <c r="Q2371" t="str">
        <f>CHOOSE(WEEKDAY(datos_siembra[[#This Row],[Date]],2),"L","M","X","J","V","S","D")</f>
        <v>J</v>
      </c>
      <c r="R2371">
        <f>WEEKNUM(datos_siembra[[#This Row],[Date]],2)-WEEKNUM(DATE(YEAR(datos_siembra[[#This Row],[Date]]),MONTH(datos_siembra[[#This Row],[Date]]),1))+1</f>
        <v>1</v>
      </c>
      <c r="S2371">
        <f>MONTH(datos_siembra[[#This Row],[Date]])</f>
        <v>10</v>
      </c>
      <c r="T2371" t="str" cm="1">
        <f t="array" ref="T2371">_xlfn.IFS(AND(N2371&lt;= 22, S2371=9), "SOWING",AND(N2371&lt;= 28, S2371=9), "COVERAGE",AND(N2371&lt;= 30, S2371=9), "FLUSH",AND(N2371&lt;= 11, S2371=10), "FLUSH",AND(N2371&lt;= 21, S2371=10), "PRODUCTION")</f>
        <v>FLUSH</v>
      </c>
      <c r="U2371">
        <f>HOUR(datos_siembra[[#This Row],[Hour]])</f>
        <v>5</v>
      </c>
      <c r="V2371" cm="1">
        <f t="array" ref="V2371">_xlfn.IFS(AND(N2371&lt;= 22, S2371=9), N2371-7,AND(N2371&lt;= 28, S2371=9), N2371-25,AND(N2371&lt;= 30, S2371=9), N2371-28,AND(N2371&lt;= 11, S2371=10), N2371+2,AND(N2371&lt;= 21, S2371=10), N2371-11)</f>
        <v>5</v>
      </c>
    </row>
    <row r="2372" spans="1:22" x14ac:dyDescent="0.35">
      <c r="A2372" s="4">
        <v>45568</v>
      </c>
      <c r="B2372" s="5">
        <v>0.24811342592592592</v>
      </c>
      <c r="C2372">
        <v>70.900000000000006</v>
      </c>
      <c r="D2372">
        <v>69.7</v>
      </c>
      <c r="E2372">
        <v>69.2</v>
      </c>
      <c r="F2372">
        <v>67.2</v>
      </c>
      <c r="G2372">
        <v>0</v>
      </c>
      <c r="H2372">
        <v>0</v>
      </c>
      <c r="I2372">
        <v>0</v>
      </c>
      <c r="J2372">
        <v>0</v>
      </c>
      <c r="K2372">
        <v>61.7</v>
      </c>
      <c r="L2372">
        <v>62.2</v>
      </c>
      <c r="M2372">
        <v>69.290000000000006</v>
      </c>
      <c r="N2372">
        <v>3</v>
      </c>
      <c r="O2372">
        <v>2</v>
      </c>
      <c r="P2372">
        <f>MOD(DAY(datos_siembra[[#This Row],[Date]]),7)</f>
        <v>3</v>
      </c>
      <c r="Q2372" t="str">
        <f>CHOOSE(WEEKDAY(datos_siembra[[#This Row],[Date]],2),"L","M","X","J","V","S","D")</f>
        <v>J</v>
      </c>
      <c r="R2372">
        <f>WEEKNUM(datos_siembra[[#This Row],[Date]],2)-WEEKNUM(DATE(YEAR(datos_siembra[[#This Row],[Date]]),MONTH(datos_siembra[[#This Row],[Date]]),1))+1</f>
        <v>1</v>
      </c>
      <c r="S2372">
        <f>MONTH(datos_siembra[[#This Row],[Date]])</f>
        <v>10</v>
      </c>
      <c r="T2372" t="str" cm="1">
        <f t="array" ref="T2372">_xlfn.IFS(AND(N2372&lt;= 22, S2372=9), "SOWING",AND(N2372&lt;= 28, S2372=9), "COVERAGE",AND(N2372&lt;= 30, S2372=9), "FLUSH",AND(N2372&lt;= 11, S2372=10), "FLUSH",AND(N2372&lt;= 21, S2372=10), "PRODUCTION")</f>
        <v>FLUSH</v>
      </c>
      <c r="U2372">
        <f>HOUR(datos_siembra[[#This Row],[Hour]])</f>
        <v>5</v>
      </c>
      <c r="V2372" cm="1">
        <f t="array" ref="V2372">_xlfn.IFS(AND(N2372&lt;= 22, S2372=9), N2372-7,AND(N2372&lt;= 28, S2372=9), N2372-25,AND(N2372&lt;= 30, S2372=9), N2372-28,AND(N2372&lt;= 11, S2372=10), N2372+2,AND(N2372&lt;= 21, S2372=10), N2372-11)</f>
        <v>5</v>
      </c>
    </row>
    <row r="2373" spans="1:22" x14ac:dyDescent="0.35">
      <c r="A2373" s="4">
        <v>45568</v>
      </c>
      <c r="B2373" s="5">
        <v>0.25505787037037037</v>
      </c>
      <c r="C2373">
        <v>70.900000000000006</v>
      </c>
      <c r="D2373">
        <v>69.8</v>
      </c>
      <c r="E2373">
        <v>69.2</v>
      </c>
      <c r="F2373">
        <v>67.3</v>
      </c>
      <c r="G2373">
        <v>0</v>
      </c>
      <c r="H2373">
        <v>0</v>
      </c>
      <c r="I2373">
        <v>0</v>
      </c>
      <c r="J2373">
        <v>0</v>
      </c>
      <c r="K2373">
        <v>61.6</v>
      </c>
      <c r="L2373">
        <v>62</v>
      </c>
      <c r="M2373">
        <v>69.349999999999994</v>
      </c>
      <c r="N2373">
        <v>3</v>
      </c>
      <c r="O2373">
        <v>2</v>
      </c>
      <c r="P2373">
        <f>MOD(DAY(datos_siembra[[#This Row],[Date]]),7)</f>
        <v>3</v>
      </c>
      <c r="Q2373" t="str">
        <f>CHOOSE(WEEKDAY(datos_siembra[[#This Row],[Date]],2),"L","M","X","J","V","S","D")</f>
        <v>J</v>
      </c>
      <c r="R2373">
        <f>WEEKNUM(datos_siembra[[#This Row],[Date]],2)-WEEKNUM(DATE(YEAR(datos_siembra[[#This Row],[Date]]),MONTH(datos_siembra[[#This Row],[Date]]),1))+1</f>
        <v>1</v>
      </c>
      <c r="S2373">
        <f>MONTH(datos_siembra[[#This Row],[Date]])</f>
        <v>10</v>
      </c>
      <c r="T2373" t="str" cm="1">
        <f t="array" ref="T2373">_xlfn.IFS(AND(N2373&lt;= 22, S2373=9), "SOWING",AND(N2373&lt;= 28, S2373=9), "COVERAGE",AND(N2373&lt;= 30, S2373=9), "FLUSH",AND(N2373&lt;= 11, S2373=10), "FLUSH",AND(N2373&lt;= 21, S2373=10), "PRODUCTION")</f>
        <v>FLUSH</v>
      </c>
      <c r="U2373">
        <f>HOUR(datos_siembra[[#This Row],[Hour]])</f>
        <v>6</v>
      </c>
      <c r="V2373" cm="1">
        <f t="array" ref="V2373">_xlfn.IFS(AND(N2373&lt;= 22, S2373=9), N2373-7,AND(N2373&lt;= 28, S2373=9), N2373-25,AND(N2373&lt;= 30, S2373=9), N2373-28,AND(N2373&lt;= 11, S2373=10), N2373+2,AND(N2373&lt;= 21, S2373=10), N2373-11)</f>
        <v>5</v>
      </c>
    </row>
    <row r="2374" spans="1:22" x14ac:dyDescent="0.35">
      <c r="A2374" s="4">
        <v>45568</v>
      </c>
      <c r="B2374" s="5">
        <v>0.26200231481481484</v>
      </c>
      <c r="C2374">
        <v>70.900000000000006</v>
      </c>
      <c r="D2374">
        <v>69.7</v>
      </c>
      <c r="E2374">
        <v>69.099999999999994</v>
      </c>
      <c r="F2374">
        <v>67.3</v>
      </c>
      <c r="G2374">
        <v>0</v>
      </c>
      <c r="H2374">
        <v>0</v>
      </c>
      <c r="I2374">
        <v>0</v>
      </c>
      <c r="J2374">
        <v>0</v>
      </c>
      <c r="K2374">
        <v>61.6</v>
      </c>
      <c r="L2374">
        <v>62</v>
      </c>
      <c r="M2374">
        <v>69.239999999999995</v>
      </c>
      <c r="N2374">
        <v>3</v>
      </c>
      <c r="O2374">
        <v>2</v>
      </c>
      <c r="P2374">
        <f>MOD(DAY(datos_siembra[[#This Row],[Date]]),7)</f>
        <v>3</v>
      </c>
      <c r="Q2374" t="str">
        <f>CHOOSE(WEEKDAY(datos_siembra[[#This Row],[Date]],2),"L","M","X","J","V","S","D")</f>
        <v>J</v>
      </c>
      <c r="R2374">
        <f>WEEKNUM(datos_siembra[[#This Row],[Date]],2)-WEEKNUM(DATE(YEAR(datos_siembra[[#This Row],[Date]]),MONTH(datos_siembra[[#This Row],[Date]]),1))+1</f>
        <v>1</v>
      </c>
      <c r="S2374">
        <f>MONTH(datos_siembra[[#This Row],[Date]])</f>
        <v>10</v>
      </c>
      <c r="T2374" t="str" cm="1">
        <f t="array" ref="T2374">_xlfn.IFS(AND(N2374&lt;= 22, S2374=9), "SOWING",AND(N2374&lt;= 28, S2374=9), "COVERAGE",AND(N2374&lt;= 30, S2374=9), "FLUSH",AND(N2374&lt;= 11, S2374=10), "FLUSH",AND(N2374&lt;= 21, S2374=10), "PRODUCTION")</f>
        <v>FLUSH</v>
      </c>
      <c r="U2374">
        <f>HOUR(datos_siembra[[#This Row],[Hour]])</f>
        <v>6</v>
      </c>
      <c r="V2374" cm="1">
        <f t="array" ref="V2374">_xlfn.IFS(AND(N2374&lt;= 22, S2374=9), N2374-7,AND(N2374&lt;= 28, S2374=9), N2374-25,AND(N2374&lt;= 30, S2374=9), N2374-28,AND(N2374&lt;= 11, S2374=10), N2374+2,AND(N2374&lt;= 21, S2374=10), N2374-11)</f>
        <v>5</v>
      </c>
    </row>
    <row r="2375" spans="1:22" x14ac:dyDescent="0.35">
      <c r="A2375" s="4">
        <v>45568</v>
      </c>
      <c r="B2375" s="5">
        <v>0.26895833333333335</v>
      </c>
      <c r="C2375">
        <v>70.900000000000006</v>
      </c>
      <c r="D2375">
        <v>69.8</v>
      </c>
      <c r="E2375">
        <v>69</v>
      </c>
      <c r="F2375">
        <v>67.2</v>
      </c>
      <c r="G2375">
        <v>0</v>
      </c>
      <c r="H2375">
        <v>0</v>
      </c>
      <c r="I2375">
        <v>0</v>
      </c>
      <c r="J2375">
        <v>0</v>
      </c>
      <c r="K2375">
        <v>61.6</v>
      </c>
      <c r="L2375">
        <v>62</v>
      </c>
      <c r="M2375">
        <v>69.239999999999995</v>
      </c>
      <c r="N2375">
        <v>3</v>
      </c>
      <c r="O2375">
        <v>2</v>
      </c>
      <c r="P2375">
        <f>MOD(DAY(datos_siembra[[#This Row],[Date]]),7)</f>
        <v>3</v>
      </c>
      <c r="Q2375" t="str">
        <f>CHOOSE(WEEKDAY(datos_siembra[[#This Row],[Date]],2),"L","M","X","J","V","S","D")</f>
        <v>J</v>
      </c>
      <c r="R2375">
        <f>WEEKNUM(datos_siembra[[#This Row],[Date]],2)-WEEKNUM(DATE(YEAR(datos_siembra[[#This Row],[Date]]),MONTH(datos_siembra[[#This Row],[Date]]),1))+1</f>
        <v>1</v>
      </c>
      <c r="S2375">
        <f>MONTH(datos_siembra[[#This Row],[Date]])</f>
        <v>10</v>
      </c>
      <c r="T2375" t="str" cm="1">
        <f t="array" ref="T2375">_xlfn.IFS(AND(N2375&lt;= 22, S2375=9), "SOWING",AND(N2375&lt;= 28, S2375=9), "COVERAGE",AND(N2375&lt;= 30, S2375=9), "FLUSH",AND(N2375&lt;= 11, S2375=10), "FLUSH",AND(N2375&lt;= 21, S2375=10), "PRODUCTION")</f>
        <v>FLUSH</v>
      </c>
      <c r="U2375">
        <f>HOUR(datos_siembra[[#This Row],[Hour]])</f>
        <v>6</v>
      </c>
      <c r="V2375" cm="1">
        <f t="array" ref="V2375">_xlfn.IFS(AND(N2375&lt;= 22, S2375=9), N2375-7,AND(N2375&lt;= 28, S2375=9), N2375-25,AND(N2375&lt;= 30, S2375=9), N2375-28,AND(N2375&lt;= 11, S2375=10), N2375+2,AND(N2375&lt;= 21, S2375=10), N2375-11)</f>
        <v>5</v>
      </c>
    </row>
    <row r="2376" spans="1:22" x14ac:dyDescent="0.35">
      <c r="A2376" s="4">
        <v>45568</v>
      </c>
      <c r="B2376" s="5">
        <v>0.27590277777777777</v>
      </c>
      <c r="C2376">
        <v>70.8</v>
      </c>
      <c r="D2376">
        <v>69.8</v>
      </c>
      <c r="E2376">
        <v>69.099999999999994</v>
      </c>
      <c r="F2376">
        <v>67.3</v>
      </c>
      <c r="G2376">
        <v>0</v>
      </c>
      <c r="H2376">
        <v>0</v>
      </c>
      <c r="I2376">
        <v>0</v>
      </c>
      <c r="J2376">
        <v>0</v>
      </c>
      <c r="K2376">
        <v>61.6</v>
      </c>
      <c r="L2376">
        <v>62</v>
      </c>
      <c r="M2376">
        <v>69.239999999999995</v>
      </c>
      <c r="N2376">
        <v>3</v>
      </c>
      <c r="O2376">
        <v>2</v>
      </c>
      <c r="P2376">
        <f>MOD(DAY(datos_siembra[[#This Row],[Date]]),7)</f>
        <v>3</v>
      </c>
      <c r="Q2376" t="str">
        <f>CHOOSE(WEEKDAY(datos_siembra[[#This Row],[Date]],2),"L","M","X","J","V","S","D")</f>
        <v>J</v>
      </c>
      <c r="R2376">
        <f>WEEKNUM(datos_siembra[[#This Row],[Date]],2)-WEEKNUM(DATE(YEAR(datos_siembra[[#This Row],[Date]]),MONTH(datos_siembra[[#This Row],[Date]]),1))+1</f>
        <v>1</v>
      </c>
      <c r="S2376">
        <f>MONTH(datos_siembra[[#This Row],[Date]])</f>
        <v>10</v>
      </c>
      <c r="T2376" t="str" cm="1">
        <f t="array" ref="T2376">_xlfn.IFS(AND(N2376&lt;= 22, S2376=9), "SOWING",AND(N2376&lt;= 28, S2376=9), "COVERAGE",AND(N2376&lt;= 30, S2376=9), "FLUSH",AND(N2376&lt;= 11, S2376=10), "FLUSH",AND(N2376&lt;= 21, S2376=10), "PRODUCTION")</f>
        <v>FLUSH</v>
      </c>
      <c r="U2376">
        <f>HOUR(datos_siembra[[#This Row],[Hour]])</f>
        <v>6</v>
      </c>
      <c r="V2376" cm="1">
        <f t="array" ref="V2376">_xlfn.IFS(AND(N2376&lt;= 22, S2376=9), N2376-7,AND(N2376&lt;= 28, S2376=9), N2376-25,AND(N2376&lt;= 30, S2376=9), N2376-28,AND(N2376&lt;= 11, S2376=10), N2376+2,AND(N2376&lt;= 21, S2376=10), N2376-11)</f>
        <v>5</v>
      </c>
    </row>
    <row r="2377" spans="1:22" x14ac:dyDescent="0.35">
      <c r="A2377" s="4">
        <v>45568</v>
      </c>
      <c r="B2377" s="5">
        <v>0.28284722222222225</v>
      </c>
      <c r="C2377">
        <v>70.7</v>
      </c>
      <c r="D2377">
        <v>69.8</v>
      </c>
      <c r="E2377">
        <v>69</v>
      </c>
      <c r="F2377">
        <v>67.099999999999994</v>
      </c>
      <c r="G2377">
        <v>0</v>
      </c>
      <c r="H2377">
        <v>0</v>
      </c>
      <c r="I2377">
        <v>0</v>
      </c>
      <c r="J2377">
        <v>0</v>
      </c>
      <c r="K2377">
        <v>61.6</v>
      </c>
      <c r="L2377">
        <v>62</v>
      </c>
      <c r="M2377">
        <v>69.180000000000007</v>
      </c>
      <c r="N2377">
        <v>3</v>
      </c>
      <c r="O2377">
        <v>2</v>
      </c>
      <c r="P2377">
        <f>MOD(DAY(datos_siembra[[#This Row],[Date]]),7)</f>
        <v>3</v>
      </c>
      <c r="Q2377" t="str">
        <f>CHOOSE(WEEKDAY(datos_siembra[[#This Row],[Date]],2),"L","M","X","J","V","S","D")</f>
        <v>J</v>
      </c>
      <c r="R2377">
        <f>WEEKNUM(datos_siembra[[#This Row],[Date]],2)-WEEKNUM(DATE(YEAR(datos_siembra[[#This Row],[Date]]),MONTH(datos_siembra[[#This Row],[Date]]),1))+1</f>
        <v>1</v>
      </c>
      <c r="S2377">
        <f>MONTH(datos_siembra[[#This Row],[Date]])</f>
        <v>10</v>
      </c>
      <c r="T2377" t="str" cm="1">
        <f t="array" ref="T2377">_xlfn.IFS(AND(N2377&lt;= 22, S2377=9), "SOWING",AND(N2377&lt;= 28, S2377=9), "COVERAGE",AND(N2377&lt;= 30, S2377=9), "FLUSH",AND(N2377&lt;= 11, S2377=10), "FLUSH",AND(N2377&lt;= 21, S2377=10), "PRODUCTION")</f>
        <v>FLUSH</v>
      </c>
      <c r="U2377">
        <f>HOUR(datos_siembra[[#This Row],[Hour]])</f>
        <v>6</v>
      </c>
      <c r="V2377" cm="1">
        <f t="array" ref="V2377">_xlfn.IFS(AND(N2377&lt;= 22, S2377=9), N2377-7,AND(N2377&lt;= 28, S2377=9), N2377-25,AND(N2377&lt;= 30, S2377=9), N2377-28,AND(N2377&lt;= 11, S2377=10), N2377+2,AND(N2377&lt;= 21, S2377=10), N2377-11)</f>
        <v>5</v>
      </c>
    </row>
    <row r="2378" spans="1:22" x14ac:dyDescent="0.35">
      <c r="A2378" s="4">
        <v>45568</v>
      </c>
      <c r="B2378" s="5">
        <v>0.28979166666666667</v>
      </c>
      <c r="C2378">
        <v>70.8</v>
      </c>
      <c r="D2378">
        <v>69.7</v>
      </c>
      <c r="E2378">
        <v>69</v>
      </c>
      <c r="F2378">
        <v>67.3</v>
      </c>
      <c r="G2378">
        <v>0</v>
      </c>
      <c r="H2378">
        <v>0</v>
      </c>
      <c r="I2378">
        <v>0</v>
      </c>
      <c r="J2378">
        <v>0</v>
      </c>
      <c r="K2378">
        <v>61.7</v>
      </c>
      <c r="L2378">
        <v>62.2</v>
      </c>
      <c r="M2378">
        <v>69.239999999999995</v>
      </c>
      <c r="N2378">
        <v>3</v>
      </c>
      <c r="O2378">
        <v>2</v>
      </c>
      <c r="P2378">
        <f>MOD(DAY(datos_siembra[[#This Row],[Date]]),7)</f>
        <v>3</v>
      </c>
      <c r="Q2378" t="str">
        <f>CHOOSE(WEEKDAY(datos_siembra[[#This Row],[Date]],2),"L","M","X","J","V","S","D")</f>
        <v>J</v>
      </c>
      <c r="R2378">
        <f>WEEKNUM(datos_siembra[[#This Row],[Date]],2)-WEEKNUM(DATE(YEAR(datos_siembra[[#This Row],[Date]]),MONTH(datos_siembra[[#This Row],[Date]]),1))+1</f>
        <v>1</v>
      </c>
      <c r="S2378">
        <f>MONTH(datos_siembra[[#This Row],[Date]])</f>
        <v>10</v>
      </c>
      <c r="T2378" t="str" cm="1">
        <f t="array" ref="T2378">_xlfn.IFS(AND(N2378&lt;= 22, S2378=9), "SOWING",AND(N2378&lt;= 28, S2378=9), "COVERAGE",AND(N2378&lt;= 30, S2378=9), "FLUSH",AND(N2378&lt;= 11, S2378=10), "FLUSH",AND(N2378&lt;= 21, S2378=10), "PRODUCTION")</f>
        <v>FLUSH</v>
      </c>
      <c r="U2378">
        <f>HOUR(datos_siembra[[#This Row],[Hour]])</f>
        <v>6</v>
      </c>
      <c r="V2378" cm="1">
        <f t="array" ref="V2378">_xlfn.IFS(AND(N2378&lt;= 22, S2378=9), N2378-7,AND(N2378&lt;= 28, S2378=9), N2378-25,AND(N2378&lt;= 30, S2378=9), N2378-28,AND(N2378&lt;= 11, S2378=10), N2378+2,AND(N2378&lt;= 21, S2378=10), N2378-11)</f>
        <v>5</v>
      </c>
    </row>
    <row r="2379" spans="1:22" x14ac:dyDescent="0.35">
      <c r="A2379" s="4">
        <v>45568</v>
      </c>
      <c r="B2379" s="5">
        <v>0.29674768518518518</v>
      </c>
      <c r="C2379">
        <v>70.7</v>
      </c>
      <c r="D2379">
        <v>69.599999999999994</v>
      </c>
      <c r="E2379">
        <v>69</v>
      </c>
      <c r="F2379">
        <v>67.2</v>
      </c>
      <c r="G2379">
        <v>0</v>
      </c>
      <c r="H2379">
        <v>0</v>
      </c>
      <c r="I2379">
        <v>0</v>
      </c>
      <c r="J2379">
        <v>0</v>
      </c>
      <c r="K2379">
        <v>61.7</v>
      </c>
      <c r="L2379">
        <v>62.2</v>
      </c>
      <c r="M2379">
        <v>69.150000000000006</v>
      </c>
      <c r="N2379">
        <v>3</v>
      </c>
      <c r="O2379">
        <v>2</v>
      </c>
      <c r="P2379">
        <f>MOD(DAY(datos_siembra[[#This Row],[Date]]),7)</f>
        <v>3</v>
      </c>
      <c r="Q2379" t="str">
        <f>CHOOSE(WEEKDAY(datos_siembra[[#This Row],[Date]],2),"L","M","X","J","V","S","D")</f>
        <v>J</v>
      </c>
      <c r="R2379">
        <f>WEEKNUM(datos_siembra[[#This Row],[Date]],2)-WEEKNUM(DATE(YEAR(datos_siembra[[#This Row],[Date]]),MONTH(datos_siembra[[#This Row],[Date]]),1))+1</f>
        <v>1</v>
      </c>
      <c r="S2379">
        <f>MONTH(datos_siembra[[#This Row],[Date]])</f>
        <v>10</v>
      </c>
      <c r="T2379" t="str" cm="1">
        <f t="array" ref="T2379">_xlfn.IFS(AND(N2379&lt;= 22, S2379=9), "SOWING",AND(N2379&lt;= 28, S2379=9), "COVERAGE",AND(N2379&lt;= 30, S2379=9), "FLUSH",AND(N2379&lt;= 11, S2379=10), "FLUSH",AND(N2379&lt;= 21, S2379=10), "PRODUCTION")</f>
        <v>FLUSH</v>
      </c>
      <c r="U2379">
        <f>HOUR(datos_siembra[[#This Row],[Hour]])</f>
        <v>7</v>
      </c>
      <c r="V2379" cm="1">
        <f t="array" ref="V2379">_xlfn.IFS(AND(N2379&lt;= 22, S2379=9), N2379-7,AND(N2379&lt;= 28, S2379=9), N2379-25,AND(N2379&lt;= 30, S2379=9), N2379-28,AND(N2379&lt;= 11, S2379=10), N2379+2,AND(N2379&lt;= 21, S2379=10), N2379-11)</f>
        <v>5</v>
      </c>
    </row>
    <row r="2380" spans="1:22" x14ac:dyDescent="0.35">
      <c r="A2380" s="4">
        <v>45568</v>
      </c>
      <c r="B2380" s="5">
        <v>0.3036921296296296</v>
      </c>
      <c r="C2380">
        <v>70.8</v>
      </c>
      <c r="D2380">
        <v>69.7</v>
      </c>
      <c r="E2380">
        <v>69.099999999999994</v>
      </c>
      <c r="F2380">
        <v>67.2</v>
      </c>
      <c r="G2380">
        <v>0</v>
      </c>
      <c r="H2380">
        <v>0</v>
      </c>
      <c r="I2380">
        <v>0</v>
      </c>
      <c r="J2380">
        <v>0</v>
      </c>
      <c r="K2380">
        <v>61.8</v>
      </c>
      <c r="L2380">
        <v>62.2</v>
      </c>
      <c r="M2380">
        <v>69.239999999999995</v>
      </c>
      <c r="N2380">
        <v>3</v>
      </c>
      <c r="O2380">
        <v>2</v>
      </c>
      <c r="P2380">
        <f>MOD(DAY(datos_siembra[[#This Row],[Date]]),7)</f>
        <v>3</v>
      </c>
      <c r="Q2380" t="str">
        <f>CHOOSE(WEEKDAY(datos_siembra[[#This Row],[Date]],2),"L","M","X","J","V","S","D")</f>
        <v>J</v>
      </c>
      <c r="R2380">
        <f>WEEKNUM(datos_siembra[[#This Row],[Date]],2)-WEEKNUM(DATE(YEAR(datos_siembra[[#This Row],[Date]]),MONTH(datos_siembra[[#This Row],[Date]]),1))+1</f>
        <v>1</v>
      </c>
      <c r="S2380">
        <f>MONTH(datos_siembra[[#This Row],[Date]])</f>
        <v>10</v>
      </c>
      <c r="T2380" t="str" cm="1">
        <f t="array" ref="T2380">_xlfn.IFS(AND(N2380&lt;= 22, S2380=9), "SOWING",AND(N2380&lt;= 28, S2380=9), "COVERAGE",AND(N2380&lt;= 30, S2380=9), "FLUSH",AND(N2380&lt;= 11, S2380=10), "FLUSH",AND(N2380&lt;= 21, S2380=10), "PRODUCTION")</f>
        <v>FLUSH</v>
      </c>
      <c r="U2380">
        <f>HOUR(datos_siembra[[#This Row],[Hour]])</f>
        <v>7</v>
      </c>
      <c r="V2380" cm="1">
        <f t="array" ref="V2380">_xlfn.IFS(AND(N2380&lt;= 22, S2380=9), N2380-7,AND(N2380&lt;= 28, S2380=9), N2380-25,AND(N2380&lt;= 30, S2380=9), N2380-28,AND(N2380&lt;= 11, S2380=10), N2380+2,AND(N2380&lt;= 21, S2380=10), N2380-11)</f>
        <v>5</v>
      </c>
    </row>
    <row r="2381" spans="1:22" x14ac:dyDescent="0.35">
      <c r="A2381" s="4">
        <v>45568</v>
      </c>
      <c r="B2381" s="5">
        <v>0.31063657407407408</v>
      </c>
      <c r="C2381">
        <v>70.8</v>
      </c>
      <c r="D2381">
        <v>69.7</v>
      </c>
      <c r="E2381">
        <v>68.900000000000006</v>
      </c>
      <c r="F2381">
        <v>67.2</v>
      </c>
      <c r="G2381">
        <v>0</v>
      </c>
      <c r="H2381">
        <v>0</v>
      </c>
      <c r="I2381">
        <v>0</v>
      </c>
      <c r="J2381">
        <v>0</v>
      </c>
      <c r="K2381">
        <v>61.8</v>
      </c>
      <c r="L2381">
        <v>62.4</v>
      </c>
      <c r="M2381">
        <v>69.150000000000006</v>
      </c>
      <c r="N2381">
        <v>3</v>
      </c>
      <c r="O2381">
        <v>2</v>
      </c>
      <c r="P2381">
        <f>MOD(DAY(datos_siembra[[#This Row],[Date]]),7)</f>
        <v>3</v>
      </c>
      <c r="Q2381" t="str">
        <f>CHOOSE(WEEKDAY(datos_siembra[[#This Row],[Date]],2),"L","M","X","J","V","S","D")</f>
        <v>J</v>
      </c>
      <c r="R2381">
        <f>WEEKNUM(datos_siembra[[#This Row],[Date]],2)-WEEKNUM(DATE(YEAR(datos_siembra[[#This Row],[Date]]),MONTH(datos_siembra[[#This Row],[Date]]),1))+1</f>
        <v>1</v>
      </c>
      <c r="S2381">
        <f>MONTH(datos_siembra[[#This Row],[Date]])</f>
        <v>10</v>
      </c>
      <c r="T2381" t="str" cm="1">
        <f t="array" ref="T2381">_xlfn.IFS(AND(N2381&lt;= 22, S2381=9), "SOWING",AND(N2381&lt;= 28, S2381=9), "COVERAGE",AND(N2381&lt;= 30, S2381=9), "FLUSH",AND(N2381&lt;= 11, S2381=10), "FLUSH",AND(N2381&lt;= 21, S2381=10), "PRODUCTION")</f>
        <v>FLUSH</v>
      </c>
      <c r="U2381">
        <f>HOUR(datos_siembra[[#This Row],[Hour]])</f>
        <v>7</v>
      </c>
      <c r="V2381" cm="1">
        <f t="array" ref="V2381">_xlfn.IFS(AND(N2381&lt;= 22, S2381=9), N2381-7,AND(N2381&lt;= 28, S2381=9), N2381-25,AND(N2381&lt;= 30, S2381=9), N2381-28,AND(N2381&lt;= 11, S2381=10), N2381+2,AND(N2381&lt;= 21, S2381=10), N2381-11)</f>
        <v>5</v>
      </c>
    </row>
    <row r="2382" spans="1:22" x14ac:dyDescent="0.35">
      <c r="A2382" s="4">
        <v>45568</v>
      </c>
      <c r="B2382" s="5">
        <v>0.3175810185185185</v>
      </c>
      <c r="C2382">
        <v>70.7</v>
      </c>
      <c r="D2382">
        <v>69.599999999999994</v>
      </c>
      <c r="E2382">
        <v>68.900000000000006</v>
      </c>
      <c r="F2382">
        <v>67.099999999999994</v>
      </c>
      <c r="G2382">
        <v>0</v>
      </c>
      <c r="H2382">
        <v>0</v>
      </c>
      <c r="I2382">
        <v>0</v>
      </c>
      <c r="J2382">
        <v>0</v>
      </c>
      <c r="K2382">
        <v>61.9</v>
      </c>
      <c r="L2382">
        <v>62.5</v>
      </c>
      <c r="M2382">
        <v>69.069999999999993</v>
      </c>
      <c r="N2382">
        <v>3</v>
      </c>
      <c r="O2382">
        <v>2</v>
      </c>
      <c r="P2382">
        <f>MOD(DAY(datos_siembra[[#This Row],[Date]]),7)</f>
        <v>3</v>
      </c>
      <c r="Q2382" t="str">
        <f>CHOOSE(WEEKDAY(datos_siembra[[#This Row],[Date]],2),"L","M","X","J","V","S","D")</f>
        <v>J</v>
      </c>
      <c r="R2382">
        <f>WEEKNUM(datos_siembra[[#This Row],[Date]],2)-WEEKNUM(DATE(YEAR(datos_siembra[[#This Row],[Date]]),MONTH(datos_siembra[[#This Row],[Date]]),1))+1</f>
        <v>1</v>
      </c>
      <c r="S2382">
        <f>MONTH(datos_siembra[[#This Row],[Date]])</f>
        <v>10</v>
      </c>
      <c r="T2382" t="str" cm="1">
        <f t="array" ref="T2382">_xlfn.IFS(AND(N2382&lt;= 22, S2382=9), "SOWING",AND(N2382&lt;= 28, S2382=9), "COVERAGE",AND(N2382&lt;= 30, S2382=9), "FLUSH",AND(N2382&lt;= 11, S2382=10), "FLUSH",AND(N2382&lt;= 21, S2382=10), "PRODUCTION")</f>
        <v>FLUSH</v>
      </c>
      <c r="U2382">
        <f>HOUR(datos_siembra[[#This Row],[Hour]])</f>
        <v>7</v>
      </c>
      <c r="V2382" cm="1">
        <f t="array" ref="V2382">_xlfn.IFS(AND(N2382&lt;= 22, S2382=9), N2382-7,AND(N2382&lt;= 28, S2382=9), N2382-25,AND(N2382&lt;= 30, S2382=9), N2382-28,AND(N2382&lt;= 11, S2382=10), N2382+2,AND(N2382&lt;= 21, S2382=10), N2382-11)</f>
        <v>5</v>
      </c>
    </row>
    <row r="2383" spans="1:22" x14ac:dyDescent="0.35">
      <c r="A2383" s="4">
        <v>45568</v>
      </c>
      <c r="B2383" s="5">
        <v>0.32453703703703701</v>
      </c>
      <c r="C2383">
        <v>70.599999999999994</v>
      </c>
      <c r="D2383">
        <v>69.599999999999994</v>
      </c>
      <c r="E2383">
        <v>68.8</v>
      </c>
      <c r="F2383">
        <v>67</v>
      </c>
      <c r="G2383">
        <v>0</v>
      </c>
      <c r="H2383">
        <v>0</v>
      </c>
      <c r="I2383">
        <v>0</v>
      </c>
      <c r="J2383">
        <v>0</v>
      </c>
      <c r="K2383">
        <v>62.2</v>
      </c>
      <c r="L2383">
        <v>62.6</v>
      </c>
      <c r="M2383">
        <v>69.040000000000006</v>
      </c>
      <c r="N2383">
        <v>3</v>
      </c>
      <c r="O2383">
        <v>2</v>
      </c>
      <c r="P2383">
        <f>MOD(DAY(datos_siembra[[#This Row],[Date]]),7)</f>
        <v>3</v>
      </c>
      <c r="Q2383" t="str">
        <f>CHOOSE(WEEKDAY(datos_siembra[[#This Row],[Date]],2),"L","M","X","J","V","S","D")</f>
        <v>J</v>
      </c>
      <c r="R2383">
        <f>WEEKNUM(datos_siembra[[#This Row],[Date]],2)-WEEKNUM(DATE(YEAR(datos_siembra[[#This Row],[Date]]),MONTH(datos_siembra[[#This Row],[Date]]),1))+1</f>
        <v>1</v>
      </c>
      <c r="S2383">
        <f>MONTH(datos_siembra[[#This Row],[Date]])</f>
        <v>10</v>
      </c>
      <c r="T2383" t="str" cm="1">
        <f t="array" ref="T2383">_xlfn.IFS(AND(N2383&lt;= 22, S2383=9), "SOWING",AND(N2383&lt;= 28, S2383=9), "COVERAGE",AND(N2383&lt;= 30, S2383=9), "FLUSH",AND(N2383&lt;= 11, S2383=10), "FLUSH",AND(N2383&lt;= 21, S2383=10), "PRODUCTION")</f>
        <v>FLUSH</v>
      </c>
      <c r="U2383">
        <f>HOUR(datos_siembra[[#This Row],[Hour]])</f>
        <v>7</v>
      </c>
      <c r="V2383" cm="1">
        <f t="array" ref="V2383">_xlfn.IFS(AND(N2383&lt;= 22, S2383=9), N2383-7,AND(N2383&lt;= 28, S2383=9), N2383-25,AND(N2383&lt;= 30, S2383=9), N2383-28,AND(N2383&lt;= 11, S2383=10), N2383+2,AND(N2383&lt;= 21, S2383=10), N2383-11)</f>
        <v>5</v>
      </c>
    </row>
    <row r="2384" spans="1:22" x14ac:dyDescent="0.35">
      <c r="A2384" s="4">
        <v>45568</v>
      </c>
      <c r="B2384" s="5">
        <v>0.33148148148148149</v>
      </c>
      <c r="C2384">
        <v>70.599999999999994</v>
      </c>
      <c r="D2384">
        <v>69.599999999999994</v>
      </c>
      <c r="E2384">
        <v>68.8</v>
      </c>
      <c r="F2384">
        <v>67</v>
      </c>
      <c r="G2384">
        <v>0</v>
      </c>
      <c r="H2384">
        <v>0</v>
      </c>
      <c r="I2384">
        <v>0</v>
      </c>
      <c r="J2384">
        <v>0</v>
      </c>
      <c r="K2384">
        <v>62.3</v>
      </c>
      <c r="L2384">
        <v>62.7</v>
      </c>
      <c r="M2384">
        <v>69.040000000000006</v>
      </c>
      <c r="N2384">
        <v>3</v>
      </c>
      <c r="O2384">
        <v>2</v>
      </c>
      <c r="P2384">
        <f>MOD(DAY(datos_siembra[[#This Row],[Date]]),7)</f>
        <v>3</v>
      </c>
      <c r="Q2384" t="str">
        <f>CHOOSE(WEEKDAY(datos_siembra[[#This Row],[Date]],2),"L","M","X","J","V","S","D")</f>
        <v>J</v>
      </c>
      <c r="R2384">
        <f>WEEKNUM(datos_siembra[[#This Row],[Date]],2)-WEEKNUM(DATE(YEAR(datos_siembra[[#This Row],[Date]]),MONTH(datos_siembra[[#This Row],[Date]]),1))+1</f>
        <v>1</v>
      </c>
      <c r="S2384">
        <f>MONTH(datos_siembra[[#This Row],[Date]])</f>
        <v>10</v>
      </c>
      <c r="T2384" t="str" cm="1">
        <f t="array" ref="T2384">_xlfn.IFS(AND(N2384&lt;= 22, S2384=9), "SOWING",AND(N2384&lt;= 28, S2384=9), "COVERAGE",AND(N2384&lt;= 30, S2384=9), "FLUSH",AND(N2384&lt;= 11, S2384=10), "FLUSH",AND(N2384&lt;= 21, S2384=10), "PRODUCTION")</f>
        <v>FLUSH</v>
      </c>
      <c r="U2384">
        <f>HOUR(datos_siembra[[#This Row],[Hour]])</f>
        <v>7</v>
      </c>
      <c r="V2384" cm="1">
        <f t="array" ref="V2384">_xlfn.IFS(AND(N2384&lt;= 22, S2384=9), N2384-7,AND(N2384&lt;= 28, S2384=9), N2384-25,AND(N2384&lt;= 30, S2384=9), N2384-28,AND(N2384&lt;= 11, S2384=10), N2384+2,AND(N2384&lt;= 21, S2384=10), N2384-11)</f>
        <v>5</v>
      </c>
    </row>
    <row r="2385" spans="1:22" x14ac:dyDescent="0.35">
      <c r="A2385" s="4">
        <v>45568</v>
      </c>
      <c r="B2385" s="5">
        <v>0.35023148148148148</v>
      </c>
      <c r="C2385">
        <v>70.5</v>
      </c>
      <c r="D2385">
        <v>69.599999999999994</v>
      </c>
      <c r="E2385">
        <v>68.5</v>
      </c>
      <c r="F2385">
        <v>66.8</v>
      </c>
      <c r="G2385">
        <v>0</v>
      </c>
      <c r="H2385">
        <v>0</v>
      </c>
      <c r="I2385">
        <v>0</v>
      </c>
      <c r="J2385">
        <v>0</v>
      </c>
      <c r="K2385">
        <v>62.3</v>
      </c>
      <c r="L2385">
        <v>62.9</v>
      </c>
      <c r="M2385">
        <v>68.819999999999993</v>
      </c>
      <c r="N2385">
        <v>3</v>
      </c>
      <c r="O2385">
        <v>2</v>
      </c>
      <c r="P2385">
        <f>MOD(DAY(datos_siembra[[#This Row],[Date]]),7)</f>
        <v>3</v>
      </c>
      <c r="Q2385" t="str">
        <f>CHOOSE(WEEKDAY(datos_siembra[[#This Row],[Date]],2),"L","M","X","J","V","S","D")</f>
        <v>J</v>
      </c>
      <c r="R2385">
        <f>WEEKNUM(datos_siembra[[#This Row],[Date]],2)-WEEKNUM(DATE(YEAR(datos_siembra[[#This Row],[Date]]),MONTH(datos_siembra[[#This Row],[Date]]),1))+1</f>
        <v>1</v>
      </c>
      <c r="S2385">
        <f>MONTH(datos_siembra[[#This Row],[Date]])</f>
        <v>10</v>
      </c>
      <c r="T2385" t="str" cm="1">
        <f t="array" ref="T2385">_xlfn.IFS(AND(N2385&lt;= 22, S2385=9), "SOWING",AND(N2385&lt;= 28, S2385=9), "COVERAGE",AND(N2385&lt;= 30, S2385=9), "FLUSH",AND(N2385&lt;= 11, S2385=10), "FLUSH",AND(N2385&lt;= 21, S2385=10), "PRODUCTION")</f>
        <v>FLUSH</v>
      </c>
      <c r="U2385">
        <f>HOUR(datos_siembra[[#This Row],[Hour]])</f>
        <v>8</v>
      </c>
      <c r="V2385" cm="1">
        <f t="array" ref="V2385">_xlfn.IFS(AND(N2385&lt;= 22, S2385=9), N2385-7,AND(N2385&lt;= 28, S2385=9), N2385-25,AND(N2385&lt;= 30, S2385=9), N2385-28,AND(N2385&lt;= 11, S2385=10), N2385+2,AND(N2385&lt;= 21, S2385=10), N2385-11)</f>
        <v>5</v>
      </c>
    </row>
    <row r="2386" spans="1:22" x14ac:dyDescent="0.35">
      <c r="A2386" s="4">
        <v>45568</v>
      </c>
      <c r="B2386" s="5">
        <v>0.35703703703703704</v>
      </c>
      <c r="C2386">
        <v>70.5</v>
      </c>
      <c r="D2386">
        <v>69.400000000000006</v>
      </c>
      <c r="E2386">
        <v>68.7</v>
      </c>
      <c r="F2386">
        <v>67</v>
      </c>
      <c r="G2386">
        <v>0</v>
      </c>
      <c r="H2386">
        <v>0</v>
      </c>
      <c r="I2386">
        <v>0</v>
      </c>
      <c r="J2386">
        <v>0</v>
      </c>
      <c r="K2386">
        <v>61.6</v>
      </c>
      <c r="L2386">
        <v>62.2</v>
      </c>
      <c r="M2386">
        <v>68.900000000000006</v>
      </c>
      <c r="N2386">
        <v>3</v>
      </c>
      <c r="O2386">
        <v>2</v>
      </c>
      <c r="P2386">
        <f>MOD(DAY(datos_siembra[[#This Row],[Date]]),7)</f>
        <v>3</v>
      </c>
      <c r="Q2386" t="str">
        <f>CHOOSE(WEEKDAY(datos_siembra[[#This Row],[Date]],2),"L","M","X","J","V","S","D")</f>
        <v>J</v>
      </c>
      <c r="R2386">
        <f>WEEKNUM(datos_siembra[[#This Row],[Date]],2)-WEEKNUM(DATE(YEAR(datos_siembra[[#This Row],[Date]]),MONTH(datos_siembra[[#This Row],[Date]]),1))+1</f>
        <v>1</v>
      </c>
      <c r="S2386">
        <f>MONTH(datos_siembra[[#This Row],[Date]])</f>
        <v>10</v>
      </c>
      <c r="T2386" t="str" cm="1">
        <f t="array" ref="T2386">_xlfn.IFS(AND(N2386&lt;= 22, S2386=9), "SOWING",AND(N2386&lt;= 28, S2386=9), "COVERAGE",AND(N2386&lt;= 30, S2386=9), "FLUSH",AND(N2386&lt;= 11, S2386=10), "FLUSH",AND(N2386&lt;= 21, S2386=10), "PRODUCTION")</f>
        <v>FLUSH</v>
      </c>
      <c r="U2386">
        <f>HOUR(datos_siembra[[#This Row],[Hour]])</f>
        <v>8</v>
      </c>
      <c r="V2386" cm="1">
        <f t="array" ref="V2386">_xlfn.IFS(AND(N2386&lt;= 22, S2386=9), N2386-7,AND(N2386&lt;= 28, S2386=9), N2386-25,AND(N2386&lt;= 30, S2386=9), N2386-28,AND(N2386&lt;= 11, S2386=10), N2386+2,AND(N2386&lt;= 21, S2386=10), N2386-11)</f>
        <v>5</v>
      </c>
    </row>
    <row r="2387" spans="1:22" x14ac:dyDescent="0.35">
      <c r="A2387" s="4">
        <v>45568</v>
      </c>
      <c r="B2387" s="5">
        <v>0.36398148148148146</v>
      </c>
      <c r="C2387">
        <v>70.5</v>
      </c>
      <c r="D2387">
        <v>69.599999999999994</v>
      </c>
      <c r="E2387">
        <v>68.7</v>
      </c>
      <c r="F2387">
        <v>66.900000000000006</v>
      </c>
      <c r="G2387">
        <v>0</v>
      </c>
      <c r="H2387">
        <v>0</v>
      </c>
      <c r="I2387">
        <v>0</v>
      </c>
      <c r="J2387">
        <v>0</v>
      </c>
      <c r="K2387">
        <v>60.7</v>
      </c>
      <c r="L2387">
        <v>61.1</v>
      </c>
      <c r="M2387">
        <v>68.84</v>
      </c>
      <c r="N2387">
        <v>3</v>
      </c>
      <c r="O2387">
        <v>2</v>
      </c>
      <c r="P2387">
        <f>MOD(DAY(datos_siembra[[#This Row],[Date]]),7)</f>
        <v>3</v>
      </c>
      <c r="Q2387" t="str">
        <f>CHOOSE(WEEKDAY(datos_siembra[[#This Row],[Date]],2),"L","M","X","J","V","S","D")</f>
        <v>J</v>
      </c>
      <c r="R2387">
        <f>WEEKNUM(datos_siembra[[#This Row],[Date]],2)-WEEKNUM(DATE(YEAR(datos_siembra[[#This Row],[Date]]),MONTH(datos_siembra[[#This Row],[Date]]),1))+1</f>
        <v>1</v>
      </c>
      <c r="S2387">
        <f>MONTH(datos_siembra[[#This Row],[Date]])</f>
        <v>10</v>
      </c>
      <c r="T2387" t="str" cm="1">
        <f t="array" ref="T2387">_xlfn.IFS(AND(N2387&lt;= 22, S2387=9), "SOWING",AND(N2387&lt;= 28, S2387=9), "COVERAGE",AND(N2387&lt;= 30, S2387=9), "FLUSH",AND(N2387&lt;= 11, S2387=10), "FLUSH",AND(N2387&lt;= 21, S2387=10), "PRODUCTION")</f>
        <v>FLUSH</v>
      </c>
      <c r="U2387">
        <f>HOUR(datos_siembra[[#This Row],[Hour]])</f>
        <v>8</v>
      </c>
      <c r="V2387" cm="1">
        <f t="array" ref="V2387">_xlfn.IFS(AND(N2387&lt;= 22, S2387=9), N2387-7,AND(N2387&lt;= 28, S2387=9), N2387-25,AND(N2387&lt;= 30, S2387=9), N2387-28,AND(N2387&lt;= 11, S2387=10), N2387+2,AND(N2387&lt;= 21, S2387=10), N2387-11)</f>
        <v>5</v>
      </c>
    </row>
    <row r="2388" spans="1:22" x14ac:dyDescent="0.35">
      <c r="A2388" s="4">
        <v>45568</v>
      </c>
      <c r="B2388" s="5">
        <v>0.37092592592592594</v>
      </c>
      <c r="C2388">
        <v>70.5</v>
      </c>
      <c r="D2388">
        <v>69.5</v>
      </c>
      <c r="E2388">
        <v>68.7</v>
      </c>
      <c r="F2388">
        <v>67</v>
      </c>
      <c r="G2388">
        <v>0</v>
      </c>
      <c r="H2388">
        <v>0</v>
      </c>
      <c r="I2388">
        <v>0</v>
      </c>
      <c r="J2388">
        <v>0</v>
      </c>
      <c r="K2388">
        <v>60.2</v>
      </c>
      <c r="L2388">
        <v>60.5</v>
      </c>
      <c r="M2388">
        <v>68.87</v>
      </c>
      <c r="N2388">
        <v>3</v>
      </c>
      <c r="O2388">
        <v>2</v>
      </c>
      <c r="P2388">
        <f>MOD(DAY(datos_siembra[[#This Row],[Date]]),7)</f>
        <v>3</v>
      </c>
      <c r="Q2388" t="str">
        <f>CHOOSE(WEEKDAY(datos_siembra[[#This Row],[Date]],2),"L","M","X","J","V","S","D")</f>
        <v>J</v>
      </c>
      <c r="R2388">
        <f>WEEKNUM(datos_siembra[[#This Row],[Date]],2)-WEEKNUM(DATE(YEAR(datos_siembra[[#This Row],[Date]]),MONTH(datos_siembra[[#This Row],[Date]]),1))+1</f>
        <v>1</v>
      </c>
      <c r="S2388">
        <f>MONTH(datos_siembra[[#This Row],[Date]])</f>
        <v>10</v>
      </c>
      <c r="T2388" t="str" cm="1">
        <f t="array" ref="T2388">_xlfn.IFS(AND(N2388&lt;= 22, S2388=9), "SOWING",AND(N2388&lt;= 28, S2388=9), "COVERAGE",AND(N2388&lt;= 30, S2388=9), "FLUSH",AND(N2388&lt;= 11, S2388=10), "FLUSH",AND(N2388&lt;= 21, S2388=10), "PRODUCTION")</f>
        <v>FLUSH</v>
      </c>
      <c r="U2388">
        <f>HOUR(datos_siembra[[#This Row],[Hour]])</f>
        <v>8</v>
      </c>
      <c r="V2388" cm="1">
        <f t="array" ref="V2388">_xlfn.IFS(AND(N2388&lt;= 22, S2388=9), N2388-7,AND(N2388&lt;= 28, S2388=9), N2388-25,AND(N2388&lt;= 30, S2388=9), N2388-28,AND(N2388&lt;= 11, S2388=10), N2388+2,AND(N2388&lt;= 21, S2388=10), N2388-11)</f>
        <v>5</v>
      </c>
    </row>
    <row r="2389" spans="1:22" x14ac:dyDescent="0.35">
      <c r="A2389" s="4">
        <v>45568</v>
      </c>
      <c r="B2389" s="5">
        <v>0.37788194444444445</v>
      </c>
      <c r="C2389">
        <v>70.5</v>
      </c>
      <c r="D2389">
        <v>69.400000000000006</v>
      </c>
      <c r="E2389">
        <v>68.599999999999994</v>
      </c>
      <c r="F2389">
        <v>66.8</v>
      </c>
      <c r="G2389">
        <v>0</v>
      </c>
      <c r="H2389">
        <v>0</v>
      </c>
      <c r="I2389">
        <v>0</v>
      </c>
      <c r="J2389">
        <v>0</v>
      </c>
      <c r="K2389">
        <v>60</v>
      </c>
      <c r="L2389">
        <v>60.2</v>
      </c>
      <c r="M2389">
        <v>68.760000000000005</v>
      </c>
      <c r="N2389">
        <v>3</v>
      </c>
      <c r="O2389">
        <v>2</v>
      </c>
      <c r="P2389">
        <f>MOD(DAY(datos_siembra[[#This Row],[Date]]),7)</f>
        <v>3</v>
      </c>
      <c r="Q2389" t="str">
        <f>CHOOSE(WEEKDAY(datos_siembra[[#This Row],[Date]],2),"L","M","X","J","V","S","D")</f>
        <v>J</v>
      </c>
      <c r="R2389">
        <f>WEEKNUM(datos_siembra[[#This Row],[Date]],2)-WEEKNUM(DATE(YEAR(datos_siembra[[#This Row],[Date]]),MONTH(datos_siembra[[#This Row],[Date]]),1))+1</f>
        <v>1</v>
      </c>
      <c r="S2389">
        <f>MONTH(datos_siembra[[#This Row],[Date]])</f>
        <v>10</v>
      </c>
      <c r="T2389" t="str" cm="1">
        <f t="array" ref="T2389">_xlfn.IFS(AND(N2389&lt;= 22, S2389=9), "SOWING",AND(N2389&lt;= 28, S2389=9), "COVERAGE",AND(N2389&lt;= 30, S2389=9), "FLUSH",AND(N2389&lt;= 11, S2389=10), "FLUSH",AND(N2389&lt;= 21, S2389=10), "PRODUCTION")</f>
        <v>FLUSH</v>
      </c>
      <c r="U2389">
        <f>HOUR(datos_siembra[[#This Row],[Hour]])</f>
        <v>9</v>
      </c>
      <c r="V2389" cm="1">
        <f t="array" ref="V2389">_xlfn.IFS(AND(N2389&lt;= 22, S2389=9), N2389-7,AND(N2389&lt;= 28, S2389=9), N2389-25,AND(N2389&lt;= 30, S2389=9), N2389-28,AND(N2389&lt;= 11, S2389=10), N2389+2,AND(N2389&lt;= 21, S2389=10), N2389-11)</f>
        <v>5</v>
      </c>
    </row>
    <row r="2390" spans="1:22" x14ac:dyDescent="0.35">
      <c r="A2390" s="4">
        <v>45568</v>
      </c>
      <c r="B2390" s="5">
        <v>0.38482638888888887</v>
      </c>
      <c r="C2390">
        <v>70.400000000000006</v>
      </c>
      <c r="D2390">
        <v>69.5</v>
      </c>
      <c r="E2390">
        <v>68.7</v>
      </c>
      <c r="F2390">
        <v>66.900000000000006</v>
      </c>
      <c r="G2390">
        <v>0</v>
      </c>
      <c r="H2390">
        <v>0</v>
      </c>
      <c r="I2390">
        <v>0</v>
      </c>
      <c r="J2390">
        <v>0</v>
      </c>
      <c r="K2390">
        <v>59.9</v>
      </c>
      <c r="L2390">
        <v>60.2</v>
      </c>
      <c r="M2390">
        <v>68.819999999999993</v>
      </c>
      <c r="N2390">
        <v>3</v>
      </c>
      <c r="O2390">
        <v>2</v>
      </c>
      <c r="P2390">
        <f>MOD(DAY(datos_siembra[[#This Row],[Date]]),7)</f>
        <v>3</v>
      </c>
      <c r="Q2390" t="str">
        <f>CHOOSE(WEEKDAY(datos_siembra[[#This Row],[Date]],2),"L","M","X","J","V","S","D")</f>
        <v>J</v>
      </c>
      <c r="R2390">
        <f>WEEKNUM(datos_siembra[[#This Row],[Date]],2)-WEEKNUM(DATE(YEAR(datos_siembra[[#This Row],[Date]]),MONTH(datos_siembra[[#This Row],[Date]]),1))+1</f>
        <v>1</v>
      </c>
      <c r="S2390">
        <f>MONTH(datos_siembra[[#This Row],[Date]])</f>
        <v>10</v>
      </c>
      <c r="T2390" t="str" cm="1">
        <f t="array" ref="T2390">_xlfn.IFS(AND(N2390&lt;= 22, S2390=9), "SOWING",AND(N2390&lt;= 28, S2390=9), "COVERAGE",AND(N2390&lt;= 30, S2390=9), "FLUSH",AND(N2390&lt;= 11, S2390=10), "FLUSH",AND(N2390&lt;= 21, S2390=10), "PRODUCTION")</f>
        <v>FLUSH</v>
      </c>
      <c r="U2390">
        <f>HOUR(datos_siembra[[#This Row],[Hour]])</f>
        <v>9</v>
      </c>
      <c r="V2390" cm="1">
        <f t="array" ref="V2390">_xlfn.IFS(AND(N2390&lt;= 22, S2390=9), N2390-7,AND(N2390&lt;= 28, S2390=9), N2390-25,AND(N2390&lt;= 30, S2390=9), N2390-28,AND(N2390&lt;= 11, S2390=10), N2390+2,AND(N2390&lt;= 21, S2390=10), N2390-11)</f>
        <v>5</v>
      </c>
    </row>
    <row r="2391" spans="1:22" x14ac:dyDescent="0.35">
      <c r="A2391" s="4">
        <v>45568</v>
      </c>
      <c r="B2391" s="5">
        <v>0.39177083333333335</v>
      </c>
      <c r="C2391">
        <v>70.400000000000006</v>
      </c>
      <c r="D2391">
        <v>69.5</v>
      </c>
      <c r="E2391">
        <v>68.5</v>
      </c>
      <c r="F2391">
        <v>66.8</v>
      </c>
      <c r="G2391">
        <v>0</v>
      </c>
      <c r="H2391">
        <v>0</v>
      </c>
      <c r="I2391">
        <v>0</v>
      </c>
      <c r="J2391">
        <v>0</v>
      </c>
      <c r="K2391">
        <v>59.9</v>
      </c>
      <c r="L2391">
        <v>60.1</v>
      </c>
      <c r="M2391">
        <v>68.760000000000005</v>
      </c>
      <c r="N2391">
        <v>3</v>
      </c>
      <c r="O2391">
        <v>2</v>
      </c>
      <c r="P2391">
        <f>MOD(DAY(datos_siembra[[#This Row],[Date]]),7)</f>
        <v>3</v>
      </c>
      <c r="Q2391" t="str">
        <f>CHOOSE(WEEKDAY(datos_siembra[[#This Row],[Date]],2),"L","M","X","J","V","S","D")</f>
        <v>J</v>
      </c>
      <c r="R2391">
        <f>WEEKNUM(datos_siembra[[#This Row],[Date]],2)-WEEKNUM(DATE(YEAR(datos_siembra[[#This Row],[Date]]),MONTH(datos_siembra[[#This Row],[Date]]),1))+1</f>
        <v>1</v>
      </c>
      <c r="S2391">
        <f>MONTH(datos_siembra[[#This Row],[Date]])</f>
        <v>10</v>
      </c>
      <c r="T2391" t="str" cm="1">
        <f t="array" ref="T2391">_xlfn.IFS(AND(N2391&lt;= 22, S2391=9), "SOWING",AND(N2391&lt;= 28, S2391=9), "COVERAGE",AND(N2391&lt;= 30, S2391=9), "FLUSH",AND(N2391&lt;= 11, S2391=10), "FLUSH",AND(N2391&lt;= 21, S2391=10), "PRODUCTION")</f>
        <v>FLUSH</v>
      </c>
      <c r="U2391">
        <f>HOUR(datos_siembra[[#This Row],[Hour]])</f>
        <v>9</v>
      </c>
      <c r="V2391" cm="1">
        <f t="array" ref="V2391">_xlfn.IFS(AND(N2391&lt;= 22, S2391=9), N2391-7,AND(N2391&lt;= 28, S2391=9), N2391-25,AND(N2391&lt;= 30, S2391=9), N2391-28,AND(N2391&lt;= 11, S2391=10), N2391+2,AND(N2391&lt;= 21, S2391=10), N2391-11)</f>
        <v>5</v>
      </c>
    </row>
    <row r="2392" spans="1:22" x14ac:dyDescent="0.35">
      <c r="A2392" s="4">
        <v>45568</v>
      </c>
      <c r="B2392" s="5">
        <v>0.39872685185185186</v>
      </c>
      <c r="C2392">
        <v>70.5</v>
      </c>
      <c r="D2392">
        <v>69.599999999999994</v>
      </c>
      <c r="E2392">
        <v>68.5</v>
      </c>
      <c r="F2392">
        <v>66.900000000000006</v>
      </c>
      <c r="G2392">
        <v>0</v>
      </c>
      <c r="H2392">
        <v>0</v>
      </c>
      <c r="I2392">
        <v>0</v>
      </c>
      <c r="J2392">
        <v>0</v>
      </c>
      <c r="K2392">
        <v>59.7</v>
      </c>
      <c r="L2392">
        <v>59.9</v>
      </c>
      <c r="M2392">
        <v>68.790000000000006</v>
      </c>
      <c r="N2392">
        <v>3</v>
      </c>
      <c r="O2392">
        <v>2</v>
      </c>
      <c r="P2392">
        <f>MOD(DAY(datos_siembra[[#This Row],[Date]]),7)</f>
        <v>3</v>
      </c>
      <c r="Q2392" t="str">
        <f>CHOOSE(WEEKDAY(datos_siembra[[#This Row],[Date]],2),"L","M","X","J","V","S","D")</f>
        <v>J</v>
      </c>
      <c r="R2392">
        <f>WEEKNUM(datos_siembra[[#This Row],[Date]],2)-WEEKNUM(DATE(YEAR(datos_siembra[[#This Row],[Date]]),MONTH(datos_siembra[[#This Row],[Date]]),1))+1</f>
        <v>1</v>
      </c>
      <c r="S2392">
        <f>MONTH(datos_siembra[[#This Row],[Date]])</f>
        <v>10</v>
      </c>
      <c r="T2392" t="str" cm="1">
        <f t="array" ref="T2392">_xlfn.IFS(AND(N2392&lt;= 22, S2392=9), "SOWING",AND(N2392&lt;= 28, S2392=9), "COVERAGE",AND(N2392&lt;= 30, S2392=9), "FLUSH",AND(N2392&lt;= 11, S2392=10), "FLUSH",AND(N2392&lt;= 21, S2392=10), "PRODUCTION")</f>
        <v>FLUSH</v>
      </c>
      <c r="U2392">
        <f>HOUR(datos_siembra[[#This Row],[Hour]])</f>
        <v>9</v>
      </c>
      <c r="V2392" cm="1">
        <f t="array" ref="V2392">_xlfn.IFS(AND(N2392&lt;= 22, S2392=9), N2392-7,AND(N2392&lt;= 28, S2392=9), N2392-25,AND(N2392&lt;= 30, S2392=9), N2392-28,AND(N2392&lt;= 11, S2392=10), N2392+2,AND(N2392&lt;= 21, S2392=10), N2392-11)</f>
        <v>5</v>
      </c>
    </row>
    <row r="2393" spans="1:22" x14ac:dyDescent="0.35">
      <c r="A2393" s="4">
        <v>45568</v>
      </c>
      <c r="B2393" s="5">
        <v>0.40567129629629628</v>
      </c>
      <c r="C2393">
        <v>70.400000000000006</v>
      </c>
      <c r="D2393">
        <v>69.5</v>
      </c>
      <c r="E2393">
        <v>68.599999999999994</v>
      </c>
      <c r="F2393">
        <v>66.900000000000006</v>
      </c>
      <c r="G2393">
        <v>0</v>
      </c>
      <c r="H2393">
        <v>0</v>
      </c>
      <c r="I2393">
        <v>0</v>
      </c>
      <c r="J2393">
        <v>0</v>
      </c>
      <c r="K2393">
        <v>59.7</v>
      </c>
      <c r="L2393">
        <v>60.1</v>
      </c>
      <c r="M2393">
        <v>68.819999999999993</v>
      </c>
      <c r="N2393">
        <v>3</v>
      </c>
      <c r="O2393">
        <v>2</v>
      </c>
      <c r="P2393">
        <f>MOD(DAY(datos_siembra[[#This Row],[Date]]),7)</f>
        <v>3</v>
      </c>
      <c r="Q2393" t="str">
        <f>CHOOSE(WEEKDAY(datos_siembra[[#This Row],[Date]],2),"L","M","X","J","V","S","D")</f>
        <v>J</v>
      </c>
      <c r="R2393">
        <f>WEEKNUM(datos_siembra[[#This Row],[Date]],2)-WEEKNUM(DATE(YEAR(datos_siembra[[#This Row],[Date]]),MONTH(datos_siembra[[#This Row],[Date]]),1))+1</f>
        <v>1</v>
      </c>
      <c r="S2393">
        <f>MONTH(datos_siembra[[#This Row],[Date]])</f>
        <v>10</v>
      </c>
      <c r="T2393" t="str" cm="1">
        <f t="array" ref="T2393">_xlfn.IFS(AND(N2393&lt;= 22, S2393=9), "SOWING",AND(N2393&lt;= 28, S2393=9), "COVERAGE",AND(N2393&lt;= 30, S2393=9), "FLUSH",AND(N2393&lt;= 11, S2393=10), "FLUSH",AND(N2393&lt;= 21, S2393=10), "PRODUCTION")</f>
        <v>FLUSH</v>
      </c>
      <c r="U2393">
        <f>HOUR(datos_siembra[[#This Row],[Hour]])</f>
        <v>9</v>
      </c>
      <c r="V2393" cm="1">
        <f t="array" ref="V2393">_xlfn.IFS(AND(N2393&lt;= 22, S2393=9), N2393-7,AND(N2393&lt;= 28, S2393=9), N2393-25,AND(N2393&lt;= 30, S2393=9), N2393-28,AND(N2393&lt;= 11, S2393=10), N2393+2,AND(N2393&lt;= 21, S2393=10), N2393-11)</f>
        <v>5</v>
      </c>
    </row>
    <row r="2394" spans="1:22" x14ac:dyDescent="0.35">
      <c r="A2394" s="4">
        <v>45568</v>
      </c>
      <c r="B2394" s="5">
        <v>0.41261574074074076</v>
      </c>
      <c r="C2394">
        <v>70.3</v>
      </c>
      <c r="D2394">
        <v>69.599999999999994</v>
      </c>
      <c r="E2394">
        <v>68.599999999999994</v>
      </c>
      <c r="F2394">
        <v>66.900000000000006</v>
      </c>
      <c r="G2394">
        <v>0</v>
      </c>
      <c r="H2394">
        <v>0</v>
      </c>
      <c r="I2394">
        <v>0</v>
      </c>
      <c r="J2394">
        <v>0</v>
      </c>
      <c r="K2394">
        <v>59.7</v>
      </c>
      <c r="L2394">
        <v>59.9</v>
      </c>
      <c r="M2394">
        <v>68.819999999999993</v>
      </c>
      <c r="N2394">
        <v>3</v>
      </c>
      <c r="O2394">
        <v>2</v>
      </c>
      <c r="P2394">
        <f>MOD(DAY(datos_siembra[[#This Row],[Date]]),7)</f>
        <v>3</v>
      </c>
      <c r="Q2394" t="str">
        <f>CHOOSE(WEEKDAY(datos_siembra[[#This Row],[Date]],2),"L","M","X","J","V","S","D")</f>
        <v>J</v>
      </c>
      <c r="R2394">
        <f>WEEKNUM(datos_siembra[[#This Row],[Date]],2)-WEEKNUM(DATE(YEAR(datos_siembra[[#This Row],[Date]]),MONTH(datos_siembra[[#This Row],[Date]]),1))+1</f>
        <v>1</v>
      </c>
      <c r="S2394">
        <f>MONTH(datos_siembra[[#This Row],[Date]])</f>
        <v>10</v>
      </c>
      <c r="T2394" t="str" cm="1">
        <f t="array" ref="T2394">_xlfn.IFS(AND(N2394&lt;= 22, S2394=9), "SOWING",AND(N2394&lt;= 28, S2394=9), "COVERAGE",AND(N2394&lt;= 30, S2394=9), "FLUSH",AND(N2394&lt;= 11, S2394=10), "FLUSH",AND(N2394&lt;= 21, S2394=10), "PRODUCTION")</f>
        <v>FLUSH</v>
      </c>
      <c r="U2394">
        <f>HOUR(datos_siembra[[#This Row],[Hour]])</f>
        <v>9</v>
      </c>
      <c r="V2394" cm="1">
        <f t="array" ref="V2394">_xlfn.IFS(AND(N2394&lt;= 22, S2394=9), N2394-7,AND(N2394&lt;= 28, S2394=9), N2394-25,AND(N2394&lt;= 30, S2394=9), N2394-28,AND(N2394&lt;= 11, S2394=10), N2394+2,AND(N2394&lt;= 21, S2394=10), N2394-11)</f>
        <v>5</v>
      </c>
    </row>
    <row r="2395" spans="1:22" x14ac:dyDescent="0.35">
      <c r="A2395" s="4">
        <v>45568</v>
      </c>
      <c r="B2395" s="5">
        <v>0.41956018518518517</v>
      </c>
      <c r="C2395">
        <v>70.400000000000006</v>
      </c>
      <c r="D2395">
        <v>69.5</v>
      </c>
      <c r="E2395">
        <v>68.3</v>
      </c>
      <c r="F2395">
        <v>66.900000000000006</v>
      </c>
      <c r="G2395">
        <v>0</v>
      </c>
      <c r="H2395">
        <v>0</v>
      </c>
      <c r="I2395">
        <v>0</v>
      </c>
      <c r="J2395">
        <v>0</v>
      </c>
      <c r="K2395">
        <v>59.7</v>
      </c>
      <c r="L2395">
        <v>60</v>
      </c>
      <c r="M2395">
        <v>68.760000000000005</v>
      </c>
      <c r="N2395">
        <v>3</v>
      </c>
      <c r="O2395">
        <v>2</v>
      </c>
      <c r="P2395">
        <f>MOD(DAY(datos_siembra[[#This Row],[Date]]),7)</f>
        <v>3</v>
      </c>
      <c r="Q2395" t="str">
        <f>CHOOSE(WEEKDAY(datos_siembra[[#This Row],[Date]],2),"L","M","X","J","V","S","D")</f>
        <v>J</v>
      </c>
      <c r="R2395">
        <f>WEEKNUM(datos_siembra[[#This Row],[Date]],2)-WEEKNUM(DATE(YEAR(datos_siembra[[#This Row],[Date]]),MONTH(datos_siembra[[#This Row],[Date]]),1))+1</f>
        <v>1</v>
      </c>
      <c r="S2395">
        <f>MONTH(datos_siembra[[#This Row],[Date]])</f>
        <v>10</v>
      </c>
      <c r="T2395" t="str" cm="1">
        <f t="array" ref="T2395">_xlfn.IFS(AND(N2395&lt;= 22, S2395=9), "SOWING",AND(N2395&lt;= 28, S2395=9), "COVERAGE",AND(N2395&lt;= 30, S2395=9), "FLUSH",AND(N2395&lt;= 11, S2395=10), "FLUSH",AND(N2395&lt;= 21, S2395=10), "PRODUCTION")</f>
        <v>FLUSH</v>
      </c>
      <c r="U2395">
        <f>HOUR(datos_siembra[[#This Row],[Hour]])</f>
        <v>10</v>
      </c>
      <c r="V2395" cm="1">
        <f t="array" ref="V2395">_xlfn.IFS(AND(N2395&lt;= 22, S2395=9), N2395-7,AND(N2395&lt;= 28, S2395=9), N2395-25,AND(N2395&lt;= 30, S2395=9), N2395-28,AND(N2395&lt;= 11, S2395=10), N2395+2,AND(N2395&lt;= 21, S2395=10), N2395-11)</f>
        <v>5</v>
      </c>
    </row>
    <row r="2396" spans="1:22" x14ac:dyDescent="0.35">
      <c r="A2396" s="4">
        <v>45568</v>
      </c>
      <c r="B2396" s="5">
        <v>0.42651620370370369</v>
      </c>
      <c r="C2396">
        <v>70.400000000000006</v>
      </c>
      <c r="D2396">
        <v>69.5</v>
      </c>
      <c r="E2396">
        <v>68.5</v>
      </c>
      <c r="F2396">
        <v>66.599999999999994</v>
      </c>
      <c r="G2396">
        <v>0</v>
      </c>
      <c r="H2396">
        <v>0</v>
      </c>
      <c r="I2396">
        <v>0</v>
      </c>
      <c r="J2396">
        <v>0</v>
      </c>
      <c r="K2396">
        <v>59.7</v>
      </c>
      <c r="L2396">
        <v>59.9</v>
      </c>
      <c r="M2396">
        <v>68.760000000000005</v>
      </c>
      <c r="N2396">
        <v>3</v>
      </c>
      <c r="O2396">
        <v>2</v>
      </c>
      <c r="P2396">
        <f>MOD(DAY(datos_siembra[[#This Row],[Date]]),7)</f>
        <v>3</v>
      </c>
      <c r="Q2396" t="str">
        <f>CHOOSE(WEEKDAY(datos_siembra[[#This Row],[Date]],2),"L","M","X","J","V","S","D")</f>
        <v>J</v>
      </c>
      <c r="R2396">
        <f>WEEKNUM(datos_siembra[[#This Row],[Date]],2)-WEEKNUM(DATE(YEAR(datos_siembra[[#This Row],[Date]]),MONTH(datos_siembra[[#This Row],[Date]]),1))+1</f>
        <v>1</v>
      </c>
      <c r="S2396">
        <f>MONTH(datos_siembra[[#This Row],[Date]])</f>
        <v>10</v>
      </c>
      <c r="T2396" t="str" cm="1">
        <f t="array" ref="T2396">_xlfn.IFS(AND(N2396&lt;= 22, S2396=9), "SOWING",AND(N2396&lt;= 28, S2396=9), "COVERAGE",AND(N2396&lt;= 30, S2396=9), "FLUSH",AND(N2396&lt;= 11, S2396=10), "FLUSH",AND(N2396&lt;= 21, S2396=10), "PRODUCTION")</f>
        <v>FLUSH</v>
      </c>
      <c r="U2396">
        <f>HOUR(datos_siembra[[#This Row],[Hour]])</f>
        <v>10</v>
      </c>
      <c r="V2396" cm="1">
        <f t="array" ref="V2396">_xlfn.IFS(AND(N2396&lt;= 22, S2396=9), N2396-7,AND(N2396&lt;= 28, S2396=9), N2396-25,AND(N2396&lt;= 30, S2396=9), N2396-28,AND(N2396&lt;= 11, S2396=10), N2396+2,AND(N2396&lt;= 21, S2396=10), N2396-11)</f>
        <v>5</v>
      </c>
    </row>
    <row r="2397" spans="1:22" x14ac:dyDescent="0.35">
      <c r="A2397" s="4">
        <v>45568</v>
      </c>
      <c r="B2397" s="5">
        <v>0.43346064814814816</v>
      </c>
      <c r="C2397">
        <v>70.3</v>
      </c>
      <c r="D2397">
        <v>69.5</v>
      </c>
      <c r="E2397">
        <v>68.5</v>
      </c>
      <c r="F2397">
        <v>66.599999999999994</v>
      </c>
      <c r="G2397">
        <v>0</v>
      </c>
      <c r="H2397">
        <v>0</v>
      </c>
      <c r="I2397">
        <v>0</v>
      </c>
      <c r="J2397">
        <v>0</v>
      </c>
      <c r="K2397">
        <v>59.7</v>
      </c>
      <c r="L2397">
        <v>59.7</v>
      </c>
      <c r="M2397">
        <v>68.760000000000005</v>
      </c>
      <c r="N2397">
        <v>3</v>
      </c>
      <c r="O2397">
        <v>2</v>
      </c>
      <c r="P2397">
        <f>MOD(DAY(datos_siembra[[#This Row],[Date]]),7)</f>
        <v>3</v>
      </c>
      <c r="Q2397" t="str">
        <f>CHOOSE(WEEKDAY(datos_siembra[[#This Row],[Date]],2),"L","M","X","J","V","S","D")</f>
        <v>J</v>
      </c>
      <c r="R2397">
        <f>WEEKNUM(datos_siembra[[#This Row],[Date]],2)-WEEKNUM(DATE(YEAR(datos_siembra[[#This Row],[Date]]),MONTH(datos_siembra[[#This Row],[Date]]),1))+1</f>
        <v>1</v>
      </c>
      <c r="S2397">
        <f>MONTH(datos_siembra[[#This Row],[Date]])</f>
        <v>10</v>
      </c>
      <c r="T2397" t="str" cm="1">
        <f t="array" ref="T2397">_xlfn.IFS(AND(N2397&lt;= 22, S2397=9), "SOWING",AND(N2397&lt;= 28, S2397=9), "COVERAGE",AND(N2397&lt;= 30, S2397=9), "FLUSH",AND(N2397&lt;= 11, S2397=10), "FLUSH",AND(N2397&lt;= 21, S2397=10), "PRODUCTION")</f>
        <v>FLUSH</v>
      </c>
      <c r="U2397">
        <f>HOUR(datos_siembra[[#This Row],[Hour]])</f>
        <v>10</v>
      </c>
      <c r="V2397" cm="1">
        <f t="array" ref="V2397">_xlfn.IFS(AND(N2397&lt;= 22, S2397=9), N2397-7,AND(N2397&lt;= 28, S2397=9), N2397-25,AND(N2397&lt;= 30, S2397=9), N2397-28,AND(N2397&lt;= 11, S2397=10), N2397+2,AND(N2397&lt;= 21, S2397=10), N2397-11)</f>
        <v>5</v>
      </c>
    </row>
    <row r="2398" spans="1:22" x14ac:dyDescent="0.35">
      <c r="A2398" s="4">
        <v>45568</v>
      </c>
      <c r="B2398" s="5">
        <v>0.44040509259259258</v>
      </c>
      <c r="C2398">
        <v>70.099999999999994</v>
      </c>
      <c r="D2398">
        <v>69.400000000000006</v>
      </c>
      <c r="E2398">
        <v>68.5</v>
      </c>
      <c r="F2398">
        <v>66.599999999999994</v>
      </c>
      <c r="G2398">
        <v>0</v>
      </c>
      <c r="H2398">
        <v>0</v>
      </c>
      <c r="I2398">
        <v>0</v>
      </c>
      <c r="J2398">
        <v>0</v>
      </c>
      <c r="K2398">
        <v>59.6</v>
      </c>
      <c r="L2398">
        <v>59.8</v>
      </c>
      <c r="M2398">
        <v>68.650000000000006</v>
      </c>
      <c r="N2398">
        <v>3</v>
      </c>
      <c r="O2398">
        <v>2</v>
      </c>
      <c r="P2398">
        <f>MOD(DAY(datos_siembra[[#This Row],[Date]]),7)</f>
        <v>3</v>
      </c>
      <c r="Q2398" t="str">
        <f>CHOOSE(WEEKDAY(datos_siembra[[#This Row],[Date]],2),"L","M","X","J","V","S","D")</f>
        <v>J</v>
      </c>
      <c r="R2398">
        <f>WEEKNUM(datos_siembra[[#This Row],[Date]],2)-WEEKNUM(DATE(YEAR(datos_siembra[[#This Row],[Date]]),MONTH(datos_siembra[[#This Row],[Date]]),1))+1</f>
        <v>1</v>
      </c>
      <c r="S2398">
        <f>MONTH(datos_siembra[[#This Row],[Date]])</f>
        <v>10</v>
      </c>
      <c r="T2398" t="str" cm="1">
        <f t="array" ref="T2398">_xlfn.IFS(AND(N2398&lt;= 22, S2398=9), "SOWING",AND(N2398&lt;= 28, S2398=9), "COVERAGE",AND(N2398&lt;= 30, S2398=9), "FLUSH",AND(N2398&lt;= 11, S2398=10), "FLUSH",AND(N2398&lt;= 21, S2398=10), "PRODUCTION")</f>
        <v>FLUSH</v>
      </c>
      <c r="U2398">
        <f>HOUR(datos_siembra[[#This Row],[Hour]])</f>
        <v>10</v>
      </c>
      <c r="V2398" cm="1">
        <f t="array" ref="V2398">_xlfn.IFS(AND(N2398&lt;= 22, S2398=9), N2398-7,AND(N2398&lt;= 28, S2398=9), N2398-25,AND(N2398&lt;= 30, S2398=9), N2398-28,AND(N2398&lt;= 11, S2398=10), N2398+2,AND(N2398&lt;= 21, S2398=10), N2398-11)</f>
        <v>5</v>
      </c>
    </row>
    <row r="2399" spans="1:22" x14ac:dyDescent="0.35">
      <c r="A2399" s="4">
        <v>45568</v>
      </c>
      <c r="B2399" s="5">
        <v>0.4473611111111111</v>
      </c>
      <c r="C2399">
        <v>70.099999999999994</v>
      </c>
      <c r="D2399">
        <v>69.5</v>
      </c>
      <c r="E2399">
        <v>68.5</v>
      </c>
      <c r="F2399">
        <v>66.599999999999994</v>
      </c>
      <c r="G2399">
        <v>0</v>
      </c>
      <c r="H2399">
        <v>0</v>
      </c>
      <c r="I2399">
        <v>0</v>
      </c>
      <c r="J2399">
        <v>0</v>
      </c>
      <c r="K2399">
        <v>59.6</v>
      </c>
      <c r="L2399">
        <v>59.7</v>
      </c>
      <c r="M2399">
        <v>68.7</v>
      </c>
      <c r="N2399">
        <v>3</v>
      </c>
      <c r="O2399">
        <v>2</v>
      </c>
      <c r="P2399">
        <f>MOD(DAY(datos_siembra[[#This Row],[Date]]),7)</f>
        <v>3</v>
      </c>
      <c r="Q2399" t="str">
        <f>CHOOSE(WEEKDAY(datos_siembra[[#This Row],[Date]],2),"L","M","X","J","V","S","D")</f>
        <v>J</v>
      </c>
      <c r="R2399">
        <f>WEEKNUM(datos_siembra[[#This Row],[Date]],2)-WEEKNUM(DATE(YEAR(datos_siembra[[#This Row],[Date]]),MONTH(datos_siembra[[#This Row],[Date]]),1))+1</f>
        <v>1</v>
      </c>
      <c r="S2399">
        <f>MONTH(datos_siembra[[#This Row],[Date]])</f>
        <v>10</v>
      </c>
      <c r="T2399" t="str" cm="1">
        <f t="array" ref="T2399">_xlfn.IFS(AND(N2399&lt;= 22, S2399=9), "SOWING",AND(N2399&lt;= 28, S2399=9), "COVERAGE",AND(N2399&lt;= 30, S2399=9), "FLUSH",AND(N2399&lt;= 11, S2399=10), "FLUSH",AND(N2399&lt;= 21, S2399=10), "PRODUCTION")</f>
        <v>FLUSH</v>
      </c>
      <c r="U2399">
        <f>HOUR(datos_siembra[[#This Row],[Hour]])</f>
        <v>10</v>
      </c>
      <c r="V2399" cm="1">
        <f t="array" ref="V2399">_xlfn.IFS(AND(N2399&lt;= 22, S2399=9), N2399-7,AND(N2399&lt;= 28, S2399=9), N2399-25,AND(N2399&lt;= 30, S2399=9), N2399-28,AND(N2399&lt;= 11, S2399=10), N2399+2,AND(N2399&lt;= 21, S2399=10), N2399-11)</f>
        <v>5</v>
      </c>
    </row>
    <row r="2400" spans="1:22" x14ac:dyDescent="0.35">
      <c r="A2400" s="4">
        <v>45568</v>
      </c>
      <c r="B2400" s="5">
        <v>0.45430555555555557</v>
      </c>
      <c r="C2400">
        <v>70</v>
      </c>
      <c r="D2400">
        <v>69.5</v>
      </c>
      <c r="E2400">
        <v>68.3</v>
      </c>
      <c r="F2400">
        <v>66.599999999999994</v>
      </c>
      <c r="G2400">
        <v>0</v>
      </c>
      <c r="H2400">
        <v>0</v>
      </c>
      <c r="I2400">
        <v>0</v>
      </c>
      <c r="J2400">
        <v>0</v>
      </c>
      <c r="K2400">
        <v>59.7</v>
      </c>
      <c r="L2400">
        <v>60</v>
      </c>
      <c r="M2400">
        <v>68.73</v>
      </c>
      <c r="N2400">
        <v>3</v>
      </c>
      <c r="O2400">
        <v>2</v>
      </c>
      <c r="P2400">
        <f>MOD(DAY(datos_siembra[[#This Row],[Date]]),7)</f>
        <v>3</v>
      </c>
      <c r="Q2400" t="str">
        <f>CHOOSE(WEEKDAY(datos_siembra[[#This Row],[Date]],2),"L","M","X","J","V","S","D")</f>
        <v>J</v>
      </c>
      <c r="R2400">
        <f>WEEKNUM(datos_siembra[[#This Row],[Date]],2)-WEEKNUM(DATE(YEAR(datos_siembra[[#This Row],[Date]]),MONTH(datos_siembra[[#This Row],[Date]]),1))+1</f>
        <v>1</v>
      </c>
      <c r="S2400">
        <f>MONTH(datos_siembra[[#This Row],[Date]])</f>
        <v>10</v>
      </c>
      <c r="T2400" t="str" cm="1">
        <f t="array" ref="T2400">_xlfn.IFS(AND(N2400&lt;= 22, S2400=9), "SOWING",AND(N2400&lt;= 28, S2400=9), "COVERAGE",AND(N2400&lt;= 30, S2400=9), "FLUSH",AND(N2400&lt;= 11, S2400=10), "FLUSH",AND(N2400&lt;= 21, S2400=10), "PRODUCTION")</f>
        <v>FLUSH</v>
      </c>
      <c r="U2400">
        <f>HOUR(datos_siembra[[#This Row],[Hour]])</f>
        <v>10</v>
      </c>
      <c r="V2400" cm="1">
        <f t="array" ref="V2400">_xlfn.IFS(AND(N2400&lt;= 22, S2400=9), N2400-7,AND(N2400&lt;= 28, S2400=9), N2400-25,AND(N2400&lt;= 30, S2400=9), N2400-28,AND(N2400&lt;= 11, S2400=10), N2400+2,AND(N2400&lt;= 21, S2400=10), N2400-11)</f>
        <v>5</v>
      </c>
    </row>
    <row r="2401" spans="1:22" x14ac:dyDescent="0.35">
      <c r="A2401" s="4">
        <v>45568</v>
      </c>
      <c r="B2401" s="5">
        <v>0.46124999999999999</v>
      </c>
      <c r="C2401">
        <v>70.099999999999994</v>
      </c>
      <c r="D2401">
        <v>69.400000000000006</v>
      </c>
      <c r="E2401">
        <v>68.3</v>
      </c>
      <c r="F2401">
        <v>66.599999999999994</v>
      </c>
      <c r="G2401">
        <v>0</v>
      </c>
      <c r="H2401">
        <v>0</v>
      </c>
      <c r="I2401">
        <v>0</v>
      </c>
      <c r="J2401">
        <v>0</v>
      </c>
      <c r="K2401">
        <v>59.7</v>
      </c>
      <c r="L2401">
        <v>59.7</v>
      </c>
      <c r="M2401">
        <v>68.67</v>
      </c>
      <c r="N2401">
        <v>3</v>
      </c>
      <c r="O2401">
        <v>2</v>
      </c>
      <c r="P2401">
        <f>MOD(DAY(datos_siembra[[#This Row],[Date]]),7)</f>
        <v>3</v>
      </c>
      <c r="Q2401" t="str">
        <f>CHOOSE(WEEKDAY(datos_siembra[[#This Row],[Date]],2),"L","M","X","J","V","S","D")</f>
        <v>J</v>
      </c>
      <c r="R2401">
        <f>WEEKNUM(datos_siembra[[#This Row],[Date]],2)-WEEKNUM(DATE(YEAR(datos_siembra[[#This Row],[Date]]),MONTH(datos_siembra[[#This Row],[Date]]),1))+1</f>
        <v>1</v>
      </c>
      <c r="S2401">
        <f>MONTH(datos_siembra[[#This Row],[Date]])</f>
        <v>10</v>
      </c>
      <c r="T2401" t="str" cm="1">
        <f t="array" ref="T2401">_xlfn.IFS(AND(N2401&lt;= 22, S2401=9), "SOWING",AND(N2401&lt;= 28, S2401=9), "COVERAGE",AND(N2401&lt;= 30, S2401=9), "FLUSH",AND(N2401&lt;= 11, S2401=10), "FLUSH",AND(N2401&lt;= 21, S2401=10), "PRODUCTION")</f>
        <v>FLUSH</v>
      </c>
      <c r="U2401">
        <f>HOUR(datos_siembra[[#This Row],[Hour]])</f>
        <v>11</v>
      </c>
      <c r="V2401" cm="1">
        <f t="array" ref="V2401">_xlfn.IFS(AND(N2401&lt;= 22, S2401=9), N2401-7,AND(N2401&lt;= 28, S2401=9), N2401-25,AND(N2401&lt;= 30, S2401=9), N2401-28,AND(N2401&lt;= 11, S2401=10), N2401+2,AND(N2401&lt;= 21, S2401=10), N2401-11)</f>
        <v>5</v>
      </c>
    </row>
    <row r="2402" spans="1:22" x14ac:dyDescent="0.35">
      <c r="A2402" s="4">
        <v>45568</v>
      </c>
      <c r="B2402" s="5">
        <v>0.46820601851851851</v>
      </c>
      <c r="C2402">
        <v>70.099999999999994</v>
      </c>
      <c r="D2402">
        <v>69.400000000000006</v>
      </c>
      <c r="E2402">
        <v>68.5</v>
      </c>
      <c r="F2402">
        <v>66.599999999999994</v>
      </c>
      <c r="G2402">
        <v>0</v>
      </c>
      <c r="H2402">
        <v>0</v>
      </c>
      <c r="I2402">
        <v>0</v>
      </c>
      <c r="J2402">
        <v>0</v>
      </c>
      <c r="K2402">
        <v>59.6</v>
      </c>
      <c r="L2402">
        <v>59.7</v>
      </c>
      <c r="M2402">
        <v>68.650000000000006</v>
      </c>
      <c r="N2402">
        <v>3</v>
      </c>
      <c r="O2402">
        <v>2</v>
      </c>
      <c r="P2402">
        <f>MOD(DAY(datos_siembra[[#This Row],[Date]]),7)</f>
        <v>3</v>
      </c>
      <c r="Q2402" t="str">
        <f>CHOOSE(WEEKDAY(datos_siembra[[#This Row],[Date]],2),"L","M","X","J","V","S","D")</f>
        <v>J</v>
      </c>
      <c r="R2402">
        <f>WEEKNUM(datos_siembra[[#This Row],[Date]],2)-WEEKNUM(DATE(YEAR(datos_siembra[[#This Row],[Date]]),MONTH(datos_siembra[[#This Row],[Date]]),1))+1</f>
        <v>1</v>
      </c>
      <c r="S2402">
        <f>MONTH(datos_siembra[[#This Row],[Date]])</f>
        <v>10</v>
      </c>
      <c r="T2402" t="str" cm="1">
        <f t="array" ref="T2402">_xlfn.IFS(AND(N2402&lt;= 22, S2402=9), "SOWING",AND(N2402&lt;= 28, S2402=9), "COVERAGE",AND(N2402&lt;= 30, S2402=9), "FLUSH",AND(N2402&lt;= 11, S2402=10), "FLUSH",AND(N2402&lt;= 21, S2402=10), "PRODUCTION")</f>
        <v>FLUSH</v>
      </c>
      <c r="U2402">
        <f>HOUR(datos_siembra[[#This Row],[Hour]])</f>
        <v>11</v>
      </c>
      <c r="V2402" cm="1">
        <f t="array" ref="V2402">_xlfn.IFS(AND(N2402&lt;= 22, S2402=9), N2402-7,AND(N2402&lt;= 28, S2402=9), N2402-25,AND(N2402&lt;= 30, S2402=9), N2402-28,AND(N2402&lt;= 11, S2402=10), N2402+2,AND(N2402&lt;= 21, S2402=10), N2402-11)</f>
        <v>5</v>
      </c>
    </row>
    <row r="2403" spans="1:22" x14ac:dyDescent="0.35">
      <c r="A2403" s="4">
        <v>45568</v>
      </c>
      <c r="B2403" s="5">
        <v>0.47515046296296298</v>
      </c>
      <c r="C2403">
        <v>70</v>
      </c>
      <c r="D2403">
        <v>69.2</v>
      </c>
      <c r="E2403">
        <v>68.3</v>
      </c>
      <c r="F2403">
        <v>66.8</v>
      </c>
      <c r="G2403">
        <v>0</v>
      </c>
      <c r="H2403">
        <v>0</v>
      </c>
      <c r="I2403">
        <v>0</v>
      </c>
      <c r="J2403">
        <v>0</v>
      </c>
      <c r="K2403">
        <v>59.7</v>
      </c>
      <c r="L2403">
        <v>59.6</v>
      </c>
      <c r="M2403">
        <v>68.650000000000006</v>
      </c>
      <c r="N2403">
        <v>3</v>
      </c>
      <c r="O2403">
        <v>2</v>
      </c>
      <c r="P2403">
        <f>MOD(DAY(datos_siembra[[#This Row],[Date]]),7)</f>
        <v>3</v>
      </c>
      <c r="Q2403" t="str">
        <f>CHOOSE(WEEKDAY(datos_siembra[[#This Row],[Date]],2),"L","M","X","J","V","S","D")</f>
        <v>J</v>
      </c>
      <c r="R2403">
        <f>WEEKNUM(datos_siembra[[#This Row],[Date]],2)-WEEKNUM(DATE(YEAR(datos_siembra[[#This Row],[Date]]),MONTH(datos_siembra[[#This Row],[Date]]),1))+1</f>
        <v>1</v>
      </c>
      <c r="S2403">
        <f>MONTH(datos_siembra[[#This Row],[Date]])</f>
        <v>10</v>
      </c>
      <c r="T2403" t="str" cm="1">
        <f t="array" ref="T2403">_xlfn.IFS(AND(N2403&lt;= 22, S2403=9), "SOWING",AND(N2403&lt;= 28, S2403=9), "COVERAGE",AND(N2403&lt;= 30, S2403=9), "FLUSH",AND(N2403&lt;= 11, S2403=10), "FLUSH",AND(N2403&lt;= 21, S2403=10), "PRODUCTION")</f>
        <v>FLUSH</v>
      </c>
      <c r="U2403">
        <f>HOUR(datos_siembra[[#This Row],[Hour]])</f>
        <v>11</v>
      </c>
      <c r="V2403" cm="1">
        <f t="array" ref="V2403">_xlfn.IFS(AND(N2403&lt;= 22, S2403=9), N2403-7,AND(N2403&lt;= 28, S2403=9), N2403-25,AND(N2403&lt;= 30, S2403=9), N2403-28,AND(N2403&lt;= 11, S2403=10), N2403+2,AND(N2403&lt;= 21, S2403=10), N2403-11)</f>
        <v>5</v>
      </c>
    </row>
    <row r="2404" spans="1:22" x14ac:dyDescent="0.35">
      <c r="A2404" s="4">
        <v>45568</v>
      </c>
      <c r="B2404" s="5">
        <v>0.4820949074074074</v>
      </c>
      <c r="C2404">
        <v>70.099999999999994</v>
      </c>
      <c r="D2404">
        <v>69.400000000000006</v>
      </c>
      <c r="E2404">
        <v>68.2</v>
      </c>
      <c r="F2404">
        <v>66.599999999999994</v>
      </c>
      <c r="G2404">
        <v>0</v>
      </c>
      <c r="H2404">
        <v>0</v>
      </c>
      <c r="I2404">
        <v>0</v>
      </c>
      <c r="J2404">
        <v>0</v>
      </c>
      <c r="K2404">
        <v>59.7</v>
      </c>
      <c r="L2404">
        <v>59.7</v>
      </c>
      <c r="M2404">
        <v>68.59</v>
      </c>
      <c r="N2404">
        <v>3</v>
      </c>
      <c r="O2404">
        <v>2</v>
      </c>
      <c r="P2404">
        <f>MOD(DAY(datos_siembra[[#This Row],[Date]]),7)</f>
        <v>3</v>
      </c>
      <c r="Q2404" t="str">
        <f>CHOOSE(WEEKDAY(datos_siembra[[#This Row],[Date]],2),"L","M","X","J","V","S","D")</f>
        <v>J</v>
      </c>
      <c r="R2404">
        <f>WEEKNUM(datos_siembra[[#This Row],[Date]],2)-WEEKNUM(DATE(YEAR(datos_siembra[[#This Row],[Date]]),MONTH(datos_siembra[[#This Row],[Date]]),1))+1</f>
        <v>1</v>
      </c>
      <c r="S2404">
        <f>MONTH(datos_siembra[[#This Row],[Date]])</f>
        <v>10</v>
      </c>
      <c r="T2404" t="str" cm="1">
        <f t="array" ref="T2404">_xlfn.IFS(AND(N2404&lt;= 22, S2404=9), "SOWING",AND(N2404&lt;= 28, S2404=9), "COVERAGE",AND(N2404&lt;= 30, S2404=9), "FLUSH",AND(N2404&lt;= 11, S2404=10), "FLUSH",AND(N2404&lt;= 21, S2404=10), "PRODUCTION")</f>
        <v>FLUSH</v>
      </c>
      <c r="U2404">
        <f>HOUR(datos_siembra[[#This Row],[Hour]])</f>
        <v>11</v>
      </c>
      <c r="V2404" cm="1">
        <f t="array" ref="V2404">_xlfn.IFS(AND(N2404&lt;= 22, S2404=9), N2404-7,AND(N2404&lt;= 28, S2404=9), N2404-25,AND(N2404&lt;= 30, S2404=9), N2404-28,AND(N2404&lt;= 11, S2404=10), N2404+2,AND(N2404&lt;= 21, S2404=10), N2404-11)</f>
        <v>5</v>
      </c>
    </row>
    <row r="2405" spans="1:22" x14ac:dyDescent="0.35">
      <c r="A2405" s="4">
        <v>45568</v>
      </c>
      <c r="B2405" s="5">
        <v>0.48905092592592592</v>
      </c>
      <c r="C2405">
        <v>70.099999999999994</v>
      </c>
      <c r="D2405">
        <v>69.5</v>
      </c>
      <c r="E2405">
        <v>68.5</v>
      </c>
      <c r="F2405">
        <v>66.599999999999994</v>
      </c>
      <c r="G2405">
        <v>0</v>
      </c>
      <c r="H2405">
        <v>0</v>
      </c>
      <c r="I2405">
        <v>0</v>
      </c>
      <c r="J2405">
        <v>0</v>
      </c>
      <c r="K2405">
        <v>59.6</v>
      </c>
      <c r="L2405">
        <v>59.6</v>
      </c>
      <c r="M2405">
        <v>68.650000000000006</v>
      </c>
      <c r="N2405">
        <v>3</v>
      </c>
      <c r="O2405">
        <v>2</v>
      </c>
      <c r="P2405">
        <f>MOD(DAY(datos_siembra[[#This Row],[Date]]),7)</f>
        <v>3</v>
      </c>
      <c r="Q2405" t="str">
        <f>CHOOSE(WEEKDAY(datos_siembra[[#This Row],[Date]],2),"L","M","X","J","V","S","D")</f>
        <v>J</v>
      </c>
      <c r="R2405">
        <f>WEEKNUM(datos_siembra[[#This Row],[Date]],2)-WEEKNUM(DATE(YEAR(datos_siembra[[#This Row],[Date]]),MONTH(datos_siembra[[#This Row],[Date]]),1))+1</f>
        <v>1</v>
      </c>
      <c r="S2405">
        <f>MONTH(datos_siembra[[#This Row],[Date]])</f>
        <v>10</v>
      </c>
      <c r="T2405" t="str" cm="1">
        <f t="array" ref="T2405">_xlfn.IFS(AND(N2405&lt;= 22, S2405=9), "SOWING",AND(N2405&lt;= 28, S2405=9), "COVERAGE",AND(N2405&lt;= 30, S2405=9), "FLUSH",AND(N2405&lt;= 11, S2405=10), "FLUSH",AND(N2405&lt;= 21, S2405=10), "PRODUCTION")</f>
        <v>FLUSH</v>
      </c>
      <c r="U2405">
        <f>HOUR(datos_siembra[[#This Row],[Hour]])</f>
        <v>11</v>
      </c>
      <c r="V2405" cm="1">
        <f t="array" ref="V2405">_xlfn.IFS(AND(N2405&lt;= 22, S2405=9), N2405-7,AND(N2405&lt;= 28, S2405=9), N2405-25,AND(N2405&lt;= 30, S2405=9), N2405-28,AND(N2405&lt;= 11, S2405=10), N2405+2,AND(N2405&lt;= 21, S2405=10), N2405-11)</f>
        <v>5</v>
      </c>
    </row>
    <row r="2406" spans="1:22" x14ac:dyDescent="0.35">
      <c r="A2406" s="4">
        <v>45568</v>
      </c>
      <c r="B2406" s="5">
        <v>0.49599537037037039</v>
      </c>
      <c r="C2406">
        <v>70</v>
      </c>
      <c r="D2406">
        <v>69.400000000000006</v>
      </c>
      <c r="E2406">
        <v>68.3</v>
      </c>
      <c r="F2406">
        <v>66.5</v>
      </c>
      <c r="G2406">
        <v>0</v>
      </c>
      <c r="H2406">
        <v>0</v>
      </c>
      <c r="I2406">
        <v>0</v>
      </c>
      <c r="J2406">
        <v>0</v>
      </c>
      <c r="K2406">
        <v>59.6</v>
      </c>
      <c r="L2406">
        <v>59.3</v>
      </c>
      <c r="M2406">
        <v>68.53</v>
      </c>
      <c r="N2406">
        <v>3</v>
      </c>
      <c r="O2406">
        <v>2</v>
      </c>
      <c r="P2406">
        <f>MOD(DAY(datos_siembra[[#This Row],[Date]]),7)</f>
        <v>3</v>
      </c>
      <c r="Q2406" t="str">
        <f>CHOOSE(WEEKDAY(datos_siembra[[#This Row],[Date]],2),"L","M","X","J","V","S","D")</f>
        <v>J</v>
      </c>
      <c r="R2406">
        <f>WEEKNUM(datos_siembra[[#This Row],[Date]],2)-WEEKNUM(DATE(YEAR(datos_siembra[[#This Row],[Date]]),MONTH(datos_siembra[[#This Row],[Date]]),1))+1</f>
        <v>1</v>
      </c>
      <c r="S2406">
        <f>MONTH(datos_siembra[[#This Row],[Date]])</f>
        <v>10</v>
      </c>
      <c r="T2406" t="str" cm="1">
        <f t="array" ref="T2406">_xlfn.IFS(AND(N2406&lt;= 22, S2406=9), "SOWING",AND(N2406&lt;= 28, S2406=9), "COVERAGE",AND(N2406&lt;= 30, S2406=9), "FLUSH",AND(N2406&lt;= 11, S2406=10), "FLUSH",AND(N2406&lt;= 21, S2406=10), "PRODUCTION")</f>
        <v>FLUSH</v>
      </c>
      <c r="U2406">
        <f>HOUR(datos_siembra[[#This Row],[Hour]])</f>
        <v>11</v>
      </c>
      <c r="V2406" cm="1">
        <f t="array" ref="V2406">_xlfn.IFS(AND(N2406&lt;= 22, S2406=9), N2406-7,AND(N2406&lt;= 28, S2406=9), N2406-25,AND(N2406&lt;= 30, S2406=9), N2406-28,AND(N2406&lt;= 11, S2406=10), N2406+2,AND(N2406&lt;= 21, S2406=10), N2406-11)</f>
        <v>5</v>
      </c>
    </row>
    <row r="2407" spans="1:22" x14ac:dyDescent="0.35">
      <c r="A2407" s="4">
        <v>45568</v>
      </c>
      <c r="B2407" s="5">
        <v>0.50293981481481487</v>
      </c>
      <c r="C2407">
        <v>70</v>
      </c>
      <c r="D2407">
        <v>69.400000000000006</v>
      </c>
      <c r="E2407">
        <v>68.3</v>
      </c>
      <c r="F2407">
        <v>66.5</v>
      </c>
      <c r="G2407">
        <v>0</v>
      </c>
      <c r="H2407">
        <v>0</v>
      </c>
      <c r="I2407">
        <v>0</v>
      </c>
      <c r="J2407">
        <v>0</v>
      </c>
      <c r="K2407">
        <v>59.4</v>
      </c>
      <c r="L2407">
        <v>59.3</v>
      </c>
      <c r="M2407">
        <v>68.56</v>
      </c>
      <c r="N2407">
        <v>3</v>
      </c>
      <c r="O2407">
        <v>2</v>
      </c>
      <c r="P2407">
        <f>MOD(DAY(datos_siembra[[#This Row],[Date]]),7)</f>
        <v>3</v>
      </c>
      <c r="Q2407" t="str">
        <f>CHOOSE(WEEKDAY(datos_siembra[[#This Row],[Date]],2),"L","M","X","J","V","S","D")</f>
        <v>J</v>
      </c>
      <c r="R2407">
        <f>WEEKNUM(datos_siembra[[#This Row],[Date]],2)-WEEKNUM(DATE(YEAR(datos_siembra[[#This Row],[Date]]),MONTH(datos_siembra[[#This Row],[Date]]),1))+1</f>
        <v>1</v>
      </c>
      <c r="S2407">
        <f>MONTH(datos_siembra[[#This Row],[Date]])</f>
        <v>10</v>
      </c>
      <c r="T2407" t="str" cm="1">
        <f t="array" ref="T2407">_xlfn.IFS(AND(N2407&lt;= 22, S2407=9), "SOWING",AND(N2407&lt;= 28, S2407=9), "COVERAGE",AND(N2407&lt;= 30, S2407=9), "FLUSH",AND(N2407&lt;= 11, S2407=10), "FLUSH",AND(N2407&lt;= 21, S2407=10), "PRODUCTION")</f>
        <v>FLUSH</v>
      </c>
      <c r="U2407">
        <f>HOUR(datos_siembra[[#This Row],[Hour]])</f>
        <v>12</v>
      </c>
      <c r="V2407" cm="1">
        <f t="array" ref="V2407">_xlfn.IFS(AND(N2407&lt;= 22, S2407=9), N2407-7,AND(N2407&lt;= 28, S2407=9), N2407-25,AND(N2407&lt;= 30, S2407=9), N2407-28,AND(N2407&lt;= 11, S2407=10), N2407+2,AND(N2407&lt;= 21, S2407=10), N2407-11)</f>
        <v>5</v>
      </c>
    </row>
    <row r="2408" spans="1:22" x14ac:dyDescent="0.35">
      <c r="A2408" s="4">
        <v>45568</v>
      </c>
      <c r="B2408" s="5">
        <v>0.50988425925925929</v>
      </c>
      <c r="C2408">
        <v>69.900000000000006</v>
      </c>
      <c r="D2408">
        <v>69.400000000000006</v>
      </c>
      <c r="E2408">
        <v>68.3</v>
      </c>
      <c r="F2408">
        <v>66.400000000000006</v>
      </c>
      <c r="G2408">
        <v>0</v>
      </c>
      <c r="H2408">
        <v>0</v>
      </c>
      <c r="I2408">
        <v>0</v>
      </c>
      <c r="J2408">
        <v>0</v>
      </c>
      <c r="K2408">
        <v>59.4</v>
      </c>
      <c r="L2408">
        <v>59.3</v>
      </c>
      <c r="M2408">
        <v>68.53</v>
      </c>
      <c r="N2408">
        <v>3</v>
      </c>
      <c r="O2408">
        <v>2</v>
      </c>
      <c r="P2408">
        <f>MOD(DAY(datos_siembra[[#This Row],[Date]]),7)</f>
        <v>3</v>
      </c>
      <c r="Q2408" t="str">
        <f>CHOOSE(WEEKDAY(datos_siembra[[#This Row],[Date]],2),"L","M","X","J","V","S","D")</f>
        <v>J</v>
      </c>
      <c r="R2408">
        <f>WEEKNUM(datos_siembra[[#This Row],[Date]],2)-WEEKNUM(DATE(YEAR(datos_siembra[[#This Row],[Date]]),MONTH(datos_siembra[[#This Row],[Date]]),1))+1</f>
        <v>1</v>
      </c>
      <c r="S2408">
        <f>MONTH(datos_siembra[[#This Row],[Date]])</f>
        <v>10</v>
      </c>
      <c r="T2408" t="str" cm="1">
        <f t="array" ref="T2408">_xlfn.IFS(AND(N2408&lt;= 22, S2408=9), "SOWING",AND(N2408&lt;= 28, S2408=9), "COVERAGE",AND(N2408&lt;= 30, S2408=9), "FLUSH",AND(N2408&lt;= 11, S2408=10), "FLUSH",AND(N2408&lt;= 21, S2408=10), "PRODUCTION")</f>
        <v>FLUSH</v>
      </c>
      <c r="U2408">
        <f>HOUR(datos_siembra[[#This Row],[Hour]])</f>
        <v>12</v>
      </c>
      <c r="V2408" cm="1">
        <f t="array" ref="V2408">_xlfn.IFS(AND(N2408&lt;= 22, S2408=9), N2408-7,AND(N2408&lt;= 28, S2408=9), N2408-25,AND(N2408&lt;= 30, S2408=9), N2408-28,AND(N2408&lt;= 11, S2408=10), N2408+2,AND(N2408&lt;= 21, S2408=10), N2408-11)</f>
        <v>5</v>
      </c>
    </row>
    <row r="2409" spans="1:22" x14ac:dyDescent="0.35">
      <c r="A2409" s="4">
        <v>45568</v>
      </c>
      <c r="B2409" s="5">
        <v>0.51684027777777775</v>
      </c>
      <c r="C2409">
        <v>70</v>
      </c>
      <c r="D2409">
        <v>69.400000000000006</v>
      </c>
      <c r="E2409">
        <v>68.2</v>
      </c>
      <c r="F2409">
        <v>66.5</v>
      </c>
      <c r="G2409">
        <v>0</v>
      </c>
      <c r="H2409">
        <v>0</v>
      </c>
      <c r="I2409">
        <v>0</v>
      </c>
      <c r="J2409">
        <v>0</v>
      </c>
      <c r="K2409">
        <v>59.6</v>
      </c>
      <c r="L2409">
        <v>59.4</v>
      </c>
      <c r="M2409">
        <v>68.53</v>
      </c>
      <c r="N2409">
        <v>3</v>
      </c>
      <c r="O2409">
        <v>2</v>
      </c>
      <c r="P2409">
        <f>MOD(DAY(datos_siembra[[#This Row],[Date]]),7)</f>
        <v>3</v>
      </c>
      <c r="Q2409" t="str">
        <f>CHOOSE(WEEKDAY(datos_siembra[[#This Row],[Date]],2),"L","M","X","J","V","S","D")</f>
        <v>J</v>
      </c>
      <c r="R2409">
        <f>WEEKNUM(datos_siembra[[#This Row],[Date]],2)-WEEKNUM(DATE(YEAR(datos_siembra[[#This Row],[Date]]),MONTH(datos_siembra[[#This Row],[Date]]),1))+1</f>
        <v>1</v>
      </c>
      <c r="S2409">
        <f>MONTH(datos_siembra[[#This Row],[Date]])</f>
        <v>10</v>
      </c>
      <c r="T2409" t="str" cm="1">
        <f t="array" ref="T2409">_xlfn.IFS(AND(N2409&lt;= 22, S2409=9), "SOWING",AND(N2409&lt;= 28, S2409=9), "COVERAGE",AND(N2409&lt;= 30, S2409=9), "FLUSH",AND(N2409&lt;= 11, S2409=10), "FLUSH",AND(N2409&lt;= 21, S2409=10), "PRODUCTION")</f>
        <v>FLUSH</v>
      </c>
      <c r="U2409">
        <f>HOUR(datos_siembra[[#This Row],[Hour]])</f>
        <v>12</v>
      </c>
      <c r="V2409" cm="1">
        <f t="array" ref="V2409">_xlfn.IFS(AND(N2409&lt;= 22, S2409=9), N2409-7,AND(N2409&lt;= 28, S2409=9), N2409-25,AND(N2409&lt;= 30, S2409=9), N2409-28,AND(N2409&lt;= 11, S2409=10), N2409+2,AND(N2409&lt;= 21, S2409=10), N2409-11)</f>
        <v>5</v>
      </c>
    </row>
    <row r="2410" spans="1:22" x14ac:dyDescent="0.35">
      <c r="A2410" s="4">
        <v>45568</v>
      </c>
      <c r="B2410" s="5">
        <v>0.52378472222222228</v>
      </c>
      <c r="C2410">
        <v>69.900000000000006</v>
      </c>
      <c r="D2410">
        <v>69.400000000000006</v>
      </c>
      <c r="E2410">
        <v>68.2</v>
      </c>
      <c r="F2410">
        <v>66.5</v>
      </c>
      <c r="G2410">
        <v>0</v>
      </c>
      <c r="H2410">
        <v>0</v>
      </c>
      <c r="I2410">
        <v>0</v>
      </c>
      <c r="J2410">
        <v>0</v>
      </c>
      <c r="K2410">
        <v>59.7</v>
      </c>
      <c r="L2410">
        <v>59.8</v>
      </c>
      <c r="M2410">
        <v>68.510000000000005</v>
      </c>
      <c r="N2410">
        <v>3</v>
      </c>
      <c r="O2410">
        <v>2</v>
      </c>
      <c r="P2410">
        <f>MOD(DAY(datos_siembra[[#This Row],[Date]]),7)</f>
        <v>3</v>
      </c>
      <c r="Q2410" t="str">
        <f>CHOOSE(WEEKDAY(datos_siembra[[#This Row],[Date]],2),"L","M","X","J","V","S","D")</f>
        <v>J</v>
      </c>
      <c r="R2410">
        <f>WEEKNUM(datos_siembra[[#This Row],[Date]],2)-WEEKNUM(DATE(YEAR(datos_siembra[[#This Row],[Date]]),MONTH(datos_siembra[[#This Row],[Date]]),1))+1</f>
        <v>1</v>
      </c>
      <c r="S2410">
        <f>MONTH(datos_siembra[[#This Row],[Date]])</f>
        <v>10</v>
      </c>
      <c r="T2410" t="str" cm="1">
        <f t="array" ref="T2410">_xlfn.IFS(AND(N2410&lt;= 22, S2410=9), "SOWING",AND(N2410&lt;= 28, S2410=9), "COVERAGE",AND(N2410&lt;= 30, S2410=9), "FLUSH",AND(N2410&lt;= 11, S2410=10), "FLUSH",AND(N2410&lt;= 21, S2410=10), "PRODUCTION")</f>
        <v>FLUSH</v>
      </c>
      <c r="U2410">
        <f>HOUR(datos_siembra[[#This Row],[Hour]])</f>
        <v>12</v>
      </c>
      <c r="V2410" cm="1">
        <f t="array" ref="V2410">_xlfn.IFS(AND(N2410&lt;= 22, S2410=9), N2410-7,AND(N2410&lt;= 28, S2410=9), N2410-25,AND(N2410&lt;= 30, S2410=9), N2410-28,AND(N2410&lt;= 11, S2410=10), N2410+2,AND(N2410&lt;= 21, S2410=10), N2410-11)</f>
        <v>5</v>
      </c>
    </row>
    <row r="2411" spans="1:22" x14ac:dyDescent="0.35">
      <c r="A2411" s="4">
        <v>45568</v>
      </c>
      <c r="B2411" s="5">
        <v>0.5307291666666667</v>
      </c>
      <c r="C2411">
        <v>70</v>
      </c>
      <c r="D2411">
        <v>69.099999999999994</v>
      </c>
      <c r="E2411">
        <v>68.3</v>
      </c>
      <c r="F2411">
        <v>66.400000000000006</v>
      </c>
      <c r="G2411">
        <v>0</v>
      </c>
      <c r="H2411">
        <v>0</v>
      </c>
      <c r="I2411">
        <v>0</v>
      </c>
      <c r="J2411">
        <v>0</v>
      </c>
      <c r="K2411">
        <v>59.6</v>
      </c>
      <c r="L2411">
        <v>59.4</v>
      </c>
      <c r="M2411">
        <v>68.48</v>
      </c>
      <c r="N2411">
        <v>3</v>
      </c>
      <c r="O2411">
        <v>2</v>
      </c>
      <c r="P2411">
        <f>MOD(DAY(datos_siembra[[#This Row],[Date]]),7)</f>
        <v>3</v>
      </c>
      <c r="Q2411" t="str">
        <f>CHOOSE(WEEKDAY(datos_siembra[[#This Row],[Date]],2),"L","M","X","J","V","S","D")</f>
        <v>J</v>
      </c>
      <c r="R2411">
        <f>WEEKNUM(datos_siembra[[#This Row],[Date]],2)-WEEKNUM(DATE(YEAR(datos_siembra[[#This Row],[Date]]),MONTH(datos_siembra[[#This Row],[Date]]),1))+1</f>
        <v>1</v>
      </c>
      <c r="S2411">
        <f>MONTH(datos_siembra[[#This Row],[Date]])</f>
        <v>10</v>
      </c>
      <c r="T2411" t="str" cm="1">
        <f t="array" ref="T2411">_xlfn.IFS(AND(N2411&lt;= 22, S2411=9), "SOWING",AND(N2411&lt;= 28, S2411=9), "COVERAGE",AND(N2411&lt;= 30, S2411=9), "FLUSH",AND(N2411&lt;= 11, S2411=10), "FLUSH",AND(N2411&lt;= 21, S2411=10), "PRODUCTION")</f>
        <v>FLUSH</v>
      </c>
      <c r="U2411">
        <f>HOUR(datos_siembra[[#This Row],[Hour]])</f>
        <v>12</v>
      </c>
      <c r="V2411" cm="1">
        <f t="array" ref="V2411">_xlfn.IFS(AND(N2411&lt;= 22, S2411=9), N2411-7,AND(N2411&lt;= 28, S2411=9), N2411-25,AND(N2411&lt;= 30, S2411=9), N2411-28,AND(N2411&lt;= 11, S2411=10), N2411+2,AND(N2411&lt;= 21, S2411=10), N2411-11)</f>
        <v>5</v>
      </c>
    </row>
    <row r="2412" spans="1:22" x14ac:dyDescent="0.35">
      <c r="A2412" s="4">
        <v>45568</v>
      </c>
      <c r="B2412" s="5">
        <v>0.53768518518518515</v>
      </c>
      <c r="C2412">
        <v>69.900000000000006</v>
      </c>
      <c r="D2412">
        <v>69.400000000000006</v>
      </c>
      <c r="E2412">
        <v>68.3</v>
      </c>
      <c r="F2412">
        <v>66.5</v>
      </c>
      <c r="G2412">
        <v>0</v>
      </c>
      <c r="H2412">
        <v>0</v>
      </c>
      <c r="I2412">
        <v>0</v>
      </c>
      <c r="J2412">
        <v>0</v>
      </c>
      <c r="K2412">
        <v>59.3</v>
      </c>
      <c r="L2412">
        <v>59.4</v>
      </c>
      <c r="M2412">
        <v>68.48</v>
      </c>
      <c r="N2412">
        <v>3</v>
      </c>
      <c r="O2412">
        <v>2</v>
      </c>
      <c r="P2412">
        <f>MOD(DAY(datos_siembra[[#This Row],[Date]]),7)</f>
        <v>3</v>
      </c>
      <c r="Q2412" t="str">
        <f>CHOOSE(WEEKDAY(datos_siembra[[#This Row],[Date]],2),"L","M","X","J","V","S","D")</f>
        <v>J</v>
      </c>
      <c r="R2412">
        <f>WEEKNUM(datos_siembra[[#This Row],[Date]],2)-WEEKNUM(DATE(YEAR(datos_siembra[[#This Row],[Date]]),MONTH(datos_siembra[[#This Row],[Date]]),1))+1</f>
        <v>1</v>
      </c>
      <c r="S2412">
        <f>MONTH(datos_siembra[[#This Row],[Date]])</f>
        <v>10</v>
      </c>
      <c r="T2412" t="str" cm="1">
        <f t="array" ref="T2412">_xlfn.IFS(AND(N2412&lt;= 22, S2412=9), "SOWING",AND(N2412&lt;= 28, S2412=9), "COVERAGE",AND(N2412&lt;= 30, S2412=9), "FLUSH",AND(N2412&lt;= 11, S2412=10), "FLUSH",AND(N2412&lt;= 21, S2412=10), "PRODUCTION")</f>
        <v>FLUSH</v>
      </c>
      <c r="U2412">
        <f>HOUR(datos_siembra[[#This Row],[Hour]])</f>
        <v>12</v>
      </c>
      <c r="V2412" cm="1">
        <f t="array" ref="V2412">_xlfn.IFS(AND(N2412&lt;= 22, S2412=9), N2412-7,AND(N2412&lt;= 28, S2412=9), N2412-25,AND(N2412&lt;= 30, S2412=9), N2412-28,AND(N2412&lt;= 11, S2412=10), N2412+2,AND(N2412&lt;= 21, S2412=10), N2412-11)</f>
        <v>5</v>
      </c>
    </row>
    <row r="2413" spans="1:22" x14ac:dyDescent="0.35">
      <c r="A2413" s="4">
        <v>45568</v>
      </c>
      <c r="B2413" s="5">
        <v>0.54462962962962957</v>
      </c>
      <c r="C2413">
        <v>70</v>
      </c>
      <c r="D2413">
        <v>69.400000000000006</v>
      </c>
      <c r="E2413">
        <v>68.3</v>
      </c>
      <c r="F2413">
        <v>66.3</v>
      </c>
      <c r="G2413">
        <v>0</v>
      </c>
      <c r="H2413">
        <v>0</v>
      </c>
      <c r="I2413">
        <v>0</v>
      </c>
      <c r="J2413">
        <v>0</v>
      </c>
      <c r="K2413">
        <v>59.3</v>
      </c>
      <c r="L2413">
        <v>59.3</v>
      </c>
      <c r="M2413">
        <v>68.510000000000005</v>
      </c>
      <c r="N2413">
        <v>3</v>
      </c>
      <c r="O2413">
        <v>2</v>
      </c>
      <c r="P2413">
        <f>MOD(DAY(datos_siembra[[#This Row],[Date]]),7)</f>
        <v>3</v>
      </c>
      <c r="Q2413" t="str">
        <f>CHOOSE(WEEKDAY(datos_siembra[[#This Row],[Date]],2),"L","M","X","J","V","S","D")</f>
        <v>J</v>
      </c>
      <c r="R2413">
        <f>WEEKNUM(datos_siembra[[#This Row],[Date]],2)-WEEKNUM(DATE(YEAR(datos_siembra[[#This Row],[Date]]),MONTH(datos_siembra[[#This Row],[Date]]),1))+1</f>
        <v>1</v>
      </c>
      <c r="S2413">
        <f>MONTH(datos_siembra[[#This Row],[Date]])</f>
        <v>10</v>
      </c>
      <c r="T2413" t="str" cm="1">
        <f t="array" ref="T2413">_xlfn.IFS(AND(N2413&lt;= 22, S2413=9), "SOWING",AND(N2413&lt;= 28, S2413=9), "COVERAGE",AND(N2413&lt;= 30, S2413=9), "FLUSH",AND(N2413&lt;= 11, S2413=10), "FLUSH",AND(N2413&lt;= 21, S2413=10), "PRODUCTION")</f>
        <v>FLUSH</v>
      </c>
      <c r="U2413">
        <f>HOUR(datos_siembra[[#This Row],[Hour]])</f>
        <v>13</v>
      </c>
      <c r="V2413" cm="1">
        <f t="array" ref="V2413">_xlfn.IFS(AND(N2413&lt;= 22, S2413=9), N2413-7,AND(N2413&lt;= 28, S2413=9), N2413-25,AND(N2413&lt;= 30, S2413=9), N2413-28,AND(N2413&lt;= 11, S2413=10), N2413+2,AND(N2413&lt;= 21, S2413=10), N2413-11)</f>
        <v>5</v>
      </c>
    </row>
    <row r="2414" spans="1:22" x14ac:dyDescent="0.35">
      <c r="A2414" s="4">
        <v>45568</v>
      </c>
      <c r="B2414" s="5">
        <v>0.55157407407407411</v>
      </c>
      <c r="C2414">
        <v>69.900000000000006</v>
      </c>
      <c r="D2414">
        <v>69.099999999999994</v>
      </c>
      <c r="E2414">
        <v>68.2</v>
      </c>
      <c r="F2414">
        <v>66.2</v>
      </c>
      <c r="G2414">
        <v>0</v>
      </c>
      <c r="H2414">
        <v>0</v>
      </c>
      <c r="I2414">
        <v>0</v>
      </c>
      <c r="J2414">
        <v>0</v>
      </c>
      <c r="K2414">
        <v>59.4</v>
      </c>
      <c r="L2414">
        <v>59.7</v>
      </c>
      <c r="M2414">
        <v>68.42</v>
      </c>
      <c r="N2414">
        <v>3</v>
      </c>
      <c r="O2414">
        <v>2</v>
      </c>
      <c r="P2414">
        <f>MOD(DAY(datos_siembra[[#This Row],[Date]]),7)</f>
        <v>3</v>
      </c>
      <c r="Q2414" t="str">
        <f>CHOOSE(WEEKDAY(datos_siembra[[#This Row],[Date]],2),"L","M","X","J","V","S","D")</f>
        <v>J</v>
      </c>
      <c r="R2414">
        <f>WEEKNUM(datos_siembra[[#This Row],[Date]],2)-WEEKNUM(DATE(YEAR(datos_siembra[[#This Row],[Date]]),MONTH(datos_siembra[[#This Row],[Date]]),1))+1</f>
        <v>1</v>
      </c>
      <c r="S2414">
        <f>MONTH(datos_siembra[[#This Row],[Date]])</f>
        <v>10</v>
      </c>
      <c r="T2414" t="str" cm="1">
        <f t="array" ref="T2414">_xlfn.IFS(AND(N2414&lt;= 22, S2414=9), "SOWING",AND(N2414&lt;= 28, S2414=9), "COVERAGE",AND(N2414&lt;= 30, S2414=9), "FLUSH",AND(N2414&lt;= 11, S2414=10), "FLUSH",AND(N2414&lt;= 21, S2414=10), "PRODUCTION")</f>
        <v>FLUSH</v>
      </c>
      <c r="U2414">
        <f>HOUR(datos_siembra[[#This Row],[Hour]])</f>
        <v>13</v>
      </c>
      <c r="V2414" cm="1">
        <f t="array" ref="V2414">_xlfn.IFS(AND(N2414&lt;= 22, S2414=9), N2414-7,AND(N2414&lt;= 28, S2414=9), N2414-25,AND(N2414&lt;= 30, S2414=9), N2414-28,AND(N2414&lt;= 11, S2414=10), N2414+2,AND(N2414&lt;= 21, S2414=10), N2414-11)</f>
        <v>5</v>
      </c>
    </row>
    <row r="2415" spans="1:22" x14ac:dyDescent="0.35">
      <c r="A2415" s="4">
        <v>45568</v>
      </c>
      <c r="B2415" s="5">
        <v>0.55851851851851853</v>
      </c>
      <c r="C2415">
        <v>69.900000000000006</v>
      </c>
      <c r="D2415">
        <v>69.2</v>
      </c>
      <c r="E2415">
        <v>68.099999999999994</v>
      </c>
      <c r="F2415">
        <v>66.3</v>
      </c>
      <c r="G2415">
        <v>0</v>
      </c>
      <c r="H2415">
        <v>0</v>
      </c>
      <c r="I2415">
        <v>0</v>
      </c>
      <c r="J2415">
        <v>0</v>
      </c>
      <c r="K2415">
        <v>59.2</v>
      </c>
      <c r="L2415">
        <v>59.3</v>
      </c>
      <c r="M2415">
        <v>68.39</v>
      </c>
      <c r="N2415">
        <v>3</v>
      </c>
      <c r="O2415">
        <v>2</v>
      </c>
      <c r="P2415">
        <f>MOD(DAY(datos_siembra[[#This Row],[Date]]),7)</f>
        <v>3</v>
      </c>
      <c r="Q2415" t="str">
        <f>CHOOSE(WEEKDAY(datos_siembra[[#This Row],[Date]],2),"L","M","X","J","V","S","D")</f>
        <v>J</v>
      </c>
      <c r="R2415">
        <f>WEEKNUM(datos_siembra[[#This Row],[Date]],2)-WEEKNUM(DATE(YEAR(datos_siembra[[#This Row],[Date]]),MONTH(datos_siembra[[#This Row],[Date]]),1))+1</f>
        <v>1</v>
      </c>
      <c r="S2415">
        <f>MONTH(datos_siembra[[#This Row],[Date]])</f>
        <v>10</v>
      </c>
      <c r="T2415" t="str" cm="1">
        <f t="array" ref="T2415">_xlfn.IFS(AND(N2415&lt;= 22, S2415=9), "SOWING",AND(N2415&lt;= 28, S2415=9), "COVERAGE",AND(N2415&lt;= 30, S2415=9), "FLUSH",AND(N2415&lt;= 11, S2415=10), "FLUSH",AND(N2415&lt;= 21, S2415=10), "PRODUCTION")</f>
        <v>FLUSH</v>
      </c>
      <c r="U2415">
        <f>HOUR(datos_siembra[[#This Row],[Hour]])</f>
        <v>13</v>
      </c>
      <c r="V2415" cm="1">
        <f t="array" ref="V2415">_xlfn.IFS(AND(N2415&lt;= 22, S2415=9), N2415-7,AND(N2415&lt;= 28, S2415=9), N2415-25,AND(N2415&lt;= 30, S2415=9), N2415-28,AND(N2415&lt;= 11, S2415=10), N2415+2,AND(N2415&lt;= 21, S2415=10), N2415-11)</f>
        <v>5</v>
      </c>
    </row>
    <row r="2416" spans="1:22" x14ac:dyDescent="0.35">
      <c r="A2416" s="4">
        <v>45568</v>
      </c>
      <c r="B2416" s="5">
        <v>0.56547453703703698</v>
      </c>
      <c r="C2416">
        <v>69.8</v>
      </c>
      <c r="D2416">
        <v>69.099999999999994</v>
      </c>
      <c r="E2416">
        <v>68.2</v>
      </c>
      <c r="F2416">
        <v>66.400000000000006</v>
      </c>
      <c r="G2416">
        <v>0</v>
      </c>
      <c r="H2416">
        <v>0</v>
      </c>
      <c r="I2416">
        <v>0</v>
      </c>
      <c r="J2416">
        <v>0</v>
      </c>
      <c r="K2416">
        <v>59.7</v>
      </c>
      <c r="L2416">
        <v>60</v>
      </c>
      <c r="M2416">
        <v>68.34</v>
      </c>
      <c r="N2416">
        <v>3</v>
      </c>
      <c r="O2416">
        <v>2</v>
      </c>
      <c r="P2416">
        <f>MOD(DAY(datos_siembra[[#This Row],[Date]]),7)</f>
        <v>3</v>
      </c>
      <c r="Q2416" t="str">
        <f>CHOOSE(WEEKDAY(datos_siembra[[#This Row],[Date]],2),"L","M","X","J","V","S","D")</f>
        <v>J</v>
      </c>
      <c r="R2416">
        <f>WEEKNUM(datos_siembra[[#This Row],[Date]],2)-WEEKNUM(DATE(YEAR(datos_siembra[[#This Row],[Date]]),MONTH(datos_siembra[[#This Row],[Date]]),1))+1</f>
        <v>1</v>
      </c>
      <c r="S2416">
        <f>MONTH(datos_siembra[[#This Row],[Date]])</f>
        <v>10</v>
      </c>
      <c r="T2416" t="str" cm="1">
        <f t="array" ref="T2416">_xlfn.IFS(AND(N2416&lt;= 22, S2416=9), "SOWING",AND(N2416&lt;= 28, S2416=9), "COVERAGE",AND(N2416&lt;= 30, S2416=9), "FLUSH",AND(N2416&lt;= 11, S2416=10), "FLUSH",AND(N2416&lt;= 21, S2416=10), "PRODUCTION")</f>
        <v>FLUSH</v>
      </c>
      <c r="U2416">
        <f>HOUR(datos_siembra[[#This Row],[Hour]])</f>
        <v>13</v>
      </c>
      <c r="V2416" cm="1">
        <f t="array" ref="V2416">_xlfn.IFS(AND(N2416&lt;= 22, S2416=9), N2416-7,AND(N2416&lt;= 28, S2416=9), N2416-25,AND(N2416&lt;= 30, S2416=9), N2416-28,AND(N2416&lt;= 11, S2416=10), N2416+2,AND(N2416&lt;= 21, S2416=10), N2416-11)</f>
        <v>5</v>
      </c>
    </row>
    <row r="2417" spans="1:22" x14ac:dyDescent="0.35">
      <c r="A2417" s="4">
        <v>45568</v>
      </c>
      <c r="B2417" s="5">
        <v>0.57241898148148151</v>
      </c>
      <c r="C2417">
        <v>69.8</v>
      </c>
      <c r="D2417">
        <v>69.2</v>
      </c>
      <c r="E2417">
        <v>68.2</v>
      </c>
      <c r="F2417">
        <v>66.3</v>
      </c>
      <c r="G2417">
        <v>0</v>
      </c>
      <c r="H2417">
        <v>0</v>
      </c>
      <c r="I2417">
        <v>0</v>
      </c>
      <c r="J2417">
        <v>0</v>
      </c>
      <c r="K2417">
        <v>60.5</v>
      </c>
      <c r="L2417">
        <v>61</v>
      </c>
      <c r="M2417">
        <v>68.28</v>
      </c>
      <c r="N2417">
        <v>3</v>
      </c>
      <c r="O2417">
        <v>2</v>
      </c>
      <c r="P2417">
        <f>MOD(DAY(datos_siembra[[#This Row],[Date]]),7)</f>
        <v>3</v>
      </c>
      <c r="Q2417" t="str">
        <f>CHOOSE(WEEKDAY(datos_siembra[[#This Row],[Date]],2),"L","M","X","J","V","S","D")</f>
        <v>J</v>
      </c>
      <c r="R2417">
        <f>WEEKNUM(datos_siembra[[#This Row],[Date]],2)-WEEKNUM(DATE(YEAR(datos_siembra[[#This Row],[Date]]),MONTH(datos_siembra[[#This Row],[Date]]),1))+1</f>
        <v>1</v>
      </c>
      <c r="S2417">
        <f>MONTH(datos_siembra[[#This Row],[Date]])</f>
        <v>10</v>
      </c>
      <c r="T2417" t="str" cm="1">
        <f t="array" ref="T2417">_xlfn.IFS(AND(N2417&lt;= 22, S2417=9), "SOWING",AND(N2417&lt;= 28, S2417=9), "COVERAGE",AND(N2417&lt;= 30, S2417=9), "FLUSH",AND(N2417&lt;= 11, S2417=10), "FLUSH",AND(N2417&lt;= 21, S2417=10), "PRODUCTION")</f>
        <v>FLUSH</v>
      </c>
      <c r="U2417">
        <f>HOUR(datos_siembra[[#This Row],[Hour]])</f>
        <v>13</v>
      </c>
      <c r="V2417" cm="1">
        <f t="array" ref="V2417">_xlfn.IFS(AND(N2417&lt;= 22, S2417=9), N2417-7,AND(N2417&lt;= 28, S2417=9), N2417-25,AND(N2417&lt;= 30, S2417=9), N2417-28,AND(N2417&lt;= 11, S2417=10), N2417+2,AND(N2417&lt;= 21, S2417=10), N2417-11)</f>
        <v>5</v>
      </c>
    </row>
    <row r="2418" spans="1:22" x14ac:dyDescent="0.35">
      <c r="A2418" s="4">
        <v>45568</v>
      </c>
      <c r="B2418" s="5">
        <v>0.57936342592592593</v>
      </c>
      <c r="C2418">
        <v>69.8</v>
      </c>
      <c r="D2418">
        <v>69</v>
      </c>
      <c r="E2418">
        <v>68.3</v>
      </c>
      <c r="F2418">
        <v>66.400000000000006</v>
      </c>
      <c r="G2418">
        <v>0</v>
      </c>
      <c r="H2418">
        <v>0</v>
      </c>
      <c r="I2418">
        <v>0</v>
      </c>
      <c r="J2418">
        <v>0</v>
      </c>
      <c r="K2418">
        <v>60.8</v>
      </c>
      <c r="L2418">
        <v>61.4</v>
      </c>
      <c r="M2418">
        <v>68.31</v>
      </c>
      <c r="N2418">
        <v>3</v>
      </c>
      <c r="O2418">
        <v>2</v>
      </c>
      <c r="P2418">
        <f>MOD(DAY(datos_siembra[[#This Row],[Date]]),7)</f>
        <v>3</v>
      </c>
      <c r="Q2418" t="str">
        <f>CHOOSE(WEEKDAY(datos_siembra[[#This Row],[Date]],2),"L","M","X","J","V","S","D")</f>
        <v>J</v>
      </c>
      <c r="R2418">
        <f>WEEKNUM(datos_siembra[[#This Row],[Date]],2)-WEEKNUM(DATE(YEAR(datos_siembra[[#This Row],[Date]]),MONTH(datos_siembra[[#This Row],[Date]]),1))+1</f>
        <v>1</v>
      </c>
      <c r="S2418">
        <f>MONTH(datos_siembra[[#This Row],[Date]])</f>
        <v>10</v>
      </c>
      <c r="T2418" t="str" cm="1">
        <f t="array" ref="T2418">_xlfn.IFS(AND(N2418&lt;= 22, S2418=9), "SOWING",AND(N2418&lt;= 28, S2418=9), "COVERAGE",AND(N2418&lt;= 30, S2418=9), "FLUSH",AND(N2418&lt;= 11, S2418=10), "FLUSH",AND(N2418&lt;= 21, S2418=10), "PRODUCTION")</f>
        <v>FLUSH</v>
      </c>
      <c r="U2418">
        <f>HOUR(datos_siembra[[#This Row],[Hour]])</f>
        <v>13</v>
      </c>
      <c r="V2418" cm="1">
        <f t="array" ref="V2418">_xlfn.IFS(AND(N2418&lt;= 22, S2418=9), N2418-7,AND(N2418&lt;= 28, S2418=9), N2418-25,AND(N2418&lt;= 30, S2418=9), N2418-28,AND(N2418&lt;= 11, S2418=10), N2418+2,AND(N2418&lt;= 21, S2418=10), N2418-11)</f>
        <v>5</v>
      </c>
    </row>
    <row r="2419" spans="1:22" x14ac:dyDescent="0.35">
      <c r="A2419" s="4">
        <v>45568</v>
      </c>
      <c r="B2419" s="5">
        <v>0.58631944444444439</v>
      </c>
      <c r="C2419">
        <v>69.8</v>
      </c>
      <c r="D2419">
        <v>69.099999999999994</v>
      </c>
      <c r="E2419">
        <v>68.099999999999994</v>
      </c>
      <c r="F2419">
        <v>66.2</v>
      </c>
      <c r="G2419">
        <v>0</v>
      </c>
      <c r="H2419">
        <v>0</v>
      </c>
      <c r="I2419">
        <v>0</v>
      </c>
      <c r="J2419">
        <v>0</v>
      </c>
      <c r="K2419">
        <v>61</v>
      </c>
      <c r="L2419">
        <v>61.5</v>
      </c>
      <c r="M2419">
        <v>68.25</v>
      </c>
      <c r="N2419">
        <v>3</v>
      </c>
      <c r="O2419">
        <v>2</v>
      </c>
      <c r="P2419">
        <f>MOD(DAY(datos_siembra[[#This Row],[Date]]),7)</f>
        <v>3</v>
      </c>
      <c r="Q2419" t="str">
        <f>CHOOSE(WEEKDAY(datos_siembra[[#This Row],[Date]],2),"L","M","X","J","V","S","D")</f>
        <v>J</v>
      </c>
      <c r="R2419">
        <f>WEEKNUM(datos_siembra[[#This Row],[Date]],2)-WEEKNUM(DATE(YEAR(datos_siembra[[#This Row],[Date]]),MONTH(datos_siembra[[#This Row],[Date]]),1))+1</f>
        <v>1</v>
      </c>
      <c r="S2419">
        <f>MONTH(datos_siembra[[#This Row],[Date]])</f>
        <v>10</v>
      </c>
      <c r="T2419" t="str" cm="1">
        <f t="array" ref="T2419">_xlfn.IFS(AND(N2419&lt;= 22, S2419=9), "SOWING",AND(N2419&lt;= 28, S2419=9), "COVERAGE",AND(N2419&lt;= 30, S2419=9), "FLUSH",AND(N2419&lt;= 11, S2419=10), "FLUSH",AND(N2419&lt;= 21, S2419=10), "PRODUCTION")</f>
        <v>FLUSH</v>
      </c>
      <c r="U2419">
        <f>HOUR(datos_siembra[[#This Row],[Hour]])</f>
        <v>14</v>
      </c>
      <c r="V2419" cm="1">
        <f t="array" ref="V2419">_xlfn.IFS(AND(N2419&lt;= 22, S2419=9), N2419-7,AND(N2419&lt;= 28, S2419=9), N2419-25,AND(N2419&lt;= 30, S2419=9), N2419-28,AND(N2419&lt;= 11, S2419=10), N2419+2,AND(N2419&lt;= 21, S2419=10), N2419-11)</f>
        <v>5</v>
      </c>
    </row>
    <row r="2420" spans="1:22" x14ac:dyDescent="0.35">
      <c r="A2420" s="4">
        <v>45568</v>
      </c>
      <c r="B2420" s="5">
        <v>0.59326388888888892</v>
      </c>
      <c r="C2420">
        <v>69.8</v>
      </c>
      <c r="D2420">
        <v>69</v>
      </c>
      <c r="E2420">
        <v>68</v>
      </c>
      <c r="F2420">
        <v>66.099999999999994</v>
      </c>
      <c r="G2420">
        <v>0</v>
      </c>
      <c r="H2420">
        <v>0</v>
      </c>
      <c r="I2420">
        <v>0</v>
      </c>
      <c r="J2420">
        <v>0</v>
      </c>
      <c r="K2420">
        <v>61.1</v>
      </c>
      <c r="L2420">
        <v>61.6</v>
      </c>
      <c r="M2420">
        <v>68.2</v>
      </c>
      <c r="N2420">
        <v>3</v>
      </c>
      <c r="O2420">
        <v>2</v>
      </c>
      <c r="P2420">
        <f>MOD(DAY(datos_siembra[[#This Row],[Date]]),7)</f>
        <v>3</v>
      </c>
      <c r="Q2420" t="str">
        <f>CHOOSE(WEEKDAY(datos_siembra[[#This Row],[Date]],2),"L","M","X","J","V","S","D")</f>
        <v>J</v>
      </c>
      <c r="R2420">
        <f>WEEKNUM(datos_siembra[[#This Row],[Date]],2)-WEEKNUM(DATE(YEAR(datos_siembra[[#This Row],[Date]]),MONTH(datos_siembra[[#This Row],[Date]]),1))+1</f>
        <v>1</v>
      </c>
      <c r="S2420">
        <f>MONTH(datos_siembra[[#This Row],[Date]])</f>
        <v>10</v>
      </c>
      <c r="T2420" t="str" cm="1">
        <f t="array" ref="T2420">_xlfn.IFS(AND(N2420&lt;= 22, S2420=9), "SOWING",AND(N2420&lt;= 28, S2420=9), "COVERAGE",AND(N2420&lt;= 30, S2420=9), "FLUSH",AND(N2420&lt;= 11, S2420=10), "FLUSH",AND(N2420&lt;= 21, S2420=10), "PRODUCTION")</f>
        <v>FLUSH</v>
      </c>
      <c r="U2420">
        <f>HOUR(datos_siembra[[#This Row],[Hour]])</f>
        <v>14</v>
      </c>
      <c r="V2420" cm="1">
        <f t="array" ref="V2420">_xlfn.IFS(AND(N2420&lt;= 22, S2420=9), N2420-7,AND(N2420&lt;= 28, S2420=9), N2420-25,AND(N2420&lt;= 30, S2420=9), N2420-28,AND(N2420&lt;= 11, S2420=10), N2420+2,AND(N2420&lt;= 21, S2420=10), N2420-11)</f>
        <v>5</v>
      </c>
    </row>
    <row r="2421" spans="1:22" x14ac:dyDescent="0.35">
      <c r="A2421" s="4">
        <v>45568</v>
      </c>
      <c r="B2421" s="5">
        <v>0.60020833333333334</v>
      </c>
      <c r="C2421">
        <v>69.7</v>
      </c>
      <c r="D2421">
        <v>69.099999999999994</v>
      </c>
      <c r="E2421">
        <v>68</v>
      </c>
      <c r="F2421">
        <v>66.2</v>
      </c>
      <c r="G2421">
        <v>0</v>
      </c>
      <c r="H2421">
        <v>0</v>
      </c>
      <c r="I2421">
        <v>0</v>
      </c>
      <c r="J2421">
        <v>0</v>
      </c>
      <c r="K2421">
        <v>61.2</v>
      </c>
      <c r="L2421">
        <v>61.7</v>
      </c>
      <c r="M2421">
        <v>68.31</v>
      </c>
      <c r="N2421">
        <v>3</v>
      </c>
      <c r="O2421">
        <v>2</v>
      </c>
      <c r="P2421">
        <f>MOD(DAY(datos_siembra[[#This Row],[Date]]),7)</f>
        <v>3</v>
      </c>
      <c r="Q2421" t="str">
        <f>CHOOSE(WEEKDAY(datos_siembra[[#This Row],[Date]],2),"L","M","X","J","V","S","D")</f>
        <v>J</v>
      </c>
      <c r="R2421">
        <f>WEEKNUM(datos_siembra[[#This Row],[Date]],2)-WEEKNUM(DATE(YEAR(datos_siembra[[#This Row],[Date]]),MONTH(datos_siembra[[#This Row],[Date]]),1))+1</f>
        <v>1</v>
      </c>
      <c r="S2421">
        <f>MONTH(datos_siembra[[#This Row],[Date]])</f>
        <v>10</v>
      </c>
      <c r="T2421" t="str" cm="1">
        <f t="array" ref="T2421">_xlfn.IFS(AND(N2421&lt;= 22, S2421=9), "SOWING",AND(N2421&lt;= 28, S2421=9), "COVERAGE",AND(N2421&lt;= 30, S2421=9), "FLUSH",AND(N2421&lt;= 11, S2421=10), "FLUSH",AND(N2421&lt;= 21, S2421=10), "PRODUCTION")</f>
        <v>FLUSH</v>
      </c>
      <c r="U2421">
        <f>HOUR(datos_siembra[[#This Row],[Hour]])</f>
        <v>14</v>
      </c>
      <c r="V2421" cm="1">
        <f t="array" ref="V2421">_xlfn.IFS(AND(N2421&lt;= 22, S2421=9), N2421-7,AND(N2421&lt;= 28, S2421=9), N2421-25,AND(N2421&lt;= 30, S2421=9), N2421-28,AND(N2421&lt;= 11, S2421=10), N2421+2,AND(N2421&lt;= 21, S2421=10), N2421-11)</f>
        <v>5</v>
      </c>
    </row>
    <row r="2422" spans="1:22" x14ac:dyDescent="0.35">
      <c r="A2422" s="4">
        <v>45568</v>
      </c>
      <c r="B2422" s="5">
        <v>0.6071643518518518</v>
      </c>
      <c r="C2422">
        <v>69.7</v>
      </c>
      <c r="D2422">
        <v>69.099999999999994</v>
      </c>
      <c r="E2422">
        <v>68</v>
      </c>
      <c r="F2422">
        <v>66</v>
      </c>
      <c r="G2422">
        <v>0</v>
      </c>
      <c r="H2422">
        <v>0</v>
      </c>
      <c r="I2422">
        <v>0</v>
      </c>
      <c r="J2422">
        <v>0</v>
      </c>
      <c r="K2422">
        <v>60.7</v>
      </c>
      <c r="L2422">
        <v>61.1</v>
      </c>
      <c r="M2422">
        <v>68.17</v>
      </c>
      <c r="N2422">
        <v>3</v>
      </c>
      <c r="O2422">
        <v>2</v>
      </c>
      <c r="P2422">
        <f>MOD(DAY(datos_siembra[[#This Row],[Date]]),7)</f>
        <v>3</v>
      </c>
      <c r="Q2422" t="str">
        <f>CHOOSE(WEEKDAY(datos_siembra[[#This Row],[Date]],2),"L","M","X","J","V","S","D")</f>
        <v>J</v>
      </c>
      <c r="R2422">
        <f>WEEKNUM(datos_siembra[[#This Row],[Date]],2)-WEEKNUM(DATE(YEAR(datos_siembra[[#This Row],[Date]]),MONTH(datos_siembra[[#This Row],[Date]]),1))+1</f>
        <v>1</v>
      </c>
      <c r="S2422">
        <f>MONTH(datos_siembra[[#This Row],[Date]])</f>
        <v>10</v>
      </c>
      <c r="T2422" t="str" cm="1">
        <f t="array" ref="T2422">_xlfn.IFS(AND(N2422&lt;= 22, S2422=9), "SOWING",AND(N2422&lt;= 28, S2422=9), "COVERAGE",AND(N2422&lt;= 30, S2422=9), "FLUSH",AND(N2422&lt;= 11, S2422=10), "FLUSH",AND(N2422&lt;= 21, S2422=10), "PRODUCTION")</f>
        <v>FLUSH</v>
      </c>
      <c r="U2422">
        <f>HOUR(datos_siembra[[#This Row],[Hour]])</f>
        <v>14</v>
      </c>
      <c r="V2422" cm="1">
        <f t="array" ref="V2422">_xlfn.IFS(AND(N2422&lt;= 22, S2422=9), N2422-7,AND(N2422&lt;= 28, S2422=9), N2422-25,AND(N2422&lt;= 30, S2422=9), N2422-28,AND(N2422&lt;= 11, S2422=10), N2422+2,AND(N2422&lt;= 21, S2422=10), N2422-11)</f>
        <v>5</v>
      </c>
    </row>
    <row r="2423" spans="1:22" x14ac:dyDescent="0.35">
      <c r="A2423" s="4">
        <v>45568</v>
      </c>
      <c r="B2423" s="5">
        <v>0.61410879629629633</v>
      </c>
      <c r="C2423">
        <v>69.7</v>
      </c>
      <c r="D2423">
        <v>69</v>
      </c>
      <c r="E2423">
        <v>67.900000000000006</v>
      </c>
      <c r="F2423">
        <v>66.099999999999994</v>
      </c>
      <c r="G2423">
        <v>0</v>
      </c>
      <c r="H2423">
        <v>0</v>
      </c>
      <c r="I2423">
        <v>0</v>
      </c>
      <c r="J2423">
        <v>0</v>
      </c>
      <c r="K2423">
        <v>60.1</v>
      </c>
      <c r="L2423">
        <v>60.3</v>
      </c>
      <c r="M2423">
        <v>68.14</v>
      </c>
      <c r="N2423">
        <v>3</v>
      </c>
      <c r="O2423">
        <v>2</v>
      </c>
      <c r="P2423">
        <f>MOD(DAY(datos_siembra[[#This Row],[Date]]),7)</f>
        <v>3</v>
      </c>
      <c r="Q2423" t="str">
        <f>CHOOSE(WEEKDAY(datos_siembra[[#This Row],[Date]],2),"L","M","X","J","V","S","D")</f>
        <v>J</v>
      </c>
      <c r="R2423">
        <f>WEEKNUM(datos_siembra[[#This Row],[Date]],2)-WEEKNUM(DATE(YEAR(datos_siembra[[#This Row],[Date]]),MONTH(datos_siembra[[#This Row],[Date]]),1))+1</f>
        <v>1</v>
      </c>
      <c r="S2423">
        <f>MONTH(datos_siembra[[#This Row],[Date]])</f>
        <v>10</v>
      </c>
      <c r="T2423" t="str" cm="1">
        <f t="array" ref="T2423">_xlfn.IFS(AND(N2423&lt;= 22, S2423=9), "SOWING",AND(N2423&lt;= 28, S2423=9), "COVERAGE",AND(N2423&lt;= 30, S2423=9), "FLUSH",AND(N2423&lt;= 11, S2423=10), "FLUSH",AND(N2423&lt;= 21, S2423=10), "PRODUCTION")</f>
        <v>FLUSH</v>
      </c>
      <c r="U2423">
        <f>HOUR(datos_siembra[[#This Row],[Hour]])</f>
        <v>14</v>
      </c>
      <c r="V2423" cm="1">
        <f t="array" ref="V2423">_xlfn.IFS(AND(N2423&lt;= 22, S2423=9), N2423-7,AND(N2423&lt;= 28, S2423=9), N2423-25,AND(N2423&lt;= 30, S2423=9), N2423-28,AND(N2423&lt;= 11, S2423=10), N2423+2,AND(N2423&lt;= 21, S2423=10), N2423-11)</f>
        <v>5</v>
      </c>
    </row>
    <row r="2424" spans="1:22" x14ac:dyDescent="0.35">
      <c r="A2424" s="4">
        <v>45568</v>
      </c>
      <c r="B2424" s="5">
        <v>0.62105324074074075</v>
      </c>
      <c r="C2424">
        <v>69.7</v>
      </c>
      <c r="D2424">
        <v>68.900000000000006</v>
      </c>
      <c r="E2424">
        <v>67.900000000000006</v>
      </c>
      <c r="F2424">
        <v>66.2</v>
      </c>
      <c r="G2424">
        <v>0</v>
      </c>
      <c r="H2424">
        <v>0</v>
      </c>
      <c r="I2424">
        <v>0</v>
      </c>
      <c r="J2424">
        <v>0</v>
      </c>
      <c r="K2424">
        <v>59.9</v>
      </c>
      <c r="L2424">
        <v>60.1</v>
      </c>
      <c r="M2424">
        <v>68.17</v>
      </c>
      <c r="N2424">
        <v>3</v>
      </c>
      <c r="O2424">
        <v>2</v>
      </c>
      <c r="P2424">
        <f>MOD(DAY(datos_siembra[[#This Row],[Date]]),7)</f>
        <v>3</v>
      </c>
      <c r="Q2424" t="str">
        <f>CHOOSE(WEEKDAY(datos_siembra[[#This Row],[Date]],2),"L","M","X","J","V","S","D")</f>
        <v>J</v>
      </c>
      <c r="R2424">
        <f>WEEKNUM(datos_siembra[[#This Row],[Date]],2)-WEEKNUM(DATE(YEAR(datos_siembra[[#This Row],[Date]]),MONTH(datos_siembra[[#This Row],[Date]]),1))+1</f>
        <v>1</v>
      </c>
      <c r="S2424">
        <f>MONTH(datos_siembra[[#This Row],[Date]])</f>
        <v>10</v>
      </c>
      <c r="T2424" t="str" cm="1">
        <f t="array" ref="T2424">_xlfn.IFS(AND(N2424&lt;= 22, S2424=9), "SOWING",AND(N2424&lt;= 28, S2424=9), "COVERAGE",AND(N2424&lt;= 30, S2424=9), "FLUSH",AND(N2424&lt;= 11, S2424=10), "FLUSH",AND(N2424&lt;= 21, S2424=10), "PRODUCTION")</f>
        <v>FLUSH</v>
      </c>
      <c r="U2424">
        <f>HOUR(datos_siembra[[#This Row],[Hour]])</f>
        <v>14</v>
      </c>
      <c r="V2424" cm="1">
        <f t="array" ref="V2424">_xlfn.IFS(AND(N2424&lt;= 22, S2424=9), N2424-7,AND(N2424&lt;= 28, S2424=9), N2424-25,AND(N2424&lt;= 30, S2424=9), N2424-28,AND(N2424&lt;= 11, S2424=10), N2424+2,AND(N2424&lt;= 21, S2424=10), N2424-11)</f>
        <v>5</v>
      </c>
    </row>
    <row r="2425" spans="1:22" x14ac:dyDescent="0.35">
      <c r="A2425" s="4">
        <v>45568</v>
      </c>
      <c r="B2425" s="5">
        <v>0.62799768518518517</v>
      </c>
      <c r="C2425">
        <v>69.599999999999994</v>
      </c>
      <c r="D2425">
        <v>68.900000000000006</v>
      </c>
      <c r="E2425">
        <v>67.900000000000006</v>
      </c>
      <c r="F2425">
        <v>66.099999999999994</v>
      </c>
      <c r="G2425">
        <v>0</v>
      </c>
      <c r="H2425">
        <v>0</v>
      </c>
      <c r="I2425">
        <v>0</v>
      </c>
      <c r="J2425">
        <v>0</v>
      </c>
      <c r="K2425">
        <v>60</v>
      </c>
      <c r="L2425">
        <v>60.2</v>
      </c>
      <c r="M2425">
        <v>68.14</v>
      </c>
      <c r="N2425">
        <v>3</v>
      </c>
      <c r="O2425">
        <v>2</v>
      </c>
      <c r="P2425">
        <f>MOD(DAY(datos_siembra[[#This Row],[Date]]),7)</f>
        <v>3</v>
      </c>
      <c r="Q2425" t="str">
        <f>CHOOSE(WEEKDAY(datos_siembra[[#This Row],[Date]],2),"L","M","X","J","V","S","D")</f>
        <v>J</v>
      </c>
      <c r="R2425">
        <f>WEEKNUM(datos_siembra[[#This Row],[Date]],2)-WEEKNUM(DATE(YEAR(datos_siembra[[#This Row],[Date]]),MONTH(datos_siembra[[#This Row],[Date]]),1))+1</f>
        <v>1</v>
      </c>
      <c r="S2425">
        <f>MONTH(datos_siembra[[#This Row],[Date]])</f>
        <v>10</v>
      </c>
      <c r="T2425" t="str" cm="1">
        <f t="array" ref="T2425">_xlfn.IFS(AND(N2425&lt;= 22, S2425=9), "SOWING",AND(N2425&lt;= 28, S2425=9), "COVERAGE",AND(N2425&lt;= 30, S2425=9), "FLUSH",AND(N2425&lt;= 11, S2425=10), "FLUSH",AND(N2425&lt;= 21, S2425=10), "PRODUCTION")</f>
        <v>FLUSH</v>
      </c>
      <c r="U2425">
        <f>HOUR(datos_siembra[[#This Row],[Hour]])</f>
        <v>15</v>
      </c>
      <c r="V2425" cm="1">
        <f t="array" ref="V2425">_xlfn.IFS(AND(N2425&lt;= 22, S2425=9), N2425-7,AND(N2425&lt;= 28, S2425=9), N2425-25,AND(N2425&lt;= 30, S2425=9), N2425-28,AND(N2425&lt;= 11, S2425=10), N2425+2,AND(N2425&lt;= 21, S2425=10), N2425-11)</f>
        <v>5</v>
      </c>
    </row>
    <row r="2426" spans="1:22" x14ac:dyDescent="0.35">
      <c r="A2426" s="4">
        <v>45568</v>
      </c>
      <c r="B2426" s="5">
        <v>0.63495370370370374</v>
      </c>
      <c r="C2426">
        <v>69.599999999999994</v>
      </c>
      <c r="D2426">
        <v>68.900000000000006</v>
      </c>
      <c r="E2426">
        <v>67.900000000000006</v>
      </c>
      <c r="F2426">
        <v>66</v>
      </c>
      <c r="G2426">
        <v>0</v>
      </c>
      <c r="H2426">
        <v>0</v>
      </c>
      <c r="I2426">
        <v>0</v>
      </c>
      <c r="J2426">
        <v>0</v>
      </c>
      <c r="K2426">
        <v>60.1</v>
      </c>
      <c r="L2426">
        <v>60.3</v>
      </c>
      <c r="M2426">
        <v>68.14</v>
      </c>
      <c r="N2426">
        <v>3</v>
      </c>
      <c r="O2426">
        <v>2</v>
      </c>
      <c r="P2426">
        <f>MOD(DAY(datos_siembra[[#This Row],[Date]]),7)</f>
        <v>3</v>
      </c>
      <c r="Q2426" t="str">
        <f>CHOOSE(WEEKDAY(datos_siembra[[#This Row],[Date]],2),"L","M","X","J","V","S","D")</f>
        <v>J</v>
      </c>
      <c r="R2426">
        <f>WEEKNUM(datos_siembra[[#This Row],[Date]],2)-WEEKNUM(DATE(YEAR(datos_siembra[[#This Row],[Date]]),MONTH(datos_siembra[[#This Row],[Date]]),1))+1</f>
        <v>1</v>
      </c>
      <c r="S2426">
        <f>MONTH(datos_siembra[[#This Row],[Date]])</f>
        <v>10</v>
      </c>
      <c r="T2426" t="str" cm="1">
        <f t="array" ref="T2426">_xlfn.IFS(AND(N2426&lt;= 22, S2426=9), "SOWING",AND(N2426&lt;= 28, S2426=9), "COVERAGE",AND(N2426&lt;= 30, S2426=9), "FLUSH",AND(N2426&lt;= 11, S2426=10), "FLUSH",AND(N2426&lt;= 21, S2426=10), "PRODUCTION")</f>
        <v>FLUSH</v>
      </c>
      <c r="U2426">
        <f>HOUR(datos_siembra[[#This Row],[Hour]])</f>
        <v>15</v>
      </c>
      <c r="V2426" cm="1">
        <f t="array" ref="V2426">_xlfn.IFS(AND(N2426&lt;= 22, S2426=9), N2426-7,AND(N2426&lt;= 28, S2426=9), N2426-25,AND(N2426&lt;= 30, S2426=9), N2426-28,AND(N2426&lt;= 11, S2426=10), N2426+2,AND(N2426&lt;= 21, S2426=10), N2426-11)</f>
        <v>5</v>
      </c>
    </row>
    <row r="2427" spans="1:22" x14ac:dyDescent="0.35">
      <c r="A2427" s="4">
        <v>45568</v>
      </c>
      <c r="B2427" s="5">
        <v>0.64189814814814816</v>
      </c>
      <c r="C2427">
        <v>69.599999999999994</v>
      </c>
      <c r="D2427">
        <v>69</v>
      </c>
      <c r="E2427">
        <v>67.8</v>
      </c>
      <c r="F2427">
        <v>66</v>
      </c>
      <c r="G2427">
        <v>0</v>
      </c>
      <c r="H2427">
        <v>0</v>
      </c>
      <c r="I2427">
        <v>0</v>
      </c>
      <c r="J2427">
        <v>0</v>
      </c>
      <c r="K2427">
        <v>59.9</v>
      </c>
      <c r="L2427">
        <v>60.1</v>
      </c>
      <c r="M2427">
        <v>68.11</v>
      </c>
      <c r="N2427">
        <v>3</v>
      </c>
      <c r="O2427">
        <v>2</v>
      </c>
      <c r="P2427">
        <f>MOD(DAY(datos_siembra[[#This Row],[Date]]),7)</f>
        <v>3</v>
      </c>
      <c r="Q2427" t="str">
        <f>CHOOSE(WEEKDAY(datos_siembra[[#This Row],[Date]],2),"L","M","X","J","V","S","D")</f>
        <v>J</v>
      </c>
      <c r="R2427">
        <f>WEEKNUM(datos_siembra[[#This Row],[Date]],2)-WEEKNUM(DATE(YEAR(datos_siembra[[#This Row],[Date]]),MONTH(datos_siembra[[#This Row],[Date]]),1))+1</f>
        <v>1</v>
      </c>
      <c r="S2427">
        <f>MONTH(datos_siembra[[#This Row],[Date]])</f>
        <v>10</v>
      </c>
      <c r="T2427" t="str" cm="1">
        <f t="array" ref="T2427">_xlfn.IFS(AND(N2427&lt;= 22, S2427=9), "SOWING",AND(N2427&lt;= 28, S2427=9), "COVERAGE",AND(N2427&lt;= 30, S2427=9), "FLUSH",AND(N2427&lt;= 11, S2427=10), "FLUSH",AND(N2427&lt;= 21, S2427=10), "PRODUCTION")</f>
        <v>FLUSH</v>
      </c>
      <c r="U2427">
        <f>HOUR(datos_siembra[[#This Row],[Hour]])</f>
        <v>15</v>
      </c>
      <c r="V2427" cm="1">
        <f t="array" ref="V2427">_xlfn.IFS(AND(N2427&lt;= 22, S2427=9), N2427-7,AND(N2427&lt;= 28, S2427=9), N2427-25,AND(N2427&lt;= 30, S2427=9), N2427-28,AND(N2427&lt;= 11, S2427=10), N2427+2,AND(N2427&lt;= 21, S2427=10), N2427-11)</f>
        <v>5</v>
      </c>
    </row>
    <row r="2428" spans="1:22" x14ac:dyDescent="0.35">
      <c r="A2428" s="4">
        <v>45568</v>
      </c>
      <c r="B2428" s="5">
        <v>0.64884259259259258</v>
      </c>
      <c r="C2428">
        <v>69.5</v>
      </c>
      <c r="D2428">
        <v>69</v>
      </c>
      <c r="E2428">
        <v>68</v>
      </c>
      <c r="F2428">
        <v>66</v>
      </c>
      <c r="G2428">
        <v>0</v>
      </c>
      <c r="H2428">
        <v>0</v>
      </c>
      <c r="I2428">
        <v>0</v>
      </c>
      <c r="J2428">
        <v>0</v>
      </c>
      <c r="K2428">
        <v>59.8</v>
      </c>
      <c r="L2428">
        <v>59.9</v>
      </c>
      <c r="M2428">
        <v>68.11</v>
      </c>
      <c r="N2428">
        <v>3</v>
      </c>
      <c r="O2428">
        <v>2</v>
      </c>
      <c r="P2428">
        <f>MOD(DAY(datos_siembra[[#This Row],[Date]]),7)</f>
        <v>3</v>
      </c>
      <c r="Q2428" t="str">
        <f>CHOOSE(WEEKDAY(datos_siembra[[#This Row],[Date]],2),"L","M","X","J","V","S","D")</f>
        <v>J</v>
      </c>
      <c r="R2428">
        <f>WEEKNUM(datos_siembra[[#This Row],[Date]],2)-WEEKNUM(DATE(YEAR(datos_siembra[[#This Row],[Date]]),MONTH(datos_siembra[[#This Row],[Date]]),1))+1</f>
        <v>1</v>
      </c>
      <c r="S2428">
        <f>MONTH(datos_siembra[[#This Row],[Date]])</f>
        <v>10</v>
      </c>
      <c r="T2428" t="str" cm="1">
        <f t="array" ref="T2428">_xlfn.IFS(AND(N2428&lt;= 22, S2428=9), "SOWING",AND(N2428&lt;= 28, S2428=9), "COVERAGE",AND(N2428&lt;= 30, S2428=9), "FLUSH",AND(N2428&lt;= 11, S2428=10), "FLUSH",AND(N2428&lt;= 21, S2428=10), "PRODUCTION")</f>
        <v>FLUSH</v>
      </c>
      <c r="U2428">
        <f>HOUR(datos_siembra[[#This Row],[Hour]])</f>
        <v>15</v>
      </c>
      <c r="V2428" cm="1">
        <f t="array" ref="V2428">_xlfn.IFS(AND(N2428&lt;= 22, S2428=9), N2428-7,AND(N2428&lt;= 28, S2428=9), N2428-25,AND(N2428&lt;= 30, S2428=9), N2428-28,AND(N2428&lt;= 11, S2428=10), N2428+2,AND(N2428&lt;= 21, S2428=10), N2428-11)</f>
        <v>5</v>
      </c>
    </row>
    <row r="2429" spans="1:22" x14ac:dyDescent="0.35">
      <c r="A2429" s="4">
        <v>45568</v>
      </c>
      <c r="B2429" s="5">
        <v>0.65579861111111115</v>
      </c>
      <c r="C2429">
        <v>69.5</v>
      </c>
      <c r="D2429">
        <v>69</v>
      </c>
      <c r="E2429">
        <v>67.900000000000006</v>
      </c>
      <c r="F2429">
        <v>66</v>
      </c>
      <c r="G2429">
        <v>0</v>
      </c>
      <c r="H2429">
        <v>0</v>
      </c>
      <c r="I2429">
        <v>0</v>
      </c>
      <c r="J2429">
        <v>0</v>
      </c>
      <c r="K2429">
        <v>60</v>
      </c>
      <c r="L2429">
        <v>60.6</v>
      </c>
      <c r="M2429">
        <v>68.11</v>
      </c>
      <c r="N2429">
        <v>3</v>
      </c>
      <c r="O2429">
        <v>2</v>
      </c>
      <c r="P2429">
        <f>MOD(DAY(datos_siembra[[#This Row],[Date]]),7)</f>
        <v>3</v>
      </c>
      <c r="Q2429" t="str">
        <f>CHOOSE(WEEKDAY(datos_siembra[[#This Row],[Date]],2),"L","M","X","J","V","S","D")</f>
        <v>J</v>
      </c>
      <c r="R2429">
        <f>WEEKNUM(datos_siembra[[#This Row],[Date]],2)-WEEKNUM(DATE(YEAR(datos_siembra[[#This Row],[Date]]),MONTH(datos_siembra[[#This Row],[Date]]),1))+1</f>
        <v>1</v>
      </c>
      <c r="S2429">
        <f>MONTH(datos_siembra[[#This Row],[Date]])</f>
        <v>10</v>
      </c>
      <c r="T2429" t="str" cm="1">
        <f t="array" ref="T2429">_xlfn.IFS(AND(N2429&lt;= 22, S2429=9), "SOWING",AND(N2429&lt;= 28, S2429=9), "COVERAGE",AND(N2429&lt;= 30, S2429=9), "FLUSH",AND(N2429&lt;= 11, S2429=10), "FLUSH",AND(N2429&lt;= 21, S2429=10), "PRODUCTION")</f>
        <v>FLUSH</v>
      </c>
      <c r="U2429">
        <f>HOUR(datos_siembra[[#This Row],[Hour]])</f>
        <v>15</v>
      </c>
      <c r="V2429" cm="1">
        <f t="array" ref="V2429">_xlfn.IFS(AND(N2429&lt;= 22, S2429=9), N2429-7,AND(N2429&lt;= 28, S2429=9), N2429-25,AND(N2429&lt;= 30, S2429=9), N2429-28,AND(N2429&lt;= 11, S2429=10), N2429+2,AND(N2429&lt;= 21, S2429=10), N2429-11)</f>
        <v>5</v>
      </c>
    </row>
    <row r="2430" spans="1:22" x14ac:dyDescent="0.35">
      <c r="A2430" s="4">
        <v>45568</v>
      </c>
      <c r="B2430" s="5">
        <v>0.66274305555555557</v>
      </c>
      <c r="C2430">
        <v>69.5</v>
      </c>
      <c r="D2430">
        <v>69</v>
      </c>
      <c r="E2430">
        <v>67.8</v>
      </c>
      <c r="F2430">
        <v>65.900000000000006</v>
      </c>
      <c r="G2430">
        <v>0</v>
      </c>
      <c r="H2430">
        <v>0</v>
      </c>
      <c r="I2430">
        <v>0</v>
      </c>
      <c r="J2430">
        <v>0</v>
      </c>
      <c r="K2430">
        <v>60</v>
      </c>
      <c r="L2430">
        <v>60.8</v>
      </c>
      <c r="M2430">
        <v>68</v>
      </c>
      <c r="N2430">
        <v>3</v>
      </c>
      <c r="O2430">
        <v>2</v>
      </c>
      <c r="P2430">
        <f>MOD(DAY(datos_siembra[[#This Row],[Date]]),7)</f>
        <v>3</v>
      </c>
      <c r="Q2430" t="str">
        <f>CHOOSE(WEEKDAY(datos_siembra[[#This Row],[Date]],2),"L","M","X","J","V","S","D")</f>
        <v>J</v>
      </c>
      <c r="R2430">
        <f>WEEKNUM(datos_siembra[[#This Row],[Date]],2)-WEEKNUM(DATE(YEAR(datos_siembra[[#This Row],[Date]]),MONTH(datos_siembra[[#This Row],[Date]]),1))+1</f>
        <v>1</v>
      </c>
      <c r="S2430">
        <f>MONTH(datos_siembra[[#This Row],[Date]])</f>
        <v>10</v>
      </c>
      <c r="T2430" t="str" cm="1">
        <f t="array" ref="T2430">_xlfn.IFS(AND(N2430&lt;= 22, S2430=9), "SOWING",AND(N2430&lt;= 28, S2430=9), "COVERAGE",AND(N2430&lt;= 30, S2430=9), "FLUSH",AND(N2430&lt;= 11, S2430=10), "FLUSH",AND(N2430&lt;= 21, S2430=10), "PRODUCTION")</f>
        <v>FLUSH</v>
      </c>
      <c r="U2430">
        <f>HOUR(datos_siembra[[#This Row],[Hour]])</f>
        <v>15</v>
      </c>
      <c r="V2430" cm="1">
        <f t="array" ref="V2430">_xlfn.IFS(AND(N2430&lt;= 22, S2430=9), N2430-7,AND(N2430&lt;= 28, S2430=9), N2430-25,AND(N2430&lt;= 30, S2430=9), N2430-28,AND(N2430&lt;= 11, S2430=10), N2430+2,AND(N2430&lt;= 21, S2430=10), N2430-11)</f>
        <v>5</v>
      </c>
    </row>
    <row r="2431" spans="1:22" x14ac:dyDescent="0.35">
      <c r="A2431" s="4">
        <v>45568</v>
      </c>
      <c r="B2431" s="5">
        <v>0.66968749999999999</v>
      </c>
      <c r="C2431">
        <v>69.5</v>
      </c>
      <c r="D2431">
        <v>68.900000000000006</v>
      </c>
      <c r="E2431">
        <v>67.8</v>
      </c>
      <c r="F2431">
        <v>66</v>
      </c>
      <c r="G2431">
        <v>0</v>
      </c>
      <c r="H2431">
        <v>0</v>
      </c>
      <c r="I2431">
        <v>0</v>
      </c>
      <c r="J2431">
        <v>0</v>
      </c>
      <c r="K2431">
        <v>59.9</v>
      </c>
      <c r="L2431">
        <v>60.7</v>
      </c>
      <c r="M2431">
        <v>67.97</v>
      </c>
      <c r="N2431">
        <v>3</v>
      </c>
      <c r="O2431">
        <v>2</v>
      </c>
      <c r="P2431">
        <f>MOD(DAY(datos_siembra[[#This Row],[Date]]),7)</f>
        <v>3</v>
      </c>
      <c r="Q2431" t="str">
        <f>CHOOSE(WEEKDAY(datos_siembra[[#This Row],[Date]],2),"L","M","X","J","V","S","D")</f>
        <v>J</v>
      </c>
      <c r="R2431">
        <f>WEEKNUM(datos_siembra[[#This Row],[Date]],2)-WEEKNUM(DATE(YEAR(datos_siembra[[#This Row],[Date]]),MONTH(datos_siembra[[#This Row],[Date]]),1))+1</f>
        <v>1</v>
      </c>
      <c r="S2431">
        <f>MONTH(datos_siembra[[#This Row],[Date]])</f>
        <v>10</v>
      </c>
      <c r="T2431" t="str" cm="1">
        <f t="array" ref="T2431">_xlfn.IFS(AND(N2431&lt;= 22, S2431=9), "SOWING",AND(N2431&lt;= 28, S2431=9), "COVERAGE",AND(N2431&lt;= 30, S2431=9), "FLUSH",AND(N2431&lt;= 11, S2431=10), "FLUSH",AND(N2431&lt;= 21, S2431=10), "PRODUCTION")</f>
        <v>FLUSH</v>
      </c>
      <c r="U2431">
        <f>HOUR(datos_siembra[[#This Row],[Hour]])</f>
        <v>16</v>
      </c>
      <c r="V2431" cm="1">
        <f t="array" ref="V2431">_xlfn.IFS(AND(N2431&lt;= 22, S2431=9), N2431-7,AND(N2431&lt;= 28, S2431=9), N2431-25,AND(N2431&lt;= 30, S2431=9), N2431-28,AND(N2431&lt;= 11, S2431=10), N2431+2,AND(N2431&lt;= 21, S2431=10), N2431-11)</f>
        <v>5</v>
      </c>
    </row>
    <row r="2432" spans="1:22" x14ac:dyDescent="0.35">
      <c r="A2432" s="4">
        <v>45568</v>
      </c>
      <c r="B2432" s="5">
        <v>0.67663194444444441</v>
      </c>
      <c r="C2432">
        <v>69.5</v>
      </c>
      <c r="D2432">
        <v>68.8</v>
      </c>
      <c r="E2432">
        <v>67.8</v>
      </c>
      <c r="F2432">
        <v>66</v>
      </c>
      <c r="G2432">
        <v>0</v>
      </c>
      <c r="H2432">
        <v>0</v>
      </c>
      <c r="I2432">
        <v>0</v>
      </c>
      <c r="J2432">
        <v>0</v>
      </c>
      <c r="K2432">
        <v>60.2</v>
      </c>
      <c r="L2432">
        <v>61</v>
      </c>
      <c r="M2432">
        <v>68</v>
      </c>
      <c r="N2432">
        <v>3</v>
      </c>
      <c r="O2432">
        <v>2</v>
      </c>
      <c r="P2432">
        <f>MOD(DAY(datos_siembra[[#This Row],[Date]]),7)</f>
        <v>3</v>
      </c>
      <c r="Q2432" t="str">
        <f>CHOOSE(WEEKDAY(datos_siembra[[#This Row],[Date]],2),"L","M","X","J","V","S","D")</f>
        <v>J</v>
      </c>
      <c r="R2432">
        <f>WEEKNUM(datos_siembra[[#This Row],[Date]],2)-WEEKNUM(DATE(YEAR(datos_siembra[[#This Row],[Date]]),MONTH(datos_siembra[[#This Row],[Date]]),1))+1</f>
        <v>1</v>
      </c>
      <c r="S2432">
        <f>MONTH(datos_siembra[[#This Row],[Date]])</f>
        <v>10</v>
      </c>
      <c r="T2432" t="str" cm="1">
        <f t="array" ref="T2432">_xlfn.IFS(AND(N2432&lt;= 22, S2432=9), "SOWING",AND(N2432&lt;= 28, S2432=9), "COVERAGE",AND(N2432&lt;= 30, S2432=9), "FLUSH",AND(N2432&lt;= 11, S2432=10), "FLUSH",AND(N2432&lt;= 21, S2432=10), "PRODUCTION")</f>
        <v>FLUSH</v>
      </c>
      <c r="U2432">
        <f>HOUR(datos_siembra[[#This Row],[Hour]])</f>
        <v>16</v>
      </c>
      <c r="V2432" cm="1">
        <f t="array" ref="V2432">_xlfn.IFS(AND(N2432&lt;= 22, S2432=9), N2432-7,AND(N2432&lt;= 28, S2432=9), N2432-25,AND(N2432&lt;= 30, S2432=9), N2432-28,AND(N2432&lt;= 11, S2432=10), N2432+2,AND(N2432&lt;= 21, S2432=10), N2432-11)</f>
        <v>5</v>
      </c>
    </row>
    <row r="2433" spans="1:22" x14ac:dyDescent="0.35">
      <c r="A2433" s="4">
        <v>45568</v>
      </c>
      <c r="B2433" s="5">
        <v>0.68358796296296298</v>
      </c>
      <c r="C2433">
        <v>69.400000000000006</v>
      </c>
      <c r="D2433">
        <v>69</v>
      </c>
      <c r="E2433">
        <v>67.7</v>
      </c>
      <c r="F2433">
        <v>65.900000000000006</v>
      </c>
      <c r="G2433">
        <v>0</v>
      </c>
      <c r="H2433">
        <v>0</v>
      </c>
      <c r="I2433">
        <v>0</v>
      </c>
      <c r="J2433">
        <v>0</v>
      </c>
      <c r="K2433">
        <v>60.2</v>
      </c>
      <c r="L2433">
        <v>61</v>
      </c>
      <c r="M2433">
        <v>67.94</v>
      </c>
      <c r="N2433">
        <v>3</v>
      </c>
      <c r="O2433">
        <v>2</v>
      </c>
      <c r="P2433">
        <f>MOD(DAY(datos_siembra[[#This Row],[Date]]),7)</f>
        <v>3</v>
      </c>
      <c r="Q2433" t="str">
        <f>CHOOSE(WEEKDAY(datos_siembra[[#This Row],[Date]],2),"L","M","X","J","V","S","D")</f>
        <v>J</v>
      </c>
      <c r="R2433">
        <f>WEEKNUM(datos_siembra[[#This Row],[Date]],2)-WEEKNUM(DATE(YEAR(datos_siembra[[#This Row],[Date]]),MONTH(datos_siembra[[#This Row],[Date]]),1))+1</f>
        <v>1</v>
      </c>
      <c r="S2433">
        <f>MONTH(datos_siembra[[#This Row],[Date]])</f>
        <v>10</v>
      </c>
      <c r="T2433" t="str" cm="1">
        <f t="array" ref="T2433">_xlfn.IFS(AND(N2433&lt;= 22, S2433=9), "SOWING",AND(N2433&lt;= 28, S2433=9), "COVERAGE",AND(N2433&lt;= 30, S2433=9), "FLUSH",AND(N2433&lt;= 11, S2433=10), "FLUSH",AND(N2433&lt;= 21, S2433=10), "PRODUCTION")</f>
        <v>FLUSH</v>
      </c>
      <c r="U2433">
        <f>HOUR(datos_siembra[[#This Row],[Hour]])</f>
        <v>16</v>
      </c>
      <c r="V2433" cm="1">
        <f t="array" ref="V2433">_xlfn.IFS(AND(N2433&lt;= 22, S2433=9), N2433-7,AND(N2433&lt;= 28, S2433=9), N2433-25,AND(N2433&lt;= 30, S2433=9), N2433-28,AND(N2433&lt;= 11, S2433=10), N2433+2,AND(N2433&lt;= 21, S2433=10), N2433-11)</f>
        <v>5</v>
      </c>
    </row>
    <row r="2434" spans="1:22" x14ac:dyDescent="0.35">
      <c r="A2434" s="4">
        <v>45568</v>
      </c>
      <c r="B2434" s="5">
        <v>0.6905324074074074</v>
      </c>
      <c r="C2434">
        <v>69.400000000000006</v>
      </c>
      <c r="D2434">
        <v>68.900000000000006</v>
      </c>
      <c r="E2434">
        <v>67.7</v>
      </c>
      <c r="F2434">
        <v>66</v>
      </c>
      <c r="G2434">
        <v>0</v>
      </c>
      <c r="H2434">
        <v>0</v>
      </c>
      <c r="I2434">
        <v>0</v>
      </c>
      <c r="J2434">
        <v>0</v>
      </c>
      <c r="K2434">
        <v>60.1</v>
      </c>
      <c r="L2434">
        <v>60.6</v>
      </c>
      <c r="M2434">
        <v>67.92</v>
      </c>
      <c r="N2434">
        <v>3</v>
      </c>
      <c r="O2434">
        <v>2</v>
      </c>
      <c r="P2434">
        <f>MOD(DAY(datos_siembra[[#This Row],[Date]]),7)</f>
        <v>3</v>
      </c>
      <c r="Q2434" t="str">
        <f>CHOOSE(WEEKDAY(datos_siembra[[#This Row],[Date]],2),"L","M","X","J","V","S","D")</f>
        <v>J</v>
      </c>
      <c r="R2434">
        <f>WEEKNUM(datos_siembra[[#This Row],[Date]],2)-WEEKNUM(DATE(YEAR(datos_siembra[[#This Row],[Date]]),MONTH(datos_siembra[[#This Row],[Date]]),1))+1</f>
        <v>1</v>
      </c>
      <c r="S2434">
        <f>MONTH(datos_siembra[[#This Row],[Date]])</f>
        <v>10</v>
      </c>
      <c r="T2434" t="str" cm="1">
        <f t="array" ref="T2434">_xlfn.IFS(AND(N2434&lt;= 22, S2434=9), "SOWING",AND(N2434&lt;= 28, S2434=9), "COVERAGE",AND(N2434&lt;= 30, S2434=9), "FLUSH",AND(N2434&lt;= 11, S2434=10), "FLUSH",AND(N2434&lt;= 21, S2434=10), "PRODUCTION")</f>
        <v>FLUSH</v>
      </c>
      <c r="U2434">
        <f>HOUR(datos_siembra[[#This Row],[Hour]])</f>
        <v>16</v>
      </c>
      <c r="V2434" cm="1">
        <f t="array" ref="V2434">_xlfn.IFS(AND(N2434&lt;= 22, S2434=9), N2434-7,AND(N2434&lt;= 28, S2434=9), N2434-25,AND(N2434&lt;= 30, S2434=9), N2434-28,AND(N2434&lt;= 11, S2434=10), N2434+2,AND(N2434&lt;= 21, S2434=10), N2434-11)</f>
        <v>5</v>
      </c>
    </row>
    <row r="2435" spans="1:22" x14ac:dyDescent="0.35">
      <c r="A2435" s="4">
        <v>45568</v>
      </c>
      <c r="B2435" s="5">
        <v>0.69747685185185182</v>
      </c>
      <c r="C2435">
        <v>69.400000000000006</v>
      </c>
      <c r="D2435">
        <v>68.900000000000006</v>
      </c>
      <c r="E2435">
        <v>67.7</v>
      </c>
      <c r="F2435">
        <v>65.8</v>
      </c>
      <c r="G2435">
        <v>0</v>
      </c>
      <c r="H2435">
        <v>0</v>
      </c>
      <c r="I2435">
        <v>0</v>
      </c>
      <c r="J2435">
        <v>0</v>
      </c>
      <c r="K2435">
        <v>60</v>
      </c>
      <c r="L2435">
        <v>60.7</v>
      </c>
      <c r="M2435">
        <v>67.89</v>
      </c>
      <c r="N2435">
        <v>3</v>
      </c>
      <c r="O2435">
        <v>2</v>
      </c>
      <c r="P2435">
        <f>MOD(DAY(datos_siembra[[#This Row],[Date]]),7)</f>
        <v>3</v>
      </c>
      <c r="Q2435" t="str">
        <f>CHOOSE(WEEKDAY(datos_siembra[[#This Row],[Date]],2),"L","M","X","J","V","S","D")</f>
        <v>J</v>
      </c>
      <c r="R2435">
        <f>WEEKNUM(datos_siembra[[#This Row],[Date]],2)-WEEKNUM(DATE(YEAR(datos_siembra[[#This Row],[Date]]),MONTH(datos_siembra[[#This Row],[Date]]),1))+1</f>
        <v>1</v>
      </c>
      <c r="S2435">
        <f>MONTH(datos_siembra[[#This Row],[Date]])</f>
        <v>10</v>
      </c>
      <c r="T2435" t="str" cm="1">
        <f t="array" ref="T2435">_xlfn.IFS(AND(N2435&lt;= 22, S2435=9), "SOWING",AND(N2435&lt;= 28, S2435=9), "COVERAGE",AND(N2435&lt;= 30, S2435=9), "FLUSH",AND(N2435&lt;= 11, S2435=10), "FLUSH",AND(N2435&lt;= 21, S2435=10), "PRODUCTION")</f>
        <v>FLUSH</v>
      </c>
      <c r="U2435">
        <f>HOUR(datos_siembra[[#This Row],[Hour]])</f>
        <v>16</v>
      </c>
      <c r="V2435" cm="1">
        <f t="array" ref="V2435">_xlfn.IFS(AND(N2435&lt;= 22, S2435=9), N2435-7,AND(N2435&lt;= 28, S2435=9), N2435-25,AND(N2435&lt;= 30, S2435=9), N2435-28,AND(N2435&lt;= 11, S2435=10), N2435+2,AND(N2435&lt;= 21, S2435=10), N2435-11)</f>
        <v>5</v>
      </c>
    </row>
    <row r="2436" spans="1:22" x14ac:dyDescent="0.35">
      <c r="A2436" s="4">
        <v>45568</v>
      </c>
      <c r="B2436" s="5">
        <v>0.70443287037037039</v>
      </c>
      <c r="C2436">
        <v>69.400000000000006</v>
      </c>
      <c r="D2436">
        <v>68.8</v>
      </c>
      <c r="E2436">
        <v>67.7</v>
      </c>
      <c r="F2436">
        <v>66</v>
      </c>
      <c r="G2436">
        <v>0</v>
      </c>
      <c r="H2436">
        <v>0</v>
      </c>
      <c r="I2436">
        <v>0</v>
      </c>
      <c r="J2436">
        <v>0</v>
      </c>
      <c r="K2436">
        <v>59.7</v>
      </c>
      <c r="L2436">
        <v>60.6</v>
      </c>
      <c r="M2436">
        <v>67.92</v>
      </c>
      <c r="N2436">
        <v>3</v>
      </c>
      <c r="O2436">
        <v>2</v>
      </c>
      <c r="P2436">
        <f>MOD(DAY(datos_siembra[[#This Row],[Date]]),7)</f>
        <v>3</v>
      </c>
      <c r="Q2436" t="str">
        <f>CHOOSE(WEEKDAY(datos_siembra[[#This Row],[Date]],2),"L","M","X","J","V","S","D")</f>
        <v>J</v>
      </c>
      <c r="R2436">
        <f>WEEKNUM(datos_siembra[[#This Row],[Date]],2)-WEEKNUM(DATE(YEAR(datos_siembra[[#This Row],[Date]]),MONTH(datos_siembra[[#This Row],[Date]]),1))+1</f>
        <v>1</v>
      </c>
      <c r="S2436">
        <f>MONTH(datos_siembra[[#This Row],[Date]])</f>
        <v>10</v>
      </c>
      <c r="T2436" t="str" cm="1">
        <f t="array" ref="T2436">_xlfn.IFS(AND(N2436&lt;= 22, S2436=9), "SOWING",AND(N2436&lt;= 28, S2436=9), "COVERAGE",AND(N2436&lt;= 30, S2436=9), "FLUSH",AND(N2436&lt;= 11, S2436=10), "FLUSH",AND(N2436&lt;= 21, S2436=10), "PRODUCTION")</f>
        <v>FLUSH</v>
      </c>
      <c r="U2436">
        <f>HOUR(datos_siembra[[#This Row],[Hour]])</f>
        <v>16</v>
      </c>
      <c r="V2436" cm="1">
        <f t="array" ref="V2436">_xlfn.IFS(AND(N2436&lt;= 22, S2436=9), N2436-7,AND(N2436&lt;= 28, S2436=9), N2436-25,AND(N2436&lt;= 30, S2436=9), N2436-28,AND(N2436&lt;= 11, S2436=10), N2436+2,AND(N2436&lt;= 21, S2436=10), N2436-11)</f>
        <v>5</v>
      </c>
    </row>
    <row r="2437" spans="1:22" x14ac:dyDescent="0.35">
      <c r="A2437" s="4">
        <v>45568</v>
      </c>
      <c r="B2437" s="5">
        <v>0.71137731481481481</v>
      </c>
      <c r="C2437">
        <v>69.2</v>
      </c>
      <c r="D2437">
        <v>68.8</v>
      </c>
      <c r="E2437">
        <v>67.599999999999994</v>
      </c>
      <c r="F2437">
        <v>65.599999999999994</v>
      </c>
      <c r="G2437">
        <v>0</v>
      </c>
      <c r="H2437">
        <v>0</v>
      </c>
      <c r="I2437">
        <v>0</v>
      </c>
      <c r="J2437">
        <v>0</v>
      </c>
      <c r="K2437">
        <v>59.6</v>
      </c>
      <c r="L2437">
        <v>60.1</v>
      </c>
      <c r="M2437">
        <v>67.8</v>
      </c>
      <c r="N2437">
        <v>3</v>
      </c>
      <c r="O2437">
        <v>2</v>
      </c>
      <c r="P2437">
        <f>MOD(DAY(datos_siembra[[#This Row],[Date]]),7)</f>
        <v>3</v>
      </c>
      <c r="Q2437" t="str">
        <f>CHOOSE(WEEKDAY(datos_siembra[[#This Row],[Date]],2),"L","M","X","J","V","S","D")</f>
        <v>J</v>
      </c>
      <c r="R2437">
        <f>WEEKNUM(datos_siembra[[#This Row],[Date]],2)-WEEKNUM(DATE(YEAR(datos_siembra[[#This Row],[Date]]),MONTH(datos_siembra[[#This Row],[Date]]),1))+1</f>
        <v>1</v>
      </c>
      <c r="S2437">
        <f>MONTH(datos_siembra[[#This Row],[Date]])</f>
        <v>10</v>
      </c>
      <c r="T2437" t="str" cm="1">
        <f t="array" ref="T2437">_xlfn.IFS(AND(N2437&lt;= 22, S2437=9), "SOWING",AND(N2437&lt;= 28, S2437=9), "COVERAGE",AND(N2437&lt;= 30, S2437=9), "FLUSH",AND(N2437&lt;= 11, S2437=10), "FLUSH",AND(N2437&lt;= 21, S2437=10), "PRODUCTION")</f>
        <v>FLUSH</v>
      </c>
      <c r="U2437">
        <f>HOUR(datos_siembra[[#This Row],[Hour]])</f>
        <v>17</v>
      </c>
      <c r="V2437" cm="1">
        <f t="array" ref="V2437">_xlfn.IFS(AND(N2437&lt;= 22, S2437=9), N2437-7,AND(N2437&lt;= 28, S2437=9), N2437-25,AND(N2437&lt;= 30, S2437=9), N2437-28,AND(N2437&lt;= 11, S2437=10), N2437+2,AND(N2437&lt;= 21, S2437=10), N2437-11)</f>
        <v>5</v>
      </c>
    </row>
    <row r="2438" spans="1:22" x14ac:dyDescent="0.35">
      <c r="A2438" s="4">
        <v>45568</v>
      </c>
      <c r="B2438" s="5">
        <v>0.71832175925925923</v>
      </c>
      <c r="C2438">
        <v>69.400000000000006</v>
      </c>
      <c r="D2438">
        <v>68.8</v>
      </c>
      <c r="E2438">
        <v>67.599999999999994</v>
      </c>
      <c r="F2438">
        <v>65.8</v>
      </c>
      <c r="G2438">
        <v>0</v>
      </c>
      <c r="H2438">
        <v>0</v>
      </c>
      <c r="I2438">
        <v>0</v>
      </c>
      <c r="J2438">
        <v>0</v>
      </c>
      <c r="K2438">
        <v>59.4</v>
      </c>
      <c r="L2438">
        <v>60.1</v>
      </c>
      <c r="M2438">
        <v>67.8</v>
      </c>
      <c r="N2438">
        <v>3</v>
      </c>
      <c r="O2438">
        <v>2</v>
      </c>
      <c r="P2438">
        <f>MOD(DAY(datos_siembra[[#This Row],[Date]]),7)</f>
        <v>3</v>
      </c>
      <c r="Q2438" t="str">
        <f>CHOOSE(WEEKDAY(datos_siembra[[#This Row],[Date]],2),"L","M","X","J","V","S","D")</f>
        <v>J</v>
      </c>
      <c r="R2438">
        <f>WEEKNUM(datos_siembra[[#This Row],[Date]],2)-WEEKNUM(DATE(YEAR(datos_siembra[[#This Row],[Date]]),MONTH(datos_siembra[[#This Row],[Date]]),1))+1</f>
        <v>1</v>
      </c>
      <c r="S2438">
        <f>MONTH(datos_siembra[[#This Row],[Date]])</f>
        <v>10</v>
      </c>
      <c r="T2438" t="str" cm="1">
        <f t="array" ref="T2438">_xlfn.IFS(AND(N2438&lt;= 22, S2438=9), "SOWING",AND(N2438&lt;= 28, S2438=9), "COVERAGE",AND(N2438&lt;= 30, S2438=9), "FLUSH",AND(N2438&lt;= 11, S2438=10), "FLUSH",AND(N2438&lt;= 21, S2438=10), "PRODUCTION")</f>
        <v>FLUSH</v>
      </c>
      <c r="U2438">
        <f>HOUR(datos_siembra[[#This Row],[Hour]])</f>
        <v>17</v>
      </c>
      <c r="V2438" cm="1">
        <f t="array" ref="V2438">_xlfn.IFS(AND(N2438&lt;= 22, S2438=9), N2438-7,AND(N2438&lt;= 28, S2438=9), N2438-25,AND(N2438&lt;= 30, S2438=9), N2438-28,AND(N2438&lt;= 11, S2438=10), N2438+2,AND(N2438&lt;= 21, S2438=10), N2438-11)</f>
        <v>5</v>
      </c>
    </row>
    <row r="2439" spans="1:22" x14ac:dyDescent="0.35">
      <c r="A2439" s="4">
        <v>45568</v>
      </c>
      <c r="B2439" s="5">
        <v>0.72526620370370365</v>
      </c>
      <c r="C2439">
        <v>69.2</v>
      </c>
      <c r="D2439">
        <v>68.7</v>
      </c>
      <c r="E2439">
        <v>67.7</v>
      </c>
      <c r="F2439">
        <v>65.599999999999994</v>
      </c>
      <c r="G2439">
        <v>0</v>
      </c>
      <c r="H2439">
        <v>0</v>
      </c>
      <c r="I2439">
        <v>0</v>
      </c>
      <c r="J2439">
        <v>0</v>
      </c>
      <c r="K2439">
        <v>59.3</v>
      </c>
      <c r="L2439">
        <v>60</v>
      </c>
      <c r="M2439">
        <v>67.77</v>
      </c>
      <c r="N2439">
        <v>3</v>
      </c>
      <c r="O2439">
        <v>2</v>
      </c>
      <c r="P2439">
        <f>MOD(DAY(datos_siembra[[#This Row],[Date]]),7)</f>
        <v>3</v>
      </c>
      <c r="Q2439" t="str">
        <f>CHOOSE(WEEKDAY(datos_siembra[[#This Row],[Date]],2),"L","M","X","J","V","S","D")</f>
        <v>J</v>
      </c>
      <c r="R2439">
        <f>WEEKNUM(datos_siembra[[#This Row],[Date]],2)-WEEKNUM(DATE(YEAR(datos_siembra[[#This Row],[Date]]),MONTH(datos_siembra[[#This Row],[Date]]),1))+1</f>
        <v>1</v>
      </c>
      <c r="S2439">
        <f>MONTH(datos_siembra[[#This Row],[Date]])</f>
        <v>10</v>
      </c>
      <c r="T2439" t="str" cm="1">
        <f t="array" ref="T2439">_xlfn.IFS(AND(N2439&lt;= 22, S2439=9), "SOWING",AND(N2439&lt;= 28, S2439=9), "COVERAGE",AND(N2439&lt;= 30, S2439=9), "FLUSH",AND(N2439&lt;= 11, S2439=10), "FLUSH",AND(N2439&lt;= 21, S2439=10), "PRODUCTION")</f>
        <v>FLUSH</v>
      </c>
      <c r="U2439">
        <f>HOUR(datos_siembra[[#This Row],[Hour]])</f>
        <v>17</v>
      </c>
      <c r="V2439" cm="1">
        <f t="array" ref="V2439">_xlfn.IFS(AND(N2439&lt;= 22, S2439=9), N2439-7,AND(N2439&lt;= 28, S2439=9), N2439-25,AND(N2439&lt;= 30, S2439=9), N2439-28,AND(N2439&lt;= 11, S2439=10), N2439+2,AND(N2439&lt;= 21, S2439=10), N2439-11)</f>
        <v>5</v>
      </c>
    </row>
    <row r="2440" spans="1:22" x14ac:dyDescent="0.35">
      <c r="A2440" s="4">
        <v>45568</v>
      </c>
      <c r="B2440" s="5">
        <v>0.73222222222222222</v>
      </c>
      <c r="C2440">
        <v>69.2</v>
      </c>
      <c r="D2440">
        <v>68.8</v>
      </c>
      <c r="E2440">
        <v>67.7</v>
      </c>
      <c r="F2440">
        <v>65.8</v>
      </c>
      <c r="G2440">
        <v>0</v>
      </c>
      <c r="H2440">
        <v>0</v>
      </c>
      <c r="I2440">
        <v>0</v>
      </c>
      <c r="J2440">
        <v>0</v>
      </c>
      <c r="K2440">
        <v>59.3</v>
      </c>
      <c r="L2440">
        <v>60</v>
      </c>
      <c r="M2440">
        <v>67.83</v>
      </c>
      <c r="N2440">
        <v>3</v>
      </c>
      <c r="O2440">
        <v>2</v>
      </c>
      <c r="P2440">
        <f>MOD(DAY(datos_siembra[[#This Row],[Date]]),7)</f>
        <v>3</v>
      </c>
      <c r="Q2440" t="str">
        <f>CHOOSE(WEEKDAY(datos_siembra[[#This Row],[Date]],2),"L","M","X","J","V","S","D")</f>
        <v>J</v>
      </c>
      <c r="R2440">
        <f>WEEKNUM(datos_siembra[[#This Row],[Date]],2)-WEEKNUM(DATE(YEAR(datos_siembra[[#This Row],[Date]]),MONTH(datos_siembra[[#This Row],[Date]]),1))+1</f>
        <v>1</v>
      </c>
      <c r="S2440">
        <f>MONTH(datos_siembra[[#This Row],[Date]])</f>
        <v>10</v>
      </c>
      <c r="T2440" t="str" cm="1">
        <f t="array" ref="T2440">_xlfn.IFS(AND(N2440&lt;= 22, S2440=9), "SOWING",AND(N2440&lt;= 28, S2440=9), "COVERAGE",AND(N2440&lt;= 30, S2440=9), "FLUSH",AND(N2440&lt;= 11, S2440=10), "FLUSH",AND(N2440&lt;= 21, S2440=10), "PRODUCTION")</f>
        <v>FLUSH</v>
      </c>
      <c r="U2440">
        <f>HOUR(datos_siembra[[#This Row],[Hour]])</f>
        <v>17</v>
      </c>
      <c r="V2440" cm="1">
        <f t="array" ref="V2440">_xlfn.IFS(AND(N2440&lt;= 22, S2440=9), N2440-7,AND(N2440&lt;= 28, S2440=9), N2440-25,AND(N2440&lt;= 30, S2440=9), N2440-28,AND(N2440&lt;= 11, S2440=10), N2440+2,AND(N2440&lt;= 21, S2440=10), N2440-11)</f>
        <v>5</v>
      </c>
    </row>
    <row r="2441" spans="1:22" x14ac:dyDescent="0.35">
      <c r="A2441" s="4">
        <v>45568</v>
      </c>
      <c r="B2441" s="5">
        <v>0.73916666666666664</v>
      </c>
      <c r="C2441">
        <v>69.400000000000006</v>
      </c>
      <c r="D2441">
        <v>68.599999999999994</v>
      </c>
      <c r="E2441">
        <v>67.599999999999994</v>
      </c>
      <c r="F2441">
        <v>65.599999999999994</v>
      </c>
      <c r="G2441">
        <v>0</v>
      </c>
      <c r="H2441">
        <v>0</v>
      </c>
      <c r="I2441">
        <v>0</v>
      </c>
      <c r="J2441">
        <v>0</v>
      </c>
      <c r="K2441">
        <v>59.1</v>
      </c>
      <c r="L2441">
        <v>60</v>
      </c>
      <c r="M2441">
        <v>67.69</v>
      </c>
      <c r="N2441">
        <v>3</v>
      </c>
      <c r="O2441">
        <v>2</v>
      </c>
      <c r="P2441">
        <f>MOD(DAY(datos_siembra[[#This Row],[Date]]),7)</f>
        <v>3</v>
      </c>
      <c r="Q2441" t="str">
        <f>CHOOSE(WEEKDAY(datos_siembra[[#This Row],[Date]],2),"L","M","X","J","V","S","D")</f>
        <v>J</v>
      </c>
      <c r="R2441">
        <f>WEEKNUM(datos_siembra[[#This Row],[Date]],2)-WEEKNUM(DATE(YEAR(datos_siembra[[#This Row],[Date]]),MONTH(datos_siembra[[#This Row],[Date]]),1))+1</f>
        <v>1</v>
      </c>
      <c r="S2441">
        <f>MONTH(datos_siembra[[#This Row],[Date]])</f>
        <v>10</v>
      </c>
      <c r="T2441" t="str" cm="1">
        <f t="array" ref="T2441">_xlfn.IFS(AND(N2441&lt;= 22, S2441=9), "SOWING",AND(N2441&lt;= 28, S2441=9), "COVERAGE",AND(N2441&lt;= 30, S2441=9), "FLUSH",AND(N2441&lt;= 11, S2441=10), "FLUSH",AND(N2441&lt;= 21, S2441=10), "PRODUCTION")</f>
        <v>FLUSH</v>
      </c>
      <c r="U2441">
        <f>HOUR(datos_siembra[[#This Row],[Hour]])</f>
        <v>17</v>
      </c>
      <c r="V2441" cm="1">
        <f t="array" ref="V2441">_xlfn.IFS(AND(N2441&lt;= 22, S2441=9), N2441-7,AND(N2441&lt;= 28, S2441=9), N2441-25,AND(N2441&lt;= 30, S2441=9), N2441-28,AND(N2441&lt;= 11, S2441=10), N2441+2,AND(N2441&lt;= 21, S2441=10), N2441-11)</f>
        <v>5</v>
      </c>
    </row>
    <row r="2442" spans="1:22" x14ac:dyDescent="0.35">
      <c r="A2442" s="4">
        <v>45568</v>
      </c>
      <c r="B2442" s="5">
        <v>0.74611111111111106</v>
      </c>
      <c r="C2442">
        <v>69.2</v>
      </c>
      <c r="D2442">
        <v>68.599999999999994</v>
      </c>
      <c r="E2442">
        <v>67.400000000000006</v>
      </c>
      <c r="F2442">
        <v>65.599999999999994</v>
      </c>
      <c r="G2442">
        <v>0</v>
      </c>
      <c r="H2442">
        <v>0</v>
      </c>
      <c r="I2442">
        <v>0</v>
      </c>
      <c r="J2442">
        <v>0</v>
      </c>
      <c r="K2442">
        <v>58.9</v>
      </c>
      <c r="L2442">
        <v>59.8</v>
      </c>
      <c r="M2442">
        <v>67.72</v>
      </c>
      <c r="N2442">
        <v>3</v>
      </c>
      <c r="O2442">
        <v>2</v>
      </c>
      <c r="P2442">
        <f>MOD(DAY(datos_siembra[[#This Row],[Date]]),7)</f>
        <v>3</v>
      </c>
      <c r="Q2442" t="str">
        <f>CHOOSE(WEEKDAY(datos_siembra[[#This Row],[Date]],2),"L","M","X","J","V","S","D")</f>
        <v>J</v>
      </c>
      <c r="R2442">
        <f>WEEKNUM(datos_siembra[[#This Row],[Date]],2)-WEEKNUM(DATE(YEAR(datos_siembra[[#This Row],[Date]]),MONTH(datos_siembra[[#This Row],[Date]]),1))+1</f>
        <v>1</v>
      </c>
      <c r="S2442">
        <f>MONTH(datos_siembra[[#This Row],[Date]])</f>
        <v>10</v>
      </c>
      <c r="T2442" t="str" cm="1">
        <f t="array" ref="T2442">_xlfn.IFS(AND(N2442&lt;= 22, S2442=9), "SOWING",AND(N2442&lt;= 28, S2442=9), "COVERAGE",AND(N2442&lt;= 30, S2442=9), "FLUSH",AND(N2442&lt;= 11, S2442=10), "FLUSH",AND(N2442&lt;= 21, S2442=10), "PRODUCTION")</f>
        <v>FLUSH</v>
      </c>
      <c r="U2442">
        <f>HOUR(datos_siembra[[#This Row],[Hour]])</f>
        <v>17</v>
      </c>
      <c r="V2442" cm="1">
        <f t="array" ref="V2442">_xlfn.IFS(AND(N2442&lt;= 22, S2442=9), N2442-7,AND(N2442&lt;= 28, S2442=9), N2442-25,AND(N2442&lt;= 30, S2442=9), N2442-28,AND(N2442&lt;= 11, S2442=10), N2442+2,AND(N2442&lt;= 21, S2442=10), N2442-11)</f>
        <v>5</v>
      </c>
    </row>
    <row r="2443" spans="1:22" x14ac:dyDescent="0.35">
      <c r="A2443" s="4">
        <v>45568</v>
      </c>
      <c r="B2443" s="5">
        <v>0.75306712962962963</v>
      </c>
      <c r="C2443">
        <v>69.099999999999994</v>
      </c>
      <c r="D2443">
        <v>68.7</v>
      </c>
      <c r="E2443">
        <v>67.400000000000006</v>
      </c>
      <c r="F2443">
        <v>65.400000000000006</v>
      </c>
      <c r="G2443">
        <v>0</v>
      </c>
      <c r="H2443">
        <v>0</v>
      </c>
      <c r="I2443">
        <v>0</v>
      </c>
      <c r="J2443">
        <v>0</v>
      </c>
      <c r="K2443">
        <v>58.9</v>
      </c>
      <c r="L2443">
        <v>59.9</v>
      </c>
      <c r="M2443">
        <v>67.77</v>
      </c>
      <c r="N2443">
        <v>3</v>
      </c>
      <c r="O2443">
        <v>2</v>
      </c>
      <c r="P2443">
        <f>MOD(DAY(datos_siembra[[#This Row],[Date]]),7)</f>
        <v>3</v>
      </c>
      <c r="Q2443" t="str">
        <f>CHOOSE(WEEKDAY(datos_siembra[[#This Row],[Date]],2),"L","M","X","J","V","S","D")</f>
        <v>J</v>
      </c>
      <c r="R2443">
        <f>WEEKNUM(datos_siembra[[#This Row],[Date]],2)-WEEKNUM(DATE(YEAR(datos_siembra[[#This Row],[Date]]),MONTH(datos_siembra[[#This Row],[Date]]),1))+1</f>
        <v>1</v>
      </c>
      <c r="S2443">
        <f>MONTH(datos_siembra[[#This Row],[Date]])</f>
        <v>10</v>
      </c>
      <c r="T2443" t="str" cm="1">
        <f t="array" ref="T2443">_xlfn.IFS(AND(N2443&lt;= 22, S2443=9), "SOWING",AND(N2443&lt;= 28, S2443=9), "COVERAGE",AND(N2443&lt;= 30, S2443=9), "FLUSH",AND(N2443&lt;= 11, S2443=10), "FLUSH",AND(N2443&lt;= 21, S2443=10), "PRODUCTION")</f>
        <v>FLUSH</v>
      </c>
      <c r="U2443">
        <f>HOUR(datos_siembra[[#This Row],[Hour]])</f>
        <v>18</v>
      </c>
      <c r="V2443" cm="1">
        <f t="array" ref="V2443">_xlfn.IFS(AND(N2443&lt;= 22, S2443=9), N2443-7,AND(N2443&lt;= 28, S2443=9), N2443-25,AND(N2443&lt;= 30, S2443=9), N2443-28,AND(N2443&lt;= 11, S2443=10), N2443+2,AND(N2443&lt;= 21, S2443=10), N2443-11)</f>
        <v>5</v>
      </c>
    </row>
    <row r="2444" spans="1:22" x14ac:dyDescent="0.35">
      <c r="A2444" s="4">
        <v>45568</v>
      </c>
      <c r="B2444" s="5">
        <v>0.76001157407407405</v>
      </c>
      <c r="C2444">
        <v>69.2</v>
      </c>
      <c r="D2444">
        <v>68.599999999999994</v>
      </c>
      <c r="E2444">
        <v>67.3</v>
      </c>
      <c r="F2444">
        <v>65.8</v>
      </c>
      <c r="G2444">
        <v>0</v>
      </c>
      <c r="H2444">
        <v>0</v>
      </c>
      <c r="I2444">
        <v>0</v>
      </c>
      <c r="J2444">
        <v>0</v>
      </c>
      <c r="K2444">
        <v>59</v>
      </c>
      <c r="L2444">
        <v>60</v>
      </c>
      <c r="M2444">
        <v>67.72</v>
      </c>
      <c r="N2444">
        <v>3</v>
      </c>
      <c r="O2444">
        <v>2</v>
      </c>
      <c r="P2444">
        <f>MOD(DAY(datos_siembra[[#This Row],[Date]]),7)</f>
        <v>3</v>
      </c>
      <c r="Q2444" t="str">
        <f>CHOOSE(WEEKDAY(datos_siembra[[#This Row],[Date]],2),"L","M","X","J","V","S","D")</f>
        <v>J</v>
      </c>
      <c r="R2444">
        <f>WEEKNUM(datos_siembra[[#This Row],[Date]],2)-WEEKNUM(DATE(YEAR(datos_siembra[[#This Row],[Date]]),MONTH(datos_siembra[[#This Row],[Date]]),1))+1</f>
        <v>1</v>
      </c>
      <c r="S2444">
        <f>MONTH(datos_siembra[[#This Row],[Date]])</f>
        <v>10</v>
      </c>
      <c r="T2444" t="str" cm="1">
        <f t="array" ref="T2444">_xlfn.IFS(AND(N2444&lt;= 22, S2444=9), "SOWING",AND(N2444&lt;= 28, S2444=9), "COVERAGE",AND(N2444&lt;= 30, S2444=9), "FLUSH",AND(N2444&lt;= 11, S2444=10), "FLUSH",AND(N2444&lt;= 21, S2444=10), "PRODUCTION")</f>
        <v>FLUSH</v>
      </c>
      <c r="U2444">
        <f>HOUR(datos_siembra[[#This Row],[Hour]])</f>
        <v>18</v>
      </c>
      <c r="V2444" cm="1">
        <f t="array" ref="V2444">_xlfn.IFS(AND(N2444&lt;= 22, S2444=9), N2444-7,AND(N2444&lt;= 28, S2444=9), N2444-25,AND(N2444&lt;= 30, S2444=9), N2444-28,AND(N2444&lt;= 11, S2444=10), N2444+2,AND(N2444&lt;= 21, S2444=10), N2444-11)</f>
        <v>5</v>
      </c>
    </row>
    <row r="2445" spans="1:22" x14ac:dyDescent="0.35">
      <c r="A2445" s="4">
        <v>45568</v>
      </c>
      <c r="B2445" s="5">
        <v>0.76695601851851847</v>
      </c>
      <c r="C2445">
        <v>69.2</v>
      </c>
      <c r="D2445">
        <v>68.599999999999994</v>
      </c>
      <c r="E2445">
        <v>67.400000000000006</v>
      </c>
      <c r="F2445">
        <v>65.599999999999994</v>
      </c>
      <c r="G2445">
        <v>0</v>
      </c>
      <c r="H2445">
        <v>0</v>
      </c>
      <c r="I2445">
        <v>0</v>
      </c>
      <c r="J2445">
        <v>0</v>
      </c>
      <c r="K2445">
        <v>59.9</v>
      </c>
      <c r="L2445">
        <v>60.9</v>
      </c>
      <c r="M2445">
        <v>67.58</v>
      </c>
      <c r="N2445">
        <v>3</v>
      </c>
      <c r="O2445">
        <v>2</v>
      </c>
      <c r="P2445">
        <f>MOD(DAY(datos_siembra[[#This Row],[Date]]),7)</f>
        <v>3</v>
      </c>
      <c r="Q2445" t="str">
        <f>CHOOSE(WEEKDAY(datos_siembra[[#This Row],[Date]],2),"L","M","X","J","V","S","D")</f>
        <v>J</v>
      </c>
      <c r="R2445">
        <f>WEEKNUM(datos_siembra[[#This Row],[Date]],2)-WEEKNUM(DATE(YEAR(datos_siembra[[#This Row],[Date]]),MONTH(datos_siembra[[#This Row],[Date]]),1))+1</f>
        <v>1</v>
      </c>
      <c r="S2445">
        <f>MONTH(datos_siembra[[#This Row],[Date]])</f>
        <v>10</v>
      </c>
      <c r="T2445" t="str" cm="1">
        <f t="array" ref="T2445">_xlfn.IFS(AND(N2445&lt;= 22, S2445=9), "SOWING",AND(N2445&lt;= 28, S2445=9), "COVERAGE",AND(N2445&lt;= 30, S2445=9), "FLUSH",AND(N2445&lt;= 11, S2445=10), "FLUSH",AND(N2445&lt;= 21, S2445=10), "PRODUCTION")</f>
        <v>FLUSH</v>
      </c>
      <c r="U2445">
        <f>HOUR(datos_siembra[[#This Row],[Hour]])</f>
        <v>18</v>
      </c>
      <c r="V2445" cm="1">
        <f t="array" ref="V2445">_xlfn.IFS(AND(N2445&lt;= 22, S2445=9), N2445-7,AND(N2445&lt;= 28, S2445=9), N2445-25,AND(N2445&lt;= 30, S2445=9), N2445-28,AND(N2445&lt;= 11, S2445=10), N2445+2,AND(N2445&lt;= 21, S2445=10), N2445-11)</f>
        <v>5</v>
      </c>
    </row>
    <row r="2446" spans="1:22" x14ac:dyDescent="0.35">
      <c r="A2446" s="4">
        <v>45568</v>
      </c>
      <c r="B2446" s="5">
        <v>0.773900462962963</v>
      </c>
      <c r="C2446">
        <v>69</v>
      </c>
      <c r="D2446">
        <v>68.599999999999994</v>
      </c>
      <c r="E2446">
        <v>67.400000000000006</v>
      </c>
      <c r="F2446">
        <v>65.400000000000006</v>
      </c>
      <c r="G2446">
        <v>0</v>
      </c>
      <c r="H2446">
        <v>0</v>
      </c>
      <c r="I2446">
        <v>0</v>
      </c>
      <c r="J2446">
        <v>0</v>
      </c>
      <c r="K2446">
        <v>60.2</v>
      </c>
      <c r="L2446">
        <v>61.2</v>
      </c>
      <c r="M2446">
        <v>67.63</v>
      </c>
      <c r="N2446">
        <v>3</v>
      </c>
      <c r="O2446">
        <v>2</v>
      </c>
      <c r="P2446">
        <f>MOD(DAY(datos_siembra[[#This Row],[Date]]),7)</f>
        <v>3</v>
      </c>
      <c r="Q2446" t="str">
        <f>CHOOSE(WEEKDAY(datos_siembra[[#This Row],[Date]],2),"L","M","X","J","V","S","D")</f>
        <v>J</v>
      </c>
      <c r="R2446">
        <f>WEEKNUM(datos_siembra[[#This Row],[Date]],2)-WEEKNUM(DATE(YEAR(datos_siembra[[#This Row],[Date]]),MONTH(datos_siembra[[#This Row],[Date]]),1))+1</f>
        <v>1</v>
      </c>
      <c r="S2446">
        <f>MONTH(datos_siembra[[#This Row],[Date]])</f>
        <v>10</v>
      </c>
      <c r="T2446" t="str" cm="1">
        <f t="array" ref="T2446">_xlfn.IFS(AND(N2446&lt;= 22, S2446=9), "SOWING",AND(N2446&lt;= 28, S2446=9), "COVERAGE",AND(N2446&lt;= 30, S2446=9), "FLUSH",AND(N2446&lt;= 11, S2446=10), "FLUSH",AND(N2446&lt;= 21, S2446=10), "PRODUCTION")</f>
        <v>FLUSH</v>
      </c>
      <c r="U2446">
        <f>HOUR(datos_siembra[[#This Row],[Hour]])</f>
        <v>18</v>
      </c>
      <c r="V2446" cm="1">
        <f t="array" ref="V2446">_xlfn.IFS(AND(N2446&lt;= 22, S2446=9), N2446-7,AND(N2446&lt;= 28, S2446=9), N2446-25,AND(N2446&lt;= 30, S2446=9), N2446-28,AND(N2446&lt;= 11, S2446=10), N2446+2,AND(N2446&lt;= 21, S2446=10), N2446-11)</f>
        <v>5</v>
      </c>
    </row>
    <row r="2447" spans="1:22" x14ac:dyDescent="0.35">
      <c r="A2447" s="4">
        <v>45568</v>
      </c>
      <c r="B2447" s="5">
        <v>0.78085648148148146</v>
      </c>
      <c r="C2447">
        <v>69</v>
      </c>
      <c r="D2447">
        <v>68.5</v>
      </c>
      <c r="E2447">
        <v>67.3</v>
      </c>
      <c r="F2447">
        <v>65.400000000000006</v>
      </c>
      <c r="G2447">
        <v>0</v>
      </c>
      <c r="H2447">
        <v>0</v>
      </c>
      <c r="I2447">
        <v>0</v>
      </c>
      <c r="J2447">
        <v>0</v>
      </c>
      <c r="K2447">
        <v>60.5</v>
      </c>
      <c r="L2447">
        <v>61.2</v>
      </c>
      <c r="M2447">
        <v>67.58</v>
      </c>
      <c r="N2447">
        <v>3</v>
      </c>
      <c r="O2447">
        <v>2</v>
      </c>
      <c r="P2447">
        <f>MOD(DAY(datos_siembra[[#This Row],[Date]]),7)</f>
        <v>3</v>
      </c>
      <c r="Q2447" t="str">
        <f>CHOOSE(WEEKDAY(datos_siembra[[#This Row],[Date]],2),"L","M","X","J","V","S","D")</f>
        <v>J</v>
      </c>
      <c r="R2447">
        <f>WEEKNUM(datos_siembra[[#This Row],[Date]],2)-WEEKNUM(DATE(YEAR(datos_siembra[[#This Row],[Date]]),MONTH(datos_siembra[[#This Row],[Date]]),1))+1</f>
        <v>1</v>
      </c>
      <c r="S2447">
        <f>MONTH(datos_siembra[[#This Row],[Date]])</f>
        <v>10</v>
      </c>
      <c r="T2447" t="str" cm="1">
        <f t="array" ref="T2447">_xlfn.IFS(AND(N2447&lt;= 22, S2447=9), "SOWING",AND(N2447&lt;= 28, S2447=9), "COVERAGE",AND(N2447&lt;= 30, S2447=9), "FLUSH",AND(N2447&lt;= 11, S2447=10), "FLUSH",AND(N2447&lt;= 21, S2447=10), "PRODUCTION")</f>
        <v>FLUSH</v>
      </c>
      <c r="U2447">
        <f>HOUR(datos_siembra[[#This Row],[Hour]])</f>
        <v>18</v>
      </c>
      <c r="V2447" cm="1">
        <f t="array" ref="V2447">_xlfn.IFS(AND(N2447&lt;= 22, S2447=9), N2447-7,AND(N2447&lt;= 28, S2447=9), N2447-25,AND(N2447&lt;= 30, S2447=9), N2447-28,AND(N2447&lt;= 11, S2447=10), N2447+2,AND(N2447&lt;= 21, S2447=10), N2447-11)</f>
        <v>5</v>
      </c>
    </row>
    <row r="2448" spans="1:22" x14ac:dyDescent="0.35">
      <c r="A2448" s="4">
        <v>45568</v>
      </c>
      <c r="B2448" s="5">
        <v>0.78780092592592588</v>
      </c>
      <c r="C2448">
        <v>69</v>
      </c>
      <c r="D2448">
        <v>68.7</v>
      </c>
      <c r="E2448">
        <v>67.2</v>
      </c>
      <c r="F2448">
        <v>65.3</v>
      </c>
      <c r="G2448">
        <v>0</v>
      </c>
      <c r="H2448">
        <v>0</v>
      </c>
      <c r="I2448">
        <v>0</v>
      </c>
      <c r="J2448">
        <v>0</v>
      </c>
      <c r="K2448">
        <v>60.6</v>
      </c>
      <c r="L2448">
        <v>61.4</v>
      </c>
      <c r="M2448">
        <v>67.58</v>
      </c>
      <c r="N2448">
        <v>3</v>
      </c>
      <c r="O2448">
        <v>2</v>
      </c>
      <c r="P2448">
        <f>MOD(DAY(datos_siembra[[#This Row],[Date]]),7)</f>
        <v>3</v>
      </c>
      <c r="Q2448" t="str">
        <f>CHOOSE(WEEKDAY(datos_siembra[[#This Row],[Date]],2),"L","M","X","J","V","S","D")</f>
        <v>J</v>
      </c>
      <c r="R2448">
        <f>WEEKNUM(datos_siembra[[#This Row],[Date]],2)-WEEKNUM(DATE(YEAR(datos_siembra[[#This Row],[Date]]),MONTH(datos_siembra[[#This Row],[Date]]),1))+1</f>
        <v>1</v>
      </c>
      <c r="S2448">
        <f>MONTH(datos_siembra[[#This Row],[Date]])</f>
        <v>10</v>
      </c>
      <c r="T2448" t="str" cm="1">
        <f t="array" ref="T2448">_xlfn.IFS(AND(N2448&lt;= 22, S2448=9), "SOWING",AND(N2448&lt;= 28, S2448=9), "COVERAGE",AND(N2448&lt;= 30, S2448=9), "FLUSH",AND(N2448&lt;= 11, S2448=10), "FLUSH",AND(N2448&lt;= 21, S2448=10), "PRODUCTION")</f>
        <v>FLUSH</v>
      </c>
      <c r="U2448">
        <f>HOUR(datos_siembra[[#This Row],[Hour]])</f>
        <v>18</v>
      </c>
      <c r="V2448" cm="1">
        <f t="array" ref="V2448">_xlfn.IFS(AND(N2448&lt;= 22, S2448=9), N2448-7,AND(N2448&lt;= 28, S2448=9), N2448-25,AND(N2448&lt;= 30, S2448=9), N2448-28,AND(N2448&lt;= 11, S2448=10), N2448+2,AND(N2448&lt;= 21, S2448=10), N2448-11)</f>
        <v>5</v>
      </c>
    </row>
    <row r="2449" spans="1:22" x14ac:dyDescent="0.35">
      <c r="A2449" s="4">
        <v>45568</v>
      </c>
      <c r="B2449" s="5">
        <v>0.79474537037037041</v>
      </c>
      <c r="C2449">
        <v>69</v>
      </c>
      <c r="D2449">
        <v>68.7</v>
      </c>
      <c r="E2449">
        <v>67.3</v>
      </c>
      <c r="F2449">
        <v>65.400000000000006</v>
      </c>
      <c r="G2449">
        <v>0</v>
      </c>
      <c r="H2449">
        <v>0</v>
      </c>
      <c r="I2449">
        <v>0</v>
      </c>
      <c r="J2449">
        <v>0</v>
      </c>
      <c r="K2449">
        <v>60.7</v>
      </c>
      <c r="L2449">
        <v>61.5</v>
      </c>
      <c r="M2449">
        <v>67.58</v>
      </c>
      <c r="N2449">
        <v>3</v>
      </c>
      <c r="O2449">
        <v>2</v>
      </c>
      <c r="P2449">
        <f>MOD(DAY(datos_siembra[[#This Row],[Date]]),7)</f>
        <v>3</v>
      </c>
      <c r="Q2449" t="str">
        <f>CHOOSE(WEEKDAY(datos_siembra[[#This Row],[Date]],2),"L","M","X","J","V","S","D")</f>
        <v>J</v>
      </c>
      <c r="R2449">
        <f>WEEKNUM(datos_siembra[[#This Row],[Date]],2)-WEEKNUM(DATE(YEAR(datos_siembra[[#This Row],[Date]]),MONTH(datos_siembra[[#This Row],[Date]]),1))+1</f>
        <v>1</v>
      </c>
      <c r="S2449">
        <f>MONTH(datos_siembra[[#This Row],[Date]])</f>
        <v>10</v>
      </c>
      <c r="T2449" t="str" cm="1">
        <f t="array" ref="T2449">_xlfn.IFS(AND(N2449&lt;= 22, S2449=9), "SOWING",AND(N2449&lt;= 28, S2449=9), "COVERAGE",AND(N2449&lt;= 30, S2449=9), "FLUSH",AND(N2449&lt;= 11, S2449=10), "FLUSH",AND(N2449&lt;= 21, S2449=10), "PRODUCTION")</f>
        <v>FLUSH</v>
      </c>
      <c r="U2449">
        <f>HOUR(datos_siembra[[#This Row],[Hour]])</f>
        <v>19</v>
      </c>
      <c r="V2449" cm="1">
        <f t="array" ref="V2449">_xlfn.IFS(AND(N2449&lt;= 22, S2449=9), N2449-7,AND(N2449&lt;= 28, S2449=9), N2449-25,AND(N2449&lt;= 30, S2449=9), N2449-28,AND(N2449&lt;= 11, S2449=10), N2449+2,AND(N2449&lt;= 21, S2449=10), N2449-11)</f>
        <v>5</v>
      </c>
    </row>
    <row r="2450" spans="1:22" x14ac:dyDescent="0.35">
      <c r="A2450" s="4">
        <v>45568</v>
      </c>
      <c r="B2450" s="5">
        <v>0.80170138888888887</v>
      </c>
      <c r="C2450">
        <v>69</v>
      </c>
      <c r="D2450">
        <v>68.5</v>
      </c>
      <c r="E2450">
        <v>67.2</v>
      </c>
      <c r="F2450">
        <v>65.599999999999994</v>
      </c>
      <c r="G2450">
        <v>0</v>
      </c>
      <c r="H2450">
        <v>0</v>
      </c>
      <c r="I2450">
        <v>0</v>
      </c>
      <c r="J2450">
        <v>0</v>
      </c>
      <c r="K2450">
        <v>60.7</v>
      </c>
      <c r="L2450">
        <v>61.5</v>
      </c>
      <c r="M2450">
        <v>67.58</v>
      </c>
      <c r="N2450">
        <v>3</v>
      </c>
      <c r="O2450">
        <v>2</v>
      </c>
      <c r="P2450">
        <f>MOD(DAY(datos_siembra[[#This Row],[Date]]),7)</f>
        <v>3</v>
      </c>
      <c r="Q2450" t="str">
        <f>CHOOSE(WEEKDAY(datos_siembra[[#This Row],[Date]],2),"L","M","X","J","V","S","D")</f>
        <v>J</v>
      </c>
      <c r="R2450">
        <f>WEEKNUM(datos_siembra[[#This Row],[Date]],2)-WEEKNUM(DATE(YEAR(datos_siembra[[#This Row],[Date]]),MONTH(datos_siembra[[#This Row],[Date]]),1))+1</f>
        <v>1</v>
      </c>
      <c r="S2450">
        <f>MONTH(datos_siembra[[#This Row],[Date]])</f>
        <v>10</v>
      </c>
      <c r="T2450" t="str" cm="1">
        <f t="array" ref="T2450">_xlfn.IFS(AND(N2450&lt;= 22, S2450=9), "SOWING",AND(N2450&lt;= 28, S2450=9), "COVERAGE",AND(N2450&lt;= 30, S2450=9), "FLUSH",AND(N2450&lt;= 11, S2450=10), "FLUSH",AND(N2450&lt;= 21, S2450=10), "PRODUCTION")</f>
        <v>FLUSH</v>
      </c>
      <c r="U2450">
        <f>HOUR(datos_siembra[[#This Row],[Hour]])</f>
        <v>19</v>
      </c>
      <c r="V2450" cm="1">
        <f t="array" ref="V2450">_xlfn.IFS(AND(N2450&lt;= 22, S2450=9), N2450-7,AND(N2450&lt;= 28, S2450=9), N2450-25,AND(N2450&lt;= 30, S2450=9), N2450-28,AND(N2450&lt;= 11, S2450=10), N2450+2,AND(N2450&lt;= 21, S2450=10), N2450-11)</f>
        <v>5</v>
      </c>
    </row>
    <row r="2451" spans="1:22" x14ac:dyDescent="0.35">
      <c r="A2451" s="4">
        <v>45568</v>
      </c>
      <c r="B2451" s="5">
        <v>0.80864583333333329</v>
      </c>
      <c r="C2451">
        <v>68.8</v>
      </c>
      <c r="D2451">
        <v>68.5</v>
      </c>
      <c r="E2451">
        <v>67.2</v>
      </c>
      <c r="F2451">
        <v>65.3</v>
      </c>
      <c r="G2451">
        <v>0</v>
      </c>
      <c r="H2451">
        <v>0</v>
      </c>
      <c r="I2451">
        <v>0</v>
      </c>
      <c r="J2451">
        <v>0</v>
      </c>
      <c r="K2451">
        <v>60.2</v>
      </c>
      <c r="L2451">
        <v>60.9</v>
      </c>
      <c r="M2451">
        <v>67.52</v>
      </c>
      <c r="N2451">
        <v>3</v>
      </c>
      <c r="O2451">
        <v>2</v>
      </c>
      <c r="P2451">
        <f>MOD(DAY(datos_siembra[[#This Row],[Date]]),7)</f>
        <v>3</v>
      </c>
      <c r="Q2451" t="str">
        <f>CHOOSE(WEEKDAY(datos_siembra[[#This Row],[Date]],2),"L","M","X","J","V","S","D")</f>
        <v>J</v>
      </c>
      <c r="R2451">
        <f>WEEKNUM(datos_siembra[[#This Row],[Date]],2)-WEEKNUM(DATE(YEAR(datos_siembra[[#This Row],[Date]]),MONTH(datos_siembra[[#This Row],[Date]]),1))+1</f>
        <v>1</v>
      </c>
      <c r="S2451">
        <f>MONTH(datos_siembra[[#This Row],[Date]])</f>
        <v>10</v>
      </c>
      <c r="T2451" t="str" cm="1">
        <f t="array" ref="T2451">_xlfn.IFS(AND(N2451&lt;= 22, S2451=9), "SOWING",AND(N2451&lt;= 28, S2451=9), "COVERAGE",AND(N2451&lt;= 30, S2451=9), "FLUSH",AND(N2451&lt;= 11, S2451=10), "FLUSH",AND(N2451&lt;= 21, S2451=10), "PRODUCTION")</f>
        <v>FLUSH</v>
      </c>
      <c r="U2451">
        <f>HOUR(datos_siembra[[#This Row],[Hour]])</f>
        <v>19</v>
      </c>
      <c r="V2451" cm="1">
        <f t="array" ref="V2451">_xlfn.IFS(AND(N2451&lt;= 22, S2451=9), N2451-7,AND(N2451&lt;= 28, S2451=9), N2451-25,AND(N2451&lt;= 30, S2451=9), N2451-28,AND(N2451&lt;= 11, S2451=10), N2451+2,AND(N2451&lt;= 21, S2451=10), N2451-11)</f>
        <v>5</v>
      </c>
    </row>
    <row r="2452" spans="1:22" x14ac:dyDescent="0.35">
      <c r="A2452" s="4">
        <v>45568</v>
      </c>
      <c r="B2452" s="5">
        <v>0.81559027777777782</v>
      </c>
      <c r="C2452">
        <v>69</v>
      </c>
      <c r="D2452">
        <v>68.5</v>
      </c>
      <c r="E2452">
        <v>67.3</v>
      </c>
      <c r="F2452">
        <v>65.400000000000006</v>
      </c>
      <c r="G2452">
        <v>0</v>
      </c>
      <c r="H2452">
        <v>0</v>
      </c>
      <c r="I2452">
        <v>0</v>
      </c>
      <c r="J2452">
        <v>0</v>
      </c>
      <c r="K2452">
        <v>59.4</v>
      </c>
      <c r="L2452">
        <v>60</v>
      </c>
      <c r="M2452">
        <v>67.52</v>
      </c>
      <c r="N2452">
        <v>3</v>
      </c>
      <c r="O2452">
        <v>2</v>
      </c>
      <c r="P2452">
        <f>MOD(DAY(datos_siembra[[#This Row],[Date]]),7)</f>
        <v>3</v>
      </c>
      <c r="Q2452" t="str">
        <f>CHOOSE(WEEKDAY(datos_siembra[[#This Row],[Date]],2),"L","M","X","J","V","S","D")</f>
        <v>J</v>
      </c>
      <c r="R2452">
        <f>WEEKNUM(datos_siembra[[#This Row],[Date]],2)-WEEKNUM(DATE(YEAR(datos_siembra[[#This Row],[Date]]),MONTH(datos_siembra[[#This Row],[Date]]),1))+1</f>
        <v>1</v>
      </c>
      <c r="S2452">
        <f>MONTH(datos_siembra[[#This Row],[Date]])</f>
        <v>10</v>
      </c>
      <c r="T2452" t="str" cm="1">
        <f t="array" ref="T2452">_xlfn.IFS(AND(N2452&lt;= 22, S2452=9), "SOWING",AND(N2452&lt;= 28, S2452=9), "COVERAGE",AND(N2452&lt;= 30, S2452=9), "FLUSH",AND(N2452&lt;= 11, S2452=10), "FLUSH",AND(N2452&lt;= 21, S2452=10), "PRODUCTION")</f>
        <v>FLUSH</v>
      </c>
      <c r="U2452">
        <f>HOUR(datos_siembra[[#This Row],[Hour]])</f>
        <v>19</v>
      </c>
      <c r="V2452" cm="1">
        <f t="array" ref="V2452">_xlfn.IFS(AND(N2452&lt;= 22, S2452=9), N2452-7,AND(N2452&lt;= 28, S2452=9), N2452-25,AND(N2452&lt;= 30, S2452=9), N2452-28,AND(N2452&lt;= 11, S2452=10), N2452+2,AND(N2452&lt;= 21, S2452=10), N2452-11)</f>
        <v>5</v>
      </c>
    </row>
    <row r="2453" spans="1:22" x14ac:dyDescent="0.35">
      <c r="A2453" s="4">
        <v>45568</v>
      </c>
      <c r="B2453" s="5">
        <v>0.82253472222222224</v>
      </c>
      <c r="C2453">
        <v>69</v>
      </c>
      <c r="D2453">
        <v>68.5</v>
      </c>
      <c r="E2453">
        <v>67.099999999999994</v>
      </c>
      <c r="F2453">
        <v>65.400000000000006</v>
      </c>
      <c r="G2453">
        <v>0</v>
      </c>
      <c r="H2453">
        <v>0</v>
      </c>
      <c r="I2453">
        <v>0</v>
      </c>
      <c r="J2453">
        <v>0</v>
      </c>
      <c r="K2453">
        <v>59.1</v>
      </c>
      <c r="L2453">
        <v>60.3</v>
      </c>
      <c r="M2453">
        <v>67.44</v>
      </c>
      <c r="N2453">
        <v>3</v>
      </c>
      <c r="O2453">
        <v>2</v>
      </c>
      <c r="P2453">
        <f>MOD(DAY(datos_siembra[[#This Row],[Date]]),7)</f>
        <v>3</v>
      </c>
      <c r="Q2453" t="str">
        <f>CHOOSE(WEEKDAY(datos_siembra[[#This Row],[Date]],2),"L","M","X","J","V","S","D")</f>
        <v>J</v>
      </c>
      <c r="R2453">
        <f>WEEKNUM(datos_siembra[[#This Row],[Date]],2)-WEEKNUM(DATE(YEAR(datos_siembra[[#This Row],[Date]]),MONTH(datos_siembra[[#This Row],[Date]]),1))+1</f>
        <v>1</v>
      </c>
      <c r="S2453">
        <f>MONTH(datos_siembra[[#This Row],[Date]])</f>
        <v>10</v>
      </c>
      <c r="T2453" t="str" cm="1">
        <f t="array" ref="T2453">_xlfn.IFS(AND(N2453&lt;= 22, S2453=9), "SOWING",AND(N2453&lt;= 28, S2453=9), "COVERAGE",AND(N2453&lt;= 30, S2453=9), "FLUSH",AND(N2453&lt;= 11, S2453=10), "FLUSH",AND(N2453&lt;= 21, S2453=10), "PRODUCTION")</f>
        <v>FLUSH</v>
      </c>
      <c r="U2453">
        <f>HOUR(datos_siembra[[#This Row],[Hour]])</f>
        <v>19</v>
      </c>
      <c r="V2453" cm="1">
        <f t="array" ref="V2453">_xlfn.IFS(AND(N2453&lt;= 22, S2453=9), N2453-7,AND(N2453&lt;= 28, S2453=9), N2453-25,AND(N2453&lt;= 30, S2453=9), N2453-28,AND(N2453&lt;= 11, S2453=10), N2453+2,AND(N2453&lt;= 21, S2453=10), N2453-11)</f>
        <v>5</v>
      </c>
    </row>
    <row r="2454" spans="1:22" x14ac:dyDescent="0.35">
      <c r="A2454" s="4">
        <v>45568</v>
      </c>
      <c r="B2454" s="5">
        <v>0.8294907407407407</v>
      </c>
      <c r="C2454">
        <v>69</v>
      </c>
      <c r="D2454">
        <v>68.5</v>
      </c>
      <c r="E2454">
        <v>67.099999999999994</v>
      </c>
      <c r="F2454">
        <v>65.400000000000006</v>
      </c>
      <c r="G2454">
        <v>0</v>
      </c>
      <c r="H2454">
        <v>0</v>
      </c>
      <c r="I2454">
        <v>0</v>
      </c>
      <c r="J2454">
        <v>0</v>
      </c>
      <c r="K2454">
        <v>58.9</v>
      </c>
      <c r="L2454">
        <v>60</v>
      </c>
      <c r="M2454">
        <v>67.489999999999995</v>
      </c>
      <c r="N2454">
        <v>3</v>
      </c>
      <c r="O2454">
        <v>2</v>
      </c>
      <c r="P2454">
        <f>MOD(DAY(datos_siembra[[#This Row],[Date]]),7)</f>
        <v>3</v>
      </c>
      <c r="Q2454" t="str">
        <f>CHOOSE(WEEKDAY(datos_siembra[[#This Row],[Date]],2),"L","M","X","J","V","S","D")</f>
        <v>J</v>
      </c>
      <c r="R2454">
        <f>WEEKNUM(datos_siembra[[#This Row],[Date]],2)-WEEKNUM(DATE(YEAR(datos_siembra[[#This Row],[Date]]),MONTH(datos_siembra[[#This Row],[Date]]),1))+1</f>
        <v>1</v>
      </c>
      <c r="S2454">
        <f>MONTH(datos_siembra[[#This Row],[Date]])</f>
        <v>10</v>
      </c>
      <c r="T2454" t="str" cm="1">
        <f t="array" ref="T2454">_xlfn.IFS(AND(N2454&lt;= 22, S2454=9), "SOWING",AND(N2454&lt;= 28, S2454=9), "COVERAGE",AND(N2454&lt;= 30, S2454=9), "FLUSH",AND(N2454&lt;= 11, S2454=10), "FLUSH",AND(N2454&lt;= 21, S2454=10), "PRODUCTION")</f>
        <v>FLUSH</v>
      </c>
      <c r="U2454">
        <f>HOUR(datos_siembra[[#This Row],[Hour]])</f>
        <v>19</v>
      </c>
      <c r="V2454" cm="1">
        <f t="array" ref="V2454">_xlfn.IFS(AND(N2454&lt;= 22, S2454=9), N2454-7,AND(N2454&lt;= 28, S2454=9), N2454-25,AND(N2454&lt;= 30, S2454=9), N2454-28,AND(N2454&lt;= 11, S2454=10), N2454+2,AND(N2454&lt;= 21, S2454=10), N2454-11)</f>
        <v>5</v>
      </c>
    </row>
    <row r="2455" spans="1:22" x14ac:dyDescent="0.35">
      <c r="A2455" s="4">
        <v>45568</v>
      </c>
      <c r="B2455" s="5">
        <v>0.83643518518518523</v>
      </c>
      <c r="C2455">
        <v>68.8</v>
      </c>
      <c r="D2455">
        <v>68.5</v>
      </c>
      <c r="E2455">
        <v>67.2</v>
      </c>
      <c r="F2455">
        <v>65.3</v>
      </c>
      <c r="G2455">
        <v>0</v>
      </c>
      <c r="H2455">
        <v>0</v>
      </c>
      <c r="I2455">
        <v>0</v>
      </c>
      <c r="J2455">
        <v>0</v>
      </c>
      <c r="K2455">
        <v>58.7</v>
      </c>
      <c r="L2455">
        <v>59.9</v>
      </c>
      <c r="M2455">
        <v>67.44</v>
      </c>
      <c r="N2455">
        <v>3</v>
      </c>
      <c r="O2455">
        <v>2</v>
      </c>
      <c r="P2455">
        <f>MOD(DAY(datos_siembra[[#This Row],[Date]]),7)</f>
        <v>3</v>
      </c>
      <c r="Q2455" t="str">
        <f>CHOOSE(WEEKDAY(datos_siembra[[#This Row],[Date]],2),"L","M","X","J","V","S","D")</f>
        <v>J</v>
      </c>
      <c r="R2455">
        <f>WEEKNUM(datos_siembra[[#This Row],[Date]],2)-WEEKNUM(DATE(YEAR(datos_siembra[[#This Row],[Date]]),MONTH(datos_siembra[[#This Row],[Date]]),1))+1</f>
        <v>1</v>
      </c>
      <c r="S2455">
        <f>MONTH(datos_siembra[[#This Row],[Date]])</f>
        <v>10</v>
      </c>
      <c r="T2455" t="str" cm="1">
        <f t="array" ref="T2455">_xlfn.IFS(AND(N2455&lt;= 22, S2455=9), "SOWING",AND(N2455&lt;= 28, S2455=9), "COVERAGE",AND(N2455&lt;= 30, S2455=9), "FLUSH",AND(N2455&lt;= 11, S2455=10), "FLUSH",AND(N2455&lt;= 21, S2455=10), "PRODUCTION")</f>
        <v>FLUSH</v>
      </c>
      <c r="U2455">
        <f>HOUR(datos_siembra[[#This Row],[Hour]])</f>
        <v>20</v>
      </c>
      <c r="V2455" cm="1">
        <f t="array" ref="V2455">_xlfn.IFS(AND(N2455&lt;= 22, S2455=9), N2455-7,AND(N2455&lt;= 28, S2455=9), N2455-25,AND(N2455&lt;= 30, S2455=9), N2455-28,AND(N2455&lt;= 11, S2455=10), N2455+2,AND(N2455&lt;= 21, S2455=10), N2455-11)</f>
        <v>5</v>
      </c>
    </row>
    <row r="2456" spans="1:22" x14ac:dyDescent="0.35">
      <c r="A2456" s="4">
        <v>45568</v>
      </c>
      <c r="B2456" s="5">
        <v>0.84337962962962965</v>
      </c>
      <c r="C2456">
        <v>68.8</v>
      </c>
      <c r="D2456">
        <v>68.5</v>
      </c>
      <c r="E2456">
        <v>67</v>
      </c>
      <c r="F2456">
        <v>65.400000000000006</v>
      </c>
      <c r="G2456">
        <v>0</v>
      </c>
      <c r="H2456">
        <v>0</v>
      </c>
      <c r="I2456">
        <v>0</v>
      </c>
      <c r="J2456">
        <v>0</v>
      </c>
      <c r="K2456">
        <v>58.7</v>
      </c>
      <c r="L2456">
        <v>59.9</v>
      </c>
      <c r="M2456">
        <v>67.489999999999995</v>
      </c>
      <c r="N2456">
        <v>3</v>
      </c>
      <c r="O2456">
        <v>2</v>
      </c>
      <c r="P2456">
        <f>MOD(DAY(datos_siembra[[#This Row],[Date]]),7)</f>
        <v>3</v>
      </c>
      <c r="Q2456" t="str">
        <f>CHOOSE(WEEKDAY(datos_siembra[[#This Row],[Date]],2),"L","M","X","J","V","S","D")</f>
        <v>J</v>
      </c>
      <c r="R2456">
        <f>WEEKNUM(datos_siembra[[#This Row],[Date]],2)-WEEKNUM(DATE(YEAR(datos_siembra[[#This Row],[Date]]),MONTH(datos_siembra[[#This Row],[Date]]),1))+1</f>
        <v>1</v>
      </c>
      <c r="S2456">
        <f>MONTH(datos_siembra[[#This Row],[Date]])</f>
        <v>10</v>
      </c>
      <c r="T2456" t="str" cm="1">
        <f t="array" ref="T2456">_xlfn.IFS(AND(N2456&lt;= 22, S2456=9), "SOWING",AND(N2456&lt;= 28, S2456=9), "COVERAGE",AND(N2456&lt;= 30, S2456=9), "FLUSH",AND(N2456&lt;= 11, S2456=10), "FLUSH",AND(N2456&lt;= 21, S2456=10), "PRODUCTION")</f>
        <v>FLUSH</v>
      </c>
      <c r="U2456">
        <f>HOUR(datos_siembra[[#This Row],[Hour]])</f>
        <v>20</v>
      </c>
      <c r="V2456" cm="1">
        <f t="array" ref="V2456">_xlfn.IFS(AND(N2456&lt;= 22, S2456=9), N2456-7,AND(N2456&lt;= 28, S2456=9), N2456-25,AND(N2456&lt;= 30, S2456=9), N2456-28,AND(N2456&lt;= 11, S2456=10), N2456+2,AND(N2456&lt;= 21, S2456=10), N2456-11)</f>
        <v>5</v>
      </c>
    </row>
    <row r="2457" spans="1:22" x14ac:dyDescent="0.35">
      <c r="A2457" s="4">
        <v>45568</v>
      </c>
      <c r="B2457" s="5">
        <v>0.85032407407407407</v>
      </c>
      <c r="C2457">
        <v>68.8</v>
      </c>
      <c r="D2457">
        <v>68.599999999999994</v>
      </c>
      <c r="E2457">
        <v>67.099999999999994</v>
      </c>
      <c r="F2457">
        <v>65.3</v>
      </c>
      <c r="G2457">
        <v>0</v>
      </c>
      <c r="H2457">
        <v>0</v>
      </c>
      <c r="I2457">
        <v>0</v>
      </c>
      <c r="J2457">
        <v>0</v>
      </c>
      <c r="K2457">
        <v>59.6</v>
      </c>
      <c r="L2457">
        <v>60.7</v>
      </c>
      <c r="M2457">
        <v>67.41</v>
      </c>
      <c r="N2457">
        <v>3</v>
      </c>
      <c r="O2457">
        <v>2</v>
      </c>
      <c r="P2457">
        <f>MOD(DAY(datos_siembra[[#This Row],[Date]]),7)</f>
        <v>3</v>
      </c>
      <c r="Q2457" t="str">
        <f>CHOOSE(WEEKDAY(datos_siembra[[#This Row],[Date]],2),"L","M","X","J","V","S","D")</f>
        <v>J</v>
      </c>
      <c r="R2457">
        <f>WEEKNUM(datos_siembra[[#This Row],[Date]],2)-WEEKNUM(DATE(YEAR(datos_siembra[[#This Row],[Date]]),MONTH(datos_siembra[[#This Row],[Date]]),1))+1</f>
        <v>1</v>
      </c>
      <c r="S2457">
        <f>MONTH(datos_siembra[[#This Row],[Date]])</f>
        <v>10</v>
      </c>
      <c r="T2457" t="str" cm="1">
        <f t="array" ref="T2457">_xlfn.IFS(AND(N2457&lt;= 22, S2457=9), "SOWING",AND(N2457&lt;= 28, S2457=9), "COVERAGE",AND(N2457&lt;= 30, S2457=9), "FLUSH",AND(N2457&lt;= 11, S2457=10), "FLUSH",AND(N2457&lt;= 21, S2457=10), "PRODUCTION")</f>
        <v>FLUSH</v>
      </c>
      <c r="U2457">
        <f>HOUR(datos_siembra[[#This Row],[Hour]])</f>
        <v>20</v>
      </c>
      <c r="V2457" cm="1">
        <f t="array" ref="V2457">_xlfn.IFS(AND(N2457&lt;= 22, S2457=9), N2457-7,AND(N2457&lt;= 28, S2457=9), N2457-25,AND(N2457&lt;= 30, S2457=9), N2457-28,AND(N2457&lt;= 11, S2457=10), N2457+2,AND(N2457&lt;= 21, S2457=10), N2457-11)</f>
        <v>5</v>
      </c>
    </row>
    <row r="2458" spans="1:22" x14ac:dyDescent="0.35">
      <c r="A2458" s="4">
        <v>45568</v>
      </c>
      <c r="B2458" s="5">
        <v>0.85728009259259264</v>
      </c>
      <c r="C2458">
        <v>68.8</v>
      </c>
      <c r="D2458">
        <v>68.3</v>
      </c>
      <c r="E2458">
        <v>67</v>
      </c>
      <c r="F2458">
        <v>65.2</v>
      </c>
      <c r="G2458">
        <v>0</v>
      </c>
      <c r="H2458">
        <v>0</v>
      </c>
      <c r="I2458">
        <v>0</v>
      </c>
      <c r="J2458">
        <v>0</v>
      </c>
      <c r="K2458">
        <v>60</v>
      </c>
      <c r="L2458">
        <v>61</v>
      </c>
      <c r="M2458">
        <v>67.3</v>
      </c>
      <c r="N2458">
        <v>3</v>
      </c>
      <c r="O2458">
        <v>2</v>
      </c>
      <c r="P2458">
        <f>MOD(DAY(datos_siembra[[#This Row],[Date]]),7)</f>
        <v>3</v>
      </c>
      <c r="Q2458" t="str">
        <f>CHOOSE(WEEKDAY(datos_siembra[[#This Row],[Date]],2),"L","M","X","J","V","S","D")</f>
        <v>J</v>
      </c>
      <c r="R2458">
        <f>WEEKNUM(datos_siembra[[#This Row],[Date]],2)-WEEKNUM(DATE(YEAR(datos_siembra[[#This Row],[Date]]),MONTH(datos_siembra[[#This Row],[Date]]),1))+1</f>
        <v>1</v>
      </c>
      <c r="S2458">
        <f>MONTH(datos_siembra[[#This Row],[Date]])</f>
        <v>10</v>
      </c>
      <c r="T2458" t="str" cm="1">
        <f t="array" ref="T2458">_xlfn.IFS(AND(N2458&lt;= 22, S2458=9), "SOWING",AND(N2458&lt;= 28, S2458=9), "COVERAGE",AND(N2458&lt;= 30, S2458=9), "FLUSH",AND(N2458&lt;= 11, S2458=10), "FLUSH",AND(N2458&lt;= 21, S2458=10), "PRODUCTION")</f>
        <v>FLUSH</v>
      </c>
      <c r="U2458">
        <f>HOUR(datos_siembra[[#This Row],[Hour]])</f>
        <v>20</v>
      </c>
      <c r="V2458" cm="1">
        <f t="array" ref="V2458">_xlfn.IFS(AND(N2458&lt;= 22, S2458=9), N2458-7,AND(N2458&lt;= 28, S2458=9), N2458-25,AND(N2458&lt;= 30, S2458=9), N2458-28,AND(N2458&lt;= 11, S2458=10), N2458+2,AND(N2458&lt;= 21, S2458=10), N2458-11)</f>
        <v>5</v>
      </c>
    </row>
    <row r="2459" spans="1:22" x14ac:dyDescent="0.35">
      <c r="A2459" s="4">
        <v>45568</v>
      </c>
      <c r="B2459" s="5">
        <v>0.86422453703703705</v>
      </c>
      <c r="C2459">
        <v>68.8</v>
      </c>
      <c r="D2459">
        <v>68.5</v>
      </c>
      <c r="E2459">
        <v>67</v>
      </c>
      <c r="F2459">
        <v>65.2</v>
      </c>
      <c r="G2459">
        <v>0</v>
      </c>
      <c r="H2459">
        <v>0</v>
      </c>
      <c r="I2459">
        <v>0</v>
      </c>
      <c r="J2459">
        <v>0</v>
      </c>
      <c r="K2459">
        <v>60.2</v>
      </c>
      <c r="L2459">
        <v>61.1</v>
      </c>
      <c r="M2459">
        <v>67.349999999999994</v>
      </c>
      <c r="N2459">
        <v>3</v>
      </c>
      <c r="O2459">
        <v>2</v>
      </c>
      <c r="P2459">
        <f>MOD(DAY(datos_siembra[[#This Row],[Date]]),7)</f>
        <v>3</v>
      </c>
      <c r="Q2459" t="str">
        <f>CHOOSE(WEEKDAY(datos_siembra[[#This Row],[Date]],2),"L","M","X","J","V","S","D")</f>
        <v>J</v>
      </c>
      <c r="R2459">
        <f>WEEKNUM(datos_siembra[[#This Row],[Date]],2)-WEEKNUM(DATE(YEAR(datos_siembra[[#This Row],[Date]]),MONTH(datos_siembra[[#This Row],[Date]]),1))+1</f>
        <v>1</v>
      </c>
      <c r="S2459">
        <f>MONTH(datos_siembra[[#This Row],[Date]])</f>
        <v>10</v>
      </c>
      <c r="T2459" t="str" cm="1">
        <f t="array" ref="T2459">_xlfn.IFS(AND(N2459&lt;= 22, S2459=9), "SOWING",AND(N2459&lt;= 28, S2459=9), "COVERAGE",AND(N2459&lt;= 30, S2459=9), "FLUSH",AND(N2459&lt;= 11, S2459=10), "FLUSH",AND(N2459&lt;= 21, S2459=10), "PRODUCTION")</f>
        <v>FLUSH</v>
      </c>
      <c r="U2459">
        <f>HOUR(datos_siembra[[#This Row],[Hour]])</f>
        <v>20</v>
      </c>
      <c r="V2459" cm="1">
        <f t="array" ref="V2459">_xlfn.IFS(AND(N2459&lt;= 22, S2459=9), N2459-7,AND(N2459&lt;= 28, S2459=9), N2459-25,AND(N2459&lt;= 30, S2459=9), N2459-28,AND(N2459&lt;= 11, S2459=10), N2459+2,AND(N2459&lt;= 21, S2459=10), N2459-11)</f>
        <v>5</v>
      </c>
    </row>
    <row r="2460" spans="1:22" x14ac:dyDescent="0.35">
      <c r="A2460" s="4">
        <v>45568</v>
      </c>
      <c r="B2460" s="5">
        <v>0.87116898148148147</v>
      </c>
      <c r="C2460">
        <v>68.8</v>
      </c>
      <c r="D2460">
        <v>68.5</v>
      </c>
      <c r="E2460">
        <v>67</v>
      </c>
      <c r="F2460">
        <v>65.3</v>
      </c>
      <c r="G2460">
        <v>0</v>
      </c>
      <c r="H2460">
        <v>0</v>
      </c>
      <c r="I2460">
        <v>0</v>
      </c>
      <c r="J2460">
        <v>0</v>
      </c>
      <c r="K2460">
        <v>60.2</v>
      </c>
      <c r="L2460">
        <v>61.2</v>
      </c>
      <c r="M2460">
        <v>67.319999999999993</v>
      </c>
      <c r="N2460">
        <v>3</v>
      </c>
      <c r="O2460">
        <v>2</v>
      </c>
      <c r="P2460">
        <f>MOD(DAY(datos_siembra[[#This Row],[Date]]),7)</f>
        <v>3</v>
      </c>
      <c r="Q2460" t="str">
        <f>CHOOSE(WEEKDAY(datos_siembra[[#This Row],[Date]],2),"L","M","X","J","V","S","D")</f>
        <v>J</v>
      </c>
      <c r="R2460">
        <f>WEEKNUM(datos_siembra[[#This Row],[Date]],2)-WEEKNUM(DATE(YEAR(datos_siembra[[#This Row],[Date]]),MONTH(datos_siembra[[#This Row],[Date]]),1))+1</f>
        <v>1</v>
      </c>
      <c r="S2460">
        <f>MONTH(datos_siembra[[#This Row],[Date]])</f>
        <v>10</v>
      </c>
      <c r="T2460" t="str" cm="1">
        <f t="array" ref="T2460">_xlfn.IFS(AND(N2460&lt;= 22, S2460=9), "SOWING",AND(N2460&lt;= 28, S2460=9), "COVERAGE",AND(N2460&lt;= 30, S2460=9), "FLUSH",AND(N2460&lt;= 11, S2460=10), "FLUSH",AND(N2460&lt;= 21, S2460=10), "PRODUCTION")</f>
        <v>FLUSH</v>
      </c>
      <c r="U2460">
        <f>HOUR(datos_siembra[[#This Row],[Hour]])</f>
        <v>20</v>
      </c>
      <c r="V2460" cm="1">
        <f t="array" ref="V2460">_xlfn.IFS(AND(N2460&lt;= 22, S2460=9), N2460-7,AND(N2460&lt;= 28, S2460=9), N2460-25,AND(N2460&lt;= 30, S2460=9), N2460-28,AND(N2460&lt;= 11, S2460=10), N2460+2,AND(N2460&lt;= 21, S2460=10), N2460-11)</f>
        <v>5</v>
      </c>
    </row>
    <row r="2461" spans="1:22" x14ac:dyDescent="0.35">
      <c r="A2461" s="4">
        <v>45568</v>
      </c>
      <c r="B2461" s="5">
        <v>0.87812500000000004</v>
      </c>
      <c r="C2461">
        <v>68.7</v>
      </c>
      <c r="D2461">
        <v>68.5</v>
      </c>
      <c r="E2461">
        <v>66.900000000000006</v>
      </c>
      <c r="F2461">
        <v>65.3</v>
      </c>
      <c r="G2461">
        <v>0</v>
      </c>
      <c r="H2461">
        <v>0</v>
      </c>
      <c r="I2461">
        <v>0</v>
      </c>
      <c r="J2461">
        <v>0</v>
      </c>
      <c r="K2461">
        <v>60.5</v>
      </c>
      <c r="L2461">
        <v>61.4</v>
      </c>
      <c r="M2461">
        <v>67.319999999999993</v>
      </c>
      <c r="N2461">
        <v>3</v>
      </c>
      <c r="O2461">
        <v>2</v>
      </c>
      <c r="P2461">
        <f>MOD(DAY(datos_siembra[[#This Row],[Date]]),7)</f>
        <v>3</v>
      </c>
      <c r="Q2461" t="str">
        <f>CHOOSE(WEEKDAY(datos_siembra[[#This Row],[Date]],2),"L","M","X","J","V","S","D")</f>
        <v>J</v>
      </c>
      <c r="R2461">
        <f>WEEKNUM(datos_siembra[[#This Row],[Date]],2)-WEEKNUM(DATE(YEAR(datos_siembra[[#This Row],[Date]]),MONTH(datos_siembra[[#This Row],[Date]]),1))+1</f>
        <v>1</v>
      </c>
      <c r="S2461">
        <f>MONTH(datos_siembra[[#This Row],[Date]])</f>
        <v>10</v>
      </c>
      <c r="T2461" t="str" cm="1">
        <f t="array" ref="T2461">_xlfn.IFS(AND(N2461&lt;= 22, S2461=9), "SOWING",AND(N2461&lt;= 28, S2461=9), "COVERAGE",AND(N2461&lt;= 30, S2461=9), "FLUSH",AND(N2461&lt;= 11, S2461=10), "FLUSH",AND(N2461&lt;= 21, S2461=10), "PRODUCTION")</f>
        <v>FLUSH</v>
      </c>
      <c r="U2461">
        <f>HOUR(datos_siembra[[#This Row],[Hour]])</f>
        <v>21</v>
      </c>
      <c r="V2461" cm="1">
        <f t="array" ref="V2461">_xlfn.IFS(AND(N2461&lt;= 22, S2461=9), N2461-7,AND(N2461&lt;= 28, S2461=9), N2461-25,AND(N2461&lt;= 30, S2461=9), N2461-28,AND(N2461&lt;= 11, S2461=10), N2461+2,AND(N2461&lt;= 21, S2461=10), N2461-11)</f>
        <v>5</v>
      </c>
    </row>
    <row r="2462" spans="1:22" x14ac:dyDescent="0.35">
      <c r="A2462" s="4">
        <v>45568</v>
      </c>
      <c r="B2462" s="5">
        <v>0.88506944444444446</v>
      </c>
      <c r="C2462">
        <v>68.7</v>
      </c>
      <c r="D2462">
        <v>68.5</v>
      </c>
      <c r="E2462">
        <v>66.900000000000006</v>
      </c>
      <c r="F2462">
        <v>65.099999999999994</v>
      </c>
      <c r="G2462">
        <v>0</v>
      </c>
      <c r="H2462">
        <v>0</v>
      </c>
      <c r="I2462">
        <v>0</v>
      </c>
      <c r="J2462">
        <v>0</v>
      </c>
      <c r="K2462">
        <v>60.5</v>
      </c>
      <c r="L2462">
        <v>61.4</v>
      </c>
      <c r="M2462">
        <v>67.3</v>
      </c>
      <c r="N2462">
        <v>3</v>
      </c>
      <c r="O2462">
        <v>2</v>
      </c>
      <c r="P2462">
        <f>MOD(DAY(datos_siembra[[#This Row],[Date]]),7)</f>
        <v>3</v>
      </c>
      <c r="Q2462" t="str">
        <f>CHOOSE(WEEKDAY(datos_siembra[[#This Row],[Date]],2),"L","M","X","J","V","S","D")</f>
        <v>J</v>
      </c>
      <c r="R2462">
        <f>WEEKNUM(datos_siembra[[#This Row],[Date]],2)-WEEKNUM(DATE(YEAR(datos_siembra[[#This Row],[Date]]),MONTH(datos_siembra[[#This Row],[Date]]),1))+1</f>
        <v>1</v>
      </c>
      <c r="S2462">
        <f>MONTH(datos_siembra[[#This Row],[Date]])</f>
        <v>10</v>
      </c>
      <c r="T2462" t="str" cm="1">
        <f t="array" ref="T2462">_xlfn.IFS(AND(N2462&lt;= 22, S2462=9), "SOWING",AND(N2462&lt;= 28, S2462=9), "COVERAGE",AND(N2462&lt;= 30, S2462=9), "FLUSH",AND(N2462&lt;= 11, S2462=10), "FLUSH",AND(N2462&lt;= 21, S2462=10), "PRODUCTION")</f>
        <v>FLUSH</v>
      </c>
      <c r="U2462">
        <f>HOUR(datos_siembra[[#This Row],[Hour]])</f>
        <v>21</v>
      </c>
      <c r="V2462" cm="1">
        <f t="array" ref="V2462">_xlfn.IFS(AND(N2462&lt;= 22, S2462=9), N2462-7,AND(N2462&lt;= 28, S2462=9), N2462-25,AND(N2462&lt;= 30, S2462=9), N2462-28,AND(N2462&lt;= 11, S2462=10), N2462+2,AND(N2462&lt;= 21, S2462=10), N2462-11)</f>
        <v>5</v>
      </c>
    </row>
    <row r="2463" spans="1:22" x14ac:dyDescent="0.35">
      <c r="A2463" s="4">
        <v>45568</v>
      </c>
      <c r="B2463" s="5">
        <v>0.89201388888888888</v>
      </c>
      <c r="C2463">
        <v>68.7</v>
      </c>
      <c r="D2463">
        <v>68.5</v>
      </c>
      <c r="E2463">
        <v>66.900000000000006</v>
      </c>
      <c r="F2463">
        <v>65.3</v>
      </c>
      <c r="G2463">
        <v>0</v>
      </c>
      <c r="H2463">
        <v>0</v>
      </c>
      <c r="I2463">
        <v>0</v>
      </c>
      <c r="J2463">
        <v>0</v>
      </c>
      <c r="K2463">
        <v>60.6</v>
      </c>
      <c r="L2463">
        <v>61.4</v>
      </c>
      <c r="M2463">
        <v>67.319999999999993</v>
      </c>
      <c r="N2463">
        <v>3</v>
      </c>
      <c r="O2463">
        <v>2</v>
      </c>
      <c r="P2463">
        <f>MOD(DAY(datos_siembra[[#This Row],[Date]]),7)</f>
        <v>3</v>
      </c>
      <c r="Q2463" t="str">
        <f>CHOOSE(WEEKDAY(datos_siembra[[#This Row],[Date]],2),"L","M","X","J","V","S","D")</f>
        <v>J</v>
      </c>
      <c r="R2463">
        <f>WEEKNUM(datos_siembra[[#This Row],[Date]],2)-WEEKNUM(DATE(YEAR(datos_siembra[[#This Row],[Date]]),MONTH(datos_siembra[[#This Row],[Date]]),1))+1</f>
        <v>1</v>
      </c>
      <c r="S2463">
        <f>MONTH(datos_siembra[[#This Row],[Date]])</f>
        <v>10</v>
      </c>
      <c r="T2463" t="str" cm="1">
        <f t="array" ref="T2463">_xlfn.IFS(AND(N2463&lt;= 22, S2463=9), "SOWING",AND(N2463&lt;= 28, S2463=9), "COVERAGE",AND(N2463&lt;= 30, S2463=9), "FLUSH",AND(N2463&lt;= 11, S2463=10), "FLUSH",AND(N2463&lt;= 21, S2463=10), "PRODUCTION")</f>
        <v>FLUSH</v>
      </c>
      <c r="U2463">
        <f>HOUR(datos_siembra[[#This Row],[Hour]])</f>
        <v>21</v>
      </c>
      <c r="V2463" cm="1">
        <f t="array" ref="V2463">_xlfn.IFS(AND(N2463&lt;= 22, S2463=9), N2463-7,AND(N2463&lt;= 28, S2463=9), N2463-25,AND(N2463&lt;= 30, S2463=9), N2463-28,AND(N2463&lt;= 11, S2463=10), N2463+2,AND(N2463&lt;= 21, S2463=10), N2463-11)</f>
        <v>5</v>
      </c>
    </row>
    <row r="2464" spans="1:22" x14ac:dyDescent="0.35">
      <c r="A2464" s="4">
        <v>45568</v>
      </c>
      <c r="B2464" s="5">
        <v>0.8989583333333333</v>
      </c>
      <c r="C2464">
        <v>68.7</v>
      </c>
      <c r="D2464">
        <v>68.5</v>
      </c>
      <c r="E2464">
        <v>66.8</v>
      </c>
      <c r="F2464">
        <v>65.099999999999994</v>
      </c>
      <c r="G2464">
        <v>0</v>
      </c>
      <c r="H2464">
        <v>0</v>
      </c>
      <c r="I2464">
        <v>0</v>
      </c>
      <c r="J2464">
        <v>0</v>
      </c>
      <c r="K2464">
        <v>60.7</v>
      </c>
      <c r="L2464">
        <v>61.5</v>
      </c>
      <c r="M2464">
        <v>67.239999999999995</v>
      </c>
      <c r="N2464">
        <v>3</v>
      </c>
      <c r="O2464">
        <v>2</v>
      </c>
      <c r="P2464">
        <f>MOD(DAY(datos_siembra[[#This Row],[Date]]),7)</f>
        <v>3</v>
      </c>
      <c r="Q2464" t="str">
        <f>CHOOSE(WEEKDAY(datos_siembra[[#This Row],[Date]],2),"L","M","X","J","V","S","D")</f>
        <v>J</v>
      </c>
      <c r="R2464">
        <f>WEEKNUM(datos_siembra[[#This Row],[Date]],2)-WEEKNUM(DATE(YEAR(datos_siembra[[#This Row],[Date]]),MONTH(datos_siembra[[#This Row],[Date]]),1))+1</f>
        <v>1</v>
      </c>
      <c r="S2464">
        <f>MONTH(datos_siembra[[#This Row],[Date]])</f>
        <v>10</v>
      </c>
      <c r="T2464" t="str" cm="1">
        <f t="array" ref="T2464">_xlfn.IFS(AND(N2464&lt;= 22, S2464=9), "SOWING",AND(N2464&lt;= 28, S2464=9), "COVERAGE",AND(N2464&lt;= 30, S2464=9), "FLUSH",AND(N2464&lt;= 11, S2464=10), "FLUSH",AND(N2464&lt;= 21, S2464=10), "PRODUCTION")</f>
        <v>FLUSH</v>
      </c>
      <c r="U2464">
        <f>HOUR(datos_siembra[[#This Row],[Hour]])</f>
        <v>21</v>
      </c>
      <c r="V2464" cm="1">
        <f t="array" ref="V2464">_xlfn.IFS(AND(N2464&lt;= 22, S2464=9), N2464-7,AND(N2464&lt;= 28, S2464=9), N2464-25,AND(N2464&lt;= 30, S2464=9), N2464-28,AND(N2464&lt;= 11, S2464=10), N2464+2,AND(N2464&lt;= 21, S2464=10), N2464-11)</f>
        <v>5</v>
      </c>
    </row>
    <row r="2465" spans="1:22" x14ac:dyDescent="0.35">
      <c r="A2465" s="4">
        <v>45568</v>
      </c>
      <c r="B2465" s="5">
        <v>0.90591435185185187</v>
      </c>
      <c r="C2465">
        <v>68.7</v>
      </c>
      <c r="D2465">
        <v>68.2</v>
      </c>
      <c r="E2465">
        <v>66.900000000000006</v>
      </c>
      <c r="F2465">
        <v>65.2</v>
      </c>
      <c r="G2465">
        <v>0</v>
      </c>
      <c r="H2465">
        <v>0</v>
      </c>
      <c r="I2465">
        <v>0</v>
      </c>
      <c r="J2465">
        <v>0</v>
      </c>
      <c r="K2465">
        <v>60.1</v>
      </c>
      <c r="L2465">
        <v>61.1</v>
      </c>
      <c r="M2465">
        <v>67.209999999999994</v>
      </c>
      <c r="N2465">
        <v>3</v>
      </c>
      <c r="O2465">
        <v>2</v>
      </c>
      <c r="P2465">
        <f>MOD(DAY(datos_siembra[[#This Row],[Date]]),7)</f>
        <v>3</v>
      </c>
      <c r="Q2465" t="str">
        <f>CHOOSE(WEEKDAY(datos_siembra[[#This Row],[Date]],2),"L","M","X","J","V","S","D")</f>
        <v>J</v>
      </c>
      <c r="R2465">
        <f>WEEKNUM(datos_siembra[[#This Row],[Date]],2)-WEEKNUM(DATE(YEAR(datos_siembra[[#This Row],[Date]]),MONTH(datos_siembra[[#This Row],[Date]]),1))+1</f>
        <v>1</v>
      </c>
      <c r="S2465">
        <f>MONTH(datos_siembra[[#This Row],[Date]])</f>
        <v>10</v>
      </c>
      <c r="T2465" t="str" cm="1">
        <f t="array" ref="T2465">_xlfn.IFS(AND(N2465&lt;= 22, S2465=9), "SOWING",AND(N2465&lt;= 28, S2465=9), "COVERAGE",AND(N2465&lt;= 30, S2465=9), "FLUSH",AND(N2465&lt;= 11, S2465=10), "FLUSH",AND(N2465&lt;= 21, S2465=10), "PRODUCTION")</f>
        <v>FLUSH</v>
      </c>
      <c r="U2465">
        <f>HOUR(datos_siembra[[#This Row],[Hour]])</f>
        <v>21</v>
      </c>
      <c r="V2465" cm="1">
        <f t="array" ref="V2465">_xlfn.IFS(AND(N2465&lt;= 22, S2465=9), N2465-7,AND(N2465&lt;= 28, S2465=9), N2465-25,AND(N2465&lt;= 30, S2465=9), N2465-28,AND(N2465&lt;= 11, S2465=10), N2465+2,AND(N2465&lt;= 21, S2465=10), N2465-11)</f>
        <v>5</v>
      </c>
    </row>
    <row r="2466" spans="1:22" x14ac:dyDescent="0.35">
      <c r="A2466" s="4">
        <v>45568</v>
      </c>
      <c r="B2466" s="5">
        <v>0.91285879629629629</v>
      </c>
      <c r="C2466">
        <v>68.599999999999994</v>
      </c>
      <c r="D2466">
        <v>68.3</v>
      </c>
      <c r="E2466">
        <v>66.900000000000006</v>
      </c>
      <c r="F2466">
        <v>65.099999999999994</v>
      </c>
      <c r="G2466">
        <v>0</v>
      </c>
      <c r="H2466">
        <v>0</v>
      </c>
      <c r="I2466">
        <v>0</v>
      </c>
      <c r="J2466">
        <v>0</v>
      </c>
      <c r="K2466">
        <v>59.3</v>
      </c>
      <c r="L2466">
        <v>60.1</v>
      </c>
      <c r="M2466">
        <v>67.209999999999994</v>
      </c>
      <c r="N2466">
        <v>3</v>
      </c>
      <c r="O2466">
        <v>2</v>
      </c>
      <c r="P2466">
        <f>MOD(DAY(datos_siembra[[#This Row],[Date]]),7)</f>
        <v>3</v>
      </c>
      <c r="Q2466" t="str">
        <f>CHOOSE(WEEKDAY(datos_siembra[[#This Row],[Date]],2),"L","M","X","J","V","S","D")</f>
        <v>J</v>
      </c>
      <c r="R2466">
        <f>WEEKNUM(datos_siembra[[#This Row],[Date]],2)-WEEKNUM(DATE(YEAR(datos_siembra[[#This Row],[Date]]),MONTH(datos_siembra[[#This Row],[Date]]),1))+1</f>
        <v>1</v>
      </c>
      <c r="S2466">
        <f>MONTH(datos_siembra[[#This Row],[Date]])</f>
        <v>10</v>
      </c>
      <c r="T2466" t="str" cm="1">
        <f t="array" ref="T2466">_xlfn.IFS(AND(N2466&lt;= 22, S2466=9), "SOWING",AND(N2466&lt;= 28, S2466=9), "COVERAGE",AND(N2466&lt;= 30, S2466=9), "FLUSH",AND(N2466&lt;= 11, S2466=10), "FLUSH",AND(N2466&lt;= 21, S2466=10), "PRODUCTION")</f>
        <v>FLUSH</v>
      </c>
      <c r="U2466">
        <f>HOUR(datos_siembra[[#This Row],[Hour]])</f>
        <v>21</v>
      </c>
      <c r="V2466" cm="1">
        <f t="array" ref="V2466">_xlfn.IFS(AND(N2466&lt;= 22, S2466=9), N2466-7,AND(N2466&lt;= 28, S2466=9), N2466-25,AND(N2466&lt;= 30, S2466=9), N2466-28,AND(N2466&lt;= 11, S2466=10), N2466+2,AND(N2466&lt;= 21, S2466=10), N2466-11)</f>
        <v>5</v>
      </c>
    </row>
    <row r="2467" spans="1:22" x14ac:dyDescent="0.35">
      <c r="A2467" s="4">
        <v>45568</v>
      </c>
      <c r="B2467" s="5">
        <v>0.91980324074074071</v>
      </c>
      <c r="C2467">
        <v>68.7</v>
      </c>
      <c r="D2467">
        <v>68.2</v>
      </c>
      <c r="E2467">
        <v>67</v>
      </c>
      <c r="F2467">
        <v>65.2</v>
      </c>
      <c r="G2467">
        <v>0</v>
      </c>
      <c r="H2467">
        <v>0</v>
      </c>
      <c r="I2467">
        <v>0</v>
      </c>
      <c r="J2467">
        <v>0</v>
      </c>
      <c r="K2467">
        <v>59</v>
      </c>
      <c r="L2467">
        <v>60.1</v>
      </c>
      <c r="M2467">
        <v>67.27</v>
      </c>
      <c r="N2467">
        <v>3</v>
      </c>
      <c r="O2467">
        <v>2</v>
      </c>
      <c r="P2467">
        <f>MOD(DAY(datos_siembra[[#This Row],[Date]]),7)</f>
        <v>3</v>
      </c>
      <c r="Q2467" t="str">
        <f>CHOOSE(WEEKDAY(datos_siembra[[#This Row],[Date]],2),"L","M","X","J","V","S","D")</f>
        <v>J</v>
      </c>
      <c r="R2467">
        <f>WEEKNUM(datos_siembra[[#This Row],[Date]],2)-WEEKNUM(DATE(YEAR(datos_siembra[[#This Row],[Date]]),MONTH(datos_siembra[[#This Row],[Date]]),1))+1</f>
        <v>1</v>
      </c>
      <c r="S2467">
        <f>MONTH(datos_siembra[[#This Row],[Date]])</f>
        <v>10</v>
      </c>
      <c r="T2467" t="str" cm="1">
        <f t="array" ref="T2467">_xlfn.IFS(AND(N2467&lt;= 22, S2467=9), "SOWING",AND(N2467&lt;= 28, S2467=9), "COVERAGE",AND(N2467&lt;= 30, S2467=9), "FLUSH",AND(N2467&lt;= 11, S2467=10), "FLUSH",AND(N2467&lt;= 21, S2467=10), "PRODUCTION")</f>
        <v>FLUSH</v>
      </c>
      <c r="U2467">
        <f>HOUR(datos_siembra[[#This Row],[Hour]])</f>
        <v>22</v>
      </c>
      <c r="V2467" cm="1">
        <f t="array" ref="V2467">_xlfn.IFS(AND(N2467&lt;= 22, S2467=9), N2467-7,AND(N2467&lt;= 28, S2467=9), N2467-25,AND(N2467&lt;= 30, S2467=9), N2467-28,AND(N2467&lt;= 11, S2467=10), N2467+2,AND(N2467&lt;= 21, S2467=10), N2467-11)</f>
        <v>5</v>
      </c>
    </row>
    <row r="2468" spans="1:22" x14ac:dyDescent="0.35">
      <c r="A2468" s="4">
        <v>45568</v>
      </c>
      <c r="B2468" s="5">
        <v>0.92674768518518513</v>
      </c>
      <c r="C2468">
        <v>68.7</v>
      </c>
      <c r="D2468">
        <v>68.2</v>
      </c>
      <c r="E2468">
        <v>66.8</v>
      </c>
      <c r="F2468">
        <v>65.099999999999994</v>
      </c>
      <c r="G2468">
        <v>0</v>
      </c>
      <c r="H2468">
        <v>0</v>
      </c>
      <c r="I2468">
        <v>0</v>
      </c>
      <c r="J2468">
        <v>0</v>
      </c>
      <c r="K2468">
        <v>58.8</v>
      </c>
      <c r="L2468">
        <v>59.9</v>
      </c>
      <c r="M2468">
        <v>67.209999999999994</v>
      </c>
      <c r="N2468">
        <v>3</v>
      </c>
      <c r="O2468">
        <v>2</v>
      </c>
      <c r="P2468">
        <f>MOD(DAY(datos_siembra[[#This Row],[Date]]),7)</f>
        <v>3</v>
      </c>
      <c r="Q2468" t="str">
        <f>CHOOSE(WEEKDAY(datos_siembra[[#This Row],[Date]],2),"L","M","X","J","V","S","D")</f>
        <v>J</v>
      </c>
      <c r="R2468">
        <f>WEEKNUM(datos_siembra[[#This Row],[Date]],2)-WEEKNUM(DATE(YEAR(datos_siembra[[#This Row],[Date]]),MONTH(datos_siembra[[#This Row],[Date]]),1))+1</f>
        <v>1</v>
      </c>
      <c r="S2468">
        <f>MONTH(datos_siembra[[#This Row],[Date]])</f>
        <v>10</v>
      </c>
      <c r="T2468" t="str" cm="1">
        <f t="array" ref="T2468">_xlfn.IFS(AND(N2468&lt;= 22, S2468=9), "SOWING",AND(N2468&lt;= 28, S2468=9), "COVERAGE",AND(N2468&lt;= 30, S2468=9), "FLUSH",AND(N2468&lt;= 11, S2468=10), "FLUSH",AND(N2468&lt;= 21, S2468=10), "PRODUCTION")</f>
        <v>FLUSH</v>
      </c>
      <c r="U2468">
        <f>HOUR(datos_siembra[[#This Row],[Hour]])</f>
        <v>22</v>
      </c>
      <c r="V2468" cm="1">
        <f t="array" ref="V2468">_xlfn.IFS(AND(N2468&lt;= 22, S2468=9), N2468-7,AND(N2468&lt;= 28, S2468=9), N2468-25,AND(N2468&lt;= 30, S2468=9), N2468-28,AND(N2468&lt;= 11, S2468=10), N2468+2,AND(N2468&lt;= 21, S2468=10), N2468-11)</f>
        <v>5</v>
      </c>
    </row>
    <row r="2469" spans="1:22" x14ac:dyDescent="0.35">
      <c r="A2469" s="4">
        <v>45568</v>
      </c>
      <c r="B2469" s="5">
        <v>0.9337037037037037</v>
      </c>
      <c r="C2469">
        <v>68.599999999999994</v>
      </c>
      <c r="D2469">
        <v>68.3</v>
      </c>
      <c r="E2469">
        <v>66.8</v>
      </c>
      <c r="F2469">
        <v>65.2</v>
      </c>
      <c r="G2469">
        <v>0</v>
      </c>
      <c r="H2469">
        <v>0</v>
      </c>
      <c r="I2469">
        <v>0</v>
      </c>
      <c r="J2469">
        <v>0</v>
      </c>
      <c r="K2469">
        <v>58.5</v>
      </c>
      <c r="L2469">
        <v>59.9</v>
      </c>
      <c r="M2469">
        <v>67.209999999999994</v>
      </c>
      <c r="N2469">
        <v>3</v>
      </c>
      <c r="O2469">
        <v>2</v>
      </c>
      <c r="P2469">
        <f>MOD(DAY(datos_siembra[[#This Row],[Date]]),7)</f>
        <v>3</v>
      </c>
      <c r="Q2469" t="str">
        <f>CHOOSE(WEEKDAY(datos_siembra[[#This Row],[Date]],2),"L","M","X","J","V","S","D")</f>
        <v>J</v>
      </c>
      <c r="R2469">
        <f>WEEKNUM(datos_siembra[[#This Row],[Date]],2)-WEEKNUM(DATE(YEAR(datos_siembra[[#This Row],[Date]]),MONTH(datos_siembra[[#This Row],[Date]]),1))+1</f>
        <v>1</v>
      </c>
      <c r="S2469">
        <f>MONTH(datos_siembra[[#This Row],[Date]])</f>
        <v>10</v>
      </c>
      <c r="T2469" t="str" cm="1">
        <f t="array" ref="T2469">_xlfn.IFS(AND(N2469&lt;= 22, S2469=9), "SOWING",AND(N2469&lt;= 28, S2469=9), "COVERAGE",AND(N2469&lt;= 30, S2469=9), "FLUSH",AND(N2469&lt;= 11, S2469=10), "FLUSH",AND(N2469&lt;= 21, S2469=10), "PRODUCTION")</f>
        <v>FLUSH</v>
      </c>
      <c r="U2469">
        <f>HOUR(datos_siembra[[#This Row],[Hour]])</f>
        <v>22</v>
      </c>
      <c r="V2469" cm="1">
        <f t="array" ref="V2469">_xlfn.IFS(AND(N2469&lt;= 22, S2469=9), N2469-7,AND(N2469&lt;= 28, S2469=9), N2469-25,AND(N2469&lt;= 30, S2469=9), N2469-28,AND(N2469&lt;= 11, S2469=10), N2469+2,AND(N2469&lt;= 21, S2469=10), N2469-11)</f>
        <v>5</v>
      </c>
    </row>
    <row r="2470" spans="1:22" x14ac:dyDescent="0.35">
      <c r="A2470" s="4">
        <v>45568</v>
      </c>
      <c r="B2470" s="5">
        <v>0.94064814814814812</v>
      </c>
      <c r="C2470">
        <v>68.599999999999994</v>
      </c>
      <c r="D2470">
        <v>68.2</v>
      </c>
      <c r="E2470">
        <v>66.8</v>
      </c>
      <c r="F2470">
        <v>65.099999999999994</v>
      </c>
      <c r="G2470">
        <v>0</v>
      </c>
      <c r="H2470">
        <v>0</v>
      </c>
      <c r="I2470">
        <v>0</v>
      </c>
      <c r="J2470">
        <v>0</v>
      </c>
      <c r="K2470">
        <v>59.4</v>
      </c>
      <c r="L2470">
        <v>60.7</v>
      </c>
      <c r="M2470">
        <v>67.27</v>
      </c>
      <c r="N2470">
        <v>3</v>
      </c>
      <c r="O2470">
        <v>2</v>
      </c>
      <c r="P2470">
        <f>MOD(DAY(datos_siembra[[#This Row],[Date]]),7)</f>
        <v>3</v>
      </c>
      <c r="Q2470" t="str">
        <f>CHOOSE(WEEKDAY(datos_siembra[[#This Row],[Date]],2),"L","M","X","J","V","S","D")</f>
        <v>J</v>
      </c>
      <c r="R2470">
        <f>WEEKNUM(datos_siembra[[#This Row],[Date]],2)-WEEKNUM(DATE(YEAR(datos_siembra[[#This Row],[Date]]),MONTH(datos_siembra[[#This Row],[Date]]),1))+1</f>
        <v>1</v>
      </c>
      <c r="S2470">
        <f>MONTH(datos_siembra[[#This Row],[Date]])</f>
        <v>10</v>
      </c>
      <c r="T2470" t="str" cm="1">
        <f t="array" ref="T2470">_xlfn.IFS(AND(N2470&lt;= 22, S2470=9), "SOWING",AND(N2470&lt;= 28, S2470=9), "COVERAGE",AND(N2470&lt;= 30, S2470=9), "FLUSH",AND(N2470&lt;= 11, S2470=10), "FLUSH",AND(N2470&lt;= 21, S2470=10), "PRODUCTION")</f>
        <v>FLUSH</v>
      </c>
      <c r="U2470">
        <f>HOUR(datos_siembra[[#This Row],[Hour]])</f>
        <v>22</v>
      </c>
      <c r="V2470" cm="1">
        <f t="array" ref="V2470">_xlfn.IFS(AND(N2470&lt;= 22, S2470=9), N2470-7,AND(N2470&lt;= 28, S2470=9), N2470-25,AND(N2470&lt;= 30, S2470=9), N2470-28,AND(N2470&lt;= 11, S2470=10), N2470+2,AND(N2470&lt;= 21, S2470=10), N2470-11)</f>
        <v>5</v>
      </c>
    </row>
    <row r="2471" spans="1:22" x14ac:dyDescent="0.35">
      <c r="A2471" s="4">
        <v>45568</v>
      </c>
      <c r="B2471" s="5">
        <v>0.94759259259259254</v>
      </c>
      <c r="C2471">
        <v>68.5</v>
      </c>
      <c r="D2471">
        <v>68.2</v>
      </c>
      <c r="E2471">
        <v>66.8</v>
      </c>
      <c r="F2471">
        <v>65.2</v>
      </c>
      <c r="G2471">
        <v>0</v>
      </c>
      <c r="H2471">
        <v>0</v>
      </c>
      <c r="I2471">
        <v>0</v>
      </c>
      <c r="J2471">
        <v>0</v>
      </c>
      <c r="K2471">
        <v>59.8</v>
      </c>
      <c r="L2471">
        <v>60.9</v>
      </c>
      <c r="M2471">
        <v>67.16</v>
      </c>
      <c r="N2471">
        <v>3</v>
      </c>
      <c r="O2471">
        <v>2</v>
      </c>
      <c r="P2471">
        <f>MOD(DAY(datos_siembra[[#This Row],[Date]]),7)</f>
        <v>3</v>
      </c>
      <c r="Q2471" t="str">
        <f>CHOOSE(WEEKDAY(datos_siembra[[#This Row],[Date]],2),"L","M","X","J","V","S","D")</f>
        <v>J</v>
      </c>
      <c r="R2471">
        <f>WEEKNUM(datos_siembra[[#This Row],[Date]],2)-WEEKNUM(DATE(YEAR(datos_siembra[[#This Row],[Date]]),MONTH(datos_siembra[[#This Row],[Date]]),1))+1</f>
        <v>1</v>
      </c>
      <c r="S2471">
        <f>MONTH(datos_siembra[[#This Row],[Date]])</f>
        <v>10</v>
      </c>
      <c r="T2471" t="str" cm="1">
        <f t="array" ref="T2471">_xlfn.IFS(AND(N2471&lt;= 22, S2471=9), "SOWING",AND(N2471&lt;= 28, S2471=9), "COVERAGE",AND(N2471&lt;= 30, S2471=9), "FLUSH",AND(N2471&lt;= 11, S2471=10), "FLUSH",AND(N2471&lt;= 21, S2471=10), "PRODUCTION")</f>
        <v>FLUSH</v>
      </c>
      <c r="U2471">
        <f>HOUR(datos_siembra[[#This Row],[Hour]])</f>
        <v>22</v>
      </c>
      <c r="V2471" cm="1">
        <f t="array" ref="V2471">_xlfn.IFS(AND(N2471&lt;= 22, S2471=9), N2471-7,AND(N2471&lt;= 28, S2471=9), N2471-25,AND(N2471&lt;= 30, S2471=9), N2471-28,AND(N2471&lt;= 11, S2471=10), N2471+2,AND(N2471&lt;= 21, S2471=10), N2471-11)</f>
        <v>5</v>
      </c>
    </row>
    <row r="2472" spans="1:22" x14ac:dyDescent="0.35">
      <c r="A2472" s="4">
        <v>45568</v>
      </c>
      <c r="B2472" s="5">
        <v>0.95454861111111111</v>
      </c>
      <c r="C2472">
        <v>68.7</v>
      </c>
      <c r="D2472">
        <v>68</v>
      </c>
      <c r="E2472">
        <v>66.599999999999994</v>
      </c>
      <c r="F2472">
        <v>65</v>
      </c>
      <c r="G2472">
        <v>0</v>
      </c>
      <c r="H2472">
        <v>0</v>
      </c>
      <c r="I2472">
        <v>0</v>
      </c>
      <c r="J2472">
        <v>0</v>
      </c>
      <c r="K2472">
        <v>60.1</v>
      </c>
      <c r="L2472">
        <v>61</v>
      </c>
      <c r="M2472">
        <v>67.02</v>
      </c>
      <c r="N2472">
        <v>3</v>
      </c>
      <c r="O2472">
        <v>2</v>
      </c>
      <c r="P2472">
        <f>MOD(DAY(datos_siembra[[#This Row],[Date]]),7)</f>
        <v>3</v>
      </c>
      <c r="Q2472" t="str">
        <f>CHOOSE(WEEKDAY(datos_siembra[[#This Row],[Date]],2),"L","M","X","J","V","S","D")</f>
        <v>J</v>
      </c>
      <c r="R2472">
        <f>WEEKNUM(datos_siembra[[#This Row],[Date]],2)-WEEKNUM(DATE(YEAR(datos_siembra[[#This Row],[Date]]),MONTH(datos_siembra[[#This Row],[Date]]),1))+1</f>
        <v>1</v>
      </c>
      <c r="S2472">
        <f>MONTH(datos_siembra[[#This Row],[Date]])</f>
        <v>10</v>
      </c>
      <c r="T2472" t="str" cm="1">
        <f t="array" ref="T2472">_xlfn.IFS(AND(N2472&lt;= 22, S2472=9), "SOWING",AND(N2472&lt;= 28, S2472=9), "COVERAGE",AND(N2472&lt;= 30, S2472=9), "FLUSH",AND(N2472&lt;= 11, S2472=10), "FLUSH",AND(N2472&lt;= 21, S2472=10), "PRODUCTION")</f>
        <v>FLUSH</v>
      </c>
      <c r="U2472">
        <f>HOUR(datos_siembra[[#This Row],[Hour]])</f>
        <v>22</v>
      </c>
      <c r="V2472" cm="1">
        <f t="array" ref="V2472">_xlfn.IFS(AND(N2472&lt;= 22, S2472=9), N2472-7,AND(N2472&lt;= 28, S2472=9), N2472-25,AND(N2472&lt;= 30, S2472=9), N2472-28,AND(N2472&lt;= 11, S2472=10), N2472+2,AND(N2472&lt;= 21, S2472=10), N2472-11)</f>
        <v>5</v>
      </c>
    </row>
    <row r="2473" spans="1:22" x14ac:dyDescent="0.35">
      <c r="A2473" s="4">
        <v>45568</v>
      </c>
      <c r="B2473" s="5">
        <v>0.96149305555555553</v>
      </c>
      <c r="C2473">
        <v>68.5</v>
      </c>
      <c r="D2473">
        <v>68.099999999999994</v>
      </c>
      <c r="E2473">
        <v>66.599999999999994</v>
      </c>
      <c r="F2473">
        <v>65</v>
      </c>
      <c r="G2473">
        <v>0</v>
      </c>
      <c r="H2473">
        <v>0</v>
      </c>
      <c r="I2473">
        <v>0</v>
      </c>
      <c r="J2473">
        <v>0</v>
      </c>
      <c r="K2473">
        <v>60.1</v>
      </c>
      <c r="L2473">
        <v>61.1</v>
      </c>
      <c r="M2473">
        <v>67.069999999999993</v>
      </c>
      <c r="N2473">
        <v>3</v>
      </c>
      <c r="O2473">
        <v>2</v>
      </c>
      <c r="P2473">
        <f>MOD(DAY(datos_siembra[[#This Row],[Date]]),7)</f>
        <v>3</v>
      </c>
      <c r="Q2473" t="str">
        <f>CHOOSE(WEEKDAY(datos_siembra[[#This Row],[Date]],2),"L","M","X","J","V","S","D")</f>
        <v>J</v>
      </c>
      <c r="R2473">
        <f>WEEKNUM(datos_siembra[[#This Row],[Date]],2)-WEEKNUM(DATE(YEAR(datos_siembra[[#This Row],[Date]]),MONTH(datos_siembra[[#This Row],[Date]]),1))+1</f>
        <v>1</v>
      </c>
      <c r="S2473">
        <f>MONTH(datos_siembra[[#This Row],[Date]])</f>
        <v>10</v>
      </c>
      <c r="T2473" t="str" cm="1">
        <f t="array" ref="T2473">_xlfn.IFS(AND(N2473&lt;= 22, S2473=9), "SOWING",AND(N2473&lt;= 28, S2473=9), "COVERAGE",AND(N2473&lt;= 30, S2473=9), "FLUSH",AND(N2473&lt;= 11, S2473=10), "FLUSH",AND(N2473&lt;= 21, S2473=10), "PRODUCTION")</f>
        <v>FLUSH</v>
      </c>
      <c r="U2473">
        <f>HOUR(datos_siembra[[#This Row],[Hour]])</f>
        <v>23</v>
      </c>
      <c r="V2473" cm="1">
        <f t="array" ref="V2473">_xlfn.IFS(AND(N2473&lt;= 22, S2473=9), N2473-7,AND(N2473&lt;= 28, S2473=9), N2473-25,AND(N2473&lt;= 30, S2473=9), N2473-28,AND(N2473&lt;= 11, S2473=10), N2473+2,AND(N2473&lt;= 21, S2473=10), N2473-11)</f>
        <v>5</v>
      </c>
    </row>
    <row r="2474" spans="1:22" x14ac:dyDescent="0.35">
      <c r="A2474" s="4">
        <v>45568</v>
      </c>
      <c r="B2474" s="5">
        <v>0.96843749999999995</v>
      </c>
      <c r="C2474">
        <v>68.5</v>
      </c>
      <c r="D2474">
        <v>68.2</v>
      </c>
      <c r="E2474">
        <v>66.8</v>
      </c>
      <c r="F2474">
        <v>65</v>
      </c>
      <c r="G2474">
        <v>0</v>
      </c>
      <c r="H2474">
        <v>0</v>
      </c>
      <c r="I2474">
        <v>0</v>
      </c>
      <c r="J2474">
        <v>0</v>
      </c>
      <c r="K2474">
        <v>60.2</v>
      </c>
      <c r="L2474">
        <v>61.2</v>
      </c>
      <c r="M2474">
        <v>67.099999999999994</v>
      </c>
      <c r="N2474">
        <v>3</v>
      </c>
      <c r="O2474">
        <v>2</v>
      </c>
      <c r="P2474">
        <f>MOD(DAY(datos_siembra[[#This Row],[Date]]),7)</f>
        <v>3</v>
      </c>
      <c r="Q2474" t="str">
        <f>CHOOSE(WEEKDAY(datos_siembra[[#This Row],[Date]],2),"L","M","X","J","V","S","D")</f>
        <v>J</v>
      </c>
      <c r="R2474">
        <f>WEEKNUM(datos_siembra[[#This Row],[Date]],2)-WEEKNUM(DATE(YEAR(datos_siembra[[#This Row],[Date]]),MONTH(datos_siembra[[#This Row],[Date]]),1))+1</f>
        <v>1</v>
      </c>
      <c r="S2474">
        <f>MONTH(datos_siembra[[#This Row],[Date]])</f>
        <v>10</v>
      </c>
      <c r="T2474" t="str" cm="1">
        <f t="array" ref="T2474">_xlfn.IFS(AND(N2474&lt;= 22, S2474=9), "SOWING",AND(N2474&lt;= 28, S2474=9), "COVERAGE",AND(N2474&lt;= 30, S2474=9), "FLUSH",AND(N2474&lt;= 11, S2474=10), "FLUSH",AND(N2474&lt;= 21, S2474=10), "PRODUCTION")</f>
        <v>FLUSH</v>
      </c>
      <c r="U2474">
        <f>HOUR(datos_siembra[[#This Row],[Hour]])</f>
        <v>23</v>
      </c>
      <c r="V2474" cm="1">
        <f t="array" ref="V2474">_xlfn.IFS(AND(N2474&lt;= 22, S2474=9), N2474-7,AND(N2474&lt;= 28, S2474=9), N2474-25,AND(N2474&lt;= 30, S2474=9), N2474-28,AND(N2474&lt;= 11, S2474=10), N2474+2,AND(N2474&lt;= 21, S2474=10), N2474-11)</f>
        <v>5</v>
      </c>
    </row>
    <row r="2475" spans="1:22" x14ac:dyDescent="0.35">
      <c r="A2475" s="4">
        <v>45568</v>
      </c>
      <c r="B2475" s="5">
        <v>0.97538194444444448</v>
      </c>
      <c r="C2475">
        <v>68.5</v>
      </c>
      <c r="D2475">
        <v>68.099999999999994</v>
      </c>
      <c r="E2475">
        <v>66.400000000000006</v>
      </c>
      <c r="F2475">
        <v>64.900000000000006</v>
      </c>
      <c r="G2475">
        <v>0</v>
      </c>
      <c r="H2475">
        <v>0</v>
      </c>
      <c r="I2475">
        <v>0</v>
      </c>
      <c r="J2475">
        <v>0</v>
      </c>
      <c r="K2475">
        <v>60.2</v>
      </c>
      <c r="L2475">
        <v>61.2</v>
      </c>
      <c r="M2475">
        <v>67.099999999999994</v>
      </c>
      <c r="N2475">
        <v>3</v>
      </c>
      <c r="O2475">
        <v>2</v>
      </c>
      <c r="P2475">
        <f>MOD(DAY(datos_siembra[[#This Row],[Date]]),7)</f>
        <v>3</v>
      </c>
      <c r="Q2475" t="str">
        <f>CHOOSE(WEEKDAY(datos_siembra[[#This Row],[Date]],2),"L","M","X","J","V","S","D")</f>
        <v>J</v>
      </c>
      <c r="R2475">
        <f>WEEKNUM(datos_siembra[[#This Row],[Date]],2)-WEEKNUM(DATE(YEAR(datos_siembra[[#This Row],[Date]]),MONTH(datos_siembra[[#This Row],[Date]]),1))+1</f>
        <v>1</v>
      </c>
      <c r="S2475">
        <f>MONTH(datos_siembra[[#This Row],[Date]])</f>
        <v>10</v>
      </c>
      <c r="T2475" t="str" cm="1">
        <f t="array" ref="T2475">_xlfn.IFS(AND(N2475&lt;= 22, S2475=9), "SOWING",AND(N2475&lt;= 28, S2475=9), "COVERAGE",AND(N2475&lt;= 30, S2475=9), "FLUSH",AND(N2475&lt;= 11, S2475=10), "FLUSH",AND(N2475&lt;= 21, S2475=10), "PRODUCTION")</f>
        <v>FLUSH</v>
      </c>
      <c r="U2475">
        <f>HOUR(datos_siembra[[#This Row],[Hour]])</f>
        <v>23</v>
      </c>
      <c r="V2475" cm="1">
        <f t="array" ref="V2475">_xlfn.IFS(AND(N2475&lt;= 22, S2475=9), N2475-7,AND(N2475&lt;= 28, S2475=9), N2475-25,AND(N2475&lt;= 30, S2475=9), N2475-28,AND(N2475&lt;= 11, S2475=10), N2475+2,AND(N2475&lt;= 21, S2475=10), N2475-11)</f>
        <v>5</v>
      </c>
    </row>
    <row r="2476" spans="1:22" x14ac:dyDescent="0.35">
      <c r="A2476" s="4">
        <v>45568</v>
      </c>
      <c r="B2476" s="5">
        <v>0.98233796296296294</v>
      </c>
      <c r="C2476">
        <v>68.5</v>
      </c>
      <c r="D2476">
        <v>68.2</v>
      </c>
      <c r="E2476">
        <v>66.400000000000006</v>
      </c>
      <c r="F2476">
        <v>65.099999999999994</v>
      </c>
      <c r="G2476">
        <v>0</v>
      </c>
      <c r="H2476">
        <v>0</v>
      </c>
      <c r="I2476">
        <v>0</v>
      </c>
      <c r="J2476">
        <v>0</v>
      </c>
      <c r="K2476">
        <v>60.2</v>
      </c>
      <c r="L2476">
        <v>61.2</v>
      </c>
      <c r="M2476">
        <v>67.040000000000006</v>
      </c>
      <c r="N2476">
        <v>3</v>
      </c>
      <c r="O2476">
        <v>2</v>
      </c>
      <c r="P2476">
        <f>MOD(DAY(datos_siembra[[#This Row],[Date]]),7)</f>
        <v>3</v>
      </c>
      <c r="Q2476" t="str">
        <f>CHOOSE(WEEKDAY(datos_siembra[[#This Row],[Date]],2),"L","M","X","J","V","S","D")</f>
        <v>J</v>
      </c>
      <c r="R2476">
        <f>WEEKNUM(datos_siembra[[#This Row],[Date]],2)-WEEKNUM(DATE(YEAR(datos_siembra[[#This Row],[Date]]),MONTH(datos_siembra[[#This Row],[Date]]),1))+1</f>
        <v>1</v>
      </c>
      <c r="S2476">
        <f>MONTH(datos_siembra[[#This Row],[Date]])</f>
        <v>10</v>
      </c>
      <c r="T2476" t="str" cm="1">
        <f t="array" ref="T2476">_xlfn.IFS(AND(N2476&lt;= 22, S2476=9), "SOWING",AND(N2476&lt;= 28, S2476=9), "COVERAGE",AND(N2476&lt;= 30, S2476=9), "FLUSH",AND(N2476&lt;= 11, S2476=10), "FLUSH",AND(N2476&lt;= 21, S2476=10), "PRODUCTION")</f>
        <v>FLUSH</v>
      </c>
      <c r="U2476">
        <f>HOUR(datos_siembra[[#This Row],[Hour]])</f>
        <v>23</v>
      </c>
      <c r="V2476" cm="1">
        <f t="array" ref="V2476">_xlfn.IFS(AND(N2476&lt;= 22, S2476=9), N2476-7,AND(N2476&lt;= 28, S2476=9), N2476-25,AND(N2476&lt;= 30, S2476=9), N2476-28,AND(N2476&lt;= 11, S2476=10), N2476+2,AND(N2476&lt;= 21, S2476=10), N2476-11)</f>
        <v>5</v>
      </c>
    </row>
    <row r="2477" spans="1:22" x14ac:dyDescent="0.35">
      <c r="A2477" s="4">
        <v>45568</v>
      </c>
      <c r="B2477" s="5">
        <v>0.98928240740740736</v>
      </c>
      <c r="C2477">
        <v>68.3</v>
      </c>
      <c r="D2477">
        <v>68.099999999999994</v>
      </c>
      <c r="E2477">
        <v>66.5</v>
      </c>
      <c r="F2477">
        <v>65</v>
      </c>
      <c r="G2477">
        <v>0</v>
      </c>
      <c r="H2477">
        <v>0</v>
      </c>
      <c r="I2477">
        <v>0</v>
      </c>
      <c r="J2477">
        <v>0</v>
      </c>
      <c r="K2477">
        <v>60.3</v>
      </c>
      <c r="L2477">
        <v>61.2</v>
      </c>
      <c r="M2477">
        <v>67.069999999999993</v>
      </c>
      <c r="N2477">
        <v>3</v>
      </c>
      <c r="O2477">
        <v>2</v>
      </c>
      <c r="P2477">
        <f>MOD(DAY(datos_siembra[[#This Row],[Date]]),7)</f>
        <v>3</v>
      </c>
      <c r="Q2477" t="str">
        <f>CHOOSE(WEEKDAY(datos_siembra[[#This Row],[Date]],2),"L","M","X","J","V","S","D")</f>
        <v>J</v>
      </c>
      <c r="R2477">
        <f>WEEKNUM(datos_siembra[[#This Row],[Date]],2)-WEEKNUM(DATE(YEAR(datos_siembra[[#This Row],[Date]]),MONTH(datos_siembra[[#This Row],[Date]]),1))+1</f>
        <v>1</v>
      </c>
      <c r="S2477">
        <f>MONTH(datos_siembra[[#This Row],[Date]])</f>
        <v>10</v>
      </c>
      <c r="T2477" t="str" cm="1">
        <f t="array" ref="T2477">_xlfn.IFS(AND(N2477&lt;= 22, S2477=9), "SOWING",AND(N2477&lt;= 28, S2477=9), "COVERAGE",AND(N2477&lt;= 30, S2477=9), "FLUSH",AND(N2477&lt;= 11, S2477=10), "FLUSH",AND(N2477&lt;= 21, S2477=10), "PRODUCTION")</f>
        <v>FLUSH</v>
      </c>
      <c r="U2477">
        <f>HOUR(datos_siembra[[#This Row],[Hour]])</f>
        <v>23</v>
      </c>
      <c r="V2477" cm="1">
        <f t="array" ref="V2477">_xlfn.IFS(AND(N2477&lt;= 22, S2477=9), N2477-7,AND(N2477&lt;= 28, S2477=9), N2477-25,AND(N2477&lt;= 30, S2477=9), N2477-28,AND(N2477&lt;= 11, S2477=10), N2477+2,AND(N2477&lt;= 21, S2477=10), N2477-11)</f>
        <v>5</v>
      </c>
    </row>
    <row r="2478" spans="1:22" x14ac:dyDescent="0.35">
      <c r="A2478" s="4">
        <v>45568</v>
      </c>
      <c r="B2478" s="5">
        <v>0.99622685185185189</v>
      </c>
      <c r="C2478">
        <v>68.5</v>
      </c>
      <c r="D2478">
        <v>68.099999999999994</v>
      </c>
      <c r="E2478">
        <v>66.5</v>
      </c>
      <c r="F2478">
        <v>65</v>
      </c>
      <c r="G2478">
        <v>0</v>
      </c>
      <c r="H2478">
        <v>0</v>
      </c>
      <c r="I2478">
        <v>0</v>
      </c>
      <c r="J2478">
        <v>0</v>
      </c>
      <c r="K2478">
        <v>60.5</v>
      </c>
      <c r="L2478">
        <v>61.2</v>
      </c>
      <c r="M2478">
        <v>67.040000000000006</v>
      </c>
      <c r="N2478">
        <v>3</v>
      </c>
      <c r="O2478">
        <v>2</v>
      </c>
      <c r="P2478">
        <f>MOD(DAY(datos_siembra[[#This Row],[Date]]),7)</f>
        <v>3</v>
      </c>
      <c r="Q2478" t="str">
        <f>CHOOSE(WEEKDAY(datos_siembra[[#This Row],[Date]],2),"L","M","X","J","V","S","D")</f>
        <v>J</v>
      </c>
      <c r="R2478">
        <f>WEEKNUM(datos_siembra[[#This Row],[Date]],2)-WEEKNUM(DATE(YEAR(datos_siembra[[#This Row],[Date]]),MONTH(datos_siembra[[#This Row],[Date]]),1))+1</f>
        <v>1</v>
      </c>
      <c r="S2478">
        <f>MONTH(datos_siembra[[#This Row],[Date]])</f>
        <v>10</v>
      </c>
      <c r="T2478" t="str" cm="1">
        <f t="array" ref="T2478">_xlfn.IFS(AND(N2478&lt;= 22, S2478=9), "SOWING",AND(N2478&lt;= 28, S2478=9), "COVERAGE",AND(N2478&lt;= 30, S2478=9), "FLUSH",AND(N2478&lt;= 11, S2478=10), "FLUSH",AND(N2478&lt;= 21, S2478=10), "PRODUCTION")</f>
        <v>FLUSH</v>
      </c>
      <c r="U2478">
        <f>HOUR(datos_siembra[[#This Row],[Hour]])</f>
        <v>23</v>
      </c>
      <c r="V2478" cm="1">
        <f t="array" ref="V2478">_xlfn.IFS(AND(N2478&lt;= 22, S2478=9), N2478-7,AND(N2478&lt;= 28, S2478=9), N2478-25,AND(N2478&lt;= 30, S2478=9), N2478-28,AND(N2478&lt;= 11, S2478=10), N2478+2,AND(N2478&lt;= 21, S2478=10), N2478-11)</f>
        <v>5</v>
      </c>
    </row>
    <row r="2479" spans="1:22" x14ac:dyDescent="0.35">
      <c r="A2479" s="4">
        <v>45569</v>
      </c>
      <c r="B2479" s="5">
        <v>3.1828703703703702E-3</v>
      </c>
      <c r="C2479">
        <v>68.3</v>
      </c>
      <c r="D2479">
        <v>68.099999999999994</v>
      </c>
      <c r="E2479">
        <v>66.5</v>
      </c>
      <c r="F2479">
        <v>64.900000000000006</v>
      </c>
      <c r="G2479">
        <v>0</v>
      </c>
      <c r="H2479">
        <v>0</v>
      </c>
      <c r="I2479">
        <v>0</v>
      </c>
      <c r="J2479">
        <v>0</v>
      </c>
      <c r="K2479">
        <v>60.5</v>
      </c>
      <c r="L2479">
        <v>61.2</v>
      </c>
      <c r="M2479">
        <v>67.02</v>
      </c>
      <c r="N2479">
        <v>4</v>
      </c>
      <c r="O2479">
        <v>3</v>
      </c>
      <c r="P2479">
        <f>MOD(DAY(datos_siembra[[#This Row],[Date]]),7)</f>
        <v>4</v>
      </c>
      <c r="Q2479" t="str">
        <f>CHOOSE(WEEKDAY(datos_siembra[[#This Row],[Date]],2),"L","M","X","J","V","S","D")</f>
        <v>V</v>
      </c>
      <c r="R2479">
        <f>WEEKNUM(datos_siembra[[#This Row],[Date]],2)-WEEKNUM(DATE(YEAR(datos_siembra[[#This Row],[Date]]),MONTH(datos_siembra[[#This Row],[Date]]),1))+1</f>
        <v>1</v>
      </c>
      <c r="S2479">
        <f>MONTH(datos_siembra[[#This Row],[Date]])</f>
        <v>10</v>
      </c>
      <c r="T2479" t="str" cm="1">
        <f t="array" ref="T2479">_xlfn.IFS(AND(N2479&lt;= 22, S2479=9), "SOWING",AND(N2479&lt;= 28, S2479=9), "COVERAGE",AND(N2479&lt;= 30, S2479=9), "FLUSH",AND(N2479&lt;= 11, S2479=10), "FLUSH",AND(N2479&lt;= 21, S2479=10), "PRODUCTION")</f>
        <v>FLUSH</v>
      </c>
      <c r="U2479">
        <f>HOUR(datos_siembra[[#This Row],[Hour]])</f>
        <v>0</v>
      </c>
      <c r="V2479" cm="1">
        <f t="array" ref="V2479">_xlfn.IFS(AND(N2479&lt;= 22, S2479=9), N2479-7,AND(N2479&lt;= 28, S2479=9), N2479-25,AND(N2479&lt;= 30, S2479=9), N2479-28,AND(N2479&lt;= 11, S2479=10), N2479+2,AND(N2479&lt;= 21, S2479=10), N2479-11)</f>
        <v>6</v>
      </c>
    </row>
    <row r="2480" spans="1:22" x14ac:dyDescent="0.35">
      <c r="A2480" s="4">
        <v>45569</v>
      </c>
      <c r="B2480" s="5">
        <v>1.0127314814814815E-2</v>
      </c>
      <c r="C2480">
        <v>68.3</v>
      </c>
      <c r="D2480">
        <v>68.099999999999994</v>
      </c>
      <c r="E2480">
        <v>66.599999999999994</v>
      </c>
      <c r="F2480">
        <v>65</v>
      </c>
      <c r="G2480">
        <v>0</v>
      </c>
      <c r="H2480">
        <v>0</v>
      </c>
      <c r="I2480">
        <v>0</v>
      </c>
      <c r="J2480">
        <v>0</v>
      </c>
      <c r="K2480">
        <v>60.6</v>
      </c>
      <c r="L2480">
        <v>61.4</v>
      </c>
      <c r="M2480">
        <v>66.930000000000007</v>
      </c>
      <c r="N2480">
        <v>4</v>
      </c>
      <c r="O2480">
        <v>3</v>
      </c>
      <c r="P2480">
        <f>MOD(DAY(datos_siembra[[#This Row],[Date]]),7)</f>
        <v>4</v>
      </c>
      <c r="Q2480" t="str">
        <f>CHOOSE(WEEKDAY(datos_siembra[[#This Row],[Date]],2),"L","M","X","J","V","S","D")</f>
        <v>V</v>
      </c>
      <c r="R2480">
        <f>WEEKNUM(datos_siembra[[#This Row],[Date]],2)-WEEKNUM(DATE(YEAR(datos_siembra[[#This Row],[Date]]),MONTH(datos_siembra[[#This Row],[Date]]),1))+1</f>
        <v>1</v>
      </c>
      <c r="S2480">
        <f>MONTH(datos_siembra[[#This Row],[Date]])</f>
        <v>10</v>
      </c>
      <c r="T2480" t="str" cm="1">
        <f t="array" ref="T2480">_xlfn.IFS(AND(N2480&lt;= 22, S2480=9), "SOWING",AND(N2480&lt;= 28, S2480=9), "COVERAGE",AND(N2480&lt;= 30, S2480=9), "FLUSH",AND(N2480&lt;= 11, S2480=10), "FLUSH",AND(N2480&lt;= 21, S2480=10), "PRODUCTION")</f>
        <v>FLUSH</v>
      </c>
      <c r="U2480">
        <f>HOUR(datos_siembra[[#This Row],[Hour]])</f>
        <v>0</v>
      </c>
      <c r="V2480" cm="1">
        <f t="array" ref="V2480">_xlfn.IFS(AND(N2480&lt;= 22, S2480=9), N2480-7,AND(N2480&lt;= 28, S2480=9), N2480-25,AND(N2480&lt;= 30, S2480=9), N2480-28,AND(N2480&lt;= 11, S2480=10), N2480+2,AND(N2480&lt;= 21, S2480=10), N2480-11)</f>
        <v>6</v>
      </c>
    </row>
    <row r="2481" spans="1:22" x14ac:dyDescent="0.35">
      <c r="A2481" s="4">
        <v>45569</v>
      </c>
      <c r="B2481" s="5">
        <v>1.7071759259259259E-2</v>
      </c>
      <c r="C2481">
        <v>68.099999999999994</v>
      </c>
      <c r="D2481">
        <v>68.099999999999994</v>
      </c>
      <c r="E2481">
        <v>66.5</v>
      </c>
      <c r="F2481">
        <v>65.2</v>
      </c>
      <c r="G2481">
        <v>0</v>
      </c>
      <c r="H2481">
        <v>0</v>
      </c>
      <c r="I2481">
        <v>0</v>
      </c>
      <c r="J2481">
        <v>0</v>
      </c>
      <c r="K2481">
        <v>60.6</v>
      </c>
      <c r="L2481">
        <v>61.2</v>
      </c>
      <c r="M2481">
        <v>66.989999999999995</v>
      </c>
      <c r="N2481">
        <v>4</v>
      </c>
      <c r="O2481">
        <v>3</v>
      </c>
      <c r="P2481">
        <f>MOD(DAY(datos_siembra[[#This Row],[Date]]),7)</f>
        <v>4</v>
      </c>
      <c r="Q2481" t="str">
        <f>CHOOSE(WEEKDAY(datos_siembra[[#This Row],[Date]],2),"L","M","X","J","V","S","D")</f>
        <v>V</v>
      </c>
      <c r="R2481">
        <f>WEEKNUM(datos_siembra[[#This Row],[Date]],2)-WEEKNUM(DATE(YEAR(datos_siembra[[#This Row],[Date]]),MONTH(datos_siembra[[#This Row],[Date]]),1))+1</f>
        <v>1</v>
      </c>
      <c r="S2481">
        <f>MONTH(datos_siembra[[#This Row],[Date]])</f>
        <v>10</v>
      </c>
      <c r="T2481" t="str" cm="1">
        <f t="array" ref="T2481">_xlfn.IFS(AND(N2481&lt;= 22, S2481=9), "SOWING",AND(N2481&lt;= 28, S2481=9), "COVERAGE",AND(N2481&lt;= 30, S2481=9), "FLUSH",AND(N2481&lt;= 11, S2481=10), "FLUSH",AND(N2481&lt;= 21, S2481=10), "PRODUCTION")</f>
        <v>FLUSH</v>
      </c>
      <c r="U2481">
        <f>HOUR(datos_siembra[[#This Row],[Hour]])</f>
        <v>0</v>
      </c>
      <c r="V2481" cm="1">
        <f t="array" ref="V2481">_xlfn.IFS(AND(N2481&lt;= 22, S2481=9), N2481-7,AND(N2481&lt;= 28, S2481=9), N2481-25,AND(N2481&lt;= 30, S2481=9), N2481-28,AND(N2481&lt;= 11, S2481=10), N2481+2,AND(N2481&lt;= 21, S2481=10), N2481-11)</f>
        <v>6</v>
      </c>
    </row>
    <row r="2482" spans="1:22" x14ac:dyDescent="0.35">
      <c r="A2482" s="4">
        <v>45569</v>
      </c>
      <c r="B2482" s="5">
        <v>2.4016203703703703E-2</v>
      </c>
      <c r="C2482">
        <v>68.2</v>
      </c>
      <c r="D2482">
        <v>68.099999999999994</v>
      </c>
      <c r="E2482">
        <v>66.400000000000006</v>
      </c>
      <c r="F2482">
        <v>64.900000000000006</v>
      </c>
      <c r="G2482">
        <v>0</v>
      </c>
      <c r="H2482">
        <v>0</v>
      </c>
      <c r="I2482">
        <v>0</v>
      </c>
      <c r="J2482">
        <v>0</v>
      </c>
      <c r="K2482">
        <v>60.6</v>
      </c>
      <c r="L2482">
        <v>61.4</v>
      </c>
      <c r="M2482">
        <v>66.989999999999995</v>
      </c>
      <c r="N2482">
        <v>4</v>
      </c>
      <c r="O2482">
        <v>3</v>
      </c>
      <c r="P2482">
        <f>MOD(DAY(datos_siembra[[#This Row],[Date]]),7)</f>
        <v>4</v>
      </c>
      <c r="Q2482" t="str">
        <f>CHOOSE(WEEKDAY(datos_siembra[[#This Row],[Date]],2),"L","M","X","J","V","S","D")</f>
        <v>V</v>
      </c>
      <c r="R2482">
        <f>WEEKNUM(datos_siembra[[#This Row],[Date]],2)-WEEKNUM(DATE(YEAR(datos_siembra[[#This Row],[Date]]),MONTH(datos_siembra[[#This Row],[Date]]),1))+1</f>
        <v>1</v>
      </c>
      <c r="S2482">
        <f>MONTH(datos_siembra[[#This Row],[Date]])</f>
        <v>10</v>
      </c>
      <c r="T2482" t="str" cm="1">
        <f t="array" ref="T2482">_xlfn.IFS(AND(N2482&lt;= 22, S2482=9), "SOWING",AND(N2482&lt;= 28, S2482=9), "COVERAGE",AND(N2482&lt;= 30, S2482=9), "FLUSH",AND(N2482&lt;= 11, S2482=10), "FLUSH",AND(N2482&lt;= 21, S2482=10), "PRODUCTION")</f>
        <v>FLUSH</v>
      </c>
      <c r="U2482">
        <f>HOUR(datos_siembra[[#This Row],[Hour]])</f>
        <v>0</v>
      </c>
      <c r="V2482" cm="1">
        <f t="array" ref="V2482">_xlfn.IFS(AND(N2482&lt;= 22, S2482=9), N2482-7,AND(N2482&lt;= 28, S2482=9), N2482-25,AND(N2482&lt;= 30, S2482=9), N2482-28,AND(N2482&lt;= 11, S2482=10), N2482+2,AND(N2482&lt;= 21, S2482=10), N2482-11)</f>
        <v>6</v>
      </c>
    </row>
    <row r="2483" spans="1:22" x14ac:dyDescent="0.35">
      <c r="A2483" s="4">
        <v>45569</v>
      </c>
      <c r="B2483" s="5">
        <v>3.0972222222222224E-2</v>
      </c>
      <c r="C2483">
        <v>68.3</v>
      </c>
      <c r="D2483">
        <v>68.2</v>
      </c>
      <c r="E2483">
        <v>66.400000000000006</v>
      </c>
      <c r="F2483">
        <v>64.7</v>
      </c>
      <c r="G2483">
        <v>0</v>
      </c>
      <c r="H2483">
        <v>0</v>
      </c>
      <c r="I2483">
        <v>0</v>
      </c>
      <c r="J2483">
        <v>0</v>
      </c>
      <c r="K2483">
        <v>60.6</v>
      </c>
      <c r="L2483">
        <v>61.4</v>
      </c>
      <c r="M2483">
        <v>66.930000000000007</v>
      </c>
      <c r="N2483">
        <v>4</v>
      </c>
      <c r="O2483">
        <v>3</v>
      </c>
      <c r="P2483">
        <f>MOD(DAY(datos_siembra[[#This Row],[Date]]),7)</f>
        <v>4</v>
      </c>
      <c r="Q2483" t="str">
        <f>CHOOSE(WEEKDAY(datos_siembra[[#This Row],[Date]],2),"L","M","X","J","V","S","D")</f>
        <v>V</v>
      </c>
      <c r="R2483">
        <f>WEEKNUM(datos_siembra[[#This Row],[Date]],2)-WEEKNUM(DATE(YEAR(datos_siembra[[#This Row],[Date]]),MONTH(datos_siembra[[#This Row],[Date]]),1))+1</f>
        <v>1</v>
      </c>
      <c r="S2483">
        <f>MONTH(datos_siembra[[#This Row],[Date]])</f>
        <v>10</v>
      </c>
      <c r="T2483" t="str" cm="1">
        <f t="array" ref="T2483">_xlfn.IFS(AND(N2483&lt;= 22, S2483=9), "SOWING",AND(N2483&lt;= 28, S2483=9), "COVERAGE",AND(N2483&lt;= 30, S2483=9), "FLUSH",AND(N2483&lt;= 11, S2483=10), "FLUSH",AND(N2483&lt;= 21, S2483=10), "PRODUCTION")</f>
        <v>FLUSH</v>
      </c>
      <c r="U2483">
        <f>HOUR(datos_siembra[[#This Row],[Hour]])</f>
        <v>0</v>
      </c>
      <c r="V2483" cm="1">
        <f t="array" ref="V2483">_xlfn.IFS(AND(N2483&lt;= 22, S2483=9), N2483-7,AND(N2483&lt;= 28, S2483=9), N2483-25,AND(N2483&lt;= 30, S2483=9), N2483-28,AND(N2483&lt;= 11, S2483=10), N2483+2,AND(N2483&lt;= 21, S2483=10), N2483-11)</f>
        <v>6</v>
      </c>
    </row>
    <row r="2484" spans="1:22" x14ac:dyDescent="0.35">
      <c r="A2484" s="4">
        <v>45569</v>
      </c>
      <c r="B2484" s="5">
        <v>3.7916666666666668E-2</v>
      </c>
      <c r="C2484">
        <v>68.3</v>
      </c>
      <c r="D2484">
        <v>68.2</v>
      </c>
      <c r="E2484">
        <v>66.2</v>
      </c>
      <c r="F2484">
        <v>64.900000000000006</v>
      </c>
      <c r="G2484">
        <v>0</v>
      </c>
      <c r="H2484">
        <v>0</v>
      </c>
      <c r="I2484">
        <v>0</v>
      </c>
      <c r="J2484">
        <v>0</v>
      </c>
      <c r="K2484">
        <v>60.6</v>
      </c>
      <c r="L2484">
        <v>61.4</v>
      </c>
      <c r="M2484">
        <v>66.930000000000007</v>
      </c>
      <c r="N2484">
        <v>4</v>
      </c>
      <c r="O2484">
        <v>3</v>
      </c>
      <c r="P2484">
        <f>MOD(DAY(datos_siembra[[#This Row],[Date]]),7)</f>
        <v>4</v>
      </c>
      <c r="Q2484" t="str">
        <f>CHOOSE(WEEKDAY(datos_siembra[[#This Row],[Date]],2),"L","M","X","J","V","S","D")</f>
        <v>V</v>
      </c>
      <c r="R2484">
        <f>WEEKNUM(datos_siembra[[#This Row],[Date]],2)-WEEKNUM(DATE(YEAR(datos_siembra[[#This Row],[Date]]),MONTH(datos_siembra[[#This Row],[Date]]),1))+1</f>
        <v>1</v>
      </c>
      <c r="S2484">
        <f>MONTH(datos_siembra[[#This Row],[Date]])</f>
        <v>10</v>
      </c>
      <c r="T2484" t="str" cm="1">
        <f t="array" ref="T2484">_xlfn.IFS(AND(N2484&lt;= 22, S2484=9), "SOWING",AND(N2484&lt;= 28, S2484=9), "COVERAGE",AND(N2484&lt;= 30, S2484=9), "FLUSH",AND(N2484&lt;= 11, S2484=10), "FLUSH",AND(N2484&lt;= 21, S2484=10), "PRODUCTION")</f>
        <v>FLUSH</v>
      </c>
      <c r="U2484">
        <f>HOUR(datos_siembra[[#This Row],[Hour]])</f>
        <v>0</v>
      </c>
      <c r="V2484" cm="1">
        <f t="array" ref="V2484">_xlfn.IFS(AND(N2484&lt;= 22, S2484=9), N2484-7,AND(N2484&lt;= 28, S2484=9), N2484-25,AND(N2484&lt;= 30, S2484=9), N2484-28,AND(N2484&lt;= 11, S2484=10), N2484+2,AND(N2484&lt;= 21, S2484=10), N2484-11)</f>
        <v>6</v>
      </c>
    </row>
    <row r="2485" spans="1:22" x14ac:dyDescent="0.35">
      <c r="A2485" s="4">
        <v>45569</v>
      </c>
      <c r="B2485" s="5">
        <v>4.4861111111111109E-2</v>
      </c>
      <c r="C2485">
        <v>68.2</v>
      </c>
      <c r="D2485">
        <v>68.099999999999994</v>
      </c>
      <c r="E2485">
        <v>66.3</v>
      </c>
      <c r="F2485">
        <v>64.7</v>
      </c>
      <c r="G2485">
        <v>0</v>
      </c>
      <c r="H2485">
        <v>0</v>
      </c>
      <c r="I2485">
        <v>0</v>
      </c>
      <c r="J2485">
        <v>0</v>
      </c>
      <c r="K2485">
        <v>60.7</v>
      </c>
      <c r="L2485">
        <v>61.4</v>
      </c>
      <c r="M2485">
        <v>66.87</v>
      </c>
      <c r="N2485">
        <v>4</v>
      </c>
      <c r="O2485">
        <v>3</v>
      </c>
      <c r="P2485">
        <f>MOD(DAY(datos_siembra[[#This Row],[Date]]),7)</f>
        <v>4</v>
      </c>
      <c r="Q2485" t="str">
        <f>CHOOSE(WEEKDAY(datos_siembra[[#This Row],[Date]],2),"L","M","X","J","V","S","D")</f>
        <v>V</v>
      </c>
      <c r="R2485">
        <f>WEEKNUM(datos_siembra[[#This Row],[Date]],2)-WEEKNUM(DATE(YEAR(datos_siembra[[#This Row],[Date]]),MONTH(datos_siembra[[#This Row],[Date]]),1))+1</f>
        <v>1</v>
      </c>
      <c r="S2485">
        <f>MONTH(datos_siembra[[#This Row],[Date]])</f>
        <v>10</v>
      </c>
      <c r="T2485" t="str" cm="1">
        <f t="array" ref="T2485">_xlfn.IFS(AND(N2485&lt;= 22, S2485=9), "SOWING",AND(N2485&lt;= 28, S2485=9), "COVERAGE",AND(N2485&lt;= 30, S2485=9), "FLUSH",AND(N2485&lt;= 11, S2485=10), "FLUSH",AND(N2485&lt;= 21, S2485=10), "PRODUCTION")</f>
        <v>FLUSH</v>
      </c>
      <c r="U2485">
        <f>HOUR(datos_siembra[[#This Row],[Hour]])</f>
        <v>1</v>
      </c>
      <c r="V2485" cm="1">
        <f t="array" ref="V2485">_xlfn.IFS(AND(N2485&lt;= 22, S2485=9), N2485-7,AND(N2485&lt;= 28, S2485=9), N2485-25,AND(N2485&lt;= 30, S2485=9), N2485-28,AND(N2485&lt;= 11, S2485=10), N2485+2,AND(N2485&lt;= 21, S2485=10), N2485-11)</f>
        <v>6</v>
      </c>
    </row>
    <row r="2486" spans="1:22" x14ac:dyDescent="0.35">
      <c r="A2486" s="4">
        <v>45569</v>
      </c>
      <c r="B2486" s="5">
        <v>5.1805555555555556E-2</v>
      </c>
      <c r="C2486">
        <v>68.2</v>
      </c>
      <c r="D2486">
        <v>68.099999999999994</v>
      </c>
      <c r="E2486">
        <v>66.3</v>
      </c>
      <c r="F2486">
        <v>64.7</v>
      </c>
      <c r="G2486">
        <v>0</v>
      </c>
      <c r="H2486">
        <v>0</v>
      </c>
      <c r="I2486">
        <v>0</v>
      </c>
      <c r="J2486">
        <v>0</v>
      </c>
      <c r="K2486">
        <v>60.6</v>
      </c>
      <c r="L2486">
        <v>61.2</v>
      </c>
      <c r="M2486">
        <v>66.900000000000006</v>
      </c>
      <c r="N2486">
        <v>4</v>
      </c>
      <c r="O2486">
        <v>3</v>
      </c>
      <c r="P2486">
        <f>MOD(DAY(datos_siembra[[#This Row],[Date]]),7)</f>
        <v>4</v>
      </c>
      <c r="Q2486" t="str">
        <f>CHOOSE(WEEKDAY(datos_siembra[[#This Row],[Date]],2),"L","M","X","J","V","S","D")</f>
        <v>V</v>
      </c>
      <c r="R2486">
        <f>WEEKNUM(datos_siembra[[#This Row],[Date]],2)-WEEKNUM(DATE(YEAR(datos_siembra[[#This Row],[Date]]),MONTH(datos_siembra[[#This Row],[Date]]),1))+1</f>
        <v>1</v>
      </c>
      <c r="S2486">
        <f>MONTH(datos_siembra[[#This Row],[Date]])</f>
        <v>10</v>
      </c>
      <c r="T2486" t="str" cm="1">
        <f t="array" ref="T2486">_xlfn.IFS(AND(N2486&lt;= 22, S2486=9), "SOWING",AND(N2486&lt;= 28, S2486=9), "COVERAGE",AND(N2486&lt;= 30, S2486=9), "FLUSH",AND(N2486&lt;= 11, S2486=10), "FLUSH",AND(N2486&lt;= 21, S2486=10), "PRODUCTION")</f>
        <v>FLUSH</v>
      </c>
      <c r="U2486">
        <f>HOUR(datos_siembra[[#This Row],[Hour]])</f>
        <v>1</v>
      </c>
      <c r="V2486" cm="1">
        <f t="array" ref="V2486">_xlfn.IFS(AND(N2486&lt;= 22, S2486=9), N2486-7,AND(N2486&lt;= 28, S2486=9), N2486-25,AND(N2486&lt;= 30, S2486=9), N2486-28,AND(N2486&lt;= 11, S2486=10), N2486+2,AND(N2486&lt;= 21, S2486=10), N2486-11)</f>
        <v>6</v>
      </c>
    </row>
    <row r="2487" spans="1:22" x14ac:dyDescent="0.35">
      <c r="A2487" s="4">
        <v>45569</v>
      </c>
      <c r="B2487" s="5">
        <v>5.8761574074074077E-2</v>
      </c>
      <c r="C2487">
        <v>68.2</v>
      </c>
      <c r="D2487">
        <v>68</v>
      </c>
      <c r="E2487">
        <v>66.2</v>
      </c>
      <c r="F2487">
        <v>64.7</v>
      </c>
      <c r="G2487">
        <v>0</v>
      </c>
      <c r="H2487">
        <v>0</v>
      </c>
      <c r="I2487">
        <v>0</v>
      </c>
      <c r="J2487">
        <v>0</v>
      </c>
      <c r="K2487">
        <v>60.6</v>
      </c>
      <c r="L2487">
        <v>61.4</v>
      </c>
      <c r="M2487">
        <v>66.87</v>
      </c>
      <c r="N2487">
        <v>4</v>
      </c>
      <c r="O2487">
        <v>3</v>
      </c>
      <c r="P2487">
        <f>MOD(DAY(datos_siembra[[#This Row],[Date]]),7)</f>
        <v>4</v>
      </c>
      <c r="Q2487" t="str">
        <f>CHOOSE(WEEKDAY(datos_siembra[[#This Row],[Date]],2),"L","M","X","J","V","S","D")</f>
        <v>V</v>
      </c>
      <c r="R2487">
        <f>WEEKNUM(datos_siembra[[#This Row],[Date]],2)-WEEKNUM(DATE(YEAR(datos_siembra[[#This Row],[Date]]),MONTH(datos_siembra[[#This Row],[Date]]),1))+1</f>
        <v>1</v>
      </c>
      <c r="S2487">
        <f>MONTH(datos_siembra[[#This Row],[Date]])</f>
        <v>10</v>
      </c>
      <c r="T2487" t="str" cm="1">
        <f t="array" ref="T2487">_xlfn.IFS(AND(N2487&lt;= 22, S2487=9), "SOWING",AND(N2487&lt;= 28, S2487=9), "COVERAGE",AND(N2487&lt;= 30, S2487=9), "FLUSH",AND(N2487&lt;= 11, S2487=10), "FLUSH",AND(N2487&lt;= 21, S2487=10), "PRODUCTION")</f>
        <v>FLUSH</v>
      </c>
      <c r="U2487">
        <f>HOUR(datos_siembra[[#This Row],[Hour]])</f>
        <v>1</v>
      </c>
      <c r="V2487" cm="1">
        <f t="array" ref="V2487">_xlfn.IFS(AND(N2487&lt;= 22, S2487=9), N2487-7,AND(N2487&lt;= 28, S2487=9), N2487-25,AND(N2487&lt;= 30, S2487=9), N2487-28,AND(N2487&lt;= 11, S2487=10), N2487+2,AND(N2487&lt;= 21, S2487=10), N2487-11)</f>
        <v>6</v>
      </c>
    </row>
    <row r="2488" spans="1:22" x14ac:dyDescent="0.35">
      <c r="A2488" s="4">
        <v>45569</v>
      </c>
      <c r="B2488" s="5">
        <v>6.5706018518518525E-2</v>
      </c>
      <c r="C2488">
        <v>68.099999999999994</v>
      </c>
      <c r="D2488">
        <v>67.900000000000006</v>
      </c>
      <c r="E2488">
        <v>66.099999999999994</v>
      </c>
      <c r="F2488">
        <v>64.900000000000006</v>
      </c>
      <c r="G2488">
        <v>0</v>
      </c>
      <c r="H2488">
        <v>0</v>
      </c>
      <c r="I2488">
        <v>0</v>
      </c>
      <c r="J2488">
        <v>0</v>
      </c>
      <c r="K2488">
        <v>60.6</v>
      </c>
      <c r="L2488">
        <v>61.4</v>
      </c>
      <c r="M2488">
        <v>66.790000000000006</v>
      </c>
      <c r="N2488">
        <v>4</v>
      </c>
      <c r="O2488">
        <v>3</v>
      </c>
      <c r="P2488">
        <f>MOD(DAY(datos_siembra[[#This Row],[Date]]),7)</f>
        <v>4</v>
      </c>
      <c r="Q2488" t="str">
        <f>CHOOSE(WEEKDAY(datos_siembra[[#This Row],[Date]],2),"L","M","X","J","V","S","D")</f>
        <v>V</v>
      </c>
      <c r="R2488">
        <f>WEEKNUM(datos_siembra[[#This Row],[Date]],2)-WEEKNUM(DATE(YEAR(datos_siembra[[#This Row],[Date]]),MONTH(datos_siembra[[#This Row],[Date]]),1))+1</f>
        <v>1</v>
      </c>
      <c r="S2488">
        <f>MONTH(datos_siembra[[#This Row],[Date]])</f>
        <v>10</v>
      </c>
      <c r="T2488" t="str" cm="1">
        <f t="array" ref="T2488">_xlfn.IFS(AND(N2488&lt;= 22, S2488=9), "SOWING",AND(N2488&lt;= 28, S2488=9), "COVERAGE",AND(N2488&lt;= 30, S2488=9), "FLUSH",AND(N2488&lt;= 11, S2488=10), "FLUSH",AND(N2488&lt;= 21, S2488=10), "PRODUCTION")</f>
        <v>FLUSH</v>
      </c>
      <c r="U2488">
        <f>HOUR(datos_siembra[[#This Row],[Hour]])</f>
        <v>1</v>
      </c>
      <c r="V2488" cm="1">
        <f t="array" ref="V2488">_xlfn.IFS(AND(N2488&lt;= 22, S2488=9), N2488-7,AND(N2488&lt;= 28, S2488=9), N2488-25,AND(N2488&lt;= 30, S2488=9), N2488-28,AND(N2488&lt;= 11, S2488=10), N2488+2,AND(N2488&lt;= 21, S2488=10), N2488-11)</f>
        <v>6</v>
      </c>
    </row>
    <row r="2489" spans="1:22" x14ac:dyDescent="0.35">
      <c r="A2489" s="4">
        <v>45569</v>
      </c>
      <c r="B2489" s="5">
        <v>7.2650462962962958E-2</v>
      </c>
      <c r="C2489">
        <v>68.2</v>
      </c>
      <c r="D2489">
        <v>68</v>
      </c>
      <c r="E2489">
        <v>66.2</v>
      </c>
      <c r="F2489">
        <v>64.7</v>
      </c>
      <c r="G2489">
        <v>0</v>
      </c>
      <c r="H2489">
        <v>0</v>
      </c>
      <c r="I2489">
        <v>0</v>
      </c>
      <c r="J2489">
        <v>0</v>
      </c>
      <c r="K2489">
        <v>60.5</v>
      </c>
      <c r="L2489">
        <v>61.2</v>
      </c>
      <c r="M2489">
        <v>66.790000000000006</v>
      </c>
      <c r="N2489">
        <v>4</v>
      </c>
      <c r="O2489">
        <v>3</v>
      </c>
      <c r="P2489">
        <f>MOD(DAY(datos_siembra[[#This Row],[Date]]),7)</f>
        <v>4</v>
      </c>
      <c r="Q2489" t="str">
        <f>CHOOSE(WEEKDAY(datos_siembra[[#This Row],[Date]],2),"L","M","X","J","V","S","D")</f>
        <v>V</v>
      </c>
      <c r="R2489">
        <f>WEEKNUM(datos_siembra[[#This Row],[Date]],2)-WEEKNUM(DATE(YEAR(datos_siembra[[#This Row],[Date]]),MONTH(datos_siembra[[#This Row],[Date]]),1))+1</f>
        <v>1</v>
      </c>
      <c r="S2489">
        <f>MONTH(datos_siembra[[#This Row],[Date]])</f>
        <v>10</v>
      </c>
      <c r="T2489" t="str" cm="1">
        <f t="array" ref="T2489">_xlfn.IFS(AND(N2489&lt;= 22, S2489=9), "SOWING",AND(N2489&lt;= 28, S2489=9), "COVERAGE",AND(N2489&lt;= 30, S2489=9), "FLUSH",AND(N2489&lt;= 11, S2489=10), "FLUSH",AND(N2489&lt;= 21, S2489=10), "PRODUCTION")</f>
        <v>FLUSH</v>
      </c>
      <c r="U2489">
        <f>HOUR(datos_siembra[[#This Row],[Hour]])</f>
        <v>1</v>
      </c>
      <c r="V2489" cm="1">
        <f t="array" ref="V2489">_xlfn.IFS(AND(N2489&lt;= 22, S2489=9), N2489-7,AND(N2489&lt;= 28, S2489=9), N2489-25,AND(N2489&lt;= 30, S2489=9), N2489-28,AND(N2489&lt;= 11, S2489=10), N2489+2,AND(N2489&lt;= 21, S2489=10), N2489-11)</f>
        <v>6</v>
      </c>
    </row>
    <row r="2490" spans="1:22" x14ac:dyDescent="0.35">
      <c r="A2490" s="4">
        <v>45569</v>
      </c>
      <c r="B2490" s="5">
        <v>7.9606481481481486E-2</v>
      </c>
      <c r="C2490">
        <v>68.2</v>
      </c>
      <c r="D2490">
        <v>68</v>
      </c>
      <c r="E2490">
        <v>66.3</v>
      </c>
      <c r="F2490">
        <v>64.7</v>
      </c>
      <c r="G2490">
        <v>0</v>
      </c>
      <c r="H2490">
        <v>0</v>
      </c>
      <c r="I2490">
        <v>0</v>
      </c>
      <c r="J2490">
        <v>0</v>
      </c>
      <c r="K2490">
        <v>60.5</v>
      </c>
      <c r="L2490">
        <v>61.1</v>
      </c>
      <c r="M2490">
        <v>66.760000000000005</v>
      </c>
      <c r="N2490">
        <v>4</v>
      </c>
      <c r="O2490">
        <v>3</v>
      </c>
      <c r="P2490">
        <f>MOD(DAY(datos_siembra[[#This Row],[Date]]),7)</f>
        <v>4</v>
      </c>
      <c r="Q2490" t="str">
        <f>CHOOSE(WEEKDAY(datos_siembra[[#This Row],[Date]],2),"L","M","X","J","V","S","D")</f>
        <v>V</v>
      </c>
      <c r="R2490">
        <f>WEEKNUM(datos_siembra[[#This Row],[Date]],2)-WEEKNUM(DATE(YEAR(datos_siembra[[#This Row],[Date]]),MONTH(datos_siembra[[#This Row],[Date]]),1))+1</f>
        <v>1</v>
      </c>
      <c r="S2490">
        <f>MONTH(datos_siembra[[#This Row],[Date]])</f>
        <v>10</v>
      </c>
      <c r="T2490" t="str" cm="1">
        <f t="array" ref="T2490">_xlfn.IFS(AND(N2490&lt;= 22, S2490=9), "SOWING",AND(N2490&lt;= 28, S2490=9), "COVERAGE",AND(N2490&lt;= 30, S2490=9), "FLUSH",AND(N2490&lt;= 11, S2490=10), "FLUSH",AND(N2490&lt;= 21, S2490=10), "PRODUCTION")</f>
        <v>FLUSH</v>
      </c>
      <c r="U2490">
        <f>HOUR(datos_siembra[[#This Row],[Hour]])</f>
        <v>1</v>
      </c>
      <c r="V2490" cm="1">
        <f t="array" ref="V2490">_xlfn.IFS(AND(N2490&lt;= 22, S2490=9), N2490-7,AND(N2490&lt;= 28, S2490=9), N2490-25,AND(N2490&lt;= 30, S2490=9), N2490-28,AND(N2490&lt;= 11, S2490=10), N2490+2,AND(N2490&lt;= 21, S2490=10), N2490-11)</f>
        <v>6</v>
      </c>
    </row>
    <row r="2491" spans="1:22" x14ac:dyDescent="0.35">
      <c r="A2491" s="4">
        <v>45569</v>
      </c>
      <c r="B2491" s="5">
        <v>8.655092592592592E-2</v>
      </c>
      <c r="C2491">
        <v>68</v>
      </c>
      <c r="D2491">
        <v>68</v>
      </c>
      <c r="E2491">
        <v>66.2</v>
      </c>
      <c r="F2491">
        <v>64.7</v>
      </c>
      <c r="G2491">
        <v>0</v>
      </c>
      <c r="H2491">
        <v>0</v>
      </c>
      <c r="I2491">
        <v>0</v>
      </c>
      <c r="J2491">
        <v>0</v>
      </c>
      <c r="K2491">
        <v>60.5</v>
      </c>
      <c r="L2491">
        <v>61.2</v>
      </c>
      <c r="M2491">
        <v>66.790000000000006</v>
      </c>
      <c r="N2491">
        <v>4</v>
      </c>
      <c r="O2491">
        <v>3</v>
      </c>
      <c r="P2491">
        <f>MOD(DAY(datos_siembra[[#This Row],[Date]]),7)</f>
        <v>4</v>
      </c>
      <c r="Q2491" t="str">
        <f>CHOOSE(WEEKDAY(datos_siembra[[#This Row],[Date]],2),"L","M","X","J","V","S","D")</f>
        <v>V</v>
      </c>
      <c r="R2491">
        <f>WEEKNUM(datos_siembra[[#This Row],[Date]],2)-WEEKNUM(DATE(YEAR(datos_siembra[[#This Row],[Date]]),MONTH(datos_siembra[[#This Row],[Date]]),1))+1</f>
        <v>1</v>
      </c>
      <c r="S2491">
        <f>MONTH(datos_siembra[[#This Row],[Date]])</f>
        <v>10</v>
      </c>
      <c r="T2491" t="str" cm="1">
        <f t="array" ref="T2491">_xlfn.IFS(AND(N2491&lt;= 22, S2491=9), "SOWING",AND(N2491&lt;= 28, S2491=9), "COVERAGE",AND(N2491&lt;= 30, S2491=9), "FLUSH",AND(N2491&lt;= 11, S2491=10), "FLUSH",AND(N2491&lt;= 21, S2491=10), "PRODUCTION")</f>
        <v>FLUSH</v>
      </c>
      <c r="U2491">
        <f>HOUR(datos_siembra[[#This Row],[Hour]])</f>
        <v>2</v>
      </c>
      <c r="V2491" cm="1">
        <f t="array" ref="V2491">_xlfn.IFS(AND(N2491&lt;= 22, S2491=9), N2491-7,AND(N2491&lt;= 28, S2491=9), N2491-25,AND(N2491&lt;= 30, S2491=9), N2491-28,AND(N2491&lt;= 11, S2491=10), N2491+2,AND(N2491&lt;= 21, S2491=10), N2491-11)</f>
        <v>6</v>
      </c>
    </row>
    <row r="2492" spans="1:22" x14ac:dyDescent="0.35">
      <c r="A2492" s="4">
        <v>45569</v>
      </c>
      <c r="B2492" s="5">
        <v>9.3495370370370368E-2</v>
      </c>
      <c r="C2492">
        <v>68</v>
      </c>
      <c r="D2492">
        <v>67.900000000000006</v>
      </c>
      <c r="E2492">
        <v>66.2</v>
      </c>
      <c r="F2492">
        <v>64.900000000000006</v>
      </c>
      <c r="G2492">
        <v>0</v>
      </c>
      <c r="H2492">
        <v>0</v>
      </c>
      <c r="I2492">
        <v>0</v>
      </c>
      <c r="J2492">
        <v>0</v>
      </c>
      <c r="K2492">
        <v>60.5</v>
      </c>
      <c r="L2492">
        <v>61.2</v>
      </c>
      <c r="M2492">
        <v>66.819999999999993</v>
      </c>
      <c r="N2492">
        <v>4</v>
      </c>
      <c r="O2492">
        <v>3</v>
      </c>
      <c r="P2492">
        <f>MOD(DAY(datos_siembra[[#This Row],[Date]]),7)</f>
        <v>4</v>
      </c>
      <c r="Q2492" t="str">
        <f>CHOOSE(WEEKDAY(datos_siembra[[#This Row],[Date]],2),"L","M","X","J","V","S","D")</f>
        <v>V</v>
      </c>
      <c r="R2492">
        <f>WEEKNUM(datos_siembra[[#This Row],[Date]],2)-WEEKNUM(DATE(YEAR(datos_siembra[[#This Row],[Date]]),MONTH(datos_siembra[[#This Row],[Date]]),1))+1</f>
        <v>1</v>
      </c>
      <c r="S2492">
        <f>MONTH(datos_siembra[[#This Row],[Date]])</f>
        <v>10</v>
      </c>
      <c r="T2492" t="str" cm="1">
        <f t="array" ref="T2492">_xlfn.IFS(AND(N2492&lt;= 22, S2492=9), "SOWING",AND(N2492&lt;= 28, S2492=9), "COVERAGE",AND(N2492&lt;= 30, S2492=9), "FLUSH",AND(N2492&lt;= 11, S2492=10), "FLUSH",AND(N2492&lt;= 21, S2492=10), "PRODUCTION")</f>
        <v>FLUSH</v>
      </c>
      <c r="U2492">
        <f>HOUR(datos_siembra[[#This Row],[Hour]])</f>
        <v>2</v>
      </c>
      <c r="V2492" cm="1">
        <f t="array" ref="V2492">_xlfn.IFS(AND(N2492&lt;= 22, S2492=9), N2492-7,AND(N2492&lt;= 28, S2492=9), N2492-25,AND(N2492&lt;= 30, S2492=9), N2492-28,AND(N2492&lt;= 11, S2492=10), N2492+2,AND(N2492&lt;= 21, S2492=10), N2492-11)</f>
        <v>6</v>
      </c>
    </row>
    <row r="2493" spans="1:22" x14ac:dyDescent="0.35">
      <c r="A2493" s="4">
        <v>45569</v>
      </c>
      <c r="B2493" s="5">
        <v>0.10043981481481482</v>
      </c>
      <c r="C2493">
        <v>68</v>
      </c>
      <c r="D2493">
        <v>67.900000000000006</v>
      </c>
      <c r="E2493">
        <v>66.400000000000006</v>
      </c>
      <c r="F2493">
        <v>64.599999999999994</v>
      </c>
      <c r="G2493">
        <v>0</v>
      </c>
      <c r="H2493">
        <v>0</v>
      </c>
      <c r="I2493">
        <v>0</v>
      </c>
      <c r="J2493">
        <v>0</v>
      </c>
      <c r="K2493">
        <v>60.3</v>
      </c>
      <c r="L2493">
        <v>61.1</v>
      </c>
      <c r="M2493">
        <v>66.709999999999994</v>
      </c>
      <c r="N2493">
        <v>4</v>
      </c>
      <c r="O2493">
        <v>3</v>
      </c>
      <c r="P2493">
        <f>MOD(DAY(datos_siembra[[#This Row],[Date]]),7)</f>
        <v>4</v>
      </c>
      <c r="Q2493" t="str">
        <f>CHOOSE(WEEKDAY(datos_siembra[[#This Row],[Date]],2),"L","M","X","J","V","S","D")</f>
        <v>V</v>
      </c>
      <c r="R2493">
        <f>WEEKNUM(datos_siembra[[#This Row],[Date]],2)-WEEKNUM(DATE(YEAR(datos_siembra[[#This Row],[Date]]),MONTH(datos_siembra[[#This Row],[Date]]),1))+1</f>
        <v>1</v>
      </c>
      <c r="S2493">
        <f>MONTH(datos_siembra[[#This Row],[Date]])</f>
        <v>10</v>
      </c>
      <c r="T2493" t="str" cm="1">
        <f t="array" ref="T2493">_xlfn.IFS(AND(N2493&lt;= 22, S2493=9), "SOWING",AND(N2493&lt;= 28, S2493=9), "COVERAGE",AND(N2493&lt;= 30, S2493=9), "FLUSH",AND(N2493&lt;= 11, S2493=10), "FLUSH",AND(N2493&lt;= 21, S2493=10), "PRODUCTION")</f>
        <v>FLUSH</v>
      </c>
      <c r="U2493">
        <f>HOUR(datos_siembra[[#This Row],[Hour]])</f>
        <v>2</v>
      </c>
      <c r="V2493" cm="1">
        <f t="array" ref="V2493">_xlfn.IFS(AND(N2493&lt;= 22, S2493=9), N2493-7,AND(N2493&lt;= 28, S2493=9), N2493-25,AND(N2493&lt;= 30, S2493=9), N2493-28,AND(N2493&lt;= 11, S2493=10), N2493+2,AND(N2493&lt;= 21, S2493=10), N2493-11)</f>
        <v>6</v>
      </c>
    </row>
    <row r="2494" spans="1:22" x14ac:dyDescent="0.35">
      <c r="A2494" s="4">
        <v>45569</v>
      </c>
      <c r="B2494" s="5">
        <v>0.10739583333333333</v>
      </c>
      <c r="C2494">
        <v>68.099999999999994</v>
      </c>
      <c r="D2494">
        <v>68</v>
      </c>
      <c r="E2494">
        <v>66.2</v>
      </c>
      <c r="F2494">
        <v>64.900000000000006</v>
      </c>
      <c r="G2494">
        <v>0</v>
      </c>
      <c r="H2494">
        <v>0</v>
      </c>
      <c r="I2494">
        <v>0</v>
      </c>
      <c r="J2494">
        <v>0</v>
      </c>
      <c r="K2494">
        <v>60.3</v>
      </c>
      <c r="L2494">
        <v>61.1</v>
      </c>
      <c r="M2494">
        <v>66.680000000000007</v>
      </c>
      <c r="N2494">
        <v>4</v>
      </c>
      <c r="O2494">
        <v>3</v>
      </c>
      <c r="P2494">
        <f>MOD(DAY(datos_siembra[[#This Row],[Date]]),7)</f>
        <v>4</v>
      </c>
      <c r="Q2494" t="str">
        <f>CHOOSE(WEEKDAY(datos_siembra[[#This Row],[Date]],2),"L","M","X","J","V","S","D")</f>
        <v>V</v>
      </c>
      <c r="R2494">
        <f>WEEKNUM(datos_siembra[[#This Row],[Date]],2)-WEEKNUM(DATE(YEAR(datos_siembra[[#This Row],[Date]]),MONTH(datos_siembra[[#This Row],[Date]]),1))+1</f>
        <v>1</v>
      </c>
      <c r="S2494">
        <f>MONTH(datos_siembra[[#This Row],[Date]])</f>
        <v>10</v>
      </c>
      <c r="T2494" t="str" cm="1">
        <f t="array" ref="T2494">_xlfn.IFS(AND(N2494&lt;= 22, S2494=9), "SOWING",AND(N2494&lt;= 28, S2494=9), "COVERAGE",AND(N2494&lt;= 30, S2494=9), "FLUSH",AND(N2494&lt;= 11, S2494=10), "FLUSH",AND(N2494&lt;= 21, S2494=10), "PRODUCTION")</f>
        <v>FLUSH</v>
      </c>
      <c r="U2494">
        <f>HOUR(datos_siembra[[#This Row],[Hour]])</f>
        <v>2</v>
      </c>
      <c r="V2494" cm="1">
        <f t="array" ref="V2494">_xlfn.IFS(AND(N2494&lt;= 22, S2494=9), N2494-7,AND(N2494&lt;= 28, S2494=9), N2494-25,AND(N2494&lt;= 30, S2494=9), N2494-28,AND(N2494&lt;= 11, S2494=10), N2494+2,AND(N2494&lt;= 21, S2494=10), N2494-11)</f>
        <v>6</v>
      </c>
    </row>
    <row r="2495" spans="1:22" x14ac:dyDescent="0.35">
      <c r="A2495" s="4">
        <v>45569</v>
      </c>
      <c r="B2495" s="5">
        <v>0.11434027777777778</v>
      </c>
      <c r="C2495">
        <v>68.099999999999994</v>
      </c>
      <c r="D2495">
        <v>67.900000000000006</v>
      </c>
      <c r="E2495">
        <v>66.099999999999994</v>
      </c>
      <c r="F2495">
        <v>64.900000000000006</v>
      </c>
      <c r="G2495">
        <v>0</v>
      </c>
      <c r="H2495">
        <v>0</v>
      </c>
      <c r="I2495">
        <v>0</v>
      </c>
      <c r="J2495">
        <v>0</v>
      </c>
      <c r="K2495">
        <v>60.2</v>
      </c>
      <c r="L2495">
        <v>61</v>
      </c>
      <c r="M2495">
        <v>66.650000000000006</v>
      </c>
      <c r="N2495">
        <v>4</v>
      </c>
      <c r="O2495">
        <v>3</v>
      </c>
      <c r="P2495">
        <f>MOD(DAY(datos_siembra[[#This Row],[Date]]),7)</f>
        <v>4</v>
      </c>
      <c r="Q2495" t="str">
        <f>CHOOSE(WEEKDAY(datos_siembra[[#This Row],[Date]],2),"L","M","X","J","V","S","D")</f>
        <v>V</v>
      </c>
      <c r="R2495">
        <f>WEEKNUM(datos_siembra[[#This Row],[Date]],2)-WEEKNUM(DATE(YEAR(datos_siembra[[#This Row],[Date]]),MONTH(datos_siembra[[#This Row],[Date]]),1))+1</f>
        <v>1</v>
      </c>
      <c r="S2495">
        <f>MONTH(datos_siembra[[#This Row],[Date]])</f>
        <v>10</v>
      </c>
      <c r="T2495" t="str" cm="1">
        <f t="array" ref="T2495">_xlfn.IFS(AND(N2495&lt;= 22, S2495=9), "SOWING",AND(N2495&lt;= 28, S2495=9), "COVERAGE",AND(N2495&lt;= 30, S2495=9), "FLUSH",AND(N2495&lt;= 11, S2495=10), "FLUSH",AND(N2495&lt;= 21, S2495=10), "PRODUCTION")</f>
        <v>FLUSH</v>
      </c>
      <c r="U2495">
        <f>HOUR(datos_siembra[[#This Row],[Hour]])</f>
        <v>2</v>
      </c>
      <c r="V2495" cm="1">
        <f t="array" ref="V2495">_xlfn.IFS(AND(N2495&lt;= 22, S2495=9), N2495-7,AND(N2495&lt;= 28, S2495=9), N2495-25,AND(N2495&lt;= 30, S2495=9), N2495-28,AND(N2495&lt;= 11, S2495=10), N2495+2,AND(N2495&lt;= 21, S2495=10), N2495-11)</f>
        <v>6</v>
      </c>
    </row>
    <row r="2496" spans="1:22" x14ac:dyDescent="0.35">
      <c r="A2496" s="4">
        <v>45569</v>
      </c>
      <c r="B2496" s="5">
        <v>0.12128472222222222</v>
      </c>
      <c r="C2496">
        <v>68.2</v>
      </c>
      <c r="D2496">
        <v>67.900000000000006</v>
      </c>
      <c r="E2496">
        <v>66.099999999999994</v>
      </c>
      <c r="F2496">
        <v>64.7</v>
      </c>
      <c r="G2496">
        <v>0</v>
      </c>
      <c r="H2496">
        <v>0</v>
      </c>
      <c r="I2496">
        <v>0</v>
      </c>
      <c r="J2496">
        <v>0</v>
      </c>
      <c r="K2496">
        <v>60.2</v>
      </c>
      <c r="L2496">
        <v>61</v>
      </c>
      <c r="M2496">
        <v>66.680000000000007</v>
      </c>
      <c r="N2496">
        <v>4</v>
      </c>
      <c r="O2496">
        <v>3</v>
      </c>
      <c r="P2496">
        <f>MOD(DAY(datos_siembra[[#This Row],[Date]]),7)</f>
        <v>4</v>
      </c>
      <c r="Q2496" t="str">
        <f>CHOOSE(WEEKDAY(datos_siembra[[#This Row],[Date]],2),"L","M","X","J","V","S","D")</f>
        <v>V</v>
      </c>
      <c r="R2496">
        <f>WEEKNUM(datos_siembra[[#This Row],[Date]],2)-WEEKNUM(DATE(YEAR(datos_siembra[[#This Row],[Date]]),MONTH(datos_siembra[[#This Row],[Date]]),1))+1</f>
        <v>1</v>
      </c>
      <c r="S2496">
        <f>MONTH(datos_siembra[[#This Row],[Date]])</f>
        <v>10</v>
      </c>
      <c r="T2496" t="str" cm="1">
        <f t="array" ref="T2496">_xlfn.IFS(AND(N2496&lt;= 22, S2496=9), "SOWING",AND(N2496&lt;= 28, S2496=9), "COVERAGE",AND(N2496&lt;= 30, S2496=9), "FLUSH",AND(N2496&lt;= 11, S2496=10), "FLUSH",AND(N2496&lt;= 21, S2496=10), "PRODUCTION")</f>
        <v>FLUSH</v>
      </c>
      <c r="U2496">
        <f>HOUR(datos_siembra[[#This Row],[Hour]])</f>
        <v>2</v>
      </c>
      <c r="V2496" cm="1">
        <f t="array" ref="V2496">_xlfn.IFS(AND(N2496&lt;= 22, S2496=9), N2496-7,AND(N2496&lt;= 28, S2496=9), N2496-25,AND(N2496&lt;= 30, S2496=9), N2496-28,AND(N2496&lt;= 11, S2496=10), N2496+2,AND(N2496&lt;= 21, S2496=10), N2496-11)</f>
        <v>6</v>
      </c>
    </row>
    <row r="2497" spans="1:22" x14ac:dyDescent="0.35">
      <c r="A2497" s="4">
        <v>45569</v>
      </c>
      <c r="B2497" s="5">
        <v>0.12822916666666667</v>
      </c>
      <c r="C2497">
        <v>68</v>
      </c>
      <c r="D2497">
        <v>67.900000000000006</v>
      </c>
      <c r="E2497">
        <v>66.099999999999994</v>
      </c>
      <c r="F2497">
        <v>64.599999999999994</v>
      </c>
      <c r="G2497">
        <v>0</v>
      </c>
      <c r="H2497">
        <v>0</v>
      </c>
      <c r="I2497">
        <v>0</v>
      </c>
      <c r="J2497">
        <v>0</v>
      </c>
      <c r="K2497">
        <v>60.1</v>
      </c>
      <c r="L2497">
        <v>61</v>
      </c>
      <c r="M2497">
        <v>66.680000000000007</v>
      </c>
      <c r="N2497">
        <v>4</v>
      </c>
      <c r="O2497">
        <v>3</v>
      </c>
      <c r="P2497">
        <f>MOD(DAY(datos_siembra[[#This Row],[Date]]),7)</f>
        <v>4</v>
      </c>
      <c r="Q2497" t="str">
        <f>CHOOSE(WEEKDAY(datos_siembra[[#This Row],[Date]],2),"L","M","X","J","V","S","D")</f>
        <v>V</v>
      </c>
      <c r="R2497">
        <f>WEEKNUM(datos_siembra[[#This Row],[Date]],2)-WEEKNUM(DATE(YEAR(datos_siembra[[#This Row],[Date]]),MONTH(datos_siembra[[#This Row],[Date]]),1))+1</f>
        <v>1</v>
      </c>
      <c r="S2497">
        <f>MONTH(datos_siembra[[#This Row],[Date]])</f>
        <v>10</v>
      </c>
      <c r="T2497" t="str" cm="1">
        <f t="array" ref="T2497">_xlfn.IFS(AND(N2497&lt;= 22, S2497=9), "SOWING",AND(N2497&lt;= 28, S2497=9), "COVERAGE",AND(N2497&lt;= 30, S2497=9), "FLUSH",AND(N2497&lt;= 11, S2497=10), "FLUSH",AND(N2497&lt;= 21, S2497=10), "PRODUCTION")</f>
        <v>FLUSH</v>
      </c>
      <c r="U2497">
        <f>HOUR(datos_siembra[[#This Row],[Hour]])</f>
        <v>3</v>
      </c>
      <c r="V2497" cm="1">
        <f t="array" ref="V2497">_xlfn.IFS(AND(N2497&lt;= 22, S2497=9), N2497-7,AND(N2497&lt;= 28, S2497=9), N2497-25,AND(N2497&lt;= 30, S2497=9), N2497-28,AND(N2497&lt;= 11, S2497=10), N2497+2,AND(N2497&lt;= 21, S2497=10), N2497-11)</f>
        <v>6</v>
      </c>
    </row>
    <row r="2498" spans="1:22" x14ac:dyDescent="0.35">
      <c r="A2498" s="4">
        <v>45569</v>
      </c>
      <c r="B2498" s="5">
        <v>0.13518518518518519</v>
      </c>
      <c r="C2498">
        <v>67.900000000000006</v>
      </c>
      <c r="D2498">
        <v>67.900000000000006</v>
      </c>
      <c r="E2498">
        <v>66.099999999999994</v>
      </c>
      <c r="F2498">
        <v>64.599999999999994</v>
      </c>
      <c r="G2498">
        <v>0</v>
      </c>
      <c r="H2498">
        <v>0</v>
      </c>
      <c r="I2498">
        <v>0</v>
      </c>
      <c r="J2498">
        <v>0</v>
      </c>
      <c r="K2498">
        <v>60.1</v>
      </c>
      <c r="L2498">
        <v>60.8</v>
      </c>
      <c r="M2498">
        <v>66.73</v>
      </c>
      <c r="N2498">
        <v>4</v>
      </c>
      <c r="O2498">
        <v>3</v>
      </c>
      <c r="P2498">
        <f>MOD(DAY(datos_siembra[[#This Row],[Date]]),7)</f>
        <v>4</v>
      </c>
      <c r="Q2498" t="str">
        <f>CHOOSE(WEEKDAY(datos_siembra[[#This Row],[Date]],2),"L","M","X","J","V","S","D")</f>
        <v>V</v>
      </c>
      <c r="R2498">
        <f>WEEKNUM(datos_siembra[[#This Row],[Date]],2)-WEEKNUM(DATE(YEAR(datos_siembra[[#This Row],[Date]]),MONTH(datos_siembra[[#This Row],[Date]]),1))+1</f>
        <v>1</v>
      </c>
      <c r="S2498">
        <f>MONTH(datos_siembra[[#This Row],[Date]])</f>
        <v>10</v>
      </c>
      <c r="T2498" t="str" cm="1">
        <f t="array" ref="T2498">_xlfn.IFS(AND(N2498&lt;= 22, S2498=9), "SOWING",AND(N2498&lt;= 28, S2498=9), "COVERAGE",AND(N2498&lt;= 30, S2498=9), "FLUSH",AND(N2498&lt;= 11, S2498=10), "FLUSH",AND(N2498&lt;= 21, S2498=10), "PRODUCTION")</f>
        <v>FLUSH</v>
      </c>
      <c r="U2498">
        <f>HOUR(datos_siembra[[#This Row],[Hour]])</f>
        <v>3</v>
      </c>
      <c r="V2498" cm="1">
        <f t="array" ref="V2498">_xlfn.IFS(AND(N2498&lt;= 22, S2498=9), N2498-7,AND(N2498&lt;= 28, S2498=9), N2498-25,AND(N2498&lt;= 30, S2498=9), N2498-28,AND(N2498&lt;= 11, S2498=10), N2498+2,AND(N2498&lt;= 21, S2498=10), N2498-11)</f>
        <v>6</v>
      </c>
    </row>
    <row r="2499" spans="1:22" x14ac:dyDescent="0.35">
      <c r="A2499" s="4">
        <v>45569</v>
      </c>
      <c r="B2499" s="5">
        <v>0.14212962962962963</v>
      </c>
      <c r="C2499">
        <v>67.900000000000006</v>
      </c>
      <c r="D2499">
        <v>67.8</v>
      </c>
      <c r="E2499">
        <v>66.2</v>
      </c>
      <c r="F2499">
        <v>64.599999999999994</v>
      </c>
      <c r="G2499">
        <v>0</v>
      </c>
      <c r="H2499">
        <v>0</v>
      </c>
      <c r="I2499">
        <v>0</v>
      </c>
      <c r="J2499">
        <v>0</v>
      </c>
      <c r="K2499">
        <v>60.1</v>
      </c>
      <c r="L2499">
        <v>60.9</v>
      </c>
      <c r="M2499">
        <v>66.73</v>
      </c>
      <c r="N2499">
        <v>4</v>
      </c>
      <c r="O2499">
        <v>3</v>
      </c>
      <c r="P2499">
        <f>MOD(DAY(datos_siembra[[#This Row],[Date]]),7)</f>
        <v>4</v>
      </c>
      <c r="Q2499" t="str">
        <f>CHOOSE(WEEKDAY(datos_siembra[[#This Row],[Date]],2),"L","M","X","J","V","S","D")</f>
        <v>V</v>
      </c>
      <c r="R2499">
        <f>WEEKNUM(datos_siembra[[#This Row],[Date]],2)-WEEKNUM(DATE(YEAR(datos_siembra[[#This Row],[Date]]),MONTH(datos_siembra[[#This Row],[Date]]),1))+1</f>
        <v>1</v>
      </c>
      <c r="S2499">
        <f>MONTH(datos_siembra[[#This Row],[Date]])</f>
        <v>10</v>
      </c>
      <c r="T2499" t="str" cm="1">
        <f t="array" ref="T2499">_xlfn.IFS(AND(N2499&lt;= 22, S2499=9), "SOWING",AND(N2499&lt;= 28, S2499=9), "COVERAGE",AND(N2499&lt;= 30, S2499=9), "FLUSH",AND(N2499&lt;= 11, S2499=10), "FLUSH",AND(N2499&lt;= 21, S2499=10), "PRODUCTION")</f>
        <v>FLUSH</v>
      </c>
      <c r="U2499">
        <f>HOUR(datos_siembra[[#This Row],[Hour]])</f>
        <v>3</v>
      </c>
      <c r="V2499" cm="1">
        <f t="array" ref="V2499">_xlfn.IFS(AND(N2499&lt;= 22, S2499=9), N2499-7,AND(N2499&lt;= 28, S2499=9), N2499-25,AND(N2499&lt;= 30, S2499=9), N2499-28,AND(N2499&lt;= 11, S2499=10), N2499+2,AND(N2499&lt;= 21, S2499=10), N2499-11)</f>
        <v>6</v>
      </c>
    </row>
    <row r="2500" spans="1:22" x14ac:dyDescent="0.35">
      <c r="A2500" s="4">
        <v>45569</v>
      </c>
      <c r="B2500" s="5">
        <v>0.14907407407407408</v>
      </c>
      <c r="C2500">
        <v>68.099999999999994</v>
      </c>
      <c r="D2500">
        <v>68</v>
      </c>
      <c r="E2500">
        <v>66</v>
      </c>
      <c r="F2500">
        <v>64.7</v>
      </c>
      <c r="G2500">
        <v>0</v>
      </c>
      <c r="H2500">
        <v>0</v>
      </c>
      <c r="I2500">
        <v>0</v>
      </c>
      <c r="J2500">
        <v>0</v>
      </c>
      <c r="K2500">
        <v>60</v>
      </c>
      <c r="L2500">
        <v>60.8</v>
      </c>
      <c r="M2500">
        <v>66.709999999999994</v>
      </c>
      <c r="N2500">
        <v>4</v>
      </c>
      <c r="O2500">
        <v>3</v>
      </c>
      <c r="P2500">
        <f>MOD(DAY(datos_siembra[[#This Row],[Date]]),7)</f>
        <v>4</v>
      </c>
      <c r="Q2500" t="str">
        <f>CHOOSE(WEEKDAY(datos_siembra[[#This Row],[Date]],2),"L","M","X","J","V","S","D")</f>
        <v>V</v>
      </c>
      <c r="R2500">
        <f>WEEKNUM(datos_siembra[[#This Row],[Date]],2)-WEEKNUM(DATE(YEAR(datos_siembra[[#This Row],[Date]]),MONTH(datos_siembra[[#This Row],[Date]]),1))+1</f>
        <v>1</v>
      </c>
      <c r="S2500">
        <f>MONTH(datos_siembra[[#This Row],[Date]])</f>
        <v>10</v>
      </c>
      <c r="T2500" t="str" cm="1">
        <f t="array" ref="T2500">_xlfn.IFS(AND(N2500&lt;= 22, S2500=9), "SOWING",AND(N2500&lt;= 28, S2500=9), "COVERAGE",AND(N2500&lt;= 30, S2500=9), "FLUSH",AND(N2500&lt;= 11, S2500=10), "FLUSH",AND(N2500&lt;= 21, S2500=10), "PRODUCTION")</f>
        <v>FLUSH</v>
      </c>
      <c r="U2500">
        <f>HOUR(datos_siembra[[#This Row],[Hour]])</f>
        <v>3</v>
      </c>
      <c r="V2500" cm="1">
        <f t="array" ref="V2500">_xlfn.IFS(AND(N2500&lt;= 22, S2500=9), N2500-7,AND(N2500&lt;= 28, S2500=9), N2500-25,AND(N2500&lt;= 30, S2500=9), N2500-28,AND(N2500&lt;= 11, S2500=10), N2500+2,AND(N2500&lt;= 21, S2500=10), N2500-11)</f>
        <v>6</v>
      </c>
    </row>
    <row r="2501" spans="1:22" x14ac:dyDescent="0.35">
      <c r="A2501" s="4">
        <v>45569</v>
      </c>
      <c r="B2501" s="5">
        <v>0.15601851851851853</v>
      </c>
      <c r="C2501">
        <v>67.900000000000006</v>
      </c>
      <c r="D2501">
        <v>68</v>
      </c>
      <c r="E2501">
        <v>66.099999999999994</v>
      </c>
      <c r="F2501">
        <v>64.7</v>
      </c>
      <c r="G2501">
        <v>0</v>
      </c>
      <c r="H2501">
        <v>0</v>
      </c>
      <c r="I2501">
        <v>0</v>
      </c>
      <c r="J2501">
        <v>0</v>
      </c>
      <c r="K2501">
        <v>60</v>
      </c>
      <c r="L2501">
        <v>60.7</v>
      </c>
      <c r="M2501">
        <v>66.680000000000007</v>
      </c>
      <c r="N2501">
        <v>4</v>
      </c>
      <c r="O2501">
        <v>3</v>
      </c>
      <c r="P2501">
        <f>MOD(DAY(datos_siembra[[#This Row],[Date]]),7)</f>
        <v>4</v>
      </c>
      <c r="Q2501" t="str">
        <f>CHOOSE(WEEKDAY(datos_siembra[[#This Row],[Date]],2),"L","M","X","J","V","S","D")</f>
        <v>V</v>
      </c>
      <c r="R2501">
        <f>WEEKNUM(datos_siembra[[#This Row],[Date]],2)-WEEKNUM(DATE(YEAR(datos_siembra[[#This Row],[Date]]),MONTH(datos_siembra[[#This Row],[Date]]),1))+1</f>
        <v>1</v>
      </c>
      <c r="S2501">
        <f>MONTH(datos_siembra[[#This Row],[Date]])</f>
        <v>10</v>
      </c>
      <c r="T2501" t="str" cm="1">
        <f t="array" ref="T2501">_xlfn.IFS(AND(N2501&lt;= 22, S2501=9), "SOWING",AND(N2501&lt;= 28, S2501=9), "COVERAGE",AND(N2501&lt;= 30, S2501=9), "FLUSH",AND(N2501&lt;= 11, S2501=10), "FLUSH",AND(N2501&lt;= 21, S2501=10), "PRODUCTION")</f>
        <v>FLUSH</v>
      </c>
      <c r="U2501">
        <f>HOUR(datos_siembra[[#This Row],[Hour]])</f>
        <v>3</v>
      </c>
      <c r="V2501" cm="1">
        <f t="array" ref="V2501">_xlfn.IFS(AND(N2501&lt;= 22, S2501=9), N2501-7,AND(N2501&lt;= 28, S2501=9), N2501-25,AND(N2501&lt;= 30, S2501=9), N2501-28,AND(N2501&lt;= 11, S2501=10), N2501+2,AND(N2501&lt;= 21, S2501=10), N2501-11)</f>
        <v>6</v>
      </c>
    </row>
    <row r="2502" spans="1:22" x14ac:dyDescent="0.35">
      <c r="A2502" s="4">
        <v>45569</v>
      </c>
      <c r="B2502" s="5">
        <v>0.16297453703703704</v>
      </c>
      <c r="C2502">
        <v>67.900000000000006</v>
      </c>
      <c r="D2502">
        <v>67.8</v>
      </c>
      <c r="E2502">
        <v>66.2</v>
      </c>
      <c r="F2502">
        <v>64.7</v>
      </c>
      <c r="G2502">
        <v>0</v>
      </c>
      <c r="H2502">
        <v>0</v>
      </c>
      <c r="I2502">
        <v>0</v>
      </c>
      <c r="J2502">
        <v>0</v>
      </c>
      <c r="K2502">
        <v>60</v>
      </c>
      <c r="L2502">
        <v>60.8</v>
      </c>
      <c r="M2502">
        <v>66.650000000000006</v>
      </c>
      <c r="N2502">
        <v>4</v>
      </c>
      <c r="O2502">
        <v>3</v>
      </c>
      <c r="P2502">
        <f>MOD(DAY(datos_siembra[[#This Row],[Date]]),7)</f>
        <v>4</v>
      </c>
      <c r="Q2502" t="str">
        <f>CHOOSE(WEEKDAY(datos_siembra[[#This Row],[Date]],2),"L","M","X","J","V","S","D")</f>
        <v>V</v>
      </c>
      <c r="R2502">
        <f>WEEKNUM(datos_siembra[[#This Row],[Date]],2)-WEEKNUM(DATE(YEAR(datos_siembra[[#This Row],[Date]]),MONTH(datos_siembra[[#This Row],[Date]]),1))+1</f>
        <v>1</v>
      </c>
      <c r="S2502">
        <f>MONTH(datos_siembra[[#This Row],[Date]])</f>
        <v>10</v>
      </c>
      <c r="T2502" t="str" cm="1">
        <f t="array" ref="T2502">_xlfn.IFS(AND(N2502&lt;= 22, S2502=9), "SOWING",AND(N2502&lt;= 28, S2502=9), "COVERAGE",AND(N2502&lt;= 30, S2502=9), "FLUSH",AND(N2502&lt;= 11, S2502=10), "FLUSH",AND(N2502&lt;= 21, S2502=10), "PRODUCTION")</f>
        <v>FLUSH</v>
      </c>
      <c r="U2502">
        <f>HOUR(datos_siembra[[#This Row],[Hour]])</f>
        <v>3</v>
      </c>
      <c r="V2502" cm="1">
        <f t="array" ref="V2502">_xlfn.IFS(AND(N2502&lt;= 22, S2502=9), N2502-7,AND(N2502&lt;= 28, S2502=9), N2502-25,AND(N2502&lt;= 30, S2502=9), N2502-28,AND(N2502&lt;= 11, S2502=10), N2502+2,AND(N2502&lt;= 21, S2502=10), N2502-11)</f>
        <v>6</v>
      </c>
    </row>
    <row r="2503" spans="1:22" x14ac:dyDescent="0.35">
      <c r="A2503" s="4">
        <v>45569</v>
      </c>
      <c r="B2503" s="5">
        <v>0.16991898148148149</v>
      </c>
      <c r="C2503">
        <v>67.900000000000006</v>
      </c>
      <c r="D2503">
        <v>67.8</v>
      </c>
      <c r="E2503">
        <v>66.099999999999994</v>
      </c>
      <c r="F2503">
        <v>64.599999999999994</v>
      </c>
      <c r="G2503">
        <v>0</v>
      </c>
      <c r="H2503">
        <v>0</v>
      </c>
      <c r="I2503">
        <v>0</v>
      </c>
      <c r="J2503">
        <v>0</v>
      </c>
      <c r="K2503">
        <v>59.9</v>
      </c>
      <c r="L2503">
        <v>60.6</v>
      </c>
      <c r="M2503">
        <v>66.62</v>
      </c>
      <c r="N2503">
        <v>4</v>
      </c>
      <c r="O2503">
        <v>3</v>
      </c>
      <c r="P2503">
        <f>MOD(DAY(datos_siembra[[#This Row],[Date]]),7)</f>
        <v>4</v>
      </c>
      <c r="Q2503" t="str">
        <f>CHOOSE(WEEKDAY(datos_siembra[[#This Row],[Date]],2),"L","M","X","J","V","S","D")</f>
        <v>V</v>
      </c>
      <c r="R2503">
        <f>WEEKNUM(datos_siembra[[#This Row],[Date]],2)-WEEKNUM(DATE(YEAR(datos_siembra[[#This Row],[Date]]),MONTH(datos_siembra[[#This Row],[Date]]),1))+1</f>
        <v>1</v>
      </c>
      <c r="S2503">
        <f>MONTH(datos_siembra[[#This Row],[Date]])</f>
        <v>10</v>
      </c>
      <c r="T2503" t="str" cm="1">
        <f t="array" ref="T2503">_xlfn.IFS(AND(N2503&lt;= 22, S2503=9), "SOWING",AND(N2503&lt;= 28, S2503=9), "COVERAGE",AND(N2503&lt;= 30, S2503=9), "FLUSH",AND(N2503&lt;= 11, S2503=10), "FLUSH",AND(N2503&lt;= 21, S2503=10), "PRODUCTION")</f>
        <v>FLUSH</v>
      </c>
      <c r="U2503">
        <f>HOUR(datos_siembra[[#This Row],[Hour]])</f>
        <v>4</v>
      </c>
      <c r="V2503" cm="1">
        <f t="array" ref="V2503">_xlfn.IFS(AND(N2503&lt;= 22, S2503=9), N2503-7,AND(N2503&lt;= 28, S2503=9), N2503-25,AND(N2503&lt;= 30, S2503=9), N2503-28,AND(N2503&lt;= 11, S2503=10), N2503+2,AND(N2503&lt;= 21, S2503=10), N2503-11)</f>
        <v>6</v>
      </c>
    </row>
    <row r="2504" spans="1:22" x14ac:dyDescent="0.35">
      <c r="A2504" s="4">
        <v>45569</v>
      </c>
      <c r="B2504" s="5">
        <v>0.17686342592592594</v>
      </c>
      <c r="C2504">
        <v>68</v>
      </c>
      <c r="D2504">
        <v>67.900000000000006</v>
      </c>
      <c r="E2504">
        <v>65.900000000000006</v>
      </c>
      <c r="F2504">
        <v>64.599999999999994</v>
      </c>
      <c r="G2504">
        <v>0</v>
      </c>
      <c r="H2504">
        <v>0</v>
      </c>
      <c r="I2504">
        <v>0</v>
      </c>
      <c r="J2504">
        <v>0</v>
      </c>
      <c r="K2504">
        <v>59.8</v>
      </c>
      <c r="L2504">
        <v>60.7</v>
      </c>
      <c r="M2504">
        <v>66.650000000000006</v>
      </c>
      <c r="N2504">
        <v>4</v>
      </c>
      <c r="O2504">
        <v>3</v>
      </c>
      <c r="P2504">
        <f>MOD(DAY(datos_siembra[[#This Row],[Date]]),7)</f>
        <v>4</v>
      </c>
      <c r="Q2504" t="str">
        <f>CHOOSE(WEEKDAY(datos_siembra[[#This Row],[Date]],2),"L","M","X","J","V","S","D")</f>
        <v>V</v>
      </c>
      <c r="R2504">
        <f>WEEKNUM(datos_siembra[[#This Row],[Date]],2)-WEEKNUM(DATE(YEAR(datos_siembra[[#This Row],[Date]]),MONTH(datos_siembra[[#This Row],[Date]]),1))+1</f>
        <v>1</v>
      </c>
      <c r="S2504">
        <f>MONTH(datos_siembra[[#This Row],[Date]])</f>
        <v>10</v>
      </c>
      <c r="T2504" t="str" cm="1">
        <f t="array" ref="T2504">_xlfn.IFS(AND(N2504&lt;= 22, S2504=9), "SOWING",AND(N2504&lt;= 28, S2504=9), "COVERAGE",AND(N2504&lt;= 30, S2504=9), "FLUSH",AND(N2504&lt;= 11, S2504=10), "FLUSH",AND(N2504&lt;= 21, S2504=10), "PRODUCTION")</f>
        <v>FLUSH</v>
      </c>
      <c r="U2504">
        <f>HOUR(datos_siembra[[#This Row],[Hour]])</f>
        <v>4</v>
      </c>
      <c r="V2504" cm="1">
        <f t="array" ref="V2504">_xlfn.IFS(AND(N2504&lt;= 22, S2504=9), N2504-7,AND(N2504&lt;= 28, S2504=9), N2504-25,AND(N2504&lt;= 30, S2504=9), N2504-28,AND(N2504&lt;= 11, S2504=10), N2504+2,AND(N2504&lt;= 21, S2504=10), N2504-11)</f>
        <v>6</v>
      </c>
    </row>
    <row r="2505" spans="1:22" x14ac:dyDescent="0.35">
      <c r="A2505" s="4">
        <v>45569</v>
      </c>
      <c r="B2505" s="5">
        <v>0.18381944444444445</v>
      </c>
      <c r="C2505">
        <v>67.8</v>
      </c>
      <c r="D2505">
        <v>67.8</v>
      </c>
      <c r="E2505">
        <v>66</v>
      </c>
      <c r="F2505">
        <v>64.7</v>
      </c>
      <c r="G2505">
        <v>0</v>
      </c>
      <c r="H2505">
        <v>0</v>
      </c>
      <c r="I2505">
        <v>0</v>
      </c>
      <c r="J2505">
        <v>0</v>
      </c>
      <c r="K2505">
        <v>59.8</v>
      </c>
      <c r="L2505">
        <v>60.6</v>
      </c>
      <c r="M2505">
        <v>66.62</v>
      </c>
      <c r="N2505">
        <v>4</v>
      </c>
      <c r="O2505">
        <v>3</v>
      </c>
      <c r="P2505">
        <f>MOD(DAY(datos_siembra[[#This Row],[Date]]),7)</f>
        <v>4</v>
      </c>
      <c r="Q2505" t="str">
        <f>CHOOSE(WEEKDAY(datos_siembra[[#This Row],[Date]],2),"L","M","X","J","V","S","D")</f>
        <v>V</v>
      </c>
      <c r="R2505">
        <f>WEEKNUM(datos_siembra[[#This Row],[Date]],2)-WEEKNUM(DATE(YEAR(datos_siembra[[#This Row],[Date]]),MONTH(datos_siembra[[#This Row],[Date]]),1))+1</f>
        <v>1</v>
      </c>
      <c r="S2505">
        <f>MONTH(datos_siembra[[#This Row],[Date]])</f>
        <v>10</v>
      </c>
      <c r="T2505" t="str" cm="1">
        <f t="array" ref="T2505">_xlfn.IFS(AND(N2505&lt;= 22, S2505=9), "SOWING",AND(N2505&lt;= 28, S2505=9), "COVERAGE",AND(N2505&lt;= 30, S2505=9), "FLUSH",AND(N2505&lt;= 11, S2505=10), "FLUSH",AND(N2505&lt;= 21, S2505=10), "PRODUCTION")</f>
        <v>FLUSH</v>
      </c>
      <c r="U2505">
        <f>HOUR(datos_siembra[[#This Row],[Hour]])</f>
        <v>4</v>
      </c>
      <c r="V2505" cm="1">
        <f t="array" ref="V2505">_xlfn.IFS(AND(N2505&lt;= 22, S2505=9), N2505-7,AND(N2505&lt;= 28, S2505=9), N2505-25,AND(N2505&lt;= 30, S2505=9), N2505-28,AND(N2505&lt;= 11, S2505=10), N2505+2,AND(N2505&lt;= 21, S2505=10), N2505-11)</f>
        <v>6</v>
      </c>
    </row>
    <row r="2506" spans="1:22" x14ac:dyDescent="0.35">
      <c r="A2506" s="4">
        <v>45569</v>
      </c>
      <c r="B2506" s="5">
        <v>0.1907638888888889</v>
      </c>
      <c r="C2506">
        <v>67.8</v>
      </c>
      <c r="D2506">
        <v>68.099999999999994</v>
      </c>
      <c r="E2506">
        <v>66</v>
      </c>
      <c r="F2506">
        <v>64.7</v>
      </c>
      <c r="G2506">
        <v>0</v>
      </c>
      <c r="H2506">
        <v>0</v>
      </c>
      <c r="I2506">
        <v>0</v>
      </c>
      <c r="J2506">
        <v>0</v>
      </c>
      <c r="K2506">
        <v>59.8</v>
      </c>
      <c r="L2506">
        <v>60.6</v>
      </c>
      <c r="M2506">
        <v>66.62</v>
      </c>
      <c r="N2506">
        <v>4</v>
      </c>
      <c r="O2506">
        <v>3</v>
      </c>
      <c r="P2506">
        <f>MOD(DAY(datos_siembra[[#This Row],[Date]]),7)</f>
        <v>4</v>
      </c>
      <c r="Q2506" t="str">
        <f>CHOOSE(WEEKDAY(datos_siembra[[#This Row],[Date]],2),"L","M","X","J","V","S","D")</f>
        <v>V</v>
      </c>
      <c r="R2506">
        <f>WEEKNUM(datos_siembra[[#This Row],[Date]],2)-WEEKNUM(DATE(YEAR(datos_siembra[[#This Row],[Date]]),MONTH(datos_siembra[[#This Row],[Date]]),1))+1</f>
        <v>1</v>
      </c>
      <c r="S2506">
        <f>MONTH(datos_siembra[[#This Row],[Date]])</f>
        <v>10</v>
      </c>
      <c r="T2506" t="str" cm="1">
        <f t="array" ref="T2506">_xlfn.IFS(AND(N2506&lt;= 22, S2506=9), "SOWING",AND(N2506&lt;= 28, S2506=9), "COVERAGE",AND(N2506&lt;= 30, S2506=9), "FLUSH",AND(N2506&lt;= 11, S2506=10), "FLUSH",AND(N2506&lt;= 21, S2506=10), "PRODUCTION")</f>
        <v>FLUSH</v>
      </c>
      <c r="U2506">
        <f>HOUR(datos_siembra[[#This Row],[Hour]])</f>
        <v>4</v>
      </c>
      <c r="V2506" cm="1">
        <f t="array" ref="V2506">_xlfn.IFS(AND(N2506&lt;= 22, S2506=9), N2506-7,AND(N2506&lt;= 28, S2506=9), N2506-25,AND(N2506&lt;= 30, S2506=9), N2506-28,AND(N2506&lt;= 11, S2506=10), N2506+2,AND(N2506&lt;= 21, S2506=10), N2506-11)</f>
        <v>6</v>
      </c>
    </row>
    <row r="2507" spans="1:22" x14ac:dyDescent="0.35">
      <c r="A2507" s="4">
        <v>45569</v>
      </c>
      <c r="B2507" s="5">
        <v>0.19770833333333335</v>
      </c>
      <c r="C2507">
        <v>68</v>
      </c>
      <c r="D2507">
        <v>68</v>
      </c>
      <c r="E2507">
        <v>66</v>
      </c>
      <c r="F2507">
        <v>64.7</v>
      </c>
      <c r="G2507">
        <v>0</v>
      </c>
      <c r="H2507">
        <v>0</v>
      </c>
      <c r="I2507">
        <v>0</v>
      </c>
      <c r="J2507">
        <v>0</v>
      </c>
      <c r="K2507">
        <v>59.8</v>
      </c>
      <c r="L2507">
        <v>60.6</v>
      </c>
      <c r="M2507">
        <v>66.62</v>
      </c>
      <c r="N2507">
        <v>4</v>
      </c>
      <c r="O2507">
        <v>3</v>
      </c>
      <c r="P2507">
        <f>MOD(DAY(datos_siembra[[#This Row],[Date]]),7)</f>
        <v>4</v>
      </c>
      <c r="Q2507" t="str">
        <f>CHOOSE(WEEKDAY(datos_siembra[[#This Row],[Date]],2),"L","M","X","J","V","S","D")</f>
        <v>V</v>
      </c>
      <c r="R2507">
        <f>WEEKNUM(datos_siembra[[#This Row],[Date]],2)-WEEKNUM(DATE(YEAR(datos_siembra[[#This Row],[Date]]),MONTH(datos_siembra[[#This Row],[Date]]),1))+1</f>
        <v>1</v>
      </c>
      <c r="S2507">
        <f>MONTH(datos_siembra[[#This Row],[Date]])</f>
        <v>10</v>
      </c>
      <c r="T2507" t="str" cm="1">
        <f t="array" ref="T2507">_xlfn.IFS(AND(N2507&lt;= 22, S2507=9), "SOWING",AND(N2507&lt;= 28, S2507=9), "COVERAGE",AND(N2507&lt;= 30, S2507=9), "FLUSH",AND(N2507&lt;= 11, S2507=10), "FLUSH",AND(N2507&lt;= 21, S2507=10), "PRODUCTION")</f>
        <v>FLUSH</v>
      </c>
      <c r="U2507">
        <f>HOUR(datos_siembra[[#This Row],[Hour]])</f>
        <v>4</v>
      </c>
      <c r="V2507" cm="1">
        <f t="array" ref="V2507">_xlfn.IFS(AND(N2507&lt;= 22, S2507=9), N2507-7,AND(N2507&lt;= 28, S2507=9), N2507-25,AND(N2507&lt;= 30, S2507=9), N2507-28,AND(N2507&lt;= 11, S2507=10), N2507+2,AND(N2507&lt;= 21, S2507=10), N2507-11)</f>
        <v>6</v>
      </c>
    </row>
    <row r="2508" spans="1:22" x14ac:dyDescent="0.35">
      <c r="A2508" s="4">
        <v>45569</v>
      </c>
      <c r="B2508" s="5">
        <v>0.20465277777777777</v>
      </c>
      <c r="C2508">
        <v>67.900000000000006</v>
      </c>
      <c r="D2508">
        <v>67.8</v>
      </c>
      <c r="E2508">
        <v>66</v>
      </c>
      <c r="F2508">
        <v>64.599999999999994</v>
      </c>
      <c r="G2508">
        <v>0</v>
      </c>
      <c r="H2508">
        <v>0</v>
      </c>
      <c r="I2508">
        <v>0</v>
      </c>
      <c r="J2508">
        <v>0</v>
      </c>
      <c r="K2508">
        <v>59.8</v>
      </c>
      <c r="L2508">
        <v>60.8</v>
      </c>
      <c r="M2508">
        <v>66.569999999999993</v>
      </c>
      <c r="N2508">
        <v>4</v>
      </c>
      <c r="O2508">
        <v>3</v>
      </c>
      <c r="P2508">
        <f>MOD(DAY(datos_siembra[[#This Row],[Date]]),7)</f>
        <v>4</v>
      </c>
      <c r="Q2508" t="str">
        <f>CHOOSE(WEEKDAY(datos_siembra[[#This Row],[Date]],2),"L","M","X","J","V","S","D")</f>
        <v>V</v>
      </c>
      <c r="R2508">
        <f>WEEKNUM(datos_siembra[[#This Row],[Date]],2)-WEEKNUM(DATE(YEAR(datos_siembra[[#This Row],[Date]]),MONTH(datos_siembra[[#This Row],[Date]]),1))+1</f>
        <v>1</v>
      </c>
      <c r="S2508">
        <f>MONTH(datos_siembra[[#This Row],[Date]])</f>
        <v>10</v>
      </c>
      <c r="T2508" t="str" cm="1">
        <f t="array" ref="T2508">_xlfn.IFS(AND(N2508&lt;= 22, S2508=9), "SOWING",AND(N2508&lt;= 28, S2508=9), "COVERAGE",AND(N2508&lt;= 30, S2508=9), "FLUSH",AND(N2508&lt;= 11, S2508=10), "FLUSH",AND(N2508&lt;= 21, S2508=10), "PRODUCTION")</f>
        <v>FLUSH</v>
      </c>
      <c r="U2508">
        <f>HOUR(datos_siembra[[#This Row],[Hour]])</f>
        <v>4</v>
      </c>
      <c r="V2508" cm="1">
        <f t="array" ref="V2508">_xlfn.IFS(AND(N2508&lt;= 22, S2508=9), N2508-7,AND(N2508&lt;= 28, S2508=9), N2508-25,AND(N2508&lt;= 30, S2508=9), N2508-28,AND(N2508&lt;= 11, S2508=10), N2508+2,AND(N2508&lt;= 21, S2508=10), N2508-11)</f>
        <v>6</v>
      </c>
    </row>
    <row r="2509" spans="1:22" x14ac:dyDescent="0.35">
      <c r="A2509" s="4">
        <v>45569</v>
      </c>
      <c r="B2509" s="5">
        <v>0.21160879629629631</v>
      </c>
      <c r="C2509">
        <v>67.900000000000006</v>
      </c>
      <c r="D2509">
        <v>68</v>
      </c>
      <c r="E2509">
        <v>66</v>
      </c>
      <c r="F2509">
        <v>64.599999999999994</v>
      </c>
      <c r="G2509">
        <v>0</v>
      </c>
      <c r="H2509">
        <v>0</v>
      </c>
      <c r="I2509">
        <v>0</v>
      </c>
      <c r="J2509">
        <v>0</v>
      </c>
      <c r="K2509">
        <v>59.9</v>
      </c>
      <c r="L2509">
        <v>60.8</v>
      </c>
      <c r="M2509">
        <v>66.59</v>
      </c>
      <c r="N2509">
        <v>4</v>
      </c>
      <c r="O2509">
        <v>3</v>
      </c>
      <c r="P2509">
        <f>MOD(DAY(datos_siembra[[#This Row],[Date]]),7)</f>
        <v>4</v>
      </c>
      <c r="Q2509" t="str">
        <f>CHOOSE(WEEKDAY(datos_siembra[[#This Row],[Date]],2),"L","M","X","J","V","S","D")</f>
        <v>V</v>
      </c>
      <c r="R2509">
        <f>WEEKNUM(datos_siembra[[#This Row],[Date]],2)-WEEKNUM(DATE(YEAR(datos_siembra[[#This Row],[Date]]),MONTH(datos_siembra[[#This Row],[Date]]),1))+1</f>
        <v>1</v>
      </c>
      <c r="S2509">
        <f>MONTH(datos_siembra[[#This Row],[Date]])</f>
        <v>10</v>
      </c>
      <c r="T2509" t="str" cm="1">
        <f t="array" ref="T2509">_xlfn.IFS(AND(N2509&lt;= 22, S2509=9), "SOWING",AND(N2509&lt;= 28, S2509=9), "COVERAGE",AND(N2509&lt;= 30, S2509=9), "FLUSH",AND(N2509&lt;= 11, S2509=10), "FLUSH",AND(N2509&lt;= 21, S2509=10), "PRODUCTION")</f>
        <v>FLUSH</v>
      </c>
      <c r="U2509">
        <f>HOUR(datos_siembra[[#This Row],[Hour]])</f>
        <v>5</v>
      </c>
      <c r="V2509" cm="1">
        <f t="array" ref="V2509">_xlfn.IFS(AND(N2509&lt;= 22, S2509=9), N2509-7,AND(N2509&lt;= 28, S2509=9), N2509-25,AND(N2509&lt;= 30, S2509=9), N2509-28,AND(N2509&lt;= 11, S2509=10), N2509+2,AND(N2509&lt;= 21, S2509=10), N2509-11)</f>
        <v>6</v>
      </c>
    </row>
    <row r="2510" spans="1:22" x14ac:dyDescent="0.35">
      <c r="A2510" s="4">
        <v>45569</v>
      </c>
      <c r="B2510" s="5">
        <v>0.21855324074074073</v>
      </c>
      <c r="C2510">
        <v>67.8</v>
      </c>
      <c r="D2510">
        <v>67.900000000000006</v>
      </c>
      <c r="E2510">
        <v>66</v>
      </c>
      <c r="F2510">
        <v>64.599999999999994</v>
      </c>
      <c r="G2510">
        <v>0</v>
      </c>
      <c r="H2510">
        <v>0</v>
      </c>
      <c r="I2510">
        <v>0</v>
      </c>
      <c r="J2510">
        <v>0</v>
      </c>
      <c r="K2510">
        <v>59.9</v>
      </c>
      <c r="L2510">
        <v>60.8</v>
      </c>
      <c r="M2510">
        <v>66.59</v>
      </c>
      <c r="N2510">
        <v>4</v>
      </c>
      <c r="O2510">
        <v>3</v>
      </c>
      <c r="P2510">
        <f>MOD(DAY(datos_siembra[[#This Row],[Date]]),7)</f>
        <v>4</v>
      </c>
      <c r="Q2510" t="str">
        <f>CHOOSE(WEEKDAY(datos_siembra[[#This Row],[Date]],2),"L","M","X","J","V","S","D")</f>
        <v>V</v>
      </c>
      <c r="R2510">
        <f>WEEKNUM(datos_siembra[[#This Row],[Date]],2)-WEEKNUM(DATE(YEAR(datos_siembra[[#This Row],[Date]]),MONTH(datos_siembra[[#This Row],[Date]]),1))+1</f>
        <v>1</v>
      </c>
      <c r="S2510">
        <f>MONTH(datos_siembra[[#This Row],[Date]])</f>
        <v>10</v>
      </c>
      <c r="T2510" t="str" cm="1">
        <f t="array" ref="T2510">_xlfn.IFS(AND(N2510&lt;= 22, S2510=9), "SOWING",AND(N2510&lt;= 28, S2510=9), "COVERAGE",AND(N2510&lt;= 30, S2510=9), "FLUSH",AND(N2510&lt;= 11, S2510=10), "FLUSH",AND(N2510&lt;= 21, S2510=10), "PRODUCTION")</f>
        <v>FLUSH</v>
      </c>
      <c r="U2510">
        <f>HOUR(datos_siembra[[#This Row],[Hour]])</f>
        <v>5</v>
      </c>
      <c r="V2510" cm="1">
        <f t="array" ref="V2510">_xlfn.IFS(AND(N2510&lt;= 22, S2510=9), N2510-7,AND(N2510&lt;= 28, S2510=9), N2510-25,AND(N2510&lt;= 30, S2510=9), N2510-28,AND(N2510&lt;= 11, S2510=10), N2510+2,AND(N2510&lt;= 21, S2510=10), N2510-11)</f>
        <v>6</v>
      </c>
    </row>
    <row r="2511" spans="1:22" x14ac:dyDescent="0.35">
      <c r="A2511" s="4">
        <v>45569</v>
      </c>
      <c r="B2511" s="5">
        <v>0.22548611111111111</v>
      </c>
      <c r="C2511">
        <v>67.900000000000006</v>
      </c>
      <c r="D2511">
        <v>68</v>
      </c>
      <c r="E2511">
        <v>66</v>
      </c>
      <c r="F2511">
        <v>64.599999999999994</v>
      </c>
      <c r="G2511">
        <v>0</v>
      </c>
      <c r="H2511">
        <v>0</v>
      </c>
      <c r="I2511">
        <v>0</v>
      </c>
      <c r="J2511">
        <v>0</v>
      </c>
      <c r="K2511">
        <v>59.9</v>
      </c>
      <c r="L2511">
        <v>60.7</v>
      </c>
      <c r="M2511">
        <v>66.59</v>
      </c>
      <c r="N2511">
        <v>4</v>
      </c>
      <c r="O2511">
        <v>3</v>
      </c>
      <c r="P2511">
        <f>MOD(DAY(datos_siembra[[#This Row],[Date]]),7)</f>
        <v>4</v>
      </c>
      <c r="Q2511" t="str">
        <f>CHOOSE(WEEKDAY(datos_siembra[[#This Row],[Date]],2),"L","M","X","J","V","S","D")</f>
        <v>V</v>
      </c>
      <c r="R2511">
        <f>WEEKNUM(datos_siembra[[#This Row],[Date]],2)-WEEKNUM(DATE(YEAR(datos_siembra[[#This Row],[Date]]),MONTH(datos_siembra[[#This Row],[Date]]),1))+1</f>
        <v>1</v>
      </c>
      <c r="S2511">
        <f>MONTH(datos_siembra[[#This Row],[Date]])</f>
        <v>10</v>
      </c>
      <c r="T2511" t="str" cm="1">
        <f t="array" ref="T2511">_xlfn.IFS(AND(N2511&lt;= 22, S2511=9), "SOWING",AND(N2511&lt;= 28, S2511=9), "COVERAGE",AND(N2511&lt;= 30, S2511=9), "FLUSH",AND(N2511&lt;= 11, S2511=10), "FLUSH",AND(N2511&lt;= 21, S2511=10), "PRODUCTION")</f>
        <v>FLUSH</v>
      </c>
      <c r="U2511">
        <f>HOUR(datos_siembra[[#This Row],[Hour]])</f>
        <v>5</v>
      </c>
      <c r="V2511" cm="1">
        <f t="array" ref="V2511">_xlfn.IFS(AND(N2511&lt;= 22, S2511=9), N2511-7,AND(N2511&lt;= 28, S2511=9), N2511-25,AND(N2511&lt;= 30, S2511=9), N2511-28,AND(N2511&lt;= 11, S2511=10), N2511+2,AND(N2511&lt;= 21, S2511=10), N2511-11)</f>
        <v>6</v>
      </c>
    </row>
    <row r="2512" spans="1:22" x14ac:dyDescent="0.35">
      <c r="A2512" s="4">
        <v>45569</v>
      </c>
      <c r="B2512" s="5">
        <v>0.23244212962962962</v>
      </c>
      <c r="C2512">
        <v>67.8</v>
      </c>
      <c r="D2512">
        <v>67.900000000000006</v>
      </c>
      <c r="E2512">
        <v>66</v>
      </c>
      <c r="F2512">
        <v>64.5</v>
      </c>
      <c r="G2512">
        <v>0</v>
      </c>
      <c r="H2512">
        <v>0</v>
      </c>
      <c r="I2512">
        <v>0</v>
      </c>
      <c r="J2512">
        <v>0</v>
      </c>
      <c r="K2512">
        <v>59.9</v>
      </c>
      <c r="L2512">
        <v>60.7</v>
      </c>
      <c r="M2512">
        <v>66.510000000000005</v>
      </c>
      <c r="N2512">
        <v>4</v>
      </c>
      <c r="O2512">
        <v>3</v>
      </c>
      <c r="P2512">
        <f>MOD(DAY(datos_siembra[[#This Row],[Date]]),7)</f>
        <v>4</v>
      </c>
      <c r="Q2512" t="str">
        <f>CHOOSE(WEEKDAY(datos_siembra[[#This Row],[Date]],2),"L","M","X","J","V","S","D")</f>
        <v>V</v>
      </c>
      <c r="R2512">
        <f>WEEKNUM(datos_siembra[[#This Row],[Date]],2)-WEEKNUM(DATE(YEAR(datos_siembra[[#This Row],[Date]]),MONTH(datos_siembra[[#This Row],[Date]]),1))+1</f>
        <v>1</v>
      </c>
      <c r="S2512">
        <f>MONTH(datos_siembra[[#This Row],[Date]])</f>
        <v>10</v>
      </c>
      <c r="T2512" t="str" cm="1">
        <f t="array" ref="T2512">_xlfn.IFS(AND(N2512&lt;= 22, S2512=9), "SOWING",AND(N2512&lt;= 28, S2512=9), "COVERAGE",AND(N2512&lt;= 30, S2512=9), "FLUSH",AND(N2512&lt;= 11, S2512=10), "FLUSH",AND(N2512&lt;= 21, S2512=10), "PRODUCTION")</f>
        <v>FLUSH</v>
      </c>
      <c r="U2512">
        <f>HOUR(datos_siembra[[#This Row],[Hour]])</f>
        <v>5</v>
      </c>
      <c r="V2512" cm="1">
        <f t="array" ref="V2512">_xlfn.IFS(AND(N2512&lt;= 22, S2512=9), N2512-7,AND(N2512&lt;= 28, S2512=9), N2512-25,AND(N2512&lt;= 30, S2512=9), N2512-28,AND(N2512&lt;= 11, S2512=10), N2512+2,AND(N2512&lt;= 21, S2512=10), N2512-11)</f>
        <v>6</v>
      </c>
    </row>
    <row r="2513" spans="1:22" x14ac:dyDescent="0.35">
      <c r="A2513" s="4">
        <v>45569</v>
      </c>
      <c r="B2513" s="5">
        <v>0.23939814814814814</v>
      </c>
      <c r="C2513">
        <v>67.8</v>
      </c>
      <c r="D2513">
        <v>67.8</v>
      </c>
      <c r="E2513">
        <v>65.900000000000006</v>
      </c>
      <c r="F2513">
        <v>64.599999999999994</v>
      </c>
      <c r="G2513">
        <v>0</v>
      </c>
      <c r="H2513">
        <v>0</v>
      </c>
      <c r="I2513">
        <v>0</v>
      </c>
      <c r="J2513">
        <v>0</v>
      </c>
      <c r="K2513">
        <v>59.9</v>
      </c>
      <c r="L2513">
        <v>60.8</v>
      </c>
      <c r="M2513">
        <v>66.569999999999993</v>
      </c>
      <c r="N2513">
        <v>4</v>
      </c>
      <c r="O2513">
        <v>3</v>
      </c>
      <c r="P2513">
        <f>MOD(DAY(datos_siembra[[#This Row],[Date]]),7)</f>
        <v>4</v>
      </c>
      <c r="Q2513" t="str">
        <f>CHOOSE(WEEKDAY(datos_siembra[[#This Row],[Date]],2),"L","M","X","J","V","S","D")</f>
        <v>V</v>
      </c>
      <c r="R2513">
        <f>WEEKNUM(datos_siembra[[#This Row],[Date]],2)-WEEKNUM(DATE(YEAR(datos_siembra[[#This Row],[Date]]),MONTH(datos_siembra[[#This Row],[Date]]),1))+1</f>
        <v>1</v>
      </c>
      <c r="S2513">
        <f>MONTH(datos_siembra[[#This Row],[Date]])</f>
        <v>10</v>
      </c>
      <c r="T2513" t="str" cm="1">
        <f t="array" ref="T2513">_xlfn.IFS(AND(N2513&lt;= 22, S2513=9), "SOWING",AND(N2513&lt;= 28, S2513=9), "COVERAGE",AND(N2513&lt;= 30, S2513=9), "FLUSH",AND(N2513&lt;= 11, S2513=10), "FLUSH",AND(N2513&lt;= 21, S2513=10), "PRODUCTION")</f>
        <v>FLUSH</v>
      </c>
      <c r="U2513">
        <f>HOUR(datos_siembra[[#This Row],[Hour]])</f>
        <v>5</v>
      </c>
      <c r="V2513" cm="1">
        <f t="array" ref="V2513">_xlfn.IFS(AND(N2513&lt;= 22, S2513=9), N2513-7,AND(N2513&lt;= 28, S2513=9), N2513-25,AND(N2513&lt;= 30, S2513=9), N2513-28,AND(N2513&lt;= 11, S2513=10), N2513+2,AND(N2513&lt;= 21, S2513=10), N2513-11)</f>
        <v>6</v>
      </c>
    </row>
    <row r="2514" spans="1:22" x14ac:dyDescent="0.35">
      <c r="A2514" s="4">
        <v>45569</v>
      </c>
      <c r="B2514" s="5">
        <v>0.24634259259259259</v>
      </c>
      <c r="C2514">
        <v>67.7</v>
      </c>
      <c r="D2514">
        <v>67.8</v>
      </c>
      <c r="E2514">
        <v>65.900000000000006</v>
      </c>
      <c r="F2514">
        <v>64.5</v>
      </c>
      <c r="G2514">
        <v>0</v>
      </c>
      <c r="H2514">
        <v>0</v>
      </c>
      <c r="I2514">
        <v>0</v>
      </c>
      <c r="J2514">
        <v>0</v>
      </c>
      <c r="K2514">
        <v>59.7</v>
      </c>
      <c r="L2514">
        <v>60.6</v>
      </c>
      <c r="M2514">
        <v>66.510000000000005</v>
      </c>
      <c r="N2514">
        <v>4</v>
      </c>
      <c r="O2514">
        <v>3</v>
      </c>
      <c r="P2514">
        <f>MOD(DAY(datos_siembra[[#This Row],[Date]]),7)</f>
        <v>4</v>
      </c>
      <c r="Q2514" t="str">
        <f>CHOOSE(WEEKDAY(datos_siembra[[#This Row],[Date]],2),"L","M","X","J","V","S","D")</f>
        <v>V</v>
      </c>
      <c r="R2514">
        <f>WEEKNUM(datos_siembra[[#This Row],[Date]],2)-WEEKNUM(DATE(YEAR(datos_siembra[[#This Row],[Date]]),MONTH(datos_siembra[[#This Row],[Date]]),1))+1</f>
        <v>1</v>
      </c>
      <c r="S2514">
        <f>MONTH(datos_siembra[[#This Row],[Date]])</f>
        <v>10</v>
      </c>
      <c r="T2514" t="str" cm="1">
        <f t="array" ref="T2514">_xlfn.IFS(AND(N2514&lt;= 22, S2514=9), "SOWING",AND(N2514&lt;= 28, S2514=9), "COVERAGE",AND(N2514&lt;= 30, S2514=9), "FLUSH",AND(N2514&lt;= 11, S2514=10), "FLUSH",AND(N2514&lt;= 21, S2514=10), "PRODUCTION")</f>
        <v>FLUSH</v>
      </c>
      <c r="U2514">
        <f>HOUR(datos_siembra[[#This Row],[Hour]])</f>
        <v>5</v>
      </c>
      <c r="V2514" cm="1">
        <f t="array" ref="V2514">_xlfn.IFS(AND(N2514&lt;= 22, S2514=9), N2514-7,AND(N2514&lt;= 28, S2514=9), N2514-25,AND(N2514&lt;= 30, S2514=9), N2514-28,AND(N2514&lt;= 11, S2514=10), N2514+2,AND(N2514&lt;= 21, S2514=10), N2514-11)</f>
        <v>6</v>
      </c>
    </row>
    <row r="2515" spans="1:22" x14ac:dyDescent="0.35">
      <c r="A2515" s="4">
        <v>45569</v>
      </c>
      <c r="B2515" s="5">
        <v>0.25328703703703703</v>
      </c>
      <c r="C2515">
        <v>67.7</v>
      </c>
      <c r="D2515">
        <v>67.8</v>
      </c>
      <c r="E2515">
        <v>65.900000000000006</v>
      </c>
      <c r="F2515">
        <v>64.599999999999994</v>
      </c>
      <c r="G2515">
        <v>0</v>
      </c>
      <c r="H2515">
        <v>0</v>
      </c>
      <c r="I2515">
        <v>0</v>
      </c>
      <c r="J2515">
        <v>0</v>
      </c>
      <c r="K2515">
        <v>59.7</v>
      </c>
      <c r="L2515">
        <v>60.5</v>
      </c>
      <c r="M2515">
        <v>66.48</v>
      </c>
      <c r="N2515">
        <v>4</v>
      </c>
      <c r="O2515">
        <v>3</v>
      </c>
      <c r="P2515">
        <f>MOD(DAY(datos_siembra[[#This Row],[Date]]),7)</f>
        <v>4</v>
      </c>
      <c r="Q2515" t="str">
        <f>CHOOSE(WEEKDAY(datos_siembra[[#This Row],[Date]],2),"L","M","X","J","V","S","D")</f>
        <v>V</v>
      </c>
      <c r="R2515">
        <f>WEEKNUM(datos_siembra[[#This Row],[Date]],2)-WEEKNUM(DATE(YEAR(datos_siembra[[#This Row],[Date]]),MONTH(datos_siembra[[#This Row],[Date]]),1))+1</f>
        <v>1</v>
      </c>
      <c r="S2515">
        <f>MONTH(datos_siembra[[#This Row],[Date]])</f>
        <v>10</v>
      </c>
      <c r="T2515" t="str" cm="1">
        <f t="array" ref="T2515">_xlfn.IFS(AND(N2515&lt;= 22, S2515=9), "SOWING",AND(N2515&lt;= 28, S2515=9), "COVERAGE",AND(N2515&lt;= 30, S2515=9), "FLUSH",AND(N2515&lt;= 11, S2515=10), "FLUSH",AND(N2515&lt;= 21, S2515=10), "PRODUCTION")</f>
        <v>FLUSH</v>
      </c>
      <c r="U2515">
        <f>HOUR(datos_siembra[[#This Row],[Hour]])</f>
        <v>6</v>
      </c>
      <c r="V2515" cm="1">
        <f t="array" ref="V2515">_xlfn.IFS(AND(N2515&lt;= 22, S2515=9), N2515-7,AND(N2515&lt;= 28, S2515=9), N2515-25,AND(N2515&lt;= 30, S2515=9), N2515-28,AND(N2515&lt;= 11, S2515=10), N2515+2,AND(N2515&lt;= 21, S2515=10), N2515-11)</f>
        <v>6</v>
      </c>
    </row>
    <row r="2516" spans="1:22" x14ac:dyDescent="0.35">
      <c r="A2516" s="4">
        <v>45569</v>
      </c>
      <c r="B2516" s="5">
        <v>0.26023148148148151</v>
      </c>
      <c r="C2516">
        <v>67.7</v>
      </c>
      <c r="D2516">
        <v>67.900000000000006</v>
      </c>
      <c r="E2516">
        <v>65.8</v>
      </c>
      <c r="F2516">
        <v>64.7</v>
      </c>
      <c r="G2516">
        <v>0</v>
      </c>
      <c r="H2516">
        <v>0</v>
      </c>
      <c r="I2516">
        <v>0</v>
      </c>
      <c r="J2516">
        <v>0</v>
      </c>
      <c r="K2516">
        <v>59.7</v>
      </c>
      <c r="L2516">
        <v>60.6</v>
      </c>
      <c r="M2516">
        <v>66.45</v>
      </c>
      <c r="N2516">
        <v>4</v>
      </c>
      <c r="O2516">
        <v>3</v>
      </c>
      <c r="P2516">
        <f>MOD(DAY(datos_siembra[[#This Row],[Date]]),7)</f>
        <v>4</v>
      </c>
      <c r="Q2516" t="str">
        <f>CHOOSE(WEEKDAY(datos_siembra[[#This Row],[Date]],2),"L","M","X","J","V","S","D")</f>
        <v>V</v>
      </c>
      <c r="R2516">
        <f>WEEKNUM(datos_siembra[[#This Row],[Date]],2)-WEEKNUM(DATE(YEAR(datos_siembra[[#This Row],[Date]]),MONTH(datos_siembra[[#This Row],[Date]]),1))+1</f>
        <v>1</v>
      </c>
      <c r="S2516">
        <f>MONTH(datos_siembra[[#This Row],[Date]])</f>
        <v>10</v>
      </c>
      <c r="T2516" t="str" cm="1">
        <f t="array" ref="T2516">_xlfn.IFS(AND(N2516&lt;= 22, S2516=9), "SOWING",AND(N2516&lt;= 28, S2516=9), "COVERAGE",AND(N2516&lt;= 30, S2516=9), "FLUSH",AND(N2516&lt;= 11, S2516=10), "FLUSH",AND(N2516&lt;= 21, S2516=10), "PRODUCTION")</f>
        <v>FLUSH</v>
      </c>
      <c r="U2516">
        <f>HOUR(datos_siembra[[#This Row],[Hour]])</f>
        <v>6</v>
      </c>
      <c r="V2516" cm="1">
        <f t="array" ref="V2516">_xlfn.IFS(AND(N2516&lt;= 22, S2516=9), N2516-7,AND(N2516&lt;= 28, S2516=9), N2516-25,AND(N2516&lt;= 30, S2516=9), N2516-28,AND(N2516&lt;= 11, S2516=10), N2516+2,AND(N2516&lt;= 21, S2516=10), N2516-11)</f>
        <v>6</v>
      </c>
    </row>
    <row r="2517" spans="1:22" x14ac:dyDescent="0.35">
      <c r="A2517" s="4">
        <v>45569</v>
      </c>
      <c r="B2517" s="5">
        <v>0.26718750000000002</v>
      </c>
      <c r="C2517">
        <v>67.8</v>
      </c>
      <c r="D2517">
        <v>67.7</v>
      </c>
      <c r="E2517">
        <v>66</v>
      </c>
      <c r="F2517">
        <v>64.599999999999994</v>
      </c>
      <c r="G2517">
        <v>0</v>
      </c>
      <c r="H2517">
        <v>0</v>
      </c>
      <c r="I2517">
        <v>0</v>
      </c>
      <c r="J2517">
        <v>0</v>
      </c>
      <c r="K2517">
        <v>59.6</v>
      </c>
      <c r="L2517">
        <v>60.7</v>
      </c>
      <c r="M2517">
        <v>66.45</v>
      </c>
      <c r="N2517">
        <v>4</v>
      </c>
      <c r="O2517">
        <v>3</v>
      </c>
      <c r="P2517">
        <f>MOD(DAY(datos_siembra[[#This Row],[Date]]),7)</f>
        <v>4</v>
      </c>
      <c r="Q2517" t="str">
        <f>CHOOSE(WEEKDAY(datos_siembra[[#This Row],[Date]],2),"L","M","X","J","V","S","D")</f>
        <v>V</v>
      </c>
      <c r="R2517">
        <f>WEEKNUM(datos_siembra[[#This Row],[Date]],2)-WEEKNUM(DATE(YEAR(datos_siembra[[#This Row],[Date]]),MONTH(datos_siembra[[#This Row],[Date]]),1))+1</f>
        <v>1</v>
      </c>
      <c r="S2517">
        <f>MONTH(datos_siembra[[#This Row],[Date]])</f>
        <v>10</v>
      </c>
      <c r="T2517" t="str" cm="1">
        <f t="array" ref="T2517">_xlfn.IFS(AND(N2517&lt;= 22, S2517=9), "SOWING",AND(N2517&lt;= 28, S2517=9), "COVERAGE",AND(N2517&lt;= 30, S2517=9), "FLUSH",AND(N2517&lt;= 11, S2517=10), "FLUSH",AND(N2517&lt;= 21, S2517=10), "PRODUCTION")</f>
        <v>FLUSH</v>
      </c>
      <c r="U2517">
        <f>HOUR(datos_siembra[[#This Row],[Hour]])</f>
        <v>6</v>
      </c>
      <c r="V2517" cm="1">
        <f t="array" ref="V2517">_xlfn.IFS(AND(N2517&lt;= 22, S2517=9), N2517-7,AND(N2517&lt;= 28, S2517=9), N2517-25,AND(N2517&lt;= 30, S2517=9), N2517-28,AND(N2517&lt;= 11, S2517=10), N2517+2,AND(N2517&lt;= 21, S2517=10), N2517-11)</f>
        <v>6</v>
      </c>
    </row>
    <row r="2518" spans="1:22" x14ac:dyDescent="0.35">
      <c r="A2518" s="4">
        <v>45569</v>
      </c>
      <c r="B2518" s="5">
        <v>0.27413194444444444</v>
      </c>
      <c r="C2518">
        <v>67.7</v>
      </c>
      <c r="D2518">
        <v>67.8</v>
      </c>
      <c r="E2518">
        <v>66.099999999999994</v>
      </c>
      <c r="F2518">
        <v>64.599999999999994</v>
      </c>
      <c r="G2518">
        <v>0</v>
      </c>
      <c r="H2518">
        <v>0</v>
      </c>
      <c r="I2518">
        <v>0</v>
      </c>
      <c r="J2518">
        <v>0</v>
      </c>
      <c r="K2518">
        <v>59.6</v>
      </c>
      <c r="L2518">
        <v>60.6</v>
      </c>
      <c r="M2518">
        <v>66.510000000000005</v>
      </c>
      <c r="N2518">
        <v>4</v>
      </c>
      <c r="O2518">
        <v>3</v>
      </c>
      <c r="P2518">
        <f>MOD(DAY(datos_siembra[[#This Row],[Date]]),7)</f>
        <v>4</v>
      </c>
      <c r="Q2518" t="str">
        <f>CHOOSE(WEEKDAY(datos_siembra[[#This Row],[Date]],2),"L","M","X","J","V","S","D")</f>
        <v>V</v>
      </c>
      <c r="R2518">
        <f>WEEKNUM(datos_siembra[[#This Row],[Date]],2)-WEEKNUM(DATE(YEAR(datos_siembra[[#This Row],[Date]]),MONTH(datos_siembra[[#This Row],[Date]]),1))+1</f>
        <v>1</v>
      </c>
      <c r="S2518">
        <f>MONTH(datos_siembra[[#This Row],[Date]])</f>
        <v>10</v>
      </c>
      <c r="T2518" t="str" cm="1">
        <f t="array" ref="T2518">_xlfn.IFS(AND(N2518&lt;= 22, S2518=9), "SOWING",AND(N2518&lt;= 28, S2518=9), "COVERAGE",AND(N2518&lt;= 30, S2518=9), "FLUSH",AND(N2518&lt;= 11, S2518=10), "FLUSH",AND(N2518&lt;= 21, S2518=10), "PRODUCTION")</f>
        <v>FLUSH</v>
      </c>
      <c r="U2518">
        <f>HOUR(datos_siembra[[#This Row],[Hour]])</f>
        <v>6</v>
      </c>
      <c r="V2518" cm="1">
        <f t="array" ref="V2518">_xlfn.IFS(AND(N2518&lt;= 22, S2518=9), N2518-7,AND(N2518&lt;= 28, S2518=9), N2518-25,AND(N2518&lt;= 30, S2518=9), N2518-28,AND(N2518&lt;= 11, S2518=10), N2518+2,AND(N2518&lt;= 21, S2518=10), N2518-11)</f>
        <v>6</v>
      </c>
    </row>
    <row r="2519" spans="1:22" x14ac:dyDescent="0.35">
      <c r="A2519" s="4">
        <v>45569</v>
      </c>
      <c r="B2519" s="5">
        <v>0.28107638888888886</v>
      </c>
      <c r="C2519">
        <v>67.8</v>
      </c>
      <c r="D2519">
        <v>67.8</v>
      </c>
      <c r="E2519">
        <v>65.8</v>
      </c>
      <c r="F2519">
        <v>64.5</v>
      </c>
      <c r="G2519">
        <v>0</v>
      </c>
      <c r="H2519">
        <v>0</v>
      </c>
      <c r="I2519">
        <v>0</v>
      </c>
      <c r="J2519">
        <v>0</v>
      </c>
      <c r="K2519">
        <v>59.6</v>
      </c>
      <c r="L2519">
        <v>60.5</v>
      </c>
      <c r="M2519">
        <v>66.37</v>
      </c>
      <c r="N2519">
        <v>4</v>
      </c>
      <c r="O2519">
        <v>3</v>
      </c>
      <c r="P2519">
        <f>MOD(DAY(datos_siembra[[#This Row],[Date]]),7)</f>
        <v>4</v>
      </c>
      <c r="Q2519" t="str">
        <f>CHOOSE(WEEKDAY(datos_siembra[[#This Row],[Date]],2),"L","M","X","J","V","S","D")</f>
        <v>V</v>
      </c>
      <c r="R2519">
        <f>WEEKNUM(datos_siembra[[#This Row],[Date]],2)-WEEKNUM(DATE(YEAR(datos_siembra[[#This Row],[Date]]),MONTH(datos_siembra[[#This Row],[Date]]),1))+1</f>
        <v>1</v>
      </c>
      <c r="S2519">
        <f>MONTH(datos_siembra[[#This Row],[Date]])</f>
        <v>10</v>
      </c>
      <c r="T2519" t="str" cm="1">
        <f t="array" ref="T2519">_xlfn.IFS(AND(N2519&lt;= 22, S2519=9), "SOWING",AND(N2519&lt;= 28, S2519=9), "COVERAGE",AND(N2519&lt;= 30, S2519=9), "FLUSH",AND(N2519&lt;= 11, S2519=10), "FLUSH",AND(N2519&lt;= 21, S2519=10), "PRODUCTION")</f>
        <v>FLUSH</v>
      </c>
      <c r="U2519">
        <f>HOUR(datos_siembra[[#This Row],[Hour]])</f>
        <v>6</v>
      </c>
      <c r="V2519" cm="1">
        <f t="array" ref="V2519">_xlfn.IFS(AND(N2519&lt;= 22, S2519=9), N2519-7,AND(N2519&lt;= 28, S2519=9), N2519-25,AND(N2519&lt;= 30, S2519=9), N2519-28,AND(N2519&lt;= 11, S2519=10), N2519+2,AND(N2519&lt;= 21, S2519=10), N2519-11)</f>
        <v>6</v>
      </c>
    </row>
    <row r="2520" spans="1:22" x14ac:dyDescent="0.35">
      <c r="A2520" s="4">
        <v>45569</v>
      </c>
      <c r="B2520" s="5">
        <v>0.28802083333333334</v>
      </c>
      <c r="C2520">
        <v>67.8</v>
      </c>
      <c r="D2520">
        <v>67.8</v>
      </c>
      <c r="E2520">
        <v>65.8</v>
      </c>
      <c r="F2520">
        <v>64.400000000000006</v>
      </c>
      <c r="G2520">
        <v>0</v>
      </c>
      <c r="H2520">
        <v>0</v>
      </c>
      <c r="I2520">
        <v>0</v>
      </c>
      <c r="J2520">
        <v>0</v>
      </c>
      <c r="K2520">
        <v>59.6</v>
      </c>
      <c r="L2520">
        <v>60.6</v>
      </c>
      <c r="M2520">
        <v>66.48</v>
      </c>
      <c r="N2520">
        <v>4</v>
      </c>
      <c r="O2520">
        <v>3</v>
      </c>
      <c r="P2520">
        <f>MOD(DAY(datos_siembra[[#This Row],[Date]]),7)</f>
        <v>4</v>
      </c>
      <c r="Q2520" t="str">
        <f>CHOOSE(WEEKDAY(datos_siembra[[#This Row],[Date]],2),"L","M","X","J","V","S","D")</f>
        <v>V</v>
      </c>
      <c r="R2520">
        <f>WEEKNUM(datos_siembra[[#This Row],[Date]],2)-WEEKNUM(DATE(YEAR(datos_siembra[[#This Row],[Date]]),MONTH(datos_siembra[[#This Row],[Date]]),1))+1</f>
        <v>1</v>
      </c>
      <c r="S2520">
        <f>MONTH(datos_siembra[[#This Row],[Date]])</f>
        <v>10</v>
      </c>
      <c r="T2520" t="str" cm="1">
        <f t="array" ref="T2520">_xlfn.IFS(AND(N2520&lt;= 22, S2520=9), "SOWING",AND(N2520&lt;= 28, S2520=9), "COVERAGE",AND(N2520&lt;= 30, S2520=9), "FLUSH",AND(N2520&lt;= 11, S2520=10), "FLUSH",AND(N2520&lt;= 21, S2520=10), "PRODUCTION")</f>
        <v>FLUSH</v>
      </c>
      <c r="U2520">
        <f>HOUR(datos_siembra[[#This Row],[Hour]])</f>
        <v>6</v>
      </c>
      <c r="V2520" cm="1">
        <f t="array" ref="V2520">_xlfn.IFS(AND(N2520&lt;= 22, S2520=9), N2520-7,AND(N2520&lt;= 28, S2520=9), N2520-25,AND(N2520&lt;= 30, S2520=9), N2520-28,AND(N2520&lt;= 11, S2520=10), N2520+2,AND(N2520&lt;= 21, S2520=10), N2520-11)</f>
        <v>6</v>
      </c>
    </row>
    <row r="2521" spans="1:22" x14ac:dyDescent="0.35">
      <c r="A2521" s="4">
        <v>45569</v>
      </c>
      <c r="B2521" s="5">
        <v>0.29497685185185185</v>
      </c>
      <c r="C2521">
        <v>67.7</v>
      </c>
      <c r="D2521">
        <v>67.8</v>
      </c>
      <c r="E2521">
        <v>65.900000000000006</v>
      </c>
      <c r="F2521">
        <v>64.599999999999994</v>
      </c>
      <c r="G2521">
        <v>0</v>
      </c>
      <c r="H2521">
        <v>0</v>
      </c>
      <c r="I2521">
        <v>0</v>
      </c>
      <c r="J2521">
        <v>0</v>
      </c>
      <c r="K2521">
        <v>59.6</v>
      </c>
      <c r="L2521">
        <v>60.5</v>
      </c>
      <c r="M2521">
        <v>66.45</v>
      </c>
      <c r="N2521">
        <v>4</v>
      </c>
      <c r="O2521">
        <v>3</v>
      </c>
      <c r="P2521">
        <f>MOD(DAY(datos_siembra[[#This Row],[Date]]),7)</f>
        <v>4</v>
      </c>
      <c r="Q2521" t="str">
        <f>CHOOSE(WEEKDAY(datos_siembra[[#This Row],[Date]],2),"L","M","X","J","V","S","D")</f>
        <v>V</v>
      </c>
      <c r="R2521">
        <f>WEEKNUM(datos_siembra[[#This Row],[Date]],2)-WEEKNUM(DATE(YEAR(datos_siembra[[#This Row],[Date]]),MONTH(datos_siembra[[#This Row],[Date]]),1))+1</f>
        <v>1</v>
      </c>
      <c r="S2521">
        <f>MONTH(datos_siembra[[#This Row],[Date]])</f>
        <v>10</v>
      </c>
      <c r="T2521" t="str" cm="1">
        <f t="array" ref="T2521">_xlfn.IFS(AND(N2521&lt;= 22, S2521=9), "SOWING",AND(N2521&lt;= 28, S2521=9), "COVERAGE",AND(N2521&lt;= 30, S2521=9), "FLUSH",AND(N2521&lt;= 11, S2521=10), "FLUSH",AND(N2521&lt;= 21, S2521=10), "PRODUCTION")</f>
        <v>FLUSH</v>
      </c>
      <c r="U2521">
        <f>HOUR(datos_siembra[[#This Row],[Hour]])</f>
        <v>7</v>
      </c>
      <c r="V2521" cm="1">
        <f t="array" ref="V2521">_xlfn.IFS(AND(N2521&lt;= 22, S2521=9), N2521-7,AND(N2521&lt;= 28, S2521=9), N2521-25,AND(N2521&lt;= 30, S2521=9), N2521-28,AND(N2521&lt;= 11, S2521=10), N2521+2,AND(N2521&lt;= 21, S2521=10), N2521-11)</f>
        <v>6</v>
      </c>
    </row>
    <row r="2522" spans="1:22" x14ac:dyDescent="0.35">
      <c r="A2522" s="4">
        <v>45569</v>
      </c>
      <c r="B2522" s="5">
        <v>0.30192129629629627</v>
      </c>
      <c r="C2522">
        <v>67.7</v>
      </c>
      <c r="D2522">
        <v>67.8</v>
      </c>
      <c r="E2522">
        <v>65.8</v>
      </c>
      <c r="F2522">
        <v>64.5</v>
      </c>
      <c r="G2522">
        <v>0</v>
      </c>
      <c r="H2522">
        <v>0</v>
      </c>
      <c r="I2522">
        <v>0</v>
      </c>
      <c r="J2522">
        <v>0</v>
      </c>
      <c r="K2522">
        <v>59.8</v>
      </c>
      <c r="L2522">
        <v>60.7</v>
      </c>
      <c r="M2522">
        <v>66.48</v>
      </c>
      <c r="N2522">
        <v>4</v>
      </c>
      <c r="O2522">
        <v>3</v>
      </c>
      <c r="P2522">
        <f>MOD(DAY(datos_siembra[[#This Row],[Date]]),7)</f>
        <v>4</v>
      </c>
      <c r="Q2522" t="str">
        <f>CHOOSE(WEEKDAY(datos_siembra[[#This Row],[Date]],2),"L","M","X","J","V","S","D")</f>
        <v>V</v>
      </c>
      <c r="R2522">
        <f>WEEKNUM(datos_siembra[[#This Row],[Date]],2)-WEEKNUM(DATE(YEAR(datos_siembra[[#This Row],[Date]]),MONTH(datos_siembra[[#This Row],[Date]]),1))+1</f>
        <v>1</v>
      </c>
      <c r="S2522">
        <f>MONTH(datos_siembra[[#This Row],[Date]])</f>
        <v>10</v>
      </c>
      <c r="T2522" t="str" cm="1">
        <f t="array" ref="T2522">_xlfn.IFS(AND(N2522&lt;= 22, S2522=9), "SOWING",AND(N2522&lt;= 28, S2522=9), "COVERAGE",AND(N2522&lt;= 30, S2522=9), "FLUSH",AND(N2522&lt;= 11, S2522=10), "FLUSH",AND(N2522&lt;= 21, S2522=10), "PRODUCTION")</f>
        <v>FLUSH</v>
      </c>
      <c r="U2522">
        <f>HOUR(datos_siembra[[#This Row],[Hour]])</f>
        <v>7</v>
      </c>
      <c r="V2522" cm="1">
        <f t="array" ref="V2522">_xlfn.IFS(AND(N2522&lt;= 22, S2522=9), N2522-7,AND(N2522&lt;= 28, S2522=9), N2522-25,AND(N2522&lt;= 30, S2522=9), N2522-28,AND(N2522&lt;= 11, S2522=10), N2522+2,AND(N2522&lt;= 21, S2522=10), N2522-11)</f>
        <v>6</v>
      </c>
    </row>
    <row r="2523" spans="1:22" x14ac:dyDescent="0.35">
      <c r="A2523" s="4">
        <v>45569</v>
      </c>
      <c r="B2523" s="5">
        <v>0.30886574074074075</v>
      </c>
      <c r="C2523">
        <v>67.599999999999994</v>
      </c>
      <c r="D2523">
        <v>67.900000000000006</v>
      </c>
      <c r="E2523">
        <v>65.900000000000006</v>
      </c>
      <c r="F2523">
        <v>64.5</v>
      </c>
      <c r="G2523">
        <v>0</v>
      </c>
      <c r="H2523">
        <v>0</v>
      </c>
      <c r="I2523">
        <v>0</v>
      </c>
      <c r="J2523">
        <v>0</v>
      </c>
      <c r="K2523">
        <v>59.9</v>
      </c>
      <c r="L2523">
        <v>60.8</v>
      </c>
      <c r="M2523">
        <v>66.400000000000006</v>
      </c>
      <c r="N2523">
        <v>4</v>
      </c>
      <c r="O2523">
        <v>3</v>
      </c>
      <c r="P2523">
        <f>MOD(DAY(datos_siembra[[#This Row],[Date]]),7)</f>
        <v>4</v>
      </c>
      <c r="Q2523" t="str">
        <f>CHOOSE(WEEKDAY(datos_siembra[[#This Row],[Date]],2),"L","M","X","J","V","S","D")</f>
        <v>V</v>
      </c>
      <c r="R2523">
        <f>WEEKNUM(datos_siembra[[#This Row],[Date]],2)-WEEKNUM(DATE(YEAR(datos_siembra[[#This Row],[Date]]),MONTH(datos_siembra[[#This Row],[Date]]),1))+1</f>
        <v>1</v>
      </c>
      <c r="S2523">
        <f>MONTH(datos_siembra[[#This Row],[Date]])</f>
        <v>10</v>
      </c>
      <c r="T2523" t="str" cm="1">
        <f t="array" ref="T2523">_xlfn.IFS(AND(N2523&lt;= 22, S2523=9), "SOWING",AND(N2523&lt;= 28, S2523=9), "COVERAGE",AND(N2523&lt;= 30, S2523=9), "FLUSH",AND(N2523&lt;= 11, S2523=10), "FLUSH",AND(N2523&lt;= 21, S2523=10), "PRODUCTION")</f>
        <v>FLUSH</v>
      </c>
      <c r="U2523">
        <f>HOUR(datos_siembra[[#This Row],[Hour]])</f>
        <v>7</v>
      </c>
      <c r="V2523" cm="1">
        <f t="array" ref="V2523">_xlfn.IFS(AND(N2523&lt;= 22, S2523=9), N2523-7,AND(N2523&lt;= 28, S2523=9), N2523-25,AND(N2523&lt;= 30, S2523=9), N2523-28,AND(N2523&lt;= 11, S2523=10), N2523+2,AND(N2523&lt;= 21, S2523=10), N2523-11)</f>
        <v>6</v>
      </c>
    </row>
    <row r="2524" spans="1:22" x14ac:dyDescent="0.35">
      <c r="A2524" s="4">
        <v>45569</v>
      </c>
      <c r="B2524" s="5">
        <v>0.31581018518518517</v>
      </c>
      <c r="C2524">
        <v>67.599999999999994</v>
      </c>
      <c r="D2524">
        <v>67.8</v>
      </c>
      <c r="E2524">
        <v>65.900000000000006</v>
      </c>
      <c r="F2524">
        <v>64.5</v>
      </c>
      <c r="G2524">
        <v>0</v>
      </c>
      <c r="H2524">
        <v>0</v>
      </c>
      <c r="I2524">
        <v>0</v>
      </c>
      <c r="J2524">
        <v>0</v>
      </c>
      <c r="K2524">
        <v>60</v>
      </c>
      <c r="L2524">
        <v>60.9</v>
      </c>
      <c r="M2524">
        <v>66.37</v>
      </c>
      <c r="N2524">
        <v>4</v>
      </c>
      <c r="O2524">
        <v>3</v>
      </c>
      <c r="P2524">
        <f>MOD(DAY(datos_siembra[[#This Row],[Date]]),7)</f>
        <v>4</v>
      </c>
      <c r="Q2524" t="str">
        <f>CHOOSE(WEEKDAY(datos_siembra[[#This Row],[Date]],2),"L","M","X","J","V","S","D")</f>
        <v>V</v>
      </c>
      <c r="R2524">
        <f>WEEKNUM(datos_siembra[[#This Row],[Date]],2)-WEEKNUM(DATE(YEAR(datos_siembra[[#This Row],[Date]]),MONTH(datos_siembra[[#This Row],[Date]]),1))+1</f>
        <v>1</v>
      </c>
      <c r="S2524">
        <f>MONTH(datos_siembra[[#This Row],[Date]])</f>
        <v>10</v>
      </c>
      <c r="T2524" t="str" cm="1">
        <f t="array" ref="T2524">_xlfn.IFS(AND(N2524&lt;= 22, S2524=9), "SOWING",AND(N2524&lt;= 28, S2524=9), "COVERAGE",AND(N2524&lt;= 30, S2524=9), "FLUSH",AND(N2524&lt;= 11, S2524=10), "FLUSH",AND(N2524&lt;= 21, S2524=10), "PRODUCTION")</f>
        <v>FLUSH</v>
      </c>
      <c r="U2524">
        <f>HOUR(datos_siembra[[#This Row],[Hour]])</f>
        <v>7</v>
      </c>
      <c r="V2524" cm="1">
        <f t="array" ref="V2524">_xlfn.IFS(AND(N2524&lt;= 22, S2524=9), N2524-7,AND(N2524&lt;= 28, S2524=9), N2524-25,AND(N2524&lt;= 30, S2524=9), N2524-28,AND(N2524&lt;= 11, S2524=10), N2524+2,AND(N2524&lt;= 21, S2524=10), N2524-11)</f>
        <v>6</v>
      </c>
    </row>
    <row r="2525" spans="1:22" x14ac:dyDescent="0.35">
      <c r="A2525" s="4">
        <v>45569</v>
      </c>
      <c r="B2525" s="5">
        <v>0.32276620370370368</v>
      </c>
      <c r="C2525">
        <v>67.599999999999994</v>
      </c>
      <c r="D2525">
        <v>67.8</v>
      </c>
      <c r="E2525">
        <v>65.599999999999994</v>
      </c>
      <c r="F2525">
        <v>64.5</v>
      </c>
      <c r="G2525">
        <v>0</v>
      </c>
      <c r="H2525">
        <v>0</v>
      </c>
      <c r="I2525">
        <v>0</v>
      </c>
      <c r="J2525">
        <v>0</v>
      </c>
      <c r="K2525">
        <v>60.1</v>
      </c>
      <c r="L2525">
        <v>61.1</v>
      </c>
      <c r="M2525">
        <v>66.37</v>
      </c>
      <c r="N2525">
        <v>4</v>
      </c>
      <c r="O2525">
        <v>3</v>
      </c>
      <c r="P2525">
        <f>MOD(DAY(datos_siembra[[#This Row],[Date]]),7)</f>
        <v>4</v>
      </c>
      <c r="Q2525" t="str">
        <f>CHOOSE(WEEKDAY(datos_siembra[[#This Row],[Date]],2),"L","M","X","J","V","S","D")</f>
        <v>V</v>
      </c>
      <c r="R2525">
        <f>WEEKNUM(datos_siembra[[#This Row],[Date]],2)-WEEKNUM(DATE(YEAR(datos_siembra[[#This Row],[Date]]),MONTH(datos_siembra[[#This Row],[Date]]),1))+1</f>
        <v>1</v>
      </c>
      <c r="S2525">
        <f>MONTH(datos_siembra[[#This Row],[Date]])</f>
        <v>10</v>
      </c>
      <c r="T2525" t="str" cm="1">
        <f t="array" ref="T2525">_xlfn.IFS(AND(N2525&lt;= 22, S2525=9), "SOWING",AND(N2525&lt;= 28, S2525=9), "COVERAGE",AND(N2525&lt;= 30, S2525=9), "FLUSH",AND(N2525&lt;= 11, S2525=10), "FLUSH",AND(N2525&lt;= 21, S2525=10), "PRODUCTION")</f>
        <v>FLUSH</v>
      </c>
      <c r="U2525">
        <f>HOUR(datos_siembra[[#This Row],[Hour]])</f>
        <v>7</v>
      </c>
      <c r="V2525" cm="1">
        <f t="array" ref="V2525">_xlfn.IFS(AND(N2525&lt;= 22, S2525=9), N2525-7,AND(N2525&lt;= 28, S2525=9), N2525-25,AND(N2525&lt;= 30, S2525=9), N2525-28,AND(N2525&lt;= 11, S2525=10), N2525+2,AND(N2525&lt;= 21, S2525=10), N2525-11)</f>
        <v>6</v>
      </c>
    </row>
    <row r="2526" spans="1:22" x14ac:dyDescent="0.35">
      <c r="A2526" s="4">
        <v>45569</v>
      </c>
      <c r="B2526" s="5">
        <v>0.32908564814814817</v>
      </c>
      <c r="C2526">
        <v>67.400000000000006</v>
      </c>
      <c r="D2526">
        <v>67.599999999999994</v>
      </c>
      <c r="E2526">
        <v>65.599999999999994</v>
      </c>
      <c r="F2526">
        <v>64.400000000000006</v>
      </c>
      <c r="G2526">
        <v>0</v>
      </c>
      <c r="H2526">
        <v>0</v>
      </c>
      <c r="I2526">
        <v>0</v>
      </c>
      <c r="J2526">
        <v>0</v>
      </c>
      <c r="K2526">
        <v>60.2</v>
      </c>
      <c r="L2526">
        <v>61</v>
      </c>
      <c r="M2526">
        <v>66.260000000000005</v>
      </c>
      <c r="N2526">
        <v>4</v>
      </c>
      <c r="O2526">
        <v>3</v>
      </c>
      <c r="P2526">
        <f>MOD(DAY(datos_siembra[[#This Row],[Date]]),7)</f>
        <v>4</v>
      </c>
      <c r="Q2526" t="str">
        <f>CHOOSE(WEEKDAY(datos_siembra[[#This Row],[Date]],2),"L","M","X","J","V","S","D")</f>
        <v>V</v>
      </c>
      <c r="R2526">
        <f>WEEKNUM(datos_siembra[[#This Row],[Date]],2)-WEEKNUM(DATE(YEAR(datos_siembra[[#This Row],[Date]]),MONTH(datos_siembra[[#This Row],[Date]]),1))+1</f>
        <v>1</v>
      </c>
      <c r="S2526">
        <f>MONTH(datos_siembra[[#This Row],[Date]])</f>
        <v>10</v>
      </c>
      <c r="T2526" t="str" cm="1">
        <f t="array" ref="T2526">_xlfn.IFS(AND(N2526&lt;= 22, S2526=9), "SOWING",AND(N2526&lt;= 28, S2526=9), "COVERAGE",AND(N2526&lt;= 30, S2526=9), "FLUSH",AND(N2526&lt;= 11, S2526=10), "FLUSH",AND(N2526&lt;= 21, S2526=10), "PRODUCTION")</f>
        <v>FLUSH</v>
      </c>
      <c r="U2526">
        <f>HOUR(datos_siembra[[#This Row],[Hour]])</f>
        <v>7</v>
      </c>
      <c r="V2526" cm="1">
        <f t="array" ref="V2526">_xlfn.IFS(AND(N2526&lt;= 22, S2526=9), N2526-7,AND(N2526&lt;= 28, S2526=9), N2526-25,AND(N2526&lt;= 30, S2526=9), N2526-28,AND(N2526&lt;= 11, S2526=10), N2526+2,AND(N2526&lt;= 21, S2526=10), N2526-11)</f>
        <v>6</v>
      </c>
    </row>
    <row r="2527" spans="1:22" x14ac:dyDescent="0.35">
      <c r="A2527" s="4">
        <v>45569</v>
      </c>
      <c r="B2527" s="5">
        <v>0.33590277777777777</v>
      </c>
      <c r="C2527">
        <v>67.3</v>
      </c>
      <c r="D2527">
        <v>67.7</v>
      </c>
      <c r="E2527">
        <v>65.599999999999994</v>
      </c>
      <c r="F2527">
        <v>64.3</v>
      </c>
      <c r="G2527">
        <v>0</v>
      </c>
      <c r="H2527">
        <v>0</v>
      </c>
      <c r="I2527">
        <v>0</v>
      </c>
      <c r="J2527">
        <v>0</v>
      </c>
      <c r="K2527">
        <v>60.3</v>
      </c>
      <c r="L2527">
        <v>61.2</v>
      </c>
      <c r="M2527">
        <v>66.260000000000005</v>
      </c>
      <c r="N2527">
        <v>4</v>
      </c>
      <c r="O2527">
        <v>3</v>
      </c>
      <c r="P2527">
        <f>MOD(DAY(datos_siembra[[#This Row],[Date]]),7)</f>
        <v>4</v>
      </c>
      <c r="Q2527" t="str">
        <f>CHOOSE(WEEKDAY(datos_siembra[[#This Row],[Date]],2),"L","M","X","J","V","S","D")</f>
        <v>V</v>
      </c>
      <c r="R2527">
        <f>WEEKNUM(datos_siembra[[#This Row],[Date]],2)-WEEKNUM(DATE(YEAR(datos_siembra[[#This Row],[Date]]),MONTH(datos_siembra[[#This Row],[Date]]),1))+1</f>
        <v>1</v>
      </c>
      <c r="S2527">
        <f>MONTH(datos_siembra[[#This Row],[Date]])</f>
        <v>10</v>
      </c>
      <c r="T2527" t="str" cm="1">
        <f t="array" ref="T2527">_xlfn.IFS(AND(N2527&lt;= 22, S2527=9), "SOWING",AND(N2527&lt;= 28, S2527=9), "COVERAGE",AND(N2527&lt;= 30, S2527=9), "FLUSH",AND(N2527&lt;= 11, S2527=10), "FLUSH",AND(N2527&lt;= 21, S2527=10), "PRODUCTION")</f>
        <v>FLUSH</v>
      </c>
      <c r="U2527">
        <f>HOUR(datos_siembra[[#This Row],[Hour]])</f>
        <v>8</v>
      </c>
      <c r="V2527" cm="1">
        <f t="array" ref="V2527">_xlfn.IFS(AND(N2527&lt;= 22, S2527=9), N2527-7,AND(N2527&lt;= 28, S2527=9), N2527-25,AND(N2527&lt;= 30, S2527=9), N2527-28,AND(N2527&lt;= 11, S2527=10), N2527+2,AND(N2527&lt;= 21, S2527=10), N2527-11)</f>
        <v>6</v>
      </c>
    </row>
    <row r="2528" spans="1:22" x14ac:dyDescent="0.35">
      <c r="A2528" s="4">
        <v>45569</v>
      </c>
      <c r="B2528" s="5">
        <v>0.34284722222222225</v>
      </c>
      <c r="C2528">
        <v>67.400000000000006</v>
      </c>
      <c r="D2528">
        <v>67.7</v>
      </c>
      <c r="E2528">
        <v>65.8</v>
      </c>
      <c r="F2528">
        <v>64.3</v>
      </c>
      <c r="G2528">
        <v>0</v>
      </c>
      <c r="H2528">
        <v>0</v>
      </c>
      <c r="I2528">
        <v>0</v>
      </c>
      <c r="J2528">
        <v>0</v>
      </c>
      <c r="K2528">
        <v>60.5</v>
      </c>
      <c r="L2528">
        <v>61.4</v>
      </c>
      <c r="M2528">
        <v>66.2</v>
      </c>
      <c r="N2528">
        <v>4</v>
      </c>
      <c r="O2528">
        <v>3</v>
      </c>
      <c r="P2528">
        <f>MOD(DAY(datos_siembra[[#This Row],[Date]]),7)</f>
        <v>4</v>
      </c>
      <c r="Q2528" t="str">
        <f>CHOOSE(WEEKDAY(datos_siembra[[#This Row],[Date]],2),"L","M","X","J","V","S","D")</f>
        <v>V</v>
      </c>
      <c r="R2528">
        <f>WEEKNUM(datos_siembra[[#This Row],[Date]],2)-WEEKNUM(DATE(YEAR(datos_siembra[[#This Row],[Date]]),MONTH(datos_siembra[[#This Row],[Date]]),1))+1</f>
        <v>1</v>
      </c>
      <c r="S2528">
        <f>MONTH(datos_siembra[[#This Row],[Date]])</f>
        <v>10</v>
      </c>
      <c r="T2528" t="str" cm="1">
        <f t="array" ref="T2528">_xlfn.IFS(AND(N2528&lt;= 22, S2528=9), "SOWING",AND(N2528&lt;= 28, S2528=9), "COVERAGE",AND(N2528&lt;= 30, S2528=9), "FLUSH",AND(N2528&lt;= 11, S2528=10), "FLUSH",AND(N2528&lt;= 21, S2528=10), "PRODUCTION")</f>
        <v>FLUSH</v>
      </c>
      <c r="U2528">
        <f>HOUR(datos_siembra[[#This Row],[Hour]])</f>
        <v>8</v>
      </c>
      <c r="V2528" cm="1">
        <f t="array" ref="V2528">_xlfn.IFS(AND(N2528&lt;= 22, S2528=9), N2528-7,AND(N2528&lt;= 28, S2528=9), N2528-25,AND(N2528&lt;= 30, S2528=9), N2528-28,AND(N2528&lt;= 11, S2528=10), N2528+2,AND(N2528&lt;= 21, S2528=10), N2528-11)</f>
        <v>6</v>
      </c>
    </row>
    <row r="2529" spans="1:22" x14ac:dyDescent="0.35">
      <c r="A2529" s="4">
        <v>45569</v>
      </c>
      <c r="B2529" s="5">
        <v>0.34979166666666667</v>
      </c>
      <c r="C2529">
        <v>67.3</v>
      </c>
      <c r="D2529">
        <v>67.599999999999994</v>
      </c>
      <c r="E2529">
        <v>65.599999999999994</v>
      </c>
      <c r="F2529">
        <v>64.3</v>
      </c>
      <c r="G2529">
        <v>0</v>
      </c>
      <c r="H2529">
        <v>0</v>
      </c>
      <c r="I2529">
        <v>0</v>
      </c>
      <c r="J2529">
        <v>0</v>
      </c>
      <c r="K2529">
        <v>60.6</v>
      </c>
      <c r="L2529">
        <v>61.5</v>
      </c>
      <c r="M2529">
        <v>66.14</v>
      </c>
      <c r="N2529">
        <v>4</v>
      </c>
      <c r="O2529">
        <v>3</v>
      </c>
      <c r="P2529">
        <f>MOD(DAY(datos_siembra[[#This Row],[Date]]),7)</f>
        <v>4</v>
      </c>
      <c r="Q2529" t="str">
        <f>CHOOSE(WEEKDAY(datos_siembra[[#This Row],[Date]],2),"L","M","X","J","V","S","D")</f>
        <v>V</v>
      </c>
      <c r="R2529">
        <f>WEEKNUM(datos_siembra[[#This Row],[Date]],2)-WEEKNUM(DATE(YEAR(datos_siembra[[#This Row],[Date]]),MONTH(datos_siembra[[#This Row],[Date]]),1))+1</f>
        <v>1</v>
      </c>
      <c r="S2529">
        <f>MONTH(datos_siembra[[#This Row],[Date]])</f>
        <v>10</v>
      </c>
      <c r="T2529" t="str" cm="1">
        <f t="array" ref="T2529">_xlfn.IFS(AND(N2529&lt;= 22, S2529=9), "SOWING",AND(N2529&lt;= 28, S2529=9), "COVERAGE",AND(N2529&lt;= 30, S2529=9), "FLUSH",AND(N2529&lt;= 11, S2529=10), "FLUSH",AND(N2529&lt;= 21, S2529=10), "PRODUCTION")</f>
        <v>FLUSH</v>
      </c>
      <c r="U2529">
        <f>HOUR(datos_siembra[[#This Row],[Hour]])</f>
        <v>8</v>
      </c>
      <c r="V2529" cm="1">
        <f t="array" ref="V2529">_xlfn.IFS(AND(N2529&lt;= 22, S2529=9), N2529-7,AND(N2529&lt;= 28, S2529=9), N2529-25,AND(N2529&lt;= 30, S2529=9), N2529-28,AND(N2529&lt;= 11, S2529=10), N2529+2,AND(N2529&lt;= 21, S2529=10), N2529-11)</f>
        <v>6</v>
      </c>
    </row>
    <row r="2530" spans="1:22" x14ac:dyDescent="0.35">
      <c r="A2530" s="4">
        <v>45569</v>
      </c>
      <c r="B2530" s="5">
        <v>0.35674768518518518</v>
      </c>
      <c r="C2530">
        <v>67.2</v>
      </c>
      <c r="D2530">
        <v>67.8</v>
      </c>
      <c r="E2530">
        <v>65.5</v>
      </c>
      <c r="F2530">
        <v>64.3</v>
      </c>
      <c r="G2530">
        <v>0</v>
      </c>
      <c r="H2530">
        <v>0</v>
      </c>
      <c r="I2530">
        <v>0</v>
      </c>
      <c r="J2530">
        <v>0</v>
      </c>
      <c r="K2530">
        <v>60.7</v>
      </c>
      <c r="L2530">
        <v>61.6</v>
      </c>
      <c r="M2530">
        <v>66.23</v>
      </c>
      <c r="N2530">
        <v>4</v>
      </c>
      <c r="O2530">
        <v>3</v>
      </c>
      <c r="P2530">
        <f>MOD(DAY(datos_siembra[[#This Row],[Date]]),7)</f>
        <v>4</v>
      </c>
      <c r="Q2530" t="str">
        <f>CHOOSE(WEEKDAY(datos_siembra[[#This Row],[Date]],2),"L","M","X","J","V","S","D")</f>
        <v>V</v>
      </c>
      <c r="R2530">
        <f>WEEKNUM(datos_siembra[[#This Row],[Date]],2)-WEEKNUM(DATE(YEAR(datos_siembra[[#This Row],[Date]]),MONTH(datos_siembra[[#This Row],[Date]]),1))+1</f>
        <v>1</v>
      </c>
      <c r="S2530">
        <f>MONTH(datos_siembra[[#This Row],[Date]])</f>
        <v>10</v>
      </c>
      <c r="T2530" t="str" cm="1">
        <f t="array" ref="T2530">_xlfn.IFS(AND(N2530&lt;= 22, S2530=9), "SOWING",AND(N2530&lt;= 28, S2530=9), "COVERAGE",AND(N2530&lt;= 30, S2530=9), "FLUSH",AND(N2530&lt;= 11, S2530=10), "FLUSH",AND(N2530&lt;= 21, S2530=10), "PRODUCTION")</f>
        <v>FLUSH</v>
      </c>
      <c r="U2530">
        <f>HOUR(datos_siembra[[#This Row],[Hour]])</f>
        <v>8</v>
      </c>
      <c r="V2530" cm="1">
        <f t="array" ref="V2530">_xlfn.IFS(AND(N2530&lt;= 22, S2530=9), N2530-7,AND(N2530&lt;= 28, S2530=9), N2530-25,AND(N2530&lt;= 30, S2530=9), N2530-28,AND(N2530&lt;= 11, S2530=10), N2530+2,AND(N2530&lt;= 21, S2530=10), N2530-11)</f>
        <v>6</v>
      </c>
    </row>
    <row r="2531" spans="1:22" x14ac:dyDescent="0.35">
      <c r="A2531" s="4">
        <v>45569</v>
      </c>
      <c r="B2531" s="5">
        <v>0.36369212962962966</v>
      </c>
      <c r="C2531">
        <v>67.3</v>
      </c>
      <c r="D2531">
        <v>67.7</v>
      </c>
      <c r="E2531">
        <v>65.5</v>
      </c>
      <c r="F2531">
        <v>64.3</v>
      </c>
      <c r="G2531">
        <v>0</v>
      </c>
      <c r="H2531">
        <v>0</v>
      </c>
      <c r="I2531">
        <v>0</v>
      </c>
      <c r="J2531">
        <v>0</v>
      </c>
      <c r="K2531">
        <v>61</v>
      </c>
      <c r="L2531">
        <v>61.7</v>
      </c>
      <c r="M2531">
        <v>66.23</v>
      </c>
      <c r="N2531">
        <v>4</v>
      </c>
      <c r="O2531">
        <v>3</v>
      </c>
      <c r="P2531">
        <f>MOD(DAY(datos_siembra[[#This Row],[Date]]),7)</f>
        <v>4</v>
      </c>
      <c r="Q2531" t="str">
        <f>CHOOSE(WEEKDAY(datos_siembra[[#This Row],[Date]],2),"L","M","X","J","V","S","D")</f>
        <v>V</v>
      </c>
      <c r="R2531">
        <f>WEEKNUM(datos_siembra[[#This Row],[Date]],2)-WEEKNUM(DATE(YEAR(datos_siembra[[#This Row],[Date]]),MONTH(datos_siembra[[#This Row],[Date]]),1))+1</f>
        <v>1</v>
      </c>
      <c r="S2531">
        <f>MONTH(datos_siembra[[#This Row],[Date]])</f>
        <v>10</v>
      </c>
      <c r="T2531" t="str" cm="1">
        <f t="array" ref="T2531">_xlfn.IFS(AND(N2531&lt;= 22, S2531=9), "SOWING",AND(N2531&lt;= 28, S2531=9), "COVERAGE",AND(N2531&lt;= 30, S2531=9), "FLUSH",AND(N2531&lt;= 11, S2531=10), "FLUSH",AND(N2531&lt;= 21, S2531=10), "PRODUCTION")</f>
        <v>FLUSH</v>
      </c>
      <c r="U2531">
        <f>HOUR(datos_siembra[[#This Row],[Hour]])</f>
        <v>8</v>
      </c>
      <c r="V2531" cm="1">
        <f t="array" ref="V2531">_xlfn.IFS(AND(N2531&lt;= 22, S2531=9), N2531-7,AND(N2531&lt;= 28, S2531=9), N2531-25,AND(N2531&lt;= 30, S2531=9), N2531-28,AND(N2531&lt;= 11, S2531=10), N2531+2,AND(N2531&lt;= 21, S2531=10), N2531-11)</f>
        <v>6</v>
      </c>
    </row>
    <row r="2532" spans="1:22" x14ac:dyDescent="0.35">
      <c r="A2532" s="4">
        <v>45569</v>
      </c>
      <c r="B2532" s="5">
        <v>0.37063657407407408</v>
      </c>
      <c r="C2532">
        <v>67.3</v>
      </c>
      <c r="D2532">
        <v>67.599999999999994</v>
      </c>
      <c r="E2532">
        <v>65.599999999999994</v>
      </c>
      <c r="F2532">
        <v>64.3</v>
      </c>
      <c r="G2532">
        <v>0</v>
      </c>
      <c r="H2532">
        <v>0</v>
      </c>
      <c r="I2532">
        <v>0</v>
      </c>
      <c r="J2532">
        <v>0</v>
      </c>
      <c r="K2532">
        <v>61.1</v>
      </c>
      <c r="L2532">
        <v>61.8</v>
      </c>
      <c r="M2532">
        <v>66.23</v>
      </c>
      <c r="N2532">
        <v>4</v>
      </c>
      <c r="O2532">
        <v>3</v>
      </c>
      <c r="P2532">
        <f>MOD(DAY(datos_siembra[[#This Row],[Date]]),7)</f>
        <v>4</v>
      </c>
      <c r="Q2532" t="str">
        <f>CHOOSE(WEEKDAY(datos_siembra[[#This Row],[Date]],2),"L","M","X","J","V","S","D")</f>
        <v>V</v>
      </c>
      <c r="R2532">
        <f>WEEKNUM(datos_siembra[[#This Row],[Date]],2)-WEEKNUM(DATE(YEAR(datos_siembra[[#This Row],[Date]]),MONTH(datos_siembra[[#This Row],[Date]]),1))+1</f>
        <v>1</v>
      </c>
      <c r="S2532">
        <f>MONTH(datos_siembra[[#This Row],[Date]])</f>
        <v>10</v>
      </c>
      <c r="T2532" t="str" cm="1">
        <f t="array" ref="T2532">_xlfn.IFS(AND(N2532&lt;= 22, S2532=9), "SOWING",AND(N2532&lt;= 28, S2532=9), "COVERAGE",AND(N2532&lt;= 30, S2532=9), "FLUSH",AND(N2532&lt;= 11, S2532=10), "FLUSH",AND(N2532&lt;= 21, S2532=10), "PRODUCTION")</f>
        <v>FLUSH</v>
      </c>
      <c r="U2532">
        <f>HOUR(datos_siembra[[#This Row],[Hour]])</f>
        <v>8</v>
      </c>
      <c r="V2532" cm="1">
        <f t="array" ref="V2532">_xlfn.IFS(AND(N2532&lt;= 22, S2532=9), N2532-7,AND(N2532&lt;= 28, S2532=9), N2532-25,AND(N2532&lt;= 30, S2532=9), N2532-28,AND(N2532&lt;= 11, S2532=10), N2532+2,AND(N2532&lt;= 21, S2532=10), N2532-11)</f>
        <v>6</v>
      </c>
    </row>
    <row r="2533" spans="1:22" x14ac:dyDescent="0.35">
      <c r="A2533" s="4">
        <v>45569</v>
      </c>
      <c r="B2533" s="5">
        <v>0.37759259259259259</v>
      </c>
      <c r="C2533">
        <v>67.3</v>
      </c>
      <c r="D2533">
        <v>67.599999999999994</v>
      </c>
      <c r="E2533">
        <v>65.8</v>
      </c>
      <c r="F2533">
        <v>64.2</v>
      </c>
      <c r="G2533">
        <v>0</v>
      </c>
      <c r="H2533">
        <v>0</v>
      </c>
      <c r="I2533">
        <v>0</v>
      </c>
      <c r="J2533">
        <v>0</v>
      </c>
      <c r="K2533">
        <v>61.4</v>
      </c>
      <c r="L2533">
        <v>62</v>
      </c>
      <c r="M2533">
        <v>66.23</v>
      </c>
      <c r="N2533">
        <v>4</v>
      </c>
      <c r="O2533">
        <v>3</v>
      </c>
      <c r="P2533">
        <f>MOD(DAY(datos_siembra[[#This Row],[Date]]),7)</f>
        <v>4</v>
      </c>
      <c r="Q2533" t="str">
        <f>CHOOSE(WEEKDAY(datos_siembra[[#This Row],[Date]],2),"L","M","X","J","V","S","D")</f>
        <v>V</v>
      </c>
      <c r="R2533">
        <f>WEEKNUM(datos_siembra[[#This Row],[Date]],2)-WEEKNUM(DATE(YEAR(datos_siembra[[#This Row],[Date]]),MONTH(datos_siembra[[#This Row],[Date]]),1))+1</f>
        <v>1</v>
      </c>
      <c r="S2533">
        <f>MONTH(datos_siembra[[#This Row],[Date]])</f>
        <v>10</v>
      </c>
      <c r="T2533" t="str" cm="1">
        <f t="array" ref="T2533">_xlfn.IFS(AND(N2533&lt;= 22, S2533=9), "SOWING",AND(N2533&lt;= 28, S2533=9), "COVERAGE",AND(N2533&lt;= 30, S2533=9), "FLUSH",AND(N2533&lt;= 11, S2533=10), "FLUSH",AND(N2533&lt;= 21, S2533=10), "PRODUCTION")</f>
        <v>FLUSH</v>
      </c>
      <c r="U2533">
        <f>HOUR(datos_siembra[[#This Row],[Hour]])</f>
        <v>9</v>
      </c>
      <c r="V2533" cm="1">
        <f t="array" ref="V2533">_xlfn.IFS(AND(N2533&lt;= 22, S2533=9), N2533-7,AND(N2533&lt;= 28, S2533=9), N2533-25,AND(N2533&lt;= 30, S2533=9), N2533-28,AND(N2533&lt;= 11, S2533=10), N2533+2,AND(N2533&lt;= 21, S2533=10), N2533-11)</f>
        <v>6</v>
      </c>
    </row>
    <row r="2534" spans="1:22" x14ac:dyDescent="0.35">
      <c r="A2534" s="4">
        <v>45569</v>
      </c>
      <c r="B2534" s="5">
        <v>0.38453703703703701</v>
      </c>
      <c r="C2534">
        <v>67.400000000000006</v>
      </c>
      <c r="D2534">
        <v>67.599999999999994</v>
      </c>
      <c r="E2534">
        <v>65.5</v>
      </c>
      <c r="F2534">
        <v>64.3</v>
      </c>
      <c r="G2534">
        <v>0</v>
      </c>
      <c r="H2534">
        <v>0</v>
      </c>
      <c r="I2534">
        <v>0</v>
      </c>
      <c r="J2534">
        <v>0</v>
      </c>
      <c r="K2534">
        <v>61.5</v>
      </c>
      <c r="L2534">
        <v>62</v>
      </c>
      <c r="M2534">
        <v>66.28</v>
      </c>
      <c r="N2534">
        <v>4</v>
      </c>
      <c r="O2534">
        <v>3</v>
      </c>
      <c r="P2534">
        <f>MOD(DAY(datos_siembra[[#This Row],[Date]]),7)</f>
        <v>4</v>
      </c>
      <c r="Q2534" t="str">
        <f>CHOOSE(WEEKDAY(datos_siembra[[#This Row],[Date]],2),"L","M","X","J","V","S","D")</f>
        <v>V</v>
      </c>
      <c r="R2534">
        <f>WEEKNUM(datos_siembra[[#This Row],[Date]],2)-WEEKNUM(DATE(YEAR(datos_siembra[[#This Row],[Date]]),MONTH(datos_siembra[[#This Row],[Date]]),1))+1</f>
        <v>1</v>
      </c>
      <c r="S2534">
        <f>MONTH(datos_siembra[[#This Row],[Date]])</f>
        <v>10</v>
      </c>
      <c r="T2534" t="str" cm="1">
        <f t="array" ref="T2534">_xlfn.IFS(AND(N2534&lt;= 22, S2534=9), "SOWING",AND(N2534&lt;= 28, S2534=9), "COVERAGE",AND(N2534&lt;= 30, S2534=9), "FLUSH",AND(N2534&lt;= 11, S2534=10), "FLUSH",AND(N2534&lt;= 21, S2534=10), "PRODUCTION")</f>
        <v>FLUSH</v>
      </c>
      <c r="U2534">
        <f>HOUR(datos_siembra[[#This Row],[Hour]])</f>
        <v>9</v>
      </c>
      <c r="V2534" cm="1">
        <f t="array" ref="V2534">_xlfn.IFS(AND(N2534&lt;= 22, S2534=9), N2534-7,AND(N2534&lt;= 28, S2534=9), N2534-25,AND(N2534&lt;= 30, S2534=9), N2534-28,AND(N2534&lt;= 11, S2534=10), N2534+2,AND(N2534&lt;= 21, S2534=10), N2534-11)</f>
        <v>6</v>
      </c>
    </row>
    <row r="2535" spans="1:22" x14ac:dyDescent="0.35">
      <c r="A2535" s="4">
        <v>45569</v>
      </c>
      <c r="B2535" s="5">
        <v>0.39148148148148149</v>
      </c>
      <c r="C2535">
        <v>67.400000000000006</v>
      </c>
      <c r="D2535">
        <v>67.599999999999994</v>
      </c>
      <c r="E2535">
        <v>65.599999999999994</v>
      </c>
      <c r="F2535">
        <v>64.3</v>
      </c>
      <c r="G2535">
        <v>0</v>
      </c>
      <c r="H2535">
        <v>0</v>
      </c>
      <c r="I2535">
        <v>0</v>
      </c>
      <c r="J2535">
        <v>0</v>
      </c>
      <c r="K2535">
        <v>61.6</v>
      </c>
      <c r="L2535">
        <v>62.2</v>
      </c>
      <c r="M2535">
        <v>66.23</v>
      </c>
      <c r="N2535">
        <v>4</v>
      </c>
      <c r="O2535">
        <v>3</v>
      </c>
      <c r="P2535">
        <f>MOD(DAY(datos_siembra[[#This Row],[Date]]),7)</f>
        <v>4</v>
      </c>
      <c r="Q2535" t="str">
        <f>CHOOSE(WEEKDAY(datos_siembra[[#This Row],[Date]],2),"L","M","X","J","V","S","D")</f>
        <v>V</v>
      </c>
      <c r="R2535">
        <f>WEEKNUM(datos_siembra[[#This Row],[Date]],2)-WEEKNUM(DATE(YEAR(datos_siembra[[#This Row],[Date]]),MONTH(datos_siembra[[#This Row],[Date]]),1))+1</f>
        <v>1</v>
      </c>
      <c r="S2535">
        <f>MONTH(datos_siembra[[#This Row],[Date]])</f>
        <v>10</v>
      </c>
      <c r="T2535" t="str" cm="1">
        <f t="array" ref="T2535">_xlfn.IFS(AND(N2535&lt;= 22, S2535=9), "SOWING",AND(N2535&lt;= 28, S2535=9), "COVERAGE",AND(N2535&lt;= 30, S2535=9), "FLUSH",AND(N2535&lt;= 11, S2535=10), "FLUSH",AND(N2535&lt;= 21, S2535=10), "PRODUCTION")</f>
        <v>FLUSH</v>
      </c>
      <c r="U2535">
        <f>HOUR(datos_siembra[[#This Row],[Hour]])</f>
        <v>9</v>
      </c>
      <c r="V2535" cm="1">
        <f t="array" ref="V2535">_xlfn.IFS(AND(N2535&lt;= 22, S2535=9), N2535-7,AND(N2535&lt;= 28, S2535=9), N2535-25,AND(N2535&lt;= 30, S2535=9), N2535-28,AND(N2535&lt;= 11, S2535=10), N2535+2,AND(N2535&lt;= 21, S2535=10), N2535-11)</f>
        <v>6</v>
      </c>
    </row>
    <row r="2536" spans="1:22" x14ac:dyDescent="0.35">
      <c r="A2536" s="4">
        <v>45569</v>
      </c>
      <c r="B2536" s="5">
        <v>0.39842592592592591</v>
      </c>
      <c r="C2536">
        <v>67.3</v>
      </c>
      <c r="D2536">
        <v>67.3</v>
      </c>
      <c r="E2536">
        <v>65.599999999999994</v>
      </c>
      <c r="F2536">
        <v>64.3</v>
      </c>
      <c r="G2536">
        <v>0</v>
      </c>
      <c r="H2536">
        <v>0</v>
      </c>
      <c r="I2536">
        <v>0</v>
      </c>
      <c r="J2536">
        <v>0</v>
      </c>
      <c r="K2536">
        <v>61.7</v>
      </c>
      <c r="L2536">
        <v>62.4</v>
      </c>
      <c r="M2536">
        <v>66.2</v>
      </c>
      <c r="N2536">
        <v>4</v>
      </c>
      <c r="O2536">
        <v>3</v>
      </c>
      <c r="P2536">
        <f>MOD(DAY(datos_siembra[[#This Row],[Date]]),7)</f>
        <v>4</v>
      </c>
      <c r="Q2536" t="str">
        <f>CHOOSE(WEEKDAY(datos_siembra[[#This Row],[Date]],2),"L","M","X","J","V","S","D")</f>
        <v>V</v>
      </c>
      <c r="R2536">
        <f>WEEKNUM(datos_siembra[[#This Row],[Date]],2)-WEEKNUM(DATE(YEAR(datos_siembra[[#This Row],[Date]]),MONTH(datos_siembra[[#This Row],[Date]]),1))+1</f>
        <v>1</v>
      </c>
      <c r="S2536">
        <f>MONTH(datos_siembra[[#This Row],[Date]])</f>
        <v>10</v>
      </c>
      <c r="T2536" t="str" cm="1">
        <f t="array" ref="T2536">_xlfn.IFS(AND(N2536&lt;= 22, S2536=9), "SOWING",AND(N2536&lt;= 28, S2536=9), "COVERAGE",AND(N2536&lt;= 30, S2536=9), "FLUSH",AND(N2536&lt;= 11, S2536=10), "FLUSH",AND(N2536&lt;= 21, S2536=10), "PRODUCTION")</f>
        <v>FLUSH</v>
      </c>
      <c r="U2536">
        <f>HOUR(datos_siembra[[#This Row],[Hour]])</f>
        <v>9</v>
      </c>
      <c r="V2536" cm="1">
        <f t="array" ref="V2536">_xlfn.IFS(AND(N2536&lt;= 22, S2536=9), N2536-7,AND(N2536&lt;= 28, S2536=9), N2536-25,AND(N2536&lt;= 30, S2536=9), N2536-28,AND(N2536&lt;= 11, S2536=10), N2536+2,AND(N2536&lt;= 21, S2536=10), N2536-11)</f>
        <v>6</v>
      </c>
    </row>
    <row r="2537" spans="1:22" x14ac:dyDescent="0.35">
      <c r="A2537" s="4">
        <v>45569</v>
      </c>
      <c r="B2537" s="5">
        <v>0.40538194444444442</v>
      </c>
      <c r="C2537">
        <v>67.3</v>
      </c>
      <c r="D2537">
        <v>67.599999999999994</v>
      </c>
      <c r="E2537">
        <v>65.400000000000006</v>
      </c>
      <c r="F2537">
        <v>64.2</v>
      </c>
      <c r="G2537">
        <v>0</v>
      </c>
      <c r="H2537">
        <v>0</v>
      </c>
      <c r="I2537">
        <v>0</v>
      </c>
      <c r="J2537">
        <v>0</v>
      </c>
      <c r="K2537">
        <v>61</v>
      </c>
      <c r="L2537">
        <v>61.8</v>
      </c>
      <c r="M2537">
        <v>66.17</v>
      </c>
      <c r="N2537">
        <v>4</v>
      </c>
      <c r="O2537">
        <v>3</v>
      </c>
      <c r="P2537">
        <f>MOD(DAY(datos_siembra[[#This Row],[Date]]),7)</f>
        <v>4</v>
      </c>
      <c r="Q2537" t="str">
        <f>CHOOSE(WEEKDAY(datos_siembra[[#This Row],[Date]],2),"L","M","X","J","V","S","D")</f>
        <v>V</v>
      </c>
      <c r="R2537">
        <f>WEEKNUM(datos_siembra[[#This Row],[Date]],2)-WEEKNUM(DATE(YEAR(datos_siembra[[#This Row],[Date]]),MONTH(datos_siembra[[#This Row],[Date]]),1))+1</f>
        <v>1</v>
      </c>
      <c r="S2537">
        <f>MONTH(datos_siembra[[#This Row],[Date]])</f>
        <v>10</v>
      </c>
      <c r="T2537" t="str" cm="1">
        <f t="array" ref="T2537">_xlfn.IFS(AND(N2537&lt;= 22, S2537=9), "SOWING",AND(N2537&lt;= 28, S2537=9), "COVERAGE",AND(N2537&lt;= 30, S2537=9), "FLUSH",AND(N2537&lt;= 11, S2537=10), "FLUSH",AND(N2537&lt;= 21, S2537=10), "PRODUCTION")</f>
        <v>FLUSH</v>
      </c>
      <c r="U2537">
        <f>HOUR(datos_siembra[[#This Row],[Hour]])</f>
        <v>9</v>
      </c>
      <c r="V2537" cm="1">
        <f t="array" ref="V2537">_xlfn.IFS(AND(N2537&lt;= 22, S2537=9), N2537-7,AND(N2537&lt;= 28, S2537=9), N2537-25,AND(N2537&lt;= 30, S2537=9), N2537-28,AND(N2537&lt;= 11, S2537=10), N2537+2,AND(N2537&lt;= 21, S2537=10), N2537-11)</f>
        <v>6</v>
      </c>
    </row>
    <row r="2538" spans="1:22" x14ac:dyDescent="0.35">
      <c r="A2538" s="4">
        <v>45569</v>
      </c>
      <c r="B2538" s="5">
        <v>0.4123263888888889</v>
      </c>
      <c r="C2538">
        <v>67.400000000000006</v>
      </c>
      <c r="D2538">
        <v>67.400000000000006</v>
      </c>
      <c r="E2538">
        <v>65.5</v>
      </c>
      <c r="F2538">
        <v>64.3</v>
      </c>
      <c r="G2538">
        <v>0</v>
      </c>
      <c r="H2538">
        <v>0</v>
      </c>
      <c r="I2538">
        <v>0</v>
      </c>
      <c r="J2538">
        <v>0</v>
      </c>
      <c r="K2538">
        <v>60.5</v>
      </c>
      <c r="L2538">
        <v>61.4</v>
      </c>
      <c r="M2538">
        <v>66.14</v>
      </c>
      <c r="N2538">
        <v>4</v>
      </c>
      <c r="O2538">
        <v>3</v>
      </c>
      <c r="P2538">
        <f>MOD(DAY(datos_siembra[[#This Row],[Date]]),7)</f>
        <v>4</v>
      </c>
      <c r="Q2538" t="str">
        <f>CHOOSE(WEEKDAY(datos_siembra[[#This Row],[Date]],2),"L","M","X","J","V","S","D")</f>
        <v>V</v>
      </c>
      <c r="R2538">
        <f>WEEKNUM(datos_siembra[[#This Row],[Date]],2)-WEEKNUM(DATE(YEAR(datos_siembra[[#This Row],[Date]]),MONTH(datos_siembra[[#This Row],[Date]]),1))+1</f>
        <v>1</v>
      </c>
      <c r="S2538">
        <f>MONTH(datos_siembra[[#This Row],[Date]])</f>
        <v>10</v>
      </c>
      <c r="T2538" t="str" cm="1">
        <f t="array" ref="T2538">_xlfn.IFS(AND(N2538&lt;= 22, S2538=9), "SOWING",AND(N2538&lt;= 28, S2538=9), "COVERAGE",AND(N2538&lt;= 30, S2538=9), "FLUSH",AND(N2538&lt;= 11, S2538=10), "FLUSH",AND(N2538&lt;= 21, S2538=10), "PRODUCTION")</f>
        <v>FLUSH</v>
      </c>
      <c r="U2538">
        <f>HOUR(datos_siembra[[#This Row],[Hour]])</f>
        <v>9</v>
      </c>
      <c r="V2538" cm="1">
        <f t="array" ref="V2538">_xlfn.IFS(AND(N2538&lt;= 22, S2538=9), N2538-7,AND(N2538&lt;= 28, S2538=9), N2538-25,AND(N2538&lt;= 30, S2538=9), N2538-28,AND(N2538&lt;= 11, S2538=10), N2538+2,AND(N2538&lt;= 21, S2538=10), N2538-11)</f>
        <v>6</v>
      </c>
    </row>
    <row r="2539" spans="1:22" x14ac:dyDescent="0.35">
      <c r="A2539" s="4">
        <v>45569</v>
      </c>
      <c r="B2539" s="5">
        <v>0.41927083333333331</v>
      </c>
      <c r="C2539">
        <v>67.3</v>
      </c>
      <c r="D2539">
        <v>67.599999999999994</v>
      </c>
      <c r="E2539">
        <v>65.5</v>
      </c>
      <c r="F2539">
        <v>64.400000000000006</v>
      </c>
      <c r="G2539">
        <v>0</v>
      </c>
      <c r="H2539">
        <v>0</v>
      </c>
      <c r="I2539">
        <v>0</v>
      </c>
      <c r="J2539">
        <v>0</v>
      </c>
      <c r="K2539">
        <v>60.2</v>
      </c>
      <c r="L2539">
        <v>61.1</v>
      </c>
      <c r="M2539">
        <v>66.2</v>
      </c>
      <c r="N2539">
        <v>4</v>
      </c>
      <c r="O2539">
        <v>3</v>
      </c>
      <c r="P2539">
        <f>MOD(DAY(datos_siembra[[#This Row],[Date]]),7)</f>
        <v>4</v>
      </c>
      <c r="Q2539" t="str">
        <f>CHOOSE(WEEKDAY(datos_siembra[[#This Row],[Date]],2),"L","M","X","J","V","S","D")</f>
        <v>V</v>
      </c>
      <c r="R2539">
        <f>WEEKNUM(datos_siembra[[#This Row],[Date]],2)-WEEKNUM(DATE(YEAR(datos_siembra[[#This Row],[Date]]),MONTH(datos_siembra[[#This Row],[Date]]),1))+1</f>
        <v>1</v>
      </c>
      <c r="S2539">
        <f>MONTH(datos_siembra[[#This Row],[Date]])</f>
        <v>10</v>
      </c>
      <c r="T2539" t="str" cm="1">
        <f t="array" ref="T2539">_xlfn.IFS(AND(N2539&lt;= 22, S2539=9), "SOWING",AND(N2539&lt;= 28, S2539=9), "COVERAGE",AND(N2539&lt;= 30, S2539=9), "FLUSH",AND(N2539&lt;= 11, S2539=10), "FLUSH",AND(N2539&lt;= 21, S2539=10), "PRODUCTION")</f>
        <v>FLUSH</v>
      </c>
      <c r="U2539">
        <f>HOUR(datos_siembra[[#This Row],[Hour]])</f>
        <v>10</v>
      </c>
      <c r="V2539" cm="1">
        <f t="array" ref="V2539">_xlfn.IFS(AND(N2539&lt;= 22, S2539=9), N2539-7,AND(N2539&lt;= 28, S2539=9), N2539-25,AND(N2539&lt;= 30, S2539=9), N2539-28,AND(N2539&lt;= 11, S2539=10), N2539+2,AND(N2539&lt;= 21, S2539=10), N2539-11)</f>
        <v>6</v>
      </c>
    </row>
    <row r="2540" spans="1:22" x14ac:dyDescent="0.35">
      <c r="A2540" s="4">
        <v>45569</v>
      </c>
      <c r="B2540" s="5">
        <v>0.42622685185185183</v>
      </c>
      <c r="C2540">
        <v>67.2</v>
      </c>
      <c r="D2540">
        <v>67.599999999999994</v>
      </c>
      <c r="E2540">
        <v>65.5</v>
      </c>
      <c r="F2540">
        <v>64.2</v>
      </c>
      <c r="G2540">
        <v>0</v>
      </c>
      <c r="H2540">
        <v>0</v>
      </c>
      <c r="I2540">
        <v>0</v>
      </c>
      <c r="J2540">
        <v>0</v>
      </c>
      <c r="K2540">
        <v>60.1</v>
      </c>
      <c r="L2540">
        <v>61</v>
      </c>
      <c r="M2540">
        <v>66.12</v>
      </c>
      <c r="N2540">
        <v>4</v>
      </c>
      <c r="O2540">
        <v>3</v>
      </c>
      <c r="P2540">
        <f>MOD(DAY(datos_siembra[[#This Row],[Date]]),7)</f>
        <v>4</v>
      </c>
      <c r="Q2540" t="str">
        <f>CHOOSE(WEEKDAY(datos_siembra[[#This Row],[Date]],2),"L","M","X","J","V","S","D")</f>
        <v>V</v>
      </c>
      <c r="R2540">
        <f>WEEKNUM(datos_siembra[[#This Row],[Date]],2)-WEEKNUM(DATE(YEAR(datos_siembra[[#This Row],[Date]]),MONTH(datos_siembra[[#This Row],[Date]]),1))+1</f>
        <v>1</v>
      </c>
      <c r="S2540">
        <f>MONTH(datos_siembra[[#This Row],[Date]])</f>
        <v>10</v>
      </c>
      <c r="T2540" t="str" cm="1">
        <f t="array" ref="T2540">_xlfn.IFS(AND(N2540&lt;= 22, S2540=9), "SOWING",AND(N2540&lt;= 28, S2540=9), "COVERAGE",AND(N2540&lt;= 30, S2540=9), "FLUSH",AND(N2540&lt;= 11, S2540=10), "FLUSH",AND(N2540&lt;= 21, S2540=10), "PRODUCTION")</f>
        <v>FLUSH</v>
      </c>
      <c r="U2540">
        <f>HOUR(datos_siembra[[#This Row],[Hour]])</f>
        <v>10</v>
      </c>
      <c r="V2540" cm="1">
        <f t="array" ref="V2540">_xlfn.IFS(AND(N2540&lt;= 22, S2540=9), N2540-7,AND(N2540&lt;= 28, S2540=9), N2540-25,AND(N2540&lt;= 30, S2540=9), N2540-28,AND(N2540&lt;= 11, S2540=10), N2540+2,AND(N2540&lt;= 21, S2540=10), N2540-11)</f>
        <v>6</v>
      </c>
    </row>
    <row r="2541" spans="1:22" x14ac:dyDescent="0.35">
      <c r="A2541" s="4">
        <v>45569</v>
      </c>
      <c r="B2541" s="5">
        <v>0.4331712962962963</v>
      </c>
      <c r="C2541">
        <v>67.3</v>
      </c>
      <c r="D2541">
        <v>67.599999999999994</v>
      </c>
      <c r="E2541">
        <v>65.400000000000006</v>
      </c>
      <c r="F2541">
        <v>64.3</v>
      </c>
      <c r="G2541">
        <v>0</v>
      </c>
      <c r="H2541">
        <v>0</v>
      </c>
      <c r="I2541">
        <v>0</v>
      </c>
      <c r="J2541">
        <v>0</v>
      </c>
      <c r="K2541">
        <v>60.2</v>
      </c>
      <c r="L2541">
        <v>61.1</v>
      </c>
      <c r="M2541">
        <v>66.17</v>
      </c>
      <c r="N2541">
        <v>4</v>
      </c>
      <c r="O2541">
        <v>3</v>
      </c>
      <c r="P2541">
        <f>MOD(DAY(datos_siembra[[#This Row],[Date]]),7)</f>
        <v>4</v>
      </c>
      <c r="Q2541" t="str">
        <f>CHOOSE(WEEKDAY(datos_siembra[[#This Row],[Date]],2),"L","M","X","J","V","S","D")</f>
        <v>V</v>
      </c>
      <c r="R2541">
        <f>WEEKNUM(datos_siembra[[#This Row],[Date]],2)-WEEKNUM(DATE(YEAR(datos_siembra[[#This Row],[Date]]),MONTH(datos_siembra[[#This Row],[Date]]),1))+1</f>
        <v>1</v>
      </c>
      <c r="S2541">
        <f>MONTH(datos_siembra[[#This Row],[Date]])</f>
        <v>10</v>
      </c>
      <c r="T2541" t="str" cm="1">
        <f t="array" ref="T2541">_xlfn.IFS(AND(N2541&lt;= 22, S2541=9), "SOWING",AND(N2541&lt;= 28, S2541=9), "COVERAGE",AND(N2541&lt;= 30, S2541=9), "FLUSH",AND(N2541&lt;= 11, S2541=10), "FLUSH",AND(N2541&lt;= 21, S2541=10), "PRODUCTION")</f>
        <v>FLUSH</v>
      </c>
      <c r="U2541">
        <f>HOUR(datos_siembra[[#This Row],[Hour]])</f>
        <v>10</v>
      </c>
      <c r="V2541" cm="1">
        <f t="array" ref="V2541">_xlfn.IFS(AND(N2541&lt;= 22, S2541=9), N2541-7,AND(N2541&lt;= 28, S2541=9), N2541-25,AND(N2541&lt;= 30, S2541=9), N2541-28,AND(N2541&lt;= 11, S2541=10), N2541+2,AND(N2541&lt;= 21, S2541=10), N2541-11)</f>
        <v>6</v>
      </c>
    </row>
    <row r="2542" spans="1:22" x14ac:dyDescent="0.35">
      <c r="A2542" s="4">
        <v>45569</v>
      </c>
      <c r="B2542" s="5">
        <v>0.44011574074074072</v>
      </c>
      <c r="C2542">
        <v>67.3</v>
      </c>
      <c r="D2542">
        <v>67.7</v>
      </c>
      <c r="E2542">
        <v>65.599999999999994</v>
      </c>
      <c r="F2542">
        <v>64.3</v>
      </c>
      <c r="G2542">
        <v>0</v>
      </c>
      <c r="H2542">
        <v>0</v>
      </c>
      <c r="I2542">
        <v>0</v>
      </c>
      <c r="J2542">
        <v>0</v>
      </c>
      <c r="K2542">
        <v>60.2</v>
      </c>
      <c r="L2542">
        <v>61.1</v>
      </c>
      <c r="M2542">
        <v>66.12</v>
      </c>
      <c r="N2542">
        <v>4</v>
      </c>
      <c r="O2542">
        <v>3</v>
      </c>
      <c r="P2542">
        <f>MOD(DAY(datos_siembra[[#This Row],[Date]]),7)</f>
        <v>4</v>
      </c>
      <c r="Q2542" t="str">
        <f>CHOOSE(WEEKDAY(datos_siembra[[#This Row],[Date]],2),"L","M","X","J","V","S","D")</f>
        <v>V</v>
      </c>
      <c r="R2542">
        <f>WEEKNUM(datos_siembra[[#This Row],[Date]],2)-WEEKNUM(DATE(YEAR(datos_siembra[[#This Row],[Date]]),MONTH(datos_siembra[[#This Row],[Date]]),1))+1</f>
        <v>1</v>
      </c>
      <c r="S2542">
        <f>MONTH(datos_siembra[[#This Row],[Date]])</f>
        <v>10</v>
      </c>
      <c r="T2542" t="str" cm="1">
        <f t="array" ref="T2542">_xlfn.IFS(AND(N2542&lt;= 22, S2542=9), "SOWING",AND(N2542&lt;= 28, S2542=9), "COVERAGE",AND(N2542&lt;= 30, S2542=9), "FLUSH",AND(N2542&lt;= 11, S2542=10), "FLUSH",AND(N2542&lt;= 21, S2542=10), "PRODUCTION")</f>
        <v>FLUSH</v>
      </c>
      <c r="U2542">
        <f>HOUR(datos_siembra[[#This Row],[Hour]])</f>
        <v>10</v>
      </c>
      <c r="V2542" cm="1">
        <f t="array" ref="V2542">_xlfn.IFS(AND(N2542&lt;= 22, S2542=9), N2542-7,AND(N2542&lt;= 28, S2542=9), N2542-25,AND(N2542&lt;= 30, S2542=9), N2542-28,AND(N2542&lt;= 11, S2542=10), N2542+2,AND(N2542&lt;= 21, S2542=10), N2542-11)</f>
        <v>6</v>
      </c>
    </row>
    <row r="2543" spans="1:22" x14ac:dyDescent="0.35">
      <c r="A2543" s="4">
        <v>45569</v>
      </c>
      <c r="B2543" s="5">
        <v>0.44707175925925924</v>
      </c>
      <c r="C2543">
        <v>67.3</v>
      </c>
      <c r="D2543">
        <v>67.7</v>
      </c>
      <c r="E2543">
        <v>65.5</v>
      </c>
      <c r="F2543">
        <v>64.3</v>
      </c>
      <c r="G2543">
        <v>0</v>
      </c>
      <c r="H2543">
        <v>0</v>
      </c>
      <c r="I2543">
        <v>0</v>
      </c>
      <c r="J2543">
        <v>0</v>
      </c>
      <c r="K2543">
        <v>60.2</v>
      </c>
      <c r="L2543">
        <v>61.1</v>
      </c>
      <c r="M2543">
        <v>66.17</v>
      </c>
      <c r="N2543">
        <v>4</v>
      </c>
      <c r="O2543">
        <v>3</v>
      </c>
      <c r="P2543">
        <f>MOD(DAY(datos_siembra[[#This Row],[Date]]),7)</f>
        <v>4</v>
      </c>
      <c r="Q2543" t="str">
        <f>CHOOSE(WEEKDAY(datos_siembra[[#This Row],[Date]],2),"L","M","X","J","V","S","D")</f>
        <v>V</v>
      </c>
      <c r="R2543">
        <f>WEEKNUM(datos_siembra[[#This Row],[Date]],2)-WEEKNUM(DATE(YEAR(datos_siembra[[#This Row],[Date]]),MONTH(datos_siembra[[#This Row],[Date]]),1))+1</f>
        <v>1</v>
      </c>
      <c r="S2543">
        <f>MONTH(datos_siembra[[#This Row],[Date]])</f>
        <v>10</v>
      </c>
      <c r="T2543" t="str" cm="1">
        <f t="array" ref="T2543">_xlfn.IFS(AND(N2543&lt;= 22, S2543=9), "SOWING",AND(N2543&lt;= 28, S2543=9), "COVERAGE",AND(N2543&lt;= 30, S2543=9), "FLUSH",AND(N2543&lt;= 11, S2543=10), "FLUSH",AND(N2543&lt;= 21, S2543=10), "PRODUCTION")</f>
        <v>FLUSH</v>
      </c>
      <c r="U2543">
        <f>HOUR(datos_siembra[[#This Row],[Hour]])</f>
        <v>10</v>
      </c>
      <c r="V2543" cm="1">
        <f t="array" ref="V2543">_xlfn.IFS(AND(N2543&lt;= 22, S2543=9), N2543-7,AND(N2543&lt;= 28, S2543=9), N2543-25,AND(N2543&lt;= 30, S2543=9), N2543-28,AND(N2543&lt;= 11, S2543=10), N2543+2,AND(N2543&lt;= 21, S2543=10), N2543-11)</f>
        <v>6</v>
      </c>
    </row>
    <row r="2544" spans="1:22" x14ac:dyDescent="0.35">
      <c r="A2544" s="4">
        <v>45569</v>
      </c>
      <c r="B2544" s="5">
        <v>0.45401620370370371</v>
      </c>
      <c r="C2544">
        <v>67.2</v>
      </c>
      <c r="D2544">
        <v>67.8</v>
      </c>
      <c r="E2544">
        <v>65.400000000000006</v>
      </c>
      <c r="F2544">
        <v>64.2</v>
      </c>
      <c r="G2544">
        <v>0</v>
      </c>
      <c r="H2544">
        <v>0</v>
      </c>
      <c r="I2544">
        <v>0</v>
      </c>
      <c r="J2544">
        <v>0</v>
      </c>
      <c r="K2544">
        <v>60.3</v>
      </c>
      <c r="L2544">
        <v>61.1</v>
      </c>
      <c r="M2544">
        <v>66.14</v>
      </c>
      <c r="N2544">
        <v>4</v>
      </c>
      <c r="O2544">
        <v>3</v>
      </c>
      <c r="P2544">
        <f>MOD(DAY(datos_siembra[[#This Row],[Date]]),7)</f>
        <v>4</v>
      </c>
      <c r="Q2544" t="str">
        <f>CHOOSE(WEEKDAY(datos_siembra[[#This Row],[Date]],2),"L","M","X","J","V","S","D")</f>
        <v>V</v>
      </c>
      <c r="R2544">
        <f>WEEKNUM(datos_siembra[[#This Row],[Date]],2)-WEEKNUM(DATE(YEAR(datos_siembra[[#This Row],[Date]]),MONTH(datos_siembra[[#This Row],[Date]]),1))+1</f>
        <v>1</v>
      </c>
      <c r="S2544">
        <f>MONTH(datos_siembra[[#This Row],[Date]])</f>
        <v>10</v>
      </c>
      <c r="T2544" t="str" cm="1">
        <f t="array" ref="T2544">_xlfn.IFS(AND(N2544&lt;= 22, S2544=9), "SOWING",AND(N2544&lt;= 28, S2544=9), "COVERAGE",AND(N2544&lt;= 30, S2544=9), "FLUSH",AND(N2544&lt;= 11, S2544=10), "FLUSH",AND(N2544&lt;= 21, S2544=10), "PRODUCTION")</f>
        <v>FLUSH</v>
      </c>
      <c r="U2544">
        <f>HOUR(datos_siembra[[#This Row],[Hour]])</f>
        <v>10</v>
      </c>
      <c r="V2544" cm="1">
        <f t="array" ref="V2544">_xlfn.IFS(AND(N2544&lt;= 22, S2544=9), N2544-7,AND(N2544&lt;= 28, S2544=9), N2544-25,AND(N2544&lt;= 30, S2544=9), N2544-28,AND(N2544&lt;= 11, S2544=10), N2544+2,AND(N2544&lt;= 21, S2544=10), N2544-11)</f>
        <v>6</v>
      </c>
    </row>
    <row r="2545" spans="1:22" x14ac:dyDescent="0.35">
      <c r="A2545" s="4">
        <v>45569</v>
      </c>
      <c r="B2545" s="5">
        <v>0.46096064814814813</v>
      </c>
      <c r="C2545">
        <v>67.2</v>
      </c>
      <c r="D2545">
        <v>67.7</v>
      </c>
      <c r="E2545">
        <v>65.5</v>
      </c>
      <c r="F2545">
        <v>64.3</v>
      </c>
      <c r="G2545">
        <v>0</v>
      </c>
      <c r="H2545">
        <v>0</v>
      </c>
      <c r="I2545">
        <v>0</v>
      </c>
      <c r="J2545">
        <v>0</v>
      </c>
      <c r="K2545">
        <v>60.3</v>
      </c>
      <c r="L2545">
        <v>61.1</v>
      </c>
      <c r="M2545">
        <v>66.17</v>
      </c>
      <c r="N2545">
        <v>4</v>
      </c>
      <c r="O2545">
        <v>3</v>
      </c>
      <c r="P2545">
        <f>MOD(DAY(datos_siembra[[#This Row],[Date]]),7)</f>
        <v>4</v>
      </c>
      <c r="Q2545" t="str">
        <f>CHOOSE(WEEKDAY(datos_siembra[[#This Row],[Date]],2),"L","M","X","J","V","S","D")</f>
        <v>V</v>
      </c>
      <c r="R2545">
        <f>WEEKNUM(datos_siembra[[#This Row],[Date]],2)-WEEKNUM(DATE(YEAR(datos_siembra[[#This Row],[Date]]),MONTH(datos_siembra[[#This Row],[Date]]),1))+1</f>
        <v>1</v>
      </c>
      <c r="S2545">
        <f>MONTH(datos_siembra[[#This Row],[Date]])</f>
        <v>10</v>
      </c>
      <c r="T2545" t="str" cm="1">
        <f t="array" ref="T2545">_xlfn.IFS(AND(N2545&lt;= 22, S2545=9), "SOWING",AND(N2545&lt;= 28, S2545=9), "COVERAGE",AND(N2545&lt;= 30, S2545=9), "FLUSH",AND(N2545&lt;= 11, S2545=10), "FLUSH",AND(N2545&lt;= 21, S2545=10), "PRODUCTION")</f>
        <v>FLUSH</v>
      </c>
      <c r="U2545">
        <f>HOUR(datos_siembra[[#This Row],[Hour]])</f>
        <v>11</v>
      </c>
      <c r="V2545" cm="1">
        <f t="array" ref="V2545">_xlfn.IFS(AND(N2545&lt;= 22, S2545=9), N2545-7,AND(N2545&lt;= 28, S2545=9), N2545-25,AND(N2545&lt;= 30, S2545=9), N2545-28,AND(N2545&lt;= 11, S2545=10), N2545+2,AND(N2545&lt;= 21, S2545=10), N2545-11)</f>
        <v>6</v>
      </c>
    </row>
    <row r="2546" spans="1:22" x14ac:dyDescent="0.35">
      <c r="A2546" s="4">
        <v>45569</v>
      </c>
      <c r="B2546" s="5">
        <v>0.46791666666666665</v>
      </c>
      <c r="C2546">
        <v>67.3</v>
      </c>
      <c r="D2546">
        <v>67.599999999999994</v>
      </c>
      <c r="E2546">
        <v>65.400000000000006</v>
      </c>
      <c r="F2546">
        <v>64.2</v>
      </c>
      <c r="G2546">
        <v>0</v>
      </c>
      <c r="H2546">
        <v>0</v>
      </c>
      <c r="I2546">
        <v>0</v>
      </c>
      <c r="J2546">
        <v>0</v>
      </c>
      <c r="K2546">
        <v>60.3</v>
      </c>
      <c r="L2546">
        <v>61.4</v>
      </c>
      <c r="M2546">
        <v>66.12</v>
      </c>
      <c r="N2546">
        <v>4</v>
      </c>
      <c r="O2546">
        <v>3</v>
      </c>
      <c r="P2546">
        <f>MOD(DAY(datos_siembra[[#This Row],[Date]]),7)</f>
        <v>4</v>
      </c>
      <c r="Q2546" t="str">
        <f>CHOOSE(WEEKDAY(datos_siembra[[#This Row],[Date]],2),"L","M","X","J","V","S","D")</f>
        <v>V</v>
      </c>
      <c r="R2546">
        <f>WEEKNUM(datos_siembra[[#This Row],[Date]],2)-WEEKNUM(DATE(YEAR(datos_siembra[[#This Row],[Date]]),MONTH(datos_siembra[[#This Row],[Date]]),1))+1</f>
        <v>1</v>
      </c>
      <c r="S2546">
        <f>MONTH(datos_siembra[[#This Row],[Date]])</f>
        <v>10</v>
      </c>
      <c r="T2546" t="str" cm="1">
        <f t="array" ref="T2546">_xlfn.IFS(AND(N2546&lt;= 22, S2546=9), "SOWING",AND(N2546&lt;= 28, S2546=9), "COVERAGE",AND(N2546&lt;= 30, S2546=9), "FLUSH",AND(N2546&lt;= 11, S2546=10), "FLUSH",AND(N2546&lt;= 21, S2546=10), "PRODUCTION")</f>
        <v>FLUSH</v>
      </c>
      <c r="U2546">
        <f>HOUR(datos_siembra[[#This Row],[Hour]])</f>
        <v>11</v>
      </c>
      <c r="V2546" cm="1">
        <f t="array" ref="V2546">_xlfn.IFS(AND(N2546&lt;= 22, S2546=9), N2546-7,AND(N2546&lt;= 28, S2546=9), N2546-25,AND(N2546&lt;= 30, S2546=9), N2546-28,AND(N2546&lt;= 11, S2546=10), N2546+2,AND(N2546&lt;= 21, S2546=10), N2546-11)</f>
        <v>6</v>
      </c>
    </row>
    <row r="2547" spans="1:22" x14ac:dyDescent="0.35">
      <c r="A2547" s="4">
        <v>45569</v>
      </c>
      <c r="B2547" s="5">
        <v>0.47486111111111112</v>
      </c>
      <c r="C2547">
        <v>67.2</v>
      </c>
      <c r="D2547">
        <v>67.7</v>
      </c>
      <c r="E2547">
        <v>65.5</v>
      </c>
      <c r="F2547">
        <v>64.2</v>
      </c>
      <c r="G2547">
        <v>0</v>
      </c>
      <c r="H2547">
        <v>0</v>
      </c>
      <c r="I2547">
        <v>0</v>
      </c>
      <c r="J2547">
        <v>0</v>
      </c>
      <c r="K2547">
        <v>60.5</v>
      </c>
      <c r="L2547">
        <v>61.1</v>
      </c>
      <c r="M2547">
        <v>66.12</v>
      </c>
      <c r="N2547">
        <v>4</v>
      </c>
      <c r="O2547">
        <v>3</v>
      </c>
      <c r="P2547">
        <f>MOD(DAY(datos_siembra[[#This Row],[Date]]),7)</f>
        <v>4</v>
      </c>
      <c r="Q2547" t="str">
        <f>CHOOSE(WEEKDAY(datos_siembra[[#This Row],[Date]],2),"L","M","X","J","V","S","D")</f>
        <v>V</v>
      </c>
      <c r="R2547">
        <f>WEEKNUM(datos_siembra[[#This Row],[Date]],2)-WEEKNUM(DATE(YEAR(datos_siembra[[#This Row],[Date]]),MONTH(datos_siembra[[#This Row],[Date]]),1))+1</f>
        <v>1</v>
      </c>
      <c r="S2547">
        <f>MONTH(datos_siembra[[#This Row],[Date]])</f>
        <v>10</v>
      </c>
      <c r="T2547" t="str" cm="1">
        <f t="array" ref="T2547">_xlfn.IFS(AND(N2547&lt;= 22, S2547=9), "SOWING",AND(N2547&lt;= 28, S2547=9), "COVERAGE",AND(N2547&lt;= 30, S2547=9), "FLUSH",AND(N2547&lt;= 11, S2547=10), "FLUSH",AND(N2547&lt;= 21, S2547=10), "PRODUCTION")</f>
        <v>FLUSH</v>
      </c>
      <c r="U2547">
        <f>HOUR(datos_siembra[[#This Row],[Hour]])</f>
        <v>11</v>
      </c>
      <c r="V2547" cm="1">
        <f t="array" ref="V2547">_xlfn.IFS(AND(N2547&lt;= 22, S2547=9), N2547-7,AND(N2547&lt;= 28, S2547=9), N2547-25,AND(N2547&lt;= 30, S2547=9), N2547-28,AND(N2547&lt;= 11, S2547=10), N2547+2,AND(N2547&lt;= 21, S2547=10), N2547-11)</f>
        <v>6</v>
      </c>
    </row>
    <row r="2548" spans="1:22" x14ac:dyDescent="0.35">
      <c r="A2548" s="4">
        <v>45569</v>
      </c>
      <c r="B2548" s="5">
        <v>0.48180555555555554</v>
      </c>
      <c r="C2548">
        <v>67.099999999999994</v>
      </c>
      <c r="D2548">
        <v>67.599999999999994</v>
      </c>
      <c r="E2548">
        <v>65.400000000000006</v>
      </c>
      <c r="F2548">
        <v>64.3</v>
      </c>
      <c r="G2548">
        <v>0</v>
      </c>
      <c r="H2548">
        <v>0</v>
      </c>
      <c r="I2548">
        <v>0</v>
      </c>
      <c r="J2548">
        <v>0</v>
      </c>
      <c r="K2548">
        <v>60.5</v>
      </c>
      <c r="L2548">
        <v>61.2</v>
      </c>
      <c r="M2548">
        <v>66.12</v>
      </c>
      <c r="N2548">
        <v>4</v>
      </c>
      <c r="O2548">
        <v>3</v>
      </c>
      <c r="P2548">
        <f>MOD(DAY(datos_siembra[[#This Row],[Date]]),7)</f>
        <v>4</v>
      </c>
      <c r="Q2548" t="str">
        <f>CHOOSE(WEEKDAY(datos_siembra[[#This Row],[Date]],2),"L","M","X","J","V","S","D")</f>
        <v>V</v>
      </c>
      <c r="R2548">
        <f>WEEKNUM(datos_siembra[[#This Row],[Date]],2)-WEEKNUM(DATE(YEAR(datos_siembra[[#This Row],[Date]]),MONTH(datos_siembra[[#This Row],[Date]]),1))+1</f>
        <v>1</v>
      </c>
      <c r="S2548">
        <f>MONTH(datos_siembra[[#This Row],[Date]])</f>
        <v>10</v>
      </c>
      <c r="T2548" t="str" cm="1">
        <f t="array" ref="T2548">_xlfn.IFS(AND(N2548&lt;= 22, S2548=9), "SOWING",AND(N2548&lt;= 28, S2548=9), "COVERAGE",AND(N2548&lt;= 30, S2548=9), "FLUSH",AND(N2548&lt;= 11, S2548=10), "FLUSH",AND(N2548&lt;= 21, S2548=10), "PRODUCTION")</f>
        <v>FLUSH</v>
      </c>
      <c r="U2548">
        <f>HOUR(datos_siembra[[#This Row],[Hour]])</f>
        <v>11</v>
      </c>
      <c r="V2548" cm="1">
        <f t="array" ref="V2548">_xlfn.IFS(AND(N2548&lt;= 22, S2548=9), N2548-7,AND(N2548&lt;= 28, S2548=9), N2548-25,AND(N2548&lt;= 30, S2548=9), N2548-28,AND(N2548&lt;= 11, S2548=10), N2548+2,AND(N2548&lt;= 21, S2548=10), N2548-11)</f>
        <v>6</v>
      </c>
    </row>
    <row r="2549" spans="1:22" x14ac:dyDescent="0.35">
      <c r="A2549" s="4">
        <v>45569</v>
      </c>
      <c r="B2549" s="5">
        <v>0.48876157407407406</v>
      </c>
      <c r="C2549">
        <v>67.2</v>
      </c>
      <c r="D2549">
        <v>67.599999999999994</v>
      </c>
      <c r="E2549">
        <v>65.5</v>
      </c>
      <c r="F2549">
        <v>64.2</v>
      </c>
      <c r="G2549">
        <v>0</v>
      </c>
      <c r="H2549">
        <v>0</v>
      </c>
      <c r="I2549">
        <v>0</v>
      </c>
      <c r="J2549">
        <v>0</v>
      </c>
      <c r="K2549">
        <v>60.6</v>
      </c>
      <c r="L2549">
        <v>59.6</v>
      </c>
      <c r="M2549">
        <v>66.09</v>
      </c>
      <c r="N2549">
        <v>4</v>
      </c>
      <c r="O2549">
        <v>3</v>
      </c>
      <c r="P2549">
        <f>MOD(DAY(datos_siembra[[#This Row],[Date]]),7)</f>
        <v>4</v>
      </c>
      <c r="Q2549" t="str">
        <f>CHOOSE(WEEKDAY(datos_siembra[[#This Row],[Date]],2),"L","M","X","J","V","S","D")</f>
        <v>V</v>
      </c>
      <c r="R2549">
        <f>WEEKNUM(datos_siembra[[#This Row],[Date]],2)-WEEKNUM(DATE(YEAR(datos_siembra[[#This Row],[Date]]),MONTH(datos_siembra[[#This Row],[Date]]),1))+1</f>
        <v>1</v>
      </c>
      <c r="S2549">
        <f>MONTH(datos_siembra[[#This Row],[Date]])</f>
        <v>10</v>
      </c>
      <c r="T2549" t="str" cm="1">
        <f t="array" ref="T2549">_xlfn.IFS(AND(N2549&lt;= 22, S2549=9), "SOWING",AND(N2549&lt;= 28, S2549=9), "COVERAGE",AND(N2549&lt;= 30, S2549=9), "FLUSH",AND(N2549&lt;= 11, S2549=10), "FLUSH",AND(N2549&lt;= 21, S2549=10), "PRODUCTION")</f>
        <v>FLUSH</v>
      </c>
      <c r="U2549">
        <f>HOUR(datos_siembra[[#This Row],[Hour]])</f>
        <v>11</v>
      </c>
      <c r="V2549" cm="1">
        <f t="array" ref="V2549">_xlfn.IFS(AND(N2549&lt;= 22, S2549=9), N2549-7,AND(N2549&lt;= 28, S2549=9), N2549-25,AND(N2549&lt;= 30, S2549=9), N2549-28,AND(N2549&lt;= 11, S2549=10), N2549+2,AND(N2549&lt;= 21, S2549=10), N2549-11)</f>
        <v>6</v>
      </c>
    </row>
    <row r="2550" spans="1:22" x14ac:dyDescent="0.35">
      <c r="A2550" s="4">
        <v>45569</v>
      </c>
      <c r="B2550" s="5">
        <v>0.49570601851851853</v>
      </c>
      <c r="C2550">
        <v>67.099999999999994</v>
      </c>
      <c r="D2550">
        <v>67.599999999999994</v>
      </c>
      <c r="E2550">
        <v>65.400000000000006</v>
      </c>
      <c r="F2550">
        <v>64.2</v>
      </c>
      <c r="G2550">
        <v>0</v>
      </c>
      <c r="H2550">
        <v>0</v>
      </c>
      <c r="I2550">
        <v>0</v>
      </c>
      <c r="J2550">
        <v>0</v>
      </c>
      <c r="K2550">
        <v>60.7</v>
      </c>
      <c r="L2550">
        <v>59.7</v>
      </c>
      <c r="M2550">
        <v>66.06</v>
      </c>
      <c r="N2550">
        <v>4</v>
      </c>
      <c r="O2550">
        <v>3</v>
      </c>
      <c r="P2550">
        <f>MOD(DAY(datos_siembra[[#This Row],[Date]]),7)</f>
        <v>4</v>
      </c>
      <c r="Q2550" t="str">
        <f>CHOOSE(WEEKDAY(datos_siembra[[#This Row],[Date]],2),"L","M","X","J","V","S","D")</f>
        <v>V</v>
      </c>
      <c r="R2550">
        <f>WEEKNUM(datos_siembra[[#This Row],[Date]],2)-WEEKNUM(DATE(YEAR(datos_siembra[[#This Row],[Date]]),MONTH(datos_siembra[[#This Row],[Date]]),1))+1</f>
        <v>1</v>
      </c>
      <c r="S2550">
        <f>MONTH(datos_siembra[[#This Row],[Date]])</f>
        <v>10</v>
      </c>
      <c r="T2550" t="str" cm="1">
        <f t="array" ref="T2550">_xlfn.IFS(AND(N2550&lt;= 22, S2550=9), "SOWING",AND(N2550&lt;= 28, S2550=9), "COVERAGE",AND(N2550&lt;= 30, S2550=9), "FLUSH",AND(N2550&lt;= 11, S2550=10), "FLUSH",AND(N2550&lt;= 21, S2550=10), "PRODUCTION")</f>
        <v>FLUSH</v>
      </c>
      <c r="U2550">
        <f>HOUR(datos_siembra[[#This Row],[Hour]])</f>
        <v>11</v>
      </c>
      <c r="V2550" cm="1">
        <f t="array" ref="V2550">_xlfn.IFS(AND(N2550&lt;= 22, S2550=9), N2550-7,AND(N2550&lt;= 28, S2550=9), N2550-25,AND(N2550&lt;= 30, S2550=9), N2550-28,AND(N2550&lt;= 11, S2550=10), N2550+2,AND(N2550&lt;= 21, S2550=10), N2550-11)</f>
        <v>6</v>
      </c>
    </row>
    <row r="2551" spans="1:22" x14ac:dyDescent="0.35">
      <c r="A2551" s="4">
        <v>45569</v>
      </c>
      <c r="B2551" s="5">
        <v>0.50265046296296301</v>
      </c>
      <c r="C2551">
        <v>67.099999999999994</v>
      </c>
      <c r="D2551">
        <v>67.599999999999994</v>
      </c>
      <c r="E2551">
        <v>65.5</v>
      </c>
      <c r="F2551">
        <v>64.2</v>
      </c>
      <c r="G2551">
        <v>0</v>
      </c>
      <c r="H2551">
        <v>0</v>
      </c>
      <c r="I2551">
        <v>0</v>
      </c>
      <c r="J2551">
        <v>0</v>
      </c>
      <c r="K2551">
        <v>60.7</v>
      </c>
      <c r="L2551">
        <v>59.7</v>
      </c>
      <c r="M2551">
        <v>66.14</v>
      </c>
      <c r="N2551">
        <v>4</v>
      </c>
      <c r="O2551">
        <v>3</v>
      </c>
      <c r="P2551">
        <f>MOD(DAY(datos_siembra[[#This Row],[Date]]),7)</f>
        <v>4</v>
      </c>
      <c r="Q2551" t="str">
        <f>CHOOSE(WEEKDAY(datos_siembra[[#This Row],[Date]],2),"L","M","X","J","V","S","D")</f>
        <v>V</v>
      </c>
      <c r="R2551">
        <f>WEEKNUM(datos_siembra[[#This Row],[Date]],2)-WEEKNUM(DATE(YEAR(datos_siembra[[#This Row],[Date]]),MONTH(datos_siembra[[#This Row],[Date]]),1))+1</f>
        <v>1</v>
      </c>
      <c r="S2551">
        <f>MONTH(datos_siembra[[#This Row],[Date]])</f>
        <v>10</v>
      </c>
      <c r="T2551" t="str" cm="1">
        <f t="array" ref="T2551">_xlfn.IFS(AND(N2551&lt;= 22, S2551=9), "SOWING",AND(N2551&lt;= 28, S2551=9), "COVERAGE",AND(N2551&lt;= 30, S2551=9), "FLUSH",AND(N2551&lt;= 11, S2551=10), "FLUSH",AND(N2551&lt;= 21, S2551=10), "PRODUCTION")</f>
        <v>FLUSH</v>
      </c>
      <c r="U2551">
        <f>HOUR(datos_siembra[[#This Row],[Hour]])</f>
        <v>12</v>
      </c>
      <c r="V2551" cm="1">
        <f t="array" ref="V2551">_xlfn.IFS(AND(N2551&lt;= 22, S2551=9), N2551-7,AND(N2551&lt;= 28, S2551=9), N2551-25,AND(N2551&lt;= 30, S2551=9), N2551-28,AND(N2551&lt;= 11, S2551=10), N2551+2,AND(N2551&lt;= 21, S2551=10), N2551-11)</f>
        <v>6</v>
      </c>
    </row>
    <row r="2552" spans="1:22" x14ac:dyDescent="0.35">
      <c r="A2552" s="4">
        <v>45569</v>
      </c>
      <c r="B2552" s="5">
        <v>0.50960648148148147</v>
      </c>
      <c r="C2552">
        <v>67.099999999999994</v>
      </c>
      <c r="D2552">
        <v>67.400000000000006</v>
      </c>
      <c r="E2552">
        <v>65.400000000000006</v>
      </c>
      <c r="F2552">
        <v>64.2</v>
      </c>
      <c r="G2552">
        <v>0</v>
      </c>
      <c r="H2552">
        <v>0</v>
      </c>
      <c r="I2552">
        <v>0</v>
      </c>
      <c r="J2552">
        <v>0</v>
      </c>
      <c r="K2552">
        <v>60.7</v>
      </c>
      <c r="L2552">
        <v>59.9</v>
      </c>
      <c r="M2552">
        <v>66.03</v>
      </c>
      <c r="N2552">
        <v>4</v>
      </c>
      <c r="O2552">
        <v>3</v>
      </c>
      <c r="P2552">
        <f>MOD(DAY(datos_siembra[[#This Row],[Date]]),7)</f>
        <v>4</v>
      </c>
      <c r="Q2552" t="str">
        <f>CHOOSE(WEEKDAY(datos_siembra[[#This Row],[Date]],2),"L","M","X","J","V","S","D")</f>
        <v>V</v>
      </c>
      <c r="R2552">
        <f>WEEKNUM(datos_siembra[[#This Row],[Date]],2)-WEEKNUM(DATE(YEAR(datos_siembra[[#This Row],[Date]]),MONTH(datos_siembra[[#This Row],[Date]]),1))+1</f>
        <v>1</v>
      </c>
      <c r="S2552">
        <f>MONTH(datos_siembra[[#This Row],[Date]])</f>
        <v>10</v>
      </c>
      <c r="T2552" t="str" cm="1">
        <f t="array" ref="T2552">_xlfn.IFS(AND(N2552&lt;= 22, S2552=9), "SOWING",AND(N2552&lt;= 28, S2552=9), "COVERAGE",AND(N2552&lt;= 30, S2552=9), "FLUSH",AND(N2552&lt;= 11, S2552=10), "FLUSH",AND(N2552&lt;= 21, S2552=10), "PRODUCTION")</f>
        <v>FLUSH</v>
      </c>
      <c r="U2552">
        <f>HOUR(datos_siembra[[#This Row],[Hour]])</f>
        <v>12</v>
      </c>
      <c r="V2552" cm="1">
        <f t="array" ref="V2552">_xlfn.IFS(AND(N2552&lt;= 22, S2552=9), N2552-7,AND(N2552&lt;= 28, S2552=9), N2552-25,AND(N2552&lt;= 30, S2552=9), N2552-28,AND(N2552&lt;= 11, S2552=10), N2552+2,AND(N2552&lt;= 21, S2552=10), N2552-11)</f>
        <v>6</v>
      </c>
    </row>
    <row r="2553" spans="1:22" x14ac:dyDescent="0.35">
      <c r="A2553" s="4">
        <v>45569</v>
      </c>
      <c r="B2553" s="5">
        <v>0.51655092592592589</v>
      </c>
      <c r="C2553">
        <v>67.2</v>
      </c>
      <c r="D2553">
        <v>67.7</v>
      </c>
      <c r="E2553">
        <v>65.599999999999994</v>
      </c>
      <c r="F2553">
        <v>64.2</v>
      </c>
      <c r="G2553">
        <v>0</v>
      </c>
      <c r="H2553">
        <v>0</v>
      </c>
      <c r="I2553">
        <v>0</v>
      </c>
      <c r="J2553">
        <v>0</v>
      </c>
      <c r="K2553">
        <v>60.8</v>
      </c>
      <c r="L2553">
        <v>60.1</v>
      </c>
      <c r="M2553">
        <v>66.2</v>
      </c>
      <c r="N2553">
        <v>4</v>
      </c>
      <c r="O2553">
        <v>3</v>
      </c>
      <c r="P2553">
        <f>MOD(DAY(datos_siembra[[#This Row],[Date]]),7)</f>
        <v>4</v>
      </c>
      <c r="Q2553" t="str">
        <f>CHOOSE(WEEKDAY(datos_siembra[[#This Row],[Date]],2),"L","M","X","J","V","S","D")</f>
        <v>V</v>
      </c>
      <c r="R2553">
        <f>WEEKNUM(datos_siembra[[#This Row],[Date]],2)-WEEKNUM(DATE(YEAR(datos_siembra[[#This Row],[Date]]),MONTH(datos_siembra[[#This Row],[Date]]),1))+1</f>
        <v>1</v>
      </c>
      <c r="S2553">
        <f>MONTH(datos_siembra[[#This Row],[Date]])</f>
        <v>10</v>
      </c>
      <c r="T2553" t="str" cm="1">
        <f t="array" ref="T2553">_xlfn.IFS(AND(N2553&lt;= 22, S2553=9), "SOWING",AND(N2553&lt;= 28, S2553=9), "COVERAGE",AND(N2553&lt;= 30, S2553=9), "FLUSH",AND(N2553&lt;= 11, S2553=10), "FLUSH",AND(N2553&lt;= 21, S2553=10), "PRODUCTION")</f>
        <v>FLUSH</v>
      </c>
      <c r="U2553">
        <f>HOUR(datos_siembra[[#This Row],[Hour]])</f>
        <v>12</v>
      </c>
      <c r="V2553" cm="1">
        <f t="array" ref="V2553">_xlfn.IFS(AND(N2553&lt;= 22, S2553=9), N2553-7,AND(N2553&lt;= 28, S2553=9), N2553-25,AND(N2553&lt;= 30, S2553=9), N2553-28,AND(N2553&lt;= 11, S2553=10), N2553+2,AND(N2553&lt;= 21, S2553=10), N2553-11)</f>
        <v>6</v>
      </c>
    </row>
    <row r="2554" spans="1:22" x14ac:dyDescent="0.35">
      <c r="A2554" s="4">
        <v>45569</v>
      </c>
      <c r="B2554" s="5">
        <v>0.52349537037037042</v>
      </c>
      <c r="C2554">
        <v>67.099999999999994</v>
      </c>
      <c r="D2554">
        <v>67.400000000000006</v>
      </c>
      <c r="E2554">
        <v>65.400000000000006</v>
      </c>
      <c r="F2554">
        <v>64.2</v>
      </c>
      <c r="G2554">
        <v>0</v>
      </c>
      <c r="H2554">
        <v>0</v>
      </c>
      <c r="I2554">
        <v>0</v>
      </c>
      <c r="J2554">
        <v>0</v>
      </c>
      <c r="K2554">
        <v>61.4</v>
      </c>
      <c r="L2554">
        <v>60.7</v>
      </c>
      <c r="M2554">
        <v>66.03</v>
      </c>
      <c r="N2554">
        <v>4</v>
      </c>
      <c r="O2554">
        <v>3</v>
      </c>
      <c r="P2554">
        <f>MOD(DAY(datos_siembra[[#This Row],[Date]]),7)</f>
        <v>4</v>
      </c>
      <c r="Q2554" t="str">
        <f>CHOOSE(WEEKDAY(datos_siembra[[#This Row],[Date]],2),"L","M","X","J","V","S","D")</f>
        <v>V</v>
      </c>
      <c r="R2554">
        <f>WEEKNUM(datos_siembra[[#This Row],[Date]],2)-WEEKNUM(DATE(YEAR(datos_siembra[[#This Row],[Date]]),MONTH(datos_siembra[[#This Row],[Date]]),1))+1</f>
        <v>1</v>
      </c>
      <c r="S2554">
        <f>MONTH(datos_siembra[[#This Row],[Date]])</f>
        <v>10</v>
      </c>
      <c r="T2554" t="str" cm="1">
        <f t="array" ref="T2554">_xlfn.IFS(AND(N2554&lt;= 22, S2554=9), "SOWING",AND(N2554&lt;= 28, S2554=9), "COVERAGE",AND(N2554&lt;= 30, S2554=9), "FLUSH",AND(N2554&lt;= 11, S2554=10), "FLUSH",AND(N2554&lt;= 21, S2554=10), "PRODUCTION")</f>
        <v>FLUSH</v>
      </c>
      <c r="U2554">
        <f>HOUR(datos_siembra[[#This Row],[Hour]])</f>
        <v>12</v>
      </c>
      <c r="V2554" cm="1">
        <f t="array" ref="V2554">_xlfn.IFS(AND(N2554&lt;= 22, S2554=9), N2554-7,AND(N2554&lt;= 28, S2554=9), N2554-25,AND(N2554&lt;= 30, S2554=9), N2554-28,AND(N2554&lt;= 11, S2554=10), N2554+2,AND(N2554&lt;= 21, S2554=10), N2554-11)</f>
        <v>6</v>
      </c>
    </row>
    <row r="2555" spans="1:22" x14ac:dyDescent="0.35">
      <c r="A2555" s="4">
        <v>45569</v>
      </c>
      <c r="B2555" s="5">
        <v>0.53043981481481484</v>
      </c>
      <c r="C2555">
        <v>67.3</v>
      </c>
      <c r="D2555">
        <v>67.599999999999994</v>
      </c>
      <c r="E2555">
        <v>65.400000000000006</v>
      </c>
      <c r="F2555">
        <v>64.099999999999994</v>
      </c>
      <c r="G2555">
        <v>0</v>
      </c>
      <c r="H2555">
        <v>0</v>
      </c>
      <c r="I2555">
        <v>0</v>
      </c>
      <c r="J2555">
        <v>0</v>
      </c>
      <c r="K2555">
        <v>62</v>
      </c>
      <c r="L2555">
        <v>61.2</v>
      </c>
      <c r="M2555">
        <v>66.06</v>
      </c>
      <c r="N2555">
        <v>4</v>
      </c>
      <c r="O2555">
        <v>3</v>
      </c>
      <c r="P2555">
        <f>MOD(DAY(datos_siembra[[#This Row],[Date]]),7)</f>
        <v>4</v>
      </c>
      <c r="Q2555" t="str">
        <f>CHOOSE(WEEKDAY(datos_siembra[[#This Row],[Date]],2),"L","M","X","J","V","S","D")</f>
        <v>V</v>
      </c>
      <c r="R2555">
        <f>WEEKNUM(datos_siembra[[#This Row],[Date]],2)-WEEKNUM(DATE(YEAR(datos_siembra[[#This Row],[Date]]),MONTH(datos_siembra[[#This Row],[Date]]),1))+1</f>
        <v>1</v>
      </c>
      <c r="S2555">
        <f>MONTH(datos_siembra[[#This Row],[Date]])</f>
        <v>10</v>
      </c>
      <c r="T2555" t="str" cm="1">
        <f t="array" ref="T2555">_xlfn.IFS(AND(N2555&lt;= 22, S2555=9), "SOWING",AND(N2555&lt;= 28, S2555=9), "COVERAGE",AND(N2555&lt;= 30, S2555=9), "FLUSH",AND(N2555&lt;= 11, S2555=10), "FLUSH",AND(N2555&lt;= 21, S2555=10), "PRODUCTION")</f>
        <v>FLUSH</v>
      </c>
      <c r="U2555">
        <f>HOUR(datos_siembra[[#This Row],[Hour]])</f>
        <v>12</v>
      </c>
      <c r="V2555" cm="1">
        <f t="array" ref="V2555">_xlfn.IFS(AND(N2555&lt;= 22, S2555=9), N2555-7,AND(N2555&lt;= 28, S2555=9), N2555-25,AND(N2555&lt;= 30, S2555=9), N2555-28,AND(N2555&lt;= 11, S2555=10), N2555+2,AND(N2555&lt;= 21, S2555=10), N2555-11)</f>
        <v>6</v>
      </c>
    </row>
    <row r="2556" spans="1:22" x14ac:dyDescent="0.35">
      <c r="A2556" s="4">
        <v>45569</v>
      </c>
      <c r="B2556" s="5">
        <v>0.53739583333333329</v>
      </c>
      <c r="C2556">
        <v>67.099999999999994</v>
      </c>
      <c r="D2556">
        <v>67.3</v>
      </c>
      <c r="E2556">
        <v>65.5</v>
      </c>
      <c r="F2556">
        <v>64.099999999999994</v>
      </c>
      <c r="G2556">
        <v>0</v>
      </c>
      <c r="H2556">
        <v>0</v>
      </c>
      <c r="I2556">
        <v>0</v>
      </c>
      <c r="J2556">
        <v>0</v>
      </c>
      <c r="K2556">
        <v>62.2</v>
      </c>
      <c r="L2556">
        <v>61.5</v>
      </c>
      <c r="M2556">
        <v>66.03</v>
      </c>
      <c r="N2556">
        <v>4</v>
      </c>
      <c r="O2556">
        <v>3</v>
      </c>
      <c r="P2556">
        <f>MOD(DAY(datos_siembra[[#This Row],[Date]]),7)</f>
        <v>4</v>
      </c>
      <c r="Q2556" t="str">
        <f>CHOOSE(WEEKDAY(datos_siembra[[#This Row],[Date]],2),"L","M","X","J","V","S","D")</f>
        <v>V</v>
      </c>
      <c r="R2556">
        <f>WEEKNUM(datos_siembra[[#This Row],[Date]],2)-WEEKNUM(DATE(YEAR(datos_siembra[[#This Row],[Date]]),MONTH(datos_siembra[[#This Row],[Date]]),1))+1</f>
        <v>1</v>
      </c>
      <c r="S2556">
        <f>MONTH(datos_siembra[[#This Row],[Date]])</f>
        <v>10</v>
      </c>
      <c r="T2556" t="str" cm="1">
        <f t="array" ref="T2556">_xlfn.IFS(AND(N2556&lt;= 22, S2556=9), "SOWING",AND(N2556&lt;= 28, S2556=9), "COVERAGE",AND(N2556&lt;= 30, S2556=9), "FLUSH",AND(N2556&lt;= 11, S2556=10), "FLUSH",AND(N2556&lt;= 21, S2556=10), "PRODUCTION")</f>
        <v>FLUSH</v>
      </c>
      <c r="U2556">
        <f>HOUR(datos_siembra[[#This Row],[Hour]])</f>
        <v>12</v>
      </c>
      <c r="V2556" cm="1">
        <f t="array" ref="V2556">_xlfn.IFS(AND(N2556&lt;= 22, S2556=9), N2556-7,AND(N2556&lt;= 28, S2556=9), N2556-25,AND(N2556&lt;= 30, S2556=9), N2556-28,AND(N2556&lt;= 11, S2556=10), N2556+2,AND(N2556&lt;= 21, S2556=10), N2556-11)</f>
        <v>6</v>
      </c>
    </row>
    <row r="2557" spans="1:22" x14ac:dyDescent="0.35">
      <c r="A2557" s="4">
        <v>45569</v>
      </c>
      <c r="B2557" s="5">
        <v>0.54434027777777783</v>
      </c>
      <c r="C2557">
        <v>67.099999999999994</v>
      </c>
      <c r="D2557">
        <v>67.599999999999994</v>
      </c>
      <c r="E2557">
        <v>65.400000000000006</v>
      </c>
      <c r="F2557">
        <v>64.2</v>
      </c>
      <c r="G2557">
        <v>0</v>
      </c>
      <c r="H2557">
        <v>0</v>
      </c>
      <c r="I2557">
        <v>0</v>
      </c>
      <c r="J2557">
        <v>0</v>
      </c>
      <c r="K2557">
        <v>62.5</v>
      </c>
      <c r="L2557">
        <v>61.8</v>
      </c>
      <c r="M2557">
        <v>66.06</v>
      </c>
      <c r="N2557">
        <v>4</v>
      </c>
      <c r="O2557">
        <v>3</v>
      </c>
      <c r="P2557">
        <f>MOD(DAY(datos_siembra[[#This Row],[Date]]),7)</f>
        <v>4</v>
      </c>
      <c r="Q2557" t="str">
        <f>CHOOSE(WEEKDAY(datos_siembra[[#This Row],[Date]],2),"L","M","X","J","V","S","D")</f>
        <v>V</v>
      </c>
      <c r="R2557">
        <f>WEEKNUM(datos_siembra[[#This Row],[Date]],2)-WEEKNUM(DATE(YEAR(datos_siembra[[#This Row],[Date]]),MONTH(datos_siembra[[#This Row],[Date]]),1))+1</f>
        <v>1</v>
      </c>
      <c r="S2557">
        <f>MONTH(datos_siembra[[#This Row],[Date]])</f>
        <v>10</v>
      </c>
      <c r="T2557" t="str" cm="1">
        <f t="array" ref="T2557">_xlfn.IFS(AND(N2557&lt;= 22, S2557=9), "SOWING",AND(N2557&lt;= 28, S2557=9), "COVERAGE",AND(N2557&lt;= 30, S2557=9), "FLUSH",AND(N2557&lt;= 11, S2557=10), "FLUSH",AND(N2557&lt;= 21, S2557=10), "PRODUCTION")</f>
        <v>FLUSH</v>
      </c>
      <c r="U2557">
        <f>HOUR(datos_siembra[[#This Row],[Hour]])</f>
        <v>13</v>
      </c>
      <c r="V2557" cm="1">
        <f t="array" ref="V2557">_xlfn.IFS(AND(N2557&lt;= 22, S2557=9), N2557-7,AND(N2557&lt;= 28, S2557=9), N2557-25,AND(N2557&lt;= 30, S2557=9), N2557-28,AND(N2557&lt;= 11, S2557=10), N2557+2,AND(N2557&lt;= 21, S2557=10), N2557-11)</f>
        <v>6</v>
      </c>
    </row>
    <row r="2558" spans="1:22" x14ac:dyDescent="0.35">
      <c r="A2558" s="4">
        <v>45569</v>
      </c>
      <c r="B2558" s="5">
        <v>0.55128472222222225</v>
      </c>
      <c r="C2558">
        <v>67.099999999999994</v>
      </c>
      <c r="D2558">
        <v>67.599999999999994</v>
      </c>
      <c r="E2558">
        <v>65.3</v>
      </c>
      <c r="F2558">
        <v>64.400000000000006</v>
      </c>
      <c r="G2558">
        <v>0</v>
      </c>
      <c r="H2558">
        <v>0</v>
      </c>
      <c r="I2558">
        <v>0</v>
      </c>
      <c r="J2558">
        <v>0</v>
      </c>
      <c r="K2558">
        <v>62.6</v>
      </c>
      <c r="L2558">
        <v>62</v>
      </c>
      <c r="M2558">
        <v>66.14</v>
      </c>
      <c r="N2558">
        <v>4</v>
      </c>
      <c r="O2558">
        <v>3</v>
      </c>
      <c r="P2558">
        <f>MOD(DAY(datos_siembra[[#This Row],[Date]]),7)</f>
        <v>4</v>
      </c>
      <c r="Q2558" t="str">
        <f>CHOOSE(WEEKDAY(datos_siembra[[#This Row],[Date]],2),"L","M","X","J","V","S","D")</f>
        <v>V</v>
      </c>
      <c r="R2558">
        <f>WEEKNUM(datos_siembra[[#This Row],[Date]],2)-WEEKNUM(DATE(YEAR(datos_siembra[[#This Row],[Date]]),MONTH(datos_siembra[[#This Row],[Date]]),1))+1</f>
        <v>1</v>
      </c>
      <c r="S2558">
        <f>MONTH(datos_siembra[[#This Row],[Date]])</f>
        <v>10</v>
      </c>
      <c r="T2558" t="str" cm="1">
        <f t="array" ref="T2558">_xlfn.IFS(AND(N2558&lt;= 22, S2558=9), "SOWING",AND(N2558&lt;= 28, S2558=9), "COVERAGE",AND(N2558&lt;= 30, S2558=9), "FLUSH",AND(N2558&lt;= 11, S2558=10), "FLUSH",AND(N2558&lt;= 21, S2558=10), "PRODUCTION")</f>
        <v>FLUSH</v>
      </c>
      <c r="U2558">
        <f>HOUR(datos_siembra[[#This Row],[Hour]])</f>
        <v>13</v>
      </c>
      <c r="V2558" cm="1">
        <f t="array" ref="V2558">_xlfn.IFS(AND(N2558&lt;= 22, S2558=9), N2558-7,AND(N2558&lt;= 28, S2558=9), N2558-25,AND(N2558&lt;= 30, S2558=9), N2558-28,AND(N2558&lt;= 11, S2558=10), N2558+2,AND(N2558&lt;= 21, S2558=10), N2558-11)</f>
        <v>6</v>
      </c>
    </row>
    <row r="2559" spans="1:22" x14ac:dyDescent="0.35">
      <c r="A2559" s="4">
        <v>45569</v>
      </c>
      <c r="B2559" s="5">
        <v>0.5582407407407407</v>
      </c>
      <c r="C2559">
        <v>67.2</v>
      </c>
      <c r="D2559">
        <v>67.2</v>
      </c>
      <c r="E2559">
        <v>65.400000000000006</v>
      </c>
      <c r="F2559">
        <v>64.3</v>
      </c>
      <c r="G2559">
        <v>0</v>
      </c>
      <c r="H2559">
        <v>0</v>
      </c>
      <c r="I2559">
        <v>0</v>
      </c>
      <c r="J2559">
        <v>0</v>
      </c>
      <c r="K2559">
        <v>62.6</v>
      </c>
      <c r="L2559">
        <v>62</v>
      </c>
      <c r="M2559">
        <v>65.97</v>
      </c>
      <c r="N2559">
        <v>4</v>
      </c>
      <c r="O2559">
        <v>3</v>
      </c>
      <c r="P2559">
        <f>MOD(DAY(datos_siembra[[#This Row],[Date]]),7)</f>
        <v>4</v>
      </c>
      <c r="Q2559" t="str">
        <f>CHOOSE(WEEKDAY(datos_siembra[[#This Row],[Date]],2),"L","M","X","J","V","S","D")</f>
        <v>V</v>
      </c>
      <c r="R2559">
        <f>WEEKNUM(datos_siembra[[#This Row],[Date]],2)-WEEKNUM(DATE(YEAR(datos_siembra[[#This Row],[Date]]),MONTH(datos_siembra[[#This Row],[Date]]),1))+1</f>
        <v>1</v>
      </c>
      <c r="S2559">
        <f>MONTH(datos_siembra[[#This Row],[Date]])</f>
        <v>10</v>
      </c>
      <c r="T2559" t="str" cm="1">
        <f t="array" ref="T2559">_xlfn.IFS(AND(N2559&lt;= 22, S2559=9), "SOWING",AND(N2559&lt;= 28, S2559=9), "COVERAGE",AND(N2559&lt;= 30, S2559=9), "FLUSH",AND(N2559&lt;= 11, S2559=10), "FLUSH",AND(N2559&lt;= 21, S2559=10), "PRODUCTION")</f>
        <v>FLUSH</v>
      </c>
      <c r="U2559">
        <f>HOUR(datos_siembra[[#This Row],[Hour]])</f>
        <v>13</v>
      </c>
      <c r="V2559" cm="1">
        <f t="array" ref="V2559">_xlfn.IFS(AND(N2559&lt;= 22, S2559=9), N2559-7,AND(N2559&lt;= 28, S2559=9), N2559-25,AND(N2559&lt;= 30, S2559=9), N2559-28,AND(N2559&lt;= 11, S2559=10), N2559+2,AND(N2559&lt;= 21, S2559=10), N2559-11)</f>
        <v>6</v>
      </c>
    </row>
    <row r="2560" spans="1:22" x14ac:dyDescent="0.35">
      <c r="A2560" s="4">
        <v>45569</v>
      </c>
      <c r="B2560" s="5">
        <v>0.56518518518518523</v>
      </c>
      <c r="C2560">
        <v>67.099999999999994</v>
      </c>
      <c r="D2560">
        <v>67.400000000000006</v>
      </c>
      <c r="E2560">
        <v>65.3</v>
      </c>
      <c r="F2560">
        <v>64.099999999999994</v>
      </c>
      <c r="G2560">
        <v>0</v>
      </c>
      <c r="H2560">
        <v>0</v>
      </c>
      <c r="I2560">
        <v>0</v>
      </c>
      <c r="J2560">
        <v>0</v>
      </c>
      <c r="K2560">
        <v>62.8</v>
      </c>
      <c r="L2560">
        <v>62.3</v>
      </c>
      <c r="M2560">
        <v>66.06</v>
      </c>
      <c r="N2560">
        <v>4</v>
      </c>
      <c r="O2560">
        <v>3</v>
      </c>
      <c r="P2560">
        <f>MOD(DAY(datos_siembra[[#This Row],[Date]]),7)</f>
        <v>4</v>
      </c>
      <c r="Q2560" t="str">
        <f>CHOOSE(WEEKDAY(datos_siembra[[#This Row],[Date]],2),"L","M","X","J","V","S","D")</f>
        <v>V</v>
      </c>
      <c r="R2560">
        <f>WEEKNUM(datos_siembra[[#This Row],[Date]],2)-WEEKNUM(DATE(YEAR(datos_siembra[[#This Row],[Date]]),MONTH(datos_siembra[[#This Row],[Date]]),1))+1</f>
        <v>1</v>
      </c>
      <c r="S2560">
        <f>MONTH(datos_siembra[[#This Row],[Date]])</f>
        <v>10</v>
      </c>
      <c r="T2560" t="str" cm="1">
        <f t="array" ref="T2560">_xlfn.IFS(AND(N2560&lt;= 22, S2560=9), "SOWING",AND(N2560&lt;= 28, S2560=9), "COVERAGE",AND(N2560&lt;= 30, S2560=9), "FLUSH",AND(N2560&lt;= 11, S2560=10), "FLUSH",AND(N2560&lt;= 21, S2560=10), "PRODUCTION")</f>
        <v>FLUSH</v>
      </c>
      <c r="U2560">
        <f>HOUR(datos_siembra[[#This Row],[Hour]])</f>
        <v>13</v>
      </c>
      <c r="V2560" cm="1">
        <f t="array" ref="V2560">_xlfn.IFS(AND(N2560&lt;= 22, S2560=9), N2560-7,AND(N2560&lt;= 28, S2560=9), N2560-25,AND(N2560&lt;= 30, S2560=9), N2560-28,AND(N2560&lt;= 11, S2560=10), N2560+2,AND(N2560&lt;= 21, S2560=10), N2560-11)</f>
        <v>6</v>
      </c>
    </row>
    <row r="2561" spans="1:22" x14ac:dyDescent="0.35">
      <c r="A2561" s="4">
        <v>45569</v>
      </c>
      <c r="B2561" s="5">
        <v>0.57212962962962965</v>
      </c>
      <c r="C2561">
        <v>67</v>
      </c>
      <c r="D2561">
        <v>67.400000000000006</v>
      </c>
      <c r="E2561">
        <v>65.400000000000006</v>
      </c>
      <c r="F2561">
        <v>64.099999999999994</v>
      </c>
      <c r="G2561">
        <v>0</v>
      </c>
      <c r="H2561">
        <v>0</v>
      </c>
      <c r="I2561">
        <v>0</v>
      </c>
      <c r="J2561">
        <v>0</v>
      </c>
      <c r="K2561">
        <v>62.9</v>
      </c>
      <c r="L2561">
        <v>62.5</v>
      </c>
      <c r="M2561">
        <v>66.03</v>
      </c>
      <c r="N2561">
        <v>4</v>
      </c>
      <c r="O2561">
        <v>3</v>
      </c>
      <c r="P2561">
        <f>MOD(DAY(datos_siembra[[#This Row],[Date]]),7)</f>
        <v>4</v>
      </c>
      <c r="Q2561" t="str">
        <f>CHOOSE(WEEKDAY(datos_siembra[[#This Row],[Date]],2),"L","M","X","J","V","S","D")</f>
        <v>V</v>
      </c>
      <c r="R2561">
        <f>WEEKNUM(datos_siembra[[#This Row],[Date]],2)-WEEKNUM(DATE(YEAR(datos_siembra[[#This Row],[Date]]),MONTH(datos_siembra[[#This Row],[Date]]),1))+1</f>
        <v>1</v>
      </c>
      <c r="S2561">
        <f>MONTH(datos_siembra[[#This Row],[Date]])</f>
        <v>10</v>
      </c>
      <c r="T2561" t="str" cm="1">
        <f t="array" ref="T2561">_xlfn.IFS(AND(N2561&lt;= 22, S2561=9), "SOWING",AND(N2561&lt;= 28, S2561=9), "COVERAGE",AND(N2561&lt;= 30, S2561=9), "FLUSH",AND(N2561&lt;= 11, S2561=10), "FLUSH",AND(N2561&lt;= 21, S2561=10), "PRODUCTION")</f>
        <v>FLUSH</v>
      </c>
      <c r="U2561">
        <f>HOUR(datos_siembra[[#This Row],[Hour]])</f>
        <v>13</v>
      </c>
      <c r="V2561" cm="1">
        <f t="array" ref="V2561">_xlfn.IFS(AND(N2561&lt;= 22, S2561=9), N2561-7,AND(N2561&lt;= 28, S2561=9), N2561-25,AND(N2561&lt;= 30, S2561=9), N2561-28,AND(N2561&lt;= 11, S2561=10), N2561+2,AND(N2561&lt;= 21, S2561=10), N2561-11)</f>
        <v>6</v>
      </c>
    </row>
    <row r="2562" spans="1:22" x14ac:dyDescent="0.35">
      <c r="A2562" s="4">
        <v>45569</v>
      </c>
      <c r="B2562" s="5">
        <v>0.57907407407407407</v>
      </c>
      <c r="C2562">
        <v>67.099999999999994</v>
      </c>
      <c r="D2562">
        <v>67.400000000000006</v>
      </c>
      <c r="E2562">
        <v>65.400000000000006</v>
      </c>
      <c r="F2562">
        <v>64.3</v>
      </c>
      <c r="G2562">
        <v>0</v>
      </c>
      <c r="H2562">
        <v>0</v>
      </c>
      <c r="I2562">
        <v>0</v>
      </c>
      <c r="J2562">
        <v>0</v>
      </c>
      <c r="K2562">
        <v>62.9</v>
      </c>
      <c r="L2562">
        <v>62.6</v>
      </c>
      <c r="M2562">
        <v>65.97</v>
      </c>
      <c r="N2562">
        <v>4</v>
      </c>
      <c r="O2562">
        <v>3</v>
      </c>
      <c r="P2562">
        <f>MOD(DAY(datos_siembra[[#This Row],[Date]]),7)</f>
        <v>4</v>
      </c>
      <c r="Q2562" t="str">
        <f>CHOOSE(WEEKDAY(datos_siembra[[#This Row],[Date]],2),"L","M","X","J","V","S","D")</f>
        <v>V</v>
      </c>
      <c r="R2562">
        <f>WEEKNUM(datos_siembra[[#This Row],[Date]],2)-WEEKNUM(DATE(YEAR(datos_siembra[[#This Row],[Date]]),MONTH(datos_siembra[[#This Row],[Date]]),1))+1</f>
        <v>1</v>
      </c>
      <c r="S2562">
        <f>MONTH(datos_siembra[[#This Row],[Date]])</f>
        <v>10</v>
      </c>
      <c r="T2562" t="str" cm="1">
        <f t="array" ref="T2562">_xlfn.IFS(AND(N2562&lt;= 22, S2562=9), "SOWING",AND(N2562&lt;= 28, S2562=9), "COVERAGE",AND(N2562&lt;= 30, S2562=9), "FLUSH",AND(N2562&lt;= 11, S2562=10), "FLUSH",AND(N2562&lt;= 21, S2562=10), "PRODUCTION")</f>
        <v>FLUSH</v>
      </c>
      <c r="U2562">
        <f>HOUR(datos_siembra[[#This Row],[Hour]])</f>
        <v>13</v>
      </c>
      <c r="V2562" cm="1">
        <f t="array" ref="V2562">_xlfn.IFS(AND(N2562&lt;= 22, S2562=9), N2562-7,AND(N2562&lt;= 28, S2562=9), N2562-25,AND(N2562&lt;= 30, S2562=9), N2562-28,AND(N2562&lt;= 11, S2562=10), N2562+2,AND(N2562&lt;= 21, S2562=10), N2562-11)</f>
        <v>6</v>
      </c>
    </row>
    <row r="2563" spans="1:22" x14ac:dyDescent="0.35">
      <c r="A2563" s="4">
        <v>45569</v>
      </c>
      <c r="B2563" s="5">
        <v>0.58603009259259264</v>
      </c>
      <c r="C2563">
        <v>67</v>
      </c>
      <c r="D2563">
        <v>67.400000000000006</v>
      </c>
      <c r="E2563">
        <v>65.3</v>
      </c>
      <c r="F2563">
        <v>64.3</v>
      </c>
      <c r="G2563">
        <v>0</v>
      </c>
      <c r="H2563">
        <v>0</v>
      </c>
      <c r="I2563">
        <v>0</v>
      </c>
      <c r="J2563">
        <v>0</v>
      </c>
      <c r="K2563">
        <v>62.8</v>
      </c>
      <c r="L2563">
        <v>62.6</v>
      </c>
      <c r="M2563">
        <v>66</v>
      </c>
      <c r="N2563">
        <v>4</v>
      </c>
      <c r="O2563">
        <v>3</v>
      </c>
      <c r="P2563">
        <f>MOD(DAY(datos_siembra[[#This Row],[Date]]),7)</f>
        <v>4</v>
      </c>
      <c r="Q2563" t="str">
        <f>CHOOSE(WEEKDAY(datos_siembra[[#This Row],[Date]],2),"L","M","X","J","V","S","D")</f>
        <v>V</v>
      </c>
      <c r="R2563">
        <f>WEEKNUM(datos_siembra[[#This Row],[Date]],2)-WEEKNUM(DATE(YEAR(datos_siembra[[#This Row],[Date]]),MONTH(datos_siembra[[#This Row],[Date]]),1))+1</f>
        <v>1</v>
      </c>
      <c r="S2563">
        <f>MONTH(datos_siembra[[#This Row],[Date]])</f>
        <v>10</v>
      </c>
      <c r="T2563" t="str" cm="1">
        <f t="array" ref="T2563">_xlfn.IFS(AND(N2563&lt;= 22, S2563=9), "SOWING",AND(N2563&lt;= 28, S2563=9), "COVERAGE",AND(N2563&lt;= 30, S2563=9), "FLUSH",AND(N2563&lt;= 11, S2563=10), "FLUSH",AND(N2563&lt;= 21, S2563=10), "PRODUCTION")</f>
        <v>FLUSH</v>
      </c>
      <c r="U2563">
        <f>HOUR(datos_siembra[[#This Row],[Hour]])</f>
        <v>14</v>
      </c>
      <c r="V2563" cm="1">
        <f t="array" ref="V2563">_xlfn.IFS(AND(N2563&lt;= 22, S2563=9), N2563-7,AND(N2563&lt;= 28, S2563=9), N2563-25,AND(N2563&lt;= 30, S2563=9), N2563-28,AND(N2563&lt;= 11, S2563=10), N2563+2,AND(N2563&lt;= 21, S2563=10), N2563-11)</f>
        <v>6</v>
      </c>
    </row>
    <row r="2564" spans="1:22" x14ac:dyDescent="0.35">
      <c r="A2564" s="4">
        <v>45569</v>
      </c>
      <c r="B2564" s="5">
        <v>0.59297453703703706</v>
      </c>
      <c r="C2564">
        <v>67.099999999999994</v>
      </c>
      <c r="D2564">
        <v>67.400000000000006</v>
      </c>
      <c r="E2564">
        <v>65.3</v>
      </c>
      <c r="F2564">
        <v>64.3</v>
      </c>
      <c r="G2564">
        <v>0</v>
      </c>
      <c r="H2564">
        <v>0</v>
      </c>
      <c r="I2564">
        <v>0</v>
      </c>
      <c r="J2564">
        <v>0</v>
      </c>
      <c r="K2564">
        <v>62.7</v>
      </c>
      <c r="L2564">
        <v>62.5</v>
      </c>
      <c r="M2564">
        <v>65.95</v>
      </c>
      <c r="N2564">
        <v>4</v>
      </c>
      <c r="O2564">
        <v>3</v>
      </c>
      <c r="P2564">
        <f>MOD(DAY(datos_siembra[[#This Row],[Date]]),7)</f>
        <v>4</v>
      </c>
      <c r="Q2564" t="str">
        <f>CHOOSE(WEEKDAY(datos_siembra[[#This Row],[Date]],2),"L","M","X","J","V","S","D")</f>
        <v>V</v>
      </c>
      <c r="R2564">
        <f>WEEKNUM(datos_siembra[[#This Row],[Date]],2)-WEEKNUM(DATE(YEAR(datos_siembra[[#This Row],[Date]]),MONTH(datos_siembra[[#This Row],[Date]]),1))+1</f>
        <v>1</v>
      </c>
      <c r="S2564">
        <f>MONTH(datos_siembra[[#This Row],[Date]])</f>
        <v>10</v>
      </c>
      <c r="T2564" t="str" cm="1">
        <f t="array" ref="T2564">_xlfn.IFS(AND(N2564&lt;= 22, S2564=9), "SOWING",AND(N2564&lt;= 28, S2564=9), "COVERAGE",AND(N2564&lt;= 30, S2564=9), "FLUSH",AND(N2564&lt;= 11, S2564=10), "FLUSH",AND(N2564&lt;= 21, S2564=10), "PRODUCTION")</f>
        <v>FLUSH</v>
      </c>
      <c r="U2564">
        <f>HOUR(datos_siembra[[#This Row],[Hour]])</f>
        <v>14</v>
      </c>
      <c r="V2564" cm="1">
        <f t="array" ref="V2564">_xlfn.IFS(AND(N2564&lt;= 22, S2564=9), N2564-7,AND(N2564&lt;= 28, S2564=9), N2564-25,AND(N2564&lt;= 30, S2564=9), N2564-28,AND(N2564&lt;= 11, S2564=10), N2564+2,AND(N2564&lt;= 21, S2564=10), N2564-11)</f>
        <v>6</v>
      </c>
    </row>
    <row r="2565" spans="1:22" x14ac:dyDescent="0.35">
      <c r="A2565" s="4">
        <v>45569</v>
      </c>
      <c r="B2565" s="5">
        <v>0.59991898148148148</v>
      </c>
      <c r="C2565">
        <v>67.2</v>
      </c>
      <c r="D2565">
        <v>67.3</v>
      </c>
      <c r="E2565">
        <v>65.2</v>
      </c>
      <c r="F2565">
        <v>63.8</v>
      </c>
      <c r="G2565">
        <v>0</v>
      </c>
      <c r="H2565">
        <v>0</v>
      </c>
      <c r="I2565">
        <v>0</v>
      </c>
      <c r="J2565">
        <v>0</v>
      </c>
      <c r="K2565">
        <v>63.2</v>
      </c>
      <c r="L2565">
        <v>62.9</v>
      </c>
      <c r="M2565">
        <v>65.89</v>
      </c>
      <c r="N2565">
        <v>4</v>
      </c>
      <c r="O2565">
        <v>3</v>
      </c>
      <c r="P2565">
        <f>MOD(DAY(datos_siembra[[#This Row],[Date]]),7)</f>
        <v>4</v>
      </c>
      <c r="Q2565" t="str">
        <f>CHOOSE(WEEKDAY(datos_siembra[[#This Row],[Date]],2),"L","M","X","J","V","S","D")</f>
        <v>V</v>
      </c>
      <c r="R2565">
        <f>WEEKNUM(datos_siembra[[#This Row],[Date]],2)-WEEKNUM(DATE(YEAR(datos_siembra[[#This Row],[Date]]),MONTH(datos_siembra[[#This Row],[Date]]),1))+1</f>
        <v>1</v>
      </c>
      <c r="S2565">
        <f>MONTH(datos_siembra[[#This Row],[Date]])</f>
        <v>10</v>
      </c>
      <c r="T2565" t="str" cm="1">
        <f t="array" ref="T2565">_xlfn.IFS(AND(N2565&lt;= 22, S2565=9), "SOWING",AND(N2565&lt;= 28, S2565=9), "COVERAGE",AND(N2565&lt;= 30, S2565=9), "FLUSH",AND(N2565&lt;= 11, S2565=10), "FLUSH",AND(N2565&lt;= 21, S2565=10), "PRODUCTION")</f>
        <v>FLUSH</v>
      </c>
      <c r="U2565">
        <f>HOUR(datos_siembra[[#This Row],[Hour]])</f>
        <v>14</v>
      </c>
      <c r="V2565" cm="1">
        <f t="array" ref="V2565">_xlfn.IFS(AND(N2565&lt;= 22, S2565=9), N2565-7,AND(N2565&lt;= 28, S2565=9), N2565-25,AND(N2565&lt;= 30, S2565=9), N2565-28,AND(N2565&lt;= 11, S2565=10), N2565+2,AND(N2565&lt;= 21, S2565=10), N2565-11)</f>
        <v>6</v>
      </c>
    </row>
    <row r="2566" spans="1:22" x14ac:dyDescent="0.35">
      <c r="A2566" s="4">
        <v>45569</v>
      </c>
      <c r="B2566" s="5">
        <v>0.60687500000000005</v>
      </c>
      <c r="C2566">
        <v>67.099999999999994</v>
      </c>
      <c r="D2566">
        <v>67.400000000000006</v>
      </c>
      <c r="E2566">
        <v>65.400000000000006</v>
      </c>
      <c r="F2566">
        <v>64.099999999999994</v>
      </c>
      <c r="G2566">
        <v>0</v>
      </c>
      <c r="H2566">
        <v>0</v>
      </c>
      <c r="I2566">
        <v>0</v>
      </c>
      <c r="J2566">
        <v>0</v>
      </c>
      <c r="K2566">
        <v>63.2</v>
      </c>
      <c r="L2566">
        <v>63</v>
      </c>
      <c r="M2566">
        <v>65.95</v>
      </c>
      <c r="N2566">
        <v>4</v>
      </c>
      <c r="O2566">
        <v>3</v>
      </c>
      <c r="P2566">
        <f>MOD(DAY(datos_siembra[[#This Row],[Date]]),7)</f>
        <v>4</v>
      </c>
      <c r="Q2566" t="str">
        <f>CHOOSE(WEEKDAY(datos_siembra[[#This Row],[Date]],2),"L","M","X","J","V","S","D")</f>
        <v>V</v>
      </c>
      <c r="R2566">
        <f>WEEKNUM(datos_siembra[[#This Row],[Date]],2)-WEEKNUM(DATE(YEAR(datos_siembra[[#This Row],[Date]]),MONTH(datos_siembra[[#This Row],[Date]]),1))+1</f>
        <v>1</v>
      </c>
      <c r="S2566">
        <f>MONTH(datos_siembra[[#This Row],[Date]])</f>
        <v>10</v>
      </c>
      <c r="T2566" t="str" cm="1">
        <f t="array" ref="T2566">_xlfn.IFS(AND(N2566&lt;= 22, S2566=9), "SOWING",AND(N2566&lt;= 28, S2566=9), "COVERAGE",AND(N2566&lt;= 30, S2566=9), "FLUSH",AND(N2566&lt;= 11, S2566=10), "FLUSH",AND(N2566&lt;= 21, S2566=10), "PRODUCTION")</f>
        <v>FLUSH</v>
      </c>
      <c r="U2566">
        <f>HOUR(datos_siembra[[#This Row],[Hour]])</f>
        <v>14</v>
      </c>
      <c r="V2566" cm="1">
        <f t="array" ref="V2566">_xlfn.IFS(AND(N2566&lt;= 22, S2566=9), N2566-7,AND(N2566&lt;= 28, S2566=9), N2566-25,AND(N2566&lt;= 30, S2566=9), N2566-28,AND(N2566&lt;= 11, S2566=10), N2566+2,AND(N2566&lt;= 21, S2566=10), N2566-11)</f>
        <v>6</v>
      </c>
    </row>
    <row r="2567" spans="1:22" x14ac:dyDescent="0.35">
      <c r="A2567" s="4">
        <v>45569</v>
      </c>
      <c r="B2567" s="5">
        <v>0.61381944444444447</v>
      </c>
      <c r="C2567">
        <v>67</v>
      </c>
      <c r="D2567">
        <v>67.3</v>
      </c>
      <c r="E2567">
        <v>65.2</v>
      </c>
      <c r="F2567">
        <v>64.099999999999994</v>
      </c>
      <c r="G2567">
        <v>0</v>
      </c>
      <c r="H2567">
        <v>0</v>
      </c>
      <c r="I2567">
        <v>0</v>
      </c>
      <c r="J2567">
        <v>0</v>
      </c>
      <c r="K2567">
        <v>63.3</v>
      </c>
      <c r="L2567">
        <v>63.2</v>
      </c>
      <c r="M2567">
        <v>65.98</v>
      </c>
      <c r="N2567">
        <v>4</v>
      </c>
      <c r="O2567">
        <v>3</v>
      </c>
      <c r="P2567">
        <f>MOD(DAY(datos_siembra[[#This Row],[Date]]),7)</f>
        <v>4</v>
      </c>
      <c r="Q2567" t="str">
        <f>CHOOSE(WEEKDAY(datos_siembra[[#This Row],[Date]],2),"L","M","X","J","V","S","D")</f>
        <v>V</v>
      </c>
      <c r="R2567">
        <f>WEEKNUM(datos_siembra[[#This Row],[Date]],2)-WEEKNUM(DATE(YEAR(datos_siembra[[#This Row],[Date]]),MONTH(datos_siembra[[#This Row],[Date]]),1))+1</f>
        <v>1</v>
      </c>
      <c r="S2567">
        <f>MONTH(datos_siembra[[#This Row],[Date]])</f>
        <v>10</v>
      </c>
      <c r="T2567" t="str" cm="1">
        <f t="array" ref="T2567">_xlfn.IFS(AND(N2567&lt;= 22, S2567=9), "SOWING",AND(N2567&lt;= 28, S2567=9), "COVERAGE",AND(N2567&lt;= 30, S2567=9), "FLUSH",AND(N2567&lt;= 11, S2567=10), "FLUSH",AND(N2567&lt;= 21, S2567=10), "PRODUCTION")</f>
        <v>FLUSH</v>
      </c>
      <c r="U2567">
        <f>HOUR(datos_siembra[[#This Row],[Hour]])</f>
        <v>14</v>
      </c>
      <c r="V2567" cm="1">
        <f t="array" ref="V2567">_xlfn.IFS(AND(N2567&lt;= 22, S2567=9), N2567-7,AND(N2567&lt;= 28, S2567=9), N2567-25,AND(N2567&lt;= 30, S2567=9), N2567-28,AND(N2567&lt;= 11, S2567=10), N2567+2,AND(N2567&lt;= 21, S2567=10), N2567-11)</f>
        <v>6</v>
      </c>
    </row>
    <row r="2568" spans="1:22" x14ac:dyDescent="0.35">
      <c r="A2568" s="4">
        <v>45569</v>
      </c>
      <c r="B2568" s="5">
        <v>0.62076388888888889</v>
      </c>
      <c r="C2568">
        <v>67</v>
      </c>
      <c r="D2568">
        <v>67.400000000000006</v>
      </c>
      <c r="E2568">
        <v>65.3</v>
      </c>
      <c r="F2568">
        <v>64.3</v>
      </c>
      <c r="G2568">
        <v>0</v>
      </c>
      <c r="H2568">
        <v>0</v>
      </c>
      <c r="I2568">
        <v>0</v>
      </c>
      <c r="J2568">
        <v>0</v>
      </c>
      <c r="K2568">
        <v>63.3</v>
      </c>
      <c r="L2568">
        <v>63</v>
      </c>
      <c r="M2568">
        <v>66</v>
      </c>
      <c r="N2568">
        <v>4</v>
      </c>
      <c r="O2568">
        <v>3</v>
      </c>
      <c r="P2568">
        <f>MOD(DAY(datos_siembra[[#This Row],[Date]]),7)</f>
        <v>4</v>
      </c>
      <c r="Q2568" t="str">
        <f>CHOOSE(WEEKDAY(datos_siembra[[#This Row],[Date]],2),"L","M","X","J","V","S","D")</f>
        <v>V</v>
      </c>
      <c r="R2568">
        <f>WEEKNUM(datos_siembra[[#This Row],[Date]],2)-WEEKNUM(DATE(YEAR(datos_siembra[[#This Row],[Date]]),MONTH(datos_siembra[[#This Row],[Date]]),1))+1</f>
        <v>1</v>
      </c>
      <c r="S2568">
        <f>MONTH(datos_siembra[[#This Row],[Date]])</f>
        <v>10</v>
      </c>
      <c r="T2568" t="str" cm="1">
        <f t="array" ref="T2568">_xlfn.IFS(AND(N2568&lt;= 22, S2568=9), "SOWING",AND(N2568&lt;= 28, S2568=9), "COVERAGE",AND(N2568&lt;= 30, S2568=9), "FLUSH",AND(N2568&lt;= 11, S2568=10), "FLUSH",AND(N2568&lt;= 21, S2568=10), "PRODUCTION")</f>
        <v>FLUSH</v>
      </c>
      <c r="U2568">
        <f>HOUR(datos_siembra[[#This Row],[Hour]])</f>
        <v>14</v>
      </c>
      <c r="V2568" cm="1">
        <f t="array" ref="V2568">_xlfn.IFS(AND(N2568&lt;= 22, S2568=9), N2568-7,AND(N2568&lt;= 28, S2568=9), N2568-25,AND(N2568&lt;= 30, S2568=9), N2568-28,AND(N2568&lt;= 11, S2568=10), N2568+2,AND(N2568&lt;= 21, S2568=10), N2568-11)</f>
        <v>6</v>
      </c>
    </row>
    <row r="2569" spans="1:22" x14ac:dyDescent="0.35">
      <c r="A2569" s="4">
        <v>45569</v>
      </c>
      <c r="B2569" s="5">
        <v>0.62771990740740746</v>
      </c>
      <c r="C2569">
        <v>67</v>
      </c>
      <c r="D2569">
        <v>67.3</v>
      </c>
      <c r="E2569">
        <v>65.3</v>
      </c>
      <c r="F2569">
        <v>64.099999999999994</v>
      </c>
      <c r="G2569">
        <v>0</v>
      </c>
      <c r="H2569">
        <v>0</v>
      </c>
      <c r="I2569">
        <v>0</v>
      </c>
      <c r="J2569">
        <v>0</v>
      </c>
      <c r="K2569">
        <v>63.4</v>
      </c>
      <c r="L2569">
        <v>63.3</v>
      </c>
      <c r="M2569">
        <v>65.95</v>
      </c>
      <c r="N2569">
        <v>4</v>
      </c>
      <c r="O2569">
        <v>3</v>
      </c>
      <c r="P2569">
        <f>MOD(DAY(datos_siembra[[#This Row],[Date]]),7)</f>
        <v>4</v>
      </c>
      <c r="Q2569" t="str">
        <f>CHOOSE(WEEKDAY(datos_siembra[[#This Row],[Date]],2),"L","M","X","J","V","S","D")</f>
        <v>V</v>
      </c>
      <c r="R2569">
        <f>WEEKNUM(datos_siembra[[#This Row],[Date]],2)-WEEKNUM(DATE(YEAR(datos_siembra[[#This Row],[Date]]),MONTH(datos_siembra[[#This Row],[Date]]),1))+1</f>
        <v>1</v>
      </c>
      <c r="S2569">
        <f>MONTH(datos_siembra[[#This Row],[Date]])</f>
        <v>10</v>
      </c>
      <c r="T2569" t="str" cm="1">
        <f t="array" ref="T2569">_xlfn.IFS(AND(N2569&lt;= 22, S2569=9), "SOWING",AND(N2569&lt;= 28, S2569=9), "COVERAGE",AND(N2569&lt;= 30, S2569=9), "FLUSH",AND(N2569&lt;= 11, S2569=10), "FLUSH",AND(N2569&lt;= 21, S2569=10), "PRODUCTION")</f>
        <v>FLUSH</v>
      </c>
      <c r="U2569">
        <f>HOUR(datos_siembra[[#This Row],[Hour]])</f>
        <v>15</v>
      </c>
      <c r="V2569" cm="1">
        <f t="array" ref="V2569">_xlfn.IFS(AND(N2569&lt;= 22, S2569=9), N2569-7,AND(N2569&lt;= 28, S2569=9), N2569-25,AND(N2569&lt;= 30, S2569=9), N2569-28,AND(N2569&lt;= 11, S2569=10), N2569+2,AND(N2569&lt;= 21, S2569=10), N2569-11)</f>
        <v>6</v>
      </c>
    </row>
    <row r="2570" spans="1:22" x14ac:dyDescent="0.35">
      <c r="A2570" s="4">
        <v>45569</v>
      </c>
      <c r="B2570" s="5">
        <v>0.63466435185185188</v>
      </c>
      <c r="C2570">
        <v>67</v>
      </c>
      <c r="D2570">
        <v>67.400000000000006</v>
      </c>
      <c r="E2570">
        <v>65.3</v>
      </c>
      <c r="F2570">
        <v>64.2</v>
      </c>
      <c r="G2570">
        <v>0</v>
      </c>
      <c r="H2570">
        <v>0</v>
      </c>
      <c r="I2570">
        <v>0</v>
      </c>
      <c r="J2570">
        <v>0</v>
      </c>
      <c r="K2570">
        <v>63.4</v>
      </c>
      <c r="L2570">
        <v>63.3</v>
      </c>
      <c r="M2570">
        <v>65.97</v>
      </c>
      <c r="N2570">
        <v>4</v>
      </c>
      <c r="O2570">
        <v>3</v>
      </c>
      <c r="P2570">
        <f>MOD(DAY(datos_siembra[[#This Row],[Date]]),7)</f>
        <v>4</v>
      </c>
      <c r="Q2570" t="str">
        <f>CHOOSE(WEEKDAY(datos_siembra[[#This Row],[Date]],2),"L","M","X","J","V","S","D")</f>
        <v>V</v>
      </c>
      <c r="R2570">
        <f>WEEKNUM(datos_siembra[[#This Row],[Date]],2)-WEEKNUM(DATE(YEAR(datos_siembra[[#This Row],[Date]]),MONTH(datos_siembra[[#This Row],[Date]]),1))+1</f>
        <v>1</v>
      </c>
      <c r="S2570">
        <f>MONTH(datos_siembra[[#This Row],[Date]])</f>
        <v>10</v>
      </c>
      <c r="T2570" t="str" cm="1">
        <f t="array" ref="T2570">_xlfn.IFS(AND(N2570&lt;= 22, S2570=9), "SOWING",AND(N2570&lt;= 28, S2570=9), "COVERAGE",AND(N2570&lt;= 30, S2570=9), "FLUSH",AND(N2570&lt;= 11, S2570=10), "FLUSH",AND(N2570&lt;= 21, S2570=10), "PRODUCTION")</f>
        <v>FLUSH</v>
      </c>
      <c r="U2570">
        <f>HOUR(datos_siembra[[#This Row],[Hour]])</f>
        <v>15</v>
      </c>
      <c r="V2570" cm="1">
        <f t="array" ref="V2570">_xlfn.IFS(AND(N2570&lt;= 22, S2570=9), N2570-7,AND(N2570&lt;= 28, S2570=9), N2570-25,AND(N2570&lt;= 30, S2570=9), N2570-28,AND(N2570&lt;= 11, S2570=10), N2570+2,AND(N2570&lt;= 21, S2570=10), N2570-11)</f>
        <v>6</v>
      </c>
    </row>
    <row r="2571" spans="1:22" x14ac:dyDescent="0.35">
      <c r="A2571" s="4">
        <v>45569</v>
      </c>
      <c r="B2571" s="5">
        <v>0.6416087962962963</v>
      </c>
      <c r="C2571">
        <v>67</v>
      </c>
      <c r="D2571">
        <v>67.3</v>
      </c>
      <c r="E2571">
        <v>65.099999999999994</v>
      </c>
      <c r="F2571">
        <v>64.099999999999994</v>
      </c>
      <c r="G2571">
        <v>0</v>
      </c>
      <c r="H2571">
        <v>0</v>
      </c>
      <c r="I2571">
        <v>0</v>
      </c>
      <c r="J2571">
        <v>0</v>
      </c>
      <c r="K2571">
        <v>63.3</v>
      </c>
      <c r="L2571">
        <v>63.2</v>
      </c>
      <c r="M2571">
        <v>65.98</v>
      </c>
      <c r="N2571">
        <v>4</v>
      </c>
      <c r="O2571">
        <v>3</v>
      </c>
      <c r="P2571">
        <f>MOD(DAY(datos_siembra[[#This Row],[Date]]),7)</f>
        <v>4</v>
      </c>
      <c r="Q2571" t="str">
        <f>CHOOSE(WEEKDAY(datos_siembra[[#This Row],[Date]],2),"L","M","X","J","V","S","D")</f>
        <v>V</v>
      </c>
      <c r="R2571">
        <f>WEEKNUM(datos_siembra[[#This Row],[Date]],2)-WEEKNUM(DATE(YEAR(datos_siembra[[#This Row],[Date]]),MONTH(datos_siembra[[#This Row],[Date]]),1))+1</f>
        <v>1</v>
      </c>
      <c r="S2571">
        <f>MONTH(datos_siembra[[#This Row],[Date]])</f>
        <v>10</v>
      </c>
      <c r="T2571" t="str" cm="1">
        <f t="array" ref="T2571">_xlfn.IFS(AND(N2571&lt;= 22, S2571=9), "SOWING",AND(N2571&lt;= 28, S2571=9), "COVERAGE",AND(N2571&lt;= 30, S2571=9), "FLUSH",AND(N2571&lt;= 11, S2571=10), "FLUSH",AND(N2571&lt;= 21, S2571=10), "PRODUCTION")</f>
        <v>FLUSH</v>
      </c>
      <c r="U2571">
        <f>HOUR(datos_siembra[[#This Row],[Hour]])</f>
        <v>15</v>
      </c>
      <c r="V2571" cm="1">
        <f t="array" ref="V2571">_xlfn.IFS(AND(N2571&lt;= 22, S2571=9), N2571-7,AND(N2571&lt;= 28, S2571=9), N2571-25,AND(N2571&lt;= 30, S2571=9), N2571-28,AND(N2571&lt;= 11, S2571=10), N2571+2,AND(N2571&lt;= 21, S2571=10), N2571-11)</f>
        <v>6</v>
      </c>
    </row>
    <row r="2572" spans="1:22" x14ac:dyDescent="0.35">
      <c r="A2572" s="4">
        <v>45569</v>
      </c>
      <c r="B2572" s="5">
        <v>0.64855324074074072</v>
      </c>
      <c r="C2572">
        <v>67</v>
      </c>
      <c r="D2572">
        <v>67.3</v>
      </c>
      <c r="E2572">
        <v>65.3</v>
      </c>
      <c r="F2572">
        <v>64.099999999999994</v>
      </c>
      <c r="G2572">
        <v>0</v>
      </c>
      <c r="H2572">
        <v>0</v>
      </c>
      <c r="I2572">
        <v>0</v>
      </c>
      <c r="J2572">
        <v>0</v>
      </c>
      <c r="K2572">
        <v>63.3</v>
      </c>
      <c r="L2572">
        <v>63.4</v>
      </c>
      <c r="M2572">
        <v>65.92</v>
      </c>
      <c r="N2572">
        <v>4</v>
      </c>
      <c r="O2572">
        <v>3</v>
      </c>
      <c r="P2572">
        <f>MOD(DAY(datos_siembra[[#This Row],[Date]]),7)</f>
        <v>4</v>
      </c>
      <c r="Q2572" t="str">
        <f>CHOOSE(WEEKDAY(datos_siembra[[#This Row],[Date]],2),"L","M","X","J","V","S","D")</f>
        <v>V</v>
      </c>
      <c r="R2572">
        <f>WEEKNUM(datos_siembra[[#This Row],[Date]],2)-WEEKNUM(DATE(YEAR(datos_siembra[[#This Row],[Date]]),MONTH(datos_siembra[[#This Row],[Date]]),1))+1</f>
        <v>1</v>
      </c>
      <c r="S2572">
        <f>MONTH(datos_siembra[[#This Row],[Date]])</f>
        <v>10</v>
      </c>
      <c r="T2572" t="str" cm="1">
        <f t="array" ref="T2572">_xlfn.IFS(AND(N2572&lt;= 22, S2572=9), "SOWING",AND(N2572&lt;= 28, S2572=9), "COVERAGE",AND(N2572&lt;= 30, S2572=9), "FLUSH",AND(N2572&lt;= 11, S2572=10), "FLUSH",AND(N2572&lt;= 21, S2572=10), "PRODUCTION")</f>
        <v>FLUSH</v>
      </c>
      <c r="U2572">
        <f>HOUR(datos_siembra[[#This Row],[Hour]])</f>
        <v>15</v>
      </c>
      <c r="V2572" cm="1">
        <f t="array" ref="V2572">_xlfn.IFS(AND(N2572&lt;= 22, S2572=9), N2572-7,AND(N2572&lt;= 28, S2572=9), N2572-25,AND(N2572&lt;= 30, S2572=9), N2572-28,AND(N2572&lt;= 11, S2572=10), N2572+2,AND(N2572&lt;= 21, S2572=10), N2572-11)</f>
        <v>6</v>
      </c>
    </row>
    <row r="2573" spans="1:22" x14ac:dyDescent="0.35">
      <c r="A2573" s="4">
        <v>45569</v>
      </c>
      <c r="B2573" s="5">
        <v>0.65550925925925929</v>
      </c>
      <c r="C2573">
        <v>67</v>
      </c>
      <c r="D2573">
        <v>67.3</v>
      </c>
      <c r="E2573">
        <v>65.3</v>
      </c>
      <c r="F2573">
        <v>63.9</v>
      </c>
      <c r="G2573">
        <v>0</v>
      </c>
      <c r="H2573">
        <v>0</v>
      </c>
      <c r="I2573">
        <v>0</v>
      </c>
      <c r="J2573">
        <v>0</v>
      </c>
      <c r="K2573">
        <v>63.2</v>
      </c>
      <c r="L2573">
        <v>62.6</v>
      </c>
      <c r="M2573">
        <v>65.89</v>
      </c>
      <c r="N2573">
        <v>4</v>
      </c>
      <c r="O2573">
        <v>3</v>
      </c>
      <c r="P2573">
        <f>MOD(DAY(datos_siembra[[#This Row],[Date]]),7)</f>
        <v>4</v>
      </c>
      <c r="Q2573" t="str">
        <f>CHOOSE(WEEKDAY(datos_siembra[[#This Row],[Date]],2),"L","M","X","J","V","S","D")</f>
        <v>V</v>
      </c>
      <c r="R2573">
        <f>WEEKNUM(datos_siembra[[#This Row],[Date]],2)-WEEKNUM(DATE(YEAR(datos_siembra[[#This Row],[Date]]),MONTH(datos_siembra[[#This Row],[Date]]),1))+1</f>
        <v>1</v>
      </c>
      <c r="S2573">
        <f>MONTH(datos_siembra[[#This Row],[Date]])</f>
        <v>10</v>
      </c>
      <c r="T2573" t="str" cm="1">
        <f t="array" ref="T2573">_xlfn.IFS(AND(N2573&lt;= 22, S2573=9), "SOWING",AND(N2573&lt;= 28, S2573=9), "COVERAGE",AND(N2573&lt;= 30, S2573=9), "FLUSH",AND(N2573&lt;= 11, S2573=10), "FLUSH",AND(N2573&lt;= 21, S2573=10), "PRODUCTION")</f>
        <v>FLUSH</v>
      </c>
      <c r="U2573">
        <f>HOUR(datos_siembra[[#This Row],[Hour]])</f>
        <v>15</v>
      </c>
      <c r="V2573" cm="1">
        <f t="array" ref="V2573">_xlfn.IFS(AND(N2573&lt;= 22, S2573=9), N2573-7,AND(N2573&lt;= 28, S2573=9), N2573-25,AND(N2573&lt;= 30, S2573=9), N2573-28,AND(N2573&lt;= 11, S2573=10), N2573+2,AND(N2573&lt;= 21, S2573=10), N2573-11)</f>
        <v>6</v>
      </c>
    </row>
    <row r="2574" spans="1:22" x14ac:dyDescent="0.35">
      <c r="A2574" s="4">
        <v>45569</v>
      </c>
      <c r="B2574" s="5">
        <v>0.66245370370370371</v>
      </c>
      <c r="C2574">
        <v>66.8</v>
      </c>
      <c r="D2574">
        <v>67.2</v>
      </c>
      <c r="E2574">
        <v>65.099999999999994</v>
      </c>
      <c r="F2574">
        <v>63.7</v>
      </c>
      <c r="G2574">
        <v>0</v>
      </c>
      <c r="H2574">
        <v>0</v>
      </c>
      <c r="I2574">
        <v>0</v>
      </c>
      <c r="J2574">
        <v>0</v>
      </c>
      <c r="K2574">
        <v>62.6</v>
      </c>
      <c r="L2574">
        <v>62.7</v>
      </c>
      <c r="M2574">
        <v>65.75</v>
      </c>
      <c r="N2574">
        <v>4</v>
      </c>
      <c r="O2574">
        <v>3</v>
      </c>
      <c r="P2574">
        <f>MOD(DAY(datos_siembra[[#This Row],[Date]]),7)</f>
        <v>4</v>
      </c>
      <c r="Q2574" t="str">
        <f>CHOOSE(WEEKDAY(datos_siembra[[#This Row],[Date]],2),"L","M","X","J","V","S","D")</f>
        <v>V</v>
      </c>
      <c r="R2574">
        <f>WEEKNUM(datos_siembra[[#This Row],[Date]],2)-WEEKNUM(DATE(YEAR(datos_siembra[[#This Row],[Date]]),MONTH(datos_siembra[[#This Row],[Date]]),1))+1</f>
        <v>1</v>
      </c>
      <c r="S2574">
        <f>MONTH(datos_siembra[[#This Row],[Date]])</f>
        <v>10</v>
      </c>
      <c r="T2574" t="str" cm="1">
        <f t="array" ref="T2574">_xlfn.IFS(AND(N2574&lt;= 22, S2574=9), "SOWING",AND(N2574&lt;= 28, S2574=9), "COVERAGE",AND(N2574&lt;= 30, S2574=9), "FLUSH",AND(N2574&lt;= 11, S2574=10), "FLUSH",AND(N2574&lt;= 21, S2574=10), "PRODUCTION")</f>
        <v>FLUSH</v>
      </c>
      <c r="U2574">
        <f>HOUR(datos_siembra[[#This Row],[Hour]])</f>
        <v>15</v>
      </c>
      <c r="V2574" cm="1">
        <f t="array" ref="V2574">_xlfn.IFS(AND(N2574&lt;= 22, S2574=9), N2574-7,AND(N2574&lt;= 28, S2574=9), N2574-25,AND(N2574&lt;= 30, S2574=9), N2574-28,AND(N2574&lt;= 11, S2574=10), N2574+2,AND(N2574&lt;= 21, S2574=10), N2574-11)</f>
        <v>6</v>
      </c>
    </row>
    <row r="2575" spans="1:22" x14ac:dyDescent="0.35">
      <c r="A2575" s="4">
        <v>45569</v>
      </c>
      <c r="B2575" s="5">
        <v>0.66939814814814813</v>
      </c>
      <c r="C2575">
        <v>67</v>
      </c>
      <c r="D2575">
        <v>67.3</v>
      </c>
      <c r="E2575">
        <v>65.2</v>
      </c>
      <c r="F2575">
        <v>63.8</v>
      </c>
      <c r="G2575">
        <v>0</v>
      </c>
      <c r="H2575">
        <v>0</v>
      </c>
      <c r="I2575">
        <v>0</v>
      </c>
      <c r="J2575">
        <v>0</v>
      </c>
      <c r="K2575">
        <v>62.4</v>
      </c>
      <c r="L2575">
        <v>62.4</v>
      </c>
      <c r="M2575">
        <v>65.78</v>
      </c>
      <c r="N2575">
        <v>4</v>
      </c>
      <c r="O2575">
        <v>3</v>
      </c>
      <c r="P2575">
        <f>MOD(DAY(datos_siembra[[#This Row],[Date]]),7)</f>
        <v>4</v>
      </c>
      <c r="Q2575" t="str">
        <f>CHOOSE(WEEKDAY(datos_siembra[[#This Row],[Date]],2),"L","M","X","J","V","S","D")</f>
        <v>V</v>
      </c>
      <c r="R2575">
        <f>WEEKNUM(datos_siembra[[#This Row],[Date]],2)-WEEKNUM(DATE(YEAR(datos_siembra[[#This Row],[Date]]),MONTH(datos_siembra[[#This Row],[Date]]),1))+1</f>
        <v>1</v>
      </c>
      <c r="S2575">
        <f>MONTH(datos_siembra[[#This Row],[Date]])</f>
        <v>10</v>
      </c>
      <c r="T2575" t="str" cm="1">
        <f t="array" ref="T2575">_xlfn.IFS(AND(N2575&lt;= 22, S2575=9), "SOWING",AND(N2575&lt;= 28, S2575=9), "COVERAGE",AND(N2575&lt;= 30, S2575=9), "FLUSH",AND(N2575&lt;= 11, S2575=10), "FLUSH",AND(N2575&lt;= 21, S2575=10), "PRODUCTION")</f>
        <v>FLUSH</v>
      </c>
      <c r="U2575">
        <f>HOUR(datos_siembra[[#This Row],[Hour]])</f>
        <v>16</v>
      </c>
      <c r="V2575" cm="1">
        <f t="array" ref="V2575">_xlfn.IFS(AND(N2575&lt;= 22, S2575=9), N2575-7,AND(N2575&lt;= 28, S2575=9), N2575-25,AND(N2575&lt;= 30, S2575=9), N2575-28,AND(N2575&lt;= 11, S2575=10), N2575+2,AND(N2575&lt;= 21, S2575=10), N2575-11)</f>
        <v>6</v>
      </c>
    </row>
    <row r="2576" spans="1:22" x14ac:dyDescent="0.35">
      <c r="A2576" s="4">
        <v>45569</v>
      </c>
      <c r="B2576" s="5">
        <v>0.6763541666666667</v>
      </c>
      <c r="C2576">
        <v>67</v>
      </c>
      <c r="D2576">
        <v>67.2</v>
      </c>
      <c r="E2576">
        <v>65.099999999999994</v>
      </c>
      <c r="F2576">
        <v>63.9</v>
      </c>
      <c r="G2576">
        <v>0</v>
      </c>
      <c r="H2576">
        <v>0</v>
      </c>
      <c r="I2576">
        <v>0</v>
      </c>
      <c r="J2576">
        <v>0</v>
      </c>
      <c r="K2576">
        <v>62.4</v>
      </c>
      <c r="L2576">
        <v>62.4</v>
      </c>
      <c r="M2576">
        <v>65.72</v>
      </c>
      <c r="N2576">
        <v>4</v>
      </c>
      <c r="O2576">
        <v>3</v>
      </c>
      <c r="P2576">
        <f>MOD(DAY(datos_siembra[[#This Row],[Date]]),7)</f>
        <v>4</v>
      </c>
      <c r="Q2576" t="str">
        <f>CHOOSE(WEEKDAY(datos_siembra[[#This Row],[Date]],2),"L","M","X","J","V","S","D")</f>
        <v>V</v>
      </c>
      <c r="R2576">
        <f>WEEKNUM(datos_siembra[[#This Row],[Date]],2)-WEEKNUM(DATE(YEAR(datos_siembra[[#This Row],[Date]]),MONTH(datos_siembra[[#This Row],[Date]]),1))+1</f>
        <v>1</v>
      </c>
      <c r="S2576">
        <f>MONTH(datos_siembra[[#This Row],[Date]])</f>
        <v>10</v>
      </c>
      <c r="T2576" t="str" cm="1">
        <f t="array" ref="T2576">_xlfn.IFS(AND(N2576&lt;= 22, S2576=9), "SOWING",AND(N2576&lt;= 28, S2576=9), "COVERAGE",AND(N2576&lt;= 30, S2576=9), "FLUSH",AND(N2576&lt;= 11, S2576=10), "FLUSH",AND(N2576&lt;= 21, S2576=10), "PRODUCTION")</f>
        <v>FLUSH</v>
      </c>
      <c r="U2576">
        <f>HOUR(datos_siembra[[#This Row],[Hour]])</f>
        <v>16</v>
      </c>
      <c r="V2576" cm="1">
        <f t="array" ref="V2576">_xlfn.IFS(AND(N2576&lt;= 22, S2576=9), N2576-7,AND(N2576&lt;= 28, S2576=9), N2576-25,AND(N2576&lt;= 30, S2576=9), N2576-28,AND(N2576&lt;= 11, S2576=10), N2576+2,AND(N2576&lt;= 21, S2576=10), N2576-11)</f>
        <v>6</v>
      </c>
    </row>
    <row r="2577" spans="1:22" x14ac:dyDescent="0.35">
      <c r="A2577" s="4">
        <v>45569</v>
      </c>
      <c r="B2577" s="5">
        <v>0.68329861111111112</v>
      </c>
      <c r="C2577">
        <v>66.900000000000006</v>
      </c>
      <c r="D2577">
        <v>67.2</v>
      </c>
      <c r="E2577">
        <v>65.099999999999994</v>
      </c>
      <c r="F2577">
        <v>64.099999999999994</v>
      </c>
      <c r="G2577">
        <v>0</v>
      </c>
      <c r="H2577">
        <v>0</v>
      </c>
      <c r="I2577">
        <v>0</v>
      </c>
      <c r="J2577">
        <v>0</v>
      </c>
      <c r="K2577">
        <v>62.3</v>
      </c>
      <c r="L2577">
        <v>62.3</v>
      </c>
      <c r="M2577">
        <v>65.78</v>
      </c>
      <c r="N2577">
        <v>4</v>
      </c>
      <c r="O2577">
        <v>3</v>
      </c>
      <c r="P2577">
        <f>MOD(DAY(datos_siembra[[#This Row],[Date]]),7)</f>
        <v>4</v>
      </c>
      <c r="Q2577" t="str">
        <f>CHOOSE(WEEKDAY(datos_siembra[[#This Row],[Date]],2),"L","M","X","J","V","S","D")</f>
        <v>V</v>
      </c>
      <c r="R2577">
        <f>WEEKNUM(datos_siembra[[#This Row],[Date]],2)-WEEKNUM(DATE(YEAR(datos_siembra[[#This Row],[Date]]),MONTH(datos_siembra[[#This Row],[Date]]),1))+1</f>
        <v>1</v>
      </c>
      <c r="S2577">
        <f>MONTH(datos_siembra[[#This Row],[Date]])</f>
        <v>10</v>
      </c>
      <c r="T2577" t="str" cm="1">
        <f t="array" ref="T2577">_xlfn.IFS(AND(N2577&lt;= 22, S2577=9), "SOWING",AND(N2577&lt;= 28, S2577=9), "COVERAGE",AND(N2577&lt;= 30, S2577=9), "FLUSH",AND(N2577&lt;= 11, S2577=10), "FLUSH",AND(N2577&lt;= 21, S2577=10), "PRODUCTION")</f>
        <v>FLUSH</v>
      </c>
      <c r="U2577">
        <f>HOUR(datos_siembra[[#This Row],[Hour]])</f>
        <v>16</v>
      </c>
      <c r="V2577" cm="1">
        <f t="array" ref="V2577">_xlfn.IFS(AND(N2577&lt;= 22, S2577=9), N2577-7,AND(N2577&lt;= 28, S2577=9), N2577-25,AND(N2577&lt;= 30, S2577=9), N2577-28,AND(N2577&lt;= 11, S2577=10), N2577+2,AND(N2577&lt;= 21, S2577=10), N2577-11)</f>
        <v>6</v>
      </c>
    </row>
    <row r="2578" spans="1:22" x14ac:dyDescent="0.35">
      <c r="A2578" s="4">
        <v>45569</v>
      </c>
      <c r="B2578" s="5">
        <v>0.69024305555555554</v>
      </c>
      <c r="C2578">
        <v>66.8</v>
      </c>
      <c r="D2578">
        <v>67.2</v>
      </c>
      <c r="E2578">
        <v>65.2</v>
      </c>
      <c r="F2578">
        <v>64.099999999999994</v>
      </c>
      <c r="G2578">
        <v>0</v>
      </c>
      <c r="H2578">
        <v>0</v>
      </c>
      <c r="I2578">
        <v>0</v>
      </c>
      <c r="J2578">
        <v>0</v>
      </c>
      <c r="K2578">
        <v>62.2</v>
      </c>
      <c r="L2578">
        <v>62.2</v>
      </c>
      <c r="M2578">
        <v>65.81</v>
      </c>
      <c r="N2578">
        <v>4</v>
      </c>
      <c r="O2578">
        <v>3</v>
      </c>
      <c r="P2578">
        <f>MOD(DAY(datos_siembra[[#This Row],[Date]]),7)</f>
        <v>4</v>
      </c>
      <c r="Q2578" t="str">
        <f>CHOOSE(WEEKDAY(datos_siembra[[#This Row],[Date]],2),"L","M","X","J","V","S","D")</f>
        <v>V</v>
      </c>
      <c r="R2578">
        <f>WEEKNUM(datos_siembra[[#This Row],[Date]],2)-WEEKNUM(DATE(YEAR(datos_siembra[[#This Row],[Date]]),MONTH(datos_siembra[[#This Row],[Date]]),1))+1</f>
        <v>1</v>
      </c>
      <c r="S2578">
        <f>MONTH(datos_siembra[[#This Row],[Date]])</f>
        <v>10</v>
      </c>
      <c r="T2578" t="str" cm="1">
        <f t="array" ref="T2578">_xlfn.IFS(AND(N2578&lt;= 22, S2578=9), "SOWING",AND(N2578&lt;= 28, S2578=9), "COVERAGE",AND(N2578&lt;= 30, S2578=9), "FLUSH",AND(N2578&lt;= 11, S2578=10), "FLUSH",AND(N2578&lt;= 21, S2578=10), "PRODUCTION")</f>
        <v>FLUSH</v>
      </c>
      <c r="U2578">
        <f>HOUR(datos_siembra[[#This Row],[Hour]])</f>
        <v>16</v>
      </c>
      <c r="V2578" cm="1">
        <f t="array" ref="V2578">_xlfn.IFS(AND(N2578&lt;= 22, S2578=9), N2578-7,AND(N2578&lt;= 28, S2578=9), N2578-25,AND(N2578&lt;= 30, S2578=9), N2578-28,AND(N2578&lt;= 11, S2578=10), N2578+2,AND(N2578&lt;= 21, S2578=10), N2578-11)</f>
        <v>6</v>
      </c>
    </row>
    <row r="2579" spans="1:22" x14ac:dyDescent="0.35">
      <c r="A2579" s="4">
        <v>45569</v>
      </c>
      <c r="B2579" s="5">
        <v>0.69718749999999996</v>
      </c>
      <c r="C2579">
        <v>67</v>
      </c>
      <c r="D2579">
        <v>67.3</v>
      </c>
      <c r="E2579">
        <v>65.2</v>
      </c>
      <c r="F2579">
        <v>63.9</v>
      </c>
      <c r="G2579">
        <v>0</v>
      </c>
      <c r="H2579">
        <v>0</v>
      </c>
      <c r="I2579">
        <v>0</v>
      </c>
      <c r="J2579">
        <v>0</v>
      </c>
      <c r="K2579">
        <v>62.2</v>
      </c>
      <c r="L2579">
        <v>62.3</v>
      </c>
      <c r="M2579">
        <v>65.83</v>
      </c>
      <c r="N2579">
        <v>4</v>
      </c>
      <c r="O2579">
        <v>3</v>
      </c>
      <c r="P2579">
        <f>MOD(DAY(datos_siembra[[#This Row],[Date]]),7)</f>
        <v>4</v>
      </c>
      <c r="Q2579" t="str">
        <f>CHOOSE(WEEKDAY(datos_siembra[[#This Row],[Date]],2),"L","M","X","J","V","S","D")</f>
        <v>V</v>
      </c>
      <c r="R2579">
        <f>WEEKNUM(datos_siembra[[#This Row],[Date]],2)-WEEKNUM(DATE(YEAR(datos_siembra[[#This Row],[Date]]),MONTH(datos_siembra[[#This Row],[Date]]),1))+1</f>
        <v>1</v>
      </c>
      <c r="S2579">
        <f>MONTH(datos_siembra[[#This Row],[Date]])</f>
        <v>10</v>
      </c>
      <c r="T2579" t="str" cm="1">
        <f t="array" ref="T2579">_xlfn.IFS(AND(N2579&lt;= 22, S2579=9), "SOWING",AND(N2579&lt;= 28, S2579=9), "COVERAGE",AND(N2579&lt;= 30, S2579=9), "FLUSH",AND(N2579&lt;= 11, S2579=10), "FLUSH",AND(N2579&lt;= 21, S2579=10), "PRODUCTION")</f>
        <v>FLUSH</v>
      </c>
      <c r="U2579">
        <f>HOUR(datos_siembra[[#This Row],[Hour]])</f>
        <v>16</v>
      </c>
      <c r="V2579" cm="1">
        <f t="array" ref="V2579">_xlfn.IFS(AND(N2579&lt;= 22, S2579=9), N2579-7,AND(N2579&lt;= 28, S2579=9), N2579-25,AND(N2579&lt;= 30, S2579=9), N2579-28,AND(N2579&lt;= 11, S2579=10), N2579+2,AND(N2579&lt;= 21, S2579=10), N2579-11)</f>
        <v>6</v>
      </c>
    </row>
    <row r="2580" spans="1:22" x14ac:dyDescent="0.35">
      <c r="A2580" s="4">
        <v>45569</v>
      </c>
      <c r="B2580" s="5">
        <v>0.70414351851851853</v>
      </c>
      <c r="C2580">
        <v>67</v>
      </c>
      <c r="D2580">
        <v>67.2</v>
      </c>
      <c r="E2580">
        <v>65.099999999999994</v>
      </c>
      <c r="F2580">
        <v>63.9</v>
      </c>
      <c r="G2580">
        <v>0</v>
      </c>
      <c r="H2580">
        <v>0</v>
      </c>
      <c r="I2580">
        <v>0</v>
      </c>
      <c r="J2580">
        <v>0</v>
      </c>
      <c r="K2580">
        <v>62.3</v>
      </c>
      <c r="L2580">
        <v>62.3</v>
      </c>
      <c r="M2580">
        <v>65.81</v>
      </c>
      <c r="N2580">
        <v>4</v>
      </c>
      <c r="O2580">
        <v>3</v>
      </c>
      <c r="P2580">
        <f>MOD(DAY(datos_siembra[[#This Row],[Date]]),7)</f>
        <v>4</v>
      </c>
      <c r="Q2580" t="str">
        <f>CHOOSE(WEEKDAY(datos_siembra[[#This Row],[Date]],2),"L","M","X","J","V","S","D")</f>
        <v>V</v>
      </c>
      <c r="R2580">
        <f>WEEKNUM(datos_siembra[[#This Row],[Date]],2)-WEEKNUM(DATE(YEAR(datos_siembra[[#This Row],[Date]]),MONTH(datos_siembra[[#This Row],[Date]]),1))+1</f>
        <v>1</v>
      </c>
      <c r="S2580">
        <f>MONTH(datos_siembra[[#This Row],[Date]])</f>
        <v>10</v>
      </c>
      <c r="T2580" t="str" cm="1">
        <f t="array" ref="T2580">_xlfn.IFS(AND(N2580&lt;= 22, S2580=9), "SOWING",AND(N2580&lt;= 28, S2580=9), "COVERAGE",AND(N2580&lt;= 30, S2580=9), "FLUSH",AND(N2580&lt;= 11, S2580=10), "FLUSH",AND(N2580&lt;= 21, S2580=10), "PRODUCTION")</f>
        <v>FLUSH</v>
      </c>
      <c r="U2580">
        <f>HOUR(datos_siembra[[#This Row],[Hour]])</f>
        <v>16</v>
      </c>
      <c r="V2580" cm="1">
        <f t="array" ref="V2580">_xlfn.IFS(AND(N2580&lt;= 22, S2580=9), N2580-7,AND(N2580&lt;= 28, S2580=9), N2580-25,AND(N2580&lt;= 30, S2580=9), N2580-28,AND(N2580&lt;= 11, S2580=10), N2580+2,AND(N2580&lt;= 21, S2580=10), N2580-11)</f>
        <v>6</v>
      </c>
    </row>
    <row r="2581" spans="1:22" x14ac:dyDescent="0.35">
      <c r="A2581" s="4">
        <v>45569</v>
      </c>
      <c r="B2581" s="5">
        <v>0.71108796296296295</v>
      </c>
      <c r="C2581">
        <v>66.900000000000006</v>
      </c>
      <c r="D2581">
        <v>67.099999999999994</v>
      </c>
      <c r="E2581">
        <v>65.2</v>
      </c>
      <c r="F2581">
        <v>64.099999999999994</v>
      </c>
      <c r="G2581">
        <v>0</v>
      </c>
      <c r="H2581">
        <v>0</v>
      </c>
      <c r="I2581">
        <v>0</v>
      </c>
      <c r="J2581">
        <v>0</v>
      </c>
      <c r="K2581">
        <v>62.2</v>
      </c>
      <c r="L2581">
        <v>62.3</v>
      </c>
      <c r="M2581">
        <v>65.78</v>
      </c>
      <c r="N2581">
        <v>4</v>
      </c>
      <c r="O2581">
        <v>3</v>
      </c>
      <c r="P2581">
        <f>MOD(DAY(datos_siembra[[#This Row],[Date]]),7)</f>
        <v>4</v>
      </c>
      <c r="Q2581" t="str">
        <f>CHOOSE(WEEKDAY(datos_siembra[[#This Row],[Date]],2),"L","M","X","J","V","S","D")</f>
        <v>V</v>
      </c>
      <c r="R2581">
        <f>WEEKNUM(datos_siembra[[#This Row],[Date]],2)-WEEKNUM(DATE(YEAR(datos_siembra[[#This Row],[Date]]),MONTH(datos_siembra[[#This Row],[Date]]),1))+1</f>
        <v>1</v>
      </c>
      <c r="S2581">
        <f>MONTH(datos_siembra[[#This Row],[Date]])</f>
        <v>10</v>
      </c>
      <c r="T2581" t="str" cm="1">
        <f t="array" ref="T2581">_xlfn.IFS(AND(N2581&lt;= 22, S2581=9), "SOWING",AND(N2581&lt;= 28, S2581=9), "COVERAGE",AND(N2581&lt;= 30, S2581=9), "FLUSH",AND(N2581&lt;= 11, S2581=10), "FLUSH",AND(N2581&lt;= 21, S2581=10), "PRODUCTION")</f>
        <v>FLUSH</v>
      </c>
      <c r="U2581">
        <f>HOUR(datos_siembra[[#This Row],[Hour]])</f>
        <v>17</v>
      </c>
      <c r="V2581" cm="1">
        <f t="array" ref="V2581">_xlfn.IFS(AND(N2581&lt;= 22, S2581=9), N2581-7,AND(N2581&lt;= 28, S2581=9), N2581-25,AND(N2581&lt;= 30, S2581=9), N2581-28,AND(N2581&lt;= 11, S2581=10), N2581+2,AND(N2581&lt;= 21, S2581=10), N2581-11)</f>
        <v>6</v>
      </c>
    </row>
    <row r="2582" spans="1:22" x14ac:dyDescent="0.35">
      <c r="A2582" s="4">
        <v>45569</v>
      </c>
      <c r="B2582" s="5">
        <v>0.71803240740740737</v>
      </c>
      <c r="C2582">
        <v>66.900000000000006</v>
      </c>
      <c r="D2582">
        <v>67.2</v>
      </c>
      <c r="E2582">
        <v>65.2</v>
      </c>
      <c r="F2582">
        <v>64.099999999999994</v>
      </c>
      <c r="G2582">
        <v>0</v>
      </c>
      <c r="H2582">
        <v>0</v>
      </c>
      <c r="I2582">
        <v>0</v>
      </c>
      <c r="J2582">
        <v>0</v>
      </c>
      <c r="K2582">
        <v>62.3</v>
      </c>
      <c r="L2582">
        <v>62.3</v>
      </c>
      <c r="M2582">
        <v>65.86</v>
      </c>
      <c r="N2582">
        <v>4</v>
      </c>
      <c r="O2582">
        <v>3</v>
      </c>
      <c r="P2582">
        <f>MOD(DAY(datos_siembra[[#This Row],[Date]]),7)</f>
        <v>4</v>
      </c>
      <c r="Q2582" t="str">
        <f>CHOOSE(WEEKDAY(datos_siembra[[#This Row],[Date]],2),"L","M","X","J","V","S","D")</f>
        <v>V</v>
      </c>
      <c r="R2582">
        <f>WEEKNUM(datos_siembra[[#This Row],[Date]],2)-WEEKNUM(DATE(YEAR(datos_siembra[[#This Row],[Date]]),MONTH(datos_siembra[[#This Row],[Date]]),1))+1</f>
        <v>1</v>
      </c>
      <c r="S2582">
        <f>MONTH(datos_siembra[[#This Row],[Date]])</f>
        <v>10</v>
      </c>
      <c r="T2582" t="str" cm="1">
        <f t="array" ref="T2582">_xlfn.IFS(AND(N2582&lt;= 22, S2582=9), "SOWING",AND(N2582&lt;= 28, S2582=9), "COVERAGE",AND(N2582&lt;= 30, S2582=9), "FLUSH",AND(N2582&lt;= 11, S2582=10), "FLUSH",AND(N2582&lt;= 21, S2582=10), "PRODUCTION")</f>
        <v>FLUSH</v>
      </c>
      <c r="U2582">
        <f>HOUR(datos_siembra[[#This Row],[Hour]])</f>
        <v>17</v>
      </c>
      <c r="V2582" cm="1">
        <f t="array" ref="V2582">_xlfn.IFS(AND(N2582&lt;= 22, S2582=9), N2582-7,AND(N2582&lt;= 28, S2582=9), N2582-25,AND(N2582&lt;= 30, S2582=9), N2582-28,AND(N2582&lt;= 11, S2582=10), N2582+2,AND(N2582&lt;= 21, S2582=10), N2582-11)</f>
        <v>6</v>
      </c>
    </row>
    <row r="2583" spans="1:22" x14ac:dyDescent="0.35">
      <c r="A2583" s="4">
        <v>45569</v>
      </c>
      <c r="B2583" s="5">
        <v>0.72498842592592594</v>
      </c>
      <c r="C2583">
        <v>66.900000000000006</v>
      </c>
      <c r="D2583">
        <v>67.2</v>
      </c>
      <c r="E2583">
        <v>65.2</v>
      </c>
      <c r="F2583">
        <v>64.099999999999994</v>
      </c>
      <c r="G2583">
        <v>0</v>
      </c>
      <c r="H2583">
        <v>0</v>
      </c>
      <c r="I2583">
        <v>0</v>
      </c>
      <c r="J2583">
        <v>0</v>
      </c>
      <c r="K2583">
        <v>62.4</v>
      </c>
      <c r="L2583">
        <v>62.4</v>
      </c>
      <c r="M2583">
        <v>65.86</v>
      </c>
      <c r="N2583">
        <v>4</v>
      </c>
      <c r="O2583">
        <v>3</v>
      </c>
      <c r="P2583">
        <f>MOD(DAY(datos_siembra[[#This Row],[Date]]),7)</f>
        <v>4</v>
      </c>
      <c r="Q2583" t="str">
        <f>CHOOSE(WEEKDAY(datos_siembra[[#This Row],[Date]],2),"L","M","X","J","V","S","D")</f>
        <v>V</v>
      </c>
      <c r="R2583">
        <f>WEEKNUM(datos_siembra[[#This Row],[Date]],2)-WEEKNUM(DATE(YEAR(datos_siembra[[#This Row],[Date]]),MONTH(datos_siembra[[#This Row],[Date]]),1))+1</f>
        <v>1</v>
      </c>
      <c r="S2583">
        <f>MONTH(datos_siembra[[#This Row],[Date]])</f>
        <v>10</v>
      </c>
      <c r="T2583" t="str" cm="1">
        <f t="array" ref="T2583">_xlfn.IFS(AND(N2583&lt;= 22, S2583=9), "SOWING",AND(N2583&lt;= 28, S2583=9), "COVERAGE",AND(N2583&lt;= 30, S2583=9), "FLUSH",AND(N2583&lt;= 11, S2583=10), "FLUSH",AND(N2583&lt;= 21, S2583=10), "PRODUCTION")</f>
        <v>FLUSH</v>
      </c>
      <c r="U2583">
        <f>HOUR(datos_siembra[[#This Row],[Hour]])</f>
        <v>17</v>
      </c>
      <c r="V2583" cm="1">
        <f t="array" ref="V2583">_xlfn.IFS(AND(N2583&lt;= 22, S2583=9), N2583-7,AND(N2583&lt;= 28, S2583=9), N2583-25,AND(N2583&lt;= 30, S2583=9), N2583-28,AND(N2583&lt;= 11, S2583=10), N2583+2,AND(N2583&lt;= 21, S2583=10), N2583-11)</f>
        <v>6</v>
      </c>
    </row>
    <row r="2584" spans="1:22" x14ac:dyDescent="0.35">
      <c r="A2584" s="4">
        <v>45569</v>
      </c>
      <c r="B2584" s="5">
        <v>0.73193287037037036</v>
      </c>
      <c r="C2584">
        <v>67</v>
      </c>
      <c r="D2584">
        <v>67.099999999999994</v>
      </c>
      <c r="E2584">
        <v>65.2</v>
      </c>
      <c r="F2584">
        <v>64.099999999999994</v>
      </c>
      <c r="G2584">
        <v>0</v>
      </c>
      <c r="H2584">
        <v>0</v>
      </c>
      <c r="I2584">
        <v>0</v>
      </c>
      <c r="J2584">
        <v>0</v>
      </c>
      <c r="K2584">
        <v>62.3</v>
      </c>
      <c r="L2584">
        <v>62.3</v>
      </c>
      <c r="M2584">
        <v>65.81</v>
      </c>
      <c r="N2584">
        <v>4</v>
      </c>
      <c r="O2584">
        <v>3</v>
      </c>
      <c r="P2584">
        <f>MOD(DAY(datos_siembra[[#This Row],[Date]]),7)</f>
        <v>4</v>
      </c>
      <c r="Q2584" t="str">
        <f>CHOOSE(WEEKDAY(datos_siembra[[#This Row],[Date]],2),"L","M","X","J","V","S","D")</f>
        <v>V</v>
      </c>
      <c r="R2584">
        <f>WEEKNUM(datos_siembra[[#This Row],[Date]],2)-WEEKNUM(DATE(YEAR(datos_siembra[[#This Row],[Date]]),MONTH(datos_siembra[[#This Row],[Date]]),1))+1</f>
        <v>1</v>
      </c>
      <c r="S2584">
        <f>MONTH(datos_siembra[[#This Row],[Date]])</f>
        <v>10</v>
      </c>
      <c r="T2584" t="str" cm="1">
        <f t="array" ref="T2584">_xlfn.IFS(AND(N2584&lt;= 22, S2584=9), "SOWING",AND(N2584&lt;= 28, S2584=9), "COVERAGE",AND(N2584&lt;= 30, S2584=9), "FLUSH",AND(N2584&lt;= 11, S2584=10), "FLUSH",AND(N2584&lt;= 21, S2584=10), "PRODUCTION")</f>
        <v>FLUSH</v>
      </c>
      <c r="U2584">
        <f>HOUR(datos_siembra[[#This Row],[Hour]])</f>
        <v>17</v>
      </c>
      <c r="V2584" cm="1">
        <f t="array" ref="V2584">_xlfn.IFS(AND(N2584&lt;= 22, S2584=9), N2584-7,AND(N2584&lt;= 28, S2584=9), N2584-25,AND(N2584&lt;= 30, S2584=9), N2584-28,AND(N2584&lt;= 11, S2584=10), N2584+2,AND(N2584&lt;= 21, S2584=10), N2584-11)</f>
        <v>6</v>
      </c>
    </row>
    <row r="2585" spans="1:22" x14ac:dyDescent="0.35">
      <c r="A2585" s="4">
        <v>45569</v>
      </c>
      <c r="B2585" s="5">
        <v>0.73887731481481478</v>
      </c>
      <c r="C2585">
        <v>66.8</v>
      </c>
      <c r="D2585">
        <v>67.099999999999994</v>
      </c>
      <c r="E2585">
        <v>65.099999999999994</v>
      </c>
      <c r="F2585">
        <v>64.099999999999994</v>
      </c>
      <c r="G2585">
        <v>0</v>
      </c>
      <c r="H2585">
        <v>0</v>
      </c>
      <c r="I2585">
        <v>0</v>
      </c>
      <c r="J2585">
        <v>0</v>
      </c>
      <c r="K2585">
        <v>62.3</v>
      </c>
      <c r="L2585">
        <v>62.4</v>
      </c>
      <c r="M2585">
        <v>65.81</v>
      </c>
      <c r="N2585">
        <v>4</v>
      </c>
      <c r="O2585">
        <v>3</v>
      </c>
      <c r="P2585">
        <f>MOD(DAY(datos_siembra[[#This Row],[Date]]),7)</f>
        <v>4</v>
      </c>
      <c r="Q2585" t="str">
        <f>CHOOSE(WEEKDAY(datos_siembra[[#This Row],[Date]],2),"L","M","X","J","V","S","D")</f>
        <v>V</v>
      </c>
      <c r="R2585">
        <f>WEEKNUM(datos_siembra[[#This Row],[Date]],2)-WEEKNUM(DATE(YEAR(datos_siembra[[#This Row],[Date]]),MONTH(datos_siembra[[#This Row],[Date]]),1))+1</f>
        <v>1</v>
      </c>
      <c r="S2585">
        <f>MONTH(datos_siembra[[#This Row],[Date]])</f>
        <v>10</v>
      </c>
      <c r="T2585" t="str" cm="1">
        <f t="array" ref="T2585">_xlfn.IFS(AND(N2585&lt;= 22, S2585=9), "SOWING",AND(N2585&lt;= 28, S2585=9), "COVERAGE",AND(N2585&lt;= 30, S2585=9), "FLUSH",AND(N2585&lt;= 11, S2585=10), "FLUSH",AND(N2585&lt;= 21, S2585=10), "PRODUCTION")</f>
        <v>FLUSH</v>
      </c>
      <c r="U2585">
        <f>HOUR(datos_siembra[[#This Row],[Hour]])</f>
        <v>17</v>
      </c>
      <c r="V2585" cm="1">
        <f t="array" ref="V2585">_xlfn.IFS(AND(N2585&lt;= 22, S2585=9), N2585-7,AND(N2585&lt;= 28, S2585=9), N2585-25,AND(N2585&lt;= 30, S2585=9), N2585-28,AND(N2585&lt;= 11, S2585=10), N2585+2,AND(N2585&lt;= 21, S2585=10), N2585-11)</f>
        <v>6</v>
      </c>
    </row>
    <row r="2586" spans="1:22" x14ac:dyDescent="0.35">
      <c r="A2586" s="4">
        <v>45569</v>
      </c>
      <c r="B2586" s="5">
        <v>0.74582175925925931</v>
      </c>
      <c r="C2586">
        <v>66.8</v>
      </c>
      <c r="D2586">
        <v>67.2</v>
      </c>
      <c r="E2586">
        <v>65.2</v>
      </c>
      <c r="F2586">
        <v>64.2</v>
      </c>
      <c r="G2586">
        <v>0</v>
      </c>
      <c r="H2586">
        <v>0</v>
      </c>
      <c r="I2586">
        <v>0</v>
      </c>
      <c r="J2586">
        <v>0</v>
      </c>
      <c r="K2586">
        <v>62.4</v>
      </c>
      <c r="L2586">
        <v>62.3</v>
      </c>
      <c r="M2586">
        <v>65.81</v>
      </c>
      <c r="N2586">
        <v>4</v>
      </c>
      <c r="O2586">
        <v>3</v>
      </c>
      <c r="P2586">
        <f>MOD(DAY(datos_siembra[[#This Row],[Date]]),7)</f>
        <v>4</v>
      </c>
      <c r="Q2586" t="str">
        <f>CHOOSE(WEEKDAY(datos_siembra[[#This Row],[Date]],2),"L","M","X","J","V","S","D")</f>
        <v>V</v>
      </c>
      <c r="R2586">
        <f>WEEKNUM(datos_siembra[[#This Row],[Date]],2)-WEEKNUM(DATE(YEAR(datos_siembra[[#This Row],[Date]]),MONTH(datos_siembra[[#This Row],[Date]]),1))+1</f>
        <v>1</v>
      </c>
      <c r="S2586">
        <f>MONTH(datos_siembra[[#This Row],[Date]])</f>
        <v>10</v>
      </c>
      <c r="T2586" t="str" cm="1">
        <f t="array" ref="T2586">_xlfn.IFS(AND(N2586&lt;= 22, S2586=9), "SOWING",AND(N2586&lt;= 28, S2586=9), "COVERAGE",AND(N2586&lt;= 30, S2586=9), "FLUSH",AND(N2586&lt;= 11, S2586=10), "FLUSH",AND(N2586&lt;= 21, S2586=10), "PRODUCTION")</f>
        <v>FLUSH</v>
      </c>
      <c r="U2586">
        <f>HOUR(datos_siembra[[#This Row],[Hour]])</f>
        <v>17</v>
      </c>
      <c r="V2586" cm="1">
        <f t="array" ref="V2586">_xlfn.IFS(AND(N2586&lt;= 22, S2586=9), N2586-7,AND(N2586&lt;= 28, S2586=9), N2586-25,AND(N2586&lt;= 30, S2586=9), N2586-28,AND(N2586&lt;= 11, S2586=10), N2586+2,AND(N2586&lt;= 21, S2586=10), N2586-11)</f>
        <v>6</v>
      </c>
    </row>
    <row r="2587" spans="1:22" x14ac:dyDescent="0.35">
      <c r="A2587" s="4">
        <v>45569</v>
      </c>
      <c r="B2587" s="5">
        <v>0.75277777777777777</v>
      </c>
      <c r="C2587">
        <v>66.599999999999994</v>
      </c>
      <c r="D2587">
        <v>67</v>
      </c>
      <c r="E2587">
        <v>65.3</v>
      </c>
      <c r="F2587">
        <v>64.3</v>
      </c>
      <c r="G2587">
        <v>0</v>
      </c>
      <c r="H2587">
        <v>0</v>
      </c>
      <c r="I2587">
        <v>0</v>
      </c>
      <c r="J2587">
        <v>0</v>
      </c>
      <c r="K2587">
        <v>62.5</v>
      </c>
      <c r="L2587">
        <v>62.4</v>
      </c>
      <c r="M2587">
        <v>65.81</v>
      </c>
      <c r="N2587">
        <v>4</v>
      </c>
      <c r="O2587">
        <v>3</v>
      </c>
      <c r="P2587">
        <f>MOD(DAY(datos_siembra[[#This Row],[Date]]),7)</f>
        <v>4</v>
      </c>
      <c r="Q2587" t="str">
        <f>CHOOSE(WEEKDAY(datos_siembra[[#This Row],[Date]],2),"L","M","X","J","V","S","D")</f>
        <v>V</v>
      </c>
      <c r="R2587">
        <f>WEEKNUM(datos_siembra[[#This Row],[Date]],2)-WEEKNUM(DATE(YEAR(datos_siembra[[#This Row],[Date]]),MONTH(datos_siembra[[#This Row],[Date]]),1))+1</f>
        <v>1</v>
      </c>
      <c r="S2587">
        <f>MONTH(datos_siembra[[#This Row],[Date]])</f>
        <v>10</v>
      </c>
      <c r="T2587" t="str" cm="1">
        <f t="array" ref="T2587">_xlfn.IFS(AND(N2587&lt;= 22, S2587=9), "SOWING",AND(N2587&lt;= 28, S2587=9), "COVERAGE",AND(N2587&lt;= 30, S2587=9), "FLUSH",AND(N2587&lt;= 11, S2587=10), "FLUSH",AND(N2587&lt;= 21, S2587=10), "PRODUCTION")</f>
        <v>FLUSH</v>
      </c>
      <c r="U2587">
        <f>HOUR(datos_siembra[[#This Row],[Hour]])</f>
        <v>18</v>
      </c>
      <c r="V2587" cm="1">
        <f t="array" ref="V2587">_xlfn.IFS(AND(N2587&lt;= 22, S2587=9), N2587-7,AND(N2587&lt;= 28, S2587=9), N2587-25,AND(N2587&lt;= 30, S2587=9), N2587-28,AND(N2587&lt;= 11, S2587=10), N2587+2,AND(N2587&lt;= 21, S2587=10), N2587-11)</f>
        <v>6</v>
      </c>
    </row>
    <row r="2588" spans="1:22" x14ac:dyDescent="0.35">
      <c r="A2588" s="4">
        <v>45569</v>
      </c>
      <c r="B2588" s="5">
        <v>0.75972222222222219</v>
      </c>
      <c r="C2588">
        <v>66.900000000000006</v>
      </c>
      <c r="D2588">
        <v>67.099999999999994</v>
      </c>
      <c r="E2588">
        <v>65.099999999999994</v>
      </c>
      <c r="F2588">
        <v>64.3</v>
      </c>
      <c r="G2588">
        <v>0</v>
      </c>
      <c r="H2588">
        <v>0</v>
      </c>
      <c r="I2588">
        <v>0</v>
      </c>
      <c r="J2588">
        <v>0</v>
      </c>
      <c r="K2588">
        <v>62.5</v>
      </c>
      <c r="L2588">
        <v>62.4</v>
      </c>
      <c r="M2588">
        <v>65.81</v>
      </c>
      <c r="N2588">
        <v>4</v>
      </c>
      <c r="O2588">
        <v>3</v>
      </c>
      <c r="P2588">
        <f>MOD(DAY(datos_siembra[[#This Row],[Date]]),7)</f>
        <v>4</v>
      </c>
      <c r="Q2588" t="str">
        <f>CHOOSE(WEEKDAY(datos_siembra[[#This Row],[Date]],2),"L","M","X","J","V","S","D")</f>
        <v>V</v>
      </c>
      <c r="R2588">
        <f>WEEKNUM(datos_siembra[[#This Row],[Date]],2)-WEEKNUM(DATE(YEAR(datos_siembra[[#This Row],[Date]]),MONTH(datos_siembra[[#This Row],[Date]]),1))+1</f>
        <v>1</v>
      </c>
      <c r="S2588">
        <f>MONTH(datos_siembra[[#This Row],[Date]])</f>
        <v>10</v>
      </c>
      <c r="T2588" t="str" cm="1">
        <f t="array" ref="T2588">_xlfn.IFS(AND(N2588&lt;= 22, S2588=9), "SOWING",AND(N2588&lt;= 28, S2588=9), "COVERAGE",AND(N2588&lt;= 30, S2588=9), "FLUSH",AND(N2588&lt;= 11, S2588=10), "FLUSH",AND(N2588&lt;= 21, S2588=10), "PRODUCTION")</f>
        <v>FLUSH</v>
      </c>
      <c r="U2588">
        <f>HOUR(datos_siembra[[#This Row],[Hour]])</f>
        <v>18</v>
      </c>
      <c r="V2588" cm="1">
        <f t="array" ref="V2588">_xlfn.IFS(AND(N2588&lt;= 22, S2588=9), N2588-7,AND(N2588&lt;= 28, S2588=9), N2588-25,AND(N2588&lt;= 30, S2588=9), N2588-28,AND(N2588&lt;= 11, S2588=10), N2588+2,AND(N2588&lt;= 21, S2588=10), N2588-11)</f>
        <v>6</v>
      </c>
    </row>
    <row r="2589" spans="1:22" x14ac:dyDescent="0.35">
      <c r="A2589" s="4">
        <v>45569</v>
      </c>
      <c r="B2589" s="5">
        <v>0.76666666666666672</v>
      </c>
      <c r="C2589">
        <v>66.8</v>
      </c>
      <c r="D2589">
        <v>67</v>
      </c>
      <c r="E2589">
        <v>65.3</v>
      </c>
      <c r="F2589">
        <v>64.099999999999994</v>
      </c>
      <c r="G2589">
        <v>0</v>
      </c>
      <c r="H2589">
        <v>0</v>
      </c>
      <c r="I2589">
        <v>0</v>
      </c>
      <c r="J2589">
        <v>0</v>
      </c>
      <c r="K2589">
        <v>62.5</v>
      </c>
      <c r="L2589">
        <v>62.4</v>
      </c>
      <c r="M2589">
        <v>65.81</v>
      </c>
      <c r="N2589">
        <v>4</v>
      </c>
      <c r="O2589">
        <v>3</v>
      </c>
      <c r="P2589">
        <f>MOD(DAY(datos_siembra[[#This Row],[Date]]),7)</f>
        <v>4</v>
      </c>
      <c r="Q2589" t="str">
        <f>CHOOSE(WEEKDAY(datos_siembra[[#This Row],[Date]],2),"L","M","X","J","V","S","D")</f>
        <v>V</v>
      </c>
      <c r="R2589">
        <f>WEEKNUM(datos_siembra[[#This Row],[Date]],2)-WEEKNUM(DATE(YEAR(datos_siembra[[#This Row],[Date]]),MONTH(datos_siembra[[#This Row],[Date]]),1))+1</f>
        <v>1</v>
      </c>
      <c r="S2589">
        <f>MONTH(datos_siembra[[#This Row],[Date]])</f>
        <v>10</v>
      </c>
      <c r="T2589" t="str" cm="1">
        <f t="array" ref="T2589">_xlfn.IFS(AND(N2589&lt;= 22, S2589=9), "SOWING",AND(N2589&lt;= 28, S2589=9), "COVERAGE",AND(N2589&lt;= 30, S2589=9), "FLUSH",AND(N2589&lt;= 11, S2589=10), "FLUSH",AND(N2589&lt;= 21, S2589=10), "PRODUCTION")</f>
        <v>FLUSH</v>
      </c>
      <c r="U2589">
        <f>HOUR(datos_siembra[[#This Row],[Hour]])</f>
        <v>18</v>
      </c>
      <c r="V2589" cm="1">
        <f t="array" ref="V2589">_xlfn.IFS(AND(N2589&lt;= 22, S2589=9), N2589-7,AND(N2589&lt;= 28, S2589=9), N2589-25,AND(N2589&lt;= 30, S2589=9), N2589-28,AND(N2589&lt;= 11, S2589=10), N2589+2,AND(N2589&lt;= 21, S2589=10), N2589-11)</f>
        <v>6</v>
      </c>
    </row>
    <row r="2590" spans="1:22" x14ac:dyDescent="0.35">
      <c r="A2590" s="4">
        <v>45569</v>
      </c>
      <c r="B2590" s="5">
        <v>0.77362268518518518</v>
      </c>
      <c r="C2590">
        <v>66.900000000000006</v>
      </c>
      <c r="D2590">
        <v>67.099999999999994</v>
      </c>
      <c r="E2590">
        <v>65.2</v>
      </c>
      <c r="F2590">
        <v>64.2</v>
      </c>
      <c r="G2590">
        <v>0</v>
      </c>
      <c r="H2590">
        <v>0</v>
      </c>
      <c r="I2590">
        <v>0</v>
      </c>
      <c r="J2590">
        <v>0</v>
      </c>
      <c r="K2590">
        <v>62.6</v>
      </c>
      <c r="L2590">
        <v>62.4</v>
      </c>
      <c r="M2590">
        <v>65.83</v>
      </c>
      <c r="N2590">
        <v>4</v>
      </c>
      <c r="O2590">
        <v>3</v>
      </c>
      <c r="P2590">
        <f>MOD(DAY(datos_siembra[[#This Row],[Date]]),7)</f>
        <v>4</v>
      </c>
      <c r="Q2590" t="str">
        <f>CHOOSE(WEEKDAY(datos_siembra[[#This Row],[Date]],2),"L","M","X","J","V","S","D")</f>
        <v>V</v>
      </c>
      <c r="R2590">
        <f>WEEKNUM(datos_siembra[[#This Row],[Date]],2)-WEEKNUM(DATE(YEAR(datos_siembra[[#This Row],[Date]]),MONTH(datos_siembra[[#This Row],[Date]]),1))+1</f>
        <v>1</v>
      </c>
      <c r="S2590">
        <f>MONTH(datos_siembra[[#This Row],[Date]])</f>
        <v>10</v>
      </c>
      <c r="T2590" t="str" cm="1">
        <f t="array" ref="T2590">_xlfn.IFS(AND(N2590&lt;= 22, S2590=9), "SOWING",AND(N2590&lt;= 28, S2590=9), "COVERAGE",AND(N2590&lt;= 30, S2590=9), "FLUSH",AND(N2590&lt;= 11, S2590=10), "FLUSH",AND(N2590&lt;= 21, S2590=10), "PRODUCTION")</f>
        <v>FLUSH</v>
      </c>
      <c r="U2590">
        <f>HOUR(datos_siembra[[#This Row],[Hour]])</f>
        <v>18</v>
      </c>
      <c r="V2590" cm="1">
        <f t="array" ref="V2590">_xlfn.IFS(AND(N2590&lt;= 22, S2590=9), N2590-7,AND(N2590&lt;= 28, S2590=9), N2590-25,AND(N2590&lt;= 30, S2590=9), N2590-28,AND(N2590&lt;= 11, S2590=10), N2590+2,AND(N2590&lt;= 21, S2590=10), N2590-11)</f>
        <v>6</v>
      </c>
    </row>
    <row r="2591" spans="1:22" x14ac:dyDescent="0.35">
      <c r="A2591" s="4">
        <v>45569</v>
      </c>
      <c r="B2591" s="5">
        <v>0.7805671296296296</v>
      </c>
      <c r="C2591">
        <v>66.8</v>
      </c>
      <c r="D2591">
        <v>67.099999999999994</v>
      </c>
      <c r="E2591">
        <v>65.2</v>
      </c>
      <c r="F2591">
        <v>64.3</v>
      </c>
      <c r="G2591">
        <v>0</v>
      </c>
      <c r="H2591">
        <v>0</v>
      </c>
      <c r="I2591">
        <v>0</v>
      </c>
      <c r="J2591">
        <v>0</v>
      </c>
      <c r="K2591">
        <v>62.6</v>
      </c>
      <c r="L2591">
        <v>62.5</v>
      </c>
      <c r="M2591">
        <v>65.83</v>
      </c>
      <c r="N2591">
        <v>4</v>
      </c>
      <c r="O2591">
        <v>3</v>
      </c>
      <c r="P2591">
        <f>MOD(DAY(datos_siembra[[#This Row],[Date]]),7)</f>
        <v>4</v>
      </c>
      <c r="Q2591" t="str">
        <f>CHOOSE(WEEKDAY(datos_siembra[[#This Row],[Date]],2),"L","M","X","J","V","S","D")</f>
        <v>V</v>
      </c>
      <c r="R2591">
        <f>WEEKNUM(datos_siembra[[#This Row],[Date]],2)-WEEKNUM(DATE(YEAR(datos_siembra[[#This Row],[Date]]),MONTH(datos_siembra[[#This Row],[Date]]),1))+1</f>
        <v>1</v>
      </c>
      <c r="S2591">
        <f>MONTH(datos_siembra[[#This Row],[Date]])</f>
        <v>10</v>
      </c>
      <c r="T2591" t="str" cm="1">
        <f t="array" ref="T2591">_xlfn.IFS(AND(N2591&lt;= 22, S2591=9), "SOWING",AND(N2591&lt;= 28, S2591=9), "COVERAGE",AND(N2591&lt;= 30, S2591=9), "FLUSH",AND(N2591&lt;= 11, S2591=10), "FLUSH",AND(N2591&lt;= 21, S2591=10), "PRODUCTION")</f>
        <v>FLUSH</v>
      </c>
      <c r="U2591">
        <f>HOUR(datos_siembra[[#This Row],[Hour]])</f>
        <v>18</v>
      </c>
      <c r="V2591" cm="1">
        <f t="array" ref="V2591">_xlfn.IFS(AND(N2591&lt;= 22, S2591=9), N2591-7,AND(N2591&lt;= 28, S2591=9), N2591-25,AND(N2591&lt;= 30, S2591=9), N2591-28,AND(N2591&lt;= 11, S2591=10), N2591+2,AND(N2591&lt;= 21, S2591=10), N2591-11)</f>
        <v>6</v>
      </c>
    </row>
    <row r="2592" spans="1:22" x14ac:dyDescent="0.35">
      <c r="A2592" s="4">
        <v>45569</v>
      </c>
      <c r="B2592" s="5">
        <v>0.78751157407407413</v>
      </c>
      <c r="C2592">
        <v>67</v>
      </c>
      <c r="D2592">
        <v>67.099999999999994</v>
      </c>
      <c r="E2592">
        <v>65.2</v>
      </c>
      <c r="F2592">
        <v>64.3</v>
      </c>
      <c r="G2592">
        <v>0</v>
      </c>
      <c r="H2592">
        <v>0</v>
      </c>
      <c r="I2592">
        <v>0</v>
      </c>
      <c r="J2592">
        <v>0</v>
      </c>
      <c r="K2592">
        <v>62.6</v>
      </c>
      <c r="L2592">
        <v>62.4</v>
      </c>
      <c r="M2592">
        <v>65.86</v>
      </c>
      <c r="N2592">
        <v>4</v>
      </c>
      <c r="O2592">
        <v>3</v>
      </c>
      <c r="P2592">
        <f>MOD(DAY(datos_siembra[[#This Row],[Date]]),7)</f>
        <v>4</v>
      </c>
      <c r="Q2592" t="str">
        <f>CHOOSE(WEEKDAY(datos_siembra[[#This Row],[Date]],2),"L","M","X","J","V","S","D")</f>
        <v>V</v>
      </c>
      <c r="R2592">
        <f>WEEKNUM(datos_siembra[[#This Row],[Date]],2)-WEEKNUM(DATE(YEAR(datos_siembra[[#This Row],[Date]]),MONTH(datos_siembra[[#This Row],[Date]]),1))+1</f>
        <v>1</v>
      </c>
      <c r="S2592">
        <f>MONTH(datos_siembra[[#This Row],[Date]])</f>
        <v>10</v>
      </c>
      <c r="T2592" t="str" cm="1">
        <f t="array" ref="T2592">_xlfn.IFS(AND(N2592&lt;= 22, S2592=9), "SOWING",AND(N2592&lt;= 28, S2592=9), "COVERAGE",AND(N2592&lt;= 30, S2592=9), "FLUSH",AND(N2592&lt;= 11, S2592=10), "FLUSH",AND(N2592&lt;= 21, S2592=10), "PRODUCTION")</f>
        <v>FLUSH</v>
      </c>
      <c r="U2592">
        <f>HOUR(datos_siembra[[#This Row],[Hour]])</f>
        <v>18</v>
      </c>
      <c r="V2592" cm="1">
        <f t="array" ref="V2592">_xlfn.IFS(AND(N2592&lt;= 22, S2592=9), N2592-7,AND(N2592&lt;= 28, S2592=9), N2592-25,AND(N2592&lt;= 30, S2592=9), N2592-28,AND(N2592&lt;= 11, S2592=10), N2592+2,AND(N2592&lt;= 21, S2592=10), N2592-11)</f>
        <v>6</v>
      </c>
    </row>
    <row r="2593" spans="1:22" x14ac:dyDescent="0.35">
      <c r="A2593" s="4">
        <v>45569</v>
      </c>
      <c r="B2593" s="5">
        <v>0.79445601851851855</v>
      </c>
      <c r="C2593">
        <v>66.900000000000006</v>
      </c>
      <c r="D2593">
        <v>67</v>
      </c>
      <c r="E2593">
        <v>65.3</v>
      </c>
      <c r="F2593">
        <v>64.3</v>
      </c>
      <c r="G2593">
        <v>0</v>
      </c>
      <c r="H2593">
        <v>0</v>
      </c>
      <c r="I2593">
        <v>0</v>
      </c>
      <c r="J2593">
        <v>0</v>
      </c>
      <c r="K2593">
        <v>62.6</v>
      </c>
      <c r="L2593">
        <v>62.4</v>
      </c>
      <c r="M2593">
        <v>65.83</v>
      </c>
      <c r="N2593">
        <v>4</v>
      </c>
      <c r="O2593">
        <v>3</v>
      </c>
      <c r="P2593">
        <f>MOD(DAY(datos_siembra[[#This Row],[Date]]),7)</f>
        <v>4</v>
      </c>
      <c r="Q2593" t="str">
        <f>CHOOSE(WEEKDAY(datos_siembra[[#This Row],[Date]],2),"L","M","X","J","V","S","D")</f>
        <v>V</v>
      </c>
      <c r="R2593">
        <f>WEEKNUM(datos_siembra[[#This Row],[Date]],2)-WEEKNUM(DATE(YEAR(datos_siembra[[#This Row],[Date]]),MONTH(datos_siembra[[#This Row],[Date]]),1))+1</f>
        <v>1</v>
      </c>
      <c r="S2593">
        <f>MONTH(datos_siembra[[#This Row],[Date]])</f>
        <v>10</v>
      </c>
      <c r="T2593" t="str" cm="1">
        <f t="array" ref="T2593">_xlfn.IFS(AND(N2593&lt;= 22, S2593=9), "SOWING",AND(N2593&lt;= 28, S2593=9), "COVERAGE",AND(N2593&lt;= 30, S2593=9), "FLUSH",AND(N2593&lt;= 11, S2593=10), "FLUSH",AND(N2593&lt;= 21, S2593=10), "PRODUCTION")</f>
        <v>FLUSH</v>
      </c>
      <c r="U2593">
        <f>HOUR(datos_siembra[[#This Row],[Hour]])</f>
        <v>19</v>
      </c>
      <c r="V2593" cm="1">
        <f t="array" ref="V2593">_xlfn.IFS(AND(N2593&lt;= 22, S2593=9), N2593-7,AND(N2593&lt;= 28, S2593=9), N2593-25,AND(N2593&lt;= 30, S2593=9), N2593-28,AND(N2593&lt;= 11, S2593=10), N2593+2,AND(N2593&lt;= 21, S2593=10), N2593-11)</f>
        <v>6</v>
      </c>
    </row>
    <row r="2594" spans="1:22" x14ac:dyDescent="0.35">
      <c r="A2594" s="4">
        <v>45569</v>
      </c>
      <c r="B2594" s="5">
        <v>0.80141203703703701</v>
      </c>
      <c r="C2594">
        <v>66.8</v>
      </c>
      <c r="D2594">
        <v>67.099999999999994</v>
      </c>
      <c r="E2594">
        <v>65.2</v>
      </c>
      <c r="F2594">
        <v>64.3</v>
      </c>
      <c r="G2594">
        <v>0</v>
      </c>
      <c r="H2594">
        <v>0</v>
      </c>
      <c r="I2594">
        <v>0</v>
      </c>
      <c r="J2594">
        <v>0</v>
      </c>
      <c r="K2594">
        <v>62.6</v>
      </c>
      <c r="L2594">
        <v>62.4</v>
      </c>
      <c r="M2594">
        <v>65.83</v>
      </c>
      <c r="N2594">
        <v>4</v>
      </c>
      <c r="O2594">
        <v>3</v>
      </c>
      <c r="P2594">
        <f>MOD(DAY(datos_siembra[[#This Row],[Date]]),7)</f>
        <v>4</v>
      </c>
      <c r="Q2594" t="str">
        <f>CHOOSE(WEEKDAY(datos_siembra[[#This Row],[Date]],2),"L","M","X","J","V","S","D")</f>
        <v>V</v>
      </c>
      <c r="R2594">
        <f>WEEKNUM(datos_siembra[[#This Row],[Date]],2)-WEEKNUM(DATE(YEAR(datos_siembra[[#This Row],[Date]]),MONTH(datos_siembra[[#This Row],[Date]]),1))+1</f>
        <v>1</v>
      </c>
      <c r="S2594">
        <f>MONTH(datos_siembra[[#This Row],[Date]])</f>
        <v>10</v>
      </c>
      <c r="T2594" t="str" cm="1">
        <f t="array" ref="T2594">_xlfn.IFS(AND(N2594&lt;= 22, S2594=9), "SOWING",AND(N2594&lt;= 28, S2594=9), "COVERAGE",AND(N2594&lt;= 30, S2594=9), "FLUSH",AND(N2594&lt;= 11, S2594=10), "FLUSH",AND(N2594&lt;= 21, S2594=10), "PRODUCTION")</f>
        <v>FLUSH</v>
      </c>
      <c r="U2594">
        <f>HOUR(datos_siembra[[#This Row],[Hour]])</f>
        <v>19</v>
      </c>
      <c r="V2594" cm="1">
        <f t="array" ref="V2594">_xlfn.IFS(AND(N2594&lt;= 22, S2594=9), N2594-7,AND(N2594&lt;= 28, S2594=9), N2594-25,AND(N2594&lt;= 30, S2594=9), N2594-28,AND(N2594&lt;= 11, S2594=10), N2594+2,AND(N2594&lt;= 21, S2594=10), N2594-11)</f>
        <v>6</v>
      </c>
    </row>
    <row r="2595" spans="1:22" x14ac:dyDescent="0.35">
      <c r="A2595" s="4">
        <v>45569</v>
      </c>
      <c r="B2595" s="5">
        <v>0.80835648148148154</v>
      </c>
      <c r="C2595">
        <v>66.900000000000006</v>
      </c>
      <c r="D2595">
        <v>67.099999999999994</v>
      </c>
      <c r="E2595">
        <v>65.2</v>
      </c>
      <c r="F2595">
        <v>64.400000000000006</v>
      </c>
      <c r="G2595">
        <v>0</v>
      </c>
      <c r="H2595">
        <v>0</v>
      </c>
      <c r="I2595">
        <v>0</v>
      </c>
      <c r="J2595">
        <v>0</v>
      </c>
      <c r="K2595">
        <v>62.6</v>
      </c>
      <c r="L2595">
        <v>62.5</v>
      </c>
      <c r="M2595">
        <v>65.83</v>
      </c>
      <c r="N2595">
        <v>4</v>
      </c>
      <c r="O2595">
        <v>3</v>
      </c>
      <c r="P2595">
        <f>MOD(DAY(datos_siembra[[#This Row],[Date]]),7)</f>
        <v>4</v>
      </c>
      <c r="Q2595" t="str">
        <f>CHOOSE(WEEKDAY(datos_siembra[[#This Row],[Date]],2),"L","M","X","J","V","S","D")</f>
        <v>V</v>
      </c>
      <c r="R2595">
        <f>WEEKNUM(datos_siembra[[#This Row],[Date]],2)-WEEKNUM(DATE(YEAR(datos_siembra[[#This Row],[Date]]),MONTH(datos_siembra[[#This Row],[Date]]),1))+1</f>
        <v>1</v>
      </c>
      <c r="S2595">
        <f>MONTH(datos_siembra[[#This Row],[Date]])</f>
        <v>10</v>
      </c>
      <c r="T2595" t="str" cm="1">
        <f t="array" ref="T2595">_xlfn.IFS(AND(N2595&lt;= 22, S2595=9), "SOWING",AND(N2595&lt;= 28, S2595=9), "COVERAGE",AND(N2595&lt;= 30, S2595=9), "FLUSH",AND(N2595&lt;= 11, S2595=10), "FLUSH",AND(N2595&lt;= 21, S2595=10), "PRODUCTION")</f>
        <v>FLUSH</v>
      </c>
      <c r="U2595">
        <f>HOUR(datos_siembra[[#This Row],[Hour]])</f>
        <v>19</v>
      </c>
      <c r="V2595" cm="1">
        <f t="array" ref="V2595">_xlfn.IFS(AND(N2595&lt;= 22, S2595=9), N2595-7,AND(N2595&lt;= 28, S2595=9), N2595-25,AND(N2595&lt;= 30, S2595=9), N2595-28,AND(N2595&lt;= 11, S2595=10), N2595+2,AND(N2595&lt;= 21, S2595=10), N2595-11)</f>
        <v>6</v>
      </c>
    </row>
    <row r="2596" spans="1:22" x14ac:dyDescent="0.35">
      <c r="A2596" s="4">
        <v>45569</v>
      </c>
      <c r="B2596" s="5">
        <v>0.81530092592592596</v>
      </c>
      <c r="C2596">
        <v>66.900000000000006</v>
      </c>
      <c r="D2596">
        <v>67</v>
      </c>
      <c r="E2596">
        <v>65.2</v>
      </c>
      <c r="F2596">
        <v>64.400000000000006</v>
      </c>
      <c r="G2596">
        <v>0</v>
      </c>
      <c r="H2596">
        <v>0</v>
      </c>
      <c r="I2596">
        <v>0</v>
      </c>
      <c r="J2596">
        <v>0</v>
      </c>
      <c r="K2596">
        <v>62.6</v>
      </c>
      <c r="L2596">
        <v>62.5</v>
      </c>
      <c r="M2596">
        <v>65.86</v>
      </c>
      <c r="N2596">
        <v>4</v>
      </c>
      <c r="O2596">
        <v>3</v>
      </c>
      <c r="P2596">
        <f>MOD(DAY(datos_siembra[[#This Row],[Date]]),7)</f>
        <v>4</v>
      </c>
      <c r="Q2596" t="str">
        <f>CHOOSE(WEEKDAY(datos_siembra[[#This Row],[Date]],2),"L","M","X","J","V","S","D")</f>
        <v>V</v>
      </c>
      <c r="R2596">
        <f>WEEKNUM(datos_siembra[[#This Row],[Date]],2)-WEEKNUM(DATE(YEAR(datos_siembra[[#This Row],[Date]]),MONTH(datos_siembra[[#This Row],[Date]]),1))+1</f>
        <v>1</v>
      </c>
      <c r="S2596">
        <f>MONTH(datos_siembra[[#This Row],[Date]])</f>
        <v>10</v>
      </c>
      <c r="T2596" t="str" cm="1">
        <f t="array" ref="T2596">_xlfn.IFS(AND(N2596&lt;= 22, S2596=9), "SOWING",AND(N2596&lt;= 28, S2596=9), "COVERAGE",AND(N2596&lt;= 30, S2596=9), "FLUSH",AND(N2596&lt;= 11, S2596=10), "FLUSH",AND(N2596&lt;= 21, S2596=10), "PRODUCTION")</f>
        <v>FLUSH</v>
      </c>
      <c r="U2596">
        <f>HOUR(datos_siembra[[#This Row],[Hour]])</f>
        <v>19</v>
      </c>
      <c r="V2596" cm="1">
        <f t="array" ref="V2596">_xlfn.IFS(AND(N2596&lt;= 22, S2596=9), N2596-7,AND(N2596&lt;= 28, S2596=9), N2596-25,AND(N2596&lt;= 30, S2596=9), N2596-28,AND(N2596&lt;= 11, S2596=10), N2596+2,AND(N2596&lt;= 21, S2596=10), N2596-11)</f>
        <v>6</v>
      </c>
    </row>
    <row r="2597" spans="1:22" x14ac:dyDescent="0.35">
      <c r="A2597" s="4">
        <v>45569</v>
      </c>
      <c r="B2597" s="5">
        <v>0.82225694444444442</v>
      </c>
      <c r="C2597">
        <v>66.8</v>
      </c>
      <c r="D2597">
        <v>67.2</v>
      </c>
      <c r="E2597">
        <v>65.099999999999994</v>
      </c>
      <c r="F2597">
        <v>64.400000000000006</v>
      </c>
      <c r="G2597">
        <v>0</v>
      </c>
      <c r="H2597">
        <v>0</v>
      </c>
      <c r="I2597">
        <v>0</v>
      </c>
      <c r="J2597">
        <v>0</v>
      </c>
      <c r="K2597">
        <v>62.6</v>
      </c>
      <c r="L2597">
        <v>62.5</v>
      </c>
      <c r="M2597">
        <v>65.92</v>
      </c>
      <c r="N2597">
        <v>4</v>
      </c>
      <c r="O2597">
        <v>3</v>
      </c>
      <c r="P2597">
        <f>MOD(DAY(datos_siembra[[#This Row],[Date]]),7)</f>
        <v>4</v>
      </c>
      <c r="Q2597" t="str">
        <f>CHOOSE(WEEKDAY(datos_siembra[[#This Row],[Date]],2),"L","M","X","J","V","S","D")</f>
        <v>V</v>
      </c>
      <c r="R2597">
        <f>WEEKNUM(datos_siembra[[#This Row],[Date]],2)-WEEKNUM(DATE(YEAR(datos_siembra[[#This Row],[Date]]),MONTH(datos_siembra[[#This Row],[Date]]),1))+1</f>
        <v>1</v>
      </c>
      <c r="S2597">
        <f>MONTH(datos_siembra[[#This Row],[Date]])</f>
        <v>10</v>
      </c>
      <c r="T2597" t="str" cm="1">
        <f t="array" ref="T2597">_xlfn.IFS(AND(N2597&lt;= 22, S2597=9), "SOWING",AND(N2597&lt;= 28, S2597=9), "COVERAGE",AND(N2597&lt;= 30, S2597=9), "FLUSH",AND(N2597&lt;= 11, S2597=10), "FLUSH",AND(N2597&lt;= 21, S2597=10), "PRODUCTION")</f>
        <v>FLUSH</v>
      </c>
      <c r="U2597">
        <f>HOUR(datos_siembra[[#This Row],[Hour]])</f>
        <v>19</v>
      </c>
      <c r="V2597" cm="1">
        <f t="array" ref="V2597">_xlfn.IFS(AND(N2597&lt;= 22, S2597=9), N2597-7,AND(N2597&lt;= 28, S2597=9), N2597-25,AND(N2597&lt;= 30, S2597=9), N2597-28,AND(N2597&lt;= 11, S2597=10), N2597+2,AND(N2597&lt;= 21, S2597=10), N2597-11)</f>
        <v>6</v>
      </c>
    </row>
    <row r="2598" spans="1:22" x14ac:dyDescent="0.35">
      <c r="A2598" s="4">
        <v>45569</v>
      </c>
      <c r="B2598" s="5">
        <v>0.82920138888888884</v>
      </c>
      <c r="C2598">
        <v>66.900000000000006</v>
      </c>
      <c r="D2598">
        <v>67.099999999999994</v>
      </c>
      <c r="E2598">
        <v>65.2</v>
      </c>
      <c r="F2598">
        <v>64.3</v>
      </c>
      <c r="G2598">
        <v>0</v>
      </c>
      <c r="H2598">
        <v>0</v>
      </c>
      <c r="I2598">
        <v>0</v>
      </c>
      <c r="J2598">
        <v>0</v>
      </c>
      <c r="K2598">
        <v>62.6</v>
      </c>
      <c r="L2598">
        <v>62.4</v>
      </c>
      <c r="M2598">
        <v>65.83</v>
      </c>
      <c r="N2598">
        <v>4</v>
      </c>
      <c r="O2598">
        <v>3</v>
      </c>
      <c r="P2598">
        <f>MOD(DAY(datos_siembra[[#This Row],[Date]]),7)</f>
        <v>4</v>
      </c>
      <c r="Q2598" t="str">
        <f>CHOOSE(WEEKDAY(datos_siembra[[#This Row],[Date]],2),"L","M","X","J","V","S","D")</f>
        <v>V</v>
      </c>
      <c r="R2598">
        <f>WEEKNUM(datos_siembra[[#This Row],[Date]],2)-WEEKNUM(DATE(YEAR(datos_siembra[[#This Row],[Date]]),MONTH(datos_siembra[[#This Row],[Date]]),1))+1</f>
        <v>1</v>
      </c>
      <c r="S2598">
        <f>MONTH(datos_siembra[[#This Row],[Date]])</f>
        <v>10</v>
      </c>
      <c r="T2598" t="str" cm="1">
        <f t="array" ref="T2598">_xlfn.IFS(AND(N2598&lt;= 22, S2598=9), "SOWING",AND(N2598&lt;= 28, S2598=9), "COVERAGE",AND(N2598&lt;= 30, S2598=9), "FLUSH",AND(N2598&lt;= 11, S2598=10), "FLUSH",AND(N2598&lt;= 21, S2598=10), "PRODUCTION")</f>
        <v>FLUSH</v>
      </c>
      <c r="U2598">
        <f>HOUR(datos_siembra[[#This Row],[Hour]])</f>
        <v>19</v>
      </c>
      <c r="V2598" cm="1">
        <f t="array" ref="V2598">_xlfn.IFS(AND(N2598&lt;= 22, S2598=9), N2598-7,AND(N2598&lt;= 28, S2598=9), N2598-25,AND(N2598&lt;= 30, S2598=9), N2598-28,AND(N2598&lt;= 11, S2598=10), N2598+2,AND(N2598&lt;= 21, S2598=10), N2598-11)</f>
        <v>6</v>
      </c>
    </row>
    <row r="2599" spans="1:22" x14ac:dyDescent="0.35">
      <c r="A2599" s="4">
        <v>45569</v>
      </c>
      <c r="B2599" s="5">
        <v>0.83614583333333337</v>
      </c>
      <c r="C2599">
        <v>66.900000000000006</v>
      </c>
      <c r="D2599">
        <v>67.099999999999994</v>
      </c>
      <c r="E2599">
        <v>65.2</v>
      </c>
      <c r="F2599">
        <v>64.5</v>
      </c>
      <c r="G2599">
        <v>0</v>
      </c>
      <c r="H2599">
        <v>0</v>
      </c>
      <c r="I2599">
        <v>0</v>
      </c>
      <c r="J2599">
        <v>0</v>
      </c>
      <c r="K2599">
        <v>62.6</v>
      </c>
      <c r="L2599">
        <v>62.5</v>
      </c>
      <c r="M2599">
        <v>65.81</v>
      </c>
      <c r="N2599">
        <v>4</v>
      </c>
      <c r="O2599">
        <v>3</v>
      </c>
      <c r="P2599">
        <f>MOD(DAY(datos_siembra[[#This Row],[Date]]),7)</f>
        <v>4</v>
      </c>
      <c r="Q2599" t="str">
        <f>CHOOSE(WEEKDAY(datos_siembra[[#This Row],[Date]],2),"L","M","X","J","V","S","D")</f>
        <v>V</v>
      </c>
      <c r="R2599">
        <f>WEEKNUM(datos_siembra[[#This Row],[Date]],2)-WEEKNUM(DATE(YEAR(datos_siembra[[#This Row],[Date]]),MONTH(datos_siembra[[#This Row],[Date]]),1))+1</f>
        <v>1</v>
      </c>
      <c r="S2599">
        <f>MONTH(datos_siembra[[#This Row],[Date]])</f>
        <v>10</v>
      </c>
      <c r="T2599" t="str" cm="1">
        <f t="array" ref="T2599">_xlfn.IFS(AND(N2599&lt;= 22, S2599=9), "SOWING",AND(N2599&lt;= 28, S2599=9), "COVERAGE",AND(N2599&lt;= 30, S2599=9), "FLUSH",AND(N2599&lt;= 11, S2599=10), "FLUSH",AND(N2599&lt;= 21, S2599=10), "PRODUCTION")</f>
        <v>FLUSH</v>
      </c>
      <c r="U2599">
        <f>HOUR(datos_siembra[[#This Row],[Hour]])</f>
        <v>20</v>
      </c>
      <c r="V2599" cm="1">
        <f t="array" ref="V2599">_xlfn.IFS(AND(N2599&lt;= 22, S2599=9), N2599-7,AND(N2599&lt;= 28, S2599=9), N2599-25,AND(N2599&lt;= 30, S2599=9), N2599-28,AND(N2599&lt;= 11, S2599=10), N2599+2,AND(N2599&lt;= 21, S2599=10), N2599-11)</f>
        <v>6</v>
      </c>
    </row>
    <row r="2600" spans="1:22" x14ac:dyDescent="0.35">
      <c r="A2600" s="4">
        <v>45569</v>
      </c>
      <c r="B2600" s="5">
        <v>0.84309027777777779</v>
      </c>
      <c r="C2600">
        <v>66.900000000000006</v>
      </c>
      <c r="D2600">
        <v>67.099999999999994</v>
      </c>
      <c r="E2600">
        <v>65.3</v>
      </c>
      <c r="F2600">
        <v>64.5</v>
      </c>
      <c r="G2600">
        <v>0</v>
      </c>
      <c r="H2600">
        <v>0</v>
      </c>
      <c r="I2600">
        <v>0</v>
      </c>
      <c r="J2600">
        <v>0</v>
      </c>
      <c r="K2600">
        <v>62.6</v>
      </c>
      <c r="L2600">
        <v>62.5</v>
      </c>
      <c r="M2600">
        <v>65.92</v>
      </c>
      <c r="N2600">
        <v>4</v>
      </c>
      <c r="O2600">
        <v>3</v>
      </c>
      <c r="P2600">
        <f>MOD(DAY(datos_siembra[[#This Row],[Date]]),7)</f>
        <v>4</v>
      </c>
      <c r="Q2600" t="str">
        <f>CHOOSE(WEEKDAY(datos_siembra[[#This Row],[Date]],2),"L","M","X","J","V","S","D")</f>
        <v>V</v>
      </c>
      <c r="R2600">
        <f>WEEKNUM(datos_siembra[[#This Row],[Date]],2)-WEEKNUM(DATE(YEAR(datos_siembra[[#This Row],[Date]]),MONTH(datos_siembra[[#This Row],[Date]]),1))+1</f>
        <v>1</v>
      </c>
      <c r="S2600">
        <f>MONTH(datos_siembra[[#This Row],[Date]])</f>
        <v>10</v>
      </c>
      <c r="T2600" t="str" cm="1">
        <f t="array" ref="T2600">_xlfn.IFS(AND(N2600&lt;= 22, S2600=9), "SOWING",AND(N2600&lt;= 28, S2600=9), "COVERAGE",AND(N2600&lt;= 30, S2600=9), "FLUSH",AND(N2600&lt;= 11, S2600=10), "FLUSH",AND(N2600&lt;= 21, S2600=10), "PRODUCTION")</f>
        <v>FLUSH</v>
      </c>
      <c r="U2600">
        <f>HOUR(datos_siembra[[#This Row],[Hour]])</f>
        <v>20</v>
      </c>
      <c r="V2600" cm="1">
        <f t="array" ref="V2600">_xlfn.IFS(AND(N2600&lt;= 22, S2600=9), N2600-7,AND(N2600&lt;= 28, S2600=9), N2600-25,AND(N2600&lt;= 30, S2600=9), N2600-28,AND(N2600&lt;= 11, S2600=10), N2600+2,AND(N2600&lt;= 21, S2600=10), N2600-11)</f>
        <v>6</v>
      </c>
    </row>
    <row r="2601" spans="1:22" x14ac:dyDescent="0.35">
      <c r="A2601" s="4">
        <v>45569</v>
      </c>
      <c r="B2601" s="5">
        <v>0.85004629629629624</v>
      </c>
      <c r="C2601">
        <v>66.8</v>
      </c>
      <c r="D2601">
        <v>67.2</v>
      </c>
      <c r="E2601">
        <v>65.3</v>
      </c>
      <c r="F2601">
        <v>64.400000000000006</v>
      </c>
      <c r="G2601">
        <v>0</v>
      </c>
      <c r="H2601">
        <v>0</v>
      </c>
      <c r="I2601">
        <v>0</v>
      </c>
      <c r="J2601">
        <v>0</v>
      </c>
      <c r="K2601">
        <v>62.5</v>
      </c>
      <c r="L2601">
        <v>62.5</v>
      </c>
      <c r="M2601">
        <v>65.95</v>
      </c>
      <c r="N2601">
        <v>4</v>
      </c>
      <c r="O2601">
        <v>3</v>
      </c>
      <c r="P2601">
        <f>MOD(DAY(datos_siembra[[#This Row],[Date]]),7)</f>
        <v>4</v>
      </c>
      <c r="Q2601" t="str">
        <f>CHOOSE(WEEKDAY(datos_siembra[[#This Row],[Date]],2),"L","M","X","J","V","S","D")</f>
        <v>V</v>
      </c>
      <c r="R2601">
        <f>WEEKNUM(datos_siembra[[#This Row],[Date]],2)-WEEKNUM(DATE(YEAR(datos_siembra[[#This Row],[Date]]),MONTH(datos_siembra[[#This Row],[Date]]),1))+1</f>
        <v>1</v>
      </c>
      <c r="S2601">
        <f>MONTH(datos_siembra[[#This Row],[Date]])</f>
        <v>10</v>
      </c>
      <c r="T2601" t="str" cm="1">
        <f t="array" ref="T2601">_xlfn.IFS(AND(N2601&lt;= 22, S2601=9), "SOWING",AND(N2601&lt;= 28, S2601=9), "COVERAGE",AND(N2601&lt;= 30, S2601=9), "FLUSH",AND(N2601&lt;= 11, S2601=10), "FLUSH",AND(N2601&lt;= 21, S2601=10), "PRODUCTION")</f>
        <v>FLUSH</v>
      </c>
      <c r="U2601">
        <f>HOUR(datos_siembra[[#This Row],[Hour]])</f>
        <v>20</v>
      </c>
      <c r="V2601" cm="1">
        <f t="array" ref="V2601">_xlfn.IFS(AND(N2601&lt;= 22, S2601=9), N2601-7,AND(N2601&lt;= 28, S2601=9), N2601-25,AND(N2601&lt;= 30, S2601=9), N2601-28,AND(N2601&lt;= 11, S2601=10), N2601+2,AND(N2601&lt;= 21, S2601=10), N2601-11)</f>
        <v>6</v>
      </c>
    </row>
    <row r="2602" spans="1:22" x14ac:dyDescent="0.35">
      <c r="A2602" s="4">
        <v>45569</v>
      </c>
      <c r="B2602" s="5">
        <v>0.85699074074074078</v>
      </c>
      <c r="C2602">
        <v>66.8</v>
      </c>
      <c r="D2602">
        <v>67</v>
      </c>
      <c r="E2602">
        <v>65.2</v>
      </c>
      <c r="F2602">
        <v>64.5</v>
      </c>
      <c r="G2602">
        <v>0</v>
      </c>
      <c r="H2602">
        <v>0</v>
      </c>
      <c r="I2602">
        <v>0</v>
      </c>
      <c r="J2602">
        <v>0</v>
      </c>
      <c r="K2602">
        <v>62.6</v>
      </c>
      <c r="L2602">
        <v>62.5</v>
      </c>
      <c r="M2602">
        <v>65.95</v>
      </c>
      <c r="N2602">
        <v>4</v>
      </c>
      <c r="O2602">
        <v>3</v>
      </c>
      <c r="P2602">
        <f>MOD(DAY(datos_siembra[[#This Row],[Date]]),7)</f>
        <v>4</v>
      </c>
      <c r="Q2602" t="str">
        <f>CHOOSE(WEEKDAY(datos_siembra[[#This Row],[Date]],2),"L","M","X","J","V","S","D")</f>
        <v>V</v>
      </c>
      <c r="R2602">
        <f>WEEKNUM(datos_siembra[[#This Row],[Date]],2)-WEEKNUM(DATE(YEAR(datos_siembra[[#This Row],[Date]]),MONTH(datos_siembra[[#This Row],[Date]]),1))+1</f>
        <v>1</v>
      </c>
      <c r="S2602">
        <f>MONTH(datos_siembra[[#This Row],[Date]])</f>
        <v>10</v>
      </c>
      <c r="T2602" t="str" cm="1">
        <f t="array" ref="T2602">_xlfn.IFS(AND(N2602&lt;= 22, S2602=9), "SOWING",AND(N2602&lt;= 28, S2602=9), "COVERAGE",AND(N2602&lt;= 30, S2602=9), "FLUSH",AND(N2602&lt;= 11, S2602=10), "FLUSH",AND(N2602&lt;= 21, S2602=10), "PRODUCTION")</f>
        <v>FLUSH</v>
      </c>
      <c r="U2602">
        <f>HOUR(datos_siembra[[#This Row],[Hour]])</f>
        <v>20</v>
      </c>
      <c r="V2602" cm="1">
        <f t="array" ref="V2602">_xlfn.IFS(AND(N2602&lt;= 22, S2602=9), N2602-7,AND(N2602&lt;= 28, S2602=9), N2602-25,AND(N2602&lt;= 30, S2602=9), N2602-28,AND(N2602&lt;= 11, S2602=10), N2602+2,AND(N2602&lt;= 21, S2602=10), N2602-11)</f>
        <v>6</v>
      </c>
    </row>
    <row r="2603" spans="1:22" x14ac:dyDescent="0.35">
      <c r="A2603" s="4">
        <v>45569</v>
      </c>
      <c r="B2603" s="5">
        <v>0.86393518518518519</v>
      </c>
      <c r="C2603">
        <v>66.8</v>
      </c>
      <c r="D2603">
        <v>67.2</v>
      </c>
      <c r="E2603">
        <v>65.400000000000006</v>
      </c>
      <c r="F2603">
        <v>64.5</v>
      </c>
      <c r="G2603">
        <v>0</v>
      </c>
      <c r="H2603">
        <v>0</v>
      </c>
      <c r="I2603">
        <v>0</v>
      </c>
      <c r="J2603">
        <v>0</v>
      </c>
      <c r="K2603">
        <v>62.5</v>
      </c>
      <c r="L2603">
        <v>62.5</v>
      </c>
      <c r="M2603">
        <v>65.95</v>
      </c>
      <c r="N2603">
        <v>4</v>
      </c>
      <c r="O2603">
        <v>3</v>
      </c>
      <c r="P2603">
        <f>MOD(DAY(datos_siembra[[#This Row],[Date]]),7)</f>
        <v>4</v>
      </c>
      <c r="Q2603" t="str">
        <f>CHOOSE(WEEKDAY(datos_siembra[[#This Row],[Date]],2),"L","M","X","J","V","S","D")</f>
        <v>V</v>
      </c>
      <c r="R2603">
        <f>WEEKNUM(datos_siembra[[#This Row],[Date]],2)-WEEKNUM(DATE(YEAR(datos_siembra[[#This Row],[Date]]),MONTH(datos_siembra[[#This Row],[Date]]),1))+1</f>
        <v>1</v>
      </c>
      <c r="S2603">
        <f>MONTH(datos_siembra[[#This Row],[Date]])</f>
        <v>10</v>
      </c>
      <c r="T2603" t="str" cm="1">
        <f t="array" ref="T2603">_xlfn.IFS(AND(N2603&lt;= 22, S2603=9), "SOWING",AND(N2603&lt;= 28, S2603=9), "COVERAGE",AND(N2603&lt;= 30, S2603=9), "FLUSH",AND(N2603&lt;= 11, S2603=10), "FLUSH",AND(N2603&lt;= 21, S2603=10), "PRODUCTION")</f>
        <v>FLUSH</v>
      </c>
      <c r="U2603">
        <f>HOUR(datos_siembra[[#This Row],[Hour]])</f>
        <v>20</v>
      </c>
      <c r="V2603" cm="1">
        <f t="array" ref="V2603">_xlfn.IFS(AND(N2603&lt;= 22, S2603=9), N2603-7,AND(N2603&lt;= 28, S2603=9), N2603-25,AND(N2603&lt;= 30, S2603=9), N2603-28,AND(N2603&lt;= 11, S2603=10), N2603+2,AND(N2603&lt;= 21, S2603=10), N2603-11)</f>
        <v>6</v>
      </c>
    </row>
    <row r="2604" spans="1:22" x14ac:dyDescent="0.35">
      <c r="A2604" s="4">
        <v>45569</v>
      </c>
      <c r="B2604" s="5">
        <v>0.87089120370370365</v>
      </c>
      <c r="C2604">
        <v>66.900000000000006</v>
      </c>
      <c r="D2604">
        <v>67.099999999999994</v>
      </c>
      <c r="E2604">
        <v>65.3</v>
      </c>
      <c r="F2604">
        <v>64.5</v>
      </c>
      <c r="G2604">
        <v>0</v>
      </c>
      <c r="H2604">
        <v>0</v>
      </c>
      <c r="I2604">
        <v>0</v>
      </c>
      <c r="J2604">
        <v>0</v>
      </c>
      <c r="K2604">
        <v>62.5</v>
      </c>
      <c r="L2604">
        <v>62.4</v>
      </c>
      <c r="M2604">
        <v>65.95</v>
      </c>
      <c r="N2604">
        <v>4</v>
      </c>
      <c r="O2604">
        <v>3</v>
      </c>
      <c r="P2604">
        <f>MOD(DAY(datos_siembra[[#This Row],[Date]]),7)</f>
        <v>4</v>
      </c>
      <c r="Q2604" t="str">
        <f>CHOOSE(WEEKDAY(datos_siembra[[#This Row],[Date]],2),"L","M","X","J","V","S","D")</f>
        <v>V</v>
      </c>
      <c r="R2604">
        <f>WEEKNUM(datos_siembra[[#This Row],[Date]],2)-WEEKNUM(DATE(YEAR(datos_siembra[[#This Row],[Date]]),MONTH(datos_siembra[[#This Row],[Date]]),1))+1</f>
        <v>1</v>
      </c>
      <c r="S2604">
        <f>MONTH(datos_siembra[[#This Row],[Date]])</f>
        <v>10</v>
      </c>
      <c r="T2604" t="str" cm="1">
        <f t="array" ref="T2604">_xlfn.IFS(AND(N2604&lt;= 22, S2604=9), "SOWING",AND(N2604&lt;= 28, S2604=9), "COVERAGE",AND(N2604&lt;= 30, S2604=9), "FLUSH",AND(N2604&lt;= 11, S2604=10), "FLUSH",AND(N2604&lt;= 21, S2604=10), "PRODUCTION")</f>
        <v>FLUSH</v>
      </c>
      <c r="U2604">
        <f>HOUR(datos_siembra[[#This Row],[Hour]])</f>
        <v>20</v>
      </c>
      <c r="V2604" cm="1">
        <f t="array" ref="V2604">_xlfn.IFS(AND(N2604&lt;= 22, S2604=9), N2604-7,AND(N2604&lt;= 28, S2604=9), N2604-25,AND(N2604&lt;= 30, S2604=9), N2604-28,AND(N2604&lt;= 11, S2604=10), N2604+2,AND(N2604&lt;= 21, S2604=10), N2604-11)</f>
        <v>6</v>
      </c>
    </row>
    <row r="2605" spans="1:22" x14ac:dyDescent="0.35">
      <c r="A2605" s="4">
        <v>45569</v>
      </c>
      <c r="B2605" s="5">
        <v>0.87783564814814818</v>
      </c>
      <c r="C2605">
        <v>66.900000000000006</v>
      </c>
      <c r="D2605">
        <v>67.2</v>
      </c>
      <c r="E2605">
        <v>65.3</v>
      </c>
      <c r="F2605">
        <v>64.400000000000006</v>
      </c>
      <c r="G2605">
        <v>0</v>
      </c>
      <c r="H2605">
        <v>0</v>
      </c>
      <c r="I2605">
        <v>0</v>
      </c>
      <c r="J2605">
        <v>0</v>
      </c>
      <c r="K2605">
        <v>62.5</v>
      </c>
      <c r="L2605">
        <v>62.5</v>
      </c>
      <c r="M2605">
        <v>65.95</v>
      </c>
      <c r="N2605">
        <v>4</v>
      </c>
      <c r="O2605">
        <v>3</v>
      </c>
      <c r="P2605">
        <f>MOD(DAY(datos_siembra[[#This Row],[Date]]),7)</f>
        <v>4</v>
      </c>
      <c r="Q2605" t="str">
        <f>CHOOSE(WEEKDAY(datos_siembra[[#This Row],[Date]],2),"L","M","X","J","V","S","D")</f>
        <v>V</v>
      </c>
      <c r="R2605">
        <f>WEEKNUM(datos_siembra[[#This Row],[Date]],2)-WEEKNUM(DATE(YEAR(datos_siembra[[#This Row],[Date]]),MONTH(datos_siembra[[#This Row],[Date]]),1))+1</f>
        <v>1</v>
      </c>
      <c r="S2605">
        <f>MONTH(datos_siembra[[#This Row],[Date]])</f>
        <v>10</v>
      </c>
      <c r="T2605" t="str" cm="1">
        <f t="array" ref="T2605">_xlfn.IFS(AND(N2605&lt;= 22, S2605=9), "SOWING",AND(N2605&lt;= 28, S2605=9), "COVERAGE",AND(N2605&lt;= 30, S2605=9), "FLUSH",AND(N2605&lt;= 11, S2605=10), "FLUSH",AND(N2605&lt;= 21, S2605=10), "PRODUCTION")</f>
        <v>FLUSH</v>
      </c>
      <c r="U2605">
        <f>HOUR(datos_siembra[[#This Row],[Hour]])</f>
        <v>21</v>
      </c>
      <c r="V2605" cm="1">
        <f t="array" ref="V2605">_xlfn.IFS(AND(N2605&lt;= 22, S2605=9), N2605-7,AND(N2605&lt;= 28, S2605=9), N2605-25,AND(N2605&lt;= 30, S2605=9), N2605-28,AND(N2605&lt;= 11, S2605=10), N2605+2,AND(N2605&lt;= 21, S2605=10), N2605-11)</f>
        <v>6</v>
      </c>
    </row>
    <row r="2606" spans="1:22" x14ac:dyDescent="0.35">
      <c r="A2606" s="4">
        <v>45569</v>
      </c>
      <c r="B2606" s="5">
        <v>0.8847800925925926</v>
      </c>
      <c r="C2606">
        <v>66.900000000000006</v>
      </c>
      <c r="D2606">
        <v>67.099999999999994</v>
      </c>
      <c r="E2606">
        <v>65.400000000000006</v>
      </c>
      <c r="F2606">
        <v>64.400000000000006</v>
      </c>
      <c r="G2606">
        <v>0</v>
      </c>
      <c r="H2606">
        <v>0</v>
      </c>
      <c r="I2606">
        <v>0</v>
      </c>
      <c r="J2606">
        <v>0</v>
      </c>
      <c r="K2606">
        <v>62.5</v>
      </c>
      <c r="L2606">
        <v>62.5</v>
      </c>
      <c r="M2606">
        <v>65.92</v>
      </c>
      <c r="N2606">
        <v>4</v>
      </c>
      <c r="O2606">
        <v>3</v>
      </c>
      <c r="P2606">
        <f>MOD(DAY(datos_siembra[[#This Row],[Date]]),7)</f>
        <v>4</v>
      </c>
      <c r="Q2606" t="str">
        <f>CHOOSE(WEEKDAY(datos_siembra[[#This Row],[Date]],2),"L","M","X","J","V","S","D")</f>
        <v>V</v>
      </c>
      <c r="R2606">
        <f>WEEKNUM(datos_siembra[[#This Row],[Date]],2)-WEEKNUM(DATE(YEAR(datos_siembra[[#This Row],[Date]]),MONTH(datos_siembra[[#This Row],[Date]]),1))+1</f>
        <v>1</v>
      </c>
      <c r="S2606">
        <f>MONTH(datos_siembra[[#This Row],[Date]])</f>
        <v>10</v>
      </c>
      <c r="T2606" t="str" cm="1">
        <f t="array" ref="T2606">_xlfn.IFS(AND(N2606&lt;= 22, S2606=9), "SOWING",AND(N2606&lt;= 28, S2606=9), "COVERAGE",AND(N2606&lt;= 30, S2606=9), "FLUSH",AND(N2606&lt;= 11, S2606=10), "FLUSH",AND(N2606&lt;= 21, S2606=10), "PRODUCTION")</f>
        <v>FLUSH</v>
      </c>
      <c r="U2606">
        <f>HOUR(datos_siembra[[#This Row],[Hour]])</f>
        <v>21</v>
      </c>
      <c r="V2606" cm="1">
        <f t="array" ref="V2606">_xlfn.IFS(AND(N2606&lt;= 22, S2606=9), N2606-7,AND(N2606&lt;= 28, S2606=9), N2606-25,AND(N2606&lt;= 30, S2606=9), N2606-28,AND(N2606&lt;= 11, S2606=10), N2606+2,AND(N2606&lt;= 21, S2606=10), N2606-11)</f>
        <v>6</v>
      </c>
    </row>
    <row r="2607" spans="1:22" x14ac:dyDescent="0.35">
      <c r="A2607" s="4">
        <v>45569</v>
      </c>
      <c r="B2607" s="5">
        <v>0.89172453703703702</v>
      </c>
      <c r="C2607">
        <v>66.8</v>
      </c>
      <c r="D2607">
        <v>67.099999999999994</v>
      </c>
      <c r="E2607">
        <v>65.3</v>
      </c>
      <c r="F2607">
        <v>64.5</v>
      </c>
      <c r="G2607">
        <v>0</v>
      </c>
      <c r="H2607">
        <v>0</v>
      </c>
      <c r="I2607">
        <v>0</v>
      </c>
      <c r="J2607">
        <v>0</v>
      </c>
      <c r="K2607">
        <v>62.5</v>
      </c>
      <c r="L2607">
        <v>62.6</v>
      </c>
      <c r="M2607">
        <v>65.89</v>
      </c>
      <c r="N2607">
        <v>4</v>
      </c>
      <c r="O2607">
        <v>3</v>
      </c>
      <c r="P2607">
        <f>MOD(DAY(datos_siembra[[#This Row],[Date]]),7)</f>
        <v>4</v>
      </c>
      <c r="Q2607" t="str">
        <f>CHOOSE(WEEKDAY(datos_siembra[[#This Row],[Date]],2),"L","M","X","J","V","S","D")</f>
        <v>V</v>
      </c>
      <c r="R2607">
        <f>WEEKNUM(datos_siembra[[#This Row],[Date]],2)-WEEKNUM(DATE(YEAR(datos_siembra[[#This Row],[Date]]),MONTH(datos_siembra[[#This Row],[Date]]),1))+1</f>
        <v>1</v>
      </c>
      <c r="S2607">
        <f>MONTH(datos_siembra[[#This Row],[Date]])</f>
        <v>10</v>
      </c>
      <c r="T2607" t="str" cm="1">
        <f t="array" ref="T2607">_xlfn.IFS(AND(N2607&lt;= 22, S2607=9), "SOWING",AND(N2607&lt;= 28, S2607=9), "COVERAGE",AND(N2607&lt;= 30, S2607=9), "FLUSH",AND(N2607&lt;= 11, S2607=10), "FLUSH",AND(N2607&lt;= 21, S2607=10), "PRODUCTION")</f>
        <v>FLUSH</v>
      </c>
      <c r="U2607">
        <f>HOUR(datos_siembra[[#This Row],[Hour]])</f>
        <v>21</v>
      </c>
      <c r="V2607" cm="1">
        <f t="array" ref="V2607">_xlfn.IFS(AND(N2607&lt;= 22, S2607=9), N2607-7,AND(N2607&lt;= 28, S2607=9), N2607-25,AND(N2607&lt;= 30, S2607=9), N2607-28,AND(N2607&lt;= 11, S2607=10), N2607+2,AND(N2607&lt;= 21, S2607=10), N2607-11)</f>
        <v>6</v>
      </c>
    </row>
    <row r="2608" spans="1:22" x14ac:dyDescent="0.35">
      <c r="A2608" s="4">
        <v>45569</v>
      </c>
      <c r="B2608" s="5">
        <v>0.89868055555555559</v>
      </c>
      <c r="C2608">
        <v>66.900000000000006</v>
      </c>
      <c r="D2608">
        <v>67</v>
      </c>
      <c r="E2608">
        <v>65.2</v>
      </c>
      <c r="F2608">
        <v>64.599999999999994</v>
      </c>
      <c r="G2608">
        <v>0</v>
      </c>
      <c r="H2608">
        <v>0</v>
      </c>
      <c r="I2608">
        <v>0</v>
      </c>
      <c r="J2608">
        <v>0</v>
      </c>
      <c r="K2608">
        <v>62.5</v>
      </c>
      <c r="L2608">
        <v>62.5</v>
      </c>
      <c r="M2608">
        <v>65.95</v>
      </c>
      <c r="N2608">
        <v>4</v>
      </c>
      <c r="O2608">
        <v>3</v>
      </c>
      <c r="P2608">
        <f>MOD(DAY(datos_siembra[[#This Row],[Date]]),7)</f>
        <v>4</v>
      </c>
      <c r="Q2608" t="str">
        <f>CHOOSE(WEEKDAY(datos_siembra[[#This Row],[Date]],2),"L","M","X","J","V","S","D")</f>
        <v>V</v>
      </c>
      <c r="R2608">
        <f>WEEKNUM(datos_siembra[[#This Row],[Date]],2)-WEEKNUM(DATE(YEAR(datos_siembra[[#This Row],[Date]]),MONTH(datos_siembra[[#This Row],[Date]]),1))+1</f>
        <v>1</v>
      </c>
      <c r="S2608">
        <f>MONTH(datos_siembra[[#This Row],[Date]])</f>
        <v>10</v>
      </c>
      <c r="T2608" t="str" cm="1">
        <f t="array" ref="T2608">_xlfn.IFS(AND(N2608&lt;= 22, S2608=9), "SOWING",AND(N2608&lt;= 28, S2608=9), "COVERAGE",AND(N2608&lt;= 30, S2608=9), "FLUSH",AND(N2608&lt;= 11, S2608=10), "FLUSH",AND(N2608&lt;= 21, S2608=10), "PRODUCTION")</f>
        <v>FLUSH</v>
      </c>
      <c r="U2608">
        <f>HOUR(datos_siembra[[#This Row],[Hour]])</f>
        <v>21</v>
      </c>
      <c r="V2608" cm="1">
        <f t="array" ref="V2608">_xlfn.IFS(AND(N2608&lt;= 22, S2608=9), N2608-7,AND(N2608&lt;= 28, S2608=9), N2608-25,AND(N2608&lt;= 30, S2608=9), N2608-28,AND(N2608&lt;= 11, S2608=10), N2608+2,AND(N2608&lt;= 21, S2608=10), N2608-11)</f>
        <v>6</v>
      </c>
    </row>
    <row r="2609" spans="1:22" x14ac:dyDescent="0.35">
      <c r="A2609" s="4">
        <v>45569</v>
      </c>
      <c r="B2609" s="5">
        <v>0.90562500000000001</v>
      </c>
      <c r="C2609">
        <v>66.8</v>
      </c>
      <c r="D2609">
        <v>67</v>
      </c>
      <c r="E2609">
        <v>65.3</v>
      </c>
      <c r="F2609">
        <v>64.599999999999994</v>
      </c>
      <c r="G2609">
        <v>0</v>
      </c>
      <c r="H2609">
        <v>0</v>
      </c>
      <c r="I2609">
        <v>0</v>
      </c>
      <c r="J2609">
        <v>0</v>
      </c>
      <c r="K2609">
        <v>62.5</v>
      </c>
      <c r="L2609">
        <v>62.5</v>
      </c>
      <c r="M2609">
        <v>65.97</v>
      </c>
      <c r="N2609">
        <v>4</v>
      </c>
      <c r="O2609">
        <v>3</v>
      </c>
      <c r="P2609">
        <f>MOD(DAY(datos_siembra[[#This Row],[Date]]),7)</f>
        <v>4</v>
      </c>
      <c r="Q2609" t="str">
        <f>CHOOSE(WEEKDAY(datos_siembra[[#This Row],[Date]],2),"L","M","X","J","V","S","D")</f>
        <v>V</v>
      </c>
      <c r="R2609">
        <f>WEEKNUM(datos_siembra[[#This Row],[Date]],2)-WEEKNUM(DATE(YEAR(datos_siembra[[#This Row],[Date]]),MONTH(datos_siembra[[#This Row],[Date]]),1))+1</f>
        <v>1</v>
      </c>
      <c r="S2609">
        <f>MONTH(datos_siembra[[#This Row],[Date]])</f>
        <v>10</v>
      </c>
      <c r="T2609" t="str" cm="1">
        <f t="array" ref="T2609">_xlfn.IFS(AND(N2609&lt;= 22, S2609=9), "SOWING",AND(N2609&lt;= 28, S2609=9), "COVERAGE",AND(N2609&lt;= 30, S2609=9), "FLUSH",AND(N2609&lt;= 11, S2609=10), "FLUSH",AND(N2609&lt;= 21, S2609=10), "PRODUCTION")</f>
        <v>FLUSH</v>
      </c>
      <c r="U2609">
        <f>HOUR(datos_siembra[[#This Row],[Hour]])</f>
        <v>21</v>
      </c>
      <c r="V2609" cm="1">
        <f t="array" ref="V2609">_xlfn.IFS(AND(N2609&lt;= 22, S2609=9), N2609-7,AND(N2609&lt;= 28, S2609=9), N2609-25,AND(N2609&lt;= 30, S2609=9), N2609-28,AND(N2609&lt;= 11, S2609=10), N2609+2,AND(N2609&lt;= 21, S2609=10), N2609-11)</f>
        <v>6</v>
      </c>
    </row>
    <row r="2610" spans="1:22" x14ac:dyDescent="0.35">
      <c r="A2610" s="4">
        <v>45569</v>
      </c>
      <c r="B2610" s="5">
        <v>0.91256944444444443</v>
      </c>
      <c r="C2610">
        <v>66.900000000000006</v>
      </c>
      <c r="D2610">
        <v>67.099999999999994</v>
      </c>
      <c r="E2610">
        <v>65.3</v>
      </c>
      <c r="F2610">
        <v>64.5</v>
      </c>
      <c r="G2610">
        <v>0</v>
      </c>
      <c r="H2610">
        <v>0</v>
      </c>
      <c r="I2610">
        <v>0</v>
      </c>
      <c r="J2610">
        <v>0</v>
      </c>
      <c r="K2610">
        <v>62.5</v>
      </c>
      <c r="L2610">
        <v>62.5</v>
      </c>
      <c r="M2610">
        <v>65.98</v>
      </c>
      <c r="N2610">
        <v>4</v>
      </c>
      <c r="O2610">
        <v>3</v>
      </c>
      <c r="P2610">
        <f>MOD(DAY(datos_siembra[[#This Row],[Date]]),7)</f>
        <v>4</v>
      </c>
      <c r="Q2610" t="str">
        <f>CHOOSE(WEEKDAY(datos_siembra[[#This Row],[Date]],2),"L","M","X","J","V","S","D")</f>
        <v>V</v>
      </c>
      <c r="R2610">
        <f>WEEKNUM(datos_siembra[[#This Row],[Date]],2)-WEEKNUM(DATE(YEAR(datos_siembra[[#This Row],[Date]]),MONTH(datos_siembra[[#This Row],[Date]]),1))+1</f>
        <v>1</v>
      </c>
      <c r="S2610">
        <f>MONTH(datos_siembra[[#This Row],[Date]])</f>
        <v>10</v>
      </c>
      <c r="T2610" t="str" cm="1">
        <f t="array" ref="T2610">_xlfn.IFS(AND(N2610&lt;= 22, S2610=9), "SOWING",AND(N2610&lt;= 28, S2610=9), "COVERAGE",AND(N2610&lt;= 30, S2610=9), "FLUSH",AND(N2610&lt;= 11, S2610=10), "FLUSH",AND(N2610&lt;= 21, S2610=10), "PRODUCTION")</f>
        <v>FLUSH</v>
      </c>
      <c r="U2610">
        <f>HOUR(datos_siembra[[#This Row],[Hour]])</f>
        <v>21</v>
      </c>
      <c r="V2610" cm="1">
        <f t="array" ref="V2610">_xlfn.IFS(AND(N2610&lt;= 22, S2610=9), N2610-7,AND(N2610&lt;= 28, S2610=9), N2610-25,AND(N2610&lt;= 30, S2610=9), N2610-28,AND(N2610&lt;= 11, S2610=10), N2610+2,AND(N2610&lt;= 21, S2610=10), N2610-11)</f>
        <v>6</v>
      </c>
    </row>
    <row r="2611" spans="1:22" x14ac:dyDescent="0.35">
      <c r="A2611" s="4">
        <v>45569</v>
      </c>
      <c r="B2611" s="5">
        <v>0.91951388888888885</v>
      </c>
      <c r="C2611">
        <v>66.8</v>
      </c>
      <c r="D2611">
        <v>67.099999999999994</v>
      </c>
      <c r="E2611">
        <v>65.2</v>
      </c>
      <c r="F2611">
        <v>64.5</v>
      </c>
      <c r="G2611">
        <v>0</v>
      </c>
      <c r="H2611">
        <v>0</v>
      </c>
      <c r="I2611">
        <v>0</v>
      </c>
      <c r="J2611">
        <v>0</v>
      </c>
      <c r="K2611">
        <v>62.5</v>
      </c>
      <c r="L2611">
        <v>62.5</v>
      </c>
      <c r="M2611">
        <v>65.92</v>
      </c>
      <c r="N2611">
        <v>4</v>
      </c>
      <c r="O2611">
        <v>3</v>
      </c>
      <c r="P2611">
        <f>MOD(DAY(datos_siembra[[#This Row],[Date]]),7)</f>
        <v>4</v>
      </c>
      <c r="Q2611" t="str">
        <f>CHOOSE(WEEKDAY(datos_siembra[[#This Row],[Date]],2),"L","M","X","J","V","S","D")</f>
        <v>V</v>
      </c>
      <c r="R2611">
        <f>WEEKNUM(datos_siembra[[#This Row],[Date]],2)-WEEKNUM(DATE(YEAR(datos_siembra[[#This Row],[Date]]),MONTH(datos_siembra[[#This Row],[Date]]),1))+1</f>
        <v>1</v>
      </c>
      <c r="S2611">
        <f>MONTH(datos_siembra[[#This Row],[Date]])</f>
        <v>10</v>
      </c>
      <c r="T2611" t="str" cm="1">
        <f t="array" ref="T2611">_xlfn.IFS(AND(N2611&lt;= 22, S2611=9), "SOWING",AND(N2611&lt;= 28, S2611=9), "COVERAGE",AND(N2611&lt;= 30, S2611=9), "FLUSH",AND(N2611&lt;= 11, S2611=10), "FLUSH",AND(N2611&lt;= 21, S2611=10), "PRODUCTION")</f>
        <v>FLUSH</v>
      </c>
      <c r="U2611">
        <f>HOUR(datos_siembra[[#This Row],[Hour]])</f>
        <v>22</v>
      </c>
      <c r="V2611" cm="1">
        <f t="array" ref="V2611">_xlfn.IFS(AND(N2611&lt;= 22, S2611=9), N2611-7,AND(N2611&lt;= 28, S2611=9), N2611-25,AND(N2611&lt;= 30, S2611=9), N2611-28,AND(N2611&lt;= 11, S2611=10), N2611+2,AND(N2611&lt;= 21, S2611=10), N2611-11)</f>
        <v>6</v>
      </c>
    </row>
    <row r="2612" spans="1:22" x14ac:dyDescent="0.35">
      <c r="A2612" s="4">
        <v>45569</v>
      </c>
      <c r="B2612" s="5">
        <v>0.92646990740740742</v>
      </c>
      <c r="C2612">
        <v>66.900000000000006</v>
      </c>
      <c r="D2612">
        <v>67.099999999999994</v>
      </c>
      <c r="E2612">
        <v>65.3</v>
      </c>
      <c r="F2612">
        <v>64.7</v>
      </c>
      <c r="G2612">
        <v>0</v>
      </c>
      <c r="H2612">
        <v>0</v>
      </c>
      <c r="I2612">
        <v>0</v>
      </c>
      <c r="J2612">
        <v>0</v>
      </c>
      <c r="K2612">
        <v>62.5</v>
      </c>
      <c r="L2612">
        <v>62.4</v>
      </c>
      <c r="M2612">
        <v>66</v>
      </c>
      <c r="N2612">
        <v>4</v>
      </c>
      <c r="O2612">
        <v>3</v>
      </c>
      <c r="P2612">
        <f>MOD(DAY(datos_siembra[[#This Row],[Date]]),7)</f>
        <v>4</v>
      </c>
      <c r="Q2612" t="str">
        <f>CHOOSE(WEEKDAY(datos_siembra[[#This Row],[Date]],2),"L","M","X","J","V","S","D")</f>
        <v>V</v>
      </c>
      <c r="R2612">
        <f>WEEKNUM(datos_siembra[[#This Row],[Date]],2)-WEEKNUM(DATE(YEAR(datos_siembra[[#This Row],[Date]]),MONTH(datos_siembra[[#This Row],[Date]]),1))+1</f>
        <v>1</v>
      </c>
      <c r="S2612">
        <f>MONTH(datos_siembra[[#This Row],[Date]])</f>
        <v>10</v>
      </c>
      <c r="T2612" t="str" cm="1">
        <f t="array" ref="T2612">_xlfn.IFS(AND(N2612&lt;= 22, S2612=9), "SOWING",AND(N2612&lt;= 28, S2612=9), "COVERAGE",AND(N2612&lt;= 30, S2612=9), "FLUSH",AND(N2612&lt;= 11, S2612=10), "FLUSH",AND(N2612&lt;= 21, S2612=10), "PRODUCTION")</f>
        <v>FLUSH</v>
      </c>
      <c r="U2612">
        <f>HOUR(datos_siembra[[#This Row],[Hour]])</f>
        <v>22</v>
      </c>
      <c r="V2612" cm="1">
        <f t="array" ref="V2612">_xlfn.IFS(AND(N2612&lt;= 22, S2612=9), N2612-7,AND(N2612&lt;= 28, S2612=9), N2612-25,AND(N2612&lt;= 30, S2612=9), N2612-28,AND(N2612&lt;= 11, S2612=10), N2612+2,AND(N2612&lt;= 21, S2612=10), N2612-11)</f>
        <v>6</v>
      </c>
    </row>
    <row r="2613" spans="1:22" x14ac:dyDescent="0.35">
      <c r="A2613" s="4">
        <v>45569</v>
      </c>
      <c r="B2613" s="5">
        <v>0.93341435185185184</v>
      </c>
      <c r="C2613">
        <v>66.599999999999994</v>
      </c>
      <c r="D2613">
        <v>67</v>
      </c>
      <c r="E2613">
        <v>65.3</v>
      </c>
      <c r="F2613">
        <v>64.599999999999994</v>
      </c>
      <c r="G2613">
        <v>0</v>
      </c>
      <c r="H2613">
        <v>0</v>
      </c>
      <c r="I2613">
        <v>0</v>
      </c>
      <c r="J2613">
        <v>0</v>
      </c>
      <c r="K2613">
        <v>62.5</v>
      </c>
      <c r="L2613">
        <v>62.4</v>
      </c>
      <c r="M2613">
        <v>66.03</v>
      </c>
      <c r="N2613">
        <v>4</v>
      </c>
      <c r="O2613">
        <v>3</v>
      </c>
      <c r="P2613">
        <f>MOD(DAY(datos_siembra[[#This Row],[Date]]),7)</f>
        <v>4</v>
      </c>
      <c r="Q2613" t="str">
        <f>CHOOSE(WEEKDAY(datos_siembra[[#This Row],[Date]],2),"L","M","X","J","V","S","D")</f>
        <v>V</v>
      </c>
      <c r="R2613">
        <f>WEEKNUM(datos_siembra[[#This Row],[Date]],2)-WEEKNUM(DATE(YEAR(datos_siembra[[#This Row],[Date]]),MONTH(datos_siembra[[#This Row],[Date]]),1))+1</f>
        <v>1</v>
      </c>
      <c r="S2613">
        <f>MONTH(datos_siembra[[#This Row],[Date]])</f>
        <v>10</v>
      </c>
      <c r="T2613" t="str" cm="1">
        <f t="array" ref="T2613">_xlfn.IFS(AND(N2613&lt;= 22, S2613=9), "SOWING",AND(N2613&lt;= 28, S2613=9), "COVERAGE",AND(N2613&lt;= 30, S2613=9), "FLUSH",AND(N2613&lt;= 11, S2613=10), "FLUSH",AND(N2613&lt;= 21, S2613=10), "PRODUCTION")</f>
        <v>FLUSH</v>
      </c>
      <c r="U2613">
        <f>HOUR(datos_siembra[[#This Row],[Hour]])</f>
        <v>22</v>
      </c>
      <c r="V2613" cm="1">
        <f t="array" ref="V2613">_xlfn.IFS(AND(N2613&lt;= 22, S2613=9), N2613-7,AND(N2613&lt;= 28, S2613=9), N2613-25,AND(N2613&lt;= 30, S2613=9), N2613-28,AND(N2613&lt;= 11, S2613=10), N2613+2,AND(N2613&lt;= 21, S2613=10), N2613-11)</f>
        <v>6</v>
      </c>
    </row>
    <row r="2614" spans="1:22" x14ac:dyDescent="0.35">
      <c r="A2614" s="4">
        <v>45569</v>
      </c>
      <c r="B2614" s="5">
        <v>0.94035879629629626</v>
      </c>
      <c r="C2614">
        <v>66.900000000000006</v>
      </c>
      <c r="D2614">
        <v>67</v>
      </c>
      <c r="E2614">
        <v>65.400000000000006</v>
      </c>
      <c r="F2614">
        <v>64.599999999999994</v>
      </c>
      <c r="G2614">
        <v>0</v>
      </c>
      <c r="H2614">
        <v>0</v>
      </c>
      <c r="I2614">
        <v>0</v>
      </c>
      <c r="J2614">
        <v>0</v>
      </c>
      <c r="K2614">
        <v>62.5</v>
      </c>
      <c r="L2614">
        <v>62.4</v>
      </c>
      <c r="M2614">
        <v>65.97</v>
      </c>
      <c r="N2614">
        <v>4</v>
      </c>
      <c r="O2614">
        <v>3</v>
      </c>
      <c r="P2614">
        <f>MOD(DAY(datos_siembra[[#This Row],[Date]]),7)</f>
        <v>4</v>
      </c>
      <c r="Q2614" t="str">
        <f>CHOOSE(WEEKDAY(datos_siembra[[#This Row],[Date]],2),"L","M","X","J","V","S","D")</f>
        <v>V</v>
      </c>
      <c r="R2614">
        <f>WEEKNUM(datos_siembra[[#This Row],[Date]],2)-WEEKNUM(DATE(YEAR(datos_siembra[[#This Row],[Date]]),MONTH(datos_siembra[[#This Row],[Date]]),1))+1</f>
        <v>1</v>
      </c>
      <c r="S2614">
        <f>MONTH(datos_siembra[[#This Row],[Date]])</f>
        <v>10</v>
      </c>
      <c r="T2614" t="str" cm="1">
        <f t="array" ref="T2614">_xlfn.IFS(AND(N2614&lt;= 22, S2614=9), "SOWING",AND(N2614&lt;= 28, S2614=9), "COVERAGE",AND(N2614&lt;= 30, S2614=9), "FLUSH",AND(N2614&lt;= 11, S2614=10), "FLUSH",AND(N2614&lt;= 21, S2614=10), "PRODUCTION")</f>
        <v>FLUSH</v>
      </c>
      <c r="U2614">
        <f>HOUR(datos_siembra[[#This Row],[Hour]])</f>
        <v>22</v>
      </c>
      <c r="V2614" cm="1">
        <f t="array" ref="V2614">_xlfn.IFS(AND(N2614&lt;= 22, S2614=9), N2614-7,AND(N2614&lt;= 28, S2614=9), N2614-25,AND(N2614&lt;= 30, S2614=9), N2614-28,AND(N2614&lt;= 11, S2614=10), N2614+2,AND(N2614&lt;= 21, S2614=10), N2614-11)</f>
        <v>6</v>
      </c>
    </row>
    <row r="2615" spans="1:22" x14ac:dyDescent="0.35">
      <c r="A2615" s="4">
        <v>45569</v>
      </c>
      <c r="B2615" s="5">
        <v>0.94731481481481483</v>
      </c>
      <c r="C2615">
        <v>66.900000000000006</v>
      </c>
      <c r="D2615">
        <v>67</v>
      </c>
      <c r="E2615">
        <v>65.5</v>
      </c>
      <c r="F2615">
        <v>64.599999999999994</v>
      </c>
      <c r="G2615">
        <v>0</v>
      </c>
      <c r="H2615">
        <v>0</v>
      </c>
      <c r="I2615">
        <v>0</v>
      </c>
      <c r="J2615">
        <v>0</v>
      </c>
      <c r="K2615">
        <v>62.4</v>
      </c>
      <c r="L2615">
        <v>62.4</v>
      </c>
      <c r="M2615">
        <v>66.03</v>
      </c>
      <c r="N2615">
        <v>4</v>
      </c>
      <c r="O2615">
        <v>3</v>
      </c>
      <c r="P2615">
        <f>MOD(DAY(datos_siembra[[#This Row],[Date]]),7)</f>
        <v>4</v>
      </c>
      <c r="Q2615" t="str">
        <f>CHOOSE(WEEKDAY(datos_siembra[[#This Row],[Date]],2),"L","M","X","J","V","S","D")</f>
        <v>V</v>
      </c>
      <c r="R2615">
        <f>WEEKNUM(datos_siembra[[#This Row],[Date]],2)-WEEKNUM(DATE(YEAR(datos_siembra[[#This Row],[Date]]),MONTH(datos_siembra[[#This Row],[Date]]),1))+1</f>
        <v>1</v>
      </c>
      <c r="S2615">
        <f>MONTH(datos_siembra[[#This Row],[Date]])</f>
        <v>10</v>
      </c>
      <c r="T2615" t="str" cm="1">
        <f t="array" ref="T2615">_xlfn.IFS(AND(N2615&lt;= 22, S2615=9), "SOWING",AND(N2615&lt;= 28, S2615=9), "COVERAGE",AND(N2615&lt;= 30, S2615=9), "FLUSH",AND(N2615&lt;= 11, S2615=10), "FLUSH",AND(N2615&lt;= 21, S2615=10), "PRODUCTION")</f>
        <v>FLUSH</v>
      </c>
      <c r="U2615">
        <f>HOUR(datos_siembra[[#This Row],[Hour]])</f>
        <v>22</v>
      </c>
      <c r="V2615" cm="1">
        <f t="array" ref="V2615">_xlfn.IFS(AND(N2615&lt;= 22, S2615=9), N2615-7,AND(N2615&lt;= 28, S2615=9), N2615-25,AND(N2615&lt;= 30, S2615=9), N2615-28,AND(N2615&lt;= 11, S2615=10), N2615+2,AND(N2615&lt;= 21, S2615=10), N2615-11)</f>
        <v>6</v>
      </c>
    </row>
    <row r="2616" spans="1:22" x14ac:dyDescent="0.35">
      <c r="A2616" s="4">
        <v>45569</v>
      </c>
      <c r="B2616" s="5">
        <v>0.95425925925925925</v>
      </c>
      <c r="C2616">
        <v>66.900000000000006</v>
      </c>
      <c r="D2616">
        <v>67.099999999999994</v>
      </c>
      <c r="E2616">
        <v>65.3</v>
      </c>
      <c r="F2616">
        <v>64.599999999999994</v>
      </c>
      <c r="G2616">
        <v>0</v>
      </c>
      <c r="H2616">
        <v>0</v>
      </c>
      <c r="I2616">
        <v>0</v>
      </c>
      <c r="J2616">
        <v>0</v>
      </c>
      <c r="K2616">
        <v>62.5</v>
      </c>
      <c r="L2616">
        <v>62.4</v>
      </c>
      <c r="M2616">
        <v>66.03</v>
      </c>
      <c r="N2616">
        <v>4</v>
      </c>
      <c r="O2616">
        <v>3</v>
      </c>
      <c r="P2616">
        <f>MOD(DAY(datos_siembra[[#This Row],[Date]]),7)</f>
        <v>4</v>
      </c>
      <c r="Q2616" t="str">
        <f>CHOOSE(WEEKDAY(datos_siembra[[#This Row],[Date]],2),"L","M","X","J","V","S","D")</f>
        <v>V</v>
      </c>
      <c r="R2616">
        <f>WEEKNUM(datos_siembra[[#This Row],[Date]],2)-WEEKNUM(DATE(YEAR(datos_siembra[[#This Row],[Date]]),MONTH(datos_siembra[[#This Row],[Date]]),1))+1</f>
        <v>1</v>
      </c>
      <c r="S2616">
        <f>MONTH(datos_siembra[[#This Row],[Date]])</f>
        <v>10</v>
      </c>
      <c r="T2616" t="str" cm="1">
        <f t="array" ref="T2616">_xlfn.IFS(AND(N2616&lt;= 22, S2616=9), "SOWING",AND(N2616&lt;= 28, S2616=9), "COVERAGE",AND(N2616&lt;= 30, S2616=9), "FLUSH",AND(N2616&lt;= 11, S2616=10), "FLUSH",AND(N2616&lt;= 21, S2616=10), "PRODUCTION")</f>
        <v>FLUSH</v>
      </c>
      <c r="U2616">
        <f>HOUR(datos_siembra[[#This Row],[Hour]])</f>
        <v>22</v>
      </c>
      <c r="V2616" cm="1">
        <f t="array" ref="V2616">_xlfn.IFS(AND(N2616&lt;= 22, S2616=9), N2616-7,AND(N2616&lt;= 28, S2616=9), N2616-25,AND(N2616&lt;= 30, S2616=9), N2616-28,AND(N2616&lt;= 11, S2616=10), N2616+2,AND(N2616&lt;= 21, S2616=10), N2616-11)</f>
        <v>6</v>
      </c>
    </row>
    <row r="2617" spans="1:22" x14ac:dyDescent="0.35">
      <c r="A2617" s="4">
        <v>45569</v>
      </c>
      <c r="B2617" s="5">
        <v>0.96120370370370367</v>
      </c>
      <c r="C2617">
        <v>66.900000000000006</v>
      </c>
      <c r="D2617">
        <v>67.099999999999994</v>
      </c>
      <c r="E2617">
        <v>65.400000000000006</v>
      </c>
      <c r="F2617">
        <v>64.7</v>
      </c>
      <c r="G2617">
        <v>0</v>
      </c>
      <c r="H2617">
        <v>0</v>
      </c>
      <c r="I2617">
        <v>0</v>
      </c>
      <c r="J2617">
        <v>0</v>
      </c>
      <c r="K2617">
        <v>62.5</v>
      </c>
      <c r="L2617">
        <v>62.4</v>
      </c>
      <c r="M2617">
        <v>66.03</v>
      </c>
      <c r="N2617">
        <v>4</v>
      </c>
      <c r="O2617">
        <v>3</v>
      </c>
      <c r="P2617">
        <f>MOD(DAY(datos_siembra[[#This Row],[Date]]),7)</f>
        <v>4</v>
      </c>
      <c r="Q2617" t="str">
        <f>CHOOSE(WEEKDAY(datos_siembra[[#This Row],[Date]],2),"L","M","X","J","V","S","D")</f>
        <v>V</v>
      </c>
      <c r="R2617">
        <f>WEEKNUM(datos_siembra[[#This Row],[Date]],2)-WEEKNUM(DATE(YEAR(datos_siembra[[#This Row],[Date]]),MONTH(datos_siembra[[#This Row],[Date]]),1))+1</f>
        <v>1</v>
      </c>
      <c r="S2617">
        <f>MONTH(datos_siembra[[#This Row],[Date]])</f>
        <v>10</v>
      </c>
      <c r="T2617" t="str" cm="1">
        <f t="array" ref="T2617">_xlfn.IFS(AND(N2617&lt;= 22, S2617=9), "SOWING",AND(N2617&lt;= 28, S2617=9), "COVERAGE",AND(N2617&lt;= 30, S2617=9), "FLUSH",AND(N2617&lt;= 11, S2617=10), "FLUSH",AND(N2617&lt;= 21, S2617=10), "PRODUCTION")</f>
        <v>FLUSH</v>
      </c>
      <c r="U2617">
        <f>HOUR(datos_siembra[[#This Row],[Hour]])</f>
        <v>23</v>
      </c>
      <c r="V2617" cm="1">
        <f t="array" ref="V2617">_xlfn.IFS(AND(N2617&lt;= 22, S2617=9), N2617-7,AND(N2617&lt;= 28, S2617=9), N2617-25,AND(N2617&lt;= 30, S2617=9), N2617-28,AND(N2617&lt;= 11, S2617=10), N2617+2,AND(N2617&lt;= 21, S2617=10), N2617-11)</f>
        <v>6</v>
      </c>
    </row>
    <row r="2618" spans="1:22" x14ac:dyDescent="0.35">
      <c r="A2618" s="4">
        <v>45569</v>
      </c>
      <c r="B2618" s="5">
        <v>0.9681481481481482</v>
      </c>
      <c r="C2618">
        <v>66.8</v>
      </c>
      <c r="D2618">
        <v>67</v>
      </c>
      <c r="E2618">
        <v>65.3</v>
      </c>
      <c r="F2618">
        <v>64.900000000000006</v>
      </c>
      <c r="G2618">
        <v>0</v>
      </c>
      <c r="H2618">
        <v>0</v>
      </c>
      <c r="I2618">
        <v>0</v>
      </c>
      <c r="J2618">
        <v>0</v>
      </c>
      <c r="K2618">
        <v>62.5</v>
      </c>
      <c r="L2618">
        <v>62.4</v>
      </c>
      <c r="M2618">
        <v>66.06</v>
      </c>
      <c r="N2618">
        <v>4</v>
      </c>
      <c r="O2618">
        <v>3</v>
      </c>
      <c r="P2618">
        <f>MOD(DAY(datos_siembra[[#This Row],[Date]]),7)</f>
        <v>4</v>
      </c>
      <c r="Q2618" t="str">
        <f>CHOOSE(WEEKDAY(datos_siembra[[#This Row],[Date]],2),"L","M","X","J","V","S","D")</f>
        <v>V</v>
      </c>
      <c r="R2618">
        <f>WEEKNUM(datos_siembra[[#This Row],[Date]],2)-WEEKNUM(DATE(YEAR(datos_siembra[[#This Row],[Date]]),MONTH(datos_siembra[[#This Row],[Date]]),1))+1</f>
        <v>1</v>
      </c>
      <c r="S2618">
        <f>MONTH(datos_siembra[[#This Row],[Date]])</f>
        <v>10</v>
      </c>
      <c r="T2618" t="str" cm="1">
        <f t="array" ref="T2618">_xlfn.IFS(AND(N2618&lt;= 22, S2618=9), "SOWING",AND(N2618&lt;= 28, S2618=9), "COVERAGE",AND(N2618&lt;= 30, S2618=9), "FLUSH",AND(N2618&lt;= 11, S2618=10), "FLUSH",AND(N2618&lt;= 21, S2618=10), "PRODUCTION")</f>
        <v>FLUSH</v>
      </c>
      <c r="U2618">
        <f>HOUR(datos_siembra[[#This Row],[Hour]])</f>
        <v>23</v>
      </c>
      <c r="V2618" cm="1">
        <f t="array" ref="V2618">_xlfn.IFS(AND(N2618&lt;= 22, S2618=9), N2618-7,AND(N2618&lt;= 28, S2618=9), N2618-25,AND(N2618&lt;= 30, S2618=9), N2618-28,AND(N2618&lt;= 11, S2618=10), N2618+2,AND(N2618&lt;= 21, S2618=10), N2618-11)</f>
        <v>6</v>
      </c>
    </row>
    <row r="2619" spans="1:22" x14ac:dyDescent="0.35">
      <c r="A2619" s="4">
        <v>45569</v>
      </c>
      <c r="B2619" s="5">
        <v>0.97510416666666666</v>
      </c>
      <c r="C2619">
        <v>66.8</v>
      </c>
      <c r="D2619">
        <v>67.099999999999994</v>
      </c>
      <c r="E2619">
        <v>65.400000000000006</v>
      </c>
      <c r="F2619">
        <v>64.900000000000006</v>
      </c>
      <c r="G2619">
        <v>0</v>
      </c>
      <c r="H2619">
        <v>0</v>
      </c>
      <c r="I2619">
        <v>0</v>
      </c>
      <c r="J2619">
        <v>0</v>
      </c>
      <c r="K2619">
        <v>62.4</v>
      </c>
      <c r="L2619">
        <v>62.5</v>
      </c>
      <c r="M2619">
        <v>66.06</v>
      </c>
      <c r="N2619">
        <v>4</v>
      </c>
      <c r="O2619">
        <v>3</v>
      </c>
      <c r="P2619">
        <f>MOD(DAY(datos_siembra[[#This Row],[Date]]),7)</f>
        <v>4</v>
      </c>
      <c r="Q2619" t="str">
        <f>CHOOSE(WEEKDAY(datos_siembra[[#This Row],[Date]],2),"L","M","X","J","V","S","D")</f>
        <v>V</v>
      </c>
      <c r="R2619">
        <f>WEEKNUM(datos_siembra[[#This Row],[Date]],2)-WEEKNUM(DATE(YEAR(datos_siembra[[#This Row],[Date]]),MONTH(datos_siembra[[#This Row],[Date]]),1))+1</f>
        <v>1</v>
      </c>
      <c r="S2619">
        <f>MONTH(datos_siembra[[#This Row],[Date]])</f>
        <v>10</v>
      </c>
      <c r="T2619" t="str" cm="1">
        <f t="array" ref="T2619">_xlfn.IFS(AND(N2619&lt;= 22, S2619=9), "SOWING",AND(N2619&lt;= 28, S2619=9), "COVERAGE",AND(N2619&lt;= 30, S2619=9), "FLUSH",AND(N2619&lt;= 11, S2619=10), "FLUSH",AND(N2619&lt;= 21, S2619=10), "PRODUCTION")</f>
        <v>FLUSH</v>
      </c>
      <c r="U2619">
        <f>HOUR(datos_siembra[[#This Row],[Hour]])</f>
        <v>23</v>
      </c>
      <c r="V2619" cm="1">
        <f t="array" ref="V2619">_xlfn.IFS(AND(N2619&lt;= 22, S2619=9), N2619-7,AND(N2619&lt;= 28, S2619=9), N2619-25,AND(N2619&lt;= 30, S2619=9), N2619-28,AND(N2619&lt;= 11, S2619=10), N2619+2,AND(N2619&lt;= 21, S2619=10), N2619-11)</f>
        <v>6</v>
      </c>
    </row>
    <row r="2620" spans="1:22" x14ac:dyDescent="0.35">
      <c r="A2620" s="4">
        <v>45569</v>
      </c>
      <c r="B2620" s="5">
        <v>0.98204861111111108</v>
      </c>
      <c r="C2620">
        <v>67</v>
      </c>
      <c r="D2620">
        <v>67.099999999999994</v>
      </c>
      <c r="E2620">
        <v>65.3</v>
      </c>
      <c r="F2620">
        <v>64.900000000000006</v>
      </c>
      <c r="G2620">
        <v>0</v>
      </c>
      <c r="H2620">
        <v>0</v>
      </c>
      <c r="I2620">
        <v>0</v>
      </c>
      <c r="J2620">
        <v>0</v>
      </c>
      <c r="K2620">
        <v>62.4</v>
      </c>
      <c r="L2620">
        <v>62.5</v>
      </c>
      <c r="M2620">
        <v>66.09</v>
      </c>
      <c r="N2620">
        <v>4</v>
      </c>
      <c r="O2620">
        <v>3</v>
      </c>
      <c r="P2620">
        <f>MOD(DAY(datos_siembra[[#This Row],[Date]]),7)</f>
        <v>4</v>
      </c>
      <c r="Q2620" t="str">
        <f>CHOOSE(WEEKDAY(datos_siembra[[#This Row],[Date]],2),"L","M","X","J","V","S","D")</f>
        <v>V</v>
      </c>
      <c r="R2620">
        <f>WEEKNUM(datos_siembra[[#This Row],[Date]],2)-WEEKNUM(DATE(YEAR(datos_siembra[[#This Row],[Date]]),MONTH(datos_siembra[[#This Row],[Date]]),1))+1</f>
        <v>1</v>
      </c>
      <c r="S2620">
        <f>MONTH(datos_siembra[[#This Row],[Date]])</f>
        <v>10</v>
      </c>
      <c r="T2620" t="str" cm="1">
        <f t="array" ref="T2620">_xlfn.IFS(AND(N2620&lt;= 22, S2620=9), "SOWING",AND(N2620&lt;= 28, S2620=9), "COVERAGE",AND(N2620&lt;= 30, S2620=9), "FLUSH",AND(N2620&lt;= 11, S2620=10), "FLUSH",AND(N2620&lt;= 21, S2620=10), "PRODUCTION")</f>
        <v>FLUSH</v>
      </c>
      <c r="U2620">
        <f>HOUR(datos_siembra[[#This Row],[Hour]])</f>
        <v>23</v>
      </c>
      <c r="V2620" cm="1">
        <f t="array" ref="V2620">_xlfn.IFS(AND(N2620&lt;= 22, S2620=9), N2620-7,AND(N2620&lt;= 28, S2620=9), N2620-25,AND(N2620&lt;= 30, S2620=9), N2620-28,AND(N2620&lt;= 11, S2620=10), N2620+2,AND(N2620&lt;= 21, S2620=10), N2620-11)</f>
        <v>6</v>
      </c>
    </row>
    <row r="2621" spans="1:22" x14ac:dyDescent="0.35">
      <c r="A2621" s="4">
        <v>45569</v>
      </c>
      <c r="B2621" s="5">
        <v>0.9889930555555555</v>
      </c>
      <c r="C2621">
        <v>66.8</v>
      </c>
      <c r="D2621">
        <v>67</v>
      </c>
      <c r="E2621">
        <v>65.5</v>
      </c>
      <c r="F2621">
        <v>64.900000000000006</v>
      </c>
      <c r="G2621">
        <v>0</v>
      </c>
      <c r="H2621">
        <v>0</v>
      </c>
      <c r="I2621">
        <v>0</v>
      </c>
      <c r="J2621">
        <v>0</v>
      </c>
      <c r="K2621">
        <v>62.4</v>
      </c>
      <c r="L2621">
        <v>62.4</v>
      </c>
      <c r="M2621">
        <v>66</v>
      </c>
      <c r="N2621">
        <v>4</v>
      </c>
      <c r="O2621">
        <v>3</v>
      </c>
      <c r="P2621">
        <f>MOD(DAY(datos_siembra[[#This Row],[Date]]),7)</f>
        <v>4</v>
      </c>
      <c r="Q2621" t="str">
        <f>CHOOSE(WEEKDAY(datos_siembra[[#This Row],[Date]],2),"L","M","X","J","V","S","D")</f>
        <v>V</v>
      </c>
      <c r="R2621">
        <f>WEEKNUM(datos_siembra[[#This Row],[Date]],2)-WEEKNUM(DATE(YEAR(datos_siembra[[#This Row],[Date]]),MONTH(datos_siembra[[#This Row],[Date]]),1))+1</f>
        <v>1</v>
      </c>
      <c r="S2621">
        <f>MONTH(datos_siembra[[#This Row],[Date]])</f>
        <v>10</v>
      </c>
      <c r="T2621" t="str" cm="1">
        <f t="array" ref="T2621">_xlfn.IFS(AND(N2621&lt;= 22, S2621=9), "SOWING",AND(N2621&lt;= 28, S2621=9), "COVERAGE",AND(N2621&lt;= 30, S2621=9), "FLUSH",AND(N2621&lt;= 11, S2621=10), "FLUSH",AND(N2621&lt;= 21, S2621=10), "PRODUCTION")</f>
        <v>FLUSH</v>
      </c>
      <c r="U2621">
        <f>HOUR(datos_siembra[[#This Row],[Hour]])</f>
        <v>23</v>
      </c>
      <c r="V2621" cm="1">
        <f t="array" ref="V2621">_xlfn.IFS(AND(N2621&lt;= 22, S2621=9), N2621-7,AND(N2621&lt;= 28, S2621=9), N2621-25,AND(N2621&lt;= 30, S2621=9), N2621-28,AND(N2621&lt;= 11, S2621=10), N2621+2,AND(N2621&lt;= 21, S2621=10), N2621-11)</f>
        <v>6</v>
      </c>
    </row>
    <row r="2622" spans="1:22" x14ac:dyDescent="0.35">
      <c r="A2622" s="4">
        <v>45569</v>
      </c>
      <c r="B2622" s="5">
        <v>0.99594907407407407</v>
      </c>
      <c r="C2622">
        <v>67</v>
      </c>
      <c r="D2622">
        <v>67.099999999999994</v>
      </c>
      <c r="E2622">
        <v>65.400000000000006</v>
      </c>
      <c r="F2622">
        <v>64.900000000000006</v>
      </c>
      <c r="G2622">
        <v>0</v>
      </c>
      <c r="H2622">
        <v>0</v>
      </c>
      <c r="I2622">
        <v>0</v>
      </c>
      <c r="J2622">
        <v>0</v>
      </c>
      <c r="K2622">
        <v>62.4</v>
      </c>
      <c r="L2622">
        <v>62.4</v>
      </c>
      <c r="M2622">
        <v>66.03</v>
      </c>
      <c r="N2622">
        <v>4</v>
      </c>
      <c r="O2622">
        <v>3</v>
      </c>
      <c r="P2622">
        <f>MOD(DAY(datos_siembra[[#This Row],[Date]]),7)</f>
        <v>4</v>
      </c>
      <c r="Q2622" t="str">
        <f>CHOOSE(WEEKDAY(datos_siembra[[#This Row],[Date]],2),"L","M","X","J","V","S","D")</f>
        <v>V</v>
      </c>
      <c r="R2622">
        <f>WEEKNUM(datos_siembra[[#This Row],[Date]],2)-WEEKNUM(DATE(YEAR(datos_siembra[[#This Row],[Date]]),MONTH(datos_siembra[[#This Row],[Date]]),1))+1</f>
        <v>1</v>
      </c>
      <c r="S2622">
        <f>MONTH(datos_siembra[[#This Row],[Date]])</f>
        <v>10</v>
      </c>
      <c r="T2622" t="str" cm="1">
        <f t="array" ref="T2622">_xlfn.IFS(AND(N2622&lt;= 22, S2622=9), "SOWING",AND(N2622&lt;= 28, S2622=9), "COVERAGE",AND(N2622&lt;= 30, S2622=9), "FLUSH",AND(N2622&lt;= 11, S2622=10), "FLUSH",AND(N2622&lt;= 21, S2622=10), "PRODUCTION")</f>
        <v>FLUSH</v>
      </c>
      <c r="U2622">
        <f>HOUR(datos_siembra[[#This Row],[Hour]])</f>
        <v>23</v>
      </c>
      <c r="V2622" cm="1">
        <f t="array" ref="V2622">_xlfn.IFS(AND(N2622&lt;= 22, S2622=9), N2622-7,AND(N2622&lt;= 28, S2622=9), N2622-25,AND(N2622&lt;= 30, S2622=9), N2622-28,AND(N2622&lt;= 11, S2622=10), N2622+2,AND(N2622&lt;= 21, S2622=10), N2622-11)</f>
        <v>6</v>
      </c>
    </row>
    <row r="2623" spans="1:22" x14ac:dyDescent="0.35">
      <c r="A2623" s="4">
        <v>45570</v>
      </c>
      <c r="B2623" s="5">
        <v>2.8935185185185184E-3</v>
      </c>
      <c r="C2623">
        <v>67</v>
      </c>
      <c r="D2623">
        <v>66.900000000000006</v>
      </c>
      <c r="E2623">
        <v>65.599999999999994</v>
      </c>
      <c r="F2623">
        <v>64.900000000000006</v>
      </c>
      <c r="G2623">
        <v>0</v>
      </c>
      <c r="H2623">
        <v>0</v>
      </c>
      <c r="I2623">
        <v>0</v>
      </c>
      <c r="J2623">
        <v>0</v>
      </c>
      <c r="K2623">
        <v>62.5</v>
      </c>
      <c r="L2623">
        <v>62.5</v>
      </c>
      <c r="M2623">
        <v>66.03</v>
      </c>
      <c r="N2623">
        <v>5</v>
      </c>
      <c r="O2623">
        <v>4</v>
      </c>
      <c r="P2623">
        <f>MOD(DAY(datos_siembra[[#This Row],[Date]]),7)</f>
        <v>5</v>
      </c>
      <c r="Q2623" t="str">
        <f>CHOOSE(WEEKDAY(datos_siembra[[#This Row],[Date]],2),"L","M","X","J","V","S","D")</f>
        <v>S</v>
      </c>
      <c r="R2623">
        <f>WEEKNUM(datos_siembra[[#This Row],[Date]],2)-WEEKNUM(DATE(YEAR(datos_siembra[[#This Row],[Date]]),MONTH(datos_siembra[[#This Row],[Date]]),1))+1</f>
        <v>1</v>
      </c>
      <c r="S2623">
        <f>MONTH(datos_siembra[[#This Row],[Date]])</f>
        <v>10</v>
      </c>
      <c r="T2623" t="str" cm="1">
        <f t="array" ref="T2623">_xlfn.IFS(AND(N2623&lt;= 22, S2623=9), "SOWING",AND(N2623&lt;= 28, S2623=9), "COVERAGE",AND(N2623&lt;= 30, S2623=9), "FLUSH",AND(N2623&lt;= 11, S2623=10), "FLUSH",AND(N2623&lt;= 21, S2623=10), "PRODUCTION")</f>
        <v>FLUSH</v>
      </c>
      <c r="U2623">
        <f>HOUR(datos_siembra[[#This Row],[Hour]])</f>
        <v>0</v>
      </c>
      <c r="V2623" cm="1">
        <f t="array" ref="V2623">_xlfn.IFS(AND(N2623&lt;= 22, S2623=9), N2623-7,AND(N2623&lt;= 28, S2623=9), N2623-25,AND(N2623&lt;= 30, S2623=9), N2623-28,AND(N2623&lt;= 11, S2623=10), N2623+2,AND(N2623&lt;= 21, S2623=10), N2623-11)</f>
        <v>7</v>
      </c>
    </row>
    <row r="2624" spans="1:22" x14ac:dyDescent="0.35">
      <c r="A2624" s="4">
        <v>45570</v>
      </c>
      <c r="B2624" s="5">
        <v>9.8379629629629633E-3</v>
      </c>
      <c r="C2624">
        <v>66.8</v>
      </c>
      <c r="D2624">
        <v>67</v>
      </c>
      <c r="E2624">
        <v>65.5</v>
      </c>
      <c r="F2624">
        <v>64.900000000000006</v>
      </c>
      <c r="G2624">
        <v>0</v>
      </c>
      <c r="H2624">
        <v>0</v>
      </c>
      <c r="I2624">
        <v>0</v>
      </c>
      <c r="J2624">
        <v>0</v>
      </c>
      <c r="K2624">
        <v>62.4</v>
      </c>
      <c r="L2624">
        <v>62.4</v>
      </c>
      <c r="M2624">
        <v>66.09</v>
      </c>
      <c r="N2624">
        <v>5</v>
      </c>
      <c r="O2624">
        <v>4</v>
      </c>
      <c r="P2624">
        <f>MOD(DAY(datos_siembra[[#This Row],[Date]]),7)</f>
        <v>5</v>
      </c>
      <c r="Q2624" t="str">
        <f>CHOOSE(WEEKDAY(datos_siembra[[#This Row],[Date]],2),"L","M","X","J","V","S","D")</f>
        <v>S</v>
      </c>
      <c r="R2624">
        <f>WEEKNUM(datos_siembra[[#This Row],[Date]],2)-WEEKNUM(DATE(YEAR(datos_siembra[[#This Row],[Date]]),MONTH(datos_siembra[[#This Row],[Date]]),1))+1</f>
        <v>1</v>
      </c>
      <c r="S2624">
        <f>MONTH(datos_siembra[[#This Row],[Date]])</f>
        <v>10</v>
      </c>
      <c r="T2624" t="str" cm="1">
        <f t="array" ref="T2624">_xlfn.IFS(AND(N2624&lt;= 22, S2624=9), "SOWING",AND(N2624&lt;= 28, S2624=9), "COVERAGE",AND(N2624&lt;= 30, S2624=9), "FLUSH",AND(N2624&lt;= 11, S2624=10), "FLUSH",AND(N2624&lt;= 21, S2624=10), "PRODUCTION")</f>
        <v>FLUSH</v>
      </c>
      <c r="U2624">
        <f>HOUR(datos_siembra[[#This Row],[Hour]])</f>
        <v>0</v>
      </c>
      <c r="V2624" cm="1">
        <f t="array" ref="V2624">_xlfn.IFS(AND(N2624&lt;= 22, S2624=9), N2624-7,AND(N2624&lt;= 28, S2624=9), N2624-25,AND(N2624&lt;= 30, S2624=9), N2624-28,AND(N2624&lt;= 11, S2624=10), N2624+2,AND(N2624&lt;= 21, S2624=10), N2624-11)</f>
        <v>7</v>
      </c>
    </row>
    <row r="2625" spans="1:22" x14ac:dyDescent="0.35">
      <c r="A2625" s="4">
        <v>45570</v>
      </c>
      <c r="B2625" s="5">
        <v>1.6782407407407409E-2</v>
      </c>
      <c r="C2625">
        <v>66.8</v>
      </c>
      <c r="D2625">
        <v>67</v>
      </c>
      <c r="E2625">
        <v>65.5</v>
      </c>
      <c r="F2625">
        <v>65</v>
      </c>
      <c r="G2625">
        <v>0</v>
      </c>
      <c r="H2625">
        <v>0</v>
      </c>
      <c r="I2625">
        <v>0</v>
      </c>
      <c r="J2625">
        <v>0</v>
      </c>
      <c r="K2625">
        <v>62.3</v>
      </c>
      <c r="L2625">
        <v>62.4</v>
      </c>
      <c r="M2625">
        <v>66.06</v>
      </c>
      <c r="N2625">
        <v>5</v>
      </c>
      <c r="O2625">
        <v>4</v>
      </c>
      <c r="P2625">
        <f>MOD(DAY(datos_siembra[[#This Row],[Date]]),7)</f>
        <v>5</v>
      </c>
      <c r="Q2625" t="str">
        <f>CHOOSE(WEEKDAY(datos_siembra[[#This Row],[Date]],2),"L","M","X","J","V","S","D")</f>
        <v>S</v>
      </c>
      <c r="R2625">
        <f>WEEKNUM(datos_siembra[[#This Row],[Date]],2)-WEEKNUM(DATE(YEAR(datos_siembra[[#This Row],[Date]]),MONTH(datos_siembra[[#This Row],[Date]]),1))+1</f>
        <v>1</v>
      </c>
      <c r="S2625">
        <f>MONTH(datos_siembra[[#This Row],[Date]])</f>
        <v>10</v>
      </c>
      <c r="T2625" t="str" cm="1">
        <f t="array" ref="T2625">_xlfn.IFS(AND(N2625&lt;= 22, S2625=9), "SOWING",AND(N2625&lt;= 28, S2625=9), "COVERAGE",AND(N2625&lt;= 30, S2625=9), "FLUSH",AND(N2625&lt;= 11, S2625=10), "FLUSH",AND(N2625&lt;= 21, S2625=10), "PRODUCTION")</f>
        <v>FLUSH</v>
      </c>
      <c r="U2625">
        <f>HOUR(datos_siembra[[#This Row],[Hour]])</f>
        <v>0</v>
      </c>
      <c r="V2625" cm="1">
        <f t="array" ref="V2625">_xlfn.IFS(AND(N2625&lt;= 22, S2625=9), N2625-7,AND(N2625&lt;= 28, S2625=9), N2625-25,AND(N2625&lt;= 30, S2625=9), N2625-28,AND(N2625&lt;= 11, S2625=10), N2625+2,AND(N2625&lt;= 21, S2625=10), N2625-11)</f>
        <v>7</v>
      </c>
    </row>
    <row r="2626" spans="1:22" x14ac:dyDescent="0.35">
      <c r="A2626" s="4">
        <v>45570</v>
      </c>
      <c r="B2626" s="5">
        <v>2.3738425925925927E-2</v>
      </c>
      <c r="C2626">
        <v>66.8</v>
      </c>
      <c r="D2626">
        <v>67</v>
      </c>
      <c r="E2626">
        <v>65.5</v>
      </c>
      <c r="F2626">
        <v>65</v>
      </c>
      <c r="G2626">
        <v>0</v>
      </c>
      <c r="H2626">
        <v>0</v>
      </c>
      <c r="I2626">
        <v>0</v>
      </c>
      <c r="J2626">
        <v>0</v>
      </c>
      <c r="K2626">
        <v>62.5</v>
      </c>
      <c r="L2626">
        <v>62.5</v>
      </c>
      <c r="M2626">
        <v>66.03</v>
      </c>
      <c r="N2626">
        <v>5</v>
      </c>
      <c r="O2626">
        <v>4</v>
      </c>
      <c r="P2626">
        <f>MOD(DAY(datos_siembra[[#This Row],[Date]]),7)</f>
        <v>5</v>
      </c>
      <c r="Q2626" t="str">
        <f>CHOOSE(WEEKDAY(datos_siembra[[#This Row],[Date]],2),"L","M","X","J","V","S","D")</f>
        <v>S</v>
      </c>
      <c r="R2626">
        <f>WEEKNUM(datos_siembra[[#This Row],[Date]],2)-WEEKNUM(DATE(YEAR(datos_siembra[[#This Row],[Date]]),MONTH(datos_siembra[[#This Row],[Date]]),1))+1</f>
        <v>1</v>
      </c>
      <c r="S2626">
        <f>MONTH(datos_siembra[[#This Row],[Date]])</f>
        <v>10</v>
      </c>
      <c r="T2626" t="str" cm="1">
        <f t="array" ref="T2626">_xlfn.IFS(AND(N2626&lt;= 22, S2626=9), "SOWING",AND(N2626&lt;= 28, S2626=9), "COVERAGE",AND(N2626&lt;= 30, S2626=9), "FLUSH",AND(N2626&lt;= 11, S2626=10), "FLUSH",AND(N2626&lt;= 21, S2626=10), "PRODUCTION")</f>
        <v>FLUSH</v>
      </c>
      <c r="U2626">
        <f>HOUR(datos_siembra[[#This Row],[Hour]])</f>
        <v>0</v>
      </c>
      <c r="V2626" cm="1">
        <f t="array" ref="V2626">_xlfn.IFS(AND(N2626&lt;= 22, S2626=9), N2626-7,AND(N2626&lt;= 28, S2626=9), N2626-25,AND(N2626&lt;= 30, S2626=9), N2626-28,AND(N2626&lt;= 11, S2626=10), N2626+2,AND(N2626&lt;= 21, S2626=10), N2626-11)</f>
        <v>7</v>
      </c>
    </row>
    <row r="2627" spans="1:22" x14ac:dyDescent="0.35">
      <c r="A2627" s="4">
        <v>45570</v>
      </c>
      <c r="B2627" s="5">
        <v>3.0682870370370371E-2</v>
      </c>
      <c r="C2627">
        <v>66.8</v>
      </c>
      <c r="D2627">
        <v>67.099999999999994</v>
      </c>
      <c r="E2627">
        <v>65.5</v>
      </c>
      <c r="F2627">
        <v>64.900000000000006</v>
      </c>
      <c r="G2627">
        <v>0</v>
      </c>
      <c r="H2627">
        <v>0</v>
      </c>
      <c r="I2627">
        <v>0</v>
      </c>
      <c r="J2627">
        <v>0</v>
      </c>
      <c r="K2627">
        <v>62.4</v>
      </c>
      <c r="L2627">
        <v>62.7</v>
      </c>
      <c r="M2627">
        <v>66.12</v>
      </c>
      <c r="N2627">
        <v>5</v>
      </c>
      <c r="O2627">
        <v>4</v>
      </c>
      <c r="P2627">
        <f>MOD(DAY(datos_siembra[[#This Row],[Date]]),7)</f>
        <v>5</v>
      </c>
      <c r="Q2627" t="str">
        <f>CHOOSE(WEEKDAY(datos_siembra[[#This Row],[Date]],2),"L","M","X","J","V","S","D")</f>
        <v>S</v>
      </c>
      <c r="R2627">
        <f>WEEKNUM(datos_siembra[[#This Row],[Date]],2)-WEEKNUM(DATE(YEAR(datos_siembra[[#This Row],[Date]]),MONTH(datos_siembra[[#This Row],[Date]]),1))+1</f>
        <v>1</v>
      </c>
      <c r="S2627">
        <f>MONTH(datos_siembra[[#This Row],[Date]])</f>
        <v>10</v>
      </c>
      <c r="T2627" t="str" cm="1">
        <f t="array" ref="T2627">_xlfn.IFS(AND(N2627&lt;= 22, S2627=9), "SOWING",AND(N2627&lt;= 28, S2627=9), "COVERAGE",AND(N2627&lt;= 30, S2627=9), "FLUSH",AND(N2627&lt;= 11, S2627=10), "FLUSH",AND(N2627&lt;= 21, S2627=10), "PRODUCTION")</f>
        <v>FLUSH</v>
      </c>
      <c r="U2627">
        <f>HOUR(datos_siembra[[#This Row],[Hour]])</f>
        <v>0</v>
      </c>
      <c r="V2627" cm="1">
        <f t="array" ref="V2627">_xlfn.IFS(AND(N2627&lt;= 22, S2627=9), N2627-7,AND(N2627&lt;= 28, S2627=9), N2627-25,AND(N2627&lt;= 30, S2627=9), N2627-28,AND(N2627&lt;= 11, S2627=10), N2627+2,AND(N2627&lt;= 21, S2627=10), N2627-11)</f>
        <v>7</v>
      </c>
    </row>
    <row r="2628" spans="1:22" x14ac:dyDescent="0.35">
      <c r="A2628" s="4">
        <v>45570</v>
      </c>
      <c r="B2628" s="5">
        <v>3.7627314814814815E-2</v>
      </c>
      <c r="C2628">
        <v>67</v>
      </c>
      <c r="D2628">
        <v>67.2</v>
      </c>
      <c r="E2628">
        <v>65.5</v>
      </c>
      <c r="F2628">
        <v>65</v>
      </c>
      <c r="G2628">
        <v>0</v>
      </c>
      <c r="H2628">
        <v>0</v>
      </c>
      <c r="I2628">
        <v>0</v>
      </c>
      <c r="J2628">
        <v>0</v>
      </c>
      <c r="K2628">
        <v>62.4</v>
      </c>
      <c r="L2628">
        <v>62.7</v>
      </c>
      <c r="M2628">
        <v>66.03</v>
      </c>
      <c r="N2628">
        <v>5</v>
      </c>
      <c r="O2628">
        <v>4</v>
      </c>
      <c r="P2628">
        <f>MOD(DAY(datos_siembra[[#This Row],[Date]]),7)</f>
        <v>5</v>
      </c>
      <c r="Q2628" t="str">
        <f>CHOOSE(WEEKDAY(datos_siembra[[#This Row],[Date]],2),"L","M","X","J","V","S","D")</f>
        <v>S</v>
      </c>
      <c r="R2628">
        <f>WEEKNUM(datos_siembra[[#This Row],[Date]],2)-WEEKNUM(DATE(YEAR(datos_siembra[[#This Row],[Date]]),MONTH(datos_siembra[[#This Row],[Date]]),1))+1</f>
        <v>1</v>
      </c>
      <c r="S2628">
        <f>MONTH(datos_siembra[[#This Row],[Date]])</f>
        <v>10</v>
      </c>
      <c r="T2628" t="str" cm="1">
        <f t="array" ref="T2628">_xlfn.IFS(AND(N2628&lt;= 22, S2628=9), "SOWING",AND(N2628&lt;= 28, S2628=9), "COVERAGE",AND(N2628&lt;= 30, S2628=9), "FLUSH",AND(N2628&lt;= 11, S2628=10), "FLUSH",AND(N2628&lt;= 21, S2628=10), "PRODUCTION")</f>
        <v>FLUSH</v>
      </c>
      <c r="U2628">
        <f>HOUR(datos_siembra[[#This Row],[Hour]])</f>
        <v>0</v>
      </c>
      <c r="V2628" cm="1">
        <f t="array" ref="V2628">_xlfn.IFS(AND(N2628&lt;= 22, S2628=9), N2628-7,AND(N2628&lt;= 28, S2628=9), N2628-25,AND(N2628&lt;= 30, S2628=9), N2628-28,AND(N2628&lt;= 11, S2628=10), N2628+2,AND(N2628&lt;= 21, S2628=10), N2628-11)</f>
        <v>7</v>
      </c>
    </row>
    <row r="2629" spans="1:22" x14ac:dyDescent="0.35">
      <c r="A2629" s="4">
        <v>45570</v>
      </c>
      <c r="B2629" s="5">
        <v>4.4571759259259262E-2</v>
      </c>
      <c r="C2629">
        <v>67</v>
      </c>
      <c r="D2629">
        <v>67</v>
      </c>
      <c r="E2629">
        <v>65.400000000000006</v>
      </c>
      <c r="F2629">
        <v>65.099999999999994</v>
      </c>
      <c r="G2629">
        <v>0</v>
      </c>
      <c r="H2629">
        <v>0</v>
      </c>
      <c r="I2629">
        <v>0</v>
      </c>
      <c r="J2629">
        <v>0</v>
      </c>
      <c r="K2629">
        <v>62.4</v>
      </c>
      <c r="L2629">
        <v>62.7</v>
      </c>
      <c r="M2629">
        <v>66.12</v>
      </c>
      <c r="N2629">
        <v>5</v>
      </c>
      <c r="O2629">
        <v>4</v>
      </c>
      <c r="P2629">
        <f>MOD(DAY(datos_siembra[[#This Row],[Date]]),7)</f>
        <v>5</v>
      </c>
      <c r="Q2629" t="str">
        <f>CHOOSE(WEEKDAY(datos_siembra[[#This Row],[Date]],2),"L","M","X","J","V","S","D")</f>
        <v>S</v>
      </c>
      <c r="R2629">
        <f>WEEKNUM(datos_siembra[[#This Row],[Date]],2)-WEEKNUM(DATE(YEAR(datos_siembra[[#This Row],[Date]]),MONTH(datos_siembra[[#This Row],[Date]]),1))+1</f>
        <v>1</v>
      </c>
      <c r="S2629">
        <f>MONTH(datos_siembra[[#This Row],[Date]])</f>
        <v>10</v>
      </c>
      <c r="T2629" t="str" cm="1">
        <f t="array" ref="T2629">_xlfn.IFS(AND(N2629&lt;= 22, S2629=9), "SOWING",AND(N2629&lt;= 28, S2629=9), "COVERAGE",AND(N2629&lt;= 30, S2629=9), "FLUSH",AND(N2629&lt;= 11, S2629=10), "FLUSH",AND(N2629&lt;= 21, S2629=10), "PRODUCTION")</f>
        <v>FLUSH</v>
      </c>
      <c r="U2629">
        <f>HOUR(datos_siembra[[#This Row],[Hour]])</f>
        <v>1</v>
      </c>
      <c r="V2629" cm="1">
        <f t="array" ref="V2629">_xlfn.IFS(AND(N2629&lt;= 22, S2629=9), N2629-7,AND(N2629&lt;= 28, S2629=9), N2629-25,AND(N2629&lt;= 30, S2629=9), N2629-28,AND(N2629&lt;= 11, S2629=10), N2629+2,AND(N2629&lt;= 21, S2629=10), N2629-11)</f>
        <v>7</v>
      </c>
    </row>
    <row r="2630" spans="1:22" x14ac:dyDescent="0.35">
      <c r="A2630" s="4">
        <v>45570</v>
      </c>
      <c r="B2630" s="5">
        <v>5.1527777777777777E-2</v>
      </c>
      <c r="C2630">
        <v>66.900000000000006</v>
      </c>
      <c r="D2630">
        <v>67.099999999999994</v>
      </c>
      <c r="E2630">
        <v>65.400000000000006</v>
      </c>
      <c r="F2630">
        <v>65.099999999999994</v>
      </c>
      <c r="G2630">
        <v>0</v>
      </c>
      <c r="H2630">
        <v>0</v>
      </c>
      <c r="I2630">
        <v>0</v>
      </c>
      <c r="J2630">
        <v>0</v>
      </c>
      <c r="K2630">
        <v>62.4</v>
      </c>
      <c r="L2630">
        <v>62.7</v>
      </c>
      <c r="M2630">
        <v>66.12</v>
      </c>
      <c r="N2630">
        <v>5</v>
      </c>
      <c r="O2630">
        <v>4</v>
      </c>
      <c r="P2630">
        <f>MOD(DAY(datos_siembra[[#This Row],[Date]]),7)</f>
        <v>5</v>
      </c>
      <c r="Q2630" t="str">
        <f>CHOOSE(WEEKDAY(datos_siembra[[#This Row],[Date]],2),"L","M","X","J","V","S","D")</f>
        <v>S</v>
      </c>
      <c r="R2630">
        <f>WEEKNUM(datos_siembra[[#This Row],[Date]],2)-WEEKNUM(DATE(YEAR(datos_siembra[[#This Row],[Date]]),MONTH(datos_siembra[[#This Row],[Date]]),1))+1</f>
        <v>1</v>
      </c>
      <c r="S2630">
        <f>MONTH(datos_siembra[[#This Row],[Date]])</f>
        <v>10</v>
      </c>
      <c r="T2630" t="str" cm="1">
        <f t="array" ref="T2630">_xlfn.IFS(AND(N2630&lt;= 22, S2630=9), "SOWING",AND(N2630&lt;= 28, S2630=9), "COVERAGE",AND(N2630&lt;= 30, S2630=9), "FLUSH",AND(N2630&lt;= 11, S2630=10), "FLUSH",AND(N2630&lt;= 21, S2630=10), "PRODUCTION")</f>
        <v>FLUSH</v>
      </c>
      <c r="U2630">
        <f>HOUR(datos_siembra[[#This Row],[Hour]])</f>
        <v>1</v>
      </c>
      <c r="V2630" cm="1">
        <f t="array" ref="V2630">_xlfn.IFS(AND(N2630&lt;= 22, S2630=9), N2630-7,AND(N2630&lt;= 28, S2630=9), N2630-25,AND(N2630&lt;= 30, S2630=9), N2630-28,AND(N2630&lt;= 11, S2630=10), N2630+2,AND(N2630&lt;= 21, S2630=10), N2630-11)</f>
        <v>7</v>
      </c>
    </row>
    <row r="2631" spans="1:22" x14ac:dyDescent="0.35">
      <c r="A2631" s="4">
        <v>45570</v>
      </c>
      <c r="B2631" s="5">
        <v>5.8472222222222224E-2</v>
      </c>
      <c r="C2631">
        <v>66.900000000000006</v>
      </c>
      <c r="D2631">
        <v>66.900000000000006</v>
      </c>
      <c r="E2631">
        <v>65.599999999999994</v>
      </c>
      <c r="F2631">
        <v>65.099999999999994</v>
      </c>
      <c r="G2631">
        <v>0</v>
      </c>
      <c r="H2631">
        <v>0</v>
      </c>
      <c r="I2631">
        <v>0</v>
      </c>
      <c r="J2631">
        <v>0</v>
      </c>
      <c r="K2631">
        <v>62.3</v>
      </c>
      <c r="L2631">
        <v>62.7</v>
      </c>
      <c r="M2631">
        <v>66.12</v>
      </c>
      <c r="N2631">
        <v>5</v>
      </c>
      <c r="O2631">
        <v>4</v>
      </c>
      <c r="P2631">
        <f>MOD(DAY(datos_siembra[[#This Row],[Date]]),7)</f>
        <v>5</v>
      </c>
      <c r="Q2631" t="str">
        <f>CHOOSE(WEEKDAY(datos_siembra[[#This Row],[Date]],2),"L","M","X","J","V","S","D")</f>
        <v>S</v>
      </c>
      <c r="R2631">
        <f>WEEKNUM(datos_siembra[[#This Row],[Date]],2)-WEEKNUM(DATE(YEAR(datos_siembra[[#This Row],[Date]]),MONTH(datos_siembra[[#This Row],[Date]]),1))+1</f>
        <v>1</v>
      </c>
      <c r="S2631">
        <f>MONTH(datos_siembra[[#This Row],[Date]])</f>
        <v>10</v>
      </c>
      <c r="T2631" t="str" cm="1">
        <f t="array" ref="T2631">_xlfn.IFS(AND(N2631&lt;= 22, S2631=9), "SOWING",AND(N2631&lt;= 28, S2631=9), "COVERAGE",AND(N2631&lt;= 30, S2631=9), "FLUSH",AND(N2631&lt;= 11, S2631=10), "FLUSH",AND(N2631&lt;= 21, S2631=10), "PRODUCTION")</f>
        <v>FLUSH</v>
      </c>
      <c r="U2631">
        <f>HOUR(datos_siembra[[#This Row],[Hour]])</f>
        <v>1</v>
      </c>
      <c r="V2631" cm="1">
        <f t="array" ref="V2631">_xlfn.IFS(AND(N2631&lt;= 22, S2631=9), N2631-7,AND(N2631&lt;= 28, S2631=9), N2631-25,AND(N2631&lt;= 30, S2631=9), N2631-28,AND(N2631&lt;= 11, S2631=10), N2631+2,AND(N2631&lt;= 21, S2631=10), N2631-11)</f>
        <v>7</v>
      </c>
    </row>
    <row r="2632" spans="1:22" x14ac:dyDescent="0.35">
      <c r="A2632" s="4">
        <v>45570</v>
      </c>
      <c r="B2632" s="5">
        <v>6.5416666666666665E-2</v>
      </c>
      <c r="C2632">
        <v>66.900000000000006</v>
      </c>
      <c r="D2632">
        <v>66.900000000000006</v>
      </c>
      <c r="E2632">
        <v>65.599999999999994</v>
      </c>
      <c r="F2632">
        <v>65.099999999999994</v>
      </c>
      <c r="G2632">
        <v>0</v>
      </c>
      <c r="H2632">
        <v>0</v>
      </c>
      <c r="I2632">
        <v>0</v>
      </c>
      <c r="J2632">
        <v>0</v>
      </c>
      <c r="K2632">
        <v>62.3</v>
      </c>
      <c r="L2632">
        <v>62.7</v>
      </c>
      <c r="M2632">
        <v>66.14</v>
      </c>
      <c r="N2632">
        <v>5</v>
      </c>
      <c r="O2632">
        <v>4</v>
      </c>
      <c r="P2632">
        <f>MOD(DAY(datos_siembra[[#This Row],[Date]]),7)</f>
        <v>5</v>
      </c>
      <c r="Q2632" t="str">
        <f>CHOOSE(WEEKDAY(datos_siembra[[#This Row],[Date]],2),"L","M","X","J","V","S","D")</f>
        <v>S</v>
      </c>
      <c r="R2632">
        <f>WEEKNUM(datos_siembra[[#This Row],[Date]],2)-WEEKNUM(DATE(YEAR(datos_siembra[[#This Row],[Date]]),MONTH(datos_siembra[[#This Row],[Date]]),1))+1</f>
        <v>1</v>
      </c>
      <c r="S2632">
        <f>MONTH(datos_siembra[[#This Row],[Date]])</f>
        <v>10</v>
      </c>
      <c r="T2632" t="str" cm="1">
        <f t="array" ref="T2632">_xlfn.IFS(AND(N2632&lt;= 22, S2632=9), "SOWING",AND(N2632&lt;= 28, S2632=9), "COVERAGE",AND(N2632&lt;= 30, S2632=9), "FLUSH",AND(N2632&lt;= 11, S2632=10), "FLUSH",AND(N2632&lt;= 21, S2632=10), "PRODUCTION")</f>
        <v>FLUSH</v>
      </c>
      <c r="U2632">
        <f>HOUR(datos_siembra[[#This Row],[Hour]])</f>
        <v>1</v>
      </c>
      <c r="V2632" cm="1">
        <f t="array" ref="V2632">_xlfn.IFS(AND(N2632&lt;= 22, S2632=9), N2632-7,AND(N2632&lt;= 28, S2632=9), N2632-25,AND(N2632&lt;= 30, S2632=9), N2632-28,AND(N2632&lt;= 11, S2632=10), N2632+2,AND(N2632&lt;= 21, S2632=10), N2632-11)</f>
        <v>7</v>
      </c>
    </row>
    <row r="2633" spans="1:22" x14ac:dyDescent="0.35">
      <c r="A2633" s="4">
        <v>45570</v>
      </c>
      <c r="B2633" s="5">
        <v>7.2372685185185179E-2</v>
      </c>
      <c r="C2633">
        <v>66.8</v>
      </c>
      <c r="D2633">
        <v>66.900000000000006</v>
      </c>
      <c r="E2633">
        <v>65.599999999999994</v>
      </c>
      <c r="F2633">
        <v>65.099999999999994</v>
      </c>
      <c r="G2633">
        <v>0</v>
      </c>
      <c r="H2633">
        <v>0</v>
      </c>
      <c r="I2633">
        <v>0</v>
      </c>
      <c r="J2633">
        <v>0</v>
      </c>
      <c r="K2633">
        <v>62.3</v>
      </c>
      <c r="L2633">
        <v>62.7</v>
      </c>
      <c r="M2633">
        <v>66.12</v>
      </c>
      <c r="N2633">
        <v>5</v>
      </c>
      <c r="O2633">
        <v>4</v>
      </c>
      <c r="P2633">
        <f>MOD(DAY(datos_siembra[[#This Row],[Date]]),7)</f>
        <v>5</v>
      </c>
      <c r="Q2633" t="str">
        <f>CHOOSE(WEEKDAY(datos_siembra[[#This Row],[Date]],2),"L","M","X","J","V","S","D")</f>
        <v>S</v>
      </c>
      <c r="R2633">
        <f>WEEKNUM(datos_siembra[[#This Row],[Date]],2)-WEEKNUM(DATE(YEAR(datos_siembra[[#This Row],[Date]]),MONTH(datos_siembra[[#This Row],[Date]]),1))+1</f>
        <v>1</v>
      </c>
      <c r="S2633">
        <f>MONTH(datos_siembra[[#This Row],[Date]])</f>
        <v>10</v>
      </c>
      <c r="T2633" t="str" cm="1">
        <f t="array" ref="T2633">_xlfn.IFS(AND(N2633&lt;= 22, S2633=9), "SOWING",AND(N2633&lt;= 28, S2633=9), "COVERAGE",AND(N2633&lt;= 30, S2633=9), "FLUSH",AND(N2633&lt;= 11, S2633=10), "FLUSH",AND(N2633&lt;= 21, S2633=10), "PRODUCTION")</f>
        <v>FLUSH</v>
      </c>
      <c r="U2633">
        <f>HOUR(datos_siembra[[#This Row],[Hour]])</f>
        <v>1</v>
      </c>
      <c r="V2633" cm="1">
        <f t="array" ref="V2633">_xlfn.IFS(AND(N2633&lt;= 22, S2633=9), N2633-7,AND(N2633&lt;= 28, S2633=9), N2633-25,AND(N2633&lt;= 30, S2633=9), N2633-28,AND(N2633&lt;= 11, S2633=10), N2633+2,AND(N2633&lt;= 21, S2633=10), N2633-11)</f>
        <v>7</v>
      </c>
    </row>
    <row r="2634" spans="1:22" x14ac:dyDescent="0.35">
      <c r="A2634" s="4">
        <v>45570</v>
      </c>
      <c r="B2634" s="5">
        <v>7.9317129629629626E-2</v>
      </c>
      <c r="C2634">
        <v>66.8</v>
      </c>
      <c r="D2634">
        <v>66.900000000000006</v>
      </c>
      <c r="E2634">
        <v>65.599999999999994</v>
      </c>
      <c r="F2634">
        <v>65</v>
      </c>
      <c r="G2634">
        <v>0</v>
      </c>
      <c r="H2634">
        <v>0</v>
      </c>
      <c r="I2634">
        <v>0</v>
      </c>
      <c r="J2634">
        <v>0</v>
      </c>
      <c r="K2634">
        <v>62.4</v>
      </c>
      <c r="L2634">
        <v>62.7</v>
      </c>
      <c r="M2634">
        <v>66.14</v>
      </c>
      <c r="N2634">
        <v>5</v>
      </c>
      <c r="O2634">
        <v>4</v>
      </c>
      <c r="P2634">
        <f>MOD(DAY(datos_siembra[[#This Row],[Date]]),7)</f>
        <v>5</v>
      </c>
      <c r="Q2634" t="str">
        <f>CHOOSE(WEEKDAY(datos_siembra[[#This Row],[Date]],2),"L","M","X","J","V","S","D")</f>
        <v>S</v>
      </c>
      <c r="R2634">
        <f>WEEKNUM(datos_siembra[[#This Row],[Date]],2)-WEEKNUM(DATE(YEAR(datos_siembra[[#This Row],[Date]]),MONTH(datos_siembra[[#This Row],[Date]]),1))+1</f>
        <v>1</v>
      </c>
      <c r="S2634">
        <f>MONTH(datos_siembra[[#This Row],[Date]])</f>
        <v>10</v>
      </c>
      <c r="T2634" t="str" cm="1">
        <f t="array" ref="T2634">_xlfn.IFS(AND(N2634&lt;= 22, S2634=9), "SOWING",AND(N2634&lt;= 28, S2634=9), "COVERAGE",AND(N2634&lt;= 30, S2634=9), "FLUSH",AND(N2634&lt;= 11, S2634=10), "FLUSH",AND(N2634&lt;= 21, S2634=10), "PRODUCTION")</f>
        <v>FLUSH</v>
      </c>
      <c r="U2634">
        <f>HOUR(datos_siembra[[#This Row],[Hour]])</f>
        <v>1</v>
      </c>
      <c r="V2634" cm="1">
        <f t="array" ref="V2634">_xlfn.IFS(AND(N2634&lt;= 22, S2634=9), N2634-7,AND(N2634&lt;= 28, S2634=9), N2634-25,AND(N2634&lt;= 30, S2634=9), N2634-28,AND(N2634&lt;= 11, S2634=10), N2634+2,AND(N2634&lt;= 21, S2634=10), N2634-11)</f>
        <v>7</v>
      </c>
    </row>
    <row r="2635" spans="1:22" x14ac:dyDescent="0.35">
      <c r="A2635" s="4">
        <v>45570</v>
      </c>
      <c r="B2635" s="5">
        <v>8.6261574074074074E-2</v>
      </c>
      <c r="C2635">
        <v>66.8</v>
      </c>
      <c r="D2635">
        <v>67</v>
      </c>
      <c r="E2635">
        <v>65.599999999999994</v>
      </c>
      <c r="F2635">
        <v>65</v>
      </c>
      <c r="G2635">
        <v>0</v>
      </c>
      <c r="H2635">
        <v>0</v>
      </c>
      <c r="I2635">
        <v>0</v>
      </c>
      <c r="J2635">
        <v>0</v>
      </c>
      <c r="K2635">
        <v>62.3</v>
      </c>
      <c r="L2635">
        <v>62.7</v>
      </c>
      <c r="M2635">
        <v>66.14</v>
      </c>
      <c r="N2635">
        <v>5</v>
      </c>
      <c r="O2635">
        <v>4</v>
      </c>
      <c r="P2635">
        <f>MOD(DAY(datos_siembra[[#This Row],[Date]]),7)</f>
        <v>5</v>
      </c>
      <c r="Q2635" t="str">
        <f>CHOOSE(WEEKDAY(datos_siembra[[#This Row],[Date]],2),"L","M","X","J","V","S","D")</f>
        <v>S</v>
      </c>
      <c r="R2635">
        <f>WEEKNUM(datos_siembra[[#This Row],[Date]],2)-WEEKNUM(DATE(YEAR(datos_siembra[[#This Row],[Date]]),MONTH(datos_siembra[[#This Row],[Date]]),1))+1</f>
        <v>1</v>
      </c>
      <c r="S2635">
        <f>MONTH(datos_siembra[[#This Row],[Date]])</f>
        <v>10</v>
      </c>
      <c r="T2635" t="str" cm="1">
        <f t="array" ref="T2635">_xlfn.IFS(AND(N2635&lt;= 22, S2635=9), "SOWING",AND(N2635&lt;= 28, S2635=9), "COVERAGE",AND(N2635&lt;= 30, S2635=9), "FLUSH",AND(N2635&lt;= 11, S2635=10), "FLUSH",AND(N2635&lt;= 21, S2635=10), "PRODUCTION")</f>
        <v>FLUSH</v>
      </c>
      <c r="U2635">
        <f>HOUR(datos_siembra[[#This Row],[Hour]])</f>
        <v>2</v>
      </c>
      <c r="V2635" cm="1">
        <f t="array" ref="V2635">_xlfn.IFS(AND(N2635&lt;= 22, S2635=9), N2635-7,AND(N2635&lt;= 28, S2635=9), N2635-25,AND(N2635&lt;= 30, S2635=9), N2635-28,AND(N2635&lt;= 11, S2635=10), N2635+2,AND(N2635&lt;= 21, S2635=10), N2635-11)</f>
        <v>7</v>
      </c>
    </row>
    <row r="2636" spans="1:22" x14ac:dyDescent="0.35">
      <c r="A2636" s="4">
        <v>45570</v>
      </c>
      <c r="B2636" s="5">
        <v>9.3206018518518521E-2</v>
      </c>
      <c r="C2636">
        <v>66.900000000000006</v>
      </c>
      <c r="D2636">
        <v>67</v>
      </c>
      <c r="E2636">
        <v>65.599999999999994</v>
      </c>
      <c r="F2636">
        <v>65.099999999999994</v>
      </c>
      <c r="G2636">
        <v>0</v>
      </c>
      <c r="H2636">
        <v>0</v>
      </c>
      <c r="I2636">
        <v>0</v>
      </c>
      <c r="J2636">
        <v>0</v>
      </c>
      <c r="K2636">
        <v>62.3</v>
      </c>
      <c r="L2636">
        <v>62.7</v>
      </c>
      <c r="M2636">
        <v>66.03</v>
      </c>
      <c r="N2636">
        <v>5</v>
      </c>
      <c r="O2636">
        <v>4</v>
      </c>
      <c r="P2636">
        <f>MOD(DAY(datos_siembra[[#This Row],[Date]]),7)</f>
        <v>5</v>
      </c>
      <c r="Q2636" t="str">
        <f>CHOOSE(WEEKDAY(datos_siembra[[#This Row],[Date]],2),"L","M","X","J","V","S","D")</f>
        <v>S</v>
      </c>
      <c r="R2636">
        <f>WEEKNUM(datos_siembra[[#This Row],[Date]],2)-WEEKNUM(DATE(YEAR(datos_siembra[[#This Row],[Date]]),MONTH(datos_siembra[[#This Row],[Date]]),1))+1</f>
        <v>1</v>
      </c>
      <c r="S2636">
        <f>MONTH(datos_siembra[[#This Row],[Date]])</f>
        <v>10</v>
      </c>
      <c r="T2636" t="str" cm="1">
        <f t="array" ref="T2636">_xlfn.IFS(AND(N2636&lt;= 22, S2636=9), "SOWING",AND(N2636&lt;= 28, S2636=9), "COVERAGE",AND(N2636&lt;= 30, S2636=9), "FLUSH",AND(N2636&lt;= 11, S2636=10), "FLUSH",AND(N2636&lt;= 21, S2636=10), "PRODUCTION")</f>
        <v>FLUSH</v>
      </c>
      <c r="U2636">
        <f>HOUR(datos_siembra[[#This Row],[Hour]])</f>
        <v>2</v>
      </c>
      <c r="V2636" cm="1">
        <f t="array" ref="V2636">_xlfn.IFS(AND(N2636&lt;= 22, S2636=9), N2636-7,AND(N2636&lt;= 28, S2636=9), N2636-25,AND(N2636&lt;= 30, S2636=9), N2636-28,AND(N2636&lt;= 11, S2636=10), N2636+2,AND(N2636&lt;= 21, S2636=10), N2636-11)</f>
        <v>7</v>
      </c>
    </row>
    <row r="2637" spans="1:22" x14ac:dyDescent="0.35">
      <c r="A2637" s="4">
        <v>45570</v>
      </c>
      <c r="B2637" s="5">
        <v>0.10016203703703704</v>
      </c>
      <c r="C2637">
        <v>66.900000000000006</v>
      </c>
      <c r="D2637">
        <v>67.099999999999994</v>
      </c>
      <c r="E2637">
        <v>65.599999999999994</v>
      </c>
      <c r="F2637">
        <v>65</v>
      </c>
      <c r="G2637">
        <v>0</v>
      </c>
      <c r="H2637">
        <v>0</v>
      </c>
      <c r="I2637">
        <v>0</v>
      </c>
      <c r="J2637">
        <v>0</v>
      </c>
      <c r="K2637">
        <v>62.4</v>
      </c>
      <c r="L2637">
        <v>62.7</v>
      </c>
      <c r="M2637">
        <v>66.12</v>
      </c>
      <c r="N2637">
        <v>5</v>
      </c>
      <c r="O2637">
        <v>4</v>
      </c>
      <c r="P2637">
        <f>MOD(DAY(datos_siembra[[#This Row],[Date]]),7)</f>
        <v>5</v>
      </c>
      <c r="Q2637" t="str">
        <f>CHOOSE(WEEKDAY(datos_siembra[[#This Row],[Date]],2),"L","M","X","J","V","S","D")</f>
        <v>S</v>
      </c>
      <c r="R2637">
        <f>WEEKNUM(datos_siembra[[#This Row],[Date]],2)-WEEKNUM(DATE(YEAR(datos_siembra[[#This Row],[Date]]),MONTH(datos_siembra[[#This Row],[Date]]),1))+1</f>
        <v>1</v>
      </c>
      <c r="S2637">
        <f>MONTH(datos_siembra[[#This Row],[Date]])</f>
        <v>10</v>
      </c>
      <c r="T2637" t="str" cm="1">
        <f t="array" ref="T2637">_xlfn.IFS(AND(N2637&lt;= 22, S2637=9), "SOWING",AND(N2637&lt;= 28, S2637=9), "COVERAGE",AND(N2637&lt;= 30, S2637=9), "FLUSH",AND(N2637&lt;= 11, S2637=10), "FLUSH",AND(N2637&lt;= 21, S2637=10), "PRODUCTION")</f>
        <v>FLUSH</v>
      </c>
      <c r="U2637">
        <f>HOUR(datos_siembra[[#This Row],[Hour]])</f>
        <v>2</v>
      </c>
      <c r="V2637" cm="1">
        <f t="array" ref="V2637">_xlfn.IFS(AND(N2637&lt;= 22, S2637=9), N2637-7,AND(N2637&lt;= 28, S2637=9), N2637-25,AND(N2637&lt;= 30, S2637=9), N2637-28,AND(N2637&lt;= 11, S2637=10), N2637+2,AND(N2637&lt;= 21, S2637=10), N2637-11)</f>
        <v>7</v>
      </c>
    </row>
    <row r="2638" spans="1:22" x14ac:dyDescent="0.35">
      <c r="A2638" s="4">
        <v>45570</v>
      </c>
      <c r="B2638" s="5">
        <v>0.10710648148148148</v>
      </c>
      <c r="C2638">
        <v>66.8</v>
      </c>
      <c r="D2638">
        <v>67</v>
      </c>
      <c r="E2638">
        <v>65.5</v>
      </c>
      <c r="F2638">
        <v>65</v>
      </c>
      <c r="G2638">
        <v>0</v>
      </c>
      <c r="H2638">
        <v>0</v>
      </c>
      <c r="I2638">
        <v>0</v>
      </c>
      <c r="J2638">
        <v>0</v>
      </c>
      <c r="K2638">
        <v>62.4</v>
      </c>
      <c r="L2638">
        <v>62.7</v>
      </c>
      <c r="M2638">
        <v>66.14</v>
      </c>
      <c r="N2638">
        <v>5</v>
      </c>
      <c r="O2638">
        <v>4</v>
      </c>
      <c r="P2638">
        <f>MOD(DAY(datos_siembra[[#This Row],[Date]]),7)</f>
        <v>5</v>
      </c>
      <c r="Q2638" t="str">
        <f>CHOOSE(WEEKDAY(datos_siembra[[#This Row],[Date]],2),"L","M","X","J","V","S","D")</f>
        <v>S</v>
      </c>
      <c r="R2638">
        <f>WEEKNUM(datos_siembra[[#This Row],[Date]],2)-WEEKNUM(DATE(YEAR(datos_siembra[[#This Row],[Date]]),MONTH(datos_siembra[[#This Row],[Date]]),1))+1</f>
        <v>1</v>
      </c>
      <c r="S2638">
        <f>MONTH(datos_siembra[[#This Row],[Date]])</f>
        <v>10</v>
      </c>
      <c r="T2638" t="str" cm="1">
        <f t="array" ref="T2638">_xlfn.IFS(AND(N2638&lt;= 22, S2638=9), "SOWING",AND(N2638&lt;= 28, S2638=9), "COVERAGE",AND(N2638&lt;= 30, S2638=9), "FLUSH",AND(N2638&lt;= 11, S2638=10), "FLUSH",AND(N2638&lt;= 21, S2638=10), "PRODUCTION")</f>
        <v>FLUSH</v>
      </c>
      <c r="U2638">
        <f>HOUR(datos_siembra[[#This Row],[Hour]])</f>
        <v>2</v>
      </c>
      <c r="V2638" cm="1">
        <f t="array" ref="V2638">_xlfn.IFS(AND(N2638&lt;= 22, S2638=9), N2638-7,AND(N2638&lt;= 28, S2638=9), N2638-25,AND(N2638&lt;= 30, S2638=9), N2638-28,AND(N2638&lt;= 11, S2638=10), N2638+2,AND(N2638&lt;= 21, S2638=10), N2638-11)</f>
        <v>7</v>
      </c>
    </row>
    <row r="2639" spans="1:22" x14ac:dyDescent="0.35">
      <c r="A2639" s="4">
        <v>45570</v>
      </c>
      <c r="B2639" s="5">
        <v>0.11405092592592593</v>
      </c>
      <c r="C2639">
        <v>66.900000000000006</v>
      </c>
      <c r="D2639">
        <v>67</v>
      </c>
      <c r="E2639">
        <v>65.599999999999994</v>
      </c>
      <c r="F2639">
        <v>65.2</v>
      </c>
      <c r="G2639">
        <v>0</v>
      </c>
      <c r="H2639">
        <v>0</v>
      </c>
      <c r="I2639">
        <v>0</v>
      </c>
      <c r="J2639">
        <v>0</v>
      </c>
      <c r="K2639">
        <v>62.3</v>
      </c>
      <c r="L2639">
        <v>62.7</v>
      </c>
      <c r="M2639">
        <v>66.17</v>
      </c>
      <c r="N2639">
        <v>5</v>
      </c>
      <c r="O2639">
        <v>4</v>
      </c>
      <c r="P2639">
        <f>MOD(DAY(datos_siembra[[#This Row],[Date]]),7)</f>
        <v>5</v>
      </c>
      <c r="Q2639" t="str">
        <f>CHOOSE(WEEKDAY(datos_siembra[[#This Row],[Date]],2),"L","M","X","J","V","S","D")</f>
        <v>S</v>
      </c>
      <c r="R2639">
        <f>WEEKNUM(datos_siembra[[#This Row],[Date]],2)-WEEKNUM(DATE(YEAR(datos_siembra[[#This Row],[Date]]),MONTH(datos_siembra[[#This Row],[Date]]),1))+1</f>
        <v>1</v>
      </c>
      <c r="S2639">
        <f>MONTH(datos_siembra[[#This Row],[Date]])</f>
        <v>10</v>
      </c>
      <c r="T2639" t="str" cm="1">
        <f t="array" ref="T2639">_xlfn.IFS(AND(N2639&lt;= 22, S2639=9), "SOWING",AND(N2639&lt;= 28, S2639=9), "COVERAGE",AND(N2639&lt;= 30, S2639=9), "FLUSH",AND(N2639&lt;= 11, S2639=10), "FLUSH",AND(N2639&lt;= 21, S2639=10), "PRODUCTION")</f>
        <v>FLUSH</v>
      </c>
      <c r="U2639">
        <f>HOUR(datos_siembra[[#This Row],[Hour]])</f>
        <v>2</v>
      </c>
      <c r="V2639" cm="1">
        <f t="array" ref="V2639">_xlfn.IFS(AND(N2639&lt;= 22, S2639=9), N2639-7,AND(N2639&lt;= 28, S2639=9), N2639-25,AND(N2639&lt;= 30, S2639=9), N2639-28,AND(N2639&lt;= 11, S2639=10), N2639+2,AND(N2639&lt;= 21, S2639=10), N2639-11)</f>
        <v>7</v>
      </c>
    </row>
    <row r="2640" spans="1:22" x14ac:dyDescent="0.35">
      <c r="A2640" s="4">
        <v>45570</v>
      </c>
      <c r="B2640" s="5">
        <v>0.12099537037037036</v>
      </c>
      <c r="C2640">
        <v>66.900000000000006</v>
      </c>
      <c r="D2640">
        <v>67</v>
      </c>
      <c r="E2640">
        <v>65.5</v>
      </c>
      <c r="F2640">
        <v>65.099999999999994</v>
      </c>
      <c r="G2640">
        <v>0</v>
      </c>
      <c r="H2640">
        <v>0</v>
      </c>
      <c r="I2640">
        <v>0</v>
      </c>
      <c r="J2640">
        <v>0</v>
      </c>
      <c r="K2640">
        <v>62.3</v>
      </c>
      <c r="L2640">
        <v>62.7</v>
      </c>
      <c r="M2640">
        <v>66.14</v>
      </c>
      <c r="N2640">
        <v>5</v>
      </c>
      <c r="O2640">
        <v>4</v>
      </c>
      <c r="P2640">
        <f>MOD(DAY(datos_siembra[[#This Row],[Date]]),7)</f>
        <v>5</v>
      </c>
      <c r="Q2640" t="str">
        <f>CHOOSE(WEEKDAY(datos_siembra[[#This Row],[Date]],2),"L","M","X","J","V","S","D")</f>
        <v>S</v>
      </c>
      <c r="R2640">
        <f>WEEKNUM(datos_siembra[[#This Row],[Date]],2)-WEEKNUM(DATE(YEAR(datos_siembra[[#This Row],[Date]]),MONTH(datos_siembra[[#This Row],[Date]]),1))+1</f>
        <v>1</v>
      </c>
      <c r="S2640">
        <f>MONTH(datos_siembra[[#This Row],[Date]])</f>
        <v>10</v>
      </c>
      <c r="T2640" t="str" cm="1">
        <f t="array" ref="T2640">_xlfn.IFS(AND(N2640&lt;= 22, S2640=9), "SOWING",AND(N2640&lt;= 28, S2640=9), "COVERAGE",AND(N2640&lt;= 30, S2640=9), "FLUSH",AND(N2640&lt;= 11, S2640=10), "FLUSH",AND(N2640&lt;= 21, S2640=10), "PRODUCTION")</f>
        <v>FLUSH</v>
      </c>
      <c r="U2640">
        <f>HOUR(datos_siembra[[#This Row],[Hour]])</f>
        <v>2</v>
      </c>
      <c r="V2640" cm="1">
        <f t="array" ref="V2640">_xlfn.IFS(AND(N2640&lt;= 22, S2640=9), N2640-7,AND(N2640&lt;= 28, S2640=9), N2640-25,AND(N2640&lt;= 30, S2640=9), N2640-28,AND(N2640&lt;= 11, S2640=10), N2640+2,AND(N2640&lt;= 21, S2640=10), N2640-11)</f>
        <v>7</v>
      </c>
    </row>
    <row r="2641" spans="1:22" x14ac:dyDescent="0.35">
      <c r="A2641" s="4">
        <v>45570</v>
      </c>
      <c r="B2641" s="5">
        <v>0.12795138888888888</v>
      </c>
      <c r="C2641">
        <v>66.900000000000006</v>
      </c>
      <c r="D2641">
        <v>66.900000000000006</v>
      </c>
      <c r="E2641">
        <v>65.599999999999994</v>
      </c>
      <c r="F2641">
        <v>65.099999999999994</v>
      </c>
      <c r="G2641">
        <v>0</v>
      </c>
      <c r="H2641">
        <v>0</v>
      </c>
      <c r="I2641">
        <v>0</v>
      </c>
      <c r="J2641">
        <v>0</v>
      </c>
      <c r="K2641">
        <v>62.3</v>
      </c>
      <c r="L2641">
        <v>62.7</v>
      </c>
      <c r="M2641">
        <v>66.17</v>
      </c>
      <c r="N2641">
        <v>5</v>
      </c>
      <c r="O2641">
        <v>4</v>
      </c>
      <c r="P2641">
        <f>MOD(DAY(datos_siembra[[#This Row],[Date]]),7)</f>
        <v>5</v>
      </c>
      <c r="Q2641" t="str">
        <f>CHOOSE(WEEKDAY(datos_siembra[[#This Row],[Date]],2),"L","M","X","J","V","S","D")</f>
        <v>S</v>
      </c>
      <c r="R2641">
        <f>WEEKNUM(datos_siembra[[#This Row],[Date]],2)-WEEKNUM(DATE(YEAR(datos_siembra[[#This Row],[Date]]),MONTH(datos_siembra[[#This Row],[Date]]),1))+1</f>
        <v>1</v>
      </c>
      <c r="S2641">
        <f>MONTH(datos_siembra[[#This Row],[Date]])</f>
        <v>10</v>
      </c>
      <c r="T2641" t="str" cm="1">
        <f t="array" ref="T2641">_xlfn.IFS(AND(N2641&lt;= 22, S2641=9), "SOWING",AND(N2641&lt;= 28, S2641=9), "COVERAGE",AND(N2641&lt;= 30, S2641=9), "FLUSH",AND(N2641&lt;= 11, S2641=10), "FLUSH",AND(N2641&lt;= 21, S2641=10), "PRODUCTION")</f>
        <v>FLUSH</v>
      </c>
      <c r="U2641">
        <f>HOUR(datos_siembra[[#This Row],[Hour]])</f>
        <v>3</v>
      </c>
      <c r="V2641" cm="1">
        <f t="array" ref="V2641">_xlfn.IFS(AND(N2641&lt;= 22, S2641=9), N2641-7,AND(N2641&lt;= 28, S2641=9), N2641-25,AND(N2641&lt;= 30, S2641=9), N2641-28,AND(N2641&lt;= 11, S2641=10), N2641+2,AND(N2641&lt;= 21, S2641=10), N2641-11)</f>
        <v>7</v>
      </c>
    </row>
    <row r="2642" spans="1:22" x14ac:dyDescent="0.35">
      <c r="A2642" s="4">
        <v>45570</v>
      </c>
      <c r="B2642" s="5">
        <v>0.13489583333333333</v>
      </c>
      <c r="C2642">
        <v>66.900000000000006</v>
      </c>
      <c r="D2642">
        <v>67.099999999999994</v>
      </c>
      <c r="E2642">
        <v>65.599999999999994</v>
      </c>
      <c r="F2642">
        <v>65.2</v>
      </c>
      <c r="G2642">
        <v>0</v>
      </c>
      <c r="H2642">
        <v>0</v>
      </c>
      <c r="I2642">
        <v>0</v>
      </c>
      <c r="J2642">
        <v>0</v>
      </c>
      <c r="K2642">
        <v>62.3</v>
      </c>
      <c r="L2642">
        <v>62.7</v>
      </c>
      <c r="M2642">
        <v>66.14</v>
      </c>
      <c r="N2642">
        <v>5</v>
      </c>
      <c r="O2642">
        <v>4</v>
      </c>
      <c r="P2642">
        <f>MOD(DAY(datos_siembra[[#This Row],[Date]]),7)</f>
        <v>5</v>
      </c>
      <c r="Q2642" t="str">
        <f>CHOOSE(WEEKDAY(datos_siembra[[#This Row],[Date]],2),"L","M","X","J","V","S","D")</f>
        <v>S</v>
      </c>
      <c r="R2642">
        <f>WEEKNUM(datos_siembra[[#This Row],[Date]],2)-WEEKNUM(DATE(YEAR(datos_siembra[[#This Row],[Date]]),MONTH(datos_siembra[[#This Row],[Date]]),1))+1</f>
        <v>1</v>
      </c>
      <c r="S2642">
        <f>MONTH(datos_siembra[[#This Row],[Date]])</f>
        <v>10</v>
      </c>
      <c r="T2642" t="str" cm="1">
        <f t="array" ref="T2642">_xlfn.IFS(AND(N2642&lt;= 22, S2642=9), "SOWING",AND(N2642&lt;= 28, S2642=9), "COVERAGE",AND(N2642&lt;= 30, S2642=9), "FLUSH",AND(N2642&lt;= 11, S2642=10), "FLUSH",AND(N2642&lt;= 21, S2642=10), "PRODUCTION")</f>
        <v>FLUSH</v>
      </c>
      <c r="U2642">
        <f>HOUR(datos_siembra[[#This Row],[Hour]])</f>
        <v>3</v>
      </c>
      <c r="V2642" cm="1">
        <f t="array" ref="V2642">_xlfn.IFS(AND(N2642&lt;= 22, S2642=9), N2642-7,AND(N2642&lt;= 28, S2642=9), N2642-25,AND(N2642&lt;= 30, S2642=9), N2642-28,AND(N2642&lt;= 11, S2642=10), N2642+2,AND(N2642&lt;= 21, S2642=10), N2642-11)</f>
        <v>7</v>
      </c>
    </row>
    <row r="2643" spans="1:22" x14ac:dyDescent="0.35">
      <c r="A2643" s="4">
        <v>45570</v>
      </c>
      <c r="B2643" s="5">
        <v>0.14184027777777777</v>
      </c>
      <c r="C2643">
        <v>66.8</v>
      </c>
      <c r="D2643">
        <v>66.900000000000006</v>
      </c>
      <c r="E2643">
        <v>65.599999999999994</v>
      </c>
      <c r="F2643">
        <v>65.099999999999994</v>
      </c>
      <c r="G2643">
        <v>0</v>
      </c>
      <c r="H2643">
        <v>0</v>
      </c>
      <c r="I2643">
        <v>0</v>
      </c>
      <c r="J2643">
        <v>0</v>
      </c>
      <c r="K2643">
        <v>62.3</v>
      </c>
      <c r="L2643">
        <v>62.7</v>
      </c>
      <c r="M2643">
        <v>66.09</v>
      </c>
      <c r="N2643">
        <v>5</v>
      </c>
      <c r="O2643">
        <v>4</v>
      </c>
      <c r="P2643">
        <f>MOD(DAY(datos_siembra[[#This Row],[Date]]),7)</f>
        <v>5</v>
      </c>
      <c r="Q2643" t="str">
        <f>CHOOSE(WEEKDAY(datos_siembra[[#This Row],[Date]],2),"L","M","X","J","V","S","D")</f>
        <v>S</v>
      </c>
      <c r="R2643">
        <f>WEEKNUM(datos_siembra[[#This Row],[Date]],2)-WEEKNUM(DATE(YEAR(datos_siembra[[#This Row],[Date]]),MONTH(datos_siembra[[#This Row],[Date]]),1))+1</f>
        <v>1</v>
      </c>
      <c r="S2643">
        <f>MONTH(datos_siembra[[#This Row],[Date]])</f>
        <v>10</v>
      </c>
      <c r="T2643" t="str" cm="1">
        <f t="array" ref="T2643">_xlfn.IFS(AND(N2643&lt;= 22, S2643=9), "SOWING",AND(N2643&lt;= 28, S2643=9), "COVERAGE",AND(N2643&lt;= 30, S2643=9), "FLUSH",AND(N2643&lt;= 11, S2643=10), "FLUSH",AND(N2643&lt;= 21, S2643=10), "PRODUCTION")</f>
        <v>FLUSH</v>
      </c>
      <c r="U2643">
        <f>HOUR(datos_siembra[[#This Row],[Hour]])</f>
        <v>3</v>
      </c>
      <c r="V2643" cm="1">
        <f t="array" ref="V2643">_xlfn.IFS(AND(N2643&lt;= 22, S2643=9), N2643-7,AND(N2643&lt;= 28, S2643=9), N2643-25,AND(N2643&lt;= 30, S2643=9), N2643-28,AND(N2643&lt;= 11, S2643=10), N2643+2,AND(N2643&lt;= 21, S2643=10), N2643-11)</f>
        <v>7</v>
      </c>
    </row>
    <row r="2644" spans="1:22" x14ac:dyDescent="0.35">
      <c r="A2644" s="4">
        <v>45570</v>
      </c>
      <c r="B2644" s="5">
        <v>0.14879629629629629</v>
      </c>
      <c r="C2644">
        <v>66.8</v>
      </c>
      <c r="D2644">
        <v>66.900000000000006</v>
      </c>
      <c r="E2644">
        <v>65.599999999999994</v>
      </c>
      <c r="F2644">
        <v>65.099999999999994</v>
      </c>
      <c r="G2644">
        <v>0</v>
      </c>
      <c r="H2644">
        <v>0</v>
      </c>
      <c r="I2644">
        <v>0</v>
      </c>
      <c r="J2644">
        <v>0</v>
      </c>
      <c r="K2644">
        <v>62.3</v>
      </c>
      <c r="L2644">
        <v>62.7</v>
      </c>
      <c r="M2644">
        <v>66.17</v>
      </c>
      <c r="N2644">
        <v>5</v>
      </c>
      <c r="O2644">
        <v>4</v>
      </c>
      <c r="P2644">
        <f>MOD(DAY(datos_siembra[[#This Row],[Date]]),7)</f>
        <v>5</v>
      </c>
      <c r="Q2644" t="str">
        <f>CHOOSE(WEEKDAY(datos_siembra[[#This Row],[Date]],2),"L","M","X","J","V","S","D")</f>
        <v>S</v>
      </c>
      <c r="R2644">
        <f>WEEKNUM(datos_siembra[[#This Row],[Date]],2)-WEEKNUM(DATE(YEAR(datos_siembra[[#This Row],[Date]]),MONTH(datos_siembra[[#This Row],[Date]]),1))+1</f>
        <v>1</v>
      </c>
      <c r="S2644">
        <f>MONTH(datos_siembra[[#This Row],[Date]])</f>
        <v>10</v>
      </c>
      <c r="T2644" t="str" cm="1">
        <f t="array" ref="T2644">_xlfn.IFS(AND(N2644&lt;= 22, S2644=9), "SOWING",AND(N2644&lt;= 28, S2644=9), "COVERAGE",AND(N2644&lt;= 30, S2644=9), "FLUSH",AND(N2644&lt;= 11, S2644=10), "FLUSH",AND(N2644&lt;= 21, S2644=10), "PRODUCTION")</f>
        <v>FLUSH</v>
      </c>
      <c r="U2644">
        <f>HOUR(datos_siembra[[#This Row],[Hour]])</f>
        <v>3</v>
      </c>
      <c r="V2644" cm="1">
        <f t="array" ref="V2644">_xlfn.IFS(AND(N2644&lt;= 22, S2644=9), N2644-7,AND(N2644&lt;= 28, S2644=9), N2644-25,AND(N2644&lt;= 30, S2644=9), N2644-28,AND(N2644&lt;= 11, S2644=10), N2644+2,AND(N2644&lt;= 21, S2644=10), N2644-11)</f>
        <v>7</v>
      </c>
    </row>
    <row r="2645" spans="1:22" x14ac:dyDescent="0.35">
      <c r="A2645" s="4">
        <v>45570</v>
      </c>
      <c r="B2645" s="5">
        <v>0.15574074074074074</v>
      </c>
      <c r="C2645">
        <v>66.900000000000006</v>
      </c>
      <c r="D2645">
        <v>67</v>
      </c>
      <c r="E2645">
        <v>65.8</v>
      </c>
      <c r="F2645">
        <v>65.2</v>
      </c>
      <c r="G2645">
        <v>0</v>
      </c>
      <c r="H2645">
        <v>0</v>
      </c>
      <c r="I2645">
        <v>0</v>
      </c>
      <c r="J2645">
        <v>0</v>
      </c>
      <c r="K2645">
        <v>62.3</v>
      </c>
      <c r="L2645">
        <v>62.6</v>
      </c>
      <c r="M2645">
        <v>66.12</v>
      </c>
      <c r="N2645">
        <v>5</v>
      </c>
      <c r="O2645">
        <v>4</v>
      </c>
      <c r="P2645">
        <f>MOD(DAY(datos_siembra[[#This Row],[Date]]),7)</f>
        <v>5</v>
      </c>
      <c r="Q2645" t="str">
        <f>CHOOSE(WEEKDAY(datos_siembra[[#This Row],[Date]],2),"L","M","X","J","V","S","D")</f>
        <v>S</v>
      </c>
      <c r="R2645">
        <f>WEEKNUM(datos_siembra[[#This Row],[Date]],2)-WEEKNUM(DATE(YEAR(datos_siembra[[#This Row],[Date]]),MONTH(datos_siembra[[#This Row],[Date]]),1))+1</f>
        <v>1</v>
      </c>
      <c r="S2645">
        <f>MONTH(datos_siembra[[#This Row],[Date]])</f>
        <v>10</v>
      </c>
      <c r="T2645" t="str" cm="1">
        <f t="array" ref="T2645">_xlfn.IFS(AND(N2645&lt;= 22, S2645=9), "SOWING",AND(N2645&lt;= 28, S2645=9), "COVERAGE",AND(N2645&lt;= 30, S2645=9), "FLUSH",AND(N2645&lt;= 11, S2645=10), "FLUSH",AND(N2645&lt;= 21, S2645=10), "PRODUCTION")</f>
        <v>FLUSH</v>
      </c>
      <c r="U2645">
        <f>HOUR(datos_siembra[[#This Row],[Hour]])</f>
        <v>3</v>
      </c>
      <c r="V2645" cm="1">
        <f t="array" ref="V2645">_xlfn.IFS(AND(N2645&lt;= 22, S2645=9), N2645-7,AND(N2645&lt;= 28, S2645=9), N2645-25,AND(N2645&lt;= 30, S2645=9), N2645-28,AND(N2645&lt;= 11, S2645=10), N2645+2,AND(N2645&lt;= 21, S2645=10), N2645-11)</f>
        <v>7</v>
      </c>
    </row>
    <row r="2646" spans="1:22" x14ac:dyDescent="0.35">
      <c r="A2646" s="4">
        <v>45570</v>
      </c>
      <c r="B2646" s="5">
        <v>0.16268518518518518</v>
      </c>
      <c r="C2646">
        <v>66.8</v>
      </c>
      <c r="D2646">
        <v>67</v>
      </c>
      <c r="E2646">
        <v>65.599999999999994</v>
      </c>
      <c r="F2646">
        <v>65.2</v>
      </c>
      <c r="G2646">
        <v>0</v>
      </c>
      <c r="H2646">
        <v>0</v>
      </c>
      <c r="I2646">
        <v>0</v>
      </c>
      <c r="J2646">
        <v>0</v>
      </c>
      <c r="K2646">
        <v>62.3</v>
      </c>
      <c r="L2646">
        <v>62.6</v>
      </c>
      <c r="M2646">
        <v>66.17</v>
      </c>
      <c r="N2646">
        <v>5</v>
      </c>
      <c r="O2646">
        <v>4</v>
      </c>
      <c r="P2646">
        <f>MOD(DAY(datos_siembra[[#This Row],[Date]]),7)</f>
        <v>5</v>
      </c>
      <c r="Q2646" t="str">
        <f>CHOOSE(WEEKDAY(datos_siembra[[#This Row],[Date]],2),"L","M","X","J","V","S","D")</f>
        <v>S</v>
      </c>
      <c r="R2646">
        <f>WEEKNUM(datos_siembra[[#This Row],[Date]],2)-WEEKNUM(DATE(YEAR(datos_siembra[[#This Row],[Date]]),MONTH(datos_siembra[[#This Row],[Date]]),1))+1</f>
        <v>1</v>
      </c>
      <c r="S2646">
        <f>MONTH(datos_siembra[[#This Row],[Date]])</f>
        <v>10</v>
      </c>
      <c r="T2646" t="str" cm="1">
        <f t="array" ref="T2646">_xlfn.IFS(AND(N2646&lt;= 22, S2646=9), "SOWING",AND(N2646&lt;= 28, S2646=9), "COVERAGE",AND(N2646&lt;= 30, S2646=9), "FLUSH",AND(N2646&lt;= 11, S2646=10), "FLUSH",AND(N2646&lt;= 21, S2646=10), "PRODUCTION")</f>
        <v>FLUSH</v>
      </c>
      <c r="U2646">
        <f>HOUR(datos_siembra[[#This Row],[Hour]])</f>
        <v>3</v>
      </c>
      <c r="V2646" cm="1">
        <f t="array" ref="V2646">_xlfn.IFS(AND(N2646&lt;= 22, S2646=9), N2646-7,AND(N2646&lt;= 28, S2646=9), N2646-25,AND(N2646&lt;= 30, S2646=9), N2646-28,AND(N2646&lt;= 11, S2646=10), N2646+2,AND(N2646&lt;= 21, S2646=10), N2646-11)</f>
        <v>7</v>
      </c>
    </row>
    <row r="2647" spans="1:22" x14ac:dyDescent="0.35">
      <c r="A2647" s="4">
        <v>45570</v>
      </c>
      <c r="B2647" s="5">
        <v>0.16962962962962963</v>
      </c>
      <c r="C2647">
        <v>66.900000000000006</v>
      </c>
      <c r="D2647">
        <v>67.099999999999994</v>
      </c>
      <c r="E2647">
        <v>65.8</v>
      </c>
      <c r="F2647">
        <v>65.2</v>
      </c>
      <c r="G2647">
        <v>0</v>
      </c>
      <c r="H2647">
        <v>0</v>
      </c>
      <c r="I2647">
        <v>0</v>
      </c>
      <c r="J2647">
        <v>0</v>
      </c>
      <c r="K2647">
        <v>62.3</v>
      </c>
      <c r="L2647">
        <v>62.6</v>
      </c>
      <c r="M2647">
        <v>66.2</v>
      </c>
      <c r="N2647">
        <v>5</v>
      </c>
      <c r="O2647">
        <v>4</v>
      </c>
      <c r="P2647">
        <f>MOD(DAY(datos_siembra[[#This Row],[Date]]),7)</f>
        <v>5</v>
      </c>
      <c r="Q2647" t="str">
        <f>CHOOSE(WEEKDAY(datos_siembra[[#This Row],[Date]],2),"L","M","X","J","V","S","D")</f>
        <v>S</v>
      </c>
      <c r="R2647">
        <f>WEEKNUM(datos_siembra[[#This Row],[Date]],2)-WEEKNUM(DATE(YEAR(datos_siembra[[#This Row],[Date]]),MONTH(datos_siembra[[#This Row],[Date]]),1))+1</f>
        <v>1</v>
      </c>
      <c r="S2647">
        <f>MONTH(datos_siembra[[#This Row],[Date]])</f>
        <v>10</v>
      </c>
      <c r="T2647" t="str" cm="1">
        <f t="array" ref="T2647">_xlfn.IFS(AND(N2647&lt;= 22, S2647=9), "SOWING",AND(N2647&lt;= 28, S2647=9), "COVERAGE",AND(N2647&lt;= 30, S2647=9), "FLUSH",AND(N2647&lt;= 11, S2647=10), "FLUSH",AND(N2647&lt;= 21, S2647=10), "PRODUCTION")</f>
        <v>FLUSH</v>
      </c>
      <c r="U2647">
        <f>HOUR(datos_siembra[[#This Row],[Hour]])</f>
        <v>4</v>
      </c>
      <c r="V2647" cm="1">
        <f t="array" ref="V2647">_xlfn.IFS(AND(N2647&lt;= 22, S2647=9), N2647-7,AND(N2647&lt;= 28, S2647=9), N2647-25,AND(N2647&lt;= 30, S2647=9), N2647-28,AND(N2647&lt;= 11, S2647=10), N2647+2,AND(N2647&lt;= 21, S2647=10), N2647-11)</f>
        <v>7</v>
      </c>
    </row>
    <row r="2648" spans="1:22" x14ac:dyDescent="0.35">
      <c r="A2648" s="4">
        <v>45570</v>
      </c>
      <c r="B2648" s="5">
        <v>0.17658564814814814</v>
      </c>
      <c r="C2648">
        <v>66.900000000000006</v>
      </c>
      <c r="D2648">
        <v>66.900000000000006</v>
      </c>
      <c r="E2648">
        <v>65.599999999999994</v>
      </c>
      <c r="F2648">
        <v>65.2</v>
      </c>
      <c r="G2648">
        <v>0</v>
      </c>
      <c r="H2648">
        <v>0</v>
      </c>
      <c r="I2648">
        <v>0</v>
      </c>
      <c r="J2648">
        <v>0</v>
      </c>
      <c r="K2648">
        <v>62.3</v>
      </c>
      <c r="L2648">
        <v>62.6</v>
      </c>
      <c r="M2648">
        <v>66.12</v>
      </c>
      <c r="N2648">
        <v>5</v>
      </c>
      <c r="O2648">
        <v>4</v>
      </c>
      <c r="P2648">
        <f>MOD(DAY(datos_siembra[[#This Row],[Date]]),7)</f>
        <v>5</v>
      </c>
      <c r="Q2648" t="str">
        <f>CHOOSE(WEEKDAY(datos_siembra[[#This Row],[Date]],2),"L","M","X","J","V","S","D")</f>
        <v>S</v>
      </c>
      <c r="R2648">
        <f>WEEKNUM(datos_siembra[[#This Row],[Date]],2)-WEEKNUM(DATE(YEAR(datos_siembra[[#This Row],[Date]]),MONTH(datos_siembra[[#This Row],[Date]]),1))+1</f>
        <v>1</v>
      </c>
      <c r="S2648">
        <f>MONTH(datos_siembra[[#This Row],[Date]])</f>
        <v>10</v>
      </c>
      <c r="T2648" t="str" cm="1">
        <f t="array" ref="T2648">_xlfn.IFS(AND(N2648&lt;= 22, S2648=9), "SOWING",AND(N2648&lt;= 28, S2648=9), "COVERAGE",AND(N2648&lt;= 30, S2648=9), "FLUSH",AND(N2648&lt;= 11, S2648=10), "FLUSH",AND(N2648&lt;= 21, S2648=10), "PRODUCTION")</f>
        <v>FLUSH</v>
      </c>
      <c r="U2648">
        <f>HOUR(datos_siembra[[#This Row],[Hour]])</f>
        <v>4</v>
      </c>
      <c r="V2648" cm="1">
        <f t="array" ref="V2648">_xlfn.IFS(AND(N2648&lt;= 22, S2648=9), N2648-7,AND(N2648&lt;= 28, S2648=9), N2648-25,AND(N2648&lt;= 30, S2648=9), N2648-28,AND(N2648&lt;= 11, S2648=10), N2648+2,AND(N2648&lt;= 21, S2648=10), N2648-11)</f>
        <v>7</v>
      </c>
    </row>
    <row r="2649" spans="1:22" x14ac:dyDescent="0.35">
      <c r="A2649" s="4">
        <v>45570</v>
      </c>
      <c r="B2649" s="5">
        <v>0.18353009259259259</v>
      </c>
      <c r="C2649">
        <v>66.8</v>
      </c>
      <c r="D2649">
        <v>67</v>
      </c>
      <c r="E2649">
        <v>65.8</v>
      </c>
      <c r="F2649">
        <v>65.099999999999994</v>
      </c>
      <c r="G2649">
        <v>0</v>
      </c>
      <c r="H2649">
        <v>0</v>
      </c>
      <c r="I2649">
        <v>0</v>
      </c>
      <c r="J2649">
        <v>0</v>
      </c>
      <c r="K2649">
        <v>62.2</v>
      </c>
      <c r="L2649">
        <v>62.6</v>
      </c>
      <c r="M2649">
        <v>66.2</v>
      </c>
      <c r="N2649">
        <v>5</v>
      </c>
      <c r="O2649">
        <v>4</v>
      </c>
      <c r="P2649">
        <f>MOD(DAY(datos_siembra[[#This Row],[Date]]),7)</f>
        <v>5</v>
      </c>
      <c r="Q2649" t="str">
        <f>CHOOSE(WEEKDAY(datos_siembra[[#This Row],[Date]],2),"L","M","X","J","V","S","D")</f>
        <v>S</v>
      </c>
      <c r="R2649">
        <f>WEEKNUM(datos_siembra[[#This Row],[Date]],2)-WEEKNUM(DATE(YEAR(datos_siembra[[#This Row],[Date]]),MONTH(datos_siembra[[#This Row],[Date]]),1))+1</f>
        <v>1</v>
      </c>
      <c r="S2649">
        <f>MONTH(datos_siembra[[#This Row],[Date]])</f>
        <v>10</v>
      </c>
      <c r="T2649" t="str" cm="1">
        <f t="array" ref="T2649">_xlfn.IFS(AND(N2649&lt;= 22, S2649=9), "SOWING",AND(N2649&lt;= 28, S2649=9), "COVERAGE",AND(N2649&lt;= 30, S2649=9), "FLUSH",AND(N2649&lt;= 11, S2649=10), "FLUSH",AND(N2649&lt;= 21, S2649=10), "PRODUCTION")</f>
        <v>FLUSH</v>
      </c>
      <c r="U2649">
        <f>HOUR(datos_siembra[[#This Row],[Hour]])</f>
        <v>4</v>
      </c>
      <c r="V2649" cm="1">
        <f t="array" ref="V2649">_xlfn.IFS(AND(N2649&lt;= 22, S2649=9), N2649-7,AND(N2649&lt;= 28, S2649=9), N2649-25,AND(N2649&lt;= 30, S2649=9), N2649-28,AND(N2649&lt;= 11, S2649=10), N2649+2,AND(N2649&lt;= 21, S2649=10), N2649-11)</f>
        <v>7</v>
      </c>
    </row>
    <row r="2650" spans="1:22" x14ac:dyDescent="0.35">
      <c r="A2650" s="4">
        <v>45570</v>
      </c>
      <c r="B2650" s="5">
        <v>0.19047453703703704</v>
      </c>
      <c r="C2650">
        <v>66.900000000000006</v>
      </c>
      <c r="D2650">
        <v>67</v>
      </c>
      <c r="E2650">
        <v>65.599999999999994</v>
      </c>
      <c r="F2650">
        <v>65.2</v>
      </c>
      <c r="G2650">
        <v>0</v>
      </c>
      <c r="H2650">
        <v>0</v>
      </c>
      <c r="I2650">
        <v>0</v>
      </c>
      <c r="J2650">
        <v>0</v>
      </c>
      <c r="K2650">
        <v>62.3</v>
      </c>
      <c r="L2650">
        <v>62.6</v>
      </c>
      <c r="M2650">
        <v>66.23</v>
      </c>
      <c r="N2650">
        <v>5</v>
      </c>
      <c r="O2650">
        <v>4</v>
      </c>
      <c r="P2650">
        <f>MOD(DAY(datos_siembra[[#This Row],[Date]]),7)</f>
        <v>5</v>
      </c>
      <c r="Q2650" t="str">
        <f>CHOOSE(WEEKDAY(datos_siembra[[#This Row],[Date]],2),"L","M","X","J","V","S","D")</f>
        <v>S</v>
      </c>
      <c r="R2650">
        <f>WEEKNUM(datos_siembra[[#This Row],[Date]],2)-WEEKNUM(DATE(YEAR(datos_siembra[[#This Row],[Date]]),MONTH(datos_siembra[[#This Row],[Date]]),1))+1</f>
        <v>1</v>
      </c>
      <c r="S2650">
        <f>MONTH(datos_siembra[[#This Row],[Date]])</f>
        <v>10</v>
      </c>
      <c r="T2650" t="str" cm="1">
        <f t="array" ref="T2650">_xlfn.IFS(AND(N2650&lt;= 22, S2650=9), "SOWING",AND(N2650&lt;= 28, S2650=9), "COVERAGE",AND(N2650&lt;= 30, S2650=9), "FLUSH",AND(N2650&lt;= 11, S2650=10), "FLUSH",AND(N2650&lt;= 21, S2650=10), "PRODUCTION")</f>
        <v>FLUSH</v>
      </c>
      <c r="U2650">
        <f>HOUR(datos_siembra[[#This Row],[Hour]])</f>
        <v>4</v>
      </c>
      <c r="V2650" cm="1">
        <f t="array" ref="V2650">_xlfn.IFS(AND(N2650&lt;= 22, S2650=9), N2650-7,AND(N2650&lt;= 28, S2650=9), N2650-25,AND(N2650&lt;= 30, S2650=9), N2650-28,AND(N2650&lt;= 11, S2650=10), N2650+2,AND(N2650&lt;= 21, S2650=10), N2650-11)</f>
        <v>7</v>
      </c>
    </row>
    <row r="2651" spans="1:22" x14ac:dyDescent="0.35">
      <c r="A2651" s="4">
        <v>45570</v>
      </c>
      <c r="B2651" s="5">
        <v>0.19741898148148149</v>
      </c>
      <c r="C2651">
        <v>66.900000000000006</v>
      </c>
      <c r="D2651">
        <v>67.099999999999994</v>
      </c>
      <c r="E2651">
        <v>65.900000000000006</v>
      </c>
      <c r="F2651">
        <v>65.400000000000006</v>
      </c>
      <c r="G2651">
        <v>0</v>
      </c>
      <c r="H2651">
        <v>0</v>
      </c>
      <c r="I2651">
        <v>0</v>
      </c>
      <c r="J2651">
        <v>0</v>
      </c>
      <c r="K2651">
        <v>62.3</v>
      </c>
      <c r="L2651">
        <v>62.6</v>
      </c>
      <c r="M2651">
        <v>66.17</v>
      </c>
      <c r="N2651">
        <v>5</v>
      </c>
      <c r="O2651">
        <v>4</v>
      </c>
      <c r="P2651">
        <f>MOD(DAY(datos_siembra[[#This Row],[Date]]),7)</f>
        <v>5</v>
      </c>
      <c r="Q2651" t="str">
        <f>CHOOSE(WEEKDAY(datos_siembra[[#This Row],[Date]],2),"L","M","X","J","V","S","D")</f>
        <v>S</v>
      </c>
      <c r="R2651">
        <f>WEEKNUM(datos_siembra[[#This Row],[Date]],2)-WEEKNUM(DATE(YEAR(datos_siembra[[#This Row],[Date]]),MONTH(datos_siembra[[#This Row],[Date]]),1))+1</f>
        <v>1</v>
      </c>
      <c r="S2651">
        <f>MONTH(datos_siembra[[#This Row],[Date]])</f>
        <v>10</v>
      </c>
      <c r="T2651" t="str" cm="1">
        <f t="array" ref="T2651">_xlfn.IFS(AND(N2651&lt;= 22, S2651=9), "SOWING",AND(N2651&lt;= 28, S2651=9), "COVERAGE",AND(N2651&lt;= 30, S2651=9), "FLUSH",AND(N2651&lt;= 11, S2651=10), "FLUSH",AND(N2651&lt;= 21, S2651=10), "PRODUCTION")</f>
        <v>FLUSH</v>
      </c>
      <c r="U2651">
        <f>HOUR(datos_siembra[[#This Row],[Hour]])</f>
        <v>4</v>
      </c>
      <c r="V2651" cm="1">
        <f t="array" ref="V2651">_xlfn.IFS(AND(N2651&lt;= 22, S2651=9), N2651-7,AND(N2651&lt;= 28, S2651=9), N2651-25,AND(N2651&lt;= 30, S2651=9), N2651-28,AND(N2651&lt;= 11, S2651=10), N2651+2,AND(N2651&lt;= 21, S2651=10), N2651-11)</f>
        <v>7</v>
      </c>
    </row>
    <row r="2652" spans="1:22" x14ac:dyDescent="0.35">
      <c r="A2652" s="4">
        <v>45570</v>
      </c>
      <c r="B2652" s="5">
        <v>0.204375</v>
      </c>
      <c r="C2652">
        <v>66.900000000000006</v>
      </c>
      <c r="D2652">
        <v>66.900000000000006</v>
      </c>
      <c r="E2652">
        <v>65.599999999999994</v>
      </c>
      <c r="F2652">
        <v>65.2</v>
      </c>
      <c r="G2652">
        <v>0</v>
      </c>
      <c r="H2652">
        <v>0</v>
      </c>
      <c r="I2652">
        <v>0</v>
      </c>
      <c r="J2652">
        <v>0</v>
      </c>
      <c r="K2652">
        <v>62.3</v>
      </c>
      <c r="L2652">
        <v>62.6</v>
      </c>
      <c r="M2652">
        <v>66.17</v>
      </c>
      <c r="N2652">
        <v>5</v>
      </c>
      <c r="O2652">
        <v>4</v>
      </c>
      <c r="P2652">
        <f>MOD(DAY(datos_siembra[[#This Row],[Date]]),7)</f>
        <v>5</v>
      </c>
      <c r="Q2652" t="str">
        <f>CHOOSE(WEEKDAY(datos_siembra[[#This Row],[Date]],2),"L","M","X","J","V","S","D")</f>
        <v>S</v>
      </c>
      <c r="R2652">
        <f>WEEKNUM(datos_siembra[[#This Row],[Date]],2)-WEEKNUM(DATE(YEAR(datos_siembra[[#This Row],[Date]]),MONTH(datos_siembra[[#This Row],[Date]]),1))+1</f>
        <v>1</v>
      </c>
      <c r="S2652">
        <f>MONTH(datos_siembra[[#This Row],[Date]])</f>
        <v>10</v>
      </c>
      <c r="T2652" t="str" cm="1">
        <f t="array" ref="T2652">_xlfn.IFS(AND(N2652&lt;= 22, S2652=9), "SOWING",AND(N2652&lt;= 28, S2652=9), "COVERAGE",AND(N2652&lt;= 30, S2652=9), "FLUSH",AND(N2652&lt;= 11, S2652=10), "FLUSH",AND(N2652&lt;= 21, S2652=10), "PRODUCTION")</f>
        <v>FLUSH</v>
      </c>
      <c r="U2652">
        <f>HOUR(datos_siembra[[#This Row],[Hour]])</f>
        <v>4</v>
      </c>
      <c r="V2652" cm="1">
        <f t="array" ref="V2652">_xlfn.IFS(AND(N2652&lt;= 22, S2652=9), N2652-7,AND(N2652&lt;= 28, S2652=9), N2652-25,AND(N2652&lt;= 30, S2652=9), N2652-28,AND(N2652&lt;= 11, S2652=10), N2652+2,AND(N2652&lt;= 21, S2652=10), N2652-11)</f>
        <v>7</v>
      </c>
    </row>
    <row r="2653" spans="1:22" x14ac:dyDescent="0.35">
      <c r="A2653" s="4">
        <v>45570</v>
      </c>
      <c r="B2653" s="5">
        <v>0.21131944444444445</v>
      </c>
      <c r="C2653">
        <v>66.900000000000006</v>
      </c>
      <c r="D2653">
        <v>67</v>
      </c>
      <c r="E2653">
        <v>65.8</v>
      </c>
      <c r="F2653">
        <v>65.3</v>
      </c>
      <c r="G2653">
        <v>0</v>
      </c>
      <c r="H2653">
        <v>0</v>
      </c>
      <c r="I2653">
        <v>0</v>
      </c>
      <c r="J2653">
        <v>0</v>
      </c>
      <c r="K2653">
        <v>62.3</v>
      </c>
      <c r="L2653">
        <v>62.6</v>
      </c>
      <c r="M2653">
        <v>66.23</v>
      </c>
      <c r="N2653">
        <v>5</v>
      </c>
      <c r="O2653">
        <v>4</v>
      </c>
      <c r="P2653">
        <f>MOD(DAY(datos_siembra[[#This Row],[Date]]),7)</f>
        <v>5</v>
      </c>
      <c r="Q2653" t="str">
        <f>CHOOSE(WEEKDAY(datos_siembra[[#This Row],[Date]],2),"L","M","X","J","V","S","D")</f>
        <v>S</v>
      </c>
      <c r="R2653">
        <f>WEEKNUM(datos_siembra[[#This Row],[Date]],2)-WEEKNUM(DATE(YEAR(datos_siembra[[#This Row],[Date]]),MONTH(datos_siembra[[#This Row],[Date]]),1))+1</f>
        <v>1</v>
      </c>
      <c r="S2653">
        <f>MONTH(datos_siembra[[#This Row],[Date]])</f>
        <v>10</v>
      </c>
      <c r="T2653" t="str" cm="1">
        <f t="array" ref="T2653">_xlfn.IFS(AND(N2653&lt;= 22, S2653=9), "SOWING",AND(N2653&lt;= 28, S2653=9), "COVERAGE",AND(N2653&lt;= 30, S2653=9), "FLUSH",AND(N2653&lt;= 11, S2653=10), "FLUSH",AND(N2653&lt;= 21, S2653=10), "PRODUCTION")</f>
        <v>FLUSH</v>
      </c>
      <c r="U2653">
        <f>HOUR(datos_siembra[[#This Row],[Hour]])</f>
        <v>5</v>
      </c>
      <c r="V2653" cm="1">
        <f t="array" ref="V2653">_xlfn.IFS(AND(N2653&lt;= 22, S2653=9), N2653-7,AND(N2653&lt;= 28, S2653=9), N2653-25,AND(N2653&lt;= 30, S2653=9), N2653-28,AND(N2653&lt;= 11, S2653=10), N2653+2,AND(N2653&lt;= 21, S2653=10), N2653-11)</f>
        <v>7</v>
      </c>
    </row>
    <row r="2654" spans="1:22" x14ac:dyDescent="0.35">
      <c r="A2654" s="4">
        <v>45570</v>
      </c>
      <c r="B2654" s="5">
        <v>0.2182638888888889</v>
      </c>
      <c r="C2654">
        <v>66.900000000000006</v>
      </c>
      <c r="D2654">
        <v>66.900000000000006</v>
      </c>
      <c r="E2654">
        <v>65.900000000000006</v>
      </c>
      <c r="F2654">
        <v>65.400000000000006</v>
      </c>
      <c r="G2654">
        <v>0</v>
      </c>
      <c r="H2654">
        <v>0</v>
      </c>
      <c r="I2654">
        <v>0</v>
      </c>
      <c r="J2654">
        <v>0</v>
      </c>
      <c r="K2654">
        <v>62.3</v>
      </c>
      <c r="L2654">
        <v>62.6</v>
      </c>
      <c r="M2654">
        <v>66.2</v>
      </c>
      <c r="N2654">
        <v>5</v>
      </c>
      <c r="O2654">
        <v>4</v>
      </c>
      <c r="P2654">
        <f>MOD(DAY(datos_siembra[[#This Row],[Date]]),7)</f>
        <v>5</v>
      </c>
      <c r="Q2654" t="str">
        <f>CHOOSE(WEEKDAY(datos_siembra[[#This Row],[Date]],2),"L","M","X","J","V","S","D")</f>
        <v>S</v>
      </c>
      <c r="R2654">
        <f>WEEKNUM(datos_siembra[[#This Row],[Date]],2)-WEEKNUM(DATE(YEAR(datos_siembra[[#This Row],[Date]]),MONTH(datos_siembra[[#This Row],[Date]]),1))+1</f>
        <v>1</v>
      </c>
      <c r="S2654">
        <f>MONTH(datos_siembra[[#This Row],[Date]])</f>
        <v>10</v>
      </c>
      <c r="T2654" t="str" cm="1">
        <f t="array" ref="T2654">_xlfn.IFS(AND(N2654&lt;= 22, S2654=9), "SOWING",AND(N2654&lt;= 28, S2654=9), "COVERAGE",AND(N2654&lt;= 30, S2654=9), "FLUSH",AND(N2654&lt;= 11, S2654=10), "FLUSH",AND(N2654&lt;= 21, S2654=10), "PRODUCTION")</f>
        <v>FLUSH</v>
      </c>
      <c r="U2654">
        <f>HOUR(datos_siembra[[#This Row],[Hour]])</f>
        <v>5</v>
      </c>
      <c r="V2654" cm="1">
        <f t="array" ref="V2654">_xlfn.IFS(AND(N2654&lt;= 22, S2654=9), N2654-7,AND(N2654&lt;= 28, S2654=9), N2654-25,AND(N2654&lt;= 30, S2654=9), N2654-28,AND(N2654&lt;= 11, S2654=10), N2654+2,AND(N2654&lt;= 21, S2654=10), N2654-11)</f>
        <v>7</v>
      </c>
    </row>
    <row r="2655" spans="1:22" x14ac:dyDescent="0.35">
      <c r="A2655" s="4">
        <v>45570</v>
      </c>
      <c r="B2655" s="5">
        <v>0.22521990740740741</v>
      </c>
      <c r="C2655">
        <v>66.900000000000006</v>
      </c>
      <c r="D2655">
        <v>66.900000000000006</v>
      </c>
      <c r="E2655">
        <v>65.5</v>
      </c>
      <c r="F2655">
        <v>65.2</v>
      </c>
      <c r="G2655">
        <v>0</v>
      </c>
      <c r="H2655">
        <v>0</v>
      </c>
      <c r="I2655">
        <v>0</v>
      </c>
      <c r="J2655">
        <v>0</v>
      </c>
      <c r="K2655">
        <v>62.2</v>
      </c>
      <c r="L2655">
        <v>62.6</v>
      </c>
      <c r="M2655">
        <v>66.12</v>
      </c>
      <c r="N2655">
        <v>5</v>
      </c>
      <c r="O2655">
        <v>4</v>
      </c>
      <c r="P2655">
        <f>MOD(DAY(datos_siembra[[#This Row],[Date]]),7)</f>
        <v>5</v>
      </c>
      <c r="Q2655" t="str">
        <f>CHOOSE(WEEKDAY(datos_siembra[[#This Row],[Date]],2),"L","M","X","J","V","S","D")</f>
        <v>S</v>
      </c>
      <c r="R2655">
        <f>WEEKNUM(datos_siembra[[#This Row],[Date]],2)-WEEKNUM(DATE(YEAR(datos_siembra[[#This Row],[Date]]),MONTH(datos_siembra[[#This Row],[Date]]),1))+1</f>
        <v>1</v>
      </c>
      <c r="S2655">
        <f>MONTH(datos_siembra[[#This Row],[Date]])</f>
        <v>10</v>
      </c>
      <c r="T2655" t="str" cm="1">
        <f t="array" ref="T2655">_xlfn.IFS(AND(N2655&lt;= 22, S2655=9), "SOWING",AND(N2655&lt;= 28, S2655=9), "COVERAGE",AND(N2655&lt;= 30, S2655=9), "FLUSH",AND(N2655&lt;= 11, S2655=10), "FLUSH",AND(N2655&lt;= 21, S2655=10), "PRODUCTION")</f>
        <v>FLUSH</v>
      </c>
      <c r="U2655">
        <f>HOUR(datos_siembra[[#This Row],[Hour]])</f>
        <v>5</v>
      </c>
      <c r="V2655" cm="1">
        <f t="array" ref="V2655">_xlfn.IFS(AND(N2655&lt;= 22, S2655=9), N2655-7,AND(N2655&lt;= 28, S2655=9), N2655-25,AND(N2655&lt;= 30, S2655=9), N2655-28,AND(N2655&lt;= 11, S2655=10), N2655+2,AND(N2655&lt;= 21, S2655=10), N2655-11)</f>
        <v>7</v>
      </c>
    </row>
    <row r="2656" spans="1:22" x14ac:dyDescent="0.35">
      <c r="A2656" s="4">
        <v>45570</v>
      </c>
      <c r="B2656" s="5">
        <v>0.23216435185185186</v>
      </c>
      <c r="C2656">
        <v>66.900000000000006</v>
      </c>
      <c r="D2656">
        <v>66.900000000000006</v>
      </c>
      <c r="E2656">
        <v>65.8</v>
      </c>
      <c r="F2656">
        <v>65.3</v>
      </c>
      <c r="G2656">
        <v>0</v>
      </c>
      <c r="H2656">
        <v>0</v>
      </c>
      <c r="I2656">
        <v>0</v>
      </c>
      <c r="J2656">
        <v>0</v>
      </c>
      <c r="K2656">
        <v>62.2</v>
      </c>
      <c r="L2656">
        <v>62.6</v>
      </c>
      <c r="M2656">
        <v>66.2</v>
      </c>
      <c r="N2656">
        <v>5</v>
      </c>
      <c r="O2656">
        <v>4</v>
      </c>
      <c r="P2656">
        <f>MOD(DAY(datos_siembra[[#This Row],[Date]]),7)</f>
        <v>5</v>
      </c>
      <c r="Q2656" t="str">
        <f>CHOOSE(WEEKDAY(datos_siembra[[#This Row],[Date]],2),"L","M","X","J","V","S","D")</f>
        <v>S</v>
      </c>
      <c r="R2656">
        <f>WEEKNUM(datos_siembra[[#This Row],[Date]],2)-WEEKNUM(DATE(YEAR(datos_siembra[[#This Row],[Date]]),MONTH(datos_siembra[[#This Row],[Date]]),1))+1</f>
        <v>1</v>
      </c>
      <c r="S2656">
        <f>MONTH(datos_siembra[[#This Row],[Date]])</f>
        <v>10</v>
      </c>
      <c r="T2656" t="str" cm="1">
        <f t="array" ref="T2656">_xlfn.IFS(AND(N2656&lt;= 22, S2656=9), "SOWING",AND(N2656&lt;= 28, S2656=9), "COVERAGE",AND(N2656&lt;= 30, S2656=9), "FLUSH",AND(N2656&lt;= 11, S2656=10), "FLUSH",AND(N2656&lt;= 21, S2656=10), "PRODUCTION")</f>
        <v>FLUSH</v>
      </c>
      <c r="U2656">
        <f>HOUR(datos_siembra[[#This Row],[Hour]])</f>
        <v>5</v>
      </c>
      <c r="V2656" cm="1">
        <f t="array" ref="V2656">_xlfn.IFS(AND(N2656&lt;= 22, S2656=9), N2656-7,AND(N2656&lt;= 28, S2656=9), N2656-25,AND(N2656&lt;= 30, S2656=9), N2656-28,AND(N2656&lt;= 11, S2656=10), N2656+2,AND(N2656&lt;= 21, S2656=10), N2656-11)</f>
        <v>7</v>
      </c>
    </row>
    <row r="2657" spans="1:22" x14ac:dyDescent="0.35">
      <c r="A2657" s="4">
        <v>45570</v>
      </c>
      <c r="B2657" s="5">
        <v>0.23910879629629631</v>
      </c>
      <c r="C2657">
        <v>66.900000000000006</v>
      </c>
      <c r="D2657">
        <v>67</v>
      </c>
      <c r="E2657">
        <v>65.900000000000006</v>
      </c>
      <c r="F2657">
        <v>65.3</v>
      </c>
      <c r="G2657">
        <v>0</v>
      </c>
      <c r="H2657">
        <v>0</v>
      </c>
      <c r="I2657">
        <v>0</v>
      </c>
      <c r="J2657">
        <v>0</v>
      </c>
      <c r="K2657">
        <v>62.2</v>
      </c>
      <c r="L2657">
        <v>62.6</v>
      </c>
      <c r="M2657">
        <v>66.17</v>
      </c>
      <c r="N2657">
        <v>5</v>
      </c>
      <c r="O2657">
        <v>4</v>
      </c>
      <c r="P2657">
        <f>MOD(DAY(datos_siembra[[#This Row],[Date]]),7)</f>
        <v>5</v>
      </c>
      <c r="Q2657" t="str">
        <f>CHOOSE(WEEKDAY(datos_siembra[[#This Row],[Date]],2),"L","M","X","J","V","S","D")</f>
        <v>S</v>
      </c>
      <c r="R2657">
        <f>WEEKNUM(datos_siembra[[#This Row],[Date]],2)-WEEKNUM(DATE(YEAR(datos_siembra[[#This Row],[Date]]),MONTH(datos_siembra[[#This Row],[Date]]),1))+1</f>
        <v>1</v>
      </c>
      <c r="S2657">
        <f>MONTH(datos_siembra[[#This Row],[Date]])</f>
        <v>10</v>
      </c>
      <c r="T2657" t="str" cm="1">
        <f t="array" ref="T2657">_xlfn.IFS(AND(N2657&lt;= 22, S2657=9), "SOWING",AND(N2657&lt;= 28, S2657=9), "COVERAGE",AND(N2657&lt;= 30, S2657=9), "FLUSH",AND(N2657&lt;= 11, S2657=10), "FLUSH",AND(N2657&lt;= 21, S2657=10), "PRODUCTION")</f>
        <v>FLUSH</v>
      </c>
      <c r="U2657">
        <f>HOUR(datos_siembra[[#This Row],[Hour]])</f>
        <v>5</v>
      </c>
      <c r="V2657" cm="1">
        <f t="array" ref="V2657">_xlfn.IFS(AND(N2657&lt;= 22, S2657=9), N2657-7,AND(N2657&lt;= 28, S2657=9), N2657-25,AND(N2657&lt;= 30, S2657=9), N2657-28,AND(N2657&lt;= 11, S2657=10), N2657+2,AND(N2657&lt;= 21, S2657=10), N2657-11)</f>
        <v>7</v>
      </c>
    </row>
    <row r="2658" spans="1:22" x14ac:dyDescent="0.35">
      <c r="A2658" s="4">
        <v>45570</v>
      </c>
      <c r="B2658" s="5">
        <v>0.24605324074074075</v>
      </c>
      <c r="C2658">
        <v>66.900000000000006</v>
      </c>
      <c r="D2658">
        <v>66.900000000000006</v>
      </c>
      <c r="E2658">
        <v>65.8</v>
      </c>
      <c r="F2658">
        <v>65.3</v>
      </c>
      <c r="G2658">
        <v>0</v>
      </c>
      <c r="H2658">
        <v>0</v>
      </c>
      <c r="I2658">
        <v>0</v>
      </c>
      <c r="J2658">
        <v>0</v>
      </c>
      <c r="K2658">
        <v>62.2</v>
      </c>
      <c r="L2658">
        <v>62.6</v>
      </c>
      <c r="M2658">
        <v>66.260000000000005</v>
      </c>
      <c r="N2658">
        <v>5</v>
      </c>
      <c r="O2658">
        <v>4</v>
      </c>
      <c r="P2658">
        <f>MOD(DAY(datos_siembra[[#This Row],[Date]]),7)</f>
        <v>5</v>
      </c>
      <c r="Q2658" t="str">
        <f>CHOOSE(WEEKDAY(datos_siembra[[#This Row],[Date]],2),"L","M","X","J","V","S","D")</f>
        <v>S</v>
      </c>
      <c r="R2658">
        <f>WEEKNUM(datos_siembra[[#This Row],[Date]],2)-WEEKNUM(DATE(YEAR(datos_siembra[[#This Row],[Date]]),MONTH(datos_siembra[[#This Row],[Date]]),1))+1</f>
        <v>1</v>
      </c>
      <c r="S2658">
        <f>MONTH(datos_siembra[[#This Row],[Date]])</f>
        <v>10</v>
      </c>
      <c r="T2658" t="str" cm="1">
        <f t="array" ref="T2658">_xlfn.IFS(AND(N2658&lt;= 22, S2658=9), "SOWING",AND(N2658&lt;= 28, S2658=9), "COVERAGE",AND(N2658&lt;= 30, S2658=9), "FLUSH",AND(N2658&lt;= 11, S2658=10), "FLUSH",AND(N2658&lt;= 21, S2658=10), "PRODUCTION")</f>
        <v>FLUSH</v>
      </c>
      <c r="U2658">
        <f>HOUR(datos_siembra[[#This Row],[Hour]])</f>
        <v>5</v>
      </c>
      <c r="V2658" cm="1">
        <f t="array" ref="V2658">_xlfn.IFS(AND(N2658&lt;= 22, S2658=9), N2658-7,AND(N2658&lt;= 28, S2658=9), N2658-25,AND(N2658&lt;= 30, S2658=9), N2658-28,AND(N2658&lt;= 11, S2658=10), N2658+2,AND(N2658&lt;= 21, S2658=10), N2658-11)</f>
        <v>7</v>
      </c>
    </row>
    <row r="2659" spans="1:22" x14ac:dyDescent="0.35">
      <c r="A2659" s="4">
        <v>45570</v>
      </c>
      <c r="B2659" s="5">
        <v>0.25300925925925927</v>
      </c>
      <c r="C2659">
        <v>66.900000000000006</v>
      </c>
      <c r="D2659">
        <v>67</v>
      </c>
      <c r="E2659">
        <v>65.900000000000006</v>
      </c>
      <c r="F2659">
        <v>65.400000000000006</v>
      </c>
      <c r="G2659">
        <v>0</v>
      </c>
      <c r="H2659">
        <v>0</v>
      </c>
      <c r="I2659">
        <v>0</v>
      </c>
      <c r="J2659">
        <v>0</v>
      </c>
      <c r="K2659">
        <v>62.2</v>
      </c>
      <c r="L2659">
        <v>62.6</v>
      </c>
      <c r="M2659">
        <v>66.23</v>
      </c>
      <c r="N2659">
        <v>5</v>
      </c>
      <c r="O2659">
        <v>4</v>
      </c>
      <c r="P2659">
        <f>MOD(DAY(datos_siembra[[#This Row],[Date]]),7)</f>
        <v>5</v>
      </c>
      <c r="Q2659" t="str">
        <f>CHOOSE(WEEKDAY(datos_siembra[[#This Row],[Date]],2),"L","M","X","J","V","S","D")</f>
        <v>S</v>
      </c>
      <c r="R2659">
        <f>WEEKNUM(datos_siembra[[#This Row],[Date]],2)-WEEKNUM(DATE(YEAR(datos_siembra[[#This Row],[Date]]),MONTH(datos_siembra[[#This Row],[Date]]),1))+1</f>
        <v>1</v>
      </c>
      <c r="S2659">
        <f>MONTH(datos_siembra[[#This Row],[Date]])</f>
        <v>10</v>
      </c>
      <c r="T2659" t="str" cm="1">
        <f t="array" ref="T2659">_xlfn.IFS(AND(N2659&lt;= 22, S2659=9), "SOWING",AND(N2659&lt;= 28, S2659=9), "COVERAGE",AND(N2659&lt;= 30, S2659=9), "FLUSH",AND(N2659&lt;= 11, S2659=10), "FLUSH",AND(N2659&lt;= 21, S2659=10), "PRODUCTION")</f>
        <v>FLUSH</v>
      </c>
      <c r="U2659">
        <f>HOUR(datos_siembra[[#This Row],[Hour]])</f>
        <v>6</v>
      </c>
      <c r="V2659" cm="1">
        <f t="array" ref="V2659">_xlfn.IFS(AND(N2659&lt;= 22, S2659=9), N2659-7,AND(N2659&lt;= 28, S2659=9), N2659-25,AND(N2659&lt;= 30, S2659=9), N2659-28,AND(N2659&lt;= 11, S2659=10), N2659+2,AND(N2659&lt;= 21, S2659=10), N2659-11)</f>
        <v>7</v>
      </c>
    </row>
    <row r="2660" spans="1:22" x14ac:dyDescent="0.35">
      <c r="A2660" s="4">
        <v>45570</v>
      </c>
      <c r="B2660" s="5">
        <v>0.25995370370370369</v>
      </c>
      <c r="C2660">
        <v>66.900000000000006</v>
      </c>
      <c r="D2660">
        <v>66.8</v>
      </c>
      <c r="E2660">
        <v>65.8</v>
      </c>
      <c r="F2660">
        <v>65.3</v>
      </c>
      <c r="G2660">
        <v>0</v>
      </c>
      <c r="H2660">
        <v>0</v>
      </c>
      <c r="I2660">
        <v>0</v>
      </c>
      <c r="J2660">
        <v>0</v>
      </c>
      <c r="K2660">
        <v>62.2</v>
      </c>
      <c r="L2660">
        <v>62.6</v>
      </c>
      <c r="M2660">
        <v>66.28</v>
      </c>
      <c r="N2660">
        <v>5</v>
      </c>
      <c r="O2660">
        <v>4</v>
      </c>
      <c r="P2660">
        <f>MOD(DAY(datos_siembra[[#This Row],[Date]]),7)</f>
        <v>5</v>
      </c>
      <c r="Q2660" t="str">
        <f>CHOOSE(WEEKDAY(datos_siembra[[#This Row],[Date]],2),"L","M","X","J","V","S","D")</f>
        <v>S</v>
      </c>
      <c r="R2660">
        <f>WEEKNUM(datos_siembra[[#This Row],[Date]],2)-WEEKNUM(DATE(YEAR(datos_siembra[[#This Row],[Date]]),MONTH(datos_siembra[[#This Row],[Date]]),1))+1</f>
        <v>1</v>
      </c>
      <c r="S2660">
        <f>MONTH(datos_siembra[[#This Row],[Date]])</f>
        <v>10</v>
      </c>
      <c r="T2660" t="str" cm="1">
        <f t="array" ref="T2660">_xlfn.IFS(AND(N2660&lt;= 22, S2660=9), "SOWING",AND(N2660&lt;= 28, S2660=9), "COVERAGE",AND(N2660&lt;= 30, S2660=9), "FLUSH",AND(N2660&lt;= 11, S2660=10), "FLUSH",AND(N2660&lt;= 21, S2660=10), "PRODUCTION")</f>
        <v>FLUSH</v>
      </c>
      <c r="U2660">
        <f>HOUR(datos_siembra[[#This Row],[Hour]])</f>
        <v>6</v>
      </c>
      <c r="V2660" cm="1">
        <f t="array" ref="V2660">_xlfn.IFS(AND(N2660&lt;= 22, S2660=9), N2660-7,AND(N2660&lt;= 28, S2660=9), N2660-25,AND(N2660&lt;= 30, S2660=9), N2660-28,AND(N2660&lt;= 11, S2660=10), N2660+2,AND(N2660&lt;= 21, S2660=10), N2660-11)</f>
        <v>7</v>
      </c>
    </row>
    <row r="2661" spans="1:22" x14ac:dyDescent="0.35">
      <c r="A2661" s="4">
        <v>45570</v>
      </c>
      <c r="B2661" s="5">
        <v>0.26689814814814816</v>
      </c>
      <c r="C2661">
        <v>66.900000000000006</v>
      </c>
      <c r="D2661">
        <v>66.8</v>
      </c>
      <c r="E2661">
        <v>65.8</v>
      </c>
      <c r="F2661">
        <v>65.3</v>
      </c>
      <c r="G2661">
        <v>0</v>
      </c>
      <c r="H2661">
        <v>0</v>
      </c>
      <c r="I2661">
        <v>0</v>
      </c>
      <c r="J2661">
        <v>0</v>
      </c>
      <c r="K2661">
        <v>62</v>
      </c>
      <c r="L2661">
        <v>62.5</v>
      </c>
      <c r="M2661">
        <v>66.260000000000005</v>
      </c>
      <c r="N2661">
        <v>5</v>
      </c>
      <c r="O2661">
        <v>4</v>
      </c>
      <c r="P2661">
        <f>MOD(DAY(datos_siembra[[#This Row],[Date]]),7)</f>
        <v>5</v>
      </c>
      <c r="Q2661" t="str">
        <f>CHOOSE(WEEKDAY(datos_siembra[[#This Row],[Date]],2),"L","M","X","J","V","S","D")</f>
        <v>S</v>
      </c>
      <c r="R2661">
        <f>WEEKNUM(datos_siembra[[#This Row],[Date]],2)-WEEKNUM(DATE(YEAR(datos_siembra[[#This Row],[Date]]),MONTH(datos_siembra[[#This Row],[Date]]),1))+1</f>
        <v>1</v>
      </c>
      <c r="S2661">
        <f>MONTH(datos_siembra[[#This Row],[Date]])</f>
        <v>10</v>
      </c>
      <c r="T2661" t="str" cm="1">
        <f t="array" ref="T2661">_xlfn.IFS(AND(N2661&lt;= 22, S2661=9), "SOWING",AND(N2661&lt;= 28, S2661=9), "COVERAGE",AND(N2661&lt;= 30, S2661=9), "FLUSH",AND(N2661&lt;= 11, S2661=10), "FLUSH",AND(N2661&lt;= 21, S2661=10), "PRODUCTION")</f>
        <v>FLUSH</v>
      </c>
      <c r="U2661">
        <f>HOUR(datos_siembra[[#This Row],[Hour]])</f>
        <v>6</v>
      </c>
      <c r="V2661" cm="1">
        <f t="array" ref="V2661">_xlfn.IFS(AND(N2661&lt;= 22, S2661=9), N2661-7,AND(N2661&lt;= 28, S2661=9), N2661-25,AND(N2661&lt;= 30, S2661=9), N2661-28,AND(N2661&lt;= 11, S2661=10), N2661+2,AND(N2661&lt;= 21, S2661=10), N2661-11)</f>
        <v>7</v>
      </c>
    </row>
    <row r="2662" spans="1:22" x14ac:dyDescent="0.35">
      <c r="A2662" s="4">
        <v>45570</v>
      </c>
      <c r="B2662" s="5">
        <v>0.27385416666666668</v>
      </c>
      <c r="C2662">
        <v>67</v>
      </c>
      <c r="D2662">
        <v>66.900000000000006</v>
      </c>
      <c r="E2662">
        <v>65.8</v>
      </c>
      <c r="F2662">
        <v>65.2</v>
      </c>
      <c r="G2662">
        <v>0</v>
      </c>
      <c r="H2662">
        <v>0</v>
      </c>
      <c r="I2662">
        <v>0</v>
      </c>
      <c r="J2662">
        <v>0</v>
      </c>
      <c r="K2662">
        <v>62.2</v>
      </c>
      <c r="L2662">
        <v>62.6</v>
      </c>
      <c r="M2662">
        <v>66.2</v>
      </c>
      <c r="N2662">
        <v>5</v>
      </c>
      <c r="O2662">
        <v>4</v>
      </c>
      <c r="P2662">
        <f>MOD(DAY(datos_siembra[[#This Row],[Date]]),7)</f>
        <v>5</v>
      </c>
      <c r="Q2662" t="str">
        <f>CHOOSE(WEEKDAY(datos_siembra[[#This Row],[Date]],2),"L","M","X","J","V","S","D")</f>
        <v>S</v>
      </c>
      <c r="R2662">
        <f>WEEKNUM(datos_siembra[[#This Row],[Date]],2)-WEEKNUM(DATE(YEAR(datos_siembra[[#This Row],[Date]]),MONTH(datos_siembra[[#This Row],[Date]]),1))+1</f>
        <v>1</v>
      </c>
      <c r="S2662">
        <f>MONTH(datos_siembra[[#This Row],[Date]])</f>
        <v>10</v>
      </c>
      <c r="T2662" t="str" cm="1">
        <f t="array" ref="T2662">_xlfn.IFS(AND(N2662&lt;= 22, S2662=9), "SOWING",AND(N2662&lt;= 28, S2662=9), "COVERAGE",AND(N2662&lt;= 30, S2662=9), "FLUSH",AND(N2662&lt;= 11, S2662=10), "FLUSH",AND(N2662&lt;= 21, S2662=10), "PRODUCTION")</f>
        <v>FLUSH</v>
      </c>
      <c r="U2662">
        <f>HOUR(datos_siembra[[#This Row],[Hour]])</f>
        <v>6</v>
      </c>
      <c r="V2662" cm="1">
        <f t="array" ref="V2662">_xlfn.IFS(AND(N2662&lt;= 22, S2662=9), N2662-7,AND(N2662&lt;= 28, S2662=9), N2662-25,AND(N2662&lt;= 30, S2662=9), N2662-28,AND(N2662&lt;= 11, S2662=10), N2662+2,AND(N2662&lt;= 21, S2662=10), N2662-11)</f>
        <v>7</v>
      </c>
    </row>
    <row r="2663" spans="1:22" x14ac:dyDescent="0.35">
      <c r="A2663" s="4">
        <v>45570</v>
      </c>
      <c r="B2663" s="5">
        <v>0.2807986111111111</v>
      </c>
      <c r="C2663">
        <v>66.900000000000006</v>
      </c>
      <c r="D2663">
        <v>66.900000000000006</v>
      </c>
      <c r="E2663">
        <v>65.8</v>
      </c>
      <c r="F2663">
        <v>65.400000000000006</v>
      </c>
      <c r="G2663">
        <v>0</v>
      </c>
      <c r="H2663">
        <v>0</v>
      </c>
      <c r="I2663">
        <v>0</v>
      </c>
      <c r="J2663">
        <v>0</v>
      </c>
      <c r="K2663">
        <v>62.3</v>
      </c>
      <c r="L2663">
        <v>62.7</v>
      </c>
      <c r="M2663">
        <v>66.28</v>
      </c>
      <c r="N2663">
        <v>5</v>
      </c>
      <c r="O2663">
        <v>4</v>
      </c>
      <c r="P2663">
        <f>MOD(DAY(datos_siembra[[#This Row],[Date]]),7)</f>
        <v>5</v>
      </c>
      <c r="Q2663" t="str">
        <f>CHOOSE(WEEKDAY(datos_siembra[[#This Row],[Date]],2),"L","M","X","J","V","S","D")</f>
        <v>S</v>
      </c>
      <c r="R2663">
        <f>WEEKNUM(datos_siembra[[#This Row],[Date]],2)-WEEKNUM(DATE(YEAR(datos_siembra[[#This Row],[Date]]),MONTH(datos_siembra[[#This Row],[Date]]),1))+1</f>
        <v>1</v>
      </c>
      <c r="S2663">
        <f>MONTH(datos_siembra[[#This Row],[Date]])</f>
        <v>10</v>
      </c>
      <c r="T2663" t="str" cm="1">
        <f t="array" ref="T2663">_xlfn.IFS(AND(N2663&lt;= 22, S2663=9), "SOWING",AND(N2663&lt;= 28, S2663=9), "COVERAGE",AND(N2663&lt;= 30, S2663=9), "FLUSH",AND(N2663&lt;= 11, S2663=10), "FLUSH",AND(N2663&lt;= 21, S2663=10), "PRODUCTION")</f>
        <v>FLUSH</v>
      </c>
      <c r="U2663">
        <f>HOUR(datos_siembra[[#This Row],[Hour]])</f>
        <v>6</v>
      </c>
      <c r="V2663" cm="1">
        <f t="array" ref="V2663">_xlfn.IFS(AND(N2663&lt;= 22, S2663=9), N2663-7,AND(N2663&lt;= 28, S2663=9), N2663-25,AND(N2663&lt;= 30, S2663=9), N2663-28,AND(N2663&lt;= 11, S2663=10), N2663+2,AND(N2663&lt;= 21, S2663=10), N2663-11)</f>
        <v>7</v>
      </c>
    </row>
    <row r="2664" spans="1:22" x14ac:dyDescent="0.35">
      <c r="A2664" s="4">
        <v>45570</v>
      </c>
      <c r="B2664" s="5">
        <v>0.28774305555555557</v>
      </c>
      <c r="C2664">
        <v>66.8</v>
      </c>
      <c r="D2664">
        <v>66.900000000000006</v>
      </c>
      <c r="E2664">
        <v>65.900000000000006</v>
      </c>
      <c r="F2664">
        <v>65.3</v>
      </c>
      <c r="G2664">
        <v>0</v>
      </c>
      <c r="H2664">
        <v>0</v>
      </c>
      <c r="I2664">
        <v>0</v>
      </c>
      <c r="J2664">
        <v>0</v>
      </c>
      <c r="K2664">
        <v>61.8</v>
      </c>
      <c r="L2664">
        <v>62.2</v>
      </c>
      <c r="M2664">
        <v>66.260000000000005</v>
      </c>
      <c r="N2664">
        <v>5</v>
      </c>
      <c r="O2664">
        <v>4</v>
      </c>
      <c r="P2664">
        <f>MOD(DAY(datos_siembra[[#This Row],[Date]]),7)</f>
        <v>5</v>
      </c>
      <c r="Q2664" t="str">
        <f>CHOOSE(WEEKDAY(datos_siembra[[#This Row],[Date]],2),"L","M","X","J","V","S","D")</f>
        <v>S</v>
      </c>
      <c r="R2664">
        <f>WEEKNUM(datos_siembra[[#This Row],[Date]],2)-WEEKNUM(DATE(YEAR(datos_siembra[[#This Row],[Date]]),MONTH(datos_siembra[[#This Row],[Date]]),1))+1</f>
        <v>1</v>
      </c>
      <c r="S2664">
        <f>MONTH(datos_siembra[[#This Row],[Date]])</f>
        <v>10</v>
      </c>
      <c r="T2664" t="str" cm="1">
        <f t="array" ref="T2664">_xlfn.IFS(AND(N2664&lt;= 22, S2664=9), "SOWING",AND(N2664&lt;= 28, S2664=9), "COVERAGE",AND(N2664&lt;= 30, S2664=9), "FLUSH",AND(N2664&lt;= 11, S2664=10), "FLUSH",AND(N2664&lt;= 21, S2664=10), "PRODUCTION")</f>
        <v>FLUSH</v>
      </c>
      <c r="U2664">
        <f>HOUR(datos_siembra[[#This Row],[Hour]])</f>
        <v>6</v>
      </c>
      <c r="V2664" cm="1">
        <f t="array" ref="V2664">_xlfn.IFS(AND(N2664&lt;= 22, S2664=9), N2664-7,AND(N2664&lt;= 28, S2664=9), N2664-25,AND(N2664&lt;= 30, S2664=9), N2664-28,AND(N2664&lt;= 11, S2664=10), N2664+2,AND(N2664&lt;= 21, S2664=10), N2664-11)</f>
        <v>7</v>
      </c>
    </row>
    <row r="2665" spans="1:22" x14ac:dyDescent="0.35">
      <c r="A2665" s="4">
        <v>45570</v>
      </c>
      <c r="B2665" s="5">
        <v>0.29468749999999999</v>
      </c>
      <c r="C2665">
        <v>66.8</v>
      </c>
      <c r="D2665">
        <v>66.900000000000006</v>
      </c>
      <c r="E2665">
        <v>66</v>
      </c>
      <c r="F2665">
        <v>65.400000000000006</v>
      </c>
      <c r="G2665">
        <v>0</v>
      </c>
      <c r="H2665">
        <v>0</v>
      </c>
      <c r="I2665">
        <v>0</v>
      </c>
      <c r="J2665">
        <v>0</v>
      </c>
      <c r="K2665">
        <v>61.7</v>
      </c>
      <c r="L2665">
        <v>62</v>
      </c>
      <c r="M2665">
        <v>66.260000000000005</v>
      </c>
      <c r="N2665">
        <v>5</v>
      </c>
      <c r="O2665">
        <v>4</v>
      </c>
      <c r="P2665">
        <f>MOD(DAY(datos_siembra[[#This Row],[Date]]),7)</f>
        <v>5</v>
      </c>
      <c r="Q2665" t="str">
        <f>CHOOSE(WEEKDAY(datos_siembra[[#This Row],[Date]],2),"L","M","X","J","V","S","D")</f>
        <v>S</v>
      </c>
      <c r="R2665">
        <f>WEEKNUM(datos_siembra[[#This Row],[Date]],2)-WEEKNUM(DATE(YEAR(datos_siembra[[#This Row],[Date]]),MONTH(datos_siembra[[#This Row],[Date]]),1))+1</f>
        <v>1</v>
      </c>
      <c r="S2665">
        <f>MONTH(datos_siembra[[#This Row],[Date]])</f>
        <v>10</v>
      </c>
      <c r="T2665" t="str" cm="1">
        <f t="array" ref="T2665">_xlfn.IFS(AND(N2665&lt;= 22, S2665=9), "SOWING",AND(N2665&lt;= 28, S2665=9), "COVERAGE",AND(N2665&lt;= 30, S2665=9), "FLUSH",AND(N2665&lt;= 11, S2665=10), "FLUSH",AND(N2665&lt;= 21, S2665=10), "PRODUCTION")</f>
        <v>FLUSH</v>
      </c>
      <c r="U2665">
        <f>HOUR(datos_siembra[[#This Row],[Hour]])</f>
        <v>7</v>
      </c>
      <c r="V2665" cm="1">
        <f t="array" ref="V2665">_xlfn.IFS(AND(N2665&lt;= 22, S2665=9), N2665-7,AND(N2665&lt;= 28, S2665=9), N2665-25,AND(N2665&lt;= 30, S2665=9), N2665-28,AND(N2665&lt;= 11, S2665=10), N2665+2,AND(N2665&lt;= 21, S2665=10), N2665-11)</f>
        <v>7</v>
      </c>
    </row>
    <row r="2666" spans="1:22" x14ac:dyDescent="0.35">
      <c r="A2666" s="4">
        <v>45570</v>
      </c>
      <c r="B2666" s="5">
        <v>0.30164351851851851</v>
      </c>
      <c r="C2666">
        <v>66.8</v>
      </c>
      <c r="D2666">
        <v>67</v>
      </c>
      <c r="E2666">
        <v>65.8</v>
      </c>
      <c r="F2666">
        <v>65.5</v>
      </c>
      <c r="G2666">
        <v>0</v>
      </c>
      <c r="H2666">
        <v>0</v>
      </c>
      <c r="I2666">
        <v>0</v>
      </c>
      <c r="J2666">
        <v>0</v>
      </c>
      <c r="K2666">
        <v>61.7</v>
      </c>
      <c r="L2666">
        <v>62</v>
      </c>
      <c r="M2666">
        <v>66.28</v>
      </c>
      <c r="N2666">
        <v>5</v>
      </c>
      <c r="O2666">
        <v>4</v>
      </c>
      <c r="P2666">
        <f>MOD(DAY(datos_siembra[[#This Row],[Date]]),7)</f>
        <v>5</v>
      </c>
      <c r="Q2666" t="str">
        <f>CHOOSE(WEEKDAY(datos_siembra[[#This Row],[Date]],2),"L","M","X","J","V","S","D")</f>
        <v>S</v>
      </c>
      <c r="R2666">
        <f>WEEKNUM(datos_siembra[[#This Row],[Date]],2)-WEEKNUM(DATE(YEAR(datos_siembra[[#This Row],[Date]]),MONTH(datos_siembra[[#This Row],[Date]]),1))+1</f>
        <v>1</v>
      </c>
      <c r="S2666">
        <f>MONTH(datos_siembra[[#This Row],[Date]])</f>
        <v>10</v>
      </c>
      <c r="T2666" t="str" cm="1">
        <f t="array" ref="T2666">_xlfn.IFS(AND(N2666&lt;= 22, S2666=9), "SOWING",AND(N2666&lt;= 28, S2666=9), "COVERAGE",AND(N2666&lt;= 30, S2666=9), "FLUSH",AND(N2666&lt;= 11, S2666=10), "FLUSH",AND(N2666&lt;= 21, S2666=10), "PRODUCTION")</f>
        <v>FLUSH</v>
      </c>
      <c r="U2666">
        <f>HOUR(datos_siembra[[#This Row],[Hour]])</f>
        <v>7</v>
      </c>
      <c r="V2666" cm="1">
        <f t="array" ref="V2666">_xlfn.IFS(AND(N2666&lt;= 22, S2666=9), N2666-7,AND(N2666&lt;= 28, S2666=9), N2666-25,AND(N2666&lt;= 30, S2666=9), N2666-28,AND(N2666&lt;= 11, S2666=10), N2666+2,AND(N2666&lt;= 21, S2666=10), N2666-11)</f>
        <v>7</v>
      </c>
    </row>
    <row r="2667" spans="1:22" x14ac:dyDescent="0.35">
      <c r="A2667" s="4">
        <v>45570</v>
      </c>
      <c r="B2667" s="5">
        <v>0.30858796296296298</v>
      </c>
      <c r="C2667">
        <v>66.900000000000006</v>
      </c>
      <c r="D2667">
        <v>66.900000000000006</v>
      </c>
      <c r="E2667">
        <v>66</v>
      </c>
      <c r="F2667">
        <v>65.400000000000006</v>
      </c>
      <c r="G2667">
        <v>0</v>
      </c>
      <c r="H2667">
        <v>0</v>
      </c>
      <c r="I2667">
        <v>0</v>
      </c>
      <c r="J2667">
        <v>0</v>
      </c>
      <c r="K2667">
        <v>61.6</v>
      </c>
      <c r="L2667">
        <v>61.9</v>
      </c>
      <c r="M2667">
        <v>66.28</v>
      </c>
      <c r="N2667">
        <v>5</v>
      </c>
      <c r="O2667">
        <v>4</v>
      </c>
      <c r="P2667">
        <f>MOD(DAY(datos_siembra[[#This Row],[Date]]),7)</f>
        <v>5</v>
      </c>
      <c r="Q2667" t="str">
        <f>CHOOSE(WEEKDAY(datos_siembra[[#This Row],[Date]],2),"L","M","X","J","V","S","D")</f>
        <v>S</v>
      </c>
      <c r="R2667">
        <f>WEEKNUM(datos_siembra[[#This Row],[Date]],2)-WEEKNUM(DATE(YEAR(datos_siembra[[#This Row],[Date]]),MONTH(datos_siembra[[#This Row],[Date]]),1))+1</f>
        <v>1</v>
      </c>
      <c r="S2667">
        <f>MONTH(datos_siembra[[#This Row],[Date]])</f>
        <v>10</v>
      </c>
      <c r="T2667" t="str" cm="1">
        <f t="array" ref="T2667">_xlfn.IFS(AND(N2667&lt;= 22, S2667=9), "SOWING",AND(N2667&lt;= 28, S2667=9), "COVERAGE",AND(N2667&lt;= 30, S2667=9), "FLUSH",AND(N2667&lt;= 11, S2667=10), "FLUSH",AND(N2667&lt;= 21, S2667=10), "PRODUCTION")</f>
        <v>FLUSH</v>
      </c>
      <c r="U2667">
        <f>HOUR(datos_siembra[[#This Row],[Hour]])</f>
        <v>7</v>
      </c>
      <c r="V2667" cm="1">
        <f t="array" ref="V2667">_xlfn.IFS(AND(N2667&lt;= 22, S2667=9), N2667-7,AND(N2667&lt;= 28, S2667=9), N2667-25,AND(N2667&lt;= 30, S2667=9), N2667-28,AND(N2667&lt;= 11, S2667=10), N2667+2,AND(N2667&lt;= 21, S2667=10), N2667-11)</f>
        <v>7</v>
      </c>
    </row>
    <row r="2668" spans="1:22" x14ac:dyDescent="0.35">
      <c r="A2668" s="4">
        <v>45570</v>
      </c>
      <c r="B2668" s="5">
        <v>0.3155324074074074</v>
      </c>
      <c r="C2668">
        <v>66.900000000000006</v>
      </c>
      <c r="D2668">
        <v>66.900000000000006</v>
      </c>
      <c r="E2668">
        <v>65.8</v>
      </c>
      <c r="F2668">
        <v>65.400000000000006</v>
      </c>
      <c r="G2668">
        <v>0</v>
      </c>
      <c r="H2668">
        <v>0</v>
      </c>
      <c r="I2668">
        <v>0</v>
      </c>
      <c r="J2668">
        <v>0</v>
      </c>
      <c r="K2668">
        <v>61.6</v>
      </c>
      <c r="L2668">
        <v>61.9</v>
      </c>
      <c r="M2668">
        <v>66.23</v>
      </c>
      <c r="N2668">
        <v>5</v>
      </c>
      <c r="O2668">
        <v>4</v>
      </c>
      <c r="P2668">
        <f>MOD(DAY(datos_siembra[[#This Row],[Date]]),7)</f>
        <v>5</v>
      </c>
      <c r="Q2668" t="str">
        <f>CHOOSE(WEEKDAY(datos_siembra[[#This Row],[Date]],2),"L","M","X","J","V","S","D")</f>
        <v>S</v>
      </c>
      <c r="R2668">
        <f>WEEKNUM(datos_siembra[[#This Row],[Date]],2)-WEEKNUM(DATE(YEAR(datos_siembra[[#This Row],[Date]]),MONTH(datos_siembra[[#This Row],[Date]]),1))+1</f>
        <v>1</v>
      </c>
      <c r="S2668">
        <f>MONTH(datos_siembra[[#This Row],[Date]])</f>
        <v>10</v>
      </c>
      <c r="T2668" t="str" cm="1">
        <f t="array" ref="T2668">_xlfn.IFS(AND(N2668&lt;= 22, S2668=9), "SOWING",AND(N2668&lt;= 28, S2668=9), "COVERAGE",AND(N2668&lt;= 30, S2668=9), "FLUSH",AND(N2668&lt;= 11, S2668=10), "FLUSH",AND(N2668&lt;= 21, S2668=10), "PRODUCTION")</f>
        <v>FLUSH</v>
      </c>
      <c r="U2668">
        <f>HOUR(datos_siembra[[#This Row],[Hour]])</f>
        <v>7</v>
      </c>
      <c r="V2668" cm="1">
        <f t="array" ref="V2668">_xlfn.IFS(AND(N2668&lt;= 22, S2668=9), N2668-7,AND(N2668&lt;= 28, S2668=9), N2668-25,AND(N2668&lt;= 30, S2668=9), N2668-28,AND(N2668&lt;= 11, S2668=10), N2668+2,AND(N2668&lt;= 21, S2668=10), N2668-11)</f>
        <v>7</v>
      </c>
    </row>
    <row r="2669" spans="1:22" x14ac:dyDescent="0.35">
      <c r="A2669" s="4">
        <v>45570</v>
      </c>
      <c r="B2669" s="5">
        <v>0.32248842592592591</v>
      </c>
      <c r="C2669">
        <v>66.900000000000006</v>
      </c>
      <c r="D2669">
        <v>66.900000000000006</v>
      </c>
      <c r="E2669">
        <v>65.8</v>
      </c>
      <c r="F2669">
        <v>65.400000000000006</v>
      </c>
      <c r="G2669">
        <v>0</v>
      </c>
      <c r="H2669">
        <v>0</v>
      </c>
      <c r="I2669">
        <v>0</v>
      </c>
      <c r="J2669">
        <v>0</v>
      </c>
      <c r="K2669">
        <v>61.6</v>
      </c>
      <c r="L2669">
        <v>61.9</v>
      </c>
      <c r="M2669">
        <v>66.23</v>
      </c>
      <c r="N2669">
        <v>5</v>
      </c>
      <c r="O2669">
        <v>4</v>
      </c>
      <c r="P2669">
        <f>MOD(DAY(datos_siembra[[#This Row],[Date]]),7)</f>
        <v>5</v>
      </c>
      <c r="Q2669" t="str">
        <f>CHOOSE(WEEKDAY(datos_siembra[[#This Row],[Date]],2),"L","M","X","J","V","S","D")</f>
        <v>S</v>
      </c>
      <c r="R2669">
        <f>WEEKNUM(datos_siembra[[#This Row],[Date]],2)-WEEKNUM(DATE(YEAR(datos_siembra[[#This Row],[Date]]),MONTH(datos_siembra[[#This Row],[Date]]),1))+1</f>
        <v>1</v>
      </c>
      <c r="S2669">
        <f>MONTH(datos_siembra[[#This Row],[Date]])</f>
        <v>10</v>
      </c>
      <c r="T2669" t="str" cm="1">
        <f t="array" ref="T2669">_xlfn.IFS(AND(N2669&lt;= 22, S2669=9), "SOWING",AND(N2669&lt;= 28, S2669=9), "COVERAGE",AND(N2669&lt;= 30, S2669=9), "FLUSH",AND(N2669&lt;= 11, S2669=10), "FLUSH",AND(N2669&lt;= 21, S2669=10), "PRODUCTION")</f>
        <v>FLUSH</v>
      </c>
      <c r="U2669">
        <f>HOUR(datos_siembra[[#This Row],[Hour]])</f>
        <v>7</v>
      </c>
      <c r="V2669" cm="1">
        <f t="array" ref="V2669">_xlfn.IFS(AND(N2669&lt;= 22, S2669=9), N2669-7,AND(N2669&lt;= 28, S2669=9), N2669-25,AND(N2669&lt;= 30, S2669=9), N2669-28,AND(N2669&lt;= 11, S2669=10), N2669+2,AND(N2669&lt;= 21, S2669=10), N2669-11)</f>
        <v>7</v>
      </c>
    </row>
    <row r="2670" spans="1:22" x14ac:dyDescent="0.35">
      <c r="A2670" s="4">
        <v>45570</v>
      </c>
      <c r="B2670" s="5">
        <v>0.32943287037037039</v>
      </c>
      <c r="C2670">
        <v>66.8</v>
      </c>
      <c r="D2670">
        <v>66.900000000000006</v>
      </c>
      <c r="E2670">
        <v>65.900000000000006</v>
      </c>
      <c r="F2670">
        <v>65.5</v>
      </c>
      <c r="G2670">
        <v>0</v>
      </c>
      <c r="H2670">
        <v>0</v>
      </c>
      <c r="I2670">
        <v>0</v>
      </c>
      <c r="J2670">
        <v>0</v>
      </c>
      <c r="K2670">
        <v>61.6</v>
      </c>
      <c r="L2670">
        <v>61.9</v>
      </c>
      <c r="M2670">
        <v>66.31</v>
      </c>
      <c r="N2670">
        <v>5</v>
      </c>
      <c r="O2670">
        <v>4</v>
      </c>
      <c r="P2670">
        <f>MOD(DAY(datos_siembra[[#This Row],[Date]]),7)</f>
        <v>5</v>
      </c>
      <c r="Q2670" t="str">
        <f>CHOOSE(WEEKDAY(datos_siembra[[#This Row],[Date]],2),"L","M","X","J","V","S","D")</f>
        <v>S</v>
      </c>
      <c r="R2670">
        <f>WEEKNUM(datos_siembra[[#This Row],[Date]],2)-WEEKNUM(DATE(YEAR(datos_siembra[[#This Row],[Date]]),MONTH(datos_siembra[[#This Row],[Date]]),1))+1</f>
        <v>1</v>
      </c>
      <c r="S2670">
        <f>MONTH(datos_siembra[[#This Row],[Date]])</f>
        <v>10</v>
      </c>
      <c r="T2670" t="str" cm="1">
        <f t="array" ref="T2670">_xlfn.IFS(AND(N2670&lt;= 22, S2670=9), "SOWING",AND(N2670&lt;= 28, S2670=9), "COVERAGE",AND(N2670&lt;= 30, S2670=9), "FLUSH",AND(N2670&lt;= 11, S2670=10), "FLUSH",AND(N2670&lt;= 21, S2670=10), "PRODUCTION")</f>
        <v>FLUSH</v>
      </c>
      <c r="U2670">
        <f>HOUR(datos_siembra[[#This Row],[Hour]])</f>
        <v>7</v>
      </c>
      <c r="V2670" cm="1">
        <f t="array" ref="V2670">_xlfn.IFS(AND(N2670&lt;= 22, S2670=9), N2670-7,AND(N2670&lt;= 28, S2670=9), N2670-25,AND(N2670&lt;= 30, S2670=9), N2670-28,AND(N2670&lt;= 11, S2670=10), N2670+2,AND(N2670&lt;= 21, S2670=10), N2670-11)</f>
        <v>7</v>
      </c>
    </row>
    <row r="2671" spans="1:22" x14ac:dyDescent="0.35">
      <c r="A2671" s="4">
        <v>45570</v>
      </c>
      <c r="B2671" s="5">
        <v>0.33637731481481481</v>
      </c>
      <c r="C2671">
        <v>66.900000000000006</v>
      </c>
      <c r="D2671">
        <v>66.900000000000006</v>
      </c>
      <c r="E2671">
        <v>66</v>
      </c>
      <c r="F2671">
        <v>65.400000000000006</v>
      </c>
      <c r="G2671">
        <v>0</v>
      </c>
      <c r="H2671">
        <v>0</v>
      </c>
      <c r="I2671">
        <v>0</v>
      </c>
      <c r="J2671">
        <v>0</v>
      </c>
      <c r="K2671">
        <v>61.6</v>
      </c>
      <c r="L2671">
        <v>62.2</v>
      </c>
      <c r="M2671">
        <v>66.31</v>
      </c>
      <c r="N2671">
        <v>5</v>
      </c>
      <c r="O2671">
        <v>4</v>
      </c>
      <c r="P2671">
        <f>MOD(DAY(datos_siembra[[#This Row],[Date]]),7)</f>
        <v>5</v>
      </c>
      <c r="Q2671" t="str">
        <f>CHOOSE(WEEKDAY(datos_siembra[[#This Row],[Date]],2),"L","M","X","J","V","S","D")</f>
        <v>S</v>
      </c>
      <c r="R2671">
        <f>WEEKNUM(datos_siembra[[#This Row],[Date]],2)-WEEKNUM(DATE(YEAR(datos_siembra[[#This Row],[Date]]),MONTH(datos_siembra[[#This Row],[Date]]),1))+1</f>
        <v>1</v>
      </c>
      <c r="S2671">
        <f>MONTH(datos_siembra[[#This Row],[Date]])</f>
        <v>10</v>
      </c>
      <c r="T2671" t="str" cm="1">
        <f t="array" ref="T2671">_xlfn.IFS(AND(N2671&lt;= 22, S2671=9), "SOWING",AND(N2671&lt;= 28, S2671=9), "COVERAGE",AND(N2671&lt;= 30, S2671=9), "FLUSH",AND(N2671&lt;= 11, S2671=10), "FLUSH",AND(N2671&lt;= 21, S2671=10), "PRODUCTION")</f>
        <v>FLUSH</v>
      </c>
      <c r="U2671">
        <f>HOUR(datos_siembra[[#This Row],[Hour]])</f>
        <v>8</v>
      </c>
      <c r="V2671" cm="1">
        <f t="array" ref="V2671">_xlfn.IFS(AND(N2671&lt;= 22, S2671=9), N2671-7,AND(N2671&lt;= 28, S2671=9), N2671-25,AND(N2671&lt;= 30, S2671=9), N2671-28,AND(N2671&lt;= 11, S2671=10), N2671+2,AND(N2671&lt;= 21, S2671=10), N2671-11)</f>
        <v>7</v>
      </c>
    </row>
    <row r="2672" spans="1:22" x14ac:dyDescent="0.35">
      <c r="A2672" s="4">
        <v>45570</v>
      </c>
      <c r="B2672" s="5">
        <v>0.34332175925925928</v>
      </c>
      <c r="C2672">
        <v>66.900000000000006</v>
      </c>
      <c r="D2672">
        <v>66.8</v>
      </c>
      <c r="E2672">
        <v>65.8</v>
      </c>
      <c r="F2672">
        <v>65.5</v>
      </c>
      <c r="G2672">
        <v>0</v>
      </c>
      <c r="H2672">
        <v>0</v>
      </c>
      <c r="I2672">
        <v>0</v>
      </c>
      <c r="J2672">
        <v>0</v>
      </c>
      <c r="K2672">
        <v>61.9</v>
      </c>
      <c r="L2672">
        <v>62.5</v>
      </c>
      <c r="M2672">
        <v>66.2</v>
      </c>
      <c r="N2672">
        <v>5</v>
      </c>
      <c r="O2672">
        <v>4</v>
      </c>
      <c r="P2672">
        <f>MOD(DAY(datos_siembra[[#This Row],[Date]]),7)</f>
        <v>5</v>
      </c>
      <c r="Q2672" t="str">
        <f>CHOOSE(WEEKDAY(datos_siembra[[#This Row],[Date]],2),"L","M","X","J","V","S","D")</f>
        <v>S</v>
      </c>
      <c r="R2672">
        <f>WEEKNUM(datos_siembra[[#This Row],[Date]],2)-WEEKNUM(DATE(YEAR(datos_siembra[[#This Row],[Date]]),MONTH(datos_siembra[[#This Row],[Date]]),1))+1</f>
        <v>1</v>
      </c>
      <c r="S2672">
        <f>MONTH(datos_siembra[[#This Row],[Date]])</f>
        <v>10</v>
      </c>
      <c r="T2672" t="str" cm="1">
        <f t="array" ref="T2672">_xlfn.IFS(AND(N2672&lt;= 22, S2672=9), "SOWING",AND(N2672&lt;= 28, S2672=9), "COVERAGE",AND(N2672&lt;= 30, S2672=9), "FLUSH",AND(N2672&lt;= 11, S2672=10), "FLUSH",AND(N2672&lt;= 21, S2672=10), "PRODUCTION")</f>
        <v>FLUSH</v>
      </c>
      <c r="U2672">
        <f>HOUR(datos_siembra[[#This Row],[Hour]])</f>
        <v>8</v>
      </c>
      <c r="V2672" cm="1">
        <f t="array" ref="V2672">_xlfn.IFS(AND(N2672&lt;= 22, S2672=9), N2672-7,AND(N2672&lt;= 28, S2672=9), N2672-25,AND(N2672&lt;= 30, S2672=9), N2672-28,AND(N2672&lt;= 11, S2672=10), N2672+2,AND(N2672&lt;= 21, S2672=10), N2672-11)</f>
        <v>7</v>
      </c>
    </row>
    <row r="2673" spans="1:22" x14ac:dyDescent="0.35">
      <c r="A2673" s="4">
        <v>45570</v>
      </c>
      <c r="B2673" s="5">
        <v>0.3502777777777778</v>
      </c>
      <c r="C2673">
        <v>66.8</v>
      </c>
      <c r="D2673">
        <v>67</v>
      </c>
      <c r="E2673">
        <v>65.8</v>
      </c>
      <c r="F2673">
        <v>65.400000000000006</v>
      </c>
      <c r="G2673">
        <v>0</v>
      </c>
      <c r="H2673">
        <v>0</v>
      </c>
      <c r="I2673">
        <v>0</v>
      </c>
      <c r="J2673">
        <v>0</v>
      </c>
      <c r="K2673">
        <v>62</v>
      </c>
      <c r="L2673">
        <v>62.6</v>
      </c>
      <c r="M2673">
        <v>66.23</v>
      </c>
      <c r="N2673">
        <v>5</v>
      </c>
      <c r="O2673">
        <v>4</v>
      </c>
      <c r="P2673">
        <f>MOD(DAY(datos_siembra[[#This Row],[Date]]),7)</f>
        <v>5</v>
      </c>
      <c r="Q2673" t="str">
        <f>CHOOSE(WEEKDAY(datos_siembra[[#This Row],[Date]],2),"L","M","X","J","V","S","D")</f>
        <v>S</v>
      </c>
      <c r="R2673">
        <f>WEEKNUM(datos_siembra[[#This Row],[Date]],2)-WEEKNUM(DATE(YEAR(datos_siembra[[#This Row],[Date]]),MONTH(datos_siembra[[#This Row],[Date]]),1))+1</f>
        <v>1</v>
      </c>
      <c r="S2673">
        <f>MONTH(datos_siembra[[#This Row],[Date]])</f>
        <v>10</v>
      </c>
      <c r="T2673" t="str" cm="1">
        <f t="array" ref="T2673">_xlfn.IFS(AND(N2673&lt;= 22, S2673=9), "SOWING",AND(N2673&lt;= 28, S2673=9), "COVERAGE",AND(N2673&lt;= 30, S2673=9), "FLUSH",AND(N2673&lt;= 11, S2673=10), "FLUSH",AND(N2673&lt;= 21, S2673=10), "PRODUCTION")</f>
        <v>FLUSH</v>
      </c>
      <c r="U2673">
        <f>HOUR(datos_siembra[[#This Row],[Hour]])</f>
        <v>8</v>
      </c>
      <c r="V2673" cm="1">
        <f t="array" ref="V2673">_xlfn.IFS(AND(N2673&lt;= 22, S2673=9), N2673-7,AND(N2673&lt;= 28, S2673=9), N2673-25,AND(N2673&lt;= 30, S2673=9), N2673-28,AND(N2673&lt;= 11, S2673=10), N2673+2,AND(N2673&lt;= 21, S2673=10), N2673-11)</f>
        <v>7</v>
      </c>
    </row>
    <row r="2674" spans="1:22" x14ac:dyDescent="0.35">
      <c r="A2674" s="4">
        <v>45570</v>
      </c>
      <c r="B2674" s="5">
        <v>0.35722222222222222</v>
      </c>
      <c r="C2674">
        <v>66.900000000000006</v>
      </c>
      <c r="D2674">
        <v>66.8</v>
      </c>
      <c r="E2674">
        <v>65.900000000000006</v>
      </c>
      <c r="F2674">
        <v>65.5</v>
      </c>
      <c r="G2674">
        <v>0</v>
      </c>
      <c r="H2674">
        <v>0</v>
      </c>
      <c r="I2674">
        <v>0</v>
      </c>
      <c r="J2674">
        <v>0</v>
      </c>
      <c r="K2674">
        <v>62.2</v>
      </c>
      <c r="L2674">
        <v>62.7</v>
      </c>
      <c r="M2674">
        <v>66.23</v>
      </c>
      <c r="N2674">
        <v>5</v>
      </c>
      <c r="O2674">
        <v>4</v>
      </c>
      <c r="P2674">
        <f>MOD(DAY(datos_siembra[[#This Row],[Date]]),7)</f>
        <v>5</v>
      </c>
      <c r="Q2674" t="str">
        <f>CHOOSE(WEEKDAY(datos_siembra[[#This Row],[Date]],2),"L","M","X","J","V","S","D")</f>
        <v>S</v>
      </c>
      <c r="R2674">
        <f>WEEKNUM(datos_siembra[[#This Row],[Date]],2)-WEEKNUM(DATE(YEAR(datos_siembra[[#This Row],[Date]]),MONTH(datos_siembra[[#This Row],[Date]]),1))+1</f>
        <v>1</v>
      </c>
      <c r="S2674">
        <f>MONTH(datos_siembra[[#This Row],[Date]])</f>
        <v>10</v>
      </c>
      <c r="T2674" t="str" cm="1">
        <f t="array" ref="T2674">_xlfn.IFS(AND(N2674&lt;= 22, S2674=9), "SOWING",AND(N2674&lt;= 28, S2674=9), "COVERAGE",AND(N2674&lt;= 30, S2674=9), "FLUSH",AND(N2674&lt;= 11, S2674=10), "FLUSH",AND(N2674&lt;= 21, S2674=10), "PRODUCTION")</f>
        <v>FLUSH</v>
      </c>
      <c r="U2674">
        <f>HOUR(datos_siembra[[#This Row],[Hour]])</f>
        <v>8</v>
      </c>
      <c r="V2674" cm="1">
        <f t="array" ref="V2674">_xlfn.IFS(AND(N2674&lt;= 22, S2674=9), N2674-7,AND(N2674&lt;= 28, S2674=9), N2674-25,AND(N2674&lt;= 30, S2674=9), N2674-28,AND(N2674&lt;= 11, S2674=10), N2674+2,AND(N2674&lt;= 21, S2674=10), N2674-11)</f>
        <v>7</v>
      </c>
    </row>
    <row r="2675" spans="1:22" x14ac:dyDescent="0.35">
      <c r="A2675" s="4">
        <v>45570</v>
      </c>
      <c r="B2675" s="5">
        <v>0.36416666666666669</v>
      </c>
      <c r="C2675">
        <v>66.900000000000006</v>
      </c>
      <c r="D2675">
        <v>66.900000000000006</v>
      </c>
      <c r="E2675">
        <v>65.900000000000006</v>
      </c>
      <c r="F2675">
        <v>65.400000000000006</v>
      </c>
      <c r="G2675">
        <v>0</v>
      </c>
      <c r="H2675">
        <v>0</v>
      </c>
      <c r="I2675">
        <v>0</v>
      </c>
      <c r="J2675">
        <v>0</v>
      </c>
      <c r="K2675">
        <v>62.3</v>
      </c>
      <c r="L2675">
        <v>62.8</v>
      </c>
      <c r="M2675">
        <v>66.2</v>
      </c>
      <c r="N2675">
        <v>5</v>
      </c>
      <c r="O2675">
        <v>4</v>
      </c>
      <c r="P2675">
        <f>MOD(DAY(datos_siembra[[#This Row],[Date]]),7)</f>
        <v>5</v>
      </c>
      <c r="Q2675" t="str">
        <f>CHOOSE(WEEKDAY(datos_siembra[[#This Row],[Date]],2),"L","M","X","J","V","S","D")</f>
        <v>S</v>
      </c>
      <c r="R2675">
        <f>WEEKNUM(datos_siembra[[#This Row],[Date]],2)-WEEKNUM(DATE(YEAR(datos_siembra[[#This Row],[Date]]),MONTH(datos_siembra[[#This Row],[Date]]),1))+1</f>
        <v>1</v>
      </c>
      <c r="S2675">
        <f>MONTH(datos_siembra[[#This Row],[Date]])</f>
        <v>10</v>
      </c>
      <c r="T2675" t="str" cm="1">
        <f t="array" ref="T2675">_xlfn.IFS(AND(N2675&lt;= 22, S2675=9), "SOWING",AND(N2675&lt;= 28, S2675=9), "COVERAGE",AND(N2675&lt;= 30, S2675=9), "FLUSH",AND(N2675&lt;= 11, S2675=10), "FLUSH",AND(N2675&lt;= 21, S2675=10), "PRODUCTION")</f>
        <v>FLUSH</v>
      </c>
      <c r="U2675">
        <f>HOUR(datos_siembra[[#This Row],[Hour]])</f>
        <v>8</v>
      </c>
      <c r="V2675" cm="1">
        <f t="array" ref="V2675">_xlfn.IFS(AND(N2675&lt;= 22, S2675=9), N2675-7,AND(N2675&lt;= 28, S2675=9), N2675-25,AND(N2675&lt;= 30, S2675=9), N2675-28,AND(N2675&lt;= 11, S2675=10), N2675+2,AND(N2675&lt;= 21, S2675=10), N2675-11)</f>
        <v>7</v>
      </c>
    </row>
    <row r="2676" spans="1:22" x14ac:dyDescent="0.35">
      <c r="A2676" s="4">
        <v>45570</v>
      </c>
      <c r="B2676" s="5">
        <v>0.37111111111111111</v>
      </c>
      <c r="C2676">
        <v>66.900000000000006</v>
      </c>
      <c r="D2676">
        <v>66.900000000000006</v>
      </c>
      <c r="E2676">
        <v>66</v>
      </c>
      <c r="F2676">
        <v>65.5</v>
      </c>
      <c r="G2676">
        <v>0</v>
      </c>
      <c r="H2676">
        <v>0</v>
      </c>
      <c r="I2676">
        <v>0</v>
      </c>
      <c r="J2676">
        <v>0</v>
      </c>
      <c r="K2676">
        <v>62.3</v>
      </c>
      <c r="L2676">
        <v>62.9</v>
      </c>
      <c r="M2676">
        <v>66.31</v>
      </c>
      <c r="N2676">
        <v>5</v>
      </c>
      <c r="O2676">
        <v>4</v>
      </c>
      <c r="P2676">
        <f>MOD(DAY(datos_siembra[[#This Row],[Date]]),7)</f>
        <v>5</v>
      </c>
      <c r="Q2676" t="str">
        <f>CHOOSE(WEEKDAY(datos_siembra[[#This Row],[Date]],2),"L","M","X","J","V","S","D")</f>
        <v>S</v>
      </c>
      <c r="R2676">
        <f>WEEKNUM(datos_siembra[[#This Row],[Date]],2)-WEEKNUM(DATE(YEAR(datos_siembra[[#This Row],[Date]]),MONTH(datos_siembra[[#This Row],[Date]]),1))+1</f>
        <v>1</v>
      </c>
      <c r="S2676">
        <f>MONTH(datos_siembra[[#This Row],[Date]])</f>
        <v>10</v>
      </c>
      <c r="T2676" t="str" cm="1">
        <f t="array" ref="T2676">_xlfn.IFS(AND(N2676&lt;= 22, S2676=9), "SOWING",AND(N2676&lt;= 28, S2676=9), "COVERAGE",AND(N2676&lt;= 30, S2676=9), "FLUSH",AND(N2676&lt;= 11, S2676=10), "FLUSH",AND(N2676&lt;= 21, S2676=10), "PRODUCTION")</f>
        <v>FLUSH</v>
      </c>
      <c r="U2676">
        <f>HOUR(datos_siembra[[#This Row],[Hour]])</f>
        <v>8</v>
      </c>
      <c r="V2676" cm="1">
        <f t="array" ref="V2676">_xlfn.IFS(AND(N2676&lt;= 22, S2676=9), N2676-7,AND(N2676&lt;= 28, S2676=9), N2676-25,AND(N2676&lt;= 30, S2676=9), N2676-28,AND(N2676&lt;= 11, S2676=10), N2676+2,AND(N2676&lt;= 21, S2676=10), N2676-11)</f>
        <v>7</v>
      </c>
    </row>
    <row r="2677" spans="1:22" x14ac:dyDescent="0.35">
      <c r="A2677" s="4">
        <v>45570</v>
      </c>
      <c r="B2677" s="5">
        <v>0.37806712962962963</v>
      </c>
      <c r="C2677">
        <v>66.8</v>
      </c>
      <c r="D2677">
        <v>66.900000000000006</v>
      </c>
      <c r="E2677">
        <v>66</v>
      </c>
      <c r="F2677">
        <v>65.5</v>
      </c>
      <c r="G2677">
        <v>0</v>
      </c>
      <c r="H2677">
        <v>0</v>
      </c>
      <c r="I2677">
        <v>0</v>
      </c>
      <c r="J2677">
        <v>0</v>
      </c>
      <c r="K2677">
        <v>62.4</v>
      </c>
      <c r="L2677">
        <v>63</v>
      </c>
      <c r="M2677">
        <v>66.23</v>
      </c>
      <c r="N2677">
        <v>5</v>
      </c>
      <c r="O2677">
        <v>4</v>
      </c>
      <c r="P2677">
        <f>MOD(DAY(datos_siembra[[#This Row],[Date]]),7)</f>
        <v>5</v>
      </c>
      <c r="Q2677" t="str">
        <f>CHOOSE(WEEKDAY(datos_siembra[[#This Row],[Date]],2),"L","M","X","J","V","S","D")</f>
        <v>S</v>
      </c>
      <c r="R2677">
        <f>WEEKNUM(datos_siembra[[#This Row],[Date]],2)-WEEKNUM(DATE(YEAR(datos_siembra[[#This Row],[Date]]),MONTH(datos_siembra[[#This Row],[Date]]),1))+1</f>
        <v>1</v>
      </c>
      <c r="S2677">
        <f>MONTH(datos_siembra[[#This Row],[Date]])</f>
        <v>10</v>
      </c>
      <c r="T2677" t="str" cm="1">
        <f t="array" ref="T2677">_xlfn.IFS(AND(N2677&lt;= 22, S2677=9), "SOWING",AND(N2677&lt;= 28, S2677=9), "COVERAGE",AND(N2677&lt;= 30, S2677=9), "FLUSH",AND(N2677&lt;= 11, S2677=10), "FLUSH",AND(N2677&lt;= 21, S2677=10), "PRODUCTION")</f>
        <v>FLUSH</v>
      </c>
      <c r="U2677">
        <f>HOUR(datos_siembra[[#This Row],[Hour]])</f>
        <v>9</v>
      </c>
      <c r="V2677" cm="1">
        <f t="array" ref="V2677">_xlfn.IFS(AND(N2677&lt;= 22, S2677=9), N2677-7,AND(N2677&lt;= 28, S2677=9), N2677-25,AND(N2677&lt;= 30, S2677=9), N2677-28,AND(N2677&lt;= 11, S2677=10), N2677+2,AND(N2677&lt;= 21, S2677=10), N2677-11)</f>
        <v>7</v>
      </c>
    </row>
    <row r="2678" spans="1:22" x14ac:dyDescent="0.35">
      <c r="A2678" s="4">
        <v>45570</v>
      </c>
      <c r="B2678" s="5">
        <v>0.38501157407407405</v>
      </c>
      <c r="C2678">
        <v>66.599999999999994</v>
      </c>
      <c r="D2678">
        <v>66.900000000000006</v>
      </c>
      <c r="E2678">
        <v>65.900000000000006</v>
      </c>
      <c r="F2678">
        <v>65.5</v>
      </c>
      <c r="G2678">
        <v>0</v>
      </c>
      <c r="H2678">
        <v>0</v>
      </c>
      <c r="I2678">
        <v>0</v>
      </c>
      <c r="J2678">
        <v>0</v>
      </c>
      <c r="K2678">
        <v>62.5</v>
      </c>
      <c r="L2678">
        <v>63.2</v>
      </c>
      <c r="M2678">
        <v>66.28</v>
      </c>
      <c r="N2678">
        <v>5</v>
      </c>
      <c r="O2678">
        <v>4</v>
      </c>
      <c r="P2678">
        <f>MOD(DAY(datos_siembra[[#This Row],[Date]]),7)</f>
        <v>5</v>
      </c>
      <c r="Q2678" t="str">
        <f>CHOOSE(WEEKDAY(datos_siembra[[#This Row],[Date]],2),"L","M","X","J","V","S","D")</f>
        <v>S</v>
      </c>
      <c r="R2678">
        <f>WEEKNUM(datos_siembra[[#This Row],[Date]],2)-WEEKNUM(DATE(YEAR(datos_siembra[[#This Row],[Date]]),MONTH(datos_siembra[[#This Row],[Date]]),1))+1</f>
        <v>1</v>
      </c>
      <c r="S2678">
        <f>MONTH(datos_siembra[[#This Row],[Date]])</f>
        <v>10</v>
      </c>
      <c r="T2678" t="str" cm="1">
        <f t="array" ref="T2678">_xlfn.IFS(AND(N2678&lt;= 22, S2678=9), "SOWING",AND(N2678&lt;= 28, S2678=9), "COVERAGE",AND(N2678&lt;= 30, S2678=9), "FLUSH",AND(N2678&lt;= 11, S2678=10), "FLUSH",AND(N2678&lt;= 21, S2678=10), "PRODUCTION")</f>
        <v>FLUSH</v>
      </c>
      <c r="U2678">
        <f>HOUR(datos_siembra[[#This Row],[Hour]])</f>
        <v>9</v>
      </c>
      <c r="V2678" cm="1">
        <f t="array" ref="V2678">_xlfn.IFS(AND(N2678&lt;= 22, S2678=9), N2678-7,AND(N2678&lt;= 28, S2678=9), N2678-25,AND(N2678&lt;= 30, S2678=9), N2678-28,AND(N2678&lt;= 11, S2678=10), N2678+2,AND(N2678&lt;= 21, S2678=10), N2678-11)</f>
        <v>7</v>
      </c>
    </row>
    <row r="2679" spans="1:22" x14ac:dyDescent="0.35">
      <c r="A2679" s="4">
        <v>45570</v>
      </c>
      <c r="B2679" s="5">
        <v>0.39195601851851852</v>
      </c>
      <c r="C2679">
        <v>66.900000000000006</v>
      </c>
      <c r="D2679">
        <v>66.8</v>
      </c>
      <c r="E2679">
        <v>66</v>
      </c>
      <c r="F2679">
        <v>65.3</v>
      </c>
      <c r="G2679">
        <v>0</v>
      </c>
      <c r="H2679">
        <v>0</v>
      </c>
      <c r="I2679">
        <v>0</v>
      </c>
      <c r="J2679">
        <v>0</v>
      </c>
      <c r="K2679">
        <v>62.6</v>
      </c>
      <c r="L2679">
        <v>63.3</v>
      </c>
      <c r="M2679">
        <v>66.260000000000005</v>
      </c>
      <c r="N2679">
        <v>5</v>
      </c>
      <c r="O2679">
        <v>4</v>
      </c>
      <c r="P2679">
        <f>MOD(DAY(datos_siembra[[#This Row],[Date]]),7)</f>
        <v>5</v>
      </c>
      <c r="Q2679" t="str">
        <f>CHOOSE(WEEKDAY(datos_siembra[[#This Row],[Date]],2),"L","M","X","J","V","S","D")</f>
        <v>S</v>
      </c>
      <c r="R2679">
        <f>WEEKNUM(datos_siembra[[#This Row],[Date]],2)-WEEKNUM(DATE(YEAR(datos_siembra[[#This Row],[Date]]),MONTH(datos_siembra[[#This Row],[Date]]),1))+1</f>
        <v>1</v>
      </c>
      <c r="S2679">
        <f>MONTH(datos_siembra[[#This Row],[Date]])</f>
        <v>10</v>
      </c>
      <c r="T2679" t="str" cm="1">
        <f t="array" ref="T2679">_xlfn.IFS(AND(N2679&lt;= 22, S2679=9), "SOWING",AND(N2679&lt;= 28, S2679=9), "COVERAGE",AND(N2679&lt;= 30, S2679=9), "FLUSH",AND(N2679&lt;= 11, S2679=10), "FLUSH",AND(N2679&lt;= 21, S2679=10), "PRODUCTION")</f>
        <v>FLUSH</v>
      </c>
      <c r="U2679">
        <f>HOUR(datos_siembra[[#This Row],[Hour]])</f>
        <v>9</v>
      </c>
      <c r="V2679" cm="1">
        <f t="array" ref="V2679">_xlfn.IFS(AND(N2679&lt;= 22, S2679=9), N2679-7,AND(N2679&lt;= 28, S2679=9), N2679-25,AND(N2679&lt;= 30, S2679=9), N2679-28,AND(N2679&lt;= 11, S2679=10), N2679+2,AND(N2679&lt;= 21, S2679=10), N2679-11)</f>
        <v>7</v>
      </c>
    </row>
    <row r="2680" spans="1:22" x14ac:dyDescent="0.35">
      <c r="A2680" s="4">
        <v>45570</v>
      </c>
      <c r="B2680" s="5">
        <v>0.39891203703703704</v>
      </c>
      <c r="C2680">
        <v>66.900000000000006</v>
      </c>
      <c r="D2680">
        <v>66.900000000000006</v>
      </c>
      <c r="E2680">
        <v>66</v>
      </c>
      <c r="F2680">
        <v>65.400000000000006</v>
      </c>
      <c r="G2680">
        <v>0</v>
      </c>
      <c r="H2680">
        <v>0</v>
      </c>
      <c r="I2680">
        <v>0</v>
      </c>
      <c r="J2680">
        <v>0</v>
      </c>
      <c r="K2680">
        <v>62.7</v>
      </c>
      <c r="L2680">
        <v>63.5</v>
      </c>
      <c r="M2680">
        <v>66.31</v>
      </c>
      <c r="N2680">
        <v>5</v>
      </c>
      <c r="O2680">
        <v>4</v>
      </c>
      <c r="P2680">
        <f>MOD(DAY(datos_siembra[[#This Row],[Date]]),7)</f>
        <v>5</v>
      </c>
      <c r="Q2680" t="str">
        <f>CHOOSE(WEEKDAY(datos_siembra[[#This Row],[Date]],2),"L","M","X","J","V","S","D")</f>
        <v>S</v>
      </c>
      <c r="R2680">
        <f>WEEKNUM(datos_siembra[[#This Row],[Date]],2)-WEEKNUM(DATE(YEAR(datos_siembra[[#This Row],[Date]]),MONTH(datos_siembra[[#This Row],[Date]]),1))+1</f>
        <v>1</v>
      </c>
      <c r="S2680">
        <f>MONTH(datos_siembra[[#This Row],[Date]])</f>
        <v>10</v>
      </c>
      <c r="T2680" t="str" cm="1">
        <f t="array" ref="T2680">_xlfn.IFS(AND(N2680&lt;= 22, S2680=9), "SOWING",AND(N2680&lt;= 28, S2680=9), "COVERAGE",AND(N2680&lt;= 30, S2680=9), "FLUSH",AND(N2680&lt;= 11, S2680=10), "FLUSH",AND(N2680&lt;= 21, S2680=10), "PRODUCTION")</f>
        <v>FLUSH</v>
      </c>
      <c r="U2680">
        <f>HOUR(datos_siembra[[#This Row],[Hour]])</f>
        <v>9</v>
      </c>
      <c r="V2680" cm="1">
        <f t="array" ref="V2680">_xlfn.IFS(AND(N2680&lt;= 22, S2680=9), N2680-7,AND(N2680&lt;= 28, S2680=9), N2680-25,AND(N2680&lt;= 30, S2680=9), N2680-28,AND(N2680&lt;= 11, S2680=10), N2680+2,AND(N2680&lt;= 21, S2680=10), N2680-11)</f>
        <v>7</v>
      </c>
    </row>
    <row r="2681" spans="1:22" x14ac:dyDescent="0.35">
      <c r="A2681" s="4">
        <v>45570</v>
      </c>
      <c r="B2681" s="5">
        <v>0.40585648148148146</v>
      </c>
      <c r="C2681">
        <v>66.900000000000006</v>
      </c>
      <c r="D2681">
        <v>66.900000000000006</v>
      </c>
      <c r="E2681">
        <v>66</v>
      </c>
      <c r="F2681">
        <v>65.5</v>
      </c>
      <c r="G2681">
        <v>0</v>
      </c>
      <c r="H2681">
        <v>0</v>
      </c>
      <c r="I2681">
        <v>0</v>
      </c>
      <c r="J2681">
        <v>0</v>
      </c>
      <c r="K2681">
        <v>62.9</v>
      </c>
      <c r="L2681">
        <v>63.7</v>
      </c>
      <c r="M2681">
        <v>66.28</v>
      </c>
      <c r="N2681">
        <v>5</v>
      </c>
      <c r="O2681">
        <v>4</v>
      </c>
      <c r="P2681">
        <f>MOD(DAY(datos_siembra[[#This Row],[Date]]),7)</f>
        <v>5</v>
      </c>
      <c r="Q2681" t="str">
        <f>CHOOSE(WEEKDAY(datos_siembra[[#This Row],[Date]],2),"L","M","X","J","V","S","D")</f>
        <v>S</v>
      </c>
      <c r="R2681">
        <f>WEEKNUM(datos_siembra[[#This Row],[Date]],2)-WEEKNUM(DATE(YEAR(datos_siembra[[#This Row],[Date]]),MONTH(datos_siembra[[#This Row],[Date]]),1))+1</f>
        <v>1</v>
      </c>
      <c r="S2681">
        <f>MONTH(datos_siembra[[#This Row],[Date]])</f>
        <v>10</v>
      </c>
      <c r="T2681" t="str" cm="1">
        <f t="array" ref="T2681">_xlfn.IFS(AND(N2681&lt;= 22, S2681=9), "SOWING",AND(N2681&lt;= 28, S2681=9), "COVERAGE",AND(N2681&lt;= 30, S2681=9), "FLUSH",AND(N2681&lt;= 11, S2681=10), "FLUSH",AND(N2681&lt;= 21, S2681=10), "PRODUCTION")</f>
        <v>FLUSH</v>
      </c>
      <c r="U2681">
        <f>HOUR(datos_siembra[[#This Row],[Hour]])</f>
        <v>9</v>
      </c>
      <c r="V2681" cm="1">
        <f t="array" ref="V2681">_xlfn.IFS(AND(N2681&lt;= 22, S2681=9), N2681-7,AND(N2681&lt;= 28, S2681=9), N2681-25,AND(N2681&lt;= 30, S2681=9), N2681-28,AND(N2681&lt;= 11, S2681=10), N2681+2,AND(N2681&lt;= 21, S2681=10), N2681-11)</f>
        <v>7</v>
      </c>
    </row>
    <row r="2682" spans="1:22" x14ac:dyDescent="0.35">
      <c r="A2682" s="4">
        <v>45570</v>
      </c>
      <c r="B2682" s="5">
        <v>0.41280092592592593</v>
      </c>
      <c r="C2682">
        <v>66.8</v>
      </c>
      <c r="D2682">
        <v>66.8</v>
      </c>
      <c r="E2682">
        <v>66</v>
      </c>
      <c r="F2682">
        <v>65.5</v>
      </c>
      <c r="G2682">
        <v>0</v>
      </c>
      <c r="H2682">
        <v>0</v>
      </c>
      <c r="I2682">
        <v>0</v>
      </c>
      <c r="J2682">
        <v>0</v>
      </c>
      <c r="K2682">
        <v>62.9</v>
      </c>
      <c r="L2682">
        <v>63.8</v>
      </c>
      <c r="M2682">
        <v>66.260000000000005</v>
      </c>
      <c r="N2682">
        <v>5</v>
      </c>
      <c r="O2682">
        <v>4</v>
      </c>
      <c r="P2682">
        <f>MOD(DAY(datos_siembra[[#This Row],[Date]]),7)</f>
        <v>5</v>
      </c>
      <c r="Q2682" t="str">
        <f>CHOOSE(WEEKDAY(datos_siembra[[#This Row],[Date]],2),"L","M","X","J","V","S","D")</f>
        <v>S</v>
      </c>
      <c r="R2682">
        <f>WEEKNUM(datos_siembra[[#This Row],[Date]],2)-WEEKNUM(DATE(YEAR(datos_siembra[[#This Row],[Date]]),MONTH(datos_siembra[[#This Row],[Date]]),1))+1</f>
        <v>1</v>
      </c>
      <c r="S2682">
        <f>MONTH(datos_siembra[[#This Row],[Date]])</f>
        <v>10</v>
      </c>
      <c r="T2682" t="str" cm="1">
        <f t="array" ref="T2682">_xlfn.IFS(AND(N2682&lt;= 22, S2682=9), "SOWING",AND(N2682&lt;= 28, S2682=9), "COVERAGE",AND(N2682&lt;= 30, S2682=9), "FLUSH",AND(N2682&lt;= 11, S2682=10), "FLUSH",AND(N2682&lt;= 21, S2682=10), "PRODUCTION")</f>
        <v>FLUSH</v>
      </c>
      <c r="U2682">
        <f>HOUR(datos_siembra[[#This Row],[Hour]])</f>
        <v>9</v>
      </c>
      <c r="V2682" cm="1">
        <f t="array" ref="V2682">_xlfn.IFS(AND(N2682&lt;= 22, S2682=9), N2682-7,AND(N2682&lt;= 28, S2682=9), N2682-25,AND(N2682&lt;= 30, S2682=9), N2682-28,AND(N2682&lt;= 11, S2682=10), N2682+2,AND(N2682&lt;= 21, S2682=10), N2682-11)</f>
        <v>7</v>
      </c>
    </row>
    <row r="2683" spans="1:22" x14ac:dyDescent="0.35">
      <c r="A2683" s="4">
        <v>45570</v>
      </c>
      <c r="B2683" s="5">
        <v>0.41974537037037035</v>
      </c>
      <c r="C2683">
        <v>66.8</v>
      </c>
      <c r="D2683">
        <v>66.8</v>
      </c>
      <c r="E2683">
        <v>66</v>
      </c>
      <c r="F2683">
        <v>65.5</v>
      </c>
      <c r="G2683">
        <v>0</v>
      </c>
      <c r="H2683">
        <v>0</v>
      </c>
      <c r="I2683">
        <v>0</v>
      </c>
      <c r="J2683">
        <v>0</v>
      </c>
      <c r="K2683">
        <v>62.9</v>
      </c>
      <c r="L2683">
        <v>63.8</v>
      </c>
      <c r="M2683">
        <v>66.28</v>
      </c>
      <c r="N2683">
        <v>5</v>
      </c>
      <c r="O2683">
        <v>4</v>
      </c>
      <c r="P2683">
        <f>MOD(DAY(datos_siembra[[#This Row],[Date]]),7)</f>
        <v>5</v>
      </c>
      <c r="Q2683" t="str">
        <f>CHOOSE(WEEKDAY(datos_siembra[[#This Row],[Date]],2),"L","M","X","J","V","S","D")</f>
        <v>S</v>
      </c>
      <c r="R2683">
        <f>WEEKNUM(datos_siembra[[#This Row],[Date]],2)-WEEKNUM(DATE(YEAR(datos_siembra[[#This Row],[Date]]),MONTH(datos_siembra[[#This Row],[Date]]),1))+1</f>
        <v>1</v>
      </c>
      <c r="S2683">
        <f>MONTH(datos_siembra[[#This Row],[Date]])</f>
        <v>10</v>
      </c>
      <c r="T2683" t="str" cm="1">
        <f t="array" ref="T2683">_xlfn.IFS(AND(N2683&lt;= 22, S2683=9), "SOWING",AND(N2683&lt;= 28, S2683=9), "COVERAGE",AND(N2683&lt;= 30, S2683=9), "FLUSH",AND(N2683&lt;= 11, S2683=10), "FLUSH",AND(N2683&lt;= 21, S2683=10), "PRODUCTION")</f>
        <v>FLUSH</v>
      </c>
      <c r="U2683">
        <f>HOUR(datos_siembra[[#This Row],[Hour]])</f>
        <v>10</v>
      </c>
      <c r="V2683" cm="1">
        <f t="array" ref="V2683">_xlfn.IFS(AND(N2683&lt;= 22, S2683=9), N2683-7,AND(N2683&lt;= 28, S2683=9), N2683-25,AND(N2683&lt;= 30, S2683=9), N2683-28,AND(N2683&lt;= 11, S2683=10), N2683+2,AND(N2683&lt;= 21, S2683=10), N2683-11)</f>
        <v>7</v>
      </c>
    </row>
    <row r="2684" spans="1:22" x14ac:dyDescent="0.35">
      <c r="A2684" s="4">
        <v>45570</v>
      </c>
      <c r="B2684" s="5">
        <v>0.42670138888888887</v>
      </c>
      <c r="C2684">
        <v>66.8</v>
      </c>
      <c r="D2684">
        <v>66.900000000000006</v>
      </c>
      <c r="E2684">
        <v>66</v>
      </c>
      <c r="F2684">
        <v>65.599999999999994</v>
      </c>
      <c r="G2684">
        <v>0</v>
      </c>
      <c r="H2684">
        <v>0</v>
      </c>
      <c r="I2684">
        <v>0</v>
      </c>
      <c r="J2684">
        <v>0</v>
      </c>
      <c r="K2684">
        <v>63</v>
      </c>
      <c r="L2684">
        <v>63.8</v>
      </c>
      <c r="M2684">
        <v>66.260000000000005</v>
      </c>
      <c r="N2684">
        <v>5</v>
      </c>
      <c r="O2684">
        <v>4</v>
      </c>
      <c r="P2684">
        <f>MOD(DAY(datos_siembra[[#This Row],[Date]]),7)</f>
        <v>5</v>
      </c>
      <c r="Q2684" t="str">
        <f>CHOOSE(WEEKDAY(datos_siembra[[#This Row],[Date]],2),"L","M","X","J","V","S","D")</f>
        <v>S</v>
      </c>
      <c r="R2684">
        <f>WEEKNUM(datos_siembra[[#This Row],[Date]],2)-WEEKNUM(DATE(YEAR(datos_siembra[[#This Row],[Date]]),MONTH(datos_siembra[[#This Row],[Date]]),1))+1</f>
        <v>1</v>
      </c>
      <c r="S2684">
        <f>MONTH(datos_siembra[[#This Row],[Date]])</f>
        <v>10</v>
      </c>
      <c r="T2684" t="str" cm="1">
        <f t="array" ref="T2684">_xlfn.IFS(AND(N2684&lt;= 22, S2684=9), "SOWING",AND(N2684&lt;= 28, S2684=9), "COVERAGE",AND(N2684&lt;= 30, S2684=9), "FLUSH",AND(N2684&lt;= 11, S2684=10), "FLUSH",AND(N2684&lt;= 21, S2684=10), "PRODUCTION")</f>
        <v>FLUSH</v>
      </c>
      <c r="U2684">
        <f>HOUR(datos_siembra[[#This Row],[Hour]])</f>
        <v>10</v>
      </c>
      <c r="V2684" cm="1">
        <f t="array" ref="V2684">_xlfn.IFS(AND(N2684&lt;= 22, S2684=9), N2684-7,AND(N2684&lt;= 28, S2684=9), N2684-25,AND(N2684&lt;= 30, S2684=9), N2684-28,AND(N2684&lt;= 11, S2684=10), N2684+2,AND(N2684&lt;= 21, S2684=10), N2684-11)</f>
        <v>7</v>
      </c>
    </row>
    <row r="2685" spans="1:22" x14ac:dyDescent="0.35">
      <c r="A2685" s="4">
        <v>45570</v>
      </c>
      <c r="B2685" s="5">
        <v>0.43364583333333334</v>
      </c>
      <c r="C2685">
        <v>66.900000000000006</v>
      </c>
      <c r="D2685">
        <v>66.900000000000006</v>
      </c>
      <c r="E2685">
        <v>65.900000000000006</v>
      </c>
      <c r="F2685">
        <v>65.8</v>
      </c>
      <c r="G2685">
        <v>0</v>
      </c>
      <c r="H2685">
        <v>0</v>
      </c>
      <c r="I2685">
        <v>0</v>
      </c>
      <c r="J2685">
        <v>0</v>
      </c>
      <c r="K2685">
        <v>63</v>
      </c>
      <c r="L2685">
        <v>63.7</v>
      </c>
      <c r="M2685">
        <v>66.28</v>
      </c>
      <c r="N2685">
        <v>5</v>
      </c>
      <c r="O2685">
        <v>4</v>
      </c>
      <c r="P2685">
        <f>MOD(DAY(datos_siembra[[#This Row],[Date]]),7)</f>
        <v>5</v>
      </c>
      <c r="Q2685" t="str">
        <f>CHOOSE(WEEKDAY(datos_siembra[[#This Row],[Date]],2),"L","M","X","J","V","S","D")</f>
        <v>S</v>
      </c>
      <c r="R2685">
        <f>WEEKNUM(datos_siembra[[#This Row],[Date]],2)-WEEKNUM(DATE(YEAR(datos_siembra[[#This Row],[Date]]),MONTH(datos_siembra[[#This Row],[Date]]),1))+1</f>
        <v>1</v>
      </c>
      <c r="S2685">
        <f>MONTH(datos_siembra[[#This Row],[Date]])</f>
        <v>10</v>
      </c>
      <c r="T2685" t="str" cm="1">
        <f t="array" ref="T2685">_xlfn.IFS(AND(N2685&lt;= 22, S2685=9), "SOWING",AND(N2685&lt;= 28, S2685=9), "COVERAGE",AND(N2685&lt;= 30, S2685=9), "FLUSH",AND(N2685&lt;= 11, S2685=10), "FLUSH",AND(N2685&lt;= 21, S2685=10), "PRODUCTION")</f>
        <v>FLUSH</v>
      </c>
      <c r="U2685">
        <f>HOUR(datos_siembra[[#This Row],[Hour]])</f>
        <v>10</v>
      </c>
      <c r="V2685" cm="1">
        <f t="array" ref="V2685">_xlfn.IFS(AND(N2685&lt;= 22, S2685=9), N2685-7,AND(N2685&lt;= 28, S2685=9), N2685-25,AND(N2685&lt;= 30, S2685=9), N2685-28,AND(N2685&lt;= 11, S2685=10), N2685+2,AND(N2685&lt;= 21, S2685=10), N2685-11)</f>
        <v>7</v>
      </c>
    </row>
    <row r="2686" spans="1:22" x14ac:dyDescent="0.35">
      <c r="A2686" s="4">
        <v>45570</v>
      </c>
      <c r="B2686" s="5">
        <v>0.44059027777777776</v>
      </c>
      <c r="C2686">
        <v>66.8</v>
      </c>
      <c r="D2686">
        <v>66.900000000000006</v>
      </c>
      <c r="E2686">
        <v>66</v>
      </c>
      <c r="F2686">
        <v>65.3</v>
      </c>
      <c r="G2686">
        <v>0</v>
      </c>
      <c r="H2686">
        <v>0</v>
      </c>
      <c r="I2686">
        <v>0</v>
      </c>
      <c r="J2686">
        <v>0</v>
      </c>
      <c r="K2686">
        <v>63.3</v>
      </c>
      <c r="L2686">
        <v>63.9</v>
      </c>
      <c r="M2686">
        <v>66.31</v>
      </c>
      <c r="N2686">
        <v>5</v>
      </c>
      <c r="O2686">
        <v>4</v>
      </c>
      <c r="P2686">
        <f>MOD(DAY(datos_siembra[[#This Row],[Date]]),7)</f>
        <v>5</v>
      </c>
      <c r="Q2686" t="str">
        <f>CHOOSE(WEEKDAY(datos_siembra[[#This Row],[Date]],2),"L","M","X","J","V","S","D")</f>
        <v>S</v>
      </c>
      <c r="R2686">
        <f>WEEKNUM(datos_siembra[[#This Row],[Date]],2)-WEEKNUM(DATE(YEAR(datos_siembra[[#This Row],[Date]]),MONTH(datos_siembra[[#This Row],[Date]]),1))+1</f>
        <v>1</v>
      </c>
      <c r="S2686">
        <f>MONTH(datos_siembra[[#This Row],[Date]])</f>
        <v>10</v>
      </c>
      <c r="T2686" t="str" cm="1">
        <f t="array" ref="T2686">_xlfn.IFS(AND(N2686&lt;= 22, S2686=9), "SOWING",AND(N2686&lt;= 28, S2686=9), "COVERAGE",AND(N2686&lt;= 30, S2686=9), "FLUSH",AND(N2686&lt;= 11, S2686=10), "FLUSH",AND(N2686&lt;= 21, S2686=10), "PRODUCTION")</f>
        <v>FLUSH</v>
      </c>
      <c r="U2686">
        <f>HOUR(datos_siembra[[#This Row],[Hour]])</f>
        <v>10</v>
      </c>
      <c r="V2686" cm="1">
        <f t="array" ref="V2686">_xlfn.IFS(AND(N2686&lt;= 22, S2686=9), N2686-7,AND(N2686&lt;= 28, S2686=9), N2686-25,AND(N2686&lt;= 30, S2686=9), N2686-28,AND(N2686&lt;= 11, S2686=10), N2686+2,AND(N2686&lt;= 21, S2686=10), N2686-11)</f>
        <v>7</v>
      </c>
    </row>
    <row r="2687" spans="1:22" x14ac:dyDescent="0.35">
      <c r="A2687" s="4">
        <v>45570</v>
      </c>
      <c r="B2687" s="5">
        <v>0.44754629629629628</v>
      </c>
      <c r="C2687">
        <v>66.900000000000006</v>
      </c>
      <c r="D2687">
        <v>66.8</v>
      </c>
      <c r="E2687">
        <v>66</v>
      </c>
      <c r="F2687">
        <v>65.599999999999994</v>
      </c>
      <c r="G2687">
        <v>0</v>
      </c>
      <c r="H2687">
        <v>0</v>
      </c>
      <c r="I2687">
        <v>0</v>
      </c>
      <c r="J2687">
        <v>0</v>
      </c>
      <c r="K2687">
        <v>63.3</v>
      </c>
      <c r="L2687">
        <v>63.9</v>
      </c>
      <c r="M2687">
        <v>66.28</v>
      </c>
      <c r="N2687">
        <v>5</v>
      </c>
      <c r="O2687">
        <v>4</v>
      </c>
      <c r="P2687">
        <f>MOD(DAY(datos_siembra[[#This Row],[Date]]),7)</f>
        <v>5</v>
      </c>
      <c r="Q2687" t="str">
        <f>CHOOSE(WEEKDAY(datos_siembra[[#This Row],[Date]],2),"L","M","X","J","V","S","D")</f>
        <v>S</v>
      </c>
      <c r="R2687">
        <f>WEEKNUM(datos_siembra[[#This Row],[Date]],2)-WEEKNUM(DATE(YEAR(datos_siembra[[#This Row],[Date]]),MONTH(datos_siembra[[#This Row],[Date]]),1))+1</f>
        <v>1</v>
      </c>
      <c r="S2687">
        <f>MONTH(datos_siembra[[#This Row],[Date]])</f>
        <v>10</v>
      </c>
      <c r="T2687" t="str" cm="1">
        <f t="array" ref="T2687">_xlfn.IFS(AND(N2687&lt;= 22, S2687=9), "SOWING",AND(N2687&lt;= 28, S2687=9), "COVERAGE",AND(N2687&lt;= 30, S2687=9), "FLUSH",AND(N2687&lt;= 11, S2687=10), "FLUSH",AND(N2687&lt;= 21, S2687=10), "PRODUCTION")</f>
        <v>FLUSH</v>
      </c>
      <c r="U2687">
        <f>HOUR(datos_siembra[[#This Row],[Hour]])</f>
        <v>10</v>
      </c>
      <c r="V2687" cm="1">
        <f t="array" ref="V2687">_xlfn.IFS(AND(N2687&lt;= 22, S2687=9), N2687-7,AND(N2687&lt;= 28, S2687=9), N2687-25,AND(N2687&lt;= 30, S2687=9), N2687-28,AND(N2687&lt;= 11, S2687=10), N2687+2,AND(N2687&lt;= 21, S2687=10), N2687-11)</f>
        <v>7</v>
      </c>
    </row>
    <row r="2688" spans="1:22" x14ac:dyDescent="0.35">
      <c r="A2688" s="4">
        <v>45570</v>
      </c>
      <c r="B2688" s="5">
        <v>0.45449074074074075</v>
      </c>
      <c r="C2688">
        <v>66.8</v>
      </c>
      <c r="D2688">
        <v>66.599999999999994</v>
      </c>
      <c r="E2688">
        <v>65.900000000000006</v>
      </c>
      <c r="F2688">
        <v>65.5</v>
      </c>
      <c r="G2688">
        <v>0</v>
      </c>
      <c r="H2688">
        <v>0</v>
      </c>
      <c r="I2688">
        <v>0</v>
      </c>
      <c r="J2688">
        <v>0</v>
      </c>
      <c r="K2688">
        <v>63.3</v>
      </c>
      <c r="L2688">
        <v>63.9</v>
      </c>
      <c r="M2688">
        <v>66.31</v>
      </c>
      <c r="N2688">
        <v>5</v>
      </c>
      <c r="O2688">
        <v>4</v>
      </c>
      <c r="P2688">
        <f>MOD(DAY(datos_siembra[[#This Row],[Date]]),7)</f>
        <v>5</v>
      </c>
      <c r="Q2688" t="str">
        <f>CHOOSE(WEEKDAY(datos_siembra[[#This Row],[Date]],2),"L","M","X","J","V","S","D")</f>
        <v>S</v>
      </c>
      <c r="R2688">
        <f>WEEKNUM(datos_siembra[[#This Row],[Date]],2)-WEEKNUM(DATE(YEAR(datos_siembra[[#This Row],[Date]]),MONTH(datos_siembra[[#This Row],[Date]]),1))+1</f>
        <v>1</v>
      </c>
      <c r="S2688">
        <f>MONTH(datos_siembra[[#This Row],[Date]])</f>
        <v>10</v>
      </c>
      <c r="T2688" t="str" cm="1">
        <f t="array" ref="T2688">_xlfn.IFS(AND(N2688&lt;= 22, S2688=9), "SOWING",AND(N2688&lt;= 28, S2688=9), "COVERAGE",AND(N2688&lt;= 30, S2688=9), "FLUSH",AND(N2688&lt;= 11, S2688=10), "FLUSH",AND(N2688&lt;= 21, S2688=10), "PRODUCTION")</f>
        <v>FLUSH</v>
      </c>
      <c r="U2688">
        <f>HOUR(datos_siembra[[#This Row],[Hour]])</f>
        <v>10</v>
      </c>
      <c r="V2688" cm="1">
        <f t="array" ref="V2688">_xlfn.IFS(AND(N2688&lt;= 22, S2688=9), N2688-7,AND(N2688&lt;= 28, S2688=9), N2688-25,AND(N2688&lt;= 30, S2688=9), N2688-28,AND(N2688&lt;= 11, S2688=10), N2688+2,AND(N2688&lt;= 21, S2688=10), N2688-11)</f>
        <v>7</v>
      </c>
    </row>
    <row r="2689" spans="1:22" x14ac:dyDescent="0.35">
      <c r="A2689" s="4">
        <v>45570</v>
      </c>
      <c r="B2689" s="5">
        <v>0.46143518518518517</v>
      </c>
      <c r="C2689">
        <v>66.599999999999994</v>
      </c>
      <c r="D2689">
        <v>66.8</v>
      </c>
      <c r="E2689">
        <v>66</v>
      </c>
      <c r="F2689">
        <v>65.599999999999994</v>
      </c>
      <c r="G2689">
        <v>0</v>
      </c>
      <c r="H2689">
        <v>0</v>
      </c>
      <c r="I2689">
        <v>0</v>
      </c>
      <c r="J2689">
        <v>0</v>
      </c>
      <c r="K2689">
        <v>63.4</v>
      </c>
      <c r="L2689">
        <v>64.2</v>
      </c>
      <c r="M2689">
        <v>66.23</v>
      </c>
      <c r="N2689">
        <v>5</v>
      </c>
      <c r="O2689">
        <v>4</v>
      </c>
      <c r="P2689">
        <f>MOD(DAY(datos_siembra[[#This Row],[Date]]),7)</f>
        <v>5</v>
      </c>
      <c r="Q2689" t="str">
        <f>CHOOSE(WEEKDAY(datos_siembra[[#This Row],[Date]],2),"L","M","X","J","V","S","D")</f>
        <v>S</v>
      </c>
      <c r="R2689">
        <f>WEEKNUM(datos_siembra[[#This Row],[Date]],2)-WEEKNUM(DATE(YEAR(datos_siembra[[#This Row],[Date]]),MONTH(datos_siembra[[#This Row],[Date]]),1))+1</f>
        <v>1</v>
      </c>
      <c r="S2689">
        <f>MONTH(datos_siembra[[#This Row],[Date]])</f>
        <v>10</v>
      </c>
      <c r="T2689" t="str" cm="1">
        <f t="array" ref="T2689">_xlfn.IFS(AND(N2689&lt;= 22, S2689=9), "SOWING",AND(N2689&lt;= 28, S2689=9), "COVERAGE",AND(N2689&lt;= 30, S2689=9), "FLUSH",AND(N2689&lt;= 11, S2689=10), "FLUSH",AND(N2689&lt;= 21, S2689=10), "PRODUCTION")</f>
        <v>FLUSH</v>
      </c>
      <c r="U2689">
        <f>HOUR(datos_siembra[[#This Row],[Hour]])</f>
        <v>11</v>
      </c>
      <c r="V2689" cm="1">
        <f t="array" ref="V2689">_xlfn.IFS(AND(N2689&lt;= 22, S2689=9), N2689-7,AND(N2689&lt;= 28, S2689=9), N2689-25,AND(N2689&lt;= 30, S2689=9), N2689-28,AND(N2689&lt;= 11, S2689=10), N2689+2,AND(N2689&lt;= 21, S2689=10), N2689-11)</f>
        <v>7</v>
      </c>
    </row>
    <row r="2690" spans="1:22" x14ac:dyDescent="0.35">
      <c r="A2690" s="4">
        <v>45570</v>
      </c>
      <c r="B2690" s="5">
        <v>0.46839120370370368</v>
      </c>
      <c r="C2690">
        <v>66.8</v>
      </c>
      <c r="D2690">
        <v>66.8</v>
      </c>
      <c r="E2690">
        <v>66</v>
      </c>
      <c r="F2690">
        <v>65.5</v>
      </c>
      <c r="G2690">
        <v>0</v>
      </c>
      <c r="H2690">
        <v>0</v>
      </c>
      <c r="I2690">
        <v>0</v>
      </c>
      <c r="J2690">
        <v>0</v>
      </c>
      <c r="K2690">
        <v>63.4</v>
      </c>
      <c r="L2690">
        <v>64.3</v>
      </c>
      <c r="M2690">
        <v>66.23</v>
      </c>
      <c r="N2690">
        <v>5</v>
      </c>
      <c r="O2690">
        <v>4</v>
      </c>
      <c r="P2690">
        <f>MOD(DAY(datos_siembra[[#This Row],[Date]]),7)</f>
        <v>5</v>
      </c>
      <c r="Q2690" t="str">
        <f>CHOOSE(WEEKDAY(datos_siembra[[#This Row],[Date]],2),"L","M","X","J","V","S","D")</f>
        <v>S</v>
      </c>
      <c r="R2690">
        <f>WEEKNUM(datos_siembra[[#This Row],[Date]],2)-WEEKNUM(DATE(YEAR(datos_siembra[[#This Row],[Date]]),MONTH(datos_siembra[[#This Row],[Date]]),1))+1</f>
        <v>1</v>
      </c>
      <c r="S2690">
        <f>MONTH(datos_siembra[[#This Row],[Date]])</f>
        <v>10</v>
      </c>
      <c r="T2690" t="str" cm="1">
        <f t="array" ref="T2690">_xlfn.IFS(AND(N2690&lt;= 22, S2690=9), "SOWING",AND(N2690&lt;= 28, S2690=9), "COVERAGE",AND(N2690&lt;= 30, S2690=9), "FLUSH",AND(N2690&lt;= 11, S2690=10), "FLUSH",AND(N2690&lt;= 21, S2690=10), "PRODUCTION")</f>
        <v>FLUSH</v>
      </c>
      <c r="U2690">
        <f>HOUR(datos_siembra[[#This Row],[Hour]])</f>
        <v>11</v>
      </c>
      <c r="V2690" cm="1">
        <f t="array" ref="V2690">_xlfn.IFS(AND(N2690&lt;= 22, S2690=9), N2690-7,AND(N2690&lt;= 28, S2690=9), N2690-25,AND(N2690&lt;= 30, S2690=9), N2690-28,AND(N2690&lt;= 11, S2690=10), N2690+2,AND(N2690&lt;= 21, S2690=10), N2690-11)</f>
        <v>7</v>
      </c>
    </row>
    <row r="2691" spans="1:22" x14ac:dyDescent="0.35">
      <c r="A2691" s="4">
        <v>45570</v>
      </c>
      <c r="B2691" s="5">
        <v>0.47533564814814816</v>
      </c>
      <c r="C2691">
        <v>66.8</v>
      </c>
      <c r="D2691">
        <v>66.8</v>
      </c>
      <c r="E2691">
        <v>65.900000000000006</v>
      </c>
      <c r="F2691">
        <v>65.599999999999994</v>
      </c>
      <c r="G2691">
        <v>0</v>
      </c>
      <c r="H2691">
        <v>0</v>
      </c>
      <c r="I2691">
        <v>0</v>
      </c>
      <c r="J2691">
        <v>0</v>
      </c>
      <c r="K2691">
        <v>63.6</v>
      </c>
      <c r="L2691">
        <v>64.400000000000006</v>
      </c>
      <c r="M2691">
        <v>66.260000000000005</v>
      </c>
      <c r="N2691">
        <v>5</v>
      </c>
      <c r="O2691">
        <v>4</v>
      </c>
      <c r="P2691">
        <f>MOD(DAY(datos_siembra[[#This Row],[Date]]),7)</f>
        <v>5</v>
      </c>
      <c r="Q2691" t="str">
        <f>CHOOSE(WEEKDAY(datos_siembra[[#This Row],[Date]],2),"L","M","X","J","V","S","D")</f>
        <v>S</v>
      </c>
      <c r="R2691">
        <f>WEEKNUM(datos_siembra[[#This Row],[Date]],2)-WEEKNUM(DATE(YEAR(datos_siembra[[#This Row],[Date]]),MONTH(datos_siembra[[#This Row],[Date]]),1))+1</f>
        <v>1</v>
      </c>
      <c r="S2691">
        <f>MONTH(datos_siembra[[#This Row],[Date]])</f>
        <v>10</v>
      </c>
      <c r="T2691" t="str" cm="1">
        <f t="array" ref="T2691">_xlfn.IFS(AND(N2691&lt;= 22, S2691=9), "SOWING",AND(N2691&lt;= 28, S2691=9), "COVERAGE",AND(N2691&lt;= 30, S2691=9), "FLUSH",AND(N2691&lt;= 11, S2691=10), "FLUSH",AND(N2691&lt;= 21, S2691=10), "PRODUCTION")</f>
        <v>FLUSH</v>
      </c>
      <c r="U2691">
        <f>HOUR(datos_siembra[[#This Row],[Hour]])</f>
        <v>11</v>
      </c>
      <c r="V2691" cm="1">
        <f t="array" ref="V2691">_xlfn.IFS(AND(N2691&lt;= 22, S2691=9), N2691-7,AND(N2691&lt;= 28, S2691=9), N2691-25,AND(N2691&lt;= 30, S2691=9), N2691-28,AND(N2691&lt;= 11, S2691=10), N2691+2,AND(N2691&lt;= 21, S2691=10), N2691-11)</f>
        <v>7</v>
      </c>
    </row>
    <row r="2692" spans="1:22" x14ac:dyDescent="0.35">
      <c r="A2692" s="4">
        <v>45570</v>
      </c>
      <c r="B2692" s="5">
        <v>0.48228009259259258</v>
      </c>
      <c r="C2692">
        <v>66.900000000000006</v>
      </c>
      <c r="D2692">
        <v>66.5</v>
      </c>
      <c r="E2692">
        <v>66</v>
      </c>
      <c r="F2692">
        <v>65.8</v>
      </c>
      <c r="G2692">
        <v>0</v>
      </c>
      <c r="H2692">
        <v>0</v>
      </c>
      <c r="I2692">
        <v>0</v>
      </c>
      <c r="J2692">
        <v>0</v>
      </c>
      <c r="K2692">
        <v>63.6</v>
      </c>
      <c r="L2692">
        <v>64.5</v>
      </c>
      <c r="M2692">
        <v>66.28</v>
      </c>
      <c r="N2692">
        <v>5</v>
      </c>
      <c r="O2692">
        <v>4</v>
      </c>
      <c r="P2692">
        <f>MOD(DAY(datos_siembra[[#This Row],[Date]]),7)</f>
        <v>5</v>
      </c>
      <c r="Q2692" t="str">
        <f>CHOOSE(WEEKDAY(datos_siembra[[#This Row],[Date]],2),"L","M","X","J","V","S","D")</f>
        <v>S</v>
      </c>
      <c r="R2692">
        <f>WEEKNUM(datos_siembra[[#This Row],[Date]],2)-WEEKNUM(DATE(YEAR(datos_siembra[[#This Row],[Date]]),MONTH(datos_siembra[[#This Row],[Date]]),1))+1</f>
        <v>1</v>
      </c>
      <c r="S2692">
        <f>MONTH(datos_siembra[[#This Row],[Date]])</f>
        <v>10</v>
      </c>
      <c r="T2692" t="str" cm="1">
        <f t="array" ref="T2692">_xlfn.IFS(AND(N2692&lt;= 22, S2692=9), "SOWING",AND(N2692&lt;= 28, S2692=9), "COVERAGE",AND(N2692&lt;= 30, S2692=9), "FLUSH",AND(N2692&lt;= 11, S2692=10), "FLUSH",AND(N2692&lt;= 21, S2692=10), "PRODUCTION")</f>
        <v>FLUSH</v>
      </c>
      <c r="U2692">
        <f>HOUR(datos_siembra[[#This Row],[Hour]])</f>
        <v>11</v>
      </c>
      <c r="V2692" cm="1">
        <f t="array" ref="V2692">_xlfn.IFS(AND(N2692&lt;= 22, S2692=9), N2692-7,AND(N2692&lt;= 28, S2692=9), N2692-25,AND(N2692&lt;= 30, S2692=9), N2692-28,AND(N2692&lt;= 11, S2692=10), N2692+2,AND(N2692&lt;= 21, S2692=10), N2692-11)</f>
        <v>7</v>
      </c>
    </row>
    <row r="2693" spans="1:22" x14ac:dyDescent="0.35">
      <c r="A2693" s="4">
        <v>45570</v>
      </c>
      <c r="B2693" s="5">
        <v>0.48922453703703705</v>
      </c>
      <c r="C2693">
        <v>66.599999999999994</v>
      </c>
      <c r="D2693">
        <v>66.8</v>
      </c>
      <c r="E2693">
        <v>66</v>
      </c>
      <c r="F2693">
        <v>65.599999999999994</v>
      </c>
      <c r="G2693">
        <v>0</v>
      </c>
      <c r="H2693">
        <v>0</v>
      </c>
      <c r="I2693">
        <v>0</v>
      </c>
      <c r="J2693">
        <v>0</v>
      </c>
      <c r="K2693">
        <v>63.6</v>
      </c>
      <c r="L2693">
        <v>64.400000000000006</v>
      </c>
      <c r="M2693">
        <v>66.260000000000005</v>
      </c>
      <c r="N2693">
        <v>5</v>
      </c>
      <c r="O2693">
        <v>4</v>
      </c>
      <c r="P2693">
        <f>MOD(DAY(datos_siembra[[#This Row],[Date]]),7)</f>
        <v>5</v>
      </c>
      <c r="Q2693" t="str">
        <f>CHOOSE(WEEKDAY(datos_siembra[[#This Row],[Date]],2),"L","M","X","J","V","S","D")</f>
        <v>S</v>
      </c>
      <c r="R2693">
        <f>WEEKNUM(datos_siembra[[#This Row],[Date]],2)-WEEKNUM(DATE(YEAR(datos_siembra[[#This Row],[Date]]),MONTH(datos_siembra[[#This Row],[Date]]),1))+1</f>
        <v>1</v>
      </c>
      <c r="S2693">
        <f>MONTH(datos_siembra[[#This Row],[Date]])</f>
        <v>10</v>
      </c>
      <c r="T2693" t="str" cm="1">
        <f t="array" ref="T2693">_xlfn.IFS(AND(N2693&lt;= 22, S2693=9), "SOWING",AND(N2693&lt;= 28, S2693=9), "COVERAGE",AND(N2693&lt;= 30, S2693=9), "FLUSH",AND(N2693&lt;= 11, S2693=10), "FLUSH",AND(N2693&lt;= 21, S2693=10), "PRODUCTION")</f>
        <v>FLUSH</v>
      </c>
      <c r="U2693">
        <f>HOUR(datos_siembra[[#This Row],[Hour]])</f>
        <v>11</v>
      </c>
      <c r="V2693" cm="1">
        <f t="array" ref="V2693">_xlfn.IFS(AND(N2693&lt;= 22, S2693=9), N2693-7,AND(N2693&lt;= 28, S2693=9), N2693-25,AND(N2693&lt;= 30, S2693=9), N2693-28,AND(N2693&lt;= 11, S2693=10), N2693+2,AND(N2693&lt;= 21, S2693=10), N2693-11)</f>
        <v>7</v>
      </c>
    </row>
    <row r="2694" spans="1:22" x14ac:dyDescent="0.35">
      <c r="A2694" s="4">
        <v>45570</v>
      </c>
      <c r="B2694" s="5">
        <v>0.49618055555555557</v>
      </c>
      <c r="C2694">
        <v>66.8</v>
      </c>
      <c r="D2694">
        <v>66.599999999999994</v>
      </c>
      <c r="E2694">
        <v>66</v>
      </c>
      <c r="F2694">
        <v>65.599999999999994</v>
      </c>
      <c r="G2694">
        <v>0</v>
      </c>
      <c r="H2694">
        <v>0</v>
      </c>
      <c r="I2694">
        <v>0</v>
      </c>
      <c r="J2694">
        <v>0</v>
      </c>
      <c r="K2694">
        <v>63.7</v>
      </c>
      <c r="L2694">
        <v>64.599999999999994</v>
      </c>
      <c r="M2694">
        <v>66.260000000000005</v>
      </c>
      <c r="N2694">
        <v>5</v>
      </c>
      <c r="O2694">
        <v>4</v>
      </c>
      <c r="P2694">
        <f>MOD(DAY(datos_siembra[[#This Row],[Date]]),7)</f>
        <v>5</v>
      </c>
      <c r="Q2694" t="str">
        <f>CHOOSE(WEEKDAY(datos_siembra[[#This Row],[Date]],2),"L","M","X","J","V","S","D")</f>
        <v>S</v>
      </c>
      <c r="R2694">
        <f>WEEKNUM(datos_siembra[[#This Row],[Date]],2)-WEEKNUM(DATE(YEAR(datos_siembra[[#This Row],[Date]]),MONTH(datos_siembra[[#This Row],[Date]]),1))+1</f>
        <v>1</v>
      </c>
      <c r="S2694">
        <f>MONTH(datos_siembra[[#This Row],[Date]])</f>
        <v>10</v>
      </c>
      <c r="T2694" t="str" cm="1">
        <f t="array" ref="T2694">_xlfn.IFS(AND(N2694&lt;= 22, S2694=9), "SOWING",AND(N2694&lt;= 28, S2694=9), "COVERAGE",AND(N2694&lt;= 30, S2694=9), "FLUSH",AND(N2694&lt;= 11, S2694=10), "FLUSH",AND(N2694&lt;= 21, S2694=10), "PRODUCTION")</f>
        <v>FLUSH</v>
      </c>
      <c r="U2694">
        <f>HOUR(datos_siembra[[#This Row],[Hour]])</f>
        <v>11</v>
      </c>
      <c r="V2694" cm="1">
        <f t="array" ref="V2694">_xlfn.IFS(AND(N2694&lt;= 22, S2694=9), N2694-7,AND(N2694&lt;= 28, S2694=9), N2694-25,AND(N2694&lt;= 30, S2694=9), N2694-28,AND(N2694&lt;= 11, S2694=10), N2694+2,AND(N2694&lt;= 21, S2694=10), N2694-11)</f>
        <v>7</v>
      </c>
    </row>
    <row r="2695" spans="1:22" x14ac:dyDescent="0.35">
      <c r="A2695" s="4">
        <v>45570</v>
      </c>
      <c r="B2695" s="5">
        <v>0.50312500000000004</v>
      </c>
      <c r="C2695">
        <v>66.8</v>
      </c>
      <c r="D2695">
        <v>66.8</v>
      </c>
      <c r="E2695">
        <v>66</v>
      </c>
      <c r="F2695">
        <v>65.5</v>
      </c>
      <c r="G2695">
        <v>0</v>
      </c>
      <c r="H2695">
        <v>0</v>
      </c>
      <c r="I2695">
        <v>0</v>
      </c>
      <c r="J2695">
        <v>0</v>
      </c>
      <c r="K2695">
        <v>63.8</v>
      </c>
      <c r="L2695">
        <v>64.7</v>
      </c>
      <c r="M2695">
        <v>66.260000000000005</v>
      </c>
      <c r="N2695">
        <v>5</v>
      </c>
      <c r="O2695">
        <v>4</v>
      </c>
      <c r="P2695">
        <f>MOD(DAY(datos_siembra[[#This Row],[Date]]),7)</f>
        <v>5</v>
      </c>
      <c r="Q2695" t="str">
        <f>CHOOSE(WEEKDAY(datos_siembra[[#This Row],[Date]],2),"L","M","X","J","V","S","D")</f>
        <v>S</v>
      </c>
      <c r="R2695">
        <f>WEEKNUM(datos_siembra[[#This Row],[Date]],2)-WEEKNUM(DATE(YEAR(datos_siembra[[#This Row],[Date]]),MONTH(datos_siembra[[#This Row],[Date]]),1))+1</f>
        <v>1</v>
      </c>
      <c r="S2695">
        <f>MONTH(datos_siembra[[#This Row],[Date]])</f>
        <v>10</v>
      </c>
      <c r="T2695" t="str" cm="1">
        <f t="array" ref="T2695">_xlfn.IFS(AND(N2695&lt;= 22, S2695=9), "SOWING",AND(N2695&lt;= 28, S2695=9), "COVERAGE",AND(N2695&lt;= 30, S2695=9), "FLUSH",AND(N2695&lt;= 11, S2695=10), "FLUSH",AND(N2695&lt;= 21, S2695=10), "PRODUCTION")</f>
        <v>FLUSH</v>
      </c>
      <c r="U2695">
        <f>HOUR(datos_siembra[[#This Row],[Hour]])</f>
        <v>12</v>
      </c>
      <c r="V2695" cm="1">
        <f t="array" ref="V2695">_xlfn.IFS(AND(N2695&lt;= 22, S2695=9), N2695-7,AND(N2695&lt;= 28, S2695=9), N2695-25,AND(N2695&lt;= 30, S2695=9), N2695-28,AND(N2695&lt;= 11, S2695=10), N2695+2,AND(N2695&lt;= 21, S2695=10), N2695-11)</f>
        <v>7</v>
      </c>
    </row>
    <row r="2696" spans="1:22" x14ac:dyDescent="0.35">
      <c r="A2696" s="4">
        <v>45570</v>
      </c>
      <c r="B2696" s="5">
        <v>0.51006944444444446</v>
      </c>
      <c r="C2696">
        <v>66.599999999999994</v>
      </c>
      <c r="D2696">
        <v>66.599999999999994</v>
      </c>
      <c r="E2696">
        <v>66</v>
      </c>
      <c r="F2696">
        <v>65.5</v>
      </c>
      <c r="G2696">
        <v>0</v>
      </c>
      <c r="H2696">
        <v>0</v>
      </c>
      <c r="I2696">
        <v>0</v>
      </c>
      <c r="J2696">
        <v>0</v>
      </c>
      <c r="K2696">
        <v>63.9</v>
      </c>
      <c r="L2696">
        <v>65</v>
      </c>
      <c r="M2696">
        <v>66.260000000000005</v>
      </c>
      <c r="N2696">
        <v>5</v>
      </c>
      <c r="O2696">
        <v>4</v>
      </c>
      <c r="P2696">
        <f>MOD(DAY(datos_siembra[[#This Row],[Date]]),7)</f>
        <v>5</v>
      </c>
      <c r="Q2696" t="str">
        <f>CHOOSE(WEEKDAY(datos_siembra[[#This Row],[Date]],2),"L","M","X","J","V","S","D")</f>
        <v>S</v>
      </c>
      <c r="R2696">
        <f>WEEKNUM(datos_siembra[[#This Row],[Date]],2)-WEEKNUM(DATE(YEAR(datos_siembra[[#This Row],[Date]]),MONTH(datos_siembra[[#This Row],[Date]]),1))+1</f>
        <v>1</v>
      </c>
      <c r="S2696">
        <f>MONTH(datos_siembra[[#This Row],[Date]])</f>
        <v>10</v>
      </c>
      <c r="T2696" t="str" cm="1">
        <f t="array" ref="T2696">_xlfn.IFS(AND(N2696&lt;= 22, S2696=9), "SOWING",AND(N2696&lt;= 28, S2696=9), "COVERAGE",AND(N2696&lt;= 30, S2696=9), "FLUSH",AND(N2696&lt;= 11, S2696=10), "FLUSH",AND(N2696&lt;= 21, S2696=10), "PRODUCTION")</f>
        <v>FLUSH</v>
      </c>
      <c r="U2696">
        <f>HOUR(datos_siembra[[#This Row],[Hour]])</f>
        <v>12</v>
      </c>
      <c r="V2696" cm="1">
        <f t="array" ref="V2696">_xlfn.IFS(AND(N2696&lt;= 22, S2696=9), N2696-7,AND(N2696&lt;= 28, S2696=9), N2696-25,AND(N2696&lt;= 30, S2696=9), N2696-28,AND(N2696&lt;= 11, S2696=10), N2696+2,AND(N2696&lt;= 21, S2696=10), N2696-11)</f>
        <v>7</v>
      </c>
    </row>
    <row r="2697" spans="1:22" x14ac:dyDescent="0.35">
      <c r="A2697" s="4">
        <v>45570</v>
      </c>
      <c r="B2697" s="5">
        <v>0.51702546296296292</v>
      </c>
      <c r="C2697">
        <v>66.599999999999994</v>
      </c>
      <c r="D2697">
        <v>66.8</v>
      </c>
      <c r="E2697">
        <v>66</v>
      </c>
      <c r="F2697">
        <v>65.8</v>
      </c>
      <c r="G2697">
        <v>0</v>
      </c>
      <c r="H2697">
        <v>0</v>
      </c>
      <c r="I2697">
        <v>0</v>
      </c>
      <c r="J2697">
        <v>0</v>
      </c>
      <c r="K2697">
        <v>64.099999999999994</v>
      </c>
      <c r="L2697">
        <v>65.2</v>
      </c>
      <c r="M2697">
        <v>66.23</v>
      </c>
      <c r="N2697">
        <v>5</v>
      </c>
      <c r="O2697">
        <v>4</v>
      </c>
      <c r="P2697">
        <f>MOD(DAY(datos_siembra[[#This Row],[Date]]),7)</f>
        <v>5</v>
      </c>
      <c r="Q2697" t="str">
        <f>CHOOSE(WEEKDAY(datos_siembra[[#This Row],[Date]],2),"L","M","X","J","V","S","D")</f>
        <v>S</v>
      </c>
      <c r="R2697">
        <f>WEEKNUM(datos_siembra[[#This Row],[Date]],2)-WEEKNUM(DATE(YEAR(datos_siembra[[#This Row],[Date]]),MONTH(datos_siembra[[#This Row],[Date]]),1))+1</f>
        <v>1</v>
      </c>
      <c r="S2697">
        <f>MONTH(datos_siembra[[#This Row],[Date]])</f>
        <v>10</v>
      </c>
      <c r="T2697" t="str" cm="1">
        <f t="array" ref="T2697">_xlfn.IFS(AND(N2697&lt;= 22, S2697=9), "SOWING",AND(N2697&lt;= 28, S2697=9), "COVERAGE",AND(N2697&lt;= 30, S2697=9), "FLUSH",AND(N2697&lt;= 11, S2697=10), "FLUSH",AND(N2697&lt;= 21, S2697=10), "PRODUCTION")</f>
        <v>FLUSH</v>
      </c>
      <c r="U2697">
        <f>HOUR(datos_siembra[[#This Row],[Hour]])</f>
        <v>12</v>
      </c>
      <c r="V2697" cm="1">
        <f t="array" ref="V2697">_xlfn.IFS(AND(N2697&lt;= 22, S2697=9), N2697-7,AND(N2697&lt;= 28, S2697=9), N2697-25,AND(N2697&lt;= 30, S2697=9), N2697-28,AND(N2697&lt;= 11, S2697=10), N2697+2,AND(N2697&lt;= 21, S2697=10), N2697-11)</f>
        <v>7</v>
      </c>
    </row>
    <row r="2698" spans="1:22" x14ac:dyDescent="0.35">
      <c r="A2698" s="4">
        <v>45570</v>
      </c>
      <c r="B2698" s="5">
        <v>0.52396990740740745</v>
      </c>
      <c r="C2698">
        <v>66.8</v>
      </c>
      <c r="D2698">
        <v>66.8</v>
      </c>
      <c r="E2698">
        <v>66</v>
      </c>
      <c r="F2698">
        <v>65.5</v>
      </c>
      <c r="G2698">
        <v>0</v>
      </c>
      <c r="H2698">
        <v>0</v>
      </c>
      <c r="I2698">
        <v>0</v>
      </c>
      <c r="J2698">
        <v>0</v>
      </c>
      <c r="K2698">
        <v>64.099999999999994</v>
      </c>
      <c r="L2698">
        <v>65.2</v>
      </c>
      <c r="M2698">
        <v>66.2</v>
      </c>
      <c r="N2698">
        <v>5</v>
      </c>
      <c r="O2698">
        <v>4</v>
      </c>
      <c r="P2698">
        <f>MOD(DAY(datos_siembra[[#This Row],[Date]]),7)</f>
        <v>5</v>
      </c>
      <c r="Q2698" t="str">
        <f>CHOOSE(WEEKDAY(datos_siembra[[#This Row],[Date]],2),"L","M","X","J","V","S","D")</f>
        <v>S</v>
      </c>
      <c r="R2698">
        <f>WEEKNUM(datos_siembra[[#This Row],[Date]],2)-WEEKNUM(DATE(YEAR(datos_siembra[[#This Row],[Date]]),MONTH(datos_siembra[[#This Row],[Date]]),1))+1</f>
        <v>1</v>
      </c>
      <c r="S2698">
        <f>MONTH(datos_siembra[[#This Row],[Date]])</f>
        <v>10</v>
      </c>
      <c r="T2698" t="str" cm="1">
        <f t="array" ref="T2698">_xlfn.IFS(AND(N2698&lt;= 22, S2698=9), "SOWING",AND(N2698&lt;= 28, S2698=9), "COVERAGE",AND(N2698&lt;= 30, S2698=9), "FLUSH",AND(N2698&lt;= 11, S2698=10), "FLUSH",AND(N2698&lt;= 21, S2698=10), "PRODUCTION")</f>
        <v>FLUSH</v>
      </c>
      <c r="U2698">
        <f>HOUR(datos_siembra[[#This Row],[Hour]])</f>
        <v>12</v>
      </c>
      <c r="V2698" cm="1">
        <f t="array" ref="V2698">_xlfn.IFS(AND(N2698&lt;= 22, S2698=9), N2698-7,AND(N2698&lt;= 28, S2698=9), N2698-25,AND(N2698&lt;= 30, S2698=9), N2698-28,AND(N2698&lt;= 11, S2698=10), N2698+2,AND(N2698&lt;= 21, S2698=10), N2698-11)</f>
        <v>7</v>
      </c>
    </row>
    <row r="2699" spans="1:22" x14ac:dyDescent="0.35">
      <c r="A2699" s="4">
        <v>45570</v>
      </c>
      <c r="B2699" s="5">
        <v>0.53091435185185187</v>
      </c>
      <c r="C2699">
        <v>66.599999999999994</v>
      </c>
      <c r="D2699">
        <v>66.8</v>
      </c>
      <c r="E2699">
        <v>66.099999999999994</v>
      </c>
      <c r="F2699">
        <v>65.599999999999994</v>
      </c>
      <c r="G2699">
        <v>0</v>
      </c>
      <c r="H2699">
        <v>0</v>
      </c>
      <c r="I2699">
        <v>0</v>
      </c>
      <c r="J2699">
        <v>0</v>
      </c>
      <c r="K2699">
        <v>64.3</v>
      </c>
      <c r="L2699">
        <v>65.400000000000006</v>
      </c>
      <c r="M2699">
        <v>66.260000000000005</v>
      </c>
      <c r="N2699">
        <v>5</v>
      </c>
      <c r="O2699">
        <v>4</v>
      </c>
      <c r="P2699">
        <f>MOD(DAY(datos_siembra[[#This Row],[Date]]),7)</f>
        <v>5</v>
      </c>
      <c r="Q2699" t="str">
        <f>CHOOSE(WEEKDAY(datos_siembra[[#This Row],[Date]],2),"L","M","X","J","V","S","D")</f>
        <v>S</v>
      </c>
      <c r="R2699">
        <f>WEEKNUM(datos_siembra[[#This Row],[Date]],2)-WEEKNUM(DATE(YEAR(datos_siembra[[#This Row],[Date]]),MONTH(datos_siembra[[#This Row],[Date]]),1))+1</f>
        <v>1</v>
      </c>
      <c r="S2699">
        <f>MONTH(datos_siembra[[#This Row],[Date]])</f>
        <v>10</v>
      </c>
      <c r="T2699" t="str" cm="1">
        <f t="array" ref="T2699">_xlfn.IFS(AND(N2699&lt;= 22, S2699=9), "SOWING",AND(N2699&lt;= 28, S2699=9), "COVERAGE",AND(N2699&lt;= 30, S2699=9), "FLUSH",AND(N2699&lt;= 11, S2699=10), "FLUSH",AND(N2699&lt;= 21, S2699=10), "PRODUCTION")</f>
        <v>FLUSH</v>
      </c>
      <c r="U2699">
        <f>HOUR(datos_siembra[[#This Row],[Hour]])</f>
        <v>12</v>
      </c>
      <c r="V2699" cm="1">
        <f t="array" ref="V2699">_xlfn.IFS(AND(N2699&lt;= 22, S2699=9), N2699-7,AND(N2699&lt;= 28, S2699=9), N2699-25,AND(N2699&lt;= 30, S2699=9), N2699-28,AND(N2699&lt;= 11, S2699=10), N2699+2,AND(N2699&lt;= 21, S2699=10), N2699-11)</f>
        <v>7</v>
      </c>
    </row>
    <row r="2700" spans="1:22" x14ac:dyDescent="0.35">
      <c r="A2700" s="4">
        <v>45570</v>
      </c>
      <c r="B2700" s="5">
        <v>0.53787037037037033</v>
      </c>
      <c r="C2700">
        <v>66.599999999999994</v>
      </c>
      <c r="D2700">
        <v>66.599999999999994</v>
      </c>
      <c r="E2700">
        <v>66</v>
      </c>
      <c r="F2700">
        <v>65.599999999999994</v>
      </c>
      <c r="G2700">
        <v>0</v>
      </c>
      <c r="H2700">
        <v>0</v>
      </c>
      <c r="I2700">
        <v>0</v>
      </c>
      <c r="J2700">
        <v>0</v>
      </c>
      <c r="K2700">
        <v>64.2</v>
      </c>
      <c r="L2700">
        <v>65.099999999999994</v>
      </c>
      <c r="M2700">
        <v>66.28</v>
      </c>
      <c r="N2700">
        <v>5</v>
      </c>
      <c r="O2700">
        <v>4</v>
      </c>
      <c r="P2700">
        <f>MOD(DAY(datos_siembra[[#This Row],[Date]]),7)</f>
        <v>5</v>
      </c>
      <c r="Q2700" t="str">
        <f>CHOOSE(WEEKDAY(datos_siembra[[#This Row],[Date]],2),"L","M","X","J","V","S","D")</f>
        <v>S</v>
      </c>
      <c r="R2700">
        <f>WEEKNUM(datos_siembra[[#This Row],[Date]],2)-WEEKNUM(DATE(YEAR(datos_siembra[[#This Row],[Date]]),MONTH(datos_siembra[[#This Row],[Date]]),1))+1</f>
        <v>1</v>
      </c>
      <c r="S2700">
        <f>MONTH(datos_siembra[[#This Row],[Date]])</f>
        <v>10</v>
      </c>
      <c r="T2700" t="str" cm="1">
        <f t="array" ref="T2700">_xlfn.IFS(AND(N2700&lt;= 22, S2700=9), "SOWING",AND(N2700&lt;= 28, S2700=9), "COVERAGE",AND(N2700&lt;= 30, S2700=9), "FLUSH",AND(N2700&lt;= 11, S2700=10), "FLUSH",AND(N2700&lt;= 21, S2700=10), "PRODUCTION")</f>
        <v>FLUSH</v>
      </c>
      <c r="U2700">
        <f>HOUR(datos_siembra[[#This Row],[Hour]])</f>
        <v>12</v>
      </c>
      <c r="V2700" cm="1">
        <f t="array" ref="V2700">_xlfn.IFS(AND(N2700&lt;= 22, S2700=9), N2700-7,AND(N2700&lt;= 28, S2700=9), N2700-25,AND(N2700&lt;= 30, S2700=9), N2700-28,AND(N2700&lt;= 11, S2700=10), N2700+2,AND(N2700&lt;= 21, S2700=10), N2700-11)</f>
        <v>7</v>
      </c>
    </row>
    <row r="2701" spans="1:22" x14ac:dyDescent="0.35">
      <c r="A2701" s="4">
        <v>45570</v>
      </c>
      <c r="B2701" s="5">
        <v>0.54481481481481486</v>
      </c>
      <c r="C2701">
        <v>66.599999999999994</v>
      </c>
      <c r="D2701">
        <v>66.900000000000006</v>
      </c>
      <c r="E2701">
        <v>66</v>
      </c>
      <c r="F2701">
        <v>65.8</v>
      </c>
      <c r="G2701">
        <v>0</v>
      </c>
      <c r="H2701">
        <v>0</v>
      </c>
      <c r="I2701">
        <v>0</v>
      </c>
      <c r="J2701">
        <v>0</v>
      </c>
      <c r="K2701">
        <v>64.099999999999994</v>
      </c>
      <c r="L2701">
        <v>64.900000000000006</v>
      </c>
      <c r="M2701">
        <v>66.31</v>
      </c>
      <c r="N2701">
        <v>5</v>
      </c>
      <c r="O2701">
        <v>4</v>
      </c>
      <c r="P2701">
        <f>MOD(DAY(datos_siembra[[#This Row],[Date]]),7)</f>
        <v>5</v>
      </c>
      <c r="Q2701" t="str">
        <f>CHOOSE(WEEKDAY(datos_siembra[[#This Row],[Date]],2),"L","M","X","J","V","S","D")</f>
        <v>S</v>
      </c>
      <c r="R2701">
        <f>WEEKNUM(datos_siembra[[#This Row],[Date]],2)-WEEKNUM(DATE(YEAR(datos_siembra[[#This Row],[Date]]),MONTH(datos_siembra[[#This Row],[Date]]),1))+1</f>
        <v>1</v>
      </c>
      <c r="S2701">
        <f>MONTH(datos_siembra[[#This Row],[Date]])</f>
        <v>10</v>
      </c>
      <c r="T2701" t="str" cm="1">
        <f t="array" ref="T2701">_xlfn.IFS(AND(N2701&lt;= 22, S2701=9), "SOWING",AND(N2701&lt;= 28, S2701=9), "COVERAGE",AND(N2701&lt;= 30, S2701=9), "FLUSH",AND(N2701&lt;= 11, S2701=10), "FLUSH",AND(N2701&lt;= 21, S2701=10), "PRODUCTION")</f>
        <v>FLUSH</v>
      </c>
      <c r="U2701">
        <f>HOUR(datos_siembra[[#This Row],[Hour]])</f>
        <v>13</v>
      </c>
      <c r="V2701" cm="1">
        <f t="array" ref="V2701">_xlfn.IFS(AND(N2701&lt;= 22, S2701=9), N2701-7,AND(N2701&lt;= 28, S2701=9), N2701-25,AND(N2701&lt;= 30, S2701=9), N2701-28,AND(N2701&lt;= 11, S2701=10), N2701+2,AND(N2701&lt;= 21, S2701=10), N2701-11)</f>
        <v>7</v>
      </c>
    </row>
    <row r="2702" spans="1:22" x14ac:dyDescent="0.35">
      <c r="A2702" s="4">
        <v>45570</v>
      </c>
      <c r="B2702" s="5">
        <v>0.55175925925925928</v>
      </c>
      <c r="C2702">
        <v>66.8</v>
      </c>
      <c r="D2702">
        <v>66.599999999999994</v>
      </c>
      <c r="E2702">
        <v>66</v>
      </c>
      <c r="F2702">
        <v>65.599999999999994</v>
      </c>
      <c r="G2702">
        <v>0</v>
      </c>
      <c r="H2702">
        <v>0</v>
      </c>
      <c r="I2702">
        <v>0</v>
      </c>
      <c r="J2702">
        <v>0</v>
      </c>
      <c r="K2702">
        <v>64.2</v>
      </c>
      <c r="L2702">
        <v>65.099999999999994</v>
      </c>
      <c r="M2702">
        <v>66.28</v>
      </c>
      <c r="N2702">
        <v>5</v>
      </c>
      <c r="O2702">
        <v>4</v>
      </c>
      <c r="P2702">
        <f>MOD(DAY(datos_siembra[[#This Row],[Date]]),7)</f>
        <v>5</v>
      </c>
      <c r="Q2702" t="str">
        <f>CHOOSE(WEEKDAY(datos_siembra[[#This Row],[Date]],2),"L","M","X","J","V","S","D")</f>
        <v>S</v>
      </c>
      <c r="R2702">
        <f>WEEKNUM(datos_siembra[[#This Row],[Date]],2)-WEEKNUM(DATE(YEAR(datos_siembra[[#This Row],[Date]]),MONTH(datos_siembra[[#This Row],[Date]]),1))+1</f>
        <v>1</v>
      </c>
      <c r="S2702">
        <f>MONTH(datos_siembra[[#This Row],[Date]])</f>
        <v>10</v>
      </c>
      <c r="T2702" t="str" cm="1">
        <f t="array" ref="T2702">_xlfn.IFS(AND(N2702&lt;= 22, S2702=9), "SOWING",AND(N2702&lt;= 28, S2702=9), "COVERAGE",AND(N2702&lt;= 30, S2702=9), "FLUSH",AND(N2702&lt;= 11, S2702=10), "FLUSH",AND(N2702&lt;= 21, S2702=10), "PRODUCTION")</f>
        <v>FLUSH</v>
      </c>
      <c r="U2702">
        <f>HOUR(datos_siembra[[#This Row],[Hour]])</f>
        <v>13</v>
      </c>
      <c r="V2702" cm="1">
        <f t="array" ref="V2702">_xlfn.IFS(AND(N2702&lt;= 22, S2702=9), N2702-7,AND(N2702&lt;= 28, S2702=9), N2702-25,AND(N2702&lt;= 30, S2702=9), N2702-28,AND(N2702&lt;= 11, S2702=10), N2702+2,AND(N2702&lt;= 21, S2702=10), N2702-11)</f>
        <v>7</v>
      </c>
    </row>
    <row r="2703" spans="1:22" x14ac:dyDescent="0.35">
      <c r="A2703" s="4">
        <v>45570</v>
      </c>
      <c r="B2703" s="5">
        <v>0.5587037037037037</v>
      </c>
      <c r="C2703">
        <v>66.8</v>
      </c>
      <c r="D2703">
        <v>66.599999999999994</v>
      </c>
      <c r="E2703">
        <v>66</v>
      </c>
      <c r="F2703">
        <v>65.599999999999994</v>
      </c>
      <c r="G2703">
        <v>0</v>
      </c>
      <c r="H2703">
        <v>0</v>
      </c>
      <c r="I2703">
        <v>0</v>
      </c>
      <c r="J2703">
        <v>0</v>
      </c>
      <c r="K2703">
        <v>64.2</v>
      </c>
      <c r="L2703">
        <v>65</v>
      </c>
      <c r="M2703">
        <v>66.28</v>
      </c>
      <c r="N2703">
        <v>5</v>
      </c>
      <c r="O2703">
        <v>4</v>
      </c>
      <c r="P2703">
        <f>MOD(DAY(datos_siembra[[#This Row],[Date]]),7)</f>
        <v>5</v>
      </c>
      <c r="Q2703" t="str">
        <f>CHOOSE(WEEKDAY(datos_siembra[[#This Row],[Date]],2),"L","M","X","J","V","S","D")</f>
        <v>S</v>
      </c>
      <c r="R2703">
        <f>WEEKNUM(datos_siembra[[#This Row],[Date]],2)-WEEKNUM(DATE(YEAR(datos_siembra[[#This Row],[Date]]),MONTH(datos_siembra[[#This Row],[Date]]),1))+1</f>
        <v>1</v>
      </c>
      <c r="S2703">
        <f>MONTH(datos_siembra[[#This Row],[Date]])</f>
        <v>10</v>
      </c>
      <c r="T2703" t="str" cm="1">
        <f t="array" ref="T2703">_xlfn.IFS(AND(N2703&lt;= 22, S2703=9), "SOWING",AND(N2703&lt;= 28, S2703=9), "COVERAGE",AND(N2703&lt;= 30, S2703=9), "FLUSH",AND(N2703&lt;= 11, S2703=10), "FLUSH",AND(N2703&lt;= 21, S2703=10), "PRODUCTION")</f>
        <v>FLUSH</v>
      </c>
      <c r="U2703">
        <f>HOUR(datos_siembra[[#This Row],[Hour]])</f>
        <v>13</v>
      </c>
      <c r="V2703" cm="1">
        <f t="array" ref="V2703">_xlfn.IFS(AND(N2703&lt;= 22, S2703=9), N2703-7,AND(N2703&lt;= 28, S2703=9), N2703-25,AND(N2703&lt;= 30, S2703=9), N2703-28,AND(N2703&lt;= 11, S2703=10), N2703+2,AND(N2703&lt;= 21, S2703=10), N2703-11)</f>
        <v>7</v>
      </c>
    </row>
    <row r="2704" spans="1:22" x14ac:dyDescent="0.35">
      <c r="A2704" s="4">
        <v>45570</v>
      </c>
      <c r="B2704" s="5">
        <v>0.56565972222222227</v>
      </c>
      <c r="C2704">
        <v>66.8</v>
      </c>
      <c r="D2704">
        <v>66.599999999999994</v>
      </c>
      <c r="E2704">
        <v>66.099999999999994</v>
      </c>
      <c r="F2704">
        <v>65.8</v>
      </c>
      <c r="G2704">
        <v>0</v>
      </c>
      <c r="H2704">
        <v>0</v>
      </c>
      <c r="I2704">
        <v>0</v>
      </c>
      <c r="J2704">
        <v>0</v>
      </c>
      <c r="K2704">
        <v>64.2</v>
      </c>
      <c r="L2704">
        <v>65.2</v>
      </c>
      <c r="M2704">
        <v>66.260000000000005</v>
      </c>
      <c r="N2704">
        <v>5</v>
      </c>
      <c r="O2704">
        <v>4</v>
      </c>
      <c r="P2704">
        <f>MOD(DAY(datos_siembra[[#This Row],[Date]]),7)</f>
        <v>5</v>
      </c>
      <c r="Q2704" t="str">
        <f>CHOOSE(WEEKDAY(datos_siembra[[#This Row],[Date]],2),"L","M","X","J","V","S","D")</f>
        <v>S</v>
      </c>
      <c r="R2704">
        <f>WEEKNUM(datos_siembra[[#This Row],[Date]],2)-WEEKNUM(DATE(YEAR(datos_siembra[[#This Row],[Date]]),MONTH(datos_siembra[[#This Row],[Date]]),1))+1</f>
        <v>1</v>
      </c>
      <c r="S2704">
        <f>MONTH(datos_siembra[[#This Row],[Date]])</f>
        <v>10</v>
      </c>
      <c r="T2704" t="str" cm="1">
        <f t="array" ref="T2704">_xlfn.IFS(AND(N2704&lt;= 22, S2704=9), "SOWING",AND(N2704&lt;= 28, S2704=9), "COVERAGE",AND(N2704&lt;= 30, S2704=9), "FLUSH",AND(N2704&lt;= 11, S2704=10), "FLUSH",AND(N2704&lt;= 21, S2704=10), "PRODUCTION")</f>
        <v>FLUSH</v>
      </c>
      <c r="U2704">
        <f>HOUR(datos_siembra[[#This Row],[Hour]])</f>
        <v>13</v>
      </c>
      <c r="V2704" cm="1">
        <f t="array" ref="V2704">_xlfn.IFS(AND(N2704&lt;= 22, S2704=9), N2704-7,AND(N2704&lt;= 28, S2704=9), N2704-25,AND(N2704&lt;= 30, S2704=9), N2704-28,AND(N2704&lt;= 11, S2704=10), N2704+2,AND(N2704&lt;= 21, S2704=10), N2704-11)</f>
        <v>7</v>
      </c>
    </row>
    <row r="2705" spans="1:22" x14ac:dyDescent="0.35">
      <c r="A2705" s="4">
        <v>45570</v>
      </c>
      <c r="B2705" s="5">
        <v>0.57260416666666669</v>
      </c>
      <c r="C2705">
        <v>66.8</v>
      </c>
      <c r="D2705">
        <v>66.5</v>
      </c>
      <c r="E2705">
        <v>66</v>
      </c>
      <c r="F2705">
        <v>65.599999999999994</v>
      </c>
      <c r="G2705">
        <v>0</v>
      </c>
      <c r="H2705">
        <v>0</v>
      </c>
      <c r="I2705">
        <v>0</v>
      </c>
      <c r="J2705">
        <v>0</v>
      </c>
      <c r="K2705">
        <v>64.3</v>
      </c>
      <c r="L2705">
        <v>65.3</v>
      </c>
      <c r="M2705">
        <v>66.23</v>
      </c>
      <c r="N2705">
        <v>5</v>
      </c>
      <c r="O2705">
        <v>4</v>
      </c>
      <c r="P2705">
        <f>MOD(DAY(datos_siembra[[#This Row],[Date]]),7)</f>
        <v>5</v>
      </c>
      <c r="Q2705" t="str">
        <f>CHOOSE(WEEKDAY(datos_siembra[[#This Row],[Date]],2),"L","M","X","J","V","S","D")</f>
        <v>S</v>
      </c>
      <c r="R2705">
        <f>WEEKNUM(datos_siembra[[#This Row],[Date]],2)-WEEKNUM(DATE(YEAR(datos_siembra[[#This Row],[Date]]),MONTH(datos_siembra[[#This Row],[Date]]),1))+1</f>
        <v>1</v>
      </c>
      <c r="S2705">
        <f>MONTH(datos_siembra[[#This Row],[Date]])</f>
        <v>10</v>
      </c>
      <c r="T2705" t="str" cm="1">
        <f t="array" ref="T2705">_xlfn.IFS(AND(N2705&lt;= 22, S2705=9), "SOWING",AND(N2705&lt;= 28, S2705=9), "COVERAGE",AND(N2705&lt;= 30, S2705=9), "FLUSH",AND(N2705&lt;= 11, S2705=10), "FLUSH",AND(N2705&lt;= 21, S2705=10), "PRODUCTION")</f>
        <v>FLUSH</v>
      </c>
      <c r="U2705">
        <f>HOUR(datos_siembra[[#This Row],[Hour]])</f>
        <v>13</v>
      </c>
      <c r="V2705" cm="1">
        <f t="array" ref="V2705">_xlfn.IFS(AND(N2705&lt;= 22, S2705=9), N2705-7,AND(N2705&lt;= 28, S2705=9), N2705-25,AND(N2705&lt;= 30, S2705=9), N2705-28,AND(N2705&lt;= 11, S2705=10), N2705+2,AND(N2705&lt;= 21, S2705=10), N2705-11)</f>
        <v>7</v>
      </c>
    </row>
    <row r="2706" spans="1:22" x14ac:dyDescent="0.35">
      <c r="A2706" s="4">
        <v>45570</v>
      </c>
      <c r="B2706" s="5">
        <v>0.57954861111111111</v>
      </c>
      <c r="C2706">
        <v>66.8</v>
      </c>
      <c r="D2706">
        <v>66.599999999999994</v>
      </c>
      <c r="E2706">
        <v>66.099999999999994</v>
      </c>
      <c r="F2706">
        <v>65.599999999999994</v>
      </c>
      <c r="G2706">
        <v>0</v>
      </c>
      <c r="H2706">
        <v>0</v>
      </c>
      <c r="I2706">
        <v>0</v>
      </c>
      <c r="J2706">
        <v>0</v>
      </c>
      <c r="K2706">
        <v>64.5</v>
      </c>
      <c r="L2706">
        <v>65.400000000000006</v>
      </c>
      <c r="M2706">
        <v>66.31</v>
      </c>
      <c r="N2706">
        <v>5</v>
      </c>
      <c r="O2706">
        <v>4</v>
      </c>
      <c r="P2706">
        <f>MOD(DAY(datos_siembra[[#This Row],[Date]]),7)</f>
        <v>5</v>
      </c>
      <c r="Q2706" t="str">
        <f>CHOOSE(WEEKDAY(datos_siembra[[#This Row],[Date]],2),"L","M","X","J","V","S","D")</f>
        <v>S</v>
      </c>
      <c r="R2706">
        <f>WEEKNUM(datos_siembra[[#This Row],[Date]],2)-WEEKNUM(DATE(YEAR(datos_siembra[[#This Row],[Date]]),MONTH(datos_siembra[[#This Row],[Date]]),1))+1</f>
        <v>1</v>
      </c>
      <c r="S2706">
        <f>MONTH(datos_siembra[[#This Row],[Date]])</f>
        <v>10</v>
      </c>
      <c r="T2706" t="str" cm="1">
        <f t="array" ref="T2706">_xlfn.IFS(AND(N2706&lt;= 22, S2706=9), "SOWING",AND(N2706&lt;= 28, S2706=9), "COVERAGE",AND(N2706&lt;= 30, S2706=9), "FLUSH",AND(N2706&lt;= 11, S2706=10), "FLUSH",AND(N2706&lt;= 21, S2706=10), "PRODUCTION")</f>
        <v>FLUSH</v>
      </c>
      <c r="U2706">
        <f>HOUR(datos_siembra[[#This Row],[Hour]])</f>
        <v>13</v>
      </c>
      <c r="V2706" cm="1">
        <f t="array" ref="V2706">_xlfn.IFS(AND(N2706&lt;= 22, S2706=9), N2706-7,AND(N2706&lt;= 28, S2706=9), N2706-25,AND(N2706&lt;= 30, S2706=9), N2706-28,AND(N2706&lt;= 11, S2706=10), N2706+2,AND(N2706&lt;= 21, S2706=10), N2706-11)</f>
        <v>7</v>
      </c>
    </row>
    <row r="2707" spans="1:22" x14ac:dyDescent="0.35">
      <c r="A2707" s="4">
        <v>45570</v>
      </c>
      <c r="B2707" s="5">
        <v>0.58650462962962968</v>
      </c>
      <c r="C2707">
        <v>66.599999999999994</v>
      </c>
      <c r="D2707">
        <v>66.8</v>
      </c>
      <c r="E2707">
        <v>66</v>
      </c>
      <c r="F2707">
        <v>65.599999999999994</v>
      </c>
      <c r="G2707">
        <v>0</v>
      </c>
      <c r="H2707">
        <v>0</v>
      </c>
      <c r="I2707">
        <v>0</v>
      </c>
      <c r="J2707">
        <v>0</v>
      </c>
      <c r="K2707">
        <v>64.400000000000006</v>
      </c>
      <c r="L2707">
        <v>65.3</v>
      </c>
      <c r="M2707">
        <v>66.31</v>
      </c>
      <c r="N2707">
        <v>5</v>
      </c>
      <c r="O2707">
        <v>4</v>
      </c>
      <c r="P2707">
        <f>MOD(DAY(datos_siembra[[#This Row],[Date]]),7)</f>
        <v>5</v>
      </c>
      <c r="Q2707" t="str">
        <f>CHOOSE(WEEKDAY(datos_siembra[[#This Row],[Date]],2),"L","M","X","J","V","S","D")</f>
        <v>S</v>
      </c>
      <c r="R2707">
        <f>WEEKNUM(datos_siembra[[#This Row],[Date]],2)-WEEKNUM(DATE(YEAR(datos_siembra[[#This Row],[Date]]),MONTH(datos_siembra[[#This Row],[Date]]),1))+1</f>
        <v>1</v>
      </c>
      <c r="S2707">
        <f>MONTH(datos_siembra[[#This Row],[Date]])</f>
        <v>10</v>
      </c>
      <c r="T2707" t="str" cm="1">
        <f t="array" ref="T2707">_xlfn.IFS(AND(N2707&lt;= 22, S2707=9), "SOWING",AND(N2707&lt;= 28, S2707=9), "COVERAGE",AND(N2707&lt;= 30, S2707=9), "FLUSH",AND(N2707&lt;= 11, S2707=10), "FLUSH",AND(N2707&lt;= 21, S2707=10), "PRODUCTION")</f>
        <v>FLUSH</v>
      </c>
      <c r="U2707">
        <f>HOUR(datos_siembra[[#This Row],[Hour]])</f>
        <v>14</v>
      </c>
      <c r="V2707" cm="1">
        <f t="array" ref="V2707">_xlfn.IFS(AND(N2707&lt;= 22, S2707=9), N2707-7,AND(N2707&lt;= 28, S2707=9), N2707-25,AND(N2707&lt;= 30, S2707=9), N2707-28,AND(N2707&lt;= 11, S2707=10), N2707+2,AND(N2707&lt;= 21, S2707=10), N2707-11)</f>
        <v>7</v>
      </c>
    </row>
    <row r="2708" spans="1:22" x14ac:dyDescent="0.35">
      <c r="A2708" s="4">
        <v>45570</v>
      </c>
      <c r="B2708" s="5">
        <v>0.5934490740740741</v>
      </c>
      <c r="C2708">
        <v>66.599999999999994</v>
      </c>
      <c r="D2708">
        <v>66.8</v>
      </c>
      <c r="E2708">
        <v>66.099999999999994</v>
      </c>
      <c r="F2708">
        <v>65.8</v>
      </c>
      <c r="G2708">
        <v>0</v>
      </c>
      <c r="H2708">
        <v>0</v>
      </c>
      <c r="I2708">
        <v>0</v>
      </c>
      <c r="J2708">
        <v>0</v>
      </c>
      <c r="K2708">
        <v>64.599999999999994</v>
      </c>
      <c r="L2708">
        <v>65.8</v>
      </c>
      <c r="M2708">
        <v>66.31</v>
      </c>
      <c r="N2708">
        <v>5</v>
      </c>
      <c r="O2708">
        <v>4</v>
      </c>
      <c r="P2708">
        <f>MOD(DAY(datos_siembra[[#This Row],[Date]]),7)</f>
        <v>5</v>
      </c>
      <c r="Q2708" t="str">
        <f>CHOOSE(WEEKDAY(datos_siembra[[#This Row],[Date]],2),"L","M","X","J","V","S","D")</f>
        <v>S</v>
      </c>
      <c r="R2708">
        <f>WEEKNUM(datos_siembra[[#This Row],[Date]],2)-WEEKNUM(DATE(YEAR(datos_siembra[[#This Row],[Date]]),MONTH(datos_siembra[[#This Row],[Date]]),1))+1</f>
        <v>1</v>
      </c>
      <c r="S2708">
        <f>MONTH(datos_siembra[[#This Row],[Date]])</f>
        <v>10</v>
      </c>
      <c r="T2708" t="str" cm="1">
        <f t="array" ref="T2708">_xlfn.IFS(AND(N2708&lt;= 22, S2708=9), "SOWING",AND(N2708&lt;= 28, S2708=9), "COVERAGE",AND(N2708&lt;= 30, S2708=9), "FLUSH",AND(N2708&lt;= 11, S2708=10), "FLUSH",AND(N2708&lt;= 21, S2708=10), "PRODUCTION")</f>
        <v>FLUSH</v>
      </c>
      <c r="U2708">
        <f>HOUR(datos_siembra[[#This Row],[Hour]])</f>
        <v>14</v>
      </c>
      <c r="V2708" cm="1">
        <f t="array" ref="V2708">_xlfn.IFS(AND(N2708&lt;= 22, S2708=9), N2708-7,AND(N2708&lt;= 28, S2708=9), N2708-25,AND(N2708&lt;= 30, S2708=9), N2708-28,AND(N2708&lt;= 11, S2708=10), N2708+2,AND(N2708&lt;= 21, S2708=10), N2708-11)</f>
        <v>7</v>
      </c>
    </row>
    <row r="2709" spans="1:22" x14ac:dyDescent="0.35">
      <c r="A2709" s="4">
        <v>45570</v>
      </c>
      <c r="B2709" s="5">
        <v>0.60039351851851852</v>
      </c>
      <c r="C2709">
        <v>66.599999999999994</v>
      </c>
      <c r="D2709">
        <v>66.599999999999994</v>
      </c>
      <c r="E2709">
        <v>66</v>
      </c>
      <c r="F2709">
        <v>65.8</v>
      </c>
      <c r="G2709">
        <v>0</v>
      </c>
      <c r="H2709">
        <v>0</v>
      </c>
      <c r="I2709">
        <v>0</v>
      </c>
      <c r="J2709">
        <v>0</v>
      </c>
      <c r="K2709">
        <v>64.7</v>
      </c>
      <c r="L2709">
        <v>65.599999999999994</v>
      </c>
      <c r="M2709">
        <v>66.31</v>
      </c>
      <c r="N2709">
        <v>5</v>
      </c>
      <c r="O2709">
        <v>4</v>
      </c>
      <c r="P2709">
        <f>MOD(DAY(datos_siembra[[#This Row],[Date]]),7)</f>
        <v>5</v>
      </c>
      <c r="Q2709" t="str">
        <f>CHOOSE(WEEKDAY(datos_siembra[[#This Row],[Date]],2),"L","M","X","J","V","S","D")</f>
        <v>S</v>
      </c>
      <c r="R2709">
        <f>WEEKNUM(datos_siembra[[#This Row],[Date]],2)-WEEKNUM(DATE(YEAR(datos_siembra[[#This Row],[Date]]),MONTH(datos_siembra[[#This Row],[Date]]),1))+1</f>
        <v>1</v>
      </c>
      <c r="S2709">
        <f>MONTH(datos_siembra[[#This Row],[Date]])</f>
        <v>10</v>
      </c>
      <c r="T2709" t="str" cm="1">
        <f t="array" ref="T2709">_xlfn.IFS(AND(N2709&lt;= 22, S2709=9), "SOWING",AND(N2709&lt;= 28, S2709=9), "COVERAGE",AND(N2709&lt;= 30, S2709=9), "FLUSH",AND(N2709&lt;= 11, S2709=10), "FLUSH",AND(N2709&lt;= 21, S2709=10), "PRODUCTION")</f>
        <v>FLUSH</v>
      </c>
      <c r="U2709">
        <f>HOUR(datos_siembra[[#This Row],[Hour]])</f>
        <v>14</v>
      </c>
      <c r="V2709" cm="1">
        <f t="array" ref="V2709">_xlfn.IFS(AND(N2709&lt;= 22, S2709=9), N2709-7,AND(N2709&lt;= 28, S2709=9), N2709-25,AND(N2709&lt;= 30, S2709=9), N2709-28,AND(N2709&lt;= 11, S2709=10), N2709+2,AND(N2709&lt;= 21, S2709=10), N2709-11)</f>
        <v>7</v>
      </c>
    </row>
    <row r="2710" spans="1:22" x14ac:dyDescent="0.35">
      <c r="A2710" s="4">
        <v>45570</v>
      </c>
      <c r="B2710" s="5">
        <v>0.60734953703703709</v>
      </c>
      <c r="C2710">
        <v>66.8</v>
      </c>
      <c r="D2710">
        <v>66.599999999999994</v>
      </c>
      <c r="E2710">
        <v>66.099999999999994</v>
      </c>
      <c r="F2710">
        <v>65.8</v>
      </c>
      <c r="G2710">
        <v>0</v>
      </c>
      <c r="H2710">
        <v>0</v>
      </c>
      <c r="I2710">
        <v>0</v>
      </c>
      <c r="J2710">
        <v>0</v>
      </c>
      <c r="K2710">
        <v>64.5</v>
      </c>
      <c r="L2710">
        <v>65.400000000000006</v>
      </c>
      <c r="M2710">
        <v>66.28</v>
      </c>
      <c r="N2710">
        <v>5</v>
      </c>
      <c r="O2710">
        <v>4</v>
      </c>
      <c r="P2710">
        <f>MOD(DAY(datos_siembra[[#This Row],[Date]]),7)</f>
        <v>5</v>
      </c>
      <c r="Q2710" t="str">
        <f>CHOOSE(WEEKDAY(datos_siembra[[#This Row],[Date]],2),"L","M","X","J","V","S","D")</f>
        <v>S</v>
      </c>
      <c r="R2710">
        <f>WEEKNUM(datos_siembra[[#This Row],[Date]],2)-WEEKNUM(DATE(YEAR(datos_siembra[[#This Row],[Date]]),MONTH(datos_siembra[[#This Row],[Date]]),1))+1</f>
        <v>1</v>
      </c>
      <c r="S2710">
        <f>MONTH(datos_siembra[[#This Row],[Date]])</f>
        <v>10</v>
      </c>
      <c r="T2710" t="str" cm="1">
        <f t="array" ref="T2710">_xlfn.IFS(AND(N2710&lt;= 22, S2710=9), "SOWING",AND(N2710&lt;= 28, S2710=9), "COVERAGE",AND(N2710&lt;= 30, S2710=9), "FLUSH",AND(N2710&lt;= 11, S2710=10), "FLUSH",AND(N2710&lt;= 21, S2710=10), "PRODUCTION")</f>
        <v>FLUSH</v>
      </c>
      <c r="U2710">
        <f>HOUR(datos_siembra[[#This Row],[Hour]])</f>
        <v>14</v>
      </c>
      <c r="V2710" cm="1">
        <f t="array" ref="V2710">_xlfn.IFS(AND(N2710&lt;= 22, S2710=9), N2710-7,AND(N2710&lt;= 28, S2710=9), N2710-25,AND(N2710&lt;= 30, S2710=9), N2710-28,AND(N2710&lt;= 11, S2710=10), N2710+2,AND(N2710&lt;= 21, S2710=10), N2710-11)</f>
        <v>7</v>
      </c>
    </row>
    <row r="2711" spans="1:22" x14ac:dyDescent="0.35">
      <c r="A2711" s="4">
        <v>45570</v>
      </c>
      <c r="B2711" s="5">
        <v>0.61429398148148151</v>
      </c>
      <c r="C2711">
        <v>66.599999999999994</v>
      </c>
      <c r="D2711">
        <v>66.599999999999994</v>
      </c>
      <c r="E2711">
        <v>66.099999999999994</v>
      </c>
      <c r="F2711">
        <v>65.8</v>
      </c>
      <c r="G2711">
        <v>0</v>
      </c>
      <c r="H2711">
        <v>0</v>
      </c>
      <c r="I2711">
        <v>0</v>
      </c>
      <c r="J2711">
        <v>0</v>
      </c>
      <c r="K2711">
        <v>64.5</v>
      </c>
      <c r="L2711">
        <v>65.400000000000006</v>
      </c>
      <c r="M2711">
        <v>66.34</v>
      </c>
      <c r="N2711">
        <v>5</v>
      </c>
      <c r="O2711">
        <v>4</v>
      </c>
      <c r="P2711">
        <f>MOD(DAY(datos_siembra[[#This Row],[Date]]),7)</f>
        <v>5</v>
      </c>
      <c r="Q2711" t="str">
        <f>CHOOSE(WEEKDAY(datos_siembra[[#This Row],[Date]],2),"L","M","X","J","V","S","D")</f>
        <v>S</v>
      </c>
      <c r="R2711">
        <f>WEEKNUM(datos_siembra[[#This Row],[Date]],2)-WEEKNUM(DATE(YEAR(datos_siembra[[#This Row],[Date]]),MONTH(datos_siembra[[#This Row],[Date]]),1))+1</f>
        <v>1</v>
      </c>
      <c r="S2711">
        <f>MONTH(datos_siembra[[#This Row],[Date]])</f>
        <v>10</v>
      </c>
      <c r="T2711" t="str" cm="1">
        <f t="array" ref="T2711">_xlfn.IFS(AND(N2711&lt;= 22, S2711=9), "SOWING",AND(N2711&lt;= 28, S2711=9), "COVERAGE",AND(N2711&lt;= 30, S2711=9), "FLUSH",AND(N2711&lt;= 11, S2711=10), "FLUSH",AND(N2711&lt;= 21, S2711=10), "PRODUCTION")</f>
        <v>FLUSH</v>
      </c>
      <c r="U2711">
        <f>HOUR(datos_siembra[[#This Row],[Hour]])</f>
        <v>14</v>
      </c>
      <c r="V2711" cm="1">
        <f t="array" ref="V2711">_xlfn.IFS(AND(N2711&lt;= 22, S2711=9), N2711-7,AND(N2711&lt;= 28, S2711=9), N2711-25,AND(N2711&lt;= 30, S2711=9), N2711-28,AND(N2711&lt;= 11, S2711=10), N2711+2,AND(N2711&lt;= 21, S2711=10), N2711-11)</f>
        <v>7</v>
      </c>
    </row>
    <row r="2712" spans="1:22" x14ac:dyDescent="0.35">
      <c r="A2712" s="4">
        <v>45570</v>
      </c>
      <c r="B2712" s="5">
        <v>0.62123842592592593</v>
      </c>
      <c r="C2712">
        <v>66.8</v>
      </c>
      <c r="D2712">
        <v>66.8</v>
      </c>
      <c r="E2712">
        <v>66.099999999999994</v>
      </c>
      <c r="F2712">
        <v>65.5</v>
      </c>
      <c r="G2712">
        <v>0</v>
      </c>
      <c r="H2712">
        <v>0</v>
      </c>
      <c r="I2712">
        <v>0</v>
      </c>
      <c r="J2712">
        <v>0</v>
      </c>
      <c r="K2712">
        <v>64.5</v>
      </c>
      <c r="L2712">
        <v>65.400000000000006</v>
      </c>
      <c r="M2712">
        <v>66.400000000000006</v>
      </c>
      <c r="N2712">
        <v>5</v>
      </c>
      <c r="O2712">
        <v>4</v>
      </c>
      <c r="P2712">
        <f>MOD(DAY(datos_siembra[[#This Row],[Date]]),7)</f>
        <v>5</v>
      </c>
      <c r="Q2712" t="str">
        <f>CHOOSE(WEEKDAY(datos_siembra[[#This Row],[Date]],2),"L","M","X","J","V","S","D")</f>
        <v>S</v>
      </c>
      <c r="R2712">
        <f>WEEKNUM(datos_siembra[[#This Row],[Date]],2)-WEEKNUM(DATE(YEAR(datos_siembra[[#This Row],[Date]]),MONTH(datos_siembra[[#This Row],[Date]]),1))+1</f>
        <v>1</v>
      </c>
      <c r="S2712">
        <f>MONTH(datos_siembra[[#This Row],[Date]])</f>
        <v>10</v>
      </c>
      <c r="T2712" t="str" cm="1">
        <f t="array" ref="T2712">_xlfn.IFS(AND(N2712&lt;= 22, S2712=9), "SOWING",AND(N2712&lt;= 28, S2712=9), "COVERAGE",AND(N2712&lt;= 30, S2712=9), "FLUSH",AND(N2712&lt;= 11, S2712=10), "FLUSH",AND(N2712&lt;= 21, S2712=10), "PRODUCTION")</f>
        <v>FLUSH</v>
      </c>
      <c r="U2712">
        <f>HOUR(datos_siembra[[#This Row],[Hour]])</f>
        <v>14</v>
      </c>
      <c r="V2712" cm="1">
        <f t="array" ref="V2712">_xlfn.IFS(AND(N2712&lt;= 22, S2712=9), N2712-7,AND(N2712&lt;= 28, S2712=9), N2712-25,AND(N2712&lt;= 30, S2712=9), N2712-28,AND(N2712&lt;= 11, S2712=10), N2712+2,AND(N2712&lt;= 21, S2712=10), N2712-11)</f>
        <v>7</v>
      </c>
    </row>
    <row r="2713" spans="1:22" x14ac:dyDescent="0.35">
      <c r="A2713" s="4">
        <v>45570</v>
      </c>
      <c r="B2713" s="5">
        <v>0.62818287037037035</v>
      </c>
      <c r="C2713">
        <v>66.599999999999994</v>
      </c>
      <c r="D2713">
        <v>66.599999999999994</v>
      </c>
      <c r="E2713">
        <v>66.099999999999994</v>
      </c>
      <c r="F2713">
        <v>65.599999999999994</v>
      </c>
      <c r="G2713">
        <v>0</v>
      </c>
      <c r="H2713">
        <v>0</v>
      </c>
      <c r="I2713">
        <v>0</v>
      </c>
      <c r="J2713">
        <v>0</v>
      </c>
      <c r="K2713">
        <v>64.5</v>
      </c>
      <c r="L2713">
        <v>65.3</v>
      </c>
      <c r="M2713">
        <v>66.37</v>
      </c>
      <c r="N2713">
        <v>5</v>
      </c>
      <c r="O2713">
        <v>4</v>
      </c>
      <c r="P2713">
        <f>MOD(DAY(datos_siembra[[#This Row],[Date]]),7)</f>
        <v>5</v>
      </c>
      <c r="Q2713" t="str">
        <f>CHOOSE(WEEKDAY(datos_siembra[[#This Row],[Date]],2),"L","M","X","J","V","S","D")</f>
        <v>S</v>
      </c>
      <c r="R2713">
        <f>WEEKNUM(datos_siembra[[#This Row],[Date]],2)-WEEKNUM(DATE(YEAR(datos_siembra[[#This Row],[Date]]),MONTH(datos_siembra[[#This Row],[Date]]),1))+1</f>
        <v>1</v>
      </c>
      <c r="S2713">
        <f>MONTH(datos_siembra[[#This Row],[Date]])</f>
        <v>10</v>
      </c>
      <c r="T2713" t="str" cm="1">
        <f t="array" ref="T2713">_xlfn.IFS(AND(N2713&lt;= 22, S2713=9), "SOWING",AND(N2713&lt;= 28, S2713=9), "COVERAGE",AND(N2713&lt;= 30, S2713=9), "FLUSH",AND(N2713&lt;= 11, S2713=10), "FLUSH",AND(N2713&lt;= 21, S2713=10), "PRODUCTION")</f>
        <v>FLUSH</v>
      </c>
      <c r="U2713">
        <f>HOUR(datos_siembra[[#This Row],[Hour]])</f>
        <v>15</v>
      </c>
      <c r="V2713" cm="1">
        <f t="array" ref="V2713">_xlfn.IFS(AND(N2713&lt;= 22, S2713=9), N2713-7,AND(N2713&lt;= 28, S2713=9), N2713-25,AND(N2713&lt;= 30, S2713=9), N2713-28,AND(N2713&lt;= 11, S2713=10), N2713+2,AND(N2713&lt;= 21, S2713=10), N2713-11)</f>
        <v>7</v>
      </c>
    </row>
    <row r="2714" spans="1:22" x14ac:dyDescent="0.35">
      <c r="A2714" s="4">
        <v>45570</v>
      </c>
      <c r="B2714" s="5">
        <v>0.63513888888888892</v>
      </c>
      <c r="C2714">
        <v>66.599999999999994</v>
      </c>
      <c r="D2714">
        <v>66.8</v>
      </c>
      <c r="E2714">
        <v>66.099999999999994</v>
      </c>
      <c r="F2714">
        <v>65.900000000000006</v>
      </c>
      <c r="G2714">
        <v>0</v>
      </c>
      <c r="H2714">
        <v>0</v>
      </c>
      <c r="I2714">
        <v>0</v>
      </c>
      <c r="J2714">
        <v>0</v>
      </c>
      <c r="K2714">
        <v>64.5</v>
      </c>
      <c r="L2714">
        <v>65.2</v>
      </c>
      <c r="M2714">
        <v>66.23</v>
      </c>
      <c r="N2714">
        <v>5</v>
      </c>
      <c r="O2714">
        <v>4</v>
      </c>
      <c r="P2714">
        <f>MOD(DAY(datos_siembra[[#This Row],[Date]]),7)</f>
        <v>5</v>
      </c>
      <c r="Q2714" t="str">
        <f>CHOOSE(WEEKDAY(datos_siembra[[#This Row],[Date]],2),"L","M","X","J","V","S","D")</f>
        <v>S</v>
      </c>
      <c r="R2714">
        <f>WEEKNUM(datos_siembra[[#This Row],[Date]],2)-WEEKNUM(DATE(YEAR(datos_siembra[[#This Row],[Date]]),MONTH(datos_siembra[[#This Row],[Date]]),1))+1</f>
        <v>1</v>
      </c>
      <c r="S2714">
        <f>MONTH(datos_siembra[[#This Row],[Date]])</f>
        <v>10</v>
      </c>
      <c r="T2714" t="str" cm="1">
        <f t="array" ref="T2714">_xlfn.IFS(AND(N2714&lt;= 22, S2714=9), "SOWING",AND(N2714&lt;= 28, S2714=9), "COVERAGE",AND(N2714&lt;= 30, S2714=9), "FLUSH",AND(N2714&lt;= 11, S2714=10), "FLUSH",AND(N2714&lt;= 21, S2714=10), "PRODUCTION")</f>
        <v>FLUSH</v>
      </c>
      <c r="U2714">
        <f>HOUR(datos_siembra[[#This Row],[Hour]])</f>
        <v>15</v>
      </c>
      <c r="V2714" cm="1">
        <f t="array" ref="V2714">_xlfn.IFS(AND(N2714&lt;= 22, S2714=9), N2714-7,AND(N2714&lt;= 28, S2714=9), N2714-25,AND(N2714&lt;= 30, S2714=9), N2714-28,AND(N2714&lt;= 11, S2714=10), N2714+2,AND(N2714&lt;= 21, S2714=10), N2714-11)</f>
        <v>7</v>
      </c>
    </row>
    <row r="2715" spans="1:22" x14ac:dyDescent="0.35">
      <c r="A2715" s="4">
        <v>45570</v>
      </c>
      <c r="B2715" s="5">
        <v>0.64208333333333334</v>
      </c>
      <c r="C2715">
        <v>66.599999999999994</v>
      </c>
      <c r="D2715">
        <v>66.900000000000006</v>
      </c>
      <c r="E2715">
        <v>66.3</v>
      </c>
      <c r="F2715">
        <v>65.8</v>
      </c>
      <c r="G2715">
        <v>0</v>
      </c>
      <c r="H2715">
        <v>0</v>
      </c>
      <c r="I2715">
        <v>0</v>
      </c>
      <c r="J2715">
        <v>0</v>
      </c>
      <c r="K2715">
        <v>64.400000000000006</v>
      </c>
      <c r="L2715">
        <v>65.2</v>
      </c>
      <c r="M2715">
        <v>66.34</v>
      </c>
      <c r="N2715">
        <v>5</v>
      </c>
      <c r="O2715">
        <v>4</v>
      </c>
      <c r="P2715">
        <f>MOD(DAY(datos_siembra[[#This Row],[Date]]),7)</f>
        <v>5</v>
      </c>
      <c r="Q2715" t="str">
        <f>CHOOSE(WEEKDAY(datos_siembra[[#This Row],[Date]],2),"L","M","X","J","V","S","D")</f>
        <v>S</v>
      </c>
      <c r="R2715">
        <f>WEEKNUM(datos_siembra[[#This Row],[Date]],2)-WEEKNUM(DATE(YEAR(datos_siembra[[#This Row],[Date]]),MONTH(datos_siembra[[#This Row],[Date]]),1))+1</f>
        <v>1</v>
      </c>
      <c r="S2715">
        <f>MONTH(datos_siembra[[#This Row],[Date]])</f>
        <v>10</v>
      </c>
      <c r="T2715" t="str" cm="1">
        <f t="array" ref="T2715">_xlfn.IFS(AND(N2715&lt;= 22, S2715=9), "SOWING",AND(N2715&lt;= 28, S2715=9), "COVERAGE",AND(N2715&lt;= 30, S2715=9), "FLUSH",AND(N2715&lt;= 11, S2715=10), "FLUSH",AND(N2715&lt;= 21, S2715=10), "PRODUCTION")</f>
        <v>FLUSH</v>
      </c>
      <c r="U2715">
        <f>HOUR(datos_siembra[[#This Row],[Hour]])</f>
        <v>15</v>
      </c>
      <c r="V2715" cm="1">
        <f t="array" ref="V2715">_xlfn.IFS(AND(N2715&lt;= 22, S2715=9), N2715-7,AND(N2715&lt;= 28, S2715=9), N2715-25,AND(N2715&lt;= 30, S2715=9), N2715-28,AND(N2715&lt;= 11, S2715=10), N2715+2,AND(N2715&lt;= 21, S2715=10), N2715-11)</f>
        <v>7</v>
      </c>
    </row>
    <row r="2716" spans="1:22" x14ac:dyDescent="0.35">
      <c r="A2716" s="4">
        <v>45570</v>
      </c>
      <c r="B2716" s="5">
        <v>0.64902777777777776</v>
      </c>
      <c r="C2716">
        <v>66.8</v>
      </c>
      <c r="D2716">
        <v>66.8</v>
      </c>
      <c r="E2716">
        <v>66.099999999999994</v>
      </c>
      <c r="F2716">
        <v>65.8</v>
      </c>
      <c r="G2716">
        <v>0</v>
      </c>
      <c r="H2716">
        <v>0</v>
      </c>
      <c r="I2716">
        <v>0</v>
      </c>
      <c r="J2716">
        <v>0</v>
      </c>
      <c r="K2716">
        <v>64.5</v>
      </c>
      <c r="L2716">
        <v>65.3</v>
      </c>
      <c r="M2716">
        <v>66.31</v>
      </c>
      <c r="N2716">
        <v>5</v>
      </c>
      <c r="O2716">
        <v>4</v>
      </c>
      <c r="P2716">
        <f>MOD(DAY(datos_siembra[[#This Row],[Date]]),7)</f>
        <v>5</v>
      </c>
      <c r="Q2716" t="str">
        <f>CHOOSE(WEEKDAY(datos_siembra[[#This Row],[Date]],2),"L","M","X","J","V","S","D")</f>
        <v>S</v>
      </c>
      <c r="R2716">
        <f>WEEKNUM(datos_siembra[[#This Row],[Date]],2)-WEEKNUM(DATE(YEAR(datos_siembra[[#This Row],[Date]]),MONTH(datos_siembra[[#This Row],[Date]]),1))+1</f>
        <v>1</v>
      </c>
      <c r="S2716">
        <f>MONTH(datos_siembra[[#This Row],[Date]])</f>
        <v>10</v>
      </c>
      <c r="T2716" t="str" cm="1">
        <f t="array" ref="T2716">_xlfn.IFS(AND(N2716&lt;= 22, S2716=9), "SOWING",AND(N2716&lt;= 28, S2716=9), "COVERAGE",AND(N2716&lt;= 30, S2716=9), "FLUSH",AND(N2716&lt;= 11, S2716=10), "FLUSH",AND(N2716&lt;= 21, S2716=10), "PRODUCTION")</f>
        <v>FLUSH</v>
      </c>
      <c r="U2716">
        <f>HOUR(datos_siembra[[#This Row],[Hour]])</f>
        <v>15</v>
      </c>
      <c r="V2716" cm="1">
        <f t="array" ref="V2716">_xlfn.IFS(AND(N2716&lt;= 22, S2716=9), N2716-7,AND(N2716&lt;= 28, S2716=9), N2716-25,AND(N2716&lt;= 30, S2716=9), N2716-28,AND(N2716&lt;= 11, S2716=10), N2716+2,AND(N2716&lt;= 21, S2716=10), N2716-11)</f>
        <v>7</v>
      </c>
    </row>
    <row r="2717" spans="1:22" x14ac:dyDescent="0.35">
      <c r="A2717" s="4">
        <v>45570</v>
      </c>
      <c r="B2717" s="5">
        <v>0.65598379629629633</v>
      </c>
      <c r="C2717">
        <v>66.599999999999994</v>
      </c>
      <c r="D2717">
        <v>66.599999999999994</v>
      </c>
      <c r="E2717">
        <v>66</v>
      </c>
      <c r="F2717">
        <v>65.900000000000006</v>
      </c>
      <c r="G2717">
        <v>0</v>
      </c>
      <c r="H2717">
        <v>0</v>
      </c>
      <c r="I2717">
        <v>0</v>
      </c>
      <c r="J2717">
        <v>0</v>
      </c>
      <c r="K2717">
        <v>64.3</v>
      </c>
      <c r="L2717">
        <v>65.099999999999994</v>
      </c>
      <c r="M2717">
        <v>66.34</v>
      </c>
      <c r="N2717">
        <v>5</v>
      </c>
      <c r="O2717">
        <v>4</v>
      </c>
      <c r="P2717">
        <f>MOD(DAY(datos_siembra[[#This Row],[Date]]),7)</f>
        <v>5</v>
      </c>
      <c r="Q2717" t="str">
        <f>CHOOSE(WEEKDAY(datos_siembra[[#This Row],[Date]],2),"L","M","X","J","V","S","D")</f>
        <v>S</v>
      </c>
      <c r="R2717">
        <f>WEEKNUM(datos_siembra[[#This Row],[Date]],2)-WEEKNUM(DATE(YEAR(datos_siembra[[#This Row],[Date]]),MONTH(datos_siembra[[#This Row],[Date]]),1))+1</f>
        <v>1</v>
      </c>
      <c r="S2717">
        <f>MONTH(datos_siembra[[#This Row],[Date]])</f>
        <v>10</v>
      </c>
      <c r="T2717" t="str" cm="1">
        <f t="array" ref="T2717">_xlfn.IFS(AND(N2717&lt;= 22, S2717=9), "SOWING",AND(N2717&lt;= 28, S2717=9), "COVERAGE",AND(N2717&lt;= 30, S2717=9), "FLUSH",AND(N2717&lt;= 11, S2717=10), "FLUSH",AND(N2717&lt;= 21, S2717=10), "PRODUCTION")</f>
        <v>FLUSH</v>
      </c>
      <c r="U2717">
        <f>HOUR(datos_siembra[[#This Row],[Hour]])</f>
        <v>15</v>
      </c>
      <c r="V2717" cm="1">
        <f t="array" ref="V2717">_xlfn.IFS(AND(N2717&lt;= 22, S2717=9), N2717-7,AND(N2717&lt;= 28, S2717=9), N2717-25,AND(N2717&lt;= 30, S2717=9), N2717-28,AND(N2717&lt;= 11, S2717=10), N2717+2,AND(N2717&lt;= 21, S2717=10), N2717-11)</f>
        <v>7</v>
      </c>
    </row>
    <row r="2718" spans="1:22" x14ac:dyDescent="0.35">
      <c r="A2718" s="4">
        <v>45570</v>
      </c>
      <c r="B2718" s="5">
        <v>0.66292824074074075</v>
      </c>
      <c r="C2718">
        <v>66.900000000000006</v>
      </c>
      <c r="D2718">
        <v>66.8</v>
      </c>
      <c r="E2718">
        <v>66.3</v>
      </c>
      <c r="F2718">
        <v>65.8</v>
      </c>
      <c r="G2718">
        <v>0</v>
      </c>
      <c r="H2718">
        <v>0</v>
      </c>
      <c r="I2718">
        <v>0</v>
      </c>
      <c r="J2718">
        <v>0</v>
      </c>
      <c r="K2718">
        <v>64.3</v>
      </c>
      <c r="L2718">
        <v>65</v>
      </c>
      <c r="M2718">
        <v>66.37</v>
      </c>
      <c r="N2718">
        <v>5</v>
      </c>
      <c r="O2718">
        <v>4</v>
      </c>
      <c r="P2718">
        <f>MOD(DAY(datos_siembra[[#This Row],[Date]]),7)</f>
        <v>5</v>
      </c>
      <c r="Q2718" t="str">
        <f>CHOOSE(WEEKDAY(datos_siembra[[#This Row],[Date]],2),"L","M","X","J","V","S","D")</f>
        <v>S</v>
      </c>
      <c r="R2718">
        <f>WEEKNUM(datos_siembra[[#This Row],[Date]],2)-WEEKNUM(DATE(YEAR(datos_siembra[[#This Row],[Date]]),MONTH(datos_siembra[[#This Row],[Date]]),1))+1</f>
        <v>1</v>
      </c>
      <c r="S2718">
        <f>MONTH(datos_siembra[[#This Row],[Date]])</f>
        <v>10</v>
      </c>
      <c r="T2718" t="str" cm="1">
        <f t="array" ref="T2718">_xlfn.IFS(AND(N2718&lt;= 22, S2718=9), "SOWING",AND(N2718&lt;= 28, S2718=9), "COVERAGE",AND(N2718&lt;= 30, S2718=9), "FLUSH",AND(N2718&lt;= 11, S2718=10), "FLUSH",AND(N2718&lt;= 21, S2718=10), "PRODUCTION")</f>
        <v>FLUSH</v>
      </c>
      <c r="U2718">
        <f>HOUR(datos_siembra[[#This Row],[Hour]])</f>
        <v>15</v>
      </c>
      <c r="V2718" cm="1">
        <f t="array" ref="V2718">_xlfn.IFS(AND(N2718&lt;= 22, S2718=9), N2718-7,AND(N2718&lt;= 28, S2718=9), N2718-25,AND(N2718&lt;= 30, S2718=9), N2718-28,AND(N2718&lt;= 11, S2718=10), N2718+2,AND(N2718&lt;= 21, S2718=10), N2718-11)</f>
        <v>7</v>
      </c>
    </row>
    <row r="2719" spans="1:22" x14ac:dyDescent="0.35">
      <c r="A2719" s="4">
        <v>45570</v>
      </c>
      <c r="B2719" s="5">
        <v>0.66987268518518517</v>
      </c>
      <c r="C2719">
        <v>66.900000000000006</v>
      </c>
      <c r="D2719">
        <v>66.599999999999994</v>
      </c>
      <c r="E2719">
        <v>66.2</v>
      </c>
      <c r="F2719">
        <v>65.8</v>
      </c>
      <c r="G2719">
        <v>0</v>
      </c>
      <c r="H2719">
        <v>0</v>
      </c>
      <c r="I2719">
        <v>0</v>
      </c>
      <c r="J2719">
        <v>0</v>
      </c>
      <c r="K2719">
        <v>64.2</v>
      </c>
      <c r="L2719">
        <v>64.900000000000006</v>
      </c>
      <c r="M2719">
        <v>66.37</v>
      </c>
      <c r="N2719">
        <v>5</v>
      </c>
      <c r="O2719">
        <v>4</v>
      </c>
      <c r="P2719">
        <f>MOD(DAY(datos_siembra[[#This Row],[Date]]),7)</f>
        <v>5</v>
      </c>
      <c r="Q2719" t="str">
        <f>CHOOSE(WEEKDAY(datos_siembra[[#This Row],[Date]],2),"L","M","X","J","V","S","D")</f>
        <v>S</v>
      </c>
      <c r="R2719">
        <f>WEEKNUM(datos_siembra[[#This Row],[Date]],2)-WEEKNUM(DATE(YEAR(datos_siembra[[#This Row],[Date]]),MONTH(datos_siembra[[#This Row],[Date]]),1))+1</f>
        <v>1</v>
      </c>
      <c r="S2719">
        <f>MONTH(datos_siembra[[#This Row],[Date]])</f>
        <v>10</v>
      </c>
      <c r="T2719" t="str" cm="1">
        <f t="array" ref="T2719">_xlfn.IFS(AND(N2719&lt;= 22, S2719=9), "SOWING",AND(N2719&lt;= 28, S2719=9), "COVERAGE",AND(N2719&lt;= 30, S2719=9), "FLUSH",AND(N2719&lt;= 11, S2719=10), "FLUSH",AND(N2719&lt;= 21, S2719=10), "PRODUCTION")</f>
        <v>FLUSH</v>
      </c>
      <c r="U2719">
        <f>HOUR(datos_siembra[[#This Row],[Hour]])</f>
        <v>16</v>
      </c>
      <c r="V2719" cm="1">
        <f t="array" ref="V2719">_xlfn.IFS(AND(N2719&lt;= 22, S2719=9), N2719-7,AND(N2719&lt;= 28, S2719=9), N2719-25,AND(N2719&lt;= 30, S2719=9), N2719-28,AND(N2719&lt;= 11, S2719=10), N2719+2,AND(N2719&lt;= 21, S2719=10), N2719-11)</f>
        <v>7</v>
      </c>
    </row>
    <row r="2720" spans="1:22" x14ac:dyDescent="0.35">
      <c r="A2720" s="4">
        <v>45570</v>
      </c>
      <c r="B2720" s="5">
        <v>0.67682870370370374</v>
      </c>
      <c r="C2720">
        <v>66.8</v>
      </c>
      <c r="D2720">
        <v>66.900000000000006</v>
      </c>
      <c r="E2720">
        <v>66.2</v>
      </c>
      <c r="F2720">
        <v>65.599999999999994</v>
      </c>
      <c r="G2720">
        <v>0</v>
      </c>
      <c r="H2720">
        <v>0</v>
      </c>
      <c r="I2720">
        <v>0</v>
      </c>
      <c r="J2720">
        <v>0</v>
      </c>
      <c r="K2720">
        <v>64.2</v>
      </c>
      <c r="L2720">
        <v>64.7</v>
      </c>
      <c r="M2720">
        <v>66.400000000000006</v>
      </c>
      <c r="N2720">
        <v>5</v>
      </c>
      <c r="O2720">
        <v>4</v>
      </c>
      <c r="P2720">
        <f>MOD(DAY(datos_siembra[[#This Row],[Date]]),7)</f>
        <v>5</v>
      </c>
      <c r="Q2720" t="str">
        <f>CHOOSE(WEEKDAY(datos_siembra[[#This Row],[Date]],2),"L","M","X","J","V","S","D")</f>
        <v>S</v>
      </c>
      <c r="R2720">
        <f>WEEKNUM(datos_siembra[[#This Row],[Date]],2)-WEEKNUM(DATE(YEAR(datos_siembra[[#This Row],[Date]]),MONTH(datos_siembra[[#This Row],[Date]]),1))+1</f>
        <v>1</v>
      </c>
      <c r="S2720">
        <f>MONTH(datos_siembra[[#This Row],[Date]])</f>
        <v>10</v>
      </c>
      <c r="T2720" t="str" cm="1">
        <f t="array" ref="T2720">_xlfn.IFS(AND(N2720&lt;= 22, S2720=9), "SOWING",AND(N2720&lt;= 28, S2720=9), "COVERAGE",AND(N2720&lt;= 30, S2720=9), "FLUSH",AND(N2720&lt;= 11, S2720=10), "FLUSH",AND(N2720&lt;= 21, S2720=10), "PRODUCTION")</f>
        <v>FLUSH</v>
      </c>
      <c r="U2720">
        <f>HOUR(datos_siembra[[#This Row],[Hour]])</f>
        <v>16</v>
      </c>
      <c r="V2720" cm="1">
        <f t="array" ref="V2720">_xlfn.IFS(AND(N2720&lt;= 22, S2720=9), N2720-7,AND(N2720&lt;= 28, S2720=9), N2720-25,AND(N2720&lt;= 30, S2720=9), N2720-28,AND(N2720&lt;= 11, S2720=10), N2720+2,AND(N2720&lt;= 21, S2720=10), N2720-11)</f>
        <v>7</v>
      </c>
    </row>
    <row r="2721" spans="1:22" x14ac:dyDescent="0.35">
      <c r="A2721" s="4">
        <v>45570</v>
      </c>
      <c r="B2721" s="5">
        <v>0.68377314814814816</v>
      </c>
      <c r="C2721">
        <v>66.8</v>
      </c>
      <c r="D2721">
        <v>66.599999999999994</v>
      </c>
      <c r="E2721">
        <v>66.2</v>
      </c>
      <c r="F2721">
        <v>65.8</v>
      </c>
      <c r="G2721">
        <v>0</v>
      </c>
      <c r="H2721">
        <v>0</v>
      </c>
      <c r="I2721">
        <v>0</v>
      </c>
      <c r="J2721">
        <v>0</v>
      </c>
      <c r="K2721">
        <v>64.2</v>
      </c>
      <c r="L2721">
        <v>64.599999999999994</v>
      </c>
      <c r="M2721">
        <v>66.34</v>
      </c>
      <c r="N2721">
        <v>5</v>
      </c>
      <c r="O2721">
        <v>4</v>
      </c>
      <c r="P2721">
        <f>MOD(DAY(datos_siembra[[#This Row],[Date]]),7)</f>
        <v>5</v>
      </c>
      <c r="Q2721" t="str">
        <f>CHOOSE(WEEKDAY(datos_siembra[[#This Row],[Date]],2),"L","M","X","J","V","S","D")</f>
        <v>S</v>
      </c>
      <c r="R2721">
        <f>WEEKNUM(datos_siembra[[#This Row],[Date]],2)-WEEKNUM(DATE(YEAR(datos_siembra[[#This Row],[Date]]),MONTH(datos_siembra[[#This Row],[Date]]),1))+1</f>
        <v>1</v>
      </c>
      <c r="S2721">
        <f>MONTH(datos_siembra[[#This Row],[Date]])</f>
        <v>10</v>
      </c>
      <c r="T2721" t="str" cm="1">
        <f t="array" ref="T2721">_xlfn.IFS(AND(N2721&lt;= 22, S2721=9), "SOWING",AND(N2721&lt;= 28, S2721=9), "COVERAGE",AND(N2721&lt;= 30, S2721=9), "FLUSH",AND(N2721&lt;= 11, S2721=10), "FLUSH",AND(N2721&lt;= 21, S2721=10), "PRODUCTION")</f>
        <v>FLUSH</v>
      </c>
      <c r="U2721">
        <f>HOUR(datos_siembra[[#This Row],[Hour]])</f>
        <v>16</v>
      </c>
      <c r="V2721" cm="1">
        <f t="array" ref="V2721">_xlfn.IFS(AND(N2721&lt;= 22, S2721=9), N2721-7,AND(N2721&lt;= 28, S2721=9), N2721-25,AND(N2721&lt;= 30, S2721=9), N2721-28,AND(N2721&lt;= 11, S2721=10), N2721+2,AND(N2721&lt;= 21, S2721=10), N2721-11)</f>
        <v>7</v>
      </c>
    </row>
    <row r="2722" spans="1:22" x14ac:dyDescent="0.35">
      <c r="A2722" s="4">
        <v>45570</v>
      </c>
      <c r="B2722" s="5">
        <v>0.69071759259259258</v>
      </c>
      <c r="C2722">
        <v>66.599999999999994</v>
      </c>
      <c r="D2722">
        <v>66.900000000000006</v>
      </c>
      <c r="E2722">
        <v>66.2</v>
      </c>
      <c r="F2722">
        <v>65.8</v>
      </c>
      <c r="G2722">
        <v>0</v>
      </c>
      <c r="H2722">
        <v>0</v>
      </c>
      <c r="I2722">
        <v>0</v>
      </c>
      <c r="J2722">
        <v>0</v>
      </c>
      <c r="K2722">
        <v>64.2</v>
      </c>
      <c r="L2722">
        <v>64.599999999999994</v>
      </c>
      <c r="M2722">
        <v>66.37</v>
      </c>
      <c r="N2722">
        <v>5</v>
      </c>
      <c r="O2722">
        <v>4</v>
      </c>
      <c r="P2722">
        <f>MOD(DAY(datos_siembra[[#This Row],[Date]]),7)</f>
        <v>5</v>
      </c>
      <c r="Q2722" t="str">
        <f>CHOOSE(WEEKDAY(datos_siembra[[#This Row],[Date]],2),"L","M","X","J","V","S","D")</f>
        <v>S</v>
      </c>
      <c r="R2722">
        <f>WEEKNUM(datos_siembra[[#This Row],[Date]],2)-WEEKNUM(DATE(YEAR(datos_siembra[[#This Row],[Date]]),MONTH(datos_siembra[[#This Row],[Date]]),1))+1</f>
        <v>1</v>
      </c>
      <c r="S2722">
        <f>MONTH(datos_siembra[[#This Row],[Date]])</f>
        <v>10</v>
      </c>
      <c r="T2722" t="str" cm="1">
        <f t="array" ref="T2722">_xlfn.IFS(AND(N2722&lt;= 22, S2722=9), "SOWING",AND(N2722&lt;= 28, S2722=9), "COVERAGE",AND(N2722&lt;= 30, S2722=9), "FLUSH",AND(N2722&lt;= 11, S2722=10), "FLUSH",AND(N2722&lt;= 21, S2722=10), "PRODUCTION")</f>
        <v>FLUSH</v>
      </c>
      <c r="U2722">
        <f>HOUR(datos_siembra[[#This Row],[Hour]])</f>
        <v>16</v>
      </c>
      <c r="V2722" cm="1">
        <f t="array" ref="V2722">_xlfn.IFS(AND(N2722&lt;= 22, S2722=9), N2722-7,AND(N2722&lt;= 28, S2722=9), N2722-25,AND(N2722&lt;= 30, S2722=9), N2722-28,AND(N2722&lt;= 11, S2722=10), N2722+2,AND(N2722&lt;= 21, S2722=10), N2722-11)</f>
        <v>7</v>
      </c>
    </row>
    <row r="2723" spans="1:22" x14ac:dyDescent="0.35">
      <c r="A2723" s="4">
        <v>45570</v>
      </c>
      <c r="B2723" s="5">
        <v>0.697662037037037</v>
      </c>
      <c r="C2723">
        <v>66.8</v>
      </c>
      <c r="D2723">
        <v>66.8</v>
      </c>
      <c r="E2723">
        <v>66.3</v>
      </c>
      <c r="F2723">
        <v>65.900000000000006</v>
      </c>
      <c r="G2723">
        <v>0</v>
      </c>
      <c r="H2723">
        <v>0</v>
      </c>
      <c r="I2723">
        <v>0</v>
      </c>
      <c r="J2723">
        <v>0</v>
      </c>
      <c r="K2723">
        <v>64.2</v>
      </c>
      <c r="L2723">
        <v>64.7</v>
      </c>
      <c r="M2723">
        <v>66.430000000000007</v>
      </c>
      <c r="N2723">
        <v>5</v>
      </c>
      <c r="O2723">
        <v>4</v>
      </c>
      <c r="P2723">
        <f>MOD(DAY(datos_siembra[[#This Row],[Date]]),7)</f>
        <v>5</v>
      </c>
      <c r="Q2723" t="str">
        <f>CHOOSE(WEEKDAY(datos_siembra[[#This Row],[Date]],2),"L","M","X","J","V","S","D")</f>
        <v>S</v>
      </c>
      <c r="R2723">
        <f>WEEKNUM(datos_siembra[[#This Row],[Date]],2)-WEEKNUM(DATE(YEAR(datos_siembra[[#This Row],[Date]]),MONTH(datos_siembra[[#This Row],[Date]]),1))+1</f>
        <v>1</v>
      </c>
      <c r="S2723">
        <f>MONTH(datos_siembra[[#This Row],[Date]])</f>
        <v>10</v>
      </c>
      <c r="T2723" t="str" cm="1">
        <f t="array" ref="T2723">_xlfn.IFS(AND(N2723&lt;= 22, S2723=9), "SOWING",AND(N2723&lt;= 28, S2723=9), "COVERAGE",AND(N2723&lt;= 30, S2723=9), "FLUSH",AND(N2723&lt;= 11, S2723=10), "FLUSH",AND(N2723&lt;= 21, S2723=10), "PRODUCTION")</f>
        <v>FLUSH</v>
      </c>
      <c r="U2723">
        <f>HOUR(datos_siembra[[#This Row],[Hour]])</f>
        <v>16</v>
      </c>
      <c r="V2723" cm="1">
        <f t="array" ref="V2723">_xlfn.IFS(AND(N2723&lt;= 22, S2723=9), N2723-7,AND(N2723&lt;= 28, S2723=9), N2723-25,AND(N2723&lt;= 30, S2723=9), N2723-28,AND(N2723&lt;= 11, S2723=10), N2723+2,AND(N2723&lt;= 21, S2723=10), N2723-11)</f>
        <v>7</v>
      </c>
    </row>
    <row r="2724" spans="1:22" x14ac:dyDescent="0.35">
      <c r="A2724" s="4">
        <v>45570</v>
      </c>
      <c r="B2724" s="5">
        <v>0.70461805555555557</v>
      </c>
      <c r="C2724">
        <v>66.599999999999994</v>
      </c>
      <c r="D2724">
        <v>66.8</v>
      </c>
      <c r="E2724">
        <v>66.2</v>
      </c>
      <c r="F2724">
        <v>65.900000000000006</v>
      </c>
      <c r="G2724">
        <v>0</v>
      </c>
      <c r="H2724">
        <v>0</v>
      </c>
      <c r="I2724">
        <v>0</v>
      </c>
      <c r="J2724">
        <v>0</v>
      </c>
      <c r="K2724">
        <v>64.2</v>
      </c>
      <c r="L2724">
        <v>64.7</v>
      </c>
      <c r="M2724">
        <v>66.34</v>
      </c>
      <c r="N2724">
        <v>5</v>
      </c>
      <c r="O2724">
        <v>4</v>
      </c>
      <c r="P2724">
        <f>MOD(DAY(datos_siembra[[#This Row],[Date]]),7)</f>
        <v>5</v>
      </c>
      <c r="Q2724" t="str">
        <f>CHOOSE(WEEKDAY(datos_siembra[[#This Row],[Date]],2),"L","M","X","J","V","S","D")</f>
        <v>S</v>
      </c>
      <c r="R2724">
        <f>WEEKNUM(datos_siembra[[#This Row],[Date]],2)-WEEKNUM(DATE(YEAR(datos_siembra[[#This Row],[Date]]),MONTH(datos_siembra[[#This Row],[Date]]),1))+1</f>
        <v>1</v>
      </c>
      <c r="S2724">
        <f>MONTH(datos_siembra[[#This Row],[Date]])</f>
        <v>10</v>
      </c>
      <c r="T2724" t="str" cm="1">
        <f t="array" ref="T2724">_xlfn.IFS(AND(N2724&lt;= 22, S2724=9), "SOWING",AND(N2724&lt;= 28, S2724=9), "COVERAGE",AND(N2724&lt;= 30, S2724=9), "FLUSH",AND(N2724&lt;= 11, S2724=10), "FLUSH",AND(N2724&lt;= 21, S2724=10), "PRODUCTION")</f>
        <v>FLUSH</v>
      </c>
      <c r="U2724">
        <f>HOUR(datos_siembra[[#This Row],[Hour]])</f>
        <v>16</v>
      </c>
      <c r="V2724" cm="1">
        <f t="array" ref="V2724">_xlfn.IFS(AND(N2724&lt;= 22, S2724=9), N2724-7,AND(N2724&lt;= 28, S2724=9), N2724-25,AND(N2724&lt;= 30, S2724=9), N2724-28,AND(N2724&lt;= 11, S2724=10), N2724+2,AND(N2724&lt;= 21, S2724=10), N2724-11)</f>
        <v>7</v>
      </c>
    </row>
    <row r="2725" spans="1:22" x14ac:dyDescent="0.35">
      <c r="A2725" s="4">
        <v>45570</v>
      </c>
      <c r="B2725" s="5">
        <v>0.71156249999999999</v>
      </c>
      <c r="C2725">
        <v>66.8</v>
      </c>
      <c r="D2725">
        <v>66.8</v>
      </c>
      <c r="E2725">
        <v>66.099999999999994</v>
      </c>
      <c r="F2725">
        <v>66</v>
      </c>
      <c r="G2725">
        <v>0</v>
      </c>
      <c r="H2725">
        <v>0</v>
      </c>
      <c r="I2725">
        <v>0</v>
      </c>
      <c r="J2725">
        <v>0</v>
      </c>
      <c r="K2725">
        <v>64.2</v>
      </c>
      <c r="L2725">
        <v>64.599999999999994</v>
      </c>
      <c r="M2725">
        <v>66.430000000000007</v>
      </c>
      <c r="N2725">
        <v>5</v>
      </c>
      <c r="O2725">
        <v>4</v>
      </c>
      <c r="P2725">
        <f>MOD(DAY(datos_siembra[[#This Row],[Date]]),7)</f>
        <v>5</v>
      </c>
      <c r="Q2725" t="str">
        <f>CHOOSE(WEEKDAY(datos_siembra[[#This Row],[Date]],2),"L","M","X","J","V","S","D")</f>
        <v>S</v>
      </c>
      <c r="R2725">
        <f>WEEKNUM(datos_siembra[[#This Row],[Date]],2)-WEEKNUM(DATE(YEAR(datos_siembra[[#This Row],[Date]]),MONTH(datos_siembra[[#This Row],[Date]]),1))+1</f>
        <v>1</v>
      </c>
      <c r="S2725">
        <f>MONTH(datos_siembra[[#This Row],[Date]])</f>
        <v>10</v>
      </c>
      <c r="T2725" t="str" cm="1">
        <f t="array" ref="T2725">_xlfn.IFS(AND(N2725&lt;= 22, S2725=9), "SOWING",AND(N2725&lt;= 28, S2725=9), "COVERAGE",AND(N2725&lt;= 30, S2725=9), "FLUSH",AND(N2725&lt;= 11, S2725=10), "FLUSH",AND(N2725&lt;= 21, S2725=10), "PRODUCTION")</f>
        <v>FLUSH</v>
      </c>
      <c r="U2725">
        <f>HOUR(datos_siembra[[#This Row],[Hour]])</f>
        <v>17</v>
      </c>
      <c r="V2725" cm="1">
        <f t="array" ref="V2725">_xlfn.IFS(AND(N2725&lt;= 22, S2725=9), N2725-7,AND(N2725&lt;= 28, S2725=9), N2725-25,AND(N2725&lt;= 30, S2725=9), N2725-28,AND(N2725&lt;= 11, S2725=10), N2725+2,AND(N2725&lt;= 21, S2725=10), N2725-11)</f>
        <v>7</v>
      </c>
    </row>
    <row r="2726" spans="1:22" x14ac:dyDescent="0.35">
      <c r="A2726" s="4">
        <v>45570</v>
      </c>
      <c r="B2726" s="5">
        <v>0.71850694444444441</v>
      </c>
      <c r="C2726">
        <v>66.8</v>
      </c>
      <c r="D2726">
        <v>66.599999999999994</v>
      </c>
      <c r="E2726">
        <v>66.3</v>
      </c>
      <c r="F2726">
        <v>65.900000000000006</v>
      </c>
      <c r="G2726">
        <v>0</v>
      </c>
      <c r="H2726">
        <v>0</v>
      </c>
      <c r="I2726">
        <v>0</v>
      </c>
      <c r="J2726">
        <v>0</v>
      </c>
      <c r="K2726">
        <v>64.099999999999994</v>
      </c>
      <c r="L2726">
        <v>64.400000000000006</v>
      </c>
      <c r="M2726">
        <v>66.48</v>
      </c>
      <c r="N2726">
        <v>5</v>
      </c>
      <c r="O2726">
        <v>4</v>
      </c>
      <c r="P2726">
        <f>MOD(DAY(datos_siembra[[#This Row],[Date]]),7)</f>
        <v>5</v>
      </c>
      <c r="Q2726" t="str">
        <f>CHOOSE(WEEKDAY(datos_siembra[[#This Row],[Date]],2),"L","M","X","J","V","S","D")</f>
        <v>S</v>
      </c>
      <c r="R2726">
        <f>WEEKNUM(datos_siembra[[#This Row],[Date]],2)-WEEKNUM(DATE(YEAR(datos_siembra[[#This Row],[Date]]),MONTH(datos_siembra[[#This Row],[Date]]),1))+1</f>
        <v>1</v>
      </c>
      <c r="S2726">
        <f>MONTH(datos_siembra[[#This Row],[Date]])</f>
        <v>10</v>
      </c>
      <c r="T2726" t="str" cm="1">
        <f t="array" ref="T2726">_xlfn.IFS(AND(N2726&lt;= 22, S2726=9), "SOWING",AND(N2726&lt;= 28, S2726=9), "COVERAGE",AND(N2726&lt;= 30, S2726=9), "FLUSH",AND(N2726&lt;= 11, S2726=10), "FLUSH",AND(N2726&lt;= 21, S2726=10), "PRODUCTION")</f>
        <v>FLUSH</v>
      </c>
      <c r="U2726">
        <f>HOUR(datos_siembra[[#This Row],[Hour]])</f>
        <v>17</v>
      </c>
      <c r="V2726" cm="1">
        <f t="array" ref="V2726">_xlfn.IFS(AND(N2726&lt;= 22, S2726=9), N2726-7,AND(N2726&lt;= 28, S2726=9), N2726-25,AND(N2726&lt;= 30, S2726=9), N2726-28,AND(N2726&lt;= 11, S2726=10), N2726+2,AND(N2726&lt;= 21, S2726=10), N2726-11)</f>
        <v>7</v>
      </c>
    </row>
    <row r="2727" spans="1:22" x14ac:dyDescent="0.35">
      <c r="A2727" s="4">
        <v>45570</v>
      </c>
      <c r="B2727" s="5">
        <v>0.72546296296296298</v>
      </c>
      <c r="C2727">
        <v>66.900000000000006</v>
      </c>
      <c r="D2727">
        <v>66.599999999999994</v>
      </c>
      <c r="E2727">
        <v>66.2</v>
      </c>
      <c r="F2727">
        <v>66</v>
      </c>
      <c r="G2727">
        <v>0</v>
      </c>
      <c r="H2727">
        <v>0</v>
      </c>
      <c r="I2727">
        <v>0</v>
      </c>
      <c r="J2727">
        <v>0</v>
      </c>
      <c r="K2727">
        <v>63.9</v>
      </c>
      <c r="L2727">
        <v>64.3</v>
      </c>
      <c r="M2727">
        <v>66.430000000000007</v>
      </c>
      <c r="N2727">
        <v>5</v>
      </c>
      <c r="O2727">
        <v>4</v>
      </c>
      <c r="P2727">
        <f>MOD(DAY(datos_siembra[[#This Row],[Date]]),7)</f>
        <v>5</v>
      </c>
      <c r="Q2727" t="str">
        <f>CHOOSE(WEEKDAY(datos_siembra[[#This Row],[Date]],2),"L","M","X","J","V","S","D")</f>
        <v>S</v>
      </c>
      <c r="R2727">
        <f>WEEKNUM(datos_siembra[[#This Row],[Date]],2)-WEEKNUM(DATE(YEAR(datos_siembra[[#This Row],[Date]]),MONTH(datos_siembra[[#This Row],[Date]]),1))+1</f>
        <v>1</v>
      </c>
      <c r="S2727">
        <f>MONTH(datos_siembra[[#This Row],[Date]])</f>
        <v>10</v>
      </c>
      <c r="T2727" t="str" cm="1">
        <f t="array" ref="T2727">_xlfn.IFS(AND(N2727&lt;= 22, S2727=9), "SOWING",AND(N2727&lt;= 28, S2727=9), "COVERAGE",AND(N2727&lt;= 30, S2727=9), "FLUSH",AND(N2727&lt;= 11, S2727=10), "FLUSH",AND(N2727&lt;= 21, S2727=10), "PRODUCTION")</f>
        <v>FLUSH</v>
      </c>
      <c r="U2727">
        <f>HOUR(datos_siembra[[#This Row],[Hour]])</f>
        <v>17</v>
      </c>
      <c r="V2727" cm="1">
        <f t="array" ref="V2727">_xlfn.IFS(AND(N2727&lt;= 22, S2727=9), N2727-7,AND(N2727&lt;= 28, S2727=9), N2727-25,AND(N2727&lt;= 30, S2727=9), N2727-28,AND(N2727&lt;= 11, S2727=10), N2727+2,AND(N2727&lt;= 21, S2727=10), N2727-11)</f>
        <v>7</v>
      </c>
    </row>
    <row r="2728" spans="1:22" x14ac:dyDescent="0.35">
      <c r="A2728" s="4">
        <v>45570</v>
      </c>
      <c r="B2728" s="5">
        <v>0.7324074074074074</v>
      </c>
      <c r="C2728">
        <v>66.8</v>
      </c>
      <c r="D2728">
        <v>66.599999999999994</v>
      </c>
      <c r="E2728">
        <v>66.3</v>
      </c>
      <c r="F2728">
        <v>66</v>
      </c>
      <c r="G2728">
        <v>0</v>
      </c>
      <c r="H2728">
        <v>0</v>
      </c>
      <c r="I2728">
        <v>0</v>
      </c>
      <c r="J2728">
        <v>0</v>
      </c>
      <c r="K2728">
        <v>63.9</v>
      </c>
      <c r="L2728">
        <v>64.400000000000006</v>
      </c>
      <c r="M2728">
        <v>66.45</v>
      </c>
      <c r="N2728">
        <v>5</v>
      </c>
      <c r="O2728">
        <v>4</v>
      </c>
      <c r="P2728">
        <f>MOD(DAY(datos_siembra[[#This Row],[Date]]),7)</f>
        <v>5</v>
      </c>
      <c r="Q2728" t="str">
        <f>CHOOSE(WEEKDAY(datos_siembra[[#This Row],[Date]],2),"L","M","X","J","V","S","D")</f>
        <v>S</v>
      </c>
      <c r="R2728">
        <f>WEEKNUM(datos_siembra[[#This Row],[Date]],2)-WEEKNUM(DATE(YEAR(datos_siembra[[#This Row],[Date]]),MONTH(datos_siembra[[#This Row],[Date]]),1))+1</f>
        <v>1</v>
      </c>
      <c r="S2728">
        <f>MONTH(datos_siembra[[#This Row],[Date]])</f>
        <v>10</v>
      </c>
      <c r="T2728" t="str" cm="1">
        <f t="array" ref="T2728">_xlfn.IFS(AND(N2728&lt;= 22, S2728=9), "SOWING",AND(N2728&lt;= 28, S2728=9), "COVERAGE",AND(N2728&lt;= 30, S2728=9), "FLUSH",AND(N2728&lt;= 11, S2728=10), "FLUSH",AND(N2728&lt;= 21, S2728=10), "PRODUCTION")</f>
        <v>FLUSH</v>
      </c>
      <c r="U2728">
        <f>HOUR(datos_siembra[[#This Row],[Hour]])</f>
        <v>17</v>
      </c>
      <c r="V2728" cm="1">
        <f t="array" ref="V2728">_xlfn.IFS(AND(N2728&lt;= 22, S2728=9), N2728-7,AND(N2728&lt;= 28, S2728=9), N2728-25,AND(N2728&lt;= 30, S2728=9), N2728-28,AND(N2728&lt;= 11, S2728=10), N2728+2,AND(N2728&lt;= 21, S2728=10), N2728-11)</f>
        <v>7</v>
      </c>
    </row>
    <row r="2729" spans="1:22" x14ac:dyDescent="0.35">
      <c r="A2729" s="4">
        <v>45570</v>
      </c>
      <c r="B2729" s="5">
        <v>0.73935185185185182</v>
      </c>
      <c r="C2729">
        <v>66.8</v>
      </c>
      <c r="D2729">
        <v>66.8</v>
      </c>
      <c r="E2729">
        <v>66.3</v>
      </c>
      <c r="F2729">
        <v>66</v>
      </c>
      <c r="G2729">
        <v>0</v>
      </c>
      <c r="H2729">
        <v>0</v>
      </c>
      <c r="I2729">
        <v>0</v>
      </c>
      <c r="J2729">
        <v>0</v>
      </c>
      <c r="K2729">
        <v>63.9</v>
      </c>
      <c r="L2729">
        <v>64.400000000000006</v>
      </c>
      <c r="M2729">
        <v>66.45</v>
      </c>
      <c r="N2729">
        <v>5</v>
      </c>
      <c r="O2729">
        <v>4</v>
      </c>
      <c r="P2729">
        <f>MOD(DAY(datos_siembra[[#This Row],[Date]]),7)</f>
        <v>5</v>
      </c>
      <c r="Q2729" t="str">
        <f>CHOOSE(WEEKDAY(datos_siembra[[#This Row],[Date]],2),"L","M","X","J","V","S","D")</f>
        <v>S</v>
      </c>
      <c r="R2729">
        <f>WEEKNUM(datos_siembra[[#This Row],[Date]],2)-WEEKNUM(DATE(YEAR(datos_siembra[[#This Row],[Date]]),MONTH(datos_siembra[[#This Row],[Date]]),1))+1</f>
        <v>1</v>
      </c>
      <c r="S2729">
        <f>MONTH(datos_siembra[[#This Row],[Date]])</f>
        <v>10</v>
      </c>
      <c r="T2729" t="str" cm="1">
        <f t="array" ref="T2729">_xlfn.IFS(AND(N2729&lt;= 22, S2729=9), "SOWING",AND(N2729&lt;= 28, S2729=9), "COVERAGE",AND(N2729&lt;= 30, S2729=9), "FLUSH",AND(N2729&lt;= 11, S2729=10), "FLUSH",AND(N2729&lt;= 21, S2729=10), "PRODUCTION")</f>
        <v>FLUSH</v>
      </c>
      <c r="U2729">
        <f>HOUR(datos_siembra[[#This Row],[Hour]])</f>
        <v>17</v>
      </c>
      <c r="V2729" cm="1">
        <f t="array" ref="V2729">_xlfn.IFS(AND(N2729&lt;= 22, S2729=9), N2729-7,AND(N2729&lt;= 28, S2729=9), N2729-25,AND(N2729&lt;= 30, S2729=9), N2729-28,AND(N2729&lt;= 11, S2729=10), N2729+2,AND(N2729&lt;= 21, S2729=10), N2729-11)</f>
        <v>7</v>
      </c>
    </row>
    <row r="2730" spans="1:22" x14ac:dyDescent="0.35">
      <c r="A2730" s="4">
        <v>45570</v>
      </c>
      <c r="B2730" s="5">
        <v>0.74629629629629635</v>
      </c>
      <c r="C2730">
        <v>66.8</v>
      </c>
      <c r="D2730">
        <v>66.8</v>
      </c>
      <c r="E2730">
        <v>66.400000000000006</v>
      </c>
      <c r="F2730">
        <v>66</v>
      </c>
      <c r="G2730">
        <v>0</v>
      </c>
      <c r="H2730">
        <v>0</v>
      </c>
      <c r="I2730">
        <v>0</v>
      </c>
      <c r="J2730">
        <v>0</v>
      </c>
      <c r="K2730">
        <v>63.9</v>
      </c>
      <c r="L2730">
        <v>64.400000000000006</v>
      </c>
      <c r="M2730">
        <v>66.45</v>
      </c>
      <c r="N2730">
        <v>5</v>
      </c>
      <c r="O2730">
        <v>4</v>
      </c>
      <c r="P2730">
        <f>MOD(DAY(datos_siembra[[#This Row],[Date]]),7)</f>
        <v>5</v>
      </c>
      <c r="Q2730" t="str">
        <f>CHOOSE(WEEKDAY(datos_siembra[[#This Row],[Date]],2),"L","M","X","J","V","S","D")</f>
        <v>S</v>
      </c>
      <c r="R2730">
        <f>WEEKNUM(datos_siembra[[#This Row],[Date]],2)-WEEKNUM(DATE(YEAR(datos_siembra[[#This Row],[Date]]),MONTH(datos_siembra[[#This Row],[Date]]),1))+1</f>
        <v>1</v>
      </c>
      <c r="S2730">
        <f>MONTH(datos_siembra[[#This Row],[Date]])</f>
        <v>10</v>
      </c>
      <c r="T2730" t="str" cm="1">
        <f t="array" ref="T2730">_xlfn.IFS(AND(N2730&lt;= 22, S2730=9), "SOWING",AND(N2730&lt;= 28, S2730=9), "COVERAGE",AND(N2730&lt;= 30, S2730=9), "FLUSH",AND(N2730&lt;= 11, S2730=10), "FLUSH",AND(N2730&lt;= 21, S2730=10), "PRODUCTION")</f>
        <v>FLUSH</v>
      </c>
      <c r="U2730">
        <f>HOUR(datos_siembra[[#This Row],[Hour]])</f>
        <v>17</v>
      </c>
      <c r="V2730" cm="1">
        <f t="array" ref="V2730">_xlfn.IFS(AND(N2730&lt;= 22, S2730=9), N2730-7,AND(N2730&lt;= 28, S2730=9), N2730-25,AND(N2730&lt;= 30, S2730=9), N2730-28,AND(N2730&lt;= 11, S2730=10), N2730+2,AND(N2730&lt;= 21, S2730=10), N2730-11)</f>
        <v>7</v>
      </c>
    </row>
    <row r="2731" spans="1:22" x14ac:dyDescent="0.35">
      <c r="A2731" s="4">
        <v>45570</v>
      </c>
      <c r="B2731" s="5">
        <v>0.75325231481481481</v>
      </c>
      <c r="C2731">
        <v>66.8</v>
      </c>
      <c r="D2731">
        <v>66.8</v>
      </c>
      <c r="E2731">
        <v>66.400000000000006</v>
      </c>
      <c r="F2731">
        <v>66</v>
      </c>
      <c r="G2731">
        <v>0</v>
      </c>
      <c r="H2731">
        <v>0</v>
      </c>
      <c r="I2731">
        <v>0</v>
      </c>
      <c r="J2731">
        <v>0</v>
      </c>
      <c r="K2731">
        <v>63.8</v>
      </c>
      <c r="L2731">
        <v>64.3</v>
      </c>
      <c r="M2731">
        <v>66.48</v>
      </c>
      <c r="N2731">
        <v>5</v>
      </c>
      <c r="O2731">
        <v>4</v>
      </c>
      <c r="P2731">
        <f>MOD(DAY(datos_siembra[[#This Row],[Date]]),7)</f>
        <v>5</v>
      </c>
      <c r="Q2731" t="str">
        <f>CHOOSE(WEEKDAY(datos_siembra[[#This Row],[Date]],2),"L","M","X","J","V","S","D")</f>
        <v>S</v>
      </c>
      <c r="R2731">
        <f>WEEKNUM(datos_siembra[[#This Row],[Date]],2)-WEEKNUM(DATE(YEAR(datos_siembra[[#This Row],[Date]]),MONTH(datos_siembra[[#This Row],[Date]]),1))+1</f>
        <v>1</v>
      </c>
      <c r="S2731">
        <f>MONTH(datos_siembra[[#This Row],[Date]])</f>
        <v>10</v>
      </c>
      <c r="T2731" t="str" cm="1">
        <f t="array" ref="T2731">_xlfn.IFS(AND(N2731&lt;= 22, S2731=9), "SOWING",AND(N2731&lt;= 28, S2731=9), "COVERAGE",AND(N2731&lt;= 30, S2731=9), "FLUSH",AND(N2731&lt;= 11, S2731=10), "FLUSH",AND(N2731&lt;= 21, S2731=10), "PRODUCTION")</f>
        <v>FLUSH</v>
      </c>
      <c r="U2731">
        <f>HOUR(datos_siembra[[#This Row],[Hour]])</f>
        <v>18</v>
      </c>
      <c r="V2731" cm="1">
        <f t="array" ref="V2731">_xlfn.IFS(AND(N2731&lt;= 22, S2731=9), N2731-7,AND(N2731&lt;= 28, S2731=9), N2731-25,AND(N2731&lt;= 30, S2731=9), N2731-28,AND(N2731&lt;= 11, S2731=10), N2731+2,AND(N2731&lt;= 21, S2731=10), N2731-11)</f>
        <v>7</v>
      </c>
    </row>
    <row r="2732" spans="1:22" x14ac:dyDescent="0.35">
      <c r="A2732" s="4">
        <v>45570</v>
      </c>
      <c r="B2732" s="5">
        <v>0.76019675925925922</v>
      </c>
      <c r="C2732">
        <v>66.599999999999994</v>
      </c>
      <c r="D2732">
        <v>66.5</v>
      </c>
      <c r="E2732">
        <v>66.400000000000006</v>
      </c>
      <c r="F2732">
        <v>66</v>
      </c>
      <c r="G2732">
        <v>0</v>
      </c>
      <c r="H2732">
        <v>0</v>
      </c>
      <c r="I2732">
        <v>0</v>
      </c>
      <c r="J2732">
        <v>0</v>
      </c>
      <c r="K2732">
        <v>63.8</v>
      </c>
      <c r="L2732">
        <v>64.3</v>
      </c>
      <c r="M2732">
        <v>66.430000000000007</v>
      </c>
      <c r="N2732">
        <v>5</v>
      </c>
      <c r="O2732">
        <v>4</v>
      </c>
      <c r="P2732">
        <f>MOD(DAY(datos_siembra[[#This Row],[Date]]),7)</f>
        <v>5</v>
      </c>
      <c r="Q2732" t="str">
        <f>CHOOSE(WEEKDAY(datos_siembra[[#This Row],[Date]],2),"L","M","X","J","V","S","D")</f>
        <v>S</v>
      </c>
      <c r="R2732">
        <f>WEEKNUM(datos_siembra[[#This Row],[Date]],2)-WEEKNUM(DATE(YEAR(datos_siembra[[#This Row],[Date]]),MONTH(datos_siembra[[#This Row],[Date]]),1))+1</f>
        <v>1</v>
      </c>
      <c r="S2732">
        <f>MONTH(datos_siembra[[#This Row],[Date]])</f>
        <v>10</v>
      </c>
      <c r="T2732" t="str" cm="1">
        <f t="array" ref="T2732">_xlfn.IFS(AND(N2732&lt;= 22, S2732=9), "SOWING",AND(N2732&lt;= 28, S2732=9), "COVERAGE",AND(N2732&lt;= 30, S2732=9), "FLUSH",AND(N2732&lt;= 11, S2732=10), "FLUSH",AND(N2732&lt;= 21, S2732=10), "PRODUCTION")</f>
        <v>FLUSH</v>
      </c>
      <c r="U2732">
        <f>HOUR(datos_siembra[[#This Row],[Hour]])</f>
        <v>18</v>
      </c>
      <c r="V2732" cm="1">
        <f t="array" ref="V2732">_xlfn.IFS(AND(N2732&lt;= 22, S2732=9), N2732-7,AND(N2732&lt;= 28, S2732=9), N2732-25,AND(N2732&lt;= 30, S2732=9), N2732-28,AND(N2732&lt;= 11, S2732=10), N2732+2,AND(N2732&lt;= 21, S2732=10), N2732-11)</f>
        <v>7</v>
      </c>
    </row>
    <row r="2733" spans="1:22" x14ac:dyDescent="0.35">
      <c r="A2733" s="4">
        <v>45570</v>
      </c>
      <c r="B2733" s="5">
        <v>0.76714120370370376</v>
      </c>
      <c r="C2733">
        <v>66.8</v>
      </c>
      <c r="D2733">
        <v>66.599999999999994</v>
      </c>
      <c r="E2733">
        <v>66.2</v>
      </c>
      <c r="F2733">
        <v>66.099999999999994</v>
      </c>
      <c r="G2733">
        <v>0</v>
      </c>
      <c r="H2733">
        <v>0</v>
      </c>
      <c r="I2733">
        <v>0</v>
      </c>
      <c r="J2733">
        <v>0</v>
      </c>
      <c r="K2733">
        <v>63.8</v>
      </c>
      <c r="L2733">
        <v>64.2</v>
      </c>
      <c r="M2733">
        <v>66.45</v>
      </c>
      <c r="N2733">
        <v>5</v>
      </c>
      <c r="O2733">
        <v>4</v>
      </c>
      <c r="P2733">
        <f>MOD(DAY(datos_siembra[[#This Row],[Date]]),7)</f>
        <v>5</v>
      </c>
      <c r="Q2733" t="str">
        <f>CHOOSE(WEEKDAY(datos_siembra[[#This Row],[Date]],2),"L","M","X","J","V","S","D")</f>
        <v>S</v>
      </c>
      <c r="R2733">
        <f>WEEKNUM(datos_siembra[[#This Row],[Date]],2)-WEEKNUM(DATE(YEAR(datos_siembra[[#This Row],[Date]]),MONTH(datos_siembra[[#This Row],[Date]]),1))+1</f>
        <v>1</v>
      </c>
      <c r="S2733">
        <f>MONTH(datos_siembra[[#This Row],[Date]])</f>
        <v>10</v>
      </c>
      <c r="T2733" t="str" cm="1">
        <f t="array" ref="T2733">_xlfn.IFS(AND(N2733&lt;= 22, S2733=9), "SOWING",AND(N2733&lt;= 28, S2733=9), "COVERAGE",AND(N2733&lt;= 30, S2733=9), "FLUSH",AND(N2733&lt;= 11, S2733=10), "FLUSH",AND(N2733&lt;= 21, S2733=10), "PRODUCTION")</f>
        <v>FLUSH</v>
      </c>
      <c r="U2733">
        <f>HOUR(datos_siembra[[#This Row],[Hour]])</f>
        <v>18</v>
      </c>
      <c r="V2733" cm="1">
        <f t="array" ref="V2733">_xlfn.IFS(AND(N2733&lt;= 22, S2733=9), N2733-7,AND(N2733&lt;= 28, S2733=9), N2733-25,AND(N2733&lt;= 30, S2733=9), N2733-28,AND(N2733&lt;= 11, S2733=10), N2733+2,AND(N2733&lt;= 21, S2733=10), N2733-11)</f>
        <v>7</v>
      </c>
    </row>
    <row r="2734" spans="1:22" x14ac:dyDescent="0.35">
      <c r="A2734" s="4">
        <v>45570</v>
      </c>
      <c r="B2734" s="5">
        <v>0.77409722222222221</v>
      </c>
      <c r="C2734">
        <v>66.8</v>
      </c>
      <c r="D2734">
        <v>66.900000000000006</v>
      </c>
      <c r="E2734">
        <v>66.400000000000006</v>
      </c>
      <c r="F2734">
        <v>66</v>
      </c>
      <c r="G2734">
        <v>0</v>
      </c>
      <c r="H2734">
        <v>0</v>
      </c>
      <c r="I2734">
        <v>0</v>
      </c>
      <c r="J2734">
        <v>0</v>
      </c>
      <c r="K2734">
        <v>63.8</v>
      </c>
      <c r="L2734">
        <v>64.3</v>
      </c>
      <c r="M2734">
        <v>66.510000000000005</v>
      </c>
      <c r="N2734">
        <v>5</v>
      </c>
      <c r="O2734">
        <v>4</v>
      </c>
      <c r="P2734">
        <f>MOD(DAY(datos_siembra[[#This Row],[Date]]),7)</f>
        <v>5</v>
      </c>
      <c r="Q2734" t="str">
        <f>CHOOSE(WEEKDAY(datos_siembra[[#This Row],[Date]],2),"L","M","X","J","V","S","D")</f>
        <v>S</v>
      </c>
      <c r="R2734">
        <f>WEEKNUM(datos_siembra[[#This Row],[Date]],2)-WEEKNUM(DATE(YEAR(datos_siembra[[#This Row],[Date]]),MONTH(datos_siembra[[#This Row],[Date]]),1))+1</f>
        <v>1</v>
      </c>
      <c r="S2734">
        <f>MONTH(datos_siembra[[#This Row],[Date]])</f>
        <v>10</v>
      </c>
      <c r="T2734" t="str" cm="1">
        <f t="array" ref="T2734">_xlfn.IFS(AND(N2734&lt;= 22, S2734=9), "SOWING",AND(N2734&lt;= 28, S2734=9), "COVERAGE",AND(N2734&lt;= 30, S2734=9), "FLUSH",AND(N2734&lt;= 11, S2734=10), "FLUSH",AND(N2734&lt;= 21, S2734=10), "PRODUCTION")</f>
        <v>FLUSH</v>
      </c>
      <c r="U2734">
        <f>HOUR(datos_siembra[[#This Row],[Hour]])</f>
        <v>18</v>
      </c>
      <c r="V2734" cm="1">
        <f t="array" ref="V2734">_xlfn.IFS(AND(N2734&lt;= 22, S2734=9), N2734-7,AND(N2734&lt;= 28, S2734=9), N2734-25,AND(N2734&lt;= 30, S2734=9), N2734-28,AND(N2734&lt;= 11, S2734=10), N2734+2,AND(N2734&lt;= 21, S2734=10), N2734-11)</f>
        <v>7</v>
      </c>
    </row>
    <row r="2735" spans="1:22" x14ac:dyDescent="0.35">
      <c r="A2735" s="4">
        <v>45570</v>
      </c>
      <c r="B2735" s="5">
        <v>0.78104166666666663</v>
      </c>
      <c r="C2735">
        <v>66.900000000000006</v>
      </c>
      <c r="D2735">
        <v>66.900000000000006</v>
      </c>
      <c r="E2735">
        <v>66.3</v>
      </c>
      <c r="F2735">
        <v>66.099999999999994</v>
      </c>
      <c r="G2735">
        <v>0</v>
      </c>
      <c r="H2735">
        <v>0</v>
      </c>
      <c r="I2735">
        <v>0</v>
      </c>
      <c r="J2735">
        <v>0</v>
      </c>
      <c r="K2735">
        <v>63.8</v>
      </c>
      <c r="L2735">
        <v>64.3</v>
      </c>
      <c r="M2735">
        <v>66.48</v>
      </c>
      <c r="N2735">
        <v>5</v>
      </c>
      <c r="O2735">
        <v>4</v>
      </c>
      <c r="P2735">
        <f>MOD(DAY(datos_siembra[[#This Row],[Date]]),7)</f>
        <v>5</v>
      </c>
      <c r="Q2735" t="str">
        <f>CHOOSE(WEEKDAY(datos_siembra[[#This Row],[Date]],2),"L","M","X","J","V","S","D")</f>
        <v>S</v>
      </c>
      <c r="R2735">
        <f>WEEKNUM(datos_siembra[[#This Row],[Date]],2)-WEEKNUM(DATE(YEAR(datos_siembra[[#This Row],[Date]]),MONTH(datos_siembra[[#This Row],[Date]]),1))+1</f>
        <v>1</v>
      </c>
      <c r="S2735">
        <f>MONTH(datos_siembra[[#This Row],[Date]])</f>
        <v>10</v>
      </c>
      <c r="T2735" t="str" cm="1">
        <f t="array" ref="T2735">_xlfn.IFS(AND(N2735&lt;= 22, S2735=9), "SOWING",AND(N2735&lt;= 28, S2735=9), "COVERAGE",AND(N2735&lt;= 30, S2735=9), "FLUSH",AND(N2735&lt;= 11, S2735=10), "FLUSH",AND(N2735&lt;= 21, S2735=10), "PRODUCTION")</f>
        <v>FLUSH</v>
      </c>
      <c r="U2735">
        <f>HOUR(datos_siembra[[#This Row],[Hour]])</f>
        <v>18</v>
      </c>
      <c r="V2735" cm="1">
        <f t="array" ref="V2735">_xlfn.IFS(AND(N2735&lt;= 22, S2735=9), N2735-7,AND(N2735&lt;= 28, S2735=9), N2735-25,AND(N2735&lt;= 30, S2735=9), N2735-28,AND(N2735&lt;= 11, S2735=10), N2735+2,AND(N2735&lt;= 21, S2735=10), N2735-11)</f>
        <v>7</v>
      </c>
    </row>
    <row r="2736" spans="1:22" x14ac:dyDescent="0.35">
      <c r="A2736" s="4">
        <v>45570</v>
      </c>
      <c r="B2736" s="5">
        <v>0.78798611111111116</v>
      </c>
      <c r="C2736">
        <v>66.599999999999994</v>
      </c>
      <c r="D2736">
        <v>66.8</v>
      </c>
      <c r="E2736">
        <v>66.5</v>
      </c>
      <c r="F2736">
        <v>66.099999999999994</v>
      </c>
      <c r="G2736">
        <v>0</v>
      </c>
      <c r="H2736">
        <v>0</v>
      </c>
      <c r="I2736">
        <v>0</v>
      </c>
      <c r="J2736">
        <v>0</v>
      </c>
      <c r="K2736">
        <v>63.8</v>
      </c>
      <c r="L2736">
        <v>64.3</v>
      </c>
      <c r="M2736">
        <v>66.45</v>
      </c>
      <c r="N2736">
        <v>5</v>
      </c>
      <c r="O2736">
        <v>4</v>
      </c>
      <c r="P2736">
        <f>MOD(DAY(datos_siembra[[#This Row],[Date]]),7)</f>
        <v>5</v>
      </c>
      <c r="Q2736" t="str">
        <f>CHOOSE(WEEKDAY(datos_siembra[[#This Row],[Date]],2),"L","M","X","J","V","S","D")</f>
        <v>S</v>
      </c>
      <c r="R2736">
        <f>WEEKNUM(datos_siembra[[#This Row],[Date]],2)-WEEKNUM(DATE(YEAR(datos_siembra[[#This Row],[Date]]),MONTH(datos_siembra[[#This Row],[Date]]),1))+1</f>
        <v>1</v>
      </c>
      <c r="S2736">
        <f>MONTH(datos_siembra[[#This Row],[Date]])</f>
        <v>10</v>
      </c>
      <c r="T2736" t="str" cm="1">
        <f t="array" ref="T2736">_xlfn.IFS(AND(N2736&lt;= 22, S2736=9), "SOWING",AND(N2736&lt;= 28, S2736=9), "COVERAGE",AND(N2736&lt;= 30, S2736=9), "FLUSH",AND(N2736&lt;= 11, S2736=10), "FLUSH",AND(N2736&lt;= 21, S2736=10), "PRODUCTION")</f>
        <v>FLUSH</v>
      </c>
      <c r="U2736">
        <f>HOUR(datos_siembra[[#This Row],[Hour]])</f>
        <v>18</v>
      </c>
      <c r="V2736" cm="1">
        <f t="array" ref="V2736">_xlfn.IFS(AND(N2736&lt;= 22, S2736=9), N2736-7,AND(N2736&lt;= 28, S2736=9), N2736-25,AND(N2736&lt;= 30, S2736=9), N2736-28,AND(N2736&lt;= 11, S2736=10), N2736+2,AND(N2736&lt;= 21, S2736=10), N2736-11)</f>
        <v>7</v>
      </c>
    </row>
    <row r="2737" spans="1:22" x14ac:dyDescent="0.35">
      <c r="A2737" s="4">
        <v>45570</v>
      </c>
      <c r="B2737" s="5">
        <v>0.79493055555555558</v>
      </c>
      <c r="C2737">
        <v>66.8</v>
      </c>
      <c r="D2737">
        <v>66.8</v>
      </c>
      <c r="E2737">
        <v>66.3</v>
      </c>
      <c r="F2737">
        <v>66.2</v>
      </c>
      <c r="G2737">
        <v>0</v>
      </c>
      <c r="H2737">
        <v>0</v>
      </c>
      <c r="I2737">
        <v>0</v>
      </c>
      <c r="J2737">
        <v>0</v>
      </c>
      <c r="K2737">
        <v>63.8</v>
      </c>
      <c r="L2737">
        <v>64.3</v>
      </c>
      <c r="M2737">
        <v>66.48</v>
      </c>
      <c r="N2737">
        <v>5</v>
      </c>
      <c r="O2737">
        <v>4</v>
      </c>
      <c r="P2737">
        <f>MOD(DAY(datos_siembra[[#This Row],[Date]]),7)</f>
        <v>5</v>
      </c>
      <c r="Q2737" t="str">
        <f>CHOOSE(WEEKDAY(datos_siembra[[#This Row],[Date]],2),"L","M","X","J","V","S","D")</f>
        <v>S</v>
      </c>
      <c r="R2737">
        <f>WEEKNUM(datos_siembra[[#This Row],[Date]],2)-WEEKNUM(DATE(YEAR(datos_siembra[[#This Row],[Date]]),MONTH(datos_siembra[[#This Row],[Date]]),1))+1</f>
        <v>1</v>
      </c>
      <c r="S2737">
        <f>MONTH(datos_siembra[[#This Row],[Date]])</f>
        <v>10</v>
      </c>
      <c r="T2737" t="str" cm="1">
        <f t="array" ref="T2737">_xlfn.IFS(AND(N2737&lt;= 22, S2737=9), "SOWING",AND(N2737&lt;= 28, S2737=9), "COVERAGE",AND(N2737&lt;= 30, S2737=9), "FLUSH",AND(N2737&lt;= 11, S2737=10), "FLUSH",AND(N2737&lt;= 21, S2737=10), "PRODUCTION")</f>
        <v>FLUSH</v>
      </c>
      <c r="U2737">
        <f>HOUR(datos_siembra[[#This Row],[Hour]])</f>
        <v>19</v>
      </c>
      <c r="V2737" cm="1">
        <f t="array" ref="V2737">_xlfn.IFS(AND(N2737&lt;= 22, S2737=9), N2737-7,AND(N2737&lt;= 28, S2737=9), N2737-25,AND(N2737&lt;= 30, S2737=9), N2737-28,AND(N2737&lt;= 11, S2737=10), N2737+2,AND(N2737&lt;= 21, S2737=10), N2737-11)</f>
        <v>7</v>
      </c>
    </row>
    <row r="2738" spans="1:22" x14ac:dyDescent="0.35">
      <c r="A2738" s="4">
        <v>45570</v>
      </c>
      <c r="B2738" s="5">
        <v>0.80188657407407404</v>
      </c>
      <c r="C2738">
        <v>66.900000000000006</v>
      </c>
      <c r="D2738">
        <v>66.8</v>
      </c>
      <c r="E2738">
        <v>66.400000000000006</v>
      </c>
      <c r="F2738">
        <v>66.2</v>
      </c>
      <c r="G2738">
        <v>0</v>
      </c>
      <c r="H2738">
        <v>0</v>
      </c>
      <c r="I2738">
        <v>0</v>
      </c>
      <c r="J2738">
        <v>0</v>
      </c>
      <c r="K2738">
        <v>63.8</v>
      </c>
      <c r="L2738">
        <v>64.2</v>
      </c>
      <c r="M2738">
        <v>66.569999999999993</v>
      </c>
      <c r="N2738">
        <v>5</v>
      </c>
      <c r="O2738">
        <v>4</v>
      </c>
      <c r="P2738">
        <f>MOD(DAY(datos_siembra[[#This Row],[Date]]),7)</f>
        <v>5</v>
      </c>
      <c r="Q2738" t="str">
        <f>CHOOSE(WEEKDAY(datos_siembra[[#This Row],[Date]],2),"L","M","X","J","V","S","D")</f>
        <v>S</v>
      </c>
      <c r="R2738">
        <f>WEEKNUM(datos_siembra[[#This Row],[Date]],2)-WEEKNUM(DATE(YEAR(datos_siembra[[#This Row],[Date]]),MONTH(datos_siembra[[#This Row],[Date]]),1))+1</f>
        <v>1</v>
      </c>
      <c r="S2738">
        <f>MONTH(datos_siembra[[#This Row],[Date]])</f>
        <v>10</v>
      </c>
      <c r="T2738" t="str" cm="1">
        <f t="array" ref="T2738">_xlfn.IFS(AND(N2738&lt;= 22, S2738=9), "SOWING",AND(N2738&lt;= 28, S2738=9), "COVERAGE",AND(N2738&lt;= 30, S2738=9), "FLUSH",AND(N2738&lt;= 11, S2738=10), "FLUSH",AND(N2738&lt;= 21, S2738=10), "PRODUCTION")</f>
        <v>FLUSH</v>
      </c>
      <c r="U2738">
        <f>HOUR(datos_siembra[[#This Row],[Hour]])</f>
        <v>19</v>
      </c>
      <c r="V2738" cm="1">
        <f t="array" ref="V2738">_xlfn.IFS(AND(N2738&lt;= 22, S2738=9), N2738-7,AND(N2738&lt;= 28, S2738=9), N2738-25,AND(N2738&lt;= 30, S2738=9), N2738-28,AND(N2738&lt;= 11, S2738=10), N2738+2,AND(N2738&lt;= 21, S2738=10), N2738-11)</f>
        <v>7</v>
      </c>
    </row>
    <row r="2739" spans="1:22" x14ac:dyDescent="0.35">
      <c r="A2739" s="4">
        <v>45570</v>
      </c>
      <c r="B2739" s="5">
        <v>0.80883101851851846</v>
      </c>
      <c r="C2739">
        <v>66.900000000000006</v>
      </c>
      <c r="D2739">
        <v>67</v>
      </c>
      <c r="E2739">
        <v>66.400000000000006</v>
      </c>
      <c r="F2739">
        <v>65.900000000000006</v>
      </c>
      <c r="G2739">
        <v>0</v>
      </c>
      <c r="H2739">
        <v>0</v>
      </c>
      <c r="I2739">
        <v>0</v>
      </c>
      <c r="J2739">
        <v>0</v>
      </c>
      <c r="K2739">
        <v>63.7</v>
      </c>
      <c r="L2739">
        <v>64.2</v>
      </c>
      <c r="M2739">
        <v>66.59</v>
      </c>
      <c r="N2739">
        <v>5</v>
      </c>
      <c r="O2739">
        <v>4</v>
      </c>
      <c r="P2739">
        <f>MOD(DAY(datos_siembra[[#This Row],[Date]]),7)</f>
        <v>5</v>
      </c>
      <c r="Q2739" t="str">
        <f>CHOOSE(WEEKDAY(datos_siembra[[#This Row],[Date]],2),"L","M","X","J","V","S","D")</f>
        <v>S</v>
      </c>
      <c r="R2739">
        <f>WEEKNUM(datos_siembra[[#This Row],[Date]],2)-WEEKNUM(DATE(YEAR(datos_siembra[[#This Row],[Date]]),MONTH(datos_siembra[[#This Row],[Date]]),1))+1</f>
        <v>1</v>
      </c>
      <c r="S2739">
        <f>MONTH(datos_siembra[[#This Row],[Date]])</f>
        <v>10</v>
      </c>
      <c r="T2739" t="str" cm="1">
        <f t="array" ref="T2739">_xlfn.IFS(AND(N2739&lt;= 22, S2739=9), "SOWING",AND(N2739&lt;= 28, S2739=9), "COVERAGE",AND(N2739&lt;= 30, S2739=9), "FLUSH",AND(N2739&lt;= 11, S2739=10), "FLUSH",AND(N2739&lt;= 21, S2739=10), "PRODUCTION")</f>
        <v>FLUSH</v>
      </c>
      <c r="U2739">
        <f>HOUR(datos_siembra[[#This Row],[Hour]])</f>
        <v>19</v>
      </c>
      <c r="V2739" cm="1">
        <f t="array" ref="V2739">_xlfn.IFS(AND(N2739&lt;= 22, S2739=9), N2739-7,AND(N2739&lt;= 28, S2739=9), N2739-25,AND(N2739&lt;= 30, S2739=9), N2739-28,AND(N2739&lt;= 11, S2739=10), N2739+2,AND(N2739&lt;= 21, S2739=10), N2739-11)</f>
        <v>7</v>
      </c>
    </row>
    <row r="2740" spans="1:22" x14ac:dyDescent="0.35">
      <c r="A2740" s="4">
        <v>45570</v>
      </c>
      <c r="B2740" s="5">
        <v>0.81577546296296299</v>
      </c>
      <c r="C2740">
        <v>66.900000000000006</v>
      </c>
      <c r="D2740">
        <v>66.8</v>
      </c>
      <c r="E2740">
        <v>66.5</v>
      </c>
      <c r="F2740">
        <v>66.2</v>
      </c>
      <c r="G2740">
        <v>0</v>
      </c>
      <c r="H2740">
        <v>0</v>
      </c>
      <c r="I2740">
        <v>0</v>
      </c>
      <c r="J2740">
        <v>0</v>
      </c>
      <c r="K2740">
        <v>63.8</v>
      </c>
      <c r="L2740">
        <v>64.2</v>
      </c>
      <c r="M2740">
        <v>66.48</v>
      </c>
      <c r="N2740">
        <v>5</v>
      </c>
      <c r="O2740">
        <v>4</v>
      </c>
      <c r="P2740">
        <f>MOD(DAY(datos_siembra[[#This Row],[Date]]),7)</f>
        <v>5</v>
      </c>
      <c r="Q2740" t="str">
        <f>CHOOSE(WEEKDAY(datos_siembra[[#This Row],[Date]],2),"L","M","X","J","V","S","D")</f>
        <v>S</v>
      </c>
      <c r="R2740">
        <f>WEEKNUM(datos_siembra[[#This Row],[Date]],2)-WEEKNUM(DATE(YEAR(datos_siembra[[#This Row],[Date]]),MONTH(datos_siembra[[#This Row],[Date]]),1))+1</f>
        <v>1</v>
      </c>
      <c r="S2740">
        <f>MONTH(datos_siembra[[#This Row],[Date]])</f>
        <v>10</v>
      </c>
      <c r="T2740" t="str" cm="1">
        <f t="array" ref="T2740">_xlfn.IFS(AND(N2740&lt;= 22, S2740=9), "SOWING",AND(N2740&lt;= 28, S2740=9), "COVERAGE",AND(N2740&lt;= 30, S2740=9), "FLUSH",AND(N2740&lt;= 11, S2740=10), "FLUSH",AND(N2740&lt;= 21, S2740=10), "PRODUCTION")</f>
        <v>FLUSH</v>
      </c>
      <c r="U2740">
        <f>HOUR(datos_siembra[[#This Row],[Hour]])</f>
        <v>19</v>
      </c>
      <c r="V2740" cm="1">
        <f t="array" ref="V2740">_xlfn.IFS(AND(N2740&lt;= 22, S2740=9), N2740-7,AND(N2740&lt;= 28, S2740=9), N2740-25,AND(N2740&lt;= 30, S2740=9), N2740-28,AND(N2740&lt;= 11, S2740=10), N2740+2,AND(N2740&lt;= 21, S2740=10), N2740-11)</f>
        <v>7</v>
      </c>
    </row>
    <row r="2741" spans="1:22" x14ac:dyDescent="0.35">
      <c r="A2741" s="4">
        <v>45570</v>
      </c>
      <c r="B2741" s="5">
        <v>0.82273148148148145</v>
      </c>
      <c r="C2741">
        <v>66.8</v>
      </c>
      <c r="D2741">
        <v>66.8</v>
      </c>
      <c r="E2741">
        <v>66.400000000000006</v>
      </c>
      <c r="F2741">
        <v>66.099999999999994</v>
      </c>
      <c r="G2741">
        <v>0</v>
      </c>
      <c r="H2741">
        <v>0</v>
      </c>
      <c r="I2741">
        <v>0</v>
      </c>
      <c r="J2741">
        <v>0</v>
      </c>
      <c r="K2741">
        <v>63.8</v>
      </c>
      <c r="L2741">
        <v>64.3</v>
      </c>
      <c r="M2741">
        <v>66.510000000000005</v>
      </c>
      <c r="N2741">
        <v>5</v>
      </c>
      <c r="O2741">
        <v>4</v>
      </c>
      <c r="P2741">
        <f>MOD(DAY(datos_siembra[[#This Row],[Date]]),7)</f>
        <v>5</v>
      </c>
      <c r="Q2741" t="str">
        <f>CHOOSE(WEEKDAY(datos_siembra[[#This Row],[Date]],2),"L","M","X","J","V","S","D")</f>
        <v>S</v>
      </c>
      <c r="R2741">
        <f>WEEKNUM(datos_siembra[[#This Row],[Date]],2)-WEEKNUM(DATE(YEAR(datos_siembra[[#This Row],[Date]]),MONTH(datos_siembra[[#This Row],[Date]]),1))+1</f>
        <v>1</v>
      </c>
      <c r="S2741">
        <f>MONTH(datos_siembra[[#This Row],[Date]])</f>
        <v>10</v>
      </c>
      <c r="T2741" t="str" cm="1">
        <f t="array" ref="T2741">_xlfn.IFS(AND(N2741&lt;= 22, S2741=9), "SOWING",AND(N2741&lt;= 28, S2741=9), "COVERAGE",AND(N2741&lt;= 30, S2741=9), "FLUSH",AND(N2741&lt;= 11, S2741=10), "FLUSH",AND(N2741&lt;= 21, S2741=10), "PRODUCTION")</f>
        <v>FLUSH</v>
      </c>
      <c r="U2741">
        <f>HOUR(datos_siembra[[#This Row],[Hour]])</f>
        <v>19</v>
      </c>
      <c r="V2741" cm="1">
        <f t="array" ref="V2741">_xlfn.IFS(AND(N2741&lt;= 22, S2741=9), N2741-7,AND(N2741&lt;= 28, S2741=9), N2741-25,AND(N2741&lt;= 30, S2741=9), N2741-28,AND(N2741&lt;= 11, S2741=10), N2741+2,AND(N2741&lt;= 21, S2741=10), N2741-11)</f>
        <v>7</v>
      </c>
    </row>
    <row r="2742" spans="1:22" x14ac:dyDescent="0.35">
      <c r="A2742" s="4">
        <v>45570</v>
      </c>
      <c r="B2742" s="5">
        <v>0.82967592592592587</v>
      </c>
      <c r="C2742">
        <v>66.900000000000006</v>
      </c>
      <c r="D2742">
        <v>66.8</v>
      </c>
      <c r="E2742">
        <v>66.5</v>
      </c>
      <c r="F2742">
        <v>66.2</v>
      </c>
      <c r="G2742">
        <v>0</v>
      </c>
      <c r="H2742">
        <v>0</v>
      </c>
      <c r="I2742">
        <v>0</v>
      </c>
      <c r="J2742">
        <v>0</v>
      </c>
      <c r="K2742">
        <v>63.8</v>
      </c>
      <c r="L2742">
        <v>64.3</v>
      </c>
      <c r="M2742">
        <v>66.540000000000006</v>
      </c>
      <c r="N2742">
        <v>5</v>
      </c>
      <c r="O2742">
        <v>4</v>
      </c>
      <c r="P2742">
        <f>MOD(DAY(datos_siembra[[#This Row],[Date]]),7)</f>
        <v>5</v>
      </c>
      <c r="Q2742" t="str">
        <f>CHOOSE(WEEKDAY(datos_siembra[[#This Row],[Date]],2),"L","M","X","J","V","S","D")</f>
        <v>S</v>
      </c>
      <c r="R2742">
        <f>WEEKNUM(datos_siembra[[#This Row],[Date]],2)-WEEKNUM(DATE(YEAR(datos_siembra[[#This Row],[Date]]),MONTH(datos_siembra[[#This Row],[Date]]),1))+1</f>
        <v>1</v>
      </c>
      <c r="S2742">
        <f>MONTH(datos_siembra[[#This Row],[Date]])</f>
        <v>10</v>
      </c>
      <c r="T2742" t="str" cm="1">
        <f t="array" ref="T2742">_xlfn.IFS(AND(N2742&lt;= 22, S2742=9), "SOWING",AND(N2742&lt;= 28, S2742=9), "COVERAGE",AND(N2742&lt;= 30, S2742=9), "FLUSH",AND(N2742&lt;= 11, S2742=10), "FLUSH",AND(N2742&lt;= 21, S2742=10), "PRODUCTION")</f>
        <v>FLUSH</v>
      </c>
      <c r="U2742">
        <f>HOUR(datos_siembra[[#This Row],[Hour]])</f>
        <v>19</v>
      </c>
      <c r="V2742" cm="1">
        <f t="array" ref="V2742">_xlfn.IFS(AND(N2742&lt;= 22, S2742=9), N2742-7,AND(N2742&lt;= 28, S2742=9), N2742-25,AND(N2742&lt;= 30, S2742=9), N2742-28,AND(N2742&lt;= 11, S2742=10), N2742+2,AND(N2742&lt;= 21, S2742=10), N2742-11)</f>
        <v>7</v>
      </c>
    </row>
    <row r="2743" spans="1:22" x14ac:dyDescent="0.35">
      <c r="A2743" s="4">
        <v>45570</v>
      </c>
      <c r="B2743" s="5">
        <v>0.8366203703703704</v>
      </c>
      <c r="C2743">
        <v>66.900000000000006</v>
      </c>
      <c r="D2743">
        <v>66.8</v>
      </c>
      <c r="E2743">
        <v>66.400000000000006</v>
      </c>
      <c r="F2743">
        <v>66.099999999999994</v>
      </c>
      <c r="G2743">
        <v>0</v>
      </c>
      <c r="H2743">
        <v>0</v>
      </c>
      <c r="I2743">
        <v>0</v>
      </c>
      <c r="J2743">
        <v>0</v>
      </c>
      <c r="K2743">
        <v>63.8</v>
      </c>
      <c r="L2743">
        <v>64.2</v>
      </c>
      <c r="M2743">
        <v>66.59</v>
      </c>
      <c r="N2743">
        <v>5</v>
      </c>
      <c r="O2743">
        <v>4</v>
      </c>
      <c r="P2743">
        <f>MOD(DAY(datos_siembra[[#This Row],[Date]]),7)</f>
        <v>5</v>
      </c>
      <c r="Q2743" t="str">
        <f>CHOOSE(WEEKDAY(datos_siembra[[#This Row],[Date]],2),"L","M","X","J","V","S","D")</f>
        <v>S</v>
      </c>
      <c r="R2743">
        <f>WEEKNUM(datos_siembra[[#This Row],[Date]],2)-WEEKNUM(DATE(YEAR(datos_siembra[[#This Row],[Date]]),MONTH(datos_siembra[[#This Row],[Date]]),1))+1</f>
        <v>1</v>
      </c>
      <c r="S2743">
        <f>MONTH(datos_siembra[[#This Row],[Date]])</f>
        <v>10</v>
      </c>
      <c r="T2743" t="str" cm="1">
        <f t="array" ref="T2743">_xlfn.IFS(AND(N2743&lt;= 22, S2743=9), "SOWING",AND(N2743&lt;= 28, S2743=9), "COVERAGE",AND(N2743&lt;= 30, S2743=9), "FLUSH",AND(N2743&lt;= 11, S2743=10), "FLUSH",AND(N2743&lt;= 21, S2743=10), "PRODUCTION")</f>
        <v>FLUSH</v>
      </c>
      <c r="U2743">
        <f>HOUR(datos_siembra[[#This Row],[Hour]])</f>
        <v>20</v>
      </c>
      <c r="V2743" cm="1">
        <f t="array" ref="V2743">_xlfn.IFS(AND(N2743&lt;= 22, S2743=9), N2743-7,AND(N2743&lt;= 28, S2743=9), N2743-25,AND(N2743&lt;= 30, S2743=9), N2743-28,AND(N2743&lt;= 11, S2743=10), N2743+2,AND(N2743&lt;= 21, S2743=10), N2743-11)</f>
        <v>7</v>
      </c>
    </row>
    <row r="2744" spans="1:22" x14ac:dyDescent="0.35">
      <c r="A2744" s="4">
        <v>45570</v>
      </c>
      <c r="B2744" s="5">
        <v>0.84356481481481482</v>
      </c>
      <c r="C2744">
        <v>66.8</v>
      </c>
      <c r="D2744">
        <v>66.900000000000006</v>
      </c>
      <c r="E2744">
        <v>66.5</v>
      </c>
      <c r="F2744">
        <v>66.099999999999994</v>
      </c>
      <c r="G2744">
        <v>0</v>
      </c>
      <c r="H2744">
        <v>0</v>
      </c>
      <c r="I2744">
        <v>0</v>
      </c>
      <c r="J2744">
        <v>0</v>
      </c>
      <c r="K2744">
        <v>63.7</v>
      </c>
      <c r="L2744">
        <v>64.2</v>
      </c>
      <c r="M2744">
        <v>66.569999999999993</v>
      </c>
      <c r="N2744">
        <v>5</v>
      </c>
      <c r="O2744">
        <v>4</v>
      </c>
      <c r="P2744">
        <f>MOD(DAY(datos_siembra[[#This Row],[Date]]),7)</f>
        <v>5</v>
      </c>
      <c r="Q2744" t="str">
        <f>CHOOSE(WEEKDAY(datos_siembra[[#This Row],[Date]],2),"L","M","X","J","V","S","D")</f>
        <v>S</v>
      </c>
      <c r="R2744">
        <f>WEEKNUM(datos_siembra[[#This Row],[Date]],2)-WEEKNUM(DATE(YEAR(datos_siembra[[#This Row],[Date]]),MONTH(datos_siembra[[#This Row],[Date]]),1))+1</f>
        <v>1</v>
      </c>
      <c r="S2744">
        <f>MONTH(datos_siembra[[#This Row],[Date]])</f>
        <v>10</v>
      </c>
      <c r="T2744" t="str" cm="1">
        <f t="array" ref="T2744">_xlfn.IFS(AND(N2744&lt;= 22, S2744=9), "SOWING",AND(N2744&lt;= 28, S2744=9), "COVERAGE",AND(N2744&lt;= 30, S2744=9), "FLUSH",AND(N2744&lt;= 11, S2744=10), "FLUSH",AND(N2744&lt;= 21, S2744=10), "PRODUCTION")</f>
        <v>FLUSH</v>
      </c>
      <c r="U2744">
        <f>HOUR(datos_siembra[[#This Row],[Hour]])</f>
        <v>20</v>
      </c>
      <c r="V2744" cm="1">
        <f t="array" ref="V2744">_xlfn.IFS(AND(N2744&lt;= 22, S2744=9), N2744-7,AND(N2744&lt;= 28, S2744=9), N2744-25,AND(N2744&lt;= 30, S2744=9), N2744-28,AND(N2744&lt;= 11, S2744=10), N2744+2,AND(N2744&lt;= 21, S2744=10), N2744-11)</f>
        <v>7</v>
      </c>
    </row>
    <row r="2745" spans="1:22" x14ac:dyDescent="0.35">
      <c r="A2745" s="4">
        <v>45570</v>
      </c>
      <c r="B2745" s="5">
        <v>0.85052083333333328</v>
      </c>
      <c r="C2745">
        <v>66.8</v>
      </c>
      <c r="D2745">
        <v>66.8</v>
      </c>
      <c r="E2745">
        <v>66.5</v>
      </c>
      <c r="F2745">
        <v>66</v>
      </c>
      <c r="G2745">
        <v>0</v>
      </c>
      <c r="H2745">
        <v>0</v>
      </c>
      <c r="I2745">
        <v>0</v>
      </c>
      <c r="J2745">
        <v>0</v>
      </c>
      <c r="K2745">
        <v>63.7</v>
      </c>
      <c r="L2745">
        <v>64.2</v>
      </c>
      <c r="M2745">
        <v>66.569999999999993</v>
      </c>
      <c r="N2745">
        <v>5</v>
      </c>
      <c r="O2745">
        <v>4</v>
      </c>
      <c r="P2745">
        <f>MOD(DAY(datos_siembra[[#This Row],[Date]]),7)</f>
        <v>5</v>
      </c>
      <c r="Q2745" t="str">
        <f>CHOOSE(WEEKDAY(datos_siembra[[#This Row],[Date]],2),"L","M","X","J","V","S","D")</f>
        <v>S</v>
      </c>
      <c r="R2745">
        <f>WEEKNUM(datos_siembra[[#This Row],[Date]],2)-WEEKNUM(DATE(YEAR(datos_siembra[[#This Row],[Date]]),MONTH(datos_siembra[[#This Row],[Date]]),1))+1</f>
        <v>1</v>
      </c>
      <c r="S2745">
        <f>MONTH(datos_siembra[[#This Row],[Date]])</f>
        <v>10</v>
      </c>
      <c r="T2745" t="str" cm="1">
        <f t="array" ref="T2745">_xlfn.IFS(AND(N2745&lt;= 22, S2745=9), "SOWING",AND(N2745&lt;= 28, S2745=9), "COVERAGE",AND(N2745&lt;= 30, S2745=9), "FLUSH",AND(N2745&lt;= 11, S2745=10), "FLUSH",AND(N2745&lt;= 21, S2745=10), "PRODUCTION")</f>
        <v>FLUSH</v>
      </c>
      <c r="U2745">
        <f>HOUR(datos_siembra[[#This Row],[Hour]])</f>
        <v>20</v>
      </c>
      <c r="V2745" cm="1">
        <f t="array" ref="V2745">_xlfn.IFS(AND(N2745&lt;= 22, S2745=9), N2745-7,AND(N2745&lt;= 28, S2745=9), N2745-25,AND(N2745&lt;= 30, S2745=9), N2745-28,AND(N2745&lt;= 11, S2745=10), N2745+2,AND(N2745&lt;= 21, S2745=10), N2745-11)</f>
        <v>7</v>
      </c>
    </row>
    <row r="2746" spans="1:22" x14ac:dyDescent="0.35">
      <c r="A2746" s="4">
        <v>45570</v>
      </c>
      <c r="B2746" s="5">
        <v>0.85746527777777781</v>
      </c>
      <c r="C2746">
        <v>66.8</v>
      </c>
      <c r="D2746">
        <v>66.900000000000006</v>
      </c>
      <c r="E2746">
        <v>66.5</v>
      </c>
      <c r="F2746">
        <v>66.099999999999994</v>
      </c>
      <c r="G2746">
        <v>0</v>
      </c>
      <c r="H2746">
        <v>0</v>
      </c>
      <c r="I2746">
        <v>0</v>
      </c>
      <c r="J2746">
        <v>0</v>
      </c>
      <c r="K2746">
        <v>63.7</v>
      </c>
      <c r="L2746">
        <v>64.099999999999994</v>
      </c>
      <c r="M2746">
        <v>66.62</v>
      </c>
      <c r="N2746">
        <v>5</v>
      </c>
      <c r="O2746">
        <v>4</v>
      </c>
      <c r="P2746">
        <f>MOD(DAY(datos_siembra[[#This Row],[Date]]),7)</f>
        <v>5</v>
      </c>
      <c r="Q2746" t="str">
        <f>CHOOSE(WEEKDAY(datos_siembra[[#This Row],[Date]],2),"L","M","X","J","V","S","D")</f>
        <v>S</v>
      </c>
      <c r="R2746">
        <f>WEEKNUM(datos_siembra[[#This Row],[Date]],2)-WEEKNUM(DATE(YEAR(datos_siembra[[#This Row],[Date]]),MONTH(datos_siembra[[#This Row],[Date]]),1))+1</f>
        <v>1</v>
      </c>
      <c r="S2746">
        <f>MONTH(datos_siembra[[#This Row],[Date]])</f>
        <v>10</v>
      </c>
      <c r="T2746" t="str" cm="1">
        <f t="array" ref="T2746">_xlfn.IFS(AND(N2746&lt;= 22, S2746=9), "SOWING",AND(N2746&lt;= 28, S2746=9), "COVERAGE",AND(N2746&lt;= 30, S2746=9), "FLUSH",AND(N2746&lt;= 11, S2746=10), "FLUSH",AND(N2746&lt;= 21, S2746=10), "PRODUCTION")</f>
        <v>FLUSH</v>
      </c>
      <c r="U2746">
        <f>HOUR(datos_siembra[[#This Row],[Hour]])</f>
        <v>20</v>
      </c>
      <c r="V2746" cm="1">
        <f t="array" ref="V2746">_xlfn.IFS(AND(N2746&lt;= 22, S2746=9), N2746-7,AND(N2746&lt;= 28, S2746=9), N2746-25,AND(N2746&lt;= 30, S2746=9), N2746-28,AND(N2746&lt;= 11, S2746=10), N2746+2,AND(N2746&lt;= 21, S2746=10), N2746-11)</f>
        <v>7</v>
      </c>
    </row>
    <row r="2747" spans="1:22" x14ac:dyDescent="0.35">
      <c r="A2747" s="4">
        <v>45570</v>
      </c>
      <c r="B2747" s="5">
        <v>0.86440972222222223</v>
      </c>
      <c r="C2747">
        <v>66.8</v>
      </c>
      <c r="D2747">
        <v>66.8</v>
      </c>
      <c r="E2747">
        <v>66.5</v>
      </c>
      <c r="F2747">
        <v>66.2</v>
      </c>
      <c r="G2747">
        <v>0</v>
      </c>
      <c r="H2747">
        <v>0</v>
      </c>
      <c r="I2747">
        <v>0</v>
      </c>
      <c r="J2747">
        <v>0</v>
      </c>
      <c r="K2747">
        <v>63.7</v>
      </c>
      <c r="L2747">
        <v>64.099999999999994</v>
      </c>
      <c r="M2747">
        <v>66.569999999999993</v>
      </c>
      <c r="N2747">
        <v>5</v>
      </c>
      <c r="O2747">
        <v>4</v>
      </c>
      <c r="P2747">
        <f>MOD(DAY(datos_siembra[[#This Row],[Date]]),7)</f>
        <v>5</v>
      </c>
      <c r="Q2747" t="str">
        <f>CHOOSE(WEEKDAY(datos_siembra[[#This Row],[Date]],2),"L","M","X","J","V","S","D")</f>
        <v>S</v>
      </c>
      <c r="R2747">
        <f>WEEKNUM(datos_siembra[[#This Row],[Date]],2)-WEEKNUM(DATE(YEAR(datos_siembra[[#This Row],[Date]]),MONTH(datos_siembra[[#This Row],[Date]]),1))+1</f>
        <v>1</v>
      </c>
      <c r="S2747">
        <f>MONTH(datos_siembra[[#This Row],[Date]])</f>
        <v>10</v>
      </c>
      <c r="T2747" t="str" cm="1">
        <f t="array" ref="T2747">_xlfn.IFS(AND(N2747&lt;= 22, S2747=9), "SOWING",AND(N2747&lt;= 28, S2747=9), "COVERAGE",AND(N2747&lt;= 30, S2747=9), "FLUSH",AND(N2747&lt;= 11, S2747=10), "FLUSH",AND(N2747&lt;= 21, S2747=10), "PRODUCTION")</f>
        <v>FLUSH</v>
      </c>
      <c r="U2747">
        <f>HOUR(datos_siembra[[#This Row],[Hour]])</f>
        <v>20</v>
      </c>
      <c r="V2747" cm="1">
        <f t="array" ref="V2747">_xlfn.IFS(AND(N2747&lt;= 22, S2747=9), N2747-7,AND(N2747&lt;= 28, S2747=9), N2747-25,AND(N2747&lt;= 30, S2747=9), N2747-28,AND(N2747&lt;= 11, S2747=10), N2747+2,AND(N2747&lt;= 21, S2747=10), N2747-11)</f>
        <v>7</v>
      </c>
    </row>
    <row r="2748" spans="1:22" x14ac:dyDescent="0.35">
      <c r="A2748" s="4">
        <v>45570</v>
      </c>
      <c r="B2748" s="5">
        <v>0.87136574074074069</v>
      </c>
      <c r="C2748">
        <v>66.8</v>
      </c>
      <c r="D2748">
        <v>67</v>
      </c>
      <c r="E2748">
        <v>66.400000000000006</v>
      </c>
      <c r="F2748">
        <v>66.099999999999994</v>
      </c>
      <c r="G2748">
        <v>0</v>
      </c>
      <c r="H2748">
        <v>0</v>
      </c>
      <c r="I2748">
        <v>0</v>
      </c>
      <c r="J2748">
        <v>0</v>
      </c>
      <c r="K2748">
        <v>63.7</v>
      </c>
      <c r="L2748">
        <v>63.9</v>
      </c>
      <c r="M2748">
        <v>66.62</v>
      </c>
      <c r="N2748">
        <v>5</v>
      </c>
      <c r="O2748">
        <v>4</v>
      </c>
      <c r="P2748">
        <f>MOD(DAY(datos_siembra[[#This Row],[Date]]),7)</f>
        <v>5</v>
      </c>
      <c r="Q2748" t="str">
        <f>CHOOSE(WEEKDAY(datos_siembra[[#This Row],[Date]],2),"L","M","X","J","V","S","D")</f>
        <v>S</v>
      </c>
      <c r="R2748">
        <f>WEEKNUM(datos_siembra[[#This Row],[Date]],2)-WEEKNUM(DATE(YEAR(datos_siembra[[#This Row],[Date]]),MONTH(datos_siembra[[#This Row],[Date]]),1))+1</f>
        <v>1</v>
      </c>
      <c r="S2748">
        <f>MONTH(datos_siembra[[#This Row],[Date]])</f>
        <v>10</v>
      </c>
      <c r="T2748" t="str" cm="1">
        <f t="array" ref="T2748">_xlfn.IFS(AND(N2748&lt;= 22, S2748=9), "SOWING",AND(N2748&lt;= 28, S2748=9), "COVERAGE",AND(N2748&lt;= 30, S2748=9), "FLUSH",AND(N2748&lt;= 11, S2748=10), "FLUSH",AND(N2748&lt;= 21, S2748=10), "PRODUCTION")</f>
        <v>FLUSH</v>
      </c>
      <c r="U2748">
        <f>HOUR(datos_siembra[[#This Row],[Hour]])</f>
        <v>20</v>
      </c>
      <c r="V2748" cm="1">
        <f t="array" ref="V2748">_xlfn.IFS(AND(N2748&lt;= 22, S2748=9), N2748-7,AND(N2748&lt;= 28, S2748=9), N2748-25,AND(N2748&lt;= 30, S2748=9), N2748-28,AND(N2748&lt;= 11, S2748=10), N2748+2,AND(N2748&lt;= 21, S2748=10), N2748-11)</f>
        <v>7</v>
      </c>
    </row>
    <row r="2749" spans="1:22" x14ac:dyDescent="0.35">
      <c r="A2749" s="4">
        <v>45570</v>
      </c>
      <c r="B2749" s="5">
        <v>0.87831018518518522</v>
      </c>
      <c r="C2749">
        <v>67</v>
      </c>
      <c r="D2749">
        <v>66.900000000000006</v>
      </c>
      <c r="E2749">
        <v>66.400000000000006</v>
      </c>
      <c r="F2749">
        <v>66.3</v>
      </c>
      <c r="G2749">
        <v>0</v>
      </c>
      <c r="H2749">
        <v>0</v>
      </c>
      <c r="I2749">
        <v>0</v>
      </c>
      <c r="J2749">
        <v>0</v>
      </c>
      <c r="K2749">
        <v>63.6</v>
      </c>
      <c r="L2749">
        <v>63.9</v>
      </c>
      <c r="M2749">
        <v>66.73</v>
      </c>
      <c r="N2749">
        <v>5</v>
      </c>
      <c r="O2749">
        <v>4</v>
      </c>
      <c r="P2749">
        <f>MOD(DAY(datos_siembra[[#This Row],[Date]]),7)</f>
        <v>5</v>
      </c>
      <c r="Q2749" t="str">
        <f>CHOOSE(WEEKDAY(datos_siembra[[#This Row],[Date]],2),"L","M","X","J","V","S","D")</f>
        <v>S</v>
      </c>
      <c r="R2749">
        <f>WEEKNUM(datos_siembra[[#This Row],[Date]],2)-WEEKNUM(DATE(YEAR(datos_siembra[[#This Row],[Date]]),MONTH(datos_siembra[[#This Row],[Date]]),1))+1</f>
        <v>1</v>
      </c>
      <c r="S2749">
        <f>MONTH(datos_siembra[[#This Row],[Date]])</f>
        <v>10</v>
      </c>
      <c r="T2749" t="str" cm="1">
        <f t="array" ref="T2749">_xlfn.IFS(AND(N2749&lt;= 22, S2749=9), "SOWING",AND(N2749&lt;= 28, S2749=9), "COVERAGE",AND(N2749&lt;= 30, S2749=9), "FLUSH",AND(N2749&lt;= 11, S2749=10), "FLUSH",AND(N2749&lt;= 21, S2749=10), "PRODUCTION")</f>
        <v>FLUSH</v>
      </c>
      <c r="U2749">
        <f>HOUR(datos_siembra[[#This Row],[Hour]])</f>
        <v>21</v>
      </c>
      <c r="V2749" cm="1">
        <f t="array" ref="V2749">_xlfn.IFS(AND(N2749&lt;= 22, S2749=9), N2749-7,AND(N2749&lt;= 28, S2749=9), N2749-25,AND(N2749&lt;= 30, S2749=9), N2749-28,AND(N2749&lt;= 11, S2749=10), N2749+2,AND(N2749&lt;= 21, S2749=10), N2749-11)</f>
        <v>7</v>
      </c>
    </row>
    <row r="2750" spans="1:22" x14ac:dyDescent="0.35">
      <c r="A2750" s="4">
        <v>45570</v>
      </c>
      <c r="B2750" s="5">
        <v>0.88525462962962964</v>
      </c>
      <c r="C2750">
        <v>66.8</v>
      </c>
      <c r="D2750">
        <v>66.900000000000006</v>
      </c>
      <c r="E2750">
        <v>66.5</v>
      </c>
      <c r="F2750">
        <v>66.3</v>
      </c>
      <c r="G2750">
        <v>0</v>
      </c>
      <c r="H2750">
        <v>0</v>
      </c>
      <c r="I2750">
        <v>0</v>
      </c>
      <c r="J2750">
        <v>0</v>
      </c>
      <c r="K2750">
        <v>63.6</v>
      </c>
      <c r="L2750">
        <v>63.9</v>
      </c>
      <c r="M2750">
        <v>66.62</v>
      </c>
      <c r="N2750">
        <v>5</v>
      </c>
      <c r="O2750">
        <v>4</v>
      </c>
      <c r="P2750">
        <f>MOD(DAY(datos_siembra[[#This Row],[Date]]),7)</f>
        <v>5</v>
      </c>
      <c r="Q2750" t="str">
        <f>CHOOSE(WEEKDAY(datos_siembra[[#This Row],[Date]],2),"L","M","X","J","V","S","D")</f>
        <v>S</v>
      </c>
      <c r="R2750">
        <f>WEEKNUM(datos_siembra[[#This Row],[Date]],2)-WEEKNUM(DATE(YEAR(datos_siembra[[#This Row],[Date]]),MONTH(datos_siembra[[#This Row],[Date]]),1))+1</f>
        <v>1</v>
      </c>
      <c r="S2750">
        <f>MONTH(datos_siembra[[#This Row],[Date]])</f>
        <v>10</v>
      </c>
      <c r="T2750" t="str" cm="1">
        <f t="array" ref="T2750">_xlfn.IFS(AND(N2750&lt;= 22, S2750=9), "SOWING",AND(N2750&lt;= 28, S2750=9), "COVERAGE",AND(N2750&lt;= 30, S2750=9), "FLUSH",AND(N2750&lt;= 11, S2750=10), "FLUSH",AND(N2750&lt;= 21, S2750=10), "PRODUCTION")</f>
        <v>FLUSH</v>
      </c>
      <c r="U2750">
        <f>HOUR(datos_siembra[[#This Row],[Hour]])</f>
        <v>21</v>
      </c>
      <c r="V2750" cm="1">
        <f t="array" ref="V2750">_xlfn.IFS(AND(N2750&lt;= 22, S2750=9), N2750-7,AND(N2750&lt;= 28, S2750=9), N2750-25,AND(N2750&lt;= 30, S2750=9), N2750-28,AND(N2750&lt;= 11, S2750=10), N2750+2,AND(N2750&lt;= 21, S2750=10), N2750-11)</f>
        <v>7</v>
      </c>
    </row>
    <row r="2751" spans="1:22" x14ac:dyDescent="0.35">
      <c r="A2751" s="4">
        <v>45570</v>
      </c>
      <c r="B2751" s="5">
        <v>0.89219907407407406</v>
      </c>
      <c r="C2751">
        <v>66.900000000000006</v>
      </c>
      <c r="D2751">
        <v>66.8</v>
      </c>
      <c r="E2751">
        <v>66.599999999999994</v>
      </c>
      <c r="F2751">
        <v>66.2</v>
      </c>
      <c r="G2751">
        <v>0</v>
      </c>
      <c r="H2751">
        <v>0</v>
      </c>
      <c r="I2751">
        <v>0</v>
      </c>
      <c r="J2751">
        <v>0</v>
      </c>
      <c r="K2751">
        <v>63.5</v>
      </c>
      <c r="L2751">
        <v>63.9</v>
      </c>
      <c r="M2751">
        <v>66.650000000000006</v>
      </c>
      <c r="N2751">
        <v>5</v>
      </c>
      <c r="O2751">
        <v>4</v>
      </c>
      <c r="P2751">
        <f>MOD(DAY(datos_siembra[[#This Row],[Date]]),7)</f>
        <v>5</v>
      </c>
      <c r="Q2751" t="str">
        <f>CHOOSE(WEEKDAY(datos_siembra[[#This Row],[Date]],2),"L","M","X","J","V","S","D")</f>
        <v>S</v>
      </c>
      <c r="R2751">
        <f>WEEKNUM(datos_siembra[[#This Row],[Date]],2)-WEEKNUM(DATE(YEAR(datos_siembra[[#This Row],[Date]]),MONTH(datos_siembra[[#This Row],[Date]]),1))+1</f>
        <v>1</v>
      </c>
      <c r="S2751">
        <f>MONTH(datos_siembra[[#This Row],[Date]])</f>
        <v>10</v>
      </c>
      <c r="T2751" t="str" cm="1">
        <f t="array" ref="T2751">_xlfn.IFS(AND(N2751&lt;= 22, S2751=9), "SOWING",AND(N2751&lt;= 28, S2751=9), "COVERAGE",AND(N2751&lt;= 30, S2751=9), "FLUSH",AND(N2751&lt;= 11, S2751=10), "FLUSH",AND(N2751&lt;= 21, S2751=10), "PRODUCTION")</f>
        <v>FLUSH</v>
      </c>
      <c r="U2751">
        <f>HOUR(datos_siembra[[#This Row],[Hour]])</f>
        <v>21</v>
      </c>
      <c r="V2751" cm="1">
        <f t="array" ref="V2751">_xlfn.IFS(AND(N2751&lt;= 22, S2751=9), N2751-7,AND(N2751&lt;= 28, S2751=9), N2751-25,AND(N2751&lt;= 30, S2751=9), N2751-28,AND(N2751&lt;= 11, S2751=10), N2751+2,AND(N2751&lt;= 21, S2751=10), N2751-11)</f>
        <v>7</v>
      </c>
    </row>
    <row r="2752" spans="1:22" x14ac:dyDescent="0.35">
      <c r="A2752" s="4">
        <v>45570</v>
      </c>
      <c r="B2752" s="5">
        <v>0.89915509259259263</v>
      </c>
      <c r="C2752">
        <v>66.8</v>
      </c>
      <c r="D2752">
        <v>66.900000000000006</v>
      </c>
      <c r="E2752">
        <v>66.5</v>
      </c>
      <c r="F2752">
        <v>66.3</v>
      </c>
      <c r="G2752">
        <v>0</v>
      </c>
      <c r="H2752">
        <v>0</v>
      </c>
      <c r="I2752">
        <v>0</v>
      </c>
      <c r="J2752">
        <v>0</v>
      </c>
      <c r="K2752">
        <v>63.5</v>
      </c>
      <c r="L2752">
        <v>63.8</v>
      </c>
      <c r="M2752">
        <v>66.709999999999994</v>
      </c>
      <c r="N2752">
        <v>5</v>
      </c>
      <c r="O2752">
        <v>4</v>
      </c>
      <c r="P2752">
        <f>MOD(DAY(datos_siembra[[#This Row],[Date]]),7)</f>
        <v>5</v>
      </c>
      <c r="Q2752" t="str">
        <f>CHOOSE(WEEKDAY(datos_siembra[[#This Row],[Date]],2),"L","M","X","J","V","S","D")</f>
        <v>S</v>
      </c>
      <c r="R2752">
        <f>WEEKNUM(datos_siembra[[#This Row],[Date]],2)-WEEKNUM(DATE(YEAR(datos_siembra[[#This Row],[Date]]),MONTH(datos_siembra[[#This Row],[Date]]),1))+1</f>
        <v>1</v>
      </c>
      <c r="S2752">
        <f>MONTH(datos_siembra[[#This Row],[Date]])</f>
        <v>10</v>
      </c>
      <c r="T2752" t="str" cm="1">
        <f t="array" ref="T2752">_xlfn.IFS(AND(N2752&lt;= 22, S2752=9), "SOWING",AND(N2752&lt;= 28, S2752=9), "COVERAGE",AND(N2752&lt;= 30, S2752=9), "FLUSH",AND(N2752&lt;= 11, S2752=10), "FLUSH",AND(N2752&lt;= 21, S2752=10), "PRODUCTION")</f>
        <v>FLUSH</v>
      </c>
      <c r="U2752">
        <f>HOUR(datos_siembra[[#This Row],[Hour]])</f>
        <v>21</v>
      </c>
      <c r="V2752" cm="1">
        <f t="array" ref="V2752">_xlfn.IFS(AND(N2752&lt;= 22, S2752=9), N2752-7,AND(N2752&lt;= 28, S2752=9), N2752-25,AND(N2752&lt;= 30, S2752=9), N2752-28,AND(N2752&lt;= 11, S2752=10), N2752+2,AND(N2752&lt;= 21, S2752=10), N2752-11)</f>
        <v>7</v>
      </c>
    </row>
    <row r="2753" spans="1:22" x14ac:dyDescent="0.35">
      <c r="A2753" s="4">
        <v>45570</v>
      </c>
      <c r="B2753" s="5">
        <v>0.90609953703703705</v>
      </c>
      <c r="C2753">
        <v>66.900000000000006</v>
      </c>
      <c r="D2753">
        <v>67</v>
      </c>
      <c r="E2753">
        <v>66.599999999999994</v>
      </c>
      <c r="F2753">
        <v>66.2</v>
      </c>
      <c r="G2753">
        <v>0</v>
      </c>
      <c r="H2753">
        <v>0</v>
      </c>
      <c r="I2753">
        <v>0</v>
      </c>
      <c r="J2753">
        <v>0</v>
      </c>
      <c r="K2753">
        <v>63.6</v>
      </c>
      <c r="L2753">
        <v>63.8</v>
      </c>
      <c r="M2753">
        <v>66.650000000000006</v>
      </c>
      <c r="N2753">
        <v>5</v>
      </c>
      <c r="O2753">
        <v>4</v>
      </c>
      <c r="P2753">
        <f>MOD(DAY(datos_siembra[[#This Row],[Date]]),7)</f>
        <v>5</v>
      </c>
      <c r="Q2753" t="str">
        <f>CHOOSE(WEEKDAY(datos_siembra[[#This Row],[Date]],2),"L","M","X","J","V","S","D")</f>
        <v>S</v>
      </c>
      <c r="R2753">
        <f>WEEKNUM(datos_siembra[[#This Row],[Date]],2)-WEEKNUM(DATE(YEAR(datos_siembra[[#This Row],[Date]]),MONTH(datos_siembra[[#This Row],[Date]]),1))+1</f>
        <v>1</v>
      </c>
      <c r="S2753">
        <f>MONTH(datos_siembra[[#This Row],[Date]])</f>
        <v>10</v>
      </c>
      <c r="T2753" t="str" cm="1">
        <f t="array" ref="T2753">_xlfn.IFS(AND(N2753&lt;= 22, S2753=9), "SOWING",AND(N2753&lt;= 28, S2753=9), "COVERAGE",AND(N2753&lt;= 30, S2753=9), "FLUSH",AND(N2753&lt;= 11, S2753=10), "FLUSH",AND(N2753&lt;= 21, S2753=10), "PRODUCTION")</f>
        <v>FLUSH</v>
      </c>
      <c r="U2753">
        <f>HOUR(datos_siembra[[#This Row],[Hour]])</f>
        <v>21</v>
      </c>
      <c r="V2753" cm="1">
        <f t="array" ref="V2753">_xlfn.IFS(AND(N2753&lt;= 22, S2753=9), N2753-7,AND(N2753&lt;= 28, S2753=9), N2753-25,AND(N2753&lt;= 30, S2753=9), N2753-28,AND(N2753&lt;= 11, S2753=10), N2753+2,AND(N2753&lt;= 21, S2753=10), N2753-11)</f>
        <v>7</v>
      </c>
    </row>
    <row r="2754" spans="1:22" x14ac:dyDescent="0.35">
      <c r="A2754" s="4">
        <v>45570</v>
      </c>
      <c r="B2754" s="5">
        <v>0.91304398148148147</v>
      </c>
      <c r="C2754">
        <v>66.8</v>
      </c>
      <c r="D2754">
        <v>66.900000000000006</v>
      </c>
      <c r="E2754">
        <v>66.599999999999994</v>
      </c>
      <c r="F2754">
        <v>66.2</v>
      </c>
      <c r="G2754">
        <v>0</v>
      </c>
      <c r="H2754">
        <v>0</v>
      </c>
      <c r="I2754">
        <v>0</v>
      </c>
      <c r="J2754">
        <v>0</v>
      </c>
      <c r="K2754">
        <v>63.5</v>
      </c>
      <c r="L2754">
        <v>63.8</v>
      </c>
      <c r="M2754">
        <v>66.569999999999993</v>
      </c>
      <c r="N2754">
        <v>5</v>
      </c>
      <c r="O2754">
        <v>4</v>
      </c>
      <c r="P2754">
        <f>MOD(DAY(datos_siembra[[#This Row],[Date]]),7)</f>
        <v>5</v>
      </c>
      <c r="Q2754" t="str">
        <f>CHOOSE(WEEKDAY(datos_siembra[[#This Row],[Date]],2),"L","M","X","J","V","S","D")</f>
        <v>S</v>
      </c>
      <c r="R2754">
        <f>WEEKNUM(datos_siembra[[#This Row],[Date]],2)-WEEKNUM(DATE(YEAR(datos_siembra[[#This Row],[Date]]),MONTH(datos_siembra[[#This Row],[Date]]),1))+1</f>
        <v>1</v>
      </c>
      <c r="S2754">
        <f>MONTH(datos_siembra[[#This Row],[Date]])</f>
        <v>10</v>
      </c>
      <c r="T2754" t="str" cm="1">
        <f t="array" ref="T2754">_xlfn.IFS(AND(N2754&lt;= 22, S2754=9), "SOWING",AND(N2754&lt;= 28, S2754=9), "COVERAGE",AND(N2754&lt;= 30, S2754=9), "FLUSH",AND(N2754&lt;= 11, S2754=10), "FLUSH",AND(N2754&lt;= 21, S2754=10), "PRODUCTION")</f>
        <v>FLUSH</v>
      </c>
      <c r="U2754">
        <f>HOUR(datos_siembra[[#This Row],[Hour]])</f>
        <v>21</v>
      </c>
      <c r="V2754" cm="1">
        <f t="array" ref="V2754">_xlfn.IFS(AND(N2754&lt;= 22, S2754=9), N2754-7,AND(N2754&lt;= 28, S2754=9), N2754-25,AND(N2754&lt;= 30, S2754=9), N2754-28,AND(N2754&lt;= 11, S2754=10), N2754+2,AND(N2754&lt;= 21, S2754=10), N2754-11)</f>
        <v>7</v>
      </c>
    </row>
    <row r="2755" spans="1:22" x14ac:dyDescent="0.35">
      <c r="A2755" s="4">
        <v>45570</v>
      </c>
      <c r="B2755" s="5">
        <v>0.92</v>
      </c>
      <c r="C2755">
        <v>66.900000000000006</v>
      </c>
      <c r="D2755">
        <v>66.8</v>
      </c>
      <c r="E2755">
        <v>66.599999999999994</v>
      </c>
      <c r="F2755">
        <v>66.3</v>
      </c>
      <c r="G2755">
        <v>0</v>
      </c>
      <c r="H2755">
        <v>0</v>
      </c>
      <c r="I2755">
        <v>0</v>
      </c>
      <c r="J2755">
        <v>0</v>
      </c>
      <c r="K2755">
        <v>63.5</v>
      </c>
      <c r="L2755">
        <v>63.8</v>
      </c>
      <c r="M2755">
        <v>66.62</v>
      </c>
      <c r="N2755">
        <v>5</v>
      </c>
      <c r="O2755">
        <v>4</v>
      </c>
      <c r="P2755">
        <f>MOD(DAY(datos_siembra[[#This Row],[Date]]),7)</f>
        <v>5</v>
      </c>
      <c r="Q2755" t="str">
        <f>CHOOSE(WEEKDAY(datos_siembra[[#This Row],[Date]],2),"L","M","X","J","V","S","D")</f>
        <v>S</v>
      </c>
      <c r="R2755">
        <f>WEEKNUM(datos_siembra[[#This Row],[Date]],2)-WEEKNUM(DATE(YEAR(datos_siembra[[#This Row],[Date]]),MONTH(datos_siembra[[#This Row],[Date]]),1))+1</f>
        <v>1</v>
      </c>
      <c r="S2755">
        <f>MONTH(datos_siembra[[#This Row],[Date]])</f>
        <v>10</v>
      </c>
      <c r="T2755" t="str" cm="1">
        <f t="array" ref="T2755">_xlfn.IFS(AND(N2755&lt;= 22, S2755=9), "SOWING",AND(N2755&lt;= 28, S2755=9), "COVERAGE",AND(N2755&lt;= 30, S2755=9), "FLUSH",AND(N2755&lt;= 11, S2755=10), "FLUSH",AND(N2755&lt;= 21, S2755=10), "PRODUCTION")</f>
        <v>FLUSH</v>
      </c>
      <c r="U2755">
        <f>HOUR(datos_siembra[[#This Row],[Hour]])</f>
        <v>22</v>
      </c>
      <c r="V2755" cm="1">
        <f t="array" ref="V2755">_xlfn.IFS(AND(N2755&lt;= 22, S2755=9), N2755-7,AND(N2755&lt;= 28, S2755=9), N2755-25,AND(N2755&lt;= 30, S2755=9), N2755-28,AND(N2755&lt;= 11, S2755=10), N2755+2,AND(N2755&lt;= 21, S2755=10), N2755-11)</f>
        <v>7</v>
      </c>
    </row>
    <row r="2756" spans="1:22" x14ac:dyDescent="0.35">
      <c r="A2756" s="4">
        <v>45570</v>
      </c>
      <c r="B2756" s="5">
        <v>0.92694444444444446</v>
      </c>
      <c r="C2756">
        <v>66.900000000000006</v>
      </c>
      <c r="D2756">
        <v>67</v>
      </c>
      <c r="E2756">
        <v>66.599999999999994</v>
      </c>
      <c r="F2756">
        <v>66.3</v>
      </c>
      <c r="G2756">
        <v>0</v>
      </c>
      <c r="H2756">
        <v>0</v>
      </c>
      <c r="I2756">
        <v>0</v>
      </c>
      <c r="J2756">
        <v>0</v>
      </c>
      <c r="K2756">
        <v>63.5</v>
      </c>
      <c r="L2756">
        <v>63.8</v>
      </c>
      <c r="M2756">
        <v>66.680000000000007</v>
      </c>
      <c r="N2756">
        <v>5</v>
      </c>
      <c r="O2756">
        <v>4</v>
      </c>
      <c r="P2756">
        <f>MOD(DAY(datos_siembra[[#This Row],[Date]]),7)</f>
        <v>5</v>
      </c>
      <c r="Q2756" t="str">
        <f>CHOOSE(WEEKDAY(datos_siembra[[#This Row],[Date]],2),"L","M","X","J","V","S","D")</f>
        <v>S</v>
      </c>
      <c r="R2756">
        <f>WEEKNUM(datos_siembra[[#This Row],[Date]],2)-WEEKNUM(DATE(YEAR(datos_siembra[[#This Row],[Date]]),MONTH(datos_siembra[[#This Row],[Date]]),1))+1</f>
        <v>1</v>
      </c>
      <c r="S2756">
        <f>MONTH(datos_siembra[[#This Row],[Date]])</f>
        <v>10</v>
      </c>
      <c r="T2756" t="str" cm="1">
        <f t="array" ref="T2756">_xlfn.IFS(AND(N2756&lt;= 22, S2756=9), "SOWING",AND(N2756&lt;= 28, S2756=9), "COVERAGE",AND(N2756&lt;= 30, S2756=9), "FLUSH",AND(N2756&lt;= 11, S2756=10), "FLUSH",AND(N2756&lt;= 21, S2756=10), "PRODUCTION")</f>
        <v>FLUSH</v>
      </c>
      <c r="U2756">
        <f>HOUR(datos_siembra[[#This Row],[Hour]])</f>
        <v>22</v>
      </c>
      <c r="V2756" cm="1">
        <f t="array" ref="V2756">_xlfn.IFS(AND(N2756&lt;= 22, S2756=9), N2756-7,AND(N2756&lt;= 28, S2756=9), N2756-25,AND(N2756&lt;= 30, S2756=9), N2756-28,AND(N2756&lt;= 11, S2756=10), N2756+2,AND(N2756&lt;= 21, S2756=10), N2756-11)</f>
        <v>7</v>
      </c>
    </row>
    <row r="2757" spans="1:22" x14ac:dyDescent="0.35">
      <c r="A2757" s="4">
        <v>45570</v>
      </c>
      <c r="B2757" s="5">
        <v>0.93388888888888888</v>
      </c>
      <c r="C2757">
        <v>67</v>
      </c>
      <c r="D2757">
        <v>66.8</v>
      </c>
      <c r="E2757">
        <v>66.599999999999994</v>
      </c>
      <c r="F2757">
        <v>66.2</v>
      </c>
      <c r="G2757">
        <v>0</v>
      </c>
      <c r="H2757">
        <v>0</v>
      </c>
      <c r="I2757">
        <v>0</v>
      </c>
      <c r="J2757">
        <v>0</v>
      </c>
      <c r="K2757">
        <v>63.5</v>
      </c>
      <c r="L2757">
        <v>63.8</v>
      </c>
      <c r="M2757">
        <v>66.59</v>
      </c>
      <c r="N2757">
        <v>5</v>
      </c>
      <c r="O2757">
        <v>4</v>
      </c>
      <c r="P2757">
        <f>MOD(DAY(datos_siembra[[#This Row],[Date]]),7)</f>
        <v>5</v>
      </c>
      <c r="Q2757" t="str">
        <f>CHOOSE(WEEKDAY(datos_siembra[[#This Row],[Date]],2),"L","M","X","J","V","S","D")</f>
        <v>S</v>
      </c>
      <c r="R2757">
        <f>WEEKNUM(datos_siembra[[#This Row],[Date]],2)-WEEKNUM(DATE(YEAR(datos_siembra[[#This Row],[Date]]),MONTH(datos_siembra[[#This Row],[Date]]),1))+1</f>
        <v>1</v>
      </c>
      <c r="S2757">
        <f>MONTH(datos_siembra[[#This Row],[Date]])</f>
        <v>10</v>
      </c>
      <c r="T2757" t="str" cm="1">
        <f t="array" ref="T2757">_xlfn.IFS(AND(N2757&lt;= 22, S2757=9), "SOWING",AND(N2757&lt;= 28, S2757=9), "COVERAGE",AND(N2757&lt;= 30, S2757=9), "FLUSH",AND(N2757&lt;= 11, S2757=10), "FLUSH",AND(N2757&lt;= 21, S2757=10), "PRODUCTION")</f>
        <v>FLUSH</v>
      </c>
      <c r="U2757">
        <f>HOUR(datos_siembra[[#This Row],[Hour]])</f>
        <v>22</v>
      </c>
      <c r="V2757" cm="1">
        <f t="array" ref="V2757">_xlfn.IFS(AND(N2757&lt;= 22, S2757=9), N2757-7,AND(N2757&lt;= 28, S2757=9), N2757-25,AND(N2757&lt;= 30, S2757=9), N2757-28,AND(N2757&lt;= 11, S2757=10), N2757+2,AND(N2757&lt;= 21, S2757=10), N2757-11)</f>
        <v>7</v>
      </c>
    </row>
    <row r="2758" spans="1:22" x14ac:dyDescent="0.35">
      <c r="A2758" s="4">
        <v>45570</v>
      </c>
      <c r="B2758" s="5">
        <v>0.9408333333333333</v>
      </c>
      <c r="C2758">
        <v>66.8</v>
      </c>
      <c r="D2758">
        <v>66.8</v>
      </c>
      <c r="E2758">
        <v>66.599999999999994</v>
      </c>
      <c r="F2758">
        <v>66.2</v>
      </c>
      <c r="G2758">
        <v>0</v>
      </c>
      <c r="H2758">
        <v>0</v>
      </c>
      <c r="I2758">
        <v>0</v>
      </c>
      <c r="J2758">
        <v>0</v>
      </c>
      <c r="K2758">
        <v>63.5</v>
      </c>
      <c r="L2758">
        <v>63.9</v>
      </c>
      <c r="M2758">
        <v>66.62</v>
      </c>
      <c r="N2758">
        <v>5</v>
      </c>
      <c r="O2758">
        <v>4</v>
      </c>
      <c r="P2758">
        <f>MOD(DAY(datos_siembra[[#This Row],[Date]]),7)</f>
        <v>5</v>
      </c>
      <c r="Q2758" t="str">
        <f>CHOOSE(WEEKDAY(datos_siembra[[#This Row],[Date]],2),"L","M","X","J","V","S","D")</f>
        <v>S</v>
      </c>
      <c r="R2758">
        <f>WEEKNUM(datos_siembra[[#This Row],[Date]],2)-WEEKNUM(DATE(YEAR(datos_siembra[[#This Row],[Date]]),MONTH(datos_siembra[[#This Row],[Date]]),1))+1</f>
        <v>1</v>
      </c>
      <c r="S2758">
        <f>MONTH(datos_siembra[[#This Row],[Date]])</f>
        <v>10</v>
      </c>
      <c r="T2758" t="str" cm="1">
        <f t="array" ref="T2758">_xlfn.IFS(AND(N2758&lt;= 22, S2758=9), "SOWING",AND(N2758&lt;= 28, S2758=9), "COVERAGE",AND(N2758&lt;= 30, S2758=9), "FLUSH",AND(N2758&lt;= 11, S2758=10), "FLUSH",AND(N2758&lt;= 21, S2758=10), "PRODUCTION")</f>
        <v>FLUSH</v>
      </c>
      <c r="U2758">
        <f>HOUR(datos_siembra[[#This Row],[Hour]])</f>
        <v>22</v>
      </c>
      <c r="V2758" cm="1">
        <f t="array" ref="V2758">_xlfn.IFS(AND(N2758&lt;= 22, S2758=9), N2758-7,AND(N2758&lt;= 28, S2758=9), N2758-25,AND(N2758&lt;= 30, S2758=9), N2758-28,AND(N2758&lt;= 11, S2758=10), N2758+2,AND(N2758&lt;= 21, S2758=10), N2758-11)</f>
        <v>7</v>
      </c>
    </row>
    <row r="2759" spans="1:22" x14ac:dyDescent="0.35">
      <c r="A2759" s="4">
        <v>45570</v>
      </c>
      <c r="B2759" s="5">
        <v>0.94778935185185187</v>
      </c>
      <c r="C2759">
        <v>66.900000000000006</v>
      </c>
      <c r="D2759">
        <v>67.2</v>
      </c>
      <c r="E2759">
        <v>66.8</v>
      </c>
      <c r="F2759">
        <v>66.400000000000006</v>
      </c>
      <c r="G2759">
        <v>0</v>
      </c>
      <c r="H2759">
        <v>0</v>
      </c>
      <c r="I2759">
        <v>0</v>
      </c>
      <c r="J2759">
        <v>0</v>
      </c>
      <c r="K2759">
        <v>63.5</v>
      </c>
      <c r="L2759">
        <v>63.8</v>
      </c>
      <c r="M2759">
        <v>66.709999999999994</v>
      </c>
      <c r="N2759">
        <v>5</v>
      </c>
      <c r="O2759">
        <v>4</v>
      </c>
      <c r="P2759">
        <f>MOD(DAY(datos_siembra[[#This Row],[Date]]),7)</f>
        <v>5</v>
      </c>
      <c r="Q2759" t="str">
        <f>CHOOSE(WEEKDAY(datos_siembra[[#This Row],[Date]],2),"L","M","X","J","V","S","D")</f>
        <v>S</v>
      </c>
      <c r="R2759">
        <f>WEEKNUM(datos_siembra[[#This Row],[Date]],2)-WEEKNUM(DATE(YEAR(datos_siembra[[#This Row],[Date]]),MONTH(datos_siembra[[#This Row],[Date]]),1))+1</f>
        <v>1</v>
      </c>
      <c r="S2759">
        <f>MONTH(datos_siembra[[#This Row],[Date]])</f>
        <v>10</v>
      </c>
      <c r="T2759" t="str" cm="1">
        <f t="array" ref="T2759">_xlfn.IFS(AND(N2759&lt;= 22, S2759=9), "SOWING",AND(N2759&lt;= 28, S2759=9), "COVERAGE",AND(N2759&lt;= 30, S2759=9), "FLUSH",AND(N2759&lt;= 11, S2759=10), "FLUSH",AND(N2759&lt;= 21, S2759=10), "PRODUCTION")</f>
        <v>FLUSH</v>
      </c>
      <c r="U2759">
        <f>HOUR(datos_siembra[[#This Row],[Hour]])</f>
        <v>22</v>
      </c>
      <c r="V2759" cm="1">
        <f t="array" ref="V2759">_xlfn.IFS(AND(N2759&lt;= 22, S2759=9), N2759-7,AND(N2759&lt;= 28, S2759=9), N2759-25,AND(N2759&lt;= 30, S2759=9), N2759-28,AND(N2759&lt;= 11, S2759=10), N2759+2,AND(N2759&lt;= 21, S2759=10), N2759-11)</f>
        <v>7</v>
      </c>
    </row>
    <row r="2760" spans="1:22" x14ac:dyDescent="0.35">
      <c r="A2760" s="4">
        <v>45570</v>
      </c>
      <c r="B2760" s="5">
        <v>0.95473379629629629</v>
      </c>
      <c r="C2760">
        <v>66.900000000000006</v>
      </c>
      <c r="D2760">
        <v>67</v>
      </c>
      <c r="E2760">
        <v>66.8</v>
      </c>
      <c r="F2760">
        <v>66.400000000000006</v>
      </c>
      <c r="G2760">
        <v>0</v>
      </c>
      <c r="H2760">
        <v>0</v>
      </c>
      <c r="I2760">
        <v>0</v>
      </c>
      <c r="J2760">
        <v>0</v>
      </c>
      <c r="K2760">
        <v>63.4</v>
      </c>
      <c r="L2760">
        <v>63.8</v>
      </c>
      <c r="M2760">
        <v>66.760000000000005</v>
      </c>
      <c r="N2760">
        <v>5</v>
      </c>
      <c r="O2760">
        <v>4</v>
      </c>
      <c r="P2760">
        <f>MOD(DAY(datos_siembra[[#This Row],[Date]]),7)</f>
        <v>5</v>
      </c>
      <c r="Q2760" t="str">
        <f>CHOOSE(WEEKDAY(datos_siembra[[#This Row],[Date]],2),"L","M","X","J","V","S","D")</f>
        <v>S</v>
      </c>
      <c r="R2760">
        <f>WEEKNUM(datos_siembra[[#This Row],[Date]],2)-WEEKNUM(DATE(YEAR(datos_siembra[[#This Row],[Date]]),MONTH(datos_siembra[[#This Row],[Date]]),1))+1</f>
        <v>1</v>
      </c>
      <c r="S2760">
        <f>MONTH(datos_siembra[[#This Row],[Date]])</f>
        <v>10</v>
      </c>
      <c r="T2760" t="str" cm="1">
        <f t="array" ref="T2760">_xlfn.IFS(AND(N2760&lt;= 22, S2760=9), "SOWING",AND(N2760&lt;= 28, S2760=9), "COVERAGE",AND(N2760&lt;= 30, S2760=9), "FLUSH",AND(N2760&lt;= 11, S2760=10), "FLUSH",AND(N2760&lt;= 21, S2760=10), "PRODUCTION")</f>
        <v>FLUSH</v>
      </c>
      <c r="U2760">
        <f>HOUR(datos_siembra[[#This Row],[Hour]])</f>
        <v>22</v>
      </c>
      <c r="V2760" cm="1">
        <f t="array" ref="V2760">_xlfn.IFS(AND(N2760&lt;= 22, S2760=9), N2760-7,AND(N2760&lt;= 28, S2760=9), N2760-25,AND(N2760&lt;= 30, S2760=9), N2760-28,AND(N2760&lt;= 11, S2760=10), N2760+2,AND(N2760&lt;= 21, S2760=10), N2760-11)</f>
        <v>7</v>
      </c>
    </row>
    <row r="2761" spans="1:22" x14ac:dyDescent="0.35">
      <c r="A2761" s="4">
        <v>45570</v>
      </c>
      <c r="B2761" s="5">
        <v>0.96167824074074071</v>
      </c>
      <c r="C2761">
        <v>66.8</v>
      </c>
      <c r="D2761">
        <v>67</v>
      </c>
      <c r="E2761">
        <v>66.8</v>
      </c>
      <c r="F2761">
        <v>66.400000000000006</v>
      </c>
      <c r="G2761">
        <v>0</v>
      </c>
      <c r="H2761">
        <v>0</v>
      </c>
      <c r="I2761">
        <v>0</v>
      </c>
      <c r="J2761">
        <v>0</v>
      </c>
      <c r="K2761">
        <v>63.5</v>
      </c>
      <c r="L2761">
        <v>63.7</v>
      </c>
      <c r="M2761">
        <v>66.680000000000007</v>
      </c>
      <c r="N2761">
        <v>5</v>
      </c>
      <c r="O2761">
        <v>4</v>
      </c>
      <c r="P2761">
        <f>MOD(DAY(datos_siembra[[#This Row],[Date]]),7)</f>
        <v>5</v>
      </c>
      <c r="Q2761" t="str">
        <f>CHOOSE(WEEKDAY(datos_siembra[[#This Row],[Date]],2),"L","M","X","J","V","S","D")</f>
        <v>S</v>
      </c>
      <c r="R2761">
        <f>WEEKNUM(datos_siembra[[#This Row],[Date]],2)-WEEKNUM(DATE(YEAR(datos_siembra[[#This Row],[Date]]),MONTH(datos_siembra[[#This Row],[Date]]),1))+1</f>
        <v>1</v>
      </c>
      <c r="S2761">
        <f>MONTH(datos_siembra[[#This Row],[Date]])</f>
        <v>10</v>
      </c>
      <c r="T2761" t="str" cm="1">
        <f t="array" ref="T2761">_xlfn.IFS(AND(N2761&lt;= 22, S2761=9), "SOWING",AND(N2761&lt;= 28, S2761=9), "COVERAGE",AND(N2761&lt;= 30, S2761=9), "FLUSH",AND(N2761&lt;= 11, S2761=10), "FLUSH",AND(N2761&lt;= 21, S2761=10), "PRODUCTION")</f>
        <v>FLUSH</v>
      </c>
      <c r="U2761">
        <f>HOUR(datos_siembra[[#This Row],[Hour]])</f>
        <v>23</v>
      </c>
      <c r="V2761" cm="1">
        <f t="array" ref="V2761">_xlfn.IFS(AND(N2761&lt;= 22, S2761=9), N2761-7,AND(N2761&lt;= 28, S2761=9), N2761-25,AND(N2761&lt;= 30, S2761=9), N2761-28,AND(N2761&lt;= 11, S2761=10), N2761+2,AND(N2761&lt;= 21, S2761=10), N2761-11)</f>
        <v>7</v>
      </c>
    </row>
    <row r="2762" spans="1:22" x14ac:dyDescent="0.35">
      <c r="A2762" s="4">
        <v>45570</v>
      </c>
      <c r="B2762" s="5">
        <v>0.96863425925925928</v>
      </c>
      <c r="C2762">
        <v>67</v>
      </c>
      <c r="D2762">
        <v>66.900000000000006</v>
      </c>
      <c r="E2762">
        <v>66.8</v>
      </c>
      <c r="F2762">
        <v>66.400000000000006</v>
      </c>
      <c r="G2762">
        <v>0</v>
      </c>
      <c r="H2762">
        <v>0</v>
      </c>
      <c r="I2762">
        <v>0</v>
      </c>
      <c r="J2762">
        <v>0</v>
      </c>
      <c r="K2762">
        <v>63.4</v>
      </c>
      <c r="L2762">
        <v>63.7</v>
      </c>
      <c r="M2762">
        <v>66.760000000000005</v>
      </c>
      <c r="N2762">
        <v>5</v>
      </c>
      <c r="O2762">
        <v>4</v>
      </c>
      <c r="P2762">
        <f>MOD(DAY(datos_siembra[[#This Row],[Date]]),7)</f>
        <v>5</v>
      </c>
      <c r="Q2762" t="str">
        <f>CHOOSE(WEEKDAY(datos_siembra[[#This Row],[Date]],2),"L","M","X","J","V","S","D")</f>
        <v>S</v>
      </c>
      <c r="R2762">
        <f>WEEKNUM(datos_siembra[[#This Row],[Date]],2)-WEEKNUM(DATE(YEAR(datos_siembra[[#This Row],[Date]]),MONTH(datos_siembra[[#This Row],[Date]]),1))+1</f>
        <v>1</v>
      </c>
      <c r="S2762">
        <f>MONTH(datos_siembra[[#This Row],[Date]])</f>
        <v>10</v>
      </c>
      <c r="T2762" t="str" cm="1">
        <f t="array" ref="T2762">_xlfn.IFS(AND(N2762&lt;= 22, S2762=9), "SOWING",AND(N2762&lt;= 28, S2762=9), "COVERAGE",AND(N2762&lt;= 30, S2762=9), "FLUSH",AND(N2762&lt;= 11, S2762=10), "FLUSH",AND(N2762&lt;= 21, S2762=10), "PRODUCTION")</f>
        <v>FLUSH</v>
      </c>
      <c r="U2762">
        <f>HOUR(datos_siembra[[#This Row],[Hour]])</f>
        <v>23</v>
      </c>
      <c r="V2762" cm="1">
        <f t="array" ref="V2762">_xlfn.IFS(AND(N2762&lt;= 22, S2762=9), N2762-7,AND(N2762&lt;= 28, S2762=9), N2762-25,AND(N2762&lt;= 30, S2762=9), N2762-28,AND(N2762&lt;= 11, S2762=10), N2762+2,AND(N2762&lt;= 21, S2762=10), N2762-11)</f>
        <v>7</v>
      </c>
    </row>
    <row r="2763" spans="1:22" x14ac:dyDescent="0.35">
      <c r="A2763" s="4">
        <v>45570</v>
      </c>
      <c r="B2763" s="5">
        <v>0.9755787037037037</v>
      </c>
      <c r="C2763">
        <v>66.900000000000006</v>
      </c>
      <c r="D2763">
        <v>66.900000000000006</v>
      </c>
      <c r="E2763">
        <v>66.599999999999994</v>
      </c>
      <c r="F2763">
        <v>66.400000000000006</v>
      </c>
      <c r="G2763">
        <v>0</v>
      </c>
      <c r="H2763">
        <v>0</v>
      </c>
      <c r="I2763">
        <v>0</v>
      </c>
      <c r="J2763">
        <v>0</v>
      </c>
      <c r="K2763">
        <v>63.3</v>
      </c>
      <c r="L2763">
        <v>63.6</v>
      </c>
      <c r="M2763">
        <v>66.760000000000005</v>
      </c>
      <c r="N2763">
        <v>5</v>
      </c>
      <c r="O2763">
        <v>4</v>
      </c>
      <c r="P2763">
        <f>MOD(DAY(datos_siembra[[#This Row],[Date]]),7)</f>
        <v>5</v>
      </c>
      <c r="Q2763" t="str">
        <f>CHOOSE(WEEKDAY(datos_siembra[[#This Row],[Date]],2),"L","M","X","J","V","S","D")</f>
        <v>S</v>
      </c>
      <c r="R2763">
        <f>WEEKNUM(datos_siembra[[#This Row],[Date]],2)-WEEKNUM(DATE(YEAR(datos_siembra[[#This Row],[Date]]),MONTH(datos_siembra[[#This Row],[Date]]),1))+1</f>
        <v>1</v>
      </c>
      <c r="S2763">
        <f>MONTH(datos_siembra[[#This Row],[Date]])</f>
        <v>10</v>
      </c>
      <c r="T2763" t="str" cm="1">
        <f t="array" ref="T2763">_xlfn.IFS(AND(N2763&lt;= 22, S2763=9), "SOWING",AND(N2763&lt;= 28, S2763=9), "COVERAGE",AND(N2763&lt;= 30, S2763=9), "FLUSH",AND(N2763&lt;= 11, S2763=10), "FLUSH",AND(N2763&lt;= 21, S2763=10), "PRODUCTION")</f>
        <v>FLUSH</v>
      </c>
      <c r="U2763">
        <f>HOUR(datos_siembra[[#This Row],[Hour]])</f>
        <v>23</v>
      </c>
      <c r="V2763" cm="1">
        <f t="array" ref="V2763">_xlfn.IFS(AND(N2763&lt;= 22, S2763=9), N2763-7,AND(N2763&lt;= 28, S2763=9), N2763-25,AND(N2763&lt;= 30, S2763=9), N2763-28,AND(N2763&lt;= 11, S2763=10), N2763+2,AND(N2763&lt;= 21, S2763=10), N2763-11)</f>
        <v>7</v>
      </c>
    </row>
    <row r="2764" spans="1:22" x14ac:dyDescent="0.35">
      <c r="A2764" s="4">
        <v>45570</v>
      </c>
      <c r="B2764" s="5">
        <v>0.98252314814814812</v>
      </c>
      <c r="C2764">
        <v>66.900000000000006</v>
      </c>
      <c r="D2764">
        <v>67</v>
      </c>
      <c r="E2764">
        <v>66.8</v>
      </c>
      <c r="F2764">
        <v>66.400000000000006</v>
      </c>
      <c r="G2764">
        <v>0</v>
      </c>
      <c r="H2764">
        <v>0</v>
      </c>
      <c r="I2764">
        <v>0</v>
      </c>
      <c r="J2764">
        <v>0</v>
      </c>
      <c r="K2764">
        <v>63.3</v>
      </c>
      <c r="L2764">
        <v>63.6</v>
      </c>
      <c r="M2764">
        <v>66.73</v>
      </c>
      <c r="N2764">
        <v>5</v>
      </c>
      <c r="O2764">
        <v>4</v>
      </c>
      <c r="P2764">
        <f>MOD(DAY(datos_siembra[[#This Row],[Date]]),7)</f>
        <v>5</v>
      </c>
      <c r="Q2764" t="str">
        <f>CHOOSE(WEEKDAY(datos_siembra[[#This Row],[Date]],2),"L","M","X","J","V","S","D")</f>
        <v>S</v>
      </c>
      <c r="R2764">
        <f>WEEKNUM(datos_siembra[[#This Row],[Date]],2)-WEEKNUM(DATE(YEAR(datos_siembra[[#This Row],[Date]]),MONTH(datos_siembra[[#This Row],[Date]]),1))+1</f>
        <v>1</v>
      </c>
      <c r="S2764">
        <f>MONTH(datos_siembra[[#This Row],[Date]])</f>
        <v>10</v>
      </c>
      <c r="T2764" t="str" cm="1">
        <f t="array" ref="T2764">_xlfn.IFS(AND(N2764&lt;= 22, S2764=9), "SOWING",AND(N2764&lt;= 28, S2764=9), "COVERAGE",AND(N2764&lt;= 30, S2764=9), "FLUSH",AND(N2764&lt;= 11, S2764=10), "FLUSH",AND(N2764&lt;= 21, S2764=10), "PRODUCTION")</f>
        <v>FLUSH</v>
      </c>
      <c r="U2764">
        <f>HOUR(datos_siembra[[#This Row],[Hour]])</f>
        <v>23</v>
      </c>
      <c r="V2764" cm="1">
        <f t="array" ref="V2764">_xlfn.IFS(AND(N2764&lt;= 22, S2764=9), N2764-7,AND(N2764&lt;= 28, S2764=9), N2764-25,AND(N2764&lt;= 30, S2764=9), N2764-28,AND(N2764&lt;= 11, S2764=10), N2764+2,AND(N2764&lt;= 21, S2764=10), N2764-11)</f>
        <v>7</v>
      </c>
    </row>
    <row r="2765" spans="1:22" x14ac:dyDescent="0.35">
      <c r="A2765" s="4">
        <v>45570</v>
      </c>
      <c r="B2765" s="5">
        <v>0.98946759259259254</v>
      </c>
      <c r="C2765">
        <v>66.900000000000006</v>
      </c>
      <c r="D2765">
        <v>67</v>
      </c>
      <c r="E2765">
        <v>66.599999999999994</v>
      </c>
      <c r="F2765">
        <v>66.400000000000006</v>
      </c>
      <c r="G2765">
        <v>0</v>
      </c>
      <c r="H2765">
        <v>0</v>
      </c>
      <c r="I2765">
        <v>0</v>
      </c>
      <c r="J2765">
        <v>0</v>
      </c>
      <c r="K2765">
        <v>63.3</v>
      </c>
      <c r="L2765">
        <v>63.5</v>
      </c>
      <c r="M2765">
        <v>66.73</v>
      </c>
      <c r="N2765">
        <v>5</v>
      </c>
      <c r="O2765">
        <v>4</v>
      </c>
      <c r="P2765">
        <f>MOD(DAY(datos_siembra[[#This Row],[Date]]),7)</f>
        <v>5</v>
      </c>
      <c r="Q2765" t="str">
        <f>CHOOSE(WEEKDAY(datos_siembra[[#This Row],[Date]],2),"L","M","X","J","V","S","D")</f>
        <v>S</v>
      </c>
      <c r="R2765">
        <f>WEEKNUM(datos_siembra[[#This Row],[Date]],2)-WEEKNUM(DATE(YEAR(datos_siembra[[#This Row],[Date]]),MONTH(datos_siembra[[#This Row],[Date]]),1))+1</f>
        <v>1</v>
      </c>
      <c r="S2765">
        <f>MONTH(datos_siembra[[#This Row],[Date]])</f>
        <v>10</v>
      </c>
      <c r="T2765" t="str" cm="1">
        <f t="array" ref="T2765">_xlfn.IFS(AND(N2765&lt;= 22, S2765=9), "SOWING",AND(N2765&lt;= 28, S2765=9), "COVERAGE",AND(N2765&lt;= 30, S2765=9), "FLUSH",AND(N2765&lt;= 11, S2765=10), "FLUSH",AND(N2765&lt;= 21, S2765=10), "PRODUCTION")</f>
        <v>FLUSH</v>
      </c>
      <c r="U2765">
        <f>HOUR(datos_siembra[[#This Row],[Hour]])</f>
        <v>23</v>
      </c>
      <c r="V2765" cm="1">
        <f t="array" ref="V2765">_xlfn.IFS(AND(N2765&lt;= 22, S2765=9), N2765-7,AND(N2765&lt;= 28, S2765=9), N2765-25,AND(N2765&lt;= 30, S2765=9), N2765-28,AND(N2765&lt;= 11, S2765=10), N2765+2,AND(N2765&lt;= 21, S2765=10), N2765-11)</f>
        <v>7</v>
      </c>
    </row>
    <row r="2766" spans="1:22" x14ac:dyDescent="0.35">
      <c r="A2766" s="4">
        <v>45570</v>
      </c>
      <c r="B2766" s="5">
        <v>0.99642361111111111</v>
      </c>
      <c r="C2766">
        <v>66.900000000000006</v>
      </c>
      <c r="D2766">
        <v>66.900000000000006</v>
      </c>
      <c r="E2766">
        <v>66.8</v>
      </c>
      <c r="F2766">
        <v>66.400000000000006</v>
      </c>
      <c r="G2766">
        <v>0</v>
      </c>
      <c r="H2766">
        <v>0</v>
      </c>
      <c r="I2766">
        <v>0</v>
      </c>
      <c r="J2766">
        <v>0</v>
      </c>
      <c r="K2766">
        <v>63.2</v>
      </c>
      <c r="L2766">
        <v>63.5</v>
      </c>
      <c r="M2766">
        <v>66.760000000000005</v>
      </c>
      <c r="N2766">
        <v>5</v>
      </c>
      <c r="O2766">
        <v>4</v>
      </c>
      <c r="P2766">
        <f>MOD(DAY(datos_siembra[[#This Row],[Date]]),7)</f>
        <v>5</v>
      </c>
      <c r="Q2766" t="str">
        <f>CHOOSE(WEEKDAY(datos_siembra[[#This Row],[Date]],2),"L","M","X","J","V","S","D")</f>
        <v>S</v>
      </c>
      <c r="R2766">
        <f>WEEKNUM(datos_siembra[[#This Row],[Date]],2)-WEEKNUM(DATE(YEAR(datos_siembra[[#This Row],[Date]]),MONTH(datos_siembra[[#This Row],[Date]]),1))+1</f>
        <v>1</v>
      </c>
      <c r="S2766">
        <f>MONTH(datos_siembra[[#This Row],[Date]])</f>
        <v>10</v>
      </c>
      <c r="T2766" t="str" cm="1">
        <f t="array" ref="T2766">_xlfn.IFS(AND(N2766&lt;= 22, S2766=9), "SOWING",AND(N2766&lt;= 28, S2766=9), "COVERAGE",AND(N2766&lt;= 30, S2766=9), "FLUSH",AND(N2766&lt;= 11, S2766=10), "FLUSH",AND(N2766&lt;= 21, S2766=10), "PRODUCTION")</f>
        <v>FLUSH</v>
      </c>
      <c r="U2766">
        <f>HOUR(datos_siembra[[#This Row],[Hour]])</f>
        <v>23</v>
      </c>
      <c r="V2766" cm="1">
        <f t="array" ref="V2766">_xlfn.IFS(AND(N2766&lt;= 22, S2766=9), N2766-7,AND(N2766&lt;= 28, S2766=9), N2766-25,AND(N2766&lt;= 30, S2766=9), N2766-28,AND(N2766&lt;= 11, S2766=10), N2766+2,AND(N2766&lt;= 21, S2766=10), N2766-11)</f>
        <v>7</v>
      </c>
    </row>
    <row r="2767" spans="1:22" x14ac:dyDescent="0.35">
      <c r="A2767" s="4">
        <v>45571</v>
      </c>
      <c r="B2767" s="5">
        <v>3.3680555555555556E-3</v>
      </c>
      <c r="C2767">
        <v>66.900000000000006</v>
      </c>
      <c r="D2767">
        <v>66.900000000000006</v>
      </c>
      <c r="E2767">
        <v>66.8</v>
      </c>
      <c r="F2767">
        <v>66.400000000000006</v>
      </c>
      <c r="G2767">
        <v>0</v>
      </c>
      <c r="H2767">
        <v>0</v>
      </c>
      <c r="I2767">
        <v>0</v>
      </c>
      <c r="J2767">
        <v>0</v>
      </c>
      <c r="K2767">
        <v>63.2</v>
      </c>
      <c r="L2767">
        <v>63.4</v>
      </c>
      <c r="M2767">
        <v>66.709999999999994</v>
      </c>
      <c r="N2767">
        <v>6</v>
      </c>
      <c r="O2767">
        <v>5</v>
      </c>
      <c r="P2767">
        <f>MOD(DAY(datos_siembra[[#This Row],[Date]]),7)</f>
        <v>6</v>
      </c>
      <c r="Q2767" t="str">
        <f>CHOOSE(WEEKDAY(datos_siembra[[#This Row],[Date]],2),"L","M","X","J","V","S","D")</f>
        <v>D</v>
      </c>
      <c r="R2767">
        <f>WEEKNUM(datos_siembra[[#This Row],[Date]],2)-WEEKNUM(DATE(YEAR(datos_siembra[[#This Row],[Date]]),MONTH(datos_siembra[[#This Row],[Date]]),1))+1</f>
        <v>1</v>
      </c>
      <c r="S2767">
        <f>MONTH(datos_siembra[[#This Row],[Date]])</f>
        <v>10</v>
      </c>
      <c r="T2767" t="str" cm="1">
        <f t="array" ref="T2767">_xlfn.IFS(AND(N2767&lt;= 22, S2767=9), "SOWING",AND(N2767&lt;= 28, S2767=9), "COVERAGE",AND(N2767&lt;= 30, S2767=9), "FLUSH",AND(N2767&lt;= 11, S2767=10), "FLUSH",AND(N2767&lt;= 21, S2767=10), "PRODUCTION")</f>
        <v>FLUSH</v>
      </c>
      <c r="U2767">
        <f>HOUR(datos_siembra[[#This Row],[Hour]])</f>
        <v>0</v>
      </c>
      <c r="V2767" cm="1">
        <f t="array" ref="V2767">_xlfn.IFS(AND(N2767&lt;= 22, S2767=9), N2767-7,AND(N2767&lt;= 28, S2767=9), N2767-25,AND(N2767&lt;= 30, S2767=9), N2767-28,AND(N2767&lt;= 11, S2767=10), N2767+2,AND(N2767&lt;= 21, S2767=10), N2767-11)</f>
        <v>8</v>
      </c>
    </row>
    <row r="2768" spans="1:22" x14ac:dyDescent="0.35">
      <c r="A2768" s="4">
        <v>45571</v>
      </c>
      <c r="B2768" s="5">
        <v>1.03125E-2</v>
      </c>
      <c r="C2768">
        <v>67</v>
      </c>
      <c r="D2768">
        <v>66.900000000000006</v>
      </c>
      <c r="E2768">
        <v>66.900000000000006</v>
      </c>
      <c r="F2768">
        <v>66.400000000000006</v>
      </c>
      <c r="G2768">
        <v>0</v>
      </c>
      <c r="H2768">
        <v>0</v>
      </c>
      <c r="I2768">
        <v>0</v>
      </c>
      <c r="J2768">
        <v>0</v>
      </c>
      <c r="K2768">
        <v>63.2</v>
      </c>
      <c r="L2768">
        <v>63.4</v>
      </c>
      <c r="M2768">
        <v>66.73</v>
      </c>
      <c r="N2768">
        <v>6</v>
      </c>
      <c r="O2768">
        <v>5</v>
      </c>
      <c r="P2768">
        <f>MOD(DAY(datos_siembra[[#This Row],[Date]]),7)</f>
        <v>6</v>
      </c>
      <c r="Q2768" t="str">
        <f>CHOOSE(WEEKDAY(datos_siembra[[#This Row],[Date]],2),"L","M","X","J","V","S","D")</f>
        <v>D</v>
      </c>
      <c r="R2768">
        <f>WEEKNUM(datos_siembra[[#This Row],[Date]],2)-WEEKNUM(DATE(YEAR(datos_siembra[[#This Row],[Date]]),MONTH(datos_siembra[[#This Row],[Date]]),1))+1</f>
        <v>1</v>
      </c>
      <c r="S2768">
        <f>MONTH(datos_siembra[[#This Row],[Date]])</f>
        <v>10</v>
      </c>
      <c r="T2768" t="str" cm="1">
        <f t="array" ref="T2768">_xlfn.IFS(AND(N2768&lt;= 22, S2768=9), "SOWING",AND(N2768&lt;= 28, S2768=9), "COVERAGE",AND(N2768&lt;= 30, S2768=9), "FLUSH",AND(N2768&lt;= 11, S2768=10), "FLUSH",AND(N2768&lt;= 21, S2768=10), "PRODUCTION")</f>
        <v>FLUSH</v>
      </c>
      <c r="U2768">
        <f>HOUR(datos_siembra[[#This Row],[Hour]])</f>
        <v>0</v>
      </c>
      <c r="V2768" cm="1">
        <f t="array" ref="V2768">_xlfn.IFS(AND(N2768&lt;= 22, S2768=9), N2768-7,AND(N2768&lt;= 28, S2768=9), N2768-25,AND(N2768&lt;= 30, S2768=9), N2768-28,AND(N2768&lt;= 11, S2768=10), N2768+2,AND(N2768&lt;= 21, S2768=10), N2768-11)</f>
        <v>8</v>
      </c>
    </row>
    <row r="2769" spans="1:22" x14ac:dyDescent="0.35">
      <c r="A2769" s="4">
        <v>45571</v>
      </c>
      <c r="B2769" s="5">
        <v>1.7256944444444443E-2</v>
      </c>
      <c r="C2769">
        <v>66.900000000000006</v>
      </c>
      <c r="D2769">
        <v>67</v>
      </c>
      <c r="E2769">
        <v>66.599999999999994</v>
      </c>
      <c r="F2769">
        <v>66.400000000000006</v>
      </c>
      <c r="G2769">
        <v>0</v>
      </c>
      <c r="H2769">
        <v>0</v>
      </c>
      <c r="I2769">
        <v>0</v>
      </c>
      <c r="J2769">
        <v>0</v>
      </c>
      <c r="K2769">
        <v>63</v>
      </c>
      <c r="L2769">
        <v>63.3</v>
      </c>
      <c r="M2769">
        <v>66.73</v>
      </c>
      <c r="N2769">
        <v>6</v>
      </c>
      <c r="O2769">
        <v>5</v>
      </c>
      <c r="P2769">
        <f>MOD(DAY(datos_siembra[[#This Row],[Date]]),7)</f>
        <v>6</v>
      </c>
      <c r="Q2769" t="str">
        <f>CHOOSE(WEEKDAY(datos_siembra[[#This Row],[Date]],2),"L","M","X","J","V","S","D")</f>
        <v>D</v>
      </c>
      <c r="R2769">
        <f>WEEKNUM(datos_siembra[[#This Row],[Date]],2)-WEEKNUM(DATE(YEAR(datos_siembra[[#This Row],[Date]]),MONTH(datos_siembra[[#This Row],[Date]]),1))+1</f>
        <v>1</v>
      </c>
      <c r="S2769">
        <f>MONTH(datos_siembra[[#This Row],[Date]])</f>
        <v>10</v>
      </c>
      <c r="T2769" t="str" cm="1">
        <f t="array" ref="T2769">_xlfn.IFS(AND(N2769&lt;= 22, S2769=9), "SOWING",AND(N2769&lt;= 28, S2769=9), "COVERAGE",AND(N2769&lt;= 30, S2769=9), "FLUSH",AND(N2769&lt;= 11, S2769=10), "FLUSH",AND(N2769&lt;= 21, S2769=10), "PRODUCTION")</f>
        <v>FLUSH</v>
      </c>
      <c r="U2769">
        <f>HOUR(datos_siembra[[#This Row],[Hour]])</f>
        <v>0</v>
      </c>
      <c r="V2769" cm="1">
        <f t="array" ref="V2769">_xlfn.IFS(AND(N2769&lt;= 22, S2769=9), N2769-7,AND(N2769&lt;= 28, S2769=9), N2769-25,AND(N2769&lt;= 30, S2769=9), N2769-28,AND(N2769&lt;= 11, S2769=10), N2769+2,AND(N2769&lt;= 21, S2769=10), N2769-11)</f>
        <v>8</v>
      </c>
    </row>
    <row r="2770" spans="1:22" x14ac:dyDescent="0.35">
      <c r="A2770" s="4">
        <v>45571</v>
      </c>
      <c r="B2770" s="5">
        <v>2.4212962962962964E-2</v>
      </c>
      <c r="C2770">
        <v>67</v>
      </c>
      <c r="D2770">
        <v>67.099999999999994</v>
      </c>
      <c r="E2770">
        <v>66.900000000000006</v>
      </c>
      <c r="F2770">
        <v>66.599999999999994</v>
      </c>
      <c r="G2770">
        <v>0</v>
      </c>
      <c r="H2770">
        <v>0</v>
      </c>
      <c r="I2770">
        <v>0</v>
      </c>
      <c r="J2770">
        <v>0</v>
      </c>
      <c r="K2770">
        <v>62.9</v>
      </c>
      <c r="L2770">
        <v>63.2</v>
      </c>
      <c r="M2770">
        <v>66.790000000000006</v>
      </c>
      <c r="N2770">
        <v>6</v>
      </c>
      <c r="O2770">
        <v>5</v>
      </c>
      <c r="P2770">
        <f>MOD(DAY(datos_siembra[[#This Row],[Date]]),7)</f>
        <v>6</v>
      </c>
      <c r="Q2770" t="str">
        <f>CHOOSE(WEEKDAY(datos_siembra[[#This Row],[Date]],2),"L","M","X","J","V","S","D")</f>
        <v>D</v>
      </c>
      <c r="R2770">
        <f>WEEKNUM(datos_siembra[[#This Row],[Date]],2)-WEEKNUM(DATE(YEAR(datos_siembra[[#This Row],[Date]]),MONTH(datos_siembra[[#This Row],[Date]]),1))+1</f>
        <v>1</v>
      </c>
      <c r="S2770">
        <f>MONTH(datos_siembra[[#This Row],[Date]])</f>
        <v>10</v>
      </c>
      <c r="T2770" t="str" cm="1">
        <f t="array" ref="T2770">_xlfn.IFS(AND(N2770&lt;= 22, S2770=9), "SOWING",AND(N2770&lt;= 28, S2770=9), "COVERAGE",AND(N2770&lt;= 30, S2770=9), "FLUSH",AND(N2770&lt;= 11, S2770=10), "FLUSH",AND(N2770&lt;= 21, S2770=10), "PRODUCTION")</f>
        <v>FLUSH</v>
      </c>
      <c r="U2770">
        <f>HOUR(datos_siembra[[#This Row],[Hour]])</f>
        <v>0</v>
      </c>
      <c r="V2770" cm="1">
        <f t="array" ref="V2770">_xlfn.IFS(AND(N2770&lt;= 22, S2770=9), N2770-7,AND(N2770&lt;= 28, S2770=9), N2770-25,AND(N2770&lt;= 30, S2770=9), N2770-28,AND(N2770&lt;= 11, S2770=10), N2770+2,AND(N2770&lt;= 21, S2770=10), N2770-11)</f>
        <v>8</v>
      </c>
    </row>
    <row r="2771" spans="1:22" x14ac:dyDescent="0.35">
      <c r="A2771" s="4">
        <v>45571</v>
      </c>
      <c r="B2771" s="5">
        <v>3.1157407407407408E-2</v>
      </c>
      <c r="C2771">
        <v>66.900000000000006</v>
      </c>
      <c r="D2771">
        <v>66.900000000000006</v>
      </c>
      <c r="E2771">
        <v>66.900000000000006</v>
      </c>
      <c r="F2771">
        <v>66.5</v>
      </c>
      <c r="G2771">
        <v>0</v>
      </c>
      <c r="H2771">
        <v>0</v>
      </c>
      <c r="I2771">
        <v>0</v>
      </c>
      <c r="J2771">
        <v>0</v>
      </c>
      <c r="K2771">
        <v>62.9</v>
      </c>
      <c r="L2771">
        <v>63</v>
      </c>
      <c r="M2771">
        <v>66.790000000000006</v>
      </c>
      <c r="N2771">
        <v>6</v>
      </c>
      <c r="O2771">
        <v>5</v>
      </c>
      <c r="P2771">
        <f>MOD(DAY(datos_siembra[[#This Row],[Date]]),7)</f>
        <v>6</v>
      </c>
      <c r="Q2771" t="str">
        <f>CHOOSE(WEEKDAY(datos_siembra[[#This Row],[Date]],2),"L","M","X","J","V","S","D")</f>
        <v>D</v>
      </c>
      <c r="R2771">
        <f>WEEKNUM(datos_siembra[[#This Row],[Date]],2)-WEEKNUM(DATE(YEAR(datos_siembra[[#This Row],[Date]]),MONTH(datos_siembra[[#This Row],[Date]]),1))+1</f>
        <v>1</v>
      </c>
      <c r="S2771">
        <f>MONTH(datos_siembra[[#This Row],[Date]])</f>
        <v>10</v>
      </c>
      <c r="T2771" t="str" cm="1">
        <f t="array" ref="T2771">_xlfn.IFS(AND(N2771&lt;= 22, S2771=9), "SOWING",AND(N2771&lt;= 28, S2771=9), "COVERAGE",AND(N2771&lt;= 30, S2771=9), "FLUSH",AND(N2771&lt;= 11, S2771=10), "FLUSH",AND(N2771&lt;= 21, S2771=10), "PRODUCTION")</f>
        <v>FLUSH</v>
      </c>
      <c r="U2771">
        <f>HOUR(datos_siembra[[#This Row],[Hour]])</f>
        <v>0</v>
      </c>
      <c r="V2771" cm="1">
        <f t="array" ref="V2771">_xlfn.IFS(AND(N2771&lt;= 22, S2771=9), N2771-7,AND(N2771&lt;= 28, S2771=9), N2771-25,AND(N2771&lt;= 30, S2771=9), N2771-28,AND(N2771&lt;= 11, S2771=10), N2771+2,AND(N2771&lt;= 21, S2771=10), N2771-11)</f>
        <v>8</v>
      </c>
    </row>
    <row r="2772" spans="1:22" x14ac:dyDescent="0.35">
      <c r="A2772" s="4">
        <v>45571</v>
      </c>
      <c r="B2772" s="5">
        <v>3.8101851851851852E-2</v>
      </c>
      <c r="C2772">
        <v>66.900000000000006</v>
      </c>
      <c r="D2772">
        <v>66.900000000000006</v>
      </c>
      <c r="E2772">
        <v>66.8</v>
      </c>
      <c r="F2772">
        <v>66.5</v>
      </c>
      <c r="G2772">
        <v>0</v>
      </c>
      <c r="H2772">
        <v>0</v>
      </c>
      <c r="I2772">
        <v>0</v>
      </c>
      <c r="J2772">
        <v>0</v>
      </c>
      <c r="K2772">
        <v>62.8</v>
      </c>
      <c r="L2772">
        <v>63</v>
      </c>
      <c r="M2772">
        <v>66.87</v>
      </c>
      <c r="N2772">
        <v>6</v>
      </c>
      <c r="O2772">
        <v>5</v>
      </c>
      <c r="P2772">
        <f>MOD(DAY(datos_siembra[[#This Row],[Date]]),7)</f>
        <v>6</v>
      </c>
      <c r="Q2772" t="str">
        <f>CHOOSE(WEEKDAY(datos_siembra[[#This Row],[Date]],2),"L","M","X","J","V","S","D")</f>
        <v>D</v>
      </c>
      <c r="R2772">
        <f>WEEKNUM(datos_siembra[[#This Row],[Date]],2)-WEEKNUM(DATE(YEAR(datos_siembra[[#This Row],[Date]]),MONTH(datos_siembra[[#This Row],[Date]]),1))+1</f>
        <v>1</v>
      </c>
      <c r="S2772">
        <f>MONTH(datos_siembra[[#This Row],[Date]])</f>
        <v>10</v>
      </c>
      <c r="T2772" t="str" cm="1">
        <f t="array" ref="T2772">_xlfn.IFS(AND(N2772&lt;= 22, S2772=9), "SOWING",AND(N2772&lt;= 28, S2772=9), "COVERAGE",AND(N2772&lt;= 30, S2772=9), "FLUSH",AND(N2772&lt;= 11, S2772=10), "FLUSH",AND(N2772&lt;= 21, S2772=10), "PRODUCTION")</f>
        <v>FLUSH</v>
      </c>
      <c r="U2772">
        <f>HOUR(datos_siembra[[#This Row],[Hour]])</f>
        <v>0</v>
      </c>
      <c r="V2772" cm="1">
        <f t="array" ref="V2772">_xlfn.IFS(AND(N2772&lt;= 22, S2772=9), N2772-7,AND(N2772&lt;= 28, S2772=9), N2772-25,AND(N2772&lt;= 30, S2772=9), N2772-28,AND(N2772&lt;= 11, S2772=10), N2772+2,AND(N2772&lt;= 21, S2772=10), N2772-11)</f>
        <v>8</v>
      </c>
    </row>
    <row r="2773" spans="1:22" x14ac:dyDescent="0.35">
      <c r="A2773" s="4">
        <v>45571</v>
      </c>
      <c r="B2773" s="5">
        <v>4.5057870370370373E-2</v>
      </c>
      <c r="C2773">
        <v>67</v>
      </c>
      <c r="D2773">
        <v>67</v>
      </c>
      <c r="E2773">
        <v>66.900000000000006</v>
      </c>
      <c r="F2773">
        <v>66.5</v>
      </c>
      <c r="G2773">
        <v>0</v>
      </c>
      <c r="H2773">
        <v>0</v>
      </c>
      <c r="I2773">
        <v>0</v>
      </c>
      <c r="J2773">
        <v>0</v>
      </c>
      <c r="K2773">
        <v>62.8</v>
      </c>
      <c r="L2773">
        <v>62.9</v>
      </c>
      <c r="M2773">
        <v>66.849999999999994</v>
      </c>
      <c r="N2773">
        <v>6</v>
      </c>
      <c r="O2773">
        <v>5</v>
      </c>
      <c r="P2773">
        <f>MOD(DAY(datos_siembra[[#This Row],[Date]]),7)</f>
        <v>6</v>
      </c>
      <c r="Q2773" t="str">
        <f>CHOOSE(WEEKDAY(datos_siembra[[#This Row],[Date]],2),"L","M","X","J","V","S","D")</f>
        <v>D</v>
      </c>
      <c r="R2773">
        <f>WEEKNUM(datos_siembra[[#This Row],[Date]],2)-WEEKNUM(DATE(YEAR(datos_siembra[[#This Row],[Date]]),MONTH(datos_siembra[[#This Row],[Date]]),1))+1</f>
        <v>1</v>
      </c>
      <c r="S2773">
        <f>MONTH(datos_siembra[[#This Row],[Date]])</f>
        <v>10</v>
      </c>
      <c r="T2773" t="str" cm="1">
        <f t="array" ref="T2773">_xlfn.IFS(AND(N2773&lt;= 22, S2773=9), "SOWING",AND(N2773&lt;= 28, S2773=9), "COVERAGE",AND(N2773&lt;= 30, S2773=9), "FLUSH",AND(N2773&lt;= 11, S2773=10), "FLUSH",AND(N2773&lt;= 21, S2773=10), "PRODUCTION")</f>
        <v>FLUSH</v>
      </c>
      <c r="U2773">
        <f>HOUR(datos_siembra[[#This Row],[Hour]])</f>
        <v>1</v>
      </c>
      <c r="V2773" cm="1">
        <f t="array" ref="V2773">_xlfn.IFS(AND(N2773&lt;= 22, S2773=9), N2773-7,AND(N2773&lt;= 28, S2773=9), N2773-25,AND(N2773&lt;= 30, S2773=9), N2773-28,AND(N2773&lt;= 11, S2773=10), N2773+2,AND(N2773&lt;= 21, S2773=10), N2773-11)</f>
        <v>8</v>
      </c>
    </row>
    <row r="2774" spans="1:22" x14ac:dyDescent="0.35">
      <c r="A2774" s="4">
        <v>45571</v>
      </c>
      <c r="B2774" s="5">
        <v>5.2002314814814814E-2</v>
      </c>
      <c r="C2774">
        <v>66.900000000000006</v>
      </c>
      <c r="D2774">
        <v>67</v>
      </c>
      <c r="E2774">
        <v>66.8</v>
      </c>
      <c r="F2774">
        <v>66.5</v>
      </c>
      <c r="G2774">
        <v>0</v>
      </c>
      <c r="H2774">
        <v>0</v>
      </c>
      <c r="I2774">
        <v>0</v>
      </c>
      <c r="J2774">
        <v>0</v>
      </c>
      <c r="K2774">
        <v>62.7</v>
      </c>
      <c r="L2774">
        <v>62.8</v>
      </c>
      <c r="M2774">
        <v>66.87</v>
      </c>
      <c r="N2774">
        <v>6</v>
      </c>
      <c r="O2774">
        <v>5</v>
      </c>
      <c r="P2774">
        <f>MOD(DAY(datos_siembra[[#This Row],[Date]]),7)</f>
        <v>6</v>
      </c>
      <c r="Q2774" t="str">
        <f>CHOOSE(WEEKDAY(datos_siembra[[#This Row],[Date]],2),"L","M","X","J","V","S","D")</f>
        <v>D</v>
      </c>
      <c r="R2774">
        <f>WEEKNUM(datos_siembra[[#This Row],[Date]],2)-WEEKNUM(DATE(YEAR(datos_siembra[[#This Row],[Date]]),MONTH(datos_siembra[[#This Row],[Date]]),1))+1</f>
        <v>1</v>
      </c>
      <c r="S2774">
        <f>MONTH(datos_siembra[[#This Row],[Date]])</f>
        <v>10</v>
      </c>
      <c r="T2774" t="str" cm="1">
        <f t="array" ref="T2774">_xlfn.IFS(AND(N2774&lt;= 22, S2774=9), "SOWING",AND(N2774&lt;= 28, S2774=9), "COVERAGE",AND(N2774&lt;= 30, S2774=9), "FLUSH",AND(N2774&lt;= 11, S2774=10), "FLUSH",AND(N2774&lt;= 21, S2774=10), "PRODUCTION")</f>
        <v>FLUSH</v>
      </c>
      <c r="U2774">
        <f>HOUR(datos_siembra[[#This Row],[Hour]])</f>
        <v>1</v>
      </c>
      <c r="V2774" cm="1">
        <f t="array" ref="V2774">_xlfn.IFS(AND(N2774&lt;= 22, S2774=9), N2774-7,AND(N2774&lt;= 28, S2774=9), N2774-25,AND(N2774&lt;= 30, S2774=9), N2774-28,AND(N2774&lt;= 11, S2774=10), N2774+2,AND(N2774&lt;= 21, S2774=10), N2774-11)</f>
        <v>8</v>
      </c>
    </row>
    <row r="2775" spans="1:22" x14ac:dyDescent="0.35">
      <c r="A2775" s="4">
        <v>45571</v>
      </c>
      <c r="B2775" s="5">
        <v>5.8946759259259261E-2</v>
      </c>
      <c r="C2775">
        <v>67.099999999999994</v>
      </c>
      <c r="D2775">
        <v>67</v>
      </c>
      <c r="E2775">
        <v>66.900000000000006</v>
      </c>
      <c r="F2775">
        <v>66.5</v>
      </c>
      <c r="G2775">
        <v>0</v>
      </c>
      <c r="H2775">
        <v>0</v>
      </c>
      <c r="I2775">
        <v>0</v>
      </c>
      <c r="J2775">
        <v>0</v>
      </c>
      <c r="K2775">
        <v>62.6</v>
      </c>
      <c r="L2775">
        <v>62.8</v>
      </c>
      <c r="M2775">
        <v>66.849999999999994</v>
      </c>
      <c r="N2775">
        <v>6</v>
      </c>
      <c r="O2775">
        <v>5</v>
      </c>
      <c r="P2775">
        <f>MOD(DAY(datos_siembra[[#This Row],[Date]]),7)</f>
        <v>6</v>
      </c>
      <c r="Q2775" t="str">
        <f>CHOOSE(WEEKDAY(datos_siembra[[#This Row],[Date]],2),"L","M","X","J","V","S","D")</f>
        <v>D</v>
      </c>
      <c r="R2775">
        <f>WEEKNUM(datos_siembra[[#This Row],[Date]],2)-WEEKNUM(DATE(YEAR(datos_siembra[[#This Row],[Date]]),MONTH(datos_siembra[[#This Row],[Date]]),1))+1</f>
        <v>1</v>
      </c>
      <c r="S2775">
        <f>MONTH(datos_siembra[[#This Row],[Date]])</f>
        <v>10</v>
      </c>
      <c r="T2775" t="str" cm="1">
        <f t="array" ref="T2775">_xlfn.IFS(AND(N2775&lt;= 22, S2775=9), "SOWING",AND(N2775&lt;= 28, S2775=9), "COVERAGE",AND(N2775&lt;= 30, S2775=9), "FLUSH",AND(N2775&lt;= 11, S2775=10), "FLUSH",AND(N2775&lt;= 21, S2775=10), "PRODUCTION")</f>
        <v>FLUSH</v>
      </c>
      <c r="U2775">
        <f>HOUR(datos_siembra[[#This Row],[Hour]])</f>
        <v>1</v>
      </c>
      <c r="V2775" cm="1">
        <f t="array" ref="V2775">_xlfn.IFS(AND(N2775&lt;= 22, S2775=9), N2775-7,AND(N2775&lt;= 28, S2775=9), N2775-25,AND(N2775&lt;= 30, S2775=9), N2775-28,AND(N2775&lt;= 11, S2775=10), N2775+2,AND(N2775&lt;= 21, S2775=10), N2775-11)</f>
        <v>8</v>
      </c>
    </row>
    <row r="2776" spans="1:22" x14ac:dyDescent="0.35">
      <c r="A2776" s="4">
        <v>45571</v>
      </c>
      <c r="B2776" s="5">
        <v>6.5891203703703702E-2</v>
      </c>
      <c r="C2776">
        <v>66.900000000000006</v>
      </c>
      <c r="D2776">
        <v>67</v>
      </c>
      <c r="E2776">
        <v>66.900000000000006</v>
      </c>
      <c r="F2776">
        <v>66.5</v>
      </c>
      <c r="G2776">
        <v>0</v>
      </c>
      <c r="H2776">
        <v>0</v>
      </c>
      <c r="I2776">
        <v>0</v>
      </c>
      <c r="J2776">
        <v>0</v>
      </c>
      <c r="K2776">
        <v>62.6</v>
      </c>
      <c r="L2776">
        <v>62.8</v>
      </c>
      <c r="M2776">
        <v>66.849999999999994</v>
      </c>
      <c r="N2776">
        <v>6</v>
      </c>
      <c r="O2776">
        <v>5</v>
      </c>
      <c r="P2776">
        <f>MOD(DAY(datos_siembra[[#This Row],[Date]]),7)</f>
        <v>6</v>
      </c>
      <c r="Q2776" t="str">
        <f>CHOOSE(WEEKDAY(datos_siembra[[#This Row],[Date]],2),"L","M","X","J","V","S","D")</f>
        <v>D</v>
      </c>
      <c r="R2776">
        <f>WEEKNUM(datos_siembra[[#This Row],[Date]],2)-WEEKNUM(DATE(YEAR(datos_siembra[[#This Row],[Date]]),MONTH(datos_siembra[[#This Row],[Date]]),1))+1</f>
        <v>1</v>
      </c>
      <c r="S2776">
        <f>MONTH(datos_siembra[[#This Row],[Date]])</f>
        <v>10</v>
      </c>
      <c r="T2776" t="str" cm="1">
        <f t="array" ref="T2776">_xlfn.IFS(AND(N2776&lt;= 22, S2776=9), "SOWING",AND(N2776&lt;= 28, S2776=9), "COVERAGE",AND(N2776&lt;= 30, S2776=9), "FLUSH",AND(N2776&lt;= 11, S2776=10), "FLUSH",AND(N2776&lt;= 21, S2776=10), "PRODUCTION")</f>
        <v>FLUSH</v>
      </c>
      <c r="U2776">
        <f>HOUR(datos_siembra[[#This Row],[Hour]])</f>
        <v>1</v>
      </c>
      <c r="V2776" cm="1">
        <f t="array" ref="V2776">_xlfn.IFS(AND(N2776&lt;= 22, S2776=9), N2776-7,AND(N2776&lt;= 28, S2776=9), N2776-25,AND(N2776&lt;= 30, S2776=9), N2776-28,AND(N2776&lt;= 11, S2776=10), N2776+2,AND(N2776&lt;= 21, S2776=10), N2776-11)</f>
        <v>8</v>
      </c>
    </row>
    <row r="2777" spans="1:22" x14ac:dyDescent="0.35">
      <c r="A2777" s="4">
        <v>45571</v>
      </c>
      <c r="B2777" s="5">
        <v>7.2847222222222216E-2</v>
      </c>
      <c r="C2777">
        <v>67</v>
      </c>
      <c r="D2777">
        <v>67.099999999999994</v>
      </c>
      <c r="E2777">
        <v>66.8</v>
      </c>
      <c r="F2777">
        <v>66.5</v>
      </c>
      <c r="G2777">
        <v>0</v>
      </c>
      <c r="H2777">
        <v>0</v>
      </c>
      <c r="I2777">
        <v>0</v>
      </c>
      <c r="J2777">
        <v>0</v>
      </c>
      <c r="K2777">
        <v>62.6</v>
      </c>
      <c r="L2777">
        <v>62.8</v>
      </c>
      <c r="M2777">
        <v>66.819999999999993</v>
      </c>
      <c r="N2777">
        <v>6</v>
      </c>
      <c r="O2777">
        <v>5</v>
      </c>
      <c r="P2777">
        <f>MOD(DAY(datos_siembra[[#This Row],[Date]]),7)</f>
        <v>6</v>
      </c>
      <c r="Q2777" t="str">
        <f>CHOOSE(WEEKDAY(datos_siembra[[#This Row],[Date]],2),"L","M","X","J","V","S","D")</f>
        <v>D</v>
      </c>
      <c r="R2777">
        <f>WEEKNUM(datos_siembra[[#This Row],[Date]],2)-WEEKNUM(DATE(YEAR(datos_siembra[[#This Row],[Date]]),MONTH(datos_siembra[[#This Row],[Date]]),1))+1</f>
        <v>1</v>
      </c>
      <c r="S2777">
        <f>MONTH(datos_siembra[[#This Row],[Date]])</f>
        <v>10</v>
      </c>
      <c r="T2777" t="str" cm="1">
        <f t="array" ref="T2777">_xlfn.IFS(AND(N2777&lt;= 22, S2777=9), "SOWING",AND(N2777&lt;= 28, S2777=9), "COVERAGE",AND(N2777&lt;= 30, S2777=9), "FLUSH",AND(N2777&lt;= 11, S2777=10), "FLUSH",AND(N2777&lt;= 21, S2777=10), "PRODUCTION")</f>
        <v>FLUSH</v>
      </c>
      <c r="U2777">
        <f>HOUR(datos_siembra[[#This Row],[Hour]])</f>
        <v>1</v>
      </c>
      <c r="V2777" cm="1">
        <f t="array" ref="V2777">_xlfn.IFS(AND(N2777&lt;= 22, S2777=9), N2777-7,AND(N2777&lt;= 28, S2777=9), N2777-25,AND(N2777&lt;= 30, S2777=9), N2777-28,AND(N2777&lt;= 11, S2777=10), N2777+2,AND(N2777&lt;= 21, S2777=10), N2777-11)</f>
        <v>8</v>
      </c>
    </row>
    <row r="2778" spans="1:22" x14ac:dyDescent="0.35">
      <c r="A2778" s="4">
        <v>45571</v>
      </c>
      <c r="B2778" s="5">
        <v>7.9791666666666664E-2</v>
      </c>
      <c r="C2778">
        <v>67</v>
      </c>
      <c r="D2778">
        <v>67.099999999999994</v>
      </c>
      <c r="E2778">
        <v>67</v>
      </c>
      <c r="F2778">
        <v>66.5</v>
      </c>
      <c r="G2778">
        <v>0</v>
      </c>
      <c r="H2778">
        <v>0</v>
      </c>
      <c r="I2778">
        <v>0</v>
      </c>
      <c r="J2778">
        <v>0</v>
      </c>
      <c r="K2778">
        <v>62.5</v>
      </c>
      <c r="L2778">
        <v>62.7</v>
      </c>
      <c r="M2778">
        <v>66.790000000000006</v>
      </c>
      <c r="N2778">
        <v>6</v>
      </c>
      <c r="O2778">
        <v>5</v>
      </c>
      <c r="P2778">
        <f>MOD(DAY(datos_siembra[[#This Row],[Date]]),7)</f>
        <v>6</v>
      </c>
      <c r="Q2778" t="str">
        <f>CHOOSE(WEEKDAY(datos_siembra[[#This Row],[Date]],2),"L","M","X","J","V","S","D")</f>
        <v>D</v>
      </c>
      <c r="R2778">
        <f>WEEKNUM(datos_siembra[[#This Row],[Date]],2)-WEEKNUM(DATE(YEAR(datos_siembra[[#This Row],[Date]]),MONTH(datos_siembra[[#This Row],[Date]]),1))+1</f>
        <v>1</v>
      </c>
      <c r="S2778">
        <f>MONTH(datos_siembra[[#This Row],[Date]])</f>
        <v>10</v>
      </c>
      <c r="T2778" t="str" cm="1">
        <f t="array" ref="T2778">_xlfn.IFS(AND(N2778&lt;= 22, S2778=9), "SOWING",AND(N2778&lt;= 28, S2778=9), "COVERAGE",AND(N2778&lt;= 30, S2778=9), "FLUSH",AND(N2778&lt;= 11, S2778=10), "FLUSH",AND(N2778&lt;= 21, S2778=10), "PRODUCTION")</f>
        <v>FLUSH</v>
      </c>
      <c r="U2778">
        <f>HOUR(datos_siembra[[#This Row],[Hour]])</f>
        <v>1</v>
      </c>
      <c r="V2778" cm="1">
        <f t="array" ref="V2778">_xlfn.IFS(AND(N2778&lt;= 22, S2778=9), N2778-7,AND(N2778&lt;= 28, S2778=9), N2778-25,AND(N2778&lt;= 30, S2778=9), N2778-28,AND(N2778&lt;= 11, S2778=10), N2778+2,AND(N2778&lt;= 21, S2778=10), N2778-11)</f>
        <v>8</v>
      </c>
    </row>
    <row r="2779" spans="1:22" x14ac:dyDescent="0.35">
      <c r="A2779" s="4">
        <v>45571</v>
      </c>
      <c r="B2779" s="5">
        <v>8.6736111111111111E-2</v>
      </c>
      <c r="C2779">
        <v>66.900000000000006</v>
      </c>
      <c r="D2779">
        <v>66.900000000000006</v>
      </c>
      <c r="E2779">
        <v>66.900000000000006</v>
      </c>
      <c r="F2779">
        <v>66.5</v>
      </c>
      <c r="G2779">
        <v>0</v>
      </c>
      <c r="H2779">
        <v>0</v>
      </c>
      <c r="I2779">
        <v>0</v>
      </c>
      <c r="J2779">
        <v>0</v>
      </c>
      <c r="K2779">
        <v>62.5</v>
      </c>
      <c r="L2779">
        <v>62.6</v>
      </c>
      <c r="M2779">
        <v>66.849999999999994</v>
      </c>
      <c r="N2779">
        <v>6</v>
      </c>
      <c r="O2779">
        <v>5</v>
      </c>
      <c r="P2779">
        <f>MOD(DAY(datos_siembra[[#This Row],[Date]]),7)</f>
        <v>6</v>
      </c>
      <c r="Q2779" t="str">
        <f>CHOOSE(WEEKDAY(datos_siembra[[#This Row],[Date]],2),"L","M","X","J","V","S","D")</f>
        <v>D</v>
      </c>
      <c r="R2779">
        <f>WEEKNUM(datos_siembra[[#This Row],[Date]],2)-WEEKNUM(DATE(YEAR(datos_siembra[[#This Row],[Date]]),MONTH(datos_siembra[[#This Row],[Date]]),1))+1</f>
        <v>1</v>
      </c>
      <c r="S2779">
        <f>MONTH(datos_siembra[[#This Row],[Date]])</f>
        <v>10</v>
      </c>
      <c r="T2779" t="str" cm="1">
        <f t="array" ref="T2779">_xlfn.IFS(AND(N2779&lt;= 22, S2779=9), "SOWING",AND(N2779&lt;= 28, S2779=9), "COVERAGE",AND(N2779&lt;= 30, S2779=9), "FLUSH",AND(N2779&lt;= 11, S2779=10), "FLUSH",AND(N2779&lt;= 21, S2779=10), "PRODUCTION")</f>
        <v>FLUSH</v>
      </c>
      <c r="U2779">
        <f>HOUR(datos_siembra[[#This Row],[Hour]])</f>
        <v>2</v>
      </c>
      <c r="V2779" cm="1">
        <f t="array" ref="V2779">_xlfn.IFS(AND(N2779&lt;= 22, S2779=9), N2779-7,AND(N2779&lt;= 28, S2779=9), N2779-25,AND(N2779&lt;= 30, S2779=9), N2779-28,AND(N2779&lt;= 11, S2779=10), N2779+2,AND(N2779&lt;= 21, S2779=10), N2779-11)</f>
        <v>8</v>
      </c>
    </row>
    <row r="2780" spans="1:22" x14ac:dyDescent="0.35">
      <c r="A2780" s="4">
        <v>45571</v>
      </c>
      <c r="B2780" s="5">
        <v>9.3692129629629625E-2</v>
      </c>
      <c r="C2780">
        <v>66.900000000000006</v>
      </c>
      <c r="D2780">
        <v>67</v>
      </c>
      <c r="E2780">
        <v>66.900000000000006</v>
      </c>
      <c r="F2780">
        <v>66.5</v>
      </c>
      <c r="G2780">
        <v>0</v>
      </c>
      <c r="H2780">
        <v>0</v>
      </c>
      <c r="I2780">
        <v>0</v>
      </c>
      <c r="J2780">
        <v>0</v>
      </c>
      <c r="K2780">
        <v>62.4</v>
      </c>
      <c r="L2780">
        <v>62.6</v>
      </c>
      <c r="M2780">
        <v>66.819999999999993</v>
      </c>
      <c r="N2780">
        <v>6</v>
      </c>
      <c r="O2780">
        <v>5</v>
      </c>
      <c r="P2780">
        <f>MOD(DAY(datos_siembra[[#This Row],[Date]]),7)</f>
        <v>6</v>
      </c>
      <c r="Q2780" t="str">
        <f>CHOOSE(WEEKDAY(datos_siembra[[#This Row],[Date]],2),"L","M","X","J","V","S","D")</f>
        <v>D</v>
      </c>
      <c r="R2780">
        <f>WEEKNUM(datos_siembra[[#This Row],[Date]],2)-WEEKNUM(DATE(YEAR(datos_siembra[[#This Row],[Date]]),MONTH(datos_siembra[[#This Row],[Date]]),1))+1</f>
        <v>1</v>
      </c>
      <c r="S2780">
        <f>MONTH(datos_siembra[[#This Row],[Date]])</f>
        <v>10</v>
      </c>
      <c r="T2780" t="str" cm="1">
        <f t="array" ref="T2780">_xlfn.IFS(AND(N2780&lt;= 22, S2780=9), "SOWING",AND(N2780&lt;= 28, S2780=9), "COVERAGE",AND(N2780&lt;= 30, S2780=9), "FLUSH",AND(N2780&lt;= 11, S2780=10), "FLUSH",AND(N2780&lt;= 21, S2780=10), "PRODUCTION")</f>
        <v>FLUSH</v>
      </c>
      <c r="U2780">
        <f>HOUR(datos_siembra[[#This Row],[Hour]])</f>
        <v>2</v>
      </c>
      <c r="V2780" cm="1">
        <f t="array" ref="V2780">_xlfn.IFS(AND(N2780&lt;= 22, S2780=9), N2780-7,AND(N2780&lt;= 28, S2780=9), N2780-25,AND(N2780&lt;= 30, S2780=9), N2780-28,AND(N2780&lt;= 11, S2780=10), N2780+2,AND(N2780&lt;= 21, S2780=10), N2780-11)</f>
        <v>8</v>
      </c>
    </row>
    <row r="2781" spans="1:22" x14ac:dyDescent="0.35">
      <c r="A2781" s="4">
        <v>45571</v>
      </c>
      <c r="B2781" s="5">
        <v>0.10063657407407407</v>
      </c>
      <c r="C2781">
        <v>66.900000000000006</v>
      </c>
      <c r="D2781">
        <v>66.900000000000006</v>
      </c>
      <c r="E2781">
        <v>66.900000000000006</v>
      </c>
      <c r="F2781">
        <v>66.599999999999994</v>
      </c>
      <c r="G2781">
        <v>0</v>
      </c>
      <c r="H2781">
        <v>0</v>
      </c>
      <c r="I2781">
        <v>0</v>
      </c>
      <c r="J2781">
        <v>0</v>
      </c>
      <c r="K2781">
        <v>62.4</v>
      </c>
      <c r="L2781">
        <v>62.6</v>
      </c>
      <c r="M2781">
        <v>66.900000000000006</v>
      </c>
      <c r="N2781">
        <v>6</v>
      </c>
      <c r="O2781">
        <v>5</v>
      </c>
      <c r="P2781">
        <f>MOD(DAY(datos_siembra[[#This Row],[Date]]),7)</f>
        <v>6</v>
      </c>
      <c r="Q2781" t="str">
        <f>CHOOSE(WEEKDAY(datos_siembra[[#This Row],[Date]],2),"L","M","X","J","V","S","D")</f>
        <v>D</v>
      </c>
      <c r="R2781">
        <f>WEEKNUM(datos_siembra[[#This Row],[Date]],2)-WEEKNUM(DATE(YEAR(datos_siembra[[#This Row],[Date]]),MONTH(datos_siembra[[#This Row],[Date]]),1))+1</f>
        <v>1</v>
      </c>
      <c r="S2781">
        <f>MONTH(datos_siembra[[#This Row],[Date]])</f>
        <v>10</v>
      </c>
      <c r="T2781" t="str" cm="1">
        <f t="array" ref="T2781">_xlfn.IFS(AND(N2781&lt;= 22, S2781=9), "SOWING",AND(N2781&lt;= 28, S2781=9), "COVERAGE",AND(N2781&lt;= 30, S2781=9), "FLUSH",AND(N2781&lt;= 11, S2781=10), "FLUSH",AND(N2781&lt;= 21, S2781=10), "PRODUCTION")</f>
        <v>FLUSH</v>
      </c>
      <c r="U2781">
        <f>HOUR(datos_siembra[[#This Row],[Hour]])</f>
        <v>2</v>
      </c>
      <c r="V2781" cm="1">
        <f t="array" ref="V2781">_xlfn.IFS(AND(N2781&lt;= 22, S2781=9), N2781-7,AND(N2781&lt;= 28, S2781=9), N2781-25,AND(N2781&lt;= 30, S2781=9), N2781-28,AND(N2781&lt;= 11, S2781=10), N2781+2,AND(N2781&lt;= 21, S2781=10), N2781-11)</f>
        <v>8</v>
      </c>
    </row>
    <row r="2782" spans="1:22" x14ac:dyDescent="0.35">
      <c r="A2782" s="4">
        <v>45571</v>
      </c>
      <c r="B2782" s="5">
        <v>0.10758101851851852</v>
      </c>
      <c r="C2782">
        <v>67.099999999999994</v>
      </c>
      <c r="D2782">
        <v>66.900000000000006</v>
      </c>
      <c r="E2782">
        <v>67</v>
      </c>
      <c r="F2782">
        <v>66.5</v>
      </c>
      <c r="G2782">
        <v>0</v>
      </c>
      <c r="H2782">
        <v>0</v>
      </c>
      <c r="I2782">
        <v>0</v>
      </c>
      <c r="J2782">
        <v>0</v>
      </c>
      <c r="K2782">
        <v>62.3</v>
      </c>
      <c r="L2782">
        <v>62.5</v>
      </c>
      <c r="M2782">
        <v>66.900000000000006</v>
      </c>
      <c r="N2782">
        <v>6</v>
      </c>
      <c r="O2782">
        <v>5</v>
      </c>
      <c r="P2782">
        <f>MOD(DAY(datos_siembra[[#This Row],[Date]]),7)</f>
        <v>6</v>
      </c>
      <c r="Q2782" t="str">
        <f>CHOOSE(WEEKDAY(datos_siembra[[#This Row],[Date]],2),"L","M","X","J","V","S","D")</f>
        <v>D</v>
      </c>
      <c r="R2782">
        <f>WEEKNUM(datos_siembra[[#This Row],[Date]],2)-WEEKNUM(DATE(YEAR(datos_siembra[[#This Row],[Date]]),MONTH(datos_siembra[[#This Row],[Date]]),1))+1</f>
        <v>1</v>
      </c>
      <c r="S2782">
        <f>MONTH(datos_siembra[[#This Row],[Date]])</f>
        <v>10</v>
      </c>
      <c r="T2782" t="str" cm="1">
        <f t="array" ref="T2782">_xlfn.IFS(AND(N2782&lt;= 22, S2782=9), "SOWING",AND(N2782&lt;= 28, S2782=9), "COVERAGE",AND(N2782&lt;= 30, S2782=9), "FLUSH",AND(N2782&lt;= 11, S2782=10), "FLUSH",AND(N2782&lt;= 21, S2782=10), "PRODUCTION")</f>
        <v>FLUSH</v>
      </c>
      <c r="U2782">
        <f>HOUR(datos_siembra[[#This Row],[Hour]])</f>
        <v>2</v>
      </c>
      <c r="V2782" cm="1">
        <f t="array" ref="V2782">_xlfn.IFS(AND(N2782&lt;= 22, S2782=9), N2782-7,AND(N2782&lt;= 28, S2782=9), N2782-25,AND(N2782&lt;= 30, S2782=9), N2782-28,AND(N2782&lt;= 11, S2782=10), N2782+2,AND(N2782&lt;= 21, S2782=10), N2782-11)</f>
        <v>8</v>
      </c>
    </row>
    <row r="2783" spans="1:22" x14ac:dyDescent="0.35">
      <c r="A2783" s="4">
        <v>45571</v>
      </c>
      <c r="B2783" s="5">
        <v>0.11452546296296297</v>
      </c>
      <c r="C2783">
        <v>66.900000000000006</v>
      </c>
      <c r="D2783">
        <v>67</v>
      </c>
      <c r="E2783">
        <v>67</v>
      </c>
      <c r="F2783">
        <v>66.599999999999994</v>
      </c>
      <c r="G2783">
        <v>0</v>
      </c>
      <c r="H2783">
        <v>0</v>
      </c>
      <c r="I2783">
        <v>0</v>
      </c>
      <c r="J2783">
        <v>0</v>
      </c>
      <c r="K2783">
        <v>62.3</v>
      </c>
      <c r="L2783">
        <v>62.5</v>
      </c>
      <c r="M2783">
        <v>66.900000000000006</v>
      </c>
      <c r="N2783">
        <v>6</v>
      </c>
      <c r="O2783">
        <v>5</v>
      </c>
      <c r="P2783">
        <f>MOD(DAY(datos_siembra[[#This Row],[Date]]),7)</f>
        <v>6</v>
      </c>
      <c r="Q2783" t="str">
        <f>CHOOSE(WEEKDAY(datos_siembra[[#This Row],[Date]],2),"L","M","X","J","V","S","D")</f>
        <v>D</v>
      </c>
      <c r="R2783">
        <f>WEEKNUM(datos_siembra[[#This Row],[Date]],2)-WEEKNUM(DATE(YEAR(datos_siembra[[#This Row],[Date]]),MONTH(datos_siembra[[#This Row],[Date]]),1))+1</f>
        <v>1</v>
      </c>
      <c r="S2783">
        <f>MONTH(datos_siembra[[#This Row],[Date]])</f>
        <v>10</v>
      </c>
      <c r="T2783" t="str" cm="1">
        <f t="array" ref="T2783">_xlfn.IFS(AND(N2783&lt;= 22, S2783=9), "SOWING",AND(N2783&lt;= 28, S2783=9), "COVERAGE",AND(N2783&lt;= 30, S2783=9), "FLUSH",AND(N2783&lt;= 11, S2783=10), "FLUSH",AND(N2783&lt;= 21, S2783=10), "PRODUCTION")</f>
        <v>FLUSH</v>
      </c>
      <c r="U2783">
        <f>HOUR(datos_siembra[[#This Row],[Hour]])</f>
        <v>2</v>
      </c>
      <c r="V2783" cm="1">
        <f t="array" ref="V2783">_xlfn.IFS(AND(N2783&lt;= 22, S2783=9), N2783-7,AND(N2783&lt;= 28, S2783=9), N2783-25,AND(N2783&lt;= 30, S2783=9), N2783-28,AND(N2783&lt;= 11, S2783=10), N2783+2,AND(N2783&lt;= 21, S2783=10), N2783-11)</f>
        <v>8</v>
      </c>
    </row>
    <row r="2784" spans="1:22" x14ac:dyDescent="0.35">
      <c r="A2784" s="4">
        <v>45571</v>
      </c>
      <c r="B2784" s="5">
        <v>0.12148148148148148</v>
      </c>
      <c r="C2784">
        <v>66.900000000000006</v>
      </c>
      <c r="D2784">
        <v>67</v>
      </c>
      <c r="E2784">
        <v>67</v>
      </c>
      <c r="F2784">
        <v>66.599999999999994</v>
      </c>
      <c r="G2784">
        <v>0</v>
      </c>
      <c r="H2784">
        <v>0</v>
      </c>
      <c r="I2784">
        <v>0</v>
      </c>
      <c r="J2784">
        <v>0</v>
      </c>
      <c r="K2784">
        <v>62.3</v>
      </c>
      <c r="L2784">
        <v>62.5</v>
      </c>
      <c r="M2784">
        <v>66.930000000000007</v>
      </c>
      <c r="N2784">
        <v>6</v>
      </c>
      <c r="O2784">
        <v>5</v>
      </c>
      <c r="P2784">
        <f>MOD(DAY(datos_siembra[[#This Row],[Date]]),7)</f>
        <v>6</v>
      </c>
      <c r="Q2784" t="str">
        <f>CHOOSE(WEEKDAY(datos_siembra[[#This Row],[Date]],2),"L","M","X","J","V","S","D")</f>
        <v>D</v>
      </c>
      <c r="R2784">
        <f>WEEKNUM(datos_siembra[[#This Row],[Date]],2)-WEEKNUM(DATE(YEAR(datos_siembra[[#This Row],[Date]]),MONTH(datos_siembra[[#This Row],[Date]]),1))+1</f>
        <v>1</v>
      </c>
      <c r="S2784">
        <f>MONTH(datos_siembra[[#This Row],[Date]])</f>
        <v>10</v>
      </c>
      <c r="T2784" t="str" cm="1">
        <f t="array" ref="T2784">_xlfn.IFS(AND(N2784&lt;= 22, S2784=9), "SOWING",AND(N2784&lt;= 28, S2784=9), "COVERAGE",AND(N2784&lt;= 30, S2784=9), "FLUSH",AND(N2784&lt;= 11, S2784=10), "FLUSH",AND(N2784&lt;= 21, S2784=10), "PRODUCTION")</f>
        <v>FLUSH</v>
      </c>
      <c r="U2784">
        <f>HOUR(datos_siembra[[#This Row],[Hour]])</f>
        <v>2</v>
      </c>
      <c r="V2784" cm="1">
        <f t="array" ref="V2784">_xlfn.IFS(AND(N2784&lt;= 22, S2784=9), N2784-7,AND(N2784&lt;= 28, S2784=9), N2784-25,AND(N2784&lt;= 30, S2784=9), N2784-28,AND(N2784&lt;= 11, S2784=10), N2784+2,AND(N2784&lt;= 21, S2784=10), N2784-11)</f>
        <v>8</v>
      </c>
    </row>
    <row r="2785" spans="1:22" x14ac:dyDescent="0.35">
      <c r="A2785" s="4">
        <v>45571</v>
      </c>
      <c r="B2785" s="5">
        <v>0.12842592592592592</v>
      </c>
      <c r="C2785">
        <v>67</v>
      </c>
      <c r="D2785">
        <v>66.900000000000006</v>
      </c>
      <c r="E2785">
        <v>67</v>
      </c>
      <c r="F2785">
        <v>66.599999999999994</v>
      </c>
      <c r="G2785">
        <v>0</v>
      </c>
      <c r="H2785">
        <v>0</v>
      </c>
      <c r="I2785">
        <v>0</v>
      </c>
      <c r="J2785">
        <v>0</v>
      </c>
      <c r="K2785">
        <v>62.3</v>
      </c>
      <c r="L2785">
        <v>62.4</v>
      </c>
      <c r="M2785">
        <v>66.849999999999994</v>
      </c>
      <c r="N2785">
        <v>6</v>
      </c>
      <c r="O2785">
        <v>5</v>
      </c>
      <c r="P2785">
        <f>MOD(DAY(datos_siembra[[#This Row],[Date]]),7)</f>
        <v>6</v>
      </c>
      <c r="Q2785" t="str">
        <f>CHOOSE(WEEKDAY(datos_siembra[[#This Row],[Date]],2),"L","M","X","J","V","S","D")</f>
        <v>D</v>
      </c>
      <c r="R2785">
        <f>WEEKNUM(datos_siembra[[#This Row],[Date]],2)-WEEKNUM(DATE(YEAR(datos_siembra[[#This Row],[Date]]),MONTH(datos_siembra[[#This Row],[Date]]),1))+1</f>
        <v>1</v>
      </c>
      <c r="S2785">
        <f>MONTH(datos_siembra[[#This Row],[Date]])</f>
        <v>10</v>
      </c>
      <c r="T2785" t="str" cm="1">
        <f t="array" ref="T2785">_xlfn.IFS(AND(N2785&lt;= 22, S2785=9), "SOWING",AND(N2785&lt;= 28, S2785=9), "COVERAGE",AND(N2785&lt;= 30, S2785=9), "FLUSH",AND(N2785&lt;= 11, S2785=10), "FLUSH",AND(N2785&lt;= 21, S2785=10), "PRODUCTION")</f>
        <v>FLUSH</v>
      </c>
      <c r="U2785">
        <f>HOUR(datos_siembra[[#This Row],[Hour]])</f>
        <v>3</v>
      </c>
      <c r="V2785" cm="1">
        <f t="array" ref="V2785">_xlfn.IFS(AND(N2785&lt;= 22, S2785=9), N2785-7,AND(N2785&lt;= 28, S2785=9), N2785-25,AND(N2785&lt;= 30, S2785=9), N2785-28,AND(N2785&lt;= 11, S2785=10), N2785+2,AND(N2785&lt;= 21, S2785=10), N2785-11)</f>
        <v>8</v>
      </c>
    </row>
    <row r="2786" spans="1:22" x14ac:dyDescent="0.35">
      <c r="A2786" s="4">
        <v>45571</v>
      </c>
      <c r="B2786" s="5">
        <v>0.13537037037037036</v>
      </c>
      <c r="C2786">
        <v>66.900000000000006</v>
      </c>
      <c r="D2786">
        <v>66.900000000000006</v>
      </c>
      <c r="E2786">
        <v>67</v>
      </c>
      <c r="F2786">
        <v>66.8</v>
      </c>
      <c r="G2786">
        <v>0</v>
      </c>
      <c r="H2786">
        <v>0</v>
      </c>
      <c r="I2786">
        <v>0</v>
      </c>
      <c r="J2786">
        <v>0</v>
      </c>
      <c r="K2786">
        <v>62.2</v>
      </c>
      <c r="L2786">
        <v>62.4</v>
      </c>
      <c r="M2786">
        <v>66.87</v>
      </c>
      <c r="N2786">
        <v>6</v>
      </c>
      <c r="O2786">
        <v>5</v>
      </c>
      <c r="P2786">
        <f>MOD(DAY(datos_siembra[[#This Row],[Date]]),7)</f>
        <v>6</v>
      </c>
      <c r="Q2786" t="str">
        <f>CHOOSE(WEEKDAY(datos_siembra[[#This Row],[Date]],2),"L","M","X","J","V","S","D")</f>
        <v>D</v>
      </c>
      <c r="R2786">
        <f>WEEKNUM(datos_siembra[[#This Row],[Date]],2)-WEEKNUM(DATE(YEAR(datos_siembra[[#This Row],[Date]]),MONTH(datos_siembra[[#This Row],[Date]]),1))+1</f>
        <v>1</v>
      </c>
      <c r="S2786">
        <f>MONTH(datos_siembra[[#This Row],[Date]])</f>
        <v>10</v>
      </c>
      <c r="T2786" t="str" cm="1">
        <f t="array" ref="T2786">_xlfn.IFS(AND(N2786&lt;= 22, S2786=9), "SOWING",AND(N2786&lt;= 28, S2786=9), "COVERAGE",AND(N2786&lt;= 30, S2786=9), "FLUSH",AND(N2786&lt;= 11, S2786=10), "FLUSH",AND(N2786&lt;= 21, S2786=10), "PRODUCTION")</f>
        <v>FLUSH</v>
      </c>
      <c r="U2786">
        <f>HOUR(datos_siembra[[#This Row],[Hour]])</f>
        <v>3</v>
      </c>
      <c r="V2786" cm="1">
        <f t="array" ref="V2786">_xlfn.IFS(AND(N2786&lt;= 22, S2786=9), N2786-7,AND(N2786&lt;= 28, S2786=9), N2786-25,AND(N2786&lt;= 30, S2786=9), N2786-28,AND(N2786&lt;= 11, S2786=10), N2786+2,AND(N2786&lt;= 21, S2786=10), N2786-11)</f>
        <v>8</v>
      </c>
    </row>
    <row r="2787" spans="1:22" x14ac:dyDescent="0.35">
      <c r="A2787" s="4">
        <v>45571</v>
      </c>
      <c r="B2787" s="5">
        <v>0.14231481481481481</v>
      </c>
      <c r="C2787">
        <v>67</v>
      </c>
      <c r="D2787">
        <v>67</v>
      </c>
      <c r="E2787">
        <v>67</v>
      </c>
      <c r="F2787">
        <v>66.599999999999994</v>
      </c>
      <c r="G2787">
        <v>0</v>
      </c>
      <c r="H2787">
        <v>0</v>
      </c>
      <c r="I2787">
        <v>0</v>
      </c>
      <c r="J2787">
        <v>0</v>
      </c>
      <c r="K2787">
        <v>62.2</v>
      </c>
      <c r="L2787">
        <v>62.3</v>
      </c>
      <c r="M2787">
        <v>66.87</v>
      </c>
      <c r="N2787">
        <v>6</v>
      </c>
      <c r="O2787">
        <v>5</v>
      </c>
      <c r="P2787">
        <f>MOD(DAY(datos_siembra[[#This Row],[Date]]),7)</f>
        <v>6</v>
      </c>
      <c r="Q2787" t="str">
        <f>CHOOSE(WEEKDAY(datos_siembra[[#This Row],[Date]],2),"L","M","X","J","V","S","D")</f>
        <v>D</v>
      </c>
      <c r="R2787">
        <f>WEEKNUM(datos_siembra[[#This Row],[Date]],2)-WEEKNUM(DATE(YEAR(datos_siembra[[#This Row],[Date]]),MONTH(datos_siembra[[#This Row],[Date]]),1))+1</f>
        <v>1</v>
      </c>
      <c r="S2787">
        <f>MONTH(datos_siembra[[#This Row],[Date]])</f>
        <v>10</v>
      </c>
      <c r="T2787" t="str" cm="1">
        <f t="array" ref="T2787">_xlfn.IFS(AND(N2787&lt;= 22, S2787=9), "SOWING",AND(N2787&lt;= 28, S2787=9), "COVERAGE",AND(N2787&lt;= 30, S2787=9), "FLUSH",AND(N2787&lt;= 11, S2787=10), "FLUSH",AND(N2787&lt;= 21, S2787=10), "PRODUCTION")</f>
        <v>FLUSH</v>
      </c>
      <c r="U2787">
        <f>HOUR(datos_siembra[[#This Row],[Hour]])</f>
        <v>3</v>
      </c>
      <c r="V2787" cm="1">
        <f t="array" ref="V2787">_xlfn.IFS(AND(N2787&lt;= 22, S2787=9), N2787-7,AND(N2787&lt;= 28, S2787=9), N2787-25,AND(N2787&lt;= 30, S2787=9), N2787-28,AND(N2787&lt;= 11, S2787=10), N2787+2,AND(N2787&lt;= 21, S2787=10), N2787-11)</f>
        <v>8</v>
      </c>
    </row>
    <row r="2788" spans="1:22" x14ac:dyDescent="0.35">
      <c r="A2788" s="4">
        <v>45571</v>
      </c>
      <c r="B2788" s="5">
        <v>0.14927083333333332</v>
      </c>
      <c r="C2788">
        <v>67</v>
      </c>
      <c r="D2788">
        <v>67</v>
      </c>
      <c r="E2788">
        <v>67</v>
      </c>
      <c r="F2788">
        <v>66.599999999999994</v>
      </c>
      <c r="G2788">
        <v>0</v>
      </c>
      <c r="H2788">
        <v>0</v>
      </c>
      <c r="I2788">
        <v>0</v>
      </c>
      <c r="J2788">
        <v>0</v>
      </c>
      <c r="K2788">
        <v>62</v>
      </c>
      <c r="L2788">
        <v>62.2</v>
      </c>
      <c r="M2788">
        <v>66.819999999999993</v>
      </c>
      <c r="N2788">
        <v>6</v>
      </c>
      <c r="O2788">
        <v>5</v>
      </c>
      <c r="P2788">
        <f>MOD(DAY(datos_siembra[[#This Row],[Date]]),7)</f>
        <v>6</v>
      </c>
      <c r="Q2788" t="str">
        <f>CHOOSE(WEEKDAY(datos_siembra[[#This Row],[Date]],2),"L","M","X","J","V","S","D")</f>
        <v>D</v>
      </c>
      <c r="R2788">
        <f>WEEKNUM(datos_siembra[[#This Row],[Date]],2)-WEEKNUM(DATE(YEAR(datos_siembra[[#This Row],[Date]]),MONTH(datos_siembra[[#This Row],[Date]]),1))+1</f>
        <v>1</v>
      </c>
      <c r="S2788">
        <f>MONTH(datos_siembra[[#This Row],[Date]])</f>
        <v>10</v>
      </c>
      <c r="T2788" t="str" cm="1">
        <f t="array" ref="T2788">_xlfn.IFS(AND(N2788&lt;= 22, S2788=9), "SOWING",AND(N2788&lt;= 28, S2788=9), "COVERAGE",AND(N2788&lt;= 30, S2788=9), "FLUSH",AND(N2788&lt;= 11, S2788=10), "FLUSH",AND(N2788&lt;= 21, S2788=10), "PRODUCTION")</f>
        <v>FLUSH</v>
      </c>
      <c r="U2788">
        <f>HOUR(datos_siembra[[#This Row],[Hour]])</f>
        <v>3</v>
      </c>
      <c r="V2788" cm="1">
        <f t="array" ref="V2788">_xlfn.IFS(AND(N2788&lt;= 22, S2788=9), N2788-7,AND(N2788&lt;= 28, S2788=9), N2788-25,AND(N2788&lt;= 30, S2788=9), N2788-28,AND(N2788&lt;= 11, S2788=10), N2788+2,AND(N2788&lt;= 21, S2788=10), N2788-11)</f>
        <v>8</v>
      </c>
    </row>
    <row r="2789" spans="1:22" x14ac:dyDescent="0.35">
      <c r="A2789" s="4">
        <v>45571</v>
      </c>
      <c r="B2789" s="5">
        <v>0.15621527777777777</v>
      </c>
      <c r="C2789">
        <v>66.8</v>
      </c>
      <c r="D2789">
        <v>66.900000000000006</v>
      </c>
      <c r="E2789">
        <v>67</v>
      </c>
      <c r="F2789">
        <v>66.599999999999994</v>
      </c>
      <c r="G2789">
        <v>0</v>
      </c>
      <c r="H2789">
        <v>0</v>
      </c>
      <c r="I2789">
        <v>0</v>
      </c>
      <c r="J2789">
        <v>0</v>
      </c>
      <c r="K2789">
        <v>61.9</v>
      </c>
      <c r="L2789">
        <v>62</v>
      </c>
      <c r="M2789">
        <v>66.930000000000007</v>
      </c>
      <c r="N2789">
        <v>6</v>
      </c>
      <c r="O2789">
        <v>5</v>
      </c>
      <c r="P2789">
        <f>MOD(DAY(datos_siembra[[#This Row],[Date]]),7)</f>
        <v>6</v>
      </c>
      <c r="Q2789" t="str">
        <f>CHOOSE(WEEKDAY(datos_siembra[[#This Row],[Date]],2),"L","M","X","J","V","S","D")</f>
        <v>D</v>
      </c>
      <c r="R2789">
        <f>WEEKNUM(datos_siembra[[#This Row],[Date]],2)-WEEKNUM(DATE(YEAR(datos_siembra[[#This Row],[Date]]),MONTH(datos_siembra[[#This Row],[Date]]),1))+1</f>
        <v>1</v>
      </c>
      <c r="S2789">
        <f>MONTH(datos_siembra[[#This Row],[Date]])</f>
        <v>10</v>
      </c>
      <c r="T2789" t="str" cm="1">
        <f t="array" ref="T2789">_xlfn.IFS(AND(N2789&lt;= 22, S2789=9), "SOWING",AND(N2789&lt;= 28, S2789=9), "COVERAGE",AND(N2789&lt;= 30, S2789=9), "FLUSH",AND(N2789&lt;= 11, S2789=10), "FLUSH",AND(N2789&lt;= 21, S2789=10), "PRODUCTION")</f>
        <v>FLUSH</v>
      </c>
      <c r="U2789">
        <f>HOUR(datos_siembra[[#This Row],[Hour]])</f>
        <v>3</v>
      </c>
      <c r="V2789" cm="1">
        <f t="array" ref="V2789">_xlfn.IFS(AND(N2789&lt;= 22, S2789=9), N2789-7,AND(N2789&lt;= 28, S2789=9), N2789-25,AND(N2789&lt;= 30, S2789=9), N2789-28,AND(N2789&lt;= 11, S2789=10), N2789+2,AND(N2789&lt;= 21, S2789=10), N2789-11)</f>
        <v>8</v>
      </c>
    </row>
    <row r="2790" spans="1:22" x14ac:dyDescent="0.35">
      <c r="A2790" s="4">
        <v>45571</v>
      </c>
      <c r="B2790" s="5">
        <v>0.16315972222222222</v>
      </c>
      <c r="C2790">
        <v>67</v>
      </c>
      <c r="D2790">
        <v>67</v>
      </c>
      <c r="E2790">
        <v>66.900000000000006</v>
      </c>
      <c r="F2790">
        <v>66.599999999999994</v>
      </c>
      <c r="G2790">
        <v>0</v>
      </c>
      <c r="H2790">
        <v>0</v>
      </c>
      <c r="I2790">
        <v>0</v>
      </c>
      <c r="J2790">
        <v>0</v>
      </c>
      <c r="K2790">
        <v>61.9</v>
      </c>
      <c r="L2790">
        <v>62</v>
      </c>
      <c r="M2790">
        <v>66.849999999999994</v>
      </c>
      <c r="N2790">
        <v>6</v>
      </c>
      <c r="O2790">
        <v>5</v>
      </c>
      <c r="P2790">
        <f>MOD(DAY(datos_siembra[[#This Row],[Date]]),7)</f>
        <v>6</v>
      </c>
      <c r="Q2790" t="str">
        <f>CHOOSE(WEEKDAY(datos_siembra[[#This Row],[Date]],2),"L","M","X","J","V","S","D")</f>
        <v>D</v>
      </c>
      <c r="R2790">
        <f>WEEKNUM(datos_siembra[[#This Row],[Date]],2)-WEEKNUM(DATE(YEAR(datos_siembra[[#This Row],[Date]]),MONTH(datos_siembra[[#This Row],[Date]]),1))+1</f>
        <v>1</v>
      </c>
      <c r="S2790">
        <f>MONTH(datos_siembra[[#This Row],[Date]])</f>
        <v>10</v>
      </c>
      <c r="T2790" t="str" cm="1">
        <f t="array" ref="T2790">_xlfn.IFS(AND(N2790&lt;= 22, S2790=9), "SOWING",AND(N2790&lt;= 28, S2790=9), "COVERAGE",AND(N2790&lt;= 30, S2790=9), "FLUSH",AND(N2790&lt;= 11, S2790=10), "FLUSH",AND(N2790&lt;= 21, S2790=10), "PRODUCTION")</f>
        <v>FLUSH</v>
      </c>
      <c r="U2790">
        <f>HOUR(datos_siembra[[#This Row],[Hour]])</f>
        <v>3</v>
      </c>
      <c r="V2790" cm="1">
        <f t="array" ref="V2790">_xlfn.IFS(AND(N2790&lt;= 22, S2790=9), N2790-7,AND(N2790&lt;= 28, S2790=9), N2790-25,AND(N2790&lt;= 30, S2790=9), N2790-28,AND(N2790&lt;= 11, S2790=10), N2790+2,AND(N2790&lt;= 21, S2790=10), N2790-11)</f>
        <v>8</v>
      </c>
    </row>
    <row r="2791" spans="1:22" x14ac:dyDescent="0.35">
      <c r="A2791" s="4">
        <v>45571</v>
      </c>
      <c r="B2791" s="5">
        <v>0.17010416666666667</v>
      </c>
      <c r="C2791">
        <v>67</v>
      </c>
      <c r="D2791">
        <v>67</v>
      </c>
      <c r="E2791">
        <v>66.8</v>
      </c>
      <c r="F2791">
        <v>66.599999999999994</v>
      </c>
      <c r="G2791">
        <v>0</v>
      </c>
      <c r="H2791">
        <v>0</v>
      </c>
      <c r="I2791">
        <v>0</v>
      </c>
      <c r="J2791">
        <v>0</v>
      </c>
      <c r="K2791">
        <v>61.9</v>
      </c>
      <c r="L2791">
        <v>62</v>
      </c>
      <c r="M2791">
        <v>66.87</v>
      </c>
      <c r="N2791">
        <v>6</v>
      </c>
      <c r="O2791">
        <v>5</v>
      </c>
      <c r="P2791">
        <f>MOD(DAY(datos_siembra[[#This Row],[Date]]),7)</f>
        <v>6</v>
      </c>
      <c r="Q2791" t="str">
        <f>CHOOSE(WEEKDAY(datos_siembra[[#This Row],[Date]],2),"L","M","X","J","V","S","D")</f>
        <v>D</v>
      </c>
      <c r="R2791">
        <f>WEEKNUM(datos_siembra[[#This Row],[Date]],2)-WEEKNUM(DATE(YEAR(datos_siembra[[#This Row],[Date]]),MONTH(datos_siembra[[#This Row],[Date]]),1))+1</f>
        <v>1</v>
      </c>
      <c r="S2791">
        <f>MONTH(datos_siembra[[#This Row],[Date]])</f>
        <v>10</v>
      </c>
      <c r="T2791" t="str" cm="1">
        <f t="array" ref="T2791">_xlfn.IFS(AND(N2791&lt;= 22, S2791=9), "SOWING",AND(N2791&lt;= 28, S2791=9), "COVERAGE",AND(N2791&lt;= 30, S2791=9), "FLUSH",AND(N2791&lt;= 11, S2791=10), "FLUSH",AND(N2791&lt;= 21, S2791=10), "PRODUCTION")</f>
        <v>FLUSH</v>
      </c>
      <c r="U2791">
        <f>HOUR(datos_siembra[[#This Row],[Hour]])</f>
        <v>4</v>
      </c>
      <c r="V2791" cm="1">
        <f t="array" ref="V2791">_xlfn.IFS(AND(N2791&lt;= 22, S2791=9), N2791-7,AND(N2791&lt;= 28, S2791=9), N2791-25,AND(N2791&lt;= 30, S2791=9), N2791-28,AND(N2791&lt;= 11, S2791=10), N2791+2,AND(N2791&lt;= 21, S2791=10), N2791-11)</f>
        <v>8</v>
      </c>
    </row>
    <row r="2792" spans="1:22" x14ac:dyDescent="0.35">
      <c r="A2792" s="4">
        <v>45571</v>
      </c>
      <c r="B2792" s="5">
        <v>0.17706018518518518</v>
      </c>
      <c r="C2792">
        <v>66.900000000000006</v>
      </c>
      <c r="D2792">
        <v>66.900000000000006</v>
      </c>
      <c r="E2792">
        <v>67.099999999999994</v>
      </c>
      <c r="F2792">
        <v>66.599999999999994</v>
      </c>
      <c r="G2792">
        <v>0</v>
      </c>
      <c r="H2792">
        <v>0</v>
      </c>
      <c r="I2792">
        <v>0</v>
      </c>
      <c r="J2792">
        <v>0</v>
      </c>
      <c r="K2792">
        <v>61.9</v>
      </c>
      <c r="L2792">
        <v>62</v>
      </c>
      <c r="M2792">
        <v>66.900000000000006</v>
      </c>
      <c r="N2792">
        <v>6</v>
      </c>
      <c r="O2792">
        <v>5</v>
      </c>
      <c r="P2792">
        <f>MOD(DAY(datos_siembra[[#This Row],[Date]]),7)</f>
        <v>6</v>
      </c>
      <c r="Q2792" t="str">
        <f>CHOOSE(WEEKDAY(datos_siembra[[#This Row],[Date]],2),"L","M","X","J","V","S","D")</f>
        <v>D</v>
      </c>
      <c r="R2792">
        <f>WEEKNUM(datos_siembra[[#This Row],[Date]],2)-WEEKNUM(DATE(YEAR(datos_siembra[[#This Row],[Date]]),MONTH(datos_siembra[[#This Row],[Date]]),1))+1</f>
        <v>1</v>
      </c>
      <c r="S2792">
        <f>MONTH(datos_siembra[[#This Row],[Date]])</f>
        <v>10</v>
      </c>
      <c r="T2792" t="str" cm="1">
        <f t="array" ref="T2792">_xlfn.IFS(AND(N2792&lt;= 22, S2792=9), "SOWING",AND(N2792&lt;= 28, S2792=9), "COVERAGE",AND(N2792&lt;= 30, S2792=9), "FLUSH",AND(N2792&lt;= 11, S2792=10), "FLUSH",AND(N2792&lt;= 21, S2792=10), "PRODUCTION")</f>
        <v>FLUSH</v>
      </c>
      <c r="U2792">
        <f>HOUR(datos_siembra[[#This Row],[Hour]])</f>
        <v>4</v>
      </c>
      <c r="V2792" cm="1">
        <f t="array" ref="V2792">_xlfn.IFS(AND(N2792&lt;= 22, S2792=9), N2792-7,AND(N2792&lt;= 28, S2792=9), N2792-25,AND(N2792&lt;= 30, S2792=9), N2792-28,AND(N2792&lt;= 11, S2792=10), N2792+2,AND(N2792&lt;= 21, S2792=10), N2792-11)</f>
        <v>8</v>
      </c>
    </row>
    <row r="2793" spans="1:22" x14ac:dyDescent="0.35">
      <c r="A2793" s="4">
        <v>45571</v>
      </c>
      <c r="B2793" s="5">
        <v>0.18400462962962963</v>
      </c>
      <c r="C2793">
        <v>66.900000000000006</v>
      </c>
      <c r="D2793">
        <v>66.8</v>
      </c>
      <c r="E2793">
        <v>67</v>
      </c>
      <c r="F2793">
        <v>66.599999999999994</v>
      </c>
      <c r="G2793">
        <v>0</v>
      </c>
      <c r="H2793">
        <v>0</v>
      </c>
      <c r="I2793">
        <v>0</v>
      </c>
      <c r="J2793">
        <v>0</v>
      </c>
      <c r="K2793">
        <v>61.8</v>
      </c>
      <c r="L2793">
        <v>61.9</v>
      </c>
      <c r="M2793">
        <v>66.900000000000006</v>
      </c>
      <c r="N2793">
        <v>6</v>
      </c>
      <c r="O2793">
        <v>5</v>
      </c>
      <c r="P2793">
        <f>MOD(DAY(datos_siembra[[#This Row],[Date]]),7)</f>
        <v>6</v>
      </c>
      <c r="Q2793" t="str">
        <f>CHOOSE(WEEKDAY(datos_siembra[[#This Row],[Date]],2),"L","M","X","J","V","S","D")</f>
        <v>D</v>
      </c>
      <c r="R2793">
        <f>WEEKNUM(datos_siembra[[#This Row],[Date]],2)-WEEKNUM(DATE(YEAR(datos_siembra[[#This Row],[Date]]),MONTH(datos_siembra[[#This Row],[Date]]),1))+1</f>
        <v>1</v>
      </c>
      <c r="S2793">
        <f>MONTH(datos_siembra[[#This Row],[Date]])</f>
        <v>10</v>
      </c>
      <c r="T2793" t="str" cm="1">
        <f t="array" ref="T2793">_xlfn.IFS(AND(N2793&lt;= 22, S2793=9), "SOWING",AND(N2793&lt;= 28, S2793=9), "COVERAGE",AND(N2793&lt;= 30, S2793=9), "FLUSH",AND(N2793&lt;= 11, S2793=10), "FLUSH",AND(N2793&lt;= 21, S2793=10), "PRODUCTION")</f>
        <v>FLUSH</v>
      </c>
      <c r="U2793">
        <f>HOUR(datos_siembra[[#This Row],[Hour]])</f>
        <v>4</v>
      </c>
      <c r="V2793" cm="1">
        <f t="array" ref="V2793">_xlfn.IFS(AND(N2793&lt;= 22, S2793=9), N2793-7,AND(N2793&lt;= 28, S2793=9), N2793-25,AND(N2793&lt;= 30, S2793=9), N2793-28,AND(N2793&lt;= 11, S2793=10), N2793+2,AND(N2793&lt;= 21, S2793=10), N2793-11)</f>
        <v>8</v>
      </c>
    </row>
    <row r="2794" spans="1:22" x14ac:dyDescent="0.35">
      <c r="A2794" s="4">
        <v>45571</v>
      </c>
      <c r="B2794" s="5">
        <v>0.19094907407407408</v>
      </c>
      <c r="C2794">
        <v>66.900000000000006</v>
      </c>
      <c r="D2794">
        <v>67</v>
      </c>
      <c r="E2794">
        <v>67</v>
      </c>
      <c r="F2794">
        <v>66.599999999999994</v>
      </c>
      <c r="G2794">
        <v>0</v>
      </c>
      <c r="H2794">
        <v>0</v>
      </c>
      <c r="I2794">
        <v>0</v>
      </c>
      <c r="J2794">
        <v>0</v>
      </c>
      <c r="K2794">
        <v>61.8</v>
      </c>
      <c r="L2794">
        <v>61.8</v>
      </c>
      <c r="M2794">
        <v>66.790000000000006</v>
      </c>
      <c r="N2794">
        <v>6</v>
      </c>
      <c r="O2794">
        <v>5</v>
      </c>
      <c r="P2794">
        <f>MOD(DAY(datos_siembra[[#This Row],[Date]]),7)</f>
        <v>6</v>
      </c>
      <c r="Q2794" t="str">
        <f>CHOOSE(WEEKDAY(datos_siembra[[#This Row],[Date]],2),"L","M","X","J","V","S","D")</f>
        <v>D</v>
      </c>
      <c r="R2794">
        <f>WEEKNUM(datos_siembra[[#This Row],[Date]],2)-WEEKNUM(DATE(YEAR(datos_siembra[[#This Row],[Date]]),MONTH(datos_siembra[[#This Row],[Date]]),1))+1</f>
        <v>1</v>
      </c>
      <c r="S2794">
        <f>MONTH(datos_siembra[[#This Row],[Date]])</f>
        <v>10</v>
      </c>
      <c r="T2794" t="str" cm="1">
        <f t="array" ref="T2794">_xlfn.IFS(AND(N2794&lt;= 22, S2794=9), "SOWING",AND(N2794&lt;= 28, S2794=9), "COVERAGE",AND(N2794&lt;= 30, S2794=9), "FLUSH",AND(N2794&lt;= 11, S2794=10), "FLUSH",AND(N2794&lt;= 21, S2794=10), "PRODUCTION")</f>
        <v>FLUSH</v>
      </c>
      <c r="U2794">
        <f>HOUR(datos_siembra[[#This Row],[Hour]])</f>
        <v>4</v>
      </c>
      <c r="V2794" cm="1">
        <f t="array" ref="V2794">_xlfn.IFS(AND(N2794&lt;= 22, S2794=9), N2794-7,AND(N2794&lt;= 28, S2794=9), N2794-25,AND(N2794&lt;= 30, S2794=9), N2794-28,AND(N2794&lt;= 11, S2794=10), N2794+2,AND(N2794&lt;= 21, S2794=10), N2794-11)</f>
        <v>8</v>
      </c>
    </row>
    <row r="2795" spans="1:22" x14ac:dyDescent="0.35">
      <c r="A2795" s="4">
        <v>45571</v>
      </c>
      <c r="B2795" s="5">
        <v>0.19790509259259259</v>
      </c>
      <c r="C2795">
        <v>66.900000000000006</v>
      </c>
      <c r="D2795">
        <v>66.900000000000006</v>
      </c>
      <c r="E2795">
        <v>67</v>
      </c>
      <c r="F2795">
        <v>66.599999999999994</v>
      </c>
      <c r="G2795">
        <v>0</v>
      </c>
      <c r="H2795">
        <v>0</v>
      </c>
      <c r="I2795">
        <v>0</v>
      </c>
      <c r="J2795">
        <v>0</v>
      </c>
      <c r="K2795">
        <v>61.7</v>
      </c>
      <c r="L2795">
        <v>61.7</v>
      </c>
      <c r="M2795">
        <v>66.959999999999994</v>
      </c>
      <c r="N2795">
        <v>6</v>
      </c>
      <c r="O2795">
        <v>5</v>
      </c>
      <c r="P2795">
        <f>MOD(DAY(datos_siembra[[#This Row],[Date]]),7)</f>
        <v>6</v>
      </c>
      <c r="Q2795" t="str">
        <f>CHOOSE(WEEKDAY(datos_siembra[[#This Row],[Date]],2),"L","M","X","J","V","S","D")</f>
        <v>D</v>
      </c>
      <c r="R2795">
        <f>WEEKNUM(datos_siembra[[#This Row],[Date]],2)-WEEKNUM(DATE(YEAR(datos_siembra[[#This Row],[Date]]),MONTH(datos_siembra[[#This Row],[Date]]),1))+1</f>
        <v>1</v>
      </c>
      <c r="S2795">
        <f>MONTH(datos_siembra[[#This Row],[Date]])</f>
        <v>10</v>
      </c>
      <c r="T2795" t="str" cm="1">
        <f t="array" ref="T2795">_xlfn.IFS(AND(N2795&lt;= 22, S2795=9), "SOWING",AND(N2795&lt;= 28, S2795=9), "COVERAGE",AND(N2795&lt;= 30, S2795=9), "FLUSH",AND(N2795&lt;= 11, S2795=10), "FLUSH",AND(N2795&lt;= 21, S2795=10), "PRODUCTION")</f>
        <v>FLUSH</v>
      </c>
      <c r="U2795">
        <f>HOUR(datos_siembra[[#This Row],[Hour]])</f>
        <v>4</v>
      </c>
      <c r="V2795" cm="1">
        <f t="array" ref="V2795">_xlfn.IFS(AND(N2795&lt;= 22, S2795=9), N2795-7,AND(N2795&lt;= 28, S2795=9), N2795-25,AND(N2795&lt;= 30, S2795=9), N2795-28,AND(N2795&lt;= 11, S2795=10), N2795+2,AND(N2795&lt;= 21, S2795=10), N2795-11)</f>
        <v>8</v>
      </c>
    </row>
    <row r="2796" spans="1:22" x14ac:dyDescent="0.35">
      <c r="A2796" s="4">
        <v>45571</v>
      </c>
      <c r="B2796" s="5">
        <v>0.20484953703703704</v>
      </c>
      <c r="C2796">
        <v>66.8</v>
      </c>
      <c r="D2796">
        <v>66.8</v>
      </c>
      <c r="E2796">
        <v>67</v>
      </c>
      <c r="F2796">
        <v>66.599999999999994</v>
      </c>
      <c r="G2796">
        <v>0</v>
      </c>
      <c r="H2796">
        <v>0</v>
      </c>
      <c r="I2796">
        <v>0</v>
      </c>
      <c r="J2796">
        <v>0</v>
      </c>
      <c r="K2796">
        <v>61.6</v>
      </c>
      <c r="L2796">
        <v>61.7</v>
      </c>
      <c r="M2796">
        <v>66.900000000000006</v>
      </c>
      <c r="N2796">
        <v>6</v>
      </c>
      <c r="O2796">
        <v>5</v>
      </c>
      <c r="P2796">
        <f>MOD(DAY(datos_siembra[[#This Row],[Date]]),7)</f>
        <v>6</v>
      </c>
      <c r="Q2796" t="str">
        <f>CHOOSE(WEEKDAY(datos_siembra[[#This Row],[Date]],2),"L","M","X","J","V","S","D")</f>
        <v>D</v>
      </c>
      <c r="R2796">
        <f>WEEKNUM(datos_siembra[[#This Row],[Date]],2)-WEEKNUM(DATE(YEAR(datos_siembra[[#This Row],[Date]]),MONTH(datos_siembra[[#This Row],[Date]]),1))+1</f>
        <v>1</v>
      </c>
      <c r="S2796">
        <f>MONTH(datos_siembra[[#This Row],[Date]])</f>
        <v>10</v>
      </c>
      <c r="T2796" t="str" cm="1">
        <f t="array" ref="T2796">_xlfn.IFS(AND(N2796&lt;= 22, S2796=9), "SOWING",AND(N2796&lt;= 28, S2796=9), "COVERAGE",AND(N2796&lt;= 30, S2796=9), "FLUSH",AND(N2796&lt;= 11, S2796=10), "FLUSH",AND(N2796&lt;= 21, S2796=10), "PRODUCTION")</f>
        <v>FLUSH</v>
      </c>
      <c r="U2796">
        <f>HOUR(datos_siembra[[#This Row],[Hour]])</f>
        <v>4</v>
      </c>
      <c r="V2796" cm="1">
        <f t="array" ref="V2796">_xlfn.IFS(AND(N2796&lt;= 22, S2796=9), N2796-7,AND(N2796&lt;= 28, S2796=9), N2796-25,AND(N2796&lt;= 30, S2796=9), N2796-28,AND(N2796&lt;= 11, S2796=10), N2796+2,AND(N2796&lt;= 21, S2796=10), N2796-11)</f>
        <v>8</v>
      </c>
    </row>
    <row r="2797" spans="1:22" x14ac:dyDescent="0.35">
      <c r="A2797" s="4">
        <v>45571</v>
      </c>
      <c r="B2797" s="5">
        <v>0.21179398148148149</v>
      </c>
      <c r="C2797">
        <v>66.900000000000006</v>
      </c>
      <c r="D2797">
        <v>66.900000000000006</v>
      </c>
      <c r="E2797">
        <v>67</v>
      </c>
      <c r="F2797">
        <v>66.5</v>
      </c>
      <c r="G2797">
        <v>0</v>
      </c>
      <c r="H2797">
        <v>0</v>
      </c>
      <c r="I2797">
        <v>0</v>
      </c>
      <c r="J2797">
        <v>0</v>
      </c>
      <c r="K2797">
        <v>61.6</v>
      </c>
      <c r="L2797">
        <v>61.8</v>
      </c>
      <c r="M2797">
        <v>66.900000000000006</v>
      </c>
      <c r="N2797">
        <v>6</v>
      </c>
      <c r="O2797">
        <v>5</v>
      </c>
      <c r="P2797">
        <f>MOD(DAY(datos_siembra[[#This Row],[Date]]),7)</f>
        <v>6</v>
      </c>
      <c r="Q2797" t="str">
        <f>CHOOSE(WEEKDAY(datos_siembra[[#This Row],[Date]],2),"L","M","X","J","V","S","D")</f>
        <v>D</v>
      </c>
      <c r="R2797">
        <f>WEEKNUM(datos_siembra[[#This Row],[Date]],2)-WEEKNUM(DATE(YEAR(datos_siembra[[#This Row],[Date]]),MONTH(datos_siembra[[#This Row],[Date]]),1))+1</f>
        <v>1</v>
      </c>
      <c r="S2797">
        <f>MONTH(datos_siembra[[#This Row],[Date]])</f>
        <v>10</v>
      </c>
      <c r="T2797" t="str" cm="1">
        <f t="array" ref="T2797">_xlfn.IFS(AND(N2797&lt;= 22, S2797=9), "SOWING",AND(N2797&lt;= 28, S2797=9), "COVERAGE",AND(N2797&lt;= 30, S2797=9), "FLUSH",AND(N2797&lt;= 11, S2797=10), "FLUSH",AND(N2797&lt;= 21, S2797=10), "PRODUCTION")</f>
        <v>FLUSH</v>
      </c>
      <c r="U2797">
        <f>HOUR(datos_siembra[[#This Row],[Hour]])</f>
        <v>5</v>
      </c>
      <c r="V2797" cm="1">
        <f t="array" ref="V2797">_xlfn.IFS(AND(N2797&lt;= 22, S2797=9), N2797-7,AND(N2797&lt;= 28, S2797=9), N2797-25,AND(N2797&lt;= 30, S2797=9), N2797-28,AND(N2797&lt;= 11, S2797=10), N2797+2,AND(N2797&lt;= 21, S2797=10), N2797-11)</f>
        <v>8</v>
      </c>
    </row>
    <row r="2798" spans="1:22" x14ac:dyDescent="0.35">
      <c r="A2798" s="4">
        <v>45571</v>
      </c>
      <c r="B2798" s="5">
        <v>0.21873842592592593</v>
      </c>
      <c r="C2798">
        <v>66.900000000000006</v>
      </c>
      <c r="D2798">
        <v>67.099999999999994</v>
      </c>
      <c r="E2798">
        <v>67.099999999999994</v>
      </c>
      <c r="F2798">
        <v>66.8</v>
      </c>
      <c r="G2798">
        <v>0</v>
      </c>
      <c r="H2798">
        <v>0</v>
      </c>
      <c r="I2798">
        <v>0</v>
      </c>
      <c r="J2798">
        <v>0</v>
      </c>
      <c r="K2798">
        <v>61.5</v>
      </c>
      <c r="L2798">
        <v>61.6</v>
      </c>
      <c r="M2798">
        <v>66.959999999999994</v>
      </c>
      <c r="N2798">
        <v>6</v>
      </c>
      <c r="O2798">
        <v>5</v>
      </c>
      <c r="P2798">
        <f>MOD(DAY(datos_siembra[[#This Row],[Date]]),7)</f>
        <v>6</v>
      </c>
      <c r="Q2798" t="str">
        <f>CHOOSE(WEEKDAY(datos_siembra[[#This Row],[Date]],2),"L","M","X","J","V","S","D")</f>
        <v>D</v>
      </c>
      <c r="R2798">
        <f>WEEKNUM(datos_siembra[[#This Row],[Date]],2)-WEEKNUM(DATE(YEAR(datos_siembra[[#This Row],[Date]]),MONTH(datos_siembra[[#This Row],[Date]]),1))+1</f>
        <v>1</v>
      </c>
      <c r="S2798">
        <f>MONTH(datos_siembra[[#This Row],[Date]])</f>
        <v>10</v>
      </c>
      <c r="T2798" t="str" cm="1">
        <f t="array" ref="T2798">_xlfn.IFS(AND(N2798&lt;= 22, S2798=9), "SOWING",AND(N2798&lt;= 28, S2798=9), "COVERAGE",AND(N2798&lt;= 30, S2798=9), "FLUSH",AND(N2798&lt;= 11, S2798=10), "FLUSH",AND(N2798&lt;= 21, S2798=10), "PRODUCTION")</f>
        <v>FLUSH</v>
      </c>
      <c r="U2798">
        <f>HOUR(datos_siembra[[#This Row],[Hour]])</f>
        <v>5</v>
      </c>
      <c r="V2798" cm="1">
        <f t="array" ref="V2798">_xlfn.IFS(AND(N2798&lt;= 22, S2798=9), N2798-7,AND(N2798&lt;= 28, S2798=9), N2798-25,AND(N2798&lt;= 30, S2798=9), N2798-28,AND(N2798&lt;= 11, S2798=10), N2798+2,AND(N2798&lt;= 21, S2798=10), N2798-11)</f>
        <v>8</v>
      </c>
    </row>
    <row r="2799" spans="1:22" x14ac:dyDescent="0.35">
      <c r="A2799" s="4">
        <v>45571</v>
      </c>
      <c r="B2799" s="5">
        <v>0.22569444444444445</v>
      </c>
      <c r="C2799">
        <v>66.900000000000006</v>
      </c>
      <c r="D2799">
        <v>66.900000000000006</v>
      </c>
      <c r="E2799">
        <v>67.099999999999994</v>
      </c>
      <c r="F2799">
        <v>66.900000000000006</v>
      </c>
      <c r="G2799">
        <v>0</v>
      </c>
      <c r="H2799">
        <v>0</v>
      </c>
      <c r="I2799">
        <v>0</v>
      </c>
      <c r="J2799">
        <v>0</v>
      </c>
      <c r="K2799">
        <v>61.5</v>
      </c>
      <c r="L2799">
        <v>61.6</v>
      </c>
      <c r="M2799">
        <v>66.930000000000007</v>
      </c>
      <c r="N2799">
        <v>6</v>
      </c>
      <c r="O2799">
        <v>5</v>
      </c>
      <c r="P2799">
        <f>MOD(DAY(datos_siembra[[#This Row],[Date]]),7)</f>
        <v>6</v>
      </c>
      <c r="Q2799" t="str">
        <f>CHOOSE(WEEKDAY(datos_siembra[[#This Row],[Date]],2),"L","M","X","J","V","S","D")</f>
        <v>D</v>
      </c>
      <c r="R2799">
        <f>WEEKNUM(datos_siembra[[#This Row],[Date]],2)-WEEKNUM(DATE(YEAR(datos_siembra[[#This Row],[Date]]),MONTH(datos_siembra[[#This Row],[Date]]),1))+1</f>
        <v>1</v>
      </c>
      <c r="S2799">
        <f>MONTH(datos_siembra[[#This Row],[Date]])</f>
        <v>10</v>
      </c>
      <c r="T2799" t="str" cm="1">
        <f t="array" ref="T2799">_xlfn.IFS(AND(N2799&lt;= 22, S2799=9), "SOWING",AND(N2799&lt;= 28, S2799=9), "COVERAGE",AND(N2799&lt;= 30, S2799=9), "FLUSH",AND(N2799&lt;= 11, S2799=10), "FLUSH",AND(N2799&lt;= 21, S2799=10), "PRODUCTION")</f>
        <v>FLUSH</v>
      </c>
      <c r="U2799">
        <f>HOUR(datos_siembra[[#This Row],[Hour]])</f>
        <v>5</v>
      </c>
      <c r="V2799" cm="1">
        <f t="array" ref="V2799">_xlfn.IFS(AND(N2799&lt;= 22, S2799=9), N2799-7,AND(N2799&lt;= 28, S2799=9), N2799-25,AND(N2799&lt;= 30, S2799=9), N2799-28,AND(N2799&lt;= 11, S2799=10), N2799+2,AND(N2799&lt;= 21, S2799=10), N2799-11)</f>
        <v>8</v>
      </c>
    </row>
    <row r="2800" spans="1:22" x14ac:dyDescent="0.35">
      <c r="A2800" s="4">
        <v>45571</v>
      </c>
      <c r="B2800" s="5">
        <v>0.2326388888888889</v>
      </c>
      <c r="C2800">
        <v>66.8</v>
      </c>
      <c r="D2800">
        <v>66.900000000000006</v>
      </c>
      <c r="E2800">
        <v>67</v>
      </c>
      <c r="F2800">
        <v>66.8</v>
      </c>
      <c r="G2800">
        <v>0</v>
      </c>
      <c r="H2800">
        <v>0</v>
      </c>
      <c r="I2800">
        <v>0</v>
      </c>
      <c r="J2800">
        <v>0</v>
      </c>
      <c r="K2800">
        <v>61.5</v>
      </c>
      <c r="L2800">
        <v>61.6</v>
      </c>
      <c r="M2800">
        <v>66.900000000000006</v>
      </c>
      <c r="N2800">
        <v>6</v>
      </c>
      <c r="O2800">
        <v>5</v>
      </c>
      <c r="P2800">
        <f>MOD(DAY(datos_siembra[[#This Row],[Date]]),7)</f>
        <v>6</v>
      </c>
      <c r="Q2800" t="str">
        <f>CHOOSE(WEEKDAY(datos_siembra[[#This Row],[Date]],2),"L","M","X","J","V","S","D")</f>
        <v>D</v>
      </c>
      <c r="R2800">
        <f>WEEKNUM(datos_siembra[[#This Row],[Date]],2)-WEEKNUM(DATE(YEAR(datos_siembra[[#This Row],[Date]]),MONTH(datos_siembra[[#This Row],[Date]]),1))+1</f>
        <v>1</v>
      </c>
      <c r="S2800">
        <f>MONTH(datos_siembra[[#This Row],[Date]])</f>
        <v>10</v>
      </c>
      <c r="T2800" t="str" cm="1">
        <f t="array" ref="T2800">_xlfn.IFS(AND(N2800&lt;= 22, S2800=9), "SOWING",AND(N2800&lt;= 28, S2800=9), "COVERAGE",AND(N2800&lt;= 30, S2800=9), "FLUSH",AND(N2800&lt;= 11, S2800=10), "FLUSH",AND(N2800&lt;= 21, S2800=10), "PRODUCTION")</f>
        <v>FLUSH</v>
      </c>
      <c r="U2800">
        <f>HOUR(datos_siembra[[#This Row],[Hour]])</f>
        <v>5</v>
      </c>
      <c r="V2800" cm="1">
        <f t="array" ref="V2800">_xlfn.IFS(AND(N2800&lt;= 22, S2800=9), N2800-7,AND(N2800&lt;= 28, S2800=9), N2800-25,AND(N2800&lt;= 30, S2800=9), N2800-28,AND(N2800&lt;= 11, S2800=10), N2800+2,AND(N2800&lt;= 21, S2800=10), N2800-11)</f>
        <v>8</v>
      </c>
    </row>
    <row r="2801" spans="1:22" x14ac:dyDescent="0.35">
      <c r="A2801" s="4">
        <v>45571</v>
      </c>
      <c r="B2801" s="5">
        <v>0.23958333333333334</v>
      </c>
      <c r="C2801">
        <v>66.900000000000006</v>
      </c>
      <c r="D2801">
        <v>67</v>
      </c>
      <c r="E2801">
        <v>67.099999999999994</v>
      </c>
      <c r="F2801">
        <v>66.900000000000006</v>
      </c>
      <c r="G2801">
        <v>0</v>
      </c>
      <c r="H2801">
        <v>0</v>
      </c>
      <c r="I2801">
        <v>0</v>
      </c>
      <c r="J2801">
        <v>0</v>
      </c>
      <c r="K2801">
        <v>61.4</v>
      </c>
      <c r="L2801">
        <v>61.5</v>
      </c>
      <c r="M2801">
        <v>66.900000000000006</v>
      </c>
      <c r="N2801">
        <v>6</v>
      </c>
      <c r="O2801">
        <v>5</v>
      </c>
      <c r="P2801">
        <f>MOD(DAY(datos_siembra[[#This Row],[Date]]),7)</f>
        <v>6</v>
      </c>
      <c r="Q2801" t="str">
        <f>CHOOSE(WEEKDAY(datos_siembra[[#This Row],[Date]],2),"L","M","X","J","V","S","D")</f>
        <v>D</v>
      </c>
      <c r="R2801">
        <f>WEEKNUM(datos_siembra[[#This Row],[Date]],2)-WEEKNUM(DATE(YEAR(datos_siembra[[#This Row],[Date]]),MONTH(datos_siembra[[#This Row],[Date]]),1))+1</f>
        <v>1</v>
      </c>
      <c r="S2801">
        <f>MONTH(datos_siembra[[#This Row],[Date]])</f>
        <v>10</v>
      </c>
      <c r="T2801" t="str" cm="1">
        <f t="array" ref="T2801">_xlfn.IFS(AND(N2801&lt;= 22, S2801=9), "SOWING",AND(N2801&lt;= 28, S2801=9), "COVERAGE",AND(N2801&lt;= 30, S2801=9), "FLUSH",AND(N2801&lt;= 11, S2801=10), "FLUSH",AND(N2801&lt;= 21, S2801=10), "PRODUCTION")</f>
        <v>FLUSH</v>
      </c>
      <c r="U2801">
        <f>HOUR(datos_siembra[[#This Row],[Hour]])</f>
        <v>5</v>
      </c>
      <c r="V2801" cm="1">
        <f t="array" ref="V2801">_xlfn.IFS(AND(N2801&lt;= 22, S2801=9), N2801-7,AND(N2801&lt;= 28, S2801=9), N2801-25,AND(N2801&lt;= 30, S2801=9), N2801-28,AND(N2801&lt;= 11, S2801=10), N2801+2,AND(N2801&lt;= 21, S2801=10), N2801-11)</f>
        <v>8</v>
      </c>
    </row>
    <row r="2802" spans="1:22" x14ac:dyDescent="0.35">
      <c r="A2802" s="4">
        <v>45571</v>
      </c>
      <c r="B2802" s="5">
        <v>0.24652777777777779</v>
      </c>
      <c r="C2802">
        <v>67</v>
      </c>
      <c r="D2802">
        <v>67</v>
      </c>
      <c r="E2802">
        <v>67</v>
      </c>
      <c r="F2802">
        <v>66.8</v>
      </c>
      <c r="G2802">
        <v>0</v>
      </c>
      <c r="H2802">
        <v>0</v>
      </c>
      <c r="I2802">
        <v>0</v>
      </c>
      <c r="J2802">
        <v>0</v>
      </c>
      <c r="K2802">
        <v>61.5</v>
      </c>
      <c r="L2802">
        <v>61.6</v>
      </c>
      <c r="M2802">
        <v>66.989999999999995</v>
      </c>
      <c r="N2802">
        <v>6</v>
      </c>
      <c r="O2802">
        <v>5</v>
      </c>
      <c r="P2802">
        <f>MOD(DAY(datos_siembra[[#This Row],[Date]]),7)</f>
        <v>6</v>
      </c>
      <c r="Q2802" t="str">
        <f>CHOOSE(WEEKDAY(datos_siembra[[#This Row],[Date]],2),"L","M","X","J","V","S","D")</f>
        <v>D</v>
      </c>
      <c r="R2802">
        <f>WEEKNUM(datos_siembra[[#This Row],[Date]],2)-WEEKNUM(DATE(YEAR(datos_siembra[[#This Row],[Date]]),MONTH(datos_siembra[[#This Row],[Date]]),1))+1</f>
        <v>1</v>
      </c>
      <c r="S2802">
        <f>MONTH(datos_siembra[[#This Row],[Date]])</f>
        <v>10</v>
      </c>
      <c r="T2802" t="str" cm="1">
        <f t="array" ref="T2802">_xlfn.IFS(AND(N2802&lt;= 22, S2802=9), "SOWING",AND(N2802&lt;= 28, S2802=9), "COVERAGE",AND(N2802&lt;= 30, S2802=9), "FLUSH",AND(N2802&lt;= 11, S2802=10), "FLUSH",AND(N2802&lt;= 21, S2802=10), "PRODUCTION")</f>
        <v>FLUSH</v>
      </c>
      <c r="U2802">
        <f>HOUR(datos_siembra[[#This Row],[Hour]])</f>
        <v>5</v>
      </c>
      <c r="V2802" cm="1">
        <f t="array" ref="V2802">_xlfn.IFS(AND(N2802&lt;= 22, S2802=9), N2802-7,AND(N2802&lt;= 28, S2802=9), N2802-25,AND(N2802&lt;= 30, S2802=9), N2802-28,AND(N2802&lt;= 11, S2802=10), N2802+2,AND(N2802&lt;= 21, S2802=10), N2802-11)</f>
        <v>8</v>
      </c>
    </row>
    <row r="2803" spans="1:22" x14ac:dyDescent="0.35">
      <c r="A2803" s="4">
        <v>45571</v>
      </c>
      <c r="B2803" s="5">
        <v>0.2534837962962963</v>
      </c>
      <c r="C2803">
        <v>66.900000000000006</v>
      </c>
      <c r="D2803">
        <v>67</v>
      </c>
      <c r="E2803">
        <v>67</v>
      </c>
      <c r="F2803">
        <v>66.8</v>
      </c>
      <c r="G2803">
        <v>0</v>
      </c>
      <c r="H2803">
        <v>0</v>
      </c>
      <c r="I2803">
        <v>0</v>
      </c>
      <c r="J2803">
        <v>0</v>
      </c>
      <c r="K2803">
        <v>61.4</v>
      </c>
      <c r="L2803">
        <v>61.5</v>
      </c>
      <c r="M2803">
        <v>66.87</v>
      </c>
      <c r="N2803">
        <v>6</v>
      </c>
      <c r="O2803">
        <v>5</v>
      </c>
      <c r="P2803">
        <f>MOD(DAY(datos_siembra[[#This Row],[Date]]),7)</f>
        <v>6</v>
      </c>
      <c r="Q2803" t="str">
        <f>CHOOSE(WEEKDAY(datos_siembra[[#This Row],[Date]],2),"L","M","X","J","V","S","D")</f>
        <v>D</v>
      </c>
      <c r="R2803">
        <f>WEEKNUM(datos_siembra[[#This Row],[Date]],2)-WEEKNUM(DATE(YEAR(datos_siembra[[#This Row],[Date]]),MONTH(datos_siembra[[#This Row],[Date]]),1))+1</f>
        <v>1</v>
      </c>
      <c r="S2803">
        <f>MONTH(datos_siembra[[#This Row],[Date]])</f>
        <v>10</v>
      </c>
      <c r="T2803" t="str" cm="1">
        <f t="array" ref="T2803">_xlfn.IFS(AND(N2803&lt;= 22, S2803=9), "SOWING",AND(N2803&lt;= 28, S2803=9), "COVERAGE",AND(N2803&lt;= 30, S2803=9), "FLUSH",AND(N2803&lt;= 11, S2803=10), "FLUSH",AND(N2803&lt;= 21, S2803=10), "PRODUCTION")</f>
        <v>FLUSH</v>
      </c>
      <c r="U2803">
        <f>HOUR(datos_siembra[[#This Row],[Hour]])</f>
        <v>6</v>
      </c>
      <c r="V2803" cm="1">
        <f t="array" ref="V2803">_xlfn.IFS(AND(N2803&lt;= 22, S2803=9), N2803-7,AND(N2803&lt;= 28, S2803=9), N2803-25,AND(N2803&lt;= 30, S2803=9), N2803-28,AND(N2803&lt;= 11, S2803=10), N2803+2,AND(N2803&lt;= 21, S2803=10), N2803-11)</f>
        <v>8</v>
      </c>
    </row>
    <row r="2804" spans="1:22" x14ac:dyDescent="0.35">
      <c r="A2804" s="4">
        <v>45571</v>
      </c>
      <c r="B2804" s="5">
        <v>0.26042824074074072</v>
      </c>
      <c r="C2804">
        <v>66.8</v>
      </c>
      <c r="D2804">
        <v>66.8</v>
      </c>
      <c r="E2804">
        <v>67</v>
      </c>
      <c r="F2804">
        <v>66.599999999999994</v>
      </c>
      <c r="G2804">
        <v>0</v>
      </c>
      <c r="H2804">
        <v>0</v>
      </c>
      <c r="I2804">
        <v>0</v>
      </c>
      <c r="J2804">
        <v>0</v>
      </c>
      <c r="K2804">
        <v>61.2</v>
      </c>
      <c r="L2804">
        <v>61.4</v>
      </c>
      <c r="M2804">
        <v>66.849999999999994</v>
      </c>
      <c r="N2804">
        <v>6</v>
      </c>
      <c r="O2804">
        <v>5</v>
      </c>
      <c r="P2804">
        <f>MOD(DAY(datos_siembra[[#This Row],[Date]]),7)</f>
        <v>6</v>
      </c>
      <c r="Q2804" t="str">
        <f>CHOOSE(WEEKDAY(datos_siembra[[#This Row],[Date]],2),"L","M","X","J","V","S","D")</f>
        <v>D</v>
      </c>
      <c r="R2804">
        <f>WEEKNUM(datos_siembra[[#This Row],[Date]],2)-WEEKNUM(DATE(YEAR(datos_siembra[[#This Row],[Date]]),MONTH(datos_siembra[[#This Row],[Date]]),1))+1</f>
        <v>1</v>
      </c>
      <c r="S2804">
        <f>MONTH(datos_siembra[[#This Row],[Date]])</f>
        <v>10</v>
      </c>
      <c r="T2804" t="str" cm="1">
        <f t="array" ref="T2804">_xlfn.IFS(AND(N2804&lt;= 22, S2804=9), "SOWING",AND(N2804&lt;= 28, S2804=9), "COVERAGE",AND(N2804&lt;= 30, S2804=9), "FLUSH",AND(N2804&lt;= 11, S2804=10), "FLUSH",AND(N2804&lt;= 21, S2804=10), "PRODUCTION")</f>
        <v>FLUSH</v>
      </c>
      <c r="U2804">
        <f>HOUR(datos_siembra[[#This Row],[Hour]])</f>
        <v>6</v>
      </c>
      <c r="V2804" cm="1">
        <f t="array" ref="V2804">_xlfn.IFS(AND(N2804&lt;= 22, S2804=9), N2804-7,AND(N2804&lt;= 28, S2804=9), N2804-25,AND(N2804&lt;= 30, S2804=9), N2804-28,AND(N2804&lt;= 11, S2804=10), N2804+2,AND(N2804&lt;= 21, S2804=10), N2804-11)</f>
        <v>8</v>
      </c>
    </row>
    <row r="2805" spans="1:22" x14ac:dyDescent="0.35">
      <c r="A2805" s="4">
        <v>45571</v>
      </c>
      <c r="B2805" s="5">
        <v>0.2673726851851852</v>
      </c>
      <c r="C2805">
        <v>66.900000000000006</v>
      </c>
      <c r="D2805">
        <v>67</v>
      </c>
      <c r="E2805">
        <v>67</v>
      </c>
      <c r="F2805">
        <v>66.8</v>
      </c>
      <c r="G2805">
        <v>0</v>
      </c>
      <c r="H2805">
        <v>0</v>
      </c>
      <c r="I2805">
        <v>0</v>
      </c>
      <c r="J2805">
        <v>0</v>
      </c>
      <c r="K2805">
        <v>61.2</v>
      </c>
      <c r="L2805">
        <v>61.5</v>
      </c>
      <c r="M2805">
        <v>66.849999999999994</v>
      </c>
      <c r="N2805">
        <v>6</v>
      </c>
      <c r="O2805">
        <v>5</v>
      </c>
      <c r="P2805">
        <f>MOD(DAY(datos_siembra[[#This Row],[Date]]),7)</f>
        <v>6</v>
      </c>
      <c r="Q2805" t="str">
        <f>CHOOSE(WEEKDAY(datos_siembra[[#This Row],[Date]],2),"L","M","X","J","V","S","D")</f>
        <v>D</v>
      </c>
      <c r="R2805">
        <f>WEEKNUM(datos_siembra[[#This Row],[Date]],2)-WEEKNUM(DATE(YEAR(datos_siembra[[#This Row],[Date]]),MONTH(datos_siembra[[#This Row],[Date]]),1))+1</f>
        <v>1</v>
      </c>
      <c r="S2805">
        <f>MONTH(datos_siembra[[#This Row],[Date]])</f>
        <v>10</v>
      </c>
      <c r="T2805" t="str" cm="1">
        <f t="array" ref="T2805">_xlfn.IFS(AND(N2805&lt;= 22, S2805=9), "SOWING",AND(N2805&lt;= 28, S2805=9), "COVERAGE",AND(N2805&lt;= 30, S2805=9), "FLUSH",AND(N2805&lt;= 11, S2805=10), "FLUSH",AND(N2805&lt;= 21, S2805=10), "PRODUCTION")</f>
        <v>FLUSH</v>
      </c>
      <c r="U2805">
        <f>HOUR(datos_siembra[[#This Row],[Hour]])</f>
        <v>6</v>
      </c>
      <c r="V2805" cm="1">
        <f t="array" ref="V2805">_xlfn.IFS(AND(N2805&lt;= 22, S2805=9), N2805-7,AND(N2805&lt;= 28, S2805=9), N2805-25,AND(N2805&lt;= 30, S2805=9), N2805-28,AND(N2805&lt;= 11, S2805=10), N2805+2,AND(N2805&lt;= 21, S2805=10), N2805-11)</f>
        <v>8</v>
      </c>
    </row>
    <row r="2806" spans="1:22" x14ac:dyDescent="0.35">
      <c r="A2806" s="4">
        <v>45571</v>
      </c>
      <c r="B2806" s="5">
        <v>0.27431712962962962</v>
      </c>
      <c r="C2806">
        <v>66.900000000000006</v>
      </c>
      <c r="D2806">
        <v>67</v>
      </c>
      <c r="E2806">
        <v>67</v>
      </c>
      <c r="F2806">
        <v>66.900000000000006</v>
      </c>
      <c r="G2806">
        <v>0</v>
      </c>
      <c r="H2806">
        <v>0</v>
      </c>
      <c r="I2806">
        <v>0</v>
      </c>
      <c r="J2806">
        <v>0</v>
      </c>
      <c r="K2806">
        <v>61.2</v>
      </c>
      <c r="L2806">
        <v>61.4</v>
      </c>
      <c r="M2806">
        <v>66.959999999999994</v>
      </c>
      <c r="N2806">
        <v>6</v>
      </c>
      <c r="O2806">
        <v>5</v>
      </c>
      <c r="P2806">
        <f>MOD(DAY(datos_siembra[[#This Row],[Date]]),7)</f>
        <v>6</v>
      </c>
      <c r="Q2806" t="str">
        <f>CHOOSE(WEEKDAY(datos_siembra[[#This Row],[Date]],2),"L","M","X","J","V","S","D")</f>
        <v>D</v>
      </c>
      <c r="R2806">
        <f>WEEKNUM(datos_siembra[[#This Row],[Date]],2)-WEEKNUM(DATE(YEAR(datos_siembra[[#This Row],[Date]]),MONTH(datos_siembra[[#This Row],[Date]]),1))+1</f>
        <v>1</v>
      </c>
      <c r="S2806">
        <f>MONTH(datos_siembra[[#This Row],[Date]])</f>
        <v>10</v>
      </c>
      <c r="T2806" t="str" cm="1">
        <f t="array" ref="T2806">_xlfn.IFS(AND(N2806&lt;= 22, S2806=9), "SOWING",AND(N2806&lt;= 28, S2806=9), "COVERAGE",AND(N2806&lt;= 30, S2806=9), "FLUSH",AND(N2806&lt;= 11, S2806=10), "FLUSH",AND(N2806&lt;= 21, S2806=10), "PRODUCTION")</f>
        <v>FLUSH</v>
      </c>
      <c r="U2806">
        <f>HOUR(datos_siembra[[#This Row],[Hour]])</f>
        <v>6</v>
      </c>
      <c r="V2806" cm="1">
        <f t="array" ref="V2806">_xlfn.IFS(AND(N2806&lt;= 22, S2806=9), N2806-7,AND(N2806&lt;= 28, S2806=9), N2806-25,AND(N2806&lt;= 30, S2806=9), N2806-28,AND(N2806&lt;= 11, S2806=10), N2806+2,AND(N2806&lt;= 21, S2806=10), N2806-11)</f>
        <v>8</v>
      </c>
    </row>
    <row r="2807" spans="1:22" x14ac:dyDescent="0.35">
      <c r="A2807" s="4">
        <v>45571</v>
      </c>
      <c r="B2807" s="5">
        <v>0.28127314814814813</v>
      </c>
      <c r="C2807">
        <v>67</v>
      </c>
      <c r="D2807">
        <v>66.900000000000006</v>
      </c>
      <c r="E2807">
        <v>67.099999999999994</v>
      </c>
      <c r="F2807">
        <v>66.599999999999994</v>
      </c>
      <c r="G2807">
        <v>0</v>
      </c>
      <c r="H2807">
        <v>0</v>
      </c>
      <c r="I2807">
        <v>0</v>
      </c>
      <c r="J2807">
        <v>0</v>
      </c>
      <c r="K2807">
        <v>61.2</v>
      </c>
      <c r="L2807">
        <v>61.5</v>
      </c>
      <c r="M2807">
        <v>66.900000000000006</v>
      </c>
      <c r="N2807">
        <v>6</v>
      </c>
      <c r="O2807">
        <v>5</v>
      </c>
      <c r="P2807">
        <f>MOD(DAY(datos_siembra[[#This Row],[Date]]),7)</f>
        <v>6</v>
      </c>
      <c r="Q2807" t="str">
        <f>CHOOSE(WEEKDAY(datos_siembra[[#This Row],[Date]],2),"L","M","X","J","V","S","D")</f>
        <v>D</v>
      </c>
      <c r="R2807">
        <f>WEEKNUM(datos_siembra[[#This Row],[Date]],2)-WEEKNUM(DATE(YEAR(datos_siembra[[#This Row],[Date]]),MONTH(datos_siembra[[#This Row],[Date]]),1))+1</f>
        <v>1</v>
      </c>
      <c r="S2807">
        <f>MONTH(datos_siembra[[#This Row],[Date]])</f>
        <v>10</v>
      </c>
      <c r="T2807" t="str" cm="1">
        <f t="array" ref="T2807">_xlfn.IFS(AND(N2807&lt;= 22, S2807=9), "SOWING",AND(N2807&lt;= 28, S2807=9), "COVERAGE",AND(N2807&lt;= 30, S2807=9), "FLUSH",AND(N2807&lt;= 11, S2807=10), "FLUSH",AND(N2807&lt;= 21, S2807=10), "PRODUCTION")</f>
        <v>FLUSH</v>
      </c>
      <c r="U2807">
        <f>HOUR(datos_siembra[[#This Row],[Hour]])</f>
        <v>6</v>
      </c>
      <c r="V2807" cm="1">
        <f t="array" ref="V2807">_xlfn.IFS(AND(N2807&lt;= 22, S2807=9), N2807-7,AND(N2807&lt;= 28, S2807=9), N2807-25,AND(N2807&lt;= 30, S2807=9), N2807-28,AND(N2807&lt;= 11, S2807=10), N2807+2,AND(N2807&lt;= 21, S2807=10), N2807-11)</f>
        <v>8</v>
      </c>
    </row>
    <row r="2808" spans="1:22" x14ac:dyDescent="0.35">
      <c r="A2808" s="4">
        <v>45571</v>
      </c>
      <c r="B2808" s="5">
        <v>0.28821759259259261</v>
      </c>
      <c r="C2808">
        <v>66.8</v>
      </c>
      <c r="D2808">
        <v>66.900000000000006</v>
      </c>
      <c r="E2808">
        <v>67</v>
      </c>
      <c r="F2808">
        <v>66.8</v>
      </c>
      <c r="G2808">
        <v>0</v>
      </c>
      <c r="H2808">
        <v>0</v>
      </c>
      <c r="I2808">
        <v>0</v>
      </c>
      <c r="J2808">
        <v>0</v>
      </c>
      <c r="K2808">
        <v>61.2</v>
      </c>
      <c r="L2808">
        <v>61.5</v>
      </c>
      <c r="M2808">
        <v>66.849999999999994</v>
      </c>
      <c r="N2808">
        <v>6</v>
      </c>
      <c r="O2808">
        <v>5</v>
      </c>
      <c r="P2808">
        <f>MOD(DAY(datos_siembra[[#This Row],[Date]]),7)</f>
        <v>6</v>
      </c>
      <c r="Q2808" t="str">
        <f>CHOOSE(WEEKDAY(datos_siembra[[#This Row],[Date]],2),"L","M","X","J","V","S","D")</f>
        <v>D</v>
      </c>
      <c r="R2808">
        <f>WEEKNUM(datos_siembra[[#This Row],[Date]],2)-WEEKNUM(DATE(YEAR(datos_siembra[[#This Row],[Date]]),MONTH(datos_siembra[[#This Row],[Date]]),1))+1</f>
        <v>1</v>
      </c>
      <c r="S2808">
        <f>MONTH(datos_siembra[[#This Row],[Date]])</f>
        <v>10</v>
      </c>
      <c r="T2808" t="str" cm="1">
        <f t="array" ref="T2808">_xlfn.IFS(AND(N2808&lt;= 22, S2808=9), "SOWING",AND(N2808&lt;= 28, S2808=9), "COVERAGE",AND(N2808&lt;= 30, S2808=9), "FLUSH",AND(N2808&lt;= 11, S2808=10), "FLUSH",AND(N2808&lt;= 21, S2808=10), "PRODUCTION")</f>
        <v>FLUSH</v>
      </c>
      <c r="U2808">
        <f>HOUR(datos_siembra[[#This Row],[Hour]])</f>
        <v>6</v>
      </c>
      <c r="V2808" cm="1">
        <f t="array" ref="V2808">_xlfn.IFS(AND(N2808&lt;= 22, S2808=9), N2808-7,AND(N2808&lt;= 28, S2808=9), N2808-25,AND(N2808&lt;= 30, S2808=9), N2808-28,AND(N2808&lt;= 11, S2808=10), N2808+2,AND(N2808&lt;= 21, S2808=10), N2808-11)</f>
        <v>8</v>
      </c>
    </row>
    <row r="2809" spans="1:22" x14ac:dyDescent="0.35">
      <c r="A2809" s="4">
        <v>45571</v>
      </c>
      <c r="B2809" s="5">
        <v>0.29516203703703703</v>
      </c>
      <c r="C2809">
        <v>66.900000000000006</v>
      </c>
      <c r="D2809">
        <v>66.900000000000006</v>
      </c>
      <c r="E2809">
        <v>67.099999999999994</v>
      </c>
      <c r="F2809">
        <v>66.8</v>
      </c>
      <c r="G2809">
        <v>0</v>
      </c>
      <c r="H2809">
        <v>0</v>
      </c>
      <c r="I2809">
        <v>0</v>
      </c>
      <c r="J2809">
        <v>0</v>
      </c>
      <c r="K2809">
        <v>61.2</v>
      </c>
      <c r="L2809">
        <v>61.6</v>
      </c>
      <c r="M2809">
        <v>66.900000000000006</v>
      </c>
      <c r="N2809">
        <v>6</v>
      </c>
      <c r="O2809">
        <v>5</v>
      </c>
      <c r="P2809">
        <f>MOD(DAY(datos_siembra[[#This Row],[Date]]),7)</f>
        <v>6</v>
      </c>
      <c r="Q2809" t="str">
        <f>CHOOSE(WEEKDAY(datos_siembra[[#This Row],[Date]],2),"L","M","X","J","V","S","D")</f>
        <v>D</v>
      </c>
      <c r="R2809">
        <f>WEEKNUM(datos_siembra[[#This Row],[Date]],2)-WEEKNUM(DATE(YEAR(datos_siembra[[#This Row],[Date]]),MONTH(datos_siembra[[#This Row],[Date]]),1))+1</f>
        <v>1</v>
      </c>
      <c r="S2809">
        <f>MONTH(datos_siembra[[#This Row],[Date]])</f>
        <v>10</v>
      </c>
      <c r="T2809" t="str" cm="1">
        <f t="array" ref="T2809">_xlfn.IFS(AND(N2809&lt;= 22, S2809=9), "SOWING",AND(N2809&lt;= 28, S2809=9), "COVERAGE",AND(N2809&lt;= 30, S2809=9), "FLUSH",AND(N2809&lt;= 11, S2809=10), "FLUSH",AND(N2809&lt;= 21, S2809=10), "PRODUCTION")</f>
        <v>FLUSH</v>
      </c>
      <c r="U2809">
        <f>HOUR(datos_siembra[[#This Row],[Hour]])</f>
        <v>7</v>
      </c>
      <c r="V2809" cm="1">
        <f t="array" ref="V2809">_xlfn.IFS(AND(N2809&lt;= 22, S2809=9), N2809-7,AND(N2809&lt;= 28, S2809=9), N2809-25,AND(N2809&lt;= 30, S2809=9), N2809-28,AND(N2809&lt;= 11, S2809=10), N2809+2,AND(N2809&lt;= 21, S2809=10), N2809-11)</f>
        <v>8</v>
      </c>
    </row>
    <row r="2810" spans="1:22" x14ac:dyDescent="0.35">
      <c r="A2810" s="4">
        <v>45571</v>
      </c>
      <c r="B2810" s="5">
        <v>0.30211805555555554</v>
      </c>
      <c r="C2810">
        <v>66.900000000000006</v>
      </c>
      <c r="D2810">
        <v>67</v>
      </c>
      <c r="E2810">
        <v>67</v>
      </c>
      <c r="F2810">
        <v>66.599999999999994</v>
      </c>
      <c r="G2810">
        <v>0</v>
      </c>
      <c r="H2810">
        <v>0</v>
      </c>
      <c r="I2810">
        <v>0</v>
      </c>
      <c r="J2810">
        <v>0</v>
      </c>
      <c r="K2810">
        <v>61.4</v>
      </c>
      <c r="L2810">
        <v>61.6</v>
      </c>
      <c r="M2810">
        <v>66.819999999999993</v>
      </c>
      <c r="N2810">
        <v>6</v>
      </c>
      <c r="O2810">
        <v>5</v>
      </c>
      <c r="P2810">
        <f>MOD(DAY(datos_siembra[[#This Row],[Date]]),7)</f>
        <v>6</v>
      </c>
      <c r="Q2810" t="str">
        <f>CHOOSE(WEEKDAY(datos_siembra[[#This Row],[Date]],2),"L","M","X","J","V","S","D")</f>
        <v>D</v>
      </c>
      <c r="R2810">
        <f>WEEKNUM(datos_siembra[[#This Row],[Date]],2)-WEEKNUM(DATE(YEAR(datos_siembra[[#This Row],[Date]]),MONTH(datos_siembra[[#This Row],[Date]]),1))+1</f>
        <v>1</v>
      </c>
      <c r="S2810">
        <f>MONTH(datos_siembra[[#This Row],[Date]])</f>
        <v>10</v>
      </c>
      <c r="T2810" t="str" cm="1">
        <f t="array" ref="T2810">_xlfn.IFS(AND(N2810&lt;= 22, S2810=9), "SOWING",AND(N2810&lt;= 28, S2810=9), "COVERAGE",AND(N2810&lt;= 30, S2810=9), "FLUSH",AND(N2810&lt;= 11, S2810=10), "FLUSH",AND(N2810&lt;= 21, S2810=10), "PRODUCTION")</f>
        <v>FLUSH</v>
      </c>
      <c r="U2810">
        <f>HOUR(datos_siembra[[#This Row],[Hour]])</f>
        <v>7</v>
      </c>
      <c r="V2810" cm="1">
        <f t="array" ref="V2810">_xlfn.IFS(AND(N2810&lt;= 22, S2810=9), N2810-7,AND(N2810&lt;= 28, S2810=9), N2810-25,AND(N2810&lt;= 30, S2810=9), N2810-28,AND(N2810&lt;= 11, S2810=10), N2810+2,AND(N2810&lt;= 21, S2810=10), N2810-11)</f>
        <v>8</v>
      </c>
    </row>
    <row r="2811" spans="1:22" x14ac:dyDescent="0.35">
      <c r="A2811" s="4">
        <v>45571</v>
      </c>
      <c r="B2811" s="5">
        <v>0.30906250000000002</v>
      </c>
      <c r="C2811">
        <v>66.900000000000006</v>
      </c>
      <c r="D2811">
        <v>66.900000000000006</v>
      </c>
      <c r="E2811">
        <v>67.099999999999994</v>
      </c>
      <c r="F2811">
        <v>66.599999999999994</v>
      </c>
      <c r="G2811">
        <v>0</v>
      </c>
      <c r="H2811">
        <v>0</v>
      </c>
      <c r="I2811">
        <v>0</v>
      </c>
      <c r="J2811">
        <v>0</v>
      </c>
      <c r="K2811">
        <v>61.5</v>
      </c>
      <c r="L2811">
        <v>61.7</v>
      </c>
      <c r="M2811">
        <v>66.849999999999994</v>
      </c>
      <c r="N2811">
        <v>6</v>
      </c>
      <c r="O2811">
        <v>5</v>
      </c>
      <c r="P2811">
        <f>MOD(DAY(datos_siembra[[#This Row],[Date]]),7)</f>
        <v>6</v>
      </c>
      <c r="Q2811" t="str">
        <f>CHOOSE(WEEKDAY(datos_siembra[[#This Row],[Date]],2),"L","M","X","J","V","S","D")</f>
        <v>D</v>
      </c>
      <c r="R2811">
        <f>WEEKNUM(datos_siembra[[#This Row],[Date]],2)-WEEKNUM(DATE(YEAR(datos_siembra[[#This Row],[Date]]),MONTH(datos_siembra[[#This Row],[Date]]),1))+1</f>
        <v>1</v>
      </c>
      <c r="S2811">
        <f>MONTH(datos_siembra[[#This Row],[Date]])</f>
        <v>10</v>
      </c>
      <c r="T2811" t="str" cm="1">
        <f t="array" ref="T2811">_xlfn.IFS(AND(N2811&lt;= 22, S2811=9), "SOWING",AND(N2811&lt;= 28, S2811=9), "COVERAGE",AND(N2811&lt;= 30, S2811=9), "FLUSH",AND(N2811&lt;= 11, S2811=10), "FLUSH",AND(N2811&lt;= 21, S2811=10), "PRODUCTION")</f>
        <v>FLUSH</v>
      </c>
      <c r="U2811">
        <f>HOUR(datos_siembra[[#This Row],[Hour]])</f>
        <v>7</v>
      </c>
      <c r="V2811" cm="1">
        <f t="array" ref="V2811">_xlfn.IFS(AND(N2811&lt;= 22, S2811=9), N2811-7,AND(N2811&lt;= 28, S2811=9), N2811-25,AND(N2811&lt;= 30, S2811=9), N2811-28,AND(N2811&lt;= 11, S2811=10), N2811+2,AND(N2811&lt;= 21, S2811=10), N2811-11)</f>
        <v>8</v>
      </c>
    </row>
    <row r="2812" spans="1:22" x14ac:dyDescent="0.35">
      <c r="A2812" s="4">
        <v>45571</v>
      </c>
      <c r="B2812" s="5">
        <v>0.31600694444444444</v>
      </c>
      <c r="C2812">
        <v>66.8</v>
      </c>
      <c r="D2812">
        <v>66.8</v>
      </c>
      <c r="E2812">
        <v>66.900000000000006</v>
      </c>
      <c r="F2812">
        <v>66.8</v>
      </c>
      <c r="G2812">
        <v>0</v>
      </c>
      <c r="H2812">
        <v>0</v>
      </c>
      <c r="I2812">
        <v>0</v>
      </c>
      <c r="J2812">
        <v>0</v>
      </c>
      <c r="K2812">
        <v>61.5</v>
      </c>
      <c r="L2812">
        <v>61.8</v>
      </c>
      <c r="M2812">
        <v>66.790000000000006</v>
      </c>
      <c r="N2812">
        <v>6</v>
      </c>
      <c r="O2812">
        <v>5</v>
      </c>
      <c r="P2812">
        <f>MOD(DAY(datos_siembra[[#This Row],[Date]]),7)</f>
        <v>6</v>
      </c>
      <c r="Q2812" t="str">
        <f>CHOOSE(WEEKDAY(datos_siembra[[#This Row],[Date]],2),"L","M","X","J","V","S","D")</f>
        <v>D</v>
      </c>
      <c r="R2812">
        <f>WEEKNUM(datos_siembra[[#This Row],[Date]],2)-WEEKNUM(DATE(YEAR(datos_siembra[[#This Row],[Date]]),MONTH(datos_siembra[[#This Row],[Date]]),1))+1</f>
        <v>1</v>
      </c>
      <c r="S2812">
        <f>MONTH(datos_siembra[[#This Row],[Date]])</f>
        <v>10</v>
      </c>
      <c r="T2812" t="str" cm="1">
        <f t="array" ref="T2812">_xlfn.IFS(AND(N2812&lt;= 22, S2812=9), "SOWING",AND(N2812&lt;= 28, S2812=9), "COVERAGE",AND(N2812&lt;= 30, S2812=9), "FLUSH",AND(N2812&lt;= 11, S2812=10), "FLUSH",AND(N2812&lt;= 21, S2812=10), "PRODUCTION")</f>
        <v>FLUSH</v>
      </c>
      <c r="U2812">
        <f>HOUR(datos_siembra[[#This Row],[Hour]])</f>
        <v>7</v>
      </c>
      <c r="V2812" cm="1">
        <f t="array" ref="V2812">_xlfn.IFS(AND(N2812&lt;= 22, S2812=9), N2812-7,AND(N2812&lt;= 28, S2812=9), N2812-25,AND(N2812&lt;= 30, S2812=9), N2812-28,AND(N2812&lt;= 11, S2812=10), N2812+2,AND(N2812&lt;= 21, S2812=10), N2812-11)</f>
        <v>8</v>
      </c>
    </row>
    <row r="2813" spans="1:22" x14ac:dyDescent="0.35">
      <c r="A2813" s="4">
        <v>45571</v>
      </c>
      <c r="B2813" s="5">
        <v>0.32295138888888891</v>
      </c>
      <c r="C2813">
        <v>66.8</v>
      </c>
      <c r="D2813">
        <v>66.8</v>
      </c>
      <c r="E2813">
        <v>66.900000000000006</v>
      </c>
      <c r="F2813">
        <v>66.599999999999994</v>
      </c>
      <c r="G2813">
        <v>0</v>
      </c>
      <c r="H2813">
        <v>0</v>
      </c>
      <c r="I2813">
        <v>0</v>
      </c>
      <c r="J2813">
        <v>0</v>
      </c>
      <c r="K2813">
        <v>61.6</v>
      </c>
      <c r="L2813">
        <v>61.9</v>
      </c>
      <c r="M2813">
        <v>66.849999999999994</v>
      </c>
      <c r="N2813">
        <v>6</v>
      </c>
      <c r="O2813">
        <v>5</v>
      </c>
      <c r="P2813">
        <f>MOD(DAY(datos_siembra[[#This Row],[Date]]),7)</f>
        <v>6</v>
      </c>
      <c r="Q2813" t="str">
        <f>CHOOSE(WEEKDAY(datos_siembra[[#This Row],[Date]],2),"L","M","X","J","V","S","D")</f>
        <v>D</v>
      </c>
      <c r="R2813">
        <f>WEEKNUM(datos_siembra[[#This Row],[Date]],2)-WEEKNUM(DATE(YEAR(datos_siembra[[#This Row],[Date]]),MONTH(datos_siembra[[#This Row],[Date]]),1))+1</f>
        <v>1</v>
      </c>
      <c r="S2813">
        <f>MONTH(datos_siembra[[#This Row],[Date]])</f>
        <v>10</v>
      </c>
      <c r="T2813" t="str" cm="1">
        <f t="array" ref="T2813">_xlfn.IFS(AND(N2813&lt;= 22, S2813=9), "SOWING",AND(N2813&lt;= 28, S2813=9), "COVERAGE",AND(N2813&lt;= 30, S2813=9), "FLUSH",AND(N2813&lt;= 11, S2813=10), "FLUSH",AND(N2813&lt;= 21, S2813=10), "PRODUCTION")</f>
        <v>FLUSH</v>
      </c>
      <c r="U2813">
        <f>HOUR(datos_siembra[[#This Row],[Hour]])</f>
        <v>7</v>
      </c>
      <c r="V2813" cm="1">
        <f t="array" ref="V2813">_xlfn.IFS(AND(N2813&lt;= 22, S2813=9), N2813-7,AND(N2813&lt;= 28, S2813=9), N2813-25,AND(N2813&lt;= 30, S2813=9), N2813-28,AND(N2813&lt;= 11, S2813=10), N2813+2,AND(N2813&lt;= 21, S2813=10), N2813-11)</f>
        <v>8</v>
      </c>
    </row>
    <row r="2814" spans="1:22" x14ac:dyDescent="0.35">
      <c r="A2814" s="4">
        <v>45571</v>
      </c>
      <c r="B2814" s="5">
        <v>0.32990740740740743</v>
      </c>
      <c r="C2814">
        <v>66.8</v>
      </c>
      <c r="D2814">
        <v>67</v>
      </c>
      <c r="E2814">
        <v>66.900000000000006</v>
      </c>
      <c r="F2814">
        <v>66.599999999999994</v>
      </c>
      <c r="G2814">
        <v>0</v>
      </c>
      <c r="H2814">
        <v>0</v>
      </c>
      <c r="I2814">
        <v>0</v>
      </c>
      <c r="J2814">
        <v>0</v>
      </c>
      <c r="K2814">
        <v>61.6</v>
      </c>
      <c r="L2814">
        <v>62</v>
      </c>
      <c r="M2814">
        <v>66.87</v>
      </c>
      <c r="N2814">
        <v>6</v>
      </c>
      <c r="O2814">
        <v>5</v>
      </c>
      <c r="P2814">
        <f>MOD(DAY(datos_siembra[[#This Row],[Date]]),7)</f>
        <v>6</v>
      </c>
      <c r="Q2814" t="str">
        <f>CHOOSE(WEEKDAY(datos_siembra[[#This Row],[Date]],2),"L","M","X","J","V","S","D")</f>
        <v>D</v>
      </c>
      <c r="R2814">
        <f>WEEKNUM(datos_siembra[[#This Row],[Date]],2)-WEEKNUM(DATE(YEAR(datos_siembra[[#This Row],[Date]]),MONTH(datos_siembra[[#This Row],[Date]]),1))+1</f>
        <v>1</v>
      </c>
      <c r="S2814">
        <f>MONTH(datos_siembra[[#This Row],[Date]])</f>
        <v>10</v>
      </c>
      <c r="T2814" t="str" cm="1">
        <f t="array" ref="T2814">_xlfn.IFS(AND(N2814&lt;= 22, S2814=9), "SOWING",AND(N2814&lt;= 28, S2814=9), "COVERAGE",AND(N2814&lt;= 30, S2814=9), "FLUSH",AND(N2814&lt;= 11, S2814=10), "FLUSH",AND(N2814&lt;= 21, S2814=10), "PRODUCTION")</f>
        <v>FLUSH</v>
      </c>
      <c r="U2814">
        <f>HOUR(datos_siembra[[#This Row],[Hour]])</f>
        <v>7</v>
      </c>
      <c r="V2814" cm="1">
        <f t="array" ref="V2814">_xlfn.IFS(AND(N2814&lt;= 22, S2814=9), N2814-7,AND(N2814&lt;= 28, S2814=9), N2814-25,AND(N2814&lt;= 30, S2814=9), N2814-28,AND(N2814&lt;= 11, S2814=10), N2814+2,AND(N2814&lt;= 21, S2814=10), N2814-11)</f>
        <v>8</v>
      </c>
    </row>
    <row r="2815" spans="1:22" x14ac:dyDescent="0.35">
      <c r="A2815" s="4">
        <v>45571</v>
      </c>
      <c r="B2815" s="5">
        <v>0.33685185185185185</v>
      </c>
      <c r="C2815">
        <v>66.8</v>
      </c>
      <c r="D2815">
        <v>66.900000000000006</v>
      </c>
      <c r="E2815">
        <v>67</v>
      </c>
      <c r="F2815">
        <v>66.599999999999994</v>
      </c>
      <c r="G2815">
        <v>0</v>
      </c>
      <c r="H2815">
        <v>0</v>
      </c>
      <c r="I2815">
        <v>0</v>
      </c>
      <c r="J2815">
        <v>0</v>
      </c>
      <c r="K2815">
        <v>61.7</v>
      </c>
      <c r="L2815">
        <v>62.2</v>
      </c>
      <c r="M2815">
        <v>66.87</v>
      </c>
      <c r="N2815">
        <v>6</v>
      </c>
      <c r="O2815">
        <v>5</v>
      </c>
      <c r="P2815">
        <f>MOD(DAY(datos_siembra[[#This Row],[Date]]),7)</f>
        <v>6</v>
      </c>
      <c r="Q2815" t="str">
        <f>CHOOSE(WEEKDAY(datos_siembra[[#This Row],[Date]],2),"L","M","X","J","V","S","D")</f>
        <v>D</v>
      </c>
      <c r="R2815">
        <f>WEEKNUM(datos_siembra[[#This Row],[Date]],2)-WEEKNUM(DATE(YEAR(datos_siembra[[#This Row],[Date]]),MONTH(datos_siembra[[#This Row],[Date]]),1))+1</f>
        <v>1</v>
      </c>
      <c r="S2815">
        <f>MONTH(datos_siembra[[#This Row],[Date]])</f>
        <v>10</v>
      </c>
      <c r="T2815" t="str" cm="1">
        <f t="array" ref="T2815">_xlfn.IFS(AND(N2815&lt;= 22, S2815=9), "SOWING",AND(N2815&lt;= 28, S2815=9), "COVERAGE",AND(N2815&lt;= 30, S2815=9), "FLUSH",AND(N2815&lt;= 11, S2815=10), "FLUSH",AND(N2815&lt;= 21, S2815=10), "PRODUCTION")</f>
        <v>FLUSH</v>
      </c>
      <c r="U2815">
        <f>HOUR(datos_siembra[[#This Row],[Hour]])</f>
        <v>8</v>
      </c>
      <c r="V2815" cm="1">
        <f t="array" ref="V2815">_xlfn.IFS(AND(N2815&lt;= 22, S2815=9), N2815-7,AND(N2815&lt;= 28, S2815=9), N2815-25,AND(N2815&lt;= 30, S2815=9), N2815-28,AND(N2815&lt;= 11, S2815=10), N2815+2,AND(N2815&lt;= 21, S2815=10), N2815-11)</f>
        <v>8</v>
      </c>
    </row>
    <row r="2816" spans="1:22" x14ac:dyDescent="0.35">
      <c r="A2816" s="4">
        <v>45571</v>
      </c>
      <c r="B2816" s="5">
        <v>0.34379629629629632</v>
      </c>
      <c r="C2816">
        <v>66.900000000000006</v>
      </c>
      <c r="D2816">
        <v>66.900000000000006</v>
      </c>
      <c r="E2816">
        <v>67.099999999999994</v>
      </c>
      <c r="F2816">
        <v>66.8</v>
      </c>
      <c r="G2816">
        <v>0</v>
      </c>
      <c r="H2816">
        <v>0</v>
      </c>
      <c r="I2816">
        <v>0</v>
      </c>
      <c r="J2816">
        <v>0</v>
      </c>
      <c r="K2816">
        <v>61.8</v>
      </c>
      <c r="L2816">
        <v>62.3</v>
      </c>
      <c r="M2816">
        <v>66.760000000000005</v>
      </c>
      <c r="N2816">
        <v>6</v>
      </c>
      <c r="O2816">
        <v>5</v>
      </c>
      <c r="P2816">
        <f>MOD(DAY(datos_siembra[[#This Row],[Date]]),7)</f>
        <v>6</v>
      </c>
      <c r="Q2816" t="str">
        <f>CHOOSE(WEEKDAY(datos_siembra[[#This Row],[Date]],2),"L","M","X","J","V","S","D")</f>
        <v>D</v>
      </c>
      <c r="R2816">
        <f>WEEKNUM(datos_siembra[[#This Row],[Date]],2)-WEEKNUM(DATE(YEAR(datos_siembra[[#This Row],[Date]]),MONTH(datos_siembra[[#This Row],[Date]]),1))+1</f>
        <v>1</v>
      </c>
      <c r="S2816">
        <f>MONTH(datos_siembra[[#This Row],[Date]])</f>
        <v>10</v>
      </c>
      <c r="T2816" t="str" cm="1">
        <f t="array" ref="T2816">_xlfn.IFS(AND(N2816&lt;= 22, S2816=9), "SOWING",AND(N2816&lt;= 28, S2816=9), "COVERAGE",AND(N2816&lt;= 30, S2816=9), "FLUSH",AND(N2816&lt;= 11, S2816=10), "FLUSH",AND(N2816&lt;= 21, S2816=10), "PRODUCTION")</f>
        <v>FLUSH</v>
      </c>
      <c r="U2816">
        <f>HOUR(datos_siembra[[#This Row],[Hour]])</f>
        <v>8</v>
      </c>
      <c r="V2816" cm="1">
        <f t="array" ref="V2816">_xlfn.IFS(AND(N2816&lt;= 22, S2816=9), N2816-7,AND(N2816&lt;= 28, S2816=9), N2816-25,AND(N2816&lt;= 30, S2816=9), N2816-28,AND(N2816&lt;= 11, S2816=10), N2816+2,AND(N2816&lt;= 21, S2816=10), N2816-11)</f>
        <v>8</v>
      </c>
    </row>
    <row r="2817" spans="1:22" x14ac:dyDescent="0.35">
      <c r="A2817" s="4">
        <v>45571</v>
      </c>
      <c r="B2817" s="5">
        <v>0.35072916666666665</v>
      </c>
      <c r="C2817">
        <v>66.900000000000006</v>
      </c>
      <c r="D2817">
        <v>66.900000000000006</v>
      </c>
      <c r="E2817">
        <v>67.099999999999994</v>
      </c>
      <c r="F2817">
        <v>66.599999999999994</v>
      </c>
      <c r="G2817">
        <v>0</v>
      </c>
      <c r="H2817">
        <v>0</v>
      </c>
      <c r="I2817">
        <v>0</v>
      </c>
      <c r="J2817">
        <v>0</v>
      </c>
      <c r="K2817">
        <v>61.5</v>
      </c>
      <c r="L2817">
        <v>61.7</v>
      </c>
      <c r="M2817">
        <v>66.849999999999994</v>
      </c>
      <c r="N2817">
        <v>6</v>
      </c>
      <c r="O2817">
        <v>5</v>
      </c>
      <c r="P2817">
        <f>MOD(DAY(datos_siembra[[#This Row],[Date]]),7)</f>
        <v>6</v>
      </c>
      <c r="Q2817" t="str">
        <f>CHOOSE(WEEKDAY(datos_siembra[[#This Row],[Date]],2),"L","M","X","J","V","S","D")</f>
        <v>D</v>
      </c>
      <c r="R2817">
        <f>WEEKNUM(datos_siembra[[#This Row],[Date]],2)-WEEKNUM(DATE(YEAR(datos_siembra[[#This Row],[Date]]),MONTH(datos_siembra[[#This Row],[Date]]),1))+1</f>
        <v>1</v>
      </c>
      <c r="S2817">
        <f>MONTH(datos_siembra[[#This Row],[Date]])</f>
        <v>10</v>
      </c>
      <c r="T2817" t="str" cm="1">
        <f t="array" ref="T2817">_xlfn.IFS(AND(N2817&lt;= 22, S2817=9), "SOWING",AND(N2817&lt;= 28, S2817=9), "COVERAGE",AND(N2817&lt;= 30, S2817=9), "FLUSH",AND(N2817&lt;= 11, S2817=10), "FLUSH",AND(N2817&lt;= 21, S2817=10), "PRODUCTION")</f>
        <v>FLUSH</v>
      </c>
      <c r="U2817">
        <f>HOUR(datos_siembra[[#This Row],[Hour]])</f>
        <v>8</v>
      </c>
      <c r="V2817" cm="1">
        <f t="array" ref="V2817">_xlfn.IFS(AND(N2817&lt;= 22, S2817=9), N2817-7,AND(N2817&lt;= 28, S2817=9), N2817-25,AND(N2817&lt;= 30, S2817=9), N2817-28,AND(N2817&lt;= 11, S2817=10), N2817+2,AND(N2817&lt;= 21, S2817=10), N2817-11)</f>
        <v>8</v>
      </c>
    </row>
    <row r="2818" spans="1:22" x14ac:dyDescent="0.35">
      <c r="A2818" s="4">
        <v>45571</v>
      </c>
      <c r="B2818" s="5">
        <v>0.35767361111111112</v>
      </c>
      <c r="C2818">
        <v>66.8</v>
      </c>
      <c r="D2818">
        <v>66.8</v>
      </c>
      <c r="E2818">
        <v>66.900000000000006</v>
      </c>
      <c r="F2818">
        <v>66.8</v>
      </c>
      <c r="G2818">
        <v>0</v>
      </c>
      <c r="H2818">
        <v>0</v>
      </c>
      <c r="I2818">
        <v>0</v>
      </c>
      <c r="J2818">
        <v>0</v>
      </c>
      <c r="K2818">
        <v>61.5</v>
      </c>
      <c r="L2818">
        <v>61.8</v>
      </c>
      <c r="M2818">
        <v>66.790000000000006</v>
      </c>
      <c r="N2818">
        <v>6</v>
      </c>
      <c r="O2818">
        <v>5</v>
      </c>
      <c r="P2818">
        <f>MOD(DAY(datos_siembra[[#This Row],[Date]]),7)</f>
        <v>6</v>
      </c>
      <c r="Q2818" t="str">
        <f>CHOOSE(WEEKDAY(datos_siembra[[#This Row],[Date]],2),"L","M","X","J","V","S","D")</f>
        <v>D</v>
      </c>
      <c r="R2818">
        <f>WEEKNUM(datos_siembra[[#This Row],[Date]],2)-WEEKNUM(DATE(YEAR(datos_siembra[[#This Row],[Date]]),MONTH(datos_siembra[[#This Row],[Date]]),1))+1</f>
        <v>1</v>
      </c>
      <c r="S2818">
        <f>MONTH(datos_siembra[[#This Row],[Date]])</f>
        <v>10</v>
      </c>
      <c r="T2818" t="str" cm="1">
        <f t="array" ref="T2818">_xlfn.IFS(AND(N2818&lt;= 22, S2818=9), "SOWING",AND(N2818&lt;= 28, S2818=9), "COVERAGE",AND(N2818&lt;= 30, S2818=9), "FLUSH",AND(N2818&lt;= 11, S2818=10), "FLUSH",AND(N2818&lt;= 21, S2818=10), "PRODUCTION")</f>
        <v>FLUSH</v>
      </c>
      <c r="U2818">
        <f>HOUR(datos_siembra[[#This Row],[Hour]])</f>
        <v>8</v>
      </c>
      <c r="V2818" cm="1">
        <f t="array" ref="V2818">_xlfn.IFS(AND(N2818&lt;= 22, S2818=9), N2818-7,AND(N2818&lt;= 28, S2818=9), N2818-25,AND(N2818&lt;= 30, S2818=9), N2818-28,AND(N2818&lt;= 11, S2818=10), N2818+2,AND(N2818&lt;= 21, S2818=10), N2818-11)</f>
        <v>8</v>
      </c>
    </row>
    <row r="2819" spans="1:22" x14ac:dyDescent="0.35">
      <c r="A2819" s="4">
        <v>45571</v>
      </c>
      <c r="B2819" s="5">
        <v>0.36461805555555554</v>
      </c>
      <c r="C2819">
        <v>66.8</v>
      </c>
      <c r="D2819">
        <v>66.8</v>
      </c>
      <c r="E2819">
        <v>66.900000000000006</v>
      </c>
      <c r="F2819">
        <v>66.599999999999994</v>
      </c>
      <c r="G2819">
        <v>0</v>
      </c>
      <c r="H2819">
        <v>0</v>
      </c>
      <c r="I2819">
        <v>0</v>
      </c>
      <c r="J2819">
        <v>0</v>
      </c>
      <c r="K2819">
        <v>61.6</v>
      </c>
      <c r="L2819">
        <v>61.9</v>
      </c>
      <c r="M2819">
        <v>66.849999999999994</v>
      </c>
      <c r="N2819">
        <v>6</v>
      </c>
      <c r="O2819">
        <v>5</v>
      </c>
      <c r="P2819">
        <f>MOD(DAY(datos_siembra[[#This Row],[Date]]),7)</f>
        <v>6</v>
      </c>
      <c r="Q2819" t="str">
        <f>CHOOSE(WEEKDAY(datos_siembra[[#This Row],[Date]],2),"L","M","X","J","V","S","D")</f>
        <v>D</v>
      </c>
      <c r="R2819">
        <f>WEEKNUM(datos_siembra[[#This Row],[Date]],2)-WEEKNUM(DATE(YEAR(datos_siembra[[#This Row],[Date]]),MONTH(datos_siembra[[#This Row],[Date]]),1))+1</f>
        <v>1</v>
      </c>
      <c r="S2819">
        <f>MONTH(datos_siembra[[#This Row],[Date]])</f>
        <v>10</v>
      </c>
      <c r="T2819" t="str" cm="1">
        <f t="array" ref="T2819">_xlfn.IFS(AND(N2819&lt;= 22, S2819=9), "SOWING",AND(N2819&lt;= 28, S2819=9), "COVERAGE",AND(N2819&lt;= 30, S2819=9), "FLUSH",AND(N2819&lt;= 11, S2819=10), "FLUSH",AND(N2819&lt;= 21, S2819=10), "PRODUCTION")</f>
        <v>FLUSH</v>
      </c>
      <c r="U2819">
        <f>HOUR(datos_siembra[[#This Row],[Hour]])</f>
        <v>8</v>
      </c>
      <c r="V2819" cm="1">
        <f t="array" ref="V2819">_xlfn.IFS(AND(N2819&lt;= 22, S2819=9), N2819-7,AND(N2819&lt;= 28, S2819=9), N2819-25,AND(N2819&lt;= 30, S2819=9), N2819-28,AND(N2819&lt;= 11, S2819=10), N2819+2,AND(N2819&lt;= 21, S2819=10), N2819-11)</f>
        <v>8</v>
      </c>
    </row>
    <row r="2820" spans="1:22" x14ac:dyDescent="0.35">
      <c r="A2820" s="4">
        <v>45571</v>
      </c>
      <c r="B2820" s="5">
        <v>0.37157407407407406</v>
      </c>
      <c r="C2820">
        <v>66.8</v>
      </c>
      <c r="D2820">
        <v>67</v>
      </c>
      <c r="E2820">
        <v>66.900000000000006</v>
      </c>
      <c r="F2820">
        <v>66.599999999999994</v>
      </c>
      <c r="G2820">
        <v>0</v>
      </c>
      <c r="H2820">
        <v>0</v>
      </c>
      <c r="I2820">
        <v>0</v>
      </c>
      <c r="J2820">
        <v>0</v>
      </c>
      <c r="K2820">
        <v>61.6</v>
      </c>
      <c r="L2820">
        <v>62</v>
      </c>
      <c r="M2820">
        <v>66.87</v>
      </c>
      <c r="N2820">
        <v>6</v>
      </c>
      <c r="O2820">
        <v>5</v>
      </c>
      <c r="P2820">
        <f>MOD(DAY(datos_siembra[[#This Row],[Date]]),7)</f>
        <v>6</v>
      </c>
      <c r="Q2820" t="str">
        <f>CHOOSE(WEEKDAY(datos_siembra[[#This Row],[Date]],2),"L","M","X","J","V","S","D")</f>
        <v>D</v>
      </c>
      <c r="R2820">
        <f>WEEKNUM(datos_siembra[[#This Row],[Date]],2)-WEEKNUM(DATE(YEAR(datos_siembra[[#This Row],[Date]]),MONTH(datos_siembra[[#This Row],[Date]]),1))+1</f>
        <v>1</v>
      </c>
      <c r="S2820">
        <f>MONTH(datos_siembra[[#This Row],[Date]])</f>
        <v>10</v>
      </c>
      <c r="T2820" t="str" cm="1">
        <f t="array" ref="T2820">_xlfn.IFS(AND(N2820&lt;= 22, S2820=9), "SOWING",AND(N2820&lt;= 28, S2820=9), "COVERAGE",AND(N2820&lt;= 30, S2820=9), "FLUSH",AND(N2820&lt;= 11, S2820=10), "FLUSH",AND(N2820&lt;= 21, S2820=10), "PRODUCTION")</f>
        <v>FLUSH</v>
      </c>
      <c r="U2820">
        <f>HOUR(datos_siembra[[#This Row],[Hour]])</f>
        <v>8</v>
      </c>
      <c r="V2820" cm="1">
        <f t="array" ref="V2820">_xlfn.IFS(AND(N2820&lt;= 22, S2820=9), N2820-7,AND(N2820&lt;= 28, S2820=9), N2820-25,AND(N2820&lt;= 30, S2820=9), N2820-28,AND(N2820&lt;= 11, S2820=10), N2820+2,AND(N2820&lt;= 21, S2820=10), N2820-11)</f>
        <v>8</v>
      </c>
    </row>
    <row r="2821" spans="1:22" x14ac:dyDescent="0.35">
      <c r="A2821" s="4">
        <v>45571</v>
      </c>
      <c r="B2821" s="5">
        <v>0.38047453703703704</v>
      </c>
      <c r="C2821">
        <v>66.599999999999994</v>
      </c>
      <c r="D2821">
        <v>66.5</v>
      </c>
      <c r="E2821">
        <v>66.599999999999994</v>
      </c>
      <c r="F2821">
        <v>66.3</v>
      </c>
      <c r="G2821">
        <v>0</v>
      </c>
      <c r="H2821">
        <v>0</v>
      </c>
      <c r="I2821">
        <v>0</v>
      </c>
      <c r="J2821">
        <v>0</v>
      </c>
      <c r="K2821">
        <v>62.2</v>
      </c>
      <c r="L2821">
        <v>62.9</v>
      </c>
      <c r="M2821">
        <v>66.540000000000006</v>
      </c>
      <c r="N2821">
        <v>6</v>
      </c>
      <c r="O2821">
        <v>5</v>
      </c>
      <c r="P2821">
        <f>MOD(DAY(datos_siembra[[#This Row],[Date]]),7)</f>
        <v>6</v>
      </c>
      <c r="Q2821" t="str">
        <f>CHOOSE(WEEKDAY(datos_siembra[[#This Row],[Date]],2),"L","M","X","J","V","S","D")</f>
        <v>D</v>
      </c>
      <c r="R2821">
        <f>WEEKNUM(datos_siembra[[#This Row],[Date]],2)-WEEKNUM(DATE(YEAR(datos_siembra[[#This Row],[Date]]),MONTH(datos_siembra[[#This Row],[Date]]),1))+1</f>
        <v>1</v>
      </c>
      <c r="S2821">
        <f>MONTH(datos_siembra[[#This Row],[Date]])</f>
        <v>10</v>
      </c>
      <c r="T2821" t="str" cm="1">
        <f t="array" ref="T2821">_xlfn.IFS(AND(N2821&lt;= 22, S2821=9), "SOWING",AND(N2821&lt;= 28, S2821=9), "COVERAGE",AND(N2821&lt;= 30, S2821=9), "FLUSH",AND(N2821&lt;= 11, S2821=10), "FLUSH",AND(N2821&lt;= 21, S2821=10), "PRODUCTION")</f>
        <v>FLUSH</v>
      </c>
      <c r="U2821">
        <f>HOUR(datos_siembra[[#This Row],[Hour]])</f>
        <v>9</v>
      </c>
      <c r="V2821" cm="1">
        <f t="array" ref="V2821">_xlfn.IFS(AND(N2821&lt;= 22, S2821=9), N2821-7,AND(N2821&lt;= 28, S2821=9), N2821-25,AND(N2821&lt;= 30, S2821=9), N2821-28,AND(N2821&lt;= 11, S2821=10), N2821+2,AND(N2821&lt;= 21, S2821=10), N2821-11)</f>
        <v>8</v>
      </c>
    </row>
    <row r="2822" spans="1:22" x14ac:dyDescent="0.35">
      <c r="A2822" s="4">
        <v>45571</v>
      </c>
      <c r="B2822" s="5">
        <v>0.38728009259259261</v>
      </c>
      <c r="C2822">
        <v>66.599999999999994</v>
      </c>
      <c r="D2822">
        <v>66.5</v>
      </c>
      <c r="E2822">
        <v>66.900000000000006</v>
      </c>
      <c r="F2822">
        <v>66.400000000000006</v>
      </c>
      <c r="G2822">
        <v>0</v>
      </c>
      <c r="H2822">
        <v>0</v>
      </c>
      <c r="I2822">
        <v>0</v>
      </c>
      <c r="J2822">
        <v>0</v>
      </c>
      <c r="K2822">
        <v>62.4</v>
      </c>
      <c r="L2822">
        <v>63.2</v>
      </c>
      <c r="M2822">
        <v>66.510000000000005</v>
      </c>
      <c r="N2822">
        <v>6</v>
      </c>
      <c r="O2822">
        <v>5</v>
      </c>
      <c r="P2822">
        <f>MOD(DAY(datos_siembra[[#This Row],[Date]]),7)</f>
        <v>6</v>
      </c>
      <c r="Q2822" t="str">
        <f>CHOOSE(WEEKDAY(datos_siembra[[#This Row],[Date]],2),"L","M","X","J","V","S","D")</f>
        <v>D</v>
      </c>
      <c r="R2822">
        <f>WEEKNUM(datos_siembra[[#This Row],[Date]],2)-WEEKNUM(DATE(YEAR(datos_siembra[[#This Row],[Date]]),MONTH(datos_siembra[[#This Row],[Date]]),1))+1</f>
        <v>1</v>
      </c>
      <c r="S2822">
        <f>MONTH(datos_siembra[[#This Row],[Date]])</f>
        <v>10</v>
      </c>
      <c r="T2822" t="str" cm="1">
        <f t="array" ref="T2822">_xlfn.IFS(AND(N2822&lt;= 22, S2822=9), "SOWING",AND(N2822&lt;= 28, S2822=9), "COVERAGE",AND(N2822&lt;= 30, S2822=9), "FLUSH",AND(N2822&lt;= 11, S2822=10), "FLUSH",AND(N2822&lt;= 21, S2822=10), "PRODUCTION")</f>
        <v>FLUSH</v>
      </c>
      <c r="U2822">
        <f>HOUR(datos_siembra[[#This Row],[Hour]])</f>
        <v>9</v>
      </c>
      <c r="V2822" cm="1">
        <f t="array" ref="V2822">_xlfn.IFS(AND(N2822&lt;= 22, S2822=9), N2822-7,AND(N2822&lt;= 28, S2822=9), N2822-25,AND(N2822&lt;= 30, S2822=9), N2822-28,AND(N2822&lt;= 11, S2822=10), N2822+2,AND(N2822&lt;= 21, S2822=10), N2822-11)</f>
        <v>8</v>
      </c>
    </row>
    <row r="2823" spans="1:22" x14ac:dyDescent="0.35">
      <c r="A2823" s="4">
        <v>45571</v>
      </c>
      <c r="B2823" s="5">
        <v>0.39422453703703703</v>
      </c>
      <c r="C2823">
        <v>66.5</v>
      </c>
      <c r="D2823">
        <v>66.8</v>
      </c>
      <c r="E2823">
        <v>66.8</v>
      </c>
      <c r="F2823">
        <v>66.3</v>
      </c>
      <c r="G2823">
        <v>0</v>
      </c>
      <c r="H2823">
        <v>0</v>
      </c>
      <c r="I2823">
        <v>0</v>
      </c>
      <c r="J2823">
        <v>0</v>
      </c>
      <c r="K2823">
        <v>62.5</v>
      </c>
      <c r="L2823">
        <v>63.3</v>
      </c>
      <c r="M2823">
        <v>66.680000000000007</v>
      </c>
      <c r="N2823">
        <v>6</v>
      </c>
      <c r="O2823">
        <v>5</v>
      </c>
      <c r="P2823">
        <f>MOD(DAY(datos_siembra[[#This Row],[Date]]),7)</f>
        <v>6</v>
      </c>
      <c r="Q2823" t="str">
        <f>CHOOSE(WEEKDAY(datos_siembra[[#This Row],[Date]],2),"L","M","X","J","V","S","D")</f>
        <v>D</v>
      </c>
      <c r="R2823">
        <f>WEEKNUM(datos_siembra[[#This Row],[Date]],2)-WEEKNUM(DATE(YEAR(datos_siembra[[#This Row],[Date]]),MONTH(datos_siembra[[#This Row],[Date]]),1))+1</f>
        <v>1</v>
      </c>
      <c r="S2823">
        <f>MONTH(datos_siembra[[#This Row],[Date]])</f>
        <v>10</v>
      </c>
      <c r="T2823" t="str" cm="1">
        <f t="array" ref="T2823">_xlfn.IFS(AND(N2823&lt;= 22, S2823=9), "SOWING",AND(N2823&lt;= 28, S2823=9), "COVERAGE",AND(N2823&lt;= 30, S2823=9), "FLUSH",AND(N2823&lt;= 11, S2823=10), "FLUSH",AND(N2823&lt;= 21, S2823=10), "PRODUCTION")</f>
        <v>FLUSH</v>
      </c>
      <c r="U2823">
        <f>HOUR(datos_siembra[[#This Row],[Hour]])</f>
        <v>9</v>
      </c>
      <c r="V2823" cm="1">
        <f t="array" ref="V2823">_xlfn.IFS(AND(N2823&lt;= 22, S2823=9), N2823-7,AND(N2823&lt;= 28, S2823=9), N2823-25,AND(N2823&lt;= 30, S2823=9), N2823-28,AND(N2823&lt;= 11, S2823=10), N2823+2,AND(N2823&lt;= 21, S2823=10), N2823-11)</f>
        <v>8</v>
      </c>
    </row>
    <row r="2824" spans="1:22" x14ac:dyDescent="0.35">
      <c r="A2824" s="4">
        <v>45571</v>
      </c>
      <c r="B2824" s="5">
        <v>0.40118055555555554</v>
      </c>
      <c r="C2824">
        <v>66.599999999999994</v>
      </c>
      <c r="D2824">
        <v>66.599999999999994</v>
      </c>
      <c r="E2824">
        <v>66.8</v>
      </c>
      <c r="F2824">
        <v>66.400000000000006</v>
      </c>
      <c r="G2824">
        <v>0</v>
      </c>
      <c r="H2824">
        <v>0</v>
      </c>
      <c r="I2824">
        <v>0</v>
      </c>
      <c r="J2824">
        <v>0</v>
      </c>
      <c r="K2824">
        <v>62.6</v>
      </c>
      <c r="L2824">
        <v>63.4</v>
      </c>
      <c r="M2824">
        <v>66.540000000000006</v>
      </c>
      <c r="N2824">
        <v>6</v>
      </c>
      <c r="O2824">
        <v>5</v>
      </c>
      <c r="P2824">
        <f>MOD(DAY(datos_siembra[[#This Row],[Date]]),7)</f>
        <v>6</v>
      </c>
      <c r="Q2824" t="str">
        <f>CHOOSE(WEEKDAY(datos_siembra[[#This Row],[Date]],2),"L","M","X","J","V","S","D")</f>
        <v>D</v>
      </c>
      <c r="R2824">
        <f>WEEKNUM(datos_siembra[[#This Row],[Date]],2)-WEEKNUM(DATE(YEAR(datos_siembra[[#This Row],[Date]]),MONTH(datos_siembra[[#This Row],[Date]]),1))+1</f>
        <v>1</v>
      </c>
      <c r="S2824">
        <f>MONTH(datos_siembra[[#This Row],[Date]])</f>
        <v>10</v>
      </c>
      <c r="T2824" t="str" cm="1">
        <f t="array" ref="T2824">_xlfn.IFS(AND(N2824&lt;= 22, S2824=9), "SOWING",AND(N2824&lt;= 28, S2824=9), "COVERAGE",AND(N2824&lt;= 30, S2824=9), "FLUSH",AND(N2824&lt;= 11, S2824=10), "FLUSH",AND(N2824&lt;= 21, S2824=10), "PRODUCTION")</f>
        <v>FLUSH</v>
      </c>
      <c r="U2824">
        <f>HOUR(datos_siembra[[#This Row],[Hour]])</f>
        <v>9</v>
      </c>
      <c r="V2824" cm="1">
        <f t="array" ref="V2824">_xlfn.IFS(AND(N2824&lt;= 22, S2824=9), N2824-7,AND(N2824&lt;= 28, S2824=9), N2824-25,AND(N2824&lt;= 30, S2824=9), N2824-28,AND(N2824&lt;= 11, S2824=10), N2824+2,AND(N2824&lt;= 21, S2824=10), N2824-11)</f>
        <v>8</v>
      </c>
    </row>
    <row r="2825" spans="1:22" x14ac:dyDescent="0.35">
      <c r="A2825" s="4">
        <v>45571</v>
      </c>
      <c r="B2825" s="5">
        <v>0.40812500000000002</v>
      </c>
      <c r="C2825">
        <v>66.8</v>
      </c>
      <c r="D2825">
        <v>66.400000000000006</v>
      </c>
      <c r="E2825">
        <v>66.8</v>
      </c>
      <c r="F2825">
        <v>66.400000000000006</v>
      </c>
      <c r="G2825">
        <v>0</v>
      </c>
      <c r="H2825">
        <v>0</v>
      </c>
      <c r="I2825">
        <v>0</v>
      </c>
      <c r="J2825">
        <v>0</v>
      </c>
      <c r="K2825">
        <v>62.7</v>
      </c>
      <c r="L2825">
        <v>63.6</v>
      </c>
      <c r="M2825">
        <v>66.569999999999993</v>
      </c>
      <c r="N2825">
        <v>6</v>
      </c>
      <c r="O2825">
        <v>5</v>
      </c>
      <c r="P2825">
        <f>MOD(DAY(datos_siembra[[#This Row],[Date]]),7)</f>
        <v>6</v>
      </c>
      <c r="Q2825" t="str">
        <f>CHOOSE(WEEKDAY(datos_siembra[[#This Row],[Date]],2),"L","M","X","J","V","S","D")</f>
        <v>D</v>
      </c>
      <c r="R2825">
        <f>WEEKNUM(datos_siembra[[#This Row],[Date]],2)-WEEKNUM(DATE(YEAR(datos_siembra[[#This Row],[Date]]),MONTH(datos_siembra[[#This Row],[Date]]),1))+1</f>
        <v>1</v>
      </c>
      <c r="S2825">
        <f>MONTH(datos_siembra[[#This Row],[Date]])</f>
        <v>10</v>
      </c>
      <c r="T2825" t="str" cm="1">
        <f t="array" ref="T2825">_xlfn.IFS(AND(N2825&lt;= 22, S2825=9), "SOWING",AND(N2825&lt;= 28, S2825=9), "COVERAGE",AND(N2825&lt;= 30, S2825=9), "FLUSH",AND(N2825&lt;= 11, S2825=10), "FLUSH",AND(N2825&lt;= 21, S2825=10), "PRODUCTION")</f>
        <v>FLUSH</v>
      </c>
      <c r="U2825">
        <f>HOUR(datos_siembra[[#This Row],[Hour]])</f>
        <v>9</v>
      </c>
      <c r="V2825" cm="1">
        <f t="array" ref="V2825">_xlfn.IFS(AND(N2825&lt;= 22, S2825=9), N2825-7,AND(N2825&lt;= 28, S2825=9), N2825-25,AND(N2825&lt;= 30, S2825=9), N2825-28,AND(N2825&lt;= 11, S2825=10), N2825+2,AND(N2825&lt;= 21, S2825=10), N2825-11)</f>
        <v>8</v>
      </c>
    </row>
    <row r="2826" spans="1:22" x14ac:dyDescent="0.35">
      <c r="A2826" s="4">
        <v>45571</v>
      </c>
      <c r="B2826" s="5">
        <v>0.41506944444444444</v>
      </c>
      <c r="C2826">
        <v>66.599999999999994</v>
      </c>
      <c r="D2826">
        <v>66.400000000000006</v>
      </c>
      <c r="E2826">
        <v>66.599999999999994</v>
      </c>
      <c r="F2826">
        <v>66.5</v>
      </c>
      <c r="G2826">
        <v>0</v>
      </c>
      <c r="H2826">
        <v>0</v>
      </c>
      <c r="I2826">
        <v>0</v>
      </c>
      <c r="J2826">
        <v>0</v>
      </c>
      <c r="K2826">
        <v>62.9</v>
      </c>
      <c r="L2826">
        <v>63.7</v>
      </c>
      <c r="M2826">
        <v>66.540000000000006</v>
      </c>
      <c r="N2826">
        <v>6</v>
      </c>
      <c r="O2826">
        <v>5</v>
      </c>
      <c r="P2826">
        <f>MOD(DAY(datos_siembra[[#This Row],[Date]]),7)</f>
        <v>6</v>
      </c>
      <c r="Q2826" t="str">
        <f>CHOOSE(WEEKDAY(datos_siembra[[#This Row],[Date]],2),"L","M","X","J","V","S","D")</f>
        <v>D</v>
      </c>
      <c r="R2826">
        <f>WEEKNUM(datos_siembra[[#This Row],[Date]],2)-WEEKNUM(DATE(YEAR(datos_siembra[[#This Row],[Date]]),MONTH(datos_siembra[[#This Row],[Date]]),1))+1</f>
        <v>1</v>
      </c>
      <c r="S2826">
        <f>MONTH(datos_siembra[[#This Row],[Date]])</f>
        <v>10</v>
      </c>
      <c r="T2826" t="str" cm="1">
        <f t="array" ref="T2826">_xlfn.IFS(AND(N2826&lt;= 22, S2826=9), "SOWING",AND(N2826&lt;= 28, S2826=9), "COVERAGE",AND(N2826&lt;= 30, S2826=9), "FLUSH",AND(N2826&lt;= 11, S2826=10), "FLUSH",AND(N2826&lt;= 21, S2826=10), "PRODUCTION")</f>
        <v>FLUSH</v>
      </c>
      <c r="U2826">
        <f>HOUR(datos_siembra[[#This Row],[Hour]])</f>
        <v>9</v>
      </c>
      <c r="V2826" cm="1">
        <f t="array" ref="V2826">_xlfn.IFS(AND(N2826&lt;= 22, S2826=9), N2826-7,AND(N2826&lt;= 28, S2826=9), N2826-25,AND(N2826&lt;= 30, S2826=9), N2826-28,AND(N2826&lt;= 11, S2826=10), N2826+2,AND(N2826&lt;= 21, S2826=10), N2826-11)</f>
        <v>8</v>
      </c>
    </row>
    <row r="2827" spans="1:22" x14ac:dyDescent="0.35">
      <c r="A2827" s="4">
        <v>45571</v>
      </c>
      <c r="B2827" s="5">
        <v>0.42202546296296295</v>
      </c>
      <c r="C2827">
        <v>66.5</v>
      </c>
      <c r="D2827">
        <v>66.8</v>
      </c>
      <c r="E2827">
        <v>66.8</v>
      </c>
      <c r="F2827">
        <v>66.400000000000006</v>
      </c>
      <c r="G2827">
        <v>0</v>
      </c>
      <c r="H2827">
        <v>0</v>
      </c>
      <c r="I2827">
        <v>0</v>
      </c>
      <c r="J2827">
        <v>0</v>
      </c>
      <c r="K2827">
        <v>62.8</v>
      </c>
      <c r="L2827">
        <v>63.7</v>
      </c>
      <c r="M2827">
        <v>66.62</v>
      </c>
      <c r="N2827">
        <v>6</v>
      </c>
      <c r="O2827">
        <v>5</v>
      </c>
      <c r="P2827">
        <f>MOD(DAY(datos_siembra[[#This Row],[Date]]),7)</f>
        <v>6</v>
      </c>
      <c r="Q2827" t="str">
        <f>CHOOSE(WEEKDAY(datos_siembra[[#This Row],[Date]],2),"L","M","X","J","V","S","D")</f>
        <v>D</v>
      </c>
      <c r="R2827">
        <f>WEEKNUM(datos_siembra[[#This Row],[Date]],2)-WEEKNUM(DATE(YEAR(datos_siembra[[#This Row],[Date]]),MONTH(datos_siembra[[#This Row],[Date]]),1))+1</f>
        <v>1</v>
      </c>
      <c r="S2827">
        <f>MONTH(datos_siembra[[#This Row],[Date]])</f>
        <v>10</v>
      </c>
      <c r="T2827" t="str" cm="1">
        <f t="array" ref="T2827">_xlfn.IFS(AND(N2827&lt;= 22, S2827=9), "SOWING",AND(N2827&lt;= 28, S2827=9), "COVERAGE",AND(N2827&lt;= 30, S2827=9), "FLUSH",AND(N2827&lt;= 11, S2827=10), "FLUSH",AND(N2827&lt;= 21, S2827=10), "PRODUCTION")</f>
        <v>FLUSH</v>
      </c>
      <c r="U2827">
        <f>HOUR(datos_siembra[[#This Row],[Hour]])</f>
        <v>10</v>
      </c>
      <c r="V2827" cm="1">
        <f t="array" ref="V2827">_xlfn.IFS(AND(N2827&lt;= 22, S2827=9), N2827-7,AND(N2827&lt;= 28, S2827=9), N2827-25,AND(N2827&lt;= 30, S2827=9), N2827-28,AND(N2827&lt;= 11, S2827=10), N2827+2,AND(N2827&lt;= 21, S2827=10), N2827-11)</f>
        <v>8</v>
      </c>
    </row>
    <row r="2828" spans="1:22" x14ac:dyDescent="0.35">
      <c r="A2828" s="4">
        <v>45571</v>
      </c>
      <c r="B2828" s="5">
        <v>0.42896990740740742</v>
      </c>
      <c r="C2828">
        <v>66.8</v>
      </c>
      <c r="D2828">
        <v>66.5</v>
      </c>
      <c r="E2828">
        <v>66.900000000000006</v>
      </c>
      <c r="F2828">
        <v>66.5</v>
      </c>
      <c r="G2828">
        <v>0</v>
      </c>
      <c r="H2828">
        <v>0</v>
      </c>
      <c r="I2828">
        <v>0</v>
      </c>
      <c r="J2828">
        <v>0</v>
      </c>
      <c r="K2828">
        <v>63</v>
      </c>
      <c r="L2828">
        <v>63.9</v>
      </c>
      <c r="M2828">
        <v>66.680000000000007</v>
      </c>
      <c r="N2828">
        <v>6</v>
      </c>
      <c r="O2828">
        <v>5</v>
      </c>
      <c r="P2828">
        <f>MOD(DAY(datos_siembra[[#This Row],[Date]]),7)</f>
        <v>6</v>
      </c>
      <c r="Q2828" t="str">
        <f>CHOOSE(WEEKDAY(datos_siembra[[#This Row],[Date]],2),"L","M","X","J","V","S","D")</f>
        <v>D</v>
      </c>
      <c r="R2828">
        <f>WEEKNUM(datos_siembra[[#This Row],[Date]],2)-WEEKNUM(DATE(YEAR(datos_siembra[[#This Row],[Date]]),MONTH(datos_siembra[[#This Row],[Date]]),1))+1</f>
        <v>1</v>
      </c>
      <c r="S2828">
        <f>MONTH(datos_siembra[[#This Row],[Date]])</f>
        <v>10</v>
      </c>
      <c r="T2828" t="str" cm="1">
        <f t="array" ref="T2828">_xlfn.IFS(AND(N2828&lt;= 22, S2828=9), "SOWING",AND(N2828&lt;= 28, S2828=9), "COVERAGE",AND(N2828&lt;= 30, S2828=9), "FLUSH",AND(N2828&lt;= 11, S2828=10), "FLUSH",AND(N2828&lt;= 21, S2828=10), "PRODUCTION")</f>
        <v>FLUSH</v>
      </c>
      <c r="U2828">
        <f>HOUR(datos_siembra[[#This Row],[Hour]])</f>
        <v>10</v>
      </c>
      <c r="V2828" cm="1">
        <f t="array" ref="V2828">_xlfn.IFS(AND(N2828&lt;= 22, S2828=9), N2828-7,AND(N2828&lt;= 28, S2828=9), N2828-25,AND(N2828&lt;= 30, S2828=9), N2828-28,AND(N2828&lt;= 11, S2828=10), N2828+2,AND(N2828&lt;= 21, S2828=10), N2828-11)</f>
        <v>8</v>
      </c>
    </row>
    <row r="2829" spans="1:22" x14ac:dyDescent="0.35">
      <c r="A2829" s="4">
        <v>45571</v>
      </c>
      <c r="B2829" s="5">
        <v>0.43591435185185184</v>
      </c>
      <c r="C2829">
        <v>66.8</v>
      </c>
      <c r="D2829">
        <v>66.8</v>
      </c>
      <c r="E2829">
        <v>67</v>
      </c>
      <c r="F2829">
        <v>66.599999999999994</v>
      </c>
      <c r="G2829">
        <v>0</v>
      </c>
      <c r="H2829">
        <v>0</v>
      </c>
      <c r="I2829">
        <v>0</v>
      </c>
      <c r="J2829">
        <v>0</v>
      </c>
      <c r="K2829">
        <v>63.2</v>
      </c>
      <c r="L2829">
        <v>64.099999999999994</v>
      </c>
      <c r="M2829">
        <v>66.819999999999993</v>
      </c>
      <c r="N2829">
        <v>6</v>
      </c>
      <c r="O2829">
        <v>5</v>
      </c>
      <c r="P2829">
        <f>MOD(DAY(datos_siembra[[#This Row],[Date]]),7)</f>
        <v>6</v>
      </c>
      <c r="Q2829" t="str">
        <f>CHOOSE(WEEKDAY(datos_siembra[[#This Row],[Date]],2),"L","M","X","J","V","S","D")</f>
        <v>D</v>
      </c>
      <c r="R2829">
        <f>WEEKNUM(datos_siembra[[#This Row],[Date]],2)-WEEKNUM(DATE(YEAR(datos_siembra[[#This Row],[Date]]),MONTH(datos_siembra[[#This Row],[Date]]),1))+1</f>
        <v>1</v>
      </c>
      <c r="S2829">
        <f>MONTH(datos_siembra[[#This Row],[Date]])</f>
        <v>10</v>
      </c>
      <c r="T2829" t="str" cm="1">
        <f t="array" ref="T2829">_xlfn.IFS(AND(N2829&lt;= 22, S2829=9), "SOWING",AND(N2829&lt;= 28, S2829=9), "COVERAGE",AND(N2829&lt;= 30, S2829=9), "FLUSH",AND(N2829&lt;= 11, S2829=10), "FLUSH",AND(N2829&lt;= 21, S2829=10), "PRODUCTION")</f>
        <v>FLUSH</v>
      </c>
      <c r="U2829">
        <f>HOUR(datos_siembra[[#This Row],[Hour]])</f>
        <v>10</v>
      </c>
      <c r="V2829" cm="1">
        <f t="array" ref="V2829">_xlfn.IFS(AND(N2829&lt;= 22, S2829=9), N2829-7,AND(N2829&lt;= 28, S2829=9), N2829-25,AND(N2829&lt;= 30, S2829=9), N2829-28,AND(N2829&lt;= 11, S2829=10), N2829+2,AND(N2829&lt;= 21, S2829=10), N2829-11)</f>
        <v>8</v>
      </c>
    </row>
    <row r="2830" spans="1:22" x14ac:dyDescent="0.35">
      <c r="A2830" s="4">
        <v>45571</v>
      </c>
      <c r="B2830" s="5">
        <v>0.44287037037037036</v>
      </c>
      <c r="C2830">
        <v>66.599999999999994</v>
      </c>
      <c r="D2830">
        <v>66.599999999999994</v>
      </c>
      <c r="E2830">
        <v>66.900000000000006</v>
      </c>
      <c r="F2830">
        <v>66.5</v>
      </c>
      <c r="G2830">
        <v>0</v>
      </c>
      <c r="H2830">
        <v>0</v>
      </c>
      <c r="I2830">
        <v>0</v>
      </c>
      <c r="J2830">
        <v>0</v>
      </c>
      <c r="K2830">
        <v>63.3</v>
      </c>
      <c r="L2830">
        <v>64.2</v>
      </c>
      <c r="M2830">
        <v>66.709999999999994</v>
      </c>
      <c r="N2830">
        <v>6</v>
      </c>
      <c r="O2830">
        <v>5</v>
      </c>
      <c r="P2830">
        <f>MOD(DAY(datos_siembra[[#This Row],[Date]]),7)</f>
        <v>6</v>
      </c>
      <c r="Q2830" t="str">
        <f>CHOOSE(WEEKDAY(datos_siembra[[#This Row],[Date]],2),"L","M","X","J","V","S","D")</f>
        <v>D</v>
      </c>
      <c r="R2830">
        <f>WEEKNUM(datos_siembra[[#This Row],[Date]],2)-WEEKNUM(DATE(YEAR(datos_siembra[[#This Row],[Date]]),MONTH(datos_siembra[[#This Row],[Date]]),1))+1</f>
        <v>1</v>
      </c>
      <c r="S2830">
        <f>MONTH(datos_siembra[[#This Row],[Date]])</f>
        <v>10</v>
      </c>
      <c r="T2830" t="str" cm="1">
        <f t="array" ref="T2830">_xlfn.IFS(AND(N2830&lt;= 22, S2830=9), "SOWING",AND(N2830&lt;= 28, S2830=9), "COVERAGE",AND(N2830&lt;= 30, S2830=9), "FLUSH",AND(N2830&lt;= 11, S2830=10), "FLUSH",AND(N2830&lt;= 21, S2830=10), "PRODUCTION")</f>
        <v>FLUSH</v>
      </c>
      <c r="U2830">
        <f>HOUR(datos_siembra[[#This Row],[Hour]])</f>
        <v>10</v>
      </c>
      <c r="V2830" cm="1">
        <f t="array" ref="V2830">_xlfn.IFS(AND(N2830&lt;= 22, S2830=9), N2830-7,AND(N2830&lt;= 28, S2830=9), N2830-25,AND(N2830&lt;= 30, S2830=9), N2830-28,AND(N2830&lt;= 11, S2830=10), N2830+2,AND(N2830&lt;= 21, S2830=10), N2830-11)</f>
        <v>8</v>
      </c>
    </row>
    <row r="2831" spans="1:22" x14ac:dyDescent="0.35">
      <c r="A2831" s="4">
        <v>45571</v>
      </c>
      <c r="B2831" s="5">
        <v>0.44981481481481483</v>
      </c>
      <c r="C2831">
        <v>66.8</v>
      </c>
      <c r="D2831">
        <v>66.8</v>
      </c>
      <c r="E2831">
        <v>67</v>
      </c>
      <c r="F2831">
        <v>66.599999999999994</v>
      </c>
      <c r="G2831">
        <v>0</v>
      </c>
      <c r="H2831">
        <v>0</v>
      </c>
      <c r="I2831">
        <v>0</v>
      </c>
      <c r="J2831">
        <v>0</v>
      </c>
      <c r="K2831">
        <v>63.3</v>
      </c>
      <c r="L2831">
        <v>64.3</v>
      </c>
      <c r="M2831">
        <v>66.819999999999993</v>
      </c>
      <c r="N2831">
        <v>6</v>
      </c>
      <c r="O2831">
        <v>5</v>
      </c>
      <c r="P2831">
        <f>MOD(DAY(datos_siembra[[#This Row],[Date]]),7)</f>
        <v>6</v>
      </c>
      <c r="Q2831" t="str">
        <f>CHOOSE(WEEKDAY(datos_siembra[[#This Row],[Date]],2),"L","M","X","J","V","S","D")</f>
        <v>D</v>
      </c>
      <c r="R2831">
        <f>WEEKNUM(datos_siembra[[#This Row],[Date]],2)-WEEKNUM(DATE(YEAR(datos_siembra[[#This Row],[Date]]),MONTH(datos_siembra[[#This Row],[Date]]),1))+1</f>
        <v>1</v>
      </c>
      <c r="S2831">
        <f>MONTH(datos_siembra[[#This Row],[Date]])</f>
        <v>10</v>
      </c>
      <c r="T2831" t="str" cm="1">
        <f t="array" ref="T2831">_xlfn.IFS(AND(N2831&lt;= 22, S2831=9), "SOWING",AND(N2831&lt;= 28, S2831=9), "COVERAGE",AND(N2831&lt;= 30, S2831=9), "FLUSH",AND(N2831&lt;= 11, S2831=10), "FLUSH",AND(N2831&lt;= 21, S2831=10), "PRODUCTION")</f>
        <v>FLUSH</v>
      </c>
      <c r="U2831">
        <f>HOUR(datos_siembra[[#This Row],[Hour]])</f>
        <v>10</v>
      </c>
      <c r="V2831" cm="1">
        <f t="array" ref="V2831">_xlfn.IFS(AND(N2831&lt;= 22, S2831=9), N2831-7,AND(N2831&lt;= 28, S2831=9), N2831-25,AND(N2831&lt;= 30, S2831=9), N2831-28,AND(N2831&lt;= 11, S2831=10), N2831+2,AND(N2831&lt;= 21, S2831=10), N2831-11)</f>
        <v>8</v>
      </c>
    </row>
    <row r="2832" spans="1:22" x14ac:dyDescent="0.35">
      <c r="A2832" s="4">
        <v>45571</v>
      </c>
      <c r="B2832" s="5">
        <v>0.45675925925925925</v>
      </c>
      <c r="C2832">
        <v>66.8</v>
      </c>
      <c r="D2832">
        <v>66.900000000000006</v>
      </c>
      <c r="E2832">
        <v>67.099999999999994</v>
      </c>
      <c r="F2832">
        <v>66.599999999999994</v>
      </c>
      <c r="G2832">
        <v>0</v>
      </c>
      <c r="H2832">
        <v>0</v>
      </c>
      <c r="I2832">
        <v>0</v>
      </c>
      <c r="J2832">
        <v>0</v>
      </c>
      <c r="K2832">
        <v>63.5</v>
      </c>
      <c r="L2832">
        <v>64.400000000000006</v>
      </c>
      <c r="M2832">
        <v>66.790000000000006</v>
      </c>
      <c r="N2832">
        <v>6</v>
      </c>
      <c r="O2832">
        <v>5</v>
      </c>
      <c r="P2832">
        <f>MOD(DAY(datos_siembra[[#This Row],[Date]]),7)</f>
        <v>6</v>
      </c>
      <c r="Q2832" t="str">
        <f>CHOOSE(WEEKDAY(datos_siembra[[#This Row],[Date]],2),"L","M","X","J","V","S","D")</f>
        <v>D</v>
      </c>
      <c r="R2832">
        <f>WEEKNUM(datos_siembra[[#This Row],[Date]],2)-WEEKNUM(DATE(YEAR(datos_siembra[[#This Row],[Date]]),MONTH(datos_siembra[[#This Row],[Date]]),1))+1</f>
        <v>1</v>
      </c>
      <c r="S2832">
        <f>MONTH(datos_siembra[[#This Row],[Date]])</f>
        <v>10</v>
      </c>
      <c r="T2832" t="str" cm="1">
        <f t="array" ref="T2832">_xlfn.IFS(AND(N2832&lt;= 22, S2832=9), "SOWING",AND(N2832&lt;= 28, S2832=9), "COVERAGE",AND(N2832&lt;= 30, S2832=9), "FLUSH",AND(N2832&lt;= 11, S2832=10), "FLUSH",AND(N2832&lt;= 21, S2832=10), "PRODUCTION")</f>
        <v>FLUSH</v>
      </c>
      <c r="U2832">
        <f>HOUR(datos_siembra[[#This Row],[Hour]])</f>
        <v>10</v>
      </c>
      <c r="V2832" cm="1">
        <f t="array" ref="V2832">_xlfn.IFS(AND(N2832&lt;= 22, S2832=9), N2832-7,AND(N2832&lt;= 28, S2832=9), N2832-25,AND(N2832&lt;= 30, S2832=9), N2832-28,AND(N2832&lt;= 11, S2832=10), N2832+2,AND(N2832&lt;= 21, S2832=10), N2832-11)</f>
        <v>8</v>
      </c>
    </row>
    <row r="2833" spans="1:22" x14ac:dyDescent="0.35">
      <c r="A2833" s="4">
        <v>45571</v>
      </c>
      <c r="B2833" s="5">
        <v>0.46370370370370373</v>
      </c>
      <c r="C2833">
        <v>66.8</v>
      </c>
      <c r="D2833">
        <v>67</v>
      </c>
      <c r="E2833">
        <v>67</v>
      </c>
      <c r="F2833">
        <v>66.599999999999994</v>
      </c>
      <c r="G2833">
        <v>0</v>
      </c>
      <c r="H2833">
        <v>0</v>
      </c>
      <c r="I2833">
        <v>0</v>
      </c>
      <c r="J2833">
        <v>0</v>
      </c>
      <c r="K2833">
        <v>63.5</v>
      </c>
      <c r="L2833">
        <v>64.5</v>
      </c>
      <c r="M2833">
        <v>66.73</v>
      </c>
      <c r="N2833">
        <v>6</v>
      </c>
      <c r="O2833">
        <v>5</v>
      </c>
      <c r="P2833">
        <f>MOD(DAY(datos_siembra[[#This Row],[Date]]),7)</f>
        <v>6</v>
      </c>
      <c r="Q2833" t="str">
        <f>CHOOSE(WEEKDAY(datos_siembra[[#This Row],[Date]],2),"L","M","X","J","V","S","D")</f>
        <v>D</v>
      </c>
      <c r="R2833">
        <f>WEEKNUM(datos_siembra[[#This Row],[Date]],2)-WEEKNUM(DATE(YEAR(datos_siembra[[#This Row],[Date]]),MONTH(datos_siembra[[#This Row],[Date]]),1))+1</f>
        <v>1</v>
      </c>
      <c r="S2833">
        <f>MONTH(datos_siembra[[#This Row],[Date]])</f>
        <v>10</v>
      </c>
      <c r="T2833" t="str" cm="1">
        <f t="array" ref="T2833">_xlfn.IFS(AND(N2833&lt;= 22, S2833=9), "SOWING",AND(N2833&lt;= 28, S2833=9), "COVERAGE",AND(N2833&lt;= 30, S2833=9), "FLUSH",AND(N2833&lt;= 11, S2833=10), "FLUSH",AND(N2833&lt;= 21, S2833=10), "PRODUCTION")</f>
        <v>FLUSH</v>
      </c>
      <c r="U2833">
        <f>HOUR(datos_siembra[[#This Row],[Hour]])</f>
        <v>11</v>
      </c>
      <c r="V2833" cm="1">
        <f t="array" ref="V2833">_xlfn.IFS(AND(N2833&lt;= 22, S2833=9), N2833-7,AND(N2833&lt;= 28, S2833=9), N2833-25,AND(N2833&lt;= 30, S2833=9), N2833-28,AND(N2833&lt;= 11, S2833=10), N2833+2,AND(N2833&lt;= 21, S2833=10), N2833-11)</f>
        <v>8</v>
      </c>
    </row>
    <row r="2834" spans="1:22" x14ac:dyDescent="0.35">
      <c r="A2834" s="4">
        <v>45571</v>
      </c>
      <c r="B2834" s="5">
        <v>0.47065972222222224</v>
      </c>
      <c r="C2834">
        <v>66.599999999999994</v>
      </c>
      <c r="D2834">
        <v>66.8</v>
      </c>
      <c r="E2834">
        <v>67</v>
      </c>
      <c r="F2834">
        <v>66.8</v>
      </c>
      <c r="G2834">
        <v>0</v>
      </c>
      <c r="H2834">
        <v>0</v>
      </c>
      <c r="I2834">
        <v>0</v>
      </c>
      <c r="J2834">
        <v>0</v>
      </c>
      <c r="K2834">
        <v>63.7</v>
      </c>
      <c r="L2834">
        <v>64.7</v>
      </c>
      <c r="M2834">
        <v>66.790000000000006</v>
      </c>
      <c r="N2834">
        <v>6</v>
      </c>
      <c r="O2834">
        <v>5</v>
      </c>
      <c r="P2834">
        <f>MOD(DAY(datos_siembra[[#This Row],[Date]]),7)</f>
        <v>6</v>
      </c>
      <c r="Q2834" t="str">
        <f>CHOOSE(WEEKDAY(datos_siembra[[#This Row],[Date]],2),"L","M","X","J","V","S","D")</f>
        <v>D</v>
      </c>
      <c r="R2834">
        <f>WEEKNUM(datos_siembra[[#This Row],[Date]],2)-WEEKNUM(DATE(YEAR(datos_siembra[[#This Row],[Date]]),MONTH(datos_siembra[[#This Row],[Date]]),1))+1</f>
        <v>1</v>
      </c>
      <c r="S2834">
        <f>MONTH(datos_siembra[[#This Row],[Date]])</f>
        <v>10</v>
      </c>
      <c r="T2834" t="str" cm="1">
        <f t="array" ref="T2834">_xlfn.IFS(AND(N2834&lt;= 22, S2834=9), "SOWING",AND(N2834&lt;= 28, S2834=9), "COVERAGE",AND(N2834&lt;= 30, S2834=9), "FLUSH",AND(N2834&lt;= 11, S2834=10), "FLUSH",AND(N2834&lt;= 21, S2834=10), "PRODUCTION")</f>
        <v>FLUSH</v>
      </c>
      <c r="U2834">
        <f>HOUR(datos_siembra[[#This Row],[Hour]])</f>
        <v>11</v>
      </c>
      <c r="V2834" cm="1">
        <f t="array" ref="V2834">_xlfn.IFS(AND(N2834&lt;= 22, S2834=9), N2834-7,AND(N2834&lt;= 28, S2834=9), N2834-25,AND(N2834&lt;= 30, S2834=9), N2834-28,AND(N2834&lt;= 11, S2834=10), N2834+2,AND(N2834&lt;= 21, S2834=10), N2834-11)</f>
        <v>8</v>
      </c>
    </row>
    <row r="2835" spans="1:22" x14ac:dyDescent="0.35">
      <c r="A2835" s="4">
        <v>45571</v>
      </c>
      <c r="B2835" s="5">
        <v>0.47760416666666666</v>
      </c>
      <c r="C2835">
        <v>66.900000000000006</v>
      </c>
      <c r="D2835">
        <v>66.8</v>
      </c>
      <c r="E2835">
        <v>67</v>
      </c>
      <c r="F2835">
        <v>66.599999999999994</v>
      </c>
      <c r="G2835">
        <v>0</v>
      </c>
      <c r="H2835">
        <v>0</v>
      </c>
      <c r="I2835">
        <v>0</v>
      </c>
      <c r="J2835">
        <v>0</v>
      </c>
      <c r="K2835">
        <v>63.8</v>
      </c>
      <c r="L2835">
        <v>64.900000000000006</v>
      </c>
      <c r="M2835">
        <v>66.709999999999994</v>
      </c>
      <c r="N2835">
        <v>6</v>
      </c>
      <c r="O2835">
        <v>5</v>
      </c>
      <c r="P2835">
        <f>MOD(DAY(datos_siembra[[#This Row],[Date]]),7)</f>
        <v>6</v>
      </c>
      <c r="Q2835" t="str">
        <f>CHOOSE(WEEKDAY(datos_siembra[[#This Row],[Date]],2),"L","M","X","J","V","S","D")</f>
        <v>D</v>
      </c>
      <c r="R2835">
        <f>WEEKNUM(datos_siembra[[#This Row],[Date]],2)-WEEKNUM(DATE(YEAR(datos_siembra[[#This Row],[Date]]),MONTH(datos_siembra[[#This Row],[Date]]),1))+1</f>
        <v>1</v>
      </c>
      <c r="S2835">
        <f>MONTH(datos_siembra[[#This Row],[Date]])</f>
        <v>10</v>
      </c>
      <c r="T2835" t="str" cm="1">
        <f t="array" ref="T2835">_xlfn.IFS(AND(N2835&lt;= 22, S2835=9), "SOWING",AND(N2835&lt;= 28, S2835=9), "COVERAGE",AND(N2835&lt;= 30, S2835=9), "FLUSH",AND(N2835&lt;= 11, S2835=10), "FLUSH",AND(N2835&lt;= 21, S2835=10), "PRODUCTION")</f>
        <v>FLUSH</v>
      </c>
      <c r="U2835">
        <f>HOUR(datos_siembra[[#This Row],[Hour]])</f>
        <v>11</v>
      </c>
      <c r="V2835" cm="1">
        <f t="array" ref="V2835">_xlfn.IFS(AND(N2835&lt;= 22, S2835=9), N2835-7,AND(N2835&lt;= 28, S2835=9), N2835-25,AND(N2835&lt;= 30, S2835=9), N2835-28,AND(N2835&lt;= 11, S2835=10), N2835+2,AND(N2835&lt;= 21, S2835=10), N2835-11)</f>
        <v>8</v>
      </c>
    </row>
    <row r="2836" spans="1:22" x14ac:dyDescent="0.35">
      <c r="A2836" s="4">
        <v>45571</v>
      </c>
      <c r="B2836" s="5">
        <v>0.48454861111111114</v>
      </c>
      <c r="C2836">
        <v>66.8</v>
      </c>
      <c r="D2836">
        <v>66.599999999999994</v>
      </c>
      <c r="E2836">
        <v>66.900000000000006</v>
      </c>
      <c r="F2836">
        <v>66.5</v>
      </c>
      <c r="G2836">
        <v>0</v>
      </c>
      <c r="H2836">
        <v>0</v>
      </c>
      <c r="I2836">
        <v>0</v>
      </c>
      <c r="J2836">
        <v>0</v>
      </c>
      <c r="K2836">
        <v>64.099999999999994</v>
      </c>
      <c r="L2836">
        <v>65</v>
      </c>
      <c r="M2836">
        <v>66.760000000000005</v>
      </c>
      <c r="N2836">
        <v>6</v>
      </c>
      <c r="O2836">
        <v>5</v>
      </c>
      <c r="P2836">
        <f>MOD(DAY(datos_siembra[[#This Row],[Date]]),7)</f>
        <v>6</v>
      </c>
      <c r="Q2836" t="str">
        <f>CHOOSE(WEEKDAY(datos_siembra[[#This Row],[Date]],2),"L","M","X","J","V","S","D")</f>
        <v>D</v>
      </c>
      <c r="R2836">
        <f>WEEKNUM(datos_siembra[[#This Row],[Date]],2)-WEEKNUM(DATE(YEAR(datos_siembra[[#This Row],[Date]]),MONTH(datos_siembra[[#This Row],[Date]]),1))+1</f>
        <v>1</v>
      </c>
      <c r="S2836">
        <f>MONTH(datos_siembra[[#This Row],[Date]])</f>
        <v>10</v>
      </c>
      <c r="T2836" t="str" cm="1">
        <f t="array" ref="T2836">_xlfn.IFS(AND(N2836&lt;= 22, S2836=9), "SOWING",AND(N2836&lt;= 28, S2836=9), "COVERAGE",AND(N2836&lt;= 30, S2836=9), "FLUSH",AND(N2836&lt;= 11, S2836=10), "FLUSH",AND(N2836&lt;= 21, S2836=10), "PRODUCTION")</f>
        <v>FLUSH</v>
      </c>
      <c r="U2836">
        <f>HOUR(datos_siembra[[#This Row],[Hour]])</f>
        <v>11</v>
      </c>
      <c r="V2836" cm="1">
        <f t="array" ref="V2836">_xlfn.IFS(AND(N2836&lt;= 22, S2836=9), N2836-7,AND(N2836&lt;= 28, S2836=9), N2836-25,AND(N2836&lt;= 30, S2836=9), N2836-28,AND(N2836&lt;= 11, S2836=10), N2836+2,AND(N2836&lt;= 21, S2836=10), N2836-11)</f>
        <v>8</v>
      </c>
    </row>
    <row r="2837" spans="1:22" x14ac:dyDescent="0.35">
      <c r="A2837" s="4">
        <v>45571</v>
      </c>
      <c r="B2837" s="5">
        <v>0.49150462962962965</v>
      </c>
      <c r="C2837">
        <v>66.900000000000006</v>
      </c>
      <c r="D2837">
        <v>66.8</v>
      </c>
      <c r="E2837">
        <v>67</v>
      </c>
      <c r="F2837">
        <v>66.599999999999994</v>
      </c>
      <c r="G2837">
        <v>0</v>
      </c>
      <c r="H2837">
        <v>0</v>
      </c>
      <c r="I2837">
        <v>0</v>
      </c>
      <c r="J2837">
        <v>0</v>
      </c>
      <c r="K2837">
        <v>64.2</v>
      </c>
      <c r="L2837">
        <v>65.3</v>
      </c>
      <c r="M2837">
        <v>66.760000000000005</v>
      </c>
      <c r="N2837">
        <v>6</v>
      </c>
      <c r="O2837">
        <v>5</v>
      </c>
      <c r="P2837">
        <f>MOD(DAY(datos_siembra[[#This Row],[Date]]),7)</f>
        <v>6</v>
      </c>
      <c r="Q2837" t="str">
        <f>CHOOSE(WEEKDAY(datos_siembra[[#This Row],[Date]],2),"L","M","X","J","V","S","D")</f>
        <v>D</v>
      </c>
      <c r="R2837">
        <f>WEEKNUM(datos_siembra[[#This Row],[Date]],2)-WEEKNUM(DATE(YEAR(datos_siembra[[#This Row],[Date]]),MONTH(datos_siembra[[#This Row],[Date]]),1))+1</f>
        <v>1</v>
      </c>
      <c r="S2837">
        <f>MONTH(datos_siembra[[#This Row],[Date]])</f>
        <v>10</v>
      </c>
      <c r="T2837" t="str" cm="1">
        <f t="array" ref="T2837">_xlfn.IFS(AND(N2837&lt;= 22, S2837=9), "SOWING",AND(N2837&lt;= 28, S2837=9), "COVERAGE",AND(N2837&lt;= 30, S2837=9), "FLUSH",AND(N2837&lt;= 11, S2837=10), "FLUSH",AND(N2837&lt;= 21, S2837=10), "PRODUCTION")</f>
        <v>FLUSH</v>
      </c>
      <c r="U2837">
        <f>HOUR(datos_siembra[[#This Row],[Hour]])</f>
        <v>11</v>
      </c>
      <c r="V2837" cm="1">
        <f t="array" ref="V2837">_xlfn.IFS(AND(N2837&lt;= 22, S2837=9), N2837-7,AND(N2837&lt;= 28, S2837=9), N2837-25,AND(N2837&lt;= 30, S2837=9), N2837-28,AND(N2837&lt;= 11, S2837=10), N2837+2,AND(N2837&lt;= 21, S2837=10), N2837-11)</f>
        <v>8</v>
      </c>
    </row>
    <row r="2838" spans="1:22" x14ac:dyDescent="0.35">
      <c r="A2838" s="4">
        <v>45571</v>
      </c>
      <c r="B2838" s="5">
        <v>0.49844907407407407</v>
      </c>
      <c r="C2838">
        <v>66.599999999999994</v>
      </c>
      <c r="D2838">
        <v>66.599999999999994</v>
      </c>
      <c r="E2838">
        <v>67.099999999999994</v>
      </c>
      <c r="F2838">
        <v>66.5</v>
      </c>
      <c r="G2838">
        <v>0</v>
      </c>
      <c r="H2838">
        <v>0</v>
      </c>
      <c r="I2838">
        <v>0</v>
      </c>
      <c r="J2838">
        <v>0</v>
      </c>
      <c r="K2838">
        <v>64.5</v>
      </c>
      <c r="L2838">
        <v>65.599999999999994</v>
      </c>
      <c r="M2838">
        <v>66.760000000000005</v>
      </c>
      <c r="N2838">
        <v>6</v>
      </c>
      <c r="O2838">
        <v>5</v>
      </c>
      <c r="P2838">
        <f>MOD(DAY(datos_siembra[[#This Row],[Date]]),7)</f>
        <v>6</v>
      </c>
      <c r="Q2838" t="str">
        <f>CHOOSE(WEEKDAY(datos_siembra[[#This Row],[Date]],2),"L","M","X","J","V","S","D")</f>
        <v>D</v>
      </c>
      <c r="R2838">
        <f>WEEKNUM(datos_siembra[[#This Row],[Date]],2)-WEEKNUM(DATE(YEAR(datos_siembra[[#This Row],[Date]]),MONTH(datos_siembra[[#This Row],[Date]]),1))+1</f>
        <v>1</v>
      </c>
      <c r="S2838">
        <f>MONTH(datos_siembra[[#This Row],[Date]])</f>
        <v>10</v>
      </c>
      <c r="T2838" t="str" cm="1">
        <f t="array" ref="T2838">_xlfn.IFS(AND(N2838&lt;= 22, S2838=9), "SOWING",AND(N2838&lt;= 28, S2838=9), "COVERAGE",AND(N2838&lt;= 30, S2838=9), "FLUSH",AND(N2838&lt;= 11, S2838=10), "FLUSH",AND(N2838&lt;= 21, S2838=10), "PRODUCTION")</f>
        <v>FLUSH</v>
      </c>
      <c r="U2838">
        <f>HOUR(datos_siembra[[#This Row],[Hour]])</f>
        <v>11</v>
      </c>
      <c r="V2838" cm="1">
        <f t="array" ref="V2838">_xlfn.IFS(AND(N2838&lt;= 22, S2838=9), N2838-7,AND(N2838&lt;= 28, S2838=9), N2838-25,AND(N2838&lt;= 30, S2838=9), N2838-28,AND(N2838&lt;= 11, S2838=10), N2838+2,AND(N2838&lt;= 21, S2838=10), N2838-11)</f>
        <v>8</v>
      </c>
    </row>
    <row r="2839" spans="1:22" x14ac:dyDescent="0.35">
      <c r="A2839" s="4">
        <v>45571</v>
      </c>
      <c r="B2839" s="5">
        <v>0.50539351851851855</v>
      </c>
      <c r="C2839">
        <v>66.599999999999994</v>
      </c>
      <c r="D2839">
        <v>66.8</v>
      </c>
      <c r="E2839">
        <v>67.2</v>
      </c>
      <c r="F2839">
        <v>66.400000000000006</v>
      </c>
      <c r="G2839">
        <v>0</v>
      </c>
      <c r="H2839">
        <v>0</v>
      </c>
      <c r="I2839">
        <v>0</v>
      </c>
      <c r="J2839">
        <v>0</v>
      </c>
      <c r="K2839">
        <v>64.400000000000006</v>
      </c>
      <c r="L2839">
        <v>65.5</v>
      </c>
      <c r="M2839">
        <v>66.790000000000006</v>
      </c>
      <c r="N2839">
        <v>6</v>
      </c>
      <c r="O2839">
        <v>5</v>
      </c>
      <c r="P2839">
        <f>MOD(DAY(datos_siembra[[#This Row],[Date]]),7)</f>
        <v>6</v>
      </c>
      <c r="Q2839" t="str">
        <f>CHOOSE(WEEKDAY(datos_siembra[[#This Row],[Date]],2),"L","M","X","J","V","S","D")</f>
        <v>D</v>
      </c>
      <c r="R2839">
        <f>WEEKNUM(datos_siembra[[#This Row],[Date]],2)-WEEKNUM(DATE(YEAR(datos_siembra[[#This Row],[Date]]),MONTH(datos_siembra[[#This Row],[Date]]),1))+1</f>
        <v>1</v>
      </c>
      <c r="S2839">
        <f>MONTH(datos_siembra[[#This Row],[Date]])</f>
        <v>10</v>
      </c>
      <c r="T2839" t="str" cm="1">
        <f t="array" ref="T2839">_xlfn.IFS(AND(N2839&lt;= 22, S2839=9), "SOWING",AND(N2839&lt;= 28, S2839=9), "COVERAGE",AND(N2839&lt;= 30, S2839=9), "FLUSH",AND(N2839&lt;= 11, S2839=10), "FLUSH",AND(N2839&lt;= 21, S2839=10), "PRODUCTION")</f>
        <v>FLUSH</v>
      </c>
      <c r="U2839">
        <f>HOUR(datos_siembra[[#This Row],[Hour]])</f>
        <v>12</v>
      </c>
      <c r="V2839" cm="1">
        <f t="array" ref="V2839">_xlfn.IFS(AND(N2839&lt;= 22, S2839=9), N2839-7,AND(N2839&lt;= 28, S2839=9), N2839-25,AND(N2839&lt;= 30, S2839=9), N2839-28,AND(N2839&lt;= 11, S2839=10), N2839+2,AND(N2839&lt;= 21, S2839=10), N2839-11)</f>
        <v>8</v>
      </c>
    </row>
    <row r="2840" spans="1:22" x14ac:dyDescent="0.35">
      <c r="A2840" s="4">
        <v>45571</v>
      </c>
      <c r="B2840" s="5">
        <v>0.51234953703703701</v>
      </c>
      <c r="C2840">
        <v>66.8</v>
      </c>
      <c r="D2840">
        <v>66.8</v>
      </c>
      <c r="E2840">
        <v>67.099999999999994</v>
      </c>
      <c r="F2840">
        <v>66.599999999999994</v>
      </c>
      <c r="G2840">
        <v>0</v>
      </c>
      <c r="H2840">
        <v>0</v>
      </c>
      <c r="I2840">
        <v>0</v>
      </c>
      <c r="J2840">
        <v>0</v>
      </c>
      <c r="K2840">
        <v>64.400000000000006</v>
      </c>
      <c r="L2840">
        <v>65.400000000000006</v>
      </c>
      <c r="M2840">
        <v>66.760000000000005</v>
      </c>
      <c r="N2840">
        <v>6</v>
      </c>
      <c r="O2840">
        <v>5</v>
      </c>
      <c r="P2840">
        <f>MOD(DAY(datos_siembra[[#This Row],[Date]]),7)</f>
        <v>6</v>
      </c>
      <c r="Q2840" t="str">
        <f>CHOOSE(WEEKDAY(datos_siembra[[#This Row],[Date]],2),"L","M","X","J","V","S","D")</f>
        <v>D</v>
      </c>
      <c r="R2840">
        <f>WEEKNUM(datos_siembra[[#This Row],[Date]],2)-WEEKNUM(DATE(YEAR(datos_siembra[[#This Row],[Date]]),MONTH(datos_siembra[[#This Row],[Date]]),1))+1</f>
        <v>1</v>
      </c>
      <c r="S2840">
        <f>MONTH(datos_siembra[[#This Row],[Date]])</f>
        <v>10</v>
      </c>
      <c r="T2840" t="str" cm="1">
        <f t="array" ref="T2840">_xlfn.IFS(AND(N2840&lt;= 22, S2840=9), "SOWING",AND(N2840&lt;= 28, S2840=9), "COVERAGE",AND(N2840&lt;= 30, S2840=9), "FLUSH",AND(N2840&lt;= 11, S2840=10), "FLUSH",AND(N2840&lt;= 21, S2840=10), "PRODUCTION")</f>
        <v>FLUSH</v>
      </c>
      <c r="U2840">
        <f>HOUR(datos_siembra[[#This Row],[Hour]])</f>
        <v>12</v>
      </c>
      <c r="V2840" cm="1">
        <f t="array" ref="V2840">_xlfn.IFS(AND(N2840&lt;= 22, S2840=9), N2840-7,AND(N2840&lt;= 28, S2840=9), N2840-25,AND(N2840&lt;= 30, S2840=9), N2840-28,AND(N2840&lt;= 11, S2840=10), N2840+2,AND(N2840&lt;= 21, S2840=10), N2840-11)</f>
        <v>8</v>
      </c>
    </row>
    <row r="2841" spans="1:22" x14ac:dyDescent="0.35">
      <c r="A2841" s="4">
        <v>45571</v>
      </c>
      <c r="B2841" s="5">
        <v>0.51929398148148154</v>
      </c>
      <c r="C2841">
        <v>66.8</v>
      </c>
      <c r="D2841">
        <v>66.8</v>
      </c>
      <c r="E2841">
        <v>66.900000000000006</v>
      </c>
      <c r="F2841">
        <v>66.599999999999994</v>
      </c>
      <c r="G2841">
        <v>0</v>
      </c>
      <c r="H2841">
        <v>0</v>
      </c>
      <c r="I2841">
        <v>0</v>
      </c>
      <c r="J2841">
        <v>0</v>
      </c>
      <c r="K2841">
        <v>64.599999999999994</v>
      </c>
      <c r="L2841">
        <v>65.599999999999994</v>
      </c>
      <c r="M2841">
        <v>66.73</v>
      </c>
      <c r="N2841">
        <v>6</v>
      </c>
      <c r="O2841">
        <v>5</v>
      </c>
      <c r="P2841">
        <f>MOD(DAY(datos_siembra[[#This Row],[Date]]),7)</f>
        <v>6</v>
      </c>
      <c r="Q2841" t="str">
        <f>CHOOSE(WEEKDAY(datos_siembra[[#This Row],[Date]],2),"L","M","X","J","V","S","D")</f>
        <v>D</v>
      </c>
      <c r="R2841">
        <f>WEEKNUM(datos_siembra[[#This Row],[Date]],2)-WEEKNUM(DATE(YEAR(datos_siembra[[#This Row],[Date]]),MONTH(datos_siembra[[#This Row],[Date]]),1))+1</f>
        <v>1</v>
      </c>
      <c r="S2841">
        <f>MONTH(datos_siembra[[#This Row],[Date]])</f>
        <v>10</v>
      </c>
      <c r="T2841" t="str" cm="1">
        <f t="array" ref="T2841">_xlfn.IFS(AND(N2841&lt;= 22, S2841=9), "SOWING",AND(N2841&lt;= 28, S2841=9), "COVERAGE",AND(N2841&lt;= 30, S2841=9), "FLUSH",AND(N2841&lt;= 11, S2841=10), "FLUSH",AND(N2841&lt;= 21, S2841=10), "PRODUCTION")</f>
        <v>FLUSH</v>
      </c>
      <c r="U2841">
        <f>HOUR(datos_siembra[[#This Row],[Hour]])</f>
        <v>12</v>
      </c>
      <c r="V2841" cm="1">
        <f t="array" ref="V2841">_xlfn.IFS(AND(N2841&lt;= 22, S2841=9), N2841-7,AND(N2841&lt;= 28, S2841=9), N2841-25,AND(N2841&lt;= 30, S2841=9), N2841-28,AND(N2841&lt;= 11, S2841=10), N2841+2,AND(N2841&lt;= 21, S2841=10), N2841-11)</f>
        <v>8</v>
      </c>
    </row>
    <row r="2842" spans="1:22" x14ac:dyDescent="0.35">
      <c r="A2842" s="4">
        <v>45571</v>
      </c>
      <c r="B2842" s="5">
        <v>0.52623842592592596</v>
      </c>
      <c r="C2842">
        <v>66.8</v>
      </c>
      <c r="D2842">
        <v>66.8</v>
      </c>
      <c r="E2842">
        <v>67</v>
      </c>
      <c r="F2842">
        <v>66.5</v>
      </c>
      <c r="G2842">
        <v>0</v>
      </c>
      <c r="H2842">
        <v>0</v>
      </c>
      <c r="I2842">
        <v>0</v>
      </c>
      <c r="J2842">
        <v>0</v>
      </c>
      <c r="K2842">
        <v>64.7</v>
      </c>
      <c r="L2842">
        <v>65.900000000000006</v>
      </c>
      <c r="M2842">
        <v>66.709999999999994</v>
      </c>
      <c r="N2842">
        <v>6</v>
      </c>
      <c r="O2842">
        <v>5</v>
      </c>
      <c r="P2842">
        <f>MOD(DAY(datos_siembra[[#This Row],[Date]]),7)</f>
        <v>6</v>
      </c>
      <c r="Q2842" t="str">
        <f>CHOOSE(WEEKDAY(datos_siembra[[#This Row],[Date]],2),"L","M","X","J","V","S","D")</f>
        <v>D</v>
      </c>
      <c r="R2842">
        <f>WEEKNUM(datos_siembra[[#This Row],[Date]],2)-WEEKNUM(DATE(YEAR(datos_siembra[[#This Row],[Date]]),MONTH(datos_siembra[[#This Row],[Date]]),1))+1</f>
        <v>1</v>
      </c>
      <c r="S2842">
        <f>MONTH(datos_siembra[[#This Row],[Date]])</f>
        <v>10</v>
      </c>
      <c r="T2842" t="str" cm="1">
        <f t="array" ref="T2842">_xlfn.IFS(AND(N2842&lt;= 22, S2842=9), "SOWING",AND(N2842&lt;= 28, S2842=9), "COVERAGE",AND(N2842&lt;= 30, S2842=9), "FLUSH",AND(N2842&lt;= 11, S2842=10), "FLUSH",AND(N2842&lt;= 21, S2842=10), "PRODUCTION")</f>
        <v>FLUSH</v>
      </c>
      <c r="U2842">
        <f>HOUR(datos_siembra[[#This Row],[Hour]])</f>
        <v>12</v>
      </c>
      <c r="V2842" cm="1">
        <f t="array" ref="V2842">_xlfn.IFS(AND(N2842&lt;= 22, S2842=9), N2842-7,AND(N2842&lt;= 28, S2842=9), N2842-25,AND(N2842&lt;= 30, S2842=9), N2842-28,AND(N2842&lt;= 11, S2842=10), N2842+2,AND(N2842&lt;= 21, S2842=10), N2842-11)</f>
        <v>8</v>
      </c>
    </row>
    <row r="2843" spans="1:22" x14ac:dyDescent="0.35">
      <c r="A2843" s="4">
        <v>45571</v>
      </c>
      <c r="B2843" s="5">
        <v>0.53319444444444442</v>
      </c>
      <c r="C2843">
        <v>66.8</v>
      </c>
      <c r="D2843">
        <v>66.599999999999994</v>
      </c>
      <c r="E2843">
        <v>67</v>
      </c>
      <c r="F2843">
        <v>66.5</v>
      </c>
      <c r="G2843">
        <v>0</v>
      </c>
      <c r="H2843">
        <v>0</v>
      </c>
      <c r="I2843">
        <v>0</v>
      </c>
      <c r="J2843">
        <v>0</v>
      </c>
      <c r="K2843">
        <v>64.7</v>
      </c>
      <c r="L2843">
        <v>66</v>
      </c>
      <c r="M2843">
        <v>66.760000000000005</v>
      </c>
      <c r="N2843">
        <v>6</v>
      </c>
      <c r="O2843">
        <v>5</v>
      </c>
      <c r="P2843">
        <f>MOD(DAY(datos_siembra[[#This Row],[Date]]),7)</f>
        <v>6</v>
      </c>
      <c r="Q2843" t="str">
        <f>CHOOSE(WEEKDAY(datos_siembra[[#This Row],[Date]],2),"L","M","X","J","V","S","D")</f>
        <v>D</v>
      </c>
      <c r="R2843">
        <f>WEEKNUM(datos_siembra[[#This Row],[Date]],2)-WEEKNUM(DATE(YEAR(datos_siembra[[#This Row],[Date]]),MONTH(datos_siembra[[#This Row],[Date]]),1))+1</f>
        <v>1</v>
      </c>
      <c r="S2843">
        <f>MONTH(datos_siembra[[#This Row],[Date]])</f>
        <v>10</v>
      </c>
      <c r="T2843" t="str" cm="1">
        <f t="array" ref="T2843">_xlfn.IFS(AND(N2843&lt;= 22, S2843=9), "SOWING",AND(N2843&lt;= 28, S2843=9), "COVERAGE",AND(N2843&lt;= 30, S2843=9), "FLUSH",AND(N2843&lt;= 11, S2843=10), "FLUSH",AND(N2843&lt;= 21, S2843=10), "PRODUCTION")</f>
        <v>FLUSH</v>
      </c>
      <c r="U2843">
        <f>HOUR(datos_siembra[[#This Row],[Hour]])</f>
        <v>12</v>
      </c>
      <c r="V2843" cm="1">
        <f t="array" ref="V2843">_xlfn.IFS(AND(N2843&lt;= 22, S2843=9), N2843-7,AND(N2843&lt;= 28, S2843=9), N2843-25,AND(N2843&lt;= 30, S2843=9), N2843-28,AND(N2843&lt;= 11, S2843=10), N2843+2,AND(N2843&lt;= 21, S2843=10), N2843-11)</f>
        <v>8</v>
      </c>
    </row>
    <row r="2844" spans="1:22" x14ac:dyDescent="0.35">
      <c r="A2844" s="4">
        <v>45571</v>
      </c>
      <c r="B2844" s="5">
        <v>0.54013888888888884</v>
      </c>
      <c r="C2844">
        <v>66.8</v>
      </c>
      <c r="D2844">
        <v>66.599999999999994</v>
      </c>
      <c r="E2844">
        <v>66.900000000000006</v>
      </c>
      <c r="F2844">
        <v>66.5</v>
      </c>
      <c r="G2844">
        <v>0</v>
      </c>
      <c r="H2844">
        <v>0</v>
      </c>
      <c r="I2844">
        <v>0</v>
      </c>
      <c r="J2844">
        <v>0</v>
      </c>
      <c r="K2844">
        <v>65.099999999999994</v>
      </c>
      <c r="L2844">
        <v>66.2</v>
      </c>
      <c r="M2844">
        <v>66.73</v>
      </c>
      <c r="N2844">
        <v>6</v>
      </c>
      <c r="O2844">
        <v>5</v>
      </c>
      <c r="P2844">
        <f>MOD(DAY(datos_siembra[[#This Row],[Date]]),7)</f>
        <v>6</v>
      </c>
      <c r="Q2844" t="str">
        <f>CHOOSE(WEEKDAY(datos_siembra[[#This Row],[Date]],2),"L","M","X","J","V","S","D")</f>
        <v>D</v>
      </c>
      <c r="R2844">
        <f>WEEKNUM(datos_siembra[[#This Row],[Date]],2)-WEEKNUM(DATE(YEAR(datos_siembra[[#This Row],[Date]]),MONTH(datos_siembra[[#This Row],[Date]]),1))+1</f>
        <v>1</v>
      </c>
      <c r="S2844">
        <f>MONTH(datos_siembra[[#This Row],[Date]])</f>
        <v>10</v>
      </c>
      <c r="T2844" t="str" cm="1">
        <f t="array" ref="T2844">_xlfn.IFS(AND(N2844&lt;= 22, S2844=9), "SOWING",AND(N2844&lt;= 28, S2844=9), "COVERAGE",AND(N2844&lt;= 30, S2844=9), "FLUSH",AND(N2844&lt;= 11, S2844=10), "FLUSH",AND(N2844&lt;= 21, S2844=10), "PRODUCTION")</f>
        <v>FLUSH</v>
      </c>
      <c r="U2844">
        <f>HOUR(datos_siembra[[#This Row],[Hour]])</f>
        <v>12</v>
      </c>
      <c r="V2844" cm="1">
        <f t="array" ref="V2844">_xlfn.IFS(AND(N2844&lt;= 22, S2844=9), N2844-7,AND(N2844&lt;= 28, S2844=9), N2844-25,AND(N2844&lt;= 30, S2844=9), N2844-28,AND(N2844&lt;= 11, S2844=10), N2844+2,AND(N2844&lt;= 21, S2844=10), N2844-11)</f>
        <v>8</v>
      </c>
    </row>
    <row r="2845" spans="1:22" x14ac:dyDescent="0.35">
      <c r="A2845" s="4">
        <v>45571</v>
      </c>
      <c r="B2845" s="5">
        <v>0.54708333333333337</v>
      </c>
      <c r="C2845">
        <v>66.599999999999994</v>
      </c>
      <c r="D2845">
        <v>66.599999999999994</v>
      </c>
      <c r="E2845">
        <v>66.900000000000006</v>
      </c>
      <c r="F2845">
        <v>66.5</v>
      </c>
      <c r="G2845">
        <v>0</v>
      </c>
      <c r="H2845">
        <v>0</v>
      </c>
      <c r="I2845">
        <v>0</v>
      </c>
      <c r="J2845">
        <v>0</v>
      </c>
      <c r="K2845">
        <v>65</v>
      </c>
      <c r="L2845">
        <v>66.099999999999994</v>
      </c>
      <c r="M2845">
        <v>66.760000000000005</v>
      </c>
      <c r="N2845">
        <v>6</v>
      </c>
      <c r="O2845">
        <v>5</v>
      </c>
      <c r="P2845">
        <f>MOD(DAY(datos_siembra[[#This Row],[Date]]),7)</f>
        <v>6</v>
      </c>
      <c r="Q2845" t="str">
        <f>CHOOSE(WEEKDAY(datos_siembra[[#This Row],[Date]],2),"L","M","X","J","V","S","D")</f>
        <v>D</v>
      </c>
      <c r="R2845">
        <f>WEEKNUM(datos_siembra[[#This Row],[Date]],2)-WEEKNUM(DATE(YEAR(datos_siembra[[#This Row],[Date]]),MONTH(datos_siembra[[#This Row],[Date]]),1))+1</f>
        <v>1</v>
      </c>
      <c r="S2845">
        <f>MONTH(datos_siembra[[#This Row],[Date]])</f>
        <v>10</v>
      </c>
      <c r="T2845" t="str" cm="1">
        <f t="array" ref="T2845">_xlfn.IFS(AND(N2845&lt;= 22, S2845=9), "SOWING",AND(N2845&lt;= 28, S2845=9), "COVERAGE",AND(N2845&lt;= 30, S2845=9), "FLUSH",AND(N2845&lt;= 11, S2845=10), "FLUSH",AND(N2845&lt;= 21, S2845=10), "PRODUCTION")</f>
        <v>FLUSH</v>
      </c>
      <c r="U2845">
        <f>HOUR(datos_siembra[[#This Row],[Hour]])</f>
        <v>13</v>
      </c>
      <c r="V2845" cm="1">
        <f t="array" ref="V2845">_xlfn.IFS(AND(N2845&lt;= 22, S2845=9), N2845-7,AND(N2845&lt;= 28, S2845=9), N2845-25,AND(N2845&lt;= 30, S2845=9), N2845-28,AND(N2845&lt;= 11, S2845=10), N2845+2,AND(N2845&lt;= 21, S2845=10), N2845-11)</f>
        <v>8</v>
      </c>
    </row>
    <row r="2846" spans="1:22" x14ac:dyDescent="0.35">
      <c r="A2846" s="4">
        <v>45571</v>
      </c>
      <c r="B2846" s="5">
        <v>0.55403935185185182</v>
      </c>
      <c r="C2846">
        <v>66.8</v>
      </c>
      <c r="D2846">
        <v>66.8</v>
      </c>
      <c r="E2846">
        <v>67</v>
      </c>
      <c r="F2846">
        <v>66.5</v>
      </c>
      <c r="G2846">
        <v>0</v>
      </c>
      <c r="H2846">
        <v>0</v>
      </c>
      <c r="I2846">
        <v>0</v>
      </c>
      <c r="J2846">
        <v>0</v>
      </c>
      <c r="K2846">
        <v>65.099999999999994</v>
      </c>
      <c r="L2846">
        <v>66.3</v>
      </c>
      <c r="M2846">
        <v>66.760000000000005</v>
      </c>
      <c r="N2846">
        <v>6</v>
      </c>
      <c r="O2846">
        <v>5</v>
      </c>
      <c r="P2846">
        <f>MOD(DAY(datos_siembra[[#This Row],[Date]]),7)</f>
        <v>6</v>
      </c>
      <c r="Q2846" t="str">
        <f>CHOOSE(WEEKDAY(datos_siembra[[#This Row],[Date]],2),"L","M","X","J","V","S","D")</f>
        <v>D</v>
      </c>
      <c r="R2846">
        <f>WEEKNUM(datos_siembra[[#This Row],[Date]],2)-WEEKNUM(DATE(YEAR(datos_siembra[[#This Row],[Date]]),MONTH(datos_siembra[[#This Row],[Date]]),1))+1</f>
        <v>1</v>
      </c>
      <c r="S2846">
        <f>MONTH(datos_siembra[[#This Row],[Date]])</f>
        <v>10</v>
      </c>
      <c r="T2846" t="str" cm="1">
        <f t="array" ref="T2846">_xlfn.IFS(AND(N2846&lt;= 22, S2846=9), "SOWING",AND(N2846&lt;= 28, S2846=9), "COVERAGE",AND(N2846&lt;= 30, S2846=9), "FLUSH",AND(N2846&lt;= 11, S2846=10), "FLUSH",AND(N2846&lt;= 21, S2846=10), "PRODUCTION")</f>
        <v>FLUSH</v>
      </c>
      <c r="U2846">
        <f>HOUR(datos_siembra[[#This Row],[Hour]])</f>
        <v>13</v>
      </c>
      <c r="V2846" cm="1">
        <f t="array" ref="V2846">_xlfn.IFS(AND(N2846&lt;= 22, S2846=9), N2846-7,AND(N2846&lt;= 28, S2846=9), N2846-25,AND(N2846&lt;= 30, S2846=9), N2846-28,AND(N2846&lt;= 11, S2846=10), N2846+2,AND(N2846&lt;= 21, S2846=10), N2846-11)</f>
        <v>8</v>
      </c>
    </row>
    <row r="2847" spans="1:22" x14ac:dyDescent="0.35">
      <c r="A2847" s="4">
        <v>45571</v>
      </c>
      <c r="B2847" s="5">
        <v>0.56098379629629624</v>
      </c>
      <c r="C2847">
        <v>66.599999999999994</v>
      </c>
      <c r="D2847">
        <v>66.599999999999994</v>
      </c>
      <c r="E2847">
        <v>67.099999999999994</v>
      </c>
      <c r="F2847">
        <v>66.5</v>
      </c>
      <c r="G2847">
        <v>0</v>
      </c>
      <c r="H2847">
        <v>0</v>
      </c>
      <c r="I2847">
        <v>0</v>
      </c>
      <c r="J2847">
        <v>0</v>
      </c>
      <c r="K2847">
        <v>65.3</v>
      </c>
      <c r="L2847">
        <v>66.5</v>
      </c>
      <c r="M2847">
        <v>66.73</v>
      </c>
      <c r="N2847">
        <v>6</v>
      </c>
      <c r="O2847">
        <v>5</v>
      </c>
      <c r="P2847">
        <f>MOD(DAY(datos_siembra[[#This Row],[Date]]),7)</f>
        <v>6</v>
      </c>
      <c r="Q2847" t="str">
        <f>CHOOSE(WEEKDAY(datos_siembra[[#This Row],[Date]],2),"L","M","X","J","V","S","D")</f>
        <v>D</v>
      </c>
      <c r="R2847">
        <f>WEEKNUM(datos_siembra[[#This Row],[Date]],2)-WEEKNUM(DATE(YEAR(datos_siembra[[#This Row],[Date]]),MONTH(datos_siembra[[#This Row],[Date]]),1))+1</f>
        <v>1</v>
      </c>
      <c r="S2847">
        <f>MONTH(datos_siembra[[#This Row],[Date]])</f>
        <v>10</v>
      </c>
      <c r="T2847" t="str" cm="1">
        <f t="array" ref="T2847">_xlfn.IFS(AND(N2847&lt;= 22, S2847=9), "SOWING",AND(N2847&lt;= 28, S2847=9), "COVERAGE",AND(N2847&lt;= 30, S2847=9), "FLUSH",AND(N2847&lt;= 11, S2847=10), "FLUSH",AND(N2847&lt;= 21, S2847=10), "PRODUCTION")</f>
        <v>FLUSH</v>
      </c>
      <c r="U2847">
        <f>HOUR(datos_siembra[[#This Row],[Hour]])</f>
        <v>13</v>
      </c>
      <c r="V2847" cm="1">
        <f t="array" ref="V2847">_xlfn.IFS(AND(N2847&lt;= 22, S2847=9), N2847-7,AND(N2847&lt;= 28, S2847=9), N2847-25,AND(N2847&lt;= 30, S2847=9), N2847-28,AND(N2847&lt;= 11, S2847=10), N2847+2,AND(N2847&lt;= 21, S2847=10), N2847-11)</f>
        <v>8</v>
      </c>
    </row>
    <row r="2848" spans="1:22" x14ac:dyDescent="0.35">
      <c r="A2848" s="4">
        <v>45571</v>
      </c>
      <c r="B2848" s="5">
        <v>0.56792824074074078</v>
      </c>
      <c r="C2848">
        <v>66.8</v>
      </c>
      <c r="D2848">
        <v>66.599999999999994</v>
      </c>
      <c r="E2848">
        <v>67</v>
      </c>
      <c r="F2848">
        <v>66.599999999999994</v>
      </c>
      <c r="G2848">
        <v>0</v>
      </c>
      <c r="H2848">
        <v>0</v>
      </c>
      <c r="I2848">
        <v>0</v>
      </c>
      <c r="J2848">
        <v>0</v>
      </c>
      <c r="K2848">
        <v>65.400000000000006</v>
      </c>
      <c r="L2848">
        <v>66.8</v>
      </c>
      <c r="M2848">
        <v>66.680000000000007</v>
      </c>
      <c r="N2848">
        <v>6</v>
      </c>
      <c r="O2848">
        <v>5</v>
      </c>
      <c r="P2848">
        <f>MOD(DAY(datos_siembra[[#This Row],[Date]]),7)</f>
        <v>6</v>
      </c>
      <c r="Q2848" t="str">
        <f>CHOOSE(WEEKDAY(datos_siembra[[#This Row],[Date]],2),"L","M","X","J","V","S","D")</f>
        <v>D</v>
      </c>
      <c r="R2848">
        <f>WEEKNUM(datos_siembra[[#This Row],[Date]],2)-WEEKNUM(DATE(YEAR(datos_siembra[[#This Row],[Date]]),MONTH(datos_siembra[[#This Row],[Date]]),1))+1</f>
        <v>1</v>
      </c>
      <c r="S2848">
        <f>MONTH(datos_siembra[[#This Row],[Date]])</f>
        <v>10</v>
      </c>
      <c r="T2848" t="str" cm="1">
        <f t="array" ref="T2848">_xlfn.IFS(AND(N2848&lt;= 22, S2848=9), "SOWING",AND(N2848&lt;= 28, S2848=9), "COVERAGE",AND(N2848&lt;= 30, S2848=9), "FLUSH",AND(N2848&lt;= 11, S2848=10), "FLUSH",AND(N2848&lt;= 21, S2848=10), "PRODUCTION")</f>
        <v>FLUSH</v>
      </c>
      <c r="U2848">
        <f>HOUR(datos_siembra[[#This Row],[Hour]])</f>
        <v>13</v>
      </c>
      <c r="V2848" cm="1">
        <f t="array" ref="V2848">_xlfn.IFS(AND(N2848&lt;= 22, S2848=9), N2848-7,AND(N2848&lt;= 28, S2848=9), N2848-25,AND(N2848&lt;= 30, S2848=9), N2848-28,AND(N2848&lt;= 11, S2848=10), N2848+2,AND(N2848&lt;= 21, S2848=10), N2848-11)</f>
        <v>8</v>
      </c>
    </row>
    <row r="2849" spans="1:22" x14ac:dyDescent="0.35">
      <c r="A2849" s="4">
        <v>45571</v>
      </c>
      <c r="B2849" s="5">
        <v>0.57488425925925923</v>
      </c>
      <c r="C2849">
        <v>66.599999999999994</v>
      </c>
      <c r="D2849">
        <v>66.8</v>
      </c>
      <c r="E2849">
        <v>67</v>
      </c>
      <c r="F2849">
        <v>66.599999999999994</v>
      </c>
      <c r="G2849">
        <v>0</v>
      </c>
      <c r="H2849">
        <v>0</v>
      </c>
      <c r="I2849">
        <v>0</v>
      </c>
      <c r="J2849">
        <v>0</v>
      </c>
      <c r="K2849">
        <v>65.2</v>
      </c>
      <c r="L2849">
        <v>66.099999999999994</v>
      </c>
      <c r="M2849">
        <v>66.760000000000005</v>
      </c>
      <c r="N2849">
        <v>6</v>
      </c>
      <c r="O2849">
        <v>5</v>
      </c>
      <c r="P2849">
        <f>MOD(DAY(datos_siembra[[#This Row],[Date]]),7)</f>
        <v>6</v>
      </c>
      <c r="Q2849" t="str">
        <f>CHOOSE(WEEKDAY(datos_siembra[[#This Row],[Date]],2),"L","M","X","J","V","S","D")</f>
        <v>D</v>
      </c>
      <c r="R2849">
        <f>WEEKNUM(datos_siembra[[#This Row],[Date]],2)-WEEKNUM(DATE(YEAR(datos_siembra[[#This Row],[Date]]),MONTH(datos_siembra[[#This Row],[Date]]),1))+1</f>
        <v>1</v>
      </c>
      <c r="S2849">
        <f>MONTH(datos_siembra[[#This Row],[Date]])</f>
        <v>10</v>
      </c>
      <c r="T2849" t="str" cm="1">
        <f t="array" ref="T2849">_xlfn.IFS(AND(N2849&lt;= 22, S2849=9), "SOWING",AND(N2849&lt;= 28, S2849=9), "COVERAGE",AND(N2849&lt;= 30, S2849=9), "FLUSH",AND(N2849&lt;= 11, S2849=10), "FLUSH",AND(N2849&lt;= 21, S2849=10), "PRODUCTION")</f>
        <v>FLUSH</v>
      </c>
      <c r="U2849">
        <f>HOUR(datos_siembra[[#This Row],[Hour]])</f>
        <v>13</v>
      </c>
      <c r="V2849" cm="1">
        <f t="array" ref="V2849">_xlfn.IFS(AND(N2849&lt;= 22, S2849=9), N2849-7,AND(N2849&lt;= 28, S2849=9), N2849-25,AND(N2849&lt;= 30, S2849=9), N2849-28,AND(N2849&lt;= 11, S2849=10), N2849+2,AND(N2849&lt;= 21, S2849=10), N2849-11)</f>
        <v>8</v>
      </c>
    </row>
    <row r="2850" spans="1:22" x14ac:dyDescent="0.35">
      <c r="A2850" s="4">
        <v>45571</v>
      </c>
      <c r="B2850" s="5">
        <v>0.58182870370370365</v>
      </c>
      <c r="C2850">
        <v>66.599999999999994</v>
      </c>
      <c r="D2850">
        <v>66.599999999999994</v>
      </c>
      <c r="E2850">
        <v>66.900000000000006</v>
      </c>
      <c r="F2850">
        <v>66.599999999999994</v>
      </c>
      <c r="G2850">
        <v>0</v>
      </c>
      <c r="H2850">
        <v>0</v>
      </c>
      <c r="I2850">
        <v>0</v>
      </c>
      <c r="J2850">
        <v>0</v>
      </c>
      <c r="K2850">
        <v>65.099999999999994</v>
      </c>
      <c r="L2850">
        <v>66</v>
      </c>
      <c r="M2850">
        <v>66.73</v>
      </c>
      <c r="N2850">
        <v>6</v>
      </c>
      <c r="O2850">
        <v>5</v>
      </c>
      <c r="P2850">
        <f>MOD(DAY(datos_siembra[[#This Row],[Date]]),7)</f>
        <v>6</v>
      </c>
      <c r="Q2850" t="str">
        <f>CHOOSE(WEEKDAY(datos_siembra[[#This Row],[Date]],2),"L","M","X","J","V","S","D")</f>
        <v>D</v>
      </c>
      <c r="R2850">
        <f>WEEKNUM(datos_siembra[[#This Row],[Date]],2)-WEEKNUM(DATE(YEAR(datos_siembra[[#This Row],[Date]]),MONTH(datos_siembra[[#This Row],[Date]]),1))+1</f>
        <v>1</v>
      </c>
      <c r="S2850">
        <f>MONTH(datos_siembra[[#This Row],[Date]])</f>
        <v>10</v>
      </c>
      <c r="T2850" t="str" cm="1">
        <f t="array" ref="T2850">_xlfn.IFS(AND(N2850&lt;= 22, S2850=9), "SOWING",AND(N2850&lt;= 28, S2850=9), "COVERAGE",AND(N2850&lt;= 30, S2850=9), "FLUSH",AND(N2850&lt;= 11, S2850=10), "FLUSH",AND(N2850&lt;= 21, S2850=10), "PRODUCTION")</f>
        <v>FLUSH</v>
      </c>
      <c r="U2850">
        <f>HOUR(datos_siembra[[#This Row],[Hour]])</f>
        <v>13</v>
      </c>
      <c r="V2850" cm="1">
        <f t="array" ref="V2850">_xlfn.IFS(AND(N2850&lt;= 22, S2850=9), N2850-7,AND(N2850&lt;= 28, S2850=9), N2850-25,AND(N2850&lt;= 30, S2850=9), N2850-28,AND(N2850&lt;= 11, S2850=10), N2850+2,AND(N2850&lt;= 21, S2850=10), N2850-11)</f>
        <v>8</v>
      </c>
    </row>
    <row r="2851" spans="1:22" x14ac:dyDescent="0.35">
      <c r="A2851" s="4">
        <v>45571</v>
      </c>
      <c r="B2851" s="5">
        <v>0.58877314814814818</v>
      </c>
      <c r="C2851">
        <v>66.599999999999994</v>
      </c>
      <c r="D2851">
        <v>66.599999999999994</v>
      </c>
      <c r="E2851">
        <v>67.099999999999994</v>
      </c>
      <c r="F2851">
        <v>66.599999999999994</v>
      </c>
      <c r="G2851">
        <v>0</v>
      </c>
      <c r="H2851">
        <v>0</v>
      </c>
      <c r="I2851">
        <v>0</v>
      </c>
      <c r="J2851">
        <v>0</v>
      </c>
      <c r="K2851">
        <v>64.5</v>
      </c>
      <c r="L2851">
        <v>65.099999999999994</v>
      </c>
      <c r="M2851">
        <v>66.849999999999994</v>
      </c>
      <c r="N2851">
        <v>6</v>
      </c>
      <c r="O2851">
        <v>5</v>
      </c>
      <c r="P2851">
        <f>MOD(DAY(datos_siembra[[#This Row],[Date]]),7)</f>
        <v>6</v>
      </c>
      <c r="Q2851" t="str">
        <f>CHOOSE(WEEKDAY(datos_siembra[[#This Row],[Date]],2),"L","M","X","J","V","S","D")</f>
        <v>D</v>
      </c>
      <c r="R2851">
        <f>WEEKNUM(datos_siembra[[#This Row],[Date]],2)-WEEKNUM(DATE(YEAR(datos_siembra[[#This Row],[Date]]),MONTH(datos_siembra[[#This Row],[Date]]),1))+1</f>
        <v>1</v>
      </c>
      <c r="S2851">
        <f>MONTH(datos_siembra[[#This Row],[Date]])</f>
        <v>10</v>
      </c>
      <c r="T2851" t="str" cm="1">
        <f t="array" ref="T2851">_xlfn.IFS(AND(N2851&lt;= 22, S2851=9), "SOWING",AND(N2851&lt;= 28, S2851=9), "COVERAGE",AND(N2851&lt;= 30, S2851=9), "FLUSH",AND(N2851&lt;= 11, S2851=10), "FLUSH",AND(N2851&lt;= 21, S2851=10), "PRODUCTION")</f>
        <v>FLUSH</v>
      </c>
      <c r="U2851">
        <f>HOUR(datos_siembra[[#This Row],[Hour]])</f>
        <v>14</v>
      </c>
      <c r="V2851" cm="1">
        <f t="array" ref="V2851">_xlfn.IFS(AND(N2851&lt;= 22, S2851=9), N2851-7,AND(N2851&lt;= 28, S2851=9), N2851-25,AND(N2851&lt;= 30, S2851=9), N2851-28,AND(N2851&lt;= 11, S2851=10), N2851+2,AND(N2851&lt;= 21, S2851=10), N2851-11)</f>
        <v>8</v>
      </c>
    </row>
    <row r="2852" spans="1:22" x14ac:dyDescent="0.35">
      <c r="A2852" s="4">
        <v>45571</v>
      </c>
      <c r="B2852" s="5">
        <v>0.5957175925925926</v>
      </c>
      <c r="C2852">
        <v>66.599999999999994</v>
      </c>
      <c r="D2852">
        <v>66.599999999999994</v>
      </c>
      <c r="E2852">
        <v>67.099999999999994</v>
      </c>
      <c r="F2852">
        <v>66.400000000000006</v>
      </c>
      <c r="G2852">
        <v>0</v>
      </c>
      <c r="H2852">
        <v>0</v>
      </c>
      <c r="I2852">
        <v>0</v>
      </c>
      <c r="J2852">
        <v>0</v>
      </c>
      <c r="K2852">
        <v>64.099999999999994</v>
      </c>
      <c r="L2852">
        <v>64.3</v>
      </c>
      <c r="M2852">
        <v>66.709999999999994</v>
      </c>
      <c r="N2852">
        <v>6</v>
      </c>
      <c r="O2852">
        <v>5</v>
      </c>
      <c r="P2852">
        <f>MOD(DAY(datos_siembra[[#This Row],[Date]]),7)</f>
        <v>6</v>
      </c>
      <c r="Q2852" t="str">
        <f>CHOOSE(WEEKDAY(datos_siembra[[#This Row],[Date]],2),"L","M","X","J","V","S","D")</f>
        <v>D</v>
      </c>
      <c r="R2852">
        <f>WEEKNUM(datos_siembra[[#This Row],[Date]],2)-WEEKNUM(DATE(YEAR(datos_siembra[[#This Row],[Date]]),MONTH(datos_siembra[[#This Row],[Date]]),1))+1</f>
        <v>1</v>
      </c>
      <c r="S2852">
        <f>MONTH(datos_siembra[[#This Row],[Date]])</f>
        <v>10</v>
      </c>
      <c r="T2852" t="str" cm="1">
        <f t="array" ref="T2852">_xlfn.IFS(AND(N2852&lt;= 22, S2852=9), "SOWING",AND(N2852&lt;= 28, S2852=9), "COVERAGE",AND(N2852&lt;= 30, S2852=9), "FLUSH",AND(N2852&lt;= 11, S2852=10), "FLUSH",AND(N2852&lt;= 21, S2852=10), "PRODUCTION")</f>
        <v>FLUSH</v>
      </c>
      <c r="U2852">
        <f>HOUR(datos_siembra[[#This Row],[Hour]])</f>
        <v>14</v>
      </c>
      <c r="V2852" cm="1">
        <f t="array" ref="V2852">_xlfn.IFS(AND(N2852&lt;= 22, S2852=9), N2852-7,AND(N2852&lt;= 28, S2852=9), N2852-25,AND(N2852&lt;= 30, S2852=9), N2852-28,AND(N2852&lt;= 11, S2852=10), N2852+2,AND(N2852&lt;= 21, S2852=10), N2852-11)</f>
        <v>8</v>
      </c>
    </row>
    <row r="2853" spans="1:22" x14ac:dyDescent="0.35">
      <c r="A2853" s="4">
        <v>45571</v>
      </c>
      <c r="B2853" s="5">
        <v>0.60267361111111106</v>
      </c>
      <c r="C2853">
        <v>66.5</v>
      </c>
      <c r="D2853">
        <v>66.599999999999994</v>
      </c>
      <c r="E2853">
        <v>67</v>
      </c>
      <c r="F2853">
        <v>66.5</v>
      </c>
      <c r="G2853">
        <v>0</v>
      </c>
      <c r="H2853">
        <v>0</v>
      </c>
      <c r="I2853">
        <v>0</v>
      </c>
      <c r="J2853">
        <v>0</v>
      </c>
      <c r="K2853">
        <v>63.6</v>
      </c>
      <c r="L2853">
        <v>63.9</v>
      </c>
      <c r="M2853">
        <v>66.680000000000007</v>
      </c>
      <c r="N2853">
        <v>6</v>
      </c>
      <c r="O2853">
        <v>5</v>
      </c>
      <c r="P2853">
        <f>MOD(DAY(datos_siembra[[#This Row],[Date]]),7)</f>
        <v>6</v>
      </c>
      <c r="Q2853" t="str">
        <f>CHOOSE(WEEKDAY(datos_siembra[[#This Row],[Date]],2),"L","M","X","J","V","S","D")</f>
        <v>D</v>
      </c>
      <c r="R2853">
        <f>WEEKNUM(datos_siembra[[#This Row],[Date]],2)-WEEKNUM(DATE(YEAR(datos_siembra[[#This Row],[Date]]),MONTH(datos_siembra[[#This Row],[Date]]),1))+1</f>
        <v>1</v>
      </c>
      <c r="S2853">
        <f>MONTH(datos_siembra[[#This Row],[Date]])</f>
        <v>10</v>
      </c>
      <c r="T2853" t="str" cm="1">
        <f t="array" ref="T2853">_xlfn.IFS(AND(N2853&lt;= 22, S2853=9), "SOWING",AND(N2853&lt;= 28, S2853=9), "COVERAGE",AND(N2853&lt;= 30, S2853=9), "FLUSH",AND(N2853&lt;= 11, S2853=10), "FLUSH",AND(N2853&lt;= 21, S2853=10), "PRODUCTION")</f>
        <v>FLUSH</v>
      </c>
      <c r="U2853">
        <f>HOUR(datos_siembra[[#This Row],[Hour]])</f>
        <v>14</v>
      </c>
      <c r="V2853" cm="1">
        <f t="array" ref="V2853">_xlfn.IFS(AND(N2853&lt;= 22, S2853=9), N2853-7,AND(N2853&lt;= 28, S2853=9), N2853-25,AND(N2853&lt;= 30, S2853=9), N2853-28,AND(N2853&lt;= 11, S2853=10), N2853+2,AND(N2853&lt;= 21, S2853=10), N2853-11)</f>
        <v>8</v>
      </c>
    </row>
    <row r="2854" spans="1:22" x14ac:dyDescent="0.35">
      <c r="A2854" s="4">
        <v>45571</v>
      </c>
      <c r="B2854" s="5">
        <v>0.60961805555555559</v>
      </c>
      <c r="C2854">
        <v>66.8</v>
      </c>
      <c r="D2854">
        <v>66.5</v>
      </c>
      <c r="E2854">
        <v>66.900000000000006</v>
      </c>
      <c r="F2854">
        <v>66.5</v>
      </c>
      <c r="G2854">
        <v>0</v>
      </c>
      <c r="H2854">
        <v>0</v>
      </c>
      <c r="I2854">
        <v>0</v>
      </c>
      <c r="J2854">
        <v>0</v>
      </c>
      <c r="K2854">
        <v>63.4</v>
      </c>
      <c r="L2854">
        <v>63.7</v>
      </c>
      <c r="M2854">
        <v>66.760000000000005</v>
      </c>
      <c r="N2854">
        <v>6</v>
      </c>
      <c r="O2854">
        <v>5</v>
      </c>
      <c r="P2854">
        <f>MOD(DAY(datos_siembra[[#This Row],[Date]]),7)</f>
        <v>6</v>
      </c>
      <c r="Q2854" t="str">
        <f>CHOOSE(WEEKDAY(datos_siembra[[#This Row],[Date]],2),"L","M","X","J","V","S","D")</f>
        <v>D</v>
      </c>
      <c r="R2854">
        <f>WEEKNUM(datos_siembra[[#This Row],[Date]],2)-WEEKNUM(DATE(YEAR(datos_siembra[[#This Row],[Date]]),MONTH(datos_siembra[[#This Row],[Date]]),1))+1</f>
        <v>1</v>
      </c>
      <c r="S2854">
        <f>MONTH(datos_siembra[[#This Row],[Date]])</f>
        <v>10</v>
      </c>
      <c r="T2854" t="str" cm="1">
        <f t="array" ref="T2854">_xlfn.IFS(AND(N2854&lt;= 22, S2854=9), "SOWING",AND(N2854&lt;= 28, S2854=9), "COVERAGE",AND(N2854&lt;= 30, S2854=9), "FLUSH",AND(N2854&lt;= 11, S2854=10), "FLUSH",AND(N2854&lt;= 21, S2854=10), "PRODUCTION")</f>
        <v>FLUSH</v>
      </c>
      <c r="U2854">
        <f>HOUR(datos_siembra[[#This Row],[Hour]])</f>
        <v>14</v>
      </c>
      <c r="V2854" cm="1">
        <f t="array" ref="V2854">_xlfn.IFS(AND(N2854&lt;= 22, S2854=9), N2854-7,AND(N2854&lt;= 28, S2854=9), N2854-25,AND(N2854&lt;= 30, S2854=9), N2854-28,AND(N2854&lt;= 11, S2854=10), N2854+2,AND(N2854&lt;= 21, S2854=10), N2854-11)</f>
        <v>8</v>
      </c>
    </row>
    <row r="2855" spans="1:22" x14ac:dyDescent="0.35">
      <c r="A2855" s="4">
        <v>45571</v>
      </c>
      <c r="B2855" s="5">
        <v>0.61656250000000001</v>
      </c>
      <c r="C2855">
        <v>66.599999999999994</v>
      </c>
      <c r="D2855">
        <v>66.8</v>
      </c>
      <c r="E2855">
        <v>67</v>
      </c>
      <c r="F2855">
        <v>66.3</v>
      </c>
      <c r="G2855">
        <v>0</v>
      </c>
      <c r="H2855">
        <v>0</v>
      </c>
      <c r="I2855">
        <v>0</v>
      </c>
      <c r="J2855">
        <v>0</v>
      </c>
      <c r="K2855">
        <v>63.2</v>
      </c>
      <c r="L2855">
        <v>63.6</v>
      </c>
      <c r="M2855">
        <v>66.73</v>
      </c>
      <c r="N2855">
        <v>6</v>
      </c>
      <c r="O2855">
        <v>5</v>
      </c>
      <c r="P2855">
        <f>MOD(DAY(datos_siembra[[#This Row],[Date]]),7)</f>
        <v>6</v>
      </c>
      <c r="Q2855" t="str">
        <f>CHOOSE(WEEKDAY(datos_siembra[[#This Row],[Date]],2),"L","M","X","J","V","S","D")</f>
        <v>D</v>
      </c>
      <c r="R2855">
        <f>WEEKNUM(datos_siembra[[#This Row],[Date]],2)-WEEKNUM(DATE(YEAR(datos_siembra[[#This Row],[Date]]),MONTH(datos_siembra[[#This Row],[Date]]),1))+1</f>
        <v>1</v>
      </c>
      <c r="S2855">
        <f>MONTH(datos_siembra[[#This Row],[Date]])</f>
        <v>10</v>
      </c>
      <c r="T2855" t="str" cm="1">
        <f t="array" ref="T2855">_xlfn.IFS(AND(N2855&lt;= 22, S2855=9), "SOWING",AND(N2855&lt;= 28, S2855=9), "COVERAGE",AND(N2855&lt;= 30, S2855=9), "FLUSH",AND(N2855&lt;= 11, S2855=10), "FLUSH",AND(N2855&lt;= 21, S2855=10), "PRODUCTION")</f>
        <v>FLUSH</v>
      </c>
      <c r="U2855">
        <f>HOUR(datos_siembra[[#This Row],[Hour]])</f>
        <v>14</v>
      </c>
      <c r="V2855" cm="1">
        <f t="array" ref="V2855">_xlfn.IFS(AND(N2855&lt;= 22, S2855=9), N2855-7,AND(N2855&lt;= 28, S2855=9), N2855-25,AND(N2855&lt;= 30, S2855=9), N2855-28,AND(N2855&lt;= 11, S2855=10), N2855+2,AND(N2855&lt;= 21, S2855=10), N2855-11)</f>
        <v>8</v>
      </c>
    </row>
    <row r="2856" spans="1:22" x14ac:dyDescent="0.35">
      <c r="A2856" s="4">
        <v>45571</v>
      </c>
      <c r="B2856" s="5">
        <v>0.62351851851851847</v>
      </c>
      <c r="C2856">
        <v>66.8</v>
      </c>
      <c r="D2856">
        <v>66.599999999999994</v>
      </c>
      <c r="E2856">
        <v>67</v>
      </c>
      <c r="F2856">
        <v>66.599999999999994</v>
      </c>
      <c r="G2856">
        <v>0</v>
      </c>
      <c r="H2856">
        <v>0</v>
      </c>
      <c r="I2856">
        <v>0</v>
      </c>
      <c r="J2856">
        <v>0</v>
      </c>
      <c r="K2856">
        <v>63.9</v>
      </c>
      <c r="L2856">
        <v>64.5</v>
      </c>
      <c r="M2856">
        <v>66.73</v>
      </c>
      <c r="N2856">
        <v>6</v>
      </c>
      <c r="O2856">
        <v>5</v>
      </c>
      <c r="P2856">
        <f>MOD(DAY(datos_siembra[[#This Row],[Date]]),7)</f>
        <v>6</v>
      </c>
      <c r="Q2856" t="str">
        <f>CHOOSE(WEEKDAY(datos_siembra[[#This Row],[Date]],2),"L","M","X","J","V","S","D")</f>
        <v>D</v>
      </c>
      <c r="R2856">
        <f>WEEKNUM(datos_siembra[[#This Row],[Date]],2)-WEEKNUM(DATE(YEAR(datos_siembra[[#This Row],[Date]]),MONTH(datos_siembra[[#This Row],[Date]]),1))+1</f>
        <v>1</v>
      </c>
      <c r="S2856">
        <f>MONTH(datos_siembra[[#This Row],[Date]])</f>
        <v>10</v>
      </c>
      <c r="T2856" t="str" cm="1">
        <f t="array" ref="T2856">_xlfn.IFS(AND(N2856&lt;= 22, S2856=9), "SOWING",AND(N2856&lt;= 28, S2856=9), "COVERAGE",AND(N2856&lt;= 30, S2856=9), "FLUSH",AND(N2856&lt;= 11, S2856=10), "FLUSH",AND(N2856&lt;= 21, S2856=10), "PRODUCTION")</f>
        <v>FLUSH</v>
      </c>
      <c r="U2856">
        <f>HOUR(datos_siembra[[#This Row],[Hour]])</f>
        <v>14</v>
      </c>
      <c r="V2856" cm="1">
        <f t="array" ref="V2856">_xlfn.IFS(AND(N2856&lt;= 22, S2856=9), N2856-7,AND(N2856&lt;= 28, S2856=9), N2856-25,AND(N2856&lt;= 30, S2856=9), N2856-28,AND(N2856&lt;= 11, S2856=10), N2856+2,AND(N2856&lt;= 21, S2856=10), N2856-11)</f>
        <v>8</v>
      </c>
    </row>
    <row r="2857" spans="1:22" x14ac:dyDescent="0.35">
      <c r="A2857" s="4">
        <v>45571</v>
      </c>
      <c r="B2857" s="5">
        <v>0.630462962962963</v>
      </c>
      <c r="C2857">
        <v>66.8</v>
      </c>
      <c r="D2857">
        <v>66.5</v>
      </c>
      <c r="E2857">
        <v>66.900000000000006</v>
      </c>
      <c r="F2857">
        <v>66.599999999999994</v>
      </c>
      <c r="G2857">
        <v>0</v>
      </c>
      <c r="H2857">
        <v>0</v>
      </c>
      <c r="I2857">
        <v>0</v>
      </c>
      <c r="J2857">
        <v>0</v>
      </c>
      <c r="K2857">
        <v>64.3</v>
      </c>
      <c r="L2857">
        <v>64.900000000000006</v>
      </c>
      <c r="M2857">
        <v>66.73</v>
      </c>
      <c r="N2857">
        <v>6</v>
      </c>
      <c r="O2857">
        <v>5</v>
      </c>
      <c r="P2857">
        <f>MOD(DAY(datos_siembra[[#This Row],[Date]]),7)</f>
        <v>6</v>
      </c>
      <c r="Q2857" t="str">
        <f>CHOOSE(WEEKDAY(datos_siembra[[#This Row],[Date]],2),"L","M","X","J","V","S","D")</f>
        <v>D</v>
      </c>
      <c r="R2857">
        <f>WEEKNUM(datos_siembra[[#This Row],[Date]],2)-WEEKNUM(DATE(YEAR(datos_siembra[[#This Row],[Date]]),MONTH(datos_siembra[[#This Row],[Date]]),1))+1</f>
        <v>1</v>
      </c>
      <c r="S2857">
        <f>MONTH(datos_siembra[[#This Row],[Date]])</f>
        <v>10</v>
      </c>
      <c r="T2857" t="str" cm="1">
        <f t="array" ref="T2857">_xlfn.IFS(AND(N2857&lt;= 22, S2857=9), "SOWING",AND(N2857&lt;= 28, S2857=9), "COVERAGE",AND(N2857&lt;= 30, S2857=9), "FLUSH",AND(N2857&lt;= 11, S2857=10), "FLUSH",AND(N2857&lt;= 21, S2857=10), "PRODUCTION")</f>
        <v>FLUSH</v>
      </c>
      <c r="U2857">
        <f>HOUR(datos_siembra[[#This Row],[Hour]])</f>
        <v>15</v>
      </c>
      <c r="V2857" cm="1">
        <f t="array" ref="V2857">_xlfn.IFS(AND(N2857&lt;= 22, S2857=9), N2857-7,AND(N2857&lt;= 28, S2857=9), N2857-25,AND(N2857&lt;= 30, S2857=9), N2857-28,AND(N2857&lt;= 11, S2857=10), N2857+2,AND(N2857&lt;= 21, S2857=10), N2857-11)</f>
        <v>8</v>
      </c>
    </row>
    <row r="2858" spans="1:22" x14ac:dyDescent="0.35">
      <c r="A2858" s="4">
        <v>45571</v>
      </c>
      <c r="B2858" s="5">
        <v>0.63740740740740742</v>
      </c>
      <c r="C2858">
        <v>66.8</v>
      </c>
      <c r="D2858">
        <v>66.599999999999994</v>
      </c>
      <c r="E2858">
        <v>67</v>
      </c>
      <c r="F2858">
        <v>66.5</v>
      </c>
      <c r="G2858">
        <v>0</v>
      </c>
      <c r="H2858">
        <v>0</v>
      </c>
      <c r="I2858">
        <v>0</v>
      </c>
      <c r="J2858">
        <v>0</v>
      </c>
      <c r="K2858">
        <v>64.5</v>
      </c>
      <c r="L2858">
        <v>65.099999999999994</v>
      </c>
      <c r="M2858">
        <v>66.73</v>
      </c>
      <c r="N2858">
        <v>6</v>
      </c>
      <c r="O2858">
        <v>5</v>
      </c>
      <c r="P2858">
        <f>MOD(DAY(datos_siembra[[#This Row],[Date]]),7)</f>
        <v>6</v>
      </c>
      <c r="Q2858" t="str">
        <f>CHOOSE(WEEKDAY(datos_siembra[[#This Row],[Date]],2),"L","M","X","J","V","S","D")</f>
        <v>D</v>
      </c>
      <c r="R2858">
        <f>WEEKNUM(datos_siembra[[#This Row],[Date]],2)-WEEKNUM(DATE(YEAR(datos_siembra[[#This Row],[Date]]),MONTH(datos_siembra[[#This Row],[Date]]),1))+1</f>
        <v>1</v>
      </c>
      <c r="S2858">
        <f>MONTH(datos_siembra[[#This Row],[Date]])</f>
        <v>10</v>
      </c>
      <c r="T2858" t="str" cm="1">
        <f t="array" ref="T2858">_xlfn.IFS(AND(N2858&lt;= 22, S2858=9), "SOWING",AND(N2858&lt;= 28, S2858=9), "COVERAGE",AND(N2858&lt;= 30, S2858=9), "FLUSH",AND(N2858&lt;= 11, S2858=10), "FLUSH",AND(N2858&lt;= 21, S2858=10), "PRODUCTION")</f>
        <v>FLUSH</v>
      </c>
      <c r="U2858">
        <f>HOUR(datos_siembra[[#This Row],[Hour]])</f>
        <v>15</v>
      </c>
      <c r="V2858" cm="1">
        <f t="array" ref="V2858">_xlfn.IFS(AND(N2858&lt;= 22, S2858=9), N2858-7,AND(N2858&lt;= 28, S2858=9), N2858-25,AND(N2858&lt;= 30, S2858=9), N2858-28,AND(N2858&lt;= 11, S2858=10), N2858+2,AND(N2858&lt;= 21, S2858=10), N2858-11)</f>
        <v>8</v>
      </c>
    </row>
    <row r="2859" spans="1:22" x14ac:dyDescent="0.35">
      <c r="A2859" s="4">
        <v>45571</v>
      </c>
      <c r="B2859" s="5">
        <v>0.64436342592592588</v>
      </c>
      <c r="C2859">
        <v>66.599999999999994</v>
      </c>
      <c r="D2859">
        <v>66.599999999999994</v>
      </c>
      <c r="E2859">
        <v>66.900000000000006</v>
      </c>
      <c r="F2859">
        <v>66.599999999999994</v>
      </c>
      <c r="G2859">
        <v>0</v>
      </c>
      <c r="H2859">
        <v>0</v>
      </c>
      <c r="I2859">
        <v>0</v>
      </c>
      <c r="J2859">
        <v>0</v>
      </c>
      <c r="K2859">
        <v>64.400000000000006</v>
      </c>
      <c r="L2859">
        <v>65.099999999999994</v>
      </c>
      <c r="M2859">
        <v>66.709999999999994</v>
      </c>
      <c r="N2859">
        <v>6</v>
      </c>
      <c r="O2859">
        <v>5</v>
      </c>
      <c r="P2859">
        <f>MOD(DAY(datos_siembra[[#This Row],[Date]]),7)</f>
        <v>6</v>
      </c>
      <c r="Q2859" t="str">
        <f>CHOOSE(WEEKDAY(datos_siembra[[#This Row],[Date]],2),"L","M","X","J","V","S","D")</f>
        <v>D</v>
      </c>
      <c r="R2859">
        <f>WEEKNUM(datos_siembra[[#This Row],[Date]],2)-WEEKNUM(DATE(YEAR(datos_siembra[[#This Row],[Date]]),MONTH(datos_siembra[[#This Row],[Date]]),1))+1</f>
        <v>1</v>
      </c>
      <c r="S2859">
        <f>MONTH(datos_siembra[[#This Row],[Date]])</f>
        <v>10</v>
      </c>
      <c r="T2859" t="str" cm="1">
        <f t="array" ref="T2859">_xlfn.IFS(AND(N2859&lt;= 22, S2859=9), "SOWING",AND(N2859&lt;= 28, S2859=9), "COVERAGE",AND(N2859&lt;= 30, S2859=9), "FLUSH",AND(N2859&lt;= 11, S2859=10), "FLUSH",AND(N2859&lt;= 21, S2859=10), "PRODUCTION")</f>
        <v>FLUSH</v>
      </c>
      <c r="U2859">
        <f>HOUR(datos_siembra[[#This Row],[Hour]])</f>
        <v>15</v>
      </c>
      <c r="V2859" cm="1">
        <f t="array" ref="V2859">_xlfn.IFS(AND(N2859&lt;= 22, S2859=9), N2859-7,AND(N2859&lt;= 28, S2859=9), N2859-25,AND(N2859&lt;= 30, S2859=9), N2859-28,AND(N2859&lt;= 11, S2859=10), N2859+2,AND(N2859&lt;= 21, S2859=10), N2859-11)</f>
        <v>8</v>
      </c>
    </row>
    <row r="2860" spans="1:22" x14ac:dyDescent="0.35">
      <c r="A2860" s="4">
        <v>45571</v>
      </c>
      <c r="B2860" s="5">
        <v>0.65130787037037041</v>
      </c>
      <c r="C2860">
        <v>66.8</v>
      </c>
      <c r="D2860">
        <v>66.599999999999994</v>
      </c>
      <c r="E2860">
        <v>67.099999999999994</v>
      </c>
      <c r="F2860">
        <v>66.599999999999994</v>
      </c>
      <c r="G2860">
        <v>0</v>
      </c>
      <c r="H2860">
        <v>0</v>
      </c>
      <c r="I2860">
        <v>0</v>
      </c>
      <c r="J2860">
        <v>0</v>
      </c>
      <c r="K2860">
        <v>64.400000000000006</v>
      </c>
      <c r="L2860">
        <v>65.099999999999994</v>
      </c>
      <c r="M2860">
        <v>66.790000000000006</v>
      </c>
      <c r="N2860">
        <v>6</v>
      </c>
      <c r="O2860">
        <v>5</v>
      </c>
      <c r="P2860">
        <f>MOD(DAY(datos_siembra[[#This Row],[Date]]),7)</f>
        <v>6</v>
      </c>
      <c r="Q2860" t="str">
        <f>CHOOSE(WEEKDAY(datos_siembra[[#This Row],[Date]],2),"L","M","X","J","V","S","D")</f>
        <v>D</v>
      </c>
      <c r="R2860">
        <f>WEEKNUM(datos_siembra[[#This Row],[Date]],2)-WEEKNUM(DATE(YEAR(datos_siembra[[#This Row],[Date]]),MONTH(datos_siembra[[#This Row],[Date]]),1))+1</f>
        <v>1</v>
      </c>
      <c r="S2860">
        <f>MONTH(datos_siembra[[#This Row],[Date]])</f>
        <v>10</v>
      </c>
      <c r="T2860" t="str" cm="1">
        <f t="array" ref="T2860">_xlfn.IFS(AND(N2860&lt;= 22, S2860=9), "SOWING",AND(N2860&lt;= 28, S2860=9), "COVERAGE",AND(N2860&lt;= 30, S2860=9), "FLUSH",AND(N2860&lt;= 11, S2860=10), "FLUSH",AND(N2860&lt;= 21, S2860=10), "PRODUCTION")</f>
        <v>FLUSH</v>
      </c>
      <c r="U2860">
        <f>HOUR(datos_siembra[[#This Row],[Hour]])</f>
        <v>15</v>
      </c>
      <c r="V2860" cm="1">
        <f t="array" ref="V2860">_xlfn.IFS(AND(N2860&lt;= 22, S2860=9), N2860-7,AND(N2860&lt;= 28, S2860=9), N2860-25,AND(N2860&lt;= 30, S2860=9), N2860-28,AND(N2860&lt;= 11, S2860=10), N2860+2,AND(N2860&lt;= 21, S2860=10), N2860-11)</f>
        <v>8</v>
      </c>
    </row>
    <row r="2861" spans="1:22" x14ac:dyDescent="0.35">
      <c r="A2861" s="4">
        <v>45571</v>
      </c>
      <c r="B2861" s="5">
        <v>0.65825231481481483</v>
      </c>
      <c r="C2861">
        <v>66.599999999999994</v>
      </c>
      <c r="D2861">
        <v>66.599999999999994</v>
      </c>
      <c r="E2861">
        <v>67.099999999999994</v>
      </c>
      <c r="F2861">
        <v>66.599999999999994</v>
      </c>
      <c r="G2861">
        <v>0</v>
      </c>
      <c r="H2861">
        <v>0</v>
      </c>
      <c r="I2861">
        <v>0</v>
      </c>
      <c r="J2861">
        <v>0</v>
      </c>
      <c r="K2861">
        <v>64.400000000000006</v>
      </c>
      <c r="L2861">
        <v>65.099999999999994</v>
      </c>
      <c r="M2861">
        <v>66.790000000000006</v>
      </c>
      <c r="N2861">
        <v>6</v>
      </c>
      <c r="O2861">
        <v>5</v>
      </c>
      <c r="P2861">
        <f>MOD(DAY(datos_siembra[[#This Row],[Date]]),7)</f>
        <v>6</v>
      </c>
      <c r="Q2861" t="str">
        <f>CHOOSE(WEEKDAY(datos_siembra[[#This Row],[Date]],2),"L","M","X","J","V","S","D")</f>
        <v>D</v>
      </c>
      <c r="R2861">
        <f>WEEKNUM(datos_siembra[[#This Row],[Date]],2)-WEEKNUM(DATE(YEAR(datos_siembra[[#This Row],[Date]]),MONTH(datos_siembra[[#This Row],[Date]]),1))+1</f>
        <v>1</v>
      </c>
      <c r="S2861">
        <f>MONTH(datos_siembra[[#This Row],[Date]])</f>
        <v>10</v>
      </c>
      <c r="T2861" t="str" cm="1">
        <f t="array" ref="T2861">_xlfn.IFS(AND(N2861&lt;= 22, S2861=9), "SOWING",AND(N2861&lt;= 28, S2861=9), "COVERAGE",AND(N2861&lt;= 30, S2861=9), "FLUSH",AND(N2861&lt;= 11, S2861=10), "FLUSH",AND(N2861&lt;= 21, S2861=10), "PRODUCTION")</f>
        <v>FLUSH</v>
      </c>
      <c r="U2861">
        <f>HOUR(datos_siembra[[#This Row],[Hour]])</f>
        <v>15</v>
      </c>
      <c r="V2861" cm="1">
        <f t="array" ref="V2861">_xlfn.IFS(AND(N2861&lt;= 22, S2861=9), N2861-7,AND(N2861&lt;= 28, S2861=9), N2861-25,AND(N2861&lt;= 30, S2861=9), N2861-28,AND(N2861&lt;= 11, S2861=10), N2861+2,AND(N2861&lt;= 21, S2861=10), N2861-11)</f>
        <v>8</v>
      </c>
    </row>
    <row r="2862" spans="1:22" x14ac:dyDescent="0.35">
      <c r="A2862" s="4">
        <v>45571</v>
      </c>
      <c r="B2862" s="5">
        <v>0.66519675925925925</v>
      </c>
      <c r="C2862">
        <v>66.5</v>
      </c>
      <c r="D2862">
        <v>66.599999999999994</v>
      </c>
      <c r="E2862">
        <v>67</v>
      </c>
      <c r="F2862">
        <v>66.599999999999994</v>
      </c>
      <c r="G2862">
        <v>0</v>
      </c>
      <c r="H2862">
        <v>0</v>
      </c>
      <c r="I2862">
        <v>0</v>
      </c>
      <c r="J2862">
        <v>0</v>
      </c>
      <c r="K2862">
        <v>64.400000000000006</v>
      </c>
      <c r="L2862">
        <v>65</v>
      </c>
      <c r="M2862">
        <v>66.680000000000007</v>
      </c>
      <c r="N2862">
        <v>6</v>
      </c>
      <c r="O2862">
        <v>5</v>
      </c>
      <c r="P2862">
        <f>MOD(DAY(datos_siembra[[#This Row],[Date]]),7)</f>
        <v>6</v>
      </c>
      <c r="Q2862" t="str">
        <f>CHOOSE(WEEKDAY(datos_siembra[[#This Row],[Date]],2),"L","M","X","J","V","S","D")</f>
        <v>D</v>
      </c>
      <c r="R2862">
        <f>WEEKNUM(datos_siembra[[#This Row],[Date]],2)-WEEKNUM(DATE(YEAR(datos_siembra[[#This Row],[Date]]),MONTH(datos_siembra[[#This Row],[Date]]),1))+1</f>
        <v>1</v>
      </c>
      <c r="S2862">
        <f>MONTH(datos_siembra[[#This Row],[Date]])</f>
        <v>10</v>
      </c>
      <c r="T2862" t="str" cm="1">
        <f t="array" ref="T2862">_xlfn.IFS(AND(N2862&lt;= 22, S2862=9), "SOWING",AND(N2862&lt;= 28, S2862=9), "COVERAGE",AND(N2862&lt;= 30, S2862=9), "FLUSH",AND(N2862&lt;= 11, S2862=10), "FLUSH",AND(N2862&lt;= 21, S2862=10), "PRODUCTION")</f>
        <v>FLUSH</v>
      </c>
      <c r="U2862">
        <f>HOUR(datos_siembra[[#This Row],[Hour]])</f>
        <v>15</v>
      </c>
      <c r="V2862" cm="1">
        <f t="array" ref="V2862">_xlfn.IFS(AND(N2862&lt;= 22, S2862=9), N2862-7,AND(N2862&lt;= 28, S2862=9), N2862-25,AND(N2862&lt;= 30, S2862=9), N2862-28,AND(N2862&lt;= 11, S2862=10), N2862+2,AND(N2862&lt;= 21, S2862=10), N2862-11)</f>
        <v>8</v>
      </c>
    </row>
    <row r="2863" spans="1:22" x14ac:dyDescent="0.35">
      <c r="A2863" s="4">
        <v>45571</v>
      </c>
      <c r="B2863" s="5">
        <v>0.67215277777777782</v>
      </c>
      <c r="C2863">
        <v>66.8</v>
      </c>
      <c r="D2863">
        <v>66.8</v>
      </c>
      <c r="E2863">
        <v>67</v>
      </c>
      <c r="F2863">
        <v>66.599999999999994</v>
      </c>
      <c r="G2863">
        <v>0</v>
      </c>
      <c r="H2863">
        <v>0</v>
      </c>
      <c r="I2863">
        <v>0</v>
      </c>
      <c r="J2863">
        <v>0</v>
      </c>
      <c r="K2863">
        <v>64.400000000000006</v>
      </c>
      <c r="L2863">
        <v>65</v>
      </c>
      <c r="M2863">
        <v>66.760000000000005</v>
      </c>
      <c r="N2863">
        <v>6</v>
      </c>
      <c r="O2863">
        <v>5</v>
      </c>
      <c r="P2863">
        <f>MOD(DAY(datos_siembra[[#This Row],[Date]]),7)</f>
        <v>6</v>
      </c>
      <c r="Q2863" t="str">
        <f>CHOOSE(WEEKDAY(datos_siembra[[#This Row],[Date]],2),"L","M","X","J","V","S","D")</f>
        <v>D</v>
      </c>
      <c r="R2863">
        <f>WEEKNUM(datos_siembra[[#This Row],[Date]],2)-WEEKNUM(DATE(YEAR(datos_siembra[[#This Row],[Date]]),MONTH(datos_siembra[[#This Row],[Date]]),1))+1</f>
        <v>1</v>
      </c>
      <c r="S2863">
        <f>MONTH(datos_siembra[[#This Row],[Date]])</f>
        <v>10</v>
      </c>
      <c r="T2863" t="str" cm="1">
        <f t="array" ref="T2863">_xlfn.IFS(AND(N2863&lt;= 22, S2863=9), "SOWING",AND(N2863&lt;= 28, S2863=9), "COVERAGE",AND(N2863&lt;= 30, S2863=9), "FLUSH",AND(N2863&lt;= 11, S2863=10), "FLUSH",AND(N2863&lt;= 21, S2863=10), "PRODUCTION")</f>
        <v>FLUSH</v>
      </c>
      <c r="U2863">
        <f>HOUR(datos_siembra[[#This Row],[Hour]])</f>
        <v>16</v>
      </c>
      <c r="V2863" cm="1">
        <f t="array" ref="V2863">_xlfn.IFS(AND(N2863&lt;= 22, S2863=9), N2863-7,AND(N2863&lt;= 28, S2863=9), N2863-25,AND(N2863&lt;= 30, S2863=9), N2863-28,AND(N2863&lt;= 11, S2863=10), N2863+2,AND(N2863&lt;= 21, S2863=10), N2863-11)</f>
        <v>8</v>
      </c>
    </row>
    <row r="2864" spans="1:22" x14ac:dyDescent="0.35">
      <c r="A2864" s="4">
        <v>45571</v>
      </c>
      <c r="B2864" s="5">
        <v>0.67909722222222224</v>
      </c>
      <c r="C2864">
        <v>66.599999999999994</v>
      </c>
      <c r="D2864">
        <v>66.5</v>
      </c>
      <c r="E2864">
        <v>67</v>
      </c>
      <c r="F2864">
        <v>66.599999999999994</v>
      </c>
      <c r="G2864">
        <v>0</v>
      </c>
      <c r="H2864">
        <v>0</v>
      </c>
      <c r="I2864">
        <v>0</v>
      </c>
      <c r="J2864">
        <v>0</v>
      </c>
      <c r="K2864">
        <v>64.3</v>
      </c>
      <c r="L2864">
        <v>65</v>
      </c>
      <c r="M2864">
        <v>66.760000000000005</v>
      </c>
      <c r="N2864">
        <v>6</v>
      </c>
      <c r="O2864">
        <v>5</v>
      </c>
      <c r="P2864">
        <f>MOD(DAY(datos_siembra[[#This Row],[Date]]),7)</f>
        <v>6</v>
      </c>
      <c r="Q2864" t="str">
        <f>CHOOSE(WEEKDAY(datos_siembra[[#This Row],[Date]],2),"L","M","X","J","V","S","D")</f>
        <v>D</v>
      </c>
      <c r="R2864">
        <f>WEEKNUM(datos_siembra[[#This Row],[Date]],2)-WEEKNUM(DATE(YEAR(datos_siembra[[#This Row],[Date]]),MONTH(datos_siembra[[#This Row],[Date]]),1))+1</f>
        <v>1</v>
      </c>
      <c r="S2864">
        <f>MONTH(datos_siembra[[#This Row],[Date]])</f>
        <v>10</v>
      </c>
      <c r="T2864" t="str" cm="1">
        <f t="array" ref="T2864">_xlfn.IFS(AND(N2864&lt;= 22, S2864=9), "SOWING",AND(N2864&lt;= 28, S2864=9), "COVERAGE",AND(N2864&lt;= 30, S2864=9), "FLUSH",AND(N2864&lt;= 11, S2864=10), "FLUSH",AND(N2864&lt;= 21, S2864=10), "PRODUCTION")</f>
        <v>FLUSH</v>
      </c>
      <c r="U2864">
        <f>HOUR(datos_siembra[[#This Row],[Hour]])</f>
        <v>16</v>
      </c>
      <c r="V2864" cm="1">
        <f t="array" ref="V2864">_xlfn.IFS(AND(N2864&lt;= 22, S2864=9), N2864-7,AND(N2864&lt;= 28, S2864=9), N2864-25,AND(N2864&lt;= 30, S2864=9), N2864-28,AND(N2864&lt;= 11, S2864=10), N2864+2,AND(N2864&lt;= 21, S2864=10), N2864-11)</f>
        <v>8</v>
      </c>
    </row>
    <row r="2865" spans="1:22" x14ac:dyDescent="0.35">
      <c r="A2865" s="4">
        <v>45571</v>
      </c>
      <c r="B2865" s="5">
        <v>0.68604166666666666</v>
      </c>
      <c r="C2865">
        <v>66.8</v>
      </c>
      <c r="D2865">
        <v>66.599999999999994</v>
      </c>
      <c r="E2865">
        <v>67</v>
      </c>
      <c r="F2865">
        <v>66.599999999999994</v>
      </c>
      <c r="G2865">
        <v>0</v>
      </c>
      <c r="H2865">
        <v>0</v>
      </c>
      <c r="I2865">
        <v>0</v>
      </c>
      <c r="J2865">
        <v>0</v>
      </c>
      <c r="K2865">
        <v>64.3</v>
      </c>
      <c r="L2865">
        <v>65</v>
      </c>
      <c r="M2865">
        <v>66.709999999999994</v>
      </c>
      <c r="N2865">
        <v>6</v>
      </c>
      <c r="O2865">
        <v>5</v>
      </c>
      <c r="P2865">
        <f>MOD(DAY(datos_siembra[[#This Row],[Date]]),7)</f>
        <v>6</v>
      </c>
      <c r="Q2865" t="str">
        <f>CHOOSE(WEEKDAY(datos_siembra[[#This Row],[Date]],2),"L","M","X","J","V","S","D")</f>
        <v>D</v>
      </c>
      <c r="R2865">
        <f>WEEKNUM(datos_siembra[[#This Row],[Date]],2)-WEEKNUM(DATE(YEAR(datos_siembra[[#This Row],[Date]]),MONTH(datos_siembra[[#This Row],[Date]]),1))+1</f>
        <v>1</v>
      </c>
      <c r="S2865">
        <f>MONTH(datos_siembra[[#This Row],[Date]])</f>
        <v>10</v>
      </c>
      <c r="T2865" t="str" cm="1">
        <f t="array" ref="T2865">_xlfn.IFS(AND(N2865&lt;= 22, S2865=9), "SOWING",AND(N2865&lt;= 28, S2865=9), "COVERAGE",AND(N2865&lt;= 30, S2865=9), "FLUSH",AND(N2865&lt;= 11, S2865=10), "FLUSH",AND(N2865&lt;= 21, S2865=10), "PRODUCTION")</f>
        <v>FLUSH</v>
      </c>
      <c r="U2865">
        <f>HOUR(datos_siembra[[#This Row],[Hour]])</f>
        <v>16</v>
      </c>
      <c r="V2865" cm="1">
        <f t="array" ref="V2865">_xlfn.IFS(AND(N2865&lt;= 22, S2865=9), N2865-7,AND(N2865&lt;= 28, S2865=9), N2865-25,AND(N2865&lt;= 30, S2865=9), N2865-28,AND(N2865&lt;= 11, S2865=10), N2865+2,AND(N2865&lt;= 21, S2865=10), N2865-11)</f>
        <v>8</v>
      </c>
    </row>
    <row r="2866" spans="1:22" x14ac:dyDescent="0.35">
      <c r="A2866" s="4">
        <v>45571</v>
      </c>
      <c r="B2866" s="5">
        <v>0.69299768518518523</v>
      </c>
      <c r="C2866">
        <v>66.8</v>
      </c>
      <c r="D2866">
        <v>66.599999999999994</v>
      </c>
      <c r="E2866">
        <v>67.2</v>
      </c>
      <c r="F2866">
        <v>66.5</v>
      </c>
      <c r="G2866">
        <v>0</v>
      </c>
      <c r="H2866">
        <v>0</v>
      </c>
      <c r="I2866">
        <v>0</v>
      </c>
      <c r="J2866">
        <v>0</v>
      </c>
      <c r="K2866">
        <v>64.3</v>
      </c>
      <c r="L2866">
        <v>64.900000000000006</v>
      </c>
      <c r="M2866">
        <v>66.760000000000005</v>
      </c>
      <c r="N2866">
        <v>6</v>
      </c>
      <c r="O2866">
        <v>5</v>
      </c>
      <c r="P2866">
        <f>MOD(DAY(datos_siembra[[#This Row],[Date]]),7)</f>
        <v>6</v>
      </c>
      <c r="Q2866" t="str">
        <f>CHOOSE(WEEKDAY(datos_siembra[[#This Row],[Date]],2),"L","M","X","J","V","S","D")</f>
        <v>D</v>
      </c>
      <c r="R2866">
        <f>WEEKNUM(datos_siembra[[#This Row],[Date]],2)-WEEKNUM(DATE(YEAR(datos_siembra[[#This Row],[Date]]),MONTH(datos_siembra[[#This Row],[Date]]),1))+1</f>
        <v>1</v>
      </c>
      <c r="S2866">
        <f>MONTH(datos_siembra[[#This Row],[Date]])</f>
        <v>10</v>
      </c>
      <c r="T2866" t="str" cm="1">
        <f t="array" ref="T2866">_xlfn.IFS(AND(N2866&lt;= 22, S2866=9), "SOWING",AND(N2866&lt;= 28, S2866=9), "COVERAGE",AND(N2866&lt;= 30, S2866=9), "FLUSH",AND(N2866&lt;= 11, S2866=10), "FLUSH",AND(N2866&lt;= 21, S2866=10), "PRODUCTION")</f>
        <v>FLUSH</v>
      </c>
      <c r="U2866">
        <f>HOUR(datos_siembra[[#This Row],[Hour]])</f>
        <v>16</v>
      </c>
      <c r="V2866" cm="1">
        <f t="array" ref="V2866">_xlfn.IFS(AND(N2866&lt;= 22, S2866=9), N2866-7,AND(N2866&lt;= 28, S2866=9), N2866-25,AND(N2866&lt;= 30, S2866=9), N2866-28,AND(N2866&lt;= 11, S2866=10), N2866+2,AND(N2866&lt;= 21, S2866=10), N2866-11)</f>
        <v>8</v>
      </c>
    </row>
    <row r="2867" spans="1:22" x14ac:dyDescent="0.35">
      <c r="A2867" s="4">
        <v>45571</v>
      </c>
      <c r="B2867" s="5">
        <v>0.69994212962962965</v>
      </c>
      <c r="C2867">
        <v>66.8</v>
      </c>
      <c r="D2867">
        <v>66.599999999999994</v>
      </c>
      <c r="E2867">
        <v>67.099999999999994</v>
      </c>
      <c r="F2867">
        <v>66.599999999999994</v>
      </c>
      <c r="G2867">
        <v>0</v>
      </c>
      <c r="H2867">
        <v>0</v>
      </c>
      <c r="I2867">
        <v>0</v>
      </c>
      <c r="J2867">
        <v>0</v>
      </c>
      <c r="K2867">
        <v>64.3</v>
      </c>
      <c r="L2867">
        <v>64.900000000000006</v>
      </c>
      <c r="M2867">
        <v>66.760000000000005</v>
      </c>
      <c r="N2867">
        <v>6</v>
      </c>
      <c r="O2867">
        <v>5</v>
      </c>
      <c r="P2867">
        <f>MOD(DAY(datos_siembra[[#This Row],[Date]]),7)</f>
        <v>6</v>
      </c>
      <c r="Q2867" t="str">
        <f>CHOOSE(WEEKDAY(datos_siembra[[#This Row],[Date]],2),"L","M","X","J","V","S","D")</f>
        <v>D</v>
      </c>
      <c r="R2867">
        <f>WEEKNUM(datos_siembra[[#This Row],[Date]],2)-WEEKNUM(DATE(YEAR(datos_siembra[[#This Row],[Date]]),MONTH(datos_siembra[[#This Row],[Date]]),1))+1</f>
        <v>1</v>
      </c>
      <c r="S2867">
        <f>MONTH(datos_siembra[[#This Row],[Date]])</f>
        <v>10</v>
      </c>
      <c r="T2867" t="str" cm="1">
        <f t="array" ref="T2867">_xlfn.IFS(AND(N2867&lt;= 22, S2867=9), "SOWING",AND(N2867&lt;= 28, S2867=9), "COVERAGE",AND(N2867&lt;= 30, S2867=9), "FLUSH",AND(N2867&lt;= 11, S2867=10), "FLUSH",AND(N2867&lt;= 21, S2867=10), "PRODUCTION")</f>
        <v>FLUSH</v>
      </c>
      <c r="U2867">
        <f>HOUR(datos_siembra[[#This Row],[Hour]])</f>
        <v>16</v>
      </c>
      <c r="V2867" cm="1">
        <f t="array" ref="V2867">_xlfn.IFS(AND(N2867&lt;= 22, S2867=9), N2867-7,AND(N2867&lt;= 28, S2867=9), N2867-25,AND(N2867&lt;= 30, S2867=9), N2867-28,AND(N2867&lt;= 11, S2867=10), N2867+2,AND(N2867&lt;= 21, S2867=10), N2867-11)</f>
        <v>8</v>
      </c>
    </row>
    <row r="2868" spans="1:22" x14ac:dyDescent="0.35">
      <c r="A2868" s="4">
        <v>45571</v>
      </c>
      <c r="B2868" s="5">
        <v>0.70688657407407407</v>
      </c>
      <c r="C2868">
        <v>66.599999999999994</v>
      </c>
      <c r="D2868">
        <v>66.599999999999994</v>
      </c>
      <c r="E2868">
        <v>67.099999999999994</v>
      </c>
      <c r="F2868">
        <v>66.599999999999994</v>
      </c>
      <c r="G2868">
        <v>0</v>
      </c>
      <c r="H2868">
        <v>0</v>
      </c>
      <c r="I2868">
        <v>0</v>
      </c>
      <c r="J2868">
        <v>0</v>
      </c>
      <c r="K2868">
        <v>64.3</v>
      </c>
      <c r="L2868">
        <v>64.900000000000006</v>
      </c>
      <c r="M2868">
        <v>66.790000000000006</v>
      </c>
      <c r="N2868">
        <v>6</v>
      </c>
      <c r="O2868">
        <v>5</v>
      </c>
      <c r="P2868">
        <f>MOD(DAY(datos_siembra[[#This Row],[Date]]),7)</f>
        <v>6</v>
      </c>
      <c r="Q2868" t="str">
        <f>CHOOSE(WEEKDAY(datos_siembra[[#This Row],[Date]],2),"L","M","X","J","V","S","D")</f>
        <v>D</v>
      </c>
      <c r="R2868">
        <f>WEEKNUM(datos_siembra[[#This Row],[Date]],2)-WEEKNUM(DATE(YEAR(datos_siembra[[#This Row],[Date]]),MONTH(datos_siembra[[#This Row],[Date]]),1))+1</f>
        <v>1</v>
      </c>
      <c r="S2868">
        <f>MONTH(datos_siembra[[#This Row],[Date]])</f>
        <v>10</v>
      </c>
      <c r="T2868" t="str" cm="1">
        <f t="array" ref="T2868">_xlfn.IFS(AND(N2868&lt;= 22, S2868=9), "SOWING",AND(N2868&lt;= 28, S2868=9), "COVERAGE",AND(N2868&lt;= 30, S2868=9), "FLUSH",AND(N2868&lt;= 11, S2868=10), "FLUSH",AND(N2868&lt;= 21, S2868=10), "PRODUCTION")</f>
        <v>FLUSH</v>
      </c>
      <c r="U2868">
        <f>HOUR(datos_siembra[[#This Row],[Hour]])</f>
        <v>16</v>
      </c>
      <c r="V2868" cm="1">
        <f t="array" ref="V2868">_xlfn.IFS(AND(N2868&lt;= 22, S2868=9), N2868-7,AND(N2868&lt;= 28, S2868=9), N2868-25,AND(N2868&lt;= 30, S2868=9), N2868-28,AND(N2868&lt;= 11, S2868=10), N2868+2,AND(N2868&lt;= 21, S2868=10), N2868-11)</f>
        <v>8</v>
      </c>
    </row>
    <row r="2869" spans="1:22" x14ac:dyDescent="0.35">
      <c r="A2869" s="4">
        <v>45571</v>
      </c>
      <c r="B2869" s="5">
        <v>0.71384259259259264</v>
      </c>
      <c r="C2869">
        <v>66.8</v>
      </c>
      <c r="D2869">
        <v>66.599999999999994</v>
      </c>
      <c r="E2869">
        <v>67.099999999999994</v>
      </c>
      <c r="F2869">
        <v>66.599999999999994</v>
      </c>
      <c r="G2869">
        <v>0</v>
      </c>
      <c r="H2869">
        <v>0</v>
      </c>
      <c r="I2869">
        <v>0</v>
      </c>
      <c r="J2869">
        <v>0</v>
      </c>
      <c r="K2869">
        <v>64.3</v>
      </c>
      <c r="L2869">
        <v>64.900000000000006</v>
      </c>
      <c r="M2869">
        <v>66.790000000000006</v>
      </c>
      <c r="N2869">
        <v>6</v>
      </c>
      <c r="O2869">
        <v>5</v>
      </c>
      <c r="P2869">
        <f>MOD(DAY(datos_siembra[[#This Row],[Date]]),7)</f>
        <v>6</v>
      </c>
      <c r="Q2869" t="str">
        <f>CHOOSE(WEEKDAY(datos_siembra[[#This Row],[Date]],2),"L","M","X","J","V","S","D")</f>
        <v>D</v>
      </c>
      <c r="R2869">
        <f>WEEKNUM(datos_siembra[[#This Row],[Date]],2)-WEEKNUM(DATE(YEAR(datos_siembra[[#This Row],[Date]]),MONTH(datos_siembra[[#This Row],[Date]]),1))+1</f>
        <v>1</v>
      </c>
      <c r="S2869">
        <f>MONTH(datos_siembra[[#This Row],[Date]])</f>
        <v>10</v>
      </c>
      <c r="T2869" t="str" cm="1">
        <f t="array" ref="T2869">_xlfn.IFS(AND(N2869&lt;= 22, S2869=9), "SOWING",AND(N2869&lt;= 28, S2869=9), "COVERAGE",AND(N2869&lt;= 30, S2869=9), "FLUSH",AND(N2869&lt;= 11, S2869=10), "FLUSH",AND(N2869&lt;= 21, S2869=10), "PRODUCTION")</f>
        <v>FLUSH</v>
      </c>
      <c r="U2869">
        <f>HOUR(datos_siembra[[#This Row],[Hour]])</f>
        <v>17</v>
      </c>
      <c r="V2869" cm="1">
        <f t="array" ref="V2869">_xlfn.IFS(AND(N2869&lt;= 22, S2869=9), N2869-7,AND(N2869&lt;= 28, S2869=9), N2869-25,AND(N2869&lt;= 30, S2869=9), N2869-28,AND(N2869&lt;= 11, S2869=10), N2869+2,AND(N2869&lt;= 21, S2869=10), N2869-11)</f>
        <v>8</v>
      </c>
    </row>
    <row r="2870" spans="1:22" x14ac:dyDescent="0.35">
      <c r="A2870" s="4">
        <v>45571</v>
      </c>
      <c r="B2870" s="5">
        <v>0.72078703703703706</v>
      </c>
      <c r="C2870">
        <v>66.8</v>
      </c>
      <c r="D2870">
        <v>66.5</v>
      </c>
      <c r="E2870">
        <v>67</v>
      </c>
      <c r="F2870">
        <v>66.8</v>
      </c>
      <c r="G2870">
        <v>0</v>
      </c>
      <c r="H2870">
        <v>0</v>
      </c>
      <c r="I2870">
        <v>0</v>
      </c>
      <c r="J2870">
        <v>0</v>
      </c>
      <c r="K2870">
        <v>64.400000000000006</v>
      </c>
      <c r="L2870">
        <v>64.900000000000006</v>
      </c>
      <c r="M2870">
        <v>66.849999999999994</v>
      </c>
      <c r="N2870">
        <v>6</v>
      </c>
      <c r="O2870">
        <v>5</v>
      </c>
      <c r="P2870">
        <f>MOD(DAY(datos_siembra[[#This Row],[Date]]),7)</f>
        <v>6</v>
      </c>
      <c r="Q2870" t="str">
        <f>CHOOSE(WEEKDAY(datos_siembra[[#This Row],[Date]],2),"L","M","X","J","V","S","D")</f>
        <v>D</v>
      </c>
      <c r="R2870">
        <f>WEEKNUM(datos_siembra[[#This Row],[Date]],2)-WEEKNUM(DATE(YEAR(datos_siembra[[#This Row],[Date]]),MONTH(datos_siembra[[#This Row],[Date]]),1))+1</f>
        <v>1</v>
      </c>
      <c r="S2870">
        <f>MONTH(datos_siembra[[#This Row],[Date]])</f>
        <v>10</v>
      </c>
      <c r="T2870" t="str" cm="1">
        <f t="array" ref="T2870">_xlfn.IFS(AND(N2870&lt;= 22, S2870=9), "SOWING",AND(N2870&lt;= 28, S2870=9), "COVERAGE",AND(N2870&lt;= 30, S2870=9), "FLUSH",AND(N2870&lt;= 11, S2870=10), "FLUSH",AND(N2870&lt;= 21, S2870=10), "PRODUCTION")</f>
        <v>FLUSH</v>
      </c>
      <c r="U2870">
        <f>HOUR(datos_siembra[[#This Row],[Hour]])</f>
        <v>17</v>
      </c>
      <c r="V2870" cm="1">
        <f t="array" ref="V2870">_xlfn.IFS(AND(N2870&lt;= 22, S2870=9), N2870-7,AND(N2870&lt;= 28, S2870=9), N2870-25,AND(N2870&lt;= 30, S2870=9), N2870-28,AND(N2870&lt;= 11, S2870=10), N2870+2,AND(N2870&lt;= 21, S2870=10), N2870-11)</f>
        <v>8</v>
      </c>
    </row>
    <row r="2871" spans="1:22" x14ac:dyDescent="0.35">
      <c r="A2871" s="4">
        <v>45571</v>
      </c>
      <c r="B2871" s="5">
        <v>0.72773148148148148</v>
      </c>
      <c r="C2871">
        <v>66.8</v>
      </c>
      <c r="D2871">
        <v>66.599999999999994</v>
      </c>
      <c r="E2871">
        <v>67.2</v>
      </c>
      <c r="F2871">
        <v>66.5</v>
      </c>
      <c r="G2871">
        <v>0</v>
      </c>
      <c r="H2871">
        <v>0</v>
      </c>
      <c r="I2871">
        <v>0</v>
      </c>
      <c r="J2871">
        <v>0</v>
      </c>
      <c r="K2871">
        <v>64.400000000000006</v>
      </c>
      <c r="L2871">
        <v>64.900000000000006</v>
      </c>
      <c r="M2871">
        <v>66.73</v>
      </c>
      <c r="N2871">
        <v>6</v>
      </c>
      <c r="O2871">
        <v>5</v>
      </c>
      <c r="P2871">
        <f>MOD(DAY(datos_siembra[[#This Row],[Date]]),7)</f>
        <v>6</v>
      </c>
      <c r="Q2871" t="str">
        <f>CHOOSE(WEEKDAY(datos_siembra[[#This Row],[Date]],2),"L","M","X","J","V","S","D")</f>
        <v>D</v>
      </c>
      <c r="R2871">
        <f>WEEKNUM(datos_siembra[[#This Row],[Date]],2)-WEEKNUM(DATE(YEAR(datos_siembra[[#This Row],[Date]]),MONTH(datos_siembra[[#This Row],[Date]]),1))+1</f>
        <v>1</v>
      </c>
      <c r="S2871">
        <f>MONTH(datos_siembra[[#This Row],[Date]])</f>
        <v>10</v>
      </c>
      <c r="T2871" t="str" cm="1">
        <f t="array" ref="T2871">_xlfn.IFS(AND(N2871&lt;= 22, S2871=9), "SOWING",AND(N2871&lt;= 28, S2871=9), "COVERAGE",AND(N2871&lt;= 30, S2871=9), "FLUSH",AND(N2871&lt;= 11, S2871=10), "FLUSH",AND(N2871&lt;= 21, S2871=10), "PRODUCTION")</f>
        <v>FLUSH</v>
      </c>
      <c r="U2871">
        <f>HOUR(datos_siembra[[#This Row],[Hour]])</f>
        <v>17</v>
      </c>
      <c r="V2871" cm="1">
        <f t="array" ref="V2871">_xlfn.IFS(AND(N2871&lt;= 22, S2871=9), N2871-7,AND(N2871&lt;= 28, S2871=9), N2871-25,AND(N2871&lt;= 30, S2871=9), N2871-28,AND(N2871&lt;= 11, S2871=10), N2871+2,AND(N2871&lt;= 21, S2871=10), N2871-11)</f>
        <v>8</v>
      </c>
    </row>
    <row r="2872" spans="1:22" x14ac:dyDescent="0.35">
      <c r="A2872" s="4">
        <v>45571</v>
      </c>
      <c r="B2872" s="5">
        <v>0.7346759259259259</v>
      </c>
      <c r="C2872">
        <v>66.8</v>
      </c>
      <c r="D2872">
        <v>66.8</v>
      </c>
      <c r="E2872">
        <v>67.099999999999994</v>
      </c>
      <c r="F2872">
        <v>66.5</v>
      </c>
      <c r="G2872">
        <v>0</v>
      </c>
      <c r="H2872">
        <v>0</v>
      </c>
      <c r="I2872">
        <v>0</v>
      </c>
      <c r="J2872">
        <v>0</v>
      </c>
      <c r="K2872">
        <v>64.400000000000006</v>
      </c>
      <c r="L2872">
        <v>64.900000000000006</v>
      </c>
      <c r="M2872">
        <v>66.790000000000006</v>
      </c>
      <c r="N2872">
        <v>6</v>
      </c>
      <c r="O2872">
        <v>5</v>
      </c>
      <c r="P2872">
        <f>MOD(DAY(datos_siembra[[#This Row],[Date]]),7)</f>
        <v>6</v>
      </c>
      <c r="Q2872" t="str">
        <f>CHOOSE(WEEKDAY(datos_siembra[[#This Row],[Date]],2),"L","M","X","J","V","S","D")</f>
        <v>D</v>
      </c>
      <c r="R2872">
        <f>WEEKNUM(datos_siembra[[#This Row],[Date]],2)-WEEKNUM(DATE(YEAR(datos_siembra[[#This Row],[Date]]),MONTH(datos_siembra[[#This Row],[Date]]),1))+1</f>
        <v>1</v>
      </c>
      <c r="S2872">
        <f>MONTH(datos_siembra[[#This Row],[Date]])</f>
        <v>10</v>
      </c>
      <c r="T2872" t="str" cm="1">
        <f t="array" ref="T2872">_xlfn.IFS(AND(N2872&lt;= 22, S2872=9), "SOWING",AND(N2872&lt;= 28, S2872=9), "COVERAGE",AND(N2872&lt;= 30, S2872=9), "FLUSH",AND(N2872&lt;= 11, S2872=10), "FLUSH",AND(N2872&lt;= 21, S2872=10), "PRODUCTION")</f>
        <v>FLUSH</v>
      </c>
      <c r="U2872">
        <f>HOUR(datos_siembra[[#This Row],[Hour]])</f>
        <v>17</v>
      </c>
      <c r="V2872" cm="1">
        <f t="array" ref="V2872">_xlfn.IFS(AND(N2872&lt;= 22, S2872=9), N2872-7,AND(N2872&lt;= 28, S2872=9), N2872-25,AND(N2872&lt;= 30, S2872=9), N2872-28,AND(N2872&lt;= 11, S2872=10), N2872+2,AND(N2872&lt;= 21, S2872=10), N2872-11)</f>
        <v>8</v>
      </c>
    </row>
    <row r="2873" spans="1:22" x14ac:dyDescent="0.35">
      <c r="A2873" s="4">
        <v>45571</v>
      </c>
      <c r="B2873" s="5">
        <v>0.74163194444444447</v>
      </c>
      <c r="C2873">
        <v>66.8</v>
      </c>
      <c r="D2873">
        <v>66.599999999999994</v>
      </c>
      <c r="E2873">
        <v>67.2</v>
      </c>
      <c r="F2873">
        <v>66.5</v>
      </c>
      <c r="G2873">
        <v>0</v>
      </c>
      <c r="H2873">
        <v>0</v>
      </c>
      <c r="I2873">
        <v>0</v>
      </c>
      <c r="J2873">
        <v>0</v>
      </c>
      <c r="K2873">
        <v>64.400000000000006</v>
      </c>
      <c r="L2873">
        <v>64.900000000000006</v>
      </c>
      <c r="M2873">
        <v>66.790000000000006</v>
      </c>
      <c r="N2873">
        <v>6</v>
      </c>
      <c r="O2873">
        <v>5</v>
      </c>
      <c r="P2873">
        <f>MOD(DAY(datos_siembra[[#This Row],[Date]]),7)</f>
        <v>6</v>
      </c>
      <c r="Q2873" t="str">
        <f>CHOOSE(WEEKDAY(datos_siembra[[#This Row],[Date]],2),"L","M","X","J","V","S","D")</f>
        <v>D</v>
      </c>
      <c r="R2873">
        <f>WEEKNUM(datos_siembra[[#This Row],[Date]],2)-WEEKNUM(DATE(YEAR(datos_siembra[[#This Row],[Date]]),MONTH(datos_siembra[[#This Row],[Date]]),1))+1</f>
        <v>1</v>
      </c>
      <c r="S2873">
        <f>MONTH(datos_siembra[[#This Row],[Date]])</f>
        <v>10</v>
      </c>
      <c r="T2873" t="str" cm="1">
        <f t="array" ref="T2873">_xlfn.IFS(AND(N2873&lt;= 22, S2873=9), "SOWING",AND(N2873&lt;= 28, S2873=9), "COVERAGE",AND(N2873&lt;= 30, S2873=9), "FLUSH",AND(N2873&lt;= 11, S2873=10), "FLUSH",AND(N2873&lt;= 21, S2873=10), "PRODUCTION")</f>
        <v>FLUSH</v>
      </c>
      <c r="U2873">
        <f>HOUR(datos_siembra[[#This Row],[Hour]])</f>
        <v>17</v>
      </c>
      <c r="V2873" cm="1">
        <f t="array" ref="V2873">_xlfn.IFS(AND(N2873&lt;= 22, S2873=9), N2873-7,AND(N2873&lt;= 28, S2873=9), N2873-25,AND(N2873&lt;= 30, S2873=9), N2873-28,AND(N2873&lt;= 11, S2873=10), N2873+2,AND(N2873&lt;= 21, S2873=10), N2873-11)</f>
        <v>8</v>
      </c>
    </row>
    <row r="2874" spans="1:22" x14ac:dyDescent="0.35">
      <c r="A2874" s="4">
        <v>45571</v>
      </c>
      <c r="B2874" s="5">
        <v>0.74857638888888889</v>
      </c>
      <c r="C2874">
        <v>66.8</v>
      </c>
      <c r="D2874">
        <v>66.599999999999994</v>
      </c>
      <c r="E2874">
        <v>67</v>
      </c>
      <c r="F2874">
        <v>66.8</v>
      </c>
      <c r="G2874">
        <v>0</v>
      </c>
      <c r="H2874">
        <v>0</v>
      </c>
      <c r="I2874">
        <v>0</v>
      </c>
      <c r="J2874">
        <v>0</v>
      </c>
      <c r="K2874">
        <v>64.400000000000006</v>
      </c>
      <c r="L2874">
        <v>64.900000000000006</v>
      </c>
      <c r="M2874">
        <v>66.849999999999994</v>
      </c>
      <c r="N2874">
        <v>6</v>
      </c>
      <c r="O2874">
        <v>5</v>
      </c>
      <c r="P2874">
        <f>MOD(DAY(datos_siembra[[#This Row],[Date]]),7)</f>
        <v>6</v>
      </c>
      <c r="Q2874" t="str">
        <f>CHOOSE(WEEKDAY(datos_siembra[[#This Row],[Date]],2),"L","M","X","J","V","S","D")</f>
        <v>D</v>
      </c>
      <c r="R2874">
        <f>WEEKNUM(datos_siembra[[#This Row],[Date]],2)-WEEKNUM(DATE(YEAR(datos_siembra[[#This Row],[Date]]),MONTH(datos_siembra[[#This Row],[Date]]),1))+1</f>
        <v>1</v>
      </c>
      <c r="S2874">
        <f>MONTH(datos_siembra[[#This Row],[Date]])</f>
        <v>10</v>
      </c>
      <c r="T2874" t="str" cm="1">
        <f t="array" ref="T2874">_xlfn.IFS(AND(N2874&lt;= 22, S2874=9), "SOWING",AND(N2874&lt;= 28, S2874=9), "COVERAGE",AND(N2874&lt;= 30, S2874=9), "FLUSH",AND(N2874&lt;= 11, S2874=10), "FLUSH",AND(N2874&lt;= 21, S2874=10), "PRODUCTION")</f>
        <v>FLUSH</v>
      </c>
      <c r="U2874">
        <f>HOUR(datos_siembra[[#This Row],[Hour]])</f>
        <v>17</v>
      </c>
      <c r="V2874" cm="1">
        <f t="array" ref="V2874">_xlfn.IFS(AND(N2874&lt;= 22, S2874=9), N2874-7,AND(N2874&lt;= 28, S2874=9), N2874-25,AND(N2874&lt;= 30, S2874=9), N2874-28,AND(N2874&lt;= 11, S2874=10), N2874+2,AND(N2874&lt;= 21, S2874=10), N2874-11)</f>
        <v>8</v>
      </c>
    </row>
    <row r="2875" spans="1:22" x14ac:dyDescent="0.35">
      <c r="A2875" s="4">
        <v>45571</v>
      </c>
      <c r="B2875" s="5">
        <v>0.75552083333333331</v>
      </c>
      <c r="C2875">
        <v>66.8</v>
      </c>
      <c r="D2875">
        <v>66.5</v>
      </c>
      <c r="E2875">
        <v>67.099999999999994</v>
      </c>
      <c r="F2875">
        <v>66.8</v>
      </c>
      <c r="G2875">
        <v>0</v>
      </c>
      <c r="H2875">
        <v>0</v>
      </c>
      <c r="I2875">
        <v>0</v>
      </c>
      <c r="J2875">
        <v>0</v>
      </c>
      <c r="K2875">
        <v>64.3</v>
      </c>
      <c r="L2875">
        <v>65</v>
      </c>
      <c r="M2875">
        <v>66.819999999999993</v>
      </c>
      <c r="N2875">
        <v>6</v>
      </c>
      <c r="O2875">
        <v>5</v>
      </c>
      <c r="P2875">
        <f>MOD(DAY(datos_siembra[[#This Row],[Date]]),7)</f>
        <v>6</v>
      </c>
      <c r="Q2875" t="str">
        <f>CHOOSE(WEEKDAY(datos_siembra[[#This Row],[Date]],2),"L","M","X","J","V","S","D")</f>
        <v>D</v>
      </c>
      <c r="R2875">
        <f>WEEKNUM(datos_siembra[[#This Row],[Date]],2)-WEEKNUM(DATE(YEAR(datos_siembra[[#This Row],[Date]]),MONTH(datos_siembra[[#This Row],[Date]]),1))+1</f>
        <v>1</v>
      </c>
      <c r="S2875">
        <f>MONTH(datos_siembra[[#This Row],[Date]])</f>
        <v>10</v>
      </c>
      <c r="T2875" t="str" cm="1">
        <f t="array" ref="T2875">_xlfn.IFS(AND(N2875&lt;= 22, S2875=9), "SOWING",AND(N2875&lt;= 28, S2875=9), "COVERAGE",AND(N2875&lt;= 30, S2875=9), "FLUSH",AND(N2875&lt;= 11, S2875=10), "FLUSH",AND(N2875&lt;= 21, S2875=10), "PRODUCTION")</f>
        <v>FLUSH</v>
      </c>
      <c r="U2875">
        <f>HOUR(datos_siembra[[#This Row],[Hour]])</f>
        <v>18</v>
      </c>
      <c r="V2875" cm="1">
        <f t="array" ref="V2875">_xlfn.IFS(AND(N2875&lt;= 22, S2875=9), N2875-7,AND(N2875&lt;= 28, S2875=9), N2875-25,AND(N2875&lt;= 30, S2875=9), N2875-28,AND(N2875&lt;= 11, S2875=10), N2875+2,AND(N2875&lt;= 21, S2875=10), N2875-11)</f>
        <v>8</v>
      </c>
    </row>
    <row r="2876" spans="1:22" x14ac:dyDescent="0.35">
      <c r="A2876" s="4">
        <v>45571</v>
      </c>
      <c r="B2876" s="5">
        <v>0.76247685185185188</v>
      </c>
      <c r="C2876">
        <v>66.8</v>
      </c>
      <c r="D2876">
        <v>66.599999999999994</v>
      </c>
      <c r="E2876">
        <v>67.099999999999994</v>
      </c>
      <c r="F2876">
        <v>66.599999999999994</v>
      </c>
      <c r="G2876">
        <v>0</v>
      </c>
      <c r="H2876">
        <v>0</v>
      </c>
      <c r="I2876">
        <v>0</v>
      </c>
      <c r="J2876">
        <v>0</v>
      </c>
      <c r="K2876">
        <v>64.3</v>
      </c>
      <c r="L2876">
        <v>64.900000000000006</v>
      </c>
      <c r="M2876">
        <v>66.87</v>
      </c>
      <c r="N2876">
        <v>6</v>
      </c>
      <c r="O2876">
        <v>5</v>
      </c>
      <c r="P2876">
        <f>MOD(DAY(datos_siembra[[#This Row],[Date]]),7)</f>
        <v>6</v>
      </c>
      <c r="Q2876" t="str">
        <f>CHOOSE(WEEKDAY(datos_siembra[[#This Row],[Date]],2),"L","M","X","J","V","S","D")</f>
        <v>D</v>
      </c>
      <c r="R2876">
        <f>WEEKNUM(datos_siembra[[#This Row],[Date]],2)-WEEKNUM(DATE(YEAR(datos_siembra[[#This Row],[Date]]),MONTH(datos_siembra[[#This Row],[Date]]),1))+1</f>
        <v>1</v>
      </c>
      <c r="S2876">
        <f>MONTH(datos_siembra[[#This Row],[Date]])</f>
        <v>10</v>
      </c>
      <c r="T2876" t="str" cm="1">
        <f t="array" ref="T2876">_xlfn.IFS(AND(N2876&lt;= 22, S2876=9), "SOWING",AND(N2876&lt;= 28, S2876=9), "COVERAGE",AND(N2876&lt;= 30, S2876=9), "FLUSH",AND(N2876&lt;= 11, S2876=10), "FLUSH",AND(N2876&lt;= 21, S2876=10), "PRODUCTION")</f>
        <v>FLUSH</v>
      </c>
      <c r="U2876">
        <f>HOUR(datos_siembra[[#This Row],[Hour]])</f>
        <v>18</v>
      </c>
      <c r="V2876" cm="1">
        <f t="array" ref="V2876">_xlfn.IFS(AND(N2876&lt;= 22, S2876=9), N2876-7,AND(N2876&lt;= 28, S2876=9), N2876-25,AND(N2876&lt;= 30, S2876=9), N2876-28,AND(N2876&lt;= 11, S2876=10), N2876+2,AND(N2876&lt;= 21, S2876=10), N2876-11)</f>
        <v>8</v>
      </c>
    </row>
    <row r="2877" spans="1:22" x14ac:dyDescent="0.35">
      <c r="A2877" s="4">
        <v>45571</v>
      </c>
      <c r="B2877" s="5">
        <v>0.7694212962962963</v>
      </c>
      <c r="C2877">
        <v>66.8</v>
      </c>
      <c r="D2877">
        <v>66.599999999999994</v>
      </c>
      <c r="E2877">
        <v>67.099999999999994</v>
      </c>
      <c r="F2877">
        <v>66.8</v>
      </c>
      <c r="G2877">
        <v>0</v>
      </c>
      <c r="H2877">
        <v>0</v>
      </c>
      <c r="I2877">
        <v>0</v>
      </c>
      <c r="J2877">
        <v>0</v>
      </c>
      <c r="K2877">
        <v>64.3</v>
      </c>
      <c r="L2877">
        <v>64.7</v>
      </c>
      <c r="M2877">
        <v>66.760000000000005</v>
      </c>
      <c r="N2877">
        <v>6</v>
      </c>
      <c r="O2877">
        <v>5</v>
      </c>
      <c r="P2877">
        <f>MOD(DAY(datos_siembra[[#This Row],[Date]]),7)</f>
        <v>6</v>
      </c>
      <c r="Q2877" t="str">
        <f>CHOOSE(WEEKDAY(datos_siembra[[#This Row],[Date]],2),"L","M","X","J","V","S","D")</f>
        <v>D</v>
      </c>
      <c r="R2877">
        <f>WEEKNUM(datos_siembra[[#This Row],[Date]],2)-WEEKNUM(DATE(YEAR(datos_siembra[[#This Row],[Date]]),MONTH(datos_siembra[[#This Row],[Date]]),1))+1</f>
        <v>1</v>
      </c>
      <c r="S2877">
        <f>MONTH(datos_siembra[[#This Row],[Date]])</f>
        <v>10</v>
      </c>
      <c r="T2877" t="str" cm="1">
        <f t="array" ref="T2877">_xlfn.IFS(AND(N2877&lt;= 22, S2877=9), "SOWING",AND(N2877&lt;= 28, S2877=9), "COVERAGE",AND(N2877&lt;= 30, S2877=9), "FLUSH",AND(N2877&lt;= 11, S2877=10), "FLUSH",AND(N2877&lt;= 21, S2877=10), "PRODUCTION")</f>
        <v>FLUSH</v>
      </c>
      <c r="U2877">
        <f>HOUR(datos_siembra[[#This Row],[Hour]])</f>
        <v>18</v>
      </c>
      <c r="V2877" cm="1">
        <f t="array" ref="V2877">_xlfn.IFS(AND(N2877&lt;= 22, S2877=9), N2877-7,AND(N2877&lt;= 28, S2877=9), N2877-25,AND(N2877&lt;= 30, S2877=9), N2877-28,AND(N2877&lt;= 11, S2877=10), N2877+2,AND(N2877&lt;= 21, S2877=10), N2877-11)</f>
        <v>8</v>
      </c>
    </row>
    <row r="2878" spans="1:22" x14ac:dyDescent="0.35">
      <c r="A2878" s="4">
        <v>45571</v>
      </c>
      <c r="B2878" s="5">
        <v>0.77636574074074072</v>
      </c>
      <c r="C2878">
        <v>66.8</v>
      </c>
      <c r="D2878">
        <v>66.8</v>
      </c>
      <c r="E2878">
        <v>67</v>
      </c>
      <c r="F2878">
        <v>66.599999999999994</v>
      </c>
      <c r="G2878">
        <v>0</v>
      </c>
      <c r="H2878">
        <v>0</v>
      </c>
      <c r="I2878">
        <v>0</v>
      </c>
      <c r="J2878">
        <v>0</v>
      </c>
      <c r="K2878">
        <v>64.3</v>
      </c>
      <c r="L2878">
        <v>64.7</v>
      </c>
      <c r="M2878">
        <v>66.819999999999993</v>
      </c>
      <c r="N2878">
        <v>6</v>
      </c>
      <c r="O2878">
        <v>5</v>
      </c>
      <c r="P2878">
        <f>MOD(DAY(datos_siembra[[#This Row],[Date]]),7)</f>
        <v>6</v>
      </c>
      <c r="Q2878" t="str">
        <f>CHOOSE(WEEKDAY(datos_siembra[[#This Row],[Date]],2),"L","M","X","J","V","S","D")</f>
        <v>D</v>
      </c>
      <c r="R2878">
        <f>WEEKNUM(datos_siembra[[#This Row],[Date]],2)-WEEKNUM(DATE(YEAR(datos_siembra[[#This Row],[Date]]),MONTH(datos_siembra[[#This Row],[Date]]),1))+1</f>
        <v>1</v>
      </c>
      <c r="S2878">
        <f>MONTH(datos_siembra[[#This Row],[Date]])</f>
        <v>10</v>
      </c>
      <c r="T2878" t="str" cm="1">
        <f t="array" ref="T2878">_xlfn.IFS(AND(N2878&lt;= 22, S2878=9), "SOWING",AND(N2878&lt;= 28, S2878=9), "COVERAGE",AND(N2878&lt;= 30, S2878=9), "FLUSH",AND(N2878&lt;= 11, S2878=10), "FLUSH",AND(N2878&lt;= 21, S2878=10), "PRODUCTION")</f>
        <v>FLUSH</v>
      </c>
      <c r="U2878">
        <f>HOUR(datos_siembra[[#This Row],[Hour]])</f>
        <v>18</v>
      </c>
      <c r="V2878" cm="1">
        <f t="array" ref="V2878">_xlfn.IFS(AND(N2878&lt;= 22, S2878=9), N2878-7,AND(N2878&lt;= 28, S2878=9), N2878-25,AND(N2878&lt;= 30, S2878=9), N2878-28,AND(N2878&lt;= 11, S2878=10), N2878+2,AND(N2878&lt;= 21, S2878=10), N2878-11)</f>
        <v>8</v>
      </c>
    </row>
    <row r="2879" spans="1:22" x14ac:dyDescent="0.35">
      <c r="A2879" s="4">
        <v>45571</v>
      </c>
      <c r="B2879" s="5">
        <v>0.78331018518518514</v>
      </c>
      <c r="C2879">
        <v>66.8</v>
      </c>
      <c r="D2879">
        <v>66.8</v>
      </c>
      <c r="E2879">
        <v>67</v>
      </c>
      <c r="F2879">
        <v>66.599999999999994</v>
      </c>
      <c r="G2879">
        <v>0</v>
      </c>
      <c r="H2879">
        <v>0</v>
      </c>
      <c r="I2879">
        <v>0</v>
      </c>
      <c r="J2879">
        <v>0</v>
      </c>
      <c r="K2879">
        <v>64.3</v>
      </c>
      <c r="L2879">
        <v>64.7</v>
      </c>
      <c r="M2879">
        <v>66.760000000000005</v>
      </c>
      <c r="N2879">
        <v>6</v>
      </c>
      <c r="O2879">
        <v>5</v>
      </c>
      <c r="P2879">
        <f>MOD(DAY(datos_siembra[[#This Row],[Date]]),7)</f>
        <v>6</v>
      </c>
      <c r="Q2879" t="str">
        <f>CHOOSE(WEEKDAY(datos_siembra[[#This Row],[Date]],2),"L","M","X","J","V","S","D")</f>
        <v>D</v>
      </c>
      <c r="R2879">
        <f>WEEKNUM(datos_siembra[[#This Row],[Date]],2)-WEEKNUM(DATE(YEAR(datos_siembra[[#This Row],[Date]]),MONTH(datos_siembra[[#This Row],[Date]]),1))+1</f>
        <v>1</v>
      </c>
      <c r="S2879">
        <f>MONTH(datos_siembra[[#This Row],[Date]])</f>
        <v>10</v>
      </c>
      <c r="T2879" t="str" cm="1">
        <f t="array" ref="T2879">_xlfn.IFS(AND(N2879&lt;= 22, S2879=9), "SOWING",AND(N2879&lt;= 28, S2879=9), "COVERAGE",AND(N2879&lt;= 30, S2879=9), "FLUSH",AND(N2879&lt;= 11, S2879=10), "FLUSH",AND(N2879&lt;= 21, S2879=10), "PRODUCTION")</f>
        <v>FLUSH</v>
      </c>
      <c r="U2879">
        <f>HOUR(datos_siembra[[#This Row],[Hour]])</f>
        <v>18</v>
      </c>
      <c r="V2879" cm="1">
        <f t="array" ref="V2879">_xlfn.IFS(AND(N2879&lt;= 22, S2879=9), N2879-7,AND(N2879&lt;= 28, S2879=9), N2879-25,AND(N2879&lt;= 30, S2879=9), N2879-28,AND(N2879&lt;= 11, S2879=10), N2879+2,AND(N2879&lt;= 21, S2879=10), N2879-11)</f>
        <v>8</v>
      </c>
    </row>
    <row r="2880" spans="1:22" x14ac:dyDescent="0.35">
      <c r="A2880" s="4">
        <v>45571</v>
      </c>
      <c r="B2880" s="5">
        <v>0.79026620370370371</v>
      </c>
      <c r="C2880">
        <v>66.8</v>
      </c>
      <c r="D2880">
        <v>66.599999999999994</v>
      </c>
      <c r="E2880">
        <v>67.2</v>
      </c>
      <c r="F2880">
        <v>66.8</v>
      </c>
      <c r="G2880">
        <v>0</v>
      </c>
      <c r="H2880">
        <v>0</v>
      </c>
      <c r="I2880">
        <v>0</v>
      </c>
      <c r="J2880">
        <v>0</v>
      </c>
      <c r="K2880">
        <v>64.3</v>
      </c>
      <c r="L2880">
        <v>64.7</v>
      </c>
      <c r="M2880">
        <v>66.849999999999994</v>
      </c>
      <c r="N2880">
        <v>6</v>
      </c>
      <c r="O2880">
        <v>5</v>
      </c>
      <c r="P2880">
        <f>MOD(DAY(datos_siembra[[#This Row],[Date]]),7)</f>
        <v>6</v>
      </c>
      <c r="Q2880" t="str">
        <f>CHOOSE(WEEKDAY(datos_siembra[[#This Row],[Date]],2),"L","M","X","J","V","S","D")</f>
        <v>D</v>
      </c>
      <c r="R2880">
        <f>WEEKNUM(datos_siembra[[#This Row],[Date]],2)-WEEKNUM(DATE(YEAR(datos_siembra[[#This Row],[Date]]),MONTH(datos_siembra[[#This Row],[Date]]),1))+1</f>
        <v>1</v>
      </c>
      <c r="S2880">
        <f>MONTH(datos_siembra[[#This Row],[Date]])</f>
        <v>10</v>
      </c>
      <c r="T2880" t="str" cm="1">
        <f t="array" ref="T2880">_xlfn.IFS(AND(N2880&lt;= 22, S2880=9), "SOWING",AND(N2880&lt;= 28, S2880=9), "COVERAGE",AND(N2880&lt;= 30, S2880=9), "FLUSH",AND(N2880&lt;= 11, S2880=10), "FLUSH",AND(N2880&lt;= 21, S2880=10), "PRODUCTION")</f>
        <v>FLUSH</v>
      </c>
      <c r="U2880">
        <f>HOUR(datos_siembra[[#This Row],[Hour]])</f>
        <v>18</v>
      </c>
      <c r="V2880" cm="1">
        <f t="array" ref="V2880">_xlfn.IFS(AND(N2880&lt;= 22, S2880=9), N2880-7,AND(N2880&lt;= 28, S2880=9), N2880-25,AND(N2880&lt;= 30, S2880=9), N2880-28,AND(N2880&lt;= 11, S2880=10), N2880+2,AND(N2880&lt;= 21, S2880=10), N2880-11)</f>
        <v>8</v>
      </c>
    </row>
    <row r="2881" spans="1:22" x14ac:dyDescent="0.35">
      <c r="A2881" s="4">
        <v>45571</v>
      </c>
      <c r="B2881" s="5">
        <v>0.79721064814814813</v>
      </c>
      <c r="C2881">
        <v>66.599999999999994</v>
      </c>
      <c r="D2881">
        <v>66.8</v>
      </c>
      <c r="E2881">
        <v>67.099999999999994</v>
      </c>
      <c r="F2881">
        <v>66.900000000000006</v>
      </c>
      <c r="G2881">
        <v>0</v>
      </c>
      <c r="H2881">
        <v>0</v>
      </c>
      <c r="I2881">
        <v>0</v>
      </c>
      <c r="J2881">
        <v>0</v>
      </c>
      <c r="K2881">
        <v>64.2</v>
      </c>
      <c r="L2881">
        <v>64.7</v>
      </c>
      <c r="M2881">
        <v>66.819999999999993</v>
      </c>
      <c r="N2881">
        <v>6</v>
      </c>
      <c r="O2881">
        <v>5</v>
      </c>
      <c r="P2881">
        <f>MOD(DAY(datos_siembra[[#This Row],[Date]]),7)</f>
        <v>6</v>
      </c>
      <c r="Q2881" t="str">
        <f>CHOOSE(WEEKDAY(datos_siembra[[#This Row],[Date]],2),"L","M","X","J","V","S","D")</f>
        <v>D</v>
      </c>
      <c r="R2881">
        <f>WEEKNUM(datos_siembra[[#This Row],[Date]],2)-WEEKNUM(DATE(YEAR(datos_siembra[[#This Row],[Date]]),MONTH(datos_siembra[[#This Row],[Date]]),1))+1</f>
        <v>1</v>
      </c>
      <c r="S2881">
        <f>MONTH(datos_siembra[[#This Row],[Date]])</f>
        <v>10</v>
      </c>
      <c r="T2881" t="str" cm="1">
        <f t="array" ref="T2881">_xlfn.IFS(AND(N2881&lt;= 22, S2881=9), "SOWING",AND(N2881&lt;= 28, S2881=9), "COVERAGE",AND(N2881&lt;= 30, S2881=9), "FLUSH",AND(N2881&lt;= 11, S2881=10), "FLUSH",AND(N2881&lt;= 21, S2881=10), "PRODUCTION")</f>
        <v>FLUSH</v>
      </c>
      <c r="U2881">
        <f>HOUR(datos_siembra[[#This Row],[Hour]])</f>
        <v>19</v>
      </c>
      <c r="V2881" cm="1">
        <f t="array" ref="V2881">_xlfn.IFS(AND(N2881&lt;= 22, S2881=9), N2881-7,AND(N2881&lt;= 28, S2881=9), N2881-25,AND(N2881&lt;= 30, S2881=9), N2881-28,AND(N2881&lt;= 11, S2881=10), N2881+2,AND(N2881&lt;= 21, S2881=10), N2881-11)</f>
        <v>8</v>
      </c>
    </row>
    <row r="2882" spans="1:22" x14ac:dyDescent="0.35">
      <c r="A2882" s="4">
        <v>45571</v>
      </c>
      <c r="B2882" s="5">
        <v>0.80415509259259255</v>
      </c>
      <c r="C2882">
        <v>66.900000000000006</v>
      </c>
      <c r="D2882">
        <v>66.599999999999994</v>
      </c>
      <c r="E2882">
        <v>67.2</v>
      </c>
      <c r="F2882">
        <v>66.8</v>
      </c>
      <c r="G2882">
        <v>0</v>
      </c>
      <c r="H2882">
        <v>0</v>
      </c>
      <c r="I2882">
        <v>0</v>
      </c>
      <c r="J2882">
        <v>0</v>
      </c>
      <c r="K2882">
        <v>64.2</v>
      </c>
      <c r="L2882">
        <v>64.599999999999994</v>
      </c>
      <c r="M2882">
        <v>66.790000000000006</v>
      </c>
      <c r="N2882">
        <v>6</v>
      </c>
      <c r="O2882">
        <v>5</v>
      </c>
      <c r="P2882">
        <f>MOD(DAY(datos_siembra[[#This Row],[Date]]),7)</f>
        <v>6</v>
      </c>
      <c r="Q2882" t="str">
        <f>CHOOSE(WEEKDAY(datos_siembra[[#This Row],[Date]],2),"L","M","X","J","V","S","D")</f>
        <v>D</v>
      </c>
      <c r="R2882">
        <f>WEEKNUM(datos_siembra[[#This Row],[Date]],2)-WEEKNUM(DATE(YEAR(datos_siembra[[#This Row],[Date]]),MONTH(datos_siembra[[#This Row],[Date]]),1))+1</f>
        <v>1</v>
      </c>
      <c r="S2882">
        <f>MONTH(datos_siembra[[#This Row],[Date]])</f>
        <v>10</v>
      </c>
      <c r="T2882" t="str" cm="1">
        <f t="array" ref="T2882">_xlfn.IFS(AND(N2882&lt;= 22, S2882=9), "SOWING",AND(N2882&lt;= 28, S2882=9), "COVERAGE",AND(N2882&lt;= 30, S2882=9), "FLUSH",AND(N2882&lt;= 11, S2882=10), "FLUSH",AND(N2882&lt;= 21, S2882=10), "PRODUCTION")</f>
        <v>FLUSH</v>
      </c>
      <c r="U2882">
        <f>HOUR(datos_siembra[[#This Row],[Hour]])</f>
        <v>19</v>
      </c>
      <c r="V2882" cm="1">
        <f t="array" ref="V2882">_xlfn.IFS(AND(N2882&lt;= 22, S2882=9), N2882-7,AND(N2882&lt;= 28, S2882=9), N2882-25,AND(N2882&lt;= 30, S2882=9), N2882-28,AND(N2882&lt;= 11, S2882=10), N2882+2,AND(N2882&lt;= 21, S2882=10), N2882-11)</f>
        <v>8</v>
      </c>
    </row>
    <row r="2883" spans="1:22" x14ac:dyDescent="0.35">
      <c r="A2883" s="4">
        <v>45571</v>
      </c>
      <c r="B2883" s="5">
        <v>0.81111111111111112</v>
      </c>
      <c r="C2883">
        <v>66.8</v>
      </c>
      <c r="D2883">
        <v>66.599999999999994</v>
      </c>
      <c r="E2883">
        <v>67.099999999999994</v>
      </c>
      <c r="F2883">
        <v>66.8</v>
      </c>
      <c r="G2883">
        <v>0</v>
      </c>
      <c r="H2883">
        <v>0</v>
      </c>
      <c r="I2883">
        <v>0</v>
      </c>
      <c r="J2883">
        <v>0</v>
      </c>
      <c r="K2883">
        <v>64.099999999999994</v>
      </c>
      <c r="L2883">
        <v>64.5</v>
      </c>
      <c r="M2883">
        <v>66.900000000000006</v>
      </c>
      <c r="N2883">
        <v>6</v>
      </c>
      <c r="O2883">
        <v>5</v>
      </c>
      <c r="P2883">
        <f>MOD(DAY(datos_siembra[[#This Row],[Date]]),7)</f>
        <v>6</v>
      </c>
      <c r="Q2883" t="str">
        <f>CHOOSE(WEEKDAY(datos_siembra[[#This Row],[Date]],2),"L","M","X","J","V","S","D")</f>
        <v>D</v>
      </c>
      <c r="R2883">
        <f>WEEKNUM(datos_siembra[[#This Row],[Date]],2)-WEEKNUM(DATE(YEAR(datos_siembra[[#This Row],[Date]]),MONTH(datos_siembra[[#This Row],[Date]]),1))+1</f>
        <v>1</v>
      </c>
      <c r="S2883">
        <f>MONTH(datos_siembra[[#This Row],[Date]])</f>
        <v>10</v>
      </c>
      <c r="T2883" t="str" cm="1">
        <f t="array" ref="T2883">_xlfn.IFS(AND(N2883&lt;= 22, S2883=9), "SOWING",AND(N2883&lt;= 28, S2883=9), "COVERAGE",AND(N2883&lt;= 30, S2883=9), "FLUSH",AND(N2883&lt;= 11, S2883=10), "FLUSH",AND(N2883&lt;= 21, S2883=10), "PRODUCTION")</f>
        <v>FLUSH</v>
      </c>
      <c r="U2883">
        <f>HOUR(datos_siembra[[#This Row],[Hour]])</f>
        <v>19</v>
      </c>
      <c r="V2883" cm="1">
        <f t="array" ref="V2883">_xlfn.IFS(AND(N2883&lt;= 22, S2883=9), N2883-7,AND(N2883&lt;= 28, S2883=9), N2883-25,AND(N2883&lt;= 30, S2883=9), N2883-28,AND(N2883&lt;= 11, S2883=10), N2883+2,AND(N2883&lt;= 21, S2883=10), N2883-11)</f>
        <v>8</v>
      </c>
    </row>
    <row r="2884" spans="1:22" x14ac:dyDescent="0.35">
      <c r="A2884" s="4">
        <v>45571</v>
      </c>
      <c r="B2884" s="5">
        <v>0.81805555555555554</v>
      </c>
      <c r="C2884">
        <v>66.900000000000006</v>
      </c>
      <c r="D2884">
        <v>66.599999999999994</v>
      </c>
      <c r="E2884">
        <v>67.2</v>
      </c>
      <c r="F2884">
        <v>66.8</v>
      </c>
      <c r="G2884">
        <v>0</v>
      </c>
      <c r="H2884">
        <v>0</v>
      </c>
      <c r="I2884">
        <v>0</v>
      </c>
      <c r="J2884">
        <v>0</v>
      </c>
      <c r="K2884">
        <v>64.099999999999994</v>
      </c>
      <c r="L2884">
        <v>64.5</v>
      </c>
      <c r="M2884">
        <v>66.87</v>
      </c>
      <c r="N2884">
        <v>6</v>
      </c>
      <c r="O2884">
        <v>5</v>
      </c>
      <c r="P2884">
        <f>MOD(DAY(datos_siembra[[#This Row],[Date]]),7)</f>
        <v>6</v>
      </c>
      <c r="Q2884" t="str">
        <f>CHOOSE(WEEKDAY(datos_siembra[[#This Row],[Date]],2),"L","M","X","J","V","S","D")</f>
        <v>D</v>
      </c>
      <c r="R2884">
        <f>WEEKNUM(datos_siembra[[#This Row],[Date]],2)-WEEKNUM(DATE(YEAR(datos_siembra[[#This Row],[Date]]),MONTH(datos_siembra[[#This Row],[Date]]),1))+1</f>
        <v>1</v>
      </c>
      <c r="S2884">
        <f>MONTH(datos_siembra[[#This Row],[Date]])</f>
        <v>10</v>
      </c>
      <c r="T2884" t="str" cm="1">
        <f t="array" ref="T2884">_xlfn.IFS(AND(N2884&lt;= 22, S2884=9), "SOWING",AND(N2884&lt;= 28, S2884=9), "COVERAGE",AND(N2884&lt;= 30, S2884=9), "FLUSH",AND(N2884&lt;= 11, S2884=10), "FLUSH",AND(N2884&lt;= 21, S2884=10), "PRODUCTION")</f>
        <v>FLUSH</v>
      </c>
      <c r="U2884">
        <f>HOUR(datos_siembra[[#This Row],[Hour]])</f>
        <v>19</v>
      </c>
      <c r="V2884" cm="1">
        <f t="array" ref="V2884">_xlfn.IFS(AND(N2884&lt;= 22, S2884=9), N2884-7,AND(N2884&lt;= 28, S2884=9), N2884-25,AND(N2884&lt;= 30, S2884=9), N2884-28,AND(N2884&lt;= 11, S2884=10), N2884+2,AND(N2884&lt;= 21, S2884=10), N2884-11)</f>
        <v>8</v>
      </c>
    </row>
    <row r="2885" spans="1:22" x14ac:dyDescent="0.35">
      <c r="A2885" s="4">
        <v>45571</v>
      </c>
      <c r="B2885" s="5">
        <v>0.82499999999999996</v>
      </c>
      <c r="C2885">
        <v>66.900000000000006</v>
      </c>
      <c r="D2885">
        <v>66.599999999999994</v>
      </c>
      <c r="E2885">
        <v>67</v>
      </c>
      <c r="F2885">
        <v>66.900000000000006</v>
      </c>
      <c r="G2885">
        <v>0</v>
      </c>
      <c r="H2885">
        <v>0</v>
      </c>
      <c r="I2885">
        <v>0</v>
      </c>
      <c r="J2885">
        <v>0</v>
      </c>
      <c r="K2885">
        <v>64.099999999999994</v>
      </c>
      <c r="L2885">
        <v>64.400000000000006</v>
      </c>
      <c r="M2885">
        <v>66.849999999999994</v>
      </c>
      <c r="N2885">
        <v>6</v>
      </c>
      <c r="O2885">
        <v>5</v>
      </c>
      <c r="P2885">
        <f>MOD(DAY(datos_siembra[[#This Row],[Date]]),7)</f>
        <v>6</v>
      </c>
      <c r="Q2885" t="str">
        <f>CHOOSE(WEEKDAY(datos_siembra[[#This Row],[Date]],2),"L","M","X","J","V","S","D")</f>
        <v>D</v>
      </c>
      <c r="R2885">
        <f>WEEKNUM(datos_siembra[[#This Row],[Date]],2)-WEEKNUM(DATE(YEAR(datos_siembra[[#This Row],[Date]]),MONTH(datos_siembra[[#This Row],[Date]]),1))+1</f>
        <v>1</v>
      </c>
      <c r="S2885">
        <f>MONTH(datos_siembra[[#This Row],[Date]])</f>
        <v>10</v>
      </c>
      <c r="T2885" t="str" cm="1">
        <f t="array" ref="T2885">_xlfn.IFS(AND(N2885&lt;= 22, S2885=9), "SOWING",AND(N2885&lt;= 28, S2885=9), "COVERAGE",AND(N2885&lt;= 30, S2885=9), "FLUSH",AND(N2885&lt;= 11, S2885=10), "FLUSH",AND(N2885&lt;= 21, S2885=10), "PRODUCTION")</f>
        <v>FLUSH</v>
      </c>
      <c r="U2885">
        <f>HOUR(datos_siembra[[#This Row],[Hour]])</f>
        <v>19</v>
      </c>
      <c r="V2885" cm="1">
        <f t="array" ref="V2885">_xlfn.IFS(AND(N2885&lt;= 22, S2885=9), N2885-7,AND(N2885&lt;= 28, S2885=9), N2885-25,AND(N2885&lt;= 30, S2885=9), N2885-28,AND(N2885&lt;= 11, S2885=10), N2885+2,AND(N2885&lt;= 21, S2885=10), N2885-11)</f>
        <v>8</v>
      </c>
    </row>
    <row r="2886" spans="1:22" x14ac:dyDescent="0.35">
      <c r="A2886" s="4">
        <v>45571</v>
      </c>
      <c r="B2886" s="5">
        <v>0.83195601851851853</v>
      </c>
      <c r="C2886">
        <v>66.8</v>
      </c>
      <c r="D2886">
        <v>66.8</v>
      </c>
      <c r="E2886">
        <v>67.099999999999994</v>
      </c>
      <c r="F2886">
        <v>66.8</v>
      </c>
      <c r="G2886">
        <v>0</v>
      </c>
      <c r="H2886">
        <v>0</v>
      </c>
      <c r="I2886">
        <v>0</v>
      </c>
      <c r="J2886">
        <v>0</v>
      </c>
      <c r="K2886">
        <v>64.099999999999994</v>
      </c>
      <c r="L2886">
        <v>64.5</v>
      </c>
      <c r="M2886">
        <v>66.849999999999994</v>
      </c>
      <c r="N2886">
        <v>6</v>
      </c>
      <c r="O2886">
        <v>5</v>
      </c>
      <c r="P2886">
        <f>MOD(DAY(datos_siembra[[#This Row],[Date]]),7)</f>
        <v>6</v>
      </c>
      <c r="Q2886" t="str">
        <f>CHOOSE(WEEKDAY(datos_siembra[[#This Row],[Date]],2),"L","M","X","J","V","S","D")</f>
        <v>D</v>
      </c>
      <c r="R2886">
        <f>WEEKNUM(datos_siembra[[#This Row],[Date]],2)-WEEKNUM(DATE(YEAR(datos_siembra[[#This Row],[Date]]),MONTH(datos_siembra[[#This Row],[Date]]),1))+1</f>
        <v>1</v>
      </c>
      <c r="S2886">
        <f>MONTH(datos_siembra[[#This Row],[Date]])</f>
        <v>10</v>
      </c>
      <c r="T2886" t="str" cm="1">
        <f t="array" ref="T2886">_xlfn.IFS(AND(N2886&lt;= 22, S2886=9), "SOWING",AND(N2886&lt;= 28, S2886=9), "COVERAGE",AND(N2886&lt;= 30, S2886=9), "FLUSH",AND(N2886&lt;= 11, S2886=10), "FLUSH",AND(N2886&lt;= 21, S2886=10), "PRODUCTION")</f>
        <v>FLUSH</v>
      </c>
      <c r="U2886">
        <f>HOUR(datos_siembra[[#This Row],[Hour]])</f>
        <v>19</v>
      </c>
      <c r="V2886" cm="1">
        <f t="array" ref="V2886">_xlfn.IFS(AND(N2886&lt;= 22, S2886=9), N2886-7,AND(N2886&lt;= 28, S2886=9), N2886-25,AND(N2886&lt;= 30, S2886=9), N2886-28,AND(N2886&lt;= 11, S2886=10), N2886+2,AND(N2886&lt;= 21, S2886=10), N2886-11)</f>
        <v>8</v>
      </c>
    </row>
    <row r="2887" spans="1:22" x14ac:dyDescent="0.35">
      <c r="A2887" s="4">
        <v>45571</v>
      </c>
      <c r="B2887" s="5">
        <v>0.83890046296296295</v>
      </c>
      <c r="C2887">
        <v>66.8</v>
      </c>
      <c r="D2887">
        <v>66.599999999999994</v>
      </c>
      <c r="E2887">
        <v>67.3</v>
      </c>
      <c r="F2887">
        <v>66.8</v>
      </c>
      <c r="G2887">
        <v>0</v>
      </c>
      <c r="H2887">
        <v>0</v>
      </c>
      <c r="I2887">
        <v>0</v>
      </c>
      <c r="J2887">
        <v>0</v>
      </c>
      <c r="K2887">
        <v>64.099999999999994</v>
      </c>
      <c r="L2887">
        <v>64.400000000000006</v>
      </c>
      <c r="M2887">
        <v>66.87</v>
      </c>
      <c r="N2887">
        <v>6</v>
      </c>
      <c r="O2887">
        <v>5</v>
      </c>
      <c r="P2887">
        <f>MOD(DAY(datos_siembra[[#This Row],[Date]]),7)</f>
        <v>6</v>
      </c>
      <c r="Q2887" t="str">
        <f>CHOOSE(WEEKDAY(datos_siembra[[#This Row],[Date]],2),"L","M","X","J","V","S","D")</f>
        <v>D</v>
      </c>
      <c r="R2887">
        <f>WEEKNUM(datos_siembra[[#This Row],[Date]],2)-WEEKNUM(DATE(YEAR(datos_siembra[[#This Row],[Date]]),MONTH(datos_siembra[[#This Row],[Date]]),1))+1</f>
        <v>1</v>
      </c>
      <c r="S2887">
        <f>MONTH(datos_siembra[[#This Row],[Date]])</f>
        <v>10</v>
      </c>
      <c r="T2887" t="str" cm="1">
        <f t="array" ref="T2887">_xlfn.IFS(AND(N2887&lt;= 22, S2887=9), "SOWING",AND(N2887&lt;= 28, S2887=9), "COVERAGE",AND(N2887&lt;= 30, S2887=9), "FLUSH",AND(N2887&lt;= 11, S2887=10), "FLUSH",AND(N2887&lt;= 21, S2887=10), "PRODUCTION")</f>
        <v>FLUSH</v>
      </c>
      <c r="U2887">
        <f>HOUR(datos_siembra[[#This Row],[Hour]])</f>
        <v>20</v>
      </c>
      <c r="V2887" cm="1">
        <f t="array" ref="V2887">_xlfn.IFS(AND(N2887&lt;= 22, S2887=9), N2887-7,AND(N2887&lt;= 28, S2887=9), N2887-25,AND(N2887&lt;= 30, S2887=9), N2887-28,AND(N2887&lt;= 11, S2887=10), N2887+2,AND(N2887&lt;= 21, S2887=10), N2887-11)</f>
        <v>8</v>
      </c>
    </row>
    <row r="2888" spans="1:22" x14ac:dyDescent="0.35">
      <c r="A2888" s="4">
        <v>45571</v>
      </c>
      <c r="B2888" s="5">
        <v>0.84584490740740736</v>
      </c>
      <c r="C2888">
        <v>66.900000000000006</v>
      </c>
      <c r="D2888">
        <v>66.5</v>
      </c>
      <c r="E2888">
        <v>67.2</v>
      </c>
      <c r="F2888">
        <v>66.8</v>
      </c>
      <c r="G2888">
        <v>0</v>
      </c>
      <c r="H2888">
        <v>0</v>
      </c>
      <c r="I2888">
        <v>0</v>
      </c>
      <c r="J2888">
        <v>0</v>
      </c>
      <c r="K2888">
        <v>63.9</v>
      </c>
      <c r="L2888">
        <v>64.400000000000006</v>
      </c>
      <c r="M2888">
        <v>66.930000000000007</v>
      </c>
      <c r="N2888">
        <v>6</v>
      </c>
      <c r="O2888">
        <v>5</v>
      </c>
      <c r="P2888">
        <f>MOD(DAY(datos_siembra[[#This Row],[Date]]),7)</f>
        <v>6</v>
      </c>
      <c r="Q2888" t="str">
        <f>CHOOSE(WEEKDAY(datos_siembra[[#This Row],[Date]],2),"L","M","X","J","V","S","D")</f>
        <v>D</v>
      </c>
      <c r="R2888">
        <f>WEEKNUM(datos_siembra[[#This Row],[Date]],2)-WEEKNUM(DATE(YEAR(datos_siembra[[#This Row],[Date]]),MONTH(datos_siembra[[#This Row],[Date]]),1))+1</f>
        <v>1</v>
      </c>
      <c r="S2888">
        <f>MONTH(datos_siembra[[#This Row],[Date]])</f>
        <v>10</v>
      </c>
      <c r="T2888" t="str" cm="1">
        <f t="array" ref="T2888">_xlfn.IFS(AND(N2888&lt;= 22, S2888=9), "SOWING",AND(N2888&lt;= 28, S2888=9), "COVERAGE",AND(N2888&lt;= 30, S2888=9), "FLUSH",AND(N2888&lt;= 11, S2888=10), "FLUSH",AND(N2888&lt;= 21, S2888=10), "PRODUCTION")</f>
        <v>FLUSH</v>
      </c>
      <c r="U2888">
        <f>HOUR(datos_siembra[[#This Row],[Hour]])</f>
        <v>20</v>
      </c>
      <c r="V2888" cm="1">
        <f t="array" ref="V2888">_xlfn.IFS(AND(N2888&lt;= 22, S2888=9), N2888-7,AND(N2888&lt;= 28, S2888=9), N2888-25,AND(N2888&lt;= 30, S2888=9), N2888-28,AND(N2888&lt;= 11, S2888=10), N2888+2,AND(N2888&lt;= 21, S2888=10), N2888-11)</f>
        <v>8</v>
      </c>
    </row>
    <row r="2889" spans="1:22" x14ac:dyDescent="0.35">
      <c r="A2889" s="4">
        <v>45571</v>
      </c>
      <c r="B2889" s="5">
        <v>0.8527893518518519</v>
      </c>
      <c r="C2889">
        <v>66.900000000000006</v>
      </c>
      <c r="D2889">
        <v>66.599999999999994</v>
      </c>
      <c r="E2889">
        <v>67.3</v>
      </c>
      <c r="F2889">
        <v>66.8</v>
      </c>
      <c r="G2889">
        <v>0</v>
      </c>
      <c r="H2889">
        <v>0</v>
      </c>
      <c r="I2889">
        <v>0</v>
      </c>
      <c r="J2889">
        <v>0</v>
      </c>
      <c r="K2889">
        <v>63.9</v>
      </c>
      <c r="L2889">
        <v>64.3</v>
      </c>
      <c r="M2889">
        <v>66.930000000000007</v>
      </c>
      <c r="N2889">
        <v>6</v>
      </c>
      <c r="O2889">
        <v>5</v>
      </c>
      <c r="P2889">
        <f>MOD(DAY(datos_siembra[[#This Row],[Date]]),7)</f>
        <v>6</v>
      </c>
      <c r="Q2889" t="str">
        <f>CHOOSE(WEEKDAY(datos_siembra[[#This Row],[Date]],2),"L","M","X","J","V","S","D")</f>
        <v>D</v>
      </c>
      <c r="R2889">
        <f>WEEKNUM(datos_siembra[[#This Row],[Date]],2)-WEEKNUM(DATE(YEAR(datos_siembra[[#This Row],[Date]]),MONTH(datos_siembra[[#This Row],[Date]]),1))+1</f>
        <v>1</v>
      </c>
      <c r="S2889">
        <f>MONTH(datos_siembra[[#This Row],[Date]])</f>
        <v>10</v>
      </c>
      <c r="T2889" t="str" cm="1">
        <f t="array" ref="T2889">_xlfn.IFS(AND(N2889&lt;= 22, S2889=9), "SOWING",AND(N2889&lt;= 28, S2889=9), "COVERAGE",AND(N2889&lt;= 30, S2889=9), "FLUSH",AND(N2889&lt;= 11, S2889=10), "FLUSH",AND(N2889&lt;= 21, S2889=10), "PRODUCTION")</f>
        <v>FLUSH</v>
      </c>
      <c r="U2889">
        <f>HOUR(datos_siembra[[#This Row],[Hour]])</f>
        <v>20</v>
      </c>
      <c r="V2889" cm="1">
        <f t="array" ref="V2889">_xlfn.IFS(AND(N2889&lt;= 22, S2889=9), N2889-7,AND(N2889&lt;= 28, S2889=9), N2889-25,AND(N2889&lt;= 30, S2889=9), N2889-28,AND(N2889&lt;= 11, S2889=10), N2889+2,AND(N2889&lt;= 21, S2889=10), N2889-11)</f>
        <v>8</v>
      </c>
    </row>
    <row r="2890" spans="1:22" x14ac:dyDescent="0.35">
      <c r="A2890" s="4">
        <v>45571</v>
      </c>
      <c r="B2890" s="5">
        <v>0.85974537037037035</v>
      </c>
      <c r="C2890">
        <v>66.8</v>
      </c>
      <c r="D2890">
        <v>66.599999999999994</v>
      </c>
      <c r="E2890">
        <v>67.099999999999994</v>
      </c>
      <c r="F2890">
        <v>66.8</v>
      </c>
      <c r="G2890">
        <v>0</v>
      </c>
      <c r="H2890">
        <v>0</v>
      </c>
      <c r="I2890">
        <v>0</v>
      </c>
      <c r="J2890">
        <v>0</v>
      </c>
      <c r="K2890">
        <v>63.9</v>
      </c>
      <c r="L2890">
        <v>64.400000000000006</v>
      </c>
      <c r="M2890">
        <v>66.959999999999994</v>
      </c>
      <c r="N2890">
        <v>6</v>
      </c>
      <c r="O2890">
        <v>5</v>
      </c>
      <c r="P2890">
        <f>MOD(DAY(datos_siembra[[#This Row],[Date]]),7)</f>
        <v>6</v>
      </c>
      <c r="Q2890" t="str">
        <f>CHOOSE(WEEKDAY(datos_siembra[[#This Row],[Date]],2),"L","M","X","J","V","S","D")</f>
        <v>D</v>
      </c>
      <c r="R2890">
        <f>WEEKNUM(datos_siembra[[#This Row],[Date]],2)-WEEKNUM(DATE(YEAR(datos_siembra[[#This Row],[Date]]),MONTH(datos_siembra[[#This Row],[Date]]),1))+1</f>
        <v>1</v>
      </c>
      <c r="S2890">
        <f>MONTH(datos_siembra[[#This Row],[Date]])</f>
        <v>10</v>
      </c>
      <c r="T2890" t="str" cm="1">
        <f t="array" ref="T2890">_xlfn.IFS(AND(N2890&lt;= 22, S2890=9), "SOWING",AND(N2890&lt;= 28, S2890=9), "COVERAGE",AND(N2890&lt;= 30, S2890=9), "FLUSH",AND(N2890&lt;= 11, S2890=10), "FLUSH",AND(N2890&lt;= 21, S2890=10), "PRODUCTION")</f>
        <v>FLUSH</v>
      </c>
      <c r="U2890">
        <f>HOUR(datos_siembra[[#This Row],[Hour]])</f>
        <v>20</v>
      </c>
      <c r="V2890" cm="1">
        <f t="array" ref="V2890">_xlfn.IFS(AND(N2890&lt;= 22, S2890=9), N2890-7,AND(N2890&lt;= 28, S2890=9), N2890-25,AND(N2890&lt;= 30, S2890=9), N2890-28,AND(N2890&lt;= 11, S2890=10), N2890+2,AND(N2890&lt;= 21, S2890=10), N2890-11)</f>
        <v>8</v>
      </c>
    </row>
    <row r="2891" spans="1:22" x14ac:dyDescent="0.35">
      <c r="A2891" s="4">
        <v>45571</v>
      </c>
      <c r="B2891" s="5">
        <v>0.86668981481481477</v>
      </c>
      <c r="C2891">
        <v>66.900000000000006</v>
      </c>
      <c r="D2891">
        <v>66.8</v>
      </c>
      <c r="E2891">
        <v>67.2</v>
      </c>
      <c r="F2891">
        <v>66.8</v>
      </c>
      <c r="G2891">
        <v>0</v>
      </c>
      <c r="H2891">
        <v>0</v>
      </c>
      <c r="I2891">
        <v>0</v>
      </c>
      <c r="J2891">
        <v>0</v>
      </c>
      <c r="K2891">
        <v>63.9</v>
      </c>
      <c r="L2891">
        <v>64.3</v>
      </c>
      <c r="M2891">
        <v>66.87</v>
      </c>
      <c r="N2891">
        <v>6</v>
      </c>
      <c r="O2891">
        <v>5</v>
      </c>
      <c r="P2891">
        <f>MOD(DAY(datos_siembra[[#This Row],[Date]]),7)</f>
        <v>6</v>
      </c>
      <c r="Q2891" t="str">
        <f>CHOOSE(WEEKDAY(datos_siembra[[#This Row],[Date]],2),"L","M","X","J","V","S","D")</f>
        <v>D</v>
      </c>
      <c r="R2891">
        <f>WEEKNUM(datos_siembra[[#This Row],[Date]],2)-WEEKNUM(DATE(YEAR(datos_siembra[[#This Row],[Date]]),MONTH(datos_siembra[[#This Row],[Date]]),1))+1</f>
        <v>1</v>
      </c>
      <c r="S2891">
        <f>MONTH(datos_siembra[[#This Row],[Date]])</f>
        <v>10</v>
      </c>
      <c r="T2891" t="str" cm="1">
        <f t="array" ref="T2891">_xlfn.IFS(AND(N2891&lt;= 22, S2891=9), "SOWING",AND(N2891&lt;= 28, S2891=9), "COVERAGE",AND(N2891&lt;= 30, S2891=9), "FLUSH",AND(N2891&lt;= 11, S2891=10), "FLUSH",AND(N2891&lt;= 21, S2891=10), "PRODUCTION")</f>
        <v>FLUSH</v>
      </c>
      <c r="U2891">
        <f>HOUR(datos_siembra[[#This Row],[Hour]])</f>
        <v>20</v>
      </c>
      <c r="V2891" cm="1">
        <f t="array" ref="V2891">_xlfn.IFS(AND(N2891&lt;= 22, S2891=9), N2891-7,AND(N2891&lt;= 28, S2891=9), N2891-25,AND(N2891&lt;= 30, S2891=9), N2891-28,AND(N2891&lt;= 11, S2891=10), N2891+2,AND(N2891&lt;= 21, S2891=10), N2891-11)</f>
        <v>8</v>
      </c>
    </row>
    <row r="2892" spans="1:22" x14ac:dyDescent="0.35">
      <c r="A2892" s="4">
        <v>45571</v>
      </c>
      <c r="B2892" s="5">
        <v>0.8736342592592593</v>
      </c>
      <c r="C2892">
        <v>66.900000000000006</v>
      </c>
      <c r="D2892">
        <v>66.599999999999994</v>
      </c>
      <c r="E2892">
        <v>67.2</v>
      </c>
      <c r="F2892">
        <v>66.8</v>
      </c>
      <c r="G2892">
        <v>0</v>
      </c>
      <c r="H2892">
        <v>0</v>
      </c>
      <c r="I2892">
        <v>0</v>
      </c>
      <c r="J2892">
        <v>0</v>
      </c>
      <c r="K2892">
        <v>63.8</v>
      </c>
      <c r="L2892">
        <v>64.2</v>
      </c>
      <c r="M2892">
        <v>66.900000000000006</v>
      </c>
      <c r="N2892">
        <v>6</v>
      </c>
      <c r="O2892">
        <v>5</v>
      </c>
      <c r="P2892">
        <f>MOD(DAY(datos_siembra[[#This Row],[Date]]),7)</f>
        <v>6</v>
      </c>
      <c r="Q2892" t="str">
        <f>CHOOSE(WEEKDAY(datos_siembra[[#This Row],[Date]],2),"L","M","X","J","V","S","D")</f>
        <v>D</v>
      </c>
      <c r="R2892">
        <f>WEEKNUM(datos_siembra[[#This Row],[Date]],2)-WEEKNUM(DATE(YEAR(datos_siembra[[#This Row],[Date]]),MONTH(datos_siembra[[#This Row],[Date]]),1))+1</f>
        <v>1</v>
      </c>
      <c r="S2892">
        <f>MONTH(datos_siembra[[#This Row],[Date]])</f>
        <v>10</v>
      </c>
      <c r="T2892" t="str" cm="1">
        <f t="array" ref="T2892">_xlfn.IFS(AND(N2892&lt;= 22, S2892=9), "SOWING",AND(N2892&lt;= 28, S2892=9), "COVERAGE",AND(N2892&lt;= 30, S2892=9), "FLUSH",AND(N2892&lt;= 11, S2892=10), "FLUSH",AND(N2892&lt;= 21, S2892=10), "PRODUCTION")</f>
        <v>FLUSH</v>
      </c>
      <c r="U2892">
        <f>HOUR(datos_siembra[[#This Row],[Hour]])</f>
        <v>20</v>
      </c>
      <c r="V2892" cm="1">
        <f t="array" ref="V2892">_xlfn.IFS(AND(N2892&lt;= 22, S2892=9), N2892-7,AND(N2892&lt;= 28, S2892=9), N2892-25,AND(N2892&lt;= 30, S2892=9), N2892-28,AND(N2892&lt;= 11, S2892=10), N2892+2,AND(N2892&lt;= 21, S2892=10), N2892-11)</f>
        <v>8</v>
      </c>
    </row>
    <row r="2893" spans="1:22" x14ac:dyDescent="0.35">
      <c r="A2893" s="4">
        <v>45571</v>
      </c>
      <c r="B2893" s="5">
        <v>0.88057870370370372</v>
      </c>
      <c r="C2893">
        <v>66.900000000000006</v>
      </c>
      <c r="D2893">
        <v>66.8</v>
      </c>
      <c r="E2893">
        <v>67.2</v>
      </c>
      <c r="F2893">
        <v>66.900000000000006</v>
      </c>
      <c r="G2893">
        <v>0</v>
      </c>
      <c r="H2893">
        <v>0</v>
      </c>
      <c r="I2893">
        <v>0</v>
      </c>
      <c r="J2893">
        <v>0</v>
      </c>
      <c r="K2893">
        <v>63.8</v>
      </c>
      <c r="L2893">
        <v>64.3</v>
      </c>
      <c r="M2893">
        <v>66.900000000000006</v>
      </c>
      <c r="N2893">
        <v>6</v>
      </c>
      <c r="O2893">
        <v>5</v>
      </c>
      <c r="P2893">
        <f>MOD(DAY(datos_siembra[[#This Row],[Date]]),7)</f>
        <v>6</v>
      </c>
      <c r="Q2893" t="str">
        <f>CHOOSE(WEEKDAY(datos_siembra[[#This Row],[Date]],2),"L","M","X","J","V","S","D")</f>
        <v>D</v>
      </c>
      <c r="R2893">
        <f>WEEKNUM(datos_siembra[[#This Row],[Date]],2)-WEEKNUM(DATE(YEAR(datos_siembra[[#This Row],[Date]]),MONTH(datos_siembra[[#This Row],[Date]]),1))+1</f>
        <v>1</v>
      </c>
      <c r="S2893">
        <f>MONTH(datos_siembra[[#This Row],[Date]])</f>
        <v>10</v>
      </c>
      <c r="T2893" t="str" cm="1">
        <f t="array" ref="T2893">_xlfn.IFS(AND(N2893&lt;= 22, S2893=9), "SOWING",AND(N2893&lt;= 28, S2893=9), "COVERAGE",AND(N2893&lt;= 30, S2893=9), "FLUSH",AND(N2893&lt;= 11, S2893=10), "FLUSH",AND(N2893&lt;= 21, S2893=10), "PRODUCTION")</f>
        <v>FLUSH</v>
      </c>
      <c r="U2893">
        <f>HOUR(datos_siembra[[#This Row],[Hour]])</f>
        <v>21</v>
      </c>
      <c r="V2893" cm="1">
        <f t="array" ref="V2893">_xlfn.IFS(AND(N2893&lt;= 22, S2893=9), N2893-7,AND(N2893&lt;= 28, S2893=9), N2893-25,AND(N2893&lt;= 30, S2893=9), N2893-28,AND(N2893&lt;= 11, S2893=10), N2893+2,AND(N2893&lt;= 21, S2893=10), N2893-11)</f>
        <v>8</v>
      </c>
    </row>
    <row r="2894" spans="1:22" x14ac:dyDescent="0.35">
      <c r="A2894" s="4">
        <v>45571</v>
      </c>
      <c r="B2894" s="5">
        <v>0.88753472222222218</v>
      </c>
      <c r="C2894">
        <v>66.900000000000006</v>
      </c>
      <c r="D2894">
        <v>66.599999999999994</v>
      </c>
      <c r="E2894">
        <v>67.3</v>
      </c>
      <c r="F2894">
        <v>66.8</v>
      </c>
      <c r="G2894">
        <v>0</v>
      </c>
      <c r="H2894">
        <v>0</v>
      </c>
      <c r="I2894">
        <v>0</v>
      </c>
      <c r="J2894">
        <v>0</v>
      </c>
      <c r="K2894">
        <v>63.8</v>
      </c>
      <c r="L2894">
        <v>64.2</v>
      </c>
      <c r="M2894">
        <v>66.87</v>
      </c>
      <c r="N2894">
        <v>6</v>
      </c>
      <c r="O2894">
        <v>5</v>
      </c>
      <c r="P2894">
        <f>MOD(DAY(datos_siembra[[#This Row],[Date]]),7)</f>
        <v>6</v>
      </c>
      <c r="Q2894" t="str">
        <f>CHOOSE(WEEKDAY(datos_siembra[[#This Row],[Date]],2),"L","M","X","J","V","S","D")</f>
        <v>D</v>
      </c>
      <c r="R2894">
        <f>WEEKNUM(datos_siembra[[#This Row],[Date]],2)-WEEKNUM(DATE(YEAR(datos_siembra[[#This Row],[Date]]),MONTH(datos_siembra[[#This Row],[Date]]),1))+1</f>
        <v>1</v>
      </c>
      <c r="S2894">
        <f>MONTH(datos_siembra[[#This Row],[Date]])</f>
        <v>10</v>
      </c>
      <c r="T2894" t="str" cm="1">
        <f t="array" ref="T2894">_xlfn.IFS(AND(N2894&lt;= 22, S2894=9), "SOWING",AND(N2894&lt;= 28, S2894=9), "COVERAGE",AND(N2894&lt;= 30, S2894=9), "FLUSH",AND(N2894&lt;= 11, S2894=10), "FLUSH",AND(N2894&lt;= 21, S2894=10), "PRODUCTION")</f>
        <v>FLUSH</v>
      </c>
      <c r="U2894">
        <f>HOUR(datos_siembra[[#This Row],[Hour]])</f>
        <v>21</v>
      </c>
      <c r="V2894" cm="1">
        <f t="array" ref="V2894">_xlfn.IFS(AND(N2894&lt;= 22, S2894=9), N2894-7,AND(N2894&lt;= 28, S2894=9), N2894-25,AND(N2894&lt;= 30, S2894=9), N2894-28,AND(N2894&lt;= 11, S2894=10), N2894+2,AND(N2894&lt;= 21, S2894=10), N2894-11)</f>
        <v>8</v>
      </c>
    </row>
    <row r="2895" spans="1:22" x14ac:dyDescent="0.35">
      <c r="A2895" s="4">
        <v>45571</v>
      </c>
      <c r="B2895" s="5">
        <v>0.89447916666666671</v>
      </c>
      <c r="C2895">
        <v>66.900000000000006</v>
      </c>
      <c r="D2895">
        <v>66.599999999999994</v>
      </c>
      <c r="E2895">
        <v>67.2</v>
      </c>
      <c r="F2895">
        <v>66.900000000000006</v>
      </c>
      <c r="G2895">
        <v>0</v>
      </c>
      <c r="H2895">
        <v>0</v>
      </c>
      <c r="I2895">
        <v>0</v>
      </c>
      <c r="J2895">
        <v>0</v>
      </c>
      <c r="K2895">
        <v>63.8</v>
      </c>
      <c r="L2895">
        <v>64.3</v>
      </c>
      <c r="M2895">
        <v>66.900000000000006</v>
      </c>
      <c r="N2895">
        <v>6</v>
      </c>
      <c r="O2895">
        <v>5</v>
      </c>
      <c r="P2895">
        <f>MOD(DAY(datos_siembra[[#This Row],[Date]]),7)</f>
        <v>6</v>
      </c>
      <c r="Q2895" t="str">
        <f>CHOOSE(WEEKDAY(datos_siembra[[#This Row],[Date]],2),"L","M","X","J","V","S","D")</f>
        <v>D</v>
      </c>
      <c r="R2895">
        <f>WEEKNUM(datos_siembra[[#This Row],[Date]],2)-WEEKNUM(DATE(YEAR(datos_siembra[[#This Row],[Date]]),MONTH(datos_siembra[[#This Row],[Date]]),1))+1</f>
        <v>1</v>
      </c>
      <c r="S2895">
        <f>MONTH(datos_siembra[[#This Row],[Date]])</f>
        <v>10</v>
      </c>
      <c r="T2895" t="str" cm="1">
        <f t="array" ref="T2895">_xlfn.IFS(AND(N2895&lt;= 22, S2895=9), "SOWING",AND(N2895&lt;= 28, S2895=9), "COVERAGE",AND(N2895&lt;= 30, S2895=9), "FLUSH",AND(N2895&lt;= 11, S2895=10), "FLUSH",AND(N2895&lt;= 21, S2895=10), "PRODUCTION")</f>
        <v>FLUSH</v>
      </c>
      <c r="U2895">
        <f>HOUR(datos_siembra[[#This Row],[Hour]])</f>
        <v>21</v>
      </c>
      <c r="V2895" cm="1">
        <f t="array" ref="V2895">_xlfn.IFS(AND(N2895&lt;= 22, S2895=9), N2895-7,AND(N2895&lt;= 28, S2895=9), N2895-25,AND(N2895&lt;= 30, S2895=9), N2895-28,AND(N2895&lt;= 11, S2895=10), N2895+2,AND(N2895&lt;= 21, S2895=10), N2895-11)</f>
        <v>8</v>
      </c>
    </row>
    <row r="2896" spans="1:22" x14ac:dyDescent="0.35">
      <c r="A2896" s="4">
        <v>45571</v>
      </c>
      <c r="B2896" s="5">
        <v>0.90142361111111113</v>
      </c>
      <c r="C2896">
        <v>66.8</v>
      </c>
      <c r="D2896">
        <v>66.599999999999994</v>
      </c>
      <c r="E2896">
        <v>67.3</v>
      </c>
      <c r="F2896">
        <v>66.8</v>
      </c>
      <c r="G2896">
        <v>0</v>
      </c>
      <c r="H2896">
        <v>0</v>
      </c>
      <c r="I2896">
        <v>0</v>
      </c>
      <c r="J2896">
        <v>0</v>
      </c>
      <c r="K2896">
        <v>63.8</v>
      </c>
      <c r="L2896">
        <v>64.099999999999994</v>
      </c>
      <c r="M2896">
        <v>66.930000000000007</v>
      </c>
      <c r="N2896">
        <v>6</v>
      </c>
      <c r="O2896">
        <v>5</v>
      </c>
      <c r="P2896">
        <f>MOD(DAY(datos_siembra[[#This Row],[Date]]),7)</f>
        <v>6</v>
      </c>
      <c r="Q2896" t="str">
        <f>CHOOSE(WEEKDAY(datos_siembra[[#This Row],[Date]],2),"L","M","X","J","V","S","D")</f>
        <v>D</v>
      </c>
      <c r="R2896">
        <f>WEEKNUM(datos_siembra[[#This Row],[Date]],2)-WEEKNUM(DATE(YEAR(datos_siembra[[#This Row],[Date]]),MONTH(datos_siembra[[#This Row],[Date]]),1))+1</f>
        <v>1</v>
      </c>
      <c r="S2896">
        <f>MONTH(datos_siembra[[#This Row],[Date]])</f>
        <v>10</v>
      </c>
      <c r="T2896" t="str" cm="1">
        <f t="array" ref="T2896">_xlfn.IFS(AND(N2896&lt;= 22, S2896=9), "SOWING",AND(N2896&lt;= 28, S2896=9), "COVERAGE",AND(N2896&lt;= 30, S2896=9), "FLUSH",AND(N2896&lt;= 11, S2896=10), "FLUSH",AND(N2896&lt;= 21, S2896=10), "PRODUCTION")</f>
        <v>FLUSH</v>
      </c>
      <c r="U2896">
        <f>HOUR(datos_siembra[[#This Row],[Hour]])</f>
        <v>21</v>
      </c>
      <c r="V2896" cm="1">
        <f t="array" ref="V2896">_xlfn.IFS(AND(N2896&lt;= 22, S2896=9), N2896-7,AND(N2896&lt;= 28, S2896=9), N2896-25,AND(N2896&lt;= 30, S2896=9), N2896-28,AND(N2896&lt;= 11, S2896=10), N2896+2,AND(N2896&lt;= 21, S2896=10), N2896-11)</f>
        <v>8</v>
      </c>
    </row>
    <row r="2897" spans="1:22" x14ac:dyDescent="0.35">
      <c r="A2897" s="4">
        <v>45571</v>
      </c>
      <c r="B2897" s="5">
        <v>0.90837962962962959</v>
      </c>
      <c r="C2897">
        <v>67</v>
      </c>
      <c r="D2897">
        <v>66.8</v>
      </c>
      <c r="E2897">
        <v>67.2</v>
      </c>
      <c r="F2897">
        <v>67</v>
      </c>
      <c r="G2897">
        <v>0</v>
      </c>
      <c r="H2897">
        <v>0</v>
      </c>
      <c r="I2897">
        <v>0</v>
      </c>
      <c r="J2897">
        <v>0</v>
      </c>
      <c r="K2897">
        <v>63.7</v>
      </c>
      <c r="L2897">
        <v>64.2</v>
      </c>
      <c r="M2897">
        <v>66.959999999999994</v>
      </c>
      <c r="N2897">
        <v>6</v>
      </c>
      <c r="O2897">
        <v>5</v>
      </c>
      <c r="P2897">
        <f>MOD(DAY(datos_siembra[[#This Row],[Date]]),7)</f>
        <v>6</v>
      </c>
      <c r="Q2897" t="str">
        <f>CHOOSE(WEEKDAY(datos_siembra[[#This Row],[Date]],2),"L","M","X","J","V","S","D")</f>
        <v>D</v>
      </c>
      <c r="R2897">
        <f>WEEKNUM(datos_siembra[[#This Row],[Date]],2)-WEEKNUM(DATE(YEAR(datos_siembra[[#This Row],[Date]]),MONTH(datos_siembra[[#This Row],[Date]]),1))+1</f>
        <v>1</v>
      </c>
      <c r="S2897">
        <f>MONTH(datos_siembra[[#This Row],[Date]])</f>
        <v>10</v>
      </c>
      <c r="T2897" t="str" cm="1">
        <f t="array" ref="T2897">_xlfn.IFS(AND(N2897&lt;= 22, S2897=9), "SOWING",AND(N2897&lt;= 28, S2897=9), "COVERAGE",AND(N2897&lt;= 30, S2897=9), "FLUSH",AND(N2897&lt;= 11, S2897=10), "FLUSH",AND(N2897&lt;= 21, S2897=10), "PRODUCTION")</f>
        <v>FLUSH</v>
      </c>
      <c r="U2897">
        <f>HOUR(datos_siembra[[#This Row],[Hour]])</f>
        <v>21</v>
      </c>
      <c r="V2897" cm="1">
        <f t="array" ref="V2897">_xlfn.IFS(AND(N2897&lt;= 22, S2897=9), N2897-7,AND(N2897&lt;= 28, S2897=9), N2897-25,AND(N2897&lt;= 30, S2897=9), N2897-28,AND(N2897&lt;= 11, S2897=10), N2897+2,AND(N2897&lt;= 21, S2897=10), N2897-11)</f>
        <v>8</v>
      </c>
    </row>
    <row r="2898" spans="1:22" x14ac:dyDescent="0.35">
      <c r="A2898" s="4">
        <v>45571</v>
      </c>
      <c r="B2898" s="5">
        <v>0.91532407407407412</v>
      </c>
      <c r="C2898">
        <v>67</v>
      </c>
      <c r="D2898">
        <v>66.8</v>
      </c>
      <c r="E2898">
        <v>67.3</v>
      </c>
      <c r="F2898">
        <v>67</v>
      </c>
      <c r="G2898">
        <v>0</v>
      </c>
      <c r="H2898">
        <v>0</v>
      </c>
      <c r="I2898">
        <v>0</v>
      </c>
      <c r="J2898">
        <v>0</v>
      </c>
      <c r="K2898">
        <v>63.7</v>
      </c>
      <c r="L2898">
        <v>63.9</v>
      </c>
      <c r="M2898">
        <v>66.930000000000007</v>
      </c>
      <c r="N2898">
        <v>6</v>
      </c>
      <c r="O2898">
        <v>5</v>
      </c>
      <c r="P2898">
        <f>MOD(DAY(datos_siembra[[#This Row],[Date]]),7)</f>
        <v>6</v>
      </c>
      <c r="Q2898" t="str">
        <f>CHOOSE(WEEKDAY(datos_siembra[[#This Row],[Date]],2),"L","M","X","J","V","S","D")</f>
        <v>D</v>
      </c>
      <c r="R2898">
        <f>WEEKNUM(datos_siembra[[#This Row],[Date]],2)-WEEKNUM(DATE(YEAR(datos_siembra[[#This Row],[Date]]),MONTH(datos_siembra[[#This Row],[Date]]),1))+1</f>
        <v>1</v>
      </c>
      <c r="S2898">
        <f>MONTH(datos_siembra[[#This Row],[Date]])</f>
        <v>10</v>
      </c>
      <c r="T2898" t="str" cm="1">
        <f t="array" ref="T2898">_xlfn.IFS(AND(N2898&lt;= 22, S2898=9), "SOWING",AND(N2898&lt;= 28, S2898=9), "COVERAGE",AND(N2898&lt;= 30, S2898=9), "FLUSH",AND(N2898&lt;= 11, S2898=10), "FLUSH",AND(N2898&lt;= 21, S2898=10), "PRODUCTION")</f>
        <v>FLUSH</v>
      </c>
      <c r="U2898">
        <f>HOUR(datos_siembra[[#This Row],[Hour]])</f>
        <v>21</v>
      </c>
      <c r="V2898" cm="1">
        <f t="array" ref="V2898">_xlfn.IFS(AND(N2898&lt;= 22, S2898=9), N2898-7,AND(N2898&lt;= 28, S2898=9), N2898-25,AND(N2898&lt;= 30, S2898=9), N2898-28,AND(N2898&lt;= 11, S2898=10), N2898+2,AND(N2898&lt;= 21, S2898=10), N2898-11)</f>
        <v>8</v>
      </c>
    </row>
    <row r="2899" spans="1:22" x14ac:dyDescent="0.35">
      <c r="A2899" s="4">
        <v>45571</v>
      </c>
      <c r="B2899" s="5">
        <v>0.92226851851851854</v>
      </c>
      <c r="C2899">
        <v>66.900000000000006</v>
      </c>
      <c r="D2899">
        <v>66.8</v>
      </c>
      <c r="E2899">
        <v>67.3</v>
      </c>
      <c r="F2899">
        <v>67.099999999999994</v>
      </c>
      <c r="G2899">
        <v>0</v>
      </c>
      <c r="H2899">
        <v>0</v>
      </c>
      <c r="I2899">
        <v>0</v>
      </c>
      <c r="J2899">
        <v>0</v>
      </c>
      <c r="K2899">
        <v>63.6</v>
      </c>
      <c r="L2899">
        <v>64.099999999999994</v>
      </c>
      <c r="M2899">
        <v>67.02</v>
      </c>
      <c r="N2899">
        <v>6</v>
      </c>
      <c r="O2899">
        <v>5</v>
      </c>
      <c r="P2899">
        <f>MOD(DAY(datos_siembra[[#This Row],[Date]]),7)</f>
        <v>6</v>
      </c>
      <c r="Q2899" t="str">
        <f>CHOOSE(WEEKDAY(datos_siembra[[#This Row],[Date]],2),"L","M","X","J","V","S","D")</f>
        <v>D</v>
      </c>
      <c r="R2899">
        <f>WEEKNUM(datos_siembra[[#This Row],[Date]],2)-WEEKNUM(DATE(YEAR(datos_siembra[[#This Row],[Date]]),MONTH(datos_siembra[[#This Row],[Date]]),1))+1</f>
        <v>1</v>
      </c>
      <c r="S2899">
        <f>MONTH(datos_siembra[[#This Row],[Date]])</f>
        <v>10</v>
      </c>
      <c r="T2899" t="str" cm="1">
        <f t="array" ref="T2899">_xlfn.IFS(AND(N2899&lt;= 22, S2899=9), "SOWING",AND(N2899&lt;= 28, S2899=9), "COVERAGE",AND(N2899&lt;= 30, S2899=9), "FLUSH",AND(N2899&lt;= 11, S2899=10), "FLUSH",AND(N2899&lt;= 21, S2899=10), "PRODUCTION")</f>
        <v>FLUSH</v>
      </c>
      <c r="U2899">
        <f>HOUR(datos_siembra[[#This Row],[Hour]])</f>
        <v>22</v>
      </c>
      <c r="V2899" cm="1">
        <f t="array" ref="V2899">_xlfn.IFS(AND(N2899&lt;= 22, S2899=9), N2899-7,AND(N2899&lt;= 28, S2899=9), N2899-25,AND(N2899&lt;= 30, S2899=9), N2899-28,AND(N2899&lt;= 11, S2899=10), N2899+2,AND(N2899&lt;= 21, S2899=10), N2899-11)</f>
        <v>8</v>
      </c>
    </row>
    <row r="2900" spans="1:22" x14ac:dyDescent="0.35">
      <c r="A2900" s="4">
        <v>45571</v>
      </c>
      <c r="B2900" s="5">
        <v>0.92921296296296296</v>
      </c>
      <c r="C2900">
        <v>66.8</v>
      </c>
      <c r="D2900">
        <v>66.900000000000006</v>
      </c>
      <c r="E2900">
        <v>67.3</v>
      </c>
      <c r="F2900">
        <v>67</v>
      </c>
      <c r="G2900">
        <v>0</v>
      </c>
      <c r="H2900">
        <v>0</v>
      </c>
      <c r="I2900">
        <v>0</v>
      </c>
      <c r="J2900">
        <v>0</v>
      </c>
      <c r="K2900">
        <v>63.6</v>
      </c>
      <c r="L2900">
        <v>63.9</v>
      </c>
      <c r="M2900">
        <v>66.989999999999995</v>
      </c>
      <c r="N2900">
        <v>6</v>
      </c>
      <c r="O2900">
        <v>5</v>
      </c>
      <c r="P2900">
        <f>MOD(DAY(datos_siembra[[#This Row],[Date]]),7)</f>
        <v>6</v>
      </c>
      <c r="Q2900" t="str">
        <f>CHOOSE(WEEKDAY(datos_siembra[[#This Row],[Date]],2),"L","M","X","J","V","S","D")</f>
        <v>D</v>
      </c>
      <c r="R2900">
        <f>WEEKNUM(datos_siembra[[#This Row],[Date]],2)-WEEKNUM(DATE(YEAR(datos_siembra[[#This Row],[Date]]),MONTH(datos_siembra[[#This Row],[Date]]),1))+1</f>
        <v>1</v>
      </c>
      <c r="S2900">
        <f>MONTH(datos_siembra[[#This Row],[Date]])</f>
        <v>10</v>
      </c>
      <c r="T2900" t="str" cm="1">
        <f t="array" ref="T2900">_xlfn.IFS(AND(N2900&lt;= 22, S2900=9), "SOWING",AND(N2900&lt;= 28, S2900=9), "COVERAGE",AND(N2900&lt;= 30, S2900=9), "FLUSH",AND(N2900&lt;= 11, S2900=10), "FLUSH",AND(N2900&lt;= 21, S2900=10), "PRODUCTION")</f>
        <v>FLUSH</v>
      </c>
      <c r="U2900">
        <f>HOUR(datos_siembra[[#This Row],[Hour]])</f>
        <v>22</v>
      </c>
      <c r="V2900" cm="1">
        <f t="array" ref="V2900">_xlfn.IFS(AND(N2900&lt;= 22, S2900=9), N2900-7,AND(N2900&lt;= 28, S2900=9), N2900-25,AND(N2900&lt;= 30, S2900=9), N2900-28,AND(N2900&lt;= 11, S2900=10), N2900+2,AND(N2900&lt;= 21, S2900=10), N2900-11)</f>
        <v>8</v>
      </c>
    </row>
    <row r="2901" spans="1:22" x14ac:dyDescent="0.35">
      <c r="A2901" s="4">
        <v>45571</v>
      </c>
      <c r="B2901" s="5">
        <v>0.93616898148148153</v>
      </c>
      <c r="C2901">
        <v>66.900000000000006</v>
      </c>
      <c r="D2901">
        <v>66.8</v>
      </c>
      <c r="E2901">
        <v>67.3</v>
      </c>
      <c r="F2901">
        <v>67</v>
      </c>
      <c r="G2901">
        <v>0</v>
      </c>
      <c r="H2901">
        <v>0</v>
      </c>
      <c r="I2901">
        <v>0</v>
      </c>
      <c r="J2901">
        <v>0</v>
      </c>
      <c r="K2901">
        <v>63.7</v>
      </c>
      <c r="L2901">
        <v>64.099999999999994</v>
      </c>
      <c r="M2901">
        <v>67.02</v>
      </c>
      <c r="N2901">
        <v>6</v>
      </c>
      <c r="O2901">
        <v>5</v>
      </c>
      <c r="P2901">
        <f>MOD(DAY(datos_siembra[[#This Row],[Date]]),7)</f>
        <v>6</v>
      </c>
      <c r="Q2901" t="str">
        <f>CHOOSE(WEEKDAY(datos_siembra[[#This Row],[Date]],2),"L","M","X","J","V","S","D")</f>
        <v>D</v>
      </c>
      <c r="R2901">
        <f>WEEKNUM(datos_siembra[[#This Row],[Date]],2)-WEEKNUM(DATE(YEAR(datos_siembra[[#This Row],[Date]]),MONTH(datos_siembra[[#This Row],[Date]]),1))+1</f>
        <v>1</v>
      </c>
      <c r="S2901">
        <f>MONTH(datos_siembra[[#This Row],[Date]])</f>
        <v>10</v>
      </c>
      <c r="T2901" t="str" cm="1">
        <f t="array" ref="T2901">_xlfn.IFS(AND(N2901&lt;= 22, S2901=9), "SOWING",AND(N2901&lt;= 28, S2901=9), "COVERAGE",AND(N2901&lt;= 30, S2901=9), "FLUSH",AND(N2901&lt;= 11, S2901=10), "FLUSH",AND(N2901&lt;= 21, S2901=10), "PRODUCTION")</f>
        <v>FLUSH</v>
      </c>
      <c r="U2901">
        <f>HOUR(datos_siembra[[#This Row],[Hour]])</f>
        <v>22</v>
      </c>
      <c r="V2901" cm="1">
        <f t="array" ref="V2901">_xlfn.IFS(AND(N2901&lt;= 22, S2901=9), N2901-7,AND(N2901&lt;= 28, S2901=9), N2901-25,AND(N2901&lt;= 30, S2901=9), N2901-28,AND(N2901&lt;= 11, S2901=10), N2901+2,AND(N2901&lt;= 21, S2901=10), N2901-11)</f>
        <v>8</v>
      </c>
    </row>
    <row r="2902" spans="1:22" x14ac:dyDescent="0.35">
      <c r="A2902" s="4">
        <v>45571</v>
      </c>
      <c r="B2902" s="5">
        <v>0.94311342592592595</v>
      </c>
      <c r="C2902">
        <v>66.900000000000006</v>
      </c>
      <c r="D2902">
        <v>66.900000000000006</v>
      </c>
      <c r="E2902">
        <v>67.400000000000006</v>
      </c>
      <c r="F2902">
        <v>67</v>
      </c>
      <c r="G2902">
        <v>0</v>
      </c>
      <c r="H2902">
        <v>0</v>
      </c>
      <c r="I2902">
        <v>0</v>
      </c>
      <c r="J2902">
        <v>0</v>
      </c>
      <c r="K2902">
        <v>63.6</v>
      </c>
      <c r="L2902">
        <v>63.8</v>
      </c>
      <c r="M2902">
        <v>67.02</v>
      </c>
      <c r="N2902">
        <v>6</v>
      </c>
      <c r="O2902">
        <v>5</v>
      </c>
      <c r="P2902">
        <f>MOD(DAY(datos_siembra[[#This Row],[Date]]),7)</f>
        <v>6</v>
      </c>
      <c r="Q2902" t="str">
        <f>CHOOSE(WEEKDAY(datos_siembra[[#This Row],[Date]],2),"L","M","X","J","V","S","D")</f>
        <v>D</v>
      </c>
      <c r="R2902">
        <f>WEEKNUM(datos_siembra[[#This Row],[Date]],2)-WEEKNUM(DATE(YEAR(datos_siembra[[#This Row],[Date]]),MONTH(datos_siembra[[#This Row],[Date]]),1))+1</f>
        <v>1</v>
      </c>
      <c r="S2902">
        <f>MONTH(datos_siembra[[#This Row],[Date]])</f>
        <v>10</v>
      </c>
      <c r="T2902" t="str" cm="1">
        <f t="array" ref="T2902">_xlfn.IFS(AND(N2902&lt;= 22, S2902=9), "SOWING",AND(N2902&lt;= 28, S2902=9), "COVERAGE",AND(N2902&lt;= 30, S2902=9), "FLUSH",AND(N2902&lt;= 11, S2902=10), "FLUSH",AND(N2902&lt;= 21, S2902=10), "PRODUCTION")</f>
        <v>FLUSH</v>
      </c>
      <c r="U2902">
        <f>HOUR(datos_siembra[[#This Row],[Hour]])</f>
        <v>22</v>
      </c>
      <c r="V2902" cm="1">
        <f t="array" ref="V2902">_xlfn.IFS(AND(N2902&lt;= 22, S2902=9), N2902-7,AND(N2902&lt;= 28, S2902=9), N2902-25,AND(N2902&lt;= 30, S2902=9), N2902-28,AND(N2902&lt;= 11, S2902=10), N2902+2,AND(N2902&lt;= 21, S2902=10), N2902-11)</f>
        <v>8</v>
      </c>
    </row>
    <row r="2903" spans="1:22" x14ac:dyDescent="0.35">
      <c r="A2903" s="4">
        <v>45571</v>
      </c>
      <c r="B2903" s="5">
        <v>0.95005787037037037</v>
      </c>
      <c r="C2903">
        <v>66.900000000000006</v>
      </c>
      <c r="D2903">
        <v>66.8</v>
      </c>
      <c r="E2903">
        <v>67.400000000000006</v>
      </c>
      <c r="F2903">
        <v>67</v>
      </c>
      <c r="G2903">
        <v>0</v>
      </c>
      <c r="H2903">
        <v>0</v>
      </c>
      <c r="I2903">
        <v>0</v>
      </c>
      <c r="J2903">
        <v>0</v>
      </c>
      <c r="K2903">
        <v>63.6</v>
      </c>
      <c r="L2903">
        <v>63.9</v>
      </c>
      <c r="M2903">
        <v>67.02</v>
      </c>
      <c r="N2903">
        <v>6</v>
      </c>
      <c r="O2903">
        <v>5</v>
      </c>
      <c r="P2903">
        <f>MOD(DAY(datos_siembra[[#This Row],[Date]]),7)</f>
        <v>6</v>
      </c>
      <c r="Q2903" t="str">
        <f>CHOOSE(WEEKDAY(datos_siembra[[#This Row],[Date]],2),"L","M","X","J","V","S","D")</f>
        <v>D</v>
      </c>
      <c r="R2903">
        <f>WEEKNUM(datos_siembra[[#This Row],[Date]],2)-WEEKNUM(DATE(YEAR(datos_siembra[[#This Row],[Date]]),MONTH(datos_siembra[[#This Row],[Date]]),1))+1</f>
        <v>1</v>
      </c>
      <c r="S2903">
        <f>MONTH(datos_siembra[[#This Row],[Date]])</f>
        <v>10</v>
      </c>
      <c r="T2903" t="str" cm="1">
        <f t="array" ref="T2903">_xlfn.IFS(AND(N2903&lt;= 22, S2903=9), "SOWING",AND(N2903&lt;= 28, S2903=9), "COVERAGE",AND(N2903&lt;= 30, S2903=9), "FLUSH",AND(N2903&lt;= 11, S2903=10), "FLUSH",AND(N2903&lt;= 21, S2903=10), "PRODUCTION")</f>
        <v>FLUSH</v>
      </c>
      <c r="U2903">
        <f>HOUR(datos_siembra[[#This Row],[Hour]])</f>
        <v>22</v>
      </c>
      <c r="V2903" cm="1">
        <f t="array" ref="V2903">_xlfn.IFS(AND(N2903&lt;= 22, S2903=9), N2903-7,AND(N2903&lt;= 28, S2903=9), N2903-25,AND(N2903&lt;= 30, S2903=9), N2903-28,AND(N2903&lt;= 11, S2903=10), N2903+2,AND(N2903&lt;= 21, S2903=10), N2903-11)</f>
        <v>8</v>
      </c>
    </row>
    <row r="2904" spans="1:22" x14ac:dyDescent="0.35">
      <c r="A2904" s="4">
        <v>45571</v>
      </c>
      <c r="B2904" s="5">
        <v>0.95701388888888894</v>
      </c>
      <c r="C2904">
        <v>66.900000000000006</v>
      </c>
      <c r="D2904">
        <v>66.8</v>
      </c>
      <c r="E2904">
        <v>67.599999999999994</v>
      </c>
      <c r="F2904">
        <v>67.099999999999994</v>
      </c>
      <c r="G2904">
        <v>0</v>
      </c>
      <c r="H2904">
        <v>0</v>
      </c>
      <c r="I2904">
        <v>0</v>
      </c>
      <c r="J2904">
        <v>0</v>
      </c>
      <c r="K2904">
        <v>63.5</v>
      </c>
      <c r="L2904">
        <v>63.8</v>
      </c>
      <c r="M2904">
        <v>67.02</v>
      </c>
      <c r="N2904">
        <v>6</v>
      </c>
      <c r="O2904">
        <v>5</v>
      </c>
      <c r="P2904">
        <f>MOD(DAY(datos_siembra[[#This Row],[Date]]),7)</f>
        <v>6</v>
      </c>
      <c r="Q2904" t="str">
        <f>CHOOSE(WEEKDAY(datos_siembra[[#This Row],[Date]],2),"L","M","X","J","V","S","D")</f>
        <v>D</v>
      </c>
      <c r="R2904">
        <f>WEEKNUM(datos_siembra[[#This Row],[Date]],2)-WEEKNUM(DATE(YEAR(datos_siembra[[#This Row],[Date]]),MONTH(datos_siembra[[#This Row],[Date]]),1))+1</f>
        <v>1</v>
      </c>
      <c r="S2904">
        <f>MONTH(datos_siembra[[#This Row],[Date]])</f>
        <v>10</v>
      </c>
      <c r="T2904" t="str" cm="1">
        <f t="array" ref="T2904">_xlfn.IFS(AND(N2904&lt;= 22, S2904=9), "SOWING",AND(N2904&lt;= 28, S2904=9), "COVERAGE",AND(N2904&lt;= 30, S2904=9), "FLUSH",AND(N2904&lt;= 11, S2904=10), "FLUSH",AND(N2904&lt;= 21, S2904=10), "PRODUCTION")</f>
        <v>FLUSH</v>
      </c>
      <c r="U2904">
        <f>HOUR(datos_siembra[[#This Row],[Hour]])</f>
        <v>22</v>
      </c>
      <c r="V2904" cm="1">
        <f t="array" ref="V2904">_xlfn.IFS(AND(N2904&lt;= 22, S2904=9), N2904-7,AND(N2904&lt;= 28, S2904=9), N2904-25,AND(N2904&lt;= 30, S2904=9), N2904-28,AND(N2904&lt;= 11, S2904=10), N2904+2,AND(N2904&lt;= 21, S2904=10), N2904-11)</f>
        <v>8</v>
      </c>
    </row>
    <row r="2905" spans="1:22" x14ac:dyDescent="0.35">
      <c r="A2905" s="4">
        <v>45571</v>
      </c>
      <c r="B2905" s="5">
        <v>0.96395833333333336</v>
      </c>
      <c r="C2905">
        <v>66.900000000000006</v>
      </c>
      <c r="D2905">
        <v>66.8</v>
      </c>
      <c r="E2905">
        <v>67.2</v>
      </c>
      <c r="F2905">
        <v>67.099999999999994</v>
      </c>
      <c r="G2905">
        <v>0</v>
      </c>
      <c r="H2905">
        <v>0</v>
      </c>
      <c r="I2905">
        <v>0</v>
      </c>
      <c r="J2905">
        <v>0</v>
      </c>
      <c r="K2905">
        <v>63.6</v>
      </c>
      <c r="L2905">
        <v>63.9</v>
      </c>
      <c r="M2905">
        <v>66.959999999999994</v>
      </c>
      <c r="N2905">
        <v>6</v>
      </c>
      <c r="O2905">
        <v>5</v>
      </c>
      <c r="P2905">
        <f>MOD(DAY(datos_siembra[[#This Row],[Date]]),7)</f>
        <v>6</v>
      </c>
      <c r="Q2905" t="str">
        <f>CHOOSE(WEEKDAY(datos_siembra[[#This Row],[Date]],2),"L","M","X","J","V","S","D")</f>
        <v>D</v>
      </c>
      <c r="R2905">
        <f>WEEKNUM(datos_siembra[[#This Row],[Date]],2)-WEEKNUM(DATE(YEAR(datos_siembra[[#This Row],[Date]]),MONTH(datos_siembra[[#This Row],[Date]]),1))+1</f>
        <v>1</v>
      </c>
      <c r="S2905">
        <f>MONTH(datos_siembra[[#This Row],[Date]])</f>
        <v>10</v>
      </c>
      <c r="T2905" t="str" cm="1">
        <f t="array" ref="T2905">_xlfn.IFS(AND(N2905&lt;= 22, S2905=9), "SOWING",AND(N2905&lt;= 28, S2905=9), "COVERAGE",AND(N2905&lt;= 30, S2905=9), "FLUSH",AND(N2905&lt;= 11, S2905=10), "FLUSH",AND(N2905&lt;= 21, S2905=10), "PRODUCTION")</f>
        <v>FLUSH</v>
      </c>
      <c r="U2905">
        <f>HOUR(datos_siembra[[#This Row],[Hour]])</f>
        <v>23</v>
      </c>
      <c r="V2905" cm="1">
        <f t="array" ref="V2905">_xlfn.IFS(AND(N2905&lt;= 22, S2905=9), N2905-7,AND(N2905&lt;= 28, S2905=9), N2905-25,AND(N2905&lt;= 30, S2905=9), N2905-28,AND(N2905&lt;= 11, S2905=10), N2905+2,AND(N2905&lt;= 21, S2905=10), N2905-11)</f>
        <v>8</v>
      </c>
    </row>
    <row r="2906" spans="1:22" x14ac:dyDescent="0.35">
      <c r="A2906" s="4">
        <v>45571</v>
      </c>
      <c r="B2906" s="5">
        <v>0.97090277777777778</v>
      </c>
      <c r="C2906">
        <v>66.900000000000006</v>
      </c>
      <c r="D2906">
        <v>66.8</v>
      </c>
      <c r="E2906">
        <v>67.3</v>
      </c>
      <c r="F2906">
        <v>67</v>
      </c>
      <c r="G2906">
        <v>0</v>
      </c>
      <c r="H2906">
        <v>0</v>
      </c>
      <c r="I2906">
        <v>0</v>
      </c>
      <c r="J2906">
        <v>0</v>
      </c>
      <c r="K2906">
        <v>63.6</v>
      </c>
      <c r="L2906">
        <v>63.8</v>
      </c>
      <c r="M2906">
        <v>67.099999999999994</v>
      </c>
      <c r="N2906">
        <v>6</v>
      </c>
      <c r="O2906">
        <v>5</v>
      </c>
      <c r="P2906">
        <f>MOD(DAY(datos_siembra[[#This Row],[Date]]),7)</f>
        <v>6</v>
      </c>
      <c r="Q2906" t="str">
        <f>CHOOSE(WEEKDAY(datos_siembra[[#This Row],[Date]],2),"L","M","X","J","V","S","D")</f>
        <v>D</v>
      </c>
      <c r="R2906">
        <f>WEEKNUM(datos_siembra[[#This Row],[Date]],2)-WEEKNUM(DATE(YEAR(datos_siembra[[#This Row],[Date]]),MONTH(datos_siembra[[#This Row],[Date]]),1))+1</f>
        <v>1</v>
      </c>
      <c r="S2906">
        <f>MONTH(datos_siembra[[#This Row],[Date]])</f>
        <v>10</v>
      </c>
      <c r="T2906" t="str" cm="1">
        <f t="array" ref="T2906">_xlfn.IFS(AND(N2906&lt;= 22, S2906=9), "SOWING",AND(N2906&lt;= 28, S2906=9), "COVERAGE",AND(N2906&lt;= 30, S2906=9), "FLUSH",AND(N2906&lt;= 11, S2906=10), "FLUSH",AND(N2906&lt;= 21, S2906=10), "PRODUCTION")</f>
        <v>FLUSH</v>
      </c>
      <c r="U2906">
        <f>HOUR(datos_siembra[[#This Row],[Hour]])</f>
        <v>23</v>
      </c>
      <c r="V2906" cm="1">
        <f t="array" ref="V2906">_xlfn.IFS(AND(N2906&lt;= 22, S2906=9), N2906-7,AND(N2906&lt;= 28, S2906=9), N2906-25,AND(N2906&lt;= 30, S2906=9), N2906-28,AND(N2906&lt;= 11, S2906=10), N2906+2,AND(N2906&lt;= 21, S2906=10), N2906-11)</f>
        <v>8</v>
      </c>
    </row>
    <row r="2907" spans="1:22" x14ac:dyDescent="0.35">
      <c r="A2907" s="4">
        <v>45571</v>
      </c>
      <c r="B2907" s="5">
        <v>0.9778472222222222</v>
      </c>
      <c r="C2907">
        <v>66.900000000000006</v>
      </c>
      <c r="D2907">
        <v>66.8</v>
      </c>
      <c r="E2907">
        <v>67.3</v>
      </c>
      <c r="F2907">
        <v>66.8</v>
      </c>
      <c r="G2907">
        <v>0</v>
      </c>
      <c r="H2907">
        <v>0</v>
      </c>
      <c r="I2907">
        <v>0</v>
      </c>
      <c r="J2907">
        <v>0</v>
      </c>
      <c r="K2907">
        <v>63.5</v>
      </c>
      <c r="L2907">
        <v>63.8</v>
      </c>
      <c r="M2907">
        <v>67.040000000000006</v>
      </c>
      <c r="N2907">
        <v>6</v>
      </c>
      <c r="O2907">
        <v>5</v>
      </c>
      <c r="P2907">
        <f>MOD(DAY(datos_siembra[[#This Row],[Date]]),7)</f>
        <v>6</v>
      </c>
      <c r="Q2907" t="str">
        <f>CHOOSE(WEEKDAY(datos_siembra[[#This Row],[Date]],2),"L","M","X","J","V","S","D")</f>
        <v>D</v>
      </c>
      <c r="R2907">
        <f>WEEKNUM(datos_siembra[[#This Row],[Date]],2)-WEEKNUM(DATE(YEAR(datos_siembra[[#This Row],[Date]]),MONTH(datos_siembra[[#This Row],[Date]]),1))+1</f>
        <v>1</v>
      </c>
      <c r="S2907">
        <f>MONTH(datos_siembra[[#This Row],[Date]])</f>
        <v>10</v>
      </c>
      <c r="T2907" t="str" cm="1">
        <f t="array" ref="T2907">_xlfn.IFS(AND(N2907&lt;= 22, S2907=9), "SOWING",AND(N2907&lt;= 28, S2907=9), "COVERAGE",AND(N2907&lt;= 30, S2907=9), "FLUSH",AND(N2907&lt;= 11, S2907=10), "FLUSH",AND(N2907&lt;= 21, S2907=10), "PRODUCTION")</f>
        <v>FLUSH</v>
      </c>
      <c r="U2907">
        <f>HOUR(datos_siembra[[#This Row],[Hour]])</f>
        <v>23</v>
      </c>
      <c r="V2907" cm="1">
        <f t="array" ref="V2907">_xlfn.IFS(AND(N2907&lt;= 22, S2907=9), N2907-7,AND(N2907&lt;= 28, S2907=9), N2907-25,AND(N2907&lt;= 30, S2907=9), N2907-28,AND(N2907&lt;= 11, S2907=10), N2907+2,AND(N2907&lt;= 21, S2907=10), N2907-11)</f>
        <v>8</v>
      </c>
    </row>
    <row r="2908" spans="1:22" x14ac:dyDescent="0.35">
      <c r="A2908" s="4">
        <v>45571</v>
      </c>
      <c r="B2908" s="5">
        <v>0.98480324074074077</v>
      </c>
      <c r="C2908">
        <v>67</v>
      </c>
      <c r="D2908">
        <v>66.900000000000006</v>
      </c>
      <c r="E2908">
        <v>67.2</v>
      </c>
      <c r="F2908">
        <v>67.099999999999994</v>
      </c>
      <c r="G2908">
        <v>0</v>
      </c>
      <c r="H2908">
        <v>0</v>
      </c>
      <c r="I2908">
        <v>0</v>
      </c>
      <c r="J2908">
        <v>0</v>
      </c>
      <c r="K2908">
        <v>63.5</v>
      </c>
      <c r="L2908">
        <v>63.7</v>
      </c>
      <c r="M2908">
        <v>67.069999999999993</v>
      </c>
      <c r="N2908">
        <v>6</v>
      </c>
      <c r="O2908">
        <v>5</v>
      </c>
      <c r="P2908">
        <f>MOD(DAY(datos_siembra[[#This Row],[Date]]),7)</f>
        <v>6</v>
      </c>
      <c r="Q2908" t="str">
        <f>CHOOSE(WEEKDAY(datos_siembra[[#This Row],[Date]],2),"L","M","X","J","V","S","D")</f>
        <v>D</v>
      </c>
      <c r="R2908">
        <f>WEEKNUM(datos_siembra[[#This Row],[Date]],2)-WEEKNUM(DATE(YEAR(datos_siembra[[#This Row],[Date]]),MONTH(datos_siembra[[#This Row],[Date]]),1))+1</f>
        <v>1</v>
      </c>
      <c r="S2908">
        <f>MONTH(datos_siembra[[#This Row],[Date]])</f>
        <v>10</v>
      </c>
      <c r="T2908" t="str" cm="1">
        <f t="array" ref="T2908">_xlfn.IFS(AND(N2908&lt;= 22, S2908=9), "SOWING",AND(N2908&lt;= 28, S2908=9), "COVERAGE",AND(N2908&lt;= 30, S2908=9), "FLUSH",AND(N2908&lt;= 11, S2908=10), "FLUSH",AND(N2908&lt;= 21, S2908=10), "PRODUCTION")</f>
        <v>FLUSH</v>
      </c>
      <c r="U2908">
        <f>HOUR(datos_siembra[[#This Row],[Hour]])</f>
        <v>23</v>
      </c>
      <c r="V2908" cm="1">
        <f t="array" ref="V2908">_xlfn.IFS(AND(N2908&lt;= 22, S2908=9), N2908-7,AND(N2908&lt;= 28, S2908=9), N2908-25,AND(N2908&lt;= 30, S2908=9), N2908-28,AND(N2908&lt;= 11, S2908=10), N2908+2,AND(N2908&lt;= 21, S2908=10), N2908-11)</f>
        <v>8</v>
      </c>
    </row>
    <row r="2909" spans="1:22" x14ac:dyDescent="0.35">
      <c r="A2909" s="4">
        <v>45571</v>
      </c>
      <c r="B2909" s="5">
        <v>0.99174768518518519</v>
      </c>
      <c r="C2909">
        <v>66.900000000000006</v>
      </c>
      <c r="D2909">
        <v>66.900000000000006</v>
      </c>
      <c r="E2909">
        <v>67.599999999999994</v>
      </c>
      <c r="F2909">
        <v>66.8</v>
      </c>
      <c r="G2909">
        <v>0</v>
      </c>
      <c r="H2909">
        <v>0</v>
      </c>
      <c r="I2909">
        <v>0</v>
      </c>
      <c r="J2909">
        <v>0</v>
      </c>
      <c r="K2909">
        <v>63.5</v>
      </c>
      <c r="L2909">
        <v>63.8</v>
      </c>
      <c r="M2909">
        <v>67.040000000000006</v>
      </c>
      <c r="N2909">
        <v>6</v>
      </c>
      <c r="O2909">
        <v>5</v>
      </c>
      <c r="P2909">
        <f>MOD(DAY(datos_siembra[[#This Row],[Date]]),7)</f>
        <v>6</v>
      </c>
      <c r="Q2909" t="str">
        <f>CHOOSE(WEEKDAY(datos_siembra[[#This Row],[Date]],2),"L","M","X","J","V","S","D")</f>
        <v>D</v>
      </c>
      <c r="R2909">
        <f>WEEKNUM(datos_siembra[[#This Row],[Date]],2)-WEEKNUM(DATE(YEAR(datos_siembra[[#This Row],[Date]]),MONTH(datos_siembra[[#This Row],[Date]]),1))+1</f>
        <v>1</v>
      </c>
      <c r="S2909">
        <f>MONTH(datos_siembra[[#This Row],[Date]])</f>
        <v>10</v>
      </c>
      <c r="T2909" t="str" cm="1">
        <f t="array" ref="T2909">_xlfn.IFS(AND(N2909&lt;= 22, S2909=9), "SOWING",AND(N2909&lt;= 28, S2909=9), "COVERAGE",AND(N2909&lt;= 30, S2909=9), "FLUSH",AND(N2909&lt;= 11, S2909=10), "FLUSH",AND(N2909&lt;= 21, S2909=10), "PRODUCTION")</f>
        <v>FLUSH</v>
      </c>
      <c r="U2909">
        <f>HOUR(datos_siembra[[#This Row],[Hour]])</f>
        <v>23</v>
      </c>
      <c r="V2909" cm="1">
        <f t="array" ref="V2909">_xlfn.IFS(AND(N2909&lt;= 22, S2909=9), N2909-7,AND(N2909&lt;= 28, S2909=9), N2909-25,AND(N2909&lt;= 30, S2909=9), N2909-28,AND(N2909&lt;= 11, S2909=10), N2909+2,AND(N2909&lt;= 21, S2909=10), N2909-11)</f>
        <v>8</v>
      </c>
    </row>
    <row r="2910" spans="1:22" x14ac:dyDescent="0.35">
      <c r="A2910" s="4">
        <v>45571</v>
      </c>
      <c r="B2910" s="5">
        <v>0.99869212962962961</v>
      </c>
      <c r="C2910">
        <v>67</v>
      </c>
      <c r="D2910">
        <v>66.900000000000006</v>
      </c>
      <c r="E2910">
        <v>67.2</v>
      </c>
      <c r="F2910">
        <v>67.099999999999994</v>
      </c>
      <c r="G2910">
        <v>0</v>
      </c>
      <c r="H2910">
        <v>0</v>
      </c>
      <c r="I2910">
        <v>0</v>
      </c>
      <c r="J2910">
        <v>0</v>
      </c>
      <c r="K2910">
        <v>63.5</v>
      </c>
      <c r="L2910">
        <v>63.8</v>
      </c>
      <c r="M2910">
        <v>67.040000000000006</v>
      </c>
      <c r="N2910">
        <v>6</v>
      </c>
      <c r="O2910">
        <v>5</v>
      </c>
      <c r="P2910">
        <f>MOD(DAY(datos_siembra[[#This Row],[Date]]),7)</f>
        <v>6</v>
      </c>
      <c r="Q2910" t="str">
        <f>CHOOSE(WEEKDAY(datos_siembra[[#This Row],[Date]],2),"L","M","X","J","V","S","D")</f>
        <v>D</v>
      </c>
      <c r="R2910">
        <f>WEEKNUM(datos_siembra[[#This Row],[Date]],2)-WEEKNUM(DATE(YEAR(datos_siembra[[#This Row],[Date]]),MONTH(datos_siembra[[#This Row],[Date]]),1))+1</f>
        <v>1</v>
      </c>
      <c r="S2910">
        <f>MONTH(datos_siembra[[#This Row],[Date]])</f>
        <v>10</v>
      </c>
      <c r="T2910" t="str" cm="1">
        <f t="array" ref="T2910">_xlfn.IFS(AND(N2910&lt;= 22, S2910=9), "SOWING",AND(N2910&lt;= 28, S2910=9), "COVERAGE",AND(N2910&lt;= 30, S2910=9), "FLUSH",AND(N2910&lt;= 11, S2910=10), "FLUSH",AND(N2910&lt;= 21, S2910=10), "PRODUCTION")</f>
        <v>FLUSH</v>
      </c>
      <c r="U2910">
        <f>HOUR(datos_siembra[[#This Row],[Hour]])</f>
        <v>23</v>
      </c>
      <c r="V2910" cm="1">
        <f t="array" ref="V2910">_xlfn.IFS(AND(N2910&lt;= 22, S2910=9), N2910-7,AND(N2910&lt;= 28, S2910=9), N2910-25,AND(N2910&lt;= 30, S2910=9), N2910-28,AND(N2910&lt;= 11, S2910=10), N2910+2,AND(N2910&lt;= 21, S2910=10), N2910-11)</f>
        <v>8</v>
      </c>
    </row>
    <row r="2911" spans="1:22" x14ac:dyDescent="0.35">
      <c r="A2911" s="4">
        <v>45572</v>
      </c>
      <c r="B2911" s="5">
        <v>5.6481481481481478E-3</v>
      </c>
      <c r="C2911">
        <v>66.900000000000006</v>
      </c>
      <c r="D2911">
        <v>66.900000000000006</v>
      </c>
      <c r="E2911">
        <v>67.400000000000006</v>
      </c>
      <c r="F2911">
        <v>67.099999999999994</v>
      </c>
      <c r="G2911">
        <v>0</v>
      </c>
      <c r="H2911">
        <v>0</v>
      </c>
      <c r="I2911">
        <v>0</v>
      </c>
      <c r="J2911">
        <v>0</v>
      </c>
      <c r="K2911">
        <v>63.4</v>
      </c>
      <c r="L2911">
        <v>63.6</v>
      </c>
      <c r="M2911">
        <v>67.040000000000006</v>
      </c>
      <c r="N2911">
        <v>7</v>
      </c>
      <c r="O2911">
        <v>6</v>
      </c>
      <c r="P2911">
        <f>MOD(DAY(datos_siembra[[#This Row],[Date]]),7)</f>
        <v>0</v>
      </c>
      <c r="Q2911" t="str">
        <f>CHOOSE(WEEKDAY(datos_siembra[[#This Row],[Date]],2),"L","M","X","J","V","S","D")</f>
        <v>L</v>
      </c>
      <c r="R2911">
        <f>WEEKNUM(datos_siembra[[#This Row],[Date]],2)-WEEKNUM(DATE(YEAR(datos_siembra[[#This Row],[Date]]),MONTH(datos_siembra[[#This Row],[Date]]),1))+1</f>
        <v>2</v>
      </c>
      <c r="S2911">
        <f>MONTH(datos_siembra[[#This Row],[Date]])</f>
        <v>10</v>
      </c>
      <c r="T2911" t="str" cm="1">
        <f t="array" ref="T2911">_xlfn.IFS(AND(N2911&lt;= 22, S2911=9), "SOWING",AND(N2911&lt;= 28, S2911=9), "COVERAGE",AND(N2911&lt;= 30, S2911=9), "FLUSH",AND(N2911&lt;= 11, S2911=10), "FLUSH",AND(N2911&lt;= 21, S2911=10), "PRODUCTION")</f>
        <v>FLUSH</v>
      </c>
      <c r="U2911">
        <f>HOUR(datos_siembra[[#This Row],[Hour]])</f>
        <v>0</v>
      </c>
      <c r="V2911" cm="1">
        <f t="array" ref="V2911">_xlfn.IFS(AND(N2911&lt;= 22, S2911=9), N2911-7,AND(N2911&lt;= 28, S2911=9), N2911-25,AND(N2911&lt;= 30, S2911=9), N2911-28,AND(N2911&lt;= 11, S2911=10), N2911+2,AND(N2911&lt;= 21, S2911=10), N2911-11)</f>
        <v>9</v>
      </c>
    </row>
    <row r="2912" spans="1:22" x14ac:dyDescent="0.35">
      <c r="A2912" s="4">
        <v>45572</v>
      </c>
      <c r="B2912" s="5">
        <v>1.2592592592592593E-2</v>
      </c>
      <c r="C2912">
        <v>66.8</v>
      </c>
      <c r="D2912">
        <v>66.8</v>
      </c>
      <c r="E2912">
        <v>67.7</v>
      </c>
      <c r="F2912">
        <v>67.099999999999994</v>
      </c>
      <c r="G2912">
        <v>0</v>
      </c>
      <c r="H2912">
        <v>0</v>
      </c>
      <c r="I2912">
        <v>0</v>
      </c>
      <c r="J2912">
        <v>0</v>
      </c>
      <c r="K2912">
        <v>63.3</v>
      </c>
      <c r="L2912">
        <v>63.7</v>
      </c>
      <c r="M2912">
        <v>67.069999999999993</v>
      </c>
      <c r="N2912">
        <v>7</v>
      </c>
      <c r="O2912">
        <v>6</v>
      </c>
      <c r="P2912">
        <f>MOD(DAY(datos_siembra[[#This Row],[Date]]),7)</f>
        <v>0</v>
      </c>
      <c r="Q2912" t="str">
        <f>CHOOSE(WEEKDAY(datos_siembra[[#This Row],[Date]],2),"L","M","X","J","V","S","D")</f>
        <v>L</v>
      </c>
      <c r="R2912">
        <f>WEEKNUM(datos_siembra[[#This Row],[Date]],2)-WEEKNUM(DATE(YEAR(datos_siembra[[#This Row],[Date]]),MONTH(datos_siembra[[#This Row],[Date]]),1))+1</f>
        <v>2</v>
      </c>
      <c r="S2912">
        <f>MONTH(datos_siembra[[#This Row],[Date]])</f>
        <v>10</v>
      </c>
      <c r="T2912" t="str" cm="1">
        <f t="array" ref="T2912">_xlfn.IFS(AND(N2912&lt;= 22, S2912=9), "SOWING",AND(N2912&lt;= 28, S2912=9), "COVERAGE",AND(N2912&lt;= 30, S2912=9), "FLUSH",AND(N2912&lt;= 11, S2912=10), "FLUSH",AND(N2912&lt;= 21, S2912=10), "PRODUCTION")</f>
        <v>FLUSH</v>
      </c>
      <c r="U2912">
        <f>HOUR(datos_siembra[[#This Row],[Hour]])</f>
        <v>0</v>
      </c>
      <c r="V2912" cm="1">
        <f t="array" ref="V2912">_xlfn.IFS(AND(N2912&lt;= 22, S2912=9), N2912-7,AND(N2912&lt;= 28, S2912=9), N2912-25,AND(N2912&lt;= 30, S2912=9), N2912-28,AND(N2912&lt;= 11, S2912=10), N2912+2,AND(N2912&lt;= 21, S2912=10), N2912-11)</f>
        <v>9</v>
      </c>
    </row>
    <row r="2913" spans="1:22" x14ac:dyDescent="0.35">
      <c r="A2913" s="4">
        <v>45572</v>
      </c>
      <c r="B2913" s="5">
        <v>1.9537037037037037E-2</v>
      </c>
      <c r="C2913">
        <v>66.900000000000006</v>
      </c>
      <c r="D2913">
        <v>66.900000000000006</v>
      </c>
      <c r="E2913">
        <v>67.400000000000006</v>
      </c>
      <c r="F2913">
        <v>67</v>
      </c>
      <c r="G2913">
        <v>0</v>
      </c>
      <c r="H2913">
        <v>0</v>
      </c>
      <c r="I2913">
        <v>0</v>
      </c>
      <c r="J2913">
        <v>0</v>
      </c>
      <c r="K2913">
        <v>63.3</v>
      </c>
      <c r="L2913">
        <v>63.6</v>
      </c>
      <c r="M2913">
        <v>67.040000000000006</v>
      </c>
      <c r="N2913">
        <v>7</v>
      </c>
      <c r="O2913">
        <v>6</v>
      </c>
      <c r="P2913">
        <f>MOD(DAY(datos_siembra[[#This Row],[Date]]),7)</f>
        <v>0</v>
      </c>
      <c r="Q2913" t="str">
        <f>CHOOSE(WEEKDAY(datos_siembra[[#This Row],[Date]],2),"L","M","X","J","V","S","D")</f>
        <v>L</v>
      </c>
      <c r="R2913">
        <f>WEEKNUM(datos_siembra[[#This Row],[Date]],2)-WEEKNUM(DATE(YEAR(datos_siembra[[#This Row],[Date]]),MONTH(datos_siembra[[#This Row],[Date]]),1))+1</f>
        <v>2</v>
      </c>
      <c r="S2913">
        <f>MONTH(datos_siembra[[#This Row],[Date]])</f>
        <v>10</v>
      </c>
      <c r="T2913" t="str" cm="1">
        <f t="array" ref="T2913">_xlfn.IFS(AND(N2913&lt;= 22, S2913=9), "SOWING",AND(N2913&lt;= 28, S2913=9), "COVERAGE",AND(N2913&lt;= 30, S2913=9), "FLUSH",AND(N2913&lt;= 11, S2913=10), "FLUSH",AND(N2913&lt;= 21, S2913=10), "PRODUCTION")</f>
        <v>FLUSH</v>
      </c>
      <c r="U2913">
        <f>HOUR(datos_siembra[[#This Row],[Hour]])</f>
        <v>0</v>
      </c>
      <c r="V2913" cm="1">
        <f t="array" ref="V2913">_xlfn.IFS(AND(N2913&lt;= 22, S2913=9), N2913-7,AND(N2913&lt;= 28, S2913=9), N2913-25,AND(N2913&lt;= 30, S2913=9), N2913-28,AND(N2913&lt;= 11, S2913=10), N2913+2,AND(N2913&lt;= 21, S2913=10), N2913-11)</f>
        <v>9</v>
      </c>
    </row>
    <row r="2914" spans="1:22" x14ac:dyDescent="0.35">
      <c r="A2914" s="4">
        <v>45572</v>
      </c>
      <c r="B2914" s="5">
        <v>2.6481481481481481E-2</v>
      </c>
      <c r="C2914">
        <v>66.900000000000006</v>
      </c>
      <c r="D2914">
        <v>66.900000000000006</v>
      </c>
      <c r="E2914">
        <v>67.3</v>
      </c>
      <c r="F2914">
        <v>67</v>
      </c>
      <c r="G2914">
        <v>0</v>
      </c>
      <c r="H2914">
        <v>0</v>
      </c>
      <c r="I2914">
        <v>0</v>
      </c>
      <c r="J2914">
        <v>0</v>
      </c>
      <c r="K2914">
        <v>63.3</v>
      </c>
      <c r="L2914">
        <v>63.7</v>
      </c>
      <c r="M2914">
        <v>67.02</v>
      </c>
      <c r="N2914">
        <v>7</v>
      </c>
      <c r="O2914">
        <v>6</v>
      </c>
      <c r="P2914">
        <f>MOD(DAY(datos_siembra[[#This Row],[Date]]),7)</f>
        <v>0</v>
      </c>
      <c r="Q2914" t="str">
        <f>CHOOSE(WEEKDAY(datos_siembra[[#This Row],[Date]],2),"L","M","X","J","V","S","D")</f>
        <v>L</v>
      </c>
      <c r="R2914">
        <f>WEEKNUM(datos_siembra[[#This Row],[Date]],2)-WEEKNUM(DATE(YEAR(datos_siembra[[#This Row],[Date]]),MONTH(datos_siembra[[#This Row],[Date]]),1))+1</f>
        <v>2</v>
      </c>
      <c r="S2914">
        <f>MONTH(datos_siembra[[#This Row],[Date]])</f>
        <v>10</v>
      </c>
      <c r="T2914" t="str" cm="1">
        <f t="array" ref="T2914">_xlfn.IFS(AND(N2914&lt;= 22, S2914=9), "SOWING",AND(N2914&lt;= 28, S2914=9), "COVERAGE",AND(N2914&lt;= 30, S2914=9), "FLUSH",AND(N2914&lt;= 11, S2914=10), "FLUSH",AND(N2914&lt;= 21, S2914=10), "PRODUCTION")</f>
        <v>FLUSH</v>
      </c>
      <c r="U2914">
        <f>HOUR(datos_siembra[[#This Row],[Hour]])</f>
        <v>0</v>
      </c>
      <c r="V2914" cm="1">
        <f t="array" ref="V2914">_xlfn.IFS(AND(N2914&lt;= 22, S2914=9), N2914-7,AND(N2914&lt;= 28, S2914=9), N2914-25,AND(N2914&lt;= 30, S2914=9), N2914-28,AND(N2914&lt;= 11, S2914=10), N2914+2,AND(N2914&lt;= 21, S2914=10), N2914-11)</f>
        <v>9</v>
      </c>
    </row>
    <row r="2915" spans="1:22" x14ac:dyDescent="0.35">
      <c r="A2915" s="4">
        <v>45572</v>
      </c>
      <c r="B2915" s="5">
        <v>3.3437500000000002E-2</v>
      </c>
      <c r="C2915">
        <v>67</v>
      </c>
      <c r="D2915">
        <v>66.900000000000006</v>
      </c>
      <c r="E2915">
        <v>67.400000000000006</v>
      </c>
      <c r="F2915">
        <v>67.099999999999994</v>
      </c>
      <c r="G2915">
        <v>0</v>
      </c>
      <c r="H2915">
        <v>0</v>
      </c>
      <c r="I2915">
        <v>0</v>
      </c>
      <c r="J2915">
        <v>0</v>
      </c>
      <c r="K2915">
        <v>63.4</v>
      </c>
      <c r="L2915">
        <v>63.6</v>
      </c>
      <c r="M2915">
        <v>67.099999999999994</v>
      </c>
      <c r="N2915">
        <v>7</v>
      </c>
      <c r="O2915">
        <v>6</v>
      </c>
      <c r="P2915">
        <f>MOD(DAY(datos_siembra[[#This Row],[Date]]),7)</f>
        <v>0</v>
      </c>
      <c r="Q2915" t="str">
        <f>CHOOSE(WEEKDAY(datos_siembra[[#This Row],[Date]],2),"L","M","X","J","V","S","D")</f>
        <v>L</v>
      </c>
      <c r="R2915">
        <f>WEEKNUM(datos_siembra[[#This Row],[Date]],2)-WEEKNUM(DATE(YEAR(datos_siembra[[#This Row],[Date]]),MONTH(datos_siembra[[#This Row],[Date]]),1))+1</f>
        <v>2</v>
      </c>
      <c r="S2915">
        <f>MONTH(datos_siembra[[#This Row],[Date]])</f>
        <v>10</v>
      </c>
      <c r="T2915" t="str" cm="1">
        <f t="array" ref="T2915">_xlfn.IFS(AND(N2915&lt;= 22, S2915=9), "SOWING",AND(N2915&lt;= 28, S2915=9), "COVERAGE",AND(N2915&lt;= 30, S2915=9), "FLUSH",AND(N2915&lt;= 11, S2915=10), "FLUSH",AND(N2915&lt;= 21, S2915=10), "PRODUCTION")</f>
        <v>FLUSH</v>
      </c>
      <c r="U2915">
        <f>HOUR(datos_siembra[[#This Row],[Hour]])</f>
        <v>0</v>
      </c>
      <c r="V2915" cm="1">
        <f t="array" ref="V2915">_xlfn.IFS(AND(N2915&lt;= 22, S2915=9), N2915-7,AND(N2915&lt;= 28, S2915=9), N2915-25,AND(N2915&lt;= 30, S2915=9), N2915-28,AND(N2915&lt;= 11, S2915=10), N2915+2,AND(N2915&lt;= 21, S2915=10), N2915-11)</f>
        <v>9</v>
      </c>
    </row>
    <row r="2916" spans="1:22" x14ac:dyDescent="0.35">
      <c r="A2916" s="4">
        <v>45572</v>
      </c>
      <c r="B2916" s="5">
        <v>4.0381944444444443E-2</v>
      </c>
      <c r="C2916">
        <v>66.900000000000006</v>
      </c>
      <c r="D2916">
        <v>66.900000000000006</v>
      </c>
      <c r="E2916">
        <v>67.400000000000006</v>
      </c>
      <c r="F2916">
        <v>67.099999999999994</v>
      </c>
      <c r="G2916">
        <v>0</v>
      </c>
      <c r="H2916">
        <v>0</v>
      </c>
      <c r="I2916">
        <v>0</v>
      </c>
      <c r="J2916">
        <v>0</v>
      </c>
      <c r="K2916">
        <v>63.3</v>
      </c>
      <c r="L2916">
        <v>63.6</v>
      </c>
      <c r="M2916">
        <v>67.13</v>
      </c>
      <c r="N2916">
        <v>7</v>
      </c>
      <c r="O2916">
        <v>6</v>
      </c>
      <c r="P2916">
        <f>MOD(DAY(datos_siembra[[#This Row],[Date]]),7)</f>
        <v>0</v>
      </c>
      <c r="Q2916" t="str">
        <f>CHOOSE(WEEKDAY(datos_siembra[[#This Row],[Date]],2),"L","M","X","J","V","S","D")</f>
        <v>L</v>
      </c>
      <c r="R2916">
        <f>WEEKNUM(datos_siembra[[#This Row],[Date]],2)-WEEKNUM(DATE(YEAR(datos_siembra[[#This Row],[Date]]),MONTH(datos_siembra[[#This Row],[Date]]),1))+1</f>
        <v>2</v>
      </c>
      <c r="S2916">
        <f>MONTH(datos_siembra[[#This Row],[Date]])</f>
        <v>10</v>
      </c>
      <c r="T2916" t="str" cm="1">
        <f t="array" ref="T2916">_xlfn.IFS(AND(N2916&lt;= 22, S2916=9), "SOWING",AND(N2916&lt;= 28, S2916=9), "COVERAGE",AND(N2916&lt;= 30, S2916=9), "FLUSH",AND(N2916&lt;= 11, S2916=10), "FLUSH",AND(N2916&lt;= 21, S2916=10), "PRODUCTION")</f>
        <v>FLUSH</v>
      </c>
      <c r="U2916">
        <f>HOUR(datos_siembra[[#This Row],[Hour]])</f>
        <v>0</v>
      </c>
      <c r="V2916" cm="1">
        <f t="array" ref="V2916">_xlfn.IFS(AND(N2916&lt;= 22, S2916=9), N2916-7,AND(N2916&lt;= 28, S2916=9), N2916-25,AND(N2916&lt;= 30, S2916=9), N2916-28,AND(N2916&lt;= 11, S2916=10), N2916+2,AND(N2916&lt;= 21, S2916=10), N2916-11)</f>
        <v>9</v>
      </c>
    </row>
    <row r="2917" spans="1:22" x14ac:dyDescent="0.35">
      <c r="A2917" s="4">
        <v>45572</v>
      </c>
      <c r="B2917" s="5">
        <v>4.732638888888889E-2</v>
      </c>
      <c r="C2917">
        <v>67</v>
      </c>
      <c r="D2917">
        <v>66.900000000000006</v>
      </c>
      <c r="E2917">
        <v>67.599999999999994</v>
      </c>
      <c r="F2917">
        <v>67.099999999999994</v>
      </c>
      <c r="G2917">
        <v>0</v>
      </c>
      <c r="H2917">
        <v>0</v>
      </c>
      <c r="I2917">
        <v>0</v>
      </c>
      <c r="J2917">
        <v>0</v>
      </c>
      <c r="K2917">
        <v>63.3</v>
      </c>
      <c r="L2917">
        <v>63.6</v>
      </c>
      <c r="M2917">
        <v>67.099999999999994</v>
      </c>
      <c r="N2917">
        <v>7</v>
      </c>
      <c r="O2917">
        <v>6</v>
      </c>
      <c r="P2917">
        <f>MOD(DAY(datos_siembra[[#This Row],[Date]]),7)</f>
        <v>0</v>
      </c>
      <c r="Q2917" t="str">
        <f>CHOOSE(WEEKDAY(datos_siembra[[#This Row],[Date]],2),"L","M","X","J","V","S","D")</f>
        <v>L</v>
      </c>
      <c r="R2917">
        <f>WEEKNUM(datos_siembra[[#This Row],[Date]],2)-WEEKNUM(DATE(YEAR(datos_siembra[[#This Row],[Date]]),MONTH(datos_siembra[[#This Row],[Date]]),1))+1</f>
        <v>2</v>
      </c>
      <c r="S2917">
        <f>MONTH(datos_siembra[[#This Row],[Date]])</f>
        <v>10</v>
      </c>
      <c r="T2917" t="str" cm="1">
        <f t="array" ref="T2917">_xlfn.IFS(AND(N2917&lt;= 22, S2917=9), "SOWING",AND(N2917&lt;= 28, S2917=9), "COVERAGE",AND(N2917&lt;= 30, S2917=9), "FLUSH",AND(N2917&lt;= 11, S2917=10), "FLUSH",AND(N2917&lt;= 21, S2917=10), "PRODUCTION")</f>
        <v>FLUSH</v>
      </c>
      <c r="U2917">
        <f>HOUR(datos_siembra[[#This Row],[Hour]])</f>
        <v>1</v>
      </c>
      <c r="V2917" cm="1">
        <f t="array" ref="V2917">_xlfn.IFS(AND(N2917&lt;= 22, S2917=9), N2917-7,AND(N2917&lt;= 28, S2917=9), N2917-25,AND(N2917&lt;= 30, S2917=9), N2917-28,AND(N2917&lt;= 11, S2917=10), N2917+2,AND(N2917&lt;= 21, S2917=10), N2917-11)</f>
        <v>9</v>
      </c>
    </row>
    <row r="2918" spans="1:22" x14ac:dyDescent="0.35">
      <c r="A2918" s="4">
        <v>45572</v>
      </c>
      <c r="B2918" s="5">
        <v>5.4282407407407404E-2</v>
      </c>
      <c r="C2918">
        <v>66.900000000000006</v>
      </c>
      <c r="D2918">
        <v>66.8</v>
      </c>
      <c r="E2918">
        <v>67.7</v>
      </c>
      <c r="F2918">
        <v>67.2</v>
      </c>
      <c r="G2918">
        <v>0</v>
      </c>
      <c r="H2918">
        <v>0</v>
      </c>
      <c r="I2918">
        <v>0</v>
      </c>
      <c r="J2918">
        <v>0</v>
      </c>
      <c r="K2918">
        <v>63.2</v>
      </c>
      <c r="L2918">
        <v>63.5</v>
      </c>
      <c r="M2918">
        <v>67.13</v>
      </c>
      <c r="N2918">
        <v>7</v>
      </c>
      <c r="O2918">
        <v>6</v>
      </c>
      <c r="P2918">
        <f>MOD(DAY(datos_siembra[[#This Row],[Date]]),7)</f>
        <v>0</v>
      </c>
      <c r="Q2918" t="str">
        <f>CHOOSE(WEEKDAY(datos_siembra[[#This Row],[Date]],2),"L","M","X","J","V","S","D")</f>
        <v>L</v>
      </c>
      <c r="R2918">
        <f>WEEKNUM(datos_siembra[[#This Row],[Date]],2)-WEEKNUM(DATE(YEAR(datos_siembra[[#This Row],[Date]]),MONTH(datos_siembra[[#This Row],[Date]]),1))+1</f>
        <v>2</v>
      </c>
      <c r="S2918">
        <f>MONTH(datos_siembra[[#This Row],[Date]])</f>
        <v>10</v>
      </c>
      <c r="T2918" t="str" cm="1">
        <f t="array" ref="T2918">_xlfn.IFS(AND(N2918&lt;= 22, S2918=9), "SOWING",AND(N2918&lt;= 28, S2918=9), "COVERAGE",AND(N2918&lt;= 30, S2918=9), "FLUSH",AND(N2918&lt;= 11, S2918=10), "FLUSH",AND(N2918&lt;= 21, S2918=10), "PRODUCTION")</f>
        <v>FLUSH</v>
      </c>
      <c r="U2918">
        <f>HOUR(datos_siembra[[#This Row],[Hour]])</f>
        <v>1</v>
      </c>
      <c r="V2918" cm="1">
        <f t="array" ref="V2918">_xlfn.IFS(AND(N2918&lt;= 22, S2918=9), N2918-7,AND(N2918&lt;= 28, S2918=9), N2918-25,AND(N2918&lt;= 30, S2918=9), N2918-28,AND(N2918&lt;= 11, S2918=10), N2918+2,AND(N2918&lt;= 21, S2918=10), N2918-11)</f>
        <v>9</v>
      </c>
    </row>
    <row r="2919" spans="1:22" x14ac:dyDescent="0.35">
      <c r="A2919" s="4">
        <v>45572</v>
      </c>
      <c r="B2919" s="5">
        <v>6.1226851851851852E-2</v>
      </c>
      <c r="C2919">
        <v>67</v>
      </c>
      <c r="D2919">
        <v>66.900000000000006</v>
      </c>
      <c r="E2919">
        <v>67.2</v>
      </c>
      <c r="F2919">
        <v>67.099999999999994</v>
      </c>
      <c r="G2919">
        <v>0</v>
      </c>
      <c r="H2919">
        <v>0</v>
      </c>
      <c r="I2919">
        <v>0</v>
      </c>
      <c r="J2919">
        <v>0</v>
      </c>
      <c r="K2919">
        <v>63.2</v>
      </c>
      <c r="L2919">
        <v>63.5</v>
      </c>
      <c r="M2919">
        <v>67.069999999999993</v>
      </c>
      <c r="N2919">
        <v>7</v>
      </c>
      <c r="O2919">
        <v>6</v>
      </c>
      <c r="P2919">
        <f>MOD(DAY(datos_siembra[[#This Row],[Date]]),7)</f>
        <v>0</v>
      </c>
      <c r="Q2919" t="str">
        <f>CHOOSE(WEEKDAY(datos_siembra[[#This Row],[Date]],2),"L","M","X","J","V","S","D")</f>
        <v>L</v>
      </c>
      <c r="R2919">
        <f>WEEKNUM(datos_siembra[[#This Row],[Date]],2)-WEEKNUM(DATE(YEAR(datos_siembra[[#This Row],[Date]]),MONTH(datos_siembra[[#This Row],[Date]]),1))+1</f>
        <v>2</v>
      </c>
      <c r="S2919">
        <f>MONTH(datos_siembra[[#This Row],[Date]])</f>
        <v>10</v>
      </c>
      <c r="T2919" t="str" cm="1">
        <f t="array" ref="T2919">_xlfn.IFS(AND(N2919&lt;= 22, S2919=9), "SOWING",AND(N2919&lt;= 28, S2919=9), "COVERAGE",AND(N2919&lt;= 30, S2919=9), "FLUSH",AND(N2919&lt;= 11, S2919=10), "FLUSH",AND(N2919&lt;= 21, S2919=10), "PRODUCTION")</f>
        <v>FLUSH</v>
      </c>
      <c r="U2919">
        <f>HOUR(datos_siembra[[#This Row],[Hour]])</f>
        <v>1</v>
      </c>
      <c r="V2919" cm="1">
        <f t="array" ref="V2919">_xlfn.IFS(AND(N2919&lt;= 22, S2919=9), N2919-7,AND(N2919&lt;= 28, S2919=9), N2919-25,AND(N2919&lt;= 30, S2919=9), N2919-28,AND(N2919&lt;= 11, S2919=10), N2919+2,AND(N2919&lt;= 21, S2919=10), N2919-11)</f>
        <v>9</v>
      </c>
    </row>
    <row r="2920" spans="1:22" x14ac:dyDescent="0.35">
      <c r="A2920" s="4">
        <v>45572</v>
      </c>
      <c r="B2920" s="5">
        <v>6.8171296296296299E-2</v>
      </c>
      <c r="C2920">
        <v>67</v>
      </c>
      <c r="D2920">
        <v>66.900000000000006</v>
      </c>
      <c r="E2920">
        <v>67.599999999999994</v>
      </c>
      <c r="F2920">
        <v>67</v>
      </c>
      <c r="G2920">
        <v>0</v>
      </c>
      <c r="H2920">
        <v>0</v>
      </c>
      <c r="I2920">
        <v>0</v>
      </c>
      <c r="J2920">
        <v>0</v>
      </c>
      <c r="K2920">
        <v>63.2</v>
      </c>
      <c r="L2920">
        <v>63.4</v>
      </c>
      <c r="M2920">
        <v>67.209999999999994</v>
      </c>
      <c r="N2920">
        <v>7</v>
      </c>
      <c r="O2920">
        <v>6</v>
      </c>
      <c r="P2920">
        <f>MOD(DAY(datos_siembra[[#This Row],[Date]]),7)</f>
        <v>0</v>
      </c>
      <c r="Q2920" t="str">
        <f>CHOOSE(WEEKDAY(datos_siembra[[#This Row],[Date]],2),"L","M","X","J","V","S","D")</f>
        <v>L</v>
      </c>
      <c r="R2920">
        <f>WEEKNUM(datos_siembra[[#This Row],[Date]],2)-WEEKNUM(DATE(YEAR(datos_siembra[[#This Row],[Date]]),MONTH(datos_siembra[[#This Row],[Date]]),1))+1</f>
        <v>2</v>
      </c>
      <c r="S2920">
        <f>MONTH(datos_siembra[[#This Row],[Date]])</f>
        <v>10</v>
      </c>
      <c r="T2920" t="str" cm="1">
        <f t="array" ref="T2920">_xlfn.IFS(AND(N2920&lt;= 22, S2920=9), "SOWING",AND(N2920&lt;= 28, S2920=9), "COVERAGE",AND(N2920&lt;= 30, S2920=9), "FLUSH",AND(N2920&lt;= 11, S2920=10), "FLUSH",AND(N2920&lt;= 21, S2920=10), "PRODUCTION")</f>
        <v>FLUSH</v>
      </c>
      <c r="U2920">
        <f>HOUR(datos_siembra[[#This Row],[Hour]])</f>
        <v>1</v>
      </c>
      <c r="V2920" cm="1">
        <f t="array" ref="V2920">_xlfn.IFS(AND(N2920&lt;= 22, S2920=9), N2920-7,AND(N2920&lt;= 28, S2920=9), N2920-25,AND(N2920&lt;= 30, S2920=9), N2920-28,AND(N2920&lt;= 11, S2920=10), N2920+2,AND(N2920&lt;= 21, S2920=10), N2920-11)</f>
        <v>9</v>
      </c>
    </row>
    <row r="2921" spans="1:22" x14ac:dyDescent="0.35">
      <c r="A2921" s="4">
        <v>45572</v>
      </c>
      <c r="B2921" s="5">
        <v>7.5115740740740747E-2</v>
      </c>
      <c r="C2921">
        <v>67.099999999999994</v>
      </c>
      <c r="D2921">
        <v>66.8</v>
      </c>
      <c r="E2921">
        <v>67.400000000000006</v>
      </c>
      <c r="F2921">
        <v>67.099999999999994</v>
      </c>
      <c r="G2921">
        <v>0</v>
      </c>
      <c r="H2921">
        <v>0</v>
      </c>
      <c r="I2921">
        <v>0</v>
      </c>
      <c r="J2921">
        <v>0</v>
      </c>
      <c r="K2921">
        <v>63</v>
      </c>
      <c r="L2921">
        <v>63.4</v>
      </c>
      <c r="M2921">
        <v>67.13</v>
      </c>
      <c r="N2921">
        <v>7</v>
      </c>
      <c r="O2921">
        <v>6</v>
      </c>
      <c r="P2921">
        <f>MOD(DAY(datos_siembra[[#This Row],[Date]]),7)</f>
        <v>0</v>
      </c>
      <c r="Q2921" t="str">
        <f>CHOOSE(WEEKDAY(datos_siembra[[#This Row],[Date]],2),"L","M","X","J","V","S","D")</f>
        <v>L</v>
      </c>
      <c r="R2921">
        <f>WEEKNUM(datos_siembra[[#This Row],[Date]],2)-WEEKNUM(DATE(YEAR(datos_siembra[[#This Row],[Date]]),MONTH(datos_siembra[[#This Row],[Date]]),1))+1</f>
        <v>2</v>
      </c>
      <c r="S2921">
        <f>MONTH(datos_siembra[[#This Row],[Date]])</f>
        <v>10</v>
      </c>
      <c r="T2921" t="str" cm="1">
        <f t="array" ref="T2921">_xlfn.IFS(AND(N2921&lt;= 22, S2921=9), "SOWING",AND(N2921&lt;= 28, S2921=9), "COVERAGE",AND(N2921&lt;= 30, S2921=9), "FLUSH",AND(N2921&lt;= 11, S2921=10), "FLUSH",AND(N2921&lt;= 21, S2921=10), "PRODUCTION")</f>
        <v>FLUSH</v>
      </c>
      <c r="U2921">
        <f>HOUR(datos_siembra[[#This Row],[Hour]])</f>
        <v>1</v>
      </c>
      <c r="V2921" cm="1">
        <f t="array" ref="V2921">_xlfn.IFS(AND(N2921&lt;= 22, S2921=9), N2921-7,AND(N2921&lt;= 28, S2921=9), N2921-25,AND(N2921&lt;= 30, S2921=9), N2921-28,AND(N2921&lt;= 11, S2921=10), N2921+2,AND(N2921&lt;= 21, S2921=10), N2921-11)</f>
        <v>9</v>
      </c>
    </row>
    <row r="2922" spans="1:22" x14ac:dyDescent="0.35">
      <c r="A2922" s="4">
        <v>45572</v>
      </c>
      <c r="B2922" s="5">
        <v>8.2071759259259261E-2</v>
      </c>
      <c r="C2922">
        <v>67</v>
      </c>
      <c r="D2922">
        <v>66.900000000000006</v>
      </c>
      <c r="E2922">
        <v>67.400000000000006</v>
      </c>
      <c r="F2922">
        <v>67.2</v>
      </c>
      <c r="G2922">
        <v>0</v>
      </c>
      <c r="H2922">
        <v>0</v>
      </c>
      <c r="I2922">
        <v>0</v>
      </c>
      <c r="J2922">
        <v>0</v>
      </c>
      <c r="K2922">
        <v>63</v>
      </c>
      <c r="L2922">
        <v>63.3</v>
      </c>
      <c r="M2922">
        <v>67.13</v>
      </c>
      <c r="N2922">
        <v>7</v>
      </c>
      <c r="O2922">
        <v>6</v>
      </c>
      <c r="P2922">
        <f>MOD(DAY(datos_siembra[[#This Row],[Date]]),7)</f>
        <v>0</v>
      </c>
      <c r="Q2922" t="str">
        <f>CHOOSE(WEEKDAY(datos_siembra[[#This Row],[Date]],2),"L","M","X","J","V","S","D")</f>
        <v>L</v>
      </c>
      <c r="R2922">
        <f>WEEKNUM(datos_siembra[[#This Row],[Date]],2)-WEEKNUM(DATE(YEAR(datos_siembra[[#This Row],[Date]]),MONTH(datos_siembra[[#This Row],[Date]]),1))+1</f>
        <v>2</v>
      </c>
      <c r="S2922">
        <f>MONTH(datos_siembra[[#This Row],[Date]])</f>
        <v>10</v>
      </c>
      <c r="T2922" t="str" cm="1">
        <f t="array" ref="T2922">_xlfn.IFS(AND(N2922&lt;= 22, S2922=9), "SOWING",AND(N2922&lt;= 28, S2922=9), "COVERAGE",AND(N2922&lt;= 30, S2922=9), "FLUSH",AND(N2922&lt;= 11, S2922=10), "FLUSH",AND(N2922&lt;= 21, S2922=10), "PRODUCTION")</f>
        <v>FLUSH</v>
      </c>
      <c r="U2922">
        <f>HOUR(datos_siembra[[#This Row],[Hour]])</f>
        <v>1</v>
      </c>
      <c r="V2922" cm="1">
        <f t="array" ref="V2922">_xlfn.IFS(AND(N2922&lt;= 22, S2922=9), N2922-7,AND(N2922&lt;= 28, S2922=9), N2922-25,AND(N2922&lt;= 30, S2922=9), N2922-28,AND(N2922&lt;= 11, S2922=10), N2922+2,AND(N2922&lt;= 21, S2922=10), N2922-11)</f>
        <v>9</v>
      </c>
    </row>
    <row r="2923" spans="1:22" x14ac:dyDescent="0.35">
      <c r="A2923" s="4">
        <v>45572</v>
      </c>
      <c r="B2923" s="5">
        <v>8.9016203703703708E-2</v>
      </c>
      <c r="C2923">
        <v>66.900000000000006</v>
      </c>
      <c r="D2923">
        <v>66.8</v>
      </c>
      <c r="E2923">
        <v>67.400000000000006</v>
      </c>
      <c r="F2923">
        <v>67.2</v>
      </c>
      <c r="G2923">
        <v>0</v>
      </c>
      <c r="H2923">
        <v>0</v>
      </c>
      <c r="I2923">
        <v>0</v>
      </c>
      <c r="J2923">
        <v>0</v>
      </c>
      <c r="K2923">
        <v>63</v>
      </c>
      <c r="L2923">
        <v>63.4</v>
      </c>
      <c r="M2923">
        <v>67.180000000000007</v>
      </c>
      <c r="N2923">
        <v>7</v>
      </c>
      <c r="O2923">
        <v>6</v>
      </c>
      <c r="P2923">
        <f>MOD(DAY(datos_siembra[[#This Row],[Date]]),7)</f>
        <v>0</v>
      </c>
      <c r="Q2923" t="str">
        <f>CHOOSE(WEEKDAY(datos_siembra[[#This Row],[Date]],2),"L","M","X","J","V","S","D")</f>
        <v>L</v>
      </c>
      <c r="R2923">
        <f>WEEKNUM(datos_siembra[[#This Row],[Date]],2)-WEEKNUM(DATE(YEAR(datos_siembra[[#This Row],[Date]]),MONTH(datos_siembra[[#This Row],[Date]]),1))+1</f>
        <v>2</v>
      </c>
      <c r="S2923">
        <f>MONTH(datos_siembra[[#This Row],[Date]])</f>
        <v>10</v>
      </c>
      <c r="T2923" t="str" cm="1">
        <f t="array" ref="T2923">_xlfn.IFS(AND(N2923&lt;= 22, S2923=9), "SOWING",AND(N2923&lt;= 28, S2923=9), "COVERAGE",AND(N2923&lt;= 30, S2923=9), "FLUSH",AND(N2923&lt;= 11, S2923=10), "FLUSH",AND(N2923&lt;= 21, S2923=10), "PRODUCTION")</f>
        <v>FLUSH</v>
      </c>
      <c r="U2923">
        <f>HOUR(datos_siembra[[#This Row],[Hour]])</f>
        <v>2</v>
      </c>
      <c r="V2923" cm="1">
        <f t="array" ref="V2923">_xlfn.IFS(AND(N2923&lt;= 22, S2923=9), N2923-7,AND(N2923&lt;= 28, S2923=9), N2923-25,AND(N2923&lt;= 30, S2923=9), N2923-28,AND(N2923&lt;= 11, S2923=10), N2923+2,AND(N2923&lt;= 21, S2923=10), N2923-11)</f>
        <v>9</v>
      </c>
    </row>
    <row r="2924" spans="1:22" x14ac:dyDescent="0.35">
      <c r="A2924" s="4">
        <v>45572</v>
      </c>
      <c r="B2924" s="5">
        <v>9.5960648148148142E-2</v>
      </c>
      <c r="C2924">
        <v>66.900000000000006</v>
      </c>
      <c r="D2924">
        <v>66.900000000000006</v>
      </c>
      <c r="E2924">
        <v>67.400000000000006</v>
      </c>
      <c r="F2924">
        <v>67.099999999999994</v>
      </c>
      <c r="G2924">
        <v>0</v>
      </c>
      <c r="H2924">
        <v>0</v>
      </c>
      <c r="I2924">
        <v>0</v>
      </c>
      <c r="J2924">
        <v>0</v>
      </c>
      <c r="K2924">
        <v>62.9</v>
      </c>
      <c r="L2924">
        <v>63.3</v>
      </c>
      <c r="M2924">
        <v>67.099999999999994</v>
      </c>
      <c r="N2924">
        <v>7</v>
      </c>
      <c r="O2924">
        <v>6</v>
      </c>
      <c r="P2924">
        <f>MOD(DAY(datos_siembra[[#This Row],[Date]]),7)</f>
        <v>0</v>
      </c>
      <c r="Q2924" t="str">
        <f>CHOOSE(WEEKDAY(datos_siembra[[#This Row],[Date]],2),"L","M","X","J","V","S","D")</f>
        <v>L</v>
      </c>
      <c r="R2924">
        <f>WEEKNUM(datos_siembra[[#This Row],[Date]],2)-WEEKNUM(DATE(YEAR(datos_siembra[[#This Row],[Date]]),MONTH(datos_siembra[[#This Row],[Date]]),1))+1</f>
        <v>2</v>
      </c>
      <c r="S2924">
        <f>MONTH(datos_siembra[[#This Row],[Date]])</f>
        <v>10</v>
      </c>
      <c r="T2924" t="str" cm="1">
        <f t="array" ref="T2924">_xlfn.IFS(AND(N2924&lt;= 22, S2924=9), "SOWING",AND(N2924&lt;= 28, S2924=9), "COVERAGE",AND(N2924&lt;= 30, S2924=9), "FLUSH",AND(N2924&lt;= 11, S2924=10), "FLUSH",AND(N2924&lt;= 21, S2924=10), "PRODUCTION")</f>
        <v>FLUSH</v>
      </c>
      <c r="U2924">
        <f>HOUR(datos_siembra[[#This Row],[Hour]])</f>
        <v>2</v>
      </c>
      <c r="V2924" cm="1">
        <f t="array" ref="V2924">_xlfn.IFS(AND(N2924&lt;= 22, S2924=9), N2924-7,AND(N2924&lt;= 28, S2924=9), N2924-25,AND(N2924&lt;= 30, S2924=9), N2924-28,AND(N2924&lt;= 11, S2924=10), N2924+2,AND(N2924&lt;= 21, S2924=10), N2924-11)</f>
        <v>9</v>
      </c>
    </row>
    <row r="2925" spans="1:22" x14ac:dyDescent="0.35">
      <c r="A2925" s="4">
        <v>45572</v>
      </c>
      <c r="B2925" s="5">
        <v>0.10291666666666667</v>
      </c>
      <c r="C2925">
        <v>67</v>
      </c>
      <c r="D2925">
        <v>66.900000000000006</v>
      </c>
      <c r="E2925">
        <v>67.599999999999994</v>
      </c>
      <c r="F2925">
        <v>67.2</v>
      </c>
      <c r="G2925">
        <v>0</v>
      </c>
      <c r="H2925">
        <v>0</v>
      </c>
      <c r="I2925">
        <v>0</v>
      </c>
      <c r="J2925">
        <v>0</v>
      </c>
      <c r="K2925">
        <v>62.9</v>
      </c>
      <c r="L2925">
        <v>63.3</v>
      </c>
      <c r="M2925">
        <v>67.16</v>
      </c>
      <c r="N2925">
        <v>7</v>
      </c>
      <c r="O2925">
        <v>6</v>
      </c>
      <c r="P2925">
        <f>MOD(DAY(datos_siembra[[#This Row],[Date]]),7)</f>
        <v>0</v>
      </c>
      <c r="Q2925" t="str">
        <f>CHOOSE(WEEKDAY(datos_siembra[[#This Row],[Date]],2),"L","M","X","J","V","S","D")</f>
        <v>L</v>
      </c>
      <c r="R2925">
        <f>WEEKNUM(datos_siembra[[#This Row],[Date]],2)-WEEKNUM(DATE(YEAR(datos_siembra[[#This Row],[Date]]),MONTH(datos_siembra[[#This Row],[Date]]),1))+1</f>
        <v>2</v>
      </c>
      <c r="S2925">
        <f>MONTH(datos_siembra[[#This Row],[Date]])</f>
        <v>10</v>
      </c>
      <c r="T2925" t="str" cm="1">
        <f t="array" ref="T2925">_xlfn.IFS(AND(N2925&lt;= 22, S2925=9), "SOWING",AND(N2925&lt;= 28, S2925=9), "COVERAGE",AND(N2925&lt;= 30, S2925=9), "FLUSH",AND(N2925&lt;= 11, S2925=10), "FLUSH",AND(N2925&lt;= 21, S2925=10), "PRODUCTION")</f>
        <v>FLUSH</v>
      </c>
      <c r="U2925">
        <f>HOUR(datos_siembra[[#This Row],[Hour]])</f>
        <v>2</v>
      </c>
      <c r="V2925" cm="1">
        <f t="array" ref="V2925">_xlfn.IFS(AND(N2925&lt;= 22, S2925=9), N2925-7,AND(N2925&lt;= 28, S2925=9), N2925-25,AND(N2925&lt;= 30, S2925=9), N2925-28,AND(N2925&lt;= 11, S2925=10), N2925+2,AND(N2925&lt;= 21, S2925=10), N2925-11)</f>
        <v>9</v>
      </c>
    </row>
    <row r="2926" spans="1:22" x14ac:dyDescent="0.35">
      <c r="A2926" s="4">
        <v>45572</v>
      </c>
      <c r="B2926" s="5">
        <v>0.10986111111111112</v>
      </c>
      <c r="C2926">
        <v>67</v>
      </c>
      <c r="D2926">
        <v>66.8</v>
      </c>
      <c r="E2926">
        <v>67.599999999999994</v>
      </c>
      <c r="F2926">
        <v>67.3</v>
      </c>
      <c r="G2926">
        <v>0</v>
      </c>
      <c r="H2926">
        <v>0</v>
      </c>
      <c r="I2926">
        <v>0</v>
      </c>
      <c r="J2926">
        <v>0</v>
      </c>
      <c r="K2926">
        <v>62.9</v>
      </c>
      <c r="L2926">
        <v>63.2</v>
      </c>
      <c r="M2926">
        <v>67.13</v>
      </c>
      <c r="N2926">
        <v>7</v>
      </c>
      <c r="O2926">
        <v>6</v>
      </c>
      <c r="P2926">
        <f>MOD(DAY(datos_siembra[[#This Row],[Date]]),7)</f>
        <v>0</v>
      </c>
      <c r="Q2926" t="str">
        <f>CHOOSE(WEEKDAY(datos_siembra[[#This Row],[Date]],2),"L","M","X","J","V","S","D")</f>
        <v>L</v>
      </c>
      <c r="R2926">
        <f>WEEKNUM(datos_siembra[[#This Row],[Date]],2)-WEEKNUM(DATE(YEAR(datos_siembra[[#This Row],[Date]]),MONTH(datos_siembra[[#This Row],[Date]]),1))+1</f>
        <v>2</v>
      </c>
      <c r="S2926">
        <f>MONTH(datos_siembra[[#This Row],[Date]])</f>
        <v>10</v>
      </c>
      <c r="T2926" t="str" cm="1">
        <f t="array" ref="T2926">_xlfn.IFS(AND(N2926&lt;= 22, S2926=9), "SOWING",AND(N2926&lt;= 28, S2926=9), "COVERAGE",AND(N2926&lt;= 30, S2926=9), "FLUSH",AND(N2926&lt;= 11, S2926=10), "FLUSH",AND(N2926&lt;= 21, S2926=10), "PRODUCTION")</f>
        <v>FLUSH</v>
      </c>
      <c r="U2926">
        <f>HOUR(datos_siembra[[#This Row],[Hour]])</f>
        <v>2</v>
      </c>
      <c r="V2926" cm="1">
        <f t="array" ref="V2926">_xlfn.IFS(AND(N2926&lt;= 22, S2926=9), N2926-7,AND(N2926&lt;= 28, S2926=9), N2926-25,AND(N2926&lt;= 30, S2926=9), N2926-28,AND(N2926&lt;= 11, S2926=10), N2926+2,AND(N2926&lt;= 21, S2926=10), N2926-11)</f>
        <v>9</v>
      </c>
    </row>
    <row r="2927" spans="1:22" x14ac:dyDescent="0.35">
      <c r="A2927" s="4">
        <v>45572</v>
      </c>
      <c r="B2927" s="5">
        <v>0.11680555555555555</v>
      </c>
      <c r="C2927">
        <v>67</v>
      </c>
      <c r="D2927">
        <v>66.900000000000006</v>
      </c>
      <c r="E2927">
        <v>67.599999999999994</v>
      </c>
      <c r="F2927">
        <v>67.099999999999994</v>
      </c>
      <c r="G2927">
        <v>0</v>
      </c>
      <c r="H2927">
        <v>0</v>
      </c>
      <c r="I2927">
        <v>0</v>
      </c>
      <c r="J2927">
        <v>0</v>
      </c>
      <c r="K2927">
        <v>62.9</v>
      </c>
      <c r="L2927">
        <v>63.3</v>
      </c>
      <c r="M2927">
        <v>67.13</v>
      </c>
      <c r="N2927">
        <v>7</v>
      </c>
      <c r="O2927">
        <v>6</v>
      </c>
      <c r="P2927">
        <f>MOD(DAY(datos_siembra[[#This Row],[Date]]),7)</f>
        <v>0</v>
      </c>
      <c r="Q2927" t="str">
        <f>CHOOSE(WEEKDAY(datos_siembra[[#This Row],[Date]],2),"L","M","X","J","V","S","D")</f>
        <v>L</v>
      </c>
      <c r="R2927">
        <f>WEEKNUM(datos_siembra[[#This Row],[Date]],2)-WEEKNUM(DATE(YEAR(datos_siembra[[#This Row],[Date]]),MONTH(datos_siembra[[#This Row],[Date]]),1))+1</f>
        <v>2</v>
      </c>
      <c r="S2927">
        <f>MONTH(datos_siembra[[#This Row],[Date]])</f>
        <v>10</v>
      </c>
      <c r="T2927" t="str" cm="1">
        <f t="array" ref="T2927">_xlfn.IFS(AND(N2927&lt;= 22, S2927=9), "SOWING",AND(N2927&lt;= 28, S2927=9), "COVERAGE",AND(N2927&lt;= 30, S2927=9), "FLUSH",AND(N2927&lt;= 11, S2927=10), "FLUSH",AND(N2927&lt;= 21, S2927=10), "PRODUCTION")</f>
        <v>FLUSH</v>
      </c>
      <c r="U2927">
        <f>HOUR(datos_siembra[[#This Row],[Hour]])</f>
        <v>2</v>
      </c>
      <c r="V2927" cm="1">
        <f t="array" ref="V2927">_xlfn.IFS(AND(N2927&lt;= 22, S2927=9), N2927-7,AND(N2927&lt;= 28, S2927=9), N2927-25,AND(N2927&lt;= 30, S2927=9), N2927-28,AND(N2927&lt;= 11, S2927=10), N2927+2,AND(N2927&lt;= 21, S2927=10), N2927-11)</f>
        <v>9</v>
      </c>
    </row>
    <row r="2928" spans="1:22" x14ac:dyDescent="0.35">
      <c r="A2928" s="4">
        <v>45572</v>
      </c>
      <c r="B2928" s="5">
        <v>0.12375</v>
      </c>
      <c r="C2928">
        <v>67</v>
      </c>
      <c r="D2928">
        <v>66.8</v>
      </c>
      <c r="E2928">
        <v>67.7</v>
      </c>
      <c r="F2928">
        <v>67.3</v>
      </c>
      <c r="G2928">
        <v>0</v>
      </c>
      <c r="H2928">
        <v>0</v>
      </c>
      <c r="I2928">
        <v>0</v>
      </c>
      <c r="J2928">
        <v>0</v>
      </c>
      <c r="K2928">
        <v>62.9</v>
      </c>
      <c r="L2928">
        <v>63.2</v>
      </c>
      <c r="M2928">
        <v>67.099999999999994</v>
      </c>
      <c r="N2928">
        <v>7</v>
      </c>
      <c r="O2928">
        <v>6</v>
      </c>
      <c r="P2928">
        <f>MOD(DAY(datos_siembra[[#This Row],[Date]]),7)</f>
        <v>0</v>
      </c>
      <c r="Q2928" t="str">
        <f>CHOOSE(WEEKDAY(datos_siembra[[#This Row],[Date]],2),"L","M","X","J","V","S","D")</f>
        <v>L</v>
      </c>
      <c r="R2928">
        <f>WEEKNUM(datos_siembra[[#This Row],[Date]],2)-WEEKNUM(DATE(YEAR(datos_siembra[[#This Row],[Date]]),MONTH(datos_siembra[[#This Row],[Date]]),1))+1</f>
        <v>2</v>
      </c>
      <c r="S2928">
        <f>MONTH(datos_siembra[[#This Row],[Date]])</f>
        <v>10</v>
      </c>
      <c r="T2928" t="str" cm="1">
        <f t="array" ref="T2928">_xlfn.IFS(AND(N2928&lt;= 22, S2928=9), "SOWING",AND(N2928&lt;= 28, S2928=9), "COVERAGE",AND(N2928&lt;= 30, S2928=9), "FLUSH",AND(N2928&lt;= 11, S2928=10), "FLUSH",AND(N2928&lt;= 21, S2928=10), "PRODUCTION")</f>
        <v>FLUSH</v>
      </c>
      <c r="U2928">
        <f>HOUR(datos_siembra[[#This Row],[Hour]])</f>
        <v>2</v>
      </c>
      <c r="V2928" cm="1">
        <f t="array" ref="V2928">_xlfn.IFS(AND(N2928&lt;= 22, S2928=9), N2928-7,AND(N2928&lt;= 28, S2928=9), N2928-25,AND(N2928&lt;= 30, S2928=9), N2928-28,AND(N2928&lt;= 11, S2928=10), N2928+2,AND(N2928&lt;= 21, S2928=10), N2928-11)</f>
        <v>9</v>
      </c>
    </row>
    <row r="2929" spans="1:22" x14ac:dyDescent="0.35">
      <c r="A2929" s="4">
        <v>45572</v>
      </c>
      <c r="B2929" s="5">
        <v>0.13070601851851851</v>
      </c>
      <c r="C2929">
        <v>67.099999999999994</v>
      </c>
      <c r="D2929">
        <v>66.900000000000006</v>
      </c>
      <c r="E2929">
        <v>67.599999999999994</v>
      </c>
      <c r="F2929">
        <v>67.2</v>
      </c>
      <c r="G2929">
        <v>0</v>
      </c>
      <c r="H2929">
        <v>0</v>
      </c>
      <c r="I2929">
        <v>0</v>
      </c>
      <c r="J2929">
        <v>0</v>
      </c>
      <c r="K2929">
        <v>62.8</v>
      </c>
      <c r="L2929">
        <v>63.2</v>
      </c>
      <c r="M2929">
        <v>67.209999999999994</v>
      </c>
      <c r="N2929">
        <v>7</v>
      </c>
      <c r="O2929">
        <v>6</v>
      </c>
      <c r="P2929">
        <f>MOD(DAY(datos_siembra[[#This Row],[Date]]),7)</f>
        <v>0</v>
      </c>
      <c r="Q2929" t="str">
        <f>CHOOSE(WEEKDAY(datos_siembra[[#This Row],[Date]],2),"L","M","X","J","V","S","D")</f>
        <v>L</v>
      </c>
      <c r="R2929">
        <f>WEEKNUM(datos_siembra[[#This Row],[Date]],2)-WEEKNUM(DATE(YEAR(datos_siembra[[#This Row],[Date]]),MONTH(datos_siembra[[#This Row],[Date]]),1))+1</f>
        <v>2</v>
      </c>
      <c r="S2929">
        <f>MONTH(datos_siembra[[#This Row],[Date]])</f>
        <v>10</v>
      </c>
      <c r="T2929" t="str" cm="1">
        <f t="array" ref="T2929">_xlfn.IFS(AND(N2929&lt;= 22, S2929=9), "SOWING",AND(N2929&lt;= 28, S2929=9), "COVERAGE",AND(N2929&lt;= 30, S2929=9), "FLUSH",AND(N2929&lt;= 11, S2929=10), "FLUSH",AND(N2929&lt;= 21, S2929=10), "PRODUCTION")</f>
        <v>FLUSH</v>
      </c>
      <c r="U2929">
        <f>HOUR(datos_siembra[[#This Row],[Hour]])</f>
        <v>3</v>
      </c>
      <c r="V2929" cm="1">
        <f t="array" ref="V2929">_xlfn.IFS(AND(N2929&lt;= 22, S2929=9), N2929-7,AND(N2929&lt;= 28, S2929=9), N2929-25,AND(N2929&lt;= 30, S2929=9), N2929-28,AND(N2929&lt;= 11, S2929=10), N2929+2,AND(N2929&lt;= 21, S2929=10), N2929-11)</f>
        <v>9</v>
      </c>
    </row>
    <row r="2930" spans="1:22" x14ac:dyDescent="0.35">
      <c r="A2930" s="4">
        <v>45572</v>
      </c>
      <c r="B2930" s="5">
        <v>0.13765046296296296</v>
      </c>
      <c r="C2930">
        <v>67</v>
      </c>
      <c r="D2930">
        <v>66.900000000000006</v>
      </c>
      <c r="E2930">
        <v>67.400000000000006</v>
      </c>
      <c r="F2930">
        <v>67.2</v>
      </c>
      <c r="G2930">
        <v>0</v>
      </c>
      <c r="H2930">
        <v>0</v>
      </c>
      <c r="I2930">
        <v>0</v>
      </c>
      <c r="J2930">
        <v>0</v>
      </c>
      <c r="K2930">
        <v>62.8</v>
      </c>
      <c r="L2930">
        <v>63</v>
      </c>
      <c r="M2930">
        <v>67.180000000000007</v>
      </c>
      <c r="N2930">
        <v>7</v>
      </c>
      <c r="O2930">
        <v>6</v>
      </c>
      <c r="P2930">
        <f>MOD(DAY(datos_siembra[[#This Row],[Date]]),7)</f>
        <v>0</v>
      </c>
      <c r="Q2930" t="str">
        <f>CHOOSE(WEEKDAY(datos_siembra[[#This Row],[Date]],2),"L","M","X","J","V","S","D")</f>
        <v>L</v>
      </c>
      <c r="R2930">
        <f>WEEKNUM(datos_siembra[[#This Row],[Date]],2)-WEEKNUM(DATE(YEAR(datos_siembra[[#This Row],[Date]]),MONTH(datos_siembra[[#This Row],[Date]]),1))+1</f>
        <v>2</v>
      </c>
      <c r="S2930">
        <f>MONTH(datos_siembra[[#This Row],[Date]])</f>
        <v>10</v>
      </c>
      <c r="T2930" t="str" cm="1">
        <f t="array" ref="T2930">_xlfn.IFS(AND(N2930&lt;= 22, S2930=9), "SOWING",AND(N2930&lt;= 28, S2930=9), "COVERAGE",AND(N2930&lt;= 30, S2930=9), "FLUSH",AND(N2930&lt;= 11, S2930=10), "FLUSH",AND(N2930&lt;= 21, S2930=10), "PRODUCTION")</f>
        <v>FLUSH</v>
      </c>
      <c r="U2930">
        <f>HOUR(datos_siembra[[#This Row],[Hour]])</f>
        <v>3</v>
      </c>
      <c r="V2930" cm="1">
        <f t="array" ref="V2930">_xlfn.IFS(AND(N2930&lt;= 22, S2930=9), N2930-7,AND(N2930&lt;= 28, S2930=9), N2930-25,AND(N2930&lt;= 30, S2930=9), N2930-28,AND(N2930&lt;= 11, S2930=10), N2930+2,AND(N2930&lt;= 21, S2930=10), N2930-11)</f>
        <v>9</v>
      </c>
    </row>
    <row r="2931" spans="1:22" x14ac:dyDescent="0.35">
      <c r="A2931" s="4">
        <v>45572</v>
      </c>
      <c r="B2931" s="5">
        <v>0.14459490740740741</v>
      </c>
      <c r="C2931">
        <v>67.099999999999994</v>
      </c>
      <c r="D2931">
        <v>66.8</v>
      </c>
      <c r="E2931">
        <v>67.599999999999994</v>
      </c>
      <c r="F2931">
        <v>67.2</v>
      </c>
      <c r="G2931">
        <v>0</v>
      </c>
      <c r="H2931">
        <v>0</v>
      </c>
      <c r="I2931">
        <v>0</v>
      </c>
      <c r="J2931">
        <v>0</v>
      </c>
      <c r="K2931">
        <v>62.8</v>
      </c>
      <c r="L2931">
        <v>63</v>
      </c>
      <c r="M2931">
        <v>67.16</v>
      </c>
      <c r="N2931">
        <v>7</v>
      </c>
      <c r="O2931">
        <v>6</v>
      </c>
      <c r="P2931">
        <f>MOD(DAY(datos_siembra[[#This Row],[Date]]),7)</f>
        <v>0</v>
      </c>
      <c r="Q2931" t="str">
        <f>CHOOSE(WEEKDAY(datos_siembra[[#This Row],[Date]],2),"L","M","X","J","V","S","D")</f>
        <v>L</v>
      </c>
      <c r="R2931">
        <f>WEEKNUM(datos_siembra[[#This Row],[Date]],2)-WEEKNUM(DATE(YEAR(datos_siembra[[#This Row],[Date]]),MONTH(datos_siembra[[#This Row],[Date]]),1))+1</f>
        <v>2</v>
      </c>
      <c r="S2931">
        <f>MONTH(datos_siembra[[#This Row],[Date]])</f>
        <v>10</v>
      </c>
      <c r="T2931" t="str" cm="1">
        <f t="array" ref="T2931">_xlfn.IFS(AND(N2931&lt;= 22, S2931=9), "SOWING",AND(N2931&lt;= 28, S2931=9), "COVERAGE",AND(N2931&lt;= 30, S2931=9), "FLUSH",AND(N2931&lt;= 11, S2931=10), "FLUSH",AND(N2931&lt;= 21, S2931=10), "PRODUCTION")</f>
        <v>FLUSH</v>
      </c>
      <c r="U2931">
        <f>HOUR(datos_siembra[[#This Row],[Hour]])</f>
        <v>3</v>
      </c>
      <c r="V2931" cm="1">
        <f t="array" ref="V2931">_xlfn.IFS(AND(N2931&lt;= 22, S2931=9), N2931-7,AND(N2931&lt;= 28, S2931=9), N2931-25,AND(N2931&lt;= 30, S2931=9), N2931-28,AND(N2931&lt;= 11, S2931=10), N2931+2,AND(N2931&lt;= 21, S2931=10), N2931-11)</f>
        <v>9</v>
      </c>
    </row>
    <row r="2932" spans="1:22" x14ac:dyDescent="0.35">
      <c r="A2932" s="4">
        <v>45572</v>
      </c>
      <c r="B2932" s="5">
        <v>0.15153935185185186</v>
      </c>
      <c r="C2932">
        <v>67</v>
      </c>
      <c r="D2932">
        <v>66.900000000000006</v>
      </c>
      <c r="E2932">
        <v>67.599999999999994</v>
      </c>
      <c r="F2932">
        <v>67.3</v>
      </c>
      <c r="G2932">
        <v>0</v>
      </c>
      <c r="H2932">
        <v>0</v>
      </c>
      <c r="I2932">
        <v>0</v>
      </c>
      <c r="J2932">
        <v>0</v>
      </c>
      <c r="K2932">
        <v>62.8</v>
      </c>
      <c r="L2932">
        <v>63</v>
      </c>
      <c r="M2932">
        <v>67.16</v>
      </c>
      <c r="N2932">
        <v>7</v>
      </c>
      <c r="O2932">
        <v>6</v>
      </c>
      <c r="P2932">
        <f>MOD(DAY(datos_siembra[[#This Row],[Date]]),7)</f>
        <v>0</v>
      </c>
      <c r="Q2932" t="str">
        <f>CHOOSE(WEEKDAY(datos_siembra[[#This Row],[Date]],2),"L","M","X","J","V","S","D")</f>
        <v>L</v>
      </c>
      <c r="R2932">
        <f>WEEKNUM(datos_siembra[[#This Row],[Date]],2)-WEEKNUM(DATE(YEAR(datos_siembra[[#This Row],[Date]]),MONTH(datos_siembra[[#This Row],[Date]]),1))+1</f>
        <v>2</v>
      </c>
      <c r="S2932">
        <f>MONTH(datos_siembra[[#This Row],[Date]])</f>
        <v>10</v>
      </c>
      <c r="T2932" t="str" cm="1">
        <f t="array" ref="T2932">_xlfn.IFS(AND(N2932&lt;= 22, S2932=9), "SOWING",AND(N2932&lt;= 28, S2932=9), "COVERAGE",AND(N2932&lt;= 30, S2932=9), "FLUSH",AND(N2932&lt;= 11, S2932=10), "FLUSH",AND(N2932&lt;= 21, S2932=10), "PRODUCTION")</f>
        <v>FLUSH</v>
      </c>
      <c r="U2932">
        <f>HOUR(datos_siembra[[#This Row],[Hour]])</f>
        <v>3</v>
      </c>
      <c r="V2932" cm="1">
        <f t="array" ref="V2932">_xlfn.IFS(AND(N2932&lt;= 22, S2932=9), N2932-7,AND(N2932&lt;= 28, S2932=9), N2932-25,AND(N2932&lt;= 30, S2932=9), N2932-28,AND(N2932&lt;= 11, S2932=10), N2932+2,AND(N2932&lt;= 21, S2932=10), N2932-11)</f>
        <v>9</v>
      </c>
    </row>
    <row r="2933" spans="1:22" x14ac:dyDescent="0.35">
      <c r="A2933" s="4">
        <v>45572</v>
      </c>
      <c r="B2933" s="5">
        <v>0.15849537037037037</v>
      </c>
      <c r="C2933">
        <v>67.099999999999994</v>
      </c>
      <c r="D2933">
        <v>67</v>
      </c>
      <c r="E2933">
        <v>67.599999999999994</v>
      </c>
      <c r="F2933">
        <v>67.099999999999994</v>
      </c>
      <c r="G2933">
        <v>0</v>
      </c>
      <c r="H2933">
        <v>0</v>
      </c>
      <c r="I2933">
        <v>0</v>
      </c>
      <c r="J2933">
        <v>0</v>
      </c>
      <c r="K2933">
        <v>62.7</v>
      </c>
      <c r="L2933">
        <v>62.9</v>
      </c>
      <c r="M2933">
        <v>67.239999999999995</v>
      </c>
      <c r="N2933">
        <v>7</v>
      </c>
      <c r="O2933">
        <v>6</v>
      </c>
      <c r="P2933">
        <f>MOD(DAY(datos_siembra[[#This Row],[Date]]),7)</f>
        <v>0</v>
      </c>
      <c r="Q2933" t="str">
        <f>CHOOSE(WEEKDAY(datos_siembra[[#This Row],[Date]],2),"L","M","X","J","V","S","D")</f>
        <v>L</v>
      </c>
      <c r="R2933">
        <f>WEEKNUM(datos_siembra[[#This Row],[Date]],2)-WEEKNUM(DATE(YEAR(datos_siembra[[#This Row],[Date]]),MONTH(datos_siembra[[#This Row],[Date]]),1))+1</f>
        <v>2</v>
      </c>
      <c r="S2933">
        <f>MONTH(datos_siembra[[#This Row],[Date]])</f>
        <v>10</v>
      </c>
      <c r="T2933" t="str" cm="1">
        <f t="array" ref="T2933">_xlfn.IFS(AND(N2933&lt;= 22, S2933=9), "SOWING",AND(N2933&lt;= 28, S2933=9), "COVERAGE",AND(N2933&lt;= 30, S2933=9), "FLUSH",AND(N2933&lt;= 11, S2933=10), "FLUSH",AND(N2933&lt;= 21, S2933=10), "PRODUCTION")</f>
        <v>FLUSH</v>
      </c>
      <c r="U2933">
        <f>HOUR(datos_siembra[[#This Row],[Hour]])</f>
        <v>3</v>
      </c>
      <c r="V2933" cm="1">
        <f t="array" ref="V2933">_xlfn.IFS(AND(N2933&lt;= 22, S2933=9), N2933-7,AND(N2933&lt;= 28, S2933=9), N2933-25,AND(N2933&lt;= 30, S2933=9), N2933-28,AND(N2933&lt;= 11, S2933=10), N2933+2,AND(N2933&lt;= 21, S2933=10), N2933-11)</f>
        <v>9</v>
      </c>
    </row>
    <row r="2934" spans="1:22" x14ac:dyDescent="0.35">
      <c r="A2934" s="4">
        <v>45572</v>
      </c>
      <c r="B2934" s="5">
        <v>0.16543981481481482</v>
      </c>
      <c r="C2934">
        <v>67.099999999999994</v>
      </c>
      <c r="D2934">
        <v>66.900000000000006</v>
      </c>
      <c r="E2934">
        <v>67.3</v>
      </c>
      <c r="F2934">
        <v>67.2</v>
      </c>
      <c r="G2934">
        <v>0</v>
      </c>
      <c r="H2934">
        <v>0</v>
      </c>
      <c r="I2934">
        <v>0</v>
      </c>
      <c r="J2934">
        <v>0</v>
      </c>
      <c r="K2934">
        <v>62.7</v>
      </c>
      <c r="L2934">
        <v>62.9</v>
      </c>
      <c r="M2934">
        <v>67.180000000000007</v>
      </c>
      <c r="N2934">
        <v>7</v>
      </c>
      <c r="O2934">
        <v>6</v>
      </c>
      <c r="P2934">
        <f>MOD(DAY(datos_siembra[[#This Row],[Date]]),7)</f>
        <v>0</v>
      </c>
      <c r="Q2934" t="str">
        <f>CHOOSE(WEEKDAY(datos_siembra[[#This Row],[Date]],2),"L","M","X","J","V","S","D")</f>
        <v>L</v>
      </c>
      <c r="R2934">
        <f>WEEKNUM(datos_siembra[[#This Row],[Date]],2)-WEEKNUM(DATE(YEAR(datos_siembra[[#This Row],[Date]]),MONTH(datos_siembra[[#This Row],[Date]]),1))+1</f>
        <v>2</v>
      </c>
      <c r="S2934">
        <f>MONTH(datos_siembra[[#This Row],[Date]])</f>
        <v>10</v>
      </c>
      <c r="T2934" t="str" cm="1">
        <f t="array" ref="T2934">_xlfn.IFS(AND(N2934&lt;= 22, S2934=9), "SOWING",AND(N2934&lt;= 28, S2934=9), "COVERAGE",AND(N2934&lt;= 30, S2934=9), "FLUSH",AND(N2934&lt;= 11, S2934=10), "FLUSH",AND(N2934&lt;= 21, S2934=10), "PRODUCTION")</f>
        <v>FLUSH</v>
      </c>
      <c r="U2934">
        <f>HOUR(datos_siembra[[#This Row],[Hour]])</f>
        <v>3</v>
      </c>
      <c r="V2934" cm="1">
        <f t="array" ref="V2934">_xlfn.IFS(AND(N2934&lt;= 22, S2934=9), N2934-7,AND(N2934&lt;= 28, S2934=9), N2934-25,AND(N2934&lt;= 30, S2934=9), N2934-28,AND(N2934&lt;= 11, S2934=10), N2934+2,AND(N2934&lt;= 21, S2934=10), N2934-11)</f>
        <v>9</v>
      </c>
    </row>
    <row r="2935" spans="1:22" x14ac:dyDescent="0.35">
      <c r="A2935" s="4">
        <v>45572</v>
      </c>
      <c r="B2935" s="5">
        <v>0.17238425925925926</v>
      </c>
      <c r="C2935">
        <v>67.099999999999994</v>
      </c>
      <c r="D2935">
        <v>66.900000000000006</v>
      </c>
      <c r="E2935">
        <v>67.7</v>
      </c>
      <c r="F2935">
        <v>67.099999999999994</v>
      </c>
      <c r="G2935">
        <v>0</v>
      </c>
      <c r="H2935">
        <v>0</v>
      </c>
      <c r="I2935">
        <v>0</v>
      </c>
      <c r="J2935">
        <v>0</v>
      </c>
      <c r="K2935">
        <v>62.6</v>
      </c>
      <c r="L2935">
        <v>62.9</v>
      </c>
      <c r="M2935">
        <v>67.180000000000007</v>
      </c>
      <c r="N2935">
        <v>7</v>
      </c>
      <c r="O2935">
        <v>6</v>
      </c>
      <c r="P2935">
        <f>MOD(DAY(datos_siembra[[#This Row],[Date]]),7)</f>
        <v>0</v>
      </c>
      <c r="Q2935" t="str">
        <f>CHOOSE(WEEKDAY(datos_siembra[[#This Row],[Date]],2),"L","M","X","J","V","S","D")</f>
        <v>L</v>
      </c>
      <c r="R2935">
        <f>WEEKNUM(datos_siembra[[#This Row],[Date]],2)-WEEKNUM(DATE(YEAR(datos_siembra[[#This Row],[Date]]),MONTH(datos_siembra[[#This Row],[Date]]),1))+1</f>
        <v>2</v>
      </c>
      <c r="S2935">
        <f>MONTH(datos_siembra[[#This Row],[Date]])</f>
        <v>10</v>
      </c>
      <c r="T2935" t="str" cm="1">
        <f t="array" ref="T2935">_xlfn.IFS(AND(N2935&lt;= 22, S2935=9), "SOWING",AND(N2935&lt;= 28, S2935=9), "COVERAGE",AND(N2935&lt;= 30, S2935=9), "FLUSH",AND(N2935&lt;= 11, S2935=10), "FLUSH",AND(N2935&lt;= 21, S2935=10), "PRODUCTION")</f>
        <v>FLUSH</v>
      </c>
      <c r="U2935">
        <f>HOUR(datos_siembra[[#This Row],[Hour]])</f>
        <v>4</v>
      </c>
      <c r="V2935" cm="1">
        <f t="array" ref="V2935">_xlfn.IFS(AND(N2935&lt;= 22, S2935=9), N2935-7,AND(N2935&lt;= 28, S2935=9), N2935-25,AND(N2935&lt;= 30, S2935=9), N2935-28,AND(N2935&lt;= 11, S2935=10), N2935+2,AND(N2935&lt;= 21, S2935=10), N2935-11)</f>
        <v>9</v>
      </c>
    </row>
    <row r="2936" spans="1:22" x14ac:dyDescent="0.35">
      <c r="A2936" s="4">
        <v>45572</v>
      </c>
      <c r="B2936" s="5">
        <v>0.17934027777777778</v>
      </c>
      <c r="C2936">
        <v>66.900000000000006</v>
      </c>
      <c r="D2936">
        <v>66.900000000000006</v>
      </c>
      <c r="E2936">
        <v>67.7</v>
      </c>
      <c r="F2936">
        <v>67.2</v>
      </c>
      <c r="G2936">
        <v>0</v>
      </c>
      <c r="H2936">
        <v>0</v>
      </c>
      <c r="I2936">
        <v>0</v>
      </c>
      <c r="J2936">
        <v>0</v>
      </c>
      <c r="K2936">
        <v>62.7</v>
      </c>
      <c r="L2936">
        <v>62.9</v>
      </c>
      <c r="M2936">
        <v>67.16</v>
      </c>
      <c r="N2936">
        <v>7</v>
      </c>
      <c r="O2936">
        <v>6</v>
      </c>
      <c r="P2936">
        <f>MOD(DAY(datos_siembra[[#This Row],[Date]]),7)</f>
        <v>0</v>
      </c>
      <c r="Q2936" t="str">
        <f>CHOOSE(WEEKDAY(datos_siembra[[#This Row],[Date]],2),"L","M","X","J","V","S","D")</f>
        <v>L</v>
      </c>
      <c r="R2936">
        <f>WEEKNUM(datos_siembra[[#This Row],[Date]],2)-WEEKNUM(DATE(YEAR(datos_siembra[[#This Row],[Date]]),MONTH(datos_siembra[[#This Row],[Date]]),1))+1</f>
        <v>2</v>
      </c>
      <c r="S2936">
        <f>MONTH(datos_siembra[[#This Row],[Date]])</f>
        <v>10</v>
      </c>
      <c r="T2936" t="str" cm="1">
        <f t="array" ref="T2936">_xlfn.IFS(AND(N2936&lt;= 22, S2936=9), "SOWING",AND(N2936&lt;= 28, S2936=9), "COVERAGE",AND(N2936&lt;= 30, S2936=9), "FLUSH",AND(N2936&lt;= 11, S2936=10), "FLUSH",AND(N2936&lt;= 21, S2936=10), "PRODUCTION")</f>
        <v>FLUSH</v>
      </c>
      <c r="U2936">
        <f>HOUR(datos_siembra[[#This Row],[Hour]])</f>
        <v>4</v>
      </c>
      <c r="V2936" cm="1">
        <f t="array" ref="V2936">_xlfn.IFS(AND(N2936&lt;= 22, S2936=9), N2936-7,AND(N2936&lt;= 28, S2936=9), N2936-25,AND(N2936&lt;= 30, S2936=9), N2936-28,AND(N2936&lt;= 11, S2936=10), N2936+2,AND(N2936&lt;= 21, S2936=10), N2936-11)</f>
        <v>9</v>
      </c>
    </row>
    <row r="2937" spans="1:22" x14ac:dyDescent="0.35">
      <c r="A2937" s="4">
        <v>45572</v>
      </c>
      <c r="B2937" s="5">
        <v>0.18628472222222223</v>
      </c>
      <c r="C2937">
        <v>67</v>
      </c>
      <c r="D2937">
        <v>66.8</v>
      </c>
      <c r="E2937">
        <v>67.599999999999994</v>
      </c>
      <c r="F2937">
        <v>67.099999999999994</v>
      </c>
      <c r="G2937">
        <v>0</v>
      </c>
      <c r="H2937">
        <v>0</v>
      </c>
      <c r="I2937">
        <v>0</v>
      </c>
      <c r="J2937">
        <v>0</v>
      </c>
      <c r="K2937">
        <v>62.6</v>
      </c>
      <c r="L2937">
        <v>62.8</v>
      </c>
      <c r="M2937">
        <v>67.180000000000007</v>
      </c>
      <c r="N2937">
        <v>7</v>
      </c>
      <c r="O2937">
        <v>6</v>
      </c>
      <c r="P2937">
        <f>MOD(DAY(datos_siembra[[#This Row],[Date]]),7)</f>
        <v>0</v>
      </c>
      <c r="Q2937" t="str">
        <f>CHOOSE(WEEKDAY(datos_siembra[[#This Row],[Date]],2),"L","M","X","J","V","S","D")</f>
        <v>L</v>
      </c>
      <c r="R2937">
        <f>WEEKNUM(datos_siembra[[#This Row],[Date]],2)-WEEKNUM(DATE(YEAR(datos_siembra[[#This Row],[Date]]),MONTH(datos_siembra[[#This Row],[Date]]),1))+1</f>
        <v>2</v>
      </c>
      <c r="S2937">
        <f>MONTH(datos_siembra[[#This Row],[Date]])</f>
        <v>10</v>
      </c>
      <c r="T2937" t="str" cm="1">
        <f t="array" ref="T2937">_xlfn.IFS(AND(N2937&lt;= 22, S2937=9), "SOWING",AND(N2937&lt;= 28, S2937=9), "COVERAGE",AND(N2937&lt;= 30, S2937=9), "FLUSH",AND(N2937&lt;= 11, S2937=10), "FLUSH",AND(N2937&lt;= 21, S2937=10), "PRODUCTION")</f>
        <v>FLUSH</v>
      </c>
      <c r="U2937">
        <f>HOUR(datos_siembra[[#This Row],[Hour]])</f>
        <v>4</v>
      </c>
      <c r="V2937" cm="1">
        <f t="array" ref="V2937">_xlfn.IFS(AND(N2937&lt;= 22, S2937=9), N2937-7,AND(N2937&lt;= 28, S2937=9), N2937-25,AND(N2937&lt;= 30, S2937=9), N2937-28,AND(N2937&lt;= 11, S2937=10), N2937+2,AND(N2937&lt;= 21, S2937=10), N2937-11)</f>
        <v>9</v>
      </c>
    </row>
    <row r="2938" spans="1:22" x14ac:dyDescent="0.35">
      <c r="A2938" s="4">
        <v>45572</v>
      </c>
      <c r="B2938" s="5">
        <v>0.19322916666666667</v>
      </c>
      <c r="C2938">
        <v>67</v>
      </c>
      <c r="D2938">
        <v>66.900000000000006</v>
      </c>
      <c r="E2938">
        <v>67.8</v>
      </c>
      <c r="F2938">
        <v>67.2</v>
      </c>
      <c r="G2938">
        <v>0</v>
      </c>
      <c r="H2938">
        <v>0</v>
      </c>
      <c r="I2938">
        <v>0</v>
      </c>
      <c r="J2938">
        <v>0</v>
      </c>
      <c r="K2938">
        <v>62.5</v>
      </c>
      <c r="L2938">
        <v>62.8</v>
      </c>
      <c r="M2938">
        <v>67.209999999999994</v>
      </c>
      <c r="N2938">
        <v>7</v>
      </c>
      <c r="O2938">
        <v>6</v>
      </c>
      <c r="P2938">
        <f>MOD(DAY(datos_siembra[[#This Row],[Date]]),7)</f>
        <v>0</v>
      </c>
      <c r="Q2938" t="str">
        <f>CHOOSE(WEEKDAY(datos_siembra[[#This Row],[Date]],2),"L","M","X","J","V","S","D")</f>
        <v>L</v>
      </c>
      <c r="R2938">
        <f>WEEKNUM(datos_siembra[[#This Row],[Date]],2)-WEEKNUM(DATE(YEAR(datos_siembra[[#This Row],[Date]]),MONTH(datos_siembra[[#This Row],[Date]]),1))+1</f>
        <v>2</v>
      </c>
      <c r="S2938">
        <f>MONTH(datos_siembra[[#This Row],[Date]])</f>
        <v>10</v>
      </c>
      <c r="T2938" t="str" cm="1">
        <f t="array" ref="T2938">_xlfn.IFS(AND(N2938&lt;= 22, S2938=9), "SOWING",AND(N2938&lt;= 28, S2938=9), "COVERAGE",AND(N2938&lt;= 30, S2938=9), "FLUSH",AND(N2938&lt;= 11, S2938=10), "FLUSH",AND(N2938&lt;= 21, S2938=10), "PRODUCTION")</f>
        <v>FLUSH</v>
      </c>
      <c r="U2938">
        <f>HOUR(datos_siembra[[#This Row],[Hour]])</f>
        <v>4</v>
      </c>
      <c r="V2938" cm="1">
        <f t="array" ref="V2938">_xlfn.IFS(AND(N2938&lt;= 22, S2938=9), N2938-7,AND(N2938&lt;= 28, S2938=9), N2938-25,AND(N2938&lt;= 30, S2938=9), N2938-28,AND(N2938&lt;= 11, S2938=10), N2938+2,AND(N2938&lt;= 21, S2938=10), N2938-11)</f>
        <v>9</v>
      </c>
    </row>
    <row r="2939" spans="1:22" x14ac:dyDescent="0.35">
      <c r="A2939" s="4">
        <v>45572</v>
      </c>
      <c r="B2939" s="5">
        <v>0.20017361111111112</v>
      </c>
      <c r="C2939">
        <v>67</v>
      </c>
      <c r="D2939">
        <v>66.8</v>
      </c>
      <c r="E2939">
        <v>67.7</v>
      </c>
      <c r="F2939">
        <v>67.3</v>
      </c>
      <c r="G2939">
        <v>0</v>
      </c>
      <c r="H2939">
        <v>0</v>
      </c>
      <c r="I2939">
        <v>0</v>
      </c>
      <c r="J2939">
        <v>0</v>
      </c>
      <c r="K2939">
        <v>62.6</v>
      </c>
      <c r="L2939">
        <v>62.8</v>
      </c>
      <c r="M2939">
        <v>67.180000000000007</v>
      </c>
      <c r="N2939">
        <v>7</v>
      </c>
      <c r="O2939">
        <v>6</v>
      </c>
      <c r="P2939">
        <f>MOD(DAY(datos_siembra[[#This Row],[Date]]),7)</f>
        <v>0</v>
      </c>
      <c r="Q2939" t="str">
        <f>CHOOSE(WEEKDAY(datos_siembra[[#This Row],[Date]],2),"L","M","X","J","V","S","D")</f>
        <v>L</v>
      </c>
      <c r="R2939">
        <f>WEEKNUM(datos_siembra[[#This Row],[Date]],2)-WEEKNUM(DATE(YEAR(datos_siembra[[#This Row],[Date]]),MONTH(datos_siembra[[#This Row],[Date]]),1))+1</f>
        <v>2</v>
      </c>
      <c r="S2939">
        <f>MONTH(datos_siembra[[#This Row],[Date]])</f>
        <v>10</v>
      </c>
      <c r="T2939" t="str" cm="1">
        <f t="array" ref="T2939">_xlfn.IFS(AND(N2939&lt;= 22, S2939=9), "SOWING",AND(N2939&lt;= 28, S2939=9), "COVERAGE",AND(N2939&lt;= 30, S2939=9), "FLUSH",AND(N2939&lt;= 11, S2939=10), "FLUSH",AND(N2939&lt;= 21, S2939=10), "PRODUCTION")</f>
        <v>FLUSH</v>
      </c>
      <c r="U2939">
        <f>HOUR(datos_siembra[[#This Row],[Hour]])</f>
        <v>4</v>
      </c>
      <c r="V2939" cm="1">
        <f t="array" ref="V2939">_xlfn.IFS(AND(N2939&lt;= 22, S2939=9), N2939-7,AND(N2939&lt;= 28, S2939=9), N2939-25,AND(N2939&lt;= 30, S2939=9), N2939-28,AND(N2939&lt;= 11, S2939=10), N2939+2,AND(N2939&lt;= 21, S2939=10), N2939-11)</f>
        <v>9</v>
      </c>
    </row>
    <row r="2940" spans="1:22" x14ac:dyDescent="0.35">
      <c r="A2940" s="4">
        <v>45572</v>
      </c>
      <c r="B2940" s="5">
        <v>0.20712962962962964</v>
      </c>
      <c r="C2940">
        <v>67</v>
      </c>
      <c r="D2940">
        <v>66.900000000000006</v>
      </c>
      <c r="E2940">
        <v>67.7</v>
      </c>
      <c r="F2940">
        <v>67.099999999999994</v>
      </c>
      <c r="G2940">
        <v>0</v>
      </c>
      <c r="H2940">
        <v>0</v>
      </c>
      <c r="I2940">
        <v>0</v>
      </c>
      <c r="J2940">
        <v>0</v>
      </c>
      <c r="K2940">
        <v>62.5</v>
      </c>
      <c r="L2940">
        <v>62.7</v>
      </c>
      <c r="M2940">
        <v>67.16</v>
      </c>
      <c r="N2940">
        <v>7</v>
      </c>
      <c r="O2940">
        <v>6</v>
      </c>
      <c r="P2940">
        <f>MOD(DAY(datos_siembra[[#This Row],[Date]]),7)</f>
        <v>0</v>
      </c>
      <c r="Q2940" t="str">
        <f>CHOOSE(WEEKDAY(datos_siembra[[#This Row],[Date]],2),"L","M","X","J","V","S","D")</f>
        <v>L</v>
      </c>
      <c r="R2940">
        <f>WEEKNUM(datos_siembra[[#This Row],[Date]],2)-WEEKNUM(DATE(YEAR(datos_siembra[[#This Row],[Date]]),MONTH(datos_siembra[[#This Row],[Date]]),1))+1</f>
        <v>2</v>
      </c>
      <c r="S2940">
        <f>MONTH(datos_siembra[[#This Row],[Date]])</f>
        <v>10</v>
      </c>
      <c r="T2940" t="str" cm="1">
        <f t="array" ref="T2940">_xlfn.IFS(AND(N2940&lt;= 22, S2940=9), "SOWING",AND(N2940&lt;= 28, S2940=9), "COVERAGE",AND(N2940&lt;= 30, S2940=9), "FLUSH",AND(N2940&lt;= 11, S2940=10), "FLUSH",AND(N2940&lt;= 21, S2940=10), "PRODUCTION")</f>
        <v>FLUSH</v>
      </c>
      <c r="U2940">
        <f>HOUR(datos_siembra[[#This Row],[Hour]])</f>
        <v>4</v>
      </c>
      <c r="V2940" cm="1">
        <f t="array" ref="V2940">_xlfn.IFS(AND(N2940&lt;= 22, S2940=9), N2940-7,AND(N2940&lt;= 28, S2940=9), N2940-25,AND(N2940&lt;= 30, S2940=9), N2940-28,AND(N2940&lt;= 11, S2940=10), N2940+2,AND(N2940&lt;= 21, S2940=10), N2940-11)</f>
        <v>9</v>
      </c>
    </row>
    <row r="2941" spans="1:22" x14ac:dyDescent="0.35">
      <c r="A2941" s="4">
        <v>45572</v>
      </c>
      <c r="B2941" s="5">
        <v>0.21407407407407408</v>
      </c>
      <c r="C2941">
        <v>67.099999999999994</v>
      </c>
      <c r="D2941">
        <v>66.900000000000006</v>
      </c>
      <c r="E2941">
        <v>67.7</v>
      </c>
      <c r="F2941">
        <v>67.2</v>
      </c>
      <c r="G2941">
        <v>0</v>
      </c>
      <c r="H2941">
        <v>0</v>
      </c>
      <c r="I2941">
        <v>0</v>
      </c>
      <c r="J2941">
        <v>0</v>
      </c>
      <c r="K2941">
        <v>62.4</v>
      </c>
      <c r="L2941">
        <v>62.7</v>
      </c>
      <c r="M2941">
        <v>67.16</v>
      </c>
      <c r="N2941">
        <v>7</v>
      </c>
      <c r="O2941">
        <v>6</v>
      </c>
      <c r="P2941">
        <f>MOD(DAY(datos_siembra[[#This Row],[Date]]),7)</f>
        <v>0</v>
      </c>
      <c r="Q2941" t="str">
        <f>CHOOSE(WEEKDAY(datos_siembra[[#This Row],[Date]],2),"L","M","X","J","V","S","D")</f>
        <v>L</v>
      </c>
      <c r="R2941">
        <f>WEEKNUM(datos_siembra[[#This Row],[Date]],2)-WEEKNUM(DATE(YEAR(datos_siembra[[#This Row],[Date]]),MONTH(datos_siembra[[#This Row],[Date]]),1))+1</f>
        <v>2</v>
      </c>
      <c r="S2941">
        <f>MONTH(datos_siembra[[#This Row],[Date]])</f>
        <v>10</v>
      </c>
      <c r="T2941" t="str" cm="1">
        <f t="array" ref="T2941">_xlfn.IFS(AND(N2941&lt;= 22, S2941=9), "SOWING",AND(N2941&lt;= 28, S2941=9), "COVERAGE",AND(N2941&lt;= 30, S2941=9), "FLUSH",AND(N2941&lt;= 11, S2941=10), "FLUSH",AND(N2941&lt;= 21, S2941=10), "PRODUCTION")</f>
        <v>FLUSH</v>
      </c>
      <c r="U2941">
        <f>HOUR(datos_siembra[[#This Row],[Hour]])</f>
        <v>5</v>
      </c>
      <c r="V2941" cm="1">
        <f t="array" ref="V2941">_xlfn.IFS(AND(N2941&lt;= 22, S2941=9), N2941-7,AND(N2941&lt;= 28, S2941=9), N2941-25,AND(N2941&lt;= 30, S2941=9), N2941-28,AND(N2941&lt;= 11, S2941=10), N2941+2,AND(N2941&lt;= 21, S2941=10), N2941-11)</f>
        <v>9</v>
      </c>
    </row>
    <row r="2942" spans="1:22" x14ac:dyDescent="0.35">
      <c r="A2942" s="4">
        <v>45572</v>
      </c>
      <c r="B2942" s="5">
        <v>0.22101851851851853</v>
      </c>
      <c r="C2942">
        <v>66.900000000000006</v>
      </c>
      <c r="D2942">
        <v>66.900000000000006</v>
      </c>
      <c r="E2942">
        <v>67.599999999999994</v>
      </c>
      <c r="F2942">
        <v>67.099999999999994</v>
      </c>
      <c r="G2942">
        <v>0</v>
      </c>
      <c r="H2942">
        <v>0</v>
      </c>
      <c r="I2942">
        <v>0</v>
      </c>
      <c r="J2942">
        <v>0</v>
      </c>
      <c r="K2942">
        <v>62.4</v>
      </c>
      <c r="L2942">
        <v>62.6</v>
      </c>
      <c r="M2942">
        <v>67.16</v>
      </c>
      <c r="N2942">
        <v>7</v>
      </c>
      <c r="O2942">
        <v>6</v>
      </c>
      <c r="P2942">
        <f>MOD(DAY(datos_siembra[[#This Row],[Date]]),7)</f>
        <v>0</v>
      </c>
      <c r="Q2942" t="str">
        <f>CHOOSE(WEEKDAY(datos_siembra[[#This Row],[Date]],2),"L","M","X","J","V","S","D")</f>
        <v>L</v>
      </c>
      <c r="R2942">
        <f>WEEKNUM(datos_siembra[[#This Row],[Date]],2)-WEEKNUM(DATE(YEAR(datos_siembra[[#This Row],[Date]]),MONTH(datos_siembra[[#This Row],[Date]]),1))+1</f>
        <v>2</v>
      </c>
      <c r="S2942">
        <f>MONTH(datos_siembra[[#This Row],[Date]])</f>
        <v>10</v>
      </c>
      <c r="T2942" t="str" cm="1">
        <f t="array" ref="T2942">_xlfn.IFS(AND(N2942&lt;= 22, S2942=9), "SOWING",AND(N2942&lt;= 28, S2942=9), "COVERAGE",AND(N2942&lt;= 30, S2942=9), "FLUSH",AND(N2942&lt;= 11, S2942=10), "FLUSH",AND(N2942&lt;= 21, S2942=10), "PRODUCTION")</f>
        <v>FLUSH</v>
      </c>
      <c r="U2942">
        <f>HOUR(datos_siembra[[#This Row],[Hour]])</f>
        <v>5</v>
      </c>
      <c r="V2942" cm="1">
        <f t="array" ref="V2942">_xlfn.IFS(AND(N2942&lt;= 22, S2942=9), N2942-7,AND(N2942&lt;= 28, S2942=9), N2942-25,AND(N2942&lt;= 30, S2942=9), N2942-28,AND(N2942&lt;= 11, S2942=10), N2942+2,AND(N2942&lt;= 21, S2942=10), N2942-11)</f>
        <v>9</v>
      </c>
    </row>
    <row r="2943" spans="1:22" x14ac:dyDescent="0.35">
      <c r="A2943" s="4">
        <v>45572</v>
      </c>
      <c r="B2943" s="5">
        <v>0.22796296296296295</v>
      </c>
      <c r="C2943">
        <v>67.099999999999994</v>
      </c>
      <c r="D2943">
        <v>66.8</v>
      </c>
      <c r="E2943">
        <v>67.8</v>
      </c>
      <c r="F2943">
        <v>67.400000000000006</v>
      </c>
      <c r="G2943">
        <v>0</v>
      </c>
      <c r="H2943">
        <v>0</v>
      </c>
      <c r="I2943">
        <v>0</v>
      </c>
      <c r="J2943">
        <v>0</v>
      </c>
      <c r="K2943">
        <v>62.4</v>
      </c>
      <c r="L2943">
        <v>62.6</v>
      </c>
      <c r="M2943">
        <v>67.13</v>
      </c>
      <c r="N2943">
        <v>7</v>
      </c>
      <c r="O2943">
        <v>6</v>
      </c>
      <c r="P2943">
        <f>MOD(DAY(datos_siembra[[#This Row],[Date]]),7)</f>
        <v>0</v>
      </c>
      <c r="Q2943" t="str">
        <f>CHOOSE(WEEKDAY(datos_siembra[[#This Row],[Date]],2),"L","M","X","J","V","S","D")</f>
        <v>L</v>
      </c>
      <c r="R2943">
        <f>WEEKNUM(datos_siembra[[#This Row],[Date]],2)-WEEKNUM(DATE(YEAR(datos_siembra[[#This Row],[Date]]),MONTH(datos_siembra[[#This Row],[Date]]),1))+1</f>
        <v>2</v>
      </c>
      <c r="S2943">
        <f>MONTH(datos_siembra[[#This Row],[Date]])</f>
        <v>10</v>
      </c>
      <c r="T2943" t="str" cm="1">
        <f t="array" ref="T2943">_xlfn.IFS(AND(N2943&lt;= 22, S2943=9), "SOWING",AND(N2943&lt;= 28, S2943=9), "COVERAGE",AND(N2943&lt;= 30, S2943=9), "FLUSH",AND(N2943&lt;= 11, S2943=10), "FLUSH",AND(N2943&lt;= 21, S2943=10), "PRODUCTION")</f>
        <v>FLUSH</v>
      </c>
      <c r="U2943">
        <f>HOUR(datos_siembra[[#This Row],[Hour]])</f>
        <v>5</v>
      </c>
      <c r="V2943" cm="1">
        <f t="array" ref="V2943">_xlfn.IFS(AND(N2943&lt;= 22, S2943=9), N2943-7,AND(N2943&lt;= 28, S2943=9), N2943-25,AND(N2943&lt;= 30, S2943=9), N2943-28,AND(N2943&lt;= 11, S2943=10), N2943+2,AND(N2943&lt;= 21, S2943=10), N2943-11)</f>
        <v>9</v>
      </c>
    </row>
    <row r="2944" spans="1:22" x14ac:dyDescent="0.35">
      <c r="A2944" s="4">
        <v>45572</v>
      </c>
      <c r="B2944" s="5">
        <v>0.23491898148148149</v>
      </c>
      <c r="C2944">
        <v>67.099999999999994</v>
      </c>
      <c r="D2944">
        <v>67</v>
      </c>
      <c r="E2944">
        <v>67.7</v>
      </c>
      <c r="F2944">
        <v>67.2</v>
      </c>
      <c r="G2944">
        <v>0</v>
      </c>
      <c r="H2944">
        <v>0</v>
      </c>
      <c r="I2944">
        <v>0</v>
      </c>
      <c r="J2944">
        <v>0</v>
      </c>
      <c r="K2944">
        <v>62.4</v>
      </c>
      <c r="L2944">
        <v>62.7</v>
      </c>
      <c r="M2944">
        <v>67.209999999999994</v>
      </c>
      <c r="N2944">
        <v>7</v>
      </c>
      <c r="O2944">
        <v>6</v>
      </c>
      <c r="P2944">
        <f>MOD(DAY(datos_siembra[[#This Row],[Date]]),7)</f>
        <v>0</v>
      </c>
      <c r="Q2944" t="str">
        <f>CHOOSE(WEEKDAY(datos_siembra[[#This Row],[Date]],2),"L","M","X","J","V","S","D")</f>
        <v>L</v>
      </c>
      <c r="R2944">
        <f>WEEKNUM(datos_siembra[[#This Row],[Date]],2)-WEEKNUM(DATE(YEAR(datos_siembra[[#This Row],[Date]]),MONTH(datos_siembra[[#This Row],[Date]]),1))+1</f>
        <v>2</v>
      </c>
      <c r="S2944">
        <f>MONTH(datos_siembra[[#This Row],[Date]])</f>
        <v>10</v>
      </c>
      <c r="T2944" t="str" cm="1">
        <f t="array" ref="T2944">_xlfn.IFS(AND(N2944&lt;= 22, S2944=9), "SOWING",AND(N2944&lt;= 28, S2944=9), "COVERAGE",AND(N2944&lt;= 30, S2944=9), "FLUSH",AND(N2944&lt;= 11, S2944=10), "FLUSH",AND(N2944&lt;= 21, S2944=10), "PRODUCTION")</f>
        <v>FLUSH</v>
      </c>
      <c r="U2944">
        <f>HOUR(datos_siembra[[#This Row],[Hour]])</f>
        <v>5</v>
      </c>
      <c r="V2944" cm="1">
        <f t="array" ref="V2944">_xlfn.IFS(AND(N2944&lt;= 22, S2944=9), N2944-7,AND(N2944&lt;= 28, S2944=9), N2944-25,AND(N2944&lt;= 30, S2944=9), N2944-28,AND(N2944&lt;= 11, S2944=10), N2944+2,AND(N2944&lt;= 21, S2944=10), N2944-11)</f>
        <v>9</v>
      </c>
    </row>
    <row r="2945" spans="1:22" x14ac:dyDescent="0.35">
      <c r="A2945" s="4">
        <v>45572</v>
      </c>
      <c r="B2945" s="5">
        <v>0.24186342592592591</v>
      </c>
      <c r="C2945">
        <v>67</v>
      </c>
      <c r="D2945">
        <v>66.900000000000006</v>
      </c>
      <c r="E2945">
        <v>67.7</v>
      </c>
      <c r="F2945">
        <v>67.099999999999994</v>
      </c>
      <c r="G2945">
        <v>0</v>
      </c>
      <c r="H2945">
        <v>0</v>
      </c>
      <c r="I2945">
        <v>0</v>
      </c>
      <c r="J2945">
        <v>0</v>
      </c>
      <c r="K2945">
        <v>62.4</v>
      </c>
      <c r="L2945">
        <v>62.6</v>
      </c>
      <c r="M2945">
        <v>67.239999999999995</v>
      </c>
      <c r="N2945">
        <v>7</v>
      </c>
      <c r="O2945">
        <v>6</v>
      </c>
      <c r="P2945">
        <f>MOD(DAY(datos_siembra[[#This Row],[Date]]),7)</f>
        <v>0</v>
      </c>
      <c r="Q2945" t="str">
        <f>CHOOSE(WEEKDAY(datos_siembra[[#This Row],[Date]],2),"L","M","X","J","V","S","D")</f>
        <v>L</v>
      </c>
      <c r="R2945">
        <f>WEEKNUM(datos_siembra[[#This Row],[Date]],2)-WEEKNUM(DATE(YEAR(datos_siembra[[#This Row],[Date]]),MONTH(datos_siembra[[#This Row],[Date]]),1))+1</f>
        <v>2</v>
      </c>
      <c r="S2945">
        <f>MONTH(datos_siembra[[#This Row],[Date]])</f>
        <v>10</v>
      </c>
      <c r="T2945" t="str" cm="1">
        <f t="array" ref="T2945">_xlfn.IFS(AND(N2945&lt;= 22, S2945=9), "SOWING",AND(N2945&lt;= 28, S2945=9), "COVERAGE",AND(N2945&lt;= 30, S2945=9), "FLUSH",AND(N2945&lt;= 11, S2945=10), "FLUSH",AND(N2945&lt;= 21, S2945=10), "PRODUCTION")</f>
        <v>FLUSH</v>
      </c>
      <c r="U2945">
        <f>HOUR(datos_siembra[[#This Row],[Hour]])</f>
        <v>5</v>
      </c>
      <c r="V2945" cm="1">
        <f t="array" ref="V2945">_xlfn.IFS(AND(N2945&lt;= 22, S2945=9), N2945-7,AND(N2945&lt;= 28, S2945=9), N2945-25,AND(N2945&lt;= 30, S2945=9), N2945-28,AND(N2945&lt;= 11, S2945=10), N2945+2,AND(N2945&lt;= 21, S2945=10), N2945-11)</f>
        <v>9</v>
      </c>
    </row>
    <row r="2946" spans="1:22" x14ac:dyDescent="0.35">
      <c r="A2946" s="4">
        <v>45572</v>
      </c>
      <c r="B2946" s="5">
        <v>0.24880787037037036</v>
      </c>
      <c r="C2946">
        <v>67</v>
      </c>
      <c r="D2946">
        <v>66.8</v>
      </c>
      <c r="E2946">
        <v>67.599999999999994</v>
      </c>
      <c r="F2946">
        <v>67.099999999999994</v>
      </c>
      <c r="G2946">
        <v>0</v>
      </c>
      <c r="H2946">
        <v>0</v>
      </c>
      <c r="I2946">
        <v>0</v>
      </c>
      <c r="J2946">
        <v>0</v>
      </c>
      <c r="K2946">
        <v>62.3</v>
      </c>
      <c r="L2946">
        <v>62.6</v>
      </c>
      <c r="M2946">
        <v>67.239999999999995</v>
      </c>
      <c r="N2946">
        <v>7</v>
      </c>
      <c r="O2946">
        <v>6</v>
      </c>
      <c r="P2946">
        <f>MOD(DAY(datos_siembra[[#This Row],[Date]]),7)</f>
        <v>0</v>
      </c>
      <c r="Q2946" t="str">
        <f>CHOOSE(WEEKDAY(datos_siembra[[#This Row],[Date]],2),"L","M","X","J","V","S","D")</f>
        <v>L</v>
      </c>
      <c r="R2946">
        <f>WEEKNUM(datos_siembra[[#This Row],[Date]],2)-WEEKNUM(DATE(YEAR(datos_siembra[[#This Row],[Date]]),MONTH(datos_siembra[[#This Row],[Date]]),1))+1</f>
        <v>2</v>
      </c>
      <c r="S2946">
        <f>MONTH(datos_siembra[[#This Row],[Date]])</f>
        <v>10</v>
      </c>
      <c r="T2946" t="str" cm="1">
        <f t="array" ref="T2946">_xlfn.IFS(AND(N2946&lt;= 22, S2946=9), "SOWING",AND(N2946&lt;= 28, S2946=9), "COVERAGE",AND(N2946&lt;= 30, S2946=9), "FLUSH",AND(N2946&lt;= 11, S2946=10), "FLUSH",AND(N2946&lt;= 21, S2946=10), "PRODUCTION")</f>
        <v>FLUSH</v>
      </c>
      <c r="U2946">
        <f>HOUR(datos_siembra[[#This Row],[Hour]])</f>
        <v>5</v>
      </c>
      <c r="V2946" cm="1">
        <f t="array" ref="V2946">_xlfn.IFS(AND(N2946&lt;= 22, S2946=9), N2946-7,AND(N2946&lt;= 28, S2946=9), N2946-25,AND(N2946&lt;= 30, S2946=9), N2946-28,AND(N2946&lt;= 11, S2946=10), N2946+2,AND(N2946&lt;= 21, S2946=10), N2946-11)</f>
        <v>9</v>
      </c>
    </row>
    <row r="2947" spans="1:22" x14ac:dyDescent="0.35">
      <c r="A2947" s="4">
        <v>45572</v>
      </c>
      <c r="B2947" s="5">
        <v>0.2557638888888889</v>
      </c>
      <c r="C2947">
        <v>67</v>
      </c>
      <c r="D2947">
        <v>66.8</v>
      </c>
      <c r="E2947">
        <v>67.7</v>
      </c>
      <c r="F2947">
        <v>67.2</v>
      </c>
      <c r="G2947">
        <v>0</v>
      </c>
      <c r="H2947">
        <v>0</v>
      </c>
      <c r="I2947">
        <v>0</v>
      </c>
      <c r="J2947">
        <v>0</v>
      </c>
      <c r="K2947">
        <v>62.3</v>
      </c>
      <c r="L2947">
        <v>62.5</v>
      </c>
      <c r="M2947">
        <v>67.209999999999994</v>
      </c>
      <c r="N2947">
        <v>7</v>
      </c>
      <c r="O2947">
        <v>6</v>
      </c>
      <c r="P2947">
        <f>MOD(DAY(datos_siembra[[#This Row],[Date]]),7)</f>
        <v>0</v>
      </c>
      <c r="Q2947" t="str">
        <f>CHOOSE(WEEKDAY(datos_siembra[[#This Row],[Date]],2),"L","M","X","J","V","S","D")</f>
        <v>L</v>
      </c>
      <c r="R2947">
        <f>WEEKNUM(datos_siembra[[#This Row],[Date]],2)-WEEKNUM(DATE(YEAR(datos_siembra[[#This Row],[Date]]),MONTH(datos_siembra[[#This Row],[Date]]),1))+1</f>
        <v>2</v>
      </c>
      <c r="S2947">
        <f>MONTH(datos_siembra[[#This Row],[Date]])</f>
        <v>10</v>
      </c>
      <c r="T2947" t="str" cm="1">
        <f t="array" ref="T2947">_xlfn.IFS(AND(N2947&lt;= 22, S2947=9), "SOWING",AND(N2947&lt;= 28, S2947=9), "COVERAGE",AND(N2947&lt;= 30, S2947=9), "FLUSH",AND(N2947&lt;= 11, S2947=10), "FLUSH",AND(N2947&lt;= 21, S2947=10), "PRODUCTION")</f>
        <v>FLUSH</v>
      </c>
      <c r="U2947">
        <f>HOUR(datos_siembra[[#This Row],[Hour]])</f>
        <v>6</v>
      </c>
      <c r="V2947" cm="1">
        <f t="array" ref="V2947">_xlfn.IFS(AND(N2947&lt;= 22, S2947=9), N2947-7,AND(N2947&lt;= 28, S2947=9), N2947-25,AND(N2947&lt;= 30, S2947=9), N2947-28,AND(N2947&lt;= 11, S2947=10), N2947+2,AND(N2947&lt;= 21, S2947=10), N2947-11)</f>
        <v>9</v>
      </c>
    </row>
    <row r="2948" spans="1:22" x14ac:dyDescent="0.35">
      <c r="A2948" s="4">
        <v>45572</v>
      </c>
      <c r="B2948" s="5">
        <v>0.26270833333333332</v>
      </c>
      <c r="C2948">
        <v>67</v>
      </c>
      <c r="D2948">
        <v>66.900000000000006</v>
      </c>
      <c r="E2948">
        <v>67.7</v>
      </c>
      <c r="F2948">
        <v>67.3</v>
      </c>
      <c r="G2948">
        <v>0</v>
      </c>
      <c r="H2948">
        <v>0</v>
      </c>
      <c r="I2948">
        <v>0</v>
      </c>
      <c r="J2948">
        <v>0</v>
      </c>
      <c r="K2948">
        <v>62.2</v>
      </c>
      <c r="L2948">
        <v>62.4</v>
      </c>
      <c r="M2948">
        <v>67.209999999999994</v>
      </c>
      <c r="N2948">
        <v>7</v>
      </c>
      <c r="O2948">
        <v>6</v>
      </c>
      <c r="P2948">
        <f>MOD(DAY(datos_siembra[[#This Row],[Date]]),7)</f>
        <v>0</v>
      </c>
      <c r="Q2948" t="str">
        <f>CHOOSE(WEEKDAY(datos_siembra[[#This Row],[Date]],2),"L","M","X","J","V","S","D")</f>
        <v>L</v>
      </c>
      <c r="R2948">
        <f>WEEKNUM(datos_siembra[[#This Row],[Date]],2)-WEEKNUM(DATE(YEAR(datos_siembra[[#This Row],[Date]]),MONTH(datos_siembra[[#This Row],[Date]]),1))+1</f>
        <v>2</v>
      </c>
      <c r="S2948">
        <f>MONTH(datos_siembra[[#This Row],[Date]])</f>
        <v>10</v>
      </c>
      <c r="T2948" t="str" cm="1">
        <f t="array" ref="T2948">_xlfn.IFS(AND(N2948&lt;= 22, S2948=9), "SOWING",AND(N2948&lt;= 28, S2948=9), "COVERAGE",AND(N2948&lt;= 30, S2948=9), "FLUSH",AND(N2948&lt;= 11, S2948=10), "FLUSH",AND(N2948&lt;= 21, S2948=10), "PRODUCTION")</f>
        <v>FLUSH</v>
      </c>
      <c r="U2948">
        <f>HOUR(datos_siembra[[#This Row],[Hour]])</f>
        <v>6</v>
      </c>
      <c r="V2948" cm="1">
        <f t="array" ref="V2948">_xlfn.IFS(AND(N2948&lt;= 22, S2948=9), N2948-7,AND(N2948&lt;= 28, S2948=9), N2948-25,AND(N2948&lt;= 30, S2948=9), N2948-28,AND(N2948&lt;= 11, S2948=10), N2948+2,AND(N2948&lt;= 21, S2948=10), N2948-11)</f>
        <v>9</v>
      </c>
    </row>
    <row r="2949" spans="1:22" x14ac:dyDescent="0.35">
      <c r="A2949" s="4">
        <v>45572</v>
      </c>
      <c r="B2949" s="5">
        <v>0.2696527777777778</v>
      </c>
      <c r="C2949">
        <v>67</v>
      </c>
      <c r="D2949">
        <v>67</v>
      </c>
      <c r="E2949">
        <v>67.599999999999994</v>
      </c>
      <c r="F2949">
        <v>67.3</v>
      </c>
      <c r="G2949">
        <v>0</v>
      </c>
      <c r="H2949">
        <v>0</v>
      </c>
      <c r="I2949">
        <v>0</v>
      </c>
      <c r="J2949">
        <v>0</v>
      </c>
      <c r="K2949">
        <v>62.3</v>
      </c>
      <c r="L2949">
        <v>62.5</v>
      </c>
      <c r="M2949">
        <v>67.209999999999994</v>
      </c>
      <c r="N2949">
        <v>7</v>
      </c>
      <c r="O2949">
        <v>6</v>
      </c>
      <c r="P2949">
        <f>MOD(DAY(datos_siembra[[#This Row],[Date]]),7)</f>
        <v>0</v>
      </c>
      <c r="Q2949" t="str">
        <f>CHOOSE(WEEKDAY(datos_siembra[[#This Row],[Date]],2),"L","M","X","J","V","S","D")</f>
        <v>L</v>
      </c>
      <c r="R2949">
        <f>WEEKNUM(datos_siembra[[#This Row],[Date]],2)-WEEKNUM(DATE(YEAR(datos_siembra[[#This Row],[Date]]),MONTH(datos_siembra[[#This Row],[Date]]),1))+1</f>
        <v>2</v>
      </c>
      <c r="S2949">
        <f>MONTH(datos_siembra[[#This Row],[Date]])</f>
        <v>10</v>
      </c>
      <c r="T2949" t="str" cm="1">
        <f t="array" ref="T2949">_xlfn.IFS(AND(N2949&lt;= 22, S2949=9), "SOWING",AND(N2949&lt;= 28, S2949=9), "COVERAGE",AND(N2949&lt;= 30, S2949=9), "FLUSH",AND(N2949&lt;= 11, S2949=10), "FLUSH",AND(N2949&lt;= 21, S2949=10), "PRODUCTION")</f>
        <v>FLUSH</v>
      </c>
      <c r="U2949">
        <f>HOUR(datos_siembra[[#This Row],[Hour]])</f>
        <v>6</v>
      </c>
      <c r="V2949" cm="1">
        <f t="array" ref="V2949">_xlfn.IFS(AND(N2949&lt;= 22, S2949=9), N2949-7,AND(N2949&lt;= 28, S2949=9), N2949-25,AND(N2949&lt;= 30, S2949=9), N2949-28,AND(N2949&lt;= 11, S2949=10), N2949+2,AND(N2949&lt;= 21, S2949=10), N2949-11)</f>
        <v>9</v>
      </c>
    </row>
    <row r="2950" spans="1:22" x14ac:dyDescent="0.35">
      <c r="A2950" s="4">
        <v>45572</v>
      </c>
      <c r="B2950" s="5">
        <v>0.27659722222222222</v>
      </c>
      <c r="C2950">
        <v>67</v>
      </c>
      <c r="D2950">
        <v>66.900000000000006</v>
      </c>
      <c r="E2950">
        <v>67.7</v>
      </c>
      <c r="F2950">
        <v>67.099999999999994</v>
      </c>
      <c r="G2950">
        <v>0</v>
      </c>
      <c r="H2950">
        <v>0</v>
      </c>
      <c r="I2950">
        <v>0</v>
      </c>
      <c r="J2950">
        <v>0</v>
      </c>
      <c r="K2950">
        <v>62.2</v>
      </c>
      <c r="L2950">
        <v>62.4</v>
      </c>
      <c r="M2950">
        <v>67.239999999999995</v>
      </c>
      <c r="N2950">
        <v>7</v>
      </c>
      <c r="O2950">
        <v>6</v>
      </c>
      <c r="P2950">
        <f>MOD(DAY(datos_siembra[[#This Row],[Date]]),7)</f>
        <v>0</v>
      </c>
      <c r="Q2950" t="str">
        <f>CHOOSE(WEEKDAY(datos_siembra[[#This Row],[Date]],2),"L","M","X","J","V","S","D")</f>
        <v>L</v>
      </c>
      <c r="R2950">
        <f>WEEKNUM(datos_siembra[[#This Row],[Date]],2)-WEEKNUM(DATE(YEAR(datos_siembra[[#This Row],[Date]]),MONTH(datos_siembra[[#This Row],[Date]]),1))+1</f>
        <v>2</v>
      </c>
      <c r="S2950">
        <f>MONTH(datos_siembra[[#This Row],[Date]])</f>
        <v>10</v>
      </c>
      <c r="T2950" t="str" cm="1">
        <f t="array" ref="T2950">_xlfn.IFS(AND(N2950&lt;= 22, S2950=9), "SOWING",AND(N2950&lt;= 28, S2950=9), "COVERAGE",AND(N2950&lt;= 30, S2950=9), "FLUSH",AND(N2950&lt;= 11, S2950=10), "FLUSH",AND(N2950&lt;= 21, S2950=10), "PRODUCTION")</f>
        <v>FLUSH</v>
      </c>
      <c r="U2950">
        <f>HOUR(datos_siembra[[#This Row],[Hour]])</f>
        <v>6</v>
      </c>
      <c r="V2950" cm="1">
        <f t="array" ref="V2950">_xlfn.IFS(AND(N2950&lt;= 22, S2950=9), N2950-7,AND(N2950&lt;= 28, S2950=9), N2950-25,AND(N2950&lt;= 30, S2950=9), N2950-28,AND(N2950&lt;= 11, S2950=10), N2950+2,AND(N2950&lt;= 21, S2950=10), N2950-11)</f>
        <v>9</v>
      </c>
    </row>
    <row r="2951" spans="1:22" x14ac:dyDescent="0.35">
      <c r="A2951" s="4">
        <v>45572</v>
      </c>
      <c r="B2951" s="5">
        <v>0.28355324074074073</v>
      </c>
      <c r="C2951">
        <v>67</v>
      </c>
      <c r="D2951">
        <v>66.900000000000006</v>
      </c>
      <c r="E2951">
        <v>67.400000000000006</v>
      </c>
      <c r="F2951">
        <v>67.2</v>
      </c>
      <c r="G2951">
        <v>0</v>
      </c>
      <c r="H2951">
        <v>0</v>
      </c>
      <c r="I2951">
        <v>0</v>
      </c>
      <c r="J2951">
        <v>0</v>
      </c>
      <c r="K2951">
        <v>62.2</v>
      </c>
      <c r="L2951">
        <v>62.4</v>
      </c>
      <c r="M2951">
        <v>67.13</v>
      </c>
      <c r="N2951">
        <v>7</v>
      </c>
      <c r="O2951">
        <v>6</v>
      </c>
      <c r="P2951">
        <f>MOD(DAY(datos_siembra[[#This Row],[Date]]),7)</f>
        <v>0</v>
      </c>
      <c r="Q2951" t="str">
        <f>CHOOSE(WEEKDAY(datos_siembra[[#This Row],[Date]],2),"L","M","X","J","V","S","D")</f>
        <v>L</v>
      </c>
      <c r="R2951">
        <f>WEEKNUM(datos_siembra[[#This Row],[Date]],2)-WEEKNUM(DATE(YEAR(datos_siembra[[#This Row],[Date]]),MONTH(datos_siembra[[#This Row],[Date]]),1))+1</f>
        <v>2</v>
      </c>
      <c r="S2951">
        <f>MONTH(datos_siembra[[#This Row],[Date]])</f>
        <v>10</v>
      </c>
      <c r="T2951" t="str" cm="1">
        <f t="array" ref="T2951">_xlfn.IFS(AND(N2951&lt;= 22, S2951=9), "SOWING",AND(N2951&lt;= 28, S2951=9), "COVERAGE",AND(N2951&lt;= 30, S2951=9), "FLUSH",AND(N2951&lt;= 11, S2951=10), "FLUSH",AND(N2951&lt;= 21, S2951=10), "PRODUCTION")</f>
        <v>FLUSH</v>
      </c>
      <c r="U2951">
        <f>HOUR(datos_siembra[[#This Row],[Hour]])</f>
        <v>6</v>
      </c>
      <c r="V2951" cm="1">
        <f t="array" ref="V2951">_xlfn.IFS(AND(N2951&lt;= 22, S2951=9), N2951-7,AND(N2951&lt;= 28, S2951=9), N2951-25,AND(N2951&lt;= 30, S2951=9), N2951-28,AND(N2951&lt;= 11, S2951=10), N2951+2,AND(N2951&lt;= 21, S2951=10), N2951-11)</f>
        <v>9</v>
      </c>
    </row>
    <row r="2952" spans="1:22" x14ac:dyDescent="0.35">
      <c r="A2952" s="4">
        <v>45572</v>
      </c>
      <c r="B2952" s="5">
        <v>0.29049768518518521</v>
      </c>
      <c r="C2952">
        <v>67</v>
      </c>
      <c r="D2952">
        <v>66.900000000000006</v>
      </c>
      <c r="E2952">
        <v>67.8</v>
      </c>
      <c r="F2952">
        <v>67.2</v>
      </c>
      <c r="G2952">
        <v>0</v>
      </c>
      <c r="H2952">
        <v>0</v>
      </c>
      <c r="I2952">
        <v>0</v>
      </c>
      <c r="J2952">
        <v>0</v>
      </c>
      <c r="K2952">
        <v>62.2</v>
      </c>
      <c r="L2952">
        <v>62.3</v>
      </c>
      <c r="M2952">
        <v>67.239999999999995</v>
      </c>
      <c r="N2952">
        <v>7</v>
      </c>
      <c r="O2952">
        <v>6</v>
      </c>
      <c r="P2952">
        <f>MOD(DAY(datos_siembra[[#This Row],[Date]]),7)</f>
        <v>0</v>
      </c>
      <c r="Q2952" t="str">
        <f>CHOOSE(WEEKDAY(datos_siembra[[#This Row],[Date]],2),"L","M","X","J","V","S","D")</f>
        <v>L</v>
      </c>
      <c r="R2952">
        <f>WEEKNUM(datos_siembra[[#This Row],[Date]],2)-WEEKNUM(DATE(YEAR(datos_siembra[[#This Row],[Date]]),MONTH(datos_siembra[[#This Row],[Date]]),1))+1</f>
        <v>2</v>
      </c>
      <c r="S2952">
        <f>MONTH(datos_siembra[[#This Row],[Date]])</f>
        <v>10</v>
      </c>
      <c r="T2952" t="str" cm="1">
        <f t="array" ref="T2952">_xlfn.IFS(AND(N2952&lt;= 22, S2952=9), "SOWING",AND(N2952&lt;= 28, S2952=9), "COVERAGE",AND(N2952&lt;= 30, S2952=9), "FLUSH",AND(N2952&lt;= 11, S2952=10), "FLUSH",AND(N2952&lt;= 21, S2952=10), "PRODUCTION")</f>
        <v>FLUSH</v>
      </c>
      <c r="U2952">
        <f>HOUR(datos_siembra[[#This Row],[Hour]])</f>
        <v>6</v>
      </c>
      <c r="V2952" cm="1">
        <f t="array" ref="V2952">_xlfn.IFS(AND(N2952&lt;= 22, S2952=9), N2952-7,AND(N2952&lt;= 28, S2952=9), N2952-25,AND(N2952&lt;= 30, S2952=9), N2952-28,AND(N2952&lt;= 11, S2952=10), N2952+2,AND(N2952&lt;= 21, S2952=10), N2952-11)</f>
        <v>9</v>
      </c>
    </row>
    <row r="2953" spans="1:22" x14ac:dyDescent="0.35">
      <c r="A2953" s="4">
        <v>45572</v>
      </c>
      <c r="B2953" s="5">
        <v>0.29744212962962963</v>
      </c>
      <c r="C2953">
        <v>67.099999999999994</v>
      </c>
      <c r="D2953">
        <v>66.900000000000006</v>
      </c>
      <c r="E2953">
        <v>67.7</v>
      </c>
      <c r="F2953">
        <v>67.2</v>
      </c>
      <c r="G2953">
        <v>0</v>
      </c>
      <c r="H2953">
        <v>0</v>
      </c>
      <c r="I2953">
        <v>0</v>
      </c>
      <c r="J2953">
        <v>0</v>
      </c>
      <c r="K2953">
        <v>62.2</v>
      </c>
      <c r="L2953">
        <v>62.4</v>
      </c>
      <c r="M2953">
        <v>67.239999999999995</v>
      </c>
      <c r="N2953">
        <v>7</v>
      </c>
      <c r="O2953">
        <v>6</v>
      </c>
      <c r="P2953">
        <f>MOD(DAY(datos_siembra[[#This Row],[Date]]),7)</f>
        <v>0</v>
      </c>
      <c r="Q2953" t="str">
        <f>CHOOSE(WEEKDAY(datos_siembra[[#This Row],[Date]],2),"L","M","X","J","V","S","D")</f>
        <v>L</v>
      </c>
      <c r="R2953">
        <f>WEEKNUM(datos_siembra[[#This Row],[Date]],2)-WEEKNUM(DATE(YEAR(datos_siembra[[#This Row],[Date]]),MONTH(datos_siembra[[#This Row],[Date]]),1))+1</f>
        <v>2</v>
      </c>
      <c r="S2953">
        <f>MONTH(datos_siembra[[#This Row],[Date]])</f>
        <v>10</v>
      </c>
      <c r="T2953" t="str" cm="1">
        <f t="array" ref="T2953">_xlfn.IFS(AND(N2953&lt;= 22, S2953=9), "SOWING",AND(N2953&lt;= 28, S2953=9), "COVERAGE",AND(N2953&lt;= 30, S2953=9), "FLUSH",AND(N2953&lt;= 11, S2953=10), "FLUSH",AND(N2953&lt;= 21, S2953=10), "PRODUCTION")</f>
        <v>FLUSH</v>
      </c>
      <c r="U2953">
        <f>HOUR(datos_siembra[[#This Row],[Hour]])</f>
        <v>7</v>
      </c>
      <c r="V2953" cm="1">
        <f t="array" ref="V2953">_xlfn.IFS(AND(N2953&lt;= 22, S2953=9), N2953-7,AND(N2953&lt;= 28, S2953=9), N2953-25,AND(N2953&lt;= 30, S2953=9), N2953-28,AND(N2953&lt;= 11, S2953=10), N2953+2,AND(N2953&lt;= 21, S2953=10), N2953-11)</f>
        <v>9</v>
      </c>
    </row>
    <row r="2954" spans="1:22" x14ac:dyDescent="0.35">
      <c r="A2954" s="4">
        <v>45572</v>
      </c>
      <c r="B2954" s="5">
        <v>0.30439814814814814</v>
      </c>
      <c r="C2954">
        <v>67.099999999999994</v>
      </c>
      <c r="D2954">
        <v>66.8</v>
      </c>
      <c r="E2954">
        <v>67.900000000000006</v>
      </c>
      <c r="F2954">
        <v>67.099999999999994</v>
      </c>
      <c r="G2954">
        <v>0</v>
      </c>
      <c r="H2954">
        <v>0</v>
      </c>
      <c r="I2954">
        <v>0</v>
      </c>
      <c r="J2954">
        <v>0</v>
      </c>
      <c r="K2954">
        <v>62.2</v>
      </c>
      <c r="L2954">
        <v>62.4</v>
      </c>
      <c r="M2954">
        <v>67.209999999999994</v>
      </c>
      <c r="N2954">
        <v>7</v>
      </c>
      <c r="O2954">
        <v>6</v>
      </c>
      <c r="P2954">
        <f>MOD(DAY(datos_siembra[[#This Row],[Date]]),7)</f>
        <v>0</v>
      </c>
      <c r="Q2954" t="str">
        <f>CHOOSE(WEEKDAY(datos_siembra[[#This Row],[Date]],2),"L","M","X","J","V","S","D")</f>
        <v>L</v>
      </c>
      <c r="R2954">
        <f>WEEKNUM(datos_siembra[[#This Row],[Date]],2)-WEEKNUM(DATE(YEAR(datos_siembra[[#This Row],[Date]]),MONTH(datos_siembra[[#This Row],[Date]]),1))+1</f>
        <v>2</v>
      </c>
      <c r="S2954">
        <f>MONTH(datos_siembra[[#This Row],[Date]])</f>
        <v>10</v>
      </c>
      <c r="T2954" t="str" cm="1">
        <f t="array" ref="T2954">_xlfn.IFS(AND(N2954&lt;= 22, S2954=9), "SOWING",AND(N2954&lt;= 28, S2954=9), "COVERAGE",AND(N2954&lt;= 30, S2954=9), "FLUSH",AND(N2954&lt;= 11, S2954=10), "FLUSH",AND(N2954&lt;= 21, S2954=10), "PRODUCTION")</f>
        <v>FLUSH</v>
      </c>
      <c r="U2954">
        <f>HOUR(datos_siembra[[#This Row],[Hour]])</f>
        <v>7</v>
      </c>
      <c r="V2954" cm="1">
        <f t="array" ref="V2954">_xlfn.IFS(AND(N2954&lt;= 22, S2954=9), N2954-7,AND(N2954&lt;= 28, S2954=9), N2954-25,AND(N2954&lt;= 30, S2954=9), N2954-28,AND(N2954&lt;= 11, S2954=10), N2954+2,AND(N2954&lt;= 21, S2954=10), N2954-11)</f>
        <v>9</v>
      </c>
    </row>
    <row r="2955" spans="1:22" x14ac:dyDescent="0.35">
      <c r="A2955" s="4">
        <v>45572</v>
      </c>
      <c r="B2955" s="5">
        <v>0.31134259259259262</v>
      </c>
      <c r="C2955">
        <v>67</v>
      </c>
      <c r="D2955">
        <v>66.900000000000006</v>
      </c>
      <c r="E2955">
        <v>67.599999999999994</v>
      </c>
      <c r="F2955">
        <v>67.099999999999994</v>
      </c>
      <c r="G2955">
        <v>0</v>
      </c>
      <c r="H2955">
        <v>0</v>
      </c>
      <c r="I2955">
        <v>0</v>
      </c>
      <c r="J2955">
        <v>0</v>
      </c>
      <c r="K2955">
        <v>62.3</v>
      </c>
      <c r="L2955">
        <v>62.5</v>
      </c>
      <c r="M2955">
        <v>67.16</v>
      </c>
      <c r="N2955">
        <v>7</v>
      </c>
      <c r="O2955">
        <v>6</v>
      </c>
      <c r="P2955">
        <f>MOD(DAY(datos_siembra[[#This Row],[Date]]),7)</f>
        <v>0</v>
      </c>
      <c r="Q2955" t="str">
        <f>CHOOSE(WEEKDAY(datos_siembra[[#This Row],[Date]],2),"L","M","X","J","V","S","D")</f>
        <v>L</v>
      </c>
      <c r="R2955">
        <f>WEEKNUM(datos_siembra[[#This Row],[Date]],2)-WEEKNUM(DATE(YEAR(datos_siembra[[#This Row],[Date]]),MONTH(datos_siembra[[#This Row],[Date]]),1))+1</f>
        <v>2</v>
      </c>
      <c r="S2955">
        <f>MONTH(datos_siembra[[#This Row],[Date]])</f>
        <v>10</v>
      </c>
      <c r="T2955" t="str" cm="1">
        <f t="array" ref="T2955">_xlfn.IFS(AND(N2955&lt;= 22, S2955=9), "SOWING",AND(N2955&lt;= 28, S2955=9), "COVERAGE",AND(N2955&lt;= 30, S2955=9), "FLUSH",AND(N2955&lt;= 11, S2955=10), "FLUSH",AND(N2955&lt;= 21, S2955=10), "PRODUCTION")</f>
        <v>FLUSH</v>
      </c>
      <c r="U2955">
        <f>HOUR(datos_siembra[[#This Row],[Hour]])</f>
        <v>7</v>
      </c>
      <c r="V2955" cm="1">
        <f t="array" ref="V2955">_xlfn.IFS(AND(N2955&lt;= 22, S2955=9), N2955-7,AND(N2955&lt;= 28, S2955=9), N2955-25,AND(N2955&lt;= 30, S2955=9), N2955-28,AND(N2955&lt;= 11, S2955=10), N2955+2,AND(N2955&lt;= 21, S2955=10), N2955-11)</f>
        <v>9</v>
      </c>
    </row>
    <row r="2956" spans="1:22" x14ac:dyDescent="0.35">
      <c r="A2956" s="4">
        <v>45572</v>
      </c>
      <c r="B2956" s="5">
        <v>0.31828703703703703</v>
      </c>
      <c r="C2956">
        <v>66.900000000000006</v>
      </c>
      <c r="D2956">
        <v>66.900000000000006</v>
      </c>
      <c r="E2956">
        <v>67.599999999999994</v>
      </c>
      <c r="F2956">
        <v>67.2</v>
      </c>
      <c r="G2956">
        <v>0</v>
      </c>
      <c r="H2956">
        <v>0</v>
      </c>
      <c r="I2956">
        <v>0</v>
      </c>
      <c r="J2956">
        <v>0</v>
      </c>
      <c r="K2956">
        <v>62.3</v>
      </c>
      <c r="L2956">
        <v>62.6</v>
      </c>
      <c r="M2956">
        <v>67.180000000000007</v>
      </c>
      <c r="N2956">
        <v>7</v>
      </c>
      <c r="O2956">
        <v>6</v>
      </c>
      <c r="P2956">
        <f>MOD(DAY(datos_siembra[[#This Row],[Date]]),7)</f>
        <v>0</v>
      </c>
      <c r="Q2956" t="str">
        <f>CHOOSE(WEEKDAY(datos_siembra[[#This Row],[Date]],2),"L","M","X","J","V","S","D")</f>
        <v>L</v>
      </c>
      <c r="R2956">
        <f>WEEKNUM(datos_siembra[[#This Row],[Date]],2)-WEEKNUM(DATE(YEAR(datos_siembra[[#This Row],[Date]]),MONTH(datos_siembra[[#This Row],[Date]]),1))+1</f>
        <v>2</v>
      </c>
      <c r="S2956">
        <f>MONTH(datos_siembra[[#This Row],[Date]])</f>
        <v>10</v>
      </c>
      <c r="T2956" t="str" cm="1">
        <f t="array" ref="T2956">_xlfn.IFS(AND(N2956&lt;= 22, S2956=9), "SOWING",AND(N2956&lt;= 28, S2956=9), "COVERAGE",AND(N2956&lt;= 30, S2956=9), "FLUSH",AND(N2956&lt;= 11, S2956=10), "FLUSH",AND(N2956&lt;= 21, S2956=10), "PRODUCTION")</f>
        <v>FLUSH</v>
      </c>
      <c r="U2956">
        <f>HOUR(datos_siembra[[#This Row],[Hour]])</f>
        <v>7</v>
      </c>
      <c r="V2956" cm="1">
        <f t="array" ref="V2956">_xlfn.IFS(AND(N2956&lt;= 22, S2956=9), N2956-7,AND(N2956&lt;= 28, S2956=9), N2956-25,AND(N2956&lt;= 30, S2956=9), N2956-28,AND(N2956&lt;= 11, S2956=10), N2956+2,AND(N2956&lt;= 21, S2956=10), N2956-11)</f>
        <v>9</v>
      </c>
    </row>
    <row r="2957" spans="1:22" x14ac:dyDescent="0.35">
      <c r="A2957" s="4">
        <v>45572</v>
      </c>
      <c r="B2957" s="5">
        <v>0.32523148148148145</v>
      </c>
      <c r="C2957">
        <v>67.099999999999994</v>
      </c>
      <c r="D2957">
        <v>66.8</v>
      </c>
      <c r="E2957">
        <v>67.8</v>
      </c>
      <c r="F2957">
        <v>67</v>
      </c>
      <c r="G2957">
        <v>0</v>
      </c>
      <c r="H2957">
        <v>0</v>
      </c>
      <c r="I2957">
        <v>0</v>
      </c>
      <c r="J2957">
        <v>0</v>
      </c>
      <c r="K2957">
        <v>62.4</v>
      </c>
      <c r="L2957">
        <v>62.8</v>
      </c>
      <c r="M2957">
        <v>67.16</v>
      </c>
      <c r="N2957">
        <v>7</v>
      </c>
      <c r="O2957">
        <v>6</v>
      </c>
      <c r="P2957">
        <f>MOD(DAY(datos_siembra[[#This Row],[Date]]),7)</f>
        <v>0</v>
      </c>
      <c r="Q2957" t="str">
        <f>CHOOSE(WEEKDAY(datos_siembra[[#This Row],[Date]],2),"L","M","X","J","V","S","D")</f>
        <v>L</v>
      </c>
      <c r="R2957">
        <f>WEEKNUM(datos_siembra[[#This Row],[Date]],2)-WEEKNUM(DATE(YEAR(datos_siembra[[#This Row],[Date]]),MONTH(datos_siembra[[#This Row],[Date]]),1))+1</f>
        <v>2</v>
      </c>
      <c r="S2957">
        <f>MONTH(datos_siembra[[#This Row],[Date]])</f>
        <v>10</v>
      </c>
      <c r="T2957" t="str" cm="1">
        <f t="array" ref="T2957">_xlfn.IFS(AND(N2957&lt;= 22, S2957=9), "SOWING",AND(N2957&lt;= 28, S2957=9), "COVERAGE",AND(N2957&lt;= 30, S2957=9), "FLUSH",AND(N2957&lt;= 11, S2957=10), "FLUSH",AND(N2957&lt;= 21, S2957=10), "PRODUCTION")</f>
        <v>FLUSH</v>
      </c>
      <c r="U2957">
        <f>HOUR(datos_siembra[[#This Row],[Hour]])</f>
        <v>7</v>
      </c>
      <c r="V2957" cm="1">
        <f t="array" ref="V2957">_xlfn.IFS(AND(N2957&lt;= 22, S2957=9), N2957-7,AND(N2957&lt;= 28, S2957=9), N2957-25,AND(N2957&lt;= 30, S2957=9), N2957-28,AND(N2957&lt;= 11, S2957=10), N2957+2,AND(N2957&lt;= 21, S2957=10), N2957-11)</f>
        <v>9</v>
      </c>
    </row>
    <row r="2958" spans="1:22" x14ac:dyDescent="0.35">
      <c r="A2958" s="4">
        <v>45572</v>
      </c>
      <c r="B2958" s="5">
        <v>0.33218750000000002</v>
      </c>
      <c r="C2958">
        <v>67</v>
      </c>
      <c r="D2958">
        <v>66.900000000000006</v>
      </c>
      <c r="E2958">
        <v>67.7</v>
      </c>
      <c r="F2958">
        <v>67.099999999999994</v>
      </c>
      <c r="G2958">
        <v>0</v>
      </c>
      <c r="H2958">
        <v>0</v>
      </c>
      <c r="I2958">
        <v>0</v>
      </c>
      <c r="J2958">
        <v>0</v>
      </c>
      <c r="K2958">
        <v>62.5</v>
      </c>
      <c r="L2958">
        <v>62.9</v>
      </c>
      <c r="M2958">
        <v>67.099999999999994</v>
      </c>
      <c r="N2958">
        <v>7</v>
      </c>
      <c r="O2958">
        <v>6</v>
      </c>
      <c r="P2958">
        <f>MOD(DAY(datos_siembra[[#This Row],[Date]]),7)</f>
        <v>0</v>
      </c>
      <c r="Q2958" t="str">
        <f>CHOOSE(WEEKDAY(datos_siembra[[#This Row],[Date]],2),"L","M","X","J","V","S","D")</f>
        <v>L</v>
      </c>
      <c r="R2958">
        <f>WEEKNUM(datos_siembra[[#This Row],[Date]],2)-WEEKNUM(DATE(YEAR(datos_siembra[[#This Row],[Date]]),MONTH(datos_siembra[[#This Row],[Date]]),1))+1</f>
        <v>2</v>
      </c>
      <c r="S2958">
        <f>MONTH(datos_siembra[[#This Row],[Date]])</f>
        <v>10</v>
      </c>
      <c r="T2958" t="str" cm="1">
        <f t="array" ref="T2958">_xlfn.IFS(AND(N2958&lt;= 22, S2958=9), "SOWING",AND(N2958&lt;= 28, S2958=9), "COVERAGE",AND(N2958&lt;= 30, S2958=9), "FLUSH",AND(N2958&lt;= 11, S2958=10), "FLUSH",AND(N2958&lt;= 21, S2958=10), "PRODUCTION")</f>
        <v>FLUSH</v>
      </c>
      <c r="U2958">
        <f>HOUR(datos_siembra[[#This Row],[Hour]])</f>
        <v>7</v>
      </c>
      <c r="V2958" cm="1">
        <f t="array" ref="V2958">_xlfn.IFS(AND(N2958&lt;= 22, S2958=9), N2958-7,AND(N2958&lt;= 28, S2958=9), N2958-25,AND(N2958&lt;= 30, S2958=9), N2958-28,AND(N2958&lt;= 11, S2958=10), N2958+2,AND(N2958&lt;= 21, S2958=10), N2958-11)</f>
        <v>9</v>
      </c>
    </row>
    <row r="2959" spans="1:22" x14ac:dyDescent="0.35">
      <c r="A2959" s="4">
        <v>45572</v>
      </c>
      <c r="B2959" s="5">
        <v>0.33913194444444444</v>
      </c>
      <c r="C2959">
        <v>67</v>
      </c>
      <c r="D2959">
        <v>67</v>
      </c>
      <c r="E2959">
        <v>67.599999999999994</v>
      </c>
      <c r="F2959">
        <v>67.099999999999994</v>
      </c>
      <c r="G2959">
        <v>0</v>
      </c>
      <c r="H2959">
        <v>0</v>
      </c>
      <c r="I2959">
        <v>0</v>
      </c>
      <c r="J2959">
        <v>0</v>
      </c>
      <c r="K2959">
        <v>62.6</v>
      </c>
      <c r="L2959">
        <v>62.9</v>
      </c>
      <c r="M2959">
        <v>67.239999999999995</v>
      </c>
      <c r="N2959">
        <v>7</v>
      </c>
      <c r="O2959">
        <v>6</v>
      </c>
      <c r="P2959">
        <f>MOD(DAY(datos_siembra[[#This Row],[Date]]),7)</f>
        <v>0</v>
      </c>
      <c r="Q2959" t="str">
        <f>CHOOSE(WEEKDAY(datos_siembra[[#This Row],[Date]],2),"L","M","X","J","V","S","D")</f>
        <v>L</v>
      </c>
      <c r="R2959">
        <f>WEEKNUM(datos_siembra[[#This Row],[Date]],2)-WEEKNUM(DATE(YEAR(datos_siembra[[#This Row],[Date]]),MONTH(datos_siembra[[#This Row],[Date]]),1))+1</f>
        <v>2</v>
      </c>
      <c r="S2959">
        <f>MONTH(datos_siembra[[#This Row],[Date]])</f>
        <v>10</v>
      </c>
      <c r="T2959" t="str" cm="1">
        <f t="array" ref="T2959">_xlfn.IFS(AND(N2959&lt;= 22, S2959=9), "SOWING",AND(N2959&lt;= 28, S2959=9), "COVERAGE",AND(N2959&lt;= 30, S2959=9), "FLUSH",AND(N2959&lt;= 11, S2959=10), "FLUSH",AND(N2959&lt;= 21, S2959=10), "PRODUCTION")</f>
        <v>FLUSH</v>
      </c>
      <c r="U2959">
        <f>HOUR(datos_siembra[[#This Row],[Hour]])</f>
        <v>8</v>
      </c>
      <c r="V2959" cm="1">
        <f t="array" ref="V2959">_xlfn.IFS(AND(N2959&lt;= 22, S2959=9), N2959-7,AND(N2959&lt;= 28, S2959=9), N2959-25,AND(N2959&lt;= 30, S2959=9), N2959-28,AND(N2959&lt;= 11, S2959=10), N2959+2,AND(N2959&lt;= 21, S2959=10), N2959-11)</f>
        <v>9</v>
      </c>
    </row>
    <row r="2960" spans="1:22" x14ac:dyDescent="0.35">
      <c r="A2960" s="4">
        <v>45572</v>
      </c>
      <c r="B2960" s="5">
        <v>0.34607638888888886</v>
      </c>
      <c r="C2960">
        <v>67.099999999999994</v>
      </c>
      <c r="D2960">
        <v>66.8</v>
      </c>
      <c r="E2960">
        <v>67.8</v>
      </c>
      <c r="F2960">
        <v>67.2</v>
      </c>
      <c r="G2960">
        <v>0</v>
      </c>
      <c r="H2960">
        <v>0</v>
      </c>
      <c r="I2960">
        <v>0</v>
      </c>
      <c r="J2960">
        <v>0</v>
      </c>
      <c r="K2960">
        <v>62.6</v>
      </c>
      <c r="L2960">
        <v>63</v>
      </c>
      <c r="M2960">
        <v>67.13</v>
      </c>
      <c r="N2960">
        <v>7</v>
      </c>
      <c r="O2960">
        <v>6</v>
      </c>
      <c r="P2960">
        <f>MOD(DAY(datos_siembra[[#This Row],[Date]]),7)</f>
        <v>0</v>
      </c>
      <c r="Q2960" t="str">
        <f>CHOOSE(WEEKDAY(datos_siembra[[#This Row],[Date]],2),"L","M","X","J","V","S","D")</f>
        <v>L</v>
      </c>
      <c r="R2960">
        <f>WEEKNUM(datos_siembra[[#This Row],[Date]],2)-WEEKNUM(DATE(YEAR(datos_siembra[[#This Row],[Date]]),MONTH(datos_siembra[[#This Row],[Date]]),1))+1</f>
        <v>2</v>
      </c>
      <c r="S2960">
        <f>MONTH(datos_siembra[[#This Row],[Date]])</f>
        <v>10</v>
      </c>
      <c r="T2960" t="str" cm="1">
        <f t="array" ref="T2960">_xlfn.IFS(AND(N2960&lt;= 22, S2960=9), "SOWING",AND(N2960&lt;= 28, S2960=9), "COVERAGE",AND(N2960&lt;= 30, S2960=9), "FLUSH",AND(N2960&lt;= 11, S2960=10), "FLUSH",AND(N2960&lt;= 21, S2960=10), "PRODUCTION")</f>
        <v>FLUSH</v>
      </c>
      <c r="U2960">
        <f>HOUR(datos_siembra[[#This Row],[Hour]])</f>
        <v>8</v>
      </c>
      <c r="V2960" cm="1">
        <f t="array" ref="V2960">_xlfn.IFS(AND(N2960&lt;= 22, S2960=9), N2960-7,AND(N2960&lt;= 28, S2960=9), N2960-25,AND(N2960&lt;= 30, S2960=9), N2960-28,AND(N2960&lt;= 11, S2960=10), N2960+2,AND(N2960&lt;= 21, S2960=10), N2960-11)</f>
        <v>9</v>
      </c>
    </row>
    <row r="2961" spans="1:22" x14ac:dyDescent="0.35">
      <c r="A2961" s="4">
        <v>45572</v>
      </c>
      <c r="B2961" s="5">
        <v>0.35302083333333334</v>
      </c>
      <c r="C2961">
        <v>67</v>
      </c>
      <c r="D2961">
        <v>66.900000000000006</v>
      </c>
      <c r="E2961">
        <v>67.599999999999994</v>
      </c>
      <c r="F2961">
        <v>67.099999999999994</v>
      </c>
      <c r="G2961">
        <v>0</v>
      </c>
      <c r="H2961">
        <v>0</v>
      </c>
      <c r="I2961">
        <v>0</v>
      </c>
      <c r="J2961">
        <v>0</v>
      </c>
      <c r="K2961">
        <v>62.7</v>
      </c>
      <c r="L2961">
        <v>63.2</v>
      </c>
      <c r="M2961">
        <v>67.13</v>
      </c>
      <c r="N2961">
        <v>7</v>
      </c>
      <c r="O2961">
        <v>6</v>
      </c>
      <c r="P2961">
        <f>MOD(DAY(datos_siembra[[#This Row],[Date]]),7)</f>
        <v>0</v>
      </c>
      <c r="Q2961" t="str">
        <f>CHOOSE(WEEKDAY(datos_siembra[[#This Row],[Date]],2),"L","M","X","J","V","S","D")</f>
        <v>L</v>
      </c>
      <c r="R2961">
        <f>WEEKNUM(datos_siembra[[#This Row],[Date]],2)-WEEKNUM(DATE(YEAR(datos_siembra[[#This Row],[Date]]),MONTH(datos_siembra[[#This Row],[Date]]),1))+1</f>
        <v>2</v>
      </c>
      <c r="S2961">
        <f>MONTH(datos_siembra[[#This Row],[Date]])</f>
        <v>10</v>
      </c>
      <c r="T2961" t="str" cm="1">
        <f t="array" ref="T2961">_xlfn.IFS(AND(N2961&lt;= 22, S2961=9), "SOWING",AND(N2961&lt;= 28, S2961=9), "COVERAGE",AND(N2961&lt;= 30, S2961=9), "FLUSH",AND(N2961&lt;= 11, S2961=10), "FLUSH",AND(N2961&lt;= 21, S2961=10), "PRODUCTION")</f>
        <v>FLUSH</v>
      </c>
      <c r="U2961">
        <f>HOUR(datos_siembra[[#This Row],[Hour]])</f>
        <v>8</v>
      </c>
      <c r="V2961" cm="1">
        <f t="array" ref="V2961">_xlfn.IFS(AND(N2961&lt;= 22, S2961=9), N2961-7,AND(N2961&lt;= 28, S2961=9), N2961-25,AND(N2961&lt;= 30, S2961=9), N2961-28,AND(N2961&lt;= 11, S2961=10), N2961+2,AND(N2961&lt;= 21, S2961=10), N2961-11)</f>
        <v>9</v>
      </c>
    </row>
    <row r="2962" spans="1:22" x14ac:dyDescent="0.35">
      <c r="A2962" s="4">
        <v>45572</v>
      </c>
      <c r="B2962" s="5">
        <v>0.35997685185185185</v>
      </c>
      <c r="C2962">
        <v>67</v>
      </c>
      <c r="D2962">
        <v>66.8</v>
      </c>
      <c r="E2962">
        <v>67.400000000000006</v>
      </c>
      <c r="F2962">
        <v>67.2</v>
      </c>
      <c r="G2962">
        <v>0</v>
      </c>
      <c r="H2962">
        <v>0</v>
      </c>
      <c r="I2962">
        <v>0</v>
      </c>
      <c r="J2962">
        <v>0</v>
      </c>
      <c r="K2962">
        <v>62.8</v>
      </c>
      <c r="L2962">
        <v>63.3</v>
      </c>
      <c r="M2962">
        <v>67.239999999999995</v>
      </c>
      <c r="N2962">
        <v>7</v>
      </c>
      <c r="O2962">
        <v>6</v>
      </c>
      <c r="P2962">
        <f>MOD(DAY(datos_siembra[[#This Row],[Date]]),7)</f>
        <v>0</v>
      </c>
      <c r="Q2962" t="str">
        <f>CHOOSE(WEEKDAY(datos_siembra[[#This Row],[Date]],2),"L","M","X","J","V","S","D")</f>
        <v>L</v>
      </c>
      <c r="R2962">
        <f>WEEKNUM(datos_siembra[[#This Row],[Date]],2)-WEEKNUM(DATE(YEAR(datos_siembra[[#This Row],[Date]]),MONTH(datos_siembra[[#This Row],[Date]]),1))+1</f>
        <v>2</v>
      </c>
      <c r="S2962">
        <f>MONTH(datos_siembra[[#This Row],[Date]])</f>
        <v>10</v>
      </c>
      <c r="T2962" t="str" cm="1">
        <f t="array" ref="T2962">_xlfn.IFS(AND(N2962&lt;= 22, S2962=9), "SOWING",AND(N2962&lt;= 28, S2962=9), "COVERAGE",AND(N2962&lt;= 30, S2962=9), "FLUSH",AND(N2962&lt;= 11, S2962=10), "FLUSH",AND(N2962&lt;= 21, S2962=10), "PRODUCTION")</f>
        <v>FLUSH</v>
      </c>
      <c r="U2962">
        <f>HOUR(datos_siembra[[#This Row],[Hour]])</f>
        <v>8</v>
      </c>
      <c r="V2962" cm="1">
        <f t="array" ref="V2962">_xlfn.IFS(AND(N2962&lt;= 22, S2962=9), N2962-7,AND(N2962&lt;= 28, S2962=9), N2962-25,AND(N2962&lt;= 30, S2962=9), N2962-28,AND(N2962&lt;= 11, S2962=10), N2962+2,AND(N2962&lt;= 21, S2962=10), N2962-11)</f>
        <v>9</v>
      </c>
    </row>
    <row r="2963" spans="1:22" x14ac:dyDescent="0.35">
      <c r="A2963" s="4">
        <v>45572</v>
      </c>
      <c r="B2963" s="5">
        <v>0.36692129629629627</v>
      </c>
      <c r="C2963">
        <v>67</v>
      </c>
      <c r="D2963">
        <v>66.8</v>
      </c>
      <c r="E2963">
        <v>67.3</v>
      </c>
      <c r="F2963">
        <v>67.2</v>
      </c>
      <c r="G2963">
        <v>0</v>
      </c>
      <c r="H2963">
        <v>0</v>
      </c>
      <c r="I2963">
        <v>0</v>
      </c>
      <c r="J2963">
        <v>0</v>
      </c>
      <c r="K2963">
        <v>62.9</v>
      </c>
      <c r="L2963">
        <v>63.4</v>
      </c>
      <c r="M2963">
        <v>67.099999999999994</v>
      </c>
      <c r="N2963">
        <v>7</v>
      </c>
      <c r="O2963">
        <v>6</v>
      </c>
      <c r="P2963">
        <f>MOD(DAY(datos_siembra[[#This Row],[Date]]),7)</f>
        <v>0</v>
      </c>
      <c r="Q2963" t="str">
        <f>CHOOSE(WEEKDAY(datos_siembra[[#This Row],[Date]],2),"L","M","X","J","V","S","D")</f>
        <v>L</v>
      </c>
      <c r="R2963">
        <f>WEEKNUM(datos_siembra[[#This Row],[Date]],2)-WEEKNUM(DATE(YEAR(datos_siembra[[#This Row],[Date]]),MONTH(datos_siembra[[#This Row],[Date]]),1))+1</f>
        <v>2</v>
      </c>
      <c r="S2963">
        <f>MONTH(datos_siembra[[#This Row],[Date]])</f>
        <v>10</v>
      </c>
      <c r="T2963" t="str" cm="1">
        <f t="array" ref="T2963">_xlfn.IFS(AND(N2963&lt;= 22, S2963=9), "SOWING",AND(N2963&lt;= 28, S2963=9), "COVERAGE",AND(N2963&lt;= 30, S2963=9), "FLUSH",AND(N2963&lt;= 11, S2963=10), "FLUSH",AND(N2963&lt;= 21, S2963=10), "PRODUCTION")</f>
        <v>FLUSH</v>
      </c>
      <c r="U2963">
        <f>HOUR(datos_siembra[[#This Row],[Hour]])</f>
        <v>8</v>
      </c>
      <c r="V2963" cm="1">
        <f t="array" ref="V2963">_xlfn.IFS(AND(N2963&lt;= 22, S2963=9), N2963-7,AND(N2963&lt;= 28, S2963=9), N2963-25,AND(N2963&lt;= 30, S2963=9), N2963-28,AND(N2963&lt;= 11, S2963=10), N2963+2,AND(N2963&lt;= 21, S2963=10), N2963-11)</f>
        <v>9</v>
      </c>
    </row>
    <row r="2964" spans="1:22" x14ac:dyDescent="0.35">
      <c r="A2964" s="4">
        <v>45572</v>
      </c>
      <c r="B2964" s="5">
        <v>0.37386574074074075</v>
      </c>
      <c r="C2964">
        <v>66.900000000000006</v>
      </c>
      <c r="D2964">
        <v>66.900000000000006</v>
      </c>
      <c r="E2964">
        <v>67.599999999999994</v>
      </c>
      <c r="F2964">
        <v>67.2</v>
      </c>
      <c r="G2964">
        <v>0</v>
      </c>
      <c r="H2964">
        <v>0</v>
      </c>
      <c r="I2964">
        <v>0</v>
      </c>
      <c r="J2964">
        <v>0</v>
      </c>
      <c r="K2964">
        <v>63</v>
      </c>
      <c r="L2964">
        <v>63.5</v>
      </c>
      <c r="M2964">
        <v>67.13</v>
      </c>
      <c r="N2964">
        <v>7</v>
      </c>
      <c r="O2964">
        <v>6</v>
      </c>
      <c r="P2964">
        <f>MOD(DAY(datos_siembra[[#This Row],[Date]]),7)</f>
        <v>0</v>
      </c>
      <c r="Q2964" t="str">
        <f>CHOOSE(WEEKDAY(datos_siembra[[#This Row],[Date]],2),"L","M","X","J","V","S","D")</f>
        <v>L</v>
      </c>
      <c r="R2964">
        <f>WEEKNUM(datos_siembra[[#This Row],[Date]],2)-WEEKNUM(DATE(YEAR(datos_siembra[[#This Row],[Date]]),MONTH(datos_siembra[[#This Row],[Date]]),1))+1</f>
        <v>2</v>
      </c>
      <c r="S2964">
        <f>MONTH(datos_siembra[[#This Row],[Date]])</f>
        <v>10</v>
      </c>
      <c r="T2964" t="str" cm="1">
        <f t="array" ref="T2964">_xlfn.IFS(AND(N2964&lt;= 22, S2964=9), "SOWING",AND(N2964&lt;= 28, S2964=9), "COVERAGE",AND(N2964&lt;= 30, S2964=9), "FLUSH",AND(N2964&lt;= 11, S2964=10), "FLUSH",AND(N2964&lt;= 21, S2964=10), "PRODUCTION")</f>
        <v>FLUSH</v>
      </c>
      <c r="U2964">
        <f>HOUR(datos_siembra[[#This Row],[Hour]])</f>
        <v>8</v>
      </c>
      <c r="V2964" cm="1">
        <f t="array" ref="V2964">_xlfn.IFS(AND(N2964&lt;= 22, S2964=9), N2964-7,AND(N2964&lt;= 28, S2964=9), N2964-25,AND(N2964&lt;= 30, S2964=9), N2964-28,AND(N2964&lt;= 11, S2964=10), N2964+2,AND(N2964&lt;= 21, S2964=10), N2964-11)</f>
        <v>9</v>
      </c>
    </row>
    <row r="2965" spans="1:22" x14ac:dyDescent="0.35">
      <c r="A2965" s="4">
        <v>45572</v>
      </c>
      <c r="B2965" s="5">
        <v>0.38082175925925926</v>
      </c>
      <c r="C2965">
        <v>67</v>
      </c>
      <c r="D2965">
        <v>66.599999999999994</v>
      </c>
      <c r="E2965">
        <v>67.900000000000006</v>
      </c>
      <c r="F2965">
        <v>67.099999999999994</v>
      </c>
      <c r="G2965">
        <v>0</v>
      </c>
      <c r="H2965">
        <v>0</v>
      </c>
      <c r="I2965">
        <v>0</v>
      </c>
      <c r="J2965">
        <v>0</v>
      </c>
      <c r="K2965">
        <v>63.2</v>
      </c>
      <c r="L2965">
        <v>63.7</v>
      </c>
      <c r="M2965">
        <v>67.040000000000006</v>
      </c>
      <c r="N2965">
        <v>7</v>
      </c>
      <c r="O2965">
        <v>6</v>
      </c>
      <c r="P2965">
        <f>MOD(DAY(datos_siembra[[#This Row],[Date]]),7)</f>
        <v>0</v>
      </c>
      <c r="Q2965" t="str">
        <f>CHOOSE(WEEKDAY(datos_siembra[[#This Row],[Date]],2),"L","M","X","J","V","S","D")</f>
        <v>L</v>
      </c>
      <c r="R2965">
        <f>WEEKNUM(datos_siembra[[#This Row],[Date]],2)-WEEKNUM(DATE(YEAR(datos_siembra[[#This Row],[Date]]),MONTH(datos_siembra[[#This Row],[Date]]),1))+1</f>
        <v>2</v>
      </c>
      <c r="S2965">
        <f>MONTH(datos_siembra[[#This Row],[Date]])</f>
        <v>10</v>
      </c>
      <c r="T2965" t="str" cm="1">
        <f t="array" ref="T2965">_xlfn.IFS(AND(N2965&lt;= 22, S2965=9), "SOWING",AND(N2965&lt;= 28, S2965=9), "COVERAGE",AND(N2965&lt;= 30, S2965=9), "FLUSH",AND(N2965&lt;= 11, S2965=10), "FLUSH",AND(N2965&lt;= 21, S2965=10), "PRODUCTION")</f>
        <v>FLUSH</v>
      </c>
      <c r="U2965">
        <f>HOUR(datos_siembra[[#This Row],[Hour]])</f>
        <v>9</v>
      </c>
      <c r="V2965" cm="1">
        <f t="array" ref="V2965">_xlfn.IFS(AND(N2965&lt;= 22, S2965=9), N2965-7,AND(N2965&lt;= 28, S2965=9), N2965-25,AND(N2965&lt;= 30, S2965=9), N2965-28,AND(N2965&lt;= 11, S2965=10), N2965+2,AND(N2965&lt;= 21, S2965=10), N2965-11)</f>
        <v>9</v>
      </c>
    </row>
    <row r="2966" spans="1:22" x14ac:dyDescent="0.35">
      <c r="A2966" s="4">
        <v>45572</v>
      </c>
      <c r="B2966" s="5">
        <v>0.38776620370370368</v>
      </c>
      <c r="C2966">
        <v>66.900000000000006</v>
      </c>
      <c r="D2966">
        <v>66.599999999999994</v>
      </c>
      <c r="E2966">
        <v>67.7</v>
      </c>
      <c r="F2966">
        <v>67.2</v>
      </c>
      <c r="G2966">
        <v>0</v>
      </c>
      <c r="H2966">
        <v>0</v>
      </c>
      <c r="I2966">
        <v>0</v>
      </c>
      <c r="J2966">
        <v>0</v>
      </c>
      <c r="K2966">
        <v>63.2</v>
      </c>
      <c r="L2966">
        <v>63.8</v>
      </c>
      <c r="M2966">
        <v>67.069999999999993</v>
      </c>
      <c r="N2966">
        <v>7</v>
      </c>
      <c r="O2966">
        <v>6</v>
      </c>
      <c r="P2966">
        <f>MOD(DAY(datos_siembra[[#This Row],[Date]]),7)</f>
        <v>0</v>
      </c>
      <c r="Q2966" t="str">
        <f>CHOOSE(WEEKDAY(datos_siembra[[#This Row],[Date]],2),"L","M","X","J","V","S","D")</f>
        <v>L</v>
      </c>
      <c r="R2966">
        <f>WEEKNUM(datos_siembra[[#This Row],[Date]],2)-WEEKNUM(DATE(YEAR(datos_siembra[[#This Row],[Date]]),MONTH(datos_siembra[[#This Row],[Date]]),1))+1</f>
        <v>2</v>
      </c>
      <c r="S2966">
        <f>MONTH(datos_siembra[[#This Row],[Date]])</f>
        <v>10</v>
      </c>
      <c r="T2966" t="str" cm="1">
        <f t="array" ref="T2966">_xlfn.IFS(AND(N2966&lt;= 22, S2966=9), "SOWING",AND(N2966&lt;= 28, S2966=9), "COVERAGE",AND(N2966&lt;= 30, S2966=9), "FLUSH",AND(N2966&lt;= 11, S2966=10), "FLUSH",AND(N2966&lt;= 21, S2966=10), "PRODUCTION")</f>
        <v>FLUSH</v>
      </c>
      <c r="U2966">
        <f>HOUR(datos_siembra[[#This Row],[Hour]])</f>
        <v>9</v>
      </c>
      <c r="V2966" cm="1">
        <f t="array" ref="V2966">_xlfn.IFS(AND(N2966&lt;= 22, S2966=9), N2966-7,AND(N2966&lt;= 28, S2966=9), N2966-25,AND(N2966&lt;= 30, S2966=9), N2966-28,AND(N2966&lt;= 11, S2966=10), N2966+2,AND(N2966&lt;= 21, S2966=10), N2966-11)</f>
        <v>9</v>
      </c>
    </row>
    <row r="2967" spans="1:22" x14ac:dyDescent="0.35">
      <c r="A2967" s="4">
        <v>45572</v>
      </c>
      <c r="B2967" s="5">
        <v>0.39471064814814816</v>
      </c>
      <c r="C2967">
        <v>67</v>
      </c>
      <c r="D2967">
        <v>66.599999999999994</v>
      </c>
      <c r="E2967">
        <v>67.400000000000006</v>
      </c>
      <c r="F2967">
        <v>67.099999999999994</v>
      </c>
      <c r="G2967">
        <v>0</v>
      </c>
      <c r="H2967">
        <v>0</v>
      </c>
      <c r="I2967">
        <v>0</v>
      </c>
      <c r="J2967">
        <v>0</v>
      </c>
      <c r="K2967">
        <v>63.4</v>
      </c>
      <c r="L2967">
        <v>63.9</v>
      </c>
      <c r="M2967">
        <v>67.099999999999994</v>
      </c>
      <c r="N2967">
        <v>7</v>
      </c>
      <c r="O2967">
        <v>6</v>
      </c>
      <c r="P2967">
        <f>MOD(DAY(datos_siembra[[#This Row],[Date]]),7)</f>
        <v>0</v>
      </c>
      <c r="Q2967" t="str">
        <f>CHOOSE(WEEKDAY(datos_siembra[[#This Row],[Date]],2),"L","M","X","J","V","S","D")</f>
        <v>L</v>
      </c>
      <c r="R2967">
        <f>WEEKNUM(datos_siembra[[#This Row],[Date]],2)-WEEKNUM(DATE(YEAR(datos_siembra[[#This Row],[Date]]),MONTH(datos_siembra[[#This Row],[Date]]),1))+1</f>
        <v>2</v>
      </c>
      <c r="S2967">
        <f>MONTH(datos_siembra[[#This Row],[Date]])</f>
        <v>10</v>
      </c>
      <c r="T2967" t="str" cm="1">
        <f t="array" ref="T2967">_xlfn.IFS(AND(N2967&lt;= 22, S2967=9), "SOWING",AND(N2967&lt;= 28, S2967=9), "COVERAGE",AND(N2967&lt;= 30, S2967=9), "FLUSH",AND(N2967&lt;= 11, S2967=10), "FLUSH",AND(N2967&lt;= 21, S2967=10), "PRODUCTION")</f>
        <v>FLUSH</v>
      </c>
      <c r="U2967">
        <f>HOUR(datos_siembra[[#This Row],[Hour]])</f>
        <v>9</v>
      </c>
      <c r="V2967" cm="1">
        <f t="array" ref="V2967">_xlfn.IFS(AND(N2967&lt;= 22, S2967=9), N2967-7,AND(N2967&lt;= 28, S2967=9), N2967-25,AND(N2967&lt;= 30, S2967=9), N2967-28,AND(N2967&lt;= 11, S2967=10), N2967+2,AND(N2967&lt;= 21, S2967=10), N2967-11)</f>
        <v>9</v>
      </c>
    </row>
    <row r="2968" spans="1:22" x14ac:dyDescent="0.35">
      <c r="A2968" s="4">
        <v>45572</v>
      </c>
      <c r="B2968" s="5">
        <v>0.40165509259259258</v>
      </c>
      <c r="C2968">
        <v>66.900000000000006</v>
      </c>
      <c r="D2968">
        <v>66.8</v>
      </c>
      <c r="E2968">
        <v>67.7</v>
      </c>
      <c r="F2968">
        <v>67.2</v>
      </c>
      <c r="G2968">
        <v>0</v>
      </c>
      <c r="H2968">
        <v>0</v>
      </c>
      <c r="I2968">
        <v>0</v>
      </c>
      <c r="J2968">
        <v>0</v>
      </c>
      <c r="K2968">
        <v>63.5</v>
      </c>
      <c r="L2968">
        <v>64.2</v>
      </c>
      <c r="M2968">
        <v>67.180000000000007</v>
      </c>
      <c r="N2968">
        <v>7</v>
      </c>
      <c r="O2968">
        <v>6</v>
      </c>
      <c r="P2968">
        <f>MOD(DAY(datos_siembra[[#This Row],[Date]]),7)</f>
        <v>0</v>
      </c>
      <c r="Q2968" t="str">
        <f>CHOOSE(WEEKDAY(datos_siembra[[#This Row],[Date]],2),"L","M","X","J","V","S","D")</f>
        <v>L</v>
      </c>
      <c r="R2968">
        <f>WEEKNUM(datos_siembra[[#This Row],[Date]],2)-WEEKNUM(DATE(YEAR(datos_siembra[[#This Row],[Date]]),MONTH(datos_siembra[[#This Row],[Date]]),1))+1</f>
        <v>2</v>
      </c>
      <c r="S2968">
        <f>MONTH(datos_siembra[[#This Row],[Date]])</f>
        <v>10</v>
      </c>
      <c r="T2968" t="str" cm="1">
        <f t="array" ref="T2968">_xlfn.IFS(AND(N2968&lt;= 22, S2968=9), "SOWING",AND(N2968&lt;= 28, S2968=9), "COVERAGE",AND(N2968&lt;= 30, S2968=9), "FLUSH",AND(N2968&lt;= 11, S2968=10), "FLUSH",AND(N2968&lt;= 21, S2968=10), "PRODUCTION")</f>
        <v>FLUSH</v>
      </c>
      <c r="U2968">
        <f>HOUR(datos_siembra[[#This Row],[Hour]])</f>
        <v>9</v>
      </c>
      <c r="V2968" cm="1">
        <f t="array" ref="V2968">_xlfn.IFS(AND(N2968&lt;= 22, S2968=9), N2968-7,AND(N2968&lt;= 28, S2968=9), N2968-25,AND(N2968&lt;= 30, S2968=9), N2968-28,AND(N2968&lt;= 11, S2968=10), N2968+2,AND(N2968&lt;= 21, S2968=10), N2968-11)</f>
        <v>9</v>
      </c>
    </row>
    <row r="2969" spans="1:22" x14ac:dyDescent="0.35">
      <c r="A2969" s="4">
        <v>45572</v>
      </c>
      <c r="B2969" s="5">
        <v>0.40861111111111109</v>
      </c>
      <c r="C2969">
        <v>67</v>
      </c>
      <c r="D2969">
        <v>66.8</v>
      </c>
      <c r="E2969">
        <v>67.599999999999994</v>
      </c>
      <c r="F2969">
        <v>67.099999999999994</v>
      </c>
      <c r="G2969">
        <v>0</v>
      </c>
      <c r="H2969">
        <v>0</v>
      </c>
      <c r="I2969">
        <v>0</v>
      </c>
      <c r="J2969">
        <v>0</v>
      </c>
      <c r="K2969">
        <v>63.6</v>
      </c>
      <c r="L2969">
        <v>64.3</v>
      </c>
      <c r="M2969">
        <v>67.13</v>
      </c>
      <c r="N2969">
        <v>7</v>
      </c>
      <c r="O2969">
        <v>6</v>
      </c>
      <c r="P2969">
        <f>MOD(DAY(datos_siembra[[#This Row],[Date]]),7)</f>
        <v>0</v>
      </c>
      <c r="Q2969" t="str">
        <f>CHOOSE(WEEKDAY(datos_siembra[[#This Row],[Date]],2),"L","M","X","J","V","S","D")</f>
        <v>L</v>
      </c>
      <c r="R2969">
        <f>WEEKNUM(datos_siembra[[#This Row],[Date]],2)-WEEKNUM(DATE(YEAR(datos_siembra[[#This Row],[Date]]),MONTH(datos_siembra[[#This Row],[Date]]),1))+1</f>
        <v>2</v>
      </c>
      <c r="S2969">
        <f>MONTH(datos_siembra[[#This Row],[Date]])</f>
        <v>10</v>
      </c>
      <c r="T2969" t="str" cm="1">
        <f t="array" ref="T2969">_xlfn.IFS(AND(N2969&lt;= 22, S2969=9), "SOWING",AND(N2969&lt;= 28, S2969=9), "COVERAGE",AND(N2969&lt;= 30, S2969=9), "FLUSH",AND(N2969&lt;= 11, S2969=10), "FLUSH",AND(N2969&lt;= 21, S2969=10), "PRODUCTION")</f>
        <v>FLUSH</v>
      </c>
      <c r="U2969">
        <f>HOUR(datos_siembra[[#This Row],[Hour]])</f>
        <v>9</v>
      </c>
      <c r="V2969" cm="1">
        <f t="array" ref="V2969">_xlfn.IFS(AND(N2969&lt;= 22, S2969=9), N2969-7,AND(N2969&lt;= 28, S2969=9), N2969-25,AND(N2969&lt;= 30, S2969=9), N2969-28,AND(N2969&lt;= 11, S2969=10), N2969+2,AND(N2969&lt;= 21, S2969=10), N2969-11)</f>
        <v>9</v>
      </c>
    </row>
    <row r="2970" spans="1:22" x14ac:dyDescent="0.35">
      <c r="A2970" s="4">
        <v>45572</v>
      </c>
      <c r="B2970" s="5">
        <v>0.41555555555555557</v>
      </c>
      <c r="C2970">
        <v>67</v>
      </c>
      <c r="D2970">
        <v>66.8</v>
      </c>
      <c r="E2970">
        <v>67.599999999999994</v>
      </c>
      <c r="F2970">
        <v>67.099999999999994</v>
      </c>
      <c r="G2970">
        <v>0</v>
      </c>
      <c r="H2970">
        <v>0</v>
      </c>
      <c r="I2970">
        <v>0</v>
      </c>
      <c r="J2970">
        <v>0</v>
      </c>
      <c r="K2970">
        <v>63.7</v>
      </c>
      <c r="L2970">
        <v>64.5</v>
      </c>
      <c r="M2970">
        <v>67.099999999999994</v>
      </c>
      <c r="N2970">
        <v>7</v>
      </c>
      <c r="O2970">
        <v>6</v>
      </c>
      <c r="P2970">
        <f>MOD(DAY(datos_siembra[[#This Row],[Date]]),7)</f>
        <v>0</v>
      </c>
      <c r="Q2970" t="str">
        <f>CHOOSE(WEEKDAY(datos_siembra[[#This Row],[Date]],2),"L","M","X","J","V","S","D")</f>
        <v>L</v>
      </c>
      <c r="R2970">
        <f>WEEKNUM(datos_siembra[[#This Row],[Date]],2)-WEEKNUM(DATE(YEAR(datos_siembra[[#This Row],[Date]]),MONTH(datos_siembra[[#This Row],[Date]]),1))+1</f>
        <v>2</v>
      </c>
      <c r="S2970">
        <f>MONTH(datos_siembra[[#This Row],[Date]])</f>
        <v>10</v>
      </c>
      <c r="T2970" t="str" cm="1">
        <f t="array" ref="T2970">_xlfn.IFS(AND(N2970&lt;= 22, S2970=9), "SOWING",AND(N2970&lt;= 28, S2970=9), "COVERAGE",AND(N2970&lt;= 30, S2970=9), "FLUSH",AND(N2970&lt;= 11, S2970=10), "FLUSH",AND(N2970&lt;= 21, S2970=10), "PRODUCTION")</f>
        <v>FLUSH</v>
      </c>
      <c r="U2970">
        <f>HOUR(datos_siembra[[#This Row],[Hour]])</f>
        <v>9</v>
      </c>
      <c r="V2970" cm="1">
        <f t="array" ref="V2970">_xlfn.IFS(AND(N2970&lt;= 22, S2970=9), N2970-7,AND(N2970&lt;= 28, S2970=9), N2970-25,AND(N2970&lt;= 30, S2970=9), N2970-28,AND(N2970&lt;= 11, S2970=10), N2970+2,AND(N2970&lt;= 21, S2970=10), N2970-11)</f>
        <v>9</v>
      </c>
    </row>
    <row r="2971" spans="1:22" x14ac:dyDescent="0.35">
      <c r="A2971" s="4">
        <v>45572</v>
      </c>
      <c r="B2971" s="5">
        <v>0.42249999999999999</v>
      </c>
      <c r="C2971">
        <v>66.900000000000006</v>
      </c>
      <c r="D2971">
        <v>66.8</v>
      </c>
      <c r="E2971">
        <v>67.599999999999994</v>
      </c>
      <c r="F2971">
        <v>67.099999999999994</v>
      </c>
      <c r="G2971">
        <v>0</v>
      </c>
      <c r="H2971">
        <v>0</v>
      </c>
      <c r="I2971">
        <v>0</v>
      </c>
      <c r="J2971">
        <v>0</v>
      </c>
      <c r="K2971">
        <v>63.8</v>
      </c>
      <c r="L2971">
        <v>64.599999999999994</v>
      </c>
      <c r="M2971">
        <v>67.099999999999994</v>
      </c>
      <c r="N2971">
        <v>7</v>
      </c>
      <c r="O2971">
        <v>6</v>
      </c>
      <c r="P2971">
        <f>MOD(DAY(datos_siembra[[#This Row],[Date]]),7)</f>
        <v>0</v>
      </c>
      <c r="Q2971" t="str">
        <f>CHOOSE(WEEKDAY(datos_siembra[[#This Row],[Date]],2),"L","M","X","J","V","S","D")</f>
        <v>L</v>
      </c>
      <c r="R2971">
        <f>WEEKNUM(datos_siembra[[#This Row],[Date]],2)-WEEKNUM(DATE(YEAR(datos_siembra[[#This Row],[Date]]),MONTH(datos_siembra[[#This Row],[Date]]),1))+1</f>
        <v>2</v>
      </c>
      <c r="S2971">
        <f>MONTH(datos_siembra[[#This Row],[Date]])</f>
        <v>10</v>
      </c>
      <c r="T2971" t="str" cm="1">
        <f t="array" ref="T2971">_xlfn.IFS(AND(N2971&lt;= 22, S2971=9), "SOWING",AND(N2971&lt;= 28, S2971=9), "COVERAGE",AND(N2971&lt;= 30, S2971=9), "FLUSH",AND(N2971&lt;= 11, S2971=10), "FLUSH",AND(N2971&lt;= 21, S2971=10), "PRODUCTION")</f>
        <v>FLUSH</v>
      </c>
      <c r="U2971">
        <f>HOUR(datos_siembra[[#This Row],[Hour]])</f>
        <v>10</v>
      </c>
      <c r="V2971" cm="1">
        <f t="array" ref="V2971">_xlfn.IFS(AND(N2971&lt;= 22, S2971=9), N2971-7,AND(N2971&lt;= 28, S2971=9), N2971-25,AND(N2971&lt;= 30, S2971=9), N2971-28,AND(N2971&lt;= 11, S2971=10), N2971+2,AND(N2971&lt;= 21, S2971=10), N2971-11)</f>
        <v>9</v>
      </c>
    </row>
    <row r="2972" spans="1:22" x14ac:dyDescent="0.35">
      <c r="A2972" s="4">
        <v>45572</v>
      </c>
      <c r="B2972" s="5">
        <v>0.4294560185185185</v>
      </c>
      <c r="C2972">
        <v>67</v>
      </c>
      <c r="D2972">
        <v>66.900000000000006</v>
      </c>
      <c r="E2972">
        <v>67.7</v>
      </c>
      <c r="F2972">
        <v>67.099999999999994</v>
      </c>
      <c r="G2972">
        <v>0</v>
      </c>
      <c r="H2972">
        <v>0</v>
      </c>
      <c r="I2972">
        <v>0</v>
      </c>
      <c r="J2972">
        <v>0</v>
      </c>
      <c r="K2972">
        <v>63.9</v>
      </c>
      <c r="L2972">
        <v>64.900000000000006</v>
      </c>
      <c r="M2972">
        <v>66.989999999999995</v>
      </c>
      <c r="N2972">
        <v>7</v>
      </c>
      <c r="O2972">
        <v>6</v>
      </c>
      <c r="P2972">
        <f>MOD(DAY(datos_siembra[[#This Row],[Date]]),7)</f>
        <v>0</v>
      </c>
      <c r="Q2972" t="str">
        <f>CHOOSE(WEEKDAY(datos_siembra[[#This Row],[Date]],2),"L","M","X","J","V","S","D")</f>
        <v>L</v>
      </c>
      <c r="R2972">
        <f>WEEKNUM(datos_siembra[[#This Row],[Date]],2)-WEEKNUM(DATE(YEAR(datos_siembra[[#This Row],[Date]]),MONTH(datos_siembra[[#This Row],[Date]]),1))+1</f>
        <v>2</v>
      </c>
      <c r="S2972">
        <f>MONTH(datos_siembra[[#This Row],[Date]])</f>
        <v>10</v>
      </c>
      <c r="T2972" t="str" cm="1">
        <f t="array" ref="T2972">_xlfn.IFS(AND(N2972&lt;= 22, S2972=9), "SOWING",AND(N2972&lt;= 28, S2972=9), "COVERAGE",AND(N2972&lt;= 30, S2972=9), "FLUSH",AND(N2972&lt;= 11, S2972=10), "FLUSH",AND(N2972&lt;= 21, S2972=10), "PRODUCTION")</f>
        <v>FLUSH</v>
      </c>
      <c r="U2972">
        <f>HOUR(datos_siembra[[#This Row],[Hour]])</f>
        <v>10</v>
      </c>
      <c r="V2972" cm="1">
        <f t="array" ref="V2972">_xlfn.IFS(AND(N2972&lt;= 22, S2972=9), N2972-7,AND(N2972&lt;= 28, S2972=9), N2972-25,AND(N2972&lt;= 30, S2972=9), N2972-28,AND(N2972&lt;= 11, S2972=10), N2972+2,AND(N2972&lt;= 21, S2972=10), N2972-11)</f>
        <v>9</v>
      </c>
    </row>
    <row r="2973" spans="1:22" x14ac:dyDescent="0.35">
      <c r="A2973" s="4">
        <v>45572</v>
      </c>
      <c r="B2973" s="5">
        <v>0.43640046296296298</v>
      </c>
      <c r="C2973">
        <v>67.099999999999994</v>
      </c>
      <c r="D2973">
        <v>66.8</v>
      </c>
      <c r="E2973">
        <v>67.599999999999994</v>
      </c>
      <c r="F2973">
        <v>67.2</v>
      </c>
      <c r="G2973">
        <v>0</v>
      </c>
      <c r="H2973">
        <v>0</v>
      </c>
      <c r="I2973">
        <v>0</v>
      </c>
      <c r="J2973">
        <v>0</v>
      </c>
      <c r="K2973">
        <v>63.9</v>
      </c>
      <c r="L2973">
        <v>64.900000000000006</v>
      </c>
      <c r="M2973">
        <v>67.069999999999993</v>
      </c>
      <c r="N2973">
        <v>7</v>
      </c>
      <c r="O2973">
        <v>6</v>
      </c>
      <c r="P2973">
        <f>MOD(DAY(datos_siembra[[#This Row],[Date]]),7)</f>
        <v>0</v>
      </c>
      <c r="Q2973" t="str">
        <f>CHOOSE(WEEKDAY(datos_siembra[[#This Row],[Date]],2),"L","M","X","J","V","S","D")</f>
        <v>L</v>
      </c>
      <c r="R2973">
        <f>WEEKNUM(datos_siembra[[#This Row],[Date]],2)-WEEKNUM(DATE(YEAR(datos_siembra[[#This Row],[Date]]),MONTH(datos_siembra[[#This Row],[Date]]),1))+1</f>
        <v>2</v>
      </c>
      <c r="S2973">
        <f>MONTH(datos_siembra[[#This Row],[Date]])</f>
        <v>10</v>
      </c>
      <c r="T2973" t="str" cm="1">
        <f t="array" ref="T2973">_xlfn.IFS(AND(N2973&lt;= 22, S2973=9), "SOWING",AND(N2973&lt;= 28, S2973=9), "COVERAGE",AND(N2973&lt;= 30, S2973=9), "FLUSH",AND(N2973&lt;= 11, S2973=10), "FLUSH",AND(N2973&lt;= 21, S2973=10), "PRODUCTION")</f>
        <v>FLUSH</v>
      </c>
      <c r="U2973">
        <f>HOUR(datos_siembra[[#This Row],[Hour]])</f>
        <v>10</v>
      </c>
      <c r="V2973" cm="1">
        <f t="array" ref="V2973">_xlfn.IFS(AND(N2973&lt;= 22, S2973=9), N2973-7,AND(N2973&lt;= 28, S2973=9), N2973-25,AND(N2973&lt;= 30, S2973=9), N2973-28,AND(N2973&lt;= 11, S2973=10), N2973+2,AND(N2973&lt;= 21, S2973=10), N2973-11)</f>
        <v>9</v>
      </c>
    </row>
    <row r="2974" spans="1:22" x14ac:dyDescent="0.35">
      <c r="A2974" s="4">
        <v>45572</v>
      </c>
      <c r="B2974" s="5">
        <v>0.4433449074074074</v>
      </c>
      <c r="C2974">
        <v>67</v>
      </c>
      <c r="D2974">
        <v>66.8</v>
      </c>
      <c r="E2974">
        <v>67.400000000000006</v>
      </c>
      <c r="F2974">
        <v>67.099999999999994</v>
      </c>
      <c r="G2974">
        <v>0</v>
      </c>
      <c r="H2974">
        <v>0</v>
      </c>
      <c r="I2974">
        <v>0</v>
      </c>
      <c r="J2974">
        <v>0</v>
      </c>
      <c r="K2974">
        <v>64.099999999999994</v>
      </c>
      <c r="L2974">
        <v>65</v>
      </c>
      <c r="M2974">
        <v>67.069999999999993</v>
      </c>
      <c r="N2974">
        <v>7</v>
      </c>
      <c r="O2974">
        <v>6</v>
      </c>
      <c r="P2974">
        <f>MOD(DAY(datos_siembra[[#This Row],[Date]]),7)</f>
        <v>0</v>
      </c>
      <c r="Q2974" t="str">
        <f>CHOOSE(WEEKDAY(datos_siembra[[#This Row],[Date]],2),"L","M","X","J","V","S","D")</f>
        <v>L</v>
      </c>
      <c r="R2974">
        <f>WEEKNUM(datos_siembra[[#This Row],[Date]],2)-WEEKNUM(DATE(YEAR(datos_siembra[[#This Row],[Date]]),MONTH(datos_siembra[[#This Row],[Date]]),1))+1</f>
        <v>2</v>
      </c>
      <c r="S2974">
        <f>MONTH(datos_siembra[[#This Row],[Date]])</f>
        <v>10</v>
      </c>
      <c r="T2974" t="str" cm="1">
        <f t="array" ref="T2974">_xlfn.IFS(AND(N2974&lt;= 22, S2974=9), "SOWING",AND(N2974&lt;= 28, S2974=9), "COVERAGE",AND(N2974&lt;= 30, S2974=9), "FLUSH",AND(N2974&lt;= 11, S2974=10), "FLUSH",AND(N2974&lt;= 21, S2974=10), "PRODUCTION")</f>
        <v>FLUSH</v>
      </c>
      <c r="U2974">
        <f>HOUR(datos_siembra[[#This Row],[Hour]])</f>
        <v>10</v>
      </c>
      <c r="V2974" cm="1">
        <f t="array" ref="V2974">_xlfn.IFS(AND(N2974&lt;= 22, S2974=9), N2974-7,AND(N2974&lt;= 28, S2974=9), N2974-25,AND(N2974&lt;= 30, S2974=9), N2974-28,AND(N2974&lt;= 11, S2974=10), N2974+2,AND(N2974&lt;= 21, S2974=10), N2974-11)</f>
        <v>9</v>
      </c>
    </row>
    <row r="2975" spans="1:22" x14ac:dyDescent="0.35">
      <c r="A2975" s="4">
        <v>45572</v>
      </c>
      <c r="B2975" s="5">
        <v>0.45028935185185187</v>
      </c>
      <c r="C2975">
        <v>66.900000000000006</v>
      </c>
      <c r="D2975">
        <v>66.599999999999994</v>
      </c>
      <c r="E2975">
        <v>67.7</v>
      </c>
      <c r="F2975">
        <v>67.099999999999994</v>
      </c>
      <c r="G2975">
        <v>0</v>
      </c>
      <c r="H2975">
        <v>0</v>
      </c>
      <c r="I2975">
        <v>0</v>
      </c>
      <c r="J2975">
        <v>0</v>
      </c>
      <c r="K2975">
        <v>64.2</v>
      </c>
      <c r="L2975">
        <v>65.099999999999994</v>
      </c>
      <c r="M2975">
        <v>67.069999999999993</v>
      </c>
      <c r="N2975">
        <v>7</v>
      </c>
      <c r="O2975">
        <v>6</v>
      </c>
      <c r="P2975">
        <f>MOD(DAY(datos_siembra[[#This Row],[Date]]),7)</f>
        <v>0</v>
      </c>
      <c r="Q2975" t="str">
        <f>CHOOSE(WEEKDAY(datos_siembra[[#This Row],[Date]],2),"L","M","X","J","V","S","D")</f>
        <v>L</v>
      </c>
      <c r="R2975">
        <f>WEEKNUM(datos_siembra[[#This Row],[Date]],2)-WEEKNUM(DATE(YEAR(datos_siembra[[#This Row],[Date]]),MONTH(datos_siembra[[#This Row],[Date]]),1))+1</f>
        <v>2</v>
      </c>
      <c r="S2975">
        <f>MONTH(datos_siembra[[#This Row],[Date]])</f>
        <v>10</v>
      </c>
      <c r="T2975" t="str" cm="1">
        <f t="array" ref="T2975">_xlfn.IFS(AND(N2975&lt;= 22, S2975=9), "SOWING",AND(N2975&lt;= 28, S2975=9), "COVERAGE",AND(N2975&lt;= 30, S2975=9), "FLUSH",AND(N2975&lt;= 11, S2975=10), "FLUSH",AND(N2975&lt;= 21, S2975=10), "PRODUCTION")</f>
        <v>FLUSH</v>
      </c>
      <c r="U2975">
        <f>HOUR(datos_siembra[[#This Row],[Hour]])</f>
        <v>10</v>
      </c>
      <c r="V2975" cm="1">
        <f t="array" ref="V2975">_xlfn.IFS(AND(N2975&lt;= 22, S2975=9), N2975-7,AND(N2975&lt;= 28, S2975=9), N2975-25,AND(N2975&lt;= 30, S2975=9), N2975-28,AND(N2975&lt;= 11, S2975=10), N2975+2,AND(N2975&lt;= 21, S2975=10), N2975-11)</f>
        <v>9</v>
      </c>
    </row>
    <row r="2976" spans="1:22" x14ac:dyDescent="0.35">
      <c r="A2976" s="4">
        <v>45572</v>
      </c>
      <c r="B2976" s="5">
        <v>0.45724537037037039</v>
      </c>
      <c r="C2976">
        <v>66.900000000000006</v>
      </c>
      <c r="D2976">
        <v>66.8</v>
      </c>
      <c r="E2976">
        <v>67.400000000000006</v>
      </c>
      <c r="F2976">
        <v>67.099999999999994</v>
      </c>
      <c r="G2976">
        <v>0</v>
      </c>
      <c r="H2976">
        <v>0</v>
      </c>
      <c r="I2976">
        <v>0</v>
      </c>
      <c r="J2976">
        <v>0</v>
      </c>
      <c r="K2976">
        <v>64.3</v>
      </c>
      <c r="L2976">
        <v>65.2</v>
      </c>
      <c r="M2976">
        <v>67.02</v>
      </c>
      <c r="N2976">
        <v>7</v>
      </c>
      <c r="O2976">
        <v>6</v>
      </c>
      <c r="P2976">
        <f>MOD(DAY(datos_siembra[[#This Row],[Date]]),7)</f>
        <v>0</v>
      </c>
      <c r="Q2976" t="str">
        <f>CHOOSE(WEEKDAY(datos_siembra[[#This Row],[Date]],2),"L","M","X","J","V","S","D")</f>
        <v>L</v>
      </c>
      <c r="R2976">
        <f>WEEKNUM(datos_siembra[[#This Row],[Date]],2)-WEEKNUM(DATE(YEAR(datos_siembra[[#This Row],[Date]]),MONTH(datos_siembra[[#This Row],[Date]]),1))+1</f>
        <v>2</v>
      </c>
      <c r="S2976">
        <f>MONTH(datos_siembra[[#This Row],[Date]])</f>
        <v>10</v>
      </c>
      <c r="T2976" t="str" cm="1">
        <f t="array" ref="T2976">_xlfn.IFS(AND(N2976&lt;= 22, S2976=9), "SOWING",AND(N2976&lt;= 28, S2976=9), "COVERAGE",AND(N2976&lt;= 30, S2976=9), "FLUSH",AND(N2976&lt;= 11, S2976=10), "FLUSH",AND(N2976&lt;= 21, S2976=10), "PRODUCTION")</f>
        <v>FLUSH</v>
      </c>
      <c r="U2976">
        <f>HOUR(datos_siembra[[#This Row],[Hour]])</f>
        <v>10</v>
      </c>
      <c r="V2976" cm="1">
        <f t="array" ref="V2976">_xlfn.IFS(AND(N2976&lt;= 22, S2976=9), N2976-7,AND(N2976&lt;= 28, S2976=9), N2976-25,AND(N2976&lt;= 30, S2976=9), N2976-28,AND(N2976&lt;= 11, S2976=10), N2976+2,AND(N2976&lt;= 21, S2976=10), N2976-11)</f>
        <v>9</v>
      </c>
    </row>
    <row r="2977" spans="1:22" x14ac:dyDescent="0.35">
      <c r="A2977" s="4">
        <v>45572</v>
      </c>
      <c r="B2977" s="5">
        <v>0.46418981481481481</v>
      </c>
      <c r="C2977">
        <v>67</v>
      </c>
      <c r="D2977">
        <v>66.8</v>
      </c>
      <c r="E2977">
        <v>67.2</v>
      </c>
      <c r="F2977">
        <v>67.099999999999994</v>
      </c>
      <c r="G2977">
        <v>0</v>
      </c>
      <c r="H2977">
        <v>0</v>
      </c>
      <c r="I2977">
        <v>0</v>
      </c>
      <c r="J2977">
        <v>0</v>
      </c>
      <c r="K2977">
        <v>64.400000000000006</v>
      </c>
      <c r="L2977">
        <v>65.3</v>
      </c>
      <c r="M2977">
        <v>67.02</v>
      </c>
      <c r="N2977">
        <v>7</v>
      </c>
      <c r="O2977">
        <v>6</v>
      </c>
      <c r="P2977">
        <f>MOD(DAY(datos_siembra[[#This Row],[Date]]),7)</f>
        <v>0</v>
      </c>
      <c r="Q2977" t="str">
        <f>CHOOSE(WEEKDAY(datos_siembra[[#This Row],[Date]],2),"L","M","X","J","V","S","D")</f>
        <v>L</v>
      </c>
      <c r="R2977">
        <f>WEEKNUM(datos_siembra[[#This Row],[Date]],2)-WEEKNUM(DATE(YEAR(datos_siembra[[#This Row],[Date]]),MONTH(datos_siembra[[#This Row],[Date]]),1))+1</f>
        <v>2</v>
      </c>
      <c r="S2977">
        <f>MONTH(datos_siembra[[#This Row],[Date]])</f>
        <v>10</v>
      </c>
      <c r="T2977" t="str" cm="1">
        <f t="array" ref="T2977">_xlfn.IFS(AND(N2977&lt;= 22, S2977=9), "SOWING",AND(N2977&lt;= 28, S2977=9), "COVERAGE",AND(N2977&lt;= 30, S2977=9), "FLUSH",AND(N2977&lt;= 11, S2977=10), "FLUSH",AND(N2977&lt;= 21, S2977=10), "PRODUCTION")</f>
        <v>FLUSH</v>
      </c>
      <c r="U2977">
        <f>HOUR(datos_siembra[[#This Row],[Hour]])</f>
        <v>11</v>
      </c>
      <c r="V2977" cm="1">
        <f t="array" ref="V2977">_xlfn.IFS(AND(N2977&lt;= 22, S2977=9), N2977-7,AND(N2977&lt;= 28, S2977=9), N2977-25,AND(N2977&lt;= 30, S2977=9), N2977-28,AND(N2977&lt;= 11, S2977=10), N2977+2,AND(N2977&lt;= 21, S2977=10), N2977-11)</f>
        <v>9</v>
      </c>
    </row>
    <row r="2978" spans="1:22" x14ac:dyDescent="0.35">
      <c r="A2978" s="4">
        <v>45572</v>
      </c>
      <c r="B2978" s="5">
        <v>0.47113425925925928</v>
      </c>
      <c r="C2978">
        <v>66.900000000000006</v>
      </c>
      <c r="D2978">
        <v>66.8</v>
      </c>
      <c r="E2978">
        <v>67.400000000000006</v>
      </c>
      <c r="F2978">
        <v>67.099999999999994</v>
      </c>
      <c r="G2978">
        <v>0</v>
      </c>
      <c r="H2978">
        <v>0</v>
      </c>
      <c r="I2978">
        <v>0</v>
      </c>
      <c r="J2978">
        <v>0</v>
      </c>
      <c r="K2978">
        <v>64.599999999999994</v>
      </c>
      <c r="L2978">
        <v>65.5</v>
      </c>
      <c r="M2978">
        <v>66.989999999999995</v>
      </c>
      <c r="N2978">
        <v>7</v>
      </c>
      <c r="O2978">
        <v>6</v>
      </c>
      <c r="P2978">
        <f>MOD(DAY(datos_siembra[[#This Row],[Date]]),7)</f>
        <v>0</v>
      </c>
      <c r="Q2978" t="str">
        <f>CHOOSE(WEEKDAY(datos_siembra[[#This Row],[Date]],2),"L","M","X","J","V","S","D")</f>
        <v>L</v>
      </c>
      <c r="R2978">
        <f>WEEKNUM(datos_siembra[[#This Row],[Date]],2)-WEEKNUM(DATE(YEAR(datos_siembra[[#This Row],[Date]]),MONTH(datos_siembra[[#This Row],[Date]]),1))+1</f>
        <v>2</v>
      </c>
      <c r="S2978">
        <f>MONTH(datos_siembra[[#This Row],[Date]])</f>
        <v>10</v>
      </c>
      <c r="T2978" t="str" cm="1">
        <f t="array" ref="T2978">_xlfn.IFS(AND(N2978&lt;= 22, S2978=9), "SOWING",AND(N2978&lt;= 28, S2978=9), "COVERAGE",AND(N2978&lt;= 30, S2978=9), "FLUSH",AND(N2978&lt;= 11, S2978=10), "FLUSH",AND(N2978&lt;= 21, S2978=10), "PRODUCTION")</f>
        <v>FLUSH</v>
      </c>
      <c r="U2978">
        <f>HOUR(datos_siembra[[#This Row],[Hour]])</f>
        <v>11</v>
      </c>
      <c r="V2978" cm="1">
        <f t="array" ref="V2978">_xlfn.IFS(AND(N2978&lt;= 22, S2978=9), N2978-7,AND(N2978&lt;= 28, S2978=9), N2978-25,AND(N2978&lt;= 30, S2978=9), N2978-28,AND(N2978&lt;= 11, S2978=10), N2978+2,AND(N2978&lt;= 21, S2978=10), N2978-11)</f>
        <v>9</v>
      </c>
    </row>
    <row r="2979" spans="1:22" x14ac:dyDescent="0.35">
      <c r="A2979" s="4">
        <v>45572</v>
      </c>
      <c r="B2979" s="5">
        <v>0.47809027777777779</v>
      </c>
      <c r="C2979">
        <v>66.900000000000006</v>
      </c>
      <c r="D2979">
        <v>66.8</v>
      </c>
      <c r="E2979">
        <v>67.599999999999994</v>
      </c>
      <c r="F2979">
        <v>67.099999999999994</v>
      </c>
      <c r="G2979">
        <v>0</v>
      </c>
      <c r="H2979">
        <v>0</v>
      </c>
      <c r="I2979">
        <v>0</v>
      </c>
      <c r="J2979">
        <v>0</v>
      </c>
      <c r="K2979">
        <v>64.7</v>
      </c>
      <c r="L2979">
        <v>65.8</v>
      </c>
      <c r="M2979">
        <v>67.040000000000006</v>
      </c>
      <c r="N2979">
        <v>7</v>
      </c>
      <c r="O2979">
        <v>6</v>
      </c>
      <c r="P2979">
        <f>MOD(DAY(datos_siembra[[#This Row],[Date]]),7)</f>
        <v>0</v>
      </c>
      <c r="Q2979" t="str">
        <f>CHOOSE(WEEKDAY(datos_siembra[[#This Row],[Date]],2),"L","M","X","J","V","S","D")</f>
        <v>L</v>
      </c>
      <c r="R2979">
        <f>WEEKNUM(datos_siembra[[#This Row],[Date]],2)-WEEKNUM(DATE(YEAR(datos_siembra[[#This Row],[Date]]),MONTH(datos_siembra[[#This Row],[Date]]),1))+1</f>
        <v>2</v>
      </c>
      <c r="S2979">
        <f>MONTH(datos_siembra[[#This Row],[Date]])</f>
        <v>10</v>
      </c>
      <c r="T2979" t="str" cm="1">
        <f t="array" ref="T2979">_xlfn.IFS(AND(N2979&lt;= 22, S2979=9), "SOWING",AND(N2979&lt;= 28, S2979=9), "COVERAGE",AND(N2979&lt;= 30, S2979=9), "FLUSH",AND(N2979&lt;= 11, S2979=10), "FLUSH",AND(N2979&lt;= 21, S2979=10), "PRODUCTION")</f>
        <v>FLUSH</v>
      </c>
      <c r="U2979">
        <f>HOUR(datos_siembra[[#This Row],[Hour]])</f>
        <v>11</v>
      </c>
      <c r="V2979" cm="1">
        <f t="array" ref="V2979">_xlfn.IFS(AND(N2979&lt;= 22, S2979=9), N2979-7,AND(N2979&lt;= 28, S2979=9), N2979-25,AND(N2979&lt;= 30, S2979=9), N2979-28,AND(N2979&lt;= 11, S2979=10), N2979+2,AND(N2979&lt;= 21, S2979=10), N2979-11)</f>
        <v>9</v>
      </c>
    </row>
    <row r="2980" spans="1:22" x14ac:dyDescent="0.35">
      <c r="A2980" s="4">
        <v>45572</v>
      </c>
      <c r="B2980" s="5">
        <v>0.48503472222222221</v>
      </c>
      <c r="C2980">
        <v>67</v>
      </c>
      <c r="D2980">
        <v>66.8</v>
      </c>
      <c r="E2980">
        <v>67.599999999999994</v>
      </c>
      <c r="F2980">
        <v>67.099999999999994</v>
      </c>
      <c r="G2980">
        <v>0</v>
      </c>
      <c r="H2980">
        <v>0</v>
      </c>
      <c r="I2980">
        <v>0</v>
      </c>
      <c r="J2980">
        <v>0</v>
      </c>
      <c r="K2980">
        <v>65</v>
      </c>
      <c r="L2980">
        <v>65.8</v>
      </c>
      <c r="M2980">
        <v>67.040000000000006</v>
      </c>
      <c r="N2980">
        <v>7</v>
      </c>
      <c r="O2980">
        <v>6</v>
      </c>
      <c r="P2980">
        <f>MOD(DAY(datos_siembra[[#This Row],[Date]]),7)</f>
        <v>0</v>
      </c>
      <c r="Q2980" t="str">
        <f>CHOOSE(WEEKDAY(datos_siembra[[#This Row],[Date]],2),"L","M","X","J","V","S","D")</f>
        <v>L</v>
      </c>
      <c r="R2980">
        <f>WEEKNUM(datos_siembra[[#This Row],[Date]],2)-WEEKNUM(DATE(YEAR(datos_siembra[[#This Row],[Date]]),MONTH(datos_siembra[[#This Row],[Date]]),1))+1</f>
        <v>2</v>
      </c>
      <c r="S2980">
        <f>MONTH(datos_siembra[[#This Row],[Date]])</f>
        <v>10</v>
      </c>
      <c r="T2980" t="str" cm="1">
        <f t="array" ref="T2980">_xlfn.IFS(AND(N2980&lt;= 22, S2980=9), "SOWING",AND(N2980&lt;= 28, S2980=9), "COVERAGE",AND(N2980&lt;= 30, S2980=9), "FLUSH",AND(N2980&lt;= 11, S2980=10), "FLUSH",AND(N2980&lt;= 21, S2980=10), "PRODUCTION")</f>
        <v>FLUSH</v>
      </c>
      <c r="U2980">
        <f>HOUR(datos_siembra[[#This Row],[Hour]])</f>
        <v>11</v>
      </c>
      <c r="V2980" cm="1">
        <f t="array" ref="V2980">_xlfn.IFS(AND(N2980&lt;= 22, S2980=9), N2980-7,AND(N2980&lt;= 28, S2980=9), N2980-25,AND(N2980&lt;= 30, S2980=9), N2980-28,AND(N2980&lt;= 11, S2980=10), N2980+2,AND(N2980&lt;= 21, S2980=10), N2980-11)</f>
        <v>9</v>
      </c>
    </row>
    <row r="2981" spans="1:22" x14ac:dyDescent="0.35">
      <c r="A2981" s="4">
        <v>45572</v>
      </c>
      <c r="B2981" s="5">
        <v>0.49197916666666669</v>
      </c>
      <c r="C2981">
        <v>67</v>
      </c>
      <c r="D2981">
        <v>66.599999999999994</v>
      </c>
      <c r="E2981">
        <v>67.3</v>
      </c>
      <c r="F2981">
        <v>67.099999999999994</v>
      </c>
      <c r="G2981">
        <v>0</v>
      </c>
      <c r="H2981">
        <v>0</v>
      </c>
      <c r="I2981">
        <v>0</v>
      </c>
      <c r="J2981">
        <v>0</v>
      </c>
      <c r="K2981">
        <v>65</v>
      </c>
      <c r="L2981">
        <v>65.900000000000006</v>
      </c>
      <c r="M2981">
        <v>66.989999999999995</v>
      </c>
      <c r="N2981">
        <v>7</v>
      </c>
      <c r="O2981">
        <v>6</v>
      </c>
      <c r="P2981">
        <f>MOD(DAY(datos_siembra[[#This Row],[Date]]),7)</f>
        <v>0</v>
      </c>
      <c r="Q2981" t="str">
        <f>CHOOSE(WEEKDAY(datos_siembra[[#This Row],[Date]],2),"L","M","X","J","V","S","D")</f>
        <v>L</v>
      </c>
      <c r="R2981">
        <f>WEEKNUM(datos_siembra[[#This Row],[Date]],2)-WEEKNUM(DATE(YEAR(datos_siembra[[#This Row],[Date]]),MONTH(datos_siembra[[#This Row],[Date]]),1))+1</f>
        <v>2</v>
      </c>
      <c r="S2981">
        <f>MONTH(datos_siembra[[#This Row],[Date]])</f>
        <v>10</v>
      </c>
      <c r="T2981" t="str" cm="1">
        <f t="array" ref="T2981">_xlfn.IFS(AND(N2981&lt;= 22, S2981=9), "SOWING",AND(N2981&lt;= 28, S2981=9), "COVERAGE",AND(N2981&lt;= 30, S2981=9), "FLUSH",AND(N2981&lt;= 11, S2981=10), "FLUSH",AND(N2981&lt;= 21, S2981=10), "PRODUCTION")</f>
        <v>FLUSH</v>
      </c>
      <c r="U2981">
        <f>HOUR(datos_siembra[[#This Row],[Hour]])</f>
        <v>11</v>
      </c>
      <c r="V2981" cm="1">
        <f t="array" ref="V2981">_xlfn.IFS(AND(N2981&lt;= 22, S2981=9), N2981-7,AND(N2981&lt;= 28, S2981=9), N2981-25,AND(N2981&lt;= 30, S2981=9), N2981-28,AND(N2981&lt;= 11, S2981=10), N2981+2,AND(N2981&lt;= 21, S2981=10), N2981-11)</f>
        <v>9</v>
      </c>
    </row>
    <row r="2982" spans="1:22" x14ac:dyDescent="0.35">
      <c r="A2982" s="4">
        <v>45572</v>
      </c>
      <c r="B2982" s="5">
        <v>0.4989351851851852</v>
      </c>
      <c r="C2982">
        <v>66.900000000000006</v>
      </c>
      <c r="D2982">
        <v>66.8</v>
      </c>
      <c r="E2982">
        <v>67.3</v>
      </c>
      <c r="F2982">
        <v>66.900000000000006</v>
      </c>
      <c r="G2982">
        <v>0</v>
      </c>
      <c r="H2982">
        <v>0</v>
      </c>
      <c r="I2982">
        <v>0</v>
      </c>
      <c r="J2982">
        <v>0</v>
      </c>
      <c r="K2982">
        <v>65</v>
      </c>
      <c r="L2982">
        <v>65.900000000000006</v>
      </c>
      <c r="M2982">
        <v>67.02</v>
      </c>
      <c r="N2982">
        <v>7</v>
      </c>
      <c r="O2982">
        <v>6</v>
      </c>
      <c r="P2982">
        <f>MOD(DAY(datos_siembra[[#This Row],[Date]]),7)</f>
        <v>0</v>
      </c>
      <c r="Q2982" t="str">
        <f>CHOOSE(WEEKDAY(datos_siembra[[#This Row],[Date]],2),"L","M","X","J","V","S","D")</f>
        <v>L</v>
      </c>
      <c r="R2982">
        <f>WEEKNUM(datos_siembra[[#This Row],[Date]],2)-WEEKNUM(DATE(YEAR(datos_siembra[[#This Row],[Date]]),MONTH(datos_siembra[[#This Row],[Date]]),1))+1</f>
        <v>2</v>
      </c>
      <c r="S2982">
        <f>MONTH(datos_siembra[[#This Row],[Date]])</f>
        <v>10</v>
      </c>
      <c r="T2982" t="str" cm="1">
        <f t="array" ref="T2982">_xlfn.IFS(AND(N2982&lt;= 22, S2982=9), "SOWING",AND(N2982&lt;= 28, S2982=9), "COVERAGE",AND(N2982&lt;= 30, S2982=9), "FLUSH",AND(N2982&lt;= 11, S2982=10), "FLUSH",AND(N2982&lt;= 21, S2982=10), "PRODUCTION")</f>
        <v>FLUSH</v>
      </c>
      <c r="U2982">
        <f>HOUR(datos_siembra[[#This Row],[Hour]])</f>
        <v>11</v>
      </c>
      <c r="V2982" cm="1">
        <f t="array" ref="V2982">_xlfn.IFS(AND(N2982&lt;= 22, S2982=9), N2982-7,AND(N2982&lt;= 28, S2982=9), N2982-25,AND(N2982&lt;= 30, S2982=9), N2982-28,AND(N2982&lt;= 11, S2982=10), N2982+2,AND(N2982&lt;= 21, S2982=10), N2982-11)</f>
        <v>9</v>
      </c>
    </row>
    <row r="2983" spans="1:22" x14ac:dyDescent="0.35">
      <c r="A2983" s="4">
        <v>45572</v>
      </c>
      <c r="B2983" s="5">
        <v>0.50587962962962962</v>
      </c>
      <c r="C2983">
        <v>67.099999999999994</v>
      </c>
      <c r="D2983">
        <v>66.8</v>
      </c>
      <c r="E2983">
        <v>67.599999999999994</v>
      </c>
      <c r="F2983">
        <v>67.099999999999994</v>
      </c>
      <c r="G2983">
        <v>0</v>
      </c>
      <c r="H2983">
        <v>0</v>
      </c>
      <c r="I2983">
        <v>0</v>
      </c>
      <c r="J2983">
        <v>0</v>
      </c>
      <c r="K2983">
        <v>65</v>
      </c>
      <c r="L2983">
        <v>65.8</v>
      </c>
      <c r="M2983">
        <v>67.099999999999994</v>
      </c>
      <c r="N2983">
        <v>7</v>
      </c>
      <c r="O2983">
        <v>6</v>
      </c>
      <c r="P2983">
        <f>MOD(DAY(datos_siembra[[#This Row],[Date]]),7)</f>
        <v>0</v>
      </c>
      <c r="Q2983" t="str">
        <f>CHOOSE(WEEKDAY(datos_siembra[[#This Row],[Date]],2),"L","M","X","J","V","S","D")</f>
        <v>L</v>
      </c>
      <c r="R2983">
        <f>WEEKNUM(datos_siembra[[#This Row],[Date]],2)-WEEKNUM(DATE(YEAR(datos_siembra[[#This Row],[Date]]),MONTH(datos_siembra[[#This Row],[Date]]),1))+1</f>
        <v>2</v>
      </c>
      <c r="S2983">
        <f>MONTH(datos_siembra[[#This Row],[Date]])</f>
        <v>10</v>
      </c>
      <c r="T2983" t="str" cm="1">
        <f t="array" ref="T2983">_xlfn.IFS(AND(N2983&lt;= 22, S2983=9), "SOWING",AND(N2983&lt;= 28, S2983=9), "COVERAGE",AND(N2983&lt;= 30, S2983=9), "FLUSH",AND(N2983&lt;= 11, S2983=10), "FLUSH",AND(N2983&lt;= 21, S2983=10), "PRODUCTION")</f>
        <v>FLUSH</v>
      </c>
      <c r="U2983">
        <f>HOUR(datos_siembra[[#This Row],[Hour]])</f>
        <v>12</v>
      </c>
      <c r="V2983" cm="1">
        <f t="array" ref="V2983">_xlfn.IFS(AND(N2983&lt;= 22, S2983=9), N2983-7,AND(N2983&lt;= 28, S2983=9), N2983-25,AND(N2983&lt;= 30, S2983=9), N2983-28,AND(N2983&lt;= 11, S2983=10), N2983+2,AND(N2983&lt;= 21, S2983=10), N2983-11)</f>
        <v>9</v>
      </c>
    </row>
    <row r="2984" spans="1:22" x14ac:dyDescent="0.35">
      <c r="A2984" s="4">
        <v>45572</v>
      </c>
      <c r="B2984" s="5">
        <v>0.51282407407407404</v>
      </c>
      <c r="C2984">
        <v>66.900000000000006</v>
      </c>
      <c r="D2984">
        <v>66.8</v>
      </c>
      <c r="E2984">
        <v>67.400000000000006</v>
      </c>
      <c r="F2984">
        <v>67</v>
      </c>
      <c r="G2984">
        <v>0</v>
      </c>
      <c r="H2984">
        <v>0</v>
      </c>
      <c r="I2984">
        <v>0</v>
      </c>
      <c r="J2984">
        <v>0</v>
      </c>
      <c r="K2984">
        <v>64.900000000000006</v>
      </c>
      <c r="L2984">
        <v>65.599999999999994</v>
      </c>
      <c r="M2984">
        <v>66.900000000000006</v>
      </c>
      <c r="N2984">
        <v>7</v>
      </c>
      <c r="O2984">
        <v>6</v>
      </c>
      <c r="P2984">
        <f>MOD(DAY(datos_siembra[[#This Row],[Date]]),7)</f>
        <v>0</v>
      </c>
      <c r="Q2984" t="str">
        <f>CHOOSE(WEEKDAY(datos_siembra[[#This Row],[Date]],2),"L","M","X","J","V","S","D")</f>
        <v>L</v>
      </c>
      <c r="R2984">
        <f>WEEKNUM(datos_siembra[[#This Row],[Date]],2)-WEEKNUM(DATE(YEAR(datos_siembra[[#This Row],[Date]]),MONTH(datos_siembra[[#This Row],[Date]]),1))+1</f>
        <v>2</v>
      </c>
      <c r="S2984">
        <f>MONTH(datos_siembra[[#This Row],[Date]])</f>
        <v>10</v>
      </c>
      <c r="T2984" t="str" cm="1">
        <f t="array" ref="T2984">_xlfn.IFS(AND(N2984&lt;= 22, S2984=9), "SOWING",AND(N2984&lt;= 28, S2984=9), "COVERAGE",AND(N2984&lt;= 30, S2984=9), "FLUSH",AND(N2984&lt;= 11, S2984=10), "FLUSH",AND(N2984&lt;= 21, S2984=10), "PRODUCTION")</f>
        <v>FLUSH</v>
      </c>
      <c r="U2984">
        <f>HOUR(datos_siembra[[#This Row],[Hour]])</f>
        <v>12</v>
      </c>
      <c r="V2984" cm="1">
        <f t="array" ref="V2984">_xlfn.IFS(AND(N2984&lt;= 22, S2984=9), N2984-7,AND(N2984&lt;= 28, S2984=9), N2984-25,AND(N2984&lt;= 30, S2984=9), N2984-28,AND(N2984&lt;= 11, S2984=10), N2984+2,AND(N2984&lt;= 21, S2984=10), N2984-11)</f>
        <v>9</v>
      </c>
    </row>
    <row r="2985" spans="1:22" x14ac:dyDescent="0.35">
      <c r="A2985" s="4">
        <v>45572</v>
      </c>
      <c r="B2985" s="5">
        <v>0.51976851851851846</v>
      </c>
      <c r="C2985">
        <v>66.900000000000006</v>
      </c>
      <c r="D2985">
        <v>66.599999999999994</v>
      </c>
      <c r="E2985">
        <v>67.599999999999994</v>
      </c>
      <c r="F2985">
        <v>67.2</v>
      </c>
      <c r="G2985">
        <v>0</v>
      </c>
      <c r="H2985">
        <v>0</v>
      </c>
      <c r="I2985">
        <v>0</v>
      </c>
      <c r="J2985">
        <v>0</v>
      </c>
      <c r="K2985">
        <v>65</v>
      </c>
      <c r="L2985">
        <v>65.8</v>
      </c>
      <c r="M2985">
        <v>67.040000000000006</v>
      </c>
      <c r="N2985">
        <v>7</v>
      </c>
      <c r="O2985">
        <v>6</v>
      </c>
      <c r="P2985">
        <f>MOD(DAY(datos_siembra[[#This Row],[Date]]),7)</f>
        <v>0</v>
      </c>
      <c r="Q2985" t="str">
        <f>CHOOSE(WEEKDAY(datos_siembra[[#This Row],[Date]],2),"L","M","X","J","V","S","D")</f>
        <v>L</v>
      </c>
      <c r="R2985">
        <f>WEEKNUM(datos_siembra[[#This Row],[Date]],2)-WEEKNUM(DATE(YEAR(datos_siembra[[#This Row],[Date]]),MONTH(datos_siembra[[#This Row],[Date]]),1))+1</f>
        <v>2</v>
      </c>
      <c r="S2985">
        <f>MONTH(datos_siembra[[#This Row],[Date]])</f>
        <v>10</v>
      </c>
      <c r="T2985" t="str" cm="1">
        <f t="array" ref="T2985">_xlfn.IFS(AND(N2985&lt;= 22, S2985=9), "SOWING",AND(N2985&lt;= 28, S2985=9), "COVERAGE",AND(N2985&lt;= 30, S2985=9), "FLUSH",AND(N2985&lt;= 11, S2985=10), "FLUSH",AND(N2985&lt;= 21, S2985=10), "PRODUCTION")</f>
        <v>FLUSH</v>
      </c>
      <c r="U2985">
        <f>HOUR(datos_siembra[[#This Row],[Hour]])</f>
        <v>12</v>
      </c>
      <c r="V2985" cm="1">
        <f t="array" ref="V2985">_xlfn.IFS(AND(N2985&lt;= 22, S2985=9), N2985-7,AND(N2985&lt;= 28, S2985=9), N2985-25,AND(N2985&lt;= 30, S2985=9), N2985-28,AND(N2985&lt;= 11, S2985=10), N2985+2,AND(N2985&lt;= 21, S2985=10), N2985-11)</f>
        <v>9</v>
      </c>
    </row>
    <row r="2986" spans="1:22" x14ac:dyDescent="0.35">
      <c r="A2986" s="4">
        <v>45572</v>
      </c>
      <c r="B2986" s="5">
        <v>0.52672453703703703</v>
      </c>
      <c r="C2986">
        <v>67</v>
      </c>
      <c r="D2986">
        <v>66.599999999999994</v>
      </c>
      <c r="E2986">
        <v>67.599999999999994</v>
      </c>
      <c r="F2986">
        <v>67.099999999999994</v>
      </c>
      <c r="G2986">
        <v>0</v>
      </c>
      <c r="H2986">
        <v>0</v>
      </c>
      <c r="I2986">
        <v>0</v>
      </c>
      <c r="J2986">
        <v>0</v>
      </c>
      <c r="K2986">
        <v>65.099999999999994</v>
      </c>
      <c r="L2986">
        <v>65.8</v>
      </c>
      <c r="M2986">
        <v>67.099999999999994</v>
      </c>
      <c r="N2986">
        <v>7</v>
      </c>
      <c r="O2986">
        <v>6</v>
      </c>
      <c r="P2986">
        <f>MOD(DAY(datos_siembra[[#This Row],[Date]]),7)</f>
        <v>0</v>
      </c>
      <c r="Q2986" t="str">
        <f>CHOOSE(WEEKDAY(datos_siembra[[#This Row],[Date]],2),"L","M","X","J","V","S","D")</f>
        <v>L</v>
      </c>
      <c r="R2986">
        <f>WEEKNUM(datos_siembra[[#This Row],[Date]],2)-WEEKNUM(DATE(YEAR(datos_siembra[[#This Row],[Date]]),MONTH(datos_siembra[[#This Row],[Date]]),1))+1</f>
        <v>2</v>
      </c>
      <c r="S2986">
        <f>MONTH(datos_siembra[[#This Row],[Date]])</f>
        <v>10</v>
      </c>
      <c r="T2986" t="str" cm="1">
        <f t="array" ref="T2986">_xlfn.IFS(AND(N2986&lt;= 22, S2986=9), "SOWING",AND(N2986&lt;= 28, S2986=9), "COVERAGE",AND(N2986&lt;= 30, S2986=9), "FLUSH",AND(N2986&lt;= 11, S2986=10), "FLUSH",AND(N2986&lt;= 21, S2986=10), "PRODUCTION")</f>
        <v>FLUSH</v>
      </c>
      <c r="U2986">
        <f>HOUR(datos_siembra[[#This Row],[Hour]])</f>
        <v>12</v>
      </c>
      <c r="V2986" cm="1">
        <f t="array" ref="V2986">_xlfn.IFS(AND(N2986&lt;= 22, S2986=9), N2986-7,AND(N2986&lt;= 28, S2986=9), N2986-25,AND(N2986&lt;= 30, S2986=9), N2986-28,AND(N2986&lt;= 11, S2986=10), N2986+2,AND(N2986&lt;= 21, S2986=10), N2986-11)</f>
        <v>9</v>
      </c>
    </row>
    <row r="2987" spans="1:22" x14ac:dyDescent="0.35">
      <c r="A2987" s="4">
        <v>45572</v>
      </c>
      <c r="B2987" s="5">
        <v>0.53366898148148145</v>
      </c>
      <c r="C2987">
        <v>67</v>
      </c>
      <c r="D2987">
        <v>66.599999999999994</v>
      </c>
      <c r="E2987">
        <v>67.400000000000006</v>
      </c>
      <c r="F2987">
        <v>67</v>
      </c>
      <c r="G2987">
        <v>0</v>
      </c>
      <c r="H2987">
        <v>0</v>
      </c>
      <c r="I2987">
        <v>0</v>
      </c>
      <c r="J2987">
        <v>0</v>
      </c>
      <c r="K2987">
        <v>65</v>
      </c>
      <c r="L2987">
        <v>65.5</v>
      </c>
      <c r="M2987">
        <v>66.989999999999995</v>
      </c>
      <c r="N2987">
        <v>7</v>
      </c>
      <c r="O2987">
        <v>6</v>
      </c>
      <c r="P2987">
        <f>MOD(DAY(datos_siembra[[#This Row],[Date]]),7)</f>
        <v>0</v>
      </c>
      <c r="Q2987" t="str">
        <f>CHOOSE(WEEKDAY(datos_siembra[[#This Row],[Date]],2),"L","M","X","J","V","S","D")</f>
        <v>L</v>
      </c>
      <c r="R2987">
        <f>WEEKNUM(datos_siembra[[#This Row],[Date]],2)-WEEKNUM(DATE(YEAR(datos_siembra[[#This Row],[Date]]),MONTH(datos_siembra[[#This Row],[Date]]),1))+1</f>
        <v>2</v>
      </c>
      <c r="S2987">
        <f>MONTH(datos_siembra[[#This Row],[Date]])</f>
        <v>10</v>
      </c>
      <c r="T2987" t="str" cm="1">
        <f t="array" ref="T2987">_xlfn.IFS(AND(N2987&lt;= 22, S2987=9), "SOWING",AND(N2987&lt;= 28, S2987=9), "COVERAGE",AND(N2987&lt;= 30, S2987=9), "FLUSH",AND(N2987&lt;= 11, S2987=10), "FLUSH",AND(N2987&lt;= 21, S2987=10), "PRODUCTION")</f>
        <v>FLUSH</v>
      </c>
      <c r="U2987">
        <f>HOUR(datos_siembra[[#This Row],[Hour]])</f>
        <v>12</v>
      </c>
      <c r="V2987" cm="1">
        <f t="array" ref="V2987">_xlfn.IFS(AND(N2987&lt;= 22, S2987=9), N2987-7,AND(N2987&lt;= 28, S2987=9), N2987-25,AND(N2987&lt;= 30, S2987=9), N2987-28,AND(N2987&lt;= 11, S2987=10), N2987+2,AND(N2987&lt;= 21, S2987=10), N2987-11)</f>
        <v>9</v>
      </c>
    </row>
    <row r="2988" spans="1:22" x14ac:dyDescent="0.35">
      <c r="A2988" s="4">
        <v>45572</v>
      </c>
      <c r="B2988" s="5">
        <v>0.54061342592592587</v>
      </c>
      <c r="C2988">
        <v>66.900000000000006</v>
      </c>
      <c r="D2988">
        <v>66.599999999999994</v>
      </c>
      <c r="E2988">
        <v>67.599999999999994</v>
      </c>
      <c r="F2988">
        <v>67</v>
      </c>
      <c r="G2988">
        <v>0</v>
      </c>
      <c r="H2988">
        <v>0</v>
      </c>
      <c r="I2988">
        <v>0</v>
      </c>
      <c r="J2988">
        <v>0</v>
      </c>
      <c r="K2988">
        <v>65.099999999999994</v>
      </c>
      <c r="L2988">
        <v>65.599999999999994</v>
      </c>
      <c r="M2988">
        <v>67.040000000000006</v>
      </c>
      <c r="N2988">
        <v>7</v>
      </c>
      <c r="O2988">
        <v>6</v>
      </c>
      <c r="P2988">
        <f>MOD(DAY(datos_siembra[[#This Row],[Date]]),7)</f>
        <v>0</v>
      </c>
      <c r="Q2988" t="str">
        <f>CHOOSE(WEEKDAY(datos_siembra[[#This Row],[Date]],2),"L","M","X","J","V","S","D")</f>
        <v>L</v>
      </c>
      <c r="R2988">
        <f>WEEKNUM(datos_siembra[[#This Row],[Date]],2)-WEEKNUM(DATE(YEAR(datos_siembra[[#This Row],[Date]]),MONTH(datos_siembra[[#This Row],[Date]]),1))+1</f>
        <v>2</v>
      </c>
      <c r="S2988">
        <f>MONTH(datos_siembra[[#This Row],[Date]])</f>
        <v>10</v>
      </c>
      <c r="T2988" t="str" cm="1">
        <f t="array" ref="T2988">_xlfn.IFS(AND(N2988&lt;= 22, S2988=9), "SOWING",AND(N2988&lt;= 28, S2988=9), "COVERAGE",AND(N2988&lt;= 30, S2988=9), "FLUSH",AND(N2988&lt;= 11, S2988=10), "FLUSH",AND(N2988&lt;= 21, S2988=10), "PRODUCTION")</f>
        <v>FLUSH</v>
      </c>
      <c r="U2988">
        <f>HOUR(datos_siembra[[#This Row],[Hour]])</f>
        <v>12</v>
      </c>
      <c r="V2988" cm="1">
        <f t="array" ref="V2988">_xlfn.IFS(AND(N2988&lt;= 22, S2988=9), N2988-7,AND(N2988&lt;= 28, S2988=9), N2988-25,AND(N2988&lt;= 30, S2988=9), N2988-28,AND(N2988&lt;= 11, S2988=10), N2988+2,AND(N2988&lt;= 21, S2988=10), N2988-11)</f>
        <v>9</v>
      </c>
    </row>
    <row r="2989" spans="1:22" x14ac:dyDescent="0.35">
      <c r="A2989" s="4">
        <v>45572</v>
      </c>
      <c r="B2989" s="5">
        <v>0.54756944444444444</v>
      </c>
      <c r="C2989">
        <v>67</v>
      </c>
      <c r="D2989">
        <v>66.8</v>
      </c>
      <c r="E2989">
        <v>67.400000000000006</v>
      </c>
      <c r="F2989">
        <v>67.099999999999994</v>
      </c>
      <c r="G2989">
        <v>0</v>
      </c>
      <c r="H2989">
        <v>0</v>
      </c>
      <c r="I2989">
        <v>0</v>
      </c>
      <c r="J2989">
        <v>0</v>
      </c>
      <c r="K2989">
        <v>64.900000000000006</v>
      </c>
      <c r="L2989">
        <v>65.3</v>
      </c>
      <c r="M2989">
        <v>67.099999999999994</v>
      </c>
      <c r="N2989">
        <v>7</v>
      </c>
      <c r="O2989">
        <v>6</v>
      </c>
      <c r="P2989">
        <f>MOD(DAY(datos_siembra[[#This Row],[Date]]),7)</f>
        <v>0</v>
      </c>
      <c r="Q2989" t="str">
        <f>CHOOSE(WEEKDAY(datos_siembra[[#This Row],[Date]],2),"L","M","X","J","V","S","D")</f>
        <v>L</v>
      </c>
      <c r="R2989">
        <f>WEEKNUM(datos_siembra[[#This Row],[Date]],2)-WEEKNUM(DATE(YEAR(datos_siembra[[#This Row],[Date]]),MONTH(datos_siembra[[#This Row],[Date]]),1))+1</f>
        <v>2</v>
      </c>
      <c r="S2989">
        <f>MONTH(datos_siembra[[#This Row],[Date]])</f>
        <v>10</v>
      </c>
      <c r="T2989" t="str" cm="1">
        <f t="array" ref="T2989">_xlfn.IFS(AND(N2989&lt;= 22, S2989=9), "SOWING",AND(N2989&lt;= 28, S2989=9), "COVERAGE",AND(N2989&lt;= 30, S2989=9), "FLUSH",AND(N2989&lt;= 11, S2989=10), "FLUSH",AND(N2989&lt;= 21, S2989=10), "PRODUCTION")</f>
        <v>FLUSH</v>
      </c>
      <c r="U2989">
        <f>HOUR(datos_siembra[[#This Row],[Hour]])</f>
        <v>13</v>
      </c>
      <c r="V2989" cm="1">
        <f t="array" ref="V2989">_xlfn.IFS(AND(N2989&lt;= 22, S2989=9), N2989-7,AND(N2989&lt;= 28, S2989=9), N2989-25,AND(N2989&lt;= 30, S2989=9), N2989-28,AND(N2989&lt;= 11, S2989=10), N2989+2,AND(N2989&lt;= 21, S2989=10), N2989-11)</f>
        <v>9</v>
      </c>
    </row>
    <row r="2990" spans="1:22" x14ac:dyDescent="0.35">
      <c r="A2990" s="4">
        <v>45572</v>
      </c>
      <c r="B2990" s="5">
        <v>0.55451388888888886</v>
      </c>
      <c r="C2990">
        <v>67</v>
      </c>
      <c r="D2990">
        <v>66.8</v>
      </c>
      <c r="E2990">
        <v>67.599999999999994</v>
      </c>
      <c r="F2990">
        <v>67</v>
      </c>
      <c r="G2990">
        <v>0</v>
      </c>
      <c r="H2990">
        <v>0</v>
      </c>
      <c r="I2990">
        <v>0</v>
      </c>
      <c r="J2990">
        <v>0</v>
      </c>
      <c r="K2990">
        <v>63.8</v>
      </c>
      <c r="L2990">
        <v>63.9</v>
      </c>
      <c r="M2990">
        <v>67.069999999999993</v>
      </c>
      <c r="N2990">
        <v>7</v>
      </c>
      <c r="O2990">
        <v>6</v>
      </c>
      <c r="P2990">
        <f>MOD(DAY(datos_siembra[[#This Row],[Date]]),7)</f>
        <v>0</v>
      </c>
      <c r="Q2990" t="str">
        <f>CHOOSE(WEEKDAY(datos_siembra[[#This Row],[Date]],2),"L","M","X","J","V","S","D")</f>
        <v>L</v>
      </c>
      <c r="R2990">
        <f>WEEKNUM(datos_siembra[[#This Row],[Date]],2)-WEEKNUM(DATE(YEAR(datos_siembra[[#This Row],[Date]]),MONTH(datos_siembra[[#This Row],[Date]]),1))+1</f>
        <v>2</v>
      </c>
      <c r="S2990">
        <f>MONTH(datos_siembra[[#This Row],[Date]])</f>
        <v>10</v>
      </c>
      <c r="T2990" t="str" cm="1">
        <f t="array" ref="T2990">_xlfn.IFS(AND(N2990&lt;= 22, S2990=9), "SOWING",AND(N2990&lt;= 28, S2990=9), "COVERAGE",AND(N2990&lt;= 30, S2990=9), "FLUSH",AND(N2990&lt;= 11, S2990=10), "FLUSH",AND(N2990&lt;= 21, S2990=10), "PRODUCTION")</f>
        <v>FLUSH</v>
      </c>
      <c r="U2990">
        <f>HOUR(datos_siembra[[#This Row],[Hour]])</f>
        <v>13</v>
      </c>
      <c r="V2990" cm="1">
        <f t="array" ref="V2990">_xlfn.IFS(AND(N2990&lt;= 22, S2990=9), N2990-7,AND(N2990&lt;= 28, S2990=9), N2990-25,AND(N2990&lt;= 30, S2990=9), N2990-28,AND(N2990&lt;= 11, S2990=10), N2990+2,AND(N2990&lt;= 21, S2990=10), N2990-11)</f>
        <v>9</v>
      </c>
    </row>
    <row r="2991" spans="1:22" x14ac:dyDescent="0.35">
      <c r="A2991" s="4">
        <v>45572</v>
      </c>
      <c r="B2991" s="5">
        <v>0.56145833333333328</v>
      </c>
      <c r="C2991">
        <v>66.8</v>
      </c>
      <c r="D2991">
        <v>66.8</v>
      </c>
      <c r="E2991">
        <v>67.599999999999994</v>
      </c>
      <c r="F2991">
        <v>67</v>
      </c>
      <c r="G2991">
        <v>0</v>
      </c>
      <c r="H2991">
        <v>0</v>
      </c>
      <c r="I2991">
        <v>0</v>
      </c>
      <c r="J2991">
        <v>0</v>
      </c>
      <c r="K2991">
        <v>63.4</v>
      </c>
      <c r="L2991">
        <v>63.6</v>
      </c>
      <c r="M2991">
        <v>67.069999999999993</v>
      </c>
      <c r="N2991">
        <v>7</v>
      </c>
      <c r="O2991">
        <v>6</v>
      </c>
      <c r="P2991">
        <f>MOD(DAY(datos_siembra[[#This Row],[Date]]),7)</f>
        <v>0</v>
      </c>
      <c r="Q2991" t="str">
        <f>CHOOSE(WEEKDAY(datos_siembra[[#This Row],[Date]],2),"L","M","X","J","V","S","D")</f>
        <v>L</v>
      </c>
      <c r="R2991">
        <f>WEEKNUM(datos_siembra[[#This Row],[Date]],2)-WEEKNUM(DATE(YEAR(datos_siembra[[#This Row],[Date]]),MONTH(datos_siembra[[#This Row],[Date]]),1))+1</f>
        <v>2</v>
      </c>
      <c r="S2991">
        <f>MONTH(datos_siembra[[#This Row],[Date]])</f>
        <v>10</v>
      </c>
      <c r="T2991" t="str" cm="1">
        <f t="array" ref="T2991">_xlfn.IFS(AND(N2991&lt;= 22, S2991=9), "SOWING",AND(N2991&lt;= 28, S2991=9), "COVERAGE",AND(N2991&lt;= 30, S2991=9), "FLUSH",AND(N2991&lt;= 11, S2991=10), "FLUSH",AND(N2991&lt;= 21, S2991=10), "PRODUCTION")</f>
        <v>FLUSH</v>
      </c>
      <c r="U2991">
        <f>HOUR(datos_siembra[[#This Row],[Hour]])</f>
        <v>13</v>
      </c>
      <c r="V2991" cm="1">
        <f t="array" ref="V2991">_xlfn.IFS(AND(N2991&lt;= 22, S2991=9), N2991-7,AND(N2991&lt;= 28, S2991=9), N2991-25,AND(N2991&lt;= 30, S2991=9), N2991-28,AND(N2991&lt;= 11, S2991=10), N2991+2,AND(N2991&lt;= 21, S2991=10), N2991-11)</f>
        <v>9</v>
      </c>
    </row>
    <row r="2992" spans="1:22" x14ac:dyDescent="0.35">
      <c r="A2992" s="4">
        <v>45572</v>
      </c>
      <c r="B2992" s="5">
        <v>0.56841435185185185</v>
      </c>
      <c r="C2992">
        <v>67</v>
      </c>
      <c r="D2992">
        <v>66.8</v>
      </c>
      <c r="E2992">
        <v>67.599999999999994</v>
      </c>
      <c r="F2992">
        <v>67</v>
      </c>
      <c r="G2992">
        <v>0</v>
      </c>
      <c r="H2992">
        <v>0</v>
      </c>
      <c r="I2992">
        <v>0</v>
      </c>
      <c r="J2992">
        <v>0</v>
      </c>
      <c r="K2992">
        <v>63.3</v>
      </c>
      <c r="L2992">
        <v>63.3</v>
      </c>
      <c r="M2992">
        <v>67.069999999999993</v>
      </c>
      <c r="N2992">
        <v>7</v>
      </c>
      <c r="O2992">
        <v>6</v>
      </c>
      <c r="P2992">
        <f>MOD(DAY(datos_siembra[[#This Row],[Date]]),7)</f>
        <v>0</v>
      </c>
      <c r="Q2992" t="str">
        <f>CHOOSE(WEEKDAY(datos_siembra[[#This Row],[Date]],2),"L","M","X","J","V","S","D")</f>
        <v>L</v>
      </c>
      <c r="R2992">
        <f>WEEKNUM(datos_siembra[[#This Row],[Date]],2)-WEEKNUM(DATE(YEAR(datos_siembra[[#This Row],[Date]]),MONTH(datos_siembra[[#This Row],[Date]]),1))+1</f>
        <v>2</v>
      </c>
      <c r="S2992">
        <f>MONTH(datos_siembra[[#This Row],[Date]])</f>
        <v>10</v>
      </c>
      <c r="T2992" t="str" cm="1">
        <f t="array" ref="T2992">_xlfn.IFS(AND(N2992&lt;= 22, S2992=9), "SOWING",AND(N2992&lt;= 28, S2992=9), "COVERAGE",AND(N2992&lt;= 30, S2992=9), "FLUSH",AND(N2992&lt;= 11, S2992=10), "FLUSH",AND(N2992&lt;= 21, S2992=10), "PRODUCTION")</f>
        <v>FLUSH</v>
      </c>
      <c r="U2992">
        <f>HOUR(datos_siembra[[#This Row],[Hour]])</f>
        <v>13</v>
      </c>
      <c r="V2992" cm="1">
        <f t="array" ref="V2992">_xlfn.IFS(AND(N2992&lt;= 22, S2992=9), N2992-7,AND(N2992&lt;= 28, S2992=9), N2992-25,AND(N2992&lt;= 30, S2992=9), N2992-28,AND(N2992&lt;= 11, S2992=10), N2992+2,AND(N2992&lt;= 21, S2992=10), N2992-11)</f>
        <v>9</v>
      </c>
    </row>
    <row r="2993" spans="1:22" x14ac:dyDescent="0.35">
      <c r="A2993" s="4">
        <v>45572</v>
      </c>
      <c r="B2993" s="5">
        <v>0.57535879629629627</v>
      </c>
      <c r="C2993">
        <v>66.900000000000006</v>
      </c>
      <c r="D2993">
        <v>66.5</v>
      </c>
      <c r="E2993">
        <v>67.8</v>
      </c>
      <c r="F2993">
        <v>67</v>
      </c>
      <c r="G2993">
        <v>0</v>
      </c>
      <c r="H2993">
        <v>0</v>
      </c>
      <c r="I2993">
        <v>0</v>
      </c>
      <c r="J2993">
        <v>0</v>
      </c>
      <c r="K2993">
        <v>63.2</v>
      </c>
      <c r="L2993">
        <v>63.3</v>
      </c>
      <c r="M2993">
        <v>67.069999999999993</v>
      </c>
      <c r="N2993">
        <v>7</v>
      </c>
      <c r="O2993">
        <v>6</v>
      </c>
      <c r="P2993">
        <f>MOD(DAY(datos_siembra[[#This Row],[Date]]),7)</f>
        <v>0</v>
      </c>
      <c r="Q2993" t="str">
        <f>CHOOSE(WEEKDAY(datos_siembra[[#This Row],[Date]],2),"L","M","X","J","V","S","D")</f>
        <v>L</v>
      </c>
      <c r="R2993">
        <f>WEEKNUM(datos_siembra[[#This Row],[Date]],2)-WEEKNUM(DATE(YEAR(datos_siembra[[#This Row],[Date]]),MONTH(datos_siembra[[#This Row],[Date]]),1))+1</f>
        <v>2</v>
      </c>
      <c r="S2993">
        <f>MONTH(datos_siembra[[#This Row],[Date]])</f>
        <v>10</v>
      </c>
      <c r="T2993" t="str" cm="1">
        <f t="array" ref="T2993">_xlfn.IFS(AND(N2993&lt;= 22, S2993=9), "SOWING",AND(N2993&lt;= 28, S2993=9), "COVERAGE",AND(N2993&lt;= 30, S2993=9), "FLUSH",AND(N2993&lt;= 11, S2993=10), "FLUSH",AND(N2993&lt;= 21, S2993=10), "PRODUCTION")</f>
        <v>FLUSH</v>
      </c>
      <c r="U2993">
        <f>HOUR(datos_siembra[[#This Row],[Hour]])</f>
        <v>13</v>
      </c>
      <c r="V2993" cm="1">
        <f t="array" ref="V2993">_xlfn.IFS(AND(N2993&lt;= 22, S2993=9), N2993-7,AND(N2993&lt;= 28, S2993=9), N2993-25,AND(N2993&lt;= 30, S2993=9), N2993-28,AND(N2993&lt;= 11, S2993=10), N2993+2,AND(N2993&lt;= 21, S2993=10), N2993-11)</f>
        <v>9</v>
      </c>
    </row>
    <row r="2994" spans="1:22" x14ac:dyDescent="0.35">
      <c r="A2994" s="4">
        <v>45572</v>
      </c>
      <c r="B2994" s="5">
        <v>0.58230324074074069</v>
      </c>
      <c r="C2994">
        <v>66.900000000000006</v>
      </c>
      <c r="D2994">
        <v>66.599999999999994</v>
      </c>
      <c r="E2994">
        <v>67.599999999999994</v>
      </c>
      <c r="F2994">
        <v>67.2</v>
      </c>
      <c r="G2994">
        <v>0</v>
      </c>
      <c r="H2994">
        <v>0</v>
      </c>
      <c r="I2994">
        <v>0</v>
      </c>
      <c r="J2994">
        <v>0</v>
      </c>
      <c r="K2994">
        <v>63.7</v>
      </c>
      <c r="L2994">
        <v>64.099999999999994</v>
      </c>
      <c r="M2994">
        <v>67.069999999999993</v>
      </c>
      <c r="N2994">
        <v>7</v>
      </c>
      <c r="O2994">
        <v>6</v>
      </c>
      <c r="P2994">
        <f>MOD(DAY(datos_siembra[[#This Row],[Date]]),7)</f>
        <v>0</v>
      </c>
      <c r="Q2994" t="str">
        <f>CHOOSE(WEEKDAY(datos_siembra[[#This Row],[Date]],2),"L","M","X","J","V","S","D")</f>
        <v>L</v>
      </c>
      <c r="R2994">
        <f>WEEKNUM(datos_siembra[[#This Row],[Date]],2)-WEEKNUM(DATE(YEAR(datos_siembra[[#This Row],[Date]]),MONTH(datos_siembra[[#This Row],[Date]]),1))+1</f>
        <v>2</v>
      </c>
      <c r="S2994">
        <f>MONTH(datos_siembra[[#This Row],[Date]])</f>
        <v>10</v>
      </c>
      <c r="T2994" t="str" cm="1">
        <f t="array" ref="T2994">_xlfn.IFS(AND(N2994&lt;= 22, S2994=9), "SOWING",AND(N2994&lt;= 28, S2994=9), "COVERAGE",AND(N2994&lt;= 30, S2994=9), "FLUSH",AND(N2994&lt;= 11, S2994=10), "FLUSH",AND(N2994&lt;= 21, S2994=10), "PRODUCTION")</f>
        <v>FLUSH</v>
      </c>
      <c r="U2994">
        <f>HOUR(datos_siembra[[#This Row],[Hour]])</f>
        <v>13</v>
      </c>
      <c r="V2994" cm="1">
        <f t="array" ref="V2994">_xlfn.IFS(AND(N2994&lt;= 22, S2994=9), N2994-7,AND(N2994&lt;= 28, S2994=9), N2994-25,AND(N2994&lt;= 30, S2994=9), N2994-28,AND(N2994&lt;= 11, S2994=10), N2994+2,AND(N2994&lt;= 21, S2994=10), N2994-11)</f>
        <v>9</v>
      </c>
    </row>
    <row r="2995" spans="1:22" x14ac:dyDescent="0.35">
      <c r="A2995" s="4">
        <v>45572</v>
      </c>
      <c r="B2995" s="5">
        <v>0.58924768518518522</v>
      </c>
      <c r="C2995">
        <v>66.900000000000006</v>
      </c>
      <c r="D2995">
        <v>66.8</v>
      </c>
      <c r="E2995">
        <v>67.599999999999994</v>
      </c>
      <c r="F2995">
        <v>67</v>
      </c>
      <c r="G2995">
        <v>0</v>
      </c>
      <c r="H2995">
        <v>0</v>
      </c>
      <c r="I2995">
        <v>0</v>
      </c>
      <c r="J2995">
        <v>0</v>
      </c>
      <c r="K2995">
        <v>64.2</v>
      </c>
      <c r="L2995">
        <v>64.7</v>
      </c>
      <c r="M2995">
        <v>67.040000000000006</v>
      </c>
      <c r="N2995">
        <v>7</v>
      </c>
      <c r="O2995">
        <v>6</v>
      </c>
      <c r="P2995">
        <f>MOD(DAY(datos_siembra[[#This Row],[Date]]),7)</f>
        <v>0</v>
      </c>
      <c r="Q2995" t="str">
        <f>CHOOSE(WEEKDAY(datos_siembra[[#This Row],[Date]],2),"L","M","X","J","V","S","D")</f>
        <v>L</v>
      </c>
      <c r="R2995">
        <f>WEEKNUM(datos_siembra[[#This Row],[Date]],2)-WEEKNUM(DATE(YEAR(datos_siembra[[#This Row],[Date]]),MONTH(datos_siembra[[#This Row],[Date]]),1))+1</f>
        <v>2</v>
      </c>
      <c r="S2995">
        <f>MONTH(datos_siembra[[#This Row],[Date]])</f>
        <v>10</v>
      </c>
      <c r="T2995" t="str" cm="1">
        <f t="array" ref="T2995">_xlfn.IFS(AND(N2995&lt;= 22, S2995=9), "SOWING",AND(N2995&lt;= 28, S2995=9), "COVERAGE",AND(N2995&lt;= 30, S2995=9), "FLUSH",AND(N2995&lt;= 11, S2995=10), "FLUSH",AND(N2995&lt;= 21, S2995=10), "PRODUCTION")</f>
        <v>FLUSH</v>
      </c>
      <c r="U2995">
        <f>HOUR(datos_siembra[[#This Row],[Hour]])</f>
        <v>14</v>
      </c>
      <c r="V2995" cm="1">
        <f t="array" ref="V2995">_xlfn.IFS(AND(N2995&lt;= 22, S2995=9), N2995-7,AND(N2995&lt;= 28, S2995=9), N2995-25,AND(N2995&lt;= 30, S2995=9), N2995-28,AND(N2995&lt;= 11, S2995=10), N2995+2,AND(N2995&lt;= 21, S2995=10), N2995-11)</f>
        <v>9</v>
      </c>
    </row>
    <row r="2996" spans="1:22" x14ac:dyDescent="0.35">
      <c r="A2996" s="4">
        <v>45572</v>
      </c>
      <c r="B2996" s="5">
        <v>0.59620370370370368</v>
      </c>
      <c r="C2996">
        <v>67</v>
      </c>
      <c r="D2996">
        <v>66.599999999999994</v>
      </c>
      <c r="E2996">
        <v>67.599999999999994</v>
      </c>
      <c r="F2996">
        <v>67</v>
      </c>
      <c r="G2996">
        <v>0</v>
      </c>
      <c r="H2996">
        <v>0</v>
      </c>
      <c r="I2996">
        <v>0</v>
      </c>
      <c r="J2996">
        <v>0</v>
      </c>
      <c r="K2996">
        <v>64.5</v>
      </c>
      <c r="L2996">
        <v>65.3</v>
      </c>
      <c r="M2996">
        <v>67.099999999999994</v>
      </c>
      <c r="N2996">
        <v>7</v>
      </c>
      <c r="O2996">
        <v>6</v>
      </c>
      <c r="P2996">
        <f>MOD(DAY(datos_siembra[[#This Row],[Date]]),7)</f>
        <v>0</v>
      </c>
      <c r="Q2996" t="str">
        <f>CHOOSE(WEEKDAY(datos_siembra[[#This Row],[Date]],2),"L","M","X","J","V","S","D")</f>
        <v>L</v>
      </c>
      <c r="R2996">
        <f>WEEKNUM(datos_siembra[[#This Row],[Date]],2)-WEEKNUM(DATE(YEAR(datos_siembra[[#This Row],[Date]]),MONTH(datos_siembra[[#This Row],[Date]]),1))+1</f>
        <v>2</v>
      </c>
      <c r="S2996">
        <f>MONTH(datos_siembra[[#This Row],[Date]])</f>
        <v>10</v>
      </c>
      <c r="T2996" t="str" cm="1">
        <f t="array" ref="T2996">_xlfn.IFS(AND(N2996&lt;= 22, S2996=9), "SOWING",AND(N2996&lt;= 28, S2996=9), "COVERAGE",AND(N2996&lt;= 30, S2996=9), "FLUSH",AND(N2996&lt;= 11, S2996=10), "FLUSH",AND(N2996&lt;= 21, S2996=10), "PRODUCTION")</f>
        <v>FLUSH</v>
      </c>
      <c r="U2996">
        <f>HOUR(datos_siembra[[#This Row],[Hour]])</f>
        <v>14</v>
      </c>
      <c r="V2996" cm="1">
        <f t="array" ref="V2996">_xlfn.IFS(AND(N2996&lt;= 22, S2996=9), N2996-7,AND(N2996&lt;= 28, S2996=9), N2996-25,AND(N2996&lt;= 30, S2996=9), N2996-28,AND(N2996&lt;= 11, S2996=10), N2996+2,AND(N2996&lt;= 21, S2996=10), N2996-11)</f>
        <v>9</v>
      </c>
    </row>
    <row r="2997" spans="1:22" x14ac:dyDescent="0.35">
      <c r="A2997" s="4">
        <v>45572</v>
      </c>
      <c r="B2997" s="5">
        <v>0.6031481481481481</v>
      </c>
      <c r="C2997">
        <v>66.900000000000006</v>
      </c>
      <c r="D2997">
        <v>66.8</v>
      </c>
      <c r="E2997">
        <v>67.7</v>
      </c>
      <c r="F2997">
        <v>67.099999999999994</v>
      </c>
      <c r="G2997">
        <v>0</v>
      </c>
      <c r="H2997">
        <v>0</v>
      </c>
      <c r="I2997">
        <v>0</v>
      </c>
      <c r="J2997">
        <v>0</v>
      </c>
      <c r="K2997">
        <v>64.900000000000006</v>
      </c>
      <c r="L2997">
        <v>65.5</v>
      </c>
      <c r="M2997">
        <v>67.13</v>
      </c>
      <c r="N2997">
        <v>7</v>
      </c>
      <c r="O2997">
        <v>6</v>
      </c>
      <c r="P2997">
        <f>MOD(DAY(datos_siembra[[#This Row],[Date]]),7)</f>
        <v>0</v>
      </c>
      <c r="Q2997" t="str">
        <f>CHOOSE(WEEKDAY(datos_siembra[[#This Row],[Date]],2),"L","M","X","J","V","S","D")</f>
        <v>L</v>
      </c>
      <c r="R2997">
        <f>WEEKNUM(datos_siembra[[#This Row],[Date]],2)-WEEKNUM(DATE(YEAR(datos_siembra[[#This Row],[Date]]),MONTH(datos_siembra[[#This Row],[Date]]),1))+1</f>
        <v>2</v>
      </c>
      <c r="S2997">
        <f>MONTH(datos_siembra[[#This Row],[Date]])</f>
        <v>10</v>
      </c>
      <c r="T2997" t="str" cm="1">
        <f t="array" ref="T2997">_xlfn.IFS(AND(N2997&lt;= 22, S2997=9), "SOWING",AND(N2997&lt;= 28, S2997=9), "COVERAGE",AND(N2997&lt;= 30, S2997=9), "FLUSH",AND(N2997&lt;= 11, S2997=10), "FLUSH",AND(N2997&lt;= 21, S2997=10), "PRODUCTION")</f>
        <v>FLUSH</v>
      </c>
      <c r="U2997">
        <f>HOUR(datos_siembra[[#This Row],[Hour]])</f>
        <v>14</v>
      </c>
      <c r="V2997" cm="1">
        <f t="array" ref="V2997">_xlfn.IFS(AND(N2997&lt;= 22, S2997=9), N2997-7,AND(N2997&lt;= 28, S2997=9), N2997-25,AND(N2997&lt;= 30, S2997=9), N2997-28,AND(N2997&lt;= 11, S2997=10), N2997+2,AND(N2997&lt;= 21, S2997=10), N2997-11)</f>
        <v>9</v>
      </c>
    </row>
    <row r="2998" spans="1:22" x14ac:dyDescent="0.35">
      <c r="A2998" s="4">
        <v>45572</v>
      </c>
      <c r="B2998" s="5">
        <v>0.61009259259259263</v>
      </c>
      <c r="C2998">
        <v>67</v>
      </c>
      <c r="D2998">
        <v>66.599999999999994</v>
      </c>
      <c r="E2998">
        <v>67.599999999999994</v>
      </c>
      <c r="F2998">
        <v>67</v>
      </c>
      <c r="G2998">
        <v>0</v>
      </c>
      <c r="H2998">
        <v>0</v>
      </c>
      <c r="I2998">
        <v>0</v>
      </c>
      <c r="J2998">
        <v>0</v>
      </c>
      <c r="K2998">
        <v>65.2</v>
      </c>
      <c r="L2998">
        <v>66.099999999999994</v>
      </c>
      <c r="M2998">
        <v>67.069999999999993</v>
      </c>
      <c r="N2998">
        <v>7</v>
      </c>
      <c r="O2998">
        <v>6</v>
      </c>
      <c r="P2998">
        <f>MOD(DAY(datos_siembra[[#This Row],[Date]]),7)</f>
        <v>0</v>
      </c>
      <c r="Q2998" t="str">
        <f>CHOOSE(WEEKDAY(datos_siembra[[#This Row],[Date]],2),"L","M","X","J","V","S","D")</f>
        <v>L</v>
      </c>
      <c r="R2998">
        <f>WEEKNUM(datos_siembra[[#This Row],[Date]],2)-WEEKNUM(DATE(YEAR(datos_siembra[[#This Row],[Date]]),MONTH(datos_siembra[[#This Row],[Date]]),1))+1</f>
        <v>2</v>
      </c>
      <c r="S2998">
        <f>MONTH(datos_siembra[[#This Row],[Date]])</f>
        <v>10</v>
      </c>
      <c r="T2998" t="str" cm="1">
        <f t="array" ref="T2998">_xlfn.IFS(AND(N2998&lt;= 22, S2998=9), "SOWING",AND(N2998&lt;= 28, S2998=9), "COVERAGE",AND(N2998&lt;= 30, S2998=9), "FLUSH",AND(N2998&lt;= 11, S2998=10), "FLUSH",AND(N2998&lt;= 21, S2998=10), "PRODUCTION")</f>
        <v>FLUSH</v>
      </c>
      <c r="U2998">
        <f>HOUR(datos_siembra[[#This Row],[Hour]])</f>
        <v>14</v>
      </c>
      <c r="V2998" cm="1">
        <f t="array" ref="V2998">_xlfn.IFS(AND(N2998&lt;= 22, S2998=9), N2998-7,AND(N2998&lt;= 28, S2998=9), N2998-25,AND(N2998&lt;= 30, S2998=9), N2998-28,AND(N2998&lt;= 11, S2998=10), N2998+2,AND(N2998&lt;= 21, S2998=10), N2998-11)</f>
        <v>9</v>
      </c>
    </row>
    <row r="2999" spans="1:22" x14ac:dyDescent="0.35">
      <c r="A2999" s="4">
        <v>45572</v>
      </c>
      <c r="B2999" s="5">
        <v>0.61704861111111109</v>
      </c>
      <c r="C2999">
        <v>66.900000000000006</v>
      </c>
      <c r="D2999">
        <v>66.599999999999994</v>
      </c>
      <c r="E2999">
        <v>67.400000000000006</v>
      </c>
      <c r="F2999">
        <v>67</v>
      </c>
      <c r="G2999">
        <v>0</v>
      </c>
      <c r="H2999">
        <v>0</v>
      </c>
      <c r="I2999">
        <v>0</v>
      </c>
      <c r="J2999">
        <v>0</v>
      </c>
      <c r="K2999">
        <v>64.3</v>
      </c>
      <c r="L2999">
        <v>64.7</v>
      </c>
      <c r="M2999">
        <v>67.040000000000006</v>
      </c>
      <c r="N2999">
        <v>7</v>
      </c>
      <c r="O2999">
        <v>6</v>
      </c>
      <c r="P2999">
        <f>MOD(DAY(datos_siembra[[#This Row],[Date]]),7)</f>
        <v>0</v>
      </c>
      <c r="Q2999" t="str">
        <f>CHOOSE(WEEKDAY(datos_siembra[[#This Row],[Date]],2),"L","M","X","J","V","S","D")</f>
        <v>L</v>
      </c>
      <c r="R2999">
        <f>WEEKNUM(datos_siembra[[#This Row],[Date]],2)-WEEKNUM(DATE(YEAR(datos_siembra[[#This Row],[Date]]),MONTH(datos_siembra[[#This Row],[Date]]),1))+1</f>
        <v>2</v>
      </c>
      <c r="S2999">
        <f>MONTH(datos_siembra[[#This Row],[Date]])</f>
        <v>10</v>
      </c>
      <c r="T2999" t="str" cm="1">
        <f t="array" ref="T2999">_xlfn.IFS(AND(N2999&lt;= 22, S2999=9), "SOWING",AND(N2999&lt;= 28, S2999=9), "COVERAGE",AND(N2999&lt;= 30, S2999=9), "FLUSH",AND(N2999&lt;= 11, S2999=10), "FLUSH",AND(N2999&lt;= 21, S2999=10), "PRODUCTION")</f>
        <v>FLUSH</v>
      </c>
      <c r="U2999">
        <f>HOUR(datos_siembra[[#This Row],[Hour]])</f>
        <v>14</v>
      </c>
      <c r="V2999" cm="1">
        <f t="array" ref="V2999">_xlfn.IFS(AND(N2999&lt;= 22, S2999=9), N2999-7,AND(N2999&lt;= 28, S2999=9), N2999-25,AND(N2999&lt;= 30, S2999=9), N2999-28,AND(N2999&lt;= 11, S2999=10), N2999+2,AND(N2999&lt;= 21, S2999=10), N2999-11)</f>
        <v>9</v>
      </c>
    </row>
    <row r="3000" spans="1:22" x14ac:dyDescent="0.35">
      <c r="A3000" s="4">
        <v>45572</v>
      </c>
      <c r="B3000" s="5">
        <v>0.62399305555555551</v>
      </c>
      <c r="C3000">
        <v>66.900000000000006</v>
      </c>
      <c r="D3000">
        <v>66.599999999999994</v>
      </c>
      <c r="E3000">
        <v>67.7</v>
      </c>
      <c r="F3000">
        <v>67.099999999999994</v>
      </c>
      <c r="G3000">
        <v>0</v>
      </c>
      <c r="H3000">
        <v>0</v>
      </c>
      <c r="I3000">
        <v>0</v>
      </c>
      <c r="J3000">
        <v>0</v>
      </c>
      <c r="K3000">
        <v>63.7</v>
      </c>
      <c r="L3000">
        <v>63.8</v>
      </c>
      <c r="M3000">
        <v>67.069999999999993</v>
      </c>
      <c r="N3000">
        <v>7</v>
      </c>
      <c r="O3000">
        <v>6</v>
      </c>
      <c r="P3000">
        <f>MOD(DAY(datos_siembra[[#This Row],[Date]]),7)</f>
        <v>0</v>
      </c>
      <c r="Q3000" t="str">
        <f>CHOOSE(WEEKDAY(datos_siembra[[#This Row],[Date]],2),"L","M","X","J","V","S","D")</f>
        <v>L</v>
      </c>
      <c r="R3000">
        <f>WEEKNUM(datos_siembra[[#This Row],[Date]],2)-WEEKNUM(DATE(YEAR(datos_siembra[[#This Row],[Date]]),MONTH(datos_siembra[[#This Row],[Date]]),1))+1</f>
        <v>2</v>
      </c>
      <c r="S3000">
        <f>MONTH(datos_siembra[[#This Row],[Date]])</f>
        <v>10</v>
      </c>
      <c r="T3000" t="str" cm="1">
        <f t="array" ref="T3000">_xlfn.IFS(AND(N3000&lt;= 22, S3000=9), "SOWING",AND(N3000&lt;= 28, S3000=9), "COVERAGE",AND(N3000&lt;= 30, S3000=9), "FLUSH",AND(N3000&lt;= 11, S3000=10), "FLUSH",AND(N3000&lt;= 21, S3000=10), "PRODUCTION")</f>
        <v>FLUSH</v>
      </c>
      <c r="U3000">
        <f>HOUR(datos_siembra[[#This Row],[Hour]])</f>
        <v>14</v>
      </c>
      <c r="V3000" cm="1">
        <f t="array" ref="V3000">_xlfn.IFS(AND(N3000&lt;= 22, S3000=9), N3000-7,AND(N3000&lt;= 28, S3000=9), N3000-25,AND(N3000&lt;= 30, S3000=9), N3000-28,AND(N3000&lt;= 11, S3000=10), N3000+2,AND(N3000&lt;= 21, S3000=10), N3000-11)</f>
        <v>9</v>
      </c>
    </row>
    <row r="3001" spans="1:22" x14ac:dyDescent="0.35">
      <c r="A3001" s="4">
        <v>45572</v>
      </c>
      <c r="B3001" s="5">
        <v>0.63093750000000004</v>
      </c>
      <c r="C3001">
        <v>67</v>
      </c>
      <c r="D3001">
        <v>66.8</v>
      </c>
      <c r="E3001">
        <v>67.900000000000006</v>
      </c>
      <c r="F3001">
        <v>67.2</v>
      </c>
      <c r="G3001">
        <v>0</v>
      </c>
      <c r="H3001">
        <v>0</v>
      </c>
      <c r="I3001">
        <v>0</v>
      </c>
      <c r="J3001">
        <v>0</v>
      </c>
      <c r="K3001">
        <v>63.5</v>
      </c>
      <c r="L3001">
        <v>63.5</v>
      </c>
      <c r="M3001">
        <v>67.099999999999994</v>
      </c>
      <c r="N3001">
        <v>7</v>
      </c>
      <c r="O3001">
        <v>6</v>
      </c>
      <c r="P3001">
        <f>MOD(DAY(datos_siembra[[#This Row],[Date]]),7)</f>
        <v>0</v>
      </c>
      <c r="Q3001" t="str">
        <f>CHOOSE(WEEKDAY(datos_siembra[[#This Row],[Date]],2),"L","M","X","J","V","S","D")</f>
        <v>L</v>
      </c>
      <c r="R3001">
        <f>WEEKNUM(datos_siembra[[#This Row],[Date]],2)-WEEKNUM(DATE(YEAR(datos_siembra[[#This Row],[Date]]),MONTH(datos_siembra[[#This Row],[Date]]),1))+1</f>
        <v>2</v>
      </c>
      <c r="S3001">
        <f>MONTH(datos_siembra[[#This Row],[Date]])</f>
        <v>10</v>
      </c>
      <c r="T3001" t="str" cm="1">
        <f t="array" ref="T3001">_xlfn.IFS(AND(N3001&lt;= 22, S3001=9), "SOWING",AND(N3001&lt;= 28, S3001=9), "COVERAGE",AND(N3001&lt;= 30, S3001=9), "FLUSH",AND(N3001&lt;= 11, S3001=10), "FLUSH",AND(N3001&lt;= 21, S3001=10), "PRODUCTION")</f>
        <v>FLUSH</v>
      </c>
      <c r="U3001">
        <f>HOUR(datos_siembra[[#This Row],[Hour]])</f>
        <v>15</v>
      </c>
      <c r="V3001" cm="1">
        <f t="array" ref="V3001">_xlfn.IFS(AND(N3001&lt;= 22, S3001=9), N3001-7,AND(N3001&lt;= 28, S3001=9), N3001-25,AND(N3001&lt;= 30, S3001=9), N3001-28,AND(N3001&lt;= 11, S3001=10), N3001+2,AND(N3001&lt;= 21, S3001=10), N3001-11)</f>
        <v>9</v>
      </c>
    </row>
    <row r="3002" spans="1:22" x14ac:dyDescent="0.35">
      <c r="A3002" s="4">
        <v>45572</v>
      </c>
      <c r="B3002" s="5">
        <v>0.63788194444444446</v>
      </c>
      <c r="C3002">
        <v>67</v>
      </c>
      <c r="D3002">
        <v>66.8</v>
      </c>
      <c r="E3002">
        <v>67.7</v>
      </c>
      <c r="F3002">
        <v>67.2</v>
      </c>
      <c r="G3002">
        <v>0</v>
      </c>
      <c r="H3002">
        <v>0</v>
      </c>
      <c r="I3002">
        <v>0</v>
      </c>
      <c r="J3002">
        <v>0</v>
      </c>
      <c r="K3002">
        <v>63.2</v>
      </c>
      <c r="L3002">
        <v>63.3</v>
      </c>
      <c r="M3002">
        <v>67.13</v>
      </c>
      <c r="N3002">
        <v>7</v>
      </c>
      <c r="O3002">
        <v>6</v>
      </c>
      <c r="P3002">
        <f>MOD(DAY(datos_siembra[[#This Row],[Date]]),7)</f>
        <v>0</v>
      </c>
      <c r="Q3002" t="str">
        <f>CHOOSE(WEEKDAY(datos_siembra[[#This Row],[Date]],2),"L","M","X","J","V","S","D")</f>
        <v>L</v>
      </c>
      <c r="R3002">
        <f>WEEKNUM(datos_siembra[[#This Row],[Date]],2)-WEEKNUM(DATE(YEAR(datos_siembra[[#This Row],[Date]]),MONTH(datos_siembra[[#This Row],[Date]]),1))+1</f>
        <v>2</v>
      </c>
      <c r="S3002">
        <f>MONTH(datos_siembra[[#This Row],[Date]])</f>
        <v>10</v>
      </c>
      <c r="T3002" t="str" cm="1">
        <f t="array" ref="T3002">_xlfn.IFS(AND(N3002&lt;= 22, S3002=9), "SOWING",AND(N3002&lt;= 28, S3002=9), "COVERAGE",AND(N3002&lt;= 30, S3002=9), "FLUSH",AND(N3002&lt;= 11, S3002=10), "FLUSH",AND(N3002&lt;= 21, S3002=10), "PRODUCTION")</f>
        <v>FLUSH</v>
      </c>
      <c r="U3002">
        <f>HOUR(datos_siembra[[#This Row],[Hour]])</f>
        <v>15</v>
      </c>
      <c r="V3002" cm="1">
        <f t="array" ref="V3002">_xlfn.IFS(AND(N3002&lt;= 22, S3002=9), N3002-7,AND(N3002&lt;= 28, S3002=9), N3002-25,AND(N3002&lt;= 30, S3002=9), N3002-28,AND(N3002&lt;= 11, S3002=10), N3002+2,AND(N3002&lt;= 21, S3002=10), N3002-11)</f>
        <v>9</v>
      </c>
    </row>
    <row r="3003" spans="1:22" x14ac:dyDescent="0.35">
      <c r="A3003" s="4">
        <v>45572</v>
      </c>
      <c r="B3003" s="5">
        <v>0.64483796296296292</v>
      </c>
      <c r="C3003">
        <v>67</v>
      </c>
      <c r="D3003">
        <v>66.599999999999994</v>
      </c>
      <c r="E3003">
        <v>67.8</v>
      </c>
      <c r="F3003">
        <v>67.099999999999994</v>
      </c>
      <c r="G3003">
        <v>0</v>
      </c>
      <c r="H3003">
        <v>0</v>
      </c>
      <c r="I3003">
        <v>0</v>
      </c>
      <c r="J3003">
        <v>0</v>
      </c>
      <c r="K3003">
        <v>63</v>
      </c>
      <c r="L3003">
        <v>63</v>
      </c>
      <c r="M3003">
        <v>67.13</v>
      </c>
      <c r="N3003">
        <v>7</v>
      </c>
      <c r="O3003">
        <v>6</v>
      </c>
      <c r="P3003">
        <f>MOD(DAY(datos_siembra[[#This Row],[Date]]),7)</f>
        <v>0</v>
      </c>
      <c r="Q3003" t="str">
        <f>CHOOSE(WEEKDAY(datos_siembra[[#This Row],[Date]],2),"L","M","X","J","V","S","D")</f>
        <v>L</v>
      </c>
      <c r="R3003">
        <f>WEEKNUM(datos_siembra[[#This Row],[Date]],2)-WEEKNUM(DATE(YEAR(datos_siembra[[#This Row],[Date]]),MONTH(datos_siembra[[#This Row],[Date]]),1))+1</f>
        <v>2</v>
      </c>
      <c r="S3003">
        <f>MONTH(datos_siembra[[#This Row],[Date]])</f>
        <v>10</v>
      </c>
      <c r="T3003" t="str" cm="1">
        <f t="array" ref="T3003">_xlfn.IFS(AND(N3003&lt;= 22, S3003=9), "SOWING",AND(N3003&lt;= 28, S3003=9), "COVERAGE",AND(N3003&lt;= 30, S3003=9), "FLUSH",AND(N3003&lt;= 11, S3003=10), "FLUSH",AND(N3003&lt;= 21, S3003=10), "PRODUCTION")</f>
        <v>FLUSH</v>
      </c>
      <c r="U3003">
        <f>HOUR(datos_siembra[[#This Row],[Hour]])</f>
        <v>15</v>
      </c>
      <c r="V3003" cm="1">
        <f t="array" ref="V3003">_xlfn.IFS(AND(N3003&lt;= 22, S3003=9), N3003-7,AND(N3003&lt;= 28, S3003=9), N3003-25,AND(N3003&lt;= 30, S3003=9), N3003-28,AND(N3003&lt;= 11, S3003=10), N3003+2,AND(N3003&lt;= 21, S3003=10), N3003-11)</f>
        <v>9</v>
      </c>
    </row>
    <row r="3004" spans="1:22" x14ac:dyDescent="0.35">
      <c r="A3004" s="4">
        <v>45572</v>
      </c>
      <c r="B3004" s="5">
        <v>0.65178240740740745</v>
      </c>
      <c r="C3004">
        <v>67</v>
      </c>
      <c r="D3004">
        <v>66.8</v>
      </c>
      <c r="E3004">
        <v>67.599999999999994</v>
      </c>
      <c r="F3004">
        <v>67.099999999999994</v>
      </c>
      <c r="G3004">
        <v>0</v>
      </c>
      <c r="H3004">
        <v>0</v>
      </c>
      <c r="I3004">
        <v>0</v>
      </c>
      <c r="J3004">
        <v>0</v>
      </c>
      <c r="K3004">
        <v>63.5</v>
      </c>
      <c r="L3004">
        <v>63.9</v>
      </c>
      <c r="M3004">
        <v>67.099999999999994</v>
      </c>
      <c r="N3004">
        <v>7</v>
      </c>
      <c r="O3004">
        <v>6</v>
      </c>
      <c r="P3004">
        <f>MOD(DAY(datos_siembra[[#This Row],[Date]]),7)</f>
        <v>0</v>
      </c>
      <c r="Q3004" t="str">
        <f>CHOOSE(WEEKDAY(datos_siembra[[#This Row],[Date]],2),"L","M","X","J","V","S","D")</f>
        <v>L</v>
      </c>
      <c r="R3004">
        <f>WEEKNUM(datos_siembra[[#This Row],[Date]],2)-WEEKNUM(DATE(YEAR(datos_siembra[[#This Row],[Date]]),MONTH(datos_siembra[[#This Row],[Date]]),1))+1</f>
        <v>2</v>
      </c>
      <c r="S3004">
        <f>MONTH(datos_siembra[[#This Row],[Date]])</f>
        <v>10</v>
      </c>
      <c r="T3004" t="str" cm="1">
        <f t="array" ref="T3004">_xlfn.IFS(AND(N3004&lt;= 22, S3004=9), "SOWING",AND(N3004&lt;= 28, S3004=9), "COVERAGE",AND(N3004&lt;= 30, S3004=9), "FLUSH",AND(N3004&lt;= 11, S3004=10), "FLUSH",AND(N3004&lt;= 21, S3004=10), "PRODUCTION")</f>
        <v>FLUSH</v>
      </c>
      <c r="U3004">
        <f>HOUR(datos_siembra[[#This Row],[Hour]])</f>
        <v>15</v>
      </c>
      <c r="V3004" cm="1">
        <f t="array" ref="V3004">_xlfn.IFS(AND(N3004&lt;= 22, S3004=9), N3004-7,AND(N3004&lt;= 28, S3004=9), N3004-25,AND(N3004&lt;= 30, S3004=9), N3004-28,AND(N3004&lt;= 11, S3004=10), N3004+2,AND(N3004&lt;= 21, S3004=10), N3004-11)</f>
        <v>9</v>
      </c>
    </row>
    <row r="3005" spans="1:22" x14ac:dyDescent="0.35">
      <c r="A3005" s="4">
        <v>45572</v>
      </c>
      <c r="B3005" s="5">
        <v>0.65872685185185187</v>
      </c>
      <c r="C3005">
        <v>66.900000000000006</v>
      </c>
      <c r="D3005">
        <v>66.599999999999994</v>
      </c>
      <c r="E3005">
        <v>67.7</v>
      </c>
      <c r="F3005">
        <v>67.099999999999994</v>
      </c>
      <c r="G3005">
        <v>0</v>
      </c>
      <c r="H3005">
        <v>0</v>
      </c>
      <c r="I3005">
        <v>0</v>
      </c>
      <c r="J3005">
        <v>0</v>
      </c>
      <c r="K3005">
        <v>63.9</v>
      </c>
      <c r="L3005">
        <v>64.3</v>
      </c>
      <c r="M3005">
        <v>67.02</v>
      </c>
      <c r="N3005">
        <v>7</v>
      </c>
      <c r="O3005">
        <v>6</v>
      </c>
      <c r="P3005">
        <f>MOD(DAY(datos_siembra[[#This Row],[Date]]),7)</f>
        <v>0</v>
      </c>
      <c r="Q3005" t="str">
        <f>CHOOSE(WEEKDAY(datos_siembra[[#This Row],[Date]],2),"L","M","X","J","V","S","D")</f>
        <v>L</v>
      </c>
      <c r="R3005">
        <f>WEEKNUM(datos_siembra[[#This Row],[Date]],2)-WEEKNUM(DATE(YEAR(datos_siembra[[#This Row],[Date]]),MONTH(datos_siembra[[#This Row],[Date]]),1))+1</f>
        <v>2</v>
      </c>
      <c r="S3005">
        <f>MONTH(datos_siembra[[#This Row],[Date]])</f>
        <v>10</v>
      </c>
      <c r="T3005" t="str" cm="1">
        <f t="array" ref="T3005">_xlfn.IFS(AND(N3005&lt;= 22, S3005=9), "SOWING",AND(N3005&lt;= 28, S3005=9), "COVERAGE",AND(N3005&lt;= 30, S3005=9), "FLUSH",AND(N3005&lt;= 11, S3005=10), "FLUSH",AND(N3005&lt;= 21, S3005=10), "PRODUCTION")</f>
        <v>FLUSH</v>
      </c>
      <c r="U3005">
        <f>HOUR(datos_siembra[[#This Row],[Hour]])</f>
        <v>15</v>
      </c>
      <c r="V3005" cm="1">
        <f t="array" ref="V3005">_xlfn.IFS(AND(N3005&lt;= 22, S3005=9), N3005-7,AND(N3005&lt;= 28, S3005=9), N3005-25,AND(N3005&lt;= 30, S3005=9), N3005-28,AND(N3005&lt;= 11, S3005=10), N3005+2,AND(N3005&lt;= 21, S3005=10), N3005-11)</f>
        <v>9</v>
      </c>
    </row>
    <row r="3006" spans="1:22" x14ac:dyDescent="0.35">
      <c r="A3006" s="4">
        <v>45572</v>
      </c>
      <c r="B3006" s="5">
        <v>0.66568287037037033</v>
      </c>
      <c r="C3006">
        <v>67</v>
      </c>
      <c r="D3006">
        <v>66.599999999999994</v>
      </c>
      <c r="E3006">
        <v>67.400000000000006</v>
      </c>
      <c r="F3006">
        <v>67.2</v>
      </c>
      <c r="G3006">
        <v>0</v>
      </c>
      <c r="H3006">
        <v>0</v>
      </c>
      <c r="I3006">
        <v>0</v>
      </c>
      <c r="J3006">
        <v>0</v>
      </c>
      <c r="K3006">
        <v>64.099999999999994</v>
      </c>
      <c r="L3006">
        <v>64.5</v>
      </c>
      <c r="M3006">
        <v>67.069999999999993</v>
      </c>
      <c r="N3006">
        <v>7</v>
      </c>
      <c r="O3006">
        <v>6</v>
      </c>
      <c r="P3006">
        <f>MOD(DAY(datos_siembra[[#This Row],[Date]]),7)</f>
        <v>0</v>
      </c>
      <c r="Q3006" t="str">
        <f>CHOOSE(WEEKDAY(datos_siembra[[#This Row],[Date]],2),"L","M","X","J","V","S","D")</f>
        <v>L</v>
      </c>
      <c r="R3006">
        <f>WEEKNUM(datos_siembra[[#This Row],[Date]],2)-WEEKNUM(DATE(YEAR(datos_siembra[[#This Row],[Date]]),MONTH(datos_siembra[[#This Row],[Date]]),1))+1</f>
        <v>2</v>
      </c>
      <c r="S3006">
        <f>MONTH(datos_siembra[[#This Row],[Date]])</f>
        <v>10</v>
      </c>
      <c r="T3006" t="str" cm="1">
        <f t="array" ref="T3006">_xlfn.IFS(AND(N3006&lt;= 22, S3006=9), "SOWING",AND(N3006&lt;= 28, S3006=9), "COVERAGE",AND(N3006&lt;= 30, S3006=9), "FLUSH",AND(N3006&lt;= 11, S3006=10), "FLUSH",AND(N3006&lt;= 21, S3006=10), "PRODUCTION")</f>
        <v>FLUSH</v>
      </c>
      <c r="U3006">
        <f>HOUR(datos_siembra[[#This Row],[Hour]])</f>
        <v>15</v>
      </c>
      <c r="V3006" cm="1">
        <f t="array" ref="V3006">_xlfn.IFS(AND(N3006&lt;= 22, S3006=9), N3006-7,AND(N3006&lt;= 28, S3006=9), N3006-25,AND(N3006&lt;= 30, S3006=9), N3006-28,AND(N3006&lt;= 11, S3006=10), N3006+2,AND(N3006&lt;= 21, S3006=10), N3006-11)</f>
        <v>9</v>
      </c>
    </row>
    <row r="3007" spans="1:22" x14ac:dyDescent="0.35">
      <c r="A3007" s="4">
        <v>45572</v>
      </c>
      <c r="B3007" s="5">
        <v>0.67262731481481486</v>
      </c>
      <c r="C3007">
        <v>67</v>
      </c>
      <c r="D3007">
        <v>66.5</v>
      </c>
      <c r="E3007">
        <v>67.599999999999994</v>
      </c>
      <c r="F3007">
        <v>67.2</v>
      </c>
      <c r="G3007">
        <v>0</v>
      </c>
      <c r="H3007">
        <v>0</v>
      </c>
      <c r="I3007">
        <v>0</v>
      </c>
      <c r="J3007">
        <v>0</v>
      </c>
      <c r="K3007">
        <v>64.2</v>
      </c>
      <c r="L3007">
        <v>64.400000000000006</v>
      </c>
      <c r="M3007">
        <v>67.180000000000007</v>
      </c>
      <c r="N3007">
        <v>7</v>
      </c>
      <c r="O3007">
        <v>6</v>
      </c>
      <c r="P3007">
        <f>MOD(DAY(datos_siembra[[#This Row],[Date]]),7)</f>
        <v>0</v>
      </c>
      <c r="Q3007" t="str">
        <f>CHOOSE(WEEKDAY(datos_siembra[[#This Row],[Date]],2),"L","M","X","J","V","S","D")</f>
        <v>L</v>
      </c>
      <c r="R3007">
        <f>WEEKNUM(datos_siembra[[#This Row],[Date]],2)-WEEKNUM(DATE(YEAR(datos_siembra[[#This Row],[Date]]),MONTH(datos_siembra[[#This Row],[Date]]),1))+1</f>
        <v>2</v>
      </c>
      <c r="S3007">
        <f>MONTH(datos_siembra[[#This Row],[Date]])</f>
        <v>10</v>
      </c>
      <c r="T3007" t="str" cm="1">
        <f t="array" ref="T3007">_xlfn.IFS(AND(N3007&lt;= 22, S3007=9), "SOWING",AND(N3007&lt;= 28, S3007=9), "COVERAGE",AND(N3007&lt;= 30, S3007=9), "FLUSH",AND(N3007&lt;= 11, S3007=10), "FLUSH",AND(N3007&lt;= 21, S3007=10), "PRODUCTION")</f>
        <v>FLUSH</v>
      </c>
      <c r="U3007">
        <f>HOUR(datos_siembra[[#This Row],[Hour]])</f>
        <v>16</v>
      </c>
      <c r="V3007" cm="1">
        <f t="array" ref="V3007">_xlfn.IFS(AND(N3007&lt;= 22, S3007=9), N3007-7,AND(N3007&lt;= 28, S3007=9), N3007-25,AND(N3007&lt;= 30, S3007=9), N3007-28,AND(N3007&lt;= 11, S3007=10), N3007+2,AND(N3007&lt;= 21, S3007=10), N3007-11)</f>
        <v>9</v>
      </c>
    </row>
    <row r="3008" spans="1:22" x14ac:dyDescent="0.35">
      <c r="A3008" s="4">
        <v>45572</v>
      </c>
      <c r="B3008" s="5">
        <v>0.67957175925925928</v>
      </c>
      <c r="C3008">
        <v>67</v>
      </c>
      <c r="D3008">
        <v>66.599999999999994</v>
      </c>
      <c r="E3008">
        <v>67.7</v>
      </c>
      <c r="F3008">
        <v>67.099999999999994</v>
      </c>
      <c r="G3008">
        <v>0</v>
      </c>
      <c r="H3008">
        <v>0</v>
      </c>
      <c r="I3008">
        <v>0</v>
      </c>
      <c r="J3008">
        <v>0</v>
      </c>
      <c r="K3008">
        <v>64.2</v>
      </c>
      <c r="L3008">
        <v>64.5</v>
      </c>
      <c r="M3008">
        <v>66.989999999999995</v>
      </c>
      <c r="N3008">
        <v>7</v>
      </c>
      <c r="O3008">
        <v>6</v>
      </c>
      <c r="P3008">
        <f>MOD(DAY(datos_siembra[[#This Row],[Date]]),7)</f>
        <v>0</v>
      </c>
      <c r="Q3008" t="str">
        <f>CHOOSE(WEEKDAY(datos_siembra[[#This Row],[Date]],2),"L","M","X","J","V","S","D")</f>
        <v>L</v>
      </c>
      <c r="R3008">
        <f>WEEKNUM(datos_siembra[[#This Row],[Date]],2)-WEEKNUM(DATE(YEAR(datos_siembra[[#This Row],[Date]]),MONTH(datos_siembra[[#This Row],[Date]]),1))+1</f>
        <v>2</v>
      </c>
      <c r="S3008">
        <f>MONTH(datos_siembra[[#This Row],[Date]])</f>
        <v>10</v>
      </c>
      <c r="T3008" t="str" cm="1">
        <f t="array" ref="T3008">_xlfn.IFS(AND(N3008&lt;= 22, S3008=9), "SOWING",AND(N3008&lt;= 28, S3008=9), "COVERAGE",AND(N3008&lt;= 30, S3008=9), "FLUSH",AND(N3008&lt;= 11, S3008=10), "FLUSH",AND(N3008&lt;= 21, S3008=10), "PRODUCTION")</f>
        <v>FLUSH</v>
      </c>
      <c r="U3008">
        <f>HOUR(datos_siembra[[#This Row],[Hour]])</f>
        <v>16</v>
      </c>
      <c r="V3008" cm="1">
        <f t="array" ref="V3008">_xlfn.IFS(AND(N3008&lt;= 22, S3008=9), N3008-7,AND(N3008&lt;= 28, S3008=9), N3008-25,AND(N3008&lt;= 30, S3008=9), N3008-28,AND(N3008&lt;= 11, S3008=10), N3008+2,AND(N3008&lt;= 21, S3008=10), N3008-11)</f>
        <v>9</v>
      </c>
    </row>
    <row r="3009" spans="1:22" x14ac:dyDescent="0.35">
      <c r="A3009" s="4">
        <v>45572</v>
      </c>
      <c r="B3009" s="5">
        <v>0.6865162037037037</v>
      </c>
      <c r="C3009">
        <v>66.900000000000006</v>
      </c>
      <c r="D3009">
        <v>66.599999999999994</v>
      </c>
      <c r="E3009">
        <v>67.8</v>
      </c>
      <c r="F3009">
        <v>67</v>
      </c>
      <c r="G3009">
        <v>0</v>
      </c>
      <c r="H3009">
        <v>0</v>
      </c>
      <c r="I3009">
        <v>0</v>
      </c>
      <c r="J3009">
        <v>0</v>
      </c>
      <c r="K3009">
        <v>64.2</v>
      </c>
      <c r="L3009">
        <v>64.400000000000006</v>
      </c>
      <c r="M3009">
        <v>66.989999999999995</v>
      </c>
      <c r="N3009">
        <v>7</v>
      </c>
      <c r="O3009">
        <v>6</v>
      </c>
      <c r="P3009">
        <f>MOD(DAY(datos_siembra[[#This Row],[Date]]),7)</f>
        <v>0</v>
      </c>
      <c r="Q3009" t="str">
        <f>CHOOSE(WEEKDAY(datos_siembra[[#This Row],[Date]],2),"L","M","X","J","V","S","D")</f>
        <v>L</v>
      </c>
      <c r="R3009">
        <f>WEEKNUM(datos_siembra[[#This Row],[Date]],2)-WEEKNUM(DATE(YEAR(datos_siembra[[#This Row],[Date]]),MONTH(datos_siembra[[#This Row],[Date]]),1))+1</f>
        <v>2</v>
      </c>
      <c r="S3009">
        <f>MONTH(datos_siembra[[#This Row],[Date]])</f>
        <v>10</v>
      </c>
      <c r="T3009" t="str" cm="1">
        <f t="array" ref="T3009">_xlfn.IFS(AND(N3009&lt;= 22, S3009=9), "SOWING",AND(N3009&lt;= 28, S3009=9), "COVERAGE",AND(N3009&lt;= 30, S3009=9), "FLUSH",AND(N3009&lt;= 11, S3009=10), "FLUSH",AND(N3009&lt;= 21, S3009=10), "PRODUCTION")</f>
        <v>FLUSH</v>
      </c>
      <c r="U3009">
        <f>HOUR(datos_siembra[[#This Row],[Hour]])</f>
        <v>16</v>
      </c>
      <c r="V3009" cm="1">
        <f t="array" ref="V3009">_xlfn.IFS(AND(N3009&lt;= 22, S3009=9), N3009-7,AND(N3009&lt;= 28, S3009=9), N3009-25,AND(N3009&lt;= 30, S3009=9), N3009-28,AND(N3009&lt;= 11, S3009=10), N3009+2,AND(N3009&lt;= 21, S3009=10), N3009-11)</f>
        <v>9</v>
      </c>
    </row>
    <row r="3010" spans="1:22" x14ac:dyDescent="0.35">
      <c r="A3010" s="4">
        <v>45572</v>
      </c>
      <c r="B3010" s="5">
        <v>0.69347222222222227</v>
      </c>
      <c r="C3010">
        <v>66.900000000000006</v>
      </c>
      <c r="D3010">
        <v>66.8</v>
      </c>
      <c r="E3010">
        <v>67.7</v>
      </c>
      <c r="F3010">
        <v>67.099999999999994</v>
      </c>
      <c r="G3010">
        <v>0</v>
      </c>
      <c r="H3010">
        <v>0</v>
      </c>
      <c r="I3010">
        <v>0</v>
      </c>
      <c r="J3010">
        <v>0</v>
      </c>
      <c r="K3010">
        <v>64.2</v>
      </c>
      <c r="L3010">
        <v>64.400000000000006</v>
      </c>
      <c r="M3010">
        <v>67.16</v>
      </c>
      <c r="N3010">
        <v>7</v>
      </c>
      <c r="O3010">
        <v>6</v>
      </c>
      <c r="P3010">
        <f>MOD(DAY(datos_siembra[[#This Row],[Date]]),7)</f>
        <v>0</v>
      </c>
      <c r="Q3010" t="str">
        <f>CHOOSE(WEEKDAY(datos_siembra[[#This Row],[Date]],2),"L","M","X","J","V","S","D")</f>
        <v>L</v>
      </c>
      <c r="R3010">
        <f>WEEKNUM(datos_siembra[[#This Row],[Date]],2)-WEEKNUM(DATE(YEAR(datos_siembra[[#This Row],[Date]]),MONTH(datos_siembra[[#This Row],[Date]]),1))+1</f>
        <v>2</v>
      </c>
      <c r="S3010">
        <f>MONTH(datos_siembra[[#This Row],[Date]])</f>
        <v>10</v>
      </c>
      <c r="T3010" t="str" cm="1">
        <f t="array" ref="T3010">_xlfn.IFS(AND(N3010&lt;= 22, S3010=9), "SOWING",AND(N3010&lt;= 28, S3010=9), "COVERAGE",AND(N3010&lt;= 30, S3010=9), "FLUSH",AND(N3010&lt;= 11, S3010=10), "FLUSH",AND(N3010&lt;= 21, S3010=10), "PRODUCTION")</f>
        <v>FLUSH</v>
      </c>
      <c r="U3010">
        <f>HOUR(datos_siembra[[#This Row],[Hour]])</f>
        <v>16</v>
      </c>
      <c r="V3010" cm="1">
        <f t="array" ref="V3010">_xlfn.IFS(AND(N3010&lt;= 22, S3010=9), N3010-7,AND(N3010&lt;= 28, S3010=9), N3010-25,AND(N3010&lt;= 30, S3010=9), N3010-28,AND(N3010&lt;= 11, S3010=10), N3010+2,AND(N3010&lt;= 21, S3010=10), N3010-11)</f>
        <v>9</v>
      </c>
    </row>
    <row r="3011" spans="1:22" x14ac:dyDescent="0.35">
      <c r="A3011" s="4">
        <v>45572</v>
      </c>
      <c r="B3011" s="5">
        <v>0.70041666666666669</v>
      </c>
      <c r="C3011">
        <v>67</v>
      </c>
      <c r="D3011">
        <v>66.8</v>
      </c>
      <c r="E3011">
        <v>67.599999999999994</v>
      </c>
      <c r="F3011">
        <v>67.2</v>
      </c>
      <c r="G3011">
        <v>0</v>
      </c>
      <c r="H3011">
        <v>0</v>
      </c>
      <c r="I3011">
        <v>0</v>
      </c>
      <c r="J3011">
        <v>0</v>
      </c>
      <c r="K3011">
        <v>64.2</v>
      </c>
      <c r="L3011">
        <v>64.5</v>
      </c>
      <c r="M3011">
        <v>67.099999999999994</v>
      </c>
      <c r="N3011">
        <v>7</v>
      </c>
      <c r="O3011">
        <v>6</v>
      </c>
      <c r="P3011">
        <f>MOD(DAY(datos_siembra[[#This Row],[Date]]),7)</f>
        <v>0</v>
      </c>
      <c r="Q3011" t="str">
        <f>CHOOSE(WEEKDAY(datos_siembra[[#This Row],[Date]],2),"L","M","X","J","V","S","D")</f>
        <v>L</v>
      </c>
      <c r="R3011">
        <f>WEEKNUM(datos_siembra[[#This Row],[Date]],2)-WEEKNUM(DATE(YEAR(datos_siembra[[#This Row],[Date]]),MONTH(datos_siembra[[#This Row],[Date]]),1))+1</f>
        <v>2</v>
      </c>
      <c r="S3011">
        <f>MONTH(datos_siembra[[#This Row],[Date]])</f>
        <v>10</v>
      </c>
      <c r="T3011" t="str" cm="1">
        <f t="array" ref="T3011">_xlfn.IFS(AND(N3011&lt;= 22, S3011=9), "SOWING",AND(N3011&lt;= 28, S3011=9), "COVERAGE",AND(N3011&lt;= 30, S3011=9), "FLUSH",AND(N3011&lt;= 11, S3011=10), "FLUSH",AND(N3011&lt;= 21, S3011=10), "PRODUCTION")</f>
        <v>FLUSH</v>
      </c>
      <c r="U3011">
        <f>HOUR(datos_siembra[[#This Row],[Hour]])</f>
        <v>16</v>
      </c>
      <c r="V3011" cm="1">
        <f t="array" ref="V3011">_xlfn.IFS(AND(N3011&lt;= 22, S3011=9), N3011-7,AND(N3011&lt;= 28, S3011=9), N3011-25,AND(N3011&lt;= 30, S3011=9), N3011-28,AND(N3011&lt;= 11, S3011=10), N3011+2,AND(N3011&lt;= 21, S3011=10), N3011-11)</f>
        <v>9</v>
      </c>
    </row>
    <row r="3012" spans="1:22" x14ac:dyDescent="0.35">
      <c r="A3012" s="4">
        <v>45572</v>
      </c>
      <c r="B3012" s="5">
        <v>0.70736111111111111</v>
      </c>
      <c r="C3012">
        <v>67</v>
      </c>
      <c r="D3012">
        <v>66.5</v>
      </c>
      <c r="E3012">
        <v>67.599999999999994</v>
      </c>
      <c r="F3012">
        <v>67.099999999999994</v>
      </c>
      <c r="G3012">
        <v>0</v>
      </c>
      <c r="H3012">
        <v>0</v>
      </c>
      <c r="I3012">
        <v>0</v>
      </c>
      <c r="J3012">
        <v>0</v>
      </c>
      <c r="K3012">
        <v>64.2</v>
      </c>
      <c r="L3012">
        <v>64.599999999999994</v>
      </c>
      <c r="M3012">
        <v>67.13</v>
      </c>
      <c r="N3012">
        <v>7</v>
      </c>
      <c r="O3012">
        <v>6</v>
      </c>
      <c r="P3012">
        <f>MOD(DAY(datos_siembra[[#This Row],[Date]]),7)</f>
        <v>0</v>
      </c>
      <c r="Q3012" t="str">
        <f>CHOOSE(WEEKDAY(datos_siembra[[#This Row],[Date]],2),"L","M","X","J","V","S","D")</f>
        <v>L</v>
      </c>
      <c r="R3012">
        <f>WEEKNUM(datos_siembra[[#This Row],[Date]],2)-WEEKNUM(DATE(YEAR(datos_siembra[[#This Row],[Date]]),MONTH(datos_siembra[[#This Row],[Date]]),1))+1</f>
        <v>2</v>
      </c>
      <c r="S3012">
        <f>MONTH(datos_siembra[[#This Row],[Date]])</f>
        <v>10</v>
      </c>
      <c r="T3012" t="str" cm="1">
        <f t="array" ref="T3012">_xlfn.IFS(AND(N3012&lt;= 22, S3012=9), "SOWING",AND(N3012&lt;= 28, S3012=9), "COVERAGE",AND(N3012&lt;= 30, S3012=9), "FLUSH",AND(N3012&lt;= 11, S3012=10), "FLUSH",AND(N3012&lt;= 21, S3012=10), "PRODUCTION")</f>
        <v>FLUSH</v>
      </c>
      <c r="U3012">
        <f>HOUR(datos_siembra[[#This Row],[Hour]])</f>
        <v>16</v>
      </c>
      <c r="V3012" cm="1">
        <f t="array" ref="V3012">_xlfn.IFS(AND(N3012&lt;= 22, S3012=9), N3012-7,AND(N3012&lt;= 28, S3012=9), N3012-25,AND(N3012&lt;= 30, S3012=9), N3012-28,AND(N3012&lt;= 11, S3012=10), N3012+2,AND(N3012&lt;= 21, S3012=10), N3012-11)</f>
        <v>9</v>
      </c>
    </row>
    <row r="3013" spans="1:22" x14ac:dyDescent="0.35">
      <c r="A3013" s="4">
        <v>45572</v>
      </c>
      <c r="B3013" s="5">
        <v>0.71431712962962968</v>
      </c>
      <c r="C3013">
        <v>67</v>
      </c>
      <c r="D3013">
        <v>66.8</v>
      </c>
      <c r="E3013">
        <v>67.8</v>
      </c>
      <c r="F3013">
        <v>67.2</v>
      </c>
      <c r="G3013">
        <v>0</v>
      </c>
      <c r="H3013">
        <v>0</v>
      </c>
      <c r="I3013">
        <v>0</v>
      </c>
      <c r="J3013">
        <v>0</v>
      </c>
      <c r="K3013">
        <v>64.3</v>
      </c>
      <c r="L3013">
        <v>64.599999999999994</v>
      </c>
      <c r="M3013">
        <v>67.16</v>
      </c>
      <c r="N3013">
        <v>7</v>
      </c>
      <c r="O3013">
        <v>6</v>
      </c>
      <c r="P3013">
        <f>MOD(DAY(datos_siembra[[#This Row],[Date]]),7)</f>
        <v>0</v>
      </c>
      <c r="Q3013" t="str">
        <f>CHOOSE(WEEKDAY(datos_siembra[[#This Row],[Date]],2),"L","M","X","J","V","S","D")</f>
        <v>L</v>
      </c>
      <c r="R3013">
        <f>WEEKNUM(datos_siembra[[#This Row],[Date]],2)-WEEKNUM(DATE(YEAR(datos_siembra[[#This Row],[Date]]),MONTH(datos_siembra[[#This Row],[Date]]),1))+1</f>
        <v>2</v>
      </c>
      <c r="S3013">
        <f>MONTH(datos_siembra[[#This Row],[Date]])</f>
        <v>10</v>
      </c>
      <c r="T3013" t="str" cm="1">
        <f t="array" ref="T3013">_xlfn.IFS(AND(N3013&lt;= 22, S3013=9), "SOWING",AND(N3013&lt;= 28, S3013=9), "COVERAGE",AND(N3013&lt;= 30, S3013=9), "FLUSH",AND(N3013&lt;= 11, S3013=10), "FLUSH",AND(N3013&lt;= 21, S3013=10), "PRODUCTION")</f>
        <v>FLUSH</v>
      </c>
      <c r="U3013">
        <f>HOUR(datos_siembra[[#This Row],[Hour]])</f>
        <v>17</v>
      </c>
      <c r="V3013" cm="1">
        <f t="array" ref="V3013">_xlfn.IFS(AND(N3013&lt;= 22, S3013=9), N3013-7,AND(N3013&lt;= 28, S3013=9), N3013-25,AND(N3013&lt;= 30, S3013=9), N3013-28,AND(N3013&lt;= 11, S3013=10), N3013+2,AND(N3013&lt;= 21, S3013=10), N3013-11)</f>
        <v>9</v>
      </c>
    </row>
    <row r="3014" spans="1:22" x14ac:dyDescent="0.35">
      <c r="A3014" s="4">
        <v>45572</v>
      </c>
      <c r="B3014" s="5">
        <v>0.7212615740740741</v>
      </c>
      <c r="C3014">
        <v>67</v>
      </c>
      <c r="D3014">
        <v>66.8</v>
      </c>
      <c r="E3014">
        <v>67.599999999999994</v>
      </c>
      <c r="F3014">
        <v>67.099999999999994</v>
      </c>
      <c r="G3014">
        <v>0</v>
      </c>
      <c r="H3014">
        <v>0</v>
      </c>
      <c r="I3014">
        <v>0</v>
      </c>
      <c r="J3014">
        <v>0</v>
      </c>
      <c r="K3014">
        <v>64.400000000000006</v>
      </c>
      <c r="L3014">
        <v>64.599999999999994</v>
      </c>
      <c r="M3014">
        <v>67.069999999999993</v>
      </c>
      <c r="N3014">
        <v>7</v>
      </c>
      <c r="O3014">
        <v>6</v>
      </c>
      <c r="P3014">
        <f>MOD(DAY(datos_siembra[[#This Row],[Date]]),7)</f>
        <v>0</v>
      </c>
      <c r="Q3014" t="str">
        <f>CHOOSE(WEEKDAY(datos_siembra[[#This Row],[Date]],2),"L","M","X","J","V","S","D")</f>
        <v>L</v>
      </c>
      <c r="R3014">
        <f>WEEKNUM(datos_siembra[[#This Row],[Date]],2)-WEEKNUM(DATE(YEAR(datos_siembra[[#This Row],[Date]]),MONTH(datos_siembra[[#This Row],[Date]]),1))+1</f>
        <v>2</v>
      </c>
      <c r="S3014">
        <f>MONTH(datos_siembra[[#This Row],[Date]])</f>
        <v>10</v>
      </c>
      <c r="T3014" t="str" cm="1">
        <f t="array" ref="T3014">_xlfn.IFS(AND(N3014&lt;= 22, S3014=9), "SOWING",AND(N3014&lt;= 28, S3014=9), "COVERAGE",AND(N3014&lt;= 30, S3014=9), "FLUSH",AND(N3014&lt;= 11, S3014=10), "FLUSH",AND(N3014&lt;= 21, S3014=10), "PRODUCTION")</f>
        <v>FLUSH</v>
      </c>
      <c r="U3014">
        <f>HOUR(datos_siembra[[#This Row],[Hour]])</f>
        <v>17</v>
      </c>
      <c r="V3014" cm="1">
        <f t="array" ref="V3014">_xlfn.IFS(AND(N3014&lt;= 22, S3014=9), N3014-7,AND(N3014&lt;= 28, S3014=9), N3014-25,AND(N3014&lt;= 30, S3014=9), N3014-28,AND(N3014&lt;= 11, S3014=10), N3014+2,AND(N3014&lt;= 21, S3014=10), N3014-11)</f>
        <v>9</v>
      </c>
    </row>
    <row r="3015" spans="1:22" x14ac:dyDescent="0.35">
      <c r="A3015" s="4">
        <v>45572</v>
      </c>
      <c r="B3015" s="5">
        <v>0.72820601851851852</v>
      </c>
      <c r="C3015">
        <v>66.900000000000006</v>
      </c>
      <c r="D3015">
        <v>66.599999999999994</v>
      </c>
      <c r="E3015">
        <v>67.7</v>
      </c>
      <c r="F3015">
        <v>67.099999999999994</v>
      </c>
      <c r="G3015">
        <v>0</v>
      </c>
      <c r="H3015">
        <v>0</v>
      </c>
      <c r="I3015">
        <v>0</v>
      </c>
      <c r="J3015">
        <v>0</v>
      </c>
      <c r="K3015">
        <v>64.3</v>
      </c>
      <c r="L3015">
        <v>64.599999999999994</v>
      </c>
      <c r="M3015">
        <v>67.180000000000007</v>
      </c>
      <c r="N3015">
        <v>7</v>
      </c>
      <c r="O3015">
        <v>6</v>
      </c>
      <c r="P3015">
        <f>MOD(DAY(datos_siembra[[#This Row],[Date]]),7)</f>
        <v>0</v>
      </c>
      <c r="Q3015" t="str">
        <f>CHOOSE(WEEKDAY(datos_siembra[[#This Row],[Date]],2),"L","M","X","J","V","S","D")</f>
        <v>L</v>
      </c>
      <c r="R3015">
        <f>WEEKNUM(datos_siembra[[#This Row],[Date]],2)-WEEKNUM(DATE(YEAR(datos_siembra[[#This Row],[Date]]),MONTH(datos_siembra[[#This Row],[Date]]),1))+1</f>
        <v>2</v>
      </c>
      <c r="S3015">
        <f>MONTH(datos_siembra[[#This Row],[Date]])</f>
        <v>10</v>
      </c>
      <c r="T3015" t="str" cm="1">
        <f t="array" ref="T3015">_xlfn.IFS(AND(N3015&lt;= 22, S3015=9), "SOWING",AND(N3015&lt;= 28, S3015=9), "COVERAGE",AND(N3015&lt;= 30, S3015=9), "FLUSH",AND(N3015&lt;= 11, S3015=10), "FLUSH",AND(N3015&lt;= 21, S3015=10), "PRODUCTION")</f>
        <v>FLUSH</v>
      </c>
      <c r="U3015">
        <f>HOUR(datos_siembra[[#This Row],[Hour]])</f>
        <v>17</v>
      </c>
      <c r="V3015" cm="1">
        <f t="array" ref="V3015">_xlfn.IFS(AND(N3015&lt;= 22, S3015=9), N3015-7,AND(N3015&lt;= 28, S3015=9), N3015-25,AND(N3015&lt;= 30, S3015=9), N3015-28,AND(N3015&lt;= 11, S3015=10), N3015+2,AND(N3015&lt;= 21, S3015=10), N3015-11)</f>
        <v>9</v>
      </c>
    </row>
    <row r="3016" spans="1:22" x14ac:dyDescent="0.35">
      <c r="A3016" s="4">
        <v>45572</v>
      </c>
      <c r="B3016" s="5">
        <v>0.73516203703703709</v>
      </c>
      <c r="C3016">
        <v>66.900000000000006</v>
      </c>
      <c r="D3016">
        <v>66.900000000000006</v>
      </c>
      <c r="E3016">
        <v>67.8</v>
      </c>
      <c r="F3016">
        <v>67.099999999999994</v>
      </c>
      <c r="G3016">
        <v>0</v>
      </c>
      <c r="H3016">
        <v>0</v>
      </c>
      <c r="I3016">
        <v>0</v>
      </c>
      <c r="J3016">
        <v>0</v>
      </c>
      <c r="K3016">
        <v>64.3</v>
      </c>
      <c r="L3016">
        <v>64.7</v>
      </c>
      <c r="M3016">
        <v>67.16</v>
      </c>
      <c r="N3016">
        <v>7</v>
      </c>
      <c r="O3016">
        <v>6</v>
      </c>
      <c r="P3016">
        <f>MOD(DAY(datos_siembra[[#This Row],[Date]]),7)</f>
        <v>0</v>
      </c>
      <c r="Q3016" t="str">
        <f>CHOOSE(WEEKDAY(datos_siembra[[#This Row],[Date]],2),"L","M","X","J","V","S","D")</f>
        <v>L</v>
      </c>
      <c r="R3016">
        <f>WEEKNUM(datos_siembra[[#This Row],[Date]],2)-WEEKNUM(DATE(YEAR(datos_siembra[[#This Row],[Date]]),MONTH(datos_siembra[[#This Row],[Date]]),1))+1</f>
        <v>2</v>
      </c>
      <c r="S3016">
        <f>MONTH(datos_siembra[[#This Row],[Date]])</f>
        <v>10</v>
      </c>
      <c r="T3016" t="str" cm="1">
        <f t="array" ref="T3016">_xlfn.IFS(AND(N3016&lt;= 22, S3016=9), "SOWING",AND(N3016&lt;= 28, S3016=9), "COVERAGE",AND(N3016&lt;= 30, S3016=9), "FLUSH",AND(N3016&lt;= 11, S3016=10), "FLUSH",AND(N3016&lt;= 21, S3016=10), "PRODUCTION")</f>
        <v>FLUSH</v>
      </c>
      <c r="U3016">
        <f>HOUR(datos_siembra[[#This Row],[Hour]])</f>
        <v>17</v>
      </c>
      <c r="V3016" cm="1">
        <f t="array" ref="V3016">_xlfn.IFS(AND(N3016&lt;= 22, S3016=9), N3016-7,AND(N3016&lt;= 28, S3016=9), N3016-25,AND(N3016&lt;= 30, S3016=9), N3016-28,AND(N3016&lt;= 11, S3016=10), N3016+2,AND(N3016&lt;= 21, S3016=10), N3016-11)</f>
        <v>9</v>
      </c>
    </row>
    <row r="3017" spans="1:22" x14ac:dyDescent="0.35">
      <c r="A3017" s="4">
        <v>45572</v>
      </c>
      <c r="B3017" s="5">
        <v>0.74210648148148151</v>
      </c>
      <c r="C3017">
        <v>66.900000000000006</v>
      </c>
      <c r="D3017">
        <v>66.8</v>
      </c>
      <c r="E3017">
        <v>67.7</v>
      </c>
      <c r="F3017">
        <v>67.2</v>
      </c>
      <c r="G3017">
        <v>0</v>
      </c>
      <c r="H3017">
        <v>0</v>
      </c>
      <c r="I3017">
        <v>0</v>
      </c>
      <c r="J3017">
        <v>0</v>
      </c>
      <c r="K3017">
        <v>64.3</v>
      </c>
      <c r="L3017">
        <v>64.599999999999994</v>
      </c>
      <c r="M3017">
        <v>67.099999999999994</v>
      </c>
      <c r="N3017">
        <v>7</v>
      </c>
      <c r="O3017">
        <v>6</v>
      </c>
      <c r="P3017">
        <f>MOD(DAY(datos_siembra[[#This Row],[Date]]),7)</f>
        <v>0</v>
      </c>
      <c r="Q3017" t="str">
        <f>CHOOSE(WEEKDAY(datos_siembra[[#This Row],[Date]],2),"L","M","X","J","V","S","D")</f>
        <v>L</v>
      </c>
      <c r="R3017">
        <f>WEEKNUM(datos_siembra[[#This Row],[Date]],2)-WEEKNUM(DATE(YEAR(datos_siembra[[#This Row],[Date]]),MONTH(datos_siembra[[#This Row],[Date]]),1))+1</f>
        <v>2</v>
      </c>
      <c r="S3017">
        <f>MONTH(datos_siembra[[#This Row],[Date]])</f>
        <v>10</v>
      </c>
      <c r="T3017" t="str" cm="1">
        <f t="array" ref="T3017">_xlfn.IFS(AND(N3017&lt;= 22, S3017=9), "SOWING",AND(N3017&lt;= 28, S3017=9), "COVERAGE",AND(N3017&lt;= 30, S3017=9), "FLUSH",AND(N3017&lt;= 11, S3017=10), "FLUSH",AND(N3017&lt;= 21, S3017=10), "PRODUCTION")</f>
        <v>FLUSH</v>
      </c>
      <c r="U3017">
        <f>HOUR(datos_siembra[[#This Row],[Hour]])</f>
        <v>17</v>
      </c>
      <c r="V3017" cm="1">
        <f t="array" ref="V3017">_xlfn.IFS(AND(N3017&lt;= 22, S3017=9), N3017-7,AND(N3017&lt;= 28, S3017=9), N3017-25,AND(N3017&lt;= 30, S3017=9), N3017-28,AND(N3017&lt;= 11, S3017=10), N3017+2,AND(N3017&lt;= 21, S3017=10), N3017-11)</f>
        <v>9</v>
      </c>
    </row>
    <row r="3018" spans="1:22" x14ac:dyDescent="0.35">
      <c r="A3018" s="4">
        <v>45572</v>
      </c>
      <c r="B3018" s="5">
        <v>0.74905092592592593</v>
      </c>
      <c r="C3018">
        <v>66.900000000000006</v>
      </c>
      <c r="D3018">
        <v>66.8</v>
      </c>
      <c r="E3018">
        <v>67.7</v>
      </c>
      <c r="F3018">
        <v>67</v>
      </c>
      <c r="G3018">
        <v>0</v>
      </c>
      <c r="H3018">
        <v>0</v>
      </c>
      <c r="I3018">
        <v>0</v>
      </c>
      <c r="J3018">
        <v>0</v>
      </c>
      <c r="K3018">
        <v>64.3</v>
      </c>
      <c r="L3018">
        <v>64.599999999999994</v>
      </c>
      <c r="M3018">
        <v>67.16</v>
      </c>
      <c r="N3018">
        <v>7</v>
      </c>
      <c r="O3018">
        <v>6</v>
      </c>
      <c r="P3018">
        <f>MOD(DAY(datos_siembra[[#This Row],[Date]]),7)</f>
        <v>0</v>
      </c>
      <c r="Q3018" t="str">
        <f>CHOOSE(WEEKDAY(datos_siembra[[#This Row],[Date]],2),"L","M","X","J","V","S","D")</f>
        <v>L</v>
      </c>
      <c r="R3018">
        <f>WEEKNUM(datos_siembra[[#This Row],[Date]],2)-WEEKNUM(DATE(YEAR(datos_siembra[[#This Row],[Date]]),MONTH(datos_siembra[[#This Row],[Date]]),1))+1</f>
        <v>2</v>
      </c>
      <c r="S3018">
        <f>MONTH(datos_siembra[[#This Row],[Date]])</f>
        <v>10</v>
      </c>
      <c r="T3018" t="str" cm="1">
        <f t="array" ref="T3018">_xlfn.IFS(AND(N3018&lt;= 22, S3018=9), "SOWING",AND(N3018&lt;= 28, S3018=9), "COVERAGE",AND(N3018&lt;= 30, S3018=9), "FLUSH",AND(N3018&lt;= 11, S3018=10), "FLUSH",AND(N3018&lt;= 21, S3018=10), "PRODUCTION")</f>
        <v>FLUSH</v>
      </c>
      <c r="U3018">
        <f>HOUR(datos_siembra[[#This Row],[Hour]])</f>
        <v>17</v>
      </c>
      <c r="V3018" cm="1">
        <f t="array" ref="V3018">_xlfn.IFS(AND(N3018&lt;= 22, S3018=9), N3018-7,AND(N3018&lt;= 28, S3018=9), N3018-25,AND(N3018&lt;= 30, S3018=9), N3018-28,AND(N3018&lt;= 11, S3018=10), N3018+2,AND(N3018&lt;= 21, S3018=10), N3018-11)</f>
        <v>9</v>
      </c>
    </row>
    <row r="3019" spans="1:22" x14ac:dyDescent="0.35">
      <c r="A3019" s="4">
        <v>45572</v>
      </c>
      <c r="B3019" s="5">
        <v>0.75599537037037035</v>
      </c>
      <c r="C3019">
        <v>66.900000000000006</v>
      </c>
      <c r="D3019">
        <v>66.8</v>
      </c>
      <c r="E3019">
        <v>67.7</v>
      </c>
      <c r="F3019">
        <v>67.099999999999994</v>
      </c>
      <c r="G3019">
        <v>0</v>
      </c>
      <c r="H3019">
        <v>0</v>
      </c>
      <c r="I3019">
        <v>0</v>
      </c>
      <c r="J3019">
        <v>0</v>
      </c>
      <c r="K3019">
        <v>64.3</v>
      </c>
      <c r="L3019">
        <v>64.7</v>
      </c>
      <c r="M3019">
        <v>67.180000000000007</v>
      </c>
      <c r="N3019">
        <v>7</v>
      </c>
      <c r="O3019">
        <v>6</v>
      </c>
      <c r="P3019">
        <f>MOD(DAY(datos_siembra[[#This Row],[Date]]),7)</f>
        <v>0</v>
      </c>
      <c r="Q3019" t="str">
        <f>CHOOSE(WEEKDAY(datos_siembra[[#This Row],[Date]],2),"L","M","X","J","V","S","D")</f>
        <v>L</v>
      </c>
      <c r="R3019">
        <f>WEEKNUM(datos_siembra[[#This Row],[Date]],2)-WEEKNUM(DATE(YEAR(datos_siembra[[#This Row],[Date]]),MONTH(datos_siembra[[#This Row],[Date]]),1))+1</f>
        <v>2</v>
      </c>
      <c r="S3019">
        <f>MONTH(datos_siembra[[#This Row],[Date]])</f>
        <v>10</v>
      </c>
      <c r="T3019" t="str" cm="1">
        <f t="array" ref="T3019">_xlfn.IFS(AND(N3019&lt;= 22, S3019=9), "SOWING",AND(N3019&lt;= 28, S3019=9), "COVERAGE",AND(N3019&lt;= 30, S3019=9), "FLUSH",AND(N3019&lt;= 11, S3019=10), "FLUSH",AND(N3019&lt;= 21, S3019=10), "PRODUCTION")</f>
        <v>FLUSH</v>
      </c>
      <c r="U3019">
        <f>HOUR(datos_siembra[[#This Row],[Hour]])</f>
        <v>18</v>
      </c>
      <c r="V3019" cm="1">
        <f t="array" ref="V3019">_xlfn.IFS(AND(N3019&lt;= 22, S3019=9), N3019-7,AND(N3019&lt;= 28, S3019=9), N3019-25,AND(N3019&lt;= 30, S3019=9), N3019-28,AND(N3019&lt;= 11, S3019=10), N3019+2,AND(N3019&lt;= 21, S3019=10), N3019-11)</f>
        <v>9</v>
      </c>
    </row>
    <row r="3020" spans="1:22" x14ac:dyDescent="0.35">
      <c r="A3020" s="4">
        <v>45572</v>
      </c>
      <c r="B3020" s="5">
        <v>0.76295138888888892</v>
      </c>
      <c r="C3020">
        <v>66.900000000000006</v>
      </c>
      <c r="D3020">
        <v>66.8</v>
      </c>
      <c r="E3020">
        <v>67.7</v>
      </c>
      <c r="F3020">
        <v>67.099999999999994</v>
      </c>
      <c r="G3020">
        <v>0</v>
      </c>
      <c r="H3020">
        <v>0</v>
      </c>
      <c r="I3020">
        <v>0</v>
      </c>
      <c r="J3020">
        <v>0</v>
      </c>
      <c r="K3020">
        <v>64.2</v>
      </c>
      <c r="L3020">
        <v>64.400000000000006</v>
      </c>
      <c r="M3020">
        <v>67.180000000000007</v>
      </c>
      <c r="N3020">
        <v>7</v>
      </c>
      <c r="O3020">
        <v>6</v>
      </c>
      <c r="P3020">
        <f>MOD(DAY(datos_siembra[[#This Row],[Date]]),7)</f>
        <v>0</v>
      </c>
      <c r="Q3020" t="str">
        <f>CHOOSE(WEEKDAY(datos_siembra[[#This Row],[Date]],2),"L","M","X","J","V","S","D")</f>
        <v>L</v>
      </c>
      <c r="R3020">
        <f>WEEKNUM(datos_siembra[[#This Row],[Date]],2)-WEEKNUM(DATE(YEAR(datos_siembra[[#This Row],[Date]]),MONTH(datos_siembra[[#This Row],[Date]]),1))+1</f>
        <v>2</v>
      </c>
      <c r="S3020">
        <f>MONTH(datos_siembra[[#This Row],[Date]])</f>
        <v>10</v>
      </c>
      <c r="T3020" t="str" cm="1">
        <f t="array" ref="T3020">_xlfn.IFS(AND(N3020&lt;= 22, S3020=9), "SOWING",AND(N3020&lt;= 28, S3020=9), "COVERAGE",AND(N3020&lt;= 30, S3020=9), "FLUSH",AND(N3020&lt;= 11, S3020=10), "FLUSH",AND(N3020&lt;= 21, S3020=10), "PRODUCTION")</f>
        <v>FLUSH</v>
      </c>
      <c r="U3020">
        <f>HOUR(datos_siembra[[#This Row],[Hour]])</f>
        <v>18</v>
      </c>
      <c r="V3020" cm="1">
        <f t="array" ref="V3020">_xlfn.IFS(AND(N3020&lt;= 22, S3020=9), N3020-7,AND(N3020&lt;= 28, S3020=9), N3020-25,AND(N3020&lt;= 30, S3020=9), N3020-28,AND(N3020&lt;= 11, S3020=10), N3020+2,AND(N3020&lt;= 21, S3020=10), N3020-11)</f>
        <v>9</v>
      </c>
    </row>
    <row r="3021" spans="1:22" x14ac:dyDescent="0.35">
      <c r="A3021" s="4">
        <v>45572</v>
      </c>
      <c r="B3021" s="5">
        <v>0.76712962962962961</v>
      </c>
      <c r="C3021">
        <v>67.099999999999994</v>
      </c>
      <c r="D3021">
        <v>66.8</v>
      </c>
      <c r="E3021">
        <v>67.7</v>
      </c>
      <c r="F3021">
        <v>67.2</v>
      </c>
      <c r="G3021">
        <v>0</v>
      </c>
      <c r="H3021">
        <v>0</v>
      </c>
      <c r="I3021">
        <v>0</v>
      </c>
      <c r="J3021">
        <v>0</v>
      </c>
      <c r="K3021">
        <v>63.6</v>
      </c>
      <c r="L3021">
        <v>63.6</v>
      </c>
      <c r="M3021">
        <v>67.180000000000007</v>
      </c>
      <c r="N3021">
        <v>7</v>
      </c>
      <c r="O3021">
        <v>6</v>
      </c>
      <c r="P3021">
        <f>MOD(DAY(datos_siembra[[#This Row],[Date]]),7)</f>
        <v>0</v>
      </c>
      <c r="Q3021" t="str">
        <f>CHOOSE(WEEKDAY(datos_siembra[[#This Row],[Date]],2),"L","M","X","J","V","S","D")</f>
        <v>L</v>
      </c>
      <c r="R3021">
        <f>WEEKNUM(datos_siembra[[#This Row],[Date]],2)-WEEKNUM(DATE(YEAR(datos_siembra[[#This Row],[Date]]),MONTH(datos_siembra[[#This Row],[Date]]),1))+1</f>
        <v>2</v>
      </c>
      <c r="S3021">
        <f>MONTH(datos_siembra[[#This Row],[Date]])</f>
        <v>10</v>
      </c>
      <c r="T3021" t="str" cm="1">
        <f t="array" ref="T3021">_xlfn.IFS(AND(N3021&lt;= 22, S3021=9), "SOWING",AND(N3021&lt;= 28, S3021=9), "COVERAGE",AND(N3021&lt;= 30, S3021=9), "FLUSH",AND(N3021&lt;= 11, S3021=10), "FLUSH",AND(N3021&lt;= 21, S3021=10), "PRODUCTION")</f>
        <v>FLUSH</v>
      </c>
      <c r="U3021">
        <f>HOUR(datos_siembra[[#This Row],[Hour]])</f>
        <v>18</v>
      </c>
      <c r="V3021" cm="1">
        <f t="array" ref="V3021">_xlfn.IFS(AND(N3021&lt;= 22, S3021=9), N3021-7,AND(N3021&lt;= 28, S3021=9), N3021-25,AND(N3021&lt;= 30, S3021=9), N3021-28,AND(N3021&lt;= 11, S3021=10), N3021+2,AND(N3021&lt;= 21, S3021=10), N3021-11)</f>
        <v>9</v>
      </c>
    </row>
    <row r="3022" spans="1:22" x14ac:dyDescent="0.35">
      <c r="A3022" s="4">
        <v>45572</v>
      </c>
      <c r="B3022" s="5">
        <v>0.77394675925925926</v>
      </c>
      <c r="C3022">
        <v>67</v>
      </c>
      <c r="D3022">
        <v>66.900000000000006</v>
      </c>
      <c r="E3022">
        <v>67.7</v>
      </c>
      <c r="F3022">
        <v>67.2</v>
      </c>
      <c r="G3022">
        <v>0</v>
      </c>
      <c r="H3022">
        <v>0</v>
      </c>
      <c r="I3022">
        <v>0</v>
      </c>
      <c r="J3022">
        <v>0</v>
      </c>
      <c r="K3022">
        <v>63.8</v>
      </c>
      <c r="L3022">
        <v>64.099999999999994</v>
      </c>
      <c r="M3022">
        <v>67.13</v>
      </c>
      <c r="N3022">
        <v>7</v>
      </c>
      <c r="O3022">
        <v>6</v>
      </c>
      <c r="P3022">
        <f>MOD(DAY(datos_siembra[[#This Row],[Date]]),7)</f>
        <v>0</v>
      </c>
      <c r="Q3022" t="str">
        <f>CHOOSE(WEEKDAY(datos_siembra[[#This Row],[Date]],2),"L","M","X","J","V","S","D")</f>
        <v>L</v>
      </c>
      <c r="R3022">
        <f>WEEKNUM(datos_siembra[[#This Row],[Date]],2)-WEEKNUM(DATE(YEAR(datos_siembra[[#This Row],[Date]]),MONTH(datos_siembra[[#This Row],[Date]]),1))+1</f>
        <v>2</v>
      </c>
      <c r="S3022">
        <f>MONTH(datos_siembra[[#This Row],[Date]])</f>
        <v>10</v>
      </c>
      <c r="T3022" t="str" cm="1">
        <f t="array" ref="T3022">_xlfn.IFS(AND(N3022&lt;= 22, S3022=9), "SOWING",AND(N3022&lt;= 28, S3022=9), "COVERAGE",AND(N3022&lt;= 30, S3022=9), "FLUSH",AND(N3022&lt;= 11, S3022=10), "FLUSH",AND(N3022&lt;= 21, S3022=10), "PRODUCTION")</f>
        <v>FLUSH</v>
      </c>
      <c r="U3022">
        <f>HOUR(datos_siembra[[#This Row],[Hour]])</f>
        <v>18</v>
      </c>
      <c r="V3022" cm="1">
        <f t="array" ref="V3022">_xlfn.IFS(AND(N3022&lt;= 22, S3022=9), N3022-7,AND(N3022&lt;= 28, S3022=9), N3022-25,AND(N3022&lt;= 30, S3022=9), N3022-28,AND(N3022&lt;= 11, S3022=10), N3022+2,AND(N3022&lt;= 21, S3022=10), N3022-11)</f>
        <v>9</v>
      </c>
    </row>
    <row r="3023" spans="1:22" x14ac:dyDescent="0.35">
      <c r="A3023" s="4">
        <v>45572</v>
      </c>
      <c r="B3023" s="5">
        <v>0.78089120370370368</v>
      </c>
      <c r="C3023">
        <v>66.900000000000006</v>
      </c>
      <c r="D3023">
        <v>66.8</v>
      </c>
      <c r="E3023">
        <v>67.8</v>
      </c>
      <c r="F3023">
        <v>67.099999999999994</v>
      </c>
      <c r="G3023">
        <v>0</v>
      </c>
      <c r="H3023">
        <v>0</v>
      </c>
      <c r="I3023">
        <v>0</v>
      </c>
      <c r="J3023">
        <v>0</v>
      </c>
      <c r="K3023">
        <v>63.8</v>
      </c>
      <c r="L3023">
        <v>64.2</v>
      </c>
      <c r="M3023">
        <v>67.16</v>
      </c>
      <c r="N3023">
        <v>7</v>
      </c>
      <c r="O3023">
        <v>6</v>
      </c>
      <c r="P3023">
        <f>MOD(DAY(datos_siembra[[#This Row],[Date]]),7)</f>
        <v>0</v>
      </c>
      <c r="Q3023" t="str">
        <f>CHOOSE(WEEKDAY(datos_siembra[[#This Row],[Date]],2),"L","M","X","J","V","S","D")</f>
        <v>L</v>
      </c>
      <c r="R3023">
        <f>WEEKNUM(datos_siembra[[#This Row],[Date]],2)-WEEKNUM(DATE(YEAR(datos_siembra[[#This Row],[Date]]),MONTH(datos_siembra[[#This Row],[Date]]),1))+1</f>
        <v>2</v>
      </c>
      <c r="S3023">
        <f>MONTH(datos_siembra[[#This Row],[Date]])</f>
        <v>10</v>
      </c>
      <c r="T3023" t="str" cm="1">
        <f t="array" ref="T3023">_xlfn.IFS(AND(N3023&lt;= 22, S3023=9), "SOWING",AND(N3023&lt;= 28, S3023=9), "COVERAGE",AND(N3023&lt;= 30, S3023=9), "FLUSH",AND(N3023&lt;= 11, S3023=10), "FLUSH",AND(N3023&lt;= 21, S3023=10), "PRODUCTION")</f>
        <v>FLUSH</v>
      </c>
      <c r="U3023">
        <f>HOUR(datos_siembra[[#This Row],[Hour]])</f>
        <v>18</v>
      </c>
      <c r="V3023" cm="1">
        <f t="array" ref="V3023">_xlfn.IFS(AND(N3023&lt;= 22, S3023=9), N3023-7,AND(N3023&lt;= 28, S3023=9), N3023-25,AND(N3023&lt;= 30, S3023=9), N3023-28,AND(N3023&lt;= 11, S3023=10), N3023+2,AND(N3023&lt;= 21, S3023=10), N3023-11)</f>
        <v>9</v>
      </c>
    </row>
    <row r="3024" spans="1:22" x14ac:dyDescent="0.35">
      <c r="A3024" s="4">
        <v>45572</v>
      </c>
      <c r="B3024" s="5">
        <v>0.78784722222222225</v>
      </c>
      <c r="C3024">
        <v>67</v>
      </c>
      <c r="D3024">
        <v>66.8</v>
      </c>
      <c r="E3024">
        <v>67.7</v>
      </c>
      <c r="F3024">
        <v>67.2</v>
      </c>
      <c r="G3024">
        <v>0</v>
      </c>
      <c r="H3024">
        <v>0</v>
      </c>
      <c r="I3024">
        <v>0</v>
      </c>
      <c r="J3024">
        <v>0</v>
      </c>
      <c r="K3024">
        <v>63.9</v>
      </c>
      <c r="L3024">
        <v>64.2</v>
      </c>
      <c r="M3024">
        <v>67.13</v>
      </c>
      <c r="N3024">
        <v>7</v>
      </c>
      <c r="O3024">
        <v>6</v>
      </c>
      <c r="P3024">
        <f>MOD(DAY(datos_siembra[[#This Row],[Date]]),7)</f>
        <v>0</v>
      </c>
      <c r="Q3024" t="str">
        <f>CHOOSE(WEEKDAY(datos_siembra[[#This Row],[Date]],2),"L","M","X","J","V","S","D")</f>
        <v>L</v>
      </c>
      <c r="R3024">
        <f>WEEKNUM(datos_siembra[[#This Row],[Date]],2)-WEEKNUM(DATE(YEAR(datos_siembra[[#This Row],[Date]]),MONTH(datos_siembra[[#This Row],[Date]]),1))+1</f>
        <v>2</v>
      </c>
      <c r="S3024">
        <f>MONTH(datos_siembra[[#This Row],[Date]])</f>
        <v>10</v>
      </c>
      <c r="T3024" t="str" cm="1">
        <f t="array" ref="T3024">_xlfn.IFS(AND(N3024&lt;= 22, S3024=9), "SOWING",AND(N3024&lt;= 28, S3024=9), "COVERAGE",AND(N3024&lt;= 30, S3024=9), "FLUSH",AND(N3024&lt;= 11, S3024=10), "FLUSH",AND(N3024&lt;= 21, S3024=10), "PRODUCTION")</f>
        <v>FLUSH</v>
      </c>
      <c r="U3024">
        <f>HOUR(datos_siembra[[#This Row],[Hour]])</f>
        <v>18</v>
      </c>
      <c r="V3024" cm="1">
        <f t="array" ref="V3024">_xlfn.IFS(AND(N3024&lt;= 22, S3024=9), N3024-7,AND(N3024&lt;= 28, S3024=9), N3024-25,AND(N3024&lt;= 30, S3024=9), N3024-28,AND(N3024&lt;= 11, S3024=10), N3024+2,AND(N3024&lt;= 21, S3024=10), N3024-11)</f>
        <v>9</v>
      </c>
    </row>
    <row r="3025" spans="1:22" x14ac:dyDescent="0.35">
      <c r="A3025" s="4">
        <v>45572</v>
      </c>
      <c r="B3025" s="5">
        <v>0.79479166666666667</v>
      </c>
      <c r="C3025">
        <v>67</v>
      </c>
      <c r="D3025">
        <v>66.900000000000006</v>
      </c>
      <c r="E3025">
        <v>67.7</v>
      </c>
      <c r="F3025">
        <v>67.2</v>
      </c>
      <c r="G3025">
        <v>0</v>
      </c>
      <c r="H3025">
        <v>0</v>
      </c>
      <c r="I3025">
        <v>0</v>
      </c>
      <c r="J3025">
        <v>0</v>
      </c>
      <c r="K3025">
        <v>63.9</v>
      </c>
      <c r="L3025">
        <v>64.2</v>
      </c>
      <c r="M3025">
        <v>67.16</v>
      </c>
      <c r="N3025">
        <v>7</v>
      </c>
      <c r="O3025">
        <v>6</v>
      </c>
      <c r="P3025">
        <f>MOD(DAY(datos_siembra[[#This Row],[Date]]),7)</f>
        <v>0</v>
      </c>
      <c r="Q3025" t="str">
        <f>CHOOSE(WEEKDAY(datos_siembra[[#This Row],[Date]],2),"L","M","X","J","V","S","D")</f>
        <v>L</v>
      </c>
      <c r="R3025">
        <f>WEEKNUM(datos_siembra[[#This Row],[Date]],2)-WEEKNUM(DATE(YEAR(datos_siembra[[#This Row],[Date]]),MONTH(datos_siembra[[#This Row],[Date]]),1))+1</f>
        <v>2</v>
      </c>
      <c r="S3025">
        <f>MONTH(datos_siembra[[#This Row],[Date]])</f>
        <v>10</v>
      </c>
      <c r="T3025" t="str" cm="1">
        <f t="array" ref="T3025">_xlfn.IFS(AND(N3025&lt;= 22, S3025=9), "SOWING",AND(N3025&lt;= 28, S3025=9), "COVERAGE",AND(N3025&lt;= 30, S3025=9), "FLUSH",AND(N3025&lt;= 11, S3025=10), "FLUSH",AND(N3025&lt;= 21, S3025=10), "PRODUCTION")</f>
        <v>FLUSH</v>
      </c>
      <c r="U3025">
        <f>HOUR(datos_siembra[[#This Row],[Hour]])</f>
        <v>19</v>
      </c>
      <c r="V3025" cm="1">
        <f t="array" ref="V3025">_xlfn.IFS(AND(N3025&lt;= 22, S3025=9), N3025-7,AND(N3025&lt;= 28, S3025=9), N3025-25,AND(N3025&lt;= 30, S3025=9), N3025-28,AND(N3025&lt;= 11, S3025=10), N3025+2,AND(N3025&lt;= 21, S3025=10), N3025-11)</f>
        <v>9</v>
      </c>
    </row>
    <row r="3026" spans="1:22" x14ac:dyDescent="0.35">
      <c r="A3026" s="4">
        <v>45572</v>
      </c>
      <c r="B3026" s="5">
        <v>0.80173611111111109</v>
      </c>
      <c r="C3026">
        <v>67</v>
      </c>
      <c r="D3026">
        <v>67</v>
      </c>
      <c r="E3026">
        <v>67.8</v>
      </c>
      <c r="F3026">
        <v>67.2</v>
      </c>
      <c r="G3026">
        <v>0</v>
      </c>
      <c r="H3026">
        <v>0</v>
      </c>
      <c r="I3026">
        <v>0</v>
      </c>
      <c r="J3026">
        <v>0</v>
      </c>
      <c r="K3026">
        <v>63.9</v>
      </c>
      <c r="L3026">
        <v>64.2</v>
      </c>
      <c r="M3026">
        <v>67.180000000000007</v>
      </c>
      <c r="N3026">
        <v>7</v>
      </c>
      <c r="O3026">
        <v>6</v>
      </c>
      <c r="P3026">
        <f>MOD(DAY(datos_siembra[[#This Row],[Date]]),7)</f>
        <v>0</v>
      </c>
      <c r="Q3026" t="str">
        <f>CHOOSE(WEEKDAY(datos_siembra[[#This Row],[Date]],2),"L","M","X","J","V","S","D")</f>
        <v>L</v>
      </c>
      <c r="R3026">
        <f>WEEKNUM(datos_siembra[[#This Row],[Date]],2)-WEEKNUM(DATE(YEAR(datos_siembra[[#This Row],[Date]]),MONTH(datos_siembra[[#This Row],[Date]]),1))+1</f>
        <v>2</v>
      </c>
      <c r="S3026">
        <f>MONTH(datos_siembra[[#This Row],[Date]])</f>
        <v>10</v>
      </c>
      <c r="T3026" t="str" cm="1">
        <f t="array" ref="T3026">_xlfn.IFS(AND(N3026&lt;= 22, S3026=9), "SOWING",AND(N3026&lt;= 28, S3026=9), "COVERAGE",AND(N3026&lt;= 30, S3026=9), "FLUSH",AND(N3026&lt;= 11, S3026=10), "FLUSH",AND(N3026&lt;= 21, S3026=10), "PRODUCTION")</f>
        <v>FLUSH</v>
      </c>
      <c r="U3026">
        <f>HOUR(datos_siembra[[#This Row],[Hour]])</f>
        <v>19</v>
      </c>
      <c r="V3026" cm="1">
        <f t="array" ref="V3026">_xlfn.IFS(AND(N3026&lt;= 22, S3026=9), N3026-7,AND(N3026&lt;= 28, S3026=9), N3026-25,AND(N3026&lt;= 30, S3026=9), N3026-28,AND(N3026&lt;= 11, S3026=10), N3026+2,AND(N3026&lt;= 21, S3026=10), N3026-11)</f>
        <v>9</v>
      </c>
    </row>
    <row r="3027" spans="1:22" x14ac:dyDescent="0.35">
      <c r="A3027" s="4">
        <v>45572</v>
      </c>
      <c r="B3027" s="5">
        <v>0.80868055555555551</v>
      </c>
      <c r="C3027">
        <v>67</v>
      </c>
      <c r="D3027">
        <v>66.8</v>
      </c>
      <c r="E3027">
        <v>67.7</v>
      </c>
      <c r="F3027">
        <v>67</v>
      </c>
      <c r="G3027">
        <v>0</v>
      </c>
      <c r="H3027">
        <v>0</v>
      </c>
      <c r="I3027">
        <v>0</v>
      </c>
      <c r="J3027">
        <v>0</v>
      </c>
      <c r="K3027">
        <v>63.9</v>
      </c>
      <c r="L3027">
        <v>64.2</v>
      </c>
      <c r="M3027">
        <v>67.13</v>
      </c>
      <c r="N3027">
        <v>7</v>
      </c>
      <c r="O3027">
        <v>6</v>
      </c>
      <c r="P3027">
        <f>MOD(DAY(datos_siembra[[#This Row],[Date]]),7)</f>
        <v>0</v>
      </c>
      <c r="Q3027" t="str">
        <f>CHOOSE(WEEKDAY(datos_siembra[[#This Row],[Date]],2),"L","M","X","J","V","S","D")</f>
        <v>L</v>
      </c>
      <c r="R3027">
        <f>WEEKNUM(datos_siembra[[#This Row],[Date]],2)-WEEKNUM(DATE(YEAR(datos_siembra[[#This Row],[Date]]),MONTH(datos_siembra[[#This Row],[Date]]),1))+1</f>
        <v>2</v>
      </c>
      <c r="S3027">
        <f>MONTH(datos_siembra[[#This Row],[Date]])</f>
        <v>10</v>
      </c>
      <c r="T3027" t="str" cm="1">
        <f t="array" ref="T3027">_xlfn.IFS(AND(N3027&lt;= 22, S3027=9), "SOWING",AND(N3027&lt;= 28, S3027=9), "COVERAGE",AND(N3027&lt;= 30, S3027=9), "FLUSH",AND(N3027&lt;= 11, S3027=10), "FLUSH",AND(N3027&lt;= 21, S3027=10), "PRODUCTION")</f>
        <v>FLUSH</v>
      </c>
      <c r="U3027">
        <f>HOUR(datos_siembra[[#This Row],[Hour]])</f>
        <v>19</v>
      </c>
      <c r="V3027" cm="1">
        <f t="array" ref="V3027">_xlfn.IFS(AND(N3027&lt;= 22, S3027=9), N3027-7,AND(N3027&lt;= 28, S3027=9), N3027-25,AND(N3027&lt;= 30, S3027=9), N3027-28,AND(N3027&lt;= 11, S3027=10), N3027+2,AND(N3027&lt;= 21, S3027=10), N3027-11)</f>
        <v>9</v>
      </c>
    </row>
    <row r="3028" spans="1:22" x14ac:dyDescent="0.35">
      <c r="A3028" s="4">
        <v>45572</v>
      </c>
      <c r="B3028" s="5">
        <v>0.81563657407407408</v>
      </c>
      <c r="C3028">
        <v>67</v>
      </c>
      <c r="D3028">
        <v>66.8</v>
      </c>
      <c r="E3028">
        <v>67.900000000000006</v>
      </c>
      <c r="F3028">
        <v>67.2</v>
      </c>
      <c r="G3028">
        <v>0</v>
      </c>
      <c r="H3028">
        <v>0</v>
      </c>
      <c r="I3028">
        <v>0</v>
      </c>
      <c r="J3028">
        <v>0</v>
      </c>
      <c r="K3028">
        <v>63.9</v>
      </c>
      <c r="L3028">
        <v>64.2</v>
      </c>
      <c r="M3028">
        <v>67.16</v>
      </c>
      <c r="N3028">
        <v>7</v>
      </c>
      <c r="O3028">
        <v>6</v>
      </c>
      <c r="P3028">
        <f>MOD(DAY(datos_siembra[[#This Row],[Date]]),7)</f>
        <v>0</v>
      </c>
      <c r="Q3028" t="str">
        <f>CHOOSE(WEEKDAY(datos_siembra[[#This Row],[Date]],2),"L","M","X","J","V","S","D")</f>
        <v>L</v>
      </c>
      <c r="R3028">
        <f>WEEKNUM(datos_siembra[[#This Row],[Date]],2)-WEEKNUM(DATE(YEAR(datos_siembra[[#This Row],[Date]]),MONTH(datos_siembra[[#This Row],[Date]]),1))+1</f>
        <v>2</v>
      </c>
      <c r="S3028">
        <f>MONTH(datos_siembra[[#This Row],[Date]])</f>
        <v>10</v>
      </c>
      <c r="T3028" t="str" cm="1">
        <f t="array" ref="T3028">_xlfn.IFS(AND(N3028&lt;= 22, S3028=9), "SOWING",AND(N3028&lt;= 28, S3028=9), "COVERAGE",AND(N3028&lt;= 30, S3028=9), "FLUSH",AND(N3028&lt;= 11, S3028=10), "FLUSH",AND(N3028&lt;= 21, S3028=10), "PRODUCTION")</f>
        <v>FLUSH</v>
      </c>
      <c r="U3028">
        <f>HOUR(datos_siembra[[#This Row],[Hour]])</f>
        <v>19</v>
      </c>
      <c r="V3028" cm="1">
        <f t="array" ref="V3028">_xlfn.IFS(AND(N3028&lt;= 22, S3028=9), N3028-7,AND(N3028&lt;= 28, S3028=9), N3028-25,AND(N3028&lt;= 30, S3028=9), N3028-28,AND(N3028&lt;= 11, S3028=10), N3028+2,AND(N3028&lt;= 21, S3028=10), N3028-11)</f>
        <v>9</v>
      </c>
    </row>
    <row r="3029" spans="1:22" x14ac:dyDescent="0.35">
      <c r="A3029" s="4">
        <v>45572</v>
      </c>
      <c r="B3029" s="5">
        <v>0.8225810185185185</v>
      </c>
      <c r="C3029">
        <v>67</v>
      </c>
      <c r="D3029">
        <v>66.900000000000006</v>
      </c>
      <c r="E3029">
        <v>67.8</v>
      </c>
      <c r="F3029">
        <v>67.2</v>
      </c>
      <c r="G3029">
        <v>0</v>
      </c>
      <c r="H3029">
        <v>0</v>
      </c>
      <c r="I3029">
        <v>0</v>
      </c>
      <c r="J3029">
        <v>0</v>
      </c>
      <c r="K3029">
        <v>63.9</v>
      </c>
      <c r="L3029">
        <v>64.3</v>
      </c>
      <c r="M3029">
        <v>67.239999999999995</v>
      </c>
      <c r="N3029">
        <v>7</v>
      </c>
      <c r="O3029">
        <v>6</v>
      </c>
      <c r="P3029">
        <f>MOD(DAY(datos_siembra[[#This Row],[Date]]),7)</f>
        <v>0</v>
      </c>
      <c r="Q3029" t="str">
        <f>CHOOSE(WEEKDAY(datos_siembra[[#This Row],[Date]],2),"L","M","X","J","V","S","D")</f>
        <v>L</v>
      </c>
      <c r="R3029">
        <f>WEEKNUM(datos_siembra[[#This Row],[Date]],2)-WEEKNUM(DATE(YEAR(datos_siembra[[#This Row],[Date]]),MONTH(datos_siembra[[#This Row],[Date]]),1))+1</f>
        <v>2</v>
      </c>
      <c r="S3029">
        <f>MONTH(datos_siembra[[#This Row],[Date]])</f>
        <v>10</v>
      </c>
      <c r="T3029" t="str" cm="1">
        <f t="array" ref="T3029">_xlfn.IFS(AND(N3029&lt;= 22, S3029=9), "SOWING",AND(N3029&lt;= 28, S3029=9), "COVERAGE",AND(N3029&lt;= 30, S3029=9), "FLUSH",AND(N3029&lt;= 11, S3029=10), "FLUSH",AND(N3029&lt;= 21, S3029=10), "PRODUCTION")</f>
        <v>FLUSH</v>
      </c>
      <c r="U3029">
        <f>HOUR(datos_siembra[[#This Row],[Hour]])</f>
        <v>19</v>
      </c>
      <c r="V3029" cm="1">
        <f t="array" ref="V3029">_xlfn.IFS(AND(N3029&lt;= 22, S3029=9), N3029-7,AND(N3029&lt;= 28, S3029=9), N3029-25,AND(N3029&lt;= 30, S3029=9), N3029-28,AND(N3029&lt;= 11, S3029=10), N3029+2,AND(N3029&lt;= 21, S3029=10), N3029-11)</f>
        <v>9</v>
      </c>
    </row>
    <row r="3030" spans="1:22" x14ac:dyDescent="0.35">
      <c r="A3030" s="4">
        <v>45572</v>
      </c>
      <c r="B3030" s="5">
        <v>0.82952546296296292</v>
      </c>
      <c r="C3030">
        <v>66.8</v>
      </c>
      <c r="D3030">
        <v>66.900000000000006</v>
      </c>
      <c r="E3030">
        <v>67.7</v>
      </c>
      <c r="F3030">
        <v>67.3</v>
      </c>
      <c r="G3030">
        <v>0</v>
      </c>
      <c r="H3030">
        <v>0</v>
      </c>
      <c r="I3030">
        <v>0</v>
      </c>
      <c r="J3030">
        <v>0</v>
      </c>
      <c r="K3030">
        <v>63.9</v>
      </c>
      <c r="L3030">
        <v>64.2</v>
      </c>
      <c r="M3030">
        <v>67.13</v>
      </c>
      <c r="N3030">
        <v>7</v>
      </c>
      <c r="O3030">
        <v>6</v>
      </c>
      <c r="P3030">
        <f>MOD(DAY(datos_siembra[[#This Row],[Date]]),7)</f>
        <v>0</v>
      </c>
      <c r="Q3030" t="str">
        <f>CHOOSE(WEEKDAY(datos_siembra[[#This Row],[Date]],2),"L","M","X","J","V","S","D")</f>
        <v>L</v>
      </c>
      <c r="R3030">
        <f>WEEKNUM(datos_siembra[[#This Row],[Date]],2)-WEEKNUM(DATE(YEAR(datos_siembra[[#This Row],[Date]]),MONTH(datos_siembra[[#This Row],[Date]]),1))+1</f>
        <v>2</v>
      </c>
      <c r="S3030">
        <f>MONTH(datos_siembra[[#This Row],[Date]])</f>
        <v>10</v>
      </c>
      <c r="T3030" t="str" cm="1">
        <f t="array" ref="T3030">_xlfn.IFS(AND(N3030&lt;= 22, S3030=9), "SOWING",AND(N3030&lt;= 28, S3030=9), "COVERAGE",AND(N3030&lt;= 30, S3030=9), "FLUSH",AND(N3030&lt;= 11, S3030=10), "FLUSH",AND(N3030&lt;= 21, S3030=10), "PRODUCTION")</f>
        <v>FLUSH</v>
      </c>
      <c r="U3030">
        <f>HOUR(datos_siembra[[#This Row],[Hour]])</f>
        <v>19</v>
      </c>
      <c r="V3030" cm="1">
        <f t="array" ref="V3030">_xlfn.IFS(AND(N3030&lt;= 22, S3030=9), N3030-7,AND(N3030&lt;= 28, S3030=9), N3030-25,AND(N3030&lt;= 30, S3030=9), N3030-28,AND(N3030&lt;= 11, S3030=10), N3030+2,AND(N3030&lt;= 21, S3030=10), N3030-11)</f>
        <v>9</v>
      </c>
    </row>
    <row r="3031" spans="1:22" x14ac:dyDescent="0.35">
      <c r="A3031" s="4">
        <v>45572</v>
      </c>
      <c r="B3031" s="5">
        <v>0.83648148148148149</v>
      </c>
      <c r="C3031">
        <v>66.900000000000006</v>
      </c>
      <c r="D3031">
        <v>66.8</v>
      </c>
      <c r="E3031">
        <v>67.8</v>
      </c>
      <c r="F3031">
        <v>67.099999999999994</v>
      </c>
      <c r="G3031">
        <v>0</v>
      </c>
      <c r="H3031">
        <v>0</v>
      </c>
      <c r="I3031">
        <v>0</v>
      </c>
      <c r="J3031">
        <v>0</v>
      </c>
      <c r="K3031">
        <v>63.9</v>
      </c>
      <c r="L3031">
        <v>64.3</v>
      </c>
      <c r="M3031">
        <v>67.27</v>
      </c>
      <c r="N3031">
        <v>7</v>
      </c>
      <c r="O3031">
        <v>6</v>
      </c>
      <c r="P3031">
        <f>MOD(DAY(datos_siembra[[#This Row],[Date]]),7)</f>
        <v>0</v>
      </c>
      <c r="Q3031" t="str">
        <f>CHOOSE(WEEKDAY(datos_siembra[[#This Row],[Date]],2),"L","M","X","J","V","S","D")</f>
        <v>L</v>
      </c>
      <c r="R3031">
        <f>WEEKNUM(datos_siembra[[#This Row],[Date]],2)-WEEKNUM(DATE(YEAR(datos_siembra[[#This Row],[Date]]),MONTH(datos_siembra[[#This Row],[Date]]),1))+1</f>
        <v>2</v>
      </c>
      <c r="S3031">
        <f>MONTH(datos_siembra[[#This Row],[Date]])</f>
        <v>10</v>
      </c>
      <c r="T3031" t="str" cm="1">
        <f t="array" ref="T3031">_xlfn.IFS(AND(N3031&lt;= 22, S3031=9), "SOWING",AND(N3031&lt;= 28, S3031=9), "COVERAGE",AND(N3031&lt;= 30, S3031=9), "FLUSH",AND(N3031&lt;= 11, S3031=10), "FLUSH",AND(N3031&lt;= 21, S3031=10), "PRODUCTION")</f>
        <v>FLUSH</v>
      </c>
      <c r="U3031">
        <f>HOUR(datos_siembra[[#This Row],[Hour]])</f>
        <v>20</v>
      </c>
      <c r="V3031" cm="1">
        <f t="array" ref="V3031">_xlfn.IFS(AND(N3031&lt;= 22, S3031=9), N3031-7,AND(N3031&lt;= 28, S3031=9), N3031-25,AND(N3031&lt;= 30, S3031=9), N3031-28,AND(N3031&lt;= 11, S3031=10), N3031+2,AND(N3031&lt;= 21, S3031=10), N3031-11)</f>
        <v>9</v>
      </c>
    </row>
    <row r="3032" spans="1:22" x14ac:dyDescent="0.35">
      <c r="A3032" s="4">
        <v>45572</v>
      </c>
      <c r="B3032" s="5">
        <v>0.84342592592592591</v>
      </c>
      <c r="C3032">
        <v>67.099999999999994</v>
      </c>
      <c r="D3032">
        <v>66.900000000000006</v>
      </c>
      <c r="E3032">
        <v>67.900000000000006</v>
      </c>
      <c r="F3032">
        <v>67.2</v>
      </c>
      <c r="G3032">
        <v>0</v>
      </c>
      <c r="H3032">
        <v>0</v>
      </c>
      <c r="I3032">
        <v>0</v>
      </c>
      <c r="J3032">
        <v>0</v>
      </c>
      <c r="K3032">
        <v>63.9</v>
      </c>
      <c r="L3032">
        <v>64.3</v>
      </c>
      <c r="M3032">
        <v>67.180000000000007</v>
      </c>
      <c r="N3032">
        <v>7</v>
      </c>
      <c r="O3032">
        <v>6</v>
      </c>
      <c r="P3032">
        <f>MOD(DAY(datos_siembra[[#This Row],[Date]]),7)</f>
        <v>0</v>
      </c>
      <c r="Q3032" t="str">
        <f>CHOOSE(WEEKDAY(datos_siembra[[#This Row],[Date]],2),"L","M","X","J","V","S","D")</f>
        <v>L</v>
      </c>
      <c r="R3032">
        <f>WEEKNUM(datos_siembra[[#This Row],[Date]],2)-WEEKNUM(DATE(YEAR(datos_siembra[[#This Row],[Date]]),MONTH(datos_siembra[[#This Row],[Date]]),1))+1</f>
        <v>2</v>
      </c>
      <c r="S3032">
        <f>MONTH(datos_siembra[[#This Row],[Date]])</f>
        <v>10</v>
      </c>
      <c r="T3032" t="str" cm="1">
        <f t="array" ref="T3032">_xlfn.IFS(AND(N3032&lt;= 22, S3032=9), "SOWING",AND(N3032&lt;= 28, S3032=9), "COVERAGE",AND(N3032&lt;= 30, S3032=9), "FLUSH",AND(N3032&lt;= 11, S3032=10), "FLUSH",AND(N3032&lt;= 21, S3032=10), "PRODUCTION")</f>
        <v>FLUSH</v>
      </c>
      <c r="U3032">
        <f>HOUR(datos_siembra[[#This Row],[Hour]])</f>
        <v>20</v>
      </c>
      <c r="V3032" cm="1">
        <f t="array" ref="V3032">_xlfn.IFS(AND(N3032&lt;= 22, S3032=9), N3032-7,AND(N3032&lt;= 28, S3032=9), N3032-25,AND(N3032&lt;= 30, S3032=9), N3032-28,AND(N3032&lt;= 11, S3032=10), N3032+2,AND(N3032&lt;= 21, S3032=10), N3032-11)</f>
        <v>9</v>
      </c>
    </row>
    <row r="3033" spans="1:22" x14ac:dyDescent="0.35">
      <c r="A3033" s="4">
        <v>45572</v>
      </c>
      <c r="B3033" s="5">
        <v>0.85037037037037033</v>
      </c>
      <c r="C3033">
        <v>67.099999999999994</v>
      </c>
      <c r="D3033">
        <v>66.8</v>
      </c>
      <c r="E3033">
        <v>68</v>
      </c>
      <c r="F3033">
        <v>67.3</v>
      </c>
      <c r="G3033">
        <v>0</v>
      </c>
      <c r="H3033">
        <v>0</v>
      </c>
      <c r="I3033">
        <v>0</v>
      </c>
      <c r="J3033">
        <v>0</v>
      </c>
      <c r="K3033">
        <v>64.099999999999994</v>
      </c>
      <c r="L3033">
        <v>64.2</v>
      </c>
      <c r="M3033">
        <v>67.180000000000007</v>
      </c>
      <c r="N3033">
        <v>7</v>
      </c>
      <c r="O3033">
        <v>6</v>
      </c>
      <c r="P3033">
        <f>MOD(DAY(datos_siembra[[#This Row],[Date]]),7)</f>
        <v>0</v>
      </c>
      <c r="Q3033" t="str">
        <f>CHOOSE(WEEKDAY(datos_siembra[[#This Row],[Date]],2),"L","M","X","J","V","S","D")</f>
        <v>L</v>
      </c>
      <c r="R3033">
        <f>WEEKNUM(datos_siembra[[#This Row],[Date]],2)-WEEKNUM(DATE(YEAR(datos_siembra[[#This Row],[Date]]),MONTH(datos_siembra[[#This Row],[Date]]),1))+1</f>
        <v>2</v>
      </c>
      <c r="S3033">
        <f>MONTH(datos_siembra[[#This Row],[Date]])</f>
        <v>10</v>
      </c>
      <c r="T3033" t="str" cm="1">
        <f t="array" ref="T3033">_xlfn.IFS(AND(N3033&lt;= 22, S3033=9), "SOWING",AND(N3033&lt;= 28, S3033=9), "COVERAGE",AND(N3033&lt;= 30, S3033=9), "FLUSH",AND(N3033&lt;= 11, S3033=10), "FLUSH",AND(N3033&lt;= 21, S3033=10), "PRODUCTION")</f>
        <v>FLUSH</v>
      </c>
      <c r="U3033">
        <f>HOUR(datos_siembra[[#This Row],[Hour]])</f>
        <v>20</v>
      </c>
      <c r="V3033" cm="1">
        <f t="array" ref="V3033">_xlfn.IFS(AND(N3033&lt;= 22, S3033=9), N3033-7,AND(N3033&lt;= 28, S3033=9), N3033-25,AND(N3033&lt;= 30, S3033=9), N3033-28,AND(N3033&lt;= 11, S3033=10), N3033+2,AND(N3033&lt;= 21, S3033=10), N3033-11)</f>
        <v>9</v>
      </c>
    </row>
    <row r="3034" spans="1:22" x14ac:dyDescent="0.35">
      <c r="A3034" s="4">
        <v>45572</v>
      </c>
      <c r="B3034" s="5">
        <v>0.85731481481481486</v>
      </c>
      <c r="C3034">
        <v>66.900000000000006</v>
      </c>
      <c r="D3034">
        <v>66.8</v>
      </c>
      <c r="E3034">
        <v>67.8</v>
      </c>
      <c r="F3034">
        <v>67.2</v>
      </c>
      <c r="G3034">
        <v>0</v>
      </c>
      <c r="H3034">
        <v>0</v>
      </c>
      <c r="I3034">
        <v>0</v>
      </c>
      <c r="J3034">
        <v>0</v>
      </c>
      <c r="K3034">
        <v>64.099999999999994</v>
      </c>
      <c r="L3034">
        <v>64.3</v>
      </c>
      <c r="M3034">
        <v>67.16</v>
      </c>
      <c r="N3034">
        <v>7</v>
      </c>
      <c r="O3034">
        <v>6</v>
      </c>
      <c r="P3034">
        <f>MOD(DAY(datos_siembra[[#This Row],[Date]]),7)</f>
        <v>0</v>
      </c>
      <c r="Q3034" t="str">
        <f>CHOOSE(WEEKDAY(datos_siembra[[#This Row],[Date]],2),"L","M","X","J","V","S","D")</f>
        <v>L</v>
      </c>
      <c r="R3034">
        <f>WEEKNUM(datos_siembra[[#This Row],[Date]],2)-WEEKNUM(DATE(YEAR(datos_siembra[[#This Row],[Date]]),MONTH(datos_siembra[[#This Row],[Date]]),1))+1</f>
        <v>2</v>
      </c>
      <c r="S3034">
        <f>MONTH(datos_siembra[[#This Row],[Date]])</f>
        <v>10</v>
      </c>
      <c r="T3034" t="str" cm="1">
        <f t="array" ref="T3034">_xlfn.IFS(AND(N3034&lt;= 22, S3034=9), "SOWING",AND(N3034&lt;= 28, S3034=9), "COVERAGE",AND(N3034&lt;= 30, S3034=9), "FLUSH",AND(N3034&lt;= 11, S3034=10), "FLUSH",AND(N3034&lt;= 21, S3034=10), "PRODUCTION")</f>
        <v>FLUSH</v>
      </c>
      <c r="U3034">
        <f>HOUR(datos_siembra[[#This Row],[Hour]])</f>
        <v>20</v>
      </c>
      <c r="V3034" cm="1">
        <f t="array" ref="V3034">_xlfn.IFS(AND(N3034&lt;= 22, S3034=9), N3034-7,AND(N3034&lt;= 28, S3034=9), N3034-25,AND(N3034&lt;= 30, S3034=9), N3034-28,AND(N3034&lt;= 11, S3034=10), N3034+2,AND(N3034&lt;= 21, S3034=10), N3034-11)</f>
        <v>9</v>
      </c>
    </row>
    <row r="3035" spans="1:22" x14ac:dyDescent="0.35">
      <c r="A3035" s="4">
        <v>45572</v>
      </c>
      <c r="B3035" s="5">
        <v>0.86427083333333332</v>
      </c>
      <c r="C3035">
        <v>67</v>
      </c>
      <c r="D3035">
        <v>66.900000000000006</v>
      </c>
      <c r="E3035">
        <v>67.900000000000006</v>
      </c>
      <c r="F3035">
        <v>67.3</v>
      </c>
      <c r="G3035">
        <v>0</v>
      </c>
      <c r="H3035">
        <v>0</v>
      </c>
      <c r="I3035">
        <v>0</v>
      </c>
      <c r="J3035">
        <v>0</v>
      </c>
      <c r="K3035">
        <v>64.099999999999994</v>
      </c>
      <c r="L3035">
        <v>64.3</v>
      </c>
      <c r="M3035">
        <v>67.209999999999994</v>
      </c>
      <c r="N3035">
        <v>7</v>
      </c>
      <c r="O3035">
        <v>6</v>
      </c>
      <c r="P3035">
        <f>MOD(DAY(datos_siembra[[#This Row],[Date]]),7)</f>
        <v>0</v>
      </c>
      <c r="Q3035" t="str">
        <f>CHOOSE(WEEKDAY(datos_siembra[[#This Row],[Date]],2),"L","M","X","J","V","S","D")</f>
        <v>L</v>
      </c>
      <c r="R3035">
        <f>WEEKNUM(datos_siembra[[#This Row],[Date]],2)-WEEKNUM(DATE(YEAR(datos_siembra[[#This Row],[Date]]),MONTH(datos_siembra[[#This Row],[Date]]),1))+1</f>
        <v>2</v>
      </c>
      <c r="S3035">
        <f>MONTH(datos_siembra[[#This Row],[Date]])</f>
        <v>10</v>
      </c>
      <c r="T3035" t="str" cm="1">
        <f t="array" ref="T3035">_xlfn.IFS(AND(N3035&lt;= 22, S3035=9), "SOWING",AND(N3035&lt;= 28, S3035=9), "COVERAGE",AND(N3035&lt;= 30, S3035=9), "FLUSH",AND(N3035&lt;= 11, S3035=10), "FLUSH",AND(N3035&lt;= 21, S3035=10), "PRODUCTION")</f>
        <v>FLUSH</v>
      </c>
      <c r="U3035">
        <f>HOUR(datos_siembra[[#This Row],[Hour]])</f>
        <v>20</v>
      </c>
      <c r="V3035" cm="1">
        <f t="array" ref="V3035">_xlfn.IFS(AND(N3035&lt;= 22, S3035=9), N3035-7,AND(N3035&lt;= 28, S3035=9), N3035-25,AND(N3035&lt;= 30, S3035=9), N3035-28,AND(N3035&lt;= 11, S3035=10), N3035+2,AND(N3035&lt;= 21, S3035=10), N3035-11)</f>
        <v>9</v>
      </c>
    </row>
    <row r="3036" spans="1:22" x14ac:dyDescent="0.35">
      <c r="A3036" s="4">
        <v>45572</v>
      </c>
      <c r="B3036" s="5">
        <v>0.87121527777777774</v>
      </c>
      <c r="C3036">
        <v>67</v>
      </c>
      <c r="D3036">
        <v>66.900000000000006</v>
      </c>
      <c r="E3036">
        <v>67.900000000000006</v>
      </c>
      <c r="F3036">
        <v>67.3</v>
      </c>
      <c r="G3036">
        <v>0</v>
      </c>
      <c r="H3036">
        <v>0</v>
      </c>
      <c r="I3036">
        <v>0</v>
      </c>
      <c r="J3036">
        <v>0</v>
      </c>
      <c r="K3036">
        <v>64.2</v>
      </c>
      <c r="L3036">
        <v>64.400000000000006</v>
      </c>
      <c r="M3036">
        <v>67.27</v>
      </c>
      <c r="N3036">
        <v>7</v>
      </c>
      <c r="O3036">
        <v>6</v>
      </c>
      <c r="P3036">
        <f>MOD(DAY(datos_siembra[[#This Row],[Date]]),7)</f>
        <v>0</v>
      </c>
      <c r="Q3036" t="str">
        <f>CHOOSE(WEEKDAY(datos_siembra[[#This Row],[Date]],2),"L","M","X","J","V","S","D")</f>
        <v>L</v>
      </c>
      <c r="R3036">
        <f>WEEKNUM(datos_siembra[[#This Row],[Date]],2)-WEEKNUM(DATE(YEAR(datos_siembra[[#This Row],[Date]]),MONTH(datos_siembra[[#This Row],[Date]]),1))+1</f>
        <v>2</v>
      </c>
      <c r="S3036">
        <f>MONTH(datos_siembra[[#This Row],[Date]])</f>
        <v>10</v>
      </c>
      <c r="T3036" t="str" cm="1">
        <f t="array" ref="T3036">_xlfn.IFS(AND(N3036&lt;= 22, S3036=9), "SOWING",AND(N3036&lt;= 28, S3036=9), "COVERAGE",AND(N3036&lt;= 30, S3036=9), "FLUSH",AND(N3036&lt;= 11, S3036=10), "FLUSH",AND(N3036&lt;= 21, S3036=10), "PRODUCTION")</f>
        <v>FLUSH</v>
      </c>
      <c r="U3036">
        <f>HOUR(datos_siembra[[#This Row],[Hour]])</f>
        <v>20</v>
      </c>
      <c r="V3036" cm="1">
        <f t="array" ref="V3036">_xlfn.IFS(AND(N3036&lt;= 22, S3036=9), N3036-7,AND(N3036&lt;= 28, S3036=9), N3036-25,AND(N3036&lt;= 30, S3036=9), N3036-28,AND(N3036&lt;= 11, S3036=10), N3036+2,AND(N3036&lt;= 21, S3036=10), N3036-11)</f>
        <v>9</v>
      </c>
    </row>
    <row r="3037" spans="1:22" x14ac:dyDescent="0.35">
      <c r="A3037" s="4">
        <v>45572</v>
      </c>
      <c r="B3037" s="5">
        <v>0.87815972222222227</v>
      </c>
      <c r="C3037">
        <v>67.099999999999994</v>
      </c>
      <c r="D3037">
        <v>66.900000000000006</v>
      </c>
      <c r="E3037">
        <v>67.7</v>
      </c>
      <c r="F3037">
        <v>67.2</v>
      </c>
      <c r="G3037">
        <v>0</v>
      </c>
      <c r="H3037">
        <v>0</v>
      </c>
      <c r="I3037">
        <v>0</v>
      </c>
      <c r="J3037">
        <v>0</v>
      </c>
      <c r="K3037">
        <v>64.2</v>
      </c>
      <c r="L3037">
        <v>64.400000000000006</v>
      </c>
      <c r="M3037">
        <v>67.3</v>
      </c>
      <c r="N3037">
        <v>7</v>
      </c>
      <c r="O3037">
        <v>6</v>
      </c>
      <c r="P3037">
        <f>MOD(DAY(datos_siembra[[#This Row],[Date]]),7)</f>
        <v>0</v>
      </c>
      <c r="Q3037" t="str">
        <f>CHOOSE(WEEKDAY(datos_siembra[[#This Row],[Date]],2),"L","M","X","J","V","S","D")</f>
        <v>L</v>
      </c>
      <c r="R3037">
        <f>WEEKNUM(datos_siembra[[#This Row],[Date]],2)-WEEKNUM(DATE(YEAR(datos_siembra[[#This Row],[Date]]),MONTH(datos_siembra[[#This Row],[Date]]),1))+1</f>
        <v>2</v>
      </c>
      <c r="S3037">
        <f>MONTH(datos_siembra[[#This Row],[Date]])</f>
        <v>10</v>
      </c>
      <c r="T3037" t="str" cm="1">
        <f t="array" ref="T3037">_xlfn.IFS(AND(N3037&lt;= 22, S3037=9), "SOWING",AND(N3037&lt;= 28, S3037=9), "COVERAGE",AND(N3037&lt;= 30, S3037=9), "FLUSH",AND(N3037&lt;= 11, S3037=10), "FLUSH",AND(N3037&lt;= 21, S3037=10), "PRODUCTION")</f>
        <v>FLUSH</v>
      </c>
      <c r="U3037">
        <f>HOUR(datos_siembra[[#This Row],[Hour]])</f>
        <v>21</v>
      </c>
      <c r="V3037" cm="1">
        <f t="array" ref="V3037">_xlfn.IFS(AND(N3037&lt;= 22, S3037=9), N3037-7,AND(N3037&lt;= 28, S3037=9), N3037-25,AND(N3037&lt;= 30, S3037=9), N3037-28,AND(N3037&lt;= 11, S3037=10), N3037+2,AND(N3037&lt;= 21, S3037=10), N3037-11)</f>
        <v>9</v>
      </c>
    </row>
    <row r="3038" spans="1:22" x14ac:dyDescent="0.35">
      <c r="A3038" s="4">
        <v>45572</v>
      </c>
      <c r="B3038" s="5">
        <v>0.88511574074074073</v>
      </c>
      <c r="C3038">
        <v>67.2</v>
      </c>
      <c r="D3038">
        <v>66.900000000000006</v>
      </c>
      <c r="E3038">
        <v>67.900000000000006</v>
      </c>
      <c r="F3038">
        <v>67.3</v>
      </c>
      <c r="G3038">
        <v>0</v>
      </c>
      <c r="H3038">
        <v>0</v>
      </c>
      <c r="I3038">
        <v>0</v>
      </c>
      <c r="J3038">
        <v>0</v>
      </c>
      <c r="K3038">
        <v>64.2</v>
      </c>
      <c r="L3038">
        <v>64.400000000000006</v>
      </c>
      <c r="M3038">
        <v>67.209999999999994</v>
      </c>
      <c r="N3038">
        <v>7</v>
      </c>
      <c r="O3038">
        <v>6</v>
      </c>
      <c r="P3038">
        <f>MOD(DAY(datos_siembra[[#This Row],[Date]]),7)</f>
        <v>0</v>
      </c>
      <c r="Q3038" t="str">
        <f>CHOOSE(WEEKDAY(datos_siembra[[#This Row],[Date]],2),"L","M","X","J","V","S","D")</f>
        <v>L</v>
      </c>
      <c r="R3038">
        <f>WEEKNUM(datos_siembra[[#This Row],[Date]],2)-WEEKNUM(DATE(YEAR(datos_siembra[[#This Row],[Date]]),MONTH(datos_siembra[[#This Row],[Date]]),1))+1</f>
        <v>2</v>
      </c>
      <c r="S3038">
        <f>MONTH(datos_siembra[[#This Row],[Date]])</f>
        <v>10</v>
      </c>
      <c r="T3038" t="str" cm="1">
        <f t="array" ref="T3038">_xlfn.IFS(AND(N3038&lt;= 22, S3038=9), "SOWING",AND(N3038&lt;= 28, S3038=9), "COVERAGE",AND(N3038&lt;= 30, S3038=9), "FLUSH",AND(N3038&lt;= 11, S3038=10), "FLUSH",AND(N3038&lt;= 21, S3038=10), "PRODUCTION")</f>
        <v>FLUSH</v>
      </c>
      <c r="U3038">
        <f>HOUR(datos_siembra[[#This Row],[Hour]])</f>
        <v>21</v>
      </c>
      <c r="V3038" cm="1">
        <f t="array" ref="V3038">_xlfn.IFS(AND(N3038&lt;= 22, S3038=9), N3038-7,AND(N3038&lt;= 28, S3038=9), N3038-25,AND(N3038&lt;= 30, S3038=9), N3038-28,AND(N3038&lt;= 11, S3038=10), N3038+2,AND(N3038&lt;= 21, S3038=10), N3038-11)</f>
        <v>9</v>
      </c>
    </row>
    <row r="3039" spans="1:22" x14ac:dyDescent="0.35">
      <c r="A3039" s="4">
        <v>45572</v>
      </c>
      <c r="B3039" s="5">
        <v>0.89206018518518515</v>
      </c>
      <c r="C3039">
        <v>67</v>
      </c>
      <c r="D3039">
        <v>66.900000000000006</v>
      </c>
      <c r="E3039">
        <v>67.8</v>
      </c>
      <c r="F3039">
        <v>67.2</v>
      </c>
      <c r="G3039">
        <v>0</v>
      </c>
      <c r="H3039">
        <v>0</v>
      </c>
      <c r="I3039">
        <v>0</v>
      </c>
      <c r="J3039">
        <v>0</v>
      </c>
      <c r="K3039">
        <v>64.2</v>
      </c>
      <c r="L3039">
        <v>64.400000000000006</v>
      </c>
      <c r="M3039">
        <v>67.27</v>
      </c>
      <c r="N3039">
        <v>7</v>
      </c>
      <c r="O3039">
        <v>6</v>
      </c>
      <c r="P3039">
        <f>MOD(DAY(datos_siembra[[#This Row],[Date]]),7)</f>
        <v>0</v>
      </c>
      <c r="Q3039" t="str">
        <f>CHOOSE(WEEKDAY(datos_siembra[[#This Row],[Date]],2),"L","M","X","J","V","S","D")</f>
        <v>L</v>
      </c>
      <c r="R3039">
        <f>WEEKNUM(datos_siembra[[#This Row],[Date]],2)-WEEKNUM(DATE(YEAR(datos_siembra[[#This Row],[Date]]),MONTH(datos_siembra[[#This Row],[Date]]),1))+1</f>
        <v>2</v>
      </c>
      <c r="S3039">
        <f>MONTH(datos_siembra[[#This Row],[Date]])</f>
        <v>10</v>
      </c>
      <c r="T3039" t="str" cm="1">
        <f t="array" ref="T3039">_xlfn.IFS(AND(N3039&lt;= 22, S3039=9), "SOWING",AND(N3039&lt;= 28, S3039=9), "COVERAGE",AND(N3039&lt;= 30, S3039=9), "FLUSH",AND(N3039&lt;= 11, S3039=10), "FLUSH",AND(N3039&lt;= 21, S3039=10), "PRODUCTION")</f>
        <v>FLUSH</v>
      </c>
      <c r="U3039">
        <f>HOUR(datos_siembra[[#This Row],[Hour]])</f>
        <v>21</v>
      </c>
      <c r="V3039" cm="1">
        <f t="array" ref="V3039">_xlfn.IFS(AND(N3039&lt;= 22, S3039=9), N3039-7,AND(N3039&lt;= 28, S3039=9), N3039-25,AND(N3039&lt;= 30, S3039=9), N3039-28,AND(N3039&lt;= 11, S3039=10), N3039+2,AND(N3039&lt;= 21, S3039=10), N3039-11)</f>
        <v>9</v>
      </c>
    </row>
    <row r="3040" spans="1:22" x14ac:dyDescent="0.35">
      <c r="A3040" s="4">
        <v>45572</v>
      </c>
      <c r="B3040" s="5">
        <v>0.89900462962962968</v>
      </c>
      <c r="C3040">
        <v>67</v>
      </c>
      <c r="D3040">
        <v>67</v>
      </c>
      <c r="E3040">
        <v>67.8</v>
      </c>
      <c r="F3040">
        <v>67.2</v>
      </c>
      <c r="G3040">
        <v>0</v>
      </c>
      <c r="H3040">
        <v>0</v>
      </c>
      <c r="I3040">
        <v>0</v>
      </c>
      <c r="J3040">
        <v>0</v>
      </c>
      <c r="K3040">
        <v>64.099999999999994</v>
      </c>
      <c r="L3040">
        <v>64.400000000000006</v>
      </c>
      <c r="M3040">
        <v>67.239999999999995</v>
      </c>
      <c r="N3040">
        <v>7</v>
      </c>
      <c r="O3040">
        <v>6</v>
      </c>
      <c r="P3040">
        <f>MOD(DAY(datos_siembra[[#This Row],[Date]]),7)</f>
        <v>0</v>
      </c>
      <c r="Q3040" t="str">
        <f>CHOOSE(WEEKDAY(datos_siembra[[#This Row],[Date]],2),"L","M","X","J","V","S","D")</f>
        <v>L</v>
      </c>
      <c r="R3040">
        <f>WEEKNUM(datos_siembra[[#This Row],[Date]],2)-WEEKNUM(DATE(YEAR(datos_siembra[[#This Row],[Date]]),MONTH(datos_siembra[[#This Row],[Date]]),1))+1</f>
        <v>2</v>
      </c>
      <c r="S3040">
        <f>MONTH(datos_siembra[[#This Row],[Date]])</f>
        <v>10</v>
      </c>
      <c r="T3040" t="str" cm="1">
        <f t="array" ref="T3040">_xlfn.IFS(AND(N3040&lt;= 22, S3040=9), "SOWING",AND(N3040&lt;= 28, S3040=9), "COVERAGE",AND(N3040&lt;= 30, S3040=9), "FLUSH",AND(N3040&lt;= 11, S3040=10), "FLUSH",AND(N3040&lt;= 21, S3040=10), "PRODUCTION")</f>
        <v>FLUSH</v>
      </c>
      <c r="U3040">
        <f>HOUR(datos_siembra[[#This Row],[Hour]])</f>
        <v>21</v>
      </c>
      <c r="V3040" cm="1">
        <f t="array" ref="V3040">_xlfn.IFS(AND(N3040&lt;= 22, S3040=9), N3040-7,AND(N3040&lt;= 28, S3040=9), N3040-25,AND(N3040&lt;= 30, S3040=9), N3040-28,AND(N3040&lt;= 11, S3040=10), N3040+2,AND(N3040&lt;= 21, S3040=10), N3040-11)</f>
        <v>9</v>
      </c>
    </row>
    <row r="3041" spans="1:22" x14ac:dyDescent="0.35">
      <c r="A3041" s="4">
        <v>45572</v>
      </c>
      <c r="B3041" s="5">
        <v>0.9059490740740741</v>
      </c>
      <c r="C3041">
        <v>67.099999999999994</v>
      </c>
      <c r="D3041">
        <v>66.8</v>
      </c>
      <c r="E3041">
        <v>67.900000000000006</v>
      </c>
      <c r="F3041">
        <v>67.2</v>
      </c>
      <c r="G3041">
        <v>0</v>
      </c>
      <c r="H3041">
        <v>0</v>
      </c>
      <c r="I3041">
        <v>0</v>
      </c>
      <c r="J3041">
        <v>0</v>
      </c>
      <c r="K3041">
        <v>64.2</v>
      </c>
      <c r="L3041">
        <v>64.5</v>
      </c>
      <c r="M3041">
        <v>67.27</v>
      </c>
      <c r="N3041">
        <v>7</v>
      </c>
      <c r="O3041">
        <v>6</v>
      </c>
      <c r="P3041">
        <f>MOD(DAY(datos_siembra[[#This Row],[Date]]),7)</f>
        <v>0</v>
      </c>
      <c r="Q3041" t="str">
        <f>CHOOSE(WEEKDAY(datos_siembra[[#This Row],[Date]],2),"L","M","X","J","V","S","D")</f>
        <v>L</v>
      </c>
      <c r="R3041">
        <f>WEEKNUM(datos_siembra[[#This Row],[Date]],2)-WEEKNUM(DATE(YEAR(datos_siembra[[#This Row],[Date]]),MONTH(datos_siembra[[#This Row],[Date]]),1))+1</f>
        <v>2</v>
      </c>
      <c r="S3041">
        <f>MONTH(datos_siembra[[#This Row],[Date]])</f>
        <v>10</v>
      </c>
      <c r="T3041" t="str" cm="1">
        <f t="array" ref="T3041">_xlfn.IFS(AND(N3041&lt;= 22, S3041=9), "SOWING",AND(N3041&lt;= 28, S3041=9), "COVERAGE",AND(N3041&lt;= 30, S3041=9), "FLUSH",AND(N3041&lt;= 11, S3041=10), "FLUSH",AND(N3041&lt;= 21, S3041=10), "PRODUCTION")</f>
        <v>FLUSH</v>
      </c>
      <c r="U3041">
        <f>HOUR(datos_siembra[[#This Row],[Hour]])</f>
        <v>21</v>
      </c>
      <c r="V3041" cm="1">
        <f t="array" ref="V3041">_xlfn.IFS(AND(N3041&lt;= 22, S3041=9), N3041-7,AND(N3041&lt;= 28, S3041=9), N3041-25,AND(N3041&lt;= 30, S3041=9), N3041-28,AND(N3041&lt;= 11, S3041=10), N3041+2,AND(N3041&lt;= 21, S3041=10), N3041-11)</f>
        <v>9</v>
      </c>
    </row>
    <row r="3042" spans="1:22" x14ac:dyDescent="0.35">
      <c r="A3042" s="4">
        <v>45572</v>
      </c>
      <c r="B3042" s="5">
        <v>0.91290509259259256</v>
      </c>
      <c r="C3042">
        <v>67</v>
      </c>
      <c r="D3042">
        <v>66.8</v>
      </c>
      <c r="E3042">
        <v>67.900000000000006</v>
      </c>
      <c r="F3042">
        <v>67.3</v>
      </c>
      <c r="G3042">
        <v>0</v>
      </c>
      <c r="H3042">
        <v>0</v>
      </c>
      <c r="I3042">
        <v>0</v>
      </c>
      <c r="J3042">
        <v>0</v>
      </c>
      <c r="K3042">
        <v>64.099999999999994</v>
      </c>
      <c r="L3042">
        <v>64.400000000000006</v>
      </c>
      <c r="M3042">
        <v>67.209999999999994</v>
      </c>
      <c r="N3042">
        <v>7</v>
      </c>
      <c r="O3042">
        <v>6</v>
      </c>
      <c r="P3042">
        <f>MOD(DAY(datos_siembra[[#This Row],[Date]]),7)</f>
        <v>0</v>
      </c>
      <c r="Q3042" t="str">
        <f>CHOOSE(WEEKDAY(datos_siembra[[#This Row],[Date]],2),"L","M","X","J","V","S","D")</f>
        <v>L</v>
      </c>
      <c r="R3042">
        <f>WEEKNUM(datos_siembra[[#This Row],[Date]],2)-WEEKNUM(DATE(YEAR(datos_siembra[[#This Row],[Date]]),MONTH(datos_siembra[[#This Row],[Date]]),1))+1</f>
        <v>2</v>
      </c>
      <c r="S3042">
        <f>MONTH(datos_siembra[[#This Row],[Date]])</f>
        <v>10</v>
      </c>
      <c r="T3042" t="str" cm="1">
        <f t="array" ref="T3042">_xlfn.IFS(AND(N3042&lt;= 22, S3042=9), "SOWING",AND(N3042&lt;= 28, S3042=9), "COVERAGE",AND(N3042&lt;= 30, S3042=9), "FLUSH",AND(N3042&lt;= 11, S3042=10), "FLUSH",AND(N3042&lt;= 21, S3042=10), "PRODUCTION")</f>
        <v>FLUSH</v>
      </c>
      <c r="U3042">
        <f>HOUR(datos_siembra[[#This Row],[Hour]])</f>
        <v>21</v>
      </c>
      <c r="V3042" cm="1">
        <f t="array" ref="V3042">_xlfn.IFS(AND(N3042&lt;= 22, S3042=9), N3042-7,AND(N3042&lt;= 28, S3042=9), N3042-25,AND(N3042&lt;= 30, S3042=9), N3042-28,AND(N3042&lt;= 11, S3042=10), N3042+2,AND(N3042&lt;= 21, S3042=10), N3042-11)</f>
        <v>9</v>
      </c>
    </row>
    <row r="3043" spans="1:22" x14ac:dyDescent="0.35">
      <c r="A3043" s="4">
        <v>45572</v>
      </c>
      <c r="B3043" s="5">
        <v>0.91984953703703709</v>
      </c>
      <c r="C3043">
        <v>67.2</v>
      </c>
      <c r="D3043">
        <v>66.900000000000006</v>
      </c>
      <c r="E3043">
        <v>67.900000000000006</v>
      </c>
      <c r="F3043">
        <v>67.2</v>
      </c>
      <c r="G3043">
        <v>0</v>
      </c>
      <c r="H3043">
        <v>0</v>
      </c>
      <c r="I3043">
        <v>0</v>
      </c>
      <c r="J3043">
        <v>0</v>
      </c>
      <c r="K3043">
        <v>64.2</v>
      </c>
      <c r="L3043">
        <v>64.5</v>
      </c>
      <c r="M3043">
        <v>67.27</v>
      </c>
      <c r="N3043">
        <v>7</v>
      </c>
      <c r="O3043">
        <v>6</v>
      </c>
      <c r="P3043">
        <f>MOD(DAY(datos_siembra[[#This Row],[Date]]),7)</f>
        <v>0</v>
      </c>
      <c r="Q3043" t="str">
        <f>CHOOSE(WEEKDAY(datos_siembra[[#This Row],[Date]],2),"L","M","X","J","V","S","D")</f>
        <v>L</v>
      </c>
      <c r="R3043">
        <f>WEEKNUM(datos_siembra[[#This Row],[Date]],2)-WEEKNUM(DATE(YEAR(datos_siembra[[#This Row],[Date]]),MONTH(datos_siembra[[#This Row],[Date]]),1))+1</f>
        <v>2</v>
      </c>
      <c r="S3043">
        <f>MONTH(datos_siembra[[#This Row],[Date]])</f>
        <v>10</v>
      </c>
      <c r="T3043" t="str" cm="1">
        <f t="array" ref="T3043">_xlfn.IFS(AND(N3043&lt;= 22, S3043=9), "SOWING",AND(N3043&lt;= 28, S3043=9), "COVERAGE",AND(N3043&lt;= 30, S3043=9), "FLUSH",AND(N3043&lt;= 11, S3043=10), "FLUSH",AND(N3043&lt;= 21, S3043=10), "PRODUCTION")</f>
        <v>FLUSH</v>
      </c>
      <c r="U3043">
        <f>HOUR(datos_siembra[[#This Row],[Hour]])</f>
        <v>22</v>
      </c>
      <c r="V3043" cm="1">
        <f t="array" ref="V3043">_xlfn.IFS(AND(N3043&lt;= 22, S3043=9), N3043-7,AND(N3043&lt;= 28, S3043=9), N3043-25,AND(N3043&lt;= 30, S3043=9), N3043-28,AND(N3043&lt;= 11, S3043=10), N3043+2,AND(N3043&lt;= 21, S3043=10), N3043-11)</f>
        <v>9</v>
      </c>
    </row>
    <row r="3044" spans="1:22" x14ac:dyDescent="0.35">
      <c r="A3044" s="4">
        <v>45572</v>
      </c>
      <c r="B3044" s="5">
        <v>0.92679398148148151</v>
      </c>
      <c r="C3044">
        <v>67.099999999999994</v>
      </c>
      <c r="D3044">
        <v>66.900000000000006</v>
      </c>
      <c r="E3044">
        <v>67.900000000000006</v>
      </c>
      <c r="F3044">
        <v>67.2</v>
      </c>
      <c r="G3044">
        <v>0</v>
      </c>
      <c r="H3044">
        <v>0</v>
      </c>
      <c r="I3044">
        <v>0</v>
      </c>
      <c r="J3044">
        <v>0</v>
      </c>
      <c r="K3044">
        <v>64.2</v>
      </c>
      <c r="L3044">
        <v>64.400000000000006</v>
      </c>
      <c r="M3044">
        <v>67.27</v>
      </c>
      <c r="N3044">
        <v>7</v>
      </c>
      <c r="O3044">
        <v>6</v>
      </c>
      <c r="P3044">
        <f>MOD(DAY(datos_siembra[[#This Row],[Date]]),7)</f>
        <v>0</v>
      </c>
      <c r="Q3044" t="str">
        <f>CHOOSE(WEEKDAY(datos_siembra[[#This Row],[Date]],2),"L","M","X","J","V","S","D")</f>
        <v>L</v>
      </c>
      <c r="R3044">
        <f>WEEKNUM(datos_siembra[[#This Row],[Date]],2)-WEEKNUM(DATE(YEAR(datos_siembra[[#This Row],[Date]]),MONTH(datos_siembra[[#This Row],[Date]]),1))+1</f>
        <v>2</v>
      </c>
      <c r="S3044">
        <f>MONTH(datos_siembra[[#This Row],[Date]])</f>
        <v>10</v>
      </c>
      <c r="T3044" t="str" cm="1">
        <f t="array" ref="T3044">_xlfn.IFS(AND(N3044&lt;= 22, S3044=9), "SOWING",AND(N3044&lt;= 28, S3044=9), "COVERAGE",AND(N3044&lt;= 30, S3044=9), "FLUSH",AND(N3044&lt;= 11, S3044=10), "FLUSH",AND(N3044&lt;= 21, S3044=10), "PRODUCTION")</f>
        <v>FLUSH</v>
      </c>
      <c r="U3044">
        <f>HOUR(datos_siembra[[#This Row],[Hour]])</f>
        <v>22</v>
      </c>
      <c r="V3044" cm="1">
        <f t="array" ref="V3044">_xlfn.IFS(AND(N3044&lt;= 22, S3044=9), N3044-7,AND(N3044&lt;= 28, S3044=9), N3044-25,AND(N3044&lt;= 30, S3044=9), N3044-28,AND(N3044&lt;= 11, S3044=10), N3044+2,AND(N3044&lt;= 21, S3044=10), N3044-11)</f>
        <v>9</v>
      </c>
    </row>
    <row r="3045" spans="1:22" x14ac:dyDescent="0.35">
      <c r="A3045" s="4">
        <v>45572</v>
      </c>
      <c r="B3045" s="5">
        <v>0.93374999999999997</v>
      </c>
      <c r="C3045">
        <v>67.099999999999994</v>
      </c>
      <c r="D3045">
        <v>66.900000000000006</v>
      </c>
      <c r="E3045">
        <v>68</v>
      </c>
      <c r="F3045">
        <v>67.2</v>
      </c>
      <c r="G3045">
        <v>0</v>
      </c>
      <c r="H3045">
        <v>0</v>
      </c>
      <c r="I3045">
        <v>0</v>
      </c>
      <c r="J3045">
        <v>0</v>
      </c>
      <c r="K3045">
        <v>64.3</v>
      </c>
      <c r="L3045">
        <v>64.5</v>
      </c>
      <c r="M3045">
        <v>67.3</v>
      </c>
      <c r="N3045">
        <v>7</v>
      </c>
      <c r="O3045">
        <v>6</v>
      </c>
      <c r="P3045">
        <f>MOD(DAY(datos_siembra[[#This Row],[Date]]),7)</f>
        <v>0</v>
      </c>
      <c r="Q3045" t="str">
        <f>CHOOSE(WEEKDAY(datos_siembra[[#This Row],[Date]],2),"L","M","X","J","V","S","D")</f>
        <v>L</v>
      </c>
      <c r="R3045">
        <f>WEEKNUM(datos_siembra[[#This Row],[Date]],2)-WEEKNUM(DATE(YEAR(datos_siembra[[#This Row],[Date]]),MONTH(datos_siembra[[#This Row],[Date]]),1))+1</f>
        <v>2</v>
      </c>
      <c r="S3045">
        <f>MONTH(datos_siembra[[#This Row],[Date]])</f>
        <v>10</v>
      </c>
      <c r="T3045" t="str" cm="1">
        <f t="array" ref="T3045">_xlfn.IFS(AND(N3045&lt;= 22, S3045=9), "SOWING",AND(N3045&lt;= 28, S3045=9), "COVERAGE",AND(N3045&lt;= 30, S3045=9), "FLUSH",AND(N3045&lt;= 11, S3045=10), "FLUSH",AND(N3045&lt;= 21, S3045=10), "PRODUCTION")</f>
        <v>FLUSH</v>
      </c>
      <c r="U3045">
        <f>HOUR(datos_siembra[[#This Row],[Hour]])</f>
        <v>22</v>
      </c>
      <c r="V3045" cm="1">
        <f t="array" ref="V3045">_xlfn.IFS(AND(N3045&lt;= 22, S3045=9), N3045-7,AND(N3045&lt;= 28, S3045=9), N3045-25,AND(N3045&lt;= 30, S3045=9), N3045-28,AND(N3045&lt;= 11, S3045=10), N3045+2,AND(N3045&lt;= 21, S3045=10), N3045-11)</f>
        <v>9</v>
      </c>
    </row>
    <row r="3046" spans="1:22" x14ac:dyDescent="0.35">
      <c r="A3046" s="4">
        <v>45572</v>
      </c>
      <c r="B3046" s="5">
        <v>0.9406944444444445</v>
      </c>
      <c r="C3046">
        <v>67.099999999999994</v>
      </c>
      <c r="D3046">
        <v>66.900000000000006</v>
      </c>
      <c r="E3046">
        <v>67.900000000000006</v>
      </c>
      <c r="F3046">
        <v>67.2</v>
      </c>
      <c r="G3046">
        <v>0</v>
      </c>
      <c r="H3046">
        <v>0</v>
      </c>
      <c r="I3046">
        <v>0</v>
      </c>
      <c r="J3046">
        <v>0</v>
      </c>
      <c r="K3046">
        <v>64.099999999999994</v>
      </c>
      <c r="L3046">
        <v>64.400000000000006</v>
      </c>
      <c r="M3046">
        <v>67.209999999999994</v>
      </c>
      <c r="N3046">
        <v>7</v>
      </c>
      <c r="O3046">
        <v>6</v>
      </c>
      <c r="P3046">
        <f>MOD(DAY(datos_siembra[[#This Row],[Date]]),7)</f>
        <v>0</v>
      </c>
      <c r="Q3046" t="str">
        <f>CHOOSE(WEEKDAY(datos_siembra[[#This Row],[Date]],2),"L","M","X","J","V","S","D")</f>
        <v>L</v>
      </c>
      <c r="R3046">
        <f>WEEKNUM(datos_siembra[[#This Row],[Date]],2)-WEEKNUM(DATE(YEAR(datos_siembra[[#This Row],[Date]]),MONTH(datos_siembra[[#This Row],[Date]]),1))+1</f>
        <v>2</v>
      </c>
      <c r="S3046">
        <f>MONTH(datos_siembra[[#This Row],[Date]])</f>
        <v>10</v>
      </c>
      <c r="T3046" t="str" cm="1">
        <f t="array" ref="T3046">_xlfn.IFS(AND(N3046&lt;= 22, S3046=9), "SOWING",AND(N3046&lt;= 28, S3046=9), "COVERAGE",AND(N3046&lt;= 30, S3046=9), "FLUSH",AND(N3046&lt;= 11, S3046=10), "FLUSH",AND(N3046&lt;= 21, S3046=10), "PRODUCTION")</f>
        <v>FLUSH</v>
      </c>
      <c r="U3046">
        <f>HOUR(datos_siembra[[#This Row],[Hour]])</f>
        <v>22</v>
      </c>
      <c r="V3046" cm="1">
        <f t="array" ref="V3046">_xlfn.IFS(AND(N3046&lt;= 22, S3046=9), N3046-7,AND(N3046&lt;= 28, S3046=9), N3046-25,AND(N3046&lt;= 30, S3046=9), N3046-28,AND(N3046&lt;= 11, S3046=10), N3046+2,AND(N3046&lt;= 21, S3046=10), N3046-11)</f>
        <v>9</v>
      </c>
    </row>
    <row r="3047" spans="1:22" x14ac:dyDescent="0.35">
      <c r="A3047" s="4">
        <v>45572</v>
      </c>
      <c r="B3047" s="5">
        <v>0.94763888888888892</v>
      </c>
      <c r="C3047">
        <v>67.099999999999994</v>
      </c>
      <c r="D3047">
        <v>67</v>
      </c>
      <c r="E3047">
        <v>67.900000000000006</v>
      </c>
      <c r="F3047">
        <v>67.3</v>
      </c>
      <c r="G3047">
        <v>0</v>
      </c>
      <c r="H3047">
        <v>0</v>
      </c>
      <c r="I3047">
        <v>0</v>
      </c>
      <c r="J3047">
        <v>0</v>
      </c>
      <c r="K3047">
        <v>64.2</v>
      </c>
      <c r="L3047">
        <v>64.400000000000006</v>
      </c>
      <c r="M3047">
        <v>67.319999999999993</v>
      </c>
      <c r="N3047">
        <v>7</v>
      </c>
      <c r="O3047">
        <v>6</v>
      </c>
      <c r="P3047">
        <f>MOD(DAY(datos_siembra[[#This Row],[Date]]),7)</f>
        <v>0</v>
      </c>
      <c r="Q3047" t="str">
        <f>CHOOSE(WEEKDAY(datos_siembra[[#This Row],[Date]],2),"L","M","X","J","V","S","D")</f>
        <v>L</v>
      </c>
      <c r="R3047">
        <f>WEEKNUM(datos_siembra[[#This Row],[Date]],2)-WEEKNUM(DATE(YEAR(datos_siembra[[#This Row],[Date]]),MONTH(datos_siembra[[#This Row],[Date]]),1))+1</f>
        <v>2</v>
      </c>
      <c r="S3047">
        <f>MONTH(datos_siembra[[#This Row],[Date]])</f>
        <v>10</v>
      </c>
      <c r="T3047" t="str" cm="1">
        <f t="array" ref="T3047">_xlfn.IFS(AND(N3047&lt;= 22, S3047=9), "SOWING",AND(N3047&lt;= 28, S3047=9), "COVERAGE",AND(N3047&lt;= 30, S3047=9), "FLUSH",AND(N3047&lt;= 11, S3047=10), "FLUSH",AND(N3047&lt;= 21, S3047=10), "PRODUCTION")</f>
        <v>FLUSH</v>
      </c>
      <c r="U3047">
        <f>HOUR(datos_siembra[[#This Row],[Hour]])</f>
        <v>22</v>
      </c>
      <c r="V3047" cm="1">
        <f t="array" ref="V3047">_xlfn.IFS(AND(N3047&lt;= 22, S3047=9), N3047-7,AND(N3047&lt;= 28, S3047=9), N3047-25,AND(N3047&lt;= 30, S3047=9), N3047-28,AND(N3047&lt;= 11, S3047=10), N3047+2,AND(N3047&lt;= 21, S3047=10), N3047-11)</f>
        <v>9</v>
      </c>
    </row>
    <row r="3048" spans="1:22" x14ac:dyDescent="0.35">
      <c r="A3048" s="4">
        <v>45572</v>
      </c>
      <c r="B3048" s="5">
        <v>0.95458333333333334</v>
      </c>
      <c r="C3048">
        <v>67.099999999999994</v>
      </c>
      <c r="D3048">
        <v>66.900000000000006</v>
      </c>
      <c r="E3048">
        <v>68</v>
      </c>
      <c r="F3048">
        <v>67.099999999999994</v>
      </c>
      <c r="G3048">
        <v>0</v>
      </c>
      <c r="H3048">
        <v>0</v>
      </c>
      <c r="I3048">
        <v>0</v>
      </c>
      <c r="J3048">
        <v>0</v>
      </c>
      <c r="K3048">
        <v>64.2</v>
      </c>
      <c r="L3048">
        <v>64.3</v>
      </c>
      <c r="M3048">
        <v>67.3</v>
      </c>
      <c r="N3048">
        <v>7</v>
      </c>
      <c r="O3048">
        <v>6</v>
      </c>
      <c r="P3048">
        <f>MOD(DAY(datos_siembra[[#This Row],[Date]]),7)</f>
        <v>0</v>
      </c>
      <c r="Q3048" t="str">
        <f>CHOOSE(WEEKDAY(datos_siembra[[#This Row],[Date]],2),"L","M","X","J","V","S","D")</f>
        <v>L</v>
      </c>
      <c r="R3048">
        <f>WEEKNUM(datos_siembra[[#This Row],[Date]],2)-WEEKNUM(DATE(YEAR(datos_siembra[[#This Row],[Date]]),MONTH(datos_siembra[[#This Row],[Date]]),1))+1</f>
        <v>2</v>
      </c>
      <c r="S3048">
        <f>MONTH(datos_siembra[[#This Row],[Date]])</f>
        <v>10</v>
      </c>
      <c r="T3048" t="str" cm="1">
        <f t="array" ref="T3048">_xlfn.IFS(AND(N3048&lt;= 22, S3048=9), "SOWING",AND(N3048&lt;= 28, S3048=9), "COVERAGE",AND(N3048&lt;= 30, S3048=9), "FLUSH",AND(N3048&lt;= 11, S3048=10), "FLUSH",AND(N3048&lt;= 21, S3048=10), "PRODUCTION")</f>
        <v>FLUSH</v>
      </c>
      <c r="U3048">
        <f>HOUR(datos_siembra[[#This Row],[Hour]])</f>
        <v>22</v>
      </c>
      <c r="V3048" cm="1">
        <f t="array" ref="V3048">_xlfn.IFS(AND(N3048&lt;= 22, S3048=9), N3048-7,AND(N3048&lt;= 28, S3048=9), N3048-25,AND(N3048&lt;= 30, S3048=9), N3048-28,AND(N3048&lt;= 11, S3048=10), N3048+2,AND(N3048&lt;= 21, S3048=10), N3048-11)</f>
        <v>9</v>
      </c>
    </row>
    <row r="3049" spans="1:22" x14ac:dyDescent="0.35">
      <c r="A3049" s="4">
        <v>45572</v>
      </c>
      <c r="B3049" s="5">
        <v>0.9615393518518518</v>
      </c>
      <c r="C3049">
        <v>67.2</v>
      </c>
      <c r="D3049">
        <v>66.900000000000006</v>
      </c>
      <c r="E3049">
        <v>67.900000000000006</v>
      </c>
      <c r="F3049">
        <v>67.400000000000006</v>
      </c>
      <c r="G3049">
        <v>0</v>
      </c>
      <c r="H3049">
        <v>0</v>
      </c>
      <c r="I3049">
        <v>0</v>
      </c>
      <c r="J3049">
        <v>0</v>
      </c>
      <c r="K3049">
        <v>64.099999999999994</v>
      </c>
      <c r="L3049">
        <v>64.400000000000006</v>
      </c>
      <c r="M3049">
        <v>67.3</v>
      </c>
      <c r="N3049">
        <v>7</v>
      </c>
      <c r="O3049">
        <v>6</v>
      </c>
      <c r="P3049">
        <f>MOD(DAY(datos_siembra[[#This Row],[Date]]),7)</f>
        <v>0</v>
      </c>
      <c r="Q3049" t="str">
        <f>CHOOSE(WEEKDAY(datos_siembra[[#This Row],[Date]],2),"L","M","X","J","V","S","D")</f>
        <v>L</v>
      </c>
      <c r="R3049">
        <f>WEEKNUM(datos_siembra[[#This Row],[Date]],2)-WEEKNUM(DATE(YEAR(datos_siembra[[#This Row],[Date]]),MONTH(datos_siembra[[#This Row],[Date]]),1))+1</f>
        <v>2</v>
      </c>
      <c r="S3049">
        <f>MONTH(datos_siembra[[#This Row],[Date]])</f>
        <v>10</v>
      </c>
      <c r="T3049" t="str" cm="1">
        <f t="array" ref="T3049">_xlfn.IFS(AND(N3049&lt;= 22, S3049=9), "SOWING",AND(N3049&lt;= 28, S3049=9), "COVERAGE",AND(N3049&lt;= 30, S3049=9), "FLUSH",AND(N3049&lt;= 11, S3049=10), "FLUSH",AND(N3049&lt;= 21, S3049=10), "PRODUCTION")</f>
        <v>FLUSH</v>
      </c>
      <c r="U3049">
        <f>HOUR(datos_siembra[[#This Row],[Hour]])</f>
        <v>23</v>
      </c>
      <c r="V3049" cm="1">
        <f t="array" ref="V3049">_xlfn.IFS(AND(N3049&lt;= 22, S3049=9), N3049-7,AND(N3049&lt;= 28, S3049=9), N3049-25,AND(N3049&lt;= 30, S3049=9), N3049-28,AND(N3049&lt;= 11, S3049=10), N3049+2,AND(N3049&lt;= 21, S3049=10), N3049-11)</f>
        <v>9</v>
      </c>
    </row>
    <row r="3050" spans="1:22" x14ac:dyDescent="0.35">
      <c r="A3050" s="4">
        <v>45572</v>
      </c>
      <c r="B3050" s="5">
        <v>0.96848379629629633</v>
      </c>
      <c r="C3050">
        <v>67.099999999999994</v>
      </c>
      <c r="D3050">
        <v>66.8</v>
      </c>
      <c r="E3050">
        <v>67.900000000000006</v>
      </c>
      <c r="F3050">
        <v>67.3</v>
      </c>
      <c r="G3050">
        <v>0</v>
      </c>
      <c r="H3050">
        <v>0</v>
      </c>
      <c r="I3050">
        <v>0</v>
      </c>
      <c r="J3050">
        <v>0</v>
      </c>
      <c r="K3050">
        <v>64.099999999999994</v>
      </c>
      <c r="L3050">
        <v>64.400000000000006</v>
      </c>
      <c r="M3050">
        <v>67.349999999999994</v>
      </c>
      <c r="N3050">
        <v>7</v>
      </c>
      <c r="O3050">
        <v>6</v>
      </c>
      <c r="P3050">
        <f>MOD(DAY(datos_siembra[[#This Row],[Date]]),7)</f>
        <v>0</v>
      </c>
      <c r="Q3050" t="str">
        <f>CHOOSE(WEEKDAY(datos_siembra[[#This Row],[Date]],2),"L","M","X","J","V","S","D")</f>
        <v>L</v>
      </c>
      <c r="R3050">
        <f>WEEKNUM(datos_siembra[[#This Row],[Date]],2)-WEEKNUM(DATE(YEAR(datos_siembra[[#This Row],[Date]]),MONTH(datos_siembra[[#This Row],[Date]]),1))+1</f>
        <v>2</v>
      </c>
      <c r="S3050">
        <f>MONTH(datos_siembra[[#This Row],[Date]])</f>
        <v>10</v>
      </c>
      <c r="T3050" t="str" cm="1">
        <f t="array" ref="T3050">_xlfn.IFS(AND(N3050&lt;= 22, S3050=9), "SOWING",AND(N3050&lt;= 28, S3050=9), "COVERAGE",AND(N3050&lt;= 30, S3050=9), "FLUSH",AND(N3050&lt;= 11, S3050=10), "FLUSH",AND(N3050&lt;= 21, S3050=10), "PRODUCTION")</f>
        <v>FLUSH</v>
      </c>
      <c r="U3050">
        <f>HOUR(datos_siembra[[#This Row],[Hour]])</f>
        <v>23</v>
      </c>
      <c r="V3050" cm="1">
        <f t="array" ref="V3050">_xlfn.IFS(AND(N3050&lt;= 22, S3050=9), N3050-7,AND(N3050&lt;= 28, S3050=9), N3050-25,AND(N3050&lt;= 30, S3050=9), N3050-28,AND(N3050&lt;= 11, S3050=10), N3050+2,AND(N3050&lt;= 21, S3050=10), N3050-11)</f>
        <v>9</v>
      </c>
    </row>
    <row r="3051" spans="1:22" x14ac:dyDescent="0.35">
      <c r="A3051" s="4">
        <v>45572</v>
      </c>
      <c r="B3051" s="5">
        <v>0.97542824074074075</v>
      </c>
      <c r="C3051">
        <v>67.3</v>
      </c>
      <c r="D3051">
        <v>66.900000000000006</v>
      </c>
      <c r="E3051">
        <v>67.900000000000006</v>
      </c>
      <c r="F3051">
        <v>67.2</v>
      </c>
      <c r="G3051">
        <v>0</v>
      </c>
      <c r="H3051">
        <v>0</v>
      </c>
      <c r="I3051">
        <v>0</v>
      </c>
      <c r="J3051">
        <v>0</v>
      </c>
      <c r="K3051">
        <v>64.099999999999994</v>
      </c>
      <c r="L3051">
        <v>64.400000000000006</v>
      </c>
      <c r="M3051">
        <v>67.38</v>
      </c>
      <c r="N3051">
        <v>7</v>
      </c>
      <c r="O3051">
        <v>6</v>
      </c>
      <c r="P3051">
        <f>MOD(DAY(datos_siembra[[#This Row],[Date]]),7)</f>
        <v>0</v>
      </c>
      <c r="Q3051" t="str">
        <f>CHOOSE(WEEKDAY(datos_siembra[[#This Row],[Date]],2),"L","M","X","J","V","S","D")</f>
        <v>L</v>
      </c>
      <c r="R3051">
        <f>WEEKNUM(datos_siembra[[#This Row],[Date]],2)-WEEKNUM(DATE(YEAR(datos_siembra[[#This Row],[Date]]),MONTH(datos_siembra[[#This Row],[Date]]),1))+1</f>
        <v>2</v>
      </c>
      <c r="S3051">
        <f>MONTH(datos_siembra[[#This Row],[Date]])</f>
        <v>10</v>
      </c>
      <c r="T3051" t="str" cm="1">
        <f t="array" ref="T3051">_xlfn.IFS(AND(N3051&lt;= 22, S3051=9), "SOWING",AND(N3051&lt;= 28, S3051=9), "COVERAGE",AND(N3051&lt;= 30, S3051=9), "FLUSH",AND(N3051&lt;= 11, S3051=10), "FLUSH",AND(N3051&lt;= 21, S3051=10), "PRODUCTION")</f>
        <v>FLUSH</v>
      </c>
      <c r="U3051">
        <f>HOUR(datos_siembra[[#This Row],[Hour]])</f>
        <v>23</v>
      </c>
      <c r="V3051" cm="1">
        <f t="array" ref="V3051">_xlfn.IFS(AND(N3051&lt;= 22, S3051=9), N3051-7,AND(N3051&lt;= 28, S3051=9), N3051-25,AND(N3051&lt;= 30, S3051=9), N3051-28,AND(N3051&lt;= 11, S3051=10), N3051+2,AND(N3051&lt;= 21, S3051=10), N3051-11)</f>
        <v>9</v>
      </c>
    </row>
    <row r="3052" spans="1:22" x14ac:dyDescent="0.35">
      <c r="A3052" s="4">
        <v>45572</v>
      </c>
      <c r="B3052" s="5">
        <v>0.98238425925925921</v>
      </c>
      <c r="C3052">
        <v>67.099999999999994</v>
      </c>
      <c r="D3052">
        <v>67</v>
      </c>
      <c r="E3052">
        <v>67.900000000000006</v>
      </c>
      <c r="F3052">
        <v>67.400000000000006</v>
      </c>
      <c r="G3052">
        <v>0</v>
      </c>
      <c r="H3052">
        <v>0</v>
      </c>
      <c r="I3052">
        <v>0</v>
      </c>
      <c r="J3052">
        <v>0</v>
      </c>
      <c r="K3052">
        <v>64.099999999999994</v>
      </c>
      <c r="L3052">
        <v>64.3</v>
      </c>
      <c r="M3052">
        <v>67.41</v>
      </c>
      <c r="N3052">
        <v>7</v>
      </c>
      <c r="O3052">
        <v>6</v>
      </c>
      <c r="P3052">
        <f>MOD(DAY(datos_siembra[[#This Row],[Date]]),7)</f>
        <v>0</v>
      </c>
      <c r="Q3052" t="str">
        <f>CHOOSE(WEEKDAY(datos_siembra[[#This Row],[Date]],2),"L","M","X","J","V","S","D")</f>
        <v>L</v>
      </c>
      <c r="R3052">
        <f>WEEKNUM(datos_siembra[[#This Row],[Date]],2)-WEEKNUM(DATE(YEAR(datos_siembra[[#This Row],[Date]]),MONTH(datos_siembra[[#This Row],[Date]]),1))+1</f>
        <v>2</v>
      </c>
      <c r="S3052">
        <f>MONTH(datos_siembra[[#This Row],[Date]])</f>
        <v>10</v>
      </c>
      <c r="T3052" t="str" cm="1">
        <f t="array" ref="T3052">_xlfn.IFS(AND(N3052&lt;= 22, S3052=9), "SOWING",AND(N3052&lt;= 28, S3052=9), "COVERAGE",AND(N3052&lt;= 30, S3052=9), "FLUSH",AND(N3052&lt;= 11, S3052=10), "FLUSH",AND(N3052&lt;= 21, S3052=10), "PRODUCTION")</f>
        <v>FLUSH</v>
      </c>
      <c r="U3052">
        <f>HOUR(datos_siembra[[#This Row],[Hour]])</f>
        <v>23</v>
      </c>
      <c r="V3052" cm="1">
        <f t="array" ref="V3052">_xlfn.IFS(AND(N3052&lt;= 22, S3052=9), N3052-7,AND(N3052&lt;= 28, S3052=9), N3052-25,AND(N3052&lt;= 30, S3052=9), N3052-28,AND(N3052&lt;= 11, S3052=10), N3052+2,AND(N3052&lt;= 21, S3052=10), N3052-11)</f>
        <v>9</v>
      </c>
    </row>
    <row r="3053" spans="1:22" x14ac:dyDescent="0.35">
      <c r="A3053" s="4">
        <v>45572</v>
      </c>
      <c r="B3053" s="5">
        <v>0.98932870370370374</v>
      </c>
      <c r="C3053">
        <v>67.099999999999994</v>
      </c>
      <c r="D3053">
        <v>66.900000000000006</v>
      </c>
      <c r="E3053">
        <v>68</v>
      </c>
      <c r="F3053">
        <v>67.599999999999994</v>
      </c>
      <c r="G3053">
        <v>0</v>
      </c>
      <c r="H3053">
        <v>0</v>
      </c>
      <c r="I3053">
        <v>0</v>
      </c>
      <c r="J3053">
        <v>0</v>
      </c>
      <c r="K3053">
        <v>64.099999999999994</v>
      </c>
      <c r="L3053">
        <v>64.400000000000006</v>
      </c>
      <c r="M3053">
        <v>67.349999999999994</v>
      </c>
      <c r="N3053">
        <v>7</v>
      </c>
      <c r="O3053">
        <v>6</v>
      </c>
      <c r="P3053">
        <f>MOD(DAY(datos_siembra[[#This Row],[Date]]),7)</f>
        <v>0</v>
      </c>
      <c r="Q3053" t="str">
        <f>CHOOSE(WEEKDAY(datos_siembra[[#This Row],[Date]],2),"L","M","X","J","V","S","D")</f>
        <v>L</v>
      </c>
      <c r="R3053">
        <f>WEEKNUM(datos_siembra[[#This Row],[Date]],2)-WEEKNUM(DATE(YEAR(datos_siembra[[#This Row],[Date]]),MONTH(datos_siembra[[#This Row],[Date]]),1))+1</f>
        <v>2</v>
      </c>
      <c r="S3053">
        <f>MONTH(datos_siembra[[#This Row],[Date]])</f>
        <v>10</v>
      </c>
      <c r="T3053" t="str" cm="1">
        <f t="array" ref="T3053">_xlfn.IFS(AND(N3053&lt;= 22, S3053=9), "SOWING",AND(N3053&lt;= 28, S3053=9), "COVERAGE",AND(N3053&lt;= 30, S3053=9), "FLUSH",AND(N3053&lt;= 11, S3053=10), "FLUSH",AND(N3053&lt;= 21, S3053=10), "PRODUCTION")</f>
        <v>FLUSH</v>
      </c>
      <c r="U3053">
        <f>HOUR(datos_siembra[[#This Row],[Hour]])</f>
        <v>23</v>
      </c>
      <c r="V3053" cm="1">
        <f t="array" ref="V3053">_xlfn.IFS(AND(N3053&lt;= 22, S3053=9), N3053-7,AND(N3053&lt;= 28, S3053=9), N3053-25,AND(N3053&lt;= 30, S3053=9), N3053-28,AND(N3053&lt;= 11, S3053=10), N3053+2,AND(N3053&lt;= 21, S3053=10), N3053-11)</f>
        <v>9</v>
      </c>
    </row>
    <row r="3054" spans="1:22" x14ac:dyDescent="0.35">
      <c r="A3054" s="4">
        <v>45572</v>
      </c>
      <c r="B3054" s="5">
        <v>0.99627314814814816</v>
      </c>
      <c r="C3054">
        <v>67.3</v>
      </c>
      <c r="D3054">
        <v>67</v>
      </c>
      <c r="E3054">
        <v>68.099999999999994</v>
      </c>
      <c r="F3054">
        <v>67.3</v>
      </c>
      <c r="G3054">
        <v>0</v>
      </c>
      <c r="H3054">
        <v>0</v>
      </c>
      <c r="I3054">
        <v>0</v>
      </c>
      <c r="J3054">
        <v>0</v>
      </c>
      <c r="K3054">
        <v>63.9</v>
      </c>
      <c r="L3054">
        <v>64.3</v>
      </c>
      <c r="M3054">
        <v>67.38</v>
      </c>
      <c r="N3054">
        <v>7</v>
      </c>
      <c r="O3054">
        <v>6</v>
      </c>
      <c r="P3054">
        <f>MOD(DAY(datos_siembra[[#This Row],[Date]]),7)</f>
        <v>0</v>
      </c>
      <c r="Q3054" t="str">
        <f>CHOOSE(WEEKDAY(datos_siembra[[#This Row],[Date]],2),"L","M","X","J","V","S","D")</f>
        <v>L</v>
      </c>
      <c r="R3054">
        <f>WEEKNUM(datos_siembra[[#This Row],[Date]],2)-WEEKNUM(DATE(YEAR(datos_siembra[[#This Row],[Date]]),MONTH(datos_siembra[[#This Row],[Date]]),1))+1</f>
        <v>2</v>
      </c>
      <c r="S3054">
        <f>MONTH(datos_siembra[[#This Row],[Date]])</f>
        <v>10</v>
      </c>
      <c r="T3054" t="str" cm="1">
        <f t="array" ref="T3054">_xlfn.IFS(AND(N3054&lt;= 22, S3054=9), "SOWING",AND(N3054&lt;= 28, S3054=9), "COVERAGE",AND(N3054&lt;= 30, S3054=9), "FLUSH",AND(N3054&lt;= 11, S3054=10), "FLUSH",AND(N3054&lt;= 21, S3054=10), "PRODUCTION")</f>
        <v>FLUSH</v>
      </c>
      <c r="U3054">
        <f>HOUR(datos_siembra[[#This Row],[Hour]])</f>
        <v>23</v>
      </c>
      <c r="V3054" cm="1">
        <f t="array" ref="V3054">_xlfn.IFS(AND(N3054&lt;= 22, S3054=9), N3054-7,AND(N3054&lt;= 28, S3054=9), N3054-25,AND(N3054&lt;= 30, S3054=9), N3054-28,AND(N3054&lt;= 11, S3054=10), N3054+2,AND(N3054&lt;= 21, S3054=10), N3054-11)</f>
        <v>9</v>
      </c>
    </row>
    <row r="3055" spans="1:22" x14ac:dyDescent="0.35">
      <c r="A3055" s="4">
        <v>45573</v>
      </c>
      <c r="B3055" s="5">
        <v>3.2175925925925926E-3</v>
      </c>
      <c r="C3055">
        <v>67.2</v>
      </c>
      <c r="D3055">
        <v>67</v>
      </c>
      <c r="E3055">
        <v>67.900000000000006</v>
      </c>
      <c r="F3055">
        <v>67.400000000000006</v>
      </c>
      <c r="G3055">
        <v>0</v>
      </c>
      <c r="H3055">
        <v>0</v>
      </c>
      <c r="I3055">
        <v>0</v>
      </c>
      <c r="J3055">
        <v>0</v>
      </c>
      <c r="K3055">
        <v>64.2</v>
      </c>
      <c r="L3055">
        <v>64.400000000000006</v>
      </c>
      <c r="M3055">
        <v>67.38</v>
      </c>
      <c r="N3055">
        <v>8</v>
      </c>
      <c r="O3055">
        <v>7</v>
      </c>
      <c r="P3055">
        <f>MOD(DAY(datos_siembra[[#This Row],[Date]]),7)</f>
        <v>1</v>
      </c>
      <c r="Q3055" t="str">
        <f>CHOOSE(WEEKDAY(datos_siembra[[#This Row],[Date]],2),"L","M","X","J","V","S","D")</f>
        <v>M</v>
      </c>
      <c r="R3055">
        <f>WEEKNUM(datos_siembra[[#This Row],[Date]],2)-WEEKNUM(DATE(YEAR(datos_siembra[[#This Row],[Date]]),MONTH(datos_siembra[[#This Row],[Date]]),1))+1</f>
        <v>2</v>
      </c>
      <c r="S3055">
        <f>MONTH(datos_siembra[[#This Row],[Date]])</f>
        <v>10</v>
      </c>
      <c r="T3055" t="str" cm="1">
        <f t="array" ref="T3055">_xlfn.IFS(AND(N3055&lt;= 22, S3055=9), "SOWING",AND(N3055&lt;= 28, S3055=9), "COVERAGE",AND(N3055&lt;= 30, S3055=9), "FLUSH",AND(N3055&lt;= 11, S3055=10), "FLUSH",AND(N3055&lt;= 21, S3055=10), "PRODUCTION")</f>
        <v>FLUSH</v>
      </c>
      <c r="U3055">
        <f>HOUR(datos_siembra[[#This Row],[Hour]])</f>
        <v>0</v>
      </c>
      <c r="V3055" cm="1">
        <f t="array" ref="V3055">_xlfn.IFS(AND(N3055&lt;= 22, S3055=9), N3055-7,AND(N3055&lt;= 28, S3055=9), N3055-25,AND(N3055&lt;= 30, S3055=9), N3055-28,AND(N3055&lt;= 11, S3055=10), N3055+2,AND(N3055&lt;= 21, S3055=10), N3055-11)</f>
        <v>10</v>
      </c>
    </row>
    <row r="3056" spans="1:22" x14ac:dyDescent="0.35">
      <c r="A3056" s="4">
        <v>45573</v>
      </c>
      <c r="B3056" s="5">
        <v>1.0173611111111111E-2</v>
      </c>
      <c r="C3056">
        <v>67.099999999999994</v>
      </c>
      <c r="D3056">
        <v>67</v>
      </c>
      <c r="E3056">
        <v>67.900000000000006</v>
      </c>
      <c r="F3056">
        <v>67.2</v>
      </c>
      <c r="G3056">
        <v>0</v>
      </c>
      <c r="H3056">
        <v>0</v>
      </c>
      <c r="I3056">
        <v>0</v>
      </c>
      <c r="J3056">
        <v>0</v>
      </c>
      <c r="K3056">
        <v>63.9</v>
      </c>
      <c r="L3056">
        <v>64.2</v>
      </c>
      <c r="M3056">
        <v>67.41</v>
      </c>
      <c r="N3056">
        <v>8</v>
      </c>
      <c r="O3056">
        <v>7</v>
      </c>
      <c r="P3056">
        <f>MOD(DAY(datos_siembra[[#This Row],[Date]]),7)</f>
        <v>1</v>
      </c>
      <c r="Q3056" t="str">
        <f>CHOOSE(WEEKDAY(datos_siembra[[#This Row],[Date]],2),"L","M","X","J","V","S","D")</f>
        <v>M</v>
      </c>
      <c r="R3056">
        <f>WEEKNUM(datos_siembra[[#This Row],[Date]],2)-WEEKNUM(DATE(YEAR(datos_siembra[[#This Row],[Date]]),MONTH(datos_siembra[[#This Row],[Date]]),1))+1</f>
        <v>2</v>
      </c>
      <c r="S3056">
        <f>MONTH(datos_siembra[[#This Row],[Date]])</f>
        <v>10</v>
      </c>
      <c r="T3056" t="str" cm="1">
        <f t="array" ref="T3056">_xlfn.IFS(AND(N3056&lt;= 22, S3056=9), "SOWING",AND(N3056&lt;= 28, S3056=9), "COVERAGE",AND(N3056&lt;= 30, S3056=9), "FLUSH",AND(N3056&lt;= 11, S3056=10), "FLUSH",AND(N3056&lt;= 21, S3056=10), "PRODUCTION")</f>
        <v>FLUSH</v>
      </c>
      <c r="U3056">
        <f>HOUR(datos_siembra[[#This Row],[Hour]])</f>
        <v>0</v>
      </c>
      <c r="V3056" cm="1">
        <f t="array" ref="V3056">_xlfn.IFS(AND(N3056&lt;= 22, S3056=9), N3056-7,AND(N3056&lt;= 28, S3056=9), N3056-25,AND(N3056&lt;= 30, S3056=9), N3056-28,AND(N3056&lt;= 11, S3056=10), N3056+2,AND(N3056&lt;= 21, S3056=10), N3056-11)</f>
        <v>10</v>
      </c>
    </row>
    <row r="3057" spans="1:22" x14ac:dyDescent="0.35">
      <c r="A3057" s="4">
        <v>45573</v>
      </c>
      <c r="B3057" s="5">
        <v>1.7118055555555556E-2</v>
      </c>
      <c r="C3057">
        <v>67.2</v>
      </c>
      <c r="D3057">
        <v>66.900000000000006</v>
      </c>
      <c r="E3057">
        <v>68</v>
      </c>
      <c r="F3057">
        <v>67.3</v>
      </c>
      <c r="G3057">
        <v>0</v>
      </c>
      <c r="H3057">
        <v>0</v>
      </c>
      <c r="I3057">
        <v>0</v>
      </c>
      <c r="J3057">
        <v>0</v>
      </c>
      <c r="K3057">
        <v>63.9</v>
      </c>
      <c r="L3057">
        <v>64.3</v>
      </c>
      <c r="M3057">
        <v>67.349999999999994</v>
      </c>
      <c r="N3057">
        <v>8</v>
      </c>
      <c r="O3057">
        <v>7</v>
      </c>
      <c r="P3057">
        <f>MOD(DAY(datos_siembra[[#This Row],[Date]]),7)</f>
        <v>1</v>
      </c>
      <c r="Q3057" t="str">
        <f>CHOOSE(WEEKDAY(datos_siembra[[#This Row],[Date]],2),"L","M","X","J","V","S","D")</f>
        <v>M</v>
      </c>
      <c r="R3057">
        <f>WEEKNUM(datos_siembra[[#This Row],[Date]],2)-WEEKNUM(DATE(YEAR(datos_siembra[[#This Row],[Date]]),MONTH(datos_siembra[[#This Row],[Date]]),1))+1</f>
        <v>2</v>
      </c>
      <c r="S3057">
        <f>MONTH(datos_siembra[[#This Row],[Date]])</f>
        <v>10</v>
      </c>
      <c r="T3057" t="str" cm="1">
        <f t="array" ref="T3057">_xlfn.IFS(AND(N3057&lt;= 22, S3057=9), "SOWING",AND(N3057&lt;= 28, S3057=9), "COVERAGE",AND(N3057&lt;= 30, S3057=9), "FLUSH",AND(N3057&lt;= 11, S3057=10), "FLUSH",AND(N3057&lt;= 21, S3057=10), "PRODUCTION")</f>
        <v>FLUSH</v>
      </c>
      <c r="U3057">
        <f>HOUR(datos_siembra[[#This Row],[Hour]])</f>
        <v>0</v>
      </c>
      <c r="V3057" cm="1">
        <f t="array" ref="V3057">_xlfn.IFS(AND(N3057&lt;= 22, S3057=9), N3057-7,AND(N3057&lt;= 28, S3057=9), N3057-25,AND(N3057&lt;= 30, S3057=9), N3057-28,AND(N3057&lt;= 11, S3057=10), N3057+2,AND(N3057&lt;= 21, S3057=10), N3057-11)</f>
        <v>10</v>
      </c>
    </row>
    <row r="3058" spans="1:22" x14ac:dyDescent="0.35">
      <c r="A3058" s="4">
        <v>45573</v>
      </c>
      <c r="B3058" s="5">
        <v>2.4062500000000001E-2</v>
      </c>
      <c r="C3058">
        <v>67.099999999999994</v>
      </c>
      <c r="D3058">
        <v>67</v>
      </c>
      <c r="E3058">
        <v>68</v>
      </c>
      <c r="F3058">
        <v>67.400000000000006</v>
      </c>
      <c r="G3058">
        <v>0</v>
      </c>
      <c r="H3058">
        <v>0</v>
      </c>
      <c r="I3058">
        <v>0</v>
      </c>
      <c r="J3058">
        <v>0</v>
      </c>
      <c r="K3058">
        <v>63.9</v>
      </c>
      <c r="L3058">
        <v>64.2</v>
      </c>
      <c r="M3058">
        <v>67.44</v>
      </c>
      <c r="N3058">
        <v>8</v>
      </c>
      <c r="O3058">
        <v>7</v>
      </c>
      <c r="P3058">
        <f>MOD(DAY(datos_siembra[[#This Row],[Date]]),7)</f>
        <v>1</v>
      </c>
      <c r="Q3058" t="str">
        <f>CHOOSE(WEEKDAY(datos_siembra[[#This Row],[Date]],2),"L","M","X","J","V","S","D")</f>
        <v>M</v>
      </c>
      <c r="R3058">
        <f>WEEKNUM(datos_siembra[[#This Row],[Date]],2)-WEEKNUM(DATE(YEAR(datos_siembra[[#This Row],[Date]]),MONTH(datos_siembra[[#This Row],[Date]]),1))+1</f>
        <v>2</v>
      </c>
      <c r="S3058">
        <f>MONTH(datos_siembra[[#This Row],[Date]])</f>
        <v>10</v>
      </c>
      <c r="T3058" t="str" cm="1">
        <f t="array" ref="T3058">_xlfn.IFS(AND(N3058&lt;= 22, S3058=9), "SOWING",AND(N3058&lt;= 28, S3058=9), "COVERAGE",AND(N3058&lt;= 30, S3058=9), "FLUSH",AND(N3058&lt;= 11, S3058=10), "FLUSH",AND(N3058&lt;= 21, S3058=10), "PRODUCTION")</f>
        <v>FLUSH</v>
      </c>
      <c r="U3058">
        <f>HOUR(datos_siembra[[#This Row],[Hour]])</f>
        <v>0</v>
      </c>
      <c r="V3058" cm="1">
        <f t="array" ref="V3058">_xlfn.IFS(AND(N3058&lt;= 22, S3058=9), N3058-7,AND(N3058&lt;= 28, S3058=9), N3058-25,AND(N3058&lt;= 30, S3058=9), N3058-28,AND(N3058&lt;= 11, S3058=10), N3058+2,AND(N3058&lt;= 21, S3058=10), N3058-11)</f>
        <v>10</v>
      </c>
    </row>
    <row r="3059" spans="1:22" x14ac:dyDescent="0.35">
      <c r="A3059" s="4">
        <v>45573</v>
      </c>
      <c r="B3059" s="5">
        <v>3.1018518518518518E-2</v>
      </c>
      <c r="C3059">
        <v>67.099999999999994</v>
      </c>
      <c r="D3059">
        <v>67</v>
      </c>
      <c r="E3059">
        <v>68.099999999999994</v>
      </c>
      <c r="F3059">
        <v>67.599999999999994</v>
      </c>
      <c r="G3059">
        <v>0</v>
      </c>
      <c r="H3059">
        <v>0</v>
      </c>
      <c r="I3059">
        <v>0</v>
      </c>
      <c r="J3059">
        <v>0</v>
      </c>
      <c r="K3059">
        <v>63.8</v>
      </c>
      <c r="L3059">
        <v>64.2</v>
      </c>
      <c r="M3059">
        <v>67.41</v>
      </c>
      <c r="N3059">
        <v>8</v>
      </c>
      <c r="O3059">
        <v>7</v>
      </c>
      <c r="P3059">
        <f>MOD(DAY(datos_siembra[[#This Row],[Date]]),7)</f>
        <v>1</v>
      </c>
      <c r="Q3059" t="str">
        <f>CHOOSE(WEEKDAY(datos_siembra[[#This Row],[Date]],2),"L","M","X","J","V","S","D")</f>
        <v>M</v>
      </c>
      <c r="R3059">
        <f>WEEKNUM(datos_siembra[[#This Row],[Date]],2)-WEEKNUM(DATE(YEAR(datos_siembra[[#This Row],[Date]]),MONTH(datos_siembra[[#This Row],[Date]]),1))+1</f>
        <v>2</v>
      </c>
      <c r="S3059">
        <f>MONTH(datos_siembra[[#This Row],[Date]])</f>
        <v>10</v>
      </c>
      <c r="T3059" t="str" cm="1">
        <f t="array" ref="T3059">_xlfn.IFS(AND(N3059&lt;= 22, S3059=9), "SOWING",AND(N3059&lt;= 28, S3059=9), "COVERAGE",AND(N3059&lt;= 30, S3059=9), "FLUSH",AND(N3059&lt;= 11, S3059=10), "FLUSH",AND(N3059&lt;= 21, S3059=10), "PRODUCTION")</f>
        <v>FLUSH</v>
      </c>
      <c r="U3059">
        <f>HOUR(datos_siembra[[#This Row],[Hour]])</f>
        <v>0</v>
      </c>
      <c r="V3059" cm="1">
        <f t="array" ref="V3059">_xlfn.IFS(AND(N3059&lt;= 22, S3059=9), N3059-7,AND(N3059&lt;= 28, S3059=9), N3059-25,AND(N3059&lt;= 30, S3059=9), N3059-28,AND(N3059&lt;= 11, S3059=10), N3059+2,AND(N3059&lt;= 21, S3059=10), N3059-11)</f>
        <v>10</v>
      </c>
    </row>
    <row r="3060" spans="1:22" x14ac:dyDescent="0.35">
      <c r="A3060" s="4">
        <v>45573</v>
      </c>
      <c r="B3060" s="5">
        <v>3.7962962962962962E-2</v>
      </c>
      <c r="C3060">
        <v>67.099999999999994</v>
      </c>
      <c r="D3060">
        <v>67</v>
      </c>
      <c r="E3060">
        <v>67.900000000000006</v>
      </c>
      <c r="F3060">
        <v>67.599999999999994</v>
      </c>
      <c r="G3060">
        <v>0</v>
      </c>
      <c r="H3060">
        <v>0</v>
      </c>
      <c r="I3060">
        <v>0</v>
      </c>
      <c r="J3060">
        <v>0</v>
      </c>
      <c r="K3060">
        <v>63.8</v>
      </c>
      <c r="L3060">
        <v>64.099999999999994</v>
      </c>
      <c r="M3060">
        <v>67.38</v>
      </c>
      <c r="N3060">
        <v>8</v>
      </c>
      <c r="O3060">
        <v>7</v>
      </c>
      <c r="P3060">
        <f>MOD(DAY(datos_siembra[[#This Row],[Date]]),7)</f>
        <v>1</v>
      </c>
      <c r="Q3060" t="str">
        <f>CHOOSE(WEEKDAY(datos_siembra[[#This Row],[Date]],2),"L","M","X","J","V","S","D")</f>
        <v>M</v>
      </c>
      <c r="R3060">
        <f>WEEKNUM(datos_siembra[[#This Row],[Date]],2)-WEEKNUM(DATE(YEAR(datos_siembra[[#This Row],[Date]]),MONTH(datos_siembra[[#This Row],[Date]]),1))+1</f>
        <v>2</v>
      </c>
      <c r="S3060">
        <f>MONTH(datos_siembra[[#This Row],[Date]])</f>
        <v>10</v>
      </c>
      <c r="T3060" t="str" cm="1">
        <f t="array" ref="T3060">_xlfn.IFS(AND(N3060&lt;= 22, S3060=9), "SOWING",AND(N3060&lt;= 28, S3060=9), "COVERAGE",AND(N3060&lt;= 30, S3060=9), "FLUSH",AND(N3060&lt;= 11, S3060=10), "FLUSH",AND(N3060&lt;= 21, S3060=10), "PRODUCTION")</f>
        <v>FLUSH</v>
      </c>
      <c r="U3060">
        <f>HOUR(datos_siembra[[#This Row],[Hour]])</f>
        <v>0</v>
      </c>
      <c r="V3060" cm="1">
        <f t="array" ref="V3060">_xlfn.IFS(AND(N3060&lt;= 22, S3060=9), N3060-7,AND(N3060&lt;= 28, S3060=9), N3060-25,AND(N3060&lt;= 30, S3060=9), N3060-28,AND(N3060&lt;= 11, S3060=10), N3060+2,AND(N3060&lt;= 21, S3060=10), N3060-11)</f>
        <v>10</v>
      </c>
    </row>
    <row r="3061" spans="1:22" x14ac:dyDescent="0.35">
      <c r="A3061" s="4">
        <v>45573</v>
      </c>
      <c r="B3061" s="5">
        <v>4.490740740740741E-2</v>
      </c>
      <c r="C3061">
        <v>67.099999999999994</v>
      </c>
      <c r="D3061">
        <v>67</v>
      </c>
      <c r="E3061">
        <v>68</v>
      </c>
      <c r="F3061">
        <v>67.3</v>
      </c>
      <c r="G3061">
        <v>0</v>
      </c>
      <c r="H3061">
        <v>0</v>
      </c>
      <c r="I3061">
        <v>0</v>
      </c>
      <c r="J3061">
        <v>0</v>
      </c>
      <c r="K3061">
        <v>63.8</v>
      </c>
      <c r="L3061">
        <v>64.099999999999994</v>
      </c>
      <c r="M3061">
        <v>67.41</v>
      </c>
      <c r="N3061">
        <v>8</v>
      </c>
      <c r="O3061">
        <v>7</v>
      </c>
      <c r="P3061">
        <f>MOD(DAY(datos_siembra[[#This Row],[Date]]),7)</f>
        <v>1</v>
      </c>
      <c r="Q3061" t="str">
        <f>CHOOSE(WEEKDAY(datos_siembra[[#This Row],[Date]],2),"L","M","X","J","V","S","D")</f>
        <v>M</v>
      </c>
      <c r="R3061">
        <f>WEEKNUM(datos_siembra[[#This Row],[Date]],2)-WEEKNUM(DATE(YEAR(datos_siembra[[#This Row],[Date]]),MONTH(datos_siembra[[#This Row],[Date]]),1))+1</f>
        <v>2</v>
      </c>
      <c r="S3061">
        <f>MONTH(datos_siembra[[#This Row],[Date]])</f>
        <v>10</v>
      </c>
      <c r="T3061" t="str" cm="1">
        <f t="array" ref="T3061">_xlfn.IFS(AND(N3061&lt;= 22, S3061=9), "SOWING",AND(N3061&lt;= 28, S3061=9), "COVERAGE",AND(N3061&lt;= 30, S3061=9), "FLUSH",AND(N3061&lt;= 11, S3061=10), "FLUSH",AND(N3061&lt;= 21, S3061=10), "PRODUCTION")</f>
        <v>FLUSH</v>
      </c>
      <c r="U3061">
        <f>HOUR(datos_siembra[[#This Row],[Hour]])</f>
        <v>1</v>
      </c>
      <c r="V3061" cm="1">
        <f t="array" ref="V3061">_xlfn.IFS(AND(N3061&lt;= 22, S3061=9), N3061-7,AND(N3061&lt;= 28, S3061=9), N3061-25,AND(N3061&lt;= 30, S3061=9), N3061-28,AND(N3061&lt;= 11, S3061=10), N3061+2,AND(N3061&lt;= 21, S3061=10), N3061-11)</f>
        <v>10</v>
      </c>
    </row>
    <row r="3062" spans="1:22" x14ac:dyDescent="0.35">
      <c r="A3062" s="4">
        <v>45573</v>
      </c>
      <c r="B3062" s="5">
        <v>5.185185185185185E-2</v>
      </c>
      <c r="C3062">
        <v>67.099999999999994</v>
      </c>
      <c r="D3062">
        <v>66.900000000000006</v>
      </c>
      <c r="E3062">
        <v>68</v>
      </c>
      <c r="F3062">
        <v>67.400000000000006</v>
      </c>
      <c r="G3062">
        <v>0</v>
      </c>
      <c r="H3062">
        <v>0</v>
      </c>
      <c r="I3062">
        <v>0</v>
      </c>
      <c r="J3062">
        <v>0</v>
      </c>
      <c r="K3062">
        <v>63.8</v>
      </c>
      <c r="L3062">
        <v>64.2</v>
      </c>
      <c r="M3062">
        <v>67.41</v>
      </c>
      <c r="N3062">
        <v>8</v>
      </c>
      <c r="O3062">
        <v>7</v>
      </c>
      <c r="P3062">
        <f>MOD(DAY(datos_siembra[[#This Row],[Date]]),7)</f>
        <v>1</v>
      </c>
      <c r="Q3062" t="str">
        <f>CHOOSE(WEEKDAY(datos_siembra[[#This Row],[Date]],2),"L","M","X","J","V","S","D")</f>
        <v>M</v>
      </c>
      <c r="R3062">
        <f>WEEKNUM(datos_siembra[[#This Row],[Date]],2)-WEEKNUM(DATE(YEAR(datos_siembra[[#This Row],[Date]]),MONTH(datos_siembra[[#This Row],[Date]]),1))+1</f>
        <v>2</v>
      </c>
      <c r="S3062">
        <f>MONTH(datos_siembra[[#This Row],[Date]])</f>
        <v>10</v>
      </c>
      <c r="T3062" t="str" cm="1">
        <f t="array" ref="T3062">_xlfn.IFS(AND(N3062&lt;= 22, S3062=9), "SOWING",AND(N3062&lt;= 28, S3062=9), "COVERAGE",AND(N3062&lt;= 30, S3062=9), "FLUSH",AND(N3062&lt;= 11, S3062=10), "FLUSH",AND(N3062&lt;= 21, S3062=10), "PRODUCTION")</f>
        <v>FLUSH</v>
      </c>
      <c r="U3062">
        <f>HOUR(datos_siembra[[#This Row],[Hour]])</f>
        <v>1</v>
      </c>
      <c r="V3062" cm="1">
        <f t="array" ref="V3062">_xlfn.IFS(AND(N3062&lt;= 22, S3062=9), N3062-7,AND(N3062&lt;= 28, S3062=9), N3062-25,AND(N3062&lt;= 30, S3062=9), N3062-28,AND(N3062&lt;= 11, S3062=10), N3062+2,AND(N3062&lt;= 21, S3062=10), N3062-11)</f>
        <v>10</v>
      </c>
    </row>
    <row r="3063" spans="1:22" x14ac:dyDescent="0.35">
      <c r="A3063" s="4">
        <v>45573</v>
      </c>
      <c r="B3063" s="5">
        <v>5.8807870370370371E-2</v>
      </c>
      <c r="C3063">
        <v>67.2</v>
      </c>
      <c r="D3063">
        <v>66.900000000000006</v>
      </c>
      <c r="E3063">
        <v>68.099999999999994</v>
      </c>
      <c r="F3063">
        <v>67.400000000000006</v>
      </c>
      <c r="G3063">
        <v>0</v>
      </c>
      <c r="H3063">
        <v>0</v>
      </c>
      <c r="I3063">
        <v>0</v>
      </c>
      <c r="J3063">
        <v>0</v>
      </c>
      <c r="K3063">
        <v>63.7</v>
      </c>
      <c r="L3063">
        <v>63.9</v>
      </c>
      <c r="M3063">
        <v>67.38</v>
      </c>
      <c r="N3063">
        <v>8</v>
      </c>
      <c r="O3063">
        <v>7</v>
      </c>
      <c r="P3063">
        <f>MOD(DAY(datos_siembra[[#This Row],[Date]]),7)</f>
        <v>1</v>
      </c>
      <c r="Q3063" t="str">
        <f>CHOOSE(WEEKDAY(datos_siembra[[#This Row],[Date]],2),"L","M","X","J","V","S","D")</f>
        <v>M</v>
      </c>
      <c r="R3063">
        <f>WEEKNUM(datos_siembra[[#This Row],[Date]],2)-WEEKNUM(DATE(YEAR(datos_siembra[[#This Row],[Date]]),MONTH(datos_siembra[[#This Row],[Date]]),1))+1</f>
        <v>2</v>
      </c>
      <c r="S3063">
        <f>MONTH(datos_siembra[[#This Row],[Date]])</f>
        <v>10</v>
      </c>
      <c r="T3063" t="str" cm="1">
        <f t="array" ref="T3063">_xlfn.IFS(AND(N3063&lt;= 22, S3063=9), "SOWING",AND(N3063&lt;= 28, S3063=9), "COVERAGE",AND(N3063&lt;= 30, S3063=9), "FLUSH",AND(N3063&lt;= 11, S3063=10), "FLUSH",AND(N3063&lt;= 21, S3063=10), "PRODUCTION")</f>
        <v>FLUSH</v>
      </c>
      <c r="U3063">
        <f>HOUR(datos_siembra[[#This Row],[Hour]])</f>
        <v>1</v>
      </c>
      <c r="V3063" cm="1">
        <f t="array" ref="V3063">_xlfn.IFS(AND(N3063&lt;= 22, S3063=9), N3063-7,AND(N3063&lt;= 28, S3063=9), N3063-25,AND(N3063&lt;= 30, S3063=9), N3063-28,AND(N3063&lt;= 11, S3063=10), N3063+2,AND(N3063&lt;= 21, S3063=10), N3063-11)</f>
        <v>10</v>
      </c>
    </row>
    <row r="3064" spans="1:22" x14ac:dyDescent="0.35">
      <c r="A3064" s="4">
        <v>45573</v>
      </c>
      <c r="B3064" s="5">
        <v>6.5752314814814819E-2</v>
      </c>
      <c r="C3064">
        <v>67.099999999999994</v>
      </c>
      <c r="D3064">
        <v>66.900000000000006</v>
      </c>
      <c r="E3064">
        <v>68</v>
      </c>
      <c r="F3064">
        <v>67.7</v>
      </c>
      <c r="G3064">
        <v>0</v>
      </c>
      <c r="H3064">
        <v>0</v>
      </c>
      <c r="I3064">
        <v>0</v>
      </c>
      <c r="J3064">
        <v>0</v>
      </c>
      <c r="K3064">
        <v>63.7</v>
      </c>
      <c r="L3064">
        <v>64.099999999999994</v>
      </c>
      <c r="M3064">
        <v>67.47</v>
      </c>
      <c r="N3064">
        <v>8</v>
      </c>
      <c r="O3064">
        <v>7</v>
      </c>
      <c r="P3064">
        <f>MOD(DAY(datos_siembra[[#This Row],[Date]]),7)</f>
        <v>1</v>
      </c>
      <c r="Q3064" t="str">
        <f>CHOOSE(WEEKDAY(datos_siembra[[#This Row],[Date]],2),"L","M","X","J","V","S","D")</f>
        <v>M</v>
      </c>
      <c r="R3064">
        <f>WEEKNUM(datos_siembra[[#This Row],[Date]],2)-WEEKNUM(DATE(YEAR(datos_siembra[[#This Row],[Date]]),MONTH(datos_siembra[[#This Row],[Date]]),1))+1</f>
        <v>2</v>
      </c>
      <c r="S3064">
        <f>MONTH(datos_siembra[[#This Row],[Date]])</f>
        <v>10</v>
      </c>
      <c r="T3064" t="str" cm="1">
        <f t="array" ref="T3064">_xlfn.IFS(AND(N3064&lt;= 22, S3064=9), "SOWING",AND(N3064&lt;= 28, S3064=9), "COVERAGE",AND(N3064&lt;= 30, S3064=9), "FLUSH",AND(N3064&lt;= 11, S3064=10), "FLUSH",AND(N3064&lt;= 21, S3064=10), "PRODUCTION")</f>
        <v>FLUSH</v>
      </c>
      <c r="U3064">
        <f>HOUR(datos_siembra[[#This Row],[Hour]])</f>
        <v>1</v>
      </c>
      <c r="V3064" cm="1">
        <f t="array" ref="V3064">_xlfn.IFS(AND(N3064&lt;= 22, S3064=9), N3064-7,AND(N3064&lt;= 28, S3064=9), N3064-25,AND(N3064&lt;= 30, S3064=9), N3064-28,AND(N3064&lt;= 11, S3064=10), N3064+2,AND(N3064&lt;= 21, S3064=10), N3064-11)</f>
        <v>10</v>
      </c>
    </row>
    <row r="3065" spans="1:22" x14ac:dyDescent="0.35">
      <c r="A3065" s="4">
        <v>45573</v>
      </c>
      <c r="B3065" s="5">
        <v>7.2696759259259253E-2</v>
      </c>
      <c r="C3065">
        <v>67.099999999999994</v>
      </c>
      <c r="D3065">
        <v>67</v>
      </c>
      <c r="E3065">
        <v>68.099999999999994</v>
      </c>
      <c r="F3065">
        <v>67.400000000000006</v>
      </c>
      <c r="G3065">
        <v>0</v>
      </c>
      <c r="H3065">
        <v>0</v>
      </c>
      <c r="I3065">
        <v>0</v>
      </c>
      <c r="J3065">
        <v>0</v>
      </c>
      <c r="K3065">
        <v>63.7</v>
      </c>
      <c r="L3065">
        <v>63.9</v>
      </c>
      <c r="M3065">
        <v>67.489999999999995</v>
      </c>
      <c r="N3065">
        <v>8</v>
      </c>
      <c r="O3065">
        <v>7</v>
      </c>
      <c r="P3065">
        <f>MOD(DAY(datos_siembra[[#This Row],[Date]]),7)</f>
        <v>1</v>
      </c>
      <c r="Q3065" t="str">
        <f>CHOOSE(WEEKDAY(datos_siembra[[#This Row],[Date]],2),"L","M","X","J","V","S","D")</f>
        <v>M</v>
      </c>
      <c r="R3065">
        <f>WEEKNUM(datos_siembra[[#This Row],[Date]],2)-WEEKNUM(DATE(YEAR(datos_siembra[[#This Row],[Date]]),MONTH(datos_siembra[[#This Row],[Date]]),1))+1</f>
        <v>2</v>
      </c>
      <c r="S3065">
        <f>MONTH(datos_siembra[[#This Row],[Date]])</f>
        <v>10</v>
      </c>
      <c r="T3065" t="str" cm="1">
        <f t="array" ref="T3065">_xlfn.IFS(AND(N3065&lt;= 22, S3065=9), "SOWING",AND(N3065&lt;= 28, S3065=9), "COVERAGE",AND(N3065&lt;= 30, S3065=9), "FLUSH",AND(N3065&lt;= 11, S3065=10), "FLUSH",AND(N3065&lt;= 21, S3065=10), "PRODUCTION")</f>
        <v>FLUSH</v>
      </c>
      <c r="U3065">
        <f>HOUR(datos_siembra[[#This Row],[Hour]])</f>
        <v>1</v>
      </c>
      <c r="V3065" cm="1">
        <f t="array" ref="V3065">_xlfn.IFS(AND(N3065&lt;= 22, S3065=9), N3065-7,AND(N3065&lt;= 28, S3065=9), N3065-25,AND(N3065&lt;= 30, S3065=9), N3065-28,AND(N3065&lt;= 11, S3065=10), N3065+2,AND(N3065&lt;= 21, S3065=10), N3065-11)</f>
        <v>10</v>
      </c>
    </row>
    <row r="3066" spans="1:22" x14ac:dyDescent="0.35">
      <c r="A3066" s="4">
        <v>45573</v>
      </c>
      <c r="B3066" s="5">
        <v>7.9652777777777781E-2</v>
      </c>
      <c r="C3066">
        <v>67.3</v>
      </c>
      <c r="D3066">
        <v>67</v>
      </c>
      <c r="E3066">
        <v>68.2</v>
      </c>
      <c r="F3066">
        <v>67.599999999999994</v>
      </c>
      <c r="G3066">
        <v>0</v>
      </c>
      <c r="H3066">
        <v>0</v>
      </c>
      <c r="I3066">
        <v>0</v>
      </c>
      <c r="J3066">
        <v>0</v>
      </c>
      <c r="K3066">
        <v>63.7</v>
      </c>
      <c r="L3066">
        <v>63.9</v>
      </c>
      <c r="M3066">
        <v>67.44</v>
      </c>
      <c r="N3066">
        <v>8</v>
      </c>
      <c r="O3066">
        <v>7</v>
      </c>
      <c r="P3066">
        <f>MOD(DAY(datos_siembra[[#This Row],[Date]]),7)</f>
        <v>1</v>
      </c>
      <c r="Q3066" t="str">
        <f>CHOOSE(WEEKDAY(datos_siembra[[#This Row],[Date]],2),"L","M","X","J","V","S","D")</f>
        <v>M</v>
      </c>
      <c r="R3066">
        <f>WEEKNUM(datos_siembra[[#This Row],[Date]],2)-WEEKNUM(DATE(YEAR(datos_siembra[[#This Row],[Date]]),MONTH(datos_siembra[[#This Row],[Date]]),1))+1</f>
        <v>2</v>
      </c>
      <c r="S3066">
        <f>MONTH(datos_siembra[[#This Row],[Date]])</f>
        <v>10</v>
      </c>
      <c r="T3066" t="str" cm="1">
        <f t="array" ref="T3066">_xlfn.IFS(AND(N3066&lt;= 22, S3066=9), "SOWING",AND(N3066&lt;= 28, S3066=9), "COVERAGE",AND(N3066&lt;= 30, S3066=9), "FLUSH",AND(N3066&lt;= 11, S3066=10), "FLUSH",AND(N3066&lt;= 21, S3066=10), "PRODUCTION")</f>
        <v>FLUSH</v>
      </c>
      <c r="U3066">
        <f>HOUR(datos_siembra[[#This Row],[Hour]])</f>
        <v>1</v>
      </c>
      <c r="V3066" cm="1">
        <f t="array" ref="V3066">_xlfn.IFS(AND(N3066&lt;= 22, S3066=9), N3066-7,AND(N3066&lt;= 28, S3066=9), N3066-25,AND(N3066&lt;= 30, S3066=9), N3066-28,AND(N3066&lt;= 11, S3066=10), N3066+2,AND(N3066&lt;= 21, S3066=10), N3066-11)</f>
        <v>10</v>
      </c>
    </row>
    <row r="3067" spans="1:22" x14ac:dyDescent="0.35">
      <c r="A3067" s="4">
        <v>45573</v>
      </c>
      <c r="B3067" s="5">
        <v>8.6597222222222228E-2</v>
      </c>
      <c r="C3067">
        <v>67.2</v>
      </c>
      <c r="D3067">
        <v>67</v>
      </c>
      <c r="E3067">
        <v>68.099999999999994</v>
      </c>
      <c r="F3067">
        <v>67.599999999999994</v>
      </c>
      <c r="G3067">
        <v>0</v>
      </c>
      <c r="H3067">
        <v>0</v>
      </c>
      <c r="I3067">
        <v>0</v>
      </c>
      <c r="J3067">
        <v>0</v>
      </c>
      <c r="K3067">
        <v>63.6</v>
      </c>
      <c r="L3067">
        <v>63.8</v>
      </c>
      <c r="M3067">
        <v>67.47</v>
      </c>
      <c r="N3067">
        <v>8</v>
      </c>
      <c r="O3067">
        <v>7</v>
      </c>
      <c r="P3067">
        <f>MOD(DAY(datos_siembra[[#This Row],[Date]]),7)</f>
        <v>1</v>
      </c>
      <c r="Q3067" t="str">
        <f>CHOOSE(WEEKDAY(datos_siembra[[#This Row],[Date]],2),"L","M","X","J","V","S","D")</f>
        <v>M</v>
      </c>
      <c r="R3067">
        <f>WEEKNUM(datos_siembra[[#This Row],[Date]],2)-WEEKNUM(DATE(YEAR(datos_siembra[[#This Row],[Date]]),MONTH(datos_siembra[[#This Row],[Date]]),1))+1</f>
        <v>2</v>
      </c>
      <c r="S3067">
        <f>MONTH(datos_siembra[[#This Row],[Date]])</f>
        <v>10</v>
      </c>
      <c r="T3067" t="str" cm="1">
        <f t="array" ref="T3067">_xlfn.IFS(AND(N3067&lt;= 22, S3067=9), "SOWING",AND(N3067&lt;= 28, S3067=9), "COVERAGE",AND(N3067&lt;= 30, S3067=9), "FLUSH",AND(N3067&lt;= 11, S3067=10), "FLUSH",AND(N3067&lt;= 21, S3067=10), "PRODUCTION")</f>
        <v>FLUSH</v>
      </c>
      <c r="U3067">
        <f>HOUR(datos_siembra[[#This Row],[Hour]])</f>
        <v>2</v>
      </c>
      <c r="V3067" cm="1">
        <f t="array" ref="V3067">_xlfn.IFS(AND(N3067&lt;= 22, S3067=9), N3067-7,AND(N3067&lt;= 28, S3067=9), N3067-25,AND(N3067&lt;= 30, S3067=9), N3067-28,AND(N3067&lt;= 11, S3067=10), N3067+2,AND(N3067&lt;= 21, S3067=10), N3067-11)</f>
        <v>10</v>
      </c>
    </row>
    <row r="3068" spans="1:22" x14ac:dyDescent="0.35">
      <c r="A3068" s="4">
        <v>45573</v>
      </c>
      <c r="B3068" s="5">
        <v>9.3541666666666662E-2</v>
      </c>
      <c r="C3068">
        <v>67.3</v>
      </c>
      <c r="D3068">
        <v>67.099999999999994</v>
      </c>
      <c r="E3068">
        <v>68.099999999999994</v>
      </c>
      <c r="F3068">
        <v>67.7</v>
      </c>
      <c r="G3068">
        <v>0</v>
      </c>
      <c r="H3068">
        <v>0</v>
      </c>
      <c r="I3068">
        <v>0</v>
      </c>
      <c r="J3068">
        <v>0</v>
      </c>
      <c r="K3068">
        <v>63.7</v>
      </c>
      <c r="L3068">
        <v>63.9</v>
      </c>
      <c r="M3068">
        <v>67.47</v>
      </c>
      <c r="N3068">
        <v>8</v>
      </c>
      <c r="O3068">
        <v>7</v>
      </c>
      <c r="P3068">
        <f>MOD(DAY(datos_siembra[[#This Row],[Date]]),7)</f>
        <v>1</v>
      </c>
      <c r="Q3068" t="str">
        <f>CHOOSE(WEEKDAY(datos_siembra[[#This Row],[Date]],2),"L","M","X","J","V","S","D")</f>
        <v>M</v>
      </c>
      <c r="R3068">
        <f>WEEKNUM(datos_siembra[[#This Row],[Date]],2)-WEEKNUM(DATE(YEAR(datos_siembra[[#This Row],[Date]]),MONTH(datos_siembra[[#This Row],[Date]]),1))+1</f>
        <v>2</v>
      </c>
      <c r="S3068">
        <f>MONTH(datos_siembra[[#This Row],[Date]])</f>
        <v>10</v>
      </c>
      <c r="T3068" t="str" cm="1">
        <f t="array" ref="T3068">_xlfn.IFS(AND(N3068&lt;= 22, S3068=9), "SOWING",AND(N3068&lt;= 28, S3068=9), "COVERAGE",AND(N3068&lt;= 30, S3068=9), "FLUSH",AND(N3068&lt;= 11, S3068=10), "FLUSH",AND(N3068&lt;= 21, S3068=10), "PRODUCTION")</f>
        <v>FLUSH</v>
      </c>
      <c r="U3068">
        <f>HOUR(datos_siembra[[#This Row],[Hour]])</f>
        <v>2</v>
      </c>
      <c r="V3068" cm="1">
        <f t="array" ref="V3068">_xlfn.IFS(AND(N3068&lt;= 22, S3068=9), N3068-7,AND(N3068&lt;= 28, S3068=9), N3068-25,AND(N3068&lt;= 30, S3068=9), N3068-28,AND(N3068&lt;= 11, S3068=10), N3068+2,AND(N3068&lt;= 21, S3068=10), N3068-11)</f>
        <v>10</v>
      </c>
    </row>
    <row r="3069" spans="1:22" x14ac:dyDescent="0.35">
      <c r="A3069" s="4">
        <v>45573</v>
      </c>
      <c r="B3069" s="5">
        <v>0.10048611111111111</v>
      </c>
      <c r="C3069">
        <v>67.2</v>
      </c>
      <c r="D3069">
        <v>67</v>
      </c>
      <c r="E3069">
        <v>68.099999999999994</v>
      </c>
      <c r="F3069">
        <v>67.7</v>
      </c>
      <c r="G3069">
        <v>0</v>
      </c>
      <c r="H3069">
        <v>0</v>
      </c>
      <c r="I3069">
        <v>0</v>
      </c>
      <c r="J3069">
        <v>0</v>
      </c>
      <c r="K3069">
        <v>63.6</v>
      </c>
      <c r="L3069">
        <v>63.8</v>
      </c>
      <c r="M3069">
        <v>67.489999999999995</v>
      </c>
      <c r="N3069">
        <v>8</v>
      </c>
      <c r="O3069">
        <v>7</v>
      </c>
      <c r="P3069">
        <f>MOD(DAY(datos_siembra[[#This Row],[Date]]),7)</f>
        <v>1</v>
      </c>
      <c r="Q3069" t="str">
        <f>CHOOSE(WEEKDAY(datos_siembra[[#This Row],[Date]],2),"L","M","X","J","V","S","D")</f>
        <v>M</v>
      </c>
      <c r="R3069">
        <f>WEEKNUM(datos_siembra[[#This Row],[Date]],2)-WEEKNUM(DATE(YEAR(datos_siembra[[#This Row],[Date]]),MONTH(datos_siembra[[#This Row],[Date]]),1))+1</f>
        <v>2</v>
      </c>
      <c r="S3069">
        <f>MONTH(datos_siembra[[#This Row],[Date]])</f>
        <v>10</v>
      </c>
      <c r="T3069" t="str" cm="1">
        <f t="array" ref="T3069">_xlfn.IFS(AND(N3069&lt;= 22, S3069=9), "SOWING",AND(N3069&lt;= 28, S3069=9), "COVERAGE",AND(N3069&lt;= 30, S3069=9), "FLUSH",AND(N3069&lt;= 11, S3069=10), "FLUSH",AND(N3069&lt;= 21, S3069=10), "PRODUCTION")</f>
        <v>FLUSH</v>
      </c>
      <c r="U3069">
        <f>HOUR(datos_siembra[[#This Row],[Hour]])</f>
        <v>2</v>
      </c>
      <c r="V3069" cm="1">
        <f t="array" ref="V3069">_xlfn.IFS(AND(N3069&lt;= 22, S3069=9), N3069-7,AND(N3069&lt;= 28, S3069=9), N3069-25,AND(N3069&lt;= 30, S3069=9), N3069-28,AND(N3069&lt;= 11, S3069=10), N3069+2,AND(N3069&lt;= 21, S3069=10), N3069-11)</f>
        <v>10</v>
      </c>
    </row>
    <row r="3070" spans="1:22" x14ac:dyDescent="0.35">
      <c r="A3070" s="4">
        <v>45573</v>
      </c>
      <c r="B3070" s="5">
        <v>0.10744212962962962</v>
      </c>
      <c r="C3070">
        <v>67.3</v>
      </c>
      <c r="D3070">
        <v>67</v>
      </c>
      <c r="E3070">
        <v>68.099999999999994</v>
      </c>
      <c r="F3070">
        <v>67.7</v>
      </c>
      <c r="G3070">
        <v>0</v>
      </c>
      <c r="H3070">
        <v>0</v>
      </c>
      <c r="I3070">
        <v>0</v>
      </c>
      <c r="J3070">
        <v>0</v>
      </c>
      <c r="K3070">
        <v>63.6</v>
      </c>
      <c r="L3070">
        <v>63.8</v>
      </c>
      <c r="M3070">
        <v>67.52</v>
      </c>
      <c r="N3070">
        <v>8</v>
      </c>
      <c r="O3070">
        <v>7</v>
      </c>
      <c r="P3070">
        <f>MOD(DAY(datos_siembra[[#This Row],[Date]]),7)</f>
        <v>1</v>
      </c>
      <c r="Q3070" t="str">
        <f>CHOOSE(WEEKDAY(datos_siembra[[#This Row],[Date]],2),"L","M","X","J","V","S","D")</f>
        <v>M</v>
      </c>
      <c r="R3070">
        <f>WEEKNUM(datos_siembra[[#This Row],[Date]],2)-WEEKNUM(DATE(YEAR(datos_siembra[[#This Row],[Date]]),MONTH(datos_siembra[[#This Row],[Date]]),1))+1</f>
        <v>2</v>
      </c>
      <c r="S3070">
        <f>MONTH(datos_siembra[[#This Row],[Date]])</f>
        <v>10</v>
      </c>
      <c r="T3070" t="str" cm="1">
        <f t="array" ref="T3070">_xlfn.IFS(AND(N3070&lt;= 22, S3070=9), "SOWING",AND(N3070&lt;= 28, S3070=9), "COVERAGE",AND(N3070&lt;= 30, S3070=9), "FLUSH",AND(N3070&lt;= 11, S3070=10), "FLUSH",AND(N3070&lt;= 21, S3070=10), "PRODUCTION")</f>
        <v>FLUSH</v>
      </c>
      <c r="U3070">
        <f>HOUR(datos_siembra[[#This Row],[Hour]])</f>
        <v>2</v>
      </c>
      <c r="V3070" cm="1">
        <f t="array" ref="V3070">_xlfn.IFS(AND(N3070&lt;= 22, S3070=9), N3070-7,AND(N3070&lt;= 28, S3070=9), N3070-25,AND(N3070&lt;= 30, S3070=9), N3070-28,AND(N3070&lt;= 11, S3070=10), N3070+2,AND(N3070&lt;= 21, S3070=10), N3070-11)</f>
        <v>10</v>
      </c>
    </row>
    <row r="3071" spans="1:22" x14ac:dyDescent="0.35">
      <c r="A3071" s="4">
        <v>45573</v>
      </c>
      <c r="B3071" s="5">
        <v>0.11438657407407407</v>
      </c>
      <c r="C3071">
        <v>67.099999999999994</v>
      </c>
      <c r="D3071">
        <v>67</v>
      </c>
      <c r="E3071">
        <v>68.2</v>
      </c>
      <c r="F3071">
        <v>67.599999999999994</v>
      </c>
      <c r="G3071">
        <v>0</v>
      </c>
      <c r="H3071">
        <v>0</v>
      </c>
      <c r="I3071">
        <v>0</v>
      </c>
      <c r="J3071">
        <v>0</v>
      </c>
      <c r="K3071">
        <v>63.6</v>
      </c>
      <c r="L3071">
        <v>63.7</v>
      </c>
      <c r="M3071">
        <v>67.44</v>
      </c>
      <c r="N3071">
        <v>8</v>
      </c>
      <c r="O3071">
        <v>7</v>
      </c>
      <c r="P3071">
        <f>MOD(DAY(datos_siembra[[#This Row],[Date]]),7)</f>
        <v>1</v>
      </c>
      <c r="Q3071" t="str">
        <f>CHOOSE(WEEKDAY(datos_siembra[[#This Row],[Date]],2),"L","M","X","J","V","S","D")</f>
        <v>M</v>
      </c>
      <c r="R3071">
        <f>WEEKNUM(datos_siembra[[#This Row],[Date]],2)-WEEKNUM(DATE(YEAR(datos_siembra[[#This Row],[Date]]),MONTH(datos_siembra[[#This Row],[Date]]),1))+1</f>
        <v>2</v>
      </c>
      <c r="S3071">
        <f>MONTH(datos_siembra[[#This Row],[Date]])</f>
        <v>10</v>
      </c>
      <c r="T3071" t="str" cm="1">
        <f t="array" ref="T3071">_xlfn.IFS(AND(N3071&lt;= 22, S3071=9), "SOWING",AND(N3071&lt;= 28, S3071=9), "COVERAGE",AND(N3071&lt;= 30, S3071=9), "FLUSH",AND(N3071&lt;= 11, S3071=10), "FLUSH",AND(N3071&lt;= 21, S3071=10), "PRODUCTION")</f>
        <v>FLUSH</v>
      </c>
      <c r="U3071">
        <f>HOUR(datos_siembra[[#This Row],[Hour]])</f>
        <v>2</v>
      </c>
      <c r="V3071" cm="1">
        <f t="array" ref="V3071">_xlfn.IFS(AND(N3071&lt;= 22, S3071=9), N3071-7,AND(N3071&lt;= 28, S3071=9), N3071-25,AND(N3071&lt;= 30, S3071=9), N3071-28,AND(N3071&lt;= 11, S3071=10), N3071+2,AND(N3071&lt;= 21, S3071=10), N3071-11)</f>
        <v>10</v>
      </c>
    </row>
    <row r="3072" spans="1:22" x14ac:dyDescent="0.35">
      <c r="A3072" s="4">
        <v>45573</v>
      </c>
      <c r="B3072" s="5">
        <v>0.12133101851851852</v>
      </c>
      <c r="C3072">
        <v>67.2</v>
      </c>
      <c r="D3072">
        <v>67.099999999999994</v>
      </c>
      <c r="E3072">
        <v>68.2</v>
      </c>
      <c r="F3072">
        <v>67.400000000000006</v>
      </c>
      <c r="G3072">
        <v>0</v>
      </c>
      <c r="H3072">
        <v>0</v>
      </c>
      <c r="I3072">
        <v>0</v>
      </c>
      <c r="J3072">
        <v>0</v>
      </c>
      <c r="K3072">
        <v>63.5</v>
      </c>
      <c r="L3072">
        <v>63.8</v>
      </c>
      <c r="M3072">
        <v>67.489999999999995</v>
      </c>
      <c r="N3072">
        <v>8</v>
      </c>
      <c r="O3072">
        <v>7</v>
      </c>
      <c r="P3072">
        <f>MOD(DAY(datos_siembra[[#This Row],[Date]]),7)</f>
        <v>1</v>
      </c>
      <c r="Q3072" t="str">
        <f>CHOOSE(WEEKDAY(datos_siembra[[#This Row],[Date]],2),"L","M","X","J","V","S","D")</f>
        <v>M</v>
      </c>
      <c r="R3072">
        <f>WEEKNUM(datos_siembra[[#This Row],[Date]],2)-WEEKNUM(DATE(YEAR(datos_siembra[[#This Row],[Date]]),MONTH(datos_siembra[[#This Row],[Date]]),1))+1</f>
        <v>2</v>
      </c>
      <c r="S3072">
        <f>MONTH(datos_siembra[[#This Row],[Date]])</f>
        <v>10</v>
      </c>
      <c r="T3072" t="str" cm="1">
        <f t="array" ref="T3072">_xlfn.IFS(AND(N3072&lt;= 22, S3072=9), "SOWING",AND(N3072&lt;= 28, S3072=9), "COVERAGE",AND(N3072&lt;= 30, S3072=9), "FLUSH",AND(N3072&lt;= 11, S3072=10), "FLUSH",AND(N3072&lt;= 21, S3072=10), "PRODUCTION")</f>
        <v>FLUSH</v>
      </c>
      <c r="U3072">
        <f>HOUR(datos_siembra[[#This Row],[Hour]])</f>
        <v>2</v>
      </c>
      <c r="V3072" cm="1">
        <f t="array" ref="V3072">_xlfn.IFS(AND(N3072&lt;= 22, S3072=9), N3072-7,AND(N3072&lt;= 28, S3072=9), N3072-25,AND(N3072&lt;= 30, S3072=9), N3072-28,AND(N3072&lt;= 11, S3072=10), N3072+2,AND(N3072&lt;= 21, S3072=10), N3072-11)</f>
        <v>10</v>
      </c>
    </row>
    <row r="3073" spans="1:22" x14ac:dyDescent="0.35">
      <c r="A3073" s="4">
        <v>45573</v>
      </c>
      <c r="B3073" s="5">
        <v>0.12828703703703703</v>
      </c>
      <c r="C3073">
        <v>67.3</v>
      </c>
      <c r="D3073">
        <v>67.099999999999994</v>
      </c>
      <c r="E3073">
        <v>68</v>
      </c>
      <c r="F3073">
        <v>67.599999999999994</v>
      </c>
      <c r="G3073">
        <v>0</v>
      </c>
      <c r="H3073">
        <v>0</v>
      </c>
      <c r="I3073">
        <v>0</v>
      </c>
      <c r="J3073">
        <v>0</v>
      </c>
      <c r="K3073">
        <v>63.5</v>
      </c>
      <c r="L3073">
        <v>63.7</v>
      </c>
      <c r="M3073">
        <v>67.489999999999995</v>
      </c>
      <c r="N3073">
        <v>8</v>
      </c>
      <c r="O3073">
        <v>7</v>
      </c>
      <c r="P3073">
        <f>MOD(DAY(datos_siembra[[#This Row],[Date]]),7)</f>
        <v>1</v>
      </c>
      <c r="Q3073" t="str">
        <f>CHOOSE(WEEKDAY(datos_siembra[[#This Row],[Date]],2),"L","M","X","J","V","S","D")</f>
        <v>M</v>
      </c>
      <c r="R3073">
        <f>WEEKNUM(datos_siembra[[#This Row],[Date]],2)-WEEKNUM(DATE(YEAR(datos_siembra[[#This Row],[Date]]),MONTH(datos_siembra[[#This Row],[Date]]),1))+1</f>
        <v>2</v>
      </c>
      <c r="S3073">
        <f>MONTH(datos_siembra[[#This Row],[Date]])</f>
        <v>10</v>
      </c>
      <c r="T3073" t="str" cm="1">
        <f t="array" ref="T3073">_xlfn.IFS(AND(N3073&lt;= 22, S3073=9), "SOWING",AND(N3073&lt;= 28, S3073=9), "COVERAGE",AND(N3073&lt;= 30, S3073=9), "FLUSH",AND(N3073&lt;= 11, S3073=10), "FLUSH",AND(N3073&lt;= 21, S3073=10), "PRODUCTION")</f>
        <v>FLUSH</v>
      </c>
      <c r="U3073">
        <f>HOUR(datos_siembra[[#This Row],[Hour]])</f>
        <v>3</v>
      </c>
      <c r="V3073" cm="1">
        <f t="array" ref="V3073">_xlfn.IFS(AND(N3073&lt;= 22, S3073=9), N3073-7,AND(N3073&lt;= 28, S3073=9), N3073-25,AND(N3073&lt;= 30, S3073=9), N3073-28,AND(N3073&lt;= 11, S3073=10), N3073+2,AND(N3073&lt;= 21, S3073=10), N3073-11)</f>
        <v>10</v>
      </c>
    </row>
    <row r="3074" spans="1:22" x14ac:dyDescent="0.35">
      <c r="A3074" s="4">
        <v>45573</v>
      </c>
      <c r="B3074" s="5">
        <v>0.13523148148148148</v>
      </c>
      <c r="C3074">
        <v>67.3</v>
      </c>
      <c r="D3074">
        <v>67.2</v>
      </c>
      <c r="E3074">
        <v>68.2</v>
      </c>
      <c r="F3074">
        <v>67.7</v>
      </c>
      <c r="G3074">
        <v>0</v>
      </c>
      <c r="H3074">
        <v>0</v>
      </c>
      <c r="I3074">
        <v>0</v>
      </c>
      <c r="J3074">
        <v>0</v>
      </c>
      <c r="K3074">
        <v>63.5</v>
      </c>
      <c r="L3074">
        <v>63.8</v>
      </c>
      <c r="M3074">
        <v>67.489999999999995</v>
      </c>
      <c r="N3074">
        <v>8</v>
      </c>
      <c r="O3074">
        <v>7</v>
      </c>
      <c r="P3074">
        <f>MOD(DAY(datos_siembra[[#This Row],[Date]]),7)</f>
        <v>1</v>
      </c>
      <c r="Q3074" t="str">
        <f>CHOOSE(WEEKDAY(datos_siembra[[#This Row],[Date]],2),"L","M","X","J","V","S","D")</f>
        <v>M</v>
      </c>
      <c r="R3074">
        <f>WEEKNUM(datos_siembra[[#This Row],[Date]],2)-WEEKNUM(DATE(YEAR(datos_siembra[[#This Row],[Date]]),MONTH(datos_siembra[[#This Row],[Date]]),1))+1</f>
        <v>2</v>
      </c>
      <c r="S3074">
        <f>MONTH(datos_siembra[[#This Row],[Date]])</f>
        <v>10</v>
      </c>
      <c r="T3074" t="str" cm="1">
        <f t="array" ref="T3074">_xlfn.IFS(AND(N3074&lt;= 22, S3074=9), "SOWING",AND(N3074&lt;= 28, S3074=9), "COVERAGE",AND(N3074&lt;= 30, S3074=9), "FLUSH",AND(N3074&lt;= 11, S3074=10), "FLUSH",AND(N3074&lt;= 21, S3074=10), "PRODUCTION")</f>
        <v>FLUSH</v>
      </c>
      <c r="U3074">
        <f>HOUR(datos_siembra[[#This Row],[Hour]])</f>
        <v>3</v>
      </c>
      <c r="V3074" cm="1">
        <f t="array" ref="V3074">_xlfn.IFS(AND(N3074&lt;= 22, S3074=9), N3074-7,AND(N3074&lt;= 28, S3074=9), N3074-25,AND(N3074&lt;= 30, S3074=9), N3074-28,AND(N3074&lt;= 11, S3074=10), N3074+2,AND(N3074&lt;= 21, S3074=10), N3074-11)</f>
        <v>10</v>
      </c>
    </row>
    <row r="3075" spans="1:22" x14ac:dyDescent="0.35">
      <c r="A3075" s="4">
        <v>45573</v>
      </c>
      <c r="B3075" s="5">
        <v>0.14217592592592593</v>
      </c>
      <c r="C3075">
        <v>67.2</v>
      </c>
      <c r="D3075">
        <v>67.099999999999994</v>
      </c>
      <c r="E3075">
        <v>68.099999999999994</v>
      </c>
      <c r="F3075">
        <v>67.7</v>
      </c>
      <c r="G3075">
        <v>0</v>
      </c>
      <c r="H3075">
        <v>0</v>
      </c>
      <c r="I3075">
        <v>0</v>
      </c>
      <c r="J3075">
        <v>0</v>
      </c>
      <c r="K3075">
        <v>63.5</v>
      </c>
      <c r="L3075">
        <v>63.6</v>
      </c>
      <c r="M3075">
        <v>67.58</v>
      </c>
      <c r="N3075">
        <v>8</v>
      </c>
      <c r="O3075">
        <v>7</v>
      </c>
      <c r="P3075">
        <f>MOD(DAY(datos_siembra[[#This Row],[Date]]),7)</f>
        <v>1</v>
      </c>
      <c r="Q3075" t="str">
        <f>CHOOSE(WEEKDAY(datos_siembra[[#This Row],[Date]],2),"L","M","X","J","V","S","D")</f>
        <v>M</v>
      </c>
      <c r="R3075">
        <f>WEEKNUM(datos_siembra[[#This Row],[Date]],2)-WEEKNUM(DATE(YEAR(datos_siembra[[#This Row],[Date]]),MONTH(datos_siembra[[#This Row],[Date]]),1))+1</f>
        <v>2</v>
      </c>
      <c r="S3075">
        <f>MONTH(datos_siembra[[#This Row],[Date]])</f>
        <v>10</v>
      </c>
      <c r="T3075" t="str" cm="1">
        <f t="array" ref="T3075">_xlfn.IFS(AND(N3075&lt;= 22, S3075=9), "SOWING",AND(N3075&lt;= 28, S3075=9), "COVERAGE",AND(N3075&lt;= 30, S3075=9), "FLUSH",AND(N3075&lt;= 11, S3075=10), "FLUSH",AND(N3075&lt;= 21, S3075=10), "PRODUCTION")</f>
        <v>FLUSH</v>
      </c>
      <c r="U3075">
        <f>HOUR(datos_siembra[[#This Row],[Hour]])</f>
        <v>3</v>
      </c>
      <c r="V3075" cm="1">
        <f t="array" ref="V3075">_xlfn.IFS(AND(N3075&lt;= 22, S3075=9), N3075-7,AND(N3075&lt;= 28, S3075=9), N3075-25,AND(N3075&lt;= 30, S3075=9), N3075-28,AND(N3075&lt;= 11, S3075=10), N3075+2,AND(N3075&lt;= 21, S3075=10), N3075-11)</f>
        <v>10</v>
      </c>
    </row>
    <row r="3076" spans="1:22" x14ac:dyDescent="0.35">
      <c r="A3076" s="4">
        <v>45573</v>
      </c>
      <c r="B3076" s="5">
        <v>0.14912037037037038</v>
      </c>
      <c r="C3076">
        <v>67.3</v>
      </c>
      <c r="D3076">
        <v>67.099999999999994</v>
      </c>
      <c r="E3076">
        <v>68.099999999999994</v>
      </c>
      <c r="F3076">
        <v>67.599999999999994</v>
      </c>
      <c r="G3076">
        <v>0</v>
      </c>
      <c r="H3076">
        <v>0</v>
      </c>
      <c r="I3076">
        <v>0</v>
      </c>
      <c r="J3076">
        <v>0</v>
      </c>
      <c r="K3076">
        <v>63.4</v>
      </c>
      <c r="L3076">
        <v>63.7</v>
      </c>
      <c r="M3076">
        <v>67.55</v>
      </c>
      <c r="N3076">
        <v>8</v>
      </c>
      <c r="O3076">
        <v>7</v>
      </c>
      <c r="P3076">
        <f>MOD(DAY(datos_siembra[[#This Row],[Date]]),7)</f>
        <v>1</v>
      </c>
      <c r="Q3076" t="str">
        <f>CHOOSE(WEEKDAY(datos_siembra[[#This Row],[Date]],2),"L","M","X","J","V","S","D")</f>
        <v>M</v>
      </c>
      <c r="R3076">
        <f>WEEKNUM(datos_siembra[[#This Row],[Date]],2)-WEEKNUM(DATE(YEAR(datos_siembra[[#This Row],[Date]]),MONTH(datos_siembra[[#This Row],[Date]]),1))+1</f>
        <v>2</v>
      </c>
      <c r="S3076">
        <f>MONTH(datos_siembra[[#This Row],[Date]])</f>
        <v>10</v>
      </c>
      <c r="T3076" t="str" cm="1">
        <f t="array" ref="T3076">_xlfn.IFS(AND(N3076&lt;= 22, S3076=9), "SOWING",AND(N3076&lt;= 28, S3076=9), "COVERAGE",AND(N3076&lt;= 30, S3076=9), "FLUSH",AND(N3076&lt;= 11, S3076=10), "FLUSH",AND(N3076&lt;= 21, S3076=10), "PRODUCTION")</f>
        <v>FLUSH</v>
      </c>
      <c r="U3076">
        <f>HOUR(datos_siembra[[#This Row],[Hour]])</f>
        <v>3</v>
      </c>
      <c r="V3076" cm="1">
        <f t="array" ref="V3076">_xlfn.IFS(AND(N3076&lt;= 22, S3076=9), N3076-7,AND(N3076&lt;= 28, S3076=9), N3076-25,AND(N3076&lt;= 30, S3076=9), N3076-28,AND(N3076&lt;= 11, S3076=10), N3076+2,AND(N3076&lt;= 21, S3076=10), N3076-11)</f>
        <v>10</v>
      </c>
    </row>
    <row r="3077" spans="1:22" x14ac:dyDescent="0.35">
      <c r="A3077" s="4">
        <v>45573</v>
      </c>
      <c r="B3077" s="5">
        <v>0.15607638888888889</v>
      </c>
      <c r="C3077">
        <v>67.3</v>
      </c>
      <c r="D3077">
        <v>67.099999999999994</v>
      </c>
      <c r="E3077">
        <v>68.099999999999994</v>
      </c>
      <c r="F3077">
        <v>67.599999999999994</v>
      </c>
      <c r="G3077">
        <v>0</v>
      </c>
      <c r="H3077">
        <v>0</v>
      </c>
      <c r="I3077">
        <v>0</v>
      </c>
      <c r="J3077">
        <v>0</v>
      </c>
      <c r="K3077">
        <v>63.4</v>
      </c>
      <c r="L3077">
        <v>63.6</v>
      </c>
      <c r="M3077">
        <v>67.55</v>
      </c>
      <c r="N3077">
        <v>8</v>
      </c>
      <c r="O3077">
        <v>7</v>
      </c>
      <c r="P3077">
        <f>MOD(DAY(datos_siembra[[#This Row],[Date]]),7)</f>
        <v>1</v>
      </c>
      <c r="Q3077" t="str">
        <f>CHOOSE(WEEKDAY(datos_siembra[[#This Row],[Date]],2),"L","M","X","J","V","S","D")</f>
        <v>M</v>
      </c>
      <c r="R3077">
        <f>WEEKNUM(datos_siembra[[#This Row],[Date]],2)-WEEKNUM(DATE(YEAR(datos_siembra[[#This Row],[Date]]),MONTH(datos_siembra[[#This Row],[Date]]),1))+1</f>
        <v>2</v>
      </c>
      <c r="S3077">
        <f>MONTH(datos_siembra[[#This Row],[Date]])</f>
        <v>10</v>
      </c>
      <c r="T3077" t="str" cm="1">
        <f t="array" ref="T3077">_xlfn.IFS(AND(N3077&lt;= 22, S3077=9), "SOWING",AND(N3077&lt;= 28, S3077=9), "COVERAGE",AND(N3077&lt;= 30, S3077=9), "FLUSH",AND(N3077&lt;= 11, S3077=10), "FLUSH",AND(N3077&lt;= 21, S3077=10), "PRODUCTION")</f>
        <v>FLUSH</v>
      </c>
      <c r="U3077">
        <f>HOUR(datos_siembra[[#This Row],[Hour]])</f>
        <v>3</v>
      </c>
      <c r="V3077" cm="1">
        <f t="array" ref="V3077">_xlfn.IFS(AND(N3077&lt;= 22, S3077=9), N3077-7,AND(N3077&lt;= 28, S3077=9), N3077-25,AND(N3077&lt;= 30, S3077=9), N3077-28,AND(N3077&lt;= 11, S3077=10), N3077+2,AND(N3077&lt;= 21, S3077=10), N3077-11)</f>
        <v>10</v>
      </c>
    </row>
    <row r="3078" spans="1:22" x14ac:dyDescent="0.35">
      <c r="A3078" s="4">
        <v>45573</v>
      </c>
      <c r="B3078" s="5">
        <v>0.16302083333333334</v>
      </c>
      <c r="C3078">
        <v>67.3</v>
      </c>
      <c r="D3078">
        <v>67</v>
      </c>
      <c r="E3078">
        <v>68.2</v>
      </c>
      <c r="F3078">
        <v>67.8</v>
      </c>
      <c r="G3078">
        <v>0</v>
      </c>
      <c r="H3078">
        <v>0</v>
      </c>
      <c r="I3078">
        <v>0</v>
      </c>
      <c r="J3078">
        <v>0</v>
      </c>
      <c r="K3078">
        <v>63.4</v>
      </c>
      <c r="L3078">
        <v>63.6</v>
      </c>
      <c r="M3078">
        <v>67.55</v>
      </c>
      <c r="N3078">
        <v>8</v>
      </c>
      <c r="O3078">
        <v>7</v>
      </c>
      <c r="P3078">
        <f>MOD(DAY(datos_siembra[[#This Row],[Date]]),7)</f>
        <v>1</v>
      </c>
      <c r="Q3078" t="str">
        <f>CHOOSE(WEEKDAY(datos_siembra[[#This Row],[Date]],2),"L","M","X","J","V","S","D")</f>
        <v>M</v>
      </c>
      <c r="R3078">
        <f>WEEKNUM(datos_siembra[[#This Row],[Date]],2)-WEEKNUM(DATE(YEAR(datos_siembra[[#This Row],[Date]]),MONTH(datos_siembra[[#This Row],[Date]]),1))+1</f>
        <v>2</v>
      </c>
      <c r="S3078">
        <f>MONTH(datos_siembra[[#This Row],[Date]])</f>
        <v>10</v>
      </c>
      <c r="T3078" t="str" cm="1">
        <f t="array" ref="T3078">_xlfn.IFS(AND(N3078&lt;= 22, S3078=9), "SOWING",AND(N3078&lt;= 28, S3078=9), "COVERAGE",AND(N3078&lt;= 30, S3078=9), "FLUSH",AND(N3078&lt;= 11, S3078=10), "FLUSH",AND(N3078&lt;= 21, S3078=10), "PRODUCTION")</f>
        <v>FLUSH</v>
      </c>
      <c r="U3078">
        <f>HOUR(datos_siembra[[#This Row],[Hour]])</f>
        <v>3</v>
      </c>
      <c r="V3078" cm="1">
        <f t="array" ref="V3078">_xlfn.IFS(AND(N3078&lt;= 22, S3078=9), N3078-7,AND(N3078&lt;= 28, S3078=9), N3078-25,AND(N3078&lt;= 30, S3078=9), N3078-28,AND(N3078&lt;= 11, S3078=10), N3078+2,AND(N3078&lt;= 21, S3078=10), N3078-11)</f>
        <v>10</v>
      </c>
    </row>
    <row r="3079" spans="1:22" x14ac:dyDescent="0.35">
      <c r="A3079" s="4">
        <v>45573</v>
      </c>
      <c r="B3079" s="5">
        <v>0.16996527777777778</v>
      </c>
      <c r="C3079">
        <v>67.3</v>
      </c>
      <c r="D3079">
        <v>67</v>
      </c>
      <c r="E3079">
        <v>68.5</v>
      </c>
      <c r="F3079">
        <v>67.7</v>
      </c>
      <c r="G3079">
        <v>0</v>
      </c>
      <c r="H3079">
        <v>0</v>
      </c>
      <c r="I3079">
        <v>0</v>
      </c>
      <c r="J3079">
        <v>0</v>
      </c>
      <c r="K3079">
        <v>63.4</v>
      </c>
      <c r="L3079">
        <v>63.6</v>
      </c>
      <c r="M3079">
        <v>67.489999999999995</v>
      </c>
      <c r="N3079">
        <v>8</v>
      </c>
      <c r="O3079">
        <v>7</v>
      </c>
      <c r="P3079">
        <f>MOD(DAY(datos_siembra[[#This Row],[Date]]),7)</f>
        <v>1</v>
      </c>
      <c r="Q3079" t="str">
        <f>CHOOSE(WEEKDAY(datos_siembra[[#This Row],[Date]],2),"L","M","X","J","V","S","D")</f>
        <v>M</v>
      </c>
      <c r="R3079">
        <f>WEEKNUM(datos_siembra[[#This Row],[Date]],2)-WEEKNUM(DATE(YEAR(datos_siembra[[#This Row],[Date]]),MONTH(datos_siembra[[#This Row],[Date]]),1))+1</f>
        <v>2</v>
      </c>
      <c r="S3079">
        <f>MONTH(datos_siembra[[#This Row],[Date]])</f>
        <v>10</v>
      </c>
      <c r="T3079" t="str" cm="1">
        <f t="array" ref="T3079">_xlfn.IFS(AND(N3079&lt;= 22, S3079=9), "SOWING",AND(N3079&lt;= 28, S3079=9), "COVERAGE",AND(N3079&lt;= 30, S3079=9), "FLUSH",AND(N3079&lt;= 11, S3079=10), "FLUSH",AND(N3079&lt;= 21, S3079=10), "PRODUCTION")</f>
        <v>FLUSH</v>
      </c>
      <c r="U3079">
        <f>HOUR(datos_siembra[[#This Row],[Hour]])</f>
        <v>4</v>
      </c>
      <c r="V3079" cm="1">
        <f t="array" ref="V3079">_xlfn.IFS(AND(N3079&lt;= 22, S3079=9), N3079-7,AND(N3079&lt;= 28, S3079=9), N3079-25,AND(N3079&lt;= 30, S3079=9), N3079-28,AND(N3079&lt;= 11, S3079=10), N3079+2,AND(N3079&lt;= 21, S3079=10), N3079-11)</f>
        <v>10</v>
      </c>
    </row>
    <row r="3080" spans="1:22" x14ac:dyDescent="0.35">
      <c r="A3080" s="4">
        <v>45573</v>
      </c>
      <c r="B3080" s="5">
        <v>0.17690972222222223</v>
      </c>
      <c r="C3080">
        <v>67.400000000000006</v>
      </c>
      <c r="D3080">
        <v>67.099999999999994</v>
      </c>
      <c r="E3080">
        <v>68.099999999999994</v>
      </c>
      <c r="F3080">
        <v>67.7</v>
      </c>
      <c r="G3080">
        <v>0</v>
      </c>
      <c r="H3080">
        <v>0</v>
      </c>
      <c r="I3080">
        <v>0</v>
      </c>
      <c r="J3080">
        <v>0</v>
      </c>
      <c r="K3080">
        <v>63.3</v>
      </c>
      <c r="L3080">
        <v>63.6</v>
      </c>
      <c r="M3080">
        <v>67.52</v>
      </c>
      <c r="N3080">
        <v>8</v>
      </c>
      <c r="O3080">
        <v>7</v>
      </c>
      <c r="P3080">
        <f>MOD(DAY(datos_siembra[[#This Row],[Date]]),7)</f>
        <v>1</v>
      </c>
      <c r="Q3080" t="str">
        <f>CHOOSE(WEEKDAY(datos_siembra[[#This Row],[Date]],2),"L","M","X","J","V","S","D")</f>
        <v>M</v>
      </c>
      <c r="R3080">
        <f>WEEKNUM(datos_siembra[[#This Row],[Date]],2)-WEEKNUM(DATE(YEAR(datos_siembra[[#This Row],[Date]]),MONTH(datos_siembra[[#This Row],[Date]]),1))+1</f>
        <v>2</v>
      </c>
      <c r="S3080">
        <f>MONTH(datos_siembra[[#This Row],[Date]])</f>
        <v>10</v>
      </c>
      <c r="T3080" t="str" cm="1">
        <f t="array" ref="T3080">_xlfn.IFS(AND(N3080&lt;= 22, S3080=9), "SOWING",AND(N3080&lt;= 28, S3080=9), "COVERAGE",AND(N3080&lt;= 30, S3080=9), "FLUSH",AND(N3080&lt;= 11, S3080=10), "FLUSH",AND(N3080&lt;= 21, S3080=10), "PRODUCTION")</f>
        <v>FLUSH</v>
      </c>
      <c r="U3080">
        <f>HOUR(datos_siembra[[#This Row],[Hour]])</f>
        <v>4</v>
      </c>
      <c r="V3080" cm="1">
        <f t="array" ref="V3080">_xlfn.IFS(AND(N3080&lt;= 22, S3080=9), N3080-7,AND(N3080&lt;= 28, S3080=9), N3080-25,AND(N3080&lt;= 30, S3080=9), N3080-28,AND(N3080&lt;= 11, S3080=10), N3080+2,AND(N3080&lt;= 21, S3080=10), N3080-11)</f>
        <v>10</v>
      </c>
    </row>
    <row r="3081" spans="1:22" x14ac:dyDescent="0.35">
      <c r="A3081" s="4">
        <v>45573</v>
      </c>
      <c r="B3081" s="5">
        <v>0.18386574074074075</v>
      </c>
      <c r="C3081">
        <v>67.3</v>
      </c>
      <c r="D3081">
        <v>67.2</v>
      </c>
      <c r="E3081">
        <v>68.099999999999994</v>
      </c>
      <c r="F3081">
        <v>67.7</v>
      </c>
      <c r="G3081">
        <v>0</v>
      </c>
      <c r="H3081">
        <v>0</v>
      </c>
      <c r="I3081">
        <v>0</v>
      </c>
      <c r="J3081">
        <v>0</v>
      </c>
      <c r="K3081">
        <v>63.4</v>
      </c>
      <c r="L3081">
        <v>63.6</v>
      </c>
      <c r="M3081">
        <v>67.63</v>
      </c>
      <c r="N3081">
        <v>8</v>
      </c>
      <c r="O3081">
        <v>7</v>
      </c>
      <c r="P3081">
        <f>MOD(DAY(datos_siembra[[#This Row],[Date]]),7)</f>
        <v>1</v>
      </c>
      <c r="Q3081" t="str">
        <f>CHOOSE(WEEKDAY(datos_siembra[[#This Row],[Date]],2),"L","M","X","J","V","S","D")</f>
        <v>M</v>
      </c>
      <c r="R3081">
        <f>WEEKNUM(datos_siembra[[#This Row],[Date]],2)-WEEKNUM(DATE(YEAR(datos_siembra[[#This Row],[Date]]),MONTH(datos_siembra[[#This Row],[Date]]),1))+1</f>
        <v>2</v>
      </c>
      <c r="S3081">
        <f>MONTH(datos_siembra[[#This Row],[Date]])</f>
        <v>10</v>
      </c>
      <c r="T3081" t="str" cm="1">
        <f t="array" ref="T3081">_xlfn.IFS(AND(N3081&lt;= 22, S3081=9), "SOWING",AND(N3081&lt;= 28, S3081=9), "COVERAGE",AND(N3081&lt;= 30, S3081=9), "FLUSH",AND(N3081&lt;= 11, S3081=10), "FLUSH",AND(N3081&lt;= 21, S3081=10), "PRODUCTION")</f>
        <v>FLUSH</v>
      </c>
      <c r="U3081">
        <f>HOUR(datos_siembra[[#This Row],[Hour]])</f>
        <v>4</v>
      </c>
      <c r="V3081" cm="1">
        <f t="array" ref="V3081">_xlfn.IFS(AND(N3081&lt;= 22, S3081=9), N3081-7,AND(N3081&lt;= 28, S3081=9), N3081-25,AND(N3081&lt;= 30, S3081=9), N3081-28,AND(N3081&lt;= 11, S3081=10), N3081+2,AND(N3081&lt;= 21, S3081=10), N3081-11)</f>
        <v>10</v>
      </c>
    </row>
    <row r="3082" spans="1:22" x14ac:dyDescent="0.35">
      <c r="A3082" s="4">
        <v>45573</v>
      </c>
      <c r="B3082" s="5">
        <v>0.19081018518518519</v>
      </c>
      <c r="C3082">
        <v>67.3</v>
      </c>
      <c r="D3082">
        <v>67.099999999999994</v>
      </c>
      <c r="E3082">
        <v>68.2</v>
      </c>
      <c r="F3082">
        <v>67.8</v>
      </c>
      <c r="G3082">
        <v>0</v>
      </c>
      <c r="H3082">
        <v>0</v>
      </c>
      <c r="I3082">
        <v>0</v>
      </c>
      <c r="J3082">
        <v>0</v>
      </c>
      <c r="K3082">
        <v>63.3</v>
      </c>
      <c r="L3082">
        <v>63.5</v>
      </c>
      <c r="M3082">
        <v>67.66</v>
      </c>
      <c r="N3082">
        <v>8</v>
      </c>
      <c r="O3082">
        <v>7</v>
      </c>
      <c r="P3082">
        <f>MOD(DAY(datos_siembra[[#This Row],[Date]]),7)</f>
        <v>1</v>
      </c>
      <c r="Q3082" t="str">
        <f>CHOOSE(WEEKDAY(datos_siembra[[#This Row],[Date]],2),"L","M","X","J","V","S","D")</f>
        <v>M</v>
      </c>
      <c r="R3082">
        <f>WEEKNUM(datos_siembra[[#This Row],[Date]],2)-WEEKNUM(DATE(YEAR(datos_siembra[[#This Row],[Date]]),MONTH(datos_siembra[[#This Row],[Date]]),1))+1</f>
        <v>2</v>
      </c>
      <c r="S3082">
        <f>MONTH(datos_siembra[[#This Row],[Date]])</f>
        <v>10</v>
      </c>
      <c r="T3082" t="str" cm="1">
        <f t="array" ref="T3082">_xlfn.IFS(AND(N3082&lt;= 22, S3082=9), "SOWING",AND(N3082&lt;= 28, S3082=9), "COVERAGE",AND(N3082&lt;= 30, S3082=9), "FLUSH",AND(N3082&lt;= 11, S3082=10), "FLUSH",AND(N3082&lt;= 21, S3082=10), "PRODUCTION")</f>
        <v>FLUSH</v>
      </c>
      <c r="U3082">
        <f>HOUR(datos_siembra[[#This Row],[Hour]])</f>
        <v>4</v>
      </c>
      <c r="V3082" cm="1">
        <f t="array" ref="V3082">_xlfn.IFS(AND(N3082&lt;= 22, S3082=9), N3082-7,AND(N3082&lt;= 28, S3082=9), N3082-25,AND(N3082&lt;= 30, S3082=9), N3082-28,AND(N3082&lt;= 11, S3082=10), N3082+2,AND(N3082&lt;= 21, S3082=10), N3082-11)</f>
        <v>10</v>
      </c>
    </row>
    <row r="3083" spans="1:22" x14ac:dyDescent="0.35">
      <c r="A3083" s="4">
        <v>45573</v>
      </c>
      <c r="B3083" s="5">
        <v>0.19775462962962964</v>
      </c>
      <c r="C3083">
        <v>67.3</v>
      </c>
      <c r="D3083">
        <v>67.2</v>
      </c>
      <c r="E3083">
        <v>68.099999999999994</v>
      </c>
      <c r="F3083">
        <v>67.8</v>
      </c>
      <c r="G3083">
        <v>0</v>
      </c>
      <c r="H3083">
        <v>0</v>
      </c>
      <c r="I3083">
        <v>0</v>
      </c>
      <c r="J3083">
        <v>0</v>
      </c>
      <c r="K3083">
        <v>63.3</v>
      </c>
      <c r="L3083">
        <v>63.6</v>
      </c>
      <c r="M3083">
        <v>67.61</v>
      </c>
      <c r="N3083">
        <v>8</v>
      </c>
      <c r="O3083">
        <v>7</v>
      </c>
      <c r="P3083">
        <f>MOD(DAY(datos_siembra[[#This Row],[Date]]),7)</f>
        <v>1</v>
      </c>
      <c r="Q3083" t="str">
        <f>CHOOSE(WEEKDAY(datos_siembra[[#This Row],[Date]],2),"L","M","X","J","V","S","D")</f>
        <v>M</v>
      </c>
      <c r="R3083">
        <f>WEEKNUM(datos_siembra[[#This Row],[Date]],2)-WEEKNUM(DATE(YEAR(datos_siembra[[#This Row],[Date]]),MONTH(datos_siembra[[#This Row],[Date]]),1))+1</f>
        <v>2</v>
      </c>
      <c r="S3083">
        <f>MONTH(datos_siembra[[#This Row],[Date]])</f>
        <v>10</v>
      </c>
      <c r="T3083" t="str" cm="1">
        <f t="array" ref="T3083">_xlfn.IFS(AND(N3083&lt;= 22, S3083=9), "SOWING",AND(N3083&lt;= 28, S3083=9), "COVERAGE",AND(N3083&lt;= 30, S3083=9), "FLUSH",AND(N3083&lt;= 11, S3083=10), "FLUSH",AND(N3083&lt;= 21, S3083=10), "PRODUCTION")</f>
        <v>FLUSH</v>
      </c>
      <c r="U3083">
        <f>HOUR(datos_siembra[[#This Row],[Hour]])</f>
        <v>4</v>
      </c>
      <c r="V3083" cm="1">
        <f t="array" ref="V3083">_xlfn.IFS(AND(N3083&lt;= 22, S3083=9), N3083-7,AND(N3083&lt;= 28, S3083=9), N3083-25,AND(N3083&lt;= 30, S3083=9), N3083-28,AND(N3083&lt;= 11, S3083=10), N3083+2,AND(N3083&lt;= 21, S3083=10), N3083-11)</f>
        <v>10</v>
      </c>
    </row>
    <row r="3084" spans="1:22" x14ac:dyDescent="0.35">
      <c r="A3084" s="4">
        <v>45573</v>
      </c>
      <c r="B3084" s="5">
        <v>0.20471064814814816</v>
      </c>
      <c r="C3084">
        <v>67.400000000000006</v>
      </c>
      <c r="D3084">
        <v>67.099999999999994</v>
      </c>
      <c r="E3084">
        <v>68.2</v>
      </c>
      <c r="F3084">
        <v>67.7</v>
      </c>
      <c r="G3084">
        <v>0</v>
      </c>
      <c r="H3084">
        <v>0</v>
      </c>
      <c r="I3084">
        <v>0</v>
      </c>
      <c r="J3084">
        <v>0</v>
      </c>
      <c r="K3084">
        <v>63.2</v>
      </c>
      <c r="L3084">
        <v>63.4</v>
      </c>
      <c r="M3084">
        <v>67.58</v>
      </c>
      <c r="N3084">
        <v>8</v>
      </c>
      <c r="O3084">
        <v>7</v>
      </c>
      <c r="P3084">
        <f>MOD(DAY(datos_siembra[[#This Row],[Date]]),7)</f>
        <v>1</v>
      </c>
      <c r="Q3084" t="str">
        <f>CHOOSE(WEEKDAY(datos_siembra[[#This Row],[Date]],2),"L","M","X","J","V","S","D")</f>
        <v>M</v>
      </c>
      <c r="R3084">
        <f>WEEKNUM(datos_siembra[[#This Row],[Date]],2)-WEEKNUM(DATE(YEAR(datos_siembra[[#This Row],[Date]]),MONTH(datos_siembra[[#This Row],[Date]]),1))+1</f>
        <v>2</v>
      </c>
      <c r="S3084">
        <f>MONTH(datos_siembra[[#This Row],[Date]])</f>
        <v>10</v>
      </c>
      <c r="T3084" t="str" cm="1">
        <f t="array" ref="T3084">_xlfn.IFS(AND(N3084&lt;= 22, S3084=9), "SOWING",AND(N3084&lt;= 28, S3084=9), "COVERAGE",AND(N3084&lt;= 30, S3084=9), "FLUSH",AND(N3084&lt;= 11, S3084=10), "FLUSH",AND(N3084&lt;= 21, S3084=10), "PRODUCTION")</f>
        <v>FLUSH</v>
      </c>
      <c r="U3084">
        <f>HOUR(datos_siembra[[#This Row],[Hour]])</f>
        <v>4</v>
      </c>
      <c r="V3084" cm="1">
        <f t="array" ref="V3084">_xlfn.IFS(AND(N3084&lt;= 22, S3084=9), N3084-7,AND(N3084&lt;= 28, S3084=9), N3084-25,AND(N3084&lt;= 30, S3084=9), N3084-28,AND(N3084&lt;= 11, S3084=10), N3084+2,AND(N3084&lt;= 21, S3084=10), N3084-11)</f>
        <v>10</v>
      </c>
    </row>
    <row r="3085" spans="1:22" x14ac:dyDescent="0.35">
      <c r="A3085" s="4">
        <v>45573</v>
      </c>
      <c r="B3085" s="5">
        <v>0.2116550925925926</v>
      </c>
      <c r="C3085">
        <v>67.3</v>
      </c>
      <c r="D3085">
        <v>67</v>
      </c>
      <c r="E3085">
        <v>68.2</v>
      </c>
      <c r="F3085">
        <v>67.7</v>
      </c>
      <c r="G3085">
        <v>0</v>
      </c>
      <c r="H3085">
        <v>0</v>
      </c>
      <c r="I3085">
        <v>0</v>
      </c>
      <c r="J3085">
        <v>0</v>
      </c>
      <c r="K3085">
        <v>63.2</v>
      </c>
      <c r="L3085">
        <v>63.5</v>
      </c>
      <c r="M3085">
        <v>67.55</v>
      </c>
      <c r="N3085">
        <v>8</v>
      </c>
      <c r="O3085">
        <v>7</v>
      </c>
      <c r="P3085">
        <f>MOD(DAY(datos_siembra[[#This Row],[Date]]),7)</f>
        <v>1</v>
      </c>
      <c r="Q3085" t="str">
        <f>CHOOSE(WEEKDAY(datos_siembra[[#This Row],[Date]],2),"L","M","X","J","V","S","D")</f>
        <v>M</v>
      </c>
      <c r="R3085">
        <f>WEEKNUM(datos_siembra[[#This Row],[Date]],2)-WEEKNUM(DATE(YEAR(datos_siembra[[#This Row],[Date]]),MONTH(datos_siembra[[#This Row],[Date]]),1))+1</f>
        <v>2</v>
      </c>
      <c r="S3085">
        <f>MONTH(datos_siembra[[#This Row],[Date]])</f>
        <v>10</v>
      </c>
      <c r="T3085" t="str" cm="1">
        <f t="array" ref="T3085">_xlfn.IFS(AND(N3085&lt;= 22, S3085=9), "SOWING",AND(N3085&lt;= 28, S3085=9), "COVERAGE",AND(N3085&lt;= 30, S3085=9), "FLUSH",AND(N3085&lt;= 11, S3085=10), "FLUSH",AND(N3085&lt;= 21, S3085=10), "PRODUCTION")</f>
        <v>FLUSH</v>
      </c>
      <c r="U3085">
        <f>HOUR(datos_siembra[[#This Row],[Hour]])</f>
        <v>5</v>
      </c>
      <c r="V3085" cm="1">
        <f t="array" ref="V3085">_xlfn.IFS(AND(N3085&lt;= 22, S3085=9), N3085-7,AND(N3085&lt;= 28, S3085=9), N3085-25,AND(N3085&lt;= 30, S3085=9), N3085-28,AND(N3085&lt;= 11, S3085=10), N3085+2,AND(N3085&lt;= 21, S3085=10), N3085-11)</f>
        <v>10</v>
      </c>
    </row>
    <row r="3086" spans="1:22" x14ac:dyDescent="0.35">
      <c r="A3086" s="4">
        <v>45573</v>
      </c>
      <c r="B3086" s="5">
        <v>0.21859953703703705</v>
      </c>
      <c r="C3086">
        <v>67.2</v>
      </c>
      <c r="D3086">
        <v>67.099999999999994</v>
      </c>
      <c r="E3086">
        <v>68.099999999999994</v>
      </c>
      <c r="F3086">
        <v>67.7</v>
      </c>
      <c r="G3086">
        <v>0</v>
      </c>
      <c r="H3086">
        <v>0</v>
      </c>
      <c r="I3086">
        <v>0</v>
      </c>
      <c r="J3086">
        <v>0</v>
      </c>
      <c r="K3086">
        <v>63.2</v>
      </c>
      <c r="L3086">
        <v>63.4</v>
      </c>
      <c r="M3086">
        <v>67.52</v>
      </c>
      <c r="N3086">
        <v>8</v>
      </c>
      <c r="O3086">
        <v>7</v>
      </c>
      <c r="P3086">
        <f>MOD(DAY(datos_siembra[[#This Row],[Date]]),7)</f>
        <v>1</v>
      </c>
      <c r="Q3086" t="str">
        <f>CHOOSE(WEEKDAY(datos_siembra[[#This Row],[Date]],2),"L","M","X","J","V","S","D")</f>
        <v>M</v>
      </c>
      <c r="R3086">
        <f>WEEKNUM(datos_siembra[[#This Row],[Date]],2)-WEEKNUM(DATE(YEAR(datos_siembra[[#This Row],[Date]]),MONTH(datos_siembra[[#This Row],[Date]]),1))+1</f>
        <v>2</v>
      </c>
      <c r="S3086">
        <f>MONTH(datos_siembra[[#This Row],[Date]])</f>
        <v>10</v>
      </c>
      <c r="T3086" t="str" cm="1">
        <f t="array" ref="T3086">_xlfn.IFS(AND(N3086&lt;= 22, S3086=9), "SOWING",AND(N3086&lt;= 28, S3086=9), "COVERAGE",AND(N3086&lt;= 30, S3086=9), "FLUSH",AND(N3086&lt;= 11, S3086=10), "FLUSH",AND(N3086&lt;= 21, S3086=10), "PRODUCTION")</f>
        <v>FLUSH</v>
      </c>
      <c r="U3086">
        <f>HOUR(datos_siembra[[#This Row],[Hour]])</f>
        <v>5</v>
      </c>
      <c r="V3086" cm="1">
        <f t="array" ref="V3086">_xlfn.IFS(AND(N3086&lt;= 22, S3086=9), N3086-7,AND(N3086&lt;= 28, S3086=9), N3086-25,AND(N3086&lt;= 30, S3086=9), N3086-28,AND(N3086&lt;= 11, S3086=10), N3086+2,AND(N3086&lt;= 21, S3086=10), N3086-11)</f>
        <v>10</v>
      </c>
    </row>
    <row r="3087" spans="1:22" x14ac:dyDescent="0.35">
      <c r="A3087" s="4">
        <v>45573</v>
      </c>
      <c r="B3087" s="5">
        <v>0.22554398148148147</v>
      </c>
      <c r="C3087">
        <v>67.400000000000006</v>
      </c>
      <c r="D3087">
        <v>67.099999999999994</v>
      </c>
      <c r="E3087">
        <v>68.099999999999994</v>
      </c>
      <c r="F3087">
        <v>67.599999999999994</v>
      </c>
      <c r="G3087">
        <v>0</v>
      </c>
      <c r="H3087">
        <v>0</v>
      </c>
      <c r="I3087">
        <v>0</v>
      </c>
      <c r="J3087">
        <v>0</v>
      </c>
      <c r="K3087">
        <v>63.2</v>
      </c>
      <c r="L3087">
        <v>63.4</v>
      </c>
      <c r="M3087">
        <v>67.63</v>
      </c>
      <c r="N3087">
        <v>8</v>
      </c>
      <c r="O3087">
        <v>7</v>
      </c>
      <c r="P3087">
        <f>MOD(DAY(datos_siembra[[#This Row],[Date]]),7)</f>
        <v>1</v>
      </c>
      <c r="Q3087" t="str">
        <f>CHOOSE(WEEKDAY(datos_siembra[[#This Row],[Date]],2),"L","M","X","J","V","S","D")</f>
        <v>M</v>
      </c>
      <c r="R3087">
        <f>WEEKNUM(datos_siembra[[#This Row],[Date]],2)-WEEKNUM(DATE(YEAR(datos_siembra[[#This Row],[Date]]),MONTH(datos_siembra[[#This Row],[Date]]),1))+1</f>
        <v>2</v>
      </c>
      <c r="S3087">
        <f>MONTH(datos_siembra[[#This Row],[Date]])</f>
        <v>10</v>
      </c>
      <c r="T3087" t="str" cm="1">
        <f t="array" ref="T3087">_xlfn.IFS(AND(N3087&lt;= 22, S3087=9), "SOWING",AND(N3087&lt;= 28, S3087=9), "COVERAGE",AND(N3087&lt;= 30, S3087=9), "FLUSH",AND(N3087&lt;= 11, S3087=10), "FLUSH",AND(N3087&lt;= 21, S3087=10), "PRODUCTION")</f>
        <v>FLUSH</v>
      </c>
      <c r="U3087">
        <f>HOUR(datos_siembra[[#This Row],[Hour]])</f>
        <v>5</v>
      </c>
      <c r="V3087" cm="1">
        <f t="array" ref="V3087">_xlfn.IFS(AND(N3087&lt;= 22, S3087=9), N3087-7,AND(N3087&lt;= 28, S3087=9), N3087-25,AND(N3087&lt;= 30, S3087=9), N3087-28,AND(N3087&lt;= 11, S3087=10), N3087+2,AND(N3087&lt;= 21, S3087=10), N3087-11)</f>
        <v>10</v>
      </c>
    </row>
    <row r="3088" spans="1:22" x14ac:dyDescent="0.35">
      <c r="A3088" s="4">
        <v>45573</v>
      </c>
      <c r="B3088" s="5">
        <v>0.23250000000000001</v>
      </c>
      <c r="C3088">
        <v>67.3</v>
      </c>
      <c r="D3088">
        <v>67</v>
      </c>
      <c r="E3088">
        <v>68.2</v>
      </c>
      <c r="F3088">
        <v>67.7</v>
      </c>
      <c r="G3088">
        <v>0</v>
      </c>
      <c r="H3088">
        <v>0</v>
      </c>
      <c r="I3088">
        <v>0</v>
      </c>
      <c r="J3088">
        <v>0</v>
      </c>
      <c r="K3088">
        <v>63</v>
      </c>
      <c r="L3088">
        <v>63.3</v>
      </c>
      <c r="M3088">
        <v>67.63</v>
      </c>
      <c r="N3088">
        <v>8</v>
      </c>
      <c r="O3088">
        <v>7</v>
      </c>
      <c r="P3088">
        <f>MOD(DAY(datos_siembra[[#This Row],[Date]]),7)</f>
        <v>1</v>
      </c>
      <c r="Q3088" t="str">
        <f>CHOOSE(WEEKDAY(datos_siembra[[#This Row],[Date]],2),"L","M","X","J","V","S","D")</f>
        <v>M</v>
      </c>
      <c r="R3088">
        <f>WEEKNUM(datos_siembra[[#This Row],[Date]],2)-WEEKNUM(DATE(YEAR(datos_siembra[[#This Row],[Date]]),MONTH(datos_siembra[[#This Row],[Date]]),1))+1</f>
        <v>2</v>
      </c>
      <c r="S3088">
        <f>MONTH(datos_siembra[[#This Row],[Date]])</f>
        <v>10</v>
      </c>
      <c r="T3088" t="str" cm="1">
        <f t="array" ref="T3088">_xlfn.IFS(AND(N3088&lt;= 22, S3088=9), "SOWING",AND(N3088&lt;= 28, S3088=9), "COVERAGE",AND(N3088&lt;= 30, S3088=9), "FLUSH",AND(N3088&lt;= 11, S3088=10), "FLUSH",AND(N3088&lt;= 21, S3088=10), "PRODUCTION")</f>
        <v>FLUSH</v>
      </c>
      <c r="U3088">
        <f>HOUR(datos_siembra[[#This Row],[Hour]])</f>
        <v>5</v>
      </c>
      <c r="V3088" cm="1">
        <f t="array" ref="V3088">_xlfn.IFS(AND(N3088&lt;= 22, S3088=9), N3088-7,AND(N3088&lt;= 28, S3088=9), N3088-25,AND(N3088&lt;= 30, S3088=9), N3088-28,AND(N3088&lt;= 11, S3088=10), N3088+2,AND(N3088&lt;= 21, S3088=10), N3088-11)</f>
        <v>10</v>
      </c>
    </row>
    <row r="3089" spans="1:22" x14ac:dyDescent="0.35">
      <c r="A3089" s="4">
        <v>45573</v>
      </c>
      <c r="B3089" s="5">
        <v>0.23944444444444443</v>
      </c>
      <c r="C3089">
        <v>67.400000000000006</v>
      </c>
      <c r="D3089">
        <v>67</v>
      </c>
      <c r="E3089">
        <v>68.3</v>
      </c>
      <c r="F3089">
        <v>67.599999999999994</v>
      </c>
      <c r="G3089">
        <v>0</v>
      </c>
      <c r="H3089">
        <v>0</v>
      </c>
      <c r="I3089">
        <v>0</v>
      </c>
      <c r="J3089">
        <v>0</v>
      </c>
      <c r="K3089">
        <v>63</v>
      </c>
      <c r="L3089">
        <v>63.3</v>
      </c>
      <c r="M3089">
        <v>67.66</v>
      </c>
      <c r="N3089">
        <v>8</v>
      </c>
      <c r="O3089">
        <v>7</v>
      </c>
      <c r="P3089">
        <f>MOD(DAY(datos_siembra[[#This Row],[Date]]),7)</f>
        <v>1</v>
      </c>
      <c r="Q3089" t="str">
        <f>CHOOSE(WEEKDAY(datos_siembra[[#This Row],[Date]],2),"L","M","X","J","V","S","D")</f>
        <v>M</v>
      </c>
      <c r="R3089">
        <f>WEEKNUM(datos_siembra[[#This Row],[Date]],2)-WEEKNUM(DATE(YEAR(datos_siembra[[#This Row],[Date]]),MONTH(datos_siembra[[#This Row],[Date]]),1))+1</f>
        <v>2</v>
      </c>
      <c r="S3089">
        <f>MONTH(datos_siembra[[#This Row],[Date]])</f>
        <v>10</v>
      </c>
      <c r="T3089" t="str" cm="1">
        <f t="array" ref="T3089">_xlfn.IFS(AND(N3089&lt;= 22, S3089=9), "SOWING",AND(N3089&lt;= 28, S3089=9), "COVERAGE",AND(N3089&lt;= 30, S3089=9), "FLUSH",AND(N3089&lt;= 11, S3089=10), "FLUSH",AND(N3089&lt;= 21, S3089=10), "PRODUCTION")</f>
        <v>FLUSH</v>
      </c>
      <c r="U3089">
        <f>HOUR(datos_siembra[[#This Row],[Hour]])</f>
        <v>5</v>
      </c>
      <c r="V3089" cm="1">
        <f t="array" ref="V3089">_xlfn.IFS(AND(N3089&lt;= 22, S3089=9), N3089-7,AND(N3089&lt;= 28, S3089=9), N3089-25,AND(N3089&lt;= 30, S3089=9), N3089-28,AND(N3089&lt;= 11, S3089=10), N3089+2,AND(N3089&lt;= 21, S3089=10), N3089-11)</f>
        <v>10</v>
      </c>
    </row>
    <row r="3090" spans="1:22" x14ac:dyDescent="0.35">
      <c r="A3090" s="4">
        <v>45573</v>
      </c>
      <c r="B3090" s="5">
        <v>0.24638888888888888</v>
      </c>
      <c r="C3090">
        <v>67.400000000000006</v>
      </c>
      <c r="D3090">
        <v>67.099999999999994</v>
      </c>
      <c r="E3090">
        <v>68.5</v>
      </c>
      <c r="F3090">
        <v>67.8</v>
      </c>
      <c r="G3090">
        <v>0</v>
      </c>
      <c r="H3090">
        <v>0</v>
      </c>
      <c r="I3090">
        <v>0</v>
      </c>
      <c r="J3090">
        <v>0</v>
      </c>
      <c r="K3090">
        <v>63</v>
      </c>
      <c r="L3090">
        <v>63.3</v>
      </c>
      <c r="M3090">
        <v>67.55</v>
      </c>
      <c r="N3090">
        <v>8</v>
      </c>
      <c r="O3090">
        <v>7</v>
      </c>
      <c r="P3090">
        <f>MOD(DAY(datos_siembra[[#This Row],[Date]]),7)</f>
        <v>1</v>
      </c>
      <c r="Q3090" t="str">
        <f>CHOOSE(WEEKDAY(datos_siembra[[#This Row],[Date]],2),"L","M","X","J","V","S","D")</f>
        <v>M</v>
      </c>
      <c r="R3090">
        <f>WEEKNUM(datos_siembra[[#This Row],[Date]],2)-WEEKNUM(DATE(YEAR(datos_siembra[[#This Row],[Date]]),MONTH(datos_siembra[[#This Row],[Date]]),1))+1</f>
        <v>2</v>
      </c>
      <c r="S3090">
        <f>MONTH(datos_siembra[[#This Row],[Date]])</f>
        <v>10</v>
      </c>
      <c r="T3090" t="str" cm="1">
        <f t="array" ref="T3090">_xlfn.IFS(AND(N3090&lt;= 22, S3090=9), "SOWING",AND(N3090&lt;= 28, S3090=9), "COVERAGE",AND(N3090&lt;= 30, S3090=9), "FLUSH",AND(N3090&lt;= 11, S3090=10), "FLUSH",AND(N3090&lt;= 21, S3090=10), "PRODUCTION")</f>
        <v>FLUSH</v>
      </c>
      <c r="U3090">
        <f>HOUR(datos_siembra[[#This Row],[Hour]])</f>
        <v>5</v>
      </c>
      <c r="V3090" cm="1">
        <f t="array" ref="V3090">_xlfn.IFS(AND(N3090&lt;= 22, S3090=9), N3090-7,AND(N3090&lt;= 28, S3090=9), N3090-25,AND(N3090&lt;= 30, S3090=9), N3090-28,AND(N3090&lt;= 11, S3090=10), N3090+2,AND(N3090&lt;= 21, S3090=10), N3090-11)</f>
        <v>10</v>
      </c>
    </row>
    <row r="3091" spans="1:22" x14ac:dyDescent="0.35">
      <c r="A3091" s="4">
        <v>45573</v>
      </c>
      <c r="B3091" s="5">
        <v>0.25333333333333335</v>
      </c>
      <c r="C3091">
        <v>67.2</v>
      </c>
      <c r="D3091">
        <v>67.099999999999994</v>
      </c>
      <c r="E3091">
        <v>68.2</v>
      </c>
      <c r="F3091">
        <v>67.900000000000006</v>
      </c>
      <c r="G3091">
        <v>0</v>
      </c>
      <c r="H3091">
        <v>0</v>
      </c>
      <c r="I3091">
        <v>0</v>
      </c>
      <c r="J3091">
        <v>0</v>
      </c>
      <c r="K3091">
        <v>62.9</v>
      </c>
      <c r="L3091">
        <v>63.2</v>
      </c>
      <c r="M3091">
        <v>67.66</v>
      </c>
      <c r="N3091">
        <v>8</v>
      </c>
      <c r="O3091">
        <v>7</v>
      </c>
      <c r="P3091">
        <f>MOD(DAY(datos_siembra[[#This Row],[Date]]),7)</f>
        <v>1</v>
      </c>
      <c r="Q3091" t="str">
        <f>CHOOSE(WEEKDAY(datos_siembra[[#This Row],[Date]],2),"L","M","X","J","V","S","D")</f>
        <v>M</v>
      </c>
      <c r="R3091">
        <f>WEEKNUM(datos_siembra[[#This Row],[Date]],2)-WEEKNUM(DATE(YEAR(datos_siembra[[#This Row],[Date]]),MONTH(datos_siembra[[#This Row],[Date]]),1))+1</f>
        <v>2</v>
      </c>
      <c r="S3091">
        <f>MONTH(datos_siembra[[#This Row],[Date]])</f>
        <v>10</v>
      </c>
      <c r="T3091" t="str" cm="1">
        <f t="array" ref="T3091">_xlfn.IFS(AND(N3091&lt;= 22, S3091=9), "SOWING",AND(N3091&lt;= 28, S3091=9), "COVERAGE",AND(N3091&lt;= 30, S3091=9), "FLUSH",AND(N3091&lt;= 11, S3091=10), "FLUSH",AND(N3091&lt;= 21, S3091=10), "PRODUCTION")</f>
        <v>FLUSH</v>
      </c>
      <c r="U3091">
        <f>HOUR(datos_siembra[[#This Row],[Hour]])</f>
        <v>6</v>
      </c>
      <c r="V3091" cm="1">
        <f t="array" ref="V3091">_xlfn.IFS(AND(N3091&lt;= 22, S3091=9), N3091-7,AND(N3091&lt;= 28, S3091=9), N3091-25,AND(N3091&lt;= 30, S3091=9), N3091-28,AND(N3091&lt;= 11, S3091=10), N3091+2,AND(N3091&lt;= 21, S3091=10), N3091-11)</f>
        <v>10</v>
      </c>
    </row>
    <row r="3092" spans="1:22" x14ac:dyDescent="0.35">
      <c r="A3092" s="4">
        <v>45573</v>
      </c>
      <c r="B3092" s="5">
        <v>0.26028935185185187</v>
      </c>
      <c r="C3092">
        <v>67.599999999999994</v>
      </c>
      <c r="D3092">
        <v>67.099999999999994</v>
      </c>
      <c r="E3092">
        <v>68.5</v>
      </c>
      <c r="F3092">
        <v>67.8</v>
      </c>
      <c r="G3092">
        <v>0</v>
      </c>
      <c r="H3092">
        <v>0</v>
      </c>
      <c r="I3092">
        <v>0</v>
      </c>
      <c r="J3092">
        <v>0</v>
      </c>
      <c r="K3092">
        <v>62.9</v>
      </c>
      <c r="L3092">
        <v>63.2</v>
      </c>
      <c r="M3092">
        <v>67.63</v>
      </c>
      <c r="N3092">
        <v>8</v>
      </c>
      <c r="O3092">
        <v>7</v>
      </c>
      <c r="P3092">
        <f>MOD(DAY(datos_siembra[[#This Row],[Date]]),7)</f>
        <v>1</v>
      </c>
      <c r="Q3092" t="str">
        <f>CHOOSE(WEEKDAY(datos_siembra[[#This Row],[Date]],2),"L","M","X","J","V","S","D")</f>
        <v>M</v>
      </c>
      <c r="R3092">
        <f>WEEKNUM(datos_siembra[[#This Row],[Date]],2)-WEEKNUM(DATE(YEAR(datos_siembra[[#This Row],[Date]]),MONTH(datos_siembra[[#This Row],[Date]]),1))+1</f>
        <v>2</v>
      </c>
      <c r="S3092">
        <f>MONTH(datos_siembra[[#This Row],[Date]])</f>
        <v>10</v>
      </c>
      <c r="T3092" t="str" cm="1">
        <f t="array" ref="T3092">_xlfn.IFS(AND(N3092&lt;= 22, S3092=9), "SOWING",AND(N3092&lt;= 28, S3092=9), "COVERAGE",AND(N3092&lt;= 30, S3092=9), "FLUSH",AND(N3092&lt;= 11, S3092=10), "FLUSH",AND(N3092&lt;= 21, S3092=10), "PRODUCTION")</f>
        <v>FLUSH</v>
      </c>
      <c r="U3092">
        <f>HOUR(datos_siembra[[#This Row],[Hour]])</f>
        <v>6</v>
      </c>
      <c r="V3092" cm="1">
        <f t="array" ref="V3092">_xlfn.IFS(AND(N3092&lt;= 22, S3092=9), N3092-7,AND(N3092&lt;= 28, S3092=9), N3092-25,AND(N3092&lt;= 30, S3092=9), N3092-28,AND(N3092&lt;= 11, S3092=10), N3092+2,AND(N3092&lt;= 21, S3092=10), N3092-11)</f>
        <v>10</v>
      </c>
    </row>
    <row r="3093" spans="1:22" x14ac:dyDescent="0.35">
      <c r="A3093" s="4">
        <v>45573</v>
      </c>
      <c r="B3093" s="5">
        <v>0.26723379629629629</v>
      </c>
      <c r="C3093">
        <v>67.3</v>
      </c>
      <c r="D3093">
        <v>67.099999999999994</v>
      </c>
      <c r="E3093">
        <v>68.3</v>
      </c>
      <c r="F3093">
        <v>67.7</v>
      </c>
      <c r="G3093">
        <v>0</v>
      </c>
      <c r="H3093">
        <v>0</v>
      </c>
      <c r="I3093">
        <v>0</v>
      </c>
      <c r="J3093">
        <v>0</v>
      </c>
      <c r="K3093">
        <v>62.9</v>
      </c>
      <c r="L3093">
        <v>63</v>
      </c>
      <c r="M3093">
        <v>67.58</v>
      </c>
      <c r="N3093">
        <v>8</v>
      </c>
      <c r="O3093">
        <v>7</v>
      </c>
      <c r="P3093">
        <f>MOD(DAY(datos_siembra[[#This Row],[Date]]),7)</f>
        <v>1</v>
      </c>
      <c r="Q3093" t="str">
        <f>CHOOSE(WEEKDAY(datos_siembra[[#This Row],[Date]],2),"L","M","X","J","V","S","D")</f>
        <v>M</v>
      </c>
      <c r="R3093">
        <f>WEEKNUM(datos_siembra[[#This Row],[Date]],2)-WEEKNUM(DATE(YEAR(datos_siembra[[#This Row],[Date]]),MONTH(datos_siembra[[#This Row],[Date]]),1))+1</f>
        <v>2</v>
      </c>
      <c r="S3093">
        <f>MONTH(datos_siembra[[#This Row],[Date]])</f>
        <v>10</v>
      </c>
      <c r="T3093" t="str" cm="1">
        <f t="array" ref="T3093">_xlfn.IFS(AND(N3093&lt;= 22, S3093=9), "SOWING",AND(N3093&lt;= 28, S3093=9), "COVERAGE",AND(N3093&lt;= 30, S3093=9), "FLUSH",AND(N3093&lt;= 11, S3093=10), "FLUSH",AND(N3093&lt;= 21, S3093=10), "PRODUCTION")</f>
        <v>FLUSH</v>
      </c>
      <c r="U3093">
        <f>HOUR(datos_siembra[[#This Row],[Hour]])</f>
        <v>6</v>
      </c>
      <c r="V3093" cm="1">
        <f t="array" ref="V3093">_xlfn.IFS(AND(N3093&lt;= 22, S3093=9), N3093-7,AND(N3093&lt;= 28, S3093=9), N3093-25,AND(N3093&lt;= 30, S3093=9), N3093-28,AND(N3093&lt;= 11, S3093=10), N3093+2,AND(N3093&lt;= 21, S3093=10), N3093-11)</f>
        <v>10</v>
      </c>
    </row>
    <row r="3094" spans="1:22" x14ac:dyDescent="0.35">
      <c r="A3094" s="4">
        <v>45573</v>
      </c>
      <c r="B3094" s="5">
        <v>0.27417824074074076</v>
      </c>
      <c r="C3094">
        <v>67.400000000000006</v>
      </c>
      <c r="D3094">
        <v>67</v>
      </c>
      <c r="E3094">
        <v>68.099999999999994</v>
      </c>
      <c r="F3094">
        <v>67.7</v>
      </c>
      <c r="G3094">
        <v>0</v>
      </c>
      <c r="H3094">
        <v>0</v>
      </c>
      <c r="I3094">
        <v>0</v>
      </c>
      <c r="J3094">
        <v>0</v>
      </c>
      <c r="K3094">
        <v>62.9</v>
      </c>
      <c r="L3094">
        <v>63.2</v>
      </c>
      <c r="M3094">
        <v>67.72</v>
      </c>
      <c r="N3094">
        <v>8</v>
      </c>
      <c r="O3094">
        <v>7</v>
      </c>
      <c r="P3094">
        <f>MOD(DAY(datos_siembra[[#This Row],[Date]]),7)</f>
        <v>1</v>
      </c>
      <c r="Q3094" t="str">
        <f>CHOOSE(WEEKDAY(datos_siembra[[#This Row],[Date]],2),"L","M","X","J","V","S","D")</f>
        <v>M</v>
      </c>
      <c r="R3094">
        <f>WEEKNUM(datos_siembra[[#This Row],[Date]],2)-WEEKNUM(DATE(YEAR(datos_siembra[[#This Row],[Date]]),MONTH(datos_siembra[[#This Row],[Date]]),1))+1</f>
        <v>2</v>
      </c>
      <c r="S3094">
        <f>MONTH(datos_siembra[[#This Row],[Date]])</f>
        <v>10</v>
      </c>
      <c r="T3094" t="str" cm="1">
        <f t="array" ref="T3094">_xlfn.IFS(AND(N3094&lt;= 22, S3094=9), "SOWING",AND(N3094&lt;= 28, S3094=9), "COVERAGE",AND(N3094&lt;= 30, S3094=9), "FLUSH",AND(N3094&lt;= 11, S3094=10), "FLUSH",AND(N3094&lt;= 21, S3094=10), "PRODUCTION")</f>
        <v>FLUSH</v>
      </c>
      <c r="U3094">
        <f>HOUR(datos_siembra[[#This Row],[Hour]])</f>
        <v>6</v>
      </c>
      <c r="V3094" cm="1">
        <f t="array" ref="V3094">_xlfn.IFS(AND(N3094&lt;= 22, S3094=9), N3094-7,AND(N3094&lt;= 28, S3094=9), N3094-25,AND(N3094&lt;= 30, S3094=9), N3094-28,AND(N3094&lt;= 11, S3094=10), N3094+2,AND(N3094&lt;= 21, S3094=10), N3094-11)</f>
        <v>10</v>
      </c>
    </row>
    <row r="3095" spans="1:22" x14ac:dyDescent="0.35">
      <c r="A3095" s="4">
        <v>45573</v>
      </c>
      <c r="B3095" s="5">
        <v>0.28113425925925928</v>
      </c>
      <c r="C3095">
        <v>67.3</v>
      </c>
      <c r="D3095">
        <v>67.099999999999994</v>
      </c>
      <c r="E3095">
        <v>68.5</v>
      </c>
      <c r="F3095">
        <v>67.900000000000006</v>
      </c>
      <c r="G3095">
        <v>0</v>
      </c>
      <c r="H3095">
        <v>0</v>
      </c>
      <c r="I3095">
        <v>0</v>
      </c>
      <c r="J3095">
        <v>0</v>
      </c>
      <c r="K3095">
        <v>62.8</v>
      </c>
      <c r="L3095">
        <v>63</v>
      </c>
      <c r="M3095">
        <v>67.61</v>
      </c>
      <c r="N3095">
        <v>8</v>
      </c>
      <c r="O3095">
        <v>7</v>
      </c>
      <c r="P3095">
        <f>MOD(DAY(datos_siembra[[#This Row],[Date]]),7)</f>
        <v>1</v>
      </c>
      <c r="Q3095" t="str">
        <f>CHOOSE(WEEKDAY(datos_siembra[[#This Row],[Date]],2),"L","M","X","J","V","S","D")</f>
        <v>M</v>
      </c>
      <c r="R3095">
        <f>WEEKNUM(datos_siembra[[#This Row],[Date]],2)-WEEKNUM(DATE(YEAR(datos_siembra[[#This Row],[Date]]),MONTH(datos_siembra[[#This Row],[Date]]),1))+1</f>
        <v>2</v>
      </c>
      <c r="S3095">
        <f>MONTH(datos_siembra[[#This Row],[Date]])</f>
        <v>10</v>
      </c>
      <c r="T3095" t="str" cm="1">
        <f t="array" ref="T3095">_xlfn.IFS(AND(N3095&lt;= 22, S3095=9), "SOWING",AND(N3095&lt;= 28, S3095=9), "COVERAGE",AND(N3095&lt;= 30, S3095=9), "FLUSH",AND(N3095&lt;= 11, S3095=10), "FLUSH",AND(N3095&lt;= 21, S3095=10), "PRODUCTION")</f>
        <v>FLUSH</v>
      </c>
      <c r="U3095">
        <f>HOUR(datos_siembra[[#This Row],[Hour]])</f>
        <v>6</v>
      </c>
      <c r="V3095" cm="1">
        <f t="array" ref="V3095">_xlfn.IFS(AND(N3095&lt;= 22, S3095=9), N3095-7,AND(N3095&lt;= 28, S3095=9), N3095-25,AND(N3095&lt;= 30, S3095=9), N3095-28,AND(N3095&lt;= 11, S3095=10), N3095+2,AND(N3095&lt;= 21, S3095=10), N3095-11)</f>
        <v>10</v>
      </c>
    </row>
    <row r="3096" spans="1:22" x14ac:dyDescent="0.35">
      <c r="A3096" s="4">
        <v>45573</v>
      </c>
      <c r="B3096" s="5">
        <v>0.2880787037037037</v>
      </c>
      <c r="C3096">
        <v>67.400000000000006</v>
      </c>
      <c r="D3096">
        <v>67.099999999999994</v>
      </c>
      <c r="E3096">
        <v>68.3</v>
      </c>
      <c r="F3096">
        <v>67.7</v>
      </c>
      <c r="G3096">
        <v>0</v>
      </c>
      <c r="H3096">
        <v>0</v>
      </c>
      <c r="I3096">
        <v>0</v>
      </c>
      <c r="J3096">
        <v>0</v>
      </c>
      <c r="K3096">
        <v>62.8</v>
      </c>
      <c r="L3096">
        <v>63.2</v>
      </c>
      <c r="M3096">
        <v>67.63</v>
      </c>
      <c r="N3096">
        <v>8</v>
      </c>
      <c r="O3096">
        <v>7</v>
      </c>
      <c r="P3096">
        <f>MOD(DAY(datos_siembra[[#This Row],[Date]]),7)</f>
        <v>1</v>
      </c>
      <c r="Q3096" t="str">
        <f>CHOOSE(WEEKDAY(datos_siembra[[#This Row],[Date]],2),"L","M","X","J","V","S","D")</f>
        <v>M</v>
      </c>
      <c r="R3096">
        <f>WEEKNUM(datos_siembra[[#This Row],[Date]],2)-WEEKNUM(DATE(YEAR(datos_siembra[[#This Row],[Date]]),MONTH(datos_siembra[[#This Row],[Date]]),1))+1</f>
        <v>2</v>
      </c>
      <c r="S3096">
        <f>MONTH(datos_siembra[[#This Row],[Date]])</f>
        <v>10</v>
      </c>
      <c r="T3096" t="str" cm="1">
        <f t="array" ref="T3096">_xlfn.IFS(AND(N3096&lt;= 22, S3096=9), "SOWING",AND(N3096&lt;= 28, S3096=9), "COVERAGE",AND(N3096&lt;= 30, S3096=9), "FLUSH",AND(N3096&lt;= 11, S3096=10), "FLUSH",AND(N3096&lt;= 21, S3096=10), "PRODUCTION")</f>
        <v>FLUSH</v>
      </c>
      <c r="U3096">
        <f>HOUR(datos_siembra[[#This Row],[Hour]])</f>
        <v>6</v>
      </c>
      <c r="V3096" cm="1">
        <f t="array" ref="V3096">_xlfn.IFS(AND(N3096&lt;= 22, S3096=9), N3096-7,AND(N3096&lt;= 28, S3096=9), N3096-25,AND(N3096&lt;= 30, S3096=9), N3096-28,AND(N3096&lt;= 11, S3096=10), N3096+2,AND(N3096&lt;= 21, S3096=10), N3096-11)</f>
        <v>10</v>
      </c>
    </row>
    <row r="3097" spans="1:22" x14ac:dyDescent="0.35">
      <c r="A3097" s="4">
        <v>45573</v>
      </c>
      <c r="B3097" s="5">
        <v>0.29502314814814817</v>
      </c>
      <c r="C3097">
        <v>67.400000000000006</v>
      </c>
      <c r="D3097">
        <v>67.099999999999994</v>
      </c>
      <c r="E3097">
        <v>68.599999999999994</v>
      </c>
      <c r="F3097">
        <v>67.7</v>
      </c>
      <c r="G3097">
        <v>0</v>
      </c>
      <c r="H3097">
        <v>0</v>
      </c>
      <c r="I3097">
        <v>0</v>
      </c>
      <c r="J3097">
        <v>0</v>
      </c>
      <c r="K3097">
        <v>62.8</v>
      </c>
      <c r="L3097">
        <v>63</v>
      </c>
      <c r="M3097">
        <v>67.69</v>
      </c>
      <c r="N3097">
        <v>8</v>
      </c>
      <c r="O3097">
        <v>7</v>
      </c>
      <c r="P3097">
        <f>MOD(DAY(datos_siembra[[#This Row],[Date]]),7)</f>
        <v>1</v>
      </c>
      <c r="Q3097" t="str">
        <f>CHOOSE(WEEKDAY(datos_siembra[[#This Row],[Date]],2),"L","M","X","J","V","S","D")</f>
        <v>M</v>
      </c>
      <c r="R3097">
        <f>WEEKNUM(datos_siembra[[#This Row],[Date]],2)-WEEKNUM(DATE(YEAR(datos_siembra[[#This Row],[Date]]),MONTH(datos_siembra[[#This Row],[Date]]),1))+1</f>
        <v>2</v>
      </c>
      <c r="S3097">
        <f>MONTH(datos_siembra[[#This Row],[Date]])</f>
        <v>10</v>
      </c>
      <c r="T3097" t="str" cm="1">
        <f t="array" ref="T3097">_xlfn.IFS(AND(N3097&lt;= 22, S3097=9), "SOWING",AND(N3097&lt;= 28, S3097=9), "COVERAGE",AND(N3097&lt;= 30, S3097=9), "FLUSH",AND(N3097&lt;= 11, S3097=10), "FLUSH",AND(N3097&lt;= 21, S3097=10), "PRODUCTION")</f>
        <v>FLUSH</v>
      </c>
      <c r="U3097">
        <f>HOUR(datos_siembra[[#This Row],[Hour]])</f>
        <v>7</v>
      </c>
      <c r="V3097" cm="1">
        <f t="array" ref="V3097">_xlfn.IFS(AND(N3097&lt;= 22, S3097=9), N3097-7,AND(N3097&lt;= 28, S3097=9), N3097-25,AND(N3097&lt;= 30, S3097=9), N3097-28,AND(N3097&lt;= 11, S3097=10), N3097+2,AND(N3097&lt;= 21, S3097=10), N3097-11)</f>
        <v>10</v>
      </c>
    </row>
    <row r="3098" spans="1:22" x14ac:dyDescent="0.35">
      <c r="A3098" s="4">
        <v>45573</v>
      </c>
      <c r="B3098" s="5">
        <v>0.30196759259259259</v>
      </c>
      <c r="C3098">
        <v>67.400000000000006</v>
      </c>
      <c r="D3098">
        <v>67.099999999999994</v>
      </c>
      <c r="E3098">
        <v>68.2</v>
      </c>
      <c r="F3098">
        <v>67.7</v>
      </c>
      <c r="G3098">
        <v>0</v>
      </c>
      <c r="H3098">
        <v>0</v>
      </c>
      <c r="I3098">
        <v>0</v>
      </c>
      <c r="J3098">
        <v>0</v>
      </c>
      <c r="K3098">
        <v>62.9</v>
      </c>
      <c r="L3098">
        <v>63.2</v>
      </c>
      <c r="M3098">
        <v>67.58</v>
      </c>
      <c r="N3098">
        <v>8</v>
      </c>
      <c r="O3098">
        <v>7</v>
      </c>
      <c r="P3098">
        <f>MOD(DAY(datos_siembra[[#This Row],[Date]]),7)</f>
        <v>1</v>
      </c>
      <c r="Q3098" t="str">
        <f>CHOOSE(WEEKDAY(datos_siembra[[#This Row],[Date]],2),"L","M","X","J","V","S","D")</f>
        <v>M</v>
      </c>
      <c r="R3098">
        <f>WEEKNUM(datos_siembra[[#This Row],[Date]],2)-WEEKNUM(DATE(YEAR(datos_siembra[[#This Row],[Date]]),MONTH(datos_siembra[[#This Row],[Date]]),1))+1</f>
        <v>2</v>
      </c>
      <c r="S3098">
        <f>MONTH(datos_siembra[[#This Row],[Date]])</f>
        <v>10</v>
      </c>
      <c r="T3098" t="str" cm="1">
        <f t="array" ref="T3098">_xlfn.IFS(AND(N3098&lt;= 22, S3098=9), "SOWING",AND(N3098&lt;= 28, S3098=9), "COVERAGE",AND(N3098&lt;= 30, S3098=9), "FLUSH",AND(N3098&lt;= 11, S3098=10), "FLUSH",AND(N3098&lt;= 21, S3098=10), "PRODUCTION")</f>
        <v>FLUSH</v>
      </c>
      <c r="U3098">
        <f>HOUR(datos_siembra[[#This Row],[Hour]])</f>
        <v>7</v>
      </c>
      <c r="V3098" cm="1">
        <f t="array" ref="V3098">_xlfn.IFS(AND(N3098&lt;= 22, S3098=9), N3098-7,AND(N3098&lt;= 28, S3098=9), N3098-25,AND(N3098&lt;= 30, S3098=9), N3098-28,AND(N3098&lt;= 11, S3098=10), N3098+2,AND(N3098&lt;= 21, S3098=10), N3098-11)</f>
        <v>10</v>
      </c>
    </row>
    <row r="3099" spans="1:22" x14ac:dyDescent="0.35">
      <c r="A3099" s="4">
        <v>45573</v>
      </c>
      <c r="B3099" s="5">
        <v>0.30892361111111111</v>
      </c>
      <c r="C3099">
        <v>67.3</v>
      </c>
      <c r="D3099">
        <v>67.099999999999994</v>
      </c>
      <c r="E3099">
        <v>68.5</v>
      </c>
      <c r="F3099">
        <v>67.599999999999994</v>
      </c>
      <c r="G3099">
        <v>0</v>
      </c>
      <c r="H3099">
        <v>0</v>
      </c>
      <c r="I3099">
        <v>0</v>
      </c>
      <c r="J3099">
        <v>0</v>
      </c>
      <c r="K3099">
        <v>62.9</v>
      </c>
      <c r="L3099">
        <v>63.3</v>
      </c>
      <c r="M3099">
        <v>67.61</v>
      </c>
      <c r="N3099">
        <v>8</v>
      </c>
      <c r="O3099">
        <v>7</v>
      </c>
      <c r="P3099">
        <f>MOD(DAY(datos_siembra[[#This Row],[Date]]),7)</f>
        <v>1</v>
      </c>
      <c r="Q3099" t="str">
        <f>CHOOSE(WEEKDAY(datos_siembra[[#This Row],[Date]],2),"L","M","X","J","V","S","D")</f>
        <v>M</v>
      </c>
      <c r="R3099">
        <f>WEEKNUM(datos_siembra[[#This Row],[Date]],2)-WEEKNUM(DATE(YEAR(datos_siembra[[#This Row],[Date]]),MONTH(datos_siembra[[#This Row],[Date]]),1))+1</f>
        <v>2</v>
      </c>
      <c r="S3099">
        <f>MONTH(datos_siembra[[#This Row],[Date]])</f>
        <v>10</v>
      </c>
      <c r="T3099" t="str" cm="1">
        <f t="array" ref="T3099">_xlfn.IFS(AND(N3099&lt;= 22, S3099=9), "SOWING",AND(N3099&lt;= 28, S3099=9), "COVERAGE",AND(N3099&lt;= 30, S3099=9), "FLUSH",AND(N3099&lt;= 11, S3099=10), "FLUSH",AND(N3099&lt;= 21, S3099=10), "PRODUCTION")</f>
        <v>FLUSH</v>
      </c>
      <c r="U3099">
        <f>HOUR(datos_siembra[[#This Row],[Hour]])</f>
        <v>7</v>
      </c>
      <c r="V3099" cm="1">
        <f t="array" ref="V3099">_xlfn.IFS(AND(N3099&lt;= 22, S3099=9), N3099-7,AND(N3099&lt;= 28, S3099=9), N3099-25,AND(N3099&lt;= 30, S3099=9), N3099-28,AND(N3099&lt;= 11, S3099=10), N3099+2,AND(N3099&lt;= 21, S3099=10), N3099-11)</f>
        <v>10</v>
      </c>
    </row>
    <row r="3100" spans="1:22" x14ac:dyDescent="0.35">
      <c r="A3100" s="4">
        <v>45573</v>
      </c>
      <c r="B3100" s="5">
        <v>0.31586805555555558</v>
      </c>
      <c r="C3100">
        <v>67.3</v>
      </c>
      <c r="D3100">
        <v>67.099999999999994</v>
      </c>
      <c r="E3100">
        <v>68.5</v>
      </c>
      <c r="F3100">
        <v>67.599999999999994</v>
      </c>
      <c r="G3100">
        <v>0</v>
      </c>
      <c r="H3100">
        <v>0</v>
      </c>
      <c r="I3100">
        <v>0</v>
      </c>
      <c r="J3100">
        <v>0</v>
      </c>
      <c r="K3100">
        <v>62.9</v>
      </c>
      <c r="L3100">
        <v>63</v>
      </c>
      <c r="M3100">
        <v>67.61</v>
      </c>
      <c r="N3100">
        <v>8</v>
      </c>
      <c r="O3100">
        <v>7</v>
      </c>
      <c r="P3100">
        <f>MOD(DAY(datos_siembra[[#This Row],[Date]]),7)</f>
        <v>1</v>
      </c>
      <c r="Q3100" t="str">
        <f>CHOOSE(WEEKDAY(datos_siembra[[#This Row],[Date]],2),"L","M","X","J","V","S","D")</f>
        <v>M</v>
      </c>
      <c r="R3100">
        <f>WEEKNUM(datos_siembra[[#This Row],[Date]],2)-WEEKNUM(DATE(YEAR(datos_siembra[[#This Row],[Date]]),MONTH(datos_siembra[[#This Row],[Date]]),1))+1</f>
        <v>2</v>
      </c>
      <c r="S3100">
        <f>MONTH(datos_siembra[[#This Row],[Date]])</f>
        <v>10</v>
      </c>
      <c r="T3100" t="str" cm="1">
        <f t="array" ref="T3100">_xlfn.IFS(AND(N3100&lt;= 22, S3100=9), "SOWING",AND(N3100&lt;= 28, S3100=9), "COVERAGE",AND(N3100&lt;= 30, S3100=9), "FLUSH",AND(N3100&lt;= 11, S3100=10), "FLUSH",AND(N3100&lt;= 21, S3100=10), "PRODUCTION")</f>
        <v>FLUSH</v>
      </c>
      <c r="U3100">
        <f>HOUR(datos_siembra[[#This Row],[Hour]])</f>
        <v>7</v>
      </c>
      <c r="V3100" cm="1">
        <f t="array" ref="V3100">_xlfn.IFS(AND(N3100&lt;= 22, S3100=9), N3100-7,AND(N3100&lt;= 28, S3100=9), N3100-25,AND(N3100&lt;= 30, S3100=9), N3100-28,AND(N3100&lt;= 11, S3100=10), N3100+2,AND(N3100&lt;= 21, S3100=10), N3100-11)</f>
        <v>10</v>
      </c>
    </row>
    <row r="3101" spans="1:22" x14ac:dyDescent="0.35">
      <c r="A3101" s="4">
        <v>45573</v>
      </c>
      <c r="B3101" s="5">
        <v>0.3228125</v>
      </c>
      <c r="C3101">
        <v>67.400000000000006</v>
      </c>
      <c r="D3101">
        <v>67</v>
      </c>
      <c r="E3101">
        <v>68.7</v>
      </c>
      <c r="F3101">
        <v>67.7</v>
      </c>
      <c r="G3101">
        <v>0</v>
      </c>
      <c r="H3101">
        <v>0</v>
      </c>
      <c r="I3101">
        <v>0</v>
      </c>
      <c r="J3101">
        <v>0</v>
      </c>
      <c r="K3101">
        <v>62.5</v>
      </c>
      <c r="L3101">
        <v>62.5</v>
      </c>
      <c r="M3101">
        <v>67.69</v>
      </c>
      <c r="N3101">
        <v>8</v>
      </c>
      <c r="O3101">
        <v>7</v>
      </c>
      <c r="P3101">
        <f>MOD(DAY(datos_siembra[[#This Row],[Date]]),7)</f>
        <v>1</v>
      </c>
      <c r="Q3101" t="str">
        <f>CHOOSE(WEEKDAY(datos_siembra[[#This Row],[Date]],2),"L","M","X","J","V","S","D")</f>
        <v>M</v>
      </c>
      <c r="R3101">
        <f>WEEKNUM(datos_siembra[[#This Row],[Date]],2)-WEEKNUM(DATE(YEAR(datos_siembra[[#This Row],[Date]]),MONTH(datos_siembra[[#This Row],[Date]]),1))+1</f>
        <v>2</v>
      </c>
      <c r="S3101">
        <f>MONTH(datos_siembra[[#This Row],[Date]])</f>
        <v>10</v>
      </c>
      <c r="T3101" t="str" cm="1">
        <f t="array" ref="T3101">_xlfn.IFS(AND(N3101&lt;= 22, S3101=9), "SOWING",AND(N3101&lt;= 28, S3101=9), "COVERAGE",AND(N3101&lt;= 30, S3101=9), "FLUSH",AND(N3101&lt;= 11, S3101=10), "FLUSH",AND(N3101&lt;= 21, S3101=10), "PRODUCTION")</f>
        <v>FLUSH</v>
      </c>
      <c r="U3101">
        <f>HOUR(datos_siembra[[#This Row],[Hour]])</f>
        <v>7</v>
      </c>
      <c r="V3101" cm="1">
        <f t="array" ref="V3101">_xlfn.IFS(AND(N3101&lt;= 22, S3101=9), N3101-7,AND(N3101&lt;= 28, S3101=9), N3101-25,AND(N3101&lt;= 30, S3101=9), N3101-28,AND(N3101&lt;= 11, S3101=10), N3101+2,AND(N3101&lt;= 21, S3101=10), N3101-11)</f>
        <v>10</v>
      </c>
    </row>
    <row r="3102" spans="1:22" x14ac:dyDescent="0.35">
      <c r="A3102" s="4">
        <v>45573</v>
      </c>
      <c r="B3102" s="5">
        <v>0.32975694444444442</v>
      </c>
      <c r="C3102">
        <v>67.400000000000006</v>
      </c>
      <c r="D3102">
        <v>67.099999999999994</v>
      </c>
      <c r="E3102">
        <v>68.5</v>
      </c>
      <c r="F3102">
        <v>67.8</v>
      </c>
      <c r="G3102">
        <v>0</v>
      </c>
      <c r="H3102">
        <v>0</v>
      </c>
      <c r="I3102">
        <v>0</v>
      </c>
      <c r="J3102">
        <v>0</v>
      </c>
      <c r="K3102">
        <v>62.3</v>
      </c>
      <c r="L3102">
        <v>62.3</v>
      </c>
      <c r="M3102">
        <v>67.72</v>
      </c>
      <c r="N3102">
        <v>8</v>
      </c>
      <c r="O3102">
        <v>7</v>
      </c>
      <c r="P3102">
        <f>MOD(DAY(datos_siembra[[#This Row],[Date]]),7)</f>
        <v>1</v>
      </c>
      <c r="Q3102" t="str">
        <f>CHOOSE(WEEKDAY(datos_siembra[[#This Row],[Date]],2),"L","M","X","J","V","S","D")</f>
        <v>M</v>
      </c>
      <c r="R3102">
        <f>WEEKNUM(datos_siembra[[#This Row],[Date]],2)-WEEKNUM(DATE(YEAR(datos_siembra[[#This Row],[Date]]),MONTH(datos_siembra[[#This Row],[Date]]),1))+1</f>
        <v>2</v>
      </c>
      <c r="S3102">
        <f>MONTH(datos_siembra[[#This Row],[Date]])</f>
        <v>10</v>
      </c>
      <c r="T3102" t="str" cm="1">
        <f t="array" ref="T3102">_xlfn.IFS(AND(N3102&lt;= 22, S3102=9), "SOWING",AND(N3102&lt;= 28, S3102=9), "COVERAGE",AND(N3102&lt;= 30, S3102=9), "FLUSH",AND(N3102&lt;= 11, S3102=10), "FLUSH",AND(N3102&lt;= 21, S3102=10), "PRODUCTION")</f>
        <v>FLUSH</v>
      </c>
      <c r="U3102">
        <f>HOUR(datos_siembra[[#This Row],[Hour]])</f>
        <v>7</v>
      </c>
      <c r="V3102" cm="1">
        <f t="array" ref="V3102">_xlfn.IFS(AND(N3102&lt;= 22, S3102=9), N3102-7,AND(N3102&lt;= 28, S3102=9), N3102-25,AND(N3102&lt;= 30, S3102=9), N3102-28,AND(N3102&lt;= 11, S3102=10), N3102+2,AND(N3102&lt;= 21, S3102=10), N3102-11)</f>
        <v>10</v>
      </c>
    </row>
    <row r="3103" spans="1:22" x14ac:dyDescent="0.35">
      <c r="A3103" s="4">
        <v>45573</v>
      </c>
      <c r="B3103" s="5">
        <v>0.33671296296296294</v>
      </c>
      <c r="C3103">
        <v>67.3</v>
      </c>
      <c r="D3103">
        <v>67.099999999999994</v>
      </c>
      <c r="E3103">
        <v>68.3</v>
      </c>
      <c r="F3103">
        <v>67.7</v>
      </c>
      <c r="G3103">
        <v>0</v>
      </c>
      <c r="H3103">
        <v>0</v>
      </c>
      <c r="I3103">
        <v>0</v>
      </c>
      <c r="J3103">
        <v>0</v>
      </c>
      <c r="K3103">
        <v>62.3</v>
      </c>
      <c r="L3103">
        <v>62.5</v>
      </c>
      <c r="M3103">
        <v>67.69</v>
      </c>
      <c r="N3103">
        <v>8</v>
      </c>
      <c r="O3103">
        <v>7</v>
      </c>
      <c r="P3103">
        <f>MOD(DAY(datos_siembra[[#This Row],[Date]]),7)</f>
        <v>1</v>
      </c>
      <c r="Q3103" t="str">
        <f>CHOOSE(WEEKDAY(datos_siembra[[#This Row],[Date]],2),"L","M","X","J","V","S","D")</f>
        <v>M</v>
      </c>
      <c r="R3103">
        <f>WEEKNUM(datos_siembra[[#This Row],[Date]],2)-WEEKNUM(DATE(YEAR(datos_siembra[[#This Row],[Date]]),MONTH(datos_siembra[[#This Row],[Date]]),1))+1</f>
        <v>2</v>
      </c>
      <c r="S3103">
        <f>MONTH(datos_siembra[[#This Row],[Date]])</f>
        <v>10</v>
      </c>
      <c r="T3103" t="str" cm="1">
        <f t="array" ref="T3103">_xlfn.IFS(AND(N3103&lt;= 22, S3103=9), "SOWING",AND(N3103&lt;= 28, S3103=9), "COVERAGE",AND(N3103&lt;= 30, S3103=9), "FLUSH",AND(N3103&lt;= 11, S3103=10), "FLUSH",AND(N3103&lt;= 21, S3103=10), "PRODUCTION")</f>
        <v>FLUSH</v>
      </c>
      <c r="U3103">
        <f>HOUR(datos_siembra[[#This Row],[Hour]])</f>
        <v>8</v>
      </c>
      <c r="V3103" cm="1">
        <f t="array" ref="V3103">_xlfn.IFS(AND(N3103&lt;= 22, S3103=9), N3103-7,AND(N3103&lt;= 28, S3103=9), N3103-25,AND(N3103&lt;= 30, S3103=9), N3103-28,AND(N3103&lt;= 11, S3103=10), N3103+2,AND(N3103&lt;= 21, S3103=10), N3103-11)</f>
        <v>10</v>
      </c>
    </row>
    <row r="3104" spans="1:22" x14ac:dyDescent="0.35">
      <c r="A3104" s="4">
        <v>45573</v>
      </c>
      <c r="B3104" s="5">
        <v>0.34365740740740741</v>
      </c>
      <c r="C3104">
        <v>67.400000000000006</v>
      </c>
      <c r="D3104">
        <v>67.099999999999994</v>
      </c>
      <c r="E3104">
        <v>68.5</v>
      </c>
      <c r="F3104">
        <v>67.900000000000006</v>
      </c>
      <c r="G3104">
        <v>0</v>
      </c>
      <c r="H3104">
        <v>0</v>
      </c>
      <c r="I3104">
        <v>0</v>
      </c>
      <c r="J3104">
        <v>0</v>
      </c>
      <c r="K3104">
        <v>62.4</v>
      </c>
      <c r="L3104">
        <v>62.6</v>
      </c>
      <c r="M3104">
        <v>67.69</v>
      </c>
      <c r="N3104">
        <v>8</v>
      </c>
      <c r="O3104">
        <v>7</v>
      </c>
      <c r="P3104">
        <f>MOD(DAY(datos_siembra[[#This Row],[Date]]),7)</f>
        <v>1</v>
      </c>
      <c r="Q3104" t="str">
        <f>CHOOSE(WEEKDAY(datos_siembra[[#This Row],[Date]],2),"L","M","X","J","V","S","D")</f>
        <v>M</v>
      </c>
      <c r="R3104">
        <f>WEEKNUM(datos_siembra[[#This Row],[Date]],2)-WEEKNUM(DATE(YEAR(datos_siembra[[#This Row],[Date]]),MONTH(datos_siembra[[#This Row],[Date]]),1))+1</f>
        <v>2</v>
      </c>
      <c r="S3104">
        <f>MONTH(datos_siembra[[#This Row],[Date]])</f>
        <v>10</v>
      </c>
      <c r="T3104" t="str" cm="1">
        <f t="array" ref="T3104">_xlfn.IFS(AND(N3104&lt;= 22, S3104=9), "SOWING",AND(N3104&lt;= 28, S3104=9), "COVERAGE",AND(N3104&lt;= 30, S3104=9), "FLUSH",AND(N3104&lt;= 11, S3104=10), "FLUSH",AND(N3104&lt;= 21, S3104=10), "PRODUCTION")</f>
        <v>FLUSH</v>
      </c>
      <c r="U3104">
        <f>HOUR(datos_siembra[[#This Row],[Hour]])</f>
        <v>8</v>
      </c>
      <c r="V3104" cm="1">
        <f t="array" ref="V3104">_xlfn.IFS(AND(N3104&lt;= 22, S3104=9), N3104-7,AND(N3104&lt;= 28, S3104=9), N3104-25,AND(N3104&lt;= 30, S3104=9), N3104-28,AND(N3104&lt;= 11, S3104=10), N3104+2,AND(N3104&lt;= 21, S3104=10), N3104-11)</f>
        <v>10</v>
      </c>
    </row>
    <row r="3105" spans="1:22" x14ac:dyDescent="0.35">
      <c r="A3105" s="4">
        <v>45573</v>
      </c>
      <c r="B3105" s="5">
        <v>0.35060185185185183</v>
      </c>
      <c r="C3105">
        <v>67.400000000000006</v>
      </c>
      <c r="D3105">
        <v>67</v>
      </c>
      <c r="E3105">
        <v>68.3</v>
      </c>
      <c r="F3105">
        <v>67.8</v>
      </c>
      <c r="G3105">
        <v>0</v>
      </c>
      <c r="H3105">
        <v>0</v>
      </c>
      <c r="I3105">
        <v>0</v>
      </c>
      <c r="J3105">
        <v>0</v>
      </c>
      <c r="K3105">
        <v>62.5</v>
      </c>
      <c r="L3105">
        <v>62.7</v>
      </c>
      <c r="M3105">
        <v>67.66</v>
      </c>
      <c r="N3105">
        <v>8</v>
      </c>
      <c r="O3105">
        <v>7</v>
      </c>
      <c r="P3105">
        <f>MOD(DAY(datos_siembra[[#This Row],[Date]]),7)</f>
        <v>1</v>
      </c>
      <c r="Q3105" t="str">
        <f>CHOOSE(WEEKDAY(datos_siembra[[#This Row],[Date]],2),"L","M","X","J","V","S","D")</f>
        <v>M</v>
      </c>
      <c r="R3105">
        <f>WEEKNUM(datos_siembra[[#This Row],[Date]],2)-WEEKNUM(DATE(YEAR(datos_siembra[[#This Row],[Date]]),MONTH(datos_siembra[[#This Row],[Date]]),1))+1</f>
        <v>2</v>
      </c>
      <c r="S3105">
        <f>MONTH(datos_siembra[[#This Row],[Date]])</f>
        <v>10</v>
      </c>
      <c r="T3105" t="str" cm="1">
        <f t="array" ref="T3105">_xlfn.IFS(AND(N3105&lt;= 22, S3105=9), "SOWING",AND(N3105&lt;= 28, S3105=9), "COVERAGE",AND(N3105&lt;= 30, S3105=9), "FLUSH",AND(N3105&lt;= 11, S3105=10), "FLUSH",AND(N3105&lt;= 21, S3105=10), "PRODUCTION")</f>
        <v>FLUSH</v>
      </c>
      <c r="U3105">
        <f>HOUR(datos_siembra[[#This Row],[Hour]])</f>
        <v>8</v>
      </c>
      <c r="V3105" cm="1">
        <f t="array" ref="V3105">_xlfn.IFS(AND(N3105&lt;= 22, S3105=9), N3105-7,AND(N3105&lt;= 28, S3105=9), N3105-25,AND(N3105&lt;= 30, S3105=9), N3105-28,AND(N3105&lt;= 11, S3105=10), N3105+2,AND(N3105&lt;= 21, S3105=10), N3105-11)</f>
        <v>10</v>
      </c>
    </row>
    <row r="3106" spans="1:22" x14ac:dyDescent="0.35">
      <c r="A3106" s="4">
        <v>45573</v>
      </c>
      <c r="B3106" s="5">
        <v>0.35755787037037035</v>
      </c>
      <c r="C3106">
        <v>67.3</v>
      </c>
      <c r="D3106">
        <v>67.099999999999994</v>
      </c>
      <c r="E3106">
        <v>68.5</v>
      </c>
      <c r="F3106">
        <v>67.7</v>
      </c>
      <c r="G3106">
        <v>0</v>
      </c>
      <c r="H3106">
        <v>0</v>
      </c>
      <c r="I3106">
        <v>0</v>
      </c>
      <c r="J3106">
        <v>0</v>
      </c>
      <c r="K3106">
        <v>62.5</v>
      </c>
      <c r="L3106">
        <v>62.8</v>
      </c>
      <c r="M3106">
        <v>67.66</v>
      </c>
      <c r="N3106">
        <v>8</v>
      </c>
      <c r="O3106">
        <v>7</v>
      </c>
      <c r="P3106">
        <f>MOD(DAY(datos_siembra[[#This Row],[Date]]),7)</f>
        <v>1</v>
      </c>
      <c r="Q3106" t="str">
        <f>CHOOSE(WEEKDAY(datos_siembra[[#This Row],[Date]],2),"L","M","X","J","V","S","D")</f>
        <v>M</v>
      </c>
      <c r="R3106">
        <f>WEEKNUM(datos_siembra[[#This Row],[Date]],2)-WEEKNUM(DATE(YEAR(datos_siembra[[#This Row],[Date]]),MONTH(datos_siembra[[#This Row],[Date]]),1))+1</f>
        <v>2</v>
      </c>
      <c r="S3106">
        <f>MONTH(datos_siembra[[#This Row],[Date]])</f>
        <v>10</v>
      </c>
      <c r="T3106" t="str" cm="1">
        <f t="array" ref="T3106">_xlfn.IFS(AND(N3106&lt;= 22, S3106=9), "SOWING",AND(N3106&lt;= 28, S3106=9), "COVERAGE",AND(N3106&lt;= 30, S3106=9), "FLUSH",AND(N3106&lt;= 11, S3106=10), "FLUSH",AND(N3106&lt;= 21, S3106=10), "PRODUCTION")</f>
        <v>FLUSH</v>
      </c>
      <c r="U3106">
        <f>HOUR(datos_siembra[[#This Row],[Hour]])</f>
        <v>8</v>
      </c>
      <c r="V3106" cm="1">
        <f t="array" ref="V3106">_xlfn.IFS(AND(N3106&lt;= 22, S3106=9), N3106-7,AND(N3106&lt;= 28, S3106=9), N3106-25,AND(N3106&lt;= 30, S3106=9), N3106-28,AND(N3106&lt;= 11, S3106=10), N3106+2,AND(N3106&lt;= 21, S3106=10), N3106-11)</f>
        <v>10</v>
      </c>
    </row>
    <row r="3107" spans="1:22" x14ac:dyDescent="0.35">
      <c r="A3107" s="4">
        <v>45573</v>
      </c>
      <c r="B3107" s="5">
        <v>0.36450231481481482</v>
      </c>
      <c r="C3107">
        <v>67.400000000000006</v>
      </c>
      <c r="D3107">
        <v>67.099999999999994</v>
      </c>
      <c r="E3107">
        <v>68.5</v>
      </c>
      <c r="F3107">
        <v>67.900000000000006</v>
      </c>
      <c r="G3107">
        <v>0</v>
      </c>
      <c r="H3107">
        <v>0</v>
      </c>
      <c r="I3107">
        <v>0</v>
      </c>
      <c r="J3107">
        <v>0</v>
      </c>
      <c r="K3107">
        <v>62.6</v>
      </c>
      <c r="L3107">
        <v>62.8</v>
      </c>
      <c r="M3107">
        <v>67.75</v>
      </c>
      <c r="N3107">
        <v>8</v>
      </c>
      <c r="O3107">
        <v>7</v>
      </c>
      <c r="P3107">
        <f>MOD(DAY(datos_siembra[[#This Row],[Date]]),7)</f>
        <v>1</v>
      </c>
      <c r="Q3107" t="str">
        <f>CHOOSE(WEEKDAY(datos_siembra[[#This Row],[Date]],2),"L","M","X","J","V","S","D")</f>
        <v>M</v>
      </c>
      <c r="R3107">
        <f>WEEKNUM(datos_siembra[[#This Row],[Date]],2)-WEEKNUM(DATE(YEAR(datos_siembra[[#This Row],[Date]]),MONTH(datos_siembra[[#This Row],[Date]]),1))+1</f>
        <v>2</v>
      </c>
      <c r="S3107">
        <f>MONTH(datos_siembra[[#This Row],[Date]])</f>
        <v>10</v>
      </c>
      <c r="T3107" t="str" cm="1">
        <f t="array" ref="T3107">_xlfn.IFS(AND(N3107&lt;= 22, S3107=9), "SOWING",AND(N3107&lt;= 28, S3107=9), "COVERAGE",AND(N3107&lt;= 30, S3107=9), "FLUSH",AND(N3107&lt;= 11, S3107=10), "FLUSH",AND(N3107&lt;= 21, S3107=10), "PRODUCTION")</f>
        <v>FLUSH</v>
      </c>
      <c r="U3107">
        <f>HOUR(datos_siembra[[#This Row],[Hour]])</f>
        <v>8</v>
      </c>
      <c r="V3107" cm="1">
        <f t="array" ref="V3107">_xlfn.IFS(AND(N3107&lt;= 22, S3107=9), N3107-7,AND(N3107&lt;= 28, S3107=9), N3107-25,AND(N3107&lt;= 30, S3107=9), N3107-28,AND(N3107&lt;= 11, S3107=10), N3107+2,AND(N3107&lt;= 21, S3107=10), N3107-11)</f>
        <v>10</v>
      </c>
    </row>
    <row r="3108" spans="1:22" x14ac:dyDescent="0.35">
      <c r="A3108" s="4">
        <v>45573</v>
      </c>
      <c r="B3108" s="5">
        <v>0.37144675925925924</v>
      </c>
      <c r="C3108">
        <v>67.3</v>
      </c>
      <c r="D3108">
        <v>67.099999999999994</v>
      </c>
      <c r="E3108">
        <v>68.5</v>
      </c>
      <c r="F3108">
        <v>67.900000000000006</v>
      </c>
      <c r="G3108">
        <v>0</v>
      </c>
      <c r="H3108">
        <v>0</v>
      </c>
      <c r="I3108">
        <v>0</v>
      </c>
      <c r="J3108">
        <v>0</v>
      </c>
      <c r="K3108">
        <v>62.6</v>
      </c>
      <c r="L3108">
        <v>63</v>
      </c>
      <c r="M3108">
        <v>67.72</v>
      </c>
      <c r="N3108">
        <v>8</v>
      </c>
      <c r="O3108">
        <v>7</v>
      </c>
      <c r="P3108">
        <f>MOD(DAY(datos_siembra[[#This Row],[Date]]),7)</f>
        <v>1</v>
      </c>
      <c r="Q3108" t="str">
        <f>CHOOSE(WEEKDAY(datos_siembra[[#This Row],[Date]],2),"L","M","X","J","V","S","D")</f>
        <v>M</v>
      </c>
      <c r="R3108">
        <f>WEEKNUM(datos_siembra[[#This Row],[Date]],2)-WEEKNUM(DATE(YEAR(datos_siembra[[#This Row],[Date]]),MONTH(datos_siembra[[#This Row],[Date]]),1))+1</f>
        <v>2</v>
      </c>
      <c r="S3108">
        <f>MONTH(datos_siembra[[#This Row],[Date]])</f>
        <v>10</v>
      </c>
      <c r="T3108" t="str" cm="1">
        <f t="array" ref="T3108">_xlfn.IFS(AND(N3108&lt;= 22, S3108=9), "SOWING",AND(N3108&lt;= 28, S3108=9), "COVERAGE",AND(N3108&lt;= 30, S3108=9), "FLUSH",AND(N3108&lt;= 11, S3108=10), "FLUSH",AND(N3108&lt;= 21, S3108=10), "PRODUCTION")</f>
        <v>FLUSH</v>
      </c>
      <c r="U3108">
        <f>HOUR(datos_siembra[[#This Row],[Hour]])</f>
        <v>8</v>
      </c>
      <c r="V3108" cm="1">
        <f t="array" ref="V3108">_xlfn.IFS(AND(N3108&lt;= 22, S3108=9), N3108-7,AND(N3108&lt;= 28, S3108=9), N3108-25,AND(N3108&lt;= 30, S3108=9), N3108-28,AND(N3108&lt;= 11, S3108=10), N3108+2,AND(N3108&lt;= 21, S3108=10), N3108-11)</f>
        <v>10</v>
      </c>
    </row>
    <row r="3109" spans="1:22" x14ac:dyDescent="0.35">
      <c r="A3109" s="4">
        <v>45573</v>
      </c>
      <c r="B3109" s="5">
        <v>0.37839120370370372</v>
      </c>
      <c r="C3109">
        <v>67.400000000000006</v>
      </c>
      <c r="D3109">
        <v>67.099999999999994</v>
      </c>
      <c r="E3109">
        <v>68.3</v>
      </c>
      <c r="F3109">
        <v>67.7</v>
      </c>
      <c r="G3109">
        <v>0</v>
      </c>
      <c r="H3109">
        <v>0</v>
      </c>
      <c r="I3109">
        <v>0</v>
      </c>
      <c r="J3109">
        <v>0</v>
      </c>
      <c r="K3109">
        <v>62.7</v>
      </c>
      <c r="L3109">
        <v>63.2</v>
      </c>
      <c r="M3109">
        <v>67.77</v>
      </c>
      <c r="N3109">
        <v>8</v>
      </c>
      <c r="O3109">
        <v>7</v>
      </c>
      <c r="P3109">
        <f>MOD(DAY(datos_siembra[[#This Row],[Date]]),7)</f>
        <v>1</v>
      </c>
      <c r="Q3109" t="str">
        <f>CHOOSE(WEEKDAY(datos_siembra[[#This Row],[Date]],2),"L","M","X","J","V","S","D")</f>
        <v>M</v>
      </c>
      <c r="R3109">
        <f>WEEKNUM(datos_siembra[[#This Row],[Date]],2)-WEEKNUM(DATE(YEAR(datos_siembra[[#This Row],[Date]]),MONTH(datos_siembra[[#This Row],[Date]]),1))+1</f>
        <v>2</v>
      </c>
      <c r="S3109">
        <f>MONTH(datos_siembra[[#This Row],[Date]])</f>
        <v>10</v>
      </c>
      <c r="T3109" t="str" cm="1">
        <f t="array" ref="T3109">_xlfn.IFS(AND(N3109&lt;= 22, S3109=9), "SOWING",AND(N3109&lt;= 28, S3109=9), "COVERAGE",AND(N3109&lt;= 30, S3109=9), "FLUSH",AND(N3109&lt;= 11, S3109=10), "FLUSH",AND(N3109&lt;= 21, S3109=10), "PRODUCTION")</f>
        <v>FLUSH</v>
      </c>
      <c r="U3109">
        <f>HOUR(datos_siembra[[#This Row],[Hour]])</f>
        <v>9</v>
      </c>
      <c r="V3109" cm="1">
        <f t="array" ref="V3109">_xlfn.IFS(AND(N3109&lt;= 22, S3109=9), N3109-7,AND(N3109&lt;= 28, S3109=9), N3109-25,AND(N3109&lt;= 30, S3109=9), N3109-28,AND(N3109&lt;= 11, S3109=10), N3109+2,AND(N3109&lt;= 21, S3109=10), N3109-11)</f>
        <v>10</v>
      </c>
    </row>
    <row r="3110" spans="1:22" x14ac:dyDescent="0.35">
      <c r="A3110" s="4">
        <v>45573</v>
      </c>
      <c r="B3110" s="5">
        <v>0.38534722222222223</v>
      </c>
      <c r="C3110">
        <v>67.3</v>
      </c>
      <c r="D3110">
        <v>67.099999999999994</v>
      </c>
      <c r="E3110">
        <v>68.5</v>
      </c>
      <c r="F3110">
        <v>67.8</v>
      </c>
      <c r="G3110">
        <v>0</v>
      </c>
      <c r="H3110">
        <v>0</v>
      </c>
      <c r="I3110">
        <v>0</v>
      </c>
      <c r="J3110">
        <v>0</v>
      </c>
      <c r="K3110">
        <v>62.9</v>
      </c>
      <c r="L3110">
        <v>63.5</v>
      </c>
      <c r="M3110">
        <v>67.66</v>
      </c>
      <c r="N3110">
        <v>8</v>
      </c>
      <c r="O3110">
        <v>7</v>
      </c>
      <c r="P3110">
        <f>MOD(DAY(datos_siembra[[#This Row],[Date]]),7)</f>
        <v>1</v>
      </c>
      <c r="Q3110" t="str">
        <f>CHOOSE(WEEKDAY(datos_siembra[[#This Row],[Date]],2),"L","M","X","J","V","S","D")</f>
        <v>M</v>
      </c>
      <c r="R3110">
        <f>WEEKNUM(datos_siembra[[#This Row],[Date]],2)-WEEKNUM(DATE(YEAR(datos_siembra[[#This Row],[Date]]),MONTH(datos_siembra[[#This Row],[Date]]),1))+1</f>
        <v>2</v>
      </c>
      <c r="S3110">
        <f>MONTH(datos_siembra[[#This Row],[Date]])</f>
        <v>10</v>
      </c>
      <c r="T3110" t="str" cm="1">
        <f t="array" ref="T3110">_xlfn.IFS(AND(N3110&lt;= 22, S3110=9), "SOWING",AND(N3110&lt;= 28, S3110=9), "COVERAGE",AND(N3110&lt;= 30, S3110=9), "FLUSH",AND(N3110&lt;= 11, S3110=10), "FLUSH",AND(N3110&lt;= 21, S3110=10), "PRODUCTION")</f>
        <v>FLUSH</v>
      </c>
      <c r="U3110">
        <f>HOUR(datos_siembra[[#This Row],[Hour]])</f>
        <v>9</v>
      </c>
      <c r="V3110" cm="1">
        <f t="array" ref="V3110">_xlfn.IFS(AND(N3110&lt;= 22, S3110=9), N3110-7,AND(N3110&lt;= 28, S3110=9), N3110-25,AND(N3110&lt;= 30, S3110=9), N3110-28,AND(N3110&lt;= 11, S3110=10), N3110+2,AND(N3110&lt;= 21, S3110=10), N3110-11)</f>
        <v>10</v>
      </c>
    </row>
    <row r="3111" spans="1:22" x14ac:dyDescent="0.35">
      <c r="A3111" s="4">
        <v>45573</v>
      </c>
      <c r="B3111" s="5">
        <v>0.39229166666666665</v>
      </c>
      <c r="C3111">
        <v>67.400000000000006</v>
      </c>
      <c r="D3111">
        <v>67.099999999999994</v>
      </c>
      <c r="E3111">
        <v>68.3</v>
      </c>
      <c r="F3111">
        <v>67.7</v>
      </c>
      <c r="G3111">
        <v>0</v>
      </c>
      <c r="H3111">
        <v>0</v>
      </c>
      <c r="I3111">
        <v>0</v>
      </c>
      <c r="J3111">
        <v>0</v>
      </c>
      <c r="K3111">
        <v>62.9</v>
      </c>
      <c r="L3111">
        <v>63.5</v>
      </c>
      <c r="M3111">
        <v>67.69</v>
      </c>
      <c r="N3111">
        <v>8</v>
      </c>
      <c r="O3111">
        <v>7</v>
      </c>
      <c r="P3111">
        <f>MOD(DAY(datos_siembra[[#This Row],[Date]]),7)</f>
        <v>1</v>
      </c>
      <c r="Q3111" t="str">
        <f>CHOOSE(WEEKDAY(datos_siembra[[#This Row],[Date]],2),"L","M","X","J","V","S","D")</f>
        <v>M</v>
      </c>
      <c r="R3111">
        <f>WEEKNUM(datos_siembra[[#This Row],[Date]],2)-WEEKNUM(DATE(YEAR(datos_siembra[[#This Row],[Date]]),MONTH(datos_siembra[[#This Row],[Date]]),1))+1</f>
        <v>2</v>
      </c>
      <c r="S3111">
        <f>MONTH(datos_siembra[[#This Row],[Date]])</f>
        <v>10</v>
      </c>
      <c r="T3111" t="str" cm="1">
        <f t="array" ref="T3111">_xlfn.IFS(AND(N3111&lt;= 22, S3111=9), "SOWING",AND(N3111&lt;= 28, S3111=9), "COVERAGE",AND(N3111&lt;= 30, S3111=9), "FLUSH",AND(N3111&lt;= 11, S3111=10), "FLUSH",AND(N3111&lt;= 21, S3111=10), "PRODUCTION")</f>
        <v>FLUSH</v>
      </c>
      <c r="U3111">
        <f>HOUR(datos_siembra[[#This Row],[Hour]])</f>
        <v>9</v>
      </c>
      <c r="V3111" cm="1">
        <f t="array" ref="V3111">_xlfn.IFS(AND(N3111&lt;= 22, S3111=9), N3111-7,AND(N3111&lt;= 28, S3111=9), N3111-25,AND(N3111&lt;= 30, S3111=9), N3111-28,AND(N3111&lt;= 11, S3111=10), N3111+2,AND(N3111&lt;= 21, S3111=10), N3111-11)</f>
        <v>10</v>
      </c>
    </row>
    <row r="3112" spans="1:22" x14ac:dyDescent="0.35">
      <c r="A3112" s="4">
        <v>45573</v>
      </c>
      <c r="B3112" s="5">
        <v>0.39923611111111112</v>
      </c>
      <c r="C3112">
        <v>67.599999999999994</v>
      </c>
      <c r="D3112">
        <v>67.2</v>
      </c>
      <c r="E3112">
        <v>68.599999999999994</v>
      </c>
      <c r="F3112">
        <v>67.8</v>
      </c>
      <c r="G3112">
        <v>0</v>
      </c>
      <c r="H3112">
        <v>0</v>
      </c>
      <c r="I3112">
        <v>0</v>
      </c>
      <c r="J3112">
        <v>0</v>
      </c>
      <c r="K3112">
        <v>63</v>
      </c>
      <c r="L3112">
        <v>63.5</v>
      </c>
      <c r="M3112">
        <v>67.77</v>
      </c>
      <c r="N3112">
        <v>8</v>
      </c>
      <c r="O3112">
        <v>7</v>
      </c>
      <c r="P3112">
        <f>MOD(DAY(datos_siembra[[#This Row],[Date]]),7)</f>
        <v>1</v>
      </c>
      <c r="Q3112" t="str">
        <f>CHOOSE(WEEKDAY(datos_siembra[[#This Row],[Date]],2),"L","M","X","J","V","S","D")</f>
        <v>M</v>
      </c>
      <c r="R3112">
        <f>WEEKNUM(datos_siembra[[#This Row],[Date]],2)-WEEKNUM(DATE(YEAR(datos_siembra[[#This Row],[Date]]),MONTH(datos_siembra[[#This Row],[Date]]),1))+1</f>
        <v>2</v>
      </c>
      <c r="S3112">
        <f>MONTH(datos_siembra[[#This Row],[Date]])</f>
        <v>10</v>
      </c>
      <c r="T3112" t="str" cm="1">
        <f t="array" ref="T3112">_xlfn.IFS(AND(N3112&lt;= 22, S3112=9), "SOWING",AND(N3112&lt;= 28, S3112=9), "COVERAGE",AND(N3112&lt;= 30, S3112=9), "FLUSH",AND(N3112&lt;= 11, S3112=10), "FLUSH",AND(N3112&lt;= 21, S3112=10), "PRODUCTION")</f>
        <v>FLUSH</v>
      </c>
      <c r="U3112">
        <f>HOUR(datos_siembra[[#This Row],[Hour]])</f>
        <v>9</v>
      </c>
      <c r="V3112" cm="1">
        <f t="array" ref="V3112">_xlfn.IFS(AND(N3112&lt;= 22, S3112=9), N3112-7,AND(N3112&lt;= 28, S3112=9), N3112-25,AND(N3112&lt;= 30, S3112=9), N3112-28,AND(N3112&lt;= 11, S3112=10), N3112+2,AND(N3112&lt;= 21, S3112=10), N3112-11)</f>
        <v>10</v>
      </c>
    </row>
    <row r="3113" spans="1:22" x14ac:dyDescent="0.35">
      <c r="A3113" s="4">
        <v>45573</v>
      </c>
      <c r="B3113" s="5">
        <v>0.40618055555555554</v>
      </c>
      <c r="C3113">
        <v>67.400000000000006</v>
      </c>
      <c r="D3113">
        <v>67.099999999999994</v>
      </c>
      <c r="E3113">
        <v>68.5</v>
      </c>
      <c r="F3113">
        <v>67.8</v>
      </c>
      <c r="G3113">
        <v>0</v>
      </c>
      <c r="H3113">
        <v>0</v>
      </c>
      <c r="I3113">
        <v>0</v>
      </c>
      <c r="J3113">
        <v>0</v>
      </c>
      <c r="K3113">
        <v>63</v>
      </c>
      <c r="L3113">
        <v>63.6</v>
      </c>
      <c r="M3113">
        <v>67.72</v>
      </c>
      <c r="N3113">
        <v>8</v>
      </c>
      <c r="O3113">
        <v>7</v>
      </c>
      <c r="P3113">
        <f>MOD(DAY(datos_siembra[[#This Row],[Date]]),7)</f>
        <v>1</v>
      </c>
      <c r="Q3113" t="str">
        <f>CHOOSE(WEEKDAY(datos_siembra[[#This Row],[Date]],2),"L","M","X","J","V","S","D")</f>
        <v>M</v>
      </c>
      <c r="R3113">
        <f>WEEKNUM(datos_siembra[[#This Row],[Date]],2)-WEEKNUM(DATE(YEAR(datos_siembra[[#This Row],[Date]]),MONTH(datos_siembra[[#This Row],[Date]]),1))+1</f>
        <v>2</v>
      </c>
      <c r="S3113">
        <f>MONTH(datos_siembra[[#This Row],[Date]])</f>
        <v>10</v>
      </c>
      <c r="T3113" t="str" cm="1">
        <f t="array" ref="T3113">_xlfn.IFS(AND(N3113&lt;= 22, S3113=9), "SOWING",AND(N3113&lt;= 28, S3113=9), "COVERAGE",AND(N3113&lt;= 30, S3113=9), "FLUSH",AND(N3113&lt;= 11, S3113=10), "FLUSH",AND(N3113&lt;= 21, S3113=10), "PRODUCTION")</f>
        <v>FLUSH</v>
      </c>
      <c r="U3113">
        <f>HOUR(datos_siembra[[#This Row],[Hour]])</f>
        <v>9</v>
      </c>
      <c r="V3113" cm="1">
        <f t="array" ref="V3113">_xlfn.IFS(AND(N3113&lt;= 22, S3113=9), N3113-7,AND(N3113&lt;= 28, S3113=9), N3113-25,AND(N3113&lt;= 30, S3113=9), N3113-28,AND(N3113&lt;= 11, S3113=10), N3113+2,AND(N3113&lt;= 21, S3113=10), N3113-11)</f>
        <v>10</v>
      </c>
    </row>
    <row r="3114" spans="1:22" x14ac:dyDescent="0.35">
      <c r="A3114" s="4">
        <v>45573</v>
      </c>
      <c r="B3114" s="5">
        <v>0.41313657407407406</v>
      </c>
      <c r="C3114">
        <v>67.400000000000006</v>
      </c>
      <c r="D3114">
        <v>67.2</v>
      </c>
      <c r="E3114">
        <v>68.5</v>
      </c>
      <c r="F3114">
        <v>67.599999999999994</v>
      </c>
      <c r="G3114">
        <v>0</v>
      </c>
      <c r="H3114">
        <v>0</v>
      </c>
      <c r="I3114">
        <v>0</v>
      </c>
      <c r="J3114">
        <v>0</v>
      </c>
      <c r="K3114">
        <v>63.2</v>
      </c>
      <c r="L3114">
        <v>63.9</v>
      </c>
      <c r="M3114">
        <v>67.66</v>
      </c>
      <c r="N3114">
        <v>8</v>
      </c>
      <c r="O3114">
        <v>7</v>
      </c>
      <c r="P3114">
        <f>MOD(DAY(datos_siembra[[#This Row],[Date]]),7)</f>
        <v>1</v>
      </c>
      <c r="Q3114" t="str">
        <f>CHOOSE(WEEKDAY(datos_siembra[[#This Row],[Date]],2),"L","M","X","J","V","S","D")</f>
        <v>M</v>
      </c>
      <c r="R3114">
        <f>WEEKNUM(datos_siembra[[#This Row],[Date]],2)-WEEKNUM(DATE(YEAR(datos_siembra[[#This Row],[Date]]),MONTH(datos_siembra[[#This Row],[Date]]),1))+1</f>
        <v>2</v>
      </c>
      <c r="S3114">
        <f>MONTH(datos_siembra[[#This Row],[Date]])</f>
        <v>10</v>
      </c>
      <c r="T3114" t="str" cm="1">
        <f t="array" ref="T3114">_xlfn.IFS(AND(N3114&lt;= 22, S3114=9), "SOWING",AND(N3114&lt;= 28, S3114=9), "COVERAGE",AND(N3114&lt;= 30, S3114=9), "FLUSH",AND(N3114&lt;= 11, S3114=10), "FLUSH",AND(N3114&lt;= 21, S3114=10), "PRODUCTION")</f>
        <v>FLUSH</v>
      </c>
      <c r="U3114">
        <f>HOUR(datos_siembra[[#This Row],[Hour]])</f>
        <v>9</v>
      </c>
      <c r="V3114" cm="1">
        <f t="array" ref="V3114">_xlfn.IFS(AND(N3114&lt;= 22, S3114=9), N3114-7,AND(N3114&lt;= 28, S3114=9), N3114-25,AND(N3114&lt;= 30, S3114=9), N3114-28,AND(N3114&lt;= 11, S3114=10), N3114+2,AND(N3114&lt;= 21, S3114=10), N3114-11)</f>
        <v>10</v>
      </c>
    </row>
    <row r="3115" spans="1:22" x14ac:dyDescent="0.35">
      <c r="A3115" s="4">
        <v>45573</v>
      </c>
      <c r="B3115" s="5">
        <v>0.42008101851851853</v>
      </c>
      <c r="C3115">
        <v>67.400000000000006</v>
      </c>
      <c r="D3115">
        <v>67.099999999999994</v>
      </c>
      <c r="E3115">
        <v>68.5</v>
      </c>
      <c r="F3115">
        <v>67.8</v>
      </c>
      <c r="G3115">
        <v>0</v>
      </c>
      <c r="H3115">
        <v>0</v>
      </c>
      <c r="I3115">
        <v>0</v>
      </c>
      <c r="J3115">
        <v>0</v>
      </c>
      <c r="K3115">
        <v>63.3</v>
      </c>
      <c r="L3115">
        <v>63.9</v>
      </c>
      <c r="M3115">
        <v>67.69</v>
      </c>
      <c r="N3115">
        <v>8</v>
      </c>
      <c r="O3115">
        <v>7</v>
      </c>
      <c r="P3115">
        <f>MOD(DAY(datos_siembra[[#This Row],[Date]]),7)</f>
        <v>1</v>
      </c>
      <c r="Q3115" t="str">
        <f>CHOOSE(WEEKDAY(datos_siembra[[#This Row],[Date]],2),"L","M","X","J","V","S","D")</f>
        <v>M</v>
      </c>
      <c r="R3115">
        <f>WEEKNUM(datos_siembra[[#This Row],[Date]],2)-WEEKNUM(DATE(YEAR(datos_siembra[[#This Row],[Date]]),MONTH(datos_siembra[[#This Row],[Date]]),1))+1</f>
        <v>2</v>
      </c>
      <c r="S3115">
        <f>MONTH(datos_siembra[[#This Row],[Date]])</f>
        <v>10</v>
      </c>
      <c r="T3115" t="str" cm="1">
        <f t="array" ref="T3115">_xlfn.IFS(AND(N3115&lt;= 22, S3115=9), "SOWING",AND(N3115&lt;= 28, S3115=9), "COVERAGE",AND(N3115&lt;= 30, S3115=9), "FLUSH",AND(N3115&lt;= 11, S3115=10), "FLUSH",AND(N3115&lt;= 21, S3115=10), "PRODUCTION")</f>
        <v>FLUSH</v>
      </c>
      <c r="U3115">
        <f>HOUR(datos_siembra[[#This Row],[Hour]])</f>
        <v>10</v>
      </c>
      <c r="V3115" cm="1">
        <f t="array" ref="V3115">_xlfn.IFS(AND(N3115&lt;= 22, S3115=9), N3115-7,AND(N3115&lt;= 28, S3115=9), N3115-25,AND(N3115&lt;= 30, S3115=9), N3115-28,AND(N3115&lt;= 11, S3115=10), N3115+2,AND(N3115&lt;= 21, S3115=10), N3115-11)</f>
        <v>10</v>
      </c>
    </row>
    <row r="3116" spans="1:22" x14ac:dyDescent="0.35">
      <c r="A3116" s="4">
        <v>45573</v>
      </c>
      <c r="B3116" s="5">
        <v>0.42702546296296295</v>
      </c>
      <c r="C3116">
        <v>67.400000000000006</v>
      </c>
      <c r="D3116">
        <v>67</v>
      </c>
      <c r="E3116">
        <v>68.5</v>
      </c>
      <c r="F3116">
        <v>67.8</v>
      </c>
      <c r="G3116">
        <v>0</v>
      </c>
      <c r="H3116">
        <v>0</v>
      </c>
      <c r="I3116">
        <v>0</v>
      </c>
      <c r="J3116">
        <v>0</v>
      </c>
      <c r="K3116">
        <v>63.3</v>
      </c>
      <c r="L3116">
        <v>63.8</v>
      </c>
      <c r="M3116">
        <v>67.69</v>
      </c>
      <c r="N3116">
        <v>8</v>
      </c>
      <c r="O3116">
        <v>7</v>
      </c>
      <c r="P3116">
        <f>MOD(DAY(datos_siembra[[#This Row],[Date]]),7)</f>
        <v>1</v>
      </c>
      <c r="Q3116" t="str">
        <f>CHOOSE(WEEKDAY(datos_siembra[[#This Row],[Date]],2),"L","M","X","J","V","S","D")</f>
        <v>M</v>
      </c>
      <c r="R3116">
        <f>WEEKNUM(datos_siembra[[#This Row],[Date]],2)-WEEKNUM(DATE(YEAR(datos_siembra[[#This Row],[Date]]),MONTH(datos_siembra[[#This Row],[Date]]),1))+1</f>
        <v>2</v>
      </c>
      <c r="S3116">
        <f>MONTH(datos_siembra[[#This Row],[Date]])</f>
        <v>10</v>
      </c>
      <c r="T3116" t="str" cm="1">
        <f t="array" ref="T3116">_xlfn.IFS(AND(N3116&lt;= 22, S3116=9), "SOWING",AND(N3116&lt;= 28, S3116=9), "COVERAGE",AND(N3116&lt;= 30, S3116=9), "FLUSH",AND(N3116&lt;= 11, S3116=10), "FLUSH",AND(N3116&lt;= 21, S3116=10), "PRODUCTION")</f>
        <v>FLUSH</v>
      </c>
      <c r="U3116">
        <f>HOUR(datos_siembra[[#This Row],[Hour]])</f>
        <v>10</v>
      </c>
      <c r="V3116" cm="1">
        <f t="array" ref="V3116">_xlfn.IFS(AND(N3116&lt;= 22, S3116=9), N3116-7,AND(N3116&lt;= 28, S3116=9), N3116-25,AND(N3116&lt;= 30, S3116=9), N3116-28,AND(N3116&lt;= 11, S3116=10), N3116+2,AND(N3116&lt;= 21, S3116=10), N3116-11)</f>
        <v>10</v>
      </c>
    </row>
    <row r="3117" spans="1:22" x14ac:dyDescent="0.35">
      <c r="A3117" s="4">
        <v>45573</v>
      </c>
      <c r="B3117" s="5">
        <v>0.43398148148148147</v>
      </c>
      <c r="C3117">
        <v>67.599999999999994</v>
      </c>
      <c r="D3117">
        <v>67</v>
      </c>
      <c r="E3117">
        <v>68.5</v>
      </c>
      <c r="F3117">
        <v>67.8</v>
      </c>
      <c r="G3117">
        <v>0</v>
      </c>
      <c r="H3117">
        <v>0</v>
      </c>
      <c r="I3117">
        <v>0</v>
      </c>
      <c r="J3117">
        <v>0</v>
      </c>
      <c r="K3117">
        <v>63.2</v>
      </c>
      <c r="L3117">
        <v>63.7</v>
      </c>
      <c r="M3117">
        <v>67.72</v>
      </c>
      <c r="N3117">
        <v>8</v>
      </c>
      <c r="O3117">
        <v>7</v>
      </c>
      <c r="P3117">
        <f>MOD(DAY(datos_siembra[[#This Row],[Date]]),7)</f>
        <v>1</v>
      </c>
      <c r="Q3117" t="str">
        <f>CHOOSE(WEEKDAY(datos_siembra[[#This Row],[Date]],2),"L","M","X","J","V","S","D")</f>
        <v>M</v>
      </c>
      <c r="R3117">
        <f>WEEKNUM(datos_siembra[[#This Row],[Date]],2)-WEEKNUM(DATE(YEAR(datos_siembra[[#This Row],[Date]]),MONTH(datos_siembra[[#This Row],[Date]]),1))+1</f>
        <v>2</v>
      </c>
      <c r="S3117">
        <f>MONTH(datos_siembra[[#This Row],[Date]])</f>
        <v>10</v>
      </c>
      <c r="T3117" t="str" cm="1">
        <f t="array" ref="T3117">_xlfn.IFS(AND(N3117&lt;= 22, S3117=9), "SOWING",AND(N3117&lt;= 28, S3117=9), "COVERAGE",AND(N3117&lt;= 30, S3117=9), "FLUSH",AND(N3117&lt;= 11, S3117=10), "FLUSH",AND(N3117&lt;= 21, S3117=10), "PRODUCTION")</f>
        <v>FLUSH</v>
      </c>
      <c r="U3117">
        <f>HOUR(datos_siembra[[#This Row],[Hour]])</f>
        <v>10</v>
      </c>
      <c r="V3117" cm="1">
        <f t="array" ref="V3117">_xlfn.IFS(AND(N3117&lt;= 22, S3117=9), N3117-7,AND(N3117&lt;= 28, S3117=9), N3117-25,AND(N3117&lt;= 30, S3117=9), N3117-28,AND(N3117&lt;= 11, S3117=10), N3117+2,AND(N3117&lt;= 21, S3117=10), N3117-11)</f>
        <v>10</v>
      </c>
    </row>
    <row r="3118" spans="1:22" x14ac:dyDescent="0.35">
      <c r="A3118" s="4">
        <v>45573</v>
      </c>
      <c r="B3118" s="5">
        <v>0.44092592592592594</v>
      </c>
      <c r="C3118">
        <v>67.400000000000006</v>
      </c>
      <c r="D3118">
        <v>67.2</v>
      </c>
      <c r="E3118">
        <v>68.599999999999994</v>
      </c>
      <c r="F3118">
        <v>67.8</v>
      </c>
      <c r="G3118">
        <v>0</v>
      </c>
      <c r="H3118">
        <v>0</v>
      </c>
      <c r="I3118">
        <v>0</v>
      </c>
      <c r="J3118">
        <v>0</v>
      </c>
      <c r="K3118">
        <v>63.2</v>
      </c>
      <c r="L3118">
        <v>63.6</v>
      </c>
      <c r="M3118">
        <v>67.72</v>
      </c>
      <c r="N3118">
        <v>8</v>
      </c>
      <c r="O3118">
        <v>7</v>
      </c>
      <c r="P3118">
        <f>MOD(DAY(datos_siembra[[#This Row],[Date]]),7)</f>
        <v>1</v>
      </c>
      <c r="Q3118" t="str">
        <f>CHOOSE(WEEKDAY(datos_siembra[[#This Row],[Date]],2),"L","M","X","J","V","S","D")</f>
        <v>M</v>
      </c>
      <c r="R3118">
        <f>WEEKNUM(datos_siembra[[#This Row],[Date]],2)-WEEKNUM(DATE(YEAR(datos_siembra[[#This Row],[Date]]),MONTH(datos_siembra[[#This Row],[Date]]),1))+1</f>
        <v>2</v>
      </c>
      <c r="S3118">
        <f>MONTH(datos_siembra[[#This Row],[Date]])</f>
        <v>10</v>
      </c>
      <c r="T3118" t="str" cm="1">
        <f t="array" ref="T3118">_xlfn.IFS(AND(N3118&lt;= 22, S3118=9), "SOWING",AND(N3118&lt;= 28, S3118=9), "COVERAGE",AND(N3118&lt;= 30, S3118=9), "FLUSH",AND(N3118&lt;= 11, S3118=10), "FLUSH",AND(N3118&lt;= 21, S3118=10), "PRODUCTION")</f>
        <v>FLUSH</v>
      </c>
      <c r="U3118">
        <f>HOUR(datos_siembra[[#This Row],[Hour]])</f>
        <v>10</v>
      </c>
      <c r="V3118" cm="1">
        <f t="array" ref="V3118">_xlfn.IFS(AND(N3118&lt;= 22, S3118=9), N3118-7,AND(N3118&lt;= 28, S3118=9), N3118-25,AND(N3118&lt;= 30, S3118=9), N3118-28,AND(N3118&lt;= 11, S3118=10), N3118+2,AND(N3118&lt;= 21, S3118=10), N3118-11)</f>
        <v>10</v>
      </c>
    </row>
    <row r="3119" spans="1:22" x14ac:dyDescent="0.35">
      <c r="A3119" s="4">
        <v>45573</v>
      </c>
      <c r="B3119" s="5">
        <v>0.44787037037037036</v>
      </c>
      <c r="C3119">
        <v>67.400000000000006</v>
      </c>
      <c r="D3119">
        <v>67.099999999999994</v>
      </c>
      <c r="E3119">
        <v>68.599999999999994</v>
      </c>
      <c r="F3119">
        <v>67.599999999999994</v>
      </c>
      <c r="G3119">
        <v>0</v>
      </c>
      <c r="H3119">
        <v>0</v>
      </c>
      <c r="I3119">
        <v>0</v>
      </c>
      <c r="J3119">
        <v>0</v>
      </c>
      <c r="K3119">
        <v>63.2</v>
      </c>
      <c r="L3119">
        <v>63.7</v>
      </c>
      <c r="M3119">
        <v>67.66</v>
      </c>
      <c r="N3119">
        <v>8</v>
      </c>
      <c r="O3119">
        <v>7</v>
      </c>
      <c r="P3119">
        <f>MOD(DAY(datos_siembra[[#This Row],[Date]]),7)</f>
        <v>1</v>
      </c>
      <c r="Q3119" t="str">
        <f>CHOOSE(WEEKDAY(datos_siembra[[#This Row],[Date]],2),"L","M","X","J","V","S","D")</f>
        <v>M</v>
      </c>
      <c r="R3119">
        <f>WEEKNUM(datos_siembra[[#This Row],[Date]],2)-WEEKNUM(DATE(YEAR(datos_siembra[[#This Row],[Date]]),MONTH(datos_siembra[[#This Row],[Date]]),1))+1</f>
        <v>2</v>
      </c>
      <c r="S3119">
        <f>MONTH(datos_siembra[[#This Row],[Date]])</f>
        <v>10</v>
      </c>
      <c r="T3119" t="str" cm="1">
        <f t="array" ref="T3119">_xlfn.IFS(AND(N3119&lt;= 22, S3119=9), "SOWING",AND(N3119&lt;= 28, S3119=9), "COVERAGE",AND(N3119&lt;= 30, S3119=9), "FLUSH",AND(N3119&lt;= 11, S3119=10), "FLUSH",AND(N3119&lt;= 21, S3119=10), "PRODUCTION")</f>
        <v>FLUSH</v>
      </c>
      <c r="U3119">
        <f>HOUR(datos_siembra[[#This Row],[Hour]])</f>
        <v>10</v>
      </c>
      <c r="V3119" cm="1">
        <f t="array" ref="V3119">_xlfn.IFS(AND(N3119&lt;= 22, S3119=9), N3119-7,AND(N3119&lt;= 28, S3119=9), N3119-25,AND(N3119&lt;= 30, S3119=9), N3119-28,AND(N3119&lt;= 11, S3119=10), N3119+2,AND(N3119&lt;= 21, S3119=10), N3119-11)</f>
        <v>10</v>
      </c>
    </row>
    <row r="3120" spans="1:22" x14ac:dyDescent="0.35">
      <c r="A3120" s="4">
        <v>45573</v>
      </c>
      <c r="B3120" s="5">
        <v>0.45481481481481484</v>
      </c>
      <c r="C3120">
        <v>67.599999999999994</v>
      </c>
      <c r="D3120">
        <v>67</v>
      </c>
      <c r="E3120">
        <v>68.599999999999994</v>
      </c>
      <c r="F3120">
        <v>67.7</v>
      </c>
      <c r="G3120">
        <v>0</v>
      </c>
      <c r="H3120">
        <v>0</v>
      </c>
      <c r="I3120">
        <v>0</v>
      </c>
      <c r="J3120">
        <v>0</v>
      </c>
      <c r="K3120">
        <v>63.3</v>
      </c>
      <c r="L3120">
        <v>63.7</v>
      </c>
      <c r="M3120">
        <v>67.66</v>
      </c>
      <c r="N3120">
        <v>8</v>
      </c>
      <c r="O3120">
        <v>7</v>
      </c>
      <c r="P3120">
        <f>MOD(DAY(datos_siembra[[#This Row],[Date]]),7)</f>
        <v>1</v>
      </c>
      <c r="Q3120" t="str">
        <f>CHOOSE(WEEKDAY(datos_siembra[[#This Row],[Date]],2),"L","M","X","J","V","S","D")</f>
        <v>M</v>
      </c>
      <c r="R3120">
        <f>WEEKNUM(datos_siembra[[#This Row],[Date]],2)-WEEKNUM(DATE(YEAR(datos_siembra[[#This Row],[Date]]),MONTH(datos_siembra[[#This Row],[Date]]),1))+1</f>
        <v>2</v>
      </c>
      <c r="S3120">
        <f>MONTH(datos_siembra[[#This Row],[Date]])</f>
        <v>10</v>
      </c>
      <c r="T3120" t="str" cm="1">
        <f t="array" ref="T3120">_xlfn.IFS(AND(N3120&lt;= 22, S3120=9), "SOWING",AND(N3120&lt;= 28, S3120=9), "COVERAGE",AND(N3120&lt;= 30, S3120=9), "FLUSH",AND(N3120&lt;= 11, S3120=10), "FLUSH",AND(N3120&lt;= 21, S3120=10), "PRODUCTION")</f>
        <v>FLUSH</v>
      </c>
      <c r="U3120">
        <f>HOUR(datos_siembra[[#This Row],[Hour]])</f>
        <v>10</v>
      </c>
      <c r="V3120" cm="1">
        <f t="array" ref="V3120">_xlfn.IFS(AND(N3120&lt;= 22, S3120=9), N3120-7,AND(N3120&lt;= 28, S3120=9), N3120-25,AND(N3120&lt;= 30, S3120=9), N3120-28,AND(N3120&lt;= 11, S3120=10), N3120+2,AND(N3120&lt;= 21, S3120=10), N3120-11)</f>
        <v>10</v>
      </c>
    </row>
    <row r="3121" spans="1:22" x14ac:dyDescent="0.35">
      <c r="A3121" s="4">
        <v>45573</v>
      </c>
      <c r="B3121" s="5">
        <v>0.46177083333333335</v>
      </c>
      <c r="C3121">
        <v>67.599999999999994</v>
      </c>
      <c r="D3121">
        <v>67</v>
      </c>
      <c r="E3121">
        <v>68.5</v>
      </c>
      <c r="F3121">
        <v>67.8</v>
      </c>
      <c r="G3121">
        <v>0</v>
      </c>
      <c r="H3121">
        <v>0</v>
      </c>
      <c r="I3121">
        <v>0</v>
      </c>
      <c r="J3121">
        <v>0</v>
      </c>
      <c r="K3121">
        <v>63.3</v>
      </c>
      <c r="L3121">
        <v>63.9</v>
      </c>
      <c r="M3121">
        <v>67.63</v>
      </c>
      <c r="N3121">
        <v>8</v>
      </c>
      <c r="O3121">
        <v>7</v>
      </c>
      <c r="P3121">
        <f>MOD(DAY(datos_siembra[[#This Row],[Date]]),7)</f>
        <v>1</v>
      </c>
      <c r="Q3121" t="str">
        <f>CHOOSE(WEEKDAY(datos_siembra[[#This Row],[Date]],2),"L","M","X","J","V","S","D")</f>
        <v>M</v>
      </c>
      <c r="R3121">
        <f>WEEKNUM(datos_siembra[[#This Row],[Date]],2)-WEEKNUM(DATE(YEAR(datos_siembra[[#This Row],[Date]]),MONTH(datos_siembra[[#This Row],[Date]]),1))+1</f>
        <v>2</v>
      </c>
      <c r="S3121">
        <f>MONTH(datos_siembra[[#This Row],[Date]])</f>
        <v>10</v>
      </c>
      <c r="T3121" t="str" cm="1">
        <f t="array" ref="T3121">_xlfn.IFS(AND(N3121&lt;= 22, S3121=9), "SOWING",AND(N3121&lt;= 28, S3121=9), "COVERAGE",AND(N3121&lt;= 30, S3121=9), "FLUSH",AND(N3121&lt;= 11, S3121=10), "FLUSH",AND(N3121&lt;= 21, S3121=10), "PRODUCTION")</f>
        <v>FLUSH</v>
      </c>
      <c r="U3121">
        <f>HOUR(datos_siembra[[#This Row],[Hour]])</f>
        <v>11</v>
      </c>
      <c r="V3121" cm="1">
        <f t="array" ref="V3121">_xlfn.IFS(AND(N3121&lt;= 22, S3121=9), N3121-7,AND(N3121&lt;= 28, S3121=9), N3121-25,AND(N3121&lt;= 30, S3121=9), N3121-28,AND(N3121&lt;= 11, S3121=10), N3121+2,AND(N3121&lt;= 21, S3121=10), N3121-11)</f>
        <v>10</v>
      </c>
    </row>
    <row r="3122" spans="1:22" x14ac:dyDescent="0.35">
      <c r="A3122" s="4">
        <v>45573</v>
      </c>
      <c r="B3122" s="5">
        <v>0.46871527777777777</v>
      </c>
      <c r="C3122">
        <v>67.3</v>
      </c>
      <c r="D3122">
        <v>67</v>
      </c>
      <c r="E3122">
        <v>68.599999999999994</v>
      </c>
      <c r="F3122">
        <v>67.8</v>
      </c>
      <c r="G3122">
        <v>0</v>
      </c>
      <c r="H3122">
        <v>0</v>
      </c>
      <c r="I3122">
        <v>0</v>
      </c>
      <c r="J3122">
        <v>0</v>
      </c>
      <c r="K3122">
        <v>63.3</v>
      </c>
      <c r="L3122">
        <v>63.7</v>
      </c>
      <c r="M3122">
        <v>67.69</v>
      </c>
      <c r="N3122">
        <v>8</v>
      </c>
      <c r="O3122">
        <v>7</v>
      </c>
      <c r="P3122">
        <f>MOD(DAY(datos_siembra[[#This Row],[Date]]),7)</f>
        <v>1</v>
      </c>
      <c r="Q3122" t="str">
        <f>CHOOSE(WEEKDAY(datos_siembra[[#This Row],[Date]],2),"L","M","X","J","V","S","D")</f>
        <v>M</v>
      </c>
      <c r="R3122">
        <f>WEEKNUM(datos_siembra[[#This Row],[Date]],2)-WEEKNUM(DATE(YEAR(datos_siembra[[#This Row],[Date]]),MONTH(datos_siembra[[#This Row],[Date]]),1))+1</f>
        <v>2</v>
      </c>
      <c r="S3122">
        <f>MONTH(datos_siembra[[#This Row],[Date]])</f>
        <v>10</v>
      </c>
      <c r="T3122" t="str" cm="1">
        <f t="array" ref="T3122">_xlfn.IFS(AND(N3122&lt;= 22, S3122=9), "SOWING",AND(N3122&lt;= 28, S3122=9), "COVERAGE",AND(N3122&lt;= 30, S3122=9), "FLUSH",AND(N3122&lt;= 11, S3122=10), "FLUSH",AND(N3122&lt;= 21, S3122=10), "PRODUCTION")</f>
        <v>FLUSH</v>
      </c>
      <c r="U3122">
        <f>HOUR(datos_siembra[[#This Row],[Hour]])</f>
        <v>11</v>
      </c>
      <c r="V3122" cm="1">
        <f t="array" ref="V3122">_xlfn.IFS(AND(N3122&lt;= 22, S3122=9), N3122-7,AND(N3122&lt;= 28, S3122=9), N3122-25,AND(N3122&lt;= 30, S3122=9), N3122-28,AND(N3122&lt;= 11, S3122=10), N3122+2,AND(N3122&lt;= 21, S3122=10), N3122-11)</f>
        <v>10</v>
      </c>
    </row>
    <row r="3123" spans="1:22" x14ac:dyDescent="0.35">
      <c r="A3123" s="4">
        <v>45573</v>
      </c>
      <c r="B3123" s="5">
        <v>0.47565972222222225</v>
      </c>
      <c r="C3123">
        <v>67.3</v>
      </c>
      <c r="D3123">
        <v>67.099999999999994</v>
      </c>
      <c r="E3123">
        <v>68.5</v>
      </c>
      <c r="F3123">
        <v>67.8</v>
      </c>
      <c r="G3123">
        <v>0</v>
      </c>
      <c r="H3123">
        <v>0</v>
      </c>
      <c r="I3123">
        <v>0</v>
      </c>
      <c r="J3123">
        <v>0</v>
      </c>
      <c r="K3123">
        <v>63.3</v>
      </c>
      <c r="L3123">
        <v>63.8</v>
      </c>
      <c r="M3123">
        <v>67.66</v>
      </c>
      <c r="N3123">
        <v>8</v>
      </c>
      <c r="O3123">
        <v>7</v>
      </c>
      <c r="P3123">
        <f>MOD(DAY(datos_siembra[[#This Row],[Date]]),7)</f>
        <v>1</v>
      </c>
      <c r="Q3123" t="str">
        <f>CHOOSE(WEEKDAY(datos_siembra[[#This Row],[Date]],2),"L","M","X","J","V","S","D")</f>
        <v>M</v>
      </c>
      <c r="R3123">
        <f>WEEKNUM(datos_siembra[[#This Row],[Date]],2)-WEEKNUM(DATE(YEAR(datos_siembra[[#This Row],[Date]]),MONTH(datos_siembra[[#This Row],[Date]]),1))+1</f>
        <v>2</v>
      </c>
      <c r="S3123">
        <f>MONTH(datos_siembra[[#This Row],[Date]])</f>
        <v>10</v>
      </c>
      <c r="T3123" t="str" cm="1">
        <f t="array" ref="T3123">_xlfn.IFS(AND(N3123&lt;= 22, S3123=9), "SOWING",AND(N3123&lt;= 28, S3123=9), "COVERAGE",AND(N3123&lt;= 30, S3123=9), "FLUSH",AND(N3123&lt;= 11, S3123=10), "FLUSH",AND(N3123&lt;= 21, S3123=10), "PRODUCTION")</f>
        <v>FLUSH</v>
      </c>
      <c r="U3123">
        <f>HOUR(datos_siembra[[#This Row],[Hour]])</f>
        <v>11</v>
      </c>
      <c r="V3123" cm="1">
        <f t="array" ref="V3123">_xlfn.IFS(AND(N3123&lt;= 22, S3123=9), N3123-7,AND(N3123&lt;= 28, S3123=9), N3123-25,AND(N3123&lt;= 30, S3123=9), N3123-28,AND(N3123&lt;= 11, S3123=10), N3123+2,AND(N3123&lt;= 21, S3123=10), N3123-11)</f>
        <v>10</v>
      </c>
    </row>
    <row r="3124" spans="1:22" x14ac:dyDescent="0.35">
      <c r="A3124" s="4">
        <v>45573</v>
      </c>
      <c r="B3124" s="5">
        <v>0.48261574074074076</v>
      </c>
      <c r="C3124">
        <v>67.3</v>
      </c>
      <c r="D3124">
        <v>67.099999999999994</v>
      </c>
      <c r="E3124">
        <v>68.5</v>
      </c>
      <c r="F3124">
        <v>67.7</v>
      </c>
      <c r="G3124">
        <v>0</v>
      </c>
      <c r="H3124">
        <v>0</v>
      </c>
      <c r="I3124">
        <v>0</v>
      </c>
      <c r="J3124">
        <v>0</v>
      </c>
      <c r="K3124">
        <v>63.3</v>
      </c>
      <c r="L3124">
        <v>63.7</v>
      </c>
      <c r="M3124">
        <v>67.72</v>
      </c>
      <c r="N3124">
        <v>8</v>
      </c>
      <c r="O3124">
        <v>7</v>
      </c>
      <c r="P3124">
        <f>MOD(DAY(datos_siembra[[#This Row],[Date]]),7)</f>
        <v>1</v>
      </c>
      <c r="Q3124" t="str">
        <f>CHOOSE(WEEKDAY(datos_siembra[[#This Row],[Date]],2),"L","M","X","J","V","S","D")</f>
        <v>M</v>
      </c>
      <c r="R3124">
        <f>WEEKNUM(datos_siembra[[#This Row],[Date]],2)-WEEKNUM(DATE(YEAR(datos_siembra[[#This Row],[Date]]),MONTH(datos_siembra[[#This Row],[Date]]),1))+1</f>
        <v>2</v>
      </c>
      <c r="S3124">
        <f>MONTH(datos_siembra[[#This Row],[Date]])</f>
        <v>10</v>
      </c>
      <c r="T3124" t="str" cm="1">
        <f t="array" ref="T3124">_xlfn.IFS(AND(N3124&lt;= 22, S3124=9), "SOWING",AND(N3124&lt;= 28, S3124=9), "COVERAGE",AND(N3124&lt;= 30, S3124=9), "FLUSH",AND(N3124&lt;= 11, S3124=10), "FLUSH",AND(N3124&lt;= 21, S3124=10), "PRODUCTION")</f>
        <v>FLUSH</v>
      </c>
      <c r="U3124">
        <f>HOUR(datos_siembra[[#This Row],[Hour]])</f>
        <v>11</v>
      </c>
      <c r="V3124" cm="1">
        <f t="array" ref="V3124">_xlfn.IFS(AND(N3124&lt;= 22, S3124=9), N3124-7,AND(N3124&lt;= 28, S3124=9), N3124-25,AND(N3124&lt;= 30, S3124=9), N3124-28,AND(N3124&lt;= 11, S3124=10), N3124+2,AND(N3124&lt;= 21, S3124=10), N3124-11)</f>
        <v>10</v>
      </c>
    </row>
    <row r="3125" spans="1:22" x14ac:dyDescent="0.35">
      <c r="A3125" s="4">
        <v>45573</v>
      </c>
      <c r="B3125" s="5">
        <v>0.48956018518518518</v>
      </c>
      <c r="C3125">
        <v>67.400000000000006</v>
      </c>
      <c r="D3125">
        <v>67.099999999999994</v>
      </c>
      <c r="E3125">
        <v>68.599999999999994</v>
      </c>
      <c r="F3125">
        <v>67.7</v>
      </c>
      <c r="G3125">
        <v>0</v>
      </c>
      <c r="H3125">
        <v>0</v>
      </c>
      <c r="I3125">
        <v>0</v>
      </c>
      <c r="J3125">
        <v>0</v>
      </c>
      <c r="K3125">
        <v>63.3</v>
      </c>
      <c r="L3125">
        <v>63.8</v>
      </c>
      <c r="M3125">
        <v>67.69</v>
      </c>
      <c r="N3125">
        <v>8</v>
      </c>
      <c r="O3125">
        <v>7</v>
      </c>
      <c r="P3125">
        <f>MOD(DAY(datos_siembra[[#This Row],[Date]]),7)</f>
        <v>1</v>
      </c>
      <c r="Q3125" t="str">
        <f>CHOOSE(WEEKDAY(datos_siembra[[#This Row],[Date]],2),"L","M","X","J","V","S","D")</f>
        <v>M</v>
      </c>
      <c r="R3125">
        <f>WEEKNUM(datos_siembra[[#This Row],[Date]],2)-WEEKNUM(DATE(YEAR(datos_siembra[[#This Row],[Date]]),MONTH(datos_siembra[[#This Row],[Date]]),1))+1</f>
        <v>2</v>
      </c>
      <c r="S3125">
        <f>MONTH(datos_siembra[[#This Row],[Date]])</f>
        <v>10</v>
      </c>
      <c r="T3125" t="str" cm="1">
        <f t="array" ref="T3125">_xlfn.IFS(AND(N3125&lt;= 22, S3125=9), "SOWING",AND(N3125&lt;= 28, S3125=9), "COVERAGE",AND(N3125&lt;= 30, S3125=9), "FLUSH",AND(N3125&lt;= 11, S3125=10), "FLUSH",AND(N3125&lt;= 21, S3125=10), "PRODUCTION")</f>
        <v>FLUSH</v>
      </c>
      <c r="U3125">
        <f>HOUR(datos_siembra[[#This Row],[Hour]])</f>
        <v>11</v>
      </c>
      <c r="V3125" cm="1">
        <f t="array" ref="V3125">_xlfn.IFS(AND(N3125&lt;= 22, S3125=9), N3125-7,AND(N3125&lt;= 28, S3125=9), N3125-25,AND(N3125&lt;= 30, S3125=9), N3125-28,AND(N3125&lt;= 11, S3125=10), N3125+2,AND(N3125&lt;= 21, S3125=10), N3125-11)</f>
        <v>10</v>
      </c>
    </row>
    <row r="3126" spans="1:22" x14ac:dyDescent="0.35">
      <c r="A3126" s="4">
        <v>45573</v>
      </c>
      <c r="B3126" s="5">
        <v>0.49650462962962966</v>
      </c>
      <c r="C3126">
        <v>67.3</v>
      </c>
      <c r="D3126">
        <v>67</v>
      </c>
      <c r="E3126">
        <v>68.5</v>
      </c>
      <c r="F3126">
        <v>67.599999999999994</v>
      </c>
      <c r="G3126">
        <v>0</v>
      </c>
      <c r="H3126">
        <v>0</v>
      </c>
      <c r="I3126">
        <v>0</v>
      </c>
      <c r="J3126">
        <v>0</v>
      </c>
      <c r="K3126">
        <v>63.4</v>
      </c>
      <c r="L3126">
        <v>63.9</v>
      </c>
      <c r="M3126">
        <v>67.69</v>
      </c>
      <c r="N3126">
        <v>8</v>
      </c>
      <c r="O3126">
        <v>7</v>
      </c>
      <c r="P3126">
        <f>MOD(DAY(datos_siembra[[#This Row],[Date]]),7)</f>
        <v>1</v>
      </c>
      <c r="Q3126" t="str">
        <f>CHOOSE(WEEKDAY(datos_siembra[[#This Row],[Date]],2),"L","M","X","J","V","S","D")</f>
        <v>M</v>
      </c>
      <c r="R3126">
        <f>WEEKNUM(datos_siembra[[#This Row],[Date]],2)-WEEKNUM(DATE(YEAR(datos_siembra[[#This Row],[Date]]),MONTH(datos_siembra[[#This Row],[Date]]),1))+1</f>
        <v>2</v>
      </c>
      <c r="S3126">
        <f>MONTH(datos_siembra[[#This Row],[Date]])</f>
        <v>10</v>
      </c>
      <c r="T3126" t="str" cm="1">
        <f t="array" ref="T3126">_xlfn.IFS(AND(N3126&lt;= 22, S3126=9), "SOWING",AND(N3126&lt;= 28, S3126=9), "COVERAGE",AND(N3126&lt;= 30, S3126=9), "FLUSH",AND(N3126&lt;= 11, S3126=10), "FLUSH",AND(N3126&lt;= 21, S3126=10), "PRODUCTION")</f>
        <v>FLUSH</v>
      </c>
      <c r="U3126">
        <f>HOUR(datos_siembra[[#This Row],[Hour]])</f>
        <v>11</v>
      </c>
      <c r="V3126" cm="1">
        <f t="array" ref="V3126">_xlfn.IFS(AND(N3126&lt;= 22, S3126=9), N3126-7,AND(N3126&lt;= 28, S3126=9), N3126-25,AND(N3126&lt;= 30, S3126=9), N3126-28,AND(N3126&lt;= 11, S3126=10), N3126+2,AND(N3126&lt;= 21, S3126=10), N3126-11)</f>
        <v>10</v>
      </c>
    </row>
    <row r="3127" spans="1:22" x14ac:dyDescent="0.35">
      <c r="A3127" s="4">
        <v>45573</v>
      </c>
      <c r="B3127" s="5">
        <v>0.50344907407407402</v>
      </c>
      <c r="C3127">
        <v>67.599999999999994</v>
      </c>
      <c r="D3127">
        <v>67.099999999999994</v>
      </c>
      <c r="E3127">
        <v>68.599999999999994</v>
      </c>
      <c r="F3127">
        <v>67.7</v>
      </c>
      <c r="G3127">
        <v>0</v>
      </c>
      <c r="H3127">
        <v>0</v>
      </c>
      <c r="I3127">
        <v>0</v>
      </c>
      <c r="J3127">
        <v>0</v>
      </c>
      <c r="K3127">
        <v>63.6</v>
      </c>
      <c r="L3127">
        <v>64.400000000000006</v>
      </c>
      <c r="M3127">
        <v>67.66</v>
      </c>
      <c r="N3127">
        <v>8</v>
      </c>
      <c r="O3127">
        <v>7</v>
      </c>
      <c r="P3127">
        <f>MOD(DAY(datos_siembra[[#This Row],[Date]]),7)</f>
        <v>1</v>
      </c>
      <c r="Q3127" t="str">
        <f>CHOOSE(WEEKDAY(datos_siembra[[#This Row],[Date]],2),"L","M","X","J","V","S","D")</f>
        <v>M</v>
      </c>
      <c r="R3127">
        <f>WEEKNUM(datos_siembra[[#This Row],[Date]],2)-WEEKNUM(DATE(YEAR(datos_siembra[[#This Row],[Date]]),MONTH(datos_siembra[[#This Row],[Date]]),1))+1</f>
        <v>2</v>
      </c>
      <c r="S3127">
        <f>MONTH(datos_siembra[[#This Row],[Date]])</f>
        <v>10</v>
      </c>
      <c r="T3127" t="str" cm="1">
        <f t="array" ref="T3127">_xlfn.IFS(AND(N3127&lt;= 22, S3127=9), "SOWING",AND(N3127&lt;= 28, S3127=9), "COVERAGE",AND(N3127&lt;= 30, S3127=9), "FLUSH",AND(N3127&lt;= 11, S3127=10), "FLUSH",AND(N3127&lt;= 21, S3127=10), "PRODUCTION")</f>
        <v>FLUSH</v>
      </c>
      <c r="U3127">
        <f>HOUR(datos_siembra[[#This Row],[Hour]])</f>
        <v>12</v>
      </c>
      <c r="V3127" cm="1">
        <f t="array" ref="V3127">_xlfn.IFS(AND(N3127&lt;= 22, S3127=9), N3127-7,AND(N3127&lt;= 28, S3127=9), N3127-25,AND(N3127&lt;= 30, S3127=9), N3127-28,AND(N3127&lt;= 11, S3127=10), N3127+2,AND(N3127&lt;= 21, S3127=10), N3127-11)</f>
        <v>10</v>
      </c>
    </row>
    <row r="3128" spans="1:22" x14ac:dyDescent="0.35">
      <c r="A3128" s="4">
        <v>45573</v>
      </c>
      <c r="B3128" s="5">
        <v>0.51040509259259259</v>
      </c>
      <c r="C3128">
        <v>67.400000000000006</v>
      </c>
      <c r="D3128">
        <v>67.099999999999994</v>
      </c>
      <c r="E3128">
        <v>68.599999999999994</v>
      </c>
      <c r="F3128">
        <v>67.7</v>
      </c>
      <c r="G3128">
        <v>0</v>
      </c>
      <c r="H3128">
        <v>0</v>
      </c>
      <c r="I3128">
        <v>0</v>
      </c>
      <c r="J3128">
        <v>0</v>
      </c>
      <c r="K3128">
        <v>63.9</v>
      </c>
      <c r="L3128">
        <v>65</v>
      </c>
      <c r="M3128">
        <v>67.72</v>
      </c>
      <c r="N3128">
        <v>8</v>
      </c>
      <c r="O3128">
        <v>7</v>
      </c>
      <c r="P3128">
        <f>MOD(DAY(datos_siembra[[#This Row],[Date]]),7)</f>
        <v>1</v>
      </c>
      <c r="Q3128" t="str">
        <f>CHOOSE(WEEKDAY(datos_siembra[[#This Row],[Date]],2),"L","M","X","J","V","S","D")</f>
        <v>M</v>
      </c>
      <c r="R3128">
        <f>WEEKNUM(datos_siembra[[#This Row],[Date]],2)-WEEKNUM(DATE(YEAR(datos_siembra[[#This Row],[Date]]),MONTH(datos_siembra[[#This Row],[Date]]),1))+1</f>
        <v>2</v>
      </c>
      <c r="S3128">
        <f>MONTH(datos_siembra[[#This Row],[Date]])</f>
        <v>10</v>
      </c>
      <c r="T3128" t="str" cm="1">
        <f t="array" ref="T3128">_xlfn.IFS(AND(N3128&lt;= 22, S3128=9), "SOWING",AND(N3128&lt;= 28, S3128=9), "COVERAGE",AND(N3128&lt;= 30, S3128=9), "FLUSH",AND(N3128&lt;= 11, S3128=10), "FLUSH",AND(N3128&lt;= 21, S3128=10), "PRODUCTION")</f>
        <v>FLUSH</v>
      </c>
      <c r="U3128">
        <f>HOUR(datos_siembra[[#This Row],[Hour]])</f>
        <v>12</v>
      </c>
      <c r="V3128" cm="1">
        <f t="array" ref="V3128">_xlfn.IFS(AND(N3128&lt;= 22, S3128=9), N3128-7,AND(N3128&lt;= 28, S3128=9), N3128-25,AND(N3128&lt;= 30, S3128=9), N3128-28,AND(N3128&lt;= 11, S3128=10), N3128+2,AND(N3128&lt;= 21, S3128=10), N3128-11)</f>
        <v>10</v>
      </c>
    </row>
    <row r="3129" spans="1:22" x14ac:dyDescent="0.35">
      <c r="A3129" s="4">
        <v>45573</v>
      </c>
      <c r="B3129" s="5">
        <v>0.51734953703703701</v>
      </c>
      <c r="C3129">
        <v>67.400000000000006</v>
      </c>
      <c r="D3129">
        <v>67</v>
      </c>
      <c r="E3129">
        <v>68.5</v>
      </c>
      <c r="F3129">
        <v>67.8</v>
      </c>
      <c r="G3129">
        <v>0</v>
      </c>
      <c r="H3129">
        <v>0</v>
      </c>
      <c r="I3129">
        <v>0</v>
      </c>
      <c r="J3129">
        <v>0</v>
      </c>
      <c r="K3129">
        <v>63.9</v>
      </c>
      <c r="L3129">
        <v>64.900000000000006</v>
      </c>
      <c r="M3129">
        <v>67.63</v>
      </c>
      <c r="N3129">
        <v>8</v>
      </c>
      <c r="O3129">
        <v>7</v>
      </c>
      <c r="P3129">
        <f>MOD(DAY(datos_siembra[[#This Row],[Date]]),7)</f>
        <v>1</v>
      </c>
      <c r="Q3129" t="str">
        <f>CHOOSE(WEEKDAY(datos_siembra[[#This Row],[Date]],2),"L","M","X","J","V","S","D")</f>
        <v>M</v>
      </c>
      <c r="R3129">
        <f>WEEKNUM(datos_siembra[[#This Row],[Date]],2)-WEEKNUM(DATE(YEAR(datos_siembra[[#This Row],[Date]]),MONTH(datos_siembra[[#This Row],[Date]]),1))+1</f>
        <v>2</v>
      </c>
      <c r="S3129">
        <f>MONTH(datos_siembra[[#This Row],[Date]])</f>
        <v>10</v>
      </c>
      <c r="T3129" t="str" cm="1">
        <f t="array" ref="T3129">_xlfn.IFS(AND(N3129&lt;= 22, S3129=9), "SOWING",AND(N3129&lt;= 28, S3129=9), "COVERAGE",AND(N3129&lt;= 30, S3129=9), "FLUSH",AND(N3129&lt;= 11, S3129=10), "FLUSH",AND(N3129&lt;= 21, S3129=10), "PRODUCTION")</f>
        <v>FLUSH</v>
      </c>
      <c r="U3129">
        <f>HOUR(datos_siembra[[#This Row],[Hour]])</f>
        <v>12</v>
      </c>
      <c r="V3129" cm="1">
        <f t="array" ref="V3129">_xlfn.IFS(AND(N3129&lt;= 22, S3129=9), N3129-7,AND(N3129&lt;= 28, S3129=9), N3129-25,AND(N3129&lt;= 30, S3129=9), N3129-28,AND(N3129&lt;= 11, S3129=10), N3129+2,AND(N3129&lt;= 21, S3129=10), N3129-11)</f>
        <v>10</v>
      </c>
    </row>
    <row r="3130" spans="1:22" x14ac:dyDescent="0.35">
      <c r="A3130" s="4">
        <v>45573</v>
      </c>
      <c r="B3130" s="5">
        <v>0.52429398148148143</v>
      </c>
      <c r="C3130">
        <v>67.400000000000006</v>
      </c>
      <c r="D3130">
        <v>67.099999999999994</v>
      </c>
      <c r="E3130">
        <v>68.599999999999994</v>
      </c>
      <c r="F3130">
        <v>67.7</v>
      </c>
      <c r="G3130">
        <v>0</v>
      </c>
      <c r="H3130">
        <v>0</v>
      </c>
      <c r="I3130">
        <v>0</v>
      </c>
      <c r="J3130">
        <v>0</v>
      </c>
      <c r="K3130">
        <v>63.9</v>
      </c>
      <c r="L3130">
        <v>63.6</v>
      </c>
      <c r="M3130">
        <v>67.69</v>
      </c>
      <c r="N3130">
        <v>8</v>
      </c>
      <c r="O3130">
        <v>7</v>
      </c>
      <c r="P3130">
        <f>MOD(DAY(datos_siembra[[#This Row],[Date]]),7)</f>
        <v>1</v>
      </c>
      <c r="Q3130" t="str">
        <f>CHOOSE(WEEKDAY(datos_siembra[[#This Row],[Date]],2),"L","M","X","J","V","S","D")</f>
        <v>M</v>
      </c>
      <c r="R3130">
        <f>WEEKNUM(datos_siembra[[#This Row],[Date]],2)-WEEKNUM(DATE(YEAR(datos_siembra[[#This Row],[Date]]),MONTH(datos_siembra[[#This Row],[Date]]),1))+1</f>
        <v>2</v>
      </c>
      <c r="S3130">
        <f>MONTH(datos_siembra[[#This Row],[Date]])</f>
        <v>10</v>
      </c>
      <c r="T3130" t="str" cm="1">
        <f t="array" ref="T3130">_xlfn.IFS(AND(N3130&lt;= 22, S3130=9), "SOWING",AND(N3130&lt;= 28, S3130=9), "COVERAGE",AND(N3130&lt;= 30, S3130=9), "FLUSH",AND(N3130&lt;= 11, S3130=10), "FLUSH",AND(N3130&lt;= 21, S3130=10), "PRODUCTION")</f>
        <v>FLUSH</v>
      </c>
      <c r="U3130">
        <f>HOUR(datos_siembra[[#This Row],[Hour]])</f>
        <v>12</v>
      </c>
      <c r="V3130" cm="1">
        <f t="array" ref="V3130">_xlfn.IFS(AND(N3130&lt;= 22, S3130=9), N3130-7,AND(N3130&lt;= 28, S3130=9), N3130-25,AND(N3130&lt;= 30, S3130=9), N3130-28,AND(N3130&lt;= 11, S3130=10), N3130+2,AND(N3130&lt;= 21, S3130=10), N3130-11)</f>
        <v>10</v>
      </c>
    </row>
    <row r="3131" spans="1:22" x14ac:dyDescent="0.35">
      <c r="A3131" s="4">
        <v>45573</v>
      </c>
      <c r="B3131" s="5">
        <v>0.53125</v>
      </c>
      <c r="C3131">
        <v>67.3</v>
      </c>
      <c r="D3131">
        <v>67</v>
      </c>
      <c r="E3131">
        <v>68.3</v>
      </c>
      <c r="F3131">
        <v>67.7</v>
      </c>
      <c r="G3131">
        <v>0</v>
      </c>
      <c r="H3131">
        <v>0</v>
      </c>
      <c r="I3131">
        <v>0</v>
      </c>
      <c r="J3131">
        <v>0</v>
      </c>
      <c r="K3131">
        <v>63.8</v>
      </c>
      <c r="L3131">
        <v>63.4</v>
      </c>
      <c r="M3131">
        <v>67.61</v>
      </c>
      <c r="N3131">
        <v>8</v>
      </c>
      <c r="O3131">
        <v>7</v>
      </c>
      <c r="P3131">
        <f>MOD(DAY(datos_siembra[[#This Row],[Date]]),7)</f>
        <v>1</v>
      </c>
      <c r="Q3131" t="str">
        <f>CHOOSE(WEEKDAY(datos_siembra[[#This Row],[Date]],2),"L","M","X","J","V","S","D")</f>
        <v>M</v>
      </c>
      <c r="R3131">
        <f>WEEKNUM(datos_siembra[[#This Row],[Date]],2)-WEEKNUM(DATE(YEAR(datos_siembra[[#This Row],[Date]]),MONTH(datos_siembra[[#This Row],[Date]]),1))+1</f>
        <v>2</v>
      </c>
      <c r="S3131">
        <f>MONTH(datos_siembra[[#This Row],[Date]])</f>
        <v>10</v>
      </c>
      <c r="T3131" t="str" cm="1">
        <f t="array" ref="T3131">_xlfn.IFS(AND(N3131&lt;= 22, S3131=9), "SOWING",AND(N3131&lt;= 28, S3131=9), "COVERAGE",AND(N3131&lt;= 30, S3131=9), "FLUSH",AND(N3131&lt;= 11, S3131=10), "FLUSH",AND(N3131&lt;= 21, S3131=10), "PRODUCTION")</f>
        <v>FLUSH</v>
      </c>
      <c r="U3131">
        <f>HOUR(datos_siembra[[#This Row],[Hour]])</f>
        <v>12</v>
      </c>
      <c r="V3131" cm="1">
        <f t="array" ref="V3131">_xlfn.IFS(AND(N3131&lt;= 22, S3131=9), N3131-7,AND(N3131&lt;= 28, S3131=9), N3131-25,AND(N3131&lt;= 30, S3131=9), N3131-28,AND(N3131&lt;= 11, S3131=10), N3131+2,AND(N3131&lt;= 21, S3131=10), N3131-11)</f>
        <v>10</v>
      </c>
    </row>
    <row r="3132" spans="1:22" x14ac:dyDescent="0.35">
      <c r="A3132" s="4">
        <v>45573</v>
      </c>
      <c r="B3132" s="5">
        <v>0.53819444444444442</v>
      </c>
      <c r="C3132">
        <v>67.3</v>
      </c>
      <c r="D3132">
        <v>67</v>
      </c>
      <c r="E3132">
        <v>68.599999999999994</v>
      </c>
      <c r="F3132">
        <v>67.7</v>
      </c>
      <c r="G3132">
        <v>0</v>
      </c>
      <c r="H3132">
        <v>0</v>
      </c>
      <c r="I3132">
        <v>0</v>
      </c>
      <c r="J3132">
        <v>0</v>
      </c>
      <c r="K3132">
        <v>63.9</v>
      </c>
      <c r="L3132">
        <v>63.5</v>
      </c>
      <c r="M3132">
        <v>67.63</v>
      </c>
      <c r="N3132">
        <v>8</v>
      </c>
      <c r="O3132">
        <v>7</v>
      </c>
      <c r="P3132">
        <f>MOD(DAY(datos_siembra[[#This Row],[Date]]),7)</f>
        <v>1</v>
      </c>
      <c r="Q3132" t="str">
        <f>CHOOSE(WEEKDAY(datos_siembra[[#This Row],[Date]],2),"L","M","X","J","V","S","D")</f>
        <v>M</v>
      </c>
      <c r="R3132">
        <f>WEEKNUM(datos_siembra[[#This Row],[Date]],2)-WEEKNUM(DATE(YEAR(datos_siembra[[#This Row],[Date]]),MONTH(datos_siembra[[#This Row],[Date]]),1))+1</f>
        <v>2</v>
      </c>
      <c r="S3132">
        <f>MONTH(datos_siembra[[#This Row],[Date]])</f>
        <v>10</v>
      </c>
      <c r="T3132" t="str" cm="1">
        <f t="array" ref="T3132">_xlfn.IFS(AND(N3132&lt;= 22, S3132=9), "SOWING",AND(N3132&lt;= 28, S3132=9), "COVERAGE",AND(N3132&lt;= 30, S3132=9), "FLUSH",AND(N3132&lt;= 11, S3132=10), "FLUSH",AND(N3132&lt;= 21, S3132=10), "PRODUCTION")</f>
        <v>FLUSH</v>
      </c>
      <c r="U3132">
        <f>HOUR(datos_siembra[[#This Row],[Hour]])</f>
        <v>12</v>
      </c>
      <c r="V3132" cm="1">
        <f t="array" ref="V3132">_xlfn.IFS(AND(N3132&lt;= 22, S3132=9), N3132-7,AND(N3132&lt;= 28, S3132=9), N3132-25,AND(N3132&lt;= 30, S3132=9), N3132-28,AND(N3132&lt;= 11, S3132=10), N3132+2,AND(N3132&lt;= 21, S3132=10), N3132-11)</f>
        <v>10</v>
      </c>
    </row>
    <row r="3133" spans="1:22" x14ac:dyDescent="0.35">
      <c r="A3133" s="4">
        <v>45573</v>
      </c>
      <c r="B3133" s="5">
        <v>0.54513888888888884</v>
      </c>
      <c r="C3133">
        <v>67.400000000000006</v>
      </c>
      <c r="D3133">
        <v>66.900000000000006</v>
      </c>
      <c r="E3133">
        <v>68.5</v>
      </c>
      <c r="F3133">
        <v>67.599999999999994</v>
      </c>
      <c r="G3133">
        <v>0</v>
      </c>
      <c r="H3133">
        <v>0</v>
      </c>
      <c r="I3133">
        <v>0</v>
      </c>
      <c r="J3133">
        <v>0</v>
      </c>
      <c r="K3133">
        <v>64.400000000000006</v>
      </c>
      <c r="L3133">
        <v>64.7</v>
      </c>
      <c r="M3133">
        <v>67.69</v>
      </c>
      <c r="N3133">
        <v>8</v>
      </c>
      <c r="O3133">
        <v>7</v>
      </c>
      <c r="P3133">
        <f>MOD(DAY(datos_siembra[[#This Row],[Date]]),7)</f>
        <v>1</v>
      </c>
      <c r="Q3133" t="str">
        <f>CHOOSE(WEEKDAY(datos_siembra[[#This Row],[Date]],2),"L","M","X","J","V","S","D")</f>
        <v>M</v>
      </c>
      <c r="R3133">
        <f>WEEKNUM(datos_siembra[[#This Row],[Date]],2)-WEEKNUM(DATE(YEAR(datos_siembra[[#This Row],[Date]]),MONTH(datos_siembra[[#This Row],[Date]]),1))+1</f>
        <v>2</v>
      </c>
      <c r="S3133">
        <f>MONTH(datos_siembra[[#This Row],[Date]])</f>
        <v>10</v>
      </c>
      <c r="T3133" t="str" cm="1">
        <f t="array" ref="T3133">_xlfn.IFS(AND(N3133&lt;= 22, S3133=9), "SOWING",AND(N3133&lt;= 28, S3133=9), "COVERAGE",AND(N3133&lt;= 30, S3133=9), "FLUSH",AND(N3133&lt;= 11, S3133=10), "FLUSH",AND(N3133&lt;= 21, S3133=10), "PRODUCTION")</f>
        <v>FLUSH</v>
      </c>
      <c r="U3133">
        <f>HOUR(datos_siembra[[#This Row],[Hour]])</f>
        <v>13</v>
      </c>
      <c r="V3133" cm="1">
        <f t="array" ref="V3133">_xlfn.IFS(AND(N3133&lt;= 22, S3133=9), N3133-7,AND(N3133&lt;= 28, S3133=9), N3133-25,AND(N3133&lt;= 30, S3133=9), N3133-28,AND(N3133&lt;= 11, S3133=10), N3133+2,AND(N3133&lt;= 21, S3133=10), N3133-11)</f>
        <v>10</v>
      </c>
    </row>
    <row r="3134" spans="1:22" x14ac:dyDescent="0.35">
      <c r="A3134" s="4">
        <v>45573</v>
      </c>
      <c r="B3134" s="5">
        <v>0.55208333333333337</v>
      </c>
      <c r="C3134">
        <v>67.3</v>
      </c>
      <c r="D3134">
        <v>67.099999999999994</v>
      </c>
      <c r="E3134">
        <v>68.7</v>
      </c>
      <c r="F3134">
        <v>67.599999999999994</v>
      </c>
      <c r="G3134">
        <v>0</v>
      </c>
      <c r="H3134">
        <v>0</v>
      </c>
      <c r="I3134">
        <v>0</v>
      </c>
      <c r="J3134">
        <v>0</v>
      </c>
      <c r="K3134">
        <v>64.5</v>
      </c>
      <c r="L3134">
        <v>65.2</v>
      </c>
      <c r="M3134">
        <v>67.63</v>
      </c>
      <c r="N3134">
        <v>8</v>
      </c>
      <c r="O3134">
        <v>7</v>
      </c>
      <c r="P3134">
        <f>MOD(DAY(datos_siembra[[#This Row],[Date]]),7)</f>
        <v>1</v>
      </c>
      <c r="Q3134" t="str">
        <f>CHOOSE(WEEKDAY(datos_siembra[[#This Row],[Date]],2),"L","M","X","J","V","S","D")</f>
        <v>M</v>
      </c>
      <c r="R3134">
        <f>WEEKNUM(datos_siembra[[#This Row],[Date]],2)-WEEKNUM(DATE(YEAR(datos_siembra[[#This Row],[Date]]),MONTH(datos_siembra[[#This Row],[Date]]),1))+1</f>
        <v>2</v>
      </c>
      <c r="S3134">
        <f>MONTH(datos_siembra[[#This Row],[Date]])</f>
        <v>10</v>
      </c>
      <c r="T3134" t="str" cm="1">
        <f t="array" ref="T3134">_xlfn.IFS(AND(N3134&lt;= 22, S3134=9), "SOWING",AND(N3134&lt;= 28, S3134=9), "COVERAGE",AND(N3134&lt;= 30, S3134=9), "FLUSH",AND(N3134&lt;= 11, S3134=10), "FLUSH",AND(N3134&lt;= 21, S3134=10), "PRODUCTION")</f>
        <v>FLUSH</v>
      </c>
      <c r="U3134">
        <f>HOUR(datos_siembra[[#This Row],[Hour]])</f>
        <v>13</v>
      </c>
      <c r="V3134" cm="1">
        <f t="array" ref="V3134">_xlfn.IFS(AND(N3134&lt;= 22, S3134=9), N3134-7,AND(N3134&lt;= 28, S3134=9), N3134-25,AND(N3134&lt;= 30, S3134=9), N3134-28,AND(N3134&lt;= 11, S3134=10), N3134+2,AND(N3134&lt;= 21, S3134=10), N3134-11)</f>
        <v>10</v>
      </c>
    </row>
    <row r="3135" spans="1:22" x14ac:dyDescent="0.35">
      <c r="A3135" s="4">
        <v>45573</v>
      </c>
      <c r="B3135" s="5">
        <v>0.55903935185185183</v>
      </c>
      <c r="C3135">
        <v>67.599999999999994</v>
      </c>
      <c r="D3135">
        <v>67.099999999999994</v>
      </c>
      <c r="E3135">
        <v>68.599999999999994</v>
      </c>
      <c r="F3135">
        <v>67.7</v>
      </c>
      <c r="G3135">
        <v>0</v>
      </c>
      <c r="H3135">
        <v>0</v>
      </c>
      <c r="I3135">
        <v>0</v>
      </c>
      <c r="J3135">
        <v>0</v>
      </c>
      <c r="K3135">
        <v>64.400000000000006</v>
      </c>
      <c r="L3135">
        <v>65.099999999999994</v>
      </c>
      <c r="M3135">
        <v>67.72</v>
      </c>
      <c r="N3135">
        <v>8</v>
      </c>
      <c r="O3135">
        <v>7</v>
      </c>
      <c r="P3135">
        <f>MOD(DAY(datos_siembra[[#This Row],[Date]]),7)</f>
        <v>1</v>
      </c>
      <c r="Q3135" t="str">
        <f>CHOOSE(WEEKDAY(datos_siembra[[#This Row],[Date]],2),"L","M","X","J","V","S","D")</f>
        <v>M</v>
      </c>
      <c r="R3135">
        <f>WEEKNUM(datos_siembra[[#This Row],[Date]],2)-WEEKNUM(DATE(YEAR(datos_siembra[[#This Row],[Date]]),MONTH(datos_siembra[[#This Row],[Date]]),1))+1</f>
        <v>2</v>
      </c>
      <c r="S3135">
        <f>MONTH(datos_siembra[[#This Row],[Date]])</f>
        <v>10</v>
      </c>
      <c r="T3135" t="str" cm="1">
        <f t="array" ref="T3135">_xlfn.IFS(AND(N3135&lt;= 22, S3135=9), "SOWING",AND(N3135&lt;= 28, S3135=9), "COVERAGE",AND(N3135&lt;= 30, S3135=9), "FLUSH",AND(N3135&lt;= 11, S3135=10), "FLUSH",AND(N3135&lt;= 21, S3135=10), "PRODUCTION")</f>
        <v>FLUSH</v>
      </c>
      <c r="U3135">
        <f>HOUR(datos_siembra[[#This Row],[Hour]])</f>
        <v>13</v>
      </c>
      <c r="V3135" cm="1">
        <f t="array" ref="V3135">_xlfn.IFS(AND(N3135&lt;= 22, S3135=9), N3135-7,AND(N3135&lt;= 28, S3135=9), N3135-25,AND(N3135&lt;= 30, S3135=9), N3135-28,AND(N3135&lt;= 11, S3135=10), N3135+2,AND(N3135&lt;= 21, S3135=10), N3135-11)</f>
        <v>10</v>
      </c>
    </row>
    <row r="3136" spans="1:22" x14ac:dyDescent="0.35">
      <c r="A3136" s="4">
        <v>45573</v>
      </c>
      <c r="B3136" s="5">
        <v>0.56598379629629625</v>
      </c>
      <c r="C3136">
        <v>67.400000000000006</v>
      </c>
      <c r="D3136">
        <v>67.099999999999994</v>
      </c>
      <c r="E3136">
        <v>69</v>
      </c>
      <c r="F3136">
        <v>67.8</v>
      </c>
      <c r="G3136">
        <v>0</v>
      </c>
      <c r="H3136">
        <v>0</v>
      </c>
      <c r="I3136">
        <v>0</v>
      </c>
      <c r="J3136">
        <v>0</v>
      </c>
      <c r="K3136">
        <v>64.400000000000006</v>
      </c>
      <c r="L3136">
        <v>65</v>
      </c>
      <c r="M3136">
        <v>67.69</v>
      </c>
      <c r="N3136">
        <v>8</v>
      </c>
      <c r="O3136">
        <v>7</v>
      </c>
      <c r="P3136">
        <f>MOD(DAY(datos_siembra[[#This Row],[Date]]),7)</f>
        <v>1</v>
      </c>
      <c r="Q3136" t="str">
        <f>CHOOSE(WEEKDAY(datos_siembra[[#This Row],[Date]],2),"L","M","X","J","V","S","D")</f>
        <v>M</v>
      </c>
      <c r="R3136">
        <f>WEEKNUM(datos_siembra[[#This Row],[Date]],2)-WEEKNUM(DATE(YEAR(datos_siembra[[#This Row],[Date]]),MONTH(datos_siembra[[#This Row],[Date]]),1))+1</f>
        <v>2</v>
      </c>
      <c r="S3136">
        <f>MONTH(datos_siembra[[#This Row],[Date]])</f>
        <v>10</v>
      </c>
      <c r="T3136" t="str" cm="1">
        <f t="array" ref="T3136">_xlfn.IFS(AND(N3136&lt;= 22, S3136=9), "SOWING",AND(N3136&lt;= 28, S3136=9), "COVERAGE",AND(N3136&lt;= 30, S3136=9), "FLUSH",AND(N3136&lt;= 11, S3136=10), "FLUSH",AND(N3136&lt;= 21, S3136=10), "PRODUCTION")</f>
        <v>FLUSH</v>
      </c>
      <c r="U3136">
        <f>HOUR(datos_siembra[[#This Row],[Hour]])</f>
        <v>13</v>
      </c>
      <c r="V3136" cm="1">
        <f t="array" ref="V3136">_xlfn.IFS(AND(N3136&lt;= 22, S3136=9), N3136-7,AND(N3136&lt;= 28, S3136=9), N3136-25,AND(N3136&lt;= 30, S3136=9), N3136-28,AND(N3136&lt;= 11, S3136=10), N3136+2,AND(N3136&lt;= 21, S3136=10), N3136-11)</f>
        <v>10</v>
      </c>
    </row>
    <row r="3137" spans="1:22" x14ac:dyDescent="0.35">
      <c r="A3137" s="4">
        <v>45573</v>
      </c>
      <c r="B3137" s="5">
        <v>0.57292824074074078</v>
      </c>
      <c r="C3137">
        <v>67.3</v>
      </c>
      <c r="D3137">
        <v>67</v>
      </c>
      <c r="E3137">
        <v>68.5</v>
      </c>
      <c r="F3137">
        <v>67.7</v>
      </c>
      <c r="G3137">
        <v>0</v>
      </c>
      <c r="H3137">
        <v>0</v>
      </c>
      <c r="I3137">
        <v>0</v>
      </c>
      <c r="J3137">
        <v>0</v>
      </c>
      <c r="K3137">
        <v>64.400000000000006</v>
      </c>
      <c r="L3137">
        <v>64.900000000000006</v>
      </c>
      <c r="M3137">
        <v>67.63</v>
      </c>
      <c r="N3137">
        <v>8</v>
      </c>
      <c r="O3137">
        <v>7</v>
      </c>
      <c r="P3137">
        <f>MOD(DAY(datos_siembra[[#This Row],[Date]]),7)</f>
        <v>1</v>
      </c>
      <c r="Q3137" t="str">
        <f>CHOOSE(WEEKDAY(datos_siembra[[#This Row],[Date]],2),"L","M","X","J","V","S","D")</f>
        <v>M</v>
      </c>
      <c r="R3137">
        <f>WEEKNUM(datos_siembra[[#This Row],[Date]],2)-WEEKNUM(DATE(YEAR(datos_siembra[[#This Row],[Date]]),MONTH(datos_siembra[[#This Row],[Date]]),1))+1</f>
        <v>2</v>
      </c>
      <c r="S3137">
        <f>MONTH(datos_siembra[[#This Row],[Date]])</f>
        <v>10</v>
      </c>
      <c r="T3137" t="str" cm="1">
        <f t="array" ref="T3137">_xlfn.IFS(AND(N3137&lt;= 22, S3137=9), "SOWING",AND(N3137&lt;= 28, S3137=9), "COVERAGE",AND(N3137&lt;= 30, S3137=9), "FLUSH",AND(N3137&lt;= 11, S3137=10), "FLUSH",AND(N3137&lt;= 21, S3137=10), "PRODUCTION")</f>
        <v>FLUSH</v>
      </c>
      <c r="U3137">
        <f>HOUR(datos_siembra[[#This Row],[Hour]])</f>
        <v>13</v>
      </c>
      <c r="V3137" cm="1">
        <f t="array" ref="V3137">_xlfn.IFS(AND(N3137&lt;= 22, S3137=9), N3137-7,AND(N3137&lt;= 28, S3137=9), N3137-25,AND(N3137&lt;= 30, S3137=9), N3137-28,AND(N3137&lt;= 11, S3137=10), N3137+2,AND(N3137&lt;= 21, S3137=10), N3137-11)</f>
        <v>10</v>
      </c>
    </row>
    <row r="3138" spans="1:22" x14ac:dyDescent="0.35">
      <c r="A3138" s="4">
        <v>45573</v>
      </c>
      <c r="B3138" s="5">
        <v>0.57988425925925924</v>
      </c>
      <c r="C3138">
        <v>67.400000000000006</v>
      </c>
      <c r="D3138">
        <v>67.099999999999994</v>
      </c>
      <c r="E3138">
        <v>68.7</v>
      </c>
      <c r="F3138">
        <v>67.599999999999994</v>
      </c>
      <c r="G3138">
        <v>0</v>
      </c>
      <c r="H3138">
        <v>0</v>
      </c>
      <c r="I3138">
        <v>0</v>
      </c>
      <c r="J3138">
        <v>0</v>
      </c>
      <c r="K3138">
        <v>64.3</v>
      </c>
      <c r="L3138">
        <v>64.7</v>
      </c>
      <c r="M3138">
        <v>67.69</v>
      </c>
      <c r="N3138">
        <v>8</v>
      </c>
      <c r="O3138">
        <v>7</v>
      </c>
      <c r="P3138">
        <f>MOD(DAY(datos_siembra[[#This Row],[Date]]),7)</f>
        <v>1</v>
      </c>
      <c r="Q3138" t="str">
        <f>CHOOSE(WEEKDAY(datos_siembra[[#This Row],[Date]],2),"L","M","X","J","V","S","D")</f>
        <v>M</v>
      </c>
      <c r="R3138">
        <f>WEEKNUM(datos_siembra[[#This Row],[Date]],2)-WEEKNUM(DATE(YEAR(datos_siembra[[#This Row],[Date]]),MONTH(datos_siembra[[#This Row],[Date]]),1))+1</f>
        <v>2</v>
      </c>
      <c r="S3138">
        <f>MONTH(datos_siembra[[#This Row],[Date]])</f>
        <v>10</v>
      </c>
      <c r="T3138" t="str" cm="1">
        <f t="array" ref="T3138">_xlfn.IFS(AND(N3138&lt;= 22, S3138=9), "SOWING",AND(N3138&lt;= 28, S3138=9), "COVERAGE",AND(N3138&lt;= 30, S3138=9), "FLUSH",AND(N3138&lt;= 11, S3138=10), "FLUSH",AND(N3138&lt;= 21, S3138=10), "PRODUCTION")</f>
        <v>FLUSH</v>
      </c>
      <c r="U3138">
        <f>HOUR(datos_siembra[[#This Row],[Hour]])</f>
        <v>13</v>
      </c>
      <c r="V3138" cm="1">
        <f t="array" ref="V3138">_xlfn.IFS(AND(N3138&lt;= 22, S3138=9), N3138-7,AND(N3138&lt;= 28, S3138=9), N3138-25,AND(N3138&lt;= 30, S3138=9), N3138-28,AND(N3138&lt;= 11, S3138=10), N3138+2,AND(N3138&lt;= 21, S3138=10), N3138-11)</f>
        <v>10</v>
      </c>
    </row>
    <row r="3139" spans="1:22" x14ac:dyDescent="0.35">
      <c r="A3139" s="4">
        <v>45573</v>
      </c>
      <c r="B3139" s="5">
        <v>0.58682870370370366</v>
      </c>
      <c r="C3139">
        <v>67.400000000000006</v>
      </c>
      <c r="D3139">
        <v>67.099999999999994</v>
      </c>
      <c r="E3139">
        <v>68.7</v>
      </c>
      <c r="F3139">
        <v>67.8</v>
      </c>
      <c r="G3139">
        <v>0</v>
      </c>
      <c r="H3139">
        <v>0</v>
      </c>
      <c r="I3139">
        <v>0</v>
      </c>
      <c r="J3139">
        <v>0</v>
      </c>
      <c r="K3139">
        <v>64.3</v>
      </c>
      <c r="L3139">
        <v>64.7</v>
      </c>
      <c r="M3139">
        <v>67.72</v>
      </c>
      <c r="N3139">
        <v>8</v>
      </c>
      <c r="O3139">
        <v>7</v>
      </c>
      <c r="P3139">
        <f>MOD(DAY(datos_siembra[[#This Row],[Date]]),7)</f>
        <v>1</v>
      </c>
      <c r="Q3139" t="str">
        <f>CHOOSE(WEEKDAY(datos_siembra[[#This Row],[Date]],2),"L","M","X","J","V","S","D")</f>
        <v>M</v>
      </c>
      <c r="R3139">
        <f>WEEKNUM(datos_siembra[[#This Row],[Date]],2)-WEEKNUM(DATE(YEAR(datos_siembra[[#This Row],[Date]]),MONTH(datos_siembra[[#This Row],[Date]]),1))+1</f>
        <v>2</v>
      </c>
      <c r="S3139">
        <f>MONTH(datos_siembra[[#This Row],[Date]])</f>
        <v>10</v>
      </c>
      <c r="T3139" t="str" cm="1">
        <f t="array" ref="T3139">_xlfn.IFS(AND(N3139&lt;= 22, S3139=9), "SOWING",AND(N3139&lt;= 28, S3139=9), "COVERAGE",AND(N3139&lt;= 30, S3139=9), "FLUSH",AND(N3139&lt;= 11, S3139=10), "FLUSH",AND(N3139&lt;= 21, S3139=10), "PRODUCTION")</f>
        <v>FLUSH</v>
      </c>
      <c r="U3139">
        <f>HOUR(datos_siembra[[#This Row],[Hour]])</f>
        <v>14</v>
      </c>
      <c r="V3139" cm="1">
        <f t="array" ref="V3139">_xlfn.IFS(AND(N3139&lt;= 22, S3139=9), N3139-7,AND(N3139&lt;= 28, S3139=9), N3139-25,AND(N3139&lt;= 30, S3139=9), N3139-28,AND(N3139&lt;= 11, S3139=10), N3139+2,AND(N3139&lt;= 21, S3139=10), N3139-11)</f>
        <v>10</v>
      </c>
    </row>
    <row r="3140" spans="1:22" x14ac:dyDescent="0.35">
      <c r="A3140" s="4">
        <v>45573</v>
      </c>
      <c r="B3140" s="5">
        <v>0.59377314814814819</v>
      </c>
      <c r="C3140">
        <v>67.400000000000006</v>
      </c>
      <c r="D3140">
        <v>66.900000000000006</v>
      </c>
      <c r="E3140">
        <v>68.599999999999994</v>
      </c>
      <c r="F3140">
        <v>67.599999999999994</v>
      </c>
      <c r="G3140">
        <v>0</v>
      </c>
      <c r="H3140">
        <v>0</v>
      </c>
      <c r="I3140">
        <v>0</v>
      </c>
      <c r="J3140">
        <v>0</v>
      </c>
      <c r="K3140">
        <v>64.2</v>
      </c>
      <c r="L3140">
        <v>64.599999999999994</v>
      </c>
      <c r="M3140">
        <v>67.69</v>
      </c>
      <c r="N3140">
        <v>8</v>
      </c>
      <c r="O3140">
        <v>7</v>
      </c>
      <c r="P3140">
        <f>MOD(DAY(datos_siembra[[#This Row],[Date]]),7)</f>
        <v>1</v>
      </c>
      <c r="Q3140" t="str">
        <f>CHOOSE(WEEKDAY(datos_siembra[[#This Row],[Date]],2),"L","M","X","J","V","S","D")</f>
        <v>M</v>
      </c>
      <c r="R3140">
        <f>WEEKNUM(datos_siembra[[#This Row],[Date]],2)-WEEKNUM(DATE(YEAR(datos_siembra[[#This Row],[Date]]),MONTH(datos_siembra[[#This Row],[Date]]),1))+1</f>
        <v>2</v>
      </c>
      <c r="S3140">
        <f>MONTH(datos_siembra[[#This Row],[Date]])</f>
        <v>10</v>
      </c>
      <c r="T3140" t="str" cm="1">
        <f t="array" ref="T3140">_xlfn.IFS(AND(N3140&lt;= 22, S3140=9), "SOWING",AND(N3140&lt;= 28, S3140=9), "COVERAGE",AND(N3140&lt;= 30, S3140=9), "FLUSH",AND(N3140&lt;= 11, S3140=10), "FLUSH",AND(N3140&lt;= 21, S3140=10), "PRODUCTION")</f>
        <v>FLUSH</v>
      </c>
      <c r="U3140">
        <f>HOUR(datos_siembra[[#This Row],[Hour]])</f>
        <v>14</v>
      </c>
      <c r="V3140" cm="1">
        <f t="array" ref="V3140">_xlfn.IFS(AND(N3140&lt;= 22, S3140=9), N3140-7,AND(N3140&lt;= 28, S3140=9), N3140-25,AND(N3140&lt;= 30, S3140=9), N3140-28,AND(N3140&lt;= 11, S3140=10), N3140+2,AND(N3140&lt;= 21, S3140=10), N3140-11)</f>
        <v>10</v>
      </c>
    </row>
    <row r="3141" spans="1:22" x14ac:dyDescent="0.35">
      <c r="A3141" s="4">
        <v>45573</v>
      </c>
      <c r="B3141" s="5">
        <v>0.60071759259259261</v>
      </c>
      <c r="C3141">
        <v>67.400000000000006</v>
      </c>
      <c r="D3141">
        <v>67.099999999999994</v>
      </c>
      <c r="E3141">
        <v>68.599999999999994</v>
      </c>
      <c r="F3141">
        <v>67.8</v>
      </c>
      <c r="G3141">
        <v>0</v>
      </c>
      <c r="H3141">
        <v>0</v>
      </c>
      <c r="I3141">
        <v>0</v>
      </c>
      <c r="J3141">
        <v>0</v>
      </c>
      <c r="K3141">
        <v>64.2</v>
      </c>
      <c r="L3141">
        <v>64.5</v>
      </c>
      <c r="M3141">
        <v>67.69</v>
      </c>
      <c r="N3141">
        <v>8</v>
      </c>
      <c r="O3141">
        <v>7</v>
      </c>
      <c r="P3141">
        <f>MOD(DAY(datos_siembra[[#This Row],[Date]]),7)</f>
        <v>1</v>
      </c>
      <c r="Q3141" t="str">
        <f>CHOOSE(WEEKDAY(datos_siembra[[#This Row],[Date]],2),"L","M","X","J","V","S","D")</f>
        <v>M</v>
      </c>
      <c r="R3141">
        <f>WEEKNUM(datos_siembra[[#This Row],[Date]],2)-WEEKNUM(DATE(YEAR(datos_siembra[[#This Row],[Date]]),MONTH(datos_siembra[[#This Row],[Date]]),1))+1</f>
        <v>2</v>
      </c>
      <c r="S3141">
        <f>MONTH(datos_siembra[[#This Row],[Date]])</f>
        <v>10</v>
      </c>
      <c r="T3141" t="str" cm="1">
        <f t="array" ref="T3141">_xlfn.IFS(AND(N3141&lt;= 22, S3141=9), "SOWING",AND(N3141&lt;= 28, S3141=9), "COVERAGE",AND(N3141&lt;= 30, S3141=9), "FLUSH",AND(N3141&lt;= 11, S3141=10), "FLUSH",AND(N3141&lt;= 21, S3141=10), "PRODUCTION")</f>
        <v>FLUSH</v>
      </c>
      <c r="U3141">
        <f>HOUR(datos_siembra[[#This Row],[Hour]])</f>
        <v>14</v>
      </c>
      <c r="V3141" cm="1">
        <f t="array" ref="V3141">_xlfn.IFS(AND(N3141&lt;= 22, S3141=9), N3141-7,AND(N3141&lt;= 28, S3141=9), N3141-25,AND(N3141&lt;= 30, S3141=9), N3141-28,AND(N3141&lt;= 11, S3141=10), N3141+2,AND(N3141&lt;= 21, S3141=10), N3141-11)</f>
        <v>10</v>
      </c>
    </row>
    <row r="3142" spans="1:22" x14ac:dyDescent="0.35">
      <c r="A3142" s="4">
        <v>45573</v>
      </c>
      <c r="B3142" s="5">
        <v>0.60767361111111107</v>
      </c>
      <c r="C3142">
        <v>67.599999999999994</v>
      </c>
      <c r="D3142">
        <v>67</v>
      </c>
      <c r="E3142">
        <v>68.599999999999994</v>
      </c>
      <c r="F3142">
        <v>67.7</v>
      </c>
      <c r="G3142">
        <v>0</v>
      </c>
      <c r="H3142">
        <v>0</v>
      </c>
      <c r="I3142">
        <v>0</v>
      </c>
      <c r="J3142">
        <v>0</v>
      </c>
      <c r="K3142">
        <v>64.2</v>
      </c>
      <c r="L3142">
        <v>64.599999999999994</v>
      </c>
      <c r="M3142">
        <v>67.69</v>
      </c>
      <c r="N3142">
        <v>8</v>
      </c>
      <c r="O3142">
        <v>7</v>
      </c>
      <c r="P3142">
        <f>MOD(DAY(datos_siembra[[#This Row],[Date]]),7)</f>
        <v>1</v>
      </c>
      <c r="Q3142" t="str">
        <f>CHOOSE(WEEKDAY(datos_siembra[[#This Row],[Date]],2),"L","M","X","J","V","S","D")</f>
        <v>M</v>
      </c>
      <c r="R3142">
        <f>WEEKNUM(datos_siembra[[#This Row],[Date]],2)-WEEKNUM(DATE(YEAR(datos_siembra[[#This Row],[Date]]),MONTH(datos_siembra[[#This Row],[Date]]),1))+1</f>
        <v>2</v>
      </c>
      <c r="S3142">
        <f>MONTH(datos_siembra[[#This Row],[Date]])</f>
        <v>10</v>
      </c>
      <c r="T3142" t="str" cm="1">
        <f t="array" ref="T3142">_xlfn.IFS(AND(N3142&lt;= 22, S3142=9), "SOWING",AND(N3142&lt;= 28, S3142=9), "COVERAGE",AND(N3142&lt;= 30, S3142=9), "FLUSH",AND(N3142&lt;= 11, S3142=10), "FLUSH",AND(N3142&lt;= 21, S3142=10), "PRODUCTION")</f>
        <v>FLUSH</v>
      </c>
      <c r="U3142">
        <f>HOUR(datos_siembra[[#This Row],[Hour]])</f>
        <v>14</v>
      </c>
      <c r="V3142" cm="1">
        <f t="array" ref="V3142">_xlfn.IFS(AND(N3142&lt;= 22, S3142=9), N3142-7,AND(N3142&lt;= 28, S3142=9), N3142-25,AND(N3142&lt;= 30, S3142=9), N3142-28,AND(N3142&lt;= 11, S3142=10), N3142+2,AND(N3142&lt;= 21, S3142=10), N3142-11)</f>
        <v>10</v>
      </c>
    </row>
    <row r="3143" spans="1:22" x14ac:dyDescent="0.35">
      <c r="A3143" s="4">
        <v>45573</v>
      </c>
      <c r="B3143" s="5">
        <v>0.6146180555555556</v>
      </c>
      <c r="C3143">
        <v>67.3</v>
      </c>
      <c r="D3143">
        <v>67</v>
      </c>
      <c r="E3143">
        <v>68.599999999999994</v>
      </c>
      <c r="F3143">
        <v>67.8</v>
      </c>
      <c r="G3143">
        <v>0</v>
      </c>
      <c r="H3143">
        <v>0</v>
      </c>
      <c r="I3143">
        <v>0</v>
      </c>
      <c r="J3143">
        <v>0</v>
      </c>
      <c r="K3143">
        <v>64.099999999999994</v>
      </c>
      <c r="L3143">
        <v>64.5</v>
      </c>
      <c r="M3143">
        <v>67.66</v>
      </c>
      <c r="N3143">
        <v>8</v>
      </c>
      <c r="O3143">
        <v>7</v>
      </c>
      <c r="P3143">
        <f>MOD(DAY(datos_siembra[[#This Row],[Date]]),7)</f>
        <v>1</v>
      </c>
      <c r="Q3143" t="str">
        <f>CHOOSE(WEEKDAY(datos_siembra[[#This Row],[Date]],2),"L","M","X","J","V","S","D")</f>
        <v>M</v>
      </c>
      <c r="R3143">
        <f>WEEKNUM(datos_siembra[[#This Row],[Date]],2)-WEEKNUM(DATE(YEAR(datos_siembra[[#This Row],[Date]]),MONTH(datos_siembra[[#This Row],[Date]]),1))+1</f>
        <v>2</v>
      </c>
      <c r="S3143">
        <f>MONTH(datos_siembra[[#This Row],[Date]])</f>
        <v>10</v>
      </c>
      <c r="T3143" t="str" cm="1">
        <f t="array" ref="T3143">_xlfn.IFS(AND(N3143&lt;= 22, S3143=9), "SOWING",AND(N3143&lt;= 28, S3143=9), "COVERAGE",AND(N3143&lt;= 30, S3143=9), "FLUSH",AND(N3143&lt;= 11, S3143=10), "FLUSH",AND(N3143&lt;= 21, S3143=10), "PRODUCTION")</f>
        <v>FLUSH</v>
      </c>
      <c r="U3143">
        <f>HOUR(datos_siembra[[#This Row],[Hour]])</f>
        <v>14</v>
      </c>
      <c r="V3143" cm="1">
        <f t="array" ref="V3143">_xlfn.IFS(AND(N3143&lt;= 22, S3143=9), N3143-7,AND(N3143&lt;= 28, S3143=9), N3143-25,AND(N3143&lt;= 30, S3143=9), N3143-28,AND(N3143&lt;= 11, S3143=10), N3143+2,AND(N3143&lt;= 21, S3143=10), N3143-11)</f>
        <v>10</v>
      </c>
    </row>
    <row r="3144" spans="1:22" x14ac:dyDescent="0.35">
      <c r="A3144" s="4">
        <v>45573</v>
      </c>
      <c r="B3144" s="5">
        <v>0.62156250000000002</v>
      </c>
      <c r="C3144">
        <v>67.599999999999994</v>
      </c>
      <c r="D3144">
        <v>67</v>
      </c>
      <c r="E3144">
        <v>68.599999999999994</v>
      </c>
      <c r="F3144">
        <v>67.8</v>
      </c>
      <c r="G3144">
        <v>0</v>
      </c>
      <c r="H3144">
        <v>0</v>
      </c>
      <c r="I3144">
        <v>0</v>
      </c>
      <c r="J3144">
        <v>0</v>
      </c>
      <c r="K3144">
        <v>64.099999999999994</v>
      </c>
      <c r="L3144">
        <v>64.5</v>
      </c>
      <c r="M3144">
        <v>67.66</v>
      </c>
      <c r="N3144">
        <v>8</v>
      </c>
      <c r="O3144">
        <v>7</v>
      </c>
      <c r="P3144">
        <f>MOD(DAY(datos_siembra[[#This Row],[Date]]),7)</f>
        <v>1</v>
      </c>
      <c r="Q3144" t="str">
        <f>CHOOSE(WEEKDAY(datos_siembra[[#This Row],[Date]],2),"L","M","X","J","V","S","D")</f>
        <v>M</v>
      </c>
      <c r="R3144">
        <f>WEEKNUM(datos_siembra[[#This Row],[Date]],2)-WEEKNUM(DATE(YEAR(datos_siembra[[#This Row],[Date]]),MONTH(datos_siembra[[#This Row],[Date]]),1))+1</f>
        <v>2</v>
      </c>
      <c r="S3144">
        <f>MONTH(datos_siembra[[#This Row],[Date]])</f>
        <v>10</v>
      </c>
      <c r="T3144" t="str" cm="1">
        <f t="array" ref="T3144">_xlfn.IFS(AND(N3144&lt;= 22, S3144=9), "SOWING",AND(N3144&lt;= 28, S3144=9), "COVERAGE",AND(N3144&lt;= 30, S3144=9), "FLUSH",AND(N3144&lt;= 11, S3144=10), "FLUSH",AND(N3144&lt;= 21, S3144=10), "PRODUCTION")</f>
        <v>FLUSH</v>
      </c>
      <c r="U3144">
        <f>HOUR(datos_siembra[[#This Row],[Hour]])</f>
        <v>14</v>
      </c>
      <c r="V3144" cm="1">
        <f t="array" ref="V3144">_xlfn.IFS(AND(N3144&lt;= 22, S3144=9), N3144-7,AND(N3144&lt;= 28, S3144=9), N3144-25,AND(N3144&lt;= 30, S3144=9), N3144-28,AND(N3144&lt;= 11, S3144=10), N3144+2,AND(N3144&lt;= 21, S3144=10), N3144-11)</f>
        <v>10</v>
      </c>
    </row>
    <row r="3145" spans="1:22" x14ac:dyDescent="0.35">
      <c r="A3145" s="4">
        <v>45573</v>
      </c>
      <c r="B3145" s="5">
        <v>0.62851851851851848</v>
      </c>
      <c r="C3145">
        <v>67.400000000000006</v>
      </c>
      <c r="D3145">
        <v>67</v>
      </c>
      <c r="E3145">
        <v>68.599999999999994</v>
      </c>
      <c r="F3145">
        <v>67.8</v>
      </c>
      <c r="G3145">
        <v>0</v>
      </c>
      <c r="H3145">
        <v>0</v>
      </c>
      <c r="I3145">
        <v>0</v>
      </c>
      <c r="J3145">
        <v>0</v>
      </c>
      <c r="K3145">
        <v>64.099999999999994</v>
      </c>
      <c r="L3145">
        <v>64.5</v>
      </c>
      <c r="M3145">
        <v>67.61</v>
      </c>
      <c r="N3145">
        <v>8</v>
      </c>
      <c r="O3145">
        <v>7</v>
      </c>
      <c r="P3145">
        <f>MOD(DAY(datos_siembra[[#This Row],[Date]]),7)</f>
        <v>1</v>
      </c>
      <c r="Q3145" t="str">
        <f>CHOOSE(WEEKDAY(datos_siembra[[#This Row],[Date]],2),"L","M","X","J","V","S","D")</f>
        <v>M</v>
      </c>
      <c r="R3145">
        <f>WEEKNUM(datos_siembra[[#This Row],[Date]],2)-WEEKNUM(DATE(YEAR(datos_siembra[[#This Row],[Date]]),MONTH(datos_siembra[[#This Row],[Date]]),1))+1</f>
        <v>2</v>
      </c>
      <c r="S3145">
        <f>MONTH(datos_siembra[[#This Row],[Date]])</f>
        <v>10</v>
      </c>
      <c r="T3145" t="str" cm="1">
        <f t="array" ref="T3145">_xlfn.IFS(AND(N3145&lt;= 22, S3145=9), "SOWING",AND(N3145&lt;= 28, S3145=9), "COVERAGE",AND(N3145&lt;= 30, S3145=9), "FLUSH",AND(N3145&lt;= 11, S3145=10), "FLUSH",AND(N3145&lt;= 21, S3145=10), "PRODUCTION")</f>
        <v>FLUSH</v>
      </c>
      <c r="U3145">
        <f>HOUR(datos_siembra[[#This Row],[Hour]])</f>
        <v>15</v>
      </c>
      <c r="V3145" cm="1">
        <f t="array" ref="V3145">_xlfn.IFS(AND(N3145&lt;= 22, S3145=9), N3145-7,AND(N3145&lt;= 28, S3145=9), N3145-25,AND(N3145&lt;= 30, S3145=9), N3145-28,AND(N3145&lt;= 11, S3145=10), N3145+2,AND(N3145&lt;= 21, S3145=10), N3145-11)</f>
        <v>10</v>
      </c>
    </row>
    <row r="3146" spans="1:22" x14ac:dyDescent="0.35">
      <c r="A3146" s="4">
        <v>45573</v>
      </c>
      <c r="B3146" s="5">
        <v>0.63546296296296301</v>
      </c>
      <c r="C3146">
        <v>67.400000000000006</v>
      </c>
      <c r="D3146">
        <v>67</v>
      </c>
      <c r="E3146">
        <v>68.7</v>
      </c>
      <c r="F3146">
        <v>67.7</v>
      </c>
      <c r="G3146">
        <v>0</v>
      </c>
      <c r="H3146">
        <v>0</v>
      </c>
      <c r="I3146">
        <v>0</v>
      </c>
      <c r="J3146">
        <v>0</v>
      </c>
      <c r="K3146">
        <v>64.099999999999994</v>
      </c>
      <c r="L3146">
        <v>64.5</v>
      </c>
      <c r="M3146">
        <v>67.77</v>
      </c>
      <c r="N3146">
        <v>8</v>
      </c>
      <c r="O3146">
        <v>7</v>
      </c>
      <c r="P3146">
        <f>MOD(DAY(datos_siembra[[#This Row],[Date]]),7)</f>
        <v>1</v>
      </c>
      <c r="Q3146" t="str">
        <f>CHOOSE(WEEKDAY(datos_siembra[[#This Row],[Date]],2),"L","M","X","J","V","S","D")</f>
        <v>M</v>
      </c>
      <c r="R3146">
        <f>WEEKNUM(datos_siembra[[#This Row],[Date]],2)-WEEKNUM(DATE(YEAR(datos_siembra[[#This Row],[Date]]),MONTH(datos_siembra[[#This Row],[Date]]),1))+1</f>
        <v>2</v>
      </c>
      <c r="S3146">
        <f>MONTH(datos_siembra[[#This Row],[Date]])</f>
        <v>10</v>
      </c>
      <c r="T3146" t="str" cm="1">
        <f t="array" ref="T3146">_xlfn.IFS(AND(N3146&lt;= 22, S3146=9), "SOWING",AND(N3146&lt;= 28, S3146=9), "COVERAGE",AND(N3146&lt;= 30, S3146=9), "FLUSH",AND(N3146&lt;= 11, S3146=10), "FLUSH",AND(N3146&lt;= 21, S3146=10), "PRODUCTION")</f>
        <v>FLUSH</v>
      </c>
      <c r="U3146">
        <f>HOUR(datos_siembra[[#This Row],[Hour]])</f>
        <v>15</v>
      </c>
      <c r="V3146" cm="1">
        <f t="array" ref="V3146">_xlfn.IFS(AND(N3146&lt;= 22, S3146=9), N3146-7,AND(N3146&lt;= 28, S3146=9), N3146-25,AND(N3146&lt;= 30, S3146=9), N3146-28,AND(N3146&lt;= 11, S3146=10), N3146+2,AND(N3146&lt;= 21, S3146=10), N3146-11)</f>
        <v>10</v>
      </c>
    </row>
    <row r="3147" spans="1:22" x14ac:dyDescent="0.35">
      <c r="A3147" s="4">
        <v>45573</v>
      </c>
      <c r="B3147" s="5">
        <v>0.64240740740740743</v>
      </c>
      <c r="C3147">
        <v>67.400000000000006</v>
      </c>
      <c r="D3147">
        <v>67</v>
      </c>
      <c r="E3147">
        <v>68.5</v>
      </c>
      <c r="F3147">
        <v>67.8</v>
      </c>
      <c r="G3147">
        <v>0</v>
      </c>
      <c r="H3147">
        <v>0</v>
      </c>
      <c r="I3147">
        <v>0</v>
      </c>
      <c r="J3147">
        <v>0</v>
      </c>
      <c r="K3147">
        <v>64.099999999999994</v>
      </c>
      <c r="L3147">
        <v>64.5</v>
      </c>
      <c r="M3147">
        <v>67.61</v>
      </c>
      <c r="N3147">
        <v>8</v>
      </c>
      <c r="O3147">
        <v>7</v>
      </c>
      <c r="P3147">
        <f>MOD(DAY(datos_siembra[[#This Row],[Date]]),7)</f>
        <v>1</v>
      </c>
      <c r="Q3147" t="str">
        <f>CHOOSE(WEEKDAY(datos_siembra[[#This Row],[Date]],2),"L","M","X","J","V","S","D")</f>
        <v>M</v>
      </c>
      <c r="R3147">
        <f>WEEKNUM(datos_siembra[[#This Row],[Date]],2)-WEEKNUM(DATE(YEAR(datos_siembra[[#This Row],[Date]]),MONTH(datos_siembra[[#This Row],[Date]]),1))+1</f>
        <v>2</v>
      </c>
      <c r="S3147">
        <f>MONTH(datos_siembra[[#This Row],[Date]])</f>
        <v>10</v>
      </c>
      <c r="T3147" t="str" cm="1">
        <f t="array" ref="T3147">_xlfn.IFS(AND(N3147&lt;= 22, S3147=9), "SOWING",AND(N3147&lt;= 28, S3147=9), "COVERAGE",AND(N3147&lt;= 30, S3147=9), "FLUSH",AND(N3147&lt;= 11, S3147=10), "FLUSH",AND(N3147&lt;= 21, S3147=10), "PRODUCTION")</f>
        <v>FLUSH</v>
      </c>
      <c r="U3147">
        <f>HOUR(datos_siembra[[#This Row],[Hour]])</f>
        <v>15</v>
      </c>
      <c r="V3147" cm="1">
        <f t="array" ref="V3147">_xlfn.IFS(AND(N3147&lt;= 22, S3147=9), N3147-7,AND(N3147&lt;= 28, S3147=9), N3147-25,AND(N3147&lt;= 30, S3147=9), N3147-28,AND(N3147&lt;= 11, S3147=10), N3147+2,AND(N3147&lt;= 21, S3147=10), N3147-11)</f>
        <v>10</v>
      </c>
    </row>
    <row r="3148" spans="1:22" x14ac:dyDescent="0.35">
      <c r="A3148" s="4">
        <v>45573</v>
      </c>
      <c r="B3148" s="5">
        <v>0.64936342592592589</v>
      </c>
      <c r="C3148">
        <v>67.400000000000006</v>
      </c>
      <c r="D3148">
        <v>67</v>
      </c>
      <c r="E3148">
        <v>68.3</v>
      </c>
      <c r="F3148">
        <v>67.900000000000006</v>
      </c>
      <c r="G3148">
        <v>0</v>
      </c>
      <c r="H3148">
        <v>0</v>
      </c>
      <c r="I3148">
        <v>0</v>
      </c>
      <c r="J3148">
        <v>0</v>
      </c>
      <c r="K3148">
        <v>64.2</v>
      </c>
      <c r="L3148">
        <v>64.599999999999994</v>
      </c>
      <c r="M3148">
        <v>67.75</v>
      </c>
      <c r="N3148">
        <v>8</v>
      </c>
      <c r="O3148">
        <v>7</v>
      </c>
      <c r="P3148">
        <f>MOD(DAY(datos_siembra[[#This Row],[Date]]),7)</f>
        <v>1</v>
      </c>
      <c r="Q3148" t="str">
        <f>CHOOSE(WEEKDAY(datos_siembra[[#This Row],[Date]],2),"L","M","X","J","V","S","D")</f>
        <v>M</v>
      </c>
      <c r="R3148">
        <f>WEEKNUM(datos_siembra[[#This Row],[Date]],2)-WEEKNUM(DATE(YEAR(datos_siembra[[#This Row],[Date]]),MONTH(datos_siembra[[#This Row],[Date]]),1))+1</f>
        <v>2</v>
      </c>
      <c r="S3148">
        <f>MONTH(datos_siembra[[#This Row],[Date]])</f>
        <v>10</v>
      </c>
      <c r="T3148" t="str" cm="1">
        <f t="array" ref="T3148">_xlfn.IFS(AND(N3148&lt;= 22, S3148=9), "SOWING",AND(N3148&lt;= 28, S3148=9), "COVERAGE",AND(N3148&lt;= 30, S3148=9), "FLUSH",AND(N3148&lt;= 11, S3148=10), "FLUSH",AND(N3148&lt;= 21, S3148=10), "PRODUCTION")</f>
        <v>FLUSH</v>
      </c>
      <c r="U3148">
        <f>HOUR(datos_siembra[[#This Row],[Hour]])</f>
        <v>15</v>
      </c>
      <c r="V3148" cm="1">
        <f t="array" ref="V3148">_xlfn.IFS(AND(N3148&lt;= 22, S3148=9), N3148-7,AND(N3148&lt;= 28, S3148=9), N3148-25,AND(N3148&lt;= 30, S3148=9), N3148-28,AND(N3148&lt;= 11, S3148=10), N3148+2,AND(N3148&lt;= 21, S3148=10), N3148-11)</f>
        <v>10</v>
      </c>
    </row>
    <row r="3149" spans="1:22" x14ac:dyDescent="0.35">
      <c r="A3149" s="4">
        <v>45573</v>
      </c>
      <c r="B3149" s="5">
        <v>0.65630787037037042</v>
      </c>
      <c r="C3149">
        <v>67.599999999999994</v>
      </c>
      <c r="D3149">
        <v>67.099999999999994</v>
      </c>
      <c r="E3149">
        <v>68.599999999999994</v>
      </c>
      <c r="F3149">
        <v>67.8</v>
      </c>
      <c r="G3149">
        <v>0</v>
      </c>
      <c r="H3149">
        <v>0</v>
      </c>
      <c r="I3149">
        <v>0</v>
      </c>
      <c r="J3149">
        <v>0</v>
      </c>
      <c r="K3149">
        <v>64.3</v>
      </c>
      <c r="L3149">
        <v>64.900000000000006</v>
      </c>
      <c r="M3149">
        <v>67.69</v>
      </c>
      <c r="N3149">
        <v>8</v>
      </c>
      <c r="O3149">
        <v>7</v>
      </c>
      <c r="P3149">
        <f>MOD(DAY(datos_siembra[[#This Row],[Date]]),7)</f>
        <v>1</v>
      </c>
      <c r="Q3149" t="str">
        <f>CHOOSE(WEEKDAY(datos_siembra[[#This Row],[Date]],2),"L","M","X","J","V","S","D")</f>
        <v>M</v>
      </c>
      <c r="R3149">
        <f>WEEKNUM(datos_siembra[[#This Row],[Date]],2)-WEEKNUM(DATE(YEAR(datos_siembra[[#This Row],[Date]]),MONTH(datos_siembra[[#This Row],[Date]]),1))+1</f>
        <v>2</v>
      </c>
      <c r="S3149">
        <f>MONTH(datos_siembra[[#This Row],[Date]])</f>
        <v>10</v>
      </c>
      <c r="T3149" t="str" cm="1">
        <f t="array" ref="T3149">_xlfn.IFS(AND(N3149&lt;= 22, S3149=9), "SOWING",AND(N3149&lt;= 28, S3149=9), "COVERAGE",AND(N3149&lt;= 30, S3149=9), "FLUSH",AND(N3149&lt;= 11, S3149=10), "FLUSH",AND(N3149&lt;= 21, S3149=10), "PRODUCTION")</f>
        <v>FLUSH</v>
      </c>
      <c r="U3149">
        <f>HOUR(datos_siembra[[#This Row],[Hour]])</f>
        <v>15</v>
      </c>
      <c r="V3149" cm="1">
        <f t="array" ref="V3149">_xlfn.IFS(AND(N3149&lt;= 22, S3149=9), N3149-7,AND(N3149&lt;= 28, S3149=9), N3149-25,AND(N3149&lt;= 30, S3149=9), N3149-28,AND(N3149&lt;= 11, S3149=10), N3149+2,AND(N3149&lt;= 21, S3149=10), N3149-11)</f>
        <v>10</v>
      </c>
    </row>
    <row r="3150" spans="1:22" x14ac:dyDescent="0.35">
      <c r="A3150" s="4">
        <v>45573</v>
      </c>
      <c r="B3150" s="5">
        <v>0.66325231481481484</v>
      </c>
      <c r="C3150">
        <v>67.400000000000006</v>
      </c>
      <c r="D3150">
        <v>66.900000000000006</v>
      </c>
      <c r="E3150">
        <v>68.3</v>
      </c>
      <c r="F3150">
        <v>67.599999999999994</v>
      </c>
      <c r="G3150">
        <v>0</v>
      </c>
      <c r="H3150">
        <v>0</v>
      </c>
      <c r="I3150">
        <v>0</v>
      </c>
      <c r="J3150">
        <v>0</v>
      </c>
      <c r="K3150">
        <v>64.2</v>
      </c>
      <c r="L3150">
        <v>64.599999999999994</v>
      </c>
      <c r="M3150">
        <v>67.69</v>
      </c>
      <c r="N3150">
        <v>8</v>
      </c>
      <c r="O3150">
        <v>7</v>
      </c>
      <c r="P3150">
        <f>MOD(DAY(datos_siembra[[#This Row],[Date]]),7)</f>
        <v>1</v>
      </c>
      <c r="Q3150" t="str">
        <f>CHOOSE(WEEKDAY(datos_siembra[[#This Row],[Date]],2),"L","M","X","J","V","S","D")</f>
        <v>M</v>
      </c>
      <c r="R3150">
        <f>WEEKNUM(datos_siembra[[#This Row],[Date]],2)-WEEKNUM(DATE(YEAR(datos_siembra[[#This Row],[Date]]),MONTH(datos_siembra[[#This Row],[Date]]),1))+1</f>
        <v>2</v>
      </c>
      <c r="S3150">
        <f>MONTH(datos_siembra[[#This Row],[Date]])</f>
        <v>10</v>
      </c>
      <c r="T3150" t="str" cm="1">
        <f t="array" ref="T3150">_xlfn.IFS(AND(N3150&lt;= 22, S3150=9), "SOWING",AND(N3150&lt;= 28, S3150=9), "COVERAGE",AND(N3150&lt;= 30, S3150=9), "FLUSH",AND(N3150&lt;= 11, S3150=10), "FLUSH",AND(N3150&lt;= 21, S3150=10), "PRODUCTION")</f>
        <v>FLUSH</v>
      </c>
      <c r="U3150">
        <f>HOUR(datos_siembra[[#This Row],[Hour]])</f>
        <v>15</v>
      </c>
      <c r="V3150" cm="1">
        <f t="array" ref="V3150">_xlfn.IFS(AND(N3150&lt;= 22, S3150=9), N3150-7,AND(N3150&lt;= 28, S3150=9), N3150-25,AND(N3150&lt;= 30, S3150=9), N3150-28,AND(N3150&lt;= 11, S3150=10), N3150+2,AND(N3150&lt;= 21, S3150=10), N3150-11)</f>
        <v>10</v>
      </c>
    </row>
    <row r="3151" spans="1:22" x14ac:dyDescent="0.35">
      <c r="A3151" s="4">
        <v>45573</v>
      </c>
      <c r="B3151" s="5">
        <v>0.67019675925925926</v>
      </c>
      <c r="C3151">
        <v>67.599999999999994</v>
      </c>
      <c r="D3151">
        <v>67</v>
      </c>
      <c r="E3151">
        <v>68.3</v>
      </c>
      <c r="F3151">
        <v>67.7</v>
      </c>
      <c r="G3151">
        <v>0</v>
      </c>
      <c r="H3151">
        <v>0</v>
      </c>
      <c r="I3151">
        <v>0</v>
      </c>
      <c r="J3151">
        <v>0</v>
      </c>
      <c r="K3151">
        <v>64.400000000000006</v>
      </c>
      <c r="L3151">
        <v>64.900000000000006</v>
      </c>
      <c r="M3151">
        <v>67.63</v>
      </c>
      <c r="N3151">
        <v>8</v>
      </c>
      <c r="O3151">
        <v>7</v>
      </c>
      <c r="P3151">
        <f>MOD(DAY(datos_siembra[[#This Row],[Date]]),7)</f>
        <v>1</v>
      </c>
      <c r="Q3151" t="str">
        <f>CHOOSE(WEEKDAY(datos_siembra[[#This Row],[Date]],2),"L","M","X","J","V","S","D")</f>
        <v>M</v>
      </c>
      <c r="R3151">
        <f>WEEKNUM(datos_siembra[[#This Row],[Date]],2)-WEEKNUM(DATE(YEAR(datos_siembra[[#This Row],[Date]]),MONTH(datos_siembra[[#This Row],[Date]]),1))+1</f>
        <v>2</v>
      </c>
      <c r="S3151">
        <f>MONTH(datos_siembra[[#This Row],[Date]])</f>
        <v>10</v>
      </c>
      <c r="T3151" t="str" cm="1">
        <f t="array" ref="T3151">_xlfn.IFS(AND(N3151&lt;= 22, S3151=9), "SOWING",AND(N3151&lt;= 28, S3151=9), "COVERAGE",AND(N3151&lt;= 30, S3151=9), "FLUSH",AND(N3151&lt;= 11, S3151=10), "FLUSH",AND(N3151&lt;= 21, S3151=10), "PRODUCTION")</f>
        <v>FLUSH</v>
      </c>
      <c r="U3151">
        <f>HOUR(datos_siembra[[#This Row],[Hour]])</f>
        <v>16</v>
      </c>
      <c r="V3151" cm="1">
        <f t="array" ref="V3151">_xlfn.IFS(AND(N3151&lt;= 22, S3151=9), N3151-7,AND(N3151&lt;= 28, S3151=9), N3151-25,AND(N3151&lt;= 30, S3151=9), N3151-28,AND(N3151&lt;= 11, S3151=10), N3151+2,AND(N3151&lt;= 21, S3151=10), N3151-11)</f>
        <v>10</v>
      </c>
    </row>
    <row r="3152" spans="1:22" x14ac:dyDescent="0.35">
      <c r="A3152" s="4">
        <v>45573</v>
      </c>
      <c r="B3152" s="5">
        <v>0.67715277777777783</v>
      </c>
      <c r="C3152">
        <v>67.599999999999994</v>
      </c>
      <c r="D3152">
        <v>67</v>
      </c>
      <c r="E3152">
        <v>68.5</v>
      </c>
      <c r="F3152">
        <v>67.900000000000006</v>
      </c>
      <c r="G3152">
        <v>0</v>
      </c>
      <c r="H3152">
        <v>0</v>
      </c>
      <c r="I3152">
        <v>0</v>
      </c>
      <c r="J3152">
        <v>0</v>
      </c>
      <c r="K3152">
        <v>64.3</v>
      </c>
      <c r="L3152">
        <v>64.599999999999994</v>
      </c>
      <c r="M3152">
        <v>67.69</v>
      </c>
      <c r="N3152">
        <v>8</v>
      </c>
      <c r="O3152">
        <v>7</v>
      </c>
      <c r="P3152">
        <f>MOD(DAY(datos_siembra[[#This Row],[Date]]),7)</f>
        <v>1</v>
      </c>
      <c r="Q3152" t="str">
        <f>CHOOSE(WEEKDAY(datos_siembra[[#This Row],[Date]],2),"L","M","X","J","V","S","D")</f>
        <v>M</v>
      </c>
      <c r="R3152">
        <f>WEEKNUM(datos_siembra[[#This Row],[Date]],2)-WEEKNUM(DATE(YEAR(datos_siembra[[#This Row],[Date]]),MONTH(datos_siembra[[#This Row],[Date]]),1))+1</f>
        <v>2</v>
      </c>
      <c r="S3152">
        <f>MONTH(datos_siembra[[#This Row],[Date]])</f>
        <v>10</v>
      </c>
      <c r="T3152" t="str" cm="1">
        <f t="array" ref="T3152">_xlfn.IFS(AND(N3152&lt;= 22, S3152=9), "SOWING",AND(N3152&lt;= 28, S3152=9), "COVERAGE",AND(N3152&lt;= 30, S3152=9), "FLUSH",AND(N3152&lt;= 11, S3152=10), "FLUSH",AND(N3152&lt;= 21, S3152=10), "PRODUCTION")</f>
        <v>FLUSH</v>
      </c>
      <c r="U3152">
        <f>HOUR(datos_siembra[[#This Row],[Hour]])</f>
        <v>16</v>
      </c>
      <c r="V3152" cm="1">
        <f t="array" ref="V3152">_xlfn.IFS(AND(N3152&lt;= 22, S3152=9), N3152-7,AND(N3152&lt;= 28, S3152=9), N3152-25,AND(N3152&lt;= 30, S3152=9), N3152-28,AND(N3152&lt;= 11, S3152=10), N3152+2,AND(N3152&lt;= 21, S3152=10), N3152-11)</f>
        <v>10</v>
      </c>
    </row>
    <row r="3153" spans="1:22" x14ac:dyDescent="0.35">
      <c r="A3153" s="4">
        <v>45573</v>
      </c>
      <c r="B3153" s="5">
        <v>0.68409722222222225</v>
      </c>
      <c r="C3153">
        <v>67.400000000000006</v>
      </c>
      <c r="D3153">
        <v>67.099999999999994</v>
      </c>
      <c r="E3153">
        <v>68.599999999999994</v>
      </c>
      <c r="F3153">
        <v>67.7</v>
      </c>
      <c r="G3153">
        <v>0</v>
      </c>
      <c r="H3153">
        <v>0</v>
      </c>
      <c r="I3153">
        <v>0</v>
      </c>
      <c r="J3153">
        <v>0</v>
      </c>
      <c r="K3153">
        <v>64.2</v>
      </c>
      <c r="L3153">
        <v>64.5</v>
      </c>
      <c r="M3153">
        <v>67.61</v>
      </c>
      <c r="N3153">
        <v>8</v>
      </c>
      <c r="O3153">
        <v>7</v>
      </c>
      <c r="P3153">
        <f>MOD(DAY(datos_siembra[[#This Row],[Date]]),7)</f>
        <v>1</v>
      </c>
      <c r="Q3153" t="str">
        <f>CHOOSE(WEEKDAY(datos_siembra[[#This Row],[Date]],2),"L","M","X","J","V","S","D")</f>
        <v>M</v>
      </c>
      <c r="R3153">
        <f>WEEKNUM(datos_siembra[[#This Row],[Date]],2)-WEEKNUM(DATE(YEAR(datos_siembra[[#This Row],[Date]]),MONTH(datos_siembra[[#This Row],[Date]]),1))+1</f>
        <v>2</v>
      </c>
      <c r="S3153">
        <f>MONTH(datos_siembra[[#This Row],[Date]])</f>
        <v>10</v>
      </c>
      <c r="T3153" t="str" cm="1">
        <f t="array" ref="T3153">_xlfn.IFS(AND(N3153&lt;= 22, S3153=9), "SOWING",AND(N3153&lt;= 28, S3153=9), "COVERAGE",AND(N3153&lt;= 30, S3153=9), "FLUSH",AND(N3153&lt;= 11, S3153=10), "FLUSH",AND(N3153&lt;= 21, S3153=10), "PRODUCTION")</f>
        <v>FLUSH</v>
      </c>
      <c r="U3153">
        <f>HOUR(datos_siembra[[#This Row],[Hour]])</f>
        <v>16</v>
      </c>
      <c r="V3153" cm="1">
        <f t="array" ref="V3153">_xlfn.IFS(AND(N3153&lt;= 22, S3153=9), N3153-7,AND(N3153&lt;= 28, S3153=9), N3153-25,AND(N3153&lt;= 30, S3153=9), N3153-28,AND(N3153&lt;= 11, S3153=10), N3153+2,AND(N3153&lt;= 21, S3153=10), N3153-11)</f>
        <v>10</v>
      </c>
    </row>
    <row r="3154" spans="1:22" x14ac:dyDescent="0.35">
      <c r="A3154" s="4">
        <v>45573</v>
      </c>
      <c r="B3154" s="5">
        <v>0.69104166666666667</v>
      </c>
      <c r="C3154">
        <v>67.599999999999994</v>
      </c>
      <c r="D3154">
        <v>67</v>
      </c>
      <c r="E3154">
        <v>68.599999999999994</v>
      </c>
      <c r="F3154">
        <v>67.8</v>
      </c>
      <c r="G3154">
        <v>0</v>
      </c>
      <c r="H3154">
        <v>0</v>
      </c>
      <c r="I3154">
        <v>0</v>
      </c>
      <c r="J3154">
        <v>0</v>
      </c>
      <c r="K3154">
        <v>64.2</v>
      </c>
      <c r="L3154">
        <v>64.599999999999994</v>
      </c>
      <c r="M3154">
        <v>67.69</v>
      </c>
      <c r="N3154">
        <v>8</v>
      </c>
      <c r="O3154">
        <v>7</v>
      </c>
      <c r="P3154">
        <f>MOD(DAY(datos_siembra[[#This Row],[Date]]),7)</f>
        <v>1</v>
      </c>
      <c r="Q3154" t="str">
        <f>CHOOSE(WEEKDAY(datos_siembra[[#This Row],[Date]],2),"L","M","X","J","V","S","D")</f>
        <v>M</v>
      </c>
      <c r="R3154">
        <f>WEEKNUM(datos_siembra[[#This Row],[Date]],2)-WEEKNUM(DATE(YEAR(datos_siembra[[#This Row],[Date]]),MONTH(datos_siembra[[#This Row],[Date]]),1))+1</f>
        <v>2</v>
      </c>
      <c r="S3154">
        <f>MONTH(datos_siembra[[#This Row],[Date]])</f>
        <v>10</v>
      </c>
      <c r="T3154" t="str" cm="1">
        <f t="array" ref="T3154">_xlfn.IFS(AND(N3154&lt;= 22, S3154=9), "SOWING",AND(N3154&lt;= 28, S3154=9), "COVERAGE",AND(N3154&lt;= 30, S3154=9), "FLUSH",AND(N3154&lt;= 11, S3154=10), "FLUSH",AND(N3154&lt;= 21, S3154=10), "PRODUCTION")</f>
        <v>FLUSH</v>
      </c>
      <c r="U3154">
        <f>HOUR(datos_siembra[[#This Row],[Hour]])</f>
        <v>16</v>
      </c>
      <c r="V3154" cm="1">
        <f t="array" ref="V3154">_xlfn.IFS(AND(N3154&lt;= 22, S3154=9), N3154-7,AND(N3154&lt;= 28, S3154=9), N3154-25,AND(N3154&lt;= 30, S3154=9), N3154-28,AND(N3154&lt;= 11, S3154=10), N3154+2,AND(N3154&lt;= 21, S3154=10), N3154-11)</f>
        <v>10</v>
      </c>
    </row>
    <row r="3155" spans="1:22" x14ac:dyDescent="0.35">
      <c r="A3155" s="4">
        <v>45573</v>
      </c>
      <c r="B3155" s="5">
        <v>0.69799768518518523</v>
      </c>
      <c r="C3155">
        <v>67.599999999999994</v>
      </c>
      <c r="D3155">
        <v>67</v>
      </c>
      <c r="E3155">
        <v>68.8</v>
      </c>
      <c r="F3155">
        <v>67.7</v>
      </c>
      <c r="G3155">
        <v>0</v>
      </c>
      <c r="H3155">
        <v>0</v>
      </c>
      <c r="I3155">
        <v>0</v>
      </c>
      <c r="J3155">
        <v>0</v>
      </c>
      <c r="K3155">
        <v>64.3</v>
      </c>
      <c r="L3155">
        <v>64.599999999999994</v>
      </c>
      <c r="M3155">
        <v>67.66</v>
      </c>
      <c r="N3155">
        <v>8</v>
      </c>
      <c r="O3155">
        <v>7</v>
      </c>
      <c r="P3155">
        <f>MOD(DAY(datos_siembra[[#This Row],[Date]]),7)</f>
        <v>1</v>
      </c>
      <c r="Q3155" t="str">
        <f>CHOOSE(WEEKDAY(datos_siembra[[#This Row],[Date]],2),"L","M","X","J","V","S","D")</f>
        <v>M</v>
      </c>
      <c r="R3155">
        <f>WEEKNUM(datos_siembra[[#This Row],[Date]],2)-WEEKNUM(DATE(YEAR(datos_siembra[[#This Row],[Date]]),MONTH(datos_siembra[[#This Row],[Date]]),1))+1</f>
        <v>2</v>
      </c>
      <c r="S3155">
        <f>MONTH(datos_siembra[[#This Row],[Date]])</f>
        <v>10</v>
      </c>
      <c r="T3155" t="str" cm="1">
        <f t="array" ref="T3155">_xlfn.IFS(AND(N3155&lt;= 22, S3155=9), "SOWING",AND(N3155&lt;= 28, S3155=9), "COVERAGE",AND(N3155&lt;= 30, S3155=9), "FLUSH",AND(N3155&lt;= 11, S3155=10), "FLUSH",AND(N3155&lt;= 21, S3155=10), "PRODUCTION")</f>
        <v>FLUSH</v>
      </c>
      <c r="U3155">
        <f>HOUR(datos_siembra[[#This Row],[Hour]])</f>
        <v>16</v>
      </c>
      <c r="V3155" cm="1">
        <f t="array" ref="V3155">_xlfn.IFS(AND(N3155&lt;= 22, S3155=9), N3155-7,AND(N3155&lt;= 28, S3155=9), N3155-25,AND(N3155&lt;= 30, S3155=9), N3155-28,AND(N3155&lt;= 11, S3155=10), N3155+2,AND(N3155&lt;= 21, S3155=10), N3155-11)</f>
        <v>10</v>
      </c>
    </row>
    <row r="3156" spans="1:22" x14ac:dyDescent="0.35">
      <c r="A3156" s="4">
        <v>45573</v>
      </c>
      <c r="B3156" s="5">
        <v>0.70494212962962965</v>
      </c>
      <c r="C3156">
        <v>67.599999999999994</v>
      </c>
      <c r="D3156">
        <v>67.099999999999994</v>
      </c>
      <c r="E3156">
        <v>68.7</v>
      </c>
      <c r="F3156">
        <v>67.599999999999994</v>
      </c>
      <c r="G3156">
        <v>0</v>
      </c>
      <c r="H3156">
        <v>0</v>
      </c>
      <c r="I3156">
        <v>0</v>
      </c>
      <c r="J3156">
        <v>0</v>
      </c>
      <c r="K3156">
        <v>64.3</v>
      </c>
      <c r="L3156">
        <v>64.900000000000006</v>
      </c>
      <c r="M3156">
        <v>67.72</v>
      </c>
      <c r="N3156">
        <v>8</v>
      </c>
      <c r="O3156">
        <v>7</v>
      </c>
      <c r="P3156">
        <f>MOD(DAY(datos_siembra[[#This Row],[Date]]),7)</f>
        <v>1</v>
      </c>
      <c r="Q3156" t="str">
        <f>CHOOSE(WEEKDAY(datos_siembra[[#This Row],[Date]],2),"L","M","X","J","V","S","D")</f>
        <v>M</v>
      </c>
      <c r="R3156">
        <f>WEEKNUM(datos_siembra[[#This Row],[Date]],2)-WEEKNUM(DATE(YEAR(datos_siembra[[#This Row],[Date]]),MONTH(datos_siembra[[#This Row],[Date]]),1))+1</f>
        <v>2</v>
      </c>
      <c r="S3156">
        <f>MONTH(datos_siembra[[#This Row],[Date]])</f>
        <v>10</v>
      </c>
      <c r="T3156" t="str" cm="1">
        <f t="array" ref="T3156">_xlfn.IFS(AND(N3156&lt;= 22, S3156=9), "SOWING",AND(N3156&lt;= 28, S3156=9), "COVERAGE",AND(N3156&lt;= 30, S3156=9), "FLUSH",AND(N3156&lt;= 11, S3156=10), "FLUSH",AND(N3156&lt;= 21, S3156=10), "PRODUCTION")</f>
        <v>FLUSH</v>
      </c>
      <c r="U3156">
        <f>HOUR(datos_siembra[[#This Row],[Hour]])</f>
        <v>16</v>
      </c>
      <c r="V3156" cm="1">
        <f t="array" ref="V3156">_xlfn.IFS(AND(N3156&lt;= 22, S3156=9), N3156-7,AND(N3156&lt;= 28, S3156=9), N3156-25,AND(N3156&lt;= 30, S3156=9), N3156-28,AND(N3156&lt;= 11, S3156=10), N3156+2,AND(N3156&lt;= 21, S3156=10), N3156-11)</f>
        <v>10</v>
      </c>
    </row>
    <row r="3157" spans="1:22" x14ac:dyDescent="0.35">
      <c r="A3157" s="4">
        <v>45573</v>
      </c>
      <c r="B3157" s="5">
        <v>0.71188657407407407</v>
      </c>
      <c r="C3157">
        <v>67.599999999999994</v>
      </c>
      <c r="D3157">
        <v>66.900000000000006</v>
      </c>
      <c r="E3157">
        <v>68.5</v>
      </c>
      <c r="F3157">
        <v>67.7</v>
      </c>
      <c r="G3157">
        <v>0</v>
      </c>
      <c r="H3157">
        <v>0</v>
      </c>
      <c r="I3157">
        <v>0</v>
      </c>
      <c r="J3157">
        <v>0</v>
      </c>
      <c r="K3157">
        <v>64.2</v>
      </c>
      <c r="L3157">
        <v>64.599999999999994</v>
      </c>
      <c r="M3157">
        <v>67.77</v>
      </c>
      <c r="N3157">
        <v>8</v>
      </c>
      <c r="O3157">
        <v>7</v>
      </c>
      <c r="P3157">
        <f>MOD(DAY(datos_siembra[[#This Row],[Date]]),7)</f>
        <v>1</v>
      </c>
      <c r="Q3157" t="str">
        <f>CHOOSE(WEEKDAY(datos_siembra[[#This Row],[Date]],2),"L","M","X","J","V","S","D")</f>
        <v>M</v>
      </c>
      <c r="R3157">
        <f>WEEKNUM(datos_siembra[[#This Row],[Date]],2)-WEEKNUM(DATE(YEAR(datos_siembra[[#This Row],[Date]]),MONTH(datos_siembra[[#This Row],[Date]]),1))+1</f>
        <v>2</v>
      </c>
      <c r="S3157">
        <f>MONTH(datos_siembra[[#This Row],[Date]])</f>
        <v>10</v>
      </c>
      <c r="T3157" t="str" cm="1">
        <f t="array" ref="T3157">_xlfn.IFS(AND(N3157&lt;= 22, S3157=9), "SOWING",AND(N3157&lt;= 28, S3157=9), "COVERAGE",AND(N3157&lt;= 30, S3157=9), "FLUSH",AND(N3157&lt;= 11, S3157=10), "FLUSH",AND(N3157&lt;= 21, S3157=10), "PRODUCTION")</f>
        <v>FLUSH</v>
      </c>
      <c r="U3157">
        <f>HOUR(datos_siembra[[#This Row],[Hour]])</f>
        <v>17</v>
      </c>
      <c r="V3157" cm="1">
        <f t="array" ref="V3157">_xlfn.IFS(AND(N3157&lt;= 22, S3157=9), N3157-7,AND(N3157&lt;= 28, S3157=9), N3157-25,AND(N3157&lt;= 30, S3157=9), N3157-28,AND(N3157&lt;= 11, S3157=10), N3157+2,AND(N3157&lt;= 21, S3157=10), N3157-11)</f>
        <v>10</v>
      </c>
    </row>
    <row r="3158" spans="1:22" x14ac:dyDescent="0.35">
      <c r="A3158" s="4">
        <v>45573</v>
      </c>
      <c r="B3158" s="5">
        <v>0.71883101851851849</v>
      </c>
      <c r="C3158">
        <v>67.400000000000006</v>
      </c>
      <c r="D3158">
        <v>67</v>
      </c>
      <c r="E3158">
        <v>68.7</v>
      </c>
      <c r="F3158">
        <v>67.599999999999994</v>
      </c>
      <c r="G3158">
        <v>0</v>
      </c>
      <c r="H3158">
        <v>0</v>
      </c>
      <c r="I3158">
        <v>0</v>
      </c>
      <c r="J3158">
        <v>0</v>
      </c>
      <c r="K3158">
        <v>64.2</v>
      </c>
      <c r="L3158">
        <v>64.599999999999994</v>
      </c>
      <c r="M3158">
        <v>67.63</v>
      </c>
      <c r="N3158">
        <v>8</v>
      </c>
      <c r="O3158">
        <v>7</v>
      </c>
      <c r="P3158">
        <f>MOD(DAY(datos_siembra[[#This Row],[Date]]),7)</f>
        <v>1</v>
      </c>
      <c r="Q3158" t="str">
        <f>CHOOSE(WEEKDAY(datos_siembra[[#This Row],[Date]],2),"L","M","X","J","V","S","D")</f>
        <v>M</v>
      </c>
      <c r="R3158">
        <f>WEEKNUM(datos_siembra[[#This Row],[Date]],2)-WEEKNUM(DATE(YEAR(datos_siembra[[#This Row],[Date]]),MONTH(datos_siembra[[#This Row],[Date]]),1))+1</f>
        <v>2</v>
      </c>
      <c r="S3158">
        <f>MONTH(datos_siembra[[#This Row],[Date]])</f>
        <v>10</v>
      </c>
      <c r="T3158" t="str" cm="1">
        <f t="array" ref="T3158">_xlfn.IFS(AND(N3158&lt;= 22, S3158=9), "SOWING",AND(N3158&lt;= 28, S3158=9), "COVERAGE",AND(N3158&lt;= 30, S3158=9), "FLUSH",AND(N3158&lt;= 11, S3158=10), "FLUSH",AND(N3158&lt;= 21, S3158=10), "PRODUCTION")</f>
        <v>FLUSH</v>
      </c>
      <c r="U3158">
        <f>HOUR(datos_siembra[[#This Row],[Hour]])</f>
        <v>17</v>
      </c>
      <c r="V3158" cm="1">
        <f t="array" ref="V3158">_xlfn.IFS(AND(N3158&lt;= 22, S3158=9), N3158-7,AND(N3158&lt;= 28, S3158=9), N3158-25,AND(N3158&lt;= 30, S3158=9), N3158-28,AND(N3158&lt;= 11, S3158=10), N3158+2,AND(N3158&lt;= 21, S3158=10), N3158-11)</f>
        <v>10</v>
      </c>
    </row>
    <row r="3159" spans="1:22" x14ac:dyDescent="0.35">
      <c r="A3159" s="4">
        <v>45573</v>
      </c>
      <c r="B3159" s="5">
        <v>0.72578703703703706</v>
      </c>
      <c r="C3159">
        <v>67.599999999999994</v>
      </c>
      <c r="D3159">
        <v>67.099999999999994</v>
      </c>
      <c r="E3159">
        <v>68.599999999999994</v>
      </c>
      <c r="F3159">
        <v>67.599999999999994</v>
      </c>
      <c r="G3159">
        <v>0</v>
      </c>
      <c r="H3159">
        <v>0</v>
      </c>
      <c r="I3159">
        <v>0</v>
      </c>
      <c r="J3159">
        <v>0</v>
      </c>
      <c r="K3159">
        <v>64.099999999999994</v>
      </c>
      <c r="L3159">
        <v>64.400000000000006</v>
      </c>
      <c r="M3159">
        <v>67.69</v>
      </c>
      <c r="N3159">
        <v>8</v>
      </c>
      <c r="O3159">
        <v>7</v>
      </c>
      <c r="P3159">
        <f>MOD(DAY(datos_siembra[[#This Row],[Date]]),7)</f>
        <v>1</v>
      </c>
      <c r="Q3159" t="str">
        <f>CHOOSE(WEEKDAY(datos_siembra[[#This Row],[Date]],2),"L","M","X","J","V","S","D")</f>
        <v>M</v>
      </c>
      <c r="R3159">
        <f>WEEKNUM(datos_siembra[[#This Row],[Date]],2)-WEEKNUM(DATE(YEAR(datos_siembra[[#This Row],[Date]]),MONTH(datos_siembra[[#This Row],[Date]]),1))+1</f>
        <v>2</v>
      </c>
      <c r="S3159">
        <f>MONTH(datos_siembra[[#This Row],[Date]])</f>
        <v>10</v>
      </c>
      <c r="T3159" t="str" cm="1">
        <f t="array" ref="T3159">_xlfn.IFS(AND(N3159&lt;= 22, S3159=9), "SOWING",AND(N3159&lt;= 28, S3159=9), "COVERAGE",AND(N3159&lt;= 30, S3159=9), "FLUSH",AND(N3159&lt;= 11, S3159=10), "FLUSH",AND(N3159&lt;= 21, S3159=10), "PRODUCTION")</f>
        <v>FLUSH</v>
      </c>
      <c r="U3159">
        <f>HOUR(datos_siembra[[#This Row],[Hour]])</f>
        <v>17</v>
      </c>
      <c r="V3159" cm="1">
        <f t="array" ref="V3159">_xlfn.IFS(AND(N3159&lt;= 22, S3159=9), N3159-7,AND(N3159&lt;= 28, S3159=9), N3159-25,AND(N3159&lt;= 30, S3159=9), N3159-28,AND(N3159&lt;= 11, S3159=10), N3159+2,AND(N3159&lt;= 21, S3159=10), N3159-11)</f>
        <v>10</v>
      </c>
    </row>
    <row r="3160" spans="1:22" x14ac:dyDescent="0.35">
      <c r="A3160" s="4">
        <v>45573</v>
      </c>
      <c r="B3160" s="5">
        <v>0.73273148148148148</v>
      </c>
      <c r="C3160">
        <v>67.599999999999994</v>
      </c>
      <c r="D3160">
        <v>67</v>
      </c>
      <c r="E3160">
        <v>68.7</v>
      </c>
      <c r="F3160">
        <v>67.7</v>
      </c>
      <c r="G3160">
        <v>0</v>
      </c>
      <c r="H3160">
        <v>0</v>
      </c>
      <c r="I3160">
        <v>0</v>
      </c>
      <c r="J3160">
        <v>0</v>
      </c>
      <c r="K3160">
        <v>64.099999999999994</v>
      </c>
      <c r="L3160">
        <v>64.2</v>
      </c>
      <c r="M3160">
        <v>67.66</v>
      </c>
      <c r="N3160">
        <v>8</v>
      </c>
      <c r="O3160">
        <v>7</v>
      </c>
      <c r="P3160">
        <f>MOD(DAY(datos_siembra[[#This Row],[Date]]),7)</f>
        <v>1</v>
      </c>
      <c r="Q3160" t="str">
        <f>CHOOSE(WEEKDAY(datos_siembra[[#This Row],[Date]],2),"L","M","X","J","V","S","D")</f>
        <v>M</v>
      </c>
      <c r="R3160">
        <f>WEEKNUM(datos_siembra[[#This Row],[Date]],2)-WEEKNUM(DATE(YEAR(datos_siembra[[#This Row],[Date]]),MONTH(datos_siembra[[#This Row],[Date]]),1))+1</f>
        <v>2</v>
      </c>
      <c r="S3160">
        <f>MONTH(datos_siembra[[#This Row],[Date]])</f>
        <v>10</v>
      </c>
      <c r="T3160" t="str" cm="1">
        <f t="array" ref="T3160">_xlfn.IFS(AND(N3160&lt;= 22, S3160=9), "SOWING",AND(N3160&lt;= 28, S3160=9), "COVERAGE",AND(N3160&lt;= 30, S3160=9), "FLUSH",AND(N3160&lt;= 11, S3160=10), "FLUSH",AND(N3160&lt;= 21, S3160=10), "PRODUCTION")</f>
        <v>FLUSH</v>
      </c>
      <c r="U3160">
        <f>HOUR(datos_siembra[[#This Row],[Hour]])</f>
        <v>17</v>
      </c>
      <c r="V3160" cm="1">
        <f t="array" ref="V3160">_xlfn.IFS(AND(N3160&lt;= 22, S3160=9), N3160-7,AND(N3160&lt;= 28, S3160=9), N3160-25,AND(N3160&lt;= 30, S3160=9), N3160-28,AND(N3160&lt;= 11, S3160=10), N3160+2,AND(N3160&lt;= 21, S3160=10), N3160-11)</f>
        <v>10</v>
      </c>
    </row>
    <row r="3161" spans="1:22" x14ac:dyDescent="0.35">
      <c r="A3161" s="4">
        <v>45573</v>
      </c>
      <c r="B3161" s="5">
        <v>0.7396759259259259</v>
      </c>
      <c r="C3161">
        <v>67.599999999999994</v>
      </c>
      <c r="D3161">
        <v>67.099999999999994</v>
      </c>
      <c r="E3161">
        <v>68.599999999999994</v>
      </c>
      <c r="F3161">
        <v>67.7</v>
      </c>
      <c r="G3161">
        <v>0</v>
      </c>
      <c r="H3161">
        <v>0</v>
      </c>
      <c r="I3161">
        <v>0</v>
      </c>
      <c r="J3161">
        <v>0</v>
      </c>
      <c r="K3161">
        <v>63.8</v>
      </c>
      <c r="L3161">
        <v>64.2</v>
      </c>
      <c r="M3161">
        <v>67.69</v>
      </c>
      <c r="N3161">
        <v>8</v>
      </c>
      <c r="O3161">
        <v>7</v>
      </c>
      <c r="P3161">
        <f>MOD(DAY(datos_siembra[[#This Row],[Date]]),7)</f>
        <v>1</v>
      </c>
      <c r="Q3161" t="str">
        <f>CHOOSE(WEEKDAY(datos_siembra[[#This Row],[Date]],2),"L","M","X","J","V","S","D")</f>
        <v>M</v>
      </c>
      <c r="R3161">
        <f>WEEKNUM(datos_siembra[[#This Row],[Date]],2)-WEEKNUM(DATE(YEAR(datos_siembra[[#This Row],[Date]]),MONTH(datos_siembra[[#This Row],[Date]]),1))+1</f>
        <v>2</v>
      </c>
      <c r="S3161">
        <f>MONTH(datos_siembra[[#This Row],[Date]])</f>
        <v>10</v>
      </c>
      <c r="T3161" t="str" cm="1">
        <f t="array" ref="T3161">_xlfn.IFS(AND(N3161&lt;= 22, S3161=9), "SOWING",AND(N3161&lt;= 28, S3161=9), "COVERAGE",AND(N3161&lt;= 30, S3161=9), "FLUSH",AND(N3161&lt;= 11, S3161=10), "FLUSH",AND(N3161&lt;= 21, S3161=10), "PRODUCTION")</f>
        <v>FLUSH</v>
      </c>
      <c r="U3161">
        <f>HOUR(datos_siembra[[#This Row],[Hour]])</f>
        <v>17</v>
      </c>
      <c r="V3161" cm="1">
        <f t="array" ref="V3161">_xlfn.IFS(AND(N3161&lt;= 22, S3161=9), N3161-7,AND(N3161&lt;= 28, S3161=9), N3161-25,AND(N3161&lt;= 30, S3161=9), N3161-28,AND(N3161&lt;= 11, S3161=10), N3161+2,AND(N3161&lt;= 21, S3161=10), N3161-11)</f>
        <v>10</v>
      </c>
    </row>
    <row r="3162" spans="1:22" x14ac:dyDescent="0.35">
      <c r="A3162" s="4">
        <v>45573</v>
      </c>
      <c r="B3162" s="5">
        <v>0.74663194444444447</v>
      </c>
      <c r="C3162">
        <v>67.7</v>
      </c>
      <c r="D3162">
        <v>67</v>
      </c>
      <c r="E3162">
        <v>68.7</v>
      </c>
      <c r="F3162">
        <v>67.599999999999994</v>
      </c>
      <c r="G3162">
        <v>0</v>
      </c>
      <c r="H3162">
        <v>0</v>
      </c>
      <c r="I3162">
        <v>0</v>
      </c>
      <c r="J3162">
        <v>0</v>
      </c>
      <c r="K3162">
        <v>63.8</v>
      </c>
      <c r="L3162">
        <v>64.099999999999994</v>
      </c>
      <c r="M3162">
        <v>67.72</v>
      </c>
      <c r="N3162">
        <v>8</v>
      </c>
      <c r="O3162">
        <v>7</v>
      </c>
      <c r="P3162">
        <f>MOD(DAY(datos_siembra[[#This Row],[Date]]),7)</f>
        <v>1</v>
      </c>
      <c r="Q3162" t="str">
        <f>CHOOSE(WEEKDAY(datos_siembra[[#This Row],[Date]],2),"L","M","X","J","V","S","D")</f>
        <v>M</v>
      </c>
      <c r="R3162">
        <f>WEEKNUM(datos_siembra[[#This Row],[Date]],2)-WEEKNUM(DATE(YEAR(datos_siembra[[#This Row],[Date]]),MONTH(datos_siembra[[#This Row],[Date]]),1))+1</f>
        <v>2</v>
      </c>
      <c r="S3162">
        <f>MONTH(datos_siembra[[#This Row],[Date]])</f>
        <v>10</v>
      </c>
      <c r="T3162" t="str" cm="1">
        <f t="array" ref="T3162">_xlfn.IFS(AND(N3162&lt;= 22, S3162=9), "SOWING",AND(N3162&lt;= 28, S3162=9), "COVERAGE",AND(N3162&lt;= 30, S3162=9), "FLUSH",AND(N3162&lt;= 11, S3162=10), "FLUSH",AND(N3162&lt;= 21, S3162=10), "PRODUCTION")</f>
        <v>FLUSH</v>
      </c>
      <c r="U3162">
        <f>HOUR(datos_siembra[[#This Row],[Hour]])</f>
        <v>17</v>
      </c>
      <c r="V3162" cm="1">
        <f t="array" ref="V3162">_xlfn.IFS(AND(N3162&lt;= 22, S3162=9), N3162-7,AND(N3162&lt;= 28, S3162=9), N3162-25,AND(N3162&lt;= 30, S3162=9), N3162-28,AND(N3162&lt;= 11, S3162=10), N3162+2,AND(N3162&lt;= 21, S3162=10), N3162-11)</f>
        <v>10</v>
      </c>
    </row>
    <row r="3163" spans="1:22" x14ac:dyDescent="0.35">
      <c r="A3163" s="4">
        <v>45573</v>
      </c>
      <c r="B3163" s="5">
        <v>0.75357638888888889</v>
      </c>
      <c r="C3163">
        <v>67.599999999999994</v>
      </c>
      <c r="D3163">
        <v>67</v>
      </c>
      <c r="E3163">
        <v>68.7</v>
      </c>
      <c r="F3163">
        <v>67.7</v>
      </c>
      <c r="G3163">
        <v>0</v>
      </c>
      <c r="H3163">
        <v>0</v>
      </c>
      <c r="I3163">
        <v>0</v>
      </c>
      <c r="J3163">
        <v>0</v>
      </c>
      <c r="K3163">
        <v>63.8</v>
      </c>
      <c r="L3163">
        <v>64.099999999999994</v>
      </c>
      <c r="M3163">
        <v>67.8</v>
      </c>
      <c r="N3163">
        <v>8</v>
      </c>
      <c r="O3163">
        <v>7</v>
      </c>
      <c r="P3163">
        <f>MOD(DAY(datos_siembra[[#This Row],[Date]]),7)</f>
        <v>1</v>
      </c>
      <c r="Q3163" t="str">
        <f>CHOOSE(WEEKDAY(datos_siembra[[#This Row],[Date]],2),"L","M","X","J","V","S","D")</f>
        <v>M</v>
      </c>
      <c r="R3163">
        <f>WEEKNUM(datos_siembra[[#This Row],[Date]],2)-WEEKNUM(DATE(YEAR(datos_siembra[[#This Row],[Date]]),MONTH(datos_siembra[[#This Row],[Date]]),1))+1</f>
        <v>2</v>
      </c>
      <c r="S3163">
        <f>MONTH(datos_siembra[[#This Row],[Date]])</f>
        <v>10</v>
      </c>
      <c r="T3163" t="str" cm="1">
        <f t="array" ref="T3163">_xlfn.IFS(AND(N3163&lt;= 22, S3163=9), "SOWING",AND(N3163&lt;= 28, S3163=9), "COVERAGE",AND(N3163&lt;= 30, S3163=9), "FLUSH",AND(N3163&lt;= 11, S3163=10), "FLUSH",AND(N3163&lt;= 21, S3163=10), "PRODUCTION")</f>
        <v>FLUSH</v>
      </c>
      <c r="U3163">
        <f>HOUR(datos_siembra[[#This Row],[Hour]])</f>
        <v>18</v>
      </c>
      <c r="V3163" cm="1">
        <f t="array" ref="V3163">_xlfn.IFS(AND(N3163&lt;= 22, S3163=9), N3163-7,AND(N3163&lt;= 28, S3163=9), N3163-25,AND(N3163&lt;= 30, S3163=9), N3163-28,AND(N3163&lt;= 11, S3163=10), N3163+2,AND(N3163&lt;= 21, S3163=10), N3163-11)</f>
        <v>10</v>
      </c>
    </row>
    <row r="3164" spans="1:22" x14ac:dyDescent="0.35">
      <c r="A3164" s="4">
        <v>45573</v>
      </c>
      <c r="B3164" s="5">
        <v>0.76052083333333331</v>
      </c>
      <c r="C3164">
        <v>67.599999999999994</v>
      </c>
      <c r="D3164">
        <v>66.900000000000006</v>
      </c>
      <c r="E3164">
        <v>68.599999999999994</v>
      </c>
      <c r="F3164">
        <v>67.8</v>
      </c>
      <c r="G3164">
        <v>0</v>
      </c>
      <c r="H3164">
        <v>0</v>
      </c>
      <c r="I3164">
        <v>0</v>
      </c>
      <c r="J3164">
        <v>0</v>
      </c>
      <c r="K3164">
        <v>63.6</v>
      </c>
      <c r="L3164">
        <v>63.8</v>
      </c>
      <c r="M3164">
        <v>67.69</v>
      </c>
      <c r="N3164">
        <v>8</v>
      </c>
      <c r="O3164">
        <v>7</v>
      </c>
      <c r="P3164">
        <f>MOD(DAY(datos_siembra[[#This Row],[Date]]),7)</f>
        <v>1</v>
      </c>
      <c r="Q3164" t="str">
        <f>CHOOSE(WEEKDAY(datos_siembra[[#This Row],[Date]],2),"L","M","X","J","V","S","D")</f>
        <v>M</v>
      </c>
      <c r="R3164">
        <f>WEEKNUM(datos_siembra[[#This Row],[Date]],2)-WEEKNUM(DATE(YEAR(datos_siembra[[#This Row],[Date]]),MONTH(datos_siembra[[#This Row],[Date]]),1))+1</f>
        <v>2</v>
      </c>
      <c r="S3164">
        <f>MONTH(datos_siembra[[#This Row],[Date]])</f>
        <v>10</v>
      </c>
      <c r="T3164" t="str" cm="1">
        <f t="array" ref="T3164">_xlfn.IFS(AND(N3164&lt;= 22, S3164=9), "SOWING",AND(N3164&lt;= 28, S3164=9), "COVERAGE",AND(N3164&lt;= 30, S3164=9), "FLUSH",AND(N3164&lt;= 11, S3164=10), "FLUSH",AND(N3164&lt;= 21, S3164=10), "PRODUCTION")</f>
        <v>FLUSH</v>
      </c>
      <c r="U3164">
        <f>HOUR(datos_siembra[[#This Row],[Hour]])</f>
        <v>18</v>
      </c>
      <c r="V3164" cm="1">
        <f t="array" ref="V3164">_xlfn.IFS(AND(N3164&lt;= 22, S3164=9), N3164-7,AND(N3164&lt;= 28, S3164=9), N3164-25,AND(N3164&lt;= 30, S3164=9), N3164-28,AND(N3164&lt;= 11, S3164=10), N3164+2,AND(N3164&lt;= 21, S3164=10), N3164-11)</f>
        <v>10</v>
      </c>
    </row>
    <row r="3165" spans="1:22" x14ac:dyDescent="0.35">
      <c r="A3165" s="4">
        <v>45573</v>
      </c>
      <c r="B3165" s="5">
        <v>0.76746527777777773</v>
      </c>
      <c r="C3165">
        <v>67.7</v>
      </c>
      <c r="D3165">
        <v>67</v>
      </c>
      <c r="E3165">
        <v>68.7</v>
      </c>
      <c r="F3165">
        <v>67.7</v>
      </c>
      <c r="G3165">
        <v>0</v>
      </c>
      <c r="H3165">
        <v>0</v>
      </c>
      <c r="I3165">
        <v>0</v>
      </c>
      <c r="J3165">
        <v>0</v>
      </c>
      <c r="K3165">
        <v>63.7</v>
      </c>
      <c r="L3165">
        <v>63.8</v>
      </c>
      <c r="M3165">
        <v>67.69</v>
      </c>
      <c r="N3165">
        <v>8</v>
      </c>
      <c r="O3165">
        <v>7</v>
      </c>
      <c r="P3165">
        <f>MOD(DAY(datos_siembra[[#This Row],[Date]]),7)</f>
        <v>1</v>
      </c>
      <c r="Q3165" t="str">
        <f>CHOOSE(WEEKDAY(datos_siembra[[#This Row],[Date]],2),"L","M","X","J","V","S","D")</f>
        <v>M</v>
      </c>
      <c r="R3165">
        <f>WEEKNUM(datos_siembra[[#This Row],[Date]],2)-WEEKNUM(DATE(YEAR(datos_siembra[[#This Row],[Date]]),MONTH(datos_siembra[[#This Row],[Date]]),1))+1</f>
        <v>2</v>
      </c>
      <c r="S3165">
        <f>MONTH(datos_siembra[[#This Row],[Date]])</f>
        <v>10</v>
      </c>
      <c r="T3165" t="str" cm="1">
        <f t="array" ref="T3165">_xlfn.IFS(AND(N3165&lt;= 22, S3165=9), "SOWING",AND(N3165&lt;= 28, S3165=9), "COVERAGE",AND(N3165&lt;= 30, S3165=9), "FLUSH",AND(N3165&lt;= 11, S3165=10), "FLUSH",AND(N3165&lt;= 21, S3165=10), "PRODUCTION")</f>
        <v>FLUSH</v>
      </c>
      <c r="U3165">
        <f>HOUR(datos_siembra[[#This Row],[Hour]])</f>
        <v>18</v>
      </c>
      <c r="V3165" cm="1">
        <f t="array" ref="V3165">_xlfn.IFS(AND(N3165&lt;= 22, S3165=9), N3165-7,AND(N3165&lt;= 28, S3165=9), N3165-25,AND(N3165&lt;= 30, S3165=9), N3165-28,AND(N3165&lt;= 11, S3165=10), N3165+2,AND(N3165&lt;= 21, S3165=10), N3165-11)</f>
        <v>10</v>
      </c>
    </row>
    <row r="3166" spans="1:22" x14ac:dyDescent="0.35">
      <c r="A3166" s="4">
        <v>45573</v>
      </c>
      <c r="B3166" s="5">
        <v>0.7744212962962963</v>
      </c>
      <c r="C3166">
        <v>67.400000000000006</v>
      </c>
      <c r="D3166">
        <v>67.099999999999994</v>
      </c>
      <c r="E3166">
        <v>68.7</v>
      </c>
      <c r="F3166">
        <v>67.8</v>
      </c>
      <c r="G3166">
        <v>0</v>
      </c>
      <c r="H3166">
        <v>0</v>
      </c>
      <c r="I3166">
        <v>0</v>
      </c>
      <c r="J3166">
        <v>0</v>
      </c>
      <c r="K3166">
        <v>63.6</v>
      </c>
      <c r="L3166">
        <v>63.7</v>
      </c>
      <c r="M3166">
        <v>67.75</v>
      </c>
      <c r="N3166">
        <v>8</v>
      </c>
      <c r="O3166">
        <v>7</v>
      </c>
      <c r="P3166">
        <f>MOD(DAY(datos_siembra[[#This Row],[Date]]),7)</f>
        <v>1</v>
      </c>
      <c r="Q3166" t="str">
        <f>CHOOSE(WEEKDAY(datos_siembra[[#This Row],[Date]],2),"L","M","X","J","V","S","D")</f>
        <v>M</v>
      </c>
      <c r="R3166">
        <f>WEEKNUM(datos_siembra[[#This Row],[Date]],2)-WEEKNUM(DATE(YEAR(datos_siembra[[#This Row],[Date]]),MONTH(datos_siembra[[#This Row],[Date]]),1))+1</f>
        <v>2</v>
      </c>
      <c r="S3166">
        <f>MONTH(datos_siembra[[#This Row],[Date]])</f>
        <v>10</v>
      </c>
      <c r="T3166" t="str" cm="1">
        <f t="array" ref="T3166">_xlfn.IFS(AND(N3166&lt;= 22, S3166=9), "SOWING",AND(N3166&lt;= 28, S3166=9), "COVERAGE",AND(N3166&lt;= 30, S3166=9), "FLUSH",AND(N3166&lt;= 11, S3166=10), "FLUSH",AND(N3166&lt;= 21, S3166=10), "PRODUCTION")</f>
        <v>FLUSH</v>
      </c>
      <c r="U3166">
        <f>HOUR(datos_siembra[[#This Row],[Hour]])</f>
        <v>18</v>
      </c>
      <c r="V3166" cm="1">
        <f t="array" ref="V3166">_xlfn.IFS(AND(N3166&lt;= 22, S3166=9), N3166-7,AND(N3166&lt;= 28, S3166=9), N3166-25,AND(N3166&lt;= 30, S3166=9), N3166-28,AND(N3166&lt;= 11, S3166=10), N3166+2,AND(N3166&lt;= 21, S3166=10), N3166-11)</f>
        <v>10</v>
      </c>
    </row>
    <row r="3167" spans="1:22" x14ac:dyDescent="0.35">
      <c r="A3167" s="4">
        <v>45573</v>
      </c>
      <c r="B3167" s="5">
        <v>0.78136574074074072</v>
      </c>
      <c r="C3167">
        <v>67.599999999999994</v>
      </c>
      <c r="D3167">
        <v>67</v>
      </c>
      <c r="E3167">
        <v>68.599999999999994</v>
      </c>
      <c r="F3167">
        <v>67.7</v>
      </c>
      <c r="G3167">
        <v>0</v>
      </c>
      <c r="H3167">
        <v>0</v>
      </c>
      <c r="I3167">
        <v>0</v>
      </c>
      <c r="J3167">
        <v>0</v>
      </c>
      <c r="K3167">
        <v>63.6</v>
      </c>
      <c r="L3167">
        <v>63.7</v>
      </c>
      <c r="M3167">
        <v>67.72</v>
      </c>
      <c r="N3167">
        <v>8</v>
      </c>
      <c r="O3167">
        <v>7</v>
      </c>
      <c r="P3167">
        <f>MOD(DAY(datos_siembra[[#This Row],[Date]]),7)</f>
        <v>1</v>
      </c>
      <c r="Q3167" t="str">
        <f>CHOOSE(WEEKDAY(datos_siembra[[#This Row],[Date]],2),"L","M","X","J","V","S","D")</f>
        <v>M</v>
      </c>
      <c r="R3167">
        <f>WEEKNUM(datos_siembra[[#This Row],[Date]],2)-WEEKNUM(DATE(YEAR(datos_siembra[[#This Row],[Date]]),MONTH(datos_siembra[[#This Row],[Date]]),1))+1</f>
        <v>2</v>
      </c>
      <c r="S3167">
        <f>MONTH(datos_siembra[[#This Row],[Date]])</f>
        <v>10</v>
      </c>
      <c r="T3167" t="str" cm="1">
        <f t="array" ref="T3167">_xlfn.IFS(AND(N3167&lt;= 22, S3167=9), "SOWING",AND(N3167&lt;= 28, S3167=9), "COVERAGE",AND(N3167&lt;= 30, S3167=9), "FLUSH",AND(N3167&lt;= 11, S3167=10), "FLUSH",AND(N3167&lt;= 21, S3167=10), "PRODUCTION")</f>
        <v>FLUSH</v>
      </c>
      <c r="U3167">
        <f>HOUR(datos_siembra[[#This Row],[Hour]])</f>
        <v>18</v>
      </c>
      <c r="V3167" cm="1">
        <f t="array" ref="V3167">_xlfn.IFS(AND(N3167&lt;= 22, S3167=9), N3167-7,AND(N3167&lt;= 28, S3167=9), N3167-25,AND(N3167&lt;= 30, S3167=9), N3167-28,AND(N3167&lt;= 11, S3167=10), N3167+2,AND(N3167&lt;= 21, S3167=10), N3167-11)</f>
        <v>10</v>
      </c>
    </row>
    <row r="3168" spans="1:22" x14ac:dyDescent="0.35">
      <c r="A3168" s="4">
        <v>45573</v>
      </c>
      <c r="B3168" s="5">
        <v>0.78831018518518514</v>
      </c>
      <c r="C3168">
        <v>67.599999999999994</v>
      </c>
      <c r="D3168">
        <v>67</v>
      </c>
      <c r="E3168">
        <v>68.7</v>
      </c>
      <c r="F3168">
        <v>67.8</v>
      </c>
      <c r="G3168">
        <v>0</v>
      </c>
      <c r="H3168">
        <v>0</v>
      </c>
      <c r="I3168">
        <v>0</v>
      </c>
      <c r="J3168">
        <v>0</v>
      </c>
      <c r="K3168">
        <v>63.5</v>
      </c>
      <c r="L3168">
        <v>63.6</v>
      </c>
      <c r="M3168">
        <v>67.72</v>
      </c>
      <c r="N3168">
        <v>8</v>
      </c>
      <c r="O3168">
        <v>7</v>
      </c>
      <c r="P3168">
        <f>MOD(DAY(datos_siembra[[#This Row],[Date]]),7)</f>
        <v>1</v>
      </c>
      <c r="Q3168" t="str">
        <f>CHOOSE(WEEKDAY(datos_siembra[[#This Row],[Date]],2),"L","M","X","J","V","S","D")</f>
        <v>M</v>
      </c>
      <c r="R3168">
        <f>WEEKNUM(datos_siembra[[#This Row],[Date]],2)-WEEKNUM(DATE(YEAR(datos_siembra[[#This Row],[Date]]),MONTH(datos_siembra[[#This Row],[Date]]),1))+1</f>
        <v>2</v>
      </c>
      <c r="S3168">
        <f>MONTH(datos_siembra[[#This Row],[Date]])</f>
        <v>10</v>
      </c>
      <c r="T3168" t="str" cm="1">
        <f t="array" ref="T3168">_xlfn.IFS(AND(N3168&lt;= 22, S3168=9), "SOWING",AND(N3168&lt;= 28, S3168=9), "COVERAGE",AND(N3168&lt;= 30, S3168=9), "FLUSH",AND(N3168&lt;= 11, S3168=10), "FLUSH",AND(N3168&lt;= 21, S3168=10), "PRODUCTION")</f>
        <v>FLUSH</v>
      </c>
      <c r="U3168">
        <f>HOUR(datos_siembra[[#This Row],[Hour]])</f>
        <v>18</v>
      </c>
      <c r="V3168" cm="1">
        <f t="array" ref="V3168">_xlfn.IFS(AND(N3168&lt;= 22, S3168=9), N3168-7,AND(N3168&lt;= 28, S3168=9), N3168-25,AND(N3168&lt;= 30, S3168=9), N3168-28,AND(N3168&lt;= 11, S3168=10), N3168+2,AND(N3168&lt;= 21, S3168=10), N3168-11)</f>
        <v>10</v>
      </c>
    </row>
    <row r="3169" spans="1:22" x14ac:dyDescent="0.35">
      <c r="A3169" s="4">
        <v>45573</v>
      </c>
      <c r="B3169" s="5">
        <v>0.79526620370370371</v>
      </c>
      <c r="C3169">
        <v>67.7</v>
      </c>
      <c r="D3169">
        <v>67.099999999999994</v>
      </c>
      <c r="E3169">
        <v>68.7</v>
      </c>
      <c r="F3169">
        <v>67.8</v>
      </c>
      <c r="G3169">
        <v>0</v>
      </c>
      <c r="H3169">
        <v>0</v>
      </c>
      <c r="I3169">
        <v>0</v>
      </c>
      <c r="J3169">
        <v>0</v>
      </c>
      <c r="K3169">
        <v>63.5</v>
      </c>
      <c r="L3169">
        <v>63.7</v>
      </c>
      <c r="M3169">
        <v>67.69</v>
      </c>
      <c r="N3169">
        <v>8</v>
      </c>
      <c r="O3169">
        <v>7</v>
      </c>
      <c r="P3169">
        <f>MOD(DAY(datos_siembra[[#This Row],[Date]]),7)</f>
        <v>1</v>
      </c>
      <c r="Q3169" t="str">
        <f>CHOOSE(WEEKDAY(datos_siembra[[#This Row],[Date]],2),"L","M","X","J","V","S","D")</f>
        <v>M</v>
      </c>
      <c r="R3169">
        <f>WEEKNUM(datos_siembra[[#This Row],[Date]],2)-WEEKNUM(DATE(YEAR(datos_siembra[[#This Row],[Date]]),MONTH(datos_siembra[[#This Row],[Date]]),1))+1</f>
        <v>2</v>
      </c>
      <c r="S3169">
        <f>MONTH(datos_siembra[[#This Row],[Date]])</f>
        <v>10</v>
      </c>
      <c r="T3169" t="str" cm="1">
        <f t="array" ref="T3169">_xlfn.IFS(AND(N3169&lt;= 22, S3169=9), "SOWING",AND(N3169&lt;= 28, S3169=9), "COVERAGE",AND(N3169&lt;= 30, S3169=9), "FLUSH",AND(N3169&lt;= 11, S3169=10), "FLUSH",AND(N3169&lt;= 21, S3169=10), "PRODUCTION")</f>
        <v>FLUSH</v>
      </c>
      <c r="U3169">
        <f>HOUR(datos_siembra[[#This Row],[Hour]])</f>
        <v>19</v>
      </c>
      <c r="V3169" cm="1">
        <f t="array" ref="V3169">_xlfn.IFS(AND(N3169&lt;= 22, S3169=9), N3169-7,AND(N3169&lt;= 28, S3169=9), N3169-25,AND(N3169&lt;= 30, S3169=9), N3169-28,AND(N3169&lt;= 11, S3169=10), N3169+2,AND(N3169&lt;= 21, S3169=10), N3169-11)</f>
        <v>10</v>
      </c>
    </row>
    <row r="3170" spans="1:22" x14ac:dyDescent="0.35">
      <c r="A3170" s="4">
        <v>45573</v>
      </c>
      <c r="B3170" s="5">
        <v>0.80221064814814813</v>
      </c>
      <c r="C3170">
        <v>67.7</v>
      </c>
      <c r="D3170">
        <v>66.900000000000006</v>
      </c>
      <c r="E3170">
        <v>68.8</v>
      </c>
      <c r="F3170">
        <v>67.900000000000006</v>
      </c>
      <c r="G3170">
        <v>0</v>
      </c>
      <c r="H3170">
        <v>0</v>
      </c>
      <c r="I3170">
        <v>0</v>
      </c>
      <c r="J3170">
        <v>0</v>
      </c>
      <c r="K3170">
        <v>63.5</v>
      </c>
      <c r="L3170">
        <v>63.7</v>
      </c>
      <c r="M3170">
        <v>67.8</v>
      </c>
      <c r="N3170">
        <v>8</v>
      </c>
      <c r="O3170">
        <v>7</v>
      </c>
      <c r="P3170">
        <f>MOD(DAY(datos_siembra[[#This Row],[Date]]),7)</f>
        <v>1</v>
      </c>
      <c r="Q3170" t="str">
        <f>CHOOSE(WEEKDAY(datos_siembra[[#This Row],[Date]],2),"L","M","X","J","V","S","D")</f>
        <v>M</v>
      </c>
      <c r="R3170">
        <f>WEEKNUM(datos_siembra[[#This Row],[Date]],2)-WEEKNUM(DATE(YEAR(datos_siembra[[#This Row],[Date]]),MONTH(datos_siembra[[#This Row],[Date]]),1))+1</f>
        <v>2</v>
      </c>
      <c r="S3170">
        <f>MONTH(datos_siembra[[#This Row],[Date]])</f>
        <v>10</v>
      </c>
      <c r="T3170" t="str" cm="1">
        <f t="array" ref="T3170">_xlfn.IFS(AND(N3170&lt;= 22, S3170=9), "SOWING",AND(N3170&lt;= 28, S3170=9), "COVERAGE",AND(N3170&lt;= 30, S3170=9), "FLUSH",AND(N3170&lt;= 11, S3170=10), "FLUSH",AND(N3170&lt;= 21, S3170=10), "PRODUCTION")</f>
        <v>FLUSH</v>
      </c>
      <c r="U3170">
        <f>HOUR(datos_siembra[[#This Row],[Hour]])</f>
        <v>19</v>
      </c>
      <c r="V3170" cm="1">
        <f t="array" ref="V3170">_xlfn.IFS(AND(N3170&lt;= 22, S3170=9), N3170-7,AND(N3170&lt;= 28, S3170=9), N3170-25,AND(N3170&lt;= 30, S3170=9), N3170-28,AND(N3170&lt;= 11, S3170=10), N3170+2,AND(N3170&lt;= 21, S3170=10), N3170-11)</f>
        <v>10</v>
      </c>
    </row>
    <row r="3171" spans="1:22" x14ac:dyDescent="0.35">
      <c r="A3171" s="4">
        <v>45573</v>
      </c>
      <c r="B3171" s="5">
        <v>0.80915509259259255</v>
      </c>
      <c r="C3171">
        <v>67.7</v>
      </c>
      <c r="D3171">
        <v>67</v>
      </c>
      <c r="E3171">
        <v>68.8</v>
      </c>
      <c r="F3171">
        <v>67.599999999999994</v>
      </c>
      <c r="G3171">
        <v>0</v>
      </c>
      <c r="H3171">
        <v>0</v>
      </c>
      <c r="I3171">
        <v>0</v>
      </c>
      <c r="J3171">
        <v>0</v>
      </c>
      <c r="K3171">
        <v>63.5</v>
      </c>
      <c r="L3171">
        <v>63.7</v>
      </c>
      <c r="M3171">
        <v>67.72</v>
      </c>
      <c r="N3171">
        <v>8</v>
      </c>
      <c r="O3171">
        <v>7</v>
      </c>
      <c r="P3171">
        <f>MOD(DAY(datos_siembra[[#This Row],[Date]]),7)</f>
        <v>1</v>
      </c>
      <c r="Q3171" t="str">
        <f>CHOOSE(WEEKDAY(datos_siembra[[#This Row],[Date]],2),"L","M","X","J","V","S","D")</f>
        <v>M</v>
      </c>
      <c r="R3171">
        <f>WEEKNUM(datos_siembra[[#This Row],[Date]],2)-WEEKNUM(DATE(YEAR(datos_siembra[[#This Row],[Date]]),MONTH(datos_siembra[[#This Row],[Date]]),1))+1</f>
        <v>2</v>
      </c>
      <c r="S3171">
        <f>MONTH(datos_siembra[[#This Row],[Date]])</f>
        <v>10</v>
      </c>
      <c r="T3171" t="str" cm="1">
        <f t="array" ref="T3171">_xlfn.IFS(AND(N3171&lt;= 22, S3171=9), "SOWING",AND(N3171&lt;= 28, S3171=9), "COVERAGE",AND(N3171&lt;= 30, S3171=9), "FLUSH",AND(N3171&lt;= 11, S3171=10), "FLUSH",AND(N3171&lt;= 21, S3171=10), "PRODUCTION")</f>
        <v>FLUSH</v>
      </c>
      <c r="U3171">
        <f>HOUR(datos_siembra[[#This Row],[Hour]])</f>
        <v>19</v>
      </c>
      <c r="V3171" cm="1">
        <f t="array" ref="V3171">_xlfn.IFS(AND(N3171&lt;= 22, S3171=9), N3171-7,AND(N3171&lt;= 28, S3171=9), N3171-25,AND(N3171&lt;= 30, S3171=9), N3171-28,AND(N3171&lt;= 11, S3171=10), N3171+2,AND(N3171&lt;= 21, S3171=10), N3171-11)</f>
        <v>10</v>
      </c>
    </row>
    <row r="3172" spans="1:22" x14ac:dyDescent="0.35">
      <c r="A3172" s="4">
        <v>45573</v>
      </c>
      <c r="B3172" s="5">
        <v>0.81609953703703708</v>
      </c>
      <c r="C3172">
        <v>67.599999999999994</v>
      </c>
      <c r="D3172">
        <v>67.099999999999994</v>
      </c>
      <c r="E3172">
        <v>68.7</v>
      </c>
      <c r="F3172">
        <v>67.7</v>
      </c>
      <c r="G3172">
        <v>0</v>
      </c>
      <c r="H3172">
        <v>0</v>
      </c>
      <c r="I3172">
        <v>0</v>
      </c>
      <c r="J3172">
        <v>0</v>
      </c>
      <c r="K3172">
        <v>63.4</v>
      </c>
      <c r="L3172">
        <v>63.6</v>
      </c>
      <c r="M3172">
        <v>67.77</v>
      </c>
      <c r="N3172">
        <v>8</v>
      </c>
      <c r="O3172">
        <v>7</v>
      </c>
      <c r="P3172">
        <f>MOD(DAY(datos_siembra[[#This Row],[Date]]),7)</f>
        <v>1</v>
      </c>
      <c r="Q3172" t="str">
        <f>CHOOSE(WEEKDAY(datos_siembra[[#This Row],[Date]],2),"L","M","X","J","V","S","D")</f>
        <v>M</v>
      </c>
      <c r="R3172">
        <f>WEEKNUM(datos_siembra[[#This Row],[Date]],2)-WEEKNUM(DATE(YEAR(datos_siembra[[#This Row],[Date]]),MONTH(datos_siembra[[#This Row],[Date]]),1))+1</f>
        <v>2</v>
      </c>
      <c r="S3172">
        <f>MONTH(datos_siembra[[#This Row],[Date]])</f>
        <v>10</v>
      </c>
      <c r="T3172" t="str" cm="1">
        <f t="array" ref="T3172">_xlfn.IFS(AND(N3172&lt;= 22, S3172=9), "SOWING",AND(N3172&lt;= 28, S3172=9), "COVERAGE",AND(N3172&lt;= 30, S3172=9), "FLUSH",AND(N3172&lt;= 11, S3172=10), "FLUSH",AND(N3172&lt;= 21, S3172=10), "PRODUCTION")</f>
        <v>FLUSH</v>
      </c>
      <c r="U3172">
        <f>HOUR(datos_siembra[[#This Row],[Hour]])</f>
        <v>19</v>
      </c>
      <c r="V3172" cm="1">
        <f t="array" ref="V3172">_xlfn.IFS(AND(N3172&lt;= 22, S3172=9), N3172-7,AND(N3172&lt;= 28, S3172=9), N3172-25,AND(N3172&lt;= 30, S3172=9), N3172-28,AND(N3172&lt;= 11, S3172=10), N3172+2,AND(N3172&lt;= 21, S3172=10), N3172-11)</f>
        <v>10</v>
      </c>
    </row>
    <row r="3173" spans="1:22" x14ac:dyDescent="0.35">
      <c r="A3173" s="4">
        <v>45573</v>
      </c>
      <c r="B3173" s="5">
        <v>0.82305555555555554</v>
      </c>
      <c r="C3173">
        <v>67.400000000000006</v>
      </c>
      <c r="D3173">
        <v>67</v>
      </c>
      <c r="E3173">
        <v>69</v>
      </c>
      <c r="F3173">
        <v>67.7</v>
      </c>
      <c r="G3173">
        <v>0</v>
      </c>
      <c r="H3173">
        <v>0</v>
      </c>
      <c r="I3173">
        <v>0</v>
      </c>
      <c r="J3173">
        <v>0</v>
      </c>
      <c r="K3173">
        <v>63.5</v>
      </c>
      <c r="L3173">
        <v>63.7</v>
      </c>
      <c r="M3173">
        <v>67.66</v>
      </c>
      <c r="N3173">
        <v>8</v>
      </c>
      <c r="O3173">
        <v>7</v>
      </c>
      <c r="P3173">
        <f>MOD(DAY(datos_siembra[[#This Row],[Date]]),7)</f>
        <v>1</v>
      </c>
      <c r="Q3173" t="str">
        <f>CHOOSE(WEEKDAY(datos_siembra[[#This Row],[Date]],2),"L","M","X","J","V","S","D")</f>
        <v>M</v>
      </c>
      <c r="R3173">
        <f>WEEKNUM(datos_siembra[[#This Row],[Date]],2)-WEEKNUM(DATE(YEAR(datos_siembra[[#This Row],[Date]]),MONTH(datos_siembra[[#This Row],[Date]]),1))+1</f>
        <v>2</v>
      </c>
      <c r="S3173">
        <f>MONTH(datos_siembra[[#This Row],[Date]])</f>
        <v>10</v>
      </c>
      <c r="T3173" t="str" cm="1">
        <f t="array" ref="T3173">_xlfn.IFS(AND(N3173&lt;= 22, S3173=9), "SOWING",AND(N3173&lt;= 28, S3173=9), "COVERAGE",AND(N3173&lt;= 30, S3173=9), "FLUSH",AND(N3173&lt;= 11, S3173=10), "FLUSH",AND(N3173&lt;= 21, S3173=10), "PRODUCTION")</f>
        <v>FLUSH</v>
      </c>
      <c r="U3173">
        <f>HOUR(datos_siembra[[#This Row],[Hour]])</f>
        <v>19</v>
      </c>
      <c r="V3173" cm="1">
        <f t="array" ref="V3173">_xlfn.IFS(AND(N3173&lt;= 22, S3173=9), N3173-7,AND(N3173&lt;= 28, S3173=9), N3173-25,AND(N3173&lt;= 30, S3173=9), N3173-28,AND(N3173&lt;= 11, S3173=10), N3173+2,AND(N3173&lt;= 21, S3173=10), N3173-11)</f>
        <v>10</v>
      </c>
    </row>
    <row r="3174" spans="1:22" x14ac:dyDescent="0.35">
      <c r="A3174" s="4">
        <v>45573</v>
      </c>
      <c r="B3174" s="5">
        <v>0.83</v>
      </c>
      <c r="C3174">
        <v>67.599999999999994</v>
      </c>
      <c r="D3174">
        <v>67.099999999999994</v>
      </c>
      <c r="E3174">
        <v>69</v>
      </c>
      <c r="F3174">
        <v>67.8</v>
      </c>
      <c r="G3174">
        <v>0</v>
      </c>
      <c r="H3174">
        <v>0</v>
      </c>
      <c r="I3174">
        <v>0</v>
      </c>
      <c r="J3174">
        <v>0</v>
      </c>
      <c r="K3174">
        <v>63.4</v>
      </c>
      <c r="L3174">
        <v>63.5</v>
      </c>
      <c r="M3174">
        <v>67.8</v>
      </c>
      <c r="N3174">
        <v>8</v>
      </c>
      <c r="O3174">
        <v>7</v>
      </c>
      <c r="P3174">
        <f>MOD(DAY(datos_siembra[[#This Row],[Date]]),7)</f>
        <v>1</v>
      </c>
      <c r="Q3174" t="str">
        <f>CHOOSE(WEEKDAY(datos_siembra[[#This Row],[Date]],2),"L","M","X","J","V","S","D")</f>
        <v>M</v>
      </c>
      <c r="R3174">
        <f>WEEKNUM(datos_siembra[[#This Row],[Date]],2)-WEEKNUM(DATE(YEAR(datos_siembra[[#This Row],[Date]]),MONTH(datos_siembra[[#This Row],[Date]]),1))+1</f>
        <v>2</v>
      </c>
      <c r="S3174">
        <f>MONTH(datos_siembra[[#This Row],[Date]])</f>
        <v>10</v>
      </c>
      <c r="T3174" t="str" cm="1">
        <f t="array" ref="T3174">_xlfn.IFS(AND(N3174&lt;= 22, S3174=9), "SOWING",AND(N3174&lt;= 28, S3174=9), "COVERAGE",AND(N3174&lt;= 30, S3174=9), "FLUSH",AND(N3174&lt;= 11, S3174=10), "FLUSH",AND(N3174&lt;= 21, S3174=10), "PRODUCTION")</f>
        <v>FLUSH</v>
      </c>
      <c r="U3174">
        <f>HOUR(datos_siembra[[#This Row],[Hour]])</f>
        <v>19</v>
      </c>
      <c r="V3174" cm="1">
        <f t="array" ref="V3174">_xlfn.IFS(AND(N3174&lt;= 22, S3174=9), N3174-7,AND(N3174&lt;= 28, S3174=9), N3174-25,AND(N3174&lt;= 30, S3174=9), N3174-28,AND(N3174&lt;= 11, S3174=10), N3174+2,AND(N3174&lt;= 21, S3174=10), N3174-11)</f>
        <v>10</v>
      </c>
    </row>
    <row r="3175" spans="1:22" x14ac:dyDescent="0.35">
      <c r="A3175" s="4">
        <v>45573</v>
      </c>
      <c r="B3175" s="5">
        <v>0.83694444444444449</v>
      </c>
      <c r="C3175">
        <v>67.599999999999994</v>
      </c>
      <c r="D3175">
        <v>67.099999999999994</v>
      </c>
      <c r="E3175">
        <v>68.7</v>
      </c>
      <c r="F3175">
        <v>67.7</v>
      </c>
      <c r="G3175">
        <v>0</v>
      </c>
      <c r="H3175">
        <v>0</v>
      </c>
      <c r="I3175">
        <v>0</v>
      </c>
      <c r="J3175">
        <v>0</v>
      </c>
      <c r="K3175">
        <v>63.4</v>
      </c>
      <c r="L3175">
        <v>63.5</v>
      </c>
      <c r="M3175">
        <v>67.77</v>
      </c>
      <c r="N3175">
        <v>8</v>
      </c>
      <c r="O3175">
        <v>7</v>
      </c>
      <c r="P3175">
        <f>MOD(DAY(datos_siembra[[#This Row],[Date]]),7)</f>
        <v>1</v>
      </c>
      <c r="Q3175" t="str">
        <f>CHOOSE(WEEKDAY(datos_siembra[[#This Row],[Date]],2),"L","M","X","J","V","S","D")</f>
        <v>M</v>
      </c>
      <c r="R3175">
        <f>WEEKNUM(datos_siembra[[#This Row],[Date]],2)-WEEKNUM(DATE(YEAR(datos_siembra[[#This Row],[Date]]),MONTH(datos_siembra[[#This Row],[Date]]),1))+1</f>
        <v>2</v>
      </c>
      <c r="S3175">
        <f>MONTH(datos_siembra[[#This Row],[Date]])</f>
        <v>10</v>
      </c>
      <c r="T3175" t="str" cm="1">
        <f t="array" ref="T3175">_xlfn.IFS(AND(N3175&lt;= 22, S3175=9), "SOWING",AND(N3175&lt;= 28, S3175=9), "COVERAGE",AND(N3175&lt;= 30, S3175=9), "FLUSH",AND(N3175&lt;= 11, S3175=10), "FLUSH",AND(N3175&lt;= 21, S3175=10), "PRODUCTION")</f>
        <v>FLUSH</v>
      </c>
      <c r="U3175">
        <f>HOUR(datos_siembra[[#This Row],[Hour]])</f>
        <v>20</v>
      </c>
      <c r="V3175" cm="1">
        <f t="array" ref="V3175">_xlfn.IFS(AND(N3175&lt;= 22, S3175=9), N3175-7,AND(N3175&lt;= 28, S3175=9), N3175-25,AND(N3175&lt;= 30, S3175=9), N3175-28,AND(N3175&lt;= 11, S3175=10), N3175+2,AND(N3175&lt;= 21, S3175=10), N3175-11)</f>
        <v>10</v>
      </c>
    </row>
    <row r="3176" spans="1:22" x14ac:dyDescent="0.35">
      <c r="A3176" s="4">
        <v>45573</v>
      </c>
      <c r="B3176" s="5">
        <v>0.84390046296296295</v>
      </c>
      <c r="C3176">
        <v>67.400000000000006</v>
      </c>
      <c r="D3176">
        <v>67</v>
      </c>
      <c r="E3176">
        <v>68.7</v>
      </c>
      <c r="F3176">
        <v>67.900000000000006</v>
      </c>
      <c r="G3176">
        <v>0</v>
      </c>
      <c r="H3176">
        <v>0</v>
      </c>
      <c r="I3176">
        <v>0</v>
      </c>
      <c r="J3176">
        <v>0</v>
      </c>
      <c r="K3176">
        <v>63.3</v>
      </c>
      <c r="L3176">
        <v>63.3</v>
      </c>
      <c r="M3176">
        <v>67.86</v>
      </c>
      <c r="N3176">
        <v>8</v>
      </c>
      <c r="O3176">
        <v>7</v>
      </c>
      <c r="P3176">
        <f>MOD(DAY(datos_siembra[[#This Row],[Date]]),7)</f>
        <v>1</v>
      </c>
      <c r="Q3176" t="str">
        <f>CHOOSE(WEEKDAY(datos_siembra[[#This Row],[Date]],2),"L","M","X","J","V","S","D")</f>
        <v>M</v>
      </c>
      <c r="R3176">
        <f>WEEKNUM(datos_siembra[[#This Row],[Date]],2)-WEEKNUM(DATE(YEAR(datos_siembra[[#This Row],[Date]]),MONTH(datos_siembra[[#This Row],[Date]]),1))+1</f>
        <v>2</v>
      </c>
      <c r="S3176">
        <f>MONTH(datos_siembra[[#This Row],[Date]])</f>
        <v>10</v>
      </c>
      <c r="T3176" t="str" cm="1">
        <f t="array" ref="T3176">_xlfn.IFS(AND(N3176&lt;= 22, S3176=9), "SOWING",AND(N3176&lt;= 28, S3176=9), "COVERAGE",AND(N3176&lt;= 30, S3176=9), "FLUSH",AND(N3176&lt;= 11, S3176=10), "FLUSH",AND(N3176&lt;= 21, S3176=10), "PRODUCTION")</f>
        <v>FLUSH</v>
      </c>
      <c r="U3176">
        <f>HOUR(datos_siembra[[#This Row],[Hour]])</f>
        <v>20</v>
      </c>
      <c r="V3176" cm="1">
        <f t="array" ref="V3176">_xlfn.IFS(AND(N3176&lt;= 22, S3176=9), N3176-7,AND(N3176&lt;= 28, S3176=9), N3176-25,AND(N3176&lt;= 30, S3176=9), N3176-28,AND(N3176&lt;= 11, S3176=10), N3176+2,AND(N3176&lt;= 21, S3176=10), N3176-11)</f>
        <v>10</v>
      </c>
    </row>
    <row r="3177" spans="1:22" x14ac:dyDescent="0.35">
      <c r="A3177" s="4">
        <v>45573</v>
      </c>
      <c r="B3177" s="5">
        <v>0.85084490740740737</v>
      </c>
      <c r="C3177">
        <v>67.599999999999994</v>
      </c>
      <c r="D3177">
        <v>67</v>
      </c>
      <c r="E3177">
        <v>69</v>
      </c>
      <c r="F3177">
        <v>67.599999999999994</v>
      </c>
      <c r="G3177">
        <v>0</v>
      </c>
      <c r="H3177">
        <v>0</v>
      </c>
      <c r="I3177">
        <v>0</v>
      </c>
      <c r="J3177">
        <v>0</v>
      </c>
      <c r="K3177">
        <v>63.2</v>
      </c>
      <c r="L3177">
        <v>63.2</v>
      </c>
      <c r="M3177">
        <v>67.77</v>
      </c>
      <c r="N3177">
        <v>8</v>
      </c>
      <c r="O3177">
        <v>7</v>
      </c>
      <c r="P3177">
        <f>MOD(DAY(datos_siembra[[#This Row],[Date]]),7)</f>
        <v>1</v>
      </c>
      <c r="Q3177" t="str">
        <f>CHOOSE(WEEKDAY(datos_siembra[[#This Row],[Date]],2),"L","M","X","J","V","S","D")</f>
        <v>M</v>
      </c>
      <c r="R3177">
        <f>WEEKNUM(datos_siembra[[#This Row],[Date]],2)-WEEKNUM(DATE(YEAR(datos_siembra[[#This Row],[Date]]),MONTH(datos_siembra[[#This Row],[Date]]),1))+1</f>
        <v>2</v>
      </c>
      <c r="S3177">
        <f>MONTH(datos_siembra[[#This Row],[Date]])</f>
        <v>10</v>
      </c>
      <c r="T3177" t="str" cm="1">
        <f t="array" ref="T3177">_xlfn.IFS(AND(N3177&lt;= 22, S3177=9), "SOWING",AND(N3177&lt;= 28, S3177=9), "COVERAGE",AND(N3177&lt;= 30, S3177=9), "FLUSH",AND(N3177&lt;= 11, S3177=10), "FLUSH",AND(N3177&lt;= 21, S3177=10), "PRODUCTION")</f>
        <v>FLUSH</v>
      </c>
      <c r="U3177">
        <f>HOUR(datos_siembra[[#This Row],[Hour]])</f>
        <v>20</v>
      </c>
      <c r="V3177" cm="1">
        <f t="array" ref="V3177">_xlfn.IFS(AND(N3177&lt;= 22, S3177=9), N3177-7,AND(N3177&lt;= 28, S3177=9), N3177-25,AND(N3177&lt;= 30, S3177=9), N3177-28,AND(N3177&lt;= 11, S3177=10), N3177+2,AND(N3177&lt;= 21, S3177=10), N3177-11)</f>
        <v>10</v>
      </c>
    </row>
    <row r="3178" spans="1:22" x14ac:dyDescent="0.35">
      <c r="A3178" s="4">
        <v>45573</v>
      </c>
      <c r="B3178" s="5">
        <v>0.8577893518518519</v>
      </c>
      <c r="C3178">
        <v>67.599999999999994</v>
      </c>
      <c r="D3178">
        <v>67</v>
      </c>
      <c r="E3178">
        <v>68.900000000000006</v>
      </c>
      <c r="F3178">
        <v>67.7</v>
      </c>
      <c r="G3178">
        <v>0</v>
      </c>
      <c r="H3178">
        <v>0</v>
      </c>
      <c r="I3178">
        <v>0</v>
      </c>
      <c r="J3178">
        <v>0</v>
      </c>
      <c r="K3178">
        <v>62.9</v>
      </c>
      <c r="L3178">
        <v>62.8</v>
      </c>
      <c r="M3178">
        <v>67.97</v>
      </c>
      <c r="N3178">
        <v>8</v>
      </c>
      <c r="O3178">
        <v>7</v>
      </c>
      <c r="P3178">
        <f>MOD(DAY(datos_siembra[[#This Row],[Date]]),7)</f>
        <v>1</v>
      </c>
      <c r="Q3178" t="str">
        <f>CHOOSE(WEEKDAY(datos_siembra[[#This Row],[Date]],2),"L","M","X","J","V","S","D")</f>
        <v>M</v>
      </c>
      <c r="R3178">
        <f>WEEKNUM(datos_siembra[[#This Row],[Date]],2)-WEEKNUM(DATE(YEAR(datos_siembra[[#This Row],[Date]]),MONTH(datos_siembra[[#This Row],[Date]]),1))+1</f>
        <v>2</v>
      </c>
      <c r="S3178">
        <f>MONTH(datos_siembra[[#This Row],[Date]])</f>
        <v>10</v>
      </c>
      <c r="T3178" t="str" cm="1">
        <f t="array" ref="T3178">_xlfn.IFS(AND(N3178&lt;= 22, S3178=9), "SOWING",AND(N3178&lt;= 28, S3178=9), "COVERAGE",AND(N3178&lt;= 30, S3178=9), "FLUSH",AND(N3178&lt;= 11, S3178=10), "FLUSH",AND(N3178&lt;= 21, S3178=10), "PRODUCTION")</f>
        <v>FLUSH</v>
      </c>
      <c r="U3178">
        <f>HOUR(datos_siembra[[#This Row],[Hour]])</f>
        <v>20</v>
      </c>
      <c r="V3178" cm="1">
        <f t="array" ref="V3178">_xlfn.IFS(AND(N3178&lt;= 22, S3178=9), N3178-7,AND(N3178&lt;= 28, S3178=9), N3178-25,AND(N3178&lt;= 30, S3178=9), N3178-28,AND(N3178&lt;= 11, S3178=10), N3178+2,AND(N3178&lt;= 21, S3178=10), N3178-11)</f>
        <v>10</v>
      </c>
    </row>
    <row r="3179" spans="1:22" x14ac:dyDescent="0.35">
      <c r="A3179" s="4">
        <v>45573</v>
      </c>
      <c r="B3179" s="5">
        <v>0.86473379629629632</v>
      </c>
      <c r="C3179">
        <v>67.599999999999994</v>
      </c>
      <c r="D3179">
        <v>67.099999999999994</v>
      </c>
      <c r="E3179">
        <v>69</v>
      </c>
      <c r="F3179">
        <v>67.8</v>
      </c>
      <c r="G3179">
        <v>0</v>
      </c>
      <c r="H3179">
        <v>0</v>
      </c>
      <c r="I3179">
        <v>0</v>
      </c>
      <c r="J3179">
        <v>0</v>
      </c>
      <c r="K3179">
        <v>62.9</v>
      </c>
      <c r="L3179">
        <v>62.9</v>
      </c>
      <c r="M3179">
        <v>67.8</v>
      </c>
      <c r="N3179">
        <v>8</v>
      </c>
      <c r="O3179">
        <v>7</v>
      </c>
      <c r="P3179">
        <f>MOD(DAY(datos_siembra[[#This Row],[Date]]),7)</f>
        <v>1</v>
      </c>
      <c r="Q3179" t="str">
        <f>CHOOSE(WEEKDAY(datos_siembra[[#This Row],[Date]],2),"L","M","X","J","V","S","D")</f>
        <v>M</v>
      </c>
      <c r="R3179">
        <f>WEEKNUM(datos_siembra[[#This Row],[Date]],2)-WEEKNUM(DATE(YEAR(datos_siembra[[#This Row],[Date]]),MONTH(datos_siembra[[#This Row],[Date]]),1))+1</f>
        <v>2</v>
      </c>
      <c r="S3179">
        <f>MONTH(datos_siembra[[#This Row],[Date]])</f>
        <v>10</v>
      </c>
      <c r="T3179" t="str" cm="1">
        <f t="array" ref="T3179">_xlfn.IFS(AND(N3179&lt;= 22, S3179=9), "SOWING",AND(N3179&lt;= 28, S3179=9), "COVERAGE",AND(N3179&lt;= 30, S3179=9), "FLUSH",AND(N3179&lt;= 11, S3179=10), "FLUSH",AND(N3179&lt;= 21, S3179=10), "PRODUCTION")</f>
        <v>FLUSH</v>
      </c>
      <c r="U3179">
        <f>HOUR(datos_siembra[[#This Row],[Hour]])</f>
        <v>20</v>
      </c>
      <c r="V3179" cm="1">
        <f t="array" ref="V3179">_xlfn.IFS(AND(N3179&lt;= 22, S3179=9), N3179-7,AND(N3179&lt;= 28, S3179=9), N3179-25,AND(N3179&lt;= 30, S3179=9), N3179-28,AND(N3179&lt;= 11, S3179=10), N3179+2,AND(N3179&lt;= 21, S3179=10), N3179-11)</f>
        <v>10</v>
      </c>
    </row>
    <row r="3180" spans="1:22" x14ac:dyDescent="0.35">
      <c r="A3180" s="4">
        <v>45573</v>
      </c>
      <c r="B3180" s="5">
        <v>0.87168981481481478</v>
      </c>
      <c r="C3180">
        <v>67.8</v>
      </c>
      <c r="D3180">
        <v>67</v>
      </c>
      <c r="E3180">
        <v>68.7</v>
      </c>
      <c r="F3180">
        <v>67.7</v>
      </c>
      <c r="G3180">
        <v>0</v>
      </c>
      <c r="H3180">
        <v>0</v>
      </c>
      <c r="I3180">
        <v>0</v>
      </c>
      <c r="J3180">
        <v>0</v>
      </c>
      <c r="K3180">
        <v>62.8</v>
      </c>
      <c r="L3180">
        <v>62.8</v>
      </c>
      <c r="M3180">
        <v>67.89</v>
      </c>
      <c r="N3180">
        <v>8</v>
      </c>
      <c r="O3180">
        <v>7</v>
      </c>
      <c r="P3180">
        <f>MOD(DAY(datos_siembra[[#This Row],[Date]]),7)</f>
        <v>1</v>
      </c>
      <c r="Q3180" t="str">
        <f>CHOOSE(WEEKDAY(datos_siembra[[#This Row],[Date]],2),"L","M","X","J","V","S","D")</f>
        <v>M</v>
      </c>
      <c r="R3180">
        <f>WEEKNUM(datos_siembra[[#This Row],[Date]],2)-WEEKNUM(DATE(YEAR(datos_siembra[[#This Row],[Date]]),MONTH(datos_siembra[[#This Row],[Date]]),1))+1</f>
        <v>2</v>
      </c>
      <c r="S3180">
        <f>MONTH(datos_siembra[[#This Row],[Date]])</f>
        <v>10</v>
      </c>
      <c r="T3180" t="str" cm="1">
        <f t="array" ref="T3180">_xlfn.IFS(AND(N3180&lt;= 22, S3180=9), "SOWING",AND(N3180&lt;= 28, S3180=9), "COVERAGE",AND(N3180&lt;= 30, S3180=9), "FLUSH",AND(N3180&lt;= 11, S3180=10), "FLUSH",AND(N3180&lt;= 21, S3180=10), "PRODUCTION")</f>
        <v>FLUSH</v>
      </c>
      <c r="U3180">
        <f>HOUR(datos_siembra[[#This Row],[Hour]])</f>
        <v>20</v>
      </c>
      <c r="V3180" cm="1">
        <f t="array" ref="V3180">_xlfn.IFS(AND(N3180&lt;= 22, S3180=9), N3180-7,AND(N3180&lt;= 28, S3180=9), N3180-25,AND(N3180&lt;= 30, S3180=9), N3180-28,AND(N3180&lt;= 11, S3180=10), N3180+2,AND(N3180&lt;= 21, S3180=10), N3180-11)</f>
        <v>10</v>
      </c>
    </row>
    <row r="3181" spans="1:22" x14ac:dyDescent="0.35">
      <c r="A3181" s="4">
        <v>45573</v>
      </c>
      <c r="B3181" s="5">
        <v>0.87863425925925931</v>
      </c>
      <c r="C3181">
        <v>67.599999999999994</v>
      </c>
      <c r="D3181">
        <v>67</v>
      </c>
      <c r="E3181">
        <v>68.900000000000006</v>
      </c>
      <c r="F3181">
        <v>67.7</v>
      </c>
      <c r="G3181">
        <v>0</v>
      </c>
      <c r="H3181">
        <v>0</v>
      </c>
      <c r="I3181">
        <v>0</v>
      </c>
      <c r="J3181">
        <v>0</v>
      </c>
      <c r="K3181">
        <v>62.8</v>
      </c>
      <c r="L3181">
        <v>62.7</v>
      </c>
      <c r="M3181">
        <v>67.77</v>
      </c>
      <c r="N3181">
        <v>8</v>
      </c>
      <c r="O3181">
        <v>7</v>
      </c>
      <c r="P3181">
        <f>MOD(DAY(datos_siembra[[#This Row],[Date]]),7)</f>
        <v>1</v>
      </c>
      <c r="Q3181" t="str">
        <f>CHOOSE(WEEKDAY(datos_siembra[[#This Row],[Date]],2),"L","M","X","J","V","S","D")</f>
        <v>M</v>
      </c>
      <c r="R3181">
        <f>WEEKNUM(datos_siembra[[#This Row],[Date]],2)-WEEKNUM(DATE(YEAR(datos_siembra[[#This Row],[Date]]),MONTH(datos_siembra[[#This Row],[Date]]),1))+1</f>
        <v>2</v>
      </c>
      <c r="S3181">
        <f>MONTH(datos_siembra[[#This Row],[Date]])</f>
        <v>10</v>
      </c>
      <c r="T3181" t="str" cm="1">
        <f t="array" ref="T3181">_xlfn.IFS(AND(N3181&lt;= 22, S3181=9), "SOWING",AND(N3181&lt;= 28, S3181=9), "COVERAGE",AND(N3181&lt;= 30, S3181=9), "FLUSH",AND(N3181&lt;= 11, S3181=10), "FLUSH",AND(N3181&lt;= 21, S3181=10), "PRODUCTION")</f>
        <v>FLUSH</v>
      </c>
      <c r="U3181">
        <f>HOUR(datos_siembra[[#This Row],[Hour]])</f>
        <v>21</v>
      </c>
      <c r="V3181" cm="1">
        <f t="array" ref="V3181">_xlfn.IFS(AND(N3181&lt;= 22, S3181=9), N3181-7,AND(N3181&lt;= 28, S3181=9), N3181-25,AND(N3181&lt;= 30, S3181=9), N3181-28,AND(N3181&lt;= 11, S3181=10), N3181+2,AND(N3181&lt;= 21, S3181=10), N3181-11)</f>
        <v>10</v>
      </c>
    </row>
    <row r="3182" spans="1:22" x14ac:dyDescent="0.35">
      <c r="A3182" s="4">
        <v>45573</v>
      </c>
      <c r="B3182" s="5">
        <v>0.88557870370370373</v>
      </c>
      <c r="C3182">
        <v>67.8</v>
      </c>
      <c r="D3182">
        <v>67</v>
      </c>
      <c r="E3182">
        <v>69.099999999999994</v>
      </c>
      <c r="F3182">
        <v>67.8</v>
      </c>
      <c r="G3182">
        <v>0</v>
      </c>
      <c r="H3182">
        <v>0</v>
      </c>
      <c r="I3182">
        <v>0</v>
      </c>
      <c r="J3182">
        <v>0</v>
      </c>
      <c r="K3182">
        <v>62.7</v>
      </c>
      <c r="L3182">
        <v>62.7</v>
      </c>
      <c r="M3182">
        <v>67.83</v>
      </c>
      <c r="N3182">
        <v>8</v>
      </c>
      <c r="O3182">
        <v>7</v>
      </c>
      <c r="P3182">
        <f>MOD(DAY(datos_siembra[[#This Row],[Date]]),7)</f>
        <v>1</v>
      </c>
      <c r="Q3182" t="str">
        <f>CHOOSE(WEEKDAY(datos_siembra[[#This Row],[Date]],2),"L","M","X","J","V","S","D")</f>
        <v>M</v>
      </c>
      <c r="R3182">
        <f>WEEKNUM(datos_siembra[[#This Row],[Date]],2)-WEEKNUM(DATE(YEAR(datos_siembra[[#This Row],[Date]]),MONTH(datos_siembra[[#This Row],[Date]]),1))+1</f>
        <v>2</v>
      </c>
      <c r="S3182">
        <f>MONTH(datos_siembra[[#This Row],[Date]])</f>
        <v>10</v>
      </c>
      <c r="T3182" t="str" cm="1">
        <f t="array" ref="T3182">_xlfn.IFS(AND(N3182&lt;= 22, S3182=9), "SOWING",AND(N3182&lt;= 28, S3182=9), "COVERAGE",AND(N3182&lt;= 30, S3182=9), "FLUSH",AND(N3182&lt;= 11, S3182=10), "FLUSH",AND(N3182&lt;= 21, S3182=10), "PRODUCTION")</f>
        <v>FLUSH</v>
      </c>
      <c r="U3182">
        <f>HOUR(datos_siembra[[#This Row],[Hour]])</f>
        <v>21</v>
      </c>
      <c r="V3182" cm="1">
        <f t="array" ref="V3182">_xlfn.IFS(AND(N3182&lt;= 22, S3182=9), N3182-7,AND(N3182&lt;= 28, S3182=9), N3182-25,AND(N3182&lt;= 30, S3182=9), N3182-28,AND(N3182&lt;= 11, S3182=10), N3182+2,AND(N3182&lt;= 21, S3182=10), N3182-11)</f>
        <v>10</v>
      </c>
    </row>
    <row r="3183" spans="1:22" x14ac:dyDescent="0.35">
      <c r="A3183" s="4">
        <v>45573</v>
      </c>
      <c r="B3183" s="5">
        <v>0.89253472222222219</v>
      </c>
      <c r="C3183">
        <v>67.7</v>
      </c>
      <c r="D3183">
        <v>67.099999999999994</v>
      </c>
      <c r="E3183">
        <v>68.900000000000006</v>
      </c>
      <c r="F3183">
        <v>67.8</v>
      </c>
      <c r="G3183">
        <v>0</v>
      </c>
      <c r="H3183">
        <v>0</v>
      </c>
      <c r="I3183">
        <v>0</v>
      </c>
      <c r="J3183">
        <v>0</v>
      </c>
      <c r="K3183">
        <v>62.7</v>
      </c>
      <c r="L3183">
        <v>62.7</v>
      </c>
      <c r="M3183">
        <v>67.72</v>
      </c>
      <c r="N3183">
        <v>8</v>
      </c>
      <c r="O3183">
        <v>7</v>
      </c>
      <c r="P3183">
        <f>MOD(DAY(datos_siembra[[#This Row],[Date]]),7)</f>
        <v>1</v>
      </c>
      <c r="Q3183" t="str">
        <f>CHOOSE(WEEKDAY(datos_siembra[[#This Row],[Date]],2),"L","M","X","J","V","S","D")</f>
        <v>M</v>
      </c>
      <c r="R3183">
        <f>WEEKNUM(datos_siembra[[#This Row],[Date]],2)-WEEKNUM(DATE(YEAR(datos_siembra[[#This Row],[Date]]),MONTH(datos_siembra[[#This Row],[Date]]),1))+1</f>
        <v>2</v>
      </c>
      <c r="S3183">
        <f>MONTH(datos_siembra[[#This Row],[Date]])</f>
        <v>10</v>
      </c>
      <c r="T3183" t="str" cm="1">
        <f t="array" ref="T3183">_xlfn.IFS(AND(N3183&lt;= 22, S3183=9), "SOWING",AND(N3183&lt;= 28, S3183=9), "COVERAGE",AND(N3183&lt;= 30, S3183=9), "FLUSH",AND(N3183&lt;= 11, S3183=10), "FLUSH",AND(N3183&lt;= 21, S3183=10), "PRODUCTION")</f>
        <v>FLUSH</v>
      </c>
      <c r="U3183">
        <f>HOUR(datos_siembra[[#This Row],[Hour]])</f>
        <v>21</v>
      </c>
      <c r="V3183" cm="1">
        <f t="array" ref="V3183">_xlfn.IFS(AND(N3183&lt;= 22, S3183=9), N3183-7,AND(N3183&lt;= 28, S3183=9), N3183-25,AND(N3183&lt;= 30, S3183=9), N3183-28,AND(N3183&lt;= 11, S3183=10), N3183+2,AND(N3183&lt;= 21, S3183=10), N3183-11)</f>
        <v>10</v>
      </c>
    </row>
    <row r="3184" spans="1:22" x14ac:dyDescent="0.35">
      <c r="A3184" s="4">
        <v>45573</v>
      </c>
      <c r="B3184" s="5">
        <v>0.89947916666666672</v>
      </c>
      <c r="C3184">
        <v>67.7</v>
      </c>
      <c r="D3184">
        <v>67.2</v>
      </c>
      <c r="E3184">
        <v>68.900000000000006</v>
      </c>
      <c r="F3184">
        <v>67.599999999999994</v>
      </c>
      <c r="G3184">
        <v>0</v>
      </c>
      <c r="H3184">
        <v>0</v>
      </c>
      <c r="I3184">
        <v>0</v>
      </c>
      <c r="J3184">
        <v>0</v>
      </c>
      <c r="K3184">
        <v>62.6</v>
      </c>
      <c r="L3184">
        <v>62.5</v>
      </c>
      <c r="M3184">
        <v>67.92</v>
      </c>
      <c r="N3184">
        <v>8</v>
      </c>
      <c r="O3184">
        <v>7</v>
      </c>
      <c r="P3184">
        <f>MOD(DAY(datos_siembra[[#This Row],[Date]]),7)</f>
        <v>1</v>
      </c>
      <c r="Q3184" t="str">
        <f>CHOOSE(WEEKDAY(datos_siembra[[#This Row],[Date]],2),"L","M","X","J","V","S","D")</f>
        <v>M</v>
      </c>
      <c r="R3184">
        <f>WEEKNUM(datos_siembra[[#This Row],[Date]],2)-WEEKNUM(DATE(YEAR(datos_siembra[[#This Row],[Date]]),MONTH(datos_siembra[[#This Row],[Date]]),1))+1</f>
        <v>2</v>
      </c>
      <c r="S3184">
        <f>MONTH(datos_siembra[[#This Row],[Date]])</f>
        <v>10</v>
      </c>
      <c r="T3184" t="str" cm="1">
        <f t="array" ref="T3184">_xlfn.IFS(AND(N3184&lt;= 22, S3184=9), "SOWING",AND(N3184&lt;= 28, S3184=9), "COVERAGE",AND(N3184&lt;= 30, S3184=9), "FLUSH",AND(N3184&lt;= 11, S3184=10), "FLUSH",AND(N3184&lt;= 21, S3184=10), "PRODUCTION")</f>
        <v>FLUSH</v>
      </c>
      <c r="U3184">
        <f>HOUR(datos_siembra[[#This Row],[Hour]])</f>
        <v>21</v>
      </c>
      <c r="V3184" cm="1">
        <f t="array" ref="V3184">_xlfn.IFS(AND(N3184&lt;= 22, S3184=9), N3184-7,AND(N3184&lt;= 28, S3184=9), N3184-25,AND(N3184&lt;= 30, S3184=9), N3184-28,AND(N3184&lt;= 11, S3184=10), N3184+2,AND(N3184&lt;= 21, S3184=10), N3184-11)</f>
        <v>10</v>
      </c>
    </row>
    <row r="3185" spans="1:22" x14ac:dyDescent="0.35">
      <c r="A3185" s="4">
        <v>45573</v>
      </c>
      <c r="B3185" s="5">
        <v>0.90642361111111114</v>
      </c>
      <c r="C3185">
        <v>67.7</v>
      </c>
      <c r="D3185">
        <v>67</v>
      </c>
      <c r="E3185">
        <v>69</v>
      </c>
      <c r="F3185">
        <v>67.8</v>
      </c>
      <c r="G3185">
        <v>0</v>
      </c>
      <c r="H3185">
        <v>0</v>
      </c>
      <c r="I3185">
        <v>0</v>
      </c>
      <c r="J3185">
        <v>0</v>
      </c>
      <c r="K3185">
        <v>62.5</v>
      </c>
      <c r="L3185">
        <v>62.5</v>
      </c>
      <c r="M3185">
        <v>68</v>
      </c>
      <c r="N3185">
        <v>8</v>
      </c>
      <c r="O3185">
        <v>7</v>
      </c>
      <c r="P3185">
        <f>MOD(DAY(datos_siembra[[#This Row],[Date]]),7)</f>
        <v>1</v>
      </c>
      <c r="Q3185" t="str">
        <f>CHOOSE(WEEKDAY(datos_siembra[[#This Row],[Date]],2),"L","M","X","J","V","S","D")</f>
        <v>M</v>
      </c>
      <c r="R3185">
        <f>WEEKNUM(datos_siembra[[#This Row],[Date]],2)-WEEKNUM(DATE(YEAR(datos_siembra[[#This Row],[Date]]),MONTH(datos_siembra[[#This Row],[Date]]),1))+1</f>
        <v>2</v>
      </c>
      <c r="S3185">
        <f>MONTH(datos_siembra[[#This Row],[Date]])</f>
        <v>10</v>
      </c>
      <c r="T3185" t="str" cm="1">
        <f t="array" ref="T3185">_xlfn.IFS(AND(N3185&lt;= 22, S3185=9), "SOWING",AND(N3185&lt;= 28, S3185=9), "COVERAGE",AND(N3185&lt;= 30, S3185=9), "FLUSH",AND(N3185&lt;= 11, S3185=10), "FLUSH",AND(N3185&lt;= 21, S3185=10), "PRODUCTION")</f>
        <v>FLUSH</v>
      </c>
      <c r="U3185">
        <f>HOUR(datos_siembra[[#This Row],[Hour]])</f>
        <v>21</v>
      </c>
      <c r="V3185" cm="1">
        <f t="array" ref="V3185">_xlfn.IFS(AND(N3185&lt;= 22, S3185=9), N3185-7,AND(N3185&lt;= 28, S3185=9), N3185-25,AND(N3185&lt;= 30, S3185=9), N3185-28,AND(N3185&lt;= 11, S3185=10), N3185+2,AND(N3185&lt;= 21, S3185=10), N3185-11)</f>
        <v>10</v>
      </c>
    </row>
    <row r="3186" spans="1:22" x14ac:dyDescent="0.35">
      <c r="A3186" s="4">
        <v>45573</v>
      </c>
      <c r="B3186" s="5">
        <v>0.91336805555555556</v>
      </c>
      <c r="C3186">
        <v>67.7</v>
      </c>
      <c r="D3186">
        <v>67</v>
      </c>
      <c r="E3186">
        <v>68.900000000000006</v>
      </c>
      <c r="F3186">
        <v>67.8</v>
      </c>
      <c r="G3186">
        <v>0</v>
      </c>
      <c r="H3186">
        <v>0</v>
      </c>
      <c r="I3186">
        <v>0</v>
      </c>
      <c r="J3186">
        <v>0</v>
      </c>
      <c r="K3186">
        <v>62.5</v>
      </c>
      <c r="L3186">
        <v>62.4</v>
      </c>
      <c r="M3186">
        <v>67.8</v>
      </c>
      <c r="N3186">
        <v>8</v>
      </c>
      <c r="O3186">
        <v>7</v>
      </c>
      <c r="P3186">
        <f>MOD(DAY(datos_siembra[[#This Row],[Date]]),7)</f>
        <v>1</v>
      </c>
      <c r="Q3186" t="str">
        <f>CHOOSE(WEEKDAY(datos_siembra[[#This Row],[Date]],2),"L","M","X","J","V","S","D")</f>
        <v>M</v>
      </c>
      <c r="R3186">
        <f>WEEKNUM(datos_siembra[[#This Row],[Date]],2)-WEEKNUM(DATE(YEAR(datos_siembra[[#This Row],[Date]]),MONTH(datos_siembra[[#This Row],[Date]]),1))+1</f>
        <v>2</v>
      </c>
      <c r="S3186">
        <f>MONTH(datos_siembra[[#This Row],[Date]])</f>
        <v>10</v>
      </c>
      <c r="T3186" t="str" cm="1">
        <f t="array" ref="T3186">_xlfn.IFS(AND(N3186&lt;= 22, S3186=9), "SOWING",AND(N3186&lt;= 28, S3186=9), "COVERAGE",AND(N3186&lt;= 30, S3186=9), "FLUSH",AND(N3186&lt;= 11, S3186=10), "FLUSH",AND(N3186&lt;= 21, S3186=10), "PRODUCTION")</f>
        <v>FLUSH</v>
      </c>
      <c r="U3186">
        <f>HOUR(datos_siembra[[#This Row],[Hour]])</f>
        <v>21</v>
      </c>
      <c r="V3186" cm="1">
        <f t="array" ref="V3186">_xlfn.IFS(AND(N3186&lt;= 22, S3186=9), N3186-7,AND(N3186&lt;= 28, S3186=9), N3186-25,AND(N3186&lt;= 30, S3186=9), N3186-28,AND(N3186&lt;= 11, S3186=10), N3186+2,AND(N3186&lt;= 21, S3186=10), N3186-11)</f>
        <v>10</v>
      </c>
    </row>
    <row r="3187" spans="1:22" x14ac:dyDescent="0.35">
      <c r="A3187" s="4">
        <v>45573</v>
      </c>
      <c r="B3187" s="5">
        <v>0.92032407407407413</v>
      </c>
      <c r="C3187">
        <v>67.599999999999994</v>
      </c>
      <c r="D3187">
        <v>67</v>
      </c>
      <c r="E3187">
        <v>69</v>
      </c>
      <c r="F3187">
        <v>67.7</v>
      </c>
      <c r="G3187">
        <v>0</v>
      </c>
      <c r="H3187">
        <v>0</v>
      </c>
      <c r="I3187">
        <v>0</v>
      </c>
      <c r="J3187">
        <v>0</v>
      </c>
      <c r="K3187">
        <v>62.4</v>
      </c>
      <c r="L3187">
        <v>62.4</v>
      </c>
      <c r="M3187">
        <v>67.8</v>
      </c>
      <c r="N3187">
        <v>8</v>
      </c>
      <c r="O3187">
        <v>7</v>
      </c>
      <c r="P3187">
        <f>MOD(DAY(datos_siembra[[#This Row],[Date]]),7)</f>
        <v>1</v>
      </c>
      <c r="Q3187" t="str">
        <f>CHOOSE(WEEKDAY(datos_siembra[[#This Row],[Date]],2),"L","M","X","J","V","S","D")</f>
        <v>M</v>
      </c>
      <c r="R3187">
        <f>WEEKNUM(datos_siembra[[#This Row],[Date]],2)-WEEKNUM(DATE(YEAR(datos_siembra[[#This Row],[Date]]),MONTH(datos_siembra[[#This Row],[Date]]),1))+1</f>
        <v>2</v>
      </c>
      <c r="S3187">
        <f>MONTH(datos_siembra[[#This Row],[Date]])</f>
        <v>10</v>
      </c>
      <c r="T3187" t="str" cm="1">
        <f t="array" ref="T3187">_xlfn.IFS(AND(N3187&lt;= 22, S3187=9), "SOWING",AND(N3187&lt;= 28, S3187=9), "COVERAGE",AND(N3187&lt;= 30, S3187=9), "FLUSH",AND(N3187&lt;= 11, S3187=10), "FLUSH",AND(N3187&lt;= 21, S3187=10), "PRODUCTION")</f>
        <v>FLUSH</v>
      </c>
      <c r="U3187">
        <f>HOUR(datos_siembra[[#This Row],[Hour]])</f>
        <v>22</v>
      </c>
      <c r="V3187" cm="1">
        <f t="array" ref="V3187">_xlfn.IFS(AND(N3187&lt;= 22, S3187=9), N3187-7,AND(N3187&lt;= 28, S3187=9), N3187-25,AND(N3187&lt;= 30, S3187=9), N3187-28,AND(N3187&lt;= 11, S3187=10), N3187+2,AND(N3187&lt;= 21, S3187=10), N3187-11)</f>
        <v>10</v>
      </c>
    </row>
    <row r="3188" spans="1:22" x14ac:dyDescent="0.35">
      <c r="A3188" s="4">
        <v>45573</v>
      </c>
      <c r="B3188" s="5">
        <v>0.92726851851851855</v>
      </c>
      <c r="C3188">
        <v>67.8</v>
      </c>
      <c r="D3188">
        <v>67.099999999999994</v>
      </c>
      <c r="E3188">
        <v>68.900000000000006</v>
      </c>
      <c r="F3188">
        <v>67.7</v>
      </c>
      <c r="G3188">
        <v>0</v>
      </c>
      <c r="H3188">
        <v>0</v>
      </c>
      <c r="I3188">
        <v>0</v>
      </c>
      <c r="J3188">
        <v>0</v>
      </c>
      <c r="K3188">
        <v>62.5</v>
      </c>
      <c r="L3188">
        <v>62.4</v>
      </c>
      <c r="M3188">
        <v>67.92</v>
      </c>
      <c r="N3188">
        <v>8</v>
      </c>
      <c r="O3188">
        <v>7</v>
      </c>
      <c r="P3188">
        <f>MOD(DAY(datos_siembra[[#This Row],[Date]]),7)</f>
        <v>1</v>
      </c>
      <c r="Q3188" t="str">
        <f>CHOOSE(WEEKDAY(datos_siembra[[#This Row],[Date]],2),"L","M","X","J","V","S","D")</f>
        <v>M</v>
      </c>
      <c r="R3188">
        <f>WEEKNUM(datos_siembra[[#This Row],[Date]],2)-WEEKNUM(DATE(YEAR(datos_siembra[[#This Row],[Date]]),MONTH(datos_siembra[[#This Row],[Date]]),1))+1</f>
        <v>2</v>
      </c>
      <c r="S3188">
        <f>MONTH(datos_siembra[[#This Row],[Date]])</f>
        <v>10</v>
      </c>
      <c r="T3188" t="str" cm="1">
        <f t="array" ref="T3188">_xlfn.IFS(AND(N3188&lt;= 22, S3188=9), "SOWING",AND(N3188&lt;= 28, S3188=9), "COVERAGE",AND(N3188&lt;= 30, S3188=9), "FLUSH",AND(N3188&lt;= 11, S3188=10), "FLUSH",AND(N3188&lt;= 21, S3188=10), "PRODUCTION")</f>
        <v>FLUSH</v>
      </c>
      <c r="U3188">
        <f>HOUR(datos_siembra[[#This Row],[Hour]])</f>
        <v>22</v>
      </c>
      <c r="V3188" cm="1">
        <f t="array" ref="V3188">_xlfn.IFS(AND(N3188&lt;= 22, S3188=9), N3188-7,AND(N3188&lt;= 28, S3188=9), N3188-25,AND(N3188&lt;= 30, S3188=9), N3188-28,AND(N3188&lt;= 11, S3188=10), N3188+2,AND(N3188&lt;= 21, S3188=10), N3188-11)</f>
        <v>10</v>
      </c>
    </row>
    <row r="3189" spans="1:22" x14ac:dyDescent="0.35">
      <c r="A3189" s="4">
        <v>45573</v>
      </c>
      <c r="B3189" s="5">
        <v>0.93421296296296297</v>
      </c>
      <c r="C3189">
        <v>67.8</v>
      </c>
      <c r="D3189">
        <v>67.099999999999994</v>
      </c>
      <c r="E3189">
        <v>68.900000000000006</v>
      </c>
      <c r="F3189">
        <v>67.8</v>
      </c>
      <c r="G3189">
        <v>0</v>
      </c>
      <c r="H3189">
        <v>0</v>
      </c>
      <c r="I3189">
        <v>0</v>
      </c>
      <c r="J3189">
        <v>0</v>
      </c>
      <c r="K3189">
        <v>62.4</v>
      </c>
      <c r="L3189">
        <v>62.4</v>
      </c>
      <c r="M3189">
        <v>67.83</v>
      </c>
      <c r="N3189">
        <v>8</v>
      </c>
      <c r="O3189">
        <v>7</v>
      </c>
      <c r="P3189">
        <f>MOD(DAY(datos_siembra[[#This Row],[Date]]),7)</f>
        <v>1</v>
      </c>
      <c r="Q3189" t="str">
        <f>CHOOSE(WEEKDAY(datos_siembra[[#This Row],[Date]],2),"L","M","X","J","V","S","D")</f>
        <v>M</v>
      </c>
      <c r="R3189">
        <f>WEEKNUM(datos_siembra[[#This Row],[Date]],2)-WEEKNUM(DATE(YEAR(datos_siembra[[#This Row],[Date]]),MONTH(datos_siembra[[#This Row],[Date]]),1))+1</f>
        <v>2</v>
      </c>
      <c r="S3189">
        <f>MONTH(datos_siembra[[#This Row],[Date]])</f>
        <v>10</v>
      </c>
      <c r="T3189" t="str" cm="1">
        <f t="array" ref="T3189">_xlfn.IFS(AND(N3189&lt;= 22, S3189=9), "SOWING",AND(N3189&lt;= 28, S3189=9), "COVERAGE",AND(N3189&lt;= 30, S3189=9), "FLUSH",AND(N3189&lt;= 11, S3189=10), "FLUSH",AND(N3189&lt;= 21, S3189=10), "PRODUCTION")</f>
        <v>FLUSH</v>
      </c>
      <c r="U3189">
        <f>HOUR(datos_siembra[[#This Row],[Hour]])</f>
        <v>22</v>
      </c>
      <c r="V3189" cm="1">
        <f t="array" ref="V3189">_xlfn.IFS(AND(N3189&lt;= 22, S3189=9), N3189-7,AND(N3189&lt;= 28, S3189=9), N3189-25,AND(N3189&lt;= 30, S3189=9), N3189-28,AND(N3189&lt;= 11, S3189=10), N3189+2,AND(N3189&lt;= 21, S3189=10), N3189-11)</f>
        <v>10</v>
      </c>
    </row>
    <row r="3190" spans="1:22" x14ac:dyDescent="0.35">
      <c r="A3190" s="4">
        <v>45573</v>
      </c>
      <c r="B3190" s="5">
        <v>0.94116898148148154</v>
      </c>
      <c r="C3190">
        <v>67.8</v>
      </c>
      <c r="D3190">
        <v>67</v>
      </c>
      <c r="E3190">
        <v>69</v>
      </c>
      <c r="F3190">
        <v>67.8</v>
      </c>
      <c r="G3190">
        <v>0</v>
      </c>
      <c r="H3190">
        <v>0</v>
      </c>
      <c r="I3190">
        <v>0</v>
      </c>
      <c r="J3190">
        <v>0</v>
      </c>
      <c r="K3190">
        <v>62.3</v>
      </c>
      <c r="L3190">
        <v>62.2</v>
      </c>
      <c r="M3190">
        <v>67.89</v>
      </c>
      <c r="N3190">
        <v>8</v>
      </c>
      <c r="O3190">
        <v>7</v>
      </c>
      <c r="P3190">
        <f>MOD(DAY(datos_siembra[[#This Row],[Date]]),7)</f>
        <v>1</v>
      </c>
      <c r="Q3190" t="str">
        <f>CHOOSE(WEEKDAY(datos_siembra[[#This Row],[Date]],2),"L","M","X","J","V","S","D")</f>
        <v>M</v>
      </c>
      <c r="R3190">
        <f>WEEKNUM(datos_siembra[[#This Row],[Date]],2)-WEEKNUM(DATE(YEAR(datos_siembra[[#This Row],[Date]]),MONTH(datos_siembra[[#This Row],[Date]]),1))+1</f>
        <v>2</v>
      </c>
      <c r="S3190">
        <f>MONTH(datos_siembra[[#This Row],[Date]])</f>
        <v>10</v>
      </c>
      <c r="T3190" t="str" cm="1">
        <f t="array" ref="T3190">_xlfn.IFS(AND(N3190&lt;= 22, S3190=9), "SOWING",AND(N3190&lt;= 28, S3190=9), "COVERAGE",AND(N3190&lt;= 30, S3190=9), "FLUSH",AND(N3190&lt;= 11, S3190=10), "FLUSH",AND(N3190&lt;= 21, S3190=10), "PRODUCTION")</f>
        <v>FLUSH</v>
      </c>
      <c r="U3190">
        <f>HOUR(datos_siembra[[#This Row],[Hour]])</f>
        <v>22</v>
      </c>
      <c r="V3190" cm="1">
        <f t="array" ref="V3190">_xlfn.IFS(AND(N3190&lt;= 22, S3190=9), N3190-7,AND(N3190&lt;= 28, S3190=9), N3190-25,AND(N3190&lt;= 30, S3190=9), N3190-28,AND(N3190&lt;= 11, S3190=10), N3190+2,AND(N3190&lt;= 21, S3190=10), N3190-11)</f>
        <v>10</v>
      </c>
    </row>
    <row r="3191" spans="1:22" x14ac:dyDescent="0.35">
      <c r="A3191" s="4">
        <v>45573</v>
      </c>
      <c r="B3191" s="5">
        <v>0.94811342592592596</v>
      </c>
      <c r="C3191">
        <v>67.8</v>
      </c>
      <c r="D3191">
        <v>67</v>
      </c>
      <c r="E3191">
        <v>68.900000000000006</v>
      </c>
      <c r="F3191">
        <v>67.7</v>
      </c>
      <c r="G3191">
        <v>0</v>
      </c>
      <c r="H3191">
        <v>0</v>
      </c>
      <c r="I3191">
        <v>0</v>
      </c>
      <c r="J3191">
        <v>0</v>
      </c>
      <c r="K3191">
        <v>62.2</v>
      </c>
      <c r="L3191">
        <v>62.2</v>
      </c>
      <c r="M3191">
        <v>67.83</v>
      </c>
      <c r="N3191">
        <v>8</v>
      </c>
      <c r="O3191">
        <v>7</v>
      </c>
      <c r="P3191">
        <f>MOD(DAY(datos_siembra[[#This Row],[Date]]),7)</f>
        <v>1</v>
      </c>
      <c r="Q3191" t="str">
        <f>CHOOSE(WEEKDAY(datos_siembra[[#This Row],[Date]],2),"L","M","X","J","V","S","D")</f>
        <v>M</v>
      </c>
      <c r="R3191">
        <f>WEEKNUM(datos_siembra[[#This Row],[Date]],2)-WEEKNUM(DATE(YEAR(datos_siembra[[#This Row],[Date]]),MONTH(datos_siembra[[#This Row],[Date]]),1))+1</f>
        <v>2</v>
      </c>
      <c r="S3191">
        <f>MONTH(datos_siembra[[#This Row],[Date]])</f>
        <v>10</v>
      </c>
      <c r="T3191" t="str" cm="1">
        <f t="array" ref="T3191">_xlfn.IFS(AND(N3191&lt;= 22, S3191=9), "SOWING",AND(N3191&lt;= 28, S3191=9), "COVERAGE",AND(N3191&lt;= 30, S3191=9), "FLUSH",AND(N3191&lt;= 11, S3191=10), "FLUSH",AND(N3191&lt;= 21, S3191=10), "PRODUCTION")</f>
        <v>FLUSH</v>
      </c>
      <c r="U3191">
        <f>HOUR(datos_siembra[[#This Row],[Hour]])</f>
        <v>22</v>
      </c>
      <c r="V3191" cm="1">
        <f t="array" ref="V3191">_xlfn.IFS(AND(N3191&lt;= 22, S3191=9), N3191-7,AND(N3191&lt;= 28, S3191=9), N3191-25,AND(N3191&lt;= 30, S3191=9), N3191-28,AND(N3191&lt;= 11, S3191=10), N3191+2,AND(N3191&lt;= 21, S3191=10), N3191-11)</f>
        <v>10</v>
      </c>
    </row>
    <row r="3192" spans="1:22" x14ac:dyDescent="0.35">
      <c r="A3192" s="4">
        <v>45573</v>
      </c>
      <c r="B3192" s="5">
        <v>0.95505787037037038</v>
      </c>
      <c r="C3192">
        <v>67.7</v>
      </c>
      <c r="D3192">
        <v>67.099999999999994</v>
      </c>
      <c r="E3192">
        <v>68.900000000000006</v>
      </c>
      <c r="F3192">
        <v>67.7</v>
      </c>
      <c r="G3192">
        <v>0</v>
      </c>
      <c r="H3192">
        <v>0</v>
      </c>
      <c r="I3192">
        <v>0</v>
      </c>
      <c r="J3192">
        <v>0</v>
      </c>
      <c r="K3192">
        <v>62</v>
      </c>
      <c r="L3192">
        <v>62</v>
      </c>
      <c r="M3192">
        <v>67.83</v>
      </c>
      <c r="N3192">
        <v>8</v>
      </c>
      <c r="O3192">
        <v>7</v>
      </c>
      <c r="P3192">
        <f>MOD(DAY(datos_siembra[[#This Row],[Date]]),7)</f>
        <v>1</v>
      </c>
      <c r="Q3192" t="str">
        <f>CHOOSE(WEEKDAY(datos_siembra[[#This Row],[Date]],2),"L","M","X","J","V","S","D")</f>
        <v>M</v>
      </c>
      <c r="R3192">
        <f>WEEKNUM(datos_siembra[[#This Row],[Date]],2)-WEEKNUM(DATE(YEAR(datos_siembra[[#This Row],[Date]]),MONTH(datos_siembra[[#This Row],[Date]]),1))+1</f>
        <v>2</v>
      </c>
      <c r="S3192">
        <f>MONTH(datos_siembra[[#This Row],[Date]])</f>
        <v>10</v>
      </c>
      <c r="T3192" t="str" cm="1">
        <f t="array" ref="T3192">_xlfn.IFS(AND(N3192&lt;= 22, S3192=9), "SOWING",AND(N3192&lt;= 28, S3192=9), "COVERAGE",AND(N3192&lt;= 30, S3192=9), "FLUSH",AND(N3192&lt;= 11, S3192=10), "FLUSH",AND(N3192&lt;= 21, S3192=10), "PRODUCTION")</f>
        <v>FLUSH</v>
      </c>
      <c r="U3192">
        <f>HOUR(datos_siembra[[#This Row],[Hour]])</f>
        <v>22</v>
      </c>
      <c r="V3192" cm="1">
        <f t="array" ref="V3192">_xlfn.IFS(AND(N3192&lt;= 22, S3192=9), N3192-7,AND(N3192&lt;= 28, S3192=9), N3192-25,AND(N3192&lt;= 30, S3192=9), N3192-28,AND(N3192&lt;= 11, S3192=10), N3192+2,AND(N3192&lt;= 21, S3192=10), N3192-11)</f>
        <v>10</v>
      </c>
    </row>
    <row r="3193" spans="1:22" x14ac:dyDescent="0.35">
      <c r="A3193" s="4">
        <v>45573</v>
      </c>
      <c r="B3193" s="5">
        <v>0.9620023148148148</v>
      </c>
      <c r="C3193">
        <v>67.7</v>
      </c>
      <c r="D3193">
        <v>67.099999999999994</v>
      </c>
      <c r="E3193">
        <v>68.900000000000006</v>
      </c>
      <c r="F3193">
        <v>67.900000000000006</v>
      </c>
      <c r="G3193">
        <v>0</v>
      </c>
      <c r="H3193">
        <v>0</v>
      </c>
      <c r="I3193">
        <v>0</v>
      </c>
      <c r="J3193">
        <v>0</v>
      </c>
      <c r="K3193">
        <v>62</v>
      </c>
      <c r="L3193">
        <v>62</v>
      </c>
      <c r="M3193">
        <v>67.86</v>
      </c>
      <c r="N3193">
        <v>8</v>
      </c>
      <c r="O3193">
        <v>7</v>
      </c>
      <c r="P3193">
        <f>MOD(DAY(datos_siembra[[#This Row],[Date]]),7)</f>
        <v>1</v>
      </c>
      <c r="Q3193" t="str">
        <f>CHOOSE(WEEKDAY(datos_siembra[[#This Row],[Date]],2),"L","M","X","J","V","S","D")</f>
        <v>M</v>
      </c>
      <c r="R3193">
        <f>WEEKNUM(datos_siembra[[#This Row],[Date]],2)-WEEKNUM(DATE(YEAR(datos_siembra[[#This Row],[Date]]),MONTH(datos_siembra[[#This Row],[Date]]),1))+1</f>
        <v>2</v>
      </c>
      <c r="S3193">
        <f>MONTH(datos_siembra[[#This Row],[Date]])</f>
        <v>10</v>
      </c>
      <c r="T3193" t="str" cm="1">
        <f t="array" ref="T3193">_xlfn.IFS(AND(N3193&lt;= 22, S3193=9), "SOWING",AND(N3193&lt;= 28, S3193=9), "COVERAGE",AND(N3193&lt;= 30, S3193=9), "FLUSH",AND(N3193&lt;= 11, S3193=10), "FLUSH",AND(N3193&lt;= 21, S3193=10), "PRODUCTION")</f>
        <v>FLUSH</v>
      </c>
      <c r="U3193">
        <f>HOUR(datos_siembra[[#This Row],[Hour]])</f>
        <v>23</v>
      </c>
      <c r="V3193" cm="1">
        <f t="array" ref="V3193">_xlfn.IFS(AND(N3193&lt;= 22, S3193=9), N3193-7,AND(N3193&lt;= 28, S3193=9), N3193-25,AND(N3193&lt;= 30, S3193=9), N3193-28,AND(N3193&lt;= 11, S3193=10), N3193+2,AND(N3193&lt;= 21, S3193=10), N3193-11)</f>
        <v>10</v>
      </c>
    </row>
    <row r="3194" spans="1:22" x14ac:dyDescent="0.35">
      <c r="A3194" s="4">
        <v>45573</v>
      </c>
      <c r="B3194" s="5">
        <v>0.96895833333333337</v>
      </c>
      <c r="C3194">
        <v>67.8</v>
      </c>
      <c r="D3194">
        <v>67</v>
      </c>
      <c r="E3194">
        <v>68.900000000000006</v>
      </c>
      <c r="F3194">
        <v>67.7</v>
      </c>
      <c r="G3194">
        <v>0</v>
      </c>
      <c r="H3194">
        <v>0</v>
      </c>
      <c r="I3194">
        <v>0</v>
      </c>
      <c r="J3194">
        <v>0</v>
      </c>
      <c r="K3194">
        <v>62</v>
      </c>
      <c r="L3194">
        <v>61.9</v>
      </c>
      <c r="M3194">
        <v>67.86</v>
      </c>
      <c r="N3194">
        <v>8</v>
      </c>
      <c r="O3194">
        <v>7</v>
      </c>
      <c r="P3194">
        <f>MOD(DAY(datos_siembra[[#This Row],[Date]]),7)</f>
        <v>1</v>
      </c>
      <c r="Q3194" t="str">
        <f>CHOOSE(WEEKDAY(datos_siembra[[#This Row],[Date]],2),"L","M","X","J","V","S","D")</f>
        <v>M</v>
      </c>
      <c r="R3194">
        <f>WEEKNUM(datos_siembra[[#This Row],[Date]],2)-WEEKNUM(DATE(YEAR(datos_siembra[[#This Row],[Date]]),MONTH(datos_siembra[[#This Row],[Date]]),1))+1</f>
        <v>2</v>
      </c>
      <c r="S3194">
        <f>MONTH(datos_siembra[[#This Row],[Date]])</f>
        <v>10</v>
      </c>
      <c r="T3194" t="str" cm="1">
        <f t="array" ref="T3194">_xlfn.IFS(AND(N3194&lt;= 22, S3194=9), "SOWING",AND(N3194&lt;= 28, S3194=9), "COVERAGE",AND(N3194&lt;= 30, S3194=9), "FLUSH",AND(N3194&lt;= 11, S3194=10), "FLUSH",AND(N3194&lt;= 21, S3194=10), "PRODUCTION")</f>
        <v>FLUSH</v>
      </c>
      <c r="U3194">
        <f>HOUR(datos_siembra[[#This Row],[Hour]])</f>
        <v>23</v>
      </c>
      <c r="V3194" cm="1">
        <f t="array" ref="V3194">_xlfn.IFS(AND(N3194&lt;= 22, S3194=9), N3194-7,AND(N3194&lt;= 28, S3194=9), N3194-25,AND(N3194&lt;= 30, S3194=9), N3194-28,AND(N3194&lt;= 11, S3194=10), N3194+2,AND(N3194&lt;= 21, S3194=10), N3194-11)</f>
        <v>10</v>
      </c>
    </row>
    <row r="3195" spans="1:22" x14ac:dyDescent="0.35">
      <c r="A3195" s="4">
        <v>45573</v>
      </c>
      <c r="B3195" s="5">
        <v>0.97590277777777779</v>
      </c>
      <c r="C3195">
        <v>67.7</v>
      </c>
      <c r="D3195">
        <v>67</v>
      </c>
      <c r="E3195">
        <v>69</v>
      </c>
      <c r="F3195">
        <v>67.8</v>
      </c>
      <c r="G3195">
        <v>0</v>
      </c>
      <c r="H3195">
        <v>0</v>
      </c>
      <c r="I3195">
        <v>0</v>
      </c>
      <c r="J3195">
        <v>0</v>
      </c>
      <c r="K3195">
        <v>62</v>
      </c>
      <c r="L3195">
        <v>62</v>
      </c>
      <c r="M3195">
        <v>67.89</v>
      </c>
      <c r="N3195">
        <v>8</v>
      </c>
      <c r="O3195">
        <v>7</v>
      </c>
      <c r="P3195">
        <f>MOD(DAY(datos_siembra[[#This Row],[Date]]),7)</f>
        <v>1</v>
      </c>
      <c r="Q3195" t="str">
        <f>CHOOSE(WEEKDAY(datos_siembra[[#This Row],[Date]],2),"L","M","X","J","V","S","D")</f>
        <v>M</v>
      </c>
      <c r="R3195">
        <f>WEEKNUM(datos_siembra[[#This Row],[Date]],2)-WEEKNUM(DATE(YEAR(datos_siembra[[#This Row],[Date]]),MONTH(datos_siembra[[#This Row],[Date]]),1))+1</f>
        <v>2</v>
      </c>
      <c r="S3195">
        <f>MONTH(datos_siembra[[#This Row],[Date]])</f>
        <v>10</v>
      </c>
      <c r="T3195" t="str" cm="1">
        <f t="array" ref="T3195">_xlfn.IFS(AND(N3195&lt;= 22, S3195=9), "SOWING",AND(N3195&lt;= 28, S3195=9), "COVERAGE",AND(N3195&lt;= 30, S3195=9), "FLUSH",AND(N3195&lt;= 11, S3195=10), "FLUSH",AND(N3195&lt;= 21, S3195=10), "PRODUCTION")</f>
        <v>FLUSH</v>
      </c>
      <c r="U3195">
        <f>HOUR(datos_siembra[[#This Row],[Hour]])</f>
        <v>23</v>
      </c>
      <c r="V3195" cm="1">
        <f t="array" ref="V3195">_xlfn.IFS(AND(N3195&lt;= 22, S3195=9), N3195-7,AND(N3195&lt;= 28, S3195=9), N3195-25,AND(N3195&lt;= 30, S3195=9), N3195-28,AND(N3195&lt;= 11, S3195=10), N3195+2,AND(N3195&lt;= 21, S3195=10), N3195-11)</f>
        <v>10</v>
      </c>
    </row>
    <row r="3196" spans="1:22" x14ac:dyDescent="0.35">
      <c r="A3196" s="4">
        <v>45573</v>
      </c>
      <c r="B3196" s="5">
        <v>0.98284722222222221</v>
      </c>
      <c r="C3196">
        <v>67.8</v>
      </c>
      <c r="D3196">
        <v>67</v>
      </c>
      <c r="E3196">
        <v>69</v>
      </c>
      <c r="F3196">
        <v>67.7</v>
      </c>
      <c r="G3196">
        <v>0</v>
      </c>
      <c r="H3196">
        <v>0</v>
      </c>
      <c r="I3196">
        <v>0</v>
      </c>
      <c r="J3196">
        <v>0</v>
      </c>
      <c r="K3196">
        <v>62</v>
      </c>
      <c r="L3196">
        <v>62</v>
      </c>
      <c r="M3196">
        <v>67.83</v>
      </c>
      <c r="N3196">
        <v>8</v>
      </c>
      <c r="O3196">
        <v>7</v>
      </c>
      <c r="P3196">
        <f>MOD(DAY(datos_siembra[[#This Row],[Date]]),7)</f>
        <v>1</v>
      </c>
      <c r="Q3196" t="str">
        <f>CHOOSE(WEEKDAY(datos_siembra[[#This Row],[Date]],2),"L","M","X","J","V","S","D")</f>
        <v>M</v>
      </c>
      <c r="R3196">
        <f>WEEKNUM(datos_siembra[[#This Row],[Date]],2)-WEEKNUM(DATE(YEAR(datos_siembra[[#This Row],[Date]]),MONTH(datos_siembra[[#This Row],[Date]]),1))+1</f>
        <v>2</v>
      </c>
      <c r="S3196">
        <f>MONTH(datos_siembra[[#This Row],[Date]])</f>
        <v>10</v>
      </c>
      <c r="T3196" t="str" cm="1">
        <f t="array" ref="T3196">_xlfn.IFS(AND(N3196&lt;= 22, S3196=9), "SOWING",AND(N3196&lt;= 28, S3196=9), "COVERAGE",AND(N3196&lt;= 30, S3196=9), "FLUSH",AND(N3196&lt;= 11, S3196=10), "FLUSH",AND(N3196&lt;= 21, S3196=10), "PRODUCTION")</f>
        <v>FLUSH</v>
      </c>
      <c r="U3196">
        <f>HOUR(datos_siembra[[#This Row],[Hour]])</f>
        <v>23</v>
      </c>
      <c r="V3196" cm="1">
        <f t="array" ref="V3196">_xlfn.IFS(AND(N3196&lt;= 22, S3196=9), N3196-7,AND(N3196&lt;= 28, S3196=9), N3196-25,AND(N3196&lt;= 30, S3196=9), N3196-28,AND(N3196&lt;= 11, S3196=10), N3196+2,AND(N3196&lt;= 21, S3196=10), N3196-11)</f>
        <v>10</v>
      </c>
    </row>
    <row r="3197" spans="1:22" x14ac:dyDescent="0.35">
      <c r="A3197" s="4">
        <v>45573</v>
      </c>
      <c r="B3197" s="5">
        <v>0.98979166666666663</v>
      </c>
      <c r="C3197">
        <v>67.7</v>
      </c>
      <c r="D3197">
        <v>67</v>
      </c>
      <c r="E3197">
        <v>69</v>
      </c>
      <c r="F3197">
        <v>67.8</v>
      </c>
      <c r="G3197">
        <v>0</v>
      </c>
      <c r="H3197">
        <v>0</v>
      </c>
      <c r="I3197">
        <v>0</v>
      </c>
      <c r="J3197">
        <v>0</v>
      </c>
      <c r="K3197">
        <v>61.9</v>
      </c>
      <c r="L3197">
        <v>62</v>
      </c>
      <c r="M3197">
        <v>67.83</v>
      </c>
      <c r="N3197">
        <v>8</v>
      </c>
      <c r="O3197">
        <v>7</v>
      </c>
      <c r="P3197">
        <f>MOD(DAY(datos_siembra[[#This Row],[Date]]),7)</f>
        <v>1</v>
      </c>
      <c r="Q3197" t="str">
        <f>CHOOSE(WEEKDAY(datos_siembra[[#This Row],[Date]],2),"L","M","X","J","V","S","D")</f>
        <v>M</v>
      </c>
      <c r="R3197">
        <f>WEEKNUM(datos_siembra[[#This Row],[Date]],2)-WEEKNUM(DATE(YEAR(datos_siembra[[#This Row],[Date]]),MONTH(datos_siembra[[#This Row],[Date]]),1))+1</f>
        <v>2</v>
      </c>
      <c r="S3197">
        <f>MONTH(datos_siembra[[#This Row],[Date]])</f>
        <v>10</v>
      </c>
      <c r="T3197" t="str" cm="1">
        <f t="array" ref="T3197">_xlfn.IFS(AND(N3197&lt;= 22, S3197=9), "SOWING",AND(N3197&lt;= 28, S3197=9), "COVERAGE",AND(N3197&lt;= 30, S3197=9), "FLUSH",AND(N3197&lt;= 11, S3197=10), "FLUSH",AND(N3197&lt;= 21, S3197=10), "PRODUCTION")</f>
        <v>FLUSH</v>
      </c>
      <c r="U3197">
        <f>HOUR(datos_siembra[[#This Row],[Hour]])</f>
        <v>23</v>
      </c>
      <c r="V3197" cm="1">
        <f t="array" ref="V3197">_xlfn.IFS(AND(N3197&lt;= 22, S3197=9), N3197-7,AND(N3197&lt;= 28, S3197=9), N3197-25,AND(N3197&lt;= 30, S3197=9), N3197-28,AND(N3197&lt;= 11, S3197=10), N3197+2,AND(N3197&lt;= 21, S3197=10), N3197-11)</f>
        <v>10</v>
      </c>
    </row>
    <row r="3198" spans="1:22" x14ac:dyDescent="0.35">
      <c r="A3198" s="4">
        <v>45573</v>
      </c>
      <c r="B3198" s="5">
        <v>0.99674768518518519</v>
      </c>
      <c r="C3198">
        <v>67.8</v>
      </c>
      <c r="D3198">
        <v>67.099999999999994</v>
      </c>
      <c r="E3198">
        <v>69</v>
      </c>
      <c r="F3198">
        <v>67.599999999999994</v>
      </c>
      <c r="G3198">
        <v>0</v>
      </c>
      <c r="H3198">
        <v>0</v>
      </c>
      <c r="I3198">
        <v>0</v>
      </c>
      <c r="J3198">
        <v>0</v>
      </c>
      <c r="K3198">
        <v>62</v>
      </c>
      <c r="L3198">
        <v>61.8</v>
      </c>
      <c r="M3198">
        <v>67.89</v>
      </c>
      <c r="N3198">
        <v>8</v>
      </c>
      <c r="O3198">
        <v>7</v>
      </c>
      <c r="P3198">
        <f>MOD(DAY(datos_siembra[[#This Row],[Date]]),7)</f>
        <v>1</v>
      </c>
      <c r="Q3198" t="str">
        <f>CHOOSE(WEEKDAY(datos_siembra[[#This Row],[Date]],2),"L","M","X","J","V","S","D")</f>
        <v>M</v>
      </c>
      <c r="R3198">
        <f>WEEKNUM(datos_siembra[[#This Row],[Date]],2)-WEEKNUM(DATE(YEAR(datos_siembra[[#This Row],[Date]]),MONTH(datos_siembra[[#This Row],[Date]]),1))+1</f>
        <v>2</v>
      </c>
      <c r="S3198">
        <f>MONTH(datos_siembra[[#This Row],[Date]])</f>
        <v>10</v>
      </c>
      <c r="T3198" t="str" cm="1">
        <f t="array" ref="T3198">_xlfn.IFS(AND(N3198&lt;= 22, S3198=9), "SOWING",AND(N3198&lt;= 28, S3198=9), "COVERAGE",AND(N3198&lt;= 30, S3198=9), "FLUSH",AND(N3198&lt;= 11, S3198=10), "FLUSH",AND(N3198&lt;= 21, S3198=10), "PRODUCTION")</f>
        <v>FLUSH</v>
      </c>
      <c r="U3198">
        <f>HOUR(datos_siembra[[#This Row],[Hour]])</f>
        <v>23</v>
      </c>
      <c r="V3198" cm="1">
        <f t="array" ref="V3198">_xlfn.IFS(AND(N3198&lt;= 22, S3198=9), N3198-7,AND(N3198&lt;= 28, S3198=9), N3198-25,AND(N3198&lt;= 30, S3198=9), N3198-28,AND(N3198&lt;= 11, S3198=10), N3198+2,AND(N3198&lt;= 21, S3198=10), N3198-11)</f>
        <v>10</v>
      </c>
    </row>
    <row r="3199" spans="1:22" x14ac:dyDescent="0.35">
      <c r="A3199" s="4">
        <v>45574</v>
      </c>
      <c r="B3199" s="5">
        <v>3.6921296296296298E-3</v>
      </c>
      <c r="C3199">
        <v>67.8</v>
      </c>
      <c r="D3199">
        <v>67.2</v>
      </c>
      <c r="E3199">
        <v>68.900000000000006</v>
      </c>
      <c r="F3199">
        <v>67.7</v>
      </c>
      <c r="G3199">
        <v>0</v>
      </c>
      <c r="H3199">
        <v>0</v>
      </c>
      <c r="I3199">
        <v>0</v>
      </c>
      <c r="J3199">
        <v>0</v>
      </c>
      <c r="K3199">
        <v>61.9</v>
      </c>
      <c r="L3199">
        <v>61.8</v>
      </c>
      <c r="M3199">
        <v>67.92</v>
      </c>
      <c r="N3199">
        <v>9</v>
      </c>
      <c r="O3199">
        <v>1</v>
      </c>
      <c r="P3199">
        <f>MOD(DAY(datos_siembra[[#This Row],[Date]]),7)</f>
        <v>2</v>
      </c>
      <c r="Q3199" t="str">
        <f>CHOOSE(WEEKDAY(datos_siembra[[#This Row],[Date]],2),"L","M","X","J","V","S","D")</f>
        <v>X</v>
      </c>
      <c r="R3199">
        <f>WEEKNUM(datos_siembra[[#This Row],[Date]],2)-WEEKNUM(DATE(YEAR(datos_siembra[[#This Row],[Date]]),MONTH(datos_siembra[[#This Row],[Date]]),1))+1</f>
        <v>2</v>
      </c>
      <c r="S3199">
        <f>MONTH(datos_siembra[[#This Row],[Date]])</f>
        <v>10</v>
      </c>
      <c r="T3199" t="str" cm="1">
        <f t="array" ref="T3199">_xlfn.IFS(AND(N3199&lt;= 22, S3199=9), "SOWING",AND(N3199&lt;= 28, S3199=9), "COVERAGE",AND(N3199&lt;= 30, S3199=9), "FLUSH",AND(N3199&lt;= 11, S3199=10), "FLUSH",AND(N3199&lt;= 21, S3199=10), "PRODUCTION")</f>
        <v>FLUSH</v>
      </c>
      <c r="U3199">
        <f>HOUR(datos_siembra[[#This Row],[Hour]])</f>
        <v>0</v>
      </c>
      <c r="V3199" cm="1">
        <f t="array" ref="V3199">_xlfn.IFS(AND(N3199&lt;= 22, S3199=9), N3199-7,AND(N3199&lt;= 28, S3199=9), N3199-25,AND(N3199&lt;= 30, S3199=9), N3199-28,AND(N3199&lt;= 11, S3199=10), N3199+2,AND(N3199&lt;= 21, S3199=10), N3199-11)</f>
        <v>11</v>
      </c>
    </row>
    <row r="3200" spans="1:22" x14ac:dyDescent="0.35">
      <c r="A3200" s="4">
        <v>45574</v>
      </c>
      <c r="B3200" s="5">
        <v>1.0636574074074074E-2</v>
      </c>
      <c r="C3200">
        <v>67.8</v>
      </c>
      <c r="D3200">
        <v>67.099999999999994</v>
      </c>
      <c r="E3200">
        <v>69.2</v>
      </c>
      <c r="F3200">
        <v>67.599999999999994</v>
      </c>
      <c r="G3200">
        <v>0</v>
      </c>
      <c r="H3200">
        <v>0</v>
      </c>
      <c r="I3200">
        <v>0</v>
      </c>
      <c r="J3200">
        <v>0</v>
      </c>
      <c r="K3200">
        <v>61.9</v>
      </c>
      <c r="L3200">
        <v>61.8</v>
      </c>
      <c r="M3200">
        <v>67.83</v>
      </c>
      <c r="N3200">
        <v>9</v>
      </c>
      <c r="O3200">
        <v>1</v>
      </c>
      <c r="P3200">
        <f>MOD(DAY(datos_siembra[[#This Row],[Date]]),7)</f>
        <v>2</v>
      </c>
      <c r="Q3200" t="str">
        <f>CHOOSE(WEEKDAY(datos_siembra[[#This Row],[Date]],2),"L","M","X","J","V","S","D")</f>
        <v>X</v>
      </c>
      <c r="R3200">
        <f>WEEKNUM(datos_siembra[[#This Row],[Date]],2)-WEEKNUM(DATE(YEAR(datos_siembra[[#This Row],[Date]]),MONTH(datos_siembra[[#This Row],[Date]]),1))+1</f>
        <v>2</v>
      </c>
      <c r="S3200">
        <f>MONTH(datos_siembra[[#This Row],[Date]])</f>
        <v>10</v>
      </c>
      <c r="T3200" t="str" cm="1">
        <f t="array" ref="T3200">_xlfn.IFS(AND(N3200&lt;= 22, S3200=9), "SOWING",AND(N3200&lt;= 28, S3200=9), "COVERAGE",AND(N3200&lt;= 30, S3200=9), "FLUSH",AND(N3200&lt;= 11, S3200=10), "FLUSH",AND(N3200&lt;= 21, S3200=10), "PRODUCTION")</f>
        <v>FLUSH</v>
      </c>
      <c r="U3200">
        <f>HOUR(datos_siembra[[#This Row],[Hour]])</f>
        <v>0</v>
      </c>
      <c r="V3200" cm="1">
        <f t="array" ref="V3200">_xlfn.IFS(AND(N3200&lt;= 22, S3200=9), N3200-7,AND(N3200&lt;= 28, S3200=9), N3200-25,AND(N3200&lt;= 30, S3200=9), N3200-28,AND(N3200&lt;= 11, S3200=10), N3200+2,AND(N3200&lt;= 21, S3200=10), N3200-11)</f>
        <v>11</v>
      </c>
    </row>
    <row r="3201" spans="1:22" x14ac:dyDescent="0.35">
      <c r="A3201" s="4">
        <v>45574</v>
      </c>
      <c r="B3201" s="5">
        <v>1.7592592592592594E-2</v>
      </c>
      <c r="C3201">
        <v>67.900000000000006</v>
      </c>
      <c r="D3201">
        <v>67</v>
      </c>
      <c r="E3201">
        <v>68.7</v>
      </c>
      <c r="F3201">
        <v>67.8</v>
      </c>
      <c r="G3201">
        <v>0</v>
      </c>
      <c r="H3201">
        <v>0</v>
      </c>
      <c r="I3201">
        <v>0</v>
      </c>
      <c r="J3201">
        <v>0</v>
      </c>
      <c r="K3201">
        <v>61.8</v>
      </c>
      <c r="L3201">
        <v>61.7</v>
      </c>
      <c r="M3201">
        <v>67.86</v>
      </c>
      <c r="N3201">
        <v>9</v>
      </c>
      <c r="O3201">
        <v>1</v>
      </c>
      <c r="P3201">
        <f>MOD(DAY(datos_siembra[[#This Row],[Date]]),7)</f>
        <v>2</v>
      </c>
      <c r="Q3201" t="str">
        <f>CHOOSE(WEEKDAY(datos_siembra[[#This Row],[Date]],2),"L","M","X","J","V","S","D")</f>
        <v>X</v>
      </c>
      <c r="R3201">
        <f>WEEKNUM(datos_siembra[[#This Row],[Date]],2)-WEEKNUM(DATE(YEAR(datos_siembra[[#This Row],[Date]]),MONTH(datos_siembra[[#This Row],[Date]]),1))+1</f>
        <v>2</v>
      </c>
      <c r="S3201">
        <f>MONTH(datos_siembra[[#This Row],[Date]])</f>
        <v>10</v>
      </c>
      <c r="T3201" t="str" cm="1">
        <f t="array" ref="T3201">_xlfn.IFS(AND(N3201&lt;= 22, S3201=9), "SOWING",AND(N3201&lt;= 28, S3201=9), "COVERAGE",AND(N3201&lt;= 30, S3201=9), "FLUSH",AND(N3201&lt;= 11, S3201=10), "FLUSH",AND(N3201&lt;= 21, S3201=10), "PRODUCTION")</f>
        <v>FLUSH</v>
      </c>
      <c r="U3201">
        <f>HOUR(datos_siembra[[#This Row],[Hour]])</f>
        <v>0</v>
      </c>
      <c r="V3201" cm="1">
        <f t="array" ref="V3201">_xlfn.IFS(AND(N3201&lt;= 22, S3201=9), N3201-7,AND(N3201&lt;= 28, S3201=9), N3201-25,AND(N3201&lt;= 30, S3201=9), N3201-28,AND(N3201&lt;= 11, S3201=10), N3201+2,AND(N3201&lt;= 21, S3201=10), N3201-11)</f>
        <v>11</v>
      </c>
    </row>
    <row r="3202" spans="1:22" x14ac:dyDescent="0.35">
      <c r="A3202" s="4">
        <v>45574</v>
      </c>
      <c r="B3202" s="5">
        <v>2.4537037037037038E-2</v>
      </c>
      <c r="C3202">
        <v>67.8</v>
      </c>
      <c r="D3202">
        <v>67</v>
      </c>
      <c r="E3202">
        <v>68.900000000000006</v>
      </c>
      <c r="F3202">
        <v>67.8</v>
      </c>
      <c r="G3202">
        <v>0</v>
      </c>
      <c r="H3202">
        <v>0</v>
      </c>
      <c r="I3202">
        <v>0</v>
      </c>
      <c r="J3202">
        <v>0</v>
      </c>
      <c r="K3202">
        <v>61.8</v>
      </c>
      <c r="L3202">
        <v>61.7</v>
      </c>
      <c r="M3202">
        <v>67.77</v>
      </c>
      <c r="N3202">
        <v>9</v>
      </c>
      <c r="O3202">
        <v>1</v>
      </c>
      <c r="P3202">
        <f>MOD(DAY(datos_siembra[[#This Row],[Date]]),7)</f>
        <v>2</v>
      </c>
      <c r="Q3202" t="str">
        <f>CHOOSE(WEEKDAY(datos_siembra[[#This Row],[Date]],2),"L","M","X","J","V","S","D")</f>
        <v>X</v>
      </c>
      <c r="R3202">
        <f>WEEKNUM(datos_siembra[[#This Row],[Date]],2)-WEEKNUM(DATE(YEAR(datos_siembra[[#This Row],[Date]]),MONTH(datos_siembra[[#This Row],[Date]]),1))+1</f>
        <v>2</v>
      </c>
      <c r="S3202">
        <f>MONTH(datos_siembra[[#This Row],[Date]])</f>
        <v>10</v>
      </c>
      <c r="T3202" t="str" cm="1">
        <f t="array" ref="T3202">_xlfn.IFS(AND(N3202&lt;= 22, S3202=9), "SOWING",AND(N3202&lt;= 28, S3202=9), "COVERAGE",AND(N3202&lt;= 30, S3202=9), "FLUSH",AND(N3202&lt;= 11, S3202=10), "FLUSH",AND(N3202&lt;= 21, S3202=10), "PRODUCTION")</f>
        <v>FLUSH</v>
      </c>
      <c r="U3202">
        <f>HOUR(datos_siembra[[#This Row],[Hour]])</f>
        <v>0</v>
      </c>
      <c r="V3202" cm="1">
        <f t="array" ref="V3202">_xlfn.IFS(AND(N3202&lt;= 22, S3202=9), N3202-7,AND(N3202&lt;= 28, S3202=9), N3202-25,AND(N3202&lt;= 30, S3202=9), N3202-28,AND(N3202&lt;= 11, S3202=10), N3202+2,AND(N3202&lt;= 21, S3202=10), N3202-11)</f>
        <v>11</v>
      </c>
    </row>
    <row r="3203" spans="1:22" x14ac:dyDescent="0.35">
      <c r="A3203" s="4">
        <v>45574</v>
      </c>
      <c r="B3203" s="5">
        <v>3.1481481481481478E-2</v>
      </c>
      <c r="C3203">
        <v>67.7</v>
      </c>
      <c r="D3203">
        <v>67</v>
      </c>
      <c r="E3203">
        <v>69.099999999999994</v>
      </c>
      <c r="F3203">
        <v>67.900000000000006</v>
      </c>
      <c r="G3203">
        <v>0</v>
      </c>
      <c r="H3203">
        <v>0</v>
      </c>
      <c r="I3203">
        <v>0</v>
      </c>
      <c r="J3203">
        <v>0</v>
      </c>
      <c r="K3203">
        <v>61.8</v>
      </c>
      <c r="L3203">
        <v>61.9</v>
      </c>
      <c r="M3203">
        <v>67.92</v>
      </c>
      <c r="N3203">
        <v>9</v>
      </c>
      <c r="O3203">
        <v>1</v>
      </c>
      <c r="P3203">
        <f>MOD(DAY(datos_siembra[[#This Row],[Date]]),7)</f>
        <v>2</v>
      </c>
      <c r="Q3203" t="str">
        <f>CHOOSE(WEEKDAY(datos_siembra[[#This Row],[Date]],2),"L","M","X","J","V","S","D")</f>
        <v>X</v>
      </c>
      <c r="R3203">
        <f>WEEKNUM(datos_siembra[[#This Row],[Date]],2)-WEEKNUM(DATE(YEAR(datos_siembra[[#This Row],[Date]]),MONTH(datos_siembra[[#This Row],[Date]]),1))+1</f>
        <v>2</v>
      </c>
      <c r="S3203">
        <f>MONTH(datos_siembra[[#This Row],[Date]])</f>
        <v>10</v>
      </c>
      <c r="T3203" t="str" cm="1">
        <f t="array" ref="T3203">_xlfn.IFS(AND(N3203&lt;= 22, S3203=9), "SOWING",AND(N3203&lt;= 28, S3203=9), "COVERAGE",AND(N3203&lt;= 30, S3203=9), "FLUSH",AND(N3203&lt;= 11, S3203=10), "FLUSH",AND(N3203&lt;= 21, S3203=10), "PRODUCTION")</f>
        <v>FLUSH</v>
      </c>
      <c r="U3203">
        <f>HOUR(datos_siembra[[#This Row],[Hour]])</f>
        <v>0</v>
      </c>
      <c r="V3203" cm="1">
        <f t="array" ref="V3203">_xlfn.IFS(AND(N3203&lt;= 22, S3203=9), N3203-7,AND(N3203&lt;= 28, S3203=9), N3203-25,AND(N3203&lt;= 30, S3203=9), N3203-28,AND(N3203&lt;= 11, S3203=10), N3203+2,AND(N3203&lt;= 21, S3203=10), N3203-11)</f>
        <v>11</v>
      </c>
    </row>
    <row r="3204" spans="1:22" x14ac:dyDescent="0.35">
      <c r="A3204" s="4">
        <v>45574</v>
      </c>
      <c r="B3204" s="5">
        <v>3.8425925925925926E-2</v>
      </c>
      <c r="C3204">
        <v>67.8</v>
      </c>
      <c r="D3204">
        <v>67</v>
      </c>
      <c r="E3204">
        <v>69.2</v>
      </c>
      <c r="F3204">
        <v>67.8</v>
      </c>
      <c r="G3204">
        <v>0</v>
      </c>
      <c r="H3204">
        <v>0</v>
      </c>
      <c r="I3204">
        <v>0</v>
      </c>
      <c r="J3204">
        <v>0</v>
      </c>
      <c r="K3204">
        <v>61.9</v>
      </c>
      <c r="L3204">
        <v>62</v>
      </c>
      <c r="M3204">
        <v>67.97</v>
      </c>
      <c r="N3204">
        <v>9</v>
      </c>
      <c r="O3204">
        <v>1</v>
      </c>
      <c r="P3204">
        <f>MOD(DAY(datos_siembra[[#This Row],[Date]]),7)</f>
        <v>2</v>
      </c>
      <c r="Q3204" t="str">
        <f>CHOOSE(WEEKDAY(datos_siembra[[#This Row],[Date]],2),"L","M","X","J","V","S","D")</f>
        <v>X</v>
      </c>
      <c r="R3204">
        <f>WEEKNUM(datos_siembra[[#This Row],[Date]],2)-WEEKNUM(DATE(YEAR(datos_siembra[[#This Row],[Date]]),MONTH(datos_siembra[[#This Row],[Date]]),1))+1</f>
        <v>2</v>
      </c>
      <c r="S3204">
        <f>MONTH(datos_siembra[[#This Row],[Date]])</f>
        <v>10</v>
      </c>
      <c r="T3204" t="str" cm="1">
        <f t="array" ref="T3204">_xlfn.IFS(AND(N3204&lt;= 22, S3204=9), "SOWING",AND(N3204&lt;= 28, S3204=9), "COVERAGE",AND(N3204&lt;= 30, S3204=9), "FLUSH",AND(N3204&lt;= 11, S3204=10), "FLUSH",AND(N3204&lt;= 21, S3204=10), "PRODUCTION")</f>
        <v>FLUSH</v>
      </c>
      <c r="U3204">
        <f>HOUR(datos_siembra[[#This Row],[Hour]])</f>
        <v>0</v>
      </c>
      <c r="V3204" cm="1">
        <f t="array" ref="V3204">_xlfn.IFS(AND(N3204&lt;= 22, S3204=9), N3204-7,AND(N3204&lt;= 28, S3204=9), N3204-25,AND(N3204&lt;= 30, S3204=9), N3204-28,AND(N3204&lt;= 11, S3204=10), N3204+2,AND(N3204&lt;= 21, S3204=10), N3204-11)</f>
        <v>11</v>
      </c>
    </row>
    <row r="3205" spans="1:22" x14ac:dyDescent="0.35">
      <c r="A3205" s="4">
        <v>45574</v>
      </c>
      <c r="B3205" s="5">
        <v>4.5381944444444447E-2</v>
      </c>
      <c r="C3205">
        <v>67.8</v>
      </c>
      <c r="D3205">
        <v>67</v>
      </c>
      <c r="E3205">
        <v>69.099999999999994</v>
      </c>
      <c r="F3205">
        <v>67.7</v>
      </c>
      <c r="G3205">
        <v>0</v>
      </c>
      <c r="H3205">
        <v>0</v>
      </c>
      <c r="I3205">
        <v>0</v>
      </c>
      <c r="J3205">
        <v>0</v>
      </c>
      <c r="K3205">
        <v>61.9</v>
      </c>
      <c r="L3205">
        <v>62</v>
      </c>
      <c r="M3205">
        <v>67.97</v>
      </c>
      <c r="N3205">
        <v>9</v>
      </c>
      <c r="O3205">
        <v>1</v>
      </c>
      <c r="P3205">
        <f>MOD(DAY(datos_siembra[[#This Row],[Date]]),7)</f>
        <v>2</v>
      </c>
      <c r="Q3205" t="str">
        <f>CHOOSE(WEEKDAY(datos_siembra[[#This Row],[Date]],2),"L","M","X","J","V","S","D")</f>
        <v>X</v>
      </c>
      <c r="R3205">
        <f>WEEKNUM(datos_siembra[[#This Row],[Date]],2)-WEEKNUM(DATE(YEAR(datos_siembra[[#This Row],[Date]]),MONTH(datos_siembra[[#This Row],[Date]]),1))+1</f>
        <v>2</v>
      </c>
      <c r="S3205">
        <f>MONTH(datos_siembra[[#This Row],[Date]])</f>
        <v>10</v>
      </c>
      <c r="T3205" t="str" cm="1">
        <f t="array" ref="T3205">_xlfn.IFS(AND(N3205&lt;= 22, S3205=9), "SOWING",AND(N3205&lt;= 28, S3205=9), "COVERAGE",AND(N3205&lt;= 30, S3205=9), "FLUSH",AND(N3205&lt;= 11, S3205=10), "FLUSH",AND(N3205&lt;= 21, S3205=10), "PRODUCTION")</f>
        <v>FLUSH</v>
      </c>
      <c r="U3205">
        <f>HOUR(datos_siembra[[#This Row],[Hour]])</f>
        <v>1</v>
      </c>
      <c r="V3205" cm="1">
        <f t="array" ref="V3205">_xlfn.IFS(AND(N3205&lt;= 22, S3205=9), N3205-7,AND(N3205&lt;= 28, S3205=9), N3205-25,AND(N3205&lt;= 30, S3205=9), N3205-28,AND(N3205&lt;= 11, S3205=10), N3205+2,AND(N3205&lt;= 21, S3205=10), N3205-11)</f>
        <v>11</v>
      </c>
    </row>
    <row r="3206" spans="1:22" x14ac:dyDescent="0.35">
      <c r="A3206" s="4">
        <v>45574</v>
      </c>
      <c r="B3206" s="5">
        <v>5.2326388888888888E-2</v>
      </c>
      <c r="C3206">
        <v>67.8</v>
      </c>
      <c r="D3206">
        <v>67</v>
      </c>
      <c r="E3206">
        <v>69</v>
      </c>
      <c r="F3206">
        <v>67.8</v>
      </c>
      <c r="G3206">
        <v>0</v>
      </c>
      <c r="H3206">
        <v>0</v>
      </c>
      <c r="I3206">
        <v>0</v>
      </c>
      <c r="J3206">
        <v>0</v>
      </c>
      <c r="K3206">
        <v>61.9</v>
      </c>
      <c r="L3206">
        <v>61.9</v>
      </c>
      <c r="M3206">
        <v>67.92</v>
      </c>
      <c r="N3206">
        <v>9</v>
      </c>
      <c r="O3206">
        <v>1</v>
      </c>
      <c r="P3206">
        <f>MOD(DAY(datos_siembra[[#This Row],[Date]]),7)</f>
        <v>2</v>
      </c>
      <c r="Q3206" t="str">
        <f>CHOOSE(WEEKDAY(datos_siembra[[#This Row],[Date]],2),"L","M","X","J","V","S","D")</f>
        <v>X</v>
      </c>
      <c r="R3206">
        <f>WEEKNUM(datos_siembra[[#This Row],[Date]],2)-WEEKNUM(DATE(YEAR(datos_siembra[[#This Row],[Date]]),MONTH(datos_siembra[[#This Row],[Date]]),1))+1</f>
        <v>2</v>
      </c>
      <c r="S3206">
        <f>MONTH(datos_siembra[[#This Row],[Date]])</f>
        <v>10</v>
      </c>
      <c r="T3206" t="str" cm="1">
        <f t="array" ref="T3206">_xlfn.IFS(AND(N3206&lt;= 22, S3206=9), "SOWING",AND(N3206&lt;= 28, S3206=9), "COVERAGE",AND(N3206&lt;= 30, S3206=9), "FLUSH",AND(N3206&lt;= 11, S3206=10), "FLUSH",AND(N3206&lt;= 21, S3206=10), "PRODUCTION")</f>
        <v>FLUSH</v>
      </c>
      <c r="U3206">
        <f>HOUR(datos_siembra[[#This Row],[Hour]])</f>
        <v>1</v>
      </c>
      <c r="V3206" cm="1">
        <f t="array" ref="V3206">_xlfn.IFS(AND(N3206&lt;= 22, S3206=9), N3206-7,AND(N3206&lt;= 28, S3206=9), N3206-25,AND(N3206&lt;= 30, S3206=9), N3206-28,AND(N3206&lt;= 11, S3206=10), N3206+2,AND(N3206&lt;= 21, S3206=10), N3206-11)</f>
        <v>11</v>
      </c>
    </row>
    <row r="3207" spans="1:22" x14ac:dyDescent="0.35">
      <c r="A3207" s="4">
        <v>45574</v>
      </c>
      <c r="B3207" s="5">
        <v>5.9270833333333335E-2</v>
      </c>
      <c r="C3207">
        <v>67.900000000000006</v>
      </c>
      <c r="D3207">
        <v>67</v>
      </c>
      <c r="E3207">
        <v>69</v>
      </c>
      <c r="F3207">
        <v>67.7</v>
      </c>
      <c r="G3207">
        <v>0</v>
      </c>
      <c r="H3207">
        <v>0</v>
      </c>
      <c r="I3207">
        <v>0</v>
      </c>
      <c r="J3207">
        <v>0</v>
      </c>
      <c r="K3207">
        <v>61.9</v>
      </c>
      <c r="L3207">
        <v>62</v>
      </c>
      <c r="M3207">
        <v>67.92</v>
      </c>
      <c r="N3207">
        <v>9</v>
      </c>
      <c r="O3207">
        <v>1</v>
      </c>
      <c r="P3207">
        <f>MOD(DAY(datos_siembra[[#This Row],[Date]]),7)</f>
        <v>2</v>
      </c>
      <c r="Q3207" t="str">
        <f>CHOOSE(WEEKDAY(datos_siembra[[#This Row],[Date]],2),"L","M","X","J","V","S","D")</f>
        <v>X</v>
      </c>
      <c r="R3207">
        <f>WEEKNUM(datos_siembra[[#This Row],[Date]],2)-WEEKNUM(DATE(YEAR(datos_siembra[[#This Row],[Date]]),MONTH(datos_siembra[[#This Row],[Date]]),1))+1</f>
        <v>2</v>
      </c>
      <c r="S3207">
        <f>MONTH(datos_siembra[[#This Row],[Date]])</f>
        <v>10</v>
      </c>
      <c r="T3207" t="str" cm="1">
        <f t="array" ref="T3207">_xlfn.IFS(AND(N3207&lt;= 22, S3207=9), "SOWING",AND(N3207&lt;= 28, S3207=9), "COVERAGE",AND(N3207&lt;= 30, S3207=9), "FLUSH",AND(N3207&lt;= 11, S3207=10), "FLUSH",AND(N3207&lt;= 21, S3207=10), "PRODUCTION")</f>
        <v>FLUSH</v>
      </c>
      <c r="U3207">
        <f>HOUR(datos_siembra[[#This Row],[Hour]])</f>
        <v>1</v>
      </c>
      <c r="V3207" cm="1">
        <f t="array" ref="V3207">_xlfn.IFS(AND(N3207&lt;= 22, S3207=9), N3207-7,AND(N3207&lt;= 28, S3207=9), N3207-25,AND(N3207&lt;= 30, S3207=9), N3207-28,AND(N3207&lt;= 11, S3207=10), N3207+2,AND(N3207&lt;= 21, S3207=10), N3207-11)</f>
        <v>11</v>
      </c>
    </row>
    <row r="3208" spans="1:22" x14ac:dyDescent="0.35">
      <c r="A3208" s="4">
        <v>45574</v>
      </c>
      <c r="B3208" s="5">
        <v>6.6215277777777776E-2</v>
      </c>
      <c r="C3208">
        <v>67.8</v>
      </c>
      <c r="D3208">
        <v>66.900000000000006</v>
      </c>
      <c r="E3208">
        <v>69.099999999999994</v>
      </c>
      <c r="F3208">
        <v>67.8</v>
      </c>
      <c r="G3208">
        <v>0</v>
      </c>
      <c r="H3208">
        <v>0</v>
      </c>
      <c r="I3208">
        <v>0</v>
      </c>
      <c r="J3208">
        <v>0</v>
      </c>
      <c r="K3208">
        <v>61.9</v>
      </c>
      <c r="L3208">
        <v>62</v>
      </c>
      <c r="M3208">
        <v>67.8</v>
      </c>
      <c r="N3208">
        <v>9</v>
      </c>
      <c r="O3208">
        <v>1</v>
      </c>
      <c r="P3208">
        <f>MOD(DAY(datos_siembra[[#This Row],[Date]]),7)</f>
        <v>2</v>
      </c>
      <c r="Q3208" t="str">
        <f>CHOOSE(WEEKDAY(datos_siembra[[#This Row],[Date]],2),"L","M","X","J","V","S","D")</f>
        <v>X</v>
      </c>
      <c r="R3208">
        <f>WEEKNUM(datos_siembra[[#This Row],[Date]],2)-WEEKNUM(DATE(YEAR(datos_siembra[[#This Row],[Date]]),MONTH(datos_siembra[[#This Row],[Date]]),1))+1</f>
        <v>2</v>
      </c>
      <c r="S3208">
        <f>MONTH(datos_siembra[[#This Row],[Date]])</f>
        <v>10</v>
      </c>
      <c r="T3208" t="str" cm="1">
        <f t="array" ref="T3208">_xlfn.IFS(AND(N3208&lt;= 22, S3208=9), "SOWING",AND(N3208&lt;= 28, S3208=9), "COVERAGE",AND(N3208&lt;= 30, S3208=9), "FLUSH",AND(N3208&lt;= 11, S3208=10), "FLUSH",AND(N3208&lt;= 21, S3208=10), "PRODUCTION")</f>
        <v>FLUSH</v>
      </c>
      <c r="U3208">
        <f>HOUR(datos_siembra[[#This Row],[Hour]])</f>
        <v>1</v>
      </c>
      <c r="V3208" cm="1">
        <f t="array" ref="V3208">_xlfn.IFS(AND(N3208&lt;= 22, S3208=9), N3208-7,AND(N3208&lt;= 28, S3208=9), N3208-25,AND(N3208&lt;= 30, S3208=9), N3208-28,AND(N3208&lt;= 11, S3208=10), N3208+2,AND(N3208&lt;= 21, S3208=10), N3208-11)</f>
        <v>11</v>
      </c>
    </row>
    <row r="3209" spans="1:22" x14ac:dyDescent="0.35">
      <c r="A3209" s="4">
        <v>45574</v>
      </c>
      <c r="B3209" s="5">
        <v>7.317129629629629E-2</v>
      </c>
      <c r="C3209">
        <v>67.8</v>
      </c>
      <c r="D3209">
        <v>67</v>
      </c>
      <c r="E3209">
        <v>69</v>
      </c>
      <c r="F3209">
        <v>67.900000000000006</v>
      </c>
      <c r="G3209">
        <v>0</v>
      </c>
      <c r="H3209">
        <v>0</v>
      </c>
      <c r="I3209">
        <v>0</v>
      </c>
      <c r="J3209">
        <v>0</v>
      </c>
      <c r="K3209">
        <v>61.8</v>
      </c>
      <c r="L3209">
        <v>61.9</v>
      </c>
      <c r="M3209">
        <v>67.89</v>
      </c>
      <c r="N3209">
        <v>9</v>
      </c>
      <c r="O3209">
        <v>1</v>
      </c>
      <c r="P3209">
        <f>MOD(DAY(datos_siembra[[#This Row],[Date]]),7)</f>
        <v>2</v>
      </c>
      <c r="Q3209" t="str">
        <f>CHOOSE(WEEKDAY(datos_siembra[[#This Row],[Date]],2),"L","M","X","J","V","S","D")</f>
        <v>X</v>
      </c>
      <c r="R3209">
        <f>WEEKNUM(datos_siembra[[#This Row],[Date]],2)-WEEKNUM(DATE(YEAR(datos_siembra[[#This Row],[Date]]),MONTH(datos_siembra[[#This Row],[Date]]),1))+1</f>
        <v>2</v>
      </c>
      <c r="S3209">
        <f>MONTH(datos_siembra[[#This Row],[Date]])</f>
        <v>10</v>
      </c>
      <c r="T3209" t="str" cm="1">
        <f t="array" ref="T3209">_xlfn.IFS(AND(N3209&lt;= 22, S3209=9), "SOWING",AND(N3209&lt;= 28, S3209=9), "COVERAGE",AND(N3209&lt;= 30, S3209=9), "FLUSH",AND(N3209&lt;= 11, S3209=10), "FLUSH",AND(N3209&lt;= 21, S3209=10), "PRODUCTION")</f>
        <v>FLUSH</v>
      </c>
      <c r="U3209">
        <f>HOUR(datos_siembra[[#This Row],[Hour]])</f>
        <v>1</v>
      </c>
      <c r="V3209" cm="1">
        <f t="array" ref="V3209">_xlfn.IFS(AND(N3209&lt;= 22, S3209=9), N3209-7,AND(N3209&lt;= 28, S3209=9), N3209-25,AND(N3209&lt;= 30, S3209=9), N3209-28,AND(N3209&lt;= 11, S3209=10), N3209+2,AND(N3209&lt;= 21, S3209=10), N3209-11)</f>
        <v>11</v>
      </c>
    </row>
    <row r="3210" spans="1:22" x14ac:dyDescent="0.35">
      <c r="A3210" s="4">
        <v>45574</v>
      </c>
      <c r="B3210" s="5">
        <v>8.0115740740740737E-2</v>
      </c>
      <c r="C3210">
        <v>67.8</v>
      </c>
      <c r="D3210">
        <v>66.900000000000006</v>
      </c>
      <c r="E3210">
        <v>68.900000000000006</v>
      </c>
      <c r="F3210">
        <v>67.7</v>
      </c>
      <c r="G3210">
        <v>0</v>
      </c>
      <c r="H3210">
        <v>0</v>
      </c>
      <c r="I3210">
        <v>0</v>
      </c>
      <c r="J3210">
        <v>0</v>
      </c>
      <c r="K3210">
        <v>61.9</v>
      </c>
      <c r="L3210">
        <v>61.9</v>
      </c>
      <c r="M3210">
        <v>67.83</v>
      </c>
      <c r="N3210">
        <v>9</v>
      </c>
      <c r="O3210">
        <v>1</v>
      </c>
      <c r="P3210">
        <f>MOD(DAY(datos_siembra[[#This Row],[Date]]),7)</f>
        <v>2</v>
      </c>
      <c r="Q3210" t="str">
        <f>CHOOSE(WEEKDAY(datos_siembra[[#This Row],[Date]],2),"L","M","X","J","V","S","D")</f>
        <v>X</v>
      </c>
      <c r="R3210">
        <f>WEEKNUM(datos_siembra[[#This Row],[Date]],2)-WEEKNUM(DATE(YEAR(datos_siembra[[#This Row],[Date]]),MONTH(datos_siembra[[#This Row],[Date]]),1))+1</f>
        <v>2</v>
      </c>
      <c r="S3210">
        <f>MONTH(datos_siembra[[#This Row],[Date]])</f>
        <v>10</v>
      </c>
      <c r="T3210" t="str" cm="1">
        <f t="array" ref="T3210">_xlfn.IFS(AND(N3210&lt;= 22, S3210=9), "SOWING",AND(N3210&lt;= 28, S3210=9), "COVERAGE",AND(N3210&lt;= 30, S3210=9), "FLUSH",AND(N3210&lt;= 11, S3210=10), "FLUSH",AND(N3210&lt;= 21, S3210=10), "PRODUCTION")</f>
        <v>FLUSH</v>
      </c>
      <c r="U3210">
        <f>HOUR(datos_siembra[[#This Row],[Hour]])</f>
        <v>1</v>
      </c>
      <c r="V3210" cm="1">
        <f t="array" ref="V3210">_xlfn.IFS(AND(N3210&lt;= 22, S3210=9), N3210-7,AND(N3210&lt;= 28, S3210=9), N3210-25,AND(N3210&lt;= 30, S3210=9), N3210-28,AND(N3210&lt;= 11, S3210=10), N3210+2,AND(N3210&lt;= 21, S3210=10), N3210-11)</f>
        <v>11</v>
      </c>
    </row>
    <row r="3211" spans="1:22" x14ac:dyDescent="0.35">
      <c r="A3211" s="4">
        <v>45574</v>
      </c>
      <c r="B3211" s="5">
        <v>8.7060185185185185E-2</v>
      </c>
      <c r="C3211">
        <v>67.8</v>
      </c>
      <c r="D3211">
        <v>67.099999999999994</v>
      </c>
      <c r="E3211">
        <v>69</v>
      </c>
      <c r="F3211">
        <v>67.7</v>
      </c>
      <c r="G3211">
        <v>0</v>
      </c>
      <c r="H3211">
        <v>0</v>
      </c>
      <c r="I3211">
        <v>0</v>
      </c>
      <c r="J3211">
        <v>0</v>
      </c>
      <c r="K3211">
        <v>61.9</v>
      </c>
      <c r="L3211">
        <v>61.9</v>
      </c>
      <c r="M3211">
        <v>67.83</v>
      </c>
      <c r="N3211">
        <v>9</v>
      </c>
      <c r="O3211">
        <v>1</v>
      </c>
      <c r="P3211">
        <f>MOD(DAY(datos_siembra[[#This Row],[Date]]),7)</f>
        <v>2</v>
      </c>
      <c r="Q3211" t="str">
        <f>CHOOSE(WEEKDAY(datos_siembra[[#This Row],[Date]],2),"L","M","X","J","V","S","D")</f>
        <v>X</v>
      </c>
      <c r="R3211">
        <f>WEEKNUM(datos_siembra[[#This Row],[Date]],2)-WEEKNUM(DATE(YEAR(datos_siembra[[#This Row],[Date]]),MONTH(datos_siembra[[#This Row],[Date]]),1))+1</f>
        <v>2</v>
      </c>
      <c r="S3211">
        <f>MONTH(datos_siembra[[#This Row],[Date]])</f>
        <v>10</v>
      </c>
      <c r="T3211" t="str" cm="1">
        <f t="array" ref="T3211">_xlfn.IFS(AND(N3211&lt;= 22, S3211=9), "SOWING",AND(N3211&lt;= 28, S3211=9), "COVERAGE",AND(N3211&lt;= 30, S3211=9), "FLUSH",AND(N3211&lt;= 11, S3211=10), "FLUSH",AND(N3211&lt;= 21, S3211=10), "PRODUCTION")</f>
        <v>FLUSH</v>
      </c>
      <c r="U3211">
        <f>HOUR(datos_siembra[[#This Row],[Hour]])</f>
        <v>2</v>
      </c>
      <c r="V3211" cm="1">
        <f t="array" ref="V3211">_xlfn.IFS(AND(N3211&lt;= 22, S3211=9), N3211-7,AND(N3211&lt;= 28, S3211=9), N3211-25,AND(N3211&lt;= 30, S3211=9), N3211-28,AND(N3211&lt;= 11, S3211=10), N3211+2,AND(N3211&lt;= 21, S3211=10), N3211-11)</f>
        <v>11</v>
      </c>
    </row>
    <row r="3212" spans="1:22" x14ac:dyDescent="0.35">
      <c r="A3212" s="4">
        <v>45574</v>
      </c>
      <c r="B3212" s="5">
        <v>9.4016203703703699E-2</v>
      </c>
      <c r="C3212">
        <v>67.8</v>
      </c>
      <c r="D3212">
        <v>67</v>
      </c>
      <c r="E3212">
        <v>69.099999999999994</v>
      </c>
      <c r="F3212">
        <v>67.900000000000006</v>
      </c>
      <c r="G3212">
        <v>0</v>
      </c>
      <c r="H3212">
        <v>0</v>
      </c>
      <c r="I3212">
        <v>0</v>
      </c>
      <c r="J3212">
        <v>0</v>
      </c>
      <c r="K3212">
        <v>61.8</v>
      </c>
      <c r="L3212">
        <v>61.8</v>
      </c>
      <c r="M3212">
        <v>67.86</v>
      </c>
      <c r="N3212">
        <v>9</v>
      </c>
      <c r="O3212">
        <v>1</v>
      </c>
      <c r="P3212">
        <f>MOD(DAY(datos_siembra[[#This Row],[Date]]),7)</f>
        <v>2</v>
      </c>
      <c r="Q3212" t="str">
        <f>CHOOSE(WEEKDAY(datos_siembra[[#This Row],[Date]],2),"L","M","X","J","V","S","D")</f>
        <v>X</v>
      </c>
      <c r="R3212">
        <f>WEEKNUM(datos_siembra[[#This Row],[Date]],2)-WEEKNUM(DATE(YEAR(datos_siembra[[#This Row],[Date]]),MONTH(datos_siembra[[#This Row],[Date]]),1))+1</f>
        <v>2</v>
      </c>
      <c r="S3212">
        <f>MONTH(datos_siembra[[#This Row],[Date]])</f>
        <v>10</v>
      </c>
      <c r="T3212" t="str" cm="1">
        <f t="array" ref="T3212">_xlfn.IFS(AND(N3212&lt;= 22, S3212=9), "SOWING",AND(N3212&lt;= 28, S3212=9), "COVERAGE",AND(N3212&lt;= 30, S3212=9), "FLUSH",AND(N3212&lt;= 11, S3212=10), "FLUSH",AND(N3212&lt;= 21, S3212=10), "PRODUCTION")</f>
        <v>FLUSH</v>
      </c>
      <c r="U3212">
        <f>HOUR(datos_siembra[[#This Row],[Hour]])</f>
        <v>2</v>
      </c>
      <c r="V3212" cm="1">
        <f t="array" ref="V3212">_xlfn.IFS(AND(N3212&lt;= 22, S3212=9), N3212-7,AND(N3212&lt;= 28, S3212=9), N3212-25,AND(N3212&lt;= 30, S3212=9), N3212-28,AND(N3212&lt;= 11, S3212=10), N3212+2,AND(N3212&lt;= 21, S3212=10), N3212-11)</f>
        <v>11</v>
      </c>
    </row>
    <row r="3213" spans="1:22" x14ac:dyDescent="0.35">
      <c r="A3213" s="4">
        <v>45574</v>
      </c>
      <c r="B3213" s="5">
        <v>0.10096064814814815</v>
      </c>
      <c r="C3213">
        <v>67.7</v>
      </c>
      <c r="D3213">
        <v>66.900000000000006</v>
      </c>
      <c r="E3213">
        <v>69.099999999999994</v>
      </c>
      <c r="F3213">
        <v>67.599999999999994</v>
      </c>
      <c r="G3213">
        <v>0</v>
      </c>
      <c r="H3213">
        <v>0</v>
      </c>
      <c r="I3213">
        <v>0</v>
      </c>
      <c r="J3213">
        <v>0</v>
      </c>
      <c r="K3213">
        <v>61.8</v>
      </c>
      <c r="L3213">
        <v>61.8</v>
      </c>
      <c r="M3213">
        <v>67.89</v>
      </c>
      <c r="N3213">
        <v>9</v>
      </c>
      <c r="O3213">
        <v>1</v>
      </c>
      <c r="P3213">
        <f>MOD(DAY(datos_siembra[[#This Row],[Date]]),7)</f>
        <v>2</v>
      </c>
      <c r="Q3213" t="str">
        <f>CHOOSE(WEEKDAY(datos_siembra[[#This Row],[Date]],2),"L","M","X","J","V","S","D")</f>
        <v>X</v>
      </c>
      <c r="R3213">
        <f>WEEKNUM(datos_siembra[[#This Row],[Date]],2)-WEEKNUM(DATE(YEAR(datos_siembra[[#This Row],[Date]]),MONTH(datos_siembra[[#This Row],[Date]]),1))+1</f>
        <v>2</v>
      </c>
      <c r="S3213">
        <f>MONTH(datos_siembra[[#This Row],[Date]])</f>
        <v>10</v>
      </c>
      <c r="T3213" t="str" cm="1">
        <f t="array" ref="T3213">_xlfn.IFS(AND(N3213&lt;= 22, S3213=9), "SOWING",AND(N3213&lt;= 28, S3213=9), "COVERAGE",AND(N3213&lt;= 30, S3213=9), "FLUSH",AND(N3213&lt;= 11, S3213=10), "FLUSH",AND(N3213&lt;= 21, S3213=10), "PRODUCTION")</f>
        <v>FLUSH</v>
      </c>
      <c r="U3213">
        <f>HOUR(datos_siembra[[#This Row],[Hour]])</f>
        <v>2</v>
      </c>
      <c r="V3213" cm="1">
        <f t="array" ref="V3213">_xlfn.IFS(AND(N3213&lt;= 22, S3213=9), N3213-7,AND(N3213&lt;= 28, S3213=9), N3213-25,AND(N3213&lt;= 30, S3213=9), N3213-28,AND(N3213&lt;= 11, S3213=10), N3213+2,AND(N3213&lt;= 21, S3213=10), N3213-11)</f>
        <v>11</v>
      </c>
    </row>
    <row r="3214" spans="1:22" x14ac:dyDescent="0.35">
      <c r="A3214" s="4">
        <v>45574</v>
      </c>
      <c r="B3214" s="5">
        <v>0.10790509259259259</v>
      </c>
      <c r="C3214">
        <v>67.7</v>
      </c>
      <c r="D3214">
        <v>67</v>
      </c>
      <c r="E3214">
        <v>69.099999999999994</v>
      </c>
      <c r="F3214">
        <v>67.7</v>
      </c>
      <c r="G3214">
        <v>0</v>
      </c>
      <c r="H3214">
        <v>0</v>
      </c>
      <c r="I3214">
        <v>0</v>
      </c>
      <c r="J3214">
        <v>0</v>
      </c>
      <c r="K3214">
        <v>61.7</v>
      </c>
      <c r="L3214">
        <v>61.8</v>
      </c>
      <c r="M3214">
        <v>67.92</v>
      </c>
      <c r="N3214">
        <v>9</v>
      </c>
      <c r="O3214">
        <v>1</v>
      </c>
      <c r="P3214">
        <f>MOD(DAY(datos_siembra[[#This Row],[Date]]),7)</f>
        <v>2</v>
      </c>
      <c r="Q3214" t="str">
        <f>CHOOSE(WEEKDAY(datos_siembra[[#This Row],[Date]],2),"L","M","X","J","V","S","D")</f>
        <v>X</v>
      </c>
      <c r="R3214">
        <f>WEEKNUM(datos_siembra[[#This Row],[Date]],2)-WEEKNUM(DATE(YEAR(datos_siembra[[#This Row],[Date]]),MONTH(datos_siembra[[#This Row],[Date]]),1))+1</f>
        <v>2</v>
      </c>
      <c r="S3214">
        <f>MONTH(datos_siembra[[#This Row],[Date]])</f>
        <v>10</v>
      </c>
      <c r="T3214" t="str" cm="1">
        <f t="array" ref="T3214">_xlfn.IFS(AND(N3214&lt;= 22, S3214=9), "SOWING",AND(N3214&lt;= 28, S3214=9), "COVERAGE",AND(N3214&lt;= 30, S3214=9), "FLUSH",AND(N3214&lt;= 11, S3214=10), "FLUSH",AND(N3214&lt;= 21, S3214=10), "PRODUCTION")</f>
        <v>FLUSH</v>
      </c>
      <c r="U3214">
        <f>HOUR(datos_siembra[[#This Row],[Hour]])</f>
        <v>2</v>
      </c>
      <c r="V3214" cm="1">
        <f t="array" ref="V3214">_xlfn.IFS(AND(N3214&lt;= 22, S3214=9), N3214-7,AND(N3214&lt;= 28, S3214=9), N3214-25,AND(N3214&lt;= 30, S3214=9), N3214-28,AND(N3214&lt;= 11, S3214=10), N3214+2,AND(N3214&lt;= 21, S3214=10), N3214-11)</f>
        <v>11</v>
      </c>
    </row>
    <row r="3215" spans="1:22" x14ac:dyDescent="0.35">
      <c r="A3215" s="4">
        <v>45574</v>
      </c>
      <c r="B3215" s="5">
        <v>0.11484953703703704</v>
      </c>
      <c r="C3215">
        <v>67.8</v>
      </c>
      <c r="D3215">
        <v>67</v>
      </c>
      <c r="E3215">
        <v>69</v>
      </c>
      <c r="F3215">
        <v>67.7</v>
      </c>
      <c r="G3215">
        <v>0</v>
      </c>
      <c r="H3215">
        <v>0</v>
      </c>
      <c r="I3215">
        <v>0</v>
      </c>
      <c r="J3215">
        <v>0</v>
      </c>
      <c r="K3215">
        <v>61.7</v>
      </c>
      <c r="L3215">
        <v>61.7</v>
      </c>
      <c r="M3215">
        <v>67.86</v>
      </c>
      <c r="N3215">
        <v>9</v>
      </c>
      <c r="O3215">
        <v>1</v>
      </c>
      <c r="P3215">
        <f>MOD(DAY(datos_siembra[[#This Row],[Date]]),7)</f>
        <v>2</v>
      </c>
      <c r="Q3215" t="str">
        <f>CHOOSE(WEEKDAY(datos_siembra[[#This Row],[Date]],2),"L","M","X","J","V","S","D")</f>
        <v>X</v>
      </c>
      <c r="R3215">
        <f>WEEKNUM(datos_siembra[[#This Row],[Date]],2)-WEEKNUM(DATE(YEAR(datos_siembra[[#This Row],[Date]]),MONTH(datos_siembra[[#This Row],[Date]]),1))+1</f>
        <v>2</v>
      </c>
      <c r="S3215">
        <f>MONTH(datos_siembra[[#This Row],[Date]])</f>
        <v>10</v>
      </c>
      <c r="T3215" t="str" cm="1">
        <f t="array" ref="T3215">_xlfn.IFS(AND(N3215&lt;= 22, S3215=9), "SOWING",AND(N3215&lt;= 28, S3215=9), "COVERAGE",AND(N3215&lt;= 30, S3215=9), "FLUSH",AND(N3215&lt;= 11, S3215=10), "FLUSH",AND(N3215&lt;= 21, S3215=10), "PRODUCTION")</f>
        <v>FLUSH</v>
      </c>
      <c r="U3215">
        <f>HOUR(datos_siembra[[#This Row],[Hour]])</f>
        <v>2</v>
      </c>
      <c r="V3215" cm="1">
        <f t="array" ref="V3215">_xlfn.IFS(AND(N3215&lt;= 22, S3215=9), N3215-7,AND(N3215&lt;= 28, S3215=9), N3215-25,AND(N3215&lt;= 30, S3215=9), N3215-28,AND(N3215&lt;= 11, S3215=10), N3215+2,AND(N3215&lt;= 21, S3215=10), N3215-11)</f>
        <v>11</v>
      </c>
    </row>
    <row r="3216" spans="1:22" x14ac:dyDescent="0.35">
      <c r="A3216" s="4">
        <v>45574</v>
      </c>
      <c r="B3216" s="5">
        <v>0.12180555555555556</v>
      </c>
      <c r="C3216">
        <v>67.7</v>
      </c>
      <c r="D3216">
        <v>66.900000000000006</v>
      </c>
      <c r="E3216">
        <v>69</v>
      </c>
      <c r="F3216">
        <v>67.599999999999994</v>
      </c>
      <c r="G3216">
        <v>0</v>
      </c>
      <c r="H3216">
        <v>0</v>
      </c>
      <c r="I3216">
        <v>0</v>
      </c>
      <c r="J3216">
        <v>0</v>
      </c>
      <c r="K3216">
        <v>61.7</v>
      </c>
      <c r="L3216">
        <v>61.7</v>
      </c>
      <c r="M3216">
        <v>67.77</v>
      </c>
      <c r="N3216">
        <v>9</v>
      </c>
      <c r="O3216">
        <v>1</v>
      </c>
      <c r="P3216">
        <f>MOD(DAY(datos_siembra[[#This Row],[Date]]),7)</f>
        <v>2</v>
      </c>
      <c r="Q3216" t="str">
        <f>CHOOSE(WEEKDAY(datos_siembra[[#This Row],[Date]],2),"L","M","X","J","V","S","D")</f>
        <v>X</v>
      </c>
      <c r="R3216">
        <f>WEEKNUM(datos_siembra[[#This Row],[Date]],2)-WEEKNUM(DATE(YEAR(datos_siembra[[#This Row],[Date]]),MONTH(datos_siembra[[#This Row],[Date]]),1))+1</f>
        <v>2</v>
      </c>
      <c r="S3216">
        <f>MONTH(datos_siembra[[#This Row],[Date]])</f>
        <v>10</v>
      </c>
      <c r="T3216" t="str" cm="1">
        <f t="array" ref="T3216">_xlfn.IFS(AND(N3216&lt;= 22, S3216=9), "SOWING",AND(N3216&lt;= 28, S3216=9), "COVERAGE",AND(N3216&lt;= 30, S3216=9), "FLUSH",AND(N3216&lt;= 11, S3216=10), "FLUSH",AND(N3216&lt;= 21, S3216=10), "PRODUCTION")</f>
        <v>FLUSH</v>
      </c>
      <c r="U3216">
        <f>HOUR(datos_siembra[[#This Row],[Hour]])</f>
        <v>2</v>
      </c>
      <c r="V3216" cm="1">
        <f t="array" ref="V3216">_xlfn.IFS(AND(N3216&lt;= 22, S3216=9), N3216-7,AND(N3216&lt;= 28, S3216=9), N3216-25,AND(N3216&lt;= 30, S3216=9), N3216-28,AND(N3216&lt;= 11, S3216=10), N3216+2,AND(N3216&lt;= 21, S3216=10), N3216-11)</f>
        <v>11</v>
      </c>
    </row>
    <row r="3217" spans="1:22" x14ac:dyDescent="0.35">
      <c r="A3217" s="4">
        <v>45574</v>
      </c>
      <c r="B3217" s="5">
        <v>0.12875</v>
      </c>
      <c r="C3217">
        <v>67.7</v>
      </c>
      <c r="D3217">
        <v>67</v>
      </c>
      <c r="E3217">
        <v>68.900000000000006</v>
      </c>
      <c r="F3217">
        <v>67.7</v>
      </c>
      <c r="G3217">
        <v>0</v>
      </c>
      <c r="H3217">
        <v>0</v>
      </c>
      <c r="I3217">
        <v>0</v>
      </c>
      <c r="J3217">
        <v>0</v>
      </c>
      <c r="K3217">
        <v>61.7</v>
      </c>
      <c r="L3217">
        <v>61.8</v>
      </c>
      <c r="M3217">
        <v>67.83</v>
      </c>
      <c r="N3217">
        <v>9</v>
      </c>
      <c r="O3217">
        <v>1</v>
      </c>
      <c r="P3217">
        <f>MOD(DAY(datos_siembra[[#This Row],[Date]]),7)</f>
        <v>2</v>
      </c>
      <c r="Q3217" t="str">
        <f>CHOOSE(WEEKDAY(datos_siembra[[#This Row],[Date]],2),"L","M","X","J","V","S","D")</f>
        <v>X</v>
      </c>
      <c r="R3217">
        <f>WEEKNUM(datos_siembra[[#This Row],[Date]],2)-WEEKNUM(DATE(YEAR(datos_siembra[[#This Row],[Date]]),MONTH(datos_siembra[[#This Row],[Date]]),1))+1</f>
        <v>2</v>
      </c>
      <c r="S3217">
        <f>MONTH(datos_siembra[[#This Row],[Date]])</f>
        <v>10</v>
      </c>
      <c r="T3217" t="str" cm="1">
        <f t="array" ref="T3217">_xlfn.IFS(AND(N3217&lt;= 22, S3217=9), "SOWING",AND(N3217&lt;= 28, S3217=9), "COVERAGE",AND(N3217&lt;= 30, S3217=9), "FLUSH",AND(N3217&lt;= 11, S3217=10), "FLUSH",AND(N3217&lt;= 21, S3217=10), "PRODUCTION")</f>
        <v>FLUSH</v>
      </c>
      <c r="U3217">
        <f>HOUR(datos_siembra[[#This Row],[Hour]])</f>
        <v>3</v>
      </c>
      <c r="V3217" cm="1">
        <f t="array" ref="V3217">_xlfn.IFS(AND(N3217&lt;= 22, S3217=9), N3217-7,AND(N3217&lt;= 28, S3217=9), N3217-25,AND(N3217&lt;= 30, S3217=9), N3217-28,AND(N3217&lt;= 11, S3217=10), N3217+2,AND(N3217&lt;= 21, S3217=10), N3217-11)</f>
        <v>11</v>
      </c>
    </row>
    <row r="3218" spans="1:22" x14ac:dyDescent="0.35">
      <c r="A3218" s="4">
        <v>45574</v>
      </c>
      <c r="B3218" s="5">
        <v>0.13569444444444445</v>
      </c>
      <c r="C3218">
        <v>67.7</v>
      </c>
      <c r="D3218">
        <v>67</v>
      </c>
      <c r="E3218">
        <v>69.099999999999994</v>
      </c>
      <c r="F3218">
        <v>67.7</v>
      </c>
      <c r="G3218">
        <v>0</v>
      </c>
      <c r="H3218">
        <v>0</v>
      </c>
      <c r="I3218">
        <v>0</v>
      </c>
      <c r="J3218">
        <v>0</v>
      </c>
      <c r="K3218">
        <v>61.6</v>
      </c>
      <c r="L3218">
        <v>61.6</v>
      </c>
      <c r="M3218">
        <v>67.89</v>
      </c>
      <c r="N3218">
        <v>9</v>
      </c>
      <c r="O3218">
        <v>1</v>
      </c>
      <c r="P3218">
        <f>MOD(DAY(datos_siembra[[#This Row],[Date]]),7)</f>
        <v>2</v>
      </c>
      <c r="Q3218" t="str">
        <f>CHOOSE(WEEKDAY(datos_siembra[[#This Row],[Date]],2),"L","M","X","J","V","S","D")</f>
        <v>X</v>
      </c>
      <c r="R3218">
        <f>WEEKNUM(datos_siembra[[#This Row],[Date]],2)-WEEKNUM(DATE(YEAR(datos_siembra[[#This Row],[Date]]),MONTH(datos_siembra[[#This Row],[Date]]),1))+1</f>
        <v>2</v>
      </c>
      <c r="S3218">
        <f>MONTH(datos_siembra[[#This Row],[Date]])</f>
        <v>10</v>
      </c>
      <c r="T3218" t="str" cm="1">
        <f t="array" ref="T3218">_xlfn.IFS(AND(N3218&lt;= 22, S3218=9), "SOWING",AND(N3218&lt;= 28, S3218=9), "COVERAGE",AND(N3218&lt;= 30, S3218=9), "FLUSH",AND(N3218&lt;= 11, S3218=10), "FLUSH",AND(N3218&lt;= 21, S3218=10), "PRODUCTION")</f>
        <v>FLUSH</v>
      </c>
      <c r="U3218">
        <f>HOUR(datos_siembra[[#This Row],[Hour]])</f>
        <v>3</v>
      </c>
      <c r="V3218" cm="1">
        <f t="array" ref="V3218">_xlfn.IFS(AND(N3218&lt;= 22, S3218=9), N3218-7,AND(N3218&lt;= 28, S3218=9), N3218-25,AND(N3218&lt;= 30, S3218=9), N3218-28,AND(N3218&lt;= 11, S3218=10), N3218+2,AND(N3218&lt;= 21, S3218=10), N3218-11)</f>
        <v>11</v>
      </c>
    </row>
    <row r="3219" spans="1:22" x14ac:dyDescent="0.35">
      <c r="A3219" s="4">
        <v>45574</v>
      </c>
      <c r="B3219" s="5">
        <v>0.14265046296296297</v>
      </c>
      <c r="C3219">
        <v>67.8</v>
      </c>
      <c r="D3219">
        <v>66.900000000000006</v>
      </c>
      <c r="E3219">
        <v>69</v>
      </c>
      <c r="F3219">
        <v>67.7</v>
      </c>
      <c r="G3219">
        <v>0</v>
      </c>
      <c r="H3219">
        <v>0</v>
      </c>
      <c r="I3219">
        <v>0</v>
      </c>
      <c r="J3219">
        <v>0</v>
      </c>
      <c r="K3219">
        <v>61.7</v>
      </c>
      <c r="L3219">
        <v>61.6</v>
      </c>
      <c r="M3219">
        <v>67.86</v>
      </c>
      <c r="N3219">
        <v>9</v>
      </c>
      <c r="O3219">
        <v>1</v>
      </c>
      <c r="P3219">
        <f>MOD(DAY(datos_siembra[[#This Row],[Date]]),7)</f>
        <v>2</v>
      </c>
      <c r="Q3219" t="str">
        <f>CHOOSE(WEEKDAY(datos_siembra[[#This Row],[Date]],2),"L","M","X","J","V","S","D")</f>
        <v>X</v>
      </c>
      <c r="R3219">
        <f>WEEKNUM(datos_siembra[[#This Row],[Date]],2)-WEEKNUM(DATE(YEAR(datos_siembra[[#This Row],[Date]]),MONTH(datos_siembra[[#This Row],[Date]]),1))+1</f>
        <v>2</v>
      </c>
      <c r="S3219">
        <f>MONTH(datos_siembra[[#This Row],[Date]])</f>
        <v>10</v>
      </c>
      <c r="T3219" t="str" cm="1">
        <f t="array" ref="T3219">_xlfn.IFS(AND(N3219&lt;= 22, S3219=9), "SOWING",AND(N3219&lt;= 28, S3219=9), "COVERAGE",AND(N3219&lt;= 30, S3219=9), "FLUSH",AND(N3219&lt;= 11, S3219=10), "FLUSH",AND(N3219&lt;= 21, S3219=10), "PRODUCTION")</f>
        <v>FLUSH</v>
      </c>
      <c r="U3219">
        <f>HOUR(datos_siembra[[#This Row],[Hour]])</f>
        <v>3</v>
      </c>
      <c r="V3219" cm="1">
        <f t="array" ref="V3219">_xlfn.IFS(AND(N3219&lt;= 22, S3219=9), N3219-7,AND(N3219&lt;= 28, S3219=9), N3219-25,AND(N3219&lt;= 30, S3219=9), N3219-28,AND(N3219&lt;= 11, S3219=10), N3219+2,AND(N3219&lt;= 21, S3219=10), N3219-11)</f>
        <v>11</v>
      </c>
    </row>
    <row r="3220" spans="1:22" x14ac:dyDescent="0.35">
      <c r="A3220" s="4">
        <v>45574</v>
      </c>
      <c r="B3220" s="5">
        <v>0.14959490740740741</v>
      </c>
      <c r="C3220">
        <v>67.8</v>
      </c>
      <c r="D3220">
        <v>67</v>
      </c>
      <c r="E3220">
        <v>69.099999999999994</v>
      </c>
      <c r="F3220">
        <v>67.7</v>
      </c>
      <c r="G3220">
        <v>0</v>
      </c>
      <c r="H3220">
        <v>0</v>
      </c>
      <c r="I3220">
        <v>0</v>
      </c>
      <c r="J3220">
        <v>0</v>
      </c>
      <c r="K3220">
        <v>61.6</v>
      </c>
      <c r="L3220">
        <v>61.5</v>
      </c>
      <c r="M3220">
        <v>67.8</v>
      </c>
      <c r="N3220">
        <v>9</v>
      </c>
      <c r="O3220">
        <v>1</v>
      </c>
      <c r="P3220">
        <f>MOD(DAY(datos_siembra[[#This Row],[Date]]),7)</f>
        <v>2</v>
      </c>
      <c r="Q3220" t="str">
        <f>CHOOSE(WEEKDAY(datos_siembra[[#This Row],[Date]],2),"L","M","X","J","V","S","D")</f>
        <v>X</v>
      </c>
      <c r="R3220">
        <f>WEEKNUM(datos_siembra[[#This Row],[Date]],2)-WEEKNUM(DATE(YEAR(datos_siembra[[#This Row],[Date]]),MONTH(datos_siembra[[#This Row],[Date]]),1))+1</f>
        <v>2</v>
      </c>
      <c r="S3220">
        <f>MONTH(datos_siembra[[#This Row],[Date]])</f>
        <v>10</v>
      </c>
      <c r="T3220" t="str" cm="1">
        <f t="array" ref="T3220">_xlfn.IFS(AND(N3220&lt;= 22, S3220=9), "SOWING",AND(N3220&lt;= 28, S3220=9), "COVERAGE",AND(N3220&lt;= 30, S3220=9), "FLUSH",AND(N3220&lt;= 11, S3220=10), "FLUSH",AND(N3220&lt;= 21, S3220=10), "PRODUCTION")</f>
        <v>FLUSH</v>
      </c>
      <c r="U3220">
        <f>HOUR(datos_siembra[[#This Row],[Hour]])</f>
        <v>3</v>
      </c>
      <c r="V3220" cm="1">
        <f t="array" ref="V3220">_xlfn.IFS(AND(N3220&lt;= 22, S3220=9), N3220-7,AND(N3220&lt;= 28, S3220=9), N3220-25,AND(N3220&lt;= 30, S3220=9), N3220-28,AND(N3220&lt;= 11, S3220=10), N3220+2,AND(N3220&lt;= 21, S3220=10), N3220-11)</f>
        <v>11</v>
      </c>
    </row>
    <row r="3221" spans="1:22" x14ac:dyDescent="0.35">
      <c r="A3221" s="4">
        <v>45574</v>
      </c>
      <c r="B3221" s="5">
        <v>0.15653935185185186</v>
      </c>
      <c r="C3221">
        <v>67.8</v>
      </c>
      <c r="D3221">
        <v>66.900000000000006</v>
      </c>
      <c r="E3221">
        <v>69.099999999999994</v>
      </c>
      <c r="F3221">
        <v>67.599999999999994</v>
      </c>
      <c r="G3221">
        <v>0</v>
      </c>
      <c r="H3221">
        <v>0</v>
      </c>
      <c r="I3221">
        <v>0</v>
      </c>
      <c r="J3221">
        <v>0</v>
      </c>
      <c r="K3221">
        <v>61.5</v>
      </c>
      <c r="L3221">
        <v>61.5</v>
      </c>
      <c r="M3221">
        <v>67.86</v>
      </c>
      <c r="N3221">
        <v>9</v>
      </c>
      <c r="O3221">
        <v>1</v>
      </c>
      <c r="P3221">
        <f>MOD(DAY(datos_siembra[[#This Row],[Date]]),7)</f>
        <v>2</v>
      </c>
      <c r="Q3221" t="str">
        <f>CHOOSE(WEEKDAY(datos_siembra[[#This Row],[Date]],2),"L","M","X","J","V","S","D")</f>
        <v>X</v>
      </c>
      <c r="R3221">
        <f>WEEKNUM(datos_siembra[[#This Row],[Date]],2)-WEEKNUM(DATE(YEAR(datos_siembra[[#This Row],[Date]]),MONTH(datos_siembra[[#This Row],[Date]]),1))+1</f>
        <v>2</v>
      </c>
      <c r="S3221">
        <f>MONTH(datos_siembra[[#This Row],[Date]])</f>
        <v>10</v>
      </c>
      <c r="T3221" t="str" cm="1">
        <f t="array" ref="T3221">_xlfn.IFS(AND(N3221&lt;= 22, S3221=9), "SOWING",AND(N3221&lt;= 28, S3221=9), "COVERAGE",AND(N3221&lt;= 30, S3221=9), "FLUSH",AND(N3221&lt;= 11, S3221=10), "FLUSH",AND(N3221&lt;= 21, S3221=10), "PRODUCTION")</f>
        <v>FLUSH</v>
      </c>
      <c r="U3221">
        <f>HOUR(datos_siembra[[#This Row],[Hour]])</f>
        <v>3</v>
      </c>
      <c r="V3221" cm="1">
        <f t="array" ref="V3221">_xlfn.IFS(AND(N3221&lt;= 22, S3221=9), N3221-7,AND(N3221&lt;= 28, S3221=9), N3221-25,AND(N3221&lt;= 30, S3221=9), N3221-28,AND(N3221&lt;= 11, S3221=10), N3221+2,AND(N3221&lt;= 21, S3221=10), N3221-11)</f>
        <v>11</v>
      </c>
    </row>
    <row r="3222" spans="1:22" x14ac:dyDescent="0.35">
      <c r="A3222" s="4">
        <v>45574</v>
      </c>
      <c r="B3222" s="5">
        <v>0.16348379629629631</v>
      </c>
      <c r="C3222">
        <v>67.599999999999994</v>
      </c>
      <c r="D3222">
        <v>67</v>
      </c>
      <c r="E3222">
        <v>69.099999999999994</v>
      </c>
      <c r="F3222">
        <v>67.400000000000006</v>
      </c>
      <c r="G3222">
        <v>0</v>
      </c>
      <c r="H3222">
        <v>0</v>
      </c>
      <c r="I3222">
        <v>0</v>
      </c>
      <c r="J3222">
        <v>0</v>
      </c>
      <c r="K3222">
        <v>61.4</v>
      </c>
      <c r="L3222">
        <v>61.4</v>
      </c>
      <c r="M3222">
        <v>67.8</v>
      </c>
      <c r="N3222">
        <v>9</v>
      </c>
      <c r="O3222">
        <v>1</v>
      </c>
      <c r="P3222">
        <f>MOD(DAY(datos_siembra[[#This Row],[Date]]),7)</f>
        <v>2</v>
      </c>
      <c r="Q3222" t="str">
        <f>CHOOSE(WEEKDAY(datos_siembra[[#This Row],[Date]],2),"L","M","X","J","V","S","D")</f>
        <v>X</v>
      </c>
      <c r="R3222">
        <f>WEEKNUM(datos_siembra[[#This Row],[Date]],2)-WEEKNUM(DATE(YEAR(datos_siembra[[#This Row],[Date]]),MONTH(datos_siembra[[#This Row],[Date]]),1))+1</f>
        <v>2</v>
      </c>
      <c r="S3222">
        <f>MONTH(datos_siembra[[#This Row],[Date]])</f>
        <v>10</v>
      </c>
      <c r="T3222" t="str" cm="1">
        <f t="array" ref="T3222">_xlfn.IFS(AND(N3222&lt;= 22, S3222=9), "SOWING",AND(N3222&lt;= 28, S3222=9), "COVERAGE",AND(N3222&lt;= 30, S3222=9), "FLUSH",AND(N3222&lt;= 11, S3222=10), "FLUSH",AND(N3222&lt;= 21, S3222=10), "PRODUCTION")</f>
        <v>FLUSH</v>
      </c>
      <c r="U3222">
        <f>HOUR(datos_siembra[[#This Row],[Hour]])</f>
        <v>3</v>
      </c>
      <c r="V3222" cm="1">
        <f t="array" ref="V3222">_xlfn.IFS(AND(N3222&lt;= 22, S3222=9), N3222-7,AND(N3222&lt;= 28, S3222=9), N3222-25,AND(N3222&lt;= 30, S3222=9), N3222-28,AND(N3222&lt;= 11, S3222=10), N3222+2,AND(N3222&lt;= 21, S3222=10), N3222-11)</f>
        <v>11</v>
      </c>
    </row>
    <row r="3223" spans="1:22" x14ac:dyDescent="0.35">
      <c r="A3223" s="4">
        <v>45574</v>
      </c>
      <c r="B3223" s="5">
        <v>0.17043981481481482</v>
      </c>
      <c r="C3223">
        <v>67.8</v>
      </c>
      <c r="D3223">
        <v>66.8</v>
      </c>
      <c r="E3223">
        <v>69.099999999999994</v>
      </c>
      <c r="F3223">
        <v>67.599999999999994</v>
      </c>
      <c r="G3223">
        <v>0</v>
      </c>
      <c r="H3223">
        <v>0</v>
      </c>
      <c r="I3223">
        <v>0</v>
      </c>
      <c r="J3223">
        <v>0</v>
      </c>
      <c r="K3223">
        <v>61.4</v>
      </c>
      <c r="L3223">
        <v>61.4</v>
      </c>
      <c r="M3223">
        <v>67.8</v>
      </c>
      <c r="N3223">
        <v>9</v>
      </c>
      <c r="O3223">
        <v>1</v>
      </c>
      <c r="P3223">
        <f>MOD(DAY(datos_siembra[[#This Row],[Date]]),7)</f>
        <v>2</v>
      </c>
      <c r="Q3223" t="str">
        <f>CHOOSE(WEEKDAY(datos_siembra[[#This Row],[Date]],2),"L","M","X","J","V","S","D")</f>
        <v>X</v>
      </c>
      <c r="R3223">
        <f>WEEKNUM(datos_siembra[[#This Row],[Date]],2)-WEEKNUM(DATE(YEAR(datos_siembra[[#This Row],[Date]]),MONTH(datos_siembra[[#This Row],[Date]]),1))+1</f>
        <v>2</v>
      </c>
      <c r="S3223">
        <f>MONTH(datos_siembra[[#This Row],[Date]])</f>
        <v>10</v>
      </c>
      <c r="T3223" t="str" cm="1">
        <f t="array" ref="T3223">_xlfn.IFS(AND(N3223&lt;= 22, S3223=9), "SOWING",AND(N3223&lt;= 28, S3223=9), "COVERAGE",AND(N3223&lt;= 30, S3223=9), "FLUSH",AND(N3223&lt;= 11, S3223=10), "FLUSH",AND(N3223&lt;= 21, S3223=10), "PRODUCTION")</f>
        <v>FLUSH</v>
      </c>
      <c r="U3223">
        <f>HOUR(datos_siembra[[#This Row],[Hour]])</f>
        <v>4</v>
      </c>
      <c r="V3223" cm="1">
        <f t="array" ref="V3223">_xlfn.IFS(AND(N3223&lt;= 22, S3223=9), N3223-7,AND(N3223&lt;= 28, S3223=9), N3223-25,AND(N3223&lt;= 30, S3223=9), N3223-28,AND(N3223&lt;= 11, S3223=10), N3223+2,AND(N3223&lt;= 21, S3223=10), N3223-11)</f>
        <v>11</v>
      </c>
    </row>
    <row r="3224" spans="1:22" x14ac:dyDescent="0.35">
      <c r="A3224" s="4">
        <v>45574</v>
      </c>
      <c r="B3224" s="5">
        <v>0.17738425925925927</v>
      </c>
      <c r="C3224">
        <v>67.8</v>
      </c>
      <c r="D3224">
        <v>67</v>
      </c>
      <c r="E3224">
        <v>68.900000000000006</v>
      </c>
      <c r="F3224">
        <v>67.7</v>
      </c>
      <c r="G3224">
        <v>0</v>
      </c>
      <c r="H3224">
        <v>0</v>
      </c>
      <c r="I3224">
        <v>0</v>
      </c>
      <c r="J3224">
        <v>0</v>
      </c>
      <c r="K3224">
        <v>61.4</v>
      </c>
      <c r="L3224">
        <v>61.2</v>
      </c>
      <c r="M3224">
        <v>67.83</v>
      </c>
      <c r="N3224">
        <v>9</v>
      </c>
      <c r="O3224">
        <v>1</v>
      </c>
      <c r="P3224">
        <f>MOD(DAY(datos_siembra[[#This Row],[Date]]),7)</f>
        <v>2</v>
      </c>
      <c r="Q3224" t="str">
        <f>CHOOSE(WEEKDAY(datos_siembra[[#This Row],[Date]],2),"L","M","X","J","V","S","D")</f>
        <v>X</v>
      </c>
      <c r="R3224">
        <f>WEEKNUM(datos_siembra[[#This Row],[Date]],2)-WEEKNUM(DATE(YEAR(datos_siembra[[#This Row],[Date]]),MONTH(datos_siembra[[#This Row],[Date]]),1))+1</f>
        <v>2</v>
      </c>
      <c r="S3224">
        <f>MONTH(datos_siembra[[#This Row],[Date]])</f>
        <v>10</v>
      </c>
      <c r="T3224" t="str" cm="1">
        <f t="array" ref="T3224">_xlfn.IFS(AND(N3224&lt;= 22, S3224=9), "SOWING",AND(N3224&lt;= 28, S3224=9), "COVERAGE",AND(N3224&lt;= 30, S3224=9), "FLUSH",AND(N3224&lt;= 11, S3224=10), "FLUSH",AND(N3224&lt;= 21, S3224=10), "PRODUCTION")</f>
        <v>FLUSH</v>
      </c>
      <c r="U3224">
        <f>HOUR(datos_siembra[[#This Row],[Hour]])</f>
        <v>4</v>
      </c>
      <c r="V3224" cm="1">
        <f t="array" ref="V3224">_xlfn.IFS(AND(N3224&lt;= 22, S3224=9), N3224-7,AND(N3224&lt;= 28, S3224=9), N3224-25,AND(N3224&lt;= 30, S3224=9), N3224-28,AND(N3224&lt;= 11, S3224=10), N3224+2,AND(N3224&lt;= 21, S3224=10), N3224-11)</f>
        <v>11</v>
      </c>
    </row>
    <row r="3225" spans="1:22" x14ac:dyDescent="0.35">
      <c r="A3225" s="4">
        <v>45574</v>
      </c>
      <c r="B3225" s="5">
        <v>0.18432870370370372</v>
      </c>
      <c r="C3225">
        <v>67.7</v>
      </c>
      <c r="D3225">
        <v>67</v>
      </c>
      <c r="E3225">
        <v>69</v>
      </c>
      <c r="F3225">
        <v>67.400000000000006</v>
      </c>
      <c r="G3225">
        <v>0</v>
      </c>
      <c r="H3225">
        <v>0</v>
      </c>
      <c r="I3225">
        <v>0</v>
      </c>
      <c r="J3225">
        <v>0</v>
      </c>
      <c r="K3225">
        <v>61.4</v>
      </c>
      <c r="L3225">
        <v>61.2</v>
      </c>
      <c r="M3225">
        <v>67.77</v>
      </c>
      <c r="N3225">
        <v>9</v>
      </c>
      <c r="O3225">
        <v>1</v>
      </c>
      <c r="P3225">
        <f>MOD(DAY(datos_siembra[[#This Row],[Date]]),7)</f>
        <v>2</v>
      </c>
      <c r="Q3225" t="str">
        <f>CHOOSE(WEEKDAY(datos_siembra[[#This Row],[Date]],2),"L","M","X","J","V","S","D")</f>
        <v>X</v>
      </c>
      <c r="R3225">
        <f>WEEKNUM(datos_siembra[[#This Row],[Date]],2)-WEEKNUM(DATE(YEAR(datos_siembra[[#This Row],[Date]]),MONTH(datos_siembra[[#This Row],[Date]]),1))+1</f>
        <v>2</v>
      </c>
      <c r="S3225">
        <f>MONTH(datos_siembra[[#This Row],[Date]])</f>
        <v>10</v>
      </c>
      <c r="T3225" t="str" cm="1">
        <f t="array" ref="T3225">_xlfn.IFS(AND(N3225&lt;= 22, S3225=9), "SOWING",AND(N3225&lt;= 28, S3225=9), "COVERAGE",AND(N3225&lt;= 30, S3225=9), "FLUSH",AND(N3225&lt;= 11, S3225=10), "FLUSH",AND(N3225&lt;= 21, S3225=10), "PRODUCTION")</f>
        <v>FLUSH</v>
      </c>
      <c r="U3225">
        <f>HOUR(datos_siembra[[#This Row],[Hour]])</f>
        <v>4</v>
      </c>
      <c r="V3225" cm="1">
        <f t="array" ref="V3225">_xlfn.IFS(AND(N3225&lt;= 22, S3225=9), N3225-7,AND(N3225&lt;= 28, S3225=9), N3225-25,AND(N3225&lt;= 30, S3225=9), N3225-28,AND(N3225&lt;= 11, S3225=10), N3225+2,AND(N3225&lt;= 21, S3225=10), N3225-11)</f>
        <v>11</v>
      </c>
    </row>
    <row r="3226" spans="1:22" x14ac:dyDescent="0.35">
      <c r="A3226" s="4">
        <v>45574</v>
      </c>
      <c r="B3226" s="5">
        <v>0.19127314814814814</v>
      </c>
      <c r="C3226">
        <v>67.599999999999994</v>
      </c>
      <c r="D3226">
        <v>66.8</v>
      </c>
      <c r="E3226">
        <v>69</v>
      </c>
      <c r="F3226">
        <v>67.599999999999994</v>
      </c>
      <c r="G3226">
        <v>0</v>
      </c>
      <c r="H3226">
        <v>0</v>
      </c>
      <c r="I3226">
        <v>0</v>
      </c>
      <c r="J3226">
        <v>0</v>
      </c>
      <c r="K3226">
        <v>61.2</v>
      </c>
      <c r="L3226">
        <v>61.2</v>
      </c>
      <c r="M3226">
        <v>67.75</v>
      </c>
      <c r="N3226">
        <v>9</v>
      </c>
      <c r="O3226">
        <v>1</v>
      </c>
      <c r="P3226">
        <f>MOD(DAY(datos_siembra[[#This Row],[Date]]),7)</f>
        <v>2</v>
      </c>
      <c r="Q3226" t="str">
        <f>CHOOSE(WEEKDAY(datos_siembra[[#This Row],[Date]],2),"L","M","X","J","V","S","D")</f>
        <v>X</v>
      </c>
      <c r="R3226">
        <f>WEEKNUM(datos_siembra[[#This Row],[Date]],2)-WEEKNUM(DATE(YEAR(datos_siembra[[#This Row],[Date]]),MONTH(datos_siembra[[#This Row],[Date]]),1))+1</f>
        <v>2</v>
      </c>
      <c r="S3226">
        <f>MONTH(datos_siembra[[#This Row],[Date]])</f>
        <v>10</v>
      </c>
      <c r="T3226" t="str" cm="1">
        <f t="array" ref="T3226">_xlfn.IFS(AND(N3226&lt;= 22, S3226=9), "SOWING",AND(N3226&lt;= 28, S3226=9), "COVERAGE",AND(N3226&lt;= 30, S3226=9), "FLUSH",AND(N3226&lt;= 11, S3226=10), "FLUSH",AND(N3226&lt;= 21, S3226=10), "PRODUCTION")</f>
        <v>FLUSH</v>
      </c>
      <c r="U3226">
        <f>HOUR(datos_siembra[[#This Row],[Hour]])</f>
        <v>4</v>
      </c>
      <c r="V3226" cm="1">
        <f t="array" ref="V3226">_xlfn.IFS(AND(N3226&lt;= 22, S3226=9), N3226-7,AND(N3226&lt;= 28, S3226=9), N3226-25,AND(N3226&lt;= 30, S3226=9), N3226-28,AND(N3226&lt;= 11, S3226=10), N3226+2,AND(N3226&lt;= 21, S3226=10), N3226-11)</f>
        <v>11</v>
      </c>
    </row>
    <row r="3227" spans="1:22" x14ac:dyDescent="0.35">
      <c r="A3227" s="4">
        <v>45574</v>
      </c>
      <c r="B3227" s="5">
        <v>0.19822916666666668</v>
      </c>
      <c r="C3227">
        <v>67.7</v>
      </c>
      <c r="D3227">
        <v>67</v>
      </c>
      <c r="E3227">
        <v>68.900000000000006</v>
      </c>
      <c r="F3227">
        <v>67.599999999999994</v>
      </c>
      <c r="G3227">
        <v>0</v>
      </c>
      <c r="H3227">
        <v>0</v>
      </c>
      <c r="I3227">
        <v>0</v>
      </c>
      <c r="J3227">
        <v>0</v>
      </c>
      <c r="K3227">
        <v>61.2</v>
      </c>
      <c r="L3227">
        <v>61.2</v>
      </c>
      <c r="M3227">
        <v>67.83</v>
      </c>
      <c r="N3227">
        <v>9</v>
      </c>
      <c r="O3227">
        <v>1</v>
      </c>
      <c r="P3227">
        <f>MOD(DAY(datos_siembra[[#This Row],[Date]]),7)</f>
        <v>2</v>
      </c>
      <c r="Q3227" t="str">
        <f>CHOOSE(WEEKDAY(datos_siembra[[#This Row],[Date]],2),"L","M","X","J","V","S","D")</f>
        <v>X</v>
      </c>
      <c r="R3227">
        <f>WEEKNUM(datos_siembra[[#This Row],[Date]],2)-WEEKNUM(DATE(YEAR(datos_siembra[[#This Row],[Date]]),MONTH(datos_siembra[[#This Row],[Date]]),1))+1</f>
        <v>2</v>
      </c>
      <c r="S3227">
        <f>MONTH(datos_siembra[[#This Row],[Date]])</f>
        <v>10</v>
      </c>
      <c r="T3227" t="str" cm="1">
        <f t="array" ref="T3227">_xlfn.IFS(AND(N3227&lt;= 22, S3227=9), "SOWING",AND(N3227&lt;= 28, S3227=9), "COVERAGE",AND(N3227&lt;= 30, S3227=9), "FLUSH",AND(N3227&lt;= 11, S3227=10), "FLUSH",AND(N3227&lt;= 21, S3227=10), "PRODUCTION")</f>
        <v>FLUSH</v>
      </c>
      <c r="U3227">
        <f>HOUR(datos_siembra[[#This Row],[Hour]])</f>
        <v>4</v>
      </c>
      <c r="V3227" cm="1">
        <f t="array" ref="V3227">_xlfn.IFS(AND(N3227&lt;= 22, S3227=9), N3227-7,AND(N3227&lt;= 28, S3227=9), N3227-25,AND(N3227&lt;= 30, S3227=9), N3227-28,AND(N3227&lt;= 11, S3227=10), N3227+2,AND(N3227&lt;= 21, S3227=10), N3227-11)</f>
        <v>11</v>
      </c>
    </row>
    <row r="3228" spans="1:22" x14ac:dyDescent="0.35">
      <c r="A3228" s="4">
        <v>45574</v>
      </c>
      <c r="B3228" s="5">
        <v>0.2051736111111111</v>
      </c>
      <c r="C3228">
        <v>67.7</v>
      </c>
      <c r="D3228">
        <v>66.900000000000006</v>
      </c>
      <c r="E3228">
        <v>69.2</v>
      </c>
      <c r="F3228">
        <v>67.400000000000006</v>
      </c>
      <c r="G3228">
        <v>0</v>
      </c>
      <c r="H3228">
        <v>0</v>
      </c>
      <c r="I3228">
        <v>0</v>
      </c>
      <c r="J3228">
        <v>0</v>
      </c>
      <c r="K3228">
        <v>61.2</v>
      </c>
      <c r="L3228">
        <v>61.1</v>
      </c>
      <c r="M3228">
        <v>67.75</v>
      </c>
      <c r="N3228">
        <v>9</v>
      </c>
      <c r="O3228">
        <v>1</v>
      </c>
      <c r="P3228">
        <f>MOD(DAY(datos_siembra[[#This Row],[Date]]),7)</f>
        <v>2</v>
      </c>
      <c r="Q3228" t="str">
        <f>CHOOSE(WEEKDAY(datos_siembra[[#This Row],[Date]],2),"L","M","X","J","V","S","D")</f>
        <v>X</v>
      </c>
      <c r="R3228">
        <f>WEEKNUM(datos_siembra[[#This Row],[Date]],2)-WEEKNUM(DATE(YEAR(datos_siembra[[#This Row],[Date]]),MONTH(datos_siembra[[#This Row],[Date]]),1))+1</f>
        <v>2</v>
      </c>
      <c r="S3228">
        <f>MONTH(datos_siembra[[#This Row],[Date]])</f>
        <v>10</v>
      </c>
      <c r="T3228" t="str" cm="1">
        <f t="array" ref="T3228">_xlfn.IFS(AND(N3228&lt;= 22, S3228=9), "SOWING",AND(N3228&lt;= 28, S3228=9), "COVERAGE",AND(N3228&lt;= 30, S3228=9), "FLUSH",AND(N3228&lt;= 11, S3228=10), "FLUSH",AND(N3228&lt;= 21, S3228=10), "PRODUCTION")</f>
        <v>FLUSH</v>
      </c>
      <c r="U3228">
        <f>HOUR(datos_siembra[[#This Row],[Hour]])</f>
        <v>4</v>
      </c>
      <c r="V3228" cm="1">
        <f t="array" ref="V3228">_xlfn.IFS(AND(N3228&lt;= 22, S3228=9), N3228-7,AND(N3228&lt;= 28, S3228=9), N3228-25,AND(N3228&lt;= 30, S3228=9), N3228-28,AND(N3228&lt;= 11, S3228=10), N3228+2,AND(N3228&lt;= 21, S3228=10), N3228-11)</f>
        <v>11</v>
      </c>
    </row>
    <row r="3229" spans="1:22" x14ac:dyDescent="0.35">
      <c r="A3229" s="4">
        <v>45574</v>
      </c>
      <c r="B3229" s="5">
        <v>0.21211805555555555</v>
      </c>
      <c r="C3229">
        <v>67.8</v>
      </c>
      <c r="D3229">
        <v>66.900000000000006</v>
      </c>
      <c r="E3229">
        <v>69</v>
      </c>
      <c r="F3229">
        <v>67.400000000000006</v>
      </c>
      <c r="G3229">
        <v>0</v>
      </c>
      <c r="H3229">
        <v>0</v>
      </c>
      <c r="I3229">
        <v>0</v>
      </c>
      <c r="J3229">
        <v>0</v>
      </c>
      <c r="K3229">
        <v>61.1</v>
      </c>
      <c r="L3229">
        <v>61</v>
      </c>
      <c r="M3229">
        <v>67.77</v>
      </c>
      <c r="N3229">
        <v>9</v>
      </c>
      <c r="O3229">
        <v>1</v>
      </c>
      <c r="P3229">
        <f>MOD(DAY(datos_siembra[[#This Row],[Date]]),7)</f>
        <v>2</v>
      </c>
      <c r="Q3229" t="str">
        <f>CHOOSE(WEEKDAY(datos_siembra[[#This Row],[Date]],2),"L","M","X","J","V","S","D")</f>
        <v>X</v>
      </c>
      <c r="R3229">
        <f>WEEKNUM(datos_siembra[[#This Row],[Date]],2)-WEEKNUM(DATE(YEAR(datos_siembra[[#This Row],[Date]]),MONTH(datos_siembra[[#This Row],[Date]]),1))+1</f>
        <v>2</v>
      </c>
      <c r="S3229">
        <f>MONTH(datos_siembra[[#This Row],[Date]])</f>
        <v>10</v>
      </c>
      <c r="T3229" t="str" cm="1">
        <f t="array" ref="T3229">_xlfn.IFS(AND(N3229&lt;= 22, S3229=9), "SOWING",AND(N3229&lt;= 28, S3229=9), "COVERAGE",AND(N3229&lt;= 30, S3229=9), "FLUSH",AND(N3229&lt;= 11, S3229=10), "FLUSH",AND(N3229&lt;= 21, S3229=10), "PRODUCTION")</f>
        <v>FLUSH</v>
      </c>
      <c r="U3229">
        <f>HOUR(datos_siembra[[#This Row],[Hour]])</f>
        <v>5</v>
      </c>
      <c r="V3229" cm="1">
        <f t="array" ref="V3229">_xlfn.IFS(AND(N3229&lt;= 22, S3229=9), N3229-7,AND(N3229&lt;= 28, S3229=9), N3229-25,AND(N3229&lt;= 30, S3229=9), N3229-28,AND(N3229&lt;= 11, S3229=10), N3229+2,AND(N3229&lt;= 21, S3229=10), N3229-11)</f>
        <v>11</v>
      </c>
    </row>
    <row r="3230" spans="1:22" x14ac:dyDescent="0.35">
      <c r="A3230" s="4">
        <v>45574</v>
      </c>
      <c r="B3230" s="5">
        <v>0.21907407407407409</v>
      </c>
      <c r="C3230">
        <v>67.7</v>
      </c>
      <c r="D3230">
        <v>66.8</v>
      </c>
      <c r="E3230">
        <v>68.900000000000006</v>
      </c>
      <c r="F3230">
        <v>67.599999999999994</v>
      </c>
      <c r="G3230">
        <v>0</v>
      </c>
      <c r="H3230">
        <v>0</v>
      </c>
      <c r="I3230">
        <v>0</v>
      </c>
      <c r="J3230">
        <v>0</v>
      </c>
      <c r="K3230">
        <v>61.1</v>
      </c>
      <c r="L3230">
        <v>61</v>
      </c>
      <c r="M3230">
        <v>67.77</v>
      </c>
      <c r="N3230">
        <v>9</v>
      </c>
      <c r="O3230">
        <v>1</v>
      </c>
      <c r="P3230">
        <f>MOD(DAY(datos_siembra[[#This Row],[Date]]),7)</f>
        <v>2</v>
      </c>
      <c r="Q3230" t="str">
        <f>CHOOSE(WEEKDAY(datos_siembra[[#This Row],[Date]],2),"L","M","X","J","V","S","D")</f>
        <v>X</v>
      </c>
      <c r="R3230">
        <f>WEEKNUM(datos_siembra[[#This Row],[Date]],2)-WEEKNUM(DATE(YEAR(datos_siembra[[#This Row],[Date]]),MONTH(datos_siembra[[#This Row],[Date]]),1))+1</f>
        <v>2</v>
      </c>
      <c r="S3230">
        <f>MONTH(datos_siembra[[#This Row],[Date]])</f>
        <v>10</v>
      </c>
      <c r="T3230" t="str" cm="1">
        <f t="array" ref="T3230">_xlfn.IFS(AND(N3230&lt;= 22, S3230=9), "SOWING",AND(N3230&lt;= 28, S3230=9), "COVERAGE",AND(N3230&lt;= 30, S3230=9), "FLUSH",AND(N3230&lt;= 11, S3230=10), "FLUSH",AND(N3230&lt;= 21, S3230=10), "PRODUCTION")</f>
        <v>FLUSH</v>
      </c>
      <c r="U3230">
        <f>HOUR(datos_siembra[[#This Row],[Hour]])</f>
        <v>5</v>
      </c>
      <c r="V3230" cm="1">
        <f t="array" ref="V3230">_xlfn.IFS(AND(N3230&lt;= 22, S3230=9), N3230-7,AND(N3230&lt;= 28, S3230=9), N3230-25,AND(N3230&lt;= 30, S3230=9), N3230-28,AND(N3230&lt;= 11, S3230=10), N3230+2,AND(N3230&lt;= 21, S3230=10), N3230-11)</f>
        <v>11</v>
      </c>
    </row>
    <row r="3231" spans="1:22" x14ac:dyDescent="0.35">
      <c r="A3231" s="4">
        <v>45574</v>
      </c>
      <c r="B3231" s="5">
        <v>0.22601851851851851</v>
      </c>
      <c r="C3231">
        <v>67.7</v>
      </c>
      <c r="D3231">
        <v>66.900000000000006</v>
      </c>
      <c r="E3231">
        <v>68.900000000000006</v>
      </c>
      <c r="F3231">
        <v>67.400000000000006</v>
      </c>
      <c r="G3231">
        <v>0</v>
      </c>
      <c r="H3231">
        <v>0</v>
      </c>
      <c r="I3231">
        <v>0</v>
      </c>
      <c r="J3231">
        <v>0</v>
      </c>
      <c r="K3231">
        <v>61</v>
      </c>
      <c r="L3231">
        <v>61.1</v>
      </c>
      <c r="M3231">
        <v>67.8</v>
      </c>
      <c r="N3231">
        <v>9</v>
      </c>
      <c r="O3231">
        <v>1</v>
      </c>
      <c r="P3231">
        <f>MOD(DAY(datos_siembra[[#This Row],[Date]]),7)</f>
        <v>2</v>
      </c>
      <c r="Q3231" t="str">
        <f>CHOOSE(WEEKDAY(datos_siembra[[#This Row],[Date]],2),"L","M","X","J","V","S","D")</f>
        <v>X</v>
      </c>
      <c r="R3231">
        <f>WEEKNUM(datos_siembra[[#This Row],[Date]],2)-WEEKNUM(DATE(YEAR(datos_siembra[[#This Row],[Date]]),MONTH(datos_siembra[[#This Row],[Date]]),1))+1</f>
        <v>2</v>
      </c>
      <c r="S3231">
        <f>MONTH(datos_siembra[[#This Row],[Date]])</f>
        <v>10</v>
      </c>
      <c r="T3231" t="str" cm="1">
        <f t="array" ref="T3231">_xlfn.IFS(AND(N3231&lt;= 22, S3231=9), "SOWING",AND(N3231&lt;= 28, S3231=9), "COVERAGE",AND(N3231&lt;= 30, S3231=9), "FLUSH",AND(N3231&lt;= 11, S3231=10), "FLUSH",AND(N3231&lt;= 21, S3231=10), "PRODUCTION")</f>
        <v>FLUSH</v>
      </c>
      <c r="U3231">
        <f>HOUR(datos_siembra[[#This Row],[Hour]])</f>
        <v>5</v>
      </c>
      <c r="V3231" cm="1">
        <f t="array" ref="V3231">_xlfn.IFS(AND(N3231&lt;= 22, S3231=9), N3231-7,AND(N3231&lt;= 28, S3231=9), N3231-25,AND(N3231&lt;= 30, S3231=9), N3231-28,AND(N3231&lt;= 11, S3231=10), N3231+2,AND(N3231&lt;= 21, S3231=10), N3231-11)</f>
        <v>11</v>
      </c>
    </row>
    <row r="3232" spans="1:22" x14ac:dyDescent="0.35">
      <c r="A3232" s="4">
        <v>45574</v>
      </c>
      <c r="B3232" s="5">
        <v>0.23296296296296296</v>
      </c>
      <c r="C3232">
        <v>67.8</v>
      </c>
      <c r="D3232">
        <v>66.900000000000006</v>
      </c>
      <c r="E3232">
        <v>68.900000000000006</v>
      </c>
      <c r="F3232">
        <v>67.7</v>
      </c>
      <c r="G3232">
        <v>0</v>
      </c>
      <c r="H3232">
        <v>0</v>
      </c>
      <c r="I3232">
        <v>0</v>
      </c>
      <c r="J3232">
        <v>0</v>
      </c>
      <c r="K3232">
        <v>61</v>
      </c>
      <c r="L3232">
        <v>60.9</v>
      </c>
      <c r="M3232">
        <v>67.8</v>
      </c>
      <c r="N3232">
        <v>9</v>
      </c>
      <c r="O3232">
        <v>1</v>
      </c>
      <c r="P3232">
        <f>MOD(DAY(datos_siembra[[#This Row],[Date]]),7)</f>
        <v>2</v>
      </c>
      <c r="Q3232" t="str">
        <f>CHOOSE(WEEKDAY(datos_siembra[[#This Row],[Date]],2),"L","M","X","J","V","S","D")</f>
        <v>X</v>
      </c>
      <c r="R3232">
        <f>WEEKNUM(datos_siembra[[#This Row],[Date]],2)-WEEKNUM(DATE(YEAR(datos_siembra[[#This Row],[Date]]),MONTH(datos_siembra[[#This Row],[Date]]),1))+1</f>
        <v>2</v>
      </c>
      <c r="S3232">
        <f>MONTH(datos_siembra[[#This Row],[Date]])</f>
        <v>10</v>
      </c>
      <c r="T3232" t="str" cm="1">
        <f t="array" ref="T3232">_xlfn.IFS(AND(N3232&lt;= 22, S3232=9), "SOWING",AND(N3232&lt;= 28, S3232=9), "COVERAGE",AND(N3232&lt;= 30, S3232=9), "FLUSH",AND(N3232&lt;= 11, S3232=10), "FLUSH",AND(N3232&lt;= 21, S3232=10), "PRODUCTION")</f>
        <v>FLUSH</v>
      </c>
      <c r="U3232">
        <f>HOUR(datos_siembra[[#This Row],[Hour]])</f>
        <v>5</v>
      </c>
      <c r="V3232" cm="1">
        <f t="array" ref="V3232">_xlfn.IFS(AND(N3232&lt;= 22, S3232=9), N3232-7,AND(N3232&lt;= 28, S3232=9), N3232-25,AND(N3232&lt;= 30, S3232=9), N3232-28,AND(N3232&lt;= 11, S3232=10), N3232+2,AND(N3232&lt;= 21, S3232=10), N3232-11)</f>
        <v>11</v>
      </c>
    </row>
    <row r="3233" spans="1:22" x14ac:dyDescent="0.35">
      <c r="A3233" s="4">
        <v>45574</v>
      </c>
      <c r="B3233" s="5">
        <v>0.2399074074074074</v>
      </c>
      <c r="C3233">
        <v>67.7</v>
      </c>
      <c r="D3233">
        <v>66.900000000000006</v>
      </c>
      <c r="E3233">
        <v>69</v>
      </c>
      <c r="F3233">
        <v>67.599999999999994</v>
      </c>
      <c r="G3233">
        <v>0</v>
      </c>
      <c r="H3233">
        <v>0</v>
      </c>
      <c r="I3233">
        <v>0</v>
      </c>
      <c r="J3233">
        <v>0</v>
      </c>
      <c r="K3233">
        <v>61</v>
      </c>
      <c r="L3233">
        <v>60.9</v>
      </c>
      <c r="M3233">
        <v>67.8</v>
      </c>
      <c r="N3233">
        <v>9</v>
      </c>
      <c r="O3233">
        <v>1</v>
      </c>
      <c r="P3233">
        <f>MOD(DAY(datos_siembra[[#This Row],[Date]]),7)</f>
        <v>2</v>
      </c>
      <c r="Q3233" t="str">
        <f>CHOOSE(WEEKDAY(datos_siembra[[#This Row],[Date]],2),"L","M","X","J","V","S","D")</f>
        <v>X</v>
      </c>
      <c r="R3233">
        <f>WEEKNUM(datos_siembra[[#This Row],[Date]],2)-WEEKNUM(DATE(YEAR(datos_siembra[[#This Row],[Date]]),MONTH(datos_siembra[[#This Row],[Date]]),1))+1</f>
        <v>2</v>
      </c>
      <c r="S3233">
        <f>MONTH(datos_siembra[[#This Row],[Date]])</f>
        <v>10</v>
      </c>
      <c r="T3233" t="str" cm="1">
        <f t="array" ref="T3233">_xlfn.IFS(AND(N3233&lt;= 22, S3233=9), "SOWING",AND(N3233&lt;= 28, S3233=9), "COVERAGE",AND(N3233&lt;= 30, S3233=9), "FLUSH",AND(N3233&lt;= 11, S3233=10), "FLUSH",AND(N3233&lt;= 21, S3233=10), "PRODUCTION")</f>
        <v>FLUSH</v>
      </c>
      <c r="U3233">
        <f>HOUR(datos_siembra[[#This Row],[Hour]])</f>
        <v>5</v>
      </c>
      <c r="V3233" cm="1">
        <f t="array" ref="V3233">_xlfn.IFS(AND(N3233&lt;= 22, S3233=9), N3233-7,AND(N3233&lt;= 28, S3233=9), N3233-25,AND(N3233&lt;= 30, S3233=9), N3233-28,AND(N3233&lt;= 11, S3233=10), N3233+2,AND(N3233&lt;= 21, S3233=10), N3233-11)</f>
        <v>11</v>
      </c>
    </row>
    <row r="3234" spans="1:22" x14ac:dyDescent="0.35">
      <c r="A3234" s="4">
        <v>45574</v>
      </c>
      <c r="B3234" s="5">
        <v>0.24686342592592592</v>
      </c>
      <c r="C3234">
        <v>67.8</v>
      </c>
      <c r="D3234">
        <v>66.8</v>
      </c>
      <c r="E3234">
        <v>69</v>
      </c>
      <c r="F3234">
        <v>67.400000000000006</v>
      </c>
      <c r="G3234">
        <v>0</v>
      </c>
      <c r="H3234">
        <v>0</v>
      </c>
      <c r="I3234">
        <v>0</v>
      </c>
      <c r="J3234">
        <v>0</v>
      </c>
      <c r="K3234">
        <v>60.9</v>
      </c>
      <c r="L3234">
        <v>60.8</v>
      </c>
      <c r="M3234">
        <v>67.66</v>
      </c>
      <c r="N3234">
        <v>9</v>
      </c>
      <c r="O3234">
        <v>1</v>
      </c>
      <c r="P3234">
        <f>MOD(DAY(datos_siembra[[#This Row],[Date]]),7)</f>
        <v>2</v>
      </c>
      <c r="Q3234" t="str">
        <f>CHOOSE(WEEKDAY(datos_siembra[[#This Row],[Date]],2),"L","M","X","J","V","S","D")</f>
        <v>X</v>
      </c>
      <c r="R3234">
        <f>WEEKNUM(datos_siembra[[#This Row],[Date]],2)-WEEKNUM(DATE(YEAR(datos_siembra[[#This Row],[Date]]),MONTH(datos_siembra[[#This Row],[Date]]),1))+1</f>
        <v>2</v>
      </c>
      <c r="S3234">
        <f>MONTH(datos_siembra[[#This Row],[Date]])</f>
        <v>10</v>
      </c>
      <c r="T3234" t="str" cm="1">
        <f t="array" ref="T3234">_xlfn.IFS(AND(N3234&lt;= 22, S3234=9), "SOWING",AND(N3234&lt;= 28, S3234=9), "COVERAGE",AND(N3234&lt;= 30, S3234=9), "FLUSH",AND(N3234&lt;= 11, S3234=10), "FLUSH",AND(N3234&lt;= 21, S3234=10), "PRODUCTION")</f>
        <v>FLUSH</v>
      </c>
      <c r="U3234">
        <f>HOUR(datos_siembra[[#This Row],[Hour]])</f>
        <v>5</v>
      </c>
      <c r="V3234" cm="1">
        <f t="array" ref="V3234">_xlfn.IFS(AND(N3234&lt;= 22, S3234=9), N3234-7,AND(N3234&lt;= 28, S3234=9), N3234-25,AND(N3234&lt;= 30, S3234=9), N3234-28,AND(N3234&lt;= 11, S3234=10), N3234+2,AND(N3234&lt;= 21, S3234=10), N3234-11)</f>
        <v>11</v>
      </c>
    </row>
    <row r="3235" spans="1:22" x14ac:dyDescent="0.35">
      <c r="A3235" s="4">
        <v>45574</v>
      </c>
      <c r="B3235" s="5">
        <v>0.25380787037037039</v>
      </c>
      <c r="C3235">
        <v>67.8</v>
      </c>
      <c r="D3235">
        <v>66.8</v>
      </c>
      <c r="E3235">
        <v>69</v>
      </c>
      <c r="F3235">
        <v>67.599999999999994</v>
      </c>
      <c r="G3235">
        <v>0</v>
      </c>
      <c r="H3235">
        <v>0</v>
      </c>
      <c r="I3235">
        <v>0</v>
      </c>
      <c r="J3235">
        <v>0</v>
      </c>
      <c r="K3235">
        <v>60.9</v>
      </c>
      <c r="L3235">
        <v>60.7</v>
      </c>
      <c r="M3235">
        <v>67.69</v>
      </c>
      <c r="N3235">
        <v>9</v>
      </c>
      <c r="O3235">
        <v>1</v>
      </c>
      <c r="P3235">
        <f>MOD(DAY(datos_siembra[[#This Row],[Date]]),7)</f>
        <v>2</v>
      </c>
      <c r="Q3235" t="str">
        <f>CHOOSE(WEEKDAY(datos_siembra[[#This Row],[Date]],2),"L","M","X","J","V","S","D")</f>
        <v>X</v>
      </c>
      <c r="R3235">
        <f>WEEKNUM(datos_siembra[[#This Row],[Date]],2)-WEEKNUM(DATE(YEAR(datos_siembra[[#This Row],[Date]]),MONTH(datos_siembra[[#This Row],[Date]]),1))+1</f>
        <v>2</v>
      </c>
      <c r="S3235">
        <f>MONTH(datos_siembra[[#This Row],[Date]])</f>
        <v>10</v>
      </c>
      <c r="T3235" t="str" cm="1">
        <f t="array" ref="T3235">_xlfn.IFS(AND(N3235&lt;= 22, S3235=9), "SOWING",AND(N3235&lt;= 28, S3235=9), "COVERAGE",AND(N3235&lt;= 30, S3235=9), "FLUSH",AND(N3235&lt;= 11, S3235=10), "FLUSH",AND(N3235&lt;= 21, S3235=10), "PRODUCTION")</f>
        <v>FLUSH</v>
      </c>
      <c r="U3235">
        <f>HOUR(datos_siembra[[#This Row],[Hour]])</f>
        <v>6</v>
      </c>
      <c r="V3235" cm="1">
        <f t="array" ref="V3235">_xlfn.IFS(AND(N3235&lt;= 22, S3235=9), N3235-7,AND(N3235&lt;= 28, S3235=9), N3235-25,AND(N3235&lt;= 30, S3235=9), N3235-28,AND(N3235&lt;= 11, S3235=10), N3235+2,AND(N3235&lt;= 21, S3235=10), N3235-11)</f>
        <v>11</v>
      </c>
    </row>
    <row r="3236" spans="1:22" x14ac:dyDescent="0.35">
      <c r="A3236" s="4">
        <v>45574</v>
      </c>
      <c r="B3236" s="5">
        <v>0.26075231481481481</v>
      </c>
      <c r="C3236">
        <v>67.7</v>
      </c>
      <c r="D3236">
        <v>66.900000000000006</v>
      </c>
      <c r="E3236">
        <v>68.900000000000006</v>
      </c>
      <c r="F3236">
        <v>67.400000000000006</v>
      </c>
      <c r="G3236">
        <v>0</v>
      </c>
      <c r="H3236">
        <v>0</v>
      </c>
      <c r="I3236">
        <v>0</v>
      </c>
      <c r="J3236">
        <v>0</v>
      </c>
      <c r="K3236">
        <v>60.9</v>
      </c>
      <c r="L3236">
        <v>60.7</v>
      </c>
      <c r="M3236">
        <v>67.75</v>
      </c>
      <c r="N3236">
        <v>9</v>
      </c>
      <c r="O3236">
        <v>1</v>
      </c>
      <c r="P3236">
        <f>MOD(DAY(datos_siembra[[#This Row],[Date]]),7)</f>
        <v>2</v>
      </c>
      <c r="Q3236" t="str">
        <f>CHOOSE(WEEKDAY(datos_siembra[[#This Row],[Date]],2),"L","M","X","J","V","S","D")</f>
        <v>X</v>
      </c>
      <c r="R3236">
        <f>WEEKNUM(datos_siembra[[#This Row],[Date]],2)-WEEKNUM(DATE(YEAR(datos_siembra[[#This Row],[Date]]),MONTH(datos_siembra[[#This Row],[Date]]),1))+1</f>
        <v>2</v>
      </c>
      <c r="S3236">
        <f>MONTH(datos_siembra[[#This Row],[Date]])</f>
        <v>10</v>
      </c>
      <c r="T3236" t="str" cm="1">
        <f t="array" ref="T3236">_xlfn.IFS(AND(N3236&lt;= 22, S3236=9), "SOWING",AND(N3236&lt;= 28, S3236=9), "COVERAGE",AND(N3236&lt;= 30, S3236=9), "FLUSH",AND(N3236&lt;= 11, S3236=10), "FLUSH",AND(N3236&lt;= 21, S3236=10), "PRODUCTION")</f>
        <v>FLUSH</v>
      </c>
      <c r="U3236">
        <f>HOUR(datos_siembra[[#This Row],[Hour]])</f>
        <v>6</v>
      </c>
      <c r="V3236" cm="1">
        <f t="array" ref="V3236">_xlfn.IFS(AND(N3236&lt;= 22, S3236=9), N3236-7,AND(N3236&lt;= 28, S3236=9), N3236-25,AND(N3236&lt;= 30, S3236=9), N3236-28,AND(N3236&lt;= 11, S3236=10), N3236+2,AND(N3236&lt;= 21, S3236=10), N3236-11)</f>
        <v>11</v>
      </c>
    </row>
    <row r="3237" spans="1:22" x14ac:dyDescent="0.35">
      <c r="A3237" s="4">
        <v>45574</v>
      </c>
      <c r="B3237" s="5">
        <v>0.26769675925925923</v>
      </c>
      <c r="C3237">
        <v>67.7</v>
      </c>
      <c r="D3237">
        <v>66.8</v>
      </c>
      <c r="E3237">
        <v>69</v>
      </c>
      <c r="F3237">
        <v>67.3</v>
      </c>
      <c r="G3237">
        <v>0</v>
      </c>
      <c r="H3237">
        <v>0</v>
      </c>
      <c r="I3237">
        <v>0</v>
      </c>
      <c r="J3237">
        <v>0</v>
      </c>
      <c r="K3237">
        <v>60.8</v>
      </c>
      <c r="L3237">
        <v>60.7</v>
      </c>
      <c r="M3237">
        <v>67.77</v>
      </c>
      <c r="N3237">
        <v>9</v>
      </c>
      <c r="O3237">
        <v>1</v>
      </c>
      <c r="P3237">
        <f>MOD(DAY(datos_siembra[[#This Row],[Date]]),7)</f>
        <v>2</v>
      </c>
      <c r="Q3237" t="str">
        <f>CHOOSE(WEEKDAY(datos_siembra[[#This Row],[Date]],2),"L","M","X","J","V","S","D")</f>
        <v>X</v>
      </c>
      <c r="R3237">
        <f>WEEKNUM(datos_siembra[[#This Row],[Date]],2)-WEEKNUM(DATE(YEAR(datos_siembra[[#This Row],[Date]]),MONTH(datos_siembra[[#This Row],[Date]]),1))+1</f>
        <v>2</v>
      </c>
      <c r="S3237">
        <f>MONTH(datos_siembra[[#This Row],[Date]])</f>
        <v>10</v>
      </c>
      <c r="T3237" t="str" cm="1">
        <f t="array" ref="T3237">_xlfn.IFS(AND(N3237&lt;= 22, S3237=9), "SOWING",AND(N3237&lt;= 28, S3237=9), "COVERAGE",AND(N3237&lt;= 30, S3237=9), "FLUSH",AND(N3237&lt;= 11, S3237=10), "FLUSH",AND(N3237&lt;= 21, S3237=10), "PRODUCTION")</f>
        <v>FLUSH</v>
      </c>
      <c r="U3237">
        <f>HOUR(datos_siembra[[#This Row],[Hour]])</f>
        <v>6</v>
      </c>
      <c r="V3237" cm="1">
        <f t="array" ref="V3237">_xlfn.IFS(AND(N3237&lt;= 22, S3237=9), N3237-7,AND(N3237&lt;= 28, S3237=9), N3237-25,AND(N3237&lt;= 30, S3237=9), N3237-28,AND(N3237&lt;= 11, S3237=10), N3237+2,AND(N3237&lt;= 21, S3237=10), N3237-11)</f>
        <v>11</v>
      </c>
    </row>
    <row r="3238" spans="1:22" x14ac:dyDescent="0.35">
      <c r="A3238" s="4">
        <v>45574</v>
      </c>
      <c r="B3238" s="5">
        <v>0.2746527777777778</v>
      </c>
      <c r="C3238">
        <v>67.7</v>
      </c>
      <c r="D3238">
        <v>66.8</v>
      </c>
      <c r="E3238">
        <v>69</v>
      </c>
      <c r="F3238">
        <v>67.7</v>
      </c>
      <c r="G3238">
        <v>0</v>
      </c>
      <c r="H3238">
        <v>0</v>
      </c>
      <c r="I3238">
        <v>0</v>
      </c>
      <c r="J3238">
        <v>0</v>
      </c>
      <c r="K3238">
        <v>60.8</v>
      </c>
      <c r="L3238">
        <v>60.8</v>
      </c>
      <c r="M3238">
        <v>67.77</v>
      </c>
      <c r="N3238">
        <v>9</v>
      </c>
      <c r="O3238">
        <v>1</v>
      </c>
      <c r="P3238">
        <f>MOD(DAY(datos_siembra[[#This Row],[Date]]),7)</f>
        <v>2</v>
      </c>
      <c r="Q3238" t="str">
        <f>CHOOSE(WEEKDAY(datos_siembra[[#This Row],[Date]],2),"L","M","X","J","V","S","D")</f>
        <v>X</v>
      </c>
      <c r="R3238">
        <f>WEEKNUM(datos_siembra[[#This Row],[Date]],2)-WEEKNUM(DATE(YEAR(datos_siembra[[#This Row],[Date]]),MONTH(datos_siembra[[#This Row],[Date]]),1))+1</f>
        <v>2</v>
      </c>
      <c r="S3238">
        <f>MONTH(datos_siembra[[#This Row],[Date]])</f>
        <v>10</v>
      </c>
      <c r="T3238" t="str" cm="1">
        <f t="array" ref="T3238">_xlfn.IFS(AND(N3238&lt;= 22, S3238=9), "SOWING",AND(N3238&lt;= 28, S3238=9), "COVERAGE",AND(N3238&lt;= 30, S3238=9), "FLUSH",AND(N3238&lt;= 11, S3238=10), "FLUSH",AND(N3238&lt;= 21, S3238=10), "PRODUCTION")</f>
        <v>FLUSH</v>
      </c>
      <c r="U3238">
        <f>HOUR(datos_siembra[[#This Row],[Hour]])</f>
        <v>6</v>
      </c>
      <c r="V3238" cm="1">
        <f t="array" ref="V3238">_xlfn.IFS(AND(N3238&lt;= 22, S3238=9), N3238-7,AND(N3238&lt;= 28, S3238=9), N3238-25,AND(N3238&lt;= 30, S3238=9), N3238-28,AND(N3238&lt;= 11, S3238=10), N3238+2,AND(N3238&lt;= 21, S3238=10), N3238-11)</f>
        <v>11</v>
      </c>
    </row>
    <row r="3239" spans="1:22" x14ac:dyDescent="0.35">
      <c r="A3239" s="4">
        <v>45574</v>
      </c>
      <c r="B3239" s="5">
        <v>0.28159722222222222</v>
      </c>
      <c r="C3239">
        <v>67.8</v>
      </c>
      <c r="D3239">
        <v>66.8</v>
      </c>
      <c r="E3239">
        <v>69</v>
      </c>
      <c r="F3239">
        <v>67.3</v>
      </c>
      <c r="G3239">
        <v>0</v>
      </c>
      <c r="H3239">
        <v>0</v>
      </c>
      <c r="I3239">
        <v>0</v>
      </c>
      <c r="J3239">
        <v>0</v>
      </c>
      <c r="K3239">
        <v>60.9</v>
      </c>
      <c r="L3239">
        <v>60.8</v>
      </c>
      <c r="M3239">
        <v>67.69</v>
      </c>
      <c r="N3239">
        <v>9</v>
      </c>
      <c r="O3239">
        <v>1</v>
      </c>
      <c r="P3239">
        <f>MOD(DAY(datos_siembra[[#This Row],[Date]]),7)</f>
        <v>2</v>
      </c>
      <c r="Q3239" t="str">
        <f>CHOOSE(WEEKDAY(datos_siembra[[#This Row],[Date]],2),"L","M","X","J","V","S","D")</f>
        <v>X</v>
      </c>
      <c r="R3239">
        <f>WEEKNUM(datos_siembra[[#This Row],[Date]],2)-WEEKNUM(DATE(YEAR(datos_siembra[[#This Row],[Date]]),MONTH(datos_siembra[[#This Row],[Date]]),1))+1</f>
        <v>2</v>
      </c>
      <c r="S3239">
        <f>MONTH(datos_siembra[[#This Row],[Date]])</f>
        <v>10</v>
      </c>
      <c r="T3239" t="str" cm="1">
        <f t="array" ref="T3239">_xlfn.IFS(AND(N3239&lt;= 22, S3239=9), "SOWING",AND(N3239&lt;= 28, S3239=9), "COVERAGE",AND(N3239&lt;= 30, S3239=9), "FLUSH",AND(N3239&lt;= 11, S3239=10), "FLUSH",AND(N3239&lt;= 21, S3239=10), "PRODUCTION")</f>
        <v>FLUSH</v>
      </c>
      <c r="U3239">
        <f>HOUR(datos_siembra[[#This Row],[Hour]])</f>
        <v>6</v>
      </c>
      <c r="V3239" cm="1">
        <f t="array" ref="V3239">_xlfn.IFS(AND(N3239&lt;= 22, S3239=9), N3239-7,AND(N3239&lt;= 28, S3239=9), N3239-25,AND(N3239&lt;= 30, S3239=9), N3239-28,AND(N3239&lt;= 11, S3239=10), N3239+2,AND(N3239&lt;= 21, S3239=10), N3239-11)</f>
        <v>11</v>
      </c>
    </row>
    <row r="3240" spans="1:22" x14ac:dyDescent="0.35">
      <c r="A3240" s="4">
        <v>45574</v>
      </c>
      <c r="B3240" s="5">
        <v>0.28854166666666664</v>
      </c>
      <c r="C3240">
        <v>67.8</v>
      </c>
      <c r="D3240">
        <v>66.8</v>
      </c>
      <c r="E3240">
        <v>69.099999999999994</v>
      </c>
      <c r="F3240">
        <v>67.400000000000006</v>
      </c>
      <c r="G3240">
        <v>0</v>
      </c>
      <c r="H3240">
        <v>0</v>
      </c>
      <c r="I3240">
        <v>0</v>
      </c>
      <c r="J3240">
        <v>0</v>
      </c>
      <c r="K3240">
        <v>60.9</v>
      </c>
      <c r="L3240">
        <v>60.9</v>
      </c>
      <c r="M3240">
        <v>67.75</v>
      </c>
      <c r="N3240">
        <v>9</v>
      </c>
      <c r="O3240">
        <v>1</v>
      </c>
      <c r="P3240">
        <f>MOD(DAY(datos_siembra[[#This Row],[Date]]),7)</f>
        <v>2</v>
      </c>
      <c r="Q3240" t="str">
        <f>CHOOSE(WEEKDAY(datos_siembra[[#This Row],[Date]],2),"L","M","X","J","V","S","D")</f>
        <v>X</v>
      </c>
      <c r="R3240">
        <f>WEEKNUM(datos_siembra[[#This Row],[Date]],2)-WEEKNUM(DATE(YEAR(datos_siembra[[#This Row],[Date]]),MONTH(datos_siembra[[#This Row],[Date]]),1))+1</f>
        <v>2</v>
      </c>
      <c r="S3240">
        <f>MONTH(datos_siembra[[#This Row],[Date]])</f>
        <v>10</v>
      </c>
      <c r="T3240" t="str" cm="1">
        <f t="array" ref="T3240">_xlfn.IFS(AND(N3240&lt;= 22, S3240=9), "SOWING",AND(N3240&lt;= 28, S3240=9), "COVERAGE",AND(N3240&lt;= 30, S3240=9), "FLUSH",AND(N3240&lt;= 11, S3240=10), "FLUSH",AND(N3240&lt;= 21, S3240=10), "PRODUCTION")</f>
        <v>FLUSH</v>
      </c>
      <c r="U3240">
        <f>HOUR(datos_siembra[[#This Row],[Hour]])</f>
        <v>6</v>
      </c>
      <c r="V3240" cm="1">
        <f t="array" ref="V3240">_xlfn.IFS(AND(N3240&lt;= 22, S3240=9), N3240-7,AND(N3240&lt;= 28, S3240=9), N3240-25,AND(N3240&lt;= 30, S3240=9), N3240-28,AND(N3240&lt;= 11, S3240=10), N3240+2,AND(N3240&lt;= 21, S3240=10), N3240-11)</f>
        <v>11</v>
      </c>
    </row>
    <row r="3241" spans="1:22" x14ac:dyDescent="0.35">
      <c r="A3241" s="4">
        <v>45574</v>
      </c>
      <c r="B3241" s="5">
        <v>0.29549768518518521</v>
      </c>
      <c r="C3241">
        <v>67.599999999999994</v>
      </c>
      <c r="D3241">
        <v>66.8</v>
      </c>
      <c r="E3241">
        <v>68.900000000000006</v>
      </c>
      <c r="F3241">
        <v>67.599999999999994</v>
      </c>
      <c r="G3241">
        <v>0</v>
      </c>
      <c r="H3241">
        <v>0</v>
      </c>
      <c r="I3241">
        <v>0</v>
      </c>
      <c r="J3241">
        <v>0</v>
      </c>
      <c r="K3241">
        <v>61</v>
      </c>
      <c r="L3241">
        <v>61.1</v>
      </c>
      <c r="M3241">
        <v>67.75</v>
      </c>
      <c r="N3241">
        <v>9</v>
      </c>
      <c r="O3241">
        <v>1</v>
      </c>
      <c r="P3241">
        <f>MOD(DAY(datos_siembra[[#This Row],[Date]]),7)</f>
        <v>2</v>
      </c>
      <c r="Q3241" t="str">
        <f>CHOOSE(WEEKDAY(datos_siembra[[#This Row],[Date]],2),"L","M","X","J","V","S","D")</f>
        <v>X</v>
      </c>
      <c r="R3241">
        <f>WEEKNUM(datos_siembra[[#This Row],[Date]],2)-WEEKNUM(DATE(YEAR(datos_siembra[[#This Row],[Date]]),MONTH(datos_siembra[[#This Row],[Date]]),1))+1</f>
        <v>2</v>
      </c>
      <c r="S3241">
        <f>MONTH(datos_siembra[[#This Row],[Date]])</f>
        <v>10</v>
      </c>
      <c r="T3241" t="str" cm="1">
        <f t="array" ref="T3241">_xlfn.IFS(AND(N3241&lt;= 22, S3241=9), "SOWING",AND(N3241&lt;= 28, S3241=9), "COVERAGE",AND(N3241&lt;= 30, S3241=9), "FLUSH",AND(N3241&lt;= 11, S3241=10), "FLUSH",AND(N3241&lt;= 21, S3241=10), "PRODUCTION")</f>
        <v>FLUSH</v>
      </c>
      <c r="U3241">
        <f>HOUR(datos_siembra[[#This Row],[Hour]])</f>
        <v>7</v>
      </c>
      <c r="V3241" cm="1">
        <f t="array" ref="V3241">_xlfn.IFS(AND(N3241&lt;= 22, S3241=9), N3241-7,AND(N3241&lt;= 28, S3241=9), N3241-25,AND(N3241&lt;= 30, S3241=9), N3241-28,AND(N3241&lt;= 11, S3241=10), N3241+2,AND(N3241&lt;= 21, S3241=10), N3241-11)</f>
        <v>11</v>
      </c>
    </row>
    <row r="3242" spans="1:22" x14ac:dyDescent="0.35">
      <c r="A3242" s="4">
        <v>45574</v>
      </c>
      <c r="B3242" s="5">
        <v>0.30244212962962963</v>
      </c>
      <c r="C3242">
        <v>67.7</v>
      </c>
      <c r="D3242">
        <v>66.599999999999994</v>
      </c>
      <c r="E3242">
        <v>69</v>
      </c>
      <c r="F3242">
        <v>67.400000000000006</v>
      </c>
      <c r="G3242">
        <v>0</v>
      </c>
      <c r="H3242">
        <v>0</v>
      </c>
      <c r="I3242">
        <v>0</v>
      </c>
      <c r="J3242">
        <v>0</v>
      </c>
      <c r="K3242">
        <v>61</v>
      </c>
      <c r="L3242">
        <v>61.2</v>
      </c>
      <c r="M3242">
        <v>67.69</v>
      </c>
      <c r="N3242">
        <v>9</v>
      </c>
      <c r="O3242">
        <v>1</v>
      </c>
      <c r="P3242">
        <f>MOD(DAY(datos_siembra[[#This Row],[Date]]),7)</f>
        <v>2</v>
      </c>
      <c r="Q3242" t="str">
        <f>CHOOSE(WEEKDAY(datos_siembra[[#This Row],[Date]],2),"L","M","X","J","V","S","D")</f>
        <v>X</v>
      </c>
      <c r="R3242">
        <f>WEEKNUM(datos_siembra[[#This Row],[Date]],2)-WEEKNUM(DATE(YEAR(datos_siembra[[#This Row],[Date]]),MONTH(datos_siembra[[#This Row],[Date]]),1))+1</f>
        <v>2</v>
      </c>
      <c r="S3242">
        <f>MONTH(datos_siembra[[#This Row],[Date]])</f>
        <v>10</v>
      </c>
      <c r="T3242" t="str" cm="1">
        <f t="array" ref="T3242">_xlfn.IFS(AND(N3242&lt;= 22, S3242=9), "SOWING",AND(N3242&lt;= 28, S3242=9), "COVERAGE",AND(N3242&lt;= 30, S3242=9), "FLUSH",AND(N3242&lt;= 11, S3242=10), "FLUSH",AND(N3242&lt;= 21, S3242=10), "PRODUCTION")</f>
        <v>FLUSH</v>
      </c>
      <c r="U3242">
        <f>HOUR(datos_siembra[[#This Row],[Hour]])</f>
        <v>7</v>
      </c>
      <c r="V3242" cm="1">
        <f t="array" ref="V3242">_xlfn.IFS(AND(N3242&lt;= 22, S3242=9), N3242-7,AND(N3242&lt;= 28, S3242=9), N3242-25,AND(N3242&lt;= 30, S3242=9), N3242-28,AND(N3242&lt;= 11, S3242=10), N3242+2,AND(N3242&lt;= 21, S3242=10), N3242-11)</f>
        <v>11</v>
      </c>
    </row>
    <row r="3243" spans="1:22" x14ac:dyDescent="0.35">
      <c r="A3243" s="4">
        <v>45574</v>
      </c>
      <c r="B3243" s="5">
        <v>0.30938657407407405</v>
      </c>
      <c r="C3243">
        <v>67.7</v>
      </c>
      <c r="D3243">
        <v>66.599999999999994</v>
      </c>
      <c r="E3243">
        <v>69.099999999999994</v>
      </c>
      <c r="F3243">
        <v>67.400000000000006</v>
      </c>
      <c r="G3243">
        <v>0</v>
      </c>
      <c r="H3243">
        <v>0</v>
      </c>
      <c r="I3243">
        <v>0</v>
      </c>
      <c r="J3243">
        <v>0</v>
      </c>
      <c r="K3243">
        <v>61.1</v>
      </c>
      <c r="L3243">
        <v>61.1</v>
      </c>
      <c r="M3243">
        <v>67.66</v>
      </c>
      <c r="N3243">
        <v>9</v>
      </c>
      <c r="O3243">
        <v>1</v>
      </c>
      <c r="P3243">
        <f>MOD(DAY(datos_siembra[[#This Row],[Date]]),7)</f>
        <v>2</v>
      </c>
      <c r="Q3243" t="str">
        <f>CHOOSE(WEEKDAY(datos_siembra[[#This Row],[Date]],2),"L","M","X","J","V","S","D")</f>
        <v>X</v>
      </c>
      <c r="R3243">
        <f>WEEKNUM(datos_siembra[[#This Row],[Date]],2)-WEEKNUM(DATE(YEAR(datos_siembra[[#This Row],[Date]]),MONTH(datos_siembra[[#This Row],[Date]]),1))+1</f>
        <v>2</v>
      </c>
      <c r="S3243">
        <f>MONTH(datos_siembra[[#This Row],[Date]])</f>
        <v>10</v>
      </c>
      <c r="T3243" t="str" cm="1">
        <f t="array" ref="T3243">_xlfn.IFS(AND(N3243&lt;= 22, S3243=9), "SOWING",AND(N3243&lt;= 28, S3243=9), "COVERAGE",AND(N3243&lt;= 30, S3243=9), "FLUSH",AND(N3243&lt;= 11, S3243=10), "FLUSH",AND(N3243&lt;= 21, S3243=10), "PRODUCTION")</f>
        <v>FLUSH</v>
      </c>
      <c r="U3243">
        <f>HOUR(datos_siembra[[#This Row],[Hour]])</f>
        <v>7</v>
      </c>
      <c r="V3243" cm="1">
        <f t="array" ref="V3243">_xlfn.IFS(AND(N3243&lt;= 22, S3243=9), N3243-7,AND(N3243&lt;= 28, S3243=9), N3243-25,AND(N3243&lt;= 30, S3243=9), N3243-28,AND(N3243&lt;= 11, S3243=10), N3243+2,AND(N3243&lt;= 21, S3243=10), N3243-11)</f>
        <v>11</v>
      </c>
    </row>
    <row r="3244" spans="1:22" x14ac:dyDescent="0.35">
      <c r="A3244" s="4">
        <v>45574</v>
      </c>
      <c r="B3244" s="5">
        <v>0.31633101851851853</v>
      </c>
      <c r="C3244">
        <v>67.7</v>
      </c>
      <c r="D3244">
        <v>66.8</v>
      </c>
      <c r="E3244">
        <v>69.099999999999994</v>
      </c>
      <c r="F3244">
        <v>67.7</v>
      </c>
      <c r="G3244">
        <v>0</v>
      </c>
      <c r="H3244">
        <v>0</v>
      </c>
      <c r="I3244">
        <v>0</v>
      </c>
      <c r="J3244">
        <v>0</v>
      </c>
      <c r="K3244">
        <v>61.1</v>
      </c>
      <c r="L3244">
        <v>61.4</v>
      </c>
      <c r="M3244">
        <v>67.66</v>
      </c>
      <c r="N3244">
        <v>9</v>
      </c>
      <c r="O3244">
        <v>1</v>
      </c>
      <c r="P3244">
        <f>MOD(DAY(datos_siembra[[#This Row],[Date]]),7)</f>
        <v>2</v>
      </c>
      <c r="Q3244" t="str">
        <f>CHOOSE(WEEKDAY(datos_siembra[[#This Row],[Date]],2),"L","M","X","J","V","S","D")</f>
        <v>X</v>
      </c>
      <c r="R3244">
        <f>WEEKNUM(datos_siembra[[#This Row],[Date]],2)-WEEKNUM(DATE(YEAR(datos_siembra[[#This Row],[Date]]),MONTH(datos_siembra[[#This Row],[Date]]),1))+1</f>
        <v>2</v>
      </c>
      <c r="S3244">
        <f>MONTH(datos_siembra[[#This Row],[Date]])</f>
        <v>10</v>
      </c>
      <c r="T3244" t="str" cm="1">
        <f t="array" ref="T3244">_xlfn.IFS(AND(N3244&lt;= 22, S3244=9), "SOWING",AND(N3244&lt;= 28, S3244=9), "COVERAGE",AND(N3244&lt;= 30, S3244=9), "FLUSH",AND(N3244&lt;= 11, S3244=10), "FLUSH",AND(N3244&lt;= 21, S3244=10), "PRODUCTION")</f>
        <v>FLUSH</v>
      </c>
      <c r="U3244">
        <f>HOUR(datos_siembra[[#This Row],[Hour]])</f>
        <v>7</v>
      </c>
      <c r="V3244" cm="1">
        <f t="array" ref="V3244">_xlfn.IFS(AND(N3244&lt;= 22, S3244=9), N3244-7,AND(N3244&lt;= 28, S3244=9), N3244-25,AND(N3244&lt;= 30, S3244=9), N3244-28,AND(N3244&lt;= 11, S3244=10), N3244+2,AND(N3244&lt;= 21, S3244=10), N3244-11)</f>
        <v>11</v>
      </c>
    </row>
    <row r="3245" spans="1:22" x14ac:dyDescent="0.35">
      <c r="A3245" s="4">
        <v>45574</v>
      </c>
      <c r="B3245" s="5">
        <v>0.32328703703703704</v>
      </c>
      <c r="C3245">
        <v>67.7</v>
      </c>
      <c r="D3245">
        <v>66.599999999999994</v>
      </c>
      <c r="E3245">
        <v>69</v>
      </c>
      <c r="F3245">
        <v>67.3</v>
      </c>
      <c r="G3245">
        <v>0</v>
      </c>
      <c r="H3245">
        <v>0</v>
      </c>
      <c r="I3245">
        <v>0</v>
      </c>
      <c r="J3245">
        <v>0</v>
      </c>
      <c r="K3245">
        <v>61.2</v>
      </c>
      <c r="L3245">
        <v>61.6</v>
      </c>
      <c r="M3245">
        <v>67.61</v>
      </c>
      <c r="N3245">
        <v>9</v>
      </c>
      <c r="O3245">
        <v>1</v>
      </c>
      <c r="P3245">
        <f>MOD(DAY(datos_siembra[[#This Row],[Date]]),7)</f>
        <v>2</v>
      </c>
      <c r="Q3245" t="str">
        <f>CHOOSE(WEEKDAY(datos_siembra[[#This Row],[Date]],2),"L","M","X","J","V","S","D")</f>
        <v>X</v>
      </c>
      <c r="R3245">
        <f>WEEKNUM(datos_siembra[[#This Row],[Date]],2)-WEEKNUM(DATE(YEAR(datos_siembra[[#This Row],[Date]]),MONTH(datos_siembra[[#This Row],[Date]]),1))+1</f>
        <v>2</v>
      </c>
      <c r="S3245">
        <f>MONTH(datos_siembra[[#This Row],[Date]])</f>
        <v>10</v>
      </c>
      <c r="T3245" t="str" cm="1">
        <f t="array" ref="T3245">_xlfn.IFS(AND(N3245&lt;= 22, S3245=9), "SOWING",AND(N3245&lt;= 28, S3245=9), "COVERAGE",AND(N3245&lt;= 30, S3245=9), "FLUSH",AND(N3245&lt;= 11, S3245=10), "FLUSH",AND(N3245&lt;= 21, S3245=10), "PRODUCTION")</f>
        <v>FLUSH</v>
      </c>
      <c r="U3245">
        <f>HOUR(datos_siembra[[#This Row],[Hour]])</f>
        <v>7</v>
      </c>
      <c r="V3245" cm="1">
        <f t="array" ref="V3245">_xlfn.IFS(AND(N3245&lt;= 22, S3245=9), N3245-7,AND(N3245&lt;= 28, S3245=9), N3245-25,AND(N3245&lt;= 30, S3245=9), N3245-28,AND(N3245&lt;= 11, S3245=10), N3245+2,AND(N3245&lt;= 21, S3245=10), N3245-11)</f>
        <v>11</v>
      </c>
    </row>
    <row r="3246" spans="1:22" x14ac:dyDescent="0.35">
      <c r="A3246" s="4">
        <v>45574</v>
      </c>
      <c r="B3246" s="5">
        <v>0.33023148148148146</v>
      </c>
      <c r="C3246">
        <v>67.7</v>
      </c>
      <c r="D3246">
        <v>66.8</v>
      </c>
      <c r="E3246">
        <v>69.099999999999994</v>
      </c>
      <c r="F3246">
        <v>67.3</v>
      </c>
      <c r="G3246">
        <v>0</v>
      </c>
      <c r="H3246">
        <v>0</v>
      </c>
      <c r="I3246">
        <v>0</v>
      </c>
      <c r="J3246">
        <v>0</v>
      </c>
      <c r="K3246">
        <v>61.4</v>
      </c>
      <c r="L3246">
        <v>61.6</v>
      </c>
      <c r="M3246">
        <v>67.72</v>
      </c>
      <c r="N3246">
        <v>9</v>
      </c>
      <c r="O3246">
        <v>1</v>
      </c>
      <c r="P3246">
        <f>MOD(DAY(datos_siembra[[#This Row],[Date]]),7)</f>
        <v>2</v>
      </c>
      <c r="Q3246" t="str">
        <f>CHOOSE(WEEKDAY(datos_siembra[[#This Row],[Date]],2),"L","M","X","J","V","S","D")</f>
        <v>X</v>
      </c>
      <c r="R3246">
        <f>WEEKNUM(datos_siembra[[#This Row],[Date]],2)-WEEKNUM(DATE(YEAR(datos_siembra[[#This Row],[Date]]),MONTH(datos_siembra[[#This Row],[Date]]),1))+1</f>
        <v>2</v>
      </c>
      <c r="S3246">
        <f>MONTH(datos_siembra[[#This Row],[Date]])</f>
        <v>10</v>
      </c>
      <c r="T3246" t="str" cm="1">
        <f t="array" ref="T3246">_xlfn.IFS(AND(N3246&lt;= 22, S3246=9), "SOWING",AND(N3246&lt;= 28, S3246=9), "COVERAGE",AND(N3246&lt;= 30, S3246=9), "FLUSH",AND(N3246&lt;= 11, S3246=10), "FLUSH",AND(N3246&lt;= 21, S3246=10), "PRODUCTION")</f>
        <v>FLUSH</v>
      </c>
      <c r="U3246">
        <f>HOUR(datos_siembra[[#This Row],[Hour]])</f>
        <v>7</v>
      </c>
      <c r="V3246" cm="1">
        <f t="array" ref="V3246">_xlfn.IFS(AND(N3246&lt;= 22, S3246=9), N3246-7,AND(N3246&lt;= 28, S3246=9), N3246-25,AND(N3246&lt;= 30, S3246=9), N3246-28,AND(N3246&lt;= 11, S3246=10), N3246+2,AND(N3246&lt;= 21, S3246=10), N3246-11)</f>
        <v>11</v>
      </c>
    </row>
    <row r="3247" spans="1:22" x14ac:dyDescent="0.35">
      <c r="A3247" s="4">
        <v>45574</v>
      </c>
      <c r="B3247" s="5">
        <v>0.33717592592592593</v>
      </c>
      <c r="C3247">
        <v>67.7</v>
      </c>
      <c r="D3247">
        <v>66.599999999999994</v>
      </c>
      <c r="E3247">
        <v>68.900000000000006</v>
      </c>
      <c r="F3247">
        <v>67.3</v>
      </c>
      <c r="G3247">
        <v>0</v>
      </c>
      <c r="H3247">
        <v>0</v>
      </c>
      <c r="I3247">
        <v>0</v>
      </c>
      <c r="J3247">
        <v>0</v>
      </c>
      <c r="K3247">
        <v>61.6</v>
      </c>
      <c r="L3247">
        <v>61.9</v>
      </c>
      <c r="M3247">
        <v>67.66</v>
      </c>
      <c r="N3247">
        <v>9</v>
      </c>
      <c r="O3247">
        <v>1</v>
      </c>
      <c r="P3247">
        <f>MOD(DAY(datos_siembra[[#This Row],[Date]]),7)</f>
        <v>2</v>
      </c>
      <c r="Q3247" t="str">
        <f>CHOOSE(WEEKDAY(datos_siembra[[#This Row],[Date]],2),"L","M","X","J","V","S","D")</f>
        <v>X</v>
      </c>
      <c r="R3247">
        <f>WEEKNUM(datos_siembra[[#This Row],[Date]],2)-WEEKNUM(DATE(YEAR(datos_siembra[[#This Row],[Date]]),MONTH(datos_siembra[[#This Row],[Date]]),1))+1</f>
        <v>2</v>
      </c>
      <c r="S3247">
        <f>MONTH(datos_siembra[[#This Row],[Date]])</f>
        <v>10</v>
      </c>
      <c r="T3247" t="str" cm="1">
        <f t="array" ref="T3247">_xlfn.IFS(AND(N3247&lt;= 22, S3247=9), "SOWING",AND(N3247&lt;= 28, S3247=9), "COVERAGE",AND(N3247&lt;= 30, S3247=9), "FLUSH",AND(N3247&lt;= 11, S3247=10), "FLUSH",AND(N3247&lt;= 21, S3247=10), "PRODUCTION")</f>
        <v>FLUSH</v>
      </c>
      <c r="U3247">
        <f>HOUR(datos_siembra[[#This Row],[Hour]])</f>
        <v>8</v>
      </c>
      <c r="V3247" cm="1">
        <f t="array" ref="V3247">_xlfn.IFS(AND(N3247&lt;= 22, S3247=9), N3247-7,AND(N3247&lt;= 28, S3247=9), N3247-25,AND(N3247&lt;= 30, S3247=9), N3247-28,AND(N3247&lt;= 11, S3247=10), N3247+2,AND(N3247&lt;= 21, S3247=10), N3247-11)</f>
        <v>11</v>
      </c>
    </row>
    <row r="3248" spans="1:22" x14ac:dyDescent="0.35">
      <c r="A3248" s="4">
        <v>45574</v>
      </c>
      <c r="B3248" s="5">
        <v>0.34412037037037035</v>
      </c>
      <c r="C3248">
        <v>67.7</v>
      </c>
      <c r="D3248">
        <v>66.8</v>
      </c>
      <c r="E3248">
        <v>68.900000000000006</v>
      </c>
      <c r="F3248">
        <v>67.2</v>
      </c>
      <c r="G3248">
        <v>0</v>
      </c>
      <c r="H3248">
        <v>0</v>
      </c>
      <c r="I3248">
        <v>0</v>
      </c>
      <c r="J3248">
        <v>0</v>
      </c>
      <c r="K3248">
        <v>61.8</v>
      </c>
      <c r="L3248">
        <v>62.2</v>
      </c>
      <c r="M3248">
        <v>67.69</v>
      </c>
      <c r="N3248">
        <v>9</v>
      </c>
      <c r="O3248">
        <v>1</v>
      </c>
      <c r="P3248">
        <f>MOD(DAY(datos_siembra[[#This Row],[Date]]),7)</f>
        <v>2</v>
      </c>
      <c r="Q3248" t="str">
        <f>CHOOSE(WEEKDAY(datos_siembra[[#This Row],[Date]],2),"L","M","X","J","V","S","D")</f>
        <v>X</v>
      </c>
      <c r="R3248">
        <f>WEEKNUM(datos_siembra[[#This Row],[Date]],2)-WEEKNUM(DATE(YEAR(datos_siembra[[#This Row],[Date]]),MONTH(datos_siembra[[#This Row],[Date]]),1))+1</f>
        <v>2</v>
      </c>
      <c r="S3248">
        <f>MONTH(datos_siembra[[#This Row],[Date]])</f>
        <v>10</v>
      </c>
      <c r="T3248" t="str" cm="1">
        <f t="array" ref="T3248">_xlfn.IFS(AND(N3248&lt;= 22, S3248=9), "SOWING",AND(N3248&lt;= 28, S3248=9), "COVERAGE",AND(N3248&lt;= 30, S3248=9), "FLUSH",AND(N3248&lt;= 11, S3248=10), "FLUSH",AND(N3248&lt;= 21, S3248=10), "PRODUCTION")</f>
        <v>FLUSH</v>
      </c>
      <c r="U3248">
        <f>HOUR(datos_siembra[[#This Row],[Hour]])</f>
        <v>8</v>
      </c>
      <c r="V3248" cm="1">
        <f t="array" ref="V3248">_xlfn.IFS(AND(N3248&lt;= 22, S3248=9), N3248-7,AND(N3248&lt;= 28, S3248=9), N3248-25,AND(N3248&lt;= 30, S3248=9), N3248-28,AND(N3248&lt;= 11, S3248=10), N3248+2,AND(N3248&lt;= 21, S3248=10), N3248-11)</f>
        <v>11</v>
      </c>
    </row>
    <row r="3249" spans="1:22" x14ac:dyDescent="0.35">
      <c r="A3249" s="4">
        <v>45574</v>
      </c>
      <c r="B3249" s="5">
        <v>0.35107638888888887</v>
      </c>
      <c r="C3249">
        <v>67.7</v>
      </c>
      <c r="D3249">
        <v>66.599999999999994</v>
      </c>
      <c r="E3249">
        <v>69</v>
      </c>
      <c r="F3249">
        <v>67.599999999999994</v>
      </c>
      <c r="G3249">
        <v>0</v>
      </c>
      <c r="H3249">
        <v>0</v>
      </c>
      <c r="I3249">
        <v>0</v>
      </c>
      <c r="J3249">
        <v>0</v>
      </c>
      <c r="K3249">
        <v>61.8</v>
      </c>
      <c r="L3249">
        <v>62.2</v>
      </c>
      <c r="M3249">
        <v>67.72</v>
      </c>
      <c r="N3249">
        <v>9</v>
      </c>
      <c r="O3249">
        <v>1</v>
      </c>
      <c r="P3249">
        <f>MOD(DAY(datos_siembra[[#This Row],[Date]]),7)</f>
        <v>2</v>
      </c>
      <c r="Q3249" t="str">
        <f>CHOOSE(WEEKDAY(datos_siembra[[#This Row],[Date]],2),"L","M","X","J","V","S","D")</f>
        <v>X</v>
      </c>
      <c r="R3249">
        <f>WEEKNUM(datos_siembra[[#This Row],[Date]],2)-WEEKNUM(DATE(YEAR(datos_siembra[[#This Row],[Date]]),MONTH(datos_siembra[[#This Row],[Date]]),1))+1</f>
        <v>2</v>
      </c>
      <c r="S3249">
        <f>MONTH(datos_siembra[[#This Row],[Date]])</f>
        <v>10</v>
      </c>
      <c r="T3249" t="str" cm="1">
        <f t="array" ref="T3249">_xlfn.IFS(AND(N3249&lt;= 22, S3249=9), "SOWING",AND(N3249&lt;= 28, S3249=9), "COVERAGE",AND(N3249&lt;= 30, S3249=9), "FLUSH",AND(N3249&lt;= 11, S3249=10), "FLUSH",AND(N3249&lt;= 21, S3249=10), "PRODUCTION")</f>
        <v>FLUSH</v>
      </c>
      <c r="U3249">
        <f>HOUR(datos_siembra[[#This Row],[Hour]])</f>
        <v>8</v>
      </c>
      <c r="V3249" cm="1">
        <f t="array" ref="V3249">_xlfn.IFS(AND(N3249&lt;= 22, S3249=9), N3249-7,AND(N3249&lt;= 28, S3249=9), N3249-25,AND(N3249&lt;= 30, S3249=9), N3249-28,AND(N3249&lt;= 11, S3249=10), N3249+2,AND(N3249&lt;= 21, S3249=10), N3249-11)</f>
        <v>11</v>
      </c>
    </row>
    <row r="3250" spans="1:22" x14ac:dyDescent="0.35">
      <c r="A3250" s="4">
        <v>45574</v>
      </c>
      <c r="B3250" s="5">
        <v>0.35802083333333334</v>
      </c>
      <c r="C3250">
        <v>67.7</v>
      </c>
      <c r="D3250">
        <v>66.5</v>
      </c>
      <c r="E3250">
        <v>69.2</v>
      </c>
      <c r="F3250">
        <v>67.3</v>
      </c>
      <c r="G3250">
        <v>0</v>
      </c>
      <c r="H3250">
        <v>0</v>
      </c>
      <c r="I3250">
        <v>0</v>
      </c>
      <c r="J3250">
        <v>0</v>
      </c>
      <c r="K3250">
        <v>61.9</v>
      </c>
      <c r="L3250">
        <v>62.4</v>
      </c>
      <c r="M3250">
        <v>67.66</v>
      </c>
      <c r="N3250">
        <v>9</v>
      </c>
      <c r="O3250">
        <v>1</v>
      </c>
      <c r="P3250">
        <f>MOD(DAY(datos_siembra[[#This Row],[Date]]),7)</f>
        <v>2</v>
      </c>
      <c r="Q3250" t="str">
        <f>CHOOSE(WEEKDAY(datos_siembra[[#This Row],[Date]],2),"L","M","X","J","V","S","D")</f>
        <v>X</v>
      </c>
      <c r="R3250">
        <f>WEEKNUM(datos_siembra[[#This Row],[Date]],2)-WEEKNUM(DATE(YEAR(datos_siembra[[#This Row],[Date]]),MONTH(datos_siembra[[#This Row],[Date]]),1))+1</f>
        <v>2</v>
      </c>
      <c r="S3250">
        <f>MONTH(datos_siembra[[#This Row],[Date]])</f>
        <v>10</v>
      </c>
      <c r="T3250" t="str" cm="1">
        <f t="array" ref="T3250">_xlfn.IFS(AND(N3250&lt;= 22, S3250=9), "SOWING",AND(N3250&lt;= 28, S3250=9), "COVERAGE",AND(N3250&lt;= 30, S3250=9), "FLUSH",AND(N3250&lt;= 11, S3250=10), "FLUSH",AND(N3250&lt;= 21, S3250=10), "PRODUCTION")</f>
        <v>FLUSH</v>
      </c>
      <c r="U3250">
        <f>HOUR(datos_siembra[[#This Row],[Hour]])</f>
        <v>8</v>
      </c>
      <c r="V3250" cm="1">
        <f t="array" ref="V3250">_xlfn.IFS(AND(N3250&lt;= 22, S3250=9), N3250-7,AND(N3250&lt;= 28, S3250=9), N3250-25,AND(N3250&lt;= 30, S3250=9), N3250-28,AND(N3250&lt;= 11, S3250=10), N3250+2,AND(N3250&lt;= 21, S3250=10), N3250-11)</f>
        <v>11</v>
      </c>
    </row>
    <row r="3251" spans="1:22" x14ac:dyDescent="0.35">
      <c r="A3251" s="4">
        <v>45574</v>
      </c>
      <c r="B3251" s="5">
        <v>0.36496527777777776</v>
      </c>
      <c r="C3251">
        <v>67.599999999999994</v>
      </c>
      <c r="D3251">
        <v>66.400000000000006</v>
      </c>
      <c r="E3251">
        <v>69</v>
      </c>
      <c r="F3251">
        <v>67.400000000000006</v>
      </c>
      <c r="G3251">
        <v>0</v>
      </c>
      <c r="H3251">
        <v>0</v>
      </c>
      <c r="I3251">
        <v>0</v>
      </c>
      <c r="J3251">
        <v>0</v>
      </c>
      <c r="K3251">
        <v>62.2</v>
      </c>
      <c r="L3251">
        <v>62.6</v>
      </c>
      <c r="M3251">
        <v>67.72</v>
      </c>
      <c r="N3251">
        <v>9</v>
      </c>
      <c r="O3251">
        <v>1</v>
      </c>
      <c r="P3251">
        <f>MOD(DAY(datos_siembra[[#This Row],[Date]]),7)</f>
        <v>2</v>
      </c>
      <c r="Q3251" t="str">
        <f>CHOOSE(WEEKDAY(datos_siembra[[#This Row],[Date]],2),"L","M","X","J","V","S","D")</f>
        <v>X</v>
      </c>
      <c r="R3251">
        <f>WEEKNUM(datos_siembra[[#This Row],[Date]],2)-WEEKNUM(DATE(YEAR(datos_siembra[[#This Row],[Date]]),MONTH(datos_siembra[[#This Row],[Date]]),1))+1</f>
        <v>2</v>
      </c>
      <c r="S3251">
        <f>MONTH(datos_siembra[[#This Row],[Date]])</f>
        <v>10</v>
      </c>
      <c r="T3251" t="str" cm="1">
        <f t="array" ref="T3251">_xlfn.IFS(AND(N3251&lt;= 22, S3251=9), "SOWING",AND(N3251&lt;= 28, S3251=9), "COVERAGE",AND(N3251&lt;= 30, S3251=9), "FLUSH",AND(N3251&lt;= 11, S3251=10), "FLUSH",AND(N3251&lt;= 21, S3251=10), "PRODUCTION")</f>
        <v>FLUSH</v>
      </c>
      <c r="U3251">
        <f>HOUR(datos_siembra[[#This Row],[Hour]])</f>
        <v>8</v>
      </c>
      <c r="V3251" cm="1">
        <f t="array" ref="V3251">_xlfn.IFS(AND(N3251&lt;= 22, S3251=9), N3251-7,AND(N3251&lt;= 28, S3251=9), N3251-25,AND(N3251&lt;= 30, S3251=9), N3251-28,AND(N3251&lt;= 11, S3251=10), N3251+2,AND(N3251&lt;= 21, S3251=10), N3251-11)</f>
        <v>11</v>
      </c>
    </row>
    <row r="3252" spans="1:22" x14ac:dyDescent="0.35">
      <c r="A3252" s="4">
        <v>45574</v>
      </c>
      <c r="B3252" s="5">
        <v>0.37192129629629628</v>
      </c>
      <c r="C3252">
        <v>67.599999999999994</v>
      </c>
      <c r="D3252">
        <v>66.5</v>
      </c>
      <c r="E3252">
        <v>68.8</v>
      </c>
      <c r="F3252">
        <v>67.400000000000006</v>
      </c>
      <c r="G3252">
        <v>0</v>
      </c>
      <c r="H3252">
        <v>0</v>
      </c>
      <c r="I3252">
        <v>0</v>
      </c>
      <c r="J3252">
        <v>0</v>
      </c>
      <c r="K3252">
        <v>62</v>
      </c>
      <c r="L3252">
        <v>62.4</v>
      </c>
      <c r="M3252">
        <v>67.63</v>
      </c>
      <c r="N3252">
        <v>9</v>
      </c>
      <c r="O3252">
        <v>1</v>
      </c>
      <c r="P3252">
        <f>MOD(DAY(datos_siembra[[#This Row],[Date]]),7)</f>
        <v>2</v>
      </c>
      <c r="Q3252" t="str">
        <f>CHOOSE(WEEKDAY(datos_siembra[[#This Row],[Date]],2),"L","M","X","J","V","S","D")</f>
        <v>X</v>
      </c>
      <c r="R3252">
        <f>WEEKNUM(datos_siembra[[#This Row],[Date]],2)-WEEKNUM(DATE(YEAR(datos_siembra[[#This Row],[Date]]),MONTH(datos_siembra[[#This Row],[Date]]),1))+1</f>
        <v>2</v>
      </c>
      <c r="S3252">
        <f>MONTH(datos_siembra[[#This Row],[Date]])</f>
        <v>10</v>
      </c>
      <c r="T3252" t="str" cm="1">
        <f t="array" ref="T3252">_xlfn.IFS(AND(N3252&lt;= 22, S3252=9), "SOWING",AND(N3252&lt;= 28, S3252=9), "COVERAGE",AND(N3252&lt;= 30, S3252=9), "FLUSH",AND(N3252&lt;= 11, S3252=10), "FLUSH",AND(N3252&lt;= 21, S3252=10), "PRODUCTION")</f>
        <v>FLUSH</v>
      </c>
      <c r="U3252">
        <f>HOUR(datos_siembra[[#This Row],[Hour]])</f>
        <v>8</v>
      </c>
      <c r="V3252" cm="1">
        <f t="array" ref="V3252">_xlfn.IFS(AND(N3252&lt;= 22, S3252=9), N3252-7,AND(N3252&lt;= 28, S3252=9), N3252-25,AND(N3252&lt;= 30, S3252=9), N3252-28,AND(N3252&lt;= 11, S3252=10), N3252+2,AND(N3252&lt;= 21, S3252=10), N3252-11)</f>
        <v>11</v>
      </c>
    </row>
    <row r="3253" spans="1:22" x14ac:dyDescent="0.35">
      <c r="A3253" s="4">
        <v>45574</v>
      </c>
      <c r="B3253" s="5">
        <v>0.37886574074074075</v>
      </c>
      <c r="C3253">
        <v>67.599999999999994</v>
      </c>
      <c r="D3253">
        <v>66.599999999999994</v>
      </c>
      <c r="E3253">
        <v>69.099999999999994</v>
      </c>
      <c r="F3253">
        <v>67.3</v>
      </c>
      <c r="G3253">
        <v>0</v>
      </c>
      <c r="H3253">
        <v>0</v>
      </c>
      <c r="I3253">
        <v>0</v>
      </c>
      <c r="J3253">
        <v>0</v>
      </c>
      <c r="K3253">
        <v>62.2</v>
      </c>
      <c r="L3253">
        <v>62.6</v>
      </c>
      <c r="M3253">
        <v>67.66</v>
      </c>
      <c r="N3253">
        <v>9</v>
      </c>
      <c r="O3253">
        <v>1</v>
      </c>
      <c r="P3253">
        <f>MOD(DAY(datos_siembra[[#This Row],[Date]]),7)</f>
        <v>2</v>
      </c>
      <c r="Q3253" t="str">
        <f>CHOOSE(WEEKDAY(datos_siembra[[#This Row],[Date]],2),"L","M","X","J","V","S","D")</f>
        <v>X</v>
      </c>
      <c r="R3253">
        <f>WEEKNUM(datos_siembra[[#This Row],[Date]],2)-WEEKNUM(DATE(YEAR(datos_siembra[[#This Row],[Date]]),MONTH(datos_siembra[[#This Row],[Date]]),1))+1</f>
        <v>2</v>
      </c>
      <c r="S3253">
        <f>MONTH(datos_siembra[[#This Row],[Date]])</f>
        <v>10</v>
      </c>
      <c r="T3253" t="str" cm="1">
        <f t="array" ref="T3253">_xlfn.IFS(AND(N3253&lt;= 22, S3253=9), "SOWING",AND(N3253&lt;= 28, S3253=9), "COVERAGE",AND(N3253&lt;= 30, S3253=9), "FLUSH",AND(N3253&lt;= 11, S3253=10), "FLUSH",AND(N3253&lt;= 21, S3253=10), "PRODUCTION")</f>
        <v>FLUSH</v>
      </c>
      <c r="U3253">
        <f>HOUR(datos_siembra[[#This Row],[Hour]])</f>
        <v>9</v>
      </c>
      <c r="V3253" cm="1">
        <f t="array" ref="V3253">_xlfn.IFS(AND(N3253&lt;= 22, S3253=9), N3253-7,AND(N3253&lt;= 28, S3253=9), N3253-25,AND(N3253&lt;= 30, S3253=9), N3253-28,AND(N3253&lt;= 11, S3253=10), N3253+2,AND(N3253&lt;= 21, S3253=10), N3253-11)</f>
        <v>11</v>
      </c>
    </row>
    <row r="3254" spans="1:22" x14ac:dyDescent="0.35">
      <c r="A3254" s="4">
        <v>45574</v>
      </c>
      <c r="B3254" s="5">
        <v>0.38581018518518517</v>
      </c>
      <c r="C3254">
        <v>67.7</v>
      </c>
      <c r="D3254">
        <v>66.5</v>
      </c>
      <c r="E3254">
        <v>68.900000000000006</v>
      </c>
      <c r="F3254">
        <v>67.099999999999994</v>
      </c>
      <c r="G3254">
        <v>0</v>
      </c>
      <c r="H3254">
        <v>0</v>
      </c>
      <c r="I3254">
        <v>0</v>
      </c>
      <c r="J3254">
        <v>0</v>
      </c>
      <c r="K3254">
        <v>62.3</v>
      </c>
      <c r="L3254">
        <v>62.7</v>
      </c>
      <c r="M3254">
        <v>67.58</v>
      </c>
      <c r="N3254">
        <v>9</v>
      </c>
      <c r="O3254">
        <v>1</v>
      </c>
      <c r="P3254">
        <f>MOD(DAY(datos_siembra[[#This Row],[Date]]),7)</f>
        <v>2</v>
      </c>
      <c r="Q3254" t="str">
        <f>CHOOSE(WEEKDAY(datos_siembra[[#This Row],[Date]],2),"L","M","X","J","V","S","D")</f>
        <v>X</v>
      </c>
      <c r="R3254">
        <f>WEEKNUM(datos_siembra[[#This Row],[Date]],2)-WEEKNUM(DATE(YEAR(datos_siembra[[#This Row],[Date]]),MONTH(datos_siembra[[#This Row],[Date]]),1))+1</f>
        <v>2</v>
      </c>
      <c r="S3254">
        <f>MONTH(datos_siembra[[#This Row],[Date]])</f>
        <v>10</v>
      </c>
      <c r="T3254" t="str" cm="1">
        <f t="array" ref="T3254">_xlfn.IFS(AND(N3254&lt;= 22, S3254=9), "SOWING",AND(N3254&lt;= 28, S3254=9), "COVERAGE",AND(N3254&lt;= 30, S3254=9), "FLUSH",AND(N3254&lt;= 11, S3254=10), "FLUSH",AND(N3254&lt;= 21, S3254=10), "PRODUCTION")</f>
        <v>FLUSH</v>
      </c>
      <c r="U3254">
        <f>HOUR(datos_siembra[[#This Row],[Hour]])</f>
        <v>9</v>
      </c>
      <c r="V3254" cm="1">
        <f t="array" ref="V3254">_xlfn.IFS(AND(N3254&lt;= 22, S3254=9), N3254-7,AND(N3254&lt;= 28, S3254=9), N3254-25,AND(N3254&lt;= 30, S3254=9), N3254-28,AND(N3254&lt;= 11, S3254=10), N3254+2,AND(N3254&lt;= 21, S3254=10), N3254-11)</f>
        <v>11</v>
      </c>
    </row>
    <row r="3255" spans="1:22" x14ac:dyDescent="0.35">
      <c r="A3255" s="4">
        <v>45574</v>
      </c>
      <c r="B3255" s="5">
        <v>0.39276620370370369</v>
      </c>
      <c r="C3255">
        <v>67.599999999999994</v>
      </c>
      <c r="D3255">
        <v>66.5</v>
      </c>
      <c r="E3255">
        <v>69</v>
      </c>
      <c r="F3255">
        <v>67.099999999999994</v>
      </c>
      <c r="G3255">
        <v>0</v>
      </c>
      <c r="H3255">
        <v>0</v>
      </c>
      <c r="I3255">
        <v>0</v>
      </c>
      <c r="J3255">
        <v>0</v>
      </c>
      <c r="K3255">
        <v>62.3</v>
      </c>
      <c r="L3255">
        <v>62.8</v>
      </c>
      <c r="M3255">
        <v>67.55</v>
      </c>
      <c r="N3255">
        <v>9</v>
      </c>
      <c r="O3255">
        <v>1</v>
      </c>
      <c r="P3255">
        <f>MOD(DAY(datos_siembra[[#This Row],[Date]]),7)</f>
        <v>2</v>
      </c>
      <c r="Q3255" t="str">
        <f>CHOOSE(WEEKDAY(datos_siembra[[#This Row],[Date]],2),"L","M","X","J","V","S","D")</f>
        <v>X</v>
      </c>
      <c r="R3255">
        <f>WEEKNUM(datos_siembra[[#This Row],[Date]],2)-WEEKNUM(DATE(YEAR(datos_siembra[[#This Row],[Date]]),MONTH(datos_siembra[[#This Row],[Date]]),1))+1</f>
        <v>2</v>
      </c>
      <c r="S3255">
        <f>MONTH(datos_siembra[[#This Row],[Date]])</f>
        <v>10</v>
      </c>
      <c r="T3255" t="str" cm="1">
        <f t="array" ref="T3255">_xlfn.IFS(AND(N3255&lt;= 22, S3255=9), "SOWING",AND(N3255&lt;= 28, S3255=9), "COVERAGE",AND(N3255&lt;= 30, S3255=9), "FLUSH",AND(N3255&lt;= 11, S3255=10), "FLUSH",AND(N3255&lt;= 21, S3255=10), "PRODUCTION")</f>
        <v>FLUSH</v>
      </c>
      <c r="U3255">
        <f>HOUR(datos_siembra[[#This Row],[Hour]])</f>
        <v>9</v>
      </c>
      <c r="V3255" cm="1">
        <f t="array" ref="V3255">_xlfn.IFS(AND(N3255&lt;= 22, S3255=9), N3255-7,AND(N3255&lt;= 28, S3255=9), N3255-25,AND(N3255&lt;= 30, S3255=9), N3255-28,AND(N3255&lt;= 11, S3255=10), N3255+2,AND(N3255&lt;= 21, S3255=10), N3255-11)</f>
        <v>11</v>
      </c>
    </row>
    <row r="3256" spans="1:22" x14ac:dyDescent="0.35">
      <c r="A3256" s="4">
        <v>45574</v>
      </c>
      <c r="B3256" s="5">
        <v>0.39971064814814816</v>
      </c>
      <c r="C3256">
        <v>67.599999999999994</v>
      </c>
      <c r="D3256">
        <v>66.400000000000006</v>
      </c>
      <c r="E3256">
        <v>69.2</v>
      </c>
      <c r="F3256">
        <v>67.2</v>
      </c>
      <c r="G3256">
        <v>0</v>
      </c>
      <c r="H3256">
        <v>0</v>
      </c>
      <c r="I3256">
        <v>0</v>
      </c>
      <c r="J3256">
        <v>0</v>
      </c>
      <c r="K3256">
        <v>62.3</v>
      </c>
      <c r="L3256">
        <v>62.7</v>
      </c>
      <c r="M3256">
        <v>67.58</v>
      </c>
      <c r="N3256">
        <v>9</v>
      </c>
      <c r="O3256">
        <v>1</v>
      </c>
      <c r="P3256">
        <f>MOD(DAY(datos_siembra[[#This Row],[Date]]),7)</f>
        <v>2</v>
      </c>
      <c r="Q3256" t="str">
        <f>CHOOSE(WEEKDAY(datos_siembra[[#This Row],[Date]],2),"L","M","X","J","V","S","D")</f>
        <v>X</v>
      </c>
      <c r="R3256">
        <f>WEEKNUM(datos_siembra[[#This Row],[Date]],2)-WEEKNUM(DATE(YEAR(datos_siembra[[#This Row],[Date]]),MONTH(datos_siembra[[#This Row],[Date]]),1))+1</f>
        <v>2</v>
      </c>
      <c r="S3256">
        <f>MONTH(datos_siembra[[#This Row],[Date]])</f>
        <v>10</v>
      </c>
      <c r="T3256" t="str" cm="1">
        <f t="array" ref="T3256">_xlfn.IFS(AND(N3256&lt;= 22, S3256=9), "SOWING",AND(N3256&lt;= 28, S3256=9), "COVERAGE",AND(N3256&lt;= 30, S3256=9), "FLUSH",AND(N3256&lt;= 11, S3256=10), "FLUSH",AND(N3256&lt;= 21, S3256=10), "PRODUCTION")</f>
        <v>FLUSH</v>
      </c>
      <c r="U3256">
        <f>HOUR(datos_siembra[[#This Row],[Hour]])</f>
        <v>9</v>
      </c>
      <c r="V3256" cm="1">
        <f t="array" ref="V3256">_xlfn.IFS(AND(N3256&lt;= 22, S3256=9), N3256-7,AND(N3256&lt;= 28, S3256=9), N3256-25,AND(N3256&lt;= 30, S3256=9), N3256-28,AND(N3256&lt;= 11, S3256=10), N3256+2,AND(N3256&lt;= 21, S3256=10), N3256-11)</f>
        <v>11</v>
      </c>
    </row>
    <row r="3257" spans="1:22" x14ac:dyDescent="0.35">
      <c r="A3257" s="4">
        <v>45574</v>
      </c>
      <c r="B3257" s="5">
        <v>0.40665509259259258</v>
      </c>
      <c r="C3257">
        <v>67.599999999999994</v>
      </c>
      <c r="D3257">
        <v>66.5</v>
      </c>
      <c r="E3257">
        <v>68.900000000000006</v>
      </c>
      <c r="F3257">
        <v>67.099999999999994</v>
      </c>
      <c r="G3257">
        <v>0</v>
      </c>
      <c r="H3257">
        <v>0</v>
      </c>
      <c r="I3257">
        <v>0</v>
      </c>
      <c r="J3257">
        <v>0</v>
      </c>
      <c r="K3257">
        <v>62.5</v>
      </c>
      <c r="L3257">
        <v>63.2</v>
      </c>
      <c r="M3257">
        <v>67.63</v>
      </c>
      <c r="N3257">
        <v>9</v>
      </c>
      <c r="O3257">
        <v>1</v>
      </c>
      <c r="P3257">
        <f>MOD(DAY(datos_siembra[[#This Row],[Date]]),7)</f>
        <v>2</v>
      </c>
      <c r="Q3257" t="str">
        <f>CHOOSE(WEEKDAY(datos_siembra[[#This Row],[Date]],2),"L","M","X","J","V","S","D")</f>
        <v>X</v>
      </c>
      <c r="R3257">
        <f>WEEKNUM(datos_siembra[[#This Row],[Date]],2)-WEEKNUM(DATE(YEAR(datos_siembra[[#This Row],[Date]]),MONTH(datos_siembra[[#This Row],[Date]]),1))+1</f>
        <v>2</v>
      </c>
      <c r="S3257">
        <f>MONTH(datos_siembra[[#This Row],[Date]])</f>
        <v>10</v>
      </c>
      <c r="T3257" t="str" cm="1">
        <f t="array" ref="T3257">_xlfn.IFS(AND(N3257&lt;= 22, S3257=9), "SOWING",AND(N3257&lt;= 28, S3257=9), "COVERAGE",AND(N3257&lt;= 30, S3257=9), "FLUSH",AND(N3257&lt;= 11, S3257=10), "FLUSH",AND(N3257&lt;= 21, S3257=10), "PRODUCTION")</f>
        <v>FLUSH</v>
      </c>
      <c r="U3257">
        <f>HOUR(datos_siembra[[#This Row],[Hour]])</f>
        <v>9</v>
      </c>
      <c r="V3257" cm="1">
        <f t="array" ref="V3257">_xlfn.IFS(AND(N3257&lt;= 22, S3257=9), N3257-7,AND(N3257&lt;= 28, S3257=9), N3257-25,AND(N3257&lt;= 30, S3257=9), N3257-28,AND(N3257&lt;= 11, S3257=10), N3257+2,AND(N3257&lt;= 21, S3257=10), N3257-11)</f>
        <v>11</v>
      </c>
    </row>
    <row r="3258" spans="1:22" x14ac:dyDescent="0.35">
      <c r="A3258" s="4">
        <v>45574</v>
      </c>
      <c r="B3258" s="5">
        <v>0.41359953703703706</v>
      </c>
      <c r="C3258">
        <v>67.7</v>
      </c>
      <c r="D3258">
        <v>66.5</v>
      </c>
      <c r="E3258">
        <v>69.7</v>
      </c>
      <c r="F3258">
        <v>67.2</v>
      </c>
      <c r="G3258">
        <v>0</v>
      </c>
      <c r="H3258">
        <v>0</v>
      </c>
      <c r="I3258">
        <v>0</v>
      </c>
      <c r="J3258">
        <v>0</v>
      </c>
      <c r="K3258">
        <v>62.6</v>
      </c>
      <c r="L3258">
        <v>63.3</v>
      </c>
      <c r="M3258">
        <v>67.61</v>
      </c>
      <c r="N3258">
        <v>9</v>
      </c>
      <c r="O3258">
        <v>1</v>
      </c>
      <c r="P3258">
        <f>MOD(DAY(datos_siembra[[#This Row],[Date]]),7)</f>
        <v>2</v>
      </c>
      <c r="Q3258" t="str">
        <f>CHOOSE(WEEKDAY(datos_siembra[[#This Row],[Date]],2),"L","M","X","J","V","S","D")</f>
        <v>X</v>
      </c>
      <c r="R3258">
        <f>WEEKNUM(datos_siembra[[#This Row],[Date]],2)-WEEKNUM(DATE(YEAR(datos_siembra[[#This Row],[Date]]),MONTH(datos_siembra[[#This Row],[Date]]),1))+1</f>
        <v>2</v>
      </c>
      <c r="S3258">
        <f>MONTH(datos_siembra[[#This Row],[Date]])</f>
        <v>10</v>
      </c>
      <c r="T3258" t="str" cm="1">
        <f t="array" ref="T3258">_xlfn.IFS(AND(N3258&lt;= 22, S3258=9), "SOWING",AND(N3258&lt;= 28, S3258=9), "COVERAGE",AND(N3258&lt;= 30, S3258=9), "FLUSH",AND(N3258&lt;= 11, S3258=10), "FLUSH",AND(N3258&lt;= 21, S3258=10), "PRODUCTION")</f>
        <v>FLUSH</v>
      </c>
      <c r="U3258">
        <f>HOUR(datos_siembra[[#This Row],[Hour]])</f>
        <v>9</v>
      </c>
      <c r="V3258" cm="1">
        <f t="array" ref="V3258">_xlfn.IFS(AND(N3258&lt;= 22, S3258=9), N3258-7,AND(N3258&lt;= 28, S3258=9), N3258-25,AND(N3258&lt;= 30, S3258=9), N3258-28,AND(N3258&lt;= 11, S3258=10), N3258+2,AND(N3258&lt;= 21, S3258=10), N3258-11)</f>
        <v>11</v>
      </c>
    </row>
    <row r="3259" spans="1:22" x14ac:dyDescent="0.35">
      <c r="A3259" s="4">
        <v>45574</v>
      </c>
      <c r="B3259" s="5">
        <v>0.42055555555555557</v>
      </c>
      <c r="C3259">
        <v>67.7</v>
      </c>
      <c r="D3259">
        <v>66.5</v>
      </c>
      <c r="E3259">
        <v>69.099999999999994</v>
      </c>
      <c r="F3259">
        <v>67.3</v>
      </c>
      <c r="G3259">
        <v>0</v>
      </c>
      <c r="H3259">
        <v>0</v>
      </c>
      <c r="I3259">
        <v>0</v>
      </c>
      <c r="J3259">
        <v>0</v>
      </c>
      <c r="K3259">
        <v>62.8</v>
      </c>
      <c r="L3259">
        <v>63.5</v>
      </c>
      <c r="M3259">
        <v>67.63</v>
      </c>
      <c r="N3259">
        <v>9</v>
      </c>
      <c r="O3259">
        <v>1</v>
      </c>
      <c r="P3259">
        <f>MOD(DAY(datos_siembra[[#This Row],[Date]]),7)</f>
        <v>2</v>
      </c>
      <c r="Q3259" t="str">
        <f>CHOOSE(WEEKDAY(datos_siembra[[#This Row],[Date]],2),"L","M","X","J","V","S","D")</f>
        <v>X</v>
      </c>
      <c r="R3259">
        <f>WEEKNUM(datos_siembra[[#This Row],[Date]],2)-WEEKNUM(DATE(YEAR(datos_siembra[[#This Row],[Date]]),MONTH(datos_siembra[[#This Row],[Date]]),1))+1</f>
        <v>2</v>
      </c>
      <c r="S3259">
        <f>MONTH(datos_siembra[[#This Row],[Date]])</f>
        <v>10</v>
      </c>
      <c r="T3259" t="str" cm="1">
        <f t="array" ref="T3259">_xlfn.IFS(AND(N3259&lt;= 22, S3259=9), "SOWING",AND(N3259&lt;= 28, S3259=9), "COVERAGE",AND(N3259&lt;= 30, S3259=9), "FLUSH",AND(N3259&lt;= 11, S3259=10), "FLUSH",AND(N3259&lt;= 21, S3259=10), "PRODUCTION")</f>
        <v>FLUSH</v>
      </c>
      <c r="U3259">
        <f>HOUR(datos_siembra[[#This Row],[Hour]])</f>
        <v>10</v>
      </c>
      <c r="V3259" cm="1">
        <f t="array" ref="V3259">_xlfn.IFS(AND(N3259&lt;= 22, S3259=9), N3259-7,AND(N3259&lt;= 28, S3259=9), N3259-25,AND(N3259&lt;= 30, S3259=9), N3259-28,AND(N3259&lt;= 11, S3259=10), N3259+2,AND(N3259&lt;= 21, S3259=10), N3259-11)</f>
        <v>11</v>
      </c>
    </row>
    <row r="3260" spans="1:22" x14ac:dyDescent="0.35">
      <c r="A3260" s="4">
        <v>45574</v>
      </c>
      <c r="B3260" s="5">
        <v>0.42749999999999999</v>
      </c>
      <c r="C3260">
        <v>67.599999999999994</v>
      </c>
      <c r="D3260">
        <v>66.5</v>
      </c>
      <c r="E3260">
        <v>69.2</v>
      </c>
      <c r="F3260">
        <v>67.3</v>
      </c>
      <c r="G3260">
        <v>0</v>
      </c>
      <c r="H3260">
        <v>0</v>
      </c>
      <c r="I3260">
        <v>0</v>
      </c>
      <c r="J3260">
        <v>0</v>
      </c>
      <c r="K3260">
        <v>62.7</v>
      </c>
      <c r="L3260">
        <v>63.3</v>
      </c>
      <c r="M3260">
        <v>67.61</v>
      </c>
      <c r="N3260">
        <v>9</v>
      </c>
      <c r="O3260">
        <v>1</v>
      </c>
      <c r="P3260">
        <f>MOD(DAY(datos_siembra[[#This Row],[Date]]),7)</f>
        <v>2</v>
      </c>
      <c r="Q3260" t="str">
        <f>CHOOSE(WEEKDAY(datos_siembra[[#This Row],[Date]],2),"L","M","X","J","V","S","D")</f>
        <v>X</v>
      </c>
      <c r="R3260">
        <f>WEEKNUM(datos_siembra[[#This Row],[Date]],2)-WEEKNUM(DATE(YEAR(datos_siembra[[#This Row],[Date]]),MONTH(datos_siembra[[#This Row],[Date]]),1))+1</f>
        <v>2</v>
      </c>
      <c r="S3260">
        <f>MONTH(datos_siembra[[#This Row],[Date]])</f>
        <v>10</v>
      </c>
      <c r="T3260" t="str" cm="1">
        <f t="array" ref="T3260">_xlfn.IFS(AND(N3260&lt;= 22, S3260=9), "SOWING",AND(N3260&lt;= 28, S3260=9), "COVERAGE",AND(N3260&lt;= 30, S3260=9), "FLUSH",AND(N3260&lt;= 11, S3260=10), "FLUSH",AND(N3260&lt;= 21, S3260=10), "PRODUCTION")</f>
        <v>FLUSH</v>
      </c>
      <c r="U3260">
        <f>HOUR(datos_siembra[[#This Row],[Hour]])</f>
        <v>10</v>
      </c>
      <c r="V3260" cm="1">
        <f t="array" ref="V3260">_xlfn.IFS(AND(N3260&lt;= 22, S3260=9), N3260-7,AND(N3260&lt;= 28, S3260=9), N3260-25,AND(N3260&lt;= 30, S3260=9), N3260-28,AND(N3260&lt;= 11, S3260=10), N3260+2,AND(N3260&lt;= 21, S3260=10), N3260-11)</f>
        <v>11</v>
      </c>
    </row>
    <row r="3261" spans="1:22" x14ac:dyDescent="0.35">
      <c r="A3261" s="4">
        <v>45574</v>
      </c>
      <c r="B3261" s="5">
        <v>0.43444444444444447</v>
      </c>
      <c r="C3261">
        <v>67.599999999999994</v>
      </c>
      <c r="D3261">
        <v>66.5</v>
      </c>
      <c r="E3261">
        <v>69</v>
      </c>
      <c r="F3261">
        <v>67.099999999999994</v>
      </c>
      <c r="G3261">
        <v>0</v>
      </c>
      <c r="H3261">
        <v>0</v>
      </c>
      <c r="I3261">
        <v>0</v>
      </c>
      <c r="J3261">
        <v>0</v>
      </c>
      <c r="K3261">
        <v>62.7</v>
      </c>
      <c r="L3261">
        <v>63.4</v>
      </c>
      <c r="M3261">
        <v>67.52</v>
      </c>
      <c r="N3261">
        <v>9</v>
      </c>
      <c r="O3261">
        <v>1</v>
      </c>
      <c r="P3261">
        <f>MOD(DAY(datos_siembra[[#This Row],[Date]]),7)</f>
        <v>2</v>
      </c>
      <c r="Q3261" t="str">
        <f>CHOOSE(WEEKDAY(datos_siembra[[#This Row],[Date]],2),"L","M","X","J","V","S","D")</f>
        <v>X</v>
      </c>
      <c r="R3261">
        <f>WEEKNUM(datos_siembra[[#This Row],[Date]],2)-WEEKNUM(DATE(YEAR(datos_siembra[[#This Row],[Date]]),MONTH(datos_siembra[[#This Row],[Date]]),1))+1</f>
        <v>2</v>
      </c>
      <c r="S3261">
        <f>MONTH(datos_siembra[[#This Row],[Date]])</f>
        <v>10</v>
      </c>
      <c r="T3261" t="str" cm="1">
        <f t="array" ref="T3261">_xlfn.IFS(AND(N3261&lt;= 22, S3261=9), "SOWING",AND(N3261&lt;= 28, S3261=9), "COVERAGE",AND(N3261&lt;= 30, S3261=9), "FLUSH",AND(N3261&lt;= 11, S3261=10), "FLUSH",AND(N3261&lt;= 21, S3261=10), "PRODUCTION")</f>
        <v>FLUSH</v>
      </c>
      <c r="U3261">
        <f>HOUR(datos_siembra[[#This Row],[Hour]])</f>
        <v>10</v>
      </c>
      <c r="V3261" cm="1">
        <f t="array" ref="V3261">_xlfn.IFS(AND(N3261&lt;= 22, S3261=9), N3261-7,AND(N3261&lt;= 28, S3261=9), N3261-25,AND(N3261&lt;= 30, S3261=9), N3261-28,AND(N3261&lt;= 11, S3261=10), N3261+2,AND(N3261&lt;= 21, S3261=10), N3261-11)</f>
        <v>11</v>
      </c>
    </row>
    <row r="3262" spans="1:22" x14ac:dyDescent="0.35">
      <c r="A3262" s="4">
        <v>45574</v>
      </c>
      <c r="B3262" s="5">
        <v>0.44140046296296298</v>
      </c>
      <c r="C3262">
        <v>67.599999999999994</v>
      </c>
      <c r="D3262">
        <v>66.5</v>
      </c>
      <c r="E3262">
        <v>69.400000000000006</v>
      </c>
      <c r="F3262">
        <v>67.099999999999994</v>
      </c>
      <c r="G3262">
        <v>0</v>
      </c>
      <c r="H3262">
        <v>0</v>
      </c>
      <c r="I3262">
        <v>0</v>
      </c>
      <c r="J3262">
        <v>0</v>
      </c>
      <c r="K3262">
        <v>62.8</v>
      </c>
      <c r="L3262">
        <v>63.3</v>
      </c>
      <c r="M3262">
        <v>67.63</v>
      </c>
      <c r="N3262">
        <v>9</v>
      </c>
      <c r="O3262">
        <v>1</v>
      </c>
      <c r="P3262">
        <f>MOD(DAY(datos_siembra[[#This Row],[Date]]),7)</f>
        <v>2</v>
      </c>
      <c r="Q3262" t="str">
        <f>CHOOSE(WEEKDAY(datos_siembra[[#This Row],[Date]],2),"L","M","X","J","V","S","D")</f>
        <v>X</v>
      </c>
      <c r="R3262">
        <f>WEEKNUM(datos_siembra[[#This Row],[Date]],2)-WEEKNUM(DATE(YEAR(datos_siembra[[#This Row],[Date]]),MONTH(datos_siembra[[#This Row],[Date]]),1))+1</f>
        <v>2</v>
      </c>
      <c r="S3262">
        <f>MONTH(datos_siembra[[#This Row],[Date]])</f>
        <v>10</v>
      </c>
      <c r="T3262" t="str" cm="1">
        <f t="array" ref="T3262">_xlfn.IFS(AND(N3262&lt;= 22, S3262=9), "SOWING",AND(N3262&lt;= 28, S3262=9), "COVERAGE",AND(N3262&lt;= 30, S3262=9), "FLUSH",AND(N3262&lt;= 11, S3262=10), "FLUSH",AND(N3262&lt;= 21, S3262=10), "PRODUCTION")</f>
        <v>FLUSH</v>
      </c>
      <c r="U3262">
        <f>HOUR(datos_siembra[[#This Row],[Hour]])</f>
        <v>10</v>
      </c>
      <c r="V3262" cm="1">
        <f t="array" ref="V3262">_xlfn.IFS(AND(N3262&lt;= 22, S3262=9), N3262-7,AND(N3262&lt;= 28, S3262=9), N3262-25,AND(N3262&lt;= 30, S3262=9), N3262-28,AND(N3262&lt;= 11, S3262=10), N3262+2,AND(N3262&lt;= 21, S3262=10), N3262-11)</f>
        <v>11</v>
      </c>
    </row>
    <row r="3263" spans="1:22" x14ac:dyDescent="0.35">
      <c r="A3263" s="4">
        <v>45574</v>
      </c>
      <c r="B3263" s="5">
        <v>0.4483449074074074</v>
      </c>
      <c r="C3263">
        <v>67.599999999999994</v>
      </c>
      <c r="D3263">
        <v>66.5</v>
      </c>
      <c r="E3263">
        <v>68.900000000000006</v>
      </c>
      <c r="F3263">
        <v>67.099999999999994</v>
      </c>
      <c r="G3263">
        <v>0</v>
      </c>
      <c r="H3263">
        <v>0</v>
      </c>
      <c r="I3263">
        <v>0</v>
      </c>
      <c r="J3263">
        <v>0</v>
      </c>
      <c r="K3263">
        <v>62.9</v>
      </c>
      <c r="L3263">
        <v>63.6</v>
      </c>
      <c r="M3263">
        <v>67.52</v>
      </c>
      <c r="N3263">
        <v>9</v>
      </c>
      <c r="O3263">
        <v>1</v>
      </c>
      <c r="P3263">
        <f>MOD(DAY(datos_siembra[[#This Row],[Date]]),7)</f>
        <v>2</v>
      </c>
      <c r="Q3263" t="str">
        <f>CHOOSE(WEEKDAY(datos_siembra[[#This Row],[Date]],2),"L","M","X","J","V","S","D")</f>
        <v>X</v>
      </c>
      <c r="R3263">
        <f>WEEKNUM(datos_siembra[[#This Row],[Date]],2)-WEEKNUM(DATE(YEAR(datos_siembra[[#This Row],[Date]]),MONTH(datos_siembra[[#This Row],[Date]]),1))+1</f>
        <v>2</v>
      </c>
      <c r="S3263">
        <f>MONTH(datos_siembra[[#This Row],[Date]])</f>
        <v>10</v>
      </c>
      <c r="T3263" t="str" cm="1">
        <f t="array" ref="T3263">_xlfn.IFS(AND(N3263&lt;= 22, S3263=9), "SOWING",AND(N3263&lt;= 28, S3263=9), "COVERAGE",AND(N3263&lt;= 30, S3263=9), "FLUSH",AND(N3263&lt;= 11, S3263=10), "FLUSH",AND(N3263&lt;= 21, S3263=10), "PRODUCTION")</f>
        <v>FLUSH</v>
      </c>
      <c r="U3263">
        <f>HOUR(datos_siembra[[#This Row],[Hour]])</f>
        <v>10</v>
      </c>
      <c r="V3263" cm="1">
        <f t="array" ref="V3263">_xlfn.IFS(AND(N3263&lt;= 22, S3263=9), N3263-7,AND(N3263&lt;= 28, S3263=9), N3263-25,AND(N3263&lt;= 30, S3263=9), N3263-28,AND(N3263&lt;= 11, S3263=10), N3263+2,AND(N3263&lt;= 21, S3263=10), N3263-11)</f>
        <v>11</v>
      </c>
    </row>
    <row r="3264" spans="1:22" x14ac:dyDescent="0.35">
      <c r="A3264" s="4">
        <v>45574</v>
      </c>
      <c r="B3264" s="5">
        <v>0.45528935185185188</v>
      </c>
      <c r="C3264">
        <v>67.400000000000006</v>
      </c>
      <c r="D3264">
        <v>66.3</v>
      </c>
      <c r="E3264">
        <v>69</v>
      </c>
      <c r="F3264">
        <v>67.3</v>
      </c>
      <c r="G3264">
        <v>0</v>
      </c>
      <c r="H3264">
        <v>0</v>
      </c>
      <c r="I3264">
        <v>0</v>
      </c>
      <c r="J3264">
        <v>0</v>
      </c>
      <c r="K3264">
        <v>62.9</v>
      </c>
      <c r="L3264">
        <v>63.5</v>
      </c>
      <c r="M3264">
        <v>67.63</v>
      </c>
      <c r="N3264">
        <v>9</v>
      </c>
      <c r="O3264">
        <v>1</v>
      </c>
      <c r="P3264">
        <f>MOD(DAY(datos_siembra[[#This Row],[Date]]),7)</f>
        <v>2</v>
      </c>
      <c r="Q3264" t="str">
        <f>CHOOSE(WEEKDAY(datos_siembra[[#This Row],[Date]],2),"L","M","X","J","V","S","D")</f>
        <v>X</v>
      </c>
      <c r="R3264">
        <f>WEEKNUM(datos_siembra[[#This Row],[Date]],2)-WEEKNUM(DATE(YEAR(datos_siembra[[#This Row],[Date]]),MONTH(datos_siembra[[#This Row],[Date]]),1))+1</f>
        <v>2</v>
      </c>
      <c r="S3264">
        <f>MONTH(datos_siembra[[#This Row],[Date]])</f>
        <v>10</v>
      </c>
      <c r="T3264" t="str" cm="1">
        <f t="array" ref="T3264">_xlfn.IFS(AND(N3264&lt;= 22, S3264=9), "SOWING",AND(N3264&lt;= 28, S3264=9), "COVERAGE",AND(N3264&lt;= 30, S3264=9), "FLUSH",AND(N3264&lt;= 11, S3264=10), "FLUSH",AND(N3264&lt;= 21, S3264=10), "PRODUCTION")</f>
        <v>FLUSH</v>
      </c>
      <c r="U3264">
        <f>HOUR(datos_siembra[[#This Row],[Hour]])</f>
        <v>10</v>
      </c>
      <c r="V3264" cm="1">
        <f t="array" ref="V3264">_xlfn.IFS(AND(N3264&lt;= 22, S3264=9), N3264-7,AND(N3264&lt;= 28, S3264=9), N3264-25,AND(N3264&lt;= 30, S3264=9), N3264-28,AND(N3264&lt;= 11, S3264=10), N3264+2,AND(N3264&lt;= 21, S3264=10), N3264-11)</f>
        <v>11</v>
      </c>
    </row>
    <row r="3265" spans="1:22" x14ac:dyDescent="0.35">
      <c r="A3265" s="4">
        <v>45574</v>
      </c>
      <c r="B3265" s="5">
        <v>0.4622337962962963</v>
      </c>
      <c r="C3265">
        <v>67.599999999999994</v>
      </c>
      <c r="D3265">
        <v>66.5</v>
      </c>
      <c r="E3265">
        <v>69.099999999999994</v>
      </c>
      <c r="F3265">
        <v>67.099999999999994</v>
      </c>
      <c r="G3265">
        <v>0</v>
      </c>
      <c r="H3265">
        <v>0</v>
      </c>
      <c r="I3265">
        <v>0</v>
      </c>
      <c r="J3265">
        <v>0</v>
      </c>
      <c r="K3265">
        <v>62.9</v>
      </c>
      <c r="L3265">
        <v>63.5</v>
      </c>
      <c r="M3265">
        <v>67.66</v>
      </c>
      <c r="N3265">
        <v>9</v>
      </c>
      <c r="O3265">
        <v>1</v>
      </c>
      <c r="P3265">
        <f>MOD(DAY(datos_siembra[[#This Row],[Date]]),7)</f>
        <v>2</v>
      </c>
      <c r="Q3265" t="str">
        <f>CHOOSE(WEEKDAY(datos_siembra[[#This Row],[Date]],2),"L","M","X","J","V","S","D")</f>
        <v>X</v>
      </c>
      <c r="R3265">
        <f>WEEKNUM(datos_siembra[[#This Row],[Date]],2)-WEEKNUM(DATE(YEAR(datos_siembra[[#This Row],[Date]]),MONTH(datos_siembra[[#This Row],[Date]]),1))+1</f>
        <v>2</v>
      </c>
      <c r="S3265">
        <f>MONTH(datos_siembra[[#This Row],[Date]])</f>
        <v>10</v>
      </c>
      <c r="T3265" t="str" cm="1">
        <f t="array" ref="T3265">_xlfn.IFS(AND(N3265&lt;= 22, S3265=9), "SOWING",AND(N3265&lt;= 28, S3265=9), "COVERAGE",AND(N3265&lt;= 30, S3265=9), "FLUSH",AND(N3265&lt;= 11, S3265=10), "FLUSH",AND(N3265&lt;= 21, S3265=10), "PRODUCTION")</f>
        <v>FLUSH</v>
      </c>
      <c r="U3265">
        <f>HOUR(datos_siembra[[#This Row],[Hour]])</f>
        <v>11</v>
      </c>
      <c r="V3265" cm="1">
        <f t="array" ref="V3265">_xlfn.IFS(AND(N3265&lt;= 22, S3265=9), N3265-7,AND(N3265&lt;= 28, S3265=9), N3265-25,AND(N3265&lt;= 30, S3265=9), N3265-28,AND(N3265&lt;= 11, S3265=10), N3265+2,AND(N3265&lt;= 21, S3265=10), N3265-11)</f>
        <v>11</v>
      </c>
    </row>
    <row r="3266" spans="1:22" x14ac:dyDescent="0.35">
      <c r="A3266" s="4">
        <v>45574</v>
      </c>
      <c r="B3266" s="5">
        <v>0.46918981481481481</v>
      </c>
      <c r="C3266">
        <v>67.599999999999994</v>
      </c>
      <c r="D3266">
        <v>66.5</v>
      </c>
      <c r="E3266">
        <v>69</v>
      </c>
      <c r="F3266">
        <v>67.099999999999994</v>
      </c>
      <c r="G3266">
        <v>0</v>
      </c>
      <c r="H3266">
        <v>0</v>
      </c>
      <c r="I3266">
        <v>0</v>
      </c>
      <c r="J3266">
        <v>0</v>
      </c>
      <c r="K3266">
        <v>63.2</v>
      </c>
      <c r="L3266">
        <v>63.7</v>
      </c>
      <c r="M3266">
        <v>67.58</v>
      </c>
      <c r="N3266">
        <v>9</v>
      </c>
      <c r="O3266">
        <v>1</v>
      </c>
      <c r="P3266">
        <f>MOD(DAY(datos_siembra[[#This Row],[Date]]),7)</f>
        <v>2</v>
      </c>
      <c r="Q3266" t="str">
        <f>CHOOSE(WEEKDAY(datos_siembra[[#This Row],[Date]],2),"L","M","X","J","V","S","D")</f>
        <v>X</v>
      </c>
      <c r="R3266">
        <f>WEEKNUM(datos_siembra[[#This Row],[Date]],2)-WEEKNUM(DATE(YEAR(datos_siembra[[#This Row],[Date]]),MONTH(datos_siembra[[#This Row],[Date]]),1))+1</f>
        <v>2</v>
      </c>
      <c r="S3266">
        <f>MONTH(datos_siembra[[#This Row],[Date]])</f>
        <v>10</v>
      </c>
      <c r="T3266" t="str" cm="1">
        <f t="array" ref="T3266">_xlfn.IFS(AND(N3266&lt;= 22, S3266=9), "SOWING",AND(N3266&lt;= 28, S3266=9), "COVERAGE",AND(N3266&lt;= 30, S3266=9), "FLUSH",AND(N3266&lt;= 11, S3266=10), "FLUSH",AND(N3266&lt;= 21, S3266=10), "PRODUCTION")</f>
        <v>FLUSH</v>
      </c>
      <c r="U3266">
        <f>HOUR(datos_siembra[[#This Row],[Hour]])</f>
        <v>11</v>
      </c>
      <c r="V3266" cm="1">
        <f t="array" ref="V3266">_xlfn.IFS(AND(N3266&lt;= 22, S3266=9), N3266-7,AND(N3266&lt;= 28, S3266=9), N3266-25,AND(N3266&lt;= 30, S3266=9), N3266-28,AND(N3266&lt;= 11, S3266=10), N3266+2,AND(N3266&lt;= 21, S3266=10), N3266-11)</f>
        <v>11</v>
      </c>
    </row>
    <row r="3267" spans="1:22" x14ac:dyDescent="0.35">
      <c r="A3267" s="4">
        <v>45574</v>
      </c>
      <c r="B3267" s="5">
        <v>0.47613425925925928</v>
      </c>
      <c r="C3267">
        <v>67.3</v>
      </c>
      <c r="D3267">
        <v>66.400000000000006</v>
      </c>
      <c r="E3267">
        <v>69</v>
      </c>
      <c r="F3267">
        <v>67</v>
      </c>
      <c r="G3267">
        <v>0</v>
      </c>
      <c r="H3267">
        <v>0</v>
      </c>
      <c r="I3267">
        <v>0</v>
      </c>
      <c r="J3267">
        <v>0</v>
      </c>
      <c r="K3267">
        <v>63.5</v>
      </c>
      <c r="L3267">
        <v>64.2</v>
      </c>
      <c r="M3267">
        <v>67.58</v>
      </c>
      <c r="N3267">
        <v>9</v>
      </c>
      <c r="O3267">
        <v>1</v>
      </c>
      <c r="P3267">
        <f>MOD(DAY(datos_siembra[[#This Row],[Date]]),7)</f>
        <v>2</v>
      </c>
      <c r="Q3267" t="str">
        <f>CHOOSE(WEEKDAY(datos_siembra[[#This Row],[Date]],2),"L","M","X","J","V","S","D")</f>
        <v>X</v>
      </c>
      <c r="R3267">
        <f>WEEKNUM(datos_siembra[[#This Row],[Date]],2)-WEEKNUM(DATE(YEAR(datos_siembra[[#This Row],[Date]]),MONTH(datos_siembra[[#This Row],[Date]]),1))+1</f>
        <v>2</v>
      </c>
      <c r="S3267">
        <f>MONTH(datos_siembra[[#This Row],[Date]])</f>
        <v>10</v>
      </c>
      <c r="T3267" t="str" cm="1">
        <f t="array" ref="T3267">_xlfn.IFS(AND(N3267&lt;= 22, S3267=9), "SOWING",AND(N3267&lt;= 28, S3267=9), "COVERAGE",AND(N3267&lt;= 30, S3267=9), "FLUSH",AND(N3267&lt;= 11, S3267=10), "FLUSH",AND(N3267&lt;= 21, S3267=10), "PRODUCTION")</f>
        <v>FLUSH</v>
      </c>
      <c r="U3267">
        <f>HOUR(datos_siembra[[#This Row],[Hour]])</f>
        <v>11</v>
      </c>
      <c r="V3267" cm="1">
        <f t="array" ref="V3267">_xlfn.IFS(AND(N3267&lt;= 22, S3267=9), N3267-7,AND(N3267&lt;= 28, S3267=9), N3267-25,AND(N3267&lt;= 30, S3267=9), N3267-28,AND(N3267&lt;= 11, S3267=10), N3267+2,AND(N3267&lt;= 21, S3267=10), N3267-11)</f>
        <v>11</v>
      </c>
    </row>
    <row r="3268" spans="1:22" x14ac:dyDescent="0.35">
      <c r="A3268" s="4">
        <v>45574</v>
      </c>
      <c r="B3268" s="5">
        <v>0.4830787037037037</v>
      </c>
      <c r="C3268">
        <v>67.400000000000006</v>
      </c>
      <c r="D3268">
        <v>66.5</v>
      </c>
      <c r="E3268">
        <v>69.099999999999994</v>
      </c>
      <c r="F3268">
        <v>67.2</v>
      </c>
      <c r="G3268">
        <v>0</v>
      </c>
      <c r="H3268">
        <v>0</v>
      </c>
      <c r="I3268">
        <v>0</v>
      </c>
      <c r="J3268">
        <v>0</v>
      </c>
      <c r="K3268">
        <v>63.7</v>
      </c>
      <c r="L3268">
        <v>64.5</v>
      </c>
      <c r="M3268">
        <v>67.58</v>
      </c>
      <c r="N3268">
        <v>9</v>
      </c>
      <c r="O3268">
        <v>1</v>
      </c>
      <c r="P3268">
        <f>MOD(DAY(datos_siembra[[#This Row],[Date]]),7)</f>
        <v>2</v>
      </c>
      <c r="Q3268" t="str">
        <f>CHOOSE(WEEKDAY(datos_siembra[[#This Row],[Date]],2),"L","M","X","J","V","S","D")</f>
        <v>X</v>
      </c>
      <c r="R3268">
        <f>WEEKNUM(datos_siembra[[#This Row],[Date]],2)-WEEKNUM(DATE(YEAR(datos_siembra[[#This Row],[Date]]),MONTH(datos_siembra[[#This Row],[Date]]),1))+1</f>
        <v>2</v>
      </c>
      <c r="S3268">
        <f>MONTH(datos_siembra[[#This Row],[Date]])</f>
        <v>10</v>
      </c>
      <c r="T3268" t="str" cm="1">
        <f t="array" ref="T3268">_xlfn.IFS(AND(N3268&lt;= 22, S3268=9), "SOWING",AND(N3268&lt;= 28, S3268=9), "COVERAGE",AND(N3268&lt;= 30, S3268=9), "FLUSH",AND(N3268&lt;= 11, S3268=10), "FLUSH",AND(N3268&lt;= 21, S3268=10), "PRODUCTION")</f>
        <v>FLUSH</v>
      </c>
      <c r="U3268">
        <f>HOUR(datos_siembra[[#This Row],[Hour]])</f>
        <v>11</v>
      </c>
      <c r="V3268" cm="1">
        <f t="array" ref="V3268">_xlfn.IFS(AND(N3268&lt;= 22, S3268=9), N3268-7,AND(N3268&lt;= 28, S3268=9), N3268-25,AND(N3268&lt;= 30, S3268=9), N3268-28,AND(N3268&lt;= 11, S3268=10), N3268+2,AND(N3268&lt;= 21, S3268=10), N3268-11)</f>
        <v>11</v>
      </c>
    </row>
    <row r="3269" spans="1:22" x14ac:dyDescent="0.35">
      <c r="A3269" s="4">
        <v>45574</v>
      </c>
      <c r="B3269" s="5">
        <v>0.49003472222222222</v>
      </c>
      <c r="C3269">
        <v>67.7</v>
      </c>
      <c r="D3269">
        <v>66.5</v>
      </c>
      <c r="E3269">
        <v>69.400000000000006</v>
      </c>
      <c r="F3269">
        <v>67.099999999999994</v>
      </c>
      <c r="G3269">
        <v>0</v>
      </c>
      <c r="H3269">
        <v>0</v>
      </c>
      <c r="I3269">
        <v>0</v>
      </c>
      <c r="J3269">
        <v>0</v>
      </c>
      <c r="K3269">
        <v>63.8</v>
      </c>
      <c r="L3269">
        <v>64.599999999999994</v>
      </c>
      <c r="M3269">
        <v>67.61</v>
      </c>
      <c r="N3269">
        <v>9</v>
      </c>
      <c r="O3269">
        <v>1</v>
      </c>
      <c r="P3269">
        <f>MOD(DAY(datos_siembra[[#This Row],[Date]]),7)</f>
        <v>2</v>
      </c>
      <c r="Q3269" t="str">
        <f>CHOOSE(WEEKDAY(datos_siembra[[#This Row],[Date]],2),"L","M","X","J","V","S","D")</f>
        <v>X</v>
      </c>
      <c r="R3269">
        <f>WEEKNUM(datos_siembra[[#This Row],[Date]],2)-WEEKNUM(DATE(YEAR(datos_siembra[[#This Row],[Date]]),MONTH(datos_siembra[[#This Row],[Date]]),1))+1</f>
        <v>2</v>
      </c>
      <c r="S3269">
        <f>MONTH(datos_siembra[[#This Row],[Date]])</f>
        <v>10</v>
      </c>
      <c r="T3269" t="str" cm="1">
        <f t="array" ref="T3269">_xlfn.IFS(AND(N3269&lt;= 22, S3269=9), "SOWING",AND(N3269&lt;= 28, S3269=9), "COVERAGE",AND(N3269&lt;= 30, S3269=9), "FLUSH",AND(N3269&lt;= 11, S3269=10), "FLUSH",AND(N3269&lt;= 21, S3269=10), "PRODUCTION")</f>
        <v>FLUSH</v>
      </c>
      <c r="U3269">
        <f>HOUR(datos_siembra[[#This Row],[Hour]])</f>
        <v>11</v>
      </c>
      <c r="V3269" cm="1">
        <f t="array" ref="V3269">_xlfn.IFS(AND(N3269&lt;= 22, S3269=9), N3269-7,AND(N3269&lt;= 28, S3269=9), N3269-25,AND(N3269&lt;= 30, S3269=9), N3269-28,AND(N3269&lt;= 11, S3269=10), N3269+2,AND(N3269&lt;= 21, S3269=10), N3269-11)</f>
        <v>11</v>
      </c>
    </row>
    <row r="3270" spans="1:22" x14ac:dyDescent="0.35">
      <c r="A3270" s="4">
        <v>45574</v>
      </c>
      <c r="B3270" s="5">
        <v>0.49697916666666669</v>
      </c>
      <c r="C3270">
        <v>67.400000000000006</v>
      </c>
      <c r="D3270">
        <v>66.5</v>
      </c>
      <c r="E3270">
        <v>69</v>
      </c>
      <c r="F3270">
        <v>67.099999999999994</v>
      </c>
      <c r="G3270">
        <v>0</v>
      </c>
      <c r="H3270">
        <v>0</v>
      </c>
      <c r="I3270">
        <v>0</v>
      </c>
      <c r="J3270">
        <v>0</v>
      </c>
      <c r="K3270">
        <v>63.8</v>
      </c>
      <c r="L3270">
        <v>64.599999999999994</v>
      </c>
      <c r="M3270">
        <v>67.55</v>
      </c>
      <c r="N3270">
        <v>9</v>
      </c>
      <c r="O3270">
        <v>1</v>
      </c>
      <c r="P3270">
        <f>MOD(DAY(datos_siembra[[#This Row],[Date]]),7)</f>
        <v>2</v>
      </c>
      <c r="Q3270" t="str">
        <f>CHOOSE(WEEKDAY(datos_siembra[[#This Row],[Date]],2),"L","M","X","J","V","S","D")</f>
        <v>X</v>
      </c>
      <c r="R3270">
        <f>WEEKNUM(datos_siembra[[#This Row],[Date]],2)-WEEKNUM(DATE(YEAR(datos_siembra[[#This Row],[Date]]),MONTH(datos_siembra[[#This Row],[Date]]),1))+1</f>
        <v>2</v>
      </c>
      <c r="S3270">
        <f>MONTH(datos_siembra[[#This Row],[Date]])</f>
        <v>10</v>
      </c>
      <c r="T3270" t="str" cm="1">
        <f t="array" ref="T3270">_xlfn.IFS(AND(N3270&lt;= 22, S3270=9), "SOWING",AND(N3270&lt;= 28, S3270=9), "COVERAGE",AND(N3270&lt;= 30, S3270=9), "FLUSH",AND(N3270&lt;= 11, S3270=10), "FLUSH",AND(N3270&lt;= 21, S3270=10), "PRODUCTION")</f>
        <v>FLUSH</v>
      </c>
      <c r="U3270">
        <f>HOUR(datos_siembra[[#This Row],[Hour]])</f>
        <v>11</v>
      </c>
      <c r="V3270" cm="1">
        <f t="array" ref="V3270">_xlfn.IFS(AND(N3270&lt;= 22, S3270=9), N3270-7,AND(N3270&lt;= 28, S3270=9), N3270-25,AND(N3270&lt;= 30, S3270=9), N3270-28,AND(N3270&lt;= 11, S3270=10), N3270+2,AND(N3270&lt;= 21, S3270=10), N3270-11)</f>
        <v>11</v>
      </c>
    </row>
    <row r="3271" spans="1:22" x14ac:dyDescent="0.35">
      <c r="A3271" s="4">
        <v>45574</v>
      </c>
      <c r="B3271" s="5">
        <v>0.50392361111111106</v>
      </c>
      <c r="C3271">
        <v>67.599999999999994</v>
      </c>
      <c r="D3271">
        <v>66.400000000000006</v>
      </c>
      <c r="E3271">
        <v>69.2</v>
      </c>
      <c r="F3271">
        <v>67</v>
      </c>
      <c r="G3271">
        <v>0</v>
      </c>
      <c r="H3271">
        <v>0</v>
      </c>
      <c r="I3271">
        <v>0</v>
      </c>
      <c r="J3271">
        <v>0</v>
      </c>
      <c r="K3271">
        <v>64.099999999999994</v>
      </c>
      <c r="L3271">
        <v>64.900000000000006</v>
      </c>
      <c r="M3271">
        <v>67.55</v>
      </c>
      <c r="N3271">
        <v>9</v>
      </c>
      <c r="O3271">
        <v>1</v>
      </c>
      <c r="P3271">
        <f>MOD(DAY(datos_siembra[[#This Row],[Date]]),7)</f>
        <v>2</v>
      </c>
      <c r="Q3271" t="str">
        <f>CHOOSE(WEEKDAY(datos_siembra[[#This Row],[Date]],2),"L","M","X","J","V","S","D")</f>
        <v>X</v>
      </c>
      <c r="R3271">
        <f>WEEKNUM(datos_siembra[[#This Row],[Date]],2)-WEEKNUM(DATE(YEAR(datos_siembra[[#This Row],[Date]]),MONTH(datos_siembra[[#This Row],[Date]]),1))+1</f>
        <v>2</v>
      </c>
      <c r="S3271">
        <f>MONTH(datos_siembra[[#This Row],[Date]])</f>
        <v>10</v>
      </c>
      <c r="T3271" t="str" cm="1">
        <f t="array" ref="T3271">_xlfn.IFS(AND(N3271&lt;= 22, S3271=9), "SOWING",AND(N3271&lt;= 28, S3271=9), "COVERAGE",AND(N3271&lt;= 30, S3271=9), "FLUSH",AND(N3271&lt;= 11, S3271=10), "FLUSH",AND(N3271&lt;= 21, S3271=10), "PRODUCTION")</f>
        <v>FLUSH</v>
      </c>
      <c r="U3271">
        <f>HOUR(datos_siembra[[#This Row],[Hour]])</f>
        <v>12</v>
      </c>
      <c r="V3271" cm="1">
        <f t="array" ref="V3271">_xlfn.IFS(AND(N3271&lt;= 22, S3271=9), N3271-7,AND(N3271&lt;= 28, S3271=9), N3271-25,AND(N3271&lt;= 30, S3271=9), N3271-28,AND(N3271&lt;= 11, S3271=10), N3271+2,AND(N3271&lt;= 21, S3271=10), N3271-11)</f>
        <v>11</v>
      </c>
    </row>
    <row r="3272" spans="1:22" x14ac:dyDescent="0.35">
      <c r="A3272" s="4">
        <v>45574</v>
      </c>
      <c r="B3272" s="5">
        <v>0.51086805555555559</v>
      </c>
      <c r="C3272">
        <v>67.400000000000006</v>
      </c>
      <c r="D3272">
        <v>66.5</v>
      </c>
      <c r="E3272">
        <v>69.099999999999994</v>
      </c>
      <c r="F3272">
        <v>67.099999999999994</v>
      </c>
      <c r="G3272">
        <v>0</v>
      </c>
      <c r="H3272">
        <v>0</v>
      </c>
      <c r="I3272">
        <v>0</v>
      </c>
      <c r="J3272">
        <v>0</v>
      </c>
      <c r="K3272">
        <v>64.400000000000006</v>
      </c>
      <c r="L3272">
        <v>65.2</v>
      </c>
      <c r="M3272">
        <v>67.61</v>
      </c>
      <c r="N3272">
        <v>9</v>
      </c>
      <c r="O3272">
        <v>1</v>
      </c>
      <c r="P3272">
        <f>MOD(DAY(datos_siembra[[#This Row],[Date]]),7)</f>
        <v>2</v>
      </c>
      <c r="Q3272" t="str">
        <f>CHOOSE(WEEKDAY(datos_siembra[[#This Row],[Date]],2),"L","M","X","J","V","S","D")</f>
        <v>X</v>
      </c>
      <c r="R3272">
        <f>WEEKNUM(datos_siembra[[#This Row],[Date]],2)-WEEKNUM(DATE(YEAR(datos_siembra[[#This Row],[Date]]),MONTH(datos_siembra[[#This Row],[Date]]),1))+1</f>
        <v>2</v>
      </c>
      <c r="S3272">
        <f>MONTH(datos_siembra[[#This Row],[Date]])</f>
        <v>10</v>
      </c>
      <c r="T3272" t="str" cm="1">
        <f t="array" ref="T3272">_xlfn.IFS(AND(N3272&lt;= 22, S3272=9), "SOWING",AND(N3272&lt;= 28, S3272=9), "COVERAGE",AND(N3272&lt;= 30, S3272=9), "FLUSH",AND(N3272&lt;= 11, S3272=10), "FLUSH",AND(N3272&lt;= 21, S3272=10), "PRODUCTION")</f>
        <v>FLUSH</v>
      </c>
      <c r="U3272">
        <f>HOUR(datos_siembra[[#This Row],[Hour]])</f>
        <v>12</v>
      </c>
      <c r="V3272" cm="1">
        <f t="array" ref="V3272">_xlfn.IFS(AND(N3272&lt;= 22, S3272=9), N3272-7,AND(N3272&lt;= 28, S3272=9), N3272-25,AND(N3272&lt;= 30, S3272=9), N3272-28,AND(N3272&lt;= 11, S3272=10), N3272+2,AND(N3272&lt;= 21, S3272=10), N3272-11)</f>
        <v>11</v>
      </c>
    </row>
    <row r="3273" spans="1:22" x14ac:dyDescent="0.35">
      <c r="A3273" s="4">
        <v>45574</v>
      </c>
      <c r="B3273" s="5">
        <v>0.51782407407407405</v>
      </c>
      <c r="C3273">
        <v>67.400000000000006</v>
      </c>
      <c r="D3273">
        <v>66.400000000000006</v>
      </c>
      <c r="E3273">
        <v>68.900000000000006</v>
      </c>
      <c r="F3273">
        <v>66.900000000000006</v>
      </c>
      <c r="G3273">
        <v>0</v>
      </c>
      <c r="H3273">
        <v>0</v>
      </c>
      <c r="I3273">
        <v>0</v>
      </c>
      <c r="J3273">
        <v>0</v>
      </c>
      <c r="K3273">
        <v>64.400000000000006</v>
      </c>
      <c r="L3273">
        <v>65.2</v>
      </c>
      <c r="M3273">
        <v>67.489999999999995</v>
      </c>
      <c r="N3273">
        <v>9</v>
      </c>
      <c r="O3273">
        <v>1</v>
      </c>
      <c r="P3273">
        <f>MOD(DAY(datos_siembra[[#This Row],[Date]]),7)</f>
        <v>2</v>
      </c>
      <c r="Q3273" t="str">
        <f>CHOOSE(WEEKDAY(datos_siembra[[#This Row],[Date]],2),"L","M","X","J","V","S","D")</f>
        <v>X</v>
      </c>
      <c r="R3273">
        <f>WEEKNUM(datos_siembra[[#This Row],[Date]],2)-WEEKNUM(DATE(YEAR(datos_siembra[[#This Row],[Date]]),MONTH(datos_siembra[[#This Row],[Date]]),1))+1</f>
        <v>2</v>
      </c>
      <c r="S3273">
        <f>MONTH(datos_siembra[[#This Row],[Date]])</f>
        <v>10</v>
      </c>
      <c r="T3273" t="str" cm="1">
        <f t="array" ref="T3273">_xlfn.IFS(AND(N3273&lt;= 22, S3273=9), "SOWING",AND(N3273&lt;= 28, S3273=9), "COVERAGE",AND(N3273&lt;= 30, S3273=9), "FLUSH",AND(N3273&lt;= 11, S3273=10), "FLUSH",AND(N3273&lt;= 21, S3273=10), "PRODUCTION")</f>
        <v>FLUSH</v>
      </c>
      <c r="U3273">
        <f>HOUR(datos_siembra[[#This Row],[Hour]])</f>
        <v>12</v>
      </c>
      <c r="V3273" cm="1">
        <f t="array" ref="V3273">_xlfn.IFS(AND(N3273&lt;= 22, S3273=9), N3273-7,AND(N3273&lt;= 28, S3273=9), N3273-25,AND(N3273&lt;= 30, S3273=9), N3273-28,AND(N3273&lt;= 11, S3273=10), N3273+2,AND(N3273&lt;= 21, S3273=10), N3273-11)</f>
        <v>11</v>
      </c>
    </row>
    <row r="3274" spans="1:22" x14ac:dyDescent="0.35">
      <c r="A3274" s="4">
        <v>45574</v>
      </c>
      <c r="B3274" s="5">
        <v>0.52476851851851847</v>
      </c>
      <c r="C3274">
        <v>67.599999999999994</v>
      </c>
      <c r="D3274">
        <v>66.400000000000006</v>
      </c>
      <c r="E3274">
        <v>69</v>
      </c>
      <c r="F3274">
        <v>67</v>
      </c>
      <c r="G3274">
        <v>0</v>
      </c>
      <c r="H3274">
        <v>0</v>
      </c>
      <c r="I3274">
        <v>0</v>
      </c>
      <c r="J3274">
        <v>0</v>
      </c>
      <c r="K3274">
        <v>64.400000000000006</v>
      </c>
      <c r="L3274">
        <v>65.2</v>
      </c>
      <c r="M3274">
        <v>67.489999999999995</v>
      </c>
      <c r="N3274">
        <v>9</v>
      </c>
      <c r="O3274">
        <v>1</v>
      </c>
      <c r="P3274">
        <f>MOD(DAY(datos_siembra[[#This Row],[Date]]),7)</f>
        <v>2</v>
      </c>
      <c r="Q3274" t="str">
        <f>CHOOSE(WEEKDAY(datos_siembra[[#This Row],[Date]],2),"L","M","X","J","V","S","D")</f>
        <v>X</v>
      </c>
      <c r="R3274">
        <f>WEEKNUM(datos_siembra[[#This Row],[Date]],2)-WEEKNUM(DATE(YEAR(datos_siembra[[#This Row],[Date]]),MONTH(datos_siembra[[#This Row],[Date]]),1))+1</f>
        <v>2</v>
      </c>
      <c r="S3274">
        <f>MONTH(datos_siembra[[#This Row],[Date]])</f>
        <v>10</v>
      </c>
      <c r="T3274" t="str" cm="1">
        <f t="array" ref="T3274">_xlfn.IFS(AND(N3274&lt;= 22, S3274=9), "SOWING",AND(N3274&lt;= 28, S3274=9), "COVERAGE",AND(N3274&lt;= 30, S3274=9), "FLUSH",AND(N3274&lt;= 11, S3274=10), "FLUSH",AND(N3274&lt;= 21, S3274=10), "PRODUCTION")</f>
        <v>FLUSH</v>
      </c>
      <c r="U3274">
        <f>HOUR(datos_siembra[[#This Row],[Hour]])</f>
        <v>12</v>
      </c>
      <c r="V3274" cm="1">
        <f t="array" ref="V3274">_xlfn.IFS(AND(N3274&lt;= 22, S3274=9), N3274-7,AND(N3274&lt;= 28, S3274=9), N3274-25,AND(N3274&lt;= 30, S3274=9), N3274-28,AND(N3274&lt;= 11, S3274=10), N3274+2,AND(N3274&lt;= 21, S3274=10), N3274-11)</f>
        <v>11</v>
      </c>
    </row>
    <row r="3275" spans="1:22" x14ac:dyDescent="0.35">
      <c r="A3275" s="4">
        <v>45574</v>
      </c>
      <c r="B3275" s="5">
        <v>0.531712962962963</v>
      </c>
      <c r="C3275">
        <v>67.599999999999994</v>
      </c>
      <c r="D3275">
        <v>66.400000000000006</v>
      </c>
      <c r="E3275">
        <v>69</v>
      </c>
      <c r="F3275">
        <v>66.900000000000006</v>
      </c>
      <c r="G3275">
        <v>0</v>
      </c>
      <c r="H3275">
        <v>0</v>
      </c>
      <c r="I3275">
        <v>0</v>
      </c>
      <c r="J3275">
        <v>0</v>
      </c>
      <c r="K3275">
        <v>64.3</v>
      </c>
      <c r="L3275">
        <v>65.099999999999994</v>
      </c>
      <c r="M3275">
        <v>67.489999999999995</v>
      </c>
      <c r="N3275">
        <v>9</v>
      </c>
      <c r="O3275">
        <v>1</v>
      </c>
      <c r="P3275">
        <f>MOD(DAY(datos_siembra[[#This Row],[Date]]),7)</f>
        <v>2</v>
      </c>
      <c r="Q3275" t="str">
        <f>CHOOSE(WEEKDAY(datos_siembra[[#This Row],[Date]],2),"L","M","X","J","V","S","D")</f>
        <v>X</v>
      </c>
      <c r="R3275">
        <f>WEEKNUM(datos_siembra[[#This Row],[Date]],2)-WEEKNUM(DATE(YEAR(datos_siembra[[#This Row],[Date]]),MONTH(datos_siembra[[#This Row],[Date]]),1))+1</f>
        <v>2</v>
      </c>
      <c r="S3275">
        <f>MONTH(datos_siembra[[#This Row],[Date]])</f>
        <v>10</v>
      </c>
      <c r="T3275" t="str" cm="1">
        <f t="array" ref="T3275">_xlfn.IFS(AND(N3275&lt;= 22, S3275=9), "SOWING",AND(N3275&lt;= 28, S3275=9), "COVERAGE",AND(N3275&lt;= 30, S3275=9), "FLUSH",AND(N3275&lt;= 11, S3275=10), "FLUSH",AND(N3275&lt;= 21, S3275=10), "PRODUCTION")</f>
        <v>FLUSH</v>
      </c>
      <c r="U3275">
        <f>HOUR(datos_siembra[[#This Row],[Hour]])</f>
        <v>12</v>
      </c>
      <c r="V3275" cm="1">
        <f t="array" ref="V3275">_xlfn.IFS(AND(N3275&lt;= 22, S3275=9), N3275-7,AND(N3275&lt;= 28, S3275=9), N3275-25,AND(N3275&lt;= 30, S3275=9), N3275-28,AND(N3275&lt;= 11, S3275=10), N3275+2,AND(N3275&lt;= 21, S3275=10), N3275-11)</f>
        <v>11</v>
      </c>
    </row>
    <row r="3276" spans="1:22" x14ac:dyDescent="0.35">
      <c r="A3276" s="4">
        <v>45574</v>
      </c>
      <c r="B3276" s="5">
        <v>0.53866898148148146</v>
      </c>
      <c r="C3276">
        <v>67.400000000000006</v>
      </c>
      <c r="D3276">
        <v>66.400000000000006</v>
      </c>
      <c r="E3276">
        <v>69.099999999999994</v>
      </c>
      <c r="F3276">
        <v>67.2</v>
      </c>
      <c r="G3276">
        <v>0</v>
      </c>
      <c r="H3276">
        <v>0</v>
      </c>
      <c r="I3276">
        <v>0</v>
      </c>
      <c r="J3276">
        <v>0</v>
      </c>
      <c r="K3276">
        <v>64.3</v>
      </c>
      <c r="L3276">
        <v>65.099999999999994</v>
      </c>
      <c r="M3276">
        <v>67.489999999999995</v>
      </c>
      <c r="N3276">
        <v>9</v>
      </c>
      <c r="O3276">
        <v>1</v>
      </c>
      <c r="P3276">
        <f>MOD(DAY(datos_siembra[[#This Row],[Date]]),7)</f>
        <v>2</v>
      </c>
      <c r="Q3276" t="str">
        <f>CHOOSE(WEEKDAY(datos_siembra[[#This Row],[Date]],2),"L","M","X","J","V","S","D")</f>
        <v>X</v>
      </c>
      <c r="R3276">
        <f>WEEKNUM(datos_siembra[[#This Row],[Date]],2)-WEEKNUM(DATE(YEAR(datos_siembra[[#This Row],[Date]]),MONTH(datos_siembra[[#This Row],[Date]]),1))+1</f>
        <v>2</v>
      </c>
      <c r="S3276">
        <f>MONTH(datos_siembra[[#This Row],[Date]])</f>
        <v>10</v>
      </c>
      <c r="T3276" t="str" cm="1">
        <f t="array" ref="T3276">_xlfn.IFS(AND(N3276&lt;= 22, S3276=9), "SOWING",AND(N3276&lt;= 28, S3276=9), "COVERAGE",AND(N3276&lt;= 30, S3276=9), "FLUSH",AND(N3276&lt;= 11, S3276=10), "FLUSH",AND(N3276&lt;= 21, S3276=10), "PRODUCTION")</f>
        <v>FLUSH</v>
      </c>
      <c r="U3276">
        <f>HOUR(datos_siembra[[#This Row],[Hour]])</f>
        <v>12</v>
      </c>
      <c r="V3276" cm="1">
        <f t="array" ref="V3276">_xlfn.IFS(AND(N3276&lt;= 22, S3276=9), N3276-7,AND(N3276&lt;= 28, S3276=9), N3276-25,AND(N3276&lt;= 30, S3276=9), N3276-28,AND(N3276&lt;= 11, S3276=10), N3276+2,AND(N3276&lt;= 21, S3276=10), N3276-11)</f>
        <v>11</v>
      </c>
    </row>
    <row r="3277" spans="1:22" x14ac:dyDescent="0.35">
      <c r="A3277" s="4">
        <v>45574</v>
      </c>
      <c r="B3277" s="5">
        <v>0.54561342592592588</v>
      </c>
      <c r="C3277">
        <v>67.599999999999994</v>
      </c>
      <c r="D3277">
        <v>66.400000000000006</v>
      </c>
      <c r="E3277">
        <v>69.099999999999994</v>
      </c>
      <c r="F3277">
        <v>67</v>
      </c>
      <c r="G3277">
        <v>0</v>
      </c>
      <c r="H3277">
        <v>0</v>
      </c>
      <c r="I3277">
        <v>0</v>
      </c>
      <c r="J3277">
        <v>0</v>
      </c>
      <c r="K3277">
        <v>64.400000000000006</v>
      </c>
      <c r="L3277">
        <v>65.2</v>
      </c>
      <c r="M3277">
        <v>67.489999999999995</v>
      </c>
      <c r="N3277">
        <v>9</v>
      </c>
      <c r="O3277">
        <v>1</v>
      </c>
      <c r="P3277">
        <f>MOD(DAY(datos_siembra[[#This Row],[Date]]),7)</f>
        <v>2</v>
      </c>
      <c r="Q3277" t="str">
        <f>CHOOSE(WEEKDAY(datos_siembra[[#This Row],[Date]],2),"L","M","X","J","V","S","D")</f>
        <v>X</v>
      </c>
      <c r="R3277">
        <f>WEEKNUM(datos_siembra[[#This Row],[Date]],2)-WEEKNUM(DATE(YEAR(datos_siembra[[#This Row],[Date]]),MONTH(datos_siembra[[#This Row],[Date]]),1))+1</f>
        <v>2</v>
      </c>
      <c r="S3277">
        <f>MONTH(datos_siembra[[#This Row],[Date]])</f>
        <v>10</v>
      </c>
      <c r="T3277" t="str" cm="1">
        <f t="array" ref="T3277">_xlfn.IFS(AND(N3277&lt;= 22, S3277=9), "SOWING",AND(N3277&lt;= 28, S3277=9), "COVERAGE",AND(N3277&lt;= 30, S3277=9), "FLUSH",AND(N3277&lt;= 11, S3277=10), "FLUSH",AND(N3277&lt;= 21, S3277=10), "PRODUCTION")</f>
        <v>FLUSH</v>
      </c>
      <c r="U3277">
        <f>HOUR(datos_siembra[[#This Row],[Hour]])</f>
        <v>13</v>
      </c>
      <c r="V3277" cm="1">
        <f t="array" ref="V3277">_xlfn.IFS(AND(N3277&lt;= 22, S3277=9), N3277-7,AND(N3277&lt;= 28, S3277=9), N3277-25,AND(N3277&lt;= 30, S3277=9), N3277-28,AND(N3277&lt;= 11, S3277=10), N3277+2,AND(N3277&lt;= 21, S3277=10), N3277-11)</f>
        <v>11</v>
      </c>
    </row>
    <row r="3278" spans="1:22" x14ac:dyDescent="0.35">
      <c r="A3278" s="4">
        <v>45574</v>
      </c>
      <c r="B3278" s="5">
        <v>0.55255787037037041</v>
      </c>
      <c r="C3278">
        <v>67.400000000000006</v>
      </c>
      <c r="D3278">
        <v>66.400000000000006</v>
      </c>
      <c r="E3278">
        <v>68.900000000000006</v>
      </c>
      <c r="F3278">
        <v>67</v>
      </c>
      <c r="G3278">
        <v>0</v>
      </c>
      <c r="H3278">
        <v>0</v>
      </c>
      <c r="I3278">
        <v>0</v>
      </c>
      <c r="J3278">
        <v>0</v>
      </c>
      <c r="K3278">
        <v>64.5</v>
      </c>
      <c r="L3278">
        <v>65.3</v>
      </c>
      <c r="M3278">
        <v>67.489999999999995</v>
      </c>
      <c r="N3278">
        <v>9</v>
      </c>
      <c r="O3278">
        <v>1</v>
      </c>
      <c r="P3278">
        <f>MOD(DAY(datos_siembra[[#This Row],[Date]]),7)</f>
        <v>2</v>
      </c>
      <c r="Q3278" t="str">
        <f>CHOOSE(WEEKDAY(datos_siembra[[#This Row],[Date]],2),"L","M","X","J","V","S","D")</f>
        <v>X</v>
      </c>
      <c r="R3278">
        <f>WEEKNUM(datos_siembra[[#This Row],[Date]],2)-WEEKNUM(DATE(YEAR(datos_siembra[[#This Row],[Date]]),MONTH(datos_siembra[[#This Row],[Date]]),1))+1</f>
        <v>2</v>
      </c>
      <c r="S3278">
        <f>MONTH(datos_siembra[[#This Row],[Date]])</f>
        <v>10</v>
      </c>
      <c r="T3278" t="str" cm="1">
        <f t="array" ref="T3278">_xlfn.IFS(AND(N3278&lt;= 22, S3278=9), "SOWING",AND(N3278&lt;= 28, S3278=9), "COVERAGE",AND(N3278&lt;= 30, S3278=9), "FLUSH",AND(N3278&lt;= 11, S3278=10), "FLUSH",AND(N3278&lt;= 21, S3278=10), "PRODUCTION")</f>
        <v>FLUSH</v>
      </c>
      <c r="U3278">
        <f>HOUR(datos_siembra[[#This Row],[Hour]])</f>
        <v>13</v>
      </c>
      <c r="V3278" cm="1">
        <f t="array" ref="V3278">_xlfn.IFS(AND(N3278&lt;= 22, S3278=9), N3278-7,AND(N3278&lt;= 28, S3278=9), N3278-25,AND(N3278&lt;= 30, S3278=9), N3278-28,AND(N3278&lt;= 11, S3278=10), N3278+2,AND(N3278&lt;= 21, S3278=10), N3278-11)</f>
        <v>11</v>
      </c>
    </row>
    <row r="3279" spans="1:22" x14ac:dyDescent="0.35">
      <c r="A3279" s="4">
        <v>45574</v>
      </c>
      <c r="B3279" s="5">
        <v>0.55951388888888887</v>
      </c>
      <c r="C3279">
        <v>67.599999999999994</v>
      </c>
      <c r="D3279">
        <v>66.400000000000006</v>
      </c>
      <c r="E3279">
        <v>69.099999999999994</v>
      </c>
      <c r="F3279">
        <v>67.099999999999994</v>
      </c>
      <c r="G3279">
        <v>0</v>
      </c>
      <c r="H3279">
        <v>0</v>
      </c>
      <c r="I3279">
        <v>0</v>
      </c>
      <c r="J3279">
        <v>0</v>
      </c>
      <c r="K3279">
        <v>64.3</v>
      </c>
      <c r="L3279">
        <v>65</v>
      </c>
      <c r="M3279">
        <v>67.52</v>
      </c>
      <c r="N3279">
        <v>9</v>
      </c>
      <c r="O3279">
        <v>1</v>
      </c>
      <c r="P3279">
        <f>MOD(DAY(datos_siembra[[#This Row],[Date]]),7)</f>
        <v>2</v>
      </c>
      <c r="Q3279" t="str">
        <f>CHOOSE(WEEKDAY(datos_siembra[[#This Row],[Date]],2),"L","M","X","J","V","S","D")</f>
        <v>X</v>
      </c>
      <c r="R3279">
        <f>WEEKNUM(datos_siembra[[#This Row],[Date]],2)-WEEKNUM(DATE(YEAR(datos_siembra[[#This Row],[Date]]),MONTH(datos_siembra[[#This Row],[Date]]),1))+1</f>
        <v>2</v>
      </c>
      <c r="S3279">
        <f>MONTH(datos_siembra[[#This Row],[Date]])</f>
        <v>10</v>
      </c>
      <c r="T3279" t="str" cm="1">
        <f t="array" ref="T3279">_xlfn.IFS(AND(N3279&lt;= 22, S3279=9), "SOWING",AND(N3279&lt;= 28, S3279=9), "COVERAGE",AND(N3279&lt;= 30, S3279=9), "FLUSH",AND(N3279&lt;= 11, S3279=10), "FLUSH",AND(N3279&lt;= 21, S3279=10), "PRODUCTION")</f>
        <v>FLUSH</v>
      </c>
      <c r="U3279">
        <f>HOUR(datos_siembra[[#This Row],[Hour]])</f>
        <v>13</v>
      </c>
      <c r="V3279" cm="1">
        <f t="array" ref="V3279">_xlfn.IFS(AND(N3279&lt;= 22, S3279=9), N3279-7,AND(N3279&lt;= 28, S3279=9), N3279-25,AND(N3279&lt;= 30, S3279=9), N3279-28,AND(N3279&lt;= 11, S3279=10), N3279+2,AND(N3279&lt;= 21, S3279=10), N3279-11)</f>
        <v>11</v>
      </c>
    </row>
    <row r="3280" spans="1:22" x14ac:dyDescent="0.35">
      <c r="A3280" s="4">
        <v>45574</v>
      </c>
      <c r="B3280" s="5">
        <v>0.56645833333333329</v>
      </c>
      <c r="C3280">
        <v>67.599999999999994</v>
      </c>
      <c r="D3280">
        <v>66.400000000000006</v>
      </c>
      <c r="E3280">
        <v>69</v>
      </c>
      <c r="F3280">
        <v>67.099999999999994</v>
      </c>
      <c r="G3280">
        <v>0</v>
      </c>
      <c r="H3280">
        <v>0</v>
      </c>
      <c r="I3280">
        <v>0</v>
      </c>
      <c r="J3280">
        <v>0</v>
      </c>
      <c r="K3280">
        <v>64.2</v>
      </c>
      <c r="L3280">
        <v>64.7</v>
      </c>
      <c r="M3280">
        <v>67.55</v>
      </c>
      <c r="N3280">
        <v>9</v>
      </c>
      <c r="O3280">
        <v>1</v>
      </c>
      <c r="P3280">
        <f>MOD(DAY(datos_siembra[[#This Row],[Date]]),7)</f>
        <v>2</v>
      </c>
      <c r="Q3280" t="str">
        <f>CHOOSE(WEEKDAY(datos_siembra[[#This Row],[Date]],2),"L","M","X","J","V","S","D")</f>
        <v>X</v>
      </c>
      <c r="R3280">
        <f>WEEKNUM(datos_siembra[[#This Row],[Date]],2)-WEEKNUM(DATE(YEAR(datos_siembra[[#This Row],[Date]]),MONTH(datos_siembra[[#This Row],[Date]]),1))+1</f>
        <v>2</v>
      </c>
      <c r="S3280">
        <f>MONTH(datos_siembra[[#This Row],[Date]])</f>
        <v>10</v>
      </c>
      <c r="T3280" t="str" cm="1">
        <f t="array" ref="T3280">_xlfn.IFS(AND(N3280&lt;= 22, S3280=9), "SOWING",AND(N3280&lt;= 28, S3280=9), "COVERAGE",AND(N3280&lt;= 30, S3280=9), "FLUSH",AND(N3280&lt;= 11, S3280=10), "FLUSH",AND(N3280&lt;= 21, S3280=10), "PRODUCTION")</f>
        <v>FLUSH</v>
      </c>
      <c r="U3280">
        <f>HOUR(datos_siembra[[#This Row],[Hour]])</f>
        <v>13</v>
      </c>
      <c r="V3280" cm="1">
        <f t="array" ref="V3280">_xlfn.IFS(AND(N3280&lt;= 22, S3280=9), N3280-7,AND(N3280&lt;= 28, S3280=9), N3280-25,AND(N3280&lt;= 30, S3280=9), N3280-28,AND(N3280&lt;= 11, S3280=10), N3280+2,AND(N3280&lt;= 21, S3280=10), N3280-11)</f>
        <v>11</v>
      </c>
    </row>
    <row r="3281" spans="1:22" x14ac:dyDescent="0.35">
      <c r="A3281" s="4">
        <v>45574</v>
      </c>
      <c r="B3281" s="5">
        <v>0.57340277777777782</v>
      </c>
      <c r="C3281">
        <v>67.400000000000006</v>
      </c>
      <c r="D3281">
        <v>66.400000000000006</v>
      </c>
      <c r="E3281">
        <v>69.099999999999994</v>
      </c>
      <c r="F3281">
        <v>67.099999999999994</v>
      </c>
      <c r="G3281">
        <v>0</v>
      </c>
      <c r="H3281">
        <v>0</v>
      </c>
      <c r="I3281">
        <v>0</v>
      </c>
      <c r="J3281">
        <v>0</v>
      </c>
      <c r="K3281">
        <v>64.099999999999994</v>
      </c>
      <c r="L3281">
        <v>64.7</v>
      </c>
      <c r="M3281">
        <v>67.52</v>
      </c>
      <c r="N3281">
        <v>9</v>
      </c>
      <c r="O3281">
        <v>1</v>
      </c>
      <c r="P3281">
        <f>MOD(DAY(datos_siembra[[#This Row],[Date]]),7)</f>
        <v>2</v>
      </c>
      <c r="Q3281" t="str">
        <f>CHOOSE(WEEKDAY(datos_siembra[[#This Row],[Date]],2),"L","M","X","J","V","S","D")</f>
        <v>X</v>
      </c>
      <c r="R3281">
        <f>WEEKNUM(datos_siembra[[#This Row],[Date]],2)-WEEKNUM(DATE(YEAR(datos_siembra[[#This Row],[Date]]),MONTH(datos_siembra[[#This Row],[Date]]),1))+1</f>
        <v>2</v>
      </c>
      <c r="S3281">
        <f>MONTH(datos_siembra[[#This Row],[Date]])</f>
        <v>10</v>
      </c>
      <c r="T3281" t="str" cm="1">
        <f t="array" ref="T3281">_xlfn.IFS(AND(N3281&lt;= 22, S3281=9), "SOWING",AND(N3281&lt;= 28, S3281=9), "COVERAGE",AND(N3281&lt;= 30, S3281=9), "FLUSH",AND(N3281&lt;= 11, S3281=10), "FLUSH",AND(N3281&lt;= 21, S3281=10), "PRODUCTION")</f>
        <v>FLUSH</v>
      </c>
      <c r="U3281">
        <f>HOUR(datos_siembra[[#This Row],[Hour]])</f>
        <v>13</v>
      </c>
      <c r="V3281" cm="1">
        <f t="array" ref="V3281">_xlfn.IFS(AND(N3281&lt;= 22, S3281=9), N3281-7,AND(N3281&lt;= 28, S3281=9), N3281-25,AND(N3281&lt;= 30, S3281=9), N3281-28,AND(N3281&lt;= 11, S3281=10), N3281+2,AND(N3281&lt;= 21, S3281=10), N3281-11)</f>
        <v>11</v>
      </c>
    </row>
    <row r="3282" spans="1:22" x14ac:dyDescent="0.35">
      <c r="A3282" s="4">
        <v>45574</v>
      </c>
      <c r="B3282" s="5">
        <v>0.58034722222222224</v>
      </c>
      <c r="C3282">
        <v>67.599999999999994</v>
      </c>
      <c r="D3282">
        <v>66.3</v>
      </c>
      <c r="E3282">
        <v>69</v>
      </c>
      <c r="F3282">
        <v>67</v>
      </c>
      <c r="G3282">
        <v>0</v>
      </c>
      <c r="H3282">
        <v>0</v>
      </c>
      <c r="I3282">
        <v>0</v>
      </c>
      <c r="J3282">
        <v>0</v>
      </c>
      <c r="K3282">
        <v>64.099999999999994</v>
      </c>
      <c r="L3282">
        <v>64.599999999999994</v>
      </c>
      <c r="M3282">
        <v>67.52</v>
      </c>
      <c r="N3282">
        <v>9</v>
      </c>
      <c r="O3282">
        <v>1</v>
      </c>
      <c r="P3282">
        <f>MOD(DAY(datos_siembra[[#This Row],[Date]]),7)</f>
        <v>2</v>
      </c>
      <c r="Q3282" t="str">
        <f>CHOOSE(WEEKDAY(datos_siembra[[#This Row],[Date]],2),"L","M","X","J","V","S","D")</f>
        <v>X</v>
      </c>
      <c r="R3282">
        <f>WEEKNUM(datos_siembra[[#This Row],[Date]],2)-WEEKNUM(DATE(YEAR(datos_siembra[[#This Row],[Date]]),MONTH(datos_siembra[[#This Row],[Date]]),1))+1</f>
        <v>2</v>
      </c>
      <c r="S3282">
        <f>MONTH(datos_siembra[[#This Row],[Date]])</f>
        <v>10</v>
      </c>
      <c r="T3282" t="str" cm="1">
        <f t="array" ref="T3282">_xlfn.IFS(AND(N3282&lt;= 22, S3282=9), "SOWING",AND(N3282&lt;= 28, S3282=9), "COVERAGE",AND(N3282&lt;= 30, S3282=9), "FLUSH",AND(N3282&lt;= 11, S3282=10), "FLUSH",AND(N3282&lt;= 21, S3282=10), "PRODUCTION")</f>
        <v>FLUSH</v>
      </c>
      <c r="U3282">
        <f>HOUR(datos_siembra[[#This Row],[Hour]])</f>
        <v>13</v>
      </c>
      <c r="V3282" cm="1">
        <f t="array" ref="V3282">_xlfn.IFS(AND(N3282&lt;= 22, S3282=9), N3282-7,AND(N3282&lt;= 28, S3282=9), N3282-25,AND(N3282&lt;= 30, S3282=9), N3282-28,AND(N3282&lt;= 11, S3282=10), N3282+2,AND(N3282&lt;= 21, S3282=10), N3282-11)</f>
        <v>11</v>
      </c>
    </row>
    <row r="3283" spans="1:22" x14ac:dyDescent="0.35">
      <c r="A3283" s="4">
        <v>45574</v>
      </c>
      <c r="B3283" s="5">
        <v>0.5873032407407407</v>
      </c>
      <c r="C3283">
        <v>67.599999999999994</v>
      </c>
      <c r="D3283">
        <v>66.3</v>
      </c>
      <c r="E3283">
        <v>69.099999999999994</v>
      </c>
      <c r="F3283">
        <v>67.099999999999994</v>
      </c>
      <c r="G3283">
        <v>0</v>
      </c>
      <c r="H3283">
        <v>0</v>
      </c>
      <c r="I3283">
        <v>0</v>
      </c>
      <c r="J3283">
        <v>0</v>
      </c>
      <c r="K3283">
        <v>63.9</v>
      </c>
      <c r="L3283">
        <v>64.599999999999994</v>
      </c>
      <c r="M3283">
        <v>67.489999999999995</v>
      </c>
      <c r="N3283">
        <v>9</v>
      </c>
      <c r="O3283">
        <v>1</v>
      </c>
      <c r="P3283">
        <f>MOD(DAY(datos_siembra[[#This Row],[Date]]),7)</f>
        <v>2</v>
      </c>
      <c r="Q3283" t="str">
        <f>CHOOSE(WEEKDAY(datos_siembra[[#This Row],[Date]],2),"L","M","X","J","V","S","D")</f>
        <v>X</v>
      </c>
      <c r="R3283">
        <f>WEEKNUM(datos_siembra[[#This Row],[Date]],2)-WEEKNUM(DATE(YEAR(datos_siembra[[#This Row],[Date]]),MONTH(datos_siembra[[#This Row],[Date]]),1))+1</f>
        <v>2</v>
      </c>
      <c r="S3283">
        <f>MONTH(datos_siembra[[#This Row],[Date]])</f>
        <v>10</v>
      </c>
      <c r="T3283" t="str" cm="1">
        <f t="array" ref="T3283">_xlfn.IFS(AND(N3283&lt;= 22, S3283=9), "SOWING",AND(N3283&lt;= 28, S3283=9), "COVERAGE",AND(N3283&lt;= 30, S3283=9), "FLUSH",AND(N3283&lt;= 11, S3283=10), "FLUSH",AND(N3283&lt;= 21, S3283=10), "PRODUCTION")</f>
        <v>FLUSH</v>
      </c>
      <c r="U3283">
        <f>HOUR(datos_siembra[[#This Row],[Hour]])</f>
        <v>14</v>
      </c>
      <c r="V3283" cm="1">
        <f t="array" ref="V3283">_xlfn.IFS(AND(N3283&lt;= 22, S3283=9), N3283-7,AND(N3283&lt;= 28, S3283=9), N3283-25,AND(N3283&lt;= 30, S3283=9), N3283-28,AND(N3283&lt;= 11, S3283=10), N3283+2,AND(N3283&lt;= 21, S3283=10), N3283-11)</f>
        <v>11</v>
      </c>
    </row>
    <row r="3284" spans="1:22" x14ac:dyDescent="0.35">
      <c r="A3284" s="4">
        <v>45574</v>
      </c>
      <c r="B3284" s="5">
        <v>0.59424768518518523</v>
      </c>
      <c r="C3284">
        <v>67.400000000000006</v>
      </c>
      <c r="D3284">
        <v>66.400000000000006</v>
      </c>
      <c r="E3284">
        <v>69.099999999999994</v>
      </c>
      <c r="F3284">
        <v>67.099999999999994</v>
      </c>
      <c r="G3284">
        <v>0</v>
      </c>
      <c r="H3284">
        <v>0</v>
      </c>
      <c r="I3284">
        <v>0</v>
      </c>
      <c r="J3284">
        <v>0</v>
      </c>
      <c r="K3284">
        <v>64.2</v>
      </c>
      <c r="L3284">
        <v>64.7</v>
      </c>
      <c r="M3284">
        <v>67.489999999999995</v>
      </c>
      <c r="N3284">
        <v>9</v>
      </c>
      <c r="O3284">
        <v>1</v>
      </c>
      <c r="P3284">
        <f>MOD(DAY(datos_siembra[[#This Row],[Date]]),7)</f>
        <v>2</v>
      </c>
      <c r="Q3284" t="str">
        <f>CHOOSE(WEEKDAY(datos_siembra[[#This Row],[Date]],2),"L","M","X","J","V","S","D")</f>
        <v>X</v>
      </c>
      <c r="R3284">
        <f>WEEKNUM(datos_siembra[[#This Row],[Date]],2)-WEEKNUM(DATE(YEAR(datos_siembra[[#This Row],[Date]]),MONTH(datos_siembra[[#This Row],[Date]]),1))+1</f>
        <v>2</v>
      </c>
      <c r="S3284">
        <f>MONTH(datos_siembra[[#This Row],[Date]])</f>
        <v>10</v>
      </c>
      <c r="T3284" t="str" cm="1">
        <f t="array" ref="T3284">_xlfn.IFS(AND(N3284&lt;= 22, S3284=9), "SOWING",AND(N3284&lt;= 28, S3284=9), "COVERAGE",AND(N3284&lt;= 30, S3284=9), "FLUSH",AND(N3284&lt;= 11, S3284=10), "FLUSH",AND(N3284&lt;= 21, S3284=10), "PRODUCTION")</f>
        <v>FLUSH</v>
      </c>
      <c r="U3284">
        <f>HOUR(datos_siembra[[#This Row],[Hour]])</f>
        <v>14</v>
      </c>
      <c r="V3284" cm="1">
        <f t="array" ref="V3284">_xlfn.IFS(AND(N3284&lt;= 22, S3284=9), N3284-7,AND(N3284&lt;= 28, S3284=9), N3284-25,AND(N3284&lt;= 30, S3284=9), N3284-28,AND(N3284&lt;= 11, S3284=10), N3284+2,AND(N3284&lt;= 21, S3284=10), N3284-11)</f>
        <v>11</v>
      </c>
    </row>
    <row r="3285" spans="1:22" x14ac:dyDescent="0.35">
      <c r="A3285" s="4">
        <v>45574</v>
      </c>
      <c r="B3285" s="5">
        <v>0.60119212962962965</v>
      </c>
      <c r="C3285">
        <v>67.599999999999994</v>
      </c>
      <c r="D3285">
        <v>66.400000000000006</v>
      </c>
      <c r="E3285">
        <v>69</v>
      </c>
      <c r="F3285">
        <v>67.099999999999994</v>
      </c>
      <c r="G3285">
        <v>0</v>
      </c>
      <c r="H3285">
        <v>0</v>
      </c>
      <c r="I3285">
        <v>0</v>
      </c>
      <c r="J3285">
        <v>0</v>
      </c>
      <c r="K3285">
        <v>64.400000000000006</v>
      </c>
      <c r="L3285">
        <v>65.099999999999994</v>
      </c>
      <c r="M3285">
        <v>67.52</v>
      </c>
      <c r="N3285">
        <v>9</v>
      </c>
      <c r="O3285">
        <v>1</v>
      </c>
      <c r="P3285">
        <f>MOD(DAY(datos_siembra[[#This Row],[Date]]),7)</f>
        <v>2</v>
      </c>
      <c r="Q3285" t="str">
        <f>CHOOSE(WEEKDAY(datos_siembra[[#This Row],[Date]],2),"L","M","X","J","V","S","D")</f>
        <v>X</v>
      </c>
      <c r="R3285">
        <f>WEEKNUM(datos_siembra[[#This Row],[Date]],2)-WEEKNUM(DATE(YEAR(datos_siembra[[#This Row],[Date]]),MONTH(datos_siembra[[#This Row],[Date]]),1))+1</f>
        <v>2</v>
      </c>
      <c r="S3285">
        <f>MONTH(datos_siembra[[#This Row],[Date]])</f>
        <v>10</v>
      </c>
      <c r="T3285" t="str" cm="1">
        <f t="array" ref="T3285">_xlfn.IFS(AND(N3285&lt;= 22, S3285=9), "SOWING",AND(N3285&lt;= 28, S3285=9), "COVERAGE",AND(N3285&lt;= 30, S3285=9), "FLUSH",AND(N3285&lt;= 11, S3285=10), "FLUSH",AND(N3285&lt;= 21, S3285=10), "PRODUCTION")</f>
        <v>FLUSH</v>
      </c>
      <c r="U3285">
        <f>HOUR(datos_siembra[[#This Row],[Hour]])</f>
        <v>14</v>
      </c>
      <c r="V3285" cm="1">
        <f t="array" ref="V3285">_xlfn.IFS(AND(N3285&lt;= 22, S3285=9), N3285-7,AND(N3285&lt;= 28, S3285=9), N3285-25,AND(N3285&lt;= 30, S3285=9), N3285-28,AND(N3285&lt;= 11, S3285=10), N3285+2,AND(N3285&lt;= 21, S3285=10), N3285-11)</f>
        <v>11</v>
      </c>
    </row>
    <row r="3286" spans="1:22" x14ac:dyDescent="0.35">
      <c r="A3286" s="4">
        <v>45574</v>
      </c>
      <c r="B3286" s="5">
        <v>0.6081481481481481</v>
      </c>
      <c r="C3286">
        <v>67.599999999999994</v>
      </c>
      <c r="D3286">
        <v>66.3</v>
      </c>
      <c r="E3286">
        <v>69.2</v>
      </c>
      <c r="F3286">
        <v>67.2</v>
      </c>
      <c r="G3286">
        <v>0</v>
      </c>
      <c r="H3286">
        <v>0</v>
      </c>
      <c r="I3286">
        <v>0</v>
      </c>
      <c r="J3286">
        <v>0</v>
      </c>
      <c r="K3286">
        <v>64.900000000000006</v>
      </c>
      <c r="L3286">
        <v>65.8</v>
      </c>
      <c r="M3286">
        <v>67.47</v>
      </c>
      <c r="N3286">
        <v>9</v>
      </c>
      <c r="O3286">
        <v>1</v>
      </c>
      <c r="P3286">
        <f>MOD(DAY(datos_siembra[[#This Row],[Date]]),7)</f>
        <v>2</v>
      </c>
      <c r="Q3286" t="str">
        <f>CHOOSE(WEEKDAY(datos_siembra[[#This Row],[Date]],2),"L","M","X","J","V","S","D")</f>
        <v>X</v>
      </c>
      <c r="R3286">
        <f>WEEKNUM(datos_siembra[[#This Row],[Date]],2)-WEEKNUM(DATE(YEAR(datos_siembra[[#This Row],[Date]]),MONTH(datos_siembra[[#This Row],[Date]]),1))+1</f>
        <v>2</v>
      </c>
      <c r="S3286">
        <f>MONTH(datos_siembra[[#This Row],[Date]])</f>
        <v>10</v>
      </c>
      <c r="T3286" t="str" cm="1">
        <f t="array" ref="T3286">_xlfn.IFS(AND(N3286&lt;= 22, S3286=9), "SOWING",AND(N3286&lt;= 28, S3286=9), "COVERAGE",AND(N3286&lt;= 30, S3286=9), "FLUSH",AND(N3286&lt;= 11, S3286=10), "FLUSH",AND(N3286&lt;= 21, S3286=10), "PRODUCTION")</f>
        <v>FLUSH</v>
      </c>
      <c r="U3286">
        <f>HOUR(datos_siembra[[#This Row],[Hour]])</f>
        <v>14</v>
      </c>
      <c r="V3286" cm="1">
        <f t="array" ref="V3286">_xlfn.IFS(AND(N3286&lt;= 22, S3286=9), N3286-7,AND(N3286&lt;= 28, S3286=9), N3286-25,AND(N3286&lt;= 30, S3286=9), N3286-28,AND(N3286&lt;= 11, S3286=10), N3286+2,AND(N3286&lt;= 21, S3286=10), N3286-11)</f>
        <v>11</v>
      </c>
    </row>
    <row r="3287" spans="1:22" x14ac:dyDescent="0.35">
      <c r="A3287" s="4">
        <v>45574</v>
      </c>
      <c r="B3287" s="5">
        <v>0.61509259259259264</v>
      </c>
      <c r="C3287">
        <v>67.7</v>
      </c>
      <c r="D3287">
        <v>66.3</v>
      </c>
      <c r="E3287">
        <v>68.900000000000006</v>
      </c>
      <c r="F3287">
        <v>67.2</v>
      </c>
      <c r="G3287">
        <v>0</v>
      </c>
      <c r="H3287">
        <v>0</v>
      </c>
      <c r="I3287">
        <v>0</v>
      </c>
      <c r="J3287">
        <v>0</v>
      </c>
      <c r="K3287">
        <v>65.2</v>
      </c>
      <c r="L3287">
        <v>65.900000000000006</v>
      </c>
      <c r="M3287">
        <v>67.58</v>
      </c>
      <c r="N3287">
        <v>9</v>
      </c>
      <c r="O3287">
        <v>1</v>
      </c>
      <c r="P3287">
        <f>MOD(DAY(datos_siembra[[#This Row],[Date]]),7)</f>
        <v>2</v>
      </c>
      <c r="Q3287" t="str">
        <f>CHOOSE(WEEKDAY(datos_siembra[[#This Row],[Date]],2),"L","M","X","J","V","S","D")</f>
        <v>X</v>
      </c>
      <c r="R3287">
        <f>WEEKNUM(datos_siembra[[#This Row],[Date]],2)-WEEKNUM(DATE(YEAR(datos_siembra[[#This Row],[Date]]),MONTH(datos_siembra[[#This Row],[Date]]),1))+1</f>
        <v>2</v>
      </c>
      <c r="S3287">
        <f>MONTH(datos_siembra[[#This Row],[Date]])</f>
        <v>10</v>
      </c>
      <c r="T3287" t="str" cm="1">
        <f t="array" ref="T3287">_xlfn.IFS(AND(N3287&lt;= 22, S3287=9), "SOWING",AND(N3287&lt;= 28, S3287=9), "COVERAGE",AND(N3287&lt;= 30, S3287=9), "FLUSH",AND(N3287&lt;= 11, S3287=10), "FLUSH",AND(N3287&lt;= 21, S3287=10), "PRODUCTION")</f>
        <v>FLUSH</v>
      </c>
      <c r="U3287">
        <f>HOUR(datos_siembra[[#This Row],[Hour]])</f>
        <v>14</v>
      </c>
      <c r="V3287" cm="1">
        <f t="array" ref="V3287">_xlfn.IFS(AND(N3287&lt;= 22, S3287=9), N3287-7,AND(N3287&lt;= 28, S3287=9), N3287-25,AND(N3287&lt;= 30, S3287=9), N3287-28,AND(N3287&lt;= 11, S3287=10), N3287+2,AND(N3287&lt;= 21, S3287=10), N3287-11)</f>
        <v>11</v>
      </c>
    </row>
    <row r="3288" spans="1:22" x14ac:dyDescent="0.35">
      <c r="A3288" s="4">
        <v>45574</v>
      </c>
      <c r="B3288" s="5">
        <v>0.62203703703703705</v>
      </c>
      <c r="C3288">
        <v>67.7</v>
      </c>
      <c r="D3288">
        <v>66.3</v>
      </c>
      <c r="E3288">
        <v>69.099999999999994</v>
      </c>
      <c r="F3288">
        <v>67.099999999999994</v>
      </c>
      <c r="G3288">
        <v>0</v>
      </c>
      <c r="H3288">
        <v>0</v>
      </c>
      <c r="I3288">
        <v>0</v>
      </c>
      <c r="J3288">
        <v>0</v>
      </c>
      <c r="K3288">
        <v>64.599999999999994</v>
      </c>
      <c r="L3288">
        <v>65.2</v>
      </c>
      <c r="M3288">
        <v>67.61</v>
      </c>
      <c r="N3288">
        <v>9</v>
      </c>
      <c r="O3288">
        <v>1</v>
      </c>
      <c r="P3288">
        <f>MOD(DAY(datos_siembra[[#This Row],[Date]]),7)</f>
        <v>2</v>
      </c>
      <c r="Q3288" t="str">
        <f>CHOOSE(WEEKDAY(datos_siembra[[#This Row],[Date]],2),"L","M","X","J","V","S","D")</f>
        <v>X</v>
      </c>
      <c r="R3288">
        <f>WEEKNUM(datos_siembra[[#This Row],[Date]],2)-WEEKNUM(DATE(YEAR(datos_siembra[[#This Row],[Date]]),MONTH(datos_siembra[[#This Row],[Date]]),1))+1</f>
        <v>2</v>
      </c>
      <c r="S3288">
        <f>MONTH(datos_siembra[[#This Row],[Date]])</f>
        <v>10</v>
      </c>
      <c r="T3288" t="str" cm="1">
        <f t="array" ref="T3288">_xlfn.IFS(AND(N3288&lt;= 22, S3288=9), "SOWING",AND(N3288&lt;= 28, S3288=9), "COVERAGE",AND(N3288&lt;= 30, S3288=9), "FLUSH",AND(N3288&lt;= 11, S3288=10), "FLUSH",AND(N3288&lt;= 21, S3288=10), "PRODUCTION")</f>
        <v>FLUSH</v>
      </c>
      <c r="U3288">
        <f>HOUR(datos_siembra[[#This Row],[Hour]])</f>
        <v>14</v>
      </c>
      <c r="V3288" cm="1">
        <f t="array" ref="V3288">_xlfn.IFS(AND(N3288&lt;= 22, S3288=9), N3288-7,AND(N3288&lt;= 28, S3288=9), N3288-25,AND(N3288&lt;= 30, S3288=9), N3288-28,AND(N3288&lt;= 11, S3288=10), N3288+2,AND(N3288&lt;= 21, S3288=10), N3288-11)</f>
        <v>11</v>
      </c>
    </row>
    <row r="3289" spans="1:22" x14ac:dyDescent="0.35">
      <c r="A3289" s="4">
        <v>45574</v>
      </c>
      <c r="B3289" s="5">
        <v>0.62899305555555551</v>
      </c>
      <c r="C3289">
        <v>67.400000000000006</v>
      </c>
      <c r="D3289">
        <v>66.400000000000006</v>
      </c>
      <c r="E3289">
        <v>69.099999999999994</v>
      </c>
      <c r="F3289">
        <v>67.099999999999994</v>
      </c>
      <c r="G3289">
        <v>0</v>
      </c>
      <c r="H3289">
        <v>0</v>
      </c>
      <c r="I3289">
        <v>0</v>
      </c>
      <c r="J3289">
        <v>0</v>
      </c>
      <c r="K3289">
        <v>64.5</v>
      </c>
      <c r="L3289">
        <v>64.900000000000006</v>
      </c>
      <c r="M3289">
        <v>67.52</v>
      </c>
      <c r="N3289">
        <v>9</v>
      </c>
      <c r="O3289">
        <v>1</v>
      </c>
      <c r="P3289">
        <f>MOD(DAY(datos_siembra[[#This Row],[Date]]),7)</f>
        <v>2</v>
      </c>
      <c r="Q3289" t="str">
        <f>CHOOSE(WEEKDAY(datos_siembra[[#This Row],[Date]],2),"L","M","X","J","V","S","D")</f>
        <v>X</v>
      </c>
      <c r="R3289">
        <f>WEEKNUM(datos_siembra[[#This Row],[Date]],2)-WEEKNUM(DATE(YEAR(datos_siembra[[#This Row],[Date]]),MONTH(datos_siembra[[#This Row],[Date]]),1))+1</f>
        <v>2</v>
      </c>
      <c r="S3289">
        <f>MONTH(datos_siembra[[#This Row],[Date]])</f>
        <v>10</v>
      </c>
      <c r="T3289" t="str" cm="1">
        <f t="array" ref="T3289">_xlfn.IFS(AND(N3289&lt;= 22, S3289=9), "SOWING",AND(N3289&lt;= 28, S3289=9), "COVERAGE",AND(N3289&lt;= 30, S3289=9), "FLUSH",AND(N3289&lt;= 11, S3289=10), "FLUSH",AND(N3289&lt;= 21, S3289=10), "PRODUCTION")</f>
        <v>FLUSH</v>
      </c>
      <c r="U3289">
        <f>HOUR(datos_siembra[[#This Row],[Hour]])</f>
        <v>15</v>
      </c>
      <c r="V3289" cm="1">
        <f t="array" ref="V3289">_xlfn.IFS(AND(N3289&lt;= 22, S3289=9), N3289-7,AND(N3289&lt;= 28, S3289=9), N3289-25,AND(N3289&lt;= 30, S3289=9), N3289-28,AND(N3289&lt;= 11, S3289=10), N3289+2,AND(N3289&lt;= 21, S3289=10), N3289-11)</f>
        <v>11</v>
      </c>
    </row>
    <row r="3290" spans="1:22" x14ac:dyDescent="0.35">
      <c r="A3290" s="4">
        <v>45574</v>
      </c>
      <c r="B3290" s="5">
        <v>0.63593750000000004</v>
      </c>
      <c r="C3290">
        <v>67.599999999999994</v>
      </c>
      <c r="D3290">
        <v>66.3</v>
      </c>
      <c r="E3290">
        <v>69.099999999999994</v>
      </c>
      <c r="F3290">
        <v>67.099999999999994</v>
      </c>
      <c r="G3290">
        <v>0</v>
      </c>
      <c r="H3290">
        <v>0</v>
      </c>
      <c r="I3290">
        <v>0</v>
      </c>
      <c r="J3290">
        <v>0</v>
      </c>
      <c r="K3290">
        <v>64.7</v>
      </c>
      <c r="L3290">
        <v>65.2</v>
      </c>
      <c r="M3290">
        <v>67.52</v>
      </c>
      <c r="N3290">
        <v>9</v>
      </c>
      <c r="O3290">
        <v>1</v>
      </c>
      <c r="P3290">
        <f>MOD(DAY(datos_siembra[[#This Row],[Date]]),7)</f>
        <v>2</v>
      </c>
      <c r="Q3290" t="str">
        <f>CHOOSE(WEEKDAY(datos_siembra[[#This Row],[Date]],2),"L","M","X","J","V","S","D")</f>
        <v>X</v>
      </c>
      <c r="R3290">
        <f>WEEKNUM(datos_siembra[[#This Row],[Date]],2)-WEEKNUM(DATE(YEAR(datos_siembra[[#This Row],[Date]]),MONTH(datos_siembra[[#This Row],[Date]]),1))+1</f>
        <v>2</v>
      </c>
      <c r="S3290">
        <f>MONTH(datos_siembra[[#This Row],[Date]])</f>
        <v>10</v>
      </c>
      <c r="T3290" t="str" cm="1">
        <f t="array" ref="T3290">_xlfn.IFS(AND(N3290&lt;= 22, S3290=9), "SOWING",AND(N3290&lt;= 28, S3290=9), "COVERAGE",AND(N3290&lt;= 30, S3290=9), "FLUSH",AND(N3290&lt;= 11, S3290=10), "FLUSH",AND(N3290&lt;= 21, S3290=10), "PRODUCTION")</f>
        <v>FLUSH</v>
      </c>
      <c r="U3290">
        <f>HOUR(datos_siembra[[#This Row],[Hour]])</f>
        <v>15</v>
      </c>
      <c r="V3290" cm="1">
        <f t="array" ref="V3290">_xlfn.IFS(AND(N3290&lt;= 22, S3290=9), N3290-7,AND(N3290&lt;= 28, S3290=9), N3290-25,AND(N3290&lt;= 30, S3290=9), N3290-28,AND(N3290&lt;= 11, S3290=10), N3290+2,AND(N3290&lt;= 21, S3290=10), N3290-11)</f>
        <v>11</v>
      </c>
    </row>
    <row r="3291" spans="1:22" x14ac:dyDescent="0.35">
      <c r="A3291" s="4">
        <v>45574</v>
      </c>
      <c r="B3291" s="5">
        <v>0.64288194444444446</v>
      </c>
      <c r="C3291">
        <v>67.400000000000006</v>
      </c>
      <c r="D3291">
        <v>66.3</v>
      </c>
      <c r="E3291">
        <v>69.400000000000006</v>
      </c>
      <c r="F3291">
        <v>67</v>
      </c>
      <c r="G3291">
        <v>0</v>
      </c>
      <c r="H3291">
        <v>0</v>
      </c>
      <c r="I3291">
        <v>0</v>
      </c>
      <c r="J3291">
        <v>0</v>
      </c>
      <c r="K3291">
        <v>64.7</v>
      </c>
      <c r="L3291">
        <v>65.2</v>
      </c>
      <c r="M3291">
        <v>67.52</v>
      </c>
      <c r="N3291">
        <v>9</v>
      </c>
      <c r="O3291">
        <v>1</v>
      </c>
      <c r="P3291">
        <f>MOD(DAY(datos_siembra[[#This Row],[Date]]),7)</f>
        <v>2</v>
      </c>
      <c r="Q3291" t="str">
        <f>CHOOSE(WEEKDAY(datos_siembra[[#This Row],[Date]],2),"L","M","X","J","V","S","D")</f>
        <v>X</v>
      </c>
      <c r="R3291">
        <f>WEEKNUM(datos_siembra[[#This Row],[Date]],2)-WEEKNUM(DATE(YEAR(datos_siembra[[#This Row],[Date]]),MONTH(datos_siembra[[#This Row],[Date]]),1))+1</f>
        <v>2</v>
      </c>
      <c r="S3291">
        <f>MONTH(datos_siembra[[#This Row],[Date]])</f>
        <v>10</v>
      </c>
      <c r="T3291" t="str" cm="1">
        <f t="array" ref="T3291">_xlfn.IFS(AND(N3291&lt;= 22, S3291=9), "SOWING",AND(N3291&lt;= 28, S3291=9), "COVERAGE",AND(N3291&lt;= 30, S3291=9), "FLUSH",AND(N3291&lt;= 11, S3291=10), "FLUSH",AND(N3291&lt;= 21, S3291=10), "PRODUCTION")</f>
        <v>FLUSH</v>
      </c>
      <c r="U3291">
        <f>HOUR(datos_siembra[[#This Row],[Hour]])</f>
        <v>15</v>
      </c>
      <c r="V3291" cm="1">
        <f t="array" ref="V3291">_xlfn.IFS(AND(N3291&lt;= 22, S3291=9), N3291-7,AND(N3291&lt;= 28, S3291=9), N3291-25,AND(N3291&lt;= 30, S3291=9), N3291-28,AND(N3291&lt;= 11, S3291=10), N3291+2,AND(N3291&lt;= 21, S3291=10), N3291-11)</f>
        <v>11</v>
      </c>
    </row>
    <row r="3292" spans="1:22" x14ac:dyDescent="0.35">
      <c r="A3292" s="4">
        <v>45574</v>
      </c>
      <c r="B3292" s="5">
        <v>0.64982638888888888</v>
      </c>
      <c r="C3292">
        <v>67.7</v>
      </c>
      <c r="D3292">
        <v>66.400000000000006</v>
      </c>
      <c r="E3292">
        <v>69</v>
      </c>
      <c r="F3292">
        <v>67.099999999999994</v>
      </c>
      <c r="G3292">
        <v>0</v>
      </c>
      <c r="H3292">
        <v>0</v>
      </c>
      <c r="I3292">
        <v>0</v>
      </c>
      <c r="J3292">
        <v>0</v>
      </c>
      <c r="K3292">
        <v>64.5</v>
      </c>
      <c r="L3292">
        <v>65</v>
      </c>
      <c r="M3292">
        <v>67.47</v>
      </c>
      <c r="N3292">
        <v>9</v>
      </c>
      <c r="O3292">
        <v>1</v>
      </c>
      <c r="P3292">
        <f>MOD(DAY(datos_siembra[[#This Row],[Date]]),7)</f>
        <v>2</v>
      </c>
      <c r="Q3292" t="str">
        <f>CHOOSE(WEEKDAY(datos_siembra[[#This Row],[Date]],2),"L","M","X","J","V","S","D")</f>
        <v>X</v>
      </c>
      <c r="R3292">
        <f>WEEKNUM(datos_siembra[[#This Row],[Date]],2)-WEEKNUM(DATE(YEAR(datos_siembra[[#This Row],[Date]]),MONTH(datos_siembra[[#This Row],[Date]]),1))+1</f>
        <v>2</v>
      </c>
      <c r="S3292">
        <f>MONTH(datos_siembra[[#This Row],[Date]])</f>
        <v>10</v>
      </c>
      <c r="T3292" t="str" cm="1">
        <f t="array" ref="T3292">_xlfn.IFS(AND(N3292&lt;= 22, S3292=9), "SOWING",AND(N3292&lt;= 28, S3292=9), "COVERAGE",AND(N3292&lt;= 30, S3292=9), "FLUSH",AND(N3292&lt;= 11, S3292=10), "FLUSH",AND(N3292&lt;= 21, S3292=10), "PRODUCTION")</f>
        <v>FLUSH</v>
      </c>
      <c r="U3292">
        <f>HOUR(datos_siembra[[#This Row],[Hour]])</f>
        <v>15</v>
      </c>
      <c r="V3292" cm="1">
        <f t="array" ref="V3292">_xlfn.IFS(AND(N3292&lt;= 22, S3292=9), N3292-7,AND(N3292&lt;= 28, S3292=9), N3292-25,AND(N3292&lt;= 30, S3292=9), N3292-28,AND(N3292&lt;= 11, S3292=10), N3292+2,AND(N3292&lt;= 21, S3292=10), N3292-11)</f>
        <v>11</v>
      </c>
    </row>
    <row r="3293" spans="1:22" x14ac:dyDescent="0.35">
      <c r="A3293" s="4">
        <v>45574</v>
      </c>
      <c r="B3293" s="5">
        <v>0.65678240740740745</v>
      </c>
      <c r="C3293">
        <v>67.7</v>
      </c>
      <c r="D3293">
        <v>66.400000000000006</v>
      </c>
      <c r="E3293">
        <v>69.400000000000006</v>
      </c>
      <c r="F3293">
        <v>67.099999999999994</v>
      </c>
      <c r="G3293">
        <v>0</v>
      </c>
      <c r="H3293">
        <v>0</v>
      </c>
      <c r="I3293">
        <v>0</v>
      </c>
      <c r="J3293">
        <v>0</v>
      </c>
      <c r="K3293">
        <v>64.400000000000006</v>
      </c>
      <c r="L3293">
        <v>64.7</v>
      </c>
      <c r="M3293">
        <v>67.58</v>
      </c>
      <c r="N3293">
        <v>9</v>
      </c>
      <c r="O3293">
        <v>1</v>
      </c>
      <c r="P3293">
        <f>MOD(DAY(datos_siembra[[#This Row],[Date]]),7)</f>
        <v>2</v>
      </c>
      <c r="Q3293" t="str">
        <f>CHOOSE(WEEKDAY(datos_siembra[[#This Row],[Date]],2),"L","M","X","J","V","S","D")</f>
        <v>X</v>
      </c>
      <c r="R3293">
        <f>WEEKNUM(datos_siembra[[#This Row],[Date]],2)-WEEKNUM(DATE(YEAR(datos_siembra[[#This Row],[Date]]),MONTH(datos_siembra[[#This Row],[Date]]),1))+1</f>
        <v>2</v>
      </c>
      <c r="S3293">
        <f>MONTH(datos_siembra[[#This Row],[Date]])</f>
        <v>10</v>
      </c>
      <c r="T3293" t="str" cm="1">
        <f t="array" ref="T3293">_xlfn.IFS(AND(N3293&lt;= 22, S3293=9), "SOWING",AND(N3293&lt;= 28, S3293=9), "COVERAGE",AND(N3293&lt;= 30, S3293=9), "FLUSH",AND(N3293&lt;= 11, S3293=10), "FLUSH",AND(N3293&lt;= 21, S3293=10), "PRODUCTION")</f>
        <v>FLUSH</v>
      </c>
      <c r="U3293">
        <f>HOUR(datos_siembra[[#This Row],[Hour]])</f>
        <v>15</v>
      </c>
      <c r="V3293" cm="1">
        <f t="array" ref="V3293">_xlfn.IFS(AND(N3293&lt;= 22, S3293=9), N3293-7,AND(N3293&lt;= 28, S3293=9), N3293-25,AND(N3293&lt;= 30, S3293=9), N3293-28,AND(N3293&lt;= 11, S3293=10), N3293+2,AND(N3293&lt;= 21, S3293=10), N3293-11)</f>
        <v>11</v>
      </c>
    </row>
    <row r="3294" spans="1:22" x14ac:dyDescent="0.35">
      <c r="A3294" s="4">
        <v>45574</v>
      </c>
      <c r="B3294" s="5">
        <v>0.66372685185185187</v>
      </c>
      <c r="C3294">
        <v>67.599999999999994</v>
      </c>
      <c r="D3294">
        <v>66.5</v>
      </c>
      <c r="E3294">
        <v>69.099999999999994</v>
      </c>
      <c r="F3294">
        <v>67.099999999999994</v>
      </c>
      <c r="G3294">
        <v>0</v>
      </c>
      <c r="H3294">
        <v>0</v>
      </c>
      <c r="I3294">
        <v>0</v>
      </c>
      <c r="J3294">
        <v>0</v>
      </c>
      <c r="K3294">
        <v>64.400000000000006</v>
      </c>
      <c r="L3294">
        <v>64.7</v>
      </c>
      <c r="M3294">
        <v>67.58</v>
      </c>
      <c r="N3294">
        <v>9</v>
      </c>
      <c r="O3294">
        <v>1</v>
      </c>
      <c r="P3294">
        <f>MOD(DAY(datos_siembra[[#This Row],[Date]]),7)</f>
        <v>2</v>
      </c>
      <c r="Q3294" t="str">
        <f>CHOOSE(WEEKDAY(datos_siembra[[#This Row],[Date]],2),"L","M","X","J","V","S","D")</f>
        <v>X</v>
      </c>
      <c r="R3294">
        <f>WEEKNUM(datos_siembra[[#This Row],[Date]],2)-WEEKNUM(DATE(YEAR(datos_siembra[[#This Row],[Date]]),MONTH(datos_siembra[[#This Row],[Date]]),1))+1</f>
        <v>2</v>
      </c>
      <c r="S3294">
        <f>MONTH(datos_siembra[[#This Row],[Date]])</f>
        <v>10</v>
      </c>
      <c r="T3294" t="str" cm="1">
        <f t="array" ref="T3294">_xlfn.IFS(AND(N3294&lt;= 22, S3294=9), "SOWING",AND(N3294&lt;= 28, S3294=9), "COVERAGE",AND(N3294&lt;= 30, S3294=9), "FLUSH",AND(N3294&lt;= 11, S3294=10), "FLUSH",AND(N3294&lt;= 21, S3294=10), "PRODUCTION")</f>
        <v>FLUSH</v>
      </c>
      <c r="U3294">
        <f>HOUR(datos_siembra[[#This Row],[Hour]])</f>
        <v>15</v>
      </c>
      <c r="V3294" cm="1">
        <f t="array" ref="V3294">_xlfn.IFS(AND(N3294&lt;= 22, S3294=9), N3294-7,AND(N3294&lt;= 28, S3294=9), N3294-25,AND(N3294&lt;= 30, S3294=9), N3294-28,AND(N3294&lt;= 11, S3294=10), N3294+2,AND(N3294&lt;= 21, S3294=10), N3294-11)</f>
        <v>11</v>
      </c>
    </row>
    <row r="3295" spans="1:22" x14ac:dyDescent="0.35">
      <c r="A3295" s="4">
        <v>45574</v>
      </c>
      <c r="B3295" s="5">
        <v>0.67067129629629629</v>
      </c>
      <c r="C3295">
        <v>67.599999999999994</v>
      </c>
      <c r="D3295">
        <v>66.5</v>
      </c>
      <c r="E3295">
        <v>69.2</v>
      </c>
      <c r="F3295">
        <v>67.099999999999994</v>
      </c>
      <c r="G3295">
        <v>0</v>
      </c>
      <c r="H3295">
        <v>0</v>
      </c>
      <c r="I3295">
        <v>0</v>
      </c>
      <c r="J3295">
        <v>0</v>
      </c>
      <c r="K3295">
        <v>64.400000000000006</v>
      </c>
      <c r="L3295">
        <v>64.7</v>
      </c>
      <c r="M3295">
        <v>67.69</v>
      </c>
      <c r="N3295">
        <v>9</v>
      </c>
      <c r="O3295">
        <v>1</v>
      </c>
      <c r="P3295">
        <f>MOD(DAY(datos_siembra[[#This Row],[Date]]),7)</f>
        <v>2</v>
      </c>
      <c r="Q3295" t="str">
        <f>CHOOSE(WEEKDAY(datos_siembra[[#This Row],[Date]],2),"L","M","X","J","V","S","D")</f>
        <v>X</v>
      </c>
      <c r="R3295">
        <f>WEEKNUM(datos_siembra[[#This Row],[Date]],2)-WEEKNUM(DATE(YEAR(datos_siembra[[#This Row],[Date]]),MONTH(datos_siembra[[#This Row],[Date]]),1))+1</f>
        <v>2</v>
      </c>
      <c r="S3295">
        <f>MONTH(datos_siembra[[#This Row],[Date]])</f>
        <v>10</v>
      </c>
      <c r="T3295" t="str" cm="1">
        <f t="array" ref="T3295">_xlfn.IFS(AND(N3295&lt;= 22, S3295=9), "SOWING",AND(N3295&lt;= 28, S3295=9), "COVERAGE",AND(N3295&lt;= 30, S3295=9), "FLUSH",AND(N3295&lt;= 11, S3295=10), "FLUSH",AND(N3295&lt;= 21, S3295=10), "PRODUCTION")</f>
        <v>FLUSH</v>
      </c>
      <c r="U3295">
        <f>HOUR(datos_siembra[[#This Row],[Hour]])</f>
        <v>16</v>
      </c>
      <c r="V3295" cm="1">
        <f t="array" ref="V3295">_xlfn.IFS(AND(N3295&lt;= 22, S3295=9), N3295-7,AND(N3295&lt;= 28, S3295=9), N3295-25,AND(N3295&lt;= 30, S3295=9), N3295-28,AND(N3295&lt;= 11, S3295=10), N3295+2,AND(N3295&lt;= 21, S3295=10), N3295-11)</f>
        <v>11</v>
      </c>
    </row>
    <row r="3296" spans="1:22" x14ac:dyDescent="0.35">
      <c r="A3296" s="4">
        <v>45574</v>
      </c>
      <c r="B3296" s="5">
        <v>0.67762731481481486</v>
      </c>
      <c r="C3296">
        <v>67.7</v>
      </c>
      <c r="D3296">
        <v>66.400000000000006</v>
      </c>
      <c r="E3296">
        <v>69.400000000000006</v>
      </c>
      <c r="F3296">
        <v>67.3</v>
      </c>
      <c r="G3296">
        <v>0</v>
      </c>
      <c r="H3296">
        <v>0</v>
      </c>
      <c r="I3296">
        <v>0</v>
      </c>
      <c r="J3296">
        <v>0</v>
      </c>
      <c r="K3296">
        <v>64.3</v>
      </c>
      <c r="L3296">
        <v>64.599999999999994</v>
      </c>
      <c r="M3296">
        <v>67.58</v>
      </c>
      <c r="N3296">
        <v>9</v>
      </c>
      <c r="O3296">
        <v>1</v>
      </c>
      <c r="P3296">
        <f>MOD(DAY(datos_siembra[[#This Row],[Date]]),7)</f>
        <v>2</v>
      </c>
      <c r="Q3296" t="str">
        <f>CHOOSE(WEEKDAY(datos_siembra[[#This Row],[Date]],2),"L","M","X","J","V","S","D")</f>
        <v>X</v>
      </c>
      <c r="R3296">
        <f>WEEKNUM(datos_siembra[[#This Row],[Date]],2)-WEEKNUM(DATE(YEAR(datos_siembra[[#This Row],[Date]]),MONTH(datos_siembra[[#This Row],[Date]]),1))+1</f>
        <v>2</v>
      </c>
      <c r="S3296">
        <f>MONTH(datos_siembra[[#This Row],[Date]])</f>
        <v>10</v>
      </c>
      <c r="T3296" t="str" cm="1">
        <f t="array" ref="T3296">_xlfn.IFS(AND(N3296&lt;= 22, S3296=9), "SOWING",AND(N3296&lt;= 28, S3296=9), "COVERAGE",AND(N3296&lt;= 30, S3296=9), "FLUSH",AND(N3296&lt;= 11, S3296=10), "FLUSH",AND(N3296&lt;= 21, S3296=10), "PRODUCTION")</f>
        <v>FLUSH</v>
      </c>
      <c r="U3296">
        <f>HOUR(datos_siembra[[#This Row],[Hour]])</f>
        <v>16</v>
      </c>
      <c r="V3296" cm="1">
        <f t="array" ref="V3296">_xlfn.IFS(AND(N3296&lt;= 22, S3296=9), N3296-7,AND(N3296&lt;= 28, S3296=9), N3296-25,AND(N3296&lt;= 30, S3296=9), N3296-28,AND(N3296&lt;= 11, S3296=10), N3296+2,AND(N3296&lt;= 21, S3296=10), N3296-11)</f>
        <v>11</v>
      </c>
    </row>
    <row r="3297" spans="1:22" x14ac:dyDescent="0.35">
      <c r="A3297" s="4">
        <v>45574</v>
      </c>
      <c r="B3297" s="5">
        <v>0.68457175925925928</v>
      </c>
      <c r="C3297">
        <v>67.599999999999994</v>
      </c>
      <c r="D3297">
        <v>66.400000000000006</v>
      </c>
      <c r="E3297">
        <v>69.2</v>
      </c>
      <c r="F3297">
        <v>67.099999999999994</v>
      </c>
      <c r="G3297">
        <v>0</v>
      </c>
      <c r="H3297">
        <v>0</v>
      </c>
      <c r="I3297">
        <v>0</v>
      </c>
      <c r="J3297">
        <v>0</v>
      </c>
      <c r="K3297">
        <v>64.2</v>
      </c>
      <c r="L3297">
        <v>64.599999999999994</v>
      </c>
      <c r="M3297">
        <v>67.61</v>
      </c>
      <c r="N3297">
        <v>9</v>
      </c>
      <c r="O3297">
        <v>1</v>
      </c>
      <c r="P3297">
        <f>MOD(DAY(datos_siembra[[#This Row],[Date]]),7)</f>
        <v>2</v>
      </c>
      <c r="Q3297" t="str">
        <f>CHOOSE(WEEKDAY(datos_siembra[[#This Row],[Date]],2),"L","M","X","J","V","S","D")</f>
        <v>X</v>
      </c>
      <c r="R3297">
        <f>WEEKNUM(datos_siembra[[#This Row],[Date]],2)-WEEKNUM(DATE(YEAR(datos_siembra[[#This Row],[Date]]),MONTH(datos_siembra[[#This Row],[Date]]),1))+1</f>
        <v>2</v>
      </c>
      <c r="S3297">
        <f>MONTH(datos_siembra[[#This Row],[Date]])</f>
        <v>10</v>
      </c>
      <c r="T3297" t="str" cm="1">
        <f t="array" ref="T3297">_xlfn.IFS(AND(N3297&lt;= 22, S3297=9), "SOWING",AND(N3297&lt;= 28, S3297=9), "COVERAGE",AND(N3297&lt;= 30, S3297=9), "FLUSH",AND(N3297&lt;= 11, S3297=10), "FLUSH",AND(N3297&lt;= 21, S3297=10), "PRODUCTION")</f>
        <v>FLUSH</v>
      </c>
      <c r="U3297">
        <f>HOUR(datos_siembra[[#This Row],[Hour]])</f>
        <v>16</v>
      </c>
      <c r="V3297" cm="1">
        <f t="array" ref="V3297">_xlfn.IFS(AND(N3297&lt;= 22, S3297=9), N3297-7,AND(N3297&lt;= 28, S3297=9), N3297-25,AND(N3297&lt;= 30, S3297=9), N3297-28,AND(N3297&lt;= 11, S3297=10), N3297+2,AND(N3297&lt;= 21, S3297=10), N3297-11)</f>
        <v>11</v>
      </c>
    </row>
    <row r="3298" spans="1:22" x14ac:dyDescent="0.35">
      <c r="A3298" s="4">
        <v>45574</v>
      </c>
      <c r="B3298" s="5">
        <v>0.6915162037037037</v>
      </c>
      <c r="C3298">
        <v>67.599999999999994</v>
      </c>
      <c r="D3298">
        <v>66.5</v>
      </c>
      <c r="E3298">
        <v>69.2</v>
      </c>
      <c r="F3298">
        <v>67.3</v>
      </c>
      <c r="G3298">
        <v>0</v>
      </c>
      <c r="H3298">
        <v>0</v>
      </c>
      <c r="I3298">
        <v>0</v>
      </c>
      <c r="J3298">
        <v>0</v>
      </c>
      <c r="K3298">
        <v>64.2</v>
      </c>
      <c r="L3298">
        <v>64.400000000000006</v>
      </c>
      <c r="M3298">
        <v>67.63</v>
      </c>
      <c r="N3298">
        <v>9</v>
      </c>
      <c r="O3298">
        <v>1</v>
      </c>
      <c r="P3298">
        <f>MOD(DAY(datos_siembra[[#This Row],[Date]]),7)</f>
        <v>2</v>
      </c>
      <c r="Q3298" t="str">
        <f>CHOOSE(WEEKDAY(datos_siembra[[#This Row],[Date]],2),"L","M","X","J","V","S","D")</f>
        <v>X</v>
      </c>
      <c r="R3298">
        <f>WEEKNUM(datos_siembra[[#This Row],[Date]],2)-WEEKNUM(DATE(YEAR(datos_siembra[[#This Row],[Date]]),MONTH(datos_siembra[[#This Row],[Date]]),1))+1</f>
        <v>2</v>
      </c>
      <c r="S3298">
        <f>MONTH(datos_siembra[[#This Row],[Date]])</f>
        <v>10</v>
      </c>
      <c r="T3298" t="str" cm="1">
        <f t="array" ref="T3298">_xlfn.IFS(AND(N3298&lt;= 22, S3298=9), "SOWING",AND(N3298&lt;= 28, S3298=9), "COVERAGE",AND(N3298&lt;= 30, S3298=9), "FLUSH",AND(N3298&lt;= 11, S3298=10), "FLUSH",AND(N3298&lt;= 21, S3298=10), "PRODUCTION")</f>
        <v>FLUSH</v>
      </c>
      <c r="U3298">
        <f>HOUR(datos_siembra[[#This Row],[Hour]])</f>
        <v>16</v>
      </c>
      <c r="V3298" cm="1">
        <f t="array" ref="V3298">_xlfn.IFS(AND(N3298&lt;= 22, S3298=9), N3298-7,AND(N3298&lt;= 28, S3298=9), N3298-25,AND(N3298&lt;= 30, S3298=9), N3298-28,AND(N3298&lt;= 11, S3298=10), N3298+2,AND(N3298&lt;= 21, S3298=10), N3298-11)</f>
        <v>11</v>
      </c>
    </row>
    <row r="3299" spans="1:22" x14ac:dyDescent="0.35">
      <c r="A3299" s="4">
        <v>45574</v>
      </c>
      <c r="B3299" s="5">
        <v>0.69846064814814812</v>
      </c>
      <c r="C3299">
        <v>67.599999999999994</v>
      </c>
      <c r="D3299">
        <v>66.5</v>
      </c>
      <c r="E3299">
        <v>69.2</v>
      </c>
      <c r="F3299">
        <v>67.2</v>
      </c>
      <c r="G3299">
        <v>0</v>
      </c>
      <c r="H3299">
        <v>0</v>
      </c>
      <c r="I3299">
        <v>0</v>
      </c>
      <c r="J3299">
        <v>0</v>
      </c>
      <c r="K3299">
        <v>64.2</v>
      </c>
      <c r="L3299">
        <v>64.5</v>
      </c>
      <c r="M3299">
        <v>67.61</v>
      </c>
      <c r="N3299">
        <v>9</v>
      </c>
      <c r="O3299">
        <v>1</v>
      </c>
      <c r="P3299">
        <f>MOD(DAY(datos_siembra[[#This Row],[Date]]),7)</f>
        <v>2</v>
      </c>
      <c r="Q3299" t="str">
        <f>CHOOSE(WEEKDAY(datos_siembra[[#This Row],[Date]],2),"L","M","X","J","V","S","D")</f>
        <v>X</v>
      </c>
      <c r="R3299">
        <f>WEEKNUM(datos_siembra[[#This Row],[Date]],2)-WEEKNUM(DATE(YEAR(datos_siembra[[#This Row],[Date]]),MONTH(datos_siembra[[#This Row],[Date]]),1))+1</f>
        <v>2</v>
      </c>
      <c r="S3299">
        <f>MONTH(datos_siembra[[#This Row],[Date]])</f>
        <v>10</v>
      </c>
      <c r="T3299" t="str" cm="1">
        <f t="array" ref="T3299">_xlfn.IFS(AND(N3299&lt;= 22, S3299=9), "SOWING",AND(N3299&lt;= 28, S3299=9), "COVERAGE",AND(N3299&lt;= 30, S3299=9), "FLUSH",AND(N3299&lt;= 11, S3299=10), "FLUSH",AND(N3299&lt;= 21, S3299=10), "PRODUCTION")</f>
        <v>FLUSH</v>
      </c>
      <c r="U3299">
        <f>HOUR(datos_siembra[[#This Row],[Hour]])</f>
        <v>16</v>
      </c>
      <c r="V3299" cm="1">
        <f t="array" ref="V3299">_xlfn.IFS(AND(N3299&lt;= 22, S3299=9), N3299-7,AND(N3299&lt;= 28, S3299=9), N3299-25,AND(N3299&lt;= 30, S3299=9), N3299-28,AND(N3299&lt;= 11, S3299=10), N3299+2,AND(N3299&lt;= 21, S3299=10), N3299-11)</f>
        <v>11</v>
      </c>
    </row>
    <row r="3300" spans="1:22" x14ac:dyDescent="0.35">
      <c r="A3300" s="4">
        <v>45574</v>
      </c>
      <c r="B3300" s="5">
        <v>0.70541666666666669</v>
      </c>
      <c r="C3300">
        <v>67.8</v>
      </c>
      <c r="D3300">
        <v>66.400000000000006</v>
      </c>
      <c r="E3300">
        <v>69.400000000000006</v>
      </c>
      <c r="F3300">
        <v>67.400000000000006</v>
      </c>
      <c r="G3300">
        <v>0</v>
      </c>
      <c r="H3300">
        <v>0</v>
      </c>
      <c r="I3300">
        <v>0</v>
      </c>
      <c r="J3300">
        <v>0</v>
      </c>
      <c r="K3300">
        <v>64.099999999999994</v>
      </c>
      <c r="L3300">
        <v>64.3</v>
      </c>
      <c r="M3300">
        <v>67.52</v>
      </c>
      <c r="N3300">
        <v>9</v>
      </c>
      <c r="O3300">
        <v>1</v>
      </c>
      <c r="P3300">
        <f>MOD(DAY(datos_siembra[[#This Row],[Date]]),7)</f>
        <v>2</v>
      </c>
      <c r="Q3300" t="str">
        <f>CHOOSE(WEEKDAY(datos_siembra[[#This Row],[Date]],2),"L","M","X","J","V","S","D")</f>
        <v>X</v>
      </c>
      <c r="R3300">
        <f>WEEKNUM(datos_siembra[[#This Row],[Date]],2)-WEEKNUM(DATE(YEAR(datos_siembra[[#This Row],[Date]]),MONTH(datos_siembra[[#This Row],[Date]]),1))+1</f>
        <v>2</v>
      </c>
      <c r="S3300">
        <f>MONTH(datos_siembra[[#This Row],[Date]])</f>
        <v>10</v>
      </c>
      <c r="T3300" t="str" cm="1">
        <f t="array" ref="T3300">_xlfn.IFS(AND(N3300&lt;= 22, S3300=9), "SOWING",AND(N3300&lt;= 28, S3300=9), "COVERAGE",AND(N3300&lt;= 30, S3300=9), "FLUSH",AND(N3300&lt;= 11, S3300=10), "FLUSH",AND(N3300&lt;= 21, S3300=10), "PRODUCTION")</f>
        <v>FLUSH</v>
      </c>
      <c r="U3300">
        <f>HOUR(datos_siembra[[#This Row],[Hour]])</f>
        <v>16</v>
      </c>
      <c r="V3300" cm="1">
        <f t="array" ref="V3300">_xlfn.IFS(AND(N3300&lt;= 22, S3300=9), N3300-7,AND(N3300&lt;= 28, S3300=9), N3300-25,AND(N3300&lt;= 30, S3300=9), N3300-28,AND(N3300&lt;= 11, S3300=10), N3300+2,AND(N3300&lt;= 21, S3300=10), N3300-11)</f>
        <v>11</v>
      </c>
    </row>
    <row r="3301" spans="1:22" x14ac:dyDescent="0.35">
      <c r="A3301" s="4">
        <v>45574</v>
      </c>
      <c r="B3301" s="5">
        <v>0.71236111111111111</v>
      </c>
      <c r="C3301">
        <v>67.599999999999994</v>
      </c>
      <c r="D3301">
        <v>66.400000000000006</v>
      </c>
      <c r="E3301">
        <v>69.2</v>
      </c>
      <c r="F3301">
        <v>67.2</v>
      </c>
      <c r="G3301">
        <v>0</v>
      </c>
      <c r="H3301">
        <v>0</v>
      </c>
      <c r="I3301">
        <v>0</v>
      </c>
      <c r="J3301">
        <v>0</v>
      </c>
      <c r="K3301">
        <v>64.099999999999994</v>
      </c>
      <c r="L3301">
        <v>64.3</v>
      </c>
      <c r="M3301">
        <v>67.66</v>
      </c>
      <c r="N3301">
        <v>9</v>
      </c>
      <c r="O3301">
        <v>1</v>
      </c>
      <c r="P3301">
        <f>MOD(DAY(datos_siembra[[#This Row],[Date]]),7)</f>
        <v>2</v>
      </c>
      <c r="Q3301" t="str">
        <f>CHOOSE(WEEKDAY(datos_siembra[[#This Row],[Date]],2),"L","M","X","J","V","S","D")</f>
        <v>X</v>
      </c>
      <c r="R3301">
        <f>WEEKNUM(datos_siembra[[#This Row],[Date]],2)-WEEKNUM(DATE(YEAR(datos_siembra[[#This Row],[Date]]),MONTH(datos_siembra[[#This Row],[Date]]),1))+1</f>
        <v>2</v>
      </c>
      <c r="S3301">
        <f>MONTH(datos_siembra[[#This Row],[Date]])</f>
        <v>10</v>
      </c>
      <c r="T3301" t="str" cm="1">
        <f t="array" ref="T3301">_xlfn.IFS(AND(N3301&lt;= 22, S3301=9), "SOWING",AND(N3301&lt;= 28, S3301=9), "COVERAGE",AND(N3301&lt;= 30, S3301=9), "FLUSH",AND(N3301&lt;= 11, S3301=10), "FLUSH",AND(N3301&lt;= 21, S3301=10), "PRODUCTION")</f>
        <v>FLUSH</v>
      </c>
      <c r="U3301">
        <f>HOUR(datos_siembra[[#This Row],[Hour]])</f>
        <v>17</v>
      </c>
      <c r="V3301" cm="1">
        <f t="array" ref="V3301">_xlfn.IFS(AND(N3301&lt;= 22, S3301=9), N3301-7,AND(N3301&lt;= 28, S3301=9), N3301-25,AND(N3301&lt;= 30, S3301=9), N3301-28,AND(N3301&lt;= 11, S3301=10), N3301+2,AND(N3301&lt;= 21, S3301=10), N3301-11)</f>
        <v>11</v>
      </c>
    </row>
    <row r="3302" spans="1:22" x14ac:dyDescent="0.35">
      <c r="A3302" s="4">
        <v>45574</v>
      </c>
      <c r="B3302" s="5">
        <v>0.71930555555555553</v>
      </c>
      <c r="C3302">
        <v>67.599999999999994</v>
      </c>
      <c r="D3302">
        <v>66.400000000000006</v>
      </c>
      <c r="E3302">
        <v>69.2</v>
      </c>
      <c r="F3302">
        <v>67.2</v>
      </c>
      <c r="G3302">
        <v>0</v>
      </c>
      <c r="H3302">
        <v>0</v>
      </c>
      <c r="I3302">
        <v>0</v>
      </c>
      <c r="J3302">
        <v>0</v>
      </c>
      <c r="K3302">
        <v>64.099999999999994</v>
      </c>
      <c r="L3302">
        <v>64.3</v>
      </c>
      <c r="M3302">
        <v>67.66</v>
      </c>
      <c r="N3302">
        <v>9</v>
      </c>
      <c r="O3302">
        <v>1</v>
      </c>
      <c r="P3302">
        <f>MOD(DAY(datos_siembra[[#This Row],[Date]]),7)</f>
        <v>2</v>
      </c>
      <c r="Q3302" t="str">
        <f>CHOOSE(WEEKDAY(datos_siembra[[#This Row],[Date]],2),"L","M","X","J","V","S","D")</f>
        <v>X</v>
      </c>
      <c r="R3302">
        <f>WEEKNUM(datos_siembra[[#This Row],[Date]],2)-WEEKNUM(DATE(YEAR(datos_siembra[[#This Row],[Date]]),MONTH(datos_siembra[[#This Row],[Date]]),1))+1</f>
        <v>2</v>
      </c>
      <c r="S3302">
        <f>MONTH(datos_siembra[[#This Row],[Date]])</f>
        <v>10</v>
      </c>
      <c r="T3302" t="str" cm="1">
        <f t="array" ref="T3302">_xlfn.IFS(AND(N3302&lt;= 22, S3302=9), "SOWING",AND(N3302&lt;= 28, S3302=9), "COVERAGE",AND(N3302&lt;= 30, S3302=9), "FLUSH",AND(N3302&lt;= 11, S3302=10), "FLUSH",AND(N3302&lt;= 21, S3302=10), "PRODUCTION")</f>
        <v>FLUSH</v>
      </c>
      <c r="U3302">
        <f>HOUR(datos_siembra[[#This Row],[Hour]])</f>
        <v>17</v>
      </c>
      <c r="V3302" cm="1">
        <f t="array" ref="V3302">_xlfn.IFS(AND(N3302&lt;= 22, S3302=9), N3302-7,AND(N3302&lt;= 28, S3302=9), N3302-25,AND(N3302&lt;= 30, S3302=9), N3302-28,AND(N3302&lt;= 11, S3302=10), N3302+2,AND(N3302&lt;= 21, S3302=10), N3302-11)</f>
        <v>11</v>
      </c>
    </row>
    <row r="3303" spans="1:22" x14ac:dyDescent="0.35">
      <c r="A3303" s="4">
        <v>45574</v>
      </c>
      <c r="B3303" s="5">
        <v>0.7262615740740741</v>
      </c>
      <c r="C3303">
        <v>67.8</v>
      </c>
      <c r="D3303">
        <v>66.400000000000006</v>
      </c>
      <c r="E3303">
        <v>69.2</v>
      </c>
      <c r="F3303">
        <v>67.2</v>
      </c>
      <c r="G3303">
        <v>0</v>
      </c>
      <c r="H3303">
        <v>0</v>
      </c>
      <c r="I3303">
        <v>0</v>
      </c>
      <c r="J3303">
        <v>0</v>
      </c>
      <c r="K3303">
        <v>63.9</v>
      </c>
      <c r="L3303">
        <v>64.2</v>
      </c>
      <c r="M3303">
        <v>67.69</v>
      </c>
      <c r="N3303">
        <v>9</v>
      </c>
      <c r="O3303">
        <v>1</v>
      </c>
      <c r="P3303">
        <f>MOD(DAY(datos_siembra[[#This Row],[Date]]),7)</f>
        <v>2</v>
      </c>
      <c r="Q3303" t="str">
        <f>CHOOSE(WEEKDAY(datos_siembra[[#This Row],[Date]],2),"L","M","X","J","V","S","D")</f>
        <v>X</v>
      </c>
      <c r="R3303">
        <f>WEEKNUM(datos_siembra[[#This Row],[Date]],2)-WEEKNUM(DATE(YEAR(datos_siembra[[#This Row],[Date]]),MONTH(datos_siembra[[#This Row],[Date]]),1))+1</f>
        <v>2</v>
      </c>
      <c r="S3303">
        <f>MONTH(datos_siembra[[#This Row],[Date]])</f>
        <v>10</v>
      </c>
      <c r="T3303" t="str" cm="1">
        <f t="array" ref="T3303">_xlfn.IFS(AND(N3303&lt;= 22, S3303=9), "SOWING",AND(N3303&lt;= 28, S3303=9), "COVERAGE",AND(N3303&lt;= 30, S3303=9), "FLUSH",AND(N3303&lt;= 11, S3303=10), "FLUSH",AND(N3303&lt;= 21, S3303=10), "PRODUCTION")</f>
        <v>FLUSH</v>
      </c>
      <c r="U3303">
        <f>HOUR(datos_siembra[[#This Row],[Hour]])</f>
        <v>17</v>
      </c>
      <c r="V3303" cm="1">
        <f t="array" ref="V3303">_xlfn.IFS(AND(N3303&lt;= 22, S3303=9), N3303-7,AND(N3303&lt;= 28, S3303=9), N3303-25,AND(N3303&lt;= 30, S3303=9), N3303-28,AND(N3303&lt;= 11, S3303=10), N3303+2,AND(N3303&lt;= 21, S3303=10), N3303-11)</f>
        <v>11</v>
      </c>
    </row>
    <row r="3304" spans="1:22" x14ac:dyDescent="0.35">
      <c r="A3304" s="4">
        <v>45574</v>
      </c>
      <c r="B3304" s="5">
        <v>0.73320601851851852</v>
      </c>
      <c r="C3304">
        <v>67.7</v>
      </c>
      <c r="D3304">
        <v>66.400000000000006</v>
      </c>
      <c r="E3304">
        <v>69.400000000000006</v>
      </c>
      <c r="F3304">
        <v>67.2</v>
      </c>
      <c r="G3304">
        <v>0</v>
      </c>
      <c r="H3304">
        <v>0</v>
      </c>
      <c r="I3304">
        <v>0</v>
      </c>
      <c r="J3304">
        <v>0</v>
      </c>
      <c r="K3304">
        <v>63.9</v>
      </c>
      <c r="L3304">
        <v>64.2</v>
      </c>
      <c r="M3304">
        <v>67.69</v>
      </c>
      <c r="N3304">
        <v>9</v>
      </c>
      <c r="O3304">
        <v>1</v>
      </c>
      <c r="P3304">
        <f>MOD(DAY(datos_siembra[[#This Row],[Date]]),7)</f>
        <v>2</v>
      </c>
      <c r="Q3304" t="str">
        <f>CHOOSE(WEEKDAY(datos_siembra[[#This Row],[Date]],2),"L","M","X","J","V","S","D")</f>
        <v>X</v>
      </c>
      <c r="R3304">
        <f>WEEKNUM(datos_siembra[[#This Row],[Date]],2)-WEEKNUM(DATE(YEAR(datos_siembra[[#This Row],[Date]]),MONTH(datos_siembra[[#This Row],[Date]]),1))+1</f>
        <v>2</v>
      </c>
      <c r="S3304">
        <f>MONTH(datos_siembra[[#This Row],[Date]])</f>
        <v>10</v>
      </c>
      <c r="T3304" t="str" cm="1">
        <f t="array" ref="T3304">_xlfn.IFS(AND(N3304&lt;= 22, S3304=9), "SOWING",AND(N3304&lt;= 28, S3304=9), "COVERAGE",AND(N3304&lt;= 30, S3304=9), "FLUSH",AND(N3304&lt;= 11, S3304=10), "FLUSH",AND(N3304&lt;= 21, S3304=10), "PRODUCTION")</f>
        <v>FLUSH</v>
      </c>
      <c r="U3304">
        <f>HOUR(datos_siembra[[#This Row],[Hour]])</f>
        <v>17</v>
      </c>
      <c r="V3304" cm="1">
        <f t="array" ref="V3304">_xlfn.IFS(AND(N3304&lt;= 22, S3304=9), N3304-7,AND(N3304&lt;= 28, S3304=9), N3304-25,AND(N3304&lt;= 30, S3304=9), N3304-28,AND(N3304&lt;= 11, S3304=10), N3304+2,AND(N3304&lt;= 21, S3304=10), N3304-11)</f>
        <v>11</v>
      </c>
    </row>
    <row r="3305" spans="1:22" x14ac:dyDescent="0.35">
      <c r="A3305" s="4">
        <v>45574</v>
      </c>
      <c r="B3305" s="5">
        <v>0.74015046296296294</v>
      </c>
      <c r="C3305">
        <v>67.8</v>
      </c>
      <c r="D3305">
        <v>66.400000000000006</v>
      </c>
      <c r="E3305">
        <v>69.400000000000006</v>
      </c>
      <c r="F3305">
        <v>67.2</v>
      </c>
      <c r="G3305">
        <v>0</v>
      </c>
      <c r="H3305">
        <v>0</v>
      </c>
      <c r="I3305">
        <v>0</v>
      </c>
      <c r="J3305">
        <v>0</v>
      </c>
      <c r="K3305">
        <v>63.8</v>
      </c>
      <c r="L3305">
        <v>64.099999999999994</v>
      </c>
      <c r="M3305">
        <v>67.69</v>
      </c>
      <c r="N3305">
        <v>9</v>
      </c>
      <c r="O3305">
        <v>1</v>
      </c>
      <c r="P3305">
        <f>MOD(DAY(datos_siembra[[#This Row],[Date]]),7)</f>
        <v>2</v>
      </c>
      <c r="Q3305" t="str">
        <f>CHOOSE(WEEKDAY(datos_siembra[[#This Row],[Date]],2),"L","M","X","J","V","S","D")</f>
        <v>X</v>
      </c>
      <c r="R3305">
        <f>WEEKNUM(datos_siembra[[#This Row],[Date]],2)-WEEKNUM(DATE(YEAR(datos_siembra[[#This Row],[Date]]),MONTH(datos_siembra[[#This Row],[Date]]),1))+1</f>
        <v>2</v>
      </c>
      <c r="S3305">
        <f>MONTH(datos_siembra[[#This Row],[Date]])</f>
        <v>10</v>
      </c>
      <c r="T3305" t="str" cm="1">
        <f t="array" ref="T3305">_xlfn.IFS(AND(N3305&lt;= 22, S3305=9), "SOWING",AND(N3305&lt;= 28, S3305=9), "COVERAGE",AND(N3305&lt;= 30, S3305=9), "FLUSH",AND(N3305&lt;= 11, S3305=10), "FLUSH",AND(N3305&lt;= 21, S3305=10), "PRODUCTION")</f>
        <v>FLUSH</v>
      </c>
      <c r="U3305">
        <f>HOUR(datos_siembra[[#This Row],[Hour]])</f>
        <v>17</v>
      </c>
      <c r="V3305" cm="1">
        <f t="array" ref="V3305">_xlfn.IFS(AND(N3305&lt;= 22, S3305=9), N3305-7,AND(N3305&lt;= 28, S3305=9), N3305-25,AND(N3305&lt;= 30, S3305=9), N3305-28,AND(N3305&lt;= 11, S3305=10), N3305+2,AND(N3305&lt;= 21, S3305=10), N3305-11)</f>
        <v>11</v>
      </c>
    </row>
    <row r="3306" spans="1:22" x14ac:dyDescent="0.35">
      <c r="A3306" s="4">
        <v>45574</v>
      </c>
      <c r="B3306" s="5">
        <v>0.74709490740740736</v>
      </c>
      <c r="C3306">
        <v>67.7</v>
      </c>
      <c r="D3306">
        <v>66.400000000000006</v>
      </c>
      <c r="E3306">
        <v>69.400000000000006</v>
      </c>
      <c r="F3306">
        <v>67.3</v>
      </c>
      <c r="G3306">
        <v>0</v>
      </c>
      <c r="H3306">
        <v>0</v>
      </c>
      <c r="I3306">
        <v>0</v>
      </c>
      <c r="J3306">
        <v>0</v>
      </c>
      <c r="K3306">
        <v>63.7</v>
      </c>
      <c r="L3306">
        <v>63.8</v>
      </c>
      <c r="M3306">
        <v>67.72</v>
      </c>
      <c r="N3306">
        <v>9</v>
      </c>
      <c r="O3306">
        <v>1</v>
      </c>
      <c r="P3306">
        <f>MOD(DAY(datos_siembra[[#This Row],[Date]]),7)</f>
        <v>2</v>
      </c>
      <c r="Q3306" t="str">
        <f>CHOOSE(WEEKDAY(datos_siembra[[#This Row],[Date]],2),"L","M","X","J","V","S","D")</f>
        <v>X</v>
      </c>
      <c r="R3306">
        <f>WEEKNUM(datos_siembra[[#This Row],[Date]],2)-WEEKNUM(DATE(YEAR(datos_siembra[[#This Row],[Date]]),MONTH(datos_siembra[[#This Row],[Date]]),1))+1</f>
        <v>2</v>
      </c>
      <c r="S3306">
        <f>MONTH(datos_siembra[[#This Row],[Date]])</f>
        <v>10</v>
      </c>
      <c r="T3306" t="str" cm="1">
        <f t="array" ref="T3306">_xlfn.IFS(AND(N3306&lt;= 22, S3306=9), "SOWING",AND(N3306&lt;= 28, S3306=9), "COVERAGE",AND(N3306&lt;= 30, S3306=9), "FLUSH",AND(N3306&lt;= 11, S3306=10), "FLUSH",AND(N3306&lt;= 21, S3306=10), "PRODUCTION")</f>
        <v>FLUSH</v>
      </c>
      <c r="U3306">
        <f>HOUR(datos_siembra[[#This Row],[Hour]])</f>
        <v>17</v>
      </c>
      <c r="V3306" cm="1">
        <f t="array" ref="V3306">_xlfn.IFS(AND(N3306&lt;= 22, S3306=9), N3306-7,AND(N3306&lt;= 28, S3306=9), N3306-25,AND(N3306&lt;= 30, S3306=9), N3306-28,AND(N3306&lt;= 11, S3306=10), N3306+2,AND(N3306&lt;= 21, S3306=10), N3306-11)</f>
        <v>11</v>
      </c>
    </row>
    <row r="3307" spans="1:22" x14ac:dyDescent="0.35">
      <c r="A3307" s="4">
        <v>45574</v>
      </c>
      <c r="B3307" s="5">
        <v>0.75405092592592593</v>
      </c>
      <c r="C3307">
        <v>67.8</v>
      </c>
      <c r="D3307">
        <v>66.400000000000006</v>
      </c>
      <c r="E3307">
        <v>69.5</v>
      </c>
      <c r="F3307">
        <v>67.400000000000006</v>
      </c>
      <c r="G3307">
        <v>0</v>
      </c>
      <c r="H3307">
        <v>0</v>
      </c>
      <c r="I3307">
        <v>0</v>
      </c>
      <c r="J3307">
        <v>0</v>
      </c>
      <c r="K3307">
        <v>63.6</v>
      </c>
      <c r="L3307">
        <v>63.8</v>
      </c>
      <c r="M3307">
        <v>67.77</v>
      </c>
      <c r="N3307">
        <v>9</v>
      </c>
      <c r="O3307">
        <v>1</v>
      </c>
      <c r="P3307">
        <f>MOD(DAY(datos_siembra[[#This Row],[Date]]),7)</f>
        <v>2</v>
      </c>
      <c r="Q3307" t="str">
        <f>CHOOSE(WEEKDAY(datos_siembra[[#This Row],[Date]],2),"L","M","X","J","V","S","D")</f>
        <v>X</v>
      </c>
      <c r="R3307">
        <f>WEEKNUM(datos_siembra[[#This Row],[Date]],2)-WEEKNUM(DATE(YEAR(datos_siembra[[#This Row],[Date]]),MONTH(datos_siembra[[#This Row],[Date]]),1))+1</f>
        <v>2</v>
      </c>
      <c r="S3307">
        <f>MONTH(datos_siembra[[#This Row],[Date]])</f>
        <v>10</v>
      </c>
      <c r="T3307" t="str" cm="1">
        <f t="array" ref="T3307">_xlfn.IFS(AND(N3307&lt;= 22, S3307=9), "SOWING",AND(N3307&lt;= 28, S3307=9), "COVERAGE",AND(N3307&lt;= 30, S3307=9), "FLUSH",AND(N3307&lt;= 11, S3307=10), "FLUSH",AND(N3307&lt;= 21, S3307=10), "PRODUCTION")</f>
        <v>FLUSH</v>
      </c>
      <c r="U3307">
        <f>HOUR(datos_siembra[[#This Row],[Hour]])</f>
        <v>18</v>
      </c>
      <c r="V3307" cm="1">
        <f t="array" ref="V3307">_xlfn.IFS(AND(N3307&lt;= 22, S3307=9), N3307-7,AND(N3307&lt;= 28, S3307=9), N3307-25,AND(N3307&lt;= 30, S3307=9), N3307-28,AND(N3307&lt;= 11, S3307=10), N3307+2,AND(N3307&lt;= 21, S3307=10), N3307-11)</f>
        <v>11</v>
      </c>
    </row>
    <row r="3308" spans="1:22" x14ac:dyDescent="0.35">
      <c r="A3308" s="4">
        <v>45574</v>
      </c>
      <c r="B3308" s="5">
        <v>0.76099537037037035</v>
      </c>
      <c r="C3308">
        <v>67.900000000000006</v>
      </c>
      <c r="D3308">
        <v>66.5</v>
      </c>
      <c r="E3308">
        <v>69.5</v>
      </c>
      <c r="F3308">
        <v>67.599999999999994</v>
      </c>
      <c r="G3308">
        <v>0</v>
      </c>
      <c r="H3308">
        <v>0</v>
      </c>
      <c r="I3308">
        <v>0</v>
      </c>
      <c r="J3308">
        <v>0</v>
      </c>
      <c r="K3308">
        <v>63.7</v>
      </c>
      <c r="L3308">
        <v>63.8</v>
      </c>
      <c r="M3308">
        <v>67.72</v>
      </c>
      <c r="N3308">
        <v>9</v>
      </c>
      <c r="O3308">
        <v>1</v>
      </c>
      <c r="P3308">
        <f>MOD(DAY(datos_siembra[[#This Row],[Date]]),7)</f>
        <v>2</v>
      </c>
      <c r="Q3308" t="str">
        <f>CHOOSE(WEEKDAY(datos_siembra[[#This Row],[Date]],2),"L","M","X","J","V","S","D")</f>
        <v>X</v>
      </c>
      <c r="R3308">
        <f>WEEKNUM(datos_siembra[[#This Row],[Date]],2)-WEEKNUM(DATE(YEAR(datos_siembra[[#This Row],[Date]]),MONTH(datos_siembra[[#This Row],[Date]]),1))+1</f>
        <v>2</v>
      </c>
      <c r="S3308">
        <f>MONTH(datos_siembra[[#This Row],[Date]])</f>
        <v>10</v>
      </c>
      <c r="T3308" t="str" cm="1">
        <f t="array" ref="T3308">_xlfn.IFS(AND(N3308&lt;= 22, S3308=9), "SOWING",AND(N3308&lt;= 28, S3308=9), "COVERAGE",AND(N3308&lt;= 30, S3308=9), "FLUSH",AND(N3308&lt;= 11, S3308=10), "FLUSH",AND(N3308&lt;= 21, S3308=10), "PRODUCTION")</f>
        <v>FLUSH</v>
      </c>
      <c r="U3308">
        <f>HOUR(datos_siembra[[#This Row],[Hour]])</f>
        <v>18</v>
      </c>
      <c r="V3308" cm="1">
        <f t="array" ref="V3308">_xlfn.IFS(AND(N3308&lt;= 22, S3308=9), N3308-7,AND(N3308&lt;= 28, S3308=9), N3308-25,AND(N3308&lt;= 30, S3308=9), N3308-28,AND(N3308&lt;= 11, S3308=10), N3308+2,AND(N3308&lt;= 21, S3308=10), N3308-11)</f>
        <v>11</v>
      </c>
    </row>
    <row r="3309" spans="1:22" x14ac:dyDescent="0.35">
      <c r="A3309" s="4">
        <v>45574</v>
      </c>
      <c r="B3309" s="5">
        <v>0.76793981481481477</v>
      </c>
      <c r="C3309">
        <v>67.900000000000006</v>
      </c>
      <c r="D3309">
        <v>66.400000000000006</v>
      </c>
      <c r="E3309">
        <v>69.400000000000006</v>
      </c>
      <c r="F3309">
        <v>67.099999999999994</v>
      </c>
      <c r="G3309">
        <v>0</v>
      </c>
      <c r="H3309">
        <v>0</v>
      </c>
      <c r="I3309">
        <v>0</v>
      </c>
      <c r="J3309">
        <v>0</v>
      </c>
      <c r="K3309">
        <v>63.7</v>
      </c>
      <c r="L3309">
        <v>63.8</v>
      </c>
      <c r="M3309">
        <v>67.77</v>
      </c>
      <c r="N3309">
        <v>9</v>
      </c>
      <c r="O3309">
        <v>1</v>
      </c>
      <c r="P3309">
        <f>MOD(DAY(datos_siembra[[#This Row],[Date]]),7)</f>
        <v>2</v>
      </c>
      <c r="Q3309" t="str">
        <f>CHOOSE(WEEKDAY(datos_siembra[[#This Row],[Date]],2),"L","M","X","J","V","S","D")</f>
        <v>X</v>
      </c>
      <c r="R3309">
        <f>WEEKNUM(datos_siembra[[#This Row],[Date]],2)-WEEKNUM(DATE(YEAR(datos_siembra[[#This Row],[Date]]),MONTH(datos_siembra[[#This Row],[Date]]),1))+1</f>
        <v>2</v>
      </c>
      <c r="S3309">
        <f>MONTH(datos_siembra[[#This Row],[Date]])</f>
        <v>10</v>
      </c>
      <c r="T3309" t="str" cm="1">
        <f t="array" ref="T3309">_xlfn.IFS(AND(N3309&lt;= 22, S3309=9), "SOWING",AND(N3309&lt;= 28, S3309=9), "COVERAGE",AND(N3309&lt;= 30, S3309=9), "FLUSH",AND(N3309&lt;= 11, S3309=10), "FLUSH",AND(N3309&lt;= 21, S3309=10), "PRODUCTION")</f>
        <v>FLUSH</v>
      </c>
      <c r="U3309">
        <f>HOUR(datos_siembra[[#This Row],[Hour]])</f>
        <v>18</v>
      </c>
      <c r="V3309" cm="1">
        <f t="array" ref="V3309">_xlfn.IFS(AND(N3309&lt;= 22, S3309=9), N3309-7,AND(N3309&lt;= 28, S3309=9), N3309-25,AND(N3309&lt;= 30, S3309=9), N3309-28,AND(N3309&lt;= 11, S3309=10), N3309+2,AND(N3309&lt;= 21, S3309=10), N3309-11)</f>
        <v>11</v>
      </c>
    </row>
    <row r="3310" spans="1:22" x14ac:dyDescent="0.35">
      <c r="A3310" s="4">
        <v>45574</v>
      </c>
      <c r="B3310" s="5">
        <v>0.77489583333333334</v>
      </c>
      <c r="C3310">
        <v>67.599999999999994</v>
      </c>
      <c r="D3310">
        <v>66.400000000000006</v>
      </c>
      <c r="E3310">
        <v>69.599999999999994</v>
      </c>
      <c r="F3310">
        <v>67.400000000000006</v>
      </c>
      <c r="G3310">
        <v>0</v>
      </c>
      <c r="H3310">
        <v>0</v>
      </c>
      <c r="I3310">
        <v>0</v>
      </c>
      <c r="J3310">
        <v>0</v>
      </c>
      <c r="K3310">
        <v>63.6</v>
      </c>
      <c r="L3310">
        <v>63.7</v>
      </c>
      <c r="M3310">
        <v>67.77</v>
      </c>
      <c r="N3310">
        <v>9</v>
      </c>
      <c r="O3310">
        <v>1</v>
      </c>
      <c r="P3310">
        <f>MOD(DAY(datos_siembra[[#This Row],[Date]]),7)</f>
        <v>2</v>
      </c>
      <c r="Q3310" t="str">
        <f>CHOOSE(WEEKDAY(datos_siembra[[#This Row],[Date]],2),"L","M","X","J","V","S","D")</f>
        <v>X</v>
      </c>
      <c r="R3310">
        <f>WEEKNUM(datos_siembra[[#This Row],[Date]],2)-WEEKNUM(DATE(YEAR(datos_siembra[[#This Row],[Date]]),MONTH(datos_siembra[[#This Row],[Date]]),1))+1</f>
        <v>2</v>
      </c>
      <c r="S3310">
        <f>MONTH(datos_siembra[[#This Row],[Date]])</f>
        <v>10</v>
      </c>
      <c r="T3310" t="str" cm="1">
        <f t="array" ref="T3310">_xlfn.IFS(AND(N3310&lt;= 22, S3310=9), "SOWING",AND(N3310&lt;= 28, S3310=9), "COVERAGE",AND(N3310&lt;= 30, S3310=9), "FLUSH",AND(N3310&lt;= 11, S3310=10), "FLUSH",AND(N3310&lt;= 21, S3310=10), "PRODUCTION")</f>
        <v>FLUSH</v>
      </c>
      <c r="U3310">
        <f>HOUR(datos_siembra[[#This Row],[Hour]])</f>
        <v>18</v>
      </c>
      <c r="V3310" cm="1">
        <f t="array" ref="V3310">_xlfn.IFS(AND(N3310&lt;= 22, S3310=9), N3310-7,AND(N3310&lt;= 28, S3310=9), N3310-25,AND(N3310&lt;= 30, S3310=9), N3310-28,AND(N3310&lt;= 11, S3310=10), N3310+2,AND(N3310&lt;= 21, S3310=10), N3310-11)</f>
        <v>11</v>
      </c>
    </row>
    <row r="3311" spans="1:22" x14ac:dyDescent="0.35">
      <c r="A3311" s="4">
        <v>45574</v>
      </c>
      <c r="B3311" s="5">
        <v>0.78184027777777776</v>
      </c>
      <c r="C3311">
        <v>67.8</v>
      </c>
      <c r="D3311">
        <v>66.5</v>
      </c>
      <c r="E3311">
        <v>69.599999999999994</v>
      </c>
      <c r="F3311">
        <v>67.2</v>
      </c>
      <c r="G3311">
        <v>0</v>
      </c>
      <c r="H3311">
        <v>0</v>
      </c>
      <c r="I3311">
        <v>0</v>
      </c>
      <c r="J3311">
        <v>0</v>
      </c>
      <c r="K3311">
        <v>63.6</v>
      </c>
      <c r="L3311">
        <v>63.8</v>
      </c>
      <c r="M3311">
        <v>67.77</v>
      </c>
      <c r="N3311">
        <v>9</v>
      </c>
      <c r="O3311">
        <v>1</v>
      </c>
      <c r="P3311">
        <f>MOD(DAY(datos_siembra[[#This Row],[Date]]),7)</f>
        <v>2</v>
      </c>
      <c r="Q3311" t="str">
        <f>CHOOSE(WEEKDAY(datos_siembra[[#This Row],[Date]],2),"L","M","X","J","V","S","D")</f>
        <v>X</v>
      </c>
      <c r="R3311">
        <f>WEEKNUM(datos_siembra[[#This Row],[Date]],2)-WEEKNUM(DATE(YEAR(datos_siembra[[#This Row],[Date]]),MONTH(datos_siembra[[#This Row],[Date]]),1))+1</f>
        <v>2</v>
      </c>
      <c r="S3311">
        <f>MONTH(datos_siembra[[#This Row],[Date]])</f>
        <v>10</v>
      </c>
      <c r="T3311" t="str" cm="1">
        <f t="array" ref="T3311">_xlfn.IFS(AND(N3311&lt;= 22, S3311=9), "SOWING",AND(N3311&lt;= 28, S3311=9), "COVERAGE",AND(N3311&lt;= 30, S3311=9), "FLUSH",AND(N3311&lt;= 11, S3311=10), "FLUSH",AND(N3311&lt;= 21, S3311=10), "PRODUCTION")</f>
        <v>FLUSH</v>
      </c>
      <c r="U3311">
        <f>HOUR(datos_siembra[[#This Row],[Hour]])</f>
        <v>18</v>
      </c>
      <c r="V3311" cm="1">
        <f t="array" ref="V3311">_xlfn.IFS(AND(N3311&lt;= 22, S3311=9), N3311-7,AND(N3311&lt;= 28, S3311=9), N3311-25,AND(N3311&lt;= 30, S3311=9), N3311-28,AND(N3311&lt;= 11, S3311=10), N3311+2,AND(N3311&lt;= 21, S3311=10), N3311-11)</f>
        <v>11</v>
      </c>
    </row>
    <row r="3312" spans="1:22" x14ac:dyDescent="0.35">
      <c r="A3312" s="4">
        <v>45574</v>
      </c>
      <c r="B3312" s="5">
        <v>0.78878472222222218</v>
      </c>
      <c r="C3312">
        <v>67.8</v>
      </c>
      <c r="D3312">
        <v>66.5</v>
      </c>
      <c r="E3312">
        <v>69.599999999999994</v>
      </c>
      <c r="F3312">
        <v>67.400000000000006</v>
      </c>
      <c r="G3312">
        <v>0</v>
      </c>
      <c r="H3312">
        <v>0</v>
      </c>
      <c r="I3312">
        <v>0</v>
      </c>
      <c r="J3312">
        <v>0</v>
      </c>
      <c r="K3312">
        <v>63.6</v>
      </c>
      <c r="L3312">
        <v>63.6</v>
      </c>
      <c r="M3312">
        <v>67.77</v>
      </c>
      <c r="N3312">
        <v>9</v>
      </c>
      <c r="O3312">
        <v>1</v>
      </c>
      <c r="P3312">
        <f>MOD(DAY(datos_siembra[[#This Row],[Date]]),7)</f>
        <v>2</v>
      </c>
      <c r="Q3312" t="str">
        <f>CHOOSE(WEEKDAY(datos_siembra[[#This Row],[Date]],2),"L","M","X","J","V","S","D")</f>
        <v>X</v>
      </c>
      <c r="R3312">
        <f>WEEKNUM(datos_siembra[[#This Row],[Date]],2)-WEEKNUM(DATE(YEAR(datos_siembra[[#This Row],[Date]]),MONTH(datos_siembra[[#This Row],[Date]]),1))+1</f>
        <v>2</v>
      </c>
      <c r="S3312">
        <f>MONTH(datos_siembra[[#This Row],[Date]])</f>
        <v>10</v>
      </c>
      <c r="T3312" t="str" cm="1">
        <f t="array" ref="T3312">_xlfn.IFS(AND(N3312&lt;= 22, S3312=9), "SOWING",AND(N3312&lt;= 28, S3312=9), "COVERAGE",AND(N3312&lt;= 30, S3312=9), "FLUSH",AND(N3312&lt;= 11, S3312=10), "FLUSH",AND(N3312&lt;= 21, S3312=10), "PRODUCTION")</f>
        <v>FLUSH</v>
      </c>
      <c r="U3312">
        <f>HOUR(datos_siembra[[#This Row],[Hour]])</f>
        <v>18</v>
      </c>
      <c r="V3312" cm="1">
        <f t="array" ref="V3312">_xlfn.IFS(AND(N3312&lt;= 22, S3312=9), N3312-7,AND(N3312&lt;= 28, S3312=9), N3312-25,AND(N3312&lt;= 30, S3312=9), N3312-28,AND(N3312&lt;= 11, S3312=10), N3312+2,AND(N3312&lt;= 21, S3312=10), N3312-11)</f>
        <v>11</v>
      </c>
    </row>
    <row r="3313" spans="1:22" x14ac:dyDescent="0.35">
      <c r="A3313" s="4">
        <v>45574</v>
      </c>
      <c r="B3313" s="5">
        <v>0.79572916666666671</v>
      </c>
      <c r="C3313">
        <v>67.8</v>
      </c>
      <c r="D3313">
        <v>66.599999999999994</v>
      </c>
      <c r="E3313">
        <v>69.599999999999994</v>
      </c>
      <c r="F3313">
        <v>67.2</v>
      </c>
      <c r="G3313">
        <v>0</v>
      </c>
      <c r="H3313">
        <v>0</v>
      </c>
      <c r="I3313">
        <v>0</v>
      </c>
      <c r="J3313">
        <v>0</v>
      </c>
      <c r="K3313">
        <v>63.5</v>
      </c>
      <c r="L3313">
        <v>63.7</v>
      </c>
      <c r="M3313">
        <v>67.77</v>
      </c>
      <c r="N3313">
        <v>9</v>
      </c>
      <c r="O3313">
        <v>1</v>
      </c>
      <c r="P3313">
        <f>MOD(DAY(datos_siembra[[#This Row],[Date]]),7)</f>
        <v>2</v>
      </c>
      <c r="Q3313" t="str">
        <f>CHOOSE(WEEKDAY(datos_siembra[[#This Row],[Date]],2),"L","M","X","J","V","S","D")</f>
        <v>X</v>
      </c>
      <c r="R3313">
        <f>WEEKNUM(datos_siembra[[#This Row],[Date]],2)-WEEKNUM(DATE(YEAR(datos_siembra[[#This Row],[Date]]),MONTH(datos_siembra[[#This Row],[Date]]),1))+1</f>
        <v>2</v>
      </c>
      <c r="S3313">
        <f>MONTH(datos_siembra[[#This Row],[Date]])</f>
        <v>10</v>
      </c>
      <c r="T3313" t="str" cm="1">
        <f t="array" ref="T3313">_xlfn.IFS(AND(N3313&lt;= 22, S3313=9), "SOWING",AND(N3313&lt;= 28, S3313=9), "COVERAGE",AND(N3313&lt;= 30, S3313=9), "FLUSH",AND(N3313&lt;= 11, S3313=10), "FLUSH",AND(N3313&lt;= 21, S3313=10), "PRODUCTION")</f>
        <v>FLUSH</v>
      </c>
      <c r="U3313">
        <f>HOUR(datos_siembra[[#This Row],[Hour]])</f>
        <v>19</v>
      </c>
      <c r="V3313" cm="1">
        <f t="array" ref="V3313">_xlfn.IFS(AND(N3313&lt;= 22, S3313=9), N3313-7,AND(N3313&lt;= 28, S3313=9), N3313-25,AND(N3313&lt;= 30, S3313=9), N3313-28,AND(N3313&lt;= 11, S3313=10), N3313+2,AND(N3313&lt;= 21, S3313=10), N3313-11)</f>
        <v>11</v>
      </c>
    </row>
    <row r="3314" spans="1:22" x14ac:dyDescent="0.35">
      <c r="A3314" s="4">
        <v>45574</v>
      </c>
      <c r="B3314" s="5">
        <v>0.80268518518518517</v>
      </c>
      <c r="C3314">
        <v>67.8</v>
      </c>
      <c r="D3314">
        <v>66.599999999999994</v>
      </c>
      <c r="E3314">
        <v>69.599999999999994</v>
      </c>
      <c r="F3314">
        <v>67.400000000000006</v>
      </c>
      <c r="G3314">
        <v>0</v>
      </c>
      <c r="H3314">
        <v>0</v>
      </c>
      <c r="I3314">
        <v>0</v>
      </c>
      <c r="J3314">
        <v>0</v>
      </c>
      <c r="K3314">
        <v>63.4</v>
      </c>
      <c r="L3314">
        <v>63.5</v>
      </c>
      <c r="M3314">
        <v>67.89</v>
      </c>
      <c r="N3314">
        <v>9</v>
      </c>
      <c r="O3314">
        <v>1</v>
      </c>
      <c r="P3314">
        <f>MOD(DAY(datos_siembra[[#This Row],[Date]]),7)</f>
        <v>2</v>
      </c>
      <c r="Q3314" t="str">
        <f>CHOOSE(WEEKDAY(datos_siembra[[#This Row],[Date]],2),"L","M","X","J","V","S","D")</f>
        <v>X</v>
      </c>
      <c r="R3314">
        <f>WEEKNUM(datos_siembra[[#This Row],[Date]],2)-WEEKNUM(DATE(YEAR(datos_siembra[[#This Row],[Date]]),MONTH(datos_siembra[[#This Row],[Date]]),1))+1</f>
        <v>2</v>
      </c>
      <c r="S3314">
        <f>MONTH(datos_siembra[[#This Row],[Date]])</f>
        <v>10</v>
      </c>
      <c r="T3314" t="str" cm="1">
        <f t="array" ref="T3314">_xlfn.IFS(AND(N3314&lt;= 22, S3314=9), "SOWING",AND(N3314&lt;= 28, S3314=9), "COVERAGE",AND(N3314&lt;= 30, S3314=9), "FLUSH",AND(N3314&lt;= 11, S3314=10), "FLUSH",AND(N3314&lt;= 21, S3314=10), "PRODUCTION")</f>
        <v>FLUSH</v>
      </c>
      <c r="U3314">
        <f>HOUR(datos_siembra[[#This Row],[Hour]])</f>
        <v>19</v>
      </c>
      <c r="V3314" cm="1">
        <f t="array" ref="V3314">_xlfn.IFS(AND(N3314&lt;= 22, S3314=9), N3314-7,AND(N3314&lt;= 28, S3314=9), N3314-25,AND(N3314&lt;= 30, S3314=9), N3314-28,AND(N3314&lt;= 11, S3314=10), N3314+2,AND(N3314&lt;= 21, S3314=10), N3314-11)</f>
        <v>11</v>
      </c>
    </row>
    <row r="3315" spans="1:22" x14ac:dyDescent="0.35">
      <c r="A3315" s="4">
        <v>45574</v>
      </c>
      <c r="B3315" s="5">
        <v>0.80962962962962959</v>
      </c>
      <c r="C3315">
        <v>67.8</v>
      </c>
      <c r="D3315">
        <v>66.599999999999994</v>
      </c>
      <c r="E3315">
        <v>69.599999999999994</v>
      </c>
      <c r="F3315">
        <v>67.3</v>
      </c>
      <c r="G3315">
        <v>0</v>
      </c>
      <c r="H3315">
        <v>0</v>
      </c>
      <c r="I3315">
        <v>0</v>
      </c>
      <c r="J3315">
        <v>0</v>
      </c>
      <c r="K3315">
        <v>63.5</v>
      </c>
      <c r="L3315">
        <v>63.6</v>
      </c>
      <c r="M3315">
        <v>67.89</v>
      </c>
      <c r="N3315">
        <v>9</v>
      </c>
      <c r="O3315">
        <v>1</v>
      </c>
      <c r="P3315">
        <f>MOD(DAY(datos_siembra[[#This Row],[Date]]),7)</f>
        <v>2</v>
      </c>
      <c r="Q3315" t="str">
        <f>CHOOSE(WEEKDAY(datos_siembra[[#This Row],[Date]],2),"L","M","X","J","V","S","D")</f>
        <v>X</v>
      </c>
      <c r="R3315">
        <f>WEEKNUM(datos_siembra[[#This Row],[Date]],2)-WEEKNUM(DATE(YEAR(datos_siembra[[#This Row],[Date]]),MONTH(datos_siembra[[#This Row],[Date]]),1))+1</f>
        <v>2</v>
      </c>
      <c r="S3315">
        <f>MONTH(datos_siembra[[#This Row],[Date]])</f>
        <v>10</v>
      </c>
      <c r="T3315" t="str" cm="1">
        <f t="array" ref="T3315">_xlfn.IFS(AND(N3315&lt;= 22, S3315=9), "SOWING",AND(N3315&lt;= 28, S3315=9), "COVERAGE",AND(N3315&lt;= 30, S3315=9), "FLUSH",AND(N3315&lt;= 11, S3315=10), "FLUSH",AND(N3315&lt;= 21, S3315=10), "PRODUCTION")</f>
        <v>FLUSH</v>
      </c>
      <c r="U3315">
        <f>HOUR(datos_siembra[[#This Row],[Hour]])</f>
        <v>19</v>
      </c>
      <c r="V3315" cm="1">
        <f t="array" ref="V3315">_xlfn.IFS(AND(N3315&lt;= 22, S3315=9), N3315-7,AND(N3315&lt;= 28, S3315=9), N3315-25,AND(N3315&lt;= 30, S3315=9), N3315-28,AND(N3315&lt;= 11, S3315=10), N3315+2,AND(N3315&lt;= 21, S3315=10), N3315-11)</f>
        <v>11</v>
      </c>
    </row>
    <row r="3316" spans="1:22" x14ac:dyDescent="0.35">
      <c r="A3316" s="4">
        <v>45574</v>
      </c>
      <c r="B3316" s="5">
        <v>0.81657407407407412</v>
      </c>
      <c r="C3316">
        <v>67.8</v>
      </c>
      <c r="D3316">
        <v>66.599999999999994</v>
      </c>
      <c r="E3316">
        <v>69.7</v>
      </c>
      <c r="F3316">
        <v>67.400000000000006</v>
      </c>
      <c r="G3316">
        <v>0</v>
      </c>
      <c r="H3316">
        <v>0</v>
      </c>
      <c r="I3316">
        <v>0</v>
      </c>
      <c r="J3316">
        <v>0</v>
      </c>
      <c r="K3316">
        <v>63.4</v>
      </c>
      <c r="L3316">
        <v>63.5</v>
      </c>
      <c r="M3316">
        <v>67.89</v>
      </c>
      <c r="N3316">
        <v>9</v>
      </c>
      <c r="O3316">
        <v>1</v>
      </c>
      <c r="P3316">
        <f>MOD(DAY(datos_siembra[[#This Row],[Date]]),7)</f>
        <v>2</v>
      </c>
      <c r="Q3316" t="str">
        <f>CHOOSE(WEEKDAY(datos_siembra[[#This Row],[Date]],2),"L","M","X","J","V","S","D")</f>
        <v>X</v>
      </c>
      <c r="R3316">
        <f>WEEKNUM(datos_siembra[[#This Row],[Date]],2)-WEEKNUM(DATE(YEAR(datos_siembra[[#This Row],[Date]]),MONTH(datos_siembra[[#This Row],[Date]]),1))+1</f>
        <v>2</v>
      </c>
      <c r="S3316">
        <f>MONTH(datos_siembra[[#This Row],[Date]])</f>
        <v>10</v>
      </c>
      <c r="T3316" t="str" cm="1">
        <f t="array" ref="T3316">_xlfn.IFS(AND(N3316&lt;= 22, S3316=9), "SOWING",AND(N3316&lt;= 28, S3316=9), "COVERAGE",AND(N3316&lt;= 30, S3316=9), "FLUSH",AND(N3316&lt;= 11, S3316=10), "FLUSH",AND(N3316&lt;= 21, S3316=10), "PRODUCTION")</f>
        <v>FLUSH</v>
      </c>
      <c r="U3316">
        <f>HOUR(datos_siembra[[#This Row],[Hour]])</f>
        <v>19</v>
      </c>
      <c r="V3316" cm="1">
        <f t="array" ref="V3316">_xlfn.IFS(AND(N3316&lt;= 22, S3316=9), N3316-7,AND(N3316&lt;= 28, S3316=9), N3316-25,AND(N3316&lt;= 30, S3316=9), N3316-28,AND(N3316&lt;= 11, S3316=10), N3316+2,AND(N3316&lt;= 21, S3316=10), N3316-11)</f>
        <v>11</v>
      </c>
    </row>
    <row r="3317" spans="1:22" x14ac:dyDescent="0.35">
      <c r="A3317" s="4">
        <v>45574</v>
      </c>
      <c r="B3317" s="5">
        <v>0.82353009259259258</v>
      </c>
      <c r="C3317">
        <v>67.900000000000006</v>
      </c>
      <c r="D3317">
        <v>66.5</v>
      </c>
      <c r="E3317">
        <v>69.7</v>
      </c>
      <c r="F3317">
        <v>67.599999999999994</v>
      </c>
      <c r="G3317">
        <v>0</v>
      </c>
      <c r="H3317">
        <v>0</v>
      </c>
      <c r="I3317">
        <v>0</v>
      </c>
      <c r="J3317">
        <v>0</v>
      </c>
      <c r="K3317">
        <v>63.4</v>
      </c>
      <c r="L3317">
        <v>63.5</v>
      </c>
      <c r="M3317">
        <v>67.86</v>
      </c>
      <c r="N3317">
        <v>9</v>
      </c>
      <c r="O3317">
        <v>1</v>
      </c>
      <c r="P3317">
        <f>MOD(DAY(datos_siembra[[#This Row],[Date]]),7)</f>
        <v>2</v>
      </c>
      <c r="Q3317" t="str">
        <f>CHOOSE(WEEKDAY(datos_siembra[[#This Row],[Date]],2),"L","M","X","J","V","S","D")</f>
        <v>X</v>
      </c>
      <c r="R3317">
        <f>WEEKNUM(datos_siembra[[#This Row],[Date]],2)-WEEKNUM(DATE(YEAR(datos_siembra[[#This Row],[Date]]),MONTH(datos_siembra[[#This Row],[Date]]),1))+1</f>
        <v>2</v>
      </c>
      <c r="S3317">
        <f>MONTH(datos_siembra[[#This Row],[Date]])</f>
        <v>10</v>
      </c>
      <c r="T3317" t="str" cm="1">
        <f t="array" ref="T3317">_xlfn.IFS(AND(N3317&lt;= 22, S3317=9), "SOWING",AND(N3317&lt;= 28, S3317=9), "COVERAGE",AND(N3317&lt;= 30, S3317=9), "FLUSH",AND(N3317&lt;= 11, S3317=10), "FLUSH",AND(N3317&lt;= 21, S3317=10), "PRODUCTION")</f>
        <v>FLUSH</v>
      </c>
      <c r="U3317">
        <f>HOUR(datos_siembra[[#This Row],[Hour]])</f>
        <v>19</v>
      </c>
      <c r="V3317" cm="1">
        <f t="array" ref="V3317">_xlfn.IFS(AND(N3317&lt;= 22, S3317=9), N3317-7,AND(N3317&lt;= 28, S3317=9), N3317-25,AND(N3317&lt;= 30, S3317=9), N3317-28,AND(N3317&lt;= 11, S3317=10), N3317+2,AND(N3317&lt;= 21, S3317=10), N3317-11)</f>
        <v>11</v>
      </c>
    </row>
    <row r="3318" spans="1:22" x14ac:dyDescent="0.35">
      <c r="A3318" s="4">
        <v>45574</v>
      </c>
      <c r="B3318" s="5">
        <v>0.830474537037037</v>
      </c>
      <c r="C3318">
        <v>67.900000000000006</v>
      </c>
      <c r="D3318">
        <v>66.5</v>
      </c>
      <c r="E3318">
        <v>69.900000000000006</v>
      </c>
      <c r="F3318">
        <v>67.3</v>
      </c>
      <c r="G3318">
        <v>0</v>
      </c>
      <c r="H3318">
        <v>0</v>
      </c>
      <c r="I3318">
        <v>0</v>
      </c>
      <c r="J3318">
        <v>0</v>
      </c>
      <c r="K3318">
        <v>63.3</v>
      </c>
      <c r="L3318">
        <v>63.4</v>
      </c>
      <c r="M3318">
        <v>67.89</v>
      </c>
      <c r="N3318">
        <v>9</v>
      </c>
      <c r="O3318">
        <v>1</v>
      </c>
      <c r="P3318">
        <f>MOD(DAY(datos_siembra[[#This Row],[Date]]),7)</f>
        <v>2</v>
      </c>
      <c r="Q3318" t="str">
        <f>CHOOSE(WEEKDAY(datos_siembra[[#This Row],[Date]],2),"L","M","X","J","V","S","D")</f>
        <v>X</v>
      </c>
      <c r="R3318">
        <f>WEEKNUM(datos_siembra[[#This Row],[Date]],2)-WEEKNUM(DATE(YEAR(datos_siembra[[#This Row],[Date]]),MONTH(datos_siembra[[#This Row],[Date]]),1))+1</f>
        <v>2</v>
      </c>
      <c r="S3318">
        <f>MONTH(datos_siembra[[#This Row],[Date]])</f>
        <v>10</v>
      </c>
      <c r="T3318" t="str" cm="1">
        <f t="array" ref="T3318">_xlfn.IFS(AND(N3318&lt;= 22, S3318=9), "SOWING",AND(N3318&lt;= 28, S3318=9), "COVERAGE",AND(N3318&lt;= 30, S3318=9), "FLUSH",AND(N3318&lt;= 11, S3318=10), "FLUSH",AND(N3318&lt;= 21, S3318=10), "PRODUCTION")</f>
        <v>FLUSH</v>
      </c>
      <c r="U3318">
        <f>HOUR(datos_siembra[[#This Row],[Hour]])</f>
        <v>19</v>
      </c>
      <c r="V3318" cm="1">
        <f t="array" ref="V3318">_xlfn.IFS(AND(N3318&lt;= 22, S3318=9), N3318-7,AND(N3318&lt;= 28, S3318=9), N3318-25,AND(N3318&lt;= 30, S3318=9), N3318-28,AND(N3318&lt;= 11, S3318=10), N3318+2,AND(N3318&lt;= 21, S3318=10), N3318-11)</f>
        <v>11</v>
      </c>
    </row>
    <row r="3319" spans="1:22" x14ac:dyDescent="0.35">
      <c r="A3319" s="4">
        <v>45574</v>
      </c>
      <c r="B3319" s="5">
        <v>0.83741898148148153</v>
      </c>
      <c r="C3319">
        <v>68</v>
      </c>
      <c r="D3319">
        <v>66.599999999999994</v>
      </c>
      <c r="E3319">
        <v>69.7</v>
      </c>
      <c r="F3319">
        <v>67.400000000000006</v>
      </c>
      <c r="G3319">
        <v>0</v>
      </c>
      <c r="H3319">
        <v>0</v>
      </c>
      <c r="I3319">
        <v>0</v>
      </c>
      <c r="J3319">
        <v>0</v>
      </c>
      <c r="K3319">
        <v>63.3</v>
      </c>
      <c r="L3319">
        <v>63.5</v>
      </c>
      <c r="M3319">
        <v>67.83</v>
      </c>
      <c r="N3319">
        <v>9</v>
      </c>
      <c r="O3319">
        <v>1</v>
      </c>
      <c r="P3319">
        <f>MOD(DAY(datos_siembra[[#This Row],[Date]]),7)</f>
        <v>2</v>
      </c>
      <c r="Q3319" t="str">
        <f>CHOOSE(WEEKDAY(datos_siembra[[#This Row],[Date]],2),"L","M","X","J","V","S","D")</f>
        <v>X</v>
      </c>
      <c r="R3319">
        <f>WEEKNUM(datos_siembra[[#This Row],[Date]],2)-WEEKNUM(DATE(YEAR(datos_siembra[[#This Row],[Date]]),MONTH(datos_siembra[[#This Row],[Date]]),1))+1</f>
        <v>2</v>
      </c>
      <c r="S3319">
        <f>MONTH(datos_siembra[[#This Row],[Date]])</f>
        <v>10</v>
      </c>
      <c r="T3319" t="str" cm="1">
        <f t="array" ref="T3319">_xlfn.IFS(AND(N3319&lt;= 22, S3319=9), "SOWING",AND(N3319&lt;= 28, S3319=9), "COVERAGE",AND(N3319&lt;= 30, S3319=9), "FLUSH",AND(N3319&lt;= 11, S3319=10), "FLUSH",AND(N3319&lt;= 21, S3319=10), "PRODUCTION")</f>
        <v>FLUSH</v>
      </c>
      <c r="U3319">
        <f>HOUR(datos_siembra[[#This Row],[Hour]])</f>
        <v>20</v>
      </c>
      <c r="V3319" cm="1">
        <f t="array" ref="V3319">_xlfn.IFS(AND(N3319&lt;= 22, S3319=9), N3319-7,AND(N3319&lt;= 28, S3319=9), N3319-25,AND(N3319&lt;= 30, S3319=9), N3319-28,AND(N3319&lt;= 11, S3319=10), N3319+2,AND(N3319&lt;= 21, S3319=10), N3319-11)</f>
        <v>11</v>
      </c>
    </row>
    <row r="3320" spans="1:22" x14ac:dyDescent="0.35">
      <c r="A3320" s="4">
        <v>45574</v>
      </c>
      <c r="B3320" s="5">
        <v>0.84437499999999999</v>
      </c>
      <c r="C3320">
        <v>67.900000000000006</v>
      </c>
      <c r="D3320">
        <v>66.8</v>
      </c>
      <c r="E3320">
        <v>69.8</v>
      </c>
      <c r="F3320">
        <v>67.400000000000006</v>
      </c>
      <c r="G3320">
        <v>0</v>
      </c>
      <c r="H3320">
        <v>0</v>
      </c>
      <c r="I3320">
        <v>0</v>
      </c>
      <c r="J3320">
        <v>0</v>
      </c>
      <c r="K3320">
        <v>63.3</v>
      </c>
      <c r="L3320">
        <v>63.3</v>
      </c>
      <c r="M3320">
        <v>67.97</v>
      </c>
      <c r="N3320">
        <v>9</v>
      </c>
      <c r="O3320">
        <v>1</v>
      </c>
      <c r="P3320">
        <f>MOD(DAY(datos_siembra[[#This Row],[Date]]),7)</f>
        <v>2</v>
      </c>
      <c r="Q3320" t="str">
        <f>CHOOSE(WEEKDAY(datos_siembra[[#This Row],[Date]],2),"L","M","X","J","V","S","D")</f>
        <v>X</v>
      </c>
      <c r="R3320">
        <f>WEEKNUM(datos_siembra[[#This Row],[Date]],2)-WEEKNUM(DATE(YEAR(datos_siembra[[#This Row],[Date]]),MONTH(datos_siembra[[#This Row],[Date]]),1))+1</f>
        <v>2</v>
      </c>
      <c r="S3320">
        <f>MONTH(datos_siembra[[#This Row],[Date]])</f>
        <v>10</v>
      </c>
      <c r="T3320" t="str" cm="1">
        <f t="array" ref="T3320">_xlfn.IFS(AND(N3320&lt;= 22, S3320=9), "SOWING",AND(N3320&lt;= 28, S3320=9), "COVERAGE",AND(N3320&lt;= 30, S3320=9), "FLUSH",AND(N3320&lt;= 11, S3320=10), "FLUSH",AND(N3320&lt;= 21, S3320=10), "PRODUCTION")</f>
        <v>FLUSH</v>
      </c>
      <c r="U3320">
        <f>HOUR(datos_siembra[[#This Row],[Hour]])</f>
        <v>20</v>
      </c>
      <c r="V3320" cm="1">
        <f t="array" ref="V3320">_xlfn.IFS(AND(N3320&lt;= 22, S3320=9), N3320-7,AND(N3320&lt;= 28, S3320=9), N3320-25,AND(N3320&lt;= 30, S3320=9), N3320-28,AND(N3320&lt;= 11, S3320=10), N3320+2,AND(N3320&lt;= 21, S3320=10), N3320-11)</f>
        <v>11</v>
      </c>
    </row>
    <row r="3321" spans="1:22" x14ac:dyDescent="0.35">
      <c r="A3321" s="4">
        <v>45574</v>
      </c>
      <c r="B3321" s="5">
        <v>0.85131944444444441</v>
      </c>
      <c r="C3321">
        <v>68</v>
      </c>
      <c r="D3321">
        <v>66.599999999999994</v>
      </c>
      <c r="E3321">
        <v>69.8</v>
      </c>
      <c r="F3321">
        <v>67.3</v>
      </c>
      <c r="G3321">
        <v>0</v>
      </c>
      <c r="H3321">
        <v>0</v>
      </c>
      <c r="I3321">
        <v>0</v>
      </c>
      <c r="J3321">
        <v>0</v>
      </c>
      <c r="K3321">
        <v>63.3</v>
      </c>
      <c r="L3321">
        <v>63.4</v>
      </c>
      <c r="M3321">
        <v>67.94</v>
      </c>
      <c r="N3321">
        <v>9</v>
      </c>
      <c r="O3321">
        <v>1</v>
      </c>
      <c r="P3321">
        <f>MOD(DAY(datos_siembra[[#This Row],[Date]]),7)</f>
        <v>2</v>
      </c>
      <c r="Q3321" t="str">
        <f>CHOOSE(WEEKDAY(datos_siembra[[#This Row],[Date]],2),"L","M","X","J","V","S","D")</f>
        <v>X</v>
      </c>
      <c r="R3321">
        <f>WEEKNUM(datos_siembra[[#This Row],[Date]],2)-WEEKNUM(DATE(YEAR(datos_siembra[[#This Row],[Date]]),MONTH(datos_siembra[[#This Row],[Date]]),1))+1</f>
        <v>2</v>
      </c>
      <c r="S3321">
        <f>MONTH(datos_siembra[[#This Row],[Date]])</f>
        <v>10</v>
      </c>
      <c r="T3321" t="str" cm="1">
        <f t="array" ref="T3321">_xlfn.IFS(AND(N3321&lt;= 22, S3321=9), "SOWING",AND(N3321&lt;= 28, S3321=9), "COVERAGE",AND(N3321&lt;= 30, S3321=9), "FLUSH",AND(N3321&lt;= 11, S3321=10), "FLUSH",AND(N3321&lt;= 21, S3321=10), "PRODUCTION")</f>
        <v>FLUSH</v>
      </c>
      <c r="U3321">
        <f>HOUR(datos_siembra[[#This Row],[Hour]])</f>
        <v>20</v>
      </c>
      <c r="V3321" cm="1">
        <f t="array" ref="V3321">_xlfn.IFS(AND(N3321&lt;= 22, S3321=9), N3321-7,AND(N3321&lt;= 28, S3321=9), N3321-25,AND(N3321&lt;= 30, S3321=9), N3321-28,AND(N3321&lt;= 11, S3321=10), N3321+2,AND(N3321&lt;= 21, S3321=10), N3321-11)</f>
        <v>11</v>
      </c>
    </row>
    <row r="3322" spans="1:22" x14ac:dyDescent="0.35">
      <c r="A3322" s="4">
        <v>45574</v>
      </c>
      <c r="B3322" s="5">
        <v>0.85826388888888894</v>
      </c>
      <c r="C3322">
        <v>67.900000000000006</v>
      </c>
      <c r="D3322">
        <v>66.599999999999994</v>
      </c>
      <c r="E3322">
        <v>69.8</v>
      </c>
      <c r="F3322">
        <v>67.599999999999994</v>
      </c>
      <c r="G3322">
        <v>0</v>
      </c>
      <c r="H3322">
        <v>0</v>
      </c>
      <c r="I3322">
        <v>0</v>
      </c>
      <c r="J3322">
        <v>0</v>
      </c>
      <c r="K3322">
        <v>63.2</v>
      </c>
      <c r="L3322">
        <v>63.3</v>
      </c>
      <c r="M3322">
        <v>67.97</v>
      </c>
      <c r="N3322">
        <v>9</v>
      </c>
      <c r="O3322">
        <v>1</v>
      </c>
      <c r="P3322">
        <f>MOD(DAY(datos_siembra[[#This Row],[Date]]),7)</f>
        <v>2</v>
      </c>
      <c r="Q3322" t="str">
        <f>CHOOSE(WEEKDAY(datos_siembra[[#This Row],[Date]],2),"L","M","X","J","V","S","D")</f>
        <v>X</v>
      </c>
      <c r="R3322">
        <f>WEEKNUM(datos_siembra[[#This Row],[Date]],2)-WEEKNUM(DATE(YEAR(datos_siembra[[#This Row],[Date]]),MONTH(datos_siembra[[#This Row],[Date]]),1))+1</f>
        <v>2</v>
      </c>
      <c r="S3322">
        <f>MONTH(datos_siembra[[#This Row],[Date]])</f>
        <v>10</v>
      </c>
      <c r="T3322" t="str" cm="1">
        <f t="array" ref="T3322">_xlfn.IFS(AND(N3322&lt;= 22, S3322=9), "SOWING",AND(N3322&lt;= 28, S3322=9), "COVERAGE",AND(N3322&lt;= 30, S3322=9), "FLUSH",AND(N3322&lt;= 11, S3322=10), "FLUSH",AND(N3322&lt;= 21, S3322=10), "PRODUCTION")</f>
        <v>FLUSH</v>
      </c>
      <c r="U3322">
        <f>HOUR(datos_siembra[[#This Row],[Hour]])</f>
        <v>20</v>
      </c>
      <c r="V3322" cm="1">
        <f t="array" ref="V3322">_xlfn.IFS(AND(N3322&lt;= 22, S3322=9), N3322-7,AND(N3322&lt;= 28, S3322=9), N3322-25,AND(N3322&lt;= 30, S3322=9), N3322-28,AND(N3322&lt;= 11, S3322=10), N3322+2,AND(N3322&lt;= 21, S3322=10), N3322-11)</f>
        <v>11</v>
      </c>
    </row>
    <row r="3323" spans="1:22" x14ac:dyDescent="0.35">
      <c r="A3323" s="4">
        <v>45574</v>
      </c>
      <c r="B3323" s="5">
        <v>0.86520833333333336</v>
      </c>
      <c r="C3323">
        <v>67.900000000000006</v>
      </c>
      <c r="D3323">
        <v>66.599999999999994</v>
      </c>
      <c r="E3323">
        <v>70</v>
      </c>
      <c r="F3323">
        <v>67.599999999999994</v>
      </c>
      <c r="G3323">
        <v>0</v>
      </c>
      <c r="H3323">
        <v>0</v>
      </c>
      <c r="I3323">
        <v>0</v>
      </c>
      <c r="J3323">
        <v>0</v>
      </c>
      <c r="K3323">
        <v>63.3</v>
      </c>
      <c r="L3323">
        <v>63.4</v>
      </c>
      <c r="M3323">
        <v>67.97</v>
      </c>
      <c r="N3323">
        <v>9</v>
      </c>
      <c r="O3323">
        <v>1</v>
      </c>
      <c r="P3323">
        <f>MOD(DAY(datos_siembra[[#This Row],[Date]]),7)</f>
        <v>2</v>
      </c>
      <c r="Q3323" t="str">
        <f>CHOOSE(WEEKDAY(datos_siembra[[#This Row],[Date]],2),"L","M","X","J","V","S","D")</f>
        <v>X</v>
      </c>
      <c r="R3323">
        <f>WEEKNUM(datos_siembra[[#This Row],[Date]],2)-WEEKNUM(DATE(YEAR(datos_siembra[[#This Row],[Date]]),MONTH(datos_siembra[[#This Row],[Date]]),1))+1</f>
        <v>2</v>
      </c>
      <c r="S3323">
        <f>MONTH(datos_siembra[[#This Row],[Date]])</f>
        <v>10</v>
      </c>
      <c r="T3323" t="str" cm="1">
        <f t="array" ref="T3323">_xlfn.IFS(AND(N3323&lt;= 22, S3323=9), "SOWING",AND(N3323&lt;= 28, S3323=9), "COVERAGE",AND(N3323&lt;= 30, S3323=9), "FLUSH",AND(N3323&lt;= 11, S3323=10), "FLUSH",AND(N3323&lt;= 21, S3323=10), "PRODUCTION")</f>
        <v>FLUSH</v>
      </c>
      <c r="U3323">
        <f>HOUR(datos_siembra[[#This Row],[Hour]])</f>
        <v>20</v>
      </c>
      <c r="V3323" cm="1">
        <f t="array" ref="V3323">_xlfn.IFS(AND(N3323&lt;= 22, S3323=9), N3323-7,AND(N3323&lt;= 28, S3323=9), N3323-25,AND(N3323&lt;= 30, S3323=9), N3323-28,AND(N3323&lt;= 11, S3323=10), N3323+2,AND(N3323&lt;= 21, S3323=10), N3323-11)</f>
        <v>11</v>
      </c>
    </row>
    <row r="3324" spans="1:22" x14ac:dyDescent="0.35">
      <c r="A3324" s="4">
        <v>45574</v>
      </c>
      <c r="B3324" s="5">
        <v>0.87216435185185182</v>
      </c>
      <c r="C3324">
        <v>68</v>
      </c>
      <c r="D3324">
        <v>66.599999999999994</v>
      </c>
      <c r="E3324">
        <v>69.7</v>
      </c>
      <c r="F3324">
        <v>67.400000000000006</v>
      </c>
      <c r="G3324">
        <v>0</v>
      </c>
      <c r="H3324">
        <v>0</v>
      </c>
      <c r="I3324">
        <v>0</v>
      </c>
      <c r="J3324">
        <v>0</v>
      </c>
      <c r="K3324">
        <v>63.2</v>
      </c>
      <c r="L3324">
        <v>63.2</v>
      </c>
      <c r="M3324">
        <v>68.06</v>
      </c>
      <c r="N3324">
        <v>9</v>
      </c>
      <c r="O3324">
        <v>1</v>
      </c>
      <c r="P3324">
        <f>MOD(DAY(datos_siembra[[#This Row],[Date]]),7)</f>
        <v>2</v>
      </c>
      <c r="Q3324" t="str">
        <f>CHOOSE(WEEKDAY(datos_siembra[[#This Row],[Date]],2),"L","M","X","J","V","S","D")</f>
        <v>X</v>
      </c>
      <c r="R3324">
        <f>WEEKNUM(datos_siembra[[#This Row],[Date]],2)-WEEKNUM(DATE(YEAR(datos_siembra[[#This Row],[Date]]),MONTH(datos_siembra[[#This Row],[Date]]),1))+1</f>
        <v>2</v>
      </c>
      <c r="S3324">
        <f>MONTH(datos_siembra[[#This Row],[Date]])</f>
        <v>10</v>
      </c>
      <c r="T3324" t="str" cm="1">
        <f t="array" ref="T3324">_xlfn.IFS(AND(N3324&lt;= 22, S3324=9), "SOWING",AND(N3324&lt;= 28, S3324=9), "COVERAGE",AND(N3324&lt;= 30, S3324=9), "FLUSH",AND(N3324&lt;= 11, S3324=10), "FLUSH",AND(N3324&lt;= 21, S3324=10), "PRODUCTION")</f>
        <v>FLUSH</v>
      </c>
      <c r="U3324">
        <f>HOUR(datos_siembra[[#This Row],[Hour]])</f>
        <v>20</v>
      </c>
      <c r="V3324" cm="1">
        <f t="array" ref="V3324">_xlfn.IFS(AND(N3324&lt;= 22, S3324=9), N3324-7,AND(N3324&lt;= 28, S3324=9), N3324-25,AND(N3324&lt;= 30, S3324=9), N3324-28,AND(N3324&lt;= 11, S3324=10), N3324+2,AND(N3324&lt;= 21, S3324=10), N3324-11)</f>
        <v>11</v>
      </c>
    </row>
    <row r="3325" spans="1:22" x14ac:dyDescent="0.35">
      <c r="A3325" s="4">
        <v>45574</v>
      </c>
      <c r="B3325" s="5">
        <v>0.87910879629629635</v>
      </c>
      <c r="C3325">
        <v>67.900000000000006</v>
      </c>
      <c r="D3325">
        <v>66.599999999999994</v>
      </c>
      <c r="E3325">
        <v>70</v>
      </c>
      <c r="F3325">
        <v>67.7</v>
      </c>
      <c r="G3325">
        <v>0</v>
      </c>
      <c r="H3325">
        <v>0</v>
      </c>
      <c r="I3325">
        <v>0</v>
      </c>
      <c r="J3325">
        <v>0</v>
      </c>
      <c r="K3325">
        <v>63.3</v>
      </c>
      <c r="L3325">
        <v>63.4</v>
      </c>
      <c r="M3325">
        <v>68</v>
      </c>
      <c r="N3325">
        <v>9</v>
      </c>
      <c r="O3325">
        <v>1</v>
      </c>
      <c r="P3325">
        <f>MOD(DAY(datos_siembra[[#This Row],[Date]]),7)</f>
        <v>2</v>
      </c>
      <c r="Q3325" t="str">
        <f>CHOOSE(WEEKDAY(datos_siembra[[#This Row],[Date]],2),"L","M","X","J","V","S","D")</f>
        <v>X</v>
      </c>
      <c r="R3325">
        <f>WEEKNUM(datos_siembra[[#This Row],[Date]],2)-WEEKNUM(DATE(YEAR(datos_siembra[[#This Row],[Date]]),MONTH(datos_siembra[[#This Row],[Date]]),1))+1</f>
        <v>2</v>
      </c>
      <c r="S3325">
        <f>MONTH(datos_siembra[[#This Row],[Date]])</f>
        <v>10</v>
      </c>
      <c r="T3325" t="str" cm="1">
        <f t="array" ref="T3325">_xlfn.IFS(AND(N3325&lt;= 22, S3325=9), "SOWING",AND(N3325&lt;= 28, S3325=9), "COVERAGE",AND(N3325&lt;= 30, S3325=9), "FLUSH",AND(N3325&lt;= 11, S3325=10), "FLUSH",AND(N3325&lt;= 21, S3325=10), "PRODUCTION")</f>
        <v>FLUSH</v>
      </c>
      <c r="U3325">
        <f>HOUR(datos_siembra[[#This Row],[Hour]])</f>
        <v>21</v>
      </c>
      <c r="V3325" cm="1">
        <f t="array" ref="V3325">_xlfn.IFS(AND(N3325&lt;= 22, S3325=9), N3325-7,AND(N3325&lt;= 28, S3325=9), N3325-25,AND(N3325&lt;= 30, S3325=9), N3325-28,AND(N3325&lt;= 11, S3325=10), N3325+2,AND(N3325&lt;= 21, S3325=10), N3325-11)</f>
        <v>11</v>
      </c>
    </row>
    <row r="3326" spans="1:22" x14ac:dyDescent="0.35">
      <c r="A3326" s="4">
        <v>45574</v>
      </c>
      <c r="B3326" s="5">
        <v>0.88605324074074077</v>
      </c>
      <c r="C3326">
        <v>67.900000000000006</v>
      </c>
      <c r="D3326">
        <v>66.8</v>
      </c>
      <c r="E3326">
        <v>69.900000000000006</v>
      </c>
      <c r="F3326">
        <v>67.7</v>
      </c>
      <c r="G3326">
        <v>0</v>
      </c>
      <c r="H3326">
        <v>0</v>
      </c>
      <c r="I3326">
        <v>0</v>
      </c>
      <c r="J3326">
        <v>0</v>
      </c>
      <c r="K3326">
        <v>63.4</v>
      </c>
      <c r="L3326">
        <v>63.5</v>
      </c>
      <c r="M3326">
        <v>67.97</v>
      </c>
      <c r="N3326">
        <v>9</v>
      </c>
      <c r="O3326">
        <v>1</v>
      </c>
      <c r="P3326">
        <f>MOD(DAY(datos_siembra[[#This Row],[Date]]),7)</f>
        <v>2</v>
      </c>
      <c r="Q3326" t="str">
        <f>CHOOSE(WEEKDAY(datos_siembra[[#This Row],[Date]],2),"L","M","X","J","V","S","D")</f>
        <v>X</v>
      </c>
      <c r="R3326">
        <f>WEEKNUM(datos_siembra[[#This Row],[Date]],2)-WEEKNUM(DATE(YEAR(datos_siembra[[#This Row],[Date]]),MONTH(datos_siembra[[#This Row],[Date]]),1))+1</f>
        <v>2</v>
      </c>
      <c r="S3326">
        <f>MONTH(datos_siembra[[#This Row],[Date]])</f>
        <v>10</v>
      </c>
      <c r="T3326" t="str" cm="1">
        <f t="array" ref="T3326">_xlfn.IFS(AND(N3326&lt;= 22, S3326=9), "SOWING",AND(N3326&lt;= 28, S3326=9), "COVERAGE",AND(N3326&lt;= 30, S3326=9), "FLUSH",AND(N3326&lt;= 11, S3326=10), "FLUSH",AND(N3326&lt;= 21, S3326=10), "PRODUCTION")</f>
        <v>FLUSH</v>
      </c>
      <c r="U3326">
        <f>HOUR(datos_siembra[[#This Row],[Hour]])</f>
        <v>21</v>
      </c>
      <c r="V3326" cm="1">
        <f t="array" ref="V3326">_xlfn.IFS(AND(N3326&lt;= 22, S3326=9), N3326-7,AND(N3326&lt;= 28, S3326=9), N3326-25,AND(N3326&lt;= 30, S3326=9), N3326-28,AND(N3326&lt;= 11, S3326=10), N3326+2,AND(N3326&lt;= 21, S3326=10), N3326-11)</f>
        <v>11</v>
      </c>
    </row>
    <row r="3327" spans="1:22" x14ac:dyDescent="0.35">
      <c r="A3327" s="4">
        <v>45574</v>
      </c>
      <c r="B3327" s="5">
        <v>0.89299768518518519</v>
      </c>
      <c r="C3327">
        <v>68</v>
      </c>
      <c r="D3327">
        <v>66.599999999999994</v>
      </c>
      <c r="E3327">
        <v>69.900000000000006</v>
      </c>
      <c r="F3327">
        <v>67.599999999999994</v>
      </c>
      <c r="G3327">
        <v>0</v>
      </c>
      <c r="H3327">
        <v>0</v>
      </c>
      <c r="I3327">
        <v>0</v>
      </c>
      <c r="J3327">
        <v>0</v>
      </c>
      <c r="K3327">
        <v>63.5</v>
      </c>
      <c r="L3327">
        <v>63.6</v>
      </c>
      <c r="M3327">
        <v>68.06</v>
      </c>
      <c r="N3327">
        <v>9</v>
      </c>
      <c r="O3327">
        <v>1</v>
      </c>
      <c r="P3327">
        <f>MOD(DAY(datos_siembra[[#This Row],[Date]]),7)</f>
        <v>2</v>
      </c>
      <c r="Q3327" t="str">
        <f>CHOOSE(WEEKDAY(datos_siembra[[#This Row],[Date]],2),"L","M","X","J","V","S","D")</f>
        <v>X</v>
      </c>
      <c r="R3327">
        <f>WEEKNUM(datos_siembra[[#This Row],[Date]],2)-WEEKNUM(DATE(YEAR(datos_siembra[[#This Row],[Date]]),MONTH(datos_siembra[[#This Row],[Date]]),1))+1</f>
        <v>2</v>
      </c>
      <c r="S3327">
        <f>MONTH(datos_siembra[[#This Row],[Date]])</f>
        <v>10</v>
      </c>
      <c r="T3327" t="str" cm="1">
        <f t="array" ref="T3327">_xlfn.IFS(AND(N3327&lt;= 22, S3327=9), "SOWING",AND(N3327&lt;= 28, S3327=9), "COVERAGE",AND(N3327&lt;= 30, S3327=9), "FLUSH",AND(N3327&lt;= 11, S3327=10), "FLUSH",AND(N3327&lt;= 21, S3327=10), "PRODUCTION")</f>
        <v>FLUSH</v>
      </c>
      <c r="U3327">
        <f>HOUR(datos_siembra[[#This Row],[Hour]])</f>
        <v>21</v>
      </c>
      <c r="V3327" cm="1">
        <f t="array" ref="V3327">_xlfn.IFS(AND(N3327&lt;= 22, S3327=9), N3327-7,AND(N3327&lt;= 28, S3327=9), N3327-25,AND(N3327&lt;= 30, S3327=9), N3327-28,AND(N3327&lt;= 11, S3327=10), N3327+2,AND(N3327&lt;= 21, S3327=10), N3327-11)</f>
        <v>11</v>
      </c>
    </row>
    <row r="3328" spans="1:22" x14ac:dyDescent="0.35">
      <c r="A3328" s="4">
        <v>45574</v>
      </c>
      <c r="B3328" s="5">
        <v>0.89995370370370376</v>
      </c>
      <c r="C3328">
        <v>68</v>
      </c>
      <c r="D3328">
        <v>66.599999999999994</v>
      </c>
      <c r="E3328">
        <v>69.7</v>
      </c>
      <c r="F3328">
        <v>67.599999999999994</v>
      </c>
      <c r="G3328">
        <v>0</v>
      </c>
      <c r="H3328">
        <v>0</v>
      </c>
      <c r="I3328">
        <v>0</v>
      </c>
      <c r="J3328">
        <v>0</v>
      </c>
      <c r="K3328">
        <v>63.5</v>
      </c>
      <c r="L3328">
        <v>63.6</v>
      </c>
      <c r="M3328">
        <v>68.06</v>
      </c>
      <c r="N3328">
        <v>9</v>
      </c>
      <c r="O3328">
        <v>1</v>
      </c>
      <c r="P3328">
        <f>MOD(DAY(datos_siembra[[#This Row],[Date]]),7)</f>
        <v>2</v>
      </c>
      <c r="Q3328" t="str">
        <f>CHOOSE(WEEKDAY(datos_siembra[[#This Row],[Date]],2),"L","M","X","J","V","S","D")</f>
        <v>X</v>
      </c>
      <c r="R3328">
        <f>WEEKNUM(datos_siembra[[#This Row],[Date]],2)-WEEKNUM(DATE(YEAR(datos_siembra[[#This Row],[Date]]),MONTH(datos_siembra[[#This Row],[Date]]),1))+1</f>
        <v>2</v>
      </c>
      <c r="S3328">
        <f>MONTH(datos_siembra[[#This Row],[Date]])</f>
        <v>10</v>
      </c>
      <c r="T3328" t="str" cm="1">
        <f t="array" ref="T3328">_xlfn.IFS(AND(N3328&lt;= 22, S3328=9), "SOWING",AND(N3328&lt;= 28, S3328=9), "COVERAGE",AND(N3328&lt;= 30, S3328=9), "FLUSH",AND(N3328&lt;= 11, S3328=10), "FLUSH",AND(N3328&lt;= 21, S3328=10), "PRODUCTION")</f>
        <v>FLUSH</v>
      </c>
      <c r="U3328">
        <f>HOUR(datos_siembra[[#This Row],[Hour]])</f>
        <v>21</v>
      </c>
      <c r="V3328" cm="1">
        <f t="array" ref="V3328">_xlfn.IFS(AND(N3328&lt;= 22, S3328=9), N3328-7,AND(N3328&lt;= 28, S3328=9), N3328-25,AND(N3328&lt;= 30, S3328=9), N3328-28,AND(N3328&lt;= 11, S3328=10), N3328+2,AND(N3328&lt;= 21, S3328=10), N3328-11)</f>
        <v>11</v>
      </c>
    </row>
    <row r="3329" spans="1:22" x14ac:dyDescent="0.35">
      <c r="A3329" s="4">
        <v>45574</v>
      </c>
      <c r="B3329" s="5">
        <v>0.90689814814814818</v>
      </c>
      <c r="C3329">
        <v>67.900000000000006</v>
      </c>
      <c r="D3329">
        <v>66.8</v>
      </c>
      <c r="E3329">
        <v>69.900000000000006</v>
      </c>
      <c r="F3329">
        <v>67.599999999999994</v>
      </c>
      <c r="G3329">
        <v>0</v>
      </c>
      <c r="H3329">
        <v>0</v>
      </c>
      <c r="I3329">
        <v>0</v>
      </c>
      <c r="J3329">
        <v>0</v>
      </c>
      <c r="K3329">
        <v>63.6</v>
      </c>
      <c r="L3329">
        <v>63.6</v>
      </c>
      <c r="M3329">
        <v>68.06</v>
      </c>
      <c r="N3329">
        <v>9</v>
      </c>
      <c r="O3329">
        <v>1</v>
      </c>
      <c r="P3329">
        <f>MOD(DAY(datos_siembra[[#This Row],[Date]]),7)</f>
        <v>2</v>
      </c>
      <c r="Q3329" t="str">
        <f>CHOOSE(WEEKDAY(datos_siembra[[#This Row],[Date]],2),"L","M","X","J","V","S","D")</f>
        <v>X</v>
      </c>
      <c r="R3329">
        <f>WEEKNUM(datos_siembra[[#This Row],[Date]],2)-WEEKNUM(DATE(YEAR(datos_siembra[[#This Row],[Date]]),MONTH(datos_siembra[[#This Row],[Date]]),1))+1</f>
        <v>2</v>
      </c>
      <c r="S3329">
        <f>MONTH(datos_siembra[[#This Row],[Date]])</f>
        <v>10</v>
      </c>
      <c r="T3329" t="str" cm="1">
        <f t="array" ref="T3329">_xlfn.IFS(AND(N3329&lt;= 22, S3329=9), "SOWING",AND(N3329&lt;= 28, S3329=9), "COVERAGE",AND(N3329&lt;= 30, S3329=9), "FLUSH",AND(N3329&lt;= 11, S3329=10), "FLUSH",AND(N3329&lt;= 21, S3329=10), "PRODUCTION")</f>
        <v>FLUSH</v>
      </c>
      <c r="U3329">
        <f>HOUR(datos_siembra[[#This Row],[Hour]])</f>
        <v>21</v>
      </c>
      <c r="V3329" cm="1">
        <f t="array" ref="V3329">_xlfn.IFS(AND(N3329&lt;= 22, S3329=9), N3329-7,AND(N3329&lt;= 28, S3329=9), N3329-25,AND(N3329&lt;= 30, S3329=9), N3329-28,AND(N3329&lt;= 11, S3329=10), N3329+2,AND(N3329&lt;= 21, S3329=10), N3329-11)</f>
        <v>11</v>
      </c>
    </row>
    <row r="3330" spans="1:22" x14ac:dyDescent="0.35">
      <c r="A3330" s="4">
        <v>45574</v>
      </c>
      <c r="B3330" s="5">
        <v>0.9138425925925926</v>
      </c>
      <c r="C3330">
        <v>68</v>
      </c>
      <c r="D3330">
        <v>66.900000000000006</v>
      </c>
      <c r="E3330">
        <v>69.900000000000006</v>
      </c>
      <c r="F3330">
        <v>67.7</v>
      </c>
      <c r="G3330">
        <v>0</v>
      </c>
      <c r="H3330">
        <v>0</v>
      </c>
      <c r="I3330">
        <v>0</v>
      </c>
      <c r="J3330">
        <v>0</v>
      </c>
      <c r="K3330">
        <v>63.5</v>
      </c>
      <c r="L3330">
        <v>63.6</v>
      </c>
      <c r="M3330">
        <v>68.2</v>
      </c>
      <c r="N3330">
        <v>9</v>
      </c>
      <c r="O3330">
        <v>1</v>
      </c>
      <c r="P3330">
        <f>MOD(DAY(datos_siembra[[#This Row],[Date]]),7)</f>
        <v>2</v>
      </c>
      <c r="Q3330" t="str">
        <f>CHOOSE(WEEKDAY(datos_siembra[[#This Row],[Date]],2),"L","M","X","J","V","S","D")</f>
        <v>X</v>
      </c>
      <c r="R3330">
        <f>WEEKNUM(datos_siembra[[#This Row],[Date]],2)-WEEKNUM(DATE(YEAR(datos_siembra[[#This Row],[Date]]),MONTH(datos_siembra[[#This Row],[Date]]),1))+1</f>
        <v>2</v>
      </c>
      <c r="S3330">
        <f>MONTH(datos_siembra[[#This Row],[Date]])</f>
        <v>10</v>
      </c>
      <c r="T3330" t="str" cm="1">
        <f t="array" ref="T3330">_xlfn.IFS(AND(N3330&lt;= 22, S3330=9), "SOWING",AND(N3330&lt;= 28, S3330=9), "COVERAGE",AND(N3330&lt;= 30, S3330=9), "FLUSH",AND(N3330&lt;= 11, S3330=10), "FLUSH",AND(N3330&lt;= 21, S3330=10), "PRODUCTION")</f>
        <v>FLUSH</v>
      </c>
      <c r="U3330">
        <f>HOUR(datos_siembra[[#This Row],[Hour]])</f>
        <v>21</v>
      </c>
      <c r="V3330" cm="1">
        <f t="array" ref="V3330">_xlfn.IFS(AND(N3330&lt;= 22, S3330=9), N3330-7,AND(N3330&lt;= 28, S3330=9), N3330-25,AND(N3330&lt;= 30, S3330=9), N3330-28,AND(N3330&lt;= 11, S3330=10), N3330+2,AND(N3330&lt;= 21, S3330=10), N3330-11)</f>
        <v>11</v>
      </c>
    </row>
    <row r="3331" spans="1:22" x14ac:dyDescent="0.35">
      <c r="A3331" s="4">
        <v>45574</v>
      </c>
      <c r="B3331" s="5">
        <v>0.92079861111111116</v>
      </c>
      <c r="C3331">
        <v>68</v>
      </c>
      <c r="D3331">
        <v>66.8</v>
      </c>
      <c r="E3331">
        <v>70</v>
      </c>
      <c r="F3331">
        <v>67.8</v>
      </c>
      <c r="G3331">
        <v>0</v>
      </c>
      <c r="H3331">
        <v>0</v>
      </c>
      <c r="I3331">
        <v>0</v>
      </c>
      <c r="J3331">
        <v>0</v>
      </c>
      <c r="K3331">
        <v>63.5</v>
      </c>
      <c r="L3331">
        <v>63.6</v>
      </c>
      <c r="M3331">
        <v>68.14</v>
      </c>
      <c r="N3331">
        <v>9</v>
      </c>
      <c r="O3331">
        <v>1</v>
      </c>
      <c r="P3331">
        <f>MOD(DAY(datos_siembra[[#This Row],[Date]]),7)</f>
        <v>2</v>
      </c>
      <c r="Q3331" t="str">
        <f>CHOOSE(WEEKDAY(datos_siembra[[#This Row],[Date]],2),"L","M","X","J","V","S","D")</f>
        <v>X</v>
      </c>
      <c r="R3331">
        <f>WEEKNUM(datos_siembra[[#This Row],[Date]],2)-WEEKNUM(DATE(YEAR(datos_siembra[[#This Row],[Date]]),MONTH(datos_siembra[[#This Row],[Date]]),1))+1</f>
        <v>2</v>
      </c>
      <c r="S3331">
        <f>MONTH(datos_siembra[[#This Row],[Date]])</f>
        <v>10</v>
      </c>
      <c r="T3331" t="str" cm="1">
        <f t="array" ref="T3331">_xlfn.IFS(AND(N3331&lt;= 22, S3331=9), "SOWING",AND(N3331&lt;= 28, S3331=9), "COVERAGE",AND(N3331&lt;= 30, S3331=9), "FLUSH",AND(N3331&lt;= 11, S3331=10), "FLUSH",AND(N3331&lt;= 21, S3331=10), "PRODUCTION")</f>
        <v>FLUSH</v>
      </c>
      <c r="U3331">
        <f>HOUR(datos_siembra[[#This Row],[Hour]])</f>
        <v>22</v>
      </c>
      <c r="V3331" cm="1">
        <f t="array" ref="V3331">_xlfn.IFS(AND(N3331&lt;= 22, S3331=9), N3331-7,AND(N3331&lt;= 28, S3331=9), N3331-25,AND(N3331&lt;= 30, S3331=9), N3331-28,AND(N3331&lt;= 11, S3331=10), N3331+2,AND(N3331&lt;= 21, S3331=10), N3331-11)</f>
        <v>11</v>
      </c>
    </row>
    <row r="3332" spans="1:22" x14ac:dyDescent="0.35">
      <c r="A3332" s="4">
        <v>45574</v>
      </c>
      <c r="B3332" s="5">
        <v>0.92774305555555558</v>
      </c>
      <c r="C3332">
        <v>68</v>
      </c>
      <c r="D3332">
        <v>66.8</v>
      </c>
      <c r="E3332">
        <v>70</v>
      </c>
      <c r="F3332">
        <v>67.7</v>
      </c>
      <c r="G3332">
        <v>0</v>
      </c>
      <c r="H3332">
        <v>0</v>
      </c>
      <c r="I3332">
        <v>0</v>
      </c>
      <c r="J3332">
        <v>0</v>
      </c>
      <c r="K3332">
        <v>63.6</v>
      </c>
      <c r="L3332">
        <v>63.7</v>
      </c>
      <c r="M3332">
        <v>68.08</v>
      </c>
      <c r="N3332">
        <v>9</v>
      </c>
      <c r="O3332">
        <v>1</v>
      </c>
      <c r="P3332">
        <f>MOD(DAY(datos_siembra[[#This Row],[Date]]),7)</f>
        <v>2</v>
      </c>
      <c r="Q3332" t="str">
        <f>CHOOSE(WEEKDAY(datos_siembra[[#This Row],[Date]],2),"L","M","X","J","V","S","D")</f>
        <v>X</v>
      </c>
      <c r="R3332">
        <f>WEEKNUM(datos_siembra[[#This Row],[Date]],2)-WEEKNUM(DATE(YEAR(datos_siembra[[#This Row],[Date]]),MONTH(datos_siembra[[#This Row],[Date]]),1))+1</f>
        <v>2</v>
      </c>
      <c r="S3332">
        <f>MONTH(datos_siembra[[#This Row],[Date]])</f>
        <v>10</v>
      </c>
      <c r="T3332" t="str" cm="1">
        <f t="array" ref="T3332">_xlfn.IFS(AND(N3332&lt;= 22, S3332=9), "SOWING",AND(N3332&lt;= 28, S3332=9), "COVERAGE",AND(N3332&lt;= 30, S3332=9), "FLUSH",AND(N3332&lt;= 11, S3332=10), "FLUSH",AND(N3332&lt;= 21, S3332=10), "PRODUCTION")</f>
        <v>FLUSH</v>
      </c>
      <c r="U3332">
        <f>HOUR(datos_siembra[[#This Row],[Hour]])</f>
        <v>22</v>
      </c>
      <c r="V3332" cm="1">
        <f t="array" ref="V3332">_xlfn.IFS(AND(N3332&lt;= 22, S3332=9), N3332-7,AND(N3332&lt;= 28, S3332=9), N3332-25,AND(N3332&lt;= 30, S3332=9), N3332-28,AND(N3332&lt;= 11, S3332=10), N3332+2,AND(N3332&lt;= 21, S3332=10), N3332-11)</f>
        <v>11</v>
      </c>
    </row>
    <row r="3333" spans="1:22" x14ac:dyDescent="0.35">
      <c r="A3333" s="4">
        <v>45574</v>
      </c>
      <c r="B3333" s="5">
        <v>0.9346875</v>
      </c>
      <c r="C3333">
        <v>68</v>
      </c>
      <c r="D3333">
        <v>66.8</v>
      </c>
      <c r="E3333">
        <v>70.099999999999994</v>
      </c>
      <c r="F3333">
        <v>67.900000000000006</v>
      </c>
      <c r="G3333">
        <v>0</v>
      </c>
      <c r="H3333">
        <v>0</v>
      </c>
      <c r="I3333">
        <v>0</v>
      </c>
      <c r="J3333">
        <v>0</v>
      </c>
      <c r="K3333">
        <v>63.5</v>
      </c>
      <c r="L3333">
        <v>63.6</v>
      </c>
      <c r="M3333">
        <v>68.2</v>
      </c>
      <c r="N3333">
        <v>9</v>
      </c>
      <c r="O3333">
        <v>1</v>
      </c>
      <c r="P3333">
        <f>MOD(DAY(datos_siembra[[#This Row],[Date]]),7)</f>
        <v>2</v>
      </c>
      <c r="Q3333" t="str">
        <f>CHOOSE(WEEKDAY(datos_siembra[[#This Row],[Date]],2),"L","M","X","J","V","S","D")</f>
        <v>X</v>
      </c>
      <c r="R3333">
        <f>WEEKNUM(datos_siembra[[#This Row],[Date]],2)-WEEKNUM(DATE(YEAR(datos_siembra[[#This Row],[Date]]),MONTH(datos_siembra[[#This Row],[Date]]),1))+1</f>
        <v>2</v>
      </c>
      <c r="S3333">
        <f>MONTH(datos_siembra[[#This Row],[Date]])</f>
        <v>10</v>
      </c>
      <c r="T3333" t="str" cm="1">
        <f t="array" ref="T3333">_xlfn.IFS(AND(N3333&lt;= 22, S3333=9), "SOWING",AND(N3333&lt;= 28, S3333=9), "COVERAGE",AND(N3333&lt;= 30, S3333=9), "FLUSH",AND(N3333&lt;= 11, S3333=10), "FLUSH",AND(N3333&lt;= 21, S3333=10), "PRODUCTION")</f>
        <v>FLUSH</v>
      </c>
      <c r="U3333">
        <f>HOUR(datos_siembra[[#This Row],[Hour]])</f>
        <v>22</v>
      </c>
      <c r="V3333" cm="1">
        <f t="array" ref="V3333">_xlfn.IFS(AND(N3333&lt;= 22, S3333=9), N3333-7,AND(N3333&lt;= 28, S3333=9), N3333-25,AND(N3333&lt;= 30, S3333=9), N3333-28,AND(N3333&lt;= 11, S3333=10), N3333+2,AND(N3333&lt;= 21, S3333=10), N3333-11)</f>
        <v>11</v>
      </c>
    </row>
    <row r="3334" spans="1:22" x14ac:dyDescent="0.35">
      <c r="A3334" s="4">
        <v>45574</v>
      </c>
      <c r="B3334" s="5">
        <v>0.94163194444444442</v>
      </c>
      <c r="C3334">
        <v>68</v>
      </c>
      <c r="D3334">
        <v>66.8</v>
      </c>
      <c r="E3334">
        <v>70</v>
      </c>
      <c r="F3334">
        <v>67.8</v>
      </c>
      <c r="G3334">
        <v>0</v>
      </c>
      <c r="H3334">
        <v>0</v>
      </c>
      <c r="I3334">
        <v>0</v>
      </c>
      <c r="J3334">
        <v>0</v>
      </c>
      <c r="K3334">
        <v>63.5</v>
      </c>
      <c r="L3334">
        <v>63.6</v>
      </c>
      <c r="M3334">
        <v>68.14</v>
      </c>
      <c r="N3334">
        <v>9</v>
      </c>
      <c r="O3334">
        <v>1</v>
      </c>
      <c r="P3334">
        <f>MOD(DAY(datos_siembra[[#This Row],[Date]]),7)</f>
        <v>2</v>
      </c>
      <c r="Q3334" t="str">
        <f>CHOOSE(WEEKDAY(datos_siembra[[#This Row],[Date]],2),"L","M","X","J","V","S","D")</f>
        <v>X</v>
      </c>
      <c r="R3334">
        <f>WEEKNUM(datos_siembra[[#This Row],[Date]],2)-WEEKNUM(DATE(YEAR(datos_siembra[[#This Row],[Date]]),MONTH(datos_siembra[[#This Row],[Date]]),1))+1</f>
        <v>2</v>
      </c>
      <c r="S3334">
        <f>MONTH(datos_siembra[[#This Row],[Date]])</f>
        <v>10</v>
      </c>
      <c r="T3334" t="str" cm="1">
        <f t="array" ref="T3334">_xlfn.IFS(AND(N3334&lt;= 22, S3334=9), "SOWING",AND(N3334&lt;= 28, S3334=9), "COVERAGE",AND(N3334&lt;= 30, S3334=9), "FLUSH",AND(N3334&lt;= 11, S3334=10), "FLUSH",AND(N3334&lt;= 21, S3334=10), "PRODUCTION")</f>
        <v>FLUSH</v>
      </c>
      <c r="U3334">
        <f>HOUR(datos_siembra[[#This Row],[Hour]])</f>
        <v>22</v>
      </c>
      <c r="V3334" cm="1">
        <f t="array" ref="V3334">_xlfn.IFS(AND(N3334&lt;= 22, S3334=9), N3334-7,AND(N3334&lt;= 28, S3334=9), N3334-25,AND(N3334&lt;= 30, S3334=9), N3334-28,AND(N3334&lt;= 11, S3334=10), N3334+2,AND(N3334&lt;= 21, S3334=10), N3334-11)</f>
        <v>11</v>
      </c>
    </row>
    <row r="3335" spans="1:22" x14ac:dyDescent="0.35">
      <c r="A3335" s="4">
        <v>45574</v>
      </c>
      <c r="B3335" s="5">
        <v>0.94858796296296299</v>
      </c>
      <c r="C3335">
        <v>68</v>
      </c>
      <c r="D3335">
        <v>66.5</v>
      </c>
      <c r="E3335">
        <v>70.099999999999994</v>
      </c>
      <c r="F3335">
        <v>67.599999999999994</v>
      </c>
      <c r="G3335">
        <v>0</v>
      </c>
      <c r="H3335">
        <v>0</v>
      </c>
      <c r="I3335">
        <v>0</v>
      </c>
      <c r="J3335">
        <v>0</v>
      </c>
      <c r="K3335">
        <v>63.6</v>
      </c>
      <c r="L3335">
        <v>63.6</v>
      </c>
      <c r="M3335">
        <v>68.17</v>
      </c>
      <c r="N3335">
        <v>9</v>
      </c>
      <c r="O3335">
        <v>1</v>
      </c>
      <c r="P3335">
        <f>MOD(DAY(datos_siembra[[#This Row],[Date]]),7)</f>
        <v>2</v>
      </c>
      <c r="Q3335" t="str">
        <f>CHOOSE(WEEKDAY(datos_siembra[[#This Row],[Date]],2),"L","M","X","J","V","S","D")</f>
        <v>X</v>
      </c>
      <c r="R3335">
        <f>WEEKNUM(datos_siembra[[#This Row],[Date]],2)-WEEKNUM(DATE(YEAR(datos_siembra[[#This Row],[Date]]),MONTH(datos_siembra[[#This Row],[Date]]),1))+1</f>
        <v>2</v>
      </c>
      <c r="S3335">
        <f>MONTH(datos_siembra[[#This Row],[Date]])</f>
        <v>10</v>
      </c>
      <c r="T3335" t="str" cm="1">
        <f t="array" ref="T3335">_xlfn.IFS(AND(N3335&lt;= 22, S3335=9), "SOWING",AND(N3335&lt;= 28, S3335=9), "COVERAGE",AND(N3335&lt;= 30, S3335=9), "FLUSH",AND(N3335&lt;= 11, S3335=10), "FLUSH",AND(N3335&lt;= 21, S3335=10), "PRODUCTION")</f>
        <v>FLUSH</v>
      </c>
      <c r="U3335">
        <f>HOUR(datos_siembra[[#This Row],[Hour]])</f>
        <v>22</v>
      </c>
      <c r="V3335" cm="1">
        <f t="array" ref="V3335">_xlfn.IFS(AND(N3335&lt;= 22, S3335=9), N3335-7,AND(N3335&lt;= 28, S3335=9), N3335-25,AND(N3335&lt;= 30, S3335=9), N3335-28,AND(N3335&lt;= 11, S3335=10), N3335+2,AND(N3335&lt;= 21, S3335=10), N3335-11)</f>
        <v>11</v>
      </c>
    </row>
    <row r="3336" spans="1:22" x14ac:dyDescent="0.35">
      <c r="A3336" s="4">
        <v>45574</v>
      </c>
      <c r="B3336" s="5">
        <v>0.95553240740740741</v>
      </c>
      <c r="C3336">
        <v>68.099999999999994</v>
      </c>
      <c r="D3336">
        <v>66.8</v>
      </c>
      <c r="E3336">
        <v>70</v>
      </c>
      <c r="F3336">
        <v>67.8</v>
      </c>
      <c r="G3336">
        <v>0</v>
      </c>
      <c r="H3336">
        <v>0</v>
      </c>
      <c r="I3336">
        <v>0</v>
      </c>
      <c r="J3336">
        <v>0</v>
      </c>
      <c r="K3336">
        <v>63.6</v>
      </c>
      <c r="L3336">
        <v>63.6</v>
      </c>
      <c r="M3336">
        <v>68.2</v>
      </c>
      <c r="N3336">
        <v>9</v>
      </c>
      <c r="O3336">
        <v>1</v>
      </c>
      <c r="P3336">
        <f>MOD(DAY(datos_siembra[[#This Row],[Date]]),7)</f>
        <v>2</v>
      </c>
      <c r="Q3336" t="str">
        <f>CHOOSE(WEEKDAY(datos_siembra[[#This Row],[Date]],2),"L","M","X","J","V","S","D")</f>
        <v>X</v>
      </c>
      <c r="R3336">
        <f>WEEKNUM(datos_siembra[[#This Row],[Date]],2)-WEEKNUM(DATE(YEAR(datos_siembra[[#This Row],[Date]]),MONTH(datos_siembra[[#This Row],[Date]]),1))+1</f>
        <v>2</v>
      </c>
      <c r="S3336">
        <f>MONTH(datos_siembra[[#This Row],[Date]])</f>
        <v>10</v>
      </c>
      <c r="T3336" t="str" cm="1">
        <f t="array" ref="T3336">_xlfn.IFS(AND(N3336&lt;= 22, S3336=9), "SOWING",AND(N3336&lt;= 28, S3336=9), "COVERAGE",AND(N3336&lt;= 30, S3336=9), "FLUSH",AND(N3336&lt;= 11, S3336=10), "FLUSH",AND(N3336&lt;= 21, S3336=10), "PRODUCTION")</f>
        <v>FLUSH</v>
      </c>
      <c r="U3336">
        <f>HOUR(datos_siembra[[#This Row],[Hour]])</f>
        <v>22</v>
      </c>
      <c r="V3336" cm="1">
        <f t="array" ref="V3336">_xlfn.IFS(AND(N3336&lt;= 22, S3336=9), N3336-7,AND(N3336&lt;= 28, S3336=9), N3336-25,AND(N3336&lt;= 30, S3336=9), N3336-28,AND(N3336&lt;= 11, S3336=10), N3336+2,AND(N3336&lt;= 21, S3336=10), N3336-11)</f>
        <v>11</v>
      </c>
    </row>
    <row r="3337" spans="1:22" x14ac:dyDescent="0.35">
      <c r="A3337" s="4">
        <v>45574</v>
      </c>
      <c r="B3337" s="5">
        <v>0.96247685185185183</v>
      </c>
      <c r="C3337">
        <v>68.099999999999994</v>
      </c>
      <c r="D3337">
        <v>66.8</v>
      </c>
      <c r="E3337">
        <v>70.3</v>
      </c>
      <c r="F3337">
        <v>67.8</v>
      </c>
      <c r="G3337">
        <v>0</v>
      </c>
      <c r="H3337">
        <v>0</v>
      </c>
      <c r="I3337">
        <v>0</v>
      </c>
      <c r="J3337">
        <v>0</v>
      </c>
      <c r="K3337">
        <v>63.5</v>
      </c>
      <c r="L3337">
        <v>63.6</v>
      </c>
      <c r="M3337">
        <v>68.17</v>
      </c>
      <c r="N3337">
        <v>9</v>
      </c>
      <c r="O3337">
        <v>1</v>
      </c>
      <c r="P3337">
        <f>MOD(DAY(datos_siembra[[#This Row],[Date]]),7)</f>
        <v>2</v>
      </c>
      <c r="Q3337" t="str">
        <f>CHOOSE(WEEKDAY(datos_siembra[[#This Row],[Date]],2),"L","M","X","J","V","S","D")</f>
        <v>X</v>
      </c>
      <c r="R3337">
        <f>WEEKNUM(datos_siembra[[#This Row],[Date]],2)-WEEKNUM(DATE(YEAR(datos_siembra[[#This Row],[Date]]),MONTH(datos_siembra[[#This Row],[Date]]),1))+1</f>
        <v>2</v>
      </c>
      <c r="S3337">
        <f>MONTH(datos_siembra[[#This Row],[Date]])</f>
        <v>10</v>
      </c>
      <c r="T3337" t="str" cm="1">
        <f t="array" ref="T3337">_xlfn.IFS(AND(N3337&lt;= 22, S3337=9), "SOWING",AND(N3337&lt;= 28, S3337=9), "COVERAGE",AND(N3337&lt;= 30, S3337=9), "FLUSH",AND(N3337&lt;= 11, S3337=10), "FLUSH",AND(N3337&lt;= 21, S3337=10), "PRODUCTION")</f>
        <v>FLUSH</v>
      </c>
      <c r="U3337">
        <f>HOUR(datos_siembra[[#This Row],[Hour]])</f>
        <v>23</v>
      </c>
      <c r="V3337" cm="1">
        <f t="array" ref="V3337">_xlfn.IFS(AND(N3337&lt;= 22, S3337=9), N3337-7,AND(N3337&lt;= 28, S3337=9), N3337-25,AND(N3337&lt;= 30, S3337=9), N3337-28,AND(N3337&lt;= 11, S3337=10), N3337+2,AND(N3337&lt;= 21, S3337=10), N3337-11)</f>
        <v>11</v>
      </c>
    </row>
    <row r="3338" spans="1:22" x14ac:dyDescent="0.35">
      <c r="A3338" s="4">
        <v>45574</v>
      </c>
      <c r="B3338" s="5">
        <v>0.9694328703703704</v>
      </c>
      <c r="C3338">
        <v>68.099999999999994</v>
      </c>
      <c r="D3338">
        <v>66.900000000000006</v>
      </c>
      <c r="E3338">
        <v>70.099999999999994</v>
      </c>
      <c r="F3338">
        <v>67.7</v>
      </c>
      <c r="G3338">
        <v>0</v>
      </c>
      <c r="H3338">
        <v>0</v>
      </c>
      <c r="I3338">
        <v>0</v>
      </c>
      <c r="J3338">
        <v>0</v>
      </c>
      <c r="K3338">
        <v>63.6</v>
      </c>
      <c r="L3338">
        <v>63.6</v>
      </c>
      <c r="M3338">
        <v>68.22</v>
      </c>
      <c r="N3338">
        <v>9</v>
      </c>
      <c r="O3338">
        <v>1</v>
      </c>
      <c r="P3338">
        <f>MOD(DAY(datos_siembra[[#This Row],[Date]]),7)</f>
        <v>2</v>
      </c>
      <c r="Q3338" t="str">
        <f>CHOOSE(WEEKDAY(datos_siembra[[#This Row],[Date]],2),"L","M","X","J","V","S","D")</f>
        <v>X</v>
      </c>
      <c r="R3338">
        <f>WEEKNUM(datos_siembra[[#This Row],[Date]],2)-WEEKNUM(DATE(YEAR(datos_siembra[[#This Row],[Date]]),MONTH(datos_siembra[[#This Row],[Date]]),1))+1</f>
        <v>2</v>
      </c>
      <c r="S3338">
        <f>MONTH(datos_siembra[[#This Row],[Date]])</f>
        <v>10</v>
      </c>
      <c r="T3338" t="str" cm="1">
        <f t="array" ref="T3338">_xlfn.IFS(AND(N3338&lt;= 22, S3338=9), "SOWING",AND(N3338&lt;= 28, S3338=9), "COVERAGE",AND(N3338&lt;= 30, S3338=9), "FLUSH",AND(N3338&lt;= 11, S3338=10), "FLUSH",AND(N3338&lt;= 21, S3338=10), "PRODUCTION")</f>
        <v>FLUSH</v>
      </c>
      <c r="U3338">
        <f>HOUR(datos_siembra[[#This Row],[Hour]])</f>
        <v>23</v>
      </c>
      <c r="V3338" cm="1">
        <f t="array" ref="V3338">_xlfn.IFS(AND(N3338&lt;= 22, S3338=9), N3338-7,AND(N3338&lt;= 28, S3338=9), N3338-25,AND(N3338&lt;= 30, S3338=9), N3338-28,AND(N3338&lt;= 11, S3338=10), N3338+2,AND(N3338&lt;= 21, S3338=10), N3338-11)</f>
        <v>11</v>
      </c>
    </row>
    <row r="3339" spans="1:22" x14ac:dyDescent="0.35">
      <c r="A3339" s="4">
        <v>45574</v>
      </c>
      <c r="B3339" s="5">
        <v>0.97637731481481482</v>
      </c>
      <c r="C3339">
        <v>68.099999999999994</v>
      </c>
      <c r="D3339">
        <v>66.8</v>
      </c>
      <c r="E3339">
        <v>70.3</v>
      </c>
      <c r="F3339">
        <v>67.8</v>
      </c>
      <c r="G3339">
        <v>0</v>
      </c>
      <c r="H3339">
        <v>0</v>
      </c>
      <c r="I3339">
        <v>0</v>
      </c>
      <c r="J3339">
        <v>0</v>
      </c>
      <c r="K3339">
        <v>63.5</v>
      </c>
      <c r="L3339">
        <v>63.6</v>
      </c>
      <c r="M3339">
        <v>68.2</v>
      </c>
      <c r="N3339">
        <v>9</v>
      </c>
      <c r="O3339">
        <v>1</v>
      </c>
      <c r="P3339">
        <f>MOD(DAY(datos_siembra[[#This Row],[Date]]),7)</f>
        <v>2</v>
      </c>
      <c r="Q3339" t="str">
        <f>CHOOSE(WEEKDAY(datos_siembra[[#This Row],[Date]],2),"L","M","X","J","V","S","D")</f>
        <v>X</v>
      </c>
      <c r="R3339">
        <f>WEEKNUM(datos_siembra[[#This Row],[Date]],2)-WEEKNUM(DATE(YEAR(datos_siembra[[#This Row],[Date]]),MONTH(datos_siembra[[#This Row],[Date]]),1))+1</f>
        <v>2</v>
      </c>
      <c r="S3339">
        <f>MONTH(datos_siembra[[#This Row],[Date]])</f>
        <v>10</v>
      </c>
      <c r="T3339" t="str" cm="1">
        <f t="array" ref="T3339">_xlfn.IFS(AND(N3339&lt;= 22, S3339=9), "SOWING",AND(N3339&lt;= 28, S3339=9), "COVERAGE",AND(N3339&lt;= 30, S3339=9), "FLUSH",AND(N3339&lt;= 11, S3339=10), "FLUSH",AND(N3339&lt;= 21, S3339=10), "PRODUCTION")</f>
        <v>FLUSH</v>
      </c>
      <c r="U3339">
        <f>HOUR(datos_siembra[[#This Row],[Hour]])</f>
        <v>23</v>
      </c>
      <c r="V3339" cm="1">
        <f t="array" ref="V3339">_xlfn.IFS(AND(N3339&lt;= 22, S3339=9), N3339-7,AND(N3339&lt;= 28, S3339=9), N3339-25,AND(N3339&lt;= 30, S3339=9), N3339-28,AND(N3339&lt;= 11, S3339=10), N3339+2,AND(N3339&lt;= 21, S3339=10), N3339-11)</f>
        <v>11</v>
      </c>
    </row>
    <row r="3340" spans="1:22" x14ac:dyDescent="0.35">
      <c r="A3340" s="4">
        <v>45574</v>
      </c>
      <c r="B3340" s="5">
        <v>0.98332175925925924</v>
      </c>
      <c r="C3340">
        <v>68.099999999999994</v>
      </c>
      <c r="D3340">
        <v>66.8</v>
      </c>
      <c r="E3340">
        <v>70.400000000000006</v>
      </c>
      <c r="F3340">
        <v>67.8</v>
      </c>
      <c r="G3340">
        <v>0</v>
      </c>
      <c r="H3340">
        <v>0</v>
      </c>
      <c r="I3340">
        <v>0</v>
      </c>
      <c r="J3340">
        <v>0</v>
      </c>
      <c r="K3340">
        <v>63.6</v>
      </c>
      <c r="L3340">
        <v>63.6</v>
      </c>
      <c r="M3340">
        <v>68.34</v>
      </c>
      <c r="N3340">
        <v>9</v>
      </c>
      <c r="O3340">
        <v>1</v>
      </c>
      <c r="P3340">
        <f>MOD(DAY(datos_siembra[[#This Row],[Date]]),7)</f>
        <v>2</v>
      </c>
      <c r="Q3340" t="str">
        <f>CHOOSE(WEEKDAY(datos_siembra[[#This Row],[Date]],2),"L","M","X","J","V","S","D")</f>
        <v>X</v>
      </c>
      <c r="R3340">
        <f>WEEKNUM(datos_siembra[[#This Row],[Date]],2)-WEEKNUM(DATE(YEAR(datos_siembra[[#This Row],[Date]]),MONTH(datos_siembra[[#This Row],[Date]]),1))+1</f>
        <v>2</v>
      </c>
      <c r="S3340">
        <f>MONTH(datos_siembra[[#This Row],[Date]])</f>
        <v>10</v>
      </c>
      <c r="T3340" t="str" cm="1">
        <f t="array" ref="T3340">_xlfn.IFS(AND(N3340&lt;= 22, S3340=9), "SOWING",AND(N3340&lt;= 28, S3340=9), "COVERAGE",AND(N3340&lt;= 30, S3340=9), "FLUSH",AND(N3340&lt;= 11, S3340=10), "FLUSH",AND(N3340&lt;= 21, S3340=10), "PRODUCTION")</f>
        <v>FLUSH</v>
      </c>
      <c r="U3340">
        <f>HOUR(datos_siembra[[#This Row],[Hour]])</f>
        <v>23</v>
      </c>
      <c r="V3340" cm="1">
        <f t="array" ref="V3340">_xlfn.IFS(AND(N3340&lt;= 22, S3340=9), N3340-7,AND(N3340&lt;= 28, S3340=9), N3340-25,AND(N3340&lt;= 30, S3340=9), N3340-28,AND(N3340&lt;= 11, S3340=10), N3340+2,AND(N3340&lt;= 21, S3340=10), N3340-11)</f>
        <v>11</v>
      </c>
    </row>
    <row r="3341" spans="1:22" x14ac:dyDescent="0.35">
      <c r="A3341" s="4">
        <v>45574</v>
      </c>
      <c r="B3341" s="5">
        <v>0.99026620370370366</v>
      </c>
      <c r="C3341">
        <v>68.099999999999994</v>
      </c>
      <c r="D3341">
        <v>66.8</v>
      </c>
      <c r="E3341">
        <v>70.5</v>
      </c>
      <c r="F3341">
        <v>67.8</v>
      </c>
      <c r="G3341">
        <v>0</v>
      </c>
      <c r="H3341">
        <v>0</v>
      </c>
      <c r="I3341">
        <v>0</v>
      </c>
      <c r="J3341">
        <v>0</v>
      </c>
      <c r="K3341">
        <v>63.5</v>
      </c>
      <c r="L3341">
        <v>63.6</v>
      </c>
      <c r="M3341">
        <v>68.25</v>
      </c>
      <c r="N3341">
        <v>9</v>
      </c>
      <c r="O3341">
        <v>1</v>
      </c>
      <c r="P3341">
        <f>MOD(DAY(datos_siembra[[#This Row],[Date]]),7)</f>
        <v>2</v>
      </c>
      <c r="Q3341" t="str">
        <f>CHOOSE(WEEKDAY(datos_siembra[[#This Row],[Date]],2),"L","M","X","J","V","S","D")</f>
        <v>X</v>
      </c>
      <c r="R3341">
        <f>WEEKNUM(datos_siembra[[#This Row],[Date]],2)-WEEKNUM(DATE(YEAR(datos_siembra[[#This Row],[Date]]),MONTH(datos_siembra[[#This Row],[Date]]),1))+1</f>
        <v>2</v>
      </c>
      <c r="S3341">
        <f>MONTH(datos_siembra[[#This Row],[Date]])</f>
        <v>10</v>
      </c>
      <c r="T3341" t="str" cm="1">
        <f t="array" ref="T3341">_xlfn.IFS(AND(N3341&lt;= 22, S3341=9), "SOWING",AND(N3341&lt;= 28, S3341=9), "COVERAGE",AND(N3341&lt;= 30, S3341=9), "FLUSH",AND(N3341&lt;= 11, S3341=10), "FLUSH",AND(N3341&lt;= 21, S3341=10), "PRODUCTION")</f>
        <v>FLUSH</v>
      </c>
      <c r="U3341">
        <f>HOUR(datos_siembra[[#This Row],[Hour]])</f>
        <v>23</v>
      </c>
      <c r="V3341" cm="1">
        <f t="array" ref="V3341">_xlfn.IFS(AND(N3341&lt;= 22, S3341=9), N3341-7,AND(N3341&lt;= 28, S3341=9), N3341-25,AND(N3341&lt;= 30, S3341=9), N3341-28,AND(N3341&lt;= 11, S3341=10), N3341+2,AND(N3341&lt;= 21, S3341=10), N3341-11)</f>
        <v>11</v>
      </c>
    </row>
    <row r="3342" spans="1:22" x14ac:dyDescent="0.35">
      <c r="A3342" s="4">
        <v>45574</v>
      </c>
      <c r="B3342" s="5">
        <v>0.99722222222222223</v>
      </c>
      <c r="C3342">
        <v>68.2</v>
      </c>
      <c r="D3342">
        <v>66.8</v>
      </c>
      <c r="E3342">
        <v>70.5</v>
      </c>
      <c r="F3342">
        <v>67.8</v>
      </c>
      <c r="G3342">
        <v>0</v>
      </c>
      <c r="H3342">
        <v>0</v>
      </c>
      <c r="I3342">
        <v>0</v>
      </c>
      <c r="J3342">
        <v>0</v>
      </c>
      <c r="K3342">
        <v>63.5</v>
      </c>
      <c r="L3342">
        <v>63.5</v>
      </c>
      <c r="M3342">
        <v>68.28</v>
      </c>
      <c r="N3342">
        <v>9</v>
      </c>
      <c r="O3342">
        <v>1</v>
      </c>
      <c r="P3342">
        <f>MOD(DAY(datos_siembra[[#This Row],[Date]]),7)</f>
        <v>2</v>
      </c>
      <c r="Q3342" t="str">
        <f>CHOOSE(WEEKDAY(datos_siembra[[#This Row],[Date]],2),"L","M","X","J","V","S","D")</f>
        <v>X</v>
      </c>
      <c r="R3342">
        <f>WEEKNUM(datos_siembra[[#This Row],[Date]],2)-WEEKNUM(DATE(YEAR(datos_siembra[[#This Row],[Date]]),MONTH(datos_siembra[[#This Row],[Date]]),1))+1</f>
        <v>2</v>
      </c>
      <c r="S3342">
        <f>MONTH(datos_siembra[[#This Row],[Date]])</f>
        <v>10</v>
      </c>
      <c r="T3342" t="str" cm="1">
        <f t="array" ref="T3342">_xlfn.IFS(AND(N3342&lt;= 22, S3342=9), "SOWING",AND(N3342&lt;= 28, S3342=9), "COVERAGE",AND(N3342&lt;= 30, S3342=9), "FLUSH",AND(N3342&lt;= 11, S3342=10), "FLUSH",AND(N3342&lt;= 21, S3342=10), "PRODUCTION")</f>
        <v>FLUSH</v>
      </c>
      <c r="U3342">
        <f>HOUR(datos_siembra[[#This Row],[Hour]])</f>
        <v>23</v>
      </c>
      <c r="V3342" cm="1">
        <f t="array" ref="V3342">_xlfn.IFS(AND(N3342&lt;= 22, S3342=9), N3342-7,AND(N3342&lt;= 28, S3342=9), N3342-25,AND(N3342&lt;= 30, S3342=9), N3342-28,AND(N3342&lt;= 11, S3342=10), N3342+2,AND(N3342&lt;= 21, S3342=10), N3342-11)</f>
        <v>11</v>
      </c>
    </row>
    <row r="3343" spans="1:22" x14ac:dyDescent="0.35">
      <c r="A3343" s="4">
        <v>45575</v>
      </c>
      <c r="B3343" s="5">
        <v>4.1666666666666666E-3</v>
      </c>
      <c r="C3343">
        <v>68.2</v>
      </c>
      <c r="D3343">
        <v>66.900000000000006</v>
      </c>
      <c r="E3343">
        <v>70.5</v>
      </c>
      <c r="F3343">
        <v>67.8</v>
      </c>
      <c r="G3343">
        <v>0</v>
      </c>
      <c r="H3343">
        <v>0</v>
      </c>
      <c r="I3343">
        <v>0</v>
      </c>
      <c r="J3343">
        <v>0</v>
      </c>
      <c r="K3343">
        <v>63.5</v>
      </c>
      <c r="L3343">
        <v>63.5</v>
      </c>
      <c r="M3343">
        <v>68.37</v>
      </c>
      <c r="N3343">
        <v>10</v>
      </c>
      <c r="O3343">
        <v>2</v>
      </c>
      <c r="P3343">
        <f>MOD(DAY(datos_siembra[[#This Row],[Date]]),7)</f>
        <v>3</v>
      </c>
      <c r="Q3343" t="str">
        <f>CHOOSE(WEEKDAY(datos_siembra[[#This Row],[Date]],2),"L","M","X","J","V","S","D")</f>
        <v>J</v>
      </c>
      <c r="R3343">
        <f>WEEKNUM(datos_siembra[[#This Row],[Date]],2)-WEEKNUM(DATE(YEAR(datos_siembra[[#This Row],[Date]]),MONTH(datos_siembra[[#This Row],[Date]]),1))+1</f>
        <v>2</v>
      </c>
      <c r="S3343">
        <f>MONTH(datos_siembra[[#This Row],[Date]])</f>
        <v>10</v>
      </c>
      <c r="T3343" t="str" cm="1">
        <f t="array" ref="T3343">_xlfn.IFS(AND(N3343&lt;= 22, S3343=9), "SOWING",AND(N3343&lt;= 28, S3343=9), "COVERAGE",AND(N3343&lt;= 30, S3343=9), "FLUSH",AND(N3343&lt;= 11, S3343=10), "FLUSH",AND(N3343&lt;= 21, S3343=10), "PRODUCTION")</f>
        <v>FLUSH</v>
      </c>
      <c r="U3343">
        <f>HOUR(datos_siembra[[#This Row],[Hour]])</f>
        <v>0</v>
      </c>
      <c r="V3343" cm="1">
        <f t="array" ref="V3343">_xlfn.IFS(AND(N3343&lt;= 22, S3343=9), N3343-7,AND(N3343&lt;= 28, S3343=9), N3343-25,AND(N3343&lt;= 30, S3343=9), N3343-28,AND(N3343&lt;= 11, S3343=10), N3343+2,AND(N3343&lt;= 21, S3343=10), N3343-11)</f>
        <v>12</v>
      </c>
    </row>
    <row r="3344" spans="1:22" x14ac:dyDescent="0.35">
      <c r="A3344" s="4">
        <v>45575</v>
      </c>
      <c r="B3344" s="5">
        <v>1.1111111111111112E-2</v>
      </c>
      <c r="C3344">
        <v>68.2</v>
      </c>
      <c r="D3344">
        <v>66.900000000000006</v>
      </c>
      <c r="E3344">
        <v>70.400000000000006</v>
      </c>
      <c r="F3344">
        <v>67.8</v>
      </c>
      <c r="G3344">
        <v>0</v>
      </c>
      <c r="H3344">
        <v>0</v>
      </c>
      <c r="I3344">
        <v>0</v>
      </c>
      <c r="J3344">
        <v>0</v>
      </c>
      <c r="K3344">
        <v>63.5</v>
      </c>
      <c r="L3344">
        <v>63.4</v>
      </c>
      <c r="M3344">
        <v>68.34</v>
      </c>
      <c r="N3344">
        <v>10</v>
      </c>
      <c r="O3344">
        <v>2</v>
      </c>
      <c r="P3344">
        <f>MOD(DAY(datos_siembra[[#This Row],[Date]]),7)</f>
        <v>3</v>
      </c>
      <c r="Q3344" t="str">
        <f>CHOOSE(WEEKDAY(datos_siembra[[#This Row],[Date]],2),"L","M","X","J","V","S","D")</f>
        <v>J</v>
      </c>
      <c r="R3344">
        <f>WEEKNUM(datos_siembra[[#This Row],[Date]],2)-WEEKNUM(DATE(YEAR(datos_siembra[[#This Row],[Date]]),MONTH(datos_siembra[[#This Row],[Date]]),1))+1</f>
        <v>2</v>
      </c>
      <c r="S3344">
        <f>MONTH(datos_siembra[[#This Row],[Date]])</f>
        <v>10</v>
      </c>
      <c r="T3344" t="str" cm="1">
        <f t="array" ref="T3344">_xlfn.IFS(AND(N3344&lt;= 22, S3344=9), "SOWING",AND(N3344&lt;= 28, S3344=9), "COVERAGE",AND(N3344&lt;= 30, S3344=9), "FLUSH",AND(N3344&lt;= 11, S3344=10), "FLUSH",AND(N3344&lt;= 21, S3344=10), "PRODUCTION")</f>
        <v>FLUSH</v>
      </c>
      <c r="U3344">
        <f>HOUR(datos_siembra[[#This Row],[Hour]])</f>
        <v>0</v>
      </c>
      <c r="V3344" cm="1">
        <f t="array" ref="V3344">_xlfn.IFS(AND(N3344&lt;= 22, S3344=9), N3344-7,AND(N3344&lt;= 28, S3344=9), N3344-25,AND(N3344&lt;= 30, S3344=9), N3344-28,AND(N3344&lt;= 11, S3344=10), N3344+2,AND(N3344&lt;= 21, S3344=10), N3344-11)</f>
        <v>12</v>
      </c>
    </row>
    <row r="3345" spans="1:22" x14ac:dyDescent="0.35">
      <c r="A3345" s="4">
        <v>45575</v>
      </c>
      <c r="B3345" s="5">
        <v>1.8067129629629631E-2</v>
      </c>
      <c r="C3345">
        <v>68.3</v>
      </c>
      <c r="D3345">
        <v>66.8</v>
      </c>
      <c r="E3345">
        <v>70.5</v>
      </c>
      <c r="F3345">
        <v>67.8</v>
      </c>
      <c r="G3345">
        <v>0</v>
      </c>
      <c r="H3345">
        <v>0</v>
      </c>
      <c r="I3345">
        <v>0</v>
      </c>
      <c r="J3345">
        <v>0</v>
      </c>
      <c r="K3345">
        <v>63.5</v>
      </c>
      <c r="L3345">
        <v>63.5</v>
      </c>
      <c r="M3345">
        <v>68.42</v>
      </c>
      <c r="N3345">
        <v>10</v>
      </c>
      <c r="O3345">
        <v>2</v>
      </c>
      <c r="P3345">
        <f>MOD(DAY(datos_siembra[[#This Row],[Date]]),7)</f>
        <v>3</v>
      </c>
      <c r="Q3345" t="str">
        <f>CHOOSE(WEEKDAY(datos_siembra[[#This Row],[Date]],2),"L","M","X","J","V","S","D")</f>
        <v>J</v>
      </c>
      <c r="R3345">
        <f>WEEKNUM(datos_siembra[[#This Row],[Date]],2)-WEEKNUM(DATE(YEAR(datos_siembra[[#This Row],[Date]]),MONTH(datos_siembra[[#This Row],[Date]]),1))+1</f>
        <v>2</v>
      </c>
      <c r="S3345">
        <f>MONTH(datos_siembra[[#This Row],[Date]])</f>
        <v>10</v>
      </c>
      <c r="T3345" t="str" cm="1">
        <f t="array" ref="T3345">_xlfn.IFS(AND(N3345&lt;= 22, S3345=9), "SOWING",AND(N3345&lt;= 28, S3345=9), "COVERAGE",AND(N3345&lt;= 30, S3345=9), "FLUSH",AND(N3345&lt;= 11, S3345=10), "FLUSH",AND(N3345&lt;= 21, S3345=10), "PRODUCTION")</f>
        <v>FLUSH</v>
      </c>
      <c r="U3345">
        <f>HOUR(datos_siembra[[#This Row],[Hour]])</f>
        <v>0</v>
      </c>
      <c r="V3345" cm="1">
        <f t="array" ref="V3345">_xlfn.IFS(AND(N3345&lt;= 22, S3345=9), N3345-7,AND(N3345&lt;= 28, S3345=9), N3345-25,AND(N3345&lt;= 30, S3345=9), N3345-28,AND(N3345&lt;= 11, S3345=10), N3345+2,AND(N3345&lt;= 21, S3345=10), N3345-11)</f>
        <v>12</v>
      </c>
    </row>
    <row r="3346" spans="1:22" x14ac:dyDescent="0.35">
      <c r="A3346" s="4">
        <v>45575</v>
      </c>
      <c r="B3346" s="5">
        <v>2.5011574074074075E-2</v>
      </c>
      <c r="C3346">
        <v>68.2</v>
      </c>
      <c r="D3346">
        <v>66.599999999999994</v>
      </c>
      <c r="E3346">
        <v>70.400000000000006</v>
      </c>
      <c r="F3346">
        <v>67.900000000000006</v>
      </c>
      <c r="G3346">
        <v>0</v>
      </c>
      <c r="H3346">
        <v>0</v>
      </c>
      <c r="I3346">
        <v>0</v>
      </c>
      <c r="J3346">
        <v>0</v>
      </c>
      <c r="K3346">
        <v>63.4</v>
      </c>
      <c r="L3346">
        <v>63.4</v>
      </c>
      <c r="M3346">
        <v>68.28</v>
      </c>
      <c r="N3346">
        <v>10</v>
      </c>
      <c r="O3346">
        <v>2</v>
      </c>
      <c r="P3346">
        <f>MOD(DAY(datos_siembra[[#This Row],[Date]]),7)</f>
        <v>3</v>
      </c>
      <c r="Q3346" t="str">
        <f>CHOOSE(WEEKDAY(datos_siembra[[#This Row],[Date]],2),"L","M","X","J","V","S","D")</f>
        <v>J</v>
      </c>
      <c r="R3346">
        <f>WEEKNUM(datos_siembra[[#This Row],[Date]],2)-WEEKNUM(DATE(YEAR(datos_siembra[[#This Row],[Date]]),MONTH(datos_siembra[[#This Row],[Date]]),1))+1</f>
        <v>2</v>
      </c>
      <c r="S3346">
        <f>MONTH(datos_siembra[[#This Row],[Date]])</f>
        <v>10</v>
      </c>
      <c r="T3346" t="str" cm="1">
        <f t="array" ref="T3346">_xlfn.IFS(AND(N3346&lt;= 22, S3346=9), "SOWING",AND(N3346&lt;= 28, S3346=9), "COVERAGE",AND(N3346&lt;= 30, S3346=9), "FLUSH",AND(N3346&lt;= 11, S3346=10), "FLUSH",AND(N3346&lt;= 21, S3346=10), "PRODUCTION")</f>
        <v>FLUSH</v>
      </c>
      <c r="U3346">
        <f>HOUR(datos_siembra[[#This Row],[Hour]])</f>
        <v>0</v>
      </c>
      <c r="V3346" cm="1">
        <f t="array" ref="V3346">_xlfn.IFS(AND(N3346&lt;= 22, S3346=9), N3346-7,AND(N3346&lt;= 28, S3346=9), N3346-25,AND(N3346&lt;= 30, S3346=9), N3346-28,AND(N3346&lt;= 11, S3346=10), N3346+2,AND(N3346&lt;= 21, S3346=10), N3346-11)</f>
        <v>12</v>
      </c>
    </row>
    <row r="3347" spans="1:22" x14ac:dyDescent="0.35">
      <c r="A3347" s="4">
        <v>45575</v>
      </c>
      <c r="B3347" s="5">
        <v>3.1956018518518516E-2</v>
      </c>
      <c r="C3347">
        <v>68.2</v>
      </c>
      <c r="D3347">
        <v>66.8</v>
      </c>
      <c r="E3347">
        <v>70.5</v>
      </c>
      <c r="F3347">
        <v>67.8</v>
      </c>
      <c r="G3347">
        <v>0</v>
      </c>
      <c r="H3347">
        <v>0</v>
      </c>
      <c r="I3347">
        <v>0</v>
      </c>
      <c r="J3347">
        <v>0</v>
      </c>
      <c r="K3347">
        <v>63.4</v>
      </c>
      <c r="L3347">
        <v>63.4</v>
      </c>
      <c r="M3347">
        <v>68.37</v>
      </c>
      <c r="N3347">
        <v>10</v>
      </c>
      <c r="O3347">
        <v>2</v>
      </c>
      <c r="P3347">
        <f>MOD(DAY(datos_siembra[[#This Row],[Date]]),7)</f>
        <v>3</v>
      </c>
      <c r="Q3347" t="str">
        <f>CHOOSE(WEEKDAY(datos_siembra[[#This Row],[Date]],2),"L","M","X","J","V","S","D")</f>
        <v>J</v>
      </c>
      <c r="R3347">
        <f>WEEKNUM(datos_siembra[[#This Row],[Date]],2)-WEEKNUM(DATE(YEAR(datos_siembra[[#This Row],[Date]]),MONTH(datos_siembra[[#This Row],[Date]]),1))+1</f>
        <v>2</v>
      </c>
      <c r="S3347">
        <f>MONTH(datos_siembra[[#This Row],[Date]])</f>
        <v>10</v>
      </c>
      <c r="T3347" t="str" cm="1">
        <f t="array" ref="T3347">_xlfn.IFS(AND(N3347&lt;= 22, S3347=9), "SOWING",AND(N3347&lt;= 28, S3347=9), "COVERAGE",AND(N3347&lt;= 30, S3347=9), "FLUSH",AND(N3347&lt;= 11, S3347=10), "FLUSH",AND(N3347&lt;= 21, S3347=10), "PRODUCTION")</f>
        <v>FLUSH</v>
      </c>
      <c r="U3347">
        <f>HOUR(datos_siembra[[#This Row],[Hour]])</f>
        <v>0</v>
      </c>
      <c r="V3347" cm="1">
        <f t="array" ref="V3347">_xlfn.IFS(AND(N3347&lt;= 22, S3347=9), N3347-7,AND(N3347&lt;= 28, S3347=9), N3347-25,AND(N3347&lt;= 30, S3347=9), N3347-28,AND(N3347&lt;= 11, S3347=10), N3347+2,AND(N3347&lt;= 21, S3347=10), N3347-11)</f>
        <v>12</v>
      </c>
    </row>
    <row r="3348" spans="1:22" x14ac:dyDescent="0.35">
      <c r="A3348" s="4">
        <v>45575</v>
      </c>
      <c r="B3348" s="5">
        <v>3.8900462962962963E-2</v>
      </c>
      <c r="C3348">
        <v>68.3</v>
      </c>
      <c r="D3348">
        <v>66.900000000000006</v>
      </c>
      <c r="E3348">
        <v>70.599999999999994</v>
      </c>
      <c r="F3348">
        <v>67.8</v>
      </c>
      <c r="G3348">
        <v>0</v>
      </c>
      <c r="H3348">
        <v>0</v>
      </c>
      <c r="I3348">
        <v>0</v>
      </c>
      <c r="J3348">
        <v>0</v>
      </c>
      <c r="K3348">
        <v>63.4</v>
      </c>
      <c r="L3348">
        <v>63.4</v>
      </c>
      <c r="M3348">
        <v>68.37</v>
      </c>
      <c r="N3348">
        <v>10</v>
      </c>
      <c r="O3348">
        <v>2</v>
      </c>
      <c r="P3348">
        <f>MOD(DAY(datos_siembra[[#This Row],[Date]]),7)</f>
        <v>3</v>
      </c>
      <c r="Q3348" t="str">
        <f>CHOOSE(WEEKDAY(datos_siembra[[#This Row],[Date]],2),"L","M","X","J","V","S","D")</f>
        <v>J</v>
      </c>
      <c r="R3348">
        <f>WEEKNUM(datos_siembra[[#This Row],[Date]],2)-WEEKNUM(DATE(YEAR(datos_siembra[[#This Row],[Date]]),MONTH(datos_siembra[[#This Row],[Date]]),1))+1</f>
        <v>2</v>
      </c>
      <c r="S3348">
        <f>MONTH(datos_siembra[[#This Row],[Date]])</f>
        <v>10</v>
      </c>
      <c r="T3348" t="str" cm="1">
        <f t="array" ref="T3348">_xlfn.IFS(AND(N3348&lt;= 22, S3348=9), "SOWING",AND(N3348&lt;= 28, S3348=9), "COVERAGE",AND(N3348&lt;= 30, S3348=9), "FLUSH",AND(N3348&lt;= 11, S3348=10), "FLUSH",AND(N3348&lt;= 21, S3348=10), "PRODUCTION")</f>
        <v>FLUSH</v>
      </c>
      <c r="U3348">
        <f>HOUR(datos_siembra[[#This Row],[Hour]])</f>
        <v>0</v>
      </c>
      <c r="V3348" cm="1">
        <f t="array" ref="V3348">_xlfn.IFS(AND(N3348&lt;= 22, S3348=9), N3348-7,AND(N3348&lt;= 28, S3348=9), N3348-25,AND(N3348&lt;= 30, S3348=9), N3348-28,AND(N3348&lt;= 11, S3348=10), N3348+2,AND(N3348&lt;= 21, S3348=10), N3348-11)</f>
        <v>12</v>
      </c>
    </row>
    <row r="3349" spans="1:22" x14ac:dyDescent="0.35">
      <c r="A3349" s="4">
        <v>45575</v>
      </c>
      <c r="B3349" s="5">
        <v>4.5856481481481484E-2</v>
      </c>
      <c r="C3349">
        <v>68.3</v>
      </c>
      <c r="D3349">
        <v>66.900000000000006</v>
      </c>
      <c r="E3349">
        <v>70.5</v>
      </c>
      <c r="F3349">
        <v>67.900000000000006</v>
      </c>
      <c r="G3349">
        <v>0</v>
      </c>
      <c r="H3349">
        <v>0</v>
      </c>
      <c r="I3349">
        <v>0</v>
      </c>
      <c r="J3349">
        <v>0</v>
      </c>
      <c r="K3349">
        <v>63.3</v>
      </c>
      <c r="L3349">
        <v>63.3</v>
      </c>
      <c r="M3349">
        <v>68.45</v>
      </c>
      <c r="N3349">
        <v>10</v>
      </c>
      <c r="O3349">
        <v>2</v>
      </c>
      <c r="P3349">
        <f>MOD(DAY(datos_siembra[[#This Row],[Date]]),7)</f>
        <v>3</v>
      </c>
      <c r="Q3349" t="str">
        <f>CHOOSE(WEEKDAY(datos_siembra[[#This Row],[Date]],2),"L","M","X","J","V","S","D")</f>
        <v>J</v>
      </c>
      <c r="R3349">
        <f>WEEKNUM(datos_siembra[[#This Row],[Date]],2)-WEEKNUM(DATE(YEAR(datos_siembra[[#This Row],[Date]]),MONTH(datos_siembra[[#This Row],[Date]]),1))+1</f>
        <v>2</v>
      </c>
      <c r="S3349">
        <f>MONTH(datos_siembra[[#This Row],[Date]])</f>
        <v>10</v>
      </c>
      <c r="T3349" t="str" cm="1">
        <f t="array" ref="T3349">_xlfn.IFS(AND(N3349&lt;= 22, S3349=9), "SOWING",AND(N3349&lt;= 28, S3349=9), "COVERAGE",AND(N3349&lt;= 30, S3349=9), "FLUSH",AND(N3349&lt;= 11, S3349=10), "FLUSH",AND(N3349&lt;= 21, S3349=10), "PRODUCTION")</f>
        <v>FLUSH</v>
      </c>
      <c r="U3349">
        <f>HOUR(datos_siembra[[#This Row],[Hour]])</f>
        <v>1</v>
      </c>
      <c r="V3349" cm="1">
        <f t="array" ref="V3349">_xlfn.IFS(AND(N3349&lt;= 22, S3349=9), N3349-7,AND(N3349&lt;= 28, S3349=9), N3349-25,AND(N3349&lt;= 30, S3349=9), N3349-28,AND(N3349&lt;= 11, S3349=10), N3349+2,AND(N3349&lt;= 21, S3349=10), N3349-11)</f>
        <v>12</v>
      </c>
    </row>
    <row r="3350" spans="1:22" x14ac:dyDescent="0.35">
      <c r="A3350" s="4">
        <v>45575</v>
      </c>
      <c r="B3350" s="5">
        <v>5.2800925925925925E-2</v>
      </c>
      <c r="C3350">
        <v>68.3</v>
      </c>
      <c r="D3350">
        <v>66.900000000000006</v>
      </c>
      <c r="E3350">
        <v>70.400000000000006</v>
      </c>
      <c r="F3350">
        <v>67.900000000000006</v>
      </c>
      <c r="G3350">
        <v>0</v>
      </c>
      <c r="H3350">
        <v>0</v>
      </c>
      <c r="I3350">
        <v>0</v>
      </c>
      <c r="J3350">
        <v>0</v>
      </c>
      <c r="K3350">
        <v>63.4</v>
      </c>
      <c r="L3350">
        <v>63.4</v>
      </c>
      <c r="M3350">
        <v>68.45</v>
      </c>
      <c r="N3350">
        <v>10</v>
      </c>
      <c r="O3350">
        <v>2</v>
      </c>
      <c r="P3350">
        <f>MOD(DAY(datos_siembra[[#This Row],[Date]]),7)</f>
        <v>3</v>
      </c>
      <c r="Q3350" t="str">
        <f>CHOOSE(WEEKDAY(datos_siembra[[#This Row],[Date]],2),"L","M","X","J","V","S","D")</f>
        <v>J</v>
      </c>
      <c r="R3350">
        <f>WEEKNUM(datos_siembra[[#This Row],[Date]],2)-WEEKNUM(DATE(YEAR(datos_siembra[[#This Row],[Date]]),MONTH(datos_siembra[[#This Row],[Date]]),1))+1</f>
        <v>2</v>
      </c>
      <c r="S3350">
        <f>MONTH(datos_siembra[[#This Row],[Date]])</f>
        <v>10</v>
      </c>
      <c r="T3350" t="str" cm="1">
        <f t="array" ref="T3350">_xlfn.IFS(AND(N3350&lt;= 22, S3350=9), "SOWING",AND(N3350&lt;= 28, S3350=9), "COVERAGE",AND(N3350&lt;= 30, S3350=9), "FLUSH",AND(N3350&lt;= 11, S3350=10), "FLUSH",AND(N3350&lt;= 21, S3350=10), "PRODUCTION")</f>
        <v>FLUSH</v>
      </c>
      <c r="U3350">
        <f>HOUR(datos_siembra[[#This Row],[Hour]])</f>
        <v>1</v>
      </c>
      <c r="V3350" cm="1">
        <f t="array" ref="V3350">_xlfn.IFS(AND(N3350&lt;= 22, S3350=9), N3350-7,AND(N3350&lt;= 28, S3350=9), N3350-25,AND(N3350&lt;= 30, S3350=9), N3350-28,AND(N3350&lt;= 11, S3350=10), N3350+2,AND(N3350&lt;= 21, S3350=10), N3350-11)</f>
        <v>12</v>
      </c>
    </row>
    <row r="3351" spans="1:22" x14ac:dyDescent="0.35">
      <c r="A3351" s="4">
        <v>45575</v>
      </c>
      <c r="B3351" s="5">
        <v>5.9745370370370372E-2</v>
      </c>
      <c r="C3351">
        <v>68.3</v>
      </c>
      <c r="D3351">
        <v>66.900000000000006</v>
      </c>
      <c r="E3351">
        <v>70.5</v>
      </c>
      <c r="F3351">
        <v>67.900000000000006</v>
      </c>
      <c r="G3351">
        <v>0</v>
      </c>
      <c r="H3351">
        <v>0</v>
      </c>
      <c r="I3351">
        <v>0</v>
      </c>
      <c r="J3351">
        <v>0</v>
      </c>
      <c r="K3351">
        <v>63.3</v>
      </c>
      <c r="L3351">
        <v>63.2</v>
      </c>
      <c r="M3351">
        <v>68.53</v>
      </c>
      <c r="N3351">
        <v>10</v>
      </c>
      <c r="O3351">
        <v>2</v>
      </c>
      <c r="P3351">
        <f>MOD(DAY(datos_siembra[[#This Row],[Date]]),7)</f>
        <v>3</v>
      </c>
      <c r="Q3351" t="str">
        <f>CHOOSE(WEEKDAY(datos_siembra[[#This Row],[Date]],2),"L","M","X","J","V","S","D")</f>
        <v>J</v>
      </c>
      <c r="R3351">
        <f>WEEKNUM(datos_siembra[[#This Row],[Date]],2)-WEEKNUM(DATE(YEAR(datos_siembra[[#This Row],[Date]]),MONTH(datos_siembra[[#This Row],[Date]]),1))+1</f>
        <v>2</v>
      </c>
      <c r="S3351">
        <f>MONTH(datos_siembra[[#This Row],[Date]])</f>
        <v>10</v>
      </c>
      <c r="T3351" t="str" cm="1">
        <f t="array" ref="T3351">_xlfn.IFS(AND(N3351&lt;= 22, S3351=9), "SOWING",AND(N3351&lt;= 28, S3351=9), "COVERAGE",AND(N3351&lt;= 30, S3351=9), "FLUSH",AND(N3351&lt;= 11, S3351=10), "FLUSH",AND(N3351&lt;= 21, S3351=10), "PRODUCTION")</f>
        <v>FLUSH</v>
      </c>
      <c r="U3351">
        <f>HOUR(datos_siembra[[#This Row],[Hour]])</f>
        <v>1</v>
      </c>
      <c r="V3351" cm="1">
        <f t="array" ref="V3351">_xlfn.IFS(AND(N3351&lt;= 22, S3351=9), N3351-7,AND(N3351&lt;= 28, S3351=9), N3351-25,AND(N3351&lt;= 30, S3351=9), N3351-28,AND(N3351&lt;= 11, S3351=10), N3351+2,AND(N3351&lt;= 21, S3351=10), N3351-11)</f>
        <v>12</v>
      </c>
    </row>
    <row r="3352" spans="1:22" x14ac:dyDescent="0.35">
      <c r="A3352" s="4">
        <v>45575</v>
      </c>
      <c r="B3352" s="5">
        <v>6.6701388888888893E-2</v>
      </c>
      <c r="C3352">
        <v>68.3</v>
      </c>
      <c r="D3352">
        <v>67</v>
      </c>
      <c r="E3352">
        <v>70.599999999999994</v>
      </c>
      <c r="F3352">
        <v>68</v>
      </c>
      <c r="G3352">
        <v>0</v>
      </c>
      <c r="H3352">
        <v>0</v>
      </c>
      <c r="I3352">
        <v>0</v>
      </c>
      <c r="J3352">
        <v>0</v>
      </c>
      <c r="K3352">
        <v>63.2</v>
      </c>
      <c r="L3352">
        <v>63.2</v>
      </c>
      <c r="M3352">
        <v>68.48</v>
      </c>
      <c r="N3352">
        <v>10</v>
      </c>
      <c r="O3352">
        <v>2</v>
      </c>
      <c r="P3352">
        <f>MOD(DAY(datos_siembra[[#This Row],[Date]]),7)</f>
        <v>3</v>
      </c>
      <c r="Q3352" t="str">
        <f>CHOOSE(WEEKDAY(datos_siembra[[#This Row],[Date]],2),"L","M","X","J","V","S","D")</f>
        <v>J</v>
      </c>
      <c r="R3352">
        <f>WEEKNUM(datos_siembra[[#This Row],[Date]],2)-WEEKNUM(DATE(YEAR(datos_siembra[[#This Row],[Date]]),MONTH(datos_siembra[[#This Row],[Date]]),1))+1</f>
        <v>2</v>
      </c>
      <c r="S3352">
        <f>MONTH(datos_siembra[[#This Row],[Date]])</f>
        <v>10</v>
      </c>
      <c r="T3352" t="str" cm="1">
        <f t="array" ref="T3352">_xlfn.IFS(AND(N3352&lt;= 22, S3352=9), "SOWING",AND(N3352&lt;= 28, S3352=9), "COVERAGE",AND(N3352&lt;= 30, S3352=9), "FLUSH",AND(N3352&lt;= 11, S3352=10), "FLUSH",AND(N3352&lt;= 21, S3352=10), "PRODUCTION")</f>
        <v>FLUSH</v>
      </c>
      <c r="U3352">
        <f>HOUR(datos_siembra[[#This Row],[Hour]])</f>
        <v>1</v>
      </c>
      <c r="V3352" cm="1">
        <f t="array" ref="V3352">_xlfn.IFS(AND(N3352&lt;= 22, S3352=9), N3352-7,AND(N3352&lt;= 28, S3352=9), N3352-25,AND(N3352&lt;= 30, S3352=9), N3352-28,AND(N3352&lt;= 11, S3352=10), N3352+2,AND(N3352&lt;= 21, S3352=10), N3352-11)</f>
        <v>12</v>
      </c>
    </row>
    <row r="3353" spans="1:22" x14ac:dyDescent="0.35">
      <c r="A3353" s="4">
        <v>45575</v>
      </c>
      <c r="B3353" s="5">
        <v>7.3645833333333327E-2</v>
      </c>
      <c r="C3353">
        <v>68.5</v>
      </c>
      <c r="D3353">
        <v>67</v>
      </c>
      <c r="E3353">
        <v>70.599999999999994</v>
      </c>
      <c r="F3353">
        <v>67.900000000000006</v>
      </c>
      <c r="G3353">
        <v>0</v>
      </c>
      <c r="H3353">
        <v>0</v>
      </c>
      <c r="I3353">
        <v>0</v>
      </c>
      <c r="J3353">
        <v>0</v>
      </c>
      <c r="K3353">
        <v>63.3</v>
      </c>
      <c r="L3353">
        <v>63.2</v>
      </c>
      <c r="M3353">
        <v>68.42</v>
      </c>
      <c r="N3353">
        <v>10</v>
      </c>
      <c r="O3353">
        <v>2</v>
      </c>
      <c r="P3353">
        <f>MOD(DAY(datos_siembra[[#This Row],[Date]]),7)</f>
        <v>3</v>
      </c>
      <c r="Q3353" t="str">
        <f>CHOOSE(WEEKDAY(datos_siembra[[#This Row],[Date]],2),"L","M","X","J","V","S","D")</f>
        <v>J</v>
      </c>
      <c r="R3353">
        <f>WEEKNUM(datos_siembra[[#This Row],[Date]],2)-WEEKNUM(DATE(YEAR(datos_siembra[[#This Row],[Date]]),MONTH(datos_siembra[[#This Row],[Date]]),1))+1</f>
        <v>2</v>
      </c>
      <c r="S3353">
        <f>MONTH(datos_siembra[[#This Row],[Date]])</f>
        <v>10</v>
      </c>
      <c r="T3353" t="str" cm="1">
        <f t="array" ref="T3353">_xlfn.IFS(AND(N3353&lt;= 22, S3353=9), "SOWING",AND(N3353&lt;= 28, S3353=9), "COVERAGE",AND(N3353&lt;= 30, S3353=9), "FLUSH",AND(N3353&lt;= 11, S3353=10), "FLUSH",AND(N3353&lt;= 21, S3353=10), "PRODUCTION")</f>
        <v>FLUSH</v>
      </c>
      <c r="U3353">
        <f>HOUR(datos_siembra[[#This Row],[Hour]])</f>
        <v>1</v>
      </c>
      <c r="V3353" cm="1">
        <f t="array" ref="V3353">_xlfn.IFS(AND(N3353&lt;= 22, S3353=9), N3353-7,AND(N3353&lt;= 28, S3353=9), N3353-25,AND(N3353&lt;= 30, S3353=9), N3353-28,AND(N3353&lt;= 11, S3353=10), N3353+2,AND(N3353&lt;= 21, S3353=10), N3353-11)</f>
        <v>12</v>
      </c>
    </row>
    <row r="3354" spans="1:22" x14ac:dyDescent="0.35">
      <c r="A3354" s="4">
        <v>45575</v>
      </c>
      <c r="B3354" s="5">
        <v>8.0590277777777775E-2</v>
      </c>
      <c r="C3354">
        <v>68.3</v>
      </c>
      <c r="D3354">
        <v>67</v>
      </c>
      <c r="E3354">
        <v>70.7</v>
      </c>
      <c r="F3354">
        <v>67.900000000000006</v>
      </c>
      <c r="G3354">
        <v>0</v>
      </c>
      <c r="H3354">
        <v>0</v>
      </c>
      <c r="I3354">
        <v>0</v>
      </c>
      <c r="J3354">
        <v>0</v>
      </c>
      <c r="K3354">
        <v>63.2</v>
      </c>
      <c r="L3354">
        <v>63</v>
      </c>
      <c r="M3354">
        <v>68.48</v>
      </c>
      <c r="N3354">
        <v>10</v>
      </c>
      <c r="O3354">
        <v>2</v>
      </c>
      <c r="P3354">
        <f>MOD(DAY(datos_siembra[[#This Row],[Date]]),7)</f>
        <v>3</v>
      </c>
      <c r="Q3354" t="str">
        <f>CHOOSE(WEEKDAY(datos_siembra[[#This Row],[Date]],2),"L","M","X","J","V","S","D")</f>
        <v>J</v>
      </c>
      <c r="R3354">
        <f>WEEKNUM(datos_siembra[[#This Row],[Date]],2)-WEEKNUM(DATE(YEAR(datos_siembra[[#This Row],[Date]]),MONTH(datos_siembra[[#This Row],[Date]]),1))+1</f>
        <v>2</v>
      </c>
      <c r="S3354">
        <f>MONTH(datos_siembra[[#This Row],[Date]])</f>
        <v>10</v>
      </c>
      <c r="T3354" t="str" cm="1">
        <f t="array" ref="T3354">_xlfn.IFS(AND(N3354&lt;= 22, S3354=9), "SOWING",AND(N3354&lt;= 28, S3354=9), "COVERAGE",AND(N3354&lt;= 30, S3354=9), "FLUSH",AND(N3354&lt;= 11, S3354=10), "FLUSH",AND(N3354&lt;= 21, S3354=10), "PRODUCTION")</f>
        <v>FLUSH</v>
      </c>
      <c r="U3354">
        <f>HOUR(datos_siembra[[#This Row],[Hour]])</f>
        <v>1</v>
      </c>
      <c r="V3354" cm="1">
        <f t="array" ref="V3354">_xlfn.IFS(AND(N3354&lt;= 22, S3354=9), N3354-7,AND(N3354&lt;= 28, S3354=9), N3354-25,AND(N3354&lt;= 30, S3354=9), N3354-28,AND(N3354&lt;= 11, S3354=10), N3354+2,AND(N3354&lt;= 21, S3354=10), N3354-11)</f>
        <v>12</v>
      </c>
    </row>
    <row r="3355" spans="1:22" x14ac:dyDescent="0.35">
      <c r="A3355" s="4">
        <v>45575</v>
      </c>
      <c r="B3355" s="5">
        <v>8.7534722222222222E-2</v>
      </c>
      <c r="C3355">
        <v>68.3</v>
      </c>
      <c r="D3355">
        <v>66.900000000000006</v>
      </c>
      <c r="E3355">
        <v>70.599999999999994</v>
      </c>
      <c r="F3355">
        <v>68</v>
      </c>
      <c r="G3355">
        <v>0</v>
      </c>
      <c r="H3355">
        <v>0</v>
      </c>
      <c r="I3355">
        <v>0</v>
      </c>
      <c r="J3355">
        <v>0</v>
      </c>
      <c r="K3355">
        <v>63.2</v>
      </c>
      <c r="L3355">
        <v>63</v>
      </c>
      <c r="M3355">
        <v>68.510000000000005</v>
      </c>
      <c r="N3355">
        <v>10</v>
      </c>
      <c r="O3355">
        <v>2</v>
      </c>
      <c r="P3355">
        <f>MOD(DAY(datos_siembra[[#This Row],[Date]]),7)</f>
        <v>3</v>
      </c>
      <c r="Q3355" t="str">
        <f>CHOOSE(WEEKDAY(datos_siembra[[#This Row],[Date]],2),"L","M","X","J","V","S","D")</f>
        <v>J</v>
      </c>
      <c r="R3355">
        <f>WEEKNUM(datos_siembra[[#This Row],[Date]],2)-WEEKNUM(DATE(YEAR(datos_siembra[[#This Row],[Date]]),MONTH(datos_siembra[[#This Row],[Date]]),1))+1</f>
        <v>2</v>
      </c>
      <c r="S3355">
        <f>MONTH(datos_siembra[[#This Row],[Date]])</f>
        <v>10</v>
      </c>
      <c r="T3355" t="str" cm="1">
        <f t="array" ref="T3355">_xlfn.IFS(AND(N3355&lt;= 22, S3355=9), "SOWING",AND(N3355&lt;= 28, S3355=9), "COVERAGE",AND(N3355&lt;= 30, S3355=9), "FLUSH",AND(N3355&lt;= 11, S3355=10), "FLUSH",AND(N3355&lt;= 21, S3355=10), "PRODUCTION")</f>
        <v>FLUSH</v>
      </c>
      <c r="U3355">
        <f>HOUR(datos_siembra[[#This Row],[Hour]])</f>
        <v>2</v>
      </c>
      <c r="V3355" cm="1">
        <f t="array" ref="V3355">_xlfn.IFS(AND(N3355&lt;= 22, S3355=9), N3355-7,AND(N3355&lt;= 28, S3355=9), N3355-25,AND(N3355&lt;= 30, S3355=9), N3355-28,AND(N3355&lt;= 11, S3355=10), N3355+2,AND(N3355&lt;= 21, S3355=10), N3355-11)</f>
        <v>12</v>
      </c>
    </row>
    <row r="3356" spans="1:22" x14ac:dyDescent="0.35">
      <c r="A3356" s="4">
        <v>45575</v>
      </c>
      <c r="B3356" s="5">
        <v>9.4490740740740736E-2</v>
      </c>
      <c r="C3356">
        <v>68.5</v>
      </c>
      <c r="D3356">
        <v>67</v>
      </c>
      <c r="E3356">
        <v>70.599999999999994</v>
      </c>
      <c r="F3356">
        <v>68</v>
      </c>
      <c r="G3356">
        <v>0</v>
      </c>
      <c r="H3356">
        <v>0</v>
      </c>
      <c r="I3356">
        <v>0</v>
      </c>
      <c r="J3356">
        <v>0</v>
      </c>
      <c r="K3356">
        <v>63</v>
      </c>
      <c r="L3356">
        <v>62.9</v>
      </c>
      <c r="M3356">
        <v>68.48</v>
      </c>
      <c r="N3356">
        <v>10</v>
      </c>
      <c r="O3356">
        <v>2</v>
      </c>
      <c r="P3356">
        <f>MOD(DAY(datos_siembra[[#This Row],[Date]]),7)</f>
        <v>3</v>
      </c>
      <c r="Q3356" t="str">
        <f>CHOOSE(WEEKDAY(datos_siembra[[#This Row],[Date]],2),"L","M","X","J","V","S","D")</f>
        <v>J</v>
      </c>
      <c r="R3356">
        <f>WEEKNUM(datos_siembra[[#This Row],[Date]],2)-WEEKNUM(DATE(YEAR(datos_siembra[[#This Row],[Date]]),MONTH(datos_siembra[[#This Row],[Date]]),1))+1</f>
        <v>2</v>
      </c>
      <c r="S3356">
        <f>MONTH(datos_siembra[[#This Row],[Date]])</f>
        <v>10</v>
      </c>
      <c r="T3356" t="str" cm="1">
        <f t="array" ref="T3356">_xlfn.IFS(AND(N3356&lt;= 22, S3356=9), "SOWING",AND(N3356&lt;= 28, S3356=9), "COVERAGE",AND(N3356&lt;= 30, S3356=9), "FLUSH",AND(N3356&lt;= 11, S3356=10), "FLUSH",AND(N3356&lt;= 21, S3356=10), "PRODUCTION")</f>
        <v>FLUSH</v>
      </c>
      <c r="U3356">
        <f>HOUR(datos_siembra[[#This Row],[Hour]])</f>
        <v>2</v>
      </c>
      <c r="V3356" cm="1">
        <f t="array" ref="V3356">_xlfn.IFS(AND(N3356&lt;= 22, S3356=9), N3356-7,AND(N3356&lt;= 28, S3356=9), N3356-25,AND(N3356&lt;= 30, S3356=9), N3356-28,AND(N3356&lt;= 11, S3356=10), N3356+2,AND(N3356&lt;= 21, S3356=10), N3356-11)</f>
        <v>12</v>
      </c>
    </row>
    <row r="3357" spans="1:22" x14ac:dyDescent="0.35">
      <c r="A3357" s="4">
        <v>45575</v>
      </c>
      <c r="B3357" s="5">
        <v>0.10143518518518518</v>
      </c>
      <c r="C3357">
        <v>68.5</v>
      </c>
      <c r="D3357">
        <v>67</v>
      </c>
      <c r="E3357">
        <v>70.8</v>
      </c>
      <c r="F3357">
        <v>67.900000000000006</v>
      </c>
      <c r="G3357">
        <v>0</v>
      </c>
      <c r="H3357">
        <v>0</v>
      </c>
      <c r="I3357">
        <v>0</v>
      </c>
      <c r="J3357">
        <v>0</v>
      </c>
      <c r="K3357">
        <v>63.2</v>
      </c>
      <c r="L3357">
        <v>63</v>
      </c>
      <c r="M3357">
        <v>68.45</v>
      </c>
      <c r="N3357">
        <v>10</v>
      </c>
      <c r="O3357">
        <v>2</v>
      </c>
      <c r="P3357">
        <f>MOD(DAY(datos_siembra[[#This Row],[Date]]),7)</f>
        <v>3</v>
      </c>
      <c r="Q3357" t="str">
        <f>CHOOSE(WEEKDAY(datos_siembra[[#This Row],[Date]],2),"L","M","X","J","V","S","D")</f>
        <v>J</v>
      </c>
      <c r="R3357">
        <f>WEEKNUM(datos_siembra[[#This Row],[Date]],2)-WEEKNUM(DATE(YEAR(datos_siembra[[#This Row],[Date]]),MONTH(datos_siembra[[#This Row],[Date]]),1))+1</f>
        <v>2</v>
      </c>
      <c r="S3357">
        <f>MONTH(datos_siembra[[#This Row],[Date]])</f>
        <v>10</v>
      </c>
      <c r="T3357" t="str" cm="1">
        <f t="array" ref="T3357">_xlfn.IFS(AND(N3357&lt;= 22, S3357=9), "SOWING",AND(N3357&lt;= 28, S3357=9), "COVERAGE",AND(N3357&lt;= 30, S3357=9), "FLUSH",AND(N3357&lt;= 11, S3357=10), "FLUSH",AND(N3357&lt;= 21, S3357=10), "PRODUCTION")</f>
        <v>FLUSH</v>
      </c>
      <c r="U3357">
        <f>HOUR(datos_siembra[[#This Row],[Hour]])</f>
        <v>2</v>
      </c>
      <c r="V3357" cm="1">
        <f t="array" ref="V3357">_xlfn.IFS(AND(N3357&lt;= 22, S3357=9), N3357-7,AND(N3357&lt;= 28, S3357=9), N3357-25,AND(N3357&lt;= 30, S3357=9), N3357-28,AND(N3357&lt;= 11, S3357=10), N3357+2,AND(N3357&lt;= 21, S3357=10), N3357-11)</f>
        <v>12</v>
      </c>
    </row>
    <row r="3358" spans="1:22" x14ac:dyDescent="0.35">
      <c r="A3358" s="4">
        <v>45575</v>
      </c>
      <c r="B3358" s="5">
        <v>0.10837962962962963</v>
      </c>
      <c r="C3358">
        <v>68.599999999999994</v>
      </c>
      <c r="D3358">
        <v>67</v>
      </c>
      <c r="E3358">
        <v>70.7</v>
      </c>
      <c r="F3358">
        <v>68.099999999999994</v>
      </c>
      <c r="G3358">
        <v>0</v>
      </c>
      <c r="H3358">
        <v>0</v>
      </c>
      <c r="I3358">
        <v>0</v>
      </c>
      <c r="J3358">
        <v>0</v>
      </c>
      <c r="K3358">
        <v>63</v>
      </c>
      <c r="L3358">
        <v>62.9</v>
      </c>
      <c r="M3358">
        <v>68.59</v>
      </c>
      <c r="N3358">
        <v>10</v>
      </c>
      <c r="O3358">
        <v>2</v>
      </c>
      <c r="P3358">
        <f>MOD(DAY(datos_siembra[[#This Row],[Date]]),7)</f>
        <v>3</v>
      </c>
      <c r="Q3358" t="str">
        <f>CHOOSE(WEEKDAY(datos_siembra[[#This Row],[Date]],2),"L","M","X","J","V","S","D")</f>
        <v>J</v>
      </c>
      <c r="R3358">
        <f>WEEKNUM(datos_siembra[[#This Row],[Date]],2)-WEEKNUM(DATE(YEAR(datos_siembra[[#This Row],[Date]]),MONTH(datos_siembra[[#This Row],[Date]]),1))+1</f>
        <v>2</v>
      </c>
      <c r="S3358">
        <f>MONTH(datos_siembra[[#This Row],[Date]])</f>
        <v>10</v>
      </c>
      <c r="T3358" t="str" cm="1">
        <f t="array" ref="T3358">_xlfn.IFS(AND(N3358&lt;= 22, S3358=9), "SOWING",AND(N3358&lt;= 28, S3358=9), "COVERAGE",AND(N3358&lt;= 30, S3358=9), "FLUSH",AND(N3358&lt;= 11, S3358=10), "FLUSH",AND(N3358&lt;= 21, S3358=10), "PRODUCTION")</f>
        <v>FLUSH</v>
      </c>
      <c r="U3358">
        <f>HOUR(datos_siembra[[#This Row],[Hour]])</f>
        <v>2</v>
      </c>
      <c r="V3358" cm="1">
        <f t="array" ref="V3358">_xlfn.IFS(AND(N3358&lt;= 22, S3358=9), N3358-7,AND(N3358&lt;= 28, S3358=9), N3358-25,AND(N3358&lt;= 30, S3358=9), N3358-28,AND(N3358&lt;= 11, S3358=10), N3358+2,AND(N3358&lt;= 21, S3358=10), N3358-11)</f>
        <v>12</v>
      </c>
    </row>
    <row r="3359" spans="1:22" x14ac:dyDescent="0.35">
      <c r="A3359" s="4">
        <v>45575</v>
      </c>
      <c r="B3359" s="5">
        <v>0.11533564814814815</v>
      </c>
      <c r="C3359">
        <v>68.599999999999994</v>
      </c>
      <c r="D3359">
        <v>66.900000000000006</v>
      </c>
      <c r="E3359">
        <v>70.8</v>
      </c>
      <c r="F3359">
        <v>68</v>
      </c>
      <c r="G3359">
        <v>0</v>
      </c>
      <c r="H3359">
        <v>0</v>
      </c>
      <c r="I3359">
        <v>0</v>
      </c>
      <c r="J3359">
        <v>0</v>
      </c>
      <c r="K3359">
        <v>63</v>
      </c>
      <c r="L3359">
        <v>63</v>
      </c>
      <c r="M3359">
        <v>68.56</v>
      </c>
      <c r="N3359">
        <v>10</v>
      </c>
      <c r="O3359">
        <v>2</v>
      </c>
      <c r="P3359">
        <f>MOD(DAY(datos_siembra[[#This Row],[Date]]),7)</f>
        <v>3</v>
      </c>
      <c r="Q3359" t="str">
        <f>CHOOSE(WEEKDAY(datos_siembra[[#This Row],[Date]],2),"L","M","X","J","V","S","D")</f>
        <v>J</v>
      </c>
      <c r="R3359">
        <f>WEEKNUM(datos_siembra[[#This Row],[Date]],2)-WEEKNUM(DATE(YEAR(datos_siembra[[#This Row],[Date]]),MONTH(datos_siembra[[#This Row],[Date]]),1))+1</f>
        <v>2</v>
      </c>
      <c r="S3359">
        <f>MONTH(datos_siembra[[#This Row],[Date]])</f>
        <v>10</v>
      </c>
      <c r="T3359" t="str" cm="1">
        <f t="array" ref="T3359">_xlfn.IFS(AND(N3359&lt;= 22, S3359=9), "SOWING",AND(N3359&lt;= 28, S3359=9), "COVERAGE",AND(N3359&lt;= 30, S3359=9), "FLUSH",AND(N3359&lt;= 11, S3359=10), "FLUSH",AND(N3359&lt;= 21, S3359=10), "PRODUCTION")</f>
        <v>FLUSH</v>
      </c>
      <c r="U3359">
        <f>HOUR(datos_siembra[[#This Row],[Hour]])</f>
        <v>2</v>
      </c>
      <c r="V3359" cm="1">
        <f t="array" ref="V3359">_xlfn.IFS(AND(N3359&lt;= 22, S3359=9), N3359-7,AND(N3359&lt;= 28, S3359=9), N3359-25,AND(N3359&lt;= 30, S3359=9), N3359-28,AND(N3359&lt;= 11, S3359=10), N3359+2,AND(N3359&lt;= 21, S3359=10), N3359-11)</f>
        <v>12</v>
      </c>
    </row>
    <row r="3360" spans="1:22" x14ac:dyDescent="0.35">
      <c r="A3360" s="4">
        <v>45575</v>
      </c>
      <c r="B3360" s="5">
        <v>0.12228009259259259</v>
      </c>
      <c r="C3360">
        <v>68.5</v>
      </c>
      <c r="D3360">
        <v>67</v>
      </c>
      <c r="E3360">
        <v>70.7</v>
      </c>
      <c r="F3360">
        <v>67.900000000000006</v>
      </c>
      <c r="G3360">
        <v>0</v>
      </c>
      <c r="H3360">
        <v>0</v>
      </c>
      <c r="I3360">
        <v>0</v>
      </c>
      <c r="J3360">
        <v>0</v>
      </c>
      <c r="K3360">
        <v>63</v>
      </c>
      <c r="L3360">
        <v>62.8</v>
      </c>
      <c r="M3360">
        <v>68.59</v>
      </c>
      <c r="N3360">
        <v>10</v>
      </c>
      <c r="O3360">
        <v>2</v>
      </c>
      <c r="P3360">
        <f>MOD(DAY(datos_siembra[[#This Row],[Date]]),7)</f>
        <v>3</v>
      </c>
      <c r="Q3360" t="str">
        <f>CHOOSE(WEEKDAY(datos_siembra[[#This Row],[Date]],2),"L","M","X","J","V","S","D")</f>
        <v>J</v>
      </c>
      <c r="R3360">
        <f>WEEKNUM(datos_siembra[[#This Row],[Date]],2)-WEEKNUM(DATE(YEAR(datos_siembra[[#This Row],[Date]]),MONTH(datos_siembra[[#This Row],[Date]]),1))+1</f>
        <v>2</v>
      </c>
      <c r="S3360">
        <f>MONTH(datos_siembra[[#This Row],[Date]])</f>
        <v>10</v>
      </c>
      <c r="T3360" t="str" cm="1">
        <f t="array" ref="T3360">_xlfn.IFS(AND(N3360&lt;= 22, S3360=9), "SOWING",AND(N3360&lt;= 28, S3360=9), "COVERAGE",AND(N3360&lt;= 30, S3360=9), "FLUSH",AND(N3360&lt;= 11, S3360=10), "FLUSH",AND(N3360&lt;= 21, S3360=10), "PRODUCTION")</f>
        <v>FLUSH</v>
      </c>
      <c r="U3360">
        <f>HOUR(datos_siembra[[#This Row],[Hour]])</f>
        <v>2</v>
      </c>
      <c r="V3360" cm="1">
        <f t="array" ref="V3360">_xlfn.IFS(AND(N3360&lt;= 22, S3360=9), N3360-7,AND(N3360&lt;= 28, S3360=9), N3360-25,AND(N3360&lt;= 30, S3360=9), N3360-28,AND(N3360&lt;= 11, S3360=10), N3360+2,AND(N3360&lt;= 21, S3360=10), N3360-11)</f>
        <v>12</v>
      </c>
    </row>
    <row r="3361" spans="1:22" x14ac:dyDescent="0.35">
      <c r="A3361" s="4">
        <v>45575</v>
      </c>
      <c r="B3361" s="5">
        <v>0.12922453703703704</v>
      </c>
      <c r="C3361">
        <v>68.5</v>
      </c>
      <c r="D3361">
        <v>67.099999999999994</v>
      </c>
      <c r="E3361">
        <v>70.8</v>
      </c>
      <c r="F3361">
        <v>68.099999999999994</v>
      </c>
      <c r="G3361">
        <v>0</v>
      </c>
      <c r="H3361">
        <v>0</v>
      </c>
      <c r="I3361">
        <v>0</v>
      </c>
      <c r="J3361">
        <v>0</v>
      </c>
      <c r="K3361">
        <v>62.9</v>
      </c>
      <c r="L3361">
        <v>62.8</v>
      </c>
      <c r="M3361">
        <v>68.59</v>
      </c>
      <c r="N3361">
        <v>10</v>
      </c>
      <c r="O3361">
        <v>2</v>
      </c>
      <c r="P3361">
        <f>MOD(DAY(datos_siembra[[#This Row],[Date]]),7)</f>
        <v>3</v>
      </c>
      <c r="Q3361" t="str">
        <f>CHOOSE(WEEKDAY(datos_siembra[[#This Row],[Date]],2),"L","M","X","J","V","S","D")</f>
        <v>J</v>
      </c>
      <c r="R3361">
        <f>WEEKNUM(datos_siembra[[#This Row],[Date]],2)-WEEKNUM(DATE(YEAR(datos_siembra[[#This Row],[Date]]),MONTH(datos_siembra[[#This Row],[Date]]),1))+1</f>
        <v>2</v>
      </c>
      <c r="S3361">
        <f>MONTH(datos_siembra[[#This Row],[Date]])</f>
        <v>10</v>
      </c>
      <c r="T3361" t="str" cm="1">
        <f t="array" ref="T3361">_xlfn.IFS(AND(N3361&lt;= 22, S3361=9), "SOWING",AND(N3361&lt;= 28, S3361=9), "COVERAGE",AND(N3361&lt;= 30, S3361=9), "FLUSH",AND(N3361&lt;= 11, S3361=10), "FLUSH",AND(N3361&lt;= 21, S3361=10), "PRODUCTION")</f>
        <v>FLUSH</v>
      </c>
      <c r="U3361">
        <f>HOUR(datos_siembra[[#This Row],[Hour]])</f>
        <v>3</v>
      </c>
      <c r="V3361" cm="1">
        <f t="array" ref="V3361">_xlfn.IFS(AND(N3361&lt;= 22, S3361=9), N3361-7,AND(N3361&lt;= 28, S3361=9), N3361-25,AND(N3361&lt;= 30, S3361=9), N3361-28,AND(N3361&lt;= 11, S3361=10), N3361+2,AND(N3361&lt;= 21, S3361=10), N3361-11)</f>
        <v>12</v>
      </c>
    </row>
    <row r="3362" spans="1:22" x14ac:dyDescent="0.35">
      <c r="A3362" s="4">
        <v>45575</v>
      </c>
      <c r="B3362" s="5">
        <v>0.13616898148148149</v>
      </c>
      <c r="C3362">
        <v>68.5</v>
      </c>
      <c r="D3362">
        <v>66.900000000000006</v>
      </c>
      <c r="E3362">
        <v>70.900000000000006</v>
      </c>
      <c r="F3362">
        <v>68.2</v>
      </c>
      <c r="G3362">
        <v>0</v>
      </c>
      <c r="H3362">
        <v>0</v>
      </c>
      <c r="I3362">
        <v>0</v>
      </c>
      <c r="J3362">
        <v>0</v>
      </c>
      <c r="K3362">
        <v>62.9</v>
      </c>
      <c r="L3362">
        <v>62.8</v>
      </c>
      <c r="M3362">
        <v>68.59</v>
      </c>
      <c r="N3362">
        <v>10</v>
      </c>
      <c r="O3362">
        <v>2</v>
      </c>
      <c r="P3362">
        <f>MOD(DAY(datos_siembra[[#This Row],[Date]]),7)</f>
        <v>3</v>
      </c>
      <c r="Q3362" t="str">
        <f>CHOOSE(WEEKDAY(datos_siembra[[#This Row],[Date]],2),"L","M","X","J","V","S","D")</f>
        <v>J</v>
      </c>
      <c r="R3362">
        <f>WEEKNUM(datos_siembra[[#This Row],[Date]],2)-WEEKNUM(DATE(YEAR(datos_siembra[[#This Row],[Date]]),MONTH(datos_siembra[[#This Row],[Date]]),1))+1</f>
        <v>2</v>
      </c>
      <c r="S3362">
        <f>MONTH(datos_siembra[[#This Row],[Date]])</f>
        <v>10</v>
      </c>
      <c r="T3362" t="str" cm="1">
        <f t="array" ref="T3362">_xlfn.IFS(AND(N3362&lt;= 22, S3362=9), "SOWING",AND(N3362&lt;= 28, S3362=9), "COVERAGE",AND(N3362&lt;= 30, S3362=9), "FLUSH",AND(N3362&lt;= 11, S3362=10), "FLUSH",AND(N3362&lt;= 21, S3362=10), "PRODUCTION")</f>
        <v>FLUSH</v>
      </c>
      <c r="U3362">
        <f>HOUR(datos_siembra[[#This Row],[Hour]])</f>
        <v>3</v>
      </c>
      <c r="V3362" cm="1">
        <f t="array" ref="V3362">_xlfn.IFS(AND(N3362&lt;= 22, S3362=9), N3362-7,AND(N3362&lt;= 28, S3362=9), N3362-25,AND(N3362&lt;= 30, S3362=9), N3362-28,AND(N3362&lt;= 11, S3362=10), N3362+2,AND(N3362&lt;= 21, S3362=10), N3362-11)</f>
        <v>12</v>
      </c>
    </row>
    <row r="3363" spans="1:22" x14ac:dyDescent="0.35">
      <c r="A3363" s="4">
        <v>45575</v>
      </c>
      <c r="B3363" s="5">
        <v>0.143125</v>
      </c>
      <c r="C3363">
        <v>68.7</v>
      </c>
      <c r="D3363">
        <v>67.099999999999994</v>
      </c>
      <c r="E3363">
        <v>70.900000000000006</v>
      </c>
      <c r="F3363">
        <v>68.3</v>
      </c>
      <c r="G3363">
        <v>0</v>
      </c>
      <c r="H3363">
        <v>0</v>
      </c>
      <c r="I3363">
        <v>0</v>
      </c>
      <c r="J3363">
        <v>0</v>
      </c>
      <c r="K3363">
        <v>62.9</v>
      </c>
      <c r="L3363">
        <v>62.8</v>
      </c>
      <c r="M3363">
        <v>68.680000000000007</v>
      </c>
      <c r="N3363">
        <v>10</v>
      </c>
      <c r="O3363">
        <v>2</v>
      </c>
      <c r="P3363">
        <f>MOD(DAY(datos_siembra[[#This Row],[Date]]),7)</f>
        <v>3</v>
      </c>
      <c r="Q3363" t="str">
        <f>CHOOSE(WEEKDAY(datos_siembra[[#This Row],[Date]],2),"L","M","X","J","V","S","D")</f>
        <v>J</v>
      </c>
      <c r="R3363">
        <f>WEEKNUM(datos_siembra[[#This Row],[Date]],2)-WEEKNUM(DATE(YEAR(datos_siembra[[#This Row],[Date]]),MONTH(datos_siembra[[#This Row],[Date]]),1))+1</f>
        <v>2</v>
      </c>
      <c r="S3363">
        <f>MONTH(datos_siembra[[#This Row],[Date]])</f>
        <v>10</v>
      </c>
      <c r="T3363" t="str" cm="1">
        <f t="array" ref="T3363">_xlfn.IFS(AND(N3363&lt;= 22, S3363=9), "SOWING",AND(N3363&lt;= 28, S3363=9), "COVERAGE",AND(N3363&lt;= 30, S3363=9), "FLUSH",AND(N3363&lt;= 11, S3363=10), "FLUSH",AND(N3363&lt;= 21, S3363=10), "PRODUCTION")</f>
        <v>FLUSH</v>
      </c>
      <c r="U3363">
        <f>HOUR(datos_siembra[[#This Row],[Hour]])</f>
        <v>3</v>
      </c>
      <c r="V3363" cm="1">
        <f t="array" ref="V3363">_xlfn.IFS(AND(N3363&lt;= 22, S3363=9), N3363-7,AND(N3363&lt;= 28, S3363=9), N3363-25,AND(N3363&lt;= 30, S3363=9), N3363-28,AND(N3363&lt;= 11, S3363=10), N3363+2,AND(N3363&lt;= 21, S3363=10), N3363-11)</f>
        <v>12</v>
      </c>
    </row>
    <row r="3364" spans="1:22" x14ac:dyDescent="0.35">
      <c r="A3364" s="4">
        <v>45575</v>
      </c>
      <c r="B3364" s="5">
        <v>0.15006944444444445</v>
      </c>
      <c r="C3364">
        <v>68.599999999999994</v>
      </c>
      <c r="D3364">
        <v>67</v>
      </c>
      <c r="E3364">
        <v>70.900000000000006</v>
      </c>
      <c r="F3364">
        <v>68.099999999999994</v>
      </c>
      <c r="G3364">
        <v>0</v>
      </c>
      <c r="H3364">
        <v>0</v>
      </c>
      <c r="I3364">
        <v>0</v>
      </c>
      <c r="J3364">
        <v>0</v>
      </c>
      <c r="K3364">
        <v>62.8</v>
      </c>
      <c r="L3364">
        <v>62.7</v>
      </c>
      <c r="M3364">
        <v>68.59</v>
      </c>
      <c r="N3364">
        <v>10</v>
      </c>
      <c r="O3364">
        <v>2</v>
      </c>
      <c r="P3364">
        <f>MOD(DAY(datos_siembra[[#This Row],[Date]]),7)</f>
        <v>3</v>
      </c>
      <c r="Q3364" t="str">
        <f>CHOOSE(WEEKDAY(datos_siembra[[#This Row],[Date]],2),"L","M","X","J","V","S","D")</f>
        <v>J</v>
      </c>
      <c r="R3364">
        <f>WEEKNUM(datos_siembra[[#This Row],[Date]],2)-WEEKNUM(DATE(YEAR(datos_siembra[[#This Row],[Date]]),MONTH(datos_siembra[[#This Row],[Date]]),1))+1</f>
        <v>2</v>
      </c>
      <c r="S3364">
        <f>MONTH(datos_siembra[[#This Row],[Date]])</f>
        <v>10</v>
      </c>
      <c r="T3364" t="str" cm="1">
        <f t="array" ref="T3364">_xlfn.IFS(AND(N3364&lt;= 22, S3364=9), "SOWING",AND(N3364&lt;= 28, S3364=9), "COVERAGE",AND(N3364&lt;= 30, S3364=9), "FLUSH",AND(N3364&lt;= 11, S3364=10), "FLUSH",AND(N3364&lt;= 21, S3364=10), "PRODUCTION")</f>
        <v>FLUSH</v>
      </c>
      <c r="U3364">
        <f>HOUR(datos_siembra[[#This Row],[Hour]])</f>
        <v>3</v>
      </c>
      <c r="V3364" cm="1">
        <f t="array" ref="V3364">_xlfn.IFS(AND(N3364&lt;= 22, S3364=9), N3364-7,AND(N3364&lt;= 28, S3364=9), N3364-25,AND(N3364&lt;= 30, S3364=9), N3364-28,AND(N3364&lt;= 11, S3364=10), N3364+2,AND(N3364&lt;= 21, S3364=10), N3364-11)</f>
        <v>12</v>
      </c>
    </row>
    <row r="3365" spans="1:22" x14ac:dyDescent="0.35">
      <c r="A3365" s="4">
        <v>45575</v>
      </c>
      <c r="B3365" s="5">
        <v>0.1570138888888889</v>
      </c>
      <c r="C3365">
        <v>68.599999999999994</v>
      </c>
      <c r="D3365">
        <v>67</v>
      </c>
      <c r="E3365">
        <v>71</v>
      </c>
      <c r="F3365">
        <v>67.900000000000006</v>
      </c>
      <c r="G3365">
        <v>0</v>
      </c>
      <c r="H3365">
        <v>0</v>
      </c>
      <c r="I3365">
        <v>0</v>
      </c>
      <c r="J3365">
        <v>0</v>
      </c>
      <c r="K3365">
        <v>62.8</v>
      </c>
      <c r="L3365">
        <v>62.6</v>
      </c>
      <c r="M3365">
        <v>68.680000000000007</v>
      </c>
      <c r="N3365">
        <v>10</v>
      </c>
      <c r="O3365">
        <v>2</v>
      </c>
      <c r="P3365">
        <f>MOD(DAY(datos_siembra[[#This Row],[Date]]),7)</f>
        <v>3</v>
      </c>
      <c r="Q3365" t="str">
        <f>CHOOSE(WEEKDAY(datos_siembra[[#This Row],[Date]],2),"L","M","X","J","V","S","D")</f>
        <v>J</v>
      </c>
      <c r="R3365">
        <f>WEEKNUM(datos_siembra[[#This Row],[Date]],2)-WEEKNUM(DATE(YEAR(datos_siembra[[#This Row],[Date]]),MONTH(datos_siembra[[#This Row],[Date]]),1))+1</f>
        <v>2</v>
      </c>
      <c r="S3365">
        <f>MONTH(datos_siembra[[#This Row],[Date]])</f>
        <v>10</v>
      </c>
      <c r="T3365" t="str" cm="1">
        <f t="array" ref="T3365">_xlfn.IFS(AND(N3365&lt;= 22, S3365=9), "SOWING",AND(N3365&lt;= 28, S3365=9), "COVERAGE",AND(N3365&lt;= 30, S3365=9), "FLUSH",AND(N3365&lt;= 11, S3365=10), "FLUSH",AND(N3365&lt;= 21, S3365=10), "PRODUCTION")</f>
        <v>FLUSH</v>
      </c>
      <c r="U3365">
        <f>HOUR(datos_siembra[[#This Row],[Hour]])</f>
        <v>3</v>
      </c>
      <c r="V3365" cm="1">
        <f t="array" ref="V3365">_xlfn.IFS(AND(N3365&lt;= 22, S3365=9), N3365-7,AND(N3365&lt;= 28, S3365=9), N3365-25,AND(N3365&lt;= 30, S3365=9), N3365-28,AND(N3365&lt;= 11, S3365=10), N3365+2,AND(N3365&lt;= 21, S3365=10), N3365-11)</f>
        <v>12</v>
      </c>
    </row>
    <row r="3366" spans="1:22" x14ac:dyDescent="0.35">
      <c r="A3366" s="4">
        <v>45575</v>
      </c>
      <c r="B3366" s="5">
        <v>0.16395833333333334</v>
      </c>
      <c r="C3366">
        <v>68.7</v>
      </c>
      <c r="D3366">
        <v>67</v>
      </c>
      <c r="E3366">
        <v>71</v>
      </c>
      <c r="F3366">
        <v>68</v>
      </c>
      <c r="G3366">
        <v>0</v>
      </c>
      <c r="H3366">
        <v>0</v>
      </c>
      <c r="I3366">
        <v>0</v>
      </c>
      <c r="J3366">
        <v>0</v>
      </c>
      <c r="K3366">
        <v>62.8</v>
      </c>
      <c r="L3366">
        <v>62.6</v>
      </c>
      <c r="M3366">
        <v>68.680000000000007</v>
      </c>
      <c r="N3366">
        <v>10</v>
      </c>
      <c r="O3366">
        <v>2</v>
      </c>
      <c r="P3366">
        <f>MOD(DAY(datos_siembra[[#This Row],[Date]]),7)</f>
        <v>3</v>
      </c>
      <c r="Q3366" t="str">
        <f>CHOOSE(WEEKDAY(datos_siembra[[#This Row],[Date]],2),"L","M","X","J","V","S","D")</f>
        <v>J</v>
      </c>
      <c r="R3366">
        <f>WEEKNUM(datos_siembra[[#This Row],[Date]],2)-WEEKNUM(DATE(YEAR(datos_siembra[[#This Row],[Date]]),MONTH(datos_siembra[[#This Row],[Date]]),1))+1</f>
        <v>2</v>
      </c>
      <c r="S3366">
        <f>MONTH(datos_siembra[[#This Row],[Date]])</f>
        <v>10</v>
      </c>
      <c r="T3366" t="str" cm="1">
        <f t="array" ref="T3366">_xlfn.IFS(AND(N3366&lt;= 22, S3366=9), "SOWING",AND(N3366&lt;= 28, S3366=9), "COVERAGE",AND(N3366&lt;= 30, S3366=9), "FLUSH",AND(N3366&lt;= 11, S3366=10), "FLUSH",AND(N3366&lt;= 21, S3366=10), "PRODUCTION")</f>
        <v>FLUSH</v>
      </c>
      <c r="U3366">
        <f>HOUR(datos_siembra[[#This Row],[Hour]])</f>
        <v>3</v>
      </c>
      <c r="V3366" cm="1">
        <f t="array" ref="V3366">_xlfn.IFS(AND(N3366&lt;= 22, S3366=9), N3366-7,AND(N3366&lt;= 28, S3366=9), N3366-25,AND(N3366&lt;= 30, S3366=9), N3366-28,AND(N3366&lt;= 11, S3366=10), N3366+2,AND(N3366&lt;= 21, S3366=10), N3366-11)</f>
        <v>12</v>
      </c>
    </row>
    <row r="3367" spans="1:22" x14ac:dyDescent="0.35">
      <c r="A3367" s="4">
        <v>45575</v>
      </c>
      <c r="B3367" s="5">
        <v>0.17091435185185186</v>
      </c>
      <c r="C3367">
        <v>68.7</v>
      </c>
      <c r="D3367">
        <v>67.099999999999994</v>
      </c>
      <c r="E3367">
        <v>71</v>
      </c>
      <c r="F3367">
        <v>68.2</v>
      </c>
      <c r="G3367">
        <v>0</v>
      </c>
      <c r="H3367">
        <v>0</v>
      </c>
      <c r="I3367">
        <v>0</v>
      </c>
      <c r="J3367">
        <v>0</v>
      </c>
      <c r="K3367">
        <v>62.8</v>
      </c>
      <c r="L3367">
        <v>62.6</v>
      </c>
      <c r="M3367">
        <v>68.73</v>
      </c>
      <c r="N3367">
        <v>10</v>
      </c>
      <c r="O3367">
        <v>2</v>
      </c>
      <c r="P3367">
        <f>MOD(DAY(datos_siembra[[#This Row],[Date]]),7)</f>
        <v>3</v>
      </c>
      <c r="Q3367" t="str">
        <f>CHOOSE(WEEKDAY(datos_siembra[[#This Row],[Date]],2),"L","M","X","J","V","S","D")</f>
        <v>J</v>
      </c>
      <c r="R3367">
        <f>WEEKNUM(datos_siembra[[#This Row],[Date]],2)-WEEKNUM(DATE(YEAR(datos_siembra[[#This Row],[Date]]),MONTH(datos_siembra[[#This Row],[Date]]),1))+1</f>
        <v>2</v>
      </c>
      <c r="S3367">
        <f>MONTH(datos_siembra[[#This Row],[Date]])</f>
        <v>10</v>
      </c>
      <c r="T3367" t="str" cm="1">
        <f t="array" ref="T3367">_xlfn.IFS(AND(N3367&lt;= 22, S3367=9), "SOWING",AND(N3367&lt;= 28, S3367=9), "COVERAGE",AND(N3367&lt;= 30, S3367=9), "FLUSH",AND(N3367&lt;= 11, S3367=10), "FLUSH",AND(N3367&lt;= 21, S3367=10), "PRODUCTION")</f>
        <v>FLUSH</v>
      </c>
      <c r="U3367">
        <f>HOUR(datos_siembra[[#This Row],[Hour]])</f>
        <v>4</v>
      </c>
      <c r="V3367" cm="1">
        <f t="array" ref="V3367">_xlfn.IFS(AND(N3367&lt;= 22, S3367=9), N3367-7,AND(N3367&lt;= 28, S3367=9), N3367-25,AND(N3367&lt;= 30, S3367=9), N3367-28,AND(N3367&lt;= 11, S3367=10), N3367+2,AND(N3367&lt;= 21, S3367=10), N3367-11)</f>
        <v>12</v>
      </c>
    </row>
    <row r="3368" spans="1:22" x14ac:dyDescent="0.35">
      <c r="A3368" s="4">
        <v>45575</v>
      </c>
      <c r="B3368" s="5">
        <v>0.17785879629629631</v>
      </c>
      <c r="C3368">
        <v>68.7</v>
      </c>
      <c r="D3368">
        <v>67.099999999999994</v>
      </c>
      <c r="E3368">
        <v>70.900000000000006</v>
      </c>
      <c r="F3368">
        <v>68.3</v>
      </c>
      <c r="G3368">
        <v>0</v>
      </c>
      <c r="H3368">
        <v>0</v>
      </c>
      <c r="I3368">
        <v>0</v>
      </c>
      <c r="J3368">
        <v>0</v>
      </c>
      <c r="K3368">
        <v>62.7</v>
      </c>
      <c r="L3368">
        <v>62.6</v>
      </c>
      <c r="M3368">
        <v>68.760000000000005</v>
      </c>
      <c r="N3368">
        <v>10</v>
      </c>
      <c r="O3368">
        <v>2</v>
      </c>
      <c r="P3368">
        <f>MOD(DAY(datos_siembra[[#This Row],[Date]]),7)</f>
        <v>3</v>
      </c>
      <c r="Q3368" t="str">
        <f>CHOOSE(WEEKDAY(datos_siembra[[#This Row],[Date]],2),"L","M","X","J","V","S","D")</f>
        <v>J</v>
      </c>
      <c r="R3368">
        <f>WEEKNUM(datos_siembra[[#This Row],[Date]],2)-WEEKNUM(DATE(YEAR(datos_siembra[[#This Row],[Date]]),MONTH(datos_siembra[[#This Row],[Date]]),1))+1</f>
        <v>2</v>
      </c>
      <c r="S3368">
        <f>MONTH(datos_siembra[[#This Row],[Date]])</f>
        <v>10</v>
      </c>
      <c r="T3368" t="str" cm="1">
        <f t="array" ref="T3368">_xlfn.IFS(AND(N3368&lt;= 22, S3368=9), "SOWING",AND(N3368&lt;= 28, S3368=9), "COVERAGE",AND(N3368&lt;= 30, S3368=9), "FLUSH",AND(N3368&lt;= 11, S3368=10), "FLUSH",AND(N3368&lt;= 21, S3368=10), "PRODUCTION")</f>
        <v>FLUSH</v>
      </c>
      <c r="U3368">
        <f>HOUR(datos_siembra[[#This Row],[Hour]])</f>
        <v>4</v>
      </c>
      <c r="V3368" cm="1">
        <f t="array" ref="V3368">_xlfn.IFS(AND(N3368&lt;= 22, S3368=9), N3368-7,AND(N3368&lt;= 28, S3368=9), N3368-25,AND(N3368&lt;= 30, S3368=9), N3368-28,AND(N3368&lt;= 11, S3368=10), N3368+2,AND(N3368&lt;= 21, S3368=10), N3368-11)</f>
        <v>12</v>
      </c>
    </row>
    <row r="3369" spans="1:22" x14ac:dyDescent="0.35">
      <c r="A3369" s="4">
        <v>45575</v>
      </c>
      <c r="B3369" s="5">
        <v>0.18480324074074075</v>
      </c>
      <c r="C3369">
        <v>68.7</v>
      </c>
      <c r="D3369">
        <v>67</v>
      </c>
      <c r="E3369">
        <v>71.099999999999994</v>
      </c>
      <c r="F3369">
        <v>68.2</v>
      </c>
      <c r="G3369">
        <v>0</v>
      </c>
      <c r="H3369">
        <v>0</v>
      </c>
      <c r="I3369">
        <v>0</v>
      </c>
      <c r="J3369">
        <v>0</v>
      </c>
      <c r="K3369">
        <v>62.6</v>
      </c>
      <c r="L3369">
        <v>62.5</v>
      </c>
      <c r="M3369">
        <v>68.73</v>
      </c>
      <c r="N3369">
        <v>10</v>
      </c>
      <c r="O3369">
        <v>2</v>
      </c>
      <c r="P3369">
        <f>MOD(DAY(datos_siembra[[#This Row],[Date]]),7)</f>
        <v>3</v>
      </c>
      <c r="Q3369" t="str">
        <f>CHOOSE(WEEKDAY(datos_siembra[[#This Row],[Date]],2),"L","M","X","J","V","S","D")</f>
        <v>J</v>
      </c>
      <c r="R3369">
        <f>WEEKNUM(datos_siembra[[#This Row],[Date]],2)-WEEKNUM(DATE(YEAR(datos_siembra[[#This Row],[Date]]),MONTH(datos_siembra[[#This Row],[Date]]),1))+1</f>
        <v>2</v>
      </c>
      <c r="S3369">
        <f>MONTH(datos_siembra[[#This Row],[Date]])</f>
        <v>10</v>
      </c>
      <c r="T3369" t="str" cm="1">
        <f t="array" ref="T3369">_xlfn.IFS(AND(N3369&lt;= 22, S3369=9), "SOWING",AND(N3369&lt;= 28, S3369=9), "COVERAGE",AND(N3369&lt;= 30, S3369=9), "FLUSH",AND(N3369&lt;= 11, S3369=10), "FLUSH",AND(N3369&lt;= 21, S3369=10), "PRODUCTION")</f>
        <v>FLUSH</v>
      </c>
      <c r="U3369">
        <f>HOUR(datos_siembra[[#This Row],[Hour]])</f>
        <v>4</v>
      </c>
      <c r="V3369" cm="1">
        <f t="array" ref="V3369">_xlfn.IFS(AND(N3369&lt;= 22, S3369=9), N3369-7,AND(N3369&lt;= 28, S3369=9), N3369-25,AND(N3369&lt;= 30, S3369=9), N3369-28,AND(N3369&lt;= 11, S3369=10), N3369+2,AND(N3369&lt;= 21, S3369=10), N3369-11)</f>
        <v>12</v>
      </c>
    </row>
    <row r="3370" spans="1:22" x14ac:dyDescent="0.35">
      <c r="A3370" s="4">
        <v>45575</v>
      </c>
      <c r="B3370" s="5">
        <v>0.19175925925925927</v>
      </c>
      <c r="C3370">
        <v>68.599999999999994</v>
      </c>
      <c r="D3370">
        <v>67</v>
      </c>
      <c r="E3370">
        <v>71.400000000000006</v>
      </c>
      <c r="F3370">
        <v>68.3</v>
      </c>
      <c r="G3370">
        <v>0</v>
      </c>
      <c r="H3370">
        <v>0</v>
      </c>
      <c r="I3370">
        <v>0</v>
      </c>
      <c r="J3370">
        <v>0</v>
      </c>
      <c r="K3370">
        <v>62.7</v>
      </c>
      <c r="L3370">
        <v>62.5</v>
      </c>
      <c r="M3370">
        <v>68.73</v>
      </c>
      <c r="N3370">
        <v>10</v>
      </c>
      <c r="O3370">
        <v>2</v>
      </c>
      <c r="P3370">
        <f>MOD(DAY(datos_siembra[[#This Row],[Date]]),7)</f>
        <v>3</v>
      </c>
      <c r="Q3370" t="str">
        <f>CHOOSE(WEEKDAY(datos_siembra[[#This Row],[Date]],2),"L","M","X","J","V","S","D")</f>
        <v>J</v>
      </c>
      <c r="R3370">
        <f>WEEKNUM(datos_siembra[[#This Row],[Date]],2)-WEEKNUM(DATE(YEAR(datos_siembra[[#This Row],[Date]]),MONTH(datos_siembra[[#This Row],[Date]]),1))+1</f>
        <v>2</v>
      </c>
      <c r="S3370">
        <f>MONTH(datos_siembra[[#This Row],[Date]])</f>
        <v>10</v>
      </c>
      <c r="T3370" t="str" cm="1">
        <f t="array" ref="T3370">_xlfn.IFS(AND(N3370&lt;= 22, S3370=9), "SOWING",AND(N3370&lt;= 28, S3370=9), "COVERAGE",AND(N3370&lt;= 30, S3370=9), "FLUSH",AND(N3370&lt;= 11, S3370=10), "FLUSH",AND(N3370&lt;= 21, S3370=10), "PRODUCTION")</f>
        <v>FLUSH</v>
      </c>
      <c r="U3370">
        <f>HOUR(datos_siembra[[#This Row],[Hour]])</f>
        <v>4</v>
      </c>
      <c r="V3370" cm="1">
        <f t="array" ref="V3370">_xlfn.IFS(AND(N3370&lt;= 22, S3370=9), N3370-7,AND(N3370&lt;= 28, S3370=9), N3370-25,AND(N3370&lt;= 30, S3370=9), N3370-28,AND(N3370&lt;= 11, S3370=10), N3370+2,AND(N3370&lt;= 21, S3370=10), N3370-11)</f>
        <v>12</v>
      </c>
    </row>
    <row r="3371" spans="1:22" x14ac:dyDescent="0.35">
      <c r="A3371" s="4">
        <v>45575</v>
      </c>
      <c r="B3371" s="5">
        <v>0.19870370370370372</v>
      </c>
      <c r="C3371">
        <v>68.7</v>
      </c>
      <c r="D3371">
        <v>67.099999999999994</v>
      </c>
      <c r="E3371">
        <v>71.099999999999994</v>
      </c>
      <c r="F3371">
        <v>68.099999999999994</v>
      </c>
      <c r="G3371">
        <v>0</v>
      </c>
      <c r="H3371">
        <v>0</v>
      </c>
      <c r="I3371">
        <v>0</v>
      </c>
      <c r="J3371">
        <v>0</v>
      </c>
      <c r="K3371">
        <v>62.6</v>
      </c>
      <c r="L3371">
        <v>62.4</v>
      </c>
      <c r="M3371">
        <v>68.819999999999993</v>
      </c>
      <c r="N3371">
        <v>10</v>
      </c>
      <c r="O3371">
        <v>2</v>
      </c>
      <c r="P3371">
        <f>MOD(DAY(datos_siembra[[#This Row],[Date]]),7)</f>
        <v>3</v>
      </c>
      <c r="Q3371" t="str">
        <f>CHOOSE(WEEKDAY(datos_siembra[[#This Row],[Date]],2),"L","M","X","J","V","S","D")</f>
        <v>J</v>
      </c>
      <c r="R3371">
        <f>WEEKNUM(datos_siembra[[#This Row],[Date]],2)-WEEKNUM(DATE(YEAR(datos_siembra[[#This Row],[Date]]),MONTH(datos_siembra[[#This Row],[Date]]),1))+1</f>
        <v>2</v>
      </c>
      <c r="S3371">
        <f>MONTH(datos_siembra[[#This Row],[Date]])</f>
        <v>10</v>
      </c>
      <c r="T3371" t="str" cm="1">
        <f t="array" ref="T3371">_xlfn.IFS(AND(N3371&lt;= 22, S3371=9), "SOWING",AND(N3371&lt;= 28, S3371=9), "COVERAGE",AND(N3371&lt;= 30, S3371=9), "FLUSH",AND(N3371&lt;= 11, S3371=10), "FLUSH",AND(N3371&lt;= 21, S3371=10), "PRODUCTION")</f>
        <v>FLUSH</v>
      </c>
      <c r="U3371">
        <f>HOUR(datos_siembra[[#This Row],[Hour]])</f>
        <v>4</v>
      </c>
      <c r="V3371" cm="1">
        <f t="array" ref="V3371">_xlfn.IFS(AND(N3371&lt;= 22, S3371=9), N3371-7,AND(N3371&lt;= 28, S3371=9), N3371-25,AND(N3371&lt;= 30, S3371=9), N3371-28,AND(N3371&lt;= 11, S3371=10), N3371+2,AND(N3371&lt;= 21, S3371=10), N3371-11)</f>
        <v>12</v>
      </c>
    </row>
    <row r="3372" spans="1:22" x14ac:dyDescent="0.35">
      <c r="A3372" s="4">
        <v>45575</v>
      </c>
      <c r="B3372" s="5">
        <v>0.20564814814814814</v>
      </c>
      <c r="C3372">
        <v>68.599999999999994</v>
      </c>
      <c r="D3372">
        <v>67.099999999999994</v>
      </c>
      <c r="E3372">
        <v>71.400000000000006</v>
      </c>
      <c r="F3372">
        <v>68.3</v>
      </c>
      <c r="G3372">
        <v>0</v>
      </c>
      <c r="H3372">
        <v>0</v>
      </c>
      <c r="I3372">
        <v>0</v>
      </c>
      <c r="J3372">
        <v>0</v>
      </c>
      <c r="K3372">
        <v>62.6</v>
      </c>
      <c r="L3372">
        <v>62.4</v>
      </c>
      <c r="M3372">
        <v>68.84</v>
      </c>
      <c r="N3372">
        <v>10</v>
      </c>
      <c r="O3372">
        <v>2</v>
      </c>
      <c r="P3372">
        <f>MOD(DAY(datos_siembra[[#This Row],[Date]]),7)</f>
        <v>3</v>
      </c>
      <c r="Q3372" t="str">
        <f>CHOOSE(WEEKDAY(datos_siembra[[#This Row],[Date]],2),"L","M","X","J","V","S","D")</f>
        <v>J</v>
      </c>
      <c r="R3372">
        <f>WEEKNUM(datos_siembra[[#This Row],[Date]],2)-WEEKNUM(DATE(YEAR(datos_siembra[[#This Row],[Date]]),MONTH(datos_siembra[[#This Row],[Date]]),1))+1</f>
        <v>2</v>
      </c>
      <c r="S3372">
        <f>MONTH(datos_siembra[[#This Row],[Date]])</f>
        <v>10</v>
      </c>
      <c r="T3372" t="str" cm="1">
        <f t="array" ref="T3372">_xlfn.IFS(AND(N3372&lt;= 22, S3372=9), "SOWING",AND(N3372&lt;= 28, S3372=9), "COVERAGE",AND(N3372&lt;= 30, S3372=9), "FLUSH",AND(N3372&lt;= 11, S3372=10), "FLUSH",AND(N3372&lt;= 21, S3372=10), "PRODUCTION")</f>
        <v>FLUSH</v>
      </c>
      <c r="U3372">
        <f>HOUR(datos_siembra[[#This Row],[Hour]])</f>
        <v>4</v>
      </c>
      <c r="V3372" cm="1">
        <f t="array" ref="V3372">_xlfn.IFS(AND(N3372&lt;= 22, S3372=9), N3372-7,AND(N3372&lt;= 28, S3372=9), N3372-25,AND(N3372&lt;= 30, S3372=9), N3372-28,AND(N3372&lt;= 11, S3372=10), N3372+2,AND(N3372&lt;= 21, S3372=10), N3372-11)</f>
        <v>12</v>
      </c>
    </row>
    <row r="3373" spans="1:22" x14ac:dyDescent="0.35">
      <c r="A3373" s="4">
        <v>45575</v>
      </c>
      <c r="B3373" s="5">
        <v>0.21259259259259258</v>
      </c>
      <c r="C3373">
        <v>68.8</v>
      </c>
      <c r="D3373">
        <v>67.099999999999994</v>
      </c>
      <c r="E3373">
        <v>71.3</v>
      </c>
      <c r="F3373">
        <v>68.2</v>
      </c>
      <c r="G3373">
        <v>0</v>
      </c>
      <c r="H3373">
        <v>0</v>
      </c>
      <c r="I3373">
        <v>0</v>
      </c>
      <c r="J3373">
        <v>0</v>
      </c>
      <c r="K3373">
        <v>62.5</v>
      </c>
      <c r="L3373">
        <v>62.3</v>
      </c>
      <c r="M3373">
        <v>68.87</v>
      </c>
      <c r="N3373">
        <v>10</v>
      </c>
      <c r="O3373">
        <v>2</v>
      </c>
      <c r="P3373">
        <f>MOD(DAY(datos_siembra[[#This Row],[Date]]),7)</f>
        <v>3</v>
      </c>
      <c r="Q3373" t="str">
        <f>CHOOSE(WEEKDAY(datos_siembra[[#This Row],[Date]],2),"L","M","X","J","V","S","D")</f>
        <v>J</v>
      </c>
      <c r="R3373">
        <f>WEEKNUM(datos_siembra[[#This Row],[Date]],2)-WEEKNUM(DATE(YEAR(datos_siembra[[#This Row],[Date]]),MONTH(datos_siembra[[#This Row],[Date]]),1))+1</f>
        <v>2</v>
      </c>
      <c r="S3373">
        <f>MONTH(datos_siembra[[#This Row],[Date]])</f>
        <v>10</v>
      </c>
      <c r="T3373" t="str" cm="1">
        <f t="array" ref="T3373">_xlfn.IFS(AND(N3373&lt;= 22, S3373=9), "SOWING",AND(N3373&lt;= 28, S3373=9), "COVERAGE",AND(N3373&lt;= 30, S3373=9), "FLUSH",AND(N3373&lt;= 11, S3373=10), "FLUSH",AND(N3373&lt;= 21, S3373=10), "PRODUCTION")</f>
        <v>FLUSH</v>
      </c>
      <c r="U3373">
        <f>HOUR(datos_siembra[[#This Row],[Hour]])</f>
        <v>5</v>
      </c>
      <c r="V3373" cm="1">
        <f t="array" ref="V3373">_xlfn.IFS(AND(N3373&lt;= 22, S3373=9), N3373-7,AND(N3373&lt;= 28, S3373=9), N3373-25,AND(N3373&lt;= 30, S3373=9), N3373-28,AND(N3373&lt;= 11, S3373=10), N3373+2,AND(N3373&lt;= 21, S3373=10), N3373-11)</f>
        <v>12</v>
      </c>
    </row>
    <row r="3374" spans="1:22" x14ac:dyDescent="0.35">
      <c r="A3374" s="4">
        <v>45575</v>
      </c>
      <c r="B3374" s="5">
        <v>0.21954861111111112</v>
      </c>
      <c r="C3374">
        <v>68.8</v>
      </c>
      <c r="D3374">
        <v>67.2</v>
      </c>
      <c r="E3374">
        <v>71.3</v>
      </c>
      <c r="F3374">
        <v>68.3</v>
      </c>
      <c r="G3374">
        <v>0</v>
      </c>
      <c r="H3374">
        <v>0</v>
      </c>
      <c r="I3374">
        <v>0</v>
      </c>
      <c r="J3374">
        <v>0</v>
      </c>
      <c r="K3374">
        <v>62.5</v>
      </c>
      <c r="L3374">
        <v>62.3</v>
      </c>
      <c r="M3374">
        <v>68.819999999999993</v>
      </c>
      <c r="N3374">
        <v>10</v>
      </c>
      <c r="O3374">
        <v>2</v>
      </c>
      <c r="P3374">
        <f>MOD(DAY(datos_siembra[[#This Row],[Date]]),7)</f>
        <v>3</v>
      </c>
      <c r="Q3374" t="str">
        <f>CHOOSE(WEEKDAY(datos_siembra[[#This Row],[Date]],2),"L","M","X","J","V","S","D")</f>
        <v>J</v>
      </c>
      <c r="R3374">
        <f>WEEKNUM(datos_siembra[[#This Row],[Date]],2)-WEEKNUM(DATE(YEAR(datos_siembra[[#This Row],[Date]]),MONTH(datos_siembra[[#This Row],[Date]]),1))+1</f>
        <v>2</v>
      </c>
      <c r="S3374">
        <f>MONTH(datos_siembra[[#This Row],[Date]])</f>
        <v>10</v>
      </c>
      <c r="T3374" t="str" cm="1">
        <f t="array" ref="T3374">_xlfn.IFS(AND(N3374&lt;= 22, S3374=9), "SOWING",AND(N3374&lt;= 28, S3374=9), "COVERAGE",AND(N3374&lt;= 30, S3374=9), "FLUSH",AND(N3374&lt;= 11, S3374=10), "FLUSH",AND(N3374&lt;= 21, S3374=10), "PRODUCTION")</f>
        <v>FLUSH</v>
      </c>
      <c r="U3374">
        <f>HOUR(datos_siembra[[#This Row],[Hour]])</f>
        <v>5</v>
      </c>
      <c r="V3374" cm="1">
        <f t="array" ref="V3374">_xlfn.IFS(AND(N3374&lt;= 22, S3374=9), N3374-7,AND(N3374&lt;= 28, S3374=9), N3374-25,AND(N3374&lt;= 30, S3374=9), N3374-28,AND(N3374&lt;= 11, S3374=10), N3374+2,AND(N3374&lt;= 21, S3374=10), N3374-11)</f>
        <v>12</v>
      </c>
    </row>
    <row r="3375" spans="1:22" x14ac:dyDescent="0.35">
      <c r="A3375" s="4">
        <v>45575</v>
      </c>
      <c r="B3375" s="5">
        <v>0.22649305555555554</v>
      </c>
      <c r="C3375">
        <v>68.7</v>
      </c>
      <c r="D3375">
        <v>67.099999999999994</v>
      </c>
      <c r="E3375">
        <v>71.3</v>
      </c>
      <c r="F3375">
        <v>68.3</v>
      </c>
      <c r="G3375">
        <v>0</v>
      </c>
      <c r="H3375">
        <v>0</v>
      </c>
      <c r="I3375">
        <v>0</v>
      </c>
      <c r="J3375">
        <v>0</v>
      </c>
      <c r="K3375">
        <v>62.4</v>
      </c>
      <c r="L3375">
        <v>62.2</v>
      </c>
      <c r="M3375">
        <v>68.84</v>
      </c>
      <c r="N3375">
        <v>10</v>
      </c>
      <c r="O3375">
        <v>2</v>
      </c>
      <c r="P3375">
        <f>MOD(DAY(datos_siembra[[#This Row],[Date]]),7)</f>
        <v>3</v>
      </c>
      <c r="Q3375" t="str">
        <f>CHOOSE(WEEKDAY(datos_siembra[[#This Row],[Date]],2),"L","M","X","J","V","S","D")</f>
        <v>J</v>
      </c>
      <c r="R3375">
        <f>WEEKNUM(datos_siembra[[#This Row],[Date]],2)-WEEKNUM(DATE(YEAR(datos_siembra[[#This Row],[Date]]),MONTH(datos_siembra[[#This Row],[Date]]),1))+1</f>
        <v>2</v>
      </c>
      <c r="S3375">
        <f>MONTH(datos_siembra[[#This Row],[Date]])</f>
        <v>10</v>
      </c>
      <c r="T3375" t="str" cm="1">
        <f t="array" ref="T3375">_xlfn.IFS(AND(N3375&lt;= 22, S3375=9), "SOWING",AND(N3375&lt;= 28, S3375=9), "COVERAGE",AND(N3375&lt;= 30, S3375=9), "FLUSH",AND(N3375&lt;= 11, S3375=10), "FLUSH",AND(N3375&lt;= 21, S3375=10), "PRODUCTION")</f>
        <v>FLUSH</v>
      </c>
      <c r="U3375">
        <f>HOUR(datos_siembra[[#This Row],[Hour]])</f>
        <v>5</v>
      </c>
      <c r="V3375" cm="1">
        <f t="array" ref="V3375">_xlfn.IFS(AND(N3375&lt;= 22, S3375=9), N3375-7,AND(N3375&lt;= 28, S3375=9), N3375-25,AND(N3375&lt;= 30, S3375=9), N3375-28,AND(N3375&lt;= 11, S3375=10), N3375+2,AND(N3375&lt;= 21, S3375=10), N3375-11)</f>
        <v>12</v>
      </c>
    </row>
    <row r="3376" spans="1:22" x14ac:dyDescent="0.35">
      <c r="A3376" s="4">
        <v>45575</v>
      </c>
      <c r="B3376" s="5">
        <v>0.23343749999999999</v>
      </c>
      <c r="C3376">
        <v>68.8</v>
      </c>
      <c r="D3376">
        <v>67.099999999999994</v>
      </c>
      <c r="E3376">
        <v>71.5</v>
      </c>
      <c r="F3376">
        <v>68.2</v>
      </c>
      <c r="G3376">
        <v>0</v>
      </c>
      <c r="H3376">
        <v>0</v>
      </c>
      <c r="I3376">
        <v>0</v>
      </c>
      <c r="J3376">
        <v>0</v>
      </c>
      <c r="K3376">
        <v>62.5</v>
      </c>
      <c r="L3376">
        <v>62.3</v>
      </c>
      <c r="M3376">
        <v>68.930000000000007</v>
      </c>
      <c r="N3376">
        <v>10</v>
      </c>
      <c r="O3376">
        <v>2</v>
      </c>
      <c r="P3376">
        <f>MOD(DAY(datos_siembra[[#This Row],[Date]]),7)</f>
        <v>3</v>
      </c>
      <c r="Q3376" t="str">
        <f>CHOOSE(WEEKDAY(datos_siembra[[#This Row],[Date]],2),"L","M","X","J","V","S","D")</f>
        <v>J</v>
      </c>
      <c r="R3376">
        <f>WEEKNUM(datos_siembra[[#This Row],[Date]],2)-WEEKNUM(DATE(YEAR(datos_siembra[[#This Row],[Date]]),MONTH(datos_siembra[[#This Row],[Date]]),1))+1</f>
        <v>2</v>
      </c>
      <c r="S3376">
        <f>MONTH(datos_siembra[[#This Row],[Date]])</f>
        <v>10</v>
      </c>
      <c r="T3376" t="str" cm="1">
        <f t="array" ref="T3376">_xlfn.IFS(AND(N3376&lt;= 22, S3376=9), "SOWING",AND(N3376&lt;= 28, S3376=9), "COVERAGE",AND(N3376&lt;= 30, S3376=9), "FLUSH",AND(N3376&lt;= 11, S3376=10), "FLUSH",AND(N3376&lt;= 21, S3376=10), "PRODUCTION")</f>
        <v>FLUSH</v>
      </c>
      <c r="U3376">
        <f>HOUR(datos_siembra[[#This Row],[Hour]])</f>
        <v>5</v>
      </c>
      <c r="V3376" cm="1">
        <f t="array" ref="V3376">_xlfn.IFS(AND(N3376&lt;= 22, S3376=9), N3376-7,AND(N3376&lt;= 28, S3376=9), N3376-25,AND(N3376&lt;= 30, S3376=9), N3376-28,AND(N3376&lt;= 11, S3376=10), N3376+2,AND(N3376&lt;= 21, S3376=10), N3376-11)</f>
        <v>12</v>
      </c>
    </row>
    <row r="3377" spans="1:22" x14ac:dyDescent="0.35">
      <c r="A3377" s="4">
        <v>45575</v>
      </c>
      <c r="B3377" s="5">
        <v>0.24039351851851851</v>
      </c>
      <c r="C3377">
        <v>68.8</v>
      </c>
      <c r="D3377">
        <v>67.2</v>
      </c>
      <c r="E3377">
        <v>71.3</v>
      </c>
      <c r="F3377">
        <v>68.2</v>
      </c>
      <c r="G3377">
        <v>0</v>
      </c>
      <c r="H3377">
        <v>0</v>
      </c>
      <c r="I3377">
        <v>0</v>
      </c>
      <c r="J3377">
        <v>0</v>
      </c>
      <c r="K3377">
        <v>62.4</v>
      </c>
      <c r="L3377">
        <v>62.2</v>
      </c>
      <c r="M3377">
        <v>68.819999999999993</v>
      </c>
      <c r="N3377">
        <v>10</v>
      </c>
      <c r="O3377">
        <v>2</v>
      </c>
      <c r="P3377">
        <f>MOD(DAY(datos_siembra[[#This Row],[Date]]),7)</f>
        <v>3</v>
      </c>
      <c r="Q3377" t="str">
        <f>CHOOSE(WEEKDAY(datos_siembra[[#This Row],[Date]],2),"L","M","X","J","V","S","D")</f>
        <v>J</v>
      </c>
      <c r="R3377">
        <f>WEEKNUM(datos_siembra[[#This Row],[Date]],2)-WEEKNUM(DATE(YEAR(datos_siembra[[#This Row],[Date]]),MONTH(datos_siembra[[#This Row],[Date]]),1))+1</f>
        <v>2</v>
      </c>
      <c r="S3377">
        <f>MONTH(datos_siembra[[#This Row],[Date]])</f>
        <v>10</v>
      </c>
      <c r="T3377" t="str" cm="1">
        <f t="array" ref="T3377">_xlfn.IFS(AND(N3377&lt;= 22, S3377=9), "SOWING",AND(N3377&lt;= 28, S3377=9), "COVERAGE",AND(N3377&lt;= 30, S3377=9), "FLUSH",AND(N3377&lt;= 11, S3377=10), "FLUSH",AND(N3377&lt;= 21, S3377=10), "PRODUCTION")</f>
        <v>FLUSH</v>
      </c>
      <c r="U3377">
        <f>HOUR(datos_siembra[[#This Row],[Hour]])</f>
        <v>5</v>
      </c>
      <c r="V3377" cm="1">
        <f t="array" ref="V3377">_xlfn.IFS(AND(N3377&lt;= 22, S3377=9), N3377-7,AND(N3377&lt;= 28, S3377=9), N3377-25,AND(N3377&lt;= 30, S3377=9), N3377-28,AND(N3377&lt;= 11, S3377=10), N3377+2,AND(N3377&lt;= 21, S3377=10), N3377-11)</f>
        <v>12</v>
      </c>
    </row>
    <row r="3378" spans="1:22" x14ac:dyDescent="0.35">
      <c r="A3378" s="4">
        <v>45575</v>
      </c>
      <c r="B3378" s="5">
        <v>0.24733796296296295</v>
      </c>
      <c r="C3378">
        <v>68.8</v>
      </c>
      <c r="D3378">
        <v>67.2</v>
      </c>
      <c r="E3378">
        <v>71.3</v>
      </c>
      <c r="F3378">
        <v>68.2</v>
      </c>
      <c r="G3378">
        <v>0</v>
      </c>
      <c r="H3378">
        <v>0</v>
      </c>
      <c r="I3378">
        <v>0</v>
      </c>
      <c r="J3378">
        <v>0</v>
      </c>
      <c r="K3378">
        <v>62.5</v>
      </c>
      <c r="L3378">
        <v>62.3</v>
      </c>
      <c r="M3378">
        <v>68.84</v>
      </c>
      <c r="N3378">
        <v>10</v>
      </c>
      <c r="O3378">
        <v>2</v>
      </c>
      <c r="P3378">
        <f>MOD(DAY(datos_siembra[[#This Row],[Date]]),7)</f>
        <v>3</v>
      </c>
      <c r="Q3378" t="str">
        <f>CHOOSE(WEEKDAY(datos_siembra[[#This Row],[Date]],2),"L","M","X","J","V","S","D")</f>
        <v>J</v>
      </c>
      <c r="R3378">
        <f>WEEKNUM(datos_siembra[[#This Row],[Date]],2)-WEEKNUM(DATE(YEAR(datos_siembra[[#This Row],[Date]]),MONTH(datos_siembra[[#This Row],[Date]]),1))+1</f>
        <v>2</v>
      </c>
      <c r="S3378">
        <f>MONTH(datos_siembra[[#This Row],[Date]])</f>
        <v>10</v>
      </c>
      <c r="T3378" t="str" cm="1">
        <f t="array" ref="T3378">_xlfn.IFS(AND(N3378&lt;= 22, S3378=9), "SOWING",AND(N3378&lt;= 28, S3378=9), "COVERAGE",AND(N3378&lt;= 30, S3378=9), "FLUSH",AND(N3378&lt;= 11, S3378=10), "FLUSH",AND(N3378&lt;= 21, S3378=10), "PRODUCTION")</f>
        <v>FLUSH</v>
      </c>
      <c r="U3378">
        <f>HOUR(datos_siembra[[#This Row],[Hour]])</f>
        <v>5</v>
      </c>
      <c r="V3378" cm="1">
        <f t="array" ref="V3378">_xlfn.IFS(AND(N3378&lt;= 22, S3378=9), N3378-7,AND(N3378&lt;= 28, S3378=9), N3378-25,AND(N3378&lt;= 30, S3378=9), N3378-28,AND(N3378&lt;= 11, S3378=10), N3378+2,AND(N3378&lt;= 21, S3378=10), N3378-11)</f>
        <v>12</v>
      </c>
    </row>
    <row r="3379" spans="1:22" x14ac:dyDescent="0.35">
      <c r="A3379" s="4">
        <v>45575</v>
      </c>
      <c r="B3379" s="5">
        <v>0.25428240740740743</v>
      </c>
      <c r="C3379">
        <v>68.8</v>
      </c>
      <c r="D3379">
        <v>67.2</v>
      </c>
      <c r="E3379">
        <v>71.599999999999994</v>
      </c>
      <c r="F3379">
        <v>68.5</v>
      </c>
      <c r="G3379">
        <v>0</v>
      </c>
      <c r="H3379">
        <v>0</v>
      </c>
      <c r="I3379">
        <v>0</v>
      </c>
      <c r="J3379">
        <v>0</v>
      </c>
      <c r="K3379">
        <v>62.4</v>
      </c>
      <c r="L3379">
        <v>62.3</v>
      </c>
      <c r="M3379">
        <v>69.069999999999993</v>
      </c>
      <c r="N3379">
        <v>10</v>
      </c>
      <c r="O3379">
        <v>2</v>
      </c>
      <c r="P3379">
        <f>MOD(DAY(datos_siembra[[#This Row],[Date]]),7)</f>
        <v>3</v>
      </c>
      <c r="Q3379" t="str">
        <f>CHOOSE(WEEKDAY(datos_siembra[[#This Row],[Date]],2),"L","M","X","J","V","S","D")</f>
        <v>J</v>
      </c>
      <c r="R3379">
        <f>WEEKNUM(datos_siembra[[#This Row],[Date]],2)-WEEKNUM(DATE(YEAR(datos_siembra[[#This Row],[Date]]),MONTH(datos_siembra[[#This Row],[Date]]),1))+1</f>
        <v>2</v>
      </c>
      <c r="S3379">
        <f>MONTH(datos_siembra[[#This Row],[Date]])</f>
        <v>10</v>
      </c>
      <c r="T3379" t="str" cm="1">
        <f t="array" ref="T3379">_xlfn.IFS(AND(N3379&lt;= 22, S3379=9), "SOWING",AND(N3379&lt;= 28, S3379=9), "COVERAGE",AND(N3379&lt;= 30, S3379=9), "FLUSH",AND(N3379&lt;= 11, S3379=10), "FLUSH",AND(N3379&lt;= 21, S3379=10), "PRODUCTION")</f>
        <v>FLUSH</v>
      </c>
      <c r="U3379">
        <f>HOUR(datos_siembra[[#This Row],[Hour]])</f>
        <v>6</v>
      </c>
      <c r="V3379" cm="1">
        <f t="array" ref="V3379">_xlfn.IFS(AND(N3379&lt;= 22, S3379=9), N3379-7,AND(N3379&lt;= 28, S3379=9), N3379-25,AND(N3379&lt;= 30, S3379=9), N3379-28,AND(N3379&lt;= 11, S3379=10), N3379+2,AND(N3379&lt;= 21, S3379=10), N3379-11)</f>
        <v>12</v>
      </c>
    </row>
    <row r="3380" spans="1:22" x14ac:dyDescent="0.35">
      <c r="A3380" s="4">
        <v>45575</v>
      </c>
      <c r="B3380" s="5">
        <v>0.26122685185185185</v>
      </c>
      <c r="C3380">
        <v>68.8</v>
      </c>
      <c r="D3380">
        <v>67</v>
      </c>
      <c r="E3380">
        <v>71.400000000000006</v>
      </c>
      <c r="F3380">
        <v>68.3</v>
      </c>
      <c r="G3380">
        <v>0</v>
      </c>
      <c r="H3380">
        <v>0</v>
      </c>
      <c r="I3380">
        <v>0</v>
      </c>
      <c r="J3380">
        <v>0</v>
      </c>
      <c r="K3380">
        <v>62.5</v>
      </c>
      <c r="L3380">
        <v>62.4</v>
      </c>
      <c r="M3380">
        <v>68.84</v>
      </c>
      <c r="N3380">
        <v>10</v>
      </c>
      <c r="O3380">
        <v>2</v>
      </c>
      <c r="P3380">
        <f>MOD(DAY(datos_siembra[[#This Row],[Date]]),7)</f>
        <v>3</v>
      </c>
      <c r="Q3380" t="str">
        <f>CHOOSE(WEEKDAY(datos_siembra[[#This Row],[Date]],2),"L","M","X","J","V","S","D")</f>
        <v>J</v>
      </c>
      <c r="R3380">
        <f>WEEKNUM(datos_siembra[[#This Row],[Date]],2)-WEEKNUM(DATE(YEAR(datos_siembra[[#This Row],[Date]]),MONTH(datos_siembra[[#This Row],[Date]]),1))+1</f>
        <v>2</v>
      </c>
      <c r="S3380">
        <f>MONTH(datos_siembra[[#This Row],[Date]])</f>
        <v>10</v>
      </c>
      <c r="T3380" t="str" cm="1">
        <f t="array" ref="T3380">_xlfn.IFS(AND(N3380&lt;= 22, S3380=9), "SOWING",AND(N3380&lt;= 28, S3380=9), "COVERAGE",AND(N3380&lt;= 30, S3380=9), "FLUSH",AND(N3380&lt;= 11, S3380=10), "FLUSH",AND(N3380&lt;= 21, S3380=10), "PRODUCTION")</f>
        <v>FLUSH</v>
      </c>
      <c r="U3380">
        <f>HOUR(datos_siembra[[#This Row],[Hour]])</f>
        <v>6</v>
      </c>
      <c r="V3380" cm="1">
        <f t="array" ref="V3380">_xlfn.IFS(AND(N3380&lt;= 22, S3380=9), N3380-7,AND(N3380&lt;= 28, S3380=9), N3380-25,AND(N3380&lt;= 30, S3380=9), N3380-28,AND(N3380&lt;= 11, S3380=10), N3380+2,AND(N3380&lt;= 21, S3380=10), N3380-11)</f>
        <v>12</v>
      </c>
    </row>
    <row r="3381" spans="1:22" x14ac:dyDescent="0.35">
      <c r="A3381" s="4">
        <v>45575</v>
      </c>
      <c r="B3381" s="5">
        <v>0.26818287037037036</v>
      </c>
      <c r="C3381">
        <v>68.8</v>
      </c>
      <c r="D3381">
        <v>67.2</v>
      </c>
      <c r="E3381">
        <v>71.599999999999994</v>
      </c>
      <c r="F3381">
        <v>68.5</v>
      </c>
      <c r="G3381">
        <v>0</v>
      </c>
      <c r="H3381">
        <v>0</v>
      </c>
      <c r="I3381">
        <v>0</v>
      </c>
      <c r="J3381">
        <v>0</v>
      </c>
      <c r="K3381">
        <v>62.4</v>
      </c>
      <c r="L3381">
        <v>62.4</v>
      </c>
      <c r="M3381">
        <v>68.930000000000007</v>
      </c>
      <c r="N3381">
        <v>10</v>
      </c>
      <c r="O3381">
        <v>2</v>
      </c>
      <c r="P3381">
        <f>MOD(DAY(datos_siembra[[#This Row],[Date]]),7)</f>
        <v>3</v>
      </c>
      <c r="Q3381" t="str">
        <f>CHOOSE(WEEKDAY(datos_siembra[[#This Row],[Date]],2),"L","M","X","J","V","S","D")</f>
        <v>J</v>
      </c>
      <c r="R3381">
        <f>WEEKNUM(datos_siembra[[#This Row],[Date]],2)-WEEKNUM(DATE(YEAR(datos_siembra[[#This Row],[Date]]),MONTH(datos_siembra[[#This Row],[Date]]),1))+1</f>
        <v>2</v>
      </c>
      <c r="S3381">
        <f>MONTH(datos_siembra[[#This Row],[Date]])</f>
        <v>10</v>
      </c>
      <c r="T3381" t="str" cm="1">
        <f t="array" ref="T3381">_xlfn.IFS(AND(N3381&lt;= 22, S3381=9), "SOWING",AND(N3381&lt;= 28, S3381=9), "COVERAGE",AND(N3381&lt;= 30, S3381=9), "FLUSH",AND(N3381&lt;= 11, S3381=10), "FLUSH",AND(N3381&lt;= 21, S3381=10), "PRODUCTION")</f>
        <v>FLUSH</v>
      </c>
      <c r="U3381">
        <f>HOUR(datos_siembra[[#This Row],[Hour]])</f>
        <v>6</v>
      </c>
      <c r="V3381" cm="1">
        <f t="array" ref="V3381">_xlfn.IFS(AND(N3381&lt;= 22, S3381=9), N3381-7,AND(N3381&lt;= 28, S3381=9), N3381-25,AND(N3381&lt;= 30, S3381=9), N3381-28,AND(N3381&lt;= 11, S3381=10), N3381+2,AND(N3381&lt;= 21, S3381=10), N3381-11)</f>
        <v>12</v>
      </c>
    </row>
    <row r="3382" spans="1:22" x14ac:dyDescent="0.35">
      <c r="A3382" s="4">
        <v>45575</v>
      </c>
      <c r="B3382" s="5">
        <v>0.27512731481481484</v>
      </c>
      <c r="C3382">
        <v>68.8</v>
      </c>
      <c r="D3382">
        <v>67.099999999999994</v>
      </c>
      <c r="E3382">
        <v>71.599999999999994</v>
      </c>
      <c r="F3382">
        <v>68.2</v>
      </c>
      <c r="G3382">
        <v>0</v>
      </c>
      <c r="H3382">
        <v>0</v>
      </c>
      <c r="I3382">
        <v>0</v>
      </c>
      <c r="J3382">
        <v>0</v>
      </c>
      <c r="K3382">
        <v>62.5</v>
      </c>
      <c r="L3382">
        <v>62.5</v>
      </c>
      <c r="M3382">
        <v>68.959999999999994</v>
      </c>
      <c r="N3382">
        <v>10</v>
      </c>
      <c r="O3382">
        <v>2</v>
      </c>
      <c r="P3382">
        <f>MOD(DAY(datos_siembra[[#This Row],[Date]]),7)</f>
        <v>3</v>
      </c>
      <c r="Q3382" t="str">
        <f>CHOOSE(WEEKDAY(datos_siembra[[#This Row],[Date]],2),"L","M","X","J","V","S","D")</f>
        <v>J</v>
      </c>
      <c r="R3382">
        <f>WEEKNUM(datos_siembra[[#This Row],[Date]],2)-WEEKNUM(DATE(YEAR(datos_siembra[[#This Row],[Date]]),MONTH(datos_siembra[[#This Row],[Date]]),1))+1</f>
        <v>2</v>
      </c>
      <c r="S3382">
        <f>MONTH(datos_siembra[[#This Row],[Date]])</f>
        <v>10</v>
      </c>
      <c r="T3382" t="str" cm="1">
        <f t="array" ref="T3382">_xlfn.IFS(AND(N3382&lt;= 22, S3382=9), "SOWING",AND(N3382&lt;= 28, S3382=9), "COVERAGE",AND(N3382&lt;= 30, S3382=9), "FLUSH",AND(N3382&lt;= 11, S3382=10), "FLUSH",AND(N3382&lt;= 21, S3382=10), "PRODUCTION")</f>
        <v>FLUSH</v>
      </c>
      <c r="U3382">
        <f>HOUR(datos_siembra[[#This Row],[Hour]])</f>
        <v>6</v>
      </c>
      <c r="V3382" cm="1">
        <f t="array" ref="V3382">_xlfn.IFS(AND(N3382&lt;= 22, S3382=9), N3382-7,AND(N3382&lt;= 28, S3382=9), N3382-25,AND(N3382&lt;= 30, S3382=9), N3382-28,AND(N3382&lt;= 11, S3382=10), N3382+2,AND(N3382&lt;= 21, S3382=10), N3382-11)</f>
        <v>12</v>
      </c>
    </row>
    <row r="3383" spans="1:22" x14ac:dyDescent="0.35">
      <c r="A3383" s="4">
        <v>45575</v>
      </c>
      <c r="B3383" s="5">
        <v>0.28207175925925926</v>
      </c>
      <c r="C3383">
        <v>68.900000000000006</v>
      </c>
      <c r="D3383">
        <v>67.3</v>
      </c>
      <c r="E3383">
        <v>71.5</v>
      </c>
      <c r="F3383">
        <v>68.5</v>
      </c>
      <c r="G3383">
        <v>0</v>
      </c>
      <c r="H3383">
        <v>0</v>
      </c>
      <c r="I3383">
        <v>0</v>
      </c>
      <c r="J3383">
        <v>0</v>
      </c>
      <c r="K3383">
        <v>62.5</v>
      </c>
      <c r="L3383">
        <v>62.4</v>
      </c>
      <c r="M3383">
        <v>68.98</v>
      </c>
      <c r="N3383">
        <v>10</v>
      </c>
      <c r="O3383">
        <v>2</v>
      </c>
      <c r="P3383">
        <f>MOD(DAY(datos_siembra[[#This Row],[Date]]),7)</f>
        <v>3</v>
      </c>
      <c r="Q3383" t="str">
        <f>CHOOSE(WEEKDAY(datos_siembra[[#This Row],[Date]],2),"L","M","X","J","V","S","D")</f>
        <v>J</v>
      </c>
      <c r="R3383">
        <f>WEEKNUM(datos_siembra[[#This Row],[Date]],2)-WEEKNUM(DATE(YEAR(datos_siembra[[#This Row],[Date]]),MONTH(datos_siembra[[#This Row],[Date]]),1))+1</f>
        <v>2</v>
      </c>
      <c r="S3383">
        <f>MONTH(datos_siembra[[#This Row],[Date]])</f>
        <v>10</v>
      </c>
      <c r="T3383" t="str" cm="1">
        <f t="array" ref="T3383">_xlfn.IFS(AND(N3383&lt;= 22, S3383=9), "SOWING",AND(N3383&lt;= 28, S3383=9), "COVERAGE",AND(N3383&lt;= 30, S3383=9), "FLUSH",AND(N3383&lt;= 11, S3383=10), "FLUSH",AND(N3383&lt;= 21, S3383=10), "PRODUCTION")</f>
        <v>FLUSH</v>
      </c>
      <c r="U3383">
        <f>HOUR(datos_siembra[[#This Row],[Hour]])</f>
        <v>6</v>
      </c>
      <c r="V3383" cm="1">
        <f t="array" ref="V3383">_xlfn.IFS(AND(N3383&lt;= 22, S3383=9), N3383-7,AND(N3383&lt;= 28, S3383=9), N3383-25,AND(N3383&lt;= 30, S3383=9), N3383-28,AND(N3383&lt;= 11, S3383=10), N3383+2,AND(N3383&lt;= 21, S3383=10), N3383-11)</f>
        <v>12</v>
      </c>
    </row>
    <row r="3384" spans="1:22" x14ac:dyDescent="0.35">
      <c r="A3384" s="4">
        <v>45575</v>
      </c>
      <c r="B3384" s="5">
        <v>0.28901620370370368</v>
      </c>
      <c r="C3384">
        <v>68.8</v>
      </c>
      <c r="D3384">
        <v>67.3</v>
      </c>
      <c r="E3384">
        <v>71.900000000000006</v>
      </c>
      <c r="F3384">
        <v>68.5</v>
      </c>
      <c r="G3384">
        <v>0</v>
      </c>
      <c r="H3384">
        <v>0</v>
      </c>
      <c r="I3384">
        <v>0</v>
      </c>
      <c r="J3384">
        <v>0</v>
      </c>
      <c r="K3384">
        <v>62.5</v>
      </c>
      <c r="L3384">
        <v>62.5</v>
      </c>
      <c r="M3384">
        <v>69.010000000000005</v>
      </c>
      <c r="N3384">
        <v>10</v>
      </c>
      <c r="O3384">
        <v>2</v>
      </c>
      <c r="P3384">
        <f>MOD(DAY(datos_siembra[[#This Row],[Date]]),7)</f>
        <v>3</v>
      </c>
      <c r="Q3384" t="str">
        <f>CHOOSE(WEEKDAY(datos_siembra[[#This Row],[Date]],2),"L","M","X","J","V","S","D")</f>
        <v>J</v>
      </c>
      <c r="R3384">
        <f>WEEKNUM(datos_siembra[[#This Row],[Date]],2)-WEEKNUM(DATE(YEAR(datos_siembra[[#This Row],[Date]]),MONTH(datos_siembra[[#This Row],[Date]]),1))+1</f>
        <v>2</v>
      </c>
      <c r="S3384">
        <f>MONTH(datos_siembra[[#This Row],[Date]])</f>
        <v>10</v>
      </c>
      <c r="T3384" t="str" cm="1">
        <f t="array" ref="T3384">_xlfn.IFS(AND(N3384&lt;= 22, S3384=9), "SOWING",AND(N3384&lt;= 28, S3384=9), "COVERAGE",AND(N3384&lt;= 30, S3384=9), "FLUSH",AND(N3384&lt;= 11, S3384=10), "FLUSH",AND(N3384&lt;= 21, S3384=10), "PRODUCTION")</f>
        <v>FLUSH</v>
      </c>
      <c r="U3384">
        <f>HOUR(datos_siembra[[#This Row],[Hour]])</f>
        <v>6</v>
      </c>
      <c r="V3384" cm="1">
        <f t="array" ref="V3384">_xlfn.IFS(AND(N3384&lt;= 22, S3384=9), N3384-7,AND(N3384&lt;= 28, S3384=9), N3384-25,AND(N3384&lt;= 30, S3384=9), N3384-28,AND(N3384&lt;= 11, S3384=10), N3384+2,AND(N3384&lt;= 21, S3384=10), N3384-11)</f>
        <v>12</v>
      </c>
    </row>
    <row r="3385" spans="1:22" x14ac:dyDescent="0.35">
      <c r="A3385" s="4">
        <v>45575</v>
      </c>
      <c r="B3385" s="5">
        <v>0.29597222222222225</v>
      </c>
      <c r="C3385">
        <v>68.8</v>
      </c>
      <c r="D3385">
        <v>67.3</v>
      </c>
      <c r="E3385">
        <v>71.900000000000006</v>
      </c>
      <c r="F3385">
        <v>68.3</v>
      </c>
      <c r="G3385">
        <v>0</v>
      </c>
      <c r="H3385">
        <v>0</v>
      </c>
      <c r="I3385">
        <v>0</v>
      </c>
      <c r="J3385">
        <v>0</v>
      </c>
      <c r="K3385">
        <v>62.6</v>
      </c>
      <c r="L3385">
        <v>62.6</v>
      </c>
      <c r="M3385">
        <v>69.099999999999994</v>
      </c>
      <c r="N3385">
        <v>10</v>
      </c>
      <c r="O3385">
        <v>2</v>
      </c>
      <c r="P3385">
        <f>MOD(DAY(datos_siembra[[#This Row],[Date]]),7)</f>
        <v>3</v>
      </c>
      <c r="Q3385" t="str">
        <f>CHOOSE(WEEKDAY(datos_siembra[[#This Row],[Date]],2),"L","M","X","J","V","S","D")</f>
        <v>J</v>
      </c>
      <c r="R3385">
        <f>WEEKNUM(datos_siembra[[#This Row],[Date]],2)-WEEKNUM(DATE(YEAR(datos_siembra[[#This Row],[Date]]),MONTH(datos_siembra[[#This Row],[Date]]),1))+1</f>
        <v>2</v>
      </c>
      <c r="S3385">
        <f>MONTH(datos_siembra[[#This Row],[Date]])</f>
        <v>10</v>
      </c>
      <c r="T3385" t="str" cm="1">
        <f t="array" ref="T3385">_xlfn.IFS(AND(N3385&lt;= 22, S3385=9), "SOWING",AND(N3385&lt;= 28, S3385=9), "COVERAGE",AND(N3385&lt;= 30, S3385=9), "FLUSH",AND(N3385&lt;= 11, S3385=10), "FLUSH",AND(N3385&lt;= 21, S3385=10), "PRODUCTION")</f>
        <v>FLUSH</v>
      </c>
      <c r="U3385">
        <f>HOUR(datos_siembra[[#This Row],[Hour]])</f>
        <v>7</v>
      </c>
      <c r="V3385" cm="1">
        <f t="array" ref="V3385">_xlfn.IFS(AND(N3385&lt;= 22, S3385=9), N3385-7,AND(N3385&lt;= 28, S3385=9), N3385-25,AND(N3385&lt;= 30, S3385=9), N3385-28,AND(N3385&lt;= 11, S3385=10), N3385+2,AND(N3385&lt;= 21, S3385=10), N3385-11)</f>
        <v>12</v>
      </c>
    </row>
    <row r="3386" spans="1:22" x14ac:dyDescent="0.35">
      <c r="A3386" s="4">
        <v>45575</v>
      </c>
      <c r="B3386" s="5">
        <v>0.30291666666666667</v>
      </c>
      <c r="C3386">
        <v>68.900000000000006</v>
      </c>
      <c r="D3386">
        <v>67.2</v>
      </c>
      <c r="E3386">
        <v>71.5</v>
      </c>
      <c r="F3386">
        <v>68.2</v>
      </c>
      <c r="G3386">
        <v>0</v>
      </c>
      <c r="H3386">
        <v>0</v>
      </c>
      <c r="I3386">
        <v>0</v>
      </c>
      <c r="J3386">
        <v>0</v>
      </c>
      <c r="K3386">
        <v>62.6</v>
      </c>
      <c r="L3386">
        <v>62.6</v>
      </c>
      <c r="M3386">
        <v>68.98</v>
      </c>
      <c r="N3386">
        <v>10</v>
      </c>
      <c r="O3386">
        <v>2</v>
      </c>
      <c r="P3386">
        <f>MOD(DAY(datos_siembra[[#This Row],[Date]]),7)</f>
        <v>3</v>
      </c>
      <c r="Q3386" t="str">
        <f>CHOOSE(WEEKDAY(datos_siembra[[#This Row],[Date]],2),"L","M","X","J","V","S","D")</f>
        <v>J</v>
      </c>
      <c r="R3386">
        <f>WEEKNUM(datos_siembra[[#This Row],[Date]],2)-WEEKNUM(DATE(YEAR(datos_siembra[[#This Row],[Date]]),MONTH(datos_siembra[[#This Row],[Date]]),1))+1</f>
        <v>2</v>
      </c>
      <c r="S3386">
        <f>MONTH(datos_siembra[[#This Row],[Date]])</f>
        <v>10</v>
      </c>
      <c r="T3386" t="str" cm="1">
        <f t="array" ref="T3386">_xlfn.IFS(AND(N3386&lt;= 22, S3386=9), "SOWING",AND(N3386&lt;= 28, S3386=9), "COVERAGE",AND(N3386&lt;= 30, S3386=9), "FLUSH",AND(N3386&lt;= 11, S3386=10), "FLUSH",AND(N3386&lt;= 21, S3386=10), "PRODUCTION")</f>
        <v>FLUSH</v>
      </c>
      <c r="U3386">
        <f>HOUR(datos_siembra[[#This Row],[Hour]])</f>
        <v>7</v>
      </c>
      <c r="V3386" cm="1">
        <f t="array" ref="V3386">_xlfn.IFS(AND(N3386&lt;= 22, S3386=9), N3386-7,AND(N3386&lt;= 28, S3386=9), N3386-25,AND(N3386&lt;= 30, S3386=9), N3386-28,AND(N3386&lt;= 11, S3386=10), N3386+2,AND(N3386&lt;= 21, S3386=10), N3386-11)</f>
        <v>12</v>
      </c>
    </row>
    <row r="3387" spans="1:22" x14ac:dyDescent="0.35">
      <c r="A3387" s="4">
        <v>45575</v>
      </c>
      <c r="B3387" s="5">
        <v>0.30986111111111109</v>
      </c>
      <c r="C3387">
        <v>68.8</v>
      </c>
      <c r="D3387">
        <v>67</v>
      </c>
      <c r="E3387">
        <v>71.599999999999994</v>
      </c>
      <c r="F3387">
        <v>68.599999999999994</v>
      </c>
      <c r="G3387">
        <v>0</v>
      </c>
      <c r="H3387">
        <v>0</v>
      </c>
      <c r="I3387">
        <v>0</v>
      </c>
      <c r="J3387">
        <v>0</v>
      </c>
      <c r="K3387">
        <v>62.7</v>
      </c>
      <c r="L3387">
        <v>62.7</v>
      </c>
      <c r="M3387">
        <v>69.040000000000006</v>
      </c>
      <c r="N3387">
        <v>10</v>
      </c>
      <c r="O3387">
        <v>2</v>
      </c>
      <c r="P3387">
        <f>MOD(DAY(datos_siembra[[#This Row],[Date]]),7)</f>
        <v>3</v>
      </c>
      <c r="Q3387" t="str">
        <f>CHOOSE(WEEKDAY(datos_siembra[[#This Row],[Date]],2),"L","M","X","J","V","S","D")</f>
        <v>J</v>
      </c>
      <c r="R3387">
        <f>WEEKNUM(datos_siembra[[#This Row],[Date]],2)-WEEKNUM(DATE(YEAR(datos_siembra[[#This Row],[Date]]),MONTH(datos_siembra[[#This Row],[Date]]),1))+1</f>
        <v>2</v>
      </c>
      <c r="S3387">
        <f>MONTH(datos_siembra[[#This Row],[Date]])</f>
        <v>10</v>
      </c>
      <c r="T3387" t="str" cm="1">
        <f t="array" ref="T3387">_xlfn.IFS(AND(N3387&lt;= 22, S3387=9), "SOWING",AND(N3387&lt;= 28, S3387=9), "COVERAGE",AND(N3387&lt;= 30, S3387=9), "FLUSH",AND(N3387&lt;= 11, S3387=10), "FLUSH",AND(N3387&lt;= 21, S3387=10), "PRODUCTION")</f>
        <v>FLUSH</v>
      </c>
      <c r="U3387">
        <f>HOUR(datos_siembra[[#This Row],[Hour]])</f>
        <v>7</v>
      </c>
      <c r="V3387" cm="1">
        <f t="array" ref="V3387">_xlfn.IFS(AND(N3387&lt;= 22, S3387=9), N3387-7,AND(N3387&lt;= 28, S3387=9), N3387-25,AND(N3387&lt;= 30, S3387=9), N3387-28,AND(N3387&lt;= 11, S3387=10), N3387+2,AND(N3387&lt;= 21, S3387=10), N3387-11)</f>
        <v>12</v>
      </c>
    </row>
    <row r="3388" spans="1:22" x14ac:dyDescent="0.35">
      <c r="A3388" s="4">
        <v>45575</v>
      </c>
      <c r="B3388" s="5">
        <v>0.31681712962962966</v>
      </c>
      <c r="C3388">
        <v>69</v>
      </c>
      <c r="D3388">
        <v>67.099999999999994</v>
      </c>
      <c r="E3388">
        <v>71.8</v>
      </c>
      <c r="F3388">
        <v>68.5</v>
      </c>
      <c r="G3388">
        <v>0</v>
      </c>
      <c r="H3388">
        <v>0</v>
      </c>
      <c r="I3388">
        <v>0</v>
      </c>
      <c r="J3388">
        <v>0</v>
      </c>
      <c r="K3388">
        <v>62.8</v>
      </c>
      <c r="L3388">
        <v>62.7</v>
      </c>
      <c r="M3388">
        <v>69.040000000000006</v>
      </c>
      <c r="N3388">
        <v>10</v>
      </c>
      <c r="O3388">
        <v>2</v>
      </c>
      <c r="P3388">
        <f>MOD(DAY(datos_siembra[[#This Row],[Date]]),7)</f>
        <v>3</v>
      </c>
      <c r="Q3388" t="str">
        <f>CHOOSE(WEEKDAY(datos_siembra[[#This Row],[Date]],2),"L","M","X","J","V","S","D")</f>
        <v>J</v>
      </c>
      <c r="R3388">
        <f>WEEKNUM(datos_siembra[[#This Row],[Date]],2)-WEEKNUM(DATE(YEAR(datos_siembra[[#This Row],[Date]]),MONTH(datos_siembra[[#This Row],[Date]]),1))+1</f>
        <v>2</v>
      </c>
      <c r="S3388">
        <f>MONTH(datos_siembra[[#This Row],[Date]])</f>
        <v>10</v>
      </c>
      <c r="T3388" t="str" cm="1">
        <f t="array" ref="T3388">_xlfn.IFS(AND(N3388&lt;= 22, S3388=9), "SOWING",AND(N3388&lt;= 28, S3388=9), "COVERAGE",AND(N3388&lt;= 30, S3388=9), "FLUSH",AND(N3388&lt;= 11, S3388=10), "FLUSH",AND(N3388&lt;= 21, S3388=10), "PRODUCTION")</f>
        <v>FLUSH</v>
      </c>
      <c r="U3388">
        <f>HOUR(datos_siembra[[#This Row],[Hour]])</f>
        <v>7</v>
      </c>
      <c r="V3388" cm="1">
        <f t="array" ref="V3388">_xlfn.IFS(AND(N3388&lt;= 22, S3388=9), N3388-7,AND(N3388&lt;= 28, S3388=9), N3388-25,AND(N3388&lt;= 30, S3388=9), N3388-28,AND(N3388&lt;= 11, S3388=10), N3388+2,AND(N3388&lt;= 21, S3388=10), N3388-11)</f>
        <v>12</v>
      </c>
    </row>
    <row r="3389" spans="1:22" x14ac:dyDescent="0.35">
      <c r="A3389" s="4">
        <v>45575</v>
      </c>
      <c r="B3389" s="5">
        <v>0.33013888888888887</v>
      </c>
      <c r="C3389">
        <v>77</v>
      </c>
      <c r="D3389">
        <v>0</v>
      </c>
      <c r="E3389">
        <v>77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62.7</v>
      </c>
      <c r="L3389">
        <v>62.8</v>
      </c>
      <c r="M3389">
        <v>77</v>
      </c>
      <c r="N3389">
        <v>10</v>
      </c>
      <c r="O3389">
        <v>2</v>
      </c>
      <c r="P3389">
        <f>MOD(DAY(datos_siembra[[#This Row],[Date]]),7)</f>
        <v>3</v>
      </c>
      <c r="Q3389" t="str">
        <f>CHOOSE(WEEKDAY(datos_siembra[[#This Row],[Date]],2),"L","M","X","J","V","S","D")</f>
        <v>J</v>
      </c>
      <c r="R3389">
        <f>WEEKNUM(datos_siembra[[#This Row],[Date]],2)-WEEKNUM(DATE(YEAR(datos_siembra[[#This Row],[Date]]),MONTH(datos_siembra[[#This Row],[Date]]),1))+1</f>
        <v>2</v>
      </c>
      <c r="S3389">
        <f>MONTH(datos_siembra[[#This Row],[Date]])</f>
        <v>10</v>
      </c>
      <c r="T3389" t="str" cm="1">
        <f t="array" ref="T3389">_xlfn.IFS(AND(N3389&lt;= 22, S3389=9), "SOWING",AND(N3389&lt;= 28, S3389=9), "COVERAGE",AND(N3389&lt;= 30, S3389=9), "FLUSH",AND(N3389&lt;= 11, S3389=10), "FLUSH",AND(N3389&lt;= 21, S3389=10), "PRODUCTION")</f>
        <v>FLUSH</v>
      </c>
      <c r="U3389">
        <f>HOUR(datos_siembra[[#This Row],[Hour]])</f>
        <v>7</v>
      </c>
      <c r="V3389" cm="1">
        <f t="array" ref="V3389">_xlfn.IFS(AND(N3389&lt;= 22, S3389=9), N3389-7,AND(N3389&lt;= 28, S3389=9), N3389-25,AND(N3389&lt;= 30, S3389=9), N3389-28,AND(N3389&lt;= 11, S3389=10), N3389+2,AND(N3389&lt;= 21, S3389=10), N3389-11)</f>
        <v>12</v>
      </c>
    </row>
    <row r="3390" spans="1:22" x14ac:dyDescent="0.35">
      <c r="A3390" s="4">
        <v>45575</v>
      </c>
      <c r="B3390" s="5">
        <v>0.33697916666666666</v>
      </c>
      <c r="C3390">
        <v>68.8</v>
      </c>
      <c r="D3390">
        <v>67.3</v>
      </c>
      <c r="E3390">
        <v>71.599999999999994</v>
      </c>
      <c r="F3390">
        <v>68.5</v>
      </c>
      <c r="G3390">
        <v>0</v>
      </c>
      <c r="H3390">
        <v>0</v>
      </c>
      <c r="I3390">
        <v>0</v>
      </c>
      <c r="J3390">
        <v>0</v>
      </c>
      <c r="K3390">
        <v>62.8</v>
      </c>
      <c r="L3390">
        <v>62.9</v>
      </c>
      <c r="M3390">
        <v>69.069999999999993</v>
      </c>
      <c r="N3390">
        <v>10</v>
      </c>
      <c r="O3390">
        <v>2</v>
      </c>
      <c r="P3390">
        <f>MOD(DAY(datos_siembra[[#This Row],[Date]]),7)</f>
        <v>3</v>
      </c>
      <c r="Q3390" t="str">
        <f>CHOOSE(WEEKDAY(datos_siembra[[#This Row],[Date]],2),"L","M","X","J","V","S","D")</f>
        <v>J</v>
      </c>
      <c r="R3390">
        <f>WEEKNUM(datos_siembra[[#This Row],[Date]],2)-WEEKNUM(DATE(YEAR(datos_siembra[[#This Row],[Date]]),MONTH(datos_siembra[[#This Row],[Date]]),1))+1</f>
        <v>2</v>
      </c>
      <c r="S3390">
        <f>MONTH(datos_siembra[[#This Row],[Date]])</f>
        <v>10</v>
      </c>
      <c r="T3390" t="str" cm="1">
        <f t="array" ref="T3390">_xlfn.IFS(AND(N3390&lt;= 22, S3390=9), "SOWING",AND(N3390&lt;= 28, S3390=9), "COVERAGE",AND(N3390&lt;= 30, S3390=9), "FLUSH",AND(N3390&lt;= 11, S3390=10), "FLUSH",AND(N3390&lt;= 21, S3390=10), "PRODUCTION")</f>
        <v>FLUSH</v>
      </c>
      <c r="U3390">
        <f>HOUR(datos_siembra[[#This Row],[Hour]])</f>
        <v>8</v>
      </c>
      <c r="V3390" cm="1">
        <f t="array" ref="V3390">_xlfn.IFS(AND(N3390&lt;= 22, S3390=9), N3390-7,AND(N3390&lt;= 28, S3390=9), N3390-25,AND(N3390&lt;= 30, S3390=9), N3390-28,AND(N3390&lt;= 11, S3390=10), N3390+2,AND(N3390&lt;= 21, S3390=10), N3390-11)</f>
        <v>12</v>
      </c>
    </row>
    <row r="3391" spans="1:22" x14ac:dyDescent="0.35">
      <c r="A3391" s="4">
        <v>45575</v>
      </c>
      <c r="B3391" s="5">
        <v>0.34392361111111114</v>
      </c>
      <c r="C3391">
        <v>69</v>
      </c>
      <c r="D3391">
        <v>67.2</v>
      </c>
      <c r="E3391">
        <v>71.7</v>
      </c>
      <c r="F3391">
        <v>68.5</v>
      </c>
      <c r="G3391">
        <v>0</v>
      </c>
      <c r="H3391">
        <v>0</v>
      </c>
      <c r="I3391">
        <v>0</v>
      </c>
      <c r="J3391">
        <v>0</v>
      </c>
      <c r="K3391">
        <v>62.9</v>
      </c>
      <c r="L3391">
        <v>63</v>
      </c>
      <c r="M3391">
        <v>69.12</v>
      </c>
      <c r="N3391">
        <v>10</v>
      </c>
      <c r="O3391">
        <v>2</v>
      </c>
      <c r="P3391">
        <f>MOD(DAY(datos_siembra[[#This Row],[Date]]),7)</f>
        <v>3</v>
      </c>
      <c r="Q3391" t="str">
        <f>CHOOSE(WEEKDAY(datos_siembra[[#This Row],[Date]],2),"L","M","X","J","V","S","D")</f>
        <v>J</v>
      </c>
      <c r="R3391">
        <f>WEEKNUM(datos_siembra[[#This Row],[Date]],2)-WEEKNUM(DATE(YEAR(datos_siembra[[#This Row],[Date]]),MONTH(datos_siembra[[#This Row],[Date]]),1))+1</f>
        <v>2</v>
      </c>
      <c r="S3391">
        <f>MONTH(datos_siembra[[#This Row],[Date]])</f>
        <v>10</v>
      </c>
      <c r="T3391" t="str" cm="1">
        <f t="array" ref="T3391">_xlfn.IFS(AND(N3391&lt;= 22, S3391=9), "SOWING",AND(N3391&lt;= 28, S3391=9), "COVERAGE",AND(N3391&lt;= 30, S3391=9), "FLUSH",AND(N3391&lt;= 11, S3391=10), "FLUSH",AND(N3391&lt;= 21, S3391=10), "PRODUCTION")</f>
        <v>FLUSH</v>
      </c>
      <c r="U3391">
        <f>HOUR(datos_siembra[[#This Row],[Hour]])</f>
        <v>8</v>
      </c>
      <c r="V3391" cm="1">
        <f t="array" ref="V3391">_xlfn.IFS(AND(N3391&lt;= 22, S3391=9), N3391-7,AND(N3391&lt;= 28, S3391=9), N3391-25,AND(N3391&lt;= 30, S3391=9), N3391-28,AND(N3391&lt;= 11, S3391=10), N3391+2,AND(N3391&lt;= 21, S3391=10), N3391-11)</f>
        <v>12</v>
      </c>
    </row>
    <row r="3392" spans="1:22" x14ac:dyDescent="0.35">
      <c r="A3392" s="4">
        <v>45575</v>
      </c>
      <c r="B3392" s="5">
        <v>0.35086805555555556</v>
      </c>
      <c r="C3392">
        <v>68.900000000000006</v>
      </c>
      <c r="D3392">
        <v>67.3</v>
      </c>
      <c r="E3392">
        <v>71.7</v>
      </c>
      <c r="F3392">
        <v>68.2</v>
      </c>
      <c r="G3392">
        <v>0</v>
      </c>
      <c r="H3392">
        <v>0</v>
      </c>
      <c r="I3392">
        <v>0</v>
      </c>
      <c r="J3392">
        <v>0</v>
      </c>
      <c r="K3392">
        <v>62.9</v>
      </c>
      <c r="L3392">
        <v>63.2</v>
      </c>
      <c r="M3392">
        <v>69.099999999999994</v>
      </c>
      <c r="N3392">
        <v>10</v>
      </c>
      <c r="O3392">
        <v>2</v>
      </c>
      <c r="P3392">
        <f>MOD(DAY(datos_siembra[[#This Row],[Date]]),7)</f>
        <v>3</v>
      </c>
      <c r="Q3392" t="str">
        <f>CHOOSE(WEEKDAY(datos_siembra[[#This Row],[Date]],2),"L","M","X","J","V","S","D")</f>
        <v>J</v>
      </c>
      <c r="R3392">
        <f>WEEKNUM(datos_siembra[[#This Row],[Date]],2)-WEEKNUM(DATE(YEAR(datos_siembra[[#This Row],[Date]]),MONTH(datos_siembra[[#This Row],[Date]]),1))+1</f>
        <v>2</v>
      </c>
      <c r="S3392">
        <f>MONTH(datos_siembra[[#This Row],[Date]])</f>
        <v>10</v>
      </c>
      <c r="T3392" t="str" cm="1">
        <f t="array" ref="T3392">_xlfn.IFS(AND(N3392&lt;= 22, S3392=9), "SOWING",AND(N3392&lt;= 28, S3392=9), "COVERAGE",AND(N3392&lt;= 30, S3392=9), "FLUSH",AND(N3392&lt;= 11, S3392=10), "FLUSH",AND(N3392&lt;= 21, S3392=10), "PRODUCTION")</f>
        <v>FLUSH</v>
      </c>
      <c r="U3392">
        <f>HOUR(datos_siembra[[#This Row],[Hour]])</f>
        <v>8</v>
      </c>
      <c r="V3392" cm="1">
        <f t="array" ref="V3392">_xlfn.IFS(AND(N3392&lt;= 22, S3392=9), N3392-7,AND(N3392&lt;= 28, S3392=9), N3392-25,AND(N3392&lt;= 30, S3392=9), N3392-28,AND(N3392&lt;= 11, S3392=10), N3392+2,AND(N3392&lt;= 21, S3392=10), N3392-11)</f>
        <v>12</v>
      </c>
    </row>
    <row r="3393" spans="1:22" x14ac:dyDescent="0.35">
      <c r="A3393" s="4">
        <v>45575</v>
      </c>
      <c r="B3393" s="5">
        <v>0.35782407407407407</v>
      </c>
      <c r="C3393">
        <v>68.900000000000006</v>
      </c>
      <c r="D3393">
        <v>67.3</v>
      </c>
      <c r="E3393">
        <v>71.8</v>
      </c>
      <c r="F3393">
        <v>68.3</v>
      </c>
      <c r="G3393">
        <v>0</v>
      </c>
      <c r="H3393">
        <v>0</v>
      </c>
      <c r="I3393">
        <v>0</v>
      </c>
      <c r="J3393">
        <v>0</v>
      </c>
      <c r="K3393">
        <v>63.3</v>
      </c>
      <c r="L3393">
        <v>63.3</v>
      </c>
      <c r="M3393">
        <v>69.099999999999994</v>
      </c>
      <c r="N3393">
        <v>10</v>
      </c>
      <c r="O3393">
        <v>2</v>
      </c>
      <c r="P3393">
        <f>MOD(DAY(datos_siembra[[#This Row],[Date]]),7)</f>
        <v>3</v>
      </c>
      <c r="Q3393" t="str">
        <f>CHOOSE(WEEKDAY(datos_siembra[[#This Row],[Date]],2),"L","M","X","J","V","S","D")</f>
        <v>J</v>
      </c>
      <c r="R3393">
        <f>WEEKNUM(datos_siembra[[#This Row],[Date]],2)-WEEKNUM(DATE(YEAR(datos_siembra[[#This Row],[Date]]),MONTH(datos_siembra[[#This Row],[Date]]),1))+1</f>
        <v>2</v>
      </c>
      <c r="S3393">
        <f>MONTH(datos_siembra[[#This Row],[Date]])</f>
        <v>10</v>
      </c>
      <c r="T3393" t="str" cm="1">
        <f t="array" ref="T3393">_xlfn.IFS(AND(N3393&lt;= 22, S3393=9), "SOWING",AND(N3393&lt;= 28, S3393=9), "COVERAGE",AND(N3393&lt;= 30, S3393=9), "FLUSH",AND(N3393&lt;= 11, S3393=10), "FLUSH",AND(N3393&lt;= 21, S3393=10), "PRODUCTION")</f>
        <v>FLUSH</v>
      </c>
      <c r="U3393">
        <f>HOUR(datos_siembra[[#This Row],[Hour]])</f>
        <v>8</v>
      </c>
      <c r="V3393" cm="1">
        <f t="array" ref="V3393">_xlfn.IFS(AND(N3393&lt;= 22, S3393=9), N3393-7,AND(N3393&lt;= 28, S3393=9), N3393-25,AND(N3393&lt;= 30, S3393=9), N3393-28,AND(N3393&lt;= 11, S3393=10), N3393+2,AND(N3393&lt;= 21, S3393=10), N3393-11)</f>
        <v>12</v>
      </c>
    </row>
    <row r="3394" spans="1:22" x14ac:dyDescent="0.35">
      <c r="A3394" s="4">
        <v>45575</v>
      </c>
      <c r="B3394" s="5">
        <v>0.36476851851851849</v>
      </c>
      <c r="C3394">
        <v>68.900000000000006</v>
      </c>
      <c r="D3394">
        <v>67.3</v>
      </c>
      <c r="E3394">
        <v>71.8</v>
      </c>
      <c r="F3394">
        <v>68.7</v>
      </c>
      <c r="G3394">
        <v>0</v>
      </c>
      <c r="H3394">
        <v>0</v>
      </c>
      <c r="I3394">
        <v>0</v>
      </c>
      <c r="J3394">
        <v>0</v>
      </c>
      <c r="K3394">
        <v>63.4</v>
      </c>
      <c r="L3394">
        <v>63.4</v>
      </c>
      <c r="M3394">
        <v>69.150000000000006</v>
      </c>
      <c r="N3394">
        <v>10</v>
      </c>
      <c r="O3394">
        <v>2</v>
      </c>
      <c r="P3394">
        <f>MOD(DAY(datos_siembra[[#This Row],[Date]]),7)</f>
        <v>3</v>
      </c>
      <c r="Q3394" t="str">
        <f>CHOOSE(WEEKDAY(datos_siembra[[#This Row],[Date]],2),"L","M","X","J","V","S","D")</f>
        <v>J</v>
      </c>
      <c r="R3394">
        <f>WEEKNUM(datos_siembra[[#This Row],[Date]],2)-WEEKNUM(DATE(YEAR(datos_siembra[[#This Row],[Date]]),MONTH(datos_siembra[[#This Row],[Date]]),1))+1</f>
        <v>2</v>
      </c>
      <c r="S3394">
        <f>MONTH(datos_siembra[[#This Row],[Date]])</f>
        <v>10</v>
      </c>
      <c r="T3394" t="str" cm="1">
        <f t="array" ref="T3394">_xlfn.IFS(AND(N3394&lt;= 22, S3394=9), "SOWING",AND(N3394&lt;= 28, S3394=9), "COVERAGE",AND(N3394&lt;= 30, S3394=9), "FLUSH",AND(N3394&lt;= 11, S3394=10), "FLUSH",AND(N3394&lt;= 21, S3394=10), "PRODUCTION")</f>
        <v>FLUSH</v>
      </c>
      <c r="U3394">
        <f>HOUR(datos_siembra[[#This Row],[Hour]])</f>
        <v>8</v>
      </c>
      <c r="V3394" cm="1">
        <f t="array" ref="V3394">_xlfn.IFS(AND(N3394&lt;= 22, S3394=9), N3394-7,AND(N3394&lt;= 28, S3394=9), N3394-25,AND(N3394&lt;= 30, S3394=9), N3394-28,AND(N3394&lt;= 11, S3394=10), N3394+2,AND(N3394&lt;= 21, S3394=10), N3394-11)</f>
        <v>12</v>
      </c>
    </row>
    <row r="3395" spans="1:22" x14ac:dyDescent="0.35">
      <c r="A3395" s="4">
        <v>45575</v>
      </c>
      <c r="B3395" s="5">
        <v>0.37171296296296297</v>
      </c>
      <c r="C3395">
        <v>68.900000000000006</v>
      </c>
      <c r="D3395">
        <v>67.3</v>
      </c>
      <c r="E3395">
        <v>71.8</v>
      </c>
      <c r="F3395">
        <v>68.5</v>
      </c>
      <c r="G3395">
        <v>0</v>
      </c>
      <c r="H3395">
        <v>0</v>
      </c>
      <c r="I3395">
        <v>0</v>
      </c>
      <c r="J3395">
        <v>0</v>
      </c>
      <c r="K3395">
        <v>63.4</v>
      </c>
      <c r="L3395">
        <v>63.4</v>
      </c>
      <c r="M3395">
        <v>69.12</v>
      </c>
      <c r="N3395">
        <v>10</v>
      </c>
      <c r="O3395">
        <v>2</v>
      </c>
      <c r="P3395">
        <f>MOD(DAY(datos_siembra[[#This Row],[Date]]),7)</f>
        <v>3</v>
      </c>
      <c r="Q3395" t="str">
        <f>CHOOSE(WEEKDAY(datos_siembra[[#This Row],[Date]],2),"L","M","X","J","V","S","D")</f>
        <v>J</v>
      </c>
      <c r="R3395">
        <f>WEEKNUM(datos_siembra[[#This Row],[Date]],2)-WEEKNUM(DATE(YEAR(datos_siembra[[#This Row],[Date]]),MONTH(datos_siembra[[#This Row],[Date]]),1))+1</f>
        <v>2</v>
      </c>
      <c r="S3395">
        <f>MONTH(datos_siembra[[#This Row],[Date]])</f>
        <v>10</v>
      </c>
      <c r="T3395" t="str" cm="1">
        <f t="array" ref="T3395">_xlfn.IFS(AND(N3395&lt;= 22, S3395=9), "SOWING",AND(N3395&lt;= 28, S3395=9), "COVERAGE",AND(N3395&lt;= 30, S3395=9), "FLUSH",AND(N3395&lt;= 11, S3395=10), "FLUSH",AND(N3395&lt;= 21, S3395=10), "PRODUCTION")</f>
        <v>FLUSH</v>
      </c>
      <c r="U3395">
        <f>HOUR(datos_siembra[[#This Row],[Hour]])</f>
        <v>8</v>
      </c>
      <c r="V3395" cm="1">
        <f t="array" ref="V3395">_xlfn.IFS(AND(N3395&lt;= 22, S3395=9), N3395-7,AND(N3395&lt;= 28, S3395=9), N3395-25,AND(N3395&lt;= 30, S3395=9), N3395-28,AND(N3395&lt;= 11, S3395=10), N3395+2,AND(N3395&lt;= 21, S3395=10), N3395-11)</f>
        <v>12</v>
      </c>
    </row>
    <row r="3396" spans="1:22" x14ac:dyDescent="0.35">
      <c r="A3396" s="4">
        <v>45575</v>
      </c>
      <c r="B3396" s="5">
        <v>0.37865740740740739</v>
      </c>
      <c r="C3396">
        <v>69</v>
      </c>
      <c r="D3396">
        <v>67.400000000000006</v>
      </c>
      <c r="E3396">
        <v>71.900000000000006</v>
      </c>
      <c r="F3396">
        <v>68.5</v>
      </c>
      <c r="G3396">
        <v>0</v>
      </c>
      <c r="H3396">
        <v>0</v>
      </c>
      <c r="I3396">
        <v>0</v>
      </c>
      <c r="J3396">
        <v>0</v>
      </c>
      <c r="K3396">
        <v>63.5</v>
      </c>
      <c r="L3396">
        <v>63.4</v>
      </c>
      <c r="M3396">
        <v>69.180000000000007</v>
      </c>
      <c r="N3396">
        <v>10</v>
      </c>
      <c r="O3396">
        <v>2</v>
      </c>
      <c r="P3396">
        <f>MOD(DAY(datos_siembra[[#This Row],[Date]]),7)</f>
        <v>3</v>
      </c>
      <c r="Q3396" t="str">
        <f>CHOOSE(WEEKDAY(datos_siembra[[#This Row],[Date]],2),"L","M","X","J","V","S","D")</f>
        <v>J</v>
      </c>
      <c r="R3396">
        <f>WEEKNUM(datos_siembra[[#This Row],[Date]],2)-WEEKNUM(DATE(YEAR(datos_siembra[[#This Row],[Date]]),MONTH(datos_siembra[[#This Row],[Date]]),1))+1</f>
        <v>2</v>
      </c>
      <c r="S3396">
        <f>MONTH(datos_siembra[[#This Row],[Date]])</f>
        <v>10</v>
      </c>
      <c r="T3396" t="str" cm="1">
        <f t="array" ref="T3396">_xlfn.IFS(AND(N3396&lt;= 22, S3396=9), "SOWING",AND(N3396&lt;= 28, S3396=9), "COVERAGE",AND(N3396&lt;= 30, S3396=9), "FLUSH",AND(N3396&lt;= 11, S3396=10), "FLUSH",AND(N3396&lt;= 21, S3396=10), "PRODUCTION")</f>
        <v>FLUSH</v>
      </c>
      <c r="U3396">
        <f>HOUR(datos_siembra[[#This Row],[Hour]])</f>
        <v>9</v>
      </c>
      <c r="V3396" cm="1">
        <f t="array" ref="V3396">_xlfn.IFS(AND(N3396&lt;= 22, S3396=9), N3396-7,AND(N3396&lt;= 28, S3396=9), N3396-25,AND(N3396&lt;= 30, S3396=9), N3396-28,AND(N3396&lt;= 11, S3396=10), N3396+2,AND(N3396&lt;= 21, S3396=10), N3396-11)</f>
        <v>12</v>
      </c>
    </row>
    <row r="3397" spans="1:22" x14ac:dyDescent="0.35">
      <c r="A3397" s="4">
        <v>45575</v>
      </c>
      <c r="B3397" s="5">
        <v>0.3856134259259259</v>
      </c>
      <c r="C3397">
        <v>68.900000000000006</v>
      </c>
      <c r="D3397">
        <v>67.3</v>
      </c>
      <c r="E3397">
        <v>71.8</v>
      </c>
      <c r="F3397">
        <v>68.599999999999994</v>
      </c>
      <c r="G3397">
        <v>0</v>
      </c>
      <c r="H3397">
        <v>0</v>
      </c>
      <c r="I3397">
        <v>0</v>
      </c>
      <c r="J3397">
        <v>0</v>
      </c>
      <c r="K3397">
        <v>63.6</v>
      </c>
      <c r="L3397">
        <v>63.4</v>
      </c>
      <c r="M3397">
        <v>69.180000000000007</v>
      </c>
      <c r="N3397">
        <v>10</v>
      </c>
      <c r="O3397">
        <v>2</v>
      </c>
      <c r="P3397">
        <f>MOD(DAY(datos_siembra[[#This Row],[Date]]),7)</f>
        <v>3</v>
      </c>
      <c r="Q3397" t="str">
        <f>CHOOSE(WEEKDAY(datos_siembra[[#This Row],[Date]],2),"L","M","X","J","V","S","D")</f>
        <v>J</v>
      </c>
      <c r="R3397">
        <f>WEEKNUM(datos_siembra[[#This Row],[Date]],2)-WEEKNUM(DATE(YEAR(datos_siembra[[#This Row],[Date]]),MONTH(datos_siembra[[#This Row],[Date]]),1))+1</f>
        <v>2</v>
      </c>
      <c r="S3397">
        <f>MONTH(datos_siembra[[#This Row],[Date]])</f>
        <v>10</v>
      </c>
      <c r="T3397" t="str" cm="1">
        <f t="array" ref="T3397">_xlfn.IFS(AND(N3397&lt;= 22, S3397=9), "SOWING",AND(N3397&lt;= 28, S3397=9), "COVERAGE",AND(N3397&lt;= 30, S3397=9), "FLUSH",AND(N3397&lt;= 11, S3397=10), "FLUSH",AND(N3397&lt;= 21, S3397=10), "PRODUCTION")</f>
        <v>FLUSH</v>
      </c>
      <c r="U3397">
        <f>HOUR(datos_siembra[[#This Row],[Hour]])</f>
        <v>9</v>
      </c>
      <c r="V3397" cm="1">
        <f t="array" ref="V3397">_xlfn.IFS(AND(N3397&lt;= 22, S3397=9), N3397-7,AND(N3397&lt;= 28, S3397=9), N3397-25,AND(N3397&lt;= 30, S3397=9), N3397-28,AND(N3397&lt;= 11, S3397=10), N3397+2,AND(N3397&lt;= 21, S3397=10), N3397-11)</f>
        <v>12</v>
      </c>
    </row>
    <row r="3398" spans="1:22" x14ac:dyDescent="0.35">
      <c r="A3398" s="4">
        <v>45575</v>
      </c>
      <c r="B3398" s="5">
        <v>0.39255787037037038</v>
      </c>
      <c r="C3398">
        <v>69</v>
      </c>
      <c r="D3398">
        <v>67.3</v>
      </c>
      <c r="E3398">
        <v>72.099999999999994</v>
      </c>
      <c r="F3398">
        <v>68.599999999999994</v>
      </c>
      <c r="G3398">
        <v>0</v>
      </c>
      <c r="H3398">
        <v>0</v>
      </c>
      <c r="I3398">
        <v>0</v>
      </c>
      <c r="J3398">
        <v>0</v>
      </c>
      <c r="K3398">
        <v>63.7</v>
      </c>
      <c r="L3398">
        <v>63.5</v>
      </c>
      <c r="M3398">
        <v>69.239999999999995</v>
      </c>
      <c r="N3398">
        <v>10</v>
      </c>
      <c r="O3398">
        <v>2</v>
      </c>
      <c r="P3398">
        <f>MOD(DAY(datos_siembra[[#This Row],[Date]]),7)</f>
        <v>3</v>
      </c>
      <c r="Q3398" t="str">
        <f>CHOOSE(WEEKDAY(datos_siembra[[#This Row],[Date]],2),"L","M","X","J","V","S","D")</f>
        <v>J</v>
      </c>
      <c r="R3398">
        <f>WEEKNUM(datos_siembra[[#This Row],[Date]],2)-WEEKNUM(DATE(YEAR(datos_siembra[[#This Row],[Date]]),MONTH(datos_siembra[[#This Row],[Date]]),1))+1</f>
        <v>2</v>
      </c>
      <c r="S3398">
        <f>MONTH(datos_siembra[[#This Row],[Date]])</f>
        <v>10</v>
      </c>
      <c r="T3398" t="str" cm="1">
        <f t="array" ref="T3398">_xlfn.IFS(AND(N3398&lt;= 22, S3398=9), "SOWING",AND(N3398&lt;= 28, S3398=9), "COVERAGE",AND(N3398&lt;= 30, S3398=9), "FLUSH",AND(N3398&lt;= 11, S3398=10), "FLUSH",AND(N3398&lt;= 21, S3398=10), "PRODUCTION")</f>
        <v>FLUSH</v>
      </c>
      <c r="U3398">
        <f>HOUR(datos_siembra[[#This Row],[Hour]])</f>
        <v>9</v>
      </c>
      <c r="V3398" cm="1">
        <f t="array" ref="V3398">_xlfn.IFS(AND(N3398&lt;= 22, S3398=9), N3398-7,AND(N3398&lt;= 28, S3398=9), N3398-25,AND(N3398&lt;= 30, S3398=9), N3398-28,AND(N3398&lt;= 11, S3398=10), N3398+2,AND(N3398&lt;= 21, S3398=10), N3398-11)</f>
        <v>12</v>
      </c>
    </row>
    <row r="3399" spans="1:22" x14ac:dyDescent="0.35">
      <c r="A3399" s="4">
        <v>45575</v>
      </c>
      <c r="B3399" s="5">
        <v>0.3995023148148148</v>
      </c>
      <c r="C3399">
        <v>69</v>
      </c>
      <c r="D3399">
        <v>67.400000000000006</v>
      </c>
      <c r="E3399">
        <v>72.2</v>
      </c>
      <c r="F3399">
        <v>68.599999999999994</v>
      </c>
      <c r="G3399">
        <v>0</v>
      </c>
      <c r="H3399">
        <v>0</v>
      </c>
      <c r="I3399">
        <v>0</v>
      </c>
      <c r="J3399">
        <v>0</v>
      </c>
      <c r="K3399">
        <v>63.7</v>
      </c>
      <c r="L3399">
        <v>63.6</v>
      </c>
      <c r="M3399">
        <v>69.239999999999995</v>
      </c>
      <c r="N3399">
        <v>10</v>
      </c>
      <c r="O3399">
        <v>2</v>
      </c>
      <c r="P3399">
        <f>MOD(DAY(datos_siembra[[#This Row],[Date]]),7)</f>
        <v>3</v>
      </c>
      <c r="Q3399" t="str">
        <f>CHOOSE(WEEKDAY(datos_siembra[[#This Row],[Date]],2),"L","M","X","J","V","S","D")</f>
        <v>J</v>
      </c>
      <c r="R3399">
        <f>WEEKNUM(datos_siembra[[#This Row],[Date]],2)-WEEKNUM(DATE(YEAR(datos_siembra[[#This Row],[Date]]),MONTH(datos_siembra[[#This Row],[Date]]),1))+1</f>
        <v>2</v>
      </c>
      <c r="S3399">
        <f>MONTH(datos_siembra[[#This Row],[Date]])</f>
        <v>10</v>
      </c>
      <c r="T3399" t="str" cm="1">
        <f t="array" ref="T3399">_xlfn.IFS(AND(N3399&lt;= 22, S3399=9), "SOWING",AND(N3399&lt;= 28, S3399=9), "COVERAGE",AND(N3399&lt;= 30, S3399=9), "FLUSH",AND(N3399&lt;= 11, S3399=10), "FLUSH",AND(N3399&lt;= 21, S3399=10), "PRODUCTION")</f>
        <v>FLUSH</v>
      </c>
      <c r="U3399">
        <f>HOUR(datos_siembra[[#This Row],[Hour]])</f>
        <v>9</v>
      </c>
      <c r="V3399" cm="1">
        <f t="array" ref="V3399">_xlfn.IFS(AND(N3399&lt;= 22, S3399=9), N3399-7,AND(N3399&lt;= 28, S3399=9), N3399-25,AND(N3399&lt;= 30, S3399=9), N3399-28,AND(N3399&lt;= 11, S3399=10), N3399+2,AND(N3399&lt;= 21, S3399=10), N3399-11)</f>
        <v>12</v>
      </c>
    </row>
    <row r="3400" spans="1:22" x14ac:dyDescent="0.35">
      <c r="A3400" s="4">
        <v>45575</v>
      </c>
      <c r="B3400" s="5">
        <v>0.40645833333333331</v>
      </c>
      <c r="C3400">
        <v>69</v>
      </c>
      <c r="D3400">
        <v>67.400000000000006</v>
      </c>
      <c r="E3400">
        <v>71.900000000000006</v>
      </c>
      <c r="F3400">
        <v>68.5</v>
      </c>
      <c r="G3400">
        <v>0</v>
      </c>
      <c r="H3400">
        <v>0</v>
      </c>
      <c r="I3400">
        <v>0</v>
      </c>
      <c r="J3400">
        <v>0</v>
      </c>
      <c r="K3400">
        <v>63.9</v>
      </c>
      <c r="L3400">
        <v>63.6</v>
      </c>
      <c r="M3400">
        <v>69.239999999999995</v>
      </c>
      <c r="N3400">
        <v>10</v>
      </c>
      <c r="O3400">
        <v>2</v>
      </c>
      <c r="P3400">
        <f>MOD(DAY(datos_siembra[[#This Row],[Date]]),7)</f>
        <v>3</v>
      </c>
      <c r="Q3400" t="str">
        <f>CHOOSE(WEEKDAY(datos_siembra[[#This Row],[Date]],2),"L","M","X","J","V","S","D")</f>
        <v>J</v>
      </c>
      <c r="R3400">
        <f>WEEKNUM(datos_siembra[[#This Row],[Date]],2)-WEEKNUM(DATE(YEAR(datos_siembra[[#This Row],[Date]]),MONTH(datos_siembra[[#This Row],[Date]]),1))+1</f>
        <v>2</v>
      </c>
      <c r="S3400">
        <f>MONTH(datos_siembra[[#This Row],[Date]])</f>
        <v>10</v>
      </c>
      <c r="T3400" t="str" cm="1">
        <f t="array" ref="T3400">_xlfn.IFS(AND(N3400&lt;= 22, S3400=9), "SOWING",AND(N3400&lt;= 28, S3400=9), "COVERAGE",AND(N3400&lt;= 30, S3400=9), "FLUSH",AND(N3400&lt;= 11, S3400=10), "FLUSH",AND(N3400&lt;= 21, S3400=10), "PRODUCTION")</f>
        <v>FLUSH</v>
      </c>
      <c r="U3400">
        <f>HOUR(datos_siembra[[#This Row],[Hour]])</f>
        <v>9</v>
      </c>
      <c r="V3400" cm="1">
        <f t="array" ref="V3400">_xlfn.IFS(AND(N3400&lt;= 22, S3400=9), N3400-7,AND(N3400&lt;= 28, S3400=9), N3400-25,AND(N3400&lt;= 30, S3400=9), N3400-28,AND(N3400&lt;= 11, S3400=10), N3400+2,AND(N3400&lt;= 21, S3400=10), N3400-11)</f>
        <v>12</v>
      </c>
    </row>
    <row r="3401" spans="1:22" x14ac:dyDescent="0.35">
      <c r="A3401" s="4">
        <v>45575</v>
      </c>
      <c r="B3401" s="5">
        <v>0.41340277777777779</v>
      </c>
      <c r="C3401">
        <v>69.099999999999994</v>
      </c>
      <c r="D3401">
        <v>67.400000000000006</v>
      </c>
      <c r="E3401">
        <v>72.2</v>
      </c>
      <c r="F3401">
        <v>68.7</v>
      </c>
      <c r="G3401">
        <v>0</v>
      </c>
      <c r="H3401">
        <v>0</v>
      </c>
      <c r="I3401">
        <v>0</v>
      </c>
      <c r="J3401">
        <v>0</v>
      </c>
      <c r="K3401">
        <v>63.9</v>
      </c>
      <c r="L3401">
        <v>63.7</v>
      </c>
      <c r="M3401">
        <v>69.239999999999995</v>
      </c>
      <c r="N3401">
        <v>10</v>
      </c>
      <c r="O3401">
        <v>2</v>
      </c>
      <c r="P3401">
        <f>MOD(DAY(datos_siembra[[#This Row],[Date]]),7)</f>
        <v>3</v>
      </c>
      <c r="Q3401" t="str">
        <f>CHOOSE(WEEKDAY(datos_siembra[[#This Row],[Date]],2),"L","M","X","J","V","S","D")</f>
        <v>J</v>
      </c>
      <c r="R3401">
        <f>WEEKNUM(datos_siembra[[#This Row],[Date]],2)-WEEKNUM(DATE(YEAR(datos_siembra[[#This Row],[Date]]),MONTH(datos_siembra[[#This Row],[Date]]),1))+1</f>
        <v>2</v>
      </c>
      <c r="S3401">
        <f>MONTH(datos_siembra[[#This Row],[Date]])</f>
        <v>10</v>
      </c>
      <c r="T3401" t="str" cm="1">
        <f t="array" ref="T3401">_xlfn.IFS(AND(N3401&lt;= 22, S3401=9), "SOWING",AND(N3401&lt;= 28, S3401=9), "COVERAGE",AND(N3401&lt;= 30, S3401=9), "FLUSH",AND(N3401&lt;= 11, S3401=10), "FLUSH",AND(N3401&lt;= 21, S3401=10), "PRODUCTION")</f>
        <v>FLUSH</v>
      </c>
      <c r="U3401">
        <f>HOUR(datos_siembra[[#This Row],[Hour]])</f>
        <v>9</v>
      </c>
      <c r="V3401" cm="1">
        <f t="array" ref="V3401">_xlfn.IFS(AND(N3401&lt;= 22, S3401=9), N3401-7,AND(N3401&lt;= 28, S3401=9), N3401-25,AND(N3401&lt;= 30, S3401=9), N3401-28,AND(N3401&lt;= 11, S3401=10), N3401+2,AND(N3401&lt;= 21, S3401=10), N3401-11)</f>
        <v>12</v>
      </c>
    </row>
    <row r="3402" spans="1:22" x14ac:dyDescent="0.35">
      <c r="A3402" s="4">
        <v>45575</v>
      </c>
      <c r="B3402" s="5">
        <v>0.42034722222222221</v>
      </c>
      <c r="C3402">
        <v>69</v>
      </c>
      <c r="D3402">
        <v>67.400000000000006</v>
      </c>
      <c r="E3402">
        <v>71.900000000000006</v>
      </c>
      <c r="F3402">
        <v>68.5</v>
      </c>
      <c r="G3402">
        <v>0</v>
      </c>
      <c r="H3402">
        <v>0</v>
      </c>
      <c r="I3402">
        <v>0</v>
      </c>
      <c r="J3402">
        <v>0</v>
      </c>
      <c r="K3402">
        <v>64.2</v>
      </c>
      <c r="L3402">
        <v>63.7</v>
      </c>
      <c r="M3402">
        <v>69.209999999999994</v>
      </c>
      <c r="N3402">
        <v>10</v>
      </c>
      <c r="O3402">
        <v>2</v>
      </c>
      <c r="P3402">
        <f>MOD(DAY(datos_siembra[[#This Row],[Date]]),7)</f>
        <v>3</v>
      </c>
      <c r="Q3402" t="str">
        <f>CHOOSE(WEEKDAY(datos_siembra[[#This Row],[Date]],2),"L","M","X","J","V","S","D")</f>
        <v>J</v>
      </c>
      <c r="R3402">
        <f>WEEKNUM(datos_siembra[[#This Row],[Date]],2)-WEEKNUM(DATE(YEAR(datos_siembra[[#This Row],[Date]]),MONTH(datos_siembra[[#This Row],[Date]]),1))+1</f>
        <v>2</v>
      </c>
      <c r="S3402">
        <f>MONTH(datos_siembra[[#This Row],[Date]])</f>
        <v>10</v>
      </c>
      <c r="T3402" t="str" cm="1">
        <f t="array" ref="T3402">_xlfn.IFS(AND(N3402&lt;= 22, S3402=9), "SOWING",AND(N3402&lt;= 28, S3402=9), "COVERAGE",AND(N3402&lt;= 30, S3402=9), "FLUSH",AND(N3402&lt;= 11, S3402=10), "FLUSH",AND(N3402&lt;= 21, S3402=10), "PRODUCTION")</f>
        <v>FLUSH</v>
      </c>
      <c r="U3402">
        <f>HOUR(datos_siembra[[#This Row],[Hour]])</f>
        <v>10</v>
      </c>
      <c r="V3402" cm="1">
        <f t="array" ref="V3402">_xlfn.IFS(AND(N3402&lt;= 22, S3402=9), N3402-7,AND(N3402&lt;= 28, S3402=9), N3402-25,AND(N3402&lt;= 30, S3402=9), N3402-28,AND(N3402&lt;= 11, S3402=10), N3402+2,AND(N3402&lt;= 21, S3402=10), N3402-11)</f>
        <v>12</v>
      </c>
    </row>
    <row r="3403" spans="1:22" x14ac:dyDescent="0.35">
      <c r="A3403" s="4">
        <v>45575</v>
      </c>
      <c r="B3403" s="5">
        <v>0.42729166666666668</v>
      </c>
      <c r="C3403">
        <v>69</v>
      </c>
      <c r="D3403">
        <v>67.3</v>
      </c>
      <c r="E3403">
        <v>72.099999999999994</v>
      </c>
      <c r="F3403">
        <v>68.3</v>
      </c>
      <c r="G3403">
        <v>0</v>
      </c>
      <c r="H3403">
        <v>0</v>
      </c>
      <c r="I3403">
        <v>0</v>
      </c>
      <c r="J3403">
        <v>0</v>
      </c>
      <c r="K3403">
        <v>64.3</v>
      </c>
      <c r="L3403">
        <v>63.9</v>
      </c>
      <c r="M3403">
        <v>69.209999999999994</v>
      </c>
      <c r="N3403">
        <v>10</v>
      </c>
      <c r="O3403">
        <v>2</v>
      </c>
      <c r="P3403">
        <f>MOD(DAY(datos_siembra[[#This Row],[Date]]),7)</f>
        <v>3</v>
      </c>
      <c r="Q3403" t="str">
        <f>CHOOSE(WEEKDAY(datos_siembra[[#This Row],[Date]],2),"L","M","X","J","V","S","D")</f>
        <v>J</v>
      </c>
      <c r="R3403">
        <f>WEEKNUM(datos_siembra[[#This Row],[Date]],2)-WEEKNUM(DATE(YEAR(datos_siembra[[#This Row],[Date]]),MONTH(datos_siembra[[#This Row],[Date]]),1))+1</f>
        <v>2</v>
      </c>
      <c r="S3403">
        <f>MONTH(datos_siembra[[#This Row],[Date]])</f>
        <v>10</v>
      </c>
      <c r="T3403" t="str" cm="1">
        <f t="array" ref="T3403">_xlfn.IFS(AND(N3403&lt;= 22, S3403=9), "SOWING",AND(N3403&lt;= 28, S3403=9), "COVERAGE",AND(N3403&lt;= 30, S3403=9), "FLUSH",AND(N3403&lt;= 11, S3403=10), "FLUSH",AND(N3403&lt;= 21, S3403=10), "PRODUCTION")</f>
        <v>FLUSH</v>
      </c>
      <c r="U3403">
        <f>HOUR(datos_siembra[[#This Row],[Hour]])</f>
        <v>10</v>
      </c>
      <c r="V3403" cm="1">
        <f t="array" ref="V3403">_xlfn.IFS(AND(N3403&lt;= 22, S3403=9), N3403-7,AND(N3403&lt;= 28, S3403=9), N3403-25,AND(N3403&lt;= 30, S3403=9), N3403-28,AND(N3403&lt;= 11, S3403=10), N3403+2,AND(N3403&lt;= 21, S3403=10), N3403-11)</f>
        <v>12</v>
      </c>
    </row>
    <row r="3404" spans="1:22" x14ac:dyDescent="0.35">
      <c r="A3404" s="4">
        <v>45575</v>
      </c>
      <c r="B3404" s="5">
        <v>0.43424768518518519</v>
      </c>
      <c r="C3404">
        <v>69</v>
      </c>
      <c r="D3404">
        <v>67.3</v>
      </c>
      <c r="E3404">
        <v>72.099999999999994</v>
      </c>
      <c r="F3404">
        <v>68.599999999999994</v>
      </c>
      <c r="G3404">
        <v>0</v>
      </c>
      <c r="H3404">
        <v>0</v>
      </c>
      <c r="I3404">
        <v>0</v>
      </c>
      <c r="J3404">
        <v>0</v>
      </c>
      <c r="K3404">
        <v>64.400000000000006</v>
      </c>
      <c r="L3404">
        <v>64.2</v>
      </c>
      <c r="M3404">
        <v>69.319999999999993</v>
      </c>
      <c r="N3404">
        <v>10</v>
      </c>
      <c r="O3404">
        <v>2</v>
      </c>
      <c r="P3404">
        <f>MOD(DAY(datos_siembra[[#This Row],[Date]]),7)</f>
        <v>3</v>
      </c>
      <c r="Q3404" t="str">
        <f>CHOOSE(WEEKDAY(datos_siembra[[#This Row],[Date]],2),"L","M","X","J","V","S","D")</f>
        <v>J</v>
      </c>
      <c r="R3404">
        <f>WEEKNUM(datos_siembra[[#This Row],[Date]],2)-WEEKNUM(DATE(YEAR(datos_siembra[[#This Row],[Date]]),MONTH(datos_siembra[[#This Row],[Date]]),1))+1</f>
        <v>2</v>
      </c>
      <c r="S3404">
        <f>MONTH(datos_siembra[[#This Row],[Date]])</f>
        <v>10</v>
      </c>
      <c r="T3404" t="str" cm="1">
        <f t="array" ref="T3404">_xlfn.IFS(AND(N3404&lt;= 22, S3404=9), "SOWING",AND(N3404&lt;= 28, S3404=9), "COVERAGE",AND(N3404&lt;= 30, S3404=9), "FLUSH",AND(N3404&lt;= 11, S3404=10), "FLUSH",AND(N3404&lt;= 21, S3404=10), "PRODUCTION")</f>
        <v>FLUSH</v>
      </c>
      <c r="U3404">
        <f>HOUR(datos_siembra[[#This Row],[Hour]])</f>
        <v>10</v>
      </c>
      <c r="V3404" cm="1">
        <f t="array" ref="V3404">_xlfn.IFS(AND(N3404&lt;= 22, S3404=9), N3404-7,AND(N3404&lt;= 28, S3404=9), N3404-25,AND(N3404&lt;= 30, S3404=9), N3404-28,AND(N3404&lt;= 11, S3404=10), N3404+2,AND(N3404&lt;= 21, S3404=10), N3404-11)</f>
        <v>12</v>
      </c>
    </row>
    <row r="3405" spans="1:22" x14ac:dyDescent="0.35">
      <c r="A3405" s="4">
        <v>45575</v>
      </c>
      <c r="B3405" s="5">
        <v>0.44119212962962961</v>
      </c>
      <c r="C3405">
        <v>69</v>
      </c>
      <c r="D3405">
        <v>67.400000000000006</v>
      </c>
      <c r="E3405">
        <v>72.3</v>
      </c>
      <c r="F3405">
        <v>68.5</v>
      </c>
      <c r="G3405">
        <v>0</v>
      </c>
      <c r="H3405">
        <v>0</v>
      </c>
      <c r="I3405">
        <v>0</v>
      </c>
      <c r="J3405">
        <v>0</v>
      </c>
      <c r="K3405">
        <v>64.5</v>
      </c>
      <c r="L3405">
        <v>64.3</v>
      </c>
      <c r="M3405">
        <v>69.27</v>
      </c>
      <c r="N3405">
        <v>10</v>
      </c>
      <c r="O3405">
        <v>2</v>
      </c>
      <c r="P3405">
        <f>MOD(DAY(datos_siembra[[#This Row],[Date]]),7)</f>
        <v>3</v>
      </c>
      <c r="Q3405" t="str">
        <f>CHOOSE(WEEKDAY(datos_siembra[[#This Row],[Date]],2),"L","M","X","J","V","S","D")</f>
        <v>J</v>
      </c>
      <c r="R3405">
        <f>WEEKNUM(datos_siembra[[#This Row],[Date]],2)-WEEKNUM(DATE(YEAR(datos_siembra[[#This Row],[Date]]),MONTH(datos_siembra[[#This Row],[Date]]),1))+1</f>
        <v>2</v>
      </c>
      <c r="S3405">
        <f>MONTH(datos_siembra[[#This Row],[Date]])</f>
        <v>10</v>
      </c>
      <c r="T3405" t="str" cm="1">
        <f t="array" ref="T3405">_xlfn.IFS(AND(N3405&lt;= 22, S3405=9), "SOWING",AND(N3405&lt;= 28, S3405=9), "COVERAGE",AND(N3405&lt;= 30, S3405=9), "FLUSH",AND(N3405&lt;= 11, S3405=10), "FLUSH",AND(N3405&lt;= 21, S3405=10), "PRODUCTION")</f>
        <v>FLUSH</v>
      </c>
      <c r="U3405">
        <f>HOUR(datos_siembra[[#This Row],[Hour]])</f>
        <v>10</v>
      </c>
      <c r="V3405" cm="1">
        <f t="array" ref="V3405">_xlfn.IFS(AND(N3405&lt;= 22, S3405=9), N3405-7,AND(N3405&lt;= 28, S3405=9), N3405-25,AND(N3405&lt;= 30, S3405=9), N3405-28,AND(N3405&lt;= 11, S3405=10), N3405+2,AND(N3405&lt;= 21, S3405=10), N3405-11)</f>
        <v>12</v>
      </c>
    </row>
    <row r="3406" spans="1:22" x14ac:dyDescent="0.35">
      <c r="A3406" s="4">
        <v>45575</v>
      </c>
      <c r="B3406" s="5">
        <v>0.44813657407407409</v>
      </c>
      <c r="C3406">
        <v>69.099999999999994</v>
      </c>
      <c r="D3406">
        <v>67.400000000000006</v>
      </c>
      <c r="E3406">
        <v>72.2</v>
      </c>
      <c r="F3406">
        <v>68.599999999999994</v>
      </c>
      <c r="G3406">
        <v>0</v>
      </c>
      <c r="H3406">
        <v>0</v>
      </c>
      <c r="I3406">
        <v>0</v>
      </c>
      <c r="J3406">
        <v>0</v>
      </c>
      <c r="K3406">
        <v>64.5</v>
      </c>
      <c r="L3406">
        <v>64.3</v>
      </c>
      <c r="M3406">
        <v>69.319999999999993</v>
      </c>
      <c r="N3406">
        <v>10</v>
      </c>
      <c r="O3406">
        <v>2</v>
      </c>
      <c r="P3406">
        <f>MOD(DAY(datos_siembra[[#This Row],[Date]]),7)</f>
        <v>3</v>
      </c>
      <c r="Q3406" t="str">
        <f>CHOOSE(WEEKDAY(datos_siembra[[#This Row],[Date]],2),"L","M","X","J","V","S","D")</f>
        <v>J</v>
      </c>
      <c r="R3406">
        <f>WEEKNUM(datos_siembra[[#This Row],[Date]],2)-WEEKNUM(DATE(YEAR(datos_siembra[[#This Row],[Date]]),MONTH(datos_siembra[[#This Row],[Date]]),1))+1</f>
        <v>2</v>
      </c>
      <c r="S3406">
        <f>MONTH(datos_siembra[[#This Row],[Date]])</f>
        <v>10</v>
      </c>
      <c r="T3406" t="str" cm="1">
        <f t="array" ref="T3406">_xlfn.IFS(AND(N3406&lt;= 22, S3406=9), "SOWING",AND(N3406&lt;= 28, S3406=9), "COVERAGE",AND(N3406&lt;= 30, S3406=9), "FLUSH",AND(N3406&lt;= 11, S3406=10), "FLUSH",AND(N3406&lt;= 21, S3406=10), "PRODUCTION")</f>
        <v>FLUSH</v>
      </c>
      <c r="U3406">
        <f>HOUR(datos_siembra[[#This Row],[Hour]])</f>
        <v>10</v>
      </c>
      <c r="V3406" cm="1">
        <f t="array" ref="V3406">_xlfn.IFS(AND(N3406&lt;= 22, S3406=9), N3406-7,AND(N3406&lt;= 28, S3406=9), N3406-25,AND(N3406&lt;= 30, S3406=9), N3406-28,AND(N3406&lt;= 11, S3406=10), N3406+2,AND(N3406&lt;= 21, S3406=10), N3406-11)</f>
        <v>12</v>
      </c>
    </row>
    <row r="3407" spans="1:22" x14ac:dyDescent="0.35">
      <c r="A3407" s="4">
        <v>45575</v>
      </c>
      <c r="B3407" s="5">
        <v>0.4550925925925926</v>
      </c>
      <c r="C3407">
        <v>69.2</v>
      </c>
      <c r="D3407">
        <v>67.599999999999994</v>
      </c>
      <c r="E3407">
        <v>72.099999999999994</v>
      </c>
      <c r="F3407">
        <v>68.599999999999994</v>
      </c>
      <c r="G3407">
        <v>0</v>
      </c>
      <c r="H3407">
        <v>0</v>
      </c>
      <c r="I3407">
        <v>0</v>
      </c>
      <c r="J3407">
        <v>0</v>
      </c>
      <c r="K3407">
        <v>64.7</v>
      </c>
      <c r="L3407">
        <v>64.5</v>
      </c>
      <c r="M3407">
        <v>69.349999999999994</v>
      </c>
      <c r="N3407">
        <v>10</v>
      </c>
      <c r="O3407">
        <v>2</v>
      </c>
      <c r="P3407">
        <f>MOD(DAY(datos_siembra[[#This Row],[Date]]),7)</f>
        <v>3</v>
      </c>
      <c r="Q3407" t="str">
        <f>CHOOSE(WEEKDAY(datos_siembra[[#This Row],[Date]],2),"L","M","X","J","V","S","D")</f>
        <v>J</v>
      </c>
      <c r="R3407">
        <f>WEEKNUM(datos_siembra[[#This Row],[Date]],2)-WEEKNUM(DATE(YEAR(datos_siembra[[#This Row],[Date]]),MONTH(datos_siembra[[#This Row],[Date]]),1))+1</f>
        <v>2</v>
      </c>
      <c r="S3407">
        <f>MONTH(datos_siembra[[#This Row],[Date]])</f>
        <v>10</v>
      </c>
      <c r="T3407" t="str" cm="1">
        <f t="array" ref="T3407">_xlfn.IFS(AND(N3407&lt;= 22, S3407=9), "SOWING",AND(N3407&lt;= 28, S3407=9), "COVERAGE",AND(N3407&lt;= 30, S3407=9), "FLUSH",AND(N3407&lt;= 11, S3407=10), "FLUSH",AND(N3407&lt;= 21, S3407=10), "PRODUCTION")</f>
        <v>FLUSH</v>
      </c>
      <c r="U3407">
        <f>HOUR(datos_siembra[[#This Row],[Hour]])</f>
        <v>10</v>
      </c>
      <c r="V3407" cm="1">
        <f t="array" ref="V3407">_xlfn.IFS(AND(N3407&lt;= 22, S3407=9), N3407-7,AND(N3407&lt;= 28, S3407=9), N3407-25,AND(N3407&lt;= 30, S3407=9), N3407-28,AND(N3407&lt;= 11, S3407=10), N3407+2,AND(N3407&lt;= 21, S3407=10), N3407-11)</f>
        <v>12</v>
      </c>
    </row>
    <row r="3408" spans="1:22" x14ac:dyDescent="0.35">
      <c r="A3408" s="4">
        <v>45575</v>
      </c>
      <c r="B3408" s="5">
        <v>0.46203703703703702</v>
      </c>
      <c r="C3408">
        <v>69.2</v>
      </c>
      <c r="D3408">
        <v>67.599999999999994</v>
      </c>
      <c r="E3408">
        <v>72.3</v>
      </c>
      <c r="F3408">
        <v>68.599999999999994</v>
      </c>
      <c r="G3408">
        <v>0</v>
      </c>
      <c r="H3408">
        <v>0</v>
      </c>
      <c r="I3408">
        <v>0</v>
      </c>
      <c r="J3408">
        <v>0</v>
      </c>
      <c r="K3408">
        <v>64.599999999999994</v>
      </c>
      <c r="L3408">
        <v>64.400000000000006</v>
      </c>
      <c r="M3408">
        <v>69.41</v>
      </c>
      <c r="N3408">
        <v>10</v>
      </c>
      <c r="O3408">
        <v>2</v>
      </c>
      <c r="P3408">
        <f>MOD(DAY(datos_siembra[[#This Row],[Date]]),7)</f>
        <v>3</v>
      </c>
      <c r="Q3408" t="str">
        <f>CHOOSE(WEEKDAY(datos_siembra[[#This Row],[Date]],2),"L","M","X","J","V","S","D")</f>
        <v>J</v>
      </c>
      <c r="R3408">
        <f>WEEKNUM(datos_siembra[[#This Row],[Date]],2)-WEEKNUM(DATE(YEAR(datos_siembra[[#This Row],[Date]]),MONTH(datos_siembra[[#This Row],[Date]]),1))+1</f>
        <v>2</v>
      </c>
      <c r="S3408">
        <f>MONTH(datos_siembra[[#This Row],[Date]])</f>
        <v>10</v>
      </c>
      <c r="T3408" t="str" cm="1">
        <f t="array" ref="T3408">_xlfn.IFS(AND(N3408&lt;= 22, S3408=9), "SOWING",AND(N3408&lt;= 28, S3408=9), "COVERAGE",AND(N3408&lt;= 30, S3408=9), "FLUSH",AND(N3408&lt;= 11, S3408=10), "FLUSH",AND(N3408&lt;= 21, S3408=10), "PRODUCTION")</f>
        <v>FLUSH</v>
      </c>
      <c r="U3408">
        <f>HOUR(datos_siembra[[#This Row],[Hour]])</f>
        <v>11</v>
      </c>
      <c r="V3408" cm="1">
        <f t="array" ref="V3408">_xlfn.IFS(AND(N3408&lt;= 22, S3408=9), N3408-7,AND(N3408&lt;= 28, S3408=9), N3408-25,AND(N3408&lt;= 30, S3408=9), N3408-28,AND(N3408&lt;= 11, S3408=10), N3408+2,AND(N3408&lt;= 21, S3408=10), N3408-11)</f>
        <v>12</v>
      </c>
    </row>
    <row r="3409" spans="1:22" x14ac:dyDescent="0.35">
      <c r="A3409" s="4">
        <v>45575</v>
      </c>
      <c r="B3409" s="5">
        <v>0.4689814814814815</v>
      </c>
      <c r="C3409">
        <v>69.2</v>
      </c>
      <c r="D3409">
        <v>67.400000000000006</v>
      </c>
      <c r="E3409">
        <v>72.3</v>
      </c>
      <c r="F3409">
        <v>68.599999999999994</v>
      </c>
      <c r="G3409">
        <v>0</v>
      </c>
      <c r="H3409">
        <v>0</v>
      </c>
      <c r="I3409">
        <v>0</v>
      </c>
      <c r="J3409">
        <v>0</v>
      </c>
      <c r="K3409">
        <v>65</v>
      </c>
      <c r="L3409">
        <v>64.5</v>
      </c>
      <c r="M3409">
        <v>69.38</v>
      </c>
      <c r="N3409">
        <v>10</v>
      </c>
      <c r="O3409">
        <v>2</v>
      </c>
      <c r="P3409">
        <f>MOD(DAY(datos_siembra[[#This Row],[Date]]),7)</f>
        <v>3</v>
      </c>
      <c r="Q3409" t="str">
        <f>CHOOSE(WEEKDAY(datos_siembra[[#This Row],[Date]],2),"L","M","X","J","V","S","D")</f>
        <v>J</v>
      </c>
      <c r="R3409">
        <f>WEEKNUM(datos_siembra[[#This Row],[Date]],2)-WEEKNUM(DATE(YEAR(datos_siembra[[#This Row],[Date]]),MONTH(datos_siembra[[#This Row],[Date]]),1))+1</f>
        <v>2</v>
      </c>
      <c r="S3409">
        <f>MONTH(datos_siembra[[#This Row],[Date]])</f>
        <v>10</v>
      </c>
      <c r="T3409" t="str" cm="1">
        <f t="array" ref="T3409">_xlfn.IFS(AND(N3409&lt;= 22, S3409=9), "SOWING",AND(N3409&lt;= 28, S3409=9), "COVERAGE",AND(N3409&lt;= 30, S3409=9), "FLUSH",AND(N3409&lt;= 11, S3409=10), "FLUSH",AND(N3409&lt;= 21, S3409=10), "PRODUCTION")</f>
        <v>FLUSH</v>
      </c>
      <c r="U3409">
        <f>HOUR(datos_siembra[[#This Row],[Hour]])</f>
        <v>11</v>
      </c>
      <c r="V3409" cm="1">
        <f t="array" ref="V3409">_xlfn.IFS(AND(N3409&lt;= 22, S3409=9), N3409-7,AND(N3409&lt;= 28, S3409=9), N3409-25,AND(N3409&lt;= 30, S3409=9), N3409-28,AND(N3409&lt;= 11, S3409=10), N3409+2,AND(N3409&lt;= 21, S3409=10), N3409-11)</f>
        <v>12</v>
      </c>
    </row>
    <row r="3410" spans="1:22" x14ac:dyDescent="0.35">
      <c r="A3410" s="4">
        <v>45575</v>
      </c>
      <c r="B3410" s="5">
        <v>0.47593750000000001</v>
      </c>
      <c r="C3410">
        <v>69.2</v>
      </c>
      <c r="D3410">
        <v>67.599999999999994</v>
      </c>
      <c r="E3410">
        <v>72.099999999999994</v>
      </c>
      <c r="F3410">
        <v>68.599999999999994</v>
      </c>
      <c r="G3410">
        <v>0</v>
      </c>
      <c r="H3410">
        <v>0</v>
      </c>
      <c r="I3410">
        <v>0</v>
      </c>
      <c r="J3410">
        <v>0</v>
      </c>
      <c r="K3410">
        <v>65</v>
      </c>
      <c r="L3410">
        <v>64.7</v>
      </c>
      <c r="M3410">
        <v>69.349999999999994</v>
      </c>
      <c r="N3410">
        <v>10</v>
      </c>
      <c r="O3410">
        <v>2</v>
      </c>
      <c r="P3410">
        <f>MOD(DAY(datos_siembra[[#This Row],[Date]]),7)</f>
        <v>3</v>
      </c>
      <c r="Q3410" t="str">
        <f>CHOOSE(WEEKDAY(datos_siembra[[#This Row],[Date]],2),"L","M","X","J","V","S","D")</f>
        <v>J</v>
      </c>
      <c r="R3410">
        <f>WEEKNUM(datos_siembra[[#This Row],[Date]],2)-WEEKNUM(DATE(YEAR(datos_siembra[[#This Row],[Date]]),MONTH(datos_siembra[[#This Row],[Date]]),1))+1</f>
        <v>2</v>
      </c>
      <c r="S3410">
        <f>MONTH(datos_siembra[[#This Row],[Date]])</f>
        <v>10</v>
      </c>
      <c r="T3410" t="str" cm="1">
        <f t="array" ref="T3410">_xlfn.IFS(AND(N3410&lt;= 22, S3410=9), "SOWING",AND(N3410&lt;= 28, S3410=9), "COVERAGE",AND(N3410&lt;= 30, S3410=9), "FLUSH",AND(N3410&lt;= 11, S3410=10), "FLUSH",AND(N3410&lt;= 21, S3410=10), "PRODUCTION")</f>
        <v>FLUSH</v>
      </c>
      <c r="U3410">
        <f>HOUR(datos_siembra[[#This Row],[Hour]])</f>
        <v>11</v>
      </c>
      <c r="V3410" cm="1">
        <f t="array" ref="V3410">_xlfn.IFS(AND(N3410&lt;= 22, S3410=9), N3410-7,AND(N3410&lt;= 28, S3410=9), N3410-25,AND(N3410&lt;= 30, S3410=9), N3410-28,AND(N3410&lt;= 11, S3410=10), N3410+2,AND(N3410&lt;= 21, S3410=10), N3410-11)</f>
        <v>12</v>
      </c>
    </row>
    <row r="3411" spans="1:22" x14ac:dyDescent="0.35">
      <c r="A3411" s="4">
        <v>45575</v>
      </c>
      <c r="B3411" s="5">
        <v>0.48288194444444443</v>
      </c>
      <c r="C3411">
        <v>69.2</v>
      </c>
      <c r="D3411">
        <v>67.599999999999994</v>
      </c>
      <c r="E3411">
        <v>72.3</v>
      </c>
      <c r="F3411">
        <v>68.5</v>
      </c>
      <c r="G3411">
        <v>0</v>
      </c>
      <c r="H3411">
        <v>0</v>
      </c>
      <c r="I3411">
        <v>0</v>
      </c>
      <c r="J3411">
        <v>0</v>
      </c>
      <c r="K3411">
        <v>65</v>
      </c>
      <c r="L3411">
        <v>64.7</v>
      </c>
      <c r="M3411">
        <v>69.41</v>
      </c>
      <c r="N3411">
        <v>10</v>
      </c>
      <c r="O3411">
        <v>2</v>
      </c>
      <c r="P3411">
        <f>MOD(DAY(datos_siembra[[#This Row],[Date]]),7)</f>
        <v>3</v>
      </c>
      <c r="Q3411" t="str">
        <f>CHOOSE(WEEKDAY(datos_siembra[[#This Row],[Date]],2),"L","M","X","J","V","S","D")</f>
        <v>J</v>
      </c>
      <c r="R3411">
        <f>WEEKNUM(datos_siembra[[#This Row],[Date]],2)-WEEKNUM(DATE(YEAR(datos_siembra[[#This Row],[Date]]),MONTH(datos_siembra[[#This Row],[Date]]),1))+1</f>
        <v>2</v>
      </c>
      <c r="S3411">
        <f>MONTH(datos_siembra[[#This Row],[Date]])</f>
        <v>10</v>
      </c>
      <c r="T3411" t="str" cm="1">
        <f t="array" ref="T3411">_xlfn.IFS(AND(N3411&lt;= 22, S3411=9), "SOWING",AND(N3411&lt;= 28, S3411=9), "COVERAGE",AND(N3411&lt;= 30, S3411=9), "FLUSH",AND(N3411&lt;= 11, S3411=10), "FLUSH",AND(N3411&lt;= 21, S3411=10), "PRODUCTION")</f>
        <v>FLUSH</v>
      </c>
      <c r="U3411">
        <f>HOUR(datos_siembra[[#This Row],[Hour]])</f>
        <v>11</v>
      </c>
      <c r="V3411" cm="1">
        <f t="array" ref="V3411">_xlfn.IFS(AND(N3411&lt;= 22, S3411=9), N3411-7,AND(N3411&lt;= 28, S3411=9), N3411-25,AND(N3411&lt;= 30, S3411=9), N3411-28,AND(N3411&lt;= 11, S3411=10), N3411+2,AND(N3411&lt;= 21, S3411=10), N3411-11)</f>
        <v>12</v>
      </c>
    </row>
    <row r="3412" spans="1:22" x14ac:dyDescent="0.35">
      <c r="A3412" s="4">
        <v>45575</v>
      </c>
      <c r="B3412" s="5">
        <v>0.48982638888888891</v>
      </c>
      <c r="C3412">
        <v>69.400000000000006</v>
      </c>
      <c r="D3412">
        <v>67.7</v>
      </c>
      <c r="E3412">
        <v>72.3</v>
      </c>
      <c r="F3412">
        <v>68.599999999999994</v>
      </c>
      <c r="G3412">
        <v>0</v>
      </c>
      <c r="H3412">
        <v>0</v>
      </c>
      <c r="I3412">
        <v>0</v>
      </c>
      <c r="J3412">
        <v>0</v>
      </c>
      <c r="K3412">
        <v>65.099999999999994</v>
      </c>
      <c r="L3412">
        <v>64.900000000000006</v>
      </c>
      <c r="M3412">
        <v>69.41</v>
      </c>
      <c r="N3412">
        <v>10</v>
      </c>
      <c r="O3412">
        <v>2</v>
      </c>
      <c r="P3412">
        <f>MOD(DAY(datos_siembra[[#This Row],[Date]]),7)</f>
        <v>3</v>
      </c>
      <c r="Q3412" t="str">
        <f>CHOOSE(WEEKDAY(datos_siembra[[#This Row],[Date]],2),"L","M","X","J","V","S","D")</f>
        <v>J</v>
      </c>
      <c r="R3412">
        <f>WEEKNUM(datos_siembra[[#This Row],[Date]],2)-WEEKNUM(DATE(YEAR(datos_siembra[[#This Row],[Date]]),MONTH(datos_siembra[[#This Row],[Date]]),1))+1</f>
        <v>2</v>
      </c>
      <c r="S3412">
        <f>MONTH(datos_siembra[[#This Row],[Date]])</f>
        <v>10</v>
      </c>
      <c r="T3412" t="str" cm="1">
        <f t="array" ref="T3412">_xlfn.IFS(AND(N3412&lt;= 22, S3412=9), "SOWING",AND(N3412&lt;= 28, S3412=9), "COVERAGE",AND(N3412&lt;= 30, S3412=9), "FLUSH",AND(N3412&lt;= 11, S3412=10), "FLUSH",AND(N3412&lt;= 21, S3412=10), "PRODUCTION")</f>
        <v>FLUSH</v>
      </c>
      <c r="U3412">
        <f>HOUR(datos_siembra[[#This Row],[Hour]])</f>
        <v>11</v>
      </c>
      <c r="V3412" cm="1">
        <f t="array" ref="V3412">_xlfn.IFS(AND(N3412&lt;= 22, S3412=9), N3412-7,AND(N3412&lt;= 28, S3412=9), N3412-25,AND(N3412&lt;= 30, S3412=9), N3412-28,AND(N3412&lt;= 11, S3412=10), N3412+2,AND(N3412&lt;= 21, S3412=10), N3412-11)</f>
        <v>12</v>
      </c>
    </row>
    <row r="3413" spans="1:22" x14ac:dyDescent="0.35">
      <c r="A3413" s="4">
        <v>45575</v>
      </c>
      <c r="B3413" s="5">
        <v>0.49677083333333333</v>
      </c>
      <c r="C3413">
        <v>69.2</v>
      </c>
      <c r="D3413">
        <v>67.400000000000006</v>
      </c>
      <c r="E3413">
        <v>72.5</v>
      </c>
      <c r="F3413">
        <v>68.599999999999994</v>
      </c>
      <c r="G3413">
        <v>0</v>
      </c>
      <c r="H3413">
        <v>0</v>
      </c>
      <c r="I3413">
        <v>0</v>
      </c>
      <c r="J3413">
        <v>0</v>
      </c>
      <c r="K3413">
        <v>65.3</v>
      </c>
      <c r="L3413">
        <v>65.2</v>
      </c>
      <c r="M3413">
        <v>69.41</v>
      </c>
      <c r="N3413">
        <v>10</v>
      </c>
      <c r="O3413">
        <v>2</v>
      </c>
      <c r="P3413">
        <f>MOD(DAY(datos_siembra[[#This Row],[Date]]),7)</f>
        <v>3</v>
      </c>
      <c r="Q3413" t="str">
        <f>CHOOSE(WEEKDAY(datos_siembra[[#This Row],[Date]],2),"L","M","X","J","V","S","D")</f>
        <v>J</v>
      </c>
      <c r="R3413">
        <f>WEEKNUM(datos_siembra[[#This Row],[Date]],2)-WEEKNUM(DATE(YEAR(datos_siembra[[#This Row],[Date]]),MONTH(datos_siembra[[#This Row],[Date]]),1))+1</f>
        <v>2</v>
      </c>
      <c r="S3413">
        <f>MONTH(datos_siembra[[#This Row],[Date]])</f>
        <v>10</v>
      </c>
      <c r="T3413" t="str" cm="1">
        <f t="array" ref="T3413">_xlfn.IFS(AND(N3413&lt;= 22, S3413=9), "SOWING",AND(N3413&lt;= 28, S3413=9), "COVERAGE",AND(N3413&lt;= 30, S3413=9), "FLUSH",AND(N3413&lt;= 11, S3413=10), "FLUSH",AND(N3413&lt;= 21, S3413=10), "PRODUCTION")</f>
        <v>FLUSH</v>
      </c>
      <c r="U3413">
        <f>HOUR(datos_siembra[[#This Row],[Hour]])</f>
        <v>11</v>
      </c>
      <c r="V3413" cm="1">
        <f t="array" ref="V3413">_xlfn.IFS(AND(N3413&lt;= 22, S3413=9), N3413-7,AND(N3413&lt;= 28, S3413=9), N3413-25,AND(N3413&lt;= 30, S3413=9), N3413-28,AND(N3413&lt;= 11, S3413=10), N3413+2,AND(N3413&lt;= 21, S3413=10), N3413-11)</f>
        <v>12</v>
      </c>
    </row>
    <row r="3414" spans="1:22" x14ac:dyDescent="0.35">
      <c r="A3414" s="4">
        <v>45575</v>
      </c>
      <c r="B3414" s="5">
        <v>0.50372685185185184</v>
      </c>
      <c r="C3414">
        <v>69.400000000000006</v>
      </c>
      <c r="D3414">
        <v>67.7</v>
      </c>
      <c r="E3414">
        <v>72.400000000000006</v>
      </c>
      <c r="F3414">
        <v>68.7</v>
      </c>
      <c r="G3414">
        <v>0</v>
      </c>
      <c r="H3414">
        <v>0</v>
      </c>
      <c r="I3414">
        <v>0</v>
      </c>
      <c r="J3414">
        <v>0</v>
      </c>
      <c r="K3414">
        <v>65.3</v>
      </c>
      <c r="L3414">
        <v>65.599999999999994</v>
      </c>
      <c r="M3414">
        <v>69.459999999999994</v>
      </c>
      <c r="N3414">
        <v>10</v>
      </c>
      <c r="O3414">
        <v>2</v>
      </c>
      <c r="P3414">
        <f>MOD(DAY(datos_siembra[[#This Row],[Date]]),7)</f>
        <v>3</v>
      </c>
      <c r="Q3414" t="str">
        <f>CHOOSE(WEEKDAY(datos_siembra[[#This Row],[Date]],2),"L","M","X","J","V","S","D")</f>
        <v>J</v>
      </c>
      <c r="R3414">
        <f>WEEKNUM(datos_siembra[[#This Row],[Date]],2)-WEEKNUM(DATE(YEAR(datos_siembra[[#This Row],[Date]]),MONTH(datos_siembra[[#This Row],[Date]]),1))+1</f>
        <v>2</v>
      </c>
      <c r="S3414">
        <f>MONTH(datos_siembra[[#This Row],[Date]])</f>
        <v>10</v>
      </c>
      <c r="T3414" t="str" cm="1">
        <f t="array" ref="T3414">_xlfn.IFS(AND(N3414&lt;= 22, S3414=9), "SOWING",AND(N3414&lt;= 28, S3414=9), "COVERAGE",AND(N3414&lt;= 30, S3414=9), "FLUSH",AND(N3414&lt;= 11, S3414=10), "FLUSH",AND(N3414&lt;= 21, S3414=10), "PRODUCTION")</f>
        <v>FLUSH</v>
      </c>
      <c r="U3414">
        <f>HOUR(datos_siembra[[#This Row],[Hour]])</f>
        <v>12</v>
      </c>
      <c r="V3414" cm="1">
        <f t="array" ref="V3414">_xlfn.IFS(AND(N3414&lt;= 22, S3414=9), N3414-7,AND(N3414&lt;= 28, S3414=9), N3414-25,AND(N3414&lt;= 30, S3414=9), N3414-28,AND(N3414&lt;= 11, S3414=10), N3414+2,AND(N3414&lt;= 21, S3414=10), N3414-11)</f>
        <v>12</v>
      </c>
    </row>
    <row r="3415" spans="1:22" x14ac:dyDescent="0.35">
      <c r="A3415" s="4">
        <v>45575</v>
      </c>
      <c r="B3415" s="5">
        <v>0.51067129629629626</v>
      </c>
      <c r="C3415">
        <v>69.400000000000006</v>
      </c>
      <c r="D3415">
        <v>67.599999999999994</v>
      </c>
      <c r="E3415">
        <v>72.5</v>
      </c>
      <c r="F3415">
        <v>68.599999999999994</v>
      </c>
      <c r="G3415">
        <v>0</v>
      </c>
      <c r="H3415">
        <v>0</v>
      </c>
      <c r="I3415">
        <v>0</v>
      </c>
      <c r="J3415">
        <v>0</v>
      </c>
      <c r="K3415">
        <v>64.5</v>
      </c>
      <c r="L3415">
        <v>64.7</v>
      </c>
      <c r="M3415">
        <v>69.489999999999995</v>
      </c>
      <c r="N3415">
        <v>10</v>
      </c>
      <c r="O3415">
        <v>2</v>
      </c>
      <c r="P3415">
        <f>MOD(DAY(datos_siembra[[#This Row],[Date]]),7)</f>
        <v>3</v>
      </c>
      <c r="Q3415" t="str">
        <f>CHOOSE(WEEKDAY(datos_siembra[[#This Row],[Date]],2),"L","M","X","J","V","S","D")</f>
        <v>J</v>
      </c>
      <c r="R3415">
        <f>WEEKNUM(datos_siembra[[#This Row],[Date]],2)-WEEKNUM(DATE(YEAR(datos_siembra[[#This Row],[Date]]),MONTH(datos_siembra[[#This Row],[Date]]),1))+1</f>
        <v>2</v>
      </c>
      <c r="S3415">
        <f>MONTH(datos_siembra[[#This Row],[Date]])</f>
        <v>10</v>
      </c>
      <c r="T3415" t="str" cm="1">
        <f t="array" ref="T3415">_xlfn.IFS(AND(N3415&lt;= 22, S3415=9), "SOWING",AND(N3415&lt;= 28, S3415=9), "COVERAGE",AND(N3415&lt;= 30, S3415=9), "FLUSH",AND(N3415&lt;= 11, S3415=10), "FLUSH",AND(N3415&lt;= 21, S3415=10), "PRODUCTION")</f>
        <v>FLUSH</v>
      </c>
      <c r="U3415">
        <f>HOUR(datos_siembra[[#This Row],[Hour]])</f>
        <v>12</v>
      </c>
      <c r="V3415" cm="1">
        <f t="array" ref="V3415">_xlfn.IFS(AND(N3415&lt;= 22, S3415=9), N3415-7,AND(N3415&lt;= 28, S3415=9), N3415-25,AND(N3415&lt;= 30, S3415=9), N3415-28,AND(N3415&lt;= 11, S3415=10), N3415+2,AND(N3415&lt;= 21, S3415=10), N3415-11)</f>
        <v>12</v>
      </c>
    </row>
    <row r="3416" spans="1:22" x14ac:dyDescent="0.35">
      <c r="A3416" s="4">
        <v>45575</v>
      </c>
      <c r="B3416" s="5">
        <v>0.51761574074074079</v>
      </c>
      <c r="C3416">
        <v>69.400000000000006</v>
      </c>
      <c r="D3416">
        <v>67.7</v>
      </c>
      <c r="E3416">
        <v>72.5</v>
      </c>
      <c r="F3416">
        <v>68.599999999999994</v>
      </c>
      <c r="G3416">
        <v>0</v>
      </c>
      <c r="H3416">
        <v>0</v>
      </c>
      <c r="I3416">
        <v>0</v>
      </c>
      <c r="J3416">
        <v>0</v>
      </c>
      <c r="K3416">
        <v>63.9</v>
      </c>
      <c r="L3416">
        <v>63.7</v>
      </c>
      <c r="M3416">
        <v>69.52</v>
      </c>
      <c r="N3416">
        <v>10</v>
      </c>
      <c r="O3416">
        <v>2</v>
      </c>
      <c r="P3416">
        <f>MOD(DAY(datos_siembra[[#This Row],[Date]]),7)</f>
        <v>3</v>
      </c>
      <c r="Q3416" t="str">
        <f>CHOOSE(WEEKDAY(datos_siembra[[#This Row],[Date]],2),"L","M","X","J","V","S","D")</f>
        <v>J</v>
      </c>
      <c r="R3416">
        <f>WEEKNUM(datos_siembra[[#This Row],[Date]],2)-WEEKNUM(DATE(YEAR(datos_siembra[[#This Row],[Date]]),MONTH(datos_siembra[[#This Row],[Date]]),1))+1</f>
        <v>2</v>
      </c>
      <c r="S3416">
        <f>MONTH(datos_siembra[[#This Row],[Date]])</f>
        <v>10</v>
      </c>
      <c r="T3416" t="str" cm="1">
        <f t="array" ref="T3416">_xlfn.IFS(AND(N3416&lt;= 22, S3416=9), "SOWING",AND(N3416&lt;= 28, S3416=9), "COVERAGE",AND(N3416&lt;= 30, S3416=9), "FLUSH",AND(N3416&lt;= 11, S3416=10), "FLUSH",AND(N3416&lt;= 21, S3416=10), "PRODUCTION")</f>
        <v>FLUSH</v>
      </c>
      <c r="U3416">
        <f>HOUR(datos_siembra[[#This Row],[Hour]])</f>
        <v>12</v>
      </c>
      <c r="V3416" cm="1">
        <f t="array" ref="V3416">_xlfn.IFS(AND(N3416&lt;= 22, S3416=9), N3416-7,AND(N3416&lt;= 28, S3416=9), N3416-25,AND(N3416&lt;= 30, S3416=9), N3416-28,AND(N3416&lt;= 11, S3416=10), N3416+2,AND(N3416&lt;= 21, S3416=10), N3416-11)</f>
        <v>12</v>
      </c>
    </row>
    <row r="3417" spans="1:22" x14ac:dyDescent="0.35">
      <c r="A3417" s="4">
        <v>45575</v>
      </c>
      <c r="B3417" s="5">
        <v>0.52457175925925925</v>
      </c>
      <c r="C3417">
        <v>69.400000000000006</v>
      </c>
      <c r="D3417">
        <v>67.599999999999994</v>
      </c>
      <c r="E3417">
        <v>72.599999999999994</v>
      </c>
      <c r="F3417">
        <v>68.5</v>
      </c>
      <c r="G3417">
        <v>0</v>
      </c>
      <c r="H3417">
        <v>0</v>
      </c>
      <c r="I3417">
        <v>0</v>
      </c>
      <c r="J3417">
        <v>0</v>
      </c>
      <c r="K3417">
        <v>63.7</v>
      </c>
      <c r="L3417">
        <v>63.6</v>
      </c>
      <c r="M3417">
        <v>69.569999999999993</v>
      </c>
      <c r="N3417">
        <v>10</v>
      </c>
      <c r="O3417">
        <v>2</v>
      </c>
      <c r="P3417">
        <f>MOD(DAY(datos_siembra[[#This Row],[Date]]),7)</f>
        <v>3</v>
      </c>
      <c r="Q3417" t="str">
        <f>CHOOSE(WEEKDAY(datos_siembra[[#This Row],[Date]],2),"L","M","X","J","V","S","D")</f>
        <v>J</v>
      </c>
      <c r="R3417">
        <f>WEEKNUM(datos_siembra[[#This Row],[Date]],2)-WEEKNUM(DATE(YEAR(datos_siembra[[#This Row],[Date]]),MONTH(datos_siembra[[#This Row],[Date]]),1))+1</f>
        <v>2</v>
      </c>
      <c r="S3417">
        <f>MONTH(datos_siembra[[#This Row],[Date]])</f>
        <v>10</v>
      </c>
      <c r="T3417" t="str" cm="1">
        <f t="array" ref="T3417">_xlfn.IFS(AND(N3417&lt;= 22, S3417=9), "SOWING",AND(N3417&lt;= 28, S3417=9), "COVERAGE",AND(N3417&lt;= 30, S3417=9), "FLUSH",AND(N3417&lt;= 11, S3417=10), "FLUSH",AND(N3417&lt;= 21, S3417=10), "PRODUCTION")</f>
        <v>FLUSH</v>
      </c>
      <c r="U3417">
        <f>HOUR(datos_siembra[[#This Row],[Hour]])</f>
        <v>12</v>
      </c>
      <c r="V3417" cm="1">
        <f t="array" ref="V3417">_xlfn.IFS(AND(N3417&lt;= 22, S3417=9), N3417-7,AND(N3417&lt;= 28, S3417=9), N3417-25,AND(N3417&lt;= 30, S3417=9), N3417-28,AND(N3417&lt;= 11, S3417=10), N3417+2,AND(N3417&lt;= 21, S3417=10), N3417-11)</f>
        <v>12</v>
      </c>
    </row>
    <row r="3418" spans="1:22" x14ac:dyDescent="0.35">
      <c r="A3418" s="4">
        <v>45575</v>
      </c>
      <c r="B3418" s="5">
        <v>0.53151620370370367</v>
      </c>
      <c r="C3418">
        <v>69.400000000000006</v>
      </c>
      <c r="D3418">
        <v>67.599999999999994</v>
      </c>
      <c r="E3418">
        <v>72.599999999999994</v>
      </c>
      <c r="F3418">
        <v>68.7</v>
      </c>
      <c r="G3418">
        <v>0</v>
      </c>
      <c r="H3418">
        <v>0</v>
      </c>
      <c r="I3418">
        <v>0</v>
      </c>
      <c r="J3418">
        <v>0</v>
      </c>
      <c r="K3418">
        <v>63.6</v>
      </c>
      <c r="L3418">
        <v>63.6</v>
      </c>
      <c r="M3418">
        <v>69.55</v>
      </c>
      <c r="N3418">
        <v>10</v>
      </c>
      <c r="O3418">
        <v>2</v>
      </c>
      <c r="P3418">
        <f>MOD(DAY(datos_siembra[[#This Row],[Date]]),7)</f>
        <v>3</v>
      </c>
      <c r="Q3418" t="str">
        <f>CHOOSE(WEEKDAY(datos_siembra[[#This Row],[Date]],2),"L","M","X","J","V","S","D")</f>
        <v>J</v>
      </c>
      <c r="R3418">
        <f>WEEKNUM(datos_siembra[[#This Row],[Date]],2)-WEEKNUM(DATE(YEAR(datos_siembra[[#This Row],[Date]]),MONTH(datos_siembra[[#This Row],[Date]]),1))+1</f>
        <v>2</v>
      </c>
      <c r="S3418">
        <f>MONTH(datos_siembra[[#This Row],[Date]])</f>
        <v>10</v>
      </c>
      <c r="T3418" t="str" cm="1">
        <f t="array" ref="T3418">_xlfn.IFS(AND(N3418&lt;= 22, S3418=9), "SOWING",AND(N3418&lt;= 28, S3418=9), "COVERAGE",AND(N3418&lt;= 30, S3418=9), "FLUSH",AND(N3418&lt;= 11, S3418=10), "FLUSH",AND(N3418&lt;= 21, S3418=10), "PRODUCTION")</f>
        <v>FLUSH</v>
      </c>
      <c r="U3418">
        <f>HOUR(datos_siembra[[#This Row],[Hour]])</f>
        <v>12</v>
      </c>
      <c r="V3418" cm="1">
        <f t="array" ref="V3418">_xlfn.IFS(AND(N3418&lt;= 22, S3418=9), N3418-7,AND(N3418&lt;= 28, S3418=9), N3418-25,AND(N3418&lt;= 30, S3418=9), N3418-28,AND(N3418&lt;= 11, S3418=10), N3418+2,AND(N3418&lt;= 21, S3418=10), N3418-11)</f>
        <v>12</v>
      </c>
    </row>
    <row r="3419" spans="1:22" x14ac:dyDescent="0.35">
      <c r="A3419" s="4">
        <v>45575</v>
      </c>
      <c r="B3419" s="5">
        <v>0.5384606481481482</v>
      </c>
      <c r="C3419">
        <v>69.5</v>
      </c>
      <c r="D3419">
        <v>67.7</v>
      </c>
      <c r="E3419">
        <v>72.400000000000006</v>
      </c>
      <c r="F3419">
        <v>68.7</v>
      </c>
      <c r="G3419">
        <v>0</v>
      </c>
      <c r="H3419">
        <v>0</v>
      </c>
      <c r="I3419">
        <v>0</v>
      </c>
      <c r="J3419">
        <v>0</v>
      </c>
      <c r="K3419">
        <v>64.3</v>
      </c>
      <c r="L3419">
        <v>64.400000000000006</v>
      </c>
      <c r="M3419">
        <v>69.599999999999994</v>
      </c>
      <c r="N3419">
        <v>10</v>
      </c>
      <c r="O3419">
        <v>2</v>
      </c>
      <c r="P3419">
        <f>MOD(DAY(datos_siembra[[#This Row],[Date]]),7)</f>
        <v>3</v>
      </c>
      <c r="Q3419" t="str">
        <f>CHOOSE(WEEKDAY(datos_siembra[[#This Row],[Date]],2),"L","M","X","J","V","S","D")</f>
        <v>J</v>
      </c>
      <c r="R3419">
        <f>WEEKNUM(datos_siembra[[#This Row],[Date]],2)-WEEKNUM(DATE(YEAR(datos_siembra[[#This Row],[Date]]),MONTH(datos_siembra[[#This Row],[Date]]),1))+1</f>
        <v>2</v>
      </c>
      <c r="S3419">
        <f>MONTH(datos_siembra[[#This Row],[Date]])</f>
        <v>10</v>
      </c>
      <c r="T3419" t="str" cm="1">
        <f t="array" ref="T3419">_xlfn.IFS(AND(N3419&lt;= 22, S3419=9), "SOWING",AND(N3419&lt;= 28, S3419=9), "COVERAGE",AND(N3419&lt;= 30, S3419=9), "FLUSH",AND(N3419&lt;= 11, S3419=10), "FLUSH",AND(N3419&lt;= 21, S3419=10), "PRODUCTION")</f>
        <v>FLUSH</v>
      </c>
      <c r="U3419">
        <f>HOUR(datos_siembra[[#This Row],[Hour]])</f>
        <v>12</v>
      </c>
      <c r="V3419" cm="1">
        <f t="array" ref="V3419">_xlfn.IFS(AND(N3419&lt;= 22, S3419=9), N3419-7,AND(N3419&lt;= 28, S3419=9), N3419-25,AND(N3419&lt;= 30, S3419=9), N3419-28,AND(N3419&lt;= 11, S3419=10), N3419+2,AND(N3419&lt;= 21, S3419=10), N3419-11)</f>
        <v>12</v>
      </c>
    </row>
    <row r="3420" spans="1:22" x14ac:dyDescent="0.35">
      <c r="A3420" s="4">
        <v>45575</v>
      </c>
      <c r="B3420" s="5">
        <v>0.54541666666666666</v>
      </c>
      <c r="C3420">
        <v>69.5</v>
      </c>
      <c r="D3420">
        <v>67.7</v>
      </c>
      <c r="E3420">
        <v>72.599999999999994</v>
      </c>
      <c r="F3420">
        <v>68.7</v>
      </c>
      <c r="G3420">
        <v>0</v>
      </c>
      <c r="H3420">
        <v>0</v>
      </c>
      <c r="I3420">
        <v>0</v>
      </c>
      <c r="J3420">
        <v>0</v>
      </c>
      <c r="K3420">
        <v>64.400000000000006</v>
      </c>
      <c r="L3420">
        <v>64.5</v>
      </c>
      <c r="M3420">
        <v>69.63</v>
      </c>
      <c r="N3420">
        <v>10</v>
      </c>
      <c r="O3420">
        <v>2</v>
      </c>
      <c r="P3420">
        <f>MOD(DAY(datos_siembra[[#This Row],[Date]]),7)</f>
        <v>3</v>
      </c>
      <c r="Q3420" t="str">
        <f>CHOOSE(WEEKDAY(datos_siembra[[#This Row],[Date]],2),"L","M","X","J","V","S","D")</f>
        <v>J</v>
      </c>
      <c r="R3420">
        <f>WEEKNUM(datos_siembra[[#This Row],[Date]],2)-WEEKNUM(DATE(YEAR(datos_siembra[[#This Row],[Date]]),MONTH(datos_siembra[[#This Row],[Date]]),1))+1</f>
        <v>2</v>
      </c>
      <c r="S3420">
        <f>MONTH(datos_siembra[[#This Row],[Date]])</f>
        <v>10</v>
      </c>
      <c r="T3420" t="str" cm="1">
        <f t="array" ref="T3420">_xlfn.IFS(AND(N3420&lt;= 22, S3420=9), "SOWING",AND(N3420&lt;= 28, S3420=9), "COVERAGE",AND(N3420&lt;= 30, S3420=9), "FLUSH",AND(N3420&lt;= 11, S3420=10), "FLUSH",AND(N3420&lt;= 21, S3420=10), "PRODUCTION")</f>
        <v>FLUSH</v>
      </c>
      <c r="U3420">
        <f>HOUR(datos_siembra[[#This Row],[Hour]])</f>
        <v>13</v>
      </c>
      <c r="V3420" cm="1">
        <f t="array" ref="V3420">_xlfn.IFS(AND(N3420&lt;= 22, S3420=9), N3420-7,AND(N3420&lt;= 28, S3420=9), N3420-25,AND(N3420&lt;= 30, S3420=9), N3420-28,AND(N3420&lt;= 11, S3420=10), N3420+2,AND(N3420&lt;= 21, S3420=10), N3420-11)</f>
        <v>12</v>
      </c>
    </row>
    <row r="3421" spans="1:22" x14ac:dyDescent="0.35">
      <c r="A3421" s="4">
        <v>45575</v>
      </c>
      <c r="B3421" s="5">
        <v>0.55236111111111108</v>
      </c>
      <c r="C3421">
        <v>69.599999999999994</v>
      </c>
      <c r="D3421">
        <v>67.599999999999994</v>
      </c>
      <c r="E3421">
        <v>72.7</v>
      </c>
      <c r="F3421">
        <v>68.8</v>
      </c>
      <c r="G3421">
        <v>0</v>
      </c>
      <c r="H3421">
        <v>0</v>
      </c>
      <c r="I3421">
        <v>0</v>
      </c>
      <c r="J3421">
        <v>0</v>
      </c>
      <c r="K3421">
        <v>64.599999999999994</v>
      </c>
      <c r="L3421">
        <v>64.7</v>
      </c>
      <c r="M3421">
        <v>69.55</v>
      </c>
      <c r="N3421">
        <v>10</v>
      </c>
      <c r="O3421">
        <v>2</v>
      </c>
      <c r="P3421">
        <f>MOD(DAY(datos_siembra[[#This Row],[Date]]),7)</f>
        <v>3</v>
      </c>
      <c r="Q3421" t="str">
        <f>CHOOSE(WEEKDAY(datos_siembra[[#This Row],[Date]],2),"L","M","X","J","V","S","D")</f>
        <v>J</v>
      </c>
      <c r="R3421">
        <f>WEEKNUM(datos_siembra[[#This Row],[Date]],2)-WEEKNUM(DATE(YEAR(datos_siembra[[#This Row],[Date]]),MONTH(datos_siembra[[#This Row],[Date]]),1))+1</f>
        <v>2</v>
      </c>
      <c r="S3421">
        <f>MONTH(datos_siembra[[#This Row],[Date]])</f>
        <v>10</v>
      </c>
      <c r="T3421" t="str" cm="1">
        <f t="array" ref="T3421">_xlfn.IFS(AND(N3421&lt;= 22, S3421=9), "SOWING",AND(N3421&lt;= 28, S3421=9), "COVERAGE",AND(N3421&lt;= 30, S3421=9), "FLUSH",AND(N3421&lt;= 11, S3421=10), "FLUSH",AND(N3421&lt;= 21, S3421=10), "PRODUCTION")</f>
        <v>FLUSH</v>
      </c>
      <c r="U3421">
        <f>HOUR(datos_siembra[[#This Row],[Hour]])</f>
        <v>13</v>
      </c>
      <c r="V3421" cm="1">
        <f t="array" ref="V3421">_xlfn.IFS(AND(N3421&lt;= 22, S3421=9), N3421-7,AND(N3421&lt;= 28, S3421=9), N3421-25,AND(N3421&lt;= 30, S3421=9), N3421-28,AND(N3421&lt;= 11, S3421=10), N3421+2,AND(N3421&lt;= 21, S3421=10), N3421-11)</f>
        <v>12</v>
      </c>
    </row>
    <row r="3422" spans="1:22" x14ac:dyDescent="0.35">
      <c r="A3422" s="4">
        <v>45575</v>
      </c>
      <c r="B3422" s="5">
        <v>0.5593055555555555</v>
      </c>
      <c r="C3422">
        <v>69.599999999999994</v>
      </c>
      <c r="D3422">
        <v>67.7</v>
      </c>
      <c r="E3422">
        <v>72.7</v>
      </c>
      <c r="F3422">
        <v>68.8</v>
      </c>
      <c r="G3422">
        <v>0</v>
      </c>
      <c r="H3422">
        <v>0</v>
      </c>
      <c r="I3422">
        <v>0</v>
      </c>
      <c r="J3422">
        <v>0</v>
      </c>
      <c r="K3422">
        <v>64.400000000000006</v>
      </c>
      <c r="L3422">
        <v>64.599999999999994</v>
      </c>
      <c r="M3422">
        <v>69.569999999999993</v>
      </c>
      <c r="N3422">
        <v>10</v>
      </c>
      <c r="O3422">
        <v>2</v>
      </c>
      <c r="P3422">
        <f>MOD(DAY(datos_siembra[[#This Row],[Date]]),7)</f>
        <v>3</v>
      </c>
      <c r="Q3422" t="str">
        <f>CHOOSE(WEEKDAY(datos_siembra[[#This Row],[Date]],2),"L","M","X","J","V","S","D")</f>
        <v>J</v>
      </c>
      <c r="R3422">
        <f>WEEKNUM(datos_siembra[[#This Row],[Date]],2)-WEEKNUM(DATE(YEAR(datos_siembra[[#This Row],[Date]]),MONTH(datos_siembra[[#This Row],[Date]]),1))+1</f>
        <v>2</v>
      </c>
      <c r="S3422">
        <f>MONTH(datos_siembra[[#This Row],[Date]])</f>
        <v>10</v>
      </c>
      <c r="T3422" t="str" cm="1">
        <f t="array" ref="T3422">_xlfn.IFS(AND(N3422&lt;= 22, S3422=9), "SOWING",AND(N3422&lt;= 28, S3422=9), "COVERAGE",AND(N3422&lt;= 30, S3422=9), "FLUSH",AND(N3422&lt;= 11, S3422=10), "FLUSH",AND(N3422&lt;= 21, S3422=10), "PRODUCTION")</f>
        <v>FLUSH</v>
      </c>
      <c r="U3422">
        <f>HOUR(datos_siembra[[#This Row],[Hour]])</f>
        <v>13</v>
      </c>
      <c r="V3422" cm="1">
        <f t="array" ref="V3422">_xlfn.IFS(AND(N3422&lt;= 22, S3422=9), N3422-7,AND(N3422&lt;= 28, S3422=9), N3422-25,AND(N3422&lt;= 30, S3422=9), N3422-28,AND(N3422&lt;= 11, S3422=10), N3422+2,AND(N3422&lt;= 21, S3422=10), N3422-11)</f>
        <v>12</v>
      </c>
    </row>
    <row r="3423" spans="1:22" x14ac:dyDescent="0.35">
      <c r="A3423" s="4">
        <v>45575</v>
      </c>
      <c r="B3423" s="5">
        <v>0.56625000000000003</v>
      </c>
      <c r="C3423">
        <v>69.599999999999994</v>
      </c>
      <c r="D3423">
        <v>67.7</v>
      </c>
      <c r="E3423">
        <v>72.8</v>
      </c>
      <c r="F3423">
        <v>68.900000000000006</v>
      </c>
      <c r="G3423">
        <v>0</v>
      </c>
      <c r="H3423">
        <v>0</v>
      </c>
      <c r="I3423">
        <v>0</v>
      </c>
      <c r="J3423">
        <v>0</v>
      </c>
      <c r="K3423">
        <v>64.5</v>
      </c>
      <c r="L3423">
        <v>64.5</v>
      </c>
      <c r="M3423">
        <v>69.66</v>
      </c>
      <c r="N3423">
        <v>10</v>
      </c>
      <c r="O3423">
        <v>2</v>
      </c>
      <c r="P3423">
        <f>MOD(DAY(datos_siembra[[#This Row],[Date]]),7)</f>
        <v>3</v>
      </c>
      <c r="Q3423" t="str">
        <f>CHOOSE(WEEKDAY(datos_siembra[[#This Row],[Date]],2),"L","M","X","J","V","S","D")</f>
        <v>J</v>
      </c>
      <c r="R3423">
        <f>WEEKNUM(datos_siembra[[#This Row],[Date]],2)-WEEKNUM(DATE(YEAR(datos_siembra[[#This Row],[Date]]),MONTH(datos_siembra[[#This Row],[Date]]),1))+1</f>
        <v>2</v>
      </c>
      <c r="S3423">
        <f>MONTH(datos_siembra[[#This Row],[Date]])</f>
        <v>10</v>
      </c>
      <c r="T3423" t="str" cm="1">
        <f t="array" ref="T3423">_xlfn.IFS(AND(N3423&lt;= 22, S3423=9), "SOWING",AND(N3423&lt;= 28, S3423=9), "COVERAGE",AND(N3423&lt;= 30, S3423=9), "FLUSH",AND(N3423&lt;= 11, S3423=10), "FLUSH",AND(N3423&lt;= 21, S3423=10), "PRODUCTION")</f>
        <v>FLUSH</v>
      </c>
      <c r="U3423">
        <f>HOUR(datos_siembra[[#This Row],[Hour]])</f>
        <v>13</v>
      </c>
      <c r="V3423" cm="1">
        <f t="array" ref="V3423">_xlfn.IFS(AND(N3423&lt;= 22, S3423=9), N3423-7,AND(N3423&lt;= 28, S3423=9), N3423-25,AND(N3423&lt;= 30, S3423=9), N3423-28,AND(N3423&lt;= 11, S3423=10), N3423+2,AND(N3423&lt;= 21, S3423=10), N3423-11)</f>
        <v>12</v>
      </c>
    </row>
    <row r="3424" spans="1:22" x14ac:dyDescent="0.35">
      <c r="A3424" s="4">
        <v>45575</v>
      </c>
      <c r="B3424" s="5">
        <v>0.57320601851851849</v>
      </c>
      <c r="C3424">
        <v>69.599999999999994</v>
      </c>
      <c r="D3424">
        <v>67.8</v>
      </c>
      <c r="E3424">
        <v>72.7</v>
      </c>
      <c r="F3424">
        <v>68.7</v>
      </c>
      <c r="G3424">
        <v>0</v>
      </c>
      <c r="H3424">
        <v>0</v>
      </c>
      <c r="I3424">
        <v>0</v>
      </c>
      <c r="J3424">
        <v>0</v>
      </c>
      <c r="K3424">
        <v>64.400000000000006</v>
      </c>
      <c r="L3424">
        <v>64.599999999999994</v>
      </c>
      <c r="M3424">
        <v>69.739999999999995</v>
      </c>
      <c r="N3424">
        <v>10</v>
      </c>
      <c r="O3424">
        <v>2</v>
      </c>
      <c r="P3424">
        <f>MOD(DAY(datos_siembra[[#This Row],[Date]]),7)</f>
        <v>3</v>
      </c>
      <c r="Q3424" t="str">
        <f>CHOOSE(WEEKDAY(datos_siembra[[#This Row],[Date]],2),"L","M","X","J","V","S","D")</f>
        <v>J</v>
      </c>
      <c r="R3424">
        <f>WEEKNUM(datos_siembra[[#This Row],[Date]],2)-WEEKNUM(DATE(YEAR(datos_siembra[[#This Row],[Date]]),MONTH(datos_siembra[[#This Row],[Date]]),1))+1</f>
        <v>2</v>
      </c>
      <c r="S3424">
        <f>MONTH(datos_siembra[[#This Row],[Date]])</f>
        <v>10</v>
      </c>
      <c r="T3424" t="str" cm="1">
        <f t="array" ref="T3424">_xlfn.IFS(AND(N3424&lt;= 22, S3424=9), "SOWING",AND(N3424&lt;= 28, S3424=9), "COVERAGE",AND(N3424&lt;= 30, S3424=9), "FLUSH",AND(N3424&lt;= 11, S3424=10), "FLUSH",AND(N3424&lt;= 21, S3424=10), "PRODUCTION")</f>
        <v>FLUSH</v>
      </c>
      <c r="U3424">
        <f>HOUR(datos_siembra[[#This Row],[Hour]])</f>
        <v>13</v>
      </c>
      <c r="V3424" cm="1">
        <f t="array" ref="V3424">_xlfn.IFS(AND(N3424&lt;= 22, S3424=9), N3424-7,AND(N3424&lt;= 28, S3424=9), N3424-25,AND(N3424&lt;= 30, S3424=9), N3424-28,AND(N3424&lt;= 11, S3424=10), N3424+2,AND(N3424&lt;= 21, S3424=10), N3424-11)</f>
        <v>12</v>
      </c>
    </row>
    <row r="3425" spans="1:22" x14ac:dyDescent="0.35">
      <c r="A3425" s="4">
        <v>45575</v>
      </c>
      <c r="B3425" s="5">
        <v>0.58015046296296291</v>
      </c>
      <c r="C3425">
        <v>69.7</v>
      </c>
      <c r="D3425">
        <v>67.8</v>
      </c>
      <c r="E3425">
        <v>72.8</v>
      </c>
      <c r="F3425">
        <v>68.8</v>
      </c>
      <c r="G3425">
        <v>0</v>
      </c>
      <c r="H3425">
        <v>0</v>
      </c>
      <c r="I3425">
        <v>0</v>
      </c>
      <c r="J3425">
        <v>0</v>
      </c>
      <c r="K3425">
        <v>64.5</v>
      </c>
      <c r="L3425">
        <v>64.7</v>
      </c>
      <c r="M3425">
        <v>69.69</v>
      </c>
      <c r="N3425">
        <v>10</v>
      </c>
      <c r="O3425">
        <v>2</v>
      </c>
      <c r="P3425">
        <f>MOD(DAY(datos_siembra[[#This Row],[Date]]),7)</f>
        <v>3</v>
      </c>
      <c r="Q3425" t="str">
        <f>CHOOSE(WEEKDAY(datos_siembra[[#This Row],[Date]],2),"L","M","X","J","V","S","D")</f>
        <v>J</v>
      </c>
      <c r="R3425">
        <f>WEEKNUM(datos_siembra[[#This Row],[Date]],2)-WEEKNUM(DATE(YEAR(datos_siembra[[#This Row],[Date]]),MONTH(datos_siembra[[#This Row],[Date]]),1))+1</f>
        <v>2</v>
      </c>
      <c r="S3425">
        <f>MONTH(datos_siembra[[#This Row],[Date]])</f>
        <v>10</v>
      </c>
      <c r="T3425" t="str" cm="1">
        <f t="array" ref="T3425">_xlfn.IFS(AND(N3425&lt;= 22, S3425=9), "SOWING",AND(N3425&lt;= 28, S3425=9), "COVERAGE",AND(N3425&lt;= 30, S3425=9), "FLUSH",AND(N3425&lt;= 11, S3425=10), "FLUSH",AND(N3425&lt;= 21, S3425=10), "PRODUCTION")</f>
        <v>FLUSH</v>
      </c>
      <c r="U3425">
        <f>HOUR(datos_siembra[[#This Row],[Hour]])</f>
        <v>13</v>
      </c>
      <c r="V3425" cm="1">
        <f t="array" ref="V3425">_xlfn.IFS(AND(N3425&lt;= 22, S3425=9), N3425-7,AND(N3425&lt;= 28, S3425=9), N3425-25,AND(N3425&lt;= 30, S3425=9), N3425-28,AND(N3425&lt;= 11, S3425=10), N3425+2,AND(N3425&lt;= 21, S3425=10), N3425-11)</f>
        <v>12</v>
      </c>
    </row>
    <row r="3426" spans="1:22" x14ac:dyDescent="0.35">
      <c r="A3426" s="4">
        <v>45575</v>
      </c>
      <c r="B3426" s="5">
        <v>0.58709490740740744</v>
      </c>
      <c r="C3426">
        <v>69.599999999999994</v>
      </c>
      <c r="D3426">
        <v>67.8</v>
      </c>
      <c r="E3426">
        <v>73</v>
      </c>
      <c r="F3426">
        <v>68.8</v>
      </c>
      <c r="G3426">
        <v>0</v>
      </c>
      <c r="H3426">
        <v>0</v>
      </c>
      <c r="I3426">
        <v>0</v>
      </c>
      <c r="J3426">
        <v>0</v>
      </c>
      <c r="K3426">
        <v>64.5</v>
      </c>
      <c r="L3426">
        <v>64.599999999999994</v>
      </c>
      <c r="M3426">
        <v>69.739999999999995</v>
      </c>
      <c r="N3426">
        <v>10</v>
      </c>
      <c r="O3426">
        <v>2</v>
      </c>
      <c r="P3426">
        <f>MOD(DAY(datos_siembra[[#This Row],[Date]]),7)</f>
        <v>3</v>
      </c>
      <c r="Q3426" t="str">
        <f>CHOOSE(WEEKDAY(datos_siembra[[#This Row],[Date]],2),"L","M","X","J","V","S","D")</f>
        <v>J</v>
      </c>
      <c r="R3426">
        <f>WEEKNUM(datos_siembra[[#This Row],[Date]],2)-WEEKNUM(DATE(YEAR(datos_siembra[[#This Row],[Date]]),MONTH(datos_siembra[[#This Row],[Date]]),1))+1</f>
        <v>2</v>
      </c>
      <c r="S3426">
        <f>MONTH(datos_siembra[[#This Row],[Date]])</f>
        <v>10</v>
      </c>
      <c r="T3426" t="str" cm="1">
        <f t="array" ref="T3426">_xlfn.IFS(AND(N3426&lt;= 22, S3426=9), "SOWING",AND(N3426&lt;= 28, S3426=9), "COVERAGE",AND(N3426&lt;= 30, S3426=9), "FLUSH",AND(N3426&lt;= 11, S3426=10), "FLUSH",AND(N3426&lt;= 21, S3426=10), "PRODUCTION")</f>
        <v>FLUSH</v>
      </c>
      <c r="U3426">
        <f>HOUR(datos_siembra[[#This Row],[Hour]])</f>
        <v>14</v>
      </c>
      <c r="V3426" cm="1">
        <f t="array" ref="V3426">_xlfn.IFS(AND(N3426&lt;= 22, S3426=9), N3426-7,AND(N3426&lt;= 28, S3426=9), N3426-25,AND(N3426&lt;= 30, S3426=9), N3426-28,AND(N3426&lt;= 11, S3426=10), N3426+2,AND(N3426&lt;= 21, S3426=10), N3426-11)</f>
        <v>12</v>
      </c>
    </row>
    <row r="3427" spans="1:22" x14ac:dyDescent="0.35">
      <c r="A3427" s="4">
        <v>45575</v>
      </c>
      <c r="B3427" s="5">
        <v>0.5940509259259259</v>
      </c>
      <c r="C3427">
        <v>69.7</v>
      </c>
      <c r="D3427">
        <v>67.7</v>
      </c>
      <c r="E3427">
        <v>73</v>
      </c>
      <c r="F3427">
        <v>68.8</v>
      </c>
      <c r="G3427">
        <v>0</v>
      </c>
      <c r="H3427">
        <v>0</v>
      </c>
      <c r="I3427">
        <v>0</v>
      </c>
      <c r="J3427">
        <v>0</v>
      </c>
      <c r="K3427">
        <v>64.5</v>
      </c>
      <c r="L3427">
        <v>64.5</v>
      </c>
      <c r="M3427">
        <v>69.83</v>
      </c>
      <c r="N3427">
        <v>10</v>
      </c>
      <c r="O3427">
        <v>2</v>
      </c>
      <c r="P3427">
        <f>MOD(DAY(datos_siembra[[#This Row],[Date]]),7)</f>
        <v>3</v>
      </c>
      <c r="Q3427" t="str">
        <f>CHOOSE(WEEKDAY(datos_siembra[[#This Row],[Date]],2),"L","M","X","J","V","S","D")</f>
        <v>J</v>
      </c>
      <c r="R3427">
        <f>WEEKNUM(datos_siembra[[#This Row],[Date]],2)-WEEKNUM(DATE(YEAR(datos_siembra[[#This Row],[Date]]),MONTH(datos_siembra[[#This Row],[Date]]),1))+1</f>
        <v>2</v>
      </c>
      <c r="S3427">
        <f>MONTH(datos_siembra[[#This Row],[Date]])</f>
        <v>10</v>
      </c>
      <c r="T3427" t="str" cm="1">
        <f t="array" ref="T3427">_xlfn.IFS(AND(N3427&lt;= 22, S3427=9), "SOWING",AND(N3427&lt;= 28, S3427=9), "COVERAGE",AND(N3427&lt;= 30, S3427=9), "FLUSH",AND(N3427&lt;= 11, S3427=10), "FLUSH",AND(N3427&lt;= 21, S3427=10), "PRODUCTION")</f>
        <v>FLUSH</v>
      </c>
      <c r="U3427">
        <f>HOUR(datos_siembra[[#This Row],[Hour]])</f>
        <v>14</v>
      </c>
      <c r="V3427" cm="1">
        <f t="array" ref="V3427">_xlfn.IFS(AND(N3427&lt;= 22, S3427=9), N3427-7,AND(N3427&lt;= 28, S3427=9), N3427-25,AND(N3427&lt;= 30, S3427=9), N3427-28,AND(N3427&lt;= 11, S3427=10), N3427+2,AND(N3427&lt;= 21, S3427=10), N3427-11)</f>
        <v>12</v>
      </c>
    </row>
    <row r="3428" spans="1:22" x14ac:dyDescent="0.35">
      <c r="A3428" s="4">
        <v>45575</v>
      </c>
      <c r="B3428" s="5">
        <v>0.60099537037037032</v>
      </c>
      <c r="C3428">
        <v>69.7</v>
      </c>
      <c r="D3428">
        <v>67.7</v>
      </c>
      <c r="E3428">
        <v>73</v>
      </c>
      <c r="F3428">
        <v>68.7</v>
      </c>
      <c r="G3428">
        <v>0</v>
      </c>
      <c r="H3428">
        <v>0</v>
      </c>
      <c r="I3428">
        <v>0</v>
      </c>
      <c r="J3428">
        <v>0</v>
      </c>
      <c r="K3428">
        <v>64.400000000000006</v>
      </c>
      <c r="L3428">
        <v>64.599999999999994</v>
      </c>
      <c r="M3428">
        <v>69.739999999999995</v>
      </c>
      <c r="N3428">
        <v>10</v>
      </c>
      <c r="O3428">
        <v>2</v>
      </c>
      <c r="P3428">
        <f>MOD(DAY(datos_siembra[[#This Row],[Date]]),7)</f>
        <v>3</v>
      </c>
      <c r="Q3428" t="str">
        <f>CHOOSE(WEEKDAY(datos_siembra[[#This Row],[Date]],2),"L","M","X","J","V","S","D")</f>
        <v>J</v>
      </c>
      <c r="R3428">
        <f>WEEKNUM(datos_siembra[[#This Row],[Date]],2)-WEEKNUM(DATE(YEAR(datos_siembra[[#This Row],[Date]]),MONTH(datos_siembra[[#This Row],[Date]]),1))+1</f>
        <v>2</v>
      </c>
      <c r="S3428">
        <f>MONTH(datos_siembra[[#This Row],[Date]])</f>
        <v>10</v>
      </c>
      <c r="T3428" t="str" cm="1">
        <f t="array" ref="T3428">_xlfn.IFS(AND(N3428&lt;= 22, S3428=9), "SOWING",AND(N3428&lt;= 28, S3428=9), "COVERAGE",AND(N3428&lt;= 30, S3428=9), "FLUSH",AND(N3428&lt;= 11, S3428=10), "FLUSH",AND(N3428&lt;= 21, S3428=10), "PRODUCTION")</f>
        <v>FLUSH</v>
      </c>
      <c r="U3428">
        <f>HOUR(datos_siembra[[#This Row],[Hour]])</f>
        <v>14</v>
      </c>
      <c r="V3428" cm="1">
        <f t="array" ref="V3428">_xlfn.IFS(AND(N3428&lt;= 22, S3428=9), N3428-7,AND(N3428&lt;= 28, S3428=9), N3428-25,AND(N3428&lt;= 30, S3428=9), N3428-28,AND(N3428&lt;= 11, S3428=10), N3428+2,AND(N3428&lt;= 21, S3428=10), N3428-11)</f>
        <v>12</v>
      </c>
    </row>
    <row r="3429" spans="1:22" x14ac:dyDescent="0.35">
      <c r="A3429" s="4">
        <v>45575</v>
      </c>
      <c r="B3429" s="5">
        <v>0.60793981481481485</v>
      </c>
      <c r="C3429">
        <v>69.7</v>
      </c>
      <c r="D3429">
        <v>67.900000000000006</v>
      </c>
      <c r="E3429">
        <v>73</v>
      </c>
      <c r="F3429">
        <v>68.8</v>
      </c>
      <c r="G3429">
        <v>0</v>
      </c>
      <c r="H3429">
        <v>0</v>
      </c>
      <c r="I3429">
        <v>0</v>
      </c>
      <c r="J3429">
        <v>0</v>
      </c>
      <c r="K3429">
        <v>64.5</v>
      </c>
      <c r="L3429">
        <v>64.7</v>
      </c>
      <c r="M3429">
        <v>69.83</v>
      </c>
      <c r="N3429">
        <v>10</v>
      </c>
      <c r="O3429">
        <v>2</v>
      </c>
      <c r="P3429">
        <f>MOD(DAY(datos_siembra[[#This Row],[Date]]),7)</f>
        <v>3</v>
      </c>
      <c r="Q3429" t="str">
        <f>CHOOSE(WEEKDAY(datos_siembra[[#This Row],[Date]],2),"L","M","X","J","V","S","D")</f>
        <v>J</v>
      </c>
      <c r="R3429">
        <f>WEEKNUM(datos_siembra[[#This Row],[Date]],2)-WEEKNUM(DATE(YEAR(datos_siembra[[#This Row],[Date]]),MONTH(datos_siembra[[#This Row],[Date]]),1))+1</f>
        <v>2</v>
      </c>
      <c r="S3429">
        <f>MONTH(datos_siembra[[#This Row],[Date]])</f>
        <v>10</v>
      </c>
      <c r="T3429" t="str" cm="1">
        <f t="array" ref="T3429">_xlfn.IFS(AND(N3429&lt;= 22, S3429=9), "SOWING",AND(N3429&lt;= 28, S3429=9), "COVERAGE",AND(N3429&lt;= 30, S3429=9), "FLUSH",AND(N3429&lt;= 11, S3429=10), "FLUSH",AND(N3429&lt;= 21, S3429=10), "PRODUCTION")</f>
        <v>FLUSH</v>
      </c>
      <c r="U3429">
        <f>HOUR(datos_siembra[[#This Row],[Hour]])</f>
        <v>14</v>
      </c>
      <c r="V3429" cm="1">
        <f t="array" ref="V3429">_xlfn.IFS(AND(N3429&lt;= 22, S3429=9), N3429-7,AND(N3429&lt;= 28, S3429=9), N3429-25,AND(N3429&lt;= 30, S3429=9), N3429-28,AND(N3429&lt;= 11, S3429=10), N3429+2,AND(N3429&lt;= 21, S3429=10), N3429-11)</f>
        <v>12</v>
      </c>
    </row>
    <row r="3430" spans="1:22" x14ac:dyDescent="0.35">
      <c r="A3430" s="4">
        <v>45575</v>
      </c>
      <c r="B3430" s="5">
        <v>0.61488425925925927</v>
      </c>
      <c r="C3430">
        <v>69.7</v>
      </c>
      <c r="D3430">
        <v>67.8</v>
      </c>
      <c r="E3430">
        <v>73.099999999999994</v>
      </c>
      <c r="F3430">
        <v>68.8</v>
      </c>
      <c r="G3430">
        <v>0</v>
      </c>
      <c r="H3430">
        <v>0</v>
      </c>
      <c r="I3430">
        <v>0</v>
      </c>
      <c r="J3430">
        <v>0</v>
      </c>
      <c r="K3430">
        <v>64.5</v>
      </c>
      <c r="L3430">
        <v>64.7</v>
      </c>
      <c r="M3430">
        <v>69.88</v>
      </c>
      <c r="N3430">
        <v>10</v>
      </c>
      <c r="O3430">
        <v>2</v>
      </c>
      <c r="P3430">
        <f>MOD(DAY(datos_siembra[[#This Row],[Date]]),7)</f>
        <v>3</v>
      </c>
      <c r="Q3430" t="str">
        <f>CHOOSE(WEEKDAY(datos_siembra[[#This Row],[Date]],2),"L","M","X","J","V","S","D")</f>
        <v>J</v>
      </c>
      <c r="R3430">
        <f>WEEKNUM(datos_siembra[[#This Row],[Date]],2)-WEEKNUM(DATE(YEAR(datos_siembra[[#This Row],[Date]]),MONTH(datos_siembra[[#This Row],[Date]]),1))+1</f>
        <v>2</v>
      </c>
      <c r="S3430">
        <f>MONTH(datos_siembra[[#This Row],[Date]])</f>
        <v>10</v>
      </c>
      <c r="T3430" t="str" cm="1">
        <f t="array" ref="T3430">_xlfn.IFS(AND(N3430&lt;= 22, S3430=9), "SOWING",AND(N3430&lt;= 28, S3430=9), "COVERAGE",AND(N3430&lt;= 30, S3430=9), "FLUSH",AND(N3430&lt;= 11, S3430=10), "FLUSH",AND(N3430&lt;= 21, S3430=10), "PRODUCTION")</f>
        <v>FLUSH</v>
      </c>
      <c r="U3430">
        <f>HOUR(datos_siembra[[#This Row],[Hour]])</f>
        <v>14</v>
      </c>
      <c r="V3430" cm="1">
        <f t="array" ref="V3430">_xlfn.IFS(AND(N3430&lt;= 22, S3430=9), N3430-7,AND(N3430&lt;= 28, S3430=9), N3430-25,AND(N3430&lt;= 30, S3430=9), N3430-28,AND(N3430&lt;= 11, S3430=10), N3430+2,AND(N3430&lt;= 21, S3430=10), N3430-11)</f>
        <v>12</v>
      </c>
    </row>
    <row r="3431" spans="1:22" x14ac:dyDescent="0.35">
      <c r="A3431" s="4">
        <v>45575</v>
      </c>
      <c r="B3431" s="5">
        <v>0.62184027777777773</v>
      </c>
      <c r="C3431">
        <v>69.7</v>
      </c>
      <c r="D3431">
        <v>67.8</v>
      </c>
      <c r="E3431">
        <v>73.099999999999994</v>
      </c>
      <c r="F3431">
        <v>68.900000000000006</v>
      </c>
      <c r="G3431">
        <v>0</v>
      </c>
      <c r="H3431">
        <v>0</v>
      </c>
      <c r="I3431">
        <v>0</v>
      </c>
      <c r="J3431">
        <v>0</v>
      </c>
      <c r="K3431">
        <v>64.599999999999994</v>
      </c>
      <c r="L3431">
        <v>64.900000000000006</v>
      </c>
      <c r="M3431">
        <v>69.8</v>
      </c>
      <c r="N3431">
        <v>10</v>
      </c>
      <c r="O3431">
        <v>2</v>
      </c>
      <c r="P3431">
        <f>MOD(DAY(datos_siembra[[#This Row],[Date]]),7)</f>
        <v>3</v>
      </c>
      <c r="Q3431" t="str">
        <f>CHOOSE(WEEKDAY(datos_siembra[[#This Row],[Date]],2),"L","M","X","J","V","S","D")</f>
        <v>J</v>
      </c>
      <c r="R3431">
        <f>WEEKNUM(datos_siembra[[#This Row],[Date]],2)-WEEKNUM(DATE(YEAR(datos_siembra[[#This Row],[Date]]),MONTH(datos_siembra[[#This Row],[Date]]),1))+1</f>
        <v>2</v>
      </c>
      <c r="S3431">
        <f>MONTH(datos_siembra[[#This Row],[Date]])</f>
        <v>10</v>
      </c>
      <c r="T3431" t="str" cm="1">
        <f t="array" ref="T3431">_xlfn.IFS(AND(N3431&lt;= 22, S3431=9), "SOWING",AND(N3431&lt;= 28, S3431=9), "COVERAGE",AND(N3431&lt;= 30, S3431=9), "FLUSH",AND(N3431&lt;= 11, S3431=10), "FLUSH",AND(N3431&lt;= 21, S3431=10), "PRODUCTION")</f>
        <v>FLUSH</v>
      </c>
      <c r="U3431">
        <f>HOUR(datos_siembra[[#This Row],[Hour]])</f>
        <v>14</v>
      </c>
      <c r="V3431" cm="1">
        <f t="array" ref="V3431">_xlfn.IFS(AND(N3431&lt;= 22, S3431=9), N3431-7,AND(N3431&lt;= 28, S3431=9), N3431-25,AND(N3431&lt;= 30, S3431=9), N3431-28,AND(N3431&lt;= 11, S3431=10), N3431+2,AND(N3431&lt;= 21, S3431=10), N3431-11)</f>
        <v>12</v>
      </c>
    </row>
    <row r="3432" spans="1:22" x14ac:dyDescent="0.35">
      <c r="A3432" s="4">
        <v>45575</v>
      </c>
      <c r="B3432" s="5">
        <v>0.62878472222222226</v>
      </c>
      <c r="C3432">
        <v>69.8</v>
      </c>
      <c r="D3432">
        <v>67.900000000000006</v>
      </c>
      <c r="E3432">
        <v>73.2</v>
      </c>
      <c r="F3432">
        <v>69</v>
      </c>
      <c r="G3432">
        <v>0</v>
      </c>
      <c r="H3432">
        <v>0</v>
      </c>
      <c r="I3432">
        <v>0</v>
      </c>
      <c r="J3432">
        <v>0</v>
      </c>
      <c r="K3432">
        <v>64.599999999999994</v>
      </c>
      <c r="L3432">
        <v>64.7</v>
      </c>
      <c r="M3432">
        <v>70</v>
      </c>
      <c r="N3432">
        <v>10</v>
      </c>
      <c r="O3432">
        <v>2</v>
      </c>
      <c r="P3432">
        <f>MOD(DAY(datos_siembra[[#This Row],[Date]]),7)</f>
        <v>3</v>
      </c>
      <c r="Q3432" t="str">
        <f>CHOOSE(WEEKDAY(datos_siembra[[#This Row],[Date]],2),"L","M","X","J","V","S","D")</f>
        <v>J</v>
      </c>
      <c r="R3432">
        <f>WEEKNUM(datos_siembra[[#This Row],[Date]],2)-WEEKNUM(DATE(YEAR(datos_siembra[[#This Row],[Date]]),MONTH(datos_siembra[[#This Row],[Date]]),1))+1</f>
        <v>2</v>
      </c>
      <c r="S3432">
        <f>MONTH(datos_siembra[[#This Row],[Date]])</f>
        <v>10</v>
      </c>
      <c r="T3432" t="str" cm="1">
        <f t="array" ref="T3432">_xlfn.IFS(AND(N3432&lt;= 22, S3432=9), "SOWING",AND(N3432&lt;= 28, S3432=9), "COVERAGE",AND(N3432&lt;= 30, S3432=9), "FLUSH",AND(N3432&lt;= 11, S3432=10), "FLUSH",AND(N3432&lt;= 21, S3432=10), "PRODUCTION")</f>
        <v>FLUSH</v>
      </c>
      <c r="U3432">
        <f>HOUR(datos_siembra[[#This Row],[Hour]])</f>
        <v>15</v>
      </c>
      <c r="V3432" cm="1">
        <f t="array" ref="V3432">_xlfn.IFS(AND(N3432&lt;= 22, S3432=9), N3432-7,AND(N3432&lt;= 28, S3432=9), N3432-25,AND(N3432&lt;= 30, S3432=9), N3432-28,AND(N3432&lt;= 11, S3432=10), N3432+2,AND(N3432&lt;= 21, S3432=10), N3432-11)</f>
        <v>12</v>
      </c>
    </row>
    <row r="3433" spans="1:22" x14ac:dyDescent="0.35">
      <c r="A3433" s="4">
        <v>45575</v>
      </c>
      <c r="B3433" s="5">
        <v>0.63572916666666668</v>
      </c>
      <c r="C3433">
        <v>69.900000000000006</v>
      </c>
      <c r="D3433">
        <v>67.8</v>
      </c>
      <c r="E3433">
        <v>73.2</v>
      </c>
      <c r="F3433">
        <v>68.900000000000006</v>
      </c>
      <c r="G3433">
        <v>0</v>
      </c>
      <c r="H3433">
        <v>0</v>
      </c>
      <c r="I3433">
        <v>0</v>
      </c>
      <c r="J3433">
        <v>0</v>
      </c>
      <c r="K3433">
        <v>64.400000000000006</v>
      </c>
      <c r="L3433">
        <v>65.400000000000006</v>
      </c>
      <c r="M3433">
        <v>69.97</v>
      </c>
      <c r="N3433">
        <v>10</v>
      </c>
      <c r="O3433">
        <v>2</v>
      </c>
      <c r="P3433">
        <f>MOD(DAY(datos_siembra[[#This Row],[Date]]),7)</f>
        <v>3</v>
      </c>
      <c r="Q3433" t="str">
        <f>CHOOSE(WEEKDAY(datos_siembra[[#This Row],[Date]],2),"L","M","X","J","V","S","D")</f>
        <v>J</v>
      </c>
      <c r="R3433">
        <f>WEEKNUM(datos_siembra[[#This Row],[Date]],2)-WEEKNUM(DATE(YEAR(datos_siembra[[#This Row],[Date]]),MONTH(datos_siembra[[#This Row],[Date]]),1))+1</f>
        <v>2</v>
      </c>
      <c r="S3433">
        <f>MONTH(datos_siembra[[#This Row],[Date]])</f>
        <v>10</v>
      </c>
      <c r="T3433" t="str" cm="1">
        <f t="array" ref="T3433">_xlfn.IFS(AND(N3433&lt;= 22, S3433=9), "SOWING",AND(N3433&lt;= 28, S3433=9), "COVERAGE",AND(N3433&lt;= 30, S3433=9), "FLUSH",AND(N3433&lt;= 11, S3433=10), "FLUSH",AND(N3433&lt;= 21, S3433=10), "PRODUCTION")</f>
        <v>FLUSH</v>
      </c>
      <c r="U3433">
        <f>HOUR(datos_siembra[[#This Row],[Hour]])</f>
        <v>15</v>
      </c>
      <c r="V3433" cm="1">
        <f t="array" ref="V3433">_xlfn.IFS(AND(N3433&lt;= 22, S3433=9), N3433-7,AND(N3433&lt;= 28, S3433=9), N3433-25,AND(N3433&lt;= 30, S3433=9), N3433-28,AND(N3433&lt;= 11, S3433=10), N3433+2,AND(N3433&lt;= 21, S3433=10), N3433-11)</f>
        <v>12</v>
      </c>
    </row>
    <row r="3434" spans="1:22" x14ac:dyDescent="0.35">
      <c r="A3434" s="4">
        <v>45575</v>
      </c>
      <c r="B3434" s="5">
        <v>0.64268518518518514</v>
      </c>
      <c r="C3434">
        <v>69.8</v>
      </c>
      <c r="D3434">
        <v>67.7</v>
      </c>
      <c r="E3434">
        <v>73.3</v>
      </c>
      <c r="F3434">
        <v>69</v>
      </c>
      <c r="G3434">
        <v>0</v>
      </c>
      <c r="H3434">
        <v>0</v>
      </c>
      <c r="I3434">
        <v>0</v>
      </c>
      <c r="J3434">
        <v>0</v>
      </c>
      <c r="K3434">
        <v>64.400000000000006</v>
      </c>
      <c r="L3434">
        <v>64.5</v>
      </c>
      <c r="M3434">
        <v>70.05</v>
      </c>
      <c r="N3434">
        <v>10</v>
      </c>
      <c r="O3434">
        <v>2</v>
      </c>
      <c r="P3434">
        <f>MOD(DAY(datos_siembra[[#This Row],[Date]]),7)</f>
        <v>3</v>
      </c>
      <c r="Q3434" t="str">
        <f>CHOOSE(WEEKDAY(datos_siembra[[#This Row],[Date]],2),"L","M","X","J","V","S","D")</f>
        <v>J</v>
      </c>
      <c r="R3434">
        <f>WEEKNUM(datos_siembra[[#This Row],[Date]],2)-WEEKNUM(DATE(YEAR(datos_siembra[[#This Row],[Date]]),MONTH(datos_siembra[[#This Row],[Date]]),1))+1</f>
        <v>2</v>
      </c>
      <c r="S3434">
        <f>MONTH(datos_siembra[[#This Row],[Date]])</f>
        <v>10</v>
      </c>
      <c r="T3434" t="str" cm="1">
        <f t="array" ref="T3434">_xlfn.IFS(AND(N3434&lt;= 22, S3434=9), "SOWING",AND(N3434&lt;= 28, S3434=9), "COVERAGE",AND(N3434&lt;= 30, S3434=9), "FLUSH",AND(N3434&lt;= 11, S3434=10), "FLUSH",AND(N3434&lt;= 21, S3434=10), "PRODUCTION")</f>
        <v>FLUSH</v>
      </c>
      <c r="U3434">
        <f>HOUR(datos_siembra[[#This Row],[Hour]])</f>
        <v>15</v>
      </c>
      <c r="V3434" cm="1">
        <f t="array" ref="V3434">_xlfn.IFS(AND(N3434&lt;= 22, S3434=9), N3434-7,AND(N3434&lt;= 28, S3434=9), N3434-25,AND(N3434&lt;= 30, S3434=9), N3434-28,AND(N3434&lt;= 11, S3434=10), N3434+2,AND(N3434&lt;= 21, S3434=10), N3434-11)</f>
        <v>12</v>
      </c>
    </row>
    <row r="3435" spans="1:22" x14ac:dyDescent="0.35">
      <c r="A3435" s="4">
        <v>45575</v>
      </c>
      <c r="B3435" s="5">
        <v>0.64962962962962967</v>
      </c>
      <c r="C3435">
        <v>69.900000000000006</v>
      </c>
      <c r="D3435">
        <v>67.900000000000006</v>
      </c>
      <c r="E3435">
        <v>73.3</v>
      </c>
      <c r="F3435">
        <v>69.099999999999994</v>
      </c>
      <c r="G3435">
        <v>0</v>
      </c>
      <c r="H3435">
        <v>0</v>
      </c>
      <c r="I3435">
        <v>0</v>
      </c>
      <c r="J3435">
        <v>0</v>
      </c>
      <c r="K3435">
        <v>64.3</v>
      </c>
      <c r="L3435">
        <v>64.400000000000006</v>
      </c>
      <c r="M3435">
        <v>69.94</v>
      </c>
      <c r="N3435">
        <v>10</v>
      </c>
      <c r="O3435">
        <v>2</v>
      </c>
      <c r="P3435">
        <f>MOD(DAY(datos_siembra[[#This Row],[Date]]),7)</f>
        <v>3</v>
      </c>
      <c r="Q3435" t="str">
        <f>CHOOSE(WEEKDAY(datos_siembra[[#This Row],[Date]],2),"L","M","X","J","V","S","D")</f>
        <v>J</v>
      </c>
      <c r="R3435">
        <f>WEEKNUM(datos_siembra[[#This Row],[Date]],2)-WEEKNUM(DATE(YEAR(datos_siembra[[#This Row],[Date]]),MONTH(datos_siembra[[#This Row],[Date]]),1))+1</f>
        <v>2</v>
      </c>
      <c r="S3435">
        <f>MONTH(datos_siembra[[#This Row],[Date]])</f>
        <v>10</v>
      </c>
      <c r="T3435" t="str" cm="1">
        <f t="array" ref="T3435">_xlfn.IFS(AND(N3435&lt;= 22, S3435=9), "SOWING",AND(N3435&lt;= 28, S3435=9), "COVERAGE",AND(N3435&lt;= 30, S3435=9), "FLUSH",AND(N3435&lt;= 11, S3435=10), "FLUSH",AND(N3435&lt;= 21, S3435=10), "PRODUCTION")</f>
        <v>FLUSH</v>
      </c>
      <c r="U3435">
        <f>HOUR(datos_siembra[[#This Row],[Hour]])</f>
        <v>15</v>
      </c>
      <c r="V3435" cm="1">
        <f t="array" ref="V3435">_xlfn.IFS(AND(N3435&lt;= 22, S3435=9), N3435-7,AND(N3435&lt;= 28, S3435=9), N3435-25,AND(N3435&lt;= 30, S3435=9), N3435-28,AND(N3435&lt;= 11, S3435=10), N3435+2,AND(N3435&lt;= 21, S3435=10), N3435-11)</f>
        <v>12</v>
      </c>
    </row>
    <row r="3436" spans="1:22" x14ac:dyDescent="0.35">
      <c r="A3436" s="4">
        <v>45575</v>
      </c>
      <c r="B3436" s="5">
        <v>0.65657407407407409</v>
      </c>
      <c r="C3436">
        <v>69.900000000000006</v>
      </c>
      <c r="D3436">
        <v>67.8</v>
      </c>
      <c r="E3436">
        <v>73.3</v>
      </c>
      <c r="F3436">
        <v>69.099999999999994</v>
      </c>
      <c r="G3436">
        <v>0</v>
      </c>
      <c r="H3436">
        <v>0</v>
      </c>
      <c r="I3436">
        <v>0</v>
      </c>
      <c r="J3436">
        <v>0</v>
      </c>
      <c r="K3436">
        <v>64.400000000000006</v>
      </c>
      <c r="L3436">
        <v>64.400000000000006</v>
      </c>
      <c r="M3436">
        <v>70</v>
      </c>
      <c r="N3436">
        <v>10</v>
      </c>
      <c r="O3436">
        <v>2</v>
      </c>
      <c r="P3436">
        <f>MOD(DAY(datos_siembra[[#This Row],[Date]]),7)</f>
        <v>3</v>
      </c>
      <c r="Q3436" t="str">
        <f>CHOOSE(WEEKDAY(datos_siembra[[#This Row],[Date]],2),"L","M","X","J","V","S","D")</f>
        <v>J</v>
      </c>
      <c r="R3436">
        <f>WEEKNUM(datos_siembra[[#This Row],[Date]],2)-WEEKNUM(DATE(YEAR(datos_siembra[[#This Row],[Date]]),MONTH(datos_siembra[[#This Row],[Date]]),1))+1</f>
        <v>2</v>
      </c>
      <c r="S3436">
        <f>MONTH(datos_siembra[[#This Row],[Date]])</f>
        <v>10</v>
      </c>
      <c r="T3436" t="str" cm="1">
        <f t="array" ref="T3436">_xlfn.IFS(AND(N3436&lt;= 22, S3436=9), "SOWING",AND(N3436&lt;= 28, S3436=9), "COVERAGE",AND(N3436&lt;= 30, S3436=9), "FLUSH",AND(N3436&lt;= 11, S3436=10), "FLUSH",AND(N3436&lt;= 21, S3436=10), "PRODUCTION")</f>
        <v>FLUSH</v>
      </c>
      <c r="U3436">
        <f>HOUR(datos_siembra[[#This Row],[Hour]])</f>
        <v>15</v>
      </c>
      <c r="V3436" cm="1">
        <f t="array" ref="V3436">_xlfn.IFS(AND(N3436&lt;= 22, S3436=9), N3436-7,AND(N3436&lt;= 28, S3436=9), N3436-25,AND(N3436&lt;= 30, S3436=9), N3436-28,AND(N3436&lt;= 11, S3436=10), N3436+2,AND(N3436&lt;= 21, S3436=10), N3436-11)</f>
        <v>12</v>
      </c>
    </row>
    <row r="3437" spans="1:22" x14ac:dyDescent="0.35">
      <c r="A3437" s="4">
        <v>45575</v>
      </c>
      <c r="B3437" s="5">
        <v>0.66353009259259255</v>
      </c>
      <c r="C3437">
        <v>69.900000000000006</v>
      </c>
      <c r="D3437">
        <v>68</v>
      </c>
      <c r="E3437">
        <v>73.3</v>
      </c>
      <c r="F3437">
        <v>69</v>
      </c>
      <c r="G3437">
        <v>0</v>
      </c>
      <c r="H3437">
        <v>0</v>
      </c>
      <c r="I3437">
        <v>0</v>
      </c>
      <c r="J3437">
        <v>0</v>
      </c>
      <c r="K3437">
        <v>64.400000000000006</v>
      </c>
      <c r="L3437">
        <v>64.3</v>
      </c>
      <c r="M3437">
        <v>70.02</v>
      </c>
      <c r="N3437">
        <v>10</v>
      </c>
      <c r="O3437">
        <v>2</v>
      </c>
      <c r="P3437">
        <f>MOD(DAY(datos_siembra[[#This Row],[Date]]),7)</f>
        <v>3</v>
      </c>
      <c r="Q3437" t="str">
        <f>CHOOSE(WEEKDAY(datos_siembra[[#This Row],[Date]],2),"L","M","X","J","V","S","D")</f>
        <v>J</v>
      </c>
      <c r="R3437">
        <f>WEEKNUM(datos_siembra[[#This Row],[Date]],2)-WEEKNUM(DATE(YEAR(datos_siembra[[#This Row],[Date]]),MONTH(datos_siembra[[#This Row],[Date]]),1))+1</f>
        <v>2</v>
      </c>
      <c r="S3437">
        <f>MONTH(datos_siembra[[#This Row],[Date]])</f>
        <v>10</v>
      </c>
      <c r="T3437" t="str" cm="1">
        <f t="array" ref="T3437">_xlfn.IFS(AND(N3437&lt;= 22, S3437=9), "SOWING",AND(N3437&lt;= 28, S3437=9), "COVERAGE",AND(N3437&lt;= 30, S3437=9), "FLUSH",AND(N3437&lt;= 11, S3437=10), "FLUSH",AND(N3437&lt;= 21, S3437=10), "PRODUCTION")</f>
        <v>FLUSH</v>
      </c>
      <c r="U3437">
        <f>HOUR(datos_siembra[[#This Row],[Hour]])</f>
        <v>15</v>
      </c>
      <c r="V3437" cm="1">
        <f t="array" ref="V3437">_xlfn.IFS(AND(N3437&lt;= 22, S3437=9), N3437-7,AND(N3437&lt;= 28, S3437=9), N3437-25,AND(N3437&lt;= 30, S3437=9), N3437-28,AND(N3437&lt;= 11, S3437=10), N3437+2,AND(N3437&lt;= 21, S3437=10), N3437-11)</f>
        <v>12</v>
      </c>
    </row>
    <row r="3438" spans="1:22" x14ac:dyDescent="0.35">
      <c r="A3438" s="4">
        <v>45575</v>
      </c>
      <c r="B3438" s="5">
        <v>0.67047453703703708</v>
      </c>
      <c r="C3438">
        <v>70</v>
      </c>
      <c r="D3438">
        <v>67.8</v>
      </c>
      <c r="E3438">
        <v>73.3</v>
      </c>
      <c r="F3438">
        <v>68.900000000000006</v>
      </c>
      <c r="G3438">
        <v>0</v>
      </c>
      <c r="H3438">
        <v>0</v>
      </c>
      <c r="I3438">
        <v>0</v>
      </c>
      <c r="J3438">
        <v>0</v>
      </c>
      <c r="K3438">
        <v>64.400000000000006</v>
      </c>
      <c r="L3438">
        <v>64.3</v>
      </c>
      <c r="M3438">
        <v>70.05</v>
      </c>
      <c r="N3438">
        <v>10</v>
      </c>
      <c r="O3438">
        <v>2</v>
      </c>
      <c r="P3438">
        <f>MOD(DAY(datos_siembra[[#This Row],[Date]]),7)</f>
        <v>3</v>
      </c>
      <c r="Q3438" t="str">
        <f>CHOOSE(WEEKDAY(datos_siembra[[#This Row],[Date]],2),"L","M","X","J","V","S","D")</f>
        <v>J</v>
      </c>
      <c r="R3438">
        <f>WEEKNUM(datos_siembra[[#This Row],[Date]],2)-WEEKNUM(DATE(YEAR(datos_siembra[[#This Row],[Date]]),MONTH(datos_siembra[[#This Row],[Date]]),1))+1</f>
        <v>2</v>
      </c>
      <c r="S3438">
        <f>MONTH(datos_siembra[[#This Row],[Date]])</f>
        <v>10</v>
      </c>
      <c r="T3438" t="str" cm="1">
        <f t="array" ref="T3438">_xlfn.IFS(AND(N3438&lt;= 22, S3438=9), "SOWING",AND(N3438&lt;= 28, S3438=9), "COVERAGE",AND(N3438&lt;= 30, S3438=9), "FLUSH",AND(N3438&lt;= 11, S3438=10), "FLUSH",AND(N3438&lt;= 21, S3438=10), "PRODUCTION")</f>
        <v>FLUSH</v>
      </c>
      <c r="U3438">
        <f>HOUR(datos_siembra[[#This Row],[Hour]])</f>
        <v>16</v>
      </c>
      <c r="V3438" cm="1">
        <f t="array" ref="V3438">_xlfn.IFS(AND(N3438&lt;= 22, S3438=9), N3438-7,AND(N3438&lt;= 28, S3438=9), N3438-25,AND(N3438&lt;= 30, S3438=9), N3438-28,AND(N3438&lt;= 11, S3438=10), N3438+2,AND(N3438&lt;= 21, S3438=10), N3438-11)</f>
        <v>12</v>
      </c>
    </row>
    <row r="3439" spans="1:22" x14ac:dyDescent="0.35">
      <c r="A3439" s="4">
        <v>45575</v>
      </c>
      <c r="B3439" s="5">
        <v>0.6774189814814815</v>
      </c>
      <c r="C3439">
        <v>69.900000000000006</v>
      </c>
      <c r="D3439">
        <v>67.900000000000006</v>
      </c>
      <c r="E3439">
        <v>73.3</v>
      </c>
      <c r="F3439">
        <v>68.900000000000006</v>
      </c>
      <c r="G3439">
        <v>0</v>
      </c>
      <c r="H3439">
        <v>0</v>
      </c>
      <c r="I3439">
        <v>0</v>
      </c>
      <c r="J3439">
        <v>0</v>
      </c>
      <c r="K3439">
        <v>64.400000000000006</v>
      </c>
      <c r="L3439">
        <v>64.400000000000006</v>
      </c>
      <c r="M3439">
        <v>70.05</v>
      </c>
      <c r="N3439">
        <v>10</v>
      </c>
      <c r="O3439">
        <v>2</v>
      </c>
      <c r="P3439">
        <f>MOD(DAY(datos_siembra[[#This Row],[Date]]),7)</f>
        <v>3</v>
      </c>
      <c r="Q3439" t="str">
        <f>CHOOSE(WEEKDAY(datos_siembra[[#This Row],[Date]],2),"L","M","X","J","V","S","D")</f>
        <v>J</v>
      </c>
      <c r="R3439">
        <f>WEEKNUM(datos_siembra[[#This Row],[Date]],2)-WEEKNUM(DATE(YEAR(datos_siembra[[#This Row],[Date]]),MONTH(datos_siembra[[#This Row],[Date]]),1))+1</f>
        <v>2</v>
      </c>
      <c r="S3439">
        <f>MONTH(datos_siembra[[#This Row],[Date]])</f>
        <v>10</v>
      </c>
      <c r="T3439" t="str" cm="1">
        <f t="array" ref="T3439">_xlfn.IFS(AND(N3439&lt;= 22, S3439=9), "SOWING",AND(N3439&lt;= 28, S3439=9), "COVERAGE",AND(N3439&lt;= 30, S3439=9), "FLUSH",AND(N3439&lt;= 11, S3439=10), "FLUSH",AND(N3439&lt;= 21, S3439=10), "PRODUCTION")</f>
        <v>FLUSH</v>
      </c>
      <c r="U3439">
        <f>HOUR(datos_siembra[[#This Row],[Hour]])</f>
        <v>16</v>
      </c>
      <c r="V3439" cm="1">
        <f t="array" ref="V3439">_xlfn.IFS(AND(N3439&lt;= 22, S3439=9), N3439-7,AND(N3439&lt;= 28, S3439=9), N3439-25,AND(N3439&lt;= 30, S3439=9), N3439-28,AND(N3439&lt;= 11, S3439=10), N3439+2,AND(N3439&lt;= 21, S3439=10), N3439-11)</f>
        <v>12</v>
      </c>
    </row>
    <row r="3440" spans="1:22" x14ac:dyDescent="0.35">
      <c r="A3440" s="4">
        <v>45575</v>
      </c>
      <c r="B3440" s="5">
        <v>0.68436342592592592</v>
      </c>
      <c r="C3440">
        <v>70</v>
      </c>
      <c r="D3440">
        <v>67.8</v>
      </c>
      <c r="E3440">
        <v>73.400000000000006</v>
      </c>
      <c r="F3440">
        <v>69.099999999999994</v>
      </c>
      <c r="G3440">
        <v>0</v>
      </c>
      <c r="H3440">
        <v>0</v>
      </c>
      <c r="I3440">
        <v>0</v>
      </c>
      <c r="J3440">
        <v>0</v>
      </c>
      <c r="K3440">
        <v>64.400000000000006</v>
      </c>
      <c r="L3440">
        <v>64.400000000000006</v>
      </c>
      <c r="M3440">
        <v>70.02</v>
      </c>
      <c r="N3440">
        <v>10</v>
      </c>
      <c r="O3440">
        <v>2</v>
      </c>
      <c r="P3440">
        <f>MOD(DAY(datos_siembra[[#This Row],[Date]]),7)</f>
        <v>3</v>
      </c>
      <c r="Q3440" t="str">
        <f>CHOOSE(WEEKDAY(datos_siembra[[#This Row],[Date]],2),"L","M","X","J","V","S","D")</f>
        <v>J</v>
      </c>
      <c r="R3440">
        <f>WEEKNUM(datos_siembra[[#This Row],[Date]],2)-WEEKNUM(DATE(YEAR(datos_siembra[[#This Row],[Date]]),MONTH(datos_siembra[[#This Row],[Date]]),1))+1</f>
        <v>2</v>
      </c>
      <c r="S3440">
        <f>MONTH(datos_siembra[[#This Row],[Date]])</f>
        <v>10</v>
      </c>
      <c r="T3440" t="str" cm="1">
        <f t="array" ref="T3440">_xlfn.IFS(AND(N3440&lt;= 22, S3440=9), "SOWING",AND(N3440&lt;= 28, S3440=9), "COVERAGE",AND(N3440&lt;= 30, S3440=9), "FLUSH",AND(N3440&lt;= 11, S3440=10), "FLUSH",AND(N3440&lt;= 21, S3440=10), "PRODUCTION")</f>
        <v>FLUSH</v>
      </c>
      <c r="U3440">
        <f>HOUR(datos_siembra[[#This Row],[Hour]])</f>
        <v>16</v>
      </c>
      <c r="V3440" cm="1">
        <f t="array" ref="V3440">_xlfn.IFS(AND(N3440&lt;= 22, S3440=9), N3440-7,AND(N3440&lt;= 28, S3440=9), N3440-25,AND(N3440&lt;= 30, S3440=9), N3440-28,AND(N3440&lt;= 11, S3440=10), N3440+2,AND(N3440&lt;= 21, S3440=10), N3440-11)</f>
        <v>12</v>
      </c>
    </row>
    <row r="3441" spans="1:22" x14ac:dyDescent="0.35">
      <c r="A3441" s="4">
        <v>45575</v>
      </c>
      <c r="B3441" s="5">
        <v>0.69131944444444449</v>
      </c>
      <c r="C3441">
        <v>70</v>
      </c>
      <c r="D3441">
        <v>67.900000000000006</v>
      </c>
      <c r="E3441">
        <v>73.5</v>
      </c>
      <c r="F3441">
        <v>69.099999999999994</v>
      </c>
      <c r="G3441">
        <v>0</v>
      </c>
      <c r="H3441">
        <v>0</v>
      </c>
      <c r="I3441">
        <v>0</v>
      </c>
      <c r="J3441">
        <v>0</v>
      </c>
      <c r="K3441">
        <v>64.400000000000006</v>
      </c>
      <c r="L3441">
        <v>64.400000000000006</v>
      </c>
      <c r="M3441">
        <v>70.14</v>
      </c>
      <c r="N3441">
        <v>10</v>
      </c>
      <c r="O3441">
        <v>2</v>
      </c>
      <c r="P3441">
        <f>MOD(DAY(datos_siembra[[#This Row],[Date]]),7)</f>
        <v>3</v>
      </c>
      <c r="Q3441" t="str">
        <f>CHOOSE(WEEKDAY(datos_siembra[[#This Row],[Date]],2),"L","M","X","J","V","S","D")</f>
        <v>J</v>
      </c>
      <c r="R3441">
        <f>WEEKNUM(datos_siembra[[#This Row],[Date]],2)-WEEKNUM(DATE(YEAR(datos_siembra[[#This Row],[Date]]),MONTH(datos_siembra[[#This Row],[Date]]),1))+1</f>
        <v>2</v>
      </c>
      <c r="S3441">
        <f>MONTH(datos_siembra[[#This Row],[Date]])</f>
        <v>10</v>
      </c>
      <c r="T3441" t="str" cm="1">
        <f t="array" ref="T3441">_xlfn.IFS(AND(N3441&lt;= 22, S3441=9), "SOWING",AND(N3441&lt;= 28, S3441=9), "COVERAGE",AND(N3441&lt;= 30, S3441=9), "FLUSH",AND(N3441&lt;= 11, S3441=10), "FLUSH",AND(N3441&lt;= 21, S3441=10), "PRODUCTION")</f>
        <v>FLUSH</v>
      </c>
      <c r="U3441">
        <f>HOUR(datos_siembra[[#This Row],[Hour]])</f>
        <v>16</v>
      </c>
      <c r="V3441" cm="1">
        <f t="array" ref="V3441">_xlfn.IFS(AND(N3441&lt;= 22, S3441=9), N3441-7,AND(N3441&lt;= 28, S3441=9), N3441-25,AND(N3441&lt;= 30, S3441=9), N3441-28,AND(N3441&lt;= 11, S3441=10), N3441+2,AND(N3441&lt;= 21, S3441=10), N3441-11)</f>
        <v>12</v>
      </c>
    </row>
    <row r="3442" spans="1:22" x14ac:dyDescent="0.35">
      <c r="A3442" s="4">
        <v>45575</v>
      </c>
      <c r="B3442" s="5">
        <v>0.69826388888888891</v>
      </c>
      <c r="C3442">
        <v>70</v>
      </c>
      <c r="D3442">
        <v>68</v>
      </c>
      <c r="E3442">
        <v>73.5</v>
      </c>
      <c r="F3442">
        <v>69.099999999999994</v>
      </c>
      <c r="G3442">
        <v>0</v>
      </c>
      <c r="H3442">
        <v>0</v>
      </c>
      <c r="I3442">
        <v>0</v>
      </c>
      <c r="J3442">
        <v>0</v>
      </c>
      <c r="K3442">
        <v>64.400000000000006</v>
      </c>
      <c r="L3442">
        <v>64.400000000000006</v>
      </c>
      <c r="M3442">
        <v>70.17</v>
      </c>
      <c r="N3442">
        <v>10</v>
      </c>
      <c r="O3442">
        <v>2</v>
      </c>
      <c r="P3442">
        <f>MOD(DAY(datos_siembra[[#This Row],[Date]]),7)</f>
        <v>3</v>
      </c>
      <c r="Q3442" t="str">
        <f>CHOOSE(WEEKDAY(datos_siembra[[#This Row],[Date]],2),"L","M","X","J","V","S","D")</f>
        <v>J</v>
      </c>
      <c r="R3442">
        <f>WEEKNUM(datos_siembra[[#This Row],[Date]],2)-WEEKNUM(DATE(YEAR(datos_siembra[[#This Row],[Date]]),MONTH(datos_siembra[[#This Row],[Date]]),1))+1</f>
        <v>2</v>
      </c>
      <c r="S3442">
        <f>MONTH(datos_siembra[[#This Row],[Date]])</f>
        <v>10</v>
      </c>
      <c r="T3442" t="str" cm="1">
        <f t="array" ref="T3442">_xlfn.IFS(AND(N3442&lt;= 22, S3442=9), "SOWING",AND(N3442&lt;= 28, S3442=9), "COVERAGE",AND(N3442&lt;= 30, S3442=9), "FLUSH",AND(N3442&lt;= 11, S3442=10), "FLUSH",AND(N3442&lt;= 21, S3442=10), "PRODUCTION")</f>
        <v>FLUSH</v>
      </c>
      <c r="U3442">
        <f>HOUR(datos_siembra[[#This Row],[Hour]])</f>
        <v>16</v>
      </c>
      <c r="V3442" cm="1">
        <f t="array" ref="V3442">_xlfn.IFS(AND(N3442&lt;= 22, S3442=9), N3442-7,AND(N3442&lt;= 28, S3442=9), N3442-25,AND(N3442&lt;= 30, S3442=9), N3442-28,AND(N3442&lt;= 11, S3442=10), N3442+2,AND(N3442&lt;= 21, S3442=10), N3442-11)</f>
        <v>12</v>
      </c>
    </row>
    <row r="3443" spans="1:22" x14ac:dyDescent="0.35">
      <c r="A3443" s="4">
        <v>45575</v>
      </c>
      <c r="B3443" s="5">
        <v>0.70520833333333333</v>
      </c>
      <c r="C3443">
        <v>70.099999999999994</v>
      </c>
      <c r="D3443">
        <v>67.900000000000006</v>
      </c>
      <c r="E3443">
        <v>73.5</v>
      </c>
      <c r="F3443">
        <v>69.2</v>
      </c>
      <c r="G3443">
        <v>0</v>
      </c>
      <c r="H3443">
        <v>0</v>
      </c>
      <c r="I3443">
        <v>0</v>
      </c>
      <c r="J3443">
        <v>0</v>
      </c>
      <c r="K3443">
        <v>64.400000000000006</v>
      </c>
      <c r="L3443">
        <v>64.400000000000006</v>
      </c>
      <c r="M3443">
        <v>70.17</v>
      </c>
      <c r="N3443">
        <v>10</v>
      </c>
      <c r="O3443">
        <v>2</v>
      </c>
      <c r="P3443">
        <f>MOD(DAY(datos_siembra[[#This Row],[Date]]),7)</f>
        <v>3</v>
      </c>
      <c r="Q3443" t="str">
        <f>CHOOSE(WEEKDAY(datos_siembra[[#This Row],[Date]],2),"L","M","X","J","V","S","D")</f>
        <v>J</v>
      </c>
      <c r="R3443">
        <f>WEEKNUM(datos_siembra[[#This Row],[Date]],2)-WEEKNUM(DATE(YEAR(datos_siembra[[#This Row],[Date]]),MONTH(datos_siembra[[#This Row],[Date]]),1))+1</f>
        <v>2</v>
      </c>
      <c r="S3443">
        <f>MONTH(datos_siembra[[#This Row],[Date]])</f>
        <v>10</v>
      </c>
      <c r="T3443" t="str" cm="1">
        <f t="array" ref="T3443">_xlfn.IFS(AND(N3443&lt;= 22, S3443=9), "SOWING",AND(N3443&lt;= 28, S3443=9), "COVERAGE",AND(N3443&lt;= 30, S3443=9), "FLUSH",AND(N3443&lt;= 11, S3443=10), "FLUSH",AND(N3443&lt;= 21, S3443=10), "PRODUCTION")</f>
        <v>FLUSH</v>
      </c>
      <c r="U3443">
        <f>HOUR(datos_siembra[[#This Row],[Hour]])</f>
        <v>16</v>
      </c>
      <c r="V3443" cm="1">
        <f t="array" ref="V3443">_xlfn.IFS(AND(N3443&lt;= 22, S3443=9), N3443-7,AND(N3443&lt;= 28, S3443=9), N3443-25,AND(N3443&lt;= 30, S3443=9), N3443-28,AND(N3443&lt;= 11, S3443=10), N3443+2,AND(N3443&lt;= 21, S3443=10), N3443-11)</f>
        <v>12</v>
      </c>
    </row>
    <row r="3444" spans="1:22" x14ac:dyDescent="0.35">
      <c r="A3444" s="4">
        <v>45575</v>
      </c>
      <c r="B3444" s="5">
        <v>0.7121643518518519</v>
      </c>
      <c r="C3444">
        <v>70.099999999999994</v>
      </c>
      <c r="D3444">
        <v>68</v>
      </c>
      <c r="E3444">
        <v>73.5</v>
      </c>
      <c r="F3444">
        <v>69.2</v>
      </c>
      <c r="G3444">
        <v>0</v>
      </c>
      <c r="H3444">
        <v>0</v>
      </c>
      <c r="I3444">
        <v>0</v>
      </c>
      <c r="J3444">
        <v>0</v>
      </c>
      <c r="K3444">
        <v>64.400000000000006</v>
      </c>
      <c r="L3444">
        <v>64.400000000000006</v>
      </c>
      <c r="M3444">
        <v>70.17</v>
      </c>
      <c r="N3444">
        <v>10</v>
      </c>
      <c r="O3444">
        <v>2</v>
      </c>
      <c r="P3444">
        <f>MOD(DAY(datos_siembra[[#This Row],[Date]]),7)</f>
        <v>3</v>
      </c>
      <c r="Q3444" t="str">
        <f>CHOOSE(WEEKDAY(datos_siembra[[#This Row],[Date]],2),"L","M","X","J","V","S","D")</f>
        <v>J</v>
      </c>
      <c r="R3444">
        <f>WEEKNUM(datos_siembra[[#This Row],[Date]],2)-WEEKNUM(DATE(YEAR(datos_siembra[[#This Row],[Date]]),MONTH(datos_siembra[[#This Row],[Date]]),1))+1</f>
        <v>2</v>
      </c>
      <c r="S3444">
        <f>MONTH(datos_siembra[[#This Row],[Date]])</f>
        <v>10</v>
      </c>
      <c r="T3444" t="str" cm="1">
        <f t="array" ref="T3444">_xlfn.IFS(AND(N3444&lt;= 22, S3444=9), "SOWING",AND(N3444&lt;= 28, S3444=9), "COVERAGE",AND(N3444&lt;= 30, S3444=9), "FLUSH",AND(N3444&lt;= 11, S3444=10), "FLUSH",AND(N3444&lt;= 21, S3444=10), "PRODUCTION")</f>
        <v>FLUSH</v>
      </c>
      <c r="U3444">
        <f>HOUR(datos_siembra[[#This Row],[Hour]])</f>
        <v>17</v>
      </c>
      <c r="V3444" cm="1">
        <f t="array" ref="V3444">_xlfn.IFS(AND(N3444&lt;= 22, S3444=9), N3444-7,AND(N3444&lt;= 28, S3444=9), N3444-25,AND(N3444&lt;= 30, S3444=9), N3444-28,AND(N3444&lt;= 11, S3444=10), N3444+2,AND(N3444&lt;= 21, S3444=10), N3444-11)</f>
        <v>12</v>
      </c>
    </row>
    <row r="3445" spans="1:22" x14ac:dyDescent="0.35">
      <c r="A3445" s="4">
        <v>45575</v>
      </c>
      <c r="B3445" s="5">
        <v>0.71910879629629632</v>
      </c>
      <c r="C3445">
        <v>70.099999999999994</v>
      </c>
      <c r="D3445">
        <v>67.900000000000006</v>
      </c>
      <c r="E3445">
        <v>73.599999999999994</v>
      </c>
      <c r="F3445">
        <v>69.099999999999994</v>
      </c>
      <c r="G3445">
        <v>0</v>
      </c>
      <c r="H3445">
        <v>0</v>
      </c>
      <c r="I3445">
        <v>0</v>
      </c>
      <c r="J3445">
        <v>0</v>
      </c>
      <c r="K3445">
        <v>64.400000000000006</v>
      </c>
      <c r="L3445">
        <v>64.400000000000006</v>
      </c>
      <c r="M3445">
        <v>70.25</v>
      </c>
      <c r="N3445">
        <v>10</v>
      </c>
      <c r="O3445">
        <v>2</v>
      </c>
      <c r="P3445">
        <f>MOD(DAY(datos_siembra[[#This Row],[Date]]),7)</f>
        <v>3</v>
      </c>
      <c r="Q3445" t="str">
        <f>CHOOSE(WEEKDAY(datos_siembra[[#This Row],[Date]],2),"L","M","X","J","V","S","D")</f>
        <v>J</v>
      </c>
      <c r="R3445">
        <f>WEEKNUM(datos_siembra[[#This Row],[Date]],2)-WEEKNUM(DATE(YEAR(datos_siembra[[#This Row],[Date]]),MONTH(datos_siembra[[#This Row],[Date]]),1))+1</f>
        <v>2</v>
      </c>
      <c r="S3445">
        <f>MONTH(datos_siembra[[#This Row],[Date]])</f>
        <v>10</v>
      </c>
      <c r="T3445" t="str" cm="1">
        <f t="array" ref="T3445">_xlfn.IFS(AND(N3445&lt;= 22, S3445=9), "SOWING",AND(N3445&lt;= 28, S3445=9), "COVERAGE",AND(N3445&lt;= 30, S3445=9), "FLUSH",AND(N3445&lt;= 11, S3445=10), "FLUSH",AND(N3445&lt;= 21, S3445=10), "PRODUCTION")</f>
        <v>FLUSH</v>
      </c>
      <c r="U3445">
        <f>HOUR(datos_siembra[[#This Row],[Hour]])</f>
        <v>17</v>
      </c>
      <c r="V3445" cm="1">
        <f t="array" ref="V3445">_xlfn.IFS(AND(N3445&lt;= 22, S3445=9), N3445-7,AND(N3445&lt;= 28, S3445=9), N3445-25,AND(N3445&lt;= 30, S3445=9), N3445-28,AND(N3445&lt;= 11, S3445=10), N3445+2,AND(N3445&lt;= 21, S3445=10), N3445-11)</f>
        <v>12</v>
      </c>
    </row>
    <row r="3446" spans="1:22" x14ac:dyDescent="0.35">
      <c r="A3446" s="4">
        <v>45575</v>
      </c>
      <c r="B3446" s="5">
        <v>0.72605324074074074</v>
      </c>
      <c r="C3446">
        <v>70.099999999999994</v>
      </c>
      <c r="D3446">
        <v>68</v>
      </c>
      <c r="E3446">
        <v>73.599999999999994</v>
      </c>
      <c r="F3446">
        <v>69.2</v>
      </c>
      <c r="G3446">
        <v>0</v>
      </c>
      <c r="H3446">
        <v>0</v>
      </c>
      <c r="I3446">
        <v>0</v>
      </c>
      <c r="J3446">
        <v>0</v>
      </c>
      <c r="K3446">
        <v>64.400000000000006</v>
      </c>
      <c r="L3446">
        <v>64.3</v>
      </c>
      <c r="M3446">
        <v>70.25</v>
      </c>
      <c r="N3446">
        <v>10</v>
      </c>
      <c r="O3446">
        <v>2</v>
      </c>
      <c r="P3446">
        <f>MOD(DAY(datos_siembra[[#This Row],[Date]]),7)</f>
        <v>3</v>
      </c>
      <c r="Q3446" t="str">
        <f>CHOOSE(WEEKDAY(datos_siembra[[#This Row],[Date]],2),"L","M","X","J","V","S","D")</f>
        <v>J</v>
      </c>
      <c r="R3446">
        <f>WEEKNUM(datos_siembra[[#This Row],[Date]],2)-WEEKNUM(DATE(YEAR(datos_siembra[[#This Row],[Date]]),MONTH(datos_siembra[[#This Row],[Date]]),1))+1</f>
        <v>2</v>
      </c>
      <c r="S3446">
        <f>MONTH(datos_siembra[[#This Row],[Date]])</f>
        <v>10</v>
      </c>
      <c r="T3446" t="str" cm="1">
        <f t="array" ref="T3446">_xlfn.IFS(AND(N3446&lt;= 22, S3446=9), "SOWING",AND(N3446&lt;= 28, S3446=9), "COVERAGE",AND(N3446&lt;= 30, S3446=9), "FLUSH",AND(N3446&lt;= 11, S3446=10), "FLUSH",AND(N3446&lt;= 21, S3446=10), "PRODUCTION")</f>
        <v>FLUSH</v>
      </c>
      <c r="U3446">
        <f>HOUR(datos_siembra[[#This Row],[Hour]])</f>
        <v>17</v>
      </c>
      <c r="V3446" cm="1">
        <f t="array" ref="V3446">_xlfn.IFS(AND(N3446&lt;= 22, S3446=9), N3446-7,AND(N3446&lt;= 28, S3446=9), N3446-25,AND(N3446&lt;= 30, S3446=9), N3446-28,AND(N3446&lt;= 11, S3446=10), N3446+2,AND(N3446&lt;= 21, S3446=10), N3446-11)</f>
        <v>12</v>
      </c>
    </row>
    <row r="3447" spans="1:22" x14ac:dyDescent="0.35">
      <c r="A3447" s="4">
        <v>45575</v>
      </c>
      <c r="B3447" s="5">
        <v>0.73299768518518515</v>
      </c>
      <c r="C3447">
        <v>70.099999999999994</v>
      </c>
      <c r="D3447">
        <v>67.900000000000006</v>
      </c>
      <c r="E3447">
        <v>73.599999999999994</v>
      </c>
      <c r="F3447">
        <v>69.099999999999994</v>
      </c>
      <c r="G3447">
        <v>0</v>
      </c>
      <c r="H3447">
        <v>0</v>
      </c>
      <c r="I3447">
        <v>0</v>
      </c>
      <c r="J3447">
        <v>0</v>
      </c>
      <c r="K3447">
        <v>64.3</v>
      </c>
      <c r="L3447">
        <v>64.3</v>
      </c>
      <c r="M3447">
        <v>70.31</v>
      </c>
      <c r="N3447">
        <v>10</v>
      </c>
      <c r="O3447">
        <v>2</v>
      </c>
      <c r="P3447">
        <f>MOD(DAY(datos_siembra[[#This Row],[Date]]),7)</f>
        <v>3</v>
      </c>
      <c r="Q3447" t="str">
        <f>CHOOSE(WEEKDAY(datos_siembra[[#This Row],[Date]],2),"L","M","X","J","V","S","D")</f>
        <v>J</v>
      </c>
      <c r="R3447">
        <f>WEEKNUM(datos_siembra[[#This Row],[Date]],2)-WEEKNUM(DATE(YEAR(datos_siembra[[#This Row],[Date]]),MONTH(datos_siembra[[#This Row],[Date]]),1))+1</f>
        <v>2</v>
      </c>
      <c r="S3447">
        <f>MONTH(datos_siembra[[#This Row],[Date]])</f>
        <v>10</v>
      </c>
      <c r="T3447" t="str" cm="1">
        <f t="array" ref="T3447">_xlfn.IFS(AND(N3447&lt;= 22, S3447=9), "SOWING",AND(N3447&lt;= 28, S3447=9), "COVERAGE",AND(N3447&lt;= 30, S3447=9), "FLUSH",AND(N3447&lt;= 11, S3447=10), "FLUSH",AND(N3447&lt;= 21, S3447=10), "PRODUCTION")</f>
        <v>FLUSH</v>
      </c>
      <c r="U3447">
        <f>HOUR(datos_siembra[[#This Row],[Hour]])</f>
        <v>17</v>
      </c>
      <c r="V3447" cm="1">
        <f t="array" ref="V3447">_xlfn.IFS(AND(N3447&lt;= 22, S3447=9), N3447-7,AND(N3447&lt;= 28, S3447=9), N3447-25,AND(N3447&lt;= 30, S3447=9), N3447-28,AND(N3447&lt;= 11, S3447=10), N3447+2,AND(N3447&lt;= 21, S3447=10), N3447-11)</f>
        <v>12</v>
      </c>
    </row>
    <row r="3448" spans="1:22" x14ac:dyDescent="0.35">
      <c r="A3448" s="4">
        <v>45575</v>
      </c>
      <c r="B3448" s="5">
        <v>0.73995370370370372</v>
      </c>
      <c r="C3448">
        <v>70.3</v>
      </c>
      <c r="D3448">
        <v>67.900000000000006</v>
      </c>
      <c r="E3448">
        <v>73.599999999999994</v>
      </c>
      <c r="F3448">
        <v>69.400000000000006</v>
      </c>
      <c r="G3448">
        <v>0</v>
      </c>
      <c r="H3448">
        <v>0</v>
      </c>
      <c r="I3448">
        <v>0</v>
      </c>
      <c r="J3448">
        <v>0</v>
      </c>
      <c r="K3448">
        <v>64.3</v>
      </c>
      <c r="L3448">
        <v>64.2</v>
      </c>
      <c r="M3448">
        <v>70.31</v>
      </c>
      <c r="N3448">
        <v>10</v>
      </c>
      <c r="O3448">
        <v>2</v>
      </c>
      <c r="P3448">
        <f>MOD(DAY(datos_siembra[[#This Row],[Date]]),7)</f>
        <v>3</v>
      </c>
      <c r="Q3448" t="str">
        <f>CHOOSE(WEEKDAY(datos_siembra[[#This Row],[Date]],2),"L","M","X","J","V","S","D")</f>
        <v>J</v>
      </c>
      <c r="R3448">
        <f>WEEKNUM(datos_siembra[[#This Row],[Date]],2)-WEEKNUM(DATE(YEAR(datos_siembra[[#This Row],[Date]]),MONTH(datos_siembra[[#This Row],[Date]]),1))+1</f>
        <v>2</v>
      </c>
      <c r="S3448">
        <f>MONTH(datos_siembra[[#This Row],[Date]])</f>
        <v>10</v>
      </c>
      <c r="T3448" t="str" cm="1">
        <f t="array" ref="T3448">_xlfn.IFS(AND(N3448&lt;= 22, S3448=9), "SOWING",AND(N3448&lt;= 28, S3448=9), "COVERAGE",AND(N3448&lt;= 30, S3448=9), "FLUSH",AND(N3448&lt;= 11, S3448=10), "FLUSH",AND(N3448&lt;= 21, S3448=10), "PRODUCTION")</f>
        <v>FLUSH</v>
      </c>
      <c r="U3448">
        <f>HOUR(datos_siembra[[#This Row],[Hour]])</f>
        <v>17</v>
      </c>
      <c r="V3448" cm="1">
        <f t="array" ref="V3448">_xlfn.IFS(AND(N3448&lt;= 22, S3448=9), N3448-7,AND(N3448&lt;= 28, S3448=9), N3448-25,AND(N3448&lt;= 30, S3448=9), N3448-28,AND(N3448&lt;= 11, S3448=10), N3448+2,AND(N3448&lt;= 21, S3448=10), N3448-11)</f>
        <v>12</v>
      </c>
    </row>
    <row r="3449" spans="1:22" x14ac:dyDescent="0.35">
      <c r="A3449" s="4">
        <v>45575</v>
      </c>
      <c r="B3449" s="5">
        <v>0.74689814814814814</v>
      </c>
      <c r="C3449">
        <v>70.3</v>
      </c>
      <c r="D3449">
        <v>68</v>
      </c>
      <c r="E3449">
        <v>74</v>
      </c>
      <c r="F3449">
        <v>69.2</v>
      </c>
      <c r="G3449">
        <v>0</v>
      </c>
      <c r="H3449">
        <v>0</v>
      </c>
      <c r="I3449">
        <v>0</v>
      </c>
      <c r="J3449">
        <v>0</v>
      </c>
      <c r="K3449">
        <v>64.3</v>
      </c>
      <c r="L3449">
        <v>64.099999999999994</v>
      </c>
      <c r="M3449">
        <v>70.33</v>
      </c>
      <c r="N3449">
        <v>10</v>
      </c>
      <c r="O3449">
        <v>2</v>
      </c>
      <c r="P3449">
        <f>MOD(DAY(datos_siembra[[#This Row],[Date]]),7)</f>
        <v>3</v>
      </c>
      <c r="Q3449" t="str">
        <f>CHOOSE(WEEKDAY(datos_siembra[[#This Row],[Date]],2),"L","M","X","J","V","S","D")</f>
        <v>J</v>
      </c>
      <c r="R3449">
        <f>WEEKNUM(datos_siembra[[#This Row],[Date]],2)-WEEKNUM(DATE(YEAR(datos_siembra[[#This Row],[Date]]),MONTH(datos_siembra[[#This Row],[Date]]),1))+1</f>
        <v>2</v>
      </c>
      <c r="S3449">
        <f>MONTH(datos_siembra[[#This Row],[Date]])</f>
        <v>10</v>
      </c>
      <c r="T3449" t="str" cm="1">
        <f t="array" ref="T3449">_xlfn.IFS(AND(N3449&lt;= 22, S3449=9), "SOWING",AND(N3449&lt;= 28, S3449=9), "COVERAGE",AND(N3449&lt;= 30, S3449=9), "FLUSH",AND(N3449&lt;= 11, S3449=10), "FLUSH",AND(N3449&lt;= 21, S3449=10), "PRODUCTION")</f>
        <v>FLUSH</v>
      </c>
      <c r="U3449">
        <f>HOUR(datos_siembra[[#This Row],[Hour]])</f>
        <v>17</v>
      </c>
      <c r="V3449" cm="1">
        <f t="array" ref="V3449">_xlfn.IFS(AND(N3449&lt;= 22, S3449=9), N3449-7,AND(N3449&lt;= 28, S3449=9), N3449-25,AND(N3449&lt;= 30, S3449=9), N3449-28,AND(N3449&lt;= 11, S3449=10), N3449+2,AND(N3449&lt;= 21, S3449=10), N3449-11)</f>
        <v>12</v>
      </c>
    </row>
    <row r="3450" spans="1:22" x14ac:dyDescent="0.35">
      <c r="A3450" s="4">
        <v>45575</v>
      </c>
      <c r="B3450" s="5">
        <v>0.75384259259259256</v>
      </c>
      <c r="C3450">
        <v>70.099999999999994</v>
      </c>
      <c r="D3450">
        <v>68.099999999999994</v>
      </c>
      <c r="E3450">
        <v>73.900000000000006</v>
      </c>
      <c r="F3450">
        <v>69.400000000000006</v>
      </c>
      <c r="G3450">
        <v>0</v>
      </c>
      <c r="H3450">
        <v>0</v>
      </c>
      <c r="I3450">
        <v>0</v>
      </c>
      <c r="J3450">
        <v>0</v>
      </c>
      <c r="K3450">
        <v>64.2</v>
      </c>
      <c r="L3450">
        <v>64.099999999999994</v>
      </c>
      <c r="M3450">
        <v>70.36</v>
      </c>
      <c r="N3450">
        <v>10</v>
      </c>
      <c r="O3450">
        <v>2</v>
      </c>
      <c r="P3450">
        <f>MOD(DAY(datos_siembra[[#This Row],[Date]]),7)</f>
        <v>3</v>
      </c>
      <c r="Q3450" t="str">
        <f>CHOOSE(WEEKDAY(datos_siembra[[#This Row],[Date]],2),"L","M","X","J","V","S","D")</f>
        <v>J</v>
      </c>
      <c r="R3450">
        <f>WEEKNUM(datos_siembra[[#This Row],[Date]],2)-WEEKNUM(DATE(YEAR(datos_siembra[[#This Row],[Date]]),MONTH(datos_siembra[[#This Row],[Date]]),1))+1</f>
        <v>2</v>
      </c>
      <c r="S3450">
        <f>MONTH(datos_siembra[[#This Row],[Date]])</f>
        <v>10</v>
      </c>
      <c r="T3450" t="str" cm="1">
        <f t="array" ref="T3450">_xlfn.IFS(AND(N3450&lt;= 22, S3450=9), "SOWING",AND(N3450&lt;= 28, S3450=9), "COVERAGE",AND(N3450&lt;= 30, S3450=9), "FLUSH",AND(N3450&lt;= 11, S3450=10), "FLUSH",AND(N3450&lt;= 21, S3450=10), "PRODUCTION")</f>
        <v>FLUSH</v>
      </c>
      <c r="U3450">
        <f>HOUR(datos_siembra[[#This Row],[Hour]])</f>
        <v>18</v>
      </c>
      <c r="V3450" cm="1">
        <f t="array" ref="V3450">_xlfn.IFS(AND(N3450&lt;= 22, S3450=9), N3450-7,AND(N3450&lt;= 28, S3450=9), N3450-25,AND(N3450&lt;= 30, S3450=9), N3450-28,AND(N3450&lt;= 11, S3450=10), N3450+2,AND(N3450&lt;= 21, S3450=10), N3450-11)</f>
        <v>12</v>
      </c>
    </row>
    <row r="3451" spans="1:22" x14ac:dyDescent="0.35">
      <c r="A3451" s="4">
        <v>45575</v>
      </c>
      <c r="B3451" s="5">
        <v>0.76079861111111113</v>
      </c>
      <c r="C3451">
        <v>70.400000000000006</v>
      </c>
      <c r="D3451">
        <v>68.099999999999994</v>
      </c>
      <c r="E3451">
        <v>73.900000000000006</v>
      </c>
      <c r="F3451">
        <v>69.400000000000006</v>
      </c>
      <c r="G3451">
        <v>0</v>
      </c>
      <c r="H3451">
        <v>0</v>
      </c>
      <c r="I3451">
        <v>0</v>
      </c>
      <c r="J3451">
        <v>0</v>
      </c>
      <c r="K3451">
        <v>64.2</v>
      </c>
      <c r="L3451">
        <v>63.9</v>
      </c>
      <c r="M3451">
        <v>70.45</v>
      </c>
      <c r="N3451">
        <v>10</v>
      </c>
      <c r="O3451">
        <v>2</v>
      </c>
      <c r="P3451">
        <f>MOD(DAY(datos_siembra[[#This Row],[Date]]),7)</f>
        <v>3</v>
      </c>
      <c r="Q3451" t="str">
        <f>CHOOSE(WEEKDAY(datos_siembra[[#This Row],[Date]],2),"L","M","X","J","V","S","D")</f>
        <v>J</v>
      </c>
      <c r="R3451">
        <f>WEEKNUM(datos_siembra[[#This Row],[Date]],2)-WEEKNUM(DATE(YEAR(datos_siembra[[#This Row],[Date]]),MONTH(datos_siembra[[#This Row],[Date]]),1))+1</f>
        <v>2</v>
      </c>
      <c r="S3451">
        <f>MONTH(datos_siembra[[#This Row],[Date]])</f>
        <v>10</v>
      </c>
      <c r="T3451" t="str" cm="1">
        <f t="array" ref="T3451">_xlfn.IFS(AND(N3451&lt;= 22, S3451=9), "SOWING",AND(N3451&lt;= 28, S3451=9), "COVERAGE",AND(N3451&lt;= 30, S3451=9), "FLUSH",AND(N3451&lt;= 11, S3451=10), "FLUSH",AND(N3451&lt;= 21, S3451=10), "PRODUCTION")</f>
        <v>FLUSH</v>
      </c>
      <c r="U3451">
        <f>HOUR(datos_siembra[[#This Row],[Hour]])</f>
        <v>18</v>
      </c>
      <c r="V3451" cm="1">
        <f t="array" ref="V3451">_xlfn.IFS(AND(N3451&lt;= 22, S3451=9), N3451-7,AND(N3451&lt;= 28, S3451=9), N3451-25,AND(N3451&lt;= 30, S3451=9), N3451-28,AND(N3451&lt;= 11, S3451=10), N3451+2,AND(N3451&lt;= 21, S3451=10), N3451-11)</f>
        <v>12</v>
      </c>
    </row>
    <row r="3452" spans="1:22" x14ac:dyDescent="0.35">
      <c r="A3452" s="4">
        <v>45575</v>
      </c>
      <c r="B3452" s="5">
        <v>0.76774305555555555</v>
      </c>
      <c r="C3452">
        <v>70.3</v>
      </c>
      <c r="D3452">
        <v>68.099999999999994</v>
      </c>
      <c r="E3452">
        <v>73.900000000000006</v>
      </c>
      <c r="F3452">
        <v>69.400000000000006</v>
      </c>
      <c r="G3452">
        <v>0</v>
      </c>
      <c r="H3452">
        <v>0</v>
      </c>
      <c r="I3452">
        <v>0</v>
      </c>
      <c r="J3452">
        <v>0</v>
      </c>
      <c r="K3452">
        <v>64.099999999999994</v>
      </c>
      <c r="L3452">
        <v>63.9</v>
      </c>
      <c r="M3452">
        <v>70.5</v>
      </c>
      <c r="N3452">
        <v>10</v>
      </c>
      <c r="O3452">
        <v>2</v>
      </c>
      <c r="P3452">
        <f>MOD(DAY(datos_siembra[[#This Row],[Date]]),7)</f>
        <v>3</v>
      </c>
      <c r="Q3452" t="str">
        <f>CHOOSE(WEEKDAY(datos_siembra[[#This Row],[Date]],2),"L","M","X","J","V","S","D")</f>
        <v>J</v>
      </c>
      <c r="R3452">
        <f>WEEKNUM(datos_siembra[[#This Row],[Date]],2)-WEEKNUM(DATE(YEAR(datos_siembra[[#This Row],[Date]]),MONTH(datos_siembra[[#This Row],[Date]]),1))+1</f>
        <v>2</v>
      </c>
      <c r="S3452">
        <f>MONTH(datos_siembra[[#This Row],[Date]])</f>
        <v>10</v>
      </c>
      <c r="T3452" t="str" cm="1">
        <f t="array" ref="T3452">_xlfn.IFS(AND(N3452&lt;= 22, S3452=9), "SOWING",AND(N3452&lt;= 28, S3452=9), "COVERAGE",AND(N3452&lt;= 30, S3452=9), "FLUSH",AND(N3452&lt;= 11, S3452=10), "FLUSH",AND(N3452&lt;= 21, S3452=10), "PRODUCTION")</f>
        <v>FLUSH</v>
      </c>
      <c r="U3452">
        <f>HOUR(datos_siembra[[#This Row],[Hour]])</f>
        <v>18</v>
      </c>
      <c r="V3452" cm="1">
        <f t="array" ref="V3452">_xlfn.IFS(AND(N3452&lt;= 22, S3452=9), N3452-7,AND(N3452&lt;= 28, S3452=9), N3452-25,AND(N3452&lt;= 30, S3452=9), N3452-28,AND(N3452&lt;= 11, S3452=10), N3452+2,AND(N3452&lt;= 21, S3452=10), N3452-11)</f>
        <v>12</v>
      </c>
    </row>
    <row r="3453" spans="1:22" x14ac:dyDescent="0.35">
      <c r="A3453" s="4">
        <v>45575</v>
      </c>
      <c r="B3453" s="5">
        <v>0.77468749999999997</v>
      </c>
      <c r="C3453">
        <v>70.3</v>
      </c>
      <c r="D3453">
        <v>68</v>
      </c>
      <c r="E3453">
        <v>74</v>
      </c>
      <c r="F3453">
        <v>69.2</v>
      </c>
      <c r="G3453">
        <v>0</v>
      </c>
      <c r="H3453">
        <v>0</v>
      </c>
      <c r="I3453">
        <v>0</v>
      </c>
      <c r="J3453">
        <v>0</v>
      </c>
      <c r="K3453">
        <v>64.099999999999994</v>
      </c>
      <c r="L3453">
        <v>63.9</v>
      </c>
      <c r="M3453">
        <v>70.42</v>
      </c>
      <c r="N3453">
        <v>10</v>
      </c>
      <c r="O3453">
        <v>2</v>
      </c>
      <c r="P3453">
        <f>MOD(DAY(datos_siembra[[#This Row],[Date]]),7)</f>
        <v>3</v>
      </c>
      <c r="Q3453" t="str">
        <f>CHOOSE(WEEKDAY(datos_siembra[[#This Row],[Date]],2),"L","M","X","J","V","S","D")</f>
        <v>J</v>
      </c>
      <c r="R3453">
        <f>WEEKNUM(datos_siembra[[#This Row],[Date]],2)-WEEKNUM(DATE(YEAR(datos_siembra[[#This Row],[Date]]),MONTH(datos_siembra[[#This Row],[Date]]),1))+1</f>
        <v>2</v>
      </c>
      <c r="S3453">
        <f>MONTH(datos_siembra[[#This Row],[Date]])</f>
        <v>10</v>
      </c>
      <c r="T3453" t="str" cm="1">
        <f t="array" ref="T3453">_xlfn.IFS(AND(N3453&lt;= 22, S3453=9), "SOWING",AND(N3453&lt;= 28, S3453=9), "COVERAGE",AND(N3453&lt;= 30, S3453=9), "FLUSH",AND(N3453&lt;= 11, S3453=10), "FLUSH",AND(N3453&lt;= 21, S3453=10), "PRODUCTION")</f>
        <v>FLUSH</v>
      </c>
      <c r="U3453">
        <f>HOUR(datos_siembra[[#This Row],[Hour]])</f>
        <v>18</v>
      </c>
      <c r="V3453" cm="1">
        <f t="array" ref="V3453">_xlfn.IFS(AND(N3453&lt;= 22, S3453=9), N3453-7,AND(N3453&lt;= 28, S3453=9), N3453-25,AND(N3453&lt;= 30, S3453=9), N3453-28,AND(N3453&lt;= 11, S3453=10), N3453+2,AND(N3453&lt;= 21, S3453=10), N3453-11)</f>
        <v>12</v>
      </c>
    </row>
    <row r="3454" spans="1:22" x14ac:dyDescent="0.35">
      <c r="A3454" s="4">
        <v>45575</v>
      </c>
      <c r="B3454" s="5">
        <v>0.78164351851851854</v>
      </c>
      <c r="C3454">
        <v>70.3</v>
      </c>
      <c r="D3454">
        <v>68</v>
      </c>
      <c r="E3454">
        <v>74.099999999999994</v>
      </c>
      <c r="F3454">
        <v>69.5</v>
      </c>
      <c r="G3454">
        <v>0</v>
      </c>
      <c r="H3454">
        <v>0</v>
      </c>
      <c r="I3454">
        <v>0</v>
      </c>
      <c r="J3454">
        <v>0</v>
      </c>
      <c r="K3454">
        <v>64.099999999999994</v>
      </c>
      <c r="L3454">
        <v>63.8</v>
      </c>
      <c r="M3454">
        <v>70.45</v>
      </c>
      <c r="N3454">
        <v>10</v>
      </c>
      <c r="O3454">
        <v>2</v>
      </c>
      <c r="P3454">
        <f>MOD(DAY(datos_siembra[[#This Row],[Date]]),7)</f>
        <v>3</v>
      </c>
      <c r="Q3454" t="str">
        <f>CHOOSE(WEEKDAY(datos_siembra[[#This Row],[Date]],2),"L","M","X","J","V","S","D")</f>
        <v>J</v>
      </c>
      <c r="R3454">
        <f>WEEKNUM(datos_siembra[[#This Row],[Date]],2)-WEEKNUM(DATE(YEAR(datos_siembra[[#This Row],[Date]]),MONTH(datos_siembra[[#This Row],[Date]]),1))+1</f>
        <v>2</v>
      </c>
      <c r="S3454">
        <f>MONTH(datos_siembra[[#This Row],[Date]])</f>
        <v>10</v>
      </c>
      <c r="T3454" t="str" cm="1">
        <f t="array" ref="T3454">_xlfn.IFS(AND(N3454&lt;= 22, S3454=9), "SOWING",AND(N3454&lt;= 28, S3454=9), "COVERAGE",AND(N3454&lt;= 30, S3454=9), "FLUSH",AND(N3454&lt;= 11, S3454=10), "FLUSH",AND(N3454&lt;= 21, S3454=10), "PRODUCTION")</f>
        <v>FLUSH</v>
      </c>
      <c r="U3454">
        <f>HOUR(datos_siembra[[#This Row],[Hour]])</f>
        <v>18</v>
      </c>
      <c r="V3454" cm="1">
        <f t="array" ref="V3454">_xlfn.IFS(AND(N3454&lt;= 22, S3454=9), N3454-7,AND(N3454&lt;= 28, S3454=9), N3454-25,AND(N3454&lt;= 30, S3454=9), N3454-28,AND(N3454&lt;= 11, S3454=10), N3454+2,AND(N3454&lt;= 21, S3454=10), N3454-11)</f>
        <v>12</v>
      </c>
    </row>
    <row r="3455" spans="1:22" x14ac:dyDescent="0.35">
      <c r="A3455" s="4">
        <v>45575</v>
      </c>
      <c r="B3455" s="5">
        <v>0.78858796296296296</v>
      </c>
      <c r="C3455">
        <v>70.400000000000006</v>
      </c>
      <c r="D3455">
        <v>68.099999999999994</v>
      </c>
      <c r="E3455">
        <v>74.099999999999994</v>
      </c>
      <c r="F3455">
        <v>69.400000000000006</v>
      </c>
      <c r="G3455">
        <v>0</v>
      </c>
      <c r="H3455">
        <v>0</v>
      </c>
      <c r="I3455">
        <v>0</v>
      </c>
      <c r="J3455">
        <v>0</v>
      </c>
      <c r="K3455">
        <v>63.9</v>
      </c>
      <c r="L3455">
        <v>63.8</v>
      </c>
      <c r="M3455">
        <v>70.53</v>
      </c>
      <c r="N3455">
        <v>10</v>
      </c>
      <c r="O3455">
        <v>2</v>
      </c>
      <c r="P3455">
        <f>MOD(DAY(datos_siembra[[#This Row],[Date]]),7)</f>
        <v>3</v>
      </c>
      <c r="Q3455" t="str">
        <f>CHOOSE(WEEKDAY(datos_siembra[[#This Row],[Date]],2),"L","M","X","J","V","S","D")</f>
        <v>J</v>
      </c>
      <c r="R3455">
        <f>WEEKNUM(datos_siembra[[#This Row],[Date]],2)-WEEKNUM(DATE(YEAR(datos_siembra[[#This Row],[Date]]),MONTH(datos_siembra[[#This Row],[Date]]),1))+1</f>
        <v>2</v>
      </c>
      <c r="S3455">
        <f>MONTH(datos_siembra[[#This Row],[Date]])</f>
        <v>10</v>
      </c>
      <c r="T3455" t="str" cm="1">
        <f t="array" ref="T3455">_xlfn.IFS(AND(N3455&lt;= 22, S3455=9), "SOWING",AND(N3455&lt;= 28, S3455=9), "COVERAGE",AND(N3455&lt;= 30, S3455=9), "FLUSH",AND(N3455&lt;= 11, S3455=10), "FLUSH",AND(N3455&lt;= 21, S3455=10), "PRODUCTION")</f>
        <v>FLUSH</v>
      </c>
      <c r="U3455">
        <f>HOUR(datos_siembra[[#This Row],[Hour]])</f>
        <v>18</v>
      </c>
      <c r="V3455" cm="1">
        <f t="array" ref="V3455">_xlfn.IFS(AND(N3455&lt;= 22, S3455=9), N3455-7,AND(N3455&lt;= 28, S3455=9), N3455-25,AND(N3455&lt;= 30, S3455=9), N3455-28,AND(N3455&lt;= 11, S3455=10), N3455+2,AND(N3455&lt;= 21, S3455=10), N3455-11)</f>
        <v>12</v>
      </c>
    </row>
    <row r="3456" spans="1:22" x14ac:dyDescent="0.35">
      <c r="A3456" s="4">
        <v>45575</v>
      </c>
      <c r="B3456" s="5">
        <v>0.79553240740740738</v>
      </c>
      <c r="C3456">
        <v>70.5</v>
      </c>
      <c r="D3456">
        <v>68.099999999999994</v>
      </c>
      <c r="E3456">
        <v>74.099999999999994</v>
      </c>
      <c r="F3456">
        <v>69.5</v>
      </c>
      <c r="G3456">
        <v>0</v>
      </c>
      <c r="H3456">
        <v>0</v>
      </c>
      <c r="I3456">
        <v>0</v>
      </c>
      <c r="J3456">
        <v>0</v>
      </c>
      <c r="K3456">
        <v>63.9</v>
      </c>
      <c r="L3456">
        <v>63.8</v>
      </c>
      <c r="M3456">
        <v>70.56</v>
      </c>
      <c r="N3456">
        <v>10</v>
      </c>
      <c r="O3456">
        <v>2</v>
      </c>
      <c r="P3456">
        <f>MOD(DAY(datos_siembra[[#This Row],[Date]]),7)</f>
        <v>3</v>
      </c>
      <c r="Q3456" t="str">
        <f>CHOOSE(WEEKDAY(datos_siembra[[#This Row],[Date]],2),"L","M","X","J","V","S","D")</f>
        <v>J</v>
      </c>
      <c r="R3456">
        <f>WEEKNUM(datos_siembra[[#This Row],[Date]],2)-WEEKNUM(DATE(YEAR(datos_siembra[[#This Row],[Date]]),MONTH(datos_siembra[[#This Row],[Date]]),1))+1</f>
        <v>2</v>
      </c>
      <c r="S3456">
        <f>MONTH(datos_siembra[[#This Row],[Date]])</f>
        <v>10</v>
      </c>
      <c r="T3456" t="str" cm="1">
        <f t="array" ref="T3456">_xlfn.IFS(AND(N3456&lt;= 22, S3456=9), "SOWING",AND(N3456&lt;= 28, S3456=9), "COVERAGE",AND(N3456&lt;= 30, S3456=9), "FLUSH",AND(N3456&lt;= 11, S3456=10), "FLUSH",AND(N3456&lt;= 21, S3456=10), "PRODUCTION")</f>
        <v>FLUSH</v>
      </c>
      <c r="U3456">
        <f>HOUR(datos_siembra[[#This Row],[Hour]])</f>
        <v>19</v>
      </c>
      <c r="V3456" cm="1">
        <f t="array" ref="V3456">_xlfn.IFS(AND(N3456&lt;= 22, S3456=9), N3456-7,AND(N3456&lt;= 28, S3456=9), N3456-25,AND(N3456&lt;= 30, S3456=9), N3456-28,AND(N3456&lt;= 11, S3456=10), N3456+2,AND(N3456&lt;= 21, S3456=10), N3456-11)</f>
        <v>12</v>
      </c>
    </row>
    <row r="3457" spans="1:22" x14ac:dyDescent="0.35">
      <c r="A3457" s="4">
        <v>45575</v>
      </c>
      <c r="B3457" s="5">
        <v>0.8024768518518518</v>
      </c>
      <c r="C3457">
        <v>70.5</v>
      </c>
      <c r="D3457">
        <v>68.3</v>
      </c>
      <c r="E3457">
        <v>74.099999999999994</v>
      </c>
      <c r="F3457">
        <v>69.5</v>
      </c>
      <c r="G3457">
        <v>0</v>
      </c>
      <c r="H3457">
        <v>0</v>
      </c>
      <c r="I3457">
        <v>0</v>
      </c>
      <c r="J3457">
        <v>0</v>
      </c>
      <c r="K3457">
        <v>63.9</v>
      </c>
      <c r="L3457">
        <v>63.8</v>
      </c>
      <c r="M3457">
        <v>70.56</v>
      </c>
      <c r="N3457">
        <v>10</v>
      </c>
      <c r="O3457">
        <v>2</v>
      </c>
      <c r="P3457">
        <f>MOD(DAY(datos_siembra[[#This Row],[Date]]),7)</f>
        <v>3</v>
      </c>
      <c r="Q3457" t="str">
        <f>CHOOSE(WEEKDAY(datos_siembra[[#This Row],[Date]],2),"L","M","X","J","V","S","D")</f>
        <v>J</v>
      </c>
      <c r="R3457">
        <f>WEEKNUM(datos_siembra[[#This Row],[Date]],2)-WEEKNUM(DATE(YEAR(datos_siembra[[#This Row],[Date]]),MONTH(datos_siembra[[#This Row],[Date]]),1))+1</f>
        <v>2</v>
      </c>
      <c r="S3457">
        <f>MONTH(datos_siembra[[#This Row],[Date]])</f>
        <v>10</v>
      </c>
      <c r="T3457" t="str" cm="1">
        <f t="array" ref="T3457">_xlfn.IFS(AND(N3457&lt;= 22, S3457=9), "SOWING",AND(N3457&lt;= 28, S3457=9), "COVERAGE",AND(N3457&lt;= 30, S3457=9), "FLUSH",AND(N3457&lt;= 11, S3457=10), "FLUSH",AND(N3457&lt;= 21, S3457=10), "PRODUCTION")</f>
        <v>FLUSH</v>
      </c>
      <c r="U3457">
        <f>HOUR(datos_siembra[[#This Row],[Hour]])</f>
        <v>19</v>
      </c>
      <c r="V3457" cm="1">
        <f t="array" ref="V3457">_xlfn.IFS(AND(N3457&lt;= 22, S3457=9), N3457-7,AND(N3457&lt;= 28, S3457=9), N3457-25,AND(N3457&lt;= 30, S3457=9), N3457-28,AND(N3457&lt;= 11, S3457=10), N3457+2,AND(N3457&lt;= 21, S3457=10), N3457-11)</f>
        <v>12</v>
      </c>
    </row>
    <row r="3458" spans="1:22" x14ac:dyDescent="0.35">
      <c r="A3458" s="4">
        <v>45575</v>
      </c>
      <c r="B3458" s="5">
        <v>0.80943287037037037</v>
      </c>
      <c r="C3458">
        <v>70.599999999999994</v>
      </c>
      <c r="D3458">
        <v>68.2</v>
      </c>
      <c r="E3458">
        <v>74.099999999999994</v>
      </c>
      <c r="F3458">
        <v>69.5</v>
      </c>
      <c r="G3458">
        <v>0</v>
      </c>
      <c r="H3458">
        <v>0</v>
      </c>
      <c r="I3458">
        <v>0</v>
      </c>
      <c r="J3458">
        <v>0</v>
      </c>
      <c r="K3458">
        <v>63.8</v>
      </c>
      <c r="L3458">
        <v>63.6</v>
      </c>
      <c r="M3458">
        <v>70.59</v>
      </c>
      <c r="N3458">
        <v>10</v>
      </c>
      <c r="O3458">
        <v>2</v>
      </c>
      <c r="P3458">
        <f>MOD(DAY(datos_siembra[[#This Row],[Date]]),7)</f>
        <v>3</v>
      </c>
      <c r="Q3458" t="str">
        <f>CHOOSE(WEEKDAY(datos_siembra[[#This Row],[Date]],2),"L","M","X","J","V","S","D")</f>
        <v>J</v>
      </c>
      <c r="R3458">
        <f>WEEKNUM(datos_siembra[[#This Row],[Date]],2)-WEEKNUM(DATE(YEAR(datos_siembra[[#This Row],[Date]]),MONTH(datos_siembra[[#This Row],[Date]]),1))+1</f>
        <v>2</v>
      </c>
      <c r="S3458">
        <f>MONTH(datos_siembra[[#This Row],[Date]])</f>
        <v>10</v>
      </c>
      <c r="T3458" t="str" cm="1">
        <f t="array" ref="T3458">_xlfn.IFS(AND(N3458&lt;= 22, S3458=9), "SOWING",AND(N3458&lt;= 28, S3458=9), "COVERAGE",AND(N3458&lt;= 30, S3458=9), "FLUSH",AND(N3458&lt;= 11, S3458=10), "FLUSH",AND(N3458&lt;= 21, S3458=10), "PRODUCTION")</f>
        <v>FLUSH</v>
      </c>
      <c r="U3458">
        <f>HOUR(datos_siembra[[#This Row],[Hour]])</f>
        <v>19</v>
      </c>
      <c r="V3458" cm="1">
        <f t="array" ref="V3458">_xlfn.IFS(AND(N3458&lt;= 22, S3458=9), N3458-7,AND(N3458&lt;= 28, S3458=9), N3458-25,AND(N3458&lt;= 30, S3458=9), N3458-28,AND(N3458&lt;= 11, S3458=10), N3458+2,AND(N3458&lt;= 21, S3458=10), N3458-11)</f>
        <v>12</v>
      </c>
    </row>
    <row r="3459" spans="1:22" x14ac:dyDescent="0.35">
      <c r="A3459" s="4">
        <v>45575</v>
      </c>
      <c r="B3459" s="5">
        <v>0.81637731481481479</v>
      </c>
      <c r="C3459">
        <v>70.5</v>
      </c>
      <c r="D3459">
        <v>68.3</v>
      </c>
      <c r="E3459">
        <v>74.3</v>
      </c>
      <c r="F3459">
        <v>69.5</v>
      </c>
      <c r="G3459">
        <v>0</v>
      </c>
      <c r="H3459">
        <v>0</v>
      </c>
      <c r="I3459">
        <v>0</v>
      </c>
      <c r="J3459">
        <v>0</v>
      </c>
      <c r="K3459">
        <v>63.7</v>
      </c>
      <c r="L3459">
        <v>63.5</v>
      </c>
      <c r="M3459">
        <v>70.7</v>
      </c>
      <c r="N3459">
        <v>10</v>
      </c>
      <c r="O3459">
        <v>2</v>
      </c>
      <c r="P3459">
        <f>MOD(DAY(datos_siembra[[#This Row],[Date]]),7)</f>
        <v>3</v>
      </c>
      <c r="Q3459" t="str">
        <f>CHOOSE(WEEKDAY(datos_siembra[[#This Row],[Date]],2),"L","M","X","J","V","S","D")</f>
        <v>J</v>
      </c>
      <c r="R3459">
        <f>WEEKNUM(datos_siembra[[#This Row],[Date]],2)-WEEKNUM(DATE(YEAR(datos_siembra[[#This Row],[Date]]),MONTH(datos_siembra[[#This Row],[Date]]),1))+1</f>
        <v>2</v>
      </c>
      <c r="S3459">
        <f>MONTH(datos_siembra[[#This Row],[Date]])</f>
        <v>10</v>
      </c>
      <c r="T3459" t="str" cm="1">
        <f t="array" ref="T3459">_xlfn.IFS(AND(N3459&lt;= 22, S3459=9), "SOWING",AND(N3459&lt;= 28, S3459=9), "COVERAGE",AND(N3459&lt;= 30, S3459=9), "FLUSH",AND(N3459&lt;= 11, S3459=10), "FLUSH",AND(N3459&lt;= 21, S3459=10), "PRODUCTION")</f>
        <v>FLUSH</v>
      </c>
      <c r="U3459">
        <f>HOUR(datos_siembra[[#This Row],[Hour]])</f>
        <v>19</v>
      </c>
      <c r="V3459" cm="1">
        <f t="array" ref="V3459">_xlfn.IFS(AND(N3459&lt;= 22, S3459=9), N3459-7,AND(N3459&lt;= 28, S3459=9), N3459-25,AND(N3459&lt;= 30, S3459=9), N3459-28,AND(N3459&lt;= 11, S3459=10), N3459+2,AND(N3459&lt;= 21, S3459=10), N3459-11)</f>
        <v>12</v>
      </c>
    </row>
    <row r="3460" spans="1:22" x14ac:dyDescent="0.35">
      <c r="A3460" s="4">
        <v>45575</v>
      </c>
      <c r="B3460" s="5">
        <v>0.82332175925925921</v>
      </c>
      <c r="C3460">
        <v>70.599999999999994</v>
      </c>
      <c r="D3460">
        <v>68.2</v>
      </c>
      <c r="E3460">
        <v>74.400000000000006</v>
      </c>
      <c r="F3460">
        <v>69.599999999999994</v>
      </c>
      <c r="G3460">
        <v>0</v>
      </c>
      <c r="H3460">
        <v>0</v>
      </c>
      <c r="I3460">
        <v>0</v>
      </c>
      <c r="J3460">
        <v>0</v>
      </c>
      <c r="K3460">
        <v>63.6</v>
      </c>
      <c r="L3460">
        <v>63.5</v>
      </c>
      <c r="M3460">
        <v>70.7</v>
      </c>
      <c r="N3460">
        <v>10</v>
      </c>
      <c r="O3460">
        <v>2</v>
      </c>
      <c r="P3460">
        <f>MOD(DAY(datos_siembra[[#This Row],[Date]]),7)</f>
        <v>3</v>
      </c>
      <c r="Q3460" t="str">
        <f>CHOOSE(WEEKDAY(datos_siembra[[#This Row],[Date]],2),"L","M","X","J","V","S","D")</f>
        <v>J</v>
      </c>
      <c r="R3460">
        <f>WEEKNUM(datos_siembra[[#This Row],[Date]],2)-WEEKNUM(DATE(YEAR(datos_siembra[[#This Row],[Date]]),MONTH(datos_siembra[[#This Row],[Date]]),1))+1</f>
        <v>2</v>
      </c>
      <c r="S3460">
        <f>MONTH(datos_siembra[[#This Row],[Date]])</f>
        <v>10</v>
      </c>
      <c r="T3460" t="str" cm="1">
        <f t="array" ref="T3460">_xlfn.IFS(AND(N3460&lt;= 22, S3460=9), "SOWING",AND(N3460&lt;= 28, S3460=9), "COVERAGE",AND(N3460&lt;= 30, S3460=9), "FLUSH",AND(N3460&lt;= 11, S3460=10), "FLUSH",AND(N3460&lt;= 21, S3460=10), "PRODUCTION")</f>
        <v>FLUSH</v>
      </c>
      <c r="U3460">
        <f>HOUR(datos_siembra[[#This Row],[Hour]])</f>
        <v>19</v>
      </c>
      <c r="V3460" cm="1">
        <f t="array" ref="V3460">_xlfn.IFS(AND(N3460&lt;= 22, S3460=9), N3460-7,AND(N3460&lt;= 28, S3460=9), N3460-25,AND(N3460&lt;= 30, S3460=9), N3460-28,AND(N3460&lt;= 11, S3460=10), N3460+2,AND(N3460&lt;= 21, S3460=10), N3460-11)</f>
        <v>12</v>
      </c>
    </row>
    <row r="3461" spans="1:22" x14ac:dyDescent="0.35">
      <c r="A3461" s="4">
        <v>45575</v>
      </c>
      <c r="B3461" s="5">
        <v>0.83026620370370374</v>
      </c>
      <c r="C3461">
        <v>70.599999999999994</v>
      </c>
      <c r="D3461">
        <v>68.2</v>
      </c>
      <c r="E3461">
        <v>74.400000000000006</v>
      </c>
      <c r="F3461">
        <v>69.8</v>
      </c>
      <c r="G3461">
        <v>0</v>
      </c>
      <c r="H3461">
        <v>0</v>
      </c>
      <c r="I3461">
        <v>0</v>
      </c>
      <c r="J3461">
        <v>0</v>
      </c>
      <c r="K3461">
        <v>63.6</v>
      </c>
      <c r="L3461">
        <v>63.4</v>
      </c>
      <c r="M3461">
        <v>70.760000000000005</v>
      </c>
      <c r="N3461">
        <v>10</v>
      </c>
      <c r="O3461">
        <v>2</v>
      </c>
      <c r="P3461">
        <f>MOD(DAY(datos_siembra[[#This Row],[Date]]),7)</f>
        <v>3</v>
      </c>
      <c r="Q3461" t="str">
        <f>CHOOSE(WEEKDAY(datos_siembra[[#This Row],[Date]],2),"L","M","X","J","V","S","D")</f>
        <v>J</v>
      </c>
      <c r="R3461">
        <f>WEEKNUM(datos_siembra[[#This Row],[Date]],2)-WEEKNUM(DATE(YEAR(datos_siembra[[#This Row],[Date]]),MONTH(datos_siembra[[#This Row],[Date]]),1))+1</f>
        <v>2</v>
      </c>
      <c r="S3461">
        <f>MONTH(datos_siembra[[#This Row],[Date]])</f>
        <v>10</v>
      </c>
      <c r="T3461" t="str" cm="1">
        <f t="array" ref="T3461">_xlfn.IFS(AND(N3461&lt;= 22, S3461=9), "SOWING",AND(N3461&lt;= 28, S3461=9), "COVERAGE",AND(N3461&lt;= 30, S3461=9), "FLUSH",AND(N3461&lt;= 11, S3461=10), "FLUSH",AND(N3461&lt;= 21, S3461=10), "PRODUCTION")</f>
        <v>FLUSH</v>
      </c>
      <c r="U3461">
        <f>HOUR(datos_siembra[[#This Row],[Hour]])</f>
        <v>19</v>
      </c>
      <c r="V3461" cm="1">
        <f t="array" ref="V3461">_xlfn.IFS(AND(N3461&lt;= 22, S3461=9), N3461-7,AND(N3461&lt;= 28, S3461=9), N3461-25,AND(N3461&lt;= 30, S3461=9), N3461-28,AND(N3461&lt;= 11, S3461=10), N3461+2,AND(N3461&lt;= 21, S3461=10), N3461-11)</f>
        <v>12</v>
      </c>
    </row>
    <row r="3462" spans="1:22" x14ac:dyDescent="0.35">
      <c r="A3462" s="4">
        <v>45575</v>
      </c>
      <c r="B3462" s="5">
        <v>0.8372222222222222</v>
      </c>
      <c r="C3462">
        <v>70.599999999999994</v>
      </c>
      <c r="D3462">
        <v>68.2</v>
      </c>
      <c r="E3462">
        <v>74.5</v>
      </c>
      <c r="F3462">
        <v>69.599999999999994</v>
      </c>
      <c r="G3462">
        <v>0</v>
      </c>
      <c r="H3462">
        <v>0</v>
      </c>
      <c r="I3462">
        <v>0</v>
      </c>
      <c r="J3462">
        <v>0</v>
      </c>
      <c r="K3462">
        <v>63.6</v>
      </c>
      <c r="L3462">
        <v>63.4</v>
      </c>
      <c r="M3462">
        <v>70.7</v>
      </c>
      <c r="N3462">
        <v>10</v>
      </c>
      <c r="O3462">
        <v>2</v>
      </c>
      <c r="P3462">
        <f>MOD(DAY(datos_siembra[[#This Row],[Date]]),7)</f>
        <v>3</v>
      </c>
      <c r="Q3462" t="str">
        <f>CHOOSE(WEEKDAY(datos_siembra[[#This Row],[Date]],2),"L","M","X","J","V","S","D")</f>
        <v>J</v>
      </c>
      <c r="R3462">
        <f>WEEKNUM(datos_siembra[[#This Row],[Date]],2)-WEEKNUM(DATE(YEAR(datos_siembra[[#This Row],[Date]]),MONTH(datos_siembra[[#This Row],[Date]]),1))+1</f>
        <v>2</v>
      </c>
      <c r="S3462">
        <f>MONTH(datos_siembra[[#This Row],[Date]])</f>
        <v>10</v>
      </c>
      <c r="T3462" t="str" cm="1">
        <f t="array" ref="T3462">_xlfn.IFS(AND(N3462&lt;= 22, S3462=9), "SOWING",AND(N3462&lt;= 28, S3462=9), "COVERAGE",AND(N3462&lt;= 30, S3462=9), "FLUSH",AND(N3462&lt;= 11, S3462=10), "FLUSH",AND(N3462&lt;= 21, S3462=10), "PRODUCTION")</f>
        <v>FLUSH</v>
      </c>
      <c r="U3462">
        <f>HOUR(datos_siembra[[#This Row],[Hour]])</f>
        <v>20</v>
      </c>
      <c r="V3462" cm="1">
        <f t="array" ref="V3462">_xlfn.IFS(AND(N3462&lt;= 22, S3462=9), N3462-7,AND(N3462&lt;= 28, S3462=9), N3462-25,AND(N3462&lt;= 30, S3462=9), N3462-28,AND(N3462&lt;= 11, S3462=10), N3462+2,AND(N3462&lt;= 21, S3462=10), N3462-11)</f>
        <v>12</v>
      </c>
    </row>
    <row r="3463" spans="1:22" x14ac:dyDescent="0.35">
      <c r="A3463" s="4">
        <v>45575</v>
      </c>
      <c r="B3463" s="5">
        <v>0.84416666666666662</v>
      </c>
      <c r="C3463">
        <v>70.599999999999994</v>
      </c>
      <c r="D3463">
        <v>68.3</v>
      </c>
      <c r="E3463">
        <v>74.400000000000006</v>
      </c>
      <c r="F3463">
        <v>69.7</v>
      </c>
      <c r="G3463">
        <v>0</v>
      </c>
      <c r="H3463">
        <v>0</v>
      </c>
      <c r="I3463">
        <v>0</v>
      </c>
      <c r="J3463">
        <v>0</v>
      </c>
      <c r="K3463">
        <v>63.5</v>
      </c>
      <c r="L3463">
        <v>63.2</v>
      </c>
      <c r="M3463">
        <v>70.7</v>
      </c>
      <c r="N3463">
        <v>10</v>
      </c>
      <c r="O3463">
        <v>2</v>
      </c>
      <c r="P3463">
        <f>MOD(DAY(datos_siembra[[#This Row],[Date]]),7)</f>
        <v>3</v>
      </c>
      <c r="Q3463" t="str">
        <f>CHOOSE(WEEKDAY(datos_siembra[[#This Row],[Date]],2),"L","M","X","J","V","S","D")</f>
        <v>J</v>
      </c>
      <c r="R3463">
        <f>WEEKNUM(datos_siembra[[#This Row],[Date]],2)-WEEKNUM(DATE(YEAR(datos_siembra[[#This Row],[Date]]),MONTH(datos_siembra[[#This Row],[Date]]),1))+1</f>
        <v>2</v>
      </c>
      <c r="S3463">
        <f>MONTH(datos_siembra[[#This Row],[Date]])</f>
        <v>10</v>
      </c>
      <c r="T3463" t="str" cm="1">
        <f t="array" ref="T3463">_xlfn.IFS(AND(N3463&lt;= 22, S3463=9), "SOWING",AND(N3463&lt;= 28, S3463=9), "COVERAGE",AND(N3463&lt;= 30, S3463=9), "FLUSH",AND(N3463&lt;= 11, S3463=10), "FLUSH",AND(N3463&lt;= 21, S3463=10), "PRODUCTION")</f>
        <v>FLUSH</v>
      </c>
      <c r="U3463">
        <f>HOUR(datos_siembra[[#This Row],[Hour]])</f>
        <v>20</v>
      </c>
      <c r="V3463" cm="1">
        <f t="array" ref="V3463">_xlfn.IFS(AND(N3463&lt;= 22, S3463=9), N3463-7,AND(N3463&lt;= 28, S3463=9), N3463-25,AND(N3463&lt;= 30, S3463=9), N3463-28,AND(N3463&lt;= 11, S3463=10), N3463+2,AND(N3463&lt;= 21, S3463=10), N3463-11)</f>
        <v>12</v>
      </c>
    </row>
    <row r="3464" spans="1:22" x14ac:dyDescent="0.35">
      <c r="A3464" s="4">
        <v>45575</v>
      </c>
      <c r="B3464" s="5">
        <v>0.85111111111111115</v>
      </c>
      <c r="C3464">
        <v>70.7</v>
      </c>
      <c r="D3464">
        <v>68.3</v>
      </c>
      <c r="E3464">
        <v>74.5</v>
      </c>
      <c r="F3464">
        <v>69.7</v>
      </c>
      <c r="G3464">
        <v>0</v>
      </c>
      <c r="H3464">
        <v>0</v>
      </c>
      <c r="I3464">
        <v>0</v>
      </c>
      <c r="J3464">
        <v>0</v>
      </c>
      <c r="K3464">
        <v>63.5</v>
      </c>
      <c r="L3464">
        <v>63.2</v>
      </c>
      <c r="M3464">
        <v>70.78</v>
      </c>
      <c r="N3464">
        <v>10</v>
      </c>
      <c r="O3464">
        <v>2</v>
      </c>
      <c r="P3464">
        <f>MOD(DAY(datos_siembra[[#This Row],[Date]]),7)</f>
        <v>3</v>
      </c>
      <c r="Q3464" t="str">
        <f>CHOOSE(WEEKDAY(datos_siembra[[#This Row],[Date]],2),"L","M","X","J","V","S","D")</f>
        <v>J</v>
      </c>
      <c r="R3464">
        <f>WEEKNUM(datos_siembra[[#This Row],[Date]],2)-WEEKNUM(DATE(YEAR(datos_siembra[[#This Row],[Date]]),MONTH(datos_siembra[[#This Row],[Date]]),1))+1</f>
        <v>2</v>
      </c>
      <c r="S3464">
        <f>MONTH(datos_siembra[[#This Row],[Date]])</f>
        <v>10</v>
      </c>
      <c r="T3464" t="str" cm="1">
        <f t="array" ref="T3464">_xlfn.IFS(AND(N3464&lt;= 22, S3464=9), "SOWING",AND(N3464&lt;= 28, S3464=9), "COVERAGE",AND(N3464&lt;= 30, S3464=9), "FLUSH",AND(N3464&lt;= 11, S3464=10), "FLUSH",AND(N3464&lt;= 21, S3464=10), "PRODUCTION")</f>
        <v>FLUSH</v>
      </c>
      <c r="U3464">
        <f>HOUR(datos_siembra[[#This Row],[Hour]])</f>
        <v>20</v>
      </c>
      <c r="V3464" cm="1">
        <f t="array" ref="V3464">_xlfn.IFS(AND(N3464&lt;= 22, S3464=9), N3464-7,AND(N3464&lt;= 28, S3464=9), N3464-25,AND(N3464&lt;= 30, S3464=9), N3464-28,AND(N3464&lt;= 11, S3464=10), N3464+2,AND(N3464&lt;= 21, S3464=10), N3464-11)</f>
        <v>12</v>
      </c>
    </row>
    <row r="3465" spans="1:22" x14ac:dyDescent="0.35">
      <c r="A3465" s="4">
        <v>45575</v>
      </c>
      <c r="B3465" s="5">
        <v>0.85806712962962961</v>
      </c>
      <c r="C3465">
        <v>70.7</v>
      </c>
      <c r="D3465">
        <v>68.5</v>
      </c>
      <c r="E3465">
        <v>74.400000000000006</v>
      </c>
      <c r="F3465">
        <v>69.7</v>
      </c>
      <c r="G3465">
        <v>0</v>
      </c>
      <c r="H3465">
        <v>0</v>
      </c>
      <c r="I3465">
        <v>0</v>
      </c>
      <c r="J3465">
        <v>0</v>
      </c>
      <c r="K3465">
        <v>63.3</v>
      </c>
      <c r="L3465">
        <v>63</v>
      </c>
      <c r="M3465">
        <v>70.84</v>
      </c>
      <c r="N3465">
        <v>10</v>
      </c>
      <c r="O3465">
        <v>2</v>
      </c>
      <c r="P3465">
        <f>MOD(DAY(datos_siembra[[#This Row],[Date]]),7)</f>
        <v>3</v>
      </c>
      <c r="Q3465" t="str">
        <f>CHOOSE(WEEKDAY(datos_siembra[[#This Row],[Date]],2),"L","M","X","J","V","S","D")</f>
        <v>J</v>
      </c>
      <c r="R3465">
        <f>WEEKNUM(datos_siembra[[#This Row],[Date]],2)-WEEKNUM(DATE(YEAR(datos_siembra[[#This Row],[Date]]),MONTH(datos_siembra[[#This Row],[Date]]),1))+1</f>
        <v>2</v>
      </c>
      <c r="S3465">
        <f>MONTH(datos_siembra[[#This Row],[Date]])</f>
        <v>10</v>
      </c>
      <c r="T3465" t="str" cm="1">
        <f t="array" ref="T3465">_xlfn.IFS(AND(N3465&lt;= 22, S3465=9), "SOWING",AND(N3465&lt;= 28, S3465=9), "COVERAGE",AND(N3465&lt;= 30, S3465=9), "FLUSH",AND(N3465&lt;= 11, S3465=10), "FLUSH",AND(N3465&lt;= 21, S3465=10), "PRODUCTION")</f>
        <v>FLUSH</v>
      </c>
      <c r="U3465">
        <f>HOUR(datos_siembra[[#This Row],[Hour]])</f>
        <v>20</v>
      </c>
      <c r="V3465" cm="1">
        <f t="array" ref="V3465">_xlfn.IFS(AND(N3465&lt;= 22, S3465=9), N3465-7,AND(N3465&lt;= 28, S3465=9), N3465-25,AND(N3465&lt;= 30, S3465=9), N3465-28,AND(N3465&lt;= 11, S3465=10), N3465+2,AND(N3465&lt;= 21, S3465=10), N3465-11)</f>
        <v>12</v>
      </c>
    </row>
    <row r="3466" spans="1:22" x14ac:dyDescent="0.35">
      <c r="A3466" s="4">
        <v>45575</v>
      </c>
      <c r="B3466" s="5">
        <v>0.86501157407407403</v>
      </c>
      <c r="C3466">
        <v>70.900000000000006</v>
      </c>
      <c r="D3466">
        <v>68.5</v>
      </c>
      <c r="E3466">
        <v>74.8</v>
      </c>
      <c r="F3466">
        <v>69.7</v>
      </c>
      <c r="G3466">
        <v>0</v>
      </c>
      <c r="H3466">
        <v>0</v>
      </c>
      <c r="I3466">
        <v>0</v>
      </c>
      <c r="J3466">
        <v>0</v>
      </c>
      <c r="K3466">
        <v>63.3</v>
      </c>
      <c r="L3466">
        <v>63</v>
      </c>
      <c r="M3466">
        <v>70.87</v>
      </c>
      <c r="N3466">
        <v>10</v>
      </c>
      <c r="O3466">
        <v>2</v>
      </c>
      <c r="P3466">
        <f>MOD(DAY(datos_siembra[[#This Row],[Date]]),7)</f>
        <v>3</v>
      </c>
      <c r="Q3466" t="str">
        <f>CHOOSE(WEEKDAY(datos_siembra[[#This Row],[Date]],2),"L","M","X","J","V","S","D")</f>
        <v>J</v>
      </c>
      <c r="R3466">
        <f>WEEKNUM(datos_siembra[[#This Row],[Date]],2)-WEEKNUM(DATE(YEAR(datos_siembra[[#This Row],[Date]]),MONTH(datos_siembra[[#This Row],[Date]]),1))+1</f>
        <v>2</v>
      </c>
      <c r="S3466">
        <f>MONTH(datos_siembra[[#This Row],[Date]])</f>
        <v>10</v>
      </c>
      <c r="T3466" t="str" cm="1">
        <f t="array" ref="T3466">_xlfn.IFS(AND(N3466&lt;= 22, S3466=9), "SOWING",AND(N3466&lt;= 28, S3466=9), "COVERAGE",AND(N3466&lt;= 30, S3466=9), "FLUSH",AND(N3466&lt;= 11, S3466=10), "FLUSH",AND(N3466&lt;= 21, S3466=10), "PRODUCTION")</f>
        <v>FLUSH</v>
      </c>
      <c r="U3466">
        <f>HOUR(datos_siembra[[#This Row],[Hour]])</f>
        <v>20</v>
      </c>
      <c r="V3466" cm="1">
        <f t="array" ref="V3466">_xlfn.IFS(AND(N3466&lt;= 22, S3466=9), N3466-7,AND(N3466&lt;= 28, S3466=9), N3466-25,AND(N3466&lt;= 30, S3466=9), N3466-28,AND(N3466&lt;= 11, S3466=10), N3466+2,AND(N3466&lt;= 21, S3466=10), N3466-11)</f>
        <v>12</v>
      </c>
    </row>
    <row r="3467" spans="1:22" x14ac:dyDescent="0.35">
      <c r="A3467" s="4">
        <v>45575</v>
      </c>
      <c r="B3467" s="5">
        <v>0.87195601851851856</v>
      </c>
      <c r="C3467">
        <v>70.7</v>
      </c>
      <c r="D3467">
        <v>68.3</v>
      </c>
      <c r="E3467">
        <v>74.900000000000006</v>
      </c>
      <c r="F3467">
        <v>69.7</v>
      </c>
      <c r="G3467">
        <v>0</v>
      </c>
      <c r="H3467">
        <v>0</v>
      </c>
      <c r="I3467">
        <v>0</v>
      </c>
      <c r="J3467">
        <v>0</v>
      </c>
      <c r="K3467">
        <v>63.2</v>
      </c>
      <c r="L3467">
        <v>62.9</v>
      </c>
      <c r="M3467">
        <v>70.900000000000006</v>
      </c>
      <c r="N3467">
        <v>10</v>
      </c>
      <c r="O3467">
        <v>2</v>
      </c>
      <c r="P3467">
        <f>MOD(DAY(datos_siembra[[#This Row],[Date]]),7)</f>
        <v>3</v>
      </c>
      <c r="Q3467" t="str">
        <f>CHOOSE(WEEKDAY(datos_siembra[[#This Row],[Date]],2),"L","M","X","J","V","S","D")</f>
        <v>J</v>
      </c>
      <c r="R3467">
        <f>WEEKNUM(datos_siembra[[#This Row],[Date]],2)-WEEKNUM(DATE(YEAR(datos_siembra[[#This Row],[Date]]),MONTH(datos_siembra[[#This Row],[Date]]),1))+1</f>
        <v>2</v>
      </c>
      <c r="S3467">
        <f>MONTH(datos_siembra[[#This Row],[Date]])</f>
        <v>10</v>
      </c>
      <c r="T3467" t="str" cm="1">
        <f t="array" ref="T3467">_xlfn.IFS(AND(N3467&lt;= 22, S3467=9), "SOWING",AND(N3467&lt;= 28, S3467=9), "COVERAGE",AND(N3467&lt;= 30, S3467=9), "FLUSH",AND(N3467&lt;= 11, S3467=10), "FLUSH",AND(N3467&lt;= 21, S3467=10), "PRODUCTION")</f>
        <v>FLUSH</v>
      </c>
      <c r="U3467">
        <f>HOUR(datos_siembra[[#This Row],[Hour]])</f>
        <v>20</v>
      </c>
      <c r="V3467" cm="1">
        <f t="array" ref="V3467">_xlfn.IFS(AND(N3467&lt;= 22, S3467=9), N3467-7,AND(N3467&lt;= 28, S3467=9), N3467-25,AND(N3467&lt;= 30, S3467=9), N3467-28,AND(N3467&lt;= 11, S3467=10), N3467+2,AND(N3467&lt;= 21, S3467=10), N3467-11)</f>
        <v>12</v>
      </c>
    </row>
    <row r="3468" spans="1:22" x14ac:dyDescent="0.35">
      <c r="A3468" s="4">
        <v>45575</v>
      </c>
      <c r="B3468" s="5">
        <v>0.87890046296296298</v>
      </c>
      <c r="C3468">
        <v>70.7</v>
      </c>
      <c r="D3468">
        <v>68.5</v>
      </c>
      <c r="E3468">
        <v>74.599999999999994</v>
      </c>
      <c r="F3468">
        <v>69.8</v>
      </c>
      <c r="G3468">
        <v>0</v>
      </c>
      <c r="H3468">
        <v>0</v>
      </c>
      <c r="I3468">
        <v>0</v>
      </c>
      <c r="J3468">
        <v>0</v>
      </c>
      <c r="K3468">
        <v>63</v>
      </c>
      <c r="L3468">
        <v>62.8</v>
      </c>
      <c r="M3468">
        <v>70.900000000000006</v>
      </c>
      <c r="N3468">
        <v>10</v>
      </c>
      <c r="O3468">
        <v>2</v>
      </c>
      <c r="P3468">
        <f>MOD(DAY(datos_siembra[[#This Row],[Date]]),7)</f>
        <v>3</v>
      </c>
      <c r="Q3468" t="str">
        <f>CHOOSE(WEEKDAY(datos_siembra[[#This Row],[Date]],2),"L","M","X","J","V","S","D")</f>
        <v>J</v>
      </c>
      <c r="R3468">
        <f>WEEKNUM(datos_siembra[[#This Row],[Date]],2)-WEEKNUM(DATE(YEAR(datos_siembra[[#This Row],[Date]]),MONTH(datos_siembra[[#This Row],[Date]]),1))+1</f>
        <v>2</v>
      </c>
      <c r="S3468">
        <f>MONTH(datos_siembra[[#This Row],[Date]])</f>
        <v>10</v>
      </c>
      <c r="T3468" t="str" cm="1">
        <f t="array" ref="T3468">_xlfn.IFS(AND(N3468&lt;= 22, S3468=9), "SOWING",AND(N3468&lt;= 28, S3468=9), "COVERAGE",AND(N3468&lt;= 30, S3468=9), "FLUSH",AND(N3468&lt;= 11, S3468=10), "FLUSH",AND(N3468&lt;= 21, S3468=10), "PRODUCTION")</f>
        <v>FLUSH</v>
      </c>
      <c r="U3468">
        <f>HOUR(datos_siembra[[#This Row],[Hour]])</f>
        <v>21</v>
      </c>
      <c r="V3468" cm="1">
        <f t="array" ref="V3468">_xlfn.IFS(AND(N3468&lt;= 22, S3468=9), N3468-7,AND(N3468&lt;= 28, S3468=9), N3468-25,AND(N3468&lt;= 30, S3468=9), N3468-28,AND(N3468&lt;= 11, S3468=10), N3468+2,AND(N3468&lt;= 21, S3468=10), N3468-11)</f>
        <v>12</v>
      </c>
    </row>
    <row r="3469" spans="1:22" x14ac:dyDescent="0.35">
      <c r="A3469" s="4">
        <v>45575</v>
      </c>
      <c r="B3469" s="5">
        <v>0.88585648148148144</v>
      </c>
      <c r="C3469">
        <v>70.8</v>
      </c>
      <c r="D3469">
        <v>68.3</v>
      </c>
      <c r="E3469">
        <v>74.900000000000006</v>
      </c>
      <c r="F3469">
        <v>69.8</v>
      </c>
      <c r="G3469">
        <v>0</v>
      </c>
      <c r="H3469">
        <v>0</v>
      </c>
      <c r="I3469">
        <v>0</v>
      </c>
      <c r="J3469">
        <v>0</v>
      </c>
      <c r="K3469">
        <v>63.2</v>
      </c>
      <c r="L3469">
        <v>62.8</v>
      </c>
      <c r="M3469">
        <v>71.010000000000005</v>
      </c>
      <c r="N3469">
        <v>10</v>
      </c>
      <c r="O3469">
        <v>2</v>
      </c>
      <c r="P3469">
        <f>MOD(DAY(datos_siembra[[#This Row],[Date]]),7)</f>
        <v>3</v>
      </c>
      <c r="Q3469" t="str">
        <f>CHOOSE(WEEKDAY(datos_siembra[[#This Row],[Date]],2),"L","M","X","J","V","S","D")</f>
        <v>J</v>
      </c>
      <c r="R3469">
        <f>WEEKNUM(datos_siembra[[#This Row],[Date]],2)-WEEKNUM(DATE(YEAR(datos_siembra[[#This Row],[Date]]),MONTH(datos_siembra[[#This Row],[Date]]),1))+1</f>
        <v>2</v>
      </c>
      <c r="S3469">
        <f>MONTH(datos_siembra[[#This Row],[Date]])</f>
        <v>10</v>
      </c>
      <c r="T3469" t="str" cm="1">
        <f t="array" ref="T3469">_xlfn.IFS(AND(N3469&lt;= 22, S3469=9), "SOWING",AND(N3469&lt;= 28, S3469=9), "COVERAGE",AND(N3469&lt;= 30, S3469=9), "FLUSH",AND(N3469&lt;= 11, S3469=10), "FLUSH",AND(N3469&lt;= 21, S3469=10), "PRODUCTION")</f>
        <v>FLUSH</v>
      </c>
      <c r="U3469">
        <f>HOUR(datos_siembra[[#This Row],[Hour]])</f>
        <v>21</v>
      </c>
      <c r="V3469" cm="1">
        <f t="array" ref="V3469">_xlfn.IFS(AND(N3469&lt;= 22, S3469=9), N3469-7,AND(N3469&lt;= 28, S3469=9), N3469-25,AND(N3469&lt;= 30, S3469=9), N3469-28,AND(N3469&lt;= 11, S3469=10), N3469+2,AND(N3469&lt;= 21, S3469=10), N3469-11)</f>
        <v>12</v>
      </c>
    </row>
    <row r="3470" spans="1:22" x14ac:dyDescent="0.35">
      <c r="A3470" s="4">
        <v>45575</v>
      </c>
      <c r="B3470" s="5">
        <v>0.89280092592592597</v>
      </c>
      <c r="C3470">
        <v>70.8</v>
      </c>
      <c r="D3470">
        <v>68.5</v>
      </c>
      <c r="E3470">
        <v>75</v>
      </c>
      <c r="F3470">
        <v>69.8</v>
      </c>
      <c r="G3470">
        <v>0</v>
      </c>
      <c r="H3470">
        <v>0</v>
      </c>
      <c r="I3470">
        <v>0</v>
      </c>
      <c r="J3470">
        <v>0</v>
      </c>
      <c r="K3470">
        <v>63</v>
      </c>
      <c r="L3470">
        <v>62.6</v>
      </c>
      <c r="M3470">
        <v>71.010000000000005</v>
      </c>
      <c r="N3470">
        <v>10</v>
      </c>
      <c r="O3470">
        <v>2</v>
      </c>
      <c r="P3470">
        <f>MOD(DAY(datos_siembra[[#This Row],[Date]]),7)</f>
        <v>3</v>
      </c>
      <c r="Q3470" t="str">
        <f>CHOOSE(WEEKDAY(datos_siembra[[#This Row],[Date]],2),"L","M","X","J","V","S","D")</f>
        <v>J</v>
      </c>
      <c r="R3470">
        <f>WEEKNUM(datos_siembra[[#This Row],[Date]],2)-WEEKNUM(DATE(YEAR(datos_siembra[[#This Row],[Date]]),MONTH(datos_siembra[[#This Row],[Date]]),1))+1</f>
        <v>2</v>
      </c>
      <c r="S3470">
        <f>MONTH(datos_siembra[[#This Row],[Date]])</f>
        <v>10</v>
      </c>
      <c r="T3470" t="str" cm="1">
        <f t="array" ref="T3470">_xlfn.IFS(AND(N3470&lt;= 22, S3470=9), "SOWING",AND(N3470&lt;= 28, S3470=9), "COVERAGE",AND(N3470&lt;= 30, S3470=9), "FLUSH",AND(N3470&lt;= 11, S3470=10), "FLUSH",AND(N3470&lt;= 21, S3470=10), "PRODUCTION")</f>
        <v>FLUSH</v>
      </c>
      <c r="U3470">
        <f>HOUR(datos_siembra[[#This Row],[Hour]])</f>
        <v>21</v>
      </c>
      <c r="V3470" cm="1">
        <f t="array" ref="V3470">_xlfn.IFS(AND(N3470&lt;= 22, S3470=9), N3470-7,AND(N3470&lt;= 28, S3470=9), N3470-25,AND(N3470&lt;= 30, S3470=9), N3470-28,AND(N3470&lt;= 11, S3470=10), N3470+2,AND(N3470&lt;= 21, S3470=10), N3470-11)</f>
        <v>12</v>
      </c>
    </row>
    <row r="3471" spans="1:22" x14ac:dyDescent="0.35">
      <c r="A3471" s="4">
        <v>45575</v>
      </c>
      <c r="B3471" s="5">
        <v>0.89974537037037039</v>
      </c>
      <c r="C3471">
        <v>70.900000000000006</v>
      </c>
      <c r="D3471">
        <v>68.5</v>
      </c>
      <c r="E3471">
        <v>74.900000000000006</v>
      </c>
      <c r="F3471">
        <v>69.7</v>
      </c>
      <c r="G3471">
        <v>0</v>
      </c>
      <c r="H3471">
        <v>0</v>
      </c>
      <c r="I3471">
        <v>0</v>
      </c>
      <c r="J3471">
        <v>0</v>
      </c>
      <c r="K3471">
        <v>63</v>
      </c>
      <c r="L3471">
        <v>62.7</v>
      </c>
      <c r="M3471">
        <v>71.09</v>
      </c>
      <c r="N3471">
        <v>10</v>
      </c>
      <c r="O3471">
        <v>2</v>
      </c>
      <c r="P3471">
        <f>MOD(DAY(datos_siembra[[#This Row],[Date]]),7)</f>
        <v>3</v>
      </c>
      <c r="Q3471" t="str">
        <f>CHOOSE(WEEKDAY(datos_siembra[[#This Row],[Date]],2),"L","M","X","J","V","S","D")</f>
        <v>J</v>
      </c>
      <c r="R3471">
        <f>WEEKNUM(datos_siembra[[#This Row],[Date]],2)-WEEKNUM(DATE(YEAR(datos_siembra[[#This Row],[Date]]),MONTH(datos_siembra[[#This Row],[Date]]),1))+1</f>
        <v>2</v>
      </c>
      <c r="S3471">
        <f>MONTH(datos_siembra[[#This Row],[Date]])</f>
        <v>10</v>
      </c>
      <c r="T3471" t="str" cm="1">
        <f t="array" ref="T3471">_xlfn.IFS(AND(N3471&lt;= 22, S3471=9), "SOWING",AND(N3471&lt;= 28, S3471=9), "COVERAGE",AND(N3471&lt;= 30, S3471=9), "FLUSH",AND(N3471&lt;= 11, S3471=10), "FLUSH",AND(N3471&lt;= 21, S3471=10), "PRODUCTION")</f>
        <v>FLUSH</v>
      </c>
      <c r="U3471">
        <f>HOUR(datos_siembra[[#This Row],[Hour]])</f>
        <v>21</v>
      </c>
      <c r="V3471" cm="1">
        <f t="array" ref="V3471">_xlfn.IFS(AND(N3471&lt;= 22, S3471=9), N3471-7,AND(N3471&lt;= 28, S3471=9), N3471-25,AND(N3471&lt;= 30, S3471=9), N3471-28,AND(N3471&lt;= 11, S3471=10), N3471+2,AND(N3471&lt;= 21, S3471=10), N3471-11)</f>
        <v>12</v>
      </c>
    </row>
    <row r="3472" spans="1:22" x14ac:dyDescent="0.35">
      <c r="A3472" s="4">
        <v>45575</v>
      </c>
      <c r="B3472" s="5">
        <v>0.90668981481481481</v>
      </c>
      <c r="C3472">
        <v>70.900000000000006</v>
      </c>
      <c r="D3472">
        <v>68.5</v>
      </c>
      <c r="E3472">
        <v>74.900000000000006</v>
      </c>
      <c r="F3472">
        <v>69.8</v>
      </c>
      <c r="G3472">
        <v>0</v>
      </c>
      <c r="H3472">
        <v>0</v>
      </c>
      <c r="I3472">
        <v>0</v>
      </c>
      <c r="J3472">
        <v>0</v>
      </c>
      <c r="K3472">
        <v>62.8</v>
      </c>
      <c r="L3472">
        <v>62.6</v>
      </c>
      <c r="M3472">
        <v>71.12</v>
      </c>
      <c r="N3472">
        <v>10</v>
      </c>
      <c r="O3472">
        <v>2</v>
      </c>
      <c r="P3472">
        <f>MOD(DAY(datos_siembra[[#This Row],[Date]]),7)</f>
        <v>3</v>
      </c>
      <c r="Q3472" t="str">
        <f>CHOOSE(WEEKDAY(datos_siembra[[#This Row],[Date]],2),"L","M","X","J","V","S","D")</f>
        <v>J</v>
      </c>
      <c r="R3472">
        <f>WEEKNUM(datos_siembra[[#This Row],[Date]],2)-WEEKNUM(DATE(YEAR(datos_siembra[[#This Row],[Date]]),MONTH(datos_siembra[[#This Row],[Date]]),1))+1</f>
        <v>2</v>
      </c>
      <c r="S3472">
        <f>MONTH(datos_siembra[[#This Row],[Date]])</f>
        <v>10</v>
      </c>
      <c r="T3472" t="str" cm="1">
        <f t="array" ref="T3472">_xlfn.IFS(AND(N3472&lt;= 22, S3472=9), "SOWING",AND(N3472&lt;= 28, S3472=9), "COVERAGE",AND(N3472&lt;= 30, S3472=9), "FLUSH",AND(N3472&lt;= 11, S3472=10), "FLUSH",AND(N3472&lt;= 21, S3472=10), "PRODUCTION")</f>
        <v>FLUSH</v>
      </c>
      <c r="U3472">
        <f>HOUR(datos_siembra[[#This Row],[Hour]])</f>
        <v>21</v>
      </c>
      <c r="V3472" cm="1">
        <f t="array" ref="V3472">_xlfn.IFS(AND(N3472&lt;= 22, S3472=9), N3472-7,AND(N3472&lt;= 28, S3472=9), N3472-25,AND(N3472&lt;= 30, S3472=9), N3472-28,AND(N3472&lt;= 11, S3472=10), N3472+2,AND(N3472&lt;= 21, S3472=10), N3472-11)</f>
        <v>12</v>
      </c>
    </row>
    <row r="3473" spans="1:22" x14ac:dyDescent="0.35">
      <c r="A3473" s="4">
        <v>45575</v>
      </c>
      <c r="B3473" s="5">
        <v>0.91364583333333338</v>
      </c>
      <c r="C3473">
        <v>70.900000000000006</v>
      </c>
      <c r="D3473">
        <v>68.3</v>
      </c>
      <c r="E3473">
        <v>75</v>
      </c>
      <c r="F3473">
        <v>69.900000000000006</v>
      </c>
      <c r="G3473">
        <v>0</v>
      </c>
      <c r="H3473">
        <v>0</v>
      </c>
      <c r="I3473">
        <v>0</v>
      </c>
      <c r="J3473">
        <v>0</v>
      </c>
      <c r="K3473">
        <v>62.9</v>
      </c>
      <c r="L3473">
        <v>62.6</v>
      </c>
      <c r="M3473">
        <v>71.12</v>
      </c>
      <c r="N3473">
        <v>10</v>
      </c>
      <c r="O3473">
        <v>2</v>
      </c>
      <c r="P3473">
        <f>MOD(DAY(datos_siembra[[#This Row],[Date]]),7)</f>
        <v>3</v>
      </c>
      <c r="Q3473" t="str">
        <f>CHOOSE(WEEKDAY(datos_siembra[[#This Row],[Date]],2),"L","M","X","J","V","S","D")</f>
        <v>J</v>
      </c>
      <c r="R3473">
        <f>WEEKNUM(datos_siembra[[#This Row],[Date]],2)-WEEKNUM(DATE(YEAR(datos_siembra[[#This Row],[Date]]),MONTH(datos_siembra[[#This Row],[Date]]),1))+1</f>
        <v>2</v>
      </c>
      <c r="S3473">
        <f>MONTH(datos_siembra[[#This Row],[Date]])</f>
        <v>10</v>
      </c>
      <c r="T3473" t="str" cm="1">
        <f t="array" ref="T3473">_xlfn.IFS(AND(N3473&lt;= 22, S3473=9), "SOWING",AND(N3473&lt;= 28, S3473=9), "COVERAGE",AND(N3473&lt;= 30, S3473=9), "FLUSH",AND(N3473&lt;= 11, S3473=10), "FLUSH",AND(N3473&lt;= 21, S3473=10), "PRODUCTION")</f>
        <v>FLUSH</v>
      </c>
      <c r="U3473">
        <f>HOUR(datos_siembra[[#This Row],[Hour]])</f>
        <v>21</v>
      </c>
      <c r="V3473" cm="1">
        <f t="array" ref="V3473">_xlfn.IFS(AND(N3473&lt;= 22, S3473=9), N3473-7,AND(N3473&lt;= 28, S3473=9), N3473-25,AND(N3473&lt;= 30, S3473=9), N3473-28,AND(N3473&lt;= 11, S3473=10), N3473+2,AND(N3473&lt;= 21, S3473=10), N3473-11)</f>
        <v>12</v>
      </c>
    </row>
    <row r="3474" spans="1:22" x14ac:dyDescent="0.35">
      <c r="A3474" s="4">
        <v>45575</v>
      </c>
      <c r="B3474" s="5">
        <v>0.9205902777777778</v>
      </c>
      <c r="C3474">
        <v>70.8</v>
      </c>
      <c r="D3474">
        <v>68.5</v>
      </c>
      <c r="E3474">
        <v>75</v>
      </c>
      <c r="F3474">
        <v>69.8</v>
      </c>
      <c r="G3474">
        <v>0</v>
      </c>
      <c r="H3474">
        <v>0</v>
      </c>
      <c r="I3474">
        <v>0</v>
      </c>
      <c r="J3474">
        <v>0</v>
      </c>
      <c r="K3474">
        <v>62.8</v>
      </c>
      <c r="L3474">
        <v>62.6</v>
      </c>
      <c r="M3474">
        <v>71.069999999999993</v>
      </c>
      <c r="N3474">
        <v>10</v>
      </c>
      <c r="O3474">
        <v>2</v>
      </c>
      <c r="P3474">
        <f>MOD(DAY(datos_siembra[[#This Row],[Date]]),7)</f>
        <v>3</v>
      </c>
      <c r="Q3474" t="str">
        <f>CHOOSE(WEEKDAY(datos_siembra[[#This Row],[Date]],2),"L","M","X","J","V","S","D")</f>
        <v>J</v>
      </c>
      <c r="R3474">
        <f>WEEKNUM(datos_siembra[[#This Row],[Date]],2)-WEEKNUM(DATE(YEAR(datos_siembra[[#This Row],[Date]]),MONTH(datos_siembra[[#This Row],[Date]]),1))+1</f>
        <v>2</v>
      </c>
      <c r="S3474">
        <f>MONTH(datos_siembra[[#This Row],[Date]])</f>
        <v>10</v>
      </c>
      <c r="T3474" t="str" cm="1">
        <f t="array" ref="T3474">_xlfn.IFS(AND(N3474&lt;= 22, S3474=9), "SOWING",AND(N3474&lt;= 28, S3474=9), "COVERAGE",AND(N3474&lt;= 30, S3474=9), "FLUSH",AND(N3474&lt;= 11, S3474=10), "FLUSH",AND(N3474&lt;= 21, S3474=10), "PRODUCTION")</f>
        <v>FLUSH</v>
      </c>
      <c r="U3474">
        <f>HOUR(datos_siembra[[#This Row],[Hour]])</f>
        <v>22</v>
      </c>
      <c r="V3474" cm="1">
        <f t="array" ref="V3474">_xlfn.IFS(AND(N3474&lt;= 22, S3474=9), N3474-7,AND(N3474&lt;= 28, S3474=9), N3474-25,AND(N3474&lt;= 30, S3474=9), N3474-28,AND(N3474&lt;= 11, S3474=10), N3474+2,AND(N3474&lt;= 21, S3474=10), N3474-11)</f>
        <v>12</v>
      </c>
    </row>
    <row r="3475" spans="1:22" x14ac:dyDescent="0.35">
      <c r="A3475" s="4">
        <v>45575</v>
      </c>
      <c r="B3475" s="5">
        <v>0.92753472222222222</v>
      </c>
      <c r="C3475">
        <v>71</v>
      </c>
      <c r="D3475">
        <v>68.5</v>
      </c>
      <c r="E3475">
        <v>75.2</v>
      </c>
      <c r="F3475">
        <v>69.900000000000006</v>
      </c>
      <c r="G3475">
        <v>0</v>
      </c>
      <c r="H3475">
        <v>0</v>
      </c>
      <c r="I3475">
        <v>0</v>
      </c>
      <c r="J3475">
        <v>0</v>
      </c>
      <c r="K3475">
        <v>62.8</v>
      </c>
      <c r="L3475">
        <v>62.5</v>
      </c>
      <c r="M3475">
        <v>71.069999999999993</v>
      </c>
      <c r="N3475">
        <v>10</v>
      </c>
      <c r="O3475">
        <v>2</v>
      </c>
      <c r="P3475">
        <f>MOD(DAY(datos_siembra[[#This Row],[Date]]),7)</f>
        <v>3</v>
      </c>
      <c r="Q3475" t="str">
        <f>CHOOSE(WEEKDAY(datos_siembra[[#This Row],[Date]],2),"L","M","X","J","V","S","D")</f>
        <v>J</v>
      </c>
      <c r="R3475">
        <f>WEEKNUM(datos_siembra[[#This Row],[Date]],2)-WEEKNUM(DATE(YEAR(datos_siembra[[#This Row],[Date]]),MONTH(datos_siembra[[#This Row],[Date]]),1))+1</f>
        <v>2</v>
      </c>
      <c r="S3475">
        <f>MONTH(datos_siembra[[#This Row],[Date]])</f>
        <v>10</v>
      </c>
      <c r="T3475" t="str" cm="1">
        <f t="array" ref="T3475">_xlfn.IFS(AND(N3475&lt;= 22, S3475=9), "SOWING",AND(N3475&lt;= 28, S3475=9), "COVERAGE",AND(N3475&lt;= 30, S3475=9), "FLUSH",AND(N3475&lt;= 11, S3475=10), "FLUSH",AND(N3475&lt;= 21, S3475=10), "PRODUCTION")</f>
        <v>FLUSH</v>
      </c>
      <c r="U3475">
        <f>HOUR(datos_siembra[[#This Row],[Hour]])</f>
        <v>22</v>
      </c>
      <c r="V3475" cm="1">
        <f t="array" ref="V3475">_xlfn.IFS(AND(N3475&lt;= 22, S3475=9), N3475-7,AND(N3475&lt;= 28, S3475=9), N3475-25,AND(N3475&lt;= 30, S3475=9), N3475-28,AND(N3475&lt;= 11, S3475=10), N3475+2,AND(N3475&lt;= 21, S3475=10), N3475-11)</f>
        <v>12</v>
      </c>
    </row>
    <row r="3476" spans="1:22" x14ac:dyDescent="0.35">
      <c r="A3476" s="4">
        <v>45575</v>
      </c>
      <c r="B3476" s="5">
        <v>0.93449074074074079</v>
      </c>
      <c r="C3476">
        <v>70.900000000000006</v>
      </c>
      <c r="D3476">
        <v>68.599999999999994</v>
      </c>
      <c r="E3476">
        <v>75.2</v>
      </c>
      <c r="F3476">
        <v>69.900000000000006</v>
      </c>
      <c r="G3476">
        <v>0</v>
      </c>
      <c r="H3476">
        <v>0</v>
      </c>
      <c r="I3476">
        <v>0</v>
      </c>
      <c r="J3476">
        <v>0</v>
      </c>
      <c r="K3476">
        <v>62.9</v>
      </c>
      <c r="L3476">
        <v>62.6</v>
      </c>
      <c r="M3476">
        <v>71.180000000000007</v>
      </c>
      <c r="N3476">
        <v>10</v>
      </c>
      <c r="O3476">
        <v>2</v>
      </c>
      <c r="P3476">
        <f>MOD(DAY(datos_siembra[[#This Row],[Date]]),7)</f>
        <v>3</v>
      </c>
      <c r="Q3476" t="str">
        <f>CHOOSE(WEEKDAY(datos_siembra[[#This Row],[Date]],2),"L","M","X","J","V","S","D")</f>
        <v>J</v>
      </c>
      <c r="R3476">
        <f>WEEKNUM(datos_siembra[[#This Row],[Date]],2)-WEEKNUM(DATE(YEAR(datos_siembra[[#This Row],[Date]]),MONTH(datos_siembra[[#This Row],[Date]]),1))+1</f>
        <v>2</v>
      </c>
      <c r="S3476">
        <f>MONTH(datos_siembra[[#This Row],[Date]])</f>
        <v>10</v>
      </c>
      <c r="T3476" t="str" cm="1">
        <f t="array" ref="T3476">_xlfn.IFS(AND(N3476&lt;= 22, S3476=9), "SOWING",AND(N3476&lt;= 28, S3476=9), "COVERAGE",AND(N3476&lt;= 30, S3476=9), "FLUSH",AND(N3476&lt;= 11, S3476=10), "FLUSH",AND(N3476&lt;= 21, S3476=10), "PRODUCTION")</f>
        <v>FLUSH</v>
      </c>
      <c r="U3476">
        <f>HOUR(datos_siembra[[#This Row],[Hour]])</f>
        <v>22</v>
      </c>
      <c r="V3476" cm="1">
        <f t="array" ref="V3476">_xlfn.IFS(AND(N3476&lt;= 22, S3476=9), N3476-7,AND(N3476&lt;= 28, S3476=9), N3476-25,AND(N3476&lt;= 30, S3476=9), N3476-28,AND(N3476&lt;= 11, S3476=10), N3476+2,AND(N3476&lt;= 21, S3476=10), N3476-11)</f>
        <v>12</v>
      </c>
    </row>
    <row r="3477" spans="1:22" x14ac:dyDescent="0.35">
      <c r="A3477" s="4">
        <v>45575</v>
      </c>
      <c r="B3477" s="5">
        <v>0.94143518518518521</v>
      </c>
      <c r="C3477">
        <v>71</v>
      </c>
      <c r="D3477">
        <v>68.5</v>
      </c>
      <c r="E3477">
        <v>75.099999999999994</v>
      </c>
      <c r="F3477">
        <v>69.900000000000006</v>
      </c>
      <c r="G3477">
        <v>0</v>
      </c>
      <c r="H3477">
        <v>0</v>
      </c>
      <c r="I3477">
        <v>0</v>
      </c>
      <c r="J3477">
        <v>0</v>
      </c>
      <c r="K3477">
        <v>62.8</v>
      </c>
      <c r="L3477">
        <v>62.6</v>
      </c>
      <c r="M3477">
        <v>71.209999999999994</v>
      </c>
      <c r="N3477">
        <v>10</v>
      </c>
      <c r="O3477">
        <v>2</v>
      </c>
      <c r="P3477">
        <f>MOD(DAY(datos_siembra[[#This Row],[Date]]),7)</f>
        <v>3</v>
      </c>
      <c r="Q3477" t="str">
        <f>CHOOSE(WEEKDAY(datos_siembra[[#This Row],[Date]],2),"L","M","X","J","V","S","D")</f>
        <v>J</v>
      </c>
      <c r="R3477">
        <f>WEEKNUM(datos_siembra[[#This Row],[Date]],2)-WEEKNUM(DATE(YEAR(datos_siembra[[#This Row],[Date]]),MONTH(datos_siembra[[#This Row],[Date]]),1))+1</f>
        <v>2</v>
      </c>
      <c r="S3477">
        <f>MONTH(datos_siembra[[#This Row],[Date]])</f>
        <v>10</v>
      </c>
      <c r="T3477" t="str" cm="1">
        <f t="array" ref="T3477">_xlfn.IFS(AND(N3477&lt;= 22, S3477=9), "SOWING",AND(N3477&lt;= 28, S3477=9), "COVERAGE",AND(N3477&lt;= 30, S3477=9), "FLUSH",AND(N3477&lt;= 11, S3477=10), "FLUSH",AND(N3477&lt;= 21, S3477=10), "PRODUCTION")</f>
        <v>FLUSH</v>
      </c>
      <c r="U3477">
        <f>HOUR(datos_siembra[[#This Row],[Hour]])</f>
        <v>22</v>
      </c>
      <c r="V3477" cm="1">
        <f t="array" ref="V3477">_xlfn.IFS(AND(N3477&lt;= 22, S3477=9), N3477-7,AND(N3477&lt;= 28, S3477=9), N3477-25,AND(N3477&lt;= 30, S3477=9), N3477-28,AND(N3477&lt;= 11, S3477=10), N3477+2,AND(N3477&lt;= 21, S3477=10), N3477-11)</f>
        <v>12</v>
      </c>
    </row>
    <row r="3478" spans="1:22" x14ac:dyDescent="0.35">
      <c r="A3478" s="4">
        <v>45575</v>
      </c>
      <c r="B3478" s="5">
        <v>0.94837962962962963</v>
      </c>
      <c r="C3478">
        <v>71</v>
      </c>
      <c r="D3478">
        <v>68.599999999999994</v>
      </c>
      <c r="E3478">
        <v>75.400000000000006</v>
      </c>
      <c r="F3478">
        <v>70</v>
      </c>
      <c r="G3478">
        <v>0</v>
      </c>
      <c r="H3478">
        <v>0</v>
      </c>
      <c r="I3478">
        <v>0</v>
      </c>
      <c r="J3478">
        <v>0</v>
      </c>
      <c r="K3478">
        <v>62.8</v>
      </c>
      <c r="L3478">
        <v>62.5</v>
      </c>
      <c r="M3478">
        <v>71.180000000000007</v>
      </c>
      <c r="N3478">
        <v>10</v>
      </c>
      <c r="O3478">
        <v>2</v>
      </c>
      <c r="P3478">
        <f>MOD(DAY(datos_siembra[[#This Row],[Date]]),7)</f>
        <v>3</v>
      </c>
      <c r="Q3478" t="str">
        <f>CHOOSE(WEEKDAY(datos_siembra[[#This Row],[Date]],2),"L","M","X","J","V","S","D")</f>
        <v>J</v>
      </c>
      <c r="R3478">
        <f>WEEKNUM(datos_siembra[[#This Row],[Date]],2)-WEEKNUM(DATE(YEAR(datos_siembra[[#This Row],[Date]]),MONTH(datos_siembra[[#This Row],[Date]]),1))+1</f>
        <v>2</v>
      </c>
      <c r="S3478">
        <f>MONTH(datos_siembra[[#This Row],[Date]])</f>
        <v>10</v>
      </c>
      <c r="T3478" t="str" cm="1">
        <f t="array" ref="T3478">_xlfn.IFS(AND(N3478&lt;= 22, S3478=9), "SOWING",AND(N3478&lt;= 28, S3478=9), "COVERAGE",AND(N3478&lt;= 30, S3478=9), "FLUSH",AND(N3478&lt;= 11, S3478=10), "FLUSH",AND(N3478&lt;= 21, S3478=10), "PRODUCTION")</f>
        <v>FLUSH</v>
      </c>
      <c r="U3478">
        <f>HOUR(datos_siembra[[#This Row],[Hour]])</f>
        <v>22</v>
      </c>
      <c r="V3478" cm="1">
        <f t="array" ref="V3478">_xlfn.IFS(AND(N3478&lt;= 22, S3478=9), N3478-7,AND(N3478&lt;= 28, S3478=9), N3478-25,AND(N3478&lt;= 30, S3478=9), N3478-28,AND(N3478&lt;= 11, S3478=10), N3478+2,AND(N3478&lt;= 21, S3478=10), N3478-11)</f>
        <v>12</v>
      </c>
    </row>
    <row r="3479" spans="1:22" x14ac:dyDescent="0.35">
      <c r="A3479" s="4">
        <v>45575</v>
      </c>
      <c r="B3479" s="5">
        <v>0.95532407407407405</v>
      </c>
      <c r="C3479">
        <v>71</v>
      </c>
      <c r="D3479">
        <v>68.599999999999994</v>
      </c>
      <c r="E3479">
        <v>75.3</v>
      </c>
      <c r="F3479">
        <v>70.099999999999994</v>
      </c>
      <c r="G3479">
        <v>0</v>
      </c>
      <c r="H3479">
        <v>0</v>
      </c>
      <c r="I3479">
        <v>0</v>
      </c>
      <c r="J3479">
        <v>0</v>
      </c>
      <c r="K3479">
        <v>62.8</v>
      </c>
      <c r="L3479">
        <v>62.5</v>
      </c>
      <c r="M3479">
        <v>71.23</v>
      </c>
      <c r="N3479">
        <v>10</v>
      </c>
      <c r="O3479">
        <v>2</v>
      </c>
      <c r="P3479">
        <f>MOD(DAY(datos_siembra[[#This Row],[Date]]),7)</f>
        <v>3</v>
      </c>
      <c r="Q3479" t="str">
        <f>CHOOSE(WEEKDAY(datos_siembra[[#This Row],[Date]],2),"L","M","X","J","V","S","D")</f>
        <v>J</v>
      </c>
      <c r="R3479">
        <f>WEEKNUM(datos_siembra[[#This Row],[Date]],2)-WEEKNUM(DATE(YEAR(datos_siembra[[#This Row],[Date]]),MONTH(datos_siembra[[#This Row],[Date]]),1))+1</f>
        <v>2</v>
      </c>
      <c r="S3479">
        <f>MONTH(datos_siembra[[#This Row],[Date]])</f>
        <v>10</v>
      </c>
      <c r="T3479" t="str" cm="1">
        <f t="array" ref="T3479">_xlfn.IFS(AND(N3479&lt;= 22, S3479=9), "SOWING",AND(N3479&lt;= 28, S3479=9), "COVERAGE",AND(N3479&lt;= 30, S3479=9), "FLUSH",AND(N3479&lt;= 11, S3479=10), "FLUSH",AND(N3479&lt;= 21, S3479=10), "PRODUCTION")</f>
        <v>FLUSH</v>
      </c>
      <c r="U3479">
        <f>HOUR(datos_siembra[[#This Row],[Hour]])</f>
        <v>22</v>
      </c>
      <c r="V3479" cm="1">
        <f t="array" ref="V3479">_xlfn.IFS(AND(N3479&lt;= 22, S3479=9), N3479-7,AND(N3479&lt;= 28, S3479=9), N3479-25,AND(N3479&lt;= 30, S3479=9), N3479-28,AND(N3479&lt;= 11, S3479=10), N3479+2,AND(N3479&lt;= 21, S3479=10), N3479-11)</f>
        <v>12</v>
      </c>
    </row>
    <row r="3480" spans="1:22" x14ac:dyDescent="0.35">
      <c r="A3480" s="4">
        <v>45575</v>
      </c>
      <c r="B3480" s="5">
        <v>0.96228009259259262</v>
      </c>
      <c r="C3480">
        <v>71.099999999999994</v>
      </c>
      <c r="D3480">
        <v>68.599999999999994</v>
      </c>
      <c r="E3480">
        <v>75.400000000000006</v>
      </c>
      <c r="F3480">
        <v>70</v>
      </c>
      <c r="G3480">
        <v>0</v>
      </c>
      <c r="H3480">
        <v>0</v>
      </c>
      <c r="I3480">
        <v>0</v>
      </c>
      <c r="J3480">
        <v>0</v>
      </c>
      <c r="K3480">
        <v>62.7</v>
      </c>
      <c r="L3480">
        <v>62.5</v>
      </c>
      <c r="M3480">
        <v>71.290000000000006</v>
      </c>
      <c r="N3480">
        <v>10</v>
      </c>
      <c r="O3480">
        <v>2</v>
      </c>
      <c r="P3480">
        <f>MOD(DAY(datos_siembra[[#This Row],[Date]]),7)</f>
        <v>3</v>
      </c>
      <c r="Q3480" t="str">
        <f>CHOOSE(WEEKDAY(datos_siembra[[#This Row],[Date]],2),"L","M","X","J","V","S","D")</f>
        <v>J</v>
      </c>
      <c r="R3480">
        <f>WEEKNUM(datos_siembra[[#This Row],[Date]],2)-WEEKNUM(DATE(YEAR(datos_siembra[[#This Row],[Date]]),MONTH(datos_siembra[[#This Row],[Date]]),1))+1</f>
        <v>2</v>
      </c>
      <c r="S3480">
        <f>MONTH(datos_siembra[[#This Row],[Date]])</f>
        <v>10</v>
      </c>
      <c r="T3480" t="str" cm="1">
        <f t="array" ref="T3480">_xlfn.IFS(AND(N3480&lt;= 22, S3480=9), "SOWING",AND(N3480&lt;= 28, S3480=9), "COVERAGE",AND(N3480&lt;= 30, S3480=9), "FLUSH",AND(N3480&lt;= 11, S3480=10), "FLUSH",AND(N3480&lt;= 21, S3480=10), "PRODUCTION")</f>
        <v>FLUSH</v>
      </c>
      <c r="U3480">
        <f>HOUR(datos_siembra[[#This Row],[Hour]])</f>
        <v>23</v>
      </c>
      <c r="V3480" cm="1">
        <f t="array" ref="V3480">_xlfn.IFS(AND(N3480&lt;= 22, S3480=9), N3480-7,AND(N3480&lt;= 28, S3480=9), N3480-25,AND(N3480&lt;= 30, S3480=9), N3480-28,AND(N3480&lt;= 11, S3480=10), N3480+2,AND(N3480&lt;= 21, S3480=10), N3480-11)</f>
        <v>12</v>
      </c>
    </row>
    <row r="3481" spans="1:22" x14ac:dyDescent="0.35">
      <c r="A3481" s="4">
        <v>45575</v>
      </c>
      <c r="B3481" s="5">
        <v>0.96922453703703704</v>
      </c>
      <c r="C3481">
        <v>71.3</v>
      </c>
      <c r="D3481">
        <v>68.599999999999994</v>
      </c>
      <c r="E3481">
        <v>75.400000000000006</v>
      </c>
      <c r="F3481">
        <v>70.099999999999994</v>
      </c>
      <c r="G3481">
        <v>0</v>
      </c>
      <c r="H3481">
        <v>0</v>
      </c>
      <c r="I3481">
        <v>0</v>
      </c>
      <c r="J3481">
        <v>0</v>
      </c>
      <c r="K3481">
        <v>62.8</v>
      </c>
      <c r="L3481">
        <v>62.5</v>
      </c>
      <c r="M3481">
        <v>71.319999999999993</v>
      </c>
      <c r="N3481">
        <v>10</v>
      </c>
      <c r="O3481">
        <v>2</v>
      </c>
      <c r="P3481">
        <f>MOD(DAY(datos_siembra[[#This Row],[Date]]),7)</f>
        <v>3</v>
      </c>
      <c r="Q3481" t="str">
        <f>CHOOSE(WEEKDAY(datos_siembra[[#This Row],[Date]],2),"L","M","X","J","V","S","D")</f>
        <v>J</v>
      </c>
      <c r="R3481">
        <f>WEEKNUM(datos_siembra[[#This Row],[Date]],2)-WEEKNUM(DATE(YEAR(datos_siembra[[#This Row],[Date]]),MONTH(datos_siembra[[#This Row],[Date]]),1))+1</f>
        <v>2</v>
      </c>
      <c r="S3481">
        <f>MONTH(datos_siembra[[#This Row],[Date]])</f>
        <v>10</v>
      </c>
      <c r="T3481" t="str" cm="1">
        <f t="array" ref="T3481">_xlfn.IFS(AND(N3481&lt;= 22, S3481=9), "SOWING",AND(N3481&lt;= 28, S3481=9), "COVERAGE",AND(N3481&lt;= 30, S3481=9), "FLUSH",AND(N3481&lt;= 11, S3481=10), "FLUSH",AND(N3481&lt;= 21, S3481=10), "PRODUCTION")</f>
        <v>FLUSH</v>
      </c>
      <c r="U3481">
        <f>HOUR(datos_siembra[[#This Row],[Hour]])</f>
        <v>23</v>
      </c>
      <c r="V3481" cm="1">
        <f t="array" ref="V3481">_xlfn.IFS(AND(N3481&lt;= 22, S3481=9), N3481-7,AND(N3481&lt;= 28, S3481=9), N3481-25,AND(N3481&lt;= 30, S3481=9), N3481-28,AND(N3481&lt;= 11, S3481=10), N3481+2,AND(N3481&lt;= 21, S3481=10), N3481-11)</f>
        <v>12</v>
      </c>
    </row>
    <row r="3482" spans="1:22" x14ac:dyDescent="0.35">
      <c r="A3482" s="4">
        <v>45575</v>
      </c>
      <c r="B3482" s="5">
        <v>0.97616898148148146</v>
      </c>
      <c r="C3482">
        <v>71.3</v>
      </c>
      <c r="D3482">
        <v>68.7</v>
      </c>
      <c r="E3482">
        <v>75.400000000000006</v>
      </c>
      <c r="F3482">
        <v>70</v>
      </c>
      <c r="G3482">
        <v>0</v>
      </c>
      <c r="H3482">
        <v>0</v>
      </c>
      <c r="I3482">
        <v>0</v>
      </c>
      <c r="J3482">
        <v>0</v>
      </c>
      <c r="K3482">
        <v>62.8</v>
      </c>
      <c r="L3482">
        <v>62.5</v>
      </c>
      <c r="M3482">
        <v>71.260000000000005</v>
      </c>
      <c r="N3482">
        <v>10</v>
      </c>
      <c r="O3482">
        <v>2</v>
      </c>
      <c r="P3482">
        <f>MOD(DAY(datos_siembra[[#This Row],[Date]]),7)</f>
        <v>3</v>
      </c>
      <c r="Q3482" t="str">
        <f>CHOOSE(WEEKDAY(datos_siembra[[#This Row],[Date]],2),"L","M","X","J","V","S","D")</f>
        <v>J</v>
      </c>
      <c r="R3482">
        <f>WEEKNUM(datos_siembra[[#This Row],[Date]],2)-WEEKNUM(DATE(YEAR(datos_siembra[[#This Row],[Date]]),MONTH(datos_siembra[[#This Row],[Date]]),1))+1</f>
        <v>2</v>
      </c>
      <c r="S3482">
        <f>MONTH(datos_siembra[[#This Row],[Date]])</f>
        <v>10</v>
      </c>
      <c r="T3482" t="str" cm="1">
        <f t="array" ref="T3482">_xlfn.IFS(AND(N3482&lt;= 22, S3482=9), "SOWING",AND(N3482&lt;= 28, S3482=9), "COVERAGE",AND(N3482&lt;= 30, S3482=9), "FLUSH",AND(N3482&lt;= 11, S3482=10), "FLUSH",AND(N3482&lt;= 21, S3482=10), "PRODUCTION")</f>
        <v>FLUSH</v>
      </c>
      <c r="U3482">
        <f>HOUR(datos_siembra[[#This Row],[Hour]])</f>
        <v>23</v>
      </c>
      <c r="V3482" cm="1">
        <f t="array" ref="V3482">_xlfn.IFS(AND(N3482&lt;= 22, S3482=9), N3482-7,AND(N3482&lt;= 28, S3482=9), N3482-25,AND(N3482&lt;= 30, S3482=9), N3482-28,AND(N3482&lt;= 11, S3482=10), N3482+2,AND(N3482&lt;= 21, S3482=10), N3482-11)</f>
        <v>12</v>
      </c>
    </row>
    <row r="3483" spans="1:22" x14ac:dyDescent="0.35">
      <c r="A3483" s="4">
        <v>45575</v>
      </c>
      <c r="B3483" s="5">
        <v>0.98312500000000003</v>
      </c>
      <c r="C3483">
        <v>71.400000000000006</v>
      </c>
      <c r="D3483">
        <v>68.599999999999994</v>
      </c>
      <c r="E3483">
        <v>75.400000000000006</v>
      </c>
      <c r="F3483">
        <v>70</v>
      </c>
      <c r="G3483">
        <v>0</v>
      </c>
      <c r="H3483">
        <v>0</v>
      </c>
      <c r="I3483">
        <v>0</v>
      </c>
      <c r="J3483">
        <v>0</v>
      </c>
      <c r="K3483">
        <v>62.8</v>
      </c>
      <c r="L3483">
        <v>62.5</v>
      </c>
      <c r="M3483">
        <v>71.37</v>
      </c>
      <c r="N3483">
        <v>10</v>
      </c>
      <c r="O3483">
        <v>2</v>
      </c>
      <c r="P3483">
        <f>MOD(DAY(datos_siembra[[#This Row],[Date]]),7)</f>
        <v>3</v>
      </c>
      <c r="Q3483" t="str">
        <f>CHOOSE(WEEKDAY(datos_siembra[[#This Row],[Date]],2),"L","M","X","J","V","S","D")</f>
        <v>J</v>
      </c>
      <c r="R3483">
        <f>WEEKNUM(datos_siembra[[#This Row],[Date]],2)-WEEKNUM(DATE(YEAR(datos_siembra[[#This Row],[Date]]),MONTH(datos_siembra[[#This Row],[Date]]),1))+1</f>
        <v>2</v>
      </c>
      <c r="S3483">
        <f>MONTH(datos_siembra[[#This Row],[Date]])</f>
        <v>10</v>
      </c>
      <c r="T3483" t="str" cm="1">
        <f t="array" ref="T3483">_xlfn.IFS(AND(N3483&lt;= 22, S3483=9), "SOWING",AND(N3483&lt;= 28, S3483=9), "COVERAGE",AND(N3483&lt;= 30, S3483=9), "FLUSH",AND(N3483&lt;= 11, S3483=10), "FLUSH",AND(N3483&lt;= 21, S3483=10), "PRODUCTION")</f>
        <v>FLUSH</v>
      </c>
      <c r="U3483">
        <f>HOUR(datos_siembra[[#This Row],[Hour]])</f>
        <v>23</v>
      </c>
      <c r="V3483" cm="1">
        <f t="array" ref="V3483">_xlfn.IFS(AND(N3483&lt;= 22, S3483=9), N3483-7,AND(N3483&lt;= 28, S3483=9), N3483-25,AND(N3483&lt;= 30, S3483=9), N3483-28,AND(N3483&lt;= 11, S3483=10), N3483+2,AND(N3483&lt;= 21, S3483=10), N3483-11)</f>
        <v>12</v>
      </c>
    </row>
    <row r="3484" spans="1:22" x14ac:dyDescent="0.35">
      <c r="A3484" s="4">
        <v>45575</v>
      </c>
      <c r="B3484" s="5">
        <v>0.99006944444444445</v>
      </c>
      <c r="C3484">
        <v>71.3</v>
      </c>
      <c r="D3484">
        <v>68.599999999999994</v>
      </c>
      <c r="E3484">
        <v>75.5</v>
      </c>
      <c r="F3484">
        <v>70.099999999999994</v>
      </c>
      <c r="G3484">
        <v>0</v>
      </c>
      <c r="H3484">
        <v>0</v>
      </c>
      <c r="I3484">
        <v>0</v>
      </c>
      <c r="J3484">
        <v>0</v>
      </c>
      <c r="K3484">
        <v>62.8</v>
      </c>
      <c r="L3484">
        <v>62.6</v>
      </c>
      <c r="M3484">
        <v>71.400000000000006</v>
      </c>
      <c r="N3484">
        <v>10</v>
      </c>
      <c r="O3484">
        <v>2</v>
      </c>
      <c r="P3484">
        <f>MOD(DAY(datos_siembra[[#This Row],[Date]]),7)</f>
        <v>3</v>
      </c>
      <c r="Q3484" t="str">
        <f>CHOOSE(WEEKDAY(datos_siembra[[#This Row],[Date]],2),"L","M","X","J","V","S","D")</f>
        <v>J</v>
      </c>
      <c r="R3484">
        <f>WEEKNUM(datos_siembra[[#This Row],[Date]],2)-WEEKNUM(DATE(YEAR(datos_siembra[[#This Row],[Date]]),MONTH(datos_siembra[[#This Row],[Date]]),1))+1</f>
        <v>2</v>
      </c>
      <c r="S3484">
        <f>MONTH(datos_siembra[[#This Row],[Date]])</f>
        <v>10</v>
      </c>
      <c r="T3484" t="str" cm="1">
        <f t="array" ref="T3484">_xlfn.IFS(AND(N3484&lt;= 22, S3484=9), "SOWING",AND(N3484&lt;= 28, S3484=9), "COVERAGE",AND(N3484&lt;= 30, S3484=9), "FLUSH",AND(N3484&lt;= 11, S3484=10), "FLUSH",AND(N3484&lt;= 21, S3484=10), "PRODUCTION")</f>
        <v>FLUSH</v>
      </c>
      <c r="U3484">
        <f>HOUR(datos_siembra[[#This Row],[Hour]])</f>
        <v>23</v>
      </c>
      <c r="V3484" cm="1">
        <f t="array" ref="V3484">_xlfn.IFS(AND(N3484&lt;= 22, S3484=9), N3484-7,AND(N3484&lt;= 28, S3484=9), N3484-25,AND(N3484&lt;= 30, S3484=9), N3484-28,AND(N3484&lt;= 11, S3484=10), N3484+2,AND(N3484&lt;= 21, S3484=10), N3484-11)</f>
        <v>12</v>
      </c>
    </row>
    <row r="3485" spans="1:22" x14ac:dyDescent="0.35">
      <c r="A3485" s="4">
        <v>45575</v>
      </c>
      <c r="B3485" s="5">
        <v>0.99701388888888887</v>
      </c>
      <c r="C3485">
        <v>71.099999999999994</v>
      </c>
      <c r="D3485">
        <v>68.599999999999994</v>
      </c>
      <c r="E3485">
        <v>75.599999999999994</v>
      </c>
      <c r="F3485">
        <v>70.099999999999994</v>
      </c>
      <c r="G3485">
        <v>0</v>
      </c>
      <c r="H3485">
        <v>0</v>
      </c>
      <c r="I3485">
        <v>0</v>
      </c>
      <c r="J3485">
        <v>0</v>
      </c>
      <c r="K3485">
        <v>62.8</v>
      </c>
      <c r="L3485">
        <v>62.7</v>
      </c>
      <c r="M3485">
        <v>71.37</v>
      </c>
      <c r="N3485">
        <v>10</v>
      </c>
      <c r="O3485">
        <v>2</v>
      </c>
      <c r="P3485">
        <f>MOD(DAY(datos_siembra[[#This Row],[Date]]),7)</f>
        <v>3</v>
      </c>
      <c r="Q3485" t="str">
        <f>CHOOSE(WEEKDAY(datos_siembra[[#This Row],[Date]],2),"L","M","X","J","V","S","D")</f>
        <v>J</v>
      </c>
      <c r="R3485">
        <f>WEEKNUM(datos_siembra[[#This Row],[Date]],2)-WEEKNUM(DATE(YEAR(datos_siembra[[#This Row],[Date]]),MONTH(datos_siembra[[#This Row],[Date]]),1))+1</f>
        <v>2</v>
      </c>
      <c r="S3485">
        <f>MONTH(datos_siembra[[#This Row],[Date]])</f>
        <v>10</v>
      </c>
      <c r="T3485" t="str" cm="1">
        <f t="array" ref="T3485">_xlfn.IFS(AND(N3485&lt;= 22, S3485=9), "SOWING",AND(N3485&lt;= 28, S3485=9), "COVERAGE",AND(N3485&lt;= 30, S3485=9), "FLUSH",AND(N3485&lt;= 11, S3485=10), "FLUSH",AND(N3485&lt;= 21, S3485=10), "PRODUCTION")</f>
        <v>FLUSH</v>
      </c>
      <c r="U3485">
        <f>HOUR(datos_siembra[[#This Row],[Hour]])</f>
        <v>23</v>
      </c>
      <c r="V3485" cm="1">
        <f t="array" ref="V3485">_xlfn.IFS(AND(N3485&lt;= 22, S3485=9), N3485-7,AND(N3485&lt;= 28, S3485=9), N3485-25,AND(N3485&lt;= 30, S3485=9), N3485-28,AND(N3485&lt;= 11, S3485=10), N3485+2,AND(N3485&lt;= 21, S3485=10), N3485-11)</f>
        <v>12</v>
      </c>
    </row>
    <row r="3486" spans="1:22" x14ac:dyDescent="0.35">
      <c r="A3486" s="4">
        <v>45576</v>
      </c>
      <c r="B3486" s="5">
        <v>3.9583333333333337E-3</v>
      </c>
      <c r="C3486">
        <v>71.099999999999994</v>
      </c>
      <c r="D3486">
        <v>68.599999999999994</v>
      </c>
      <c r="E3486">
        <v>75.400000000000006</v>
      </c>
      <c r="F3486">
        <v>70.3</v>
      </c>
      <c r="G3486">
        <v>0</v>
      </c>
      <c r="H3486">
        <v>0</v>
      </c>
      <c r="I3486">
        <v>0</v>
      </c>
      <c r="J3486">
        <v>0</v>
      </c>
      <c r="K3486">
        <v>62.9</v>
      </c>
      <c r="L3486">
        <v>62.8</v>
      </c>
      <c r="M3486">
        <v>71.400000000000006</v>
      </c>
      <c r="N3486">
        <v>11</v>
      </c>
      <c r="O3486">
        <v>3</v>
      </c>
      <c r="P3486">
        <f>MOD(DAY(datos_siembra[[#This Row],[Date]]),7)</f>
        <v>4</v>
      </c>
      <c r="Q3486" t="str">
        <f>CHOOSE(WEEKDAY(datos_siembra[[#This Row],[Date]],2),"L","M","X","J","V","S","D")</f>
        <v>V</v>
      </c>
      <c r="R3486">
        <f>WEEKNUM(datos_siembra[[#This Row],[Date]],2)-WEEKNUM(DATE(YEAR(datos_siembra[[#This Row],[Date]]),MONTH(datos_siembra[[#This Row],[Date]]),1))+1</f>
        <v>2</v>
      </c>
      <c r="S3486">
        <f>MONTH(datos_siembra[[#This Row],[Date]])</f>
        <v>10</v>
      </c>
      <c r="T3486" t="str" cm="1">
        <f t="array" ref="T3486">_xlfn.IFS(AND(N3486&lt;= 22, S3486=9), "SOWING",AND(N3486&lt;= 28, S3486=9), "COVERAGE",AND(N3486&lt;= 30, S3486=9), "FLUSH",AND(N3486&lt;= 11, S3486=10), "FLUSH",AND(N3486&lt;= 21, S3486=10), "PRODUCTION")</f>
        <v>FLUSH</v>
      </c>
      <c r="U3486">
        <f>HOUR(datos_siembra[[#This Row],[Hour]])</f>
        <v>0</v>
      </c>
      <c r="V3486" cm="1">
        <f t="array" ref="V3486">_xlfn.IFS(AND(N3486&lt;= 22, S3486=9), N3486-7,AND(N3486&lt;= 28, S3486=9), N3486-25,AND(N3486&lt;= 30, S3486=9), N3486-28,AND(N3486&lt;= 11, S3486=10), N3486+2,AND(N3486&lt;= 21, S3486=10), N3486-11)</f>
        <v>13</v>
      </c>
    </row>
    <row r="3487" spans="1:22" x14ac:dyDescent="0.35">
      <c r="A3487" s="4">
        <v>45576</v>
      </c>
      <c r="B3487" s="5">
        <v>1.0914351851851852E-2</v>
      </c>
      <c r="C3487">
        <v>71.3</v>
      </c>
      <c r="D3487">
        <v>68.7</v>
      </c>
      <c r="E3487">
        <v>75.599999999999994</v>
      </c>
      <c r="F3487">
        <v>70.099999999999994</v>
      </c>
      <c r="G3487">
        <v>0</v>
      </c>
      <c r="H3487">
        <v>0</v>
      </c>
      <c r="I3487">
        <v>0</v>
      </c>
      <c r="J3487">
        <v>0</v>
      </c>
      <c r="K3487">
        <v>62.9</v>
      </c>
      <c r="L3487">
        <v>62.8</v>
      </c>
      <c r="M3487">
        <v>71.52</v>
      </c>
      <c r="N3487">
        <v>11</v>
      </c>
      <c r="O3487">
        <v>3</v>
      </c>
      <c r="P3487">
        <f>MOD(DAY(datos_siembra[[#This Row],[Date]]),7)</f>
        <v>4</v>
      </c>
      <c r="Q3487" t="str">
        <f>CHOOSE(WEEKDAY(datos_siembra[[#This Row],[Date]],2),"L","M","X","J","V","S","D")</f>
        <v>V</v>
      </c>
      <c r="R3487">
        <f>WEEKNUM(datos_siembra[[#This Row],[Date]],2)-WEEKNUM(DATE(YEAR(datos_siembra[[#This Row],[Date]]),MONTH(datos_siembra[[#This Row],[Date]]),1))+1</f>
        <v>2</v>
      </c>
      <c r="S3487">
        <f>MONTH(datos_siembra[[#This Row],[Date]])</f>
        <v>10</v>
      </c>
      <c r="T3487" t="str" cm="1">
        <f t="array" ref="T3487">_xlfn.IFS(AND(N3487&lt;= 22, S3487=9), "SOWING",AND(N3487&lt;= 28, S3487=9), "COVERAGE",AND(N3487&lt;= 30, S3487=9), "FLUSH",AND(N3487&lt;= 11, S3487=10), "FLUSH",AND(N3487&lt;= 21, S3487=10), "PRODUCTION")</f>
        <v>FLUSH</v>
      </c>
      <c r="U3487">
        <f>HOUR(datos_siembra[[#This Row],[Hour]])</f>
        <v>0</v>
      </c>
      <c r="V3487" cm="1">
        <f t="array" ref="V3487">_xlfn.IFS(AND(N3487&lt;= 22, S3487=9), N3487-7,AND(N3487&lt;= 28, S3487=9), N3487-25,AND(N3487&lt;= 30, S3487=9), N3487-28,AND(N3487&lt;= 11, S3487=10), N3487+2,AND(N3487&lt;= 21, S3487=10), N3487-11)</f>
        <v>13</v>
      </c>
    </row>
    <row r="3488" spans="1:22" x14ac:dyDescent="0.35">
      <c r="A3488" s="4">
        <v>45576</v>
      </c>
      <c r="B3488" s="5">
        <v>1.7858796296296296E-2</v>
      </c>
      <c r="C3488">
        <v>71.3</v>
      </c>
      <c r="D3488">
        <v>68.7</v>
      </c>
      <c r="E3488">
        <v>75.599999999999994</v>
      </c>
      <c r="F3488">
        <v>70.099999999999994</v>
      </c>
      <c r="G3488">
        <v>0</v>
      </c>
      <c r="H3488">
        <v>0</v>
      </c>
      <c r="I3488">
        <v>0</v>
      </c>
      <c r="J3488">
        <v>0</v>
      </c>
      <c r="K3488">
        <v>63</v>
      </c>
      <c r="L3488">
        <v>62.9</v>
      </c>
      <c r="M3488">
        <v>71.52</v>
      </c>
      <c r="N3488">
        <v>11</v>
      </c>
      <c r="O3488">
        <v>3</v>
      </c>
      <c r="P3488">
        <f>MOD(DAY(datos_siembra[[#This Row],[Date]]),7)</f>
        <v>4</v>
      </c>
      <c r="Q3488" t="str">
        <f>CHOOSE(WEEKDAY(datos_siembra[[#This Row],[Date]],2),"L","M","X","J","V","S","D")</f>
        <v>V</v>
      </c>
      <c r="R3488">
        <f>WEEKNUM(datos_siembra[[#This Row],[Date]],2)-WEEKNUM(DATE(YEAR(datos_siembra[[#This Row],[Date]]),MONTH(datos_siembra[[#This Row],[Date]]),1))+1</f>
        <v>2</v>
      </c>
      <c r="S3488">
        <f>MONTH(datos_siembra[[#This Row],[Date]])</f>
        <v>10</v>
      </c>
      <c r="T3488" t="str" cm="1">
        <f t="array" ref="T3488">_xlfn.IFS(AND(N3488&lt;= 22, S3488=9), "SOWING",AND(N3488&lt;= 28, S3488=9), "COVERAGE",AND(N3488&lt;= 30, S3488=9), "FLUSH",AND(N3488&lt;= 11, S3488=10), "FLUSH",AND(N3488&lt;= 21, S3488=10), "PRODUCTION")</f>
        <v>FLUSH</v>
      </c>
      <c r="U3488">
        <f>HOUR(datos_siembra[[#This Row],[Hour]])</f>
        <v>0</v>
      </c>
      <c r="V3488" cm="1">
        <f t="array" ref="V3488">_xlfn.IFS(AND(N3488&lt;= 22, S3488=9), N3488-7,AND(N3488&lt;= 28, S3488=9), N3488-25,AND(N3488&lt;= 30, S3488=9), N3488-28,AND(N3488&lt;= 11, S3488=10), N3488+2,AND(N3488&lt;= 21, S3488=10), N3488-11)</f>
        <v>13</v>
      </c>
    </row>
    <row r="3489" spans="1:22" x14ac:dyDescent="0.35">
      <c r="A3489" s="4">
        <v>45576</v>
      </c>
      <c r="B3489" s="5">
        <v>2.480324074074074E-2</v>
      </c>
      <c r="C3489">
        <v>71.3</v>
      </c>
      <c r="D3489">
        <v>68.7</v>
      </c>
      <c r="E3489">
        <v>75.599999999999994</v>
      </c>
      <c r="F3489">
        <v>70</v>
      </c>
      <c r="G3489">
        <v>0</v>
      </c>
      <c r="H3489">
        <v>0</v>
      </c>
      <c r="I3489">
        <v>0</v>
      </c>
      <c r="J3489">
        <v>0</v>
      </c>
      <c r="K3489">
        <v>62.9</v>
      </c>
      <c r="L3489">
        <v>62.9</v>
      </c>
      <c r="M3489">
        <v>71.52</v>
      </c>
      <c r="N3489">
        <v>11</v>
      </c>
      <c r="O3489">
        <v>3</v>
      </c>
      <c r="P3489">
        <f>MOD(DAY(datos_siembra[[#This Row],[Date]]),7)</f>
        <v>4</v>
      </c>
      <c r="Q3489" t="str">
        <f>CHOOSE(WEEKDAY(datos_siembra[[#This Row],[Date]],2),"L","M","X","J","V","S","D")</f>
        <v>V</v>
      </c>
      <c r="R3489">
        <f>WEEKNUM(datos_siembra[[#This Row],[Date]],2)-WEEKNUM(DATE(YEAR(datos_siembra[[#This Row],[Date]]),MONTH(datos_siembra[[#This Row],[Date]]),1))+1</f>
        <v>2</v>
      </c>
      <c r="S3489">
        <f>MONTH(datos_siembra[[#This Row],[Date]])</f>
        <v>10</v>
      </c>
      <c r="T3489" t="str" cm="1">
        <f t="array" ref="T3489">_xlfn.IFS(AND(N3489&lt;= 22, S3489=9), "SOWING",AND(N3489&lt;= 28, S3489=9), "COVERAGE",AND(N3489&lt;= 30, S3489=9), "FLUSH",AND(N3489&lt;= 11, S3489=10), "FLUSH",AND(N3489&lt;= 21, S3489=10), "PRODUCTION")</f>
        <v>FLUSH</v>
      </c>
      <c r="U3489">
        <f>HOUR(datos_siembra[[#This Row],[Hour]])</f>
        <v>0</v>
      </c>
      <c r="V3489" cm="1">
        <f t="array" ref="V3489">_xlfn.IFS(AND(N3489&lt;= 22, S3489=9), N3489-7,AND(N3489&lt;= 28, S3489=9), N3489-25,AND(N3489&lt;= 30, S3489=9), N3489-28,AND(N3489&lt;= 11, S3489=10), N3489+2,AND(N3489&lt;= 21, S3489=10), N3489-11)</f>
        <v>13</v>
      </c>
    </row>
    <row r="3490" spans="1:22" x14ac:dyDescent="0.35">
      <c r="A3490" s="4">
        <v>45576</v>
      </c>
      <c r="B3490" s="5">
        <v>3.1759259259259258E-2</v>
      </c>
      <c r="C3490">
        <v>71.599999999999994</v>
      </c>
      <c r="D3490">
        <v>68.8</v>
      </c>
      <c r="E3490">
        <v>75.900000000000006</v>
      </c>
      <c r="F3490">
        <v>70.099999999999994</v>
      </c>
      <c r="G3490">
        <v>0</v>
      </c>
      <c r="H3490">
        <v>0</v>
      </c>
      <c r="I3490">
        <v>0</v>
      </c>
      <c r="J3490">
        <v>0</v>
      </c>
      <c r="K3490">
        <v>63</v>
      </c>
      <c r="L3490">
        <v>63</v>
      </c>
      <c r="M3490">
        <v>71.459999999999994</v>
      </c>
      <c r="N3490">
        <v>11</v>
      </c>
      <c r="O3490">
        <v>3</v>
      </c>
      <c r="P3490">
        <f>MOD(DAY(datos_siembra[[#This Row],[Date]]),7)</f>
        <v>4</v>
      </c>
      <c r="Q3490" t="str">
        <f>CHOOSE(WEEKDAY(datos_siembra[[#This Row],[Date]],2),"L","M","X","J","V","S","D")</f>
        <v>V</v>
      </c>
      <c r="R3490">
        <f>WEEKNUM(datos_siembra[[#This Row],[Date]],2)-WEEKNUM(DATE(YEAR(datos_siembra[[#This Row],[Date]]),MONTH(datos_siembra[[#This Row],[Date]]),1))+1</f>
        <v>2</v>
      </c>
      <c r="S3490">
        <f>MONTH(datos_siembra[[#This Row],[Date]])</f>
        <v>10</v>
      </c>
      <c r="T3490" t="str" cm="1">
        <f t="array" ref="T3490">_xlfn.IFS(AND(N3490&lt;= 22, S3490=9), "SOWING",AND(N3490&lt;= 28, S3490=9), "COVERAGE",AND(N3490&lt;= 30, S3490=9), "FLUSH",AND(N3490&lt;= 11, S3490=10), "FLUSH",AND(N3490&lt;= 21, S3490=10), "PRODUCTION")</f>
        <v>FLUSH</v>
      </c>
      <c r="U3490">
        <f>HOUR(datos_siembra[[#This Row],[Hour]])</f>
        <v>0</v>
      </c>
      <c r="V3490" cm="1">
        <f t="array" ref="V3490">_xlfn.IFS(AND(N3490&lt;= 22, S3490=9), N3490-7,AND(N3490&lt;= 28, S3490=9), N3490-25,AND(N3490&lt;= 30, S3490=9), N3490-28,AND(N3490&lt;= 11, S3490=10), N3490+2,AND(N3490&lt;= 21, S3490=10), N3490-11)</f>
        <v>13</v>
      </c>
    </row>
    <row r="3491" spans="1:22" x14ac:dyDescent="0.35">
      <c r="A3491" s="4">
        <v>45576</v>
      </c>
      <c r="B3491" s="5">
        <v>3.8703703703703705E-2</v>
      </c>
      <c r="C3491">
        <v>71.5</v>
      </c>
      <c r="D3491">
        <v>68.8</v>
      </c>
      <c r="E3491">
        <v>75.599999999999994</v>
      </c>
      <c r="F3491">
        <v>70.3</v>
      </c>
      <c r="G3491">
        <v>0</v>
      </c>
      <c r="H3491">
        <v>0</v>
      </c>
      <c r="I3491">
        <v>0</v>
      </c>
      <c r="J3491">
        <v>0</v>
      </c>
      <c r="K3491">
        <v>63.2</v>
      </c>
      <c r="L3491">
        <v>62.9</v>
      </c>
      <c r="M3491">
        <v>71.540000000000006</v>
      </c>
      <c r="N3491">
        <v>11</v>
      </c>
      <c r="O3491">
        <v>3</v>
      </c>
      <c r="P3491">
        <f>MOD(DAY(datos_siembra[[#This Row],[Date]]),7)</f>
        <v>4</v>
      </c>
      <c r="Q3491" t="str">
        <f>CHOOSE(WEEKDAY(datos_siembra[[#This Row],[Date]],2),"L","M","X","J","V","S","D")</f>
        <v>V</v>
      </c>
      <c r="R3491">
        <f>WEEKNUM(datos_siembra[[#This Row],[Date]],2)-WEEKNUM(DATE(YEAR(datos_siembra[[#This Row],[Date]]),MONTH(datos_siembra[[#This Row],[Date]]),1))+1</f>
        <v>2</v>
      </c>
      <c r="S3491">
        <f>MONTH(datos_siembra[[#This Row],[Date]])</f>
        <v>10</v>
      </c>
      <c r="T3491" t="str" cm="1">
        <f t="array" ref="T3491">_xlfn.IFS(AND(N3491&lt;= 22, S3491=9), "SOWING",AND(N3491&lt;= 28, S3491=9), "COVERAGE",AND(N3491&lt;= 30, S3491=9), "FLUSH",AND(N3491&lt;= 11, S3491=10), "FLUSH",AND(N3491&lt;= 21, S3491=10), "PRODUCTION")</f>
        <v>FLUSH</v>
      </c>
      <c r="U3491">
        <f>HOUR(datos_siembra[[#This Row],[Hour]])</f>
        <v>0</v>
      </c>
      <c r="V3491" cm="1">
        <f t="array" ref="V3491">_xlfn.IFS(AND(N3491&lt;= 22, S3491=9), N3491-7,AND(N3491&lt;= 28, S3491=9), N3491-25,AND(N3491&lt;= 30, S3491=9), N3491-28,AND(N3491&lt;= 11, S3491=10), N3491+2,AND(N3491&lt;= 21, S3491=10), N3491-11)</f>
        <v>13</v>
      </c>
    </row>
    <row r="3492" spans="1:22" x14ac:dyDescent="0.35">
      <c r="A3492" s="4">
        <v>45576</v>
      </c>
      <c r="B3492" s="5">
        <v>4.5648148148148146E-2</v>
      </c>
      <c r="C3492">
        <v>71.400000000000006</v>
      </c>
      <c r="D3492">
        <v>68.8</v>
      </c>
      <c r="E3492">
        <v>75.900000000000006</v>
      </c>
      <c r="F3492">
        <v>70.400000000000006</v>
      </c>
      <c r="G3492">
        <v>0</v>
      </c>
      <c r="H3492">
        <v>0</v>
      </c>
      <c r="I3492">
        <v>0</v>
      </c>
      <c r="J3492">
        <v>0</v>
      </c>
      <c r="K3492">
        <v>63.2</v>
      </c>
      <c r="L3492">
        <v>63.2</v>
      </c>
      <c r="M3492">
        <v>71.569999999999993</v>
      </c>
      <c r="N3492">
        <v>11</v>
      </c>
      <c r="O3492">
        <v>3</v>
      </c>
      <c r="P3492">
        <f>MOD(DAY(datos_siembra[[#This Row],[Date]]),7)</f>
        <v>4</v>
      </c>
      <c r="Q3492" t="str">
        <f>CHOOSE(WEEKDAY(datos_siembra[[#This Row],[Date]],2),"L","M","X","J","V","S","D")</f>
        <v>V</v>
      </c>
      <c r="R3492">
        <f>WEEKNUM(datos_siembra[[#This Row],[Date]],2)-WEEKNUM(DATE(YEAR(datos_siembra[[#This Row],[Date]]),MONTH(datos_siembra[[#This Row],[Date]]),1))+1</f>
        <v>2</v>
      </c>
      <c r="S3492">
        <f>MONTH(datos_siembra[[#This Row],[Date]])</f>
        <v>10</v>
      </c>
      <c r="T3492" t="str" cm="1">
        <f t="array" ref="T3492">_xlfn.IFS(AND(N3492&lt;= 22, S3492=9), "SOWING",AND(N3492&lt;= 28, S3492=9), "COVERAGE",AND(N3492&lt;= 30, S3492=9), "FLUSH",AND(N3492&lt;= 11, S3492=10), "FLUSH",AND(N3492&lt;= 21, S3492=10), "PRODUCTION")</f>
        <v>FLUSH</v>
      </c>
      <c r="U3492">
        <f>HOUR(datos_siembra[[#This Row],[Hour]])</f>
        <v>1</v>
      </c>
      <c r="V3492" cm="1">
        <f t="array" ref="V3492">_xlfn.IFS(AND(N3492&lt;= 22, S3492=9), N3492-7,AND(N3492&lt;= 28, S3492=9), N3492-25,AND(N3492&lt;= 30, S3492=9), N3492-28,AND(N3492&lt;= 11, S3492=10), N3492+2,AND(N3492&lt;= 21, S3492=10), N3492-11)</f>
        <v>13</v>
      </c>
    </row>
    <row r="3493" spans="1:22" x14ac:dyDescent="0.35">
      <c r="A3493" s="4">
        <v>45576</v>
      </c>
      <c r="B3493" s="5">
        <v>5.2592592592592594E-2</v>
      </c>
      <c r="C3493">
        <v>71.599999999999994</v>
      </c>
      <c r="D3493">
        <v>68.8</v>
      </c>
      <c r="E3493">
        <v>75.8</v>
      </c>
      <c r="F3493">
        <v>70.5</v>
      </c>
      <c r="G3493">
        <v>0</v>
      </c>
      <c r="H3493">
        <v>0</v>
      </c>
      <c r="I3493">
        <v>0</v>
      </c>
      <c r="J3493">
        <v>0</v>
      </c>
      <c r="K3493">
        <v>63.2</v>
      </c>
      <c r="L3493">
        <v>62.9</v>
      </c>
      <c r="M3493">
        <v>71.66</v>
      </c>
      <c r="N3493">
        <v>11</v>
      </c>
      <c r="O3493">
        <v>3</v>
      </c>
      <c r="P3493">
        <f>MOD(DAY(datos_siembra[[#This Row],[Date]]),7)</f>
        <v>4</v>
      </c>
      <c r="Q3493" t="str">
        <f>CHOOSE(WEEKDAY(datos_siembra[[#This Row],[Date]],2),"L","M","X","J","V","S","D")</f>
        <v>V</v>
      </c>
      <c r="R3493">
        <f>WEEKNUM(datos_siembra[[#This Row],[Date]],2)-WEEKNUM(DATE(YEAR(datos_siembra[[#This Row],[Date]]),MONTH(datos_siembra[[#This Row],[Date]]),1))+1</f>
        <v>2</v>
      </c>
      <c r="S3493">
        <f>MONTH(datos_siembra[[#This Row],[Date]])</f>
        <v>10</v>
      </c>
      <c r="T3493" t="str" cm="1">
        <f t="array" ref="T3493">_xlfn.IFS(AND(N3493&lt;= 22, S3493=9), "SOWING",AND(N3493&lt;= 28, S3493=9), "COVERAGE",AND(N3493&lt;= 30, S3493=9), "FLUSH",AND(N3493&lt;= 11, S3493=10), "FLUSH",AND(N3493&lt;= 21, S3493=10), "PRODUCTION")</f>
        <v>FLUSH</v>
      </c>
      <c r="U3493">
        <f>HOUR(datos_siembra[[#This Row],[Hour]])</f>
        <v>1</v>
      </c>
      <c r="V3493" cm="1">
        <f t="array" ref="V3493">_xlfn.IFS(AND(N3493&lt;= 22, S3493=9), N3493-7,AND(N3493&lt;= 28, S3493=9), N3493-25,AND(N3493&lt;= 30, S3493=9), N3493-28,AND(N3493&lt;= 11, S3493=10), N3493+2,AND(N3493&lt;= 21, S3493=10), N3493-11)</f>
        <v>13</v>
      </c>
    </row>
    <row r="3494" spans="1:22" x14ac:dyDescent="0.35">
      <c r="A3494" s="4">
        <v>45576</v>
      </c>
      <c r="B3494" s="5">
        <v>5.9548611111111108E-2</v>
      </c>
      <c r="C3494">
        <v>71.5</v>
      </c>
      <c r="D3494">
        <v>68.7</v>
      </c>
      <c r="E3494">
        <v>76.099999999999994</v>
      </c>
      <c r="F3494">
        <v>70.400000000000006</v>
      </c>
      <c r="G3494">
        <v>0</v>
      </c>
      <c r="H3494">
        <v>0</v>
      </c>
      <c r="I3494">
        <v>0</v>
      </c>
      <c r="J3494">
        <v>0</v>
      </c>
      <c r="K3494">
        <v>63.3</v>
      </c>
      <c r="L3494">
        <v>62.8</v>
      </c>
      <c r="M3494">
        <v>71.680000000000007</v>
      </c>
      <c r="N3494">
        <v>11</v>
      </c>
      <c r="O3494">
        <v>3</v>
      </c>
      <c r="P3494">
        <f>MOD(DAY(datos_siembra[[#This Row],[Date]]),7)</f>
        <v>4</v>
      </c>
      <c r="Q3494" t="str">
        <f>CHOOSE(WEEKDAY(datos_siembra[[#This Row],[Date]],2),"L","M","X","J","V","S","D")</f>
        <v>V</v>
      </c>
      <c r="R3494">
        <f>WEEKNUM(datos_siembra[[#This Row],[Date]],2)-WEEKNUM(DATE(YEAR(datos_siembra[[#This Row],[Date]]),MONTH(datos_siembra[[#This Row],[Date]]),1))+1</f>
        <v>2</v>
      </c>
      <c r="S3494">
        <f>MONTH(datos_siembra[[#This Row],[Date]])</f>
        <v>10</v>
      </c>
      <c r="T3494" t="str" cm="1">
        <f t="array" ref="T3494">_xlfn.IFS(AND(N3494&lt;= 22, S3494=9), "SOWING",AND(N3494&lt;= 28, S3494=9), "COVERAGE",AND(N3494&lt;= 30, S3494=9), "FLUSH",AND(N3494&lt;= 11, S3494=10), "FLUSH",AND(N3494&lt;= 21, S3494=10), "PRODUCTION")</f>
        <v>FLUSH</v>
      </c>
      <c r="U3494">
        <f>HOUR(datos_siembra[[#This Row],[Hour]])</f>
        <v>1</v>
      </c>
      <c r="V3494" cm="1">
        <f t="array" ref="V3494">_xlfn.IFS(AND(N3494&lt;= 22, S3494=9), N3494-7,AND(N3494&lt;= 28, S3494=9), N3494-25,AND(N3494&lt;= 30, S3494=9), N3494-28,AND(N3494&lt;= 11, S3494=10), N3494+2,AND(N3494&lt;= 21, S3494=10), N3494-11)</f>
        <v>13</v>
      </c>
    </row>
    <row r="3495" spans="1:22" x14ac:dyDescent="0.35">
      <c r="A3495" s="4">
        <v>45576</v>
      </c>
      <c r="B3495" s="5">
        <v>6.6493055555555555E-2</v>
      </c>
      <c r="C3495">
        <v>71.599999999999994</v>
      </c>
      <c r="D3495">
        <v>68.8</v>
      </c>
      <c r="E3495">
        <v>76.099999999999994</v>
      </c>
      <c r="F3495">
        <v>70.3</v>
      </c>
      <c r="G3495">
        <v>0</v>
      </c>
      <c r="H3495">
        <v>0</v>
      </c>
      <c r="I3495">
        <v>0</v>
      </c>
      <c r="J3495">
        <v>0</v>
      </c>
      <c r="K3495">
        <v>63.6</v>
      </c>
      <c r="L3495">
        <v>62.8</v>
      </c>
      <c r="M3495">
        <v>71.739999999999995</v>
      </c>
      <c r="N3495">
        <v>11</v>
      </c>
      <c r="O3495">
        <v>3</v>
      </c>
      <c r="P3495">
        <f>MOD(DAY(datos_siembra[[#This Row],[Date]]),7)</f>
        <v>4</v>
      </c>
      <c r="Q3495" t="str">
        <f>CHOOSE(WEEKDAY(datos_siembra[[#This Row],[Date]],2),"L","M","X","J","V","S","D")</f>
        <v>V</v>
      </c>
      <c r="R3495">
        <f>WEEKNUM(datos_siembra[[#This Row],[Date]],2)-WEEKNUM(DATE(YEAR(datos_siembra[[#This Row],[Date]]),MONTH(datos_siembra[[#This Row],[Date]]),1))+1</f>
        <v>2</v>
      </c>
      <c r="S3495">
        <f>MONTH(datos_siembra[[#This Row],[Date]])</f>
        <v>10</v>
      </c>
      <c r="T3495" t="str" cm="1">
        <f t="array" ref="T3495">_xlfn.IFS(AND(N3495&lt;= 22, S3495=9), "SOWING",AND(N3495&lt;= 28, S3495=9), "COVERAGE",AND(N3495&lt;= 30, S3495=9), "FLUSH",AND(N3495&lt;= 11, S3495=10), "FLUSH",AND(N3495&lt;= 21, S3495=10), "PRODUCTION")</f>
        <v>FLUSH</v>
      </c>
      <c r="U3495">
        <f>HOUR(datos_siembra[[#This Row],[Hour]])</f>
        <v>1</v>
      </c>
      <c r="V3495" cm="1">
        <f t="array" ref="V3495">_xlfn.IFS(AND(N3495&lt;= 22, S3495=9), N3495-7,AND(N3495&lt;= 28, S3495=9), N3495-25,AND(N3495&lt;= 30, S3495=9), N3495-28,AND(N3495&lt;= 11, S3495=10), N3495+2,AND(N3495&lt;= 21, S3495=10), N3495-11)</f>
        <v>13</v>
      </c>
    </row>
    <row r="3496" spans="1:22" x14ac:dyDescent="0.35">
      <c r="A3496" s="4">
        <v>45576</v>
      </c>
      <c r="B3496" s="5">
        <v>7.3437500000000003E-2</v>
      </c>
      <c r="C3496">
        <v>71.599999999999994</v>
      </c>
      <c r="D3496">
        <v>68.8</v>
      </c>
      <c r="E3496">
        <v>76.099999999999994</v>
      </c>
      <c r="F3496">
        <v>70.3</v>
      </c>
      <c r="G3496">
        <v>0</v>
      </c>
      <c r="H3496">
        <v>0</v>
      </c>
      <c r="I3496">
        <v>0</v>
      </c>
      <c r="J3496">
        <v>0</v>
      </c>
      <c r="K3496">
        <v>63.6</v>
      </c>
      <c r="L3496">
        <v>62.8</v>
      </c>
      <c r="M3496">
        <v>71.709999999999994</v>
      </c>
      <c r="N3496">
        <v>11</v>
      </c>
      <c r="O3496">
        <v>3</v>
      </c>
      <c r="P3496">
        <f>MOD(DAY(datos_siembra[[#This Row],[Date]]),7)</f>
        <v>4</v>
      </c>
      <c r="Q3496" t="str">
        <f>CHOOSE(WEEKDAY(datos_siembra[[#This Row],[Date]],2),"L","M","X","J","V","S","D")</f>
        <v>V</v>
      </c>
      <c r="R3496">
        <f>WEEKNUM(datos_siembra[[#This Row],[Date]],2)-WEEKNUM(DATE(YEAR(datos_siembra[[#This Row],[Date]]),MONTH(datos_siembra[[#This Row],[Date]]),1))+1</f>
        <v>2</v>
      </c>
      <c r="S3496">
        <f>MONTH(datos_siembra[[#This Row],[Date]])</f>
        <v>10</v>
      </c>
      <c r="T3496" t="str" cm="1">
        <f t="array" ref="T3496">_xlfn.IFS(AND(N3496&lt;= 22, S3496=9), "SOWING",AND(N3496&lt;= 28, S3496=9), "COVERAGE",AND(N3496&lt;= 30, S3496=9), "FLUSH",AND(N3496&lt;= 11, S3496=10), "FLUSH",AND(N3496&lt;= 21, S3496=10), "PRODUCTION")</f>
        <v>FLUSH</v>
      </c>
      <c r="U3496">
        <f>HOUR(datos_siembra[[#This Row],[Hour]])</f>
        <v>1</v>
      </c>
      <c r="V3496" cm="1">
        <f t="array" ref="V3496">_xlfn.IFS(AND(N3496&lt;= 22, S3496=9), N3496-7,AND(N3496&lt;= 28, S3496=9), N3496-25,AND(N3496&lt;= 30, S3496=9), N3496-28,AND(N3496&lt;= 11, S3496=10), N3496+2,AND(N3496&lt;= 21, S3496=10), N3496-11)</f>
        <v>13</v>
      </c>
    </row>
    <row r="3497" spans="1:22" x14ac:dyDescent="0.35">
      <c r="A3497" s="4">
        <v>45576</v>
      </c>
      <c r="B3497" s="5">
        <v>8.038194444444445E-2</v>
      </c>
      <c r="C3497">
        <v>71.599999999999994</v>
      </c>
      <c r="D3497">
        <v>68.900000000000006</v>
      </c>
      <c r="E3497">
        <v>76.099999999999994</v>
      </c>
      <c r="F3497">
        <v>70.400000000000006</v>
      </c>
      <c r="G3497">
        <v>0</v>
      </c>
      <c r="H3497">
        <v>0</v>
      </c>
      <c r="I3497">
        <v>0</v>
      </c>
      <c r="J3497">
        <v>0</v>
      </c>
      <c r="K3497">
        <v>63.4</v>
      </c>
      <c r="L3497">
        <v>62.8</v>
      </c>
      <c r="M3497">
        <v>71.8</v>
      </c>
      <c r="N3497">
        <v>11</v>
      </c>
      <c r="O3497">
        <v>3</v>
      </c>
      <c r="P3497">
        <f>MOD(DAY(datos_siembra[[#This Row],[Date]]),7)</f>
        <v>4</v>
      </c>
      <c r="Q3497" t="str">
        <f>CHOOSE(WEEKDAY(datos_siembra[[#This Row],[Date]],2),"L","M","X","J","V","S","D")</f>
        <v>V</v>
      </c>
      <c r="R3497">
        <f>WEEKNUM(datos_siembra[[#This Row],[Date]],2)-WEEKNUM(DATE(YEAR(datos_siembra[[#This Row],[Date]]),MONTH(datos_siembra[[#This Row],[Date]]),1))+1</f>
        <v>2</v>
      </c>
      <c r="S3497">
        <f>MONTH(datos_siembra[[#This Row],[Date]])</f>
        <v>10</v>
      </c>
      <c r="T3497" t="str" cm="1">
        <f t="array" ref="T3497">_xlfn.IFS(AND(N3497&lt;= 22, S3497=9), "SOWING",AND(N3497&lt;= 28, S3497=9), "COVERAGE",AND(N3497&lt;= 30, S3497=9), "FLUSH",AND(N3497&lt;= 11, S3497=10), "FLUSH",AND(N3497&lt;= 21, S3497=10), "PRODUCTION")</f>
        <v>FLUSH</v>
      </c>
      <c r="U3497">
        <f>HOUR(datos_siembra[[#This Row],[Hour]])</f>
        <v>1</v>
      </c>
      <c r="V3497" cm="1">
        <f t="array" ref="V3497">_xlfn.IFS(AND(N3497&lt;= 22, S3497=9), N3497-7,AND(N3497&lt;= 28, S3497=9), N3497-25,AND(N3497&lt;= 30, S3497=9), N3497-28,AND(N3497&lt;= 11, S3497=10), N3497+2,AND(N3497&lt;= 21, S3497=10), N3497-11)</f>
        <v>13</v>
      </c>
    </row>
    <row r="3498" spans="1:22" x14ac:dyDescent="0.35">
      <c r="A3498" s="4">
        <v>45576</v>
      </c>
      <c r="B3498" s="5">
        <v>8.7337962962962964E-2</v>
      </c>
      <c r="C3498">
        <v>71.599999999999994</v>
      </c>
      <c r="D3498">
        <v>68.900000000000006</v>
      </c>
      <c r="E3498">
        <v>76.2</v>
      </c>
      <c r="F3498">
        <v>70.599999999999994</v>
      </c>
      <c r="G3498">
        <v>0</v>
      </c>
      <c r="H3498">
        <v>0</v>
      </c>
      <c r="I3498">
        <v>0</v>
      </c>
      <c r="J3498">
        <v>0</v>
      </c>
      <c r="K3498">
        <v>63.3</v>
      </c>
      <c r="L3498">
        <v>62.8</v>
      </c>
      <c r="M3498">
        <v>71.8</v>
      </c>
      <c r="N3498">
        <v>11</v>
      </c>
      <c r="O3498">
        <v>3</v>
      </c>
      <c r="P3498">
        <f>MOD(DAY(datos_siembra[[#This Row],[Date]]),7)</f>
        <v>4</v>
      </c>
      <c r="Q3498" t="str">
        <f>CHOOSE(WEEKDAY(datos_siembra[[#This Row],[Date]],2),"L","M","X","J","V","S","D")</f>
        <v>V</v>
      </c>
      <c r="R3498">
        <f>WEEKNUM(datos_siembra[[#This Row],[Date]],2)-WEEKNUM(DATE(YEAR(datos_siembra[[#This Row],[Date]]),MONTH(datos_siembra[[#This Row],[Date]]),1))+1</f>
        <v>2</v>
      </c>
      <c r="S3498">
        <f>MONTH(datos_siembra[[#This Row],[Date]])</f>
        <v>10</v>
      </c>
      <c r="T3498" t="str" cm="1">
        <f t="array" ref="T3498">_xlfn.IFS(AND(N3498&lt;= 22, S3498=9), "SOWING",AND(N3498&lt;= 28, S3498=9), "COVERAGE",AND(N3498&lt;= 30, S3498=9), "FLUSH",AND(N3498&lt;= 11, S3498=10), "FLUSH",AND(N3498&lt;= 21, S3498=10), "PRODUCTION")</f>
        <v>FLUSH</v>
      </c>
      <c r="U3498">
        <f>HOUR(datos_siembra[[#This Row],[Hour]])</f>
        <v>2</v>
      </c>
      <c r="V3498" cm="1">
        <f t="array" ref="V3498">_xlfn.IFS(AND(N3498&lt;= 22, S3498=9), N3498-7,AND(N3498&lt;= 28, S3498=9), N3498-25,AND(N3498&lt;= 30, S3498=9), N3498-28,AND(N3498&lt;= 11, S3498=10), N3498+2,AND(N3498&lt;= 21, S3498=10), N3498-11)</f>
        <v>13</v>
      </c>
    </row>
    <row r="3499" spans="1:22" x14ac:dyDescent="0.35">
      <c r="A3499" s="4">
        <v>45576</v>
      </c>
      <c r="B3499" s="5">
        <v>9.4282407407407412E-2</v>
      </c>
      <c r="C3499">
        <v>71.7</v>
      </c>
      <c r="D3499">
        <v>68.900000000000006</v>
      </c>
      <c r="E3499">
        <v>76.2</v>
      </c>
      <c r="F3499">
        <v>70.400000000000006</v>
      </c>
      <c r="G3499">
        <v>0</v>
      </c>
      <c r="H3499">
        <v>0</v>
      </c>
      <c r="I3499">
        <v>0</v>
      </c>
      <c r="J3499">
        <v>0</v>
      </c>
      <c r="K3499">
        <v>63.7</v>
      </c>
      <c r="L3499">
        <v>62.7</v>
      </c>
      <c r="M3499">
        <v>71.819999999999993</v>
      </c>
      <c r="N3499">
        <v>11</v>
      </c>
      <c r="O3499">
        <v>3</v>
      </c>
      <c r="P3499">
        <f>MOD(DAY(datos_siembra[[#This Row],[Date]]),7)</f>
        <v>4</v>
      </c>
      <c r="Q3499" t="str">
        <f>CHOOSE(WEEKDAY(datos_siembra[[#This Row],[Date]],2),"L","M","X","J","V","S","D")</f>
        <v>V</v>
      </c>
      <c r="R3499">
        <f>WEEKNUM(datos_siembra[[#This Row],[Date]],2)-WEEKNUM(DATE(YEAR(datos_siembra[[#This Row],[Date]]),MONTH(datos_siembra[[#This Row],[Date]]),1))+1</f>
        <v>2</v>
      </c>
      <c r="S3499">
        <f>MONTH(datos_siembra[[#This Row],[Date]])</f>
        <v>10</v>
      </c>
      <c r="T3499" t="str" cm="1">
        <f t="array" ref="T3499">_xlfn.IFS(AND(N3499&lt;= 22, S3499=9), "SOWING",AND(N3499&lt;= 28, S3499=9), "COVERAGE",AND(N3499&lt;= 30, S3499=9), "FLUSH",AND(N3499&lt;= 11, S3499=10), "FLUSH",AND(N3499&lt;= 21, S3499=10), "PRODUCTION")</f>
        <v>FLUSH</v>
      </c>
      <c r="U3499">
        <f>HOUR(datos_siembra[[#This Row],[Hour]])</f>
        <v>2</v>
      </c>
      <c r="V3499" cm="1">
        <f t="array" ref="V3499">_xlfn.IFS(AND(N3499&lt;= 22, S3499=9), N3499-7,AND(N3499&lt;= 28, S3499=9), N3499-25,AND(N3499&lt;= 30, S3499=9), N3499-28,AND(N3499&lt;= 11, S3499=10), N3499+2,AND(N3499&lt;= 21, S3499=10), N3499-11)</f>
        <v>13</v>
      </c>
    </row>
    <row r="3500" spans="1:22" x14ac:dyDescent="0.35">
      <c r="A3500" s="4">
        <v>45576</v>
      </c>
      <c r="B3500" s="5">
        <v>0.10122685185185185</v>
      </c>
      <c r="C3500">
        <v>71.7</v>
      </c>
      <c r="D3500">
        <v>68.8</v>
      </c>
      <c r="E3500">
        <v>76.3</v>
      </c>
      <c r="F3500">
        <v>70.5</v>
      </c>
      <c r="G3500">
        <v>0</v>
      </c>
      <c r="H3500">
        <v>0</v>
      </c>
      <c r="I3500">
        <v>0</v>
      </c>
      <c r="J3500">
        <v>0</v>
      </c>
      <c r="K3500">
        <v>62.9</v>
      </c>
      <c r="L3500">
        <v>62.8</v>
      </c>
      <c r="M3500">
        <v>71.819999999999993</v>
      </c>
      <c r="N3500">
        <v>11</v>
      </c>
      <c r="O3500">
        <v>3</v>
      </c>
      <c r="P3500">
        <f>MOD(DAY(datos_siembra[[#This Row],[Date]]),7)</f>
        <v>4</v>
      </c>
      <c r="Q3500" t="str">
        <f>CHOOSE(WEEKDAY(datos_siembra[[#This Row],[Date]],2),"L","M","X","J","V","S","D")</f>
        <v>V</v>
      </c>
      <c r="R3500">
        <f>WEEKNUM(datos_siembra[[#This Row],[Date]],2)-WEEKNUM(DATE(YEAR(datos_siembra[[#This Row],[Date]]),MONTH(datos_siembra[[#This Row],[Date]]),1))+1</f>
        <v>2</v>
      </c>
      <c r="S3500">
        <f>MONTH(datos_siembra[[#This Row],[Date]])</f>
        <v>10</v>
      </c>
      <c r="T3500" t="str" cm="1">
        <f t="array" ref="T3500">_xlfn.IFS(AND(N3500&lt;= 22, S3500=9), "SOWING",AND(N3500&lt;= 28, S3500=9), "COVERAGE",AND(N3500&lt;= 30, S3500=9), "FLUSH",AND(N3500&lt;= 11, S3500=10), "FLUSH",AND(N3500&lt;= 21, S3500=10), "PRODUCTION")</f>
        <v>FLUSH</v>
      </c>
      <c r="U3500">
        <f>HOUR(datos_siembra[[#This Row],[Hour]])</f>
        <v>2</v>
      </c>
      <c r="V3500" cm="1">
        <f t="array" ref="V3500">_xlfn.IFS(AND(N3500&lt;= 22, S3500=9), N3500-7,AND(N3500&lt;= 28, S3500=9), N3500-25,AND(N3500&lt;= 30, S3500=9), N3500-28,AND(N3500&lt;= 11, S3500=10), N3500+2,AND(N3500&lt;= 21, S3500=10), N3500-11)</f>
        <v>13</v>
      </c>
    </row>
    <row r="3501" spans="1:22" x14ac:dyDescent="0.35">
      <c r="A3501" s="4">
        <v>45576</v>
      </c>
      <c r="B3501" s="5">
        <v>0.10818287037037037</v>
      </c>
      <c r="C3501">
        <v>71.8</v>
      </c>
      <c r="D3501">
        <v>68.8</v>
      </c>
      <c r="E3501">
        <v>76.3</v>
      </c>
      <c r="F3501">
        <v>70.5</v>
      </c>
      <c r="G3501">
        <v>0</v>
      </c>
      <c r="H3501">
        <v>0</v>
      </c>
      <c r="I3501">
        <v>0</v>
      </c>
      <c r="J3501">
        <v>0</v>
      </c>
      <c r="K3501">
        <v>63.3</v>
      </c>
      <c r="L3501">
        <v>62.8</v>
      </c>
      <c r="M3501">
        <v>71.88</v>
      </c>
      <c r="N3501">
        <v>11</v>
      </c>
      <c r="O3501">
        <v>3</v>
      </c>
      <c r="P3501">
        <f>MOD(DAY(datos_siembra[[#This Row],[Date]]),7)</f>
        <v>4</v>
      </c>
      <c r="Q3501" t="str">
        <f>CHOOSE(WEEKDAY(datos_siembra[[#This Row],[Date]],2),"L","M","X","J","V","S","D")</f>
        <v>V</v>
      </c>
      <c r="R3501">
        <f>WEEKNUM(datos_siembra[[#This Row],[Date]],2)-WEEKNUM(DATE(YEAR(datos_siembra[[#This Row],[Date]]),MONTH(datos_siembra[[#This Row],[Date]]),1))+1</f>
        <v>2</v>
      </c>
      <c r="S3501">
        <f>MONTH(datos_siembra[[#This Row],[Date]])</f>
        <v>10</v>
      </c>
      <c r="T3501" t="str" cm="1">
        <f t="array" ref="T3501">_xlfn.IFS(AND(N3501&lt;= 22, S3501=9), "SOWING",AND(N3501&lt;= 28, S3501=9), "COVERAGE",AND(N3501&lt;= 30, S3501=9), "FLUSH",AND(N3501&lt;= 11, S3501=10), "FLUSH",AND(N3501&lt;= 21, S3501=10), "PRODUCTION")</f>
        <v>FLUSH</v>
      </c>
      <c r="U3501">
        <f>HOUR(datos_siembra[[#This Row],[Hour]])</f>
        <v>2</v>
      </c>
      <c r="V3501" cm="1">
        <f t="array" ref="V3501">_xlfn.IFS(AND(N3501&lt;= 22, S3501=9), N3501-7,AND(N3501&lt;= 28, S3501=9), N3501-25,AND(N3501&lt;= 30, S3501=9), N3501-28,AND(N3501&lt;= 11, S3501=10), N3501+2,AND(N3501&lt;= 21, S3501=10), N3501-11)</f>
        <v>13</v>
      </c>
    </row>
    <row r="3502" spans="1:22" x14ac:dyDescent="0.35">
      <c r="A3502" s="4">
        <v>45576</v>
      </c>
      <c r="B3502" s="5">
        <v>0.11512731481481482</v>
      </c>
      <c r="C3502">
        <v>71.900000000000006</v>
      </c>
      <c r="D3502">
        <v>68.8</v>
      </c>
      <c r="E3502">
        <v>76.400000000000006</v>
      </c>
      <c r="F3502">
        <v>70.599999999999994</v>
      </c>
      <c r="G3502">
        <v>0</v>
      </c>
      <c r="H3502">
        <v>0</v>
      </c>
      <c r="I3502">
        <v>0</v>
      </c>
      <c r="J3502">
        <v>0</v>
      </c>
      <c r="K3502">
        <v>63.2</v>
      </c>
      <c r="L3502">
        <v>62.7</v>
      </c>
      <c r="M3502">
        <v>71.88</v>
      </c>
      <c r="N3502">
        <v>11</v>
      </c>
      <c r="O3502">
        <v>3</v>
      </c>
      <c r="P3502">
        <f>MOD(DAY(datos_siembra[[#This Row],[Date]]),7)</f>
        <v>4</v>
      </c>
      <c r="Q3502" t="str">
        <f>CHOOSE(WEEKDAY(datos_siembra[[#This Row],[Date]],2),"L","M","X","J","V","S","D")</f>
        <v>V</v>
      </c>
      <c r="R3502">
        <f>WEEKNUM(datos_siembra[[#This Row],[Date]],2)-WEEKNUM(DATE(YEAR(datos_siembra[[#This Row],[Date]]),MONTH(datos_siembra[[#This Row],[Date]]),1))+1</f>
        <v>2</v>
      </c>
      <c r="S3502">
        <f>MONTH(datos_siembra[[#This Row],[Date]])</f>
        <v>10</v>
      </c>
      <c r="T3502" t="str" cm="1">
        <f t="array" ref="T3502">_xlfn.IFS(AND(N3502&lt;= 22, S3502=9), "SOWING",AND(N3502&lt;= 28, S3502=9), "COVERAGE",AND(N3502&lt;= 30, S3502=9), "FLUSH",AND(N3502&lt;= 11, S3502=10), "FLUSH",AND(N3502&lt;= 21, S3502=10), "PRODUCTION")</f>
        <v>FLUSH</v>
      </c>
      <c r="U3502">
        <f>HOUR(datos_siembra[[#This Row],[Hour]])</f>
        <v>2</v>
      </c>
      <c r="V3502" cm="1">
        <f t="array" ref="V3502">_xlfn.IFS(AND(N3502&lt;= 22, S3502=9), N3502-7,AND(N3502&lt;= 28, S3502=9), N3502-25,AND(N3502&lt;= 30, S3502=9), N3502-28,AND(N3502&lt;= 11, S3502=10), N3502+2,AND(N3502&lt;= 21, S3502=10), N3502-11)</f>
        <v>13</v>
      </c>
    </row>
    <row r="3503" spans="1:22" x14ac:dyDescent="0.35">
      <c r="A3503" s="4">
        <v>45576</v>
      </c>
      <c r="B3503" s="5">
        <v>0.12207175925925925</v>
      </c>
      <c r="C3503">
        <v>71.8</v>
      </c>
      <c r="D3503">
        <v>68.8</v>
      </c>
      <c r="E3503">
        <v>76.3</v>
      </c>
      <c r="F3503">
        <v>70.5</v>
      </c>
      <c r="G3503">
        <v>0</v>
      </c>
      <c r="H3503">
        <v>0</v>
      </c>
      <c r="I3503">
        <v>0</v>
      </c>
      <c r="J3503">
        <v>0</v>
      </c>
      <c r="K3503">
        <v>63</v>
      </c>
      <c r="L3503">
        <v>62.7</v>
      </c>
      <c r="M3503">
        <v>71.91</v>
      </c>
      <c r="N3503">
        <v>11</v>
      </c>
      <c r="O3503">
        <v>3</v>
      </c>
      <c r="P3503">
        <f>MOD(DAY(datos_siembra[[#This Row],[Date]]),7)</f>
        <v>4</v>
      </c>
      <c r="Q3503" t="str">
        <f>CHOOSE(WEEKDAY(datos_siembra[[#This Row],[Date]],2),"L","M","X","J","V","S","D")</f>
        <v>V</v>
      </c>
      <c r="R3503">
        <f>WEEKNUM(datos_siembra[[#This Row],[Date]],2)-WEEKNUM(DATE(YEAR(datos_siembra[[#This Row],[Date]]),MONTH(datos_siembra[[#This Row],[Date]]),1))+1</f>
        <v>2</v>
      </c>
      <c r="S3503">
        <f>MONTH(datos_siembra[[#This Row],[Date]])</f>
        <v>10</v>
      </c>
      <c r="T3503" t="str" cm="1">
        <f t="array" ref="T3503">_xlfn.IFS(AND(N3503&lt;= 22, S3503=9), "SOWING",AND(N3503&lt;= 28, S3503=9), "COVERAGE",AND(N3503&lt;= 30, S3503=9), "FLUSH",AND(N3503&lt;= 11, S3503=10), "FLUSH",AND(N3503&lt;= 21, S3503=10), "PRODUCTION")</f>
        <v>FLUSH</v>
      </c>
      <c r="U3503">
        <f>HOUR(datos_siembra[[#This Row],[Hour]])</f>
        <v>2</v>
      </c>
      <c r="V3503" cm="1">
        <f t="array" ref="V3503">_xlfn.IFS(AND(N3503&lt;= 22, S3503=9), N3503-7,AND(N3503&lt;= 28, S3503=9), N3503-25,AND(N3503&lt;= 30, S3503=9), N3503-28,AND(N3503&lt;= 11, S3503=10), N3503+2,AND(N3503&lt;= 21, S3503=10), N3503-11)</f>
        <v>13</v>
      </c>
    </row>
    <row r="3504" spans="1:22" x14ac:dyDescent="0.35">
      <c r="A3504" s="4">
        <v>45576</v>
      </c>
      <c r="B3504" s="5">
        <v>0.1290162037037037</v>
      </c>
      <c r="C3504">
        <v>71.8</v>
      </c>
      <c r="D3504">
        <v>68.900000000000006</v>
      </c>
      <c r="E3504">
        <v>76.400000000000006</v>
      </c>
      <c r="F3504">
        <v>70.599999999999994</v>
      </c>
      <c r="G3504">
        <v>0</v>
      </c>
      <c r="H3504">
        <v>0</v>
      </c>
      <c r="I3504">
        <v>0</v>
      </c>
      <c r="J3504">
        <v>0</v>
      </c>
      <c r="K3504">
        <v>62.8</v>
      </c>
      <c r="L3504">
        <v>62.6</v>
      </c>
      <c r="M3504">
        <v>71.94</v>
      </c>
      <c r="N3504">
        <v>11</v>
      </c>
      <c r="O3504">
        <v>3</v>
      </c>
      <c r="P3504">
        <f>MOD(DAY(datos_siembra[[#This Row],[Date]]),7)</f>
        <v>4</v>
      </c>
      <c r="Q3504" t="str">
        <f>CHOOSE(WEEKDAY(datos_siembra[[#This Row],[Date]],2),"L","M","X","J","V","S","D")</f>
        <v>V</v>
      </c>
      <c r="R3504">
        <f>WEEKNUM(datos_siembra[[#This Row],[Date]],2)-WEEKNUM(DATE(YEAR(datos_siembra[[#This Row],[Date]]),MONTH(datos_siembra[[#This Row],[Date]]),1))+1</f>
        <v>2</v>
      </c>
      <c r="S3504">
        <f>MONTH(datos_siembra[[#This Row],[Date]])</f>
        <v>10</v>
      </c>
      <c r="T3504" t="str" cm="1">
        <f t="array" ref="T3504">_xlfn.IFS(AND(N3504&lt;= 22, S3504=9), "SOWING",AND(N3504&lt;= 28, S3504=9), "COVERAGE",AND(N3504&lt;= 30, S3504=9), "FLUSH",AND(N3504&lt;= 11, S3504=10), "FLUSH",AND(N3504&lt;= 21, S3504=10), "PRODUCTION")</f>
        <v>FLUSH</v>
      </c>
      <c r="U3504">
        <f>HOUR(datos_siembra[[#This Row],[Hour]])</f>
        <v>3</v>
      </c>
      <c r="V3504" cm="1">
        <f t="array" ref="V3504">_xlfn.IFS(AND(N3504&lt;= 22, S3504=9), N3504-7,AND(N3504&lt;= 28, S3504=9), N3504-25,AND(N3504&lt;= 30, S3504=9), N3504-28,AND(N3504&lt;= 11, S3504=10), N3504+2,AND(N3504&lt;= 21, S3504=10), N3504-11)</f>
        <v>13</v>
      </c>
    </row>
    <row r="3505" spans="1:22" x14ac:dyDescent="0.35">
      <c r="A3505" s="4">
        <v>45576</v>
      </c>
      <c r="B3505" s="5">
        <v>0.13597222222222222</v>
      </c>
      <c r="C3505">
        <v>71.8</v>
      </c>
      <c r="D3505">
        <v>69</v>
      </c>
      <c r="E3505">
        <v>76.599999999999994</v>
      </c>
      <c r="F3505">
        <v>70.599999999999994</v>
      </c>
      <c r="G3505">
        <v>0</v>
      </c>
      <c r="H3505">
        <v>0</v>
      </c>
      <c r="I3505">
        <v>0</v>
      </c>
      <c r="J3505">
        <v>0</v>
      </c>
      <c r="K3505">
        <v>62.9</v>
      </c>
      <c r="L3505">
        <v>62.6</v>
      </c>
      <c r="M3505">
        <v>71.989999999999995</v>
      </c>
      <c r="N3505">
        <v>11</v>
      </c>
      <c r="O3505">
        <v>3</v>
      </c>
      <c r="P3505">
        <f>MOD(DAY(datos_siembra[[#This Row],[Date]]),7)</f>
        <v>4</v>
      </c>
      <c r="Q3505" t="str">
        <f>CHOOSE(WEEKDAY(datos_siembra[[#This Row],[Date]],2),"L","M","X","J","V","S","D")</f>
        <v>V</v>
      </c>
      <c r="R3505">
        <f>WEEKNUM(datos_siembra[[#This Row],[Date]],2)-WEEKNUM(DATE(YEAR(datos_siembra[[#This Row],[Date]]),MONTH(datos_siembra[[#This Row],[Date]]),1))+1</f>
        <v>2</v>
      </c>
      <c r="S3505">
        <f>MONTH(datos_siembra[[#This Row],[Date]])</f>
        <v>10</v>
      </c>
      <c r="T3505" t="str" cm="1">
        <f t="array" ref="T3505">_xlfn.IFS(AND(N3505&lt;= 22, S3505=9), "SOWING",AND(N3505&lt;= 28, S3505=9), "COVERAGE",AND(N3505&lt;= 30, S3505=9), "FLUSH",AND(N3505&lt;= 11, S3505=10), "FLUSH",AND(N3505&lt;= 21, S3505=10), "PRODUCTION")</f>
        <v>FLUSH</v>
      </c>
      <c r="U3505">
        <f>HOUR(datos_siembra[[#This Row],[Hour]])</f>
        <v>3</v>
      </c>
      <c r="V3505" cm="1">
        <f t="array" ref="V3505">_xlfn.IFS(AND(N3505&lt;= 22, S3505=9), N3505-7,AND(N3505&lt;= 28, S3505=9), N3505-25,AND(N3505&lt;= 30, S3505=9), N3505-28,AND(N3505&lt;= 11, S3505=10), N3505+2,AND(N3505&lt;= 21, S3505=10), N3505-11)</f>
        <v>13</v>
      </c>
    </row>
    <row r="3506" spans="1:22" x14ac:dyDescent="0.35">
      <c r="A3506" s="4">
        <v>45576</v>
      </c>
      <c r="B3506" s="5">
        <v>0.14291666666666666</v>
      </c>
      <c r="C3506">
        <v>71.7</v>
      </c>
      <c r="D3506">
        <v>69</v>
      </c>
      <c r="E3506">
        <v>76.400000000000006</v>
      </c>
      <c r="F3506">
        <v>70.8</v>
      </c>
      <c r="G3506">
        <v>0</v>
      </c>
      <c r="H3506">
        <v>0</v>
      </c>
      <c r="I3506">
        <v>0</v>
      </c>
      <c r="J3506">
        <v>0</v>
      </c>
      <c r="K3506">
        <v>62.9</v>
      </c>
      <c r="L3506">
        <v>62.6</v>
      </c>
      <c r="M3506">
        <v>71.989999999999995</v>
      </c>
      <c r="N3506">
        <v>11</v>
      </c>
      <c r="O3506">
        <v>3</v>
      </c>
      <c r="P3506">
        <f>MOD(DAY(datos_siembra[[#This Row],[Date]]),7)</f>
        <v>4</v>
      </c>
      <c r="Q3506" t="str">
        <f>CHOOSE(WEEKDAY(datos_siembra[[#This Row],[Date]],2),"L","M","X","J","V","S","D")</f>
        <v>V</v>
      </c>
      <c r="R3506">
        <f>WEEKNUM(datos_siembra[[#This Row],[Date]],2)-WEEKNUM(DATE(YEAR(datos_siembra[[#This Row],[Date]]),MONTH(datos_siembra[[#This Row],[Date]]),1))+1</f>
        <v>2</v>
      </c>
      <c r="S3506">
        <f>MONTH(datos_siembra[[#This Row],[Date]])</f>
        <v>10</v>
      </c>
      <c r="T3506" t="str" cm="1">
        <f t="array" ref="T3506">_xlfn.IFS(AND(N3506&lt;= 22, S3506=9), "SOWING",AND(N3506&lt;= 28, S3506=9), "COVERAGE",AND(N3506&lt;= 30, S3506=9), "FLUSH",AND(N3506&lt;= 11, S3506=10), "FLUSH",AND(N3506&lt;= 21, S3506=10), "PRODUCTION")</f>
        <v>FLUSH</v>
      </c>
      <c r="U3506">
        <f>HOUR(datos_siembra[[#This Row],[Hour]])</f>
        <v>3</v>
      </c>
      <c r="V3506" cm="1">
        <f t="array" ref="V3506">_xlfn.IFS(AND(N3506&lt;= 22, S3506=9), N3506-7,AND(N3506&lt;= 28, S3506=9), N3506-25,AND(N3506&lt;= 30, S3506=9), N3506-28,AND(N3506&lt;= 11, S3506=10), N3506+2,AND(N3506&lt;= 21, S3506=10), N3506-11)</f>
        <v>13</v>
      </c>
    </row>
    <row r="3507" spans="1:22" x14ac:dyDescent="0.35">
      <c r="A3507" s="4">
        <v>45576</v>
      </c>
      <c r="B3507" s="5">
        <v>0.14986111111111111</v>
      </c>
      <c r="C3507">
        <v>71.900000000000006</v>
      </c>
      <c r="D3507">
        <v>69</v>
      </c>
      <c r="E3507">
        <v>76.599999999999994</v>
      </c>
      <c r="F3507">
        <v>70.5</v>
      </c>
      <c r="G3507">
        <v>0</v>
      </c>
      <c r="H3507">
        <v>0</v>
      </c>
      <c r="I3507">
        <v>0</v>
      </c>
      <c r="J3507">
        <v>0</v>
      </c>
      <c r="K3507">
        <v>62.9</v>
      </c>
      <c r="L3507">
        <v>62.7</v>
      </c>
      <c r="M3507">
        <v>71.97</v>
      </c>
      <c r="N3507">
        <v>11</v>
      </c>
      <c r="O3507">
        <v>3</v>
      </c>
      <c r="P3507">
        <f>MOD(DAY(datos_siembra[[#This Row],[Date]]),7)</f>
        <v>4</v>
      </c>
      <c r="Q3507" t="str">
        <f>CHOOSE(WEEKDAY(datos_siembra[[#This Row],[Date]],2),"L","M","X","J","V","S","D")</f>
        <v>V</v>
      </c>
      <c r="R3507">
        <f>WEEKNUM(datos_siembra[[#This Row],[Date]],2)-WEEKNUM(DATE(YEAR(datos_siembra[[#This Row],[Date]]),MONTH(datos_siembra[[#This Row],[Date]]),1))+1</f>
        <v>2</v>
      </c>
      <c r="S3507">
        <f>MONTH(datos_siembra[[#This Row],[Date]])</f>
        <v>10</v>
      </c>
      <c r="T3507" t="str" cm="1">
        <f t="array" ref="T3507">_xlfn.IFS(AND(N3507&lt;= 22, S3507=9), "SOWING",AND(N3507&lt;= 28, S3507=9), "COVERAGE",AND(N3507&lt;= 30, S3507=9), "FLUSH",AND(N3507&lt;= 11, S3507=10), "FLUSH",AND(N3507&lt;= 21, S3507=10), "PRODUCTION")</f>
        <v>FLUSH</v>
      </c>
      <c r="U3507">
        <f>HOUR(datos_siembra[[#This Row],[Hour]])</f>
        <v>3</v>
      </c>
      <c r="V3507" cm="1">
        <f t="array" ref="V3507">_xlfn.IFS(AND(N3507&lt;= 22, S3507=9), N3507-7,AND(N3507&lt;= 28, S3507=9), N3507-25,AND(N3507&lt;= 30, S3507=9), N3507-28,AND(N3507&lt;= 11, S3507=10), N3507+2,AND(N3507&lt;= 21, S3507=10), N3507-11)</f>
        <v>13</v>
      </c>
    </row>
    <row r="3508" spans="1:22" x14ac:dyDescent="0.35">
      <c r="A3508" s="4">
        <v>45576</v>
      </c>
      <c r="B3508" s="5">
        <v>0.15681712962962963</v>
      </c>
      <c r="C3508">
        <v>71.8</v>
      </c>
      <c r="D3508">
        <v>69</v>
      </c>
      <c r="E3508">
        <v>76.400000000000006</v>
      </c>
      <c r="F3508">
        <v>70.400000000000006</v>
      </c>
      <c r="G3508">
        <v>0</v>
      </c>
      <c r="H3508">
        <v>0</v>
      </c>
      <c r="I3508">
        <v>0</v>
      </c>
      <c r="J3508">
        <v>0</v>
      </c>
      <c r="K3508">
        <v>62.8</v>
      </c>
      <c r="L3508">
        <v>62.5</v>
      </c>
      <c r="M3508">
        <v>71.989999999999995</v>
      </c>
      <c r="N3508">
        <v>11</v>
      </c>
      <c r="O3508">
        <v>3</v>
      </c>
      <c r="P3508">
        <f>MOD(DAY(datos_siembra[[#This Row],[Date]]),7)</f>
        <v>4</v>
      </c>
      <c r="Q3508" t="str">
        <f>CHOOSE(WEEKDAY(datos_siembra[[#This Row],[Date]],2),"L","M","X","J","V","S","D")</f>
        <v>V</v>
      </c>
      <c r="R3508">
        <f>WEEKNUM(datos_siembra[[#This Row],[Date]],2)-WEEKNUM(DATE(YEAR(datos_siembra[[#This Row],[Date]]),MONTH(datos_siembra[[#This Row],[Date]]),1))+1</f>
        <v>2</v>
      </c>
      <c r="S3508">
        <f>MONTH(datos_siembra[[#This Row],[Date]])</f>
        <v>10</v>
      </c>
      <c r="T3508" t="str" cm="1">
        <f t="array" ref="T3508">_xlfn.IFS(AND(N3508&lt;= 22, S3508=9), "SOWING",AND(N3508&lt;= 28, S3508=9), "COVERAGE",AND(N3508&lt;= 30, S3508=9), "FLUSH",AND(N3508&lt;= 11, S3508=10), "FLUSH",AND(N3508&lt;= 21, S3508=10), "PRODUCTION")</f>
        <v>FLUSH</v>
      </c>
      <c r="U3508">
        <f>HOUR(datos_siembra[[#This Row],[Hour]])</f>
        <v>3</v>
      </c>
      <c r="V3508" cm="1">
        <f t="array" ref="V3508">_xlfn.IFS(AND(N3508&lt;= 22, S3508=9), N3508-7,AND(N3508&lt;= 28, S3508=9), N3508-25,AND(N3508&lt;= 30, S3508=9), N3508-28,AND(N3508&lt;= 11, S3508=10), N3508+2,AND(N3508&lt;= 21, S3508=10), N3508-11)</f>
        <v>13</v>
      </c>
    </row>
    <row r="3509" spans="1:22" x14ac:dyDescent="0.35">
      <c r="A3509" s="4">
        <v>45576</v>
      </c>
      <c r="B3509" s="5">
        <v>0.16376157407407407</v>
      </c>
      <c r="C3509">
        <v>71.900000000000006</v>
      </c>
      <c r="D3509">
        <v>69.099999999999994</v>
      </c>
      <c r="E3509">
        <v>76.599999999999994</v>
      </c>
      <c r="F3509">
        <v>70.7</v>
      </c>
      <c r="G3509">
        <v>0</v>
      </c>
      <c r="H3509">
        <v>0</v>
      </c>
      <c r="I3509">
        <v>0</v>
      </c>
      <c r="J3509">
        <v>0</v>
      </c>
      <c r="K3509">
        <v>62.8</v>
      </c>
      <c r="L3509">
        <v>62.5</v>
      </c>
      <c r="M3509">
        <v>71.989999999999995</v>
      </c>
      <c r="N3509">
        <v>11</v>
      </c>
      <c r="O3509">
        <v>3</v>
      </c>
      <c r="P3509">
        <f>MOD(DAY(datos_siembra[[#This Row],[Date]]),7)</f>
        <v>4</v>
      </c>
      <c r="Q3509" t="str">
        <f>CHOOSE(WEEKDAY(datos_siembra[[#This Row],[Date]],2),"L","M","X","J","V","S","D")</f>
        <v>V</v>
      </c>
      <c r="R3509">
        <f>WEEKNUM(datos_siembra[[#This Row],[Date]],2)-WEEKNUM(DATE(YEAR(datos_siembra[[#This Row],[Date]]),MONTH(datos_siembra[[#This Row],[Date]]),1))+1</f>
        <v>2</v>
      </c>
      <c r="S3509">
        <f>MONTH(datos_siembra[[#This Row],[Date]])</f>
        <v>10</v>
      </c>
      <c r="T3509" t="str" cm="1">
        <f t="array" ref="T3509">_xlfn.IFS(AND(N3509&lt;= 22, S3509=9), "SOWING",AND(N3509&lt;= 28, S3509=9), "COVERAGE",AND(N3509&lt;= 30, S3509=9), "FLUSH",AND(N3509&lt;= 11, S3509=10), "FLUSH",AND(N3509&lt;= 21, S3509=10), "PRODUCTION")</f>
        <v>FLUSH</v>
      </c>
      <c r="U3509">
        <f>HOUR(datos_siembra[[#This Row],[Hour]])</f>
        <v>3</v>
      </c>
      <c r="V3509" cm="1">
        <f t="array" ref="V3509">_xlfn.IFS(AND(N3509&lt;= 22, S3509=9), N3509-7,AND(N3509&lt;= 28, S3509=9), N3509-25,AND(N3509&lt;= 30, S3509=9), N3509-28,AND(N3509&lt;= 11, S3509=10), N3509+2,AND(N3509&lt;= 21, S3509=10), N3509-11)</f>
        <v>13</v>
      </c>
    </row>
    <row r="3510" spans="1:22" x14ac:dyDescent="0.35">
      <c r="A3510" s="4">
        <v>45576</v>
      </c>
      <c r="B3510" s="5">
        <v>0.17070601851851852</v>
      </c>
      <c r="C3510">
        <v>72.099999999999994</v>
      </c>
      <c r="D3510">
        <v>69</v>
      </c>
      <c r="E3510">
        <v>76.400000000000006</v>
      </c>
      <c r="F3510">
        <v>70.599999999999994</v>
      </c>
      <c r="G3510">
        <v>0</v>
      </c>
      <c r="H3510">
        <v>0</v>
      </c>
      <c r="I3510">
        <v>0</v>
      </c>
      <c r="J3510">
        <v>0</v>
      </c>
      <c r="K3510">
        <v>62.8</v>
      </c>
      <c r="L3510">
        <v>62.5</v>
      </c>
      <c r="M3510">
        <v>72.05</v>
      </c>
      <c r="N3510">
        <v>11</v>
      </c>
      <c r="O3510">
        <v>3</v>
      </c>
      <c r="P3510">
        <f>MOD(DAY(datos_siembra[[#This Row],[Date]]),7)</f>
        <v>4</v>
      </c>
      <c r="Q3510" t="str">
        <f>CHOOSE(WEEKDAY(datos_siembra[[#This Row],[Date]],2),"L","M","X","J","V","S","D")</f>
        <v>V</v>
      </c>
      <c r="R3510">
        <f>WEEKNUM(datos_siembra[[#This Row],[Date]],2)-WEEKNUM(DATE(YEAR(datos_siembra[[#This Row],[Date]]),MONTH(datos_siembra[[#This Row],[Date]]),1))+1</f>
        <v>2</v>
      </c>
      <c r="S3510">
        <f>MONTH(datos_siembra[[#This Row],[Date]])</f>
        <v>10</v>
      </c>
      <c r="T3510" t="str" cm="1">
        <f t="array" ref="T3510">_xlfn.IFS(AND(N3510&lt;= 22, S3510=9), "SOWING",AND(N3510&lt;= 28, S3510=9), "COVERAGE",AND(N3510&lt;= 30, S3510=9), "FLUSH",AND(N3510&lt;= 11, S3510=10), "FLUSH",AND(N3510&lt;= 21, S3510=10), "PRODUCTION")</f>
        <v>FLUSH</v>
      </c>
      <c r="U3510">
        <f>HOUR(datos_siembra[[#This Row],[Hour]])</f>
        <v>4</v>
      </c>
      <c r="V3510" cm="1">
        <f t="array" ref="V3510">_xlfn.IFS(AND(N3510&lt;= 22, S3510=9), N3510-7,AND(N3510&lt;= 28, S3510=9), N3510-25,AND(N3510&lt;= 30, S3510=9), N3510-28,AND(N3510&lt;= 11, S3510=10), N3510+2,AND(N3510&lt;= 21, S3510=10), N3510-11)</f>
        <v>13</v>
      </c>
    </row>
    <row r="3511" spans="1:22" x14ac:dyDescent="0.35">
      <c r="A3511" s="4">
        <v>45576</v>
      </c>
      <c r="B3511" s="5">
        <v>0.17765046296296297</v>
      </c>
      <c r="C3511">
        <v>71.900000000000006</v>
      </c>
      <c r="D3511">
        <v>69.099999999999994</v>
      </c>
      <c r="E3511">
        <v>76.599999999999994</v>
      </c>
      <c r="F3511">
        <v>70.7</v>
      </c>
      <c r="G3511">
        <v>0</v>
      </c>
      <c r="H3511">
        <v>0</v>
      </c>
      <c r="I3511">
        <v>0</v>
      </c>
      <c r="J3511">
        <v>0</v>
      </c>
      <c r="K3511">
        <v>62.7</v>
      </c>
      <c r="L3511">
        <v>62.7</v>
      </c>
      <c r="M3511">
        <v>72.13</v>
      </c>
      <c r="N3511">
        <v>11</v>
      </c>
      <c r="O3511">
        <v>3</v>
      </c>
      <c r="P3511">
        <f>MOD(DAY(datos_siembra[[#This Row],[Date]]),7)</f>
        <v>4</v>
      </c>
      <c r="Q3511" t="str">
        <f>CHOOSE(WEEKDAY(datos_siembra[[#This Row],[Date]],2),"L","M","X","J","V","S","D")</f>
        <v>V</v>
      </c>
      <c r="R3511">
        <f>WEEKNUM(datos_siembra[[#This Row],[Date]],2)-WEEKNUM(DATE(YEAR(datos_siembra[[#This Row],[Date]]),MONTH(datos_siembra[[#This Row],[Date]]),1))+1</f>
        <v>2</v>
      </c>
      <c r="S3511">
        <f>MONTH(datos_siembra[[#This Row],[Date]])</f>
        <v>10</v>
      </c>
      <c r="T3511" t="str" cm="1">
        <f t="array" ref="T3511">_xlfn.IFS(AND(N3511&lt;= 22, S3511=9), "SOWING",AND(N3511&lt;= 28, S3511=9), "COVERAGE",AND(N3511&lt;= 30, S3511=9), "FLUSH",AND(N3511&lt;= 11, S3511=10), "FLUSH",AND(N3511&lt;= 21, S3511=10), "PRODUCTION")</f>
        <v>FLUSH</v>
      </c>
      <c r="U3511">
        <f>HOUR(datos_siembra[[#This Row],[Hour]])</f>
        <v>4</v>
      </c>
      <c r="V3511" cm="1">
        <f t="array" ref="V3511">_xlfn.IFS(AND(N3511&lt;= 22, S3511=9), N3511-7,AND(N3511&lt;= 28, S3511=9), N3511-25,AND(N3511&lt;= 30, S3511=9), N3511-28,AND(N3511&lt;= 11, S3511=10), N3511+2,AND(N3511&lt;= 21, S3511=10), N3511-11)</f>
        <v>13</v>
      </c>
    </row>
    <row r="3512" spans="1:22" x14ac:dyDescent="0.35">
      <c r="A3512" s="4">
        <v>45576</v>
      </c>
      <c r="B3512" s="5">
        <v>0.18460648148148148</v>
      </c>
      <c r="C3512">
        <v>72.099999999999994</v>
      </c>
      <c r="D3512">
        <v>69.099999999999994</v>
      </c>
      <c r="E3512">
        <v>76.599999999999994</v>
      </c>
      <c r="F3512">
        <v>70.599999999999994</v>
      </c>
      <c r="G3512">
        <v>0</v>
      </c>
      <c r="H3512">
        <v>0</v>
      </c>
      <c r="I3512">
        <v>0</v>
      </c>
      <c r="J3512">
        <v>0</v>
      </c>
      <c r="K3512">
        <v>62.8</v>
      </c>
      <c r="L3512">
        <v>62.5</v>
      </c>
      <c r="M3512">
        <v>71.989999999999995</v>
      </c>
      <c r="N3512">
        <v>11</v>
      </c>
      <c r="O3512">
        <v>3</v>
      </c>
      <c r="P3512">
        <f>MOD(DAY(datos_siembra[[#This Row],[Date]]),7)</f>
        <v>4</v>
      </c>
      <c r="Q3512" t="str">
        <f>CHOOSE(WEEKDAY(datos_siembra[[#This Row],[Date]],2),"L","M","X","J","V","S","D")</f>
        <v>V</v>
      </c>
      <c r="R3512">
        <f>WEEKNUM(datos_siembra[[#This Row],[Date]],2)-WEEKNUM(DATE(YEAR(datos_siembra[[#This Row],[Date]]),MONTH(datos_siembra[[#This Row],[Date]]),1))+1</f>
        <v>2</v>
      </c>
      <c r="S3512">
        <f>MONTH(datos_siembra[[#This Row],[Date]])</f>
        <v>10</v>
      </c>
      <c r="T3512" t="str" cm="1">
        <f t="array" ref="T3512">_xlfn.IFS(AND(N3512&lt;= 22, S3512=9), "SOWING",AND(N3512&lt;= 28, S3512=9), "COVERAGE",AND(N3512&lt;= 30, S3512=9), "FLUSH",AND(N3512&lt;= 11, S3512=10), "FLUSH",AND(N3512&lt;= 21, S3512=10), "PRODUCTION")</f>
        <v>FLUSH</v>
      </c>
      <c r="U3512">
        <f>HOUR(datos_siembra[[#This Row],[Hour]])</f>
        <v>4</v>
      </c>
      <c r="V3512" cm="1">
        <f t="array" ref="V3512">_xlfn.IFS(AND(N3512&lt;= 22, S3512=9), N3512-7,AND(N3512&lt;= 28, S3512=9), N3512-25,AND(N3512&lt;= 30, S3512=9), N3512-28,AND(N3512&lt;= 11, S3512=10), N3512+2,AND(N3512&lt;= 21, S3512=10), N3512-11)</f>
        <v>13</v>
      </c>
    </row>
    <row r="3513" spans="1:22" x14ac:dyDescent="0.35">
      <c r="A3513" s="4">
        <v>45576</v>
      </c>
      <c r="B3513" s="5">
        <v>0.19155092592592593</v>
      </c>
      <c r="C3513">
        <v>71.900000000000006</v>
      </c>
      <c r="D3513">
        <v>69.2</v>
      </c>
      <c r="E3513">
        <v>76.599999999999994</v>
      </c>
      <c r="F3513">
        <v>70.599999999999994</v>
      </c>
      <c r="G3513">
        <v>0</v>
      </c>
      <c r="H3513">
        <v>0</v>
      </c>
      <c r="I3513">
        <v>0</v>
      </c>
      <c r="J3513">
        <v>0</v>
      </c>
      <c r="K3513">
        <v>62.7</v>
      </c>
      <c r="L3513">
        <v>62.5</v>
      </c>
      <c r="M3513">
        <v>72.05</v>
      </c>
      <c r="N3513">
        <v>11</v>
      </c>
      <c r="O3513">
        <v>3</v>
      </c>
      <c r="P3513">
        <f>MOD(DAY(datos_siembra[[#This Row],[Date]]),7)</f>
        <v>4</v>
      </c>
      <c r="Q3513" t="str">
        <f>CHOOSE(WEEKDAY(datos_siembra[[#This Row],[Date]],2),"L","M","X","J","V","S","D")</f>
        <v>V</v>
      </c>
      <c r="R3513">
        <f>WEEKNUM(datos_siembra[[#This Row],[Date]],2)-WEEKNUM(DATE(YEAR(datos_siembra[[#This Row],[Date]]),MONTH(datos_siembra[[#This Row],[Date]]),1))+1</f>
        <v>2</v>
      </c>
      <c r="S3513">
        <f>MONTH(datos_siembra[[#This Row],[Date]])</f>
        <v>10</v>
      </c>
      <c r="T3513" t="str" cm="1">
        <f t="array" ref="T3513">_xlfn.IFS(AND(N3513&lt;= 22, S3513=9), "SOWING",AND(N3513&lt;= 28, S3513=9), "COVERAGE",AND(N3513&lt;= 30, S3513=9), "FLUSH",AND(N3513&lt;= 11, S3513=10), "FLUSH",AND(N3513&lt;= 21, S3513=10), "PRODUCTION")</f>
        <v>FLUSH</v>
      </c>
      <c r="U3513">
        <f>HOUR(datos_siembra[[#This Row],[Hour]])</f>
        <v>4</v>
      </c>
      <c r="V3513" cm="1">
        <f t="array" ref="V3513">_xlfn.IFS(AND(N3513&lt;= 22, S3513=9), N3513-7,AND(N3513&lt;= 28, S3513=9), N3513-25,AND(N3513&lt;= 30, S3513=9), N3513-28,AND(N3513&lt;= 11, S3513=10), N3513+2,AND(N3513&lt;= 21, S3513=10), N3513-11)</f>
        <v>13</v>
      </c>
    </row>
    <row r="3514" spans="1:22" x14ac:dyDescent="0.35">
      <c r="A3514" s="4">
        <v>45576</v>
      </c>
      <c r="B3514" s="5">
        <v>0.19849537037037038</v>
      </c>
      <c r="C3514">
        <v>72.2</v>
      </c>
      <c r="D3514">
        <v>69.2</v>
      </c>
      <c r="E3514">
        <v>76.599999999999994</v>
      </c>
      <c r="F3514">
        <v>70.8</v>
      </c>
      <c r="G3514">
        <v>0</v>
      </c>
      <c r="H3514">
        <v>0</v>
      </c>
      <c r="I3514">
        <v>0</v>
      </c>
      <c r="J3514">
        <v>0</v>
      </c>
      <c r="K3514">
        <v>62.7</v>
      </c>
      <c r="L3514">
        <v>62.5</v>
      </c>
      <c r="M3514">
        <v>72.13</v>
      </c>
      <c r="N3514">
        <v>11</v>
      </c>
      <c r="O3514">
        <v>3</v>
      </c>
      <c r="P3514">
        <f>MOD(DAY(datos_siembra[[#This Row],[Date]]),7)</f>
        <v>4</v>
      </c>
      <c r="Q3514" t="str">
        <f>CHOOSE(WEEKDAY(datos_siembra[[#This Row],[Date]],2),"L","M","X","J","V","S","D")</f>
        <v>V</v>
      </c>
      <c r="R3514">
        <f>WEEKNUM(datos_siembra[[#This Row],[Date]],2)-WEEKNUM(DATE(YEAR(datos_siembra[[#This Row],[Date]]),MONTH(datos_siembra[[#This Row],[Date]]),1))+1</f>
        <v>2</v>
      </c>
      <c r="S3514">
        <f>MONTH(datos_siembra[[#This Row],[Date]])</f>
        <v>10</v>
      </c>
      <c r="T3514" t="str" cm="1">
        <f t="array" ref="T3514">_xlfn.IFS(AND(N3514&lt;= 22, S3514=9), "SOWING",AND(N3514&lt;= 28, S3514=9), "COVERAGE",AND(N3514&lt;= 30, S3514=9), "FLUSH",AND(N3514&lt;= 11, S3514=10), "FLUSH",AND(N3514&lt;= 21, S3514=10), "PRODUCTION")</f>
        <v>FLUSH</v>
      </c>
      <c r="U3514">
        <f>HOUR(datos_siembra[[#This Row],[Hour]])</f>
        <v>4</v>
      </c>
      <c r="V3514" cm="1">
        <f t="array" ref="V3514">_xlfn.IFS(AND(N3514&lt;= 22, S3514=9), N3514-7,AND(N3514&lt;= 28, S3514=9), N3514-25,AND(N3514&lt;= 30, S3514=9), N3514-28,AND(N3514&lt;= 11, S3514=10), N3514+2,AND(N3514&lt;= 21, S3514=10), N3514-11)</f>
        <v>13</v>
      </c>
    </row>
    <row r="3515" spans="1:22" x14ac:dyDescent="0.35">
      <c r="A3515" s="4">
        <v>45576</v>
      </c>
      <c r="B3515" s="5">
        <v>0.20543981481481483</v>
      </c>
      <c r="C3515">
        <v>72.099999999999994</v>
      </c>
      <c r="D3515">
        <v>69.099999999999994</v>
      </c>
      <c r="E3515">
        <v>76.599999999999994</v>
      </c>
      <c r="F3515">
        <v>70.7</v>
      </c>
      <c r="G3515">
        <v>0</v>
      </c>
      <c r="H3515">
        <v>0</v>
      </c>
      <c r="I3515">
        <v>0</v>
      </c>
      <c r="J3515">
        <v>0</v>
      </c>
      <c r="K3515">
        <v>62.7</v>
      </c>
      <c r="L3515">
        <v>62.5</v>
      </c>
      <c r="M3515">
        <v>72.11</v>
      </c>
      <c r="N3515">
        <v>11</v>
      </c>
      <c r="O3515">
        <v>3</v>
      </c>
      <c r="P3515">
        <f>MOD(DAY(datos_siembra[[#This Row],[Date]]),7)</f>
        <v>4</v>
      </c>
      <c r="Q3515" t="str">
        <f>CHOOSE(WEEKDAY(datos_siembra[[#This Row],[Date]],2),"L","M","X","J","V","S","D")</f>
        <v>V</v>
      </c>
      <c r="R3515">
        <f>WEEKNUM(datos_siembra[[#This Row],[Date]],2)-WEEKNUM(DATE(YEAR(datos_siembra[[#This Row],[Date]]),MONTH(datos_siembra[[#This Row],[Date]]),1))+1</f>
        <v>2</v>
      </c>
      <c r="S3515">
        <f>MONTH(datos_siembra[[#This Row],[Date]])</f>
        <v>10</v>
      </c>
      <c r="T3515" t="str" cm="1">
        <f t="array" ref="T3515">_xlfn.IFS(AND(N3515&lt;= 22, S3515=9), "SOWING",AND(N3515&lt;= 28, S3515=9), "COVERAGE",AND(N3515&lt;= 30, S3515=9), "FLUSH",AND(N3515&lt;= 11, S3515=10), "FLUSH",AND(N3515&lt;= 21, S3515=10), "PRODUCTION")</f>
        <v>FLUSH</v>
      </c>
      <c r="U3515">
        <f>HOUR(datos_siembra[[#This Row],[Hour]])</f>
        <v>4</v>
      </c>
      <c r="V3515" cm="1">
        <f t="array" ref="V3515">_xlfn.IFS(AND(N3515&lt;= 22, S3515=9), N3515-7,AND(N3515&lt;= 28, S3515=9), N3515-25,AND(N3515&lt;= 30, S3515=9), N3515-28,AND(N3515&lt;= 11, S3515=10), N3515+2,AND(N3515&lt;= 21, S3515=10), N3515-11)</f>
        <v>13</v>
      </c>
    </row>
    <row r="3516" spans="1:22" x14ac:dyDescent="0.35">
      <c r="A3516" s="4">
        <v>45576</v>
      </c>
      <c r="B3516" s="5">
        <v>0.21239583333333334</v>
      </c>
      <c r="C3516">
        <v>72.099999999999994</v>
      </c>
      <c r="D3516">
        <v>69.2</v>
      </c>
      <c r="E3516">
        <v>76.400000000000006</v>
      </c>
      <c r="F3516">
        <v>70.900000000000006</v>
      </c>
      <c r="G3516">
        <v>0</v>
      </c>
      <c r="H3516">
        <v>0</v>
      </c>
      <c r="I3516">
        <v>0</v>
      </c>
      <c r="J3516">
        <v>0</v>
      </c>
      <c r="K3516">
        <v>62.7</v>
      </c>
      <c r="L3516">
        <v>62.5</v>
      </c>
      <c r="M3516">
        <v>72.02</v>
      </c>
      <c r="N3516">
        <v>11</v>
      </c>
      <c r="O3516">
        <v>3</v>
      </c>
      <c r="P3516">
        <f>MOD(DAY(datos_siembra[[#This Row],[Date]]),7)</f>
        <v>4</v>
      </c>
      <c r="Q3516" t="str">
        <f>CHOOSE(WEEKDAY(datos_siembra[[#This Row],[Date]],2),"L","M","X","J","V","S","D")</f>
        <v>V</v>
      </c>
      <c r="R3516">
        <f>WEEKNUM(datos_siembra[[#This Row],[Date]],2)-WEEKNUM(DATE(YEAR(datos_siembra[[#This Row],[Date]]),MONTH(datos_siembra[[#This Row],[Date]]),1))+1</f>
        <v>2</v>
      </c>
      <c r="S3516">
        <f>MONTH(datos_siembra[[#This Row],[Date]])</f>
        <v>10</v>
      </c>
      <c r="T3516" t="str" cm="1">
        <f t="array" ref="T3516">_xlfn.IFS(AND(N3516&lt;= 22, S3516=9), "SOWING",AND(N3516&lt;= 28, S3516=9), "COVERAGE",AND(N3516&lt;= 30, S3516=9), "FLUSH",AND(N3516&lt;= 11, S3516=10), "FLUSH",AND(N3516&lt;= 21, S3516=10), "PRODUCTION")</f>
        <v>FLUSH</v>
      </c>
      <c r="U3516">
        <f>HOUR(datos_siembra[[#This Row],[Hour]])</f>
        <v>5</v>
      </c>
      <c r="V3516" cm="1">
        <f t="array" ref="V3516">_xlfn.IFS(AND(N3516&lt;= 22, S3516=9), N3516-7,AND(N3516&lt;= 28, S3516=9), N3516-25,AND(N3516&lt;= 30, S3516=9), N3516-28,AND(N3516&lt;= 11, S3516=10), N3516+2,AND(N3516&lt;= 21, S3516=10), N3516-11)</f>
        <v>13</v>
      </c>
    </row>
    <row r="3517" spans="1:22" x14ac:dyDescent="0.35">
      <c r="A3517" s="4">
        <v>45576</v>
      </c>
      <c r="B3517" s="5">
        <v>0.21934027777777779</v>
      </c>
      <c r="C3517">
        <v>72.099999999999994</v>
      </c>
      <c r="D3517">
        <v>69.400000000000006</v>
      </c>
      <c r="E3517">
        <v>76.3</v>
      </c>
      <c r="F3517">
        <v>70.7</v>
      </c>
      <c r="G3517">
        <v>0</v>
      </c>
      <c r="H3517">
        <v>0</v>
      </c>
      <c r="I3517">
        <v>0</v>
      </c>
      <c r="J3517">
        <v>0</v>
      </c>
      <c r="K3517">
        <v>62.7</v>
      </c>
      <c r="L3517">
        <v>62.5</v>
      </c>
      <c r="M3517">
        <v>72.16</v>
      </c>
      <c r="N3517">
        <v>11</v>
      </c>
      <c r="O3517">
        <v>3</v>
      </c>
      <c r="P3517">
        <f>MOD(DAY(datos_siembra[[#This Row],[Date]]),7)</f>
        <v>4</v>
      </c>
      <c r="Q3517" t="str">
        <f>CHOOSE(WEEKDAY(datos_siembra[[#This Row],[Date]],2),"L","M","X","J","V","S","D")</f>
        <v>V</v>
      </c>
      <c r="R3517">
        <f>WEEKNUM(datos_siembra[[#This Row],[Date]],2)-WEEKNUM(DATE(YEAR(datos_siembra[[#This Row],[Date]]),MONTH(datos_siembra[[#This Row],[Date]]),1))+1</f>
        <v>2</v>
      </c>
      <c r="S3517">
        <f>MONTH(datos_siembra[[#This Row],[Date]])</f>
        <v>10</v>
      </c>
      <c r="T3517" t="str" cm="1">
        <f t="array" ref="T3517">_xlfn.IFS(AND(N3517&lt;= 22, S3517=9), "SOWING",AND(N3517&lt;= 28, S3517=9), "COVERAGE",AND(N3517&lt;= 30, S3517=9), "FLUSH",AND(N3517&lt;= 11, S3517=10), "FLUSH",AND(N3517&lt;= 21, S3517=10), "PRODUCTION")</f>
        <v>FLUSH</v>
      </c>
      <c r="U3517">
        <f>HOUR(datos_siembra[[#This Row],[Hour]])</f>
        <v>5</v>
      </c>
      <c r="V3517" cm="1">
        <f t="array" ref="V3517">_xlfn.IFS(AND(N3517&lt;= 22, S3517=9), N3517-7,AND(N3517&lt;= 28, S3517=9), N3517-25,AND(N3517&lt;= 30, S3517=9), N3517-28,AND(N3517&lt;= 11, S3517=10), N3517+2,AND(N3517&lt;= 21, S3517=10), N3517-11)</f>
        <v>13</v>
      </c>
    </row>
    <row r="3518" spans="1:22" x14ac:dyDescent="0.35">
      <c r="A3518" s="4">
        <v>45576</v>
      </c>
      <c r="B3518" s="5">
        <v>0.22628472222222223</v>
      </c>
      <c r="C3518">
        <v>72.099999999999994</v>
      </c>
      <c r="D3518">
        <v>69.2</v>
      </c>
      <c r="E3518">
        <v>76.400000000000006</v>
      </c>
      <c r="F3518">
        <v>70.599999999999994</v>
      </c>
      <c r="G3518">
        <v>0</v>
      </c>
      <c r="H3518">
        <v>0</v>
      </c>
      <c r="I3518">
        <v>0</v>
      </c>
      <c r="J3518">
        <v>0</v>
      </c>
      <c r="K3518">
        <v>62.7</v>
      </c>
      <c r="L3518">
        <v>62.5</v>
      </c>
      <c r="M3518">
        <v>72.11</v>
      </c>
      <c r="N3518">
        <v>11</v>
      </c>
      <c r="O3518">
        <v>3</v>
      </c>
      <c r="P3518">
        <f>MOD(DAY(datos_siembra[[#This Row],[Date]]),7)</f>
        <v>4</v>
      </c>
      <c r="Q3518" t="str">
        <f>CHOOSE(WEEKDAY(datos_siembra[[#This Row],[Date]],2),"L","M","X","J","V","S","D")</f>
        <v>V</v>
      </c>
      <c r="R3518">
        <f>WEEKNUM(datos_siembra[[#This Row],[Date]],2)-WEEKNUM(DATE(YEAR(datos_siembra[[#This Row],[Date]]),MONTH(datos_siembra[[#This Row],[Date]]),1))+1</f>
        <v>2</v>
      </c>
      <c r="S3518">
        <f>MONTH(datos_siembra[[#This Row],[Date]])</f>
        <v>10</v>
      </c>
      <c r="T3518" t="str" cm="1">
        <f t="array" ref="T3518">_xlfn.IFS(AND(N3518&lt;= 22, S3518=9), "SOWING",AND(N3518&lt;= 28, S3518=9), "COVERAGE",AND(N3518&lt;= 30, S3518=9), "FLUSH",AND(N3518&lt;= 11, S3518=10), "FLUSH",AND(N3518&lt;= 21, S3518=10), "PRODUCTION")</f>
        <v>FLUSH</v>
      </c>
      <c r="U3518">
        <f>HOUR(datos_siembra[[#This Row],[Hour]])</f>
        <v>5</v>
      </c>
      <c r="V3518" cm="1">
        <f t="array" ref="V3518">_xlfn.IFS(AND(N3518&lt;= 22, S3518=9), N3518-7,AND(N3518&lt;= 28, S3518=9), N3518-25,AND(N3518&lt;= 30, S3518=9), N3518-28,AND(N3518&lt;= 11, S3518=10), N3518+2,AND(N3518&lt;= 21, S3518=10), N3518-11)</f>
        <v>13</v>
      </c>
    </row>
    <row r="3519" spans="1:22" x14ac:dyDescent="0.35">
      <c r="A3519" s="4">
        <v>45576</v>
      </c>
      <c r="B3519" s="5">
        <v>0.23324074074074075</v>
      </c>
      <c r="C3519">
        <v>72.2</v>
      </c>
      <c r="D3519">
        <v>69.2</v>
      </c>
      <c r="E3519">
        <v>76.400000000000006</v>
      </c>
      <c r="F3519">
        <v>70.8</v>
      </c>
      <c r="G3519">
        <v>0</v>
      </c>
      <c r="H3519">
        <v>0</v>
      </c>
      <c r="I3519">
        <v>0</v>
      </c>
      <c r="J3519">
        <v>0</v>
      </c>
      <c r="K3519">
        <v>62.7</v>
      </c>
      <c r="L3519">
        <v>62.5</v>
      </c>
      <c r="M3519">
        <v>72.16</v>
      </c>
      <c r="N3519">
        <v>11</v>
      </c>
      <c r="O3519">
        <v>3</v>
      </c>
      <c r="P3519">
        <f>MOD(DAY(datos_siembra[[#This Row],[Date]]),7)</f>
        <v>4</v>
      </c>
      <c r="Q3519" t="str">
        <f>CHOOSE(WEEKDAY(datos_siembra[[#This Row],[Date]],2),"L","M","X","J","V","S","D")</f>
        <v>V</v>
      </c>
      <c r="R3519">
        <f>WEEKNUM(datos_siembra[[#This Row],[Date]],2)-WEEKNUM(DATE(YEAR(datos_siembra[[#This Row],[Date]]),MONTH(datos_siembra[[#This Row],[Date]]),1))+1</f>
        <v>2</v>
      </c>
      <c r="S3519">
        <f>MONTH(datos_siembra[[#This Row],[Date]])</f>
        <v>10</v>
      </c>
      <c r="T3519" t="str" cm="1">
        <f t="array" ref="T3519">_xlfn.IFS(AND(N3519&lt;= 22, S3519=9), "SOWING",AND(N3519&lt;= 28, S3519=9), "COVERAGE",AND(N3519&lt;= 30, S3519=9), "FLUSH",AND(N3519&lt;= 11, S3519=10), "FLUSH",AND(N3519&lt;= 21, S3519=10), "PRODUCTION")</f>
        <v>FLUSH</v>
      </c>
      <c r="U3519">
        <f>HOUR(datos_siembra[[#This Row],[Hour]])</f>
        <v>5</v>
      </c>
      <c r="V3519" cm="1">
        <f t="array" ref="V3519">_xlfn.IFS(AND(N3519&lt;= 22, S3519=9), N3519-7,AND(N3519&lt;= 28, S3519=9), N3519-25,AND(N3519&lt;= 30, S3519=9), N3519-28,AND(N3519&lt;= 11, S3519=10), N3519+2,AND(N3519&lt;= 21, S3519=10), N3519-11)</f>
        <v>13</v>
      </c>
    </row>
    <row r="3520" spans="1:22" x14ac:dyDescent="0.35">
      <c r="A3520" s="4">
        <v>45576</v>
      </c>
      <c r="B3520" s="5">
        <v>0.2401851851851852</v>
      </c>
      <c r="C3520">
        <v>72.3</v>
      </c>
      <c r="D3520">
        <v>69.2</v>
      </c>
      <c r="E3520">
        <v>76.7</v>
      </c>
      <c r="F3520">
        <v>70.900000000000006</v>
      </c>
      <c r="G3520">
        <v>0</v>
      </c>
      <c r="H3520">
        <v>0</v>
      </c>
      <c r="I3520">
        <v>0</v>
      </c>
      <c r="J3520">
        <v>0</v>
      </c>
      <c r="K3520">
        <v>62.7</v>
      </c>
      <c r="L3520">
        <v>62.5</v>
      </c>
      <c r="M3520">
        <v>72.19</v>
      </c>
      <c r="N3520">
        <v>11</v>
      </c>
      <c r="O3520">
        <v>3</v>
      </c>
      <c r="P3520">
        <f>MOD(DAY(datos_siembra[[#This Row],[Date]]),7)</f>
        <v>4</v>
      </c>
      <c r="Q3520" t="str">
        <f>CHOOSE(WEEKDAY(datos_siembra[[#This Row],[Date]],2),"L","M","X","J","V","S","D")</f>
        <v>V</v>
      </c>
      <c r="R3520">
        <f>WEEKNUM(datos_siembra[[#This Row],[Date]],2)-WEEKNUM(DATE(YEAR(datos_siembra[[#This Row],[Date]]),MONTH(datos_siembra[[#This Row],[Date]]),1))+1</f>
        <v>2</v>
      </c>
      <c r="S3520">
        <f>MONTH(datos_siembra[[#This Row],[Date]])</f>
        <v>10</v>
      </c>
      <c r="T3520" t="str" cm="1">
        <f t="array" ref="T3520">_xlfn.IFS(AND(N3520&lt;= 22, S3520=9), "SOWING",AND(N3520&lt;= 28, S3520=9), "COVERAGE",AND(N3520&lt;= 30, S3520=9), "FLUSH",AND(N3520&lt;= 11, S3520=10), "FLUSH",AND(N3520&lt;= 21, S3520=10), "PRODUCTION")</f>
        <v>FLUSH</v>
      </c>
      <c r="U3520">
        <f>HOUR(datos_siembra[[#This Row],[Hour]])</f>
        <v>5</v>
      </c>
      <c r="V3520" cm="1">
        <f t="array" ref="V3520">_xlfn.IFS(AND(N3520&lt;= 22, S3520=9), N3520-7,AND(N3520&lt;= 28, S3520=9), N3520-25,AND(N3520&lt;= 30, S3520=9), N3520-28,AND(N3520&lt;= 11, S3520=10), N3520+2,AND(N3520&lt;= 21, S3520=10), N3520-11)</f>
        <v>13</v>
      </c>
    </row>
    <row r="3521" spans="1:22" x14ac:dyDescent="0.35">
      <c r="A3521" s="4">
        <v>45576</v>
      </c>
      <c r="B3521" s="5">
        <v>0.24712962962962962</v>
      </c>
      <c r="C3521">
        <v>72.400000000000006</v>
      </c>
      <c r="D3521">
        <v>69.2</v>
      </c>
      <c r="E3521">
        <v>76.7</v>
      </c>
      <c r="F3521">
        <v>70.900000000000006</v>
      </c>
      <c r="G3521">
        <v>0</v>
      </c>
      <c r="H3521">
        <v>0</v>
      </c>
      <c r="I3521">
        <v>0</v>
      </c>
      <c r="J3521">
        <v>0</v>
      </c>
      <c r="K3521">
        <v>62.6</v>
      </c>
      <c r="L3521">
        <v>62.4</v>
      </c>
      <c r="M3521">
        <v>72.3</v>
      </c>
      <c r="N3521">
        <v>11</v>
      </c>
      <c r="O3521">
        <v>3</v>
      </c>
      <c r="P3521">
        <f>MOD(DAY(datos_siembra[[#This Row],[Date]]),7)</f>
        <v>4</v>
      </c>
      <c r="Q3521" t="str">
        <f>CHOOSE(WEEKDAY(datos_siembra[[#This Row],[Date]],2),"L","M","X","J","V","S","D")</f>
        <v>V</v>
      </c>
      <c r="R3521">
        <f>WEEKNUM(datos_siembra[[#This Row],[Date]],2)-WEEKNUM(DATE(YEAR(datos_siembra[[#This Row],[Date]]),MONTH(datos_siembra[[#This Row],[Date]]),1))+1</f>
        <v>2</v>
      </c>
      <c r="S3521">
        <f>MONTH(datos_siembra[[#This Row],[Date]])</f>
        <v>10</v>
      </c>
      <c r="T3521" t="str" cm="1">
        <f t="array" ref="T3521">_xlfn.IFS(AND(N3521&lt;= 22, S3521=9), "SOWING",AND(N3521&lt;= 28, S3521=9), "COVERAGE",AND(N3521&lt;= 30, S3521=9), "FLUSH",AND(N3521&lt;= 11, S3521=10), "FLUSH",AND(N3521&lt;= 21, S3521=10), "PRODUCTION")</f>
        <v>FLUSH</v>
      </c>
      <c r="U3521">
        <f>HOUR(datos_siembra[[#This Row],[Hour]])</f>
        <v>5</v>
      </c>
      <c r="V3521" cm="1">
        <f t="array" ref="V3521">_xlfn.IFS(AND(N3521&lt;= 22, S3521=9), N3521-7,AND(N3521&lt;= 28, S3521=9), N3521-25,AND(N3521&lt;= 30, S3521=9), N3521-28,AND(N3521&lt;= 11, S3521=10), N3521+2,AND(N3521&lt;= 21, S3521=10), N3521-11)</f>
        <v>13</v>
      </c>
    </row>
    <row r="3522" spans="1:22" x14ac:dyDescent="0.35">
      <c r="A3522" s="4">
        <v>45576</v>
      </c>
      <c r="B3522" s="5">
        <v>0.25407407407407406</v>
      </c>
      <c r="C3522">
        <v>72.2</v>
      </c>
      <c r="D3522">
        <v>69.400000000000006</v>
      </c>
      <c r="E3522">
        <v>76.7</v>
      </c>
      <c r="F3522">
        <v>70.8</v>
      </c>
      <c r="G3522">
        <v>0</v>
      </c>
      <c r="H3522">
        <v>0</v>
      </c>
      <c r="I3522">
        <v>0</v>
      </c>
      <c r="J3522">
        <v>0</v>
      </c>
      <c r="K3522">
        <v>62.7</v>
      </c>
      <c r="L3522">
        <v>62.4</v>
      </c>
      <c r="M3522">
        <v>72.22</v>
      </c>
      <c r="N3522">
        <v>11</v>
      </c>
      <c r="O3522">
        <v>3</v>
      </c>
      <c r="P3522">
        <f>MOD(DAY(datos_siembra[[#This Row],[Date]]),7)</f>
        <v>4</v>
      </c>
      <c r="Q3522" t="str">
        <f>CHOOSE(WEEKDAY(datos_siembra[[#This Row],[Date]],2),"L","M","X","J","V","S","D")</f>
        <v>V</v>
      </c>
      <c r="R3522">
        <f>WEEKNUM(datos_siembra[[#This Row],[Date]],2)-WEEKNUM(DATE(YEAR(datos_siembra[[#This Row],[Date]]),MONTH(datos_siembra[[#This Row],[Date]]),1))+1</f>
        <v>2</v>
      </c>
      <c r="S3522">
        <f>MONTH(datos_siembra[[#This Row],[Date]])</f>
        <v>10</v>
      </c>
      <c r="T3522" t="str" cm="1">
        <f t="array" ref="T3522">_xlfn.IFS(AND(N3522&lt;= 22, S3522=9), "SOWING",AND(N3522&lt;= 28, S3522=9), "COVERAGE",AND(N3522&lt;= 30, S3522=9), "FLUSH",AND(N3522&lt;= 11, S3522=10), "FLUSH",AND(N3522&lt;= 21, S3522=10), "PRODUCTION")</f>
        <v>FLUSH</v>
      </c>
      <c r="U3522">
        <f>HOUR(datos_siembra[[#This Row],[Hour]])</f>
        <v>6</v>
      </c>
      <c r="V3522" cm="1">
        <f t="array" ref="V3522">_xlfn.IFS(AND(N3522&lt;= 22, S3522=9), N3522-7,AND(N3522&lt;= 28, S3522=9), N3522-25,AND(N3522&lt;= 30, S3522=9), N3522-28,AND(N3522&lt;= 11, S3522=10), N3522+2,AND(N3522&lt;= 21, S3522=10), N3522-11)</f>
        <v>13</v>
      </c>
    </row>
    <row r="3523" spans="1:22" x14ac:dyDescent="0.35">
      <c r="A3523" s="4">
        <v>45576</v>
      </c>
      <c r="B3523" s="5">
        <v>0.26103009259259258</v>
      </c>
      <c r="C3523">
        <v>72.3</v>
      </c>
      <c r="D3523">
        <v>69.5</v>
      </c>
      <c r="E3523">
        <v>76.599999999999994</v>
      </c>
      <c r="F3523">
        <v>70.8</v>
      </c>
      <c r="G3523">
        <v>0</v>
      </c>
      <c r="H3523">
        <v>0</v>
      </c>
      <c r="I3523">
        <v>0</v>
      </c>
      <c r="J3523">
        <v>0</v>
      </c>
      <c r="K3523">
        <v>62.6</v>
      </c>
      <c r="L3523">
        <v>62.4</v>
      </c>
      <c r="M3523">
        <v>72.33</v>
      </c>
      <c r="N3523">
        <v>11</v>
      </c>
      <c r="O3523">
        <v>3</v>
      </c>
      <c r="P3523">
        <f>MOD(DAY(datos_siembra[[#This Row],[Date]]),7)</f>
        <v>4</v>
      </c>
      <c r="Q3523" t="str">
        <f>CHOOSE(WEEKDAY(datos_siembra[[#This Row],[Date]],2),"L","M","X","J","V","S","D")</f>
        <v>V</v>
      </c>
      <c r="R3523">
        <f>WEEKNUM(datos_siembra[[#This Row],[Date]],2)-WEEKNUM(DATE(YEAR(datos_siembra[[#This Row],[Date]]),MONTH(datos_siembra[[#This Row],[Date]]),1))+1</f>
        <v>2</v>
      </c>
      <c r="S3523">
        <f>MONTH(datos_siembra[[#This Row],[Date]])</f>
        <v>10</v>
      </c>
      <c r="T3523" t="str" cm="1">
        <f t="array" ref="T3523">_xlfn.IFS(AND(N3523&lt;= 22, S3523=9), "SOWING",AND(N3523&lt;= 28, S3523=9), "COVERAGE",AND(N3523&lt;= 30, S3523=9), "FLUSH",AND(N3523&lt;= 11, S3523=10), "FLUSH",AND(N3523&lt;= 21, S3523=10), "PRODUCTION")</f>
        <v>FLUSH</v>
      </c>
      <c r="U3523">
        <f>HOUR(datos_siembra[[#This Row],[Hour]])</f>
        <v>6</v>
      </c>
      <c r="V3523" cm="1">
        <f t="array" ref="V3523">_xlfn.IFS(AND(N3523&lt;= 22, S3523=9), N3523-7,AND(N3523&lt;= 28, S3523=9), N3523-25,AND(N3523&lt;= 30, S3523=9), N3523-28,AND(N3523&lt;= 11, S3523=10), N3523+2,AND(N3523&lt;= 21, S3523=10), N3523-11)</f>
        <v>13</v>
      </c>
    </row>
    <row r="3524" spans="1:22" x14ac:dyDescent="0.35">
      <c r="A3524" s="4">
        <v>45576</v>
      </c>
      <c r="B3524" s="5">
        <v>0.26797453703703705</v>
      </c>
      <c r="C3524">
        <v>72.3</v>
      </c>
      <c r="D3524">
        <v>69.5</v>
      </c>
      <c r="E3524">
        <v>76.599999999999994</v>
      </c>
      <c r="F3524">
        <v>70.900000000000006</v>
      </c>
      <c r="G3524">
        <v>0</v>
      </c>
      <c r="H3524">
        <v>0</v>
      </c>
      <c r="I3524">
        <v>0</v>
      </c>
      <c r="J3524">
        <v>0</v>
      </c>
      <c r="K3524">
        <v>62.6</v>
      </c>
      <c r="L3524">
        <v>62.5</v>
      </c>
      <c r="M3524">
        <v>72.22</v>
      </c>
      <c r="N3524">
        <v>11</v>
      </c>
      <c r="O3524">
        <v>3</v>
      </c>
      <c r="P3524">
        <f>MOD(DAY(datos_siembra[[#This Row],[Date]]),7)</f>
        <v>4</v>
      </c>
      <c r="Q3524" t="str">
        <f>CHOOSE(WEEKDAY(datos_siembra[[#This Row],[Date]],2),"L","M","X","J","V","S","D")</f>
        <v>V</v>
      </c>
      <c r="R3524">
        <f>WEEKNUM(datos_siembra[[#This Row],[Date]],2)-WEEKNUM(DATE(YEAR(datos_siembra[[#This Row],[Date]]),MONTH(datos_siembra[[#This Row],[Date]]),1))+1</f>
        <v>2</v>
      </c>
      <c r="S3524">
        <f>MONTH(datos_siembra[[#This Row],[Date]])</f>
        <v>10</v>
      </c>
      <c r="T3524" t="str" cm="1">
        <f t="array" ref="T3524">_xlfn.IFS(AND(N3524&lt;= 22, S3524=9), "SOWING",AND(N3524&lt;= 28, S3524=9), "COVERAGE",AND(N3524&lt;= 30, S3524=9), "FLUSH",AND(N3524&lt;= 11, S3524=10), "FLUSH",AND(N3524&lt;= 21, S3524=10), "PRODUCTION")</f>
        <v>FLUSH</v>
      </c>
      <c r="U3524">
        <f>HOUR(datos_siembra[[#This Row],[Hour]])</f>
        <v>6</v>
      </c>
      <c r="V3524" cm="1">
        <f t="array" ref="V3524">_xlfn.IFS(AND(N3524&lt;= 22, S3524=9), N3524-7,AND(N3524&lt;= 28, S3524=9), N3524-25,AND(N3524&lt;= 30, S3524=9), N3524-28,AND(N3524&lt;= 11, S3524=10), N3524+2,AND(N3524&lt;= 21, S3524=10), N3524-11)</f>
        <v>13</v>
      </c>
    </row>
    <row r="3525" spans="1:22" x14ac:dyDescent="0.35">
      <c r="A3525" s="4">
        <v>45576</v>
      </c>
      <c r="B3525" s="5">
        <v>0.27491898148148147</v>
      </c>
      <c r="C3525">
        <v>72.400000000000006</v>
      </c>
      <c r="D3525">
        <v>69.400000000000006</v>
      </c>
      <c r="E3525">
        <v>76.599999999999994</v>
      </c>
      <c r="F3525">
        <v>70.8</v>
      </c>
      <c r="G3525">
        <v>0</v>
      </c>
      <c r="H3525">
        <v>0</v>
      </c>
      <c r="I3525">
        <v>0</v>
      </c>
      <c r="J3525">
        <v>0</v>
      </c>
      <c r="K3525">
        <v>62.6</v>
      </c>
      <c r="L3525">
        <v>62.4</v>
      </c>
      <c r="M3525">
        <v>72.33</v>
      </c>
      <c r="N3525">
        <v>11</v>
      </c>
      <c r="O3525">
        <v>3</v>
      </c>
      <c r="P3525">
        <f>MOD(DAY(datos_siembra[[#This Row],[Date]]),7)</f>
        <v>4</v>
      </c>
      <c r="Q3525" t="str">
        <f>CHOOSE(WEEKDAY(datos_siembra[[#This Row],[Date]],2),"L","M","X","J","V","S","D")</f>
        <v>V</v>
      </c>
      <c r="R3525">
        <f>WEEKNUM(datos_siembra[[#This Row],[Date]],2)-WEEKNUM(DATE(YEAR(datos_siembra[[#This Row],[Date]]),MONTH(datos_siembra[[#This Row],[Date]]),1))+1</f>
        <v>2</v>
      </c>
      <c r="S3525">
        <f>MONTH(datos_siembra[[#This Row],[Date]])</f>
        <v>10</v>
      </c>
      <c r="T3525" t="str" cm="1">
        <f t="array" ref="T3525">_xlfn.IFS(AND(N3525&lt;= 22, S3525=9), "SOWING",AND(N3525&lt;= 28, S3525=9), "COVERAGE",AND(N3525&lt;= 30, S3525=9), "FLUSH",AND(N3525&lt;= 11, S3525=10), "FLUSH",AND(N3525&lt;= 21, S3525=10), "PRODUCTION")</f>
        <v>FLUSH</v>
      </c>
      <c r="U3525">
        <f>HOUR(datos_siembra[[#This Row],[Hour]])</f>
        <v>6</v>
      </c>
      <c r="V3525" cm="1">
        <f t="array" ref="V3525">_xlfn.IFS(AND(N3525&lt;= 22, S3525=9), N3525-7,AND(N3525&lt;= 28, S3525=9), N3525-25,AND(N3525&lt;= 30, S3525=9), N3525-28,AND(N3525&lt;= 11, S3525=10), N3525+2,AND(N3525&lt;= 21, S3525=10), N3525-11)</f>
        <v>13</v>
      </c>
    </row>
    <row r="3526" spans="1:22" x14ac:dyDescent="0.35">
      <c r="A3526" s="4">
        <v>45576</v>
      </c>
      <c r="B3526" s="5">
        <v>0.28187499999999999</v>
      </c>
      <c r="C3526">
        <v>72.3</v>
      </c>
      <c r="D3526">
        <v>69.400000000000006</v>
      </c>
      <c r="E3526">
        <v>76.3</v>
      </c>
      <c r="F3526">
        <v>70.8</v>
      </c>
      <c r="G3526">
        <v>0</v>
      </c>
      <c r="H3526">
        <v>0</v>
      </c>
      <c r="I3526">
        <v>0</v>
      </c>
      <c r="J3526">
        <v>0</v>
      </c>
      <c r="K3526">
        <v>62.7</v>
      </c>
      <c r="L3526">
        <v>62.5</v>
      </c>
      <c r="M3526">
        <v>72.33</v>
      </c>
      <c r="N3526">
        <v>11</v>
      </c>
      <c r="O3526">
        <v>3</v>
      </c>
      <c r="P3526">
        <f>MOD(DAY(datos_siembra[[#This Row],[Date]]),7)</f>
        <v>4</v>
      </c>
      <c r="Q3526" t="str">
        <f>CHOOSE(WEEKDAY(datos_siembra[[#This Row],[Date]],2),"L","M","X","J","V","S","D")</f>
        <v>V</v>
      </c>
      <c r="R3526">
        <f>WEEKNUM(datos_siembra[[#This Row],[Date]],2)-WEEKNUM(DATE(YEAR(datos_siembra[[#This Row],[Date]]),MONTH(datos_siembra[[#This Row],[Date]]),1))+1</f>
        <v>2</v>
      </c>
      <c r="S3526">
        <f>MONTH(datos_siembra[[#This Row],[Date]])</f>
        <v>10</v>
      </c>
      <c r="T3526" t="str" cm="1">
        <f t="array" ref="T3526">_xlfn.IFS(AND(N3526&lt;= 22, S3526=9), "SOWING",AND(N3526&lt;= 28, S3526=9), "COVERAGE",AND(N3526&lt;= 30, S3526=9), "FLUSH",AND(N3526&lt;= 11, S3526=10), "FLUSH",AND(N3526&lt;= 21, S3526=10), "PRODUCTION")</f>
        <v>FLUSH</v>
      </c>
      <c r="U3526">
        <f>HOUR(datos_siembra[[#This Row],[Hour]])</f>
        <v>6</v>
      </c>
      <c r="V3526" cm="1">
        <f t="array" ref="V3526">_xlfn.IFS(AND(N3526&lt;= 22, S3526=9), N3526-7,AND(N3526&lt;= 28, S3526=9), N3526-25,AND(N3526&lt;= 30, S3526=9), N3526-28,AND(N3526&lt;= 11, S3526=10), N3526+2,AND(N3526&lt;= 21, S3526=10), N3526-11)</f>
        <v>13</v>
      </c>
    </row>
    <row r="3527" spans="1:22" x14ac:dyDescent="0.35">
      <c r="A3527" s="4">
        <v>45576</v>
      </c>
      <c r="B3527" s="5">
        <v>0.28881944444444446</v>
      </c>
      <c r="C3527">
        <v>72.400000000000006</v>
      </c>
      <c r="D3527">
        <v>69.5</v>
      </c>
      <c r="E3527">
        <v>76.400000000000006</v>
      </c>
      <c r="F3527">
        <v>70.900000000000006</v>
      </c>
      <c r="G3527">
        <v>0</v>
      </c>
      <c r="H3527">
        <v>0</v>
      </c>
      <c r="I3527">
        <v>0</v>
      </c>
      <c r="J3527">
        <v>0</v>
      </c>
      <c r="K3527">
        <v>62.7</v>
      </c>
      <c r="L3527">
        <v>62.5</v>
      </c>
      <c r="M3527">
        <v>72.25</v>
      </c>
      <c r="N3527">
        <v>11</v>
      </c>
      <c r="O3527">
        <v>3</v>
      </c>
      <c r="P3527">
        <f>MOD(DAY(datos_siembra[[#This Row],[Date]]),7)</f>
        <v>4</v>
      </c>
      <c r="Q3527" t="str">
        <f>CHOOSE(WEEKDAY(datos_siembra[[#This Row],[Date]],2),"L","M","X","J","V","S","D")</f>
        <v>V</v>
      </c>
      <c r="R3527">
        <f>WEEKNUM(datos_siembra[[#This Row],[Date]],2)-WEEKNUM(DATE(YEAR(datos_siembra[[#This Row],[Date]]),MONTH(datos_siembra[[#This Row],[Date]]),1))+1</f>
        <v>2</v>
      </c>
      <c r="S3527">
        <f>MONTH(datos_siembra[[#This Row],[Date]])</f>
        <v>10</v>
      </c>
      <c r="T3527" t="str" cm="1">
        <f t="array" ref="T3527">_xlfn.IFS(AND(N3527&lt;= 22, S3527=9), "SOWING",AND(N3527&lt;= 28, S3527=9), "COVERAGE",AND(N3527&lt;= 30, S3527=9), "FLUSH",AND(N3527&lt;= 11, S3527=10), "FLUSH",AND(N3527&lt;= 21, S3527=10), "PRODUCTION")</f>
        <v>FLUSH</v>
      </c>
      <c r="U3527">
        <f>HOUR(datos_siembra[[#This Row],[Hour]])</f>
        <v>6</v>
      </c>
      <c r="V3527" cm="1">
        <f t="array" ref="V3527">_xlfn.IFS(AND(N3527&lt;= 22, S3527=9), N3527-7,AND(N3527&lt;= 28, S3527=9), N3527-25,AND(N3527&lt;= 30, S3527=9), N3527-28,AND(N3527&lt;= 11, S3527=10), N3527+2,AND(N3527&lt;= 21, S3527=10), N3527-11)</f>
        <v>13</v>
      </c>
    </row>
    <row r="3528" spans="1:22" x14ac:dyDescent="0.35">
      <c r="A3528" s="4">
        <v>45576</v>
      </c>
      <c r="B3528" s="5">
        <v>0.29576388888888888</v>
      </c>
      <c r="C3528">
        <v>72.5</v>
      </c>
      <c r="D3528">
        <v>69.400000000000006</v>
      </c>
      <c r="E3528">
        <v>76.400000000000006</v>
      </c>
      <c r="F3528">
        <v>70.900000000000006</v>
      </c>
      <c r="G3528">
        <v>0</v>
      </c>
      <c r="H3528">
        <v>0</v>
      </c>
      <c r="I3528">
        <v>0</v>
      </c>
      <c r="J3528">
        <v>0</v>
      </c>
      <c r="K3528">
        <v>62.8</v>
      </c>
      <c r="L3528">
        <v>62.6</v>
      </c>
      <c r="M3528">
        <v>72.36</v>
      </c>
      <c r="N3528">
        <v>11</v>
      </c>
      <c r="O3528">
        <v>3</v>
      </c>
      <c r="P3528">
        <f>MOD(DAY(datos_siembra[[#This Row],[Date]]),7)</f>
        <v>4</v>
      </c>
      <c r="Q3528" t="str">
        <f>CHOOSE(WEEKDAY(datos_siembra[[#This Row],[Date]],2),"L","M","X","J","V","S","D")</f>
        <v>V</v>
      </c>
      <c r="R3528">
        <f>WEEKNUM(datos_siembra[[#This Row],[Date]],2)-WEEKNUM(DATE(YEAR(datos_siembra[[#This Row],[Date]]),MONTH(datos_siembra[[#This Row],[Date]]),1))+1</f>
        <v>2</v>
      </c>
      <c r="S3528">
        <f>MONTH(datos_siembra[[#This Row],[Date]])</f>
        <v>10</v>
      </c>
      <c r="T3528" t="str" cm="1">
        <f t="array" ref="T3528">_xlfn.IFS(AND(N3528&lt;= 22, S3528=9), "SOWING",AND(N3528&lt;= 28, S3528=9), "COVERAGE",AND(N3528&lt;= 30, S3528=9), "FLUSH",AND(N3528&lt;= 11, S3528=10), "FLUSH",AND(N3528&lt;= 21, S3528=10), "PRODUCTION")</f>
        <v>FLUSH</v>
      </c>
      <c r="U3528">
        <f>HOUR(datos_siembra[[#This Row],[Hour]])</f>
        <v>7</v>
      </c>
      <c r="V3528" cm="1">
        <f t="array" ref="V3528">_xlfn.IFS(AND(N3528&lt;= 22, S3528=9), N3528-7,AND(N3528&lt;= 28, S3528=9), N3528-25,AND(N3528&lt;= 30, S3528=9), N3528-28,AND(N3528&lt;= 11, S3528=10), N3528+2,AND(N3528&lt;= 21, S3528=10), N3528-11)</f>
        <v>13</v>
      </c>
    </row>
    <row r="3529" spans="1:22" x14ac:dyDescent="0.35">
      <c r="A3529" s="4">
        <v>45576</v>
      </c>
      <c r="B3529" s="5">
        <v>0.30270833333333336</v>
      </c>
      <c r="C3529">
        <v>72.400000000000006</v>
      </c>
      <c r="D3529">
        <v>69.599999999999994</v>
      </c>
      <c r="E3529">
        <v>76.7</v>
      </c>
      <c r="F3529">
        <v>71</v>
      </c>
      <c r="G3529">
        <v>0</v>
      </c>
      <c r="H3529">
        <v>0</v>
      </c>
      <c r="I3529">
        <v>0</v>
      </c>
      <c r="J3529">
        <v>0</v>
      </c>
      <c r="K3529">
        <v>62.8</v>
      </c>
      <c r="L3529">
        <v>62.6</v>
      </c>
      <c r="M3529">
        <v>72.33</v>
      </c>
      <c r="N3529">
        <v>11</v>
      </c>
      <c r="O3529">
        <v>3</v>
      </c>
      <c r="P3529">
        <f>MOD(DAY(datos_siembra[[#This Row],[Date]]),7)</f>
        <v>4</v>
      </c>
      <c r="Q3529" t="str">
        <f>CHOOSE(WEEKDAY(datos_siembra[[#This Row],[Date]],2),"L","M","X","J","V","S","D")</f>
        <v>V</v>
      </c>
      <c r="R3529">
        <f>WEEKNUM(datos_siembra[[#This Row],[Date]],2)-WEEKNUM(DATE(YEAR(datos_siembra[[#This Row],[Date]]),MONTH(datos_siembra[[#This Row],[Date]]),1))+1</f>
        <v>2</v>
      </c>
      <c r="S3529">
        <f>MONTH(datos_siembra[[#This Row],[Date]])</f>
        <v>10</v>
      </c>
      <c r="T3529" t="str" cm="1">
        <f t="array" ref="T3529">_xlfn.IFS(AND(N3529&lt;= 22, S3529=9), "SOWING",AND(N3529&lt;= 28, S3529=9), "COVERAGE",AND(N3529&lt;= 30, S3529=9), "FLUSH",AND(N3529&lt;= 11, S3529=10), "FLUSH",AND(N3529&lt;= 21, S3529=10), "PRODUCTION")</f>
        <v>FLUSH</v>
      </c>
      <c r="U3529">
        <f>HOUR(datos_siembra[[#This Row],[Hour]])</f>
        <v>7</v>
      </c>
      <c r="V3529" cm="1">
        <f t="array" ref="V3529">_xlfn.IFS(AND(N3529&lt;= 22, S3529=9), N3529-7,AND(N3529&lt;= 28, S3529=9), N3529-25,AND(N3529&lt;= 30, S3529=9), N3529-28,AND(N3529&lt;= 11, S3529=10), N3529+2,AND(N3529&lt;= 21, S3529=10), N3529-11)</f>
        <v>13</v>
      </c>
    </row>
    <row r="3530" spans="1:22" x14ac:dyDescent="0.35">
      <c r="A3530" s="4">
        <v>45576</v>
      </c>
      <c r="B3530" s="5">
        <v>0.30966435185185187</v>
      </c>
      <c r="C3530">
        <v>72.400000000000006</v>
      </c>
      <c r="D3530">
        <v>69.5</v>
      </c>
      <c r="E3530">
        <v>76.3</v>
      </c>
      <c r="F3530">
        <v>71</v>
      </c>
      <c r="G3530">
        <v>0</v>
      </c>
      <c r="H3530">
        <v>0</v>
      </c>
      <c r="I3530">
        <v>0</v>
      </c>
      <c r="J3530">
        <v>0</v>
      </c>
      <c r="K3530">
        <v>62.9</v>
      </c>
      <c r="L3530">
        <v>62.7</v>
      </c>
      <c r="M3530">
        <v>72.3</v>
      </c>
      <c r="N3530">
        <v>11</v>
      </c>
      <c r="O3530">
        <v>3</v>
      </c>
      <c r="P3530">
        <f>MOD(DAY(datos_siembra[[#This Row],[Date]]),7)</f>
        <v>4</v>
      </c>
      <c r="Q3530" t="str">
        <f>CHOOSE(WEEKDAY(datos_siembra[[#This Row],[Date]],2),"L","M","X","J","V","S","D")</f>
        <v>V</v>
      </c>
      <c r="R3530">
        <f>WEEKNUM(datos_siembra[[#This Row],[Date]],2)-WEEKNUM(DATE(YEAR(datos_siembra[[#This Row],[Date]]),MONTH(datos_siembra[[#This Row],[Date]]),1))+1</f>
        <v>2</v>
      </c>
      <c r="S3530">
        <f>MONTH(datos_siembra[[#This Row],[Date]])</f>
        <v>10</v>
      </c>
      <c r="T3530" t="str" cm="1">
        <f t="array" ref="T3530">_xlfn.IFS(AND(N3530&lt;= 22, S3530=9), "SOWING",AND(N3530&lt;= 28, S3530=9), "COVERAGE",AND(N3530&lt;= 30, S3530=9), "FLUSH",AND(N3530&lt;= 11, S3530=10), "FLUSH",AND(N3530&lt;= 21, S3530=10), "PRODUCTION")</f>
        <v>FLUSH</v>
      </c>
      <c r="U3530">
        <f>HOUR(datos_siembra[[#This Row],[Hour]])</f>
        <v>7</v>
      </c>
      <c r="V3530" cm="1">
        <f t="array" ref="V3530">_xlfn.IFS(AND(N3530&lt;= 22, S3530=9), N3530-7,AND(N3530&lt;= 28, S3530=9), N3530-25,AND(N3530&lt;= 30, S3530=9), N3530-28,AND(N3530&lt;= 11, S3530=10), N3530+2,AND(N3530&lt;= 21, S3530=10), N3530-11)</f>
        <v>13</v>
      </c>
    </row>
    <row r="3531" spans="1:22" x14ac:dyDescent="0.35">
      <c r="A3531" s="4">
        <v>45576</v>
      </c>
      <c r="B3531" s="5">
        <v>0.31660879629629629</v>
      </c>
      <c r="C3531">
        <v>72.599999999999994</v>
      </c>
      <c r="D3531">
        <v>69.5</v>
      </c>
      <c r="E3531">
        <v>76.400000000000006</v>
      </c>
      <c r="F3531">
        <v>70.900000000000006</v>
      </c>
      <c r="G3531">
        <v>0</v>
      </c>
      <c r="H3531">
        <v>0</v>
      </c>
      <c r="I3531">
        <v>0</v>
      </c>
      <c r="J3531">
        <v>0</v>
      </c>
      <c r="K3531">
        <v>63.2</v>
      </c>
      <c r="L3531">
        <v>62.8</v>
      </c>
      <c r="M3531">
        <v>72.36</v>
      </c>
      <c r="N3531">
        <v>11</v>
      </c>
      <c r="O3531">
        <v>3</v>
      </c>
      <c r="P3531">
        <f>MOD(DAY(datos_siembra[[#This Row],[Date]]),7)</f>
        <v>4</v>
      </c>
      <c r="Q3531" t="str">
        <f>CHOOSE(WEEKDAY(datos_siembra[[#This Row],[Date]],2),"L","M","X","J","V","S","D")</f>
        <v>V</v>
      </c>
      <c r="R3531">
        <f>WEEKNUM(datos_siembra[[#This Row],[Date]],2)-WEEKNUM(DATE(YEAR(datos_siembra[[#This Row],[Date]]),MONTH(datos_siembra[[#This Row],[Date]]),1))+1</f>
        <v>2</v>
      </c>
      <c r="S3531">
        <f>MONTH(datos_siembra[[#This Row],[Date]])</f>
        <v>10</v>
      </c>
      <c r="T3531" t="str" cm="1">
        <f t="array" ref="T3531">_xlfn.IFS(AND(N3531&lt;= 22, S3531=9), "SOWING",AND(N3531&lt;= 28, S3531=9), "COVERAGE",AND(N3531&lt;= 30, S3531=9), "FLUSH",AND(N3531&lt;= 11, S3531=10), "FLUSH",AND(N3531&lt;= 21, S3531=10), "PRODUCTION")</f>
        <v>FLUSH</v>
      </c>
      <c r="U3531">
        <f>HOUR(datos_siembra[[#This Row],[Hour]])</f>
        <v>7</v>
      </c>
      <c r="V3531" cm="1">
        <f t="array" ref="V3531">_xlfn.IFS(AND(N3531&lt;= 22, S3531=9), N3531-7,AND(N3531&lt;= 28, S3531=9), N3531-25,AND(N3531&lt;= 30, S3531=9), N3531-28,AND(N3531&lt;= 11, S3531=10), N3531+2,AND(N3531&lt;= 21, S3531=10), N3531-11)</f>
        <v>13</v>
      </c>
    </row>
    <row r="3532" spans="1:22" x14ac:dyDescent="0.35">
      <c r="A3532" s="4">
        <v>45576</v>
      </c>
      <c r="B3532" s="5">
        <v>0.32355324074074077</v>
      </c>
      <c r="C3532">
        <v>72.5</v>
      </c>
      <c r="D3532">
        <v>69.599999999999994</v>
      </c>
      <c r="E3532">
        <v>76.3</v>
      </c>
      <c r="F3532">
        <v>71</v>
      </c>
      <c r="G3532">
        <v>0</v>
      </c>
      <c r="H3532">
        <v>0</v>
      </c>
      <c r="I3532">
        <v>0</v>
      </c>
      <c r="J3532">
        <v>0</v>
      </c>
      <c r="K3532">
        <v>63</v>
      </c>
      <c r="L3532">
        <v>62.8</v>
      </c>
      <c r="M3532">
        <v>72.36</v>
      </c>
      <c r="N3532">
        <v>11</v>
      </c>
      <c r="O3532">
        <v>3</v>
      </c>
      <c r="P3532">
        <f>MOD(DAY(datos_siembra[[#This Row],[Date]]),7)</f>
        <v>4</v>
      </c>
      <c r="Q3532" t="str">
        <f>CHOOSE(WEEKDAY(datos_siembra[[#This Row],[Date]],2),"L","M","X","J","V","S","D")</f>
        <v>V</v>
      </c>
      <c r="R3532">
        <f>WEEKNUM(datos_siembra[[#This Row],[Date]],2)-WEEKNUM(DATE(YEAR(datos_siembra[[#This Row],[Date]]),MONTH(datos_siembra[[#This Row],[Date]]),1))+1</f>
        <v>2</v>
      </c>
      <c r="S3532">
        <f>MONTH(datos_siembra[[#This Row],[Date]])</f>
        <v>10</v>
      </c>
      <c r="T3532" t="str" cm="1">
        <f t="array" ref="T3532">_xlfn.IFS(AND(N3532&lt;= 22, S3532=9), "SOWING",AND(N3532&lt;= 28, S3532=9), "COVERAGE",AND(N3532&lt;= 30, S3532=9), "FLUSH",AND(N3532&lt;= 11, S3532=10), "FLUSH",AND(N3532&lt;= 21, S3532=10), "PRODUCTION")</f>
        <v>FLUSH</v>
      </c>
      <c r="U3532">
        <f>HOUR(datos_siembra[[#This Row],[Hour]])</f>
        <v>7</v>
      </c>
      <c r="V3532" cm="1">
        <f t="array" ref="V3532">_xlfn.IFS(AND(N3532&lt;= 22, S3532=9), N3532-7,AND(N3532&lt;= 28, S3532=9), N3532-25,AND(N3532&lt;= 30, S3532=9), N3532-28,AND(N3532&lt;= 11, S3532=10), N3532+2,AND(N3532&lt;= 21, S3532=10), N3532-11)</f>
        <v>13</v>
      </c>
    </row>
    <row r="3533" spans="1:22" x14ac:dyDescent="0.35">
      <c r="A3533" s="4">
        <v>45576</v>
      </c>
      <c r="B3533" s="5">
        <v>0.33049768518518519</v>
      </c>
      <c r="C3533">
        <v>72.400000000000006</v>
      </c>
      <c r="D3533">
        <v>69.5</v>
      </c>
      <c r="E3533">
        <v>76.400000000000006</v>
      </c>
      <c r="F3533">
        <v>71</v>
      </c>
      <c r="G3533">
        <v>0</v>
      </c>
      <c r="H3533">
        <v>0</v>
      </c>
      <c r="I3533">
        <v>0</v>
      </c>
      <c r="J3533">
        <v>0</v>
      </c>
      <c r="K3533">
        <v>63.2</v>
      </c>
      <c r="L3533">
        <v>62.9</v>
      </c>
      <c r="M3533">
        <v>72.3</v>
      </c>
      <c r="N3533">
        <v>11</v>
      </c>
      <c r="O3533">
        <v>3</v>
      </c>
      <c r="P3533">
        <f>MOD(DAY(datos_siembra[[#This Row],[Date]]),7)</f>
        <v>4</v>
      </c>
      <c r="Q3533" t="str">
        <f>CHOOSE(WEEKDAY(datos_siembra[[#This Row],[Date]],2),"L","M","X","J","V","S","D")</f>
        <v>V</v>
      </c>
      <c r="R3533">
        <f>WEEKNUM(datos_siembra[[#This Row],[Date]],2)-WEEKNUM(DATE(YEAR(datos_siembra[[#This Row],[Date]]),MONTH(datos_siembra[[#This Row],[Date]]),1))+1</f>
        <v>2</v>
      </c>
      <c r="S3533">
        <f>MONTH(datos_siembra[[#This Row],[Date]])</f>
        <v>10</v>
      </c>
      <c r="T3533" t="str" cm="1">
        <f t="array" ref="T3533">_xlfn.IFS(AND(N3533&lt;= 22, S3533=9), "SOWING",AND(N3533&lt;= 28, S3533=9), "COVERAGE",AND(N3533&lt;= 30, S3533=9), "FLUSH",AND(N3533&lt;= 11, S3533=10), "FLUSH",AND(N3533&lt;= 21, S3533=10), "PRODUCTION")</f>
        <v>FLUSH</v>
      </c>
      <c r="U3533">
        <f>HOUR(datos_siembra[[#This Row],[Hour]])</f>
        <v>7</v>
      </c>
      <c r="V3533" cm="1">
        <f t="array" ref="V3533">_xlfn.IFS(AND(N3533&lt;= 22, S3533=9), N3533-7,AND(N3533&lt;= 28, S3533=9), N3533-25,AND(N3533&lt;= 30, S3533=9), N3533-28,AND(N3533&lt;= 11, S3533=10), N3533+2,AND(N3533&lt;= 21, S3533=10), N3533-11)</f>
        <v>13</v>
      </c>
    </row>
    <row r="3534" spans="1:22" x14ac:dyDescent="0.35">
      <c r="A3534" s="4">
        <v>45576</v>
      </c>
      <c r="B3534" s="5">
        <v>0.3374537037037037</v>
      </c>
      <c r="C3534">
        <v>72.5</v>
      </c>
      <c r="D3534">
        <v>69.7</v>
      </c>
      <c r="E3534">
        <v>76.3</v>
      </c>
      <c r="F3534">
        <v>71.099999999999994</v>
      </c>
      <c r="G3534">
        <v>0</v>
      </c>
      <c r="H3534">
        <v>0</v>
      </c>
      <c r="I3534">
        <v>0</v>
      </c>
      <c r="J3534">
        <v>0</v>
      </c>
      <c r="K3534">
        <v>63.3</v>
      </c>
      <c r="L3534">
        <v>62.9</v>
      </c>
      <c r="M3534">
        <v>72.36</v>
      </c>
      <c r="N3534">
        <v>11</v>
      </c>
      <c r="O3534">
        <v>3</v>
      </c>
      <c r="P3534">
        <f>MOD(DAY(datos_siembra[[#This Row],[Date]]),7)</f>
        <v>4</v>
      </c>
      <c r="Q3534" t="str">
        <f>CHOOSE(WEEKDAY(datos_siembra[[#This Row],[Date]],2),"L","M","X","J","V","S","D")</f>
        <v>V</v>
      </c>
      <c r="R3534">
        <f>WEEKNUM(datos_siembra[[#This Row],[Date]],2)-WEEKNUM(DATE(YEAR(datos_siembra[[#This Row],[Date]]),MONTH(datos_siembra[[#This Row],[Date]]),1))+1</f>
        <v>2</v>
      </c>
      <c r="S3534">
        <f>MONTH(datos_siembra[[#This Row],[Date]])</f>
        <v>10</v>
      </c>
      <c r="T3534" t="str" cm="1">
        <f t="array" ref="T3534">_xlfn.IFS(AND(N3534&lt;= 22, S3534=9), "SOWING",AND(N3534&lt;= 28, S3534=9), "COVERAGE",AND(N3534&lt;= 30, S3534=9), "FLUSH",AND(N3534&lt;= 11, S3534=10), "FLUSH",AND(N3534&lt;= 21, S3534=10), "PRODUCTION")</f>
        <v>FLUSH</v>
      </c>
      <c r="U3534">
        <f>HOUR(datos_siembra[[#This Row],[Hour]])</f>
        <v>8</v>
      </c>
      <c r="V3534" cm="1">
        <f t="array" ref="V3534">_xlfn.IFS(AND(N3534&lt;= 22, S3534=9), N3534-7,AND(N3534&lt;= 28, S3534=9), N3534-25,AND(N3534&lt;= 30, S3534=9), N3534-28,AND(N3534&lt;= 11, S3534=10), N3534+2,AND(N3534&lt;= 21, S3534=10), N3534-11)</f>
        <v>13</v>
      </c>
    </row>
    <row r="3535" spans="1:22" x14ac:dyDescent="0.35">
      <c r="A3535" s="4">
        <v>45576</v>
      </c>
      <c r="B3535" s="5">
        <v>0.34439814814814818</v>
      </c>
      <c r="C3535">
        <v>72.5</v>
      </c>
      <c r="D3535">
        <v>69.599999999999994</v>
      </c>
      <c r="E3535">
        <v>76.3</v>
      </c>
      <c r="F3535">
        <v>71</v>
      </c>
      <c r="G3535">
        <v>0</v>
      </c>
      <c r="H3535">
        <v>0</v>
      </c>
      <c r="I3535">
        <v>0</v>
      </c>
      <c r="J3535">
        <v>0</v>
      </c>
      <c r="K3535">
        <v>63.4</v>
      </c>
      <c r="L3535">
        <v>63.2</v>
      </c>
      <c r="M3535">
        <v>72.36</v>
      </c>
      <c r="N3535">
        <v>11</v>
      </c>
      <c r="O3535">
        <v>3</v>
      </c>
      <c r="P3535">
        <f>MOD(DAY(datos_siembra[[#This Row],[Date]]),7)</f>
        <v>4</v>
      </c>
      <c r="Q3535" t="str">
        <f>CHOOSE(WEEKDAY(datos_siembra[[#This Row],[Date]],2),"L","M","X","J","V","S","D")</f>
        <v>V</v>
      </c>
      <c r="R3535">
        <f>WEEKNUM(datos_siembra[[#This Row],[Date]],2)-WEEKNUM(DATE(YEAR(datos_siembra[[#This Row],[Date]]),MONTH(datos_siembra[[#This Row],[Date]]),1))+1</f>
        <v>2</v>
      </c>
      <c r="S3535">
        <f>MONTH(datos_siembra[[#This Row],[Date]])</f>
        <v>10</v>
      </c>
      <c r="T3535" t="str" cm="1">
        <f t="array" ref="T3535">_xlfn.IFS(AND(N3535&lt;= 22, S3535=9), "SOWING",AND(N3535&lt;= 28, S3535=9), "COVERAGE",AND(N3535&lt;= 30, S3535=9), "FLUSH",AND(N3535&lt;= 11, S3535=10), "FLUSH",AND(N3535&lt;= 21, S3535=10), "PRODUCTION")</f>
        <v>FLUSH</v>
      </c>
      <c r="U3535">
        <f>HOUR(datos_siembra[[#This Row],[Hour]])</f>
        <v>8</v>
      </c>
      <c r="V3535" cm="1">
        <f t="array" ref="V3535">_xlfn.IFS(AND(N3535&lt;= 22, S3535=9), N3535-7,AND(N3535&lt;= 28, S3535=9), N3535-25,AND(N3535&lt;= 30, S3535=9), N3535-28,AND(N3535&lt;= 11, S3535=10), N3535+2,AND(N3535&lt;= 21, S3535=10), N3535-11)</f>
        <v>13</v>
      </c>
    </row>
    <row r="3536" spans="1:22" x14ac:dyDescent="0.35">
      <c r="A3536" s="4">
        <v>45576</v>
      </c>
      <c r="B3536" s="5">
        <v>0.3513425925925926</v>
      </c>
      <c r="C3536">
        <v>72.599999999999994</v>
      </c>
      <c r="D3536">
        <v>69.7</v>
      </c>
      <c r="E3536">
        <v>76.7</v>
      </c>
      <c r="F3536">
        <v>71</v>
      </c>
      <c r="G3536">
        <v>0</v>
      </c>
      <c r="H3536">
        <v>0</v>
      </c>
      <c r="I3536">
        <v>0</v>
      </c>
      <c r="J3536">
        <v>0</v>
      </c>
      <c r="K3536">
        <v>63.5</v>
      </c>
      <c r="L3536">
        <v>63.2</v>
      </c>
      <c r="M3536">
        <v>72.47</v>
      </c>
      <c r="N3536">
        <v>11</v>
      </c>
      <c r="O3536">
        <v>3</v>
      </c>
      <c r="P3536">
        <f>MOD(DAY(datos_siembra[[#This Row],[Date]]),7)</f>
        <v>4</v>
      </c>
      <c r="Q3536" t="str">
        <f>CHOOSE(WEEKDAY(datos_siembra[[#This Row],[Date]],2),"L","M","X","J","V","S","D")</f>
        <v>V</v>
      </c>
      <c r="R3536">
        <f>WEEKNUM(datos_siembra[[#This Row],[Date]],2)-WEEKNUM(DATE(YEAR(datos_siembra[[#This Row],[Date]]),MONTH(datos_siembra[[#This Row],[Date]]),1))+1</f>
        <v>2</v>
      </c>
      <c r="S3536">
        <f>MONTH(datos_siembra[[#This Row],[Date]])</f>
        <v>10</v>
      </c>
      <c r="T3536" t="str" cm="1">
        <f t="array" ref="T3536">_xlfn.IFS(AND(N3536&lt;= 22, S3536=9), "SOWING",AND(N3536&lt;= 28, S3536=9), "COVERAGE",AND(N3536&lt;= 30, S3536=9), "FLUSH",AND(N3536&lt;= 11, S3536=10), "FLUSH",AND(N3536&lt;= 21, S3536=10), "PRODUCTION")</f>
        <v>FLUSH</v>
      </c>
      <c r="U3536">
        <f>HOUR(datos_siembra[[#This Row],[Hour]])</f>
        <v>8</v>
      </c>
      <c r="V3536" cm="1">
        <f t="array" ref="V3536">_xlfn.IFS(AND(N3536&lt;= 22, S3536=9), N3536-7,AND(N3536&lt;= 28, S3536=9), N3536-25,AND(N3536&lt;= 30, S3536=9), N3536-28,AND(N3536&lt;= 11, S3536=10), N3536+2,AND(N3536&lt;= 21, S3536=10), N3536-11)</f>
        <v>13</v>
      </c>
    </row>
    <row r="3537" spans="1:22" x14ac:dyDescent="0.35">
      <c r="A3537" s="4">
        <v>45576</v>
      </c>
      <c r="B3537" s="5">
        <v>0.36071759259259262</v>
      </c>
      <c r="C3537">
        <v>72.8</v>
      </c>
      <c r="D3537">
        <v>69.8</v>
      </c>
      <c r="E3537">
        <v>77.099999999999994</v>
      </c>
      <c r="F3537">
        <v>71.099999999999994</v>
      </c>
      <c r="G3537">
        <v>0</v>
      </c>
      <c r="H3537">
        <v>0</v>
      </c>
      <c r="I3537">
        <v>0</v>
      </c>
      <c r="J3537">
        <v>0</v>
      </c>
      <c r="K3537">
        <v>63.6</v>
      </c>
      <c r="L3537">
        <v>63.4</v>
      </c>
      <c r="M3537">
        <v>72.72</v>
      </c>
      <c r="N3537">
        <v>11</v>
      </c>
      <c r="O3537">
        <v>3</v>
      </c>
      <c r="P3537">
        <f>MOD(DAY(datos_siembra[[#This Row],[Date]]),7)</f>
        <v>4</v>
      </c>
      <c r="Q3537" t="str">
        <f>CHOOSE(WEEKDAY(datos_siembra[[#This Row],[Date]],2),"L","M","X","J","V","S","D")</f>
        <v>V</v>
      </c>
      <c r="R3537">
        <f>WEEKNUM(datos_siembra[[#This Row],[Date]],2)-WEEKNUM(DATE(YEAR(datos_siembra[[#This Row],[Date]]),MONTH(datos_siembra[[#This Row],[Date]]),1))+1</f>
        <v>2</v>
      </c>
      <c r="S3537">
        <f>MONTH(datos_siembra[[#This Row],[Date]])</f>
        <v>10</v>
      </c>
      <c r="T3537" t="str" cm="1">
        <f t="array" ref="T3537">_xlfn.IFS(AND(N3537&lt;= 22, S3537=9), "SOWING",AND(N3537&lt;= 28, S3537=9), "COVERAGE",AND(N3537&lt;= 30, S3537=9), "FLUSH",AND(N3537&lt;= 11, S3537=10), "FLUSH",AND(N3537&lt;= 21, S3537=10), "PRODUCTION")</f>
        <v>FLUSH</v>
      </c>
      <c r="U3537">
        <f>HOUR(datos_siembra[[#This Row],[Hour]])</f>
        <v>8</v>
      </c>
      <c r="V3537" cm="1">
        <f t="array" ref="V3537">_xlfn.IFS(AND(N3537&lt;= 22, S3537=9), N3537-7,AND(N3537&lt;= 28, S3537=9), N3537-25,AND(N3537&lt;= 30, S3537=9), N3537-28,AND(N3537&lt;= 11, S3537=10), N3537+2,AND(N3537&lt;= 21, S3537=10), N3537-11)</f>
        <v>13</v>
      </c>
    </row>
    <row r="3538" spans="1:22" x14ac:dyDescent="0.35">
      <c r="A3538" s="4">
        <v>45576</v>
      </c>
      <c r="B3538" s="5">
        <v>0.36752314814814813</v>
      </c>
      <c r="C3538">
        <v>72.5</v>
      </c>
      <c r="D3538">
        <v>69.599999999999994</v>
      </c>
      <c r="E3538">
        <v>76.400000000000006</v>
      </c>
      <c r="F3538">
        <v>70.900000000000006</v>
      </c>
      <c r="G3538">
        <v>0</v>
      </c>
      <c r="H3538">
        <v>0</v>
      </c>
      <c r="I3538">
        <v>0</v>
      </c>
      <c r="J3538">
        <v>0</v>
      </c>
      <c r="K3538">
        <v>63.7</v>
      </c>
      <c r="L3538">
        <v>63.6</v>
      </c>
      <c r="M3538">
        <v>72.47</v>
      </c>
      <c r="N3538">
        <v>11</v>
      </c>
      <c r="O3538">
        <v>3</v>
      </c>
      <c r="P3538">
        <f>MOD(DAY(datos_siembra[[#This Row],[Date]]),7)</f>
        <v>4</v>
      </c>
      <c r="Q3538" t="str">
        <f>CHOOSE(WEEKDAY(datos_siembra[[#This Row],[Date]],2),"L","M","X","J","V","S","D")</f>
        <v>V</v>
      </c>
      <c r="R3538">
        <f>WEEKNUM(datos_siembra[[#This Row],[Date]],2)-WEEKNUM(DATE(YEAR(datos_siembra[[#This Row],[Date]]),MONTH(datos_siembra[[#This Row],[Date]]),1))+1</f>
        <v>2</v>
      </c>
      <c r="S3538">
        <f>MONTH(datos_siembra[[#This Row],[Date]])</f>
        <v>10</v>
      </c>
      <c r="T3538" t="str" cm="1">
        <f t="array" ref="T3538">_xlfn.IFS(AND(N3538&lt;= 22, S3538=9), "SOWING",AND(N3538&lt;= 28, S3538=9), "COVERAGE",AND(N3538&lt;= 30, S3538=9), "FLUSH",AND(N3538&lt;= 11, S3538=10), "FLUSH",AND(N3538&lt;= 21, S3538=10), "PRODUCTION")</f>
        <v>FLUSH</v>
      </c>
      <c r="U3538">
        <f>HOUR(datos_siembra[[#This Row],[Hour]])</f>
        <v>8</v>
      </c>
      <c r="V3538" cm="1">
        <f t="array" ref="V3538">_xlfn.IFS(AND(N3538&lt;= 22, S3538=9), N3538-7,AND(N3538&lt;= 28, S3538=9), N3538-25,AND(N3538&lt;= 30, S3538=9), N3538-28,AND(N3538&lt;= 11, S3538=10), N3538+2,AND(N3538&lt;= 21, S3538=10), N3538-11)</f>
        <v>13</v>
      </c>
    </row>
    <row r="3539" spans="1:22" x14ac:dyDescent="0.35">
      <c r="A3539" s="4">
        <v>45576</v>
      </c>
      <c r="B3539" s="5">
        <v>0.3744675925925926</v>
      </c>
      <c r="C3539">
        <v>72.5</v>
      </c>
      <c r="D3539">
        <v>69.599999999999994</v>
      </c>
      <c r="E3539">
        <v>76.400000000000006</v>
      </c>
      <c r="F3539">
        <v>70.900000000000006</v>
      </c>
      <c r="G3539">
        <v>0</v>
      </c>
      <c r="H3539">
        <v>0</v>
      </c>
      <c r="I3539">
        <v>0</v>
      </c>
      <c r="J3539">
        <v>0</v>
      </c>
      <c r="K3539">
        <v>63.8</v>
      </c>
      <c r="L3539">
        <v>63.7</v>
      </c>
      <c r="M3539">
        <v>72.44</v>
      </c>
      <c r="N3539">
        <v>11</v>
      </c>
      <c r="O3539">
        <v>3</v>
      </c>
      <c r="P3539">
        <f>MOD(DAY(datos_siembra[[#This Row],[Date]]),7)</f>
        <v>4</v>
      </c>
      <c r="Q3539" t="str">
        <f>CHOOSE(WEEKDAY(datos_siembra[[#This Row],[Date]],2),"L","M","X","J","V","S","D")</f>
        <v>V</v>
      </c>
      <c r="R3539">
        <f>WEEKNUM(datos_siembra[[#This Row],[Date]],2)-WEEKNUM(DATE(YEAR(datos_siembra[[#This Row],[Date]]),MONTH(datos_siembra[[#This Row],[Date]]),1))+1</f>
        <v>2</v>
      </c>
      <c r="S3539">
        <f>MONTH(datos_siembra[[#This Row],[Date]])</f>
        <v>10</v>
      </c>
      <c r="T3539" t="str" cm="1">
        <f t="array" ref="T3539">_xlfn.IFS(AND(N3539&lt;= 22, S3539=9), "SOWING",AND(N3539&lt;= 28, S3539=9), "COVERAGE",AND(N3539&lt;= 30, S3539=9), "FLUSH",AND(N3539&lt;= 11, S3539=10), "FLUSH",AND(N3539&lt;= 21, S3539=10), "PRODUCTION")</f>
        <v>FLUSH</v>
      </c>
      <c r="U3539">
        <f>HOUR(datos_siembra[[#This Row],[Hour]])</f>
        <v>8</v>
      </c>
      <c r="V3539" cm="1">
        <f t="array" ref="V3539">_xlfn.IFS(AND(N3539&lt;= 22, S3539=9), N3539-7,AND(N3539&lt;= 28, S3539=9), N3539-25,AND(N3539&lt;= 30, S3539=9), N3539-28,AND(N3539&lt;= 11, S3539=10), N3539+2,AND(N3539&lt;= 21, S3539=10), N3539-11)</f>
        <v>13</v>
      </c>
    </row>
    <row r="3540" spans="1:22" x14ac:dyDescent="0.35">
      <c r="A3540" s="4">
        <v>45576</v>
      </c>
      <c r="B3540" s="5">
        <v>0.38142361111111112</v>
      </c>
      <c r="C3540">
        <v>72.5</v>
      </c>
      <c r="D3540">
        <v>69.7</v>
      </c>
      <c r="E3540">
        <v>76.599999999999994</v>
      </c>
      <c r="F3540">
        <v>71.099999999999994</v>
      </c>
      <c r="G3540">
        <v>0</v>
      </c>
      <c r="H3540">
        <v>0</v>
      </c>
      <c r="I3540">
        <v>0</v>
      </c>
      <c r="J3540">
        <v>0</v>
      </c>
      <c r="K3540">
        <v>63.8</v>
      </c>
      <c r="L3540">
        <v>63.7</v>
      </c>
      <c r="M3540">
        <v>72.53</v>
      </c>
      <c r="N3540">
        <v>11</v>
      </c>
      <c r="O3540">
        <v>3</v>
      </c>
      <c r="P3540">
        <f>MOD(DAY(datos_siembra[[#This Row],[Date]]),7)</f>
        <v>4</v>
      </c>
      <c r="Q3540" t="str">
        <f>CHOOSE(WEEKDAY(datos_siembra[[#This Row],[Date]],2),"L","M","X","J","V","S","D")</f>
        <v>V</v>
      </c>
      <c r="R3540">
        <f>WEEKNUM(datos_siembra[[#This Row],[Date]],2)-WEEKNUM(DATE(YEAR(datos_siembra[[#This Row],[Date]]),MONTH(datos_siembra[[#This Row],[Date]]),1))+1</f>
        <v>2</v>
      </c>
      <c r="S3540">
        <f>MONTH(datos_siembra[[#This Row],[Date]])</f>
        <v>10</v>
      </c>
      <c r="T3540" t="str" cm="1">
        <f t="array" ref="T3540">_xlfn.IFS(AND(N3540&lt;= 22, S3540=9), "SOWING",AND(N3540&lt;= 28, S3540=9), "COVERAGE",AND(N3540&lt;= 30, S3540=9), "FLUSH",AND(N3540&lt;= 11, S3540=10), "FLUSH",AND(N3540&lt;= 21, S3540=10), "PRODUCTION")</f>
        <v>FLUSH</v>
      </c>
      <c r="U3540">
        <f>HOUR(datos_siembra[[#This Row],[Hour]])</f>
        <v>9</v>
      </c>
      <c r="V3540" cm="1">
        <f t="array" ref="V3540">_xlfn.IFS(AND(N3540&lt;= 22, S3540=9), N3540-7,AND(N3540&lt;= 28, S3540=9), N3540-25,AND(N3540&lt;= 30, S3540=9), N3540-28,AND(N3540&lt;= 11, S3540=10), N3540+2,AND(N3540&lt;= 21, S3540=10), N3540-11)</f>
        <v>13</v>
      </c>
    </row>
    <row r="3541" spans="1:22" x14ac:dyDescent="0.35">
      <c r="A3541" s="4">
        <v>45576</v>
      </c>
      <c r="B3541" s="5">
        <v>0.38836805555555554</v>
      </c>
      <c r="C3541">
        <v>72.5</v>
      </c>
      <c r="D3541">
        <v>69.7</v>
      </c>
      <c r="E3541">
        <v>76.7</v>
      </c>
      <c r="F3541">
        <v>71.099999999999994</v>
      </c>
      <c r="G3541">
        <v>0</v>
      </c>
      <c r="H3541">
        <v>0</v>
      </c>
      <c r="I3541">
        <v>0</v>
      </c>
      <c r="J3541">
        <v>0</v>
      </c>
      <c r="K3541">
        <v>63.9</v>
      </c>
      <c r="L3541">
        <v>63.8</v>
      </c>
      <c r="M3541">
        <v>72.5</v>
      </c>
      <c r="N3541">
        <v>11</v>
      </c>
      <c r="O3541">
        <v>3</v>
      </c>
      <c r="P3541">
        <f>MOD(DAY(datos_siembra[[#This Row],[Date]]),7)</f>
        <v>4</v>
      </c>
      <c r="Q3541" t="str">
        <f>CHOOSE(WEEKDAY(datos_siembra[[#This Row],[Date]],2),"L","M","X","J","V","S","D")</f>
        <v>V</v>
      </c>
      <c r="R3541">
        <f>WEEKNUM(datos_siembra[[#This Row],[Date]],2)-WEEKNUM(DATE(YEAR(datos_siembra[[#This Row],[Date]]),MONTH(datos_siembra[[#This Row],[Date]]),1))+1</f>
        <v>2</v>
      </c>
      <c r="S3541">
        <f>MONTH(datos_siembra[[#This Row],[Date]])</f>
        <v>10</v>
      </c>
      <c r="T3541" t="str" cm="1">
        <f t="array" ref="T3541">_xlfn.IFS(AND(N3541&lt;= 22, S3541=9), "SOWING",AND(N3541&lt;= 28, S3541=9), "COVERAGE",AND(N3541&lt;= 30, S3541=9), "FLUSH",AND(N3541&lt;= 11, S3541=10), "FLUSH",AND(N3541&lt;= 21, S3541=10), "PRODUCTION")</f>
        <v>FLUSH</v>
      </c>
      <c r="U3541">
        <f>HOUR(datos_siembra[[#This Row],[Hour]])</f>
        <v>9</v>
      </c>
      <c r="V3541" cm="1">
        <f t="array" ref="V3541">_xlfn.IFS(AND(N3541&lt;= 22, S3541=9), N3541-7,AND(N3541&lt;= 28, S3541=9), N3541-25,AND(N3541&lt;= 30, S3541=9), N3541-28,AND(N3541&lt;= 11, S3541=10), N3541+2,AND(N3541&lt;= 21, S3541=10), N3541-11)</f>
        <v>13</v>
      </c>
    </row>
    <row r="3542" spans="1:22" x14ac:dyDescent="0.35">
      <c r="A3542" s="4">
        <v>45576</v>
      </c>
      <c r="B3542" s="5">
        <v>0.39531250000000001</v>
      </c>
      <c r="C3542">
        <v>72.599999999999994</v>
      </c>
      <c r="D3542">
        <v>69.8</v>
      </c>
      <c r="E3542">
        <v>76.599999999999994</v>
      </c>
      <c r="F3542">
        <v>71</v>
      </c>
      <c r="G3542">
        <v>0</v>
      </c>
      <c r="H3542">
        <v>0</v>
      </c>
      <c r="I3542">
        <v>0</v>
      </c>
      <c r="J3542">
        <v>0</v>
      </c>
      <c r="K3542">
        <v>63.8</v>
      </c>
      <c r="L3542">
        <v>63.7</v>
      </c>
      <c r="M3542">
        <v>72.47</v>
      </c>
      <c r="N3542">
        <v>11</v>
      </c>
      <c r="O3542">
        <v>3</v>
      </c>
      <c r="P3542">
        <f>MOD(DAY(datos_siembra[[#This Row],[Date]]),7)</f>
        <v>4</v>
      </c>
      <c r="Q3542" t="str">
        <f>CHOOSE(WEEKDAY(datos_siembra[[#This Row],[Date]],2),"L","M","X","J","V","S","D")</f>
        <v>V</v>
      </c>
      <c r="R3542">
        <f>WEEKNUM(datos_siembra[[#This Row],[Date]],2)-WEEKNUM(DATE(YEAR(datos_siembra[[#This Row],[Date]]),MONTH(datos_siembra[[#This Row],[Date]]),1))+1</f>
        <v>2</v>
      </c>
      <c r="S3542">
        <f>MONTH(datos_siembra[[#This Row],[Date]])</f>
        <v>10</v>
      </c>
      <c r="T3542" t="str" cm="1">
        <f t="array" ref="T3542">_xlfn.IFS(AND(N3542&lt;= 22, S3542=9), "SOWING",AND(N3542&lt;= 28, S3542=9), "COVERAGE",AND(N3542&lt;= 30, S3542=9), "FLUSH",AND(N3542&lt;= 11, S3542=10), "FLUSH",AND(N3542&lt;= 21, S3542=10), "PRODUCTION")</f>
        <v>FLUSH</v>
      </c>
      <c r="U3542">
        <f>HOUR(datos_siembra[[#This Row],[Hour]])</f>
        <v>9</v>
      </c>
      <c r="V3542" cm="1">
        <f t="array" ref="V3542">_xlfn.IFS(AND(N3542&lt;= 22, S3542=9), N3542-7,AND(N3542&lt;= 28, S3542=9), N3542-25,AND(N3542&lt;= 30, S3542=9), N3542-28,AND(N3542&lt;= 11, S3542=10), N3542+2,AND(N3542&lt;= 21, S3542=10), N3542-11)</f>
        <v>13</v>
      </c>
    </row>
    <row r="3543" spans="1:22" x14ac:dyDescent="0.35">
      <c r="A3543" s="4">
        <v>45576</v>
      </c>
      <c r="B3543" s="5">
        <v>0.40226851851851853</v>
      </c>
      <c r="C3543">
        <v>72.599999999999994</v>
      </c>
      <c r="D3543">
        <v>69.7</v>
      </c>
      <c r="E3543">
        <v>76.599999999999994</v>
      </c>
      <c r="F3543">
        <v>71</v>
      </c>
      <c r="G3543">
        <v>0</v>
      </c>
      <c r="H3543">
        <v>0</v>
      </c>
      <c r="I3543">
        <v>0</v>
      </c>
      <c r="J3543">
        <v>0</v>
      </c>
      <c r="K3543">
        <v>63.9</v>
      </c>
      <c r="L3543">
        <v>63.8</v>
      </c>
      <c r="M3543">
        <v>72.56</v>
      </c>
      <c r="N3543">
        <v>11</v>
      </c>
      <c r="O3543">
        <v>3</v>
      </c>
      <c r="P3543">
        <f>MOD(DAY(datos_siembra[[#This Row],[Date]]),7)</f>
        <v>4</v>
      </c>
      <c r="Q3543" t="str">
        <f>CHOOSE(WEEKDAY(datos_siembra[[#This Row],[Date]],2),"L","M","X","J","V","S","D")</f>
        <v>V</v>
      </c>
      <c r="R3543">
        <f>WEEKNUM(datos_siembra[[#This Row],[Date]],2)-WEEKNUM(DATE(YEAR(datos_siembra[[#This Row],[Date]]),MONTH(datos_siembra[[#This Row],[Date]]),1))+1</f>
        <v>2</v>
      </c>
      <c r="S3543">
        <f>MONTH(datos_siembra[[#This Row],[Date]])</f>
        <v>10</v>
      </c>
      <c r="T3543" t="str" cm="1">
        <f t="array" ref="T3543">_xlfn.IFS(AND(N3543&lt;= 22, S3543=9), "SOWING",AND(N3543&lt;= 28, S3543=9), "COVERAGE",AND(N3543&lt;= 30, S3543=9), "FLUSH",AND(N3543&lt;= 11, S3543=10), "FLUSH",AND(N3543&lt;= 21, S3543=10), "PRODUCTION")</f>
        <v>FLUSH</v>
      </c>
      <c r="U3543">
        <f>HOUR(datos_siembra[[#This Row],[Hour]])</f>
        <v>9</v>
      </c>
      <c r="V3543" cm="1">
        <f t="array" ref="V3543">_xlfn.IFS(AND(N3543&lt;= 22, S3543=9), N3543-7,AND(N3543&lt;= 28, S3543=9), N3543-25,AND(N3543&lt;= 30, S3543=9), N3543-28,AND(N3543&lt;= 11, S3543=10), N3543+2,AND(N3543&lt;= 21, S3543=10), N3543-11)</f>
        <v>13</v>
      </c>
    </row>
    <row r="3544" spans="1:22" x14ac:dyDescent="0.35">
      <c r="A3544" s="4">
        <v>45576</v>
      </c>
      <c r="B3544" s="5">
        <v>0.40921296296296295</v>
      </c>
      <c r="C3544">
        <v>72.5</v>
      </c>
      <c r="D3544">
        <v>69.8</v>
      </c>
      <c r="E3544">
        <v>76.400000000000006</v>
      </c>
      <c r="F3544">
        <v>71.099999999999994</v>
      </c>
      <c r="G3544">
        <v>0</v>
      </c>
      <c r="H3544">
        <v>0</v>
      </c>
      <c r="I3544">
        <v>0</v>
      </c>
      <c r="J3544">
        <v>0</v>
      </c>
      <c r="K3544">
        <v>64.2</v>
      </c>
      <c r="L3544">
        <v>64.2</v>
      </c>
      <c r="M3544">
        <v>72.39</v>
      </c>
      <c r="N3544">
        <v>11</v>
      </c>
      <c r="O3544">
        <v>3</v>
      </c>
      <c r="P3544">
        <f>MOD(DAY(datos_siembra[[#This Row],[Date]]),7)</f>
        <v>4</v>
      </c>
      <c r="Q3544" t="str">
        <f>CHOOSE(WEEKDAY(datos_siembra[[#This Row],[Date]],2),"L","M","X","J","V","S","D")</f>
        <v>V</v>
      </c>
      <c r="R3544">
        <f>WEEKNUM(datos_siembra[[#This Row],[Date]],2)-WEEKNUM(DATE(YEAR(datos_siembra[[#This Row],[Date]]),MONTH(datos_siembra[[#This Row],[Date]]),1))+1</f>
        <v>2</v>
      </c>
      <c r="S3544">
        <f>MONTH(datos_siembra[[#This Row],[Date]])</f>
        <v>10</v>
      </c>
      <c r="T3544" t="str" cm="1">
        <f t="array" ref="T3544">_xlfn.IFS(AND(N3544&lt;= 22, S3544=9), "SOWING",AND(N3544&lt;= 28, S3544=9), "COVERAGE",AND(N3544&lt;= 30, S3544=9), "FLUSH",AND(N3544&lt;= 11, S3544=10), "FLUSH",AND(N3544&lt;= 21, S3544=10), "PRODUCTION")</f>
        <v>FLUSH</v>
      </c>
      <c r="U3544">
        <f>HOUR(datos_siembra[[#This Row],[Hour]])</f>
        <v>9</v>
      </c>
      <c r="V3544" cm="1">
        <f t="array" ref="V3544">_xlfn.IFS(AND(N3544&lt;= 22, S3544=9), N3544-7,AND(N3544&lt;= 28, S3544=9), N3544-25,AND(N3544&lt;= 30, S3544=9), N3544-28,AND(N3544&lt;= 11, S3544=10), N3544+2,AND(N3544&lt;= 21, S3544=10), N3544-11)</f>
        <v>13</v>
      </c>
    </row>
    <row r="3545" spans="1:22" x14ac:dyDescent="0.35">
      <c r="A3545" s="4">
        <v>45576</v>
      </c>
      <c r="B3545" s="5">
        <v>0.41615740740740742</v>
      </c>
      <c r="C3545">
        <v>72.599999999999994</v>
      </c>
      <c r="D3545">
        <v>69.8</v>
      </c>
      <c r="E3545">
        <v>76.599999999999994</v>
      </c>
      <c r="F3545">
        <v>71.099999999999994</v>
      </c>
      <c r="G3545">
        <v>0</v>
      </c>
      <c r="H3545">
        <v>0</v>
      </c>
      <c r="I3545">
        <v>0</v>
      </c>
      <c r="J3545">
        <v>0</v>
      </c>
      <c r="K3545">
        <v>64.2</v>
      </c>
      <c r="L3545">
        <v>64.2</v>
      </c>
      <c r="M3545">
        <v>72.53</v>
      </c>
      <c r="N3545">
        <v>11</v>
      </c>
      <c r="O3545">
        <v>3</v>
      </c>
      <c r="P3545">
        <f>MOD(DAY(datos_siembra[[#This Row],[Date]]),7)</f>
        <v>4</v>
      </c>
      <c r="Q3545" t="str">
        <f>CHOOSE(WEEKDAY(datos_siembra[[#This Row],[Date]],2),"L","M","X","J","V","S","D")</f>
        <v>V</v>
      </c>
      <c r="R3545">
        <f>WEEKNUM(datos_siembra[[#This Row],[Date]],2)-WEEKNUM(DATE(YEAR(datos_siembra[[#This Row],[Date]]),MONTH(datos_siembra[[#This Row],[Date]]),1))+1</f>
        <v>2</v>
      </c>
      <c r="S3545">
        <f>MONTH(datos_siembra[[#This Row],[Date]])</f>
        <v>10</v>
      </c>
      <c r="T3545" t="str" cm="1">
        <f t="array" ref="T3545">_xlfn.IFS(AND(N3545&lt;= 22, S3545=9), "SOWING",AND(N3545&lt;= 28, S3545=9), "COVERAGE",AND(N3545&lt;= 30, S3545=9), "FLUSH",AND(N3545&lt;= 11, S3545=10), "FLUSH",AND(N3545&lt;= 21, S3545=10), "PRODUCTION")</f>
        <v>FLUSH</v>
      </c>
      <c r="U3545">
        <f>HOUR(datos_siembra[[#This Row],[Hour]])</f>
        <v>9</v>
      </c>
      <c r="V3545" cm="1">
        <f t="array" ref="V3545">_xlfn.IFS(AND(N3545&lt;= 22, S3545=9), N3545-7,AND(N3545&lt;= 28, S3545=9), N3545-25,AND(N3545&lt;= 30, S3545=9), N3545-28,AND(N3545&lt;= 11, S3545=10), N3545+2,AND(N3545&lt;= 21, S3545=10), N3545-11)</f>
        <v>13</v>
      </c>
    </row>
    <row r="3546" spans="1:22" x14ac:dyDescent="0.35">
      <c r="A3546" s="4">
        <v>45576</v>
      </c>
      <c r="B3546" s="5">
        <v>0.42310185185185184</v>
      </c>
      <c r="C3546">
        <v>72.7</v>
      </c>
      <c r="D3546">
        <v>69.900000000000006</v>
      </c>
      <c r="E3546">
        <v>76.400000000000006</v>
      </c>
      <c r="F3546">
        <v>71</v>
      </c>
      <c r="G3546">
        <v>0</v>
      </c>
      <c r="H3546">
        <v>0</v>
      </c>
      <c r="I3546">
        <v>0</v>
      </c>
      <c r="J3546">
        <v>0</v>
      </c>
      <c r="K3546">
        <v>64.3</v>
      </c>
      <c r="L3546">
        <v>64.400000000000006</v>
      </c>
      <c r="M3546">
        <v>72.5</v>
      </c>
      <c r="N3546">
        <v>11</v>
      </c>
      <c r="O3546">
        <v>3</v>
      </c>
      <c r="P3546">
        <f>MOD(DAY(datos_siembra[[#This Row],[Date]]),7)</f>
        <v>4</v>
      </c>
      <c r="Q3546" t="str">
        <f>CHOOSE(WEEKDAY(datos_siembra[[#This Row],[Date]],2),"L","M","X","J","V","S","D")</f>
        <v>V</v>
      </c>
      <c r="R3546">
        <f>WEEKNUM(datos_siembra[[#This Row],[Date]],2)-WEEKNUM(DATE(YEAR(datos_siembra[[#This Row],[Date]]),MONTH(datos_siembra[[#This Row],[Date]]),1))+1</f>
        <v>2</v>
      </c>
      <c r="S3546">
        <f>MONTH(datos_siembra[[#This Row],[Date]])</f>
        <v>10</v>
      </c>
      <c r="T3546" t="str" cm="1">
        <f t="array" ref="T3546">_xlfn.IFS(AND(N3546&lt;= 22, S3546=9), "SOWING",AND(N3546&lt;= 28, S3546=9), "COVERAGE",AND(N3546&lt;= 30, S3546=9), "FLUSH",AND(N3546&lt;= 11, S3546=10), "FLUSH",AND(N3546&lt;= 21, S3546=10), "PRODUCTION")</f>
        <v>FLUSH</v>
      </c>
      <c r="U3546">
        <f>HOUR(datos_siembra[[#This Row],[Hour]])</f>
        <v>10</v>
      </c>
      <c r="V3546" cm="1">
        <f t="array" ref="V3546">_xlfn.IFS(AND(N3546&lt;= 22, S3546=9), N3546-7,AND(N3546&lt;= 28, S3546=9), N3546-25,AND(N3546&lt;= 30, S3546=9), N3546-28,AND(N3546&lt;= 11, S3546=10), N3546+2,AND(N3546&lt;= 21, S3546=10), N3546-11)</f>
        <v>13</v>
      </c>
    </row>
    <row r="3547" spans="1:22" x14ac:dyDescent="0.35">
      <c r="A3547" s="4">
        <v>45576</v>
      </c>
      <c r="B3547" s="5">
        <v>0.43005787037037035</v>
      </c>
      <c r="C3547">
        <v>72.7</v>
      </c>
      <c r="D3547">
        <v>69.8</v>
      </c>
      <c r="E3547">
        <v>76.599999999999994</v>
      </c>
      <c r="F3547">
        <v>71.099999999999994</v>
      </c>
      <c r="G3547">
        <v>0</v>
      </c>
      <c r="H3547">
        <v>0</v>
      </c>
      <c r="I3547">
        <v>0</v>
      </c>
      <c r="J3547">
        <v>0</v>
      </c>
      <c r="K3547">
        <v>64.5</v>
      </c>
      <c r="L3547">
        <v>64.400000000000006</v>
      </c>
      <c r="M3547">
        <v>72.64</v>
      </c>
      <c r="N3547">
        <v>11</v>
      </c>
      <c r="O3547">
        <v>3</v>
      </c>
      <c r="P3547">
        <f>MOD(DAY(datos_siembra[[#This Row],[Date]]),7)</f>
        <v>4</v>
      </c>
      <c r="Q3547" t="str">
        <f>CHOOSE(WEEKDAY(datos_siembra[[#This Row],[Date]],2),"L","M","X","J","V","S","D")</f>
        <v>V</v>
      </c>
      <c r="R3547">
        <f>WEEKNUM(datos_siembra[[#This Row],[Date]],2)-WEEKNUM(DATE(YEAR(datos_siembra[[#This Row],[Date]]),MONTH(datos_siembra[[#This Row],[Date]]),1))+1</f>
        <v>2</v>
      </c>
      <c r="S3547">
        <f>MONTH(datos_siembra[[#This Row],[Date]])</f>
        <v>10</v>
      </c>
      <c r="T3547" t="str" cm="1">
        <f t="array" ref="T3547">_xlfn.IFS(AND(N3547&lt;= 22, S3547=9), "SOWING",AND(N3547&lt;= 28, S3547=9), "COVERAGE",AND(N3547&lt;= 30, S3547=9), "FLUSH",AND(N3547&lt;= 11, S3547=10), "FLUSH",AND(N3547&lt;= 21, S3547=10), "PRODUCTION")</f>
        <v>FLUSH</v>
      </c>
      <c r="U3547">
        <f>HOUR(datos_siembra[[#This Row],[Hour]])</f>
        <v>10</v>
      </c>
      <c r="V3547" cm="1">
        <f t="array" ref="V3547">_xlfn.IFS(AND(N3547&lt;= 22, S3547=9), N3547-7,AND(N3547&lt;= 28, S3547=9), N3547-25,AND(N3547&lt;= 30, S3547=9), N3547-28,AND(N3547&lt;= 11, S3547=10), N3547+2,AND(N3547&lt;= 21, S3547=10), N3547-11)</f>
        <v>13</v>
      </c>
    </row>
    <row r="3548" spans="1:22" x14ac:dyDescent="0.35">
      <c r="A3548" s="4">
        <v>45576</v>
      </c>
      <c r="B3548" s="5">
        <v>0.43700231481481483</v>
      </c>
      <c r="C3548">
        <v>72.7</v>
      </c>
      <c r="D3548">
        <v>70</v>
      </c>
      <c r="E3548">
        <v>76.8</v>
      </c>
      <c r="F3548">
        <v>71.3</v>
      </c>
      <c r="G3548">
        <v>0</v>
      </c>
      <c r="H3548">
        <v>0</v>
      </c>
      <c r="I3548">
        <v>0</v>
      </c>
      <c r="J3548">
        <v>0</v>
      </c>
      <c r="K3548">
        <v>64.900000000000006</v>
      </c>
      <c r="L3548">
        <v>64.7</v>
      </c>
      <c r="M3548">
        <v>72.72</v>
      </c>
      <c r="N3548">
        <v>11</v>
      </c>
      <c r="O3548">
        <v>3</v>
      </c>
      <c r="P3548">
        <f>MOD(DAY(datos_siembra[[#This Row],[Date]]),7)</f>
        <v>4</v>
      </c>
      <c r="Q3548" t="str">
        <f>CHOOSE(WEEKDAY(datos_siembra[[#This Row],[Date]],2),"L","M","X","J","V","S","D")</f>
        <v>V</v>
      </c>
      <c r="R3548">
        <f>WEEKNUM(datos_siembra[[#This Row],[Date]],2)-WEEKNUM(DATE(YEAR(datos_siembra[[#This Row],[Date]]),MONTH(datos_siembra[[#This Row],[Date]]),1))+1</f>
        <v>2</v>
      </c>
      <c r="S3548">
        <f>MONTH(datos_siembra[[#This Row],[Date]])</f>
        <v>10</v>
      </c>
      <c r="T3548" t="str" cm="1">
        <f t="array" ref="T3548">_xlfn.IFS(AND(N3548&lt;= 22, S3548=9), "SOWING",AND(N3548&lt;= 28, S3548=9), "COVERAGE",AND(N3548&lt;= 30, S3548=9), "FLUSH",AND(N3548&lt;= 11, S3548=10), "FLUSH",AND(N3548&lt;= 21, S3548=10), "PRODUCTION")</f>
        <v>FLUSH</v>
      </c>
      <c r="U3548">
        <f>HOUR(datos_siembra[[#This Row],[Hour]])</f>
        <v>10</v>
      </c>
      <c r="V3548" cm="1">
        <f t="array" ref="V3548">_xlfn.IFS(AND(N3548&lt;= 22, S3548=9), N3548-7,AND(N3548&lt;= 28, S3548=9), N3548-25,AND(N3548&lt;= 30, S3548=9), N3548-28,AND(N3548&lt;= 11, S3548=10), N3548+2,AND(N3548&lt;= 21, S3548=10), N3548-11)</f>
        <v>13</v>
      </c>
    </row>
    <row r="3549" spans="1:22" x14ac:dyDescent="0.35">
      <c r="A3549" s="4">
        <v>45576</v>
      </c>
      <c r="B3549" s="5">
        <v>0.44394675925925925</v>
      </c>
      <c r="C3549">
        <v>72.7</v>
      </c>
      <c r="D3549">
        <v>69.900000000000006</v>
      </c>
      <c r="E3549">
        <v>76.7</v>
      </c>
      <c r="F3549">
        <v>71.3</v>
      </c>
      <c r="G3549">
        <v>0</v>
      </c>
      <c r="H3549">
        <v>0</v>
      </c>
      <c r="I3549">
        <v>0</v>
      </c>
      <c r="J3549">
        <v>0</v>
      </c>
      <c r="K3549">
        <v>64.900000000000006</v>
      </c>
      <c r="L3549">
        <v>64.900000000000006</v>
      </c>
      <c r="M3549">
        <v>72.64</v>
      </c>
      <c r="N3549">
        <v>11</v>
      </c>
      <c r="O3549">
        <v>3</v>
      </c>
      <c r="P3549">
        <f>MOD(DAY(datos_siembra[[#This Row],[Date]]),7)</f>
        <v>4</v>
      </c>
      <c r="Q3549" t="str">
        <f>CHOOSE(WEEKDAY(datos_siembra[[#This Row],[Date]],2),"L","M","X","J","V","S","D")</f>
        <v>V</v>
      </c>
      <c r="R3549">
        <f>WEEKNUM(datos_siembra[[#This Row],[Date]],2)-WEEKNUM(DATE(YEAR(datos_siembra[[#This Row],[Date]]),MONTH(datos_siembra[[#This Row],[Date]]),1))+1</f>
        <v>2</v>
      </c>
      <c r="S3549">
        <f>MONTH(datos_siembra[[#This Row],[Date]])</f>
        <v>10</v>
      </c>
      <c r="T3549" t="str" cm="1">
        <f t="array" ref="T3549">_xlfn.IFS(AND(N3549&lt;= 22, S3549=9), "SOWING",AND(N3549&lt;= 28, S3549=9), "COVERAGE",AND(N3549&lt;= 30, S3549=9), "FLUSH",AND(N3549&lt;= 11, S3549=10), "FLUSH",AND(N3549&lt;= 21, S3549=10), "PRODUCTION")</f>
        <v>FLUSH</v>
      </c>
      <c r="U3549">
        <f>HOUR(datos_siembra[[#This Row],[Hour]])</f>
        <v>10</v>
      </c>
      <c r="V3549" cm="1">
        <f t="array" ref="V3549">_xlfn.IFS(AND(N3549&lt;= 22, S3549=9), N3549-7,AND(N3549&lt;= 28, S3549=9), N3549-25,AND(N3549&lt;= 30, S3549=9), N3549-28,AND(N3549&lt;= 11, S3549=10), N3549+2,AND(N3549&lt;= 21, S3549=10), N3549-11)</f>
        <v>13</v>
      </c>
    </row>
    <row r="3550" spans="1:22" x14ac:dyDescent="0.35">
      <c r="A3550" s="4">
        <v>45576</v>
      </c>
      <c r="B3550" s="5">
        <v>0.45090277777777776</v>
      </c>
      <c r="C3550">
        <v>72.8</v>
      </c>
      <c r="D3550">
        <v>69.8</v>
      </c>
      <c r="E3550">
        <v>76.599999999999994</v>
      </c>
      <c r="F3550">
        <v>71.400000000000006</v>
      </c>
      <c r="G3550">
        <v>0</v>
      </c>
      <c r="H3550">
        <v>0</v>
      </c>
      <c r="I3550">
        <v>0</v>
      </c>
      <c r="J3550">
        <v>0</v>
      </c>
      <c r="K3550">
        <v>64.900000000000006</v>
      </c>
      <c r="L3550">
        <v>64.900000000000006</v>
      </c>
      <c r="M3550">
        <v>72.64</v>
      </c>
      <c r="N3550">
        <v>11</v>
      </c>
      <c r="O3550">
        <v>3</v>
      </c>
      <c r="P3550">
        <f>MOD(DAY(datos_siembra[[#This Row],[Date]]),7)</f>
        <v>4</v>
      </c>
      <c r="Q3550" t="str">
        <f>CHOOSE(WEEKDAY(datos_siembra[[#This Row],[Date]],2),"L","M","X","J","V","S","D")</f>
        <v>V</v>
      </c>
      <c r="R3550">
        <f>WEEKNUM(datos_siembra[[#This Row],[Date]],2)-WEEKNUM(DATE(YEAR(datos_siembra[[#This Row],[Date]]),MONTH(datos_siembra[[#This Row],[Date]]),1))+1</f>
        <v>2</v>
      </c>
      <c r="S3550">
        <f>MONTH(datos_siembra[[#This Row],[Date]])</f>
        <v>10</v>
      </c>
      <c r="T3550" t="str" cm="1">
        <f t="array" ref="T3550">_xlfn.IFS(AND(N3550&lt;= 22, S3550=9), "SOWING",AND(N3550&lt;= 28, S3550=9), "COVERAGE",AND(N3550&lt;= 30, S3550=9), "FLUSH",AND(N3550&lt;= 11, S3550=10), "FLUSH",AND(N3550&lt;= 21, S3550=10), "PRODUCTION")</f>
        <v>FLUSH</v>
      </c>
      <c r="U3550">
        <f>HOUR(datos_siembra[[#This Row],[Hour]])</f>
        <v>10</v>
      </c>
      <c r="V3550" cm="1">
        <f t="array" ref="V3550">_xlfn.IFS(AND(N3550&lt;= 22, S3550=9), N3550-7,AND(N3550&lt;= 28, S3550=9), N3550-25,AND(N3550&lt;= 30, S3550=9), N3550-28,AND(N3550&lt;= 11, S3550=10), N3550+2,AND(N3550&lt;= 21, S3550=10), N3550-11)</f>
        <v>13</v>
      </c>
    </row>
    <row r="3551" spans="1:22" x14ac:dyDescent="0.35">
      <c r="A3551" s="4">
        <v>45576</v>
      </c>
      <c r="B3551" s="5">
        <v>0.45784722222222224</v>
      </c>
      <c r="C3551">
        <v>72.7</v>
      </c>
      <c r="D3551">
        <v>69.900000000000006</v>
      </c>
      <c r="E3551">
        <v>76.599999999999994</v>
      </c>
      <c r="F3551">
        <v>71.099999999999994</v>
      </c>
      <c r="G3551">
        <v>0</v>
      </c>
      <c r="H3551">
        <v>0</v>
      </c>
      <c r="I3551">
        <v>0</v>
      </c>
      <c r="J3551">
        <v>0</v>
      </c>
      <c r="K3551">
        <v>65</v>
      </c>
      <c r="L3551">
        <v>64.900000000000006</v>
      </c>
      <c r="M3551">
        <v>72.64</v>
      </c>
      <c r="N3551">
        <v>11</v>
      </c>
      <c r="O3551">
        <v>3</v>
      </c>
      <c r="P3551">
        <f>MOD(DAY(datos_siembra[[#This Row],[Date]]),7)</f>
        <v>4</v>
      </c>
      <c r="Q3551" t="str">
        <f>CHOOSE(WEEKDAY(datos_siembra[[#This Row],[Date]],2),"L","M","X","J","V","S","D")</f>
        <v>V</v>
      </c>
      <c r="R3551">
        <f>WEEKNUM(datos_siembra[[#This Row],[Date]],2)-WEEKNUM(DATE(YEAR(datos_siembra[[#This Row],[Date]]),MONTH(datos_siembra[[#This Row],[Date]]),1))+1</f>
        <v>2</v>
      </c>
      <c r="S3551">
        <f>MONTH(datos_siembra[[#This Row],[Date]])</f>
        <v>10</v>
      </c>
      <c r="T3551" t="str" cm="1">
        <f t="array" ref="T3551">_xlfn.IFS(AND(N3551&lt;= 22, S3551=9), "SOWING",AND(N3551&lt;= 28, S3551=9), "COVERAGE",AND(N3551&lt;= 30, S3551=9), "FLUSH",AND(N3551&lt;= 11, S3551=10), "FLUSH",AND(N3551&lt;= 21, S3551=10), "PRODUCTION")</f>
        <v>FLUSH</v>
      </c>
      <c r="U3551">
        <f>HOUR(datos_siembra[[#This Row],[Hour]])</f>
        <v>10</v>
      </c>
      <c r="V3551" cm="1">
        <f t="array" ref="V3551">_xlfn.IFS(AND(N3551&lt;= 22, S3551=9), N3551-7,AND(N3551&lt;= 28, S3551=9), N3551-25,AND(N3551&lt;= 30, S3551=9), N3551-28,AND(N3551&lt;= 11, S3551=10), N3551+2,AND(N3551&lt;= 21, S3551=10), N3551-11)</f>
        <v>13</v>
      </c>
    </row>
    <row r="3552" spans="1:22" x14ac:dyDescent="0.35">
      <c r="A3552" s="4">
        <v>45576</v>
      </c>
      <c r="B3552" s="5">
        <v>0.46479166666666666</v>
      </c>
      <c r="C3552">
        <v>72.8</v>
      </c>
      <c r="D3552">
        <v>69.900000000000006</v>
      </c>
      <c r="E3552">
        <v>76.8</v>
      </c>
      <c r="F3552">
        <v>71</v>
      </c>
      <c r="G3552">
        <v>0</v>
      </c>
      <c r="H3552">
        <v>0</v>
      </c>
      <c r="I3552">
        <v>0</v>
      </c>
      <c r="J3552">
        <v>0</v>
      </c>
      <c r="K3552">
        <v>65.099999999999994</v>
      </c>
      <c r="L3552">
        <v>65</v>
      </c>
      <c r="M3552">
        <v>72.67</v>
      </c>
      <c r="N3552">
        <v>11</v>
      </c>
      <c r="O3552">
        <v>3</v>
      </c>
      <c r="P3552">
        <f>MOD(DAY(datos_siembra[[#This Row],[Date]]),7)</f>
        <v>4</v>
      </c>
      <c r="Q3552" t="str">
        <f>CHOOSE(WEEKDAY(datos_siembra[[#This Row],[Date]],2),"L","M","X","J","V","S","D")</f>
        <v>V</v>
      </c>
      <c r="R3552">
        <f>WEEKNUM(datos_siembra[[#This Row],[Date]],2)-WEEKNUM(DATE(YEAR(datos_siembra[[#This Row],[Date]]),MONTH(datos_siembra[[#This Row],[Date]]),1))+1</f>
        <v>2</v>
      </c>
      <c r="S3552">
        <f>MONTH(datos_siembra[[#This Row],[Date]])</f>
        <v>10</v>
      </c>
      <c r="T3552" t="str" cm="1">
        <f t="array" ref="T3552">_xlfn.IFS(AND(N3552&lt;= 22, S3552=9), "SOWING",AND(N3552&lt;= 28, S3552=9), "COVERAGE",AND(N3552&lt;= 30, S3552=9), "FLUSH",AND(N3552&lt;= 11, S3552=10), "FLUSH",AND(N3552&lt;= 21, S3552=10), "PRODUCTION")</f>
        <v>FLUSH</v>
      </c>
      <c r="U3552">
        <f>HOUR(datos_siembra[[#This Row],[Hour]])</f>
        <v>11</v>
      </c>
      <c r="V3552" cm="1">
        <f t="array" ref="V3552">_xlfn.IFS(AND(N3552&lt;= 22, S3552=9), N3552-7,AND(N3552&lt;= 28, S3552=9), N3552-25,AND(N3552&lt;= 30, S3552=9), N3552-28,AND(N3552&lt;= 11, S3552=10), N3552+2,AND(N3552&lt;= 21, S3552=10), N3552-11)</f>
        <v>13</v>
      </c>
    </row>
    <row r="3553" spans="1:22" x14ac:dyDescent="0.35">
      <c r="A3553" s="4">
        <v>45576</v>
      </c>
      <c r="B3553" s="5">
        <v>0.47173611111111113</v>
      </c>
      <c r="C3553">
        <v>72.8</v>
      </c>
      <c r="D3553">
        <v>70.099999999999994</v>
      </c>
      <c r="E3553">
        <v>76.7</v>
      </c>
      <c r="F3553">
        <v>71.3</v>
      </c>
      <c r="G3553">
        <v>0</v>
      </c>
      <c r="H3553">
        <v>0</v>
      </c>
      <c r="I3553">
        <v>0</v>
      </c>
      <c r="J3553">
        <v>0</v>
      </c>
      <c r="K3553">
        <v>65</v>
      </c>
      <c r="L3553">
        <v>64.900000000000006</v>
      </c>
      <c r="M3553">
        <v>72.75</v>
      </c>
      <c r="N3553">
        <v>11</v>
      </c>
      <c r="O3553">
        <v>3</v>
      </c>
      <c r="P3553">
        <f>MOD(DAY(datos_siembra[[#This Row],[Date]]),7)</f>
        <v>4</v>
      </c>
      <c r="Q3553" t="str">
        <f>CHOOSE(WEEKDAY(datos_siembra[[#This Row],[Date]],2),"L","M","X","J","V","S","D")</f>
        <v>V</v>
      </c>
      <c r="R3553">
        <f>WEEKNUM(datos_siembra[[#This Row],[Date]],2)-WEEKNUM(DATE(YEAR(datos_siembra[[#This Row],[Date]]),MONTH(datos_siembra[[#This Row],[Date]]),1))+1</f>
        <v>2</v>
      </c>
      <c r="S3553">
        <f>MONTH(datos_siembra[[#This Row],[Date]])</f>
        <v>10</v>
      </c>
      <c r="T3553" t="str" cm="1">
        <f t="array" ref="T3553">_xlfn.IFS(AND(N3553&lt;= 22, S3553=9), "SOWING",AND(N3553&lt;= 28, S3553=9), "COVERAGE",AND(N3553&lt;= 30, S3553=9), "FLUSH",AND(N3553&lt;= 11, S3553=10), "FLUSH",AND(N3553&lt;= 21, S3553=10), "PRODUCTION")</f>
        <v>FLUSH</v>
      </c>
      <c r="U3553">
        <f>HOUR(datos_siembra[[#This Row],[Hour]])</f>
        <v>11</v>
      </c>
      <c r="V3553" cm="1">
        <f t="array" ref="V3553">_xlfn.IFS(AND(N3553&lt;= 22, S3553=9), N3553-7,AND(N3553&lt;= 28, S3553=9), N3553-25,AND(N3553&lt;= 30, S3553=9), N3553-28,AND(N3553&lt;= 11, S3553=10), N3553+2,AND(N3553&lt;= 21, S3553=10), N3553-11)</f>
        <v>13</v>
      </c>
    </row>
    <row r="3554" spans="1:22" x14ac:dyDescent="0.35">
      <c r="A3554" s="4">
        <v>45576</v>
      </c>
      <c r="B3554" s="5">
        <v>0.47869212962962965</v>
      </c>
      <c r="C3554">
        <v>72.8</v>
      </c>
      <c r="D3554">
        <v>70.099999999999994</v>
      </c>
      <c r="E3554">
        <v>76.900000000000006</v>
      </c>
      <c r="F3554">
        <v>71.3</v>
      </c>
      <c r="G3554">
        <v>0</v>
      </c>
      <c r="H3554">
        <v>0</v>
      </c>
      <c r="I3554">
        <v>0</v>
      </c>
      <c r="J3554">
        <v>0</v>
      </c>
      <c r="K3554">
        <v>65.2</v>
      </c>
      <c r="L3554">
        <v>65.2</v>
      </c>
      <c r="M3554">
        <v>72.75</v>
      </c>
      <c r="N3554">
        <v>11</v>
      </c>
      <c r="O3554">
        <v>3</v>
      </c>
      <c r="P3554">
        <f>MOD(DAY(datos_siembra[[#This Row],[Date]]),7)</f>
        <v>4</v>
      </c>
      <c r="Q3554" t="str">
        <f>CHOOSE(WEEKDAY(datos_siembra[[#This Row],[Date]],2),"L","M","X","J","V","S","D")</f>
        <v>V</v>
      </c>
      <c r="R3554">
        <f>WEEKNUM(datos_siembra[[#This Row],[Date]],2)-WEEKNUM(DATE(YEAR(datos_siembra[[#This Row],[Date]]),MONTH(datos_siembra[[#This Row],[Date]]),1))+1</f>
        <v>2</v>
      </c>
      <c r="S3554">
        <f>MONTH(datos_siembra[[#This Row],[Date]])</f>
        <v>10</v>
      </c>
      <c r="T3554" t="str" cm="1">
        <f t="array" ref="T3554">_xlfn.IFS(AND(N3554&lt;= 22, S3554=9), "SOWING",AND(N3554&lt;= 28, S3554=9), "COVERAGE",AND(N3554&lt;= 30, S3554=9), "FLUSH",AND(N3554&lt;= 11, S3554=10), "FLUSH",AND(N3554&lt;= 21, S3554=10), "PRODUCTION")</f>
        <v>FLUSH</v>
      </c>
      <c r="U3554">
        <f>HOUR(datos_siembra[[#This Row],[Hour]])</f>
        <v>11</v>
      </c>
      <c r="V3554" cm="1">
        <f t="array" ref="V3554">_xlfn.IFS(AND(N3554&lt;= 22, S3554=9), N3554-7,AND(N3554&lt;= 28, S3554=9), N3554-25,AND(N3554&lt;= 30, S3554=9), N3554-28,AND(N3554&lt;= 11, S3554=10), N3554+2,AND(N3554&lt;= 21, S3554=10), N3554-11)</f>
        <v>13</v>
      </c>
    </row>
    <row r="3555" spans="1:22" x14ac:dyDescent="0.35">
      <c r="A3555" s="4">
        <v>45576</v>
      </c>
      <c r="B3555" s="5">
        <v>0.48563657407407407</v>
      </c>
      <c r="C3555">
        <v>73</v>
      </c>
      <c r="D3555">
        <v>70</v>
      </c>
      <c r="E3555">
        <v>76.7</v>
      </c>
      <c r="F3555">
        <v>71.400000000000006</v>
      </c>
      <c r="G3555">
        <v>0</v>
      </c>
      <c r="H3555">
        <v>0</v>
      </c>
      <c r="I3555">
        <v>0</v>
      </c>
      <c r="J3555">
        <v>0</v>
      </c>
      <c r="K3555">
        <v>65.2</v>
      </c>
      <c r="L3555">
        <v>65.2</v>
      </c>
      <c r="M3555">
        <v>72.72</v>
      </c>
      <c r="N3555">
        <v>11</v>
      </c>
      <c r="O3555">
        <v>3</v>
      </c>
      <c r="P3555">
        <f>MOD(DAY(datos_siembra[[#This Row],[Date]]),7)</f>
        <v>4</v>
      </c>
      <c r="Q3555" t="str">
        <f>CHOOSE(WEEKDAY(datos_siembra[[#This Row],[Date]],2),"L","M","X","J","V","S","D")</f>
        <v>V</v>
      </c>
      <c r="R3555">
        <f>WEEKNUM(datos_siembra[[#This Row],[Date]],2)-WEEKNUM(DATE(YEAR(datos_siembra[[#This Row],[Date]]),MONTH(datos_siembra[[#This Row],[Date]]),1))+1</f>
        <v>2</v>
      </c>
      <c r="S3555">
        <f>MONTH(datos_siembra[[#This Row],[Date]])</f>
        <v>10</v>
      </c>
      <c r="T3555" t="str" cm="1">
        <f t="array" ref="T3555">_xlfn.IFS(AND(N3555&lt;= 22, S3555=9), "SOWING",AND(N3555&lt;= 28, S3555=9), "COVERAGE",AND(N3555&lt;= 30, S3555=9), "FLUSH",AND(N3555&lt;= 11, S3555=10), "FLUSH",AND(N3555&lt;= 21, S3555=10), "PRODUCTION")</f>
        <v>FLUSH</v>
      </c>
      <c r="U3555">
        <f>HOUR(datos_siembra[[#This Row],[Hour]])</f>
        <v>11</v>
      </c>
      <c r="V3555" cm="1">
        <f t="array" ref="V3555">_xlfn.IFS(AND(N3555&lt;= 22, S3555=9), N3555-7,AND(N3555&lt;= 28, S3555=9), N3555-25,AND(N3555&lt;= 30, S3555=9), N3555-28,AND(N3555&lt;= 11, S3555=10), N3555+2,AND(N3555&lt;= 21, S3555=10), N3555-11)</f>
        <v>13</v>
      </c>
    </row>
    <row r="3556" spans="1:22" x14ac:dyDescent="0.35">
      <c r="A3556" s="4">
        <v>45576</v>
      </c>
      <c r="B3556" s="5">
        <v>0.49258101851851854</v>
      </c>
      <c r="C3556">
        <v>73</v>
      </c>
      <c r="D3556">
        <v>70.099999999999994</v>
      </c>
      <c r="E3556">
        <v>76.599999999999994</v>
      </c>
      <c r="F3556">
        <v>71.400000000000006</v>
      </c>
      <c r="G3556">
        <v>0</v>
      </c>
      <c r="H3556">
        <v>0</v>
      </c>
      <c r="I3556">
        <v>0</v>
      </c>
      <c r="J3556">
        <v>0</v>
      </c>
      <c r="K3556">
        <v>65.2</v>
      </c>
      <c r="L3556">
        <v>65.2</v>
      </c>
      <c r="M3556">
        <v>72.78</v>
      </c>
      <c r="N3556">
        <v>11</v>
      </c>
      <c r="O3556">
        <v>3</v>
      </c>
      <c r="P3556">
        <f>MOD(DAY(datos_siembra[[#This Row],[Date]]),7)</f>
        <v>4</v>
      </c>
      <c r="Q3556" t="str">
        <f>CHOOSE(WEEKDAY(datos_siembra[[#This Row],[Date]],2),"L","M","X","J","V","S","D")</f>
        <v>V</v>
      </c>
      <c r="R3556">
        <f>WEEKNUM(datos_siembra[[#This Row],[Date]],2)-WEEKNUM(DATE(YEAR(datos_siembra[[#This Row],[Date]]),MONTH(datos_siembra[[#This Row],[Date]]),1))+1</f>
        <v>2</v>
      </c>
      <c r="S3556">
        <f>MONTH(datos_siembra[[#This Row],[Date]])</f>
        <v>10</v>
      </c>
      <c r="T3556" t="str" cm="1">
        <f t="array" ref="T3556">_xlfn.IFS(AND(N3556&lt;= 22, S3556=9), "SOWING",AND(N3556&lt;= 28, S3556=9), "COVERAGE",AND(N3556&lt;= 30, S3556=9), "FLUSH",AND(N3556&lt;= 11, S3556=10), "FLUSH",AND(N3556&lt;= 21, S3556=10), "PRODUCTION")</f>
        <v>FLUSH</v>
      </c>
      <c r="U3556">
        <f>HOUR(datos_siembra[[#This Row],[Hour]])</f>
        <v>11</v>
      </c>
      <c r="V3556" cm="1">
        <f t="array" ref="V3556">_xlfn.IFS(AND(N3556&lt;= 22, S3556=9), N3556-7,AND(N3556&lt;= 28, S3556=9), N3556-25,AND(N3556&lt;= 30, S3556=9), N3556-28,AND(N3556&lt;= 11, S3556=10), N3556+2,AND(N3556&lt;= 21, S3556=10), N3556-11)</f>
        <v>13</v>
      </c>
    </row>
    <row r="3557" spans="1:22" x14ac:dyDescent="0.35">
      <c r="A3557" s="4">
        <v>45576</v>
      </c>
      <c r="B3557" s="5">
        <v>0.49953703703703706</v>
      </c>
      <c r="C3557">
        <v>73</v>
      </c>
      <c r="D3557">
        <v>70</v>
      </c>
      <c r="E3557">
        <v>76.7</v>
      </c>
      <c r="F3557">
        <v>71.400000000000006</v>
      </c>
      <c r="G3557">
        <v>0</v>
      </c>
      <c r="H3557">
        <v>0</v>
      </c>
      <c r="I3557">
        <v>0</v>
      </c>
      <c r="J3557">
        <v>0</v>
      </c>
      <c r="K3557">
        <v>65.3</v>
      </c>
      <c r="L3557">
        <v>65.400000000000006</v>
      </c>
      <c r="M3557">
        <v>72.84</v>
      </c>
      <c r="N3557">
        <v>11</v>
      </c>
      <c r="O3557">
        <v>3</v>
      </c>
      <c r="P3557">
        <f>MOD(DAY(datos_siembra[[#This Row],[Date]]),7)</f>
        <v>4</v>
      </c>
      <c r="Q3557" t="str">
        <f>CHOOSE(WEEKDAY(datos_siembra[[#This Row],[Date]],2),"L","M","X","J","V","S","D")</f>
        <v>V</v>
      </c>
      <c r="R3557">
        <f>WEEKNUM(datos_siembra[[#This Row],[Date]],2)-WEEKNUM(DATE(YEAR(datos_siembra[[#This Row],[Date]]),MONTH(datos_siembra[[#This Row],[Date]]),1))+1</f>
        <v>2</v>
      </c>
      <c r="S3557">
        <f>MONTH(datos_siembra[[#This Row],[Date]])</f>
        <v>10</v>
      </c>
      <c r="T3557" t="str" cm="1">
        <f t="array" ref="T3557">_xlfn.IFS(AND(N3557&lt;= 22, S3557=9), "SOWING",AND(N3557&lt;= 28, S3557=9), "COVERAGE",AND(N3557&lt;= 30, S3557=9), "FLUSH",AND(N3557&lt;= 11, S3557=10), "FLUSH",AND(N3557&lt;= 21, S3557=10), "PRODUCTION")</f>
        <v>FLUSH</v>
      </c>
      <c r="U3557">
        <f>HOUR(datos_siembra[[#This Row],[Hour]])</f>
        <v>11</v>
      </c>
      <c r="V3557" cm="1">
        <f t="array" ref="V3557">_xlfn.IFS(AND(N3557&lt;= 22, S3557=9), N3557-7,AND(N3557&lt;= 28, S3557=9), N3557-25,AND(N3557&lt;= 30, S3557=9), N3557-28,AND(N3557&lt;= 11, S3557=10), N3557+2,AND(N3557&lt;= 21, S3557=10), N3557-11)</f>
        <v>13</v>
      </c>
    </row>
    <row r="3558" spans="1:22" x14ac:dyDescent="0.35">
      <c r="A3558" s="4">
        <v>45576</v>
      </c>
      <c r="B3558" s="5">
        <v>0.50648148148148153</v>
      </c>
      <c r="C3558">
        <v>73</v>
      </c>
      <c r="D3558">
        <v>70</v>
      </c>
      <c r="E3558">
        <v>76.7</v>
      </c>
      <c r="F3558">
        <v>71.5</v>
      </c>
      <c r="G3558">
        <v>0</v>
      </c>
      <c r="H3558">
        <v>0</v>
      </c>
      <c r="I3558">
        <v>0</v>
      </c>
      <c r="J3558">
        <v>0</v>
      </c>
      <c r="K3558">
        <v>65.2</v>
      </c>
      <c r="L3558">
        <v>65.2</v>
      </c>
      <c r="M3558">
        <v>72.84</v>
      </c>
      <c r="N3558">
        <v>11</v>
      </c>
      <c r="O3558">
        <v>3</v>
      </c>
      <c r="P3558">
        <f>MOD(DAY(datos_siembra[[#This Row],[Date]]),7)</f>
        <v>4</v>
      </c>
      <c r="Q3558" t="str">
        <f>CHOOSE(WEEKDAY(datos_siembra[[#This Row],[Date]],2),"L","M","X","J","V","S","D")</f>
        <v>V</v>
      </c>
      <c r="R3558">
        <f>WEEKNUM(datos_siembra[[#This Row],[Date]],2)-WEEKNUM(DATE(YEAR(datos_siembra[[#This Row],[Date]]),MONTH(datos_siembra[[#This Row],[Date]]),1))+1</f>
        <v>2</v>
      </c>
      <c r="S3558">
        <f>MONTH(datos_siembra[[#This Row],[Date]])</f>
        <v>10</v>
      </c>
      <c r="T3558" t="str" cm="1">
        <f t="array" ref="T3558">_xlfn.IFS(AND(N3558&lt;= 22, S3558=9), "SOWING",AND(N3558&lt;= 28, S3558=9), "COVERAGE",AND(N3558&lt;= 30, S3558=9), "FLUSH",AND(N3558&lt;= 11, S3558=10), "FLUSH",AND(N3558&lt;= 21, S3558=10), "PRODUCTION")</f>
        <v>FLUSH</v>
      </c>
      <c r="U3558">
        <f>HOUR(datos_siembra[[#This Row],[Hour]])</f>
        <v>12</v>
      </c>
      <c r="V3558" cm="1">
        <f t="array" ref="V3558">_xlfn.IFS(AND(N3558&lt;= 22, S3558=9), N3558-7,AND(N3558&lt;= 28, S3558=9), N3558-25,AND(N3558&lt;= 30, S3558=9), N3558-28,AND(N3558&lt;= 11, S3558=10), N3558+2,AND(N3558&lt;= 21, S3558=10), N3558-11)</f>
        <v>13</v>
      </c>
    </row>
    <row r="3559" spans="1:22" x14ac:dyDescent="0.35">
      <c r="A3559" s="4">
        <v>45576</v>
      </c>
      <c r="B3559" s="5">
        <v>0.51342592592592595</v>
      </c>
      <c r="C3559">
        <v>73</v>
      </c>
      <c r="D3559">
        <v>70.099999999999994</v>
      </c>
      <c r="E3559">
        <v>76.599999999999994</v>
      </c>
      <c r="F3559">
        <v>71.3</v>
      </c>
      <c r="G3559">
        <v>0</v>
      </c>
      <c r="H3559">
        <v>0</v>
      </c>
      <c r="I3559">
        <v>0</v>
      </c>
      <c r="J3559">
        <v>0</v>
      </c>
      <c r="K3559">
        <v>65.2</v>
      </c>
      <c r="L3559">
        <v>65.099999999999994</v>
      </c>
      <c r="M3559">
        <v>72.72</v>
      </c>
      <c r="N3559">
        <v>11</v>
      </c>
      <c r="O3559">
        <v>3</v>
      </c>
      <c r="P3559">
        <f>MOD(DAY(datos_siembra[[#This Row],[Date]]),7)</f>
        <v>4</v>
      </c>
      <c r="Q3559" t="str">
        <f>CHOOSE(WEEKDAY(datos_siembra[[#This Row],[Date]],2),"L","M","X","J","V","S","D")</f>
        <v>V</v>
      </c>
      <c r="R3559">
        <f>WEEKNUM(datos_siembra[[#This Row],[Date]],2)-WEEKNUM(DATE(YEAR(datos_siembra[[#This Row],[Date]]),MONTH(datos_siembra[[#This Row],[Date]]),1))+1</f>
        <v>2</v>
      </c>
      <c r="S3559">
        <f>MONTH(datos_siembra[[#This Row],[Date]])</f>
        <v>10</v>
      </c>
      <c r="T3559" t="str" cm="1">
        <f t="array" ref="T3559">_xlfn.IFS(AND(N3559&lt;= 22, S3559=9), "SOWING",AND(N3559&lt;= 28, S3559=9), "COVERAGE",AND(N3559&lt;= 30, S3559=9), "FLUSH",AND(N3559&lt;= 11, S3559=10), "FLUSH",AND(N3559&lt;= 21, S3559=10), "PRODUCTION")</f>
        <v>FLUSH</v>
      </c>
      <c r="U3559">
        <f>HOUR(datos_siembra[[#This Row],[Hour]])</f>
        <v>12</v>
      </c>
      <c r="V3559" cm="1">
        <f t="array" ref="V3559">_xlfn.IFS(AND(N3559&lt;= 22, S3559=9), N3559-7,AND(N3559&lt;= 28, S3559=9), N3559-25,AND(N3559&lt;= 30, S3559=9), N3559-28,AND(N3559&lt;= 11, S3559=10), N3559+2,AND(N3559&lt;= 21, S3559=10), N3559-11)</f>
        <v>13</v>
      </c>
    </row>
    <row r="3560" spans="1:22" x14ac:dyDescent="0.35">
      <c r="A3560" s="4">
        <v>45576</v>
      </c>
      <c r="B3560" s="5">
        <v>0.52038194444444441</v>
      </c>
      <c r="C3560">
        <v>73</v>
      </c>
      <c r="D3560">
        <v>70.3</v>
      </c>
      <c r="E3560">
        <v>76.8</v>
      </c>
      <c r="F3560">
        <v>71.5</v>
      </c>
      <c r="G3560">
        <v>0</v>
      </c>
      <c r="H3560">
        <v>0</v>
      </c>
      <c r="I3560">
        <v>0</v>
      </c>
      <c r="J3560">
        <v>0</v>
      </c>
      <c r="K3560">
        <v>65.400000000000006</v>
      </c>
      <c r="L3560">
        <v>65.400000000000006</v>
      </c>
      <c r="M3560">
        <v>72.84</v>
      </c>
      <c r="N3560">
        <v>11</v>
      </c>
      <c r="O3560">
        <v>3</v>
      </c>
      <c r="P3560">
        <f>MOD(DAY(datos_siembra[[#This Row],[Date]]),7)</f>
        <v>4</v>
      </c>
      <c r="Q3560" t="str">
        <f>CHOOSE(WEEKDAY(datos_siembra[[#This Row],[Date]],2),"L","M","X","J","V","S","D")</f>
        <v>V</v>
      </c>
      <c r="R3560">
        <f>WEEKNUM(datos_siembra[[#This Row],[Date]],2)-WEEKNUM(DATE(YEAR(datos_siembra[[#This Row],[Date]]),MONTH(datos_siembra[[#This Row],[Date]]),1))+1</f>
        <v>2</v>
      </c>
      <c r="S3560">
        <f>MONTH(datos_siembra[[#This Row],[Date]])</f>
        <v>10</v>
      </c>
      <c r="T3560" t="str" cm="1">
        <f t="array" ref="T3560">_xlfn.IFS(AND(N3560&lt;= 22, S3560=9), "SOWING",AND(N3560&lt;= 28, S3560=9), "COVERAGE",AND(N3560&lt;= 30, S3560=9), "FLUSH",AND(N3560&lt;= 11, S3560=10), "FLUSH",AND(N3560&lt;= 21, S3560=10), "PRODUCTION")</f>
        <v>FLUSH</v>
      </c>
      <c r="U3560">
        <f>HOUR(datos_siembra[[#This Row],[Hour]])</f>
        <v>12</v>
      </c>
      <c r="V3560" cm="1">
        <f t="array" ref="V3560">_xlfn.IFS(AND(N3560&lt;= 22, S3560=9), N3560-7,AND(N3560&lt;= 28, S3560=9), N3560-25,AND(N3560&lt;= 30, S3560=9), N3560-28,AND(N3560&lt;= 11, S3560=10), N3560+2,AND(N3560&lt;= 21, S3560=10), N3560-11)</f>
        <v>13</v>
      </c>
    </row>
    <row r="3561" spans="1:22" x14ac:dyDescent="0.35">
      <c r="A3561" s="4">
        <v>45576</v>
      </c>
      <c r="B3561" s="5">
        <v>0.52732638888888894</v>
      </c>
      <c r="C3561">
        <v>73.099999999999994</v>
      </c>
      <c r="D3561">
        <v>70.3</v>
      </c>
      <c r="E3561">
        <v>76.8</v>
      </c>
      <c r="F3561">
        <v>71.400000000000006</v>
      </c>
      <c r="G3561">
        <v>0</v>
      </c>
      <c r="H3561">
        <v>0</v>
      </c>
      <c r="I3561">
        <v>0</v>
      </c>
      <c r="J3561">
        <v>0</v>
      </c>
      <c r="K3561">
        <v>65.8</v>
      </c>
      <c r="L3561">
        <v>65.900000000000006</v>
      </c>
      <c r="M3561">
        <v>72.89</v>
      </c>
      <c r="N3561">
        <v>11</v>
      </c>
      <c r="O3561">
        <v>3</v>
      </c>
      <c r="P3561">
        <f>MOD(DAY(datos_siembra[[#This Row],[Date]]),7)</f>
        <v>4</v>
      </c>
      <c r="Q3561" t="str">
        <f>CHOOSE(WEEKDAY(datos_siembra[[#This Row],[Date]],2),"L","M","X","J","V","S","D")</f>
        <v>V</v>
      </c>
      <c r="R3561">
        <f>WEEKNUM(datos_siembra[[#This Row],[Date]],2)-WEEKNUM(DATE(YEAR(datos_siembra[[#This Row],[Date]]),MONTH(datos_siembra[[#This Row],[Date]]),1))+1</f>
        <v>2</v>
      </c>
      <c r="S3561">
        <f>MONTH(datos_siembra[[#This Row],[Date]])</f>
        <v>10</v>
      </c>
      <c r="T3561" t="str" cm="1">
        <f t="array" ref="T3561">_xlfn.IFS(AND(N3561&lt;= 22, S3561=9), "SOWING",AND(N3561&lt;= 28, S3561=9), "COVERAGE",AND(N3561&lt;= 30, S3561=9), "FLUSH",AND(N3561&lt;= 11, S3561=10), "FLUSH",AND(N3561&lt;= 21, S3561=10), "PRODUCTION")</f>
        <v>FLUSH</v>
      </c>
      <c r="U3561">
        <f>HOUR(datos_siembra[[#This Row],[Hour]])</f>
        <v>12</v>
      </c>
      <c r="V3561" cm="1">
        <f t="array" ref="V3561">_xlfn.IFS(AND(N3561&lt;= 22, S3561=9), N3561-7,AND(N3561&lt;= 28, S3561=9), N3561-25,AND(N3561&lt;= 30, S3561=9), N3561-28,AND(N3561&lt;= 11, S3561=10), N3561+2,AND(N3561&lt;= 21, S3561=10), N3561-11)</f>
        <v>13</v>
      </c>
    </row>
    <row r="3562" spans="1:22" x14ac:dyDescent="0.35">
      <c r="A3562" s="4">
        <v>45576</v>
      </c>
      <c r="B3562" s="5">
        <v>0.53427083333333336</v>
      </c>
      <c r="C3562">
        <v>73.2</v>
      </c>
      <c r="D3562">
        <v>70</v>
      </c>
      <c r="E3562">
        <v>76.900000000000006</v>
      </c>
      <c r="F3562">
        <v>71.400000000000006</v>
      </c>
      <c r="G3562">
        <v>0</v>
      </c>
      <c r="H3562">
        <v>0</v>
      </c>
      <c r="I3562">
        <v>0</v>
      </c>
      <c r="J3562">
        <v>0</v>
      </c>
      <c r="K3562">
        <v>64.599999999999994</v>
      </c>
      <c r="L3562">
        <v>64.5</v>
      </c>
      <c r="M3562">
        <v>72.89</v>
      </c>
      <c r="N3562">
        <v>11</v>
      </c>
      <c r="O3562">
        <v>3</v>
      </c>
      <c r="P3562">
        <f>MOD(DAY(datos_siembra[[#This Row],[Date]]),7)</f>
        <v>4</v>
      </c>
      <c r="Q3562" t="str">
        <f>CHOOSE(WEEKDAY(datos_siembra[[#This Row],[Date]],2),"L","M","X","J","V","S","D")</f>
        <v>V</v>
      </c>
      <c r="R3562">
        <f>WEEKNUM(datos_siembra[[#This Row],[Date]],2)-WEEKNUM(DATE(YEAR(datos_siembra[[#This Row],[Date]]),MONTH(datos_siembra[[#This Row],[Date]]),1))+1</f>
        <v>2</v>
      </c>
      <c r="S3562">
        <f>MONTH(datos_siembra[[#This Row],[Date]])</f>
        <v>10</v>
      </c>
      <c r="T3562" t="str" cm="1">
        <f t="array" ref="T3562">_xlfn.IFS(AND(N3562&lt;= 22, S3562=9), "SOWING",AND(N3562&lt;= 28, S3562=9), "COVERAGE",AND(N3562&lt;= 30, S3562=9), "FLUSH",AND(N3562&lt;= 11, S3562=10), "FLUSH",AND(N3562&lt;= 21, S3562=10), "PRODUCTION")</f>
        <v>FLUSH</v>
      </c>
      <c r="U3562">
        <f>HOUR(datos_siembra[[#This Row],[Hour]])</f>
        <v>12</v>
      </c>
      <c r="V3562" cm="1">
        <f t="array" ref="V3562">_xlfn.IFS(AND(N3562&lt;= 22, S3562=9), N3562-7,AND(N3562&lt;= 28, S3562=9), N3562-25,AND(N3562&lt;= 30, S3562=9), N3562-28,AND(N3562&lt;= 11, S3562=10), N3562+2,AND(N3562&lt;= 21, S3562=10), N3562-11)</f>
        <v>13</v>
      </c>
    </row>
    <row r="3563" spans="1:22" x14ac:dyDescent="0.35">
      <c r="A3563" s="4">
        <v>45576</v>
      </c>
      <c r="B3563" s="5">
        <v>0.54122685185185182</v>
      </c>
      <c r="C3563">
        <v>73</v>
      </c>
      <c r="D3563">
        <v>70.099999999999994</v>
      </c>
      <c r="E3563">
        <v>76.900000000000006</v>
      </c>
      <c r="F3563">
        <v>71.5</v>
      </c>
      <c r="G3563">
        <v>0</v>
      </c>
      <c r="H3563">
        <v>0</v>
      </c>
      <c r="I3563">
        <v>0</v>
      </c>
      <c r="J3563">
        <v>0</v>
      </c>
      <c r="K3563">
        <v>64.3</v>
      </c>
      <c r="L3563">
        <v>63.9</v>
      </c>
      <c r="M3563">
        <v>72.87</v>
      </c>
      <c r="N3563">
        <v>11</v>
      </c>
      <c r="O3563">
        <v>3</v>
      </c>
      <c r="P3563">
        <f>MOD(DAY(datos_siembra[[#This Row],[Date]]),7)</f>
        <v>4</v>
      </c>
      <c r="Q3563" t="str">
        <f>CHOOSE(WEEKDAY(datos_siembra[[#This Row],[Date]],2),"L","M","X","J","V","S","D")</f>
        <v>V</v>
      </c>
      <c r="R3563">
        <f>WEEKNUM(datos_siembra[[#This Row],[Date]],2)-WEEKNUM(DATE(YEAR(datos_siembra[[#This Row],[Date]]),MONTH(datos_siembra[[#This Row],[Date]]),1))+1</f>
        <v>2</v>
      </c>
      <c r="S3563">
        <f>MONTH(datos_siembra[[#This Row],[Date]])</f>
        <v>10</v>
      </c>
      <c r="T3563" t="str" cm="1">
        <f t="array" ref="T3563">_xlfn.IFS(AND(N3563&lt;= 22, S3563=9), "SOWING",AND(N3563&lt;= 28, S3563=9), "COVERAGE",AND(N3563&lt;= 30, S3563=9), "FLUSH",AND(N3563&lt;= 11, S3563=10), "FLUSH",AND(N3563&lt;= 21, S3563=10), "PRODUCTION")</f>
        <v>FLUSH</v>
      </c>
      <c r="U3563">
        <f>HOUR(datos_siembra[[#This Row],[Hour]])</f>
        <v>12</v>
      </c>
      <c r="V3563" cm="1">
        <f t="array" ref="V3563">_xlfn.IFS(AND(N3563&lt;= 22, S3563=9), N3563-7,AND(N3563&lt;= 28, S3563=9), N3563-25,AND(N3563&lt;= 30, S3563=9), N3563-28,AND(N3563&lt;= 11, S3563=10), N3563+2,AND(N3563&lt;= 21, S3563=10), N3563-11)</f>
        <v>13</v>
      </c>
    </row>
    <row r="3564" spans="1:22" x14ac:dyDescent="0.35">
      <c r="A3564" s="4">
        <v>45576</v>
      </c>
      <c r="B3564" s="5">
        <v>0.54817129629629635</v>
      </c>
      <c r="C3564">
        <v>73.2</v>
      </c>
      <c r="D3564">
        <v>70.3</v>
      </c>
      <c r="E3564">
        <v>76.7</v>
      </c>
      <c r="F3564">
        <v>71.400000000000006</v>
      </c>
      <c r="G3564">
        <v>0</v>
      </c>
      <c r="H3564">
        <v>0</v>
      </c>
      <c r="I3564">
        <v>0</v>
      </c>
      <c r="J3564">
        <v>0</v>
      </c>
      <c r="K3564">
        <v>64.5</v>
      </c>
      <c r="L3564">
        <v>64.2</v>
      </c>
      <c r="M3564">
        <v>72.92</v>
      </c>
      <c r="N3564">
        <v>11</v>
      </c>
      <c r="O3564">
        <v>3</v>
      </c>
      <c r="P3564">
        <f>MOD(DAY(datos_siembra[[#This Row],[Date]]),7)</f>
        <v>4</v>
      </c>
      <c r="Q3564" t="str">
        <f>CHOOSE(WEEKDAY(datos_siembra[[#This Row],[Date]],2),"L","M","X","J","V","S","D")</f>
        <v>V</v>
      </c>
      <c r="R3564">
        <f>WEEKNUM(datos_siembra[[#This Row],[Date]],2)-WEEKNUM(DATE(YEAR(datos_siembra[[#This Row],[Date]]),MONTH(datos_siembra[[#This Row],[Date]]),1))+1</f>
        <v>2</v>
      </c>
      <c r="S3564">
        <f>MONTH(datos_siembra[[#This Row],[Date]])</f>
        <v>10</v>
      </c>
      <c r="T3564" t="str" cm="1">
        <f t="array" ref="T3564">_xlfn.IFS(AND(N3564&lt;= 22, S3564=9), "SOWING",AND(N3564&lt;= 28, S3564=9), "COVERAGE",AND(N3564&lt;= 30, S3564=9), "FLUSH",AND(N3564&lt;= 11, S3564=10), "FLUSH",AND(N3564&lt;= 21, S3564=10), "PRODUCTION")</f>
        <v>FLUSH</v>
      </c>
      <c r="U3564">
        <f>HOUR(datos_siembra[[#This Row],[Hour]])</f>
        <v>13</v>
      </c>
      <c r="V3564" cm="1">
        <f t="array" ref="V3564">_xlfn.IFS(AND(N3564&lt;= 22, S3564=9), N3564-7,AND(N3564&lt;= 28, S3564=9), N3564-25,AND(N3564&lt;= 30, S3564=9), N3564-28,AND(N3564&lt;= 11, S3564=10), N3564+2,AND(N3564&lt;= 21, S3564=10), N3564-11)</f>
        <v>13</v>
      </c>
    </row>
    <row r="3565" spans="1:22" x14ac:dyDescent="0.35">
      <c r="A3565" s="4">
        <v>45576</v>
      </c>
      <c r="B3565" s="5">
        <v>0.55511574074074077</v>
      </c>
      <c r="C3565">
        <v>73.2</v>
      </c>
      <c r="D3565">
        <v>70.3</v>
      </c>
      <c r="E3565">
        <v>76.7</v>
      </c>
      <c r="F3565">
        <v>71.599999999999994</v>
      </c>
      <c r="G3565">
        <v>0</v>
      </c>
      <c r="H3565">
        <v>0</v>
      </c>
      <c r="I3565">
        <v>0</v>
      </c>
      <c r="J3565">
        <v>0</v>
      </c>
      <c r="K3565">
        <v>64.5</v>
      </c>
      <c r="L3565">
        <v>64.3</v>
      </c>
      <c r="M3565">
        <v>72.89</v>
      </c>
      <c r="N3565">
        <v>11</v>
      </c>
      <c r="O3565">
        <v>3</v>
      </c>
      <c r="P3565">
        <f>MOD(DAY(datos_siembra[[#This Row],[Date]]),7)</f>
        <v>4</v>
      </c>
      <c r="Q3565" t="str">
        <f>CHOOSE(WEEKDAY(datos_siembra[[#This Row],[Date]],2),"L","M","X","J","V","S","D")</f>
        <v>V</v>
      </c>
      <c r="R3565">
        <f>WEEKNUM(datos_siembra[[#This Row],[Date]],2)-WEEKNUM(DATE(YEAR(datos_siembra[[#This Row],[Date]]),MONTH(datos_siembra[[#This Row],[Date]]),1))+1</f>
        <v>2</v>
      </c>
      <c r="S3565">
        <f>MONTH(datos_siembra[[#This Row],[Date]])</f>
        <v>10</v>
      </c>
      <c r="T3565" t="str" cm="1">
        <f t="array" ref="T3565">_xlfn.IFS(AND(N3565&lt;= 22, S3565=9), "SOWING",AND(N3565&lt;= 28, S3565=9), "COVERAGE",AND(N3565&lt;= 30, S3565=9), "FLUSH",AND(N3565&lt;= 11, S3565=10), "FLUSH",AND(N3565&lt;= 21, S3565=10), "PRODUCTION")</f>
        <v>FLUSH</v>
      </c>
      <c r="U3565">
        <f>HOUR(datos_siembra[[#This Row],[Hour]])</f>
        <v>13</v>
      </c>
      <c r="V3565" cm="1">
        <f t="array" ref="V3565">_xlfn.IFS(AND(N3565&lt;= 22, S3565=9), N3565-7,AND(N3565&lt;= 28, S3565=9), N3565-25,AND(N3565&lt;= 30, S3565=9), N3565-28,AND(N3565&lt;= 11, S3565=10), N3565+2,AND(N3565&lt;= 21, S3565=10), N3565-11)</f>
        <v>13</v>
      </c>
    </row>
    <row r="3566" spans="1:22" x14ac:dyDescent="0.35">
      <c r="A3566" s="4">
        <v>45576</v>
      </c>
      <c r="B3566" s="5">
        <v>0.56206018518518519</v>
      </c>
      <c r="C3566">
        <v>73.2</v>
      </c>
      <c r="D3566">
        <v>70.400000000000006</v>
      </c>
      <c r="E3566">
        <v>76.8</v>
      </c>
      <c r="F3566">
        <v>71.599999999999994</v>
      </c>
      <c r="G3566">
        <v>0</v>
      </c>
      <c r="H3566">
        <v>0</v>
      </c>
      <c r="I3566">
        <v>0</v>
      </c>
      <c r="J3566">
        <v>0</v>
      </c>
      <c r="K3566">
        <v>64.5</v>
      </c>
      <c r="L3566">
        <v>64.3</v>
      </c>
      <c r="M3566">
        <v>73.03</v>
      </c>
      <c r="N3566">
        <v>11</v>
      </c>
      <c r="O3566">
        <v>3</v>
      </c>
      <c r="P3566">
        <f>MOD(DAY(datos_siembra[[#This Row],[Date]]),7)</f>
        <v>4</v>
      </c>
      <c r="Q3566" t="str">
        <f>CHOOSE(WEEKDAY(datos_siembra[[#This Row],[Date]],2),"L","M","X","J","V","S","D")</f>
        <v>V</v>
      </c>
      <c r="R3566">
        <f>WEEKNUM(datos_siembra[[#This Row],[Date]],2)-WEEKNUM(DATE(YEAR(datos_siembra[[#This Row],[Date]]),MONTH(datos_siembra[[#This Row],[Date]]),1))+1</f>
        <v>2</v>
      </c>
      <c r="S3566">
        <f>MONTH(datos_siembra[[#This Row],[Date]])</f>
        <v>10</v>
      </c>
      <c r="T3566" t="str" cm="1">
        <f t="array" ref="T3566">_xlfn.IFS(AND(N3566&lt;= 22, S3566=9), "SOWING",AND(N3566&lt;= 28, S3566=9), "COVERAGE",AND(N3566&lt;= 30, S3566=9), "FLUSH",AND(N3566&lt;= 11, S3566=10), "FLUSH",AND(N3566&lt;= 21, S3566=10), "PRODUCTION")</f>
        <v>FLUSH</v>
      </c>
      <c r="U3566">
        <f>HOUR(datos_siembra[[#This Row],[Hour]])</f>
        <v>13</v>
      </c>
      <c r="V3566" cm="1">
        <f t="array" ref="V3566">_xlfn.IFS(AND(N3566&lt;= 22, S3566=9), N3566-7,AND(N3566&lt;= 28, S3566=9), N3566-25,AND(N3566&lt;= 30, S3566=9), N3566-28,AND(N3566&lt;= 11, S3566=10), N3566+2,AND(N3566&lt;= 21, S3566=10), N3566-11)</f>
        <v>13</v>
      </c>
    </row>
    <row r="3567" spans="1:22" x14ac:dyDescent="0.35">
      <c r="A3567" s="4">
        <v>45576</v>
      </c>
      <c r="B3567" s="5">
        <v>0.56901620370370365</v>
      </c>
      <c r="C3567">
        <v>73.099999999999994</v>
      </c>
      <c r="D3567">
        <v>70.400000000000006</v>
      </c>
      <c r="E3567">
        <v>76.900000000000006</v>
      </c>
      <c r="F3567">
        <v>71.599999999999994</v>
      </c>
      <c r="G3567">
        <v>0</v>
      </c>
      <c r="H3567">
        <v>0</v>
      </c>
      <c r="I3567">
        <v>0</v>
      </c>
      <c r="J3567">
        <v>0</v>
      </c>
      <c r="K3567">
        <v>64.5</v>
      </c>
      <c r="L3567">
        <v>64.2</v>
      </c>
      <c r="M3567">
        <v>72.95</v>
      </c>
      <c r="N3567">
        <v>11</v>
      </c>
      <c r="O3567">
        <v>3</v>
      </c>
      <c r="P3567">
        <f>MOD(DAY(datos_siembra[[#This Row],[Date]]),7)</f>
        <v>4</v>
      </c>
      <c r="Q3567" t="str">
        <f>CHOOSE(WEEKDAY(datos_siembra[[#This Row],[Date]],2),"L","M","X","J","V","S","D")</f>
        <v>V</v>
      </c>
      <c r="R3567">
        <f>WEEKNUM(datos_siembra[[#This Row],[Date]],2)-WEEKNUM(DATE(YEAR(datos_siembra[[#This Row],[Date]]),MONTH(datos_siembra[[#This Row],[Date]]),1))+1</f>
        <v>2</v>
      </c>
      <c r="S3567">
        <f>MONTH(datos_siembra[[#This Row],[Date]])</f>
        <v>10</v>
      </c>
      <c r="T3567" t="str" cm="1">
        <f t="array" ref="T3567">_xlfn.IFS(AND(N3567&lt;= 22, S3567=9), "SOWING",AND(N3567&lt;= 28, S3567=9), "COVERAGE",AND(N3567&lt;= 30, S3567=9), "FLUSH",AND(N3567&lt;= 11, S3567=10), "FLUSH",AND(N3567&lt;= 21, S3567=10), "PRODUCTION")</f>
        <v>FLUSH</v>
      </c>
      <c r="U3567">
        <f>HOUR(datos_siembra[[#This Row],[Hour]])</f>
        <v>13</v>
      </c>
      <c r="V3567" cm="1">
        <f t="array" ref="V3567">_xlfn.IFS(AND(N3567&lt;= 22, S3567=9), N3567-7,AND(N3567&lt;= 28, S3567=9), N3567-25,AND(N3567&lt;= 30, S3567=9), N3567-28,AND(N3567&lt;= 11, S3567=10), N3567+2,AND(N3567&lt;= 21, S3567=10), N3567-11)</f>
        <v>13</v>
      </c>
    </row>
    <row r="3568" spans="1:22" x14ac:dyDescent="0.35">
      <c r="A3568" s="4">
        <v>45576</v>
      </c>
      <c r="B3568" s="5">
        <v>0.57596064814814818</v>
      </c>
      <c r="C3568">
        <v>73.2</v>
      </c>
      <c r="D3568">
        <v>70.3</v>
      </c>
      <c r="E3568">
        <v>77</v>
      </c>
      <c r="F3568">
        <v>71.8</v>
      </c>
      <c r="G3568">
        <v>0</v>
      </c>
      <c r="H3568">
        <v>0</v>
      </c>
      <c r="I3568">
        <v>0</v>
      </c>
      <c r="J3568">
        <v>0</v>
      </c>
      <c r="K3568">
        <v>64.5</v>
      </c>
      <c r="L3568">
        <v>64.2</v>
      </c>
      <c r="M3568">
        <v>73.03</v>
      </c>
      <c r="N3568">
        <v>11</v>
      </c>
      <c r="O3568">
        <v>3</v>
      </c>
      <c r="P3568">
        <f>MOD(DAY(datos_siembra[[#This Row],[Date]]),7)</f>
        <v>4</v>
      </c>
      <c r="Q3568" t="str">
        <f>CHOOSE(WEEKDAY(datos_siembra[[#This Row],[Date]],2),"L","M","X","J","V","S","D")</f>
        <v>V</v>
      </c>
      <c r="R3568">
        <f>WEEKNUM(datos_siembra[[#This Row],[Date]],2)-WEEKNUM(DATE(YEAR(datos_siembra[[#This Row],[Date]]),MONTH(datos_siembra[[#This Row],[Date]]),1))+1</f>
        <v>2</v>
      </c>
      <c r="S3568">
        <f>MONTH(datos_siembra[[#This Row],[Date]])</f>
        <v>10</v>
      </c>
      <c r="T3568" t="str" cm="1">
        <f t="array" ref="T3568">_xlfn.IFS(AND(N3568&lt;= 22, S3568=9), "SOWING",AND(N3568&lt;= 28, S3568=9), "COVERAGE",AND(N3568&lt;= 30, S3568=9), "FLUSH",AND(N3568&lt;= 11, S3568=10), "FLUSH",AND(N3568&lt;= 21, S3568=10), "PRODUCTION")</f>
        <v>FLUSH</v>
      </c>
      <c r="U3568">
        <f>HOUR(datos_siembra[[#This Row],[Hour]])</f>
        <v>13</v>
      </c>
      <c r="V3568" cm="1">
        <f t="array" ref="V3568">_xlfn.IFS(AND(N3568&lt;= 22, S3568=9), N3568-7,AND(N3568&lt;= 28, S3568=9), N3568-25,AND(N3568&lt;= 30, S3568=9), N3568-28,AND(N3568&lt;= 11, S3568=10), N3568+2,AND(N3568&lt;= 21, S3568=10), N3568-11)</f>
        <v>13</v>
      </c>
    </row>
    <row r="3569" spans="1:22" x14ac:dyDescent="0.35">
      <c r="A3569" s="4">
        <v>45576</v>
      </c>
      <c r="B3569" s="5">
        <v>0.5829050925925926</v>
      </c>
      <c r="C3569">
        <v>73.3</v>
      </c>
      <c r="D3569">
        <v>70.400000000000006</v>
      </c>
      <c r="E3569">
        <v>76.7</v>
      </c>
      <c r="F3569">
        <v>71.599999999999994</v>
      </c>
      <c r="G3569">
        <v>0</v>
      </c>
      <c r="H3569">
        <v>0</v>
      </c>
      <c r="I3569">
        <v>0</v>
      </c>
      <c r="J3569">
        <v>0</v>
      </c>
      <c r="K3569">
        <v>64.400000000000006</v>
      </c>
      <c r="L3569">
        <v>64.099999999999994</v>
      </c>
      <c r="M3569">
        <v>73.010000000000005</v>
      </c>
      <c r="N3569">
        <v>11</v>
      </c>
      <c r="O3569">
        <v>3</v>
      </c>
      <c r="P3569">
        <f>MOD(DAY(datos_siembra[[#This Row],[Date]]),7)</f>
        <v>4</v>
      </c>
      <c r="Q3569" t="str">
        <f>CHOOSE(WEEKDAY(datos_siembra[[#This Row],[Date]],2),"L","M","X","J","V","S","D")</f>
        <v>V</v>
      </c>
      <c r="R3569">
        <f>WEEKNUM(datos_siembra[[#This Row],[Date]],2)-WEEKNUM(DATE(YEAR(datos_siembra[[#This Row],[Date]]),MONTH(datos_siembra[[#This Row],[Date]]),1))+1</f>
        <v>2</v>
      </c>
      <c r="S3569">
        <f>MONTH(datos_siembra[[#This Row],[Date]])</f>
        <v>10</v>
      </c>
      <c r="T3569" t="str" cm="1">
        <f t="array" ref="T3569">_xlfn.IFS(AND(N3569&lt;= 22, S3569=9), "SOWING",AND(N3569&lt;= 28, S3569=9), "COVERAGE",AND(N3569&lt;= 30, S3569=9), "FLUSH",AND(N3569&lt;= 11, S3569=10), "FLUSH",AND(N3569&lt;= 21, S3569=10), "PRODUCTION")</f>
        <v>FLUSH</v>
      </c>
      <c r="U3569">
        <f>HOUR(datos_siembra[[#This Row],[Hour]])</f>
        <v>13</v>
      </c>
      <c r="V3569" cm="1">
        <f t="array" ref="V3569">_xlfn.IFS(AND(N3569&lt;= 22, S3569=9), N3569-7,AND(N3569&lt;= 28, S3569=9), N3569-25,AND(N3569&lt;= 30, S3569=9), N3569-28,AND(N3569&lt;= 11, S3569=10), N3569+2,AND(N3569&lt;= 21, S3569=10), N3569-11)</f>
        <v>13</v>
      </c>
    </row>
    <row r="3570" spans="1:22" x14ac:dyDescent="0.35">
      <c r="A3570" s="4">
        <v>45576</v>
      </c>
      <c r="B3570" s="5">
        <v>0.58984953703703702</v>
      </c>
      <c r="C3570">
        <v>73.2</v>
      </c>
      <c r="D3570">
        <v>70.400000000000006</v>
      </c>
      <c r="E3570">
        <v>76.8</v>
      </c>
      <c r="F3570">
        <v>71.8</v>
      </c>
      <c r="G3570">
        <v>0</v>
      </c>
      <c r="H3570">
        <v>0</v>
      </c>
      <c r="I3570">
        <v>0</v>
      </c>
      <c r="J3570">
        <v>0</v>
      </c>
      <c r="K3570">
        <v>64.400000000000006</v>
      </c>
      <c r="L3570">
        <v>64.099999999999994</v>
      </c>
      <c r="M3570">
        <v>73.010000000000005</v>
      </c>
      <c r="N3570">
        <v>11</v>
      </c>
      <c r="O3570">
        <v>3</v>
      </c>
      <c r="P3570">
        <f>MOD(DAY(datos_siembra[[#This Row],[Date]]),7)</f>
        <v>4</v>
      </c>
      <c r="Q3570" t="str">
        <f>CHOOSE(WEEKDAY(datos_siembra[[#This Row],[Date]],2),"L","M","X","J","V","S","D")</f>
        <v>V</v>
      </c>
      <c r="R3570">
        <f>WEEKNUM(datos_siembra[[#This Row],[Date]],2)-WEEKNUM(DATE(YEAR(datos_siembra[[#This Row],[Date]]),MONTH(datos_siembra[[#This Row],[Date]]),1))+1</f>
        <v>2</v>
      </c>
      <c r="S3570">
        <f>MONTH(datos_siembra[[#This Row],[Date]])</f>
        <v>10</v>
      </c>
      <c r="T3570" t="str" cm="1">
        <f t="array" ref="T3570">_xlfn.IFS(AND(N3570&lt;= 22, S3570=9), "SOWING",AND(N3570&lt;= 28, S3570=9), "COVERAGE",AND(N3570&lt;= 30, S3570=9), "FLUSH",AND(N3570&lt;= 11, S3570=10), "FLUSH",AND(N3570&lt;= 21, S3570=10), "PRODUCTION")</f>
        <v>FLUSH</v>
      </c>
      <c r="U3570">
        <f>HOUR(datos_siembra[[#This Row],[Hour]])</f>
        <v>14</v>
      </c>
      <c r="V3570" cm="1">
        <f t="array" ref="V3570">_xlfn.IFS(AND(N3570&lt;= 22, S3570=9), N3570-7,AND(N3570&lt;= 28, S3570=9), N3570-25,AND(N3570&lt;= 30, S3570=9), N3570-28,AND(N3570&lt;= 11, S3570=10), N3570+2,AND(N3570&lt;= 21, S3570=10), N3570-11)</f>
        <v>13</v>
      </c>
    </row>
    <row r="3571" spans="1:22" x14ac:dyDescent="0.35">
      <c r="A3571" s="4">
        <v>45576</v>
      </c>
      <c r="B3571" s="5">
        <v>0.59680555555555559</v>
      </c>
      <c r="C3571">
        <v>73.3</v>
      </c>
      <c r="D3571">
        <v>70.5</v>
      </c>
      <c r="E3571">
        <v>77</v>
      </c>
      <c r="F3571">
        <v>71.8</v>
      </c>
      <c r="G3571">
        <v>0</v>
      </c>
      <c r="H3571">
        <v>0</v>
      </c>
      <c r="I3571">
        <v>0</v>
      </c>
      <c r="J3571">
        <v>0</v>
      </c>
      <c r="K3571">
        <v>64.2</v>
      </c>
      <c r="L3571">
        <v>63.9</v>
      </c>
      <c r="M3571">
        <v>73.12</v>
      </c>
      <c r="N3571">
        <v>11</v>
      </c>
      <c r="O3571">
        <v>3</v>
      </c>
      <c r="P3571">
        <f>MOD(DAY(datos_siembra[[#This Row],[Date]]),7)</f>
        <v>4</v>
      </c>
      <c r="Q3571" t="str">
        <f>CHOOSE(WEEKDAY(datos_siembra[[#This Row],[Date]],2),"L","M","X","J","V","S","D")</f>
        <v>V</v>
      </c>
      <c r="R3571">
        <f>WEEKNUM(datos_siembra[[#This Row],[Date]],2)-WEEKNUM(DATE(YEAR(datos_siembra[[#This Row],[Date]]),MONTH(datos_siembra[[#This Row],[Date]]),1))+1</f>
        <v>2</v>
      </c>
      <c r="S3571">
        <f>MONTH(datos_siembra[[#This Row],[Date]])</f>
        <v>10</v>
      </c>
      <c r="T3571" t="str" cm="1">
        <f t="array" ref="T3571">_xlfn.IFS(AND(N3571&lt;= 22, S3571=9), "SOWING",AND(N3571&lt;= 28, S3571=9), "COVERAGE",AND(N3571&lt;= 30, S3571=9), "FLUSH",AND(N3571&lt;= 11, S3571=10), "FLUSH",AND(N3571&lt;= 21, S3571=10), "PRODUCTION")</f>
        <v>FLUSH</v>
      </c>
      <c r="U3571">
        <f>HOUR(datos_siembra[[#This Row],[Hour]])</f>
        <v>14</v>
      </c>
      <c r="V3571" cm="1">
        <f t="array" ref="V3571">_xlfn.IFS(AND(N3571&lt;= 22, S3571=9), N3571-7,AND(N3571&lt;= 28, S3571=9), N3571-25,AND(N3571&lt;= 30, S3571=9), N3571-28,AND(N3571&lt;= 11, S3571=10), N3571+2,AND(N3571&lt;= 21, S3571=10), N3571-11)</f>
        <v>13</v>
      </c>
    </row>
    <row r="3572" spans="1:22" x14ac:dyDescent="0.35">
      <c r="A3572" s="4">
        <v>45576</v>
      </c>
      <c r="B3572" s="5">
        <v>0.60375000000000001</v>
      </c>
      <c r="C3572">
        <v>73.3</v>
      </c>
      <c r="D3572">
        <v>70.400000000000006</v>
      </c>
      <c r="E3572">
        <v>77</v>
      </c>
      <c r="F3572">
        <v>71.900000000000006</v>
      </c>
      <c r="G3572">
        <v>0</v>
      </c>
      <c r="H3572">
        <v>0</v>
      </c>
      <c r="I3572">
        <v>0</v>
      </c>
      <c r="J3572">
        <v>0</v>
      </c>
      <c r="K3572">
        <v>64.3</v>
      </c>
      <c r="L3572">
        <v>64.2</v>
      </c>
      <c r="M3572">
        <v>73.09</v>
      </c>
      <c r="N3572">
        <v>11</v>
      </c>
      <c r="O3572">
        <v>3</v>
      </c>
      <c r="P3572">
        <f>MOD(DAY(datos_siembra[[#This Row],[Date]]),7)</f>
        <v>4</v>
      </c>
      <c r="Q3572" t="str">
        <f>CHOOSE(WEEKDAY(datos_siembra[[#This Row],[Date]],2),"L","M","X","J","V","S","D")</f>
        <v>V</v>
      </c>
      <c r="R3572">
        <f>WEEKNUM(datos_siembra[[#This Row],[Date]],2)-WEEKNUM(DATE(YEAR(datos_siembra[[#This Row],[Date]]),MONTH(datos_siembra[[#This Row],[Date]]),1))+1</f>
        <v>2</v>
      </c>
      <c r="S3572">
        <f>MONTH(datos_siembra[[#This Row],[Date]])</f>
        <v>10</v>
      </c>
      <c r="T3572" t="str" cm="1">
        <f t="array" ref="T3572">_xlfn.IFS(AND(N3572&lt;= 22, S3572=9), "SOWING",AND(N3572&lt;= 28, S3572=9), "COVERAGE",AND(N3572&lt;= 30, S3572=9), "FLUSH",AND(N3572&lt;= 11, S3572=10), "FLUSH",AND(N3572&lt;= 21, S3572=10), "PRODUCTION")</f>
        <v>FLUSH</v>
      </c>
      <c r="U3572">
        <f>HOUR(datos_siembra[[#This Row],[Hour]])</f>
        <v>14</v>
      </c>
      <c r="V3572" cm="1">
        <f t="array" ref="V3572">_xlfn.IFS(AND(N3572&lt;= 22, S3572=9), N3572-7,AND(N3572&lt;= 28, S3572=9), N3572-25,AND(N3572&lt;= 30, S3572=9), N3572-28,AND(N3572&lt;= 11, S3572=10), N3572+2,AND(N3572&lt;= 21, S3572=10), N3572-11)</f>
        <v>13</v>
      </c>
    </row>
    <row r="3573" spans="1:22" x14ac:dyDescent="0.35">
      <c r="A3573" s="4">
        <v>45576</v>
      </c>
      <c r="B3573" s="5">
        <v>0.61069444444444443</v>
      </c>
      <c r="C3573">
        <v>73.400000000000006</v>
      </c>
      <c r="D3573">
        <v>70.5</v>
      </c>
      <c r="E3573">
        <v>76.900000000000006</v>
      </c>
      <c r="F3573">
        <v>71.900000000000006</v>
      </c>
      <c r="G3573">
        <v>0</v>
      </c>
      <c r="H3573">
        <v>0</v>
      </c>
      <c r="I3573">
        <v>0</v>
      </c>
      <c r="J3573">
        <v>0</v>
      </c>
      <c r="K3573">
        <v>64.599999999999994</v>
      </c>
      <c r="L3573">
        <v>64.5</v>
      </c>
      <c r="M3573">
        <v>73.12</v>
      </c>
      <c r="N3573">
        <v>11</v>
      </c>
      <c r="O3573">
        <v>3</v>
      </c>
      <c r="P3573">
        <f>MOD(DAY(datos_siembra[[#This Row],[Date]]),7)</f>
        <v>4</v>
      </c>
      <c r="Q3573" t="str">
        <f>CHOOSE(WEEKDAY(datos_siembra[[#This Row],[Date]],2),"L","M","X","J","V","S","D")</f>
        <v>V</v>
      </c>
      <c r="R3573">
        <f>WEEKNUM(datos_siembra[[#This Row],[Date]],2)-WEEKNUM(DATE(YEAR(datos_siembra[[#This Row],[Date]]),MONTH(datos_siembra[[#This Row],[Date]]),1))+1</f>
        <v>2</v>
      </c>
      <c r="S3573">
        <f>MONTH(datos_siembra[[#This Row],[Date]])</f>
        <v>10</v>
      </c>
      <c r="T3573" t="str" cm="1">
        <f t="array" ref="T3573">_xlfn.IFS(AND(N3573&lt;= 22, S3573=9), "SOWING",AND(N3573&lt;= 28, S3573=9), "COVERAGE",AND(N3573&lt;= 30, S3573=9), "FLUSH",AND(N3573&lt;= 11, S3573=10), "FLUSH",AND(N3573&lt;= 21, S3573=10), "PRODUCTION")</f>
        <v>FLUSH</v>
      </c>
      <c r="U3573">
        <f>HOUR(datos_siembra[[#This Row],[Hour]])</f>
        <v>14</v>
      </c>
      <c r="V3573" cm="1">
        <f t="array" ref="V3573">_xlfn.IFS(AND(N3573&lt;= 22, S3573=9), N3573-7,AND(N3573&lt;= 28, S3573=9), N3573-25,AND(N3573&lt;= 30, S3573=9), N3573-28,AND(N3573&lt;= 11, S3573=10), N3573+2,AND(N3573&lt;= 21, S3573=10), N3573-11)</f>
        <v>13</v>
      </c>
    </row>
    <row r="3574" spans="1:22" x14ac:dyDescent="0.35">
      <c r="A3574" s="4">
        <v>45576</v>
      </c>
      <c r="B3574" s="5">
        <v>0.617650462962963</v>
      </c>
      <c r="C3574">
        <v>73.3</v>
      </c>
      <c r="D3574">
        <v>70.5</v>
      </c>
      <c r="E3574">
        <v>77.099999999999994</v>
      </c>
      <c r="F3574">
        <v>71.900000000000006</v>
      </c>
      <c r="G3574">
        <v>0</v>
      </c>
      <c r="H3574">
        <v>0</v>
      </c>
      <c r="I3574">
        <v>0</v>
      </c>
      <c r="J3574">
        <v>0</v>
      </c>
      <c r="K3574">
        <v>64.400000000000006</v>
      </c>
      <c r="L3574">
        <v>64.099999999999994</v>
      </c>
      <c r="M3574">
        <v>73.23</v>
      </c>
      <c r="N3574">
        <v>11</v>
      </c>
      <c r="O3574">
        <v>3</v>
      </c>
      <c r="P3574">
        <f>MOD(DAY(datos_siembra[[#This Row],[Date]]),7)</f>
        <v>4</v>
      </c>
      <c r="Q3574" t="str">
        <f>CHOOSE(WEEKDAY(datos_siembra[[#This Row],[Date]],2),"L","M","X","J","V","S","D")</f>
        <v>V</v>
      </c>
      <c r="R3574">
        <f>WEEKNUM(datos_siembra[[#This Row],[Date]],2)-WEEKNUM(DATE(YEAR(datos_siembra[[#This Row],[Date]]),MONTH(datos_siembra[[#This Row],[Date]]),1))+1</f>
        <v>2</v>
      </c>
      <c r="S3574">
        <f>MONTH(datos_siembra[[#This Row],[Date]])</f>
        <v>10</v>
      </c>
      <c r="T3574" t="str" cm="1">
        <f t="array" ref="T3574">_xlfn.IFS(AND(N3574&lt;= 22, S3574=9), "SOWING",AND(N3574&lt;= 28, S3574=9), "COVERAGE",AND(N3574&lt;= 30, S3574=9), "FLUSH",AND(N3574&lt;= 11, S3574=10), "FLUSH",AND(N3574&lt;= 21, S3574=10), "PRODUCTION")</f>
        <v>FLUSH</v>
      </c>
      <c r="U3574">
        <f>HOUR(datos_siembra[[#This Row],[Hour]])</f>
        <v>14</v>
      </c>
      <c r="V3574" cm="1">
        <f t="array" ref="V3574">_xlfn.IFS(AND(N3574&lt;= 22, S3574=9), N3574-7,AND(N3574&lt;= 28, S3574=9), N3574-25,AND(N3574&lt;= 30, S3574=9), N3574-28,AND(N3574&lt;= 11, S3574=10), N3574+2,AND(N3574&lt;= 21, S3574=10), N3574-11)</f>
        <v>13</v>
      </c>
    </row>
    <row r="3575" spans="1:22" x14ac:dyDescent="0.35">
      <c r="A3575" s="4">
        <v>45576</v>
      </c>
      <c r="B3575" s="5">
        <v>0.62459490740740742</v>
      </c>
      <c r="C3575">
        <v>73.400000000000006</v>
      </c>
      <c r="D3575">
        <v>70.599999999999994</v>
      </c>
      <c r="E3575">
        <v>76.900000000000006</v>
      </c>
      <c r="F3575">
        <v>72.099999999999994</v>
      </c>
      <c r="G3575">
        <v>0</v>
      </c>
      <c r="H3575">
        <v>0</v>
      </c>
      <c r="I3575">
        <v>0</v>
      </c>
      <c r="J3575">
        <v>0</v>
      </c>
      <c r="K3575">
        <v>64.599999999999994</v>
      </c>
      <c r="L3575">
        <v>64.3</v>
      </c>
      <c r="M3575">
        <v>73.2</v>
      </c>
      <c r="N3575">
        <v>11</v>
      </c>
      <c r="O3575">
        <v>3</v>
      </c>
      <c r="P3575">
        <f>MOD(DAY(datos_siembra[[#This Row],[Date]]),7)</f>
        <v>4</v>
      </c>
      <c r="Q3575" t="str">
        <f>CHOOSE(WEEKDAY(datos_siembra[[#This Row],[Date]],2),"L","M","X","J","V","S","D")</f>
        <v>V</v>
      </c>
      <c r="R3575">
        <f>WEEKNUM(datos_siembra[[#This Row],[Date]],2)-WEEKNUM(DATE(YEAR(datos_siembra[[#This Row],[Date]]),MONTH(datos_siembra[[#This Row],[Date]]),1))+1</f>
        <v>2</v>
      </c>
      <c r="S3575">
        <f>MONTH(datos_siembra[[#This Row],[Date]])</f>
        <v>10</v>
      </c>
      <c r="T3575" t="str" cm="1">
        <f t="array" ref="T3575">_xlfn.IFS(AND(N3575&lt;= 22, S3575=9), "SOWING",AND(N3575&lt;= 28, S3575=9), "COVERAGE",AND(N3575&lt;= 30, S3575=9), "FLUSH",AND(N3575&lt;= 11, S3575=10), "FLUSH",AND(N3575&lt;= 21, S3575=10), "PRODUCTION")</f>
        <v>FLUSH</v>
      </c>
      <c r="U3575">
        <f>HOUR(datos_siembra[[#This Row],[Hour]])</f>
        <v>14</v>
      </c>
      <c r="V3575" cm="1">
        <f t="array" ref="V3575">_xlfn.IFS(AND(N3575&lt;= 22, S3575=9), N3575-7,AND(N3575&lt;= 28, S3575=9), N3575-25,AND(N3575&lt;= 30, S3575=9), N3575-28,AND(N3575&lt;= 11, S3575=10), N3575+2,AND(N3575&lt;= 21, S3575=10), N3575-11)</f>
        <v>13</v>
      </c>
    </row>
    <row r="3576" spans="1:22" x14ac:dyDescent="0.35">
      <c r="A3576" s="4">
        <v>45576</v>
      </c>
      <c r="B3576" s="5">
        <v>0.63153935185185184</v>
      </c>
      <c r="C3576">
        <v>73.3</v>
      </c>
      <c r="D3576">
        <v>70.599999999999994</v>
      </c>
      <c r="E3576">
        <v>77.099999999999994</v>
      </c>
      <c r="F3576">
        <v>71.8</v>
      </c>
      <c r="G3576">
        <v>0</v>
      </c>
      <c r="H3576">
        <v>0</v>
      </c>
      <c r="I3576">
        <v>0</v>
      </c>
      <c r="J3576">
        <v>0</v>
      </c>
      <c r="K3576">
        <v>64.400000000000006</v>
      </c>
      <c r="L3576">
        <v>64.099999999999994</v>
      </c>
      <c r="M3576">
        <v>73.2</v>
      </c>
      <c r="N3576">
        <v>11</v>
      </c>
      <c r="O3576">
        <v>3</v>
      </c>
      <c r="P3576">
        <f>MOD(DAY(datos_siembra[[#This Row],[Date]]),7)</f>
        <v>4</v>
      </c>
      <c r="Q3576" t="str">
        <f>CHOOSE(WEEKDAY(datos_siembra[[#This Row],[Date]],2),"L","M","X","J","V","S","D")</f>
        <v>V</v>
      </c>
      <c r="R3576">
        <f>WEEKNUM(datos_siembra[[#This Row],[Date]],2)-WEEKNUM(DATE(YEAR(datos_siembra[[#This Row],[Date]]),MONTH(datos_siembra[[#This Row],[Date]]),1))+1</f>
        <v>2</v>
      </c>
      <c r="S3576">
        <f>MONTH(datos_siembra[[#This Row],[Date]])</f>
        <v>10</v>
      </c>
      <c r="T3576" t="str" cm="1">
        <f t="array" ref="T3576">_xlfn.IFS(AND(N3576&lt;= 22, S3576=9), "SOWING",AND(N3576&lt;= 28, S3576=9), "COVERAGE",AND(N3576&lt;= 30, S3576=9), "FLUSH",AND(N3576&lt;= 11, S3576=10), "FLUSH",AND(N3576&lt;= 21, S3576=10), "PRODUCTION")</f>
        <v>FLUSH</v>
      </c>
      <c r="U3576">
        <f>HOUR(datos_siembra[[#This Row],[Hour]])</f>
        <v>15</v>
      </c>
      <c r="V3576" cm="1">
        <f t="array" ref="V3576">_xlfn.IFS(AND(N3576&lt;= 22, S3576=9), N3576-7,AND(N3576&lt;= 28, S3576=9), N3576-25,AND(N3576&lt;= 30, S3576=9), N3576-28,AND(N3576&lt;= 11, S3576=10), N3576+2,AND(N3576&lt;= 21, S3576=10), N3576-11)</f>
        <v>13</v>
      </c>
    </row>
    <row r="3577" spans="1:22" x14ac:dyDescent="0.35">
      <c r="A3577" s="4">
        <v>45576</v>
      </c>
      <c r="B3577" s="5">
        <v>0.63848379629629626</v>
      </c>
      <c r="C3577">
        <v>73.5</v>
      </c>
      <c r="D3577">
        <v>70.599999999999994</v>
      </c>
      <c r="E3577">
        <v>77.2</v>
      </c>
      <c r="F3577">
        <v>72.2</v>
      </c>
      <c r="G3577">
        <v>0</v>
      </c>
      <c r="H3577">
        <v>0</v>
      </c>
      <c r="I3577">
        <v>0</v>
      </c>
      <c r="J3577">
        <v>0</v>
      </c>
      <c r="K3577">
        <v>64.3</v>
      </c>
      <c r="L3577">
        <v>63.9</v>
      </c>
      <c r="M3577">
        <v>73.34</v>
      </c>
      <c r="N3577">
        <v>11</v>
      </c>
      <c r="O3577">
        <v>3</v>
      </c>
      <c r="P3577">
        <f>MOD(DAY(datos_siembra[[#This Row],[Date]]),7)</f>
        <v>4</v>
      </c>
      <c r="Q3577" t="str">
        <f>CHOOSE(WEEKDAY(datos_siembra[[#This Row],[Date]],2),"L","M","X","J","V","S","D")</f>
        <v>V</v>
      </c>
      <c r="R3577">
        <f>WEEKNUM(datos_siembra[[#This Row],[Date]],2)-WEEKNUM(DATE(YEAR(datos_siembra[[#This Row],[Date]]),MONTH(datos_siembra[[#This Row],[Date]]),1))+1</f>
        <v>2</v>
      </c>
      <c r="S3577">
        <f>MONTH(datos_siembra[[#This Row],[Date]])</f>
        <v>10</v>
      </c>
      <c r="T3577" t="str" cm="1">
        <f t="array" ref="T3577">_xlfn.IFS(AND(N3577&lt;= 22, S3577=9), "SOWING",AND(N3577&lt;= 28, S3577=9), "COVERAGE",AND(N3577&lt;= 30, S3577=9), "FLUSH",AND(N3577&lt;= 11, S3577=10), "FLUSH",AND(N3577&lt;= 21, S3577=10), "PRODUCTION")</f>
        <v>FLUSH</v>
      </c>
      <c r="U3577">
        <f>HOUR(datos_siembra[[#This Row],[Hour]])</f>
        <v>15</v>
      </c>
      <c r="V3577" cm="1">
        <f t="array" ref="V3577">_xlfn.IFS(AND(N3577&lt;= 22, S3577=9), N3577-7,AND(N3577&lt;= 28, S3577=9), N3577-25,AND(N3577&lt;= 30, S3577=9), N3577-28,AND(N3577&lt;= 11, S3577=10), N3577+2,AND(N3577&lt;= 21, S3577=10), N3577-11)</f>
        <v>13</v>
      </c>
    </row>
    <row r="3578" spans="1:22" x14ac:dyDescent="0.35">
      <c r="A3578" s="4">
        <v>45576</v>
      </c>
      <c r="B3578" s="5">
        <v>0.64543981481481483</v>
      </c>
      <c r="C3578">
        <v>73.400000000000006</v>
      </c>
      <c r="D3578">
        <v>70.599999999999994</v>
      </c>
      <c r="E3578">
        <v>77</v>
      </c>
      <c r="F3578">
        <v>72.2</v>
      </c>
      <c r="G3578">
        <v>0</v>
      </c>
      <c r="H3578">
        <v>0</v>
      </c>
      <c r="I3578">
        <v>0</v>
      </c>
      <c r="J3578">
        <v>0</v>
      </c>
      <c r="K3578">
        <v>64.599999999999994</v>
      </c>
      <c r="L3578">
        <v>64.3</v>
      </c>
      <c r="M3578">
        <v>73.2</v>
      </c>
      <c r="N3578">
        <v>11</v>
      </c>
      <c r="O3578">
        <v>3</v>
      </c>
      <c r="P3578">
        <f>MOD(DAY(datos_siembra[[#This Row],[Date]]),7)</f>
        <v>4</v>
      </c>
      <c r="Q3578" t="str">
        <f>CHOOSE(WEEKDAY(datos_siembra[[#This Row],[Date]],2),"L","M","X","J","V","S","D")</f>
        <v>V</v>
      </c>
      <c r="R3578">
        <f>WEEKNUM(datos_siembra[[#This Row],[Date]],2)-WEEKNUM(DATE(YEAR(datos_siembra[[#This Row],[Date]]),MONTH(datos_siembra[[#This Row],[Date]]),1))+1</f>
        <v>2</v>
      </c>
      <c r="S3578">
        <f>MONTH(datos_siembra[[#This Row],[Date]])</f>
        <v>10</v>
      </c>
      <c r="T3578" t="str" cm="1">
        <f t="array" ref="T3578">_xlfn.IFS(AND(N3578&lt;= 22, S3578=9), "SOWING",AND(N3578&lt;= 28, S3578=9), "COVERAGE",AND(N3578&lt;= 30, S3578=9), "FLUSH",AND(N3578&lt;= 11, S3578=10), "FLUSH",AND(N3578&lt;= 21, S3578=10), "PRODUCTION")</f>
        <v>FLUSH</v>
      </c>
      <c r="U3578">
        <f>HOUR(datos_siembra[[#This Row],[Hour]])</f>
        <v>15</v>
      </c>
      <c r="V3578" cm="1">
        <f t="array" ref="V3578">_xlfn.IFS(AND(N3578&lt;= 22, S3578=9), N3578-7,AND(N3578&lt;= 28, S3578=9), N3578-25,AND(N3578&lt;= 30, S3578=9), N3578-28,AND(N3578&lt;= 11, S3578=10), N3578+2,AND(N3578&lt;= 21, S3578=10), N3578-11)</f>
        <v>13</v>
      </c>
    </row>
    <row r="3579" spans="1:22" x14ac:dyDescent="0.35">
      <c r="A3579" s="4">
        <v>45576</v>
      </c>
      <c r="B3579" s="5">
        <v>0.65238425925925925</v>
      </c>
      <c r="C3579">
        <v>73.400000000000006</v>
      </c>
      <c r="D3579">
        <v>70.5</v>
      </c>
      <c r="E3579">
        <v>77</v>
      </c>
      <c r="F3579">
        <v>72.099999999999994</v>
      </c>
      <c r="G3579">
        <v>0</v>
      </c>
      <c r="H3579">
        <v>0</v>
      </c>
      <c r="I3579">
        <v>0</v>
      </c>
      <c r="J3579">
        <v>0</v>
      </c>
      <c r="K3579">
        <v>64.400000000000006</v>
      </c>
      <c r="L3579">
        <v>63.9</v>
      </c>
      <c r="M3579">
        <v>73.290000000000006</v>
      </c>
      <c r="N3579">
        <v>11</v>
      </c>
      <c r="O3579">
        <v>3</v>
      </c>
      <c r="P3579">
        <f>MOD(DAY(datos_siembra[[#This Row],[Date]]),7)</f>
        <v>4</v>
      </c>
      <c r="Q3579" t="str">
        <f>CHOOSE(WEEKDAY(datos_siembra[[#This Row],[Date]],2),"L","M","X","J","V","S","D")</f>
        <v>V</v>
      </c>
      <c r="R3579">
        <f>WEEKNUM(datos_siembra[[#This Row],[Date]],2)-WEEKNUM(DATE(YEAR(datos_siembra[[#This Row],[Date]]),MONTH(datos_siembra[[#This Row],[Date]]),1))+1</f>
        <v>2</v>
      </c>
      <c r="S3579">
        <f>MONTH(datos_siembra[[#This Row],[Date]])</f>
        <v>10</v>
      </c>
      <c r="T3579" t="str" cm="1">
        <f t="array" ref="T3579">_xlfn.IFS(AND(N3579&lt;= 22, S3579=9), "SOWING",AND(N3579&lt;= 28, S3579=9), "COVERAGE",AND(N3579&lt;= 30, S3579=9), "FLUSH",AND(N3579&lt;= 11, S3579=10), "FLUSH",AND(N3579&lt;= 21, S3579=10), "PRODUCTION")</f>
        <v>FLUSH</v>
      </c>
      <c r="U3579">
        <f>HOUR(datos_siembra[[#This Row],[Hour]])</f>
        <v>15</v>
      </c>
      <c r="V3579" cm="1">
        <f t="array" ref="V3579">_xlfn.IFS(AND(N3579&lt;= 22, S3579=9), N3579-7,AND(N3579&lt;= 28, S3579=9), N3579-25,AND(N3579&lt;= 30, S3579=9), N3579-28,AND(N3579&lt;= 11, S3579=10), N3579+2,AND(N3579&lt;= 21, S3579=10), N3579-11)</f>
        <v>13</v>
      </c>
    </row>
    <row r="3580" spans="1:22" x14ac:dyDescent="0.35">
      <c r="A3580" s="4">
        <v>45576</v>
      </c>
      <c r="B3580" s="5">
        <v>0.65932870370370367</v>
      </c>
      <c r="C3580">
        <v>73.400000000000006</v>
      </c>
      <c r="D3580">
        <v>70.599999999999994</v>
      </c>
      <c r="E3580">
        <v>77.099999999999994</v>
      </c>
      <c r="F3580">
        <v>72.099999999999994</v>
      </c>
      <c r="G3580">
        <v>0</v>
      </c>
      <c r="H3580">
        <v>0</v>
      </c>
      <c r="I3580">
        <v>0</v>
      </c>
      <c r="J3580">
        <v>0</v>
      </c>
      <c r="K3580">
        <v>64.099999999999994</v>
      </c>
      <c r="L3580">
        <v>63.6</v>
      </c>
      <c r="M3580">
        <v>73.319999999999993</v>
      </c>
      <c r="N3580">
        <v>11</v>
      </c>
      <c r="O3580">
        <v>3</v>
      </c>
      <c r="P3580">
        <f>MOD(DAY(datos_siembra[[#This Row],[Date]]),7)</f>
        <v>4</v>
      </c>
      <c r="Q3580" t="str">
        <f>CHOOSE(WEEKDAY(datos_siembra[[#This Row],[Date]],2),"L","M","X","J","V","S","D")</f>
        <v>V</v>
      </c>
      <c r="R3580">
        <f>WEEKNUM(datos_siembra[[#This Row],[Date]],2)-WEEKNUM(DATE(YEAR(datos_siembra[[#This Row],[Date]]),MONTH(datos_siembra[[#This Row],[Date]]),1))+1</f>
        <v>2</v>
      </c>
      <c r="S3580">
        <f>MONTH(datos_siembra[[#This Row],[Date]])</f>
        <v>10</v>
      </c>
      <c r="T3580" t="str" cm="1">
        <f t="array" ref="T3580">_xlfn.IFS(AND(N3580&lt;= 22, S3580=9), "SOWING",AND(N3580&lt;= 28, S3580=9), "COVERAGE",AND(N3580&lt;= 30, S3580=9), "FLUSH",AND(N3580&lt;= 11, S3580=10), "FLUSH",AND(N3580&lt;= 21, S3580=10), "PRODUCTION")</f>
        <v>FLUSH</v>
      </c>
      <c r="U3580">
        <f>HOUR(datos_siembra[[#This Row],[Hour]])</f>
        <v>15</v>
      </c>
      <c r="V3580" cm="1">
        <f t="array" ref="V3580">_xlfn.IFS(AND(N3580&lt;= 22, S3580=9), N3580-7,AND(N3580&lt;= 28, S3580=9), N3580-25,AND(N3580&lt;= 30, S3580=9), N3580-28,AND(N3580&lt;= 11, S3580=10), N3580+2,AND(N3580&lt;= 21, S3580=10), N3580-11)</f>
        <v>13</v>
      </c>
    </row>
    <row r="3581" spans="1:22" x14ac:dyDescent="0.35">
      <c r="A3581" s="4">
        <v>45576</v>
      </c>
      <c r="B3581" s="5">
        <v>0.66628472222222224</v>
      </c>
      <c r="C3581">
        <v>73.5</v>
      </c>
      <c r="D3581">
        <v>70.7</v>
      </c>
      <c r="E3581">
        <v>77.099999999999994</v>
      </c>
      <c r="F3581">
        <v>72.099999999999994</v>
      </c>
      <c r="G3581">
        <v>0</v>
      </c>
      <c r="H3581">
        <v>0</v>
      </c>
      <c r="I3581">
        <v>0</v>
      </c>
      <c r="J3581">
        <v>0</v>
      </c>
      <c r="K3581">
        <v>63.8</v>
      </c>
      <c r="L3581">
        <v>63.4</v>
      </c>
      <c r="M3581">
        <v>73.37</v>
      </c>
      <c r="N3581">
        <v>11</v>
      </c>
      <c r="O3581">
        <v>3</v>
      </c>
      <c r="P3581">
        <f>MOD(DAY(datos_siembra[[#This Row],[Date]]),7)</f>
        <v>4</v>
      </c>
      <c r="Q3581" t="str">
        <f>CHOOSE(WEEKDAY(datos_siembra[[#This Row],[Date]],2),"L","M","X","J","V","S","D")</f>
        <v>V</v>
      </c>
      <c r="R3581">
        <f>WEEKNUM(datos_siembra[[#This Row],[Date]],2)-WEEKNUM(DATE(YEAR(datos_siembra[[#This Row],[Date]]),MONTH(datos_siembra[[#This Row],[Date]]),1))+1</f>
        <v>2</v>
      </c>
      <c r="S3581">
        <f>MONTH(datos_siembra[[#This Row],[Date]])</f>
        <v>10</v>
      </c>
      <c r="T3581" t="str" cm="1">
        <f t="array" ref="T3581">_xlfn.IFS(AND(N3581&lt;= 22, S3581=9), "SOWING",AND(N3581&lt;= 28, S3581=9), "COVERAGE",AND(N3581&lt;= 30, S3581=9), "FLUSH",AND(N3581&lt;= 11, S3581=10), "FLUSH",AND(N3581&lt;= 21, S3581=10), "PRODUCTION")</f>
        <v>FLUSH</v>
      </c>
      <c r="U3581">
        <f>HOUR(datos_siembra[[#This Row],[Hour]])</f>
        <v>15</v>
      </c>
      <c r="V3581" cm="1">
        <f t="array" ref="V3581">_xlfn.IFS(AND(N3581&lt;= 22, S3581=9), N3581-7,AND(N3581&lt;= 28, S3581=9), N3581-25,AND(N3581&lt;= 30, S3581=9), N3581-28,AND(N3581&lt;= 11, S3581=10), N3581+2,AND(N3581&lt;= 21, S3581=10), N3581-11)</f>
        <v>13</v>
      </c>
    </row>
    <row r="3582" spans="1:22" x14ac:dyDescent="0.35">
      <c r="A3582" s="4">
        <v>45576</v>
      </c>
      <c r="B3582" s="5">
        <v>0.67322916666666666</v>
      </c>
      <c r="C3582">
        <v>73.7</v>
      </c>
      <c r="D3582">
        <v>70.599999999999994</v>
      </c>
      <c r="E3582">
        <v>77.2</v>
      </c>
      <c r="F3582">
        <v>72.3</v>
      </c>
      <c r="G3582">
        <v>0</v>
      </c>
      <c r="H3582">
        <v>0</v>
      </c>
      <c r="I3582">
        <v>0</v>
      </c>
      <c r="J3582">
        <v>0</v>
      </c>
      <c r="K3582">
        <v>63.9</v>
      </c>
      <c r="L3582">
        <v>63.5</v>
      </c>
      <c r="M3582">
        <v>73.400000000000006</v>
      </c>
      <c r="N3582">
        <v>11</v>
      </c>
      <c r="O3582">
        <v>3</v>
      </c>
      <c r="P3582">
        <f>MOD(DAY(datos_siembra[[#This Row],[Date]]),7)</f>
        <v>4</v>
      </c>
      <c r="Q3582" t="str">
        <f>CHOOSE(WEEKDAY(datos_siembra[[#This Row],[Date]],2),"L","M","X","J","V","S","D")</f>
        <v>V</v>
      </c>
      <c r="R3582">
        <f>WEEKNUM(datos_siembra[[#This Row],[Date]],2)-WEEKNUM(DATE(YEAR(datos_siembra[[#This Row],[Date]]),MONTH(datos_siembra[[#This Row],[Date]]),1))+1</f>
        <v>2</v>
      </c>
      <c r="S3582">
        <f>MONTH(datos_siembra[[#This Row],[Date]])</f>
        <v>10</v>
      </c>
      <c r="T3582" t="str" cm="1">
        <f t="array" ref="T3582">_xlfn.IFS(AND(N3582&lt;= 22, S3582=9), "SOWING",AND(N3582&lt;= 28, S3582=9), "COVERAGE",AND(N3582&lt;= 30, S3582=9), "FLUSH",AND(N3582&lt;= 11, S3582=10), "FLUSH",AND(N3582&lt;= 21, S3582=10), "PRODUCTION")</f>
        <v>FLUSH</v>
      </c>
      <c r="U3582">
        <f>HOUR(datos_siembra[[#This Row],[Hour]])</f>
        <v>16</v>
      </c>
      <c r="V3582" cm="1">
        <f t="array" ref="V3582">_xlfn.IFS(AND(N3582&lt;= 22, S3582=9), N3582-7,AND(N3582&lt;= 28, S3582=9), N3582-25,AND(N3582&lt;= 30, S3582=9), N3582-28,AND(N3582&lt;= 11, S3582=10), N3582+2,AND(N3582&lt;= 21, S3582=10), N3582-11)</f>
        <v>13</v>
      </c>
    </row>
    <row r="3583" spans="1:22" x14ac:dyDescent="0.35">
      <c r="A3583" s="4">
        <v>45576</v>
      </c>
      <c r="B3583" s="5">
        <v>0.68017361111111108</v>
      </c>
      <c r="C3583">
        <v>73.5</v>
      </c>
      <c r="D3583">
        <v>70.8</v>
      </c>
      <c r="E3583">
        <v>77.5</v>
      </c>
      <c r="F3583">
        <v>72.2</v>
      </c>
      <c r="G3583">
        <v>0</v>
      </c>
      <c r="H3583">
        <v>0</v>
      </c>
      <c r="I3583">
        <v>0</v>
      </c>
      <c r="J3583">
        <v>0</v>
      </c>
      <c r="K3583">
        <v>64.5</v>
      </c>
      <c r="L3583">
        <v>64.3</v>
      </c>
      <c r="M3583">
        <v>73.400000000000006</v>
      </c>
      <c r="N3583">
        <v>11</v>
      </c>
      <c r="O3583">
        <v>3</v>
      </c>
      <c r="P3583">
        <f>MOD(DAY(datos_siembra[[#This Row],[Date]]),7)</f>
        <v>4</v>
      </c>
      <c r="Q3583" t="str">
        <f>CHOOSE(WEEKDAY(datos_siembra[[#This Row],[Date]],2),"L","M","X","J","V","S","D")</f>
        <v>V</v>
      </c>
      <c r="R3583">
        <f>WEEKNUM(datos_siembra[[#This Row],[Date]],2)-WEEKNUM(DATE(YEAR(datos_siembra[[#This Row],[Date]]),MONTH(datos_siembra[[#This Row],[Date]]),1))+1</f>
        <v>2</v>
      </c>
      <c r="S3583">
        <f>MONTH(datos_siembra[[#This Row],[Date]])</f>
        <v>10</v>
      </c>
      <c r="T3583" t="str" cm="1">
        <f t="array" ref="T3583">_xlfn.IFS(AND(N3583&lt;= 22, S3583=9), "SOWING",AND(N3583&lt;= 28, S3583=9), "COVERAGE",AND(N3583&lt;= 30, S3583=9), "FLUSH",AND(N3583&lt;= 11, S3583=10), "FLUSH",AND(N3583&lt;= 21, S3583=10), "PRODUCTION")</f>
        <v>FLUSH</v>
      </c>
      <c r="U3583">
        <f>HOUR(datos_siembra[[#This Row],[Hour]])</f>
        <v>16</v>
      </c>
      <c r="V3583" cm="1">
        <f t="array" ref="V3583">_xlfn.IFS(AND(N3583&lt;= 22, S3583=9), N3583-7,AND(N3583&lt;= 28, S3583=9), N3583-25,AND(N3583&lt;= 30, S3583=9), N3583-28,AND(N3583&lt;= 11, S3583=10), N3583+2,AND(N3583&lt;= 21, S3583=10), N3583-11)</f>
        <v>13</v>
      </c>
    </row>
    <row r="3584" spans="1:22" x14ac:dyDescent="0.35">
      <c r="A3584" s="4">
        <v>45576</v>
      </c>
      <c r="B3584" s="5">
        <v>0.68712962962962965</v>
      </c>
      <c r="C3584">
        <v>73.5</v>
      </c>
      <c r="D3584">
        <v>70.8</v>
      </c>
      <c r="E3584">
        <v>77.3</v>
      </c>
      <c r="F3584">
        <v>72.3</v>
      </c>
      <c r="G3584">
        <v>0</v>
      </c>
      <c r="H3584">
        <v>0</v>
      </c>
      <c r="I3584">
        <v>0</v>
      </c>
      <c r="J3584">
        <v>0</v>
      </c>
      <c r="K3584">
        <v>64.900000000000006</v>
      </c>
      <c r="L3584">
        <v>64.7</v>
      </c>
      <c r="M3584">
        <v>73.430000000000007</v>
      </c>
      <c r="N3584">
        <v>11</v>
      </c>
      <c r="O3584">
        <v>3</v>
      </c>
      <c r="P3584">
        <f>MOD(DAY(datos_siembra[[#This Row],[Date]]),7)</f>
        <v>4</v>
      </c>
      <c r="Q3584" t="str">
        <f>CHOOSE(WEEKDAY(datos_siembra[[#This Row],[Date]],2),"L","M","X","J","V","S","D")</f>
        <v>V</v>
      </c>
      <c r="R3584">
        <f>WEEKNUM(datos_siembra[[#This Row],[Date]],2)-WEEKNUM(DATE(YEAR(datos_siembra[[#This Row],[Date]]),MONTH(datos_siembra[[#This Row],[Date]]),1))+1</f>
        <v>2</v>
      </c>
      <c r="S3584">
        <f>MONTH(datos_siembra[[#This Row],[Date]])</f>
        <v>10</v>
      </c>
      <c r="T3584" t="str" cm="1">
        <f t="array" ref="T3584">_xlfn.IFS(AND(N3584&lt;= 22, S3584=9), "SOWING",AND(N3584&lt;= 28, S3584=9), "COVERAGE",AND(N3584&lt;= 30, S3584=9), "FLUSH",AND(N3584&lt;= 11, S3584=10), "FLUSH",AND(N3584&lt;= 21, S3584=10), "PRODUCTION")</f>
        <v>FLUSH</v>
      </c>
      <c r="U3584">
        <f>HOUR(datos_siembra[[#This Row],[Hour]])</f>
        <v>16</v>
      </c>
      <c r="V3584" cm="1">
        <f t="array" ref="V3584">_xlfn.IFS(AND(N3584&lt;= 22, S3584=9), N3584-7,AND(N3584&lt;= 28, S3584=9), N3584-25,AND(N3584&lt;= 30, S3584=9), N3584-28,AND(N3584&lt;= 11, S3584=10), N3584+2,AND(N3584&lt;= 21, S3584=10), N3584-11)</f>
        <v>13</v>
      </c>
    </row>
    <row r="3585" spans="1:22" x14ac:dyDescent="0.35">
      <c r="A3585" s="4">
        <v>45576</v>
      </c>
      <c r="B3585" s="5">
        <v>0.69407407407407407</v>
      </c>
      <c r="C3585">
        <v>73.599999999999994</v>
      </c>
      <c r="D3585">
        <v>70.8</v>
      </c>
      <c r="E3585">
        <v>77.2</v>
      </c>
      <c r="F3585">
        <v>72.2</v>
      </c>
      <c r="G3585">
        <v>0</v>
      </c>
      <c r="H3585">
        <v>0</v>
      </c>
      <c r="I3585">
        <v>0</v>
      </c>
      <c r="J3585">
        <v>0</v>
      </c>
      <c r="K3585">
        <v>65.099999999999994</v>
      </c>
      <c r="L3585">
        <v>64.900000000000006</v>
      </c>
      <c r="M3585">
        <v>73.430000000000007</v>
      </c>
      <c r="N3585">
        <v>11</v>
      </c>
      <c r="O3585">
        <v>3</v>
      </c>
      <c r="P3585">
        <f>MOD(DAY(datos_siembra[[#This Row],[Date]]),7)</f>
        <v>4</v>
      </c>
      <c r="Q3585" t="str">
        <f>CHOOSE(WEEKDAY(datos_siembra[[#This Row],[Date]],2),"L","M","X","J","V","S","D")</f>
        <v>V</v>
      </c>
      <c r="R3585">
        <f>WEEKNUM(datos_siembra[[#This Row],[Date]],2)-WEEKNUM(DATE(YEAR(datos_siembra[[#This Row],[Date]]),MONTH(datos_siembra[[#This Row],[Date]]),1))+1</f>
        <v>2</v>
      </c>
      <c r="S3585">
        <f>MONTH(datos_siembra[[#This Row],[Date]])</f>
        <v>10</v>
      </c>
      <c r="T3585" t="str" cm="1">
        <f t="array" ref="T3585">_xlfn.IFS(AND(N3585&lt;= 22, S3585=9), "SOWING",AND(N3585&lt;= 28, S3585=9), "COVERAGE",AND(N3585&lt;= 30, S3585=9), "FLUSH",AND(N3585&lt;= 11, S3585=10), "FLUSH",AND(N3585&lt;= 21, S3585=10), "PRODUCTION")</f>
        <v>FLUSH</v>
      </c>
      <c r="U3585">
        <f>HOUR(datos_siembra[[#This Row],[Hour]])</f>
        <v>16</v>
      </c>
      <c r="V3585" cm="1">
        <f t="array" ref="V3585">_xlfn.IFS(AND(N3585&lt;= 22, S3585=9), N3585-7,AND(N3585&lt;= 28, S3585=9), N3585-25,AND(N3585&lt;= 30, S3585=9), N3585-28,AND(N3585&lt;= 11, S3585=10), N3585+2,AND(N3585&lt;= 21, S3585=10), N3585-11)</f>
        <v>13</v>
      </c>
    </row>
    <row r="3586" spans="1:22" x14ac:dyDescent="0.35">
      <c r="A3586" s="4">
        <v>45576</v>
      </c>
      <c r="B3586" s="5">
        <v>0.70101851851851849</v>
      </c>
      <c r="C3586">
        <v>73.5</v>
      </c>
      <c r="D3586">
        <v>70.900000000000006</v>
      </c>
      <c r="E3586">
        <v>77.099999999999994</v>
      </c>
      <c r="F3586">
        <v>72.3</v>
      </c>
      <c r="G3586">
        <v>0</v>
      </c>
      <c r="H3586">
        <v>0</v>
      </c>
      <c r="I3586">
        <v>0</v>
      </c>
      <c r="J3586">
        <v>0</v>
      </c>
      <c r="K3586">
        <v>65.2</v>
      </c>
      <c r="L3586">
        <v>65.099999999999994</v>
      </c>
      <c r="M3586">
        <v>73.400000000000006</v>
      </c>
      <c r="N3586">
        <v>11</v>
      </c>
      <c r="O3586">
        <v>3</v>
      </c>
      <c r="P3586">
        <f>MOD(DAY(datos_siembra[[#This Row],[Date]]),7)</f>
        <v>4</v>
      </c>
      <c r="Q3586" t="str">
        <f>CHOOSE(WEEKDAY(datos_siembra[[#This Row],[Date]],2),"L","M","X","J","V","S","D")</f>
        <v>V</v>
      </c>
      <c r="R3586">
        <f>WEEKNUM(datos_siembra[[#This Row],[Date]],2)-WEEKNUM(DATE(YEAR(datos_siembra[[#This Row],[Date]]),MONTH(datos_siembra[[#This Row],[Date]]),1))+1</f>
        <v>2</v>
      </c>
      <c r="S3586">
        <f>MONTH(datos_siembra[[#This Row],[Date]])</f>
        <v>10</v>
      </c>
      <c r="T3586" t="str" cm="1">
        <f t="array" ref="T3586">_xlfn.IFS(AND(N3586&lt;= 22, S3586=9), "SOWING",AND(N3586&lt;= 28, S3586=9), "COVERAGE",AND(N3586&lt;= 30, S3586=9), "FLUSH",AND(N3586&lt;= 11, S3586=10), "FLUSH",AND(N3586&lt;= 21, S3586=10), "PRODUCTION")</f>
        <v>FLUSH</v>
      </c>
      <c r="U3586">
        <f>HOUR(datos_siembra[[#This Row],[Hour]])</f>
        <v>16</v>
      </c>
      <c r="V3586" cm="1">
        <f t="array" ref="V3586">_xlfn.IFS(AND(N3586&lt;= 22, S3586=9), N3586-7,AND(N3586&lt;= 28, S3586=9), N3586-25,AND(N3586&lt;= 30, S3586=9), N3586-28,AND(N3586&lt;= 11, S3586=10), N3586+2,AND(N3586&lt;= 21, S3586=10), N3586-11)</f>
        <v>13</v>
      </c>
    </row>
    <row r="3587" spans="1:22" x14ac:dyDescent="0.35">
      <c r="A3587" s="4">
        <v>45576</v>
      </c>
      <c r="B3587" s="5">
        <v>0.70796296296296302</v>
      </c>
      <c r="C3587">
        <v>73.599999999999994</v>
      </c>
      <c r="D3587">
        <v>70.8</v>
      </c>
      <c r="E3587">
        <v>77.2</v>
      </c>
      <c r="F3587">
        <v>72.3</v>
      </c>
      <c r="G3587">
        <v>0</v>
      </c>
      <c r="H3587">
        <v>0</v>
      </c>
      <c r="I3587">
        <v>0</v>
      </c>
      <c r="J3587">
        <v>0</v>
      </c>
      <c r="K3587">
        <v>64.900000000000006</v>
      </c>
      <c r="L3587">
        <v>64.599999999999994</v>
      </c>
      <c r="M3587">
        <v>73.48</v>
      </c>
      <c r="N3587">
        <v>11</v>
      </c>
      <c r="O3587">
        <v>3</v>
      </c>
      <c r="P3587">
        <f>MOD(DAY(datos_siembra[[#This Row],[Date]]),7)</f>
        <v>4</v>
      </c>
      <c r="Q3587" t="str">
        <f>CHOOSE(WEEKDAY(datos_siembra[[#This Row],[Date]],2),"L","M","X","J","V","S","D")</f>
        <v>V</v>
      </c>
      <c r="R3587">
        <f>WEEKNUM(datos_siembra[[#This Row],[Date]],2)-WEEKNUM(DATE(YEAR(datos_siembra[[#This Row],[Date]]),MONTH(datos_siembra[[#This Row],[Date]]),1))+1</f>
        <v>2</v>
      </c>
      <c r="S3587">
        <f>MONTH(datos_siembra[[#This Row],[Date]])</f>
        <v>10</v>
      </c>
      <c r="T3587" t="str" cm="1">
        <f t="array" ref="T3587">_xlfn.IFS(AND(N3587&lt;= 22, S3587=9), "SOWING",AND(N3587&lt;= 28, S3587=9), "COVERAGE",AND(N3587&lt;= 30, S3587=9), "FLUSH",AND(N3587&lt;= 11, S3587=10), "FLUSH",AND(N3587&lt;= 21, S3587=10), "PRODUCTION")</f>
        <v>FLUSH</v>
      </c>
      <c r="U3587">
        <f>HOUR(datos_siembra[[#This Row],[Hour]])</f>
        <v>16</v>
      </c>
      <c r="V3587" cm="1">
        <f t="array" ref="V3587">_xlfn.IFS(AND(N3587&lt;= 22, S3587=9), N3587-7,AND(N3587&lt;= 28, S3587=9), N3587-25,AND(N3587&lt;= 30, S3587=9), N3587-28,AND(N3587&lt;= 11, S3587=10), N3587+2,AND(N3587&lt;= 21, S3587=10), N3587-11)</f>
        <v>13</v>
      </c>
    </row>
    <row r="3588" spans="1:22" x14ac:dyDescent="0.35">
      <c r="A3588" s="4">
        <v>45576</v>
      </c>
      <c r="B3588" s="5">
        <v>0.71491898148148147</v>
      </c>
      <c r="C3588">
        <v>73.5</v>
      </c>
      <c r="D3588">
        <v>70.8</v>
      </c>
      <c r="E3588">
        <v>77.3</v>
      </c>
      <c r="F3588">
        <v>72.400000000000006</v>
      </c>
      <c r="G3588">
        <v>0</v>
      </c>
      <c r="H3588">
        <v>0</v>
      </c>
      <c r="I3588">
        <v>0</v>
      </c>
      <c r="J3588">
        <v>0</v>
      </c>
      <c r="K3588">
        <v>64.3</v>
      </c>
      <c r="L3588">
        <v>63.7</v>
      </c>
      <c r="M3588">
        <v>73.48</v>
      </c>
      <c r="N3588">
        <v>11</v>
      </c>
      <c r="O3588">
        <v>3</v>
      </c>
      <c r="P3588">
        <f>MOD(DAY(datos_siembra[[#This Row],[Date]]),7)</f>
        <v>4</v>
      </c>
      <c r="Q3588" t="str">
        <f>CHOOSE(WEEKDAY(datos_siembra[[#This Row],[Date]],2),"L","M","X","J","V","S","D")</f>
        <v>V</v>
      </c>
      <c r="R3588">
        <f>WEEKNUM(datos_siembra[[#This Row],[Date]],2)-WEEKNUM(DATE(YEAR(datos_siembra[[#This Row],[Date]]),MONTH(datos_siembra[[#This Row],[Date]]),1))+1</f>
        <v>2</v>
      </c>
      <c r="S3588">
        <f>MONTH(datos_siembra[[#This Row],[Date]])</f>
        <v>10</v>
      </c>
      <c r="T3588" t="str" cm="1">
        <f t="array" ref="T3588">_xlfn.IFS(AND(N3588&lt;= 22, S3588=9), "SOWING",AND(N3588&lt;= 28, S3588=9), "COVERAGE",AND(N3588&lt;= 30, S3588=9), "FLUSH",AND(N3588&lt;= 11, S3588=10), "FLUSH",AND(N3588&lt;= 21, S3588=10), "PRODUCTION")</f>
        <v>FLUSH</v>
      </c>
      <c r="U3588">
        <f>HOUR(datos_siembra[[#This Row],[Hour]])</f>
        <v>17</v>
      </c>
      <c r="V3588" cm="1">
        <f t="array" ref="V3588">_xlfn.IFS(AND(N3588&lt;= 22, S3588=9), N3588-7,AND(N3588&lt;= 28, S3588=9), N3588-25,AND(N3588&lt;= 30, S3588=9), N3588-28,AND(N3588&lt;= 11, S3588=10), N3588+2,AND(N3588&lt;= 21, S3588=10), N3588-11)</f>
        <v>13</v>
      </c>
    </row>
    <row r="3589" spans="1:22" x14ac:dyDescent="0.35">
      <c r="A3589" s="4">
        <v>45576</v>
      </c>
      <c r="B3589" s="5">
        <v>0.72186342592592589</v>
      </c>
      <c r="C3589">
        <v>73.599999999999994</v>
      </c>
      <c r="D3589">
        <v>70.900000000000006</v>
      </c>
      <c r="E3589">
        <v>77.2</v>
      </c>
      <c r="F3589">
        <v>72.400000000000006</v>
      </c>
      <c r="G3589">
        <v>0</v>
      </c>
      <c r="H3589">
        <v>0</v>
      </c>
      <c r="I3589">
        <v>0</v>
      </c>
      <c r="J3589">
        <v>0</v>
      </c>
      <c r="K3589">
        <v>64.2</v>
      </c>
      <c r="L3589">
        <v>63.6</v>
      </c>
      <c r="M3589">
        <v>73.540000000000006</v>
      </c>
      <c r="N3589">
        <v>11</v>
      </c>
      <c r="O3589">
        <v>3</v>
      </c>
      <c r="P3589">
        <f>MOD(DAY(datos_siembra[[#This Row],[Date]]),7)</f>
        <v>4</v>
      </c>
      <c r="Q3589" t="str">
        <f>CHOOSE(WEEKDAY(datos_siembra[[#This Row],[Date]],2),"L","M","X","J","V","S","D")</f>
        <v>V</v>
      </c>
      <c r="R3589">
        <f>WEEKNUM(datos_siembra[[#This Row],[Date]],2)-WEEKNUM(DATE(YEAR(datos_siembra[[#This Row],[Date]]),MONTH(datos_siembra[[#This Row],[Date]]),1))+1</f>
        <v>2</v>
      </c>
      <c r="S3589">
        <f>MONTH(datos_siembra[[#This Row],[Date]])</f>
        <v>10</v>
      </c>
      <c r="T3589" t="str" cm="1">
        <f t="array" ref="T3589">_xlfn.IFS(AND(N3589&lt;= 22, S3589=9), "SOWING",AND(N3589&lt;= 28, S3589=9), "COVERAGE",AND(N3589&lt;= 30, S3589=9), "FLUSH",AND(N3589&lt;= 11, S3589=10), "FLUSH",AND(N3589&lt;= 21, S3589=10), "PRODUCTION")</f>
        <v>FLUSH</v>
      </c>
      <c r="U3589">
        <f>HOUR(datos_siembra[[#This Row],[Hour]])</f>
        <v>17</v>
      </c>
      <c r="V3589" cm="1">
        <f t="array" ref="V3589">_xlfn.IFS(AND(N3589&lt;= 22, S3589=9), N3589-7,AND(N3589&lt;= 28, S3589=9), N3589-25,AND(N3589&lt;= 30, S3589=9), N3589-28,AND(N3589&lt;= 11, S3589=10), N3589+2,AND(N3589&lt;= 21, S3589=10), N3589-11)</f>
        <v>13</v>
      </c>
    </row>
    <row r="3590" spans="1:22" x14ac:dyDescent="0.35">
      <c r="A3590" s="4">
        <v>45576</v>
      </c>
      <c r="B3590" s="5">
        <v>0.72880787037037043</v>
      </c>
      <c r="C3590">
        <v>73.7</v>
      </c>
      <c r="D3590">
        <v>70.900000000000006</v>
      </c>
      <c r="E3590">
        <v>77.5</v>
      </c>
      <c r="F3590">
        <v>72.400000000000006</v>
      </c>
      <c r="G3590">
        <v>0</v>
      </c>
      <c r="H3590">
        <v>0</v>
      </c>
      <c r="I3590">
        <v>0</v>
      </c>
      <c r="J3590">
        <v>0</v>
      </c>
      <c r="K3590">
        <v>64.099999999999994</v>
      </c>
      <c r="L3590">
        <v>63.5</v>
      </c>
      <c r="M3590">
        <v>73.650000000000006</v>
      </c>
      <c r="N3590">
        <v>11</v>
      </c>
      <c r="O3590">
        <v>3</v>
      </c>
      <c r="P3590">
        <f>MOD(DAY(datos_siembra[[#This Row],[Date]]),7)</f>
        <v>4</v>
      </c>
      <c r="Q3590" t="str">
        <f>CHOOSE(WEEKDAY(datos_siembra[[#This Row],[Date]],2),"L","M","X","J","V","S","D")</f>
        <v>V</v>
      </c>
      <c r="R3590">
        <f>WEEKNUM(datos_siembra[[#This Row],[Date]],2)-WEEKNUM(DATE(YEAR(datos_siembra[[#This Row],[Date]]),MONTH(datos_siembra[[#This Row],[Date]]),1))+1</f>
        <v>2</v>
      </c>
      <c r="S3590">
        <f>MONTH(datos_siembra[[#This Row],[Date]])</f>
        <v>10</v>
      </c>
      <c r="T3590" t="str" cm="1">
        <f t="array" ref="T3590">_xlfn.IFS(AND(N3590&lt;= 22, S3590=9), "SOWING",AND(N3590&lt;= 28, S3590=9), "COVERAGE",AND(N3590&lt;= 30, S3590=9), "FLUSH",AND(N3590&lt;= 11, S3590=10), "FLUSH",AND(N3590&lt;= 21, S3590=10), "PRODUCTION")</f>
        <v>FLUSH</v>
      </c>
      <c r="U3590">
        <f>HOUR(datos_siembra[[#This Row],[Hour]])</f>
        <v>17</v>
      </c>
      <c r="V3590" cm="1">
        <f t="array" ref="V3590">_xlfn.IFS(AND(N3590&lt;= 22, S3590=9), N3590-7,AND(N3590&lt;= 28, S3590=9), N3590-25,AND(N3590&lt;= 30, S3590=9), N3590-28,AND(N3590&lt;= 11, S3590=10), N3590+2,AND(N3590&lt;= 21, S3590=10), N3590-11)</f>
        <v>13</v>
      </c>
    </row>
    <row r="3591" spans="1:22" x14ac:dyDescent="0.35">
      <c r="A3591" s="4">
        <v>45576</v>
      </c>
      <c r="B3591" s="5">
        <v>0.73575231481481485</v>
      </c>
      <c r="C3591">
        <v>73.599999999999994</v>
      </c>
      <c r="D3591">
        <v>70.900000000000006</v>
      </c>
      <c r="E3591">
        <v>77.7</v>
      </c>
      <c r="F3591">
        <v>72.3</v>
      </c>
      <c r="G3591">
        <v>0</v>
      </c>
      <c r="H3591">
        <v>0</v>
      </c>
      <c r="I3591">
        <v>0</v>
      </c>
      <c r="J3591">
        <v>0</v>
      </c>
      <c r="K3591">
        <v>63.9</v>
      </c>
      <c r="L3591">
        <v>63.5</v>
      </c>
      <c r="M3591">
        <v>73.680000000000007</v>
      </c>
      <c r="N3591">
        <v>11</v>
      </c>
      <c r="O3591">
        <v>3</v>
      </c>
      <c r="P3591">
        <f>MOD(DAY(datos_siembra[[#This Row],[Date]]),7)</f>
        <v>4</v>
      </c>
      <c r="Q3591" t="str">
        <f>CHOOSE(WEEKDAY(datos_siembra[[#This Row],[Date]],2),"L","M","X","J","V","S","D")</f>
        <v>V</v>
      </c>
      <c r="R3591">
        <f>WEEKNUM(datos_siembra[[#This Row],[Date]],2)-WEEKNUM(DATE(YEAR(datos_siembra[[#This Row],[Date]]),MONTH(datos_siembra[[#This Row],[Date]]),1))+1</f>
        <v>2</v>
      </c>
      <c r="S3591">
        <f>MONTH(datos_siembra[[#This Row],[Date]])</f>
        <v>10</v>
      </c>
      <c r="T3591" t="str" cm="1">
        <f t="array" ref="T3591">_xlfn.IFS(AND(N3591&lt;= 22, S3591=9), "SOWING",AND(N3591&lt;= 28, S3591=9), "COVERAGE",AND(N3591&lt;= 30, S3591=9), "FLUSH",AND(N3591&lt;= 11, S3591=10), "FLUSH",AND(N3591&lt;= 21, S3591=10), "PRODUCTION")</f>
        <v>FLUSH</v>
      </c>
      <c r="U3591">
        <f>HOUR(datos_siembra[[#This Row],[Hour]])</f>
        <v>17</v>
      </c>
      <c r="V3591" cm="1">
        <f t="array" ref="V3591">_xlfn.IFS(AND(N3591&lt;= 22, S3591=9), N3591-7,AND(N3591&lt;= 28, S3591=9), N3591-25,AND(N3591&lt;= 30, S3591=9), N3591-28,AND(N3591&lt;= 11, S3591=10), N3591+2,AND(N3591&lt;= 21, S3591=10), N3591-11)</f>
        <v>13</v>
      </c>
    </row>
    <row r="3592" spans="1:22" x14ac:dyDescent="0.35">
      <c r="A3592" s="4">
        <v>45576</v>
      </c>
      <c r="B3592" s="5">
        <v>0.7427083333333333</v>
      </c>
      <c r="C3592">
        <v>73.599999999999994</v>
      </c>
      <c r="D3592">
        <v>70.900000000000006</v>
      </c>
      <c r="E3592">
        <v>77.2</v>
      </c>
      <c r="F3592">
        <v>72.5</v>
      </c>
      <c r="G3592">
        <v>0</v>
      </c>
      <c r="H3592">
        <v>0</v>
      </c>
      <c r="I3592">
        <v>0</v>
      </c>
      <c r="J3592">
        <v>0</v>
      </c>
      <c r="K3592">
        <v>63.8</v>
      </c>
      <c r="L3592">
        <v>63.4</v>
      </c>
      <c r="M3592">
        <v>73.599999999999994</v>
      </c>
      <c r="N3592">
        <v>11</v>
      </c>
      <c r="O3592">
        <v>3</v>
      </c>
      <c r="P3592">
        <f>MOD(DAY(datos_siembra[[#This Row],[Date]]),7)</f>
        <v>4</v>
      </c>
      <c r="Q3592" t="str">
        <f>CHOOSE(WEEKDAY(datos_siembra[[#This Row],[Date]],2),"L","M","X","J","V","S","D")</f>
        <v>V</v>
      </c>
      <c r="R3592">
        <f>WEEKNUM(datos_siembra[[#This Row],[Date]],2)-WEEKNUM(DATE(YEAR(datos_siembra[[#This Row],[Date]]),MONTH(datos_siembra[[#This Row],[Date]]),1))+1</f>
        <v>2</v>
      </c>
      <c r="S3592">
        <f>MONTH(datos_siembra[[#This Row],[Date]])</f>
        <v>10</v>
      </c>
      <c r="T3592" t="str" cm="1">
        <f t="array" ref="T3592">_xlfn.IFS(AND(N3592&lt;= 22, S3592=9), "SOWING",AND(N3592&lt;= 28, S3592=9), "COVERAGE",AND(N3592&lt;= 30, S3592=9), "FLUSH",AND(N3592&lt;= 11, S3592=10), "FLUSH",AND(N3592&lt;= 21, S3592=10), "PRODUCTION")</f>
        <v>FLUSH</v>
      </c>
      <c r="U3592">
        <f>HOUR(datos_siembra[[#This Row],[Hour]])</f>
        <v>17</v>
      </c>
      <c r="V3592" cm="1">
        <f t="array" ref="V3592">_xlfn.IFS(AND(N3592&lt;= 22, S3592=9), N3592-7,AND(N3592&lt;= 28, S3592=9), N3592-25,AND(N3592&lt;= 30, S3592=9), N3592-28,AND(N3592&lt;= 11, S3592=10), N3592+2,AND(N3592&lt;= 21, S3592=10), N3592-11)</f>
        <v>13</v>
      </c>
    </row>
    <row r="3593" spans="1:22" x14ac:dyDescent="0.35">
      <c r="A3593" s="4">
        <v>45576</v>
      </c>
      <c r="B3593" s="5">
        <v>0.74965277777777772</v>
      </c>
      <c r="C3593">
        <v>73.599999999999994</v>
      </c>
      <c r="D3593">
        <v>71</v>
      </c>
      <c r="E3593">
        <v>77.3</v>
      </c>
      <c r="F3593">
        <v>72.400000000000006</v>
      </c>
      <c r="G3593">
        <v>0</v>
      </c>
      <c r="H3593">
        <v>0</v>
      </c>
      <c r="I3593">
        <v>0</v>
      </c>
      <c r="J3593">
        <v>0</v>
      </c>
      <c r="K3593">
        <v>63.7</v>
      </c>
      <c r="L3593">
        <v>63.3</v>
      </c>
      <c r="M3593">
        <v>73.569999999999993</v>
      </c>
      <c r="N3593">
        <v>11</v>
      </c>
      <c r="O3593">
        <v>3</v>
      </c>
      <c r="P3593">
        <f>MOD(DAY(datos_siembra[[#This Row],[Date]]),7)</f>
        <v>4</v>
      </c>
      <c r="Q3593" t="str">
        <f>CHOOSE(WEEKDAY(datos_siembra[[#This Row],[Date]],2),"L","M","X","J","V","S","D")</f>
        <v>V</v>
      </c>
      <c r="R3593">
        <f>WEEKNUM(datos_siembra[[#This Row],[Date]],2)-WEEKNUM(DATE(YEAR(datos_siembra[[#This Row],[Date]]),MONTH(datos_siembra[[#This Row],[Date]]),1))+1</f>
        <v>2</v>
      </c>
      <c r="S3593">
        <f>MONTH(datos_siembra[[#This Row],[Date]])</f>
        <v>10</v>
      </c>
      <c r="T3593" t="str" cm="1">
        <f t="array" ref="T3593">_xlfn.IFS(AND(N3593&lt;= 22, S3593=9), "SOWING",AND(N3593&lt;= 28, S3593=9), "COVERAGE",AND(N3593&lt;= 30, S3593=9), "FLUSH",AND(N3593&lt;= 11, S3593=10), "FLUSH",AND(N3593&lt;= 21, S3593=10), "PRODUCTION")</f>
        <v>FLUSH</v>
      </c>
      <c r="U3593">
        <f>HOUR(datos_siembra[[#This Row],[Hour]])</f>
        <v>17</v>
      </c>
      <c r="V3593" cm="1">
        <f t="array" ref="V3593">_xlfn.IFS(AND(N3593&lt;= 22, S3593=9), N3593-7,AND(N3593&lt;= 28, S3593=9), N3593-25,AND(N3593&lt;= 30, S3593=9), N3593-28,AND(N3593&lt;= 11, S3593=10), N3593+2,AND(N3593&lt;= 21, S3593=10), N3593-11)</f>
        <v>13</v>
      </c>
    </row>
    <row r="3594" spans="1:22" x14ac:dyDescent="0.35">
      <c r="A3594" s="4">
        <v>45576</v>
      </c>
      <c r="B3594" s="5">
        <v>0.75659722222222225</v>
      </c>
      <c r="C3594">
        <v>73.7</v>
      </c>
      <c r="D3594">
        <v>70.900000000000006</v>
      </c>
      <c r="E3594">
        <v>77.3</v>
      </c>
      <c r="F3594">
        <v>72.599999999999994</v>
      </c>
      <c r="G3594">
        <v>0</v>
      </c>
      <c r="H3594">
        <v>0</v>
      </c>
      <c r="I3594">
        <v>0</v>
      </c>
      <c r="J3594">
        <v>0</v>
      </c>
      <c r="K3594">
        <v>63.7</v>
      </c>
      <c r="L3594">
        <v>63.2</v>
      </c>
      <c r="M3594">
        <v>73.680000000000007</v>
      </c>
      <c r="N3594">
        <v>11</v>
      </c>
      <c r="O3594">
        <v>3</v>
      </c>
      <c r="P3594">
        <f>MOD(DAY(datos_siembra[[#This Row],[Date]]),7)</f>
        <v>4</v>
      </c>
      <c r="Q3594" t="str">
        <f>CHOOSE(WEEKDAY(datos_siembra[[#This Row],[Date]],2),"L","M","X","J","V","S","D")</f>
        <v>V</v>
      </c>
      <c r="R3594">
        <f>WEEKNUM(datos_siembra[[#This Row],[Date]],2)-WEEKNUM(DATE(YEAR(datos_siembra[[#This Row],[Date]]),MONTH(datos_siembra[[#This Row],[Date]]),1))+1</f>
        <v>2</v>
      </c>
      <c r="S3594">
        <f>MONTH(datos_siembra[[#This Row],[Date]])</f>
        <v>10</v>
      </c>
      <c r="T3594" t="str" cm="1">
        <f t="array" ref="T3594">_xlfn.IFS(AND(N3594&lt;= 22, S3594=9), "SOWING",AND(N3594&lt;= 28, S3594=9), "COVERAGE",AND(N3594&lt;= 30, S3594=9), "FLUSH",AND(N3594&lt;= 11, S3594=10), "FLUSH",AND(N3594&lt;= 21, S3594=10), "PRODUCTION")</f>
        <v>FLUSH</v>
      </c>
      <c r="U3594">
        <f>HOUR(datos_siembra[[#This Row],[Hour]])</f>
        <v>18</v>
      </c>
      <c r="V3594" cm="1">
        <f t="array" ref="V3594">_xlfn.IFS(AND(N3594&lt;= 22, S3594=9), N3594-7,AND(N3594&lt;= 28, S3594=9), N3594-25,AND(N3594&lt;= 30, S3594=9), N3594-28,AND(N3594&lt;= 11, S3594=10), N3594+2,AND(N3594&lt;= 21, S3594=10), N3594-11)</f>
        <v>13</v>
      </c>
    </row>
    <row r="3595" spans="1:22" x14ac:dyDescent="0.35">
      <c r="A3595" s="4">
        <v>45576</v>
      </c>
      <c r="B3595" s="5">
        <v>0.76355324074074071</v>
      </c>
      <c r="C3595">
        <v>73.7</v>
      </c>
      <c r="D3595">
        <v>71.099999999999994</v>
      </c>
      <c r="E3595">
        <v>77.099999999999994</v>
      </c>
      <c r="F3595">
        <v>72.599999999999994</v>
      </c>
      <c r="G3595">
        <v>0</v>
      </c>
      <c r="H3595">
        <v>0</v>
      </c>
      <c r="I3595">
        <v>0</v>
      </c>
      <c r="J3595">
        <v>0</v>
      </c>
      <c r="K3595">
        <v>64.099999999999994</v>
      </c>
      <c r="L3595">
        <v>63.6</v>
      </c>
      <c r="M3595">
        <v>73.62</v>
      </c>
      <c r="N3595">
        <v>11</v>
      </c>
      <c r="O3595">
        <v>3</v>
      </c>
      <c r="P3595">
        <f>MOD(DAY(datos_siembra[[#This Row],[Date]]),7)</f>
        <v>4</v>
      </c>
      <c r="Q3595" t="str">
        <f>CHOOSE(WEEKDAY(datos_siembra[[#This Row],[Date]],2),"L","M","X","J","V","S","D")</f>
        <v>V</v>
      </c>
      <c r="R3595">
        <f>WEEKNUM(datos_siembra[[#This Row],[Date]],2)-WEEKNUM(DATE(YEAR(datos_siembra[[#This Row],[Date]]),MONTH(datos_siembra[[#This Row],[Date]]),1))+1</f>
        <v>2</v>
      </c>
      <c r="S3595">
        <f>MONTH(datos_siembra[[#This Row],[Date]])</f>
        <v>10</v>
      </c>
      <c r="T3595" t="str" cm="1">
        <f t="array" ref="T3595">_xlfn.IFS(AND(N3595&lt;= 22, S3595=9), "SOWING",AND(N3595&lt;= 28, S3595=9), "COVERAGE",AND(N3595&lt;= 30, S3595=9), "FLUSH",AND(N3595&lt;= 11, S3595=10), "FLUSH",AND(N3595&lt;= 21, S3595=10), "PRODUCTION")</f>
        <v>FLUSH</v>
      </c>
      <c r="U3595">
        <f>HOUR(datos_siembra[[#This Row],[Hour]])</f>
        <v>18</v>
      </c>
      <c r="V3595" cm="1">
        <f t="array" ref="V3595">_xlfn.IFS(AND(N3595&lt;= 22, S3595=9), N3595-7,AND(N3595&lt;= 28, S3595=9), N3595-25,AND(N3595&lt;= 30, S3595=9), N3595-28,AND(N3595&lt;= 11, S3595=10), N3595+2,AND(N3595&lt;= 21, S3595=10), N3595-11)</f>
        <v>13</v>
      </c>
    </row>
    <row r="3596" spans="1:22" x14ac:dyDescent="0.35">
      <c r="A3596" s="4">
        <v>45576</v>
      </c>
      <c r="B3596" s="5">
        <v>0.77049768518518513</v>
      </c>
      <c r="C3596">
        <v>73.7</v>
      </c>
      <c r="D3596">
        <v>71.099999999999994</v>
      </c>
      <c r="E3596">
        <v>77.099999999999994</v>
      </c>
      <c r="F3596">
        <v>72.7</v>
      </c>
      <c r="G3596">
        <v>0</v>
      </c>
      <c r="H3596">
        <v>0</v>
      </c>
      <c r="I3596">
        <v>0</v>
      </c>
      <c r="J3596">
        <v>0</v>
      </c>
      <c r="K3596">
        <v>64.099999999999994</v>
      </c>
      <c r="L3596">
        <v>63.6</v>
      </c>
      <c r="M3596">
        <v>73.680000000000007</v>
      </c>
      <c r="N3596">
        <v>11</v>
      </c>
      <c r="O3596">
        <v>3</v>
      </c>
      <c r="P3596">
        <f>MOD(DAY(datos_siembra[[#This Row],[Date]]),7)</f>
        <v>4</v>
      </c>
      <c r="Q3596" t="str">
        <f>CHOOSE(WEEKDAY(datos_siembra[[#This Row],[Date]],2),"L","M","X","J","V","S","D")</f>
        <v>V</v>
      </c>
      <c r="R3596">
        <f>WEEKNUM(datos_siembra[[#This Row],[Date]],2)-WEEKNUM(DATE(YEAR(datos_siembra[[#This Row],[Date]]),MONTH(datos_siembra[[#This Row],[Date]]),1))+1</f>
        <v>2</v>
      </c>
      <c r="S3596">
        <f>MONTH(datos_siembra[[#This Row],[Date]])</f>
        <v>10</v>
      </c>
      <c r="T3596" t="str" cm="1">
        <f t="array" ref="T3596">_xlfn.IFS(AND(N3596&lt;= 22, S3596=9), "SOWING",AND(N3596&lt;= 28, S3596=9), "COVERAGE",AND(N3596&lt;= 30, S3596=9), "FLUSH",AND(N3596&lt;= 11, S3596=10), "FLUSH",AND(N3596&lt;= 21, S3596=10), "PRODUCTION")</f>
        <v>FLUSH</v>
      </c>
      <c r="U3596">
        <f>HOUR(datos_siembra[[#This Row],[Hour]])</f>
        <v>18</v>
      </c>
      <c r="V3596" cm="1">
        <f t="array" ref="V3596">_xlfn.IFS(AND(N3596&lt;= 22, S3596=9), N3596-7,AND(N3596&lt;= 28, S3596=9), N3596-25,AND(N3596&lt;= 30, S3596=9), N3596-28,AND(N3596&lt;= 11, S3596=10), N3596+2,AND(N3596&lt;= 21, S3596=10), N3596-11)</f>
        <v>13</v>
      </c>
    </row>
    <row r="3597" spans="1:22" x14ac:dyDescent="0.35">
      <c r="A3597" s="4">
        <v>45576</v>
      </c>
      <c r="B3597" s="5">
        <v>0.77744212962962966</v>
      </c>
      <c r="C3597">
        <v>73.900000000000006</v>
      </c>
      <c r="D3597">
        <v>71.3</v>
      </c>
      <c r="E3597">
        <v>77.2</v>
      </c>
      <c r="F3597">
        <v>72.599999999999994</v>
      </c>
      <c r="G3597">
        <v>0</v>
      </c>
      <c r="H3597">
        <v>0</v>
      </c>
      <c r="I3597">
        <v>0</v>
      </c>
      <c r="J3597">
        <v>0</v>
      </c>
      <c r="K3597">
        <v>64.2</v>
      </c>
      <c r="L3597">
        <v>63.8</v>
      </c>
      <c r="M3597">
        <v>73.77</v>
      </c>
      <c r="N3597">
        <v>11</v>
      </c>
      <c r="O3597">
        <v>3</v>
      </c>
      <c r="P3597">
        <f>MOD(DAY(datos_siembra[[#This Row],[Date]]),7)</f>
        <v>4</v>
      </c>
      <c r="Q3597" t="str">
        <f>CHOOSE(WEEKDAY(datos_siembra[[#This Row],[Date]],2),"L","M","X","J","V","S","D")</f>
        <v>V</v>
      </c>
      <c r="R3597">
        <f>WEEKNUM(datos_siembra[[#This Row],[Date]],2)-WEEKNUM(DATE(YEAR(datos_siembra[[#This Row],[Date]]),MONTH(datos_siembra[[#This Row],[Date]]),1))+1</f>
        <v>2</v>
      </c>
      <c r="S3597">
        <f>MONTH(datos_siembra[[#This Row],[Date]])</f>
        <v>10</v>
      </c>
      <c r="T3597" t="str" cm="1">
        <f t="array" ref="T3597">_xlfn.IFS(AND(N3597&lt;= 22, S3597=9), "SOWING",AND(N3597&lt;= 28, S3597=9), "COVERAGE",AND(N3597&lt;= 30, S3597=9), "FLUSH",AND(N3597&lt;= 11, S3597=10), "FLUSH",AND(N3597&lt;= 21, S3597=10), "PRODUCTION")</f>
        <v>FLUSH</v>
      </c>
      <c r="U3597">
        <f>HOUR(datos_siembra[[#This Row],[Hour]])</f>
        <v>18</v>
      </c>
      <c r="V3597" cm="1">
        <f t="array" ref="V3597">_xlfn.IFS(AND(N3597&lt;= 22, S3597=9), N3597-7,AND(N3597&lt;= 28, S3597=9), N3597-25,AND(N3597&lt;= 30, S3597=9), N3597-28,AND(N3597&lt;= 11, S3597=10), N3597+2,AND(N3597&lt;= 21, S3597=10), N3597-11)</f>
        <v>13</v>
      </c>
    </row>
    <row r="3598" spans="1:22" x14ac:dyDescent="0.35">
      <c r="A3598" s="4">
        <v>45576</v>
      </c>
      <c r="B3598" s="5">
        <v>0.78438657407407408</v>
      </c>
      <c r="C3598">
        <v>73.7</v>
      </c>
      <c r="D3598">
        <v>71.099999999999994</v>
      </c>
      <c r="E3598">
        <v>77.2</v>
      </c>
      <c r="F3598">
        <v>72.5</v>
      </c>
      <c r="G3598">
        <v>0</v>
      </c>
      <c r="H3598">
        <v>0</v>
      </c>
      <c r="I3598">
        <v>0</v>
      </c>
      <c r="J3598">
        <v>0</v>
      </c>
      <c r="K3598">
        <v>64.3</v>
      </c>
      <c r="L3598">
        <v>63.8</v>
      </c>
      <c r="M3598">
        <v>73.739999999999995</v>
      </c>
      <c r="N3598">
        <v>11</v>
      </c>
      <c r="O3598">
        <v>3</v>
      </c>
      <c r="P3598">
        <f>MOD(DAY(datos_siembra[[#This Row],[Date]]),7)</f>
        <v>4</v>
      </c>
      <c r="Q3598" t="str">
        <f>CHOOSE(WEEKDAY(datos_siembra[[#This Row],[Date]],2),"L","M","X","J","V","S","D")</f>
        <v>V</v>
      </c>
      <c r="R3598">
        <f>WEEKNUM(datos_siembra[[#This Row],[Date]],2)-WEEKNUM(DATE(YEAR(datos_siembra[[#This Row],[Date]]),MONTH(datos_siembra[[#This Row],[Date]]),1))+1</f>
        <v>2</v>
      </c>
      <c r="S3598">
        <f>MONTH(datos_siembra[[#This Row],[Date]])</f>
        <v>10</v>
      </c>
      <c r="T3598" t="str" cm="1">
        <f t="array" ref="T3598">_xlfn.IFS(AND(N3598&lt;= 22, S3598=9), "SOWING",AND(N3598&lt;= 28, S3598=9), "COVERAGE",AND(N3598&lt;= 30, S3598=9), "FLUSH",AND(N3598&lt;= 11, S3598=10), "FLUSH",AND(N3598&lt;= 21, S3598=10), "PRODUCTION")</f>
        <v>FLUSH</v>
      </c>
      <c r="U3598">
        <f>HOUR(datos_siembra[[#This Row],[Hour]])</f>
        <v>18</v>
      </c>
      <c r="V3598" cm="1">
        <f t="array" ref="V3598">_xlfn.IFS(AND(N3598&lt;= 22, S3598=9), N3598-7,AND(N3598&lt;= 28, S3598=9), N3598-25,AND(N3598&lt;= 30, S3598=9), N3598-28,AND(N3598&lt;= 11, S3598=10), N3598+2,AND(N3598&lt;= 21, S3598=10), N3598-11)</f>
        <v>13</v>
      </c>
    </row>
    <row r="3599" spans="1:22" x14ac:dyDescent="0.35">
      <c r="A3599" s="4">
        <v>45576</v>
      </c>
      <c r="B3599" s="5">
        <v>0.79134259259259254</v>
      </c>
      <c r="C3599">
        <v>73.900000000000006</v>
      </c>
      <c r="D3599">
        <v>71.099999999999994</v>
      </c>
      <c r="E3599">
        <v>77.2</v>
      </c>
      <c r="F3599">
        <v>72.7</v>
      </c>
      <c r="G3599">
        <v>0</v>
      </c>
      <c r="H3599">
        <v>0</v>
      </c>
      <c r="I3599">
        <v>0</v>
      </c>
      <c r="J3599">
        <v>0</v>
      </c>
      <c r="K3599">
        <v>64.3</v>
      </c>
      <c r="L3599">
        <v>63.9</v>
      </c>
      <c r="M3599">
        <v>73.680000000000007</v>
      </c>
      <c r="N3599">
        <v>11</v>
      </c>
      <c r="O3599">
        <v>3</v>
      </c>
      <c r="P3599">
        <f>MOD(DAY(datos_siembra[[#This Row],[Date]]),7)</f>
        <v>4</v>
      </c>
      <c r="Q3599" t="str">
        <f>CHOOSE(WEEKDAY(datos_siembra[[#This Row],[Date]],2),"L","M","X","J","V","S","D")</f>
        <v>V</v>
      </c>
      <c r="R3599">
        <f>WEEKNUM(datos_siembra[[#This Row],[Date]],2)-WEEKNUM(DATE(YEAR(datos_siembra[[#This Row],[Date]]),MONTH(datos_siembra[[#This Row],[Date]]),1))+1</f>
        <v>2</v>
      </c>
      <c r="S3599">
        <f>MONTH(datos_siembra[[#This Row],[Date]])</f>
        <v>10</v>
      </c>
      <c r="T3599" t="str" cm="1">
        <f t="array" ref="T3599">_xlfn.IFS(AND(N3599&lt;= 22, S3599=9), "SOWING",AND(N3599&lt;= 28, S3599=9), "COVERAGE",AND(N3599&lt;= 30, S3599=9), "FLUSH",AND(N3599&lt;= 11, S3599=10), "FLUSH",AND(N3599&lt;= 21, S3599=10), "PRODUCTION")</f>
        <v>FLUSH</v>
      </c>
      <c r="U3599">
        <f>HOUR(datos_siembra[[#This Row],[Hour]])</f>
        <v>18</v>
      </c>
      <c r="V3599" cm="1">
        <f t="array" ref="V3599">_xlfn.IFS(AND(N3599&lt;= 22, S3599=9), N3599-7,AND(N3599&lt;= 28, S3599=9), N3599-25,AND(N3599&lt;= 30, S3599=9), N3599-28,AND(N3599&lt;= 11, S3599=10), N3599+2,AND(N3599&lt;= 21, S3599=10), N3599-11)</f>
        <v>13</v>
      </c>
    </row>
    <row r="3600" spans="1:22" x14ac:dyDescent="0.35">
      <c r="A3600" s="4">
        <v>45576</v>
      </c>
      <c r="B3600" s="5">
        <v>0.79828703703703707</v>
      </c>
      <c r="C3600">
        <v>73.900000000000006</v>
      </c>
      <c r="D3600">
        <v>71.3</v>
      </c>
      <c r="E3600">
        <v>77.099999999999994</v>
      </c>
      <c r="F3600">
        <v>72.7</v>
      </c>
      <c r="G3600">
        <v>0</v>
      </c>
      <c r="H3600">
        <v>0</v>
      </c>
      <c r="I3600">
        <v>0</v>
      </c>
      <c r="J3600">
        <v>0</v>
      </c>
      <c r="K3600">
        <v>64.3</v>
      </c>
      <c r="L3600">
        <v>63.8</v>
      </c>
      <c r="M3600">
        <v>73.680000000000007</v>
      </c>
      <c r="N3600">
        <v>11</v>
      </c>
      <c r="O3600">
        <v>3</v>
      </c>
      <c r="P3600">
        <f>MOD(DAY(datos_siembra[[#This Row],[Date]]),7)</f>
        <v>4</v>
      </c>
      <c r="Q3600" t="str">
        <f>CHOOSE(WEEKDAY(datos_siembra[[#This Row],[Date]],2),"L","M","X","J","V","S","D")</f>
        <v>V</v>
      </c>
      <c r="R3600">
        <f>WEEKNUM(datos_siembra[[#This Row],[Date]],2)-WEEKNUM(DATE(YEAR(datos_siembra[[#This Row],[Date]]),MONTH(datos_siembra[[#This Row],[Date]]),1))+1</f>
        <v>2</v>
      </c>
      <c r="S3600">
        <f>MONTH(datos_siembra[[#This Row],[Date]])</f>
        <v>10</v>
      </c>
      <c r="T3600" t="str" cm="1">
        <f t="array" ref="T3600">_xlfn.IFS(AND(N3600&lt;= 22, S3600=9), "SOWING",AND(N3600&lt;= 28, S3600=9), "COVERAGE",AND(N3600&lt;= 30, S3600=9), "FLUSH",AND(N3600&lt;= 11, S3600=10), "FLUSH",AND(N3600&lt;= 21, S3600=10), "PRODUCTION")</f>
        <v>FLUSH</v>
      </c>
      <c r="U3600">
        <f>HOUR(datos_siembra[[#This Row],[Hour]])</f>
        <v>19</v>
      </c>
      <c r="V3600" cm="1">
        <f t="array" ref="V3600">_xlfn.IFS(AND(N3600&lt;= 22, S3600=9), N3600-7,AND(N3600&lt;= 28, S3600=9), N3600-25,AND(N3600&lt;= 30, S3600=9), N3600-28,AND(N3600&lt;= 11, S3600=10), N3600+2,AND(N3600&lt;= 21, S3600=10), N3600-11)</f>
        <v>13</v>
      </c>
    </row>
    <row r="3601" spans="1:22" x14ac:dyDescent="0.35">
      <c r="A3601" s="4">
        <v>45576</v>
      </c>
      <c r="B3601" s="5">
        <v>0.80523148148148149</v>
      </c>
      <c r="C3601">
        <v>73.900000000000006</v>
      </c>
      <c r="D3601">
        <v>71.3</v>
      </c>
      <c r="E3601">
        <v>77.099999999999994</v>
      </c>
      <c r="F3601">
        <v>72.599999999999994</v>
      </c>
      <c r="G3601">
        <v>0</v>
      </c>
      <c r="H3601">
        <v>0</v>
      </c>
      <c r="I3601">
        <v>0</v>
      </c>
      <c r="J3601">
        <v>0</v>
      </c>
      <c r="K3601">
        <v>64.400000000000006</v>
      </c>
      <c r="L3601">
        <v>63.9</v>
      </c>
      <c r="M3601">
        <v>73.790000000000006</v>
      </c>
      <c r="N3601">
        <v>11</v>
      </c>
      <c r="O3601">
        <v>3</v>
      </c>
      <c r="P3601">
        <f>MOD(DAY(datos_siembra[[#This Row],[Date]]),7)</f>
        <v>4</v>
      </c>
      <c r="Q3601" t="str">
        <f>CHOOSE(WEEKDAY(datos_siembra[[#This Row],[Date]],2),"L","M","X","J","V","S","D")</f>
        <v>V</v>
      </c>
      <c r="R3601">
        <f>WEEKNUM(datos_siembra[[#This Row],[Date]],2)-WEEKNUM(DATE(YEAR(datos_siembra[[#This Row],[Date]]),MONTH(datos_siembra[[#This Row],[Date]]),1))+1</f>
        <v>2</v>
      </c>
      <c r="S3601">
        <f>MONTH(datos_siembra[[#This Row],[Date]])</f>
        <v>10</v>
      </c>
      <c r="T3601" t="str" cm="1">
        <f t="array" ref="T3601">_xlfn.IFS(AND(N3601&lt;= 22, S3601=9), "SOWING",AND(N3601&lt;= 28, S3601=9), "COVERAGE",AND(N3601&lt;= 30, S3601=9), "FLUSH",AND(N3601&lt;= 11, S3601=10), "FLUSH",AND(N3601&lt;= 21, S3601=10), "PRODUCTION")</f>
        <v>FLUSH</v>
      </c>
      <c r="U3601">
        <f>HOUR(datos_siembra[[#This Row],[Hour]])</f>
        <v>19</v>
      </c>
      <c r="V3601" cm="1">
        <f t="array" ref="V3601">_xlfn.IFS(AND(N3601&lt;= 22, S3601=9), N3601-7,AND(N3601&lt;= 28, S3601=9), N3601-25,AND(N3601&lt;= 30, S3601=9), N3601-28,AND(N3601&lt;= 11, S3601=10), N3601+2,AND(N3601&lt;= 21, S3601=10), N3601-11)</f>
        <v>13</v>
      </c>
    </row>
    <row r="3602" spans="1:22" x14ac:dyDescent="0.35">
      <c r="A3602" s="4">
        <v>45576</v>
      </c>
      <c r="B3602" s="5">
        <v>0.81218749999999995</v>
      </c>
      <c r="C3602">
        <v>74.099999999999994</v>
      </c>
      <c r="D3602">
        <v>71.3</v>
      </c>
      <c r="E3602">
        <v>77.099999999999994</v>
      </c>
      <c r="F3602">
        <v>72.8</v>
      </c>
      <c r="G3602">
        <v>0</v>
      </c>
      <c r="H3602">
        <v>0</v>
      </c>
      <c r="I3602">
        <v>0</v>
      </c>
      <c r="J3602">
        <v>0</v>
      </c>
      <c r="K3602">
        <v>64.400000000000006</v>
      </c>
      <c r="L3602">
        <v>63.9</v>
      </c>
      <c r="M3602">
        <v>73.819999999999993</v>
      </c>
      <c r="N3602">
        <v>11</v>
      </c>
      <c r="O3602">
        <v>3</v>
      </c>
      <c r="P3602">
        <f>MOD(DAY(datos_siembra[[#This Row],[Date]]),7)</f>
        <v>4</v>
      </c>
      <c r="Q3602" t="str">
        <f>CHOOSE(WEEKDAY(datos_siembra[[#This Row],[Date]],2),"L","M","X","J","V","S","D")</f>
        <v>V</v>
      </c>
      <c r="R3602">
        <f>WEEKNUM(datos_siembra[[#This Row],[Date]],2)-WEEKNUM(DATE(YEAR(datos_siembra[[#This Row],[Date]]),MONTH(datos_siembra[[#This Row],[Date]]),1))+1</f>
        <v>2</v>
      </c>
      <c r="S3602">
        <f>MONTH(datos_siembra[[#This Row],[Date]])</f>
        <v>10</v>
      </c>
      <c r="T3602" t="str" cm="1">
        <f t="array" ref="T3602">_xlfn.IFS(AND(N3602&lt;= 22, S3602=9), "SOWING",AND(N3602&lt;= 28, S3602=9), "COVERAGE",AND(N3602&lt;= 30, S3602=9), "FLUSH",AND(N3602&lt;= 11, S3602=10), "FLUSH",AND(N3602&lt;= 21, S3602=10), "PRODUCTION")</f>
        <v>FLUSH</v>
      </c>
      <c r="U3602">
        <f>HOUR(datos_siembra[[#This Row],[Hour]])</f>
        <v>19</v>
      </c>
      <c r="V3602" cm="1">
        <f t="array" ref="V3602">_xlfn.IFS(AND(N3602&lt;= 22, S3602=9), N3602-7,AND(N3602&lt;= 28, S3602=9), N3602-25,AND(N3602&lt;= 30, S3602=9), N3602-28,AND(N3602&lt;= 11, S3602=10), N3602+2,AND(N3602&lt;= 21, S3602=10), N3602-11)</f>
        <v>13</v>
      </c>
    </row>
    <row r="3603" spans="1:22" x14ac:dyDescent="0.35">
      <c r="A3603" s="4">
        <v>45576</v>
      </c>
      <c r="B3603" s="5">
        <v>0.81913194444444448</v>
      </c>
      <c r="C3603">
        <v>73.900000000000006</v>
      </c>
      <c r="D3603">
        <v>71.3</v>
      </c>
      <c r="E3603">
        <v>77.099999999999994</v>
      </c>
      <c r="F3603">
        <v>72.7</v>
      </c>
      <c r="G3603">
        <v>0</v>
      </c>
      <c r="H3603">
        <v>0</v>
      </c>
      <c r="I3603">
        <v>0</v>
      </c>
      <c r="J3603">
        <v>0</v>
      </c>
      <c r="K3603">
        <v>64.400000000000006</v>
      </c>
      <c r="L3603">
        <v>64.099999999999994</v>
      </c>
      <c r="M3603">
        <v>73.739999999999995</v>
      </c>
      <c r="N3603">
        <v>11</v>
      </c>
      <c r="O3603">
        <v>3</v>
      </c>
      <c r="P3603">
        <f>MOD(DAY(datos_siembra[[#This Row],[Date]]),7)</f>
        <v>4</v>
      </c>
      <c r="Q3603" t="str">
        <f>CHOOSE(WEEKDAY(datos_siembra[[#This Row],[Date]],2),"L","M","X","J","V","S","D")</f>
        <v>V</v>
      </c>
      <c r="R3603">
        <f>WEEKNUM(datos_siembra[[#This Row],[Date]],2)-WEEKNUM(DATE(YEAR(datos_siembra[[#This Row],[Date]]),MONTH(datos_siembra[[#This Row],[Date]]),1))+1</f>
        <v>2</v>
      </c>
      <c r="S3603">
        <f>MONTH(datos_siembra[[#This Row],[Date]])</f>
        <v>10</v>
      </c>
      <c r="T3603" t="str" cm="1">
        <f t="array" ref="T3603">_xlfn.IFS(AND(N3603&lt;= 22, S3603=9), "SOWING",AND(N3603&lt;= 28, S3603=9), "COVERAGE",AND(N3603&lt;= 30, S3603=9), "FLUSH",AND(N3603&lt;= 11, S3603=10), "FLUSH",AND(N3603&lt;= 21, S3603=10), "PRODUCTION")</f>
        <v>FLUSH</v>
      </c>
      <c r="U3603">
        <f>HOUR(datos_siembra[[#This Row],[Hour]])</f>
        <v>19</v>
      </c>
      <c r="V3603" cm="1">
        <f t="array" ref="V3603">_xlfn.IFS(AND(N3603&lt;= 22, S3603=9), N3603-7,AND(N3603&lt;= 28, S3603=9), N3603-25,AND(N3603&lt;= 30, S3603=9), N3603-28,AND(N3603&lt;= 11, S3603=10), N3603+2,AND(N3603&lt;= 21, S3603=10), N3603-11)</f>
        <v>13</v>
      </c>
    </row>
    <row r="3604" spans="1:22" x14ac:dyDescent="0.35">
      <c r="A3604" s="4">
        <v>45576</v>
      </c>
      <c r="B3604" s="5">
        <v>0.8260763888888889</v>
      </c>
      <c r="C3604">
        <v>74</v>
      </c>
      <c r="D3604">
        <v>71.400000000000006</v>
      </c>
      <c r="E3604">
        <v>77.3</v>
      </c>
      <c r="F3604">
        <v>73</v>
      </c>
      <c r="G3604">
        <v>0</v>
      </c>
      <c r="H3604">
        <v>0</v>
      </c>
      <c r="I3604">
        <v>0</v>
      </c>
      <c r="J3604">
        <v>0</v>
      </c>
      <c r="K3604">
        <v>64.400000000000006</v>
      </c>
      <c r="L3604">
        <v>64.099999999999994</v>
      </c>
      <c r="M3604">
        <v>73.790000000000006</v>
      </c>
      <c r="N3604">
        <v>11</v>
      </c>
      <c r="O3604">
        <v>3</v>
      </c>
      <c r="P3604">
        <f>MOD(DAY(datos_siembra[[#This Row],[Date]]),7)</f>
        <v>4</v>
      </c>
      <c r="Q3604" t="str">
        <f>CHOOSE(WEEKDAY(datos_siembra[[#This Row],[Date]],2),"L","M","X","J","V","S","D")</f>
        <v>V</v>
      </c>
      <c r="R3604">
        <f>WEEKNUM(datos_siembra[[#This Row],[Date]],2)-WEEKNUM(DATE(YEAR(datos_siembra[[#This Row],[Date]]),MONTH(datos_siembra[[#This Row],[Date]]),1))+1</f>
        <v>2</v>
      </c>
      <c r="S3604">
        <f>MONTH(datos_siembra[[#This Row],[Date]])</f>
        <v>10</v>
      </c>
      <c r="T3604" t="str" cm="1">
        <f t="array" ref="T3604">_xlfn.IFS(AND(N3604&lt;= 22, S3604=9), "SOWING",AND(N3604&lt;= 28, S3604=9), "COVERAGE",AND(N3604&lt;= 30, S3604=9), "FLUSH",AND(N3604&lt;= 11, S3604=10), "FLUSH",AND(N3604&lt;= 21, S3604=10), "PRODUCTION")</f>
        <v>FLUSH</v>
      </c>
      <c r="U3604">
        <f>HOUR(datos_siembra[[#This Row],[Hour]])</f>
        <v>19</v>
      </c>
      <c r="V3604" cm="1">
        <f t="array" ref="V3604">_xlfn.IFS(AND(N3604&lt;= 22, S3604=9), N3604-7,AND(N3604&lt;= 28, S3604=9), N3604-25,AND(N3604&lt;= 30, S3604=9), N3604-28,AND(N3604&lt;= 11, S3604=10), N3604+2,AND(N3604&lt;= 21, S3604=10), N3604-11)</f>
        <v>13</v>
      </c>
    </row>
    <row r="3605" spans="1:22" x14ac:dyDescent="0.35">
      <c r="A3605" s="4">
        <v>45576</v>
      </c>
      <c r="B3605" s="5">
        <v>0.83302083333333332</v>
      </c>
      <c r="C3605">
        <v>74</v>
      </c>
      <c r="D3605">
        <v>71.3</v>
      </c>
      <c r="E3605">
        <v>77.2</v>
      </c>
      <c r="F3605">
        <v>72.7</v>
      </c>
      <c r="G3605">
        <v>0</v>
      </c>
      <c r="H3605">
        <v>0</v>
      </c>
      <c r="I3605">
        <v>0</v>
      </c>
      <c r="J3605">
        <v>0</v>
      </c>
      <c r="K3605">
        <v>64.400000000000006</v>
      </c>
      <c r="L3605">
        <v>64.099999999999994</v>
      </c>
      <c r="M3605">
        <v>73.88</v>
      </c>
      <c r="N3605">
        <v>11</v>
      </c>
      <c r="O3605">
        <v>3</v>
      </c>
      <c r="P3605">
        <f>MOD(DAY(datos_siembra[[#This Row],[Date]]),7)</f>
        <v>4</v>
      </c>
      <c r="Q3605" t="str">
        <f>CHOOSE(WEEKDAY(datos_siembra[[#This Row],[Date]],2),"L","M","X","J","V","S","D")</f>
        <v>V</v>
      </c>
      <c r="R3605">
        <f>WEEKNUM(datos_siembra[[#This Row],[Date]],2)-WEEKNUM(DATE(YEAR(datos_siembra[[#This Row],[Date]]),MONTH(datos_siembra[[#This Row],[Date]]),1))+1</f>
        <v>2</v>
      </c>
      <c r="S3605">
        <f>MONTH(datos_siembra[[#This Row],[Date]])</f>
        <v>10</v>
      </c>
      <c r="T3605" t="str" cm="1">
        <f t="array" ref="T3605">_xlfn.IFS(AND(N3605&lt;= 22, S3605=9), "SOWING",AND(N3605&lt;= 28, S3605=9), "COVERAGE",AND(N3605&lt;= 30, S3605=9), "FLUSH",AND(N3605&lt;= 11, S3605=10), "FLUSH",AND(N3605&lt;= 21, S3605=10), "PRODUCTION")</f>
        <v>FLUSH</v>
      </c>
      <c r="U3605">
        <f>HOUR(datos_siembra[[#This Row],[Hour]])</f>
        <v>19</v>
      </c>
      <c r="V3605" cm="1">
        <f t="array" ref="V3605">_xlfn.IFS(AND(N3605&lt;= 22, S3605=9), N3605-7,AND(N3605&lt;= 28, S3605=9), N3605-25,AND(N3605&lt;= 30, S3605=9), N3605-28,AND(N3605&lt;= 11, S3605=10), N3605+2,AND(N3605&lt;= 21, S3605=10), N3605-11)</f>
        <v>13</v>
      </c>
    </row>
    <row r="3606" spans="1:22" x14ac:dyDescent="0.35">
      <c r="A3606" s="4">
        <v>45576</v>
      </c>
      <c r="B3606" s="5">
        <v>0.83997685185185189</v>
      </c>
      <c r="C3606">
        <v>74.099999999999994</v>
      </c>
      <c r="D3606">
        <v>71.400000000000006</v>
      </c>
      <c r="E3606">
        <v>77.2</v>
      </c>
      <c r="F3606">
        <v>73</v>
      </c>
      <c r="G3606">
        <v>0</v>
      </c>
      <c r="H3606">
        <v>0</v>
      </c>
      <c r="I3606">
        <v>0</v>
      </c>
      <c r="J3606">
        <v>0</v>
      </c>
      <c r="K3606">
        <v>64.400000000000006</v>
      </c>
      <c r="L3606">
        <v>63.9</v>
      </c>
      <c r="M3606">
        <v>73.790000000000006</v>
      </c>
      <c r="N3606">
        <v>11</v>
      </c>
      <c r="O3606">
        <v>3</v>
      </c>
      <c r="P3606">
        <f>MOD(DAY(datos_siembra[[#This Row],[Date]]),7)</f>
        <v>4</v>
      </c>
      <c r="Q3606" t="str">
        <f>CHOOSE(WEEKDAY(datos_siembra[[#This Row],[Date]],2),"L","M","X","J","V","S","D")</f>
        <v>V</v>
      </c>
      <c r="R3606">
        <f>WEEKNUM(datos_siembra[[#This Row],[Date]],2)-WEEKNUM(DATE(YEAR(datos_siembra[[#This Row],[Date]]),MONTH(datos_siembra[[#This Row],[Date]]),1))+1</f>
        <v>2</v>
      </c>
      <c r="S3606">
        <f>MONTH(datos_siembra[[#This Row],[Date]])</f>
        <v>10</v>
      </c>
      <c r="T3606" t="str" cm="1">
        <f t="array" ref="T3606">_xlfn.IFS(AND(N3606&lt;= 22, S3606=9), "SOWING",AND(N3606&lt;= 28, S3606=9), "COVERAGE",AND(N3606&lt;= 30, S3606=9), "FLUSH",AND(N3606&lt;= 11, S3606=10), "FLUSH",AND(N3606&lt;= 21, S3606=10), "PRODUCTION")</f>
        <v>FLUSH</v>
      </c>
      <c r="U3606">
        <f>HOUR(datos_siembra[[#This Row],[Hour]])</f>
        <v>20</v>
      </c>
      <c r="V3606" cm="1">
        <f t="array" ref="V3606">_xlfn.IFS(AND(N3606&lt;= 22, S3606=9), N3606-7,AND(N3606&lt;= 28, S3606=9), N3606-25,AND(N3606&lt;= 30, S3606=9), N3606-28,AND(N3606&lt;= 11, S3606=10), N3606+2,AND(N3606&lt;= 21, S3606=10), N3606-11)</f>
        <v>13</v>
      </c>
    </row>
    <row r="3607" spans="1:22" x14ac:dyDescent="0.35">
      <c r="A3607" s="4">
        <v>45576</v>
      </c>
      <c r="B3607" s="5">
        <v>0.84692129629629631</v>
      </c>
      <c r="C3607">
        <v>74.099999999999994</v>
      </c>
      <c r="D3607">
        <v>71.5</v>
      </c>
      <c r="E3607">
        <v>77.2</v>
      </c>
      <c r="F3607">
        <v>73.099999999999994</v>
      </c>
      <c r="G3607">
        <v>0</v>
      </c>
      <c r="H3607">
        <v>0</v>
      </c>
      <c r="I3607">
        <v>0</v>
      </c>
      <c r="J3607">
        <v>0</v>
      </c>
      <c r="K3607">
        <v>64.5</v>
      </c>
      <c r="L3607">
        <v>63.9</v>
      </c>
      <c r="M3607">
        <v>73.849999999999994</v>
      </c>
      <c r="N3607">
        <v>11</v>
      </c>
      <c r="O3607">
        <v>3</v>
      </c>
      <c r="P3607">
        <f>MOD(DAY(datos_siembra[[#This Row],[Date]]),7)</f>
        <v>4</v>
      </c>
      <c r="Q3607" t="str">
        <f>CHOOSE(WEEKDAY(datos_siembra[[#This Row],[Date]],2),"L","M","X","J","V","S","D")</f>
        <v>V</v>
      </c>
      <c r="R3607">
        <f>WEEKNUM(datos_siembra[[#This Row],[Date]],2)-WEEKNUM(DATE(YEAR(datos_siembra[[#This Row],[Date]]),MONTH(datos_siembra[[#This Row],[Date]]),1))+1</f>
        <v>2</v>
      </c>
      <c r="S3607">
        <f>MONTH(datos_siembra[[#This Row],[Date]])</f>
        <v>10</v>
      </c>
      <c r="T3607" t="str" cm="1">
        <f t="array" ref="T3607">_xlfn.IFS(AND(N3607&lt;= 22, S3607=9), "SOWING",AND(N3607&lt;= 28, S3607=9), "COVERAGE",AND(N3607&lt;= 30, S3607=9), "FLUSH",AND(N3607&lt;= 11, S3607=10), "FLUSH",AND(N3607&lt;= 21, S3607=10), "PRODUCTION")</f>
        <v>FLUSH</v>
      </c>
      <c r="U3607">
        <f>HOUR(datos_siembra[[#This Row],[Hour]])</f>
        <v>20</v>
      </c>
      <c r="V3607" cm="1">
        <f t="array" ref="V3607">_xlfn.IFS(AND(N3607&lt;= 22, S3607=9), N3607-7,AND(N3607&lt;= 28, S3607=9), N3607-25,AND(N3607&lt;= 30, S3607=9), N3607-28,AND(N3607&lt;= 11, S3607=10), N3607+2,AND(N3607&lt;= 21, S3607=10), N3607-11)</f>
        <v>13</v>
      </c>
    </row>
    <row r="3608" spans="1:22" x14ac:dyDescent="0.35">
      <c r="A3608" s="4">
        <v>45576</v>
      </c>
      <c r="B3608" s="5">
        <v>0.85386574074074073</v>
      </c>
      <c r="C3608">
        <v>74</v>
      </c>
      <c r="D3608">
        <v>71.400000000000006</v>
      </c>
      <c r="E3608">
        <v>77</v>
      </c>
      <c r="F3608">
        <v>73</v>
      </c>
      <c r="G3608">
        <v>0</v>
      </c>
      <c r="H3608">
        <v>0</v>
      </c>
      <c r="I3608">
        <v>0</v>
      </c>
      <c r="J3608">
        <v>0</v>
      </c>
      <c r="K3608">
        <v>64.400000000000006</v>
      </c>
      <c r="L3608">
        <v>63.9</v>
      </c>
      <c r="M3608">
        <v>73.819999999999993</v>
      </c>
      <c r="N3608">
        <v>11</v>
      </c>
      <c r="O3608">
        <v>3</v>
      </c>
      <c r="P3608">
        <f>MOD(DAY(datos_siembra[[#This Row],[Date]]),7)</f>
        <v>4</v>
      </c>
      <c r="Q3608" t="str">
        <f>CHOOSE(WEEKDAY(datos_siembra[[#This Row],[Date]],2),"L","M","X","J","V","S","D")</f>
        <v>V</v>
      </c>
      <c r="R3608">
        <f>WEEKNUM(datos_siembra[[#This Row],[Date]],2)-WEEKNUM(DATE(YEAR(datos_siembra[[#This Row],[Date]]),MONTH(datos_siembra[[#This Row],[Date]]),1))+1</f>
        <v>2</v>
      </c>
      <c r="S3608">
        <f>MONTH(datos_siembra[[#This Row],[Date]])</f>
        <v>10</v>
      </c>
      <c r="T3608" t="str" cm="1">
        <f t="array" ref="T3608">_xlfn.IFS(AND(N3608&lt;= 22, S3608=9), "SOWING",AND(N3608&lt;= 28, S3608=9), "COVERAGE",AND(N3608&lt;= 30, S3608=9), "FLUSH",AND(N3608&lt;= 11, S3608=10), "FLUSH",AND(N3608&lt;= 21, S3608=10), "PRODUCTION")</f>
        <v>FLUSH</v>
      </c>
      <c r="U3608">
        <f>HOUR(datos_siembra[[#This Row],[Hour]])</f>
        <v>20</v>
      </c>
      <c r="V3608" cm="1">
        <f t="array" ref="V3608">_xlfn.IFS(AND(N3608&lt;= 22, S3608=9), N3608-7,AND(N3608&lt;= 28, S3608=9), N3608-25,AND(N3608&lt;= 30, S3608=9), N3608-28,AND(N3608&lt;= 11, S3608=10), N3608+2,AND(N3608&lt;= 21, S3608=10), N3608-11)</f>
        <v>13</v>
      </c>
    </row>
    <row r="3609" spans="1:22" x14ac:dyDescent="0.35">
      <c r="A3609" s="4">
        <v>45576</v>
      </c>
      <c r="B3609" s="5">
        <v>0.8608217592592593</v>
      </c>
      <c r="C3609">
        <v>73.900000000000006</v>
      </c>
      <c r="D3609">
        <v>71.400000000000006</v>
      </c>
      <c r="E3609">
        <v>77.099999999999994</v>
      </c>
      <c r="F3609">
        <v>73.099999999999994</v>
      </c>
      <c r="G3609">
        <v>0</v>
      </c>
      <c r="H3609">
        <v>0</v>
      </c>
      <c r="I3609">
        <v>0</v>
      </c>
      <c r="J3609">
        <v>0</v>
      </c>
      <c r="K3609">
        <v>64.400000000000006</v>
      </c>
      <c r="L3609">
        <v>64.099999999999994</v>
      </c>
      <c r="M3609">
        <v>73.930000000000007</v>
      </c>
      <c r="N3609">
        <v>11</v>
      </c>
      <c r="O3609">
        <v>3</v>
      </c>
      <c r="P3609">
        <f>MOD(DAY(datos_siembra[[#This Row],[Date]]),7)</f>
        <v>4</v>
      </c>
      <c r="Q3609" t="str">
        <f>CHOOSE(WEEKDAY(datos_siembra[[#This Row],[Date]],2),"L","M","X","J","V","S","D")</f>
        <v>V</v>
      </c>
      <c r="R3609">
        <f>WEEKNUM(datos_siembra[[#This Row],[Date]],2)-WEEKNUM(DATE(YEAR(datos_siembra[[#This Row],[Date]]),MONTH(datos_siembra[[#This Row],[Date]]),1))+1</f>
        <v>2</v>
      </c>
      <c r="S3609">
        <f>MONTH(datos_siembra[[#This Row],[Date]])</f>
        <v>10</v>
      </c>
      <c r="T3609" t="str" cm="1">
        <f t="array" ref="T3609">_xlfn.IFS(AND(N3609&lt;= 22, S3609=9), "SOWING",AND(N3609&lt;= 28, S3609=9), "COVERAGE",AND(N3609&lt;= 30, S3609=9), "FLUSH",AND(N3609&lt;= 11, S3609=10), "FLUSH",AND(N3609&lt;= 21, S3609=10), "PRODUCTION")</f>
        <v>FLUSH</v>
      </c>
      <c r="U3609">
        <f>HOUR(datos_siembra[[#This Row],[Hour]])</f>
        <v>20</v>
      </c>
      <c r="V3609" cm="1">
        <f t="array" ref="V3609">_xlfn.IFS(AND(N3609&lt;= 22, S3609=9), N3609-7,AND(N3609&lt;= 28, S3609=9), N3609-25,AND(N3609&lt;= 30, S3609=9), N3609-28,AND(N3609&lt;= 11, S3609=10), N3609+2,AND(N3609&lt;= 21, S3609=10), N3609-11)</f>
        <v>13</v>
      </c>
    </row>
    <row r="3610" spans="1:22" x14ac:dyDescent="0.35">
      <c r="A3610" s="4">
        <v>45576</v>
      </c>
      <c r="B3610" s="5">
        <v>0.86776620370370372</v>
      </c>
      <c r="C3610">
        <v>74.099999999999994</v>
      </c>
      <c r="D3610">
        <v>71.400000000000006</v>
      </c>
      <c r="E3610">
        <v>77.2</v>
      </c>
      <c r="F3610">
        <v>73</v>
      </c>
      <c r="G3610">
        <v>0</v>
      </c>
      <c r="H3610">
        <v>0</v>
      </c>
      <c r="I3610">
        <v>0</v>
      </c>
      <c r="J3610">
        <v>0</v>
      </c>
      <c r="K3610">
        <v>63.8</v>
      </c>
      <c r="L3610">
        <v>63.7</v>
      </c>
      <c r="M3610">
        <v>73.930000000000007</v>
      </c>
      <c r="N3610">
        <v>11</v>
      </c>
      <c r="O3610">
        <v>3</v>
      </c>
      <c r="P3610">
        <f>MOD(DAY(datos_siembra[[#This Row],[Date]]),7)</f>
        <v>4</v>
      </c>
      <c r="Q3610" t="str">
        <f>CHOOSE(WEEKDAY(datos_siembra[[#This Row],[Date]],2),"L","M","X","J","V","S","D")</f>
        <v>V</v>
      </c>
      <c r="R3610">
        <f>WEEKNUM(datos_siembra[[#This Row],[Date]],2)-WEEKNUM(DATE(YEAR(datos_siembra[[#This Row],[Date]]),MONTH(datos_siembra[[#This Row],[Date]]),1))+1</f>
        <v>2</v>
      </c>
      <c r="S3610">
        <f>MONTH(datos_siembra[[#This Row],[Date]])</f>
        <v>10</v>
      </c>
      <c r="T3610" t="str" cm="1">
        <f t="array" ref="T3610">_xlfn.IFS(AND(N3610&lt;= 22, S3610=9), "SOWING",AND(N3610&lt;= 28, S3610=9), "COVERAGE",AND(N3610&lt;= 30, S3610=9), "FLUSH",AND(N3610&lt;= 11, S3610=10), "FLUSH",AND(N3610&lt;= 21, S3610=10), "PRODUCTION")</f>
        <v>FLUSH</v>
      </c>
      <c r="U3610">
        <f>HOUR(datos_siembra[[#This Row],[Hour]])</f>
        <v>20</v>
      </c>
      <c r="V3610" cm="1">
        <f t="array" ref="V3610">_xlfn.IFS(AND(N3610&lt;= 22, S3610=9), N3610-7,AND(N3610&lt;= 28, S3610=9), N3610-25,AND(N3610&lt;= 30, S3610=9), N3610-28,AND(N3610&lt;= 11, S3610=10), N3610+2,AND(N3610&lt;= 21, S3610=10), N3610-11)</f>
        <v>13</v>
      </c>
    </row>
    <row r="3611" spans="1:22" x14ac:dyDescent="0.35">
      <c r="A3611" s="4">
        <v>45576</v>
      </c>
      <c r="B3611" s="5">
        <v>0.87471064814814814</v>
      </c>
      <c r="C3611">
        <v>74.099999999999994</v>
      </c>
      <c r="D3611">
        <v>71.400000000000006</v>
      </c>
      <c r="E3611">
        <v>77.099999999999994</v>
      </c>
      <c r="F3611">
        <v>73.2</v>
      </c>
      <c r="G3611">
        <v>0</v>
      </c>
      <c r="H3611">
        <v>0</v>
      </c>
      <c r="I3611">
        <v>0</v>
      </c>
      <c r="J3611">
        <v>0</v>
      </c>
      <c r="K3611">
        <v>64.099999999999994</v>
      </c>
      <c r="L3611">
        <v>63.6</v>
      </c>
      <c r="M3611">
        <v>73.959999999999994</v>
      </c>
      <c r="N3611">
        <v>11</v>
      </c>
      <c r="O3611">
        <v>3</v>
      </c>
      <c r="P3611">
        <f>MOD(DAY(datos_siembra[[#This Row],[Date]]),7)</f>
        <v>4</v>
      </c>
      <c r="Q3611" t="str">
        <f>CHOOSE(WEEKDAY(datos_siembra[[#This Row],[Date]],2),"L","M","X","J","V","S","D")</f>
        <v>V</v>
      </c>
      <c r="R3611">
        <f>WEEKNUM(datos_siembra[[#This Row],[Date]],2)-WEEKNUM(DATE(YEAR(datos_siembra[[#This Row],[Date]]),MONTH(datos_siembra[[#This Row],[Date]]),1))+1</f>
        <v>2</v>
      </c>
      <c r="S3611">
        <f>MONTH(datos_siembra[[#This Row],[Date]])</f>
        <v>10</v>
      </c>
      <c r="T3611" t="str" cm="1">
        <f t="array" ref="T3611">_xlfn.IFS(AND(N3611&lt;= 22, S3611=9), "SOWING",AND(N3611&lt;= 28, S3611=9), "COVERAGE",AND(N3611&lt;= 30, S3611=9), "FLUSH",AND(N3611&lt;= 11, S3611=10), "FLUSH",AND(N3611&lt;= 21, S3611=10), "PRODUCTION")</f>
        <v>FLUSH</v>
      </c>
      <c r="U3611">
        <f>HOUR(datos_siembra[[#This Row],[Hour]])</f>
        <v>20</v>
      </c>
      <c r="V3611" cm="1">
        <f t="array" ref="V3611">_xlfn.IFS(AND(N3611&lt;= 22, S3611=9), N3611-7,AND(N3611&lt;= 28, S3611=9), N3611-25,AND(N3611&lt;= 30, S3611=9), N3611-28,AND(N3611&lt;= 11, S3611=10), N3611+2,AND(N3611&lt;= 21, S3611=10), N3611-11)</f>
        <v>13</v>
      </c>
    </row>
    <row r="3612" spans="1:22" x14ac:dyDescent="0.35">
      <c r="A3612" s="4">
        <v>45576</v>
      </c>
      <c r="B3612" s="5">
        <v>0.88165509259259256</v>
      </c>
      <c r="C3612">
        <v>74.099999999999994</v>
      </c>
      <c r="D3612">
        <v>71.5</v>
      </c>
      <c r="E3612">
        <v>77.2</v>
      </c>
      <c r="F3612">
        <v>73.2</v>
      </c>
      <c r="G3612">
        <v>0</v>
      </c>
      <c r="H3612">
        <v>0</v>
      </c>
      <c r="I3612">
        <v>0</v>
      </c>
      <c r="J3612">
        <v>0</v>
      </c>
      <c r="K3612">
        <v>64.2</v>
      </c>
      <c r="L3612">
        <v>63.5</v>
      </c>
      <c r="M3612">
        <v>73.959999999999994</v>
      </c>
      <c r="N3612">
        <v>11</v>
      </c>
      <c r="O3612">
        <v>3</v>
      </c>
      <c r="P3612">
        <f>MOD(DAY(datos_siembra[[#This Row],[Date]]),7)</f>
        <v>4</v>
      </c>
      <c r="Q3612" t="str">
        <f>CHOOSE(WEEKDAY(datos_siembra[[#This Row],[Date]],2),"L","M","X","J","V","S","D")</f>
        <v>V</v>
      </c>
      <c r="R3612">
        <f>WEEKNUM(datos_siembra[[#This Row],[Date]],2)-WEEKNUM(DATE(YEAR(datos_siembra[[#This Row],[Date]]),MONTH(datos_siembra[[#This Row],[Date]]),1))+1</f>
        <v>2</v>
      </c>
      <c r="S3612">
        <f>MONTH(datos_siembra[[#This Row],[Date]])</f>
        <v>10</v>
      </c>
      <c r="T3612" t="str" cm="1">
        <f t="array" ref="T3612">_xlfn.IFS(AND(N3612&lt;= 22, S3612=9), "SOWING",AND(N3612&lt;= 28, S3612=9), "COVERAGE",AND(N3612&lt;= 30, S3612=9), "FLUSH",AND(N3612&lt;= 11, S3612=10), "FLUSH",AND(N3612&lt;= 21, S3612=10), "PRODUCTION")</f>
        <v>FLUSH</v>
      </c>
      <c r="U3612">
        <f>HOUR(datos_siembra[[#This Row],[Hour]])</f>
        <v>21</v>
      </c>
      <c r="V3612" cm="1">
        <f t="array" ref="V3612">_xlfn.IFS(AND(N3612&lt;= 22, S3612=9), N3612-7,AND(N3612&lt;= 28, S3612=9), N3612-25,AND(N3612&lt;= 30, S3612=9), N3612-28,AND(N3612&lt;= 11, S3612=10), N3612+2,AND(N3612&lt;= 21, S3612=10), N3612-11)</f>
        <v>13</v>
      </c>
    </row>
    <row r="3613" spans="1:22" x14ac:dyDescent="0.35">
      <c r="A3613" s="4">
        <v>45576</v>
      </c>
      <c r="B3613" s="5">
        <v>0.88861111111111113</v>
      </c>
      <c r="C3613">
        <v>74</v>
      </c>
      <c r="D3613">
        <v>71.400000000000006</v>
      </c>
      <c r="E3613">
        <v>77.099999999999994</v>
      </c>
      <c r="F3613">
        <v>72.8</v>
      </c>
      <c r="G3613">
        <v>0</v>
      </c>
      <c r="H3613">
        <v>0</v>
      </c>
      <c r="I3613">
        <v>0</v>
      </c>
      <c r="J3613">
        <v>0</v>
      </c>
      <c r="K3613">
        <v>63.9</v>
      </c>
      <c r="L3613">
        <v>63.5</v>
      </c>
      <c r="M3613">
        <v>73.930000000000007</v>
      </c>
      <c r="N3613">
        <v>11</v>
      </c>
      <c r="O3613">
        <v>3</v>
      </c>
      <c r="P3613">
        <f>MOD(DAY(datos_siembra[[#This Row],[Date]]),7)</f>
        <v>4</v>
      </c>
      <c r="Q3613" t="str">
        <f>CHOOSE(WEEKDAY(datos_siembra[[#This Row],[Date]],2),"L","M","X","J","V","S","D")</f>
        <v>V</v>
      </c>
      <c r="R3613">
        <f>WEEKNUM(datos_siembra[[#This Row],[Date]],2)-WEEKNUM(DATE(YEAR(datos_siembra[[#This Row],[Date]]),MONTH(datos_siembra[[#This Row],[Date]]),1))+1</f>
        <v>2</v>
      </c>
      <c r="S3613">
        <f>MONTH(datos_siembra[[#This Row],[Date]])</f>
        <v>10</v>
      </c>
      <c r="T3613" t="str" cm="1">
        <f t="array" ref="T3613">_xlfn.IFS(AND(N3613&lt;= 22, S3613=9), "SOWING",AND(N3613&lt;= 28, S3613=9), "COVERAGE",AND(N3613&lt;= 30, S3613=9), "FLUSH",AND(N3613&lt;= 11, S3613=10), "FLUSH",AND(N3613&lt;= 21, S3613=10), "PRODUCTION")</f>
        <v>FLUSH</v>
      </c>
      <c r="U3613">
        <f>HOUR(datos_siembra[[#This Row],[Hour]])</f>
        <v>21</v>
      </c>
      <c r="V3613" cm="1">
        <f t="array" ref="V3613">_xlfn.IFS(AND(N3613&lt;= 22, S3613=9), N3613-7,AND(N3613&lt;= 28, S3613=9), N3613-25,AND(N3613&lt;= 30, S3613=9), N3613-28,AND(N3613&lt;= 11, S3613=10), N3613+2,AND(N3613&lt;= 21, S3613=10), N3613-11)</f>
        <v>13</v>
      </c>
    </row>
    <row r="3614" spans="1:22" x14ac:dyDescent="0.35">
      <c r="A3614" s="4">
        <v>45576</v>
      </c>
      <c r="B3614" s="5">
        <v>0.89555555555555555</v>
      </c>
      <c r="C3614">
        <v>74.3</v>
      </c>
      <c r="D3614">
        <v>71.599999999999994</v>
      </c>
      <c r="E3614">
        <v>77.2</v>
      </c>
      <c r="F3614">
        <v>73.3</v>
      </c>
      <c r="G3614">
        <v>0</v>
      </c>
      <c r="H3614">
        <v>0</v>
      </c>
      <c r="I3614">
        <v>0</v>
      </c>
      <c r="J3614">
        <v>0</v>
      </c>
      <c r="K3614">
        <v>63.9</v>
      </c>
      <c r="L3614">
        <v>63.4</v>
      </c>
      <c r="M3614">
        <v>74.05</v>
      </c>
      <c r="N3614">
        <v>11</v>
      </c>
      <c r="O3614">
        <v>3</v>
      </c>
      <c r="P3614">
        <f>MOD(DAY(datos_siembra[[#This Row],[Date]]),7)</f>
        <v>4</v>
      </c>
      <c r="Q3614" t="str">
        <f>CHOOSE(WEEKDAY(datos_siembra[[#This Row],[Date]],2),"L","M","X","J","V","S","D")</f>
        <v>V</v>
      </c>
      <c r="R3614">
        <f>WEEKNUM(datos_siembra[[#This Row],[Date]],2)-WEEKNUM(DATE(YEAR(datos_siembra[[#This Row],[Date]]),MONTH(datos_siembra[[#This Row],[Date]]),1))+1</f>
        <v>2</v>
      </c>
      <c r="S3614">
        <f>MONTH(datos_siembra[[#This Row],[Date]])</f>
        <v>10</v>
      </c>
      <c r="T3614" t="str" cm="1">
        <f t="array" ref="T3614">_xlfn.IFS(AND(N3614&lt;= 22, S3614=9), "SOWING",AND(N3614&lt;= 28, S3614=9), "COVERAGE",AND(N3614&lt;= 30, S3614=9), "FLUSH",AND(N3614&lt;= 11, S3614=10), "FLUSH",AND(N3614&lt;= 21, S3614=10), "PRODUCTION")</f>
        <v>FLUSH</v>
      </c>
      <c r="U3614">
        <f>HOUR(datos_siembra[[#This Row],[Hour]])</f>
        <v>21</v>
      </c>
      <c r="V3614" cm="1">
        <f t="array" ref="V3614">_xlfn.IFS(AND(N3614&lt;= 22, S3614=9), N3614-7,AND(N3614&lt;= 28, S3614=9), N3614-25,AND(N3614&lt;= 30, S3614=9), N3614-28,AND(N3614&lt;= 11, S3614=10), N3614+2,AND(N3614&lt;= 21, S3614=10), N3614-11)</f>
        <v>13</v>
      </c>
    </row>
    <row r="3615" spans="1:22" x14ac:dyDescent="0.35">
      <c r="A3615" s="4">
        <v>45576</v>
      </c>
      <c r="B3615" s="5">
        <v>0.90249999999999997</v>
      </c>
      <c r="C3615">
        <v>74.2</v>
      </c>
      <c r="D3615">
        <v>71.7</v>
      </c>
      <c r="E3615">
        <v>77.2</v>
      </c>
      <c r="F3615">
        <v>73.2</v>
      </c>
      <c r="G3615">
        <v>0</v>
      </c>
      <c r="H3615">
        <v>0</v>
      </c>
      <c r="I3615">
        <v>0</v>
      </c>
      <c r="J3615">
        <v>0</v>
      </c>
      <c r="K3615">
        <v>63.8</v>
      </c>
      <c r="L3615">
        <v>63.3</v>
      </c>
      <c r="M3615">
        <v>74.069999999999993</v>
      </c>
      <c r="N3615">
        <v>11</v>
      </c>
      <c r="O3615">
        <v>3</v>
      </c>
      <c r="P3615">
        <f>MOD(DAY(datos_siembra[[#This Row],[Date]]),7)</f>
        <v>4</v>
      </c>
      <c r="Q3615" t="str">
        <f>CHOOSE(WEEKDAY(datos_siembra[[#This Row],[Date]],2),"L","M","X","J","V","S","D")</f>
        <v>V</v>
      </c>
      <c r="R3615">
        <f>WEEKNUM(datos_siembra[[#This Row],[Date]],2)-WEEKNUM(DATE(YEAR(datos_siembra[[#This Row],[Date]]),MONTH(datos_siembra[[#This Row],[Date]]),1))+1</f>
        <v>2</v>
      </c>
      <c r="S3615">
        <f>MONTH(datos_siembra[[#This Row],[Date]])</f>
        <v>10</v>
      </c>
      <c r="T3615" t="str" cm="1">
        <f t="array" ref="T3615">_xlfn.IFS(AND(N3615&lt;= 22, S3615=9), "SOWING",AND(N3615&lt;= 28, S3615=9), "COVERAGE",AND(N3615&lt;= 30, S3615=9), "FLUSH",AND(N3615&lt;= 11, S3615=10), "FLUSH",AND(N3615&lt;= 21, S3615=10), "PRODUCTION")</f>
        <v>FLUSH</v>
      </c>
      <c r="U3615">
        <f>HOUR(datos_siembra[[#This Row],[Hour]])</f>
        <v>21</v>
      </c>
      <c r="V3615" cm="1">
        <f t="array" ref="V3615">_xlfn.IFS(AND(N3615&lt;= 22, S3615=9), N3615-7,AND(N3615&lt;= 28, S3615=9), N3615-25,AND(N3615&lt;= 30, S3615=9), N3615-28,AND(N3615&lt;= 11, S3615=10), N3615+2,AND(N3615&lt;= 21, S3615=10), N3615-11)</f>
        <v>13</v>
      </c>
    </row>
    <row r="3616" spans="1:22" x14ac:dyDescent="0.35">
      <c r="A3616" s="4">
        <v>45576</v>
      </c>
      <c r="B3616" s="5">
        <v>0.90945601851851854</v>
      </c>
      <c r="C3616">
        <v>74.2</v>
      </c>
      <c r="D3616">
        <v>71.599999999999994</v>
      </c>
      <c r="E3616">
        <v>77.099999999999994</v>
      </c>
      <c r="F3616">
        <v>73.2</v>
      </c>
      <c r="G3616">
        <v>0</v>
      </c>
      <c r="H3616">
        <v>0</v>
      </c>
      <c r="I3616">
        <v>0</v>
      </c>
      <c r="J3616">
        <v>0</v>
      </c>
      <c r="K3616">
        <v>63.7</v>
      </c>
      <c r="L3616">
        <v>63.3</v>
      </c>
      <c r="M3616">
        <v>74.069999999999993</v>
      </c>
      <c r="N3616">
        <v>11</v>
      </c>
      <c r="O3616">
        <v>3</v>
      </c>
      <c r="P3616">
        <f>MOD(DAY(datos_siembra[[#This Row],[Date]]),7)</f>
        <v>4</v>
      </c>
      <c r="Q3616" t="str">
        <f>CHOOSE(WEEKDAY(datos_siembra[[#This Row],[Date]],2),"L","M","X","J","V","S","D")</f>
        <v>V</v>
      </c>
      <c r="R3616">
        <f>WEEKNUM(datos_siembra[[#This Row],[Date]],2)-WEEKNUM(DATE(YEAR(datos_siembra[[#This Row],[Date]]),MONTH(datos_siembra[[#This Row],[Date]]),1))+1</f>
        <v>2</v>
      </c>
      <c r="S3616">
        <f>MONTH(datos_siembra[[#This Row],[Date]])</f>
        <v>10</v>
      </c>
      <c r="T3616" t="str" cm="1">
        <f t="array" ref="T3616">_xlfn.IFS(AND(N3616&lt;= 22, S3616=9), "SOWING",AND(N3616&lt;= 28, S3616=9), "COVERAGE",AND(N3616&lt;= 30, S3616=9), "FLUSH",AND(N3616&lt;= 11, S3616=10), "FLUSH",AND(N3616&lt;= 21, S3616=10), "PRODUCTION")</f>
        <v>FLUSH</v>
      </c>
      <c r="U3616">
        <f>HOUR(datos_siembra[[#This Row],[Hour]])</f>
        <v>21</v>
      </c>
      <c r="V3616" cm="1">
        <f t="array" ref="V3616">_xlfn.IFS(AND(N3616&lt;= 22, S3616=9), N3616-7,AND(N3616&lt;= 28, S3616=9), N3616-25,AND(N3616&lt;= 30, S3616=9), N3616-28,AND(N3616&lt;= 11, S3616=10), N3616+2,AND(N3616&lt;= 21, S3616=10), N3616-11)</f>
        <v>13</v>
      </c>
    </row>
    <row r="3617" spans="1:22" x14ac:dyDescent="0.35">
      <c r="A3617" s="4">
        <v>45576</v>
      </c>
      <c r="B3617" s="5">
        <v>0.91640046296296296</v>
      </c>
      <c r="C3617">
        <v>74.2</v>
      </c>
      <c r="D3617">
        <v>71.7</v>
      </c>
      <c r="E3617">
        <v>77.099999999999994</v>
      </c>
      <c r="F3617">
        <v>73.400000000000006</v>
      </c>
      <c r="G3617">
        <v>0</v>
      </c>
      <c r="H3617">
        <v>0</v>
      </c>
      <c r="I3617">
        <v>0</v>
      </c>
      <c r="J3617">
        <v>0</v>
      </c>
      <c r="K3617">
        <v>63.7</v>
      </c>
      <c r="L3617">
        <v>63</v>
      </c>
      <c r="M3617">
        <v>74.02</v>
      </c>
      <c r="N3617">
        <v>11</v>
      </c>
      <c r="O3617">
        <v>3</v>
      </c>
      <c r="P3617">
        <f>MOD(DAY(datos_siembra[[#This Row],[Date]]),7)</f>
        <v>4</v>
      </c>
      <c r="Q3617" t="str">
        <f>CHOOSE(WEEKDAY(datos_siembra[[#This Row],[Date]],2),"L","M","X","J","V","S","D")</f>
        <v>V</v>
      </c>
      <c r="R3617">
        <f>WEEKNUM(datos_siembra[[#This Row],[Date]],2)-WEEKNUM(DATE(YEAR(datos_siembra[[#This Row],[Date]]),MONTH(datos_siembra[[#This Row],[Date]]),1))+1</f>
        <v>2</v>
      </c>
      <c r="S3617">
        <f>MONTH(datos_siembra[[#This Row],[Date]])</f>
        <v>10</v>
      </c>
      <c r="T3617" t="str" cm="1">
        <f t="array" ref="T3617">_xlfn.IFS(AND(N3617&lt;= 22, S3617=9), "SOWING",AND(N3617&lt;= 28, S3617=9), "COVERAGE",AND(N3617&lt;= 30, S3617=9), "FLUSH",AND(N3617&lt;= 11, S3617=10), "FLUSH",AND(N3617&lt;= 21, S3617=10), "PRODUCTION")</f>
        <v>FLUSH</v>
      </c>
      <c r="U3617">
        <f>HOUR(datos_siembra[[#This Row],[Hour]])</f>
        <v>21</v>
      </c>
      <c r="V3617" cm="1">
        <f t="array" ref="V3617">_xlfn.IFS(AND(N3617&lt;= 22, S3617=9), N3617-7,AND(N3617&lt;= 28, S3617=9), N3617-25,AND(N3617&lt;= 30, S3617=9), N3617-28,AND(N3617&lt;= 11, S3617=10), N3617+2,AND(N3617&lt;= 21, S3617=10), N3617-11)</f>
        <v>13</v>
      </c>
    </row>
    <row r="3618" spans="1:22" x14ac:dyDescent="0.35">
      <c r="A3618" s="4">
        <v>45576</v>
      </c>
      <c r="B3618" s="5">
        <v>0.92334490740740738</v>
      </c>
      <c r="C3618">
        <v>74.099999999999994</v>
      </c>
      <c r="D3618">
        <v>71.599999999999994</v>
      </c>
      <c r="E3618">
        <v>77.099999999999994</v>
      </c>
      <c r="F3618">
        <v>73.2</v>
      </c>
      <c r="G3618">
        <v>0</v>
      </c>
      <c r="H3618">
        <v>0</v>
      </c>
      <c r="I3618">
        <v>0</v>
      </c>
      <c r="J3618">
        <v>0</v>
      </c>
      <c r="K3618">
        <v>63.6</v>
      </c>
      <c r="L3618">
        <v>63</v>
      </c>
      <c r="M3618">
        <v>74.08</v>
      </c>
      <c r="N3618">
        <v>11</v>
      </c>
      <c r="O3618">
        <v>3</v>
      </c>
      <c r="P3618">
        <f>MOD(DAY(datos_siembra[[#This Row],[Date]]),7)</f>
        <v>4</v>
      </c>
      <c r="Q3618" t="str">
        <f>CHOOSE(WEEKDAY(datos_siembra[[#This Row],[Date]],2),"L","M","X","J","V","S","D")</f>
        <v>V</v>
      </c>
      <c r="R3618">
        <f>WEEKNUM(datos_siembra[[#This Row],[Date]],2)-WEEKNUM(DATE(YEAR(datos_siembra[[#This Row],[Date]]),MONTH(datos_siembra[[#This Row],[Date]]),1))+1</f>
        <v>2</v>
      </c>
      <c r="S3618">
        <f>MONTH(datos_siembra[[#This Row],[Date]])</f>
        <v>10</v>
      </c>
      <c r="T3618" t="str" cm="1">
        <f t="array" ref="T3618">_xlfn.IFS(AND(N3618&lt;= 22, S3618=9), "SOWING",AND(N3618&lt;= 28, S3618=9), "COVERAGE",AND(N3618&lt;= 30, S3618=9), "FLUSH",AND(N3618&lt;= 11, S3618=10), "FLUSH",AND(N3618&lt;= 21, S3618=10), "PRODUCTION")</f>
        <v>FLUSH</v>
      </c>
      <c r="U3618">
        <f>HOUR(datos_siembra[[#This Row],[Hour]])</f>
        <v>22</v>
      </c>
      <c r="V3618" cm="1">
        <f t="array" ref="V3618">_xlfn.IFS(AND(N3618&lt;= 22, S3618=9), N3618-7,AND(N3618&lt;= 28, S3618=9), N3618-25,AND(N3618&lt;= 30, S3618=9), N3618-28,AND(N3618&lt;= 11, S3618=10), N3618+2,AND(N3618&lt;= 21, S3618=10), N3618-11)</f>
        <v>13</v>
      </c>
    </row>
    <row r="3619" spans="1:22" x14ac:dyDescent="0.35">
      <c r="A3619" s="4">
        <v>45576</v>
      </c>
      <c r="B3619" s="5">
        <v>0.9302893518518518</v>
      </c>
      <c r="C3619">
        <v>74.2</v>
      </c>
      <c r="D3619">
        <v>71.7</v>
      </c>
      <c r="E3619">
        <v>77.099999999999994</v>
      </c>
      <c r="F3619">
        <v>73.5</v>
      </c>
      <c r="G3619">
        <v>0</v>
      </c>
      <c r="H3619">
        <v>0</v>
      </c>
      <c r="I3619">
        <v>0</v>
      </c>
      <c r="J3619">
        <v>0</v>
      </c>
      <c r="K3619">
        <v>63.6</v>
      </c>
      <c r="L3619">
        <v>62.8</v>
      </c>
      <c r="M3619">
        <v>74.13</v>
      </c>
      <c r="N3619">
        <v>11</v>
      </c>
      <c r="O3619">
        <v>3</v>
      </c>
      <c r="P3619">
        <f>MOD(DAY(datos_siembra[[#This Row],[Date]]),7)</f>
        <v>4</v>
      </c>
      <c r="Q3619" t="str">
        <f>CHOOSE(WEEKDAY(datos_siembra[[#This Row],[Date]],2),"L","M","X","J","V","S","D")</f>
        <v>V</v>
      </c>
      <c r="R3619">
        <f>WEEKNUM(datos_siembra[[#This Row],[Date]],2)-WEEKNUM(DATE(YEAR(datos_siembra[[#This Row],[Date]]),MONTH(datos_siembra[[#This Row],[Date]]),1))+1</f>
        <v>2</v>
      </c>
      <c r="S3619">
        <f>MONTH(datos_siembra[[#This Row],[Date]])</f>
        <v>10</v>
      </c>
      <c r="T3619" t="str" cm="1">
        <f t="array" ref="T3619">_xlfn.IFS(AND(N3619&lt;= 22, S3619=9), "SOWING",AND(N3619&lt;= 28, S3619=9), "COVERAGE",AND(N3619&lt;= 30, S3619=9), "FLUSH",AND(N3619&lt;= 11, S3619=10), "FLUSH",AND(N3619&lt;= 21, S3619=10), "PRODUCTION")</f>
        <v>FLUSH</v>
      </c>
      <c r="U3619">
        <f>HOUR(datos_siembra[[#This Row],[Hour]])</f>
        <v>22</v>
      </c>
      <c r="V3619" cm="1">
        <f t="array" ref="V3619">_xlfn.IFS(AND(N3619&lt;= 22, S3619=9), N3619-7,AND(N3619&lt;= 28, S3619=9), N3619-25,AND(N3619&lt;= 30, S3619=9), N3619-28,AND(N3619&lt;= 11, S3619=10), N3619+2,AND(N3619&lt;= 21, S3619=10), N3619-11)</f>
        <v>13</v>
      </c>
    </row>
    <row r="3620" spans="1:22" x14ac:dyDescent="0.35">
      <c r="A3620" s="4">
        <v>45576</v>
      </c>
      <c r="B3620" s="5">
        <v>0.93724537037037037</v>
      </c>
      <c r="C3620">
        <v>74.2</v>
      </c>
      <c r="D3620">
        <v>71.7</v>
      </c>
      <c r="E3620">
        <v>77</v>
      </c>
      <c r="F3620">
        <v>73.3</v>
      </c>
      <c r="G3620">
        <v>0</v>
      </c>
      <c r="H3620">
        <v>0</v>
      </c>
      <c r="I3620">
        <v>0</v>
      </c>
      <c r="J3620">
        <v>0</v>
      </c>
      <c r="K3620">
        <v>63.5</v>
      </c>
      <c r="L3620">
        <v>62.9</v>
      </c>
      <c r="M3620">
        <v>74.099999999999994</v>
      </c>
      <c r="N3620">
        <v>11</v>
      </c>
      <c r="O3620">
        <v>3</v>
      </c>
      <c r="P3620">
        <f>MOD(DAY(datos_siembra[[#This Row],[Date]]),7)</f>
        <v>4</v>
      </c>
      <c r="Q3620" t="str">
        <f>CHOOSE(WEEKDAY(datos_siembra[[#This Row],[Date]],2),"L","M","X","J","V","S","D")</f>
        <v>V</v>
      </c>
      <c r="R3620">
        <f>WEEKNUM(datos_siembra[[#This Row],[Date]],2)-WEEKNUM(DATE(YEAR(datos_siembra[[#This Row],[Date]]),MONTH(datos_siembra[[#This Row],[Date]]),1))+1</f>
        <v>2</v>
      </c>
      <c r="S3620">
        <f>MONTH(datos_siembra[[#This Row],[Date]])</f>
        <v>10</v>
      </c>
      <c r="T3620" t="str" cm="1">
        <f t="array" ref="T3620">_xlfn.IFS(AND(N3620&lt;= 22, S3620=9), "SOWING",AND(N3620&lt;= 28, S3620=9), "COVERAGE",AND(N3620&lt;= 30, S3620=9), "FLUSH",AND(N3620&lt;= 11, S3620=10), "FLUSH",AND(N3620&lt;= 21, S3620=10), "PRODUCTION")</f>
        <v>FLUSH</v>
      </c>
      <c r="U3620">
        <f>HOUR(datos_siembra[[#This Row],[Hour]])</f>
        <v>22</v>
      </c>
      <c r="V3620" cm="1">
        <f t="array" ref="V3620">_xlfn.IFS(AND(N3620&lt;= 22, S3620=9), N3620-7,AND(N3620&lt;= 28, S3620=9), N3620-25,AND(N3620&lt;= 30, S3620=9), N3620-28,AND(N3620&lt;= 11, S3620=10), N3620+2,AND(N3620&lt;= 21, S3620=10), N3620-11)</f>
        <v>13</v>
      </c>
    </row>
    <row r="3621" spans="1:22" x14ac:dyDescent="0.35">
      <c r="A3621" s="4">
        <v>45576</v>
      </c>
      <c r="B3621" s="5">
        <v>0.94418981481481479</v>
      </c>
      <c r="C3621">
        <v>74.3</v>
      </c>
      <c r="D3621">
        <v>71.8</v>
      </c>
      <c r="E3621">
        <v>77</v>
      </c>
      <c r="F3621">
        <v>73.5</v>
      </c>
      <c r="G3621">
        <v>0</v>
      </c>
      <c r="H3621">
        <v>0</v>
      </c>
      <c r="I3621">
        <v>0</v>
      </c>
      <c r="J3621">
        <v>0</v>
      </c>
      <c r="K3621">
        <v>63.5</v>
      </c>
      <c r="L3621">
        <v>62.8</v>
      </c>
      <c r="M3621">
        <v>74.13</v>
      </c>
      <c r="N3621">
        <v>11</v>
      </c>
      <c r="O3621">
        <v>3</v>
      </c>
      <c r="P3621">
        <f>MOD(DAY(datos_siembra[[#This Row],[Date]]),7)</f>
        <v>4</v>
      </c>
      <c r="Q3621" t="str">
        <f>CHOOSE(WEEKDAY(datos_siembra[[#This Row],[Date]],2),"L","M","X","J","V","S","D")</f>
        <v>V</v>
      </c>
      <c r="R3621">
        <f>WEEKNUM(datos_siembra[[#This Row],[Date]],2)-WEEKNUM(DATE(YEAR(datos_siembra[[#This Row],[Date]]),MONTH(datos_siembra[[#This Row],[Date]]),1))+1</f>
        <v>2</v>
      </c>
      <c r="S3621">
        <f>MONTH(datos_siembra[[#This Row],[Date]])</f>
        <v>10</v>
      </c>
      <c r="T3621" t="str" cm="1">
        <f t="array" ref="T3621">_xlfn.IFS(AND(N3621&lt;= 22, S3621=9), "SOWING",AND(N3621&lt;= 28, S3621=9), "COVERAGE",AND(N3621&lt;= 30, S3621=9), "FLUSH",AND(N3621&lt;= 11, S3621=10), "FLUSH",AND(N3621&lt;= 21, S3621=10), "PRODUCTION")</f>
        <v>FLUSH</v>
      </c>
      <c r="U3621">
        <f>HOUR(datos_siembra[[#This Row],[Hour]])</f>
        <v>22</v>
      </c>
      <c r="V3621" cm="1">
        <f t="array" ref="V3621">_xlfn.IFS(AND(N3621&lt;= 22, S3621=9), N3621-7,AND(N3621&lt;= 28, S3621=9), N3621-25,AND(N3621&lt;= 30, S3621=9), N3621-28,AND(N3621&lt;= 11, S3621=10), N3621+2,AND(N3621&lt;= 21, S3621=10), N3621-11)</f>
        <v>13</v>
      </c>
    </row>
    <row r="3622" spans="1:22" x14ac:dyDescent="0.35">
      <c r="A3622" s="4">
        <v>45576</v>
      </c>
      <c r="B3622" s="5">
        <v>0.95113425925925921</v>
      </c>
      <c r="C3622">
        <v>74.400000000000006</v>
      </c>
      <c r="D3622">
        <v>71.8</v>
      </c>
      <c r="E3622">
        <v>77</v>
      </c>
      <c r="F3622">
        <v>73.5</v>
      </c>
      <c r="G3622">
        <v>0</v>
      </c>
      <c r="H3622">
        <v>0</v>
      </c>
      <c r="I3622">
        <v>0</v>
      </c>
      <c r="J3622">
        <v>0</v>
      </c>
      <c r="K3622">
        <v>63.6</v>
      </c>
      <c r="L3622">
        <v>63</v>
      </c>
      <c r="M3622">
        <v>74.19</v>
      </c>
      <c r="N3622">
        <v>11</v>
      </c>
      <c r="O3622">
        <v>3</v>
      </c>
      <c r="P3622">
        <f>MOD(DAY(datos_siembra[[#This Row],[Date]]),7)</f>
        <v>4</v>
      </c>
      <c r="Q3622" t="str">
        <f>CHOOSE(WEEKDAY(datos_siembra[[#This Row],[Date]],2),"L","M","X","J","V","S","D")</f>
        <v>V</v>
      </c>
      <c r="R3622">
        <f>WEEKNUM(datos_siembra[[#This Row],[Date]],2)-WEEKNUM(DATE(YEAR(datos_siembra[[#This Row],[Date]]),MONTH(datos_siembra[[#This Row],[Date]]),1))+1</f>
        <v>2</v>
      </c>
      <c r="S3622">
        <f>MONTH(datos_siembra[[#This Row],[Date]])</f>
        <v>10</v>
      </c>
      <c r="T3622" t="str" cm="1">
        <f t="array" ref="T3622">_xlfn.IFS(AND(N3622&lt;= 22, S3622=9), "SOWING",AND(N3622&lt;= 28, S3622=9), "COVERAGE",AND(N3622&lt;= 30, S3622=9), "FLUSH",AND(N3622&lt;= 11, S3622=10), "FLUSH",AND(N3622&lt;= 21, S3622=10), "PRODUCTION")</f>
        <v>FLUSH</v>
      </c>
      <c r="U3622">
        <f>HOUR(datos_siembra[[#This Row],[Hour]])</f>
        <v>22</v>
      </c>
      <c r="V3622" cm="1">
        <f t="array" ref="V3622">_xlfn.IFS(AND(N3622&lt;= 22, S3622=9), N3622-7,AND(N3622&lt;= 28, S3622=9), N3622-25,AND(N3622&lt;= 30, S3622=9), N3622-28,AND(N3622&lt;= 11, S3622=10), N3622+2,AND(N3622&lt;= 21, S3622=10), N3622-11)</f>
        <v>13</v>
      </c>
    </row>
    <row r="3623" spans="1:22" x14ac:dyDescent="0.35">
      <c r="A3623" s="4">
        <v>45576</v>
      </c>
      <c r="B3623" s="5">
        <v>0.95807870370370374</v>
      </c>
      <c r="C3623">
        <v>74.3</v>
      </c>
      <c r="D3623">
        <v>71.8</v>
      </c>
      <c r="E3623">
        <v>77.099999999999994</v>
      </c>
      <c r="F3623">
        <v>73.599999999999994</v>
      </c>
      <c r="G3623">
        <v>0</v>
      </c>
      <c r="H3623">
        <v>0</v>
      </c>
      <c r="I3623">
        <v>0</v>
      </c>
      <c r="J3623">
        <v>0</v>
      </c>
      <c r="K3623">
        <v>63.6</v>
      </c>
      <c r="L3623">
        <v>63</v>
      </c>
      <c r="M3623">
        <v>74.13</v>
      </c>
      <c r="N3623">
        <v>11</v>
      </c>
      <c r="O3623">
        <v>3</v>
      </c>
      <c r="P3623">
        <f>MOD(DAY(datos_siembra[[#This Row],[Date]]),7)</f>
        <v>4</v>
      </c>
      <c r="Q3623" t="str">
        <f>CHOOSE(WEEKDAY(datos_siembra[[#This Row],[Date]],2),"L","M","X","J","V","S","D")</f>
        <v>V</v>
      </c>
      <c r="R3623">
        <f>WEEKNUM(datos_siembra[[#This Row],[Date]],2)-WEEKNUM(DATE(YEAR(datos_siembra[[#This Row],[Date]]),MONTH(datos_siembra[[#This Row],[Date]]),1))+1</f>
        <v>2</v>
      </c>
      <c r="S3623">
        <f>MONTH(datos_siembra[[#This Row],[Date]])</f>
        <v>10</v>
      </c>
      <c r="T3623" t="str" cm="1">
        <f t="array" ref="T3623">_xlfn.IFS(AND(N3623&lt;= 22, S3623=9), "SOWING",AND(N3623&lt;= 28, S3623=9), "COVERAGE",AND(N3623&lt;= 30, S3623=9), "FLUSH",AND(N3623&lt;= 11, S3623=10), "FLUSH",AND(N3623&lt;= 21, S3623=10), "PRODUCTION")</f>
        <v>FLUSH</v>
      </c>
      <c r="U3623">
        <f>HOUR(datos_siembra[[#This Row],[Hour]])</f>
        <v>22</v>
      </c>
      <c r="V3623" cm="1">
        <f t="array" ref="V3623">_xlfn.IFS(AND(N3623&lt;= 22, S3623=9), N3623-7,AND(N3623&lt;= 28, S3623=9), N3623-25,AND(N3623&lt;= 30, S3623=9), N3623-28,AND(N3623&lt;= 11, S3623=10), N3623+2,AND(N3623&lt;= 21, S3623=10), N3623-11)</f>
        <v>13</v>
      </c>
    </row>
    <row r="3624" spans="1:22" x14ac:dyDescent="0.35">
      <c r="A3624" s="4">
        <v>45576</v>
      </c>
      <c r="B3624" s="5">
        <v>0.9650347222222222</v>
      </c>
      <c r="C3624">
        <v>74.3</v>
      </c>
      <c r="D3624">
        <v>71.8</v>
      </c>
      <c r="E3624">
        <v>76.900000000000006</v>
      </c>
      <c r="F3624">
        <v>73.5</v>
      </c>
      <c r="G3624">
        <v>0</v>
      </c>
      <c r="H3624">
        <v>0</v>
      </c>
      <c r="I3624">
        <v>0</v>
      </c>
      <c r="J3624">
        <v>0</v>
      </c>
      <c r="K3624">
        <v>63.6</v>
      </c>
      <c r="L3624">
        <v>63</v>
      </c>
      <c r="M3624">
        <v>74.19</v>
      </c>
      <c r="N3624">
        <v>11</v>
      </c>
      <c r="O3624">
        <v>3</v>
      </c>
      <c r="P3624">
        <f>MOD(DAY(datos_siembra[[#This Row],[Date]]),7)</f>
        <v>4</v>
      </c>
      <c r="Q3624" t="str">
        <f>CHOOSE(WEEKDAY(datos_siembra[[#This Row],[Date]],2),"L","M","X","J","V","S","D")</f>
        <v>V</v>
      </c>
      <c r="R3624">
        <f>WEEKNUM(datos_siembra[[#This Row],[Date]],2)-WEEKNUM(DATE(YEAR(datos_siembra[[#This Row],[Date]]),MONTH(datos_siembra[[#This Row],[Date]]),1))+1</f>
        <v>2</v>
      </c>
      <c r="S3624">
        <f>MONTH(datos_siembra[[#This Row],[Date]])</f>
        <v>10</v>
      </c>
      <c r="T3624" t="str" cm="1">
        <f t="array" ref="T3624">_xlfn.IFS(AND(N3624&lt;= 22, S3624=9), "SOWING",AND(N3624&lt;= 28, S3624=9), "COVERAGE",AND(N3624&lt;= 30, S3624=9), "FLUSH",AND(N3624&lt;= 11, S3624=10), "FLUSH",AND(N3624&lt;= 21, S3624=10), "PRODUCTION")</f>
        <v>FLUSH</v>
      </c>
      <c r="U3624">
        <f>HOUR(datos_siembra[[#This Row],[Hour]])</f>
        <v>23</v>
      </c>
      <c r="V3624" cm="1">
        <f t="array" ref="V3624">_xlfn.IFS(AND(N3624&lt;= 22, S3624=9), N3624-7,AND(N3624&lt;= 28, S3624=9), N3624-25,AND(N3624&lt;= 30, S3624=9), N3624-28,AND(N3624&lt;= 11, S3624=10), N3624+2,AND(N3624&lt;= 21, S3624=10), N3624-11)</f>
        <v>13</v>
      </c>
    </row>
    <row r="3625" spans="1:22" x14ac:dyDescent="0.35">
      <c r="A3625" s="4">
        <v>45576</v>
      </c>
      <c r="B3625" s="5">
        <v>0.97197916666666662</v>
      </c>
      <c r="C3625">
        <v>74.400000000000006</v>
      </c>
      <c r="D3625">
        <v>71.900000000000006</v>
      </c>
      <c r="E3625">
        <v>77.099999999999994</v>
      </c>
      <c r="F3625">
        <v>73.5</v>
      </c>
      <c r="G3625">
        <v>0</v>
      </c>
      <c r="H3625">
        <v>0</v>
      </c>
      <c r="I3625">
        <v>0</v>
      </c>
      <c r="J3625">
        <v>0</v>
      </c>
      <c r="K3625">
        <v>63.6</v>
      </c>
      <c r="L3625">
        <v>62.9</v>
      </c>
      <c r="M3625">
        <v>74.19</v>
      </c>
      <c r="N3625">
        <v>11</v>
      </c>
      <c r="O3625">
        <v>3</v>
      </c>
      <c r="P3625">
        <f>MOD(DAY(datos_siembra[[#This Row],[Date]]),7)</f>
        <v>4</v>
      </c>
      <c r="Q3625" t="str">
        <f>CHOOSE(WEEKDAY(datos_siembra[[#This Row],[Date]],2),"L","M","X","J","V","S","D")</f>
        <v>V</v>
      </c>
      <c r="R3625">
        <f>WEEKNUM(datos_siembra[[#This Row],[Date]],2)-WEEKNUM(DATE(YEAR(datos_siembra[[#This Row],[Date]]),MONTH(datos_siembra[[#This Row],[Date]]),1))+1</f>
        <v>2</v>
      </c>
      <c r="S3625">
        <f>MONTH(datos_siembra[[#This Row],[Date]])</f>
        <v>10</v>
      </c>
      <c r="T3625" t="str" cm="1">
        <f t="array" ref="T3625">_xlfn.IFS(AND(N3625&lt;= 22, S3625=9), "SOWING",AND(N3625&lt;= 28, S3625=9), "COVERAGE",AND(N3625&lt;= 30, S3625=9), "FLUSH",AND(N3625&lt;= 11, S3625=10), "FLUSH",AND(N3625&lt;= 21, S3625=10), "PRODUCTION")</f>
        <v>FLUSH</v>
      </c>
      <c r="U3625">
        <f>HOUR(datos_siembra[[#This Row],[Hour]])</f>
        <v>23</v>
      </c>
      <c r="V3625" cm="1">
        <f t="array" ref="V3625">_xlfn.IFS(AND(N3625&lt;= 22, S3625=9), N3625-7,AND(N3625&lt;= 28, S3625=9), N3625-25,AND(N3625&lt;= 30, S3625=9), N3625-28,AND(N3625&lt;= 11, S3625=10), N3625+2,AND(N3625&lt;= 21, S3625=10), N3625-11)</f>
        <v>13</v>
      </c>
    </row>
    <row r="3626" spans="1:22" x14ac:dyDescent="0.35">
      <c r="A3626" s="4">
        <v>45576</v>
      </c>
      <c r="B3626" s="5">
        <v>0.97892361111111115</v>
      </c>
      <c r="C3626">
        <v>74.5</v>
      </c>
      <c r="D3626">
        <v>71.8</v>
      </c>
      <c r="E3626">
        <v>77.099999999999994</v>
      </c>
      <c r="F3626">
        <v>73.599999999999994</v>
      </c>
      <c r="G3626">
        <v>0</v>
      </c>
      <c r="H3626">
        <v>0</v>
      </c>
      <c r="I3626">
        <v>0</v>
      </c>
      <c r="J3626">
        <v>0</v>
      </c>
      <c r="K3626">
        <v>63.5</v>
      </c>
      <c r="L3626">
        <v>62.9</v>
      </c>
      <c r="M3626">
        <v>74.19</v>
      </c>
      <c r="N3626">
        <v>11</v>
      </c>
      <c r="O3626">
        <v>3</v>
      </c>
      <c r="P3626">
        <f>MOD(DAY(datos_siembra[[#This Row],[Date]]),7)</f>
        <v>4</v>
      </c>
      <c r="Q3626" t="str">
        <f>CHOOSE(WEEKDAY(datos_siembra[[#This Row],[Date]],2),"L","M","X","J","V","S","D")</f>
        <v>V</v>
      </c>
      <c r="R3626">
        <f>WEEKNUM(datos_siembra[[#This Row],[Date]],2)-WEEKNUM(DATE(YEAR(datos_siembra[[#This Row],[Date]]),MONTH(datos_siembra[[#This Row],[Date]]),1))+1</f>
        <v>2</v>
      </c>
      <c r="S3626">
        <f>MONTH(datos_siembra[[#This Row],[Date]])</f>
        <v>10</v>
      </c>
      <c r="T3626" t="str" cm="1">
        <f t="array" ref="T3626">_xlfn.IFS(AND(N3626&lt;= 22, S3626=9), "SOWING",AND(N3626&lt;= 28, S3626=9), "COVERAGE",AND(N3626&lt;= 30, S3626=9), "FLUSH",AND(N3626&lt;= 11, S3626=10), "FLUSH",AND(N3626&lt;= 21, S3626=10), "PRODUCTION")</f>
        <v>FLUSH</v>
      </c>
      <c r="U3626">
        <f>HOUR(datos_siembra[[#This Row],[Hour]])</f>
        <v>23</v>
      </c>
      <c r="V3626" cm="1">
        <f t="array" ref="V3626">_xlfn.IFS(AND(N3626&lt;= 22, S3626=9), N3626-7,AND(N3626&lt;= 28, S3626=9), N3626-25,AND(N3626&lt;= 30, S3626=9), N3626-28,AND(N3626&lt;= 11, S3626=10), N3626+2,AND(N3626&lt;= 21, S3626=10), N3626-11)</f>
        <v>13</v>
      </c>
    </row>
    <row r="3627" spans="1:22" x14ac:dyDescent="0.35">
      <c r="A3627" s="4">
        <v>45576</v>
      </c>
      <c r="B3627" s="5">
        <v>0.98587962962962961</v>
      </c>
      <c r="C3627">
        <v>74.400000000000006</v>
      </c>
      <c r="D3627">
        <v>71.900000000000006</v>
      </c>
      <c r="E3627">
        <v>77.099999999999994</v>
      </c>
      <c r="F3627">
        <v>73.5</v>
      </c>
      <c r="G3627">
        <v>0</v>
      </c>
      <c r="H3627">
        <v>0</v>
      </c>
      <c r="I3627">
        <v>0</v>
      </c>
      <c r="J3627">
        <v>0</v>
      </c>
      <c r="K3627">
        <v>63.3</v>
      </c>
      <c r="L3627">
        <v>62.7</v>
      </c>
      <c r="M3627">
        <v>74.27</v>
      </c>
      <c r="N3627">
        <v>11</v>
      </c>
      <c r="O3627">
        <v>3</v>
      </c>
      <c r="P3627">
        <f>MOD(DAY(datos_siembra[[#This Row],[Date]]),7)</f>
        <v>4</v>
      </c>
      <c r="Q3627" t="str">
        <f>CHOOSE(WEEKDAY(datos_siembra[[#This Row],[Date]],2),"L","M","X","J","V","S","D")</f>
        <v>V</v>
      </c>
      <c r="R3627">
        <f>WEEKNUM(datos_siembra[[#This Row],[Date]],2)-WEEKNUM(DATE(YEAR(datos_siembra[[#This Row],[Date]]),MONTH(datos_siembra[[#This Row],[Date]]),1))+1</f>
        <v>2</v>
      </c>
      <c r="S3627">
        <f>MONTH(datos_siembra[[#This Row],[Date]])</f>
        <v>10</v>
      </c>
      <c r="T3627" t="str" cm="1">
        <f t="array" ref="T3627">_xlfn.IFS(AND(N3627&lt;= 22, S3627=9), "SOWING",AND(N3627&lt;= 28, S3627=9), "COVERAGE",AND(N3627&lt;= 30, S3627=9), "FLUSH",AND(N3627&lt;= 11, S3627=10), "FLUSH",AND(N3627&lt;= 21, S3627=10), "PRODUCTION")</f>
        <v>FLUSH</v>
      </c>
      <c r="U3627">
        <f>HOUR(datos_siembra[[#This Row],[Hour]])</f>
        <v>23</v>
      </c>
      <c r="V3627" cm="1">
        <f t="array" ref="V3627">_xlfn.IFS(AND(N3627&lt;= 22, S3627=9), N3627-7,AND(N3627&lt;= 28, S3627=9), N3627-25,AND(N3627&lt;= 30, S3627=9), N3627-28,AND(N3627&lt;= 11, S3627=10), N3627+2,AND(N3627&lt;= 21, S3627=10), N3627-11)</f>
        <v>13</v>
      </c>
    </row>
    <row r="3628" spans="1:22" x14ac:dyDescent="0.35">
      <c r="A3628" s="4">
        <v>45576</v>
      </c>
      <c r="B3628" s="5">
        <v>0.99282407407407403</v>
      </c>
      <c r="C3628">
        <v>74.400000000000006</v>
      </c>
      <c r="D3628">
        <v>71.8</v>
      </c>
      <c r="E3628">
        <v>76.900000000000006</v>
      </c>
      <c r="F3628">
        <v>73.5</v>
      </c>
      <c r="G3628">
        <v>0</v>
      </c>
      <c r="H3628">
        <v>0</v>
      </c>
      <c r="I3628">
        <v>0</v>
      </c>
      <c r="J3628">
        <v>0</v>
      </c>
      <c r="K3628">
        <v>63.6</v>
      </c>
      <c r="L3628">
        <v>62.9</v>
      </c>
      <c r="M3628">
        <v>74.16</v>
      </c>
      <c r="N3628">
        <v>11</v>
      </c>
      <c r="O3628">
        <v>3</v>
      </c>
      <c r="P3628">
        <f>MOD(DAY(datos_siembra[[#This Row],[Date]]),7)</f>
        <v>4</v>
      </c>
      <c r="Q3628" t="str">
        <f>CHOOSE(WEEKDAY(datos_siembra[[#This Row],[Date]],2),"L","M","X","J","V","S","D")</f>
        <v>V</v>
      </c>
      <c r="R3628">
        <f>WEEKNUM(datos_siembra[[#This Row],[Date]],2)-WEEKNUM(DATE(YEAR(datos_siembra[[#This Row],[Date]]),MONTH(datos_siembra[[#This Row],[Date]]),1))+1</f>
        <v>2</v>
      </c>
      <c r="S3628">
        <f>MONTH(datos_siembra[[#This Row],[Date]])</f>
        <v>10</v>
      </c>
      <c r="T3628" t="str" cm="1">
        <f t="array" ref="T3628">_xlfn.IFS(AND(N3628&lt;= 22, S3628=9), "SOWING",AND(N3628&lt;= 28, S3628=9), "COVERAGE",AND(N3628&lt;= 30, S3628=9), "FLUSH",AND(N3628&lt;= 11, S3628=10), "FLUSH",AND(N3628&lt;= 21, S3628=10), "PRODUCTION")</f>
        <v>FLUSH</v>
      </c>
      <c r="U3628">
        <f>HOUR(datos_siembra[[#This Row],[Hour]])</f>
        <v>23</v>
      </c>
      <c r="V3628" cm="1">
        <f t="array" ref="V3628">_xlfn.IFS(AND(N3628&lt;= 22, S3628=9), N3628-7,AND(N3628&lt;= 28, S3628=9), N3628-25,AND(N3628&lt;= 30, S3628=9), N3628-28,AND(N3628&lt;= 11, S3628=10), N3628+2,AND(N3628&lt;= 21, S3628=10), N3628-11)</f>
        <v>13</v>
      </c>
    </row>
    <row r="3629" spans="1:22" x14ac:dyDescent="0.35">
      <c r="A3629" s="4">
        <v>45576</v>
      </c>
      <c r="B3629" s="5">
        <v>0.99976851851851856</v>
      </c>
      <c r="C3629">
        <v>74.400000000000006</v>
      </c>
      <c r="D3629">
        <v>71.8</v>
      </c>
      <c r="E3629">
        <v>77</v>
      </c>
      <c r="F3629">
        <v>73.599999999999994</v>
      </c>
      <c r="G3629">
        <v>0</v>
      </c>
      <c r="H3629">
        <v>0</v>
      </c>
      <c r="I3629">
        <v>0</v>
      </c>
      <c r="J3629">
        <v>0</v>
      </c>
      <c r="K3629">
        <v>63.7</v>
      </c>
      <c r="L3629">
        <v>63</v>
      </c>
      <c r="M3629">
        <v>74.27</v>
      </c>
      <c r="N3629">
        <v>11</v>
      </c>
      <c r="O3629">
        <v>3</v>
      </c>
      <c r="P3629">
        <f>MOD(DAY(datos_siembra[[#This Row],[Date]]),7)</f>
        <v>4</v>
      </c>
      <c r="Q3629" t="str">
        <f>CHOOSE(WEEKDAY(datos_siembra[[#This Row],[Date]],2),"L","M","X","J","V","S","D")</f>
        <v>V</v>
      </c>
      <c r="R3629">
        <f>WEEKNUM(datos_siembra[[#This Row],[Date]],2)-WEEKNUM(DATE(YEAR(datos_siembra[[#This Row],[Date]]),MONTH(datos_siembra[[#This Row],[Date]]),1))+1</f>
        <v>2</v>
      </c>
      <c r="S3629">
        <f>MONTH(datos_siembra[[#This Row],[Date]])</f>
        <v>10</v>
      </c>
      <c r="T3629" t="str" cm="1">
        <f t="array" ref="T3629">_xlfn.IFS(AND(N3629&lt;= 22, S3629=9), "SOWING",AND(N3629&lt;= 28, S3629=9), "COVERAGE",AND(N3629&lt;= 30, S3629=9), "FLUSH",AND(N3629&lt;= 11, S3629=10), "FLUSH",AND(N3629&lt;= 21, S3629=10), "PRODUCTION")</f>
        <v>FLUSH</v>
      </c>
      <c r="U3629">
        <f>HOUR(datos_siembra[[#This Row],[Hour]])</f>
        <v>23</v>
      </c>
      <c r="V3629" cm="1">
        <f t="array" ref="V3629">_xlfn.IFS(AND(N3629&lt;= 22, S3629=9), N3629-7,AND(N3629&lt;= 28, S3629=9), N3629-25,AND(N3629&lt;= 30, S3629=9), N3629-28,AND(N3629&lt;= 11, S3629=10), N3629+2,AND(N3629&lt;= 21, S3629=10), N3629-11)</f>
        <v>13</v>
      </c>
    </row>
    <row r="3630" spans="1:22" x14ac:dyDescent="0.35">
      <c r="A3630" s="4">
        <v>45577</v>
      </c>
      <c r="B3630" s="5">
        <v>6.7129629629629631E-3</v>
      </c>
      <c r="C3630">
        <v>74.3</v>
      </c>
      <c r="D3630">
        <v>72.099999999999994</v>
      </c>
      <c r="E3630">
        <v>76.900000000000006</v>
      </c>
      <c r="F3630">
        <v>73.7</v>
      </c>
      <c r="G3630">
        <v>0</v>
      </c>
      <c r="H3630">
        <v>0</v>
      </c>
      <c r="I3630">
        <v>0</v>
      </c>
      <c r="J3630">
        <v>0</v>
      </c>
      <c r="K3630">
        <v>63.7</v>
      </c>
      <c r="L3630">
        <v>63.2</v>
      </c>
      <c r="M3630">
        <v>74.27</v>
      </c>
      <c r="N3630">
        <v>12</v>
      </c>
      <c r="O3630">
        <v>4</v>
      </c>
      <c r="P3630">
        <f>MOD(DAY(datos_siembra[[#This Row],[Date]]),7)</f>
        <v>5</v>
      </c>
      <c r="Q3630" t="str">
        <f>CHOOSE(WEEKDAY(datos_siembra[[#This Row],[Date]],2),"L","M","X","J","V","S","D")</f>
        <v>S</v>
      </c>
      <c r="R3630">
        <f>WEEKNUM(datos_siembra[[#This Row],[Date]],2)-WEEKNUM(DATE(YEAR(datos_siembra[[#This Row],[Date]]),MONTH(datos_siembra[[#This Row],[Date]]),1))+1</f>
        <v>2</v>
      </c>
      <c r="S3630">
        <f>MONTH(datos_siembra[[#This Row],[Date]])</f>
        <v>10</v>
      </c>
      <c r="T3630" t="str" cm="1">
        <f t="array" ref="T3630">_xlfn.IFS(AND(N3630&lt;= 22, S3630=9), "SOWING",AND(N3630&lt;= 28, S3630=9), "COVERAGE",AND(N3630&lt;= 30, S3630=9), "FLUSH",AND(N3630&lt;= 11, S3630=10), "FLUSH",AND(N3630&lt;= 21, S3630=10), "PRODUCTION")</f>
        <v>PRODUCTION</v>
      </c>
      <c r="U3630">
        <f>HOUR(datos_siembra[[#This Row],[Hour]])</f>
        <v>0</v>
      </c>
      <c r="V3630" cm="1">
        <f t="array" ref="V3630">_xlfn.IFS(AND(N3630&lt;= 22, S3630=9), N3630-7,AND(N3630&lt;= 28, S3630=9), N3630-25,AND(N3630&lt;= 30, S3630=9), N3630-28,AND(N3630&lt;= 11, S3630=10), N3630+2,AND(N3630&lt;= 21, S3630=10), N3630-11)</f>
        <v>1</v>
      </c>
    </row>
    <row r="3631" spans="1:22" x14ac:dyDescent="0.35">
      <c r="A3631" s="4">
        <v>45577</v>
      </c>
      <c r="B3631" s="5">
        <v>1.3668981481481482E-2</v>
      </c>
      <c r="C3631">
        <v>74.400000000000006</v>
      </c>
      <c r="D3631">
        <v>71.900000000000006</v>
      </c>
      <c r="E3631">
        <v>77</v>
      </c>
      <c r="F3631">
        <v>73.599999999999994</v>
      </c>
      <c r="G3631">
        <v>0</v>
      </c>
      <c r="H3631">
        <v>0</v>
      </c>
      <c r="I3631">
        <v>0</v>
      </c>
      <c r="J3631">
        <v>0</v>
      </c>
      <c r="K3631">
        <v>63.7</v>
      </c>
      <c r="L3631">
        <v>63</v>
      </c>
      <c r="M3631">
        <v>74.3</v>
      </c>
      <c r="N3631">
        <v>12</v>
      </c>
      <c r="O3631">
        <v>4</v>
      </c>
      <c r="P3631">
        <f>MOD(DAY(datos_siembra[[#This Row],[Date]]),7)</f>
        <v>5</v>
      </c>
      <c r="Q3631" t="str">
        <f>CHOOSE(WEEKDAY(datos_siembra[[#This Row],[Date]],2),"L","M","X","J","V","S","D")</f>
        <v>S</v>
      </c>
      <c r="R3631">
        <f>WEEKNUM(datos_siembra[[#This Row],[Date]],2)-WEEKNUM(DATE(YEAR(datos_siembra[[#This Row],[Date]]),MONTH(datos_siembra[[#This Row],[Date]]),1))+1</f>
        <v>2</v>
      </c>
      <c r="S3631">
        <f>MONTH(datos_siembra[[#This Row],[Date]])</f>
        <v>10</v>
      </c>
      <c r="T3631" t="str" cm="1">
        <f t="array" ref="T3631">_xlfn.IFS(AND(N3631&lt;= 22, S3631=9), "SOWING",AND(N3631&lt;= 28, S3631=9), "COVERAGE",AND(N3631&lt;= 30, S3631=9), "FLUSH",AND(N3631&lt;= 11, S3631=10), "FLUSH",AND(N3631&lt;= 21, S3631=10), "PRODUCTION")</f>
        <v>PRODUCTION</v>
      </c>
      <c r="U3631">
        <f>HOUR(datos_siembra[[#This Row],[Hour]])</f>
        <v>0</v>
      </c>
      <c r="V3631" cm="1">
        <f t="array" ref="V3631">_xlfn.IFS(AND(N3631&lt;= 22, S3631=9), N3631-7,AND(N3631&lt;= 28, S3631=9), N3631-25,AND(N3631&lt;= 30, S3631=9), N3631-28,AND(N3631&lt;= 11, S3631=10), N3631+2,AND(N3631&lt;= 21, S3631=10), N3631-11)</f>
        <v>1</v>
      </c>
    </row>
    <row r="3632" spans="1:22" x14ac:dyDescent="0.35">
      <c r="A3632" s="4">
        <v>45577</v>
      </c>
      <c r="B3632" s="5">
        <v>2.0613425925925927E-2</v>
      </c>
      <c r="C3632">
        <v>74.400000000000006</v>
      </c>
      <c r="D3632">
        <v>71.900000000000006</v>
      </c>
      <c r="E3632">
        <v>77</v>
      </c>
      <c r="F3632">
        <v>73.900000000000006</v>
      </c>
      <c r="G3632">
        <v>0</v>
      </c>
      <c r="H3632">
        <v>0</v>
      </c>
      <c r="I3632">
        <v>0</v>
      </c>
      <c r="J3632">
        <v>0</v>
      </c>
      <c r="K3632">
        <v>63.7</v>
      </c>
      <c r="L3632">
        <v>62.9</v>
      </c>
      <c r="M3632">
        <v>74.36</v>
      </c>
      <c r="N3632">
        <v>12</v>
      </c>
      <c r="O3632">
        <v>4</v>
      </c>
      <c r="P3632">
        <f>MOD(DAY(datos_siembra[[#This Row],[Date]]),7)</f>
        <v>5</v>
      </c>
      <c r="Q3632" t="str">
        <f>CHOOSE(WEEKDAY(datos_siembra[[#This Row],[Date]],2),"L","M","X","J","V","S","D")</f>
        <v>S</v>
      </c>
      <c r="R3632">
        <f>WEEKNUM(datos_siembra[[#This Row],[Date]],2)-WEEKNUM(DATE(YEAR(datos_siembra[[#This Row],[Date]]),MONTH(datos_siembra[[#This Row],[Date]]),1))+1</f>
        <v>2</v>
      </c>
      <c r="S3632">
        <f>MONTH(datos_siembra[[#This Row],[Date]])</f>
        <v>10</v>
      </c>
      <c r="T3632" t="str" cm="1">
        <f t="array" ref="T3632">_xlfn.IFS(AND(N3632&lt;= 22, S3632=9), "SOWING",AND(N3632&lt;= 28, S3632=9), "COVERAGE",AND(N3632&lt;= 30, S3632=9), "FLUSH",AND(N3632&lt;= 11, S3632=10), "FLUSH",AND(N3632&lt;= 21, S3632=10), "PRODUCTION")</f>
        <v>PRODUCTION</v>
      </c>
      <c r="U3632">
        <f>HOUR(datos_siembra[[#This Row],[Hour]])</f>
        <v>0</v>
      </c>
      <c r="V3632" cm="1">
        <f t="array" ref="V3632">_xlfn.IFS(AND(N3632&lt;= 22, S3632=9), N3632-7,AND(N3632&lt;= 28, S3632=9), N3632-25,AND(N3632&lt;= 30, S3632=9), N3632-28,AND(N3632&lt;= 11, S3632=10), N3632+2,AND(N3632&lt;= 21, S3632=10), N3632-11)</f>
        <v>1</v>
      </c>
    </row>
    <row r="3633" spans="1:22" x14ac:dyDescent="0.35">
      <c r="A3633" s="4">
        <v>45577</v>
      </c>
      <c r="B3633" s="5">
        <v>2.7557870370370371E-2</v>
      </c>
      <c r="C3633">
        <v>74.5</v>
      </c>
      <c r="D3633">
        <v>71.900000000000006</v>
      </c>
      <c r="E3633">
        <v>76.900000000000006</v>
      </c>
      <c r="F3633">
        <v>73.900000000000006</v>
      </c>
      <c r="G3633">
        <v>0</v>
      </c>
      <c r="H3633">
        <v>0</v>
      </c>
      <c r="I3633">
        <v>0</v>
      </c>
      <c r="J3633">
        <v>0</v>
      </c>
      <c r="K3633">
        <v>63.5</v>
      </c>
      <c r="L3633">
        <v>62.8</v>
      </c>
      <c r="M3633">
        <v>74.3</v>
      </c>
      <c r="N3633">
        <v>12</v>
      </c>
      <c r="O3633">
        <v>4</v>
      </c>
      <c r="P3633">
        <f>MOD(DAY(datos_siembra[[#This Row],[Date]]),7)</f>
        <v>5</v>
      </c>
      <c r="Q3633" t="str">
        <f>CHOOSE(WEEKDAY(datos_siembra[[#This Row],[Date]],2),"L","M","X","J","V","S","D")</f>
        <v>S</v>
      </c>
      <c r="R3633">
        <f>WEEKNUM(datos_siembra[[#This Row],[Date]],2)-WEEKNUM(DATE(YEAR(datos_siembra[[#This Row],[Date]]),MONTH(datos_siembra[[#This Row],[Date]]),1))+1</f>
        <v>2</v>
      </c>
      <c r="S3633">
        <f>MONTH(datos_siembra[[#This Row],[Date]])</f>
        <v>10</v>
      </c>
      <c r="T3633" t="str" cm="1">
        <f t="array" ref="T3633">_xlfn.IFS(AND(N3633&lt;= 22, S3633=9), "SOWING",AND(N3633&lt;= 28, S3633=9), "COVERAGE",AND(N3633&lt;= 30, S3633=9), "FLUSH",AND(N3633&lt;= 11, S3633=10), "FLUSH",AND(N3633&lt;= 21, S3633=10), "PRODUCTION")</f>
        <v>PRODUCTION</v>
      </c>
      <c r="U3633">
        <f>HOUR(datos_siembra[[#This Row],[Hour]])</f>
        <v>0</v>
      </c>
      <c r="V3633" cm="1">
        <f t="array" ref="V3633">_xlfn.IFS(AND(N3633&lt;= 22, S3633=9), N3633-7,AND(N3633&lt;= 28, S3633=9), N3633-25,AND(N3633&lt;= 30, S3633=9), N3633-28,AND(N3633&lt;= 11, S3633=10), N3633+2,AND(N3633&lt;= 21, S3633=10), N3633-11)</f>
        <v>1</v>
      </c>
    </row>
    <row r="3634" spans="1:22" x14ac:dyDescent="0.35">
      <c r="A3634" s="4">
        <v>45577</v>
      </c>
      <c r="B3634" s="5">
        <v>3.4513888888888886E-2</v>
      </c>
      <c r="C3634">
        <v>74.599999999999994</v>
      </c>
      <c r="D3634">
        <v>71.900000000000006</v>
      </c>
      <c r="E3634">
        <v>77.099999999999994</v>
      </c>
      <c r="F3634">
        <v>74</v>
      </c>
      <c r="G3634">
        <v>0</v>
      </c>
      <c r="H3634">
        <v>0</v>
      </c>
      <c r="I3634">
        <v>0</v>
      </c>
      <c r="J3634">
        <v>0</v>
      </c>
      <c r="K3634">
        <v>63.5</v>
      </c>
      <c r="L3634">
        <v>62.9</v>
      </c>
      <c r="M3634">
        <v>74.33</v>
      </c>
      <c r="N3634">
        <v>12</v>
      </c>
      <c r="O3634">
        <v>4</v>
      </c>
      <c r="P3634">
        <f>MOD(DAY(datos_siembra[[#This Row],[Date]]),7)</f>
        <v>5</v>
      </c>
      <c r="Q3634" t="str">
        <f>CHOOSE(WEEKDAY(datos_siembra[[#This Row],[Date]],2),"L","M","X","J","V","S","D")</f>
        <v>S</v>
      </c>
      <c r="R3634">
        <f>WEEKNUM(datos_siembra[[#This Row],[Date]],2)-WEEKNUM(DATE(YEAR(datos_siembra[[#This Row],[Date]]),MONTH(datos_siembra[[#This Row],[Date]]),1))+1</f>
        <v>2</v>
      </c>
      <c r="S3634">
        <f>MONTH(datos_siembra[[#This Row],[Date]])</f>
        <v>10</v>
      </c>
      <c r="T3634" t="str" cm="1">
        <f t="array" ref="T3634">_xlfn.IFS(AND(N3634&lt;= 22, S3634=9), "SOWING",AND(N3634&lt;= 28, S3634=9), "COVERAGE",AND(N3634&lt;= 30, S3634=9), "FLUSH",AND(N3634&lt;= 11, S3634=10), "FLUSH",AND(N3634&lt;= 21, S3634=10), "PRODUCTION")</f>
        <v>PRODUCTION</v>
      </c>
      <c r="U3634">
        <f>HOUR(datos_siembra[[#This Row],[Hour]])</f>
        <v>0</v>
      </c>
      <c r="V3634" cm="1">
        <f t="array" ref="V3634">_xlfn.IFS(AND(N3634&lt;= 22, S3634=9), N3634-7,AND(N3634&lt;= 28, S3634=9), N3634-25,AND(N3634&lt;= 30, S3634=9), N3634-28,AND(N3634&lt;= 11, S3634=10), N3634+2,AND(N3634&lt;= 21, S3634=10), N3634-11)</f>
        <v>1</v>
      </c>
    </row>
    <row r="3635" spans="1:22" x14ac:dyDescent="0.35">
      <c r="A3635" s="4">
        <v>45577</v>
      </c>
      <c r="B3635" s="5">
        <v>4.1458333333333333E-2</v>
      </c>
      <c r="C3635">
        <v>74.599999999999994</v>
      </c>
      <c r="D3635">
        <v>72.099999999999994</v>
      </c>
      <c r="E3635">
        <v>77.099999999999994</v>
      </c>
      <c r="F3635">
        <v>74</v>
      </c>
      <c r="G3635">
        <v>0</v>
      </c>
      <c r="H3635">
        <v>0</v>
      </c>
      <c r="I3635">
        <v>0</v>
      </c>
      <c r="J3635">
        <v>0</v>
      </c>
      <c r="K3635">
        <v>63.5</v>
      </c>
      <c r="L3635">
        <v>63</v>
      </c>
      <c r="M3635">
        <v>74.33</v>
      </c>
      <c r="N3635">
        <v>12</v>
      </c>
      <c r="O3635">
        <v>4</v>
      </c>
      <c r="P3635">
        <f>MOD(DAY(datos_siembra[[#This Row],[Date]]),7)</f>
        <v>5</v>
      </c>
      <c r="Q3635" t="str">
        <f>CHOOSE(WEEKDAY(datos_siembra[[#This Row],[Date]],2),"L","M","X","J","V","S","D")</f>
        <v>S</v>
      </c>
      <c r="R3635">
        <f>WEEKNUM(datos_siembra[[#This Row],[Date]],2)-WEEKNUM(DATE(YEAR(datos_siembra[[#This Row],[Date]]),MONTH(datos_siembra[[#This Row],[Date]]),1))+1</f>
        <v>2</v>
      </c>
      <c r="S3635">
        <f>MONTH(datos_siembra[[#This Row],[Date]])</f>
        <v>10</v>
      </c>
      <c r="T3635" t="str" cm="1">
        <f t="array" ref="T3635">_xlfn.IFS(AND(N3635&lt;= 22, S3635=9), "SOWING",AND(N3635&lt;= 28, S3635=9), "COVERAGE",AND(N3635&lt;= 30, S3635=9), "FLUSH",AND(N3635&lt;= 11, S3635=10), "FLUSH",AND(N3635&lt;= 21, S3635=10), "PRODUCTION")</f>
        <v>PRODUCTION</v>
      </c>
      <c r="U3635">
        <f>HOUR(datos_siembra[[#This Row],[Hour]])</f>
        <v>0</v>
      </c>
      <c r="V3635" cm="1">
        <f t="array" ref="V3635">_xlfn.IFS(AND(N3635&lt;= 22, S3635=9), N3635-7,AND(N3635&lt;= 28, S3635=9), N3635-25,AND(N3635&lt;= 30, S3635=9), N3635-28,AND(N3635&lt;= 11, S3635=10), N3635+2,AND(N3635&lt;= 21, S3635=10), N3635-11)</f>
        <v>1</v>
      </c>
    </row>
    <row r="3636" spans="1:22" x14ac:dyDescent="0.35">
      <c r="A3636" s="4">
        <v>45577</v>
      </c>
      <c r="B3636" s="5">
        <v>4.8402777777777781E-2</v>
      </c>
      <c r="C3636">
        <v>74.599999999999994</v>
      </c>
      <c r="D3636">
        <v>72.2</v>
      </c>
      <c r="E3636">
        <v>77</v>
      </c>
      <c r="F3636">
        <v>74</v>
      </c>
      <c r="G3636">
        <v>0</v>
      </c>
      <c r="H3636">
        <v>0</v>
      </c>
      <c r="I3636">
        <v>0</v>
      </c>
      <c r="J3636">
        <v>0</v>
      </c>
      <c r="K3636">
        <v>63.4</v>
      </c>
      <c r="L3636">
        <v>62.7</v>
      </c>
      <c r="M3636">
        <v>74.41</v>
      </c>
      <c r="N3636">
        <v>12</v>
      </c>
      <c r="O3636">
        <v>4</v>
      </c>
      <c r="P3636">
        <f>MOD(DAY(datos_siembra[[#This Row],[Date]]),7)</f>
        <v>5</v>
      </c>
      <c r="Q3636" t="str">
        <f>CHOOSE(WEEKDAY(datos_siembra[[#This Row],[Date]],2),"L","M","X","J","V","S","D")</f>
        <v>S</v>
      </c>
      <c r="R3636">
        <f>WEEKNUM(datos_siembra[[#This Row],[Date]],2)-WEEKNUM(DATE(YEAR(datos_siembra[[#This Row],[Date]]),MONTH(datos_siembra[[#This Row],[Date]]),1))+1</f>
        <v>2</v>
      </c>
      <c r="S3636">
        <f>MONTH(datos_siembra[[#This Row],[Date]])</f>
        <v>10</v>
      </c>
      <c r="T3636" t="str" cm="1">
        <f t="array" ref="T3636">_xlfn.IFS(AND(N3636&lt;= 22, S3636=9), "SOWING",AND(N3636&lt;= 28, S3636=9), "COVERAGE",AND(N3636&lt;= 30, S3636=9), "FLUSH",AND(N3636&lt;= 11, S3636=10), "FLUSH",AND(N3636&lt;= 21, S3636=10), "PRODUCTION")</f>
        <v>PRODUCTION</v>
      </c>
      <c r="U3636">
        <f>HOUR(datos_siembra[[#This Row],[Hour]])</f>
        <v>1</v>
      </c>
      <c r="V3636" cm="1">
        <f t="array" ref="V3636">_xlfn.IFS(AND(N3636&lt;= 22, S3636=9), N3636-7,AND(N3636&lt;= 28, S3636=9), N3636-25,AND(N3636&lt;= 30, S3636=9), N3636-28,AND(N3636&lt;= 11, S3636=10), N3636+2,AND(N3636&lt;= 21, S3636=10), N3636-11)</f>
        <v>1</v>
      </c>
    </row>
    <row r="3637" spans="1:22" x14ac:dyDescent="0.35">
      <c r="A3637" s="4">
        <v>45577</v>
      </c>
      <c r="B3637" s="5">
        <v>5.5347222222222221E-2</v>
      </c>
      <c r="C3637">
        <v>74.599999999999994</v>
      </c>
      <c r="D3637">
        <v>72.099999999999994</v>
      </c>
      <c r="E3637">
        <v>77</v>
      </c>
      <c r="F3637">
        <v>74.099999999999994</v>
      </c>
      <c r="G3637">
        <v>0</v>
      </c>
      <c r="H3637">
        <v>0</v>
      </c>
      <c r="I3637">
        <v>0</v>
      </c>
      <c r="J3637">
        <v>0</v>
      </c>
      <c r="K3637">
        <v>63.5</v>
      </c>
      <c r="L3637">
        <v>62.7</v>
      </c>
      <c r="M3637">
        <v>74.41</v>
      </c>
      <c r="N3637">
        <v>12</v>
      </c>
      <c r="O3637">
        <v>4</v>
      </c>
      <c r="P3637">
        <f>MOD(DAY(datos_siembra[[#This Row],[Date]]),7)</f>
        <v>5</v>
      </c>
      <c r="Q3637" t="str">
        <f>CHOOSE(WEEKDAY(datos_siembra[[#This Row],[Date]],2),"L","M","X","J","V","S","D")</f>
        <v>S</v>
      </c>
      <c r="R3637">
        <f>WEEKNUM(datos_siembra[[#This Row],[Date]],2)-WEEKNUM(DATE(YEAR(datos_siembra[[#This Row],[Date]]),MONTH(datos_siembra[[#This Row],[Date]]),1))+1</f>
        <v>2</v>
      </c>
      <c r="S3637">
        <f>MONTH(datos_siembra[[#This Row],[Date]])</f>
        <v>10</v>
      </c>
      <c r="T3637" t="str" cm="1">
        <f t="array" ref="T3637">_xlfn.IFS(AND(N3637&lt;= 22, S3637=9), "SOWING",AND(N3637&lt;= 28, S3637=9), "COVERAGE",AND(N3637&lt;= 30, S3637=9), "FLUSH",AND(N3637&lt;= 11, S3637=10), "FLUSH",AND(N3637&lt;= 21, S3637=10), "PRODUCTION")</f>
        <v>PRODUCTION</v>
      </c>
      <c r="U3637">
        <f>HOUR(datos_siembra[[#This Row],[Hour]])</f>
        <v>1</v>
      </c>
      <c r="V3637" cm="1">
        <f t="array" ref="V3637">_xlfn.IFS(AND(N3637&lt;= 22, S3637=9), N3637-7,AND(N3637&lt;= 28, S3637=9), N3637-25,AND(N3637&lt;= 30, S3637=9), N3637-28,AND(N3637&lt;= 11, S3637=10), N3637+2,AND(N3637&lt;= 21, S3637=10), N3637-11)</f>
        <v>1</v>
      </c>
    </row>
    <row r="3638" spans="1:22" x14ac:dyDescent="0.35">
      <c r="A3638" s="4">
        <v>45577</v>
      </c>
      <c r="B3638" s="5">
        <v>6.2303240740740742E-2</v>
      </c>
      <c r="C3638">
        <v>74.8</v>
      </c>
      <c r="D3638">
        <v>72.099999999999994</v>
      </c>
      <c r="E3638">
        <v>77</v>
      </c>
      <c r="F3638">
        <v>73.900000000000006</v>
      </c>
      <c r="G3638">
        <v>0</v>
      </c>
      <c r="H3638">
        <v>0</v>
      </c>
      <c r="I3638">
        <v>0</v>
      </c>
      <c r="J3638">
        <v>0</v>
      </c>
      <c r="K3638">
        <v>63.2</v>
      </c>
      <c r="L3638">
        <v>62.5</v>
      </c>
      <c r="M3638">
        <v>74.38</v>
      </c>
      <c r="N3638">
        <v>12</v>
      </c>
      <c r="O3638">
        <v>4</v>
      </c>
      <c r="P3638">
        <f>MOD(DAY(datos_siembra[[#This Row],[Date]]),7)</f>
        <v>5</v>
      </c>
      <c r="Q3638" t="str">
        <f>CHOOSE(WEEKDAY(datos_siembra[[#This Row],[Date]],2),"L","M","X","J","V","S","D")</f>
        <v>S</v>
      </c>
      <c r="R3638">
        <f>WEEKNUM(datos_siembra[[#This Row],[Date]],2)-WEEKNUM(DATE(YEAR(datos_siembra[[#This Row],[Date]]),MONTH(datos_siembra[[#This Row],[Date]]),1))+1</f>
        <v>2</v>
      </c>
      <c r="S3638">
        <f>MONTH(datos_siembra[[#This Row],[Date]])</f>
        <v>10</v>
      </c>
      <c r="T3638" t="str" cm="1">
        <f t="array" ref="T3638">_xlfn.IFS(AND(N3638&lt;= 22, S3638=9), "SOWING",AND(N3638&lt;= 28, S3638=9), "COVERAGE",AND(N3638&lt;= 30, S3638=9), "FLUSH",AND(N3638&lt;= 11, S3638=10), "FLUSH",AND(N3638&lt;= 21, S3638=10), "PRODUCTION")</f>
        <v>PRODUCTION</v>
      </c>
      <c r="U3638">
        <f>HOUR(datos_siembra[[#This Row],[Hour]])</f>
        <v>1</v>
      </c>
      <c r="V3638" cm="1">
        <f t="array" ref="V3638">_xlfn.IFS(AND(N3638&lt;= 22, S3638=9), N3638-7,AND(N3638&lt;= 28, S3638=9), N3638-25,AND(N3638&lt;= 30, S3638=9), N3638-28,AND(N3638&lt;= 11, S3638=10), N3638+2,AND(N3638&lt;= 21, S3638=10), N3638-11)</f>
        <v>1</v>
      </c>
    </row>
    <row r="3639" spans="1:22" x14ac:dyDescent="0.35">
      <c r="A3639" s="4">
        <v>45577</v>
      </c>
      <c r="B3639" s="5">
        <v>6.924768518518519E-2</v>
      </c>
      <c r="C3639">
        <v>74.599999999999994</v>
      </c>
      <c r="D3639">
        <v>72.2</v>
      </c>
      <c r="E3639">
        <v>76.900000000000006</v>
      </c>
      <c r="F3639">
        <v>74</v>
      </c>
      <c r="G3639">
        <v>0</v>
      </c>
      <c r="H3639">
        <v>0</v>
      </c>
      <c r="I3639">
        <v>0</v>
      </c>
      <c r="J3639">
        <v>0</v>
      </c>
      <c r="K3639">
        <v>63.3</v>
      </c>
      <c r="L3639">
        <v>62.4</v>
      </c>
      <c r="M3639">
        <v>74.44</v>
      </c>
      <c r="N3639">
        <v>12</v>
      </c>
      <c r="O3639">
        <v>4</v>
      </c>
      <c r="P3639">
        <f>MOD(DAY(datos_siembra[[#This Row],[Date]]),7)</f>
        <v>5</v>
      </c>
      <c r="Q3639" t="str">
        <f>CHOOSE(WEEKDAY(datos_siembra[[#This Row],[Date]],2),"L","M","X","J","V","S","D")</f>
        <v>S</v>
      </c>
      <c r="R3639">
        <f>WEEKNUM(datos_siembra[[#This Row],[Date]],2)-WEEKNUM(DATE(YEAR(datos_siembra[[#This Row],[Date]]),MONTH(datos_siembra[[#This Row],[Date]]),1))+1</f>
        <v>2</v>
      </c>
      <c r="S3639">
        <f>MONTH(datos_siembra[[#This Row],[Date]])</f>
        <v>10</v>
      </c>
      <c r="T3639" t="str" cm="1">
        <f t="array" ref="T3639">_xlfn.IFS(AND(N3639&lt;= 22, S3639=9), "SOWING",AND(N3639&lt;= 28, S3639=9), "COVERAGE",AND(N3639&lt;= 30, S3639=9), "FLUSH",AND(N3639&lt;= 11, S3639=10), "FLUSH",AND(N3639&lt;= 21, S3639=10), "PRODUCTION")</f>
        <v>PRODUCTION</v>
      </c>
      <c r="U3639">
        <f>HOUR(datos_siembra[[#This Row],[Hour]])</f>
        <v>1</v>
      </c>
      <c r="V3639" cm="1">
        <f t="array" ref="V3639">_xlfn.IFS(AND(N3639&lt;= 22, S3639=9), N3639-7,AND(N3639&lt;= 28, S3639=9), N3639-25,AND(N3639&lt;= 30, S3639=9), N3639-28,AND(N3639&lt;= 11, S3639=10), N3639+2,AND(N3639&lt;= 21, S3639=10), N3639-11)</f>
        <v>1</v>
      </c>
    </row>
    <row r="3640" spans="1:22" x14ac:dyDescent="0.35">
      <c r="A3640" s="4">
        <v>45577</v>
      </c>
      <c r="B3640" s="5">
        <v>7.6192129629629624E-2</v>
      </c>
      <c r="C3640">
        <v>74.599999999999994</v>
      </c>
      <c r="D3640">
        <v>72.2</v>
      </c>
      <c r="E3640">
        <v>77</v>
      </c>
      <c r="F3640">
        <v>74.099999999999994</v>
      </c>
      <c r="G3640">
        <v>0</v>
      </c>
      <c r="H3640">
        <v>0</v>
      </c>
      <c r="I3640">
        <v>0</v>
      </c>
      <c r="J3640">
        <v>0</v>
      </c>
      <c r="K3640">
        <v>63</v>
      </c>
      <c r="L3640">
        <v>62.5</v>
      </c>
      <c r="M3640">
        <v>74.47</v>
      </c>
      <c r="N3640">
        <v>12</v>
      </c>
      <c r="O3640">
        <v>4</v>
      </c>
      <c r="P3640">
        <f>MOD(DAY(datos_siembra[[#This Row],[Date]]),7)</f>
        <v>5</v>
      </c>
      <c r="Q3640" t="str">
        <f>CHOOSE(WEEKDAY(datos_siembra[[#This Row],[Date]],2),"L","M","X","J","V","S","D")</f>
        <v>S</v>
      </c>
      <c r="R3640">
        <f>WEEKNUM(datos_siembra[[#This Row],[Date]],2)-WEEKNUM(DATE(YEAR(datos_siembra[[#This Row],[Date]]),MONTH(datos_siembra[[#This Row],[Date]]),1))+1</f>
        <v>2</v>
      </c>
      <c r="S3640">
        <f>MONTH(datos_siembra[[#This Row],[Date]])</f>
        <v>10</v>
      </c>
      <c r="T3640" t="str" cm="1">
        <f t="array" ref="T3640">_xlfn.IFS(AND(N3640&lt;= 22, S3640=9), "SOWING",AND(N3640&lt;= 28, S3640=9), "COVERAGE",AND(N3640&lt;= 30, S3640=9), "FLUSH",AND(N3640&lt;= 11, S3640=10), "FLUSH",AND(N3640&lt;= 21, S3640=10), "PRODUCTION")</f>
        <v>PRODUCTION</v>
      </c>
      <c r="U3640">
        <f>HOUR(datos_siembra[[#This Row],[Hour]])</f>
        <v>1</v>
      </c>
      <c r="V3640" cm="1">
        <f t="array" ref="V3640">_xlfn.IFS(AND(N3640&lt;= 22, S3640=9), N3640-7,AND(N3640&lt;= 28, S3640=9), N3640-25,AND(N3640&lt;= 30, S3640=9), N3640-28,AND(N3640&lt;= 11, S3640=10), N3640+2,AND(N3640&lt;= 21, S3640=10), N3640-11)</f>
        <v>1</v>
      </c>
    </row>
    <row r="3641" spans="1:22" x14ac:dyDescent="0.35">
      <c r="A3641" s="4">
        <v>45577</v>
      </c>
      <c r="B3641" s="5">
        <v>8.3148148148148152E-2</v>
      </c>
      <c r="C3641">
        <v>74.8</v>
      </c>
      <c r="D3641">
        <v>72.2</v>
      </c>
      <c r="E3641">
        <v>77</v>
      </c>
      <c r="F3641">
        <v>74.099999999999994</v>
      </c>
      <c r="G3641">
        <v>0</v>
      </c>
      <c r="H3641">
        <v>0</v>
      </c>
      <c r="I3641">
        <v>0</v>
      </c>
      <c r="J3641">
        <v>0</v>
      </c>
      <c r="K3641">
        <v>63.3</v>
      </c>
      <c r="L3641">
        <v>62.3</v>
      </c>
      <c r="M3641">
        <v>74.5</v>
      </c>
      <c r="N3641">
        <v>12</v>
      </c>
      <c r="O3641">
        <v>4</v>
      </c>
      <c r="P3641">
        <f>MOD(DAY(datos_siembra[[#This Row],[Date]]),7)</f>
        <v>5</v>
      </c>
      <c r="Q3641" t="str">
        <f>CHOOSE(WEEKDAY(datos_siembra[[#This Row],[Date]],2),"L","M","X","J","V","S","D")</f>
        <v>S</v>
      </c>
      <c r="R3641">
        <f>WEEKNUM(datos_siembra[[#This Row],[Date]],2)-WEEKNUM(DATE(YEAR(datos_siembra[[#This Row],[Date]]),MONTH(datos_siembra[[#This Row],[Date]]),1))+1</f>
        <v>2</v>
      </c>
      <c r="S3641">
        <f>MONTH(datos_siembra[[#This Row],[Date]])</f>
        <v>10</v>
      </c>
      <c r="T3641" t="str" cm="1">
        <f t="array" ref="T3641">_xlfn.IFS(AND(N3641&lt;= 22, S3641=9), "SOWING",AND(N3641&lt;= 28, S3641=9), "COVERAGE",AND(N3641&lt;= 30, S3641=9), "FLUSH",AND(N3641&lt;= 11, S3641=10), "FLUSH",AND(N3641&lt;= 21, S3641=10), "PRODUCTION")</f>
        <v>PRODUCTION</v>
      </c>
      <c r="U3641">
        <f>HOUR(datos_siembra[[#This Row],[Hour]])</f>
        <v>1</v>
      </c>
      <c r="V3641" cm="1">
        <f t="array" ref="V3641">_xlfn.IFS(AND(N3641&lt;= 22, S3641=9), N3641-7,AND(N3641&lt;= 28, S3641=9), N3641-25,AND(N3641&lt;= 30, S3641=9), N3641-28,AND(N3641&lt;= 11, S3641=10), N3641+2,AND(N3641&lt;= 21, S3641=10), N3641-11)</f>
        <v>1</v>
      </c>
    </row>
    <row r="3642" spans="1:22" x14ac:dyDescent="0.35">
      <c r="A3642" s="4">
        <v>45577</v>
      </c>
      <c r="B3642" s="5">
        <v>9.0092592592592599E-2</v>
      </c>
      <c r="C3642">
        <v>74.599999999999994</v>
      </c>
      <c r="D3642">
        <v>72.099999999999994</v>
      </c>
      <c r="E3642">
        <v>76.900000000000006</v>
      </c>
      <c r="F3642">
        <v>74.099999999999994</v>
      </c>
      <c r="G3642">
        <v>0</v>
      </c>
      <c r="H3642">
        <v>0</v>
      </c>
      <c r="I3642">
        <v>0</v>
      </c>
      <c r="J3642">
        <v>0</v>
      </c>
      <c r="K3642">
        <v>63.2</v>
      </c>
      <c r="L3642">
        <v>62.6</v>
      </c>
      <c r="M3642">
        <v>74.41</v>
      </c>
      <c r="N3642">
        <v>12</v>
      </c>
      <c r="O3642">
        <v>4</v>
      </c>
      <c r="P3642">
        <f>MOD(DAY(datos_siembra[[#This Row],[Date]]),7)</f>
        <v>5</v>
      </c>
      <c r="Q3642" t="str">
        <f>CHOOSE(WEEKDAY(datos_siembra[[#This Row],[Date]],2),"L","M","X","J","V","S","D")</f>
        <v>S</v>
      </c>
      <c r="R3642">
        <f>WEEKNUM(datos_siembra[[#This Row],[Date]],2)-WEEKNUM(DATE(YEAR(datos_siembra[[#This Row],[Date]]),MONTH(datos_siembra[[#This Row],[Date]]),1))+1</f>
        <v>2</v>
      </c>
      <c r="S3642">
        <f>MONTH(datos_siembra[[#This Row],[Date]])</f>
        <v>10</v>
      </c>
      <c r="T3642" t="str" cm="1">
        <f t="array" ref="T3642">_xlfn.IFS(AND(N3642&lt;= 22, S3642=9), "SOWING",AND(N3642&lt;= 28, S3642=9), "COVERAGE",AND(N3642&lt;= 30, S3642=9), "FLUSH",AND(N3642&lt;= 11, S3642=10), "FLUSH",AND(N3642&lt;= 21, S3642=10), "PRODUCTION")</f>
        <v>PRODUCTION</v>
      </c>
      <c r="U3642">
        <f>HOUR(datos_siembra[[#This Row],[Hour]])</f>
        <v>2</v>
      </c>
      <c r="V3642" cm="1">
        <f t="array" ref="V3642">_xlfn.IFS(AND(N3642&lt;= 22, S3642=9), N3642-7,AND(N3642&lt;= 28, S3642=9), N3642-25,AND(N3642&lt;= 30, S3642=9), N3642-28,AND(N3642&lt;= 11, S3642=10), N3642+2,AND(N3642&lt;= 21, S3642=10), N3642-11)</f>
        <v>1</v>
      </c>
    </row>
    <row r="3643" spans="1:22" x14ac:dyDescent="0.35">
      <c r="A3643" s="4">
        <v>45577</v>
      </c>
      <c r="B3643" s="5">
        <v>9.7037037037037033E-2</v>
      </c>
      <c r="C3643">
        <v>74.5</v>
      </c>
      <c r="D3643">
        <v>72.3</v>
      </c>
      <c r="E3643">
        <v>77</v>
      </c>
      <c r="F3643">
        <v>74.099999999999994</v>
      </c>
      <c r="G3643">
        <v>0</v>
      </c>
      <c r="H3643">
        <v>0</v>
      </c>
      <c r="I3643">
        <v>0</v>
      </c>
      <c r="J3643">
        <v>0</v>
      </c>
      <c r="K3643">
        <v>63.2</v>
      </c>
      <c r="L3643">
        <v>62.8</v>
      </c>
      <c r="M3643">
        <v>74.5</v>
      </c>
      <c r="N3643">
        <v>12</v>
      </c>
      <c r="O3643">
        <v>4</v>
      </c>
      <c r="P3643">
        <f>MOD(DAY(datos_siembra[[#This Row],[Date]]),7)</f>
        <v>5</v>
      </c>
      <c r="Q3643" t="str">
        <f>CHOOSE(WEEKDAY(datos_siembra[[#This Row],[Date]],2),"L","M","X","J","V","S","D")</f>
        <v>S</v>
      </c>
      <c r="R3643">
        <f>WEEKNUM(datos_siembra[[#This Row],[Date]],2)-WEEKNUM(DATE(YEAR(datos_siembra[[#This Row],[Date]]),MONTH(datos_siembra[[#This Row],[Date]]),1))+1</f>
        <v>2</v>
      </c>
      <c r="S3643">
        <f>MONTH(datos_siembra[[#This Row],[Date]])</f>
        <v>10</v>
      </c>
      <c r="T3643" t="str" cm="1">
        <f t="array" ref="T3643">_xlfn.IFS(AND(N3643&lt;= 22, S3643=9), "SOWING",AND(N3643&lt;= 28, S3643=9), "COVERAGE",AND(N3643&lt;= 30, S3643=9), "FLUSH",AND(N3643&lt;= 11, S3643=10), "FLUSH",AND(N3643&lt;= 21, S3643=10), "PRODUCTION")</f>
        <v>PRODUCTION</v>
      </c>
      <c r="U3643">
        <f>HOUR(datos_siembra[[#This Row],[Hour]])</f>
        <v>2</v>
      </c>
      <c r="V3643" cm="1">
        <f t="array" ref="V3643">_xlfn.IFS(AND(N3643&lt;= 22, S3643=9), N3643-7,AND(N3643&lt;= 28, S3643=9), N3643-25,AND(N3643&lt;= 30, S3643=9), N3643-28,AND(N3643&lt;= 11, S3643=10), N3643+2,AND(N3643&lt;= 21, S3643=10), N3643-11)</f>
        <v>1</v>
      </c>
    </row>
    <row r="3644" spans="1:22" x14ac:dyDescent="0.35">
      <c r="A3644" s="4">
        <v>45577</v>
      </c>
      <c r="B3644" s="5">
        <v>0.10398148148148148</v>
      </c>
      <c r="C3644">
        <v>74.8</v>
      </c>
      <c r="D3644">
        <v>72.2</v>
      </c>
      <c r="E3644">
        <v>76.900000000000006</v>
      </c>
      <c r="F3644">
        <v>74.2</v>
      </c>
      <c r="G3644">
        <v>0</v>
      </c>
      <c r="H3644">
        <v>0</v>
      </c>
      <c r="I3644">
        <v>0</v>
      </c>
      <c r="J3644">
        <v>0</v>
      </c>
      <c r="K3644">
        <v>63.3</v>
      </c>
      <c r="L3644">
        <v>62.7</v>
      </c>
      <c r="M3644">
        <v>74.55</v>
      </c>
      <c r="N3644">
        <v>12</v>
      </c>
      <c r="O3644">
        <v>4</v>
      </c>
      <c r="P3644">
        <f>MOD(DAY(datos_siembra[[#This Row],[Date]]),7)</f>
        <v>5</v>
      </c>
      <c r="Q3644" t="str">
        <f>CHOOSE(WEEKDAY(datos_siembra[[#This Row],[Date]],2),"L","M","X","J","V","S","D")</f>
        <v>S</v>
      </c>
      <c r="R3644">
        <f>WEEKNUM(datos_siembra[[#This Row],[Date]],2)-WEEKNUM(DATE(YEAR(datos_siembra[[#This Row],[Date]]),MONTH(datos_siembra[[#This Row],[Date]]),1))+1</f>
        <v>2</v>
      </c>
      <c r="S3644">
        <f>MONTH(datos_siembra[[#This Row],[Date]])</f>
        <v>10</v>
      </c>
      <c r="T3644" t="str" cm="1">
        <f t="array" ref="T3644">_xlfn.IFS(AND(N3644&lt;= 22, S3644=9), "SOWING",AND(N3644&lt;= 28, S3644=9), "COVERAGE",AND(N3644&lt;= 30, S3644=9), "FLUSH",AND(N3644&lt;= 11, S3644=10), "FLUSH",AND(N3644&lt;= 21, S3644=10), "PRODUCTION")</f>
        <v>PRODUCTION</v>
      </c>
      <c r="U3644">
        <f>HOUR(datos_siembra[[#This Row],[Hour]])</f>
        <v>2</v>
      </c>
      <c r="V3644" cm="1">
        <f t="array" ref="V3644">_xlfn.IFS(AND(N3644&lt;= 22, S3644=9), N3644-7,AND(N3644&lt;= 28, S3644=9), N3644-25,AND(N3644&lt;= 30, S3644=9), N3644-28,AND(N3644&lt;= 11, S3644=10), N3644+2,AND(N3644&lt;= 21, S3644=10), N3644-11)</f>
        <v>1</v>
      </c>
    </row>
    <row r="3645" spans="1:22" x14ac:dyDescent="0.35">
      <c r="A3645" s="4">
        <v>45577</v>
      </c>
      <c r="B3645" s="5">
        <v>0.11093749999999999</v>
      </c>
      <c r="C3645">
        <v>74.8</v>
      </c>
      <c r="D3645">
        <v>72.3</v>
      </c>
      <c r="E3645">
        <v>76.900000000000006</v>
      </c>
      <c r="F3645">
        <v>74.2</v>
      </c>
      <c r="G3645">
        <v>0</v>
      </c>
      <c r="H3645">
        <v>0</v>
      </c>
      <c r="I3645">
        <v>0</v>
      </c>
      <c r="J3645">
        <v>0</v>
      </c>
      <c r="K3645">
        <v>63</v>
      </c>
      <c r="L3645">
        <v>62.5</v>
      </c>
      <c r="M3645">
        <v>74.5</v>
      </c>
      <c r="N3645">
        <v>12</v>
      </c>
      <c r="O3645">
        <v>4</v>
      </c>
      <c r="P3645">
        <f>MOD(DAY(datos_siembra[[#This Row],[Date]]),7)</f>
        <v>5</v>
      </c>
      <c r="Q3645" t="str">
        <f>CHOOSE(WEEKDAY(datos_siembra[[#This Row],[Date]],2),"L","M","X","J","V","S","D")</f>
        <v>S</v>
      </c>
      <c r="R3645">
        <f>WEEKNUM(datos_siembra[[#This Row],[Date]],2)-WEEKNUM(DATE(YEAR(datos_siembra[[#This Row],[Date]]),MONTH(datos_siembra[[#This Row],[Date]]),1))+1</f>
        <v>2</v>
      </c>
      <c r="S3645">
        <f>MONTH(datos_siembra[[#This Row],[Date]])</f>
        <v>10</v>
      </c>
      <c r="T3645" t="str" cm="1">
        <f t="array" ref="T3645">_xlfn.IFS(AND(N3645&lt;= 22, S3645=9), "SOWING",AND(N3645&lt;= 28, S3645=9), "COVERAGE",AND(N3645&lt;= 30, S3645=9), "FLUSH",AND(N3645&lt;= 11, S3645=10), "FLUSH",AND(N3645&lt;= 21, S3645=10), "PRODUCTION")</f>
        <v>PRODUCTION</v>
      </c>
      <c r="U3645">
        <f>HOUR(datos_siembra[[#This Row],[Hour]])</f>
        <v>2</v>
      </c>
      <c r="V3645" cm="1">
        <f t="array" ref="V3645">_xlfn.IFS(AND(N3645&lt;= 22, S3645=9), N3645-7,AND(N3645&lt;= 28, S3645=9), N3645-25,AND(N3645&lt;= 30, S3645=9), N3645-28,AND(N3645&lt;= 11, S3645=10), N3645+2,AND(N3645&lt;= 21, S3645=10), N3645-11)</f>
        <v>1</v>
      </c>
    </row>
    <row r="3646" spans="1:22" x14ac:dyDescent="0.35">
      <c r="A3646" s="4">
        <v>45577</v>
      </c>
      <c r="B3646" s="5">
        <v>0.11788194444444444</v>
      </c>
      <c r="C3646">
        <v>74.8</v>
      </c>
      <c r="D3646">
        <v>72.2</v>
      </c>
      <c r="E3646">
        <v>76.7</v>
      </c>
      <c r="F3646">
        <v>74.2</v>
      </c>
      <c r="G3646">
        <v>0</v>
      </c>
      <c r="H3646">
        <v>0</v>
      </c>
      <c r="I3646">
        <v>0</v>
      </c>
      <c r="J3646">
        <v>0</v>
      </c>
      <c r="K3646">
        <v>63.2</v>
      </c>
      <c r="L3646">
        <v>62.6</v>
      </c>
      <c r="M3646">
        <v>74.44</v>
      </c>
      <c r="N3646">
        <v>12</v>
      </c>
      <c r="O3646">
        <v>4</v>
      </c>
      <c r="P3646">
        <f>MOD(DAY(datos_siembra[[#This Row],[Date]]),7)</f>
        <v>5</v>
      </c>
      <c r="Q3646" t="str">
        <f>CHOOSE(WEEKDAY(datos_siembra[[#This Row],[Date]],2),"L","M","X","J","V","S","D")</f>
        <v>S</v>
      </c>
      <c r="R3646">
        <f>WEEKNUM(datos_siembra[[#This Row],[Date]],2)-WEEKNUM(DATE(YEAR(datos_siembra[[#This Row],[Date]]),MONTH(datos_siembra[[#This Row],[Date]]),1))+1</f>
        <v>2</v>
      </c>
      <c r="S3646">
        <f>MONTH(datos_siembra[[#This Row],[Date]])</f>
        <v>10</v>
      </c>
      <c r="T3646" t="str" cm="1">
        <f t="array" ref="T3646">_xlfn.IFS(AND(N3646&lt;= 22, S3646=9), "SOWING",AND(N3646&lt;= 28, S3646=9), "COVERAGE",AND(N3646&lt;= 30, S3646=9), "FLUSH",AND(N3646&lt;= 11, S3646=10), "FLUSH",AND(N3646&lt;= 21, S3646=10), "PRODUCTION")</f>
        <v>PRODUCTION</v>
      </c>
      <c r="U3646">
        <f>HOUR(datos_siembra[[#This Row],[Hour]])</f>
        <v>2</v>
      </c>
      <c r="V3646" cm="1">
        <f t="array" ref="V3646">_xlfn.IFS(AND(N3646&lt;= 22, S3646=9), N3646-7,AND(N3646&lt;= 28, S3646=9), N3646-25,AND(N3646&lt;= 30, S3646=9), N3646-28,AND(N3646&lt;= 11, S3646=10), N3646+2,AND(N3646&lt;= 21, S3646=10), N3646-11)</f>
        <v>1</v>
      </c>
    </row>
    <row r="3647" spans="1:22" x14ac:dyDescent="0.35">
      <c r="A3647" s="4">
        <v>45577</v>
      </c>
      <c r="B3647" s="5">
        <v>0.12482638888888889</v>
      </c>
      <c r="C3647">
        <v>74.8</v>
      </c>
      <c r="D3647">
        <v>72.3</v>
      </c>
      <c r="E3647">
        <v>76.8</v>
      </c>
      <c r="F3647">
        <v>74.2</v>
      </c>
      <c r="G3647">
        <v>0</v>
      </c>
      <c r="H3647">
        <v>0</v>
      </c>
      <c r="I3647">
        <v>0</v>
      </c>
      <c r="J3647">
        <v>0</v>
      </c>
      <c r="K3647">
        <v>62.9</v>
      </c>
      <c r="L3647">
        <v>62.5</v>
      </c>
      <c r="M3647">
        <v>74.41</v>
      </c>
      <c r="N3647">
        <v>12</v>
      </c>
      <c r="O3647">
        <v>4</v>
      </c>
      <c r="P3647">
        <f>MOD(DAY(datos_siembra[[#This Row],[Date]]),7)</f>
        <v>5</v>
      </c>
      <c r="Q3647" t="str">
        <f>CHOOSE(WEEKDAY(datos_siembra[[#This Row],[Date]],2),"L","M","X","J","V","S","D")</f>
        <v>S</v>
      </c>
      <c r="R3647">
        <f>WEEKNUM(datos_siembra[[#This Row],[Date]],2)-WEEKNUM(DATE(YEAR(datos_siembra[[#This Row],[Date]]),MONTH(datos_siembra[[#This Row],[Date]]),1))+1</f>
        <v>2</v>
      </c>
      <c r="S3647">
        <f>MONTH(datos_siembra[[#This Row],[Date]])</f>
        <v>10</v>
      </c>
      <c r="T3647" t="str" cm="1">
        <f t="array" ref="T3647">_xlfn.IFS(AND(N3647&lt;= 22, S3647=9), "SOWING",AND(N3647&lt;= 28, S3647=9), "COVERAGE",AND(N3647&lt;= 30, S3647=9), "FLUSH",AND(N3647&lt;= 11, S3647=10), "FLUSH",AND(N3647&lt;= 21, S3647=10), "PRODUCTION")</f>
        <v>PRODUCTION</v>
      </c>
      <c r="U3647">
        <f>HOUR(datos_siembra[[#This Row],[Hour]])</f>
        <v>2</v>
      </c>
      <c r="V3647" cm="1">
        <f t="array" ref="V3647">_xlfn.IFS(AND(N3647&lt;= 22, S3647=9), N3647-7,AND(N3647&lt;= 28, S3647=9), N3647-25,AND(N3647&lt;= 30, S3647=9), N3647-28,AND(N3647&lt;= 11, S3647=10), N3647+2,AND(N3647&lt;= 21, S3647=10), N3647-11)</f>
        <v>1</v>
      </c>
    </row>
    <row r="3648" spans="1:22" x14ac:dyDescent="0.35">
      <c r="A3648" s="4">
        <v>45577</v>
      </c>
      <c r="B3648" s="5">
        <v>0.13177083333333334</v>
      </c>
      <c r="C3648">
        <v>74.8</v>
      </c>
      <c r="D3648">
        <v>72.3</v>
      </c>
      <c r="E3648">
        <v>76.900000000000006</v>
      </c>
      <c r="F3648">
        <v>74.3</v>
      </c>
      <c r="G3648">
        <v>0</v>
      </c>
      <c r="H3648">
        <v>0</v>
      </c>
      <c r="I3648">
        <v>0</v>
      </c>
      <c r="J3648">
        <v>0</v>
      </c>
      <c r="K3648">
        <v>63</v>
      </c>
      <c r="L3648">
        <v>62.5</v>
      </c>
      <c r="M3648">
        <v>74.58</v>
      </c>
      <c r="N3648">
        <v>12</v>
      </c>
      <c r="O3648">
        <v>4</v>
      </c>
      <c r="P3648">
        <f>MOD(DAY(datos_siembra[[#This Row],[Date]]),7)</f>
        <v>5</v>
      </c>
      <c r="Q3648" t="str">
        <f>CHOOSE(WEEKDAY(datos_siembra[[#This Row],[Date]],2),"L","M","X","J","V","S","D")</f>
        <v>S</v>
      </c>
      <c r="R3648">
        <f>WEEKNUM(datos_siembra[[#This Row],[Date]],2)-WEEKNUM(DATE(YEAR(datos_siembra[[#This Row],[Date]]),MONTH(datos_siembra[[#This Row],[Date]]),1))+1</f>
        <v>2</v>
      </c>
      <c r="S3648">
        <f>MONTH(datos_siembra[[#This Row],[Date]])</f>
        <v>10</v>
      </c>
      <c r="T3648" t="str" cm="1">
        <f t="array" ref="T3648">_xlfn.IFS(AND(N3648&lt;= 22, S3648=9), "SOWING",AND(N3648&lt;= 28, S3648=9), "COVERAGE",AND(N3648&lt;= 30, S3648=9), "FLUSH",AND(N3648&lt;= 11, S3648=10), "FLUSH",AND(N3648&lt;= 21, S3648=10), "PRODUCTION")</f>
        <v>PRODUCTION</v>
      </c>
      <c r="U3648">
        <f>HOUR(datos_siembra[[#This Row],[Hour]])</f>
        <v>3</v>
      </c>
      <c r="V3648" cm="1">
        <f t="array" ref="V3648">_xlfn.IFS(AND(N3648&lt;= 22, S3648=9), N3648-7,AND(N3648&lt;= 28, S3648=9), N3648-25,AND(N3648&lt;= 30, S3648=9), N3648-28,AND(N3648&lt;= 11, S3648=10), N3648+2,AND(N3648&lt;= 21, S3648=10), N3648-11)</f>
        <v>1</v>
      </c>
    </row>
    <row r="3649" spans="1:22" x14ac:dyDescent="0.35">
      <c r="A3649" s="4">
        <v>45577</v>
      </c>
      <c r="B3649" s="5">
        <v>0.13872685185185185</v>
      </c>
      <c r="C3649">
        <v>74.8</v>
      </c>
      <c r="D3649">
        <v>72.3</v>
      </c>
      <c r="E3649">
        <v>76.8</v>
      </c>
      <c r="F3649">
        <v>74.2</v>
      </c>
      <c r="G3649">
        <v>0</v>
      </c>
      <c r="H3649">
        <v>0</v>
      </c>
      <c r="I3649">
        <v>0</v>
      </c>
      <c r="J3649">
        <v>0</v>
      </c>
      <c r="K3649">
        <v>63.2</v>
      </c>
      <c r="L3649">
        <v>62.4</v>
      </c>
      <c r="M3649">
        <v>74.47</v>
      </c>
      <c r="N3649">
        <v>12</v>
      </c>
      <c r="O3649">
        <v>4</v>
      </c>
      <c r="P3649">
        <f>MOD(DAY(datos_siembra[[#This Row],[Date]]),7)</f>
        <v>5</v>
      </c>
      <c r="Q3649" t="str">
        <f>CHOOSE(WEEKDAY(datos_siembra[[#This Row],[Date]],2),"L","M","X","J","V","S","D")</f>
        <v>S</v>
      </c>
      <c r="R3649">
        <f>WEEKNUM(datos_siembra[[#This Row],[Date]],2)-WEEKNUM(DATE(YEAR(datos_siembra[[#This Row],[Date]]),MONTH(datos_siembra[[#This Row],[Date]]),1))+1</f>
        <v>2</v>
      </c>
      <c r="S3649">
        <f>MONTH(datos_siembra[[#This Row],[Date]])</f>
        <v>10</v>
      </c>
      <c r="T3649" t="str" cm="1">
        <f t="array" ref="T3649">_xlfn.IFS(AND(N3649&lt;= 22, S3649=9), "SOWING",AND(N3649&lt;= 28, S3649=9), "COVERAGE",AND(N3649&lt;= 30, S3649=9), "FLUSH",AND(N3649&lt;= 11, S3649=10), "FLUSH",AND(N3649&lt;= 21, S3649=10), "PRODUCTION")</f>
        <v>PRODUCTION</v>
      </c>
      <c r="U3649">
        <f>HOUR(datos_siembra[[#This Row],[Hour]])</f>
        <v>3</v>
      </c>
      <c r="V3649" cm="1">
        <f t="array" ref="V3649">_xlfn.IFS(AND(N3649&lt;= 22, S3649=9), N3649-7,AND(N3649&lt;= 28, S3649=9), N3649-25,AND(N3649&lt;= 30, S3649=9), N3649-28,AND(N3649&lt;= 11, S3649=10), N3649+2,AND(N3649&lt;= 21, S3649=10), N3649-11)</f>
        <v>1</v>
      </c>
    </row>
    <row r="3650" spans="1:22" x14ac:dyDescent="0.35">
      <c r="A3650" s="4">
        <v>45577</v>
      </c>
      <c r="B3650" s="5">
        <v>0.1456712962962963</v>
      </c>
      <c r="C3650">
        <v>75.2</v>
      </c>
      <c r="D3650">
        <v>72.3</v>
      </c>
      <c r="E3650">
        <v>76.7</v>
      </c>
      <c r="F3650">
        <v>74.3</v>
      </c>
      <c r="G3650">
        <v>0</v>
      </c>
      <c r="H3650">
        <v>0</v>
      </c>
      <c r="I3650">
        <v>0</v>
      </c>
      <c r="J3650">
        <v>0</v>
      </c>
      <c r="K3650">
        <v>63.3</v>
      </c>
      <c r="L3650">
        <v>62.7</v>
      </c>
      <c r="M3650">
        <v>74.64</v>
      </c>
      <c r="N3650">
        <v>12</v>
      </c>
      <c r="O3650">
        <v>4</v>
      </c>
      <c r="P3650">
        <f>MOD(DAY(datos_siembra[[#This Row],[Date]]),7)</f>
        <v>5</v>
      </c>
      <c r="Q3650" t="str">
        <f>CHOOSE(WEEKDAY(datos_siembra[[#This Row],[Date]],2),"L","M","X","J","V","S","D")</f>
        <v>S</v>
      </c>
      <c r="R3650">
        <f>WEEKNUM(datos_siembra[[#This Row],[Date]],2)-WEEKNUM(DATE(YEAR(datos_siembra[[#This Row],[Date]]),MONTH(datos_siembra[[#This Row],[Date]]),1))+1</f>
        <v>2</v>
      </c>
      <c r="S3650">
        <f>MONTH(datos_siembra[[#This Row],[Date]])</f>
        <v>10</v>
      </c>
      <c r="T3650" t="str" cm="1">
        <f t="array" ref="T3650">_xlfn.IFS(AND(N3650&lt;= 22, S3650=9), "SOWING",AND(N3650&lt;= 28, S3650=9), "COVERAGE",AND(N3650&lt;= 30, S3650=9), "FLUSH",AND(N3650&lt;= 11, S3650=10), "FLUSH",AND(N3650&lt;= 21, S3650=10), "PRODUCTION")</f>
        <v>PRODUCTION</v>
      </c>
      <c r="U3650">
        <f>HOUR(datos_siembra[[#This Row],[Hour]])</f>
        <v>3</v>
      </c>
      <c r="V3650" cm="1">
        <f t="array" ref="V3650">_xlfn.IFS(AND(N3650&lt;= 22, S3650=9), N3650-7,AND(N3650&lt;= 28, S3650=9), N3650-25,AND(N3650&lt;= 30, S3650=9), N3650-28,AND(N3650&lt;= 11, S3650=10), N3650+2,AND(N3650&lt;= 21, S3650=10), N3650-11)</f>
        <v>1</v>
      </c>
    </row>
    <row r="3651" spans="1:22" x14ac:dyDescent="0.35">
      <c r="A3651" s="4">
        <v>45577</v>
      </c>
      <c r="B3651" s="5">
        <v>0.15261574074074075</v>
      </c>
      <c r="C3651">
        <v>75.099999999999994</v>
      </c>
      <c r="D3651">
        <v>72.400000000000006</v>
      </c>
      <c r="E3651">
        <v>76.7</v>
      </c>
      <c r="F3651">
        <v>74.3</v>
      </c>
      <c r="G3651">
        <v>0</v>
      </c>
      <c r="H3651">
        <v>0</v>
      </c>
      <c r="I3651">
        <v>0</v>
      </c>
      <c r="J3651">
        <v>0</v>
      </c>
      <c r="K3651">
        <v>63.2</v>
      </c>
      <c r="L3651">
        <v>62.5</v>
      </c>
      <c r="M3651">
        <v>74.64</v>
      </c>
      <c r="N3651">
        <v>12</v>
      </c>
      <c r="O3651">
        <v>4</v>
      </c>
      <c r="P3651">
        <f>MOD(DAY(datos_siembra[[#This Row],[Date]]),7)</f>
        <v>5</v>
      </c>
      <c r="Q3651" t="str">
        <f>CHOOSE(WEEKDAY(datos_siembra[[#This Row],[Date]],2),"L","M","X","J","V","S","D")</f>
        <v>S</v>
      </c>
      <c r="R3651">
        <f>WEEKNUM(datos_siembra[[#This Row],[Date]],2)-WEEKNUM(DATE(YEAR(datos_siembra[[#This Row],[Date]]),MONTH(datos_siembra[[#This Row],[Date]]),1))+1</f>
        <v>2</v>
      </c>
      <c r="S3651">
        <f>MONTH(datos_siembra[[#This Row],[Date]])</f>
        <v>10</v>
      </c>
      <c r="T3651" t="str" cm="1">
        <f t="array" ref="T3651">_xlfn.IFS(AND(N3651&lt;= 22, S3651=9), "SOWING",AND(N3651&lt;= 28, S3651=9), "COVERAGE",AND(N3651&lt;= 30, S3651=9), "FLUSH",AND(N3651&lt;= 11, S3651=10), "FLUSH",AND(N3651&lt;= 21, S3651=10), "PRODUCTION")</f>
        <v>PRODUCTION</v>
      </c>
      <c r="U3651">
        <f>HOUR(datos_siembra[[#This Row],[Hour]])</f>
        <v>3</v>
      </c>
      <c r="V3651" cm="1">
        <f t="array" ref="V3651">_xlfn.IFS(AND(N3651&lt;= 22, S3651=9), N3651-7,AND(N3651&lt;= 28, S3651=9), N3651-25,AND(N3651&lt;= 30, S3651=9), N3651-28,AND(N3651&lt;= 11, S3651=10), N3651+2,AND(N3651&lt;= 21, S3651=10), N3651-11)</f>
        <v>1</v>
      </c>
    </row>
    <row r="3652" spans="1:22" x14ac:dyDescent="0.35">
      <c r="A3652" s="4">
        <v>45577</v>
      </c>
      <c r="B3652" s="5">
        <v>0.15956018518518519</v>
      </c>
      <c r="C3652">
        <v>75</v>
      </c>
      <c r="D3652">
        <v>72.3</v>
      </c>
      <c r="E3652">
        <v>76.7</v>
      </c>
      <c r="F3652">
        <v>74.2</v>
      </c>
      <c r="G3652">
        <v>0</v>
      </c>
      <c r="H3652">
        <v>0</v>
      </c>
      <c r="I3652">
        <v>0</v>
      </c>
      <c r="J3652">
        <v>0</v>
      </c>
      <c r="K3652">
        <v>63</v>
      </c>
      <c r="L3652">
        <v>62.5</v>
      </c>
      <c r="M3652">
        <v>74.58</v>
      </c>
      <c r="N3652">
        <v>12</v>
      </c>
      <c r="O3652">
        <v>4</v>
      </c>
      <c r="P3652">
        <f>MOD(DAY(datos_siembra[[#This Row],[Date]]),7)</f>
        <v>5</v>
      </c>
      <c r="Q3652" t="str">
        <f>CHOOSE(WEEKDAY(datos_siembra[[#This Row],[Date]],2),"L","M","X","J","V","S","D")</f>
        <v>S</v>
      </c>
      <c r="R3652">
        <f>WEEKNUM(datos_siembra[[#This Row],[Date]],2)-WEEKNUM(DATE(YEAR(datos_siembra[[#This Row],[Date]]),MONTH(datos_siembra[[#This Row],[Date]]),1))+1</f>
        <v>2</v>
      </c>
      <c r="S3652">
        <f>MONTH(datos_siembra[[#This Row],[Date]])</f>
        <v>10</v>
      </c>
      <c r="T3652" t="str" cm="1">
        <f t="array" ref="T3652">_xlfn.IFS(AND(N3652&lt;= 22, S3652=9), "SOWING",AND(N3652&lt;= 28, S3652=9), "COVERAGE",AND(N3652&lt;= 30, S3652=9), "FLUSH",AND(N3652&lt;= 11, S3652=10), "FLUSH",AND(N3652&lt;= 21, S3652=10), "PRODUCTION")</f>
        <v>PRODUCTION</v>
      </c>
      <c r="U3652">
        <f>HOUR(datos_siembra[[#This Row],[Hour]])</f>
        <v>3</v>
      </c>
      <c r="V3652" cm="1">
        <f t="array" ref="V3652">_xlfn.IFS(AND(N3652&lt;= 22, S3652=9), N3652-7,AND(N3652&lt;= 28, S3652=9), N3652-25,AND(N3652&lt;= 30, S3652=9), N3652-28,AND(N3652&lt;= 11, S3652=10), N3652+2,AND(N3652&lt;= 21, S3652=10), N3652-11)</f>
        <v>1</v>
      </c>
    </row>
    <row r="3653" spans="1:22" x14ac:dyDescent="0.35">
      <c r="A3653" s="4">
        <v>45577</v>
      </c>
      <c r="B3653" s="5">
        <v>0.16651620370370371</v>
      </c>
      <c r="C3653">
        <v>75.2</v>
      </c>
      <c r="D3653">
        <v>72.400000000000006</v>
      </c>
      <c r="E3653">
        <v>76.7</v>
      </c>
      <c r="F3653">
        <v>74.099999999999994</v>
      </c>
      <c r="G3653">
        <v>0</v>
      </c>
      <c r="H3653">
        <v>0</v>
      </c>
      <c r="I3653">
        <v>0</v>
      </c>
      <c r="J3653">
        <v>0</v>
      </c>
      <c r="K3653">
        <v>63</v>
      </c>
      <c r="L3653">
        <v>62.3</v>
      </c>
      <c r="M3653">
        <v>74.55</v>
      </c>
      <c r="N3653">
        <v>12</v>
      </c>
      <c r="O3653">
        <v>4</v>
      </c>
      <c r="P3653">
        <f>MOD(DAY(datos_siembra[[#This Row],[Date]]),7)</f>
        <v>5</v>
      </c>
      <c r="Q3653" t="str">
        <f>CHOOSE(WEEKDAY(datos_siembra[[#This Row],[Date]],2),"L","M","X","J","V","S","D")</f>
        <v>S</v>
      </c>
      <c r="R3653">
        <f>WEEKNUM(datos_siembra[[#This Row],[Date]],2)-WEEKNUM(DATE(YEAR(datos_siembra[[#This Row],[Date]]),MONTH(datos_siembra[[#This Row],[Date]]),1))+1</f>
        <v>2</v>
      </c>
      <c r="S3653">
        <f>MONTH(datos_siembra[[#This Row],[Date]])</f>
        <v>10</v>
      </c>
      <c r="T3653" t="str" cm="1">
        <f t="array" ref="T3653">_xlfn.IFS(AND(N3653&lt;= 22, S3653=9), "SOWING",AND(N3653&lt;= 28, S3653=9), "COVERAGE",AND(N3653&lt;= 30, S3653=9), "FLUSH",AND(N3653&lt;= 11, S3653=10), "FLUSH",AND(N3653&lt;= 21, S3653=10), "PRODUCTION")</f>
        <v>PRODUCTION</v>
      </c>
      <c r="U3653">
        <f>HOUR(datos_siembra[[#This Row],[Hour]])</f>
        <v>3</v>
      </c>
      <c r="V3653" cm="1">
        <f t="array" ref="V3653">_xlfn.IFS(AND(N3653&lt;= 22, S3653=9), N3653-7,AND(N3653&lt;= 28, S3653=9), N3653-25,AND(N3653&lt;= 30, S3653=9), N3653-28,AND(N3653&lt;= 11, S3653=10), N3653+2,AND(N3653&lt;= 21, S3653=10), N3653-11)</f>
        <v>1</v>
      </c>
    </row>
    <row r="3654" spans="1:22" x14ac:dyDescent="0.35">
      <c r="A3654" s="4">
        <v>45577</v>
      </c>
      <c r="B3654" s="5">
        <v>0.17346064814814816</v>
      </c>
      <c r="C3654">
        <v>75.2</v>
      </c>
      <c r="D3654">
        <v>72.400000000000006</v>
      </c>
      <c r="E3654">
        <v>76.7</v>
      </c>
      <c r="F3654">
        <v>74.2</v>
      </c>
      <c r="G3654">
        <v>0</v>
      </c>
      <c r="H3654">
        <v>0</v>
      </c>
      <c r="I3654">
        <v>0</v>
      </c>
      <c r="J3654">
        <v>0</v>
      </c>
      <c r="K3654">
        <v>63</v>
      </c>
      <c r="L3654">
        <v>62.2</v>
      </c>
      <c r="M3654">
        <v>74.61</v>
      </c>
      <c r="N3654">
        <v>12</v>
      </c>
      <c r="O3654">
        <v>4</v>
      </c>
      <c r="P3654">
        <f>MOD(DAY(datos_siembra[[#This Row],[Date]]),7)</f>
        <v>5</v>
      </c>
      <c r="Q3654" t="str">
        <f>CHOOSE(WEEKDAY(datos_siembra[[#This Row],[Date]],2),"L","M","X","J","V","S","D")</f>
        <v>S</v>
      </c>
      <c r="R3654">
        <f>WEEKNUM(datos_siembra[[#This Row],[Date]],2)-WEEKNUM(DATE(YEAR(datos_siembra[[#This Row],[Date]]),MONTH(datos_siembra[[#This Row],[Date]]),1))+1</f>
        <v>2</v>
      </c>
      <c r="S3654">
        <f>MONTH(datos_siembra[[#This Row],[Date]])</f>
        <v>10</v>
      </c>
      <c r="T3654" t="str" cm="1">
        <f t="array" ref="T3654">_xlfn.IFS(AND(N3654&lt;= 22, S3654=9), "SOWING",AND(N3654&lt;= 28, S3654=9), "COVERAGE",AND(N3654&lt;= 30, S3654=9), "FLUSH",AND(N3654&lt;= 11, S3654=10), "FLUSH",AND(N3654&lt;= 21, S3654=10), "PRODUCTION")</f>
        <v>PRODUCTION</v>
      </c>
      <c r="U3654">
        <f>HOUR(datos_siembra[[#This Row],[Hour]])</f>
        <v>4</v>
      </c>
      <c r="V3654" cm="1">
        <f t="array" ref="V3654">_xlfn.IFS(AND(N3654&lt;= 22, S3654=9), N3654-7,AND(N3654&lt;= 28, S3654=9), N3654-25,AND(N3654&lt;= 30, S3654=9), N3654-28,AND(N3654&lt;= 11, S3654=10), N3654+2,AND(N3654&lt;= 21, S3654=10), N3654-11)</f>
        <v>1</v>
      </c>
    </row>
    <row r="3655" spans="1:22" x14ac:dyDescent="0.35">
      <c r="A3655" s="4">
        <v>45577</v>
      </c>
      <c r="B3655" s="5">
        <v>0.1804050925925926</v>
      </c>
      <c r="C3655">
        <v>75.2</v>
      </c>
      <c r="D3655">
        <v>72.3</v>
      </c>
      <c r="E3655">
        <v>76.7</v>
      </c>
      <c r="F3655">
        <v>74.2</v>
      </c>
      <c r="G3655">
        <v>0</v>
      </c>
      <c r="H3655">
        <v>0</v>
      </c>
      <c r="I3655">
        <v>0</v>
      </c>
      <c r="J3655">
        <v>0</v>
      </c>
      <c r="K3655">
        <v>63</v>
      </c>
      <c r="L3655">
        <v>62.2</v>
      </c>
      <c r="M3655">
        <v>74.64</v>
      </c>
      <c r="N3655">
        <v>12</v>
      </c>
      <c r="O3655">
        <v>4</v>
      </c>
      <c r="P3655">
        <f>MOD(DAY(datos_siembra[[#This Row],[Date]]),7)</f>
        <v>5</v>
      </c>
      <c r="Q3655" t="str">
        <f>CHOOSE(WEEKDAY(datos_siembra[[#This Row],[Date]],2),"L","M","X","J","V","S","D")</f>
        <v>S</v>
      </c>
      <c r="R3655">
        <f>WEEKNUM(datos_siembra[[#This Row],[Date]],2)-WEEKNUM(DATE(YEAR(datos_siembra[[#This Row],[Date]]),MONTH(datos_siembra[[#This Row],[Date]]),1))+1</f>
        <v>2</v>
      </c>
      <c r="S3655">
        <f>MONTH(datos_siembra[[#This Row],[Date]])</f>
        <v>10</v>
      </c>
      <c r="T3655" t="str" cm="1">
        <f t="array" ref="T3655">_xlfn.IFS(AND(N3655&lt;= 22, S3655=9), "SOWING",AND(N3655&lt;= 28, S3655=9), "COVERAGE",AND(N3655&lt;= 30, S3655=9), "FLUSH",AND(N3655&lt;= 11, S3655=10), "FLUSH",AND(N3655&lt;= 21, S3655=10), "PRODUCTION")</f>
        <v>PRODUCTION</v>
      </c>
      <c r="U3655">
        <f>HOUR(datos_siembra[[#This Row],[Hour]])</f>
        <v>4</v>
      </c>
      <c r="V3655" cm="1">
        <f t="array" ref="V3655">_xlfn.IFS(AND(N3655&lt;= 22, S3655=9), N3655-7,AND(N3655&lt;= 28, S3655=9), N3655-25,AND(N3655&lt;= 30, S3655=9), N3655-28,AND(N3655&lt;= 11, S3655=10), N3655+2,AND(N3655&lt;= 21, S3655=10), N3655-11)</f>
        <v>1</v>
      </c>
    </row>
    <row r="3656" spans="1:22" x14ac:dyDescent="0.35">
      <c r="A3656" s="4">
        <v>45577</v>
      </c>
      <c r="B3656" s="5">
        <v>0.18736111111111112</v>
      </c>
      <c r="C3656">
        <v>75.2</v>
      </c>
      <c r="D3656">
        <v>72.400000000000006</v>
      </c>
      <c r="E3656">
        <v>76.3</v>
      </c>
      <c r="F3656">
        <v>74.2</v>
      </c>
      <c r="G3656">
        <v>0</v>
      </c>
      <c r="H3656">
        <v>0</v>
      </c>
      <c r="I3656">
        <v>0</v>
      </c>
      <c r="J3656">
        <v>0</v>
      </c>
      <c r="K3656">
        <v>63.3</v>
      </c>
      <c r="L3656">
        <v>62.6</v>
      </c>
      <c r="M3656">
        <v>74.47</v>
      </c>
      <c r="N3656">
        <v>12</v>
      </c>
      <c r="O3656">
        <v>4</v>
      </c>
      <c r="P3656">
        <f>MOD(DAY(datos_siembra[[#This Row],[Date]]),7)</f>
        <v>5</v>
      </c>
      <c r="Q3656" t="str">
        <f>CHOOSE(WEEKDAY(datos_siembra[[#This Row],[Date]],2),"L","M","X","J","V","S","D")</f>
        <v>S</v>
      </c>
      <c r="R3656">
        <f>WEEKNUM(datos_siembra[[#This Row],[Date]],2)-WEEKNUM(DATE(YEAR(datos_siembra[[#This Row],[Date]]),MONTH(datos_siembra[[#This Row],[Date]]),1))+1</f>
        <v>2</v>
      </c>
      <c r="S3656">
        <f>MONTH(datos_siembra[[#This Row],[Date]])</f>
        <v>10</v>
      </c>
      <c r="T3656" t="str" cm="1">
        <f t="array" ref="T3656">_xlfn.IFS(AND(N3656&lt;= 22, S3656=9), "SOWING",AND(N3656&lt;= 28, S3656=9), "COVERAGE",AND(N3656&lt;= 30, S3656=9), "FLUSH",AND(N3656&lt;= 11, S3656=10), "FLUSH",AND(N3656&lt;= 21, S3656=10), "PRODUCTION")</f>
        <v>PRODUCTION</v>
      </c>
      <c r="U3656">
        <f>HOUR(datos_siembra[[#This Row],[Hour]])</f>
        <v>4</v>
      </c>
      <c r="V3656" cm="1">
        <f t="array" ref="V3656">_xlfn.IFS(AND(N3656&lt;= 22, S3656=9), N3656-7,AND(N3656&lt;= 28, S3656=9), N3656-25,AND(N3656&lt;= 30, S3656=9), N3656-28,AND(N3656&lt;= 11, S3656=10), N3656+2,AND(N3656&lt;= 21, S3656=10), N3656-11)</f>
        <v>1</v>
      </c>
    </row>
    <row r="3657" spans="1:22" x14ac:dyDescent="0.35">
      <c r="A3657" s="4">
        <v>45577</v>
      </c>
      <c r="B3657" s="5">
        <v>0.19430555555555556</v>
      </c>
      <c r="C3657">
        <v>75.2</v>
      </c>
      <c r="D3657">
        <v>72.400000000000006</v>
      </c>
      <c r="E3657">
        <v>76.2</v>
      </c>
      <c r="F3657">
        <v>74.3</v>
      </c>
      <c r="G3657">
        <v>0</v>
      </c>
      <c r="H3657">
        <v>0</v>
      </c>
      <c r="I3657">
        <v>0</v>
      </c>
      <c r="J3657">
        <v>0</v>
      </c>
      <c r="K3657">
        <v>63.3</v>
      </c>
      <c r="L3657">
        <v>62.3</v>
      </c>
      <c r="M3657">
        <v>74.52</v>
      </c>
      <c r="N3657">
        <v>12</v>
      </c>
      <c r="O3657">
        <v>4</v>
      </c>
      <c r="P3657">
        <f>MOD(DAY(datos_siembra[[#This Row],[Date]]),7)</f>
        <v>5</v>
      </c>
      <c r="Q3657" t="str">
        <f>CHOOSE(WEEKDAY(datos_siembra[[#This Row],[Date]],2),"L","M","X","J","V","S","D")</f>
        <v>S</v>
      </c>
      <c r="R3657">
        <f>WEEKNUM(datos_siembra[[#This Row],[Date]],2)-WEEKNUM(DATE(YEAR(datos_siembra[[#This Row],[Date]]),MONTH(datos_siembra[[#This Row],[Date]]),1))+1</f>
        <v>2</v>
      </c>
      <c r="S3657">
        <f>MONTH(datos_siembra[[#This Row],[Date]])</f>
        <v>10</v>
      </c>
      <c r="T3657" t="str" cm="1">
        <f t="array" ref="T3657">_xlfn.IFS(AND(N3657&lt;= 22, S3657=9), "SOWING",AND(N3657&lt;= 28, S3657=9), "COVERAGE",AND(N3657&lt;= 30, S3657=9), "FLUSH",AND(N3657&lt;= 11, S3657=10), "FLUSH",AND(N3657&lt;= 21, S3657=10), "PRODUCTION")</f>
        <v>PRODUCTION</v>
      </c>
      <c r="U3657">
        <f>HOUR(datos_siembra[[#This Row],[Hour]])</f>
        <v>4</v>
      </c>
      <c r="V3657" cm="1">
        <f t="array" ref="V3657">_xlfn.IFS(AND(N3657&lt;= 22, S3657=9), N3657-7,AND(N3657&lt;= 28, S3657=9), N3657-25,AND(N3657&lt;= 30, S3657=9), N3657-28,AND(N3657&lt;= 11, S3657=10), N3657+2,AND(N3657&lt;= 21, S3657=10), N3657-11)</f>
        <v>1</v>
      </c>
    </row>
    <row r="3658" spans="1:22" x14ac:dyDescent="0.35">
      <c r="A3658" s="4">
        <v>45577</v>
      </c>
      <c r="B3658" s="5">
        <v>0.20125000000000001</v>
      </c>
      <c r="C3658">
        <v>75.2</v>
      </c>
      <c r="D3658">
        <v>72.400000000000006</v>
      </c>
      <c r="E3658">
        <v>75.599999999999994</v>
      </c>
      <c r="F3658">
        <v>74.2</v>
      </c>
      <c r="G3658">
        <v>0</v>
      </c>
      <c r="H3658">
        <v>0</v>
      </c>
      <c r="I3658">
        <v>0</v>
      </c>
      <c r="J3658">
        <v>0</v>
      </c>
      <c r="K3658">
        <v>63</v>
      </c>
      <c r="L3658">
        <v>62.3</v>
      </c>
      <c r="M3658">
        <v>74.36</v>
      </c>
      <c r="N3658">
        <v>12</v>
      </c>
      <c r="O3658">
        <v>4</v>
      </c>
      <c r="P3658">
        <f>MOD(DAY(datos_siembra[[#This Row],[Date]]),7)</f>
        <v>5</v>
      </c>
      <c r="Q3658" t="str">
        <f>CHOOSE(WEEKDAY(datos_siembra[[#This Row],[Date]],2),"L","M","X","J","V","S","D")</f>
        <v>S</v>
      </c>
      <c r="R3658">
        <f>WEEKNUM(datos_siembra[[#This Row],[Date]],2)-WEEKNUM(DATE(YEAR(datos_siembra[[#This Row],[Date]]),MONTH(datos_siembra[[#This Row],[Date]]),1))+1</f>
        <v>2</v>
      </c>
      <c r="S3658">
        <f>MONTH(datos_siembra[[#This Row],[Date]])</f>
        <v>10</v>
      </c>
      <c r="T3658" t="str" cm="1">
        <f t="array" ref="T3658">_xlfn.IFS(AND(N3658&lt;= 22, S3658=9), "SOWING",AND(N3658&lt;= 28, S3658=9), "COVERAGE",AND(N3658&lt;= 30, S3658=9), "FLUSH",AND(N3658&lt;= 11, S3658=10), "FLUSH",AND(N3658&lt;= 21, S3658=10), "PRODUCTION")</f>
        <v>PRODUCTION</v>
      </c>
      <c r="U3658">
        <f>HOUR(datos_siembra[[#This Row],[Hour]])</f>
        <v>4</v>
      </c>
      <c r="V3658" cm="1">
        <f t="array" ref="V3658">_xlfn.IFS(AND(N3658&lt;= 22, S3658=9), N3658-7,AND(N3658&lt;= 28, S3658=9), N3658-25,AND(N3658&lt;= 30, S3658=9), N3658-28,AND(N3658&lt;= 11, S3658=10), N3658+2,AND(N3658&lt;= 21, S3658=10), N3658-11)</f>
        <v>1</v>
      </c>
    </row>
    <row r="3659" spans="1:22" x14ac:dyDescent="0.35">
      <c r="A3659" s="4">
        <v>45577</v>
      </c>
      <c r="B3659" s="5">
        <v>0.20819444444444443</v>
      </c>
      <c r="C3659">
        <v>75.2</v>
      </c>
      <c r="D3659">
        <v>72.5</v>
      </c>
      <c r="E3659">
        <v>75.5</v>
      </c>
      <c r="F3659">
        <v>74.099999999999994</v>
      </c>
      <c r="G3659">
        <v>0</v>
      </c>
      <c r="H3659">
        <v>0</v>
      </c>
      <c r="I3659">
        <v>0</v>
      </c>
      <c r="J3659">
        <v>0</v>
      </c>
      <c r="K3659">
        <v>63.2</v>
      </c>
      <c r="L3659">
        <v>62.3</v>
      </c>
      <c r="M3659">
        <v>74.38</v>
      </c>
      <c r="N3659">
        <v>12</v>
      </c>
      <c r="O3659">
        <v>4</v>
      </c>
      <c r="P3659">
        <f>MOD(DAY(datos_siembra[[#This Row],[Date]]),7)</f>
        <v>5</v>
      </c>
      <c r="Q3659" t="str">
        <f>CHOOSE(WEEKDAY(datos_siembra[[#This Row],[Date]],2),"L","M","X","J","V","S","D")</f>
        <v>S</v>
      </c>
      <c r="R3659">
        <f>WEEKNUM(datos_siembra[[#This Row],[Date]],2)-WEEKNUM(DATE(YEAR(datos_siembra[[#This Row],[Date]]),MONTH(datos_siembra[[#This Row],[Date]]),1))+1</f>
        <v>2</v>
      </c>
      <c r="S3659">
        <f>MONTH(datos_siembra[[#This Row],[Date]])</f>
        <v>10</v>
      </c>
      <c r="T3659" t="str" cm="1">
        <f t="array" ref="T3659">_xlfn.IFS(AND(N3659&lt;= 22, S3659=9), "SOWING",AND(N3659&lt;= 28, S3659=9), "COVERAGE",AND(N3659&lt;= 30, S3659=9), "FLUSH",AND(N3659&lt;= 11, S3659=10), "FLUSH",AND(N3659&lt;= 21, S3659=10), "PRODUCTION")</f>
        <v>PRODUCTION</v>
      </c>
      <c r="U3659">
        <f>HOUR(datos_siembra[[#This Row],[Hour]])</f>
        <v>4</v>
      </c>
      <c r="V3659" cm="1">
        <f t="array" ref="V3659">_xlfn.IFS(AND(N3659&lt;= 22, S3659=9), N3659-7,AND(N3659&lt;= 28, S3659=9), N3659-25,AND(N3659&lt;= 30, S3659=9), N3659-28,AND(N3659&lt;= 11, S3659=10), N3659+2,AND(N3659&lt;= 21, S3659=10), N3659-11)</f>
        <v>1</v>
      </c>
    </row>
    <row r="3660" spans="1:22" x14ac:dyDescent="0.35">
      <c r="A3660" s="4">
        <v>45577</v>
      </c>
      <c r="B3660" s="5">
        <v>0.21515046296296297</v>
      </c>
      <c r="C3660">
        <v>75.2</v>
      </c>
      <c r="D3660">
        <v>72.2</v>
      </c>
      <c r="E3660">
        <v>75.400000000000006</v>
      </c>
      <c r="F3660">
        <v>74.3</v>
      </c>
      <c r="G3660">
        <v>0</v>
      </c>
      <c r="H3660">
        <v>0</v>
      </c>
      <c r="I3660">
        <v>0</v>
      </c>
      <c r="J3660">
        <v>0</v>
      </c>
      <c r="K3660">
        <v>63.2</v>
      </c>
      <c r="L3660">
        <v>62.3</v>
      </c>
      <c r="M3660">
        <v>74.38</v>
      </c>
      <c r="N3660">
        <v>12</v>
      </c>
      <c r="O3660">
        <v>4</v>
      </c>
      <c r="P3660">
        <f>MOD(DAY(datos_siembra[[#This Row],[Date]]),7)</f>
        <v>5</v>
      </c>
      <c r="Q3660" t="str">
        <f>CHOOSE(WEEKDAY(datos_siembra[[#This Row],[Date]],2),"L","M","X","J","V","S","D")</f>
        <v>S</v>
      </c>
      <c r="R3660">
        <f>WEEKNUM(datos_siembra[[#This Row],[Date]],2)-WEEKNUM(DATE(YEAR(datos_siembra[[#This Row],[Date]]),MONTH(datos_siembra[[#This Row],[Date]]),1))+1</f>
        <v>2</v>
      </c>
      <c r="S3660">
        <f>MONTH(datos_siembra[[#This Row],[Date]])</f>
        <v>10</v>
      </c>
      <c r="T3660" t="str" cm="1">
        <f t="array" ref="T3660">_xlfn.IFS(AND(N3660&lt;= 22, S3660=9), "SOWING",AND(N3660&lt;= 28, S3660=9), "COVERAGE",AND(N3660&lt;= 30, S3660=9), "FLUSH",AND(N3660&lt;= 11, S3660=10), "FLUSH",AND(N3660&lt;= 21, S3660=10), "PRODUCTION")</f>
        <v>PRODUCTION</v>
      </c>
      <c r="U3660">
        <f>HOUR(datos_siembra[[#This Row],[Hour]])</f>
        <v>5</v>
      </c>
      <c r="V3660" cm="1">
        <f t="array" ref="V3660">_xlfn.IFS(AND(N3660&lt;= 22, S3660=9), N3660-7,AND(N3660&lt;= 28, S3660=9), N3660-25,AND(N3660&lt;= 30, S3660=9), N3660-28,AND(N3660&lt;= 11, S3660=10), N3660+2,AND(N3660&lt;= 21, S3660=10), N3660-11)</f>
        <v>1</v>
      </c>
    </row>
    <row r="3661" spans="1:22" x14ac:dyDescent="0.35">
      <c r="A3661" s="4">
        <v>45577</v>
      </c>
      <c r="B3661" s="5">
        <v>0.22209490740740739</v>
      </c>
      <c r="C3661">
        <v>75.099999999999994</v>
      </c>
      <c r="D3661">
        <v>72.3</v>
      </c>
      <c r="E3661">
        <v>75.400000000000006</v>
      </c>
      <c r="F3661">
        <v>74.400000000000006</v>
      </c>
      <c r="G3661">
        <v>0</v>
      </c>
      <c r="H3661">
        <v>0</v>
      </c>
      <c r="I3661">
        <v>0</v>
      </c>
      <c r="J3661">
        <v>0</v>
      </c>
      <c r="K3661">
        <v>63.4</v>
      </c>
      <c r="L3661">
        <v>62.4</v>
      </c>
      <c r="M3661">
        <v>74.3</v>
      </c>
      <c r="N3661">
        <v>12</v>
      </c>
      <c r="O3661">
        <v>4</v>
      </c>
      <c r="P3661">
        <f>MOD(DAY(datos_siembra[[#This Row],[Date]]),7)</f>
        <v>5</v>
      </c>
      <c r="Q3661" t="str">
        <f>CHOOSE(WEEKDAY(datos_siembra[[#This Row],[Date]],2),"L","M","X","J","V","S","D")</f>
        <v>S</v>
      </c>
      <c r="R3661">
        <f>WEEKNUM(datos_siembra[[#This Row],[Date]],2)-WEEKNUM(DATE(YEAR(datos_siembra[[#This Row],[Date]]),MONTH(datos_siembra[[#This Row],[Date]]),1))+1</f>
        <v>2</v>
      </c>
      <c r="S3661">
        <f>MONTH(datos_siembra[[#This Row],[Date]])</f>
        <v>10</v>
      </c>
      <c r="T3661" t="str" cm="1">
        <f t="array" ref="T3661">_xlfn.IFS(AND(N3661&lt;= 22, S3661=9), "SOWING",AND(N3661&lt;= 28, S3661=9), "COVERAGE",AND(N3661&lt;= 30, S3661=9), "FLUSH",AND(N3661&lt;= 11, S3661=10), "FLUSH",AND(N3661&lt;= 21, S3661=10), "PRODUCTION")</f>
        <v>PRODUCTION</v>
      </c>
      <c r="U3661">
        <f>HOUR(datos_siembra[[#This Row],[Hour]])</f>
        <v>5</v>
      </c>
      <c r="V3661" cm="1">
        <f t="array" ref="V3661">_xlfn.IFS(AND(N3661&lt;= 22, S3661=9), N3661-7,AND(N3661&lt;= 28, S3661=9), N3661-25,AND(N3661&lt;= 30, S3661=9), N3661-28,AND(N3661&lt;= 11, S3661=10), N3661+2,AND(N3661&lt;= 21, S3661=10), N3661-11)</f>
        <v>1</v>
      </c>
    </row>
    <row r="3662" spans="1:22" x14ac:dyDescent="0.35">
      <c r="A3662" s="4">
        <v>45577</v>
      </c>
      <c r="B3662" s="5">
        <v>0.22903935185185184</v>
      </c>
      <c r="C3662">
        <v>75.099999999999994</v>
      </c>
      <c r="D3662">
        <v>72.3</v>
      </c>
      <c r="E3662">
        <v>75.400000000000006</v>
      </c>
      <c r="F3662">
        <v>74.400000000000006</v>
      </c>
      <c r="G3662">
        <v>0</v>
      </c>
      <c r="H3662">
        <v>0</v>
      </c>
      <c r="I3662">
        <v>0</v>
      </c>
      <c r="J3662">
        <v>0</v>
      </c>
      <c r="K3662">
        <v>63.3</v>
      </c>
      <c r="L3662">
        <v>62.5</v>
      </c>
      <c r="M3662">
        <v>74.27</v>
      </c>
      <c r="N3662">
        <v>12</v>
      </c>
      <c r="O3662">
        <v>4</v>
      </c>
      <c r="P3662">
        <f>MOD(DAY(datos_siembra[[#This Row],[Date]]),7)</f>
        <v>5</v>
      </c>
      <c r="Q3662" t="str">
        <f>CHOOSE(WEEKDAY(datos_siembra[[#This Row],[Date]],2),"L","M","X","J","V","S","D")</f>
        <v>S</v>
      </c>
      <c r="R3662">
        <f>WEEKNUM(datos_siembra[[#This Row],[Date]],2)-WEEKNUM(DATE(YEAR(datos_siembra[[#This Row],[Date]]),MONTH(datos_siembra[[#This Row],[Date]]),1))+1</f>
        <v>2</v>
      </c>
      <c r="S3662">
        <f>MONTH(datos_siembra[[#This Row],[Date]])</f>
        <v>10</v>
      </c>
      <c r="T3662" t="str" cm="1">
        <f t="array" ref="T3662">_xlfn.IFS(AND(N3662&lt;= 22, S3662=9), "SOWING",AND(N3662&lt;= 28, S3662=9), "COVERAGE",AND(N3662&lt;= 30, S3662=9), "FLUSH",AND(N3662&lt;= 11, S3662=10), "FLUSH",AND(N3662&lt;= 21, S3662=10), "PRODUCTION")</f>
        <v>PRODUCTION</v>
      </c>
      <c r="U3662">
        <f>HOUR(datos_siembra[[#This Row],[Hour]])</f>
        <v>5</v>
      </c>
      <c r="V3662" cm="1">
        <f t="array" ref="V3662">_xlfn.IFS(AND(N3662&lt;= 22, S3662=9), N3662-7,AND(N3662&lt;= 28, S3662=9), N3662-25,AND(N3662&lt;= 30, S3662=9), N3662-28,AND(N3662&lt;= 11, S3662=10), N3662+2,AND(N3662&lt;= 21, S3662=10), N3662-11)</f>
        <v>1</v>
      </c>
    </row>
    <row r="3663" spans="1:22" x14ac:dyDescent="0.35">
      <c r="A3663" s="4">
        <v>45577</v>
      </c>
      <c r="B3663" s="5">
        <v>0.23598379629629629</v>
      </c>
      <c r="C3663">
        <v>75.2</v>
      </c>
      <c r="D3663">
        <v>72.3</v>
      </c>
      <c r="E3663">
        <v>75.3</v>
      </c>
      <c r="F3663">
        <v>74.400000000000006</v>
      </c>
      <c r="G3663">
        <v>0</v>
      </c>
      <c r="H3663">
        <v>0</v>
      </c>
      <c r="I3663">
        <v>0</v>
      </c>
      <c r="J3663">
        <v>0</v>
      </c>
      <c r="K3663">
        <v>63.2</v>
      </c>
      <c r="L3663">
        <v>62.4</v>
      </c>
      <c r="M3663">
        <v>74.27</v>
      </c>
      <c r="N3663">
        <v>12</v>
      </c>
      <c r="O3663">
        <v>4</v>
      </c>
      <c r="P3663">
        <f>MOD(DAY(datos_siembra[[#This Row],[Date]]),7)</f>
        <v>5</v>
      </c>
      <c r="Q3663" t="str">
        <f>CHOOSE(WEEKDAY(datos_siembra[[#This Row],[Date]],2),"L","M","X","J","V","S","D")</f>
        <v>S</v>
      </c>
      <c r="R3663">
        <f>WEEKNUM(datos_siembra[[#This Row],[Date]],2)-WEEKNUM(DATE(YEAR(datos_siembra[[#This Row],[Date]]),MONTH(datos_siembra[[#This Row],[Date]]),1))+1</f>
        <v>2</v>
      </c>
      <c r="S3663">
        <f>MONTH(datos_siembra[[#This Row],[Date]])</f>
        <v>10</v>
      </c>
      <c r="T3663" t="str" cm="1">
        <f t="array" ref="T3663">_xlfn.IFS(AND(N3663&lt;= 22, S3663=9), "SOWING",AND(N3663&lt;= 28, S3663=9), "COVERAGE",AND(N3663&lt;= 30, S3663=9), "FLUSH",AND(N3663&lt;= 11, S3663=10), "FLUSH",AND(N3663&lt;= 21, S3663=10), "PRODUCTION")</f>
        <v>PRODUCTION</v>
      </c>
      <c r="U3663">
        <f>HOUR(datos_siembra[[#This Row],[Hour]])</f>
        <v>5</v>
      </c>
      <c r="V3663" cm="1">
        <f t="array" ref="V3663">_xlfn.IFS(AND(N3663&lt;= 22, S3663=9), N3663-7,AND(N3663&lt;= 28, S3663=9), N3663-25,AND(N3663&lt;= 30, S3663=9), N3663-28,AND(N3663&lt;= 11, S3663=10), N3663+2,AND(N3663&lt;= 21, S3663=10), N3663-11)</f>
        <v>1</v>
      </c>
    </row>
    <row r="3664" spans="1:22" x14ac:dyDescent="0.35">
      <c r="A3664" s="4">
        <v>45577</v>
      </c>
      <c r="B3664" s="5">
        <v>0.2429398148148148</v>
      </c>
      <c r="C3664">
        <v>75.099999999999994</v>
      </c>
      <c r="D3664">
        <v>72.3</v>
      </c>
      <c r="E3664">
        <v>75.3</v>
      </c>
      <c r="F3664">
        <v>74.3</v>
      </c>
      <c r="G3664">
        <v>0</v>
      </c>
      <c r="H3664">
        <v>0</v>
      </c>
      <c r="I3664">
        <v>0</v>
      </c>
      <c r="J3664">
        <v>0</v>
      </c>
      <c r="K3664">
        <v>63</v>
      </c>
      <c r="L3664">
        <v>62.6</v>
      </c>
      <c r="M3664">
        <v>74.22</v>
      </c>
      <c r="N3664">
        <v>12</v>
      </c>
      <c r="O3664">
        <v>4</v>
      </c>
      <c r="P3664">
        <f>MOD(DAY(datos_siembra[[#This Row],[Date]]),7)</f>
        <v>5</v>
      </c>
      <c r="Q3664" t="str">
        <f>CHOOSE(WEEKDAY(datos_siembra[[#This Row],[Date]],2),"L","M","X","J","V","S","D")</f>
        <v>S</v>
      </c>
      <c r="R3664">
        <f>WEEKNUM(datos_siembra[[#This Row],[Date]],2)-WEEKNUM(DATE(YEAR(datos_siembra[[#This Row],[Date]]),MONTH(datos_siembra[[#This Row],[Date]]),1))+1</f>
        <v>2</v>
      </c>
      <c r="S3664">
        <f>MONTH(datos_siembra[[#This Row],[Date]])</f>
        <v>10</v>
      </c>
      <c r="T3664" t="str" cm="1">
        <f t="array" ref="T3664">_xlfn.IFS(AND(N3664&lt;= 22, S3664=9), "SOWING",AND(N3664&lt;= 28, S3664=9), "COVERAGE",AND(N3664&lt;= 30, S3664=9), "FLUSH",AND(N3664&lt;= 11, S3664=10), "FLUSH",AND(N3664&lt;= 21, S3664=10), "PRODUCTION")</f>
        <v>PRODUCTION</v>
      </c>
      <c r="U3664">
        <f>HOUR(datos_siembra[[#This Row],[Hour]])</f>
        <v>5</v>
      </c>
      <c r="V3664" cm="1">
        <f t="array" ref="V3664">_xlfn.IFS(AND(N3664&lt;= 22, S3664=9), N3664-7,AND(N3664&lt;= 28, S3664=9), N3664-25,AND(N3664&lt;= 30, S3664=9), N3664-28,AND(N3664&lt;= 11, S3664=10), N3664+2,AND(N3664&lt;= 21, S3664=10), N3664-11)</f>
        <v>1</v>
      </c>
    </row>
    <row r="3665" spans="1:22" x14ac:dyDescent="0.35">
      <c r="A3665" s="4">
        <v>45577</v>
      </c>
      <c r="B3665" s="5">
        <v>0.24988425925925925</v>
      </c>
      <c r="C3665">
        <v>75.400000000000006</v>
      </c>
      <c r="D3665">
        <v>72.099999999999994</v>
      </c>
      <c r="E3665">
        <v>75.3</v>
      </c>
      <c r="F3665">
        <v>74.3</v>
      </c>
      <c r="G3665">
        <v>0</v>
      </c>
      <c r="H3665">
        <v>0</v>
      </c>
      <c r="I3665">
        <v>0</v>
      </c>
      <c r="J3665">
        <v>0</v>
      </c>
      <c r="K3665">
        <v>63.5</v>
      </c>
      <c r="L3665">
        <v>62.5</v>
      </c>
      <c r="M3665">
        <v>74.27</v>
      </c>
      <c r="N3665">
        <v>12</v>
      </c>
      <c r="O3665">
        <v>4</v>
      </c>
      <c r="P3665">
        <f>MOD(DAY(datos_siembra[[#This Row],[Date]]),7)</f>
        <v>5</v>
      </c>
      <c r="Q3665" t="str">
        <f>CHOOSE(WEEKDAY(datos_siembra[[#This Row],[Date]],2),"L","M","X","J","V","S","D")</f>
        <v>S</v>
      </c>
      <c r="R3665">
        <f>WEEKNUM(datos_siembra[[#This Row],[Date]],2)-WEEKNUM(DATE(YEAR(datos_siembra[[#This Row],[Date]]),MONTH(datos_siembra[[#This Row],[Date]]),1))+1</f>
        <v>2</v>
      </c>
      <c r="S3665">
        <f>MONTH(datos_siembra[[#This Row],[Date]])</f>
        <v>10</v>
      </c>
      <c r="T3665" t="str" cm="1">
        <f t="array" ref="T3665">_xlfn.IFS(AND(N3665&lt;= 22, S3665=9), "SOWING",AND(N3665&lt;= 28, S3665=9), "COVERAGE",AND(N3665&lt;= 30, S3665=9), "FLUSH",AND(N3665&lt;= 11, S3665=10), "FLUSH",AND(N3665&lt;= 21, S3665=10), "PRODUCTION")</f>
        <v>PRODUCTION</v>
      </c>
      <c r="U3665">
        <f>HOUR(datos_siembra[[#This Row],[Hour]])</f>
        <v>5</v>
      </c>
      <c r="V3665" cm="1">
        <f t="array" ref="V3665">_xlfn.IFS(AND(N3665&lt;= 22, S3665=9), N3665-7,AND(N3665&lt;= 28, S3665=9), N3665-25,AND(N3665&lt;= 30, S3665=9), N3665-28,AND(N3665&lt;= 11, S3665=10), N3665+2,AND(N3665&lt;= 21, S3665=10), N3665-11)</f>
        <v>1</v>
      </c>
    </row>
    <row r="3666" spans="1:22" x14ac:dyDescent="0.35">
      <c r="A3666" s="4">
        <v>45577</v>
      </c>
      <c r="B3666" s="5">
        <v>0.2568287037037037</v>
      </c>
      <c r="C3666">
        <v>75.2</v>
      </c>
      <c r="D3666">
        <v>72.400000000000006</v>
      </c>
      <c r="E3666">
        <v>75.3</v>
      </c>
      <c r="F3666">
        <v>74.3</v>
      </c>
      <c r="G3666">
        <v>0</v>
      </c>
      <c r="H3666">
        <v>0</v>
      </c>
      <c r="I3666">
        <v>0</v>
      </c>
      <c r="J3666">
        <v>0</v>
      </c>
      <c r="K3666">
        <v>63.3</v>
      </c>
      <c r="L3666">
        <v>62.5</v>
      </c>
      <c r="M3666">
        <v>74.3</v>
      </c>
      <c r="N3666">
        <v>12</v>
      </c>
      <c r="O3666">
        <v>4</v>
      </c>
      <c r="P3666">
        <f>MOD(DAY(datos_siembra[[#This Row],[Date]]),7)</f>
        <v>5</v>
      </c>
      <c r="Q3666" t="str">
        <f>CHOOSE(WEEKDAY(datos_siembra[[#This Row],[Date]],2),"L","M","X","J","V","S","D")</f>
        <v>S</v>
      </c>
      <c r="R3666">
        <f>WEEKNUM(datos_siembra[[#This Row],[Date]],2)-WEEKNUM(DATE(YEAR(datos_siembra[[#This Row],[Date]]),MONTH(datos_siembra[[#This Row],[Date]]),1))+1</f>
        <v>2</v>
      </c>
      <c r="S3666">
        <f>MONTH(datos_siembra[[#This Row],[Date]])</f>
        <v>10</v>
      </c>
      <c r="T3666" t="str" cm="1">
        <f t="array" ref="T3666">_xlfn.IFS(AND(N3666&lt;= 22, S3666=9), "SOWING",AND(N3666&lt;= 28, S3666=9), "COVERAGE",AND(N3666&lt;= 30, S3666=9), "FLUSH",AND(N3666&lt;= 11, S3666=10), "FLUSH",AND(N3666&lt;= 21, S3666=10), "PRODUCTION")</f>
        <v>PRODUCTION</v>
      </c>
      <c r="U3666">
        <f>HOUR(datos_siembra[[#This Row],[Hour]])</f>
        <v>6</v>
      </c>
      <c r="V3666" cm="1">
        <f t="array" ref="V3666">_xlfn.IFS(AND(N3666&lt;= 22, S3666=9), N3666-7,AND(N3666&lt;= 28, S3666=9), N3666-25,AND(N3666&lt;= 30, S3666=9), N3666-28,AND(N3666&lt;= 11, S3666=10), N3666+2,AND(N3666&lt;= 21, S3666=10), N3666-11)</f>
        <v>1</v>
      </c>
    </row>
    <row r="3667" spans="1:22" x14ac:dyDescent="0.35">
      <c r="A3667" s="4">
        <v>45577</v>
      </c>
      <c r="B3667" s="5">
        <v>0.26378472222222221</v>
      </c>
      <c r="C3667">
        <v>75.3</v>
      </c>
      <c r="D3667">
        <v>72.2</v>
      </c>
      <c r="E3667">
        <v>75.2</v>
      </c>
      <c r="F3667">
        <v>74.3</v>
      </c>
      <c r="G3667">
        <v>0</v>
      </c>
      <c r="H3667">
        <v>0</v>
      </c>
      <c r="I3667">
        <v>0</v>
      </c>
      <c r="J3667">
        <v>0</v>
      </c>
      <c r="K3667">
        <v>63.5</v>
      </c>
      <c r="L3667">
        <v>62.5</v>
      </c>
      <c r="M3667">
        <v>74.239999999999995</v>
      </c>
      <c r="N3667">
        <v>12</v>
      </c>
      <c r="O3667">
        <v>4</v>
      </c>
      <c r="P3667">
        <f>MOD(DAY(datos_siembra[[#This Row],[Date]]),7)</f>
        <v>5</v>
      </c>
      <c r="Q3667" t="str">
        <f>CHOOSE(WEEKDAY(datos_siembra[[#This Row],[Date]],2),"L","M","X","J","V","S","D")</f>
        <v>S</v>
      </c>
      <c r="R3667">
        <f>WEEKNUM(datos_siembra[[#This Row],[Date]],2)-WEEKNUM(DATE(YEAR(datos_siembra[[#This Row],[Date]]),MONTH(datos_siembra[[#This Row],[Date]]),1))+1</f>
        <v>2</v>
      </c>
      <c r="S3667">
        <f>MONTH(datos_siembra[[#This Row],[Date]])</f>
        <v>10</v>
      </c>
      <c r="T3667" t="str" cm="1">
        <f t="array" ref="T3667">_xlfn.IFS(AND(N3667&lt;= 22, S3667=9), "SOWING",AND(N3667&lt;= 28, S3667=9), "COVERAGE",AND(N3667&lt;= 30, S3667=9), "FLUSH",AND(N3667&lt;= 11, S3667=10), "FLUSH",AND(N3667&lt;= 21, S3667=10), "PRODUCTION")</f>
        <v>PRODUCTION</v>
      </c>
      <c r="U3667">
        <f>HOUR(datos_siembra[[#This Row],[Hour]])</f>
        <v>6</v>
      </c>
      <c r="V3667" cm="1">
        <f t="array" ref="V3667">_xlfn.IFS(AND(N3667&lt;= 22, S3667=9), N3667-7,AND(N3667&lt;= 28, S3667=9), N3667-25,AND(N3667&lt;= 30, S3667=9), N3667-28,AND(N3667&lt;= 11, S3667=10), N3667+2,AND(N3667&lt;= 21, S3667=10), N3667-11)</f>
        <v>1</v>
      </c>
    </row>
    <row r="3668" spans="1:22" x14ac:dyDescent="0.35">
      <c r="A3668" s="4">
        <v>45577</v>
      </c>
      <c r="B3668" s="5">
        <v>0.27072916666666669</v>
      </c>
      <c r="C3668">
        <v>75.2</v>
      </c>
      <c r="D3668">
        <v>72.3</v>
      </c>
      <c r="E3668">
        <v>75.2</v>
      </c>
      <c r="F3668">
        <v>74.2</v>
      </c>
      <c r="G3668">
        <v>0</v>
      </c>
      <c r="H3668">
        <v>0</v>
      </c>
      <c r="I3668">
        <v>0</v>
      </c>
      <c r="J3668">
        <v>0</v>
      </c>
      <c r="K3668">
        <v>63.7</v>
      </c>
      <c r="L3668">
        <v>62.7</v>
      </c>
      <c r="M3668">
        <v>74.22</v>
      </c>
      <c r="N3668">
        <v>12</v>
      </c>
      <c r="O3668">
        <v>4</v>
      </c>
      <c r="P3668">
        <f>MOD(DAY(datos_siembra[[#This Row],[Date]]),7)</f>
        <v>5</v>
      </c>
      <c r="Q3668" t="str">
        <f>CHOOSE(WEEKDAY(datos_siembra[[#This Row],[Date]],2),"L","M","X","J","V","S","D")</f>
        <v>S</v>
      </c>
      <c r="R3668">
        <f>WEEKNUM(datos_siembra[[#This Row],[Date]],2)-WEEKNUM(DATE(YEAR(datos_siembra[[#This Row],[Date]]),MONTH(datos_siembra[[#This Row],[Date]]),1))+1</f>
        <v>2</v>
      </c>
      <c r="S3668">
        <f>MONTH(datos_siembra[[#This Row],[Date]])</f>
        <v>10</v>
      </c>
      <c r="T3668" t="str" cm="1">
        <f t="array" ref="T3668">_xlfn.IFS(AND(N3668&lt;= 22, S3668=9), "SOWING",AND(N3668&lt;= 28, S3668=9), "COVERAGE",AND(N3668&lt;= 30, S3668=9), "FLUSH",AND(N3668&lt;= 11, S3668=10), "FLUSH",AND(N3668&lt;= 21, S3668=10), "PRODUCTION")</f>
        <v>PRODUCTION</v>
      </c>
      <c r="U3668">
        <f>HOUR(datos_siembra[[#This Row],[Hour]])</f>
        <v>6</v>
      </c>
      <c r="V3668" cm="1">
        <f t="array" ref="V3668">_xlfn.IFS(AND(N3668&lt;= 22, S3668=9), N3668-7,AND(N3668&lt;= 28, S3668=9), N3668-25,AND(N3668&lt;= 30, S3668=9), N3668-28,AND(N3668&lt;= 11, S3668=10), N3668+2,AND(N3668&lt;= 21, S3668=10), N3668-11)</f>
        <v>1</v>
      </c>
    </row>
    <row r="3669" spans="1:22" x14ac:dyDescent="0.35">
      <c r="A3669" s="4">
        <v>45577</v>
      </c>
      <c r="B3669" s="5">
        <v>0.27767361111111111</v>
      </c>
      <c r="C3669">
        <v>75.3</v>
      </c>
      <c r="D3669">
        <v>72.2</v>
      </c>
      <c r="E3669">
        <v>75.400000000000006</v>
      </c>
      <c r="F3669">
        <v>74.400000000000006</v>
      </c>
      <c r="G3669">
        <v>0</v>
      </c>
      <c r="H3669">
        <v>0</v>
      </c>
      <c r="I3669">
        <v>0</v>
      </c>
      <c r="J3669">
        <v>0</v>
      </c>
      <c r="K3669">
        <v>63.6</v>
      </c>
      <c r="L3669">
        <v>62.8</v>
      </c>
      <c r="M3669">
        <v>74.239999999999995</v>
      </c>
      <c r="N3669">
        <v>12</v>
      </c>
      <c r="O3669">
        <v>4</v>
      </c>
      <c r="P3669">
        <f>MOD(DAY(datos_siembra[[#This Row],[Date]]),7)</f>
        <v>5</v>
      </c>
      <c r="Q3669" t="str">
        <f>CHOOSE(WEEKDAY(datos_siembra[[#This Row],[Date]],2),"L","M","X","J","V","S","D")</f>
        <v>S</v>
      </c>
      <c r="R3669">
        <f>WEEKNUM(datos_siembra[[#This Row],[Date]],2)-WEEKNUM(DATE(YEAR(datos_siembra[[#This Row],[Date]]),MONTH(datos_siembra[[#This Row],[Date]]),1))+1</f>
        <v>2</v>
      </c>
      <c r="S3669">
        <f>MONTH(datos_siembra[[#This Row],[Date]])</f>
        <v>10</v>
      </c>
      <c r="T3669" t="str" cm="1">
        <f t="array" ref="T3669">_xlfn.IFS(AND(N3669&lt;= 22, S3669=9), "SOWING",AND(N3669&lt;= 28, S3669=9), "COVERAGE",AND(N3669&lt;= 30, S3669=9), "FLUSH",AND(N3669&lt;= 11, S3669=10), "FLUSH",AND(N3669&lt;= 21, S3669=10), "PRODUCTION")</f>
        <v>PRODUCTION</v>
      </c>
      <c r="U3669">
        <f>HOUR(datos_siembra[[#This Row],[Hour]])</f>
        <v>6</v>
      </c>
      <c r="V3669" cm="1">
        <f t="array" ref="V3669">_xlfn.IFS(AND(N3669&lt;= 22, S3669=9), N3669-7,AND(N3669&lt;= 28, S3669=9), N3669-25,AND(N3669&lt;= 30, S3669=9), N3669-28,AND(N3669&lt;= 11, S3669=10), N3669+2,AND(N3669&lt;= 21, S3669=10), N3669-11)</f>
        <v>1</v>
      </c>
    </row>
    <row r="3670" spans="1:22" x14ac:dyDescent="0.35">
      <c r="A3670" s="4">
        <v>45577</v>
      </c>
      <c r="B3670" s="5">
        <v>0.28461805555555558</v>
      </c>
      <c r="C3670">
        <v>75.2</v>
      </c>
      <c r="D3670">
        <v>72.3</v>
      </c>
      <c r="E3670">
        <v>75.2</v>
      </c>
      <c r="F3670">
        <v>74.400000000000006</v>
      </c>
      <c r="G3670">
        <v>0</v>
      </c>
      <c r="H3670">
        <v>0</v>
      </c>
      <c r="I3670">
        <v>0</v>
      </c>
      <c r="J3670">
        <v>0</v>
      </c>
      <c r="K3670">
        <v>63.5</v>
      </c>
      <c r="L3670">
        <v>63</v>
      </c>
      <c r="M3670">
        <v>74.3</v>
      </c>
      <c r="N3670">
        <v>12</v>
      </c>
      <c r="O3670">
        <v>4</v>
      </c>
      <c r="P3670">
        <f>MOD(DAY(datos_siembra[[#This Row],[Date]]),7)</f>
        <v>5</v>
      </c>
      <c r="Q3670" t="str">
        <f>CHOOSE(WEEKDAY(datos_siembra[[#This Row],[Date]],2),"L","M","X","J","V","S","D")</f>
        <v>S</v>
      </c>
      <c r="R3670">
        <f>WEEKNUM(datos_siembra[[#This Row],[Date]],2)-WEEKNUM(DATE(YEAR(datos_siembra[[#This Row],[Date]]),MONTH(datos_siembra[[#This Row],[Date]]),1))+1</f>
        <v>2</v>
      </c>
      <c r="S3670">
        <f>MONTH(datos_siembra[[#This Row],[Date]])</f>
        <v>10</v>
      </c>
      <c r="T3670" t="str" cm="1">
        <f t="array" ref="T3670">_xlfn.IFS(AND(N3670&lt;= 22, S3670=9), "SOWING",AND(N3670&lt;= 28, S3670=9), "COVERAGE",AND(N3670&lt;= 30, S3670=9), "FLUSH",AND(N3670&lt;= 11, S3670=10), "FLUSH",AND(N3670&lt;= 21, S3670=10), "PRODUCTION")</f>
        <v>PRODUCTION</v>
      </c>
      <c r="U3670">
        <f>HOUR(datos_siembra[[#This Row],[Hour]])</f>
        <v>6</v>
      </c>
      <c r="V3670" cm="1">
        <f t="array" ref="V3670">_xlfn.IFS(AND(N3670&lt;= 22, S3670=9), N3670-7,AND(N3670&lt;= 28, S3670=9), N3670-25,AND(N3670&lt;= 30, S3670=9), N3670-28,AND(N3670&lt;= 11, S3670=10), N3670+2,AND(N3670&lt;= 21, S3670=10), N3670-11)</f>
        <v>1</v>
      </c>
    </row>
    <row r="3671" spans="1:22" x14ac:dyDescent="0.35">
      <c r="A3671" s="4">
        <v>45577</v>
      </c>
      <c r="B3671" s="5">
        <v>0.2915740740740741</v>
      </c>
      <c r="C3671">
        <v>75.3</v>
      </c>
      <c r="D3671">
        <v>72.3</v>
      </c>
      <c r="E3671">
        <v>75.3</v>
      </c>
      <c r="F3671">
        <v>74.5</v>
      </c>
      <c r="G3671">
        <v>0</v>
      </c>
      <c r="H3671">
        <v>0</v>
      </c>
      <c r="I3671">
        <v>0</v>
      </c>
      <c r="J3671">
        <v>0</v>
      </c>
      <c r="K3671">
        <v>63.4</v>
      </c>
      <c r="L3671">
        <v>62.6</v>
      </c>
      <c r="M3671">
        <v>74.3</v>
      </c>
      <c r="N3671">
        <v>12</v>
      </c>
      <c r="O3671">
        <v>4</v>
      </c>
      <c r="P3671">
        <f>MOD(DAY(datos_siembra[[#This Row],[Date]]),7)</f>
        <v>5</v>
      </c>
      <c r="Q3671" t="str">
        <f>CHOOSE(WEEKDAY(datos_siembra[[#This Row],[Date]],2),"L","M","X","J","V","S","D")</f>
        <v>S</v>
      </c>
      <c r="R3671">
        <f>WEEKNUM(datos_siembra[[#This Row],[Date]],2)-WEEKNUM(DATE(YEAR(datos_siembra[[#This Row],[Date]]),MONTH(datos_siembra[[#This Row],[Date]]),1))+1</f>
        <v>2</v>
      </c>
      <c r="S3671">
        <f>MONTH(datos_siembra[[#This Row],[Date]])</f>
        <v>10</v>
      </c>
      <c r="T3671" t="str" cm="1">
        <f t="array" ref="T3671">_xlfn.IFS(AND(N3671&lt;= 22, S3671=9), "SOWING",AND(N3671&lt;= 28, S3671=9), "COVERAGE",AND(N3671&lt;= 30, S3671=9), "FLUSH",AND(N3671&lt;= 11, S3671=10), "FLUSH",AND(N3671&lt;= 21, S3671=10), "PRODUCTION")</f>
        <v>PRODUCTION</v>
      </c>
      <c r="U3671">
        <f>HOUR(datos_siembra[[#This Row],[Hour]])</f>
        <v>6</v>
      </c>
      <c r="V3671" cm="1">
        <f t="array" ref="V3671">_xlfn.IFS(AND(N3671&lt;= 22, S3671=9), N3671-7,AND(N3671&lt;= 28, S3671=9), N3671-25,AND(N3671&lt;= 30, S3671=9), N3671-28,AND(N3671&lt;= 11, S3671=10), N3671+2,AND(N3671&lt;= 21, S3671=10), N3671-11)</f>
        <v>1</v>
      </c>
    </row>
    <row r="3672" spans="1:22" x14ac:dyDescent="0.35">
      <c r="A3672" s="4">
        <v>45577</v>
      </c>
      <c r="B3672" s="5">
        <v>0.29851851851851852</v>
      </c>
      <c r="C3672">
        <v>75.400000000000006</v>
      </c>
      <c r="D3672">
        <v>72.2</v>
      </c>
      <c r="E3672">
        <v>75.3</v>
      </c>
      <c r="F3672">
        <v>74.3</v>
      </c>
      <c r="G3672">
        <v>0</v>
      </c>
      <c r="H3672">
        <v>0</v>
      </c>
      <c r="I3672">
        <v>0</v>
      </c>
      <c r="J3672">
        <v>0</v>
      </c>
      <c r="K3672">
        <v>63.6</v>
      </c>
      <c r="L3672">
        <v>62.8</v>
      </c>
      <c r="M3672">
        <v>74.33</v>
      </c>
      <c r="N3672">
        <v>12</v>
      </c>
      <c r="O3672">
        <v>4</v>
      </c>
      <c r="P3672">
        <f>MOD(DAY(datos_siembra[[#This Row],[Date]]),7)</f>
        <v>5</v>
      </c>
      <c r="Q3672" t="str">
        <f>CHOOSE(WEEKDAY(datos_siembra[[#This Row],[Date]],2),"L","M","X","J","V","S","D")</f>
        <v>S</v>
      </c>
      <c r="R3672">
        <f>WEEKNUM(datos_siembra[[#This Row],[Date]],2)-WEEKNUM(DATE(YEAR(datos_siembra[[#This Row],[Date]]),MONTH(datos_siembra[[#This Row],[Date]]),1))+1</f>
        <v>2</v>
      </c>
      <c r="S3672">
        <f>MONTH(datos_siembra[[#This Row],[Date]])</f>
        <v>10</v>
      </c>
      <c r="T3672" t="str" cm="1">
        <f t="array" ref="T3672">_xlfn.IFS(AND(N3672&lt;= 22, S3672=9), "SOWING",AND(N3672&lt;= 28, S3672=9), "COVERAGE",AND(N3672&lt;= 30, S3672=9), "FLUSH",AND(N3672&lt;= 11, S3672=10), "FLUSH",AND(N3672&lt;= 21, S3672=10), "PRODUCTION")</f>
        <v>PRODUCTION</v>
      </c>
      <c r="U3672">
        <f>HOUR(datos_siembra[[#This Row],[Hour]])</f>
        <v>7</v>
      </c>
      <c r="V3672" cm="1">
        <f t="array" ref="V3672">_xlfn.IFS(AND(N3672&lt;= 22, S3672=9), N3672-7,AND(N3672&lt;= 28, S3672=9), N3672-25,AND(N3672&lt;= 30, S3672=9), N3672-28,AND(N3672&lt;= 11, S3672=10), N3672+2,AND(N3672&lt;= 21, S3672=10), N3672-11)</f>
        <v>1</v>
      </c>
    </row>
    <row r="3673" spans="1:22" x14ac:dyDescent="0.35">
      <c r="A3673" s="4">
        <v>45577</v>
      </c>
      <c r="B3673" s="5">
        <v>0.30546296296296294</v>
      </c>
      <c r="C3673">
        <v>75.2</v>
      </c>
      <c r="D3673">
        <v>72.2</v>
      </c>
      <c r="E3673">
        <v>75.3</v>
      </c>
      <c r="F3673">
        <v>74.400000000000006</v>
      </c>
      <c r="G3673">
        <v>0</v>
      </c>
      <c r="H3673">
        <v>0</v>
      </c>
      <c r="I3673">
        <v>0</v>
      </c>
      <c r="J3673">
        <v>0</v>
      </c>
      <c r="K3673">
        <v>63.6</v>
      </c>
      <c r="L3673">
        <v>62.9</v>
      </c>
      <c r="M3673">
        <v>74.27</v>
      </c>
      <c r="N3673">
        <v>12</v>
      </c>
      <c r="O3673">
        <v>4</v>
      </c>
      <c r="P3673">
        <f>MOD(DAY(datos_siembra[[#This Row],[Date]]),7)</f>
        <v>5</v>
      </c>
      <c r="Q3673" t="str">
        <f>CHOOSE(WEEKDAY(datos_siembra[[#This Row],[Date]],2),"L","M","X","J","V","S","D")</f>
        <v>S</v>
      </c>
      <c r="R3673">
        <f>WEEKNUM(datos_siembra[[#This Row],[Date]],2)-WEEKNUM(DATE(YEAR(datos_siembra[[#This Row],[Date]]),MONTH(datos_siembra[[#This Row],[Date]]),1))+1</f>
        <v>2</v>
      </c>
      <c r="S3673">
        <f>MONTH(datos_siembra[[#This Row],[Date]])</f>
        <v>10</v>
      </c>
      <c r="T3673" t="str" cm="1">
        <f t="array" ref="T3673">_xlfn.IFS(AND(N3673&lt;= 22, S3673=9), "SOWING",AND(N3673&lt;= 28, S3673=9), "COVERAGE",AND(N3673&lt;= 30, S3673=9), "FLUSH",AND(N3673&lt;= 11, S3673=10), "FLUSH",AND(N3673&lt;= 21, S3673=10), "PRODUCTION")</f>
        <v>PRODUCTION</v>
      </c>
      <c r="U3673">
        <f>HOUR(datos_siembra[[#This Row],[Hour]])</f>
        <v>7</v>
      </c>
      <c r="V3673" cm="1">
        <f t="array" ref="V3673">_xlfn.IFS(AND(N3673&lt;= 22, S3673=9), N3673-7,AND(N3673&lt;= 28, S3673=9), N3673-25,AND(N3673&lt;= 30, S3673=9), N3673-28,AND(N3673&lt;= 11, S3673=10), N3673+2,AND(N3673&lt;= 21, S3673=10), N3673-11)</f>
        <v>1</v>
      </c>
    </row>
    <row r="3674" spans="1:22" x14ac:dyDescent="0.35">
      <c r="A3674" s="4">
        <v>45577</v>
      </c>
      <c r="B3674" s="5">
        <v>0.31240740740740741</v>
      </c>
      <c r="C3674">
        <v>75.3</v>
      </c>
      <c r="D3674">
        <v>72.099999999999994</v>
      </c>
      <c r="E3674">
        <v>75.3</v>
      </c>
      <c r="F3674">
        <v>74.3</v>
      </c>
      <c r="G3674">
        <v>0</v>
      </c>
      <c r="H3674">
        <v>0</v>
      </c>
      <c r="I3674">
        <v>0</v>
      </c>
      <c r="J3674">
        <v>0</v>
      </c>
      <c r="K3674">
        <v>63.7</v>
      </c>
      <c r="L3674">
        <v>63.3</v>
      </c>
      <c r="M3674">
        <v>74.33</v>
      </c>
      <c r="N3674">
        <v>12</v>
      </c>
      <c r="O3674">
        <v>4</v>
      </c>
      <c r="P3674">
        <f>MOD(DAY(datos_siembra[[#This Row],[Date]]),7)</f>
        <v>5</v>
      </c>
      <c r="Q3674" t="str">
        <f>CHOOSE(WEEKDAY(datos_siembra[[#This Row],[Date]],2),"L","M","X","J","V","S","D")</f>
        <v>S</v>
      </c>
      <c r="R3674">
        <f>WEEKNUM(datos_siembra[[#This Row],[Date]],2)-WEEKNUM(DATE(YEAR(datos_siembra[[#This Row],[Date]]),MONTH(datos_siembra[[#This Row],[Date]]),1))+1</f>
        <v>2</v>
      </c>
      <c r="S3674">
        <f>MONTH(datos_siembra[[#This Row],[Date]])</f>
        <v>10</v>
      </c>
      <c r="T3674" t="str" cm="1">
        <f t="array" ref="T3674">_xlfn.IFS(AND(N3674&lt;= 22, S3674=9), "SOWING",AND(N3674&lt;= 28, S3674=9), "COVERAGE",AND(N3674&lt;= 30, S3674=9), "FLUSH",AND(N3674&lt;= 11, S3674=10), "FLUSH",AND(N3674&lt;= 21, S3674=10), "PRODUCTION")</f>
        <v>PRODUCTION</v>
      </c>
      <c r="U3674">
        <f>HOUR(datos_siembra[[#This Row],[Hour]])</f>
        <v>7</v>
      </c>
      <c r="V3674" cm="1">
        <f t="array" ref="V3674">_xlfn.IFS(AND(N3674&lt;= 22, S3674=9), N3674-7,AND(N3674&lt;= 28, S3674=9), N3674-25,AND(N3674&lt;= 30, S3674=9), N3674-28,AND(N3674&lt;= 11, S3674=10), N3674+2,AND(N3674&lt;= 21, S3674=10), N3674-11)</f>
        <v>1</v>
      </c>
    </row>
    <row r="3675" spans="1:22" x14ac:dyDescent="0.35">
      <c r="A3675" s="4">
        <v>45577</v>
      </c>
      <c r="B3675" s="5">
        <v>0.31936342592592593</v>
      </c>
      <c r="C3675">
        <v>75.3</v>
      </c>
      <c r="D3675">
        <v>72.2</v>
      </c>
      <c r="E3675">
        <v>75.2</v>
      </c>
      <c r="F3675">
        <v>74.400000000000006</v>
      </c>
      <c r="G3675">
        <v>0</v>
      </c>
      <c r="H3675">
        <v>0</v>
      </c>
      <c r="I3675">
        <v>0</v>
      </c>
      <c r="J3675">
        <v>0</v>
      </c>
      <c r="K3675">
        <v>63.8</v>
      </c>
      <c r="L3675">
        <v>63.4</v>
      </c>
      <c r="M3675">
        <v>74.3</v>
      </c>
      <c r="N3675">
        <v>12</v>
      </c>
      <c r="O3675">
        <v>4</v>
      </c>
      <c r="P3675">
        <f>MOD(DAY(datos_siembra[[#This Row],[Date]]),7)</f>
        <v>5</v>
      </c>
      <c r="Q3675" t="str">
        <f>CHOOSE(WEEKDAY(datos_siembra[[#This Row],[Date]],2),"L","M","X","J","V","S","D")</f>
        <v>S</v>
      </c>
      <c r="R3675">
        <f>WEEKNUM(datos_siembra[[#This Row],[Date]],2)-WEEKNUM(DATE(YEAR(datos_siembra[[#This Row],[Date]]),MONTH(datos_siembra[[#This Row],[Date]]),1))+1</f>
        <v>2</v>
      </c>
      <c r="S3675">
        <f>MONTH(datos_siembra[[#This Row],[Date]])</f>
        <v>10</v>
      </c>
      <c r="T3675" t="str" cm="1">
        <f t="array" ref="T3675">_xlfn.IFS(AND(N3675&lt;= 22, S3675=9), "SOWING",AND(N3675&lt;= 28, S3675=9), "COVERAGE",AND(N3675&lt;= 30, S3675=9), "FLUSH",AND(N3675&lt;= 11, S3675=10), "FLUSH",AND(N3675&lt;= 21, S3675=10), "PRODUCTION")</f>
        <v>PRODUCTION</v>
      </c>
      <c r="U3675">
        <f>HOUR(datos_siembra[[#This Row],[Hour]])</f>
        <v>7</v>
      </c>
      <c r="V3675" cm="1">
        <f t="array" ref="V3675">_xlfn.IFS(AND(N3675&lt;= 22, S3675=9), N3675-7,AND(N3675&lt;= 28, S3675=9), N3675-25,AND(N3675&lt;= 30, S3675=9), N3675-28,AND(N3675&lt;= 11, S3675=10), N3675+2,AND(N3675&lt;= 21, S3675=10), N3675-11)</f>
        <v>1</v>
      </c>
    </row>
    <row r="3676" spans="1:22" x14ac:dyDescent="0.35">
      <c r="A3676" s="4">
        <v>45577</v>
      </c>
      <c r="B3676" s="5">
        <v>0.32630787037037035</v>
      </c>
      <c r="C3676">
        <v>75.3</v>
      </c>
      <c r="D3676">
        <v>72.3</v>
      </c>
      <c r="E3676">
        <v>75</v>
      </c>
      <c r="F3676">
        <v>74.400000000000006</v>
      </c>
      <c r="G3676">
        <v>0</v>
      </c>
      <c r="H3676">
        <v>0</v>
      </c>
      <c r="I3676">
        <v>0</v>
      </c>
      <c r="J3676">
        <v>0</v>
      </c>
      <c r="K3676">
        <v>63.9</v>
      </c>
      <c r="L3676">
        <v>63.5</v>
      </c>
      <c r="M3676">
        <v>74.22</v>
      </c>
      <c r="N3676">
        <v>12</v>
      </c>
      <c r="O3676">
        <v>4</v>
      </c>
      <c r="P3676">
        <f>MOD(DAY(datos_siembra[[#This Row],[Date]]),7)</f>
        <v>5</v>
      </c>
      <c r="Q3676" t="str">
        <f>CHOOSE(WEEKDAY(datos_siembra[[#This Row],[Date]],2),"L","M","X","J","V","S","D")</f>
        <v>S</v>
      </c>
      <c r="R3676">
        <f>WEEKNUM(datos_siembra[[#This Row],[Date]],2)-WEEKNUM(DATE(YEAR(datos_siembra[[#This Row],[Date]]),MONTH(datos_siembra[[#This Row],[Date]]),1))+1</f>
        <v>2</v>
      </c>
      <c r="S3676">
        <f>MONTH(datos_siembra[[#This Row],[Date]])</f>
        <v>10</v>
      </c>
      <c r="T3676" t="str" cm="1">
        <f t="array" ref="T3676">_xlfn.IFS(AND(N3676&lt;= 22, S3676=9), "SOWING",AND(N3676&lt;= 28, S3676=9), "COVERAGE",AND(N3676&lt;= 30, S3676=9), "FLUSH",AND(N3676&lt;= 11, S3676=10), "FLUSH",AND(N3676&lt;= 21, S3676=10), "PRODUCTION")</f>
        <v>PRODUCTION</v>
      </c>
      <c r="U3676">
        <f>HOUR(datos_siembra[[#This Row],[Hour]])</f>
        <v>7</v>
      </c>
      <c r="V3676" cm="1">
        <f t="array" ref="V3676">_xlfn.IFS(AND(N3676&lt;= 22, S3676=9), N3676-7,AND(N3676&lt;= 28, S3676=9), N3676-25,AND(N3676&lt;= 30, S3676=9), N3676-28,AND(N3676&lt;= 11, S3676=10), N3676+2,AND(N3676&lt;= 21, S3676=10), N3676-11)</f>
        <v>1</v>
      </c>
    </row>
    <row r="3677" spans="1:22" x14ac:dyDescent="0.35">
      <c r="A3677" s="4">
        <v>45577</v>
      </c>
      <c r="B3677" s="5">
        <v>0.33325231481481482</v>
      </c>
      <c r="C3677">
        <v>75.2</v>
      </c>
      <c r="D3677">
        <v>72.400000000000006</v>
      </c>
      <c r="E3677">
        <v>75</v>
      </c>
      <c r="F3677">
        <v>74.3</v>
      </c>
      <c r="G3677">
        <v>0</v>
      </c>
      <c r="H3677">
        <v>0</v>
      </c>
      <c r="I3677">
        <v>0</v>
      </c>
      <c r="J3677">
        <v>0</v>
      </c>
      <c r="K3677">
        <v>64.099999999999994</v>
      </c>
      <c r="L3677">
        <v>63.5</v>
      </c>
      <c r="M3677">
        <v>74.239999999999995</v>
      </c>
      <c r="N3677">
        <v>12</v>
      </c>
      <c r="O3677">
        <v>4</v>
      </c>
      <c r="P3677">
        <f>MOD(DAY(datos_siembra[[#This Row],[Date]]),7)</f>
        <v>5</v>
      </c>
      <c r="Q3677" t="str">
        <f>CHOOSE(WEEKDAY(datos_siembra[[#This Row],[Date]],2),"L","M","X","J","V","S","D")</f>
        <v>S</v>
      </c>
      <c r="R3677">
        <f>WEEKNUM(datos_siembra[[#This Row],[Date]],2)-WEEKNUM(DATE(YEAR(datos_siembra[[#This Row],[Date]]),MONTH(datos_siembra[[#This Row],[Date]]),1))+1</f>
        <v>2</v>
      </c>
      <c r="S3677">
        <f>MONTH(datos_siembra[[#This Row],[Date]])</f>
        <v>10</v>
      </c>
      <c r="T3677" t="str" cm="1">
        <f t="array" ref="T3677">_xlfn.IFS(AND(N3677&lt;= 22, S3677=9), "SOWING",AND(N3677&lt;= 28, S3677=9), "COVERAGE",AND(N3677&lt;= 30, S3677=9), "FLUSH",AND(N3677&lt;= 11, S3677=10), "FLUSH",AND(N3677&lt;= 21, S3677=10), "PRODUCTION")</f>
        <v>PRODUCTION</v>
      </c>
      <c r="U3677">
        <f>HOUR(datos_siembra[[#This Row],[Hour]])</f>
        <v>7</v>
      </c>
      <c r="V3677" cm="1">
        <f t="array" ref="V3677">_xlfn.IFS(AND(N3677&lt;= 22, S3677=9), N3677-7,AND(N3677&lt;= 28, S3677=9), N3677-25,AND(N3677&lt;= 30, S3677=9), N3677-28,AND(N3677&lt;= 11, S3677=10), N3677+2,AND(N3677&lt;= 21, S3677=10), N3677-11)</f>
        <v>1</v>
      </c>
    </row>
    <row r="3678" spans="1:22" x14ac:dyDescent="0.35">
      <c r="A3678" s="4">
        <v>45577</v>
      </c>
      <c r="B3678" s="5">
        <v>0.34020833333333333</v>
      </c>
      <c r="C3678">
        <v>75.400000000000006</v>
      </c>
      <c r="D3678">
        <v>72.400000000000006</v>
      </c>
      <c r="E3678">
        <v>75.2</v>
      </c>
      <c r="F3678">
        <v>74.400000000000006</v>
      </c>
      <c r="G3678">
        <v>0</v>
      </c>
      <c r="H3678">
        <v>0</v>
      </c>
      <c r="I3678">
        <v>0</v>
      </c>
      <c r="J3678">
        <v>0</v>
      </c>
      <c r="K3678">
        <v>64.099999999999994</v>
      </c>
      <c r="L3678">
        <v>63.2</v>
      </c>
      <c r="M3678">
        <v>74.38</v>
      </c>
      <c r="N3678">
        <v>12</v>
      </c>
      <c r="O3678">
        <v>4</v>
      </c>
      <c r="P3678">
        <f>MOD(DAY(datos_siembra[[#This Row],[Date]]),7)</f>
        <v>5</v>
      </c>
      <c r="Q3678" t="str">
        <f>CHOOSE(WEEKDAY(datos_siembra[[#This Row],[Date]],2),"L","M","X","J","V","S","D")</f>
        <v>S</v>
      </c>
      <c r="R3678">
        <f>WEEKNUM(datos_siembra[[#This Row],[Date]],2)-WEEKNUM(DATE(YEAR(datos_siembra[[#This Row],[Date]]),MONTH(datos_siembra[[#This Row],[Date]]),1))+1</f>
        <v>2</v>
      </c>
      <c r="S3678">
        <f>MONTH(datos_siembra[[#This Row],[Date]])</f>
        <v>10</v>
      </c>
      <c r="T3678" t="str" cm="1">
        <f t="array" ref="T3678">_xlfn.IFS(AND(N3678&lt;= 22, S3678=9), "SOWING",AND(N3678&lt;= 28, S3678=9), "COVERAGE",AND(N3678&lt;= 30, S3678=9), "FLUSH",AND(N3678&lt;= 11, S3678=10), "FLUSH",AND(N3678&lt;= 21, S3678=10), "PRODUCTION")</f>
        <v>PRODUCTION</v>
      </c>
      <c r="U3678">
        <f>HOUR(datos_siembra[[#This Row],[Hour]])</f>
        <v>8</v>
      </c>
      <c r="V3678" cm="1">
        <f t="array" ref="V3678">_xlfn.IFS(AND(N3678&lt;= 22, S3678=9), N3678-7,AND(N3678&lt;= 28, S3678=9), N3678-25,AND(N3678&lt;= 30, S3678=9), N3678-28,AND(N3678&lt;= 11, S3678=10), N3678+2,AND(N3678&lt;= 21, S3678=10), N3678-11)</f>
        <v>1</v>
      </c>
    </row>
    <row r="3679" spans="1:22" x14ac:dyDescent="0.35">
      <c r="A3679" s="4">
        <v>45577</v>
      </c>
      <c r="B3679" s="5">
        <v>0.34715277777777775</v>
      </c>
      <c r="C3679">
        <v>75.400000000000006</v>
      </c>
      <c r="D3679">
        <v>72.2</v>
      </c>
      <c r="E3679">
        <v>75.099999999999994</v>
      </c>
      <c r="F3679">
        <v>74.3</v>
      </c>
      <c r="G3679">
        <v>0</v>
      </c>
      <c r="H3679">
        <v>0</v>
      </c>
      <c r="I3679">
        <v>0</v>
      </c>
      <c r="J3679">
        <v>0</v>
      </c>
      <c r="K3679">
        <v>64.3</v>
      </c>
      <c r="L3679">
        <v>63</v>
      </c>
      <c r="M3679">
        <v>74.13</v>
      </c>
      <c r="N3679">
        <v>12</v>
      </c>
      <c r="O3679">
        <v>4</v>
      </c>
      <c r="P3679">
        <f>MOD(DAY(datos_siembra[[#This Row],[Date]]),7)</f>
        <v>5</v>
      </c>
      <c r="Q3679" t="str">
        <f>CHOOSE(WEEKDAY(datos_siembra[[#This Row],[Date]],2),"L","M","X","J","V","S","D")</f>
        <v>S</v>
      </c>
      <c r="R3679">
        <f>WEEKNUM(datos_siembra[[#This Row],[Date]],2)-WEEKNUM(DATE(YEAR(datos_siembra[[#This Row],[Date]]),MONTH(datos_siembra[[#This Row],[Date]]),1))+1</f>
        <v>2</v>
      </c>
      <c r="S3679">
        <f>MONTH(datos_siembra[[#This Row],[Date]])</f>
        <v>10</v>
      </c>
      <c r="T3679" t="str" cm="1">
        <f t="array" ref="T3679">_xlfn.IFS(AND(N3679&lt;= 22, S3679=9), "SOWING",AND(N3679&lt;= 28, S3679=9), "COVERAGE",AND(N3679&lt;= 30, S3679=9), "FLUSH",AND(N3679&lt;= 11, S3679=10), "FLUSH",AND(N3679&lt;= 21, S3679=10), "PRODUCTION")</f>
        <v>PRODUCTION</v>
      </c>
      <c r="U3679">
        <f>HOUR(datos_siembra[[#This Row],[Hour]])</f>
        <v>8</v>
      </c>
      <c r="V3679" cm="1">
        <f t="array" ref="V3679">_xlfn.IFS(AND(N3679&lt;= 22, S3679=9), N3679-7,AND(N3679&lt;= 28, S3679=9), N3679-25,AND(N3679&lt;= 30, S3679=9), N3679-28,AND(N3679&lt;= 11, S3679=10), N3679+2,AND(N3679&lt;= 21, S3679=10), N3679-11)</f>
        <v>1</v>
      </c>
    </row>
    <row r="3680" spans="1:22" x14ac:dyDescent="0.35">
      <c r="A3680" s="4">
        <v>45577</v>
      </c>
      <c r="B3680" s="5">
        <v>0.35409722222222223</v>
      </c>
      <c r="C3680">
        <v>75.400000000000006</v>
      </c>
      <c r="D3680">
        <v>72.400000000000006</v>
      </c>
      <c r="E3680">
        <v>75.400000000000006</v>
      </c>
      <c r="F3680">
        <v>74.400000000000006</v>
      </c>
      <c r="G3680">
        <v>0</v>
      </c>
      <c r="H3680">
        <v>0</v>
      </c>
      <c r="I3680">
        <v>0</v>
      </c>
      <c r="J3680">
        <v>0</v>
      </c>
      <c r="K3680">
        <v>63.9</v>
      </c>
      <c r="L3680">
        <v>63</v>
      </c>
      <c r="M3680">
        <v>74.41</v>
      </c>
      <c r="N3680">
        <v>12</v>
      </c>
      <c r="O3680">
        <v>4</v>
      </c>
      <c r="P3680">
        <f>MOD(DAY(datos_siembra[[#This Row],[Date]]),7)</f>
        <v>5</v>
      </c>
      <c r="Q3680" t="str">
        <f>CHOOSE(WEEKDAY(datos_siembra[[#This Row],[Date]],2),"L","M","X","J","V","S","D")</f>
        <v>S</v>
      </c>
      <c r="R3680">
        <f>WEEKNUM(datos_siembra[[#This Row],[Date]],2)-WEEKNUM(DATE(YEAR(datos_siembra[[#This Row],[Date]]),MONTH(datos_siembra[[#This Row],[Date]]),1))+1</f>
        <v>2</v>
      </c>
      <c r="S3680">
        <f>MONTH(datos_siembra[[#This Row],[Date]])</f>
        <v>10</v>
      </c>
      <c r="T3680" t="str" cm="1">
        <f t="array" ref="T3680">_xlfn.IFS(AND(N3680&lt;= 22, S3680=9), "SOWING",AND(N3680&lt;= 28, S3680=9), "COVERAGE",AND(N3680&lt;= 30, S3680=9), "FLUSH",AND(N3680&lt;= 11, S3680=10), "FLUSH",AND(N3680&lt;= 21, S3680=10), "PRODUCTION")</f>
        <v>PRODUCTION</v>
      </c>
      <c r="U3680">
        <f>HOUR(datos_siembra[[#This Row],[Hour]])</f>
        <v>8</v>
      </c>
      <c r="V3680" cm="1">
        <f t="array" ref="V3680">_xlfn.IFS(AND(N3680&lt;= 22, S3680=9), N3680-7,AND(N3680&lt;= 28, S3680=9), N3680-25,AND(N3680&lt;= 30, S3680=9), N3680-28,AND(N3680&lt;= 11, S3680=10), N3680+2,AND(N3680&lt;= 21, S3680=10), N3680-11)</f>
        <v>1</v>
      </c>
    </row>
    <row r="3681" spans="1:22" x14ac:dyDescent="0.35">
      <c r="A3681" s="4">
        <v>45577</v>
      </c>
      <c r="B3681" s="5">
        <v>0.36104166666666665</v>
      </c>
      <c r="C3681">
        <v>75.400000000000006</v>
      </c>
      <c r="D3681">
        <v>72.3</v>
      </c>
      <c r="E3681">
        <v>75.2</v>
      </c>
      <c r="F3681">
        <v>74.3</v>
      </c>
      <c r="G3681">
        <v>0</v>
      </c>
      <c r="H3681">
        <v>0</v>
      </c>
      <c r="I3681">
        <v>0</v>
      </c>
      <c r="J3681">
        <v>0</v>
      </c>
      <c r="K3681">
        <v>63.8</v>
      </c>
      <c r="L3681">
        <v>62.9</v>
      </c>
      <c r="M3681">
        <v>74.27</v>
      </c>
      <c r="N3681">
        <v>12</v>
      </c>
      <c r="O3681">
        <v>4</v>
      </c>
      <c r="P3681">
        <f>MOD(DAY(datos_siembra[[#This Row],[Date]]),7)</f>
        <v>5</v>
      </c>
      <c r="Q3681" t="str">
        <f>CHOOSE(WEEKDAY(datos_siembra[[#This Row],[Date]],2),"L","M","X","J","V","S","D")</f>
        <v>S</v>
      </c>
      <c r="R3681">
        <f>WEEKNUM(datos_siembra[[#This Row],[Date]],2)-WEEKNUM(DATE(YEAR(datos_siembra[[#This Row],[Date]]),MONTH(datos_siembra[[#This Row],[Date]]),1))+1</f>
        <v>2</v>
      </c>
      <c r="S3681">
        <f>MONTH(datos_siembra[[#This Row],[Date]])</f>
        <v>10</v>
      </c>
      <c r="T3681" t="str" cm="1">
        <f t="array" ref="T3681">_xlfn.IFS(AND(N3681&lt;= 22, S3681=9), "SOWING",AND(N3681&lt;= 28, S3681=9), "COVERAGE",AND(N3681&lt;= 30, S3681=9), "FLUSH",AND(N3681&lt;= 11, S3681=10), "FLUSH",AND(N3681&lt;= 21, S3681=10), "PRODUCTION")</f>
        <v>PRODUCTION</v>
      </c>
      <c r="U3681">
        <f>HOUR(datos_siembra[[#This Row],[Hour]])</f>
        <v>8</v>
      </c>
      <c r="V3681" cm="1">
        <f t="array" ref="V3681">_xlfn.IFS(AND(N3681&lt;= 22, S3681=9), N3681-7,AND(N3681&lt;= 28, S3681=9), N3681-25,AND(N3681&lt;= 30, S3681=9), N3681-28,AND(N3681&lt;= 11, S3681=10), N3681+2,AND(N3681&lt;= 21, S3681=10), N3681-11)</f>
        <v>1</v>
      </c>
    </row>
    <row r="3682" spans="1:22" x14ac:dyDescent="0.35">
      <c r="A3682" s="4">
        <v>45577</v>
      </c>
      <c r="B3682" s="5">
        <v>0.36799768518518516</v>
      </c>
      <c r="C3682">
        <v>75.400000000000006</v>
      </c>
      <c r="D3682">
        <v>72.2</v>
      </c>
      <c r="E3682">
        <v>75.099999999999994</v>
      </c>
      <c r="F3682">
        <v>74.2</v>
      </c>
      <c r="G3682">
        <v>0</v>
      </c>
      <c r="H3682">
        <v>0</v>
      </c>
      <c r="I3682">
        <v>0</v>
      </c>
      <c r="J3682">
        <v>0</v>
      </c>
      <c r="K3682">
        <v>63.8</v>
      </c>
      <c r="L3682">
        <v>63</v>
      </c>
      <c r="M3682">
        <v>74.239999999999995</v>
      </c>
      <c r="N3682">
        <v>12</v>
      </c>
      <c r="O3682">
        <v>4</v>
      </c>
      <c r="P3682">
        <f>MOD(DAY(datos_siembra[[#This Row],[Date]]),7)</f>
        <v>5</v>
      </c>
      <c r="Q3682" t="str">
        <f>CHOOSE(WEEKDAY(datos_siembra[[#This Row],[Date]],2),"L","M","X","J","V","S","D")</f>
        <v>S</v>
      </c>
      <c r="R3682">
        <f>WEEKNUM(datos_siembra[[#This Row],[Date]],2)-WEEKNUM(DATE(YEAR(datos_siembra[[#This Row],[Date]]),MONTH(datos_siembra[[#This Row],[Date]]),1))+1</f>
        <v>2</v>
      </c>
      <c r="S3682">
        <f>MONTH(datos_siembra[[#This Row],[Date]])</f>
        <v>10</v>
      </c>
      <c r="T3682" t="str" cm="1">
        <f t="array" ref="T3682">_xlfn.IFS(AND(N3682&lt;= 22, S3682=9), "SOWING",AND(N3682&lt;= 28, S3682=9), "COVERAGE",AND(N3682&lt;= 30, S3682=9), "FLUSH",AND(N3682&lt;= 11, S3682=10), "FLUSH",AND(N3682&lt;= 21, S3682=10), "PRODUCTION")</f>
        <v>PRODUCTION</v>
      </c>
      <c r="U3682">
        <f>HOUR(datos_siembra[[#This Row],[Hour]])</f>
        <v>8</v>
      </c>
      <c r="V3682" cm="1">
        <f t="array" ref="V3682">_xlfn.IFS(AND(N3682&lt;= 22, S3682=9), N3682-7,AND(N3682&lt;= 28, S3682=9), N3682-25,AND(N3682&lt;= 30, S3682=9), N3682-28,AND(N3682&lt;= 11, S3682=10), N3682+2,AND(N3682&lt;= 21, S3682=10), N3682-11)</f>
        <v>1</v>
      </c>
    </row>
    <row r="3683" spans="1:22" x14ac:dyDescent="0.35">
      <c r="A3683" s="4">
        <v>45577</v>
      </c>
      <c r="B3683" s="5">
        <v>0.37494212962962964</v>
      </c>
      <c r="C3683">
        <v>75.400000000000006</v>
      </c>
      <c r="D3683">
        <v>72.2</v>
      </c>
      <c r="E3683">
        <v>75</v>
      </c>
      <c r="F3683">
        <v>74.3</v>
      </c>
      <c r="G3683">
        <v>0</v>
      </c>
      <c r="H3683">
        <v>0</v>
      </c>
      <c r="I3683">
        <v>0</v>
      </c>
      <c r="J3683">
        <v>0</v>
      </c>
      <c r="K3683">
        <v>63.9</v>
      </c>
      <c r="L3683">
        <v>63.2</v>
      </c>
      <c r="M3683">
        <v>74.19</v>
      </c>
      <c r="N3683">
        <v>12</v>
      </c>
      <c r="O3683">
        <v>4</v>
      </c>
      <c r="P3683">
        <f>MOD(DAY(datos_siembra[[#This Row],[Date]]),7)</f>
        <v>5</v>
      </c>
      <c r="Q3683" t="str">
        <f>CHOOSE(WEEKDAY(datos_siembra[[#This Row],[Date]],2),"L","M","X","J","V","S","D")</f>
        <v>S</v>
      </c>
      <c r="R3683">
        <f>WEEKNUM(datos_siembra[[#This Row],[Date]],2)-WEEKNUM(DATE(YEAR(datos_siembra[[#This Row],[Date]]),MONTH(datos_siembra[[#This Row],[Date]]),1))+1</f>
        <v>2</v>
      </c>
      <c r="S3683">
        <f>MONTH(datos_siembra[[#This Row],[Date]])</f>
        <v>10</v>
      </c>
      <c r="T3683" t="str" cm="1">
        <f t="array" ref="T3683">_xlfn.IFS(AND(N3683&lt;= 22, S3683=9), "SOWING",AND(N3683&lt;= 28, S3683=9), "COVERAGE",AND(N3683&lt;= 30, S3683=9), "FLUSH",AND(N3683&lt;= 11, S3683=10), "FLUSH",AND(N3683&lt;= 21, S3683=10), "PRODUCTION")</f>
        <v>PRODUCTION</v>
      </c>
      <c r="U3683">
        <f>HOUR(datos_siembra[[#This Row],[Hour]])</f>
        <v>8</v>
      </c>
      <c r="V3683" cm="1">
        <f t="array" ref="V3683">_xlfn.IFS(AND(N3683&lt;= 22, S3683=9), N3683-7,AND(N3683&lt;= 28, S3683=9), N3683-25,AND(N3683&lt;= 30, S3683=9), N3683-28,AND(N3683&lt;= 11, S3683=10), N3683+2,AND(N3683&lt;= 21, S3683=10), N3683-11)</f>
        <v>1</v>
      </c>
    </row>
    <row r="3684" spans="1:22" x14ac:dyDescent="0.35">
      <c r="A3684" s="4">
        <v>45577</v>
      </c>
      <c r="B3684" s="5">
        <v>0.38188657407407406</v>
      </c>
      <c r="C3684">
        <v>75.400000000000006</v>
      </c>
      <c r="D3684">
        <v>72.3</v>
      </c>
      <c r="E3684">
        <v>75</v>
      </c>
      <c r="F3684">
        <v>74.400000000000006</v>
      </c>
      <c r="G3684">
        <v>0</v>
      </c>
      <c r="H3684">
        <v>0</v>
      </c>
      <c r="I3684">
        <v>0</v>
      </c>
      <c r="J3684">
        <v>0</v>
      </c>
      <c r="K3684">
        <v>64.099999999999994</v>
      </c>
      <c r="L3684">
        <v>63.3</v>
      </c>
      <c r="M3684">
        <v>74.3</v>
      </c>
      <c r="N3684">
        <v>12</v>
      </c>
      <c r="O3684">
        <v>4</v>
      </c>
      <c r="P3684">
        <f>MOD(DAY(datos_siembra[[#This Row],[Date]]),7)</f>
        <v>5</v>
      </c>
      <c r="Q3684" t="str">
        <f>CHOOSE(WEEKDAY(datos_siembra[[#This Row],[Date]],2),"L","M","X","J","V","S","D")</f>
        <v>S</v>
      </c>
      <c r="R3684">
        <f>WEEKNUM(datos_siembra[[#This Row],[Date]],2)-WEEKNUM(DATE(YEAR(datos_siembra[[#This Row],[Date]]),MONTH(datos_siembra[[#This Row],[Date]]),1))+1</f>
        <v>2</v>
      </c>
      <c r="S3684">
        <f>MONTH(datos_siembra[[#This Row],[Date]])</f>
        <v>10</v>
      </c>
      <c r="T3684" t="str" cm="1">
        <f t="array" ref="T3684">_xlfn.IFS(AND(N3684&lt;= 22, S3684=9), "SOWING",AND(N3684&lt;= 28, S3684=9), "COVERAGE",AND(N3684&lt;= 30, S3684=9), "FLUSH",AND(N3684&lt;= 11, S3684=10), "FLUSH",AND(N3684&lt;= 21, S3684=10), "PRODUCTION")</f>
        <v>PRODUCTION</v>
      </c>
      <c r="U3684">
        <f>HOUR(datos_siembra[[#This Row],[Hour]])</f>
        <v>9</v>
      </c>
      <c r="V3684" cm="1">
        <f t="array" ref="V3684">_xlfn.IFS(AND(N3684&lt;= 22, S3684=9), N3684-7,AND(N3684&lt;= 28, S3684=9), N3684-25,AND(N3684&lt;= 30, S3684=9), N3684-28,AND(N3684&lt;= 11, S3684=10), N3684+2,AND(N3684&lt;= 21, S3684=10), N3684-11)</f>
        <v>1</v>
      </c>
    </row>
    <row r="3685" spans="1:22" x14ac:dyDescent="0.35">
      <c r="A3685" s="4">
        <v>45577</v>
      </c>
      <c r="B3685" s="5">
        <v>0.38884259259259257</v>
      </c>
      <c r="C3685">
        <v>75.3</v>
      </c>
      <c r="D3685">
        <v>72.400000000000006</v>
      </c>
      <c r="E3685">
        <v>75.099999999999994</v>
      </c>
      <c r="F3685">
        <v>74.3</v>
      </c>
      <c r="G3685">
        <v>0</v>
      </c>
      <c r="H3685">
        <v>0</v>
      </c>
      <c r="I3685">
        <v>0</v>
      </c>
      <c r="J3685">
        <v>0</v>
      </c>
      <c r="K3685">
        <v>64.400000000000006</v>
      </c>
      <c r="L3685">
        <v>63.6</v>
      </c>
      <c r="M3685">
        <v>74.22</v>
      </c>
      <c r="N3685">
        <v>12</v>
      </c>
      <c r="O3685">
        <v>4</v>
      </c>
      <c r="P3685">
        <f>MOD(DAY(datos_siembra[[#This Row],[Date]]),7)</f>
        <v>5</v>
      </c>
      <c r="Q3685" t="str">
        <f>CHOOSE(WEEKDAY(datos_siembra[[#This Row],[Date]],2),"L","M","X","J","V","S","D")</f>
        <v>S</v>
      </c>
      <c r="R3685">
        <f>WEEKNUM(datos_siembra[[#This Row],[Date]],2)-WEEKNUM(DATE(YEAR(datos_siembra[[#This Row],[Date]]),MONTH(datos_siembra[[#This Row],[Date]]),1))+1</f>
        <v>2</v>
      </c>
      <c r="S3685">
        <f>MONTH(datos_siembra[[#This Row],[Date]])</f>
        <v>10</v>
      </c>
      <c r="T3685" t="str" cm="1">
        <f t="array" ref="T3685">_xlfn.IFS(AND(N3685&lt;= 22, S3685=9), "SOWING",AND(N3685&lt;= 28, S3685=9), "COVERAGE",AND(N3685&lt;= 30, S3685=9), "FLUSH",AND(N3685&lt;= 11, S3685=10), "FLUSH",AND(N3685&lt;= 21, S3685=10), "PRODUCTION")</f>
        <v>PRODUCTION</v>
      </c>
      <c r="U3685">
        <f>HOUR(datos_siembra[[#This Row],[Hour]])</f>
        <v>9</v>
      </c>
      <c r="V3685" cm="1">
        <f t="array" ref="V3685">_xlfn.IFS(AND(N3685&lt;= 22, S3685=9), N3685-7,AND(N3685&lt;= 28, S3685=9), N3685-25,AND(N3685&lt;= 30, S3685=9), N3685-28,AND(N3685&lt;= 11, S3685=10), N3685+2,AND(N3685&lt;= 21, S3685=10), N3685-11)</f>
        <v>1</v>
      </c>
    </row>
    <row r="3686" spans="1:22" x14ac:dyDescent="0.35">
      <c r="A3686" s="4">
        <v>45577</v>
      </c>
      <c r="B3686" s="5">
        <v>0.39578703703703705</v>
      </c>
      <c r="C3686">
        <v>75.5</v>
      </c>
      <c r="D3686">
        <v>72.2</v>
      </c>
      <c r="E3686">
        <v>74.8</v>
      </c>
      <c r="F3686">
        <v>74.3</v>
      </c>
      <c r="G3686">
        <v>0</v>
      </c>
      <c r="H3686">
        <v>0</v>
      </c>
      <c r="I3686">
        <v>0</v>
      </c>
      <c r="J3686">
        <v>0</v>
      </c>
      <c r="K3686">
        <v>64.599999999999994</v>
      </c>
      <c r="L3686">
        <v>63.9</v>
      </c>
      <c r="M3686">
        <v>74.19</v>
      </c>
      <c r="N3686">
        <v>12</v>
      </c>
      <c r="O3686">
        <v>4</v>
      </c>
      <c r="P3686">
        <f>MOD(DAY(datos_siembra[[#This Row],[Date]]),7)</f>
        <v>5</v>
      </c>
      <c r="Q3686" t="str">
        <f>CHOOSE(WEEKDAY(datos_siembra[[#This Row],[Date]],2),"L","M","X","J","V","S","D")</f>
        <v>S</v>
      </c>
      <c r="R3686">
        <f>WEEKNUM(datos_siembra[[#This Row],[Date]],2)-WEEKNUM(DATE(YEAR(datos_siembra[[#This Row],[Date]]),MONTH(datos_siembra[[#This Row],[Date]]),1))+1</f>
        <v>2</v>
      </c>
      <c r="S3686">
        <f>MONTH(datos_siembra[[#This Row],[Date]])</f>
        <v>10</v>
      </c>
      <c r="T3686" t="str" cm="1">
        <f t="array" ref="T3686">_xlfn.IFS(AND(N3686&lt;= 22, S3686=9), "SOWING",AND(N3686&lt;= 28, S3686=9), "COVERAGE",AND(N3686&lt;= 30, S3686=9), "FLUSH",AND(N3686&lt;= 11, S3686=10), "FLUSH",AND(N3686&lt;= 21, S3686=10), "PRODUCTION")</f>
        <v>PRODUCTION</v>
      </c>
      <c r="U3686">
        <f>HOUR(datos_siembra[[#This Row],[Hour]])</f>
        <v>9</v>
      </c>
      <c r="V3686" cm="1">
        <f t="array" ref="V3686">_xlfn.IFS(AND(N3686&lt;= 22, S3686=9), N3686-7,AND(N3686&lt;= 28, S3686=9), N3686-25,AND(N3686&lt;= 30, S3686=9), N3686-28,AND(N3686&lt;= 11, S3686=10), N3686+2,AND(N3686&lt;= 21, S3686=10), N3686-11)</f>
        <v>1</v>
      </c>
    </row>
    <row r="3687" spans="1:22" x14ac:dyDescent="0.35">
      <c r="A3687" s="4">
        <v>45577</v>
      </c>
      <c r="B3687" s="5">
        <v>0.40273148148148147</v>
      </c>
      <c r="C3687">
        <v>75.400000000000006</v>
      </c>
      <c r="D3687">
        <v>72.2</v>
      </c>
      <c r="E3687">
        <v>74.8</v>
      </c>
      <c r="F3687">
        <v>74.3</v>
      </c>
      <c r="G3687">
        <v>0</v>
      </c>
      <c r="H3687">
        <v>0</v>
      </c>
      <c r="I3687">
        <v>0</v>
      </c>
      <c r="J3687">
        <v>0</v>
      </c>
      <c r="K3687">
        <v>64.599999999999994</v>
      </c>
      <c r="L3687">
        <v>64.3</v>
      </c>
      <c r="M3687">
        <v>74.069999999999993</v>
      </c>
      <c r="N3687">
        <v>12</v>
      </c>
      <c r="O3687">
        <v>4</v>
      </c>
      <c r="P3687">
        <f>MOD(DAY(datos_siembra[[#This Row],[Date]]),7)</f>
        <v>5</v>
      </c>
      <c r="Q3687" t="str">
        <f>CHOOSE(WEEKDAY(datos_siembra[[#This Row],[Date]],2),"L","M","X","J","V","S","D")</f>
        <v>S</v>
      </c>
      <c r="R3687">
        <f>WEEKNUM(datos_siembra[[#This Row],[Date]],2)-WEEKNUM(DATE(YEAR(datos_siembra[[#This Row],[Date]]),MONTH(datos_siembra[[#This Row],[Date]]),1))+1</f>
        <v>2</v>
      </c>
      <c r="S3687">
        <f>MONTH(datos_siembra[[#This Row],[Date]])</f>
        <v>10</v>
      </c>
      <c r="T3687" t="str" cm="1">
        <f t="array" ref="T3687">_xlfn.IFS(AND(N3687&lt;= 22, S3687=9), "SOWING",AND(N3687&lt;= 28, S3687=9), "COVERAGE",AND(N3687&lt;= 30, S3687=9), "FLUSH",AND(N3687&lt;= 11, S3687=10), "FLUSH",AND(N3687&lt;= 21, S3687=10), "PRODUCTION")</f>
        <v>PRODUCTION</v>
      </c>
      <c r="U3687">
        <f>HOUR(datos_siembra[[#This Row],[Hour]])</f>
        <v>9</v>
      </c>
      <c r="V3687" cm="1">
        <f t="array" ref="V3687">_xlfn.IFS(AND(N3687&lt;= 22, S3687=9), N3687-7,AND(N3687&lt;= 28, S3687=9), N3687-25,AND(N3687&lt;= 30, S3687=9), N3687-28,AND(N3687&lt;= 11, S3687=10), N3687+2,AND(N3687&lt;= 21, S3687=10), N3687-11)</f>
        <v>1</v>
      </c>
    </row>
    <row r="3688" spans="1:22" x14ac:dyDescent="0.35">
      <c r="A3688" s="4">
        <v>45577</v>
      </c>
      <c r="B3688" s="5">
        <v>0.40967592592592594</v>
      </c>
      <c r="C3688">
        <v>75.3</v>
      </c>
      <c r="D3688">
        <v>72.099999999999994</v>
      </c>
      <c r="E3688">
        <v>74.599999999999994</v>
      </c>
      <c r="F3688">
        <v>74.2</v>
      </c>
      <c r="G3688">
        <v>0</v>
      </c>
      <c r="H3688">
        <v>0</v>
      </c>
      <c r="I3688">
        <v>0</v>
      </c>
      <c r="J3688">
        <v>0</v>
      </c>
      <c r="K3688">
        <v>64.599999999999994</v>
      </c>
      <c r="L3688">
        <v>64.3</v>
      </c>
      <c r="M3688">
        <v>74.069999999999993</v>
      </c>
      <c r="N3688">
        <v>12</v>
      </c>
      <c r="O3688">
        <v>4</v>
      </c>
      <c r="P3688">
        <f>MOD(DAY(datos_siembra[[#This Row],[Date]]),7)</f>
        <v>5</v>
      </c>
      <c r="Q3688" t="str">
        <f>CHOOSE(WEEKDAY(datos_siembra[[#This Row],[Date]],2),"L","M","X","J","V","S","D")</f>
        <v>S</v>
      </c>
      <c r="R3688">
        <f>WEEKNUM(datos_siembra[[#This Row],[Date]],2)-WEEKNUM(DATE(YEAR(datos_siembra[[#This Row],[Date]]),MONTH(datos_siembra[[#This Row],[Date]]),1))+1</f>
        <v>2</v>
      </c>
      <c r="S3688">
        <f>MONTH(datos_siembra[[#This Row],[Date]])</f>
        <v>10</v>
      </c>
      <c r="T3688" t="str" cm="1">
        <f t="array" ref="T3688">_xlfn.IFS(AND(N3688&lt;= 22, S3688=9), "SOWING",AND(N3688&lt;= 28, S3688=9), "COVERAGE",AND(N3688&lt;= 30, S3688=9), "FLUSH",AND(N3688&lt;= 11, S3688=10), "FLUSH",AND(N3688&lt;= 21, S3688=10), "PRODUCTION")</f>
        <v>PRODUCTION</v>
      </c>
      <c r="U3688">
        <f>HOUR(datos_siembra[[#This Row],[Hour]])</f>
        <v>9</v>
      </c>
      <c r="V3688" cm="1">
        <f t="array" ref="V3688">_xlfn.IFS(AND(N3688&lt;= 22, S3688=9), N3688-7,AND(N3688&lt;= 28, S3688=9), N3688-25,AND(N3688&lt;= 30, S3688=9), N3688-28,AND(N3688&lt;= 11, S3688=10), N3688+2,AND(N3688&lt;= 21, S3688=10), N3688-11)</f>
        <v>1</v>
      </c>
    </row>
    <row r="3689" spans="1:22" x14ac:dyDescent="0.35">
      <c r="A3689" s="4">
        <v>45577</v>
      </c>
      <c r="B3689" s="5">
        <v>0.41663194444444446</v>
      </c>
      <c r="C3689">
        <v>75.400000000000006</v>
      </c>
      <c r="D3689">
        <v>72.2</v>
      </c>
      <c r="E3689">
        <v>74.5</v>
      </c>
      <c r="F3689">
        <v>74.099999999999994</v>
      </c>
      <c r="G3689">
        <v>0</v>
      </c>
      <c r="H3689">
        <v>0</v>
      </c>
      <c r="I3689">
        <v>0</v>
      </c>
      <c r="J3689">
        <v>0</v>
      </c>
      <c r="K3689">
        <v>64.7</v>
      </c>
      <c r="L3689">
        <v>64.5</v>
      </c>
      <c r="M3689">
        <v>74.02</v>
      </c>
      <c r="N3689">
        <v>12</v>
      </c>
      <c r="O3689">
        <v>4</v>
      </c>
      <c r="P3689">
        <f>MOD(DAY(datos_siembra[[#This Row],[Date]]),7)</f>
        <v>5</v>
      </c>
      <c r="Q3689" t="str">
        <f>CHOOSE(WEEKDAY(datos_siembra[[#This Row],[Date]],2),"L","M","X","J","V","S","D")</f>
        <v>S</v>
      </c>
      <c r="R3689">
        <f>WEEKNUM(datos_siembra[[#This Row],[Date]],2)-WEEKNUM(DATE(YEAR(datos_siembra[[#This Row],[Date]]),MONTH(datos_siembra[[#This Row],[Date]]),1))+1</f>
        <v>2</v>
      </c>
      <c r="S3689">
        <f>MONTH(datos_siembra[[#This Row],[Date]])</f>
        <v>10</v>
      </c>
      <c r="T3689" t="str" cm="1">
        <f t="array" ref="T3689">_xlfn.IFS(AND(N3689&lt;= 22, S3689=9), "SOWING",AND(N3689&lt;= 28, S3689=9), "COVERAGE",AND(N3689&lt;= 30, S3689=9), "FLUSH",AND(N3689&lt;= 11, S3689=10), "FLUSH",AND(N3689&lt;= 21, S3689=10), "PRODUCTION")</f>
        <v>PRODUCTION</v>
      </c>
      <c r="U3689">
        <f>HOUR(datos_siembra[[#This Row],[Hour]])</f>
        <v>9</v>
      </c>
      <c r="V3689" cm="1">
        <f t="array" ref="V3689">_xlfn.IFS(AND(N3689&lt;= 22, S3689=9), N3689-7,AND(N3689&lt;= 28, S3689=9), N3689-25,AND(N3689&lt;= 30, S3689=9), N3689-28,AND(N3689&lt;= 11, S3689=10), N3689+2,AND(N3689&lt;= 21, S3689=10), N3689-11)</f>
        <v>1</v>
      </c>
    </row>
    <row r="3690" spans="1:22" x14ac:dyDescent="0.35">
      <c r="A3690" s="4">
        <v>45577</v>
      </c>
      <c r="B3690" s="5">
        <v>0.42357638888888888</v>
      </c>
      <c r="C3690">
        <v>75.400000000000006</v>
      </c>
      <c r="D3690">
        <v>72.099999999999994</v>
      </c>
      <c r="E3690">
        <v>74.599999999999994</v>
      </c>
      <c r="F3690">
        <v>74.099999999999994</v>
      </c>
      <c r="G3690">
        <v>0</v>
      </c>
      <c r="H3690">
        <v>0</v>
      </c>
      <c r="I3690">
        <v>0</v>
      </c>
      <c r="J3690">
        <v>0</v>
      </c>
      <c r="K3690">
        <v>64.7</v>
      </c>
      <c r="L3690">
        <v>64.5</v>
      </c>
      <c r="M3690">
        <v>74.069999999999993</v>
      </c>
      <c r="N3690">
        <v>12</v>
      </c>
      <c r="O3690">
        <v>4</v>
      </c>
      <c r="P3690">
        <f>MOD(DAY(datos_siembra[[#This Row],[Date]]),7)</f>
        <v>5</v>
      </c>
      <c r="Q3690" t="str">
        <f>CHOOSE(WEEKDAY(datos_siembra[[#This Row],[Date]],2),"L","M","X","J","V","S","D")</f>
        <v>S</v>
      </c>
      <c r="R3690">
        <f>WEEKNUM(datos_siembra[[#This Row],[Date]],2)-WEEKNUM(DATE(YEAR(datos_siembra[[#This Row],[Date]]),MONTH(datos_siembra[[#This Row],[Date]]),1))+1</f>
        <v>2</v>
      </c>
      <c r="S3690">
        <f>MONTH(datos_siembra[[#This Row],[Date]])</f>
        <v>10</v>
      </c>
      <c r="T3690" t="str" cm="1">
        <f t="array" ref="T3690">_xlfn.IFS(AND(N3690&lt;= 22, S3690=9), "SOWING",AND(N3690&lt;= 28, S3690=9), "COVERAGE",AND(N3690&lt;= 30, S3690=9), "FLUSH",AND(N3690&lt;= 11, S3690=10), "FLUSH",AND(N3690&lt;= 21, S3690=10), "PRODUCTION")</f>
        <v>PRODUCTION</v>
      </c>
      <c r="U3690">
        <f>HOUR(datos_siembra[[#This Row],[Hour]])</f>
        <v>10</v>
      </c>
      <c r="V3690" cm="1">
        <f t="array" ref="V3690">_xlfn.IFS(AND(N3690&lt;= 22, S3690=9), N3690-7,AND(N3690&lt;= 28, S3690=9), N3690-25,AND(N3690&lt;= 30, S3690=9), N3690-28,AND(N3690&lt;= 11, S3690=10), N3690+2,AND(N3690&lt;= 21, S3690=10), N3690-11)</f>
        <v>1</v>
      </c>
    </row>
    <row r="3691" spans="1:22" x14ac:dyDescent="0.35">
      <c r="A3691" s="4">
        <v>45577</v>
      </c>
      <c r="B3691" s="5">
        <v>0.43052083333333335</v>
      </c>
      <c r="C3691">
        <v>75.3</v>
      </c>
      <c r="D3691">
        <v>72.3</v>
      </c>
      <c r="E3691">
        <v>74.599999999999994</v>
      </c>
      <c r="F3691">
        <v>74</v>
      </c>
      <c r="G3691">
        <v>0</v>
      </c>
      <c r="H3691">
        <v>0</v>
      </c>
      <c r="I3691">
        <v>0</v>
      </c>
      <c r="J3691">
        <v>0</v>
      </c>
      <c r="K3691">
        <v>64.7</v>
      </c>
      <c r="L3691">
        <v>64.599999999999994</v>
      </c>
      <c r="M3691">
        <v>74.069999999999993</v>
      </c>
      <c r="N3691">
        <v>12</v>
      </c>
      <c r="O3691">
        <v>4</v>
      </c>
      <c r="P3691">
        <f>MOD(DAY(datos_siembra[[#This Row],[Date]]),7)</f>
        <v>5</v>
      </c>
      <c r="Q3691" t="str">
        <f>CHOOSE(WEEKDAY(datos_siembra[[#This Row],[Date]],2),"L","M","X","J","V","S","D")</f>
        <v>S</v>
      </c>
      <c r="R3691">
        <f>WEEKNUM(datos_siembra[[#This Row],[Date]],2)-WEEKNUM(DATE(YEAR(datos_siembra[[#This Row],[Date]]),MONTH(datos_siembra[[#This Row],[Date]]),1))+1</f>
        <v>2</v>
      </c>
      <c r="S3691">
        <f>MONTH(datos_siembra[[#This Row],[Date]])</f>
        <v>10</v>
      </c>
      <c r="T3691" t="str" cm="1">
        <f t="array" ref="T3691">_xlfn.IFS(AND(N3691&lt;= 22, S3691=9), "SOWING",AND(N3691&lt;= 28, S3691=9), "COVERAGE",AND(N3691&lt;= 30, S3691=9), "FLUSH",AND(N3691&lt;= 11, S3691=10), "FLUSH",AND(N3691&lt;= 21, S3691=10), "PRODUCTION")</f>
        <v>PRODUCTION</v>
      </c>
      <c r="U3691">
        <f>HOUR(datos_siembra[[#This Row],[Hour]])</f>
        <v>10</v>
      </c>
      <c r="V3691" cm="1">
        <f t="array" ref="V3691">_xlfn.IFS(AND(N3691&lt;= 22, S3691=9), N3691-7,AND(N3691&lt;= 28, S3691=9), N3691-25,AND(N3691&lt;= 30, S3691=9), N3691-28,AND(N3691&lt;= 11, S3691=10), N3691+2,AND(N3691&lt;= 21, S3691=10), N3691-11)</f>
        <v>1</v>
      </c>
    </row>
    <row r="3692" spans="1:22" x14ac:dyDescent="0.35">
      <c r="A3692" s="4">
        <v>45577</v>
      </c>
      <c r="B3692" s="5">
        <v>0.43747685185185187</v>
      </c>
      <c r="C3692">
        <v>75.3</v>
      </c>
      <c r="D3692">
        <v>72.2</v>
      </c>
      <c r="E3692">
        <v>74.5</v>
      </c>
      <c r="F3692">
        <v>74.2</v>
      </c>
      <c r="G3692">
        <v>0</v>
      </c>
      <c r="H3692">
        <v>0</v>
      </c>
      <c r="I3692">
        <v>0</v>
      </c>
      <c r="J3692">
        <v>0</v>
      </c>
      <c r="K3692">
        <v>65</v>
      </c>
      <c r="L3692">
        <v>64.599999999999994</v>
      </c>
      <c r="M3692">
        <v>74.069999999999993</v>
      </c>
      <c r="N3692">
        <v>12</v>
      </c>
      <c r="O3692">
        <v>4</v>
      </c>
      <c r="P3692">
        <f>MOD(DAY(datos_siembra[[#This Row],[Date]]),7)</f>
        <v>5</v>
      </c>
      <c r="Q3692" t="str">
        <f>CHOOSE(WEEKDAY(datos_siembra[[#This Row],[Date]],2),"L","M","X","J","V","S","D")</f>
        <v>S</v>
      </c>
      <c r="R3692">
        <f>WEEKNUM(datos_siembra[[#This Row],[Date]],2)-WEEKNUM(DATE(YEAR(datos_siembra[[#This Row],[Date]]),MONTH(datos_siembra[[#This Row],[Date]]),1))+1</f>
        <v>2</v>
      </c>
      <c r="S3692">
        <f>MONTH(datos_siembra[[#This Row],[Date]])</f>
        <v>10</v>
      </c>
      <c r="T3692" t="str" cm="1">
        <f t="array" ref="T3692">_xlfn.IFS(AND(N3692&lt;= 22, S3692=9), "SOWING",AND(N3692&lt;= 28, S3692=9), "COVERAGE",AND(N3692&lt;= 30, S3692=9), "FLUSH",AND(N3692&lt;= 11, S3692=10), "FLUSH",AND(N3692&lt;= 21, S3692=10), "PRODUCTION")</f>
        <v>PRODUCTION</v>
      </c>
      <c r="U3692">
        <f>HOUR(datos_siembra[[#This Row],[Hour]])</f>
        <v>10</v>
      </c>
      <c r="V3692" cm="1">
        <f t="array" ref="V3692">_xlfn.IFS(AND(N3692&lt;= 22, S3692=9), N3692-7,AND(N3692&lt;= 28, S3692=9), N3692-25,AND(N3692&lt;= 30, S3692=9), N3692-28,AND(N3692&lt;= 11, S3692=10), N3692+2,AND(N3692&lt;= 21, S3692=10), N3692-11)</f>
        <v>1</v>
      </c>
    </row>
    <row r="3693" spans="1:22" x14ac:dyDescent="0.35">
      <c r="A3693" s="4">
        <v>45577</v>
      </c>
      <c r="B3693" s="5">
        <v>0.44442129629629629</v>
      </c>
      <c r="C3693">
        <v>75.3</v>
      </c>
      <c r="D3693">
        <v>72.099999999999994</v>
      </c>
      <c r="E3693">
        <v>74.599999999999994</v>
      </c>
      <c r="F3693">
        <v>74</v>
      </c>
      <c r="G3693">
        <v>0</v>
      </c>
      <c r="H3693">
        <v>0</v>
      </c>
      <c r="I3693">
        <v>0</v>
      </c>
      <c r="J3693">
        <v>0</v>
      </c>
      <c r="K3693">
        <v>65</v>
      </c>
      <c r="L3693">
        <v>64.7</v>
      </c>
      <c r="M3693">
        <v>73.989999999999995</v>
      </c>
      <c r="N3693">
        <v>12</v>
      </c>
      <c r="O3693">
        <v>4</v>
      </c>
      <c r="P3693">
        <f>MOD(DAY(datos_siembra[[#This Row],[Date]]),7)</f>
        <v>5</v>
      </c>
      <c r="Q3693" t="str">
        <f>CHOOSE(WEEKDAY(datos_siembra[[#This Row],[Date]],2),"L","M","X","J","V","S","D")</f>
        <v>S</v>
      </c>
      <c r="R3693">
        <f>WEEKNUM(datos_siembra[[#This Row],[Date]],2)-WEEKNUM(DATE(YEAR(datos_siembra[[#This Row],[Date]]),MONTH(datos_siembra[[#This Row],[Date]]),1))+1</f>
        <v>2</v>
      </c>
      <c r="S3693">
        <f>MONTH(datos_siembra[[#This Row],[Date]])</f>
        <v>10</v>
      </c>
      <c r="T3693" t="str" cm="1">
        <f t="array" ref="T3693">_xlfn.IFS(AND(N3693&lt;= 22, S3693=9), "SOWING",AND(N3693&lt;= 28, S3693=9), "COVERAGE",AND(N3693&lt;= 30, S3693=9), "FLUSH",AND(N3693&lt;= 11, S3693=10), "FLUSH",AND(N3693&lt;= 21, S3693=10), "PRODUCTION")</f>
        <v>PRODUCTION</v>
      </c>
      <c r="U3693">
        <f>HOUR(datos_siembra[[#This Row],[Hour]])</f>
        <v>10</v>
      </c>
      <c r="V3693" cm="1">
        <f t="array" ref="V3693">_xlfn.IFS(AND(N3693&lt;= 22, S3693=9), N3693-7,AND(N3693&lt;= 28, S3693=9), N3693-25,AND(N3693&lt;= 30, S3693=9), N3693-28,AND(N3693&lt;= 11, S3693=10), N3693+2,AND(N3693&lt;= 21, S3693=10), N3693-11)</f>
        <v>1</v>
      </c>
    </row>
    <row r="3694" spans="1:22" x14ac:dyDescent="0.35">
      <c r="A3694" s="4">
        <v>45577</v>
      </c>
      <c r="B3694" s="5">
        <v>0.45136574074074076</v>
      </c>
      <c r="C3694">
        <v>75.3</v>
      </c>
      <c r="D3694">
        <v>72.099999999999994</v>
      </c>
      <c r="E3694">
        <v>74.5</v>
      </c>
      <c r="F3694">
        <v>74</v>
      </c>
      <c r="G3694">
        <v>0</v>
      </c>
      <c r="H3694">
        <v>0</v>
      </c>
      <c r="I3694">
        <v>0</v>
      </c>
      <c r="J3694">
        <v>0</v>
      </c>
      <c r="K3694">
        <v>65.099999999999994</v>
      </c>
      <c r="L3694">
        <v>64.900000000000006</v>
      </c>
      <c r="M3694">
        <v>74.02</v>
      </c>
      <c r="N3694">
        <v>12</v>
      </c>
      <c r="O3694">
        <v>4</v>
      </c>
      <c r="P3694">
        <f>MOD(DAY(datos_siembra[[#This Row],[Date]]),7)</f>
        <v>5</v>
      </c>
      <c r="Q3694" t="str">
        <f>CHOOSE(WEEKDAY(datos_siembra[[#This Row],[Date]],2),"L","M","X","J","V","S","D")</f>
        <v>S</v>
      </c>
      <c r="R3694">
        <f>WEEKNUM(datos_siembra[[#This Row],[Date]],2)-WEEKNUM(DATE(YEAR(datos_siembra[[#This Row],[Date]]),MONTH(datos_siembra[[#This Row],[Date]]),1))+1</f>
        <v>2</v>
      </c>
      <c r="S3694">
        <f>MONTH(datos_siembra[[#This Row],[Date]])</f>
        <v>10</v>
      </c>
      <c r="T3694" t="str" cm="1">
        <f t="array" ref="T3694">_xlfn.IFS(AND(N3694&lt;= 22, S3694=9), "SOWING",AND(N3694&lt;= 28, S3694=9), "COVERAGE",AND(N3694&lt;= 30, S3694=9), "FLUSH",AND(N3694&lt;= 11, S3694=10), "FLUSH",AND(N3694&lt;= 21, S3694=10), "PRODUCTION")</f>
        <v>PRODUCTION</v>
      </c>
      <c r="U3694">
        <f>HOUR(datos_siembra[[#This Row],[Hour]])</f>
        <v>10</v>
      </c>
      <c r="V3694" cm="1">
        <f t="array" ref="V3694">_xlfn.IFS(AND(N3694&lt;= 22, S3694=9), N3694-7,AND(N3694&lt;= 28, S3694=9), N3694-25,AND(N3694&lt;= 30, S3694=9), N3694-28,AND(N3694&lt;= 11, S3694=10), N3694+2,AND(N3694&lt;= 21, S3694=10), N3694-11)</f>
        <v>1</v>
      </c>
    </row>
    <row r="3695" spans="1:22" x14ac:dyDescent="0.35">
      <c r="A3695" s="4">
        <v>45577</v>
      </c>
      <c r="B3695" s="5">
        <v>0.45832175925925928</v>
      </c>
      <c r="C3695">
        <v>75.3</v>
      </c>
      <c r="D3695">
        <v>72.2</v>
      </c>
      <c r="E3695">
        <v>74.5</v>
      </c>
      <c r="F3695">
        <v>74.099999999999994</v>
      </c>
      <c r="G3695">
        <v>0</v>
      </c>
      <c r="H3695">
        <v>0</v>
      </c>
      <c r="I3695">
        <v>0</v>
      </c>
      <c r="J3695">
        <v>0</v>
      </c>
      <c r="K3695">
        <v>65.3</v>
      </c>
      <c r="L3695">
        <v>65.099999999999994</v>
      </c>
      <c r="M3695">
        <v>74.02</v>
      </c>
      <c r="N3695">
        <v>12</v>
      </c>
      <c r="O3695">
        <v>4</v>
      </c>
      <c r="P3695">
        <f>MOD(DAY(datos_siembra[[#This Row],[Date]]),7)</f>
        <v>5</v>
      </c>
      <c r="Q3695" t="str">
        <f>CHOOSE(WEEKDAY(datos_siembra[[#This Row],[Date]],2),"L","M","X","J","V","S","D")</f>
        <v>S</v>
      </c>
      <c r="R3695">
        <f>WEEKNUM(datos_siembra[[#This Row],[Date]],2)-WEEKNUM(DATE(YEAR(datos_siembra[[#This Row],[Date]]),MONTH(datos_siembra[[#This Row],[Date]]),1))+1</f>
        <v>2</v>
      </c>
      <c r="S3695">
        <f>MONTH(datos_siembra[[#This Row],[Date]])</f>
        <v>10</v>
      </c>
      <c r="T3695" t="str" cm="1">
        <f t="array" ref="T3695">_xlfn.IFS(AND(N3695&lt;= 22, S3695=9), "SOWING",AND(N3695&lt;= 28, S3695=9), "COVERAGE",AND(N3695&lt;= 30, S3695=9), "FLUSH",AND(N3695&lt;= 11, S3695=10), "FLUSH",AND(N3695&lt;= 21, S3695=10), "PRODUCTION")</f>
        <v>PRODUCTION</v>
      </c>
      <c r="U3695">
        <f>HOUR(datos_siembra[[#This Row],[Hour]])</f>
        <v>10</v>
      </c>
      <c r="V3695" cm="1">
        <f t="array" ref="V3695">_xlfn.IFS(AND(N3695&lt;= 22, S3695=9), N3695-7,AND(N3695&lt;= 28, S3695=9), N3695-25,AND(N3695&lt;= 30, S3695=9), N3695-28,AND(N3695&lt;= 11, S3695=10), N3695+2,AND(N3695&lt;= 21, S3695=10), N3695-11)</f>
        <v>1</v>
      </c>
    </row>
    <row r="3696" spans="1:22" x14ac:dyDescent="0.35">
      <c r="A3696" s="4">
        <v>45577</v>
      </c>
      <c r="B3696" s="5">
        <v>0.4652662037037037</v>
      </c>
      <c r="C3696">
        <v>75.400000000000006</v>
      </c>
      <c r="D3696">
        <v>72.400000000000006</v>
      </c>
      <c r="E3696">
        <v>74.400000000000006</v>
      </c>
      <c r="F3696">
        <v>74.2</v>
      </c>
      <c r="G3696">
        <v>0</v>
      </c>
      <c r="H3696">
        <v>0</v>
      </c>
      <c r="I3696">
        <v>0</v>
      </c>
      <c r="J3696">
        <v>0</v>
      </c>
      <c r="K3696">
        <v>65.3</v>
      </c>
      <c r="L3696">
        <v>65.099999999999994</v>
      </c>
      <c r="M3696">
        <v>73.959999999999994</v>
      </c>
      <c r="N3696">
        <v>12</v>
      </c>
      <c r="O3696">
        <v>4</v>
      </c>
      <c r="P3696">
        <f>MOD(DAY(datos_siembra[[#This Row],[Date]]),7)</f>
        <v>5</v>
      </c>
      <c r="Q3696" t="str">
        <f>CHOOSE(WEEKDAY(datos_siembra[[#This Row],[Date]],2),"L","M","X","J","V","S","D")</f>
        <v>S</v>
      </c>
      <c r="R3696">
        <f>WEEKNUM(datos_siembra[[#This Row],[Date]],2)-WEEKNUM(DATE(YEAR(datos_siembra[[#This Row],[Date]]),MONTH(datos_siembra[[#This Row],[Date]]),1))+1</f>
        <v>2</v>
      </c>
      <c r="S3696">
        <f>MONTH(datos_siembra[[#This Row],[Date]])</f>
        <v>10</v>
      </c>
      <c r="T3696" t="str" cm="1">
        <f t="array" ref="T3696">_xlfn.IFS(AND(N3696&lt;= 22, S3696=9), "SOWING",AND(N3696&lt;= 28, S3696=9), "COVERAGE",AND(N3696&lt;= 30, S3696=9), "FLUSH",AND(N3696&lt;= 11, S3696=10), "FLUSH",AND(N3696&lt;= 21, S3696=10), "PRODUCTION")</f>
        <v>PRODUCTION</v>
      </c>
      <c r="U3696">
        <f>HOUR(datos_siembra[[#This Row],[Hour]])</f>
        <v>11</v>
      </c>
      <c r="V3696" cm="1">
        <f t="array" ref="V3696">_xlfn.IFS(AND(N3696&lt;= 22, S3696=9), N3696-7,AND(N3696&lt;= 28, S3696=9), N3696-25,AND(N3696&lt;= 30, S3696=9), N3696-28,AND(N3696&lt;= 11, S3696=10), N3696+2,AND(N3696&lt;= 21, S3696=10), N3696-11)</f>
        <v>1</v>
      </c>
    </row>
    <row r="3697" spans="1:22" x14ac:dyDescent="0.35">
      <c r="A3697" s="4">
        <v>45577</v>
      </c>
      <c r="B3697" s="5">
        <v>0.47221064814814817</v>
      </c>
      <c r="C3697">
        <v>75.3</v>
      </c>
      <c r="D3697">
        <v>72.3</v>
      </c>
      <c r="E3697">
        <v>74.400000000000006</v>
      </c>
      <c r="F3697">
        <v>74</v>
      </c>
      <c r="G3697">
        <v>0</v>
      </c>
      <c r="H3697">
        <v>0</v>
      </c>
      <c r="I3697">
        <v>0</v>
      </c>
      <c r="J3697">
        <v>0</v>
      </c>
      <c r="K3697">
        <v>65.599999999999994</v>
      </c>
      <c r="L3697">
        <v>65.3</v>
      </c>
      <c r="M3697">
        <v>73.989999999999995</v>
      </c>
      <c r="N3697">
        <v>12</v>
      </c>
      <c r="O3697">
        <v>4</v>
      </c>
      <c r="P3697">
        <f>MOD(DAY(datos_siembra[[#This Row],[Date]]),7)</f>
        <v>5</v>
      </c>
      <c r="Q3697" t="str">
        <f>CHOOSE(WEEKDAY(datos_siembra[[#This Row],[Date]],2),"L","M","X","J","V","S","D")</f>
        <v>S</v>
      </c>
      <c r="R3697">
        <f>WEEKNUM(datos_siembra[[#This Row],[Date]],2)-WEEKNUM(DATE(YEAR(datos_siembra[[#This Row],[Date]]),MONTH(datos_siembra[[#This Row],[Date]]),1))+1</f>
        <v>2</v>
      </c>
      <c r="S3697">
        <f>MONTH(datos_siembra[[#This Row],[Date]])</f>
        <v>10</v>
      </c>
      <c r="T3697" t="str" cm="1">
        <f t="array" ref="T3697">_xlfn.IFS(AND(N3697&lt;= 22, S3697=9), "SOWING",AND(N3697&lt;= 28, S3697=9), "COVERAGE",AND(N3697&lt;= 30, S3697=9), "FLUSH",AND(N3697&lt;= 11, S3697=10), "FLUSH",AND(N3697&lt;= 21, S3697=10), "PRODUCTION")</f>
        <v>PRODUCTION</v>
      </c>
      <c r="U3697">
        <f>HOUR(datos_siembra[[#This Row],[Hour]])</f>
        <v>11</v>
      </c>
      <c r="V3697" cm="1">
        <f t="array" ref="V3697">_xlfn.IFS(AND(N3697&lt;= 22, S3697=9), N3697-7,AND(N3697&lt;= 28, S3697=9), N3697-25,AND(N3697&lt;= 30, S3697=9), N3697-28,AND(N3697&lt;= 11, S3697=10), N3697+2,AND(N3697&lt;= 21, S3697=10), N3697-11)</f>
        <v>1</v>
      </c>
    </row>
    <row r="3698" spans="1:22" x14ac:dyDescent="0.35">
      <c r="A3698" s="4">
        <v>45577</v>
      </c>
      <c r="B3698" s="5">
        <v>0.47915509259259259</v>
      </c>
      <c r="C3698">
        <v>75.3</v>
      </c>
      <c r="D3698">
        <v>72.3</v>
      </c>
      <c r="E3698">
        <v>74.5</v>
      </c>
      <c r="F3698">
        <v>74.099999999999994</v>
      </c>
      <c r="G3698">
        <v>0</v>
      </c>
      <c r="H3698">
        <v>0</v>
      </c>
      <c r="I3698">
        <v>0</v>
      </c>
      <c r="J3698">
        <v>0</v>
      </c>
      <c r="K3698">
        <v>66</v>
      </c>
      <c r="L3698">
        <v>65.599999999999994</v>
      </c>
      <c r="M3698">
        <v>73.989999999999995</v>
      </c>
      <c r="N3698">
        <v>12</v>
      </c>
      <c r="O3698">
        <v>4</v>
      </c>
      <c r="P3698">
        <f>MOD(DAY(datos_siembra[[#This Row],[Date]]),7)</f>
        <v>5</v>
      </c>
      <c r="Q3698" t="str">
        <f>CHOOSE(WEEKDAY(datos_siembra[[#This Row],[Date]],2),"L","M","X","J","V","S","D")</f>
        <v>S</v>
      </c>
      <c r="R3698">
        <f>WEEKNUM(datos_siembra[[#This Row],[Date]],2)-WEEKNUM(DATE(YEAR(datos_siembra[[#This Row],[Date]]),MONTH(datos_siembra[[#This Row],[Date]]),1))+1</f>
        <v>2</v>
      </c>
      <c r="S3698">
        <f>MONTH(datos_siembra[[#This Row],[Date]])</f>
        <v>10</v>
      </c>
      <c r="T3698" t="str" cm="1">
        <f t="array" ref="T3698">_xlfn.IFS(AND(N3698&lt;= 22, S3698=9), "SOWING",AND(N3698&lt;= 28, S3698=9), "COVERAGE",AND(N3698&lt;= 30, S3698=9), "FLUSH",AND(N3698&lt;= 11, S3698=10), "FLUSH",AND(N3698&lt;= 21, S3698=10), "PRODUCTION")</f>
        <v>PRODUCTION</v>
      </c>
      <c r="U3698">
        <f>HOUR(datos_siembra[[#This Row],[Hour]])</f>
        <v>11</v>
      </c>
      <c r="V3698" cm="1">
        <f t="array" ref="V3698">_xlfn.IFS(AND(N3698&lt;= 22, S3698=9), N3698-7,AND(N3698&lt;= 28, S3698=9), N3698-25,AND(N3698&lt;= 30, S3698=9), N3698-28,AND(N3698&lt;= 11, S3698=10), N3698+2,AND(N3698&lt;= 21, S3698=10), N3698-11)</f>
        <v>1</v>
      </c>
    </row>
    <row r="3699" spans="1:22" x14ac:dyDescent="0.35">
      <c r="A3699" s="4">
        <v>45577</v>
      </c>
      <c r="B3699" s="5">
        <v>0.4861111111111111</v>
      </c>
      <c r="C3699">
        <v>75.3</v>
      </c>
      <c r="D3699">
        <v>72.400000000000006</v>
      </c>
      <c r="E3699">
        <v>74.900000000000006</v>
      </c>
      <c r="F3699">
        <v>73.900000000000006</v>
      </c>
      <c r="G3699">
        <v>0</v>
      </c>
      <c r="H3699">
        <v>0</v>
      </c>
      <c r="I3699">
        <v>0</v>
      </c>
      <c r="J3699">
        <v>0</v>
      </c>
      <c r="K3699">
        <v>66.099999999999994</v>
      </c>
      <c r="L3699">
        <v>65.900000000000006</v>
      </c>
      <c r="M3699">
        <v>74.069999999999993</v>
      </c>
      <c r="N3699">
        <v>12</v>
      </c>
      <c r="O3699">
        <v>4</v>
      </c>
      <c r="P3699">
        <f>MOD(DAY(datos_siembra[[#This Row],[Date]]),7)</f>
        <v>5</v>
      </c>
      <c r="Q3699" t="str">
        <f>CHOOSE(WEEKDAY(datos_siembra[[#This Row],[Date]],2),"L","M","X","J","V","S","D")</f>
        <v>S</v>
      </c>
      <c r="R3699">
        <f>WEEKNUM(datos_siembra[[#This Row],[Date]],2)-WEEKNUM(DATE(YEAR(datos_siembra[[#This Row],[Date]]),MONTH(datos_siembra[[#This Row],[Date]]),1))+1</f>
        <v>2</v>
      </c>
      <c r="S3699">
        <f>MONTH(datos_siembra[[#This Row],[Date]])</f>
        <v>10</v>
      </c>
      <c r="T3699" t="str" cm="1">
        <f t="array" ref="T3699">_xlfn.IFS(AND(N3699&lt;= 22, S3699=9), "SOWING",AND(N3699&lt;= 28, S3699=9), "COVERAGE",AND(N3699&lt;= 30, S3699=9), "FLUSH",AND(N3699&lt;= 11, S3699=10), "FLUSH",AND(N3699&lt;= 21, S3699=10), "PRODUCTION")</f>
        <v>PRODUCTION</v>
      </c>
      <c r="U3699">
        <f>HOUR(datos_siembra[[#This Row],[Hour]])</f>
        <v>11</v>
      </c>
      <c r="V3699" cm="1">
        <f t="array" ref="V3699">_xlfn.IFS(AND(N3699&lt;= 22, S3699=9), N3699-7,AND(N3699&lt;= 28, S3699=9), N3699-25,AND(N3699&lt;= 30, S3699=9), N3699-28,AND(N3699&lt;= 11, S3699=10), N3699+2,AND(N3699&lt;= 21, S3699=10), N3699-11)</f>
        <v>1</v>
      </c>
    </row>
    <row r="3700" spans="1:22" x14ac:dyDescent="0.35">
      <c r="A3700" s="4">
        <v>45577</v>
      </c>
      <c r="B3700" s="5">
        <v>0.49305555555555558</v>
      </c>
      <c r="C3700">
        <v>75.3</v>
      </c>
      <c r="D3700">
        <v>72.2</v>
      </c>
      <c r="E3700">
        <v>74.400000000000006</v>
      </c>
      <c r="F3700">
        <v>74</v>
      </c>
      <c r="G3700">
        <v>0</v>
      </c>
      <c r="H3700">
        <v>0</v>
      </c>
      <c r="I3700">
        <v>0</v>
      </c>
      <c r="J3700">
        <v>0</v>
      </c>
      <c r="K3700">
        <v>66</v>
      </c>
      <c r="L3700">
        <v>65.599999999999994</v>
      </c>
      <c r="M3700">
        <v>73.989999999999995</v>
      </c>
      <c r="N3700">
        <v>12</v>
      </c>
      <c r="O3700">
        <v>4</v>
      </c>
      <c r="P3700">
        <f>MOD(DAY(datos_siembra[[#This Row],[Date]]),7)</f>
        <v>5</v>
      </c>
      <c r="Q3700" t="str">
        <f>CHOOSE(WEEKDAY(datos_siembra[[#This Row],[Date]],2),"L","M","X","J","V","S","D")</f>
        <v>S</v>
      </c>
      <c r="R3700">
        <f>WEEKNUM(datos_siembra[[#This Row],[Date]],2)-WEEKNUM(DATE(YEAR(datos_siembra[[#This Row],[Date]]),MONTH(datos_siembra[[#This Row],[Date]]),1))+1</f>
        <v>2</v>
      </c>
      <c r="S3700">
        <f>MONTH(datos_siembra[[#This Row],[Date]])</f>
        <v>10</v>
      </c>
      <c r="T3700" t="str" cm="1">
        <f t="array" ref="T3700">_xlfn.IFS(AND(N3700&lt;= 22, S3700=9), "SOWING",AND(N3700&lt;= 28, S3700=9), "COVERAGE",AND(N3700&lt;= 30, S3700=9), "FLUSH",AND(N3700&lt;= 11, S3700=10), "FLUSH",AND(N3700&lt;= 21, S3700=10), "PRODUCTION")</f>
        <v>PRODUCTION</v>
      </c>
      <c r="U3700">
        <f>HOUR(datos_siembra[[#This Row],[Hour]])</f>
        <v>11</v>
      </c>
      <c r="V3700" cm="1">
        <f t="array" ref="V3700">_xlfn.IFS(AND(N3700&lt;= 22, S3700=9), N3700-7,AND(N3700&lt;= 28, S3700=9), N3700-25,AND(N3700&lt;= 30, S3700=9), N3700-28,AND(N3700&lt;= 11, S3700=10), N3700+2,AND(N3700&lt;= 21, S3700=10), N3700-11)</f>
        <v>1</v>
      </c>
    </row>
    <row r="3701" spans="1:22" x14ac:dyDescent="0.35">
      <c r="A3701" s="4">
        <v>45577</v>
      </c>
      <c r="B3701" s="5">
        <v>0.5</v>
      </c>
      <c r="C3701">
        <v>75.3</v>
      </c>
      <c r="D3701">
        <v>72.3</v>
      </c>
      <c r="E3701">
        <v>74.400000000000006</v>
      </c>
      <c r="F3701">
        <v>74</v>
      </c>
      <c r="G3701">
        <v>0</v>
      </c>
      <c r="H3701">
        <v>0</v>
      </c>
      <c r="I3701">
        <v>0</v>
      </c>
      <c r="J3701">
        <v>0</v>
      </c>
      <c r="K3701">
        <v>66.2</v>
      </c>
      <c r="L3701">
        <v>66.099999999999994</v>
      </c>
      <c r="M3701">
        <v>73.989999999999995</v>
      </c>
      <c r="N3701">
        <v>12</v>
      </c>
      <c r="O3701">
        <v>4</v>
      </c>
      <c r="P3701">
        <f>MOD(DAY(datos_siembra[[#This Row],[Date]]),7)</f>
        <v>5</v>
      </c>
      <c r="Q3701" t="str">
        <f>CHOOSE(WEEKDAY(datos_siembra[[#This Row],[Date]],2),"L","M","X","J","V","S","D")</f>
        <v>S</v>
      </c>
      <c r="R3701">
        <f>WEEKNUM(datos_siembra[[#This Row],[Date]],2)-WEEKNUM(DATE(YEAR(datos_siembra[[#This Row],[Date]]),MONTH(datos_siembra[[#This Row],[Date]]),1))+1</f>
        <v>2</v>
      </c>
      <c r="S3701">
        <f>MONTH(datos_siembra[[#This Row],[Date]])</f>
        <v>10</v>
      </c>
      <c r="T3701" t="str" cm="1">
        <f t="array" ref="T3701">_xlfn.IFS(AND(N3701&lt;= 22, S3701=9), "SOWING",AND(N3701&lt;= 28, S3701=9), "COVERAGE",AND(N3701&lt;= 30, S3701=9), "FLUSH",AND(N3701&lt;= 11, S3701=10), "FLUSH",AND(N3701&lt;= 21, S3701=10), "PRODUCTION")</f>
        <v>PRODUCTION</v>
      </c>
      <c r="U3701">
        <f>HOUR(datos_siembra[[#This Row],[Hour]])</f>
        <v>12</v>
      </c>
      <c r="V3701" cm="1">
        <f t="array" ref="V3701">_xlfn.IFS(AND(N3701&lt;= 22, S3701=9), N3701-7,AND(N3701&lt;= 28, S3701=9), N3701-25,AND(N3701&lt;= 30, S3701=9), N3701-28,AND(N3701&lt;= 11, S3701=10), N3701+2,AND(N3701&lt;= 21, S3701=10), N3701-11)</f>
        <v>1</v>
      </c>
    </row>
    <row r="3702" spans="1:22" x14ac:dyDescent="0.35">
      <c r="A3702" s="4">
        <v>45577</v>
      </c>
      <c r="B3702" s="5">
        <v>0.50695601851851857</v>
      </c>
      <c r="C3702">
        <v>75.3</v>
      </c>
      <c r="D3702">
        <v>72.3</v>
      </c>
      <c r="E3702">
        <v>74.3</v>
      </c>
      <c r="F3702">
        <v>74</v>
      </c>
      <c r="G3702">
        <v>0</v>
      </c>
      <c r="H3702">
        <v>0</v>
      </c>
      <c r="I3702">
        <v>0</v>
      </c>
      <c r="J3702">
        <v>0</v>
      </c>
      <c r="K3702">
        <v>66.099999999999994</v>
      </c>
      <c r="L3702">
        <v>65.900000000000006</v>
      </c>
      <c r="M3702">
        <v>73.989999999999995</v>
      </c>
      <c r="N3702">
        <v>12</v>
      </c>
      <c r="O3702">
        <v>4</v>
      </c>
      <c r="P3702">
        <f>MOD(DAY(datos_siembra[[#This Row],[Date]]),7)</f>
        <v>5</v>
      </c>
      <c r="Q3702" t="str">
        <f>CHOOSE(WEEKDAY(datos_siembra[[#This Row],[Date]],2),"L","M","X","J","V","S","D")</f>
        <v>S</v>
      </c>
      <c r="R3702">
        <f>WEEKNUM(datos_siembra[[#This Row],[Date]],2)-WEEKNUM(DATE(YEAR(datos_siembra[[#This Row],[Date]]),MONTH(datos_siembra[[#This Row],[Date]]),1))+1</f>
        <v>2</v>
      </c>
      <c r="S3702">
        <f>MONTH(datos_siembra[[#This Row],[Date]])</f>
        <v>10</v>
      </c>
      <c r="T3702" t="str" cm="1">
        <f t="array" ref="T3702">_xlfn.IFS(AND(N3702&lt;= 22, S3702=9), "SOWING",AND(N3702&lt;= 28, S3702=9), "COVERAGE",AND(N3702&lt;= 30, S3702=9), "FLUSH",AND(N3702&lt;= 11, S3702=10), "FLUSH",AND(N3702&lt;= 21, S3702=10), "PRODUCTION")</f>
        <v>PRODUCTION</v>
      </c>
      <c r="U3702">
        <f>HOUR(datos_siembra[[#This Row],[Hour]])</f>
        <v>12</v>
      </c>
      <c r="V3702" cm="1">
        <f t="array" ref="V3702">_xlfn.IFS(AND(N3702&lt;= 22, S3702=9), N3702-7,AND(N3702&lt;= 28, S3702=9), N3702-25,AND(N3702&lt;= 30, S3702=9), N3702-28,AND(N3702&lt;= 11, S3702=10), N3702+2,AND(N3702&lt;= 21, S3702=10), N3702-11)</f>
        <v>1</v>
      </c>
    </row>
    <row r="3703" spans="1:22" x14ac:dyDescent="0.35">
      <c r="A3703" s="4">
        <v>45577</v>
      </c>
      <c r="B3703" s="5">
        <v>0.51390046296296299</v>
      </c>
      <c r="C3703">
        <v>75.3</v>
      </c>
      <c r="D3703">
        <v>72.3</v>
      </c>
      <c r="E3703">
        <v>74.2</v>
      </c>
      <c r="F3703">
        <v>73.900000000000006</v>
      </c>
      <c r="G3703">
        <v>0</v>
      </c>
      <c r="H3703">
        <v>0</v>
      </c>
      <c r="I3703">
        <v>0</v>
      </c>
      <c r="J3703">
        <v>0</v>
      </c>
      <c r="K3703">
        <v>66.099999999999994</v>
      </c>
      <c r="L3703">
        <v>65.8</v>
      </c>
      <c r="M3703">
        <v>73.959999999999994</v>
      </c>
      <c r="N3703">
        <v>12</v>
      </c>
      <c r="O3703">
        <v>4</v>
      </c>
      <c r="P3703">
        <f>MOD(DAY(datos_siembra[[#This Row],[Date]]),7)</f>
        <v>5</v>
      </c>
      <c r="Q3703" t="str">
        <f>CHOOSE(WEEKDAY(datos_siembra[[#This Row],[Date]],2),"L","M","X","J","V","S","D")</f>
        <v>S</v>
      </c>
      <c r="R3703">
        <f>WEEKNUM(datos_siembra[[#This Row],[Date]],2)-WEEKNUM(DATE(YEAR(datos_siembra[[#This Row],[Date]]),MONTH(datos_siembra[[#This Row],[Date]]),1))+1</f>
        <v>2</v>
      </c>
      <c r="S3703">
        <f>MONTH(datos_siembra[[#This Row],[Date]])</f>
        <v>10</v>
      </c>
      <c r="T3703" t="str" cm="1">
        <f t="array" ref="T3703">_xlfn.IFS(AND(N3703&lt;= 22, S3703=9), "SOWING",AND(N3703&lt;= 28, S3703=9), "COVERAGE",AND(N3703&lt;= 30, S3703=9), "FLUSH",AND(N3703&lt;= 11, S3703=10), "FLUSH",AND(N3703&lt;= 21, S3703=10), "PRODUCTION")</f>
        <v>PRODUCTION</v>
      </c>
      <c r="U3703">
        <f>HOUR(datos_siembra[[#This Row],[Hour]])</f>
        <v>12</v>
      </c>
      <c r="V3703" cm="1">
        <f t="array" ref="V3703">_xlfn.IFS(AND(N3703&lt;= 22, S3703=9), N3703-7,AND(N3703&lt;= 28, S3703=9), N3703-25,AND(N3703&lt;= 30, S3703=9), N3703-28,AND(N3703&lt;= 11, S3703=10), N3703+2,AND(N3703&lt;= 21, S3703=10), N3703-11)</f>
        <v>1</v>
      </c>
    </row>
    <row r="3704" spans="1:22" x14ac:dyDescent="0.35">
      <c r="A3704" s="4">
        <v>45577</v>
      </c>
      <c r="B3704" s="5">
        <v>0.52084490740740741</v>
      </c>
      <c r="C3704">
        <v>75.2</v>
      </c>
      <c r="D3704">
        <v>72.400000000000006</v>
      </c>
      <c r="E3704">
        <v>74.3</v>
      </c>
      <c r="F3704">
        <v>73.900000000000006</v>
      </c>
      <c r="G3704">
        <v>0</v>
      </c>
      <c r="H3704">
        <v>0</v>
      </c>
      <c r="I3704">
        <v>0</v>
      </c>
      <c r="J3704">
        <v>0</v>
      </c>
      <c r="K3704">
        <v>66.099999999999994</v>
      </c>
      <c r="L3704">
        <v>65.900000000000006</v>
      </c>
      <c r="M3704">
        <v>73.959999999999994</v>
      </c>
      <c r="N3704">
        <v>12</v>
      </c>
      <c r="O3704">
        <v>4</v>
      </c>
      <c r="P3704">
        <f>MOD(DAY(datos_siembra[[#This Row],[Date]]),7)</f>
        <v>5</v>
      </c>
      <c r="Q3704" t="str">
        <f>CHOOSE(WEEKDAY(datos_siembra[[#This Row],[Date]],2),"L","M","X","J","V","S","D")</f>
        <v>S</v>
      </c>
      <c r="R3704">
        <f>WEEKNUM(datos_siembra[[#This Row],[Date]],2)-WEEKNUM(DATE(YEAR(datos_siembra[[#This Row],[Date]]),MONTH(datos_siembra[[#This Row],[Date]]),1))+1</f>
        <v>2</v>
      </c>
      <c r="S3704">
        <f>MONTH(datos_siembra[[#This Row],[Date]])</f>
        <v>10</v>
      </c>
      <c r="T3704" t="str" cm="1">
        <f t="array" ref="T3704">_xlfn.IFS(AND(N3704&lt;= 22, S3704=9), "SOWING",AND(N3704&lt;= 28, S3704=9), "COVERAGE",AND(N3704&lt;= 30, S3704=9), "FLUSH",AND(N3704&lt;= 11, S3704=10), "FLUSH",AND(N3704&lt;= 21, S3704=10), "PRODUCTION")</f>
        <v>PRODUCTION</v>
      </c>
      <c r="U3704">
        <f>HOUR(datos_siembra[[#This Row],[Hour]])</f>
        <v>12</v>
      </c>
      <c r="V3704" cm="1">
        <f t="array" ref="V3704">_xlfn.IFS(AND(N3704&lt;= 22, S3704=9), N3704-7,AND(N3704&lt;= 28, S3704=9), N3704-25,AND(N3704&lt;= 30, S3704=9), N3704-28,AND(N3704&lt;= 11, S3704=10), N3704+2,AND(N3704&lt;= 21, S3704=10), N3704-11)</f>
        <v>1</v>
      </c>
    </row>
    <row r="3705" spans="1:22" x14ac:dyDescent="0.35">
      <c r="A3705" s="4">
        <v>45577</v>
      </c>
      <c r="B3705" s="5">
        <v>0.52778935185185183</v>
      </c>
      <c r="C3705">
        <v>75.3</v>
      </c>
      <c r="D3705">
        <v>72.3</v>
      </c>
      <c r="E3705">
        <v>74.400000000000006</v>
      </c>
      <c r="F3705">
        <v>73.599999999999994</v>
      </c>
      <c r="G3705">
        <v>0</v>
      </c>
      <c r="H3705">
        <v>0</v>
      </c>
      <c r="I3705">
        <v>0</v>
      </c>
      <c r="J3705">
        <v>0</v>
      </c>
      <c r="K3705">
        <v>66.099999999999994</v>
      </c>
      <c r="L3705">
        <v>65.8</v>
      </c>
      <c r="M3705">
        <v>73.930000000000007</v>
      </c>
      <c r="N3705">
        <v>12</v>
      </c>
      <c r="O3705">
        <v>4</v>
      </c>
      <c r="P3705">
        <f>MOD(DAY(datos_siembra[[#This Row],[Date]]),7)</f>
        <v>5</v>
      </c>
      <c r="Q3705" t="str">
        <f>CHOOSE(WEEKDAY(datos_siembra[[#This Row],[Date]],2),"L","M","X","J","V","S","D")</f>
        <v>S</v>
      </c>
      <c r="R3705">
        <f>WEEKNUM(datos_siembra[[#This Row],[Date]],2)-WEEKNUM(DATE(YEAR(datos_siembra[[#This Row],[Date]]),MONTH(datos_siembra[[#This Row],[Date]]),1))+1</f>
        <v>2</v>
      </c>
      <c r="S3705">
        <f>MONTH(datos_siembra[[#This Row],[Date]])</f>
        <v>10</v>
      </c>
      <c r="T3705" t="str" cm="1">
        <f t="array" ref="T3705">_xlfn.IFS(AND(N3705&lt;= 22, S3705=9), "SOWING",AND(N3705&lt;= 28, S3705=9), "COVERAGE",AND(N3705&lt;= 30, S3705=9), "FLUSH",AND(N3705&lt;= 11, S3705=10), "FLUSH",AND(N3705&lt;= 21, S3705=10), "PRODUCTION")</f>
        <v>PRODUCTION</v>
      </c>
      <c r="U3705">
        <f>HOUR(datos_siembra[[#This Row],[Hour]])</f>
        <v>12</v>
      </c>
      <c r="V3705" cm="1">
        <f t="array" ref="V3705">_xlfn.IFS(AND(N3705&lt;= 22, S3705=9), N3705-7,AND(N3705&lt;= 28, S3705=9), N3705-25,AND(N3705&lt;= 30, S3705=9), N3705-28,AND(N3705&lt;= 11, S3705=10), N3705+2,AND(N3705&lt;= 21, S3705=10), N3705-11)</f>
        <v>1</v>
      </c>
    </row>
    <row r="3706" spans="1:22" x14ac:dyDescent="0.35">
      <c r="A3706" s="4">
        <v>45577</v>
      </c>
      <c r="B3706" s="5">
        <v>0.5347453703703704</v>
      </c>
      <c r="C3706">
        <v>75.2</v>
      </c>
      <c r="D3706">
        <v>72.400000000000006</v>
      </c>
      <c r="E3706">
        <v>74.3</v>
      </c>
      <c r="F3706">
        <v>73.7</v>
      </c>
      <c r="G3706">
        <v>0</v>
      </c>
      <c r="H3706">
        <v>0</v>
      </c>
      <c r="I3706">
        <v>0</v>
      </c>
      <c r="J3706">
        <v>0</v>
      </c>
      <c r="K3706">
        <v>65.099999999999994</v>
      </c>
      <c r="L3706">
        <v>64.599999999999994</v>
      </c>
      <c r="M3706">
        <v>73.91</v>
      </c>
      <c r="N3706">
        <v>12</v>
      </c>
      <c r="O3706">
        <v>4</v>
      </c>
      <c r="P3706">
        <f>MOD(DAY(datos_siembra[[#This Row],[Date]]),7)</f>
        <v>5</v>
      </c>
      <c r="Q3706" t="str">
        <f>CHOOSE(WEEKDAY(datos_siembra[[#This Row],[Date]],2),"L","M","X","J","V","S","D")</f>
        <v>S</v>
      </c>
      <c r="R3706">
        <f>WEEKNUM(datos_siembra[[#This Row],[Date]],2)-WEEKNUM(DATE(YEAR(datos_siembra[[#This Row],[Date]]),MONTH(datos_siembra[[#This Row],[Date]]),1))+1</f>
        <v>2</v>
      </c>
      <c r="S3706">
        <f>MONTH(datos_siembra[[#This Row],[Date]])</f>
        <v>10</v>
      </c>
      <c r="T3706" t="str" cm="1">
        <f t="array" ref="T3706">_xlfn.IFS(AND(N3706&lt;= 22, S3706=9), "SOWING",AND(N3706&lt;= 28, S3706=9), "COVERAGE",AND(N3706&lt;= 30, S3706=9), "FLUSH",AND(N3706&lt;= 11, S3706=10), "FLUSH",AND(N3706&lt;= 21, S3706=10), "PRODUCTION")</f>
        <v>PRODUCTION</v>
      </c>
      <c r="U3706">
        <f>HOUR(datos_siembra[[#This Row],[Hour]])</f>
        <v>12</v>
      </c>
      <c r="V3706" cm="1">
        <f t="array" ref="V3706">_xlfn.IFS(AND(N3706&lt;= 22, S3706=9), N3706-7,AND(N3706&lt;= 28, S3706=9), N3706-25,AND(N3706&lt;= 30, S3706=9), N3706-28,AND(N3706&lt;= 11, S3706=10), N3706+2,AND(N3706&lt;= 21, S3706=10), N3706-11)</f>
        <v>1</v>
      </c>
    </row>
    <row r="3707" spans="1:22" x14ac:dyDescent="0.35">
      <c r="A3707" s="4">
        <v>45577</v>
      </c>
      <c r="B3707" s="5">
        <v>0.54168981481481482</v>
      </c>
      <c r="C3707">
        <v>75.3</v>
      </c>
      <c r="D3707">
        <v>72.400000000000006</v>
      </c>
      <c r="E3707">
        <v>74.3</v>
      </c>
      <c r="F3707">
        <v>73.900000000000006</v>
      </c>
      <c r="G3707">
        <v>0</v>
      </c>
      <c r="H3707">
        <v>0</v>
      </c>
      <c r="I3707">
        <v>0</v>
      </c>
      <c r="J3707">
        <v>0</v>
      </c>
      <c r="K3707">
        <v>64.400000000000006</v>
      </c>
      <c r="L3707">
        <v>63.8</v>
      </c>
      <c r="M3707">
        <v>73.959999999999994</v>
      </c>
      <c r="N3707">
        <v>12</v>
      </c>
      <c r="O3707">
        <v>4</v>
      </c>
      <c r="P3707">
        <f>MOD(DAY(datos_siembra[[#This Row],[Date]]),7)</f>
        <v>5</v>
      </c>
      <c r="Q3707" t="str">
        <f>CHOOSE(WEEKDAY(datos_siembra[[#This Row],[Date]],2),"L","M","X","J","V","S","D")</f>
        <v>S</v>
      </c>
      <c r="R3707">
        <f>WEEKNUM(datos_siembra[[#This Row],[Date]],2)-WEEKNUM(DATE(YEAR(datos_siembra[[#This Row],[Date]]),MONTH(datos_siembra[[#This Row],[Date]]),1))+1</f>
        <v>2</v>
      </c>
      <c r="S3707">
        <f>MONTH(datos_siembra[[#This Row],[Date]])</f>
        <v>10</v>
      </c>
      <c r="T3707" t="str" cm="1">
        <f t="array" ref="T3707">_xlfn.IFS(AND(N3707&lt;= 22, S3707=9), "SOWING",AND(N3707&lt;= 28, S3707=9), "COVERAGE",AND(N3707&lt;= 30, S3707=9), "FLUSH",AND(N3707&lt;= 11, S3707=10), "FLUSH",AND(N3707&lt;= 21, S3707=10), "PRODUCTION")</f>
        <v>PRODUCTION</v>
      </c>
      <c r="U3707">
        <f>HOUR(datos_siembra[[#This Row],[Hour]])</f>
        <v>13</v>
      </c>
      <c r="V3707" cm="1">
        <f t="array" ref="V3707">_xlfn.IFS(AND(N3707&lt;= 22, S3707=9), N3707-7,AND(N3707&lt;= 28, S3707=9), N3707-25,AND(N3707&lt;= 30, S3707=9), N3707-28,AND(N3707&lt;= 11, S3707=10), N3707+2,AND(N3707&lt;= 21, S3707=10), N3707-11)</f>
        <v>1</v>
      </c>
    </row>
    <row r="3708" spans="1:22" x14ac:dyDescent="0.35">
      <c r="A3708" s="4">
        <v>45577</v>
      </c>
      <c r="B3708" s="5">
        <v>0.54863425925925924</v>
      </c>
      <c r="C3708">
        <v>75.3</v>
      </c>
      <c r="D3708">
        <v>72.400000000000006</v>
      </c>
      <c r="E3708">
        <v>74.3</v>
      </c>
      <c r="F3708">
        <v>73.900000000000006</v>
      </c>
      <c r="G3708">
        <v>0</v>
      </c>
      <c r="H3708">
        <v>0</v>
      </c>
      <c r="I3708">
        <v>0</v>
      </c>
      <c r="J3708">
        <v>0</v>
      </c>
      <c r="K3708">
        <v>64.099999999999994</v>
      </c>
      <c r="L3708">
        <v>63.5</v>
      </c>
      <c r="M3708">
        <v>73.959999999999994</v>
      </c>
      <c r="N3708">
        <v>12</v>
      </c>
      <c r="O3708">
        <v>4</v>
      </c>
      <c r="P3708">
        <f>MOD(DAY(datos_siembra[[#This Row],[Date]]),7)</f>
        <v>5</v>
      </c>
      <c r="Q3708" t="str">
        <f>CHOOSE(WEEKDAY(datos_siembra[[#This Row],[Date]],2),"L","M","X","J","V","S","D")</f>
        <v>S</v>
      </c>
      <c r="R3708">
        <f>WEEKNUM(datos_siembra[[#This Row],[Date]],2)-WEEKNUM(DATE(YEAR(datos_siembra[[#This Row],[Date]]),MONTH(datos_siembra[[#This Row],[Date]]),1))+1</f>
        <v>2</v>
      </c>
      <c r="S3708">
        <f>MONTH(datos_siembra[[#This Row],[Date]])</f>
        <v>10</v>
      </c>
      <c r="T3708" t="str" cm="1">
        <f t="array" ref="T3708">_xlfn.IFS(AND(N3708&lt;= 22, S3708=9), "SOWING",AND(N3708&lt;= 28, S3708=9), "COVERAGE",AND(N3708&lt;= 30, S3708=9), "FLUSH",AND(N3708&lt;= 11, S3708=10), "FLUSH",AND(N3708&lt;= 21, S3708=10), "PRODUCTION")</f>
        <v>PRODUCTION</v>
      </c>
      <c r="U3708">
        <f>HOUR(datos_siembra[[#This Row],[Hour]])</f>
        <v>13</v>
      </c>
      <c r="V3708" cm="1">
        <f t="array" ref="V3708">_xlfn.IFS(AND(N3708&lt;= 22, S3708=9), N3708-7,AND(N3708&lt;= 28, S3708=9), N3708-25,AND(N3708&lt;= 30, S3708=9), N3708-28,AND(N3708&lt;= 11, S3708=10), N3708+2,AND(N3708&lt;= 21, S3708=10), N3708-11)</f>
        <v>1</v>
      </c>
    </row>
    <row r="3709" spans="1:22" x14ac:dyDescent="0.35">
      <c r="A3709" s="4">
        <v>45577</v>
      </c>
      <c r="B3709" s="5">
        <v>0.55559027777777781</v>
      </c>
      <c r="C3709">
        <v>75.3</v>
      </c>
      <c r="D3709">
        <v>72.5</v>
      </c>
      <c r="E3709">
        <v>74.3</v>
      </c>
      <c r="F3709">
        <v>73.7</v>
      </c>
      <c r="G3709">
        <v>0</v>
      </c>
      <c r="H3709">
        <v>0</v>
      </c>
      <c r="I3709">
        <v>0</v>
      </c>
      <c r="J3709">
        <v>0</v>
      </c>
      <c r="K3709">
        <v>64.099999999999994</v>
      </c>
      <c r="L3709">
        <v>63.4</v>
      </c>
      <c r="M3709">
        <v>74.05</v>
      </c>
      <c r="N3709">
        <v>12</v>
      </c>
      <c r="O3709">
        <v>4</v>
      </c>
      <c r="P3709">
        <f>MOD(DAY(datos_siembra[[#This Row],[Date]]),7)</f>
        <v>5</v>
      </c>
      <c r="Q3709" t="str">
        <f>CHOOSE(WEEKDAY(datos_siembra[[#This Row],[Date]],2),"L","M","X","J","V","S","D")</f>
        <v>S</v>
      </c>
      <c r="R3709">
        <f>WEEKNUM(datos_siembra[[#This Row],[Date]],2)-WEEKNUM(DATE(YEAR(datos_siembra[[#This Row],[Date]]),MONTH(datos_siembra[[#This Row],[Date]]),1))+1</f>
        <v>2</v>
      </c>
      <c r="S3709">
        <f>MONTH(datos_siembra[[#This Row],[Date]])</f>
        <v>10</v>
      </c>
      <c r="T3709" t="str" cm="1">
        <f t="array" ref="T3709">_xlfn.IFS(AND(N3709&lt;= 22, S3709=9), "SOWING",AND(N3709&lt;= 28, S3709=9), "COVERAGE",AND(N3709&lt;= 30, S3709=9), "FLUSH",AND(N3709&lt;= 11, S3709=10), "FLUSH",AND(N3709&lt;= 21, S3709=10), "PRODUCTION")</f>
        <v>PRODUCTION</v>
      </c>
      <c r="U3709">
        <f>HOUR(datos_siembra[[#This Row],[Hour]])</f>
        <v>13</v>
      </c>
      <c r="V3709" cm="1">
        <f t="array" ref="V3709">_xlfn.IFS(AND(N3709&lt;= 22, S3709=9), N3709-7,AND(N3709&lt;= 28, S3709=9), N3709-25,AND(N3709&lt;= 30, S3709=9), N3709-28,AND(N3709&lt;= 11, S3709=10), N3709+2,AND(N3709&lt;= 21, S3709=10), N3709-11)</f>
        <v>1</v>
      </c>
    </row>
    <row r="3710" spans="1:22" x14ac:dyDescent="0.35">
      <c r="A3710" s="4">
        <v>45577</v>
      </c>
      <c r="B3710" s="5">
        <v>0.56253472222222223</v>
      </c>
      <c r="C3710">
        <v>75.2</v>
      </c>
      <c r="D3710">
        <v>72.5</v>
      </c>
      <c r="E3710">
        <v>74.2</v>
      </c>
      <c r="F3710">
        <v>73.900000000000006</v>
      </c>
      <c r="G3710">
        <v>0</v>
      </c>
      <c r="H3710">
        <v>0</v>
      </c>
      <c r="I3710">
        <v>0</v>
      </c>
      <c r="J3710">
        <v>0</v>
      </c>
      <c r="K3710">
        <v>63.9</v>
      </c>
      <c r="L3710">
        <v>63.4</v>
      </c>
      <c r="M3710">
        <v>73.959999999999994</v>
      </c>
      <c r="N3710">
        <v>12</v>
      </c>
      <c r="O3710">
        <v>4</v>
      </c>
      <c r="P3710">
        <f>MOD(DAY(datos_siembra[[#This Row],[Date]]),7)</f>
        <v>5</v>
      </c>
      <c r="Q3710" t="str">
        <f>CHOOSE(WEEKDAY(datos_siembra[[#This Row],[Date]],2),"L","M","X","J","V","S","D")</f>
        <v>S</v>
      </c>
      <c r="R3710">
        <f>WEEKNUM(datos_siembra[[#This Row],[Date]],2)-WEEKNUM(DATE(YEAR(datos_siembra[[#This Row],[Date]]),MONTH(datos_siembra[[#This Row],[Date]]),1))+1</f>
        <v>2</v>
      </c>
      <c r="S3710">
        <f>MONTH(datos_siembra[[#This Row],[Date]])</f>
        <v>10</v>
      </c>
      <c r="T3710" t="str" cm="1">
        <f t="array" ref="T3710">_xlfn.IFS(AND(N3710&lt;= 22, S3710=9), "SOWING",AND(N3710&lt;= 28, S3710=9), "COVERAGE",AND(N3710&lt;= 30, S3710=9), "FLUSH",AND(N3710&lt;= 11, S3710=10), "FLUSH",AND(N3710&lt;= 21, S3710=10), "PRODUCTION")</f>
        <v>PRODUCTION</v>
      </c>
      <c r="U3710">
        <f>HOUR(datos_siembra[[#This Row],[Hour]])</f>
        <v>13</v>
      </c>
      <c r="V3710" cm="1">
        <f t="array" ref="V3710">_xlfn.IFS(AND(N3710&lt;= 22, S3710=9), N3710-7,AND(N3710&lt;= 28, S3710=9), N3710-25,AND(N3710&lt;= 30, S3710=9), N3710-28,AND(N3710&lt;= 11, S3710=10), N3710+2,AND(N3710&lt;= 21, S3710=10), N3710-11)</f>
        <v>1</v>
      </c>
    </row>
    <row r="3711" spans="1:22" x14ac:dyDescent="0.35">
      <c r="A3711" s="4">
        <v>45577</v>
      </c>
      <c r="B3711" s="5">
        <v>0.56947916666666665</v>
      </c>
      <c r="C3711">
        <v>75.099999999999994</v>
      </c>
      <c r="D3711">
        <v>72.5</v>
      </c>
      <c r="E3711">
        <v>74.099999999999994</v>
      </c>
      <c r="F3711">
        <v>73.7</v>
      </c>
      <c r="G3711">
        <v>0</v>
      </c>
      <c r="H3711">
        <v>0</v>
      </c>
      <c r="I3711">
        <v>0</v>
      </c>
      <c r="J3711">
        <v>0</v>
      </c>
      <c r="K3711">
        <v>63.9</v>
      </c>
      <c r="L3711">
        <v>63.5</v>
      </c>
      <c r="M3711">
        <v>73.959999999999994</v>
      </c>
      <c r="N3711">
        <v>12</v>
      </c>
      <c r="O3711">
        <v>4</v>
      </c>
      <c r="P3711">
        <f>MOD(DAY(datos_siembra[[#This Row],[Date]]),7)</f>
        <v>5</v>
      </c>
      <c r="Q3711" t="str">
        <f>CHOOSE(WEEKDAY(datos_siembra[[#This Row],[Date]],2),"L","M","X","J","V","S","D")</f>
        <v>S</v>
      </c>
      <c r="R3711">
        <f>WEEKNUM(datos_siembra[[#This Row],[Date]],2)-WEEKNUM(DATE(YEAR(datos_siembra[[#This Row],[Date]]),MONTH(datos_siembra[[#This Row],[Date]]),1))+1</f>
        <v>2</v>
      </c>
      <c r="S3711">
        <f>MONTH(datos_siembra[[#This Row],[Date]])</f>
        <v>10</v>
      </c>
      <c r="T3711" t="str" cm="1">
        <f t="array" ref="T3711">_xlfn.IFS(AND(N3711&lt;= 22, S3711=9), "SOWING",AND(N3711&lt;= 28, S3711=9), "COVERAGE",AND(N3711&lt;= 30, S3711=9), "FLUSH",AND(N3711&lt;= 11, S3711=10), "FLUSH",AND(N3711&lt;= 21, S3711=10), "PRODUCTION")</f>
        <v>PRODUCTION</v>
      </c>
      <c r="U3711">
        <f>HOUR(datos_siembra[[#This Row],[Hour]])</f>
        <v>13</v>
      </c>
      <c r="V3711" cm="1">
        <f t="array" ref="V3711">_xlfn.IFS(AND(N3711&lt;= 22, S3711=9), N3711-7,AND(N3711&lt;= 28, S3711=9), N3711-25,AND(N3711&lt;= 30, S3711=9), N3711-28,AND(N3711&lt;= 11, S3711=10), N3711+2,AND(N3711&lt;= 21, S3711=10), N3711-11)</f>
        <v>1</v>
      </c>
    </row>
    <row r="3712" spans="1:22" x14ac:dyDescent="0.35">
      <c r="A3712" s="4">
        <v>45577</v>
      </c>
      <c r="B3712" s="5">
        <v>0.57643518518518522</v>
      </c>
      <c r="C3712">
        <v>75.099999999999994</v>
      </c>
      <c r="D3712">
        <v>72.5</v>
      </c>
      <c r="E3712">
        <v>74.3</v>
      </c>
      <c r="F3712">
        <v>73.599999999999994</v>
      </c>
      <c r="G3712">
        <v>0</v>
      </c>
      <c r="H3712">
        <v>0</v>
      </c>
      <c r="I3712">
        <v>0</v>
      </c>
      <c r="J3712">
        <v>0</v>
      </c>
      <c r="K3712">
        <v>63.6</v>
      </c>
      <c r="L3712">
        <v>63</v>
      </c>
      <c r="M3712">
        <v>73.91</v>
      </c>
      <c r="N3712">
        <v>12</v>
      </c>
      <c r="O3712">
        <v>4</v>
      </c>
      <c r="P3712">
        <f>MOD(DAY(datos_siembra[[#This Row],[Date]]),7)</f>
        <v>5</v>
      </c>
      <c r="Q3712" t="str">
        <f>CHOOSE(WEEKDAY(datos_siembra[[#This Row],[Date]],2),"L","M","X","J","V","S","D")</f>
        <v>S</v>
      </c>
      <c r="R3712">
        <f>WEEKNUM(datos_siembra[[#This Row],[Date]],2)-WEEKNUM(DATE(YEAR(datos_siembra[[#This Row],[Date]]),MONTH(datos_siembra[[#This Row],[Date]]),1))+1</f>
        <v>2</v>
      </c>
      <c r="S3712">
        <f>MONTH(datos_siembra[[#This Row],[Date]])</f>
        <v>10</v>
      </c>
      <c r="T3712" t="str" cm="1">
        <f t="array" ref="T3712">_xlfn.IFS(AND(N3712&lt;= 22, S3712=9), "SOWING",AND(N3712&lt;= 28, S3712=9), "COVERAGE",AND(N3712&lt;= 30, S3712=9), "FLUSH",AND(N3712&lt;= 11, S3712=10), "FLUSH",AND(N3712&lt;= 21, S3712=10), "PRODUCTION")</f>
        <v>PRODUCTION</v>
      </c>
      <c r="U3712">
        <f>HOUR(datos_siembra[[#This Row],[Hour]])</f>
        <v>13</v>
      </c>
      <c r="V3712" cm="1">
        <f t="array" ref="V3712">_xlfn.IFS(AND(N3712&lt;= 22, S3712=9), N3712-7,AND(N3712&lt;= 28, S3712=9), N3712-25,AND(N3712&lt;= 30, S3712=9), N3712-28,AND(N3712&lt;= 11, S3712=10), N3712+2,AND(N3712&lt;= 21, S3712=10), N3712-11)</f>
        <v>1</v>
      </c>
    </row>
    <row r="3713" spans="1:22" x14ac:dyDescent="0.35">
      <c r="A3713" s="4">
        <v>45577</v>
      </c>
      <c r="B3713" s="5">
        <v>0.58337962962962964</v>
      </c>
      <c r="C3713">
        <v>75.2</v>
      </c>
      <c r="D3713">
        <v>72.599999999999994</v>
      </c>
      <c r="E3713">
        <v>74.2</v>
      </c>
      <c r="F3713">
        <v>73.900000000000006</v>
      </c>
      <c r="G3713">
        <v>0</v>
      </c>
      <c r="H3713">
        <v>0</v>
      </c>
      <c r="I3713">
        <v>0</v>
      </c>
      <c r="J3713">
        <v>0</v>
      </c>
      <c r="K3713">
        <v>64.099999999999994</v>
      </c>
      <c r="L3713">
        <v>63.6</v>
      </c>
      <c r="M3713">
        <v>73.959999999999994</v>
      </c>
      <c r="N3713">
        <v>12</v>
      </c>
      <c r="O3713">
        <v>4</v>
      </c>
      <c r="P3713">
        <f>MOD(DAY(datos_siembra[[#This Row],[Date]]),7)</f>
        <v>5</v>
      </c>
      <c r="Q3713" t="str">
        <f>CHOOSE(WEEKDAY(datos_siembra[[#This Row],[Date]],2),"L","M","X","J","V","S","D")</f>
        <v>S</v>
      </c>
      <c r="R3713">
        <f>WEEKNUM(datos_siembra[[#This Row],[Date]],2)-WEEKNUM(DATE(YEAR(datos_siembra[[#This Row],[Date]]),MONTH(datos_siembra[[#This Row],[Date]]),1))+1</f>
        <v>2</v>
      </c>
      <c r="S3713">
        <f>MONTH(datos_siembra[[#This Row],[Date]])</f>
        <v>10</v>
      </c>
      <c r="T3713" t="str" cm="1">
        <f t="array" ref="T3713">_xlfn.IFS(AND(N3713&lt;= 22, S3713=9), "SOWING",AND(N3713&lt;= 28, S3713=9), "COVERAGE",AND(N3713&lt;= 30, S3713=9), "FLUSH",AND(N3713&lt;= 11, S3713=10), "FLUSH",AND(N3713&lt;= 21, S3713=10), "PRODUCTION")</f>
        <v>PRODUCTION</v>
      </c>
      <c r="U3713">
        <f>HOUR(datos_siembra[[#This Row],[Hour]])</f>
        <v>14</v>
      </c>
      <c r="V3713" cm="1">
        <f t="array" ref="V3713">_xlfn.IFS(AND(N3713&lt;= 22, S3713=9), N3713-7,AND(N3713&lt;= 28, S3713=9), N3713-25,AND(N3713&lt;= 30, S3713=9), N3713-28,AND(N3713&lt;= 11, S3713=10), N3713+2,AND(N3713&lt;= 21, S3713=10), N3713-11)</f>
        <v>1</v>
      </c>
    </row>
    <row r="3714" spans="1:22" x14ac:dyDescent="0.35">
      <c r="A3714" s="4">
        <v>45577</v>
      </c>
      <c r="B3714" s="5">
        <v>0.59032407407407406</v>
      </c>
      <c r="C3714">
        <v>75.099999999999994</v>
      </c>
      <c r="D3714">
        <v>72.400000000000006</v>
      </c>
      <c r="E3714">
        <v>74</v>
      </c>
      <c r="F3714">
        <v>73.900000000000006</v>
      </c>
      <c r="G3714">
        <v>0</v>
      </c>
      <c r="H3714">
        <v>0</v>
      </c>
      <c r="I3714">
        <v>0</v>
      </c>
      <c r="J3714">
        <v>0</v>
      </c>
      <c r="K3714">
        <v>64.599999999999994</v>
      </c>
      <c r="L3714">
        <v>64.2</v>
      </c>
      <c r="M3714">
        <v>73.88</v>
      </c>
      <c r="N3714">
        <v>12</v>
      </c>
      <c r="O3714">
        <v>4</v>
      </c>
      <c r="P3714">
        <f>MOD(DAY(datos_siembra[[#This Row],[Date]]),7)</f>
        <v>5</v>
      </c>
      <c r="Q3714" t="str">
        <f>CHOOSE(WEEKDAY(datos_siembra[[#This Row],[Date]],2),"L","M","X","J","V","S","D")</f>
        <v>S</v>
      </c>
      <c r="R3714">
        <f>WEEKNUM(datos_siembra[[#This Row],[Date]],2)-WEEKNUM(DATE(YEAR(datos_siembra[[#This Row],[Date]]),MONTH(datos_siembra[[#This Row],[Date]]),1))+1</f>
        <v>2</v>
      </c>
      <c r="S3714">
        <f>MONTH(datos_siembra[[#This Row],[Date]])</f>
        <v>10</v>
      </c>
      <c r="T3714" t="str" cm="1">
        <f t="array" ref="T3714">_xlfn.IFS(AND(N3714&lt;= 22, S3714=9), "SOWING",AND(N3714&lt;= 28, S3714=9), "COVERAGE",AND(N3714&lt;= 30, S3714=9), "FLUSH",AND(N3714&lt;= 11, S3714=10), "FLUSH",AND(N3714&lt;= 21, S3714=10), "PRODUCTION")</f>
        <v>PRODUCTION</v>
      </c>
      <c r="U3714">
        <f>HOUR(datos_siembra[[#This Row],[Hour]])</f>
        <v>14</v>
      </c>
      <c r="V3714" cm="1">
        <f t="array" ref="V3714">_xlfn.IFS(AND(N3714&lt;= 22, S3714=9), N3714-7,AND(N3714&lt;= 28, S3714=9), N3714-25,AND(N3714&lt;= 30, S3714=9), N3714-28,AND(N3714&lt;= 11, S3714=10), N3714+2,AND(N3714&lt;= 21, S3714=10), N3714-11)</f>
        <v>1</v>
      </c>
    </row>
    <row r="3715" spans="1:22" x14ac:dyDescent="0.35">
      <c r="A3715" s="4">
        <v>45577</v>
      </c>
      <c r="B3715" s="5">
        <v>0.59726851851851848</v>
      </c>
      <c r="C3715">
        <v>75.2</v>
      </c>
      <c r="D3715">
        <v>72.5</v>
      </c>
      <c r="E3715">
        <v>74.099999999999994</v>
      </c>
      <c r="F3715">
        <v>73.7</v>
      </c>
      <c r="G3715">
        <v>0</v>
      </c>
      <c r="H3715">
        <v>0</v>
      </c>
      <c r="I3715">
        <v>0</v>
      </c>
      <c r="J3715">
        <v>0</v>
      </c>
      <c r="K3715">
        <v>64.7</v>
      </c>
      <c r="L3715">
        <v>64.400000000000006</v>
      </c>
      <c r="M3715">
        <v>73.989999999999995</v>
      </c>
      <c r="N3715">
        <v>12</v>
      </c>
      <c r="O3715">
        <v>4</v>
      </c>
      <c r="P3715">
        <f>MOD(DAY(datos_siembra[[#This Row],[Date]]),7)</f>
        <v>5</v>
      </c>
      <c r="Q3715" t="str">
        <f>CHOOSE(WEEKDAY(datos_siembra[[#This Row],[Date]],2),"L","M","X","J","V","S","D")</f>
        <v>S</v>
      </c>
      <c r="R3715">
        <f>WEEKNUM(datos_siembra[[#This Row],[Date]],2)-WEEKNUM(DATE(YEAR(datos_siembra[[#This Row],[Date]]),MONTH(datos_siembra[[#This Row],[Date]]),1))+1</f>
        <v>2</v>
      </c>
      <c r="S3715">
        <f>MONTH(datos_siembra[[#This Row],[Date]])</f>
        <v>10</v>
      </c>
      <c r="T3715" t="str" cm="1">
        <f t="array" ref="T3715">_xlfn.IFS(AND(N3715&lt;= 22, S3715=9), "SOWING",AND(N3715&lt;= 28, S3715=9), "COVERAGE",AND(N3715&lt;= 30, S3715=9), "FLUSH",AND(N3715&lt;= 11, S3715=10), "FLUSH",AND(N3715&lt;= 21, S3715=10), "PRODUCTION")</f>
        <v>PRODUCTION</v>
      </c>
      <c r="U3715">
        <f>HOUR(datos_siembra[[#This Row],[Hour]])</f>
        <v>14</v>
      </c>
      <c r="V3715" cm="1">
        <f t="array" ref="V3715">_xlfn.IFS(AND(N3715&lt;= 22, S3715=9), N3715-7,AND(N3715&lt;= 28, S3715=9), N3715-25,AND(N3715&lt;= 30, S3715=9), N3715-28,AND(N3715&lt;= 11, S3715=10), N3715+2,AND(N3715&lt;= 21, S3715=10), N3715-11)</f>
        <v>1</v>
      </c>
    </row>
    <row r="3716" spans="1:22" x14ac:dyDescent="0.35">
      <c r="A3716" s="4">
        <v>45577</v>
      </c>
      <c r="B3716" s="5">
        <v>0.60422453703703705</v>
      </c>
      <c r="C3716">
        <v>75.099999999999994</v>
      </c>
      <c r="D3716">
        <v>72.5</v>
      </c>
      <c r="E3716">
        <v>74.099999999999994</v>
      </c>
      <c r="F3716">
        <v>73.7</v>
      </c>
      <c r="G3716">
        <v>0</v>
      </c>
      <c r="H3716">
        <v>0</v>
      </c>
      <c r="I3716">
        <v>0</v>
      </c>
      <c r="J3716">
        <v>0</v>
      </c>
      <c r="K3716">
        <v>64.7</v>
      </c>
      <c r="L3716">
        <v>64.400000000000006</v>
      </c>
      <c r="M3716">
        <v>73.849999999999994</v>
      </c>
      <c r="N3716">
        <v>12</v>
      </c>
      <c r="O3716">
        <v>4</v>
      </c>
      <c r="P3716">
        <f>MOD(DAY(datos_siembra[[#This Row],[Date]]),7)</f>
        <v>5</v>
      </c>
      <c r="Q3716" t="str">
        <f>CHOOSE(WEEKDAY(datos_siembra[[#This Row],[Date]],2),"L","M","X","J","V","S","D")</f>
        <v>S</v>
      </c>
      <c r="R3716">
        <f>WEEKNUM(datos_siembra[[#This Row],[Date]],2)-WEEKNUM(DATE(YEAR(datos_siembra[[#This Row],[Date]]),MONTH(datos_siembra[[#This Row],[Date]]),1))+1</f>
        <v>2</v>
      </c>
      <c r="S3716">
        <f>MONTH(datos_siembra[[#This Row],[Date]])</f>
        <v>10</v>
      </c>
      <c r="T3716" t="str" cm="1">
        <f t="array" ref="T3716">_xlfn.IFS(AND(N3716&lt;= 22, S3716=9), "SOWING",AND(N3716&lt;= 28, S3716=9), "COVERAGE",AND(N3716&lt;= 30, S3716=9), "FLUSH",AND(N3716&lt;= 11, S3716=10), "FLUSH",AND(N3716&lt;= 21, S3716=10), "PRODUCTION")</f>
        <v>PRODUCTION</v>
      </c>
      <c r="U3716">
        <f>HOUR(datos_siembra[[#This Row],[Hour]])</f>
        <v>14</v>
      </c>
      <c r="V3716" cm="1">
        <f t="array" ref="V3716">_xlfn.IFS(AND(N3716&lt;= 22, S3716=9), N3716-7,AND(N3716&lt;= 28, S3716=9), N3716-25,AND(N3716&lt;= 30, S3716=9), N3716-28,AND(N3716&lt;= 11, S3716=10), N3716+2,AND(N3716&lt;= 21, S3716=10), N3716-11)</f>
        <v>1</v>
      </c>
    </row>
    <row r="3717" spans="1:22" x14ac:dyDescent="0.35">
      <c r="A3717" s="4">
        <v>45577</v>
      </c>
      <c r="B3717" s="5">
        <v>0.61116898148148147</v>
      </c>
      <c r="C3717">
        <v>75.099999999999994</v>
      </c>
      <c r="D3717">
        <v>72.599999999999994</v>
      </c>
      <c r="E3717">
        <v>74.099999999999994</v>
      </c>
      <c r="F3717">
        <v>73.7</v>
      </c>
      <c r="G3717">
        <v>0</v>
      </c>
      <c r="H3717">
        <v>0</v>
      </c>
      <c r="I3717">
        <v>0</v>
      </c>
      <c r="J3717">
        <v>0</v>
      </c>
      <c r="K3717">
        <v>64.7</v>
      </c>
      <c r="L3717">
        <v>64.400000000000006</v>
      </c>
      <c r="M3717">
        <v>73.849999999999994</v>
      </c>
      <c r="N3717">
        <v>12</v>
      </c>
      <c r="O3717">
        <v>4</v>
      </c>
      <c r="P3717">
        <f>MOD(DAY(datos_siembra[[#This Row],[Date]]),7)</f>
        <v>5</v>
      </c>
      <c r="Q3717" t="str">
        <f>CHOOSE(WEEKDAY(datos_siembra[[#This Row],[Date]],2),"L","M","X","J","V","S","D")</f>
        <v>S</v>
      </c>
      <c r="R3717">
        <f>WEEKNUM(datos_siembra[[#This Row],[Date]],2)-WEEKNUM(DATE(YEAR(datos_siembra[[#This Row],[Date]]),MONTH(datos_siembra[[#This Row],[Date]]),1))+1</f>
        <v>2</v>
      </c>
      <c r="S3717">
        <f>MONTH(datos_siembra[[#This Row],[Date]])</f>
        <v>10</v>
      </c>
      <c r="T3717" t="str" cm="1">
        <f t="array" ref="T3717">_xlfn.IFS(AND(N3717&lt;= 22, S3717=9), "SOWING",AND(N3717&lt;= 28, S3717=9), "COVERAGE",AND(N3717&lt;= 30, S3717=9), "FLUSH",AND(N3717&lt;= 11, S3717=10), "FLUSH",AND(N3717&lt;= 21, S3717=10), "PRODUCTION")</f>
        <v>PRODUCTION</v>
      </c>
      <c r="U3717">
        <f>HOUR(datos_siembra[[#This Row],[Hour]])</f>
        <v>14</v>
      </c>
      <c r="V3717" cm="1">
        <f t="array" ref="V3717">_xlfn.IFS(AND(N3717&lt;= 22, S3717=9), N3717-7,AND(N3717&lt;= 28, S3717=9), N3717-25,AND(N3717&lt;= 30, S3717=9), N3717-28,AND(N3717&lt;= 11, S3717=10), N3717+2,AND(N3717&lt;= 21, S3717=10), N3717-11)</f>
        <v>1</v>
      </c>
    </row>
    <row r="3718" spans="1:22" x14ac:dyDescent="0.35">
      <c r="A3718" s="4">
        <v>45577</v>
      </c>
      <c r="B3718" s="5">
        <v>0.61811342592592589</v>
      </c>
      <c r="C3718">
        <v>75.2</v>
      </c>
      <c r="D3718">
        <v>72.5</v>
      </c>
      <c r="E3718">
        <v>74.099999999999994</v>
      </c>
      <c r="F3718">
        <v>73.7</v>
      </c>
      <c r="G3718">
        <v>0</v>
      </c>
      <c r="H3718">
        <v>0</v>
      </c>
      <c r="I3718">
        <v>0</v>
      </c>
      <c r="J3718">
        <v>0</v>
      </c>
      <c r="K3718">
        <v>64.7</v>
      </c>
      <c r="L3718">
        <v>64.400000000000006</v>
      </c>
      <c r="M3718">
        <v>73.91</v>
      </c>
      <c r="N3718">
        <v>12</v>
      </c>
      <c r="O3718">
        <v>4</v>
      </c>
      <c r="P3718">
        <f>MOD(DAY(datos_siembra[[#This Row],[Date]]),7)</f>
        <v>5</v>
      </c>
      <c r="Q3718" t="str">
        <f>CHOOSE(WEEKDAY(datos_siembra[[#This Row],[Date]],2),"L","M","X","J","V","S","D")</f>
        <v>S</v>
      </c>
      <c r="R3718">
        <f>WEEKNUM(datos_siembra[[#This Row],[Date]],2)-WEEKNUM(DATE(YEAR(datos_siembra[[#This Row],[Date]]),MONTH(datos_siembra[[#This Row],[Date]]),1))+1</f>
        <v>2</v>
      </c>
      <c r="S3718">
        <f>MONTH(datos_siembra[[#This Row],[Date]])</f>
        <v>10</v>
      </c>
      <c r="T3718" t="str" cm="1">
        <f t="array" ref="T3718">_xlfn.IFS(AND(N3718&lt;= 22, S3718=9), "SOWING",AND(N3718&lt;= 28, S3718=9), "COVERAGE",AND(N3718&lt;= 30, S3718=9), "FLUSH",AND(N3718&lt;= 11, S3718=10), "FLUSH",AND(N3718&lt;= 21, S3718=10), "PRODUCTION")</f>
        <v>PRODUCTION</v>
      </c>
      <c r="U3718">
        <f>HOUR(datos_siembra[[#This Row],[Hour]])</f>
        <v>14</v>
      </c>
      <c r="V3718" cm="1">
        <f t="array" ref="V3718">_xlfn.IFS(AND(N3718&lt;= 22, S3718=9), N3718-7,AND(N3718&lt;= 28, S3718=9), N3718-25,AND(N3718&lt;= 30, S3718=9), N3718-28,AND(N3718&lt;= 11, S3718=10), N3718+2,AND(N3718&lt;= 21, S3718=10), N3718-11)</f>
        <v>1</v>
      </c>
    </row>
    <row r="3719" spans="1:22" x14ac:dyDescent="0.35">
      <c r="A3719" s="4">
        <v>45577</v>
      </c>
      <c r="B3719" s="5">
        <v>0.62506944444444446</v>
      </c>
      <c r="C3719">
        <v>75.2</v>
      </c>
      <c r="D3719">
        <v>72.7</v>
      </c>
      <c r="E3719">
        <v>74</v>
      </c>
      <c r="F3719">
        <v>73.599999999999994</v>
      </c>
      <c r="G3719">
        <v>0</v>
      </c>
      <c r="H3719">
        <v>0</v>
      </c>
      <c r="I3719">
        <v>0</v>
      </c>
      <c r="J3719">
        <v>0</v>
      </c>
      <c r="K3719">
        <v>64.599999999999994</v>
      </c>
      <c r="L3719">
        <v>64.3</v>
      </c>
      <c r="M3719">
        <v>73.88</v>
      </c>
      <c r="N3719">
        <v>12</v>
      </c>
      <c r="O3719">
        <v>4</v>
      </c>
      <c r="P3719">
        <f>MOD(DAY(datos_siembra[[#This Row],[Date]]),7)</f>
        <v>5</v>
      </c>
      <c r="Q3719" t="str">
        <f>CHOOSE(WEEKDAY(datos_siembra[[#This Row],[Date]],2),"L","M","X","J","V","S","D")</f>
        <v>S</v>
      </c>
      <c r="R3719">
        <f>WEEKNUM(datos_siembra[[#This Row],[Date]],2)-WEEKNUM(DATE(YEAR(datos_siembra[[#This Row],[Date]]),MONTH(datos_siembra[[#This Row],[Date]]),1))+1</f>
        <v>2</v>
      </c>
      <c r="S3719">
        <f>MONTH(datos_siembra[[#This Row],[Date]])</f>
        <v>10</v>
      </c>
      <c r="T3719" t="str" cm="1">
        <f t="array" ref="T3719">_xlfn.IFS(AND(N3719&lt;= 22, S3719=9), "SOWING",AND(N3719&lt;= 28, S3719=9), "COVERAGE",AND(N3719&lt;= 30, S3719=9), "FLUSH",AND(N3719&lt;= 11, S3719=10), "FLUSH",AND(N3719&lt;= 21, S3719=10), "PRODUCTION")</f>
        <v>PRODUCTION</v>
      </c>
      <c r="U3719">
        <f>HOUR(datos_siembra[[#This Row],[Hour]])</f>
        <v>15</v>
      </c>
      <c r="V3719" cm="1">
        <f t="array" ref="V3719">_xlfn.IFS(AND(N3719&lt;= 22, S3719=9), N3719-7,AND(N3719&lt;= 28, S3719=9), N3719-25,AND(N3719&lt;= 30, S3719=9), N3719-28,AND(N3719&lt;= 11, S3719=10), N3719+2,AND(N3719&lt;= 21, S3719=10), N3719-11)</f>
        <v>1</v>
      </c>
    </row>
    <row r="3720" spans="1:22" x14ac:dyDescent="0.35">
      <c r="A3720" s="4">
        <v>45577</v>
      </c>
      <c r="B3720" s="5">
        <v>0.63201388888888888</v>
      </c>
      <c r="C3720">
        <v>75.3</v>
      </c>
      <c r="D3720">
        <v>72.599999999999994</v>
      </c>
      <c r="E3720">
        <v>74</v>
      </c>
      <c r="F3720">
        <v>73.7</v>
      </c>
      <c r="G3720">
        <v>0</v>
      </c>
      <c r="H3720">
        <v>0</v>
      </c>
      <c r="I3720">
        <v>0</v>
      </c>
      <c r="J3720">
        <v>0</v>
      </c>
      <c r="K3720">
        <v>64.7</v>
      </c>
      <c r="L3720">
        <v>64.3</v>
      </c>
      <c r="M3720">
        <v>73.849999999999994</v>
      </c>
      <c r="N3720">
        <v>12</v>
      </c>
      <c r="O3720">
        <v>4</v>
      </c>
      <c r="P3720">
        <f>MOD(DAY(datos_siembra[[#This Row],[Date]]),7)</f>
        <v>5</v>
      </c>
      <c r="Q3720" t="str">
        <f>CHOOSE(WEEKDAY(datos_siembra[[#This Row],[Date]],2),"L","M","X","J","V","S","D")</f>
        <v>S</v>
      </c>
      <c r="R3720">
        <f>WEEKNUM(datos_siembra[[#This Row],[Date]],2)-WEEKNUM(DATE(YEAR(datos_siembra[[#This Row],[Date]]),MONTH(datos_siembra[[#This Row],[Date]]),1))+1</f>
        <v>2</v>
      </c>
      <c r="S3720">
        <f>MONTH(datos_siembra[[#This Row],[Date]])</f>
        <v>10</v>
      </c>
      <c r="T3720" t="str" cm="1">
        <f t="array" ref="T3720">_xlfn.IFS(AND(N3720&lt;= 22, S3720=9), "SOWING",AND(N3720&lt;= 28, S3720=9), "COVERAGE",AND(N3720&lt;= 30, S3720=9), "FLUSH",AND(N3720&lt;= 11, S3720=10), "FLUSH",AND(N3720&lt;= 21, S3720=10), "PRODUCTION")</f>
        <v>PRODUCTION</v>
      </c>
      <c r="U3720">
        <f>HOUR(datos_siembra[[#This Row],[Hour]])</f>
        <v>15</v>
      </c>
      <c r="V3720" cm="1">
        <f t="array" ref="V3720">_xlfn.IFS(AND(N3720&lt;= 22, S3720=9), N3720-7,AND(N3720&lt;= 28, S3720=9), N3720-25,AND(N3720&lt;= 30, S3720=9), N3720-28,AND(N3720&lt;= 11, S3720=10), N3720+2,AND(N3720&lt;= 21, S3720=10), N3720-11)</f>
        <v>1</v>
      </c>
    </row>
    <row r="3721" spans="1:22" x14ac:dyDescent="0.35">
      <c r="A3721" s="4">
        <v>45577</v>
      </c>
      <c r="B3721" s="5">
        <v>0.63895833333333329</v>
      </c>
      <c r="C3721">
        <v>75.2</v>
      </c>
      <c r="D3721">
        <v>72.5</v>
      </c>
      <c r="E3721">
        <v>74</v>
      </c>
      <c r="F3721">
        <v>73.7</v>
      </c>
      <c r="G3721">
        <v>0</v>
      </c>
      <c r="H3721">
        <v>0</v>
      </c>
      <c r="I3721">
        <v>0</v>
      </c>
      <c r="J3721">
        <v>0</v>
      </c>
      <c r="K3721">
        <v>64.7</v>
      </c>
      <c r="L3721">
        <v>64.3</v>
      </c>
      <c r="M3721">
        <v>73.930000000000007</v>
      </c>
      <c r="N3721">
        <v>12</v>
      </c>
      <c r="O3721">
        <v>4</v>
      </c>
      <c r="P3721">
        <f>MOD(DAY(datos_siembra[[#This Row],[Date]]),7)</f>
        <v>5</v>
      </c>
      <c r="Q3721" t="str">
        <f>CHOOSE(WEEKDAY(datos_siembra[[#This Row],[Date]],2),"L","M","X","J","V","S","D")</f>
        <v>S</v>
      </c>
      <c r="R3721">
        <f>WEEKNUM(datos_siembra[[#This Row],[Date]],2)-WEEKNUM(DATE(YEAR(datos_siembra[[#This Row],[Date]]),MONTH(datos_siembra[[#This Row],[Date]]),1))+1</f>
        <v>2</v>
      </c>
      <c r="S3721">
        <f>MONTH(datos_siembra[[#This Row],[Date]])</f>
        <v>10</v>
      </c>
      <c r="T3721" t="str" cm="1">
        <f t="array" ref="T3721">_xlfn.IFS(AND(N3721&lt;= 22, S3721=9), "SOWING",AND(N3721&lt;= 28, S3721=9), "COVERAGE",AND(N3721&lt;= 30, S3721=9), "FLUSH",AND(N3721&lt;= 11, S3721=10), "FLUSH",AND(N3721&lt;= 21, S3721=10), "PRODUCTION")</f>
        <v>PRODUCTION</v>
      </c>
      <c r="U3721">
        <f>HOUR(datos_siembra[[#This Row],[Hour]])</f>
        <v>15</v>
      </c>
      <c r="V3721" cm="1">
        <f t="array" ref="V3721">_xlfn.IFS(AND(N3721&lt;= 22, S3721=9), N3721-7,AND(N3721&lt;= 28, S3721=9), N3721-25,AND(N3721&lt;= 30, S3721=9), N3721-28,AND(N3721&lt;= 11, S3721=10), N3721+2,AND(N3721&lt;= 21, S3721=10), N3721-11)</f>
        <v>1</v>
      </c>
    </row>
    <row r="3722" spans="1:22" x14ac:dyDescent="0.35">
      <c r="A3722" s="4">
        <v>45577</v>
      </c>
      <c r="B3722" s="5">
        <v>0.64590277777777783</v>
      </c>
      <c r="C3722">
        <v>75.2</v>
      </c>
      <c r="D3722">
        <v>72.599999999999994</v>
      </c>
      <c r="E3722">
        <v>74</v>
      </c>
      <c r="F3722">
        <v>73.900000000000006</v>
      </c>
      <c r="G3722">
        <v>0</v>
      </c>
      <c r="H3722">
        <v>0</v>
      </c>
      <c r="I3722">
        <v>0</v>
      </c>
      <c r="J3722">
        <v>0</v>
      </c>
      <c r="K3722">
        <v>64.5</v>
      </c>
      <c r="L3722">
        <v>64.2</v>
      </c>
      <c r="M3722">
        <v>73.959999999999994</v>
      </c>
      <c r="N3722">
        <v>12</v>
      </c>
      <c r="O3722">
        <v>4</v>
      </c>
      <c r="P3722">
        <f>MOD(DAY(datos_siembra[[#This Row],[Date]]),7)</f>
        <v>5</v>
      </c>
      <c r="Q3722" t="str">
        <f>CHOOSE(WEEKDAY(datos_siembra[[#This Row],[Date]],2),"L","M","X","J","V","S","D")</f>
        <v>S</v>
      </c>
      <c r="R3722">
        <f>WEEKNUM(datos_siembra[[#This Row],[Date]],2)-WEEKNUM(DATE(YEAR(datos_siembra[[#This Row],[Date]]),MONTH(datos_siembra[[#This Row],[Date]]),1))+1</f>
        <v>2</v>
      </c>
      <c r="S3722">
        <f>MONTH(datos_siembra[[#This Row],[Date]])</f>
        <v>10</v>
      </c>
      <c r="T3722" t="str" cm="1">
        <f t="array" ref="T3722">_xlfn.IFS(AND(N3722&lt;= 22, S3722=9), "SOWING",AND(N3722&lt;= 28, S3722=9), "COVERAGE",AND(N3722&lt;= 30, S3722=9), "FLUSH",AND(N3722&lt;= 11, S3722=10), "FLUSH",AND(N3722&lt;= 21, S3722=10), "PRODUCTION")</f>
        <v>PRODUCTION</v>
      </c>
      <c r="U3722">
        <f>HOUR(datos_siembra[[#This Row],[Hour]])</f>
        <v>15</v>
      </c>
      <c r="V3722" cm="1">
        <f t="array" ref="V3722">_xlfn.IFS(AND(N3722&lt;= 22, S3722=9), N3722-7,AND(N3722&lt;= 28, S3722=9), N3722-25,AND(N3722&lt;= 30, S3722=9), N3722-28,AND(N3722&lt;= 11, S3722=10), N3722+2,AND(N3722&lt;= 21, S3722=10), N3722-11)</f>
        <v>1</v>
      </c>
    </row>
    <row r="3723" spans="1:22" x14ac:dyDescent="0.35">
      <c r="A3723" s="4">
        <v>45577</v>
      </c>
      <c r="B3723" s="5">
        <v>0.65285879629629628</v>
      </c>
      <c r="C3723">
        <v>75.3</v>
      </c>
      <c r="D3723">
        <v>72.599999999999994</v>
      </c>
      <c r="E3723">
        <v>73.900000000000006</v>
      </c>
      <c r="F3723">
        <v>73.7</v>
      </c>
      <c r="G3723">
        <v>0</v>
      </c>
      <c r="H3723">
        <v>0</v>
      </c>
      <c r="I3723">
        <v>0</v>
      </c>
      <c r="J3723">
        <v>0</v>
      </c>
      <c r="K3723">
        <v>64.5</v>
      </c>
      <c r="L3723">
        <v>64.2</v>
      </c>
      <c r="M3723">
        <v>73.91</v>
      </c>
      <c r="N3723">
        <v>12</v>
      </c>
      <c r="O3723">
        <v>4</v>
      </c>
      <c r="P3723">
        <f>MOD(DAY(datos_siembra[[#This Row],[Date]]),7)</f>
        <v>5</v>
      </c>
      <c r="Q3723" t="str">
        <f>CHOOSE(WEEKDAY(datos_siembra[[#This Row],[Date]],2),"L","M","X","J","V","S","D")</f>
        <v>S</v>
      </c>
      <c r="R3723">
        <f>WEEKNUM(datos_siembra[[#This Row],[Date]],2)-WEEKNUM(DATE(YEAR(datos_siembra[[#This Row],[Date]]),MONTH(datos_siembra[[#This Row],[Date]]),1))+1</f>
        <v>2</v>
      </c>
      <c r="S3723">
        <f>MONTH(datos_siembra[[#This Row],[Date]])</f>
        <v>10</v>
      </c>
      <c r="T3723" t="str" cm="1">
        <f t="array" ref="T3723">_xlfn.IFS(AND(N3723&lt;= 22, S3723=9), "SOWING",AND(N3723&lt;= 28, S3723=9), "COVERAGE",AND(N3723&lt;= 30, S3723=9), "FLUSH",AND(N3723&lt;= 11, S3723=10), "FLUSH",AND(N3723&lt;= 21, S3723=10), "PRODUCTION")</f>
        <v>PRODUCTION</v>
      </c>
      <c r="U3723">
        <f>HOUR(datos_siembra[[#This Row],[Hour]])</f>
        <v>15</v>
      </c>
      <c r="V3723" cm="1">
        <f t="array" ref="V3723">_xlfn.IFS(AND(N3723&lt;= 22, S3723=9), N3723-7,AND(N3723&lt;= 28, S3723=9), N3723-25,AND(N3723&lt;= 30, S3723=9), N3723-28,AND(N3723&lt;= 11, S3723=10), N3723+2,AND(N3723&lt;= 21, S3723=10), N3723-11)</f>
        <v>1</v>
      </c>
    </row>
    <row r="3724" spans="1:22" x14ac:dyDescent="0.35">
      <c r="A3724" s="4">
        <v>45577</v>
      </c>
      <c r="B3724" s="5">
        <v>0.6598032407407407</v>
      </c>
      <c r="C3724">
        <v>75.2</v>
      </c>
      <c r="D3724">
        <v>72.5</v>
      </c>
      <c r="E3724">
        <v>73.900000000000006</v>
      </c>
      <c r="F3724">
        <v>73.7</v>
      </c>
      <c r="G3724">
        <v>0</v>
      </c>
      <c r="H3724">
        <v>0</v>
      </c>
      <c r="I3724">
        <v>0</v>
      </c>
      <c r="J3724">
        <v>0</v>
      </c>
      <c r="K3724">
        <v>64.5</v>
      </c>
      <c r="L3724">
        <v>64.099999999999994</v>
      </c>
      <c r="M3724">
        <v>73.849999999999994</v>
      </c>
      <c r="N3724">
        <v>12</v>
      </c>
      <c r="O3724">
        <v>4</v>
      </c>
      <c r="P3724">
        <f>MOD(DAY(datos_siembra[[#This Row],[Date]]),7)</f>
        <v>5</v>
      </c>
      <c r="Q3724" t="str">
        <f>CHOOSE(WEEKDAY(datos_siembra[[#This Row],[Date]],2),"L","M","X","J","V","S","D")</f>
        <v>S</v>
      </c>
      <c r="R3724">
        <f>WEEKNUM(datos_siembra[[#This Row],[Date]],2)-WEEKNUM(DATE(YEAR(datos_siembra[[#This Row],[Date]]),MONTH(datos_siembra[[#This Row],[Date]]),1))+1</f>
        <v>2</v>
      </c>
      <c r="S3724">
        <f>MONTH(datos_siembra[[#This Row],[Date]])</f>
        <v>10</v>
      </c>
      <c r="T3724" t="str" cm="1">
        <f t="array" ref="T3724">_xlfn.IFS(AND(N3724&lt;= 22, S3724=9), "SOWING",AND(N3724&lt;= 28, S3724=9), "COVERAGE",AND(N3724&lt;= 30, S3724=9), "FLUSH",AND(N3724&lt;= 11, S3724=10), "FLUSH",AND(N3724&lt;= 21, S3724=10), "PRODUCTION")</f>
        <v>PRODUCTION</v>
      </c>
      <c r="U3724">
        <f>HOUR(datos_siembra[[#This Row],[Hour]])</f>
        <v>15</v>
      </c>
      <c r="V3724" cm="1">
        <f t="array" ref="V3724">_xlfn.IFS(AND(N3724&lt;= 22, S3724=9), N3724-7,AND(N3724&lt;= 28, S3724=9), N3724-25,AND(N3724&lt;= 30, S3724=9), N3724-28,AND(N3724&lt;= 11, S3724=10), N3724+2,AND(N3724&lt;= 21, S3724=10), N3724-11)</f>
        <v>1</v>
      </c>
    </row>
    <row r="3725" spans="1:22" x14ac:dyDescent="0.35">
      <c r="A3725" s="4">
        <v>45577</v>
      </c>
      <c r="B3725" s="5">
        <v>0.66674768518518523</v>
      </c>
      <c r="C3725">
        <v>75.3</v>
      </c>
      <c r="D3725">
        <v>72.599999999999994</v>
      </c>
      <c r="E3725">
        <v>73.900000000000006</v>
      </c>
      <c r="F3725">
        <v>73.900000000000006</v>
      </c>
      <c r="G3725">
        <v>0</v>
      </c>
      <c r="H3725">
        <v>0</v>
      </c>
      <c r="I3725">
        <v>0</v>
      </c>
      <c r="J3725">
        <v>0</v>
      </c>
      <c r="K3725">
        <v>64.400000000000006</v>
      </c>
      <c r="L3725">
        <v>64.099999999999994</v>
      </c>
      <c r="M3725">
        <v>73.849999999999994</v>
      </c>
      <c r="N3725">
        <v>12</v>
      </c>
      <c r="O3725">
        <v>4</v>
      </c>
      <c r="P3725">
        <f>MOD(DAY(datos_siembra[[#This Row],[Date]]),7)</f>
        <v>5</v>
      </c>
      <c r="Q3725" t="str">
        <f>CHOOSE(WEEKDAY(datos_siembra[[#This Row],[Date]],2),"L","M","X","J","V","S","D")</f>
        <v>S</v>
      </c>
      <c r="R3725">
        <f>WEEKNUM(datos_siembra[[#This Row],[Date]],2)-WEEKNUM(DATE(YEAR(datos_siembra[[#This Row],[Date]]),MONTH(datos_siembra[[#This Row],[Date]]),1))+1</f>
        <v>2</v>
      </c>
      <c r="S3725">
        <f>MONTH(datos_siembra[[#This Row],[Date]])</f>
        <v>10</v>
      </c>
      <c r="T3725" t="str" cm="1">
        <f t="array" ref="T3725">_xlfn.IFS(AND(N3725&lt;= 22, S3725=9), "SOWING",AND(N3725&lt;= 28, S3725=9), "COVERAGE",AND(N3725&lt;= 30, S3725=9), "FLUSH",AND(N3725&lt;= 11, S3725=10), "FLUSH",AND(N3725&lt;= 21, S3725=10), "PRODUCTION")</f>
        <v>PRODUCTION</v>
      </c>
      <c r="U3725">
        <f>HOUR(datos_siembra[[#This Row],[Hour]])</f>
        <v>16</v>
      </c>
      <c r="V3725" cm="1">
        <f t="array" ref="V3725">_xlfn.IFS(AND(N3725&lt;= 22, S3725=9), N3725-7,AND(N3725&lt;= 28, S3725=9), N3725-25,AND(N3725&lt;= 30, S3725=9), N3725-28,AND(N3725&lt;= 11, S3725=10), N3725+2,AND(N3725&lt;= 21, S3725=10), N3725-11)</f>
        <v>1</v>
      </c>
    </row>
    <row r="3726" spans="1:22" x14ac:dyDescent="0.35">
      <c r="A3726" s="4">
        <v>45577</v>
      </c>
      <c r="B3726" s="5">
        <v>0.67370370370370369</v>
      </c>
      <c r="C3726">
        <v>75.3</v>
      </c>
      <c r="D3726">
        <v>72.7</v>
      </c>
      <c r="E3726">
        <v>73.900000000000006</v>
      </c>
      <c r="F3726">
        <v>73.900000000000006</v>
      </c>
      <c r="G3726">
        <v>0</v>
      </c>
      <c r="H3726">
        <v>0</v>
      </c>
      <c r="I3726">
        <v>0</v>
      </c>
      <c r="J3726">
        <v>0</v>
      </c>
      <c r="K3726">
        <v>64.400000000000006</v>
      </c>
      <c r="L3726">
        <v>63.9</v>
      </c>
      <c r="M3726">
        <v>73.849999999999994</v>
      </c>
      <c r="N3726">
        <v>12</v>
      </c>
      <c r="O3726">
        <v>4</v>
      </c>
      <c r="P3726">
        <f>MOD(DAY(datos_siembra[[#This Row],[Date]]),7)</f>
        <v>5</v>
      </c>
      <c r="Q3726" t="str">
        <f>CHOOSE(WEEKDAY(datos_siembra[[#This Row],[Date]],2),"L","M","X","J","V","S","D")</f>
        <v>S</v>
      </c>
      <c r="R3726">
        <f>WEEKNUM(datos_siembra[[#This Row],[Date]],2)-WEEKNUM(DATE(YEAR(datos_siembra[[#This Row],[Date]]),MONTH(datos_siembra[[#This Row],[Date]]),1))+1</f>
        <v>2</v>
      </c>
      <c r="S3726">
        <f>MONTH(datos_siembra[[#This Row],[Date]])</f>
        <v>10</v>
      </c>
      <c r="T3726" t="str" cm="1">
        <f t="array" ref="T3726">_xlfn.IFS(AND(N3726&lt;= 22, S3726=9), "SOWING",AND(N3726&lt;= 28, S3726=9), "COVERAGE",AND(N3726&lt;= 30, S3726=9), "FLUSH",AND(N3726&lt;= 11, S3726=10), "FLUSH",AND(N3726&lt;= 21, S3726=10), "PRODUCTION")</f>
        <v>PRODUCTION</v>
      </c>
      <c r="U3726">
        <f>HOUR(datos_siembra[[#This Row],[Hour]])</f>
        <v>16</v>
      </c>
      <c r="V3726" cm="1">
        <f t="array" ref="V3726">_xlfn.IFS(AND(N3726&lt;= 22, S3726=9), N3726-7,AND(N3726&lt;= 28, S3726=9), N3726-25,AND(N3726&lt;= 30, S3726=9), N3726-28,AND(N3726&lt;= 11, S3726=10), N3726+2,AND(N3726&lt;= 21, S3726=10), N3726-11)</f>
        <v>1</v>
      </c>
    </row>
    <row r="3727" spans="1:22" x14ac:dyDescent="0.35">
      <c r="A3727" s="4">
        <v>45577</v>
      </c>
      <c r="B3727" s="5">
        <v>0.68064814814814811</v>
      </c>
      <c r="C3727">
        <v>75.400000000000006</v>
      </c>
      <c r="D3727">
        <v>72.7</v>
      </c>
      <c r="E3727">
        <v>73.900000000000006</v>
      </c>
      <c r="F3727">
        <v>73.900000000000006</v>
      </c>
      <c r="G3727">
        <v>0</v>
      </c>
      <c r="H3727">
        <v>0</v>
      </c>
      <c r="I3727">
        <v>0</v>
      </c>
      <c r="J3727">
        <v>0</v>
      </c>
      <c r="K3727">
        <v>64.3</v>
      </c>
      <c r="L3727">
        <v>63.9</v>
      </c>
      <c r="M3727">
        <v>73.959999999999994</v>
      </c>
      <c r="N3727">
        <v>12</v>
      </c>
      <c r="O3727">
        <v>4</v>
      </c>
      <c r="P3727">
        <f>MOD(DAY(datos_siembra[[#This Row],[Date]]),7)</f>
        <v>5</v>
      </c>
      <c r="Q3727" t="str">
        <f>CHOOSE(WEEKDAY(datos_siembra[[#This Row],[Date]],2),"L","M","X","J","V","S","D")</f>
        <v>S</v>
      </c>
      <c r="R3727">
        <f>WEEKNUM(datos_siembra[[#This Row],[Date]],2)-WEEKNUM(DATE(YEAR(datos_siembra[[#This Row],[Date]]),MONTH(datos_siembra[[#This Row],[Date]]),1))+1</f>
        <v>2</v>
      </c>
      <c r="S3727">
        <f>MONTH(datos_siembra[[#This Row],[Date]])</f>
        <v>10</v>
      </c>
      <c r="T3727" t="str" cm="1">
        <f t="array" ref="T3727">_xlfn.IFS(AND(N3727&lt;= 22, S3727=9), "SOWING",AND(N3727&lt;= 28, S3727=9), "COVERAGE",AND(N3727&lt;= 30, S3727=9), "FLUSH",AND(N3727&lt;= 11, S3727=10), "FLUSH",AND(N3727&lt;= 21, S3727=10), "PRODUCTION")</f>
        <v>PRODUCTION</v>
      </c>
      <c r="U3727">
        <f>HOUR(datos_siembra[[#This Row],[Hour]])</f>
        <v>16</v>
      </c>
      <c r="V3727" cm="1">
        <f t="array" ref="V3727">_xlfn.IFS(AND(N3727&lt;= 22, S3727=9), N3727-7,AND(N3727&lt;= 28, S3727=9), N3727-25,AND(N3727&lt;= 30, S3727=9), N3727-28,AND(N3727&lt;= 11, S3727=10), N3727+2,AND(N3727&lt;= 21, S3727=10), N3727-11)</f>
        <v>1</v>
      </c>
    </row>
    <row r="3728" spans="1:22" x14ac:dyDescent="0.35">
      <c r="A3728" s="4">
        <v>45577</v>
      </c>
      <c r="B3728" s="5">
        <v>0.68759259259259264</v>
      </c>
      <c r="C3728">
        <v>75.400000000000006</v>
      </c>
      <c r="D3728">
        <v>72.599999999999994</v>
      </c>
      <c r="E3728">
        <v>73.7</v>
      </c>
      <c r="F3728">
        <v>74.099999999999994</v>
      </c>
      <c r="G3728">
        <v>0</v>
      </c>
      <c r="H3728">
        <v>0</v>
      </c>
      <c r="I3728">
        <v>0</v>
      </c>
      <c r="J3728">
        <v>0</v>
      </c>
      <c r="K3728">
        <v>64.3</v>
      </c>
      <c r="L3728">
        <v>63.9</v>
      </c>
      <c r="M3728">
        <v>73.88</v>
      </c>
      <c r="N3728">
        <v>12</v>
      </c>
      <c r="O3728">
        <v>4</v>
      </c>
      <c r="P3728">
        <f>MOD(DAY(datos_siembra[[#This Row],[Date]]),7)</f>
        <v>5</v>
      </c>
      <c r="Q3728" t="str">
        <f>CHOOSE(WEEKDAY(datos_siembra[[#This Row],[Date]],2),"L","M","X","J","V","S","D")</f>
        <v>S</v>
      </c>
      <c r="R3728">
        <f>WEEKNUM(datos_siembra[[#This Row],[Date]],2)-WEEKNUM(DATE(YEAR(datos_siembra[[#This Row],[Date]]),MONTH(datos_siembra[[#This Row],[Date]]),1))+1</f>
        <v>2</v>
      </c>
      <c r="S3728">
        <f>MONTH(datos_siembra[[#This Row],[Date]])</f>
        <v>10</v>
      </c>
      <c r="T3728" t="str" cm="1">
        <f t="array" ref="T3728">_xlfn.IFS(AND(N3728&lt;= 22, S3728=9), "SOWING",AND(N3728&lt;= 28, S3728=9), "COVERAGE",AND(N3728&lt;= 30, S3728=9), "FLUSH",AND(N3728&lt;= 11, S3728=10), "FLUSH",AND(N3728&lt;= 21, S3728=10), "PRODUCTION")</f>
        <v>PRODUCTION</v>
      </c>
      <c r="U3728">
        <f>HOUR(datos_siembra[[#This Row],[Hour]])</f>
        <v>16</v>
      </c>
      <c r="V3728" cm="1">
        <f t="array" ref="V3728">_xlfn.IFS(AND(N3728&lt;= 22, S3728=9), N3728-7,AND(N3728&lt;= 28, S3728=9), N3728-25,AND(N3728&lt;= 30, S3728=9), N3728-28,AND(N3728&lt;= 11, S3728=10), N3728+2,AND(N3728&lt;= 21, S3728=10), N3728-11)</f>
        <v>1</v>
      </c>
    </row>
    <row r="3729" spans="1:22" x14ac:dyDescent="0.35">
      <c r="A3729" s="4">
        <v>45577</v>
      </c>
      <c r="B3729" s="5">
        <v>0.69453703703703706</v>
      </c>
      <c r="C3729">
        <v>75.3</v>
      </c>
      <c r="D3729">
        <v>72.7</v>
      </c>
      <c r="E3729">
        <v>73.900000000000006</v>
      </c>
      <c r="F3729">
        <v>74</v>
      </c>
      <c r="G3729">
        <v>0</v>
      </c>
      <c r="H3729">
        <v>0</v>
      </c>
      <c r="I3729">
        <v>0</v>
      </c>
      <c r="J3729">
        <v>0</v>
      </c>
      <c r="K3729">
        <v>64.2</v>
      </c>
      <c r="L3729">
        <v>63.9</v>
      </c>
      <c r="M3729">
        <v>73.989999999999995</v>
      </c>
      <c r="N3729">
        <v>12</v>
      </c>
      <c r="O3729">
        <v>4</v>
      </c>
      <c r="P3729">
        <f>MOD(DAY(datos_siembra[[#This Row],[Date]]),7)</f>
        <v>5</v>
      </c>
      <c r="Q3729" t="str">
        <f>CHOOSE(WEEKDAY(datos_siembra[[#This Row],[Date]],2),"L","M","X","J","V","S","D")</f>
        <v>S</v>
      </c>
      <c r="R3729">
        <f>WEEKNUM(datos_siembra[[#This Row],[Date]],2)-WEEKNUM(DATE(YEAR(datos_siembra[[#This Row],[Date]]),MONTH(datos_siembra[[#This Row],[Date]]),1))+1</f>
        <v>2</v>
      </c>
      <c r="S3729">
        <f>MONTH(datos_siembra[[#This Row],[Date]])</f>
        <v>10</v>
      </c>
      <c r="T3729" t="str" cm="1">
        <f t="array" ref="T3729">_xlfn.IFS(AND(N3729&lt;= 22, S3729=9), "SOWING",AND(N3729&lt;= 28, S3729=9), "COVERAGE",AND(N3729&lt;= 30, S3729=9), "FLUSH",AND(N3729&lt;= 11, S3729=10), "FLUSH",AND(N3729&lt;= 21, S3729=10), "PRODUCTION")</f>
        <v>PRODUCTION</v>
      </c>
      <c r="U3729">
        <f>HOUR(datos_siembra[[#This Row],[Hour]])</f>
        <v>16</v>
      </c>
      <c r="V3729" cm="1">
        <f t="array" ref="V3729">_xlfn.IFS(AND(N3729&lt;= 22, S3729=9), N3729-7,AND(N3729&lt;= 28, S3729=9), N3729-25,AND(N3729&lt;= 30, S3729=9), N3729-28,AND(N3729&lt;= 11, S3729=10), N3729+2,AND(N3729&lt;= 21, S3729=10), N3729-11)</f>
        <v>1</v>
      </c>
    </row>
    <row r="3730" spans="1:22" x14ac:dyDescent="0.35">
      <c r="A3730" s="4">
        <v>45577</v>
      </c>
      <c r="B3730" s="5">
        <v>0.70149305555555552</v>
      </c>
      <c r="C3730">
        <v>75.400000000000006</v>
      </c>
      <c r="D3730">
        <v>72.599999999999994</v>
      </c>
      <c r="E3730">
        <v>73.900000000000006</v>
      </c>
      <c r="F3730">
        <v>74</v>
      </c>
      <c r="G3730">
        <v>0</v>
      </c>
      <c r="H3730">
        <v>0</v>
      </c>
      <c r="I3730">
        <v>0</v>
      </c>
      <c r="J3730">
        <v>0</v>
      </c>
      <c r="K3730">
        <v>64.2</v>
      </c>
      <c r="L3730">
        <v>63.8</v>
      </c>
      <c r="M3730">
        <v>73.930000000000007</v>
      </c>
      <c r="N3730">
        <v>12</v>
      </c>
      <c r="O3730">
        <v>4</v>
      </c>
      <c r="P3730">
        <f>MOD(DAY(datos_siembra[[#This Row],[Date]]),7)</f>
        <v>5</v>
      </c>
      <c r="Q3730" t="str">
        <f>CHOOSE(WEEKDAY(datos_siembra[[#This Row],[Date]],2),"L","M","X","J","V","S","D")</f>
        <v>S</v>
      </c>
      <c r="R3730">
        <f>WEEKNUM(datos_siembra[[#This Row],[Date]],2)-WEEKNUM(DATE(YEAR(datos_siembra[[#This Row],[Date]]),MONTH(datos_siembra[[#This Row],[Date]]),1))+1</f>
        <v>2</v>
      </c>
      <c r="S3730">
        <f>MONTH(datos_siembra[[#This Row],[Date]])</f>
        <v>10</v>
      </c>
      <c r="T3730" t="str" cm="1">
        <f t="array" ref="T3730">_xlfn.IFS(AND(N3730&lt;= 22, S3730=9), "SOWING",AND(N3730&lt;= 28, S3730=9), "COVERAGE",AND(N3730&lt;= 30, S3730=9), "FLUSH",AND(N3730&lt;= 11, S3730=10), "FLUSH",AND(N3730&lt;= 21, S3730=10), "PRODUCTION")</f>
        <v>PRODUCTION</v>
      </c>
      <c r="U3730">
        <f>HOUR(datos_siembra[[#This Row],[Hour]])</f>
        <v>16</v>
      </c>
      <c r="V3730" cm="1">
        <f t="array" ref="V3730">_xlfn.IFS(AND(N3730&lt;= 22, S3730=9), N3730-7,AND(N3730&lt;= 28, S3730=9), N3730-25,AND(N3730&lt;= 30, S3730=9), N3730-28,AND(N3730&lt;= 11, S3730=10), N3730+2,AND(N3730&lt;= 21, S3730=10), N3730-11)</f>
        <v>1</v>
      </c>
    </row>
    <row r="3731" spans="1:22" x14ac:dyDescent="0.35">
      <c r="A3731" s="4">
        <v>45577</v>
      </c>
      <c r="B3731" s="5">
        <v>0.70843750000000005</v>
      </c>
      <c r="C3731">
        <v>75.5</v>
      </c>
      <c r="D3731">
        <v>72.7</v>
      </c>
      <c r="E3731">
        <v>73.7</v>
      </c>
      <c r="F3731">
        <v>74</v>
      </c>
      <c r="G3731">
        <v>0</v>
      </c>
      <c r="H3731">
        <v>0</v>
      </c>
      <c r="I3731">
        <v>0</v>
      </c>
      <c r="J3731">
        <v>0</v>
      </c>
      <c r="K3731">
        <v>64.2</v>
      </c>
      <c r="L3731">
        <v>63.7</v>
      </c>
      <c r="M3731">
        <v>73.959999999999994</v>
      </c>
      <c r="N3731">
        <v>12</v>
      </c>
      <c r="O3731">
        <v>4</v>
      </c>
      <c r="P3731">
        <f>MOD(DAY(datos_siembra[[#This Row],[Date]]),7)</f>
        <v>5</v>
      </c>
      <c r="Q3731" t="str">
        <f>CHOOSE(WEEKDAY(datos_siembra[[#This Row],[Date]],2),"L","M","X","J","V","S","D")</f>
        <v>S</v>
      </c>
      <c r="R3731">
        <f>WEEKNUM(datos_siembra[[#This Row],[Date]],2)-WEEKNUM(DATE(YEAR(datos_siembra[[#This Row],[Date]]),MONTH(datos_siembra[[#This Row],[Date]]),1))+1</f>
        <v>2</v>
      </c>
      <c r="S3731">
        <f>MONTH(datos_siembra[[#This Row],[Date]])</f>
        <v>10</v>
      </c>
      <c r="T3731" t="str" cm="1">
        <f t="array" ref="T3731">_xlfn.IFS(AND(N3731&lt;= 22, S3731=9), "SOWING",AND(N3731&lt;= 28, S3731=9), "COVERAGE",AND(N3731&lt;= 30, S3731=9), "FLUSH",AND(N3731&lt;= 11, S3731=10), "FLUSH",AND(N3731&lt;= 21, S3731=10), "PRODUCTION")</f>
        <v>PRODUCTION</v>
      </c>
      <c r="U3731">
        <f>HOUR(datos_siembra[[#This Row],[Hour]])</f>
        <v>17</v>
      </c>
      <c r="V3731" cm="1">
        <f t="array" ref="V3731">_xlfn.IFS(AND(N3731&lt;= 22, S3731=9), N3731-7,AND(N3731&lt;= 28, S3731=9), N3731-25,AND(N3731&lt;= 30, S3731=9), N3731-28,AND(N3731&lt;= 11, S3731=10), N3731+2,AND(N3731&lt;= 21, S3731=10), N3731-11)</f>
        <v>1</v>
      </c>
    </row>
    <row r="3732" spans="1:22" x14ac:dyDescent="0.35">
      <c r="A3732" s="4">
        <v>45577</v>
      </c>
      <c r="B3732" s="5">
        <v>0.71538194444444447</v>
      </c>
      <c r="C3732">
        <v>75.400000000000006</v>
      </c>
      <c r="D3732">
        <v>72.7</v>
      </c>
      <c r="E3732">
        <v>73.7</v>
      </c>
      <c r="F3732">
        <v>74</v>
      </c>
      <c r="G3732">
        <v>0</v>
      </c>
      <c r="H3732">
        <v>0</v>
      </c>
      <c r="I3732">
        <v>0</v>
      </c>
      <c r="J3732">
        <v>0</v>
      </c>
      <c r="K3732">
        <v>64.2</v>
      </c>
      <c r="L3732">
        <v>63.7</v>
      </c>
      <c r="M3732">
        <v>73.959999999999994</v>
      </c>
      <c r="N3732">
        <v>12</v>
      </c>
      <c r="O3732">
        <v>4</v>
      </c>
      <c r="P3732">
        <f>MOD(DAY(datos_siembra[[#This Row],[Date]]),7)</f>
        <v>5</v>
      </c>
      <c r="Q3732" t="str">
        <f>CHOOSE(WEEKDAY(datos_siembra[[#This Row],[Date]],2),"L","M","X","J","V","S","D")</f>
        <v>S</v>
      </c>
      <c r="R3732">
        <f>WEEKNUM(datos_siembra[[#This Row],[Date]],2)-WEEKNUM(DATE(YEAR(datos_siembra[[#This Row],[Date]]),MONTH(datos_siembra[[#This Row],[Date]]),1))+1</f>
        <v>2</v>
      </c>
      <c r="S3732">
        <f>MONTH(datos_siembra[[#This Row],[Date]])</f>
        <v>10</v>
      </c>
      <c r="T3732" t="str" cm="1">
        <f t="array" ref="T3732">_xlfn.IFS(AND(N3732&lt;= 22, S3732=9), "SOWING",AND(N3732&lt;= 28, S3732=9), "COVERAGE",AND(N3732&lt;= 30, S3732=9), "FLUSH",AND(N3732&lt;= 11, S3732=10), "FLUSH",AND(N3732&lt;= 21, S3732=10), "PRODUCTION")</f>
        <v>PRODUCTION</v>
      </c>
      <c r="U3732">
        <f>HOUR(datos_siembra[[#This Row],[Hour]])</f>
        <v>17</v>
      </c>
      <c r="V3732" cm="1">
        <f t="array" ref="V3732">_xlfn.IFS(AND(N3732&lt;= 22, S3732=9), N3732-7,AND(N3732&lt;= 28, S3732=9), N3732-25,AND(N3732&lt;= 30, S3732=9), N3732-28,AND(N3732&lt;= 11, S3732=10), N3732+2,AND(N3732&lt;= 21, S3732=10), N3732-11)</f>
        <v>1</v>
      </c>
    </row>
    <row r="3733" spans="1:22" x14ac:dyDescent="0.35">
      <c r="A3733" s="4">
        <v>45577</v>
      </c>
      <c r="B3733" s="5">
        <v>0.72232638888888889</v>
      </c>
      <c r="C3733">
        <v>75.400000000000006</v>
      </c>
      <c r="D3733">
        <v>72.599999999999994</v>
      </c>
      <c r="E3733">
        <v>73.900000000000006</v>
      </c>
      <c r="F3733">
        <v>74.099999999999994</v>
      </c>
      <c r="G3733">
        <v>0</v>
      </c>
      <c r="H3733">
        <v>0</v>
      </c>
      <c r="I3733">
        <v>0</v>
      </c>
      <c r="J3733">
        <v>0</v>
      </c>
      <c r="K3733">
        <v>64.099999999999994</v>
      </c>
      <c r="L3733">
        <v>63.7</v>
      </c>
      <c r="M3733">
        <v>73.930000000000007</v>
      </c>
      <c r="N3733">
        <v>12</v>
      </c>
      <c r="O3733">
        <v>4</v>
      </c>
      <c r="P3733">
        <f>MOD(DAY(datos_siembra[[#This Row],[Date]]),7)</f>
        <v>5</v>
      </c>
      <c r="Q3733" t="str">
        <f>CHOOSE(WEEKDAY(datos_siembra[[#This Row],[Date]],2),"L","M","X","J","V","S","D")</f>
        <v>S</v>
      </c>
      <c r="R3733">
        <f>WEEKNUM(datos_siembra[[#This Row],[Date]],2)-WEEKNUM(DATE(YEAR(datos_siembra[[#This Row],[Date]]),MONTH(datos_siembra[[#This Row],[Date]]),1))+1</f>
        <v>2</v>
      </c>
      <c r="S3733">
        <f>MONTH(datos_siembra[[#This Row],[Date]])</f>
        <v>10</v>
      </c>
      <c r="T3733" t="str" cm="1">
        <f t="array" ref="T3733">_xlfn.IFS(AND(N3733&lt;= 22, S3733=9), "SOWING",AND(N3733&lt;= 28, S3733=9), "COVERAGE",AND(N3733&lt;= 30, S3733=9), "FLUSH",AND(N3733&lt;= 11, S3733=10), "FLUSH",AND(N3733&lt;= 21, S3733=10), "PRODUCTION")</f>
        <v>PRODUCTION</v>
      </c>
      <c r="U3733">
        <f>HOUR(datos_siembra[[#This Row],[Hour]])</f>
        <v>17</v>
      </c>
      <c r="V3733" cm="1">
        <f t="array" ref="V3733">_xlfn.IFS(AND(N3733&lt;= 22, S3733=9), N3733-7,AND(N3733&lt;= 28, S3733=9), N3733-25,AND(N3733&lt;= 30, S3733=9), N3733-28,AND(N3733&lt;= 11, S3733=10), N3733+2,AND(N3733&lt;= 21, S3733=10), N3733-11)</f>
        <v>1</v>
      </c>
    </row>
    <row r="3734" spans="1:22" x14ac:dyDescent="0.35">
      <c r="A3734" s="4">
        <v>45577</v>
      </c>
      <c r="B3734" s="5">
        <v>0.72928240740740746</v>
      </c>
      <c r="C3734">
        <v>75.400000000000006</v>
      </c>
      <c r="D3734">
        <v>72.8</v>
      </c>
      <c r="E3734">
        <v>74</v>
      </c>
      <c r="F3734">
        <v>74.099999999999994</v>
      </c>
      <c r="G3734">
        <v>0</v>
      </c>
      <c r="H3734">
        <v>0</v>
      </c>
      <c r="I3734">
        <v>0</v>
      </c>
      <c r="J3734">
        <v>0</v>
      </c>
      <c r="K3734">
        <v>64.099999999999994</v>
      </c>
      <c r="L3734">
        <v>63.7</v>
      </c>
      <c r="M3734">
        <v>74.069999999999993</v>
      </c>
      <c r="N3734">
        <v>12</v>
      </c>
      <c r="O3734">
        <v>4</v>
      </c>
      <c r="P3734">
        <f>MOD(DAY(datos_siembra[[#This Row],[Date]]),7)</f>
        <v>5</v>
      </c>
      <c r="Q3734" t="str">
        <f>CHOOSE(WEEKDAY(datos_siembra[[#This Row],[Date]],2),"L","M","X","J","V","S","D")</f>
        <v>S</v>
      </c>
      <c r="R3734">
        <f>WEEKNUM(datos_siembra[[#This Row],[Date]],2)-WEEKNUM(DATE(YEAR(datos_siembra[[#This Row],[Date]]),MONTH(datos_siembra[[#This Row],[Date]]),1))+1</f>
        <v>2</v>
      </c>
      <c r="S3734">
        <f>MONTH(datos_siembra[[#This Row],[Date]])</f>
        <v>10</v>
      </c>
      <c r="T3734" t="str" cm="1">
        <f t="array" ref="T3734">_xlfn.IFS(AND(N3734&lt;= 22, S3734=9), "SOWING",AND(N3734&lt;= 28, S3734=9), "COVERAGE",AND(N3734&lt;= 30, S3734=9), "FLUSH",AND(N3734&lt;= 11, S3734=10), "FLUSH",AND(N3734&lt;= 21, S3734=10), "PRODUCTION")</f>
        <v>PRODUCTION</v>
      </c>
      <c r="U3734">
        <f>HOUR(datos_siembra[[#This Row],[Hour]])</f>
        <v>17</v>
      </c>
      <c r="V3734" cm="1">
        <f t="array" ref="V3734">_xlfn.IFS(AND(N3734&lt;= 22, S3734=9), N3734-7,AND(N3734&lt;= 28, S3734=9), N3734-25,AND(N3734&lt;= 30, S3734=9), N3734-28,AND(N3734&lt;= 11, S3734=10), N3734+2,AND(N3734&lt;= 21, S3734=10), N3734-11)</f>
        <v>1</v>
      </c>
    </row>
    <row r="3735" spans="1:22" x14ac:dyDescent="0.35">
      <c r="A3735" s="4">
        <v>45577</v>
      </c>
      <c r="B3735" s="5">
        <v>0.73622685185185188</v>
      </c>
      <c r="C3735">
        <v>75.400000000000006</v>
      </c>
      <c r="D3735">
        <v>72.7</v>
      </c>
      <c r="E3735">
        <v>73.900000000000006</v>
      </c>
      <c r="F3735">
        <v>74.099999999999994</v>
      </c>
      <c r="G3735">
        <v>0</v>
      </c>
      <c r="H3735">
        <v>0</v>
      </c>
      <c r="I3735">
        <v>0</v>
      </c>
      <c r="J3735">
        <v>0</v>
      </c>
      <c r="K3735">
        <v>64.099999999999994</v>
      </c>
      <c r="L3735">
        <v>63.7</v>
      </c>
      <c r="M3735">
        <v>74.05</v>
      </c>
      <c r="N3735">
        <v>12</v>
      </c>
      <c r="O3735">
        <v>4</v>
      </c>
      <c r="P3735">
        <f>MOD(DAY(datos_siembra[[#This Row],[Date]]),7)</f>
        <v>5</v>
      </c>
      <c r="Q3735" t="str">
        <f>CHOOSE(WEEKDAY(datos_siembra[[#This Row],[Date]],2),"L","M","X","J","V","S","D")</f>
        <v>S</v>
      </c>
      <c r="R3735">
        <f>WEEKNUM(datos_siembra[[#This Row],[Date]],2)-WEEKNUM(DATE(YEAR(datos_siembra[[#This Row],[Date]]),MONTH(datos_siembra[[#This Row],[Date]]),1))+1</f>
        <v>2</v>
      </c>
      <c r="S3735">
        <f>MONTH(datos_siembra[[#This Row],[Date]])</f>
        <v>10</v>
      </c>
      <c r="T3735" t="str" cm="1">
        <f t="array" ref="T3735">_xlfn.IFS(AND(N3735&lt;= 22, S3735=9), "SOWING",AND(N3735&lt;= 28, S3735=9), "COVERAGE",AND(N3735&lt;= 30, S3735=9), "FLUSH",AND(N3735&lt;= 11, S3735=10), "FLUSH",AND(N3735&lt;= 21, S3735=10), "PRODUCTION")</f>
        <v>PRODUCTION</v>
      </c>
      <c r="U3735">
        <f>HOUR(datos_siembra[[#This Row],[Hour]])</f>
        <v>17</v>
      </c>
      <c r="V3735" cm="1">
        <f t="array" ref="V3735">_xlfn.IFS(AND(N3735&lt;= 22, S3735=9), N3735-7,AND(N3735&lt;= 28, S3735=9), N3735-25,AND(N3735&lt;= 30, S3735=9), N3735-28,AND(N3735&lt;= 11, S3735=10), N3735+2,AND(N3735&lt;= 21, S3735=10), N3735-11)</f>
        <v>1</v>
      </c>
    </row>
    <row r="3736" spans="1:22" x14ac:dyDescent="0.35">
      <c r="A3736" s="4">
        <v>45577</v>
      </c>
      <c r="B3736" s="5">
        <v>0.7431712962962963</v>
      </c>
      <c r="C3736">
        <v>75.400000000000006</v>
      </c>
      <c r="D3736">
        <v>73</v>
      </c>
      <c r="E3736">
        <v>73.900000000000006</v>
      </c>
      <c r="F3736">
        <v>74.099999999999994</v>
      </c>
      <c r="G3736">
        <v>0</v>
      </c>
      <c r="H3736">
        <v>0</v>
      </c>
      <c r="I3736">
        <v>0</v>
      </c>
      <c r="J3736">
        <v>0</v>
      </c>
      <c r="K3736">
        <v>63.9</v>
      </c>
      <c r="L3736">
        <v>63.6</v>
      </c>
      <c r="M3736">
        <v>74.069999999999993</v>
      </c>
      <c r="N3736">
        <v>12</v>
      </c>
      <c r="O3736">
        <v>4</v>
      </c>
      <c r="P3736">
        <f>MOD(DAY(datos_siembra[[#This Row],[Date]]),7)</f>
        <v>5</v>
      </c>
      <c r="Q3736" t="str">
        <f>CHOOSE(WEEKDAY(datos_siembra[[#This Row],[Date]],2),"L","M","X","J","V","S","D")</f>
        <v>S</v>
      </c>
      <c r="R3736">
        <f>WEEKNUM(datos_siembra[[#This Row],[Date]],2)-WEEKNUM(DATE(YEAR(datos_siembra[[#This Row],[Date]]),MONTH(datos_siembra[[#This Row],[Date]]),1))+1</f>
        <v>2</v>
      </c>
      <c r="S3736">
        <f>MONTH(datos_siembra[[#This Row],[Date]])</f>
        <v>10</v>
      </c>
      <c r="T3736" t="str" cm="1">
        <f t="array" ref="T3736">_xlfn.IFS(AND(N3736&lt;= 22, S3736=9), "SOWING",AND(N3736&lt;= 28, S3736=9), "COVERAGE",AND(N3736&lt;= 30, S3736=9), "FLUSH",AND(N3736&lt;= 11, S3736=10), "FLUSH",AND(N3736&lt;= 21, S3736=10), "PRODUCTION")</f>
        <v>PRODUCTION</v>
      </c>
      <c r="U3736">
        <f>HOUR(datos_siembra[[#This Row],[Hour]])</f>
        <v>17</v>
      </c>
      <c r="V3736" cm="1">
        <f t="array" ref="V3736">_xlfn.IFS(AND(N3736&lt;= 22, S3736=9), N3736-7,AND(N3736&lt;= 28, S3736=9), N3736-25,AND(N3736&lt;= 30, S3736=9), N3736-28,AND(N3736&lt;= 11, S3736=10), N3736+2,AND(N3736&lt;= 21, S3736=10), N3736-11)</f>
        <v>1</v>
      </c>
    </row>
    <row r="3737" spans="1:22" x14ac:dyDescent="0.35">
      <c r="A3737" s="4">
        <v>45577</v>
      </c>
      <c r="B3737" s="5">
        <v>0.75012731481481476</v>
      </c>
      <c r="C3737">
        <v>75.400000000000006</v>
      </c>
      <c r="D3737">
        <v>73</v>
      </c>
      <c r="E3737">
        <v>74</v>
      </c>
      <c r="F3737">
        <v>74</v>
      </c>
      <c r="G3737">
        <v>0</v>
      </c>
      <c r="H3737">
        <v>0</v>
      </c>
      <c r="I3737">
        <v>0</v>
      </c>
      <c r="J3737">
        <v>0</v>
      </c>
      <c r="K3737">
        <v>63.9</v>
      </c>
      <c r="L3737">
        <v>63.6</v>
      </c>
      <c r="M3737">
        <v>74.099999999999994</v>
      </c>
      <c r="N3737">
        <v>12</v>
      </c>
      <c r="O3737">
        <v>4</v>
      </c>
      <c r="P3737">
        <f>MOD(DAY(datos_siembra[[#This Row],[Date]]),7)</f>
        <v>5</v>
      </c>
      <c r="Q3737" t="str">
        <f>CHOOSE(WEEKDAY(datos_siembra[[#This Row],[Date]],2),"L","M","X","J","V","S","D")</f>
        <v>S</v>
      </c>
      <c r="R3737">
        <f>WEEKNUM(datos_siembra[[#This Row],[Date]],2)-WEEKNUM(DATE(YEAR(datos_siembra[[#This Row],[Date]]),MONTH(datos_siembra[[#This Row],[Date]]),1))+1</f>
        <v>2</v>
      </c>
      <c r="S3737">
        <f>MONTH(datos_siembra[[#This Row],[Date]])</f>
        <v>10</v>
      </c>
      <c r="T3737" t="str" cm="1">
        <f t="array" ref="T3737">_xlfn.IFS(AND(N3737&lt;= 22, S3737=9), "SOWING",AND(N3737&lt;= 28, S3737=9), "COVERAGE",AND(N3737&lt;= 30, S3737=9), "FLUSH",AND(N3737&lt;= 11, S3737=10), "FLUSH",AND(N3737&lt;= 21, S3737=10), "PRODUCTION")</f>
        <v>PRODUCTION</v>
      </c>
      <c r="U3737">
        <f>HOUR(datos_siembra[[#This Row],[Hour]])</f>
        <v>18</v>
      </c>
      <c r="V3737" cm="1">
        <f t="array" ref="V3737">_xlfn.IFS(AND(N3737&lt;= 22, S3737=9), N3737-7,AND(N3737&lt;= 28, S3737=9), N3737-25,AND(N3737&lt;= 30, S3737=9), N3737-28,AND(N3737&lt;= 11, S3737=10), N3737+2,AND(N3737&lt;= 21, S3737=10), N3737-11)</f>
        <v>1</v>
      </c>
    </row>
    <row r="3738" spans="1:22" x14ac:dyDescent="0.35">
      <c r="A3738" s="4">
        <v>45577</v>
      </c>
      <c r="B3738" s="5">
        <v>0.75707175925925929</v>
      </c>
      <c r="C3738">
        <v>75.400000000000006</v>
      </c>
      <c r="D3738">
        <v>73</v>
      </c>
      <c r="E3738">
        <v>74</v>
      </c>
      <c r="F3738">
        <v>74</v>
      </c>
      <c r="G3738">
        <v>0</v>
      </c>
      <c r="H3738">
        <v>0</v>
      </c>
      <c r="I3738">
        <v>0</v>
      </c>
      <c r="J3738">
        <v>0</v>
      </c>
      <c r="K3738">
        <v>63.9</v>
      </c>
      <c r="L3738">
        <v>63.6</v>
      </c>
      <c r="M3738">
        <v>74.13</v>
      </c>
      <c r="N3738">
        <v>12</v>
      </c>
      <c r="O3738">
        <v>4</v>
      </c>
      <c r="P3738">
        <f>MOD(DAY(datos_siembra[[#This Row],[Date]]),7)</f>
        <v>5</v>
      </c>
      <c r="Q3738" t="str">
        <f>CHOOSE(WEEKDAY(datos_siembra[[#This Row],[Date]],2),"L","M","X","J","V","S","D")</f>
        <v>S</v>
      </c>
      <c r="R3738">
        <f>WEEKNUM(datos_siembra[[#This Row],[Date]],2)-WEEKNUM(DATE(YEAR(datos_siembra[[#This Row],[Date]]),MONTH(datos_siembra[[#This Row],[Date]]),1))+1</f>
        <v>2</v>
      </c>
      <c r="S3738">
        <f>MONTH(datos_siembra[[#This Row],[Date]])</f>
        <v>10</v>
      </c>
      <c r="T3738" t="str" cm="1">
        <f t="array" ref="T3738">_xlfn.IFS(AND(N3738&lt;= 22, S3738=9), "SOWING",AND(N3738&lt;= 28, S3738=9), "COVERAGE",AND(N3738&lt;= 30, S3738=9), "FLUSH",AND(N3738&lt;= 11, S3738=10), "FLUSH",AND(N3738&lt;= 21, S3738=10), "PRODUCTION")</f>
        <v>PRODUCTION</v>
      </c>
      <c r="U3738">
        <f>HOUR(datos_siembra[[#This Row],[Hour]])</f>
        <v>18</v>
      </c>
      <c r="V3738" cm="1">
        <f t="array" ref="V3738">_xlfn.IFS(AND(N3738&lt;= 22, S3738=9), N3738-7,AND(N3738&lt;= 28, S3738=9), N3738-25,AND(N3738&lt;= 30, S3738=9), N3738-28,AND(N3738&lt;= 11, S3738=10), N3738+2,AND(N3738&lt;= 21, S3738=10), N3738-11)</f>
        <v>1</v>
      </c>
    </row>
    <row r="3739" spans="1:22" x14ac:dyDescent="0.35">
      <c r="A3739" s="4">
        <v>45577</v>
      </c>
      <c r="B3739" s="5">
        <v>0.76401620370370371</v>
      </c>
      <c r="C3739">
        <v>75.400000000000006</v>
      </c>
      <c r="D3739">
        <v>73.099999999999994</v>
      </c>
      <c r="E3739">
        <v>74</v>
      </c>
      <c r="F3739">
        <v>74</v>
      </c>
      <c r="G3739">
        <v>0</v>
      </c>
      <c r="H3739">
        <v>0</v>
      </c>
      <c r="I3739">
        <v>0</v>
      </c>
      <c r="J3739">
        <v>0</v>
      </c>
      <c r="K3739">
        <v>63.9</v>
      </c>
      <c r="L3739">
        <v>63.5</v>
      </c>
      <c r="M3739">
        <v>74.13</v>
      </c>
      <c r="N3739">
        <v>12</v>
      </c>
      <c r="O3739">
        <v>4</v>
      </c>
      <c r="P3739">
        <f>MOD(DAY(datos_siembra[[#This Row],[Date]]),7)</f>
        <v>5</v>
      </c>
      <c r="Q3739" t="str">
        <f>CHOOSE(WEEKDAY(datos_siembra[[#This Row],[Date]],2),"L","M","X","J","V","S","D")</f>
        <v>S</v>
      </c>
      <c r="R3739">
        <f>WEEKNUM(datos_siembra[[#This Row],[Date]],2)-WEEKNUM(DATE(YEAR(datos_siembra[[#This Row],[Date]]),MONTH(datos_siembra[[#This Row],[Date]]),1))+1</f>
        <v>2</v>
      </c>
      <c r="S3739">
        <f>MONTH(datos_siembra[[#This Row],[Date]])</f>
        <v>10</v>
      </c>
      <c r="T3739" t="str" cm="1">
        <f t="array" ref="T3739">_xlfn.IFS(AND(N3739&lt;= 22, S3739=9), "SOWING",AND(N3739&lt;= 28, S3739=9), "COVERAGE",AND(N3739&lt;= 30, S3739=9), "FLUSH",AND(N3739&lt;= 11, S3739=10), "FLUSH",AND(N3739&lt;= 21, S3739=10), "PRODUCTION")</f>
        <v>PRODUCTION</v>
      </c>
      <c r="U3739">
        <f>HOUR(datos_siembra[[#This Row],[Hour]])</f>
        <v>18</v>
      </c>
      <c r="V3739" cm="1">
        <f t="array" ref="V3739">_xlfn.IFS(AND(N3739&lt;= 22, S3739=9), N3739-7,AND(N3739&lt;= 28, S3739=9), N3739-25,AND(N3739&lt;= 30, S3739=9), N3739-28,AND(N3739&lt;= 11, S3739=10), N3739+2,AND(N3739&lt;= 21, S3739=10), N3739-11)</f>
        <v>1</v>
      </c>
    </row>
    <row r="3740" spans="1:22" x14ac:dyDescent="0.35">
      <c r="A3740" s="4">
        <v>45577</v>
      </c>
      <c r="B3740" s="5">
        <v>0.77096064814814813</v>
      </c>
      <c r="C3740">
        <v>75.400000000000006</v>
      </c>
      <c r="D3740">
        <v>73.099999999999994</v>
      </c>
      <c r="E3740">
        <v>74.099999999999994</v>
      </c>
      <c r="F3740">
        <v>74</v>
      </c>
      <c r="G3740">
        <v>0</v>
      </c>
      <c r="H3740">
        <v>0</v>
      </c>
      <c r="I3740">
        <v>0</v>
      </c>
      <c r="J3740">
        <v>0</v>
      </c>
      <c r="K3740">
        <v>63.8</v>
      </c>
      <c r="L3740">
        <v>63.5</v>
      </c>
      <c r="M3740">
        <v>74.099999999999994</v>
      </c>
      <c r="N3740">
        <v>12</v>
      </c>
      <c r="O3740">
        <v>4</v>
      </c>
      <c r="P3740">
        <f>MOD(DAY(datos_siembra[[#This Row],[Date]]),7)</f>
        <v>5</v>
      </c>
      <c r="Q3740" t="str">
        <f>CHOOSE(WEEKDAY(datos_siembra[[#This Row],[Date]],2),"L","M","X","J","V","S","D")</f>
        <v>S</v>
      </c>
      <c r="R3740">
        <f>WEEKNUM(datos_siembra[[#This Row],[Date]],2)-WEEKNUM(DATE(YEAR(datos_siembra[[#This Row],[Date]]),MONTH(datos_siembra[[#This Row],[Date]]),1))+1</f>
        <v>2</v>
      </c>
      <c r="S3740">
        <f>MONTH(datos_siembra[[#This Row],[Date]])</f>
        <v>10</v>
      </c>
      <c r="T3740" t="str" cm="1">
        <f t="array" ref="T3740">_xlfn.IFS(AND(N3740&lt;= 22, S3740=9), "SOWING",AND(N3740&lt;= 28, S3740=9), "COVERAGE",AND(N3740&lt;= 30, S3740=9), "FLUSH",AND(N3740&lt;= 11, S3740=10), "FLUSH",AND(N3740&lt;= 21, S3740=10), "PRODUCTION")</f>
        <v>PRODUCTION</v>
      </c>
      <c r="U3740">
        <f>HOUR(datos_siembra[[#This Row],[Hour]])</f>
        <v>18</v>
      </c>
      <c r="V3740" cm="1">
        <f t="array" ref="V3740">_xlfn.IFS(AND(N3740&lt;= 22, S3740=9), N3740-7,AND(N3740&lt;= 28, S3740=9), N3740-25,AND(N3740&lt;= 30, S3740=9), N3740-28,AND(N3740&lt;= 11, S3740=10), N3740+2,AND(N3740&lt;= 21, S3740=10), N3740-11)</f>
        <v>1</v>
      </c>
    </row>
    <row r="3741" spans="1:22" x14ac:dyDescent="0.35">
      <c r="A3741" s="4">
        <v>45577</v>
      </c>
      <c r="B3741" s="5">
        <v>0.7779166666666667</v>
      </c>
      <c r="C3741">
        <v>75.400000000000006</v>
      </c>
      <c r="D3741">
        <v>73.099999999999994</v>
      </c>
      <c r="E3741">
        <v>74.099999999999994</v>
      </c>
      <c r="F3741">
        <v>74.2</v>
      </c>
      <c r="G3741">
        <v>0</v>
      </c>
      <c r="H3741">
        <v>0</v>
      </c>
      <c r="I3741">
        <v>0</v>
      </c>
      <c r="J3741">
        <v>0</v>
      </c>
      <c r="K3741">
        <v>63.7</v>
      </c>
      <c r="L3741">
        <v>63.4</v>
      </c>
      <c r="M3741">
        <v>74.099999999999994</v>
      </c>
      <c r="N3741">
        <v>12</v>
      </c>
      <c r="O3741">
        <v>4</v>
      </c>
      <c r="P3741">
        <f>MOD(DAY(datos_siembra[[#This Row],[Date]]),7)</f>
        <v>5</v>
      </c>
      <c r="Q3741" t="str">
        <f>CHOOSE(WEEKDAY(datos_siembra[[#This Row],[Date]],2),"L","M","X","J","V","S","D")</f>
        <v>S</v>
      </c>
      <c r="R3741">
        <f>WEEKNUM(datos_siembra[[#This Row],[Date]],2)-WEEKNUM(DATE(YEAR(datos_siembra[[#This Row],[Date]]),MONTH(datos_siembra[[#This Row],[Date]]),1))+1</f>
        <v>2</v>
      </c>
      <c r="S3741">
        <f>MONTH(datos_siembra[[#This Row],[Date]])</f>
        <v>10</v>
      </c>
      <c r="T3741" t="str" cm="1">
        <f t="array" ref="T3741">_xlfn.IFS(AND(N3741&lt;= 22, S3741=9), "SOWING",AND(N3741&lt;= 28, S3741=9), "COVERAGE",AND(N3741&lt;= 30, S3741=9), "FLUSH",AND(N3741&lt;= 11, S3741=10), "FLUSH",AND(N3741&lt;= 21, S3741=10), "PRODUCTION")</f>
        <v>PRODUCTION</v>
      </c>
      <c r="U3741">
        <f>HOUR(datos_siembra[[#This Row],[Hour]])</f>
        <v>18</v>
      </c>
      <c r="V3741" cm="1">
        <f t="array" ref="V3741">_xlfn.IFS(AND(N3741&lt;= 22, S3741=9), N3741-7,AND(N3741&lt;= 28, S3741=9), N3741-25,AND(N3741&lt;= 30, S3741=9), N3741-28,AND(N3741&lt;= 11, S3741=10), N3741+2,AND(N3741&lt;= 21, S3741=10), N3741-11)</f>
        <v>1</v>
      </c>
    </row>
    <row r="3742" spans="1:22" x14ac:dyDescent="0.35">
      <c r="A3742" s="4">
        <v>45577</v>
      </c>
      <c r="B3742" s="5">
        <v>0.78486111111111112</v>
      </c>
      <c r="C3742">
        <v>75.400000000000006</v>
      </c>
      <c r="D3742">
        <v>73.2</v>
      </c>
      <c r="E3742">
        <v>74</v>
      </c>
      <c r="F3742">
        <v>74.099999999999994</v>
      </c>
      <c r="G3742">
        <v>0</v>
      </c>
      <c r="H3742">
        <v>0</v>
      </c>
      <c r="I3742">
        <v>0</v>
      </c>
      <c r="J3742">
        <v>0</v>
      </c>
      <c r="K3742">
        <v>63.7</v>
      </c>
      <c r="L3742">
        <v>63.4</v>
      </c>
      <c r="M3742">
        <v>74.13</v>
      </c>
      <c r="N3742">
        <v>12</v>
      </c>
      <c r="O3742">
        <v>4</v>
      </c>
      <c r="P3742">
        <f>MOD(DAY(datos_siembra[[#This Row],[Date]]),7)</f>
        <v>5</v>
      </c>
      <c r="Q3742" t="str">
        <f>CHOOSE(WEEKDAY(datos_siembra[[#This Row],[Date]],2),"L","M","X","J","V","S","D")</f>
        <v>S</v>
      </c>
      <c r="R3742">
        <f>WEEKNUM(datos_siembra[[#This Row],[Date]],2)-WEEKNUM(DATE(YEAR(datos_siembra[[#This Row],[Date]]),MONTH(datos_siembra[[#This Row],[Date]]),1))+1</f>
        <v>2</v>
      </c>
      <c r="S3742">
        <f>MONTH(datos_siembra[[#This Row],[Date]])</f>
        <v>10</v>
      </c>
      <c r="T3742" t="str" cm="1">
        <f t="array" ref="T3742">_xlfn.IFS(AND(N3742&lt;= 22, S3742=9), "SOWING",AND(N3742&lt;= 28, S3742=9), "COVERAGE",AND(N3742&lt;= 30, S3742=9), "FLUSH",AND(N3742&lt;= 11, S3742=10), "FLUSH",AND(N3742&lt;= 21, S3742=10), "PRODUCTION")</f>
        <v>PRODUCTION</v>
      </c>
      <c r="U3742">
        <f>HOUR(datos_siembra[[#This Row],[Hour]])</f>
        <v>18</v>
      </c>
      <c r="V3742" cm="1">
        <f t="array" ref="V3742">_xlfn.IFS(AND(N3742&lt;= 22, S3742=9), N3742-7,AND(N3742&lt;= 28, S3742=9), N3742-25,AND(N3742&lt;= 30, S3742=9), N3742-28,AND(N3742&lt;= 11, S3742=10), N3742+2,AND(N3742&lt;= 21, S3742=10), N3742-11)</f>
        <v>1</v>
      </c>
    </row>
    <row r="3743" spans="1:22" x14ac:dyDescent="0.35">
      <c r="A3743" s="4">
        <v>45577</v>
      </c>
      <c r="B3743" s="5">
        <v>0.79180555555555554</v>
      </c>
      <c r="C3743">
        <v>75.400000000000006</v>
      </c>
      <c r="D3743">
        <v>73.2</v>
      </c>
      <c r="E3743">
        <v>74</v>
      </c>
      <c r="F3743">
        <v>74</v>
      </c>
      <c r="G3743">
        <v>0</v>
      </c>
      <c r="H3743">
        <v>0</v>
      </c>
      <c r="I3743">
        <v>0</v>
      </c>
      <c r="J3743">
        <v>0</v>
      </c>
      <c r="K3743">
        <v>63.7</v>
      </c>
      <c r="L3743">
        <v>63.3</v>
      </c>
      <c r="M3743">
        <v>74.13</v>
      </c>
      <c r="N3743">
        <v>12</v>
      </c>
      <c r="O3743">
        <v>4</v>
      </c>
      <c r="P3743">
        <f>MOD(DAY(datos_siembra[[#This Row],[Date]]),7)</f>
        <v>5</v>
      </c>
      <c r="Q3743" t="str">
        <f>CHOOSE(WEEKDAY(datos_siembra[[#This Row],[Date]],2),"L","M","X","J","V","S","D")</f>
        <v>S</v>
      </c>
      <c r="R3743">
        <f>WEEKNUM(datos_siembra[[#This Row],[Date]],2)-WEEKNUM(DATE(YEAR(datos_siembra[[#This Row],[Date]]),MONTH(datos_siembra[[#This Row],[Date]]),1))+1</f>
        <v>2</v>
      </c>
      <c r="S3743">
        <f>MONTH(datos_siembra[[#This Row],[Date]])</f>
        <v>10</v>
      </c>
      <c r="T3743" t="str" cm="1">
        <f t="array" ref="T3743">_xlfn.IFS(AND(N3743&lt;= 22, S3743=9), "SOWING",AND(N3743&lt;= 28, S3743=9), "COVERAGE",AND(N3743&lt;= 30, S3743=9), "FLUSH",AND(N3743&lt;= 11, S3743=10), "FLUSH",AND(N3743&lt;= 21, S3743=10), "PRODUCTION")</f>
        <v>PRODUCTION</v>
      </c>
      <c r="U3743">
        <f>HOUR(datos_siembra[[#This Row],[Hour]])</f>
        <v>19</v>
      </c>
      <c r="V3743" cm="1">
        <f t="array" ref="V3743">_xlfn.IFS(AND(N3743&lt;= 22, S3743=9), N3743-7,AND(N3743&lt;= 28, S3743=9), N3743-25,AND(N3743&lt;= 30, S3743=9), N3743-28,AND(N3743&lt;= 11, S3743=10), N3743+2,AND(N3743&lt;= 21, S3743=10), N3743-11)</f>
        <v>1</v>
      </c>
    </row>
    <row r="3744" spans="1:22" x14ac:dyDescent="0.35">
      <c r="A3744" s="4">
        <v>45577</v>
      </c>
      <c r="B3744" s="5">
        <v>0.79876157407407411</v>
      </c>
      <c r="C3744">
        <v>75.3</v>
      </c>
      <c r="D3744">
        <v>73.099999999999994</v>
      </c>
      <c r="E3744">
        <v>74.099999999999994</v>
      </c>
      <c r="F3744">
        <v>74.099999999999994</v>
      </c>
      <c r="G3744">
        <v>0</v>
      </c>
      <c r="H3744">
        <v>0</v>
      </c>
      <c r="I3744">
        <v>0</v>
      </c>
      <c r="J3744">
        <v>0</v>
      </c>
      <c r="K3744">
        <v>63.7</v>
      </c>
      <c r="L3744">
        <v>63.3</v>
      </c>
      <c r="M3744">
        <v>74.19</v>
      </c>
      <c r="N3744">
        <v>12</v>
      </c>
      <c r="O3744">
        <v>4</v>
      </c>
      <c r="P3744">
        <f>MOD(DAY(datos_siembra[[#This Row],[Date]]),7)</f>
        <v>5</v>
      </c>
      <c r="Q3744" t="str">
        <f>CHOOSE(WEEKDAY(datos_siembra[[#This Row],[Date]],2),"L","M","X","J","V","S","D")</f>
        <v>S</v>
      </c>
      <c r="R3744">
        <f>WEEKNUM(datos_siembra[[#This Row],[Date]],2)-WEEKNUM(DATE(YEAR(datos_siembra[[#This Row],[Date]]),MONTH(datos_siembra[[#This Row],[Date]]),1))+1</f>
        <v>2</v>
      </c>
      <c r="S3744">
        <f>MONTH(datos_siembra[[#This Row],[Date]])</f>
        <v>10</v>
      </c>
      <c r="T3744" t="str" cm="1">
        <f t="array" ref="T3744">_xlfn.IFS(AND(N3744&lt;= 22, S3744=9), "SOWING",AND(N3744&lt;= 28, S3744=9), "COVERAGE",AND(N3744&lt;= 30, S3744=9), "FLUSH",AND(N3744&lt;= 11, S3744=10), "FLUSH",AND(N3744&lt;= 21, S3744=10), "PRODUCTION")</f>
        <v>PRODUCTION</v>
      </c>
      <c r="U3744">
        <f>HOUR(datos_siembra[[#This Row],[Hour]])</f>
        <v>19</v>
      </c>
      <c r="V3744" cm="1">
        <f t="array" ref="V3744">_xlfn.IFS(AND(N3744&lt;= 22, S3744=9), N3744-7,AND(N3744&lt;= 28, S3744=9), N3744-25,AND(N3744&lt;= 30, S3744=9), N3744-28,AND(N3744&lt;= 11, S3744=10), N3744+2,AND(N3744&lt;= 21, S3744=10), N3744-11)</f>
        <v>1</v>
      </c>
    </row>
    <row r="3745" spans="1:22" x14ac:dyDescent="0.35">
      <c r="A3745" s="4">
        <v>45577</v>
      </c>
      <c r="B3745" s="5">
        <v>0.80570601851851853</v>
      </c>
      <c r="C3745">
        <v>75.3</v>
      </c>
      <c r="D3745">
        <v>73.099999999999994</v>
      </c>
      <c r="E3745">
        <v>74.099999999999994</v>
      </c>
      <c r="F3745">
        <v>74.099999999999994</v>
      </c>
      <c r="G3745">
        <v>0</v>
      </c>
      <c r="H3745">
        <v>0</v>
      </c>
      <c r="I3745">
        <v>0</v>
      </c>
      <c r="J3745">
        <v>0</v>
      </c>
      <c r="K3745">
        <v>63.6</v>
      </c>
      <c r="L3745">
        <v>63.3</v>
      </c>
      <c r="M3745">
        <v>74.13</v>
      </c>
      <c r="N3745">
        <v>12</v>
      </c>
      <c r="O3745">
        <v>4</v>
      </c>
      <c r="P3745">
        <f>MOD(DAY(datos_siembra[[#This Row],[Date]]),7)</f>
        <v>5</v>
      </c>
      <c r="Q3745" t="str">
        <f>CHOOSE(WEEKDAY(datos_siembra[[#This Row],[Date]],2),"L","M","X","J","V","S","D")</f>
        <v>S</v>
      </c>
      <c r="R3745">
        <f>WEEKNUM(datos_siembra[[#This Row],[Date]],2)-WEEKNUM(DATE(YEAR(datos_siembra[[#This Row],[Date]]),MONTH(datos_siembra[[#This Row],[Date]]),1))+1</f>
        <v>2</v>
      </c>
      <c r="S3745">
        <f>MONTH(datos_siembra[[#This Row],[Date]])</f>
        <v>10</v>
      </c>
      <c r="T3745" t="str" cm="1">
        <f t="array" ref="T3745">_xlfn.IFS(AND(N3745&lt;= 22, S3745=9), "SOWING",AND(N3745&lt;= 28, S3745=9), "COVERAGE",AND(N3745&lt;= 30, S3745=9), "FLUSH",AND(N3745&lt;= 11, S3745=10), "FLUSH",AND(N3745&lt;= 21, S3745=10), "PRODUCTION")</f>
        <v>PRODUCTION</v>
      </c>
      <c r="U3745">
        <f>HOUR(datos_siembra[[#This Row],[Hour]])</f>
        <v>19</v>
      </c>
      <c r="V3745" cm="1">
        <f t="array" ref="V3745">_xlfn.IFS(AND(N3745&lt;= 22, S3745=9), N3745-7,AND(N3745&lt;= 28, S3745=9), N3745-25,AND(N3745&lt;= 30, S3745=9), N3745-28,AND(N3745&lt;= 11, S3745=10), N3745+2,AND(N3745&lt;= 21, S3745=10), N3745-11)</f>
        <v>1</v>
      </c>
    </row>
    <row r="3746" spans="1:22" x14ac:dyDescent="0.35">
      <c r="A3746" s="4">
        <v>45577</v>
      </c>
      <c r="B3746" s="5">
        <v>0.81265046296296295</v>
      </c>
      <c r="C3746">
        <v>75.400000000000006</v>
      </c>
      <c r="D3746">
        <v>73.099999999999994</v>
      </c>
      <c r="E3746">
        <v>74.099999999999994</v>
      </c>
      <c r="F3746">
        <v>74.099999999999994</v>
      </c>
      <c r="G3746">
        <v>0</v>
      </c>
      <c r="H3746">
        <v>0</v>
      </c>
      <c r="I3746">
        <v>0</v>
      </c>
      <c r="J3746">
        <v>0</v>
      </c>
      <c r="K3746">
        <v>63.5</v>
      </c>
      <c r="L3746">
        <v>63.2</v>
      </c>
      <c r="M3746">
        <v>74.22</v>
      </c>
      <c r="N3746">
        <v>12</v>
      </c>
      <c r="O3746">
        <v>4</v>
      </c>
      <c r="P3746">
        <f>MOD(DAY(datos_siembra[[#This Row],[Date]]),7)</f>
        <v>5</v>
      </c>
      <c r="Q3746" t="str">
        <f>CHOOSE(WEEKDAY(datos_siembra[[#This Row],[Date]],2),"L","M","X","J","V","S","D")</f>
        <v>S</v>
      </c>
      <c r="R3746">
        <f>WEEKNUM(datos_siembra[[#This Row],[Date]],2)-WEEKNUM(DATE(YEAR(datos_siembra[[#This Row],[Date]]),MONTH(datos_siembra[[#This Row],[Date]]),1))+1</f>
        <v>2</v>
      </c>
      <c r="S3746">
        <f>MONTH(datos_siembra[[#This Row],[Date]])</f>
        <v>10</v>
      </c>
      <c r="T3746" t="str" cm="1">
        <f t="array" ref="T3746">_xlfn.IFS(AND(N3746&lt;= 22, S3746=9), "SOWING",AND(N3746&lt;= 28, S3746=9), "COVERAGE",AND(N3746&lt;= 30, S3746=9), "FLUSH",AND(N3746&lt;= 11, S3746=10), "FLUSH",AND(N3746&lt;= 21, S3746=10), "PRODUCTION")</f>
        <v>PRODUCTION</v>
      </c>
      <c r="U3746">
        <f>HOUR(datos_siembra[[#This Row],[Hour]])</f>
        <v>19</v>
      </c>
      <c r="V3746" cm="1">
        <f t="array" ref="V3746">_xlfn.IFS(AND(N3746&lt;= 22, S3746=9), N3746-7,AND(N3746&lt;= 28, S3746=9), N3746-25,AND(N3746&lt;= 30, S3746=9), N3746-28,AND(N3746&lt;= 11, S3746=10), N3746+2,AND(N3746&lt;= 21, S3746=10), N3746-11)</f>
        <v>1</v>
      </c>
    </row>
    <row r="3747" spans="1:22" x14ac:dyDescent="0.35">
      <c r="A3747" s="4">
        <v>45577</v>
      </c>
      <c r="B3747" s="5">
        <v>0.81959490740740737</v>
      </c>
      <c r="C3747">
        <v>75.400000000000006</v>
      </c>
      <c r="D3747">
        <v>73.2</v>
      </c>
      <c r="E3747">
        <v>74.2</v>
      </c>
      <c r="F3747">
        <v>74.099999999999994</v>
      </c>
      <c r="G3747">
        <v>0</v>
      </c>
      <c r="H3747">
        <v>0</v>
      </c>
      <c r="I3747">
        <v>0</v>
      </c>
      <c r="J3747">
        <v>0</v>
      </c>
      <c r="K3747">
        <v>63.6</v>
      </c>
      <c r="L3747">
        <v>63</v>
      </c>
      <c r="M3747">
        <v>74.16</v>
      </c>
      <c r="N3747">
        <v>12</v>
      </c>
      <c r="O3747">
        <v>4</v>
      </c>
      <c r="P3747">
        <f>MOD(DAY(datos_siembra[[#This Row],[Date]]),7)</f>
        <v>5</v>
      </c>
      <c r="Q3747" t="str">
        <f>CHOOSE(WEEKDAY(datos_siembra[[#This Row],[Date]],2),"L","M","X","J","V","S","D")</f>
        <v>S</v>
      </c>
      <c r="R3747">
        <f>WEEKNUM(datos_siembra[[#This Row],[Date]],2)-WEEKNUM(DATE(YEAR(datos_siembra[[#This Row],[Date]]),MONTH(datos_siembra[[#This Row],[Date]]),1))+1</f>
        <v>2</v>
      </c>
      <c r="S3747">
        <f>MONTH(datos_siembra[[#This Row],[Date]])</f>
        <v>10</v>
      </c>
      <c r="T3747" t="str" cm="1">
        <f t="array" ref="T3747">_xlfn.IFS(AND(N3747&lt;= 22, S3747=9), "SOWING",AND(N3747&lt;= 28, S3747=9), "COVERAGE",AND(N3747&lt;= 30, S3747=9), "FLUSH",AND(N3747&lt;= 11, S3747=10), "FLUSH",AND(N3747&lt;= 21, S3747=10), "PRODUCTION")</f>
        <v>PRODUCTION</v>
      </c>
      <c r="U3747">
        <f>HOUR(datos_siembra[[#This Row],[Hour]])</f>
        <v>19</v>
      </c>
      <c r="V3747" cm="1">
        <f t="array" ref="V3747">_xlfn.IFS(AND(N3747&lt;= 22, S3747=9), N3747-7,AND(N3747&lt;= 28, S3747=9), N3747-25,AND(N3747&lt;= 30, S3747=9), N3747-28,AND(N3747&lt;= 11, S3747=10), N3747+2,AND(N3747&lt;= 21, S3747=10), N3747-11)</f>
        <v>1</v>
      </c>
    </row>
    <row r="3748" spans="1:22" x14ac:dyDescent="0.35">
      <c r="A3748" s="4">
        <v>45577</v>
      </c>
      <c r="B3748" s="5">
        <v>0.82655092592592594</v>
      </c>
      <c r="C3748">
        <v>75.400000000000006</v>
      </c>
      <c r="D3748">
        <v>73.2</v>
      </c>
      <c r="E3748">
        <v>74.099999999999994</v>
      </c>
      <c r="F3748">
        <v>74.099999999999994</v>
      </c>
      <c r="G3748">
        <v>0</v>
      </c>
      <c r="H3748">
        <v>0</v>
      </c>
      <c r="I3748">
        <v>0</v>
      </c>
      <c r="J3748">
        <v>0</v>
      </c>
      <c r="K3748">
        <v>63.5</v>
      </c>
      <c r="L3748">
        <v>63</v>
      </c>
      <c r="M3748">
        <v>74.22</v>
      </c>
      <c r="N3748">
        <v>12</v>
      </c>
      <c r="O3748">
        <v>4</v>
      </c>
      <c r="P3748">
        <f>MOD(DAY(datos_siembra[[#This Row],[Date]]),7)</f>
        <v>5</v>
      </c>
      <c r="Q3748" t="str">
        <f>CHOOSE(WEEKDAY(datos_siembra[[#This Row],[Date]],2),"L","M","X","J","V","S","D")</f>
        <v>S</v>
      </c>
      <c r="R3748">
        <f>WEEKNUM(datos_siembra[[#This Row],[Date]],2)-WEEKNUM(DATE(YEAR(datos_siembra[[#This Row],[Date]]),MONTH(datos_siembra[[#This Row],[Date]]),1))+1</f>
        <v>2</v>
      </c>
      <c r="S3748">
        <f>MONTH(datos_siembra[[#This Row],[Date]])</f>
        <v>10</v>
      </c>
      <c r="T3748" t="str" cm="1">
        <f t="array" ref="T3748">_xlfn.IFS(AND(N3748&lt;= 22, S3748=9), "SOWING",AND(N3748&lt;= 28, S3748=9), "COVERAGE",AND(N3748&lt;= 30, S3748=9), "FLUSH",AND(N3748&lt;= 11, S3748=10), "FLUSH",AND(N3748&lt;= 21, S3748=10), "PRODUCTION")</f>
        <v>PRODUCTION</v>
      </c>
      <c r="U3748">
        <f>HOUR(datos_siembra[[#This Row],[Hour]])</f>
        <v>19</v>
      </c>
      <c r="V3748" cm="1">
        <f t="array" ref="V3748">_xlfn.IFS(AND(N3748&lt;= 22, S3748=9), N3748-7,AND(N3748&lt;= 28, S3748=9), N3748-25,AND(N3748&lt;= 30, S3748=9), N3748-28,AND(N3748&lt;= 11, S3748=10), N3748+2,AND(N3748&lt;= 21, S3748=10), N3748-11)</f>
        <v>1</v>
      </c>
    </row>
    <row r="3749" spans="1:22" x14ac:dyDescent="0.35">
      <c r="A3749" s="4">
        <v>45577</v>
      </c>
      <c r="B3749" s="5">
        <v>0.83349537037037036</v>
      </c>
      <c r="C3749">
        <v>75.400000000000006</v>
      </c>
      <c r="D3749">
        <v>73.2</v>
      </c>
      <c r="E3749">
        <v>74</v>
      </c>
      <c r="F3749">
        <v>74.099999999999994</v>
      </c>
      <c r="G3749">
        <v>0</v>
      </c>
      <c r="H3749">
        <v>0</v>
      </c>
      <c r="I3749">
        <v>0</v>
      </c>
      <c r="J3749">
        <v>0</v>
      </c>
      <c r="K3749">
        <v>63.4</v>
      </c>
      <c r="L3749">
        <v>62.9</v>
      </c>
      <c r="M3749">
        <v>74.16</v>
      </c>
      <c r="N3749">
        <v>12</v>
      </c>
      <c r="O3749">
        <v>4</v>
      </c>
      <c r="P3749">
        <f>MOD(DAY(datos_siembra[[#This Row],[Date]]),7)</f>
        <v>5</v>
      </c>
      <c r="Q3749" t="str">
        <f>CHOOSE(WEEKDAY(datos_siembra[[#This Row],[Date]],2),"L","M","X","J","V","S","D")</f>
        <v>S</v>
      </c>
      <c r="R3749">
        <f>WEEKNUM(datos_siembra[[#This Row],[Date]],2)-WEEKNUM(DATE(YEAR(datos_siembra[[#This Row],[Date]]),MONTH(datos_siembra[[#This Row],[Date]]),1))+1</f>
        <v>2</v>
      </c>
      <c r="S3749">
        <f>MONTH(datos_siembra[[#This Row],[Date]])</f>
        <v>10</v>
      </c>
      <c r="T3749" t="str" cm="1">
        <f t="array" ref="T3749">_xlfn.IFS(AND(N3749&lt;= 22, S3749=9), "SOWING",AND(N3749&lt;= 28, S3749=9), "COVERAGE",AND(N3749&lt;= 30, S3749=9), "FLUSH",AND(N3749&lt;= 11, S3749=10), "FLUSH",AND(N3749&lt;= 21, S3749=10), "PRODUCTION")</f>
        <v>PRODUCTION</v>
      </c>
      <c r="U3749">
        <f>HOUR(datos_siembra[[#This Row],[Hour]])</f>
        <v>20</v>
      </c>
      <c r="V3749" cm="1">
        <f t="array" ref="V3749">_xlfn.IFS(AND(N3749&lt;= 22, S3749=9), N3749-7,AND(N3749&lt;= 28, S3749=9), N3749-25,AND(N3749&lt;= 30, S3749=9), N3749-28,AND(N3749&lt;= 11, S3749=10), N3749+2,AND(N3749&lt;= 21, S3749=10), N3749-11)</f>
        <v>1</v>
      </c>
    </row>
    <row r="3750" spans="1:22" x14ac:dyDescent="0.35">
      <c r="A3750" s="4">
        <v>45577</v>
      </c>
      <c r="B3750" s="5">
        <v>0.84043981481481478</v>
      </c>
      <c r="C3750">
        <v>75.3</v>
      </c>
      <c r="D3750">
        <v>73.2</v>
      </c>
      <c r="E3750">
        <v>74</v>
      </c>
      <c r="F3750">
        <v>74.099999999999994</v>
      </c>
      <c r="G3750">
        <v>0</v>
      </c>
      <c r="H3750">
        <v>0</v>
      </c>
      <c r="I3750">
        <v>0</v>
      </c>
      <c r="J3750">
        <v>0</v>
      </c>
      <c r="K3750">
        <v>63.4</v>
      </c>
      <c r="L3750">
        <v>62.8</v>
      </c>
      <c r="M3750">
        <v>74.13</v>
      </c>
      <c r="N3750">
        <v>12</v>
      </c>
      <c r="O3750">
        <v>4</v>
      </c>
      <c r="P3750">
        <f>MOD(DAY(datos_siembra[[#This Row],[Date]]),7)</f>
        <v>5</v>
      </c>
      <c r="Q3750" t="str">
        <f>CHOOSE(WEEKDAY(datos_siembra[[#This Row],[Date]],2),"L","M","X","J","V","S","D")</f>
        <v>S</v>
      </c>
      <c r="R3750">
        <f>WEEKNUM(datos_siembra[[#This Row],[Date]],2)-WEEKNUM(DATE(YEAR(datos_siembra[[#This Row],[Date]]),MONTH(datos_siembra[[#This Row],[Date]]),1))+1</f>
        <v>2</v>
      </c>
      <c r="S3750">
        <f>MONTH(datos_siembra[[#This Row],[Date]])</f>
        <v>10</v>
      </c>
      <c r="T3750" t="str" cm="1">
        <f t="array" ref="T3750">_xlfn.IFS(AND(N3750&lt;= 22, S3750=9), "SOWING",AND(N3750&lt;= 28, S3750=9), "COVERAGE",AND(N3750&lt;= 30, S3750=9), "FLUSH",AND(N3750&lt;= 11, S3750=10), "FLUSH",AND(N3750&lt;= 21, S3750=10), "PRODUCTION")</f>
        <v>PRODUCTION</v>
      </c>
      <c r="U3750">
        <f>HOUR(datos_siembra[[#This Row],[Hour]])</f>
        <v>20</v>
      </c>
      <c r="V3750" cm="1">
        <f t="array" ref="V3750">_xlfn.IFS(AND(N3750&lt;= 22, S3750=9), N3750-7,AND(N3750&lt;= 28, S3750=9), N3750-25,AND(N3750&lt;= 30, S3750=9), N3750-28,AND(N3750&lt;= 11, S3750=10), N3750+2,AND(N3750&lt;= 21, S3750=10), N3750-11)</f>
        <v>1</v>
      </c>
    </row>
    <row r="3751" spans="1:22" x14ac:dyDescent="0.35">
      <c r="A3751" s="4">
        <v>45577</v>
      </c>
      <c r="B3751" s="5">
        <v>0.84739583333333335</v>
      </c>
      <c r="C3751">
        <v>75.5</v>
      </c>
      <c r="D3751">
        <v>73.2</v>
      </c>
      <c r="E3751">
        <v>74</v>
      </c>
      <c r="F3751">
        <v>74.099999999999994</v>
      </c>
      <c r="G3751">
        <v>0</v>
      </c>
      <c r="H3751">
        <v>0</v>
      </c>
      <c r="I3751">
        <v>0</v>
      </c>
      <c r="J3751">
        <v>0</v>
      </c>
      <c r="K3751">
        <v>63.4</v>
      </c>
      <c r="L3751">
        <v>62.9</v>
      </c>
      <c r="M3751">
        <v>74.239999999999995</v>
      </c>
      <c r="N3751">
        <v>12</v>
      </c>
      <c r="O3751">
        <v>4</v>
      </c>
      <c r="P3751">
        <f>MOD(DAY(datos_siembra[[#This Row],[Date]]),7)</f>
        <v>5</v>
      </c>
      <c r="Q3751" t="str">
        <f>CHOOSE(WEEKDAY(datos_siembra[[#This Row],[Date]],2),"L","M","X","J","V","S","D")</f>
        <v>S</v>
      </c>
      <c r="R3751">
        <f>WEEKNUM(datos_siembra[[#This Row],[Date]],2)-WEEKNUM(DATE(YEAR(datos_siembra[[#This Row],[Date]]),MONTH(datos_siembra[[#This Row],[Date]]),1))+1</f>
        <v>2</v>
      </c>
      <c r="S3751">
        <f>MONTH(datos_siembra[[#This Row],[Date]])</f>
        <v>10</v>
      </c>
      <c r="T3751" t="str" cm="1">
        <f t="array" ref="T3751">_xlfn.IFS(AND(N3751&lt;= 22, S3751=9), "SOWING",AND(N3751&lt;= 28, S3751=9), "COVERAGE",AND(N3751&lt;= 30, S3751=9), "FLUSH",AND(N3751&lt;= 11, S3751=10), "FLUSH",AND(N3751&lt;= 21, S3751=10), "PRODUCTION")</f>
        <v>PRODUCTION</v>
      </c>
      <c r="U3751">
        <f>HOUR(datos_siembra[[#This Row],[Hour]])</f>
        <v>20</v>
      </c>
      <c r="V3751" cm="1">
        <f t="array" ref="V3751">_xlfn.IFS(AND(N3751&lt;= 22, S3751=9), N3751-7,AND(N3751&lt;= 28, S3751=9), N3751-25,AND(N3751&lt;= 30, S3751=9), N3751-28,AND(N3751&lt;= 11, S3751=10), N3751+2,AND(N3751&lt;= 21, S3751=10), N3751-11)</f>
        <v>1</v>
      </c>
    </row>
    <row r="3752" spans="1:22" x14ac:dyDescent="0.35">
      <c r="A3752" s="4">
        <v>45577</v>
      </c>
      <c r="B3752" s="5">
        <v>0.85434027777777777</v>
      </c>
      <c r="C3752">
        <v>75.8</v>
      </c>
      <c r="D3752">
        <v>73.2</v>
      </c>
      <c r="E3752">
        <v>74</v>
      </c>
      <c r="F3752">
        <v>74</v>
      </c>
      <c r="G3752">
        <v>0</v>
      </c>
      <c r="H3752">
        <v>0</v>
      </c>
      <c r="I3752">
        <v>0</v>
      </c>
      <c r="J3752">
        <v>0</v>
      </c>
      <c r="K3752">
        <v>63.3</v>
      </c>
      <c r="L3752">
        <v>62.8</v>
      </c>
      <c r="M3752">
        <v>74.239999999999995</v>
      </c>
      <c r="N3752">
        <v>12</v>
      </c>
      <c r="O3752">
        <v>4</v>
      </c>
      <c r="P3752">
        <f>MOD(DAY(datos_siembra[[#This Row],[Date]]),7)</f>
        <v>5</v>
      </c>
      <c r="Q3752" t="str">
        <f>CHOOSE(WEEKDAY(datos_siembra[[#This Row],[Date]],2),"L","M","X","J","V","S","D")</f>
        <v>S</v>
      </c>
      <c r="R3752">
        <f>WEEKNUM(datos_siembra[[#This Row],[Date]],2)-WEEKNUM(DATE(YEAR(datos_siembra[[#This Row],[Date]]),MONTH(datos_siembra[[#This Row],[Date]]),1))+1</f>
        <v>2</v>
      </c>
      <c r="S3752">
        <f>MONTH(datos_siembra[[#This Row],[Date]])</f>
        <v>10</v>
      </c>
      <c r="T3752" t="str" cm="1">
        <f t="array" ref="T3752">_xlfn.IFS(AND(N3752&lt;= 22, S3752=9), "SOWING",AND(N3752&lt;= 28, S3752=9), "COVERAGE",AND(N3752&lt;= 30, S3752=9), "FLUSH",AND(N3752&lt;= 11, S3752=10), "FLUSH",AND(N3752&lt;= 21, S3752=10), "PRODUCTION")</f>
        <v>PRODUCTION</v>
      </c>
      <c r="U3752">
        <f>HOUR(datos_siembra[[#This Row],[Hour]])</f>
        <v>20</v>
      </c>
      <c r="V3752" cm="1">
        <f t="array" ref="V3752">_xlfn.IFS(AND(N3752&lt;= 22, S3752=9), N3752-7,AND(N3752&lt;= 28, S3752=9), N3752-25,AND(N3752&lt;= 30, S3752=9), N3752-28,AND(N3752&lt;= 11, S3752=10), N3752+2,AND(N3752&lt;= 21, S3752=10), N3752-11)</f>
        <v>1</v>
      </c>
    </row>
    <row r="3753" spans="1:22" x14ac:dyDescent="0.35">
      <c r="A3753" s="4">
        <v>45577</v>
      </c>
      <c r="B3753" s="5">
        <v>0.86128472222222219</v>
      </c>
      <c r="C3753">
        <v>75.900000000000006</v>
      </c>
      <c r="D3753">
        <v>73.2</v>
      </c>
      <c r="E3753">
        <v>73.900000000000006</v>
      </c>
      <c r="F3753">
        <v>74</v>
      </c>
      <c r="G3753">
        <v>0</v>
      </c>
      <c r="H3753">
        <v>0</v>
      </c>
      <c r="I3753">
        <v>0</v>
      </c>
      <c r="J3753">
        <v>0</v>
      </c>
      <c r="K3753">
        <v>63.3</v>
      </c>
      <c r="L3753">
        <v>62.7</v>
      </c>
      <c r="M3753">
        <v>74.22</v>
      </c>
      <c r="N3753">
        <v>12</v>
      </c>
      <c r="O3753">
        <v>4</v>
      </c>
      <c r="P3753">
        <f>MOD(DAY(datos_siembra[[#This Row],[Date]]),7)</f>
        <v>5</v>
      </c>
      <c r="Q3753" t="str">
        <f>CHOOSE(WEEKDAY(datos_siembra[[#This Row],[Date]],2),"L","M","X","J","V","S","D")</f>
        <v>S</v>
      </c>
      <c r="R3753">
        <f>WEEKNUM(datos_siembra[[#This Row],[Date]],2)-WEEKNUM(DATE(YEAR(datos_siembra[[#This Row],[Date]]),MONTH(datos_siembra[[#This Row],[Date]]),1))+1</f>
        <v>2</v>
      </c>
      <c r="S3753">
        <f>MONTH(datos_siembra[[#This Row],[Date]])</f>
        <v>10</v>
      </c>
      <c r="T3753" t="str" cm="1">
        <f t="array" ref="T3753">_xlfn.IFS(AND(N3753&lt;= 22, S3753=9), "SOWING",AND(N3753&lt;= 28, S3753=9), "COVERAGE",AND(N3753&lt;= 30, S3753=9), "FLUSH",AND(N3753&lt;= 11, S3753=10), "FLUSH",AND(N3753&lt;= 21, S3753=10), "PRODUCTION")</f>
        <v>PRODUCTION</v>
      </c>
      <c r="U3753">
        <f>HOUR(datos_siembra[[#This Row],[Hour]])</f>
        <v>20</v>
      </c>
      <c r="V3753" cm="1">
        <f t="array" ref="V3753">_xlfn.IFS(AND(N3753&lt;= 22, S3753=9), N3753-7,AND(N3753&lt;= 28, S3753=9), N3753-25,AND(N3753&lt;= 30, S3753=9), N3753-28,AND(N3753&lt;= 11, S3753=10), N3753+2,AND(N3753&lt;= 21, S3753=10), N3753-11)</f>
        <v>1</v>
      </c>
    </row>
    <row r="3754" spans="1:22" x14ac:dyDescent="0.35">
      <c r="A3754" s="4">
        <v>45577</v>
      </c>
      <c r="B3754" s="5">
        <v>0.86822916666666672</v>
      </c>
      <c r="C3754">
        <v>76.099999999999994</v>
      </c>
      <c r="D3754">
        <v>73.099999999999994</v>
      </c>
      <c r="E3754">
        <v>74</v>
      </c>
      <c r="F3754">
        <v>73.900000000000006</v>
      </c>
      <c r="G3754">
        <v>0</v>
      </c>
      <c r="H3754">
        <v>0</v>
      </c>
      <c r="I3754">
        <v>0</v>
      </c>
      <c r="J3754">
        <v>0</v>
      </c>
      <c r="K3754">
        <v>63.2</v>
      </c>
      <c r="L3754">
        <v>62.5</v>
      </c>
      <c r="M3754">
        <v>74.33</v>
      </c>
      <c r="N3754">
        <v>12</v>
      </c>
      <c r="O3754">
        <v>4</v>
      </c>
      <c r="P3754">
        <f>MOD(DAY(datos_siembra[[#This Row],[Date]]),7)</f>
        <v>5</v>
      </c>
      <c r="Q3754" t="str">
        <f>CHOOSE(WEEKDAY(datos_siembra[[#This Row],[Date]],2),"L","M","X","J","V","S","D")</f>
        <v>S</v>
      </c>
      <c r="R3754">
        <f>WEEKNUM(datos_siembra[[#This Row],[Date]],2)-WEEKNUM(DATE(YEAR(datos_siembra[[#This Row],[Date]]),MONTH(datos_siembra[[#This Row],[Date]]),1))+1</f>
        <v>2</v>
      </c>
      <c r="S3754">
        <f>MONTH(datos_siembra[[#This Row],[Date]])</f>
        <v>10</v>
      </c>
      <c r="T3754" t="str" cm="1">
        <f t="array" ref="T3754">_xlfn.IFS(AND(N3754&lt;= 22, S3754=9), "SOWING",AND(N3754&lt;= 28, S3754=9), "COVERAGE",AND(N3754&lt;= 30, S3754=9), "FLUSH",AND(N3754&lt;= 11, S3754=10), "FLUSH",AND(N3754&lt;= 21, S3754=10), "PRODUCTION")</f>
        <v>PRODUCTION</v>
      </c>
      <c r="U3754">
        <f>HOUR(datos_siembra[[#This Row],[Hour]])</f>
        <v>20</v>
      </c>
      <c r="V3754" cm="1">
        <f t="array" ref="V3754">_xlfn.IFS(AND(N3754&lt;= 22, S3754=9), N3754-7,AND(N3754&lt;= 28, S3754=9), N3754-25,AND(N3754&lt;= 30, S3754=9), N3754-28,AND(N3754&lt;= 11, S3754=10), N3754+2,AND(N3754&lt;= 21, S3754=10), N3754-11)</f>
        <v>1</v>
      </c>
    </row>
    <row r="3755" spans="1:22" x14ac:dyDescent="0.35">
      <c r="A3755" s="4">
        <v>45577</v>
      </c>
      <c r="B3755" s="5">
        <v>0.87518518518518518</v>
      </c>
      <c r="C3755">
        <v>76.3</v>
      </c>
      <c r="D3755">
        <v>73.2</v>
      </c>
      <c r="E3755">
        <v>73.900000000000006</v>
      </c>
      <c r="F3755">
        <v>74.2</v>
      </c>
      <c r="G3755">
        <v>0</v>
      </c>
      <c r="H3755">
        <v>0</v>
      </c>
      <c r="I3755">
        <v>0</v>
      </c>
      <c r="J3755">
        <v>0</v>
      </c>
      <c r="K3755">
        <v>63</v>
      </c>
      <c r="L3755">
        <v>62.5</v>
      </c>
      <c r="M3755">
        <v>74.33</v>
      </c>
      <c r="N3755">
        <v>12</v>
      </c>
      <c r="O3755">
        <v>4</v>
      </c>
      <c r="P3755">
        <f>MOD(DAY(datos_siembra[[#This Row],[Date]]),7)</f>
        <v>5</v>
      </c>
      <c r="Q3755" t="str">
        <f>CHOOSE(WEEKDAY(datos_siembra[[#This Row],[Date]],2),"L","M","X","J","V","S","D")</f>
        <v>S</v>
      </c>
      <c r="R3755">
        <f>WEEKNUM(datos_siembra[[#This Row],[Date]],2)-WEEKNUM(DATE(YEAR(datos_siembra[[#This Row],[Date]]),MONTH(datos_siembra[[#This Row],[Date]]),1))+1</f>
        <v>2</v>
      </c>
      <c r="S3755">
        <f>MONTH(datos_siembra[[#This Row],[Date]])</f>
        <v>10</v>
      </c>
      <c r="T3755" t="str" cm="1">
        <f t="array" ref="T3755">_xlfn.IFS(AND(N3755&lt;= 22, S3755=9), "SOWING",AND(N3755&lt;= 28, S3755=9), "COVERAGE",AND(N3755&lt;= 30, S3755=9), "FLUSH",AND(N3755&lt;= 11, S3755=10), "FLUSH",AND(N3755&lt;= 21, S3755=10), "PRODUCTION")</f>
        <v>PRODUCTION</v>
      </c>
      <c r="U3755">
        <f>HOUR(datos_siembra[[#This Row],[Hour]])</f>
        <v>21</v>
      </c>
      <c r="V3755" cm="1">
        <f t="array" ref="V3755">_xlfn.IFS(AND(N3755&lt;= 22, S3755=9), N3755-7,AND(N3755&lt;= 28, S3755=9), N3755-25,AND(N3755&lt;= 30, S3755=9), N3755-28,AND(N3755&lt;= 11, S3755=10), N3755+2,AND(N3755&lt;= 21, S3755=10), N3755-11)</f>
        <v>1</v>
      </c>
    </row>
    <row r="3756" spans="1:22" x14ac:dyDescent="0.35">
      <c r="A3756" s="4">
        <v>45577</v>
      </c>
      <c r="B3756" s="5">
        <v>0.8821296296296296</v>
      </c>
      <c r="C3756">
        <v>76.599999999999994</v>
      </c>
      <c r="D3756">
        <v>73</v>
      </c>
      <c r="E3756">
        <v>74</v>
      </c>
      <c r="F3756">
        <v>74.2</v>
      </c>
      <c r="G3756">
        <v>0</v>
      </c>
      <c r="H3756">
        <v>0</v>
      </c>
      <c r="I3756">
        <v>0</v>
      </c>
      <c r="J3756">
        <v>0</v>
      </c>
      <c r="K3756">
        <v>62.9</v>
      </c>
      <c r="L3756">
        <v>62.4</v>
      </c>
      <c r="M3756">
        <v>74.44</v>
      </c>
      <c r="N3756">
        <v>12</v>
      </c>
      <c r="O3756">
        <v>4</v>
      </c>
      <c r="P3756">
        <f>MOD(DAY(datos_siembra[[#This Row],[Date]]),7)</f>
        <v>5</v>
      </c>
      <c r="Q3756" t="str">
        <f>CHOOSE(WEEKDAY(datos_siembra[[#This Row],[Date]],2),"L","M","X","J","V","S","D")</f>
        <v>S</v>
      </c>
      <c r="R3756">
        <f>WEEKNUM(datos_siembra[[#This Row],[Date]],2)-WEEKNUM(DATE(YEAR(datos_siembra[[#This Row],[Date]]),MONTH(datos_siembra[[#This Row],[Date]]),1))+1</f>
        <v>2</v>
      </c>
      <c r="S3756">
        <f>MONTH(datos_siembra[[#This Row],[Date]])</f>
        <v>10</v>
      </c>
      <c r="T3756" t="str" cm="1">
        <f t="array" ref="T3756">_xlfn.IFS(AND(N3756&lt;= 22, S3756=9), "SOWING",AND(N3756&lt;= 28, S3756=9), "COVERAGE",AND(N3756&lt;= 30, S3756=9), "FLUSH",AND(N3756&lt;= 11, S3756=10), "FLUSH",AND(N3756&lt;= 21, S3756=10), "PRODUCTION")</f>
        <v>PRODUCTION</v>
      </c>
      <c r="U3756">
        <f>HOUR(datos_siembra[[#This Row],[Hour]])</f>
        <v>21</v>
      </c>
      <c r="V3756" cm="1">
        <f t="array" ref="V3756">_xlfn.IFS(AND(N3756&lt;= 22, S3756=9), N3756-7,AND(N3756&lt;= 28, S3756=9), N3756-25,AND(N3756&lt;= 30, S3756=9), N3756-28,AND(N3756&lt;= 11, S3756=10), N3756+2,AND(N3756&lt;= 21, S3756=10), N3756-11)</f>
        <v>1</v>
      </c>
    </row>
    <row r="3757" spans="1:22" x14ac:dyDescent="0.35">
      <c r="A3757" s="4">
        <v>45577</v>
      </c>
      <c r="B3757" s="5">
        <v>0.88907407407407413</v>
      </c>
      <c r="C3757">
        <v>76.900000000000006</v>
      </c>
      <c r="D3757">
        <v>73.099999999999994</v>
      </c>
      <c r="E3757">
        <v>74</v>
      </c>
      <c r="F3757">
        <v>74.099999999999994</v>
      </c>
      <c r="G3757">
        <v>0</v>
      </c>
      <c r="H3757">
        <v>0</v>
      </c>
      <c r="I3757">
        <v>0</v>
      </c>
      <c r="J3757">
        <v>0</v>
      </c>
      <c r="K3757">
        <v>62.9</v>
      </c>
      <c r="L3757">
        <v>62.5</v>
      </c>
      <c r="M3757">
        <v>74.52</v>
      </c>
      <c r="N3757">
        <v>12</v>
      </c>
      <c r="O3757">
        <v>4</v>
      </c>
      <c r="P3757">
        <f>MOD(DAY(datos_siembra[[#This Row],[Date]]),7)</f>
        <v>5</v>
      </c>
      <c r="Q3757" t="str">
        <f>CHOOSE(WEEKDAY(datos_siembra[[#This Row],[Date]],2),"L","M","X","J","V","S","D")</f>
        <v>S</v>
      </c>
      <c r="R3757">
        <f>WEEKNUM(datos_siembra[[#This Row],[Date]],2)-WEEKNUM(DATE(YEAR(datos_siembra[[#This Row],[Date]]),MONTH(datos_siembra[[#This Row],[Date]]),1))+1</f>
        <v>2</v>
      </c>
      <c r="S3757">
        <f>MONTH(datos_siembra[[#This Row],[Date]])</f>
        <v>10</v>
      </c>
      <c r="T3757" t="str" cm="1">
        <f t="array" ref="T3757">_xlfn.IFS(AND(N3757&lt;= 22, S3757=9), "SOWING",AND(N3757&lt;= 28, S3757=9), "COVERAGE",AND(N3757&lt;= 30, S3757=9), "FLUSH",AND(N3757&lt;= 11, S3757=10), "FLUSH",AND(N3757&lt;= 21, S3757=10), "PRODUCTION")</f>
        <v>PRODUCTION</v>
      </c>
      <c r="U3757">
        <f>HOUR(datos_siembra[[#This Row],[Hour]])</f>
        <v>21</v>
      </c>
      <c r="V3757" cm="1">
        <f t="array" ref="V3757">_xlfn.IFS(AND(N3757&lt;= 22, S3757=9), N3757-7,AND(N3757&lt;= 28, S3757=9), N3757-25,AND(N3757&lt;= 30, S3757=9), N3757-28,AND(N3757&lt;= 11, S3757=10), N3757+2,AND(N3757&lt;= 21, S3757=10), N3757-11)</f>
        <v>1</v>
      </c>
    </row>
    <row r="3758" spans="1:22" x14ac:dyDescent="0.35">
      <c r="A3758" s="4">
        <v>45577</v>
      </c>
      <c r="B3758" s="5">
        <v>0.89603009259259259</v>
      </c>
      <c r="C3758">
        <v>76.900000000000006</v>
      </c>
      <c r="D3758">
        <v>73.099999999999994</v>
      </c>
      <c r="E3758">
        <v>73.900000000000006</v>
      </c>
      <c r="F3758">
        <v>74.3</v>
      </c>
      <c r="G3758">
        <v>0</v>
      </c>
      <c r="H3758">
        <v>0</v>
      </c>
      <c r="I3758">
        <v>0</v>
      </c>
      <c r="J3758">
        <v>0</v>
      </c>
      <c r="K3758">
        <v>62.9</v>
      </c>
      <c r="L3758">
        <v>62.4</v>
      </c>
      <c r="M3758">
        <v>74.52</v>
      </c>
      <c r="N3758">
        <v>12</v>
      </c>
      <c r="O3758">
        <v>4</v>
      </c>
      <c r="P3758">
        <f>MOD(DAY(datos_siembra[[#This Row],[Date]]),7)</f>
        <v>5</v>
      </c>
      <c r="Q3758" t="str">
        <f>CHOOSE(WEEKDAY(datos_siembra[[#This Row],[Date]],2),"L","M","X","J","V","S","D")</f>
        <v>S</v>
      </c>
      <c r="R3758">
        <f>WEEKNUM(datos_siembra[[#This Row],[Date]],2)-WEEKNUM(DATE(YEAR(datos_siembra[[#This Row],[Date]]),MONTH(datos_siembra[[#This Row],[Date]]),1))+1</f>
        <v>2</v>
      </c>
      <c r="S3758">
        <f>MONTH(datos_siembra[[#This Row],[Date]])</f>
        <v>10</v>
      </c>
      <c r="T3758" t="str" cm="1">
        <f t="array" ref="T3758">_xlfn.IFS(AND(N3758&lt;= 22, S3758=9), "SOWING",AND(N3758&lt;= 28, S3758=9), "COVERAGE",AND(N3758&lt;= 30, S3758=9), "FLUSH",AND(N3758&lt;= 11, S3758=10), "FLUSH",AND(N3758&lt;= 21, S3758=10), "PRODUCTION")</f>
        <v>PRODUCTION</v>
      </c>
      <c r="U3758">
        <f>HOUR(datos_siembra[[#This Row],[Hour]])</f>
        <v>21</v>
      </c>
      <c r="V3758" cm="1">
        <f t="array" ref="V3758">_xlfn.IFS(AND(N3758&lt;= 22, S3758=9), N3758-7,AND(N3758&lt;= 28, S3758=9), N3758-25,AND(N3758&lt;= 30, S3758=9), N3758-28,AND(N3758&lt;= 11, S3758=10), N3758+2,AND(N3758&lt;= 21, S3758=10), N3758-11)</f>
        <v>1</v>
      </c>
    </row>
    <row r="3759" spans="1:22" x14ac:dyDescent="0.35">
      <c r="A3759" s="4">
        <v>45577</v>
      </c>
      <c r="B3759" s="5">
        <v>0.90297453703703701</v>
      </c>
      <c r="C3759">
        <v>76.900000000000006</v>
      </c>
      <c r="D3759">
        <v>73</v>
      </c>
      <c r="E3759">
        <v>74</v>
      </c>
      <c r="F3759">
        <v>74.3</v>
      </c>
      <c r="G3759">
        <v>0</v>
      </c>
      <c r="H3759">
        <v>0</v>
      </c>
      <c r="I3759">
        <v>0</v>
      </c>
      <c r="J3759">
        <v>0</v>
      </c>
      <c r="K3759">
        <v>62.8</v>
      </c>
      <c r="L3759">
        <v>62.3</v>
      </c>
      <c r="M3759">
        <v>74.58</v>
      </c>
      <c r="N3759">
        <v>12</v>
      </c>
      <c r="O3759">
        <v>4</v>
      </c>
      <c r="P3759">
        <f>MOD(DAY(datos_siembra[[#This Row],[Date]]),7)</f>
        <v>5</v>
      </c>
      <c r="Q3759" t="str">
        <f>CHOOSE(WEEKDAY(datos_siembra[[#This Row],[Date]],2),"L","M","X","J","V","S","D")</f>
        <v>S</v>
      </c>
      <c r="R3759">
        <f>WEEKNUM(datos_siembra[[#This Row],[Date]],2)-WEEKNUM(DATE(YEAR(datos_siembra[[#This Row],[Date]]),MONTH(datos_siembra[[#This Row],[Date]]),1))+1</f>
        <v>2</v>
      </c>
      <c r="S3759">
        <f>MONTH(datos_siembra[[#This Row],[Date]])</f>
        <v>10</v>
      </c>
      <c r="T3759" t="str" cm="1">
        <f t="array" ref="T3759">_xlfn.IFS(AND(N3759&lt;= 22, S3759=9), "SOWING",AND(N3759&lt;= 28, S3759=9), "COVERAGE",AND(N3759&lt;= 30, S3759=9), "FLUSH",AND(N3759&lt;= 11, S3759=10), "FLUSH",AND(N3759&lt;= 21, S3759=10), "PRODUCTION")</f>
        <v>PRODUCTION</v>
      </c>
      <c r="U3759">
        <f>HOUR(datos_siembra[[#This Row],[Hour]])</f>
        <v>21</v>
      </c>
      <c r="V3759" cm="1">
        <f t="array" ref="V3759">_xlfn.IFS(AND(N3759&lt;= 22, S3759=9), N3759-7,AND(N3759&lt;= 28, S3759=9), N3759-25,AND(N3759&lt;= 30, S3759=9), N3759-28,AND(N3759&lt;= 11, S3759=10), N3759+2,AND(N3759&lt;= 21, S3759=10), N3759-11)</f>
        <v>1</v>
      </c>
    </row>
    <row r="3760" spans="1:22" x14ac:dyDescent="0.35">
      <c r="A3760" s="4">
        <v>45577</v>
      </c>
      <c r="B3760" s="5">
        <v>0.90991898148148154</v>
      </c>
      <c r="C3760">
        <v>77.099999999999994</v>
      </c>
      <c r="D3760">
        <v>73.2</v>
      </c>
      <c r="E3760">
        <v>74</v>
      </c>
      <c r="F3760">
        <v>74.3</v>
      </c>
      <c r="G3760">
        <v>0</v>
      </c>
      <c r="H3760">
        <v>0</v>
      </c>
      <c r="I3760">
        <v>0</v>
      </c>
      <c r="J3760">
        <v>0</v>
      </c>
      <c r="K3760">
        <v>62.9</v>
      </c>
      <c r="L3760">
        <v>62.4</v>
      </c>
      <c r="M3760">
        <v>74.61</v>
      </c>
      <c r="N3760">
        <v>12</v>
      </c>
      <c r="O3760">
        <v>4</v>
      </c>
      <c r="P3760">
        <f>MOD(DAY(datos_siembra[[#This Row],[Date]]),7)</f>
        <v>5</v>
      </c>
      <c r="Q3760" t="str">
        <f>CHOOSE(WEEKDAY(datos_siembra[[#This Row],[Date]],2),"L","M","X","J","V","S","D")</f>
        <v>S</v>
      </c>
      <c r="R3760">
        <f>WEEKNUM(datos_siembra[[#This Row],[Date]],2)-WEEKNUM(DATE(YEAR(datos_siembra[[#This Row],[Date]]),MONTH(datos_siembra[[#This Row],[Date]]),1))+1</f>
        <v>2</v>
      </c>
      <c r="S3760">
        <f>MONTH(datos_siembra[[#This Row],[Date]])</f>
        <v>10</v>
      </c>
      <c r="T3760" t="str" cm="1">
        <f t="array" ref="T3760">_xlfn.IFS(AND(N3760&lt;= 22, S3760=9), "SOWING",AND(N3760&lt;= 28, S3760=9), "COVERAGE",AND(N3760&lt;= 30, S3760=9), "FLUSH",AND(N3760&lt;= 11, S3760=10), "FLUSH",AND(N3760&lt;= 21, S3760=10), "PRODUCTION")</f>
        <v>PRODUCTION</v>
      </c>
      <c r="U3760">
        <f>HOUR(datos_siembra[[#This Row],[Hour]])</f>
        <v>21</v>
      </c>
      <c r="V3760" cm="1">
        <f t="array" ref="V3760">_xlfn.IFS(AND(N3760&lt;= 22, S3760=9), N3760-7,AND(N3760&lt;= 28, S3760=9), N3760-25,AND(N3760&lt;= 30, S3760=9), N3760-28,AND(N3760&lt;= 11, S3760=10), N3760+2,AND(N3760&lt;= 21, S3760=10), N3760-11)</f>
        <v>1</v>
      </c>
    </row>
    <row r="3761" spans="1:22" x14ac:dyDescent="0.35">
      <c r="A3761" s="4">
        <v>45577</v>
      </c>
      <c r="B3761" s="5">
        <v>0.91686342592592596</v>
      </c>
      <c r="C3761">
        <v>77.2</v>
      </c>
      <c r="D3761">
        <v>73.099999999999994</v>
      </c>
      <c r="E3761">
        <v>73.900000000000006</v>
      </c>
      <c r="F3761">
        <v>74.400000000000006</v>
      </c>
      <c r="G3761">
        <v>0</v>
      </c>
      <c r="H3761">
        <v>0</v>
      </c>
      <c r="I3761">
        <v>0</v>
      </c>
      <c r="J3761">
        <v>0</v>
      </c>
      <c r="K3761">
        <v>62.8</v>
      </c>
      <c r="L3761">
        <v>62.3</v>
      </c>
      <c r="M3761">
        <v>74.58</v>
      </c>
      <c r="N3761">
        <v>12</v>
      </c>
      <c r="O3761">
        <v>4</v>
      </c>
      <c r="P3761">
        <f>MOD(DAY(datos_siembra[[#This Row],[Date]]),7)</f>
        <v>5</v>
      </c>
      <c r="Q3761" t="str">
        <f>CHOOSE(WEEKDAY(datos_siembra[[#This Row],[Date]],2),"L","M","X","J","V","S","D")</f>
        <v>S</v>
      </c>
      <c r="R3761">
        <f>WEEKNUM(datos_siembra[[#This Row],[Date]],2)-WEEKNUM(DATE(YEAR(datos_siembra[[#This Row],[Date]]),MONTH(datos_siembra[[#This Row],[Date]]),1))+1</f>
        <v>2</v>
      </c>
      <c r="S3761">
        <f>MONTH(datos_siembra[[#This Row],[Date]])</f>
        <v>10</v>
      </c>
      <c r="T3761" t="str" cm="1">
        <f t="array" ref="T3761">_xlfn.IFS(AND(N3761&lt;= 22, S3761=9), "SOWING",AND(N3761&lt;= 28, S3761=9), "COVERAGE",AND(N3761&lt;= 30, S3761=9), "FLUSH",AND(N3761&lt;= 11, S3761=10), "FLUSH",AND(N3761&lt;= 21, S3761=10), "PRODUCTION")</f>
        <v>PRODUCTION</v>
      </c>
      <c r="U3761">
        <f>HOUR(datos_siembra[[#This Row],[Hour]])</f>
        <v>22</v>
      </c>
      <c r="V3761" cm="1">
        <f t="array" ref="V3761">_xlfn.IFS(AND(N3761&lt;= 22, S3761=9), N3761-7,AND(N3761&lt;= 28, S3761=9), N3761-25,AND(N3761&lt;= 30, S3761=9), N3761-28,AND(N3761&lt;= 11, S3761=10), N3761+2,AND(N3761&lt;= 21, S3761=10), N3761-11)</f>
        <v>1</v>
      </c>
    </row>
    <row r="3762" spans="1:22" x14ac:dyDescent="0.35">
      <c r="A3762" s="4">
        <v>45577</v>
      </c>
      <c r="B3762" s="5">
        <v>0.92381944444444442</v>
      </c>
      <c r="C3762">
        <v>77.2</v>
      </c>
      <c r="D3762">
        <v>73</v>
      </c>
      <c r="E3762">
        <v>73.900000000000006</v>
      </c>
      <c r="F3762">
        <v>74.5</v>
      </c>
      <c r="G3762">
        <v>0</v>
      </c>
      <c r="H3762">
        <v>0</v>
      </c>
      <c r="I3762">
        <v>0</v>
      </c>
      <c r="J3762">
        <v>0</v>
      </c>
      <c r="K3762">
        <v>62.8</v>
      </c>
      <c r="L3762">
        <v>62.4</v>
      </c>
      <c r="M3762">
        <v>74.67</v>
      </c>
      <c r="N3762">
        <v>12</v>
      </c>
      <c r="O3762">
        <v>4</v>
      </c>
      <c r="P3762">
        <f>MOD(DAY(datos_siembra[[#This Row],[Date]]),7)</f>
        <v>5</v>
      </c>
      <c r="Q3762" t="str">
        <f>CHOOSE(WEEKDAY(datos_siembra[[#This Row],[Date]],2),"L","M","X","J","V","S","D")</f>
        <v>S</v>
      </c>
      <c r="R3762">
        <f>WEEKNUM(datos_siembra[[#This Row],[Date]],2)-WEEKNUM(DATE(YEAR(datos_siembra[[#This Row],[Date]]),MONTH(datos_siembra[[#This Row],[Date]]),1))+1</f>
        <v>2</v>
      </c>
      <c r="S3762">
        <f>MONTH(datos_siembra[[#This Row],[Date]])</f>
        <v>10</v>
      </c>
      <c r="T3762" t="str" cm="1">
        <f t="array" ref="T3762">_xlfn.IFS(AND(N3762&lt;= 22, S3762=9), "SOWING",AND(N3762&lt;= 28, S3762=9), "COVERAGE",AND(N3762&lt;= 30, S3762=9), "FLUSH",AND(N3762&lt;= 11, S3762=10), "FLUSH",AND(N3762&lt;= 21, S3762=10), "PRODUCTION")</f>
        <v>PRODUCTION</v>
      </c>
      <c r="U3762">
        <f>HOUR(datos_siembra[[#This Row],[Hour]])</f>
        <v>22</v>
      </c>
      <c r="V3762" cm="1">
        <f t="array" ref="V3762">_xlfn.IFS(AND(N3762&lt;= 22, S3762=9), N3762-7,AND(N3762&lt;= 28, S3762=9), N3762-25,AND(N3762&lt;= 30, S3762=9), N3762-28,AND(N3762&lt;= 11, S3762=10), N3762+2,AND(N3762&lt;= 21, S3762=10), N3762-11)</f>
        <v>1</v>
      </c>
    </row>
    <row r="3763" spans="1:22" x14ac:dyDescent="0.35">
      <c r="A3763" s="4">
        <v>45577</v>
      </c>
      <c r="B3763" s="5">
        <v>0.93076388888888884</v>
      </c>
      <c r="C3763">
        <v>77.3</v>
      </c>
      <c r="D3763">
        <v>73.2</v>
      </c>
      <c r="E3763">
        <v>73.900000000000006</v>
      </c>
      <c r="F3763">
        <v>74.5</v>
      </c>
      <c r="G3763">
        <v>0</v>
      </c>
      <c r="H3763">
        <v>0</v>
      </c>
      <c r="I3763">
        <v>0</v>
      </c>
      <c r="J3763">
        <v>0</v>
      </c>
      <c r="K3763">
        <v>62.8</v>
      </c>
      <c r="L3763">
        <v>62.3</v>
      </c>
      <c r="M3763">
        <v>74.64</v>
      </c>
      <c r="N3763">
        <v>12</v>
      </c>
      <c r="O3763">
        <v>4</v>
      </c>
      <c r="P3763">
        <f>MOD(DAY(datos_siembra[[#This Row],[Date]]),7)</f>
        <v>5</v>
      </c>
      <c r="Q3763" t="str">
        <f>CHOOSE(WEEKDAY(datos_siembra[[#This Row],[Date]],2),"L","M","X","J","V","S","D")</f>
        <v>S</v>
      </c>
      <c r="R3763">
        <f>WEEKNUM(datos_siembra[[#This Row],[Date]],2)-WEEKNUM(DATE(YEAR(datos_siembra[[#This Row],[Date]]),MONTH(datos_siembra[[#This Row],[Date]]),1))+1</f>
        <v>2</v>
      </c>
      <c r="S3763">
        <f>MONTH(datos_siembra[[#This Row],[Date]])</f>
        <v>10</v>
      </c>
      <c r="T3763" t="str" cm="1">
        <f t="array" ref="T3763">_xlfn.IFS(AND(N3763&lt;= 22, S3763=9), "SOWING",AND(N3763&lt;= 28, S3763=9), "COVERAGE",AND(N3763&lt;= 30, S3763=9), "FLUSH",AND(N3763&lt;= 11, S3763=10), "FLUSH",AND(N3763&lt;= 21, S3763=10), "PRODUCTION")</f>
        <v>PRODUCTION</v>
      </c>
      <c r="U3763">
        <f>HOUR(datos_siembra[[#This Row],[Hour]])</f>
        <v>22</v>
      </c>
      <c r="V3763" cm="1">
        <f t="array" ref="V3763">_xlfn.IFS(AND(N3763&lt;= 22, S3763=9), N3763-7,AND(N3763&lt;= 28, S3763=9), N3763-25,AND(N3763&lt;= 30, S3763=9), N3763-28,AND(N3763&lt;= 11, S3763=10), N3763+2,AND(N3763&lt;= 21, S3763=10), N3763-11)</f>
        <v>1</v>
      </c>
    </row>
    <row r="3764" spans="1:22" x14ac:dyDescent="0.35">
      <c r="A3764" s="4">
        <v>45577</v>
      </c>
      <c r="B3764" s="5">
        <v>0.93770833333333337</v>
      </c>
      <c r="C3764">
        <v>77.3</v>
      </c>
      <c r="D3764">
        <v>73.099999999999994</v>
      </c>
      <c r="E3764">
        <v>73.7</v>
      </c>
      <c r="F3764">
        <v>74.599999999999994</v>
      </c>
      <c r="G3764">
        <v>0</v>
      </c>
      <c r="H3764">
        <v>0</v>
      </c>
      <c r="I3764">
        <v>0</v>
      </c>
      <c r="J3764">
        <v>0</v>
      </c>
      <c r="K3764">
        <v>62.8</v>
      </c>
      <c r="L3764">
        <v>62.4</v>
      </c>
      <c r="M3764">
        <v>74.69</v>
      </c>
      <c r="N3764">
        <v>12</v>
      </c>
      <c r="O3764">
        <v>4</v>
      </c>
      <c r="P3764">
        <f>MOD(DAY(datos_siembra[[#This Row],[Date]]),7)</f>
        <v>5</v>
      </c>
      <c r="Q3764" t="str">
        <f>CHOOSE(WEEKDAY(datos_siembra[[#This Row],[Date]],2),"L","M","X","J","V","S","D")</f>
        <v>S</v>
      </c>
      <c r="R3764">
        <f>WEEKNUM(datos_siembra[[#This Row],[Date]],2)-WEEKNUM(DATE(YEAR(datos_siembra[[#This Row],[Date]]),MONTH(datos_siembra[[#This Row],[Date]]),1))+1</f>
        <v>2</v>
      </c>
      <c r="S3764">
        <f>MONTH(datos_siembra[[#This Row],[Date]])</f>
        <v>10</v>
      </c>
      <c r="T3764" t="str" cm="1">
        <f t="array" ref="T3764">_xlfn.IFS(AND(N3764&lt;= 22, S3764=9), "SOWING",AND(N3764&lt;= 28, S3764=9), "COVERAGE",AND(N3764&lt;= 30, S3764=9), "FLUSH",AND(N3764&lt;= 11, S3764=10), "FLUSH",AND(N3764&lt;= 21, S3764=10), "PRODUCTION")</f>
        <v>PRODUCTION</v>
      </c>
      <c r="U3764">
        <f>HOUR(datos_siembra[[#This Row],[Hour]])</f>
        <v>22</v>
      </c>
      <c r="V3764" cm="1">
        <f t="array" ref="V3764">_xlfn.IFS(AND(N3764&lt;= 22, S3764=9), N3764-7,AND(N3764&lt;= 28, S3764=9), N3764-25,AND(N3764&lt;= 30, S3764=9), N3764-28,AND(N3764&lt;= 11, S3764=10), N3764+2,AND(N3764&lt;= 21, S3764=10), N3764-11)</f>
        <v>1</v>
      </c>
    </row>
    <row r="3765" spans="1:22" x14ac:dyDescent="0.35">
      <c r="A3765" s="4">
        <v>45577</v>
      </c>
      <c r="B3765" s="5">
        <v>0.94465277777777779</v>
      </c>
      <c r="C3765">
        <v>77.2</v>
      </c>
      <c r="D3765">
        <v>73.099999999999994</v>
      </c>
      <c r="E3765">
        <v>73.900000000000006</v>
      </c>
      <c r="F3765">
        <v>74.5</v>
      </c>
      <c r="G3765">
        <v>0</v>
      </c>
      <c r="H3765">
        <v>0</v>
      </c>
      <c r="I3765">
        <v>0</v>
      </c>
      <c r="J3765">
        <v>0</v>
      </c>
      <c r="K3765">
        <v>62.8</v>
      </c>
      <c r="L3765">
        <v>62.3</v>
      </c>
      <c r="M3765">
        <v>74.58</v>
      </c>
      <c r="N3765">
        <v>12</v>
      </c>
      <c r="O3765">
        <v>4</v>
      </c>
      <c r="P3765">
        <f>MOD(DAY(datos_siembra[[#This Row],[Date]]),7)</f>
        <v>5</v>
      </c>
      <c r="Q3765" t="str">
        <f>CHOOSE(WEEKDAY(datos_siembra[[#This Row],[Date]],2),"L","M","X","J","V","S","D")</f>
        <v>S</v>
      </c>
      <c r="R3765">
        <f>WEEKNUM(datos_siembra[[#This Row],[Date]],2)-WEEKNUM(DATE(YEAR(datos_siembra[[#This Row],[Date]]),MONTH(datos_siembra[[#This Row],[Date]]),1))+1</f>
        <v>2</v>
      </c>
      <c r="S3765">
        <f>MONTH(datos_siembra[[#This Row],[Date]])</f>
        <v>10</v>
      </c>
      <c r="T3765" t="str" cm="1">
        <f t="array" ref="T3765">_xlfn.IFS(AND(N3765&lt;= 22, S3765=9), "SOWING",AND(N3765&lt;= 28, S3765=9), "COVERAGE",AND(N3765&lt;= 30, S3765=9), "FLUSH",AND(N3765&lt;= 11, S3765=10), "FLUSH",AND(N3765&lt;= 21, S3765=10), "PRODUCTION")</f>
        <v>PRODUCTION</v>
      </c>
      <c r="U3765">
        <f>HOUR(datos_siembra[[#This Row],[Hour]])</f>
        <v>22</v>
      </c>
      <c r="V3765" cm="1">
        <f t="array" ref="V3765">_xlfn.IFS(AND(N3765&lt;= 22, S3765=9), N3765-7,AND(N3765&lt;= 28, S3765=9), N3765-25,AND(N3765&lt;= 30, S3765=9), N3765-28,AND(N3765&lt;= 11, S3765=10), N3765+2,AND(N3765&lt;= 21, S3765=10), N3765-11)</f>
        <v>1</v>
      </c>
    </row>
    <row r="3766" spans="1:22" x14ac:dyDescent="0.35">
      <c r="A3766" s="4">
        <v>45577</v>
      </c>
      <c r="B3766" s="5">
        <v>0.95160879629629624</v>
      </c>
      <c r="C3766">
        <v>77.099999999999994</v>
      </c>
      <c r="D3766">
        <v>72.8</v>
      </c>
      <c r="E3766">
        <v>74.099999999999994</v>
      </c>
      <c r="F3766">
        <v>74.5</v>
      </c>
      <c r="G3766">
        <v>0</v>
      </c>
      <c r="H3766">
        <v>0</v>
      </c>
      <c r="I3766">
        <v>0</v>
      </c>
      <c r="J3766">
        <v>0</v>
      </c>
      <c r="K3766">
        <v>62.8</v>
      </c>
      <c r="L3766">
        <v>62.3</v>
      </c>
      <c r="M3766">
        <v>74.67</v>
      </c>
      <c r="N3766">
        <v>12</v>
      </c>
      <c r="O3766">
        <v>4</v>
      </c>
      <c r="P3766">
        <f>MOD(DAY(datos_siembra[[#This Row],[Date]]),7)</f>
        <v>5</v>
      </c>
      <c r="Q3766" t="str">
        <f>CHOOSE(WEEKDAY(datos_siembra[[#This Row],[Date]],2),"L","M","X","J","V","S","D")</f>
        <v>S</v>
      </c>
      <c r="R3766">
        <f>WEEKNUM(datos_siembra[[#This Row],[Date]],2)-WEEKNUM(DATE(YEAR(datos_siembra[[#This Row],[Date]]),MONTH(datos_siembra[[#This Row],[Date]]),1))+1</f>
        <v>2</v>
      </c>
      <c r="S3766">
        <f>MONTH(datos_siembra[[#This Row],[Date]])</f>
        <v>10</v>
      </c>
      <c r="T3766" t="str" cm="1">
        <f t="array" ref="T3766">_xlfn.IFS(AND(N3766&lt;= 22, S3766=9), "SOWING",AND(N3766&lt;= 28, S3766=9), "COVERAGE",AND(N3766&lt;= 30, S3766=9), "FLUSH",AND(N3766&lt;= 11, S3766=10), "FLUSH",AND(N3766&lt;= 21, S3766=10), "PRODUCTION")</f>
        <v>PRODUCTION</v>
      </c>
      <c r="U3766">
        <f>HOUR(datos_siembra[[#This Row],[Hour]])</f>
        <v>22</v>
      </c>
      <c r="V3766" cm="1">
        <f t="array" ref="V3766">_xlfn.IFS(AND(N3766&lt;= 22, S3766=9), N3766-7,AND(N3766&lt;= 28, S3766=9), N3766-25,AND(N3766&lt;= 30, S3766=9), N3766-28,AND(N3766&lt;= 11, S3766=10), N3766+2,AND(N3766&lt;= 21, S3766=10), N3766-11)</f>
        <v>1</v>
      </c>
    </row>
    <row r="3767" spans="1:22" x14ac:dyDescent="0.35">
      <c r="A3767" s="4">
        <v>45577</v>
      </c>
      <c r="B3767" s="5">
        <v>0.95855324074074078</v>
      </c>
      <c r="C3767">
        <v>77.3</v>
      </c>
      <c r="D3767">
        <v>73</v>
      </c>
      <c r="E3767">
        <v>74.099999999999994</v>
      </c>
      <c r="F3767">
        <v>74.5</v>
      </c>
      <c r="G3767">
        <v>0</v>
      </c>
      <c r="H3767">
        <v>0</v>
      </c>
      <c r="I3767">
        <v>0</v>
      </c>
      <c r="J3767">
        <v>0</v>
      </c>
      <c r="K3767">
        <v>62.7</v>
      </c>
      <c r="L3767">
        <v>62.3</v>
      </c>
      <c r="M3767">
        <v>74.67</v>
      </c>
      <c r="N3767">
        <v>12</v>
      </c>
      <c r="O3767">
        <v>4</v>
      </c>
      <c r="P3767">
        <f>MOD(DAY(datos_siembra[[#This Row],[Date]]),7)</f>
        <v>5</v>
      </c>
      <c r="Q3767" t="str">
        <f>CHOOSE(WEEKDAY(datos_siembra[[#This Row],[Date]],2),"L","M","X","J","V","S","D")</f>
        <v>S</v>
      </c>
      <c r="R3767">
        <f>WEEKNUM(datos_siembra[[#This Row],[Date]],2)-WEEKNUM(DATE(YEAR(datos_siembra[[#This Row],[Date]]),MONTH(datos_siembra[[#This Row],[Date]]),1))+1</f>
        <v>2</v>
      </c>
      <c r="S3767">
        <f>MONTH(datos_siembra[[#This Row],[Date]])</f>
        <v>10</v>
      </c>
      <c r="T3767" t="str" cm="1">
        <f t="array" ref="T3767">_xlfn.IFS(AND(N3767&lt;= 22, S3767=9), "SOWING",AND(N3767&lt;= 28, S3767=9), "COVERAGE",AND(N3767&lt;= 30, S3767=9), "FLUSH",AND(N3767&lt;= 11, S3767=10), "FLUSH",AND(N3767&lt;= 21, S3767=10), "PRODUCTION")</f>
        <v>PRODUCTION</v>
      </c>
      <c r="U3767">
        <f>HOUR(datos_siembra[[#This Row],[Hour]])</f>
        <v>23</v>
      </c>
      <c r="V3767" cm="1">
        <f t="array" ref="V3767">_xlfn.IFS(AND(N3767&lt;= 22, S3767=9), N3767-7,AND(N3767&lt;= 28, S3767=9), N3767-25,AND(N3767&lt;= 30, S3767=9), N3767-28,AND(N3767&lt;= 11, S3767=10), N3767+2,AND(N3767&lt;= 21, S3767=10), N3767-11)</f>
        <v>1</v>
      </c>
    </row>
    <row r="3768" spans="1:22" x14ac:dyDescent="0.35">
      <c r="A3768" s="4">
        <v>45577</v>
      </c>
      <c r="B3768" s="5">
        <v>0.96549768518518519</v>
      </c>
      <c r="C3768">
        <v>77.3</v>
      </c>
      <c r="D3768">
        <v>72.8</v>
      </c>
      <c r="E3768">
        <v>74.3</v>
      </c>
      <c r="F3768">
        <v>74.5</v>
      </c>
      <c r="G3768">
        <v>0</v>
      </c>
      <c r="H3768">
        <v>0</v>
      </c>
      <c r="I3768">
        <v>0</v>
      </c>
      <c r="J3768">
        <v>0</v>
      </c>
      <c r="K3768">
        <v>62.7</v>
      </c>
      <c r="L3768">
        <v>62.3</v>
      </c>
      <c r="M3768">
        <v>74.75</v>
      </c>
      <c r="N3768">
        <v>12</v>
      </c>
      <c r="O3768">
        <v>4</v>
      </c>
      <c r="P3768">
        <f>MOD(DAY(datos_siembra[[#This Row],[Date]]),7)</f>
        <v>5</v>
      </c>
      <c r="Q3768" t="str">
        <f>CHOOSE(WEEKDAY(datos_siembra[[#This Row],[Date]],2),"L","M","X","J","V","S","D")</f>
        <v>S</v>
      </c>
      <c r="R3768">
        <f>WEEKNUM(datos_siembra[[#This Row],[Date]],2)-WEEKNUM(DATE(YEAR(datos_siembra[[#This Row],[Date]]),MONTH(datos_siembra[[#This Row],[Date]]),1))+1</f>
        <v>2</v>
      </c>
      <c r="S3768">
        <f>MONTH(datos_siembra[[#This Row],[Date]])</f>
        <v>10</v>
      </c>
      <c r="T3768" t="str" cm="1">
        <f t="array" ref="T3768">_xlfn.IFS(AND(N3768&lt;= 22, S3768=9), "SOWING",AND(N3768&lt;= 28, S3768=9), "COVERAGE",AND(N3768&lt;= 30, S3768=9), "FLUSH",AND(N3768&lt;= 11, S3768=10), "FLUSH",AND(N3768&lt;= 21, S3768=10), "PRODUCTION")</f>
        <v>PRODUCTION</v>
      </c>
      <c r="U3768">
        <f>HOUR(datos_siembra[[#This Row],[Hour]])</f>
        <v>23</v>
      </c>
      <c r="V3768" cm="1">
        <f t="array" ref="V3768">_xlfn.IFS(AND(N3768&lt;= 22, S3768=9), N3768-7,AND(N3768&lt;= 28, S3768=9), N3768-25,AND(N3768&lt;= 30, S3768=9), N3768-28,AND(N3768&lt;= 11, S3768=10), N3768+2,AND(N3768&lt;= 21, S3768=10), N3768-11)</f>
        <v>1</v>
      </c>
    </row>
    <row r="3769" spans="1:22" x14ac:dyDescent="0.35">
      <c r="A3769" s="4">
        <v>45577</v>
      </c>
      <c r="B3769" s="5">
        <v>0.97245370370370365</v>
      </c>
      <c r="C3769">
        <v>77.2</v>
      </c>
      <c r="D3769">
        <v>72.8</v>
      </c>
      <c r="E3769">
        <v>74.3</v>
      </c>
      <c r="F3769">
        <v>74.400000000000006</v>
      </c>
      <c r="G3769">
        <v>0</v>
      </c>
      <c r="H3769">
        <v>0</v>
      </c>
      <c r="I3769">
        <v>0</v>
      </c>
      <c r="J3769">
        <v>0</v>
      </c>
      <c r="K3769">
        <v>62.8</v>
      </c>
      <c r="L3769">
        <v>62.2</v>
      </c>
      <c r="M3769">
        <v>74.72</v>
      </c>
      <c r="N3769">
        <v>12</v>
      </c>
      <c r="O3769">
        <v>4</v>
      </c>
      <c r="P3769">
        <f>MOD(DAY(datos_siembra[[#This Row],[Date]]),7)</f>
        <v>5</v>
      </c>
      <c r="Q3769" t="str">
        <f>CHOOSE(WEEKDAY(datos_siembra[[#This Row],[Date]],2),"L","M","X","J","V","S","D")</f>
        <v>S</v>
      </c>
      <c r="R3769">
        <f>WEEKNUM(datos_siembra[[#This Row],[Date]],2)-WEEKNUM(DATE(YEAR(datos_siembra[[#This Row],[Date]]),MONTH(datos_siembra[[#This Row],[Date]]),1))+1</f>
        <v>2</v>
      </c>
      <c r="S3769">
        <f>MONTH(datos_siembra[[#This Row],[Date]])</f>
        <v>10</v>
      </c>
      <c r="T3769" t="str" cm="1">
        <f t="array" ref="T3769">_xlfn.IFS(AND(N3769&lt;= 22, S3769=9), "SOWING",AND(N3769&lt;= 28, S3769=9), "COVERAGE",AND(N3769&lt;= 30, S3769=9), "FLUSH",AND(N3769&lt;= 11, S3769=10), "FLUSH",AND(N3769&lt;= 21, S3769=10), "PRODUCTION")</f>
        <v>PRODUCTION</v>
      </c>
      <c r="U3769">
        <f>HOUR(datos_siembra[[#This Row],[Hour]])</f>
        <v>23</v>
      </c>
      <c r="V3769" cm="1">
        <f t="array" ref="V3769">_xlfn.IFS(AND(N3769&lt;= 22, S3769=9), N3769-7,AND(N3769&lt;= 28, S3769=9), N3769-25,AND(N3769&lt;= 30, S3769=9), N3769-28,AND(N3769&lt;= 11, S3769=10), N3769+2,AND(N3769&lt;= 21, S3769=10), N3769-11)</f>
        <v>1</v>
      </c>
    </row>
    <row r="3770" spans="1:22" x14ac:dyDescent="0.35">
      <c r="A3770" s="4">
        <v>45577</v>
      </c>
      <c r="B3770" s="5">
        <v>0.97939814814814818</v>
      </c>
      <c r="C3770">
        <v>77.2</v>
      </c>
      <c r="D3770">
        <v>72.7</v>
      </c>
      <c r="E3770">
        <v>74.400000000000006</v>
      </c>
      <c r="F3770">
        <v>74.3</v>
      </c>
      <c r="G3770">
        <v>0</v>
      </c>
      <c r="H3770">
        <v>0</v>
      </c>
      <c r="I3770">
        <v>0</v>
      </c>
      <c r="J3770">
        <v>0</v>
      </c>
      <c r="K3770">
        <v>62.8</v>
      </c>
      <c r="L3770">
        <v>62.4</v>
      </c>
      <c r="M3770">
        <v>74.72</v>
      </c>
      <c r="N3770">
        <v>12</v>
      </c>
      <c r="O3770">
        <v>4</v>
      </c>
      <c r="P3770">
        <f>MOD(DAY(datos_siembra[[#This Row],[Date]]),7)</f>
        <v>5</v>
      </c>
      <c r="Q3770" t="str">
        <f>CHOOSE(WEEKDAY(datos_siembra[[#This Row],[Date]],2),"L","M","X","J","V","S","D")</f>
        <v>S</v>
      </c>
      <c r="R3770">
        <f>WEEKNUM(datos_siembra[[#This Row],[Date]],2)-WEEKNUM(DATE(YEAR(datos_siembra[[#This Row],[Date]]),MONTH(datos_siembra[[#This Row],[Date]]),1))+1</f>
        <v>2</v>
      </c>
      <c r="S3770">
        <f>MONTH(datos_siembra[[#This Row],[Date]])</f>
        <v>10</v>
      </c>
      <c r="T3770" t="str" cm="1">
        <f t="array" ref="T3770">_xlfn.IFS(AND(N3770&lt;= 22, S3770=9), "SOWING",AND(N3770&lt;= 28, S3770=9), "COVERAGE",AND(N3770&lt;= 30, S3770=9), "FLUSH",AND(N3770&lt;= 11, S3770=10), "FLUSH",AND(N3770&lt;= 21, S3770=10), "PRODUCTION")</f>
        <v>PRODUCTION</v>
      </c>
      <c r="U3770">
        <f>HOUR(datos_siembra[[#This Row],[Hour]])</f>
        <v>23</v>
      </c>
      <c r="V3770" cm="1">
        <f t="array" ref="V3770">_xlfn.IFS(AND(N3770&lt;= 22, S3770=9), N3770-7,AND(N3770&lt;= 28, S3770=9), N3770-25,AND(N3770&lt;= 30, S3770=9), N3770-28,AND(N3770&lt;= 11, S3770=10), N3770+2,AND(N3770&lt;= 21, S3770=10), N3770-11)</f>
        <v>1</v>
      </c>
    </row>
    <row r="3771" spans="1:22" x14ac:dyDescent="0.35">
      <c r="A3771" s="4">
        <v>45577</v>
      </c>
      <c r="B3771" s="5">
        <v>0.9863425925925926</v>
      </c>
      <c r="C3771">
        <v>77.2</v>
      </c>
      <c r="D3771">
        <v>73</v>
      </c>
      <c r="E3771">
        <v>74.5</v>
      </c>
      <c r="F3771">
        <v>74.400000000000006</v>
      </c>
      <c r="G3771">
        <v>0</v>
      </c>
      <c r="H3771">
        <v>0</v>
      </c>
      <c r="I3771">
        <v>0</v>
      </c>
      <c r="J3771">
        <v>0</v>
      </c>
      <c r="K3771">
        <v>62.8</v>
      </c>
      <c r="L3771">
        <v>62.3</v>
      </c>
      <c r="M3771">
        <v>74.78</v>
      </c>
      <c r="N3771">
        <v>12</v>
      </c>
      <c r="O3771">
        <v>4</v>
      </c>
      <c r="P3771">
        <f>MOD(DAY(datos_siembra[[#This Row],[Date]]),7)</f>
        <v>5</v>
      </c>
      <c r="Q3771" t="str">
        <f>CHOOSE(WEEKDAY(datos_siembra[[#This Row],[Date]],2),"L","M","X","J","V","S","D")</f>
        <v>S</v>
      </c>
      <c r="R3771">
        <f>WEEKNUM(datos_siembra[[#This Row],[Date]],2)-WEEKNUM(DATE(YEAR(datos_siembra[[#This Row],[Date]]),MONTH(datos_siembra[[#This Row],[Date]]),1))+1</f>
        <v>2</v>
      </c>
      <c r="S3771">
        <f>MONTH(datos_siembra[[#This Row],[Date]])</f>
        <v>10</v>
      </c>
      <c r="T3771" t="str" cm="1">
        <f t="array" ref="T3771">_xlfn.IFS(AND(N3771&lt;= 22, S3771=9), "SOWING",AND(N3771&lt;= 28, S3771=9), "COVERAGE",AND(N3771&lt;= 30, S3771=9), "FLUSH",AND(N3771&lt;= 11, S3771=10), "FLUSH",AND(N3771&lt;= 21, S3771=10), "PRODUCTION")</f>
        <v>PRODUCTION</v>
      </c>
      <c r="U3771">
        <f>HOUR(datos_siembra[[#This Row],[Hour]])</f>
        <v>23</v>
      </c>
      <c r="V3771" cm="1">
        <f t="array" ref="V3771">_xlfn.IFS(AND(N3771&lt;= 22, S3771=9), N3771-7,AND(N3771&lt;= 28, S3771=9), N3771-25,AND(N3771&lt;= 30, S3771=9), N3771-28,AND(N3771&lt;= 11, S3771=10), N3771+2,AND(N3771&lt;= 21, S3771=10), N3771-11)</f>
        <v>1</v>
      </c>
    </row>
    <row r="3772" spans="1:22" x14ac:dyDescent="0.35">
      <c r="A3772" s="4">
        <v>45577</v>
      </c>
      <c r="B3772" s="5">
        <v>0.99328703703703702</v>
      </c>
      <c r="C3772">
        <v>77.099999999999994</v>
      </c>
      <c r="D3772">
        <v>72.8</v>
      </c>
      <c r="E3772">
        <v>74.8</v>
      </c>
      <c r="F3772">
        <v>74.3</v>
      </c>
      <c r="G3772">
        <v>0</v>
      </c>
      <c r="H3772">
        <v>0</v>
      </c>
      <c r="I3772">
        <v>0</v>
      </c>
      <c r="J3772">
        <v>0</v>
      </c>
      <c r="K3772">
        <v>62.8</v>
      </c>
      <c r="L3772">
        <v>62.4</v>
      </c>
      <c r="M3772">
        <v>74.75</v>
      </c>
      <c r="N3772">
        <v>12</v>
      </c>
      <c r="O3772">
        <v>4</v>
      </c>
      <c r="P3772">
        <f>MOD(DAY(datos_siembra[[#This Row],[Date]]),7)</f>
        <v>5</v>
      </c>
      <c r="Q3772" t="str">
        <f>CHOOSE(WEEKDAY(datos_siembra[[#This Row],[Date]],2),"L","M","X","J","V","S","D")</f>
        <v>S</v>
      </c>
      <c r="R3772">
        <f>WEEKNUM(datos_siembra[[#This Row],[Date]],2)-WEEKNUM(DATE(YEAR(datos_siembra[[#This Row],[Date]]),MONTH(datos_siembra[[#This Row],[Date]]),1))+1</f>
        <v>2</v>
      </c>
      <c r="S3772">
        <f>MONTH(datos_siembra[[#This Row],[Date]])</f>
        <v>10</v>
      </c>
      <c r="T3772" t="str" cm="1">
        <f t="array" ref="T3772">_xlfn.IFS(AND(N3772&lt;= 22, S3772=9), "SOWING",AND(N3772&lt;= 28, S3772=9), "COVERAGE",AND(N3772&lt;= 30, S3772=9), "FLUSH",AND(N3772&lt;= 11, S3772=10), "FLUSH",AND(N3772&lt;= 21, S3772=10), "PRODUCTION")</f>
        <v>PRODUCTION</v>
      </c>
      <c r="U3772">
        <f>HOUR(datos_siembra[[#This Row],[Hour]])</f>
        <v>23</v>
      </c>
      <c r="V3772" cm="1">
        <f t="array" ref="V3772">_xlfn.IFS(AND(N3772&lt;= 22, S3772=9), N3772-7,AND(N3772&lt;= 28, S3772=9), N3772-25,AND(N3772&lt;= 30, S3772=9), N3772-28,AND(N3772&lt;= 11, S3772=10), N3772+2,AND(N3772&lt;= 21, S3772=10), N3772-11)</f>
        <v>1</v>
      </c>
    </row>
    <row r="3773" spans="1:22" x14ac:dyDescent="0.35">
      <c r="A3773" s="4">
        <v>45578</v>
      </c>
      <c r="B3773" s="5">
        <v>2.4305555555555555E-4</v>
      </c>
      <c r="C3773">
        <v>77.2</v>
      </c>
      <c r="D3773">
        <v>72.8</v>
      </c>
      <c r="E3773">
        <v>74.8</v>
      </c>
      <c r="F3773">
        <v>74.2</v>
      </c>
      <c r="G3773">
        <v>0</v>
      </c>
      <c r="H3773">
        <v>0</v>
      </c>
      <c r="I3773">
        <v>0</v>
      </c>
      <c r="J3773">
        <v>0</v>
      </c>
      <c r="K3773">
        <v>63</v>
      </c>
      <c r="L3773">
        <v>62.6</v>
      </c>
      <c r="M3773">
        <v>74.81</v>
      </c>
      <c r="N3773">
        <v>13</v>
      </c>
      <c r="O3773">
        <v>5</v>
      </c>
      <c r="P3773">
        <f>MOD(DAY(datos_siembra[[#This Row],[Date]]),7)</f>
        <v>6</v>
      </c>
      <c r="Q3773" t="str">
        <f>CHOOSE(WEEKDAY(datos_siembra[[#This Row],[Date]],2),"L","M","X","J","V","S","D")</f>
        <v>D</v>
      </c>
      <c r="R3773">
        <f>WEEKNUM(datos_siembra[[#This Row],[Date]],2)-WEEKNUM(DATE(YEAR(datos_siembra[[#This Row],[Date]]),MONTH(datos_siembra[[#This Row],[Date]]),1))+1</f>
        <v>2</v>
      </c>
      <c r="S3773">
        <f>MONTH(datos_siembra[[#This Row],[Date]])</f>
        <v>10</v>
      </c>
      <c r="T3773" t="str" cm="1">
        <f t="array" ref="T3773">_xlfn.IFS(AND(N3773&lt;= 22, S3773=9), "SOWING",AND(N3773&lt;= 28, S3773=9), "COVERAGE",AND(N3773&lt;= 30, S3773=9), "FLUSH",AND(N3773&lt;= 11, S3773=10), "FLUSH",AND(N3773&lt;= 21, S3773=10), "PRODUCTION")</f>
        <v>PRODUCTION</v>
      </c>
      <c r="U3773">
        <f>HOUR(datos_siembra[[#This Row],[Hour]])</f>
        <v>0</v>
      </c>
      <c r="V3773" cm="1">
        <f t="array" ref="V3773">_xlfn.IFS(AND(N3773&lt;= 22, S3773=9), N3773-7,AND(N3773&lt;= 28, S3773=9), N3773-25,AND(N3773&lt;= 30, S3773=9), N3773-28,AND(N3773&lt;= 11, S3773=10), N3773+2,AND(N3773&lt;= 21, S3773=10), N3773-11)</f>
        <v>2</v>
      </c>
    </row>
    <row r="3774" spans="1:22" x14ac:dyDescent="0.35">
      <c r="A3774" s="4">
        <v>45578</v>
      </c>
      <c r="B3774" s="5">
        <v>7.1875000000000003E-3</v>
      </c>
      <c r="C3774">
        <v>77.099999999999994</v>
      </c>
      <c r="D3774">
        <v>72.8</v>
      </c>
      <c r="E3774">
        <v>74.8</v>
      </c>
      <c r="F3774">
        <v>74.099999999999994</v>
      </c>
      <c r="G3774">
        <v>0</v>
      </c>
      <c r="H3774">
        <v>0</v>
      </c>
      <c r="I3774">
        <v>0</v>
      </c>
      <c r="J3774">
        <v>0</v>
      </c>
      <c r="K3774">
        <v>63.2</v>
      </c>
      <c r="L3774">
        <v>62.7</v>
      </c>
      <c r="M3774">
        <v>74.75</v>
      </c>
      <c r="N3774">
        <v>13</v>
      </c>
      <c r="O3774">
        <v>5</v>
      </c>
      <c r="P3774">
        <f>MOD(DAY(datos_siembra[[#This Row],[Date]]),7)</f>
        <v>6</v>
      </c>
      <c r="Q3774" t="str">
        <f>CHOOSE(WEEKDAY(datos_siembra[[#This Row],[Date]],2),"L","M","X","J","V","S","D")</f>
        <v>D</v>
      </c>
      <c r="R3774">
        <f>WEEKNUM(datos_siembra[[#This Row],[Date]],2)-WEEKNUM(DATE(YEAR(datos_siembra[[#This Row],[Date]]),MONTH(datos_siembra[[#This Row],[Date]]),1))+1</f>
        <v>2</v>
      </c>
      <c r="S3774">
        <f>MONTH(datos_siembra[[#This Row],[Date]])</f>
        <v>10</v>
      </c>
      <c r="T3774" t="str" cm="1">
        <f t="array" ref="T3774">_xlfn.IFS(AND(N3774&lt;= 22, S3774=9), "SOWING",AND(N3774&lt;= 28, S3774=9), "COVERAGE",AND(N3774&lt;= 30, S3774=9), "FLUSH",AND(N3774&lt;= 11, S3774=10), "FLUSH",AND(N3774&lt;= 21, S3774=10), "PRODUCTION")</f>
        <v>PRODUCTION</v>
      </c>
      <c r="U3774">
        <f>HOUR(datos_siembra[[#This Row],[Hour]])</f>
        <v>0</v>
      </c>
      <c r="V3774" cm="1">
        <f t="array" ref="V3774">_xlfn.IFS(AND(N3774&lt;= 22, S3774=9), N3774-7,AND(N3774&lt;= 28, S3774=9), N3774-25,AND(N3774&lt;= 30, S3774=9), N3774-28,AND(N3774&lt;= 11, S3774=10), N3774+2,AND(N3774&lt;= 21, S3774=10), N3774-11)</f>
        <v>2</v>
      </c>
    </row>
    <row r="3775" spans="1:22" x14ac:dyDescent="0.35">
      <c r="A3775" s="4">
        <v>45578</v>
      </c>
      <c r="B3775" s="5">
        <v>1.4131944444444445E-2</v>
      </c>
      <c r="C3775">
        <v>77.2</v>
      </c>
      <c r="D3775">
        <v>72.8</v>
      </c>
      <c r="E3775">
        <v>75</v>
      </c>
      <c r="F3775">
        <v>74.400000000000006</v>
      </c>
      <c r="G3775">
        <v>0</v>
      </c>
      <c r="H3775">
        <v>0</v>
      </c>
      <c r="I3775">
        <v>0</v>
      </c>
      <c r="J3775">
        <v>0</v>
      </c>
      <c r="K3775">
        <v>63.5</v>
      </c>
      <c r="L3775">
        <v>62.9</v>
      </c>
      <c r="M3775">
        <v>74.81</v>
      </c>
      <c r="N3775">
        <v>13</v>
      </c>
      <c r="O3775">
        <v>5</v>
      </c>
      <c r="P3775">
        <f>MOD(DAY(datos_siembra[[#This Row],[Date]]),7)</f>
        <v>6</v>
      </c>
      <c r="Q3775" t="str">
        <f>CHOOSE(WEEKDAY(datos_siembra[[#This Row],[Date]],2),"L","M","X","J","V","S","D")</f>
        <v>D</v>
      </c>
      <c r="R3775">
        <f>WEEKNUM(datos_siembra[[#This Row],[Date]],2)-WEEKNUM(DATE(YEAR(datos_siembra[[#This Row],[Date]]),MONTH(datos_siembra[[#This Row],[Date]]),1))+1</f>
        <v>2</v>
      </c>
      <c r="S3775">
        <f>MONTH(datos_siembra[[#This Row],[Date]])</f>
        <v>10</v>
      </c>
      <c r="T3775" t="str" cm="1">
        <f t="array" ref="T3775">_xlfn.IFS(AND(N3775&lt;= 22, S3775=9), "SOWING",AND(N3775&lt;= 28, S3775=9), "COVERAGE",AND(N3775&lt;= 30, S3775=9), "FLUSH",AND(N3775&lt;= 11, S3775=10), "FLUSH",AND(N3775&lt;= 21, S3775=10), "PRODUCTION")</f>
        <v>PRODUCTION</v>
      </c>
      <c r="U3775">
        <f>HOUR(datos_siembra[[#This Row],[Hour]])</f>
        <v>0</v>
      </c>
      <c r="V3775" cm="1">
        <f t="array" ref="V3775">_xlfn.IFS(AND(N3775&lt;= 22, S3775=9), N3775-7,AND(N3775&lt;= 28, S3775=9), N3775-25,AND(N3775&lt;= 30, S3775=9), N3775-28,AND(N3775&lt;= 11, S3775=10), N3775+2,AND(N3775&lt;= 21, S3775=10), N3775-11)</f>
        <v>2</v>
      </c>
    </row>
    <row r="3776" spans="1:22" x14ac:dyDescent="0.35">
      <c r="A3776" s="4">
        <v>45578</v>
      </c>
      <c r="B3776" s="5">
        <v>2.1076388888888888E-2</v>
      </c>
      <c r="C3776">
        <v>77.2</v>
      </c>
      <c r="D3776">
        <v>72.599999999999994</v>
      </c>
      <c r="E3776">
        <v>75</v>
      </c>
      <c r="F3776">
        <v>74.3</v>
      </c>
      <c r="G3776">
        <v>0</v>
      </c>
      <c r="H3776">
        <v>0</v>
      </c>
      <c r="I3776">
        <v>0</v>
      </c>
      <c r="J3776">
        <v>0</v>
      </c>
      <c r="K3776">
        <v>63.5</v>
      </c>
      <c r="L3776">
        <v>62.9</v>
      </c>
      <c r="M3776">
        <v>74.75</v>
      </c>
      <c r="N3776">
        <v>13</v>
      </c>
      <c r="O3776">
        <v>5</v>
      </c>
      <c r="P3776">
        <f>MOD(DAY(datos_siembra[[#This Row],[Date]]),7)</f>
        <v>6</v>
      </c>
      <c r="Q3776" t="str">
        <f>CHOOSE(WEEKDAY(datos_siembra[[#This Row],[Date]],2),"L","M","X","J","V","S","D")</f>
        <v>D</v>
      </c>
      <c r="R3776">
        <f>WEEKNUM(datos_siembra[[#This Row],[Date]],2)-WEEKNUM(DATE(YEAR(datos_siembra[[#This Row],[Date]]),MONTH(datos_siembra[[#This Row],[Date]]),1))+1</f>
        <v>2</v>
      </c>
      <c r="S3776">
        <f>MONTH(datos_siembra[[#This Row],[Date]])</f>
        <v>10</v>
      </c>
      <c r="T3776" t="str" cm="1">
        <f t="array" ref="T3776">_xlfn.IFS(AND(N3776&lt;= 22, S3776=9), "SOWING",AND(N3776&lt;= 28, S3776=9), "COVERAGE",AND(N3776&lt;= 30, S3776=9), "FLUSH",AND(N3776&lt;= 11, S3776=10), "FLUSH",AND(N3776&lt;= 21, S3776=10), "PRODUCTION")</f>
        <v>PRODUCTION</v>
      </c>
      <c r="U3776">
        <f>HOUR(datos_siembra[[#This Row],[Hour]])</f>
        <v>0</v>
      </c>
      <c r="V3776" cm="1">
        <f t="array" ref="V3776">_xlfn.IFS(AND(N3776&lt;= 22, S3776=9), N3776-7,AND(N3776&lt;= 28, S3776=9), N3776-25,AND(N3776&lt;= 30, S3776=9), N3776-28,AND(N3776&lt;= 11, S3776=10), N3776+2,AND(N3776&lt;= 21, S3776=10), N3776-11)</f>
        <v>2</v>
      </c>
    </row>
    <row r="3777" spans="1:22" x14ac:dyDescent="0.35">
      <c r="A3777" s="4">
        <v>45578</v>
      </c>
      <c r="B3777" s="5">
        <v>2.8032407407407409E-2</v>
      </c>
      <c r="C3777">
        <v>77.099999999999994</v>
      </c>
      <c r="D3777">
        <v>72.7</v>
      </c>
      <c r="E3777">
        <v>75</v>
      </c>
      <c r="F3777">
        <v>74.2</v>
      </c>
      <c r="G3777">
        <v>0</v>
      </c>
      <c r="H3777">
        <v>0</v>
      </c>
      <c r="I3777">
        <v>0</v>
      </c>
      <c r="J3777">
        <v>0</v>
      </c>
      <c r="K3777">
        <v>63.6</v>
      </c>
      <c r="L3777">
        <v>63.2</v>
      </c>
      <c r="M3777">
        <v>74.69</v>
      </c>
      <c r="N3777">
        <v>13</v>
      </c>
      <c r="O3777">
        <v>5</v>
      </c>
      <c r="P3777">
        <f>MOD(DAY(datos_siembra[[#This Row],[Date]]),7)</f>
        <v>6</v>
      </c>
      <c r="Q3777" t="str">
        <f>CHOOSE(WEEKDAY(datos_siembra[[#This Row],[Date]],2),"L","M","X","J","V","S","D")</f>
        <v>D</v>
      </c>
      <c r="R3777">
        <f>WEEKNUM(datos_siembra[[#This Row],[Date]],2)-WEEKNUM(DATE(YEAR(datos_siembra[[#This Row],[Date]]),MONTH(datos_siembra[[#This Row],[Date]]),1))+1</f>
        <v>2</v>
      </c>
      <c r="S3777">
        <f>MONTH(datos_siembra[[#This Row],[Date]])</f>
        <v>10</v>
      </c>
      <c r="T3777" t="str" cm="1">
        <f t="array" ref="T3777">_xlfn.IFS(AND(N3777&lt;= 22, S3777=9), "SOWING",AND(N3777&lt;= 28, S3777=9), "COVERAGE",AND(N3777&lt;= 30, S3777=9), "FLUSH",AND(N3777&lt;= 11, S3777=10), "FLUSH",AND(N3777&lt;= 21, S3777=10), "PRODUCTION")</f>
        <v>PRODUCTION</v>
      </c>
      <c r="U3777">
        <f>HOUR(datos_siembra[[#This Row],[Hour]])</f>
        <v>0</v>
      </c>
      <c r="V3777" cm="1">
        <f t="array" ref="V3777">_xlfn.IFS(AND(N3777&lt;= 22, S3777=9), N3777-7,AND(N3777&lt;= 28, S3777=9), N3777-25,AND(N3777&lt;= 30, S3777=9), N3777-28,AND(N3777&lt;= 11, S3777=10), N3777+2,AND(N3777&lt;= 21, S3777=10), N3777-11)</f>
        <v>2</v>
      </c>
    </row>
    <row r="3778" spans="1:22" x14ac:dyDescent="0.35">
      <c r="A3778" s="4">
        <v>45578</v>
      </c>
      <c r="B3778" s="5">
        <v>3.4976851851851849E-2</v>
      </c>
      <c r="C3778">
        <v>77</v>
      </c>
      <c r="D3778">
        <v>72.7</v>
      </c>
      <c r="E3778">
        <v>75.099999999999994</v>
      </c>
      <c r="F3778">
        <v>74.2</v>
      </c>
      <c r="G3778">
        <v>0</v>
      </c>
      <c r="H3778">
        <v>0</v>
      </c>
      <c r="I3778">
        <v>0</v>
      </c>
      <c r="J3778">
        <v>0</v>
      </c>
      <c r="K3778">
        <v>63.8</v>
      </c>
      <c r="L3778">
        <v>63.2</v>
      </c>
      <c r="M3778">
        <v>74.78</v>
      </c>
      <c r="N3778">
        <v>13</v>
      </c>
      <c r="O3778">
        <v>5</v>
      </c>
      <c r="P3778">
        <f>MOD(DAY(datos_siembra[[#This Row],[Date]]),7)</f>
        <v>6</v>
      </c>
      <c r="Q3778" t="str">
        <f>CHOOSE(WEEKDAY(datos_siembra[[#This Row],[Date]],2),"L","M","X","J","V","S","D")</f>
        <v>D</v>
      </c>
      <c r="R3778">
        <f>WEEKNUM(datos_siembra[[#This Row],[Date]],2)-WEEKNUM(DATE(YEAR(datos_siembra[[#This Row],[Date]]),MONTH(datos_siembra[[#This Row],[Date]]),1))+1</f>
        <v>2</v>
      </c>
      <c r="S3778">
        <f>MONTH(datos_siembra[[#This Row],[Date]])</f>
        <v>10</v>
      </c>
      <c r="T3778" t="str" cm="1">
        <f t="array" ref="T3778">_xlfn.IFS(AND(N3778&lt;= 22, S3778=9), "SOWING",AND(N3778&lt;= 28, S3778=9), "COVERAGE",AND(N3778&lt;= 30, S3778=9), "FLUSH",AND(N3778&lt;= 11, S3778=10), "FLUSH",AND(N3778&lt;= 21, S3778=10), "PRODUCTION")</f>
        <v>PRODUCTION</v>
      </c>
      <c r="U3778">
        <f>HOUR(datos_siembra[[#This Row],[Hour]])</f>
        <v>0</v>
      </c>
      <c r="V3778" cm="1">
        <f t="array" ref="V3778">_xlfn.IFS(AND(N3778&lt;= 22, S3778=9), N3778-7,AND(N3778&lt;= 28, S3778=9), N3778-25,AND(N3778&lt;= 30, S3778=9), N3778-28,AND(N3778&lt;= 11, S3778=10), N3778+2,AND(N3778&lt;= 21, S3778=10), N3778-11)</f>
        <v>2</v>
      </c>
    </row>
    <row r="3779" spans="1:22" x14ac:dyDescent="0.35">
      <c r="A3779" s="4">
        <v>45578</v>
      </c>
      <c r="B3779" s="5">
        <v>4.1921296296296297E-2</v>
      </c>
      <c r="C3779">
        <v>77.099999999999994</v>
      </c>
      <c r="D3779">
        <v>72.599999999999994</v>
      </c>
      <c r="E3779">
        <v>75.099999999999994</v>
      </c>
      <c r="F3779">
        <v>74.3</v>
      </c>
      <c r="G3779">
        <v>0</v>
      </c>
      <c r="H3779">
        <v>0</v>
      </c>
      <c r="I3779">
        <v>0</v>
      </c>
      <c r="J3779">
        <v>0</v>
      </c>
      <c r="K3779">
        <v>63.5</v>
      </c>
      <c r="L3779">
        <v>63.2</v>
      </c>
      <c r="M3779">
        <v>74.75</v>
      </c>
      <c r="N3779">
        <v>13</v>
      </c>
      <c r="O3779">
        <v>5</v>
      </c>
      <c r="P3779">
        <f>MOD(DAY(datos_siembra[[#This Row],[Date]]),7)</f>
        <v>6</v>
      </c>
      <c r="Q3779" t="str">
        <f>CHOOSE(WEEKDAY(datos_siembra[[#This Row],[Date]],2),"L","M","X","J","V","S","D")</f>
        <v>D</v>
      </c>
      <c r="R3779">
        <f>WEEKNUM(datos_siembra[[#This Row],[Date]],2)-WEEKNUM(DATE(YEAR(datos_siembra[[#This Row],[Date]]),MONTH(datos_siembra[[#This Row],[Date]]),1))+1</f>
        <v>2</v>
      </c>
      <c r="S3779">
        <f>MONTH(datos_siembra[[#This Row],[Date]])</f>
        <v>10</v>
      </c>
      <c r="T3779" t="str" cm="1">
        <f t="array" ref="T3779">_xlfn.IFS(AND(N3779&lt;= 22, S3779=9), "SOWING",AND(N3779&lt;= 28, S3779=9), "COVERAGE",AND(N3779&lt;= 30, S3779=9), "FLUSH",AND(N3779&lt;= 11, S3779=10), "FLUSH",AND(N3779&lt;= 21, S3779=10), "PRODUCTION")</f>
        <v>PRODUCTION</v>
      </c>
      <c r="U3779">
        <f>HOUR(datos_siembra[[#This Row],[Hour]])</f>
        <v>1</v>
      </c>
      <c r="V3779" cm="1">
        <f t="array" ref="V3779">_xlfn.IFS(AND(N3779&lt;= 22, S3779=9), N3779-7,AND(N3779&lt;= 28, S3779=9), N3779-25,AND(N3779&lt;= 30, S3779=9), N3779-28,AND(N3779&lt;= 11, S3779=10), N3779+2,AND(N3779&lt;= 21, S3779=10), N3779-11)</f>
        <v>2</v>
      </c>
    </row>
    <row r="3780" spans="1:22" x14ac:dyDescent="0.35">
      <c r="A3780" s="4">
        <v>45578</v>
      </c>
      <c r="B3780" s="5">
        <v>4.8877314814814818E-2</v>
      </c>
      <c r="C3780">
        <v>76.8</v>
      </c>
      <c r="D3780">
        <v>72.8</v>
      </c>
      <c r="E3780">
        <v>75.099999999999994</v>
      </c>
      <c r="F3780">
        <v>74.3</v>
      </c>
      <c r="G3780">
        <v>0</v>
      </c>
      <c r="H3780">
        <v>0</v>
      </c>
      <c r="I3780">
        <v>0</v>
      </c>
      <c r="J3780">
        <v>0</v>
      </c>
      <c r="K3780">
        <v>63.3</v>
      </c>
      <c r="L3780">
        <v>63</v>
      </c>
      <c r="M3780">
        <v>74.75</v>
      </c>
      <c r="N3780">
        <v>13</v>
      </c>
      <c r="O3780">
        <v>5</v>
      </c>
      <c r="P3780">
        <f>MOD(DAY(datos_siembra[[#This Row],[Date]]),7)</f>
        <v>6</v>
      </c>
      <c r="Q3780" t="str">
        <f>CHOOSE(WEEKDAY(datos_siembra[[#This Row],[Date]],2),"L","M","X","J","V","S","D")</f>
        <v>D</v>
      </c>
      <c r="R3780">
        <f>WEEKNUM(datos_siembra[[#This Row],[Date]],2)-WEEKNUM(DATE(YEAR(datos_siembra[[#This Row],[Date]]),MONTH(datos_siembra[[#This Row],[Date]]),1))+1</f>
        <v>2</v>
      </c>
      <c r="S3780">
        <f>MONTH(datos_siembra[[#This Row],[Date]])</f>
        <v>10</v>
      </c>
      <c r="T3780" t="str" cm="1">
        <f t="array" ref="T3780">_xlfn.IFS(AND(N3780&lt;= 22, S3780=9), "SOWING",AND(N3780&lt;= 28, S3780=9), "COVERAGE",AND(N3780&lt;= 30, S3780=9), "FLUSH",AND(N3780&lt;= 11, S3780=10), "FLUSH",AND(N3780&lt;= 21, S3780=10), "PRODUCTION")</f>
        <v>PRODUCTION</v>
      </c>
      <c r="U3780">
        <f>HOUR(datos_siembra[[#This Row],[Hour]])</f>
        <v>1</v>
      </c>
      <c r="V3780" cm="1">
        <f t="array" ref="V3780">_xlfn.IFS(AND(N3780&lt;= 22, S3780=9), N3780-7,AND(N3780&lt;= 28, S3780=9), N3780-25,AND(N3780&lt;= 30, S3780=9), N3780-28,AND(N3780&lt;= 11, S3780=10), N3780+2,AND(N3780&lt;= 21, S3780=10), N3780-11)</f>
        <v>2</v>
      </c>
    </row>
    <row r="3781" spans="1:22" x14ac:dyDescent="0.35">
      <c r="A3781" s="4">
        <v>45578</v>
      </c>
      <c r="B3781" s="5">
        <v>5.5821759259259258E-2</v>
      </c>
      <c r="C3781">
        <v>77.099999999999994</v>
      </c>
      <c r="D3781">
        <v>72.8</v>
      </c>
      <c r="E3781">
        <v>75.099999999999994</v>
      </c>
      <c r="F3781">
        <v>74.2</v>
      </c>
      <c r="G3781">
        <v>0</v>
      </c>
      <c r="H3781">
        <v>0</v>
      </c>
      <c r="I3781">
        <v>0</v>
      </c>
      <c r="J3781">
        <v>0</v>
      </c>
      <c r="K3781">
        <v>63.4</v>
      </c>
      <c r="L3781">
        <v>63.2</v>
      </c>
      <c r="M3781">
        <v>74.75</v>
      </c>
      <c r="N3781">
        <v>13</v>
      </c>
      <c r="O3781">
        <v>5</v>
      </c>
      <c r="P3781">
        <f>MOD(DAY(datos_siembra[[#This Row],[Date]]),7)</f>
        <v>6</v>
      </c>
      <c r="Q3781" t="str">
        <f>CHOOSE(WEEKDAY(datos_siembra[[#This Row],[Date]],2),"L","M","X","J","V","S","D")</f>
        <v>D</v>
      </c>
      <c r="R3781">
        <f>WEEKNUM(datos_siembra[[#This Row],[Date]],2)-WEEKNUM(DATE(YEAR(datos_siembra[[#This Row],[Date]]),MONTH(datos_siembra[[#This Row],[Date]]),1))+1</f>
        <v>2</v>
      </c>
      <c r="S3781">
        <f>MONTH(datos_siembra[[#This Row],[Date]])</f>
        <v>10</v>
      </c>
      <c r="T3781" t="str" cm="1">
        <f t="array" ref="T3781">_xlfn.IFS(AND(N3781&lt;= 22, S3781=9), "SOWING",AND(N3781&lt;= 28, S3781=9), "COVERAGE",AND(N3781&lt;= 30, S3781=9), "FLUSH",AND(N3781&lt;= 11, S3781=10), "FLUSH",AND(N3781&lt;= 21, S3781=10), "PRODUCTION")</f>
        <v>PRODUCTION</v>
      </c>
      <c r="U3781">
        <f>HOUR(datos_siembra[[#This Row],[Hour]])</f>
        <v>1</v>
      </c>
      <c r="V3781" cm="1">
        <f t="array" ref="V3781">_xlfn.IFS(AND(N3781&lt;= 22, S3781=9), N3781-7,AND(N3781&lt;= 28, S3781=9), N3781-25,AND(N3781&lt;= 30, S3781=9), N3781-28,AND(N3781&lt;= 11, S3781=10), N3781+2,AND(N3781&lt;= 21, S3781=10), N3781-11)</f>
        <v>2</v>
      </c>
    </row>
    <row r="3782" spans="1:22" x14ac:dyDescent="0.35">
      <c r="A3782" s="4">
        <v>45578</v>
      </c>
      <c r="B3782" s="5">
        <v>6.2766203703703699E-2</v>
      </c>
      <c r="C3782">
        <v>77</v>
      </c>
      <c r="D3782">
        <v>72.599999999999994</v>
      </c>
      <c r="E3782">
        <v>75.099999999999994</v>
      </c>
      <c r="F3782">
        <v>74.099999999999994</v>
      </c>
      <c r="G3782">
        <v>0</v>
      </c>
      <c r="H3782">
        <v>0</v>
      </c>
      <c r="I3782">
        <v>0</v>
      </c>
      <c r="J3782">
        <v>0</v>
      </c>
      <c r="K3782">
        <v>63.5</v>
      </c>
      <c r="L3782">
        <v>63</v>
      </c>
      <c r="M3782">
        <v>74.61</v>
      </c>
      <c r="N3782">
        <v>13</v>
      </c>
      <c r="O3782">
        <v>5</v>
      </c>
      <c r="P3782">
        <f>MOD(DAY(datos_siembra[[#This Row],[Date]]),7)</f>
        <v>6</v>
      </c>
      <c r="Q3782" t="str">
        <f>CHOOSE(WEEKDAY(datos_siembra[[#This Row],[Date]],2),"L","M","X","J","V","S","D")</f>
        <v>D</v>
      </c>
      <c r="R3782">
        <f>WEEKNUM(datos_siembra[[#This Row],[Date]],2)-WEEKNUM(DATE(YEAR(datos_siembra[[#This Row],[Date]]),MONTH(datos_siembra[[#This Row],[Date]]),1))+1</f>
        <v>2</v>
      </c>
      <c r="S3782">
        <f>MONTH(datos_siembra[[#This Row],[Date]])</f>
        <v>10</v>
      </c>
      <c r="T3782" t="str" cm="1">
        <f t="array" ref="T3782">_xlfn.IFS(AND(N3782&lt;= 22, S3782=9), "SOWING",AND(N3782&lt;= 28, S3782=9), "COVERAGE",AND(N3782&lt;= 30, S3782=9), "FLUSH",AND(N3782&lt;= 11, S3782=10), "FLUSH",AND(N3782&lt;= 21, S3782=10), "PRODUCTION")</f>
        <v>PRODUCTION</v>
      </c>
      <c r="U3782">
        <f>HOUR(datos_siembra[[#This Row],[Hour]])</f>
        <v>1</v>
      </c>
      <c r="V3782" cm="1">
        <f t="array" ref="V3782">_xlfn.IFS(AND(N3782&lt;= 22, S3782=9), N3782-7,AND(N3782&lt;= 28, S3782=9), N3782-25,AND(N3782&lt;= 30, S3782=9), N3782-28,AND(N3782&lt;= 11, S3782=10), N3782+2,AND(N3782&lt;= 21, S3782=10), N3782-11)</f>
        <v>2</v>
      </c>
    </row>
    <row r="3783" spans="1:22" x14ac:dyDescent="0.35">
      <c r="A3783" s="4">
        <v>45578</v>
      </c>
      <c r="B3783" s="5">
        <v>6.9710648148148147E-2</v>
      </c>
      <c r="C3783">
        <v>76.900000000000006</v>
      </c>
      <c r="D3783">
        <v>72.5</v>
      </c>
      <c r="E3783">
        <v>75</v>
      </c>
      <c r="F3783">
        <v>74.099999999999994</v>
      </c>
      <c r="G3783">
        <v>0</v>
      </c>
      <c r="H3783">
        <v>0</v>
      </c>
      <c r="I3783">
        <v>0</v>
      </c>
      <c r="J3783">
        <v>0</v>
      </c>
      <c r="K3783">
        <v>63.5</v>
      </c>
      <c r="L3783">
        <v>63.3</v>
      </c>
      <c r="M3783">
        <v>74.67</v>
      </c>
      <c r="N3783">
        <v>13</v>
      </c>
      <c r="O3783">
        <v>5</v>
      </c>
      <c r="P3783">
        <f>MOD(DAY(datos_siembra[[#This Row],[Date]]),7)</f>
        <v>6</v>
      </c>
      <c r="Q3783" t="str">
        <f>CHOOSE(WEEKDAY(datos_siembra[[#This Row],[Date]],2),"L","M","X","J","V","S","D")</f>
        <v>D</v>
      </c>
      <c r="R3783">
        <f>WEEKNUM(datos_siembra[[#This Row],[Date]],2)-WEEKNUM(DATE(YEAR(datos_siembra[[#This Row],[Date]]),MONTH(datos_siembra[[#This Row],[Date]]),1))+1</f>
        <v>2</v>
      </c>
      <c r="S3783">
        <f>MONTH(datos_siembra[[#This Row],[Date]])</f>
        <v>10</v>
      </c>
      <c r="T3783" t="str" cm="1">
        <f t="array" ref="T3783">_xlfn.IFS(AND(N3783&lt;= 22, S3783=9), "SOWING",AND(N3783&lt;= 28, S3783=9), "COVERAGE",AND(N3783&lt;= 30, S3783=9), "FLUSH",AND(N3783&lt;= 11, S3783=10), "FLUSH",AND(N3783&lt;= 21, S3783=10), "PRODUCTION")</f>
        <v>PRODUCTION</v>
      </c>
      <c r="U3783">
        <f>HOUR(datos_siembra[[#This Row],[Hour]])</f>
        <v>1</v>
      </c>
      <c r="V3783" cm="1">
        <f t="array" ref="V3783">_xlfn.IFS(AND(N3783&lt;= 22, S3783=9), N3783-7,AND(N3783&lt;= 28, S3783=9), N3783-25,AND(N3783&lt;= 30, S3783=9), N3783-28,AND(N3783&lt;= 11, S3783=10), N3783+2,AND(N3783&lt;= 21, S3783=10), N3783-11)</f>
        <v>2</v>
      </c>
    </row>
    <row r="3784" spans="1:22" x14ac:dyDescent="0.35">
      <c r="A3784" s="4">
        <v>45578</v>
      </c>
      <c r="B3784" s="5">
        <v>7.6666666666666661E-2</v>
      </c>
      <c r="C3784">
        <v>76.900000000000006</v>
      </c>
      <c r="D3784">
        <v>72.599999999999994</v>
      </c>
      <c r="E3784">
        <v>75</v>
      </c>
      <c r="F3784">
        <v>74</v>
      </c>
      <c r="G3784">
        <v>0</v>
      </c>
      <c r="H3784">
        <v>0</v>
      </c>
      <c r="I3784">
        <v>0</v>
      </c>
      <c r="J3784">
        <v>0</v>
      </c>
      <c r="K3784">
        <v>63.5</v>
      </c>
      <c r="L3784">
        <v>63.2</v>
      </c>
      <c r="M3784">
        <v>74.61</v>
      </c>
      <c r="N3784">
        <v>13</v>
      </c>
      <c r="O3784">
        <v>5</v>
      </c>
      <c r="P3784">
        <f>MOD(DAY(datos_siembra[[#This Row],[Date]]),7)</f>
        <v>6</v>
      </c>
      <c r="Q3784" t="str">
        <f>CHOOSE(WEEKDAY(datos_siembra[[#This Row],[Date]],2),"L","M","X","J","V","S","D")</f>
        <v>D</v>
      </c>
      <c r="R3784">
        <f>WEEKNUM(datos_siembra[[#This Row],[Date]],2)-WEEKNUM(DATE(YEAR(datos_siembra[[#This Row],[Date]]),MONTH(datos_siembra[[#This Row],[Date]]),1))+1</f>
        <v>2</v>
      </c>
      <c r="S3784">
        <f>MONTH(datos_siembra[[#This Row],[Date]])</f>
        <v>10</v>
      </c>
      <c r="T3784" t="str" cm="1">
        <f t="array" ref="T3784">_xlfn.IFS(AND(N3784&lt;= 22, S3784=9), "SOWING",AND(N3784&lt;= 28, S3784=9), "COVERAGE",AND(N3784&lt;= 30, S3784=9), "FLUSH",AND(N3784&lt;= 11, S3784=10), "FLUSH",AND(N3784&lt;= 21, S3784=10), "PRODUCTION")</f>
        <v>PRODUCTION</v>
      </c>
      <c r="U3784">
        <f>HOUR(datos_siembra[[#This Row],[Hour]])</f>
        <v>1</v>
      </c>
      <c r="V3784" cm="1">
        <f t="array" ref="V3784">_xlfn.IFS(AND(N3784&lt;= 22, S3784=9), N3784-7,AND(N3784&lt;= 28, S3784=9), N3784-25,AND(N3784&lt;= 30, S3784=9), N3784-28,AND(N3784&lt;= 11, S3784=10), N3784+2,AND(N3784&lt;= 21, S3784=10), N3784-11)</f>
        <v>2</v>
      </c>
    </row>
    <row r="3785" spans="1:22" x14ac:dyDescent="0.35">
      <c r="A3785" s="4">
        <v>45578</v>
      </c>
      <c r="B3785" s="5">
        <v>8.3611111111111108E-2</v>
      </c>
      <c r="C3785">
        <v>77</v>
      </c>
      <c r="D3785">
        <v>72.5</v>
      </c>
      <c r="E3785">
        <v>74.900000000000006</v>
      </c>
      <c r="F3785">
        <v>74.099999999999994</v>
      </c>
      <c r="G3785">
        <v>0</v>
      </c>
      <c r="H3785">
        <v>0</v>
      </c>
      <c r="I3785">
        <v>0</v>
      </c>
      <c r="J3785">
        <v>0</v>
      </c>
      <c r="K3785">
        <v>63.5</v>
      </c>
      <c r="L3785">
        <v>63.2</v>
      </c>
      <c r="M3785">
        <v>74.67</v>
      </c>
      <c r="N3785">
        <v>13</v>
      </c>
      <c r="O3785">
        <v>5</v>
      </c>
      <c r="P3785">
        <f>MOD(DAY(datos_siembra[[#This Row],[Date]]),7)</f>
        <v>6</v>
      </c>
      <c r="Q3785" t="str">
        <f>CHOOSE(WEEKDAY(datos_siembra[[#This Row],[Date]],2),"L","M","X","J","V","S","D")</f>
        <v>D</v>
      </c>
      <c r="R3785">
        <f>WEEKNUM(datos_siembra[[#This Row],[Date]],2)-WEEKNUM(DATE(YEAR(datos_siembra[[#This Row],[Date]]),MONTH(datos_siembra[[#This Row],[Date]]),1))+1</f>
        <v>2</v>
      </c>
      <c r="S3785">
        <f>MONTH(datos_siembra[[#This Row],[Date]])</f>
        <v>10</v>
      </c>
      <c r="T3785" t="str" cm="1">
        <f t="array" ref="T3785">_xlfn.IFS(AND(N3785&lt;= 22, S3785=9), "SOWING",AND(N3785&lt;= 28, S3785=9), "COVERAGE",AND(N3785&lt;= 30, S3785=9), "FLUSH",AND(N3785&lt;= 11, S3785=10), "FLUSH",AND(N3785&lt;= 21, S3785=10), "PRODUCTION")</f>
        <v>PRODUCTION</v>
      </c>
      <c r="U3785">
        <f>HOUR(datos_siembra[[#This Row],[Hour]])</f>
        <v>2</v>
      </c>
      <c r="V3785" cm="1">
        <f t="array" ref="V3785">_xlfn.IFS(AND(N3785&lt;= 22, S3785=9), N3785-7,AND(N3785&lt;= 28, S3785=9), N3785-25,AND(N3785&lt;= 30, S3785=9), N3785-28,AND(N3785&lt;= 11, S3785=10), N3785+2,AND(N3785&lt;= 21, S3785=10), N3785-11)</f>
        <v>2</v>
      </c>
    </row>
    <row r="3786" spans="1:22" x14ac:dyDescent="0.35">
      <c r="A3786" s="4">
        <v>45578</v>
      </c>
      <c r="B3786" s="5">
        <v>9.0555555555555556E-2</v>
      </c>
      <c r="C3786">
        <v>76.900000000000006</v>
      </c>
      <c r="D3786">
        <v>72.5</v>
      </c>
      <c r="E3786">
        <v>74.900000000000006</v>
      </c>
      <c r="F3786">
        <v>74</v>
      </c>
      <c r="G3786">
        <v>0</v>
      </c>
      <c r="H3786">
        <v>0</v>
      </c>
      <c r="I3786">
        <v>0</v>
      </c>
      <c r="J3786">
        <v>0</v>
      </c>
      <c r="K3786">
        <v>63.4</v>
      </c>
      <c r="L3786">
        <v>63.3</v>
      </c>
      <c r="M3786">
        <v>74.61</v>
      </c>
      <c r="N3786">
        <v>13</v>
      </c>
      <c r="O3786">
        <v>5</v>
      </c>
      <c r="P3786">
        <f>MOD(DAY(datos_siembra[[#This Row],[Date]]),7)</f>
        <v>6</v>
      </c>
      <c r="Q3786" t="str">
        <f>CHOOSE(WEEKDAY(datos_siembra[[#This Row],[Date]],2),"L","M","X","J","V","S","D")</f>
        <v>D</v>
      </c>
      <c r="R3786">
        <f>WEEKNUM(datos_siembra[[#This Row],[Date]],2)-WEEKNUM(DATE(YEAR(datos_siembra[[#This Row],[Date]]),MONTH(datos_siembra[[#This Row],[Date]]),1))+1</f>
        <v>2</v>
      </c>
      <c r="S3786">
        <f>MONTH(datos_siembra[[#This Row],[Date]])</f>
        <v>10</v>
      </c>
      <c r="T3786" t="str" cm="1">
        <f t="array" ref="T3786">_xlfn.IFS(AND(N3786&lt;= 22, S3786=9), "SOWING",AND(N3786&lt;= 28, S3786=9), "COVERAGE",AND(N3786&lt;= 30, S3786=9), "FLUSH",AND(N3786&lt;= 11, S3786=10), "FLUSH",AND(N3786&lt;= 21, S3786=10), "PRODUCTION")</f>
        <v>PRODUCTION</v>
      </c>
      <c r="U3786">
        <f>HOUR(datos_siembra[[#This Row],[Hour]])</f>
        <v>2</v>
      </c>
      <c r="V3786" cm="1">
        <f t="array" ref="V3786">_xlfn.IFS(AND(N3786&lt;= 22, S3786=9), N3786-7,AND(N3786&lt;= 28, S3786=9), N3786-25,AND(N3786&lt;= 30, S3786=9), N3786-28,AND(N3786&lt;= 11, S3786=10), N3786+2,AND(N3786&lt;= 21, S3786=10), N3786-11)</f>
        <v>2</v>
      </c>
    </row>
    <row r="3787" spans="1:22" x14ac:dyDescent="0.35">
      <c r="A3787" s="4">
        <v>45578</v>
      </c>
      <c r="B3787" s="5">
        <v>9.7500000000000003E-2</v>
      </c>
      <c r="C3787">
        <v>76.900000000000006</v>
      </c>
      <c r="D3787">
        <v>72.599999999999994</v>
      </c>
      <c r="E3787">
        <v>74.900000000000006</v>
      </c>
      <c r="F3787">
        <v>74</v>
      </c>
      <c r="G3787">
        <v>0</v>
      </c>
      <c r="H3787">
        <v>0</v>
      </c>
      <c r="I3787">
        <v>0</v>
      </c>
      <c r="J3787">
        <v>0</v>
      </c>
      <c r="K3787">
        <v>63.5</v>
      </c>
      <c r="L3787">
        <v>63.4</v>
      </c>
      <c r="M3787">
        <v>74.55</v>
      </c>
      <c r="N3787">
        <v>13</v>
      </c>
      <c r="O3787">
        <v>5</v>
      </c>
      <c r="P3787">
        <f>MOD(DAY(datos_siembra[[#This Row],[Date]]),7)</f>
        <v>6</v>
      </c>
      <c r="Q3787" t="str">
        <f>CHOOSE(WEEKDAY(datos_siembra[[#This Row],[Date]],2),"L","M","X","J","V","S","D")</f>
        <v>D</v>
      </c>
      <c r="R3787">
        <f>WEEKNUM(datos_siembra[[#This Row],[Date]],2)-WEEKNUM(DATE(YEAR(datos_siembra[[#This Row],[Date]]),MONTH(datos_siembra[[#This Row],[Date]]),1))+1</f>
        <v>2</v>
      </c>
      <c r="S3787">
        <f>MONTH(datos_siembra[[#This Row],[Date]])</f>
        <v>10</v>
      </c>
      <c r="T3787" t="str" cm="1">
        <f t="array" ref="T3787">_xlfn.IFS(AND(N3787&lt;= 22, S3787=9), "SOWING",AND(N3787&lt;= 28, S3787=9), "COVERAGE",AND(N3787&lt;= 30, S3787=9), "FLUSH",AND(N3787&lt;= 11, S3787=10), "FLUSH",AND(N3787&lt;= 21, S3787=10), "PRODUCTION")</f>
        <v>PRODUCTION</v>
      </c>
      <c r="U3787">
        <f>HOUR(datos_siembra[[#This Row],[Hour]])</f>
        <v>2</v>
      </c>
      <c r="V3787" cm="1">
        <f t="array" ref="V3787">_xlfn.IFS(AND(N3787&lt;= 22, S3787=9), N3787-7,AND(N3787&lt;= 28, S3787=9), N3787-25,AND(N3787&lt;= 30, S3787=9), N3787-28,AND(N3787&lt;= 11, S3787=10), N3787+2,AND(N3787&lt;= 21, S3787=10), N3787-11)</f>
        <v>2</v>
      </c>
    </row>
    <row r="3788" spans="1:22" x14ac:dyDescent="0.35">
      <c r="A3788" s="4">
        <v>45578</v>
      </c>
      <c r="B3788" s="5">
        <v>0.10445601851851852</v>
      </c>
      <c r="C3788">
        <v>77</v>
      </c>
      <c r="D3788">
        <v>72.599999999999994</v>
      </c>
      <c r="E3788">
        <v>74.8</v>
      </c>
      <c r="F3788">
        <v>74</v>
      </c>
      <c r="G3788">
        <v>0</v>
      </c>
      <c r="H3788">
        <v>0</v>
      </c>
      <c r="I3788">
        <v>0</v>
      </c>
      <c r="J3788">
        <v>0</v>
      </c>
      <c r="K3788">
        <v>63.4</v>
      </c>
      <c r="L3788">
        <v>63.2</v>
      </c>
      <c r="M3788">
        <v>74.55</v>
      </c>
      <c r="N3788">
        <v>13</v>
      </c>
      <c r="O3788">
        <v>5</v>
      </c>
      <c r="P3788">
        <f>MOD(DAY(datos_siembra[[#This Row],[Date]]),7)</f>
        <v>6</v>
      </c>
      <c r="Q3788" t="str">
        <f>CHOOSE(WEEKDAY(datos_siembra[[#This Row],[Date]],2),"L","M","X","J","V","S","D")</f>
        <v>D</v>
      </c>
      <c r="R3788">
        <f>WEEKNUM(datos_siembra[[#This Row],[Date]],2)-WEEKNUM(DATE(YEAR(datos_siembra[[#This Row],[Date]]),MONTH(datos_siembra[[#This Row],[Date]]),1))+1</f>
        <v>2</v>
      </c>
      <c r="S3788">
        <f>MONTH(datos_siembra[[#This Row],[Date]])</f>
        <v>10</v>
      </c>
      <c r="T3788" t="str" cm="1">
        <f t="array" ref="T3788">_xlfn.IFS(AND(N3788&lt;= 22, S3788=9), "SOWING",AND(N3788&lt;= 28, S3788=9), "COVERAGE",AND(N3788&lt;= 30, S3788=9), "FLUSH",AND(N3788&lt;= 11, S3788=10), "FLUSH",AND(N3788&lt;= 21, S3788=10), "PRODUCTION")</f>
        <v>PRODUCTION</v>
      </c>
      <c r="U3788">
        <f>HOUR(datos_siembra[[#This Row],[Hour]])</f>
        <v>2</v>
      </c>
      <c r="V3788" cm="1">
        <f t="array" ref="V3788">_xlfn.IFS(AND(N3788&lt;= 22, S3788=9), N3788-7,AND(N3788&lt;= 28, S3788=9), N3788-25,AND(N3788&lt;= 30, S3788=9), N3788-28,AND(N3788&lt;= 11, S3788=10), N3788+2,AND(N3788&lt;= 21, S3788=10), N3788-11)</f>
        <v>2</v>
      </c>
    </row>
    <row r="3789" spans="1:22" x14ac:dyDescent="0.35">
      <c r="A3789" s="4">
        <v>45578</v>
      </c>
      <c r="B3789" s="5">
        <v>0.11140046296296297</v>
      </c>
      <c r="C3789">
        <v>76.900000000000006</v>
      </c>
      <c r="D3789">
        <v>72.599999999999994</v>
      </c>
      <c r="E3789">
        <v>74.599999999999994</v>
      </c>
      <c r="F3789">
        <v>74</v>
      </c>
      <c r="G3789">
        <v>0</v>
      </c>
      <c r="H3789">
        <v>0</v>
      </c>
      <c r="I3789">
        <v>0</v>
      </c>
      <c r="J3789">
        <v>0</v>
      </c>
      <c r="K3789">
        <v>63.4</v>
      </c>
      <c r="L3789">
        <v>63.5</v>
      </c>
      <c r="M3789">
        <v>74.47</v>
      </c>
      <c r="N3789">
        <v>13</v>
      </c>
      <c r="O3789">
        <v>5</v>
      </c>
      <c r="P3789">
        <f>MOD(DAY(datos_siembra[[#This Row],[Date]]),7)</f>
        <v>6</v>
      </c>
      <c r="Q3789" t="str">
        <f>CHOOSE(WEEKDAY(datos_siembra[[#This Row],[Date]],2),"L","M","X","J","V","S","D")</f>
        <v>D</v>
      </c>
      <c r="R3789">
        <f>WEEKNUM(datos_siembra[[#This Row],[Date]],2)-WEEKNUM(DATE(YEAR(datos_siembra[[#This Row],[Date]]),MONTH(datos_siembra[[#This Row],[Date]]),1))+1</f>
        <v>2</v>
      </c>
      <c r="S3789">
        <f>MONTH(datos_siembra[[#This Row],[Date]])</f>
        <v>10</v>
      </c>
      <c r="T3789" t="str" cm="1">
        <f t="array" ref="T3789">_xlfn.IFS(AND(N3789&lt;= 22, S3789=9), "SOWING",AND(N3789&lt;= 28, S3789=9), "COVERAGE",AND(N3789&lt;= 30, S3789=9), "FLUSH",AND(N3789&lt;= 11, S3789=10), "FLUSH",AND(N3789&lt;= 21, S3789=10), "PRODUCTION")</f>
        <v>PRODUCTION</v>
      </c>
      <c r="U3789">
        <f>HOUR(datos_siembra[[#This Row],[Hour]])</f>
        <v>2</v>
      </c>
      <c r="V3789" cm="1">
        <f t="array" ref="V3789">_xlfn.IFS(AND(N3789&lt;= 22, S3789=9), N3789-7,AND(N3789&lt;= 28, S3789=9), N3789-25,AND(N3789&lt;= 30, S3789=9), N3789-28,AND(N3789&lt;= 11, S3789=10), N3789+2,AND(N3789&lt;= 21, S3789=10), N3789-11)</f>
        <v>2</v>
      </c>
    </row>
    <row r="3790" spans="1:22" x14ac:dyDescent="0.35">
      <c r="A3790" s="4">
        <v>45578</v>
      </c>
      <c r="B3790" s="5">
        <v>0.11834490740740741</v>
      </c>
      <c r="C3790">
        <v>77</v>
      </c>
      <c r="D3790">
        <v>72.5</v>
      </c>
      <c r="E3790">
        <v>74.900000000000006</v>
      </c>
      <c r="F3790">
        <v>74</v>
      </c>
      <c r="G3790">
        <v>0</v>
      </c>
      <c r="H3790">
        <v>0</v>
      </c>
      <c r="I3790">
        <v>0</v>
      </c>
      <c r="J3790">
        <v>0</v>
      </c>
      <c r="K3790">
        <v>63.3</v>
      </c>
      <c r="L3790">
        <v>63.5</v>
      </c>
      <c r="M3790">
        <v>74.5</v>
      </c>
      <c r="N3790">
        <v>13</v>
      </c>
      <c r="O3790">
        <v>5</v>
      </c>
      <c r="P3790">
        <f>MOD(DAY(datos_siembra[[#This Row],[Date]]),7)</f>
        <v>6</v>
      </c>
      <c r="Q3790" t="str">
        <f>CHOOSE(WEEKDAY(datos_siembra[[#This Row],[Date]],2),"L","M","X","J","V","S","D")</f>
        <v>D</v>
      </c>
      <c r="R3790">
        <f>WEEKNUM(datos_siembra[[#This Row],[Date]],2)-WEEKNUM(DATE(YEAR(datos_siembra[[#This Row],[Date]]),MONTH(datos_siembra[[#This Row],[Date]]),1))+1</f>
        <v>2</v>
      </c>
      <c r="S3790">
        <f>MONTH(datos_siembra[[#This Row],[Date]])</f>
        <v>10</v>
      </c>
      <c r="T3790" t="str" cm="1">
        <f t="array" ref="T3790">_xlfn.IFS(AND(N3790&lt;= 22, S3790=9), "SOWING",AND(N3790&lt;= 28, S3790=9), "COVERAGE",AND(N3790&lt;= 30, S3790=9), "FLUSH",AND(N3790&lt;= 11, S3790=10), "FLUSH",AND(N3790&lt;= 21, S3790=10), "PRODUCTION")</f>
        <v>PRODUCTION</v>
      </c>
      <c r="U3790">
        <f>HOUR(datos_siembra[[#This Row],[Hour]])</f>
        <v>2</v>
      </c>
      <c r="V3790" cm="1">
        <f t="array" ref="V3790">_xlfn.IFS(AND(N3790&lt;= 22, S3790=9), N3790-7,AND(N3790&lt;= 28, S3790=9), N3790-25,AND(N3790&lt;= 30, S3790=9), N3790-28,AND(N3790&lt;= 11, S3790=10), N3790+2,AND(N3790&lt;= 21, S3790=10), N3790-11)</f>
        <v>2</v>
      </c>
    </row>
    <row r="3791" spans="1:22" x14ac:dyDescent="0.35">
      <c r="A3791" s="4">
        <v>45578</v>
      </c>
      <c r="B3791" s="5">
        <v>0.12530092592592593</v>
      </c>
      <c r="C3791">
        <v>76.900000000000006</v>
      </c>
      <c r="D3791">
        <v>72.400000000000006</v>
      </c>
      <c r="E3791">
        <v>74.5</v>
      </c>
      <c r="F3791">
        <v>73.900000000000006</v>
      </c>
      <c r="G3791">
        <v>0</v>
      </c>
      <c r="H3791">
        <v>0</v>
      </c>
      <c r="I3791">
        <v>0</v>
      </c>
      <c r="J3791">
        <v>0</v>
      </c>
      <c r="K3791">
        <v>63.4</v>
      </c>
      <c r="L3791">
        <v>63.4</v>
      </c>
      <c r="M3791">
        <v>74.5</v>
      </c>
      <c r="N3791">
        <v>13</v>
      </c>
      <c r="O3791">
        <v>5</v>
      </c>
      <c r="P3791">
        <f>MOD(DAY(datos_siembra[[#This Row],[Date]]),7)</f>
        <v>6</v>
      </c>
      <c r="Q3791" t="str">
        <f>CHOOSE(WEEKDAY(datos_siembra[[#This Row],[Date]],2),"L","M","X","J","V","S","D")</f>
        <v>D</v>
      </c>
      <c r="R3791">
        <f>WEEKNUM(datos_siembra[[#This Row],[Date]],2)-WEEKNUM(DATE(YEAR(datos_siembra[[#This Row],[Date]]),MONTH(datos_siembra[[#This Row],[Date]]),1))+1</f>
        <v>2</v>
      </c>
      <c r="S3791">
        <f>MONTH(datos_siembra[[#This Row],[Date]])</f>
        <v>10</v>
      </c>
      <c r="T3791" t="str" cm="1">
        <f t="array" ref="T3791">_xlfn.IFS(AND(N3791&lt;= 22, S3791=9), "SOWING",AND(N3791&lt;= 28, S3791=9), "COVERAGE",AND(N3791&lt;= 30, S3791=9), "FLUSH",AND(N3791&lt;= 11, S3791=10), "FLUSH",AND(N3791&lt;= 21, S3791=10), "PRODUCTION")</f>
        <v>PRODUCTION</v>
      </c>
      <c r="U3791">
        <f>HOUR(datos_siembra[[#This Row],[Hour]])</f>
        <v>3</v>
      </c>
      <c r="V3791" cm="1">
        <f t="array" ref="V3791">_xlfn.IFS(AND(N3791&lt;= 22, S3791=9), N3791-7,AND(N3791&lt;= 28, S3791=9), N3791-25,AND(N3791&lt;= 30, S3791=9), N3791-28,AND(N3791&lt;= 11, S3791=10), N3791+2,AND(N3791&lt;= 21, S3791=10), N3791-11)</f>
        <v>2</v>
      </c>
    </row>
    <row r="3792" spans="1:22" x14ac:dyDescent="0.35">
      <c r="A3792" s="4">
        <v>45578</v>
      </c>
      <c r="B3792" s="5">
        <v>0.13224537037037037</v>
      </c>
      <c r="C3792">
        <v>77</v>
      </c>
      <c r="D3792">
        <v>72.5</v>
      </c>
      <c r="E3792">
        <v>74.5</v>
      </c>
      <c r="F3792">
        <v>73.7</v>
      </c>
      <c r="G3792">
        <v>0</v>
      </c>
      <c r="H3792">
        <v>0</v>
      </c>
      <c r="I3792">
        <v>0</v>
      </c>
      <c r="J3792">
        <v>0</v>
      </c>
      <c r="K3792">
        <v>63.3</v>
      </c>
      <c r="L3792">
        <v>63</v>
      </c>
      <c r="M3792">
        <v>74.41</v>
      </c>
      <c r="N3792">
        <v>13</v>
      </c>
      <c r="O3792">
        <v>5</v>
      </c>
      <c r="P3792">
        <f>MOD(DAY(datos_siembra[[#This Row],[Date]]),7)</f>
        <v>6</v>
      </c>
      <c r="Q3792" t="str">
        <f>CHOOSE(WEEKDAY(datos_siembra[[#This Row],[Date]],2),"L","M","X","J","V","S","D")</f>
        <v>D</v>
      </c>
      <c r="R3792">
        <f>WEEKNUM(datos_siembra[[#This Row],[Date]],2)-WEEKNUM(DATE(YEAR(datos_siembra[[#This Row],[Date]]),MONTH(datos_siembra[[#This Row],[Date]]),1))+1</f>
        <v>2</v>
      </c>
      <c r="S3792">
        <f>MONTH(datos_siembra[[#This Row],[Date]])</f>
        <v>10</v>
      </c>
      <c r="T3792" t="str" cm="1">
        <f t="array" ref="T3792">_xlfn.IFS(AND(N3792&lt;= 22, S3792=9), "SOWING",AND(N3792&lt;= 28, S3792=9), "COVERAGE",AND(N3792&lt;= 30, S3792=9), "FLUSH",AND(N3792&lt;= 11, S3792=10), "FLUSH",AND(N3792&lt;= 21, S3792=10), "PRODUCTION")</f>
        <v>PRODUCTION</v>
      </c>
      <c r="U3792">
        <f>HOUR(datos_siembra[[#This Row],[Hour]])</f>
        <v>3</v>
      </c>
      <c r="V3792" cm="1">
        <f t="array" ref="V3792">_xlfn.IFS(AND(N3792&lt;= 22, S3792=9), N3792-7,AND(N3792&lt;= 28, S3792=9), N3792-25,AND(N3792&lt;= 30, S3792=9), N3792-28,AND(N3792&lt;= 11, S3792=10), N3792+2,AND(N3792&lt;= 21, S3792=10), N3792-11)</f>
        <v>2</v>
      </c>
    </row>
    <row r="3793" spans="1:22" x14ac:dyDescent="0.35">
      <c r="A3793" s="4">
        <v>45578</v>
      </c>
      <c r="B3793" s="5">
        <v>0.13918981481481482</v>
      </c>
      <c r="C3793">
        <v>76.900000000000006</v>
      </c>
      <c r="D3793">
        <v>72.400000000000006</v>
      </c>
      <c r="E3793">
        <v>74.5</v>
      </c>
      <c r="F3793">
        <v>73.7</v>
      </c>
      <c r="G3793">
        <v>0</v>
      </c>
      <c r="H3793">
        <v>0</v>
      </c>
      <c r="I3793">
        <v>0</v>
      </c>
      <c r="J3793">
        <v>0</v>
      </c>
      <c r="K3793">
        <v>63.2</v>
      </c>
      <c r="L3793">
        <v>63</v>
      </c>
      <c r="M3793">
        <v>74.41</v>
      </c>
      <c r="N3793">
        <v>13</v>
      </c>
      <c r="O3793">
        <v>5</v>
      </c>
      <c r="P3793">
        <f>MOD(DAY(datos_siembra[[#This Row],[Date]]),7)</f>
        <v>6</v>
      </c>
      <c r="Q3793" t="str">
        <f>CHOOSE(WEEKDAY(datos_siembra[[#This Row],[Date]],2),"L","M","X","J","V","S","D")</f>
        <v>D</v>
      </c>
      <c r="R3793">
        <f>WEEKNUM(datos_siembra[[#This Row],[Date]],2)-WEEKNUM(DATE(YEAR(datos_siembra[[#This Row],[Date]]),MONTH(datos_siembra[[#This Row],[Date]]),1))+1</f>
        <v>2</v>
      </c>
      <c r="S3793">
        <f>MONTH(datos_siembra[[#This Row],[Date]])</f>
        <v>10</v>
      </c>
      <c r="T3793" t="str" cm="1">
        <f t="array" ref="T3793">_xlfn.IFS(AND(N3793&lt;= 22, S3793=9), "SOWING",AND(N3793&lt;= 28, S3793=9), "COVERAGE",AND(N3793&lt;= 30, S3793=9), "FLUSH",AND(N3793&lt;= 11, S3793=10), "FLUSH",AND(N3793&lt;= 21, S3793=10), "PRODUCTION")</f>
        <v>PRODUCTION</v>
      </c>
      <c r="U3793">
        <f>HOUR(datos_siembra[[#This Row],[Hour]])</f>
        <v>3</v>
      </c>
      <c r="V3793" cm="1">
        <f t="array" ref="V3793">_xlfn.IFS(AND(N3793&lt;= 22, S3793=9), N3793-7,AND(N3793&lt;= 28, S3793=9), N3793-25,AND(N3793&lt;= 30, S3793=9), N3793-28,AND(N3793&lt;= 11, S3793=10), N3793+2,AND(N3793&lt;= 21, S3793=10), N3793-11)</f>
        <v>2</v>
      </c>
    </row>
    <row r="3794" spans="1:22" x14ac:dyDescent="0.35">
      <c r="A3794" s="4">
        <v>45578</v>
      </c>
      <c r="B3794" s="5">
        <v>0.14613425925925927</v>
      </c>
      <c r="C3794">
        <v>76.900000000000006</v>
      </c>
      <c r="D3794">
        <v>72.5</v>
      </c>
      <c r="E3794">
        <v>74.599999999999994</v>
      </c>
      <c r="F3794">
        <v>73.7</v>
      </c>
      <c r="G3794">
        <v>0</v>
      </c>
      <c r="H3794">
        <v>0</v>
      </c>
      <c r="I3794">
        <v>0</v>
      </c>
      <c r="J3794">
        <v>0</v>
      </c>
      <c r="K3794">
        <v>63.2</v>
      </c>
      <c r="L3794">
        <v>63</v>
      </c>
      <c r="M3794">
        <v>74.41</v>
      </c>
      <c r="N3794">
        <v>13</v>
      </c>
      <c r="O3794">
        <v>5</v>
      </c>
      <c r="P3794">
        <f>MOD(DAY(datos_siembra[[#This Row],[Date]]),7)</f>
        <v>6</v>
      </c>
      <c r="Q3794" t="str">
        <f>CHOOSE(WEEKDAY(datos_siembra[[#This Row],[Date]],2),"L","M","X","J","V","S","D")</f>
        <v>D</v>
      </c>
      <c r="R3794">
        <f>WEEKNUM(datos_siembra[[#This Row],[Date]],2)-WEEKNUM(DATE(YEAR(datos_siembra[[#This Row],[Date]]),MONTH(datos_siembra[[#This Row],[Date]]),1))+1</f>
        <v>2</v>
      </c>
      <c r="S3794">
        <f>MONTH(datos_siembra[[#This Row],[Date]])</f>
        <v>10</v>
      </c>
      <c r="T3794" t="str" cm="1">
        <f t="array" ref="T3794">_xlfn.IFS(AND(N3794&lt;= 22, S3794=9), "SOWING",AND(N3794&lt;= 28, S3794=9), "COVERAGE",AND(N3794&lt;= 30, S3794=9), "FLUSH",AND(N3794&lt;= 11, S3794=10), "FLUSH",AND(N3794&lt;= 21, S3794=10), "PRODUCTION")</f>
        <v>PRODUCTION</v>
      </c>
      <c r="U3794">
        <f>HOUR(datos_siembra[[#This Row],[Hour]])</f>
        <v>3</v>
      </c>
      <c r="V3794" cm="1">
        <f t="array" ref="V3794">_xlfn.IFS(AND(N3794&lt;= 22, S3794=9), N3794-7,AND(N3794&lt;= 28, S3794=9), N3794-25,AND(N3794&lt;= 30, S3794=9), N3794-28,AND(N3794&lt;= 11, S3794=10), N3794+2,AND(N3794&lt;= 21, S3794=10), N3794-11)</f>
        <v>2</v>
      </c>
    </row>
    <row r="3795" spans="1:22" x14ac:dyDescent="0.35">
      <c r="A3795" s="4">
        <v>45578</v>
      </c>
      <c r="B3795" s="5">
        <v>0.15309027777777778</v>
      </c>
      <c r="C3795">
        <v>76.900000000000006</v>
      </c>
      <c r="D3795">
        <v>72.400000000000006</v>
      </c>
      <c r="E3795">
        <v>74.5</v>
      </c>
      <c r="F3795">
        <v>73.7</v>
      </c>
      <c r="G3795">
        <v>0</v>
      </c>
      <c r="H3795">
        <v>0</v>
      </c>
      <c r="I3795">
        <v>0</v>
      </c>
      <c r="J3795">
        <v>0</v>
      </c>
      <c r="K3795">
        <v>63.2</v>
      </c>
      <c r="L3795">
        <v>62.8</v>
      </c>
      <c r="M3795">
        <v>74.44</v>
      </c>
      <c r="N3795">
        <v>13</v>
      </c>
      <c r="O3795">
        <v>5</v>
      </c>
      <c r="P3795">
        <f>MOD(DAY(datos_siembra[[#This Row],[Date]]),7)</f>
        <v>6</v>
      </c>
      <c r="Q3795" t="str">
        <f>CHOOSE(WEEKDAY(datos_siembra[[#This Row],[Date]],2),"L","M","X","J","V","S","D")</f>
        <v>D</v>
      </c>
      <c r="R3795">
        <f>WEEKNUM(datos_siembra[[#This Row],[Date]],2)-WEEKNUM(DATE(YEAR(datos_siembra[[#This Row],[Date]]),MONTH(datos_siembra[[#This Row],[Date]]),1))+1</f>
        <v>2</v>
      </c>
      <c r="S3795">
        <f>MONTH(datos_siembra[[#This Row],[Date]])</f>
        <v>10</v>
      </c>
      <c r="T3795" t="str" cm="1">
        <f t="array" ref="T3795">_xlfn.IFS(AND(N3795&lt;= 22, S3795=9), "SOWING",AND(N3795&lt;= 28, S3795=9), "COVERAGE",AND(N3795&lt;= 30, S3795=9), "FLUSH",AND(N3795&lt;= 11, S3795=10), "FLUSH",AND(N3795&lt;= 21, S3795=10), "PRODUCTION")</f>
        <v>PRODUCTION</v>
      </c>
      <c r="U3795">
        <f>HOUR(datos_siembra[[#This Row],[Hour]])</f>
        <v>3</v>
      </c>
      <c r="V3795" cm="1">
        <f t="array" ref="V3795">_xlfn.IFS(AND(N3795&lt;= 22, S3795=9), N3795-7,AND(N3795&lt;= 28, S3795=9), N3795-25,AND(N3795&lt;= 30, S3795=9), N3795-28,AND(N3795&lt;= 11, S3795=10), N3795+2,AND(N3795&lt;= 21, S3795=10), N3795-11)</f>
        <v>2</v>
      </c>
    </row>
    <row r="3796" spans="1:22" x14ac:dyDescent="0.35">
      <c r="A3796" s="4">
        <v>45578</v>
      </c>
      <c r="B3796" s="5">
        <v>0.16003472222222223</v>
      </c>
      <c r="C3796">
        <v>76.8</v>
      </c>
      <c r="D3796">
        <v>72.3</v>
      </c>
      <c r="E3796">
        <v>74.599999999999994</v>
      </c>
      <c r="F3796">
        <v>73.7</v>
      </c>
      <c r="G3796">
        <v>0</v>
      </c>
      <c r="H3796">
        <v>0</v>
      </c>
      <c r="I3796">
        <v>0</v>
      </c>
      <c r="J3796">
        <v>0</v>
      </c>
      <c r="K3796">
        <v>63.2</v>
      </c>
      <c r="L3796">
        <v>62.7</v>
      </c>
      <c r="M3796">
        <v>74.38</v>
      </c>
      <c r="N3796">
        <v>13</v>
      </c>
      <c r="O3796">
        <v>5</v>
      </c>
      <c r="P3796">
        <f>MOD(DAY(datos_siembra[[#This Row],[Date]]),7)</f>
        <v>6</v>
      </c>
      <c r="Q3796" t="str">
        <f>CHOOSE(WEEKDAY(datos_siembra[[#This Row],[Date]],2),"L","M","X","J","V","S","D")</f>
        <v>D</v>
      </c>
      <c r="R3796">
        <f>WEEKNUM(datos_siembra[[#This Row],[Date]],2)-WEEKNUM(DATE(YEAR(datos_siembra[[#This Row],[Date]]),MONTH(datos_siembra[[#This Row],[Date]]),1))+1</f>
        <v>2</v>
      </c>
      <c r="S3796">
        <f>MONTH(datos_siembra[[#This Row],[Date]])</f>
        <v>10</v>
      </c>
      <c r="T3796" t="str" cm="1">
        <f t="array" ref="T3796">_xlfn.IFS(AND(N3796&lt;= 22, S3796=9), "SOWING",AND(N3796&lt;= 28, S3796=9), "COVERAGE",AND(N3796&lt;= 30, S3796=9), "FLUSH",AND(N3796&lt;= 11, S3796=10), "FLUSH",AND(N3796&lt;= 21, S3796=10), "PRODUCTION")</f>
        <v>PRODUCTION</v>
      </c>
      <c r="U3796">
        <f>HOUR(datos_siembra[[#This Row],[Hour]])</f>
        <v>3</v>
      </c>
      <c r="V3796" cm="1">
        <f t="array" ref="V3796">_xlfn.IFS(AND(N3796&lt;= 22, S3796=9), N3796-7,AND(N3796&lt;= 28, S3796=9), N3796-25,AND(N3796&lt;= 30, S3796=9), N3796-28,AND(N3796&lt;= 11, S3796=10), N3796+2,AND(N3796&lt;= 21, S3796=10), N3796-11)</f>
        <v>2</v>
      </c>
    </row>
    <row r="3797" spans="1:22" x14ac:dyDescent="0.35">
      <c r="A3797" s="4">
        <v>45578</v>
      </c>
      <c r="B3797" s="5">
        <v>0.16697916666666668</v>
      </c>
      <c r="C3797">
        <v>76.8</v>
      </c>
      <c r="D3797">
        <v>72.5</v>
      </c>
      <c r="E3797">
        <v>74.5</v>
      </c>
      <c r="F3797">
        <v>73.5</v>
      </c>
      <c r="G3797">
        <v>0</v>
      </c>
      <c r="H3797">
        <v>0</v>
      </c>
      <c r="I3797">
        <v>0</v>
      </c>
      <c r="J3797">
        <v>0</v>
      </c>
      <c r="K3797">
        <v>63.2</v>
      </c>
      <c r="L3797">
        <v>62.8</v>
      </c>
      <c r="M3797">
        <v>74.33</v>
      </c>
      <c r="N3797">
        <v>13</v>
      </c>
      <c r="O3797">
        <v>5</v>
      </c>
      <c r="P3797">
        <f>MOD(DAY(datos_siembra[[#This Row],[Date]]),7)</f>
        <v>6</v>
      </c>
      <c r="Q3797" t="str">
        <f>CHOOSE(WEEKDAY(datos_siembra[[#This Row],[Date]],2),"L","M","X","J","V","S","D")</f>
        <v>D</v>
      </c>
      <c r="R3797">
        <f>WEEKNUM(datos_siembra[[#This Row],[Date]],2)-WEEKNUM(DATE(YEAR(datos_siembra[[#This Row],[Date]]),MONTH(datos_siembra[[#This Row],[Date]]),1))+1</f>
        <v>2</v>
      </c>
      <c r="S3797">
        <f>MONTH(datos_siembra[[#This Row],[Date]])</f>
        <v>10</v>
      </c>
      <c r="T3797" t="str" cm="1">
        <f t="array" ref="T3797">_xlfn.IFS(AND(N3797&lt;= 22, S3797=9), "SOWING",AND(N3797&lt;= 28, S3797=9), "COVERAGE",AND(N3797&lt;= 30, S3797=9), "FLUSH",AND(N3797&lt;= 11, S3797=10), "FLUSH",AND(N3797&lt;= 21, S3797=10), "PRODUCTION")</f>
        <v>PRODUCTION</v>
      </c>
      <c r="U3797">
        <f>HOUR(datos_siembra[[#This Row],[Hour]])</f>
        <v>4</v>
      </c>
      <c r="V3797" cm="1">
        <f t="array" ref="V3797">_xlfn.IFS(AND(N3797&lt;= 22, S3797=9), N3797-7,AND(N3797&lt;= 28, S3797=9), N3797-25,AND(N3797&lt;= 30, S3797=9), N3797-28,AND(N3797&lt;= 11, S3797=10), N3797+2,AND(N3797&lt;= 21, S3797=10), N3797-11)</f>
        <v>2</v>
      </c>
    </row>
    <row r="3798" spans="1:22" x14ac:dyDescent="0.35">
      <c r="A3798" s="4">
        <v>45578</v>
      </c>
      <c r="B3798" s="5">
        <v>0.1739236111111111</v>
      </c>
      <c r="C3798">
        <v>76.8</v>
      </c>
      <c r="D3798">
        <v>72.400000000000006</v>
      </c>
      <c r="E3798">
        <v>74.5</v>
      </c>
      <c r="F3798">
        <v>73.5</v>
      </c>
      <c r="G3798">
        <v>0</v>
      </c>
      <c r="H3798">
        <v>0</v>
      </c>
      <c r="I3798">
        <v>0</v>
      </c>
      <c r="J3798">
        <v>0</v>
      </c>
      <c r="K3798">
        <v>63</v>
      </c>
      <c r="L3798">
        <v>62.7</v>
      </c>
      <c r="M3798">
        <v>74.36</v>
      </c>
      <c r="N3798">
        <v>13</v>
      </c>
      <c r="O3798">
        <v>5</v>
      </c>
      <c r="P3798">
        <f>MOD(DAY(datos_siembra[[#This Row],[Date]]),7)</f>
        <v>6</v>
      </c>
      <c r="Q3798" t="str">
        <f>CHOOSE(WEEKDAY(datos_siembra[[#This Row],[Date]],2),"L","M","X","J","V","S","D")</f>
        <v>D</v>
      </c>
      <c r="R3798">
        <f>WEEKNUM(datos_siembra[[#This Row],[Date]],2)-WEEKNUM(DATE(YEAR(datos_siembra[[#This Row],[Date]]),MONTH(datos_siembra[[#This Row],[Date]]),1))+1</f>
        <v>2</v>
      </c>
      <c r="S3798">
        <f>MONTH(datos_siembra[[#This Row],[Date]])</f>
        <v>10</v>
      </c>
      <c r="T3798" t="str" cm="1">
        <f t="array" ref="T3798">_xlfn.IFS(AND(N3798&lt;= 22, S3798=9), "SOWING",AND(N3798&lt;= 28, S3798=9), "COVERAGE",AND(N3798&lt;= 30, S3798=9), "FLUSH",AND(N3798&lt;= 11, S3798=10), "FLUSH",AND(N3798&lt;= 21, S3798=10), "PRODUCTION")</f>
        <v>PRODUCTION</v>
      </c>
      <c r="U3798">
        <f>HOUR(datos_siembra[[#This Row],[Hour]])</f>
        <v>4</v>
      </c>
      <c r="V3798" cm="1">
        <f t="array" ref="V3798">_xlfn.IFS(AND(N3798&lt;= 22, S3798=9), N3798-7,AND(N3798&lt;= 28, S3798=9), N3798-25,AND(N3798&lt;= 30, S3798=9), N3798-28,AND(N3798&lt;= 11, S3798=10), N3798+2,AND(N3798&lt;= 21, S3798=10), N3798-11)</f>
        <v>2</v>
      </c>
    </row>
    <row r="3799" spans="1:22" x14ac:dyDescent="0.35">
      <c r="A3799" s="4">
        <v>45578</v>
      </c>
      <c r="B3799" s="5">
        <v>0.18087962962962964</v>
      </c>
      <c r="C3799">
        <v>76.7</v>
      </c>
      <c r="D3799">
        <v>72.400000000000006</v>
      </c>
      <c r="E3799">
        <v>74.400000000000006</v>
      </c>
      <c r="F3799">
        <v>73.5</v>
      </c>
      <c r="G3799">
        <v>0</v>
      </c>
      <c r="H3799">
        <v>0</v>
      </c>
      <c r="I3799">
        <v>0</v>
      </c>
      <c r="J3799">
        <v>0</v>
      </c>
      <c r="K3799">
        <v>63.2</v>
      </c>
      <c r="L3799">
        <v>62.7</v>
      </c>
      <c r="M3799">
        <v>74.22</v>
      </c>
      <c r="N3799">
        <v>13</v>
      </c>
      <c r="O3799">
        <v>5</v>
      </c>
      <c r="P3799">
        <f>MOD(DAY(datos_siembra[[#This Row],[Date]]),7)</f>
        <v>6</v>
      </c>
      <c r="Q3799" t="str">
        <f>CHOOSE(WEEKDAY(datos_siembra[[#This Row],[Date]],2),"L","M","X","J","V","S","D")</f>
        <v>D</v>
      </c>
      <c r="R3799">
        <f>WEEKNUM(datos_siembra[[#This Row],[Date]],2)-WEEKNUM(DATE(YEAR(datos_siembra[[#This Row],[Date]]),MONTH(datos_siembra[[#This Row],[Date]]),1))+1</f>
        <v>2</v>
      </c>
      <c r="S3799">
        <f>MONTH(datos_siembra[[#This Row],[Date]])</f>
        <v>10</v>
      </c>
      <c r="T3799" t="str" cm="1">
        <f t="array" ref="T3799">_xlfn.IFS(AND(N3799&lt;= 22, S3799=9), "SOWING",AND(N3799&lt;= 28, S3799=9), "COVERAGE",AND(N3799&lt;= 30, S3799=9), "FLUSH",AND(N3799&lt;= 11, S3799=10), "FLUSH",AND(N3799&lt;= 21, S3799=10), "PRODUCTION")</f>
        <v>PRODUCTION</v>
      </c>
      <c r="U3799">
        <f>HOUR(datos_siembra[[#This Row],[Hour]])</f>
        <v>4</v>
      </c>
      <c r="V3799" cm="1">
        <f t="array" ref="V3799">_xlfn.IFS(AND(N3799&lt;= 22, S3799=9), N3799-7,AND(N3799&lt;= 28, S3799=9), N3799-25,AND(N3799&lt;= 30, S3799=9), N3799-28,AND(N3799&lt;= 11, S3799=10), N3799+2,AND(N3799&lt;= 21, S3799=10), N3799-11)</f>
        <v>2</v>
      </c>
    </row>
    <row r="3800" spans="1:22" x14ac:dyDescent="0.35">
      <c r="A3800" s="4">
        <v>45578</v>
      </c>
      <c r="B3800" s="5">
        <v>0.18782407407407409</v>
      </c>
      <c r="C3800">
        <v>76.7</v>
      </c>
      <c r="D3800">
        <v>72.5</v>
      </c>
      <c r="E3800">
        <v>74.3</v>
      </c>
      <c r="F3800">
        <v>73.599999999999994</v>
      </c>
      <c r="G3800">
        <v>0</v>
      </c>
      <c r="H3800">
        <v>0</v>
      </c>
      <c r="I3800">
        <v>0</v>
      </c>
      <c r="J3800">
        <v>0</v>
      </c>
      <c r="K3800">
        <v>63.2</v>
      </c>
      <c r="L3800">
        <v>62.6</v>
      </c>
      <c r="M3800">
        <v>74.27</v>
      </c>
      <c r="N3800">
        <v>13</v>
      </c>
      <c r="O3800">
        <v>5</v>
      </c>
      <c r="P3800">
        <f>MOD(DAY(datos_siembra[[#This Row],[Date]]),7)</f>
        <v>6</v>
      </c>
      <c r="Q3800" t="str">
        <f>CHOOSE(WEEKDAY(datos_siembra[[#This Row],[Date]],2),"L","M","X","J","V","S","D")</f>
        <v>D</v>
      </c>
      <c r="R3800">
        <f>WEEKNUM(datos_siembra[[#This Row],[Date]],2)-WEEKNUM(DATE(YEAR(datos_siembra[[#This Row],[Date]]),MONTH(datos_siembra[[#This Row],[Date]]),1))+1</f>
        <v>2</v>
      </c>
      <c r="S3800">
        <f>MONTH(datos_siembra[[#This Row],[Date]])</f>
        <v>10</v>
      </c>
      <c r="T3800" t="str" cm="1">
        <f t="array" ref="T3800">_xlfn.IFS(AND(N3800&lt;= 22, S3800=9), "SOWING",AND(N3800&lt;= 28, S3800=9), "COVERAGE",AND(N3800&lt;= 30, S3800=9), "FLUSH",AND(N3800&lt;= 11, S3800=10), "FLUSH",AND(N3800&lt;= 21, S3800=10), "PRODUCTION")</f>
        <v>PRODUCTION</v>
      </c>
      <c r="U3800">
        <f>HOUR(datos_siembra[[#This Row],[Hour]])</f>
        <v>4</v>
      </c>
      <c r="V3800" cm="1">
        <f t="array" ref="V3800">_xlfn.IFS(AND(N3800&lt;= 22, S3800=9), N3800-7,AND(N3800&lt;= 28, S3800=9), N3800-25,AND(N3800&lt;= 30, S3800=9), N3800-28,AND(N3800&lt;= 11, S3800=10), N3800+2,AND(N3800&lt;= 21, S3800=10), N3800-11)</f>
        <v>2</v>
      </c>
    </row>
    <row r="3801" spans="1:22" x14ac:dyDescent="0.35">
      <c r="A3801" s="4">
        <v>45578</v>
      </c>
      <c r="B3801" s="5">
        <v>0.19476851851851851</v>
      </c>
      <c r="C3801">
        <v>76.8</v>
      </c>
      <c r="D3801">
        <v>72.400000000000006</v>
      </c>
      <c r="E3801">
        <v>74.3</v>
      </c>
      <c r="F3801">
        <v>73.5</v>
      </c>
      <c r="G3801">
        <v>0</v>
      </c>
      <c r="H3801">
        <v>0</v>
      </c>
      <c r="I3801">
        <v>0</v>
      </c>
      <c r="J3801">
        <v>0</v>
      </c>
      <c r="K3801">
        <v>62.9</v>
      </c>
      <c r="L3801">
        <v>62.7</v>
      </c>
      <c r="M3801">
        <v>74.19</v>
      </c>
      <c r="N3801">
        <v>13</v>
      </c>
      <c r="O3801">
        <v>5</v>
      </c>
      <c r="P3801">
        <f>MOD(DAY(datos_siembra[[#This Row],[Date]]),7)</f>
        <v>6</v>
      </c>
      <c r="Q3801" t="str">
        <f>CHOOSE(WEEKDAY(datos_siembra[[#This Row],[Date]],2),"L","M","X","J","V","S","D")</f>
        <v>D</v>
      </c>
      <c r="R3801">
        <f>WEEKNUM(datos_siembra[[#This Row],[Date]],2)-WEEKNUM(DATE(YEAR(datos_siembra[[#This Row],[Date]]),MONTH(datos_siembra[[#This Row],[Date]]),1))+1</f>
        <v>2</v>
      </c>
      <c r="S3801">
        <f>MONTH(datos_siembra[[#This Row],[Date]])</f>
        <v>10</v>
      </c>
      <c r="T3801" t="str" cm="1">
        <f t="array" ref="T3801">_xlfn.IFS(AND(N3801&lt;= 22, S3801=9), "SOWING",AND(N3801&lt;= 28, S3801=9), "COVERAGE",AND(N3801&lt;= 30, S3801=9), "FLUSH",AND(N3801&lt;= 11, S3801=10), "FLUSH",AND(N3801&lt;= 21, S3801=10), "PRODUCTION")</f>
        <v>PRODUCTION</v>
      </c>
      <c r="U3801">
        <f>HOUR(datos_siembra[[#This Row],[Hour]])</f>
        <v>4</v>
      </c>
      <c r="V3801" cm="1">
        <f t="array" ref="V3801">_xlfn.IFS(AND(N3801&lt;= 22, S3801=9), N3801-7,AND(N3801&lt;= 28, S3801=9), N3801-25,AND(N3801&lt;= 30, S3801=9), N3801-28,AND(N3801&lt;= 11, S3801=10), N3801+2,AND(N3801&lt;= 21, S3801=10), N3801-11)</f>
        <v>2</v>
      </c>
    </row>
    <row r="3802" spans="1:22" x14ac:dyDescent="0.35">
      <c r="A3802" s="4">
        <v>45578</v>
      </c>
      <c r="B3802" s="5">
        <v>0.20172453703703705</v>
      </c>
      <c r="C3802">
        <v>76.8</v>
      </c>
      <c r="D3802">
        <v>72.3</v>
      </c>
      <c r="E3802">
        <v>74.3</v>
      </c>
      <c r="F3802">
        <v>73.5</v>
      </c>
      <c r="G3802">
        <v>0</v>
      </c>
      <c r="H3802">
        <v>0</v>
      </c>
      <c r="I3802">
        <v>0</v>
      </c>
      <c r="J3802">
        <v>0</v>
      </c>
      <c r="K3802">
        <v>62.9</v>
      </c>
      <c r="L3802">
        <v>62.7</v>
      </c>
      <c r="M3802">
        <v>74.239999999999995</v>
      </c>
      <c r="N3802">
        <v>13</v>
      </c>
      <c r="O3802">
        <v>5</v>
      </c>
      <c r="P3802">
        <f>MOD(DAY(datos_siembra[[#This Row],[Date]]),7)</f>
        <v>6</v>
      </c>
      <c r="Q3802" t="str">
        <f>CHOOSE(WEEKDAY(datos_siembra[[#This Row],[Date]],2),"L","M","X","J","V","S","D")</f>
        <v>D</v>
      </c>
      <c r="R3802">
        <f>WEEKNUM(datos_siembra[[#This Row],[Date]],2)-WEEKNUM(DATE(YEAR(datos_siembra[[#This Row],[Date]]),MONTH(datos_siembra[[#This Row],[Date]]),1))+1</f>
        <v>2</v>
      </c>
      <c r="S3802">
        <f>MONTH(datos_siembra[[#This Row],[Date]])</f>
        <v>10</v>
      </c>
      <c r="T3802" t="str" cm="1">
        <f t="array" ref="T3802">_xlfn.IFS(AND(N3802&lt;= 22, S3802=9), "SOWING",AND(N3802&lt;= 28, S3802=9), "COVERAGE",AND(N3802&lt;= 30, S3802=9), "FLUSH",AND(N3802&lt;= 11, S3802=10), "FLUSH",AND(N3802&lt;= 21, S3802=10), "PRODUCTION")</f>
        <v>PRODUCTION</v>
      </c>
      <c r="U3802">
        <f>HOUR(datos_siembra[[#This Row],[Hour]])</f>
        <v>4</v>
      </c>
      <c r="V3802" cm="1">
        <f t="array" ref="V3802">_xlfn.IFS(AND(N3802&lt;= 22, S3802=9), N3802-7,AND(N3802&lt;= 28, S3802=9), N3802-25,AND(N3802&lt;= 30, S3802=9), N3802-28,AND(N3802&lt;= 11, S3802=10), N3802+2,AND(N3802&lt;= 21, S3802=10), N3802-11)</f>
        <v>2</v>
      </c>
    </row>
    <row r="3803" spans="1:22" x14ac:dyDescent="0.35">
      <c r="A3803" s="4">
        <v>45578</v>
      </c>
      <c r="B3803" s="5">
        <v>0.20866898148148147</v>
      </c>
      <c r="C3803">
        <v>76.7</v>
      </c>
      <c r="D3803">
        <v>72.400000000000006</v>
      </c>
      <c r="E3803">
        <v>74.2</v>
      </c>
      <c r="F3803">
        <v>73.5</v>
      </c>
      <c r="G3803">
        <v>0</v>
      </c>
      <c r="H3803">
        <v>0</v>
      </c>
      <c r="I3803">
        <v>0</v>
      </c>
      <c r="J3803">
        <v>0</v>
      </c>
      <c r="K3803">
        <v>62.8</v>
      </c>
      <c r="L3803">
        <v>62.9</v>
      </c>
      <c r="M3803">
        <v>74.16</v>
      </c>
      <c r="N3803">
        <v>13</v>
      </c>
      <c r="O3803">
        <v>5</v>
      </c>
      <c r="P3803">
        <f>MOD(DAY(datos_siembra[[#This Row],[Date]]),7)</f>
        <v>6</v>
      </c>
      <c r="Q3803" t="str">
        <f>CHOOSE(WEEKDAY(datos_siembra[[#This Row],[Date]],2),"L","M","X","J","V","S","D")</f>
        <v>D</v>
      </c>
      <c r="R3803">
        <f>WEEKNUM(datos_siembra[[#This Row],[Date]],2)-WEEKNUM(DATE(YEAR(datos_siembra[[#This Row],[Date]]),MONTH(datos_siembra[[#This Row],[Date]]),1))+1</f>
        <v>2</v>
      </c>
      <c r="S3803">
        <f>MONTH(datos_siembra[[#This Row],[Date]])</f>
        <v>10</v>
      </c>
      <c r="T3803" t="str" cm="1">
        <f t="array" ref="T3803">_xlfn.IFS(AND(N3803&lt;= 22, S3803=9), "SOWING",AND(N3803&lt;= 28, S3803=9), "COVERAGE",AND(N3803&lt;= 30, S3803=9), "FLUSH",AND(N3803&lt;= 11, S3803=10), "FLUSH",AND(N3803&lt;= 21, S3803=10), "PRODUCTION")</f>
        <v>PRODUCTION</v>
      </c>
      <c r="U3803">
        <f>HOUR(datos_siembra[[#This Row],[Hour]])</f>
        <v>5</v>
      </c>
      <c r="V3803" cm="1">
        <f t="array" ref="V3803">_xlfn.IFS(AND(N3803&lt;= 22, S3803=9), N3803-7,AND(N3803&lt;= 28, S3803=9), N3803-25,AND(N3803&lt;= 30, S3803=9), N3803-28,AND(N3803&lt;= 11, S3803=10), N3803+2,AND(N3803&lt;= 21, S3803=10), N3803-11)</f>
        <v>2</v>
      </c>
    </row>
    <row r="3804" spans="1:22" x14ac:dyDescent="0.35">
      <c r="A3804" s="4">
        <v>45578</v>
      </c>
      <c r="B3804" s="5">
        <v>0.21561342592592592</v>
      </c>
      <c r="C3804">
        <v>76.7</v>
      </c>
      <c r="D3804">
        <v>72.3</v>
      </c>
      <c r="E3804">
        <v>74.099999999999994</v>
      </c>
      <c r="F3804">
        <v>73.5</v>
      </c>
      <c r="G3804">
        <v>0</v>
      </c>
      <c r="H3804">
        <v>0</v>
      </c>
      <c r="I3804">
        <v>0</v>
      </c>
      <c r="J3804">
        <v>0</v>
      </c>
      <c r="K3804">
        <v>62.8</v>
      </c>
      <c r="L3804">
        <v>62.6</v>
      </c>
      <c r="M3804">
        <v>74.069999999999993</v>
      </c>
      <c r="N3804">
        <v>13</v>
      </c>
      <c r="O3804">
        <v>5</v>
      </c>
      <c r="P3804">
        <f>MOD(DAY(datos_siembra[[#This Row],[Date]]),7)</f>
        <v>6</v>
      </c>
      <c r="Q3804" t="str">
        <f>CHOOSE(WEEKDAY(datos_siembra[[#This Row],[Date]],2),"L","M","X","J","V","S","D")</f>
        <v>D</v>
      </c>
      <c r="R3804">
        <f>WEEKNUM(datos_siembra[[#This Row],[Date]],2)-WEEKNUM(DATE(YEAR(datos_siembra[[#This Row],[Date]]),MONTH(datos_siembra[[#This Row],[Date]]),1))+1</f>
        <v>2</v>
      </c>
      <c r="S3804">
        <f>MONTH(datos_siembra[[#This Row],[Date]])</f>
        <v>10</v>
      </c>
      <c r="T3804" t="str" cm="1">
        <f t="array" ref="T3804">_xlfn.IFS(AND(N3804&lt;= 22, S3804=9), "SOWING",AND(N3804&lt;= 28, S3804=9), "COVERAGE",AND(N3804&lt;= 30, S3804=9), "FLUSH",AND(N3804&lt;= 11, S3804=10), "FLUSH",AND(N3804&lt;= 21, S3804=10), "PRODUCTION")</f>
        <v>PRODUCTION</v>
      </c>
      <c r="U3804">
        <f>HOUR(datos_siembra[[#This Row],[Hour]])</f>
        <v>5</v>
      </c>
      <c r="V3804" cm="1">
        <f t="array" ref="V3804">_xlfn.IFS(AND(N3804&lt;= 22, S3804=9), N3804-7,AND(N3804&lt;= 28, S3804=9), N3804-25,AND(N3804&lt;= 30, S3804=9), N3804-28,AND(N3804&lt;= 11, S3804=10), N3804+2,AND(N3804&lt;= 21, S3804=10), N3804-11)</f>
        <v>2</v>
      </c>
    </row>
    <row r="3805" spans="1:22" x14ac:dyDescent="0.35">
      <c r="A3805" s="4">
        <v>45578</v>
      </c>
      <c r="B3805" s="5">
        <v>0.22255787037037036</v>
      </c>
      <c r="C3805">
        <v>76.7</v>
      </c>
      <c r="D3805">
        <v>72.5</v>
      </c>
      <c r="E3805">
        <v>74.3</v>
      </c>
      <c r="F3805">
        <v>73.5</v>
      </c>
      <c r="G3805">
        <v>0</v>
      </c>
      <c r="H3805">
        <v>0</v>
      </c>
      <c r="I3805">
        <v>0</v>
      </c>
      <c r="J3805">
        <v>0</v>
      </c>
      <c r="K3805">
        <v>62.8</v>
      </c>
      <c r="L3805">
        <v>62.5</v>
      </c>
      <c r="M3805">
        <v>74.16</v>
      </c>
      <c r="N3805">
        <v>13</v>
      </c>
      <c r="O3805">
        <v>5</v>
      </c>
      <c r="P3805">
        <f>MOD(DAY(datos_siembra[[#This Row],[Date]]),7)</f>
        <v>6</v>
      </c>
      <c r="Q3805" t="str">
        <f>CHOOSE(WEEKDAY(datos_siembra[[#This Row],[Date]],2),"L","M","X","J","V","S","D")</f>
        <v>D</v>
      </c>
      <c r="R3805">
        <f>WEEKNUM(datos_siembra[[#This Row],[Date]],2)-WEEKNUM(DATE(YEAR(datos_siembra[[#This Row],[Date]]),MONTH(datos_siembra[[#This Row],[Date]]),1))+1</f>
        <v>2</v>
      </c>
      <c r="S3805">
        <f>MONTH(datos_siembra[[#This Row],[Date]])</f>
        <v>10</v>
      </c>
      <c r="T3805" t="str" cm="1">
        <f t="array" ref="T3805">_xlfn.IFS(AND(N3805&lt;= 22, S3805=9), "SOWING",AND(N3805&lt;= 28, S3805=9), "COVERAGE",AND(N3805&lt;= 30, S3805=9), "FLUSH",AND(N3805&lt;= 11, S3805=10), "FLUSH",AND(N3805&lt;= 21, S3805=10), "PRODUCTION")</f>
        <v>PRODUCTION</v>
      </c>
      <c r="U3805">
        <f>HOUR(datos_siembra[[#This Row],[Hour]])</f>
        <v>5</v>
      </c>
      <c r="V3805" cm="1">
        <f t="array" ref="V3805">_xlfn.IFS(AND(N3805&lt;= 22, S3805=9), N3805-7,AND(N3805&lt;= 28, S3805=9), N3805-25,AND(N3805&lt;= 30, S3805=9), N3805-28,AND(N3805&lt;= 11, S3805=10), N3805+2,AND(N3805&lt;= 21, S3805=10), N3805-11)</f>
        <v>2</v>
      </c>
    </row>
    <row r="3806" spans="1:22" x14ac:dyDescent="0.35">
      <c r="A3806" s="4">
        <v>45578</v>
      </c>
      <c r="B3806" s="5">
        <v>0.22951388888888888</v>
      </c>
      <c r="C3806">
        <v>76.599999999999994</v>
      </c>
      <c r="D3806">
        <v>72.400000000000006</v>
      </c>
      <c r="E3806">
        <v>74.099999999999994</v>
      </c>
      <c r="F3806">
        <v>73.400000000000006</v>
      </c>
      <c r="G3806">
        <v>0</v>
      </c>
      <c r="H3806">
        <v>0</v>
      </c>
      <c r="I3806">
        <v>0</v>
      </c>
      <c r="J3806">
        <v>0</v>
      </c>
      <c r="K3806">
        <v>62.8</v>
      </c>
      <c r="L3806">
        <v>62.5</v>
      </c>
      <c r="M3806">
        <v>74.19</v>
      </c>
      <c r="N3806">
        <v>13</v>
      </c>
      <c r="O3806">
        <v>5</v>
      </c>
      <c r="P3806">
        <f>MOD(DAY(datos_siembra[[#This Row],[Date]]),7)</f>
        <v>6</v>
      </c>
      <c r="Q3806" t="str">
        <f>CHOOSE(WEEKDAY(datos_siembra[[#This Row],[Date]],2),"L","M","X","J","V","S","D")</f>
        <v>D</v>
      </c>
      <c r="R3806">
        <f>WEEKNUM(datos_siembra[[#This Row],[Date]],2)-WEEKNUM(DATE(YEAR(datos_siembra[[#This Row],[Date]]),MONTH(datos_siembra[[#This Row],[Date]]),1))+1</f>
        <v>2</v>
      </c>
      <c r="S3806">
        <f>MONTH(datos_siembra[[#This Row],[Date]])</f>
        <v>10</v>
      </c>
      <c r="T3806" t="str" cm="1">
        <f t="array" ref="T3806">_xlfn.IFS(AND(N3806&lt;= 22, S3806=9), "SOWING",AND(N3806&lt;= 28, S3806=9), "COVERAGE",AND(N3806&lt;= 30, S3806=9), "FLUSH",AND(N3806&lt;= 11, S3806=10), "FLUSH",AND(N3806&lt;= 21, S3806=10), "PRODUCTION")</f>
        <v>PRODUCTION</v>
      </c>
      <c r="U3806">
        <f>HOUR(datos_siembra[[#This Row],[Hour]])</f>
        <v>5</v>
      </c>
      <c r="V3806" cm="1">
        <f t="array" ref="V3806">_xlfn.IFS(AND(N3806&lt;= 22, S3806=9), N3806-7,AND(N3806&lt;= 28, S3806=9), N3806-25,AND(N3806&lt;= 30, S3806=9), N3806-28,AND(N3806&lt;= 11, S3806=10), N3806+2,AND(N3806&lt;= 21, S3806=10), N3806-11)</f>
        <v>2</v>
      </c>
    </row>
    <row r="3807" spans="1:22" x14ac:dyDescent="0.35">
      <c r="A3807" s="4">
        <v>45578</v>
      </c>
      <c r="B3807" s="5">
        <v>0.23645833333333333</v>
      </c>
      <c r="C3807">
        <v>76.599999999999994</v>
      </c>
      <c r="D3807">
        <v>72.400000000000006</v>
      </c>
      <c r="E3807">
        <v>74.2</v>
      </c>
      <c r="F3807">
        <v>73.400000000000006</v>
      </c>
      <c r="G3807">
        <v>0</v>
      </c>
      <c r="H3807">
        <v>0</v>
      </c>
      <c r="I3807">
        <v>0</v>
      </c>
      <c r="J3807">
        <v>0</v>
      </c>
      <c r="K3807">
        <v>62.7</v>
      </c>
      <c r="L3807">
        <v>62.5</v>
      </c>
      <c r="M3807">
        <v>74.069999999999993</v>
      </c>
      <c r="N3807">
        <v>13</v>
      </c>
      <c r="O3807">
        <v>5</v>
      </c>
      <c r="P3807">
        <f>MOD(DAY(datos_siembra[[#This Row],[Date]]),7)</f>
        <v>6</v>
      </c>
      <c r="Q3807" t="str">
        <f>CHOOSE(WEEKDAY(datos_siembra[[#This Row],[Date]],2),"L","M","X","J","V","S","D")</f>
        <v>D</v>
      </c>
      <c r="R3807">
        <f>WEEKNUM(datos_siembra[[#This Row],[Date]],2)-WEEKNUM(DATE(YEAR(datos_siembra[[#This Row],[Date]]),MONTH(datos_siembra[[#This Row],[Date]]),1))+1</f>
        <v>2</v>
      </c>
      <c r="S3807">
        <f>MONTH(datos_siembra[[#This Row],[Date]])</f>
        <v>10</v>
      </c>
      <c r="T3807" t="str" cm="1">
        <f t="array" ref="T3807">_xlfn.IFS(AND(N3807&lt;= 22, S3807=9), "SOWING",AND(N3807&lt;= 28, S3807=9), "COVERAGE",AND(N3807&lt;= 30, S3807=9), "FLUSH",AND(N3807&lt;= 11, S3807=10), "FLUSH",AND(N3807&lt;= 21, S3807=10), "PRODUCTION")</f>
        <v>PRODUCTION</v>
      </c>
      <c r="U3807">
        <f>HOUR(datos_siembra[[#This Row],[Hour]])</f>
        <v>5</v>
      </c>
      <c r="V3807" cm="1">
        <f t="array" ref="V3807">_xlfn.IFS(AND(N3807&lt;= 22, S3807=9), N3807-7,AND(N3807&lt;= 28, S3807=9), N3807-25,AND(N3807&lt;= 30, S3807=9), N3807-28,AND(N3807&lt;= 11, S3807=10), N3807+2,AND(N3807&lt;= 21, S3807=10), N3807-11)</f>
        <v>2</v>
      </c>
    </row>
    <row r="3808" spans="1:22" x14ac:dyDescent="0.35">
      <c r="A3808" s="4">
        <v>45578</v>
      </c>
      <c r="B3808" s="5">
        <v>0.24340277777777777</v>
      </c>
      <c r="C3808">
        <v>76.599999999999994</v>
      </c>
      <c r="D3808">
        <v>72.5</v>
      </c>
      <c r="E3808">
        <v>74.2</v>
      </c>
      <c r="F3808">
        <v>73.400000000000006</v>
      </c>
      <c r="G3808">
        <v>0</v>
      </c>
      <c r="H3808">
        <v>0</v>
      </c>
      <c r="I3808">
        <v>0</v>
      </c>
      <c r="J3808">
        <v>0</v>
      </c>
      <c r="K3808">
        <v>62.6</v>
      </c>
      <c r="L3808">
        <v>62.6</v>
      </c>
      <c r="M3808">
        <v>74.099999999999994</v>
      </c>
      <c r="N3808">
        <v>13</v>
      </c>
      <c r="O3808">
        <v>5</v>
      </c>
      <c r="P3808">
        <f>MOD(DAY(datos_siembra[[#This Row],[Date]]),7)</f>
        <v>6</v>
      </c>
      <c r="Q3808" t="str">
        <f>CHOOSE(WEEKDAY(datos_siembra[[#This Row],[Date]],2),"L","M","X","J","V","S","D")</f>
        <v>D</v>
      </c>
      <c r="R3808">
        <f>WEEKNUM(datos_siembra[[#This Row],[Date]],2)-WEEKNUM(DATE(YEAR(datos_siembra[[#This Row],[Date]]),MONTH(datos_siembra[[#This Row],[Date]]),1))+1</f>
        <v>2</v>
      </c>
      <c r="S3808">
        <f>MONTH(datos_siembra[[#This Row],[Date]])</f>
        <v>10</v>
      </c>
      <c r="T3808" t="str" cm="1">
        <f t="array" ref="T3808">_xlfn.IFS(AND(N3808&lt;= 22, S3808=9), "SOWING",AND(N3808&lt;= 28, S3808=9), "COVERAGE",AND(N3808&lt;= 30, S3808=9), "FLUSH",AND(N3808&lt;= 11, S3808=10), "FLUSH",AND(N3808&lt;= 21, S3808=10), "PRODUCTION")</f>
        <v>PRODUCTION</v>
      </c>
      <c r="U3808">
        <f>HOUR(datos_siembra[[#This Row],[Hour]])</f>
        <v>5</v>
      </c>
      <c r="V3808" cm="1">
        <f t="array" ref="V3808">_xlfn.IFS(AND(N3808&lt;= 22, S3808=9), N3808-7,AND(N3808&lt;= 28, S3808=9), N3808-25,AND(N3808&lt;= 30, S3808=9), N3808-28,AND(N3808&lt;= 11, S3808=10), N3808+2,AND(N3808&lt;= 21, S3808=10), N3808-11)</f>
        <v>2</v>
      </c>
    </row>
    <row r="3809" spans="1:22" x14ac:dyDescent="0.35">
      <c r="A3809" s="4">
        <v>45578</v>
      </c>
      <c r="B3809" s="5">
        <v>0.25034722222222222</v>
      </c>
      <c r="C3809">
        <v>76.400000000000006</v>
      </c>
      <c r="D3809">
        <v>72.3</v>
      </c>
      <c r="E3809">
        <v>74</v>
      </c>
      <c r="F3809">
        <v>73.400000000000006</v>
      </c>
      <c r="G3809">
        <v>0</v>
      </c>
      <c r="H3809">
        <v>0</v>
      </c>
      <c r="I3809">
        <v>0</v>
      </c>
      <c r="J3809">
        <v>0</v>
      </c>
      <c r="K3809">
        <v>62.7</v>
      </c>
      <c r="L3809">
        <v>62.5</v>
      </c>
      <c r="M3809">
        <v>73.989999999999995</v>
      </c>
      <c r="N3809">
        <v>13</v>
      </c>
      <c r="O3809">
        <v>5</v>
      </c>
      <c r="P3809">
        <f>MOD(DAY(datos_siembra[[#This Row],[Date]]),7)</f>
        <v>6</v>
      </c>
      <c r="Q3809" t="str">
        <f>CHOOSE(WEEKDAY(datos_siembra[[#This Row],[Date]],2),"L","M","X","J","V","S","D")</f>
        <v>D</v>
      </c>
      <c r="R3809">
        <f>WEEKNUM(datos_siembra[[#This Row],[Date]],2)-WEEKNUM(DATE(YEAR(datos_siembra[[#This Row],[Date]]),MONTH(datos_siembra[[#This Row],[Date]]),1))+1</f>
        <v>2</v>
      </c>
      <c r="S3809">
        <f>MONTH(datos_siembra[[#This Row],[Date]])</f>
        <v>10</v>
      </c>
      <c r="T3809" t="str" cm="1">
        <f t="array" ref="T3809">_xlfn.IFS(AND(N3809&lt;= 22, S3809=9), "SOWING",AND(N3809&lt;= 28, S3809=9), "COVERAGE",AND(N3809&lt;= 30, S3809=9), "FLUSH",AND(N3809&lt;= 11, S3809=10), "FLUSH",AND(N3809&lt;= 21, S3809=10), "PRODUCTION")</f>
        <v>PRODUCTION</v>
      </c>
      <c r="U3809">
        <f>HOUR(datos_siembra[[#This Row],[Hour]])</f>
        <v>6</v>
      </c>
      <c r="V3809" cm="1">
        <f t="array" ref="V3809">_xlfn.IFS(AND(N3809&lt;= 22, S3809=9), N3809-7,AND(N3809&lt;= 28, S3809=9), N3809-25,AND(N3809&lt;= 30, S3809=9), N3809-28,AND(N3809&lt;= 11, S3809=10), N3809+2,AND(N3809&lt;= 21, S3809=10), N3809-11)</f>
        <v>2</v>
      </c>
    </row>
    <row r="3810" spans="1:22" x14ac:dyDescent="0.35">
      <c r="A3810" s="4">
        <v>45578</v>
      </c>
      <c r="B3810" s="5">
        <v>0.25730324074074074</v>
      </c>
      <c r="C3810">
        <v>76.599999999999994</v>
      </c>
      <c r="D3810">
        <v>72.3</v>
      </c>
      <c r="E3810">
        <v>74</v>
      </c>
      <c r="F3810">
        <v>73.3</v>
      </c>
      <c r="G3810">
        <v>0</v>
      </c>
      <c r="H3810">
        <v>0</v>
      </c>
      <c r="I3810">
        <v>0</v>
      </c>
      <c r="J3810">
        <v>0</v>
      </c>
      <c r="K3810">
        <v>62.7</v>
      </c>
      <c r="L3810">
        <v>62.6</v>
      </c>
      <c r="M3810">
        <v>74.02</v>
      </c>
      <c r="N3810">
        <v>13</v>
      </c>
      <c r="O3810">
        <v>5</v>
      </c>
      <c r="P3810">
        <f>MOD(DAY(datos_siembra[[#This Row],[Date]]),7)</f>
        <v>6</v>
      </c>
      <c r="Q3810" t="str">
        <f>CHOOSE(WEEKDAY(datos_siembra[[#This Row],[Date]],2),"L","M","X","J","V","S","D")</f>
        <v>D</v>
      </c>
      <c r="R3810">
        <f>WEEKNUM(datos_siembra[[#This Row],[Date]],2)-WEEKNUM(DATE(YEAR(datos_siembra[[#This Row],[Date]]),MONTH(datos_siembra[[#This Row],[Date]]),1))+1</f>
        <v>2</v>
      </c>
      <c r="S3810">
        <f>MONTH(datos_siembra[[#This Row],[Date]])</f>
        <v>10</v>
      </c>
      <c r="T3810" t="str" cm="1">
        <f t="array" ref="T3810">_xlfn.IFS(AND(N3810&lt;= 22, S3810=9), "SOWING",AND(N3810&lt;= 28, S3810=9), "COVERAGE",AND(N3810&lt;= 30, S3810=9), "FLUSH",AND(N3810&lt;= 11, S3810=10), "FLUSH",AND(N3810&lt;= 21, S3810=10), "PRODUCTION")</f>
        <v>PRODUCTION</v>
      </c>
      <c r="U3810">
        <f>HOUR(datos_siembra[[#This Row],[Hour]])</f>
        <v>6</v>
      </c>
      <c r="V3810" cm="1">
        <f t="array" ref="V3810">_xlfn.IFS(AND(N3810&lt;= 22, S3810=9), N3810-7,AND(N3810&lt;= 28, S3810=9), N3810-25,AND(N3810&lt;= 30, S3810=9), N3810-28,AND(N3810&lt;= 11, S3810=10), N3810+2,AND(N3810&lt;= 21, S3810=10), N3810-11)</f>
        <v>2</v>
      </c>
    </row>
    <row r="3811" spans="1:22" x14ac:dyDescent="0.35">
      <c r="A3811" s="4">
        <v>45578</v>
      </c>
      <c r="B3811" s="5">
        <v>0.26424768518518521</v>
      </c>
      <c r="C3811">
        <v>76.599999999999994</v>
      </c>
      <c r="D3811">
        <v>72.3</v>
      </c>
      <c r="E3811">
        <v>73.900000000000006</v>
      </c>
      <c r="F3811">
        <v>73.2</v>
      </c>
      <c r="G3811">
        <v>0</v>
      </c>
      <c r="H3811">
        <v>0</v>
      </c>
      <c r="I3811">
        <v>0</v>
      </c>
      <c r="J3811">
        <v>0</v>
      </c>
      <c r="K3811">
        <v>62.7</v>
      </c>
      <c r="L3811">
        <v>62.6</v>
      </c>
      <c r="M3811">
        <v>73.91</v>
      </c>
      <c r="N3811">
        <v>13</v>
      </c>
      <c r="O3811">
        <v>5</v>
      </c>
      <c r="P3811">
        <f>MOD(DAY(datos_siembra[[#This Row],[Date]]),7)</f>
        <v>6</v>
      </c>
      <c r="Q3811" t="str">
        <f>CHOOSE(WEEKDAY(datos_siembra[[#This Row],[Date]],2),"L","M","X","J","V","S","D")</f>
        <v>D</v>
      </c>
      <c r="R3811">
        <f>WEEKNUM(datos_siembra[[#This Row],[Date]],2)-WEEKNUM(DATE(YEAR(datos_siembra[[#This Row],[Date]]),MONTH(datos_siembra[[#This Row],[Date]]),1))+1</f>
        <v>2</v>
      </c>
      <c r="S3811">
        <f>MONTH(datos_siembra[[#This Row],[Date]])</f>
        <v>10</v>
      </c>
      <c r="T3811" t="str" cm="1">
        <f t="array" ref="T3811">_xlfn.IFS(AND(N3811&lt;= 22, S3811=9), "SOWING",AND(N3811&lt;= 28, S3811=9), "COVERAGE",AND(N3811&lt;= 30, S3811=9), "FLUSH",AND(N3811&lt;= 11, S3811=10), "FLUSH",AND(N3811&lt;= 21, S3811=10), "PRODUCTION")</f>
        <v>PRODUCTION</v>
      </c>
      <c r="U3811">
        <f>HOUR(datos_siembra[[#This Row],[Hour]])</f>
        <v>6</v>
      </c>
      <c r="V3811" cm="1">
        <f t="array" ref="V3811">_xlfn.IFS(AND(N3811&lt;= 22, S3811=9), N3811-7,AND(N3811&lt;= 28, S3811=9), N3811-25,AND(N3811&lt;= 30, S3811=9), N3811-28,AND(N3811&lt;= 11, S3811=10), N3811+2,AND(N3811&lt;= 21, S3811=10), N3811-11)</f>
        <v>2</v>
      </c>
    </row>
    <row r="3812" spans="1:22" x14ac:dyDescent="0.35">
      <c r="A3812" s="4">
        <v>45578</v>
      </c>
      <c r="B3812" s="5">
        <v>0.27119212962962963</v>
      </c>
      <c r="C3812">
        <v>76.400000000000006</v>
      </c>
      <c r="D3812">
        <v>72.400000000000006</v>
      </c>
      <c r="E3812">
        <v>73.7</v>
      </c>
      <c r="F3812">
        <v>73.2</v>
      </c>
      <c r="G3812">
        <v>0</v>
      </c>
      <c r="H3812">
        <v>0</v>
      </c>
      <c r="I3812">
        <v>0</v>
      </c>
      <c r="J3812">
        <v>0</v>
      </c>
      <c r="K3812">
        <v>62.7</v>
      </c>
      <c r="L3812">
        <v>62.7</v>
      </c>
      <c r="M3812">
        <v>73.91</v>
      </c>
      <c r="N3812">
        <v>13</v>
      </c>
      <c r="O3812">
        <v>5</v>
      </c>
      <c r="P3812">
        <f>MOD(DAY(datos_siembra[[#This Row],[Date]]),7)</f>
        <v>6</v>
      </c>
      <c r="Q3812" t="str">
        <f>CHOOSE(WEEKDAY(datos_siembra[[#This Row],[Date]],2),"L","M","X","J","V","S","D")</f>
        <v>D</v>
      </c>
      <c r="R3812">
        <f>WEEKNUM(datos_siembra[[#This Row],[Date]],2)-WEEKNUM(DATE(YEAR(datos_siembra[[#This Row],[Date]]),MONTH(datos_siembra[[#This Row],[Date]]),1))+1</f>
        <v>2</v>
      </c>
      <c r="S3812">
        <f>MONTH(datos_siembra[[#This Row],[Date]])</f>
        <v>10</v>
      </c>
      <c r="T3812" t="str" cm="1">
        <f t="array" ref="T3812">_xlfn.IFS(AND(N3812&lt;= 22, S3812=9), "SOWING",AND(N3812&lt;= 28, S3812=9), "COVERAGE",AND(N3812&lt;= 30, S3812=9), "FLUSH",AND(N3812&lt;= 11, S3812=10), "FLUSH",AND(N3812&lt;= 21, S3812=10), "PRODUCTION")</f>
        <v>PRODUCTION</v>
      </c>
      <c r="U3812">
        <f>HOUR(datos_siembra[[#This Row],[Hour]])</f>
        <v>6</v>
      </c>
      <c r="V3812" cm="1">
        <f t="array" ref="V3812">_xlfn.IFS(AND(N3812&lt;= 22, S3812=9), N3812-7,AND(N3812&lt;= 28, S3812=9), N3812-25,AND(N3812&lt;= 30, S3812=9), N3812-28,AND(N3812&lt;= 11, S3812=10), N3812+2,AND(N3812&lt;= 21, S3812=10), N3812-11)</f>
        <v>2</v>
      </c>
    </row>
    <row r="3813" spans="1:22" x14ac:dyDescent="0.35">
      <c r="A3813" s="4">
        <v>45578</v>
      </c>
      <c r="B3813" s="5">
        <v>0.27814814814814814</v>
      </c>
      <c r="C3813">
        <v>76.400000000000006</v>
      </c>
      <c r="D3813">
        <v>72.3</v>
      </c>
      <c r="E3813">
        <v>73.599999999999994</v>
      </c>
      <c r="F3813">
        <v>73.2</v>
      </c>
      <c r="G3813">
        <v>0</v>
      </c>
      <c r="H3813">
        <v>0</v>
      </c>
      <c r="I3813">
        <v>0</v>
      </c>
      <c r="J3813">
        <v>0</v>
      </c>
      <c r="K3813">
        <v>62.7</v>
      </c>
      <c r="L3813">
        <v>62.8</v>
      </c>
      <c r="M3813">
        <v>73.790000000000006</v>
      </c>
      <c r="N3813">
        <v>13</v>
      </c>
      <c r="O3813">
        <v>5</v>
      </c>
      <c r="P3813">
        <f>MOD(DAY(datos_siembra[[#This Row],[Date]]),7)</f>
        <v>6</v>
      </c>
      <c r="Q3813" t="str">
        <f>CHOOSE(WEEKDAY(datos_siembra[[#This Row],[Date]],2),"L","M","X","J","V","S","D")</f>
        <v>D</v>
      </c>
      <c r="R3813">
        <f>WEEKNUM(datos_siembra[[#This Row],[Date]],2)-WEEKNUM(DATE(YEAR(datos_siembra[[#This Row],[Date]]),MONTH(datos_siembra[[#This Row],[Date]]),1))+1</f>
        <v>2</v>
      </c>
      <c r="S3813">
        <f>MONTH(datos_siembra[[#This Row],[Date]])</f>
        <v>10</v>
      </c>
      <c r="T3813" t="str" cm="1">
        <f t="array" ref="T3813">_xlfn.IFS(AND(N3813&lt;= 22, S3813=9), "SOWING",AND(N3813&lt;= 28, S3813=9), "COVERAGE",AND(N3813&lt;= 30, S3813=9), "FLUSH",AND(N3813&lt;= 11, S3813=10), "FLUSH",AND(N3813&lt;= 21, S3813=10), "PRODUCTION")</f>
        <v>PRODUCTION</v>
      </c>
      <c r="U3813">
        <f>HOUR(datos_siembra[[#This Row],[Hour]])</f>
        <v>6</v>
      </c>
      <c r="V3813" cm="1">
        <f t="array" ref="V3813">_xlfn.IFS(AND(N3813&lt;= 22, S3813=9), N3813-7,AND(N3813&lt;= 28, S3813=9), N3813-25,AND(N3813&lt;= 30, S3813=9), N3813-28,AND(N3813&lt;= 11, S3813=10), N3813+2,AND(N3813&lt;= 21, S3813=10), N3813-11)</f>
        <v>2</v>
      </c>
    </row>
    <row r="3814" spans="1:22" x14ac:dyDescent="0.35">
      <c r="A3814" s="4">
        <v>45578</v>
      </c>
      <c r="B3814" s="5">
        <v>0.28509259259259262</v>
      </c>
      <c r="C3814">
        <v>76.3</v>
      </c>
      <c r="D3814">
        <v>72.3</v>
      </c>
      <c r="E3814">
        <v>73.599999999999994</v>
      </c>
      <c r="F3814">
        <v>73.099999999999994</v>
      </c>
      <c r="G3814">
        <v>0</v>
      </c>
      <c r="H3814">
        <v>0</v>
      </c>
      <c r="I3814">
        <v>0</v>
      </c>
      <c r="J3814">
        <v>0</v>
      </c>
      <c r="K3814">
        <v>62.7</v>
      </c>
      <c r="L3814">
        <v>62.9</v>
      </c>
      <c r="M3814">
        <v>73.77</v>
      </c>
      <c r="N3814">
        <v>13</v>
      </c>
      <c r="O3814">
        <v>5</v>
      </c>
      <c r="P3814">
        <f>MOD(DAY(datos_siembra[[#This Row],[Date]]),7)</f>
        <v>6</v>
      </c>
      <c r="Q3814" t="str">
        <f>CHOOSE(WEEKDAY(datos_siembra[[#This Row],[Date]],2),"L","M","X","J","V","S","D")</f>
        <v>D</v>
      </c>
      <c r="R3814">
        <f>WEEKNUM(datos_siembra[[#This Row],[Date]],2)-WEEKNUM(DATE(YEAR(datos_siembra[[#This Row],[Date]]),MONTH(datos_siembra[[#This Row],[Date]]),1))+1</f>
        <v>2</v>
      </c>
      <c r="S3814">
        <f>MONTH(datos_siembra[[#This Row],[Date]])</f>
        <v>10</v>
      </c>
      <c r="T3814" t="str" cm="1">
        <f t="array" ref="T3814">_xlfn.IFS(AND(N3814&lt;= 22, S3814=9), "SOWING",AND(N3814&lt;= 28, S3814=9), "COVERAGE",AND(N3814&lt;= 30, S3814=9), "FLUSH",AND(N3814&lt;= 11, S3814=10), "FLUSH",AND(N3814&lt;= 21, S3814=10), "PRODUCTION")</f>
        <v>PRODUCTION</v>
      </c>
      <c r="U3814">
        <f>HOUR(datos_siembra[[#This Row],[Hour]])</f>
        <v>6</v>
      </c>
      <c r="V3814" cm="1">
        <f t="array" ref="V3814">_xlfn.IFS(AND(N3814&lt;= 22, S3814=9), N3814-7,AND(N3814&lt;= 28, S3814=9), N3814-25,AND(N3814&lt;= 30, S3814=9), N3814-28,AND(N3814&lt;= 11, S3814=10), N3814+2,AND(N3814&lt;= 21, S3814=10), N3814-11)</f>
        <v>2</v>
      </c>
    </row>
    <row r="3815" spans="1:22" x14ac:dyDescent="0.35">
      <c r="A3815" s="4">
        <v>45578</v>
      </c>
      <c r="B3815" s="5">
        <v>0.29203703703703704</v>
      </c>
      <c r="C3815">
        <v>76.3</v>
      </c>
      <c r="D3815">
        <v>72.400000000000006</v>
      </c>
      <c r="E3815">
        <v>73.5</v>
      </c>
      <c r="F3815">
        <v>73</v>
      </c>
      <c r="G3815">
        <v>0</v>
      </c>
      <c r="H3815">
        <v>0</v>
      </c>
      <c r="I3815">
        <v>0</v>
      </c>
      <c r="J3815">
        <v>0</v>
      </c>
      <c r="K3815">
        <v>62.8</v>
      </c>
      <c r="L3815">
        <v>62.8</v>
      </c>
      <c r="M3815">
        <v>73.819999999999993</v>
      </c>
      <c r="N3815">
        <v>13</v>
      </c>
      <c r="O3815">
        <v>5</v>
      </c>
      <c r="P3815">
        <f>MOD(DAY(datos_siembra[[#This Row],[Date]]),7)</f>
        <v>6</v>
      </c>
      <c r="Q3815" t="str">
        <f>CHOOSE(WEEKDAY(datos_siembra[[#This Row],[Date]],2),"L","M","X","J","V","S","D")</f>
        <v>D</v>
      </c>
      <c r="R3815">
        <f>WEEKNUM(datos_siembra[[#This Row],[Date]],2)-WEEKNUM(DATE(YEAR(datos_siembra[[#This Row],[Date]]),MONTH(datos_siembra[[#This Row],[Date]]),1))+1</f>
        <v>2</v>
      </c>
      <c r="S3815">
        <f>MONTH(datos_siembra[[#This Row],[Date]])</f>
        <v>10</v>
      </c>
      <c r="T3815" t="str" cm="1">
        <f t="array" ref="T3815">_xlfn.IFS(AND(N3815&lt;= 22, S3815=9), "SOWING",AND(N3815&lt;= 28, S3815=9), "COVERAGE",AND(N3815&lt;= 30, S3815=9), "FLUSH",AND(N3815&lt;= 11, S3815=10), "FLUSH",AND(N3815&lt;= 21, S3815=10), "PRODUCTION")</f>
        <v>PRODUCTION</v>
      </c>
      <c r="U3815">
        <f>HOUR(datos_siembra[[#This Row],[Hour]])</f>
        <v>7</v>
      </c>
      <c r="V3815" cm="1">
        <f t="array" ref="V3815">_xlfn.IFS(AND(N3815&lt;= 22, S3815=9), N3815-7,AND(N3815&lt;= 28, S3815=9), N3815-25,AND(N3815&lt;= 30, S3815=9), N3815-28,AND(N3815&lt;= 11, S3815=10), N3815+2,AND(N3815&lt;= 21, S3815=10), N3815-11)</f>
        <v>2</v>
      </c>
    </row>
    <row r="3816" spans="1:22" x14ac:dyDescent="0.35">
      <c r="A3816" s="4">
        <v>45578</v>
      </c>
      <c r="B3816" s="5">
        <v>0.29898148148148146</v>
      </c>
      <c r="C3816">
        <v>76.2</v>
      </c>
      <c r="D3816">
        <v>72.3</v>
      </c>
      <c r="E3816">
        <v>73.5</v>
      </c>
      <c r="F3816">
        <v>73.099999999999994</v>
      </c>
      <c r="G3816">
        <v>0</v>
      </c>
      <c r="H3816">
        <v>0</v>
      </c>
      <c r="I3816">
        <v>0</v>
      </c>
      <c r="J3816">
        <v>0</v>
      </c>
      <c r="K3816">
        <v>62.9</v>
      </c>
      <c r="L3816">
        <v>63</v>
      </c>
      <c r="M3816">
        <v>73.709999999999994</v>
      </c>
      <c r="N3816">
        <v>13</v>
      </c>
      <c r="O3816">
        <v>5</v>
      </c>
      <c r="P3816">
        <f>MOD(DAY(datos_siembra[[#This Row],[Date]]),7)</f>
        <v>6</v>
      </c>
      <c r="Q3816" t="str">
        <f>CHOOSE(WEEKDAY(datos_siembra[[#This Row],[Date]],2),"L","M","X","J","V","S","D")</f>
        <v>D</v>
      </c>
      <c r="R3816">
        <f>WEEKNUM(datos_siembra[[#This Row],[Date]],2)-WEEKNUM(DATE(YEAR(datos_siembra[[#This Row],[Date]]),MONTH(datos_siembra[[#This Row],[Date]]),1))+1</f>
        <v>2</v>
      </c>
      <c r="S3816">
        <f>MONTH(datos_siembra[[#This Row],[Date]])</f>
        <v>10</v>
      </c>
      <c r="T3816" t="str" cm="1">
        <f t="array" ref="T3816">_xlfn.IFS(AND(N3816&lt;= 22, S3816=9), "SOWING",AND(N3816&lt;= 28, S3816=9), "COVERAGE",AND(N3816&lt;= 30, S3816=9), "FLUSH",AND(N3816&lt;= 11, S3816=10), "FLUSH",AND(N3816&lt;= 21, S3816=10), "PRODUCTION")</f>
        <v>PRODUCTION</v>
      </c>
      <c r="U3816">
        <f>HOUR(datos_siembra[[#This Row],[Hour]])</f>
        <v>7</v>
      </c>
      <c r="V3816" cm="1">
        <f t="array" ref="V3816">_xlfn.IFS(AND(N3816&lt;= 22, S3816=9), N3816-7,AND(N3816&lt;= 28, S3816=9), N3816-25,AND(N3816&lt;= 30, S3816=9), N3816-28,AND(N3816&lt;= 11, S3816=10), N3816+2,AND(N3816&lt;= 21, S3816=10), N3816-11)</f>
        <v>2</v>
      </c>
    </row>
    <row r="3817" spans="1:22" x14ac:dyDescent="0.35">
      <c r="A3817" s="4">
        <v>45578</v>
      </c>
      <c r="B3817" s="5">
        <v>0.30593749999999997</v>
      </c>
      <c r="C3817">
        <v>76.3</v>
      </c>
      <c r="D3817">
        <v>72.3</v>
      </c>
      <c r="E3817">
        <v>73.5</v>
      </c>
      <c r="F3817">
        <v>72.8</v>
      </c>
      <c r="G3817">
        <v>0</v>
      </c>
      <c r="H3817">
        <v>0</v>
      </c>
      <c r="I3817">
        <v>0</v>
      </c>
      <c r="J3817">
        <v>0</v>
      </c>
      <c r="K3817">
        <v>62.8</v>
      </c>
      <c r="L3817">
        <v>62.9</v>
      </c>
      <c r="M3817">
        <v>73.709999999999994</v>
      </c>
      <c r="N3817">
        <v>13</v>
      </c>
      <c r="O3817">
        <v>5</v>
      </c>
      <c r="P3817">
        <f>MOD(DAY(datos_siembra[[#This Row],[Date]]),7)</f>
        <v>6</v>
      </c>
      <c r="Q3817" t="str">
        <f>CHOOSE(WEEKDAY(datos_siembra[[#This Row],[Date]],2),"L","M","X","J","V","S","D")</f>
        <v>D</v>
      </c>
      <c r="R3817">
        <f>WEEKNUM(datos_siembra[[#This Row],[Date]],2)-WEEKNUM(DATE(YEAR(datos_siembra[[#This Row],[Date]]),MONTH(datos_siembra[[#This Row],[Date]]),1))+1</f>
        <v>2</v>
      </c>
      <c r="S3817">
        <f>MONTH(datos_siembra[[#This Row],[Date]])</f>
        <v>10</v>
      </c>
      <c r="T3817" t="str" cm="1">
        <f t="array" ref="T3817">_xlfn.IFS(AND(N3817&lt;= 22, S3817=9), "SOWING",AND(N3817&lt;= 28, S3817=9), "COVERAGE",AND(N3817&lt;= 30, S3817=9), "FLUSH",AND(N3817&lt;= 11, S3817=10), "FLUSH",AND(N3817&lt;= 21, S3817=10), "PRODUCTION")</f>
        <v>PRODUCTION</v>
      </c>
      <c r="U3817">
        <f>HOUR(datos_siembra[[#This Row],[Hour]])</f>
        <v>7</v>
      </c>
      <c r="V3817" cm="1">
        <f t="array" ref="V3817">_xlfn.IFS(AND(N3817&lt;= 22, S3817=9), N3817-7,AND(N3817&lt;= 28, S3817=9), N3817-25,AND(N3817&lt;= 30, S3817=9), N3817-28,AND(N3817&lt;= 11, S3817=10), N3817+2,AND(N3817&lt;= 21, S3817=10), N3817-11)</f>
        <v>2</v>
      </c>
    </row>
    <row r="3818" spans="1:22" x14ac:dyDescent="0.35">
      <c r="A3818" s="4">
        <v>45578</v>
      </c>
      <c r="B3818" s="5">
        <v>0.31288194444444445</v>
      </c>
      <c r="C3818">
        <v>76.099999999999994</v>
      </c>
      <c r="D3818">
        <v>72.2</v>
      </c>
      <c r="E3818">
        <v>73.400000000000006</v>
      </c>
      <c r="F3818">
        <v>72.8</v>
      </c>
      <c r="G3818">
        <v>0</v>
      </c>
      <c r="H3818">
        <v>0</v>
      </c>
      <c r="I3818">
        <v>0</v>
      </c>
      <c r="J3818">
        <v>0</v>
      </c>
      <c r="K3818">
        <v>62.8</v>
      </c>
      <c r="L3818">
        <v>63</v>
      </c>
      <c r="M3818">
        <v>73.650000000000006</v>
      </c>
      <c r="N3818">
        <v>13</v>
      </c>
      <c r="O3818">
        <v>5</v>
      </c>
      <c r="P3818">
        <f>MOD(DAY(datos_siembra[[#This Row],[Date]]),7)</f>
        <v>6</v>
      </c>
      <c r="Q3818" t="str">
        <f>CHOOSE(WEEKDAY(datos_siembra[[#This Row],[Date]],2),"L","M","X","J","V","S","D")</f>
        <v>D</v>
      </c>
      <c r="R3818">
        <f>WEEKNUM(datos_siembra[[#This Row],[Date]],2)-WEEKNUM(DATE(YEAR(datos_siembra[[#This Row],[Date]]),MONTH(datos_siembra[[#This Row],[Date]]),1))+1</f>
        <v>2</v>
      </c>
      <c r="S3818">
        <f>MONTH(datos_siembra[[#This Row],[Date]])</f>
        <v>10</v>
      </c>
      <c r="T3818" t="str" cm="1">
        <f t="array" ref="T3818">_xlfn.IFS(AND(N3818&lt;= 22, S3818=9), "SOWING",AND(N3818&lt;= 28, S3818=9), "COVERAGE",AND(N3818&lt;= 30, S3818=9), "FLUSH",AND(N3818&lt;= 11, S3818=10), "FLUSH",AND(N3818&lt;= 21, S3818=10), "PRODUCTION")</f>
        <v>PRODUCTION</v>
      </c>
      <c r="U3818">
        <f>HOUR(datos_siembra[[#This Row],[Hour]])</f>
        <v>7</v>
      </c>
      <c r="V3818" cm="1">
        <f t="array" ref="V3818">_xlfn.IFS(AND(N3818&lt;= 22, S3818=9), N3818-7,AND(N3818&lt;= 28, S3818=9), N3818-25,AND(N3818&lt;= 30, S3818=9), N3818-28,AND(N3818&lt;= 11, S3818=10), N3818+2,AND(N3818&lt;= 21, S3818=10), N3818-11)</f>
        <v>2</v>
      </c>
    </row>
    <row r="3819" spans="1:22" x14ac:dyDescent="0.35">
      <c r="A3819" s="4">
        <v>45578</v>
      </c>
      <c r="B3819" s="5">
        <v>0.31982638888888887</v>
      </c>
      <c r="C3819">
        <v>76.2</v>
      </c>
      <c r="D3819">
        <v>72.099999999999994</v>
      </c>
      <c r="E3819">
        <v>73.3</v>
      </c>
      <c r="F3819">
        <v>72.8</v>
      </c>
      <c r="G3819">
        <v>0</v>
      </c>
      <c r="H3819">
        <v>0</v>
      </c>
      <c r="I3819">
        <v>0</v>
      </c>
      <c r="J3819">
        <v>0</v>
      </c>
      <c r="K3819">
        <v>62.8</v>
      </c>
      <c r="L3819">
        <v>62.8</v>
      </c>
      <c r="M3819">
        <v>73.599999999999994</v>
      </c>
      <c r="N3819">
        <v>13</v>
      </c>
      <c r="O3819">
        <v>5</v>
      </c>
      <c r="P3819">
        <f>MOD(DAY(datos_siembra[[#This Row],[Date]]),7)</f>
        <v>6</v>
      </c>
      <c r="Q3819" t="str">
        <f>CHOOSE(WEEKDAY(datos_siembra[[#This Row],[Date]],2),"L","M","X","J","V","S","D")</f>
        <v>D</v>
      </c>
      <c r="R3819">
        <f>WEEKNUM(datos_siembra[[#This Row],[Date]],2)-WEEKNUM(DATE(YEAR(datos_siembra[[#This Row],[Date]]),MONTH(datos_siembra[[#This Row],[Date]]),1))+1</f>
        <v>2</v>
      </c>
      <c r="S3819">
        <f>MONTH(datos_siembra[[#This Row],[Date]])</f>
        <v>10</v>
      </c>
      <c r="T3819" t="str" cm="1">
        <f t="array" ref="T3819">_xlfn.IFS(AND(N3819&lt;= 22, S3819=9), "SOWING",AND(N3819&lt;= 28, S3819=9), "COVERAGE",AND(N3819&lt;= 30, S3819=9), "FLUSH",AND(N3819&lt;= 11, S3819=10), "FLUSH",AND(N3819&lt;= 21, S3819=10), "PRODUCTION")</f>
        <v>PRODUCTION</v>
      </c>
      <c r="U3819">
        <f>HOUR(datos_siembra[[#This Row],[Hour]])</f>
        <v>7</v>
      </c>
      <c r="V3819" cm="1">
        <f t="array" ref="V3819">_xlfn.IFS(AND(N3819&lt;= 22, S3819=9), N3819-7,AND(N3819&lt;= 28, S3819=9), N3819-25,AND(N3819&lt;= 30, S3819=9), N3819-28,AND(N3819&lt;= 11, S3819=10), N3819+2,AND(N3819&lt;= 21, S3819=10), N3819-11)</f>
        <v>2</v>
      </c>
    </row>
    <row r="3820" spans="1:22" x14ac:dyDescent="0.35">
      <c r="A3820" s="4">
        <v>45578</v>
      </c>
      <c r="B3820" s="5">
        <v>0.32677083333333334</v>
      </c>
      <c r="C3820">
        <v>76.2</v>
      </c>
      <c r="D3820">
        <v>72.2</v>
      </c>
      <c r="E3820">
        <v>73.400000000000006</v>
      </c>
      <c r="F3820">
        <v>72.8</v>
      </c>
      <c r="G3820">
        <v>0</v>
      </c>
      <c r="H3820">
        <v>0</v>
      </c>
      <c r="I3820">
        <v>0</v>
      </c>
      <c r="J3820">
        <v>0</v>
      </c>
      <c r="K3820">
        <v>62.9</v>
      </c>
      <c r="L3820">
        <v>62.7</v>
      </c>
      <c r="M3820">
        <v>73.599999999999994</v>
      </c>
      <c r="N3820">
        <v>13</v>
      </c>
      <c r="O3820">
        <v>5</v>
      </c>
      <c r="P3820">
        <f>MOD(DAY(datos_siembra[[#This Row],[Date]]),7)</f>
        <v>6</v>
      </c>
      <c r="Q3820" t="str">
        <f>CHOOSE(WEEKDAY(datos_siembra[[#This Row],[Date]],2),"L","M","X","J","V","S","D")</f>
        <v>D</v>
      </c>
      <c r="R3820">
        <f>WEEKNUM(datos_siembra[[#This Row],[Date]],2)-WEEKNUM(DATE(YEAR(datos_siembra[[#This Row],[Date]]),MONTH(datos_siembra[[#This Row],[Date]]),1))+1</f>
        <v>2</v>
      </c>
      <c r="S3820">
        <f>MONTH(datos_siembra[[#This Row],[Date]])</f>
        <v>10</v>
      </c>
      <c r="T3820" t="str" cm="1">
        <f t="array" ref="T3820">_xlfn.IFS(AND(N3820&lt;= 22, S3820=9), "SOWING",AND(N3820&lt;= 28, S3820=9), "COVERAGE",AND(N3820&lt;= 30, S3820=9), "FLUSH",AND(N3820&lt;= 11, S3820=10), "FLUSH",AND(N3820&lt;= 21, S3820=10), "PRODUCTION")</f>
        <v>PRODUCTION</v>
      </c>
      <c r="U3820">
        <f>HOUR(datos_siembra[[#This Row],[Hour]])</f>
        <v>7</v>
      </c>
      <c r="V3820" cm="1">
        <f t="array" ref="V3820">_xlfn.IFS(AND(N3820&lt;= 22, S3820=9), N3820-7,AND(N3820&lt;= 28, S3820=9), N3820-25,AND(N3820&lt;= 30, S3820=9), N3820-28,AND(N3820&lt;= 11, S3820=10), N3820+2,AND(N3820&lt;= 21, S3820=10), N3820-11)</f>
        <v>2</v>
      </c>
    </row>
    <row r="3821" spans="1:22" x14ac:dyDescent="0.35">
      <c r="A3821" s="4">
        <v>45578</v>
      </c>
      <c r="B3821" s="5">
        <v>0.33372685185185186</v>
      </c>
      <c r="C3821">
        <v>76.099999999999994</v>
      </c>
      <c r="D3821">
        <v>72.3</v>
      </c>
      <c r="E3821">
        <v>73.099999999999994</v>
      </c>
      <c r="F3821">
        <v>72.7</v>
      </c>
      <c r="G3821">
        <v>0</v>
      </c>
      <c r="H3821">
        <v>0</v>
      </c>
      <c r="I3821">
        <v>0</v>
      </c>
      <c r="J3821">
        <v>0</v>
      </c>
      <c r="K3821">
        <v>62.8</v>
      </c>
      <c r="L3821">
        <v>62.5</v>
      </c>
      <c r="M3821">
        <v>73.650000000000006</v>
      </c>
      <c r="N3821">
        <v>13</v>
      </c>
      <c r="O3821">
        <v>5</v>
      </c>
      <c r="P3821">
        <f>MOD(DAY(datos_siembra[[#This Row],[Date]]),7)</f>
        <v>6</v>
      </c>
      <c r="Q3821" t="str">
        <f>CHOOSE(WEEKDAY(datos_siembra[[#This Row],[Date]],2),"L","M","X","J","V","S","D")</f>
        <v>D</v>
      </c>
      <c r="R3821">
        <f>WEEKNUM(datos_siembra[[#This Row],[Date]],2)-WEEKNUM(DATE(YEAR(datos_siembra[[#This Row],[Date]]),MONTH(datos_siembra[[#This Row],[Date]]),1))+1</f>
        <v>2</v>
      </c>
      <c r="S3821">
        <f>MONTH(datos_siembra[[#This Row],[Date]])</f>
        <v>10</v>
      </c>
      <c r="T3821" t="str" cm="1">
        <f t="array" ref="T3821">_xlfn.IFS(AND(N3821&lt;= 22, S3821=9), "SOWING",AND(N3821&lt;= 28, S3821=9), "COVERAGE",AND(N3821&lt;= 30, S3821=9), "FLUSH",AND(N3821&lt;= 11, S3821=10), "FLUSH",AND(N3821&lt;= 21, S3821=10), "PRODUCTION")</f>
        <v>PRODUCTION</v>
      </c>
      <c r="U3821">
        <f>HOUR(datos_siembra[[#This Row],[Hour]])</f>
        <v>8</v>
      </c>
      <c r="V3821" cm="1">
        <f t="array" ref="V3821">_xlfn.IFS(AND(N3821&lt;= 22, S3821=9), N3821-7,AND(N3821&lt;= 28, S3821=9), N3821-25,AND(N3821&lt;= 30, S3821=9), N3821-28,AND(N3821&lt;= 11, S3821=10), N3821+2,AND(N3821&lt;= 21, S3821=10), N3821-11)</f>
        <v>2</v>
      </c>
    </row>
    <row r="3822" spans="1:22" x14ac:dyDescent="0.35">
      <c r="A3822" s="4">
        <v>45578</v>
      </c>
      <c r="B3822" s="5">
        <v>0.34067129629629628</v>
      </c>
      <c r="C3822">
        <v>76.099999999999994</v>
      </c>
      <c r="D3822">
        <v>72.2</v>
      </c>
      <c r="E3822">
        <v>73.099999999999994</v>
      </c>
      <c r="F3822">
        <v>72.599999999999994</v>
      </c>
      <c r="G3822">
        <v>0</v>
      </c>
      <c r="H3822">
        <v>0</v>
      </c>
      <c r="I3822">
        <v>0</v>
      </c>
      <c r="J3822">
        <v>0</v>
      </c>
      <c r="K3822">
        <v>63</v>
      </c>
      <c r="L3822">
        <v>62.8</v>
      </c>
      <c r="M3822">
        <v>73.569999999999993</v>
      </c>
      <c r="N3822">
        <v>13</v>
      </c>
      <c r="O3822">
        <v>5</v>
      </c>
      <c r="P3822">
        <f>MOD(DAY(datos_siembra[[#This Row],[Date]]),7)</f>
        <v>6</v>
      </c>
      <c r="Q3822" t="str">
        <f>CHOOSE(WEEKDAY(datos_siembra[[#This Row],[Date]],2),"L","M","X","J","V","S","D")</f>
        <v>D</v>
      </c>
      <c r="R3822">
        <f>WEEKNUM(datos_siembra[[#This Row],[Date]],2)-WEEKNUM(DATE(YEAR(datos_siembra[[#This Row],[Date]]),MONTH(datos_siembra[[#This Row],[Date]]),1))+1</f>
        <v>2</v>
      </c>
      <c r="S3822">
        <f>MONTH(datos_siembra[[#This Row],[Date]])</f>
        <v>10</v>
      </c>
      <c r="T3822" t="str" cm="1">
        <f t="array" ref="T3822">_xlfn.IFS(AND(N3822&lt;= 22, S3822=9), "SOWING",AND(N3822&lt;= 28, S3822=9), "COVERAGE",AND(N3822&lt;= 30, S3822=9), "FLUSH",AND(N3822&lt;= 11, S3822=10), "FLUSH",AND(N3822&lt;= 21, S3822=10), "PRODUCTION")</f>
        <v>PRODUCTION</v>
      </c>
      <c r="U3822">
        <f>HOUR(datos_siembra[[#This Row],[Hour]])</f>
        <v>8</v>
      </c>
      <c r="V3822" cm="1">
        <f t="array" ref="V3822">_xlfn.IFS(AND(N3822&lt;= 22, S3822=9), N3822-7,AND(N3822&lt;= 28, S3822=9), N3822-25,AND(N3822&lt;= 30, S3822=9), N3822-28,AND(N3822&lt;= 11, S3822=10), N3822+2,AND(N3822&lt;= 21, S3822=10), N3822-11)</f>
        <v>2</v>
      </c>
    </row>
    <row r="3823" spans="1:22" x14ac:dyDescent="0.35">
      <c r="A3823" s="4">
        <v>45578</v>
      </c>
      <c r="B3823" s="5">
        <v>0.34761574074074075</v>
      </c>
      <c r="C3823">
        <v>76</v>
      </c>
      <c r="D3823">
        <v>72.3</v>
      </c>
      <c r="E3823">
        <v>73.3</v>
      </c>
      <c r="F3823">
        <v>72.599999999999994</v>
      </c>
      <c r="G3823">
        <v>0</v>
      </c>
      <c r="H3823">
        <v>0</v>
      </c>
      <c r="I3823">
        <v>0</v>
      </c>
      <c r="J3823">
        <v>0</v>
      </c>
      <c r="K3823">
        <v>63.2</v>
      </c>
      <c r="L3823">
        <v>62.8</v>
      </c>
      <c r="M3823">
        <v>73.540000000000006</v>
      </c>
      <c r="N3823">
        <v>13</v>
      </c>
      <c r="O3823">
        <v>5</v>
      </c>
      <c r="P3823">
        <f>MOD(DAY(datos_siembra[[#This Row],[Date]]),7)</f>
        <v>6</v>
      </c>
      <c r="Q3823" t="str">
        <f>CHOOSE(WEEKDAY(datos_siembra[[#This Row],[Date]],2),"L","M","X","J","V","S","D")</f>
        <v>D</v>
      </c>
      <c r="R3823">
        <f>WEEKNUM(datos_siembra[[#This Row],[Date]],2)-WEEKNUM(DATE(YEAR(datos_siembra[[#This Row],[Date]]),MONTH(datos_siembra[[#This Row],[Date]]),1))+1</f>
        <v>2</v>
      </c>
      <c r="S3823">
        <f>MONTH(datos_siembra[[#This Row],[Date]])</f>
        <v>10</v>
      </c>
      <c r="T3823" t="str" cm="1">
        <f t="array" ref="T3823">_xlfn.IFS(AND(N3823&lt;= 22, S3823=9), "SOWING",AND(N3823&lt;= 28, S3823=9), "COVERAGE",AND(N3823&lt;= 30, S3823=9), "FLUSH",AND(N3823&lt;= 11, S3823=10), "FLUSH",AND(N3823&lt;= 21, S3823=10), "PRODUCTION")</f>
        <v>PRODUCTION</v>
      </c>
      <c r="U3823">
        <f>HOUR(datos_siembra[[#This Row],[Hour]])</f>
        <v>8</v>
      </c>
      <c r="V3823" cm="1">
        <f t="array" ref="V3823">_xlfn.IFS(AND(N3823&lt;= 22, S3823=9), N3823-7,AND(N3823&lt;= 28, S3823=9), N3823-25,AND(N3823&lt;= 30, S3823=9), N3823-28,AND(N3823&lt;= 11, S3823=10), N3823+2,AND(N3823&lt;= 21, S3823=10), N3823-11)</f>
        <v>2</v>
      </c>
    </row>
    <row r="3824" spans="1:22" x14ac:dyDescent="0.35">
      <c r="A3824" s="4">
        <v>45578</v>
      </c>
      <c r="B3824" s="5">
        <v>0.35457175925925927</v>
      </c>
      <c r="C3824">
        <v>76.099999999999994</v>
      </c>
      <c r="D3824">
        <v>72.099999999999994</v>
      </c>
      <c r="E3824">
        <v>73</v>
      </c>
      <c r="F3824">
        <v>72.599999999999994</v>
      </c>
      <c r="G3824">
        <v>0</v>
      </c>
      <c r="H3824">
        <v>0</v>
      </c>
      <c r="I3824">
        <v>0</v>
      </c>
      <c r="J3824">
        <v>0</v>
      </c>
      <c r="K3824">
        <v>63.4</v>
      </c>
      <c r="L3824">
        <v>63</v>
      </c>
      <c r="M3824">
        <v>73.459999999999994</v>
      </c>
      <c r="N3824">
        <v>13</v>
      </c>
      <c r="O3824">
        <v>5</v>
      </c>
      <c r="P3824">
        <f>MOD(DAY(datos_siembra[[#This Row],[Date]]),7)</f>
        <v>6</v>
      </c>
      <c r="Q3824" t="str">
        <f>CHOOSE(WEEKDAY(datos_siembra[[#This Row],[Date]],2),"L","M","X","J","V","S","D")</f>
        <v>D</v>
      </c>
      <c r="R3824">
        <f>WEEKNUM(datos_siembra[[#This Row],[Date]],2)-WEEKNUM(DATE(YEAR(datos_siembra[[#This Row],[Date]]),MONTH(datos_siembra[[#This Row],[Date]]),1))+1</f>
        <v>2</v>
      </c>
      <c r="S3824">
        <f>MONTH(datos_siembra[[#This Row],[Date]])</f>
        <v>10</v>
      </c>
      <c r="T3824" t="str" cm="1">
        <f t="array" ref="T3824">_xlfn.IFS(AND(N3824&lt;= 22, S3824=9), "SOWING",AND(N3824&lt;= 28, S3824=9), "COVERAGE",AND(N3824&lt;= 30, S3824=9), "FLUSH",AND(N3824&lt;= 11, S3824=10), "FLUSH",AND(N3824&lt;= 21, S3824=10), "PRODUCTION")</f>
        <v>PRODUCTION</v>
      </c>
      <c r="U3824">
        <f>HOUR(datos_siembra[[#This Row],[Hour]])</f>
        <v>8</v>
      </c>
      <c r="V3824" cm="1">
        <f t="array" ref="V3824">_xlfn.IFS(AND(N3824&lt;= 22, S3824=9), N3824-7,AND(N3824&lt;= 28, S3824=9), N3824-25,AND(N3824&lt;= 30, S3824=9), N3824-28,AND(N3824&lt;= 11, S3824=10), N3824+2,AND(N3824&lt;= 21, S3824=10), N3824-11)</f>
        <v>2</v>
      </c>
    </row>
    <row r="3825" spans="1:22" x14ac:dyDescent="0.35">
      <c r="A3825" s="4">
        <v>45578</v>
      </c>
      <c r="B3825" s="5">
        <v>0.36151620370370369</v>
      </c>
      <c r="C3825">
        <v>76</v>
      </c>
      <c r="D3825">
        <v>72.2</v>
      </c>
      <c r="E3825">
        <v>73</v>
      </c>
      <c r="F3825">
        <v>72.599999999999994</v>
      </c>
      <c r="G3825">
        <v>0</v>
      </c>
      <c r="H3825">
        <v>0</v>
      </c>
      <c r="I3825">
        <v>0</v>
      </c>
      <c r="J3825">
        <v>0</v>
      </c>
      <c r="K3825">
        <v>63.5</v>
      </c>
      <c r="L3825">
        <v>63.3</v>
      </c>
      <c r="M3825">
        <v>73.459999999999994</v>
      </c>
      <c r="N3825">
        <v>13</v>
      </c>
      <c r="O3825">
        <v>5</v>
      </c>
      <c r="P3825">
        <f>MOD(DAY(datos_siembra[[#This Row],[Date]]),7)</f>
        <v>6</v>
      </c>
      <c r="Q3825" t="str">
        <f>CHOOSE(WEEKDAY(datos_siembra[[#This Row],[Date]],2),"L","M","X","J","V","S","D")</f>
        <v>D</v>
      </c>
      <c r="R3825">
        <f>WEEKNUM(datos_siembra[[#This Row],[Date]],2)-WEEKNUM(DATE(YEAR(datos_siembra[[#This Row],[Date]]),MONTH(datos_siembra[[#This Row],[Date]]),1))+1</f>
        <v>2</v>
      </c>
      <c r="S3825">
        <f>MONTH(datos_siembra[[#This Row],[Date]])</f>
        <v>10</v>
      </c>
      <c r="T3825" t="str" cm="1">
        <f t="array" ref="T3825">_xlfn.IFS(AND(N3825&lt;= 22, S3825=9), "SOWING",AND(N3825&lt;= 28, S3825=9), "COVERAGE",AND(N3825&lt;= 30, S3825=9), "FLUSH",AND(N3825&lt;= 11, S3825=10), "FLUSH",AND(N3825&lt;= 21, S3825=10), "PRODUCTION")</f>
        <v>PRODUCTION</v>
      </c>
      <c r="U3825">
        <f>HOUR(datos_siembra[[#This Row],[Hour]])</f>
        <v>8</v>
      </c>
      <c r="V3825" cm="1">
        <f t="array" ref="V3825">_xlfn.IFS(AND(N3825&lt;= 22, S3825=9), N3825-7,AND(N3825&lt;= 28, S3825=9), N3825-25,AND(N3825&lt;= 30, S3825=9), N3825-28,AND(N3825&lt;= 11, S3825=10), N3825+2,AND(N3825&lt;= 21, S3825=10), N3825-11)</f>
        <v>2</v>
      </c>
    </row>
    <row r="3826" spans="1:22" x14ac:dyDescent="0.35">
      <c r="A3826" s="4">
        <v>45578</v>
      </c>
      <c r="B3826" s="5">
        <v>0.36846064814814816</v>
      </c>
      <c r="C3826">
        <v>75.900000000000006</v>
      </c>
      <c r="D3826">
        <v>71.900000000000006</v>
      </c>
      <c r="E3826">
        <v>73.099999999999994</v>
      </c>
      <c r="F3826">
        <v>72.5</v>
      </c>
      <c r="G3826">
        <v>0</v>
      </c>
      <c r="H3826">
        <v>0</v>
      </c>
      <c r="I3826">
        <v>0</v>
      </c>
      <c r="J3826">
        <v>0</v>
      </c>
      <c r="K3826">
        <v>63.7</v>
      </c>
      <c r="L3826">
        <v>63.6</v>
      </c>
      <c r="M3826">
        <v>73.430000000000007</v>
      </c>
      <c r="N3826">
        <v>13</v>
      </c>
      <c r="O3826">
        <v>5</v>
      </c>
      <c r="P3826">
        <f>MOD(DAY(datos_siembra[[#This Row],[Date]]),7)</f>
        <v>6</v>
      </c>
      <c r="Q3826" t="str">
        <f>CHOOSE(WEEKDAY(datos_siembra[[#This Row],[Date]],2),"L","M","X","J","V","S","D")</f>
        <v>D</v>
      </c>
      <c r="R3826">
        <f>WEEKNUM(datos_siembra[[#This Row],[Date]],2)-WEEKNUM(DATE(YEAR(datos_siembra[[#This Row],[Date]]),MONTH(datos_siembra[[#This Row],[Date]]),1))+1</f>
        <v>2</v>
      </c>
      <c r="S3826">
        <f>MONTH(datos_siembra[[#This Row],[Date]])</f>
        <v>10</v>
      </c>
      <c r="T3826" t="str" cm="1">
        <f t="array" ref="T3826">_xlfn.IFS(AND(N3826&lt;= 22, S3826=9), "SOWING",AND(N3826&lt;= 28, S3826=9), "COVERAGE",AND(N3826&lt;= 30, S3826=9), "FLUSH",AND(N3826&lt;= 11, S3826=10), "FLUSH",AND(N3826&lt;= 21, S3826=10), "PRODUCTION")</f>
        <v>PRODUCTION</v>
      </c>
      <c r="U3826">
        <f>HOUR(datos_siembra[[#This Row],[Hour]])</f>
        <v>8</v>
      </c>
      <c r="V3826" cm="1">
        <f t="array" ref="V3826">_xlfn.IFS(AND(N3826&lt;= 22, S3826=9), N3826-7,AND(N3826&lt;= 28, S3826=9), N3826-25,AND(N3826&lt;= 30, S3826=9), N3826-28,AND(N3826&lt;= 11, S3826=10), N3826+2,AND(N3826&lt;= 21, S3826=10), N3826-11)</f>
        <v>2</v>
      </c>
    </row>
    <row r="3827" spans="1:22" x14ac:dyDescent="0.35">
      <c r="A3827" s="4">
        <v>45578</v>
      </c>
      <c r="B3827" s="5">
        <v>0.37540509259259258</v>
      </c>
      <c r="C3827">
        <v>76</v>
      </c>
      <c r="D3827">
        <v>72.099999999999994</v>
      </c>
      <c r="E3827">
        <v>73</v>
      </c>
      <c r="F3827">
        <v>72.400000000000006</v>
      </c>
      <c r="G3827">
        <v>0</v>
      </c>
      <c r="H3827">
        <v>0</v>
      </c>
      <c r="I3827">
        <v>0</v>
      </c>
      <c r="J3827">
        <v>0</v>
      </c>
      <c r="K3827">
        <v>63.9</v>
      </c>
      <c r="L3827">
        <v>63.6</v>
      </c>
      <c r="M3827">
        <v>73.34</v>
      </c>
      <c r="N3827">
        <v>13</v>
      </c>
      <c r="O3827">
        <v>5</v>
      </c>
      <c r="P3827">
        <f>MOD(DAY(datos_siembra[[#This Row],[Date]]),7)</f>
        <v>6</v>
      </c>
      <c r="Q3827" t="str">
        <f>CHOOSE(WEEKDAY(datos_siembra[[#This Row],[Date]],2),"L","M","X","J","V","S","D")</f>
        <v>D</v>
      </c>
      <c r="R3827">
        <f>WEEKNUM(datos_siembra[[#This Row],[Date]],2)-WEEKNUM(DATE(YEAR(datos_siembra[[#This Row],[Date]]),MONTH(datos_siembra[[#This Row],[Date]]),1))+1</f>
        <v>2</v>
      </c>
      <c r="S3827">
        <f>MONTH(datos_siembra[[#This Row],[Date]])</f>
        <v>10</v>
      </c>
      <c r="T3827" t="str" cm="1">
        <f t="array" ref="T3827">_xlfn.IFS(AND(N3827&lt;= 22, S3827=9), "SOWING",AND(N3827&lt;= 28, S3827=9), "COVERAGE",AND(N3827&lt;= 30, S3827=9), "FLUSH",AND(N3827&lt;= 11, S3827=10), "FLUSH",AND(N3827&lt;= 21, S3827=10), "PRODUCTION")</f>
        <v>PRODUCTION</v>
      </c>
      <c r="U3827">
        <f>HOUR(datos_siembra[[#This Row],[Hour]])</f>
        <v>9</v>
      </c>
      <c r="V3827" cm="1">
        <f t="array" ref="V3827">_xlfn.IFS(AND(N3827&lt;= 22, S3827=9), N3827-7,AND(N3827&lt;= 28, S3827=9), N3827-25,AND(N3827&lt;= 30, S3827=9), N3827-28,AND(N3827&lt;= 11, S3827=10), N3827+2,AND(N3827&lt;= 21, S3827=10), N3827-11)</f>
        <v>2</v>
      </c>
    </row>
    <row r="3828" spans="1:22" x14ac:dyDescent="0.35">
      <c r="A3828" s="4">
        <v>45578</v>
      </c>
      <c r="B3828" s="5">
        <v>0.38314814814814813</v>
      </c>
      <c r="C3828">
        <v>75.8</v>
      </c>
      <c r="D3828">
        <v>72.2</v>
      </c>
      <c r="E3828">
        <v>72.8</v>
      </c>
      <c r="F3828">
        <v>72.599999999999994</v>
      </c>
      <c r="G3828">
        <v>0</v>
      </c>
      <c r="H3828">
        <v>0</v>
      </c>
      <c r="I3828">
        <v>0</v>
      </c>
      <c r="J3828">
        <v>0</v>
      </c>
      <c r="K3828">
        <v>63.9</v>
      </c>
      <c r="L3828">
        <v>63.8</v>
      </c>
      <c r="M3828">
        <v>73.34</v>
      </c>
      <c r="N3828">
        <v>13</v>
      </c>
      <c r="O3828">
        <v>5</v>
      </c>
      <c r="P3828">
        <f>MOD(DAY(datos_siembra[[#This Row],[Date]]),7)</f>
        <v>6</v>
      </c>
      <c r="Q3828" t="str">
        <f>CHOOSE(WEEKDAY(datos_siembra[[#This Row],[Date]],2),"L","M","X","J","V","S","D")</f>
        <v>D</v>
      </c>
      <c r="R3828">
        <f>WEEKNUM(datos_siembra[[#This Row],[Date]],2)-WEEKNUM(DATE(YEAR(datos_siembra[[#This Row],[Date]]),MONTH(datos_siembra[[#This Row],[Date]]),1))+1</f>
        <v>2</v>
      </c>
      <c r="S3828">
        <f>MONTH(datos_siembra[[#This Row],[Date]])</f>
        <v>10</v>
      </c>
      <c r="T3828" t="str" cm="1">
        <f t="array" ref="T3828">_xlfn.IFS(AND(N3828&lt;= 22, S3828=9), "SOWING",AND(N3828&lt;= 28, S3828=9), "COVERAGE",AND(N3828&lt;= 30, S3828=9), "FLUSH",AND(N3828&lt;= 11, S3828=10), "FLUSH",AND(N3828&lt;= 21, S3828=10), "PRODUCTION")</f>
        <v>PRODUCTION</v>
      </c>
      <c r="U3828">
        <f>HOUR(datos_siembra[[#This Row],[Hour]])</f>
        <v>9</v>
      </c>
      <c r="V3828" cm="1">
        <f t="array" ref="V3828">_xlfn.IFS(AND(N3828&lt;= 22, S3828=9), N3828-7,AND(N3828&lt;= 28, S3828=9), N3828-25,AND(N3828&lt;= 30, S3828=9), N3828-28,AND(N3828&lt;= 11, S3828=10), N3828+2,AND(N3828&lt;= 21, S3828=10), N3828-11)</f>
        <v>2</v>
      </c>
    </row>
    <row r="3829" spans="1:22" x14ac:dyDescent="0.35">
      <c r="A3829" s="4">
        <v>45578</v>
      </c>
      <c r="B3829" s="5">
        <v>0.38996527777777779</v>
      </c>
      <c r="C3829">
        <v>75.8</v>
      </c>
      <c r="D3829">
        <v>72.2</v>
      </c>
      <c r="E3829">
        <v>73.099999999999994</v>
      </c>
      <c r="F3829">
        <v>72.599999999999994</v>
      </c>
      <c r="G3829">
        <v>0</v>
      </c>
      <c r="H3829">
        <v>0</v>
      </c>
      <c r="I3829">
        <v>0</v>
      </c>
      <c r="J3829">
        <v>0</v>
      </c>
      <c r="K3829">
        <v>64.2</v>
      </c>
      <c r="L3829">
        <v>63.7</v>
      </c>
      <c r="M3829">
        <v>73.400000000000006</v>
      </c>
      <c r="N3829">
        <v>13</v>
      </c>
      <c r="O3829">
        <v>5</v>
      </c>
      <c r="P3829">
        <f>MOD(DAY(datos_siembra[[#This Row],[Date]]),7)</f>
        <v>6</v>
      </c>
      <c r="Q3829" t="str">
        <f>CHOOSE(WEEKDAY(datos_siembra[[#This Row],[Date]],2),"L","M","X","J","V","S","D")</f>
        <v>D</v>
      </c>
      <c r="R3829">
        <f>WEEKNUM(datos_siembra[[#This Row],[Date]],2)-WEEKNUM(DATE(YEAR(datos_siembra[[#This Row],[Date]]),MONTH(datos_siembra[[#This Row],[Date]]),1))+1</f>
        <v>2</v>
      </c>
      <c r="S3829">
        <f>MONTH(datos_siembra[[#This Row],[Date]])</f>
        <v>10</v>
      </c>
      <c r="T3829" t="str" cm="1">
        <f t="array" ref="T3829">_xlfn.IFS(AND(N3829&lt;= 22, S3829=9), "SOWING",AND(N3829&lt;= 28, S3829=9), "COVERAGE",AND(N3829&lt;= 30, S3829=9), "FLUSH",AND(N3829&lt;= 11, S3829=10), "FLUSH",AND(N3829&lt;= 21, S3829=10), "PRODUCTION")</f>
        <v>PRODUCTION</v>
      </c>
      <c r="U3829">
        <f>HOUR(datos_siembra[[#This Row],[Hour]])</f>
        <v>9</v>
      </c>
      <c r="V3829" cm="1">
        <f t="array" ref="V3829">_xlfn.IFS(AND(N3829&lt;= 22, S3829=9), N3829-7,AND(N3829&lt;= 28, S3829=9), N3829-25,AND(N3829&lt;= 30, S3829=9), N3829-28,AND(N3829&lt;= 11, S3829=10), N3829+2,AND(N3829&lt;= 21, S3829=10), N3829-11)</f>
        <v>2</v>
      </c>
    </row>
    <row r="3830" spans="1:22" x14ac:dyDescent="0.35">
      <c r="A3830" s="4">
        <v>45578</v>
      </c>
      <c r="B3830" s="5">
        <v>0.39690972222222221</v>
      </c>
      <c r="C3830">
        <v>75.900000000000006</v>
      </c>
      <c r="D3830">
        <v>71.900000000000006</v>
      </c>
      <c r="E3830">
        <v>73</v>
      </c>
      <c r="F3830">
        <v>72.5</v>
      </c>
      <c r="G3830">
        <v>0</v>
      </c>
      <c r="H3830">
        <v>0</v>
      </c>
      <c r="I3830">
        <v>0</v>
      </c>
      <c r="J3830">
        <v>0</v>
      </c>
      <c r="K3830">
        <v>64.3</v>
      </c>
      <c r="L3830">
        <v>63.8</v>
      </c>
      <c r="M3830">
        <v>73.459999999999994</v>
      </c>
      <c r="N3830">
        <v>13</v>
      </c>
      <c r="O3830">
        <v>5</v>
      </c>
      <c r="P3830">
        <f>MOD(DAY(datos_siembra[[#This Row],[Date]]),7)</f>
        <v>6</v>
      </c>
      <c r="Q3830" t="str">
        <f>CHOOSE(WEEKDAY(datos_siembra[[#This Row],[Date]],2),"L","M","X","J","V","S","D")</f>
        <v>D</v>
      </c>
      <c r="R3830">
        <f>WEEKNUM(datos_siembra[[#This Row],[Date]],2)-WEEKNUM(DATE(YEAR(datos_siembra[[#This Row],[Date]]),MONTH(datos_siembra[[#This Row],[Date]]),1))+1</f>
        <v>2</v>
      </c>
      <c r="S3830">
        <f>MONTH(datos_siembra[[#This Row],[Date]])</f>
        <v>10</v>
      </c>
      <c r="T3830" t="str" cm="1">
        <f t="array" ref="T3830">_xlfn.IFS(AND(N3830&lt;= 22, S3830=9), "SOWING",AND(N3830&lt;= 28, S3830=9), "COVERAGE",AND(N3830&lt;= 30, S3830=9), "FLUSH",AND(N3830&lt;= 11, S3830=10), "FLUSH",AND(N3830&lt;= 21, S3830=10), "PRODUCTION")</f>
        <v>PRODUCTION</v>
      </c>
      <c r="U3830">
        <f>HOUR(datos_siembra[[#This Row],[Hour]])</f>
        <v>9</v>
      </c>
      <c r="V3830" cm="1">
        <f t="array" ref="V3830">_xlfn.IFS(AND(N3830&lt;= 22, S3830=9), N3830-7,AND(N3830&lt;= 28, S3830=9), N3830-25,AND(N3830&lt;= 30, S3830=9), N3830-28,AND(N3830&lt;= 11, S3830=10), N3830+2,AND(N3830&lt;= 21, S3830=10), N3830-11)</f>
        <v>2</v>
      </c>
    </row>
    <row r="3831" spans="1:22" x14ac:dyDescent="0.35">
      <c r="A3831" s="4">
        <v>45578</v>
      </c>
      <c r="B3831" s="5">
        <v>0.40385416666666668</v>
      </c>
      <c r="C3831">
        <v>76</v>
      </c>
      <c r="D3831">
        <v>72.099999999999994</v>
      </c>
      <c r="E3831">
        <v>73</v>
      </c>
      <c r="F3831">
        <v>72.599999999999994</v>
      </c>
      <c r="G3831">
        <v>0</v>
      </c>
      <c r="H3831">
        <v>0</v>
      </c>
      <c r="I3831">
        <v>0</v>
      </c>
      <c r="J3831">
        <v>0</v>
      </c>
      <c r="K3831">
        <v>64.400000000000006</v>
      </c>
      <c r="L3831">
        <v>63.9</v>
      </c>
      <c r="M3831">
        <v>73.34</v>
      </c>
      <c r="N3831">
        <v>13</v>
      </c>
      <c r="O3831">
        <v>5</v>
      </c>
      <c r="P3831">
        <f>MOD(DAY(datos_siembra[[#This Row],[Date]]),7)</f>
        <v>6</v>
      </c>
      <c r="Q3831" t="str">
        <f>CHOOSE(WEEKDAY(datos_siembra[[#This Row],[Date]],2),"L","M","X","J","V","S","D")</f>
        <v>D</v>
      </c>
      <c r="R3831">
        <f>WEEKNUM(datos_siembra[[#This Row],[Date]],2)-WEEKNUM(DATE(YEAR(datos_siembra[[#This Row],[Date]]),MONTH(datos_siembra[[#This Row],[Date]]),1))+1</f>
        <v>2</v>
      </c>
      <c r="S3831">
        <f>MONTH(datos_siembra[[#This Row],[Date]])</f>
        <v>10</v>
      </c>
      <c r="T3831" t="str" cm="1">
        <f t="array" ref="T3831">_xlfn.IFS(AND(N3831&lt;= 22, S3831=9), "SOWING",AND(N3831&lt;= 28, S3831=9), "COVERAGE",AND(N3831&lt;= 30, S3831=9), "FLUSH",AND(N3831&lt;= 11, S3831=10), "FLUSH",AND(N3831&lt;= 21, S3831=10), "PRODUCTION")</f>
        <v>PRODUCTION</v>
      </c>
      <c r="U3831">
        <f>HOUR(datos_siembra[[#This Row],[Hour]])</f>
        <v>9</v>
      </c>
      <c r="V3831" cm="1">
        <f t="array" ref="V3831">_xlfn.IFS(AND(N3831&lt;= 22, S3831=9), N3831-7,AND(N3831&lt;= 28, S3831=9), N3831-25,AND(N3831&lt;= 30, S3831=9), N3831-28,AND(N3831&lt;= 11, S3831=10), N3831+2,AND(N3831&lt;= 21, S3831=10), N3831-11)</f>
        <v>2</v>
      </c>
    </row>
    <row r="3832" spans="1:22" x14ac:dyDescent="0.35">
      <c r="A3832" s="4">
        <v>45578</v>
      </c>
      <c r="B3832" s="5">
        <v>0.4107986111111111</v>
      </c>
      <c r="C3832">
        <v>75.900000000000006</v>
      </c>
      <c r="D3832">
        <v>72.099999999999994</v>
      </c>
      <c r="E3832">
        <v>73</v>
      </c>
      <c r="F3832">
        <v>72.7</v>
      </c>
      <c r="G3832">
        <v>0</v>
      </c>
      <c r="H3832">
        <v>0</v>
      </c>
      <c r="I3832">
        <v>0</v>
      </c>
      <c r="J3832">
        <v>0</v>
      </c>
      <c r="K3832">
        <v>64.5</v>
      </c>
      <c r="L3832">
        <v>64.099999999999994</v>
      </c>
      <c r="M3832">
        <v>73.290000000000006</v>
      </c>
      <c r="N3832">
        <v>13</v>
      </c>
      <c r="O3832">
        <v>5</v>
      </c>
      <c r="P3832">
        <f>MOD(DAY(datos_siembra[[#This Row],[Date]]),7)</f>
        <v>6</v>
      </c>
      <c r="Q3832" t="str">
        <f>CHOOSE(WEEKDAY(datos_siembra[[#This Row],[Date]],2),"L","M","X","J","V","S","D")</f>
        <v>D</v>
      </c>
      <c r="R3832">
        <f>WEEKNUM(datos_siembra[[#This Row],[Date]],2)-WEEKNUM(DATE(YEAR(datos_siembra[[#This Row],[Date]]),MONTH(datos_siembra[[#This Row],[Date]]),1))+1</f>
        <v>2</v>
      </c>
      <c r="S3832">
        <f>MONTH(datos_siembra[[#This Row],[Date]])</f>
        <v>10</v>
      </c>
      <c r="T3832" t="str" cm="1">
        <f t="array" ref="T3832">_xlfn.IFS(AND(N3832&lt;= 22, S3832=9), "SOWING",AND(N3832&lt;= 28, S3832=9), "COVERAGE",AND(N3832&lt;= 30, S3832=9), "FLUSH",AND(N3832&lt;= 11, S3832=10), "FLUSH",AND(N3832&lt;= 21, S3832=10), "PRODUCTION")</f>
        <v>PRODUCTION</v>
      </c>
      <c r="U3832">
        <f>HOUR(datos_siembra[[#This Row],[Hour]])</f>
        <v>9</v>
      </c>
      <c r="V3832" cm="1">
        <f t="array" ref="V3832">_xlfn.IFS(AND(N3832&lt;= 22, S3832=9), N3832-7,AND(N3832&lt;= 28, S3832=9), N3832-25,AND(N3832&lt;= 30, S3832=9), N3832-28,AND(N3832&lt;= 11, S3832=10), N3832+2,AND(N3832&lt;= 21, S3832=10), N3832-11)</f>
        <v>2</v>
      </c>
    </row>
    <row r="3833" spans="1:22" x14ac:dyDescent="0.35">
      <c r="A3833" s="4">
        <v>45578</v>
      </c>
      <c r="B3833" s="5">
        <v>0.41775462962962961</v>
      </c>
      <c r="C3833">
        <v>76</v>
      </c>
      <c r="D3833">
        <v>72.3</v>
      </c>
      <c r="E3833">
        <v>72.8</v>
      </c>
      <c r="F3833">
        <v>72.5</v>
      </c>
      <c r="G3833">
        <v>0</v>
      </c>
      <c r="H3833">
        <v>0</v>
      </c>
      <c r="I3833">
        <v>0</v>
      </c>
      <c r="J3833">
        <v>0</v>
      </c>
      <c r="K3833">
        <v>64.599999999999994</v>
      </c>
      <c r="L3833">
        <v>64.3</v>
      </c>
      <c r="M3833">
        <v>73.34</v>
      </c>
      <c r="N3833">
        <v>13</v>
      </c>
      <c r="O3833">
        <v>5</v>
      </c>
      <c r="P3833">
        <f>MOD(DAY(datos_siembra[[#This Row],[Date]]),7)</f>
        <v>6</v>
      </c>
      <c r="Q3833" t="str">
        <f>CHOOSE(WEEKDAY(datos_siembra[[#This Row],[Date]],2),"L","M","X","J","V","S","D")</f>
        <v>D</v>
      </c>
      <c r="R3833">
        <f>WEEKNUM(datos_siembra[[#This Row],[Date]],2)-WEEKNUM(DATE(YEAR(datos_siembra[[#This Row],[Date]]),MONTH(datos_siembra[[#This Row],[Date]]),1))+1</f>
        <v>2</v>
      </c>
      <c r="S3833">
        <f>MONTH(datos_siembra[[#This Row],[Date]])</f>
        <v>10</v>
      </c>
      <c r="T3833" t="str" cm="1">
        <f t="array" ref="T3833">_xlfn.IFS(AND(N3833&lt;= 22, S3833=9), "SOWING",AND(N3833&lt;= 28, S3833=9), "COVERAGE",AND(N3833&lt;= 30, S3833=9), "FLUSH",AND(N3833&lt;= 11, S3833=10), "FLUSH",AND(N3833&lt;= 21, S3833=10), "PRODUCTION")</f>
        <v>PRODUCTION</v>
      </c>
      <c r="U3833">
        <f>HOUR(datos_siembra[[#This Row],[Hour]])</f>
        <v>10</v>
      </c>
      <c r="V3833" cm="1">
        <f t="array" ref="V3833">_xlfn.IFS(AND(N3833&lt;= 22, S3833=9), N3833-7,AND(N3833&lt;= 28, S3833=9), N3833-25,AND(N3833&lt;= 30, S3833=9), N3833-28,AND(N3833&lt;= 11, S3833=10), N3833+2,AND(N3833&lt;= 21, S3833=10), N3833-11)</f>
        <v>2</v>
      </c>
    </row>
    <row r="3834" spans="1:22" x14ac:dyDescent="0.35">
      <c r="A3834" s="4">
        <v>45578</v>
      </c>
      <c r="B3834" s="5">
        <v>0.42469907407407409</v>
      </c>
      <c r="C3834">
        <v>75.900000000000006</v>
      </c>
      <c r="D3834">
        <v>71.900000000000006</v>
      </c>
      <c r="E3834">
        <v>72.8</v>
      </c>
      <c r="F3834">
        <v>72.599999999999994</v>
      </c>
      <c r="G3834">
        <v>0</v>
      </c>
      <c r="H3834">
        <v>0</v>
      </c>
      <c r="I3834">
        <v>0</v>
      </c>
      <c r="J3834">
        <v>0</v>
      </c>
      <c r="K3834">
        <v>65</v>
      </c>
      <c r="L3834">
        <v>64.400000000000006</v>
      </c>
      <c r="M3834">
        <v>73.23</v>
      </c>
      <c r="N3834">
        <v>13</v>
      </c>
      <c r="O3834">
        <v>5</v>
      </c>
      <c r="P3834">
        <f>MOD(DAY(datos_siembra[[#This Row],[Date]]),7)</f>
        <v>6</v>
      </c>
      <c r="Q3834" t="str">
        <f>CHOOSE(WEEKDAY(datos_siembra[[#This Row],[Date]],2),"L","M","X","J","V","S","D")</f>
        <v>D</v>
      </c>
      <c r="R3834">
        <f>WEEKNUM(datos_siembra[[#This Row],[Date]],2)-WEEKNUM(DATE(YEAR(datos_siembra[[#This Row],[Date]]),MONTH(datos_siembra[[#This Row],[Date]]),1))+1</f>
        <v>2</v>
      </c>
      <c r="S3834">
        <f>MONTH(datos_siembra[[#This Row],[Date]])</f>
        <v>10</v>
      </c>
      <c r="T3834" t="str" cm="1">
        <f t="array" ref="T3834">_xlfn.IFS(AND(N3834&lt;= 22, S3834=9), "SOWING",AND(N3834&lt;= 28, S3834=9), "COVERAGE",AND(N3834&lt;= 30, S3834=9), "FLUSH",AND(N3834&lt;= 11, S3834=10), "FLUSH",AND(N3834&lt;= 21, S3834=10), "PRODUCTION")</f>
        <v>PRODUCTION</v>
      </c>
      <c r="U3834">
        <f>HOUR(datos_siembra[[#This Row],[Hour]])</f>
        <v>10</v>
      </c>
      <c r="V3834" cm="1">
        <f t="array" ref="V3834">_xlfn.IFS(AND(N3834&lt;= 22, S3834=9), N3834-7,AND(N3834&lt;= 28, S3834=9), N3834-25,AND(N3834&lt;= 30, S3834=9), N3834-28,AND(N3834&lt;= 11, S3834=10), N3834+2,AND(N3834&lt;= 21, S3834=10), N3834-11)</f>
        <v>2</v>
      </c>
    </row>
    <row r="3835" spans="1:22" x14ac:dyDescent="0.35">
      <c r="A3835" s="4">
        <v>45578</v>
      </c>
      <c r="B3835" s="5">
        <v>0.43164351851851851</v>
      </c>
      <c r="C3835">
        <v>75.8</v>
      </c>
      <c r="D3835">
        <v>72.099999999999994</v>
      </c>
      <c r="E3835">
        <v>72.5</v>
      </c>
      <c r="F3835">
        <v>72.5</v>
      </c>
      <c r="G3835">
        <v>0</v>
      </c>
      <c r="H3835">
        <v>0</v>
      </c>
      <c r="I3835">
        <v>0</v>
      </c>
      <c r="J3835">
        <v>0</v>
      </c>
      <c r="K3835">
        <v>65.099999999999994</v>
      </c>
      <c r="L3835">
        <v>64.599999999999994</v>
      </c>
      <c r="M3835">
        <v>73.2</v>
      </c>
      <c r="N3835">
        <v>13</v>
      </c>
      <c r="O3835">
        <v>5</v>
      </c>
      <c r="P3835">
        <f>MOD(DAY(datos_siembra[[#This Row],[Date]]),7)</f>
        <v>6</v>
      </c>
      <c r="Q3835" t="str">
        <f>CHOOSE(WEEKDAY(datos_siembra[[#This Row],[Date]],2),"L","M","X","J","V","S","D")</f>
        <v>D</v>
      </c>
      <c r="R3835">
        <f>WEEKNUM(datos_siembra[[#This Row],[Date]],2)-WEEKNUM(DATE(YEAR(datos_siembra[[#This Row],[Date]]),MONTH(datos_siembra[[#This Row],[Date]]),1))+1</f>
        <v>2</v>
      </c>
      <c r="S3835">
        <f>MONTH(datos_siembra[[#This Row],[Date]])</f>
        <v>10</v>
      </c>
      <c r="T3835" t="str" cm="1">
        <f t="array" ref="T3835">_xlfn.IFS(AND(N3835&lt;= 22, S3835=9), "SOWING",AND(N3835&lt;= 28, S3835=9), "COVERAGE",AND(N3835&lt;= 30, S3835=9), "FLUSH",AND(N3835&lt;= 11, S3835=10), "FLUSH",AND(N3835&lt;= 21, S3835=10), "PRODUCTION")</f>
        <v>PRODUCTION</v>
      </c>
      <c r="U3835">
        <f>HOUR(datos_siembra[[#This Row],[Hour]])</f>
        <v>10</v>
      </c>
      <c r="V3835" cm="1">
        <f t="array" ref="V3835">_xlfn.IFS(AND(N3835&lt;= 22, S3835=9), N3835-7,AND(N3835&lt;= 28, S3835=9), N3835-25,AND(N3835&lt;= 30, S3835=9), N3835-28,AND(N3835&lt;= 11, S3835=10), N3835+2,AND(N3835&lt;= 21, S3835=10), N3835-11)</f>
        <v>2</v>
      </c>
    </row>
    <row r="3836" spans="1:22" x14ac:dyDescent="0.35">
      <c r="A3836" s="4">
        <v>45578</v>
      </c>
      <c r="B3836" s="5">
        <v>0.43859953703703702</v>
      </c>
      <c r="C3836">
        <v>75.599999999999994</v>
      </c>
      <c r="D3836">
        <v>72.099999999999994</v>
      </c>
      <c r="E3836">
        <v>72.599999999999994</v>
      </c>
      <c r="F3836">
        <v>72.5</v>
      </c>
      <c r="G3836">
        <v>0</v>
      </c>
      <c r="H3836">
        <v>0</v>
      </c>
      <c r="I3836">
        <v>0</v>
      </c>
      <c r="J3836">
        <v>0</v>
      </c>
      <c r="K3836">
        <v>65.2</v>
      </c>
      <c r="L3836">
        <v>64.7</v>
      </c>
      <c r="M3836">
        <v>73.09</v>
      </c>
      <c r="N3836">
        <v>13</v>
      </c>
      <c r="O3836">
        <v>5</v>
      </c>
      <c r="P3836">
        <f>MOD(DAY(datos_siembra[[#This Row],[Date]]),7)</f>
        <v>6</v>
      </c>
      <c r="Q3836" t="str">
        <f>CHOOSE(WEEKDAY(datos_siembra[[#This Row],[Date]],2),"L","M","X","J","V","S","D")</f>
        <v>D</v>
      </c>
      <c r="R3836">
        <f>WEEKNUM(datos_siembra[[#This Row],[Date]],2)-WEEKNUM(DATE(YEAR(datos_siembra[[#This Row],[Date]]),MONTH(datos_siembra[[#This Row],[Date]]),1))+1</f>
        <v>2</v>
      </c>
      <c r="S3836">
        <f>MONTH(datos_siembra[[#This Row],[Date]])</f>
        <v>10</v>
      </c>
      <c r="T3836" t="str" cm="1">
        <f t="array" ref="T3836">_xlfn.IFS(AND(N3836&lt;= 22, S3836=9), "SOWING",AND(N3836&lt;= 28, S3836=9), "COVERAGE",AND(N3836&lt;= 30, S3836=9), "FLUSH",AND(N3836&lt;= 11, S3836=10), "FLUSH",AND(N3836&lt;= 21, S3836=10), "PRODUCTION")</f>
        <v>PRODUCTION</v>
      </c>
      <c r="U3836">
        <f>HOUR(datos_siembra[[#This Row],[Hour]])</f>
        <v>10</v>
      </c>
      <c r="V3836" cm="1">
        <f t="array" ref="V3836">_xlfn.IFS(AND(N3836&lt;= 22, S3836=9), N3836-7,AND(N3836&lt;= 28, S3836=9), N3836-25,AND(N3836&lt;= 30, S3836=9), N3836-28,AND(N3836&lt;= 11, S3836=10), N3836+2,AND(N3836&lt;= 21, S3836=10), N3836-11)</f>
        <v>2</v>
      </c>
    </row>
    <row r="3837" spans="1:22" x14ac:dyDescent="0.35">
      <c r="A3837" s="4">
        <v>45578</v>
      </c>
      <c r="B3837" s="5">
        <v>0.4455439814814815</v>
      </c>
      <c r="C3837">
        <v>75.599999999999994</v>
      </c>
      <c r="D3837">
        <v>72.099999999999994</v>
      </c>
      <c r="E3837">
        <v>72.599999999999994</v>
      </c>
      <c r="F3837">
        <v>72.3</v>
      </c>
      <c r="G3837">
        <v>0</v>
      </c>
      <c r="H3837">
        <v>0</v>
      </c>
      <c r="I3837">
        <v>0</v>
      </c>
      <c r="J3837">
        <v>0</v>
      </c>
      <c r="K3837">
        <v>65.2</v>
      </c>
      <c r="L3837">
        <v>65.2</v>
      </c>
      <c r="M3837">
        <v>73.150000000000006</v>
      </c>
      <c r="N3837">
        <v>13</v>
      </c>
      <c r="O3837">
        <v>5</v>
      </c>
      <c r="P3837">
        <f>MOD(DAY(datos_siembra[[#This Row],[Date]]),7)</f>
        <v>6</v>
      </c>
      <c r="Q3837" t="str">
        <f>CHOOSE(WEEKDAY(datos_siembra[[#This Row],[Date]],2),"L","M","X","J","V","S","D")</f>
        <v>D</v>
      </c>
      <c r="R3837">
        <f>WEEKNUM(datos_siembra[[#This Row],[Date]],2)-WEEKNUM(DATE(YEAR(datos_siembra[[#This Row],[Date]]),MONTH(datos_siembra[[#This Row],[Date]]),1))+1</f>
        <v>2</v>
      </c>
      <c r="S3837">
        <f>MONTH(datos_siembra[[#This Row],[Date]])</f>
        <v>10</v>
      </c>
      <c r="T3837" t="str" cm="1">
        <f t="array" ref="T3837">_xlfn.IFS(AND(N3837&lt;= 22, S3837=9), "SOWING",AND(N3837&lt;= 28, S3837=9), "COVERAGE",AND(N3837&lt;= 30, S3837=9), "FLUSH",AND(N3837&lt;= 11, S3837=10), "FLUSH",AND(N3837&lt;= 21, S3837=10), "PRODUCTION")</f>
        <v>PRODUCTION</v>
      </c>
      <c r="U3837">
        <f>HOUR(datos_siembra[[#This Row],[Hour]])</f>
        <v>10</v>
      </c>
      <c r="V3837" cm="1">
        <f t="array" ref="V3837">_xlfn.IFS(AND(N3837&lt;= 22, S3837=9), N3837-7,AND(N3837&lt;= 28, S3837=9), N3837-25,AND(N3837&lt;= 30, S3837=9), N3837-28,AND(N3837&lt;= 11, S3837=10), N3837+2,AND(N3837&lt;= 21, S3837=10), N3837-11)</f>
        <v>2</v>
      </c>
    </row>
    <row r="3838" spans="1:22" x14ac:dyDescent="0.35">
      <c r="A3838" s="4">
        <v>45578</v>
      </c>
      <c r="B3838" s="5">
        <v>0.45248842592592592</v>
      </c>
      <c r="C3838">
        <v>75.599999999999994</v>
      </c>
      <c r="D3838">
        <v>72.099999999999994</v>
      </c>
      <c r="E3838">
        <v>72.599999999999994</v>
      </c>
      <c r="F3838">
        <v>72.3</v>
      </c>
      <c r="G3838">
        <v>0</v>
      </c>
      <c r="H3838">
        <v>0</v>
      </c>
      <c r="I3838">
        <v>0</v>
      </c>
      <c r="J3838">
        <v>0</v>
      </c>
      <c r="K3838">
        <v>65.400000000000006</v>
      </c>
      <c r="L3838">
        <v>65.400000000000006</v>
      </c>
      <c r="M3838">
        <v>73.2</v>
      </c>
      <c r="N3838">
        <v>13</v>
      </c>
      <c r="O3838">
        <v>5</v>
      </c>
      <c r="P3838">
        <f>MOD(DAY(datos_siembra[[#This Row],[Date]]),7)</f>
        <v>6</v>
      </c>
      <c r="Q3838" t="str">
        <f>CHOOSE(WEEKDAY(datos_siembra[[#This Row],[Date]],2),"L","M","X","J","V","S","D")</f>
        <v>D</v>
      </c>
      <c r="R3838">
        <f>WEEKNUM(datos_siembra[[#This Row],[Date]],2)-WEEKNUM(DATE(YEAR(datos_siembra[[#This Row],[Date]]),MONTH(datos_siembra[[#This Row],[Date]]),1))+1</f>
        <v>2</v>
      </c>
      <c r="S3838">
        <f>MONTH(datos_siembra[[#This Row],[Date]])</f>
        <v>10</v>
      </c>
      <c r="T3838" t="str" cm="1">
        <f t="array" ref="T3838">_xlfn.IFS(AND(N3838&lt;= 22, S3838=9), "SOWING",AND(N3838&lt;= 28, S3838=9), "COVERAGE",AND(N3838&lt;= 30, S3838=9), "FLUSH",AND(N3838&lt;= 11, S3838=10), "FLUSH",AND(N3838&lt;= 21, S3838=10), "PRODUCTION")</f>
        <v>PRODUCTION</v>
      </c>
      <c r="U3838">
        <f>HOUR(datos_siembra[[#This Row],[Hour]])</f>
        <v>10</v>
      </c>
      <c r="V3838" cm="1">
        <f t="array" ref="V3838">_xlfn.IFS(AND(N3838&lt;= 22, S3838=9), N3838-7,AND(N3838&lt;= 28, S3838=9), N3838-25,AND(N3838&lt;= 30, S3838=9), N3838-28,AND(N3838&lt;= 11, S3838=10), N3838+2,AND(N3838&lt;= 21, S3838=10), N3838-11)</f>
        <v>2</v>
      </c>
    </row>
    <row r="3839" spans="1:22" x14ac:dyDescent="0.35">
      <c r="A3839" s="4">
        <v>45578</v>
      </c>
      <c r="B3839" s="5">
        <v>0.45944444444444443</v>
      </c>
      <c r="C3839">
        <v>75.5</v>
      </c>
      <c r="D3839">
        <v>71.900000000000006</v>
      </c>
      <c r="E3839">
        <v>72.5</v>
      </c>
      <c r="F3839">
        <v>72.3</v>
      </c>
      <c r="G3839">
        <v>0</v>
      </c>
      <c r="H3839">
        <v>0</v>
      </c>
      <c r="I3839">
        <v>0</v>
      </c>
      <c r="J3839">
        <v>0</v>
      </c>
      <c r="K3839">
        <v>65.5</v>
      </c>
      <c r="L3839">
        <v>65.599999999999994</v>
      </c>
      <c r="M3839">
        <v>73.150000000000006</v>
      </c>
      <c r="N3839">
        <v>13</v>
      </c>
      <c r="O3839">
        <v>5</v>
      </c>
      <c r="P3839">
        <f>MOD(DAY(datos_siembra[[#This Row],[Date]]),7)</f>
        <v>6</v>
      </c>
      <c r="Q3839" t="str">
        <f>CHOOSE(WEEKDAY(datos_siembra[[#This Row],[Date]],2),"L","M","X","J","V","S","D")</f>
        <v>D</v>
      </c>
      <c r="R3839">
        <f>WEEKNUM(datos_siembra[[#This Row],[Date]],2)-WEEKNUM(DATE(YEAR(datos_siembra[[#This Row],[Date]]),MONTH(datos_siembra[[#This Row],[Date]]),1))+1</f>
        <v>2</v>
      </c>
      <c r="S3839">
        <f>MONTH(datos_siembra[[#This Row],[Date]])</f>
        <v>10</v>
      </c>
      <c r="T3839" t="str" cm="1">
        <f t="array" ref="T3839">_xlfn.IFS(AND(N3839&lt;= 22, S3839=9), "SOWING",AND(N3839&lt;= 28, S3839=9), "COVERAGE",AND(N3839&lt;= 30, S3839=9), "FLUSH",AND(N3839&lt;= 11, S3839=10), "FLUSH",AND(N3839&lt;= 21, S3839=10), "PRODUCTION")</f>
        <v>PRODUCTION</v>
      </c>
      <c r="U3839">
        <f>HOUR(datos_siembra[[#This Row],[Hour]])</f>
        <v>11</v>
      </c>
      <c r="V3839" cm="1">
        <f t="array" ref="V3839">_xlfn.IFS(AND(N3839&lt;= 22, S3839=9), N3839-7,AND(N3839&lt;= 28, S3839=9), N3839-25,AND(N3839&lt;= 30, S3839=9), N3839-28,AND(N3839&lt;= 11, S3839=10), N3839+2,AND(N3839&lt;= 21, S3839=10), N3839-11)</f>
        <v>2</v>
      </c>
    </row>
    <row r="3840" spans="1:22" x14ac:dyDescent="0.35">
      <c r="A3840" s="4">
        <v>45578</v>
      </c>
      <c r="B3840" s="5">
        <v>0.46638888888888891</v>
      </c>
      <c r="C3840">
        <v>75.5</v>
      </c>
      <c r="D3840">
        <v>71.900000000000006</v>
      </c>
      <c r="E3840">
        <v>72.2</v>
      </c>
      <c r="F3840">
        <v>72.400000000000006</v>
      </c>
      <c r="G3840">
        <v>0</v>
      </c>
      <c r="H3840">
        <v>0</v>
      </c>
      <c r="I3840">
        <v>0</v>
      </c>
      <c r="J3840">
        <v>0</v>
      </c>
      <c r="K3840">
        <v>65.599999999999994</v>
      </c>
      <c r="L3840">
        <v>65.599999999999994</v>
      </c>
      <c r="M3840">
        <v>73.06</v>
      </c>
      <c r="N3840">
        <v>13</v>
      </c>
      <c r="O3840">
        <v>5</v>
      </c>
      <c r="P3840">
        <f>MOD(DAY(datos_siembra[[#This Row],[Date]]),7)</f>
        <v>6</v>
      </c>
      <c r="Q3840" t="str">
        <f>CHOOSE(WEEKDAY(datos_siembra[[#This Row],[Date]],2),"L","M","X","J","V","S","D")</f>
        <v>D</v>
      </c>
      <c r="R3840">
        <f>WEEKNUM(datos_siembra[[#This Row],[Date]],2)-WEEKNUM(DATE(YEAR(datos_siembra[[#This Row],[Date]]),MONTH(datos_siembra[[#This Row],[Date]]),1))+1</f>
        <v>2</v>
      </c>
      <c r="S3840">
        <f>MONTH(datos_siembra[[#This Row],[Date]])</f>
        <v>10</v>
      </c>
      <c r="T3840" t="str" cm="1">
        <f t="array" ref="T3840">_xlfn.IFS(AND(N3840&lt;= 22, S3840=9), "SOWING",AND(N3840&lt;= 28, S3840=9), "COVERAGE",AND(N3840&lt;= 30, S3840=9), "FLUSH",AND(N3840&lt;= 11, S3840=10), "FLUSH",AND(N3840&lt;= 21, S3840=10), "PRODUCTION")</f>
        <v>PRODUCTION</v>
      </c>
      <c r="U3840">
        <f>HOUR(datos_siembra[[#This Row],[Hour]])</f>
        <v>11</v>
      </c>
      <c r="V3840" cm="1">
        <f t="array" ref="V3840">_xlfn.IFS(AND(N3840&lt;= 22, S3840=9), N3840-7,AND(N3840&lt;= 28, S3840=9), N3840-25,AND(N3840&lt;= 30, S3840=9), N3840-28,AND(N3840&lt;= 11, S3840=10), N3840+2,AND(N3840&lt;= 21, S3840=10), N3840-11)</f>
        <v>2</v>
      </c>
    </row>
    <row r="3841" spans="1:22" x14ac:dyDescent="0.35">
      <c r="A3841" s="4">
        <v>45578</v>
      </c>
      <c r="B3841" s="5">
        <v>0.47333333333333333</v>
      </c>
      <c r="C3841">
        <v>75.5</v>
      </c>
      <c r="D3841">
        <v>72.099999999999994</v>
      </c>
      <c r="E3841">
        <v>72.599999999999994</v>
      </c>
      <c r="F3841">
        <v>72.400000000000006</v>
      </c>
      <c r="G3841">
        <v>0</v>
      </c>
      <c r="H3841">
        <v>0</v>
      </c>
      <c r="I3841">
        <v>0</v>
      </c>
      <c r="J3841">
        <v>0</v>
      </c>
      <c r="K3841">
        <v>66</v>
      </c>
      <c r="L3841">
        <v>66</v>
      </c>
      <c r="M3841">
        <v>73.150000000000006</v>
      </c>
      <c r="N3841">
        <v>13</v>
      </c>
      <c r="O3841">
        <v>5</v>
      </c>
      <c r="P3841">
        <f>MOD(DAY(datos_siembra[[#This Row],[Date]]),7)</f>
        <v>6</v>
      </c>
      <c r="Q3841" t="str">
        <f>CHOOSE(WEEKDAY(datos_siembra[[#This Row],[Date]],2),"L","M","X","J","V","S","D")</f>
        <v>D</v>
      </c>
      <c r="R3841">
        <f>WEEKNUM(datos_siembra[[#This Row],[Date]],2)-WEEKNUM(DATE(YEAR(datos_siembra[[#This Row],[Date]]),MONTH(datos_siembra[[#This Row],[Date]]),1))+1</f>
        <v>2</v>
      </c>
      <c r="S3841">
        <f>MONTH(datos_siembra[[#This Row],[Date]])</f>
        <v>10</v>
      </c>
      <c r="T3841" t="str" cm="1">
        <f t="array" ref="T3841">_xlfn.IFS(AND(N3841&lt;= 22, S3841=9), "SOWING",AND(N3841&lt;= 28, S3841=9), "COVERAGE",AND(N3841&lt;= 30, S3841=9), "FLUSH",AND(N3841&lt;= 11, S3841=10), "FLUSH",AND(N3841&lt;= 21, S3841=10), "PRODUCTION")</f>
        <v>PRODUCTION</v>
      </c>
      <c r="U3841">
        <f>HOUR(datos_siembra[[#This Row],[Hour]])</f>
        <v>11</v>
      </c>
      <c r="V3841" cm="1">
        <f t="array" ref="V3841">_xlfn.IFS(AND(N3841&lt;= 22, S3841=9), N3841-7,AND(N3841&lt;= 28, S3841=9), N3841-25,AND(N3841&lt;= 30, S3841=9), N3841-28,AND(N3841&lt;= 11, S3841=10), N3841+2,AND(N3841&lt;= 21, S3841=10), N3841-11)</f>
        <v>2</v>
      </c>
    </row>
    <row r="3842" spans="1:22" x14ac:dyDescent="0.35">
      <c r="A3842" s="4">
        <v>45578</v>
      </c>
      <c r="B3842" s="5">
        <v>0.4802777777777778</v>
      </c>
      <c r="C3842">
        <v>75.5</v>
      </c>
      <c r="D3842">
        <v>72.099999999999994</v>
      </c>
      <c r="E3842">
        <v>72.599999999999994</v>
      </c>
      <c r="F3842">
        <v>72.099999999999994</v>
      </c>
      <c r="G3842">
        <v>0</v>
      </c>
      <c r="H3842">
        <v>0</v>
      </c>
      <c r="I3842">
        <v>0</v>
      </c>
      <c r="J3842">
        <v>0</v>
      </c>
      <c r="K3842">
        <v>66</v>
      </c>
      <c r="L3842">
        <v>66</v>
      </c>
      <c r="M3842">
        <v>73.06</v>
      </c>
      <c r="N3842">
        <v>13</v>
      </c>
      <c r="O3842">
        <v>5</v>
      </c>
      <c r="P3842">
        <f>MOD(DAY(datos_siembra[[#This Row],[Date]]),7)</f>
        <v>6</v>
      </c>
      <c r="Q3842" t="str">
        <f>CHOOSE(WEEKDAY(datos_siembra[[#This Row],[Date]],2),"L","M","X","J","V","S","D")</f>
        <v>D</v>
      </c>
      <c r="R3842">
        <f>WEEKNUM(datos_siembra[[#This Row],[Date]],2)-WEEKNUM(DATE(YEAR(datos_siembra[[#This Row],[Date]]),MONTH(datos_siembra[[#This Row],[Date]]),1))+1</f>
        <v>2</v>
      </c>
      <c r="S3842">
        <f>MONTH(datos_siembra[[#This Row],[Date]])</f>
        <v>10</v>
      </c>
      <c r="T3842" t="str" cm="1">
        <f t="array" ref="T3842">_xlfn.IFS(AND(N3842&lt;= 22, S3842=9), "SOWING",AND(N3842&lt;= 28, S3842=9), "COVERAGE",AND(N3842&lt;= 30, S3842=9), "FLUSH",AND(N3842&lt;= 11, S3842=10), "FLUSH",AND(N3842&lt;= 21, S3842=10), "PRODUCTION")</f>
        <v>PRODUCTION</v>
      </c>
      <c r="U3842">
        <f>HOUR(datos_siembra[[#This Row],[Hour]])</f>
        <v>11</v>
      </c>
      <c r="V3842" cm="1">
        <f t="array" ref="V3842">_xlfn.IFS(AND(N3842&lt;= 22, S3842=9), N3842-7,AND(N3842&lt;= 28, S3842=9), N3842-25,AND(N3842&lt;= 30, S3842=9), N3842-28,AND(N3842&lt;= 11, S3842=10), N3842+2,AND(N3842&lt;= 21, S3842=10), N3842-11)</f>
        <v>2</v>
      </c>
    </row>
    <row r="3843" spans="1:22" x14ac:dyDescent="0.35">
      <c r="A3843" s="4">
        <v>45578</v>
      </c>
      <c r="B3843" s="5">
        <v>0.48723379629629632</v>
      </c>
      <c r="C3843">
        <v>75.599999999999994</v>
      </c>
      <c r="D3843">
        <v>72.099999999999994</v>
      </c>
      <c r="E3843">
        <v>72.400000000000006</v>
      </c>
      <c r="F3843">
        <v>72.2</v>
      </c>
      <c r="G3843">
        <v>0</v>
      </c>
      <c r="H3843">
        <v>0</v>
      </c>
      <c r="I3843">
        <v>0</v>
      </c>
      <c r="J3843">
        <v>0</v>
      </c>
      <c r="K3843">
        <v>66</v>
      </c>
      <c r="L3843">
        <v>66</v>
      </c>
      <c r="M3843">
        <v>73.03</v>
      </c>
      <c r="N3843">
        <v>13</v>
      </c>
      <c r="O3843">
        <v>5</v>
      </c>
      <c r="P3843">
        <f>MOD(DAY(datos_siembra[[#This Row],[Date]]),7)</f>
        <v>6</v>
      </c>
      <c r="Q3843" t="str">
        <f>CHOOSE(WEEKDAY(datos_siembra[[#This Row],[Date]],2),"L","M","X","J","V","S","D")</f>
        <v>D</v>
      </c>
      <c r="R3843">
        <f>WEEKNUM(datos_siembra[[#This Row],[Date]],2)-WEEKNUM(DATE(YEAR(datos_siembra[[#This Row],[Date]]),MONTH(datos_siembra[[#This Row],[Date]]),1))+1</f>
        <v>2</v>
      </c>
      <c r="S3843">
        <f>MONTH(datos_siembra[[#This Row],[Date]])</f>
        <v>10</v>
      </c>
      <c r="T3843" t="str" cm="1">
        <f t="array" ref="T3843">_xlfn.IFS(AND(N3843&lt;= 22, S3843=9), "SOWING",AND(N3843&lt;= 28, S3843=9), "COVERAGE",AND(N3843&lt;= 30, S3843=9), "FLUSH",AND(N3843&lt;= 11, S3843=10), "FLUSH",AND(N3843&lt;= 21, S3843=10), "PRODUCTION")</f>
        <v>PRODUCTION</v>
      </c>
      <c r="U3843">
        <f>HOUR(datos_siembra[[#This Row],[Hour]])</f>
        <v>11</v>
      </c>
      <c r="V3843" cm="1">
        <f t="array" ref="V3843">_xlfn.IFS(AND(N3843&lt;= 22, S3843=9), N3843-7,AND(N3843&lt;= 28, S3843=9), N3843-25,AND(N3843&lt;= 30, S3843=9), N3843-28,AND(N3843&lt;= 11, S3843=10), N3843+2,AND(N3843&lt;= 21, S3843=10), N3843-11)</f>
        <v>2</v>
      </c>
    </row>
    <row r="3844" spans="1:22" x14ac:dyDescent="0.35">
      <c r="A3844" s="4">
        <v>45578</v>
      </c>
      <c r="B3844" s="5">
        <v>0.49417824074074074</v>
      </c>
      <c r="C3844">
        <v>75.3</v>
      </c>
      <c r="D3844">
        <v>71.900000000000006</v>
      </c>
      <c r="E3844">
        <v>72.5</v>
      </c>
      <c r="F3844">
        <v>72.2</v>
      </c>
      <c r="G3844">
        <v>0</v>
      </c>
      <c r="H3844">
        <v>0</v>
      </c>
      <c r="I3844">
        <v>0</v>
      </c>
      <c r="J3844">
        <v>0</v>
      </c>
      <c r="K3844">
        <v>66.099999999999994</v>
      </c>
      <c r="L3844">
        <v>66.099999999999994</v>
      </c>
      <c r="M3844">
        <v>73.03</v>
      </c>
      <c r="N3844">
        <v>13</v>
      </c>
      <c r="O3844">
        <v>5</v>
      </c>
      <c r="P3844">
        <f>MOD(DAY(datos_siembra[[#This Row],[Date]]),7)</f>
        <v>6</v>
      </c>
      <c r="Q3844" t="str">
        <f>CHOOSE(WEEKDAY(datos_siembra[[#This Row],[Date]],2),"L","M","X","J","V","S","D")</f>
        <v>D</v>
      </c>
      <c r="R3844">
        <f>WEEKNUM(datos_siembra[[#This Row],[Date]],2)-WEEKNUM(DATE(YEAR(datos_siembra[[#This Row],[Date]]),MONTH(datos_siembra[[#This Row],[Date]]),1))+1</f>
        <v>2</v>
      </c>
      <c r="S3844">
        <f>MONTH(datos_siembra[[#This Row],[Date]])</f>
        <v>10</v>
      </c>
      <c r="T3844" t="str" cm="1">
        <f t="array" ref="T3844">_xlfn.IFS(AND(N3844&lt;= 22, S3844=9), "SOWING",AND(N3844&lt;= 28, S3844=9), "COVERAGE",AND(N3844&lt;= 30, S3844=9), "FLUSH",AND(N3844&lt;= 11, S3844=10), "FLUSH",AND(N3844&lt;= 21, S3844=10), "PRODUCTION")</f>
        <v>PRODUCTION</v>
      </c>
      <c r="U3844">
        <f>HOUR(datos_siembra[[#This Row],[Hour]])</f>
        <v>11</v>
      </c>
      <c r="V3844" cm="1">
        <f t="array" ref="V3844">_xlfn.IFS(AND(N3844&lt;= 22, S3844=9), N3844-7,AND(N3844&lt;= 28, S3844=9), N3844-25,AND(N3844&lt;= 30, S3844=9), N3844-28,AND(N3844&lt;= 11, S3844=10), N3844+2,AND(N3844&lt;= 21, S3844=10), N3844-11)</f>
        <v>2</v>
      </c>
    </row>
    <row r="3845" spans="1:22" x14ac:dyDescent="0.35">
      <c r="A3845" s="4">
        <v>45578</v>
      </c>
      <c r="B3845" s="5">
        <v>0.50112268518518521</v>
      </c>
      <c r="C3845">
        <v>75.5</v>
      </c>
      <c r="D3845">
        <v>72.2</v>
      </c>
      <c r="E3845">
        <v>72.400000000000006</v>
      </c>
      <c r="F3845">
        <v>72.2</v>
      </c>
      <c r="G3845">
        <v>0</v>
      </c>
      <c r="H3845">
        <v>0</v>
      </c>
      <c r="I3845">
        <v>0</v>
      </c>
      <c r="J3845">
        <v>0</v>
      </c>
      <c r="K3845">
        <v>65.099999999999994</v>
      </c>
      <c r="L3845">
        <v>65</v>
      </c>
      <c r="M3845">
        <v>72.98</v>
      </c>
      <c r="N3845">
        <v>13</v>
      </c>
      <c r="O3845">
        <v>5</v>
      </c>
      <c r="P3845">
        <f>MOD(DAY(datos_siembra[[#This Row],[Date]]),7)</f>
        <v>6</v>
      </c>
      <c r="Q3845" t="str">
        <f>CHOOSE(WEEKDAY(datos_siembra[[#This Row],[Date]],2),"L","M","X","J","V","S","D")</f>
        <v>D</v>
      </c>
      <c r="R3845">
        <f>WEEKNUM(datos_siembra[[#This Row],[Date]],2)-WEEKNUM(DATE(YEAR(datos_siembra[[#This Row],[Date]]),MONTH(datos_siembra[[#This Row],[Date]]),1))+1</f>
        <v>2</v>
      </c>
      <c r="S3845">
        <f>MONTH(datos_siembra[[#This Row],[Date]])</f>
        <v>10</v>
      </c>
      <c r="T3845" t="str" cm="1">
        <f t="array" ref="T3845">_xlfn.IFS(AND(N3845&lt;= 22, S3845=9), "SOWING",AND(N3845&lt;= 28, S3845=9), "COVERAGE",AND(N3845&lt;= 30, S3845=9), "FLUSH",AND(N3845&lt;= 11, S3845=10), "FLUSH",AND(N3845&lt;= 21, S3845=10), "PRODUCTION")</f>
        <v>PRODUCTION</v>
      </c>
      <c r="U3845">
        <f>HOUR(datos_siembra[[#This Row],[Hour]])</f>
        <v>12</v>
      </c>
      <c r="V3845" cm="1">
        <f t="array" ref="V3845">_xlfn.IFS(AND(N3845&lt;= 22, S3845=9), N3845-7,AND(N3845&lt;= 28, S3845=9), N3845-25,AND(N3845&lt;= 30, S3845=9), N3845-28,AND(N3845&lt;= 11, S3845=10), N3845+2,AND(N3845&lt;= 21, S3845=10), N3845-11)</f>
        <v>2</v>
      </c>
    </row>
    <row r="3846" spans="1:22" x14ac:dyDescent="0.35">
      <c r="A3846" s="4">
        <v>45578</v>
      </c>
      <c r="B3846" s="5">
        <v>0.50807870370370367</v>
      </c>
      <c r="C3846">
        <v>75.5</v>
      </c>
      <c r="D3846">
        <v>71.900000000000006</v>
      </c>
      <c r="E3846">
        <v>72.3</v>
      </c>
      <c r="F3846">
        <v>72.3</v>
      </c>
      <c r="G3846">
        <v>0</v>
      </c>
      <c r="H3846">
        <v>0</v>
      </c>
      <c r="I3846">
        <v>0</v>
      </c>
      <c r="J3846">
        <v>0</v>
      </c>
      <c r="K3846">
        <v>64.7</v>
      </c>
      <c r="L3846">
        <v>64.5</v>
      </c>
      <c r="M3846">
        <v>72.98</v>
      </c>
      <c r="N3846">
        <v>13</v>
      </c>
      <c r="O3846">
        <v>5</v>
      </c>
      <c r="P3846">
        <f>MOD(DAY(datos_siembra[[#This Row],[Date]]),7)</f>
        <v>6</v>
      </c>
      <c r="Q3846" t="str">
        <f>CHOOSE(WEEKDAY(datos_siembra[[#This Row],[Date]],2),"L","M","X","J","V","S","D")</f>
        <v>D</v>
      </c>
      <c r="R3846">
        <f>WEEKNUM(datos_siembra[[#This Row],[Date]],2)-WEEKNUM(DATE(YEAR(datos_siembra[[#This Row],[Date]]),MONTH(datos_siembra[[#This Row],[Date]]),1))+1</f>
        <v>2</v>
      </c>
      <c r="S3846">
        <f>MONTH(datos_siembra[[#This Row],[Date]])</f>
        <v>10</v>
      </c>
      <c r="T3846" t="str" cm="1">
        <f t="array" ref="T3846">_xlfn.IFS(AND(N3846&lt;= 22, S3846=9), "SOWING",AND(N3846&lt;= 28, S3846=9), "COVERAGE",AND(N3846&lt;= 30, S3846=9), "FLUSH",AND(N3846&lt;= 11, S3846=10), "FLUSH",AND(N3846&lt;= 21, S3846=10), "PRODUCTION")</f>
        <v>PRODUCTION</v>
      </c>
      <c r="U3846">
        <f>HOUR(datos_siembra[[#This Row],[Hour]])</f>
        <v>12</v>
      </c>
      <c r="V3846" cm="1">
        <f t="array" ref="V3846">_xlfn.IFS(AND(N3846&lt;= 22, S3846=9), N3846-7,AND(N3846&lt;= 28, S3846=9), N3846-25,AND(N3846&lt;= 30, S3846=9), N3846-28,AND(N3846&lt;= 11, S3846=10), N3846+2,AND(N3846&lt;= 21, S3846=10), N3846-11)</f>
        <v>2</v>
      </c>
    </row>
    <row r="3847" spans="1:22" x14ac:dyDescent="0.35">
      <c r="A3847" s="4">
        <v>45578</v>
      </c>
      <c r="B3847" s="5">
        <v>0.5150231481481482</v>
      </c>
      <c r="C3847">
        <v>75.400000000000006</v>
      </c>
      <c r="D3847">
        <v>71.900000000000006</v>
      </c>
      <c r="E3847">
        <v>72.3</v>
      </c>
      <c r="F3847">
        <v>72.2</v>
      </c>
      <c r="G3847">
        <v>0</v>
      </c>
      <c r="H3847">
        <v>0</v>
      </c>
      <c r="I3847">
        <v>0</v>
      </c>
      <c r="J3847">
        <v>0</v>
      </c>
      <c r="K3847">
        <v>64.599999999999994</v>
      </c>
      <c r="L3847">
        <v>64.5</v>
      </c>
      <c r="M3847">
        <v>73.010000000000005</v>
      </c>
      <c r="N3847">
        <v>13</v>
      </c>
      <c r="O3847">
        <v>5</v>
      </c>
      <c r="P3847">
        <f>MOD(DAY(datos_siembra[[#This Row],[Date]]),7)</f>
        <v>6</v>
      </c>
      <c r="Q3847" t="str">
        <f>CHOOSE(WEEKDAY(datos_siembra[[#This Row],[Date]],2),"L","M","X","J","V","S","D")</f>
        <v>D</v>
      </c>
      <c r="R3847">
        <f>WEEKNUM(datos_siembra[[#This Row],[Date]],2)-WEEKNUM(DATE(YEAR(datos_siembra[[#This Row],[Date]]),MONTH(datos_siembra[[#This Row],[Date]]),1))+1</f>
        <v>2</v>
      </c>
      <c r="S3847">
        <f>MONTH(datos_siembra[[#This Row],[Date]])</f>
        <v>10</v>
      </c>
      <c r="T3847" t="str" cm="1">
        <f t="array" ref="T3847">_xlfn.IFS(AND(N3847&lt;= 22, S3847=9), "SOWING",AND(N3847&lt;= 28, S3847=9), "COVERAGE",AND(N3847&lt;= 30, S3847=9), "FLUSH",AND(N3847&lt;= 11, S3847=10), "FLUSH",AND(N3847&lt;= 21, S3847=10), "PRODUCTION")</f>
        <v>PRODUCTION</v>
      </c>
      <c r="U3847">
        <f>HOUR(datos_siembra[[#This Row],[Hour]])</f>
        <v>12</v>
      </c>
      <c r="V3847" cm="1">
        <f t="array" ref="V3847">_xlfn.IFS(AND(N3847&lt;= 22, S3847=9), N3847-7,AND(N3847&lt;= 28, S3847=9), N3847-25,AND(N3847&lt;= 30, S3847=9), N3847-28,AND(N3847&lt;= 11, S3847=10), N3847+2,AND(N3847&lt;= 21, S3847=10), N3847-11)</f>
        <v>2</v>
      </c>
    </row>
    <row r="3848" spans="1:22" x14ac:dyDescent="0.35">
      <c r="A3848" s="4">
        <v>45578</v>
      </c>
      <c r="B3848" s="5">
        <v>0.52196759259259262</v>
      </c>
      <c r="C3848">
        <v>75.400000000000006</v>
      </c>
      <c r="D3848">
        <v>72.099999999999994</v>
      </c>
      <c r="E3848">
        <v>72.3</v>
      </c>
      <c r="F3848">
        <v>72.3</v>
      </c>
      <c r="G3848">
        <v>0</v>
      </c>
      <c r="H3848">
        <v>0</v>
      </c>
      <c r="I3848">
        <v>0</v>
      </c>
      <c r="J3848">
        <v>0</v>
      </c>
      <c r="K3848">
        <v>64.7</v>
      </c>
      <c r="L3848">
        <v>64.5</v>
      </c>
      <c r="M3848">
        <v>73.010000000000005</v>
      </c>
      <c r="N3848">
        <v>13</v>
      </c>
      <c r="O3848">
        <v>5</v>
      </c>
      <c r="P3848">
        <f>MOD(DAY(datos_siembra[[#This Row],[Date]]),7)</f>
        <v>6</v>
      </c>
      <c r="Q3848" t="str">
        <f>CHOOSE(WEEKDAY(datos_siembra[[#This Row],[Date]],2),"L","M","X","J","V","S","D")</f>
        <v>D</v>
      </c>
      <c r="R3848">
        <f>WEEKNUM(datos_siembra[[#This Row],[Date]],2)-WEEKNUM(DATE(YEAR(datos_siembra[[#This Row],[Date]]),MONTH(datos_siembra[[#This Row],[Date]]),1))+1</f>
        <v>2</v>
      </c>
      <c r="S3848">
        <f>MONTH(datos_siembra[[#This Row],[Date]])</f>
        <v>10</v>
      </c>
      <c r="T3848" t="str" cm="1">
        <f t="array" ref="T3848">_xlfn.IFS(AND(N3848&lt;= 22, S3848=9), "SOWING",AND(N3848&lt;= 28, S3848=9), "COVERAGE",AND(N3848&lt;= 30, S3848=9), "FLUSH",AND(N3848&lt;= 11, S3848=10), "FLUSH",AND(N3848&lt;= 21, S3848=10), "PRODUCTION")</f>
        <v>PRODUCTION</v>
      </c>
      <c r="U3848">
        <f>HOUR(datos_siembra[[#This Row],[Hour]])</f>
        <v>12</v>
      </c>
      <c r="V3848" cm="1">
        <f t="array" ref="V3848">_xlfn.IFS(AND(N3848&lt;= 22, S3848=9), N3848-7,AND(N3848&lt;= 28, S3848=9), N3848-25,AND(N3848&lt;= 30, S3848=9), N3848-28,AND(N3848&lt;= 11, S3848=10), N3848+2,AND(N3848&lt;= 21, S3848=10), N3848-11)</f>
        <v>2</v>
      </c>
    </row>
    <row r="3849" spans="1:22" x14ac:dyDescent="0.35">
      <c r="A3849" s="4">
        <v>45578</v>
      </c>
      <c r="B3849" s="5">
        <v>0.52892361111111108</v>
      </c>
      <c r="C3849">
        <v>75.400000000000006</v>
      </c>
      <c r="D3849">
        <v>71.900000000000006</v>
      </c>
      <c r="E3849">
        <v>72.3</v>
      </c>
      <c r="F3849">
        <v>72.2</v>
      </c>
      <c r="G3849">
        <v>0</v>
      </c>
      <c r="H3849">
        <v>0</v>
      </c>
      <c r="I3849">
        <v>0</v>
      </c>
      <c r="J3849">
        <v>0</v>
      </c>
      <c r="K3849">
        <v>64.7</v>
      </c>
      <c r="L3849">
        <v>64.5</v>
      </c>
      <c r="M3849">
        <v>72.92</v>
      </c>
      <c r="N3849">
        <v>13</v>
      </c>
      <c r="O3849">
        <v>5</v>
      </c>
      <c r="P3849">
        <f>MOD(DAY(datos_siembra[[#This Row],[Date]]),7)</f>
        <v>6</v>
      </c>
      <c r="Q3849" t="str">
        <f>CHOOSE(WEEKDAY(datos_siembra[[#This Row],[Date]],2),"L","M","X","J","V","S","D")</f>
        <v>D</v>
      </c>
      <c r="R3849">
        <f>WEEKNUM(datos_siembra[[#This Row],[Date]],2)-WEEKNUM(DATE(YEAR(datos_siembra[[#This Row],[Date]]),MONTH(datos_siembra[[#This Row],[Date]]),1))+1</f>
        <v>2</v>
      </c>
      <c r="S3849">
        <f>MONTH(datos_siembra[[#This Row],[Date]])</f>
        <v>10</v>
      </c>
      <c r="T3849" t="str" cm="1">
        <f t="array" ref="T3849">_xlfn.IFS(AND(N3849&lt;= 22, S3849=9), "SOWING",AND(N3849&lt;= 28, S3849=9), "COVERAGE",AND(N3849&lt;= 30, S3849=9), "FLUSH",AND(N3849&lt;= 11, S3849=10), "FLUSH",AND(N3849&lt;= 21, S3849=10), "PRODUCTION")</f>
        <v>PRODUCTION</v>
      </c>
      <c r="U3849">
        <f>HOUR(datos_siembra[[#This Row],[Hour]])</f>
        <v>12</v>
      </c>
      <c r="V3849" cm="1">
        <f t="array" ref="V3849">_xlfn.IFS(AND(N3849&lt;= 22, S3849=9), N3849-7,AND(N3849&lt;= 28, S3849=9), N3849-25,AND(N3849&lt;= 30, S3849=9), N3849-28,AND(N3849&lt;= 11, S3849=10), N3849+2,AND(N3849&lt;= 21, S3849=10), N3849-11)</f>
        <v>2</v>
      </c>
    </row>
    <row r="3850" spans="1:22" x14ac:dyDescent="0.35">
      <c r="A3850" s="4">
        <v>45578</v>
      </c>
      <c r="B3850" s="5">
        <v>0.5358680555555555</v>
      </c>
      <c r="C3850">
        <v>75.3</v>
      </c>
      <c r="D3850">
        <v>71.8</v>
      </c>
      <c r="E3850">
        <v>72.3</v>
      </c>
      <c r="F3850">
        <v>72.3</v>
      </c>
      <c r="G3850">
        <v>0</v>
      </c>
      <c r="H3850">
        <v>0</v>
      </c>
      <c r="I3850">
        <v>0</v>
      </c>
      <c r="J3850">
        <v>0</v>
      </c>
      <c r="K3850">
        <v>64.7</v>
      </c>
      <c r="L3850">
        <v>64.599999999999994</v>
      </c>
      <c r="M3850">
        <v>72.92</v>
      </c>
      <c r="N3850">
        <v>13</v>
      </c>
      <c r="O3850">
        <v>5</v>
      </c>
      <c r="P3850">
        <f>MOD(DAY(datos_siembra[[#This Row],[Date]]),7)</f>
        <v>6</v>
      </c>
      <c r="Q3850" t="str">
        <f>CHOOSE(WEEKDAY(datos_siembra[[#This Row],[Date]],2),"L","M","X","J","V","S","D")</f>
        <v>D</v>
      </c>
      <c r="R3850">
        <f>WEEKNUM(datos_siembra[[#This Row],[Date]],2)-WEEKNUM(DATE(YEAR(datos_siembra[[#This Row],[Date]]),MONTH(datos_siembra[[#This Row],[Date]]),1))+1</f>
        <v>2</v>
      </c>
      <c r="S3850">
        <f>MONTH(datos_siembra[[#This Row],[Date]])</f>
        <v>10</v>
      </c>
      <c r="T3850" t="str" cm="1">
        <f t="array" ref="T3850">_xlfn.IFS(AND(N3850&lt;= 22, S3850=9), "SOWING",AND(N3850&lt;= 28, S3850=9), "COVERAGE",AND(N3850&lt;= 30, S3850=9), "FLUSH",AND(N3850&lt;= 11, S3850=10), "FLUSH",AND(N3850&lt;= 21, S3850=10), "PRODUCTION")</f>
        <v>PRODUCTION</v>
      </c>
      <c r="U3850">
        <f>HOUR(datos_siembra[[#This Row],[Hour]])</f>
        <v>12</v>
      </c>
      <c r="V3850" cm="1">
        <f t="array" ref="V3850">_xlfn.IFS(AND(N3850&lt;= 22, S3850=9), N3850-7,AND(N3850&lt;= 28, S3850=9), N3850-25,AND(N3850&lt;= 30, S3850=9), N3850-28,AND(N3850&lt;= 11, S3850=10), N3850+2,AND(N3850&lt;= 21, S3850=10), N3850-11)</f>
        <v>2</v>
      </c>
    </row>
    <row r="3851" spans="1:22" x14ac:dyDescent="0.35">
      <c r="A3851" s="4">
        <v>45578</v>
      </c>
      <c r="B3851" s="5">
        <v>0.54281250000000003</v>
      </c>
      <c r="C3851">
        <v>75.3</v>
      </c>
      <c r="D3851">
        <v>71.900000000000006</v>
      </c>
      <c r="E3851">
        <v>72.400000000000006</v>
      </c>
      <c r="F3851">
        <v>72.2</v>
      </c>
      <c r="G3851">
        <v>0</v>
      </c>
      <c r="H3851">
        <v>0</v>
      </c>
      <c r="I3851">
        <v>0</v>
      </c>
      <c r="J3851">
        <v>0</v>
      </c>
      <c r="K3851">
        <v>64.3</v>
      </c>
      <c r="L3851">
        <v>64.099999999999994</v>
      </c>
      <c r="M3851">
        <v>72.89</v>
      </c>
      <c r="N3851">
        <v>13</v>
      </c>
      <c r="O3851">
        <v>5</v>
      </c>
      <c r="P3851">
        <f>MOD(DAY(datos_siembra[[#This Row],[Date]]),7)</f>
        <v>6</v>
      </c>
      <c r="Q3851" t="str">
        <f>CHOOSE(WEEKDAY(datos_siembra[[#This Row],[Date]],2),"L","M","X","J","V","S","D")</f>
        <v>D</v>
      </c>
      <c r="R3851">
        <f>WEEKNUM(datos_siembra[[#This Row],[Date]],2)-WEEKNUM(DATE(YEAR(datos_siembra[[#This Row],[Date]]),MONTH(datos_siembra[[#This Row],[Date]]),1))+1</f>
        <v>2</v>
      </c>
      <c r="S3851">
        <f>MONTH(datos_siembra[[#This Row],[Date]])</f>
        <v>10</v>
      </c>
      <c r="T3851" t="str" cm="1">
        <f t="array" ref="T3851">_xlfn.IFS(AND(N3851&lt;= 22, S3851=9), "SOWING",AND(N3851&lt;= 28, S3851=9), "COVERAGE",AND(N3851&lt;= 30, S3851=9), "FLUSH",AND(N3851&lt;= 11, S3851=10), "FLUSH",AND(N3851&lt;= 21, S3851=10), "PRODUCTION")</f>
        <v>PRODUCTION</v>
      </c>
      <c r="U3851">
        <f>HOUR(datos_siembra[[#This Row],[Hour]])</f>
        <v>13</v>
      </c>
      <c r="V3851" cm="1">
        <f t="array" ref="V3851">_xlfn.IFS(AND(N3851&lt;= 22, S3851=9), N3851-7,AND(N3851&lt;= 28, S3851=9), N3851-25,AND(N3851&lt;= 30, S3851=9), N3851-28,AND(N3851&lt;= 11, S3851=10), N3851+2,AND(N3851&lt;= 21, S3851=10), N3851-11)</f>
        <v>2</v>
      </c>
    </row>
    <row r="3852" spans="1:22" x14ac:dyDescent="0.35">
      <c r="A3852" s="4">
        <v>45578</v>
      </c>
      <c r="B3852" s="5">
        <v>0.54976851851851849</v>
      </c>
      <c r="C3852">
        <v>75.3</v>
      </c>
      <c r="D3852">
        <v>71.8</v>
      </c>
      <c r="E3852">
        <v>72.3</v>
      </c>
      <c r="F3852">
        <v>72.3</v>
      </c>
      <c r="G3852">
        <v>0</v>
      </c>
      <c r="H3852">
        <v>0</v>
      </c>
      <c r="I3852">
        <v>0</v>
      </c>
      <c r="J3852">
        <v>0</v>
      </c>
      <c r="K3852">
        <v>64.099999999999994</v>
      </c>
      <c r="L3852">
        <v>63.8</v>
      </c>
      <c r="M3852">
        <v>72.92</v>
      </c>
      <c r="N3852">
        <v>13</v>
      </c>
      <c r="O3852">
        <v>5</v>
      </c>
      <c r="P3852">
        <f>MOD(DAY(datos_siembra[[#This Row],[Date]]),7)</f>
        <v>6</v>
      </c>
      <c r="Q3852" t="str">
        <f>CHOOSE(WEEKDAY(datos_siembra[[#This Row],[Date]],2),"L","M","X","J","V","S","D")</f>
        <v>D</v>
      </c>
      <c r="R3852">
        <f>WEEKNUM(datos_siembra[[#This Row],[Date]],2)-WEEKNUM(DATE(YEAR(datos_siembra[[#This Row],[Date]]),MONTH(datos_siembra[[#This Row],[Date]]),1))+1</f>
        <v>2</v>
      </c>
      <c r="S3852">
        <f>MONTH(datos_siembra[[#This Row],[Date]])</f>
        <v>10</v>
      </c>
      <c r="T3852" t="str" cm="1">
        <f t="array" ref="T3852">_xlfn.IFS(AND(N3852&lt;= 22, S3852=9), "SOWING",AND(N3852&lt;= 28, S3852=9), "COVERAGE",AND(N3852&lt;= 30, S3852=9), "FLUSH",AND(N3852&lt;= 11, S3852=10), "FLUSH",AND(N3852&lt;= 21, S3852=10), "PRODUCTION")</f>
        <v>PRODUCTION</v>
      </c>
      <c r="U3852">
        <f>HOUR(datos_siembra[[#This Row],[Hour]])</f>
        <v>13</v>
      </c>
      <c r="V3852" cm="1">
        <f t="array" ref="V3852">_xlfn.IFS(AND(N3852&lt;= 22, S3852=9), N3852-7,AND(N3852&lt;= 28, S3852=9), N3852-25,AND(N3852&lt;= 30, S3852=9), N3852-28,AND(N3852&lt;= 11, S3852=10), N3852+2,AND(N3852&lt;= 21, S3852=10), N3852-11)</f>
        <v>2</v>
      </c>
    </row>
    <row r="3853" spans="1:22" x14ac:dyDescent="0.35">
      <c r="A3853" s="4">
        <v>45578</v>
      </c>
      <c r="B3853" s="5">
        <v>0.55671296296296291</v>
      </c>
      <c r="C3853">
        <v>75.400000000000006</v>
      </c>
      <c r="D3853">
        <v>71.900000000000006</v>
      </c>
      <c r="E3853">
        <v>72.2</v>
      </c>
      <c r="F3853">
        <v>72.2</v>
      </c>
      <c r="G3853">
        <v>0</v>
      </c>
      <c r="H3853">
        <v>0</v>
      </c>
      <c r="I3853">
        <v>0</v>
      </c>
      <c r="J3853">
        <v>0</v>
      </c>
      <c r="K3853">
        <v>64.099999999999994</v>
      </c>
      <c r="L3853">
        <v>63.7</v>
      </c>
      <c r="M3853">
        <v>72.84</v>
      </c>
      <c r="N3853">
        <v>13</v>
      </c>
      <c r="O3853">
        <v>5</v>
      </c>
      <c r="P3853">
        <f>MOD(DAY(datos_siembra[[#This Row],[Date]]),7)</f>
        <v>6</v>
      </c>
      <c r="Q3853" t="str">
        <f>CHOOSE(WEEKDAY(datos_siembra[[#This Row],[Date]],2),"L","M","X","J","V","S","D")</f>
        <v>D</v>
      </c>
      <c r="R3853">
        <f>WEEKNUM(datos_siembra[[#This Row],[Date]],2)-WEEKNUM(DATE(YEAR(datos_siembra[[#This Row],[Date]]),MONTH(datos_siembra[[#This Row],[Date]]),1))+1</f>
        <v>2</v>
      </c>
      <c r="S3853">
        <f>MONTH(datos_siembra[[#This Row],[Date]])</f>
        <v>10</v>
      </c>
      <c r="T3853" t="str" cm="1">
        <f t="array" ref="T3853">_xlfn.IFS(AND(N3853&lt;= 22, S3853=9), "SOWING",AND(N3853&lt;= 28, S3853=9), "COVERAGE",AND(N3853&lt;= 30, S3853=9), "FLUSH",AND(N3853&lt;= 11, S3853=10), "FLUSH",AND(N3853&lt;= 21, S3853=10), "PRODUCTION")</f>
        <v>PRODUCTION</v>
      </c>
      <c r="U3853">
        <f>HOUR(datos_siembra[[#This Row],[Hour]])</f>
        <v>13</v>
      </c>
      <c r="V3853" cm="1">
        <f t="array" ref="V3853">_xlfn.IFS(AND(N3853&lt;= 22, S3853=9), N3853-7,AND(N3853&lt;= 28, S3853=9), N3853-25,AND(N3853&lt;= 30, S3853=9), N3853-28,AND(N3853&lt;= 11, S3853=10), N3853+2,AND(N3853&lt;= 21, S3853=10), N3853-11)</f>
        <v>2</v>
      </c>
    </row>
    <row r="3854" spans="1:22" x14ac:dyDescent="0.35">
      <c r="A3854" s="4">
        <v>45578</v>
      </c>
      <c r="B3854" s="5">
        <v>0.56365740740740744</v>
      </c>
      <c r="C3854">
        <v>75.3</v>
      </c>
      <c r="D3854">
        <v>71.8</v>
      </c>
      <c r="E3854">
        <v>72.2</v>
      </c>
      <c r="F3854">
        <v>72.2</v>
      </c>
      <c r="G3854">
        <v>0</v>
      </c>
      <c r="H3854">
        <v>0</v>
      </c>
      <c r="I3854">
        <v>0</v>
      </c>
      <c r="J3854">
        <v>0</v>
      </c>
      <c r="K3854">
        <v>63.9</v>
      </c>
      <c r="L3854">
        <v>63.7</v>
      </c>
      <c r="M3854">
        <v>72.87</v>
      </c>
      <c r="N3854">
        <v>13</v>
      </c>
      <c r="O3854">
        <v>5</v>
      </c>
      <c r="P3854">
        <f>MOD(DAY(datos_siembra[[#This Row],[Date]]),7)</f>
        <v>6</v>
      </c>
      <c r="Q3854" t="str">
        <f>CHOOSE(WEEKDAY(datos_siembra[[#This Row],[Date]],2),"L","M","X","J","V","S","D")</f>
        <v>D</v>
      </c>
      <c r="R3854">
        <f>WEEKNUM(datos_siembra[[#This Row],[Date]],2)-WEEKNUM(DATE(YEAR(datos_siembra[[#This Row],[Date]]),MONTH(datos_siembra[[#This Row],[Date]]),1))+1</f>
        <v>2</v>
      </c>
      <c r="S3854">
        <f>MONTH(datos_siembra[[#This Row],[Date]])</f>
        <v>10</v>
      </c>
      <c r="T3854" t="str" cm="1">
        <f t="array" ref="T3854">_xlfn.IFS(AND(N3854&lt;= 22, S3854=9), "SOWING",AND(N3854&lt;= 28, S3854=9), "COVERAGE",AND(N3854&lt;= 30, S3854=9), "FLUSH",AND(N3854&lt;= 11, S3854=10), "FLUSH",AND(N3854&lt;= 21, S3854=10), "PRODUCTION")</f>
        <v>PRODUCTION</v>
      </c>
      <c r="U3854">
        <f>HOUR(datos_siembra[[#This Row],[Hour]])</f>
        <v>13</v>
      </c>
      <c r="V3854" cm="1">
        <f t="array" ref="V3854">_xlfn.IFS(AND(N3854&lt;= 22, S3854=9), N3854-7,AND(N3854&lt;= 28, S3854=9), N3854-25,AND(N3854&lt;= 30, S3854=9), N3854-28,AND(N3854&lt;= 11, S3854=10), N3854+2,AND(N3854&lt;= 21, S3854=10), N3854-11)</f>
        <v>2</v>
      </c>
    </row>
    <row r="3855" spans="1:22" x14ac:dyDescent="0.35">
      <c r="A3855" s="4">
        <v>45578</v>
      </c>
      <c r="B3855" s="5">
        <v>0.5706134259259259</v>
      </c>
      <c r="C3855">
        <v>75.3</v>
      </c>
      <c r="D3855">
        <v>71.8</v>
      </c>
      <c r="E3855">
        <v>72.3</v>
      </c>
      <c r="F3855">
        <v>72.099999999999994</v>
      </c>
      <c r="G3855">
        <v>0</v>
      </c>
      <c r="H3855">
        <v>0</v>
      </c>
      <c r="I3855">
        <v>0</v>
      </c>
      <c r="J3855">
        <v>0</v>
      </c>
      <c r="K3855">
        <v>64.099999999999994</v>
      </c>
      <c r="L3855">
        <v>63.8</v>
      </c>
      <c r="M3855">
        <v>72.87</v>
      </c>
      <c r="N3855">
        <v>13</v>
      </c>
      <c r="O3855">
        <v>5</v>
      </c>
      <c r="P3855">
        <f>MOD(DAY(datos_siembra[[#This Row],[Date]]),7)</f>
        <v>6</v>
      </c>
      <c r="Q3855" t="str">
        <f>CHOOSE(WEEKDAY(datos_siembra[[#This Row],[Date]],2),"L","M","X","J","V","S","D")</f>
        <v>D</v>
      </c>
      <c r="R3855">
        <f>WEEKNUM(datos_siembra[[#This Row],[Date]],2)-WEEKNUM(DATE(YEAR(datos_siembra[[#This Row],[Date]]),MONTH(datos_siembra[[#This Row],[Date]]),1))+1</f>
        <v>2</v>
      </c>
      <c r="S3855">
        <f>MONTH(datos_siembra[[#This Row],[Date]])</f>
        <v>10</v>
      </c>
      <c r="T3855" t="str" cm="1">
        <f t="array" ref="T3855">_xlfn.IFS(AND(N3855&lt;= 22, S3855=9), "SOWING",AND(N3855&lt;= 28, S3855=9), "COVERAGE",AND(N3855&lt;= 30, S3855=9), "FLUSH",AND(N3855&lt;= 11, S3855=10), "FLUSH",AND(N3855&lt;= 21, S3855=10), "PRODUCTION")</f>
        <v>PRODUCTION</v>
      </c>
      <c r="U3855">
        <f>HOUR(datos_siembra[[#This Row],[Hour]])</f>
        <v>13</v>
      </c>
      <c r="V3855" cm="1">
        <f t="array" ref="V3855">_xlfn.IFS(AND(N3855&lt;= 22, S3855=9), N3855-7,AND(N3855&lt;= 28, S3855=9), N3855-25,AND(N3855&lt;= 30, S3855=9), N3855-28,AND(N3855&lt;= 11, S3855=10), N3855+2,AND(N3855&lt;= 21, S3855=10), N3855-11)</f>
        <v>2</v>
      </c>
    </row>
    <row r="3856" spans="1:22" x14ac:dyDescent="0.35">
      <c r="A3856" s="4">
        <v>45578</v>
      </c>
      <c r="B3856" s="5">
        <v>0.57755787037037032</v>
      </c>
      <c r="C3856">
        <v>75.3</v>
      </c>
      <c r="D3856">
        <v>72.099999999999994</v>
      </c>
      <c r="E3856">
        <v>72.5</v>
      </c>
      <c r="F3856">
        <v>72.3</v>
      </c>
      <c r="G3856">
        <v>0</v>
      </c>
      <c r="H3856">
        <v>0</v>
      </c>
      <c r="I3856">
        <v>0</v>
      </c>
      <c r="J3856">
        <v>0</v>
      </c>
      <c r="K3856">
        <v>64.3</v>
      </c>
      <c r="L3856">
        <v>64.099999999999994</v>
      </c>
      <c r="M3856">
        <v>72.95</v>
      </c>
      <c r="N3856">
        <v>13</v>
      </c>
      <c r="O3856">
        <v>5</v>
      </c>
      <c r="P3856">
        <f>MOD(DAY(datos_siembra[[#This Row],[Date]]),7)</f>
        <v>6</v>
      </c>
      <c r="Q3856" t="str">
        <f>CHOOSE(WEEKDAY(datos_siembra[[#This Row],[Date]],2),"L","M","X","J","V","S","D")</f>
        <v>D</v>
      </c>
      <c r="R3856">
        <f>WEEKNUM(datos_siembra[[#This Row],[Date]],2)-WEEKNUM(DATE(YEAR(datos_siembra[[#This Row],[Date]]),MONTH(datos_siembra[[#This Row],[Date]]),1))+1</f>
        <v>2</v>
      </c>
      <c r="S3856">
        <f>MONTH(datos_siembra[[#This Row],[Date]])</f>
        <v>10</v>
      </c>
      <c r="T3856" t="str" cm="1">
        <f t="array" ref="T3856">_xlfn.IFS(AND(N3856&lt;= 22, S3856=9), "SOWING",AND(N3856&lt;= 28, S3856=9), "COVERAGE",AND(N3856&lt;= 30, S3856=9), "FLUSH",AND(N3856&lt;= 11, S3856=10), "FLUSH",AND(N3856&lt;= 21, S3856=10), "PRODUCTION")</f>
        <v>PRODUCTION</v>
      </c>
      <c r="U3856">
        <f>HOUR(datos_siembra[[#This Row],[Hour]])</f>
        <v>13</v>
      </c>
      <c r="V3856" cm="1">
        <f t="array" ref="V3856">_xlfn.IFS(AND(N3856&lt;= 22, S3856=9), N3856-7,AND(N3856&lt;= 28, S3856=9), N3856-25,AND(N3856&lt;= 30, S3856=9), N3856-28,AND(N3856&lt;= 11, S3856=10), N3856+2,AND(N3856&lt;= 21, S3856=10), N3856-11)</f>
        <v>2</v>
      </c>
    </row>
    <row r="3857" spans="1:22" x14ac:dyDescent="0.35">
      <c r="A3857" s="4">
        <v>45578</v>
      </c>
      <c r="B3857" s="5">
        <v>0.58450231481481485</v>
      </c>
      <c r="C3857">
        <v>75.2</v>
      </c>
      <c r="D3857">
        <v>71.8</v>
      </c>
      <c r="E3857">
        <v>72.2</v>
      </c>
      <c r="F3857">
        <v>72.2</v>
      </c>
      <c r="G3857">
        <v>0</v>
      </c>
      <c r="H3857">
        <v>0</v>
      </c>
      <c r="I3857">
        <v>0</v>
      </c>
      <c r="J3857">
        <v>0</v>
      </c>
      <c r="K3857">
        <v>64.099999999999994</v>
      </c>
      <c r="L3857">
        <v>63.8</v>
      </c>
      <c r="M3857">
        <v>72.89</v>
      </c>
      <c r="N3857">
        <v>13</v>
      </c>
      <c r="O3857">
        <v>5</v>
      </c>
      <c r="P3857">
        <f>MOD(DAY(datos_siembra[[#This Row],[Date]]),7)</f>
        <v>6</v>
      </c>
      <c r="Q3857" t="str">
        <f>CHOOSE(WEEKDAY(datos_siembra[[#This Row],[Date]],2),"L","M","X","J","V","S","D")</f>
        <v>D</v>
      </c>
      <c r="R3857">
        <f>WEEKNUM(datos_siembra[[#This Row],[Date]],2)-WEEKNUM(DATE(YEAR(datos_siembra[[#This Row],[Date]]),MONTH(datos_siembra[[#This Row],[Date]]),1))+1</f>
        <v>2</v>
      </c>
      <c r="S3857">
        <f>MONTH(datos_siembra[[#This Row],[Date]])</f>
        <v>10</v>
      </c>
      <c r="T3857" t="str" cm="1">
        <f t="array" ref="T3857">_xlfn.IFS(AND(N3857&lt;= 22, S3857=9), "SOWING",AND(N3857&lt;= 28, S3857=9), "COVERAGE",AND(N3857&lt;= 30, S3857=9), "FLUSH",AND(N3857&lt;= 11, S3857=10), "FLUSH",AND(N3857&lt;= 21, S3857=10), "PRODUCTION")</f>
        <v>PRODUCTION</v>
      </c>
      <c r="U3857">
        <f>HOUR(datos_siembra[[#This Row],[Hour]])</f>
        <v>14</v>
      </c>
      <c r="V3857" cm="1">
        <f t="array" ref="V3857">_xlfn.IFS(AND(N3857&lt;= 22, S3857=9), N3857-7,AND(N3857&lt;= 28, S3857=9), N3857-25,AND(N3857&lt;= 30, S3857=9), N3857-28,AND(N3857&lt;= 11, S3857=10), N3857+2,AND(N3857&lt;= 21, S3857=10), N3857-11)</f>
        <v>2</v>
      </c>
    </row>
    <row r="3858" spans="1:22" x14ac:dyDescent="0.35">
      <c r="A3858" s="4">
        <v>45578</v>
      </c>
      <c r="B3858" s="5">
        <v>0.59144675925925927</v>
      </c>
      <c r="C3858">
        <v>75.2</v>
      </c>
      <c r="D3858">
        <v>71.8</v>
      </c>
      <c r="E3858">
        <v>72.3</v>
      </c>
      <c r="F3858">
        <v>72.099999999999994</v>
      </c>
      <c r="G3858">
        <v>0</v>
      </c>
      <c r="H3858">
        <v>0</v>
      </c>
      <c r="I3858">
        <v>0</v>
      </c>
      <c r="J3858">
        <v>0</v>
      </c>
      <c r="K3858">
        <v>63.8</v>
      </c>
      <c r="L3858">
        <v>63.6</v>
      </c>
      <c r="M3858">
        <v>72.84</v>
      </c>
      <c r="N3858">
        <v>13</v>
      </c>
      <c r="O3858">
        <v>5</v>
      </c>
      <c r="P3858">
        <f>MOD(DAY(datos_siembra[[#This Row],[Date]]),7)</f>
        <v>6</v>
      </c>
      <c r="Q3858" t="str">
        <f>CHOOSE(WEEKDAY(datos_siembra[[#This Row],[Date]],2),"L","M","X","J","V","S","D")</f>
        <v>D</v>
      </c>
      <c r="R3858">
        <f>WEEKNUM(datos_siembra[[#This Row],[Date]],2)-WEEKNUM(DATE(YEAR(datos_siembra[[#This Row],[Date]]),MONTH(datos_siembra[[#This Row],[Date]]),1))+1</f>
        <v>2</v>
      </c>
      <c r="S3858">
        <f>MONTH(datos_siembra[[#This Row],[Date]])</f>
        <v>10</v>
      </c>
      <c r="T3858" t="str" cm="1">
        <f t="array" ref="T3858">_xlfn.IFS(AND(N3858&lt;= 22, S3858=9), "SOWING",AND(N3858&lt;= 28, S3858=9), "COVERAGE",AND(N3858&lt;= 30, S3858=9), "FLUSH",AND(N3858&lt;= 11, S3858=10), "FLUSH",AND(N3858&lt;= 21, S3858=10), "PRODUCTION")</f>
        <v>PRODUCTION</v>
      </c>
      <c r="U3858">
        <f>HOUR(datos_siembra[[#This Row],[Hour]])</f>
        <v>14</v>
      </c>
      <c r="V3858" cm="1">
        <f t="array" ref="V3858">_xlfn.IFS(AND(N3858&lt;= 22, S3858=9), N3858-7,AND(N3858&lt;= 28, S3858=9), N3858-25,AND(N3858&lt;= 30, S3858=9), N3858-28,AND(N3858&lt;= 11, S3858=10), N3858+2,AND(N3858&lt;= 21, S3858=10), N3858-11)</f>
        <v>2</v>
      </c>
    </row>
    <row r="3859" spans="1:22" x14ac:dyDescent="0.35">
      <c r="A3859" s="4">
        <v>45578</v>
      </c>
      <c r="B3859" s="5">
        <v>0.59840277777777773</v>
      </c>
      <c r="C3859">
        <v>75.2</v>
      </c>
      <c r="D3859">
        <v>71.900000000000006</v>
      </c>
      <c r="E3859">
        <v>72.099999999999994</v>
      </c>
      <c r="F3859">
        <v>72.3</v>
      </c>
      <c r="G3859">
        <v>0</v>
      </c>
      <c r="H3859">
        <v>0</v>
      </c>
      <c r="I3859">
        <v>0</v>
      </c>
      <c r="J3859">
        <v>0</v>
      </c>
      <c r="K3859">
        <v>63.8</v>
      </c>
      <c r="L3859">
        <v>63.6</v>
      </c>
      <c r="M3859">
        <v>72.84</v>
      </c>
      <c r="N3859">
        <v>13</v>
      </c>
      <c r="O3859">
        <v>5</v>
      </c>
      <c r="P3859">
        <f>MOD(DAY(datos_siembra[[#This Row],[Date]]),7)</f>
        <v>6</v>
      </c>
      <c r="Q3859" t="str">
        <f>CHOOSE(WEEKDAY(datos_siembra[[#This Row],[Date]],2),"L","M","X","J","V","S","D")</f>
        <v>D</v>
      </c>
      <c r="R3859">
        <f>WEEKNUM(datos_siembra[[#This Row],[Date]],2)-WEEKNUM(DATE(YEAR(datos_siembra[[#This Row],[Date]]),MONTH(datos_siembra[[#This Row],[Date]]),1))+1</f>
        <v>2</v>
      </c>
      <c r="S3859">
        <f>MONTH(datos_siembra[[#This Row],[Date]])</f>
        <v>10</v>
      </c>
      <c r="T3859" t="str" cm="1">
        <f t="array" ref="T3859">_xlfn.IFS(AND(N3859&lt;= 22, S3859=9), "SOWING",AND(N3859&lt;= 28, S3859=9), "COVERAGE",AND(N3859&lt;= 30, S3859=9), "FLUSH",AND(N3859&lt;= 11, S3859=10), "FLUSH",AND(N3859&lt;= 21, S3859=10), "PRODUCTION")</f>
        <v>PRODUCTION</v>
      </c>
      <c r="U3859">
        <f>HOUR(datos_siembra[[#This Row],[Hour]])</f>
        <v>14</v>
      </c>
      <c r="V3859" cm="1">
        <f t="array" ref="V3859">_xlfn.IFS(AND(N3859&lt;= 22, S3859=9), N3859-7,AND(N3859&lt;= 28, S3859=9), N3859-25,AND(N3859&lt;= 30, S3859=9), N3859-28,AND(N3859&lt;= 11, S3859=10), N3859+2,AND(N3859&lt;= 21, S3859=10), N3859-11)</f>
        <v>2</v>
      </c>
    </row>
    <row r="3860" spans="1:22" x14ac:dyDescent="0.35">
      <c r="A3860" s="4">
        <v>45578</v>
      </c>
      <c r="B3860" s="5">
        <v>0.60534722222222226</v>
      </c>
      <c r="C3860">
        <v>75.2</v>
      </c>
      <c r="D3860">
        <v>71.8</v>
      </c>
      <c r="E3860">
        <v>72.3</v>
      </c>
      <c r="F3860">
        <v>72.2</v>
      </c>
      <c r="G3860">
        <v>0</v>
      </c>
      <c r="H3860">
        <v>0</v>
      </c>
      <c r="I3860">
        <v>0</v>
      </c>
      <c r="J3860">
        <v>0</v>
      </c>
      <c r="K3860">
        <v>63.7</v>
      </c>
      <c r="L3860">
        <v>63.5</v>
      </c>
      <c r="M3860">
        <v>72.84</v>
      </c>
      <c r="N3860">
        <v>13</v>
      </c>
      <c r="O3860">
        <v>5</v>
      </c>
      <c r="P3860">
        <f>MOD(DAY(datos_siembra[[#This Row],[Date]]),7)</f>
        <v>6</v>
      </c>
      <c r="Q3860" t="str">
        <f>CHOOSE(WEEKDAY(datos_siembra[[#This Row],[Date]],2),"L","M","X","J","V","S","D")</f>
        <v>D</v>
      </c>
      <c r="R3860">
        <f>WEEKNUM(datos_siembra[[#This Row],[Date]],2)-WEEKNUM(DATE(YEAR(datos_siembra[[#This Row],[Date]]),MONTH(datos_siembra[[#This Row],[Date]]),1))+1</f>
        <v>2</v>
      </c>
      <c r="S3860">
        <f>MONTH(datos_siembra[[#This Row],[Date]])</f>
        <v>10</v>
      </c>
      <c r="T3860" t="str" cm="1">
        <f t="array" ref="T3860">_xlfn.IFS(AND(N3860&lt;= 22, S3860=9), "SOWING",AND(N3860&lt;= 28, S3860=9), "COVERAGE",AND(N3860&lt;= 30, S3860=9), "FLUSH",AND(N3860&lt;= 11, S3860=10), "FLUSH",AND(N3860&lt;= 21, S3860=10), "PRODUCTION")</f>
        <v>PRODUCTION</v>
      </c>
      <c r="U3860">
        <f>HOUR(datos_siembra[[#This Row],[Hour]])</f>
        <v>14</v>
      </c>
      <c r="V3860" cm="1">
        <f t="array" ref="V3860">_xlfn.IFS(AND(N3860&lt;= 22, S3860=9), N3860-7,AND(N3860&lt;= 28, S3860=9), N3860-25,AND(N3860&lt;= 30, S3860=9), N3860-28,AND(N3860&lt;= 11, S3860=10), N3860+2,AND(N3860&lt;= 21, S3860=10), N3860-11)</f>
        <v>2</v>
      </c>
    </row>
    <row r="3861" spans="1:22" x14ac:dyDescent="0.35">
      <c r="A3861" s="4">
        <v>45578</v>
      </c>
      <c r="B3861" s="5">
        <v>0.61229166666666668</v>
      </c>
      <c r="C3861">
        <v>75.099999999999994</v>
      </c>
      <c r="D3861">
        <v>71.8</v>
      </c>
      <c r="E3861">
        <v>72.2</v>
      </c>
      <c r="F3861">
        <v>72.400000000000006</v>
      </c>
      <c r="G3861">
        <v>0</v>
      </c>
      <c r="H3861">
        <v>0</v>
      </c>
      <c r="I3861">
        <v>0</v>
      </c>
      <c r="J3861">
        <v>0</v>
      </c>
      <c r="K3861">
        <v>63.6</v>
      </c>
      <c r="L3861">
        <v>63.4</v>
      </c>
      <c r="M3861">
        <v>72.87</v>
      </c>
      <c r="N3861">
        <v>13</v>
      </c>
      <c r="O3861">
        <v>5</v>
      </c>
      <c r="P3861">
        <f>MOD(DAY(datos_siembra[[#This Row],[Date]]),7)</f>
        <v>6</v>
      </c>
      <c r="Q3861" t="str">
        <f>CHOOSE(WEEKDAY(datos_siembra[[#This Row],[Date]],2),"L","M","X","J","V","S","D")</f>
        <v>D</v>
      </c>
      <c r="R3861">
        <f>WEEKNUM(datos_siembra[[#This Row],[Date]],2)-WEEKNUM(DATE(YEAR(datos_siembra[[#This Row],[Date]]),MONTH(datos_siembra[[#This Row],[Date]]),1))+1</f>
        <v>2</v>
      </c>
      <c r="S3861">
        <f>MONTH(datos_siembra[[#This Row],[Date]])</f>
        <v>10</v>
      </c>
      <c r="T3861" t="str" cm="1">
        <f t="array" ref="T3861">_xlfn.IFS(AND(N3861&lt;= 22, S3861=9), "SOWING",AND(N3861&lt;= 28, S3861=9), "COVERAGE",AND(N3861&lt;= 30, S3861=9), "FLUSH",AND(N3861&lt;= 11, S3861=10), "FLUSH",AND(N3861&lt;= 21, S3861=10), "PRODUCTION")</f>
        <v>PRODUCTION</v>
      </c>
      <c r="U3861">
        <f>HOUR(datos_siembra[[#This Row],[Hour]])</f>
        <v>14</v>
      </c>
      <c r="V3861" cm="1">
        <f t="array" ref="V3861">_xlfn.IFS(AND(N3861&lt;= 22, S3861=9), N3861-7,AND(N3861&lt;= 28, S3861=9), N3861-25,AND(N3861&lt;= 30, S3861=9), N3861-28,AND(N3861&lt;= 11, S3861=10), N3861+2,AND(N3861&lt;= 21, S3861=10), N3861-11)</f>
        <v>2</v>
      </c>
    </row>
    <row r="3862" spans="1:22" x14ac:dyDescent="0.35">
      <c r="A3862" s="4">
        <v>45578</v>
      </c>
      <c r="B3862" s="5">
        <v>0.61924768518518514</v>
      </c>
      <c r="C3862">
        <v>75.099999999999994</v>
      </c>
      <c r="D3862">
        <v>71.900000000000006</v>
      </c>
      <c r="E3862">
        <v>72.099999999999994</v>
      </c>
      <c r="F3862">
        <v>72.3</v>
      </c>
      <c r="G3862">
        <v>0</v>
      </c>
      <c r="H3862">
        <v>0</v>
      </c>
      <c r="I3862">
        <v>0</v>
      </c>
      <c r="J3862">
        <v>0</v>
      </c>
      <c r="K3862">
        <v>63.4</v>
      </c>
      <c r="L3862">
        <v>63.2</v>
      </c>
      <c r="M3862">
        <v>72.81</v>
      </c>
      <c r="N3862">
        <v>13</v>
      </c>
      <c r="O3862">
        <v>5</v>
      </c>
      <c r="P3862">
        <f>MOD(DAY(datos_siembra[[#This Row],[Date]]),7)</f>
        <v>6</v>
      </c>
      <c r="Q3862" t="str">
        <f>CHOOSE(WEEKDAY(datos_siembra[[#This Row],[Date]],2),"L","M","X","J","V","S","D")</f>
        <v>D</v>
      </c>
      <c r="R3862">
        <f>WEEKNUM(datos_siembra[[#This Row],[Date]],2)-WEEKNUM(DATE(YEAR(datos_siembra[[#This Row],[Date]]),MONTH(datos_siembra[[#This Row],[Date]]),1))+1</f>
        <v>2</v>
      </c>
      <c r="S3862">
        <f>MONTH(datos_siembra[[#This Row],[Date]])</f>
        <v>10</v>
      </c>
      <c r="T3862" t="str" cm="1">
        <f t="array" ref="T3862">_xlfn.IFS(AND(N3862&lt;= 22, S3862=9), "SOWING",AND(N3862&lt;= 28, S3862=9), "COVERAGE",AND(N3862&lt;= 30, S3862=9), "FLUSH",AND(N3862&lt;= 11, S3862=10), "FLUSH",AND(N3862&lt;= 21, S3862=10), "PRODUCTION")</f>
        <v>PRODUCTION</v>
      </c>
      <c r="U3862">
        <f>HOUR(datos_siembra[[#This Row],[Hour]])</f>
        <v>14</v>
      </c>
      <c r="V3862" cm="1">
        <f t="array" ref="V3862">_xlfn.IFS(AND(N3862&lt;= 22, S3862=9), N3862-7,AND(N3862&lt;= 28, S3862=9), N3862-25,AND(N3862&lt;= 30, S3862=9), N3862-28,AND(N3862&lt;= 11, S3862=10), N3862+2,AND(N3862&lt;= 21, S3862=10), N3862-11)</f>
        <v>2</v>
      </c>
    </row>
    <row r="3863" spans="1:22" x14ac:dyDescent="0.35">
      <c r="A3863" s="4">
        <v>45578</v>
      </c>
      <c r="B3863" s="5">
        <v>0.62619212962962967</v>
      </c>
      <c r="C3863">
        <v>75.099999999999994</v>
      </c>
      <c r="D3863">
        <v>71.8</v>
      </c>
      <c r="E3863">
        <v>72.2</v>
      </c>
      <c r="F3863">
        <v>72.2</v>
      </c>
      <c r="G3863">
        <v>0</v>
      </c>
      <c r="H3863">
        <v>0</v>
      </c>
      <c r="I3863">
        <v>0</v>
      </c>
      <c r="J3863">
        <v>0</v>
      </c>
      <c r="K3863">
        <v>63.3</v>
      </c>
      <c r="L3863">
        <v>63</v>
      </c>
      <c r="M3863">
        <v>72.84</v>
      </c>
      <c r="N3863">
        <v>13</v>
      </c>
      <c r="O3863">
        <v>5</v>
      </c>
      <c r="P3863">
        <f>MOD(DAY(datos_siembra[[#This Row],[Date]]),7)</f>
        <v>6</v>
      </c>
      <c r="Q3863" t="str">
        <f>CHOOSE(WEEKDAY(datos_siembra[[#This Row],[Date]],2),"L","M","X","J","V","S","D")</f>
        <v>D</v>
      </c>
      <c r="R3863">
        <f>WEEKNUM(datos_siembra[[#This Row],[Date]],2)-WEEKNUM(DATE(YEAR(datos_siembra[[#This Row],[Date]]),MONTH(datos_siembra[[#This Row],[Date]]),1))+1</f>
        <v>2</v>
      </c>
      <c r="S3863">
        <f>MONTH(datos_siembra[[#This Row],[Date]])</f>
        <v>10</v>
      </c>
      <c r="T3863" t="str" cm="1">
        <f t="array" ref="T3863">_xlfn.IFS(AND(N3863&lt;= 22, S3863=9), "SOWING",AND(N3863&lt;= 28, S3863=9), "COVERAGE",AND(N3863&lt;= 30, S3863=9), "FLUSH",AND(N3863&lt;= 11, S3863=10), "FLUSH",AND(N3863&lt;= 21, S3863=10), "PRODUCTION")</f>
        <v>PRODUCTION</v>
      </c>
      <c r="U3863">
        <f>HOUR(datos_siembra[[#This Row],[Hour]])</f>
        <v>15</v>
      </c>
      <c r="V3863" cm="1">
        <f t="array" ref="V3863">_xlfn.IFS(AND(N3863&lt;= 22, S3863=9), N3863-7,AND(N3863&lt;= 28, S3863=9), N3863-25,AND(N3863&lt;= 30, S3863=9), N3863-28,AND(N3863&lt;= 11, S3863=10), N3863+2,AND(N3863&lt;= 21, S3863=10), N3863-11)</f>
        <v>2</v>
      </c>
    </row>
    <row r="3864" spans="1:22" x14ac:dyDescent="0.35">
      <c r="A3864" s="4">
        <v>45578</v>
      </c>
      <c r="B3864" s="5">
        <v>0.63313657407407409</v>
      </c>
      <c r="C3864">
        <v>75.2</v>
      </c>
      <c r="D3864">
        <v>71.8</v>
      </c>
      <c r="E3864">
        <v>72.3</v>
      </c>
      <c r="F3864">
        <v>72.3</v>
      </c>
      <c r="G3864">
        <v>0</v>
      </c>
      <c r="H3864">
        <v>0</v>
      </c>
      <c r="I3864">
        <v>0</v>
      </c>
      <c r="J3864">
        <v>0</v>
      </c>
      <c r="K3864">
        <v>63.3</v>
      </c>
      <c r="L3864">
        <v>63</v>
      </c>
      <c r="M3864">
        <v>72.75</v>
      </c>
      <c r="N3864">
        <v>13</v>
      </c>
      <c r="O3864">
        <v>5</v>
      </c>
      <c r="P3864">
        <f>MOD(DAY(datos_siembra[[#This Row],[Date]]),7)</f>
        <v>6</v>
      </c>
      <c r="Q3864" t="str">
        <f>CHOOSE(WEEKDAY(datos_siembra[[#This Row],[Date]],2),"L","M","X","J","V","S","D")</f>
        <v>D</v>
      </c>
      <c r="R3864">
        <f>WEEKNUM(datos_siembra[[#This Row],[Date]],2)-WEEKNUM(DATE(YEAR(datos_siembra[[#This Row],[Date]]),MONTH(datos_siembra[[#This Row],[Date]]),1))+1</f>
        <v>2</v>
      </c>
      <c r="S3864">
        <f>MONTH(datos_siembra[[#This Row],[Date]])</f>
        <v>10</v>
      </c>
      <c r="T3864" t="str" cm="1">
        <f t="array" ref="T3864">_xlfn.IFS(AND(N3864&lt;= 22, S3864=9), "SOWING",AND(N3864&lt;= 28, S3864=9), "COVERAGE",AND(N3864&lt;= 30, S3864=9), "FLUSH",AND(N3864&lt;= 11, S3864=10), "FLUSH",AND(N3864&lt;= 21, S3864=10), "PRODUCTION")</f>
        <v>PRODUCTION</v>
      </c>
      <c r="U3864">
        <f>HOUR(datos_siembra[[#This Row],[Hour]])</f>
        <v>15</v>
      </c>
      <c r="V3864" cm="1">
        <f t="array" ref="V3864">_xlfn.IFS(AND(N3864&lt;= 22, S3864=9), N3864-7,AND(N3864&lt;= 28, S3864=9), N3864-25,AND(N3864&lt;= 30, S3864=9), N3864-28,AND(N3864&lt;= 11, S3864=10), N3864+2,AND(N3864&lt;= 21, S3864=10), N3864-11)</f>
        <v>2</v>
      </c>
    </row>
    <row r="3865" spans="1:22" x14ac:dyDescent="0.35">
      <c r="A3865" s="4">
        <v>45578</v>
      </c>
      <c r="B3865" s="5">
        <v>0.64009259259259255</v>
      </c>
      <c r="C3865">
        <v>75</v>
      </c>
      <c r="D3865">
        <v>71.7</v>
      </c>
      <c r="E3865">
        <v>72.2</v>
      </c>
      <c r="F3865">
        <v>72.2</v>
      </c>
      <c r="G3865">
        <v>0</v>
      </c>
      <c r="H3865">
        <v>0</v>
      </c>
      <c r="I3865">
        <v>0</v>
      </c>
      <c r="J3865">
        <v>0</v>
      </c>
      <c r="K3865">
        <v>63.8</v>
      </c>
      <c r="L3865">
        <v>63.7</v>
      </c>
      <c r="M3865">
        <v>72.78</v>
      </c>
      <c r="N3865">
        <v>13</v>
      </c>
      <c r="O3865">
        <v>5</v>
      </c>
      <c r="P3865">
        <f>MOD(DAY(datos_siembra[[#This Row],[Date]]),7)</f>
        <v>6</v>
      </c>
      <c r="Q3865" t="str">
        <f>CHOOSE(WEEKDAY(datos_siembra[[#This Row],[Date]],2),"L","M","X","J","V","S","D")</f>
        <v>D</v>
      </c>
      <c r="R3865">
        <f>WEEKNUM(datos_siembra[[#This Row],[Date]],2)-WEEKNUM(DATE(YEAR(datos_siembra[[#This Row],[Date]]),MONTH(datos_siembra[[#This Row],[Date]]),1))+1</f>
        <v>2</v>
      </c>
      <c r="S3865">
        <f>MONTH(datos_siembra[[#This Row],[Date]])</f>
        <v>10</v>
      </c>
      <c r="T3865" t="str" cm="1">
        <f t="array" ref="T3865">_xlfn.IFS(AND(N3865&lt;= 22, S3865=9), "SOWING",AND(N3865&lt;= 28, S3865=9), "COVERAGE",AND(N3865&lt;= 30, S3865=9), "FLUSH",AND(N3865&lt;= 11, S3865=10), "FLUSH",AND(N3865&lt;= 21, S3865=10), "PRODUCTION")</f>
        <v>PRODUCTION</v>
      </c>
      <c r="U3865">
        <f>HOUR(datos_siembra[[#This Row],[Hour]])</f>
        <v>15</v>
      </c>
      <c r="V3865" cm="1">
        <f t="array" ref="V3865">_xlfn.IFS(AND(N3865&lt;= 22, S3865=9), N3865-7,AND(N3865&lt;= 28, S3865=9), N3865-25,AND(N3865&lt;= 30, S3865=9), N3865-28,AND(N3865&lt;= 11, S3865=10), N3865+2,AND(N3865&lt;= 21, S3865=10), N3865-11)</f>
        <v>2</v>
      </c>
    </row>
    <row r="3866" spans="1:22" x14ac:dyDescent="0.35">
      <c r="A3866" s="4">
        <v>45578</v>
      </c>
      <c r="B3866" s="5">
        <v>0.64703703703703708</v>
      </c>
      <c r="C3866">
        <v>75.099999999999994</v>
      </c>
      <c r="D3866">
        <v>71.900000000000006</v>
      </c>
      <c r="E3866">
        <v>72.099999999999994</v>
      </c>
      <c r="F3866">
        <v>72.2</v>
      </c>
      <c r="G3866">
        <v>0</v>
      </c>
      <c r="H3866">
        <v>0</v>
      </c>
      <c r="I3866">
        <v>0</v>
      </c>
      <c r="J3866">
        <v>0</v>
      </c>
      <c r="K3866">
        <v>64.3</v>
      </c>
      <c r="L3866">
        <v>64.2</v>
      </c>
      <c r="M3866">
        <v>72.78</v>
      </c>
      <c r="N3866">
        <v>13</v>
      </c>
      <c r="O3866">
        <v>5</v>
      </c>
      <c r="P3866">
        <f>MOD(DAY(datos_siembra[[#This Row],[Date]]),7)</f>
        <v>6</v>
      </c>
      <c r="Q3866" t="str">
        <f>CHOOSE(WEEKDAY(datos_siembra[[#This Row],[Date]],2),"L","M","X","J","V","S","D")</f>
        <v>D</v>
      </c>
      <c r="R3866">
        <f>WEEKNUM(datos_siembra[[#This Row],[Date]],2)-WEEKNUM(DATE(YEAR(datos_siembra[[#This Row],[Date]]),MONTH(datos_siembra[[#This Row],[Date]]),1))+1</f>
        <v>2</v>
      </c>
      <c r="S3866">
        <f>MONTH(datos_siembra[[#This Row],[Date]])</f>
        <v>10</v>
      </c>
      <c r="T3866" t="str" cm="1">
        <f t="array" ref="T3866">_xlfn.IFS(AND(N3866&lt;= 22, S3866=9), "SOWING",AND(N3866&lt;= 28, S3866=9), "COVERAGE",AND(N3866&lt;= 30, S3866=9), "FLUSH",AND(N3866&lt;= 11, S3866=10), "FLUSH",AND(N3866&lt;= 21, S3866=10), "PRODUCTION")</f>
        <v>PRODUCTION</v>
      </c>
      <c r="U3866">
        <f>HOUR(datos_siembra[[#This Row],[Hour]])</f>
        <v>15</v>
      </c>
      <c r="V3866" cm="1">
        <f t="array" ref="V3866">_xlfn.IFS(AND(N3866&lt;= 22, S3866=9), N3866-7,AND(N3866&lt;= 28, S3866=9), N3866-25,AND(N3866&lt;= 30, S3866=9), N3866-28,AND(N3866&lt;= 11, S3866=10), N3866+2,AND(N3866&lt;= 21, S3866=10), N3866-11)</f>
        <v>2</v>
      </c>
    </row>
    <row r="3867" spans="1:22" x14ac:dyDescent="0.35">
      <c r="A3867" s="4">
        <v>45578</v>
      </c>
      <c r="B3867" s="5">
        <v>0.6539814814814815</v>
      </c>
      <c r="C3867">
        <v>75</v>
      </c>
      <c r="D3867">
        <v>71.900000000000006</v>
      </c>
      <c r="E3867">
        <v>72.099999999999994</v>
      </c>
      <c r="F3867">
        <v>72.2</v>
      </c>
      <c r="G3867">
        <v>0</v>
      </c>
      <c r="H3867">
        <v>0</v>
      </c>
      <c r="I3867">
        <v>0</v>
      </c>
      <c r="J3867">
        <v>0</v>
      </c>
      <c r="K3867">
        <v>64.400000000000006</v>
      </c>
      <c r="L3867">
        <v>64.400000000000006</v>
      </c>
      <c r="M3867">
        <v>72.78</v>
      </c>
      <c r="N3867">
        <v>13</v>
      </c>
      <c r="O3867">
        <v>5</v>
      </c>
      <c r="P3867">
        <f>MOD(DAY(datos_siembra[[#This Row],[Date]]),7)</f>
        <v>6</v>
      </c>
      <c r="Q3867" t="str">
        <f>CHOOSE(WEEKDAY(datos_siembra[[#This Row],[Date]],2),"L","M","X","J","V","S","D")</f>
        <v>D</v>
      </c>
      <c r="R3867">
        <f>WEEKNUM(datos_siembra[[#This Row],[Date]],2)-WEEKNUM(DATE(YEAR(datos_siembra[[#This Row],[Date]]),MONTH(datos_siembra[[#This Row],[Date]]),1))+1</f>
        <v>2</v>
      </c>
      <c r="S3867">
        <f>MONTH(datos_siembra[[#This Row],[Date]])</f>
        <v>10</v>
      </c>
      <c r="T3867" t="str" cm="1">
        <f t="array" ref="T3867">_xlfn.IFS(AND(N3867&lt;= 22, S3867=9), "SOWING",AND(N3867&lt;= 28, S3867=9), "COVERAGE",AND(N3867&lt;= 30, S3867=9), "FLUSH",AND(N3867&lt;= 11, S3867=10), "FLUSH",AND(N3867&lt;= 21, S3867=10), "PRODUCTION")</f>
        <v>PRODUCTION</v>
      </c>
      <c r="U3867">
        <f>HOUR(datos_siembra[[#This Row],[Hour]])</f>
        <v>15</v>
      </c>
      <c r="V3867" cm="1">
        <f t="array" ref="V3867">_xlfn.IFS(AND(N3867&lt;= 22, S3867=9), N3867-7,AND(N3867&lt;= 28, S3867=9), N3867-25,AND(N3867&lt;= 30, S3867=9), N3867-28,AND(N3867&lt;= 11, S3867=10), N3867+2,AND(N3867&lt;= 21, S3867=10), N3867-11)</f>
        <v>2</v>
      </c>
    </row>
    <row r="3868" spans="1:22" x14ac:dyDescent="0.35">
      <c r="A3868" s="4">
        <v>45578</v>
      </c>
      <c r="B3868" s="5">
        <v>0.66092592592592592</v>
      </c>
      <c r="C3868">
        <v>75.099999999999994</v>
      </c>
      <c r="D3868">
        <v>71.900000000000006</v>
      </c>
      <c r="E3868">
        <v>71.900000000000006</v>
      </c>
      <c r="F3868">
        <v>72.099999999999994</v>
      </c>
      <c r="G3868">
        <v>0</v>
      </c>
      <c r="H3868">
        <v>0</v>
      </c>
      <c r="I3868">
        <v>0</v>
      </c>
      <c r="J3868">
        <v>0</v>
      </c>
      <c r="K3868">
        <v>64.599999999999994</v>
      </c>
      <c r="L3868">
        <v>64.5</v>
      </c>
      <c r="M3868">
        <v>72.81</v>
      </c>
      <c r="N3868">
        <v>13</v>
      </c>
      <c r="O3868">
        <v>5</v>
      </c>
      <c r="P3868">
        <f>MOD(DAY(datos_siembra[[#This Row],[Date]]),7)</f>
        <v>6</v>
      </c>
      <c r="Q3868" t="str">
        <f>CHOOSE(WEEKDAY(datos_siembra[[#This Row],[Date]],2),"L","M","X","J","V","S","D")</f>
        <v>D</v>
      </c>
      <c r="R3868">
        <f>WEEKNUM(datos_siembra[[#This Row],[Date]],2)-WEEKNUM(DATE(YEAR(datos_siembra[[#This Row],[Date]]),MONTH(datos_siembra[[#This Row],[Date]]),1))+1</f>
        <v>2</v>
      </c>
      <c r="S3868">
        <f>MONTH(datos_siembra[[#This Row],[Date]])</f>
        <v>10</v>
      </c>
      <c r="T3868" t="str" cm="1">
        <f t="array" ref="T3868">_xlfn.IFS(AND(N3868&lt;= 22, S3868=9), "SOWING",AND(N3868&lt;= 28, S3868=9), "COVERAGE",AND(N3868&lt;= 30, S3868=9), "FLUSH",AND(N3868&lt;= 11, S3868=10), "FLUSH",AND(N3868&lt;= 21, S3868=10), "PRODUCTION")</f>
        <v>PRODUCTION</v>
      </c>
      <c r="U3868">
        <f>HOUR(datos_siembra[[#This Row],[Hour]])</f>
        <v>15</v>
      </c>
      <c r="V3868" cm="1">
        <f t="array" ref="V3868">_xlfn.IFS(AND(N3868&lt;= 22, S3868=9), N3868-7,AND(N3868&lt;= 28, S3868=9), N3868-25,AND(N3868&lt;= 30, S3868=9), N3868-28,AND(N3868&lt;= 11, S3868=10), N3868+2,AND(N3868&lt;= 21, S3868=10), N3868-11)</f>
        <v>2</v>
      </c>
    </row>
    <row r="3869" spans="1:22" x14ac:dyDescent="0.35">
      <c r="A3869" s="4">
        <v>45578</v>
      </c>
      <c r="B3869" s="5">
        <v>0.66788194444444449</v>
      </c>
      <c r="C3869">
        <v>74.900000000000006</v>
      </c>
      <c r="D3869">
        <v>71.8</v>
      </c>
      <c r="E3869">
        <v>72.099999999999994</v>
      </c>
      <c r="F3869">
        <v>72.2</v>
      </c>
      <c r="G3869">
        <v>0</v>
      </c>
      <c r="H3869">
        <v>0</v>
      </c>
      <c r="I3869">
        <v>0</v>
      </c>
      <c r="J3869">
        <v>0</v>
      </c>
      <c r="K3869">
        <v>64.900000000000006</v>
      </c>
      <c r="L3869">
        <v>64.7</v>
      </c>
      <c r="M3869">
        <v>72.78</v>
      </c>
      <c r="N3869">
        <v>13</v>
      </c>
      <c r="O3869">
        <v>5</v>
      </c>
      <c r="P3869">
        <f>MOD(DAY(datos_siembra[[#This Row],[Date]]),7)</f>
        <v>6</v>
      </c>
      <c r="Q3869" t="str">
        <f>CHOOSE(WEEKDAY(datos_siembra[[#This Row],[Date]],2),"L","M","X","J","V","S","D")</f>
        <v>D</v>
      </c>
      <c r="R3869">
        <f>WEEKNUM(datos_siembra[[#This Row],[Date]],2)-WEEKNUM(DATE(YEAR(datos_siembra[[#This Row],[Date]]),MONTH(datos_siembra[[#This Row],[Date]]),1))+1</f>
        <v>2</v>
      </c>
      <c r="S3869">
        <f>MONTH(datos_siembra[[#This Row],[Date]])</f>
        <v>10</v>
      </c>
      <c r="T3869" t="str" cm="1">
        <f t="array" ref="T3869">_xlfn.IFS(AND(N3869&lt;= 22, S3869=9), "SOWING",AND(N3869&lt;= 28, S3869=9), "COVERAGE",AND(N3869&lt;= 30, S3869=9), "FLUSH",AND(N3869&lt;= 11, S3869=10), "FLUSH",AND(N3869&lt;= 21, S3869=10), "PRODUCTION")</f>
        <v>PRODUCTION</v>
      </c>
      <c r="U3869">
        <f>HOUR(datos_siembra[[#This Row],[Hour]])</f>
        <v>16</v>
      </c>
      <c r="V3869" cm="1">
        <f t="array" ref="V3869">_xlfn.IFS(AND(N3869&lt;= 22, S3869=9), N3869-7,AND(N3869&lt;= 28, S3869=9), N3869-25,AND(N3869&lt;= 30, S3869=9), N3869-28,AND(N3869&lt;= 11, S3869=10), N3869+2,AND(N3869&lt;= 21, S3869=10), N3869-11)</f>
        <v>2</v>
      </c>
    </row>
    <row r="3870" spans="1:22" x14ac:dyDescent="0.35">
      <c r="A3870" s="4">
        <v>45578</v>
      </c>
      <c r="B3870" s="5">
        <v>0.67482638888888891</v>
      </c>
      <c r="C3870">
        <v>74.900000000000006</v>
      </c>
      <c r="D3870">
        <v>71.900000000000006</v>
      </c>
      <c r="E3870">
        <v>72.2</v>
      </c>
      <c r="F3870">
        <v>72.2</v>
      </c>
      <c r="G3870">
        <v>0</v>
      </c>
      <c r="H3870">
        <v>0</v>
      </c>
      <c r="I3870">
        <v>0</v>
      </c>
      <c r="J3870">
        <v>0</v>
      </c>
      <c r="K3870">
        <v>65.099999999999994</v>
      </c>
      <c r="L3870">
        <v>65</v>
      </c>
      <c r="M3870">
        <v>72.84</v>
      </c>
      <c r="N3870">
        <v>13</v>
      </c>
      <c r="O3870">
        <v>5</v>
      </c>
      <c r="P3870">
        <f>MOD(DAY(datos_siembra[[#This Row],[Date]]),7)</f>
        <v>6</v>
      </c>
      <c r="Q3870" t="str">
        <f>CHOOSE(WEEKDAY(datos_siembra[[#This Row],[Date]],2),"L","M","X","J","V","S","D")</f>
        <v>D</v>
      </c>
      <c r="R3870">
        <f>WEEKNUM(datos_siembra[[#This Row],[Date]],2)-WEEKNUM(DATE(YEAR(datos_siembra[[#This Row],[Date]]),MONTH(datos_siembra[[#This Row],[Date]]),1))+1</f>
        <v>2</v>
      </c>
      <c r="S3870">
        <f>MONTH(datos_siembra[[#This Row],[Date]])</f>
        <v>10</v>
      </c>
      <c r="T3870" t="str" cm="1">
        <f t="array" ref="T3870">_xlfn.IFS(AND(N3870&lt;= 22, S3870=9), "SOWING",AND(N3870&lt;= 28, S3870=9), "COVERAGE",AND(N3870&lt;= 30, S3870=9), "FLUSH",AND(N3870&lt;= 11, S3870=10), "FLUSH",AND(N3870&lt;= 21, S3870=10), "PRODUCTION")</f>
        <v>PRODUCTION</v>
      </c>
      <c r="U3870">
        <f>HOUR(datos_siembra[[#This Row],[Hour]])</f>
        <v>16</v>
      </c>
      <c r="V3870" cm="1">
        <f t="array" ref="V3870">_xlfn.IFS(AND(N3870&lt;= 22, S3870=9), N3870-7,AND(N3870&lt;= 28, S3870=9), N3870-25,AND(N3870&lt;= 30, S3870=9), N3870-28,AND(N3870&lt;= 11, S3870=10), N3870+2,AND(N3870&lt;= 21, S3870=10), N3870-11)</f>
        <v>2</v>
      </c>
    </row>
    <row r="3871" spans="1:22" x14ac:dyDescent="0.35">
      <c r="A3871" s="4">
        <v>45578</v>
      </c>
      <c r="B3871" s="5">
        <v>0.68177083333333333</v>
      </c>
      <c r="C3871">
        <v>75</v>
      </c>
      <c r="D3871">
        <v>72.099999999999994</v>
      </c>
      <c r="E3871">
        <v>71.900000000000006</v>
      </c>
      <c r="F3871">
        <v>72.2</v>
      </c>
      <c r="G3871">
        <v>0</v>
      </c>
      <c r="H3871">
        <v>0</v>
      </c>
      <c r="I3871">
        <v>0</v>
      </c>
      <c r="J3871">
        <v>0</v>
      </c>
      <c r="K3871">
        <v>65.2</v>
      </c>
      <c r="L3871">
        <v>65.099999999999994</v>
      </c>
      <c r="M3871">
        <v>72.75</v>
      </c>
      <c r="N3871">
        <v>13</v>
      </c>
      <c r="O3871">
        <v>5</v>
      </c>
      <c r="P3871">
        <f>MOD(DAY(datos_siembra[[#This Row],[Date]]),7)</f>
        <v>6</v>
      </c>
      <c r="Q3871" t="str">
        <f>CHOOSE(WEEKDAY(datos_siembra[[#This Row],[Date]],2),"L","M","X","J","V","S","D")</f>
        <v>D</v>
      </c>
      <c r="R3871">
        <f>WEEKNUM(datos_siembra[[#This Row],[Date]],2)-WEEKNUM(DATE(YEAR(datos_siembra[[#This Row],[Date]]),MONTH(datos_siembra[[#This Row],[Date]]),1))+1</f>
        <v>2</v>
      </c>
      <c r="S3871">
        <f>MONTH(datos_siembra[[#This Row],[Date]])</f>
        <v>10</v>
      </c>
      <c r="T3871" t="str" cm="1">
        <f t="array" ref="T3871">_xlfn.IFS(AND(N3871&lt;= 22, S3871=9), "SOWING",AND(N3871&lt;= 28, S3871=9), "COVERAGE",AND(N3871&lt;= 30, S3871=9), "FLUSH",AND(N3871&lt;= 11, S3871=10), "FLUSH",AND(N3871&lt;= 21, S3871=10), "PRODUCTION")</f>
        <v>PRODUCTION</v>
      </c>
      <c r="U3871">
        <f>HOUR(datos_siembra[[#This Row],[Hour]])</f>
        <v>16</v>
      </c>
      <c r="V3871" cm="1">
        <f t="array" ref="V3871">_xlfn.IFS(AND(N3871&lt;= 22, S3871=9), N3871-7,AND(N3871&lt;= 28, S3871=9), N3871-25,AND(N3871&lt;= 30, S3871=9), N3871-28,AND(N3871&lt;= 11, S3871=10), N3871+2,AND(N3871&lt;= 21, S3871=10), N3871-11)</f>
        <v>2</v>
      </c>
    </row>
    <row r="3872" spans="1:22" x14ac:dyDescent="0.35">
      <c r="A3872" s="4">
        <v>45578</v>
      </c>
      <c r="B3872" s="5">
        <v>0.6887268518518519</v>
      </c>
      <c r="C3872">
        <v>74.900000000000006</v>
      </c>
      <c r="D3872">
        <v>72.2</v>
      </c>
      <c r="E3872">
        <v>71.900000000000006</v>
      </c>
      <c r="F3872">
        <v>72.099999999999994</v>
      </c>
      <c r="G3872">
        <v>0</v>
      </c>
      <c r="H3872">
        <v>0</v>
      </c>
      <c r="I3872">
        <v>0</v>
      </c>
      <c r="J3872">
        <v>0</v>
      </c>
      <c r="K3872">
        <v>65.099999999999994</v>
      </c>
      <c r="L3872">
        <v>64.900000000000006</v>
      </c>
      <c r="M3872">
        <v>72.81</v>
      </c>
      <c r="N3872">
        <v>13</v>
      </c>
      <c r="O3872">
        <v>5</v>
      </c>
      <c r="P3872">
        <f>MOD(DAY(datos_siembra[[#This Row],[Date]]),7)</f>
        <v>6</v>
      </c>
      <c r="Q3872" t="str">
        <f>CHOOSE(WEEKDAY(datos_siembra[[#This Row],[Date]],2),"L","M","X","J","V","S","D")</f>
        <v>D</v>
      </c>
      <c r="R3872">
        <f>WEEKNUM(datos_siembra[[#This Row],[Date]],2)-WEEKNUM(DATE(YEAR(datos_siembra[[#This Row],[Date]]),MONTH(datos_siembra[[#This Row],[Date]]),1))+1</f>
        <v>2</v>
      </c>
      <c r="S3872">
        <f>MONTH(datos_siembra[[#This Row],[Date]])</f>
        <v>10</v>
      </c>
      <c r="T3872" t="str" cm="1">
        <f t="array" ref="T3872">_xlfn.IFS(AND(N3872&lt;= 22, S3872=9), "SOWING",AND(N3872&lt;= 28, S3872=9), "COVERAGE",AND(N3872&lt;= 30, S3872=9), "FLUSH",AND(N3872&lt;= 11, S3872=10), "FLUSH",AND(N3872&lt;= 21, S3872=10), "PRODUCTION")</f>
        <v>PRODUCTION</v>
      </c>
      <c r="U3872">
        <f>HOUR(datos_siembra[[#This Row],[Hour]])</f>
        <v>16</v>
      </c>
      <c r="V3872" cm="1">
        <f t="array" ref="V3872">_xlfn.IFS(AND(N3872&lt;= 22, S3872=9), N3872-7,AND(N3872&lt;= 28, S3872=9), N3872-25,AND(N3872&lt;= 30, S3872=9), N3872-28,AND(N3872&lt;= 11, S3872=10), N3872+2,AND(N3872&lt;= 21, S3872=10), N3872-11)</f>
        <v>2</v>
      </c>
    </row>
    <row r="3873" spans="1:22" x14ac:dyDescent="0.35">
      <c r="A3873" s="4">
        <v>45578</v>
      </c>
      <c r="B3873" s="5">
        <v>0.69567129629629632</v>
      </c>
      <c r="C3873">
        <v>74.900000000000006</v>
      </c>
      <c r="D3873">
        <v>72.099999999999994</v>
      </c>
      <c r="E3873">
        <v>72.099999999999994</v>
      </c>
      <c r="F3873">
        <v>72.400000000000006</v>
      </c>
      <c r="G3873">
        <v>0</v>
      </c>
      <c r="H3873">
        <v>0</v>
      </c>
      <c r="I3873">
        <v>0</v>
      </c>
      <c r="J3873">
        <v>0</v>
      </c>
      <c r="K3873">
        <v>64.099999999999994</v>
      </c>
      <c r="L3873">
        <v>63.9</v>
      </c>
      <c r="M3873">
        <v>72.72</v>
      </c>
      <c r="N3873">
        <v>13</v>
      </c>
      <c r="O3873">
        <v>5</v>
      </c>
      <c r="P3873">
        <f>MOD(DAY(datos_siembra[[#This Row],[Date]]),7)</f>
        <v>6</v>
      </c>
      <c r="Q3873" t="str">
        <f>CHOOSE(WEEKDAY(datos_siembra[[#This Row],[Date]],2),"L","M","X","J","V","S","D")</f>
        <v>D</v>
      </c>
      <c r="R3873">
        <f>WEEKNUM(datos_siembra[[#This Row],[Date]],2)-WEEKNUM(DATE(YEAR(datos_siembra[[#This Row],[Date]]),MONTH(datos_siembra[[#This Row],[Date]]),1))+1</f>
        <v>2</v>
      </c>
      <c r="S3873">
        <f>MONTH(datos_siembra[[#This Row],[Date]])</f>
        <v>10</v>
      </c>
      <c r="T3873" t="str" cm="1">
        <f t="array" ref="T3873">_xlfn.IFS(AND(N3873&lt;= 22, S3873=9), "SOWING",AND(N3873&lt;= 28, S3873=9), "COVERAGE",AND(N3873&lt;= 30, S3873=9), "FLUSH",AND(N3873&lt;= 11, S3873=10), "FLUSH",AND(N3873&lt;= 21, S3873=10), "PRODUCTION")</f>
        <v>PRODUCTION</v>
      </c>
      <c r="U3873">
        <f>HOUR(datos_siembra[[#This Row],[Hour]])</f>
        <v>16</v>
      </c>
      <c r="V3873" cm="1">
        <f t="array" ref="V3873">_xlfn.IFS(AND(N3873&lt;= 22, S3873=9), N3873-7,AND(N3873&lt;= 28, S3873=9), N3873-25,AND(N3873&lt;= 30, S3873=9), N3873-28,AND(N3873&lt;= 11, S3873=10), N3873+2,AND(N3873&lt;= 21, S3873=10), N3873-11)</f>
        <v>2</v>
      </c>
    </row>
    <row r="3874" spans="1:22" x14ac:dyDescent="0.35">
      <c r="A3874" s="4">
        <v>45578</v>
      </c>
      <c r="B3874" s="5">
        <v>0.70261574074074074</v>
      </c>
      <c r="C3874">
        <v>74.8</v>
      </c>
      <c r="D3874">
        <v>71.900000000000006</v>
      </c>
      <c r="E3874">
        <v>71.900000000000006</v>
      </c>
      <c r="F3874">
        <v>72.3</v>
      </c>
      <c r="G3874">
        <v>0</v>
      </c>
      <c r="H3874">
        <v>0</v>
      </c>
      <c r="I3874">
        <v>0</v>
      </c>
      <c r="J3874">
        <v>0</v>
      </c>
      <c r="K3874">
        <v>63.8</v>
      </c>
      <c r="L3874">
        <v>63.6</v>
      </c>
      <c r="M3874">
        <v>72.75</v>
      </c>
      <c r="N3874">
        <v>13</v>
      </c>
      <c r="O3874">
        <v>5</v>
      </c>
      <c r="P3874">
        <f>MOD(DAY(datos_siembra[[#This Row],[Date]]),7)</f>
        <v>6</v>
      </c>
      <c r="Q3874" t="str">
        <f>CHOOSE(WEEKDAY(datos_siembra[[#This Row],[Date]],2),"L","M","X","J","V","S","D")</f>
        <v>D</v>
      </c>
      <c r="R3874">
        <f>WEEKNUM(datos_siembra[[#This Row],[Date]],2)-WEEKNUM(DATE(YEAR(datos_siembra[[#This Row],[Date]]),MONTH(datos_siembra[[#This Row],[Date]]),1))+1</f>
        <v>2</v>
      </c>
      <c r="S3874">
        <f>MONTH(datos_siembra[[#This Row],[Date]])</f>
        <v>10</v>
      </c>
      <c r="T3874" t="str" cm="1">
        <f t="array" ref="T3874">_xlfn.IFS(AND(N3874&lt;= 22, S3874=9), "SOWING",AND(N3874&lt;= 28, S3874=9), "COVERAGE",AND(N3874&lt;= 30, S3874=9), "FLUSH",AND(N3874&lt;= 11, S3874=10), "FLUSH",AND(N3874&lt;= 21, S3874=10), "PRODUCTION")</f>
        <v>PRODUCTION</v>
      </c>
      <c r="U3874">
        <f>HOUR(datos_siembra[[#This Row],[Hour]])</f>
        <v>16</v>
      </c>
      <c r="V3874" cm="1">
        <f t="array" ref="V3874">_xlfn.IFS(AND(N3874&lt;= 22, S3874=9), N3874-7,AND(N3874&lt;= 28, S3874=9), N3874-25,AND(N3874&lt;= 30, S3874=9), N3874-28,AND(N3874&lt;= 11, S3874=10), N3874+2,AND(N3874&lt;= 21, S3874=10), N3874-11)</f>
        <v>2</v>
      </c>
    </row>
    <row r="3875" spans="1:22" x14ac:dyDescent="0.35">
      <c r="A3875" s="4">
        <v>45578</v>
      </c>
      <c r="B3875" s="5">
        <v>0.70956018518518515</v>
      </c>
      <c r="C3875">
        <v>74.8</v>
      </c>
      <c r="D3875">
        <v>72.099999999999994</v>
      </c>
      <c r="E3875">
        <v>71.900000000000006</v>
      </c>
      <c r="F3875">
        <v>72.2</v>
      </c>
      <c r="G3875">
        <v>0</v>
      </c>
      <c r="H3875">
        <v>0</v>
      </c>
      <c r="I3875">
        <v>0</v>
      </c>
      <c r="J3875">
        <v>0</v>
      </c>
      <c r="K3875">
        <v>63.6</v>
      </c>
      <c r="L3875">
        <v>63.4</v>
      </c>
      <c r="M3875">
        <v>72.72</v>
      </c>
      <c r="N3875">
        <v>13</v>
      </c>
      <c r="O3875">
        <v>5</v>
      </c>
      <c r="P3875">
        <f>MOD(DAY(datos_siembra[[#This Row],[Date]]),7)</f>
        <v>6</v>
      </c>
      <c r="Q3875" t="str">
        <f>CHOOSE(WEEKDAY(datos_siembra[[#This Row],[Date]],2),"L","M","X","J","V","S","D")</f>
        <v>D</v>
      </c>
      <c r="R3875">
        <f>WEEKNUM(datos_siembra[[#This Row],[Date]],2)-WEEKNUM(DATE(YEAR(datos_siembra[[#This Row],[Date]]),MONTH(datos_siembra[[#This Row],[Date]]),1))+1</f>
        <v>2</v>
      </c>
      <c r="S3875">
        <f>MONTH(datos_siembra[[#This Row],[Date]])</f>
        <v>10</v>
      </c>
      <c r="T3875" t="str" cm="1">
        <f t="array" ref="T3875">_xlfn.IFS(AND(N3875&lt;= 22, S3875=9), "SOWING",AND(N3875&lt;= 28, S3875=9), "COVERAGE",AND(N3875&lt;= 30, S3875=9), "FLUSH",AND(N3875&lt;= 11, S3875=10), "FLUSH",AND(N3875&lt;= 21, S3875=10), "PRODUCTION")</f>
        <v>PRODUCTION</v>
      </c>
      <c r="U3875">
        <f>HOUR(datos_siembra[[#This Row],[Hour]])</f>
        <v>17</v>
      </c>
      <c r="V3875" cm="1">
        <f t="array" ref="V3875">_xlfn.IFS(AND(N3875&lt;= 22, S3875=9), N3875-7,AND(N3875&lt;= 28, S3875=9), N3875-25,AND(N3875&lt;= 30, S3875=9), N3875-28,AND(N3875&lt;= 11, S3875=10), N3875+2,AND(N3875&lt;= 21, S3875=10), N3875-11)</f>
        <v>2</v>
      </c>
    </row>
    <row r="3876" spans="1:22" x14ac:dyDescent="0.35">
      <c r="A3876" s="4">
        <v>45578</v>
      </c>
      <c r="B3876" s="5">
        <v>0.71651620370370372</v>
      </c>
      <c r="C3876">
        <v>74.8</v>
      </c>
      <c r="D3876">
        <v>71.8</v>
      </c>
      <c r="E3876">
        <v>71.900000000000006</v>
      </c>
      <c r="F3876">
        <v>72.2</v>
      </c>
      <c r="G3876">
        <v>0</v>
      </c>
      <c r="H3876">
        <v>0</v>
      </c>
      <c r="I3876">
        <v>0</v>
      </c>
      <c r="J3876">
        <v>0</v>
      </c>
      <c r="K3876">
        <v>63.3</v>
      </c>
      <c r="L3876">
        <v>63</v>
      </c>
      <c r="M3876">
        <v>72.73</v>
      </c>
      <c r="N3876">
        <v>13</v>
      </c>
      <c r="O3876">
        <v>5</v>
      </c>
      <c r="P3876">
        <f>MOD(DAY(datos_siembra[[#This Row],[Date]]),7)</f>
        <v>6</v>
      </c>
      <c r="Q3876" t="str">
        <f>CHOOSE(WEEKDAY(datos_siembra[[#This Row],[Date]],2),"L","M","X","J","V","S","D")</f>
        <v>D</v>
      </c>
      <c r="R3876">
        <f>WEEKNUM(datos_siembra[[#This Row],[Date]],2)-WEEKNUM(DATE(YEAR(datos_siembra[[#This Row],[Date]]),MONTH(datos_siembra[[#This Row],[Date]]),1))+1</f>
        <v>2</v>
      </c>
      <c r="S3876">
        <f>MONTH(datos_siembra[[#This Row],[Date]])</f>
        <v>10</v>
      </c>
      <c r="T3876" t="str" cm="1">
        <f t="array" ref="T3876">_xlfn.IFS(AND(N3876&lt;= 22, S3876=9), "SOWING",AND(N3876&lt;= 28, S3876=9), "COVERAGE",AND(N3876&lt;= 30, S3876=9), "FLUSH",AND(N3876&lt;= 11, S3876=10), "FLUSH",AND(N3876&lt;= 21, S3876=10), "PRODUCTION")</f>
        <v>PRODUCTION</v>
      </c>
      <c r="U3876">
        <f>HOUR(datos_siembra[[#This Row],[Hour]])</f>
        <v>17</v>
      </c>
      <c r="V3876" cm="1">
        <f t="array" ref="V3876">_xlfn.IFS(AND(N3876&lt;= 22, S3876=9), N3876-7,AND(N3876&lt;= 28, S3876=9), N3876-25,AND(N3876&lt;= 30, S3876=9), N3876-28,AND(N3876&lt;= 11, S3876=10), N3876+2,AND(N3876&lt;= 21, S3876=10), N3876-11)</f>
        <v>2</v>
      </c>
    </row>
    <row r="3877" spans="1:22" x14ac:dyDescent="0.35">
      <c r="A3877" s="4">
        <v>45578</v>
      </c>
      <c r="B3877" s="5">
        <v>0.72346064814814814</v>
      </c>
      <c r="C3877">
        <v>74.599999999999994</v>
      </c>
      <c r="D3877">
        <v>72.099999999999994</v>
      </c>
      <c r="E3877">
        <v>71.8</v>
      </c>
      <c r="F3877">
        <v>72.2</v>
      </c>
      <c r="G3877">
        <v>0</v>
      </c>
      <c r="H3877">
        <v>0</v>
      </c>
      <c r="I3877">
        <v>0</v>
      </c>
      <c r="J3877">
        <v>0</v>
      </c>
      <c r="K3877">
        <v>63.2</v>
      </c>
      <c r="L3877">
        <v>62.9</v>
      </c>
      <c r="M3877">
        <v>72.7</v>
      </c>
      <c r="N3877">
        <v>13</v>
      </c>
      <c r="O3877">
        <v>5</v>
      </c>
      <c r="P3877">
        <f>MOD(DAY(datos_siembra[[#This Row],[Date]]),7)</f>
        <v>6</v>
      </c>
      <c r="Q3877" t="str">
        <f>CHOOSE(WEEKDAY(datos_siembra[[#This Row],[Date]],2),"L","M","X","J","V","S","D")</f>
        <v>D</v>
      </c>
      <c r="R3877">
        <f>WEEKNUM(datos_siembra[[#This Row],[Date]],2)-WEEKNUM(DATE(YEAR(datos_siembra[[#This Row],[Date]]),MONTH(datos_siembra[[#This Row],[Date]]),1))+1</f>
        <v>2</v>
      </c>
      <c r="S3877">
        <f>MONTH(datos_siembra[[#This Row],[Date]])</f>
        <v>10</v>
      </c>
      <c r="T3877" t="str" cm="1">
        <f t="array" ref="T3877">_xlfn.IFS(AND(N3877&lt;= 22, S3877=9), "SOWING",AND(N3877&lt;= 28, S3877=9), "COVERAGE",AND(N3877&lt;= 30, S3877=9), "FLUSH",AND(N3877&lt;= 11, S3877=10), "FLUSH",AND(N3877&lt;= 21, S3877=10), "PRODUCTION")</f>
        <v>PRODUCTION</v>
      </c>
      <c r="U3877">
        <f>HOUR(datos_siembra[[#This Row],[Hour]])</f>
        <v>17</v>
      </c>
      <c r="V3877" cm="1">
        <f t="array" ref="V3877">_xlfn.IFS(AND(N3877&lt;= 22, S3877=9), N3877-7,AND(N3877&lt;= 28, S3877=9), N3877-25,AND(N3877&lt;= 30, S3877=9), N3877-28,AND(N3877&lt;= 11, S3877=10), N3877+2,AND(N3877&lt;= 21, S3877=10), N3877-11)</f>
        <v>2</v>
      </c>
    </row>
    <row r="3878" spans="1:22" x14ac:dyDescent="0.35">
      <c r="A3878" s="4">
        <v>45578</v>
      </c>
      <c r="B3878" s="5">
        <v>0.73040509259259256</v>
      </c>
      <c r="C3878">
        <v>74.599999999999994</v>
      </c>
      <c r="D3878">
        <v>72.099999999999994</v>
      </c>
      <c r="E3878">
        <v>71.900000000000006</v>
      </c>
      <c r="F3878">
        <v>72.2</v>
      </c>
      <c r="G3878">
        <v>0</v>
      </c>
      <c r="H3878">
        <v>0</v>
      </c>
      <c r="I3878">
        <v>0</v>
      </c>
      <c r="J3878">
        <v>0</v>
      </c>
      <c r="K3878">
        <v>63</v>
      </c>
      <c r="L3878">
        <v>62.8</v>
      </c>
      <c r="M3878">
        <v>72.61</v>
      </c>
      <c r="N3878">
        <v>13</v>
      </c>
      <c r="O3878">
        <v>5</v>
      </c>
      <c r="P3878">
        <f>MOD(DAY(datos_siembra[[#This Row],[Date]]),7)</f>
        <v>6</v>
      </c>
      <c r="Q3878" t="str">
        <f>CHOOSE(WEEKDAY(datos_siembra[[#This Row],[Date]],2),"L","M","X","J","V","S","D")</f>
        <v>D</v>
      </c>
      <c r="R3878">
        <f>WEEKNUM(datos_siembra[[#This Row],[Date]],2)-WEEKNUM(DATE(YEAR(datos_siembra[[#This Row],[Date]]),MONTH(datos_siembra[[#This Row],[Date]]),1))+1</f>
        <v>2</v>
      </c>
      <c r="S3878">
        <f>MONTH(datos_siembra[[#This Row],[Date]])</f>
        <v>10</v>
      </c>
      <c r="T3878" t="str" cm="1">
        <f t="array" ref="T3878">_xlfn.IFS(AND(N3878&lt;= 22, S3878=9), "SOWING",AND(N3878&lt;= 28, S3878=9), "COVERAGE",AND(N3878&lt;= 30, S3878=9), "FLUSH",AND(N3878&lt;= 11, S3878=10), "FLUSH",AND(N3878&lt;= 21, S3878=10), "PRODUCTION")</f>
        <v>PRODUCTION</v>
      </c>
      <c r="U3878">
        <f>HOUR(datos_siembra[[#This Row],[Hour]])</f>
        <v>17</v>
      </c>
      <c r="V3878" cm="1">
        <f t="array" ref="V3878">_xlfn.IFS(AND(N3878&lt;= 22, S3878=9), N3878-7,AND(N3878&lt;= 28, S3878=9), N3878-25,AND(N3878&lt;= 30, S3878=9), N3878-28,AND(N3878&lt;= 11, S3878=10), N3878+2,AND(N3878&lt;= 21, S3878=10), N3878-11)</f>
        <v>2</v>
      </c>
    </row>
    <row r="3879" spans="1:22" x14ac:dyDescent="0.35">
      <c r="A3879" s="4">
        <v>45578</v>
      </c>
      <c r="B3879" s="5">
        <v>0.73736111111111113</v>
      </c>
      <c r="C3879">
        <v>74.599999999999994</v>
      </c>
      <c r="D3879">
        <v>72.099999999999994</v>
      </c>
      <c r="E3879">
        <v>71.900000000000006</v>
      </c>
      <c r="F3879">
        <v>72.2</v>
      </c>
      <c r="G3879">
        <v>0</v>
      </c>
      <c r="H3879">
        <v>0</v>
      </c>
      <c r="I3879">
        <v>0</v>
      </c>
      <c r="J3879">
        <v>0</v>
      </c>
      <c r="K3879">
        <v>63</v>
      </c>
      <c r="L3879">
        <v>62.8</v>
      </c>
      <c r="M3879">
        <v>72.75</v>
      </c>
      <c r="N3879">
        <v>13</v>
      </c>
      <c r="O3879">
        <v>5</v>
      </c>
      <c r="P3879">
        <f>MOD(DAY(datos_siembra[[#This Row],[Date]]),7)</f>
        <v>6</v>
      </c>
      <c r="Q3879" t="str">
        <f>CHOOSE(WEEKDAY(datos_siembra[[#This Row],[Date]],2),"L","M","X","J","V","S","D")</f>
        <v>D</v>
      </c>
      <c r="R3879">
        <f>WEEKNUM(datos_siembra[[#This Row],[Date]],2)-WEEKNUM(DATE(YEAR(datos_siembra[[#This Row],[Date]]),MONTH(datos_siembra[[#This Row],[Date]]),1))+1</f>
        <v>2</v>
      </c>
      <c r="S3879">
        <f>MONTH(datos_siembra[[#This Row],[Date]])</f>
        <v>10</v>
      </c>
      <c r="T3879" t="str" cm="1">
        <f t="array" ref="T3879">_xlfn.IFS(AND(N3879&lt;= 22, S3879=9), "SOWING",AND(N3879&lt;= 28, S3879=9), "COVERAGE",AND(N3879&lt;= 30, S3879=9), "FLUSH",AND(N3879&lt;= 11, S3879=10), "FLUSH",AND(N3879&lt;= 21, S3879=10), "PRODUCTION")</f>
        <v>PRODUCTION</v>
      </c>
      <c r="U3879">
        <f>HOUR(datos_siembra[[#This Row],[Hour]])</f>
        <v>17</v>
      </c>
      <c r="V3879" cm="1">
        <f t="array" ref="V3879">_xlfn.IFS(AND(N3879&lt;= 22, S3879=9), N3879-7,AND(N3879&lt;= 28, S3879=9), N3879-25,AND(N3879&lt;= 30, S3879=9), N3879-28,AND(N3879&lt;= 11, S3879=10), N3879+2,AND(N3879&lt;= 21, S3879=10), N3879-11)</f>
        <v>2</v>
      </c>
    </row>
    <row r="3880" spans="1:22" x14ac:dyDescent="0.35">
      <c r="A3880" s="4">
        <v>45578</v>
      </c>
      <c r="B3880" s="5">
        <v>0.74430555555555555</v>
      </c>
      <c r="C3880">
        <v>74.599999999999994</v>
      </c>
      <c r="D3880">
        <v>72.099999999999994</v>
      </c>
      <c r="E3880">
        <v>71.900000000000006</v>
      </c>
      <c r="F3880">
        <v>72.2</v>
      </c>
      <c r="G3880">
        <v>0</v>
      </c>
      <c r="H3880">
        <v>0</v>
      </c>
      <c r="I3880">
        <v>0</v>
      </c>
      <c r="J3880">
        <v>0</v>
      </c>
      <c r="K3880">
        <v>63.6</v>
      </c>
      <c r="L3880">
        <v>63.5</v>
      </c>
      <c r="M3880">
        <v>72.7</v>
      </c>
      <c r="N3880">
        <v>13</v>
      </c>
      <c r="O3880">
        <v>5</v>
      </c>
      <c r="P3880">
        <f>MOD(DAY(datos_siembra[[#This Row],[Date]]),7)</f>
        <v>6</v>
      </c>
      <c r="Q3880" t="str">
        <f>CHOOSE(WEEKDAY(datos_siembra[[#This Row],[Date]],2),"L","M","X","J","V","S","D")</f>
        <v>D</v>
      </c>
      <c r="R3880">
        <f>WEEKNUM(datos_siembra[[#This Row],[Date]],2)-WEEKNUM(DATE(YEAR(datos_siembra[[#This Row],[Date]]),MONTH(datos_siembra[[#This Row],[Date]]),1))+1</f>
        <v>2</v>
      </c>
      <c r="S3880">
        <f>MONTH(datos_siembra[[#This Row],[Date]])</f>
        <v>10</v>
      </c>
      <c r="T3880" t="str" cm="1">
        <f t="array" ref="T3880">_xlfn.IFS(AND(N3880&lt;= 22, S3880=9), "SOWING",AND(N3880&lt;= 28, S3880=9), "COVERAGE",AND(N3880&lt;= 30, S3880=9), "FLUSH",AND(N3880&lt;= 11, S3880=10), "FLUSH",AND(N3880&lt;= 21, S3880=10), "PRODUCTION")</f>
        <v>PRODUCTION</v>
      </c>
      <c r="U3880">
        <f>HOUR(datos_siembra[[#This Row],[Hour]])</f>
        <v>17</v>
      </c>
      <c r="V3880" cm="1">
        <f t="array" ref="V3880">_xlfn.IFS(AND(N3880&lt;= 22, S3880=9), N3880-7,AND(N3880&lt;= 28, S3880=9), N3880-25,AND(N3880&lt;= 30, S3880=9), N3880-28,AND(N3880&lt;= 11, S3880=10), N3880+2,AND(N3880&lt;= 21, S3880=10), N3880-11)</f>
        <v>2</v>
      </c>
    </row>
    <row r="3881" spans="1:22" x14ac:dyDescent="0.35">
      <c r="A3881" s="4">
        <v>45578</v>
      </c>
      <c r="B3881" s="5">
        <v>0.75124999999999997</v>
      </c>
      <c r="C3881">
        <v>74.599999999999994</v>
      </c>
      <c r="D3881">
        <v>72.099999999999994</v>
      </c>
      <c r="E3881">
        <v>71.900000000000006</v>
      </c>
      <c r="F3881">
        <v>72.3</v>
      </c>
      <c r="G3881">
        <v>0</v>
      </c>
      <c r="H3881">
        <v>0</v>
      </c>
      <c r="I3881">
        <v>0</v>
      </c>
      <c r="J3881">
        <v>0</v>
      </c>
      <c r="K3881">
        <v>64.099999999999994</v>
      </c>
      <c r="L3881">
        <v>63.9</v>
      </c>
      <c r="M3881">
        <v>72.61</v>
      </c>
      <c r="N3881">
        <v>13</v>
      </c>
      <c r="O3881">
        <v>5</v>
      </c>
      <c r="P3881">
        <f>MOD(DAY(datos_siembra[[#This Row],[Date]]),7)</f>
        <v>6</v>
      </c>
      <c r="Q3881" t="str">
        <f>CHOOSE(WEEKDAY(datos_siembra[[#This Row],[Date]],2),"L","M","X","J","V","S","D")</f>
        <v>D</v>
      </c>
      <c r="R3881">
        <f>WEEKNUM(datos_siembra[[#This Row],[Date]],2)-WEEKNUM(DATE(YEAR(datos_siembra[[#This Row],[Date]]),MONTH(datos_siembra[[#This Row],[Date]]),1))+1</f>
        <v>2</v>
      </c>
      <c r="S3881">
        <f>MONTH(datos_siembra[[#This Row],[Date]])</f>
        <v>10</v>
      </c>
      <c r="T3881" t="str" cm="1">
        <f t="array" ref="T3881">_xlfn.IFS(AND(N3881&lt;= 22, S3881=9), "SOWING",AND(N3881&lt;= 28, S3881=9), "COVERAGE",AND(N3881&lt;= 30, S3881=9), "FLUSH",AND(N3881&lt;= 11, S3881=10), "FLUSH",AND(N3881&lt;= 21, S3881=10), "PRODUCTION")</f>
        <v>PRODUCTION</v>
      </c>
      <c r="U3881">
        <f>HOUR(datos_siembra[[#This Row],[Hour]])</f>
        <v>18</v>
      </c>
      <c r="V3881" cm="1">
        <f t="array" ref="V3881">_xlfn.IFS(AND(N3881&lt;= 22, S3881=9), N3881-7,AND(N3881&lt;= 28, S3881=9), N3881-25,AND(N3881&lt;= 30, S3881=9), N3881-28,AND(N3881&lt;= 11, S3881=10), N3881+2,AND(N3881&lt;= 21, S3881=10), N3881-11)</f>
        <v>2</v>
      </c>
    </row>
    <row r="3882" spans="1:22" x14ac:dyDescent="0.35">
      <c r="A3882" s="4">
        <v>45578</v>
      </c>
      <c r="B3882" s="5">
        <v>0.75819444444444439</v>
      </c>
      <c r="C3882">
        <v>74.5</v>
      </c>
      <c r="D3882">
        <v>71.900000000000006</v>
      </c>
      <c r="E3882">
        <v>71.8</v>
      </c>
      <c r="F3882">
        <v>72.2</v>
      </c>
      <c r="G3882">
        <v>0</v>
      </c>
      <c r="H3882">
        <v>0</v>
      </c>
      <c r="I3882">
        <v>0</v>
      </c>
      <c r="J3882">
        <v>0</v>
      </c>
      <c r="K3882">
        <v>64.2</v>
      </c>
      <c r="L3882">
        <v>64.099999999999994</v>
      </c>
      <c r="M3882">
        <v>72.61</v>
      </c>
      <c r="N3882">
        <v>13</v>
      </c>
      <c r="O3882">
        <v>5</v>
      </c>
      <c r="P3882">
        <f>MOD(DAY(datos_siembra[[#This Row],[Date]]),7)</f>
        <v>6</v>
      </c>
      <c r="Q3882" t="str">
        <f>CHOOSE(WEEKDAY(datos_siembra[[#This Row],[Date]],2),"L","M","X","J","V","S","D")</f>
        <v>D</v>
      </c>
      <c r="R3882">
        <f>WEEKNUM(datos_siembra[[#This Row],[Date]],2)-WEEKNUM(DATE(YEAR(datos_siembra[[#This Row],[Date]]),MONTH(datos_siembra[[#This Row],[Date]]),1))+1</f>
        <v>2</v>
      </c>
      <c r="S3882">
        <f>MONTH(datos_siembra[[#This Row],[Date]])</f>
        <v>10</v>
      </c>
      <c r="T3882" t="str" cm="1">
        <f t="array" ref="T3882">_xlfn.IFS(AND(N3882&lt;= 22, S3882=9), "SOWING",AND(N3882&lt;= 28, S3882=9), "COVERAGE",AND(N3882&lt;= 30, S3882=9), "FLUSH",AND(N3882&lt;= 11, S3882=10), "FLUSH",AND(N3882&lt;= 21, S3882=10), "PRODUCTION")</f>
        <v>PRODUCTION</v>
      </c>
      <c r="U3882">
        <f>HOUR(datos_siembra[[#This Row],[Hour]])</f>
        <v>18</v>
      </c>
      <c r="V3882" cm="1">
        <f t="array" ref="V3882">_xlfn.IFS(AND(N3882&lt;= 22, S3882=9), N3882-7,AND(N3882&lt;= 28, S3882=9), N3882-25,AND(N3882&lt;= 30, S3882=9), N3882-28,AND(N3882&lt;= 11, S3882=10), N3882+2,AND(N3882&lt;= 21, S3882=10), N3882-11)</f>
        <v>2</v>
      </c>
    </row>
    <row r="3883" spans="1:22" x14ac:dyDescent="0.35">
      <c r="A3883" s="4">
        <v>45578</v>
      </c>
      <c r="B3883" s="5">
        <v>0.76515046296296296</v>
      </c>
      <c r="C3883">
        <v>74.599999999999994</v>
      </c>
      <c r="D3883">
        <v>72.099999999999994</v>
      </c>
      <c r="E3883">
        <v>71.8</v>
      </c>
      <c r="F3883">
        <v>72.3</v>
      </c>
      <c r="G3883">
        <v>0</v>
      </c>
      <c r="H3883">
        <v>0</v>
      </c>
      <c r="I3883">
        <v>0</v>
      </c>
      <c r="J3883">
        <v>0</v>
      </c>
      <c r="K3883">
        <v>64.3</v>
      </c>
      <c r="L3883">
        <v>64.3</v>
      </c>
      <c r="M3883">
        <v>72.64</v>
      </c>
      <c r="N3883">
        <v>13</v>
      </c>
      <c r="O3883">
        <v>5</v>
      </c>
      <c r="P3883">
        <f>MOD(DAY(datos_siembra[[#This Row],[Date]]),7)</f>
        <v>6</v>
      </c>
      <c r="Q3883" t="str">
        <f>CHOOSE(WEEKDAY(datos_siembra[[#This Row],[Date]],2),"L","M","X","J","V","S","D")</f>
        <v>D</v>
      </c>
      <c r="R3883">
        <f>WEEKNUM(datos_siembra[[#This Row],[Date]],2)-WEEKNUM(DATE(YEAR(datos_siembra[[#This Row],[Date]]),MONTH(datos_siembra[[#This Row],[Date]]),1))+1</f>
        <v>2</v>
      </c>
      <c r="S3883">
        <f>MONTH(datos_siembra[[#This Row],[Date]])</f>
        <v>10</v>
      </c>
      <c r="T3883" t="str" cm="1">
        <f t="array" ref="T3883">_xlfn.IFS(AND(N3883&lt;= 22, S3883=9), "SOWING",AND(N3883&lt;= 28, S3883=9), "COVERAGE",AND(N3883&lt;= 30, S3883=9), "FLUSH",AND(N3883&lt;= 11, S3883=10), "FLUSH",AND(N3883&lt;= 21, S3883=10), "PRODUCTION")</f>
        <v>PRODUCTION</v>
      </c>
      <c r="U3883">
        <f>HOUR(datos_siembra[[#This Row],[Hour]])</f>
        <v>18</v>
      </c>
      <c r="V3883" cm="1">
        <f t="array" ref="V3883">_xlfn.IFS(AND(N3883&lt;= 22, S3883=9), N3883-7,AND(N3883&lt;= 28, S3883=9), N3883-25,AND(N3883&lt;= 30, S3883=9), N3883-28,AND(N3883&lt;= 11, S3883=10), N3883+2,AND(N3883&lt;= 21, S3883=10), N3883-11)</f>
        <v>2</v>
      </c>
    </row>
    <row r="3884" spans="1:22" x14ac:dyDescent="0.35">
      <c r="A3884" s="4">
        <v>45578</v>
      </c>
      <c r="B3884" s="5">
        <v>0.77209490740740738</v>
      </c>
      <c r="C3884">
        <v>74.5</v>
      </c>
      <c r="D3884">
        <v>72.099999999999994</v>
      </c>
      <c r="E3884">
        <v>71.8</v>
      </c>
      <c r="F3884">
        <v>72.2</v>
      </c>
      <c r="G3884">
        <v>0</v>
      </c>
      <c r="H3884">
        <v>0</v>
      </c>
      <c r="I3884">
        <v>0</v>
      </c>
      <c r="J3884">
        <v>0</v>
      </c>
      <c r="K3884">
        <v>64.3</v>
      </c>
      <c r="L3884">
        <v>64.3</v>
      </c>
      <c r="M3884">
        <v>72.67</v>
      </c>
      <c r="N3884">
        <v>13</v>
      </c>
      <c r="O3884">
        <v>5</v>
      </c>
      <c r="P3884">
        <f>MOD(DAY(datos_siembra[[#This Row],[Date]]),7)</f>
        <v>6</v>
      </c>
      <c r="Q3884" t="str">
        <f>CHOOSE(WEEKDAY(datos_siembra[[#This Row],[Date]],2),"L","M","X","J","V","S","D")</f>
        <v>D</v>
      </c>
      <c r="R3884">
        <f>WEEKNUM(datos_siembra[[#This Row],[Date]],2)-WEEKNUM(DATE(YEAR(datos_siembra[[#This Row],[Date]]),MONTH(datos_siembra[[#This Row],[Date]]),1))+1</f>
        <v>2</v>
      </c>
      <c r="S3884">
        <f>MONTH(datos_siembra[[#This Row],[Date]])</f>
        <v>10</v>
      </c>
      <c r="T3884" t="str" cm="1">
        <f t="array" ref="T3884">_xlfn.IFS(AND(N3884&lt;= 22, S3884=9), "SOWING",AND(N3884&lt;= 28, S3884=9), "COVERAGE",AND(N3884&lt;= 30, S3884=9), "FLUSH",AND(N3884&lt;= 11, S3884=10), "FLUSH",AND(N3884&lt;= 21, S3884=10), "PRODUCTION")</f>
        <v>PRODUCTION</v>
      </c>
      <c r="U3884">
        <f>HOUR(datos_siembra[[#This Row],[Hour]])</f>
        <v>18</v>
      </c>
      <c r="V3884" cm="1">
        <f t="array" ref="V3884">_xlfn.IFS(AND(N3884&lt;= 22, S3884=9), N3884-7,AND(N3884&lt;= 28, S3884=9), N3884-25,AND(N3884&lt;= 30, S3884=9), N3884-28,AND(N3884&lt;= 11, S3884=10), N3884+2,AND(N3884&lt;= 21, S3884=10), N3884-11)</f>
        <v>2</v>
      </c>
    </row>
    <row r="3885" spans="1:22" x14ac:dyDescent="0.35">
      <c r="A3885" s="4">
        <v>45578</v>
      </c>
      <c r="B3885" s="5">
        <v>0.7790393518518518</v>
      </c>
      <c r="C3885">
        <v>74.400000000000006</v>
      </c>
      <c r="D3885">
        <v>71.8</v>
      </c>
      <c r="E3885">
        <v>71.900000000000006</v>
      </c>
      <c r="F3885">
        <v>72.2</v>
      </c>
      <c r="G3885">
        <v>0</v>
      </c>
      <c r="H3885">
        <v>0</v>
      </c>
      <c r="I3885">
        <v>0</v>
      </c>
      <c r="J3885">
        <v>0</v>
      </c>
      <c r="K3885">
        <v>64.400000000000006</v>
      </c>
      <c r="L3885">
        <v>64.400000000000006</v>
      </c>
      <c r="M3885">
        <v>72.56</v>
      </c>
      <c r="N3885">
        <v>13</v>
      </c>
      <c r="O3885">
        <v>5</v>
      </c>
      <c r="P3885">
        <f>MOD(DAY(datos_siembra[[#This Row],[Date]]),7)</f>
        <v>6</v>
      </c>
      <c r="Q3885" t="str">
        <f>CHOOSE(WEEKDAY(datos_siembra[[#This Row],[Date]],2),"L","M","X","J","V","S","D")</f>
        <v>D</v>
      </c>
      <c r="R3885">
        <f>WEEKNUM(datos_siembra[[#This Row],[Date]],2)-WEEKNUM(DATE(YEAR(datos_siembra[[#This Row],[Date]]),MONTH(datos_siembra[[#This Row],[Date]]),1))+1</f>
        <v>2</v>
      </c>
      <c r="S3885">
        <f>MONTH(datos_siembra[[#This Row],[Date]])</f>
        <v>10</v>
      </c>
      <c r="T3885" t="str" cm="1">
        <f t="array" ref="T3885">_xlfn.IFS(AND(N3885&lt;= 22, S3885=9), "SOWING",AND(N3885&lt;= 28, S3885=9), "COVERAGE",AND(N3885&lt;= 30, S3885=9), "FLUSH",AND(N3885&lt;= 11, S3885=10), "FLUSH",AND(N3885&lt;= 21, S3885=10), "PRODUCTION")</f>
        <v>PRODUCTION</v>
      </c>
      <c r="U3885">
        <f>HOUR(datos_siembra[[#This Row],[Hour]])</f>
        <v>18</v>
      </c>
      <c r="V3885" cm="1">
        <f t="array" ref="V3885">_xlfn.IFS(AND(N3885&lt;= 22, S3885=9), N3885-7,AND(N3885&lt;= 28, S3885=9), N3885-25,AND(N3885&lt;= 30, S3885=9), N3885-28,AND(N3885&lt;= 11, S3885=10), N3885+2,AND(N3885&lt;= 21, S3885=10), N3885-11)</f>
        <v>2</v>
      </c>
    </row>
    <row r="3886" spans="1:22" x14ac:dyDescent="0.35">
      <c r="A3886" s="4">
        <v>45578</v>
      </c>
      <c r="B3886" s="5">
        <v>0.78599537037037037</v>
      </c>
      <c r="C3886">
        <v>74.5</v>
      </c>
      <c r="D3886">
        <v>71.900000000000006</v>
      </c>
      <c r="E3886">
        <v>71.8</v>
      </c>
      <c r="F3886">
        <v>72.3</v>
      </c>
      <c r="G3886">
        <v>0</v>
      </c>
      <c r="H3886">
        <v>0</v>
      </c>
      <c r="I3886">
        <v>0</v>
      </c>
      <c r="J3886">
        <v>0</v>
      </c>
      <c r="K3886">
        <v>64.400000000000006</v>
      </c>
      <c r="L3886">
        <v>64.400000000000006</v>
      </c>
      <c r="M3886">
        <v>72.64</v>
      </c>
      <c r="N3886">
        <v>13</v>
      </c>
      <c r="O3886">
        <v>5</v>
      </c>
      <c r="P3886">
        <f>MOD(DAY(datos_siembra[[#This Row],[Date]]),7)</f>
        <v>6</v>
      </c>
      <c r="Q3886" t="str">
        <f>CHOOSE(WEEKDAY(datos_siembra[[#This Row],[Date]],2),"L","M","X","J","V","S","D")</f>
        <v>D</v>
      </c>
      <c r="R3886">
        <f>WEEKNUM(datos_siembra[[#This Row],[Date]],2)-WEEKNUM(DATE(YEAR(datos_siembra[[#This Row],[Date]]),MONTH(datos_siembra[[#This Row],[Date]]),1))+1</f>
        <v>2</v>
      </c>
      <c r="S3886">
        <f>MONTH(datos_siembra[[#This Row],[Date]])</f>
        <v>10</v>
      </c>
      <c r="T3886" t="str" cm="1">
        <f t="array" ref="T3886">_xlfn.IFS(AND(N3886&lt;= 22, S3886=9), "SOWING",AND(N3886&lt;= 28, S3886=9), "COVERAGE",AND(N3886&lt;= 30, S3886=9), "FLUSH",AND(N3886&lt;= 11, S3886=10), "FLUSH",AND(N3886&lt;= 21, S3886=10), "PRODUCTION")</f>
        <v>PRODUCTION</v>
      </c>
      <c r="U3886">
        <f>HOUR(datos_siembra[[#This Row],[Hour]])</f>
        <v>18</v>
      </c>
      <c r="V3886" cm="1">
        <f t="array" ref="V3886">_xlfn.IFS(AND(N3886&lt;= 22, S3886=9), N3886-7,AND(N3886&lt;= 28, S3886=9), N3886-25,AND(N3886&lt;= 30, S3886=9), N3886-28,AND(N3886&lt;= 11, S3886=10), N3886+2,AND(N3886&lt;= 21, S3886=10), N3886-11)</f>
        <v>2</v>
      </c>
    </row>
    <row r="3887" spans="1:22" x14ac:dyDescent="0.35">
      <c r="A3887" s="4">
        <v>45578</v>
      </c>
      <c r="B3887" s="5">
        <v>0.79293981481481479</v>
      </c>
      <c r="C3887">
        <v>74.400000000000006</v>
      </c>
      <c r="D3887">
        <v>71.8</v>
      </c>
      <c r="E3887">
        <v>71.8</v>
      </c>
      <c r="F3887">
        <v>72.3</v>
      </c>
      <c r="G3887">
        <v>0</v>
      </c>
      <c r="H3887">
        <v>0</v>
      </c>
      <c r="I3887">
        <v>0</v>
      </c>
      <c r="J3887">
        <v>0</v>
      </c>
      <c r="K3887">
        <v>64.5</v>
      </c>
      <c r="L3887">
        <v>64.5</v>
      </c>
      <c r="M3887">
        <v>72.61</v>
      </c>
      <c r="N3887">
        <v>13</v>
      </c>
      <c r="O3887">
        <v>5</v>
      </c>
      <c r="P3887">
        <f>MOD(DAY(datos_siembra[[#This Row],[Date]]),7)</f>
        <v>6</v>
      </c>
      <c r="Q3887" t="str">
        <f>CHOOSE(WEEKDAY(datos_siembra[[#This Row],[Date]],2),"L","M","X","J","V","S","D")</f>
        <v>D</v>
      </c>
      <c r="R3887">
        <f>WEEKNUM(datos_siembra[[#This Row],[Date]],2)-WEEKNUM(DATE(YEAR(datos_siembra[[#This Row],[Date]]),MONTH(datos_siembra[[#This Row],[Date]]),1))+1</f>
        <v>2</v>
      </c>
      <c r="S3887">
        <f>MONTH(datos_siembra[[#This Row],[Date]])</f>
        <v>10</v>
      </c>
      <c r="T3887" t="str" cm="1">
        <f t="array" ref="T3887">_xlfn.IFS(AND(N3887&lt;= 22, S3887=9), "SOWING",AND(N3887&lt;= 28, S3887=9), "COVERAGE",AND(N3887&lt;= 30, S3887=9), "FLUSH",AND(N3887&lt;= 11, S3887=10), "FLUSH",AND(N3887&lt;= 21, S3887=10), "PRODUCTION")</f>
        <v>PRODUCTION</v>
      </c>
      <c r="U3887">
        <f>HOUR(datos_siembra[[#This Row],[Hour]])</f>
        <v>19</v>
      </c>
      <c r="V3887" cm="1">
        <f t="array" ref="V3887">_xlfn.IFS(AND(N3887&lt;= 22, S3887=9), N3887-7,AND(N3887&lt;= 28, S3887=9), N3887-25,AND(N3887&lt;= 30, S3887=9), N3887-28,AND(N3887&lt;= 11, S3887=10), N3887+2,AND(N3887&lt;= 21, S3887=10), N3887-11)</f>
        <v>2</v>
      </c>
    </row>
    <row r="3888" spans="1:22" x14ac:dyDescent="0.35">
      <c r="A3888" s="4">
        <v>45578</v>
      </c>
      <c r="B3888" s="5">
        <v>0.79988425925925921</v>
      </c>
      <c r="C3888">
        <v>74.3</v>
      </c>
      <c r="D3888">
        <v>71.900000000000006</v>
      </c>
      <c r="E3888">
        <v>71.900000000000006</v>
      </c>
      <c r="F3888">
        <v>72.400000000000006</v>
      </c>
      <c r="G3888">
        <v>0</v>
      </c>
      <c r="H3888">
        <v>0</v>
      </c>
      <c r="I3888">
        <v>0</v>
      </c>
      <c r="J3888">
        <v>0</v>
      </c>
      <c r="K3888">
        <v>64.5</v>
      </c>
      <c r="L3888">
        <v>64.5</v>
      </c>
      <c r="M3888">
        <v>72.64</v>
      </c>
      <c r="N3888">
        <v>13</v>
      </c>
      <c r="O3888">
        <v>5</v>
      </c>
      <c r="P3888">
        <f>MOD(DAY(datos_siembra[[#This Row],[Date]]),7)</f>
        <v>6</v>
      </c>
      <c r="Q3888" t="str">
        <f>CHOOSE(WEEKDAY(datos_siembra[[#This Row],[Date]],2),"L","M","X","J","V","S","D")</f>
        <v>D</v>
      </c>
      <c r="R3888">
        <f>WEEKNUM(datos_siembra[[#This Row],[Date]],2)-WEEKNUM(DATE(YEAR(datos_siembra[[#This Row],[Date]]),MONTH(datos_siembra[[#This Row],[Date]]),1))+1</f>
        <v>2</v>
      </c>
      <c r="S3888">
        <f>MONTH(datos_siembra[[#This Row],[Date]])</f>
        <v>10</v>
      </c>
      <c r="T3888" t="str" cm="1">
        <f t="array" ref="T3888">_xlfn.IFS(AND(N3888&lt;= 22, S3888=9), "SOWING",AND(N3888&lt;= 28, S3888=9), "COVERAGE",AND(N3888&lt;= 30, S3888=9), "FLUSH",AND(N3888&lt;= 11, S3888=10), "FLUSH",AND(N3888&lt;= 21, S3888=10), "PRODUCTION")</f>
        <v>PRODUCTION</v>
      </c>
      <c r="U3888">
        <f>HOUR(datos_siembra[[#This Row],[Hour]])</f>
        <v>19</v>
      </c>
      <c r="V3888" cm="1">
        <f t="array" ref="V3888">_xlfn.IFS(AND(N3888&lt;= 22, S3888=9), N3888-7,AND(N3888&lt;= 28, S3888=9), N3888-25,AND(N3888&lt;= 30, S3888=9), N3888-28,AND(N3888&lt;= 11, S3888=10), N3888+2,AND(N3888&lt;= 21, S3888=10), N3888-11)</f>
        <v>2</v>
      </c>
    </row>
    <row r="3889" spans="1:22" x14ac:dyDescent="0.35">
      <c r="A3889" s="4">
        <v>45578</v>
      </c>
      <c r="B3889" s="5">
        <v>0.80682870370370374</v>
      </c>
      <c r="C3889">
        <v>74.3</v>
      </c>
      <c r="D3889">
        <v>71.900000000000006</v>
      </c>
      <c r="E3889">
        <v>71.7</v>
      </c>
      <c r="F3889">
        <v>72.3</v>
      </c>
      <c r="G3889">
        <v>0</v>
      </c>
      <c r="H3889">
        <v>0</v>
      </c>
      <c r="I3889">
        <v>0</v>
      </c>
      <c r="J3889">
        <v>0</v>
      </c>
      <c r="K3889">
        <v>64.5</v>
      </c>
      <c r="L3889">
        <v>64.400000000000006</v>
      </c>
      <c r="M3889">
        <v>72.61</v>
      </c>
      <c r="N3889">
        <v>13</v>
      </c>
      <c r="O3889">
        <v>5</v>
      </c>
      <c r="P3889">
        <f>MOD(DAY(datos_siembra[[#This Row],[Date]]),7)</f>
        <v>6</v>
      </c>
      <c r="Q3889" t="str">
        <f>CHOOSE(WEEKDAY(datos_siembra[[#This Row],[Date]],2),"L","M","X","J","V","S","D")</f>
        <v>D</v>
      </c>
      <c r="R3889">
        <f>WEEKNUM(datos_siembra[[#This Row],[Date]],2)-WEEKNUM(DATE(YEAR(datos_siembra[[#This Row],[Date]]),MONTH(datos_siembra[[#This Row],[Date]]),1))+1</f>
        <v>2</v>
      </c>
      <c r="S3889">
        <f>MONTH(datos_siembra[[#This Row],[Date]])</f>
        <v>10</v>
      </c>
      <c r="T3889" t="str" cm="1">
        <f t="array" ref="T3889">_xlfn.IFS(AND(N3889&lt;= 22, S3889=9), "SOWING",AND(N3889&lt;= 28, S3889=9), "COVERAGE",AND(N3889&lt;= 30, S3889=9), "FLUSH",AND(N3889&lt;= 11, S3889=10), "FLUSH",AND(N3889&lt;= 21, S3889=10), "PRODUCTION")</f>
        <v>PRODUCTION</v>
      </c>
      <c r="U3889">
        <f>HOUR(datos_siembra[[#This Row],[Hour]])</f>
        <v>19</v>
      </c>
      <c r="V3889" cm="1">
        <f t="array" ref="V3889">_xlfn.IFS(AND(N3889&lt;= 22, S3889=9), N3889-7,AND(N3889&lt;= 28, S3889=9), N3889-25,AND(N3889&lt;= 30, S3889=9), N3889-28,AND(N3889&lt;= 11, S3889=10), N3889+2,AND(N3889&lt;= 21, S3889=10), N3889-11)</f>
        <v>2</v>
      </c>
    </row>
    <row r="3890" spans="1:22" x14ac:dyDescent="0.35">
      <c r="A3890" s="4">
        <v>45578</v>
      </c>
      <c r="B3890" s="5">
        <v>0.8137847222222222</v>
      </c>
      <c r="C3890">
        <v>74.3</v>
      </c>
      <c r="D3890">
        <v>71.900000000000006</v>
      </c>
      <c r="E3890">
        <v>71.8</v>
      </c>
      <c r="F3890">
        <v>72.400000000000006</v>
      </c>
      <c r="G3890">
        <v>0</v>
      </c>
      <c r="H3890">
        <v>0</v>
      </c>
      <c r="I3890">
        <v>0</v>
      </c>
      <c r="J3890">
        <v>0</v>
      </c>
      <c r="K3890">
        <v>63.6</v>
      </c>
      <c r="L3890">
        <v>63.4</v>
      </c>
      <c r="M3890">
        <v>72.56</v>
      </c>
      <c r="N3890">
        <v>13</v>
      </c>
      <c r="O3890">
        <v>5</v>
      </c>
      <c r="P3890">
        <f>MOD(DAY(datos_siembra[[#This Row],[Date]]),7)</f>
        <v>6</v>
      </c>
      <c r="Q3890" t="str">
        <f>CHOOSE(WEEKDAY(datos_siembra[[#This Row],[Date]],2),"L","M","X","J","V","S","D")</f>
        <v>D</v>
      </c>
      <c r="R3890">
        <f>WEEKNUM(datos_siembra[[#This Row],[Date]],2)-WEEKNUM(DATE(YEAR(datos_siembra[[#This Row],[Date]]),MONTH(datos_siembra[[#This Row],[Date]]),1))+1</f>
        <v>2</v>
      </c>
      <c r="S3890">
        <f>MONTH(datos_siembra[[#This Row],[Date]])</f>
        <v>10</v>
      </c>
      <c r="T3890" t="str" cm="1">
        <f t="array" ref="T3890">_xlfn.IFS(AND(N3890&lt;= 22, S3890=9), "SOWING",AND(N3890&lt;= 28, S3890=9), "COVERAGE",AND(N3890&lt;= 30, S3890=9), "FLUSH",AND(N3890&lt;= 11, S3890=10), "FLUSH",AND(N3890&lt;= 21, S3890=10), "PRODUCTION")</f>
        <v>PRODUCTION</v>
      </c>
      <c r="U3890">
        <f>HOUR(datos_siembra[[#This Row],[Hour]])</f>
        <v>19</v>
      </c>
      <c r="V3890" cm="1">
        <f t="array" ref="V3890">_xlfn.IFS(AND(N3890&lt;= 22, S3890=9), N3890-7,AND(N3890&lt;= 28, S3890=9), N3890-25,AND(N3890&lt;= 30, S3890=9), N3890-28,AND(N3890&lt;= 11, S3890=10), N3890+2,AND(N3890&lt;= 21, S3890=10), N3890-11)</f>
        <v>2</v>
      </c>
    </row>
    <row r="3891" spans="1:22" x14ac:dyDescent="0.35">
      <c r="A3891" s="4">
        <v>45578</v>
      </c>
      <c r="B3891" s="5">
        <v>0.82072916666666662</v>
      </c>
      <c r="C3891">
        <v>74.3</v>
      </c>
      <c r="D3891">
        <v>71.900000000000006</v>
      </c>
      <c r="E3891">
        <v>71.8</v>
      </c>
      <c r="F3891">
        <v>72.599999999999994</v>
      </c>
      <c r="G3891">
        <v>0</v>
      </c>
      <c r="H3891">
        <v>0</v>
      </c>
      <c r="I3891">
        <v>0</v>
      </c>
      <c r="J3891">
        <v>0</v>
      </c>
      <c r="K3891">
        <v>63.3</v>
      </c>
      <c r="L3891">
        <v>63</v>
      </c>
      <c r="M3891">
        <v>72.64</v>
      </c>
      <c r="N3891">
        <v>13</v>
      </c>
      <c r="O3891">
        <v>5</v>
      </c>
      <c r="P3891">
        <f>MOD(DAY(datos_siembra[[#This Row],[Date]]),7)</f>
        <v>6</v>
      </c>
      <c r="Q3891" t="str">
        <f>CHOOSE(WEEKDAY(datos_siembra[[#This Row],[Date]],2),"L","M","X","J","V","S","D")</f>
        <v>D</v>
      </c>
      <c r="R3891">
        <f>WEEKNUM(datos_siembra[[#This Row],[Date]],2)-WEEKNUM(DATE(YEAR(datos_siembra[[#This Row],[Date]]),MONTH(datos_siembra[[#This Row],[Date]]),1))+1</f>
        <v>2</v>
      </c>
      <c r="S3891">
        <f>MONTH(datos_siembra[[#This Row],[Date]])</f>
        <v>10</v>
      </c>
      <c r="T3891" t="str" cm="1">
        <f t="array" ref="T3891">_xlfn.IFS(AND(N3891&lt;= 22, S3891=9), "SOWING",AND(N3891&lt;= 28, S3891=9), "COVERAGE",AND(N3891&lt;= 30, S3891=9), "FLUSH",AND(N3891&lt;= 11, S3891=10), "FLUSH",AND(N3891&lt;= 21, S3891=10), "PRODUCTION")</f>
        <v>PRODUCTION</v>
      </c>
      <c r="U3891">
        <f>HOUR(datos_siembra[[#This Row],[Hour]])</f>
        <v>19</v>
      </c>
      <c r="V3891" cm="1">
        <f t="array" ref="V3891">_xlfn.IFS(AND(N3891&lt;= 22, S3891=9), N3891-7,AND(N3891&lt;= 28, S3891=9), N3891-25,AND(N3891&lt;= 30, S3891=9), N3891-28,AND(N3891&lt;= 11, S3891=10), N3891+2,AND(N3891&lt;= 21, S3891=10), N3891-11)</f>
        <v>2</v>
      </c>
    </row>
    <row r="3892" spans="1:22" x14ac:dyDescent="0.35">
      <c r="A3892" s="4">
        <v>45578</v>
      </c>
      <c r="B3892" s="5">
        <v>0.82767361111111115</v>
      </c>
      <c r="C3892">
        <v>74.2</v>
      </c>
      <c r="D3892">
        <v>72.099999999999994</v>
      </c>
      <c r="E3892">
        <v>71.8</v>
      </c>
      <c r="F3892">
        <v>72.599999999999994</v>
      </c>
      <c r="G3892">
        <v>0</v>
      </c>
      <c r="H3892">
        <v>0</v>
      </c>
      <c r="I3892">
        <v>0</v>
      </c>
      <c r="J3892">
        <v>0</v>
      </c>
      <c r="K3892">
        <v>63</v>
      </c>
      <c r="L3892">
        <v>62.8</v>
      </c>
      <c r="M3892">
        <v>72.67</v>
      </c>
      <c r="N3892">
        <v>13</v>
      </c>
      <c r="O3892">
        <v>5</v>
      </c>
      <c r="P3892">
        <f>MOD(DAY(datos_siembra[[#This Row],[Date]]),7)</f>
        <v>6</v>
      </c>
      <c r="Q3892" t="str">
        <f>CHOOSE(WEEKDAY(datos_siembra[[#This Row],[Date]],2),"L","M","X","J","V","S","D")</f>
        <v>D</v>
      </c>
      <c r="R3892">
        <f>WEEKNUM(datos_siembra[[#This Row],[Date]],2)-WEEKNUM(DATE(YEAR(datos_siembra[[#This Row],[Date]]),MONTH(datos_siembra[[#This Row],[Date]]),1))+1</f>
        <v>2</v>
      </c>
      <c r="S3892">
        <f>MONTH(datos_siembra[[#This Row],[Date]])</f>
        <v>10</v>
      </c>
      <c r="T3892" t="str" cm="1">
        <f t="array" ref="T3892">_xlfn.IFS(AND(N3892&lt;= 22, S3892=9), "SOWING",AND(N3892&lt;= 28, S3892=9), "COVERAGE",AND(N3892&lt;= 30, S3892=9), "FLUSH",AND(N3892&lt;= 11, S3892=10), "FLUSH",AND(N3892&lt;= 21, S3892=10), "PRODUCTION")</f>
        <v>PRODUCTION</v>
      </c>
      <c r="U3892">
        <f>HOUR(datos_siembra[[#This Row],[Hour]])</f>
        <v>19</v>
      </c>
      <c r="V3892" cm="1">
        <f t="array" ref="V3892">_xlfn.IFS(AND(N3892&lt;= 22, S3892=9), N3892-7,AND(N3892&lt;= 28, S3892=9), N3892-25,AND(N3892&lt;= 30, S3892=9), N3892-28,AND(N3892&lt;= 11, S3892=10), N3892+2,AND(N3892&lt;= 21, S3892=10), N3892-11)</f>
        <v>2</v>
      </c>
    </row>
    <row r="3893" spans="1:22" x14ac:dyDescent="0.35">
      <c r="A3893" s="4">
        <v>45578</v>
      </c>
      <c r="B3893" s="5">
        <v>0.83462962962962961</v>
      </c>
      <c r="C3893">
        <v>74.2</v>
      </c>
      <c r="D3893">
        <v>71.900000000000006</v>
      </c>
      <c r="E3893">
        <v>71.8</v>
      </c>
      <c r="F3893">
        <v>72.7</v>
      </c>
      <c r="G3893">
        <v>0</v>
      </c>
      <c r="H3893">
        <v>0</v>
      </c>
      <c r="I3893">
        <v>0</v>
      </c>
      <c r="J3893">
        <v>0</v>
      </c>
      <c r="K3893">
        <v>62.9</v>
      </c>
      <c r="L3893">
        <v>62.6</v>
      </c>
      <c r="M3893">
        <v>72.67</v>
      </c>
      <c r="N3893">
        <v>13</v>
      </c>
      <c r="O3893">
        <v>5</v>
      </c>
      <c r="P3893">
        <f>MOD(DAY(datos_siembra[[#This Row],[Date]]),7)</f>
        <v>6</v>
      </c>
      <c r="Q3893" t="str">
        <f>CHOOSE(WEEKDAY(datos_siembra[[#This Row],[Date]],2),"L","M","X","J","V","S","D")</f>
        <v>D</v>
      </c>
      <c r="R3893">
        <f>WEEKNUM(datos_siembra[[#This Row],[Date]],2)-WEEKNUM(DATE(YEAR(datos_siembra[[#This Row],[Date]]),MONTH(datos_siembra[[#This Row],[Date]]),1))+1</f>
        <v>2</v>
      </c>
      <c r="S3893">
        <f>MONTH(datos_siembra[[#This Row],[Date]])</f>
        <v>10</v>
      </c>
      <c r="T3893" t="str" cm="1">
        <f t="array" ref="T3893">_xlfn.IFS(AND(N3893&lt;= 22, S3893=9), "SOWING",AND(N3893&lt;= 28, S3893=9), "COVERAGE",AND(N3893&lt;= 30, S3893=9), "FLUSH",AND(N3893&lt;= 11, S3893=10), "FLUSH",AND(N3893&lt;= 21, S3893=10), "PRODUCTION")</f>
        <v>PRODUCTION</v>
      </c>
      <c r="U3893">
        <f>HOUR(datos_siembra[[#This Row],[Hour]])</f>
        <v>20</v>
      </c>
      <c r="V3893" cm="1">
        <f t="array" ref="V3893">_xlfn.IFS(AND(N3893&lt;= 22, S3893=9), N3893-7,AND(N3893&lt;= 28, S3893=9), N3893-25,AND(N3893&lt;= 30, S3893=9), N3893-28,AND(N3893&lt;= 11, S3893=10), N3893+2,AND(N3893&lt;= 21, S3893=10), N3893-11)</f>
        <v>2</v>
      </c>
    </row>
    <row r="3894" spans="1:22" x14ac:dyDescent="0.35">
      <c r="A3894" s="4">
        <v>45578</v>
      </c>
      <c r="B3894" s="5">
        <v>0.84157407407407403</v>
      </c>
      <c r="C3894">
        <v>74.2</v>
      </c>
      <c r="D3894">
        <v>71.900000000000006</v>
      </c>
      <c r="E3894">
        <v>71.7</v>
      </c>
      <c r="F3894">
        <v>72.8</v>
      </c>
      <c r="G3894">
        <v>0</v>
      </c>
      <c r="H3894">
        <v>0</v>
      </c>
      <c r="I3894">
        <v>0</v>
      </c>
      <c r="J3894">
        <v>0</v>
      </c>
      <c r="K3894">
        <v>62.8</v>
      </c>
      <c r="L3894">
        <v>62.6</v>
      </c>
      <c r="M3894">
        <v>72.61</v>
      </c>
      <c r="N3894">
        <v>13</v>
      </c>
      <c r="O3894">
        <v>5</v>
      </c>
      <c r="P3894">
        <f>MOD(DAY(datos_siembra[[#This Row],[Date]]),7)</f>
        <v>6</v>
      </c>
      <c r="Q3894" t="str">
        <f>CHOOSE(WEEKDAY(datos_siembra[[#This Row],[Date]],2),"L","M","X","J","V","S","D")</f>
        <v>D</v>
      </c>
      <c r="R3894">
        <f>WEEKNUM(datos_siembra[[#This Row],[Date]],2)-WEEKNUM(DATE(YEAR(datos_siembra[[#This Row],[Date]]),MONTH(datos_siembra[[#This Row],[Date]]),1))+1</f>
        <v>2</v>
      </c>
      <c r="S3894">
        <f>MONTH(datos_siembra[[#This Row],[Date]])</f>
        <v>10</v>
      </c>
      <c r="T3894" t="str" cm="1">
        <f t="array" ref="T3894">_xlfn.IFS(AND(N3894&lt;= 22, S3894=9), "SOWING",AND(N3894&lt;= 28, S3894=9), "COVERAGE",AND(N3894&lt;= 30, S3894=9), "FLUSH",AND(N3894&lt;= 11, S3894=10), "FLUSH",AND(N3894&lt;= 21, S3894=10), "PRODUCTION")</f>
        <v>PRODUCTION</v>
      </c>
      <c r="U3894">
        <f>HOUR(datos_siembra[[#This Row],[Hour]])</f>
        <v>20</v>
      </c>
      <c r="V3894" cm="1">
        <f t="array" ref="V3894">_xlfn.IFS(AND(N3894&lt;= 22, S3894=9), N3894-7,AND(N3894&lt;= 28, S3894=9), N3894-25,AND(N3894&lt;= 30, S3894=9), N3894-28,AND(N3894&lt;= 11, S3894=10), N3894+2,AND(N3894&lt;= 21, S3894=10), N3894-11)</f>
        <v>2</v>
      </c>
    </row>
    <row r="3895" spans="1:22" x14ac:dyDescent="0.35">
      <c r="A3895" s="4">
        <v>45578</v>
      </c>
      <c r="B3895" s="5">
        <v>0.84851851851851856</v>
      </c>
      <c r="C3895">
        <v>74.099999999999994</v>
      </c>
      <c r="D3895">
        <v>71.8</v>
      </c>
      <c r="E3895">
        <v>71.8</v>
      </c>
      <c r="F3895">
        <v>73</v>
      </c>
      <c r="G3895">
        <v>0</v>
      </c>
      <c r="H3895">
        <v>0</v>
      </c>
      <c r="I3895">
        <v>0</v>
      </c>
      <c r="J3895">
        <v>0</v>
      </c>
      <c r="K3895">
        <v>63.4</v>
      </c>
      <c r="L3895">
        <v>63.3</v>
      </c>
      <c r="M3895">
        <v>72.64</v>
      </c>
      <c r="N3895">
        <v>13</v>
      </c>
      <c r="O3895">
        <v>5</v>
      </c>
      <c r="P3895">
        <f>MOD(DAY(datos_siembra[[#This Row],[Date]]),7)</f>
        <v>6</v>
      </c>
      <c r="Q3895" t="str">
        <f>CHOOSE(WEEKDAY(datos_siembra[[#This Row],[Date]],2),"L","M","X","J","V","S","D")</f>
        <v>D</v>
      </c>
      <c r="R3895">
        <f>WEEKNUM(datos_siembra[[#This Row],[Date]],2)-WEEKNUM(DATE(YEAR(datos_siembra[[#This Row],[Date]]),MONTH(datos_siembra[[#This Row],[Date]]),1))+1</f>
        <v>2</v>
      </c>
      <c r="S3895">
        <f>MONTH(datos_siembra[[#This Row],[Date]])</f>
        <v>10</v>
      </c>
      <c r="T3895" t="str" cm="1">
        <f t="array" ref="T3895">_xlfn.IFS(AND(N3895&lt;= 22, S3895=9), "SOWING",AND(N3895&lt;= 28, S3895=9), "COVERAGE",AND(N3895&lt;= 30, S3895=9), "FLUSH",AND(N3895&lt;= 11, S3895=10), "FLUSH",AND(N3895&lt;= 21, S3895=10), "PRODUCTION")</f>
        <v>PRODUCTION</v>
      </c>
      <c r="U3895">
        <f>HOUR(datos_siembra[[#This Row],[Hour]])</f>
        <v>20</v>
      </c>
      <c r="V3895" cm="1">
        <f t="array" ref="V3895">_xlfn.IFS(AND(N3895&lt;= 22, S3895=9), N3895-7,AND(N3895&lt;= 28, S3895=9), N3895-25,AND(N3895&lt;= 30, S3895=9), N3895-28,AND(N3895&lt;= 11, S3895=10), N3895+2,AND(N3895&lt;= 21, S3895=10), N3895-11)</f>
        <v>2</v>
      </c>
    </row>
    <row r="3896" spans="1:22" x14ac:dyDescent="0.35">
      <c r="A3896" s="4">
        <v>45578</v>
      </c>
      <c r="B3896" s="5">
        <v>0.85546296296296298</v>
      </c>
      <c r="C3896">
        <v>74.2</v>
      </c>
      <c r="D3896">
        <v>71.900000000000006</v>
      </c>
      <c r="E3896">
        <v>71.7</v>
      </c>
      <c r="F3896">
        <v>72.8</v>
      </c>
      <c r="G3896">
        <v>0</v>
      </c>
      <c r="H3896">
        <v>0</v>
      </c>
      <c r="I3896">
        <v>0</v>
      </c>
      <c r="J3896">
        <v>0</v>
      </c>
      <c r="K3896">
        <v>63.8</v>
      </c>
      <c r="L3896">
        <v>63.8</v>
      </c>
      <c r="M3896">
        <v>72.7</v>
      </c>
      <c r="N3896">
        <v>13</v>
      </c>
      <c r="O3896">
        <v>5</v>
      </c>
      <c r="P3896">
        <f>MOD(DAY(datos_siembra[[#This Row],[Date]]),7)</f>
        <v>6</v>
      </c>
      <c r="Q3896" t="str">
        <f>CHOOSE(WEEKDAY(datos_siembra[[#This Row],[Date]],2),"L","M","X","J","V","S","D")</f>
        <v>D</v>
      </c>
      <c r="R3896">
        <f>WEEKNUM(datos_siembra[[#This Row],[Date]],2)-WEEKNUM(DATE(YEAR(datos_siembra[[#This Row],[Date]]),MONTH(datos_siembra[[#This Row],[Date]]),1))+1</f>
        <v>2</v>
      </c>
      <c r="S3896">
        <f>MONTH(datos_siembra[[#This Row],[Date]])</f>
        <v>10</v>
      </c>
      <c r="T3896" t="str" cm="1">
        <f t="array" ref="T3896">_xlfn.IFS(AND(N3896&lt;= 22, S3896=9), "SOWING",AND(N3896&lt;= 28, S3896=9), "COVERAGE",AND(N3896&lt;= 30, S3896=9), "FLUSH",AND(N3896&lt;= 11, S3896=10), "FLUSH",AND(N3896&lt;= 21, S3896=10), "PRODUCTION")</f>
        <v>PRODUCTION</v>
      </c>
      <c r="U3896">
        <f>HOUR(datos_siembra[[#This Row],[Hour]])</f>
        <v>20</v>
      </c>
      <c r="V3896" cm="1">
        <f t="array" ref="V3896">_xlfn.IFS(AND(N3896&lt;= 22, S3896=9), N3896-7,AND(N3896&lt;= 28, S3896=9), N3896-25,AND(N3896&lt;= 30, S3896=9), N3896-28,AND(N3896&lt;= 11, S3896=10), N3896+2,AND(N3896&lt;= 21, S3896=10), N3896-11)</f>
        <v>2</v>
      </c>
    </row>
    <row r="3897" spans="1:22" x14ac:dyDescent="0.35">
      <c r="A3897" s="4">
        <v>45578</v>
      </c>
      <c r="B3897" s="5">
        <v>0.86241898148148144</v>
      </c>
      <c r="C3897">
        <v>74.099999999999994</v>
      </c>
      <c r="D3897">
        <v>71.900000000000006</v>
      </c>
      <c r="E3897">
        <v>71.8</v>
      </c>
      <c r="F3897">
        <v>73.099999999999994</v>
      </c>
      <c r="G3897">
        <v>0</v>
      </c>
      <c r="H3897">
        <v>0</v>
      </c>
      <c r="I3897">
        <v>0</v>
      </c>
      <c r="J3897">
        <v>0</v>
      </c>
      <c r="K3897">
        <v>63.9</v>
      </c>
      <c r="L3897">
        <v>63.8</v>
      </c>
      <c r="M3897">
        <v>72.67</v>
      </c>
      <c r="N3897">
        <v>13</v>
      </c>
      <c r="O3897">
        <v>5</v>
      </c>
      <c r="P3897">
        <f>MOD(DAY(datos_siembra[[#This Row],[Date]]),7)</f>
        <v>6</v>
      </c>
      <c r="Q3897" t="str">
        <f>CHOOSE(WEEKDAY(datos_siembra[[#This Row],[Date]],2),"L","M","X","J","V","S","D")</f>
        <v>D</v>
      </c>
      <c r="R3897">
        <f>WEEKNUM(datos_siembra[[#This Row],[Date]],2)-WEEKNUM(DATE(YEAR(datos_siembra[[#This Row],[Date]]),MONTH(datos_siembra[[#This Row],[Date]]),1))+1</f>
        <v>2</v>
      </c>
      <c r="S3897">
        <f>MONTH(datos_siembra[[#This Row],[Date]])</f>
        <v>10</v>
      </c>
      <c r="T3897" t="str" cm="1">
        <f t="array" ref="T3897">_xlfn.IFS(AND(N3897&lt;= 22, S3897=9), "SOWING",AND(N3897&lt;= 28, S3897=9), "COVERAGE",AND(N3897&lt;= 30, S3897=9), "FLUSH",AND(N3897&lt;= 11, S3897=10), "FLUSH",AND(N3897&lt;= 21, S3897=10), "PRODUCTION")</f>
        <v>PRODUCTION</v>
      </c>
      <c r="U3897">
        <f>HOUR(datos_siembra[[#This Row],[Hour]])</f>
        <v>20</v>
      </c>
      <c r="V3897" cm="1">
        <f t="array" ref="V3897">_xlfn.IFS(AND(N3897&lt;= 22, S3897=9), N3897-7,AND(N3897&lt;= 28, S3897=9), N3897-25,AND(N3897&lt;= 30, S3897=9), N3897-28,AND(N3897&lt;= 11, S3897=10), N3897+2,AND(N3897&lt;= 21, S3897=10), N3897-11)</f>
        <v>2</v>
      </c>
    </row>
    <row r="3898" spans="1:22" x14ac:dyDescent="0.35">
      <c r="A3898" s="4">
        <v>45578</v>
      </c>
      <c r="B3898" s="5">
        <v>0.86936342592592597</v>
      </c>
      <c r="C3898">
        <v>74</v>
      </c>
      <c r="D3898">
        <v>72.099999999999994</v>
      </c>
      <c r="E3898">
        <v>71.599999999999994</v>
      </c>
      <c r="F3898">
        <v>73.099999999999994</v>
      </c>
      <c r="G3898">
        <v>0</v>
      </c>
      <c r="H3898">
        <v>0</v>
      </c>
      <c r="I3898">
        <v>0</v>
      </c>
      <c r="J3898">
        <v>0</v>
      </c>
      <c r="K3898">
        <v>64.2</v>
      </c>
      <c r="L3898">
        <v>64.099999999999994</v>
      </c>
      <c r="M3898">
        <v>72.61</v>
      </c>
      <c r="N3898">
        <v>13</v>
      </c>
      <c r="O3898">
        <v>5</v>
      </c>
      <c r="P3898">
        <f>MOD(DAY(datos_siembra[[#This Row],[Date]]),7)</f>
        <v>6</v>
      </c>
      <c r="Q3898" t="str">
        <f>CHOOSE(WEEKDAY(datos_siembra[[#This Row],[Date]],2),"L","M","X","J","V","S","D")</f>
        <v>D</v>
      </c>
      <c r="R3898">
        <f>WEEKNUM(datos_siembra[[#This Row],[Date]],2)-WEEKNUM(DATE(YEAR(datos_siembra[[#This Row],[Date]]),MONTH(datos_siembra[[#This Row],[Date]]),1))+1</f>
        <v>2</v>
      </c>
      <c r="S3898">
        <f>MONTH(datos_siembra[[#This Row],[Date]])</f>
        <v>10</v>
      </c>
      <c r="T3898" t="str" cm="1">
        <f t="array" ref="T3898">_xlfn.IFS(AND(N3898&lt;= 22, S3898=9), "SOWING",AND(N3898&lt;= 28, S3898=9), "COVERAGE",AND(N3898&lt;= 30, S3898=9), "FLUSH",AND(N3898&lt;= 11, S3898=10), "FLUSH",AND(N3898&lt;= 21, S3898=10), "PRODUCTION")</f>
        <v>PRODUCTION</v>
      </c>
      <c r="U3898">
        <f>HOUR(datos_siembra[[#This Row],[Hour]])</f>
        <v>20</v>
      </c>
      <c r="V3898" cm="1">
        <f t="array" ref="V3898">_xlfn.IFS(AND(N3898&lt;= 22, S3898=9), N3898-7,AND(N3898&lt;= 28, S3898=9), N3898-25,AND(N3898&lt;= 30, S3898=9), N3898-28,AND(N3898&lt;= 11, S3898=10), N3898+2,AND(N3898&lt;= 21, S3898=10), N3898-11)</f>
        <v>2</v>
      </c>
    </row>
    <row r="3899" spans="1:22" x14ac:dyDescent="0.35">
      <c r="A3899" s="4">
        <v>45578</v>
      </c>
      <c r="B3899" s="5">
        <v>0.87630787037037039</v>
      </c>
      <c r="C3899">
        <v>74.099999999999994</v>
      </c>
      <c r="D3899">
        <v>71.599999999999994</v>
      </c>
      <c r="E3899">
        <v>71.599999999999994</v>
      </c>
      <c r="F3899">
        <v>73.099999999999994</v>
      </c>
      <c r="G3899">
        <v>0</v>
      </c>
      <c r="H3899">
        <v>0</v>
      </c>
      <c r="I3899">
        <v>0</v>
      </c>
      <c r="J3899">
        <v>0</v>
      </c>
      <c r="K3899">
        <v>64.2</v>
      </c>
      <c r="L3899">
        <v>63.9</v>
      </c>
      <c r="M3899">
        <v>72.72</v>
      </c>
      <c r="N3899">
        <v>13</v>
      </c>
      <c r="O3899">
        <v>5</v>
      </c>
      <c r="P3899">
        <f>MOD(DAY(datos_siembra[[#This Row],[Date]]),7)</f>
        <v>6</v>
      </c>
      <c r="Q3899" t="str">
        <f>CHOOSE(WEEKDAY(datos_siembra[[#This Row],[Date]],2),"L","M","X","J","V","S","D")</f>
        <v>D</v>
      </c>
      <c r="R3899">
        <f>WEEKNUM(datos_siembra[[#This Row],[Date]],2)-WEEKNUM(DATE(YEAR(datos_siembra[[#This Row],[Date]]),MONTH(datos_siembra[[#This Row],[Date]]),1))+1</f>
        <v>2</v>
      </c>
      <c r="S3899">
        <f>MONTH(datos_siembra[[#This Row],[Date]])</f>
        <v>10</v>
      </c>
      <c r="T3899" t="str" cm="1">
        <f t="array" ref="T3899">_xlfn.IFS(AND(N3899&lt;= 22, S3899=9), "SOWING",AND(N3899&lt;= 28, S3899=9), "COVERAGE",AND(N3899&lt;= 30, S3899=9), "FLUSH",AND(N3899&lt;= 11, S3899=10), "FLUSH",AND(N3899&lt;= 21, S3899=10), "PRODUCTION")</f>
        <v>PRODUCTION</v>
      </c>
      <c r="U3899">
        <f>HOUR(datos_siembra[[#This Row],[Hour]])</f>
        <v>21</v>
      </c>
      <c r="V3899" cm="1">
        <f t="array" ref="V3899">_xlfn.IFS(AND(N3899&lt;= 22, S3899=9), N3899-7,AND(N3899&lt;= 28, S3899=9), N3899-25,AND(N3899&lt;= 30, S3899=9), N3899-28,AND(N3899&lt;= 11, S3899=10), N3899+2,AND(N3899&lt;= 21, S3899=10), N3899-11)</f>
        <v>2</v>
      </c>
    </row>
    <row r="3900" spans="1:22" x14ac:dyDescent="0.35">
      <c r="A3900" s="4">
        <v>45578</v>
      </c>
      <c r="B3900" s="5">
        <v>0.88326388888888885</v>
      </c>
      <c r="C3900">
        <v>73.900000000000006</v>
      </c>
      <c r="D3900">
        <v>72.099999999999994</v>
      </c>
      <c r="E3900">
        <v>71.599999999999994</v>
      </c>
      <c r="F3900">
        <v>73.2</v>
      </c>
      <c r="G3900">
        <v>0</v>
      </c>
      <c r="H3900">
        <v>0</v>
      </c>
      <c r="I3900">
        <v>0</v>
      </c>
      <c r="J3900">
        <v>0</v>
      </c>
      <c r="K3900">
        <v>64.3</v>
      </c>
      <c r="L3900">
        <v>64.099999999999994</v>
      </c>
      <c r="M3900">
        <v>72.64</v>
      </c>
      <c r="N3900">
        <v>13</v>
      </c>
      <c r="O3900">
        <v>5</v>
      </c>
      <c r="P3900">
        <f>MOD(DAY(datos_siembra[[#This Row],[Date]]),7)</f>
        <v>6</v>
      </c>
      <c r="Q3900" t="str">
        <f>CHOOSE(WEEKDAY(datos_siembra[[#This Row],[Date]],2),"L","M","X","J","V","S","D")</f>
        <v>D</v>
      </c>
      <c r="R3900">
        <f>WEEKNUM(datos_siembra[[#This Row],[Date]],2)-WEEKNUM(DATE(YEAR(datos_siembra[[#This Row],[Date]]),MONTH(datos_siembra[[#This Row],[Date]]),1))+1</f>
        <v>2</v>
      </c>
      <c r="S3900">
        <f>MONTH(datos_siembra[[#This Row],[Date]])</f>
        <v>10</v>
      </c>
      <c r="T3900" t="str" cm="1">
        <f t="array" ref="T3900">_xlfn.IFS(AND(N3900&lt;= 22, S3900=9), "SOWING",AND(N3900&lt;= 28, S3900=9), "COVERAGE",AND(N3900&lt;= 30, S3900=9), "FLUSH",AND(N3900&lt;= 11, S3900=10), "FLUSH",AND(N3900&lt;= 21, S3900=10), "PRODUCTION")</f>
        <v>PRODUCTION</v>
      </c>
      <c r="U3900">
        <f>HOUR(datos_siembra[[#This Row],[Hour]])</f>
        <v>21</v>
      </c>
      <c r="V3900" cm="1">
        <f t="array" ref="V3900">_xlfn.IFS(AND(N3900&lt;= 22, S3900=9), N3900-7,AND(N3900&lt;= 28, S3900=9), N3900-25,AND(N3900&lt;= 30, S3900=9), N3900-28,AND(N3900&lt;= 11, S3900=10), N3900+2,AND(N3900&lt;= 21, S3900=10), N3900-11)</f>
        <v>2</v>
      </c>
    </row>
    <row r="3901" spans="1:22" x14ac:dyDescent="0.35">
      <c r="A3901" s="4">
        <v>45578</v>
      </c>
      <c r="B3901" s="5">
        <v>0.89020833333333338</v>
      </c>
      <c r="C3901">
        <v>74</v>
      </c>
      <c r="D3901">
        <v>71.900000000000006</v>
      </c>
      <c r="E3901">
        <v>71.599999999999994</v>
      </c>
      <c r="F3901">
        <v>73.2</v>
      </c>
      <c r="G3901">
        <v>0</v>
      </c>
      <c r="H3901">
        <v>0</v>
      </c>
      <c r="I3901">
        <v>0</v>
      </c>
      <c r="J3901">
        <v>0</v>
      </c>
      <c r="K3901">
        <v>64.2</v>
      </c>
      <c r="L3901">
        <v>64.099999999999994</v>
      </c>
      <c r="M3901">
        <v>72.7</v>
      </c>
      <c r="N3901">
        <v>13</v>
      </c>
      <c r="O3901">
        <v>5</v>
      </c>
      <c r="P3901">
        <f>MOD(DAY(datos_siembra[[#This Row],[Date]]),7)</f>
        <v>6</v>
      </c>
      <c r="Q3901" t="str">
        <f>CHOOSE(WEEKDAY(datos_siembra[[#This Row],[Date]],2),"L","M","X","J","V","S","D")</f>
        <v>D</v>
      </c>
      <c r="R3901">
        <f>WEEKNUM(datos_siembra[[#This Row],[Date]],2)-WEEKNUM(DATE(YEAR(datos_siembra[[#This Row],[Date]]),MONTH(datos_siembra[[#This Row],[Date]]),1))+1</f>
        <v>2</v>
      </c>
      <c r="S3901">
        <f>MONTH(datos_siembra[[#This Row],[Date]])</f>
        <v>10</v>
      </c>
      <c r="T3901" t="str" cm="1">
        <f t="array" ref="T3901">_xlfn.IFS(AND(N3901&lt;= 22, S3901=9), "SOWING",AND(N3901&lt;= 28, S3901=9), "COVERAGE",AND(N3901&lt;= 30, S3901=9), "FLUSH",AND(N3901&lt;= 11, S3901=10), "FLUSH",AND(N3901&lt;= 21, S3901=10), "PRODUCTION")</f>
        <v>PRODUCTION</v>
      </c>
      <c r="U3901">
        <f>HOUR(datos_siembra[[#This Row],[Hour]])</f>
        <v>21</v>
      </c>
      <c r="V3901" cm="1">
        <f t="array" ref="V3901">_xlfn.IFS(AND(N3901&lt;= 22, S3901=9), N3901-7,AND(N3901&lt;= 28, S3901=9), N3901-25,AND(N3901&lt;= 30, S3901=9), N3901-28,AND(N3901&lt;= 11, S3901=10), N3901+2,AND(N3901&lt;= 21, S3901=10), N3901-11)</f>
        <v>2</v>
      </c>
    </row>
    <row r="3902" spans="1:22" x14ac:dyDescent="0.35">
      <c r="A3902" s="4">
        <v>45578</v>
      </c>
      <c r="B3902" s="5">
        <v>0.8971527777777778</v>
      </c>
      <c r="C3902">
        <v>74</v>
      </c>
      <c r="D3902">
        <v>72.400000000000006</v>
      </c>
      <c r="E3902">
        <v>71.599999999999994</v>
      </c>
      <c r="F3902">
        <v>73.2</v>
      </c>
      <c r="G3902">
        <v>0</v>
      </c>
      <c r="H3902">
        <v>0</v>
      </c>
      <c r="I3902">
        <v>0</v>
      </c>
      <c r="J3902">
        <v>0</v>
      </c>
      <c r="K3902">
        <v>64.3</v>
      </c>
      <c r="L3902">
        <v>64.2</v>
      </c>
      <c r="M3902">
        <v>72.67</v>
      </c>
      <c r="N3902">
        <v>13</v>
      </c>
      <c r="O3902">
        <v>5</v>
      </c>
      <c r="P3902">
        <f>MOD(DAY(datos_siembra[[#This Row],[Date]]),7)</f>
        <v>6</v>
      </c>
      <c r="Q3902" t="str">
        <f>CHOOSE(WEEKDAY(datos_siembra[[#This Row],[Date]],2),"L","M","X","J","V","S","D")</f>
        <v>D</v>
      </c>
      <c r="R3902">
        <f>WEEKNUM(datos_siembra[[#This Row],[Date]],2)-WEEKNUM(DATE(YEAR(datos_siembra[[#This Row],[Date]]),MONTH(datos_siembra[[#This Row],[Date]]),1))+1</f>
        <v>2</v>
      </c>
      <c r="S3902">
        <f>MONTH(datos_siembra[[#This Row],[Date]])</f>
        <v>10</v>
      </c>
      <c r="T3902" t="str" cm="1">
        <f t="array" ref="T3902">_xlfn.IFS(AND(N3902&lt;= 22, S3902=9), "SOWING",AND(N3902&lt;= 28, S3902=9), "COVERAGE",AND(N3902&lt;= 30, S3902=9), "FLUSH",AND(N3902&lt;= 11, S3902=10), "FLUSH",AND(N3902&lt;= 21, S3902=10), "PRODUCTION")</f>
        <v>PRODUCTION</v>
      </c>
      <c r="U3902">
        <f>HOUR(datos_siembra[[#This Row],[Hour]])</f>
        <v>21</v>
      </c>
      <c r="V3902" cm="1">
        <f t="array" ref="V3902">_xlfn.IFS(AND(N3902&lt;= 22, S3902=9), N3902-7,AND(N3902&lt;= 28, S3902=9), N3902-25,AND(N3902&lt;= 30, S3902=9), N3902-28,AND(N3902&lt;= 11, S3902=10), N3902+2,AND(N3902&lt;= 21, S3902=10), N3902-11)</f>
        <v>2</v>
      </c>
    </row>
    <row r="3903" spans="1:22" x14ac:dyDescent="0.35">
      <c r="A3903" s="4">
        <v>45578</v>
      </c>
      <c r="B3903" s="5">
        <v>0.90409722222222222</v>
      </c>
      <c r="C3903">
        <v>73.900000000000006</v>
      </c>
      <c r="D3903">
        <v>72.5</v>
      </c>
      <c r="E3903">
        <v>71.5</v>
      </c>
      <c r="F3903">
        <v>73.2</v>
      </c>
      <c r="G3903">
        <v>0</v>
      </c>
      <c r="H3903">
        <v>0</v>
      </c>
      <c r="I3903">
        <v>0</v>
      </c>
      <c r="J3903">
        <v>0</v>
      </c>
      <c r="K3903">
        <v>64.3</v>
      </c>
      <c r="L3903">
        <v>64.2</v>
      </c>
      <c r="M3903">
        <v>72.75</v>
      </c>
      <c r="N3903">
        <v>13</v>
      </c>
      <c r="O3903">
        <v>5</v>
      </c>
      <c r="P3903">
        <f>MOD(DAY(datos_siembra[[#This Row],[Date]]),7)</f>
        <v>6</v>
      </c>
      <c r="Q3903" t="str">
        <f>CHOOSE(WEEKDAY(datos_siembra[[#This Row],[Date]],2),"L","M","X","J","V","S","D")</f>
        <v>D</v>
      </c>
      <c r="R3903">
        <f>WEEKNUM(datos_siembra[[#This Row],[Date]],2)-WEEKNUM(DATE(YEAR(datos_siembra[[#This Row],[Date]]),MONTH(datos_siembra[[#This Row],[Date]]),1))+1</f>
        <v>2</v>
      </c>
      <c r="S3903">
        <f>MONTH(datos_siembra[[#This Row],[Date]])</f>
        <v>10</v>
      </c>
      <c r="T3903" t="str" cm="1">
        <f t="array" ref="T3903">_xlfn.IFS(AND(N3903&lt;= 22, S3903=9), "SOWING",AND(N3903&lt;= 28, S3903=9), "COVERAGE",AND(N3903&lt;= 30, S3903=9), "FLUSH",AND(N3903&lt;= 11, S3903=10), "FLUSH",AND(N3903&lt;= 21, S3903=10), "PRODUCTION")</f>
        <v>PRODUCTION</v>
      </c>
      <c r="U3903">
        <f>HOUR(datos_siembra[[#This Row],[Hour]])</f>
        <v>21</v>
      </c>
      <c r="V3903" cm="1">
        <f t="array" ref="V3903">_xlfn.IFS(AND(N3903&lt;= 22, S3903=9), N3903-7,AND(N3903&lt;= 28, S3903=9), N3903-25,AND(N3903&lt;= 30, S3903=9), N3903-28,AND(N3903&lt;= 11, S3903=10), N3903+2,AND(N3903&lt;= 21, S3903=10), N3903-11)</f>
        <v>2</v>
      </c>
    </row>
    <row r="3904" spans="1:22" x14ac:dyDescent="0.35">
      <c r="A3904" s="4">
        <v>45578</v>
      </c>
      <c r="B3904" s="5">
        <v>0.91105324074074079</v>
      </c>
      <c r="C3904">
        <v>74</v>
      </c>
      <c r="D3904">
        <v>72.7</v>
      </c>
      <c r="E3904">
        <v>71.599999999999994</v>
      </c>
      <c r="F3904">
        <v>73.099999999999994</v>
      </c>
      <c r="G3904">
        <v>0</v>
      </c>
      <c r="H3904">
        <v>0</v>
      </c>
      <c r="I3904">
        <v>0</v>
      </c>
      <c r="J3904">
        <v>0</v>
      </c>
      <c r="K3904">
        <v>64.400000000000006</v>
      </c>
      <c r="L3904">
        <v>64.3</v>
      </c>
      <c r="M3904">
        <v>72.75</v>
      </c>
      <c r="N3904">
        <v>13</v>
      </c>
      <c r="O3904">
        <v>5</v>
      </c>
      <c r="P3904">
        <f>MOD(DAY(datos_siembra[[#This Row],[Date]]),7)</f>
        <v>6</v>
      </c>
      <c r="Q3904" t="str">
        <f>CHOOSE(WEEKDAY(datos_siembra[[#This Row],[Date]],2),"L","M","X","J","V","S","D")</f>
        <v>D</v>
      </c>
      <c r="R3904">
        <f>WEEKNUM(datos_siembra[[#This Row],[Date]],2)-WEEKNUM(DATE(YEAR(datos_siembra[[#This Row],[Date]]),MONTH(datos_siembra[[#This Row],[Date]]),1))+1</f>
        <v>2</v>
      </c>
      <c r="S3904">
        <f>MONTH(datos_siembra[[#This Row],[Date]])</f>
        <v>10</v>
      </c>
      <c r="T3904" t="str" cm="1">
        <f t="array" ref="T3904">_xlfn.IFS(AND(N3904&lt;= 22, S3904=9), "SOWING",AND(N3904&lt;= 28, S3904=9), "COVERAGE",AND(N3904&lt;= 30, S3904=9), "FLUSH",AND(N3904&lt;= 11, S3904=10), "FLUSH",AND(N3904&lt;= 21, S3904=10), "PRODUCTION")</f>
        <v>PRODUCTION</v>
      </c>
      <c r="U3904">
        <f>HOUR(datos_siembra[[#This Row],[Hour]])</f>
        <v>21</v>
      </c>
      <c r="V3904" cm="1">
        <f t="array" ref="V3904">_xlfn.IFS(AND(N3904&lt;= 22, S3904=9), N3904-7,AND(N3904&lt;= 28, S3904=9), N3904-25,AND(N3904&lt;= 30, S3904=9), N3904-28,AND(N3904&lt;= 11, S3904=10), N3904+2,AND(N3904&lt;= 21, S3904=10), N3904-11)</f>
        <v>2</v>
      </c>
    </row>
    <row r="3905" spans="1:22" x14ac:dyDescent="0.35">
      <c r="A3905" s="4">
        <v>45578</v>
      </c>
      <c r="B3905" s="5">
        <v>0.91799768518518521</v>
      </c>
      <c r="C3905">
        <v>73.900000000000006</v>
      </c>
      <c r="D3905">
        <v>73.099999999999994</v>
      </c>
      <c r="E3905">
        <v>71.599999999999994</v>
      </c>
      <c r="F3905">
        <v>73.2</v>
      </c>
      <c r="G3905">
        <v>0</v>
      </c>
      <c r="H3905">
        <v>0</v>
      </c>
      <c r="I3905">
        <v>0</v>
      </c>
      <c r="J3905">
        <v>0</v>
      </c>
      <c r="K3905">
        <v>64.3</v>
      </c>
      <c r="L3905">
        <v>64.2</v>
      </c>
      <c r="M3905">
        <v>72.89</v>
      </c>
      <c r="N3905">
        <v>13</v>
      </c>
      <c r="O3905">
        <v>5</v>
      </c>
      <c r="P3905">
        <f>MOD(DAY(datos_siembra[[#This Row],[Date]]),7)</f>
        <v>6</v>
      </c>
      <c r="Q3905" t="str">
        <f>CHOOSE(WEEKDAY(datos_siembra[[#This Row],[Date]],2),"L","M","X","J","V","S","D")</f>
        <v>D</v>
      </c>
      <c r="R3905">
        <f>WEEKNUM(datos_siembra[[#This Row],[Date]],2)-WEEKNUM(DATE(YEAR(datos_siembra[[#This Row],[Date]]),MONTH(datos_siembra[[#This Row],[Date]]),1))+1</f>
        <v>2</v>
      </c>
      <c r="S3905">
        <f>MONTH(datos_siembra[[#This Row],[Date]])</f>
        <v>10</v>
      </c>
      <c r="T3905" t="str" cm="1">
        <f t="array" ref="T3905">_xlfn.IFS(AND(N3905&lt;= 22, S3905=9), "SOWING",AND(N3905&lt;= 28, S3905=9), "COVERAGE",AND(N3905&lt;= 30, S3905=9), "FLUSH",AND(N3905&lt;= 11, S3905=10), "FLUSH",AND(N3905&lt;= 21, S3905=10), "PRODUCTION")</f>
        <v>PRODUCTION</v>
      </c>
      <c r="U3905">
        <f>HOUR(datos_siembra[[#This Row],[Hour]])</f>
        <v>22</v>
      </c>
      <c r="V3905" cm="1">
        <f t="array" ref="V3905">_xlfn.IFS(AND(N3905&lt;= 22, S3905=9), N3905-7,AND(N3905&lt;= 28, S3905=9), N3905-25,AND(N3905&lt;= 30, S3905=9), N3905-28,AND(N3905&lt;= 11, S3905=10), N3905+2,AND(N3905&lt;= 21, S3905=10), N3905-11)</f>
        <v>2</v>
      </c>
    </row>
    <row r="3906" spans="1:22" x14ac:dyDescent="0.35">
      <c r="A3906" s="4">
        <v>45578</v>
      </c>
      <c r="B3906" s="5">
        <v>0.92494212962962963</v>
      </c>
      <c r="C3906">
        <v>73.7</v>
      </c>
      <c r="D3906">
        <v>73.2</v>
      </c>
      <c r="E3906">
        <v>71.599999999999994</v>
      </c>
      <c r="F3906">
        <v>73.3</v>
      </c>
      <c r="G3906">
        <v>0</v>
      </c>
      <c r="H3906">
        <v>0</v>
      </c>
      <c r="I3906">
        <v>0</v>
      </c>
      <c r="J3906">
        <v>0</v>
      </c>
      <c r="K3906">
        <v>64.400000000000006</v>
      </c>
      <c r="L3906">
        <v>64.3</v>
      </c>
      <c r="M3906">
        <v>72.95</v>
      </c>
      <c r="N3906">
        <v>13</v>
      </c>
      <c r="O3906">
        <v>5</v>
      </c>
      <c r="P3906">
        <f>MOD(DAY(datos_siembra[[#This Row],[Date]]),7)</f>
        <v>6</v>
      </c>
      <c r="Q3906" t="str">
        <f>CHOOSE(WEEKDAY(datos_siembra[[#This Row],[Date]],2),"L","M","X","J","V","S","D")</f>
        <v>D</v>
      </c>
      <c r="R3906">
        <f>WEEKNUM(datos_siembra[[#This Row],[Date]],2)-WEEKNUM(DATE(YEAR(datos_siembra[[#This Row],[Date]]),MONTH(datos_siembra[[#This Row],[Date]]),1))+1</f>
        <v>2</v>
      </c>
      <c r="S3906">
        <f>MONTH(datos_siembra[[#This Row],[Date]])</f>
        <v>10</v>
      </c>
      <c r="T3906" t="str" cm="1">
        <f t="array" ref="T3906">_xlfn.IFS(AND(N3906&lt;= 22, S3906=9), "SOWING",AND(N3906&lt;= 28, S3906=9), "COVERAGE",AND(N3906&lt;= 30, S3906=9), "FLUSH",AND(N3906&lt;= 11, S3906=10), "FLUSH",AND(N3906&lt;= 21, S3906=10), "PRODUCTION")</f>
        <v>PRODUCTION</v>
      </c>
      <c r="U3906">
        <f>HOUR(datos_siembra[[#This Row],[Hour]])</f>
        <v>22</v>
      </c>
      <c r="V3906" cm="1">
        <f t="array" ref="V3906">_xlfn.IFS(AND(N3906&lt;= 22, S3906=9), N3906-7,AND(N3906&lt;= 28, S3906=9), N3906-25,AND(N3906&lt;= 30, S3906=9), N3906-28,AND(N3906&lt;= 11, S3906=10), N3906+2,AND(N3906&lt;= 21, S3906=10), N3906-11)</f>
        <v>2</v>
      </c>
    </row>
    <row r="3907" spans="1:22" x14ac:dyDescent="0.35">
      <c r="A3907" s="4">
        <v>45578</v>
      </c>
      <c r="B3907" s="5">
        <v>0.9318981481481482</v>
      </c>
      <c r="C3907">
        <v>73.7</v>
      </c>
      <c r="D3907">
        <v>73.400000000000006</v>
      </c>
      <c r="E3907">
        <v>71.5</v>
      </c>
      <c r="F3907">
        <v>73.099999999999994</v>
      </c>
      <c r="G3907">
        <v>0</v>
      </c>
      <c r="H3907">
        <v>0</v>
      </c>
      <c r="I3907">
        <v>0</v>
      </c>
      <c r="J3907">
        <v>0</v>
      </c>
      <c r="K3907">
        <v>64.400000000000006</v>
      </c>
      <c r="L3907">
        <v>64.3</v>
      </c>
      <c r="M3907">
        <v>73.010000000000005</v>
      </c>
      <c r="N3907">
        <v>13</v>
      </c>
      <c r="O3907">
        <v>5</v>
      </c>
      <c r="P3907">
        <f>MOD(DAY(datos_siembra[[#This Row],[Date]]),7)</f>
        <v>6</v>
      </c>
      <c r="Q3907" t="str">
        <f>CHOOSE(WEEKDAY(datos_siembra[[#This Row],[Date]],2),"L","M","X","J","V","S","D")</f>
        <v>D</v>
      </c>
      <c r="R3907">
        <f>WEEKNUM(datos_siembra[[#This Row],[Date]],2)-WEEKNUM(DATE(YEAR(datos_siembra[[#This Row],[Date]]),MONTH(datos_siembra[[#This Row],[Date]]),1))+1</f>
        <v>2</v>
      </c>
      <c r="S3907">
        <f>MONTH(datos_siembra[[#This Row],[Date]])</f>
        <v>10</v>
      </c>
      <c r="T3907" t="str" cm="1">
        <f t="array" ref="T3907">_xlfn.IFS(AND(N3907&lt;= 22, S3907=9), "SOWING",AND(N3907&lt;= 28, S3907=9), "COVERAGE",AND(N3907&lt;= 30, S3907=9), "FLUSH",AND(N3907&lt;= 11, S3907=10), "FLUSH",AND(N3907&lt;= 21, S3907=10), "PRODUCTION")</f>
        <v>PRODUCTION</v>
      </c>
      <c r="U3907">
        <f>HOUR(datos_siembra[[#This Row],[Hour]])</f>
        <v>22</v>
      </c>
      <c r="V3907" cm="1">
        <f t="array" ref="V3907">_xlfn.IFS(AND(N3907&lt;= 22, S3907=9), N3907-7,AND(N3907&lt;= 28, S3907=9), N3907-25,AND(N3907&lt;= 30, S3907=9), N3907-28,AND(N3907&lt;= 11, S3907=10), N3907+2,AND(N3907&lt;= 21, S3907=10), N3907-11)</f>
        <v>2</v>
      </c>
    </row>
    <row r="3908" spans="1:22" x14ac:dyDescent="0.35">
      <c r="A3908" s="4">
        <v>45578</v>
      </c>
      <c r="B3908" s="5">
        <v>0.93884259259259262</v>
      </c>
      <c r="C3908">
        <v>73.599999999999994</v>
      </c>
      <c r="D3908">
        <v>73.599999999999994</v>
      </c>
      <c r="E3908">
        <v>71.599999999999994</v>
      </c>
      <c r="F3908">
        <v>73.099999999999994</v>
      </c>
      <c r="G3908">
        <v>0</v>
      </c>
      <c r="H3908">
        <v>0</v>
      </c>
      <c r="I3908">
        <v>0</v>
      </c>
      <c r="J3908">
        <v>0</v>
      </c>
      <c r="K3908">
        <v>64.400000000000006</v>
      </c>
      <c r="L3908">
        <v>64.3</v>
      </c>
      <c r="M3908">
        <v>72.89</v>
      </c>
      <c r="N3908">
        <v>13</v>
      </c>
      <c r="O3908">
        <v>5</v>
      </c>
      <c r="P3908">
        <f>MOD(DAY(datos_siembra[[#This Row],[Date]]),7)</f>
        <v>6</v>
      </c>
      <c r="Q3908" t="str">
        <f>CHOOSE(WEEKDAY(datos_siembra[[#This Row],[Date]],2),"L","M","X","J","V","S","D")</f>
        <v>D</v>
      </c>
      <c r="R3908">
        <f>WEEKNUM(datos_siembra[[#This Row],[Date]],2)-WEEKNUM(DATE(YEAR(datos_siembra[[#This Row],[Date]]),MONTH(datos_siembra[[#This Row],[Date]]),1))+1</f>
        <v>2</v>
      </c>
      <c r="S3908">
        <f>MONTH(datos_siembra[[#This Row],[Date]])</f>
        <v>10</v>
      </c>
      <c r="T3908" t="str" cm="1">
        <f t="array" ref="T3908">_xlfn.IFS(AND(N3908&lt;= 22, S3908=9), "SOWING",AND(N3908&lt;= 28, S3908=9), "COVERAGE",AND(N3908&lt;= 30, S3908=9), "FLUSH",AND(N3908&lt;= 11, S3908=10), "FLUSH",AND(N3908&lt;= 21, S3908=10), "PRODUCTION")</f>
        <v>PRODUCTION</v>
      </c>
      <c r="U3908">
        <f>HOUR(datos_siembra[[#This Row],[Hour]])</f>
        <v>22</v>
      </c>
      <c r="V3908" cm="1">
        <f t="array" ref="V3908">_xlfn.IFS(AND(N3908&lt;= 22, S3908=9), N3908-7,AND(N3908&lt;= 28, S3908=9), N3908-25,AND(N3908&lt;= 30, S3908=9), N3908-28,AND(N3908&lt;= 11, S3908=10), N3908+2,AND(N3908&lt;= 21, S3908=10), N3908-11)</f>
        <v>2</v>
      </c>
    </row>
    <row r="3909" spans="1:22" x14ac:dyDescent="0.35">
      <c r="A3909" s="4">
        <v>45578</v>
      </c>
      <c r="B3909" s="5">
        <v>0.94578703703703704</v>
      </c>
      <c r="C3909">
        <v>73.599999999999994</v>
      </c>
      <c r="D3909">
        <v>73.900000000000006</v>
      </c>
      <c r="E3909">
        <v>71.5</v>
      </c>
      <c r="F3909">
        <v>73</v>
      </c>
      <c r="G3909">
        <v>0</v>
      </c>
      <c r="H3909">
        <v>0</v>
      </c>
      <c r="I3909">
        <v>0</v>
      </c>
      <c r="J3909">
        <v>0</v>
      </c>
      <c r="K3909">
        <v>64.400000000000006</v>
      </c>
      <c r="L3909">
        <v>64.2</v>
      </c>
      <c r="M3909">
        <v>73.06</v>
      </c>
      <c r="N3909">
        <v>13</v>
      </c>
      <c r="O3909">
        <v>5</v>
      </c>
      <c r="P3909">
        <f>MOD(DAY(datos_siembra[[#This Row],[Date]]),7)</f>
        <v>6</v>
      </c>
      <c r="Q3909" t="str">
        <f>CHOOSE(WEEKDAY(datos_siembra[[#This Row],[Date]],2),"L","M","X","J","V","S","D")</f>
        <v>D</v>
      </c>
      <c r="R3909">
        <f>WEEKNUM(datos_siembra[[#This Row],[Date]],2)-WEEKNUM(DATE(YEAR(datos_siembra[[#This Row],[Date]]),MONTH(datos_siembra[[#This Row],[Date]]),1))+1</f>
        <v>2</v>
      </c>
      <c r="S3909">
        <f>MONTH(datos_siembra[[#This Row],[Date]])</f>
        <v>10</v>
      </c>
      <c r="T3909" t="str" cm="1">
        <f t="array" ref="T3909">_xlfn.IFS(AND(N3909&lt;= 22, S3909=9), "SOWING",AND(N3909&lt;= 28, S3909=9), "COVERAGE",AND(N3909&lt;= 30, S3909=9), "FLUSH",AND(N3909&lt;= 11, S3909=10), "FLUSH",AND(N3909&lt;= 21, S3909=10), "PRODUCTION")</f>
        <v>PRODUCTION</v>
      </c>
      <c r="U3909">
        <f>HOUR(datos_siembra[[#This Row],[Hour]])</f>
        <v>22</v>
      </c>
      <c r="V3909" cm="1">
        <f t="array" ref="V3909">_xlfn.IFS(AND(N3909&lt;= 22, S3909=9), N3909-7,AND(N3909&lt;= 28, S3909=9), N3909-25,AND(N3909&lt;= 30, S3909=9), N3909-28,AND(N3909&lt;= 11, S3909=10), N3909+2,AND(N3909&lt;= 21, S3909=10), N3909-11)</f>
        <v>2</v>
      </c>
    </row>
    <row r="3910" spans="1:22" x14ac:dyDescent="0.35">
      <c r="A3910" s="4">
        <v>45578</v>
      </c>
      <c r="B3910" s="5">
        <v>0.95273148148148146</v>
      </c>
      <c r="C3910">
        <v>73.7</v>
      </c>
      <c r="D3910">
        <v>73.900000000000006</v>
      </c>
      <c r="E3910">
        <v>71.5</v>
      </c>
      <c r="F3910">
        <v>73.099999999999994</v>
      </c>
      <c r="G3910">
        <v>0</v>
      </c>
      <c r="H3910">
        <v>0</v>
      </c>
      <c r="I3910">
        <v>0</v>
      </c>
      <c r="J3910">
        <v>0</v>
      </c>
      <c r="K3910">
        <v>64.3</v>
      </c>
      <c r="L3910">
        <v>64.3</v>
      </c>
      <c r="M3910">
        <v>72.98</v>
      </c>
      <c r="N3910">
        <v>13</v>
      </c>
      <c r="O3910">
        <v>5</v>
      </c>
      <c r="P3910">
        <f>MOD(DAY(datos_siembra[[#This Row],[Date]]),7)</f>
        <v>6</v>
      </c>
      <c r="Q3910" t="str">
        <f>CHOOSE(WEEKDAY(datos_siembra[[#This Row],[Date]],2),"L","M","X","J","V","S","D")</f>
        <v>D</v>
      </c>
      <c r="R3910">
        <f>WEEKNUM(datos_siembra[[#This Row],[Date]],2)-WEEKNUM(DATE(YEAR(datos_siembra[[#This Row],[Date]]),MONTH(datos_siembra[[#This Row],[Date]]),1))+1</f>
        <v>2</v>
      </c>
      <c r="S3910">
        <f>MONTH(datos_siembra[[#This Row],[Date]])</f>
        <v>10</v>
      </c>
      <c r="T3910" t="str" cm="1">
        <f t="array" ref="T3910">_xlfn.IFS(AND(N3910&lt;= 22, S3910=9), "SOWING",AND(N3910&lt;= 28, S3910=9), "COVERAGE",AND(N3910&lt;= 30, S3910=9), "FLUSH",AND(N3910&lt;= 11, S3910=10), "FLUSH",AND(N3910&lt;= 21, S3910=10), "PRODUCTION")</f>
        <v>PRODUCTION</v>
      </c>
      <c r="U3910">
        <f>HOUR(datos_siembra[[#This Row],[Hour]])</f>
        <v>22</v>
      </c>
      <c r="V3910" cm="1">
        <f t="array" ref="V3910">_xlfn.IFS(AND(N3910&lt;= 22, S3910=9), N3910-7,AND(N3910&lt;= 28, S3910=9), N3910-25,AND(N3910&lt;= 30, S3910=9), N3910-28,AND(N3910&lt;= 11, S3910=10), N3910+2,AND(N3910&lt;= 21, S3910=10), N3910-11)</f>
        <v>2</v>
      </c>
    </row>
    <row r="3911" spans="1:22" x14ac:dyDescent="0.35">
      <c r="A3911" s="4">
        <v>45578</v>
      </c>
      <c r="B3911" s="5">
        <v>0.95968750000000003</v>
      </c>
      <c r="C3911">
        <v>73.5</v>
      </c>
      <c r="D3911">
        <v>74.099999999999994</v>
      </c>
      <c r="E3911">
        <v>71.5</v>
      </c>
      <c r="F3911">
        <v>73.099999999999994</v>
      </c>
      <c r="G3911">
        <v>0</v>
      </c>
      <c r="H3911">
        <v>0</v>
      </c>
      <c r="I3911">
        <v>0</v>
      </c>
      <c r="J3911">
        <v>0</v>
      </c>
      <c r="K3911">
        <v>64.3</v>
      </c>
      <c r="L3911">
        <v>64.2</v>
      </c>
      <c r="M3911">
        <v>73.06</v>
      </c>
      <c r="N3911">
        <v>13</v>
      </c>
      <c r="O3911">
        <v>5</v>
      </c>
      <c r="P3911">
        <f>MOD(DAY(datos_siembra[[#This Row],[Date]]),7)</f>
        <v>6</v>
      </c>
      <c r="Q3911" t="str">
        <f>CHOOSE(WEEKDAY(datos_siembra[[#This Row],[Date]],2),"L","M","X","J","V","S","D")</f>
        <v>D</v>
      </c>
      <c r="R3911">
        <f>WEEKNUM(datos_siembra[[#This Row],[Date]],2)-WEEKNUM(DATE(YEAR(datos_siembra[[#This Row],[Date]]),MONTH(datos_siembra[[#This Row],[Date]]),1))+1</f>
        <v>2</v>
      </c>
      <c r="S3911">
        <f>MONTH(datos_siembra[[#This Row],[Date]])</f>
        <v>10</v>
      </c>
      <c r="T3911" t="str" cm="1">
        <f t="array" ref="T3911">_xlfn.IFS(AND(N3911&lt;= 22, S3911=9), "SOWING",AND(N3911&lt;= 28, S3911=9), "COVERAGE",AND(N3911&lt;= 30, S3911=9), "FLUSH",AND(N3911&lt;= 11, S3911=10), "FLUSH",AND(N3911&lt;= 21, S3911=10), "PRODUCTION")</f>
        <v>PRODUCTION</v>
      </c>
      <c r="U3911">
        <f>HOUR(datos_siembra[[#This Row],[Hour]])</f>
        <v>23</v>
      </c>
      <c r="V3911" cm="1">
        <f t="array" ref="V3911">_xlfn.IFS(AND(N3911&lt;= 22, S3911=9), N3911-7,AND(N3911&lt;= 28, S3911=9), N3911-25,AND(N3911&lt;= 30, S3911=9), N3911-28,AND(N3911&lt;= 11, S3911=10), N3911+2,AND(N3911&lt;= 21, S3911=10), N3911-11)</f>
        <v>2</v>
      </c>
    </row>
    <row r="3912" spans="1:22" x14ac:dyDescent="0.35">
      <c r="A3912" s="4">
        <v>45578</v>
      </c>
      <c r="B3912" s="5">
        <v>0.96663194444444445</v>
      </c>
      <c r="C3912">
        <v>73.7</v>
      </c>
      <c r="D3912">
        <v>74.3</v>
      </c>
      <c r="E3912">
        <v>71.5</v>
      </c>
      <c r="F3912">
        <v>73.099999999999994</v>
      </c>
      <c r="G3912">
        <v>0</v>
      </c>
      <c r="H3912">
        <v>0</v>
      </c>
      <c r="I3912">
        <v>0</v>
      </c>
      <c r="J3912">
        <v>0</v>
      </c>
      <c r="K3912">
        <v>63.3</v>
      </c>
      <c r="L3912">
        <v>63</v>
      </c>
      <c r="M3912">
        <v>73.150000000000006</v>
      </c>
      <c r="N3912">
        <v>13</v>
      </c>
      <c r="O3912">
        <v>5</v>
      </c>
      <c r="P3912">
        <f>MOD(DAY(datos_siembra[[#This Row],[Date]]),7)</f>
        <v>6</v>
      </c>
      <c r="Q3912" t="str">
        <f>CHOOSE(WEEKDAY(datos_siembra[[#This Row],[Date]],2),"L","M","X","J","V","S","D")</f>
        <v>D</v>
      </c>
      <c r="R3912">
        <f>WEEKNUM(datos_siembra[[#This Row],[Date]],2)-WEEKNUM(DATE(YEAR(datos_siembra[[#This Row],[Date]]),MONTH(datos_siembra[[#This Row],[Date]]),1))+1</f>
        <v>2</v>
      </c>
      <c r="S3912">
        <f>MONTH(datos_siembra[[#This Row],[Date]])</f>
        <v>10</v>
      </c>
      <c r="T3912" t="str" cm="1">
        <f t="array" ref="T3912">_xlfn.IFS(AND(N3912&lt;= 22, S3912=9), "SOWING",AND(N3912&lt;= 28, S3912=9), "COVERAGE",AND(N3912&lt;= 30, S3912=9), "FLUSH",AND(N3912&lt;= 11, S3912=10), "FLUSH",AND(N3912&lt;= 21, S3912=10), "PRODUCTION")</f>
        <v>PRODUCTION</v>
      </c>
      <c r="U3912">
        <f>HOUR(datos_siembra[[#This Row],[Hour]])</f>
        <v>23</v>
      </c>
      <c r="V3912" cm="1">
        <f t="array" ref="V3912">_xlfn.IFS(AND(N3912&lt;= 22, S3912=9), N3912-7,AND(N3912&lt;= 28, S3912=9), N3912-25,AND(N3912&lt;= 30, S3912=9), N3912-28,AND(N3912&lt;= 11, S3912=10), N3912+2,AND(N3912&lt;= 21, S3912=10), N3912-11)</f>
        <v>2</v>
      </c>
    </row>
    <row r="3913" spans="1:22" x14ac:dyDescent="0.35">
      <c r="A3913" s="4">
        <v>45578</v>
      </c>
      <c r="B3913" s="5">
        <v>0.97357638888888887</v>
      </c>
      <c r="C3913">
        <v>73.599999999999994</v>
      </c>
      <c r="D3913">
        <v>74.3</v>
      </c>
      <c r="E3913">
        <v>71.5</v>
      </c>
      <c r="F3913">
        <v>73.099999999999994</v>
      </c>
      <c r="G3913">
        <v>0</v>
      </c>
      <c r="H3913">
        <v>0</v>
      </c>
      <c r="I3913">
        <v>0</v>
      </c>
      <c r="J3913">
        <v>0</v>
      </c>
      <c r="K3913">
        <v>63</v>
      </c>
      <c r="L3913">
        <v>62.7</v>
      </c>
      <c r="M3913">
        <v>73.12</v>
      </c>
      <c r="N3913">
        <v>13</v>
      </c>
      <c r="O3913">
        <v>5</v>
      </c>
      <c r="P3913">
        <f>MOD(DAY(datos_siembra[[#This Row],[Date]]),7)</f>
        <v>6</v>
      </c>
      <c r="Q3913" t="str">
        <f>CHOOSE(WEEKDAY(datos_siembra[[#This Row],[Date]],2),"L","M","X","J","V","S","D")</f>
        <v>D</v>
      </c>
      <c r="R3913">
        <f>WEEKNUM(datos_siembra[[#This Row],[Date]],2)-WEEKNUM(DATE(YEAR(datos_siembra[[#This Row],[Date]]),MONTH(datos_siembra[[#This Row],[Date]]),1))+1</f>
        <v>2</v>
      </c>
      <c r="S3913">
        <f>MONTH(datos_siembra[[#This Row],[Date]])</f>
        <v>10</v>
      </c>
      <c r="T3913" t="str" cm="1">
        <f t="array" ref="T3913">_xlfn.IFS(AND(N3913&lt;= 22, S3913=9), "SOWING",AND(N3913&lt;= 28, S3913=9), "COVERAGE",AND(N3913&lt;= 30, S3913=9), "FLUSH",AND(N3913&lt;= 11, S3913=10), "FLUSH",AND(N3913&lt;= 21, S3913=10), "PRODUCTION")</f>
        <v>PRODUCTION</v>
      </c>
      <c r="U3913">
        <f>HOUR(datos_siembra[[#This Row],[Hour]])</f>
        <v>23</v>
      </c>
      <c r="V3913" cm="1">
        <f t="array" ref="V3913">_xlfn.IFS(AND(N3913&lt;= 22, S3913=9), N3913-7,AND(N3913&lt;= 28, S3913=9), N3913-25,AND(N3913&lt;= 30, S3913=9), N3913-28,AND(N3913&lt;= 11, S3913=10), N3913+2,AND(N3913&lt;= 21, S3913=10), N3913-11)</f>
        <v>2</v>
      </c>
    </row>
    <row r="3914" spans="1:22" x14ac:dyDescent="0.35">
      <c r="A3914" s="4">
        <v>45578</v>
      </c>
      <c r="B3914" s="5">
        <v>0.98052083333333329</v>
      </c>
      <c r="C3914">
        <v>73.599999999999994</v>
      </c>
      <c r="D3914">
        <v>74.400000000000006</v>
      </c>
      <c r="E3914">
        <v>71.400000000000006</v>
      </c>
      <c r="F3914">
        <v>73.2</v>
      </c>
      <c r="G3914">
        <v>0</v>
      </c>
      <c r="H3914">
        <v>0</v>
      </c>
      <c r="I3914">
        <v>0</v>
      </c>
      <c r="J3914">
        <v>0</v>
      </c>
      <c r="K3914">
        <v>62.8</v>
      </c>
      <c r="L3914">
        <v>62.4</v>
      </c>
      <c r="M3914">
        <v>73.12</v>
      </c>
      <c r="N3914">
        <v>13</v>
      </c>
      <c r="O3914">
        <v>5</v>
      </c>
      <c r="P3914">
        <f>MOD(DAY(datos_siembra[[#This Row],[Date]]),7)</f>
        <v>6</v>
      </c>
      <c r="Q3914" t="str">
        <f>CHOOSE(WEEKDAY(datos_siembra[[#This Row],[Date]],2),"L","M","X","J","V","S","D")</f>
        <v>D</v>
      </c>
      <c r="R3914">
        <f>WEEKNUM(datos_siembra[[#This Row],[Date]],2)-WEEKNUM(DATE(YEAR(datos_siembra[[#This Row],[Date]]),MONTH(datos_siembra[[#This Row],[Date]]),1))+1</f>
        <v>2</v>
      </c>
      <c r="S3914">
        <f>MONTH(datos_siembra[[#This Row],[Date]])</f>
        <v>10</v>
      </c>
      <c r="T3914" t="str" cm="1">
        <f t="array" ref="T3914">_xlfn.IFS(AND(N3914&lt;= 22, S3914=9), "SOWING",AND(N3914&lt;= 28, S3914=9), "COVERAGE",AND(N3914&lt;= 30, S3914=9), "FLUSH",AND(N3914&lt;= 11, S3914=10), "FLUSH",AND(N3914&lt;= 21, S3914=10), "PRODUCTION")</f>
        <v>PRODUCTION</v>
      </c>
      <c r="U3914">
        <f>HOUR(datos_siembra[[#This Row],[Hour]])</f>
        <v>23</v>
      </c>
      <c r="V3914" cm="1">
        <f t="array" ref="V3914">_xlfn.IFS(AND(N3914&lt;= 22, S3914=9), N3914-7,AND(N3914&lt;= 28, S3914=9), N3914-25,AND(N3914&lt;= 30, S3914=9), N3914-28,AND(N3914&lt;= 11, S3914=10), N3914+2,AND(N3914&lt;= 21, S3914=10), N3914-11)</f>
        <v>2</v>
      </c>
    </row>
    <row r="3915" spans="1:22" x14ac:dyDescent="0.35">
      <c r="A3915" s="4">
        <v>45578</v>
      </c>
      <c r="B3915" s="5">
        <v>0.98747685185185186</v>
      </c>
      <c r="C3915">
        <v>73.599999999999994</v>
      </c>
      <c r="D3915">
        <v>74.400000000000006</v>
      </c>
      <c r="E3915">
        <v>71.5</v>
      </c>
      <c r="F3915">
        <v>73.099999999999994</v>
      </c>
      <c r="G3915">
        <v>0</v>
      </c>
      <c r="H3915">
        <v>0</v>
      </c>
      <c r="I3915">
        <v>0</v>
      </c>
      <c r="J3915">
        <v>0</v>
      </c>
      <c r="K3915">
        <v>62.7</v>
      </c>
      <c r="L3915">
        <v>62.4</v>
      </c>
      <c r="M3915">
        <v>73.12</v>
      </c>
      <c r="N3915">
        <v>13</v>
      </c>
      <c r="O3915">
        <v>5</v>
      </c>
      <c r="P3915">
        <f>MOD(DAY(datos_siembra[[#This Row],[Date]]),7)</f>
        <v>6</v>
      </c>
      <c r="Q3915" t="str">
        <f>CHOOSE(WEEKDAY(datos_siembra[[#This Row],[Date]],2),"L","M","X","J","V","S","D")</f>
        <v>D</v>
      </c>
      <c r="R3915">
        <f>WEEKNUM(datos_siembra[[#This Row],[Date]],2)-WEEKNUM(DATE(YEAR(datos_siembra[[#This Row],[Date]]),MONTH(datos_siembra[[#This Row],[Date]]),1))+1</f>
        <v>2</v>
      </c>
      <c r="S3915">
        <f>MONTH(datos_siembra[[#This Row],[Date]])</f>
        <v>10</v>
      </c>
      <c r="T3915" t="str" cm="1">
        <f t="array" ref="T3915">_xlfn.IFS(AND(N3915&lt;= 22, S3915=9), "SOWING",AND(N3915&lt;= 28, S3915=9), "COVERAGE",AND(N3915&lt;= 30, S3915=9), "FLUSH",AND(N3915&lt;= 11, S3915=10), "FLUSH",AND(N3915&lt;= 21, S3915=10), "PRODUCTION")</f>
        <v>PRODUCTION</v>
      </c>
      <c r="U3915">
        <f>HOUR(datos_siembra[[#This Row],[Hour]])</f>
        <v>23</v>
      </c>
      <c r="V3915" cm="1">
        <f t="array" ref="V3915">_xlfn.IFS(AND(N3915&lt;= 22, S3915=9), N3915-7,AND(N3915&lt;= 28, S3915=9), N3915-25,AND(N3915&lt;= 30, S3915=9), N3915-28,AND(N3915&lt;= 11, S3915=10), N3915+2,AND(N3915&lt;= 21, S3915=10), N3915-11)</f>
        <v>2</v>
      </c>
    </row>
    <row r="3916" spans="1:22" x14ac:dyDescent="0.35">
      <c r="A3916" s="4">
        <v>45578</v>
      </c>
      <c r="B3916" s="5">
        <v>0.99442129629629628</v>
      </c>
      <c r="C3916">
        <v>73.599999999999994</v>
      </c>
      <c r="D3916">
        <v>74.5</v>
      </c>
      <c r="E3916">
        <v>71.5</v>
      </c>
      <c r="F3916">
        <v>73.2</v>
      </c>
      <c r="G3916">
        <v>0</v>
      </c>
      <c r="H3916">
        <v>0</v>
      </c>
      <c r="I3916">
        <v>0</v>
      </c>
      <c r="J3916">
        <v>0</v>
      </c>
      <c r="K3916">
        <v>63.4</v>
      </c>
      <c r="L3916">
        <v>63.2</v>
      </c>
      <c r="M3916">
        <v>73.12</v>
      </c>
      <c r="N3916">
        <v>13</v>
      </c>
      <c r="O3916">
        <v>5</v>
      </c>
      <c r="P3916">
        <f>MOD(DAY(datos_siembra[[#This Row],[Date]]),7)</f>
        <v>6</v>
      </c>
      <c r="Q3916" t="str">
        <f>CHOOSE(WEEKDAY(datos_siembra[[#This Row],[Date]],2),"L","M","X","J","V","S","D")</f>
        <v>D</v>
      </c>
      <c r="R3916">
        <f>WEEKNUM(datos_siembra[[#This Row],[Date]],2)-WEEKNUM(DATE(YEAR(datos_siembra[[#This Row],[Date]]),MONTH(datos_siembra[[#This Row],[Date]]),1))+1</f>
        <v>2</v>
      </c>
      <c r="S3916">
        <f>MONTH(datos_siembra[[#This Row],[Date]])</f>
        <v>10</v>
      </c>
      <c r="T3916" t="str" cm="1">
        <f t="array" ref="T3916">_xlfn.IFS(AND(N3916&lt;= 22, S3916=9), "SOWING",AND(N3916&lt;= 28, S3916=9), "COVERAGE",AND(N3916&lt;= 30, S3916=9), "FLUSH",AND(N3916&lt;= 11, S3916=10), "FLUSH",AND(N3916&lt;= 21, S3916=10), "PRODUCTION")</f>
        <v>PRODUCTION</v>
      </c>
      <c r="U3916">
        <f>HOUR(datos_siembra[[#This Row],[Hour]])</f>
        <v>23</v>
      </c>
      <c r="V3916" cm="1">
        <f t="array" ref="V3916">_xlfn.IFS(AND(N3916&lt;= 22, S3916=9), N3916-7,AND(N3916&lt;= 28, S3916=9), N3916-25,AND(N3916&lt;= 30, S3916=9), N3916-28,AND(N3916&lt;= 11, S3916=10), N3916+2,AND(N3916&lt;= 21, S3916=10), N3916-11)</f>
        <v>2</v>
      </c>
    </row>
    <row r="3917" spans="1:22" x14ac:dyDescent="0.35">
      <c r="A3917" s="4">
        <v>45579</v>
      </c>
      <c r="B3917" s="5">
        <v>1.3657407407407407E-3</v>
      </c>
      <c r="C3917">
        <v>73.599999999999994</v>
      </c>
      <c r="D3917">
        <v>74.400000000000006</v>
      </c>
      <c r="E3917">
        <v>71.5</v>
      </c>
      <c r="F3917">
        <v>73</v>
      </c>
      <c r="G3917">
        <v>0</v>
      </c>
      <c r="H3917">
        <v>0</v>
      </c>
      <c r="I3917">
        <v>0</v>
      </c>
      <c r="J3917">
        <v>0</v>
      </c>
      <c r="K3917">
        <v>63.7</v>
      </c>
      <c r="L3917">
        <v>63.6</v>
      </c>
      <c r="M3917">
        <v>73.12</v>
      </c>
      <c r="N3917">
        <v>14</v>
      </c>
      <c r="O3917">
        <v>6</v>
      </c>
      <c r="P3917">
        <f>MOD(DAY(datos_siembra[[#This Row],[Date]]),7)</f>
        <v>0</v>
      </c>
      <c r="Q3917" t="str">
        <f>CHOOSE(WEEKDAY(datos_siembra[[#This Row],[Date]],2),"L","M","X","J","V","S","D")</f>
        <v>L</v>
      </c>
      <c r="R3917">
        <f>WEEKNUM(datos_siembra[[#This Row],[Date]],2)-WEEKNUM(DATE(YEAR(datos_siembra[[#This Row],[Date]]),MONTH(datos_siembra[[#This Row],[Date]]),1))+1</f>
        <v>3</v>
      </c>
      <c r="S3917">
        <f>MONTH(datos_siembra[[#This Row],[Date]])</f>
        <v>10</v>
      </c>
      <c r="T3917" t="str" cm="1">
        <f t="array" ref="T3917">_xlfn.IFS(AND(N3917&lt;= 22, S3917=9), "SOWING",AND(N3917&lt;= 28, S3917=9), "COVERAGE",AND(N3917&lt;= 30, S3917=9), "FLUSH",AND(N3917&lt;= 11, S3917=10), "FLUSH",AND(N3917&lt;= 21, S3917=10), "PRODUCTION")</f>
        <v>PRODUCTION</v>
      </c>
      <c r="U3917">
        <f>HOUR(datos_siembra[[#This Row],[Hour]])</f>
        <v>0</v>
      </c>
      <c r="V3917" cm="1">
        <f t="array" ref="V3917">_xlfn.IFS(AND(N3917&lt;= 22, S3917=9), N3917-7,AND(N3917&lt;= 28, S3917=9), N3917-25,AND(N3917&lt;= 30, S3917=9), N3917-28,AND(N3917&lt;= 11, S3917=10), N3917+2,AND(N3917&lt;= 21, S3917=10), N3917-11)</f>
        <v>3</v>
      </c>
    </row>
    <row r="3918" spans="1:22" x14ac:dyDescent="0.35">
      <c r="A3918" s="4">
        <v>45579</v>
      </c>
      <c r="B3918" s="5">
        <v>8.3217592592592596E-3</v>
      </c>
      <c r="C3918">
        <v>73.400000000000006</v>
      </c>
      <c r="D3918">
        <v>74.3</v>
      </c>
      <c r="E3918">
        <v>71.5</v>
      </c>
      <c r="F3918">
        <v>72.8</v>
      </c>
      <c r="G3918">
        <v>0</v>
      </c>
      <c r="H3918">
        <v>0</v>
      </c>
      <c r="I3918">
        <v>0</v>
      </c>
      <c r="J3918">
        <v>0</v>
      </c>
      <c r="K3918">
        <v>63.7</v>
      </c>
      <c r="L3918">
        <v>63.6</v>
      </c>
      <c r="M3918">
        <v>73.06</v>
      </c>
      <c r="N3918">
        <v>14</v>
      </c>
      <c r="O3918">
        <v>6</v>
      </c>
      <c r="P3918">
        <f>MOD(DAY(datos_siembra[[#This Row],[Date]]),7)</f>
        <v>0</v>
      </c>
      <c r="Q3918" t="str">
        <f>CHOOSE(WEEKDAY(datos_siembra[[#This Row],[Date]],2),"L","M","X","J","V","S","D")</f>
        <v>L</v>
      </c>
      <c r="R3918">
        <f>WEEKNUM(datos_siembra[[#This Row],[Date]],2)-WEEKNUM(DATE(YEAR(datos_siembra[[#This Row],[Date]]),MONTH(datos_siembra[[#This Row],[Date]]),1))+1</f>
        <v>3</v>
      </c>
      <c r="S3918">
        <f>MONTH(datos_siembra[[#This Row],[Date]])</f>
        <v>10</v>
      </c>
      <c r="T3918" t="str" cm="1">
        <f t="array" ref="T3918">_xlfn.IFS(AND(N3918&lt;= 22, S3918=9), "SOWING",AND(N3918&lt;= 28, S3918=9), "COVERAGE",AND(N3918&lt;= 30, S3918=9), "FLUSH",AND(N3918&lt;= 11, S3918=10), "FLUSH",AND(N3918&lt;= 21, S3918=10), "PRODUCTION")</f>
        <v>PRODUCTION</v>
      </c>
      <c r="U3918">
        <f>HOUR(datos_siembra[[#This Row],[Hour]])</f>
        <v>0</v>
      </c>
      <c r="V3918" cm="1">
        <f t="array" ref="V3918">_xlfn.IFS(AND(N3918&lt;= 22, S3918=9), N3918-7,AND(N3918&lt;= 28, S3918=9), N3918-25,AND(N3918&lt;= 30, S3918=9), N3918-28,AND(N3918&lt;= 11, S3918=10), N3918+2,AND(N3918&lt;= 21, S3918=10), N3918-11)</f>
        <v>3</v>
      </c>
    </row>
    <row r="3919" spans="1:22" x14ac:dyDescent="0.35">
      <c r="A3919" s="4">
        <v>45579</v>
      </c>
      <c r="B3919" s="5">
        <v>1.5266203703703704E-2</v>
      </c>
      <c r="C3919">
        <v>73.5</v>
      </c>
      <c r="D3919">
        <v>74.400000000000006</v>
      </c>
      <c r="E3919">
        <v>71.400000000000006</v>
      </c>
      <c r="F3919">
        <v>73.099999999999994</v>
      </c>
      <c r="G3919">
        <v>0</v>
      </c>
      <c r="H3919">
        <v>0</v>
      </c>
      <c r="I3919">
        <v>0</v>
      </c>
      <c r="J3919">
        <v>0</v>
      </c>
      <c r="K3919">
        <v>63.8</v>
      </c>
      <c r="L3919">
        <v>63.7</v>
      </c>
      <c r="M3919">
        <v>73.09</v>
      </c>
      <c r="N3919">
        <v>14</v>
      </c>
      <c r="O3919">
        <v>6</v>
      </c>
      <c r="P3919">
        <f>MOD(DAY(datos_siembra[[#This Row],[Date]]),7)</f>
        <v>0</v>
      </c>
      <c r="Q3919" t="str">
        <f>CHOOSE(WEEKDAY(datos_siembra[[#This Row],[Date]],2),"L","M","X","J","V","S","D")</f>
        <v>L</v>
      </c>
      <c r="R3919">
        <f>WEEKNUM(datos_siembra[[#This Row],[Date]],2)-WEEKNUM(DATE(YEAR(datos_siembra[[#This Row],[Date]]),MONTH(datos_siembra[[#This Row],[Date]]),1))+1</f>
        <v>3</v>
      </c>
      <c r="S3919">
        <f>MONTH(datos_siembra[[#This Row],[Date]])</f>
        <v>10</v>
      </c>
      <c r="T3919" t="str" cm="1">
        <f t="array" ref="T3919">_xlfn.IFS(AND(N3919&lt;= 22, S3919=9), "SOWING",AND(N3919&lt;= 28, S3919=9), "COVERAGE",AND(N3919&lt;= 30, S3919=9), "FLUSH",AND(N3919&lt;= 11, S3919=10), "FLUSH",AND(N3919&lt;= 21, S3919=10), "PRODUCTION")</f>
        <v>PRODUCTION</v>
      </c>
      <c r="U3919">
        <f>HOUR(datos_siembra[[#This Row],[Hour]])</f>
        <v>0</v>
      </c>
      <c r="V3919" cm="1">
        <f t="array" ref="V3919">_xlfn.IFS(AND(N3919&lt;= 22, S3919=9), N3919-7,AND(N3919&lt;= 28, S3919=9), N3919-25,AND(N3919&lt;= 30, S3919=9), N3919-28,AND(N3919&lt;= 11, S3919=10), N3919+2,AND(N3919&lt;= 21, S3919=10), N3919-11)</f>
        <v>3</v>
      </c>
    </row>
    <row r="3920" spans="1:22" x14ac:dyDescent="0.35">
      <c r="A3920" s="4">
        <v>45579</v>
      </c>
      <c r="B3920" s="5">
        <v>2.2210648148148149E-2</v>
      </c>
      <c r="C3920">
        <v>73.400000000000006</v>
      </c>
      <c r="D3920">
        <v>74.3</v>
      </c>
      <c r="E3920">
        <v>71.5</v>
      </c>
      <c r="F3920">
        <v>72.8</v>
      </c>
      <c r="G3920">
        <v>0</v>
      </c>
      <c r="H3920">
        <v>0</v>
      </c>
      <c r="I3920">
        <v>0</v>
      </c>
      <c r="J3920">
        <v>0</v>
      </c>
      <c r="K3920">
        <v>63.9</v>
      </c>
      <c r="L3920">
        <v>63.7</v>
      </c>
      <c r="M3920">
        <v>73.010000000000005</v>
      </c>
      <c r="N3920">
        <v>14</v>
      </c>
      <c r="O3920">
        <v>6</v>
      </c>
      <c r="P3920">
        <f>MOD(DAY(datos_siembra[[#This Row],[Date]]),7)</f>
        <v>0</v>
      </c>
      <c r="Q3920" t="str">
        <f>CHOOSE(WEEKDAY(datos_siembra[[#This Row],[Date]],2),"L","M","X","J","V","S","D")</f>
        <v>L</v>
      </c>
      <c r="R3920">
        <f>WEEKNUM(datos_siembra[[#This Row],[Date]],2)-WEEKNUM(DATE(YEAR(datos_siembra[[#This Row],[Date]]),MONTH(datos_siembra[[#This Row],[Date]]),1))+1</f>
        <v>3</v>
      </c>
      <c r="S3920">
        <f>MONTH(datos_siembra[[#This Row],[Date]])</f>
        <v>10</v>
      </c>
      <c r="T3920" t="str" cm="1">
        <f t="array" ref="T3920">_xlfn.IFS(AND(N3920&lt;= 22, S3920=9), "SOWING",AND(N3920&lt;= 28, S3920=9), "COVERAGE",AND(N3920&lt;= 30, S3920=9), "FLUSH",AND(N3920&lt;= 11, S3920=10), "FLUSH",AND(N3920&lt;= 21, S3920=10), "PRODUCTION")</f>
        <v>PRODUCTION</v>
      </c>
      <c r="U3920">
        <f>HOUR(datos_siembra[[#This Row],[Hour]])</f>
        <v>0</v>
      </c>
      <c r="V3920" cm="1">
        <f t="array" ref="V3920">_xlfn.IFS(AND(N3920&lt;= 22, S3920=9), N3920-7,AND(N3920&lt;= 28, S3920=9), N3920-25,AND(N3920&lt;= 30, S3920=9), N3920-28,AND(N3920&lt;= 11, S3920=10), N3920+2,AND(N3920&lt;= 21, S3920=10), N3920-11)</f>
        <v>3</v>
      </c>
    </row>
    <row r="3921" spans="1:22" x14ac:dyDescent="0.35">
      <c r="A3921" s="4">
        <v>45579</v>
      </c>
      <c r="B3921" s="5">
        <v>2.9155092592592594E-2</v>
      </c>
      <c r="C3921">
        <v>73.400000000000006</v>
      </c>
      <c r="D3921">
        <v>74.2</v>
      </c>
      <c r="E3921">
        <v>71.5</v>
      </c>
      <c r="F3921">
        <v>72.8</v>
      </c>
      <c r="G3921">
        <v>0</v>
      </c>
      <c r="H3921">
        <v>0</v>
      </c>
      <c r="I3921">
        <v>0</v>
      </c>
      <c r="J3921">
        <v>0</v>
      </c>
      <c r="K3921">
        <v>63.8</v>
      </c>
      <c r="L3921">
        <v>63.8</v>
      </c>
      <c r="M3921">
        <v>73.010000000000005</v>
      </c>
      <c r="N3921">
        <v>14</v>
      </c>
      <c r="O3921">
        <v>6</v>
      </c>
      <c r="P3921">
        <f>MOD(DAY(datos_siembra[[#This Row],[Date]]),7)</f>
        <v>0</v>
      </c>
      <c r="Q3921" t="str">
        <f>CHOOSE(WEEKDAY(datos_siembra[[#This Row],[Date]],2),"L","M","X","J","V","S","D")</f>
        <v>L</v>
      </c>
      <c r="R3921">
        <f>WEEKNUM(datos_siembra[[#This Row],[Date]],2)-WEEKNUM(DATE(YEAR(datos_siembra[[#This Row],[Date]]),MONTH(datos_siembra[[#This Row],[Date]]),1))+1</f>
        <v>3</v>
      </c>
      <c r="S3921">
        <f>MONTH(datos_siembra[[#This Row],[Date]])</f>
        <v>10</v>
      </c>
      <c r="T3921" t="str" cm="1">
        <f t="array" ref="T3921">_xlfn.IFS(AND(N3921&lt;= 22, S3921=9), "SOWING",AND(N3921&lt;= 28, S3921=9), "COVERAGE",AND(N3921&lt;= 30, S3921=9), "FLUSH",AND(N3921&lt;= 11, S3921=10), "FLUSH",AND(N3921&lt;= 21, S3921=10), "PRODUCTION")</f>
        <v>PRODUCTION</v>
      </c>
      <c r="U3921">
        <f>HOUR(datos_siembra[[#This Row],[Hour]])</f>
        <v>0</v>
      </c>
      <c r="V3921" cm="1">
        <f t="array" ref="V3921">_xlfn.IFS(AND(N3921&lt;= 22, S3921=9), N3921-7,AND(N3921&lt;= 28, S3921=9), N3921-25,AND(N3921&lt;= 30, S3921=9), N3921-28,AND(N3921&lt;= 11, S3921=10), N3921+2,AND(N3921&lt;= 21, S3921=10), N3921-11)</f>
        <v>3</v>
      </c>
    </row>
    <row r="3922" spans="1:22" x14ac:dyDescent="0.35">
      <c r="A3922" s="4">
        <v>45579</v>
      </c>
      <c r="B3922" s="5">
        <v>3.6111111111111108E-2</v>
      </c>
      <c r="C3922">
        <v>73.400000000000006</v>
      </c>
      <c r="D3922">
        <v>74.2</v>
      </c>
      <c r="E3922">
        <v>71.5</v>
      </c>
      <c r="F3922">
        <v>73</v>
      </c>
      <c r="G3922">
        <v>0</v>
      </c>
      <c r="H3922">
        <v>0</v>
      </c>
      <c r="I3922">
        <v>0</v>
      </c>
      <c r="J3922">
        <v>0</v>
      </c>
      <c r="K3922">
        <v>63.9</v>
      </c>
      <c r="L3922">
        <v>63.8</v>
      </c>
      <c r="M3922">
        <v>73.06</v>
      </c>
      <c r="N3922">
        <v>14</v>
      </c>
      <c r="O3922">
        <v>6</v>
      </c>
      <c r="P3922">
        <f>MOD(DAY(datos_siembra[[#This Row],[Date]]),7)</f>
        <v>0</v>
      </c>
      <c r="Q3922" t="str">
        <f>CHOOSE(WEEKDAY(datos_siembra[[#This Row],[Date]],2),"L","M","X","J","V","S","D")</f>
        <v>L</v>
      </c>
      <c r="R3922">
        <f>WEEKNUM(datos_siembra[[#This Row],[Date]],2)-WEEKNUM(DATE(YEAR(datos_siembra[[#This Row],[Date]]),MONTH(datos_siembra[[#This Row],[Date]]),1))+1</f>
        <v>3</v>
      </c>
      <c r="S3922">
        <f>MONTH(datos_siembra[[#This Row],[Date]])</f>
        <v>10</v>
      </c>
      <c r="T3922" t="str" cm="1">
        <f t="array" ref="T3922">_xlfn.IFS(AND(N3922&lt;= 22, S3922=9), "SOWING",AND(N3922&lt;= 28, S3922=9), "COVERAGE",AND(N3922&lt;= 30, S3922=9), "FLUSH",AND(N3922&lt;= 11, S3922=10), "FLUSH",AND(N3922&lt;= 21, S3922=10), "PRODUCTION")</f>
        <v>PRODUCTION</v>
      </c>
      <c r="U3922">
        <f>HOUR(datos_siembra[[#This Row],[Hour]])</f>
        <v>0</v>
      </c>
      <c r="V3922" cm="1">
        <f t="array" ref="V3922">_xlfn.IFS(AND(N3922&lt;= 22, S3922=9), N3922-7,AND(N3922&lt;= 28, S3922=9), N3922-25,AND(N3922&lt;= 30, S3922=9), N3922-28,AND(N3922&lt;= 11, S3922=10), N3922+2,AND(N3922&lt;= 21, S3922=10), N3922-11)</f>
        <v>3</v>
      </c>
    </row>
    <row r="3923" spans="1:22" x14ac:dyDescent="0.35">
      <c r="A3923" s="4">
        <v>45579</v>
      </c>
      <c r="B3923" s="5">
        <v>4.3055555555555555E-2</v>
      </c>
      <c r="C3923">
        <v>73.3</v>
      </c>
      <c r="D3923">
        <v>74.099999999999994</v>
      </c>
      <c r="E3923">
        <v>71.400000000000006</v>
      </c>
      <c r="F3923">
        <v>72.8</v>
      </c>
      <c r="G3923">
        <v>0</v>
      </c>
      <c r="H3923">
        <v>0</v>
      </c>
      <c r="I3923">
        <v>0</v>
      </c>
      <c r="J3923">
        <v>0</v>
      </c>
      <c r="K3923">
        <v>63.9</v>
      </c>
      <c r="L3923">
        <v>63.9</v>
      </c>
      <c r="M3923">
        <v>72.92</v>
      </c>
      <c r="N3923">
        <v>14</v>
      </c>
      <c r="O3923">
        <v>6</v>
      </c>
      <c r="P3923">
        <f>MOD(DAY(datos_siembra[[#This Row],[Date]]),7)</f>
        <v>0</v>
      </c>
      <c r="Q3923" t="str">
        <f>CHOOSE(WEEKDAY(datos_siembra[[#This Row],[Date]],2),"L","M","X","J","V","S","D")</f>
        <v>L</v>
      </c>
      <c r="R3923">
        <f>WEEKNUM(datos_siembra[[#This Row],[Date]],2)-WEEKNUM(DATE(YEAR(datos_siembra[[#This Row],[Date]]),MONTH(datos_siembra[[#This Row],[Date]]),1))+1</f>
        <v>3</v>
      </c>
      <c r="S3923">
        <f>MONTH(datos_siembra[[#This Row],[Date]])</f>
        <v>10</v>
      </c>
      <c r="T3923" t="str" cm="1">
        <f t="array" ref="T3923">_xlfn.IFS(AND(N3923&lt;= 22, S3923=9), "SOWING",AND(N3923&lt;= 28, S3923=9), "COVERAGE",AND(N3923&lt;= 30, S3923=9), "FLUSH",AND(N3923&lt;= 11, S3923=10), "FLUSH",AND(N3923&lt;= 21, S3923=10), "PRODUCTION")</f>
        <v>PRODUCTION</v>
      </c>
      <c r="U3923">
        <f>HOUR(datos_siembra[[#This Row],[Hour]])</f>
        <v>1</v>
      </c>
      <c r="V3923" cm="1">
        <f t="array" ref="V3923">_xlfn.IFS(AND(N3923&lt;= 22, S3923=9), N3923-7,AND(N3923&lt;= 28, S3923=9), N3923-25,AND(N3923&lt;= 30, S3923=9), N3923-28,AND(N3923&lt;= 11, S3923=10), N3923+2,AND(N3923&lt;= 21, S3923=10), N3923-11)</f>
        <v>3</v>
      </c>
    </row>
    <row r="3924" spans="1:22" x14ac:dyDescent="0.35">
      <c r="A3924" s="4">
        <v>45579</v>
      </c>
      <c r="B3924" s="5">
        <v>0.05</v>
      </c>
      <c r="C3924">
        <v>73.3</v>
      </c>
      <c r="D3924">
        <v>74.2</v>
      </c>
      <c r="E3924">
        <v>71.3</v>
      </c>
      <c r="F3924">
        <v>73</v>
      </c>
      <c r="G3924">
        <v>0</v>
      </c>
      <c r="H3924">
        <v>0</v>
      </c>
      <c r="I3924">
        <v>0</v>
      </c>
      <c r="J3924">
        <v>0</v>
      </c>
      <c r="K3924">
        <v>63.8</v>
      </c>
      <c r="L3924">
        <v>63.9</v>
      </c>
      <c r="M3924">
        <v>72.92</v>
      </c>
      <c r="N3924">
        <v>14</v>
      </c>
      <c r="O3924">
        <v>6</v>
      </c>
      <c r="P3924">
        <f>MOD(DAY(datos_siembra[[#This Row],[Date]]),7)</f>
        <v>0</v>
      </c>
      <c r="Q3924" t="str">
        <f>CHOOSE(WEEKDAY(datos_siembra[[#This Row],[Date]],2),"L","M","X","J","V","S","D")</f>
        <v>L</v>
      </c>
      <c r="R3924">
        <f>WEEKNUM(datos_siembra[[#This Row],[Date]],2)-WEEKNUM(DATE(YEAR(datos_siembra[[#This Row],[Date]]),MONTH(datos_siembra[[#This Row],[Date]]),1))+1</f>
        <v>3</v>
      </c>
      <c r="S3924">
        <f>MONTH(datos_siembra[[#This Row],[Date]])</f>
        <v>10</v>
      </c>
      <c r="T3924" t="str" cm="1">
        <f t="array" ref="T3924">_xlfn.IFS(AND(N3924&lt;= 22, S3924=9), "SOWING",AND(N3924&lt;= 28, S3924=9), "COVERAGE",AND(N3924&lt;= 30, S3924=9), "FLUSH",AND(N3924&lt;= 11, S3924=10), "FLUSH",AND(N3924&lt;= 21, S3924=10), "PRODUCTION")</f>
        <v>PRODUCTION</v>
      </c>
      <c r="U3924">
        <f>HOUR(datos_siembra[[#This Row],[Hour]])</f>
        <v>1</v>
      </c>
      <c r="V3924" cm="1">
        <f t="array" ref="V3924">_xlfn.IFS(AND(N3924&lt;= 22, S3924=9), N3924-7,AND(N3924&lt;= 28, S3924=9), N3924-25,AND(N3924&lt;= 30, S3924=9), N3924-28,AND(N3924&lt;= 11, S3924=10), N3924+2,AND(N3924&lt;= 21, S3924=10), N3924-11)</f>
        <v>3</v>
      </c>
    </row>
    <row r="3925" spans="1:22" x14ac:dyDescent="0.35">
      <c r="A3925" s="4">
        <v>45579</v>
      </c>
      <c r="B3925" s="5">
        <v>5.6956018518518517E-2</v>
      </c>
      <c r="C3925">
        <v>73.3</v>
      </c>
      <c r="D3925">
        <v>74</v>
      </c>
      <c r="E3925">
        <v>71.099999999999994</v>
      </c>
      <c r="F3925">
        <v>72.7</v>
      </c>
      <c r="G3925">
        <v>0</v>
      </c>
      <c r="H3925">
        <v>0</v>
      </c>
      <c r="I3925">
        <v>0</v>
      </c>
      <c r="J3925">
        <v>0</v>
      </c>
      <c r="K3925">
        <v>63.8</v>
      </c>
      <c r="L3925">
        <v>63.9</v>
      </c>
      <c r="M3925">
        <v>72.92</v>
      </c>
      <c r="N3925">
        <v>14</v>
      </c>
      <c r="O3925">
        <v>6</v>
      </c>
      <c r="P3925">
        <f>MOD(DAY(datos_siembra[[#This Row],[Date]]),7)</f>
        <v>0</v>
      </c>
      <c r="Q3925" t="str">
        <f>CHOOSE(WEEKDAY(datos_siembra[[#This Row],[Date]],2),"L","M","X","J","V","S","D")</f>
        <v>L</v>
      </c>
      <c r="R3925">
        <f>WEEKNUM(datos_siembra[[#This Row],[Date]],2)-WEEKNUM(DATE(YEAR(datos_siembra[[#This Row],[Date]]),MONTH(datos_siembra[[#This Row],[Date]]),1))+1</f>
        <v>3</v>
      </c>
      <c r="S3925">
        <f>MONTH(datos_siembra[[#This Row],[Date]])</f>
        <v>10</v>
      </c>
      <c r="T3925" t="str" cm="1">
        <f t="array" ref="T3925">_xlfn.IFS(AND(N3925&lt;= 22, S3925=9), "SOWING",AND(N3925&lt;= 28, S3925=9), "COVERAGE",AND(N3925&lt;= 30, S3925=9), "FLUSH",AND(N3925&lt;= 11, S3925=10), "FLUSH",AND(N3925&lt;= 21, S3925=10), "PRODUCTION")</f>
        <v>PRODUCTION</v>
      </c>
      <c r="U3925">
        <f>HOUR(datos_siembra[[#This Row],[Hour]])</f>
        <v>1</v>
      </c>
      <c r="V3925" cm="1">
        <f t="array" ref="V3925">_xlfn.IFS(AND(N3925&lt;= 22, S3925=9), N3925-7,AND(N3925&lt;= 28, S3925=9), N3925-25,AND(N3925&lt;= 30, S3925=9), N3925-28,AND(N3925&lt;= 11, S3925=10), N3925+2,AND(N3925&lt;= 21, S3925=10), N3925-11)</f>
        <v>3</v>
      </c>
    </row>
    <row r="3926" spans="1:22" x14ac:dyDescent="0.35">
      <c r="A3926" s="4">
        <v>45579</v>
      </c>
      <c r="B3926" s="5">
        <v>6.3900462962962964E-2</v>
      </c>
      <c r="C3926">
        <v>73.400000000000006</v>
      </c>
      <c r="D3926">
        <v>74</v>
      </c>
      <c r="E3926">
        <v>71.099999999999994</v>
      </c>
      <c r="F3926">
        <v>72.7</v>
      </c>
      <c r="G3926">
        <v>0</v>
      </c>
      <c r="H3926">
        <v>0</v>
      </c>
      <c r="I3926">
        <v>0</v>
      </c>
      <c r="J3926">
        <v>0</v>
      </c>
      <c r="K3926">
        <v>63.9</v>
      </c>
      <c r="L3926">
        <v>63.9</v>
      </c>
      <c r="M3926">
        <v>72.81</v>
      </c>
      <c r="N3926">
        <v>14</v>
      </c>
      <c r="O3926">
        <v>6</v>
      </c>
      <c r="P3926">
        <f>MOD(DAY(datos_siembra[[#This Row],[Date]]),7)</f>
        <v>0</v>
      </c>
      <c r="Q3926" t="str">
        <f>CHOOSE(WEEKDAY(datos_siembra[[#This Row],[Date]],2),"L","M","X","J","V","S","D")</f>
        <v>L</v>
      </c>
      <c r="R3926">
        <f>WEEKNUM(datos_siembra[[#This Row],[Date]],2)-WEEKNUM(DATE(YEAR(datos_siembra[[#This Row],[Date]]),MONTH(datos_siembra[[#This Row],[Date]]),1))+1</f>
        <v>3</v>
      </c>
      <c r="S3926">
        <f>MONTH(datos_siembra[[#This Row],[Date]])</f>
        <v>10</v>
      </c>
      <c r="T3926" t="str" cm="1">
        <f t="array" ref="T3926">_xlfn.IFS(AND(N3926&lt;= 22, S3926=9), "SOWING",AND(N3926&lt;= 28, S3926=9), "COVERAGE",AND(N3926&lt;= 30, S3926=9), "FLUSH",AND(N3926&lt;= 11, S3926=10), "FLUSH",AND(N3926&lt;= 21, S3926=10), "PRODUCTION")</f>
        <v>PRODUCTION</v>
      </c>
      <c r="U3926">
        <f>HOUR(datos_siembra[[#This Row],[Hour]])</f>
        <v>1</v>
      </c>
      <c r="V3926" cm="1">
        <f t="array" ref="V3926">_xlfn.IFS(AND(N3926&lt;= 22, S3926=9), N3926-7,AND(N3926&lt;= 28, S3926=9), N3926-25,AND(N3926&lt;= 30, S3926=9), N3926-28,AND(N3926&lt;= 11, S3926=10), N3926+2,AND(N3926&lt;= 21, S3926=10), N3926-11)</f>
        <v>3</v>
      </c>
    </row>
    <row r="3927" spans="1:22" x14ac:dyDescent="0.35">
      <c r="A3927" s="4">
        <v>45579</v>
      </c>
      <c r="B3927" s="5">
        <v>7.0844907407407412E-2</v>
      </c>
      <c r="C3927">
        <v>73.3</v>
      </c>
      <c r="D3927">
        <v>74</v>
      </c>
      <c r="E3927">
        <v>71.3</v>
      </c>
      <c r="F3927">
        <v>72.8</v>
      </c>
      <c r="G3927">
        <v>0</v>
      </c>
      <c r="H3927">
        <v>0</v>
      </c>
      <c r="I3927">
        <v>0</v>
      </c>
      <c r="J3927">
        <v>0</v>
      </c>
      <c r="K3927">
        <v>63.8</v>
      </c>
      <c r="L3927">
        <v>63.9</v>
      </c>
      <c r="M3927">
        <v>72.75</v>
      </c>
      <c r="N3927">
        <v>14</v>
      </c>
      <c r="O3927">
        <v>6</v>
      </c>
      <c r="P3927">
        <f>MOD(DAY(datos_siembra[[#This Row],[Date]]),7)</f>
        <v>0</v>
      </c>
      <c r="Q3927" t="str">
        <f>CHOOSE(WEEKDAY(datos_siembra[[#This Row],[Date]],2),"L","M","X","J","V","S","D")</f>
        <v>L</v>
      </c>
      <c r="R3927">
        <f>WEEKNUM(datos_siembra[[#This Row],[Date]],2)-WEEKNUM(DATE(YEAR(datos_siembra[[#This Row],[Date]]),MONTH(datos_siembra[[#This Row],[Date]]),1))+1</f>
        <v>3</v>
      </c>
      <c r="S3927">
        <f>MONTH(datos_siembra[[#This Row],[Date]])</f>
        <v>10</v>
      </c>
      <c r="T3927" t="str" cm="1">
        <f t="array" ref="T3927">_xlfn.IFS(AND(N3927&lt;= 22, S3927=9), "SOWING",AND(N3927&lt;= 28, S3927=9), "COVERAGE",AND(N3927&lt;= 30, S3927=9), "FLUSH",AND(N3927&lt;= 11, S3927=10), "FLUSH",AND(N3927&lt;= 21, S3927=10), "PRODUCTION")</f>
        <v>PRODUCTION</v>
      </c>
      <c r="U3927">
        <f>HOUR(datos_siembra[[#This Row],[Hour]])</f>
        <v>1</v>
      </c>
      <c r="V3927" cm="1">
        <f t="array" ref="V3927">_xlfn.IFS(AND(N3927&lt;= 22, S3927=9), N3927-7,AND(N3927&lt;= 28, S3927=9), N3927-25,AND(N3927&lt;= 30, S3927=9), N3927-28,AND(N3927&lt;= 11, S3927=10), N3927+2,AND(N3927&lt;= 21, S3927=10), N3927-11)</f>
        <v>3</v>
      </c>
    </row>
    <row r="3928" spans="1:22" x14ac:dyDescent="0.35">
      <c r="A3928" s="4">
        <v>45579</v>
      </c>
      <c r="B3928" s="5">
        <v>7.7789351851851846E-2</v>
      </c>
      <c r="C3928">
        <v>73.2</v>
      </c>
      <c r="D3928">
        <v>74</v>
      </c>
      <c r="E3928">
        <v>71.099999999999994</v>
      </c>
      <c r="F3928">
        <v>72.7</v>
      </c>
      <c r="G3928">
        <v>0</v>
      </c>
      <c r="H3928">
        <v>0</v>
      </c>
      <c r="I3928">
        <v>0</v>
      </c>
      <c r="J3928">
        <v>0</v>
      </c>
      <c r="K3928">
        <v>63.8</v>
      </c>
      <c r="L3928">
        <v>64.099999999999994</v>
      </c>
      <c r="M3928">
        <v>72.78</v>
      </c>
      <c r="N3928">
        <v>14</v>
      </c>
      <c r="O3928">
        <v>6</v>
      </c>
      <c r="P3928">
        <f>MOD(DAY(datos_siembra[[#This Row],[Date]]),7)</f>
        <v>0</v>
      </c>
      <c r="Q3928" t="str">
        <f>CHOOSE(WEEKDAY(datos_siembra[[#This Row],[Date]],2),"L","M","X","J","V","S","D")</f>
        <v>L</v>
      </c>
      <c r="R3928">
        <f>WEEKNUM(datos_siembra[[#This Row],[Date]],2)-WEEKNUM(DATE(YEAR(datos_siembra[[#This Row],[Date]]),MONTH(datos_siembra[[#This Row],[Date]]),1))+1</f>
        <v>3</v>
      </c>
      <c r="S3928">
        <f>MONTH(datos_siembra[[#This Row],[Date]])</f>
        <v>10</v>
      </c>
      <c r="T3928" t="str" cm="1">
        <f t="array" ref="T3928">_xlfn.IFS(AND(N3928&lt;= 22, S3928=9), "SOWING",AND(N3928&lt;= 28, S3928=9), "COVERAGE",AND(N3928&lt;= 30, S3928=9), "FLUSH",AND(N3928&lt;= 11, S3928=10), "FLUSH",AND(N3928&lt;= 21, S3928=10), "PRODUCTION")</f>
        <v>PRODUCTION</v>
      </c>
      <c r="U3928">
        <f>HOUR(datos_siembra[[#This Row],[Hour]])</f>
        <v>1</v>
      </c>
      <c r="V3928" cm="1">
        <f t="array" ref="V3928">_xlfn.IFS(AND(N3928&lt;= 22, S3928=9), N3928-7,AND(N3928&lt;= 28, S3928=9), N3928-25,AND(N3928&lt;= 30, S3928=9), N3928-28,AND(N3928&lt;= 11, S3928=10), N3928+2,AND(N3928&lt;= 21, S3928=10), N3928-11)</f>
        <v>3</v>
      </c>
    </row>
    <row r="3929" spans="1:22" x14ac:dyDescent="0.35">
      <c r="A3929" s="4">
        <v>45579</v>
      </c>
      <c r="B3929" s="5">
        <v>8.4745370370370374E-2</v>
      </c>
      <c r="C3929">
        <v>73.2</v>
      </c>
      <c r="D3929">
        <v>74</v>
      </c>
      <c r="E3929">
        <v>71.099999999999994</v>
      </c>
      <c r="F3929">
        <v>72.7</v>
      </c>
      <c r="G3929">
        <v>0</v>
      </c>
      <c r="H3929">
        <v>0</v>
      </c>
      <c r="I3929">
        <v>0</v>
      </c>
      <c r="J3929">
        <v>0</v>
      </c>
      <c r="K3929">
        <v>63.7</v>
      </c>
      <c r="L3929">
        <v>63.8</v>
      </c>
      <c r="M3929">
        <v>72.75</v>
      </c>
      <c r="N3929">
        <v>14</v>
      </c>
      <c r="O3929">
        <v>6</v>
      </c>
      <c r="P3929">
        <f>MOD(DAY(datos_siembra[[#This Row],[Date]]),7)</f>
        <v>0</v>
      </c>
      <c r="Q3929" t="str">
        <f>CHOOSE(WEEKDAY(datos_siembra[[#This Row],[Date]],2),"L","M","X","J","V","S","D")</f>
        <v>L</v>
      </c>
      <c r="R3929">
        <f>WEEKNUM(datos_siembra[[#This Row],[Date]],2)-WEEKNUM(DATE(YEAR(datos_siembra[[#This Row],[Date]]),MONTH(datos_siembra[[#This Row],[Date]]),1))+1</f>
        <v>3</v>
      </c>
      <c r="S3929">
        <f>MONTH(datos_siembra[[#This Row],[Date]])</f>
        <v>10</v>
      </c>
      <c r="T3929" t="str" cm="1">
        <f t="array" ref="T3929">_xlfn.IFS(AND(N3929&lt;= 22, S3929=9), "SOWING",AND(N3929&lt;= 28, S3929=9), "COVERAGE",AND(N3929&lt;= 30, S3929=9), "FLUSH",AND(N3929&lt;= 11, S3929=10), "FLUSH",AND(N3929&lt;= 21, S3929=10), "PRODUCTION")</f>
        <v>PRODUCTION</v>
      </c>
      <c r="U3929">
        <f>HOUR(datos_siembra[[#This Row],[Hour]])</f>
        <v>2</v>
      </c>
      <c r="V3929" cm="1">
        <f t="array" ref="V3929">_xlfn.IFS(AND(N3929&lt;= 22, S3929=9), N3929-7,AND(N3929&lt;= 28, S3929=9), N3929-25,AND(N3929&lt;= 30, S3929=9), N3929-28,AND(N3929&lt;= 11, S3929=10), N3929+2,AND(N3929&lt;= 21, S3929=10), N3929-11)</f>
        <v>3</v>
      </c>
    </row>
    <row r="3930" spans="1:22" x14ac:dyDescent="0.35">
      <c r="A3930" s="4">
        <v>45579</v>
      </c>
      <c r="B3930" s="5">
        <v>9.1689814814814821E-2</v>
      </c>
      <c r="C3930">
        <v>73.2</v>
      </c>
      <c r="D3930">
        <v>73.7</v>
      </c>
      <c r="E3930">
        <v>71.3</v>
      </c>
      <c r="F3930">
        <v>72.7</v>
      </c>
      <c r="G3930">
        <v>0</v>
      </c>
      <c r="H3930">
        <v>0</v>
      </c>
      <c r="I3930">
        <v>0</v>
      </c>
      <c r="J3930">
        <v>0</v>
      </c>
      <c r="K3930">
        <v>63.4</v>
      </c>
      <c r="L3930">
        <v>64.099999999999994</v>
      </c>
      <c r="M3930">
        <v>72.72</v>
      </c>
      <c r="N3930">
        <v>14</v>
      </c>
      <c r="O3930">
        <v>6</v>
      </c>
      <c r="P3930">
        <f>MOD(DAY(datos_siembra[[#This Row],[Date]]),7)</f>
        <v>0</v>
      </c>
      <c r="Q3930" t="str">
        <f>CHOOSE(WEEKDAY(datos_siembra[[#This Row],[Date]],2),"L","M","X","J","V","S","D")</f>
        <v>L</v>
      </c>
      <c r="R3930">
        <f>WEEKNUM(datos_siembra[[#This Row],[Date]],2)-WEEKNUM(DATE(YEAR(datos_siembra[[#This Row],[Date]]),MONTH(datos_siembra[[#This Row],[Date]]),1))+1</f>
        <v>3</v>
      </c>
      <c r="S3930">
        <f>MONTH(datos_siembra[[#This Row],[Date]])</f>
        <v>10</v>
      </c>
      <c r="T3930" t="str" cm="1">
        <f t="array" ref="T3930">_xlfn.IFS(AND(N3930&lt;= 22, S3930=9), "SOWING",AND(N3930&lt;= 28, S3930=9), "COVERAGE",AND(N3930&lt;= 30, S3930=9), "FLUSH",AND(N3930&lt;= 11, S3930=10), "FLUSH",AND(N3930&lt;= 21, S3930=10), "PRODUCTION")</f>
        <v>PRODUCTION</v>
      </c>
      <c r="U3930">
        <f>HOUR(datos_siembra[[#This Row],[Hour]])</f>
        <v>2</v>
      </c>
      <c r="V3930" cm="1">
        <f t="array" ref="V3930">_xlfn.IFS(AND(N3930&lt;= 22, S3930=9), N3930-7,AND(N3930&lt;= 28, S3930=9), N3930-25,AND(N3930&lt;= 30, S3930=9), N3930-28,AND(N3930&lt;= 11, S3930=10), N3930+2,AND(N3930&lt;= 21, S3930=10), N3930-11)</f>
        <v>3</v>
      </c>
    </row>
    <row r="3931" spans="1:22" x14ac:dyDescent="0.35">
      <c r="A3931" s="4">
        <v>45579</v>
      </c>
      <c r="B3931" s="5">
        <v>9.8634259259259255E-2</v>
      </c>
      <c r="C3931">
        <v>73.099999999999994</v>
      </c>
      <c r="D3931">
        <v>73.900000000000006</v>
      </c>
      <c r="E3931">
        <v>71.099999999999994</v>
      </c>
      <c r="F3931">
        <v>72.7</v>
      </c>
      <c r="G3931">
        <v>0</v>
      </c>
      <c r="H3931">
        <v>0</v>
      </c>
      <c r="I3931">
        <v>0</v>
      </c>
      <c r="J3931">
        <v>0</v>
      </c>
      <c r="K3931">
        <v>62.3</v>
      </c>
      <c r="L3931">
        <v>62.9</v>
      </c>
      <c r="M3931">
        <v>72.7</v>
      </c>
      <c r="N3931">
        <v>14</v>
      </c>
      <c r="O3931">
        <v>6</v>
      </c>
      <c r="P3931">
        <f>MOD(DAY(datos_siembra[[#This Row],[Date]]),7)</f>
        <v>0</v>
      </c>
      <c r="Q3931" t="str">
        <f>CHOOSE(WEEKDAY(datos_siembra[[#This Row],[Date]],2),"L","M","X","J","V","S","D")</f>
        <v>L</v>
      </c>
      <c r="R3931">
        <f>WEEKNUM(datos_siembra[[#This Row],[Date]],2)-WEEKNUM(DATE(YEAR(datos_siembra[[#This Row],[Date]]),MONTH(datos_siembra[[#This Row],[Date]]),1))+1</f>
        <v>3</v>
      </c>
      <c r="S3931">
        <f>MONTH(datos_siembra[[#This Row],[Date]])</f>
        <v>10</v>
      </c>
      <c r="T3931" t="str" cm="1">
        <f t="array" ref="T3931">_xlfn.IFS(AND(N3931&lt;= 22, S3931=9), "SOWING",AND(N3931&lt;= 28, S3931=9), "COVERAGE",AND(N3931&lt;= 30, S3931=9), "FLUSH",AND(N3931&lt;= 11, S3931=10), "FLUSH",AND(N3931&lt;= 21, S3931=10), "PRODUCTION")</f>
        <v>PRODUCTION</v>
      </c>
      <c r="U3931">
        <f>HOUR(datos_siembra[[#This Row],[Hour]])</f>
        <v>2</v>
      </c>
      <c r="V3931" cm="1">
        <f t="array" ref="V3931">_xlfn.IFS(AND(N3931&lt;= 22, S3931=9), N3931-7,AND(N3931&lt;= 28, S3931=9), N3931-25,AND(N3931&lt;= 30, S3931=9), N3931-28,AND(N3931&lt;= 11, S3931=10), N3931+2,AND(N3931&lt;= 21, S3931=10), N3931-11)</f>
        <v>3</v>
      </c>
    </row>
    <row r="3932" spans="1:22" x14ac:dyDescent="0.35">
      <c r="A3932" s="4">
        <v>45579</v>
      </c>
      <c r="B3932" s="5">
        <v>0.10559027777777778</v>
      </c>
      <c r="C3932">
        <v>73.2</v>
      </c>
      <c r="D3932">
        <v>73.900000000000006</v>
      </c>
      <c r="E3932">
        <v>71.3</v>
      </c>
      <c r="F3932">
        <v>72.7</v>
      </c>
      <c r="G3932">
        <v>0</v>
      </c>
      <c r="H3932">
        <v>0</v>
      </c>
      <c r="I3932">
        <v>0</v>
      </c>
      <c r="J3932">
        <v>0</v>
      </c>
      <c r="K3932">
        <v>61.9</v>
      </c>
      <c r="L3932">
        <v>63</v>
      </c>
      <c r="M3932">
        <v>72.75</v>
      </c>
      <c r="N3932">
        <v>14</v>
      </c>
      <c r="O3932">
        <v>6</v>
      </c>
      <c r="P3932">
        <f>MOD(DAY(datos_siembra[[#This Row],[Date]]),7)</f>
        <v>0</v>
      </c>
      <c r="Q3932" t="str">
        <f>CHOOSE(WEEKDAY(datos_siembra[[#This Row],[Date]],2),"L","M","X","J","V","S","D")</f>
        <v>L</v>
      </c>
      <c r="R3932">
        <f>WEEKNUM(datos_siembra[[#This Row],[Date]],2)-WEEKNUM(DATE(YEAR(datos_siembra[[#This Row],[Date]]),MONTH(datos_siembra[[#This Row],[Date]]),1))+1</f>
        <v>3</v>
      </c>
      <c r="S3932">
        <f>MONTH(datos_siembra[[#This Row],[Date]])</f>
        <v>10</v>
      </c>
      <c r="T3932" t="str" cm="1">
        <f t="array" ref="T3932">_xlfn.IFS(AND(N3932&lt;= 22, S3932=9), "SOWING",AND(N3932&lt;= 28, S3932=9), "COVERAGE",AND(N3932&lt;= 30, S3932=9), "FLUSH",AND(N3932&lt;= 11, S3932=10), "FLUSH",AND(N3932&lt;= 21, S3932=10), "PRODUCTION")</f>
        <v>PRODUCTION</v>
      </c>
      <c r="U3932">
        <f>HOUR(datos_siembra[[#This Row],[Hour]])</f>
        <v>2</v>
      </c>
      <c r="V3932" cm="1">
        <f t="array" ref="V3932">_xlfn.IFS(AND(N3932&lt;= 22, S3932=9), N3932-7,AND(N3932&lt;= 28, S3932=9), N3932-25,AND(N3932&lt;= 30, S3932=9), N3932-28,AND(N3932&lt;= 11, S3932=10), N3932+2,AND(N3932&lt;= 21, S3932=10), N3932-11)</f>
        <v>3</v>
      </c>
    </row>
    <row r="3933" spans="1:22" x14ac:dyDescent="0.35">
      <c r="A3933" s="4">
        <v>45579</v>
      </c>
      <c r="B3933" s="5">
        <v>0.11253472222222222</v>
      </c>
      <c r="C3933">
        <v>73.2</v>
      </c>
      <c r="D3933">
        <v>73.7</v>
      </c>
      <c r="E3933">
        <v>71</v>
      </c>
      <c r="F3933">
        <v>72.599999999999994</v>
      </c>
      <c r="G3933">
        <v>0</v>
      </c>
      <c r="H3933">
        <v>0</v>
      </c>
      <c r="I3933">
        <v>0</v>
      </c>
      <c r="J3933">
        <v>0</v>
      </c>
      <c r="K3933">
        <v>61.7</v>
      </c>
      <c r="L3933">
        <v>62.7</v>
      </c>
      <c r="M3933">
        <v>72.7</v>
      </c>
      <c r="N3933">
        <v>14</v>
      </c>
      <c r="O3933">
        <v>6</v>
      </c>
      <c r="P3933">
        <f>MOD(DAY(datos_siembra[[#This Row],[Date]]),7)</f>
        <v>0</v>
      </c>
      <c r="Q3933" t="str">
        <f>CHOOSE(WEEKDAY(datos_siembra[[#This Row],[Date]],2),"L","M","X","J","V","S","D")</f>
        <v>L</v>
      </c>
      <c r="R3933">
        <f>WEEKNUM(datos_siembra[[#This Row],[Date]],2)-WEEKNUM(DATE(YEAR(datos_siembra[[#This Row],[Date]]),MONTH(datos_siembra[[#This Row],[Date]]),1))+1</f>
        <v>3</v>
      </c>
      <c r="S3933">
        <f>MONTH(datos_siembra[[#This Row],[Date]])</f>
        <v>10</v>
      </c>
      <c r="T3933" t="str" cm="1">
        <f t="array" ref="T3933">_xlfn.IFS(AND(N3933&lt;= 22, S3933=9), "SOWING",AND(N3933&lt;= 28, S3933=9), "COVERAGE",AND(N3933&lt;= 30, S3933=9), "FLUSH",AND(N3933&lt;= 11, S3933=10), "FLUSH",AND(N3933&lt;= 21, S3933=10), "PRODUCTION")</f>
        <v>PRODUCTION</v>
      </c>
      <c r="U3933">
        <f>HOUR(datos_siembra[[#This Row],[Hour]])</f>
        <v>2</v>
      </c>
      <c r="V3933" cm="1">
        <f t="array" ref="V3933">_xlfn.IFS(AND(N3933&lt;= 22, S3933=9), N3933-7,AND(N3933&lt;= 28, S3933=9), N3933-25,AND(N3933&lt;= 30, S3933=9), N3933-28,AND(N3933&lt;= 11, S3933=10), N3933+2,AND(N3933&lt;= 21, S3933=10), N3933-11)</f>
        <v>3</v>
      </c>
    </row>
    <row r="3934" spans="1:22" x14ac:dyDescent="0.35">
      <c r="A3934" s="4">
        <v>45579</v>
      </c>
      <c r="B3934" s="5">
        <v>0.11947916666666666</v>
      </c>
      <c r="C3934">
        <v>73</v>
      </c>
      <c r="D3934">
        <v>73.7</v>
      </c>
      <c r="E3934">
        <v>71</v>
      </c>
      <c r="F3934">
        <v>72.8</v>
      </c>
      <c r="G3934">
        <v>0</v>
      </c>
      <c r="H3934">
        <v>0</v>
      </c>
      <c r="I3934">
        <v>0</v>
      </c>
      <c r="J3934">
        <v>0</v>
      </c>
      <c r="K3934">
        <v>61.7</v>
      </c>
      <c r="L3934">
        <v>61.7</v>
      </c>
      <c r="M3934">
        <v>72.7</v>
      </c>
      <c r="N3934">
        <v>14</v>
      </c>
      <c r="O3934">
        <v>6</v>
      </c>
      <c r="P3934">
        <f>MOD(DAY(datos_siembra[[#This Row],[Date]]),7)</f>
        <v>0</v>
      </c>
      <c r="Q3934" t="str">
        <f>CHOOSE(WEEKDAY(datos_siembra[[#This Row],[Date]],2),"L","M","X","J","V","S","D")</f>
        <v>L</v>
      </c>
      <c r="R3934">
        <f>WEEKNUM(datos_siembra[[#This Row],[Date]],2)-WEEKNUM(DATE(YEAR(datos_siembra[[#This Row],[Date]]),MONTH(datos_siembra[[#This Row],[Date]]),1))+1</f>
        <v>3</v>
      </c>
      <c r="S3934">
        <f>MONTH(datos_siembra[[#This Row],[Date]])</f>
        <v>10</v>
      </c>
      <c r="T3934" t="str" cm="1">
        <f t="array" ref="T3934">_xlfn.IFS(AND(N3934&lt;= 22, S3934=9), "SOWING",AND(N3934&lt;= 28, S3934=9), "COVERAGE",AND(N3934&lt;= 30, S3934=9), "FLUSH",AND(N3934&lt;= 11, S3934=10), "FLUSH",AND(N3934&lt;= 21, S3934=10), "PRODUCTION")</f>
        <v>PRODUCTION</v>
      </c>
      <c r="U3934">
        <f>HOUR(datos_siembra[[#This Row],[Hour]])</f>
        <v>2</v>
      </c>
      <c r="V3934" cm="1">
        <f t="array" ref="V3934">_xlfn.IFS(AND(N3934&lt;= 22, S3934=9), N3934-7,AND(N3934&lt;= 28, S3934=9), N3934-25,AND(N3934&lt;= 30, S3934=9), N3934-28,AND(N3934&lt;= 11, S3934=10), N3934+2,AND(N3934&lt;= 21, S3934=10), N3934-11)</f>
        <v>3</v>
      </c>
    </row>
    <row r="3935" spans="1:22" x14ac:dyDescent="0.35">
      <c r="A3935" s="4">
        <v>45579</v>
      </c>
      <c r="B3935" s="5">
        <v>0.12642361111111111</v>
      </c>
      <c r="C3935">
        <v>73.099999999999994</v>
      </c>
      <c r="D3935">
        <v>73.7</v>
      </c>
      <c r="E3935">
        <v>71.099999999999994</v>
      </c>
      <c r="F3935">
        <v>72.7</v>
      </c>
      <c r="G3935">
        <v>0</v>
      </c>
      <c r="H3935">
        <v>0</v>
      </c>
      <c r="I3935">
        <v>0</v>
      </c>
      <c r="J3935">
        <v>0</v>
      </c>
      <c r="K3935">
        <v>61.4</v>
      </c>
      <c r="L3935">
        <v>61.8</v>
      </c>
      <c r="M3935">
        <v>72.7</v>
      </c>
      <c r="N3935">
        <v>14</v>
      </c>
      <c r="O3935">
        <v>6</v>
      </c>
      <c r="P3935">
        <f>MOD(DAY(datos_siembra[[#This Row],[Date]]),7)</f>
        <v>0</v>
      </c>
      <c r="Q3935" t="str">
        <f>CHOOSE(WEEKDAY(datos_siembra[[#This Row],[Date]],2),"L","M","X","J","V","S","D")</f>
        <v>L</v>
      </c>
      <c r="R3935">
        <f>WEEKNUM(datos_siembra[[#This Row],[Date]],2)-WEEKNUM(DATE(YEAR(datos_siembra[[#This Row],[Date]]),MONTH(datos_siembra[[#This Row],[Date]]),1))+1</f>
        <v>3</v>
      </c>
      <c r="S3935">
        <f>MONTH(datos_siembra[[#This Row],[Date]])</f>
        <v>10</v>
      </c>
      <c r="T3935" t="str" cm="1">
        <f t="array" ref="T3935">_xlfn.IFS(AND(N3935&lt;= 22, S3935=9), "SOWING",AND(N3935&lt;= 28, S3935=9), "COVERAGE",AND(N3935&lt;= 30, S3935=9), "FLUSH",AND(N3935&lt;= 11, S3935=10), "FLUSH",AND(N3935&lt;= 21, S3935=10), "PRODUCTION")</f>
        <v>PRODUCTION</v>
      </c>
      <c r="U3935">
        <f>HOUR(datos_siembra[[#This Row],[Hour]])</f>
        <v>3</v>
      </c>
      <c r="V3935" cm="1">
        <f t="array" ref="V3935">_xlfn.IFS(AND(N3935&lt;= 22, S3935=9), N3935-7,AND(N3935&lt;= 28, S3935=9), N3935-25,AND(N3935&lt;= 30, S3935=9), N3935-28,AND(N3935&lt;= 11, S3935=10), N3935+2,AND(N3935&lt;= 21, S3935=10), N3935-11)</f>
        <v>3</v>
      </c>
    </row>
    <row r="3936" spans="1:22" x14ac:dyDescent="0.35">
      <c r="A3936" s="4">
        <v>45579</v>
      </c>
      <c r="B3936" s="5">
        <v>0.13337962962962963</v>
      </c>
      <c r="C3936">
        <v>73.099999999999994</v>
      </c>
      <c r="D3936">
        <v>73.7</v>
      </c>
      <c r="E3936">
        <v>70.900000000000006</v>
      </c>
      <c r="F3936">
        <v>72.5</v>
      </c>
      <c r="G3936">
        <v>0</v>
      </c>
      <c r="H3936">
        <v>0</v>
      </c>
      <c r="I3936">
        <v>0</v>
      </c>
      <c r="J3936">
        <v>0</v>
      </c>
      <c r="K3936">
        <v>61.8</v>
      </c>
      <c r="L3936">
        <v>61.7</v>
      </c>
      <c r="M3936">
        <v>72.64</v>
      </c>
      <c r="N3936">
        <v>14</v>
      </c>
      <c r="O3936">
        <v>6</v>
      </c>
      <c r="P3936">
        <f>MOD(DAY(datos_siembra[[#This Row],[Date]]),7)</f>
        <v>0</v>
      </c>
      <c r="Q3936" t="str">
        <f>CHOOSE(WEEKDAY(datos_siembra[[#This Row],[Date]],2),"L","M","X","J","V","S","D")</f>
        <v>L</v>
      </c>
      <c r="R3936">
        <f>WEEKNUM(datos_siembra[[#This Row],[Date]],2)-WEEKNUM(DATE(YEAR(datos_siembra[[#This Row],[Date]]),MONTH(datos_siembra[[#This Row],[Date]]),1))+1</f>
        <v>3</v>
      </c>
      <c r="S3936">
        <f>MONTH(datos_siembra[[#This Row],[Date]])</f>
        <v>10</v>
      </c>
      <c r="T3936" t="str" cm="1">
        <f t="array" ref="T3936">_xlfn.IFS(AND(N3936&lt;= 22, S3936=9), "SOWING",AND(N3936&lt;= 28, S3936=9), "COVERAGE",AND(N3936&lt;= 30, S3936=9), "FLUSH",AND(N3936&lt;= 11, S3936=10), "FLUSH",AND(N3936&lt;= 21, S3936=10), "PRODUCTION")</f>
        <v>PRODUCTION</v>
      </c>
      <c r="U3936">
        <f>HOUR(datos_siembra[[#This Row],[Hour]])</f>
        <v>3</v>
      </c>
      <c r="V3936" cm="1">
        <f t="array" ref="V3936">_xlfn.IFS(AND(N3936&lt;= 22, S3936=9), N3936-7,AND(N3936&lt;= 28, S3936=9), N3936-25,AND(N3936&lt;= 30, S3936=9), N3936-28,AND(N3936&lt;= 11, S3936=10), N3936+2,AND(N3936&lt;= 21, S3936=10), N3936-11)</f>
        <v>3</v>
      </c>
    </row>
    <row r="3937" spans="1:22" x14ac:dyDescent="0.35">
      <c r="A3937" s="4">
        <v>45579</v>
      </c>
      <c r="B3937" s="5">
        <v>0.14032407407407407</v>
      </c>
      <c r="C3937">
        <v>73.099999999999994</v>
      </c>
      <c r="D3937">
        <v>73.599999999999994</v>
      </c>
      <c r="E3937">
        <v>71</v>
      </c>
      <c r="F3937">
        <v>72.5</v>
      </c>
      <c r="G3937">
        <v>0</v>
      </c>
      <c r="H3937">
        <v>0</v>
      </c>
      <c r="I3937">
        <v>0</v>
      </c>
      <c r="J3937">
        <v>0</v>
      </c>
      <c r="K3937">
        <v>62.5</v>
      </c>
      <c r="L3937">
        <v>62.7</v>
      </c>
      <c r="M3937">
        <v>72.56</v>
      </c>
      <c r="N3937">
        <v>14</v>
      </c>
      <c r="O3937">
        <v>6</v>
      </c>
      <c r="P3937">
        <f>MOD(DAY(datos_siembra[[#This Row],[Date]]),7)</f>
        <v>0</v>
      </c>
      <c r="Q3937" t="str">
        <f>CHOOSE(WEEKDAY(datos_siembra[[#This Row],[Date]],2),"L","M","X","J","V","S","D")</f>
        <v>L</v>
      </c>
      <c r="R3937">
        <f>WEEKNUM(datos_siembra[[#This Row],[Date]],2)-WEEKNUM(DATE(YEAR(datos_siembra[[#This Row],[Date]]),MONTH(datos_siembra[[#This Row],[Date]]),1))+1</f>
        <v>3</v>
      </c>
      <c r="S3937">
        <f>MONTH(datos_siembra[[#This Row],[Date]])</f>
        <v>10</v>
      </c>
      <c r="T3937" t="str" cm="1">
        <f t="array" ref="T3937">_xlfn.IFS(AND(N3937&lt;= 22, S3937=9), "SOWING",AND(N3937&lt;= 28, S3937=9), "COVERAGE",AND(N3937&lt;= 30, S3937=9), "FLUSH",AND(N3937&lt;= 11, S3937=10), "FLUSH",AND(N3937&lt;= 21, S3937=10), "PRODUCTION")</f>
        <v>PRODUCTION</v>
      </c>
      <c r="U3937">
        <f>HOUR(datos_siembra[[#This Row],[Hour]])</f>
        <v>3</v>
      </c>
      <c r="V3937" cm="1">
        <f t="array" ref="V3937">_xlfn.IFS(AND(N3937&lt;= 22, S3937=9), N3937-7,AND(N3937&lt;= 28, S3937=9), N3937-25,AND(N3937&lt;= 30, S3937=9), N3937-28,AND(N3937&lt;= 11, S3937=10), N3937+2,AND(N3937&lt;= 21, S3937=10), N3937-11)</f>
        <v>3</v>
      </c>
    </row>
    <row r="3938" spans="1:22" x14ac:dyDescent="0.35">
      <c r="A3938" s="4">
        <v>45579</v>
      </c>
      <c r="B3938" s="5">
        <v>0.14726851851851852</v>
      </c>
      <c r="C3938">
        <v>73</v>
      </c>
      <c r="D3938">
        <v>73.7</v>
      </c>
      <c r="E3938">
        <v>71</v>
      </c>
      <c r="F3938">
        <v>72.3</v>
      </c>
      <c r="G3938">
        <v>0</v>
      </c>
      <c r="H3938">
        <v>0</v>
      </c>
      <c r="I3938">
        <v>0</v>
      </c>
      <c r="J3938">
        <v>0</v>
      </c>
      <c r="K3938">
        <v>62.7</v>
      </c>
      <c r="L3938">
        <v>63</v>
      </c>
      <c r="M3938">
        <v>72.58</v>
      </c>
      <c r="N3938">
        <v>14</v>
      </c>
      <c r="O3938">
        <v>6</v>
      </c>
      <c r="P3938">
        <f>MOD(DAY(datos_siembra[[#This Row],[Date]]),7)</f>
        <v>0</v>
      </c>
      <c r="Q3938" t="str">
        <f>CHOOSE(WEEKDAY(datos_siembra[[#This Row],[Date]],2),"L","M","X","J","V","S","D")</f>
        <v>L</v>
      </c>
      <c r="R3938">
        <f>WEEKNUM(datos_siembra[[#This Row],[Date]],2)-WEEKNUM(DATE(YEAR(datos_siembra[[#This Row],[Date]]),MONTH(datos_siembra[[#This Row],[Date]]),1))+1</f>
        <v>3</v>
      </c>
      <c r="S3938">
        <f>MONTH(datos_siembra[[#This Row],[Date]])</f>
        <v>10</v>
      </c>
      <c r="T3938" t="str" cm="1">
        <f t="array" ref="T3938">_xlfn.IFS(AND(N3938&lt;= 22, S3938=9), "SOWING",AND(N3938&lt;= 28, S3938=9), "COVERAGE",AND(N3938&lt;= 30, S3938=9), "FLUSH",AND(N3938&lt;= 11, S3938=10), "FLUSH",AND(N3938&lt;= 21, S3938=10), "PRODUCTION")</f>
        <v>PRODUCTION</v>
      </c>
      <c r="U3938">
        <f>HOUR(datos_siembra[[#This Row],[Hour]])</f>
        <v>3</v>
      </c>
      <c r="V3938" cm="1">
        <f t="array" ref="V3938">_xlfn.IFS(AND(N3938&lt;= 22, S3938=9), N3938-7,AND(N3938&lt;= 28, S3938=9), N3938-25,AND(N3938&lt;= 30, S3938=9), N3938-28,AND(N3938&lt;= 11, S3938=10), N3938+2,AND(N3938&lt;= 21, S3938=10), N3938-11)</f>
        <v>3</v>
      </c>
    </row>
    <row r="3939" spans="1:22" x14ac:dyDescent="0.35">
      <c r="A3939" s="4">
        <v>45579</v>
      </c>
      <c r="B3939" s="5">
        <v>0.15421296296296297</v>
      </c>
      <c r="C3939">
        <v>73</v>
      </c>
      <c r="D3939">
        <v>73.599999999999994</v>
      </c>
      <c r="E3939">
        <v>71</v>
      </c>
      <c r="F3939">
        <v>72.400000000000006</v>
      </c>
      <c r="G3939">
        <v>0</v>
      </c>
      <c r="H3939">
        <v>0</v>
      </c>
      <c r="I3939">
        <v>0</v>
      </c>
      <c r="J3939">
        <v>0</v>
      </c>
      <c r="K3939">
        <v>62.7</v>
      </c>
      <c r="L3939">
        <v>63.2</v>
      </c>
      <c r="M3939">
        <v>72.44</v>
      </c>
      <c r="N3939">
        <v>14</v>
      </c>
      <c r="O3939">
        <v>6</v>
      </c>
      <c r="P3939">
        <f>MOD(DAY(datos_siembra[[#This Row],[Date]]),7)</f>
        <v>0</v>
      </c>
      <c r="Q3939" t="str">
        <f>CHOOSE(WEEKDAY(datos_siembra[[#This Row],[Date]],2),"L","M","X","J","V","S","D")</f>
        <v>L</v>
      </c>
      <c r="R3939">
        <f>WEEKNUM(datos_siembra[[#This Row],[Date]],2)-WEEKNUM(DATE(YEAR(datos_siembra[[#This Row],[Date]]),MONTH(datos_siembra[[#This Row],[Date]]),1))+1</f>
        <v>3</v>
      </c>
      <c r="S3939">
        <f>MONTH(datos_siembra[[#This Row],[Date]])</f>
        <v>10</v>
      </c>
      <c r="T3939" t="str" cm="1">
        <f t="array" ref="T3939">_xlfn.IFS(AND(N3939&lt;= 22, S3939=9), "SOWING",AND(N3939&lt;= 28, S3939=9), "COVERAGE",AND(N3939&lt;= 30, S3939=9), "FLUSH",AND(N3939&lt;= 11, S3939=10), "FLUSH",AND(N3939&lt;= 21, S3939=10), "PRODUCTION")</f>
        <v>PRODUCTION</v>
      </c>
      <c r="U3939">
        <f>HOUR(datos_siembra[[#This Row],[Hour]])</f>
        <v>3</v>
      </c>
      <c r="V3939" cm="1">
        <f t="array" ref="V3939">_xlfn.IFS(AND(N3939&lt;= 22, S3939=9), N3939-7,AND(N3939&lt;= 28, S3939=9), N3939-25,AND(N3939&lt;= 30, S3939=9), N3939-28,AND(N3939&lt;= 11, S3939=10), N3939+2,AND(N3939&lt;= 21, S3939=10), N3939-11)</f>
        <v>3</v>
      </c>
    </row>
    <row r="3940" spans="1:22" x14ac:dyDescent="0.35">
      <c r="A3940" s="4">
        <v>45579</v>
      </c>
      <c r="B3940" s="5">
        <v>0.16116898148148148</v>
      </c>
      <c r="C3940">
        <v>73</v>
      </c>
      <c r="D3940">
        <v>73.599999999999994</v>
      </c>
      <c r="E3940">
        <v>70.900000000000006</v>
      </c>
      <c r="F3940">
        <v>72.400000000000006</v>
      </c>
      <c r="G3940">
        <v>0</v>
      </c>
      <c r="H3940">
        <v>0</v>
      </c>
      <c r="I3940">
        <v>0</v>
      </c>
      <c r="J3940">
        <v>0</v>
      </c>
      <c r="K3940">
        <v>62.8</v>
      </c>
      <c r="L3940">
        <v>63.3</v>
      </c>
      <c r="M3940">
        <v>72.5</v>
      </c>
      <c r="N3940">
        <v>14</v>
      </c>
      <c r="O3940">
        <v>6</v>
      </c>
      <c r="P3940">
        <f>MOD(DAY(datos_siembra[[#This Row],[Date]]),7)</f>
        <v>0</v>
      </c>
      <c r="Q3940" t="str">
        <f>CHOOSE(WEEKDAY(datos_siembra[[#This Row],[Date]],2),"L","M","X","J","V","S","D")</f>
        <v>L</v>
      </c>
      <c r="R3940">
        <f>WEEKNUM(datos_siembra[[#This Row],[Date]],2)-WEEKNUM(DATE(YEAR(datos_siembra[[#This Row],[Date]]),MONTH(datos_siembra[[#This Row],[Date]]),1))+1</f>
        <v>3</v>
      </c>
      <c r="S3940">
        <f>MONTH(datos_siembra[[#This Row],[Date]])</f>
        <v>10</v>
      </c>
      <c r="T3940" t="str" cm="1">
        <f t="array" ref="T3940">_xlfn.IFS(AND(N3940&lt;= 22, S3940=9), "SOWING",AND(N3940&lt;= 28, S3940=9), "COVERAGE",AND(N3940&lt;= 30, S3940=9), "FLUSH",AND(N3940&lt;= 11, S3940=10), "FLUSH",AND(N3940&lt;= 21, S3940=10), "PRODUCTION")</f>
        <v>PRODUCTION</v>
      </c>
      <c r="U3940">
        <f>HOUR(datos_siembra[[#This Row],[Hour]])</f>
        <v>3</v>
      </c>
      <c r="V3940" cm="1">
        <f t="array" ref="V3940">_xlfn.IFS(AND(N3940&lt;= 22, S3940=9), N3940-7,AND(N3940&lt;= 28, S3940=9), N3940-25,AND(N3940&lt;= 30, S3940=9), N3940-28,AND(N3940&lt;= 11, S3940=10), N3940+2,AND(N3940&lt;= 21, S3940=10), N3940-11)</f>
        <v>3</v>
      </c>
    </row>
    <row r="3941" spans="1:22" x14ac:dyDescent="0.35">
      <c r="A3941" s="4">
        <v>45579</v>
      </c>
      <c r="B3941" s="5">
        <v>0.16811342592592593</v>
      </c>
      <c r="C3941">
        <v>72.8</v>
      </c>
      <c r="D3941">
        <v>73.599999999999994</v>
      </c>
      <c r="E3941">
        <v>70.900000000000006</v>
      </c>
      <c r="F3941">
        <v>72.5</v>
      </c>
      <c r="G3941">
        <v>0</v>
      </c>
      <c r="H3941">
        <v>0</v>
      </c>
      <c r="I3941">
        <v>0</v>
      </c>
      <c r="J3941">
        <v>0</v>
      </c>
      <c r="K3941">
        <v>62.8</v>
      </c>
      <c r="L3941">
        <v>63.4</v>
      </c>
      <c r="M3941">
        <v>72.47</v>
      </c>
      <c r="N3941">
        <v>14</v>
      </c>
      <c r="O3941">
        <v>6</v>
      </c>
      <c r="P3941">
        <f>MOD(DAY(datos_siembra[[#This Row],[Date]]),7)</f>
        <v>0</v>
      </c>
      <c r="Q3941" t="str">
        <f>CHOOSE(WEEKDAY(datos_siembra[[#This Row],[Date]],2),"L","M","X","J","V","S","D")</f>
        <v>L</v>
      </c>
      <c r="R3941">
        <f>WEEKNUM(datos_siembra[[#This Row],[Date]],2)-WEEKNUM(DATE(YEAR(datos_siembra[[#This Row],[Date]]),MONTH(datos_siembra[[#This Row],[Date]]),1))+1</f>
        <v>3</v>
      </c>
      <c r="S3941">
        <f>MONTH(datos_siembra[[#This Row],[Date]])</f>
        <v>10</v>
      </c>
      <c r="T3941" t="str" cm="1">
        <f t="array" ref="T3941">_xlfn.IFS(AND(N3941&lt;= 22, S3941=9), "SOWING",AND(N3941&lt;= 28, S3941=9), "COVERAGE",AND(N3941&lt;= 30, S3941=9), "FLUSH",AND(N3941&lt;= 11, S3941=10), "FLUSH",AND(N3941&lt;= 21, S3941=10), "PRODUCTION")</f>
        <v>PRODUCTION</v>
      </c>
      <c r="U3941">
        <f>HOUR(datos_siembra[[#This Row],[Hour]])</f>
        <v>4</v>
      </c>
      <c r="V3941" cm="1">
        <f t="array" ref="V3941">_xlfn.IFS(AND(N3941&lt;= 22, S3941=9), N3941-7,AND(N3941&lt;= 28, S3941=9), N3941-25,AND(N3941&lt;= 30, S3941=9), N3941-28,AND(N3941&lt;= 11, S3941=10), N3941+2,AND(N3941&lt;= 21, S3941=10), N3941-11)</f>
        <v>3</v>
      </c>
    </row>
    <row r="3942" spans="1:22" x14ac:dyDescent="0.35">
      <c r="A3942" s="4">
        <v>45579</v>
      </c>
      <c r="B3942" s="5">
        <v>0.17505787037037038</v>
      </c>
      <c r="C3942">
        <v>73</v>
      </c>
      <c r="D3942">
        <v>73.400000000000006</v>
      </c>
      <c r="E3942">
        <v>71</v>
      </c>
      <c r="F3942">
        <v>72.400000000000006</v>
      </c>
      <c r="G3942">
        <v>0</v>
      </c>
      <c r="H3942">
        <v>0</v>
      </c>
      <c r="I3942">
        <v>0</v>
      </c>
      <c r="J3942">
        <v>0</v>
      </c>
      <c r="K3942">
        <v>62.9</v>
      </c>
      <c r="L3942">
        <v>63.3</v>
      </c>
      <c r="M3942">
        <v>72.39</v>
      </c>
      <c r="N3942">
        <v>14</v>
      </c>
      <c r="O3942">
        <v>6</v>
      </c>
      <c r="P3942">
        <f>MOD(DAY(datos_siembra[[#This Row],[Date]]),7)</f>
        <v>0</v>
      </c>
      <c r="Q3942" t="str">
        <f>CHOOSE(WEEKDAY(datos_siembra[[#This Row],[Date]],2),"L","M","X","J","V","S","D")</f>
        <v>L</v>
      </c>
      <c r="R3942">
        <f>WEEKNUM(datos_siembra[[#This Row],[Date]],2)-WEEKNUM(DATE(YEAR(datos_siembra[[#This Row],[Date]]),MONTH(datos_siembra[[#This Row],[Date]]),1))+1</f>
        <v>3</v>
      </c>
      <c r="S3942">
        <f>MONTH(datos_siembra[[#This Row],[Date]])</f>
        <v>10</v>
      </c>
      <c r="T3942" t="str" cm="1">
        <f t="array" ref="T3942">_xlfn.IFS(AND(N3942&lt;= 22, S3942=9), "SOWING",AND(N3942&lt;= 28, S3942=9), "COVERAGE",AND(N3942&lt;= 30, S3942=9), "FLUSH",AND(N3942&lt;= 11, S3942=10), "FLUSH",AND(N3942&lt;= 21, S3942=10), "PRODUCTION")</f>
        <v>PRODUCTION</v>
      </c>
      <c r="U3942">
        <f>HOUR(datos_siembra[[#This Row],[Hour]])</f>
        <v>4</v>
      </c>
      <c r="V3942" cm="1">
        <f t="array" ref="V3942">_xlfn.IFS(AND(N3942&lt;= 22, S3942=9), N3942-7,AND(N3942&lt;= 28, S3942=9), N3942-25,AND(N3942&lt;= 30, S3942=9), N3942-28,AND(N3942&lt;= 11, S3942=10), N3942+2,AND(N3942&lt;= 21, S3942=10), N3942-11)</f>
        <v>3</v>
      </c>
    </row>
    <row r="3943" spans="1:22" x14ac:dyDescent="0.35">
      <c r="A3943" s="4">
        <v>45579</v>
      </c>
      <c r="B3943" s="5">
        <v>0.18201388888888889</v>
      </c>
      <c r="C3943">
        <v>72.8</v>
      </c>
      <c r="D3943">
        <v>73.400000000000006</v>
      </c>
      <c r="E3943">
        <v>70.8</v>
      </c>
      <c r="F3943">
        <v>72.3</v>
      </c>
      <c r="G3943">
        <v>0</v>
      </c>
      <c r="H3943">
        <v>0</v>
      </c>
      <c r="I3943">
        <v>0</v>
      </c>
      <c r="J3943">
        <v>0</v>
      </c>
      <c r="K3943">
        <v>62.8</v>
      </c>
      <c r="L3943">
        <v>63.3</v>
      </c>
      <c r="M3943">
        <v>72.36</v>
      </c>
      <c r="N3943">
        <v>14</v>
      </c>
      <c r="O3943">
        <v>6</v>
      </c>
      <c r="P3943">
        <f>MOD(DAY(datos_siembra[[#This Row],[Date]]),7)</f>
        <v>0</v>
      </c>
      <c r="Q3943" t="str">
        <f>CHOOSE(WEEKDAY(datos_siembra[[#This Row],[Date]],2),"L","M","X","J","V","S","D")</f>
        <v>L</v>
      </c>
      <c r="R3943">
        <f>WEEKNUM(datos_siembra[[#This Row],[Date]],2)-WEEKNUM(DATE(YEAR(datos_siembra[[#This Row],[Date]]),MONTH(datos_siembra[[#This Row],[Date]]),1))+1</f>
        <v>3</v>
      </c>
      <c r="S3943">
        <f>MONTH(datos_siembra[[#This Row],[Date]])</f>
        <v>10</v>
      </c>
      <c r="T3943" t="str" cm="1">
        <f t="array" ref="T3943">_xlfn.IFS(AND(N3943&lt;= 22, S3943=9), "SOWING",AND(N3943&lt;= 28, S3943=9), "COVERAGE",AND(N3943&lt;= 30, S3943=9), "FLUSH",AND(N3943&lt;= 11, S3943=10), "FLUSH",AND(N3943&lt;= 21, S3943=10), "PRODUCTION")</f>
        <v>PRODUCTION</v>
      </c>
      <c r="U3943">
        <f>HOUR(datos_siembra[[#This Row],[Hour]])</f>
        <v>4</v>
      </c>
      <c r="V3943" cm="1">
        <f t="array" ref="V3943">_xlfn.IFS(AND(N3943&lt;= 22, S3943=9), N3943-7,AND(N3943&lt;= 28, S3943=9), N3943-25,AND(N3943&lt;= 30, S3943=9), N3943-28,AND(N3943&lt;= 11, S3943=10), N3943+2,AND(N3943&lt;= 21, S3943=10), N3943-11)</f>
        <v>3</v>
      </c>
    </row>
    <row r="3944" spans="1:22" x14ac:dyDescent="0.35">
      <c r="A3944" s="4">
        <v>45579</v>
      </c>
      <c r="B3944" s="5">
        <v>0.18895833333333334</v>
      </c>
      <c r="C3944">
        <v>72.8</v>
      </c>
      <c r="D3944">
        <v>73.400000000000006</v>
      </c>
      <c r="E3944">
        <v>70.7</v>
      </c>
      <c r="F3944">
        <v>72.2</v>
      </c>
      <c r="G3944">
        <v>0</v>
      </c>
      <c r="H3944">
        <v>0</v>
      </c>
      <c r="I3944">
        <v>0</v>
      </c>
      <c r="J3944">
        <v>0</v>
      </c>
      <c r="K3944">
        <v>62.8</v>
      </c>
      <c r="L3944">
        <v>63.3</v>
      </c>
      <c r="M3944">
        <v>72.36</v>
      </c>
      <c r="N3944">
        <v>14</v>
      </c>
      <c r="O3944">
        <v>6</v>
      </c>
      <c r="P3944">
        <f>MOD(DAY(datos_siembra[[#This Row],[Date]]),7)</f>
        <v>0</v>
      </c>
      <c r="Q3944" t="str">
        <f>CHOOSE(WEEKDAY(datos_siembra[[#This Row],[Date]],2),"L","M","X","J","V","S","D")</f>
        <v>L</v>
      </c>
      <c r="R3944">
        <f>WEEKNUM(datos_siembra[[#This Row],[Date]],2)-WEEKNUM(DATE(YEAR(datos_siembra[[#This Row],[Date]]),MONTH(datos_siembra[[#This Row],[Date]]),1))+1</f>
        <v>3</v>
      </c>
      <c r="S3944">
        <f>MONTH(datos_siembra[[#This Row],[Date]])</f>
        <v>10</v>
      </c>
      <c r="T3944" t="str" cm="1">
        <f t="array" ref="T3944">_xlfn.IFS(AND(N3944&lt;= 22, S3944=9), "SOWING",AND(N3944&lt;= 28, S3944=9), "COVERAGE",AND(N3944&lt;= 30, S3944=9), "FLUSH",AND(N3944&lt;= 11, S3944=10), "FLUSH",AND(N3944&lt;= 21, S3944=10), "PRODUCTION")</f>
        <v>PRODUCTION</v>
      </c>
      <c r="U3944">
        <f>HOUR(datos_siembra[[#This Row],[Hour]])</f>
        <v>4</v>
      </c>
      <c r="V3944" cm="1">
        <f t="array" ref="V3944">_xlfn.IFS(AND(N3944&lt;= 22, S3944=9), N3944-7,AND(N3944&lt;= 28, S3944=9), N3944-25,AND(N3944&lt;= 30, S3944=9), N3944-28,AND(N3944&lt;= 11, S3944=10), N3944+2,AND(N3944&lt;= 21, S3944=10), N3944-11)</f>
        <v>3</v>
      </c>
    </row>
    <row r="3945" spans="1:22" x14ac:dyDescent="0.35">
      <c r="A3945" s="4">
        <v>45579</v>
      </c>
      <c r="B3945" s="5">
        <v>0.19590277777777779</v>
      </c>
      <c r="C3945">
        <v>72.8</v>
      </c>
      <c r="D3945">
        <v>73.400000000000006</v>
      </c>
      <c r="E3945">
        <v>70.8</v>
      </c>
      <c r="F3945">
        <v>72.2</v>
      </c>
      <c r="G3945">
        <v>0</v>
      </c>
      <c r="H3945">
        <v>0</v>
      </c>
      <c r="I3945">
        <v>0</v>
      </c>
      <c r="J3945">
        <v>0</v>
      </c>
      <c r="K3945">
        <v>62.9</v>
      </c>
      <c r="L3945">
        <v>63.3</v>
      </c>
      <c r="M3945">
        <v>72.3</v>
      </c>
      <c r="N3945">
        <v>14</v>
      </c>
      <c r="O3945">
        <v>6</v>
      </c>
      <c r="P3945">
        <f>MOD(DAY(datos_siembra[[#This Row],[Date]]),7)</f>
        <v>0</v>
      </c>
      <c r="Q3945" t="str">
        <f>CHOOSE(WEEKDAY(datos_siembra[[#This Row],[Date]],2),"L","M","X","J","V","S","D")</f>
        <v>L</v>
      </c>
      <c r="R3945">
        <f>WEEKNUM(datos_siembra[[#This Row],[Date]],2)-WEEKNUM(DATE(YEAR(datos_siembra[[#This Row],[Date]]),MONTH(datos_siembra[[#This Row],[Date]]),1))+1</f>
        <v>3</v>
      </c>
      <c r="S3945">
        <f>MONTH(datos_siembra[[#This Row],[Date]])</f>
        <v>10</v>
      </c>
      <c r="T3945" t="str" cm="1">
        <f t="array" ref="T3945">_xlfn.IFS(AND(N3945&lt;= 22, S3945=9), "SOWING",AND(N3945&lt;= 28, S3945=9), "COVERAGE",AND(N3945&lt;= 30, S3945=9), "FLUSH",AND(N3945&lt;= 11, S3945=10), "FLUSH",AND(N3945&lt;= 21, S3945=10), "PRODUCTION")</f>
        <v>PRODUCTION</v>
      </c>
      <c r="U3945">
        <f>HOUR(datos_siembra[[#This Row],[Hour]])</f>
        <v>4</v>
      </c>
      <c r="V3945" cm="1">
        <f t="array" ref="V3945">_xlfn.IFS(AND(N3945&lt;= 22, S3945=9), N3945-7,AND(N3945&lt;= 28, S3945=9), N3945-25,AND(N3945&lt;= 30, S3945=9), N3945-28,AND(N3945&lt;= 11, S3945=10), N3945+2,AND(N3945&lt;= 21, S3945=10), N3945-11)</f>
        <v>3</v>
      </c>
    </row>
    <row r="3946" spans="1:22" x14ac:dyDescent="0.35">
      <c r="A3946" s="4">
        <v>45579</v>
      </c>
      <c r="B3946" s="5">
        <v>0.20284722222222223</v>
      </c>
      <c r="C3946">
        <v>72.7</v>
      </c>
      <c r="D3946">
        <v>73.400000000000006</v>
      </c>
      <c r="E3946">
        <v>70.900000000000006</v>
      </c>
      <c r="F3946">
        <v>72.2</v>
      </c>
      <c r="G3946">
        <v>0</v>
      </c>
      <c r="H3946">
        <v>0</v>
      </c>
      <c r="I3946">
        <v>0</v>
      </c>
      <c r="J3946">
        <v>0</v>
      </c>
      <c r="K3946">
        <v>62.9</v>
      </c>
      <c r="L3946">
        <v>63.4</v>
      </c>
      <c r="M3946">
        <v>72.3</v>
      </c>
      <c r="N3946">
        <v>14</v>
      </c>
      <c r="O3946">
        <v>6</v>
      </c>
      <c r="P3946">
        <f>MOD(DAY(datos_siembra[[#This Row],[Date]]),7)</f>
        <v>0</v>
      </c>
      <c r="Q3946" t="str">
        <f>CHOOSE(WEEKDAY(datos_siembra[[#This Row],[Date]],2),"L","M","X","J","V","S","D")</f>
        <v>L</v>
      </c>
      <c r="R3946">
        <f>WEEKNUM(datos_siembra[[#This Row],[Date]],2)-WEEKNUM(DATE(YEAR(datos_siembra[[#This Row],[Date]]),MONTH(datos_siembra[[#This Row],[Date]]),1))+1</f>
        <v>3</v>
      </c>
      <c r="S3946">
        <f>MONTH(datos_siembra[[#This Row],[Date]])</f>
        <v>10</v>
      </c>
      <c r="T3946" t="str" cm="1">
        <f t="array" ref="T3946">_xlfn.IFS(AND(N3946&lt;= 22, S3946=9), "SOWING",AND(N3946&lt;= 28, S3946=9), "COVERAGE",AND(N3946&lt;= 30, S3946=9), "FLUSH",AND(N3946&lt;= 11, S3946=10), "FLUSH",AND(N3946&lt;= 21, S3946=10), "PRODUCTION")</f>
        <v>PRODUCTION</v>
      </c>
      <c r="U3946">
        <f>HOUR(datos_siembra[[#This Row],[Hour]])</f>
        <v>4</v>
      </c>
      <c r="V3946" cm="1">
        <f t="array" ref="V3946">_xlfn.IFS(AND(N3946&lt;= 22, S3946=9), N3946-7,AND(N3946&lt;= 28, S3946=9), N3946-25,AND(N3946&lt;= 30, S3946=9), N3946-28,AND(N3946&lt;= 11, S3946=10), N3946+2,AND(N3946&lt;= 21, S3946=10), N3946-11)</f>
        <v>3</v>
      </c>
    </row>
    <row r="3947" spans="1:22" x14ac:dyDescent="0.35">
      <c r="A3947" s="4">
        <v>45579</v>
      </c>
      <c r="B3947" s="5">
        <v>0.20980324074074075</v>
      </c>
      <c r="C3947">
        <v>72.8</v>
      </c>
      <c r="D3947">
        <v>73.400000000000006</v>
      </c>
      <c r="E3947">
        <v>70.599999999999994</v>
      </c>
      <c r="F3947">
        <v>72.3</v>
      </c>
      <c r="G3947">
        <v>0</v>
      </c>
      <c r="H3947">
        <v>0</v>
      </c>
      <c r="I3947">
        <v>0</v>
      </c>
      <c r="J3947">
        <v>0</v>
      </c>
      <c r="K3947">
        <v>62.9</v>
      </c>
      <c r="L3947">
        <v>63.5</v>
      </c>
      <c r="M3947">
        <v>72.3</v>
      </c>
      <c r="N3947">
        <v>14</v>
      </c>
      <c r="O3947">
        <v>6</v>
      </c>
      <c r="P3947">
        <f>MOD(DAY(datos_siembra[[#This Row],[Date]]),7)</f>
        <v>0</v>
      </c>
      <c r="Q3947" t="str">
        <f>CHOOSE(WEEKDAY(datos_siembra[[#This Row],[Date]],2),"L","M","X","J","V","S","D")</f>
        <v>L</v>
      </c>
      <c r="R3947">
        <f>WEEKNUM(datos_siembra[[#This Row],[Date]],2)-WEEKNUM(DATE(YEAR(datos_siembra[[#This Row],[Date]]),MONTH(datos_siembra[[#This Row],[Date]]),1))+1</f>
        <v>3</v>
      </c>
      <c r="S3947">
        <f>MONTH(datos_siembra[[#This Row],[Date]])</f>
        <v>10</v>
      </c>
      <c r="T3947" t="str" cm="1">
        <f t="array" ref="T3947">_xlfn.IFS(AND(N3947&lt;= 22, S3947=9), "SOWING",AND(N3947&lt;= 28, S3947=9), "COVERAGE",AND(N3947&lt;= 30, S3947=9), "FLUSH",AND(N3947&lt;= 11, S3947=10), "FLUSH",AND(N3947&lt;= 21, S3947=10), "PRODUCTION")</f>
        <v>PRODUCTION</v>
      </c>
      <c r="U3947">
        <f>HOUR(datos_siembra[[#This Row],[Hour]])</f>
        <v>5</v>
      </c>
      <c r="V3947" cm="1">
        <f t="array" ref="V3947">_xlfn.IFS(AND(N3947&lt;= 22, S3947=9), N3947-7,AND(N3947&lt;= 28, S3947=9), N3947-25,AND(N3947&lt;= 30, S3947=9), N3947-28,AND(N3947&lt;= 11, S3947=10), N3947+2,AND(N3947&lt;= 21, S3947=10), N3947-11)</f>
        <v>3</v>
      </c>
    </row>
    <row r="3948" spans="1:22" x14ac:dyDescent="0.35">
      <c r="A3948" s="4">
        <v>45579</v>
      </c>
      <c r="B3948" s="5">
        <v>0.2167476851851852</v>
      </c>
      <c r="C3948">
        <v>72.7</v>
      </c>
      <c r="D3948">
        <v>73.2</v>
      </c>
      <c r="E3948">
        <v>70.599999999999994</v>
      </c>
      <c r="F3948">
        <v>72.2</v>
      </c>
      <c r="G3948">
        <v>0</v>
      </c>
      <c r="H3948">
        <v>0</v>
      </c>
      <c r="I3948">
        <v>0</v>
      </c>
      <c r="J3948">
        <v>0</v>
      </c>
      <c r="K3948">
        <v>62.9</v>
      </c>
      <c r="L3948">
        <v>63.5</v>
      </c>
      <c r="M3948">
        <v>72.13</v>
      </c>
      <c r="N3948">
        <v>14</v>
      </c>
      <c r="O3948">
        <v>6</v>
      </c>
      <c r="P3948">
        <f>MOD(DAY(datos_siembra[[#This Row],[Date]]),7)</f>
        <v>0</v>
      </c>
      <c r="Q3948" t="str">
        <f>CHOOSE(WEEKDAY(datos_siembra[[#This Row],[Date]],2),"L","M","X","J","V","S","D")</f>
        <v>L</v>
      </c>
      <c r="R3948">
        <f>WEEKNUM(datos_siembra[[#This Row],[Date]],2)-WEEKNUM(DATE(YEAR(datos_siembra[[#This Row],[Date]]),MONTH(datos_siembra[[#This Row],[Date]]),1))+1</f>
        <v>3</v>
      </c>
      <c r="S3948">
        <f>MONTH(datos_siembra[[#This Row],[Date]])</f>
        <v>10</v>
      </c>
      <c r="T3948" t="str" cm="1">
        <f t="array" ref="T3948">_xlfn.IFS(AND(N3948&lt;= 22, S3948=9), "SOWING",AND(N3948&lt;= 28, S3948=9), "COVERAGE",AND(N3948&lt;= 30, S3948=9), "FLUSH",AND(N3948&lt;= 11, S3948=10), "FLUSH",AND(N3948&lt;= 21, S3948=10), "PRODUCTION")</f>
        <v>PRODUCTION</v>
      </c>
      <c r="U3948">
        <f>HOUR(datos_siembra[[#This Row],[Hour]])</f>
        <v>5</v>
      </c>
      <c r="V3948" cm="1">
        <f t="array" ref="V3948">_xlfn.IFS(AND(N3948&lt;= 22, S3948=9), N3948-7,AND(N3948&lt;= 28, S3948=9), N3948-25,AND(N3948&lt;= 30, S3948=9), N3948-28,AND(N3948&lt;= 11, S3948=10), N3948+2,AND(N3948&lt;= 21, S3948=10), N3948-11)</f>
        <v>3</v>
      </c>
    </row>
    <row r="3949" spans="1:22" x14ac:dyDescent="0.35">
      <c r="A3949" s="4">
        <v>45579</v>
      </c>
      <c r="B3949" s="5">
        <v>0.22369212962962962</v>
      </c>
      <c r="C3949">
        <v>72.599999999999994</v>
      </c>
      <c r="D3949">
        <v>73.3</v>
      </c>
      <c r="E3949">
        <v>70.7</v>
      </c>
      <c r="F3949">
        <v>72.099999999999994</v>
      </c>
      <c r="G3949">
        <v>0</v>
      </c>
      <c r="H3949">
        <v>0</v>
      </c>
      <c r="I3949">
        <v>0</v>
      </c>
      <c r="J3949">
        <v>0</v>
      </c>
      <c r="K3949">
        <v>62.9</v>
      </c>
      <c r="L3949">
        <v>63.4</v>
      </c>
      <c r="M3949">
        <v>72.19</v>
      </c>
      <c r="N3949">
        <v>14</v>
      </c>
      <c r="O3949">
        <v>6</v>
      </c>
      <c r="P3949">
        <f>MOD(DAY(datos_siembra[[#This Row],[Date]]),7)</f>
        <v>0</v>
      </c>
      <c r="Q3949" t="str">
        <f>CHOOSE(WEEKDAY(datos_siembra[[#This Row],[Date]],2),"L","M","X","J","V","S","D")</f>
        <v>L</v>
      </c>
      <c r="R3949">
        <f>WEEKNUM(datos_siembra[[#This Row],[Date]],2)-WEEKNUM(DATE(YEAR(datos_siembra[[#This Row],[Date]]),MONTH(datos_siembra[[#This Row],[Date]]),1))+1</f>
        <v>3</v>
      </c>
      <c r="S3949">
        <f>MONTH(datos_siembra[[#This Row],[Date]])</f>
        <v>10</v>
      </c>
      <c r="T3949" t="str" cm="1">
        <f t="array" ref="T3949">_xlfn.IFS(AND(N3949&lt;= 22, S3949=9), "SOWING",AND(N3949&lt;= 28, S3949=9), "COVERAGE",AND(N3949&lt;= 30, S3949=9), "FLUSH",AND(N3949&lt;= 11, S3949=10), "FLUSH",AND(N3949&lt;= 21, S3949=10), "PRODUCTION")</f>
        <v>PRODUCTION</v>
      </c>
      <c r="U3949">
        <f>HOUR(datos_siembra[[#This Row],[Hour]])</f>
        <v>5</v>
      </c>
      <c r="V3949" cm="1">
        <f t="array" ref="V3949">_xlfn.IFS(AND(N3949&lt;= 22, S3949=9), N3949-7,AND(N3949&lt;= 28, S3949=9), N3949-25,AND(N3949&lt;= 30, S3949=9), N3949-28,AND(N3949&lt;= 11, S3949=10), N3949+2,AND(N3949&lt;= 21, S3949=10), N3949-11)</f>
        <v>3</v>
      </c>
    </row>
    <row r="3950" spans="1:22" x14ac:dyDescent="0.35">
      <c r="A3950" s="4">
        <v>45579</v>
      </c>
      <c r="B3950" s="5">
        <v>0.23064814814814816</v>
      </c>
      <c r="C3950">
        <v>72.7</v>
      </c>
      <c r="D3950">
        <v>73.3</v>
      </c>
      <c r="E3950">
        <v>70.599999999999994</v>
      </c>
      <c r="F3950">
        <v>71.900000000000006</v>
      </c>
      <c r="G3950">
        <v>0</v>
      </c>
      <c r="H3950">
        <v>0</v>
      </c>
      <c r="I3950">
        <v>0</v>
      </c>
      <c r="J3950">
        <v>0</v>
      </c>
      <c r="K3950">
        <v>62.9</v>
      </c>
      <c r="L3950">
        <v>63.4</v>
      </c>
      <c r="M3950">
        <v>72.11</v>
      </c>
      <c r="N3950">
        <v>14</v>
      </c>
      <c r="O3950">
        <v>6</v>
      </c>
      <c r="P3950">
        <f>MOD(DAY(datos_siembra[[#This Row],[Date]]),7)</f>
        <v>0</v>
      </c>
      <c r="Q3950" t="str">
        <f>CHOOSE(WEEKDAY(datos_siembra[[#This Row],[Date]],2),"L","M","X","J","V","S","D")</f>
        <v>L</v>
      </c>
      <c r="R3950">
        <f>WEEKNUM(datos_siembra[[#This Row],[Date]],2)-WEEKNUM(DATE(YEAR(datos_siembra[[#This Row],[Date]]),MONTH(datos_siembra[[#This Row],[Date]]),1))+1</f>
        <v>3</v>
      </c>
      <c r="S3950">
        <f>MONTH(datos_siembra[[#This Row],[Date]])</f>
        <v>10</v>
      </c>
      <c r="T3950" t="str" cm="1">
        <f t="array" ref="T3950">_xlfn.IFS(AND(N3950&lt;= 22, S3950=9), "SOWING",AND(N3950&lt;= 28, S3950=9), "COVERAGE",AND(N3950&lt;= 30, S3950=9), "FLUSH",AND(N3950&lt;= 11, S3950=10), "FLUSH",AND(N3950&lt;= 21, S3950=10), "PRODUCTION")</f>
        <v>PRODUCTION</v>
      </c>
      <c r="U3950">
        <f>HOUR(datos_siembra[[#This Row],[Hour]])</f>
        <v>5</v>
      </c>
      <c r="V3950" cm="1">
        <f t="array" ref="V3950">_xlfn.IFS(AND(N3950&lt;= 22, S3950=9), N3950-7,AND(N3950&lt;= 28, S3950=9), N3950-25,AND(N3950&lt;= 30, S3950=9), N3950-28,AND(N3950&lt;= 11, S3950=10), N3950+2,AND(N3950&lt;= 21, S3950=10), N3950-11)</f>
        <v>3</v>
      </c>
    </row>
    <row r="3951" spans="1:22" x14ac:dyDescent="0.35">
      <c r="A3951" s="4">
        <v>45579</v>
      </c>
      <c r="B3951" s="5">
        <v>0.23759259259259261</v>
      </c>
      <c r="C3951">
        <v>72.599999999999994</v>
      </c>
      <c r="D3951">
        <v>73.3</v>
      </c>
      <c r="E3951">
        <v>70.599999999999994</v>
      </c>
      <c r="F3951">
        <v>71.8</v>
      </c>
      <c r="G3951">
        <v>0</v>
      </c>
      <c r="H3951">
        <v>0</v>
      </c>
      <c r="I3951">
        <v>0</v>
      </c>
      <c r="J3951">
        <v>0</v>
      </c>
      <c r="K3951">
        <v>62.9</v>
      </c>
      <c r="L3951">
        <v>63.5</v>
      </c>
      <c r="M3951">
        <v>72.11</v>
      </c>
      <c r="N3951">
        <v>14</v>
      </c>
      <c r="O3951">
        <v>6</v>
      </c>
      <c r="P3951">
        <f>MOD(DAY(datos_siembra[[#This Row],[Date]]),7)</f>
        <v>0</v>
      </c>
      <c r="Q3951" t="str">
        <f>CHOOSE(WEEKDAY(datos_siembra[[#This Row],[Date]],2),"L","M","X","J","V","S","D")</f>
        <v>L</v>
      </c>
      <c r="R3951">
        <f>WEEKNUM(datos_siembra[[#This Row],[Date]],2)-WEEKNUM(DATE(YEAR(datos_siembra[[#This Row],[Date]]),MONTH(datos_siembra[[#This Row],[Date]]),1))+1</f>
        <v>3</v>
      </c>
      <c r="S3951">
        <f>MONTH(datos_siembra[[#This Row],[Date]])</f>
        <v>10</v>
      </c>
      <c r="T3951" t="str" cm="1">
        <f t="array" ref="T3951">_xlfn.IFS(AND(N3951&lt;= 22, S3951=9), "SOWING",AND(N3951&lt;= 28, S3951=9), "COVERAGE",AND(N3951&lt;= 30, S3951=9), "FLUSH",AND(N3951&lt;= 11, S3951=10), "FLUSH",AND(N3951&lt;= 21, S3951=10), "PRODUCTION")</f>
        <v>PRODUCTION</v>
      </c>
      <c r="U3951">
        <f>HOUR(datos_siembra[[#This Row],[Hour]])</f>
        <v>5</v>
      </c>
      <c r="V3951" cm="1">
        <f t="array" ref="V3951">_xlfn.IFS(AND(N3951&lt;= 22, S3951=9), N3951-7,AND(N3951&lt;= 28, S3951=9), N3951-25,AND(N3951&lt;= 30, S3951=9), N3951-28,AND(N3951&lt;= 11, S3951=10), N3951+2,AND(N3951&lt;= 21, S3951=10), N3951-11)</f>
        <v>3</v>
      </c>
    </row>
    <row r="3952" spans="1:22" x14ac:dyDescent="0.35">
      <c r="A3952" s="4">
        <v>45579</v>
      </c>
      <c r="B3952" s="5">
        <v>0.24453703703703702</v>
      </c>
      <c r="C3952">
        <v>72.599999999999994</v>
      </c>
      <c r="D3952">
        <v>73.2</v>
      </c>
      <c r="E3952">
        <v>70.599999999999994</v>
      </c>
      <c r="F3952">
        <v>72.099999999999994</v>
      </c>
      <c r="G3952">
        <v>0</v>
      </c>
      <c r="H3952">
        <v>0</v>
      </c>
      <c r="I3952">
        <v>0</v>
      </c>
      <c r="J3952">
        <v>0</v>
      </c>
      <c r="K3952">
        <v>62.9</v>
      </c>
      <c r="L3952">
        <v>63.5</v>
      </c>
      <c r="M3952">
        <v>72.08</v>
      </c>
      <c r="N3952">
        <v>14</v>
      </c>
      <c r="O3952">
        <v>6</v>
      </c>
      <c r="P3952">
        <f>MOD(DAY(datos_siembra[[#This Row],[Date]]),7)</f>
        <v>0</v>
      </c>
      <c r="Q3952" t="str">
        <f>CHOOSE(WEEKDAY(datos_siembra[[#This Row],[Date]],2),"L","M","X","J","V","S","D")</f>
        <v>L</v>
      </c>
      <c r="R3952">
        <f>WEEKNUM(datos_siembra[[#This Row],[Date]],2)-WEEKNUM(DATE(YEAR(datos_siembra[[#This Row],[Date]]),MONTH(datos_siembra[[#This Row],[Date]]),1))+1</f>
        <v>3</v>
      </c>
      <c r="S3952">
        <f>MONTH(datos_siembra[[#This Row],[Date]])</f>
        <v>10</v>
      </c>
      <c r="T3952" t="str" cm="1">
        <f t="array" ref="T3952">_xlfn.IFS(AND(N3952&lt;= 22, S3952=9), "SOWING",AND(N3952&lt;= 28, S3952=9), "COVERAGE",AND(N3952&lt;= 30, S3952=9), "FLUSH",AND(N3952&lt;= 11, S3952=10), "FLUSH",AND(N3952&lt;= 21, S3952=10), "PRODUCTION")</f>
        <v>PRODUCTION</v>
      </c>
      <c r="U3952">
        <f>HOUR(datos_siembra[[#This Row],[Hour]])</f>
        <v>5</v>
      </c>
      <c r="V3952" cm="1">
        <f t="array" ref="V3952">_xlfn.IFS(AND(N3952&lt;= 22, S3952=9), N3952-7,AND(N3952&lt;= 28, S3952=9), N3952-25,AND(N3952&lt;= 30, S3952=9), N3952-28,AND(N3952&lt;= 11, S3952=10), N3952+2,AND(N3952&lt;= 21, S3952=10), N3952-11)</f>
        <v>3</v>
      </c>
    </row>
    <row r="3953" spans="1:22" x14ac:dyDescent="0.35">
      <c r="A3953" s="4">
        <v>45579</v>
      </c>
      <c r="B3953" s="5">
        <v>0.25148148148148147</v>
      </c>
      <c r="C3953">
        <v>72.599999999999994</v>
      </c>
      <c r="D3953">
        <v>73.099999999999994</v>
      </c>
      <c r="E3953">
        <v>70.5</v>
      </c>
      <c r="F3953">
        <v>71.8</v>
      </c>
      <c r="G3953">
        <v>0</v>
      </c>
      <c r="H3953">
        <v>0</v>
      </c>
      <c r="I3953">
        <v>0</v>
      </c>
      <c r="J3953">
        <v>0</v>
      </c>
      <c r="K3953">
        <v>62.9</v>
      </c>
      <c r="L3953">
        <v>63.6</v>
      </c>
      <c r="M3953">
        <v>71.989999999999995</v>
      </c>
      <c r="N3953">
        <v>14</v>
      </c>
      <c r="O3953">
        <v>6</v>
      </c>
      <c r="P3953">
        <f>MOD(DAY(datos_siembra[[#This Row],[Date]]),7)</f>
        <v>0</v>
      </c>
      <c r="Q3953" t="str">
        <f>CHOOSE(WEEKDAY(datos_siembra[[#This Row],[Date]],2),"L","M","X","J","V","S","D")</f>
        <v>L</v>
      </c>
      <c r="R3953">
        <f>WEEKNUM(datos_siembra[[#This Row],[Date]],2)-WEEKNUM(DATE(YEAR(datos_siembra[[#This Row],[Date]]),MONTH(datos_siembra[[#This Row],[Date]]),1))+1</f>
        <v>3</v>
      </c>
      <c r="S3953">
        <f>MONTH(datos_siembra[[#This Row],[Date]])</f>
        <v>10</v>
      </c>
      <c r="T3953" t="str" cm="1">
        <f t="array" ref="T3953">_xlfn.IFS(AND(N3953&lt;= 22, S3953=9), "SOWING",AND(N3953&lt;= 28, S3953=9), "COVERAGE",AND(N3953&lt;= 30, S3953=9), "FLUSH",AND(N3953&lt;= 11, S3953=10), "FLUSH",AND(N3953&lt;= 21, S3953=10), "PRODUCTION")</f>
        <v>PRODUCTION</v>
      </c>
      <c r="U3953">
        <f>HOUR(datos_siembra[[#This Row],[Hour]])</f>
        <v>6</v>
      </c>
      <c r="V3953" cm="1">
        <f t="array" ref="V3953">_xlfn.IFS(AND(N3953&lt;= 22, S3953=9), N3953-7,AND(N3953&lt;= 28, S3953=9), N3953-25,AND(N3953&lt;= 30, S3953=9), N3953-28,AND(N3953&lt;= 11, S3953=10), N3953+2,AND(N3953&lt;= 21, S3953=10), N3953-11)</f>
        <v>3</v>
      </c>
    </row>
    <row r="3954" spans="1:22" x14ac:dyDescent="0.35">
      <c r="A3954" s="4">
        <v>45579</v>
      </c>
      <c r="B3954" s="5">
        <v>0.25843749999999999</v>
      </c>
      <c r="C3954">
        <v>72.5</v>
      </c>
      <c r="D3954">
        <v>73.2</v>
      </c>
      <c r="E3954">
        <v>70.5</v>
      </c>
      <c r="F3954">
        <v>71.8</v>
      </c>
      <c r="G3954">
        <v>0</v>
      </c>
      <c r="H3954">
        <v>0</v>
      </c>
      <c r="I3954">
        <v>0</v>
      </c>
      <c r="J3954">
        <v>0</v>
      </c>
      <c r="K3954">
        <v>62.9</v>
      </c>
      <c r="L3954">
        <v>63.6</v>
      </c>
      <c r="M3954">
        <v>71.97</v>
      </c>
      <c r="N3954">
        <v>14</v>
      </c>
      <c r="O3954">
        <v>6</v>
      </c>
      <c r="P3954">
        <f>MOD(DAY(datos_siembra[[#This Row],[Date]]),7)</f>
        <v>0</v>
      </c>
      <c r="Q3954" t="str">
        <f>CHOOSE(WEEKDAY(datos_siembra[[#This Row],[Date]],2),"L","M","X","J","V","S","D")</f>
        <v>L</v>
      </c>
      <c r="R3954">
        <f>WEEKNUM(datos_siembra[[#This Row],[Date]],2)-WEEKNUM(DATE(YEAR(datos_siembra[[#This Row],[Date]]),MONTH(datos_siembra[[#This Row],[Date]]),1))+1</f>
        <v>3</v>
      </c>
      <c r="S3954">
        <f>MONTH(datos_siembra[[#This Row],[Date]])</f>
        <v>10</v>
      </c>
      <c r="T3954" t="str" cm="1">
        <f t="array" ref="T3954">_xlfn.IFS(AND(N3954&lt;= 22, S3954=9), "SOWING",AND(N3954&lt;= 28, S3954=9), "COVERAGE",AND(N3954&lt;= 30, S3954=9), "FLUSH",AND(N3954&lt;= 11, S3954=10), "FLUSH",AND(N3954&lt;= 21, S3954=10), "PRODUCTION")</f>
        <v>PRODUCTION</v>
      </c>
      <c r="U3954">
        <f>HOUR(datos_siembra[[#This Row],[Hour]])</f>
        <v>6</v>
      </c>
      <c r="V3954" cm="1">
        <f t="array" ref="V3954">_xlfn.IFS(AND(N3954&lt;= 22, S3954=9), N3954-7,AND(N3954&lt;= 28, S3954=9), N3954-25,AND(N3954&lt;= 30, S3954=9), N3954-28,AND(N3954&lt;= 11, S3954=10), N3954+2,AND(N3954&lt;= 21, S3954=10), N3954-11)</f>
        <v>3</v>
      </c>
    </row>
    <row r="3955" spans="1:22" x14ac:dyDescent="0.35">
      <c r="A3955" s="4">
        <v>45579</v>
      </c>
      <c r="B3955" s="5">
        <v>0.26538194444444446</v>
      </c>
      <c r="C3955">
        <v>72.7</v>
      </c>
      <c r="D3955">
        <v>73.099999999999994</v>
      </c>
      <c r="E3955">
        <v>70.400000000000006</v>
      </c>
      <c r="F3955">
        <v>71.900000000000006</v>
      </c>
      <c r="G3955">
        <v>0</v>
      </c>
      <c r="H3955">
        <v>0</v>
      </c>
      <c r="I3955">
        <v>0</v>
      </c>
      <c r="J3955">
        <v>0</v>
      </c>
      <c r="K3955">
        <v>63</v>
      </c>
      <c r="L3955">
        <v>63.6</v>
      </c>
      <c r="M3955">
        <v>71.97</v>
      </c>
      <c r="N3955">
        <v>14</v>
      </c>
      <c r="O3955">
        <v>6</v>
      </c>
      <c r="P3955">
        <f>MOD(DAY(datos_siembra[[#This Row],[Date]]),7)</f>
        <v>0</v>
      </c>
      <c r="Q3955" t="str">
        <f>CHOOSE(WEEKDAY(datos_siembra[[#This Row],[Date]],2),"L","M","X","J","V","S","D")</f>
        <v>L</v>
      </c>
      <c r="R3955">
        <f>WEEKNUM(datos_siembra[[#This Row],[Date]],2)-WEEKNUM(DATE(YEAR(datos_siembra[[#This Row],[Date]]),MONTH(datos_siembra[[#This Row],[Date]]),1))+1</f>
        <v>3</v>
      </c>
      <c r="S3955">
        <f>MONTH(datos_siembra[[#This Row],[Date]])</f>
        <v>10</v>
      </c>
      <c r="T3955" t="str" cm="1">
        <f t="array" ref="T3955">_xlfn.IFS(AND(N3955&lt;= 22, S3955=9), "SOWING",AND(N3955&lt;= 28, S3955=9), "COVERAGE",AND(N3955&lt;= 30, S3955=9), "FLUSH",AND(N3955&lt;= 11, S3955=10), "FLUSH",AND(N3955&lt;= 21, S3955=10), "PRODUCTION")</f>
        <v>PRODUCTION</v>
      </c>
      <c r="U3955">
        <f>HOUR(datos_siembra[[#This Row],[Hour]])</f>
        <v>6</v>
      </c>
      <c r="V3955" cm="1">
        <f t="array" ref="V3955">_xlfn.IFS(AND(N3955&lt;= 22, S3955=9), N3955-7,AND(N3955&lt;= 28, S3955=9), N3955-25,AND(N3955&lt;= 30, S3955=9), N3955-28,AND(N3955&lt;= 11, S3955=10), N3955+2,AND(N3955&lt;= 21, S3955=10), N3955-11)</f>
        <v>3</v>
      </c>
    </row>
    <row r="3956" spans="1:22" x14ac:dyDescent="0.35">
      <c r="A3956" s="4">
        <v>45579</v>
      </c>
      <c r="B3956" s="5">
        <v>0.27232638888888888</v>
      </c>
      <c r="C3956">
        <v>72.5</v>
      </c>
      <c r="D3956">
        <v>73.099999999999994</v>
      </c>
      <c r="E3956">
        <v>70.400000000000006</v>
      </c>
      <c r="F3956">
        <v>71.8</v>
      </c>
      <c r="G3956">
        <v>0</v>
      </c>
      <c r="H3956">
        <v>0</v>
      </c>
      <c r="I3956">
        <v>0</v>
      </c>
      <c r="J3956">
        <v>0</v>
      </c>
      <c r="K3956">
        <v>62.9</v>
      </c>
      <c r="L3956">
        <v>64.099999999999994</v>
      </c>
      <c r="M3956">
        <v>71.94</v>
      </c>
      <c r="N3956">
        <v>14</v>
      </c>
      <c r="O3956">
        <v>6</v>
      </c>
      <c r="P3956">
        <f>MOD(DAY(datos_siembra[[#This Row],[Date]]),7)</f>
        <v>0</v>
      </c>
      <c r="Q3956" t="str">
        <f>CHOOSE(WEEKDAY(datos_siembra[[#This Row],[Date]],2),"L","M","X","J","V","S","D")</f>
        <v>L</v>
      </c>
      <c r="R3956">
        <f>WEEKNUM(datos_siembra[[#This Row],[Date]],2)-WEEKNUM(DATE(YEAR(datos_siembra[[#This Row],[Date]]),MONTH(datos_siembra[[#This Row],[Date]]),1))+1</f>
        <v>3</v>
      </c>
      <c r="S3956">
        <f>MONTH(datos_siembra[[#This Row],[Date]])</f>
        <v>10</v>
      </c>
      <c r="T3956" t="str" cm="1">
        <f t="array" ref="T3956">_xlfn.IFS(AND(N3956&lt;= 22, S3956=9), "SOWING",AND(N3956&lt;= 28, S3956=9), "COVERAGE",AND(N3956&lt;= 30, S3956=9), "FLUSH",AND(N3956&lt;= 11, S3956=10), "FLUSH",AND(N3956&lt;= 21, S3956=10), "PRODUCTION")</f>
        <v>PRODUCTION</v>
      </c>
      <c r="U3956">
        <f>HOUR(datos_siembra[[#This Row],[Hour]])</f>
        <v>6</v>
      </c>
      <c r="V3956" cm="1">
        <f t="array" ref="V3956">_xlfn.IFS(AND(N3956&lt;= 22, S3956=9), N3956-7,AND(N3956&lt;= 28, S3956=9), N3956-25,AND(N3956&lt;= 30, S3956=9), N3956-28,AND(N3956&lt;= 11, S3956=10), N3956+2,AND(N3956&lt;= 21, S3956=10), N3956-11)</f>
        <v>3</v>
      </c>
    </row>
    <row r="3957" spans="1:22" x14ac:dyDescent="0.35">
      <c r="A3957" s="4">
        <v>45579</v>
      </c>
      <c r="B3957" s="5">
        <v>0.27927083333333336</v>
      </c>
      <c r="C3957">
        <v>72.5</v>
      </c>
      <c r="D3957">
        <v>73</v>
      </c>
      <c r="E3957">
        <v>70.400000000000006</v>
      </c>
      <c r="F3957">
        <v>71.7</v>
      </c>
      <c r="G3957">
        <v>0</v>
      </c>
      <c r="H3957">
        <v>0</v>
      </c>
      <c r="I3957">
        <v>0</v>
      </c>
      <c r="J3957">
        <v>0</v>
      </c>
      <c r="K3957">
        <v>63</v>
      </c>
      <c r="L3957">
        <v>64.099999999999994</v>
      </c>
      <c r="M3957">
        <v>71.88</v>
      </c>
      <c r="N3957">
        <v>14</v>
      </c>
      <c r="O3957">
        <v>6</v>
      </c>
      <c r="P3957">
        <f>MOD(DAY(datos_siembra[[#This Row],[Date]]),7)</f>
        <v>0</v>
      </c>
      <c r="Q3957" t="str">
        <f>CHOOSE(WEEKDAY(datos_siembra[[#This Row],[Date]],2),"L","M","X","J","V","S","D")</f>
        <v>L</v>
      </c>
      <c r="R3957">
        <f>WEEKNUM(datos_siembra[[#This Row],[Date]],2)-WEEKNUM(DATE(YEAR(datos_siembra[[#This Row],[Date]]),MONTH(datos_siembra[[#This Row],[Date]]),1))+1</f>
        <v>3</v>
      </c>
      <c r="S3957">
        <f>MONTH(datos_siembra[[#This Row],[Date]])</f>
        <v>10</v>
      </c>
      <c r="T3957" t="str" cm="1">
        <f t="array" ref="T3957">_xlfn.IFS(AND(N3957&lt;= 22, S3957=9), "SOWING",AND(N3957&lt;= 28, S3957=9), "COVERAGE",AND(N3957&lt;= 30, S3957=9), "FLUSH",AND(N3957&lt;= 11, S3957=10), "FLUSH",AND(N3957&lt;= 21, S3957=10), "PRODUCTION")</f>
        <v>PRODUCTION</v>
      </c>
      <c r="U3957">
        <f>HOUR(datos_siembra[[#This Row],[Hour]])</f>
        <v>6</v>
      </c>
      <c r="V3957" cm="1">
        <f t="array" ref="V3957">_xlfn.IFS(AND(N3957&lt;= 22, S3957=9), N3957-7,AND(N3957&lt;= 28, S3957=9), N3957-25,AND(N3957&lt;= 30, S3957=9), N3957-28,AND(N3957&lt;= 11, S3957=10), N3957+2,AND(N3957&lt;= 21, S3957=10), N3957-11)</f>
        <v>3</v>
      </c>
    </row>
    <row r="3958" spans="1:22" x14ac:dyDescent="0.35">
      <c r="A3958" s="4">
        <v>45579</v>
      </c>
      <c r="B3958" s="5">
        <v>0.28622685185185187</v>
      </c>
      <c r="C3958">
        <v>72.5</v>
      </c>
      <c r="D3958">
        <v>73.099999999999994</v>
      </c>
      <c r="E3958">
        <v>70.3</v>
      </c>
      <c r="F3958">
        <v>71.7</v>
      </c>
      <c r="G3958">
        <v>0</v>
      </c>
      <c r="H3958">
        <v>0</v>
      </c>
      <c r="I3958">
        <v>0</v>
      </c>
      <c r="J3958">
        <v>0</v>
      </c>
      <c r="K3958">
        <v>63</v>
      </c>
      <c r="L3958">
        <v>63.9</v>
      </c>
      <c r="M3958">
        <v>71.88</v>
      </c>
      <c r="N3958">
        <v>14</v>
      </c>
      <c r="O3958">
        <v>6</v>
      </c>
      <c r="P3958">
        <f>MOD(DAY(datos_siembra[[#This Row],[Date]]),7)</f>
        <v>0</v>
      </c>
      <c r="Q3958" t="str">
        <f>CHOOSE(WEEKDAY(datos_siembra[[#This Row],[Date]],2),"L","M","X","J","V","S","D")</f>
        <v>L</v>
      </c>
      <c r="R3958">
        <f>WEEKNUM(datos_siembra[[#This Row],[Date]],2)-WEEKNUM(DATE(YEAR(datos_siembra[[#This Row],[Date]]),MONTH(datos_siembra[[#This Row],[Date]]),1))+1</f>
        <v>3</v>
      </c>
      <c r="S3958">
        <f>MONTH(datos_siembra[[#This Row],[Date]])</f>
        <v>10</v>
      </c>
      <c r="T3958" t="str" cm="1">
        <f t="array" ref="T3958">_xlfn.IFS(AND(N3958&lt;= 22, S3958=9), "SOWING",AND(N3958&lt;= 28, S3958=9), "COVERAGE",AND(N3958&lt;= 30, S3958=9), "FLUSH",AND(N3958&lt;= 11, S3958=10), "FLUSH",AND(N3958&lt;= 21, S3958=10), "PRODUCTION")</f>
        <v>PRODUCTION</v>
      </c>
      <c r="U3958">
        <f>HOUR(datos_siembra[[#This Row],[Hour]])</f>
        <v>6</v>
      </c>
      <c r="V3958" cm="1">
        <f t="array" ref="V3958">_xlfn.IFS(AND(N3958&lt;= 22, S3958=9), N3958-7,AND(N3958&lt;= 28, S3958=9), N3958-25,AND(N3958&lt;= 30, S3958=9), N3958-28,AND(N3958&lt;= 11, S3958=10), N3958+2,AND(N3958&lt;= 21, S3958=10), N3958-11)</f>
        <v>3</v>
      </c>
    </row>
    <row r="3959" spans="1:22" x14ac:dyDescent="0.35">
      <c r="A3959" s="4">
        <v>45579</v>
      </c>
      <c r="B3959" s="5">
        <v>0.29317129629629629</v>
      </c>
      <c r="C3959">
        <v>72.5</v>
      </c>
      <c r="D3959">
        <v>73</v>
      </c>
      <c r="E3959">
        <v>70.5</v>
      </c>
      <c r="F3959">
        <v>71.599999999999994</v>
      </c>
      <c r="G3959">
        <v>0</v>
      </c>
      <c r="H3959">
        <v>0</v>
      </c>
      <c r="I3959">
        <v>0</v>
      </c>
      <c r="J3959">
        <v>0</v>
      </c>
      <c r="K3959">
        <v>63.2</v>
      </c>
      <c r="L3959">
        <v>63.7</v>
      </c>
      <c r="M3959">
        <v>71.91</v>
      </c>
      <c r="N3959">
        <v>14</v>
      </c>
      <c r="O3959">
        <v>6</v>
      </c>
      <c r="P3959">
        <f>MOD(DAY(datos_siembra[[#This Row],[Date]]),7)</f>
        <v>0</v>
      </c>
      <c r="Q3959" t="str">
        <f>CHOOSE(WEEKDAY(datos_siembra[[#This Row],[Date]],2),"L","M","X","J","V","S","D")</f>
        <v>L</v>
      </c>
      <c r="R3959">
        <f>WEEKNUM(datos_siembra[[#This Row],[Date]],2)-WEEKNUM(DATE(YEAR(datos_siembra[[#This Row],[Date]]),MONTH(datos_siembra[[#This Row],[Date]]),1))+1</f>
        <v>3</v>
      </c>
      <c r="S3959">
        <f>MONTH(datos_siembra[[#This Row],[Date]])</f>
        <v>10</v>
      </c>
      <c r="T3959" t="str" cm="1">
        <f t="array" ref="T3959">_xlfn.IFS(AND(N3959&lt;= 22, S3959=9), "SOWING",AND(N3959&lt;= 28, S3959=9), "COVERAGE",AND(N3959&lt;= 30, S3959=9), "FLUSH",AND(N3959&lt;= 11, S3959=10), "FLUSH",AND(N3959&lt;= 21, S3959=10), "PRODUCTION")</f>
        <v>PRODUCTION</v>
      </c>
      <c r="U3959">
        <f>HOUR(datos_siembra[[#This Row],[Hour]])</f>
        <v>7</v>
      </c>
      <c r="V3959" cm="1">
        <f t="array" ref="V3959">_xlfn.IFS(AND(N3959&lt;= 22, S3959=9), N3959-7,AND(N3959&lt;= 28, S3959=9), N3959-25,AND(N3959&lt;= 30, S3959=9), N3959-28,AND(N3959&lt;= 11, S3959=10), N3959+2,AND(N3959&lt;= 21, S3959=10), N3959-11)</f>
        <v>3</v>
      </c>
    </row>
    <row r="3960" spans="1:22" x14ac:dyDescent="0.35">
      <c r="A3960" s="4">
        <v>45579</v>
      </c>
      <c r="B3960" s="5">
        <v>0.30011574074074077</v>
      </c>
      <c r="C3960">
        <v>72.5</v>
      </c>
      <c r="D3960">
        <v>73.099999999999994</v>
      </c>
      <c r="E3960">
        <v>70.3</v>
      </c>
      <c r="F3960">
        <v>71.8</v>
      </c>
      <c r="G3960">
        <v>0</v>
      </c>
      <c r="H3960">
        <v>0</v>
      </c>
      <c r="I3960">
        <v>0</v>
      </c>
      <c r="J3960">
        <v>0</v>
      </c>
      <c r="K3960">
        <v>63.2</v>
      </c>
      <c r="L3960">
        <v>63.7</v>
      </c>
      <c r="M3960">
        <v>71.88</v>
      </c>
      <c r="N3960">
        <v>14</v>
      </c>
      <c r="O3960">
        <v>6</v>
      </c>
      <c r="P3960">
        <f>MOD(DAY(datos_siembra[[#This Row],[Date]]),7)</f>
        <v>0</v>
      </c>
      <c r="Q3960" t="str">
        <f>CHOOSE(WEEKDAY(datos_siembra[[#This Row],[Date]],2),"L","M","X","J","V","S","D")</f>
        <v>L</v>
      </c>
      <c r="R3960">
        <f>WEEKNUM(datos_siembra[[#This Row],[Date]],2)-WEEKNUM(DATE(YEAR(datos_siembra[[#This Row],[Date]]),MONTH(datos_siembra[[#This Row],[Date]]),1))+1</f>
        <v>3</v>
      </c>
      <c r="S3960">
        <f>MONTH(datos_siembra[[#This Row],[Date]])</f>
        <v>10</v>
      </c>
      <c r="T3960" t="str" cm="1">
        <f t="array" ref="T3960">_xlfn.IFS(AND(N3960&lt;= 22, S3960=9), "SOWING",AND(N3960&lt;= 28, S3960=9), "COVERAGE",AND(N3960&lt;= 30, S3960=9), "FLUSH",AND(N3960&lt;= 11, S3960=10), "FLUSH",AND(N3960&lt;= 21, S3960=10), "PRODUCTION")</f>
        <v>PRODUCTION</v>
      </c>
      <c r="U3960">
        <f>HOUR(datos_siembra[[#This Row],[Hour]])</f>
        <v>7</v>
      </c>
      <c r="V3960" cm="1">
        <f t="array" ref="V3960">_xlfn.IFS(AND(N3960&lt;= 22, S3960=9), N3960-7,AND(N3960&lt;= 28, S3960=9), N3960-25,AND(N3960&lt;= 30, S3960=9), N3960-28,AND(N3960&lt;= 11, S3960=10), N3960+2,AND(N3960&lt;= 21, S3960=10), N3960-11)</f>
        <v>3</v>
      </c>
    </row>
    <row r="3961" spans="1:22" x14ac:dyDescent="0.35">
      <c r="A3961" s="4">
        <v>45579</v>
      </c>
      <c r="B3961" s="5">
        <v>0.30707175925925928</v>
      </c>
      <c r="C3961">
        <v>72.400000000000006</v>
      </c>
      <c r="D3961">
        <v>73</v>
      </c>
      <c r="E3961">
        <v>70.3</v>
      </c>
      <c r="F3961">
        <v>71.400000000000006</v>
      </c>
      <c r="G3961">
        <v>0</v>
      </c>
      <c r="H3961">
        <v>0</v>
      </c>
      <c r="I3961">
        <v>0</v>
      </c>
      <c r="J3961">
        <v>0</v>
      </c>
      <c r="K3961">
        <v>63.2</v>
      </c>
      <c r="L3961">
        <v>63.7</v>
      </c>
      <c r="M3961">
        <v>71.77</v>
      </c>
      <c r="N3961">
        <v>14</v>
      </c>
      <c r="O3961">
        <v>6</v>
      </c>
      <c r="P3961">
        <f>MOD(DAY(datos_siembra[[#This Row],[Date]]),7)</f>
        <v>0</v>
      </c>
      <c r="Q3961" t="str">
        <f>CHOOSE(WEEKDAY(datos_siembra[[#This Row],[Date]],2),"L","M","X","J","V","S","D")</f>
        <v>L</v>
      </c>
      <c r="R3961">
        <f>WEEKNUM(datos_siembra[[#This Row],[Date]],2)-WEEKNUM(DATE(YEAR(datos_siembra[[#This Row],[Date]]),MONTH(datos_siembra[[#This Row],[Date]]),1))+1</f>
        <v>3</v>
      </c>
      <c r="S3961">
        <f>MONTH(datos_siembra[[#This Row],[Date]])</f>
        <v>10</v>
      </c>
      <c r="T3961" t="str" cm="1">
        <f t="array" ref="T3961">_xlfn.IFS(AND(N3961&lt;= 22, S3961=9), "SOWING",AND(N3961&lt;= 28, S3961=9), "COVERAGE",AND(N3961&lt;= 30, S3961=9), "FLUSH",AND(N3961&lt;= 11, S3961=10), "FLUSH",AND(N3961&lt;= 21, S3961=10), "PRODUCTION")</f>
        <v>PRODUCTION</v>
      </c>
      <c r="U3961">
        <f>HOUR(datos_siembra[[#This Row],[Hour]])</f>
        <v>7</v>
      </c>
      <c r="V3961" cm="1">
        <f t="array" ref="V3961">_xlfn.IFS(AND(N3961&lt;= 22, S3961=9), N3961-7,AND(N3961&lt;= 28, S3961=9), N3961-25,AND(N3961&lt;= 30, S3961=9), N3961-28,AND(N3961&lt;= 11, S3961=10), N3961+2,AND(N3961&lt;= 21, S3961=10), N3961-11)</f>
        <v>3</v>
      </c>
    </row>
    <row r="3962" spans="1:22" x14ac:dyDescent="0.35">
      <c r="A3962" s="4">
        <v>45579</v>
      </c>
      <c r="B3962" s="5">
        <v>0.3140162037037037</v>
      </c>
      <c r="C3962">
        <v>72.400000000000006</v>
      </c>
      <c r="D3962">
        <v>73.099999999999994</v>
      </c>
      <c r="E3962">
        <v>70.3</v>
      </c>
      <c r="F3962">
        <v>71.5</v>
      </c>
      <c r="G3962">
        <v>0</v>
      </c>
      <c r="H3962">
        <v>0</v>
      </c>
      <c r="I3962">
        <v>0</v>
      </c>
      <c r="J3962">
        <v>0</v>
      </c>
      <c r="K3962">
        <v>63.2</v>
      </c>
      <c r="L3962">
        <v>63.7</v>
      </c>
      <c r="M3962">
        <v>71.8</v>
      </c>
      <c r="N3962">
        <v>14</v>
      </c>
      <c r="O3962">
        <v>6</v>
      </c>
      <c r="P3962">
        <f>MOD(DAY(datos_siembra[[#This Row],[Date]]),7)</f>
        <v>0</v>
      </c>
      <c r="Q3962" t="str">
        <f>CHOOSE(WEEKDAY(datos_siembra[[#This Row],[Date]],2),"L","M","X","J","V","S","D")</f>
        <v>L</v>
      </c>
      <c r="R3962">
        <f>WEEKNUM(datos_siembra[[#This Row],[Date]],2)-WEEKNUM(DATE(YEAR(datos_siembra[[#This Row],[Date]]),MONTH(datos_siembra[[#This Row],[Date]]),1))+1</f>
        <v>3</v>
      </c>
      <c r="S3962">
        <f>MONTH(datos_siembra[[#This Row],[Date]])</f>
        <v>10</v>
      </c>
      <c r="T3962" t="str" cm="1">
        <f t="array" ref="T3962">_xlfn.IFS(AND(N3962&lt;= 22, S3962=9), "SOWING",AND(N3962&lt;= 28, S3962=9), "COVERAGE",AND(N3962&lt;= 30, S3962=9), "FLUSH",AND(N3962&lt;= 11, S3962=10), "FLUSH",AND(N3962&lt;= 21, S3962=10), "PRODUCTION")</f>
        <v>PRODUCTION</v>
      </c>
      <c r="U3962">
        <f>HOUR(datos_siembra[[#This Row],[Hour]])</f>
        <v>7</v>
      </c>
      <c r="V3962" cm="1">
        <f t="array" ref="V3962">_xlfn.IFS(AND(N3962&lt;= 22, S3962=9), N3962-7,AND(N3962&lt;= 28, S3962=9), N3962-25,AND(N3962&lt;= 30, S3962=9), N3962-28,AND(N3962&lt;= 11, S3962=10), N3962+2,AND(N3962&lt;= 21, S3962=10), N3962-11)</f>
        <v>3</v>
      </c>
    </row>
    <row r="3963" spans="1:22" x14ac:dyDescent="0.35">
      <c r="A3963" s="4">
        <v>45579</v>
      </c>
      <c r="B3963" s="5">
        <v>0.32096064814814818</v>
      </c>
      <c r="C3963">
        <v>72.400000000000006</v>
      </c>
      <c r="D3963">
        <v>73</v>
      </c>
      <c r="E3963">
        <v>70.099999999999994</v>
      </c>
      <c r="F3963">
        <v>71.5</v>
      </c>
      <c r="G3963">
        <v>0</v>
      </c>
      <c r="H3963">
        <v>0</v>
      </c>
      <c r="I3963">
        <v>0</v>
      </c>
      <c r="J3963">
        <v>0</v>
      </c>
      <c r="K3963">
        <v>63.3</v>
      </c>
      <c r="L3963">
        <v>63.8</v>
      </c>
      <c r="M3963">
        <v>71.739999999999995</v>
      </c>
      <c r="N3963">
        <v>14</v>
      </c>
      <c r="O3963">
        <v>6</v>
      </c>
      <c r="P3963">
        <f>MOD(DAY(datos_siembra[[#This Row],[Date]]),7)</f>
        <v>0</v>
      </c>
      <c r="Q3963" t="str">
        <f>CHOOSE(WEEKDAY(datos_siembra[[#This Row],[Date]],2),"L","M","X","J","V","S","D")</f>
        <v>L</v>
      </c>
      <c r="R3963">
        <f>WEEKNUM(datos_siembra[[#This Row],[Date]],2)-WEEKNUM(DATE(YEAR(datos_siembra[[#This Row],[Date]]),MONTH(datos_siembra[[#This Row],[Date]]),1))+1</f>
        <v>3</v>
      </c>
      <c r="S3963">
        <f>MONTH(datos_siembra[[#This Row],[Date]])</f>
        <v>10</v>
      </c>
      <c r="T3963" t="str" cm="1">
        <f t="array" ref="T3963">_xlfn.IFS(AND(N3963&lt;= 22, S3963=9), "SOWING",AND(N3963&lt;= 28, S3963=9), "COVERAGE",AND(N3963&lt;= 30, S3963=9), "FLUSH",AND(N3963&lt;= 11, S3963=10), "FLUSH",AND(N3963&lt;= 21, S3963=10), "PRODUCTION")</f>
        <v>PRODUCTION</v>
      </c>
      <c r="U3963">
        <f>HOUR(datos_siembra[[#This Row],[Hour]])</f>
        <v>7</v>
      </c>
      <c r="V3963" cm="1">
        <f t="array" ref="V3963">_xlfn.IFS(AND(N3963&lt;= 22, S3963=9), N3963-7,AND(N3963&lt;= 28, S3963=9), N3963-25,AND(N3963&lt;= 30, S3963=9), N3963-28,AND(N3963&lt;= 11, S3963=10), N3963+2,AND(N3963&lt;= 21, S3963=10), N3963-11)</f>
        <v>3</v>
      </c>
    </row>
    <row r="3964" spans="1:22" x14ac:dyDescent="0.35">
      <c r="A3964" s="4">
        <v>45579</v>
      </c>
      <c r="B3964" s="5">
        <v>0.3279050925925926</v>
      </c>
      <c r="C3964">
        <v>72.3</v>
      </c>
      <c r="D3964">
        <v>73</v>
      </c>
      <c r="E3964">
        <v>70.3</v>
      </c>
      <c r="F3964">
        <v>71.400000000000006</v>
      </c>
      <c r="G3964">
        <v>0</v>
      </c>
      <c r="H3964">
        <v>0</v>
      </c>
      <c r="I3964">
        <v>0</v>
      </c>
      <c r="J3964">
        <v>0</v>
      </c>
      <c r="K3964">
        <v>63.3</v>
      </c>
      <c r="L3964">
        <v>63.7</v>
      </c>
      <c r="M3964">
        <v>71.680000000000007</v>
      </c>
      <c r="N3964">
        <v>14</v>
      </c>
      <c r="O3964">
        <v>6</v>
      </c>
      <c r="P3964">
        <f>MOD(DAY(datos_siembra[[#This Row],[Date]]),7)</f>
        <v>0</v>
      </c>
      <c r="Q3964" t="str">
        <f>CHOOSE(WEEKDAY(datos_siembra[[#This Row],[Date]],2),"L","M","X","J","V","S","D")</f>
        <v>L</v>
      </c>
      <c r="R3964">
        <f>WEEKNUM(datos_siembra[[#This Row],[Date]],2)-WEEKNUM(DATE(YEAR(datos_siembra[[#This Row],[Date]]),MONTH(datos_siembra[[#This Row],[Date]]),1))+1</f>
        <v>3</v>
      </c>
      <c r="S3964">
        <f>MONTH(datos_siembra[[#This Row],[Date]])</f>
        <v>10</v>
      </c>
      <c r="T3964" t="str" cm="1">
        <f t="array" ref="T3964">_xlfn.IFS(AND(N3964&lt;= 22, S3964=9), "SOWING",AND(N3964&lt;= 28, S3964=9), "COVERAGE",AND(N3964&lt;= 30, S3964=9), "FLUSH",AND(N3964&lt;= 11, S3964=10), "FLUSH",AND(N3964&lt;= 21, S3964=10), "PRODUCTION")</f>
        <v>PRODUCTION</v>
      </c>
      <c r="U3964">
        <f>HOUR(datos_siembra[[#This Row],[Hour]])</f>
        <v>7</v>
      </c>
      <c r="V3964" cm="1">
        <f t="array" ref="V3964">_xlfn.IFS(AND(N3964&lt;= 22, S3964=9), N3964-7,AND(N3964&lt;= 28, S3964=9), N3964-25,AND(N3964&lt;= 30, S3964=9), N3964-28,AND(N3964&lt;= 11, S3964=10), N3964+2,AND(N3964&lt;= 21, S3964=10), N3964-11)</f>
        <v>3</v>
      </c>
    </row>
    <row r="3965" spans="1:22" x14ac:dyDescent="0.35">
      <c r="A3965" s="4">
        <v>45579</v>
      </c>
      <c r="B3965" s="5">
        <v>0.33486111111111111</v>
      </c>
      <c r="C3965">
        <v>72.400000000000006</v>
      </c>
      <c r="D3965">
        <v>72.8</v>
      </c>
      <c r="E3965">
        <v>70.099999999999994</v>
      </c>
      <c r="F3965">
        <v>71.3</v>
      </c>
      <c r="G3965">
        <v>0</v>
      </c>
      <c r="H3965">
        <v>0</v>
      </c>
      <c r="I3965">
        <v>0</v>
      </c>
      <c r="J3965">
        <v>0</v>
      </c>
      <c r="K3965">
        <v>63.5</v>
      </c>
      <c r="L3965">
        <v>63.9</v>
      </c>
      <c r="M3965">
        <v>71.739999999999995</v>
      </c>
      <c r="N3965">
        <v>14</v>
      </c>
      <c r="O3965">
        <v>6</v>
      </c>
      <c r="P3965">
        <f>MOD(DAY(datos_siembra[[#This Row],[Date]]),7)</f>
        <v>0</v>
      </c>
      <c r="Q3965" t="str">
        <f>CHOOSE(WEEKDAY(datos_siembra[[#This Row],[Date]],2),"L","M","X","J","V","S","D")</f>
        <v>L</v>
      </c>
      <c r="R3965">
        <f>WEEKNUM(datos_siembra[[#This Row],[Date]],2)-WEEKNUM(DATE(YEAR(datos_siembra[[#This Row],[Date]]),MONTH(datos_siembra[[#This Row],[Date]]),1))+1</f>
        <v>3</v>
      </c>
      <c r="S3965">
        <f>MONTH(datos_siembra[[#This Row],[Date]])</f>
        <v>10</v>
      </c>
      <c r="T3965" t="str" cm="1">
        <f t="array" ref="T3965">_xlfn.IFS(AND(N3965&lt;= 22, S3965=9), "SOWING",AND(N3965&lt;= 28, S3965=9), "COVERAGE",AND(N3965&lt;= 30, S3965=9), "FLUSH",AND(N3965&lt;= 11, S3965=10), "FLUSH",AND(N3965&lt;= 21, S3965=10), "PRODUCTION")</f>
        <v>PRODUCTION</v>
      </c>
      <c r="U3965">
        <f>HOUR(datos_siembra[[#This Row],[Hour]])</f>
        <v>8</v>
      </c>
      <c r="V3965" cm="1">
        <f t="array" ref="V3965">_xlfn.IFS(AND(N3965&lt;= 22, S3965=9), N3965-7,AND(N3965&lt;= 28, S3965=9), N3965-25,AND(N3965&lt;= 30, S3965=9), N3965-28,AND(N3965&lt;= 11, S3965=10), N3965+2,AND(N3965&lt;= 21, S3965=10), N3965-11)</f>
        <v>3</v>
      </c>
    </row>
    <row r="3966" spans="1:22" x14ac:dyDescent="0.35">
      <c r="A3966" s="4">
        <v>45579</v>
      </c>
      <c r="B3966" s="5">
        <v>0.34180555555555553</v>
      </c>
      <c r="C3966">
        <v>72.3</v>
      </c>
      <c r="D3966">
        <v>72.8</v>
      </c>
      <c r="E3966">
        <v>70.099999999999994</v>
      </c>
      <c r="F3966">
        <v>71.3</v>
      </c>
      <c r="G3966">
        <v>0</v>
      </c>
      <c r="H3966">
        <v>0</v>
      </c>
      <c r="I3966">
        <v>0</v>
      </c>
      <c r="J3966">
        <v>0</v>
      </c>
      <c r="K3966">
        <v>63.5</v>
      </c>
      <c r="L3966">
        <v>64.099999999999994</v>
      </c>
      <c r="M3966">
        <v>71.709999999999994</v>
      </c>
      <c r="N3966">
        <v>14</v>
      </c>
      <c r="O3966">
        <v>6</v>
      </c>
      <c r="P3966">
        <f>MOD(DAY(datos_siembra[[#This Row],[Date]]),7)</f>
        <v>0</v>
      </c>
      <c r="Q3966" t="str">
        <f>CHOOSE(WEEKDAY(datos_siembra[[#This Row],[Date]],2),"L","M","X","J","V","S","D")</f>
        <v>L</v>
      </c>
      <c r="R3966">
        <f>WEEKNUM(datos_siembra[[#This Row],[Date]],2)-WEEKNUM(DATE(YEAR(datos_siembra[[#This Row],[Date]]),MONTH(datos_siembra[[#This Row],[Date]]),1))+1</f>
        <v>3</v>
      </c>
      <c r="S3966">
        <f>MONTH(datos_siembra[[#This Row],[Date]])</f>
        <v>10</v>
      </c>
      <c r="T3966" t="str" cm="1">
        <f t="array" ref="T3966">_xlfn.IFS(AND(N3966&lt;= 22, S3966=9), "SOWING",AND(N3966&lt;= 28, S3966=9), "COVERAGE",AND(N3966&lt;= 30, S3966=9), "FLUSH",AND(N3966&lt;= 11, S3966=10), "FLUSH",AND(N3966&lt;= 21, S3966=10), "PRODUCTION")</f>
        <v>PRODUCTION</v>
      </c>
      <c r="U3966">
        <f>HOUR(datos_siembra[[#This Row],[Hour]])</f>
        <v>8</v>
      </c>
      <c r="V3966" cm="1">
        <f t="array" ref="V3966">_xlfn.IFS(AND(N3966&lt;= 22, S3966=9), N3966-7,AND(N3966&lt;= 28, S3966=9), N3966-25,AND(N3966&lt;= 30, S3966=9), N3966-28,AND(N3966&lt;= 11, S3966=10), N3966+2,AND(N3966&lt;= 21, S3966=10), N3966-11)</f>
        <v>3</v>
      </c>
    </row>
    <row r="3967" spans="1:22" x14ac:dyDescent="0.35">
      <c r="A3967" s="4">
        <v>45579</v>
      </c>
      <c r="B3967" s="5">
        <v>0.34875</v>
      </c>
      <c r="C3967">
        <v>72.400000000000006</v>
      </c>
      <c r="D3967">
        <v>73.099999999999994</v>
      </c>
      <c r="E3967">
        <v>70.099999999999994</v>
      </c>
      <c r="F3967">
        <v>71.3</v>
      </c>
      <c r="G3967">
        <v>0</v>
      </c>
      <c r="H3967">
        <v>0</v>
      </c>
      <c r="I3967">
        <v>0</v>
      </c>
      <c r="J3967">
        <v>0</v>
      </c>
      <c r="K3967">
        <v>63.6</v>
      </c>
      <c r="L3967">
        <v>64.099999999999994</v>
      </c>
      <c r="M3967">
        <v>71.66</v>
      </c>
      <c r="N3967">
        <v>14</v>
      </c>
      <c r="O3967">
        <v>6</v>
      </c>
      <c r="P3967">
        <f>MOD(DAY(datos_siembra[[#This Row],[Date]]),7)</f>
        <v>0</v>
      </c>
      <c r="Q3967" t="str">
        <f>CHOOSE(WEEKDAY(datos_siembra[[#This Row],[Date]],2),"L","M","X","J","V","S","D")</f>
        <v>L</v>
      </c>
      <c r="R3967">
        <f>WEEKNUM(datos_siembra[[#This Row],[Date]],2)-WEEKNUM(DATE(YEAR(datos_siembra[[#This Row],[Date]]),MONTH(datos_siembra[[#This Row],[Date]]),1))+1</f>
        <v>3</v>
      </c>
      <c r="S3967">
        <f>MONTH(datos_siembra[[#This Row],[Date]])</f>
        <v>10</v>
      </c>
      <c r="T3967" t="str" cm="1">
        <f t="array" ref="T3967">_xlfn.IFS(AND(N3967&lt;= 22, S3967=9), "SOWING",AND(N3967&lt;= 28, S3967=9), "COVERAGE",AND(N3967&lt;= 30, S3967=9), "FLUSH",AND(N3967&lt;= 11, S3967=10), "FLUSH",AND(N3967&lt;= 21, S3967=10), "PRODUCTION")</f>
        <v>PRODUCTION</v>
      </c>
      <c r="U3967">
        <f>HOUR(datos_siembra[[#This Row],[Hour]])</f>
        <v>8</v>
      </c>
      <c r="V3967" cm="1">
        <f t="array" ref="V3967">_xlfn.IFS(AND(N3967&lt;= 22, S3967=9), N3967-7,AND(N3967&lt;= 28, S3967=9), N3967-25,AND(N3967&lt;= 30, S3967=9), N3967-28,AND(N3967&lt;= 11, S3967=10), N3967+2,AND(N3967&lt;= 21, S3967=10), N3967-11)</f>
        <v>3</v>
      </c>
    </row>
    <row r="3968" spans="1:22" x14ac:dyDescent="0.35">
      <c r="A3968" s="4">
        <v>45579</v>
      </c>
      <c r="B3968" s="5">
        <v>0.35570601851851852</v>
      </c>
      <c r="C3968">
        <v>72.400000000000006</v>
      </c>
      <c r="D3968">
        <v>72.8</v>
      </c>
      <c r="E3968">
        <v>70.099999999999994</v>
      </c>
      <c r="F3968">
        <v>71.400000000000006</v>
      </c>
      <c r="G3968">
        <v>0</v>
      </c>
      <c r="H3968">
        <v>0</v>
      </c>
      <c r="I3968">
        <v>0</v>
      </c>
      <c r="J3968">
        <v>0</v>
      </c>
      <c r="K3968">
        <v>63.6</v>
      </c>
      <c r="L3968">
        <v>64.099999999999994</v>
      </c>
      <c r="M3968">
        <v>71.599999999999994</v>
      </c>
      <c r="N3968">
        <v>14</v>
      </c>
      <c r="O3968">
        <v>6</v>
      </c>
      <c r="P3968">
        <f>MOD(DAY(datos_siembra[[#This Row],[Date]]),7)</f>
        <v>0</v>
      </c>
      <c r="Q3968" t="str">
        <f>CHOOSE(WEEKDAY(datos_siembra[[#This Row],[Date]],2),"L","M","X","J","V","S","D")</f>
        <v>L</v>
      </c>
      <c r="R3968">
        <f>WEEKNUM(datos_siembra[[#This Row],[Date]],2)-WEEKNUM(DATE(YEAR(datos_siembra[[#This Row],[Date]]),MONTH(datos_siembra[[#This Row],[Date]]),1))+1</f>
        <v>3</v>
      </c>
      <c r="S3968">
        <f>MONTH(datos_siembra[[#This Row],[Date]])</f>
        <v>10</v>
      </c>
      <c r="T3968" t="str" cm="1">
        <f t="array" ref="T3968">_xlfn.IFS(AND(N3968&lt;= 22, S3968=9), "SOWING",AND(N3968&lt;= 28, S3968=9), "COVERAGE",AND(N3968&lt;= 30, S3968=9), "FLUSH",AND(N3968&lt;= 11, S3968=10), "FLUSH",AND(N3968&lt;= 21, S3968=10), "PRODUCTION")</f>
        <v>PRODUCTION</v>
      </c>
      <c r="U3968">
        <f>HOUR(datos_siembra[[#This Row],[Hour]])</f>
        <v>8</v>
      </c>
      <c r="V3968" cm="1">
        <f t="array" ref="V3968">_xlfn.IFS(AND(N3968&lt;= 22, S3968=9), N3968-7,AND(N3968&lt;= 28, S3968=9), N3968-25,AND(N3968&lt;= 30, S3968=9), N3968-28,AND(N3968&lt;= 11, S3968=10), N3968+2,AND(N3968&lt;= 21, S3968=10), N3968-11)</f>
        <v>3</v>
      </c>
    </row>
    <row r="3969" spans="1:22" x14ac:dyDescent="0.35">
      <c r="A3969" s="4">
        <v>45579</v>
      </c>
      <c r="B3969" s="5">
        <v>0.36265046296296294</v>
      </c>
      <c r="C3969">
        <v>72.3</v>
      </c>
      <c r="D3969">
        <v>73.099999999999994</v>
      </c>
      <c r="E3969">
        <v>70</v>
      </c>
      <c r="F3969">
        <v>71.3</v>
      </c>
      <c r="G3969">
        <v>0</v>
      </c>
      <c r="H3969">
        <v>0</v>
      </c>
      <c r="I3969">
        <v>0</v>
      </c>
      <c r="J3969">
        <v>0</v>
      </c>
      <c r="K3969">
        <v>63.7</v>
      </c>
      <c r="L3969">
        <v>64.099999999999994</v>
      </c>
      <c r="M3969">
        <v>71.66</v>
      </c>
      <c r="N3969">
        <v>14</v>
      </c>
      <c r="O3969">
        <v>6</v>
      </c>
      <c r="P3969">
        <f>MOD(DAY(datos_siembra[[#This Row],[Date]]),7)</f>
        <v>0</v>
      </c>
      <c r="Q3969" t="str">
        <f>CHOOSE(WEEKDAY(datos_siembra[[#This Row],[Date]],2),"L","M","X","J","V","S","D")</f>
        <v>L</v>
      </c>
      <c r="R3969">
        <f>WEEKNUM(datos_siembra[[#This Row],[Date]],2)-WEEKNUM(DATE(YEAR(datos_siembra[[#This Row],[Date]]),MONTH(datos_siembra[[#This Row],[Date]]),1))+1</f>
        <v>3</v>
      </c>
      <c r="S3969">
        <f>MONTH(datos_siembra[[#This Row],[Date]])</f>
        <v>10</v>
      </c>
      <c r="T3969" t="str" cm="1">
        <f t="array" ref="T3969">_xlfn.IFS(AND(N3969&lt;= 22, S3969=9), "SOWING",AND(N3969&lt;= 28, S3969=9), "COVERAGE",AND(N3969&lt;= 30, S3969=9), "FLUSH",AND(N3969&lt;= 11, S3969=10), "FLUSH",AND(N3969&lt;= 21, S3969=10), "PRODUCTION")</f>
        <v>PRODUCTION</v>
      </c>
      <c r="U3969">
        <f>HOUR(datos_siembra[[#This Row],[Hour]])</f>
        <v>8</v>
      </c>
      <c r="V3969" cm="1">
        <f t="array" ref="V3969">_xlfn.IFS(AND(N3969&lt;= 22, S3969=9), N3969-7,AND(N3969&lt;= 28, S3969=9), N3969-25,AND(N3969&lt;= 30, S3969=9), N3969-28,AND(N3969&lt;= 11, S3969=10), N3969+2,AND(N3969&lt;= 21, S3969=10), N3969-11)</f>
        <v>3</v>
      </c>
    </row>
    <row r="3970" spans="1:22" x14ac:dyDescent="0.35">
      <c r="A3970" s="4">
        <v>45579</v>
      </c>
      <c r="B3970" s="5">
        <v>0.36959490740740741</v>
      </c>
      <c r="C3970">
        <v>72.3</v>
      </c>
      <c r="D3970">
        <v>73.099999999999994</v>
      </c>
      <c r="E3970">
        <v>69.900000000000006</v>
      </c>
      <c r="F3970">
        <v>71.3</v>
      </c>
      <c r="G3970">
        <v>0</v>
      </c>
      <c r="H3970">
        <v>0</v>
      </c>
      <c r="I3970">
        <v>0</v>
      </c>
      <c r="J3970">
        <v>0</v>
      </c>
      <c r="K3970">
        <v>63.8</v>
      </c>
      <c r="L3970">
        <v>64.2</v>
      </c>
      <c r="M3970">
        <v>71.569999999999993</v>
      </c>
      <c r="N3970">
        <v>14</v>
      </c>
      <c r="O3970">
        <v>6</v>
      </c>
      <c r="P3970">
        <f>MOD(DAY(datos_siembra[[#This Row],[Date]]),7)</f>
        <v>0</v>
      </c>
      <c r="Q3970" t="str">
        <f>CHOOSE(WEEKDAY(datos_siembra[[#This Row],[Date]],2),"L","M","X","J","V","S","D")</f>
        <v>L</v>
      </c>
      <c r="R3970">
        <f>WEEKNUM(datos_siembra[[#This Row],[Date]],2)-WEEKNUM(DATE(YEAR(datos_siembra[[#This Row],[Date]]),MONTH(datos_siembra[[#This Row],[Date]]),1))+1</f>
        <v>3</v>
      </c>
      <c r="S3970">
        <f>MONTH(datos_siembra[[#This Row],[Date]])</f>
        <v>10</v>
      </c>
      <c r="T3970" t="str" cm="1">
        <f t="array" ref="T3970">_xlfn.IFS(AND(N3970&lt;= 22, S3970=9), "SOWING",AND(N3970&lt;= 28, S3970=9), "COVERAGE",AND(N3970&lt;= 30, S3970=9), "FLUSH",AND(N3970&lt;= 11, S3970=10), "FLUSH",AND(N3970&lt;= 21, S3970=10), "PRODUCTION")</f>
        <v>PRODUCTION</v>
      </c>
      <c r="U3970">
        <f>HOUR(datos_siembra[[#This Row],[Hour]])</f>
        <v>8</v>
      </c>
      <c r="V3970" cm="1">
        <f t="array" ref="V3970">_xlfn.IFS(AND(N3970&lt;= 22, S3970=9), N3970-7,AND(N3970&lt;= 28, S3970=9), N3970-25,AND(N3970&lt;= 30, S3970=9), N3970-28,AND(N3970&lt;= 11, S3970=10), N3970+2,AND(N3970&lt;= 21, S3970=10), N3970-11)</f>
        <v>3</v>
      </c>
    </row>
    <row r="3971" spans="1:22" x14ac:dyDescent="0.35">
      <c r="A3971" s="4">
        <v>45579</v>
      </c>
      <c r="B3971" s="5">
        <v>0.37655092592592593</v>
      </c>
      <c r="C3971">
        <v>72.3</v>
      </c>
      <c r="D3971">
        <v>72.8</v>
      </c>
      <c r="E3971">
        <v>69.900000000000006</v>
      </c>
      <c r="F3971">
        <v>71.099999999999994</v>
      </c>
      <c r="G3971">
        <v>0</v>
      </c>
      <c r="H3971">
        <v>0</v>
      </c>
      <c r="I3971">
        <v>0</v>
      </c>
      <c r="J3971">
        <v>0</v>
      </c>
      <c r="K3971">
        <v>63.9</v>
      </c>
      <c r="L3971">
        <v>64.2</v>
      </c>
      <c r="M3971">
        <v>71.540000000000006</v>
      </c>
      <c r="N3971">
        <v>14</v>
      </c>
      <c r="O3971">
        <v>6</v>
      </c>
      <c r="P3971">
        <f>MOD(DAY(datos_siembra[[#This Row],[Date]]),7)</f>
        <v>0</v>
      </c>
      <c r="Q3971" t="str">
        <f>CHOOSE(WEEKDAY(datos_siembra[[#This Row],[Date]],2),"L","M","X","J","V","S","D")</f>
        <v>L</v>
      </c>
      <c r="R3971">
        <f>WEEKNUM(datos_siembra[[#This Row],[Date]],2)-WEEKNUM(DATE(YEAR(datos_siembra[[#This Row],[Date]]),MONTH(datos_siembra[[#This Row],[Date]]),1))+1</f>
        <v>3</v>
      </c>
      <c r="S3971">
        <f>MONTH(datos_siembra[[#This Row],[Date]])</f>
        <v>10</v>
      </c>
      <c r="T3971" t="str" cm="1">
        <f t="array" ref="T3971">_xlfn.IFS(AND(N3971&lt;= 22, S3971=9), "SOWING",AND(N3971&lt;= 28, S3971=9), "COVERAGE",AND(N3971&lt;= 30, S3971=9), "FLUSH",AND(N3971&lt;= 11, S3971=10), "FLUSH",AND(N3971&lt;= 21, S3971=10), "PRODUCTION")</f>
        <v>PRODUCTION</v>
      </c>
      <c r="U3971">
        <f>HOUR(datos_siembra[[#This Row],[Hour]])</f>
        <v>9</v>
      </c>
      <c r="V3971" cm="1">
        <f t="array" ref="V3971">_xlfn.IFS(AND(N3971&lt;= 22, S3971=9), N3971-7,AND(N3971&lt;= 28, S3971=9), N3971-25,AND(N3971&lt;= 30, S3971=9), N3971-28,AND(N3971&lt;= 11, S3971=10), N3971+2,AND(N3971&lt;= 21, S3971=10), N3971-11)</f>
        <v>3</v>
      </c>
    </row>
    <row r="3972" spans="1:22" x14ac:dyDescent="0.35">
      <c r="A3972" s="4">
        <v>45579</v>
      </c>
      <c r="B3972" s="5">
        <v>0.38349537037037035</v>
      </c>
      <c r="C3972">
        <v>72.3</v>
      </c>
      <c r="D3972">
        <v>73</v>
      </c>
      <c r="E3972">
        <v>69.900000000000006</v>
      </c>
      <c r="F3972">
        <v>70.900000000000006</v>
      </c>
      <c r="G3972">
        <v>0</v>
      </c>
      <c r="H3972">
        <v>0</v>
      </c>
      <c r="I3972">
        <v>0</v>
      </c>
      <c r="J3972">
        <v>0</v>
      </c>
      <c r="K3972">
        <v>63.9</v>
      </c>
      <c r="L3972">
        <v>64.3</v>
      </c>
      <c r="M3972">
        <v>71.52</v>
      </c>
      <c r="N3972">
        <v>14</v>
      </c>
      <c r="O3972">
        <v>6</v>
      </c>
      <c r="P3972">
        <f>MOD(DAY(datos_siembra[[#This Row],[Date]]),7)</f>
        <v>0</v>
      </c>
      <c r="Q3972" t="str">
        <f>CHOOSE(WEEKDAY(datos_siembra[[#This Row],[Date]],2),"L","M","X","J","V","S","D")</f>
        <v>L</v>
      </c>
      <c r="R3972">
        <f>WEEKNUM(datos_siembra[[#This Row],[Date]],2)-WEEKNUM(DATE(YEAR(datos_siembra[[#This Row],[Date]]),MONTH(datos_siembra[[#This Row],[Date]]),1))+1</f>
        <v>3</v>
      </c>
      <c r="S3972">
        <f>MONTH(datos_siembra[[#This Row],[Date]])</f>
        <v>10</v>
      </c>
      <c r="T3972" t="str" cm="1">
        <f t="array" ref="T3972">_xlfn.IFS(AND(N3972&lt;= 22, S3972=9), "SOWING",AND(N3972&lt;= 28, S3972=9), "COVERAGE",AND(N3972&lt;= 30, S3972=9), "FLUSH",AND(N3972&lt;= 11, S3972=10), "FLUSH",AND(N3972&lt;= 21, S3972=10), "PRODUCTION")</f>
        <v>PRODUCTION</v>
      </c>
      <c r="U3972">
        <f>HOUR(datos_siembra[[#This Row],[Hour]])</f>
        <v>9</v>
      </c>
      <c r="V3972" cm="1">
        <f t="array" ref="V3972">_xlfn.IFS(AND(N3972&lt;= 22, S3972=9), N3972-7,AND(N3972&lt;= 28, S3972=9), N3972-25,AND(N3972&lt;= 30, S3972=9), N3972-28,AND(N3972&lt;= 11, S3972=10), N3972+2,AND(N3972&lt;= 21, S3972=10), N3972-11)</f>
        <v>3</v>
      </c>
    </row>
    <row r="3973" spans="1:22" x14ac:dyDescent="0.35">
      <c r="A3973" s="4">
        <v>45579</v>
      </c>
      <c r="B3973" s="5">
        <v>0.39043981481481482</v>
      </c>
      <c r="C3973">
        <v>72.2</v>
      </c>
      <c r="D3973">
        <v>72.8</v>
      </c>
      <c r="E3973">
        <v>69.900000000000006</v>
      </c>
      <c r="F3973">
        <v>71.099999999999994</v>
      </c>
      <c r="G3973">
        <v>0</v>
      </c>
      <c r="H3973">
        <v>0</v>
      </c>
      <c r="I3973">
        <v>0</v>
      </c>
      <c r="J3973">
        <v>0</v>
      </c>
      <c r="K3973">
        <v>64.099999999999994</v>
      </c>
      <c r="L3973">
        <v>64.400000000000006</v>
      </c>
      <c r="M3973">
        <v>71.489999999999995</v>
      </c>
      <c r="N3973">
        <v>14</v>
      </c>
      <c r="O3973">
        <v>6</v>
      </c>
      <c r="P3973">
        <f>MOD(DAY(datos_siembra[[#This Row],[Date]]),7)</f>
        <v>0</v>
      </c>
      <c r="Q3973" t="str">
        <f>CHOOSE(WEEKDAY(datos_siembra[[#This Row],[Date]],2),"L","M","X","J","V","S","D")</f>
        <v>L</v>
      </c>
      <c r="R3973">
        <f>WEEKNUM(datos_siembra[[#This Row],[Date]],2)-WEEKNUM(DATE(YEAR(datos_siembra[[#This Row],[Date]]),MONTH(datos_siembra[[#This Row],[Date]]),1))+1</f>
        <v>3</v>
      </c>
      <c r="S3973">
        <f>MONTH(datos_siembra[[#This Row],[Date]])</f>
        <v>10</v>
      </c>
      <c r="T3973" t="str" cm="1">
        <f t="array" ref="T3973">_xlfn.IFS(AND(N3973&lt;= 22, S3973=9), "SOWING",AND(N3973&lt;= 28, S3973=9), "COVERAGE",AND(N3973&lt;= 30, S3973=9), "FLUSH",AND(N3973&lt;= 11, S3973=10), "FLUSH",AND(N3973&lt;= 21, S3973=10), "PRODUCTION")</f>
        <v>PRODUCTION</v>
      </c>
      <c r="U3973">
        <f>HOUR(datos_siembra[[#This Row],[Hour]])</f>
        <v>9</v>
      </c>
      <c r="V3973" cm="1">
        <f t="array" ref="V3973">_xlfn.IFS(AND(N3973&lt;= 22, S3973=9), N3973-7,AND(N3973&lt;= 28, S3973=9), N3973-25,AND(N3973&lt;= 30, S3973=9), N3973-28,AND(N3973&lt;= 11, S3973=10), N3973+2,AND(N3973&lt;= 21, S3973=10), N3973-11)</f>
        <v>3</v>
      </c>
    </row>
    <row r="3974" spans="1:22" x14ac:dyDescent="0.35">
      <c r="A3974" s="4">
        <v>45579</v>
      </c>
      <c r="B3974" s="5">
        <v>0.39738425925925924</v>
      </c>
      <c r="C3974">
        <v>72.3</v>
      </c>
      <c r="D3974">
        <v>72.7</v>
      </c>
      <c r="E3974">
        <v>69.900000000000006</v>
      </c>
      <c r="F3974">
        <v>71</v>
      </c>
      <c r="G3974">
        <v>0</v>
      </c>
      <c r="H3974">
        <v>0</v>
      </c>
      <c r="I3974">
        <v>0</v>
      </c>
      <c r="J3974">
        <v>0</v>
      </c>
      <c r="K3974">
        <v>64.099999999999994</v>
      </c>
      <c r="L3974">
        <v>64.400000000000006</v>
      </c>
      <c r="M3974">
        <v>71.52</v>
      </c>
      <c r="N3974">
        <v>14</v>
      </c>
      <c r="O3974">
        <v>6</v>
      </c>
      <c r="P3974">
        <f>MOD(DAY(datos_siembra[[#This Row],[Date]]),7)</f>
        <v>0</v>
      </c>
      <c r="Q3974" t="str">
        <f>CHOOSE(WEEKDAY(datos_siembra[[#This Row],[Date]],2),"L","M","X","J","V","S","D")</f>
        <v>L</v>
      </c>
      <c r="R3974">
        <f>WEEKNUM(datos_siembra[[#This Row],[Date]],2)-WEEKNUM(DATE(YEAR(datos_siembra[[#This Row],[Date]]),MONTH(datos_siembra[[#This Row],[Date]]),1))+1</f>
        <v>3</v>
      </c>
      <c r="S3974">
        <f>MONTH(datos_siembra[[#This Row],[Date]])</f>
        <v>10</v>
      </c>
      <c r="T3974" t="str" cm="1">
        <f t="array" ref="T3974">_xlfn.IFS(AND(N3974&lt;= 22, S3974=9), "SOWING",AND(N3974&lt;= 28, S3974=9), "COVERAGE",AND(N3974&lt;= 30, S3974=9), "FLUSH",AND(N3974&lt;= 11, S3974=10), "FLUSH",AND(N3974&lt;= 21, S3974=10), "PRODUCTION")</f>
        <v>PRODUCTION</v>
      </c>
      <c r="U3974">
        <f>HOUR(datos_siembra[[#This Row],[Hour]])</f>
        <v>9</v>
      </c>
      <c r="V3974" cm="1">
        <f t="array" ref="V3974">_xlfn.IFS(AND(N3974&lt;= 22, S3974=9), N3974-7,AND(N3974&lt;= 28, S3974=9), N3974-25,AND(N3974&lt;= 30, S3974=9), N3974-28,AND(N3974&lt;= 11, S3974=10), N3974+2,AND(N3974&lt;= 21, S3974=10), N3974-11)</f>
        <v>3</v>
      </c>
    </row>
    <row r="3975" spans="1:22" x14ac:dyDescent="0.35">
      <c r="A3975" s="4">
        <v>45579</v>
      </c>
      <c r="B3975" s="5">
        <v>0.40434027777777776</v>
      </c>
      <c r="C3975">
        <v>72.2</v>
      </c>
      <c r="D3975">
        <v>72.8</v>
      </c>
      <c r="E3975">
        <v>69.900000000000006</v>
      </c>
      <c r="F3975">
        <v>71</v>
      </c>
      <c r="G3975">
        <v>0</v>
      </c>
      <c r="H3975">
        <v>0</v>
      </c>
      <c r="I3975">
        <v>0</v>
      </c>
      <c r="J3975">
        <v>0</v>
      </c>
      <c r="K3975">
        <v>64.2</v>
      </c>
      <c r="L3975">
        <v>64.5</v>
      </c>
      <c r="M3975">
        <v>71.52</v>
      </c>
      <c r="N3975">
        <v>14</v>
      </c>
      <c r="O3975">
        <v>6</v>
      </c>
      <c r="P3975">
        <f>MOD(DAY(datos_siembra[[#This Row],[Date]]),7)</f>
        <v>0</v>
      </c>
      <c r="Q3975" t="str">
        <f>CHOOSE(WEEKDAY(datos_siembra[[#This Row],[Date]],2),"L","M","X","J","V","S","D")</f>
        <v>L</v>
      </c>
      <c r="R3975">
        <f>WEEKNUM(datos_siembra[[#This Row],[Date]],2)-WEEKNUM(DATE(YEAR(datos_siembra[[#This Row],[Date]]),MONTH(datos_siembra[[#This Row],[Date]]),1))+1</f>
        <v>3</v>
      </c>
      <c r="S3975">
        <f>MONTH(datos_siembra[[#This Row],[Date]])</f>
        <v>10</v>
      </c>
      <c r="T3975" t="str" cm="1">
        <f t="array" ref="T3975">_xlfn.IFS(AND(N3975&lt;= 22, S3975=9), "SOWING",AND(N3975&lt;= 28, S3975=9), "COVERAGE",AND(N3975&lt;= 30, S3975=9), "FLUSH",AND(N3975&lt;= 11, S3975=10), "FLUSH",AND(N3975&lt;= 21, S3975=10), "PRODUCTION")</f>
        <v>PRODUCTION</v>
      </c>
      <c r="U3975">
        <f>HOUR(datos_siembra[[#This Row],[Hour]])</f>
        <v>9</v>
      </c>
      <c r="V3975" cm="1">
        <f t="array" ref="V3975">_xlfn.IFS(AND(N3975&lt;= 22, S3975=9), N3975-7,AND(N3975&lt;= 28, S3975=9), N3975-25,AND(N3975&lt;= 30, S3975=9), N3975-28,AND(N3975&lt;= 11, S3975=10), N3975+2,AND(N3975&lt;= 21, S3975=10), N3975-11)</f>
        <v>3</v>
      </c>
    </row>
    <row r="3976" spans="1:22" x14ac:dyDescent="0.35">
      <c r="A3976" s="4">
        <v>45579</v>
      </c>
      <c r="B3976" s="5">
        <v>0.41128472222222223</v>
      </c>
      <c r="C3976">
        <v>72.2</v>
      </c>
      <c r="D3976">
        <v>73</v>
      </c>
      <c r="E3976">
        <v>69.900000000000006</v>
      </c>
      <c r="F3976">
        <v>70.8</v>
      </c>
      <c r="G3976">
        <v>0</v>
      </c>
      <c r="H3976">
        <v>0</v>
      </c>
      <c r="I3976">
        <v>0</v>
      </c>
      <c r="J3976">
        <v>0</v>
      </c>
      <c r="K3976">
        <v>64.2</v>
      </c>
      <c r="L3976">
        <v>64.5</v>
      </c>
      <c r="M3976">
        <v>71.459999999999994</v>
      </c>
      <c r="N3976">
        <v>14</v>
      </c>
      <c r="O3976">
        <v>6</v>
      </c>
      <c r="P3976">
        <f>MOD(DAY(datos_siembra[[#This Row],[Date]]),7)</f>
        <v>0</v>
      </c>
      <c r="Q3976" t="str">
        <f>CHOOSE(WEEKDAY(datos_siembra[[#This Row],[Date]],2),"L","M","X","J","V","S","D")</f>
        <v>L</v>
      </c>
      <c r="R3976">
        <f>WEEKNUM(datos_siembra[[#This Row],[Date]],2)-WEEKNUM(DATE(YEAR(datos_siembra[[#This Row],[Date]]),MONTH(datos_siembra[[#This Row],[Date]]),1))+1</f>
        <v>3</v>
      </c>
      <c r="S3976">
        <f>MONTH(datos_siembra[[#This Row],[Date]])</f>
        <v>10</v>
      </c>
      <c r="T3976" t="str" cm="1">
        <f t="array" ref="T3976">_xlfn.IFS(AND(N3976&lt;= 22, S3976=9), "SOWING",AND(N3976&lt;= 28, S3976=9), "COVERAGE",AND(N3976&lt;= 30, S3976=9), "FLUSH",AND(N3976&lt;= 11, S3976=10), "FLUSH",AND(N3976&lt;= 21, S3976=10), "PRODUCTION")</f>
        <v>PRODUCTION</v>
      </c>
      <c r="U3976">
        <f>HOUR(datos_siembra[[#This Row],[Hour]])</f>
        <v>9</v>
      </c>
      <c r="V3976" cm="1">
        <f t="array" ref="V3976">_xlfn.IFS(AND(N3976&lt;= 22, S3976=9), N3976-7,AND(N3976&lt;= 28, S3976=9), N3976-25,AND(N3976&lt;= 30, S3976=9), N3976-28,AND(N3976&lt;= 11, S3976=10), N3976+2,AND(N3976&lt;= 21, S3976=10), N3976-11)</f>
        <v>3</v>
      </c>
    </row>
    <row r="3977" spans="1:22" x14ac:dyDescent="0.35">
      <c r="A3977" s="4">
        <v>45579</v>
      </c>
      <c r="B3977" s="5">
        <v>0.41822916666666665</v>
      </c>
      <c r="C3977">
        <v>72.3</v>
      </c>
      <c r="D3977">
        <v>73</v>
      </c>
      <c r="E3977">
        <v>69.900000000000006</v>
      </c>
      <c r="F3977">
        <v>70.900000000000006</v>
      </c>
      <c r="G3977">
        <v>0</v>
      </c>
      <c r="H3977">
        <v>0</v>
      </c>
      <c r="I3977">
        <v>0</v>
      </c>
      <c r="J3977">
        <v>0</v>
      </c>
      <c r="K3977">
        <v>63.5</v>
      </c>
      <c r="L3977">
        <v>64.099999999999994</v>
      </c>
      <c r="M3977">
        <v>71.459999999999994</v>
      </c>
      <c r="N3977">
        <v>14</v>
      </c>
      <c r="O3977">
        <v>6</v>
      </c>
      <c r="P3977">
        <f>MOD(DAY(datos_siembra[[#This Row],[Date]]),7)</f>
        <v>0</v>
      </c>
      <c r="Q3977" t="str">
        <f>CHOOSE(WEEKDAY(datos_siembra[[#This Row],[Date]],2),"L","M","X","J","V","S","D")</f>
        <v>L</v>
      </c>
      <c r="R3977">
        <f>WEEKNUM(datos_siembra[[#This Row],[Date]],2)-WEEKNUM(DATE(YEAR(datos_siembra[[#This Row],[Date]]),MONTH(datos_siembra[[#This Row],[Date]]),1))+1</f>
        <v>3</v>
      </c>
      <c r="S3977">
        <f>MONTH(datos_siembra[[#This Row],[Date]])</f>
        <v>10</v>
      </c>
      <c r="T3977" t="str" cm="1">
        <f t="array" ref="T3977">_xlfn.IFS(AND(N3977&lt;= 22, S3977=9), "SOWING",AND(N3977&lt;= 28, S3977=9), "COVERAGE",AND(N3977&lt;= 30, S3977=9), "FLUSH",AND(N3977&lt;= 11, S3977=10), "FLUSH",AND(N3977&lt;= 21, S3977=10), "PRODUCTION")</f>
        <v>PRODUCTION</v>
      </c>
      <c r="U3977">
        <f>HOUR(datos_siembra[[#This Row],[Hour]])</f>
        <v>10</v>
      </c>
      <c r="V3977" cm="1">
        <f t="array" ref="V3977">_xlfn.IFS(AND(N3977&lt;= 22, S3977=9), N3977-7,AND(N3977&lt;= 28, S3977=9), N3977-25,AND(N3977&lt;= 30, S3977=9), N3977-28,AND(N3977&lt;= 11, S3977=10), N3977+2,AND(N3977&lt;= 21, S3977=10), N3977-11)</f>
        <v>3</v>
      </c>
    </row>
    <row r="3978" spans="1:22" x14ac:dyDescent="0.35">
      <c r="A3978" s="4">
        <v>45579</v>
      </c>
      <c r="B3978" s="5">
        <v>0.42517361111111113</v>
      </c>
      <c r="C3978">
        <v>72.099999999999994</v>
      </c>
      <c r="D3978">
        <v>72.8</v>
      </c>
      <c r="E3978">
        <v>69.8</v>
      </c>
      <c r="F3978">
        <v>70.900000000000006</v>
      </c>
      <c r="G3978">
        <v>0</v>
      </c>
      <c r="H3978">
        <v>0</v>
      </c>
      <c r="I3978">
        <v>0</v>
      </c>
      <c r="J3978">
        <v>0</v>
      </c>
      <c r="K3978">
        <v>62.9</v>
      </c>
      <c r="L3978">
        <v>63.3</v>
      </c>
      <c r="M3978">
        <v>71.489999999999995</v>
      </c>
      <c r="N3978">
        <v>14</v>
      </c>
      <c r="O3978">
        <v>6</v>
      </c>
      <c r="P3978">
        <f>MOD(DAY(datos_siembra[[#This Row],[Date]]),7)</f>
        <v>0</v>
      </c>
      <c r="Q3978" t="str">
        <f>CHOOSE(WEEKDAY(datos_siembra[[#This Row],[Date]],2),"L","M","X","J","V","S","D")</f>
        <v>L</v>
      </c>
      <c r="R3978">
        <f>WEEKNUM(datos_siembra[[#This Row],[Date]],2)-WEEKNUM(DATE(YEAR(datos_siembra[[#This Row],[Date]]),MONTH(datos_siembra[[#This Row],[Date]]),1))+1</f>
        <v>3</v>
      </c>
      <c r="S3978">
        <f>MONTH(datos_siembra[[#This Row],[Date]])</f>
        <v>10</v>
      </c>
      <c r="T3978" t="str" cm="1">
        <f t="array" ref="T3978">_xlfn.IFS(AND(N3978&lt;= 22, S3978=9), "SOWING",AND(N3978&lt;= 28, S3978=9), "COVERAGE",AND(N3978&lt;= 30, S3978=9), "FLUSH",AND(N3978&lt;= 11, S3978=10), "FLUSH",AND(N3978&lt;= 21, S3978=10), "PRODUCTION")</f>
        <v>PRODUCTION</v>
      </c>
      <c r="U3978">
        <f>HOUR(datos_siembra[[#This Row],[Hour]])</f>
        <v>10</v>
      </c>
      <c r="V3978" cm="1">
        <f t="array" ref="V3978">_xlfn.IFS(AND(N3978&lt;= 22, S3978=9), N3978-7,AND(N3978&lt;= 28, S3978=9), N3978-25,AND(N3978&lt;= 30, S3978=9), N3978-28,AND(N3978&lt;= 11, S3978=10), N3978+2,AND(N3978&lt;= 21, S3978=10), N3978-11)</f>
        <v>3</v>
      </c>
    </row>
    <row r="3979" spans="1:22" x14ac:dyDescent="0.35">
      <c r="A3979" s="4">
        <v>45579</v>
      </c>
      <c r="B3979" s="5">
        <v>0.43212962962962964</v>
      </c>
      <c r="C3979">
        <v>72.099999999999994</v>
      </c>
      <c r="D3979">
        <v>72.7</v>
      </c>
      <c r="E3979">
        <v>69.8</v>
      </c>
      <c r="F3979">
        <v>70.8</v>
      </c>
      <c r="G3979">
        <v>0</v>
      </c>
      <c r="H3979">
        <v>0</v>
      </c>
      <c r="I3979">
        <v>0</v>
      </c>
      <c r="J3979">
        <v>0</v>
      </c>
      <c r="K3979">
        <v>62.3</v>
      </c>
      <c r="L3979">
        <v>62.3</v>
      </c>
      <c r="M3979">
        <v>71.459999999999994</v>
      </c>
      <c r="N3979">
        <v>14</v>
      </c>
      <c r="O3979">
        <v>6</v>
      </c>
      <c r="P3979">
        <f>MOD(DAY(datos_siembra[[#This Row],[Date]]),7)</f>
        <v>0</v>
      </c>
      <c r="Q3979" t="str">
        <f>CHOOSE(WEEKDAY(datos_siembra[[#This Row],[Date]],2),"L","M","X","J","V","S","D")</f>
        <v>L</v>
      </c>
      <c r="R3979">
        <f>WEEKNUM(datos_siembra[[#This Row],[Date]],2)-WEEKNUM(DATE(YEAR(datos_siembra[[#This Row],[Date]]),MONTH(datos_siembra[[#This Row],[Date]]),1))+1</f>
        <v>3</v>
      </c>
      <c r="S3979">
        <f>MONTH(datos_siembra[[#This Row],[Date]])</f>
        <v>10</v>
      </c>
      <c r="T3979" t="str" cm="1">
        <f t="array" ref="T3979">_xlfn.IFS(AND(N3979&lt;= 22, S3979=9), "SOWING",AND(N3979&lt;= 28, S3979=9), "COVERAGE",AND(N3979&lt;= 30, S3979=9), "FLUSH",AND(N3979&lt;= 11, S3979=10), "FLUSH",AND(N3979&lt;= 21, S3979=10), "PRODUCTION")</f>
        <v>PRODUCTION</v>
      </c>
      <c r="U3979">
        <f>HOUR(datos_siembra[[#This Row],[Hour]])</f>
        <v>10</v>
      </c>
      <c r="V3979" cm="1">
        <f t="array" ref="V3979">_xlfn.IFS(AND(N3979&lt;= 22, S3979=9), N3979-7,AND(N3979&lt;= 28, S3979=9), N3979-25,AND(N3979&lt;= 30, S3979=9), N3979-28,AND(N3979&lt;= 11, S3979=10), N3979+2,AND(N3979&lt;= 21, S3979=10), N3979-11)</f>
        <v>3</v>
      </c>
    </row>
    <row r="3980" spans="1:22" x14ac:dyDescent="0.35">
      <c r="A3980" s="4">
        <v>45579</v>
      </c>
      <c r="B3980" s="5">
        <v>0.43907407407407406</v>
      </c>
      <c r="C3980">
        <v>72.2</v>
      </c>
      <c r="D3980">
        <v>73</v>
      </c>
      <c r="E3980">
        <v>69.7</v>
      </c>
      <c r="F3980">
        <v>70.8</v>
      </c>
      <c r="G3980">
        <v>0</v>
      </c>
      <c r="H3980">
        <v>0</v>
      </c>
      <c r="I3980">
        <v>0</v>
      </c>
      <c r="J3980">
        <v>0</v>
      </c>
      <c r="K3980">
        <v>61.9</v>
      </c>
      <c r="L3980">
        <v>61.8</v>
      </c>
      <c r="M3980">
        <v>71.400000000000006</v>
      </c>
      <c r="N3980">
        <v>14</v>
      </c>
      <c r="O3980">
        <v>6</v>
      </c>
      <c r="P3980">
        <f>MOD(DAY(datos_siembra[[#This Row],[Date]]),7)</f>
        <v>0</v>
      </c>
      <c r="Q3980" t="str">
        <f>CHOOSE(WEEKDAY(datos_siembra[[#This Row],[Date]],2),"L","M","X","J","V","S","D")</f>
        <v>L</v>
      </c>
      <c r="R3980">
        <f>WEEKNUM(datos_siembra[[#This Row],[Date]],2)-WEEKNUM(DATE(YEAR(datos_siembra[[#This Row],[Date]]),MONTH(datos_siembra[[#This Row],[Date]]),1))+1</f>
        <v>3</v>
      </c>
      <c r="S3980">
        <f>MONTH(datos_siembra[[#This Row],[Date]])</f>
        <v>10</v>
      </c>
      <c r="T3980" t="str" cm="1">
        <f t="array" ref="T3980">_xlfn.IFS(AND(N3980&lt;= 22, S3980=9), "SOWING",AND(N3980&lt;= 28, S3980=9), "COVERAGE",AND(N3980&lt;= 30, S3980=9), "FLUSH",AND(N3980&lt;= 11, S3980=10), "FLUSH",AND(N3980&lt;= 21, S3980=10), "PRODUCTION")</f>
        <v>PRODUCTION</v>
      </c>
      <c r="U3980">
        <f>HOUR(datos_siembra[[#This Row],[Hour]])</f>
        <v>10</v>
      </c>
      <c r="V3980" cm="1">
        <f t="array" ref="V3980">_xlfn.IFS(AND(N3980&lt;= 22, S3980=9), N3980-7,AND(N3980&lt;= 28, S3980=9), N3980-25,AND(N3980&lt;= 30, S3980=9), N3980-28,AND(N3980&lt;= 11, S3980=10), N3980+2,AND(N3980&lt;= 21, S3980=10), N3980-11)</f>
        <v>3</v>
      </c>
    </row>
    <row r="3981" spans="1:22" x14ac:dyDescent="0.35">
      <c r="A3981" s="4">
        <v>45579</v>
      </c>
      <c r="B3981" s="5">
        <v>0.44601851851851854</v>
      </c>
      <c r="C3981">
        <v>72.099999999999994</v>
      </c>
      <c r="D3981">
        <v>72.8</v>
      </c>
      <c r="E3981">
        <v>69.8</v>
      </c>
      <c r="F3981">
        <v>70.7</v>
      </c>
      <c r="G3981">
        <v>0</v>
      </c>
      <c r="H3981">
        <v>0</v>
      </c>
      <c r="I3981">
        <v>0</v>
      </c>
      <c r="J3981">
        <v>0</v>
      </c>
      <c r="K3981">
        <v>61.9</v>
      </c>
      <c r="L3981">
        <v>61.6</v>
      </c>
      <c r="M3981">
        <v>71.37</v>
      </c>
      <c r="N3981">
        <v>14</v>
      </c>
      <c r="O3981">
        <v>6</v>
      </c>
      <c r="P3981">
        <f>MOD(DAY(datos_siembra[[#This Row],[Date]]),7)</f>
        <v>0</v>
      </c>
      <c r="Q3981" t="str">
        <f>CHOOSE(WEEKDAY(datos_siembra[[#This Row],[Date]],2),"L","M","X","J","V","S","D")</f>
        <v>L</v>
      </c>
      <c r="R3981">
        <f>WEEKNUM(datos_siembra[[#This Row],[Date]],2)-WEEKNUM(DATE(YEAR(datos_siembra[[#This Row],[Date]]),MONTH(datos_siembra[[#This Row],[Date]]),1))+1</f>
        <v>3</v>
      </c>
      <c r="S3981">
        <f>MONTH(datos_siembra[[#This Row],[Date]])</f>
        <v>10</v>
      </c>
      <c r="T3981" t="str" cm="1">
        <f t="array" ref="T3981">_xlfn.IFS(AND(N3981&lt;= 22, S3981=9), "SOWING",AND(N3981&lt;= 28, S3981=9), "COVERAGE",AND(N3981&lt;= 30, S3981=9), "FLUSH",AND(N3981&lt;= 11, S3981=10), "FLUSH",AND(N3981&lt;= 21, S3981=10), "PRODUCTION")</f>
        <v>PRODUCTION</v>
      </c>
      <c r="U3981">
        <f>HOUR(datos_siembra[[#This Row],[Hour]])</f>
        <v>10</v>
      </c>
      <c r="V3981" cm="1">
        <f t="array" ref="V3981">_xlfn.IFS(AND(N3981&lt;= 22, S3981=9), N3981-7,AND(N3981&lt;= 28, S3981=9), N3981-25,AND(N3981&lt;= 30, S3981=9), N3981-28,AND(N3981&lt;= 11, S3981=10), N3981+2,AND(N3981&lt;= 21, S3981=10), N3981-11)</f>
        <v>3</v>
      </c>
    </row>
    <row r="3982" spans="1:22" x14ac:dyDescent="0.35">
      <c r="A3982" s="4">
        <v>45579</v>
      </c>
      <c r="B3982" s="5">
        <v>0.45297453703703705</v>
      </c>
      <c r="C3982">
        <v>72.099999999999994</v>
      </c>
      <c r="D3982">
        <v>73</v>
      </c>
      <c r="E3982">
        <v>69.900000000000006</v>
      </c>
      <c r="F3982">
        <v>70.599999999999994</v>
      </c>
      <c r="G3982">
        <v>0</v>
      </c>
      <c r="H3982">
        <v>0</v>
      </c>
      <c r="I3982">
        <v>0</v>
      </c>
      <c r="J3982">
        <v>0</v>
      </c>
      <c r="K3982">
        <v>61.9</v>
      </c>
      <c r="L3982">
        <v>61.5</v>
      </c>
      <c r="M3982">
        <v>71.290000000000006</v>
      </c>
      <c r="N3982">
        <v>14</v>
      </c>
      <c r="O3982">
        <v>6</v>
      </c>
      <c r="P3982">
        <f>MOD(DAY(datos_siembra[[#This Row],[Date]]),7)</f>
        <v>0</v>
      </c>
      <c r="Q3982" t="str">
        <f>CHOOSE(WEEKDAY(datos_siembra[[#This Row],[Date]],2),"L","M","X","J","V","S","D")</f>
        <v>L</v>
      </c>
      <c r="R3982">
        <f>WEEKNUM(datos_siembra[[#This Row],[Date]],2)-WEEKNUM(DATE(YEAR(datos_siembra[[#This Row],[Date]]),MONTH(datos_siembra[[#This Row],[Date]]),1))+1</f>
        <v>3</v>
      </c>
      <c r="S3982">
        <f>MONTH(datos_siembra[[#This Row],[Date]])</f>
        <v>10</v>
      </c>
      <c r="T3982" t="str" cm="1">
        <f t="array" ref="T3982">_xlfn.IFS(AND(N3982&lt;= 22, S3982=9), "SOWING",AND(N3982&lt;= 28, S3982=9), "COVERAGE",AND(N3982&lt;= 30, S3982=9), "FLUSH",AND(N3982&lt;= 11, S3982=10), "FLUSH",AND(N3982&lt;= 21, S3982=10), "PRODUCTION")</f>
        <v>PRODUCTION</v>
      </c>
      <c r="U3982">
        <f>HOUR(datos_siembra[[#This Row],[Hour]])</f>
        <v>10</v>
      </c>
      <c r="V3982" cm="1">
        <f t="array" ref="V3982">_xlfn.IFS(AND(N3982&lt;= 22, S3982=9), N3982-7,AND(N3982&lt;= 28, S3982=9), N3982-25,AND(N3982&lt;= 30, S3982=9), N3982-28,AND(N3982&lt;= 11, S3982=10), N3982+2,AND(N3982&lt;= 21, S3982=10), N3982-11)</f>
        <v>3</v>
      </c>
    </row>
    <row r="3983" spans="1:22" x14ac:dyDescent="0.35">
      <c r="A3983" s="4">
        <v>45579</v>
      </c>
      <c r="B3983" s="5">
        <v>0.45991898148148147</v>
      </c>
      <c r="C3983">
        <v>72.099999999999994</v>
      </c>
      <c r="D3983">
        <v>72.7</v>
      </c>
      <c r="E3983">
        <v>69.8</v>
      </c>
      <c r="F3983">
        <v>70.7</v>
      </c>
      <c r="G3983">
        <v>0</v>
      </c>
      <c r="H3983">
        <v>0</v>
      </c>
      <c r="I3983">
        <v>0</v>
      </c>
      <c r="J3983">
        <v>0</v>
      </c>
      <c r="K3983">
        <v>61.8</v>
      </c>
      <c r="L3983">
        <v>61.6</v>
      </c>
      <c r="M3983">
        <v>71.260000000000005</v>
      </c>
      <c r="N3983">
        <v>14</v>
      </c>
      <c r="O3983">
        <v>6</v>
      </c>
      <c r="P3983">
        <f>MOD(DAY(datos_siembra[[#This Row],[Date]]),7)</f>
        <v>0</v>
      </c>
      <c r="Q3983" t="str">
        <f>CHOOSE(WEEKDAY(datos_siembra[[#This Row],[Date]],2),"L","M","X","J","V","S","D")</f>
        <v>L</v>
      </c>
      <c r="R3983">
        <f>WEEKNUM(datos_siembra[[#This Row],[Date]],2)-WEEKNUM(DATE(YEAR(datos_siembra[[#This Row],[Date]]),MONTH(datos_siembra[[#This Row],[Date]]),1))+1</f>
        <v>3</v>
      </c>
      <c r="S3983">
        <f>MONTH(datos_siembra[[#This Row],[Date]])</f>
        <v>10</v>
      </c>
      <c r="T3983" t="str" cm="1">
        <f t="array" ref="T3983">_xlfn.IFS(AND(N3983&lt;= 22, S3983=9), "SOWING",AND(N3983&lt;= 28, S3983=9), "COVERAGE",AND(N3983&lt;= 30, S3983=9), "FLUSH",AND(N3983&lt;= 11, S3983=10), "FLUSH",AND(N3983&lt;= 21, S3983=10), "PRODUCTION")</f>
        <v>PRODUCTION</v>
      </c>
      <c r="U3983">
        <f>HOUR(datos_siembra[[#This Row],[Hour]])</f>
        <v>11</v>
      </c>
      <c r="V3983" cm="1">
        <f t="array" ref="V3983">_xlfn.IFS(AND(N3983&lt;= 22, S3983=9), N3983-7,AND(N3983&lt;= 28, S3983=9), N3983-25,AND(N3983&lt;= 30, S3983=9), N3983-28,AND(N3983&lt;= 11, S3983=10), N3983+2,AND(N3983&lt;= 21, S3983=10), N3983-11)</f>
        <v>3</v>
      </c>
    </row>
    <row r="3984" spans="1:22" x14ac:dyDescent="0.35">
      <c r="A3984" s="4">
        <v>45581</v>
      </c>
      <c r="B3984" s="5">
        <v>0.31866898148148148</v>
      </c>
      <c r="C3984">
        <v>66.3</v>
      </c>
      <c r="D3984">
        <v>65.5</v>
      </c>
      <c r="E3984">
        <v>64.900000000000006</v>
      </c>
      <c r="F3984">
        <v>65</v>
      </c>
      <c r="G3984">
        <v>0</v>
      </c>
      <c r="H3984">
        <v>0</v>
      </c>
      <c r="I3984">
        <v>0</v>
      </c>
      <c r="J3984">
        <v>0</v>
      </c>
      <c r="K3984">
        <v>60.9</v>
      </c>
      <c r="L3984">
        <v>61.1</v>
      </c>
      <c r="M3984">
        <v>65.56</v>
      </c>
      <c r="N3984">
        <v>16</v>
      </c>
      <c r="O3984">
        <v>1</v>
      </c>
      <c r="P3984">
        <f>MOD(DAY(datos_siembra[[#This Row],[Date]]),7)</f>
        <v>2</v>
      </c>
      <c r="Q3984" t="str">
        <f>CHOOSE(WEEKDAY(datos_siembra[[#This Row],[Date]],2),"L","M","X","J","V","S","D")</f>
        <v>X</v>
      </c>
      <c r="R3984">
        <f>WEEKNUM(datos_siembra[[#This Row],[Date]],2)-WEEKNUM(DATE(YEAR(datos_siembra[[#This Row],[Date]]),MONTH(datos_siembra[[#This Row],[Date]]),1))+1</f>
        <v>3</v>
      </c>
      <c r="S3984">
        <f>MONTH(datos_siembra[[#This Row],[Date]])</f>
        <v>10</v>
      </c>
      <c r="T3984" t="str" cm="1">
        <f t="array" ref="T3984">_xlfn.IFS(AND(N3984&lt;= 22, S3984=9), "SOWING",AND(N3984&lt;= 28, S3984=9), "COVERAGE",AND(N3984&lt;= 30, S3984=9), "FLUSH",AND(N3984&lt;= 11, S3984=10), "FLUSH",AND(N3984&lt;= 21, S3984=10), "PRODUCTION")</f>
        <v>PRODUCTION</v>
      </c>
      <c r="U3984">
        <f>HOUR(datos_siembra[[#This Row],[Hour]])</f>
        <v>7</v>
      </c>
      <c r="V3984" cm="1">
        <f t="array" ref="V3984">_xlfn.IFS(AND(N3984&lt;= 22, S3984=9), N3984-7,AND(N3984&lt;= 28, S3984=9), N3984-25,AND(N3984&lt;= 30, S3984=9), N3984-28,AND(N3984&lt;= 11, S3984=10), N3984+2,AND(N3984&lt;= 21, S3984=10), N3984-11)</f>
        <v>5</v>
      </c>
    </row>
    <row r="3985" spans="1:22" x14ac:dyDescent="0.35">
      <c r="A3985" s="4">
        <v>45581</v>
      </c>
      <c r="B3985" s="5">
        <v>0.34221064814814817</v>
      </c>
      <c r="C3985">
        <v>65.3</v>
      </c>
      <c r="D3985">
        <v>65.2</v>
      </c>
      <c r="E3985">
        <v>64.400000000000006</v>
      </c>
      <c r="F3985">
        <v>65</v>
      </c>
      <c r="G3985">
        <v>0</v>
      </c>
      <c r="H3985">
        <v>0</v>
      </c>
      <c r="I3985">
        <v>0</v>
      </c>
      <c r="J3985">
        <v>0</v>
      </c>
      <c r="K3985">
        <v>61.2</v>
      </c>
      <c r="L3985">
        <v>61.6</v>
      </c>
      <c r="M3985">
        <v>64.959999999999994</v>
      </c>
      <c r="N3985">
        <v>16</v>
      </c>
      <c r="O3985">
        <v>1</v>
      </c>
      <c r="P3985">
        <f>MOD(DAY(datos_siembra[[#This Row],[Date]]),7)</f>
        <v>2</v>
      </c>
      <c r="Q3985" t="str">
        <f>CHOOSE(WEEKDAY(datos_siembra[[#This Row],[Date]],2),"L","M","X","J","V","S","D")</f>
        <v>X</v>
      </c>
      <c r="R3985">
        <f>WEEKNUM(datos_siembra[[#This Row],[Date]],2)-WEEKNUM(DATE(YEAR(datos_siembra[[#This Row],[Date]]),MONTH(datos_siembra[[#This Row],[Date]]),1))+1</f>
        <v>3</v>
      </c>
      <c r="S3985">
        <f>MONTH(datos_siembra[[#This Row],[Date]])</f>
        <v>10</v>
      </c>
      <c r="T3985" t="str" cm="1">
        <f t="array" ref="T3985">_xlfn.IFS(AND(N3985&lt;= 22, S3985=9), "SOWING",AND(N3985&lt;= 28, S3985=9), "COVERAGE",AND(N3985&lt;= 30, S3985=9), "FLUSH",AND(N3985&lt;= 11, S3985=10), "FLUSH",AND(N3985&lt;= 21, S3985=10), "PRODUCTION")</f>
        <v>PRODUCTION</v>
      </c>
      <c r="U3985">
        <f>HOUR(datos_siembra[[#This Row],[Hour]])</f>
        <v>8</v>
      </c>
      <c r="V3985" cm="1">
        <f t="array" ref="V3985">_xlfn.IFS(AND(N3985&lt;= 22, S3985=9), N3985-7,AND(N3985&lt;= 28, S3985=9), N3985-25,AND(N3985&lt;= 30, S3985=9), N3985-28,AND(N3985&lt;= 11, S3985=10), N3985+2,AND(N3985&lt;= 21, S3985=10), N3985-11)</f>
        <v>5</v>
      </c>
    </row>
    <row r="3986" spans="1:22" x14ac:dyDescent="0.35">
      <c r="A3986" s="4">
        <v>45581</v>
      </c>
      <c r="B3986" s="5">
        <v>0.34901620370370373</v>
      </c>
      <c r="C3986">
        <v>65.400000000000006</v>
      </c>
      <c r="D3986">
        <v>65.3</v>
      </c>
      <c r="E3986">
        <v>64.599999999999994</v>
      </c>
      <c r="F3986">
        <v>65.2</v>
      </c>
      <c r="G3986">
        <v>0</v>
      </c>
      <c r="H3986">
        <v>0</v>
      </c>
      <c r="I3986">
        <v>0</v>
      </c>
      <c r="J3986">
        <v>0</v>
      </c>
      <c r="K3986">
        <v>61.4</v>
      </c>
      <c r="L3986">
        <v>61.7</v>
      </c>
      <c r="M3986">
        <v>65.13</v>
      </c>
      <c r="N3986">
        <v>16</v>
      </c>
      <c r="O3986">
        <v>1</v>
      </c>
      <c r="P3986">
        <f>MOD(DAY(datos_siembra[[#This Row],[Date]]),7)</f>
        <v>2</v>
      </c>
      <c r="Q3986" t="str">
        <f>CHOOSE(WEEKDAY(datos_siembra[[#This Row],[Date]],2),"L","M","X","J","V","S","D")</f>
        <v>X</v>
      </c>
      <c r="R3986">
        <f>WEEKNUM(datos_siembra[[#This Row],[Date]],2)-WEEKNUM(DATE(YEAR(datos_siembra[[#This Row],[Date]]),MONTH(datos_siembra[[#This Row],[Date]]),1))+1</f>
        <v>3</v>
      </c>
      <c r="S3986">
        <f>MONTH(datos_siembra[[#This Row],[Date]])</f>
        <v>10</v>
      </c>
      <c r="T3986" t="str" cm="1">
        <f t="array" ref="T3986">_xlfn.IFS(AND(N3986&lt;= 22, S3986=9), "SOWING",AND(N3986&lt;= 28, S3986=9), "COVERAGE",AND(N3986&lt;= 30, S3986=9), "FLUSH",AND(N3986&lt;= 11, S3986=10), "FLUSH",AND(N3986&lt;= 21, S3986=10), "PRODUCTION")</f>
        <v>PRODUCTION</v>
      </c>
      <c r="U3986">
        <f>HOUR(datos_siembra[[#This Row],[Hour]])</f>
        <v>8</v>
      </c>
      <c r="V3986" cm="1">
        <f t="array" ref="V3986">_xlfn.IFS(AND(N3986&lt;= 22, S3986=9), N3986-7,AND(N3986&lt;= 28, S3986=9), N3986-25,AND(N3986&lt;= 30, S3986=9), N3986-28,AND(N3986&lt;= 11, S3986=10), N3986+2,AND(N3986&lt;= 21, S3986=10), N3986-11)</f>
        <v>5</v>
      </c>
    </row>
    <row r="3987" spans="1:22" x14ac:dyDescent="0.35">
      <c r="A3987" s="4">
        <v>45581</v>
      </c>
      <c r="B3987" s="5">
        <v>0.35596064814814815</v>
      </c>
      <c r="C3987">
        <v>65.099999999999994</v>
      </c>
      <c r="D3987">
        <v>65.3</v>
      </c>
      <c r="E3987">
        <v>64.5</v>
      </c>
      <c r="F3987">
        <v>65.099999999999994</v>
      </c>
      <c r="G3987">
        <v>0</v>
      </c>
      <c r="H3987">
        <v>0</v>
      </c>
      <c r="I3987">
        <v>0</v>
      </c>
      <c r="J3987">
        <v>0</v>
      </c>
      <c r="K3987">
        <v>61.5</v>
      </c>
      <c r="L3987">
        <v>61.8</v>
      </c>
      <c r="M3987">
        <v>65.02</v>
      </c>
      <c r="N3987">
        <v>16</v>
      </c>
      <c r="O3987">
        <v>1</v>
      </c>
      <c r="P3987">
        <f>MOD(DAY(datos_siembra[[#This Row],[Date]]),7)</f>
        <v>2</v>
      </c>
      <c r="Q3987" t="str">
        <f>CHOOSE(WEEKDAY(datos_siembra[[#This Row],[Date]],2),"L","M","X","J","V","S","D")</f>
        <v>X</v>
      </c>
      <c r="R3987">
        <f>WEEKNUM(datos_siembra[[#This Row],[Date]],2)-WEEKNUM(DATE(YEAR(datos_siembra[[#This Row],[Date]]),MONTH(datos_siembra[[#This Row],[Date]]),1))+1</f>
        <v>3</v>
      </c>
      <c r="S3987">
        <f>MONTH(datos_siembra[[#This Row],[Date]])</f>
        <v>10</v>
      </c>
      <c r="T3987" t="str" cm="1">
        <f t="array" ref="T3987">_xlfn.IFS(AND(N3987&lt;= 22, S3987=9), "SOWING",AND(N3987&lt;= 28, S3987=9), "COVERAGE",AND(N3987&lt;= 30, S3987=9), "FLUSH",AND(N3987&lt;= 11, S3987=10), "FLUSH",AND(N3987&lt;= 21, S3987=10), "PRODUCTION")</f>
        <v>PRODUCTION</v>
      </c>
      <c r="U3987">
        <f>HOUR(datos_siembra[[#This Row],[Hour]])</f>
        <v>8</v>
      </c>
      <c r="V3987" cm="1">
        <f t="array" ref="V3987">_xlfn.IFS(AND(N3987&lt;= 22, S3987=9), N3987-7,AND(N3987&lt;= 28, S3987=9), N3987-25,AND(N3987&lt;= 30, S3987=9), N3987-28,AND(N3987&lt;= 11, S3987=10), N3987+2,AND(N3987&lt;= 21, S3987=10), N3987-11)</f>
        <v>5</v>
      </c>
    </row>
    <row r="3988" spans="1:22" x14ac:dyDescent="0.35">
      <c r="A3988" s="4">
        <v>45581</v>
      </c>
      <c r="B3988" s="5">
        <v>0.36291666666666667</v>
      </c>
      <c r="C3988">
        <v>65.3</v>
      </c>
      <c r="D3988">
        <v>65.3</v>
      </c>
      <c r="E3988">
        <v>64.5</v>
      </c>
      <c r="F3988">
        <v>65</v>
      </c>
      <c r="G3988">
        <v>0</v>
      </c>
      <c r="H3988">
        <v>0</v>
      </c>
      <c r="I3988">
        <v>0</v>
      </c>
      <c r="J3988">
        <v>0</v>
      </c>
      <c r="K3988">
        <v>61.6</v>
      </c>
      <c r="L3988">
        <v>61.9</v>
      </c>
      <c r="M3988">
        <v>65.05</v>
      </c>
      <c r="N3988">
        <v>16</v>
      </c>
      <c r="O3988">
        <v>1</v>
      </c>
      <c r="P3988">
        <f>MOD(DAY(datos_siembra[[#This Row],[Date]]),7)</f>
        <v>2</v>
      </c>
      <c r="Q3988" t="str">
        <f>CHOOSE(WEEKDAY(datos_siembra[[#This Row],[Date]],2),"L","M","X","J","V","S","D")</f>
        <v>X</v>
      </c>
      <c r="R3988">
        <f>WEEKNUM(datos_siembra[[#This Row],[Date]],2)-WEEKNUM(DATE(YEAR(datos_siembra[[#This Row],[Date]]),MONTH(datos_siembra[[#This Row],[Date]]),1))+1</f>
        <v>3</v>
      </c>
      <c r="S3988">
        <f>MONTH(datos_siembra[[#This Row],[Date]])</f>
        <v>10</v>
      </c>
      <c r="T3988" t="str" cm="1">
        <f t="array" ref="T3988">_xlfn.IFS(AND(N3988&lt;= 22, S3988=9), "SOWING",AND(N3988&lt;= 28, S3988=9), "COVERAGE",AND(N3988&lt;= 30, S3988=9), "FLUSH",AND(N3988&lt;= 11, S3988=10), "FLUSH",AND(N3988&lt;= 21, S3988=10), "PRODUCTION")</f>
        <v>PRODUCTION</v>
      </c>
      <c r="U3988">
        <f>HOUR(datos_siembra[[#This Row],[Hour]])</f>
        <v>8</v>
      </c>
      <c r="V3988" cm="1">
        <f t="array" ref="V3988">_xlfn.IFS(AND(N3988&lt;= 22, S3988=9), N3988-7,AND(N3988&lt;= 28, S3988=9), N3988-25,AND(N3988&lt;= 30, S3988=9), N3988-28,AND(N3988&lt;= 11, S3988=10), N3988+2,AND(N3988&lt;= 21, S3988=10), N3988-11)</f>
        <v>5</v>
      </c>
    </row>
    <row r="3989" spans="1:22" x14ac:dyDescent="0.35">
      <c r="A3989" s="4">
        <v>45581</v>
      </c>
      <c r="B3989" s="5">
        <v>0.36986111111111108</v>
      </c>
      <c r="C3989">
        <v>65.2</v>
      </c>
      <c r="D3989">
        <v>65.3</v>
      </c>
      <c r="E3989">
        <v>64.400000000000006</v>
      </c>
      <c r="F3989">
        <v>65</v>
      </c>
      <c r="G3989">
        <v>0</v>
      </c>
      <c r="H3989">
        <v>0</v>
      </c>
      <c r="I3989">
        <v>0</v>
      </c>
      <c r="J3989">
        <v>0</v>
      </c>
      <c r="K3989">
        <v>61.6</v>
      </c>
      <c r="L3989">
        <v>62</v>
      </c>
      <c r="M3989">
        <v>64.989999999999995</v>
      </c>
      <c r="N3989">
        <v>16</v>
      </c>
      <c r="O3989">
        <v>1</v>
      </c>
      <c r="P3989">
        <f>MOD(DAY(datos_siembra[[#This Row],[Date]]),7)</f>
        <v>2</v>
      </c>
      <c r="Q3989" t="str">
        <f>CHOOSE(WEEKDAY(datos_siembra[[#This Row],[Date]],2),"L","M","X","J","V","S","D")</f>
        <v>X</v>
      </c>
      <c r="R3989">
        <f>WEEKNUM(datos_siembra[[#This Row],[Date]],2)-WEEKNUM(DATE(YEAR(datos_siembra[[#This Row],[Date]]),MONTH(datos_siembra[[#This Row],[Date]]),1))+1</f>
        <v>3</v>
      </c>
      <c r="S3989">
        <f>MONTH(datos_siembra[[#This Row],[Date]])</f>
        <v>10</v>
      </c>
      <c r="T3989" t="str" cm="1">
        <f t="array" ref="T3989">_xlfn.IFS(AND(N3989&lt;= 22, S3989=9), "SOWING",AND(N3989&lt;= 28, S3989=9), "COVERAGE",AND(N3989&lt;= 30, S3989=9), "FLUSH",AND(N3989&lt;= 11, S3989=10), "FLUSH",AND(N3989&lt;= 21, S3989=10), "PRODUCTION")</f>
        <v>PRODUCTION</v>
      </c>
      <c r="U3989">
        <f>HOUR(datos_siembra[[#This Row],[Hour]])</f>
        <v>8</v>
      </c>
      <c r="V3989" cm="1">
        <f t="array" ref="V3989">_xlfn.IFS(AND(N3989&lt;= 22, S3989=9), N3989-7,AND(N3989&lt;= 28, S3989=9), N3989-25,AND(N3989&lt;= 30, S3989=9), N3989-28,AND(N3989&lt;= 11, S3989=10), N3989+2,AND(N3989&lt;= 21, S3989=10), N3989-11)</f>
        <v>5</v>
      </c>
    </row>
    <row r="3990" spans="1:22" x14ac:dyDescent="0.35">
      <c r="A3990" s="4">
        <v>45581</v>
      </c>
      <c r="B3990" s="5">
        <v>0.37680555555555556</v>
      </c>
      <c r="C3990">
        <v>65.2</v>
      </c>
      <c r="D3990">
        <v>65.3</v>
      </c>
      <c r="E3990">
        <v>64.599999999999994</v>
      </c>
      <c r="F3990">
        <v>65</v>
      </c>
      <c r="G3990">
        <v>0</v>
      </c>
      <c r="H3990">
        <v>0</v>
      </c>
      <c r="I3990">
        <v>0</v>
      </c>
      <c r="J3990">
        <v>0</v>
      </c>
      <c r="K3990">
        <v>61.7</v>
      </c>
      <c r="L3990">
        <v>62.3</v>
      </c>
      <c r="M3990">
        <v>65.02</v>
      </c>
      <c r="N3990">
        <v>16</v>
      </c>
      <c r="O3990">
        <v>1</v>
      </c>
      <c r="P3990">
        <f>MOD(DAY(datos_siembra[[#This Row],[Date]]),7)</f>
        <v>2</v>
      </c>
      <c r="Q3990" t="str">
        <f>CHOOSE(WEEKDAY(datos_siembra[[#This Row],[Date]],2),"L","M","X","J","V","S","D")</f>
        <v>X</v>
      </c>
      <c r="R3990">
        <f>WEEKNUM(datos_siembra[[#This Row],[Date]],2)-WEEKNUM(DATE(YEAR(datos_siembra[[#This Row],[Date]]),MONTH(datos_siembra[[#This Row],[Date]]),1))+1</f>
        <v>3</v>
      </c>
      <c r="S3990">
        <f>MONTH(datos_siembra[[#This Row],[Date]])</f>
        <v>10</v>
      </c>
      <c r="T3990" t="str" cm="1">
        <f t="array" ref="T3990">_xlfn.IFS(AND(N3990&lt;= 22, S3990=9), "SOWING",AND(N3990&lt;= 28, S3990=9), "COVERAGE",AND(N3990&lt;= 30, S3990=9), "FLUSH",AND(N3990&lt;= 11, S3990=10), "FLUSH",AND(N3990&lt;= 21, S3990=10), "PRODUCTION")</f>
        <v>PRODUCTION</v>
      </c>
      <c r="U3990">
        <f>HOUR(datos_siembra[[#This Row],[Hour]])</f>
        <v>9</v>
      </c>
      <c r="V3990" cm="1">
        <f t="array" ref="V3990">_xlfn.IFS(AND(N3990&lt;= 22, S3990=9), N3990-7,AND(N3990&lt;= 28, S3990=9), N3990-25,AND(N3990&lt;= 30, S3990=9), N3990-28,AND(N3990&lt;= 11, S3990=10), N3990+2,AND(N3990&lt;= 21, S3990=10), N3990-11)</f>
        <v>5</v>
      </c>
    </row>
    <row r="3991" spans="1:22" x14ac:dyDescent="0.35">
      <c r="A3991" s="4">
        <v>45581</v>
      </c>
      <c r="B3991" s="5">
        <v>0.38376157407407407</v>
      </c>
      <c r="C3991">
        <v>65.2</v>
      </c>
      <c r="D3991">
        <v>65.2</v>
      </c>
      <c r="E3991">
        <v>64.5</v>
      </c>
      <c r="F3991">
        <v>65</v>
      </c>
      <c r="G3991">
        <v>0</v>
      </c>
      <c r="H3991">
        <v>0</v>
      </c>
      <c r="I3991">
        <v>0</v>
      </c>
      <c r="J3991">
        <v>0</v>
      </c>
      <c r="K3991">
        <v>61.8</v>
      </c>
      <c r="L3991">
        <v>62</v>
      </c>
      <c r="M3991">
        <v>64.959999999999994</v>
      </c>
      <c r="N3991">
        <v>16</v>
      </c>
      <c r="O3991">
        <v>1</v>
      </c>
      <c r="P3991">
        <f>MOD(DAY(datos_siembra[[#This Row],[Date]]),7)</f>
        <v>2</v>
      </c>
      <c r="Q3991" t="str">
        <f>CHOOSE(WEEKDAY(datos_siembra[[#This Row],[Date]],2),"L","M","X","J","V","S","D")</f>
        <v>X</v>
      </c>
      <c r="R3991">
        <f>WEEKNUM(datos_siembra[[#This Row],[Date]],2)-WEEKNUM(DATE(YEAR(datos_siembra[[#This Row],[Date]]),MONTH(datos_siembra[[#This Row],[Date]]),1))+1</f>
        <v>3</v>
      </c>
      <c r="S3991">
        <f>MONTH(datos_siembra[[#This Row],[Date]])</f>
        <v>10</v>
      </c>
      <c r="T3991" t="str" cm="1">
        <f t="array" ref="T3991">_xlfn.IFS(AND(N3991&lt;= 22, S3991=9), "SOWING",AND(N3991&lt;= 28, S3991=9), "COVERAGE",AND(N3991&lt;= 30, S3991=9), "FLUSH",AND(N3991&lt;= 11, S3991=10), "FLUSH",AND(N3991&lt;= 21, S3991=10), "PRODUCTION")</f>
        <v>PRODUCTION</v>
      </c>
      <c r="U3991">
        <f>HOUR(datos_siembra[[#This Row],[Hour]])</f>
        <v>9</v>
      </c>
      <c r="V3991" cm="1">
        <f t="array" ref="V3991">_xlfn.IFS(AND(N3991&lt;= 22, S3991=9), N3991-7,AND(N3991&lt;= 28, S3991=9), N3991-25,AND(N3991&lt;= 30, S3991=9), N3991-28,AND(N3991&lt;= 11, S3991=10), N3991+2,AND(N3991&lt;= 21, S3991=10), N3991-11)</f>
        <v>5</v>
      </c>
    </row>
    <row r="3992" spans="1:22" x14ac:dyDescent="0.35">
      <c r="A3992" s="4">
        <v>45581</v>
      </c>
      <c r="B3992" s="5">
        <v>0.39070601851851849</v>
      </c>
      <c r="C3992">
        <v>65.3</v>
      </c>
      <c r="D3992">
        <v>65.2</v>
      </c>
      <c r="E3992">
        <v>64.599999999999994</v>
      </c>
      <c r="F3992">
        <v>65.099999999999994</v>
      </c>
      <c r="G3992">
        <v>0</v>
      </c>
      <c r="H3992">
        <v>0</v>
      </c>
      <c r="I3992">
        <v>0</v>
      </c>
      <c r="J3992">
        <v>0</v>
      </c>
      <c r="K3992">
        <v>62</v>
      </c>
      <c r="L3992">
        <v>61.4</v>
      </c>
      <c r="M3992">
        <v>64.959999999999994</v>
      </c>
      <c r="N3992">
        <v>16</v>
      </c>
      <c r="O3992">
        <v>1</v>
      </c>
      <c r="P3992">
        <f>MOD(DAY(datos_siembra[[#This Row],[Date]]),7)</f>
        <v>2</v>
      </c>
      <c r="Q3992" t="str">
        <f>CHOOSE(WEEKDAY(datos_siembra[[#This Row],[Date]],2),"L","M","X","J","V","S","D")</f>
        <v>X</v>
      </c>
      <c r="R3992">
        <f>WEEKNUM(datos_siembra[[#This Row],[Date]],2)-WEEKNUM(DATE(YEAR(datos_siembra[[#This Row],[Date]]),MONTH(datos_siembra[[#This Row],[Date]]),1))+1</f>
        <v>3</v>
      </c>
      <c r="S3992">
        <f>MONTH(datos_siembra[[#This Row],[Date]])</f>
        <v>10</v>
      </c>
      <c r="T3992" t="str" cm="1">
        <f t="array" ref="T3992">_xlfn.IFS(AND(N3992&lt;= 22, S3992=9), "SOWING",AND(N3992&lt;= 28, S3992=9), "COVERAGE",AND(N3992&lt;= 30, S3992=9), "FLUSH",AND(N3992&lt;= 11, S3992=10), "FLUSH",AND(N3992&lt;= 21, S3992=10), "PRODUCTION")</f>
        <v>PRODUCTION</v>
      </c>
      <c r="U3992">
        <f>HOUR(datos_siembra[[#This Row],[Hour]])</f>
        <v>9</v>
      </c>
      <c r="V3992" cm="1">
        <f t="array" ref="V3992">_xlfn.IFS(AND(N3992&lt;= 22, S3992=9), N3992-7,AND(N3992&lt;= 28, S3992=9), N3992-25,AND(N3992&lt;= 30, S3992=9), N3992-28,AND(N3992&lt;= 11, S3992=10), N3992+2,AND(N3992&lt;= 21, S3992=10), N3992-11)</f>
        <v>5</v>
      </c>
    </row>
    <row r="3993" spans="1:22" x14ac:dyDescent="0.35">
      <c r="A3993" s="4">
        <v>45581</v>
      </c>
      <c r="B3993" s="5">
        <v>0.39765046296296297</v>
      </c>
      <c r="C3993">
        <v>65.2</v>
      </c>
      <c r="D3993">
        <v>65.3</v>
      </c>
      <c r="E3993">
        <v>64.5</v>
      </c>
      <c r="F3993">
        <v>65.099999999999994</v>
      </c>
      <c r="G3993">
        <v>0</v>
      </c>
      <c r="H3993">
        <v>0</v>
      </c>
      <c r="I3993">
        <v>0</v>
      </c>
      <c r="J3993">
        <v>0</v>
      </c>
      <c r="K3993">
        <v>62.4</v>
      </c>
      <c r="L3993">
        <v>61.6</v>
      </c>
      <c r="M3993">
        <v>65.069999999999993</v>
      </c>
      <c r="N3993">
        <v>16</v>
      </c>
      <c r="O3993">
        <v>1</v>
      </c>
      <c r="P3993">
        <f>MOD(DAY(datos_siembra[[#This Row],[Date]]),7)</f>
        <v>2</v>
      </c>
      <c r="Q3993" t="str">
        <f>CHOOSE(WEEKDAY(datos_siembra[[#This Row],[Date]],2),"L","M","X","J","V","S","D")</f>
        <v>X</v>
      </c>
      <c r="R3993">
        <f>WEEKNUM(datos_siembra[[#This Row],[Date]],2)-WEEKNUM(DATE(YEAR(datos_siembra[[#This Row],[Date]]),MONTH(datos_siembra[[#This Row],[Date]]),1))+1</f>
        <v>3</v>
      </c>
      <c r="S3993">
        <f>MONTH(datos_siembra[[#This Row],[Date]])</f>
        <v>10</v>
      </c>
      <c r="T3993" t="str" cm="1">
        <f t="array" ref="T3993">_xlfn.IFS(AND(N3993&lt;= 22, S3993=9), "SOWING",AND(N3993&lt;= 28, S3993=9), "COVERAGE",AND(N3993&lt;= 30, S3993=9), "FLUSH",AND(N3993&lt;= 11, S3993=10), "FLUSH",AND(N3993&lt;= 21, S3993=10), "PRODUCTION")</f>
        <v>PRODUCTION</v>
      </c>
      <c r="U3993">
        <f>HOUR(datos_siembra[[#This Row],[Hour]])</f>
        <v>9</v>
      </c>
      <c r="V3993" cm="1">
        <f t="array" ref="V3993">_xlfn.IFS(AND(N3993&lt;= 22, S3993=9), N3993-7,AND(N3993&lt;= 28, S3993=9), N3993-25,AND(N3993&lt;= 30, S3993=9), N3993-28,AND(N3993&lt;= 11, S3993=10), N3993+2,AND(N3993&lt;= 21, S3993=10), N3993-11)</f>
        <v>5</v>
      </c>
    </row>
    <row r="3994" spans="1:22" x14ac:dyDescent="0.35">
      <c r="A3994" s="4">
        <v>45581</v>
      </c>
      <c r="B3994" s="5">
        <v>0.40459490740740739</v>
      </c>
      <c r="C3994">
        <v>65.2</v>
      </c>
      <c r="D3994">
        <v>65.3</v>
      </c>
      <c r="E3994">
        <v>64.5</v>
      </c>
      <c r="F3994">
        <v>64.900000000000006</v>
      </c>
      <c r="G3994">
        <v>0</v>
      </c>
      <c r="H3994">
        <v>0</v>
      </c>
      <c r="I3994">
        <v>0</v>
      </c>
      <c r="J3994">
        <v>0</v>
      </c>
      <c r="K3994">
        <v>62.5</v>
      </c>
      <c r="L3994">
        <v>60.9</v>
      </c>
      <c r="M3994">
        <v>64.930000000000007</v>
      </c>
      <c r="N3994">
        <v>16</v>
      </c>
      <c r="O3994">
        <v>1</v>
      </c>
      <c r="P3994">
        <f>MOD(DAY(datos_siembra[[#This Row],[Date]]),7)</f>
        <v>2</v>
      </c>
      <c r="Q3994" t="str">
        <f>CHOOSE(WEEKDAY(datos_siembra[[#This Row],[Date]],2),"L","M","X","J","V","S","D")</f>
        <v>X</v>
      </c>
      <c r="R3994">
        <f>WEEKNUM(datos_siembra[[#This Row],[Date]],2)-WEEKNUM(DATE(YEAR(datos_siembra[[#This Row],[Date]]),MONTH(datos_siembra[[#This Row],[Date]]),1))+1</f>
        <v>3</v>
      </c>
      <c r="S3994">
        <f>MONTH(datos_siembra[[#This Row],[Date]])</f>
        <v>10</v>
      </c>
      <c r="T3994" t="str" cm="1">
        <f t="array" ref="T3994">_xlfn.IFS(AND(N3994&lt;= 22, S3994=9), "SOWING",AND(N3994&lt;= 28, S3994=9), "COVERAGE",AND(N3994&lt;= 30, S3994=9), "FLUSH",AND(N3994&lt;= 11, S3994=10), "FLUSH",AND(N3994&lt;= 21, S3994=10), "PRODUCTION")</f>
        <v>PRODUCTION</v>
      </c>
      <c r="U3994">
        <f>HOUR(datos_siembra[[#This Row],[Hour]])</f>
        <v>9</v>
      </c>
      <c r="V3994" cm="1">
        <f t="array" ref="V3994">_xlfn.IFS(AND(N3994&lt;= 22, S3994=9), N3994-7,AND(N3994&lt;= 28, S3994=9), N3994-25,AND(N3994&lt;= 30, S3994=9), N3994-28,AND(N3994&lt;= 11, S3994=10), N3994+2,AND(N3994&lt;= 21, S3994=10), N3994-11)</f>
        <v>5</v>
      </c>
    </row>
    <row r="3995" spans="1:22" x14ac:dyDescent="0.35">
      <c r="A3995" s="4">
        <v>45581</v>
      </c>
      <c r="B3995" s="5">
        <v>0.4115509259259259</v>
      </c>
      <c r="C3995">
        <v>65.099999999999994</v>
      </c>
      <c r="D3995">
        <v>65.2</v>
      </c>
      <c r="E3995">
        <v>64.5</v>
      </c>
      <c r="F3995">
        <v>64.7</v>
      </c>
      <c r="G3995">
        <v>0</v>
      </c>
      <c r="H3995">
        <v>0</v>
      </c>
      <c r="I3995">
        <v>0</v>
      </c>
      <c r="J3995">
        <v>0</v>
      </c>
      <c r="K3995">
        <v>61.4</v>
      </c>
      <c r="L3995">
        <v>61</v>
      </c>
      <c r="M3995">
        <v>64.989999999999995</v>
      </c>
      <c r="N3995">
        <v>16</v>
      </c>
      <c r="O3995">
        <v>1</v>
      </c>
      <c r="P3995">
        <f>MOD(DAY(datos_siembra[[#This Row],[Date]]),7)</f>
        <v>2</v>
      </c>
      <c r="Q3995" t="str">
        <f>CHOOSE(WEEKDAY(datos_siembra[[#This Row],[Date]],2),"L","M","X","J","V","S","D")</f>
        <v>X</v>
      </c>
      <c r="R3995">
        <f>WEEKNUM(datos_siembra[[#This Row],[Date]],2)-WEEKNUM(DATE(YEAR(datos_siembra[[#This Row],[Date]]),MONTH(datos_siembra[[#This Row],[Date]]),1))+1</f>
        <v>3</v>
      </c>
      <c r="S3995">
        <f>MONTH(datos_siembra[[#This Row],[Date]])</f>
        <v>10</v>
      </c>
      <c r="T3995" t="str" cm="1">
        <f t="array" ref="T3995">_xlfn.IFS(AND(N3995&lt;= 22, S3995=9), "SOWING",AND(N3995&lt;= 28, S3995=9), "COVERAGE",AND(N3995&lt;= 30, S3995=9), "FLUSH",AND(N3995&lt;= 11, S3995=10), "FLUSH",AND(N3995&lt;= 21, S3995=10), "PRODUCTION")</f>
        <v>PRODUCTION</v>
      </c>
      <c r="U3995">
        <f>HOUR(datos_siembra[[#This Row],[Hour]])</f>
        <v>9</v>
      </c>
      <c r="V3995" cm="1">
        <f t="array" ref="V3995">_xlfn.IFS(AND(N3995&lt;= 22, S3995=9), N3995-7,AND(N3995&lt;= 28, S3995=9), N3995-25,AND(N3995&lt;= 30, S3995=9), N3995-28,AND(N3995&lt;= 11, S3995=10), N3995+2,AND(N3995&lt;= 21, S3995=10), N3995-11)</f>
        <v>5</v>
      </c>
    </row>
    <row r="3996" spans="1:22" x14ac:dyDescent="0.35">
      <c r="A3996" s="4">
        <v>45581</v>
      </c>
      <c r="B3996" s="5">
        <v>0.41849537037037038</v>
      </c>
      <c r="C3996">
        <v>65.3</v>
      </c>
      <c r="D3996">
        <v>65.2</v>
      </c>
      <c r="E3996">
        <v>64.400000000000006</v>
      </c>
      <c r="F3996">
        <v>64.7</v>
      </c>
      <c r="G3996">
        <v>0</v>
      </c>
      <c r="H3996">
        <v>0</v>
      </c>
      <c r="I3996">
        <v>0</v>
      </c>
      <c r="J3996">
        <v>0</v>
      </c>
      <c r="K3996">
        <v>61.2</v>
      </c>
      <c r="L3996">
        <v>61.4</v>
      </c>
      <c r="M3996">
        <v>64.989999999999995</v>
      </c>
      <c r="N3996">
        <v>16</v>
      </c>
      <c r="O3996">
        <v>1</v>
      </c>
      <c r="P3996">
        <f>MOD(DAY(datos_siembra[[#This Row],[Date]]),7)</f>
        <v>2</v>
      </c>
      <c r="Q3996" t="str">
        <f>CHOOSE(WEEKDAY(datos_siembra[[#This Row],[Date]],2),"L","M","X","J","V","S","D")</f>
        <v>X</v>
      </c>
      <c r="R3996">
        <f>WEEKNUM(datos_siembra[[#This Row],[Date]],2)-WEEKNUM(DATE(YEAR(datos_siembra[[#This Row],[Date]]),MONTH(datos_siembra[[#This Row],[Date]]),1))+1</f>
        <v>3</v>
      </c>
      <c r="S3996">
        <f>MONTH(datos_siembra[[#This Row],[Date]])</f>
        <v>10</v>
      </c>
      <c r="T3996" t="str" cm="1">
        <f t="array" ref="T3996">_xlfn.IFS(AND(N3996&lt;= 22, S3996=9), "SOWING",AND(N3996&lt;= 28, S3996=9), "COVERAGE",AND(N3996&lt;= 30, S3996=9), "FLUSH",AND(N3996&lt;= 11, S3996=10), "FLUSH",AND(N3996&lt;= 21, S3996=10), "PRODUCTION")</f>
        <v>PRODUCTION</v>
      </c>
      <c r="U3996">
        <f>HOUR(datos_siembra[[#This Row],[Hour]])</f>
        <v>10</v>
      </c>
      <c r="V3996" cm="1">
        <f t="array" ref="V3996">_xlfn.IFS(AND(N3996&lt;= 22, S3996=9), N3996-7,AND(N3996&lt;= 28, S3996=9), N3996-25,AND(N3996&lt;= 30, S3996=9), N3996-28,AND(N3996&lt;= 11, S3996=10), N3996+2,AND(N3996&lt;= 21, S3996=10), N3996-11)</f>
        <v>5</v>
      </c>
    </row>
    <row r="3997" spans="1:22" x14ac:dyDescent="0.35">
      <c r="A3997" s="4">
        <v>45581</v>
      </c>
      <c r="B3997" s="5">
        <v>0.4254398148148148</v>
      </c>
      <c r="C3997">
        <v>65.2</v>
      </c>
      <c r="D3997">
        <v>65.2</v>
      </c>
      <c r="E3997">
        <v>64.400000000000006</v>
      </c>
      <c r="F3997">
        <v>64.900000000000006</v>
      </c>
      <c r="G3997">
        <v>0</v>
      </c>
      <c r="H3997">
        <v>0</v>
      </c>
      <c r="I3997">
        <v>0</v>
      </c>
      <c r="J3997">
        <v>0</v>
      </c>
      <c r="K3997">
        <v>61.5</v>
      </c>
      <c r="L3997">
        <v>61.8</v>
      </c>
      <c r="M3997">
        <v>64.930000000000007</v>
      </c>
      <c r="N3997">
        <v>16</v>
      </c>
      <c r="O3997">
        <v>1</v>
      </c>
      <c r="P3997">
        <f>MOD(DAY(datos_siembra[[#This Row],[Date]]),7)</f>
        <v>2</v>
      </c>
      <c r="Q3997" t="str">
        <f>CHOOSE(WEEKDAY(datos_siembra[[#This Row],[Date]],2),"L","M","X","J","V","S","D")</f>
        <v>X</v>
      </c>
      <c r="R3997">
        <f>WEEKNUM(datos_siembra[[#This Row],[Date]],2)-WEEKNUM(DATE(YEAR(datos_siembra[[#This Row],[Date]]),MONTH(datos_siembra[[#This Row],[Date]]),1))+1</f>
        <v>3</v>
      </c>
      <c r="S3997">
        <f>MONTH(datos_siembra[[#This Row],[Date]])</f>
        <v>10</v>
      </c>
      <c r="T3997" t="str" cm="1">
        <f t="array" ref="T3997">_xlfn.IFS(AND(N3997&lt;= 22, S3997=9), "SOWING",AND(N3997&lt;= 28, S3997=9), "COVERAGE",AND(N3997&lt;= 30, S3997=9), "FLUSH",AND(N3997&lt;= 11, S3997=10), "FLUSH",AND(N3997&lt;= 21, S3997=10), "PRODUCTION")</f>
        <v>PRODUCTION</v>
      </c>
      <c r="U3997">
        <f>HOUR(datos_siembra[[#This Row],[Hour]])</f>
        <v>10</v>
      </c>
      <c r="V3997" cm="1">
        <f t="array" ref="V3997">_xlfn.IFS(AND(N3997&lt;= 22, S3997=9), N3997-7,AND(N3997&lt;= 28, S3997=9), N3997-25,AND(N3997&lt;= 30, S3997=9), N3997-28,AND(N3997&lt;= 11, S3997=10), N3997+2,AND(N3997&lt;= 21, S3997=10), N3997-11)</f>
        <v>5</v>
      </c>
    </row>
    <row r="3998" spans="1:22" x14ac:dyDescent="0.35">
      <c r="A3998" s="4">
        <v>45581</v>
      </c>
      <c r="B3998" s="5">
        <v>0.43239583333333331</v>
      </c>
      <c r="C3998">
        <v>65.099999999999994</v>
      </c>
      <c r="D3998">
        <v>65.3</v>
      </c>
      <c r="E3998">
        <v>64.5</v>
      </c>
      <c r="F3998">
        <v>65</v>
      </c>
      <c r="G3998">
        <v>0</v>
      </c>
      <c r="H3998">
        <v>0</v>
      </c>
      <c r="I3998">
        <v>0</v>
      </c>
      <c r="J3998">
        <v>0</v>
      </c>
      <c r="K3998">
        <v>61.5</v>
      </c>
      <c r="L3998">
        <v>61.8</v>
      </c>
      <c r="M3998">
        <v>64.959999999999994</v>
      </c>
      <c r="N3998">
        <v>16</v>
      </c>
      <c r="O3998">
        <v>1</v>
      </c>
      <c r="P3998">
        <f>MOD(DAY(datos_siembra[[#This Row],[Date]]),7)</f>
        <v>2</v>
      </c>
      <c r="Q3998" t="str">
        <f>CHOOSE(WEEKDAY(datos_siembra[[#This Row],[Date]],2),"L","M","X","J","V","S","D")</f>
        <v>X</v>
      </c>
      <c r="R3998">
        <f>WEEKNUM(datos_siembra[[#This Row],[Date]],2)-WEEKNUM(DATE(YEAR(datos_siembra[[#This Row],[Date]]),MONTH(datos_siembra[[#This Row],[Date]]),1))+1</f>
        <v>3</v>
      </c>
      <c r="S3998">
        <f>MONTH(datos_siembra[[#This Row],[Date]])</f>
        <v>10</v>
      </c>
      <c r="T3998" t="str" cm="1">
        <f t="array" ref="T3998">_xlfn.IFS(AND(N3998&lt;= 22, S3998=9), "SOWING",AND(N3998&lt;= 28, S3998=9), "COVERAGE",AND(N3998&lt;= 30, S3998=9), "FLUSH",AND(N3998&lt;= 11, S3998=10), "FLUSH",AND(N3998&lt;= 21, S3998=10), "PRODUCTION")</f>
        <v>PRODUCTION</v>
      </c>
      <c r="U3998">
        <f>HOUR(datos_siembra[[#This Row],[Hour]])</f>
        <v>10</v>
      </c>
      <c r="V3998" cm="1">
        <f t="array" ref="V3998">_xlfn.IFS(AND(N3998&lt;= 22, S3998=9), N3998-7,AND(N3998&lt;= 28, S3998=9), N3998-25,AND(N3998&lt;= 30, S3998=9), N3998-28,AND(N3998&lt;= 11, S3998=10), N3998+2,AND(N3998&lt;= 21, S3998=10), N3998-11)</f>
        <v>5</v>
      </c>
    </row>
    <row r="3999" spans="1:22" x14ac:dyDescent="0.35">
      <c r="A3999" s="4">
        <v>45581</v>
      </c>
      <c r="B3999" s="5">
        <v>0.43934027777777779</v>
      </c>
      <c r="C3999">
        <v>65.2</v>
      </c>
      <c r="D3999">
        <v>65.3</v>
      </c>
      <c r="E3999">
        <v>64.5</v>
      </c>
      <c r="F3999">
        <v>64.900000000000006</v>
      </c>
      <c r="G3999">
        <v>0</v>
      </c>
      <c r="H3999">
        <v>0</v>
      </c>
      <c r="I3999">
        <v>0</v>
      </c>
      <c r="J3999">
        <v>0</v>
      </c>
      <c r="K3999">
        <v>61.6</v>
      </c>
      <c r="L3999">
        <v>62.2</v>
      </c>
      <c r="M3999">
        <v>64.959999999999994</v>
      </c>
      <c r="N3999">
        <v>16</v>
      </c>
      <c r="O3999">
        <v>1</v>
      </c>
      <c r="P3999">
        <f>MOD(DAY(datos_siembra[[#This Row],[Date]]),7)</f>
        <v>2</v>
      </c>
      <c r="Q3999" t="str">
        <f>CHOOSE(WEEKDAY(datos_siembra[[#This Row],[Date]],2),"L","M","X","J","V","S","D")</f>
        <v>X</v>
      </c>
      <c r="R3999">
        <f>WEEKNUM(datos_siembra[[#This Row],[Date]],2)-WEEKNUM(DATE(YEAR(datos_siembra[[#This Row],[Date]]),MONTH(datos_siembra[[#This Row],[Date]]),1))+1</f>
        <v>3</v>
      </c>
      <c r="S3999">
        <f>MONTH(datos_siembra[[#This Row],[Date]])</f>
        <v>10</v>
      </c>
      <c r="T3999" t="str" cm="1">
        <f t="array" ref="T3999">_xlfn.IFS(AND(N3999&lt;= 22, S3999=9), "SOWING",AND(N3999&lt;= 28, S3999=9), "COVERAGE",AND(N3999&lt;= 30, S3999=9), "FLUSH",AND(N3999&lt;= 11, S3999=10), "FLUSH",AND(N3999&lt;= 21, S3999=10), "PRODUCTION")</f>
        <v>PRODUCTION</v>
      </c>
      <c r="U3999">
        <f>HOUR(datos_siembra[[#This Row],[Hour]])</f>
        <v>10</v>
      </c>
      <c r="V3999" cm="1">
        <f t="array" ref="V3999">_xlfn.IFS(AND(N3999&lt;= 22, S3999=9), N3999-7,AND(N3999&lt;= 28, S3999=9), N3999-25,AND(N3999&lt;= 30, S3999=9), N3999-28,AND(N3999&lt;= 11, S3999=10), N3999+2,AND(N3999&lt;= 21, S3999=10), N3999-11)</f>
        <v>5</v>
      </c>
    </row>
    <row r="4000" spans="1:22" x14ac:dyDescent="0.35">
      <c r="A4000" s="4">
        <v>45581</v>
      </c>
      <c r="B4000" s="5">
        <v>0.44628472222222221</v>
      </c>
      <c r="C4000">
        <v>65.2</v>
      </c>
      <c r="D4000">
        <v>65.2</v>
      </c>
      <c r="E4000">
        <v>64.5</v>
      </c>
      <c r="F4000">
        <v>65</v>
      </c>
      <c r="G4000">
        <v>0</v>
      </c>
      <c r="H4000">
        <v>0</v>
      </c>
      <c r="I4000">
        <v>0</v>
      </c>
      <c r="J4000">
        <v>0</v>
      </c>
      <c r="K4000">
        <v>61.6</v>
      </c>
      <c r="L4000">
        <v>62.2</v>
      </c>
      <c r="M4000">
        <v>64.91</v>
      </c>
      <c r="N4000">
        <v>16</v>
      </c>
      <c r="O4000">
        <v>1</v>
      </c>
      <c r="P4000">
        <f>MOD(DAY(datos_siembra[[#This Row],[Date]]),7)</f>
        <v>2</v>
      </c>
      <c r="Q4000" t="str">
        <f>CHOOSE(WEEKDAY(datos_siembra[[#This Row],[Date]],2),"L","M","X","J","V","S","D")</f>
        <v>X</v>
      </c>
      <c r="R4000">
        <f>WEEKNUM(datos_siembra[[#This Row],[Date]],2)-WEEKNUM(DATE(YEAR(datos_siembra[[#This Row],[Date]]),MONTH(datos_siembra[[#This Row],[Date]]),1))+1</f>
        <v>3</v>
      </c>
      <c r="S4000">
        <f>MONTH(datos_siembra[[#This Row],[Date]])</f>
        <v>10</v>
      </c>
      <c r="T4000" t="str" cm="1">
        <f t="array" ref="T4000">_xlfn.IFS(AND(N4000&lt;= 22, S4000=9), "SOWING",AND(N4000&lt;= 28, S4000=9), "COVERAGE",AND(N4000&lt;= 30, S4000=9), "FLUSH",AND(N4000&lt;= 11, S4000=10), "FLUSH",AND(N4000&lt;= 21, S4000=10), "PRODUCTION")</f>
        <v>PRODUCTION</v>
      </c>
      <c r="U4000">
        <f>HOUR(datos_siembra[[#This Row],[Hour]])</f>
        <v>10</v>
      </c>
      <c r="V4000" cm="1">
        <f t="array" ref="V4000">_xlfn.IFS(AND(N4000&lt;= 22, S4000=9), N4000-7,AND(N4000&lt;= 28, S4000=9), N4000-25,AND(N4000&lt;= 30, S4000=9), N4000-28,AND(N4000&lt;= 11, S4000=10), N4000+2,AND(N4000&lt;= 21, S4000=10), N4000-11)</f>
        <v>5</v>
      </c>
    </row>
    <row r="4001" spans="1:22" x14ac:dyDescent="0.35">
      <c r="A4001" s="4">
        <v>45581</v>
      </c>
      <c r="B4001" s="5">
        <v>0.45324074074074072</v>
      </c>
      <c r="C4001">
        <v>65.2</v>
      </c>
      <c r="D4001">
        <v>65.099999999999994</v>
      </c>
      <c r="E4001">
        <v>64.400000000000006</v>
      </c>
      <c r="F4001">
        <v>64.900000000000006</v>
      </c>
      <c r="G4001">
        <v>0</v>
      </c>
      <c r="H4001">
        <v>0</v>
      </c>
      <c r="I4001">
        <v>0</v>
      </c>
      <c r="J4001">
        <v>0</v>
      </c>
      <c r="K4001">
        <v>61.8</v>
      </c>
      <c r="L4001">
        <v>62.3</v>
      </c>
      <c r="M4001">
        <v>64.91</v>
      </c>
      <c r="N4001">
        <v>16</v>
      </c>
      <c r="O4001">
        <v>1</v>
      </c>
      <c r="P4001">
        <f>MOD(DAY(datos_siembra[[#This Row],[Date]]),7)</f>
        <v>2</v>
      </c>
      <c r="Q4001" t="str">
        <f>CHOOSE(WEEKDAY(datos_siembra[[#This Row],[Date]],2),"L","M","X","J","V","S","D")</f>
        <v>X</v>
      </c>
      <c r="R4001">
        <f>WEEKNUM(datos_siembra[[#This Row],[Date]],2)-WEEKNUM(DATE(YEAR(datos_siembra[[#This Row],[Date]]),MONTH(datos_siembra[[#This Row],[Date]]),1))+1</f>
        <v>3</v>
      </c>
      <c r="S4001">
        <f>MONTH(datos_siembra[[#This Row],[Date]])</f>
        <v>10</v>
      </c>
      <c r="T4001" t="str" cm="1">
        <f t="array" ref="T4001">_xlfn.IFS(AND(N4001&lt;= 22, S4001=9), "SOWING",AND(N4001&lt;= 28, S4001=9), "COVERAGE",AND(N4001&lt;= 30, S4001=9), "FLUSH",AND(N4001&lt;= 11, S4001=10), "FLUSH",AND(N4001&lt;= 21, S4001=10), "PRODUCTION")</f>
        <v>PRODUCTION</v>
      </c>
      <c r="U4001">
        <f>HOUR(datos_siembra[[#This Row],[Hour]])</f>
        <v>10</v>
      </c>
      <c r="V4001" cm="1">
        <f t="array" ref="V4001">_xlfn.IFS(AND(N4001&lt;= 22, S4001=9), N4001-7,AND(N4001&lt;= 28, S4001=9), N4001-25,AND(N4001&lt;= 30, S4001=9), N4001-28,AND(N4001&lt;= 11, S4001=10), N4001+2,AND(N4001&lt;= 21, S4001=10), N4001-11)</f>
        <v>5</v>
      </c>
    </row>
    <row r="4002" spans="1:22" x14ac:dyDescent="0.35">
      <c r="A4002" s="4">
        <v>45581</v>
      </c>
      <c r="B4002" s="5">
        <v>0.4601851851851852</v>
      </c>
      <c r="C4002">
        <v>65.2</v>
      </c>
      <c r="D4002">
        <v>65.2</v>
      </c>
      <c r="E4002">
        <v>64.599999999999994</v>
      </c>
      <c r="F4002">
        <v>65.099999999999994</v>
      </c>
      <c r="G4002">
        <v>0</v>
      </c>
      <c r="H4002">
        <v>0</v>
      </c>
      <c r="I4002">
        <v>0</v>
      </c>
      <c r="J4002">
        <v>0</v>
      </c>
      <c r="K4002">
        <v>61.9</v>
      </c>
      <c r="L4002">
        <v>62.5</v>
      </c>
      <c r="M4002">
        <v>64.930000000000007</v>
      </c>
      <c r="N4002">
        <v>16</v>
      </c>
      <c r="O4002">
        <v>1</v>
      </c>
      <c r="P4002">
        <f>MOD(DAY(datos_siembra[[#This Row],[Date]]),7)</f>
        <v>2</v>
      </c>
      <c r="Q4002" t="str">
        <f>CHOOSE(WEEKDAY(datos_siembra[[#This Row],[Date]],2),"L","M","X","J","V","S","D")</f>
        <v>X</v>
      </c>
      <c r="R4002">
        <f>WEEKNUM(datos_siembra[[#This Row],[Date]],2)-WEEKNUM(DATE(YEAR(datos_siembra[[#This Row],[Date]]),MONTH(datos_siembra[[#This Row],[Date]]),1))+1</f>
        <v>3</v>
      </c>
      <c r="S4002">
        <f>MONTH(datos_siembra[[#This Row],[Date]])</f>
        <v>10</v>
      </c>
      <c r="T4002" t="str" cm="1">
        <f t="array" ref="T4002">_xlfn.IFS(AND(N4002&lt;= 22, S4002=9), "SOWING",AND(N4002&lt;= 28, S4002=9), "COVERAGE",AND(N4002&lt;= 30, S4002=9), "FLUSH",AND(N4002&lt;= 11, S4002=10), "FLUSH",AND(N4002&lt;= 21, S4002=10), "PRODUCTION")</f>
        <v>PRODUCTION</v>
      </c>
      <c r="U4002">
        <f>HOUR(datos_siembra[[#This Row],[Hour]])</f>
        <v>11</v>
      </c>
      <c r="V4002" cm="1">
        <f t="array" ref="V4002">_xlfn.IFS(AND(N4002&lt;= 22, S4002=9), N4002-7,AND(N4002&lt;= 28, S4002=9), N4002-25,AND(N4002&lt;= 30, S4002=9), N4002-28,AND(N4002&lt;= 11, S4002=10), N4002+2,AND(N4002&lt;= 21, S4002=10), N4002-11)</f>
        <v>5</v>
      </c>
    </row>
    <row r="4003" spans="1:22" x14ac:dyDescent="0.35">
      <c r="A4003" s="4">
        <v>45581</v>
      </c>
      <c r="B4003" s="5">
        <v>0.46712962962962962</v>
      </c>
      <c r="C4003">
        <v>65.099999999999994</v>
      </c>
      <c r="D4003">
        <v>65.2</v>
      </c>
      <c r="E4003">
        <v>64.400000000000006</v>
      </c>
      <c r="F4003">
        <v>65</v>
      </c>
      <c r="G4003">
        <v>0</v>
      </c>
      <c r="H4003">
        <v>0</v>
      </c>
      <c r="I4003">
        <v>0</v>
      </c>
      <c r="J4003">
        <v>0</v>
      </c>
      <c r="K4003">
        <v>62</v>
      </c>
      <c r="L4003">
        <v>62.5</v>
      </c>
      <c r="M4003">
        <v>64.88</v>
      </c>
      <c r="N4003">
        <v>16</v>
      </c>
      <c r="O4003">
        <v>1</v>
      </c>
      <c r="P4003">
        <f>MOD(DAY(datos_siembra[[#This Row],[Date]]),7)</f>
        <v>2</v>
      </c>
      <c r="Q4003" t="str">
        <f>CHOOSE(WEEKDAY(datos_siembra[[#This Row],[Date]],2),"L","M","X","J","V","S","D")</f>
        <v>X</v>
      </c>
      <c r="R4003">
        <f>WEEKNUM(datos_siembra[[#This Row],[Date]],2)-WEEKNUM(DATE(YEAR(datos_siembra[[#This Row],[Date]]),MONTH(datos_siembra[[#This Row],[Date]]),1))+1</f>
        <v>3</v>
      </c>
      <c r="S4003">
        <f>MONTH(datos_siembra[[#This Row],[Date]])</f>
        <v>10</v>
      </c>
      <c r="T4003" t="str" cm="1">
        <f t="array" ref="T4003">_xlfn.IFS(AND(N4003&lt;= 22, S4003=9), "SOWING",AND(N4003&lt;= 28, S4003=9), "COVERAGE",AND(N4003&lt;= 30, S4003=9), "FLUSH",AND(N4003&lt;= 11, S4003=10), "FLUSH",AND(N4003&lt;= 21, S4003=10), "PRODUCTION")</f>
        <v>PRODUCTION</v>
      </c>
      <c r="U4003">
        <f>HOUR(datos_siembra[[#This Row],[Hour]])</f>
        <v>11</v>
      </c>
      <c r="V4003" cm="1">
        <f t="array" ref="V4003">_xlfn.IFS(AND(N4003&lt;= 22, S4003=9), N4003-7,AND(N4003&lt;= 28, S4003=9), N4003-25,AND(N4003&lt;= 30, S4003=9), N4003-28,AND(N4003&lt;= 11, S4003=10), N4003+2,AND(N4003&lt;= 21, S4003=10), N4003-11)</f>
        <v>5</v>
      </c>
    </row>
    <row r="4004" spans="1:22" x14ac:dyDescent="0.35">
      <c r="A4004" s="4">
        <v>45581</v>
      </c>
      <c r="B4004" s="5">
        <v>0.47407407407407409</v>
      </c>
      <c r="C4004">
        <v>65.2</v>
      </c>
      <c r="D4004">
        <v>65.400000000000006</v>
      </c>
      <c r="E4004">
        <v>64.400000000000006</v>
      </c>
      <c r="F4004">
        <v>65</v>
      </c>
      <c r="G4004">
        <v>0</v>
      </c>
      <c r="H4004">
        <v>0</v>
      </c>
      <c r="I4004">
        <v>0</v>
      </c>
      <c r="J4004">
        <v>0</v>
      </c>
      <c r="K4004">
        <v>62.2</v>
      </c>
      <c r="L4004">
        <v>62.6</v>
      </c>
      <c r="M4004">
        <v>65.02</v>
      </c>
      <c r="N4004">
        <v>16</v>
      </c>
      <c r="O4004">
        <v>1</v>
      </c>
      <c r="P4004">
        <f>MOD(DAY(datos_siembra[[#This Row],[Date]]),7)</f>
        <v>2</v>
      </c>
      <c r="Q4004" t="str">
        <f>CHOOSE(WEEKDAY(datos_siembra[[#This Row],[Date]],2),"L","M","X","J","V","S","D")</f>
        <v>X</v>
      </c>
      <c r="R4004">
        <f>WEEKNUM(datos_siembra[[#This Row],[Date]],2)-WEEKNUM(DATE(YEAR(datos_siembra[[#This Row],[Date]]),MONTH(datos_siembra[[#This Row],[Date]]),1))+1</f>
        <v>3</v>
      </c>
      <c r="S4004">
        <f>MONTH(datos_siembra[[#This Row],[Date]])</f>
        <v>10</v>
      </c>
      <c r="T4004" t="str" cm="1">
        <f t="array" ref="T4004">_xlfn.IFS(AND(N4004&lt;= 22, S4004=9), "SOWING",AND(N4004&lt;= 28, S4004=9), "COVERAGE",AND(N4004&lt;= 30, S4004=9), "FLUSH",AND(N4004&lt;= 11, S4004=10), "FLUSH",AND(N4004&lt;= 21, S4004=10), "PRODUCTION")</f>
        <v>PRODUCTION</v>
      </c>
      <c r="U4004">
        <f>HOUR(datos_siembra[[#This Row],[Hour]])</f>
        <v>11</v>
      </c>
      <c r="V4004" cm="1">
        <f t="array" ref="V4004">_xlfn.IFS(AND(N4004&lt;= 22, S4004=9), N4004-7,AND(N4004&lt;= 28, S4004=9), N4004-25,AND(N4004&lt;= 30, S4004=9), N4004-28,AND(N4004&lt;= 11, S4004=10), N4004+2,AND(N4004&lt;= 21, S4004=10), N4004-11)</f>
        <v>5</v>
      </c>
    </row>
    <row r="4005" spans="1:22" x14ac:dyDescent="0.35">
      <c r="A4005" s="4">
        <v>45581</v>
      </c>
      <c r="B4005" s="5">
        <v>0.48103009259259261</v>
      </c>
      <c r="C4005">
        <v>65.2</v>
      </c>
      <c r="D4005">
        <v>65.3</v>
      </c>
      <c r="E4005">
        <v>64.400000000000006</v>
      </c>
      <c r="F4005">
        <v>65</v>
      </c>
      <c r="G4005">
        <v>0</v>
      </c>
      <c r="H4005">
        <v>0</v>
      </c>
      <c r="I4005">
        <v>0</v>
      </c>
      <c r="J4005">
        <v>0</v>
      </c>
      <c r="K4005">
        <v>62.4</v>
      </c>
      <c r="L4005">
        <v>62.9</v>
      </c>
      <c r="M4005">
        <v>64.930000000000007</v>
      </c>
      <c r="N4005">
        <v>16</v>
      </c>
      <c r="O4005">
        <v>1</v>
      </c>
      <c r="P4005">
        <f>MOD(DAY(datos_siembra[[#This Row],[Date]]),7)</f>
        <v>2</v>
      </c>
      <c r="Q4005" t="str">
        <f>CHOOSE(WEEKDAY(datos_siembra[[#This Row],[Date]],2),"L","M","X","J","V","S","D")</f>
        <v>X</v>
      </c>
      <c r="R4005">
        <f>WEEKNUM(datos_siembra[[#This Row],[Date]],2)-WEEKNUM(DATE(YEAR(datos_siembra[[#This Row],[Date]]),MONTH(datos_siembra[[#This Row],[Date]]),1))+1</f>
        <v>3</v>
      </c>
      <c r="S4005">
        <f>MONTH(datos_siembra[[#This Row],[Date]])</f>
        <v>10</v>
      </c>
      <c r="T4005" t="str" cm="1">
        <f t="array" ref="T4005">_xlfn.IFS(AND(N4005&lt;= 22, S4005=9), "SOWING",AND(N4005&lt;= 28, S4005=9), "COVERAGE",AND(N4005&lt;= 30, S4005=9), "FLUSH",AND(N4005&lt;= 11, S4005=10), "FLUSH",AND(N4005&lt;= 21, S4005=10), "PRODUCTION")</f>
        <v>PRODUCTION</v>
      </c>
      <c r="U4005">
        <f>HOUR(datos_siembra[[#This Row],[Hour]])</f>
        <v>11</v>
      </c>
      <c r="V4005" cm="1">
        <f t="array" ref="V4005">_xlfn.IFS(AND(N4005&lt;= 22, S4005=9), N4005-7,AND(N4005&lt;= 28, S4005=9), N4005-25,AND(N4005&lt;= 30, S4005=9), N4005-28,AND(N4005&lt;= 11, S4005=10), N4005+2,AND(N4005&lt;= 21, S4005=10), N4005-11)</f>
        <v>5</v>
      </c>
    </row>
    <row r="4006" spans="1:22" x14ac:dyDescent="0.35">
      <c r="A4006" s="4">
        <v>45581</v>
      </c>
      <c r="B4006" s="5">
        <v>0.48797453703703703</v>
      </c>
      <c r="C4006">
        <v>65</v>
      </c>
      <c r="D4006">
        <v>65.2</v>
      </c>
      <c r="E4006">
        <v>64.400000000000006</v>
      </c>
      <c r="F4006">
        <v>65</v>
      </c>
      <c r="G4006">
        <v>0</v>
      </c>
      <c r="H4006">
        <v>0</v>
      </c>
      <c r="I4006">
        <v>0</v>
      </c>
      <c r="J4006">
        <v>0</v>
      </c>
      <c r="K4006">
        <v>62.5</v>
      </c>
      <c r="L4006">
        <v>63.2</v>
      </c>
      <c r="M4006">
        <v>64.91</v>
      </c>
      <c r="N4006">
        <v>16</v>
      </c>
      <c r="O4006">
        <v>1</v>
      </c>
      <c r="P4006">
        <f>MOD(DAY(datos_siembra[[#This Row],[Date]]),7)</f>
        <v>2</v>
      </c>
      <c r="Q4006" t="str">
        <f>CHOOSE(WEEKDAY(datos_siembra[[#This Row],[Date]],2),"L","M","X","J","V","S","D")</f>
        <v>X</v>
      </c>
      <c r="R4006">
        <f>WEEKNUM(datos_siembra[[#This Row],[Date]],2)-WEEKNUM(DATE(YEAR(datos_siembra[[#This Row],[Date]]),MONTH(datos_siembra[[#This Row],[Date]]),1))+1</f>
        <v>3</v>
      </c>
      <c r="S4006">
        <f>MONTH(datos_siembra[[#This Row],[Date]])</f>
        <v>10</v>
      </c>
      <c r="T4006" t="str" cm="1">
        <f t="array" ref="T4006">_xlfn.IFS(AND(N4006&lt;= 22, S4006=9), "SOWING",AND(N4006&lt;= 28, S4006=9), "COVERAGE",AND(N4006&lt;= 30, S4006=9), "FLUSH",AND(N4006&lt;= 11, S4006=10), "FLUSH",AND(N4006&lt;= 21, S4006=10), "PRODUCTION")</f>
        <v>PRODUCTION</v>
      </c>
      <c r="U4006">
        <f>HOUR(datos_siembra[[#This Row],[Hour]])</f>
        <v>11</v>
      </c>
      <c r="V4006" cm="1">
        <f t="array" ref="V4006">_xlfn.IFS(AND(N4006&lt;= 22, S4006=9), N4006-7,AND(N4006&lt;= 28, S4006=9), N4006-25,AND(N4006&lt;= 30, S4006=9), N4006-28,AND(N4006&lt;= 11, S4006=10), N4006+2,AND(N4006&lt;= 21, S4006=10), N4006-11)</f>
        <v>5</v>
      </c>
    </row>
    <row r="4007" spans="1:22" x14ac:dyDescent="0.35">
      <c r="A4007" s="4">
        <v>45581</v>
      </c>
      <c r="B4007" s="5">
        <v>0.4949189814814815</v>
      </c>
      <c r="C4007">
        <v>65.2</v>
      </c>
      <c r="D4007">
        <v>65.3</v>
      </c>
      <c r="E4007">
        <v>64.400000000000006</v>
      </c>
      <c r="F4007">
        <v>65</v>
      </c>
      <c r="G4007">
        <v>0</v>
      </c>
      <c r="H4007">
        <v>0</v>
      </c>
      <c r="I4007">
        <v>0</v>
      </c>
      <c r="J4007">
        <v>0</v>
      </c>
      <c r="K4007">
        <v>62.7</v>
      </c>
      <c r="L4007">
        <v>63.4</v>
      </c>
      <c r="M4007">
        <v>64.88</v>
      </c>
      <c r="N4007">
        <v>16</v>
      </c>
      <c r="O4007">
        <v>1</v>
      </c>
      <c r="P4007">
        <f>MOD(DAY(datos_siembra[[#This Row],[Date]]),7)</f>
        <v>2</v>
      </c>
      <c r="Q4007" t="str">
        <f>CHOOSE(WEEKDAY(datos_siembra[[#This Row],[Date]],2),"L","M","X","J","V","S","D")</f>
        <v>X</v>
      </c>
      <c r="R4007">
        <f>WEEKNUM(datos_siembra[[#This Row],[Date]],2)-WEEKNUM(DATE(YEAR(datos_siembra[[#This Row],[Date]]),MONTH(datos_siembra[[#This Row],[Date]]),1))+1</f>
        <v>3</v>
      </c>
      <c r="S4007">
        <f>MONTH(datos_siembra[[#This Row],[Date]])</f>
        <v>10</v>
      </c>
      <c r="T4007" t="str" cm="1">
        <f t="array" ref="T4007">_xlfn.IFS(AND(N4007&lt;= 22, S4007=9), "SOWING",AND(N4007&lt;= 28, S4007=9), "COVERAGE",AND(N4007&lt;= 30, S4007=9), "FLUSH",AND(N4007&lt;= 11, S4007=10), "FLUSH",AND(N4007&lt;= 21, S4007=10), "PRODUCTION")</f>
        <v>PRODUCTION</v>
      </c>
      <c r="U4007">
        <f>HOUR(datos_siembra[[#This Row],[Hour]])</f>
        <v>11</v>
      </c>
      <c r="V4007" cm="1">
        <f t="array" ref="V4007">_xlfn.IFS(AND(N4007&lt;= 22, S4007=9), N4007-7,AND(N4007&lt;= 28, S4007=9), N4007-25,AND(N4007&lt;= 30, S4007=9), N4007-28,AND(N4007&lt;= 11, S4007=10), N4007+2,AND(N4007&lt;= 21, S4007=10), N4007-11)</f>
        <v>5</v>
      </c>
    </row>
    <row r="4008" spans="1:22" x14ac:dyDescent="0.35">
      <c r="A4008" s="4">
        <v>45581</v>
      </c>
      <c r="B4008" s="5">
        <v>0.50327546296296299</v>
      </c>
      <c r="C4008">
        <v>65.099999999999994</v>
      </c>
      <c r="D4008">
        <v>65.2</v>
      </c>
      <c r="E4008">
        <v>64.400000000000006</v>
      </c>
      <c r="F4008">
        <v>64.900000000000006</v>
      </c>
      <c r="G4008">
        <v>0</v>
      </c>
      <c r="H4008">
        <v>0</v>
      </c>
      <c r="I4008">
        <v>0</v>
      </c>
      <c r="J4008">
        <v>0</v>
      </c>
      <c r="K4008">
        <v>62.6</v>
      </c>
      <c r="L4008">
        <v>63.3</v>
      </c>
      <c r="M4008">
        <v>64.88</v>
      </c>
      <c r="N4008">
        <v>16</v>
      </c>
      <c r="O4008">
        <v>1</v>
      </c>
      <c r="P4008">
        <f>MOD(DAY(datos_siembra[[#This Row],[Date]]),7)</f>
        <v>2</v>
      </c>
      <c r="Q4008" t="str">
        <f>CHOOSE(WEEKDAY(datos_siembra[[#This Row],[Date]],2),"L","M","X","J","V","S","D")</f>
        <v>X</v>
      </c>
      <c r="R4008">
        <f>WEEKNUM(datos_siembra[[#This Row],[Date]],2)-WEEKNUM(DATE(YEAR(datos_siembra[[#This Row],[Date]]),MONTH(datos_siembra[[#This Row],[Date]]),1))+1</f>
        <v>3</v>
      </c>
      <c r="S4008">
        <f>MONTH(datos_siembra[[#This Row],[Date]])</f>
        <v>10</v>
      </c>
      <c r="T4008" t="str" cm="1">
        <f t="array" ref="T4008">_xlfn.IFS(AND(N4008&lt;= 22, S4008=9), "SOWING",AND(N4008&lt;= 28, S4008=9), "COVERAGE",AND(N4008&lt;= 30, S4008=9), "FLUSH",AND(N4008&lt;= 11, S4008=10), "FLUSH",AND(N4008&lt;= 21, S4008=10), "PRODUCTION")</f>
        <v>PRODUCTION</v>
      </c>
      <c r="U4008">
        <f>HOUR(datos_siembra[[#This Row],[Hour]])</f>
        <v>12</v>
      </c>
      <c r="V4008" cm="1">
        <f t="array" ref="V4008">_xlfn.IFS(AND(N4008&lt;= 22, S4008=9), N4008-7,AND(N4008&lt;= 28, S4008=9), N4008-25,AND(N4008&lt;= 30, S4008=9), N4008-28,AND(N4008&lt;= 11, S4008=10), N4008+2,AND(N4008&lt;= 21, S4008=10), N4008-11)</f>
        <v>5</v>
      </c>
    </row>
    <row r="4009" spans="1:22" x14ac:dyDescent="0.35">
      <c r="A4009" s="4">
        <v>45581</v>
      </c>
      <c r="B4009" s="5">
        <v>0.51009259259259254</v>
      </c>
      <c r="C4009">
        <v>65.099999999999994</v>
      </c>
      <c r="D4009">
        <v>65.2</v>
      </c>
      <c r="E4009">
        <v>64.5</v>
      </c>
      <c r="F4009">
        <v>65</v>
      </c>
      <c r="G4009">
        <v>0</v>
      </c>
      <c r="H4009">
        <v>0</v>
      </c>
      <c r="I4009">
        <v>0</v>
      </c>
      <c r="J4009">
        <v>0</v>
      </c>
      <c r="K4009">
        <v>63</v>
      </c>
      <c r="L4009">
        <v>63.7</v>
      </c>
      <c r="M4009">
        <v>64.88</v>
      </c>
      <c r="N4009">
        <v>16</v>
      </c>
      <c r="O4009">
        <v>1</v>
      </c>
      <c r="P4009">
        <f>MOD(DAY(datos_siembra[[#This Row],[Date]]),7)</f>
        <v>2</v>
      </c>
      <c r="Q4009" t="str">
        <f>CHOOSE(WEEKDAY(datos_siembra[[#This Row],[Date]],2),"L","M","X","J","V","S","D")</f>
        <v>X</v>
      </c>
      <c r="R4009">
        <f>WEEKNUM(datos_siembra[[#This Row],[Date]],2)-WEEKNUM(DATE(YEAR(datos_siembra[[#This Row],[Date]]),MONTH(datos_siembra[[#This Row],[Date]]),1))+1</f>
        <v>3</v>
      </c>
      <c r="S4009">
        <f>MONTH(datos_siembra[[#This Row],[Date]])</f>
        <v>10</v>
      </c>
      <c r="T4009" t="str" cm="1">
        <f t="array" ref="T4009">_xlfn.IFS(AND(N4009&lt;= 22, S4009=9), "SOWING",AND(N4009&lt;= 28, S4009=9), "COVERAGE",AND(N4009&lt;= 30, S4009=9), "FLUSH",AND(N4009&lt;= 11, S4009=10), "FLUSH",AND(N4009&lt;= 21, S4009=10), "PRODUCTION")</f>
        <v>PRODUCTION</v>
      </c>
      <c r="U4009">
        <f>HOUR(datos_siembra[[#This Row],[Hour]])</f>
        <v>12</v>
      </c>
      <c r="V4009" cm="1">
        <f t="array" ref="V4009">_xlfn.IFS(AND(N4009&lt;= 22, S4009=9), N4009-7,AND(N4009&lt;= 28, S4009=9), N4009-25,AND(N4009&lt;= 30, S4009=9), N4009-28,AND(N4009&lt;= 11, S4009=10), N4009+2,AND(N4009&lt;= 21, S4009=10), N4009-11)</f>
        <v>5</v>
      </c>
    </row>
    <row r="4010" spans="1:22" x14ac:dyDescent="0.35">
      <c r="A4010" s="4">
        <v>45581</v>
      </c>
      <c r="B4010" s="5">
        <v>0.51703703703703707</v>
      </c>
      <c r="C4010">
        <v>65</v>
      </c>
      <c r="D4010">
        <v>65.3</v>
      </c>
      <c r="E4010">
        <v>64.400000000000006</v>
      </c>
      <c r="F4010">
        <v>65</v>
      </c>
      <c r="G4010">
        <v>0</v>
      </c>
      <c r="H4010">
        <v>0</v>
      </c>
      <c r="I4010">
        <v>0</v>
      </c>
      <c r="J4010">
        <v>0</v>
      </c>
      <c r="K4010">
        <v>62.8</v>
      </c>
      <c r="L4010">
        <v>63.6</v>
      </c>
      <c r="M4010">
        <v>64.91</v>
      </c>
      <c r="N4010">
        <v>16</v>
      </c>
      <c r="O4010">
        <v>1</v>
      </c>
      <c r="P4010">
        <f>MOD(DAY(datos_siembra[[#This Row],[Date]]),7)</f>
        <v>2</v>
      </c>
      <c r="Q4010" t="str">
        <f>CHOOSE(WEEKDAY(datos_siembra[[#This Row],[Date]],2),"L","M","X","J","V","S","D")</f>
        <v>X</v>
      </c>
      <c r="R4010">
        <f>WEEKNUM(datos_siembra[[#This Row],[Date]],2)-WEEKNUM(DATE(YEAR(datos_siembra[[#This Row],[Date]]),MONTH(datos_siembra[[#This Row],[Date]]),1))+1</f>
        <v>3</v>
      </c>
      <c r="S4010">
        <f>MONTH(datos_siembra[[#This Row],[Date]])</f>
        <v>10</v>
      </c>
      <c r="T4010" t="str" cm="1">
        <f t="array" ref="T4010">_xlfn.IFS(AND(N4010&lt;= 22, S4010=9), "SOWING",AND(N4010&lt;= 28, S4010=9), "COVERAGE",AND(N4010&lt;= 30, S4010=9), "FLUSH",AND(N4010&lt;= 11, S4010=10), "FLUSH",AND(N4010&lt;= 21, S4010=10), "PRODUCTION")</f>
        <v>PRODUCTION</v>
      </c>
      <c r="U4010">
        <f>HOUR(datos_siembra[[#This Row],[Hour]])</f>
        <v>12</v>
      </c>
      <c r="V4010" cm="1">
        <f t="array" ref="V4010">_xlfn.IFS(AND(N4010&lt;= 22, S4010=9), N4010-7,AND(N4010&lt;= 28, S4010=9), N4010-25,AND(N4010&lt;= 30, S4010=9), N4010-28,AND(N4010&lt;= 11, S4010=10), N4010+2,AND(N4010&lt;= 21, S4010=10), N4010-11)</f>
        <v>5</v>
      </c>
    </row>
    <row r="4011" spans="1:22" x14ac:dyDescent="0.35">
      <c r="A4011" s="4">
        <v>45581</v>
      </c>
      <c r="B4011" s="5">
        <v>0.52399305555555553</v>
      </c>
      <c r="C4011">
        <v>65.099999999999994</v>
      </c>
      <c r="D4011">
        <v>65.3</v>
      </c>
      <c r="E4011">
        <v>64.3</v>
      </c>
      <c r="F4011">
        <v>65.099999999999994</v>
      </c>
      <c r="G4011">
        <v>0</v>
      </c>
      <c r="H4011">
        <v>0</v>
      </c>
      <c r="I4011">
        <v>0</v>
      </c>
      <c r="J4011">
        <v>0</v>
      </c>
      <c r="K4011">
        <v>63.2</v>
      </c>
      <c r="L4011">
        <v>64.099999999999994</v>
      </c>
      <c r="M4011">
        <v>64.91</v>
      </c>
      <c r="N4011">
        <v>16</v>
      </c>
      <c r="O4011">
        <v>1</v>
      </c>
      <c r="P4011">
        <f>MOD(DAY(datos_siembra[[#This Row],[Date]]),7)</f>
        <v>2</v>
      </c>
      <c r="Q4011" t="str">
        <f>CHOOSE(WEEKDAY(datos_siembra[[#This Row],[Date]],2),"L","M","X","J","V","S","D")</f>
        <v>X</v>
      </c>
      <c r="R4011">
        <f>WEEKNUM(datos_siembra[[#This Row],[Date]],2)-WEEKNUM(DATE(YEAR(datos_siembra[[#This Row],[Date]]),MONTH(datos_siembra[[#This Row],[Date]]),1))+1</f>
        <v>3</v>
      </c>
      <c r="S4011">
        <f>MONTH(datos_siembra[[#This Row],[Date]])</f>
        <v>10</v>
      </c>
      <c r="T4011" t="str" cm="1">
        <f t="array" ref="T4011">_xlfn.IFS(AND(N4011&lt;= 22, S4011=9), "SOWING",AND(N4011&lt;= 28, S4011=9), "COVERAGE",AND(N4011&lt;= 30, S4011=9), "FLUSH",AND(N4011&lt;= 11, S4011=10), "FLUSH",AND(N4011&lt;= 21, S4011=10), "PRODUCTION")</f>
        <v>PRODUCTION</v>
      </c>
      <c r="U4011">
        <f>HOUR(datos_siembra[[#This Row],[Hour]])</f>
        <v>12</v>
      </c>
      <c r="V4011" cm="1">
        <f t="array" ref="V4011">_xlfn.IFS(AND(N4011&lt;= 22, S4011=9), N4011-7,AND(N4011&lt;= 28, S4011=9), N4011-25,AND(N4011&lt;= 30, S4011=9), N4011-28,AND(N4011&lt;= 11, S4011=10), N4011+2,AND(N4011&lt;= 21, S4011=10), N4011-11)</f>
        <v>5</v>
      </c>
    </row>
    <row r="4012" spans="1:22" x14ac:dyDescent="0.35">
      <c r="A4012" s="4">
        <v>45581</v>
      </c>
      <c r="B4012" s="5">
        <v>0.53093749999999995</v>
      </c>
      <c r="C4012">
        <v>65</v>
      </c>
      <c r="D4012">
        <v>65.2</v>
      </c>
      <c r="E4012">
        <v>64.3</v>
      </c>
      <c r="F4012">
        <v>65</v>
      </c>
      <c r="G4012">
        <v>0</v>
      </c>
      <c r="H4012">
        <v>0</v>
      </c>
      <c r="I4012">
        <v>0</v>
      </c>
      <c r="J4012">
        <v>0</v>
      </c>
      <c r="K4012">
        <v>63.2</v>
      </c>
      <c r="L4012">
        <v>64.400000000000006</v>
      </c>
      <c r="M4012">
        <v>64.88</v>
      </c>
      <c r="N4012">
        <v>16</v>
      </c>
      <c r="O4012">
        <v>1</v>
      </c>
      <c r="P4012">
        <f>MOD(DAY(datos_siembra[[#This Row],[Date]]),7)</f>
        <v>2</v>
      </c>
      <c r="Q4012" t="str">
        <f>CHOOSE(WEEKDAY(datos_siembra[[#This Row],[Date]],2),"L","M","X","J","V","S","D")</f>
        <v>X</v>
      </c>
      <c r="R4012">
        <f>WEEKNUM(datos_siembra[[#This Row],[Date]],2)-WEEKNUM(DATE(YEAR(datos_siembra[[#This Row],[Date]]),MONTH(datos_siembra[[#This Row],[Date]]),1))+1</f>
        <v>3</v>
      </c>
      <c r="S4012">
        <f>MONTH(datos_siembra[[#This Row],[Date]])</f>
        <v>10</v>
      </c>
      <c r="T4012" t="str" cm="1">
        <f t="array" ref="T4012">_xlfn.IFS(AND(N4012&lt;= 22, S4012=9), "SOWING",AND(N4012&lt;= 28, S4012=9), "COVERAGE",AND(N4012&lt;= 30, S4012=9), "FLUSH",AND(N4012&lt;= 11, S4012=10), "FLUSH",AND(N4012&lt;= 21, S4012=10), "PRODUCTION")</f>
        <v>PRODUCTION</v>
      </c>
      <c r="U4012">
        <f>HOUR(datos_siembra[[#This Row],[Hour]])</f>
        <v>12</v>
      </c>
      <c r="V4012" cm="1">
        <f t="array" ref="V4012">_xlfn.IFS(AND(N4012&lt;= 22, S4012=9), N4012-7,AND(N4012&lt;= 28, S4012=9), N4012-25,AND(N4012&lt;= 30, S4012=9), N4012-28,AND(N4012&lt;= 11, S4012=10), N4012+2,AND(N4012&lt;= 21, S4012=10), N4012-11)</f>
        <v>5</v>
      </c>
    </row>
    <row r="4013" spans="1:22" x14ac:dyDescent="0.35">
      <c r="A4013" s="4">
        <v>45581</v>
      </c>
      <c r="B4013" s="5">
        <v>0.53788194444444448</v>
      </c>
      <c r="C4013">
        <v>65.099999999999994</v>
      </c>
      <c r="D4013">
        <v>65.3</v>
      </c>
      <c r="E4013">
        <v>64.400000000000006</v>
      </c>
      <c r="F4013">
        <v>65</v>
      </c>
      <c r="G4013">
        <v>0</v>
      </c>
      <c r="H4013">
        <v>0</v>
      </c>
      <c r="I4013">
        <v>0</v>
      </c>
      <c r="J4013">
        <v>0</v>
      </c>
      <c r="K4013">
        <v>63</v>
      </c>
      <c r="L4013">
        <v>64.400000000000006</v>
      </c>
      <c r="M4013">
        <v>64.91</v>
      </c>
      <c r="N4013">
        <v>16</v>
      </c>
      <c r="O4013">
        <v>1</v>
      </c>
      <c r="P4013">
        <f>MOD(DAY(datos_siembra[[#This Row],[Date]]),7)</f>
        <v>2</v>
      </c>
      <c r="Q4013" t="str">
        <f>CHOOSE(WEEKDAY(datos_siembra[[#This Row],[Date]],2),"L","M","X","J","V","S","D")</f>
        <v>X</v>
      </c>
      <c r="R4013">
        <f>WEEKNUM(datos_siembra[[#This Row],[Date]],2)-WEEKNUM(DATE(YEAR(datos_siembra[[#This Row],[Date]]),MONTH(datos_siembra[[#This Row],[Date]]),1))+1</f>
        <v>3</v>
      </c>
      <c r="S4013">
        <f>MONTH(datos_siembra[[#This Row],[Date]])</f>
        <v>10</v>
      </c>
      <c r="T4013" t="str" cm="1">
        <f t="array" ref="T4013">_xlfn.IFS(AND(N4013&lt;= 22, S4013=9), "SOWING",AND(N4013&lt;= 28, S4013=9), "COVERAGE",AND(N4013&lt;= 30, S4013=9), "FLUSH",AND(N4013&lt;= 11, S4013=10), "FLUSH",AND(N4013&lt;= 21, S4013=10), "PRODUCTION")</f>
        <v>PRODUCTION</v>
      </c>
      <c r="U4013">
        <f>HOUR(datos_siembra[[#This Row],[Hour]])</f>
        <v>12</v>
      </c>
      <c r="V4013" cm="1">
        <f t="array" ref="V4013">_xlfn.IFS(AND(N4013&lt;= 22, S4013=9), N4013-7,AND(N4013&lt;= 28, S4013=9), N4013-25,AND(N4013&lt;= 30, S4013=9), N4013-28,AND(N4013&lt;= 11, S4013=10), N4013+2,AND(N4013&lt;= 21, S4013=10), N4013-11)</f>
        <v>5</v>
      </c>
    </row>
    <row r="4014" spans="1:22" x14ac:dyDescent="0.35">
      <c r="A4014" s="4">
        <v>45581</v>
      </c>
      <c r="B4014" s="5">
        <v>0.5448263888888889</v>
      </c>
      <c r="C4014">
        <v>65.099999999999994</v>
      </c>
      <c r="D4014">
        <v>65.3</v>
      </c>
      <c r="E4014">
        <v>64.400000000000006</v>
      </c>
      <c r="F4014">
        <v>64.900000000000006</v>
      </c>
      <c r="G4014">
        <v>0</v>
      </c>
      <c r="H4014">
        <v>0</v>
      </c>
      <c r="I4014">
        <v>0</v>
      </c>
      <c r="J4014">
        <v>0</v>
      </c>
      <c r="K4014">
        <v>63.2</v>
      </c>
      <c r="L4014">
        <v>64.5</v>
      </c>
      <c r="M4014">
        <v>64.91</v>
      </c>
      <c r="N4014">
        <v>16</v>
      </c>
      <c r="O4014">
        <v>1</v>
      </c>
      <c r="P4014">
        <f>MOD(DAY(datos_siembra[[#This Row],[Date]]),7)</f>
        <v>2</v>
      </c>
      <c r="Q4014" t="str">
        <f>CHOOSE(WEEKDAY(datos_siembra[[#This Row],[Date]],2),"L","M","X","J","V","S","D")</f>
        <v>X</v>
      </c>
      <c r="R4014">
        <f>WEEKNUM(datos_siembra[[#This Row],[Date]],2)-WEEKNUM(DATE(YEAR(datos_siembra[[#This Row],[Date]]),MONTH(datos_siembra[[#This Row],[Date]]),1))+1</f>
        <v>3</v>
      </c>
      <c r="S4014">
        <f>MONTH(datos_siembra[[#This Row],[Date]])</f>
        <v>10</v>
      </c>
      <c r="T4014" t="str" cm="1">
        <f t="array" ref="T4014">_xlfn.IFS(AND(N4014&lt;= 22, S4014=9), "SOWING",AND(N4014&lt;= 28, S4014=9), "COVERAGE",AND(N4014&lt;= 30, S4014=9), "FLUSH",AND(N4014&lt;= 11, S4014=10), "FLUSH",AND(N4014&lt;= 21, S4014=10), "PRODUCTION")</f>
        <v>PRODUCTION</v>
      </c>
      <c r="U4014">
        <f>HOUR(datos_siembra[[#This Row],[Hour]])</f>
        <v>13</v>
      </c>
      <c r="V4014" cm="1">
        <f t="array" ref="V4014">_xlfn.IFS(AND(N4014&lt;= 22, S4014=9), N4014-7,AND(N4014&lt;= 28, S4014=9), N4014-25,AND(N4014&lt;= 30, S4014=9), N4014-28,AND(N4014&lt;= 11, S4014=10), N4014+2,AND(N4014&lt;= 21, S4014=10), N4014-11)</f>
        <v>5</v>
      </c>
    </row>
    <row r="4015" spans="1:22" x14ac:dyDescent="0.35">
      <c r="A4015" s="4">
        <v>45581</v>
      </c>
      <c r="B4015" s="5">
        <v>0.55178240740740736</v>
      </c>
      <c r="C4015">
        <v>65</v>
      </c>
      <c r="D4015">
        <v>65.3</v>
      </c>
      <c r="E4015">
        <v>64.400000000000006</v>
      </c>
      <c r="F4015">
        <v>65</v>
      </c>
      <c r="G4015">
        <v>0</v>
      </c>
      <c r="H4015">
        <v>0</v>
      </c>
      <c r="I4015">
        <v>0</v>
      </c>
      <c r="J4015">
        <v>0</v>
      </c>
      <c r="K4015">
        <v>63</v>
      </c>
      <c r="L4015">
        <v>64.3</v>
      </c>
      <c r="M4015">
        <v>64.91</v>
      </c>
      <c r="N4015">
        <v>16</v>
      </c>
      <c r="O4015">
        <v>1</v>
      </c>
      <c r="P4015">
        <f>MOD(DAY(datos_siembra[[#This Row],[Date]]),7)</f>
        <v>2</v>
      </c>
      <c r="Q4015" t="str">
        <f>CHOOSE(WEEKDAY(datos_siembra[[#This Row],[Date]],2),"L","M","X","J","V","S","D")</f>
        <v>X</v>
      </c>
      <c r="R4015">
        <f>WEEKNUM(datos_siembra[[#This Row],[Date]],2)-WEEKNUM(DATE(YEAR(datos_siembra[[#This Row],[Date]]),MONTH(datos_siembra[[#This Row],[Date]]),1))+1</f>
        <v>3</v>
      </c>
      <c r="S4015">
        <f>MONTH(datos_siembra[[#This Row],[Date]])</f>
        <v>10</v>
      </c>
      <c r="T4015" t="str" cm="1">
        <f t="array" ref="T4015">_xlfn.IFS(AND(N4015&lt;= 22, S4015=9), "SOWING",AND(N4015&lt;= 28, S4015=9), "COVERAGE",AND(N4015&lt;= 30, S4015=9), "FLUSH",AND(N4015&lt;= 11, S4015=10), "FLUSH",AND(N4015&lt;= 21, S4015=10), "PRODUCTION")</f>
        <v>PRODUCTION</v>
      </c>
      <c r="U4015">
        <f>HOUR(datos_siembra[[#This Row],[Hour]])</f>
        <v>13</v>
      </c>
      <c r="V4015" cm="1">
        <f t="array" ref="V4015">_xlfn.IFS(AND(N4015&lt;= 22, S4015=9), N4015-7,AND(N4015&lt;= 28, S4015=9), N4015-25,AND(N4015&lt;= 30, S4015=9), N4015-28,AND(N4015&lt;= 11, S4015=10), N4015+2,AND(N4015&lt;= 21, S4015=10), N4015-11)</f>
        <v>5</v>
      </c>
    </row>
    <row r="4016" spans="1:22" x14ac:dyDescent="0.35">
      <c r="A4016" s="4">
        <v>45581</v>
      </c>
      <c r="B4016" s="5">
        <v>0.55872685185185189</v>
      </c>
      <c r="C4016">
        <v>64.900000000000006</v>
      </c>
      <c r="D4016">
        <v>65.400000000000006</v>
      </c>
      <c r="E4016">
        <v>64.5</v>
      </c>
      <c r="F4016">
        <v>64.900000000000006</v>
      </c>
      <c r="G4016">
        <v>0</v>
      </c>
      <c r="H4016">
        <v>0</v>
      </c>
      <c r="I4016">
        <v>0</v>
      </c>
      <c r="J4016">
        <v>0</v>
      </c>
      <c r="K4016">
        <v>62.9</v>
      </c>
      <c r="L4016">
        <v>64.2</v>
      </c>
      <c r="M4016">
        <v>64.989999999999995</v>
      </c>
      <c r="N4016">
        <v>16</v>
      </c>
      <c r="O4016">
        <v>1</v>
      </c>
      <c r="P4016">
        <f>MOD(DAY(datos_siembra[[#This Row],[Date]]),7)</f>
        <v>2</v>
      </c>
      <c r="Q4016" t="str">
        <f>CHOOSE(WEEKDAY(datos_siembra[[#This Row],[Date]],2),"L","M","X","J","V","S","D")</f>
        <v>X</v>
      </c>
      <c r="R4016">
        <f>WEEKNUM(datos_siembra[[#This Row],[Date]],2)-WEEKNUM(DATE(YEAR(datos_siembra[[#This Row],[Date]]),MONTH(datos_siembra[[#This Row],[Date]]),1))+1</f>
        <v>3</v>
      </c>
      <c r="S4016">
        <f>MONTH(datos_siembra[[#This Row],[Date]])</f>
        <v>10</v>
      </c>
      <c r="T4016" t="str" cm="1">
        <f t="array" ref="T4016">_xlfn.IFS(AND(N4016&lt;= 22, S4016=9), "SOWING",AND(N4016&lt;= 28, S4016=9), "COVERAGE",AND(N4016&lt;= 30, S4016=9), "FLUSH",AND(N4016&lt;= 11, S4016=10), "FLUSH",AND(N4016&lt;= 21, S4016=10), "PRODUCTION")</f>
        <v>PRODUCTION</v>
      </c>
      <c r="U4016">
        <f>HOUR(datos_siembra[[#This Row],[Hour]])</f>
        <v>13</v>
      </c>
      <c r="V4016" cm="1">
        <f t="array" ref="V4016">_xlfn.IFS(AND(N4016&lt;= 22, S4016=9), N4016-7,AND(N4016&lt;= 28, S4016=9), N4016-25,AND(N4016&lt;= 30, S4016=9), N4016-28,AND(N4016&lt;= 11, S4016=10), N4016+2,AND(N4016&lt;= 21, S4016=10), N4016-11)</f>
        <v>5</v>
      </c>
    </row>
    <row r="4017" spans="1:22" x14ac:dyDescent="0.35">
      <c r="A4017" s="4">
        <v>45581</v>
      </c>
      <c r="B4017" s="5">
        <v>0.56567129629629631</v>
      </c>
      <c r="C4017">
        <v>65.099999999999994</v>
      </c>
      <c r="D4017">
        <v>65.5</v>
      </c>
      <c r="E4017">
        <v>64.3</v>
      </c>
      <c r="F4017">
        <v>65</v>
      </c>
      <c r="G4017">
        <v>0</v>
      </c>
      <c r="H4017">
        <v>0</v>
      </c>
      <c r="I4017">
        <v>0</v>
      </c>
      <c r="J4017">
        <v>0</v>
      </c>
      <c r="K4017">
        <v>63.2</v>
      </c>
      <c r="L4017">
        <v>64.400000000000006</v>
      </c>
      <c r="M4017">
        <v>64.959999999999994</v>
      </c>
      <c r="N4017">
        <v>16</v>
      </c>
      <c r="O4017">
        <v>1</v>
      </c>
      <c r="P4017">
        <f>MOD(DAY(datos_siembra[[#This Row],[Date]]),7)</f>
        <v>2</v>
      </c>
      <c r="Q4017" t="str">
        <f>CHOOSE(WEEKDAY(datos_siembra[[#This Row],[Date]],2),"L","M","X","J","V","S","D")</f>
        <v>X</v>
      </c>
      <c r="R4017">
        <f>WEEKNUM(datos_siembra[[#This Row],[Date]],2)-WEEKNUM(DATE(YEAR(datos_siembra[[#This Row],[Date]]),MONTH(datos_siembra[[#This Row],[Date]]),1))+1</f>
        <v>3</v>
      </c>
      <c r="S4017">
        <f>MONTH(datos_siembra[[#This Row],[Date]])</f>
        <v>10</v>
      </c>
      <c r="T4017" t="str" cm="1">
        <f t="array" ref="T4017">_xlfn.IFS(AND(N4017&lt;= 22, S4017=9), "SOWING",AND(N4017&lt;= 28, S4017=9), "COVERAGE",AND(N4017&lt;= 30, S4017=9), "FLUSH",AND(N4017&lt;= 11, S4017=10), "FLUSH",AND(N4017&lt;= 21, S4017=10), "PRODUCTION")</f>
        <v>PRODUCTION</v>
      </c>
      <c r="U4017">
        <f>HOUR(datos_siembra[[#This Row],[Hour]])</f>
        <v>13</v>
      </c>
      <c r="V4017" cm="1">
        <f t="array" ref="V4017">_xlfn.IFS(AND(N4017&lt;= 22, S4017=9), N4017-7,AND(N4017&lt;= 28, S4017=9), N4017-25,AND(N4017&lt;= 30, S4017=9), N4017-28,AND(N4017&lt;= 11, S4017=10), N4017+2,AND(N4017&lt;= 21, S4017=10), N4017-11)</f>
        <v>5</v>
      </c>
    </row>
    <row r="4018" spans="1:22" x14ac:dyDescent="0.35">
      <c r="A4018" s="4">
        <v>45581</v>
      </c>
      <c r="B4018" s="5">
        <v>0.57262731481481477</v>
      </c>
      <c r="C4018">
        <v>65.099999999999994</v>
      </c>
      <c r="D4018">
        <v>65.2</v>
      </c>
      <c r="E4018">
        <v>64.3</v>
      </c>
      <c r="F4018">
        <v>65.099999999999994</v>
      </c>
      <c r="G4018">
        <v>0</v>
      </c>
      <c r="H4018">
        <v>0</v>
      </c>
      <c r="I4018">
        <v>0</v>
      </c>
      <c r="J4018">
        <v>0</v>
      </c>
      <c r="K4018">
        <v>63.2</v>
      </c>
      <c r="L4018">
        <v>64.5</v>
      </c>
      <c r="M4018">
        <v>64.930000000000007</v>
      </c>
      <c r="N4018">
        <v>16</v>
      </c>
      <c r="O4018">
        <v>1</v>
      </c>
      <c r="P4018">
        <f>MOD(DAY(datos_siembra[[#This Row],[Date]]),7)</f>
        <v>2</v>
      </c>
      <c r="Q4018" t="str">
        <f>CHOOSE(WEEKDAY(datos_siembra[[#This Row],[Date]],2),"L","M","X","J","V","S","D")</f>
        <v>X</v>
      </c>
      <c r="R4018">
        <f>WEEKNUM(datos_siembra[[#This Row],[Date]],2)-WEEKNUM(DATE(YEAR(datos_siembra[[#This Row],[Date]]),MONTH(datos_siembra[[#This Row],[Date]]),1))+1</f>
        <v>3</v>
      </c>
      <c r="S4018">
        <f>MONTH(datos_siembra[[#This Row],[Date]])</f>
        <v>10</v>
      </c>
      <c r="T4018" t="str" cm="1">
        <f t="array" ref="T4018">_xlfn.IFS(AND(N4018&lt;= 22, S4018=9), "SOWING",AND(N4018&lt;= 28, S4018=9), "COVERAGE",AND(N4018&lt;= 30, S4018=9), "FLUSH",AND(N4018&lt;= 11, S4018=10), "FLUSH",AND(N4018&lt;= 21, S4018=10), "PRODUCTION")</f>
        <v>PRODUCTION</v>
      </c>
      <c r="U4018">
        <f>HOUR(datos_siembra[[#This Row],[Hour]])</f>
        <v>13</v>
      </c>
      <c r="V4018" cm="1">
        <f t="array" ref="V4018">_xlfn.IFS(AND(N4018&lt;= 22, S4018=9), N4018-7,AND(N4018&lt;= 28, S4018=9), N4018-25,AND(N4018&lt;= 30, S4018=9), N4018-28,AND(N4018&lt;= 11, S4018=10), N4018+2,AND(N4018&lt;= 21, S4018=10), N4018-11)</f>
        <v>5</v>
      </c>
    </row>
    <row r="4019" spans="1:22" x14ac:dyDescent="0.35">
      <c r="A4019" s="4">
        <v>45581</v>
      </c>
      <c r="B4019" s="5">
        <v>0.5795717592592593</v>
      </c>
      <c r="C4019">
        <v>64.900000000000006</v>
      </c>
      <c r="D4019">
        <v>65.400000000000006</v>
      </c>
      <c r="E4019">
        <v>64.400000000000006</v>
      </c>
      <c r="F4019">
        <v>65</v>
      </c>
      <c r="G4019">
        <v>0</v>
      </c>
      <c r="H4019">
        <v>0</v>
      </c>
      <c r="I4019">
        <v>0</v>
      </c>
      <c r="J4019">
        <v>0</v>
      </c>
      <c r="K4019">
        <v>63.2</v>
      </c>
      <c r="L4019">
        <v>64.5</v>
      </c>
      <c r="M4019">
        <v>64.959999999999994</v>
      </c>
      <c r="N4019">
        <v>16</v>
      </c>
      <c r="O4019">
        <v>1</v>
      </c>
      <c r="P4019">
        <f>MOD(DAY(datos_siembra[[#This Row],[Date]]),7)</f>
        <v>2</v>
      </c>
      <c r="Q4019" t="str">
        <f>CHOOSE(WEEKDAY(datos_siembra[[#This Row],[Date]],2),"L","M","X","J","V","S","D")</f>
        <v>X</v>
      </c>
      <c r="R4019">
        <f>WEEKNUM(datos_siembra[[#This Row],[Date]],2)-WEEKNUM(DATE(YEAR(datos_siembra[[#This Row],[Date]]),MONTH(datos_siembra[[#This Row],[Date]]),1))+1</f>
        <v>3</v>
      </c>
      <c r="S4019">
        <f>MONTH(datos_siembra[[#This Row],[Date]])</f>
        <v>10</v>
      </c>
      <c r="T4019" t="str" cm="1">
        <f t="array" ref="T4019">_xlfn.IFS(AND(N4019&lt;= 22, S4019=9), "SOWING",AND(N4019&lt;= 28, S4019=9), "COVERAGE",AND(N4019&lt;= 30, S4019=9), "FLUSH",AND(N4019&lt;= 11, S4019=10), "FLUSH",AND(N4019&lt;= 21, S4019=10), "PRODUCTION")</f>
        <v>PRODUCTION</v>
      </c>
      <c r="U4019">
        <f>HOUR(datos_siembra[[#This Row],[Hour]])</f>
        <v>13</v>
      </c>
      <c r="V4019" cm="1">
        <f t="array" ref="V4019">_xlfn.IFS(AND(N4019&lt;= 22, S4019=9), N4019-7,AND(N4019&lt;= 28, S4019=9), N4019-25,AND(N4019&lt;= 30, S4019=9), N4019-28,AND(N4019&lt;= 11, S4019=10), N4019+2,AND(N4019&lt;= 21, S4019=10), N4019-11)</f>
        <v>5</v>
      </c>
    </row>
    <row r="4020" spans="1:22" x14ac:dyDescent="0.35">
      <c r="A4020" s="4">
        <v>45581</v>
      </c>
      <c r="B4020" s="5">
        <v>0.58651620370370372</v>
      </c>
      <c r="C4020">
        <v>65.099999999999994</v>
      </c>
      <c r="D4020">
        <v>65.400000000000006</v>
      </c>
      <c r="E4020">
        <v>64.400000000000006</v>
      </c>
      <c r="F4020">
        <v>64.900000000000006</v>
      </c>
      <c r="G4020">
        <v>0</v>
      </c>
      <c r="H4020">
        <v>0</v>
      </c>
      <c r="I4020">
        <v>0</v>
      </c>
      <c r="J4020">
        <v>0</v>
      </c>
      <c r="K4020">
        <v>63.2</v>
      </c>
      <c r="L4020">
        <v>64.400000000000006</v>
      </c>
      <c r="M4020">
        <v>64.959999999999994</v>
      </c>
      <c r="N4020">
        <v>16</v>
      </c>
      <c r="O4020">
        <v>1</v>
      </c>
      <c r="P4020">
        <f>MOD(DAY(datos_siembra[[#This Row],[Date]]),7)</f>
        <v>2</v>
      </c>
      <c r="Q4020" t="str">
        <f>CHOOSE(WEEKDAY(datos_siembra[[#This Row],[Date]],2),"L","M","X","J","V","S","D")</f>
        <v>X</v>
      </c>
      <c r="R4020">
        <f>WEEKNUM(datos_siembra[[#This Row],[Date]],2)-WEEKNUM(DATE(YEAR(datos_siembra[[#This Row],[Date]]),MONTH(datos_siembra[[#This Row],[Date]]),1))+1</f>
        <v>3</v>
      </c>
      <c r="S4020">
        <f>MONTH(datos_siembra[[#This Row],[Date]])</f>
        <v>10</v>
      </c>
      <c r="T4020" t="str" cm="1">
        <f t="array" ref="T4020">_xlfn.IFS(AND(N4020&lt;= 22, S4020=9), "SOWING",AND(N4020&lt;= 28, S4020=9), "COVERAGE",AND(N4020&lt;= 30, S4020=9), "FLUSH",AND(N4020&lt;= 11, S4020=10), "FLUSH",AND(N4020&lt;= 21, S4020=10), "PRODUCTION")</f>
        <v>PRODUCTION</v>
      </c>
      <c r="U4020">
        <f>HOUR(datos_siembra[[#This Row],[Hour]])</f>
        <v>14</v>
      </c>
      <c r="V4020" cm="1">
        <f t="array" ref="V4020">_xlfn.IFS(AND(N4020&lt;= 22, S4020=9), N4020-7,AND(N4020&lt;= 28, S4020=9), N4020-25,AND(N4020&lt;= 30, S4020=9), N4020-28,AND(N4020&lt;= 11, S4020=10), N4020+2,AND(N4020&lt;= 21, S4020=10), N4020-11)</f>
        <v>5</v>
      </c>
    </row>
    <row r="4021" spans="1:22" x14ac:dyDescent="0.35">
      <c r="A4021" s="4">
        <v>45581</v>
      </c>
      <c r="B4021" s="5">
        <v>0.59347222222222218</v>
      </c>
      <c r="C4021">
        <v>65</v>
      </c>
      <c r="D4021">
        <v>65.400000000000006</v>
      </c>
      <c r="E4021">
        <v>64.400000000000006</v>
      </c>
      <c r="F4021">
        <v>65.099999999999994</v>
      </c>
      <c r="G4021">
        <v>0</v>
      </c>
      <c r="H4021">
        <v>0</v>
      </c>
      <c r="I4021">
        <v>0</v>
      </c>
      <c r="J4021">
        <v>0</v>
      </c>
      <c r="K4021">
        <v>62.4</v>
      </c>
      <c r="L4021">
        <v>63.4</v>
      </c>
      <c r="M4021">
        <v>64.959999999999994</v>
      </c>
      <c r="N4021">
        <v>16</v>
      </c>
      <c r="O4021">
        <v>1</v>
      </c>
      <c r="P4021">
        <f>MOD(DAY(datos_siembra[[#This Row],[Date]]),7)</f>
        <v>2</v>
      </c>
      <c r="Q4021" t="str">
        <f>CHOOSE(WEEKDAY(datos_siembra[[#This Row],[Date]],2),"L","M","X","J","V","S","D")</f>
        <v>X</v>
      </c>
      <c r="R4021">
        <f>WEEKNUM(datos_siembra[[#This Row],[Date]],2)-WEEKNUM(DATE(YEAR(datos_siembra[[#This Row],[Date]]),MONTH(datos_siembra[[#This Row],[Date]]),1))+1</f>
        <v>3</v>
      </c>
      <c r="S4021">
        <f>MONTH(datos_siembra[[#This Row],[Date]])</f>
        <v>10</v>
      </c>
      <c r="T4021" t="str" cm="1">
        <f t="array" ref="T4021">_xlfn.IFS(AND(N4021&lt;= 22, S4021=9), "SOWING",AND(N4021&lt;= 28, S4021=9), "COVERAGE",AND(N4021&lt;= 30, S4021=9), "FLUSH",AND(N4021&lt;= 11, S4021=10), "FLUSH",AND(N4021&lt;= 21, S4021=10), "PRODUCTION")</f>
        <v>PRODUCTION</v>
      </c>
      <c r="U4021">
        <f>HOUR(datos_siembra[[#This Row],[Hour]])</f>
        <v>14</v>
      </c>
      <c r="V4021" cm="1">
        <f t="array" ref="V4021">_xlfn.IFS(AND(N4021&lt;= 22, S4021=9), N4021-7,AND(N4021&lt;= 28, S4021=9), N4021-25,AND(N4021&lt;= 30, S4021=9), N4021-28,AND(N4021&lt;= 11, S4021=10), N4021+2,AND(N4021&lt;= 21, S4021=10), N4021-11)</f>
        <v>5</v>
      </c>
    </row>
    <row r="4022" spans="1:22" x14ac:dyDescent="0.35">
      <c r="A4022" s="4">
        <v>45581</v>
      </c>
      <c r="B4022" s="5">
        <v>0.60041666666666671</v>
      </c>
      <c r="C4022">
        <v>65</v>
      </c>
      <c r="D4022">
        <v>65.5</v>
      </c>
      <c r="E4022">
        <v>64.5</v>
      </c>
      <c r="F4022">
        <v>65.2</v>
      </c>
      <c r="G4022">
        <v>0</v>
      </c>
      <c r="H4022">
        <v>0</v>
      </c>
      <c r="I4022">
        <v>0</v>
      </c>
      <c r="J4022">
        <v>0</v>
      </c>
      <c r="K4022">
        <v>62</v>
      </c>
      <c r="L4022">
        <v>62.8</v>
      </c>
      <c r="M4022">
        <v>64.930000000000007</v>
      </c>
      <c r="N4022">
        <v>16</v>
      </c>
      <c r="O4022">
        <v>1</v>
      </c>
      <c r="P4022">
        <f>MOD(DAY(datos_siembra[[#This Row],[Date]]),7)</f>
        <v>2</v>
      </c>
      <c r="Q4022" t="str">
        <f>CHOOSE(WEEKDAY(datos_siembra[[#This Row],[Date]],2),"L","M","X","J","V","S","D")</f>
        <v>X</v>
      </c>
      <c r="R4022">
        <f>WEEKNUM(datos_siembra[[#This Row],[Date]],2)-WEEKNUM(DATE(YEAR(datos_siembra[[#This Row],[Date]]),MONTH(datos_siembra[[#This Row],[Date]]),1))+1</f>
        <v>3</v>
      </c>
      <c r="S4022">
        <f>MONTH(datos_siembra[[#This Row],[Date]])</f>
        <v>10</v>
      </c>
      <c r="T4022" t="str" cm="1">
        <f t="array" ref="T4022">_xlfn.IFS(AND(N4022&lt;= 22, S4022=9), "SOWING",AND(N4022&lt;= 28, S4022=9), "COVERAGE",AND(N4022&lt;= 30, S4022=9), "FLUSH",AND(N4022&lt;= 11, S4022=10), "FLUSH",AND(N4022&lt;= 21, S4022=10), "PRODUCTION")</f>
        <v>PRODUCTION</v>
      </c>
      <c r="U4022">
        <f>HOUR(datos_siembra[[#This Row],[Hour]])</f>
        <v>14</v>
      </c>
      <c r="V4022" cm="1">
        <f t="array" ref="V4022">_xlfn.IFS(AND(N4022&lt;= 22, S4022=9), N4022-7,AND(N4022&lt;= 28, S4022=9), N4022-25,AND(N4022&lt;= 30, S4022=9), N4022-28,AND(N4022&lt;= 11, S4022=10), N4022+2,AND(N4022&lt;= 21, S4022=10), N4022-11)</f>
        <v>5</v>
      </c>
    </row>
    <row r="4023" spans="1:22" x14ac:dyDescent="0.35">
      <c r="A4023" s="4">
        <v>45581</v>
      </c>
      <c r="B4023" s="5">
        <v>0.60736111111111113</v>
      </c>
      <c r="C4023">
        <v>65</v>
      </c>
      <c r="D4023">
        <v>65.400000000000006</v>
      </c>
      <c r="E4023">
        <v>64.400000000000006</v>
      </c>
      <c r="F4023">
        <v>65</v>
      </c>
      <c r="G4023">
        <v>0</v>
      </c>
      <c r="H4023">
        <v>0</v>
      </c>
      <c r="I4023">
        <v>0</v>
      </c>
      <c r="J4023">
        <v>0</v>
      </c>
      <c r="K4023">
        <v>61.8</v>
      </c>
      <c r="L4023">
        <v>62.5</v>
      </c>
      <c r="M4023">
        <v>64.959999999999994</v>
      </c>
      <c r="N4023">
        <v>16</v>
      </c>
      <c r="O4023">
        <v>1</v>
      </c>
      <c r="P4023">
        <f>MOD(DAY(datos_siembra[[#This Row],[Date]]),7)</f>
        <v>2</v>
      </c>
      <c r="Q4023" t="str">
        <f>CHOOSE(WEEKDAY(datos_siembra[[#This Row],[Date]],2),"L","M","X","J","V","S","D")</f>
        <v>X</v>
      </c>
      <c r="R4023">
        <f>WEEKNUM(datos_siembra[[#This Row],[Date]],2)-WEEKNUM(DATE(YEAR(datos_siembra[[#This Row],[Date]]),MONTH(datos_siembra[[#This Row],[Date]]),1))+1</f>
        <v>3</v>
      </c>
      <c r="S4023">
        <f>MONTH(datos_siembra[[#This Row],[Date]])</f>
        <v>10</v>
      </c>
      <c r="T4023" t="str" cm="1">
        <f t="array" ref="T4023">_xlfn.IFS(AND(N4023&lt;= 22, S4023=9), "SOWING",AND(N4023&lt;= 28, S4023=9), "COVERAGE",AND(N4023&lt;= 30, S4023=9), "FLUSH",AND(N4023&lt;= 11, S4023=10), "FLUSH",AND(N4023&lt;= 21, S4023=10), "PRODUCTION")</f>
        <v>PRODUCTION</v>
      </c>
      <c r="U4023">
        <f>HOUR(datos_siembra[[#This Row],[Hour]])</f>
        <v>14</v>
      </c>
      <c r="V4023" cm="1">
        <f t="array" ref="V4023">_xlfn.IFS(AND(N4023&lt;= 22, S4023=9), N4023-7,AND(N4023&lt;= 28, S4023=9), N4023-25,AND(N4023&lt;= 30, S4023=9), N4023-28,AND(N4023&lt;= 11, S4023=10), N4023+2,AND(N4023&lt;= 21, S4023=10), N4023-11)</f>
        <v>5</v>
      </c>
    </row>
    <row r="4024" spans="1:22" x14ac:dyDescent="0.35">
      <c r="A4024" s="4">
        <v>45581</v>
      </c>
      <c r="B4024" s="5">
        <v>0.61430555555555555</v>
      </c>
      <c r="C4024">
        <v>65</v>
      </c>
      <c r="D4024">
        <v>65.3</v>
      </c>
      <c r="E4024">
        <v>64.400000000000006</v>
      </c>
      <c r="F4024">
        <v>65.099999999999994</v>
      </c>
      <c r="G4024">
        <v>0</v>
      </c>
      <c r="H4024">
        <v>0</v>
      </c>
      <c r="I4024">
        <v>0</v>
      </c>
      <c r="J4024">
        <v>0</v>
      </c>
      <c r="K4024">
        <v>61.7</v>
      </c>
      <c r="L4024">
        <v>62.4</v>
      </c>
      <c r="M4024">
        <v>64.91</v>
      </c>
      <c r="N4024">
        <v>16</v>
      </c>
      <c r="O4024">
        <v>1</v>
      </c>
      <c r="P4024">
        <f>MOD(DAY(datos_siembra[[#This Row],[Date]]),7)</f>
        <v>2</v>
      </c>
      <c r="Q4024" t="str">
        <f>CHOOSE(WEEKDAY(datos_siembra[[#This Row],[Date]],2),"L","M","X","J","V","S","D")</f>
        <v>X</v>
      </c>
      <c r="R4024">
        <f>WEEKNUM(datos_siembra[[#This Row],[Date]],2)-WEEKNUM(DATE(YEAR(datos_siembra[[#This Row],[Date]]),MONTH(datos_siembra[[#This Row],[Date]]),1))+1</f>
        <v>3</v>
      </c>
      <c r="S4024">
        <f>MONTH(datos_siembra[[#This Row],[Date]])</f>
        <v>10</v>
      </c>
      <c r="T4024" t="str" cm="1">
        <f t="array" ref="T4024">_xlfn.IFS(AND(N4024&lt;= 22, S4024=9), "SOWING",AND(N4024&lt;= 28, S4024=9), "COVERAGE",AND(N4024&lt;= 30, S4024=9), "FLUSH",AND(N4024&lt;= 11, S4024=10), "FLUSH",AND(N4024&lt;= 21, S4024=10), "PRODUCTION")</f>
        <v>PRODUCTION</v>
      </c>
      <c r="U4024">
        <f>HOUR(datos_siembra[[#This Row],[Hour]])</f>
        <v>14</v>
      </c>
      <c r="V4024" cm="1">
        <f t="array" ref="V4024">_xlfn.IFS(AND(N4024&lt;= 22, S4024=9), N4024-7,AND(N4024&lt;= 28, S4024=9), N4024-25,AND(N4024&lt;= 30, S4024=9), N4024-28,AND(N4024&lt;= 11, S4024=10), N4024+2,AND(N4024&lt;= 21, S4024=10), N4024-11)</f>
        <v>5</v>
      </c>
    </row>
    <row r="4025" spans="1:22" x14ac:dyDescent="0.35">
      <c r="A4025" s="4">
        <v>45581</v>
      </c>
      <c r="B4025" s="5">
        <v>0.62126157407407412</v>
      </c>
      <c r="C4025">
        <v>65</v>
      </c>
      <c r="D4025">
        <v>65.400000000000006</v>
      </c>
      <c r="E4025">
        <v>64.5</v>
      </c>
      <c r="F4025">
        <v>65.2</v>
      </c>
      <c r="G4025">
        <v>0</v>
      </c>
      <c r="H4025">
        <v>0</v>
      </c>
      <c r="I4025">
        <v>0</v>
      </c>
      <c r="J4025">
        <v>0</v>
      </c>
      <c r="K4025">
        <v>61.5</v>
      </c>
      <c r="L4025">
        <v>62.2</v>
      </c>
      <c r="M4025">
        <v>64.989999999999995</v>
      </c>
      <c r="N4025">
        <v>16</v>
      </c>
      <c r="O4025">
        <v>1</v>
      </c>
      <c r="P4025">
        <f>MOD(DAY(datos_siembra[[#This Row],[Date]]),7)</f>
        <v>2</v>
      </c>
      <c r="Q4025" t="str">
        <f>CHOOSE(WEEKDAY(datos_siembra[[#This Row],[Date]],2),"L","M","X","J","V","S","D")</f>
        <v>X</v>
      </c>
      <c r="R4025">
        <f>WEEKNUM(datos_siembra[[#This Row],[Date]],2)-WEEKNUM(DATE(YEAR(datos_siembra[[#This Row],[Date]]),MONTH(datos_siembra[[#This Row],[Date]]),1))+1</f>
        <v>3</v>
      </c>
      <c r="S4025">
        <f>MONTH(datos_siembra[[#This Row],[Date]])</f>
        <v>10</v>
      </c>
      <c r="T4025" t="str" cm="1">
        <f t="array" ref="T4025">_xlfn.IFS(AND(N4025&lt;= 22, S4025=9), "SOWING",AND(N4025&lt;= 28, S4025=9), "COVERAGE",AND(N4025&lt;= 30, S4025=9), "FLUSH",AND(N4025&lt;= 11, S4025=10), "FLUSH",AND(N4025&lt;= 21, S4025=10), "PRODUCTION")</f>
        <v>PRODUCTION</v>
      </c>
      <c r="U4025">
        <f>HOUR(datos_siembra[[#This Row],[Hour]])</f>
        <v>14</v>
      </c>
      <c r="V4025" cm="1">
        <f t="array" ref="V4025">_xlfn.IFS(AND(N4025&lt;= 22, S4025=9), N4025-7,AND(N4025&lt;= 28, S4025=9), N4025-25,AND(N4025&lt;= 30, S4025=9), N4025-28,AND(N4025&lt;= 11, S4025=10), N4025+2,AND(N4025&lt;= 21, S4025=10), N4025-11)</f>
        <v>5</v>
      </c>
    </row>
    <row r="4026" spans="1:22" x14ac:dyDescent="0.35">
      <c r="A4026" s="4">
        <v>45581</v>
      </c>
      <c r="B4026" s="5">
        <v>0.62820601851851854</v>
      </c>
      <c r="C4026">
        <v>65.099999999999994</v>
      </c>
      <c r="D4026">
        <v>65.400000000000006</v>
      </c>
      <c r="E4026">
        <v>64.599999999999994</v>
      </c>
      <c r="F4026">
        <v>65.099999999999994</v>
      </c>
      <c r="G4026">
        <v>0</v>
      </c>
      <c r="H4026">
        <v>0</v>
      </c>
      <c r="I4026">
        <v>0</v>
      </c>
      <c r="J4026">
        <v>0</v>
      </c>
      <c r="K4026">
        <v>61.4</v>
      </c>
      <c r="L4026">
        <v>61.9</v>
      </c>
      <c r="M4026">
        <v>64.989999999999995</v>
      </c>
      <c r="N4026">
        <v>16</v>
      </c>
      <c r="O4026">
        <v>1</v>
      </c>
      <c r="P4026">
        <f>MOD(DAY(datos_siembra[[#This Row],[Date]]),7)</f>
        <v>2</v>
      </c>
      <c r="Q4026" t="str">
        <f>CHOOSE(WEEKDAY(datos_siembra[[#This Row],[Date]],2),"L","M","X","J","V","S","D")</f>
        <v>X</v>
      </c>
      <c r="R4026">
        <f>WEEKNUM(datos_siembra[[#This Row],[Date]],2)-WEEKNUM(DATE(YEAR(datos_siembra[[#This Row],[Date]]),MONTH(datos_siembra[[#This Row],[Date]]),1))+1</f>
        <v>3</v>
      </c>
      <c r="S4026">
        <f>MONTH(datos_siembra[[#This Row],[Date]])</f>
        <v>10</v>
      </c>
      <c r="T4026" t="str" cm="1">
        <f t="array" ref="T4026">_xlfn.IFS(AND(N4026&lt;= 22, S4026=9), "SOWING",AND(N4026&lt;= 28, S4026=9), "COVERAGE",AND(N4026&lt;= 30, S4026=9), "FLUSH",AND(N4026&lt;= 11, S4026=10), "FLUSH",AND(N4026&lt;= 21, S4026=10), "PRODUCTION")</f>
        <v>PRODUCTION</v>
      </c>
      <c r="U4026">
        <f>HOUR(datos_siembra[[#This Row],[Hour]])</f>
        <v>15</v>
      </c>
      <c r="V4026" cm="1">
        <f t="array" ref="V4026">_xlfn.IFS(AND(N4026&lt;= 22, S4026=9), N4026-7,AND(N4026&lt;= 28, S4026=9), N4026-25,AND(N4026&lt;= 30, S4026=9), N4026-28,AND(N4026&lt;= 11, S4026=10), N4026+2,AND(N4026&lt;= 21, S4026=10), N4026-11)</f>
        <v>5</v>
      </c>
    </row>
    <row r="4027" spans="1:22" x14ac:dyDescent="0.35">
      <c r="A4027" s="4">
        <v>45581</v>
      </c>
      <c r="B4027" s="5">
        <v>0.63515046296296296</v>
      </c>
      <c r="C4027">
        <v>65</v>
      </c>
      <c r="D4027">
        <v>65.400000000000006</v>
      </c>
      <c r="E4027">
        <v>64.400000000000006</v>
      </c>
      <c r="F4027">
        <v>65.099999999999994</v>
      </c>
      <c r="G4027">
        <v>0</v>
      </c>
      <c r="H4027">
        <v>0</v>
      </c>
      <c r="I4027">
        <v>0</v>
      </c>
      <c r="J4027">
        <v>0</v>
      </c>
      <c r="K4027">
        <v>61.7</v>
      </c>
      <c r="L4027">
        <v>62.4</v>
      </c>
      <c r="M4027">
        <v>64.989999999999995</v>
      </c>
      <c r="N4027">
        <v>16</v>
      </c>
      <c r="O4027">
        <v>1</v>
      </c>
      <c r="P4027">
        <f>MOD(DAY(datos_siembra[[#This Row],[Date]]),7)</f>
        <v>2</v>
      </c>
      <c r="Q4027" t="str">
        <f>CHOOSE(WEEKDAY(datos_siembra[[#This Row],[Date]],2),"L","M","X","J","V","S","D")</f>
        <v>X</v>
      </c>
      <c r="R4027">
        <f>WEEKNUM(datos_siembra[[#This Row],[Date]],2)-WEEKNUM(DATE(YEAR(datos_siembra[[#This Row],[Date]]),MONTH(datos_siembra[[#This Row],[Date]]),1))+1</f>
        <v>3</v>
      </c>
      <c r="S4027">
        <f>MONTH(datos_siembra[[#This Row],[Date]])</f>
        <v>10</v>
      </c>
      <c r="T4027" t="str" cm="1">
        <f t="array" ref="T4027">_xlfn.IFS(AND(N4027&lt;= 22, S4027=9), "SOWING",AND(N4027&lt;= 28, S4027=9), "COVERAGE",AND(N4027&lt;= 30, S4027=9), "FLUSH",AND(N4027&lt;= 11, S4027=10), "FLUSH",AND(N4027&lt;= 21, S4027=10), "PRODUCTION")</f>
        <v>PRODUCTION</v>
      </c>
      <c r="U4027">
        <f>HOUR(datos_siembra[[#This Row],[Hour]])</f>
        <v>15</v>
      </c>
      <c r="V4027" cm="1">
        <f t="array" ref="V4027">_xlfn.IFS(AND(N4027&lt;= 22, S4027=9), N4027-7,AND(N4027&lt;= 28, S4027=9), N4027-25,AND(N4027&lt;= 30, S4027=9), N4027-28,AND(N4027&lt;= 11, S4027=10), N4027+2,AND(N4027&lt;= 21, S4027=10), N4027-11)</f>
        <v>5</v>
      </c>
    </row>
    <row r="4028" spans="1:22" x14ac:dyDescent="0.35">
      <c r="A4028" s="4">
        <v>45581</v>
      </c>
      <c r="B4028" s="5">
        <v>0.64210648148148153</v>
      </c>
      <c r="C4028">
        <v>65.099999999999994</v>
      </c>
      <c r="D4028">
        <v>65.400000000000006</v>
      </c>
      <c r="E4028">
        <v>64.5</v>
      </c>
      <c r="F4028">
        <v>65.2</v>
      </c>
      <c r="G4028">
        <v>0</v>
      </c>
      <c r="H4028">
        <v>0</v>
      </c>
      <c r="I4028">
        <v>0</v>
      </c>
      <c r="J4028">
        <v>0</v>
      </c>
      <c r="K4028">
        <v>62.3</v>
      </c>
      <c r="L4028">
        <v>62.9</v>
      </c>
      <c r="M4028">
        <v>65.05</v>
      </c>
      <c r="N4028">
        <v>16</v>
      </c>
      <c r="O4028">
        <v>1</v>
      </c>
      <c r="P4028">
        <f>MOD(DAY(datos_siembra[[#This Row],[Date]]),7)</f>
        <v>2</v>
      </c>
      <c r="Q4028" t="str">
        <f>CHOOSE(WEEKDAY(datos_siembra[[#This Row],[Date]],2),"L","M","X","J","V","S","D")</f>
        <v>X</v>
      </c>
      <c r="R4028">
        <f>WEEKNUM(datos_siembra[[#This Row],[Date]],2)-WEEKNUM(DATE(YEAR(datos_siembra[[#This Row],[Date]]),MONTH(datos_siembra[[#This Row],[Date]]),1))+1</f>
        <v>3</v>
      </c>
      <c r="S4028">
        <f>MONTH(datos_siembra[[#This Row],[Date]])</f>
        <v>10</v>
      </c>
      <c r="T4028" t="str" cm="1">
        <f t="array" ref="T4028">_xlfn.IFS(AND(N4028&lt;= 22, S4028=9), "SOWING",AND(N4028&lt;= 28, S4028=9), "COVERAGE",AND(N4028&lt;= 30, S4028=9), "FLUSH",AND(N4028&lt;= 11, S4028=10), "FLUSH",AND(N4028&lt;= 21, S4028=10), "PRODUCTION")</f>
        <v>PRODUCTION</v>
      </c>
      <c r="U4028">
        <f>HOUR(datos_siembra[[#This Row],[Hour]])</f>
        <v>15</v>
      </c>
      <c r="V4028" cm="1">
        <f t="array" ref="V4028">_xlfn.IFS(AND(N4028&lt;= 22, S4028=9), N4028-7,AND(N4028&lt;= 28, S4028=9), N4028-25,AND(N4028&lt;= 30, S4028=9), N4028-28,AND(N4028&lt;= 11, S4028=10), N4028+2,AND(N4028&lt;= 21, S4028=10), N4028-11)</f>
        <v>5</v>
      </c>
    </row>
    <row r="4029" spans="1:22" x14ac:dyDescent="0.35">
      <c r="A4029" s="4">
        <v>45581</v>
      </c>
      <c r="B4029" s="5">
        <v>0.64905092592592595</v>
      </c>
      <c r="C4029">
        <v>65</v>
      </c>
      <c r="D4029">
        <v>65.3</v>
      </c>
      <c r="E4029">
        <v>64.599999999999994</v>
      </c>
      <c r="F4029">
        <v>65.099999999999994</v>
      </c>
      <c r="G4029">
        <v>0</v>
      </c>
      <c r="H4029">
        <v>0</v>
      </c>
      <c r="I4029">
        <v>0</v>
      </c>
      <c r="J4029">
        <v>0</v>
      </c>
      <c r="K4029">
        <v>62.4</v>
      </c>
      <c r="L4029">
        <v>63</v>
      </c>
      <c r="M4029">
        <v>65.02</v>
      </c>
      <c r="N4029">
        <v>16</v>
      </c>
      <c r="O4029">
        <v>1</v>
      </c>
      <c r="P4029">
        <f>MOD(DAY(datos_siembra[[#This Row],[Date]]),7)</f>
        <v>2</v>
      </c>
      <c r="Q4029" t="str">
        <f>CHOOSE(WEEKDAY(datos_siembra[[#This Row],[Date]],2),"L","M","X","J","V","S","D")</f>
        <v>X</v>
      </c>
      <c r="R4029">
        <f>WEEKNUM(datos_siembra[[#This Row],[Date]],2)-WEEKNUM(DATE(YEAR(datos_siembra[[#This Row],[Date]]),MONTH(datos_siembra[[#This Row],[Date]]),1))+1</f>
        <v>3</v>
      </c>
      <c r="S4029">
        <f>MONTH(datos_siembra[[#This Row],[Date]])</f>
        <v>10</v>
      </c>
      <c r="T4029" t="str" cm="1">
        <f t="array" ref="T4029">_xlfn.IFS(AND(N4029&lt;= 22, S4029=9), "SOWING",AND(N4029&lt;= 28, S4029=9), "COVERAGE",AND(N4029&lt;= 30, S4029=9), "FLUSH",AND(N4029&lt;= 11, S4029=10), "FLUSH",AND(N4029&lt;= 21, S4029=10), "PRODUCTION")</f>
        <v>PRODUCTION</v>
      </c>
      <c r="U4029">
        <f>HOUR(datos_siembra[[#This Row],[Hour]])</f>
        <v>15</v>
      </c>
      <c r="V4029" cm="1">
        <f t="array" ref="V4029">_xlfn.IFS(AND(N4029&lt;= 22, S4029=9), N4029-7,AND(N4029&lt;= 28, S4029=9), N4029-25,AND(N4029&lt;= 30, S4029=9), N4029-28,AND(N4029&lt;= 11, S4029=10), N4029+2,AND(N4029&lt;= 21, S4029=10), N4029-11)</f>
        <v>5</v>
      </c>
    </row>
    <row r="4030" spans="1:22" x14ac:dyDescent="0.35">
      <c r="A4030" s="4">
        <v>45581</v>
      </c>
      <c r="B4030" s="5">
        <v>0.65599537037037037</v>
      </c>
      <c r="C4030">
        <v>65</v>
      </c>
      <c r="D4030">
        <v>65.400000000000006</v>
      </c>
      <c r="E4030">
        <v>64.5</v>
      </c>
      <c r="F4030">
        <v>65.099999999999994</v>
      </c>
      <c r="G4030">
        <v>0</v>
      </c>
      <c r="H4030">
        <v>0</v>
      </c>
      <c r="I4030">
        <v>0</v>
      </c>
      <c r="J4030">
        <v>0</v>
      </c>
      <c r="K4030">
        <v>62.4</v>
      </c>
      <c r="L4030">
        <v>63</v>
      </c>
      <c r="M4030">
        <v>64.989999999999995</v>
      </c>
      <c r="N4030">
        <v>16</v>
      </c>
      <c r="O4030">
        <v>1</v>
      </c>
      <c r="P4030">
        <f>MOD(DAY(datos_siembra[[#This Row],[Date]]),7)</f>
        <v>2</v>
      </c>
      <c r="Q4030" t="str">
        <f>CHOOSE(WEEKDAY(datos_siembra[[#This Row],[Date]],2),"L","M","X","J","V","S","D")</f>
        <v>X</v>
      </c>
      <c r="R4030">
        <f>WEEKNUM(datos_siembra[[#This Row],[Date]],2)-WEEKNUM(DATE(YEAR(datos_siembra[[#This Row],[Date]]),MONTH(datos_siembra[[#This Row],[Date]]),1))+1</f>
        <v>3</v>
      </c>
      <c r="S4030">
        <f>MONTH(datos_siembra[[#This Row],[Date]])</f>
        <v>10</v>
      </c>
      <c r="T4030" t="str" cm="1">
        <f t="array" ref="T4030">_xlfn.IFS(AND(N4030&lt;= 22, S4030=9), "SOWING",AND(N4030&lt;= 28, S4030=9), "COVERAGE",AND(N4030&lt;= 30, S4030=9), "FLUSH",AND(N4030&lt;= 11, S4030=10), "FLUSH",AND(N4030&lt;= 21, S4030=10), "PRODUCTION")</f>
        <v>PRODUCTION</v>
      </c>
      <c r="U4030">
        <f>HOUR(datos_siembra[[#This Row],[Hour]])</f>
        <v>15</v>
      </c>
      <c r="V4030" cm="1">
        <f t="array" ref="V4030">_xlfn.IFS(AND(N4030&lt;= 22, S4030=9), N4030-7,AND(N4030&lt;= 28, S4030=9), N4030-25,AND(N4030&lt;= 30, S4030=9), N4030-28,AND(N4030&lt;= 11, S4030=10), N4030+2,AND(N4030&lt;= 21, S4030=10), N4030-11)</f>
        <v>5</v>
      </c>
    </row>
    <row r="4031" spans="1:22" x14ac:dyDescent="0.35">
      <c r="A4031" s="4">
        <v>45581</v>
      </c>
      <c r="B4031" s="5">
        <v>0.66293981481481479</v>
      </c>
      <c r="C4031">
        <v>65.099999999999994</v>
      </c>
      <c r="D4031">
        <v>65.400000000000006</v>
      </c>
      <c r="E4031">
        <v>64.599999999999994</v>
      </c>
      <c r="F4031">
        <v>65.2</v>
      </c>
      <c r="G4031">
        <v>0</v>
      </c>
      <c r="H4031">
        <v>0</v>
      </c>
      <c r="I4031">
        <v>0</v>
      </c>
      <c r="J4031">
        <v>0</v>
      </c>
      <c r="K4031">
        <v>62.4</v>
      </c>
      <c r="L4031">
        <v>63.2</v>
      </c>
      <c r="M4031">
        <v>64.989999999999995</v>
      </c>
      <c r="N4031">
        <v>16</v>
      </c>
      <c r="O4031">
        <v>1</v>
      </c>
      <c r="P4031">
        <f>MOD(DAY(datos_siembra[[#This Row],[Date]]),7)</f>
        <v>2</v>
      </c>
      <c r="Q4031" t="str">
        <f>CHOOSE(WEEKDAY(datos_siembra[[#This Row],[Date]],2),"L","M","X","J","V","S","D")</f>
        <v>X</v>
      </c>
      <c r="R4031">
        <f>WEEKNUM(datos_siembra[[#This Row],[Date]],2)-WEEKNUM(DATE(YEAR(datos_siembra[[#This Row],[Date]]),MONTH(datos_siembra[[#This Row],[Date]]),1))+1</f>
        <v>3</v>
      </c>
      <c r="S4031">
        <f>MONTH(datos_siembra[[#This Row],[Date]])</f>
        <v>10</v>
      </c>
      <c r="T4031" t="str" cm="1">
        <f t="array" ref="T4031">_xlfn.IFS(AND(N4031&lt;= 22, S4031=9), "SOWING",AND(N4031&lt;= 28, S4031=9), "COVERAGE",AND(N4031&lt;= 30, S4031=9), "FLUSH",AND(N4031&lt;= 11, S4031=10), "FLUSH",AND(N4031&lt;= 21, S4031=10), "PRODUCTION")</f>
        <v>PRODUCTION</v>
      </c>
      <c r="U4031">
        <f>HOUR(datos_siembra[[#This Row],[Hour]])</f>
        <v>15</v>
      </c>
      <c r="V4031" cm="1">
        <f t="array" ref="V4031">_xlfn.IFS(AND(N4031&lt;= 22, S4031=9), N4031-7,AND(N4031&lt;= 28, S4031=9), N4031-25,AND(N4031&lt;= 30, S4031=9), N4031-28,AND(N4031&lt;= 11, S4031=10), N4031+2,AND(N4031&lt;= 21, S4031=10), N4031-11)</f>
        <v>5</v>
      </c>
    </row>
    <row r="4032" spans="1:22" x14ac:dyDescent="0.35">
      <c r="A4032" s="4">
        <v>45581</v>
      </c>
      <c r="B4032" s="5">
        <v>0.66989583333333336</v>
      </c>
      <c r="C4032">
        <v>65</v>
      </c>
      <c r="D4032">
        <v>65.400000000000006</v>
      </c>
      <c r="E4032">
        <v>64.599999999999994</v>
      </c>
      <c r="F4032">
        <v>65.2</v>
      </c>
      <c r="G4032">
        <v>0</v>
      </c>
      <c r="H4032">
        <v>0</v>
      </c>
      <c r="I4032">
        <v>0</v>
      </c>
      <c r="J4032">
        <v>0</v>
      </c>
      <c r="K4032">
        <v>62.4</v>
      </c>
      <c r="L4032">
        <v>63.3</v>
      </c>
      <c r="M4032">
        <v>64.989999999999995</v>
      </c>
      <c r="N4032">
        <v>16</v>
      </c>
      <c r="O4032">
        <v>1</v>
      </c>
      <c r="P4032">
        <f>MOD(DAY(datos_siembra[[#This Row],[Date]]),7)</f>
        <v>2</v>
      </c>
      <c r="Q4032" t="str">
        <f>CHOOSE(WEEKDAY(datos_siembra[[#This Row],[Date]],2),"L","M","X","J","V","S","D")</f>
        <v>X</v>
      </c>
      <c r="R4032">
        <f>WEEKNUM(datos_siembra[[#This Row],[Date]],2)-WEEKNUM(DATE(YEAR(datos_siembra[[#This Row],[Date]]),MONTH(datos_siembra[[#This Row],[Date]]),1))+1</f>
        <v>3</v>
      </c>
      <c r="S4032">
        <f>MONTH(datos_siembra[[#This Row],[Date]])</f>
        <v>10</v>
      </c>
      <c r="T4032" t="str" cm="1">
        <f t="array" ref="T4032">_xlfn.IFS(AND(N4032&lt;= 22, S4032=9), "SOWING",AND(N4032&lt;= 28, S4032=9), "COVERAGE",AND(N4032&lt;= 30, S4032=9), "FLUSH",AND(N4032&lt;= 11, S4032=10), "FLUSH",AND(N4032&lt;= 21, S4032=10), "PRODUCTION")</f>
        <v>PRODUCTION</v>
      </c>
      <c r="U4032">
        <f>HOUR(datos_siembra[[#This Row],[Hour]])</f>
        <v>16</v>
      </c>
      <c r="V4032" cm="1">
        <f t="array" ref="V4032">_xlfn.IFS(AND(N4032&lt;= 22, S4032=9), N4032-7,AND(N4032&lt;= 28, S4032=9), N4032-25,AND(N4032&lt;= 30, S4032=9), N4032-28,AND(N4032&lt;= 11, S4032=10), N4032+2,AND(N4032&lt;= 21, S4032=10), N4032-11)</f>
        <v>5</v>
      </c>
    </row>
    <row r="4033" spans="1:22" x14ac:dyDescent="0.35">
      <c r="A4033" s="4">
        <v>45581</v>
      </c>
      <c r="B4033" s="5">
        <v>0.67684027777777778</v>
      </c>
      <c r="C4033">
        <v>65.099999999999994</v>
      </c>
      <c r="D4033">
        <v>65.3</v>
      </c>
      <c r="E4033">
        <v>64.599999999999994</v>
      </c>
      <c r="F4033">
        <v>65.099999999999994</v>
      </c>
      <c r="G4033">
        <v>0</v>
      </c>
      <c r="H4033">
        <v>0</v>
      </c>
      <c r="I4033">
        <v>0</v>
      </c>
      <c r="J4033">
        <v>0</v>
      </c>
      <c r="K4033">
        <v>62.5</v>
      </c>
      <c r="L4033">
        <v>63.3</v>
      </c>
      <c r="M4033">
        <v>65.069999999999993</v>
      </c>
      <c r="N4033">
        <v>16</v>
      </c>
      <c r="O4033">
        <v>1</v>
      </c>
      <c r="P4033">
        <f>MOD(DAY(datos_siembra[[#This Row],[Date]]),7)</f>
        <v>2</v>
      </c>
      <c r="Q4033" t="str">
        <f>CHOOSE(WEEKDAY(datos_siembra[[#This Row],[Date]],2),"L","M","X","J","V","S","D")</f>
        <v>X</v>
      </c>
      <c r="R4033">
        <f>WEEKNUM(datos_siembra[[#This Row],[Date]],2)-WEEKNUM(DATE(YEAR(datos_siembra[[#This Row],[Date]]),MONTH(datos_siembra[[#This Row],[Date]]),1))+1</f>
        <v>3</v>
      </c>
      <c r="S4033">
        <f>MONTH(datos_siembra[[#This Row],[Date]])</f>
        <v>10</v>
      </c>
      <c r="T4033" t="str" cm="1">
        <f t="array" ref="T4033">_xlfn.IFS(AND(N4033&lt;= 22, S4033=9), "SOWING",AND(N4033&lt;= 28, S4033=9), "COVERAGE",AND(N4033&lt;= 30, S4033=9), "FLUSH",AND(N4033&lt;= 11, S4033=10), "FLUSH",AND(N4033&lt;= 21, S4033=10), "PRODUCTION")</f>
        <v>PRODUCTION</v>
      </c>
      <c r="U4033">
        <f>HOUR(datos_siembra[[#This Row],[Hour]])</f>
        <v>16</v>
      </c>
      <c r="V4033" cm="1">
        <f t="array" ref="V4033">_xlfn.IFS(AND(N4033&lt;= 22, S4033=9), N4033-7,AND(N4033&lt;= 28, S4033=9), N4033-25,AND(N4033&lt;= 30, S4033=9), N4033-28,AND(N4033&lt;= 11, S4033=10), N4033+2,AND(N4033&lt;= 21, S4033=10), N4033-11)</f>
        <v>5</v>
      </c>
    </row>
    <row r="4034" spans="1:22" x14ac:dyDescent="0.35">
      <c r="A4034" s="4">
        <v>45581</v>
      </c>
      <c r="B4034" s="5">
        <v>0.6837847222222222</v>
      </c>
      <c r="C4034">
        <v>65.099999999999994</v>
      </c>
      <c r="D4034">
        <v>65.2</v>
      </c>
      <c r="E4034">
        <v>64.7</v>
      </c>
      <c r="F4034">
        <v>65.2</v>
      </c>
      <c r="G4034">
        <v>0</v>
      </c>
      <c r="H4034">
        <v>0</v>
      </c>
      <c r="I4034">
        <v>0</v>
      </c>
      <c r="J4034">
        <v>0</v>
      </c>
      <c r="K4034">
        <v>62.6</v>
      </c>
      <c r="L4034">
        <v>63.4</v>
      </c>
      <c r="M4034">
        <v>65.05</v>
      </c>
      <c r="N4034">
        <v>16</v>
      </c>
      <c r="O4034">
        <v>1</v>
      </c>
      <c r="P4034">
        <f>MOD(DAY(datos_siembra[[#This Row],[Date]]),7)</f>
        <v>2</v>
      </c>
      <c r="Q4034" t="str">
        <f>CHOOSE(WEEKDAY(datos_siembra[[#This Row],[Date]],2),"L","M","X","J","V","S","D")</f>
        <v>X</v>
      </c>
      <c r="R4034">
        <f>WEEKNUM(datos_siembra[[#This Row],[Date]],2)-WEEKNUM(DATE(YEAR(datos_siembra[[#This Row],[Date]]),MONTH(datos_siembra[[#This Row],[Date]]),1))+1</f>
        <v>3</v>
      </c>
      <c r="S4034">
        <f>MONTH(datos_siembra[[#This Row],[Date]])</f>
        <v>10</v>
      </c>
      <c r="T4034" t="str" cm="1">
        <f t="array" ref="T4034">_xlfn.IFS(AND(N4034&lt;= 22, S4034=9), "SOWING",AND(N4034&lt;= 28, S4034=9), "COVERAGE",AND(N4034&lt;= 30, S4034=9), "FLUSH",AND(N4034&lt;= 11, S4034=10), "FLUSH",AND(N4034&lt;= 21, S4034=10), "PRODUCTION")</f>
        <v>PRODUCTION</v>
      </c>
      <c r="U4034">
        <f>HOUR(datos_siembra[[#This Row],[Hour]])</f>
        <v>16</v>
      </c>
      <c r="V4034" cm="1">
        <f t="array" ref="V4034">_xlfn.IFS(AND(N4034&lt;= 22, S4034=9), N4034-7,AND(N4034&lt;= 28, S4034=9), N4034-25,AND(N4034&lt;= 30, S4034=9), N4034-28,AND(N4034&lt;= 11, S4034=10), N4034+2,AND(N4034&lt;= 21, S4034=10), N4034-11)</f>
        <v>5</v>
      </c>
    </row>
    <row r="4035" spans="1:22" x14ac:dyDescent="0.35">
      <c r="A4035" s="4">
        <v>45581</v>
      </c>
      <c r="B4035" s="5">
        <v>0.69074074074074077</v>
      </c>
      <c r="C4035">
        <v>65.099999999999994</v>
      </c>
      <c r="D4035">
        <v>65.400000000000006</v>
      </c>
      <c r="E4035">
        <v>64.599999999999994</v>
      </c>
      <c r="F4035">
        <v>65.099999999999994</v>
      </c>
      <c r="G4035">
        <v>0</v>
      </c>
      <c r="H4035">
        <v>0</v>
      </c>
      <c r="I4035">
        <v>0</v>
      </c>
      <c r="J4035">
        <v>0</v>
      </c>
      <c r="K4035">
        <v>62.6</v>
      </c>
      <c r="L4035">
        <v>63.4</v>
      </c>
      <c r="M4035">
        <v>65.069999999999993</v>
      </c>
      <c r="N4035">
        <v>16</v>
      </c>
      <c r="O4035">
        <v>1</v>
      </c>
      <c r="P4035">
        <f>MOD(DAY(datos_siembra[[#This Row],[Date]]),7)</f>
        <v>2</v>
      </c>
      <c r="Q4035" t="str">
        <f>CHOOSE(WEEKDAY(datos_siembra[[#This Row],[Date]],2),"L","M","X","J","V","S","D")</f>
        <v>X</v>
      </c>
      <c r="R4035">
        <f>WEEKNUM(datos_siembra[[#This Row],[Date]],2)-WEEKNUM(DATE(YEAR(datos_siembra[[#This Row],[Date]]),MONTH(datos_siembra[[#This Row],[Date]]),1))+1</f>
        <v>3</v>
      </c>
      <c r="S4035">
        <f>MONTH(datos_siembra[[#This Row],[Date]])</f>
        <v>10</v>
      </c>
      <c r="T4035" t="str" cm="1">
        <f t="array" ref="T4035">_xlfn.IFS(AND(N4035&lt;= 22, S4035=9), "SOWING",AND(N4035&lt;= 28, S4035=9), "COVERAGE",AND(N4035&lt;= 30, S4035=9), "FLUSH",AND(N4035&lt;= 11, S4035=10), "FLUSH",AND(N4035&lt;= 21, S4035=10), "PRODUCTION")</f>
        <v>PRODUCTION</v>
      </c>
      <c r="U4035">
        <f>HOUR(datos_siembra[[#This Row],[Hour]])</f>
        <v>16</v>
      </c>
      <c r="V4035" cm="1">
        <f t="array" ref="V4035">_xlfn.IFS(AND(N4035&lt;= 22, S4035=9), N4035-7,AND(N4035&lt;= 28, S4035=9), N4035-25,AND(N4035&lt;= 30, S4035=9), N4035-28,AND(N4035&lt;= 11, S4035=10), N4035+2,AND(N4035&lt;= 21, S4035=10), N4035-11)</f>
        <v>5</v>
      </c>
    </row>
    <row r="4036" spans="1:22" x14ac:dyDescent="0.35">
      <c r="A4036" s="4">
        <v>45581</v>
      </c>
      <c r="B4036" s="5">
        <v>0.69768518518518519</v>
      </c>
      <c r="C4036">
        <v>65</v>
      </c>
      <c r="D4036">
        <v>65.400000000000006</v>
      </c>
      <c r="E4036">
        <v>64.599999999999994</v>
      </c>
      <c r="F4036">
        <v>65.2</v>
      </c>
      <c r="G4036">
        <v>0</v>
      </c>
      <c r="H4036">
        <v>0</v>
      </c>
      <c r="I4036">
        <v>0</v>
      </c>
      <c r="J4036">
        <v>0</v>
      </c>
      <c r="K4036">
        <v>62.7</v>
      </c>
      <c r="L4036">
        <v>63.4</v>
      </c>
      <c r="M4036">
        <v>65.099999999999994</v>
      </c>
      <c r="N4036">
        <v>16</v>
      </c>
      <c r="O4036">
        <v>1</v>
      </c>
      <c r="P4036">
        <f>MOD(DAY(datos_siembra[[#This Row],[Date]]),7)</f>
        <v>2</v>
      </c>
      <c r="Q4036" t="str">
        <f>CHOOSE(WEEKDAY(datos_siembra[[#This Row],[Date]],2),"L","M","X","J","V","S","D")</f>
        <v>X</v>
      </c>
      <c r="R4036">
        <f>WEEKNUM(datos_siembra[[#This Row],[Date]],2)-WEEKNUM(DATE(YEAR(datos_siembra[[#This Row],[Date]]),MONTH(datos_siembra[[#This Row],[Date]]),1))+1</f>
        <v>3</v>
      </c>
      <c r="S4036">
        <f>MONTH(datos_siembra[[#This Row],[Date]])</f>
        <v>10</v>
      </c>
      <c r="T4036" t="str" cm="1">
        <f t="array" ref="T4036">_xlfn.IFS(AND(N4036&lt;= 22, S4036=9), "SOWING",AND(N4036&lt;= 28, S4036=9), "COVERAGE",AND(N4036&lt;= 30, S4036=9), "FLUSH",AND(N4036&lt;= 11, S4036=10), "FLUSH",AND(N4036&lt;= 21, S4036=10), "PRODUCTION")</f>
        <v>PRODUCTION</v>
      </c>
      <c r="U4036">
        <f>HOUR(datos_siembra[[#This Row],[Hour]])</f>
        <v>16</v>
      </c>
      <c r="V4036" cm="1">
        <f t="array" ref="V4036">_xlfn.IFS(AND(N4036&lt;= 22, S4036=9), N4036-7,AND(N4036&lt;= 28, S4036=9), N4036-25,AND(N4036&lt;= 30, S4036=9), N4036-28,AND(N4036&lt;= 11, S4036=10), N4036+2,AND(N4036&lt;= 21, S4036=10), N4036-11)</f>
        <v>5</v>
      </c>
    </row>
    <row r="4037" spans="1:22" x14ac:dyDescent="0.35">
      <c r="A4037" s="4">
        <v>45581</v>
      </c>
      <c r="B4037" s="5">
        <v>0.70462962962962961</v>
      </c>
      <c r="C4037">
        <v>65</v>
      </c>
      <c r="D4037">
        <v>65.5</v>
      </c>
      <c r="E4037">
        <v>64.5</v>
      </c>
      <c r="F4037">
        <v>65.2</v>
      </c>
      <c r="G4037">
        <v>0</v>
      </c>
      <c r="H4037">
        <v>0</v>
      </c>
      <c r="I4037">
        <v>0</v>
      </c>
      <c r="J4037">
        <v>0</v>
      </c>
      <c r="K4037">
        <v>62.8</v>
      </c>
      <c r="L4037">
        <v>63.4</v>
      </c>
      <c r="M4037">
        <v>65.02</v>
      </c>
      <c r="N4037">
        <v>16</v>
      </c>
      <c r="O4037">
        <v>1</v>
      </c>
      <c r="P4037">
        <f>MOD(DAY(datos_siembra[[#This Row],[Date]]),7)</f>
        <v>2</v>
      </c>
      <c r="Q4037" t="str">
        <f>CHOOSE(WEEKDAY(datos_siembra[[#This Row],[Date]],2),"L","M","X","J","V","S","D")</f>
        <v>X</v>
      </c>
      <c r="R4037">
        <f>WEEKNUM(datos_siembra[[#This Row],[Date]],2)-WEEKNUM(DATE(YEAR(datos_siembra[[#This Row],[Date]]),MONTH(datos_siembra[[#This Row],[Date]]),1))+1</f>
        <v>3</v>
      </c>
      <c r="S4037">
        <f>MONTH(datos_siembra[[#This Row],[Date]])</f>
        <v>10</v>
      </c>
      <c r="T4037" t="str" cm="1">
        <f t="array" ref="T4037">_xlfn.IFS(AND(N4037&lt;= 22, S4037=9), "SOWING",AND(N4037&lt;= 28, S4037=9), "COVERAGE",AND(N4037&lt;= 30, S4037=9), "FLUSH",AND(N4037&lt;= 11, S4037=10), "FLUSH",AND(N4037&lt;= 21, S4037=10), "PRODUCTION")</f>
        <v>PRODUCTION</v>
      </c>
      <c r="U4037">
        <f>HOUR(datos_siembra[[#This Row],[Hour]])</f>
        <v>16</v>
      </c>
      <c r="V4037" cm="1">
        <f t="array" ref="V4037">_xlfn.IFS(AND(N4037&lt;= 22, S4037=9), N4037-7,AND(N4037&lt;= 28, S4037=9), N4037-25,AND(N4037&lt;= 30, S4037=9), N4037-28,AND(N4037&lt;= 11, S4037=10), N4037+2,AND(N4037&lt;= 21, S4037=10), N4037-11)</f>
        <v>5</v>
      </c>
    </row>
    <row r="4038" spans="1:22" x14ac:dyDescent="0.35">
      <c r="A4038" s="4">
        <v>45581</v>
      </c>
      <c r="B4038" s="5">
        <v>0.71157407407407403</v>
      </c>
      <c r="C4038">
        <v>65</v>
      </c>
      <c r="D4038">
        <v>65.3</v>
      </c>
      <c r="E4038">
        <v>64.599999999999994</v>
      </c>
      <c r="F4038">
        <v>65.2</v>
      </c>
      <c r="G4038">
        <v>0</v>
      </c>
      <c r="H4038">
        <v>0</v>
      </c>
      <c r="I4038">
        <v>0</v>
      </c>
      <c r="J4038">
        <v>0</v>
      </c>
      <c r="K4038">
        <v>62.7</v>
      </c>
      <c r="L4038">
        <v>63.4</v>
      </c>
      <c r="M4038">
        <v>64.989999999999995</v>
      </c>
      <c r="N4038">
        <v>16</v>
      </c>
      <c r="O4038">
        <v>1</v>
      </c>
      <c r="P4038">
        <f>MOD(DAY(datos_siembra[[#This Row],[Date]]),7)</f>
        <v>2</v>
      </c>
      <c r="Q4038" t="str">
        <f>CHOOSE(WEEKDAY(datos_siembra[[#This Row],[Date]],2),"L","M","X","J","V","S","D")</f>
        <v>X</v>
      </c>
      <c r="R4038">
        <f>WEEKNUM(datos_siembra[[#This Row],[Date]],2)-WEEKNUM(DATE(YEAR(datos_siembra[[#This Row],[Date]]),MONTH(datos_siembra[[#This Row],[Date]]),1))+1</f>
        <v>3</v>
      </c>
      <c r="S4038">
        <f>MONTH(datos_siembra[[#This Row],[Date]])</f>
        <v>10</v>
      </c>
      <c r="T4038" t="str" cm="1">
        <f t="array" ref="T4038">_xlfn.IFS(AND(N4038&lt;= 22, S4038=9), "SOWING",AND(N4038&lt;= 28, S4038=9), "COVERAGE",AND(N4038&lt;= 30, S4038=9), "FLUSH",AND(N4038&lt;= 11, S4038=10), "FLUSH",AND(N4038&lt;= 21, S4038=10), "PRODUCTION")</f>
        <v>PRODUCTION</v>
      </c>
      <c r="U4038">
        <f>HOUR(datos_siembra[[#This Row],[Hour]])</f>
        <v>17</v>
      </c>
      <c r="V4038" cm="1">
        <f t="array" ref="V4038">_xlfn.IFS(AND(N4038&lt;= 22, S4038=9), N4038-7,AND(N4038&lt;= 28, S4038=9), N4038-25,AND(N4038&lt;= 30, S4038=9), N4038-28,AND(N4038&lt;= 11, S4038=10), N4038+2,AND(N4038&lt;= 21, S4038=10), N4038-11)</f>
        <v>5</v>
      </c>
    </row>
    <row r="4039" spans="1:22" x14ac:dyDescent="0.35">
      <c r="A4039" s="4">
        <v>45581</v>
      </c>
      <c r="B4039" s="5">
        <v>0.7185300925925926</v>
      </c>
      <c r="C4039">
        <v>65.099999999999994</v>
      </c>
      <c r="D4039">
        <v>65.5</v>
      </c>
      <c r="E4039">
        <v>64.599999999999994</v>
      </c>
      <c r="F4039">
        <v>65.2</v>
      </c>
      <c r="G4039">
        <v>0</v>
      </c>
      <c r="H4039">
        <v>0</v>
      </c>
      <c r="I4039">
        <v>0</v>
      </c>
      <c r="J4039">
        <v>0</v>
      </c>
      <c r="K4039">
        <v>62.9</v>
      </c>
      <c r="L4039">
        <v>63.4</v>
      </c>
      <c r="M4039">
        <v>65.069999999999993</v>
      </c>
      <c r="N4039">
        <v>16</v>
      </c>
      <c r="O4039">
        <v>1</v>
      </c>
      <c r="P4039">
        <f>MOD(DAY(datos_siembra[[#This Row],[Date]]),7)</f>
        <v>2</v>
      </c>
      <c r="Q4039" t="str">
        <f>CHOOSE(WEEKDAY(datos_siembra[[#This Row],[Date]],2),"L","M","X","J","V","S","D")</f>
        <v>X</v>
      </c>
      <c r="R4039">
        <f>WEEKNUM(datos_siembra[[#This Row],[Date]],2)-WEEKNUM(DATE(YEAR(datos_siembra[[#This Row],[Date]]),MONTH(datos_siembra[[#This Row],[Date]]),1))+1</f>
        <v>3</v>
      </c>
      <c r="S4039">
        <f>MONTH(datos_siembra[[#This Row],[Date]])</f>
        <v>10</v>
      </c>
      <c r="T4039" t="str" cm="1">
        <f t="array" ref="T4039">_xlfn.IFS(AND(N4039&lt;= 22, S4039=9), "SOWING",AND(N4039&lt;= 28, S4039=9), "COVERAGE",AND(N4039&lt;= 30, S4039=9), "FLUSH",AND(N4039&lt;= 11, S4039=10), "FLUSH",AND(N4039&lt;= 21, S4039=10), "PRODUCTION")</f>
        <v>PRODUCTION</v>
      </c>
      <c r="U4039">
        <f>HOUR(datos_siembra[[#This Row],[Hour]])</f>
        <v>17</v>
      </c>
      <c r="V4039" cm="1">
        <f t="array" ref="V4039">_xlfn.IFS(AND(N4039&lt;= 22, S4039=9), N4039-7,AND(N4039&lt;= 28, S4039=9), N4039-25,AND(N4039&lt;= 30, S4039=9), N4039-28,AND(N4039&lt;= 11, S4039=10), N4039+2,AND(N4039&lt;= 21, S4039=10), N4039-11)</f>
        <v>5</v>
      </c>
    </row>
    <row r="4040" spans="1:22" x14ac:dyDescent="0.35">
      <c r="A4040" s="4">
        <v>45581</v>
      </c>
      <c r="B4040" s="5">
        <v>0.72547453703703701</v>
      </c>
      <c r="C4040">
        <v>64.900000000000006</v>
      </c>
      <c r="D4040">
        <v>65.5</v>
      </c>
      <c r="E4040">
        <v>64.599999999999994</v>
      </c>
      <c r="F4040">
        <v>65.2</v>
      </c>
      <c r="G4040">
        <v>0</v>
      </c>
      <c r="H4040">
        <v>0</v>
      </c>
      <c r="I4040">
        <v>0</v>
      </c>
      <c r="J4040">
        <v>0</v>
      </c>
      <c r="K4040">
        <v>62.9</v>
      </c>
      <c r="L4040">
        <v>63.4</v>
      </c>
      <c r="M4040">
        <v>65.069999999999993</v>
      </c>
      <c r="N4040">
        <v>16</v>
      </c>
      <c r="O4040">
        <v>1</v>
      </c>
      <c r="P4040">
        <f>MOD(DAY(datos_siembra[[#This Row],[Date]]),7)</f>
        <v>2</v>
      </c>
      <c r="Q4040" t="str">
        <f>CHOOSE(WEEKDAY(datos_siembra[[#This Row],[Date]],2),"L","M","X","J","V","S","D")</f>
        <v>X</v>
      </c>
      <c r="R4040">
        <f>WEEKNUM(datos_siembra[[#This Row],[Date]],2)-WEEKNUM(DATE(YEAR(datos_siembra[[#This Row],[Date]]),MONTH(datos_siembra[[#This Row],[Date]]),1))+1</f>
        <v>3</v>
      </c>
      <c r="S4040">
        <f>MONTH(datos_siembra[[#This Row],[Date]])</f>
        <v>10</v>
      </c>
      <c r="T4040" t="str" cm="1">
        <f t="array" ref="T4040">_xlfn.IFS(AND(N4040&lt;= 22, S4040=9), "SOWING",AND(N4040&lt;= 28, S4040=9), "COVERAGE",AND(N4040&lt;= 30, S4040=9), "FLUSH",AND(N4040&lt;= 11, S4040=10), "FLUSH",AND(N4040&lt;= 21, S4040=10), "PRODUCTION")</f>
        <v>PRODUCTION</v>
      </c>
      <c r="U4040">
        <f>HOUR(datos_siembra[[#This Row],[Hour]])</f>
        <v>17</v>
      </c>
      <c r="V4040" cm="1">
        <f t="array" ref="V4040">_xlfn.IFS(AND(N4040&lt;= 22, S4040=9), N4040-7,AND(N4040&lt;= 28, S4040=9), N4040-25,AND(N4040&lt;= 30, S4040=9), N4040-28,AND(N4040&lt;= 11, S4040=10), N4040+2,AND(N4040&lt;= 21, S4040=10), N4040-11)</f>
        <v>5</v>
      </c>
    </row>
    <row r="4041" spans="1:22" x14ac:dyDescent="0.35">
      <c r="A4041" s="4">
        <v>45581</v>
      </c>
      <c r="B4041" s="5">
        <v>0.73241898148148143</v>
      </c>
      <c r="C4041">
        <v>65.099999999999994</v>
      </c>
      <c r="D4041">
        <v>65.400000000000006</v>
      </c>
      <c r="E4041">
        <v>64.599999999999994</v>
      </c>
      <c r="F4041">
        <v>65.2</v>
      </c>
      <c r="G4041">
        <v>0</v>
      </c>
      <c r="H4041">
        <v>0</v>
      </c>
      <c r="I4041">
        <v>0</v>
      </c>
      <c r="J4041">
        <v>0</v>
      </c>
      <c r="K4041">
        <v>63</v>
      </c>
      <c r="L4041">
        <v>63.4</v>
      </c>
      <c r="M4041">
        <v>65.05</v>
      </c>
      <c r="N4041">
        <v>16</v>
      </c>
      <c r="O4041">
        <v>1</v>
      </c>
      <c r="P4041">
        <f>MOD(DAY(datos_siembra[[#This Row],[Date]]),7)</f>
        <v>2</v>
      </c>
      <c r="Q4041" t="str">
        <f>CHOOSE(WEEKDAY(datos_siembra[[#This Row],[Date]],2),"L","M","X","J","V","S","D")</f>
        <v>X</v>
      </c>
      <c r="R4041">
        <f>WEEKNUM(datos_siembra[[#This Row],[Date]],2)-WEEKNUM(DATE(YEAR(datos_siembra[[#This Row],[Date]]),MONTH(datos_siembra[[#This Row],[Date]]),1))+1</f>
        <v>3</v>
      </c>
      <c r="S4041">
        <f>MONTH(datos_siembra[[#This Row],[Date]])</f>
        <v>10</v>
      </c>
      <c r="T4041" t="str" cm="1">
        <f t="array" ref="T4041">_xlfn.IFS(AND(N4041&lt;= 22, S4041=9), "SOWING",AND(N4041&lt;= 28, S4041=9), "COVERAGE",AND(N4041&lt;= 30, S4041=9), "FLUSH",AND(N4041&lt;= 11, S4041=10), "FLUSH",AND(N4041&lt;= 21, S4041=10), "PRODUCTION")</f>
        <v>PRODUCTION</v>
      </c>
      <c r="U4041">
        <f>HOUR(datos_siembra[[#This Row],[Hour]])</f>
        <v>17</v>
      </c>
      <c r="V4041" cm="1">
        <f t="array" ref="V4041">_xlfn.IFS(AND(N4041&lt;= 22, S4041=9), N4041-7,AND(N4041&lt;= 28, S4041=9), N4041-25,AND(N4041&lt;= 30, S4041=9), N4041-28,AND(N4041&lt;= 11, S4041=10), N4041+2,AND(N4041&lt;= 21, S4041=10), N4041-11)</f>
        <v>5</v>
      </c>
    </row>
    <row r="4042" spans="1:22" x14ac:dyDescent="0.35">
      <c r="A4042" s="4">
        <v>45581</v>
      </c>
      <c r="B4042" s="5">
        <v>0.739375</v>
      </c>
      <c r="C4042">
        <v>65</v>
      </c>
      <c r="D4042">
        <v>65.400000000000006</v>
      </c>
      <c r="E4042">
        <v>64.7</v>
      </c>
      <c r="F4042">
        <v>65.3</v>
      </c>
      <c r="G4042">
        <v>0</v>
      </c>
      <c r="H4042">
        <v>0</v>
      </c>
      <c r="I4042">
        <v>0</v>
      </c>
      <c r="J4042">
        <v>0</v>
      </c>
      <c r="K4042">
        <v>63</v>
      </c>
      <c r="L4042">
        <v>63.4</v>
      </c>
      <c r="M4042">
        <v>65.099999999999994</v>
      </c>
      <c r="N4042">
        <v>16</v>
      </c>
      <c r="O4042">
        <v>1</v>
      </c>
      <c r="P4042">
        <f>MOD(DAY(datos_siembra[[#This Row],[Date]]),7)</f>
        <v>2</v>
      </c>
      <c r="Q4042" t="str">
        <f>CHOOSE(WEEKDAY(datos_siembra[[#This Row],[Date]],2),"L","M","X","J","V","S","D")</f>
        <v>X</v>
      </c>
      <c r="R4042">
        <f>WEEKNUM(datos_siembra[[#This Row],[Date]],2)-WEEKNUM(DATE(YEAR(datos_siembra[[#This Row],[Date]]),MONTH(datos_siembra[[#This Row],[Date]]),1))+1</f>
        <v>3</v>
      </c>
      <c r="S4042">
        <f>MONTH(datos_siembra[[#This Row],[Date]])</f>
        <v>10</v>
      </c>
      <c r="T4042" t="str" cm="1">
        <f t="array" ref="T4042">_xlfn.IFS(AND(N4042&lt;= 22, S4042=9), "SOWING",AND(N4042&lt;= 28, S4042=9), "COVERAGE",AND(N4042&lt;= 30, S4042=9), "FLUSH",AND(N4042&lt;= 11, S4042=10), "FLUSH",AND(N4042&lt;= 21, S4042=10), "PRODUCTION")</f>
        <v>PRODUCTION</v>
      </c>
      <c r="U4042">
        <f>HOUR(datos_siembra[[#This Row],[Hour]])</f>
        <v>17</v>
      </c>
      <c r="V4042" cm="1">
        <f t="array" ref="V4042">_xlfn.IFS(AND(N4042&lt;= 22, S4042=9), N4042-7,AND(N4042&lt;= 28, S4042=9), N4042-25,AND(N4042&lt;= 30, S4042=9), N4042-28,AND(N4042&lt;= 11, S4042=10), N4042+2,AND(N4042&lt;= 21, S4042=10), N4042-11)</f>
        <v>5</v>
      </c>
    </row>
    <row r="4043" spans="1:22" x14ac:dyDescent="0.35">
      <c r="A4043" s="4">
        <v>45581</v>
      </c>
      <c r="B4043" s="5">
        <v>0.74631944444444442</v>
      </c>
      <c r="C4043">
        <v>64.900000000000006</v>
      </c>
      <c r="D4043">
        <v>65.3</v>
      </c>
      <c r="E4043">
        <v>64.7</v>
      </c>
      <c r="F4043">
        <v>65.3</v>
      </c>
      <c r="G4043">
        <v>0</v>
      </c>
      <c r="H4043">
        <v>0</v>
      </c>
      <c r="I4043">
        <v>0</v>
      </c>
      <c r="J4043">
        <v>0</v>
      </c>
      <c r="K4043">
        <v>63</v>
      </c>
      <c r="L4043">
        <v>63.4</v>
      </c>
      <c r="M4043">
        <v>65.13</v>
      </c>
      <c r="N4043">
        <v>16</v>
      </c>
      <c r="O4043">
        <v>1</v>
      </c>
      <c r="P4043">
        <f>MOD(DAY(datos_siembra[[#This Row],[Date]]),7)</f>
        <v>2</v>
      </c>
      <c r="Q4043" t="str">
        <f>CHOOSE(WEEKDAY(datos_siembra[[#This Row],[Date]],2),"L","M","X","J","V","S","D")</f>
        <v>X</v>
      </c>
      <c r="R4043">
        <f>WEEKNUM(datos_siembra[[#This Row],[Date]],2)-WEEKNUM(DATE(YEAR(datos_siembra[[#This Row],[Date]]),MONTH(datos_siembra[[#This Row],[Date]]),1))+1</f>
        <v>3</v>
      </c>
      <c r="S4043">
        <f>MONTH(datos_siembra[[#This Row],[Date]])</f>
        <v>10</v>
      </c>
      <c r="T4043" t="str" cm="1">
        <f t="array" ref="T4043">_xlfn.IFS(AND(N4043&lt;= 22, S4043=9), "SOWING",AND(N4043&lt;= 28, S4043=9), "COVERAGE",AND(N4043&lt;= 30, S4043=9), "FLUSH",AND(N4043&lt;= 11, S4043=10), "FLUSH",AND(N4043&lt;= 21, S4043=10), "PRODUCTION")</f>
        <v>PRODUCTION</v>
      </c>
      <c r="U4043">
        <f>HOUR(datos_siembra[[#This Row],[Hour]])</f>
        <v>17</v>
      </c>
      <c r="V4043" cm="1">
        <f t="array" ref="V4043">_xlfn.IFS(AND(N4043&lt;= 22, S4043=9), N4043-7,AND(N4043&lt;= 28, S4043=9), N4043-25,AND(N4043&lt;= 30, S4043=9), N4043-28,AND(N4043&lt;= 11, S4043=10), N4043+2,AND(N4043&lt;= 21, S4043=10), N4043-11)</f>
        <v>5</v>
      </c>
    </row>
    <row r="4044" spans="1:22" x14ac:dyDescent="0.35">
      <c r="A4044" s="4">
        <v>45581</v>
      </c>
      <c r="B4044" s="5">
        <v>0.75326388888888884</v>
      </c>
      <c r="C4044">
        <v>64.900000000000006</v>
      </c>
      <c r="D4044">
        <v>65.400000000000006</v>
      </c>
      <c r="E4044">
        <v>64.599999999999994</v>
      </c>
      <c r="F4044">
        <v>65.3</v>
      </c>
      <c r="G4044">
        <v>0</v>
      </c>
      <c r="H4044">
        <v>0</v>
      </c>
      <c r="I4044">
        <v>0</v>
      </c>
      <c r="J4044">
        <v>0</v>
      </c>
      <c r="K4044">
        <v>63</v>
      </c>
      <c r="L4044">
        <v>63.3</v>
      </c>
      <c r="M4044">
        <v>65.099999999999994</v>
      </c>
      <c r="N4044">
        <v>16</v>
      </c>
      <c r="O4044">
        <v>1</v>
      </c>
      <c r="P4044">
        <f>MOD(DAY(datos_siembra[[#This Row],[Date]]),7)</f>
        <v>2</v>
      </c>
      <c r="Q4044" t="str">
        <f>CHOOSE(WEEKDAY(datos_siembra[[#This Row],[Date]],2),"L","M","X","J","V","S","D")</f>
        <v>X</v>
      </c>
      <c r="R4044">
        <f>WEEKNUM(datos_siembra[[#This Row],[Date]],2)-WEEKNUM(DATE(YEAR(datos_siembra[[#This Row],[Date]]),MONTH(datos_siembra[[#This Row],[Date]]),1))+1</f>
        <v>3</v>
      </c>
      <c r="S4044">
        <f>MONTH(datos_siembra[[#This Row],[Date]])</f>
        <v>10</v>
      </c>
      <c r="T4044" t="str" cm="1">
        <f t="array" ref="T4044">_xlfn.IFS(AND(N4044&lt;= 22, S4044=9), "SOWING",AND(N4044&lt;= 28, S4044=9), "COVERAGE",AND(N4044&lt;= 30, S4044=9), "FLUSH",AND(N4044&lt;= 11, S4044=10), "FLUSH",AND(N4044&lt;= 21, S4044=10), "PRODUCTION")</f>
        <v>PRODUCTION</v>
      </c>
      <c r="U4044">
        <f>HOUR(datos_siembra[[#This Row],[Hour]])</f>
        <v>18</v>
      </c>
      <c r="V4044" cm="1">
        <f t="array" ref="V4044">_xlfn.IFS(AND(N4044&lt;= 22, S4044=9), N4044-7,AND(N4044&lt;= 28, S4044=9), N4044-25,AND(N4044&lt;= 30, S4044=9), N4044-28,AND(N4044&lt;= 11, S4044=10), N4044+2,AND(N4044&lt;= 21, S4044=10), N4044-11)</f>
        <v>5</v>
      </c>
    </row>
    <row r="4045" spans="1:22" x14ac:dyDescent="0.35">
      <c r="A4045" s="4">
        <v>45581</v>
      </c>
      <c r="B4045" s="5">
        <v>0.76020833333333337</v>
      </c>
      <c r="C4045">
        <v>65.099999999999994</v>
      </c>
      <c r="D4045">
        <v>65.400000000000006</v>
      </c>
      <c r="E4045">
        <v>64.900000000000006</v>
      </c>
      <c r="F4045">
        <v>65.2</v>
      </c>
      <c r="G4045">
        <v>0</v>
      </c>
      <c r="H4045">
        <v>0</v>
      </c>
      <c r="I4045">
        <v>0</v>
      </c>
      <c r="J4045">
        <v>0</v>
      </c>
      <c r="K4045">
        <v>62.9</v>
      </c>
      <c r="L4045">
        <v>63.3</v>
      </c>
      <c r="M4045">
        <v>65.13</v>
      </c>
      <c r="N4045">
        <v>16</v>
      </c>
      <c r="O4045">
        <v>1</v>
      </c>
      <c r="P4045">
        <f>MOD(DAY(datos_siembra[[#This Row],[Date]]),7)</f>
        <v>2</v>
      </c>
      <c r="Q4045" t="str">
        <f>CHOOSE(WEEKDAY(datos_siembra[[#This Row],[Date]],2),"L","M","X","J","V","S","D")</f>
        <v>X</v>
      </c>
      <c r="R4045">
        <f>WEEKNUM(datos_siembra[[#This Row],[Date]],2)-WEEKNUM(DATE(YEAR(datos_siembra[[#This Row],[Date]]),MONTH(datos_siembra[[#This Row],[Date]]),1))+1</f>
        <v>3</v>
      </c>
      <c r="S4045">
        <f>MONTH(datos_siembra[[#This Row],[Date]])</f>
        <v>10</v>
      </c>
      <c r="T4045" t="str" cm="1">
        <f t="array" ref="T4045">_xlfn.IFS(AND(N4045&lt;= 22, S4045=9), "SOWING",AND(N4045&lt;= 28, S4045=9), "COVERAGE",AND(N4045&lt;= 30, S4045=9), "FLUSH",AND(N4045&lt;= 11, S4045=10), "FLUSH",AND(N4045&lt;= 21, S4045=10), "PRODUCTION")</f>
        <v>PRODUCTION</v>
      </c>
      <c r="U4045">
        <f>HOUR(datos_siembra[[#This Row],[Hour]])</f>
        <v>18</v>
      </c>
      <c r="V4045" cm="1">
        <f t="array" ref="V4045">_xlfn.IFS(AND(N4045&lt;= 22, S4045=9), N4045-7,AND(N4045&lt;= 28, S4045=9), N4045-25,AND(N4045&lt;= 30, S4045=9), N4045-28,AND(N4045&lt;= 11, S4045=10), N4045+2,AND(N4045&lt;= 21, S4045=10), N4045-11)</f>
        <v>5</v>
      </c>
    </row>
    <row r="4046" spans="1:22" x14ac:dyDescent="0.35">
      <c r="A4046" s="4">
        <v>45581</v>
      </c>
      <c r="B4046" s="5">
        <v>0.76716435185185183</v>
      </c>
      <c r="C4046">
        <v>65.099999999999994</v>
      </c>
      <c r="D4046">
        <v>65.400000000000006</v>
      </c>
      <c r="E4046">
        <v>64.7</v>
      </c>
      <c r="F4046">
        <v>65.2</v>
      </c>
      <c r="G4046">
        <v>0</v>
      </c>
      <c r="H4046">
        <v>0</v>
      </c>
      <c r="I4046">
        <v>0</v>
      </c>
      <c r="J4046">
        <v>0</v>
      </c>
      <c r="K4046">
        <v>62.9</v>
      </c>
      <c r="L4046">
        <v>63.3</v>
      </c>
      <c r="M4046">
        <v>65.099999999999994</v>
      </c>
      <c r="N4046">
        <v>16</v>
      </c>
      <c r="O4046">
        <v>1</v>
      </c>
      <c r="P4046">
        <f>MOD(DAY(datos_siembra[[#This Row],[Date]]),7)</f>
        <v>2</v>
      </c>
      <c r="Q4046" t="str">
        <f>CHOOSE(WEEKDAY(datos_siembra[[#This Row],[Date]],2),"L","M","X","J","V","S","D")</f>
        <v>X</v>
      </c>
      <c r="R4046">
        <f>WEEKNUM(datos_siembra[[#This Row],[Date]],2)-WEEKNUM(DATE(YEAR(datos_siembra[[#This Row],[Date]]),MONTH(datos_siembra[[#This Row],[Date]]),1))+1</f>
        <v>3</v>
      </c>
      <c r="S4046">
        <f>MONTH(datos_siembra[[#This Row],[Date]])</f>
        <v>10</v>
      </c>
      <c r="T4046" t="str" cm="1">
        <f t="array" ref="T4046">_xlfn.IFS(AND(N4046&lt;= 22, S4046=9), "SOWING",AND(N4046&lt;= 28, S4046=9), "COVERAGE",AND(N4046&lt;= 30, S4046=9), "FLUSH",AND(N4046&lt;= 11, S4046=10), "FLUSH",AND(N4046&lt;= 21, S4046=10), "PRODUCTION")</f>
        <v>PRODUCTION</v>
      </c>
      <c r="U4046">
        <f>HOUR(datos_siembra[[#This Row],[Hour]])</f>
        <v>18</v>
      </c>
      <c r="V4046" cm="1">
        <f t="array" ref="V4046">_xlfn.IFS(AND(N4046&lt;= 22, S4046=9), N4046-7,AND(N4046&lt;= 28, S4046=9), N4046-25,AND(N4046&lt;= 30, S4046=9), N4046-28,AND(N4046&lt;= 11, S4046=10), N4046+2,AND(N4046&lt;= 21, S4046=10), N4046-11)</f>
        <v>5</v>
      </c>
    </row>
    <row r="4047" spans="1:22" x14ac:dyDescent="0.35">
      <c r="A4047" s="4">
        <v>45581</v>
      </c>
      <c r="B4047" s="5">
        <v>0.77410879629629625</v>
      </c>
      <c r="C4047">
        <v>65.099999999999994</v>
      </c>
      <c r="D4047">
        <v>65.400000000000006</v>
      </c>
      <c r="E4047">
        <v>64.7</v>
      </c>
      <c r="F4047">
        <v>65.2</v>
      </c>
      <c r="G4047">
        <v>0</v>
      </c>
      <c r="H4047">
        <v>0</v>
      </c>
      <c r="I4047">
        <v>0</v>
      </c>
      <c r="J4047">
        <v>0</v>
      </c>
      <c r="K4047">
        <v>62.9</v>
      </c>
      <c r="L4047">
        <v>63.3</v>
      </c>
      <c r="M4047">
        <v>65.099999999999994</v>
      </c>
      <c r="N4047">
        <v>16</v>
      </c>
      <c r="O4047">
        <v>1</v>
      </c>
      <c r="P4047">
        <f>MOD(DAY(datos_siembra[[#This Row],[Date]]),7)</f>
        <v>2</v>
      </c>
      <c r="Q4047" t="str">
        <f>CHOOSE(WEEKDAY(datos_siembra[[#This Row],[Date]],2),"L","M","X","J","V","S","D")</f>
        <v>X</v>
      </c>
      <c r="R4047">
        <f>WEEKNUM(datos_siembra[[#This Row],[Date]],2)-WEEKNUM(DATE(YEAR(datos_siembra[[#This Row],[Date]]),MONTH(datos_siembra[[#This Row],[Date]]),1))+1</f>
        <v>3</v>
      </c>
      <c r="S4047">
        <f>MONTH(datos_siembra[[#This Row],[Date]])</f>
        <v>10</v>
      </c>
      <c r="T4047" t="str" cm="1">
        <f t="array" ref="T4047">_xlfn.IFS(AND(N4047&lt;= 22, S4047=9), "SOWING",AND(N4047&lt;= 28, S4047=9), "COVERAGE",AND(N4047&lt;= 30, S4047=9), "FLUSH",AND(N4047&lt;= 11, S4047=10), "FLUSH",AND(N4047&lt;= 21, S4047=10), "PRODUCTION")</f>
        <v>PRODUCTION</v>
      </c>
      <c r="U4047">
        <f>HOUR(datos_siembra[[#This Row],[Hour]])</f>
        <v>18</v>
      </c>
      <c r="V4047" cm="1">
        <f t="array" ref="V4047">_xlfn.IFS(AND(N4047&lt;= 22, S4047=9), N4047-7,AND(N4047&lt;= 28, S4047=9), N4047-25,AND(N4047&lt;= 30, S4047=9), N4047-28,AND(N4047&lt;= 11, S4047=10), N4047+2,AND(N4047&lt;= 21, S4047=10), N4047-11)</f>
        <v>5</v>
      </c>
    </row>
    <row r="4048" spans="1:22" x14ac:dyDescent="0.35">
      <c r="A4048" s="4">
        <v>45581</v>
      </c>
      <c r="B4048" s="5">
        <v>0.78105324074074078</v>
      </c>
      <c r="C4048">
        <v>65</v>
      </c>
      <c r="D4048">
        <v>65.3</v>
      </c>
      <c r="E4048">
        <v>64.7</v>
      </c>
      <c r="F4048">
        <v>65.3</v>
      </c>
      <c r="G4048">
        <v>0</v>
      </c>
      <c r="H4048">
        <v>0</v>
      </c>
      <c r="I4048">
        <v>0</v>
      </c>
      <c r="J4048">
        <v>0</v>
      </c>
      <c r="K4048">
        <v>62.9</v>
      </c>
      <c r="L4048">
        <v>63.3</v>
      </c>
      <c r="M4048">
        <v>65.19</v>
      </c>
      <c r="N4048">
        <v>16</v>
      </c>
      <c r="O4048">
        <v>1</v>
      </c>
      <c r="P4048">
        <f>MOD(DAY(datos_siembra[[#This Row],[Date]]),7)</f>
        <v>2</v>
      </c>
      <c r="Q4048" t="str">
        <f>CHOOSE(WEEKDAY(datos_siembra[[#This Row],[Date]],2),"L","M","X","J","V","S","D")</f>
        <v>X</v>
      </c>
      <c r="R4048">
        <f>WEEKNUM(datos_siembra[[#This Row],[Date]],2)-WEEKNUM(DATE(YEAR(datos_siembra[[#This Row],[Date]]),MONTH(datos_siembra[[#This Row],[Date]]),1))+1</f>
        <v>3</v>
      </c>
      <c r="S4048">
        <f>MONTH(datos_siembra[[#This Row],[Date]])</f>
        <v>10</v>
      </c>
      <c r="T4048" t="str" cm="1">
        <f t="array" ref="T4048">_xlfn.IFS(AND(N4048&lt;= 22, S4048=9), "SOWING",AND(N4048&lt;= 28, S4048=9), "COVERAGE",AND(N4048&lt;= 30, S4048=9), "FLUSH",AND(N4048&lt;= 11, S4048=10), "FLUSH",AND(N4048&lt;= 21, S4048=10), "PRODUCTION")</f>
        <v>PRODUCTION</v>
      </c>
      <c r="U4048">
        <f>HOUR(datos_siembra[[#This Row],[Hour]])</f>
        <v>18</v>
      </c>
      <c r="V4048" cm="1">
        <f t="array" ref="V4048">_xlfn.IFS(AND(N4048&lt;= 22, S4048=9), N4048-7,AND(N4048&lt;= 28, S4048=9), N4048-25,AND(N4048&lt;= 30, S4048=9), N4048-28,AND(N4048&lt;= 11, S4048=10), N4048+2,AND(N4048&lt;= 21, S4048=10), N4048-11)</f>
        <v>5</v>
      </c>
    </row>
    <row r="4049" spans="1:22" x14ac:dyDescent="0.35">
      <c r="A4049" s="4">
        <v>45581</v>
      </c>
      <c r="B4049" s="5">
        <v>0.78800925925925924</v>
      </c>
      <c r="C4049">
        <v>65</v>
      </c>
      <c r="D4049">
        <v>65.400000000000006</v>
      </c>
      <c r="E4049">
        <v>64.900000000000006</v>
      </c>
      <c r="F4049">
        <v>65.3</v>
      </c>
      <c r="G4049">
        <v>0</v>
      </c>
      <c r="H4049">
        <v>0</v>
      </c>
      <c r="I4049">
        <v>0</v>
      </c>
      <c r="J4049">
        <v>0</v>
      </c>
      <c r="K4049">
        <v>62.9</v>
      </c>
      <c r="L4049">
        <v>63.3</v>
      </c>
      <c r="M4049">
        <v>65.16</v>
      </c>
      <c r="N4049">
        <v>16</v>
      </c>
      <c r="O4049">
        <v>1</v>
      </c>
      <c r="P4049">
        <f>MOD(DAY(datos_siembra[[#This Row],[Date]]),7)</f>
        <v>2</v>
      </c>
      <c r="Q4049" t="str">
        <f>CHOOSE(WEEKDAY(datos_siembra[[#This Row],[Date]],2),"L","M","X","J","V","S","D")</f>
        <v>X</v>
      </c>
      <c r="R4049">
        <f>WEEKNUM(datos_siembra[[#This Row],[Date]],2)-WEEKNUM(DATE(YEAR(datos_siembra[[#This Row],[Date]]),MONTH(datos_siembra[[#This Row],[Date]]),1))+1</f>
        <v>3</v>
      </c>
      <c r="S4049">
        <f>MONTH(datos_siembra[[#This Row],[Date]])</f>
        <v>10</v>
      </c>
      <c r="T4049" t="str" cm="1">
        <f t="array" ref="T4049">_xlfn.IFS(AND(N4049&lt;= 22, S4049=9), "SOWING",AND(N4049&lt;= 28, S4049=9), "COVERAGE",AND(N4049&lt;= 30, S4049=9), "FLUSH",AND(N4049&lt;= 11, S4049=10), "FLUSH",AND(N4049&lt;= 21, S4049=10), "PRODUCTION")</f>
        <v>PRODUCTION</v>
      </c>
      <c r="U4049">
        <f>HOUR(datos_siembra[[#This Row],[Hour]])</f>
        <v>18</v>
      </c>
      <c r="V4049" cm="1">
        <f t="array" ref="V4049">_xlfn.IFS(AND(N4049&lt;= 22, S4049=9), N4049-7,AND(N4049&lt;= 28, S4049=9), N4049-25,AND(N4049&lt;= 30, S4049=9), N4049-28,AND(N4049&lt;= 11, S4049=10), N4049+2,AND(N4049&lt;= 21, S4049=10), N4049-11)</f>
        <v>5</v>
      </c>
    </row>
    <row r="4050" spans="1:22" x14ac:dyDescent="0.35">
      <c r="A4050" s="4">
        <v>45581</v>
      </c>
      <c r="B4050" s="5">
        <v>0.79495370370370366</v>
      </c>
      <c r="C4050">
        <v>65</v>
      </c>
      <c r="D4050">
        <v>65.3</v>
      </c>
      <c r="E4050">
        <v>64.7</v>
      </c>
      <c r="F4050">
        <v>65.3</v>
      </c>
      <c r="G4050">
        <v>0</v>
      </c>
      <c r="H4050">
        <v>0</v>
      </c>
      <c r="I4050">
        <v>0</v>
      </c>
      <c r="J4050">
        <v>0</v>
      </c>
      <c r="K4050">
        <v>62.9</v>
      </c>
      <c r="L4050">
        <v>63.3</v>
      </c>
      <c r="M4050">
        <v>65.19</v>
      </c>
      <c r="N4050">
        <v>16</v>
      </c>
      <c r="O4050">
        <v>1</v>
      </c>
      <c r="P4050">
        <f>MOD(DAY(datos_siembra[[#This Row],[Date]]),7)</f>
        <v>2</v>
      </c>
      <c r="Q4050" t="str">
        <f>CHOOSE(WEEKDAY(datos_siembra[[#This Row],[Date]],2),"L","M","X","J","V","S","D")</f>
        <v>X</v>
      </c>
      <c r="R4050">
        <f>WEEKNUM(datos_siembra[[#This Row],[Date]],2)-WEEKNUM(DATE(YEAR(datos_siembra[[#This Row],[Date]]),MONTH(datos_siembra[[#This Row],[Date]]),1))+1</f>
        <v>3</v>
      </c>
      <c r="S4050">
        <f>MONTH(datos_siembra[[#This Row],[Date]])</f>
        <v>10</v>
      </c>
      <c r="T4050" t="str" cm="1">
        <f t="array" ref="T4050">_xlfn.IFS(AND(N4050&lt;= 22, S4050=9), "SOWING",AND(N4050&lt;= 28, S4050=9), "COVERAGE",AND(N4050&lt;= 30, S4050=9), "FLUSH",AND(N4050&lt;= 11, S4050=10), "FLUSH",AND(N4050&lt;= 21, S4050=10), "PRODUCTION")</f>
        <v>PRODUCTION</v>
      </c>
      <c r="U4050">
        <f>HOUR(datos_siembra[[#This Row],[Hour]])</f>
        <v>19</v>
      </c>
      <c r="V4050" cm="1">
        <f t="array" ref="V4050">_xlfn.IFS(AND(N4050&lt;= 22, S4050=9), N4050-7,AND(N4050&lt;= 28, S4050=9), N4050-25,AND(N4050&lt;= 30, S4050=9), N4050-28,AND(N4050&lt;= 11, S4050=10), N4050+2,AND(N4050&lt;= 21, S4050=10), N4050-11)</f>
        <v>5</v>
      </c>
    </row>
    <row r="4051" spans="1:22" x14ac:dyDescent="0.35">
      <c r="A4051" s="4">
        <v>45581</v>
      </c>
      <c r="B4051" s="5">
        <v>0.80189814814814819</v>
      </c>
      <c r="C4051">
        <v>65</v>
      </c>
      <c r="D4051">
        <v>65.400000000000006</v>
      </c>
      <c r="E4051">
        <v>65</v>
      </c>
      <c r="F4051">
        <v>65.5</v>
      </c>
      <c r="G4051">
        <v>0</v>
      </c>
      <c r="H4051">
        <v>0</v>
      </c>
      <c r="I4051">
        <v>0</v>
      </c>
      <c r="J4051">
        <v>0</v>
      </c>
      <c r="K4051">
        <v>62.9</v>
      </c>
      <c r="L4051">
        <v>63.3</v>
      </c>
      <c r="M4051">
        <v>65.22</v>
      </c>
      <c r="N4051">
        <v>16</v>
      </c>
      <c r="O4051">
        <v>1</v>
      </c>
      <c r="P4051">
        <f>MOD(DAY(datos_siembra[[#This Row],[Date]]),7)</f>
        <v>2</v>
      </c>
      <c r="Q4051" t="str">
        <f>CHOOSE(WEEKDAY(datos_siembra[[#This Row],[Date]],2),"L","M","X","J","V","S","D")</f>
        <v>X</v>
      </c>
      <c r="R4051">
        <f>WEEKNUM(datos_siembra[[#This Row],[Date]],2)-WEEKNUM(DATE(YEAR(datos_siembra[[#This Row],[Date]]),MONTH(datos_siembra[[#This Row],[Date]]),1))+1</f>
        <v>3</v>
      </c>
      <c r="S4051">
        <f>MONTH(datos_siembra[[#This Row],[Date]])</f>
        <v>10</v>
      </c>
      <c r="T4051" t="str" cm="1">
        <f t="array" ref="T4051">_xlfn.IFS(AND(N4051&lt;= 22, S4051=9), "SOWING",AND(N4051&lt;= 28, S4051=9), "COVERAGE",AND(N4051&lt;= 30, S4051=9), "FLUSH",AND(N4051&lt;= 11, S4051=10), "FLUSH",AND(N4051&lt;= 21, S4051=10), "PRODUCTION")</f>
        <v>PRODUCTION</v>
      </c>
      <c r="U4051">
        <f>HOUR(datos_siembra[[#This Row],[Hour]])</f>
        <v>19</v>
      </c>
      <c r="V4051" cm="1">
        <f t="array" ref="V4051">_xlfn.IFS(AND(N4051&lt;= 22, S4051=9), N4051-7,AND(N4051&lt;= 28, S4051=9), N4051-25,AND(N4051&lt;= 30, S4051=9), N4051-28,AND(N4051&lt;= 11, S4051=10), N4051+2,AND(N4051&lt;= 21, S4051=10), N4051-11)</f>
        <v>5</v>
      </c>
    </row>
    <row r="4052" spans="1:22" x14ac:dyDescent="0.35">
      <c r="A4052" s="4">
        <v>45581</v>
      </c>
      <c r="B4052" s="5">
        <v>0.80884259259259261</v>
      </c>
      <c r="C4052">
        <v>65</v>
      </c>
      <c r="D4052">
        <v>65.5</v>
      </c>
      <c r="E4052">
        <v>65</v>
      </c>
      <c r="F4052">
        <v>65.3</v>
      </c>
      <c r="G4052">
        <v>0</v>
      </c>
      <c r="H4052">
        <v>0</v>
      </c>
      <c r="I4052">
        <v>0</v>
      </c>
      <c r="J4052">
        <v>0</v>
      </c>
      <c r="K4052">
        <v>62.9</v>
      </c>
      <c r="L4052">
        <v>63.2</v>
      </c>
      <c r="M4052">
        <v>65.16</v>
      </c>
      <c r="N4052">
        <v>16</v>
      </c>
      <c r="O4052">
        <v>1</v>
      </c>
      <c r="P4052">
        <f>MOD(DAY(datos_siembra[[#This Row],[Date]]),7)</f>
        <v>2</v>
      </c>
      <c r="Q4052" t="str">
        <f>CHOOSE(WEEKDAY(datos_siembra[[#This Row],[Date]],2),"L","M","X","J","V","S","D")</f>
        <v>X</v>
      </c>
      <c r="R4052">
        <f>WEEKNUM(datos_siembra[[#This Row],[Date]],2)-WEEKNUM(DATE(YEAR(datos_siembra[[#This Row],[Date]]),MONTH(datos_siembra[[#This Row],[Date]]),1))+1</f>
        <v>3</v>
      </c>
      <c r="S4052">
        <f>MONTH(datos_siembra[[#This Row],[Date]])</f>
        <v>10</v>
      </c>
      <c r="T4052" t="str" cm="1">
        <f t="array" ref="T4052">_xlfn.IFS(AND(N4052&lt;= 22, S4052=9), "SOWING",AND(N4052&lt;= 28, S4052=9), "COVERAGE",AND(N4052&lt;= 30, S4052=9), "FLUSH",AND(N4052&lt;= 11, S4052=10), "FLUSH",AND(N4052&lt;= 21, S4052=10), "PRODUCTION")</f>
        <v>PRODUCTION</v>
      </c>
      <c r="U4052">
        <f>HOUR(datos_siembra[[#This Row],[Hour]])</f>
        <v>19</v>
      </c>
      <c r="V4052" cm="1">
        <f t="array" ref="V4052">_xlfn.IFS(AND(N4052&lt;= 22, S4052=9), N4052-7,AND(N4052&lt;= 28, S4052=9), N4052-25,AND(N4052&lt;= 30, S4052=9), N4052-28,AND(N4052&lt;= 11, S4052=10), N4052+2,AND(N4052&lt;= 21, S4052=10), N4052-11)</f>
        <v>5</v>
      </c>
    </row>
    <row r="4053" spans="1:22" x14ac:dyDescent="0.35">
      <c r="A4053" s="4">
        <v>45581</v>
      </c>
      <c r="B4053" s="5">
        <v>0.81579861111111107</v>
      </c>
      <c r="C4053">
        <v>65.099999999999994</v>
      </c>
      <c r="D4053">
        <v>65.400000000000006</v>
      </c>
      <c r="E4053">
        <v>65.099999999999994</v>
      </c>
      <c r="F4053">
        <v>65.3</v>
      </c>
      <c r="G4053">
        <v>0</v>
      </c>
      <c r="H4053">
        <v>0</v>
      </c>
      <c r="I4053">
        <v>0</v>
      </c>
      <c r="J4053">
        <v>0</v>
      </c>
      <c r="K4053">
        <v>62.9</v>
      </c>
      <c r="L4053">
        <v>63.3</v>
      </c>
      <c r="M4053">
        <v>65.22</v>
      </c>
      <c r="N4053">
        <v>16</v>
      </c>
      <c r="O4053">
        <v>1</v>
      </c>
      <c r="P4053">
        <f>MOD(DAY(datos_siembra[[#This Row],[Date]]),7)</f>
        <v>2</v>
      </c>
      <c r="Q4053" t="str">
        <f>CHOOSE(WEEKDAY(datos_siembra[[#This Row],[Date]],2),"L","M","X","J","V","S","D")</f>
        <v>X</v>
      </c>
      <c r="R4053">
        <f>WEEKNUM(datos_siembra[[#This Row],[Date]],2)-WEEKNUM(DATE(YEAR(datos_siembra[[#This Row],[Date]]),MONTH(datos_siembra[[#This Row],[Date]]),1))+1</f>
        <v>3</v>
      </c>
      <c r="S4053">
        <f>MONTH(datos_siembra[[#This Row],[Date]])</f>
        <v>10</v>
      </c>
      <c r="T4053" t="str" cm="1">
        <f t="array" ref="T4053">_xlfn.IFS(AND(N4053&lt;= 22, S4053=9), "SOWING",AND(N4053&lt;= 28, S4053=9), "COVERAGE",AND(N4053&lt;= 30, S4053=9), "FLUSH",AND(N4053&lt;= 11, S4053=10), "FLUSH",AND(N4053&lt;= 21, S4053=10), "PRODUCTION")</f>
        <v>PRODUCTION</v>
      </c>
      <c r="U4053">
        <f>HOUR(datos_siembra[[#This Row],[Hour]])</f>
        <v>19</v>
      </c>
      <c r="V4053" cm="1">
        <f t="array" ref="V4053">_xlfn.IFS(AND(N4053&lt;= 22, S4053=9), N4053-7,AND(N4053&lt;= 28, S4053=9), N4053-25,AND(N4053&lt;= 30, S4053=9), N4053-28,AND(N4053&lt;= 11, S4053=10), N4053+2,AND(N4053&lt;= 21, S4053=10), N4053-11)</f>
        <v>5</v>
      </c>
    </row>
    <row r="4054" spans="1:22" x14ac:dyDescent="0.35">
      <c r="A4054" s="4">
        <v>45581</v>
      </c>
      <c r="B4054" s="5">
        <v>0.8227430555555556</v>
      </c>
      <c r="C4054">
        <v>65.099999999999994</v>
      </c>
      <c r="D4054">
        <v>65.400000000000006</v>
      </c>
      <c r="E4054">
        <v>65</v>
      </c>
      <c r="F4054">
        <v>65.400000000000006</v>
      </c>
      <c r="G4054">
        <v>0</v>
      </c>
      <c r="H4054">
        <v>0</v>
      </c>
      <c r="I4054">
        <v>0</v>
      </c>
      <c r="J4054">
        <v>0</v>
      </c>
      <c r="K4054">
        <v>62.8</v>
      </c>
      <c r="L4054">
        <v>63.2</v>
      </c>
      <c r="M4054">
        <v>65.22</v>
      </c>
      <c r="N4054">
        <v>16</v>
      </c>
      <c r="O4054">
        <v>1</v>
      </c>
      <c r="P4054">
        <f>MOD(DAY(datos_siembra[[#This Row],[Date]]),7)</f>
        <v>2</v>
      </c>
      <c r="Q4054" t="str">
        <f>CHOOSE(WEEKDAY(datos_siembra[[#This Row],[Date]],2),"L","M","X","J","V","S","D")</f>
        <v>X</v>
      </c>
      <c r="R4054">
        <f>WEEKNUM(datos_siembra[[#This Row],[Date]],2)-WEEKNUM(DATE(YEAR(datos_siembra[[#This Row],[Date]]),MONTH(datos_siembra[[#This Row],[Date]]),1))+1</f>
        <v>3</v>
      </c>
      <c r="S4054">
        <f>MONTH(datos_siembra[[#This Row],[Date]])</f>
        <v>10</v>
      </c>
      <c r="T4054" t="str" cm="1">
        <f t="array" ref="T4054">_xlfn.IFS(AND(N4054&lt;= 22, S4054=9), "SOWING",AND(N4054&lt;= 28, S4054=9), "COVERAGE",AND(N4054&lt;= 30, S4054=9), "FLUSH",AND(N4054&lt;= 11, S4054=10), "FLUSH",AND(N4054&lt;= 21, S4054=10), "PRODUCTION")</f>
        <v>PRODUCTION</v>
      </c>
      <c r="U4054">
        <f>HOUR(datos_siembra[[#This Row],[Hour]])</f>
        <v>19</v>
      </c>
      <c r="V4054" cm="1">
        <f t="array" ref="V4054">_xlfn.IFS(AND(N4054&lt;= 22, S4054=9), N4054-7,AND(N4054&lt;= 28, S4054=9), N4054-25,AND(N4054&lt;= 30, S4054=9), N4054-28,AND(N4054&lt;= 11, S4054=10), N4054+2,AND(N4054&lt;= 21, S4054=10), N4054-11)</f>
        <v>5</v>
      </c>
    </row>
    <row r="4055" spans="1:22" x14ac:dyDescent="0.35">
      <c r="A4055" s="4">
        <v>45581</v>
      </c>
      <c r="B4055" s="5">
        <v>0.82968750000000002</v>
      </c>
      <c r="C4055">
        <v>65</v>
      </c>
      <c r="D4055">
        <v>65.5</v>
      </c>
      <c r="E4055">
        <v>65.099999999999994</v>
      </c>
      <c r="F4055">
        <v>65.3</v>
      </c>
      <c r="G4055">
        <v>0</v>
      </c>
      <c r="H4055">
        <v>0</v>
      </c>
      <c r="I4055">
        <v>0</v>
      </c>
      <c r="J4055">
        <v>0</v>
      </c>
      <c r="K4055">
        <v>62.9</v>
      </c>
      <c r="L4055">
        <v>63.2</v>
      </c>
      <c r="M4055">
        <v>65.22</v>
      </c>
      <c r="N4055">
        <v>16</v>
      </c>
      <c r="O4055">
        <v>1</v>
      </c>
      <c r="P4055">
        <f>MOD(DAY(datos_siembra[[#This Row],[Date]]),7)</f>
        <v>2</v>
      </c>
      <c r="Q4055" t="str">
        <f>CHOOSE(WEEKDAY(datos_siembra[[#This Row],[Date]],2),"L","M","X","J","V","S","D")</f>
        <v>X</v>
      </c>
      <c r="R4055">
        <f>WEEKNUM(datos_siembra[[#This Row],[Date]],2)-WEEKNUM(DATE(YEAR(datos_siembra[[#This Row],[Date]]),MONTH(datos_siembra[[#This Row],[Date]]),1))+1</f>
        <v>3</v>
      </c>
      <c r="S4055">
        <f>MONTH(datos_siembra[[#This Row],[Date]])</f>
        <v>10</v>
      </c>
      <c r="T4055" t="str" cm="1">
        <f t="array" ref="T4055">_xlfn.IFS(AND(N4055&lt;= 22, S4055=9), "SOWING",AND(N4055&lt;= 28, S4055=9), "COVERAGE",AND(N4055&lt;= 30, S4055=9), "FLUSH",AND(N4055&lt;= 11, S4055=10), "FLUSH",AND(N4055&lt;= 21, S4055=10), "PRODUCTION")</f>
        <v>PRODUCTION</v>
      </c>
      <c r="U4055">
        <f>HOUR(datos_siembra[[#This Row],[Hour]])</f>
        <v>19</v>
      </c>
      <c r="V4055" cm="1">
        <f t="array" ref="V4055">_xlfn.IFS(AND(N4055&lt;= 22, S4055=9), N4055-7,AND(N4055&lt;= 28, S4055=9), N4055-25,AND(N4055&lt;= 30, S4055=9), N4055-28,AND(N4055&lt;= 11, S4055=10), N4055+2,AND(N4055&lt;= 21, S4055=10), N4055-11)</f>
        <v>5</v>
      </c>
    </row>
    <row r="4056" spans="1:22" x14ac:dyDescent="0.35">
      <c r="A4056" s="4">
        <v>45581</v>
      </c>
      <c r="B4056" s="5">
        <v>0.83664351851851848</v>
      </c>
      <c r="C4056">
        <v>65.099999999999994</v>
      </c>
      <c r="D4056">
        <v>65.5</v>
      </c>
      <c r="E4056">
        <v>65</v>
      </c>
      <c r="F4056">
        <v>65.2</v>
      </c>
      <c r="G4056">
        <v>0</v>
      </c>
      <c r="H4056">
        <v>0</v>
      </c>
      <c r="I4056">
        <v>0</v>
      </c>
      <c r="J4056">
        <v>0</v>
      </c>
      <c r="K4056">
        <v>62.8</v>
      </c>
      <c r="L4056">
        <v>63.2</v>
      </c>
      <c r="M4056">
        <v>65.22</v>
      </c>
      <c r="N4056">
        <v>16</v>
      </c>
      <c r="O4056">
        <v>1</v>
      </c>
      <c r="P4056">
        <f>MOD(DAY(datos_siembra[[#This Row],[Date]]),7)</f>
        <v>2</v>
      </c>
      <c r="Q4056" t="str">
        <f>CHOOSE(WEEKDAY(datos_siembra[[#This Row],[Date]],2),"L","M","X","J","V","S","D")</f>
        <v>X</v>
      </c>
      <c r="R4056">
        <f>WEEKNUM(datos_siembra[[#This Row],[Date]],2)-WEEKNUM(DATE(YEAR(datos_siembra[[#This Row],[Date]]),MONTH(datos_siembra[[#This Row],[Date]]),1))+1</f>
        <v>3</v>
      </c>
      <c r="S4056">
        <f>MONTH(datos_siembra[[#This Row],[Date]])</f>
        <v>10</v>
      </c>
      <c r="T4056" t="str" cm="1">
        <f t="array" ref="T4056">_xlfn.IFS(AND(N4056&lt;= 22, S4056=9), "SOWING",AND(N4056&lt;= 28, S4056=9), "COVERAGE",AND(N4056&lt;= 30, S4056=9), "FLUSH",AND(N4056&lt;= 11, S4056=10), "FLUSH",AND(N4056&lt;= 21, S4056=10), "PRODUCTION")</f>
        <v>PRODUCTION</v>
      </c>
      <c r="U4056">
        <f>HOUR(datos_siembra[[#This Row],[Hour]])</f>
        <v>20</v>
      </c>
      <c r="V4056" cm="1">
        <f t="array" ref="V4056">_xlfn.IFS(AND(N4056&lt;= 22, S4056=9), N4056-7,AND(N4056&lt;= 28, S4056=9), N4056-25,AND(N4056&lt;= 30, S4056=9), N4056-28,AND(N4056&lt;= 11, S4056=10), N4056+2,AND(N4056&lt;= 21, S4056=10), N4056-11)</f>
        <v>5</v>
      </c>
    </row>
    <row r="4057" spans="1:22" x14ac:dyDescent="0.35">
      <c r="A4057" s="4">
        <v>45581</v>
      </c>
      <c r="B4057" s="5">
        <v>0.84358796296296301</v>
      </c>
      <c r="C4057">
        <v>65.2</v>
      </c>
      <c r="D4057">
        <v>65.5</v>
      </c>
      <c r="E4057">
        <v>65</v>
      </c>
      <c r="F4057">
        <v>65.3</v>
      </c>
      <c r="G4057">
        <v>0</v>
      </c>
      <c r="H4057">
        <v>0</v>
      </c>
      <c r="I4057">
        <v>0</v>
      </c>
      <c r="J4057">
        <v>0</v>
      </c>
      <c r="K4057">
        <v>62.9</v>
      </c>
      <c r="L4057">
        <v>63.2</v>
      </c>
      <c r="M4057">
        <v>65.22</v>
      </c>
      <c r="N4057">
        <v>16</v>
      </c>
      <c r="O4057">
        <v>1</v>
      </c>
      <c r="P4057">
        <f>MOD(DAY(datos_siembra[[#This Row],[Date]]),7)</f>
        <v>2</v>
      </c>
      <c r="Q4057" t="str">
        <f>CHOOSE(WEEKDAY(datos_siembra[[#This Row],[Date]],2),"L","M","X","J","V","S","D")</f>
        <v>X</v>
      </c>
      <c r="R4057">
        <f>WEEKNUM(datos_siembra[[#This Row],[Date]],2)-WEEKNUM(DATE(YEAR(datos_siembra[[#This Row],[Date]]),MONTH(datos_siembra[[#This Row],[Date]]),1))+1</f>
        <v>3</v>
      </c>
      <c r="S4057">
        <f>MONTH(datos_siembra[[#This Row],[Date]])</f>
        <v>10</v>
      </c>
      <c r="T4057" t="str" cm="1">
        <f t="array" ref="T4057">_xlfn.IFS(AND(N4057&lt;= 22, S4057=9), "SOWING",AND(N4057&lt;= 28, S4057=9), "COVERAGE",AND(N4057&lt;= 30, S4057=9), "FLUSH",AND(N4057&lt;= 11, S4057=10), "FLUSH",AND(N4057&lt;= 21, S4057=10), "PRODUCTION")</f>
        <v>PRODUCTION</v>
      </c>
      <c r="U4057">
        <f>HOUR(datos_siembra[[#This Row],[Hour]])</f>
        <v>20</v>
      </c>
      <c r="V4057" cm="1">
        <f t="array" ref="V4057">_xlfn.IFS(AND(N4057&lt;= 22, S4057=9), N4057-7,AND(N4057&lt;= 28, S4057=9), N4057-25,AND(N4057&lt;= 30, S4057=9), N4057-28,AND(N4057&lt;= 11, S4057=10), N4057+2,AND(N4057&lt;= 21, S4057=10), N4057-11)</f>
        <v>5</v>
      </c>
    </row>
    <row r="4058" spans="1:22" x14ac:dyDescent="0.35">
      <c r="A4058" s="4">
        <v>45581</v>
      </c>
      <c r="B4058" s="5">
        <v>0.85053240740740743</v>
      </c>
      <c r="C4058">
        <v>65.099999999999994</v>
      </c>
      <c r="D4058">
        <v>65.5</v>
      </c>
      <c r="E4058">
        <v>65.2</v>
      </c>
      <c r="F4058">
        <v>65.400000000000006</v>
      </c>
      <c r="G4058">
        <v>0</v>
      </c>
      <c r="H4058">
        <v>0</v>
      </c>
      <c r="I4058">
        <v>0</v>
      </c>
      <c r="J4058">
        <v>0</v>
      </c>
      <c r="K4058">
        <v>62.8</v>
      </c>
      <c r="L4058">
        <v>63.2</v>
      </c>
      <c r="M4058">
        <v>65.22</v>
      </c>
      <c r="N4058">
        <v>16</v>
      </c>
      <c r="O4058">
        <v>1</v>
      </c>
      <c r="P4058">
        <f>MOD(DAY(datos_siembra[[#This Row],[Date]]),7)</f>
        <v>2</v>
      </c>
      <c r="Q4058" t="str">
        <f>CHOOSE(WEEKDAY(datos_siembra[[#This Row],[Date]],2),"L","M","X","J","V","S","D")</f>
        <v>X</v>
      </c>
      <c r="R4058">
        <f>WEEKNUM(datos_siembra[[#This Row],[Date]],2)-WEEKNUM(DATE(YEAR(datos_siembra[[#This Row],[Date]]),MONTH(datos_siembra[[#This Row],[Date]]),1))+1</f>
        <v>3</v>
      </c>
      <c r="S4058">
        <f>MONTH(datos_siembra[[#This Row],[Date]])</f>
        <v>10</v>
      </c>
      <c r="T4058" t="str" cm="1">
        <f t="array" ref="T4058">_xlfn.IFS(AND(N4058&lt;= 22, S4058=9), "SOWING",AND(N4058&lt;= 28, S4058=9), "COVERAGE",AND(N4058&lt;= 30, S4058=9), "FLUSH",AND(N4058&lt;= 11, S4058=10), "FLUSH",AND(N4058&lt;= 21, S4058=10), "PRODUCTION")</f>
        <v>PRODUCTION</v>
      </c>
      <c r="U4058">
        <f>HOUR(datos_siembra[[#This Row],[Hour]])</f>
        <v>20</v>
      </c>
      <c r="V4058" cm="1">
        <f t="array" ref="V4058">_xlfn.IFS(AND(N4058&lt;= 22, S4058=9), N4058-7,AND(N4058&lt;= 28, S4058=9), N4058-25,AND(N4058&lt;= 30, S4058=9), N4058-28,AND(N4058&lt;= 11, S4058=10), N4058+2,AND(N4058&lt;= 21, S4058=10), N4058-11)</f>
        <v>5</v>
      </c>
    </row>
    <row r="4059" spans="1:22" x14ac:dyDescent="0.35">
      <c r="A4059" s="4">
        <v>45581</v>
      </c>
      <c r="B4059" s="5">
        <v>0.85747685185185185</v>
      </c>
      <c r="C4059">
        <v>65.099999999999994</v>
      </c>
      <c r="D4059">
        <v>65.5</v>
      </c>
      <c r="E4059">
        <v>65</v>
      </c>
      <c r="F4059">
        <v>65.3</v>
      </c>
      <c r="G4059">
        <v>0</v>
      </c>
      <c r="H4059">
        <v>0</v>
      </c>
      <c r="I4059">
        <v>0</v>
      </c>
      <c r="J4059">
        <v>0</v>
      </c>
      <c r="K4059">
        <v>62.8</v>
      </c>
      <c r="L4059">
        <v>63.2</v>
      </c>
      <c r="M4059">
        <v>65.19</v>
      </c>
      <c r="N4059">
        <v>16</v>
      </c>
      <c r="O4059">
        <v>1</v>
      </c>
      <c r="P4059">
        <f>MOD(DAY(datos_siembra[[#This Row],[Date]]),7)</f>
        <v>2</v>
      </c>
      <c r="Q4059" t="str">
        <f>CHOOSE(WEEKDAY(datos_siembra[[#This Row],[Date]],2),"L","M","X","J","V","S","D")</f>
        <v>X</v>
      </c>
      <c r="R4059">
        <f>WEEKNUM(datos_siembra[[#This Row],[Date]],2)-WEEKNUM(DATE(YEAR(datos_siembra[[#This Row],[Date]]),MONTH(datos_siembra[[#This Row],[Date]]),1))+1</f>
        <v>3</v>
      </c>
      <c r="S4059">
        <f>MONTH(datos_siembra[[#This Row],[Date]])</f>
        <v>10</v>
      </c>
      <c r="T4059" t="str" cm="1">
        <f t="array" ref="T4059">_xlfn.IFS(AND(N4059&lt;= 22, S4059=9), "SOWING",AND(N4059&lt;= 28, S4059=9), "COVERAGE",AND(N4059&lt;= 30, S4059=9), "FLUSH",AND(N4059&lt;= 11, S4059=10), "FLUSH",AND(N4059&lt;= 21, S4059=10), "PRODUCTION")</f>
        <v>PRODUCTION</v>
      </c>
      <c r="U4059">
        <f>HOUR(datos_siembra[[#This Row],[Hour]])</f>
        <v>20</v>
      </c>
      <c r="V4059" cm="1">
        <f t="array" ref="V4059">_xlfn.IFS(AND(N4059&lt;= 22, S4059=9), N4059-7,AND(N4059&lt;= 28, S4059=9), N4059-25,AND(N4059&lt;= 30, S4059=9), N4059-28,AND(N4059&lt;= 11, S4059=10), N4059+2,AND(N4059&lt;= 21, S4059=10), N4059-11)</f>
        <v>5</v>
      </c>
    </row>
    <row r="4060" spans="1:22" x14ac:dyDescent="0.35">
      <c r="A4060" s="4">
        <v>45581</v>
      </c>
      <c r="B4060" s="5">
        <v>0.86443287037037042</v>
      </c>
      <c r="C4060">
        <v>65</v>
      </c>
      <c r="D4060">
        <v>65.599999999999994</v>
      </c>
      <c r="E4060">
        <v>65.099999999999994</v>
      </c>
      <c r="F4060">
        <v>65.5</v>
      </c>
      <c r="G4060">
        <v>0</v>
      </c>
      <c r="H4060">
        <v>0</v>
      </c>
      <c r="I4060">
        <v>0</v>
      </c>
      <c r="J4060">
        <v>0</v>
      </c>
      <c r="K4060">
        <v>62.8</v>
      </c>
      <c r="L4060">
        <v>63</v>
      </c>
      <c r="M4060">
        <v>65.3</v>
      </c>
      <c r="N4060">
        <v>16</v>
      </c>
      <c r="O4060">
        <v>1</v>
      </c>
      <c r="P4060">
        <f>MOD(DAY(datos_siembra[[#This Row],[Date]]),7)</f>
        <v>2</v>
      </c>
      <c r="Q4060" t="str">
        <f>CHOOSE(WEEKDAY(datos_siembra[[#This Row],[Date]],2),"L","M","X","J","V","S","D")</f>
        <v>X</v>
      </c>
      <c r="R4060">
        <f>WEEKNUM(datos_siembra[[#This Row],[Date]],2)-WEEKNUM(DATE(YEAR(datos_siembra[[#This Row],[Date]]),MONTH(datos_siembra[[#This Row],[Date]]),1))+1</f>
        <v>3</v>
      </c>
      <c r="S4060">
        <f>MONTH(datos_siembra[[#This Row],[Date]])</f>
        <v>10</v>
      </c>
      <c r="T4060" t="str" cm="1">
        <f t="array" ref="T4060">_xlfn.IFS(AND(N4060&lt;= 22, S4060=9), "SOWING",AND(N4060&lt;= 28, S4060=9), "COVERAGE",AND(N4060&lt;= 30, S4060=9), "FLUSH",AND(N4060&lt;= 11, S4060=10), "FLUSH",AND(N4060&lt;= 21, S4060=10), "PRODUCTION")</f>
        <v>PRODUCTION</v>
      </c>
      <c r="U4060">
        <f>HOUR(datos_siembra[[#This Row],[Hour]])</f>
        <v>20</v>
      </c>
      <c r="V4060" cm="1">
        <f t="array" ref="V4060">_xlfn.IFS(AND(N4060&lt;= 22, S4060=9), N4060-7,AND(N4060&lt;= 28, S4060=9), N4060-25,AND(N4060&lt;= 30, S4060=9), N4060-28,AND(N4060&lt;= 11, S4060=10), N4060+2,AND(N4060&lt;= 21, S4060=10), N4060-11)</f>
        <v>5</v>
      </c>
    </row>
    <row r="4061" spans="1:22" x14ac:dyDescent="0.35">
      <c r="A4061" s="4">
        <v>45581</v>
      </c>
      <c r="B4061" s="5">
        <v>0.87137731481481484</v>
      </c>
      <c r="C4061">
        <v>65</v>
      </c>
      <c r="D4061">
        <v>65.5</v>
      </c>
      <c r="E4061">
        <v>65.099999999999994</v>
      </c>
      <c r="F4061">
        <v>65.400000000000006</v>
      </c>
      <c r="G4061">
        <v>0</v>
      </c>
      <c r="H4061">
        <v>0</v>
      </c>
      <c r="I4061">
        <v>0</v>
      </c>
      <c r="J4061">
        <v>0</v>
      </c>
      <c r="K4061">
        <v>62.8</v>
      </c>
      <c r="L4061">
        <v>63.2</v>
      </c>
      <c r="M4061">
        <v>65.3</v>
      </c>
      <c r="N4061">
        <v>16</v>
      </c>
      <c r="O4061">
        <v>1</v>
      </c>
      <c r="P4061">
        <f>MOD(DAY(datos_siembra[[#This Row],[Date]]),7)</f>
        <v>2</v>
      </c>
      <c r="Q4061" t="str">
        <f>CHOOSE(WEEKDAY(datos_siembra[[#This Row],[Date]],2),"L","M","X","J","V","S","D")</f>
        <v>X</v>
      </c>
      <c r="R4061">
        <f>WEEKNUM(datos_siembra[[#This Row],[Date]],2)-WEEKNUM(DATE(YEAR(datos_siembra[[#This Row],[Date]]),MONTH(datos_siembra[[#This Row],[Date]]),1))+1</f>
        <v>3</v>
      </c>
      <c r="S4061">
        <f>MONTH(datos_siembra[[#This Row],[Date]])</f>
        <v>10</v>
      </c>
      <c r="T4061" t="str" cm="1">
        <f t="array" ref="T4061">_xlfn.IFS(AND(N4061&lt;= 22, S4061=9), "SOWING",AND(N4061&lt;= 28, S4061=9), "COVERAGE",AND(N4061&lt;= 30, S4061=9), "FLUSH",AND(N4061&lt;= 11, S4061=10), "FLUSH",AND(N4061&lt;= 21, S4061=10), "PRODUCTION")</f>
        <v>PRODUCTION</v>
      </c>
      <c r="U4061">
        <f>HOUR(datos_siembra[[#This Row],[Hour]])</f>
        <v>20</v>
      </c>
      <c r="V4061" cm="1">
        <f t="array" ref="V4061">_xlfn.IFS(AND(N4061&lt;= 22, S4061=9), N4061-7,AND(N4061&lt;= 28, S4061=9), N4061-25,AND(N4061&lt;= 30, S4061=9), N4061-28,AND(N4061&lt;= 11, S4061=10), N4061+2,AND(N4061&lt;= 21, S4061=10), N4061-11)</f>
        <v>5</v>
      </c>
    </row>
    <row r="4062" spans="1:22" x14ac:dyDescent="0.35">
      <c r="A4062" s="4">
        <v>45581</v>
      </c>
      <c r="B4062" s="5">
        <v>0.87832175925925926</v>
      </c>
      <c r="C4062">
        <v>64.900000000000006</v>
      </c>
      <c r="D4062">
        <v>65.5</v>
      </c>
      <c r="E4062">
        <v>65.2</v>
      </c>
      <c r="F4062">
        <v>65.400000000000006</v>
      </c>
      <c r="G4062">
        <v>0</v>
      </c>
      <c r="H4062">
        <v>0</v>
      </c>
      <c r="I4062">
        <v>0</v>
      </c>
      <c r="J4062">
        <v>0</v>
      </c>
      <c r="K4062">
        <v>62.7</v>
      </c>
      <c r="L4062">
        <v>63</v>
      </c>
      <c r="M4062">
        <v>65.19</v>
      </c>
      <c r="N4062">
        <v>16</v>
      </c>
      <c r="O4062">
        <v>1</v>
      </c>
      <c r="P4062">
        <f>MOD(DAY(datos_siembra[[#This Row],[Date]]),7)</f>
        <v>2</v>
      </c>
      <c r="Q4062" t="str">
        <f>CHOOSE(WEEKDAY(datos_siembra[[#This Row],[Date]],2),"L","M","X","J","V","S","D")</f>
        <v>X</v>
      </c>
      <c r="R4062">
        <f>WEEKNUM(datos_siembra[[#This Row],[Date]],2)-WEEKNUM(DATE(YEAR(datos_siembra[[#This Row],[Date]]),MONTH(datos_siembra[[#This Row],[Date]]),1))+1</f>
        <v>3</v>
      </c>
      <c r="S4062">
        <f>MONTH(datos_siembra[[#This Row],[Date]])</f>
        <v>10</v>
      </c>
      <c r="T4062" t="str" cm="1">
        <f t="array" ref="T4062">_xlfn.IFS(AND(N4062&lt;= 22, S4062=9), "SOWING",AND(N4062&lt;= 28, S4062=9), "COVERAGE",AND(N4062&lt;= 30, S4062=9), "FLUSH",AND(N4062&lt;= 11, S4062=10), "FLUSH",AND(N4062&lt;= 21, S4062=10), "PRODUCTION")</f>
        <v>PRODUCTION</v>
      </c>
      <c r="U4062">
        <f>HOUR(datos_siembra[[#This Row],[Hour]])</f>
        <v>21</v>
      </c>
      <c r="V4062" cm="1">
        <f t="array" ref="V4062">_xlfn.IFS(AND(N4062&lt;= 22, S4062=9), N4062-7,AND(N4062&lt;= 28, S4062=9), N4062-25,AND(N4062&lt;= 30, S4062=9), N4062-28,AND(N4062&lt;= 11, S4062=10), N4062+2,AND(N4062&lt;= 21, S4062=10), N4062-11)</f>
        <v>5</v>
      </c>
    </row>
    <row r="4063" spans="1:22" x14ac:dyDescent="0.35">
      <c r="A4063" s="4">
        <v>45581</v>
      </c>
      <c r="B4063" s="5">
        <v>0.88527777777777783</v>
      </c>
      <c r="C4063">
        <v>65</v>
      </c>
      <c r="D4063">
        <v>65.599999999999994</v>
      </c>
      <c r="E4063">
        <v>65.099999999999994</v>
      </c>
      <c r="F4063">
        <v>65.3</v>
      </c>
      <c r="G4063">
        <v>0</v>
      </c>
      <c r="H4063">
        <v>0</v>
      </c>
      <c r="I4063">
        <v>0</v>
      </c>
      <c r="J4063">
        <v>0</v>
      </c>
      <c r="K4063">
        <v>62.7</v>
      </c>
      <c r="L4063">
        <v>63</v>
      </c>
      <c r="M4063">
        <v>65.22</v>
      </c>
      <c r="N4063">
        <v>16</v>
      </c>
      <c r="O4063">
        <v>1</v>
      </c>
      <c r="P4063">
        <f>MOD(DAY(datos_siembra[[#This Row],[Date]]),7)</f>
        <v>2</v>
      </c>
      <c r="Q4063" t="str">
        <f>CHOOSE(WEEKDAY(datos_siembra[[#This Row],[Date]],2),"L","M","X","J","V","S","D")</f>
        <v>X</v>
      </c>
      <c r="R4063">
        <f>WEEKNUM(datos_siembra[[#This Row],[Date]],2)-WEEKNUM(DATE(YEAR(datos_siembra[[#This Row],[Date]]),MONTH(datos_siembra[[#This Row],[Date]]),1))+1</f>
        <v>3</v>
      </c>
      <c r="S4063">
        <f>MONTH(datos_siembra[[#This Row],[Date]])</f>
        <v>10</v>
      </c>
      <c r="T4063" t="str" cm="1">
        <f t="array" ref="T4063">_xlfn.IFS(AND(N4063&lt;= 22, S4063=9), "SOWING",AND(N4063&lt;= 28, S4063=9), "COVERAGE",AND(N4063&lt;= 30, S4063=9), "FLUSH",AND(N4063&lt;= 11, S4063=10), "FLUSH",AND(N4063&lt;= 21, S4063=10), "PRODUCTION")</f>
        <v>PRODUCTION</v>
      </c>
      <c r="U4063">
        <f>HOUR(datos_siembra[[#This Row],[Hour]])</f>
        <v>21</v>
      </c>
      <c r="V4063" cm="1">
        <f t="array" ref="V4063">_xlfn.IFS(AND(N4063&lt;= 22, S4063=9), N4063-7,AND(N4063&lt;= 28, S4063=9), N4063-25,AND(N4063&lt;= 30, S4063=9), N4063-28,AND(N4063&lt;= 11, S4063=10), N4063+2,AND(N4063&lt;= 21, S4063=10), N4063-11)</f>
        <v>5</v>
      </c>
    </row>
    <row r="4064" spans="1:22" x14ac:dyDescent="0.35">
      <c r="A4064" s="4">
        <v>45581</v>
      </c>
      <c r="B4064" s="5">
        <v>0.89222222222222225</v>
      </c>
      <c r="C4064">
        <v>65</v>
      </c>
      <c r="D4064">
        <v>65.8</v>
      </c>
      <c r="E4064">
        <v>65.2</v>
      </c>
      <c r="F4064">
        <v>65.400000000000006</v>
      </c>
      <c r="G4064">
        <v>0</v>
      </c>
      <c r="H4064">
        <v>0</v>
      </c>
      <c r="I4064">
        <v>0</v>
      </c>
      <c r="J4064">
        <v>0</v>
      </c>
      <c r="K4064">
        <v>62.7</v>
      </c>
      <c r="L4064">
        <v>62.9</v>
      </c>
      <c r="M4064">
        <v>65.3</v>
      </c>
      <c r="N4064">
        <v>16</v>
      </c>
      <c r="O4064">
        <v>1</v>
      </c>
      <c r="P4064">
        <f>MOD(DAY(datos_siembra[[#This Row],[Date]]),7)</f>
        <v>2</v>
      </c>
      <c r="Q4064" t="str">
        <f>CHOOSE(WEEKDAY(datos_siembra[[#This Row],[Date]],2),"L","M","X","J","V","S","D")</f>
        <v>X</v>
      </c>
      <c r="R4064">
        <f>WEEKNUM(datos_siembra[[#This Row],[Date]],2)-WEEKNUM(DATE(YEAR(datos_siembra[[#This Row],[Date]]),MONTH(datos_siembra[[#This Row],[Date]]),1))+1</f>
        <v>3</v>
      </c>
      <c r="S4064">
        <f>MONTH(datos_siembra[[#This Row],[Date]])</f>
        <v>10</v>
      </c>
      <c r="T4064" t="str" cm="1">
        <f t="array" ref="T4064">_xlfn.IFS(AND(N4064&lt;= 22, S4064=9), "SOWING",AND(N4064&lt;= 28, S4064=9), "COVERAGE",AND(N4064&lt;= 30, S4064=9), "FLUSH",AND(N4064&lt;= 11, S4064=10), "FLUSH",AND(N4064&lt;= 21, S4064=10), "PRODUCTION")</f>
        <v>PRODUCTION</v>
      </c>
      <c r="U4064">
        <f>HOUR(datos_siembra[[#This Row],[Hour]])</f>
        <v>21</v>
      </c>
      <c r="V4064" cm="1">
        <f t="array" ref="V4064">_xlfn.IFS(AND(N4064&lt;= 22, S4064=9), N4064-7,AND(N4064&lt;= 28, S4064=9), N4064-25,AND(N4064&lt;= 30, S4064=9), N4064-28,AND(N4064&lt;= 11, S4064=10), N4064+2,AND(N4064&lt;= 21, S4064=10), N4064-11)</f>
        <v>5</v>
      </c>
    </row>
    <row r="4065" spans="1:22" x14ac:dyDescent="0.35">
      <c r="A4065" s="4">
        <v>45581</v>
      </c>
      <c r="B4065" s="5">
        <v>0.89916666666666667</v>
      </c>
      <c r="C4065">
        <v>65.2</v>
      </c>
      <c r="D4065">
        <v>65.5</v>
      </c>
      <c r="E4065">
        <v>65.099999999999994</v>
      </c>
      <c r="F4065">
        <v>65.400000000000006</v>
      </c>
      <c r="G4065">
        <v>0</v>
      </c>
      <c r="H4065">
        <v>0</v>
      </c>
      <c r="I4065">
        <v>0</v>
      </c>
      <c r="J4065">
        <v>0</v>
      </c>
      <c r="K4065">
        <v>62.6</v>
      </c>
      <c r="L4065">
        <v>62.9</v>
      </c>
      <c r="M4065">
        <v>65.33</v>
      </c>
      <c r="N4065">
        <v>16</v>
      </c>
      <c r="O4065">
        <v>1</v>
      </c>
      <c r="P4065">
        <f>MOD(DAY(datos_siembra[[#This Row],[Date]]),7)</f>
        <v>2</v>
      </c>
      <c r="Q4065" t="str">
        <f>CHOOSE(WEEKDAY(datos_siembra[[#This Row],[Date]],2),"L","M","X","J","V","S","D")</f>
        <v>X</v>
      </c>
      <c r="R4065">
        <f>WEEKNUM(datos_siembra[[#This Row],[Date]],2)-WEEKNUM(DATE(YEAR(datos_siembra[[#This Row],[Date]]),MONTH(datos_siembra[[#This Row],[Date]]),1))+1</f>
        <v>3</v>
      </c>
      <c r="S4065">
        <f>MONTH(datos_siembra[[#This Row],[Date]])</f>
        <v>10</v>
      </c>
      <c r="T4065" t="str" cm="1">
        <f t="array" ref="T4065">_xlfn.IFS(AND(N4065&lt;= 22, S4065=9), "SOWING",AND(N4065&lt;= 28, S4065=9), "COVERAGE",AND(N4065&lt;= 30, S4065=9), "FLUSH",AND(N4065&lt;= 11, S4065=10), "FLUSH",AND(N4065&lt;= 21, S4065=10), "PRODUCTION")</f>
        <v>PRODUCTION</v>
      </c>
      <c r="U4065">
        <f>HOUR(datos_siembra[[#This Row],[Hour]])</f>
        <v>21</v>
      </c>
      <c r="V4065" cm="1">
        <f t="array" ref="V4065">_xlfn.IFS(AND(N4065&lt;= 22, S4065=9), N4065-7,AND(N4065&lt;= 28, S4065=9), N4065-25,AND(N4065&lt;= 30, S4065=9), N4065-28,AND(N4065&lt;= 11, S4065=10), N4065+2,AND(N4065&lt;= 21, S4065=10), N4065-11)</f>
        <v>5</v>
      </c>
    </row>
    <row r="4066" spans="1:22" x14ac:dyDescent="0.35">
      <c r="A4066" s="4">
        <v>45581</v>
      </c>
      <c r="B4066" s="5">
        <v>0.90611111111111109</v>
      </c>
      <c r="C4066">
        <v>65</v>
      </c>
      <c r="D4066">
        <v>65.400000000000006</v>
      </c>
      <c r="E4066">
        <v>65.099999999999994</v>
      </c>
      <c r="F4066">
        <v>65.3</v>
      </c>
      <c r="G4066">
        <v>0</v>
      </c>
      <c r="H4066">
        <v>0</v>
      </c>
      <c r="I4066">
        <v>0</v>
      </c>
      <c r="J4066">
        <v>0</v>
      </c>
      <c r="K4066">
        <v>62.6</v>
      </c>
      <c r="L4066">
        <v>62.8</v>
      </c>
      <c r="M4066">
        <v>65.239999999999995</v>
      </c>
      <c r="N4066">
        <v>16</v>
      </c>
      <c r="O4066">
        <v>1</v>
      </c>
      <c r="P4066">
        <f>MOD(DAY(datos_siembra[[#This Row],[Date]]),7)</f>
        <v>2</v>
      </c>
      <c r="Q4066" t="str">
        <f>CHOOSE(WEEKDAY(datos_siembra[[#This Row],[Date]],2),"L","M","X","J","V","S","D")</f>
        <v>X</v>
      </c>
      <c r="R4066">
        <f>WEEKNUM(datos_siembra[[#This Row],[Date]],2)-WEEKNUM(DATE(YEAR(datos_siembra[[#This Row],[Date]]),MONTH(datos_siembra[[#This Row],[Date]]),1))+1</f>
        <v>3</v>
      </c>
      <c r="S4066">
        <f>MONTH(datos_siembra[[#This Row],[Date]])</f>
        <v>10</v>
      </c>
      <c r="T4066" t="str" cm="1">
        <f t="array" ref="T4066">_xlfn.IFS(AND(N4066&lt;= 22, S4066=9), "SOWING",AND(N4066&lt;= 28, S4066=9), "COVERAGE",AND(N4066&lt;= 30, S4066=9), "FLUSH",AND(N4066&lt;= 11, S4066=10), "FLUSH",AND(N4066&lt;= 21, S4066=10), "PRODUCTION")</f>
        <v>PRODUCTION</v>
      </c>
      <c r="U4066">
        <f>HOUR(datos_siembra[[#This Row],[Hour]])</f>
        <v>21</v>
      </c>
      <c r="V4066" cm="1">
        <f t="array" ref="V4066">_xlfn.IFS(AND(N4066&lt;= 22, S4066=9), N4066-7,AND(N4066&lt;= 28, S4066=9), N4066-25,AND(N4066&lt;= 30, S4066=9), N4066-28,AND(N4066&lt;= 11, S4066=10), N4066+2,AND(N4066&lt;= 21, S4066=10), N4066-11)</f>
        <v>5</v>
      </c>
    </row>
    <row r="4067" spans="1:22" x14ac:dyDescent="0.35">
      <c r="A4067" s="4">
        <v>45581</v>
      </c>
      <c r="B4067" s="5">
        <v>0.91306712962962966</v>
      </c>
      <c r="C4067">
        <v>65</v>
      </c>
      <c r="D4067">
        <v>65.599999999999994</v>
      </c>
      <c r="E4067">
        <v>65</v>
      </c>
      <c r="F4067">
        <v>65.400000000000006</v>
      </c>
      <c r="G4067">
        <v>0</v>
      </c>
      <c r="H4067">
        <v>0</v>
      </c>
      <c r="I4067">
        <v>0</v>
      </c>
      <c r="J4067">
        <v>0</v>
      </c>
      <c r="K4067">
        <v>62.7</v>
      </c>
      <c r="L4067">
        <v>62.9</v>
      </c>
      <c r="M4067">
        <v>65.33</v>
      </c>
      <c r="N4067">
        <v>16</v>
      </c>
      <c r="O4067">
        <v>1</v>
      </c>
      <c r="P4067">
        <f>MOD(DAY(datos_siembra[[#This Row],[Date]]),7)</f>
        <v>2</v>
      </c>
      <c r="Q4067" t="str">
        <f>CHOOSE(WEEKDAY(datos_siembra[[#This Row],[Date]],2),"L","M","X","J","V","S","D")</f>
        <v>X</v>
      </c>
      <c r="R4067">
        <f>WEEKNUM(datos_siembra[[#This Row],[Date]],2)-WEEKNUM(DATE(YEAR(datos_siembra[[#This Row],[Date]]),MONTH(datos_siembra[[#This Row],[Date]]),1))+1</f>
        <v>3</v>
      </c>
      <c r="S4067">
        <f>MONTH(datos_siembra[[#This Row],[Date]])</f>
        <v>10</v>
      </c>
      <c r="T4067" t="str" cm="1">
        <f t="array" ref="T4067">_xlfn.IFS(AND(N4067&lt;= 22, S4067=9), "SOWING",AND(N4067&lt;= 28, S4067=9), "COVERAGE",AND(N4067&lt;= 30, S4067=9), "FLUSH",AND(N4067&lt;= 11, S4067=10), "FLUSH",AND(N4067&lt;= 21, S4067=10), "PRODUCTION")</f>
        <v>PRODUCTION</v>
      </c>
      <c r="U4067">
        <f>HOUR(datos_siembra[[#This Row],[Hour]])</f>
        <v>21</v>
      </c>
      <c r="V4067" cm="1">
        <f t="array" ref="V4067">_xlfn.IFS(AND(N4067&lt;= 22, S4067=9), N4067-7,AND(N4067&lt;= 28, S4067=9), N4067-25,AND(N4067&lt;= 30, S4067=9), N4067-28,AND(N4067&lt;= 11, S4067=10), N4067+2,AND(N4067&lt;= 21, S4067=10), N4067-11)</f>
        <v>5</v>
      </c>
    </row>
    <row r="4068" spans="1:22" x14ac:dyDescent="0.35">
      <c r="A4068" s="4">
        <v>45581</v>
      </c>
      <c r="B4068" s="5">
        <v>0.92001157407407408</v>
      </c>
      <c r="C4068">
        <v>65.099999999999994</v>
      </c>
      <c r="D4068">
        <v>65.400000000000006</v>
      </c>
      <c r="E4068">
        <v>65.099999999999994</v>
      </c>
      <c r="F4068">
        <v>65.400000000000006</v>
      </c>
      <c r="G4068">
        <v>0</v>
      </c>
      <c r="H4068">
        <v>0</v>
      </c>
      <c r="I4068">
        <v>0</v>
      </c>
      <c r="J4068">
        <v>0</v>
      </c>
      <c r="K4068">
        <v>62.5</v>
      </c>
      <c r="L4068">
        <v>62.8</v>
      </c>
      <c r="M4068">
        <v>65.3</v>
      </c>
      <c r="N4068">
        <v>16</v>
      </c>
      <c r="O4068">
        <v>1</v>
      </c>
      <c r="P4068">
        <f>MOD(DAY(datos_siembra[[#This Row],[Date]]),7)</f>
        <v>2</v>
      </c>
      <c r="Q4068" t="str">
        <f>CHOOSE(WEEKDAY(datos_siembra[[#This Row],[Date]],2),"L","M","X","J","V","S","D")</f>
        <v>X</v>
      </c>
      <c r="R4068">
        <f>WEEKNUM(datos_siembra[[#This Row],[Date]],2)-WEEKNUM(DATE(YEAR(datos_siembra[[#This Row],[Date]]),MONTH(datos_siembra[[#This Row],[Date]]),1))+1</f>
        <v>3</v>
      </c>
      <c r="S4068">
        <f>MONTH(datos_siembra[[#This Row],[Date]])</f>
        <v>10</v>
      </c>
      <c r="T4068" t="str" cm="1">
        <f t="array" ref="T4068">_xlfn.IFS(AND(N4068&lt;= 22, S4068=9), "SOWING",AND(N4068&lt;= 28, S4068=9), "COVERAGE",AND(N4068&lt;= 30, S4068=9), "FLUSH",AND(N4068&lt;= 11, S4068=10), "FLUSH",AND(N4068&lt;= 21, S4068=10), "PRODUCTION")</f>
        <v>PRODUCTION</v>
      </c>
      <c r="U4068">
        <f>HOUR(datos_siembra[[#This Row],[Hour]])</f>
        <v>22</v>
      </c>
      <c r="V4068" cm="1">
        <f t="array" ref="V4068">_xlfn.IFS(AND(N4068&lt;= 22, S4068=9), N4068-7,AND(N4068&lt;= 28, S4068=9), N4068-25,AND(N4068&lt;= 30, S4068=9), N4068-28,AND(N4068&lt;= 11, S4068=10), N4068+2,AND(N4068&lt;= 21, S4068=10), N4068-11)</f>
        <v>5</v>
      </c>
    </row>
    <row r="4069" spans="1:22" x14ac:dyDescent="0.35">
      <c r="A4069" s="4">
        <v>45581</v>
      </c>
      <c r="B4069" s="5">
        <v>0.9269560185185185</v>
      </c>
      <c r="C4069">
        <v>65</v>
      </c>
      <c r="D4069">
        <v>65.5</v>
      </c>
      <c r="E4069">
        <v>65.099999999999994</v>
      </c>
      <c r="F4069">
        <v>65.3</v>
      </c>
      <c r="G4069">
        <v>0</v>
      </c>
      <c r="H4069">
        <v>0</v>
      </c>
      <c r="I4069">
        <v>0</v>
      </c>
      <c r="J4069">
        <v>0</v>
      </c>
      <c r="K4069">
        <v>62.5</v>
      </c>
      <c r="L4069">
        <v>62.8</v>
      </c>
      <c r="M4069">
        <v>65.3</v>
      </c>
      <c r="N4069">
        <v>16</v>
      </c>
      <c r="O4069">
        <v>1</v>
      </c>
      <c r="P4069">
        <f>MOD(DAY(datos_siembra[[#This Row],[Date]]),7)</f>
        <v>2</v>
      </c>
      <c r="Q4069" t="str">
        <f>CHOOSE(WEEKDAY(datos_siembra[[#This Row],[Date]],2),"L","M","X","J","V","S","D")</f>
        <v>X</v>
      </c>
      <c r="R4069">
        <f>WEEKNUM(datos_siembra[[#This Row],[Date]],2)-WEEKNUM(DATE(YEAR(datos_siembra[[#This Row],[Date]]),MONTH(datos_siembra[[#This Row],[Date]]),1))+1</f>
        <v>3</v>
      </c>
      <c r="S4069">
        <f>MONTH(datos_siembra[[#This Row],[Date]])</f>
        <v>10</v>
      </c>
      <c r="T4069" t="str" cm="1">
        <f t="array" ref="T4069">_xlfn.IFS(AND(N4069&lt;= 22, S4069=9), "SOWING",AND(N4069&lt;= 28, S4069=9), "COVERAGE",AND(N4069&lt;= 30, S4069=9), "FLUSH",AND(N4069&lt;= 11, S4069=10), "FLUSH",AND(N4069&lt;= 21, S4069=10), "PRODUCTION")</f>
        <v>PRODUCTION</v>
      </c>
      <c r="U4069">
        <f>HOUR(datos_siembra[[#This Row],[Hour]])</f>
        <v>22</v>
      </c>
      <c r="V4069" cm="1">
        <f t="array" ref="V4069">_xlfn.IFS(AND(N4069&lt;= 22, S4069=9), N4069-7,AND(N4069&lt;= 28, S4069=9), N4069-25,AND(N4069&lt;= 30, S4069=9), N4069-28,AND(N4069&lt;= 11, S4069=10), N4069+2,AND(N4069&lt;= 21, S4069=10), N4069-11)</f>
        <v>5</v>
      </c>
    </row>
    <row r="4070" spans="1:22" x14ac:dyDescent="0.35">
      <c r="A4070" s="4">
        <v>45581</v>
      </c>
      <c r="B4070" s="5">
        <v>0.93391203703703707</v>
      </c>
      <c r="C4070">
        <v>65.099999999999994</v>
      </c>
      <c r="D4070">
        <v>65.8</v>
      </c>
      <c r="E4070">
        <v>65.099999999999994</v>
      </c>
      <c r="F4070">
        <v>65.5</v>
      </c>
      <c r="G4070">
        <v>0</v>
      </c>
      <c r="H4070">
        <v>0</v>
      </c>
      <c r="I4070">
        <v>0</v>
      </c>
      <c r="J4070">
        <v>0</v>
      </c>
      <c r="K4070">
        <v>62.4</v>
      </c>
      <c r="L4070">
        <v>62.7</v>
      </c>
      <c r="M4070">
        <v>65.36</v>
      </c>
      <c r="N4070">
        <v>16</v>
      </c>
      <c r="O4070">
        <v>1</v>
      </c>
      <c r="P4070">
        <f>MOD(DAY(datos_siembra[[#This Row],[Date]]),7)</f>
        <v>2</v>
      </c>
      <c r="Q4070" t="str">
        <f>CHOOSE(WEEKDAY(datos_siembra[[#This Row],[Date]],2),"L","M","X","J","V","S","D")</f>
        <v>X</v>
      </c>
      <c r="R4070">
        <f>WEEKNUM(datos_siembra[[#This Row],[Date]],2)-WEEKNUM(DATE(YEAR(datos_siembra[[#This Row],[Date]]),MONTH(datos_siembra[[#This Row],[Date]]),1))+1</f>
        <v>3</v>
      </c>
      <c r="S4070">
        <f>MONTH(datos_siembra[[#This Row],[Date]])</f>
        <v>10</v>
      </c>
      <c r="T4070" t="str" cm="1">
        <f t="array" ref="T4070">_xlfn.IFS(AND(N4070&lt;= 22, S4070=9), "SOWING",AND(N4070&lt;= 28, S4070=9), "COVERAGE",AND(N4070&lt;= 30, S4070=9), "FLUSH",AND(N4070&lt;= 11, S4070=10), "FLUSH",AND(N4070&lt;= 21, S4070=10), "PRODUCTION")</f>
        <v>PRODUCTION</v>
      </c>
      <c r="U4070">
        <f>HOUR(datos_siembra[[#This Row],[Hour]])</f>
        <v>22</v>
      </c>
      <c r="V4070" cm="1">
        <f t="array" ref="V4070">_xlfn.IFS(AND(N4070&lt;= 22, S4070=9), N4070-7,AND(N4070&lt;= 28, S4070=9), N4070-25,AND(N4070&lt;= 30, S4070=9), N4070-28,AND(N4070&lt;= 11, S4070=10), N4070+2,AND(N4070&lt;= 21, S4070=10), N4070-11)</f>
        <v>5</v>
      </c>
    </row>
    <row r="4071" spans="1:22" x14ac:dyDescent="0.35">
      <c r="A4071" s="4">
        <v>45581</v>
      </c>
      <c r="B4071" s="5">
        <v>0.94085648148148149</v>
      </c>
      <c r="C4071">
        <v>65.099999999999994</v>
      </c>
      <c r="D4071">
        <v>65.599999999999994</v>
      </c>
      <c r="E4071">
        <v>65.2</v>
      </c>
      <c r="F4071">
        <v>65.400000000000006</v>
      </c>
      <c r="G4071">
        <v>0</v>
      </c>
      <c r="H4071">
        <v>0</v>
      </c>
      <c r="I4071">
        <v>0</v>
      </c>
      <c r="J4071">
        <v>0</v>
      </c>
      <c r="K4071">
        <v>62.4</v>
      </c>
      <c r="L4071">
        <v>62.7</v>
      </c>
      <c r="M4071">
        <v>65.36</v>
      </c>
      <c r="N4071">
        <v>16</v>
      </c>
      <c r="O4071">
        <v>1</v>
      </c>
      <c r="P4071">
        <f>MOD(DAY(datos_siembra[[#This Row],[Date]]),7)</f>
        <v>2</v>
      </c>
      <c r="Q4071" t="str">
        <f>CHOOSE(WEEKDAY(datos_siembra[[#This Row],[Date]],2),"L","M","X","J","V","S","D")</f>
        <v>X</v>
      </c>
      <c r="R4071">
        <f>WEEKNUM(datos_siembra[[#This Row],[Date]],2)-WEEKNUM(DATE(YEAR(datos_siembra[[#This Row],[Date]]),MONTH(datos_siembra[[#This Row],[Date]]),1))+1</f>
        <v>3</v>
      </c>
      <c r="S4071">
        <f>MONTH(datos_siembra[[#This Row],[Date]])</f>
        <v>10</v>
      </c>
      <c r="T4071" t="str" cm="1">
        <f t="array" ref="T4071">_xlfn.IFS(AND(N4071&lt;= 22, S4071=9), "SOWING",AND(N4071&lt;= 28, S4071=9), "COVERAGE",AND(N4071&lt;= 30, S4071=9), "FLUSH",AND(N4071&lt;= 11, S4071=10), "FLUSH",AND(N4071&lt;= 21, S4071=10), "PRODUCTION")</f>
        <v>PRODUCTION</v>
      </c>
      <c r="U4071">
        <f>HOUR(datos_siembra[[#This Row],[Hour]])</f>
        <v>22</v>
      </c>
      <c r="V4071" cm="1">
        <f t="array" ref="V4071">_xlfn.IFS(AND(N4071&lt;= 22, S4071=9), N4071-7,AND(N4071&lt;= 28, S4071=9), N4071-25,AND(N4071&lt;= 30, S4071=9), N4071-28,AND(N4071&lt;= 11, S4071=10), N4071+2,AND(N4071&lt;= 21, S4071=10), N4071-11)</f>
        <v>5</v>
      </c>
    </row>
    <row r="4072" spans="1:22" x14ac:dyDescent="0.35">
      <c r="A4072" s="4">
        <v>45581</v>
      </c>
      <c r="B4072" s="5">
        <v>0.94780092592592591</v>
      </c>
      <c r="C4072">
        <v>65.099999999999994</v>
      </c>
      <c r="D4072">
        <v>65.5</v>
      </c>
      <c r="E4072">
        <v>65.2</v>
      </c>
      <c r="F4072">
        <v>65.400000000000006</v>
      </c>
      <c r="G4072">
        <v>0</v>
      </c>
      <c r="H4072">
        <v>0</v>
      </c>
      <c r="I4072">
        <v>0</v>
      </c>
      <c r="J4072">
        <v>0</v>
      </c>
      <c r="K4072">
        <v>62.3</v>
      </c>
      <c r="L4072">
        <v>62.6</v>
      </c>
      <c r="M4072">
        <v>65.36</v>
      </c>
      <c r="N4072">
        <v>16</v>
      </c>
      <c r="O4072">
        <v>1</v>
      </c>
      <c r="P4072">
        <f>MOD(DAY(datos_siembra[[#This Row],[Date]]),7)</f>
        <v>2</v>
      </c>
      <c r="Q4072" t="str">
        <f>CHOOSE(WEEKDAY(datos_siembra[[#This Row],[Date]],2),"L","M","X","J","V","S","D")</f>
        <v>X</v>
      </c>
      <c r="R4072">
        <f>WEEKNUM(datos_siembra[[#This Row],[Date]],2)-WEEKNUM(DATE(YEAR(datos_siembra[[#This Row],[Date]]),MONTH(datos_siembra[[#This Row],[Date]]),1))+1</f>
        <v>3</v>
      </c>
      <c r="S4072">
        <f>MONTH(datos_siembra[[#This Row],[Date]])</f>
        <v>10</v>
      </c>
      <c r="T4072" t="str" cm="1">
        <f t="array" ref="T4072">_xlfn.IFS(AND(N4072&lt;= 22, S4072=9), "SOWING",AND(N4072&lt;= 28, S4072=9), "COVERAGE",AND(N4072&lt;= 30, S4072=9), "FLUSH",AND(N4072&lt;= 11, S4072=10), "FLUSH",AND(N4072&lt;= 21, S4072=10), "PRODUCTION")</f>
        <v>PRODUCTION</v>
      </c>
      <c r="U4072">
        <f>HOUR(datos_siembra[[#This Row],[Hour]])</f>
        <v>22</v>
      </c>
      <c r="V4072" cm="1">
        <f t="array" ref="V4072">_xlfn.IFS(AND(N4072&lt;= 22, S4072=9), N4072-7,AND(N4072&lt;= 28, S4072=9), N4072-25,AND(N4072&lt;= 30, S4072=9), N4072-28,AND(N4072&lt;= 11, S4072=10), N4072+2,AND(N4072&lt;= 21, S4072=10), N4072-11)</f>
        <v>5</v>
      </c>
    </row>
    <row r="4073" spans="1:22" x14ac:dyDescent="0.35">
      <c r="A4073" s="4">
        <v>45581</v>
      </c>
      <c r="B4073" s="5">
        <v>0.95475694444444448</v>
      </c>
      <c r="C4073">
        <v>65.099999999999994</v>
      </c>
      <c r="D4073">
        <v>65.599999999999994</v>
      </c>
      <c r="E4073">
        <v>65.099999999999994</v>
      </c>
      <c r="F4073">
        <v>65.5</v>
      </c>
      <c r="G4073">
        <v>0</v>
      </c>
      <c r="H4073">
        <v>0</v>
      </c>
      <c r="I4073">
        <v>0</v>
      </c>
      <c r="J4073">
        <v>0</v>
      </c>
      <c r="K4073">
        <v>62.3</v>
      </c>
      <c r="L4073">
        <v>62.7</v>
      </c>
      <c r="M4073">
        <v>65.33</v>
      </c>
      <c r="N4073">
        <v>16</v>
      </c>
      <c r="O4073">
        <v>1</v>
      </c>
      <c r="P4073">
        <f>MOD(DAY(datos_siembra[[#This Row],[Date]]),7)</f>
        <v>2</v>
      </c>
      <c r="Q4073" t="str">
        <f>CHOOSE(WEEKDAY(datos_siembra[[#This Row],[Date]],2),"L","M","X","J","V","S","D")</f>
        <v>X</v>
      </c>
      <c r="R4073">
        <f>WEEKNUM(datos_siembra[[#This Row],[Date]],2)-WEEKNUM(DATE(YEAR(datos_siembra[[#This Row],[Date]]),MONTH(datos_siembra[[#This Row],[Date]]),1))+1</f>
        <v>3</v>
      </c>
      <c r="S4073">
        <f>MONTH(datos_siembra[[#This Row],[Date]])</f>
        <v>10</v>
      </c>
      <c r="T4073" t="str" cm="1">
        <f t="array" ref="T4073">_xlfn.IFS(AND(N4073&lt;= 22, S4073=9), "SOWING",AND(N4073&lt;= 28, S4073=9), "COVERAGE",AND(N4073&lt;= 30, S4073=9), "FLUSH",AND(N4073&lt;= 11, S4073=10), "FLUSH",AND(N4073&lt;= 21, S4073=10), "PRODUCTION")</f>
        <v>PRODUCTION</v>
      </c>
      <c r="U4073">
        <f>HOUR(datos_siembra[[#This Row],[Hour]])</f>
        <v>22</v>
      </c>
      <c r="V4073" cm="1">
        <f t="array" ref="V4073">_xlfn.IFS(AND(N4073&lt;= 22, S4073=9), N4073-7,AND(N4073&lt;= 28, S4073=9), N4073-25,AND(N4073&lt;= 30, S4073=9), N4073-28,AND(N4073&lt;= 11, S4073=10), N4073+2,AND(N4073&lt;= 21, S4073=10), N4073-11)</f>
        <v>5</v>
      </c>
    </row>
    <row r="4074" spans="1:22" x14ac:dyDescent="0.35">
      <c r="A4074" s="4">
        <v>45581</v>
      </c>
      <c r="B4074" s="5">
        <v>0.9617013888888889</v>
      </c>
      <c r="C4074">
        <v>65</v>
      </c>
      <c r="D4074">
        <v>65.599999999999994</v>
      </c>
      <c r="E4074">
        <v>65.2</v>
      </c>
      <c r="F4074">
        <v>65.5</v>
      </c>
      <c r="G4074">
        <v>0</v>
      </c>
      <c r="H4074">
        <v>0</v>
      </c>
      <c r="I4074">
        <v>0</v>
      </c>
      <c r="J4074">
        <v>0</v>
      </c>
      <c r="K4074">
        <v>62.3</v>
      </c>
      <c r="L4074">
        <v>62.5</v>
      </c>
      <c r="M4074">
        <v>65.38</v>
      </c>
      <c r="N4074">
        <v>16</v>
      </c>
      <c r="O4074">
        <v>1</v>
      </c>
      <c r="P4074">
        <f>MOD(DAY(datos_siembra[[#This Row],[Date]]),7)</f>
        <v>2</v>
      </c>
      <c r="Q4074" t="str">
        <f>CHOOSE(WEEKDAY(datos_siembra[[#This Row],[Date]],2),"L","M","X","J","V","S","D")</f>
        <v>X</v>
      </c>
      <c r="R4074">
        <f>WEEKNUM(datos_siembra[[#This Row],[Date]],2)-WEEKNUM(DATE(YEAR(datos_siembra[[#This Row],[Date]]),MONTH(datos_siembra[[#This Row],[Date]]),1))+1</f>
        <v>3</v>
      </c>
      <c r="S4074">
        <f>MONTH(datos_siembra[[#This Row],[Date]])</f>
        <v>10</v>
      </c>
      <c r="T4074" t="str" cm="1">
        <f t="array" ref="T4074">_xlfn.IFS(AND(N4074&lt;= 22, S4074=9), "SOWING",AND(N4074&lt;= 28, S4074=9), "COVERAGE",AND(N4074&lt;= 30, S4074=9), "FLUSH",AND(N4074&lt;= 11, S4074=10), "FLUSH",AND(N4074&lt;= 21, S4074=10), "PRODUCTION")</f>
        <v>PRODUCTION</v>
      </c>
      <c r="U4074">
        <f>HOUR(datos_siembra[[#This Row],[Hour]])</f>
        <v>23</v>
      </c>
      <c r="V4074" cm="1">
        <f t="array" ref="V4074">_xlfn.IFS(AND(N4074&lt;= 22, S4074=9), N4074-7,AND(N4074&lt;= 28, S4074=9), N4074-25,AND(N4074&lt;= 30, S4074=9), N4074-28,AND(N4074&lt;= 11, S4074=10), N4074+2,AND(N4074&lt;= 21, S4074=10), N4074-11)</f>
        <v>5</v>
      </c>
    </row>
    <row r="4075" spans="1:22" x14ac:dyDescent="0.35">
      <c r="A4075" s="4">
        <v>45581</v>
      </c>
      <c r="B4075" s="5">
        <v>0.96864583333333332</v>
      </c>
      <c r="C4075">
        <v>65</v>
      </c>
      <c r="D4075">
        <v>65.8</v>
      </c>
      <c r="E4075">
        <v>65.3</v>
      </c>
      <c r="F4075">
        <v>65.599999999999994</v>
      </c>
      <c r="G4075">
        <v>0</v>
      </c>
      <c r="H4075">
        <v>0</v>
      </c>
      <c r="I4075">
        <v>0</v>
      </c>
      <c r="J4075">
        <v>0</v>
      </c>
      <c r="K4075">
        <v>62.3</v>
      </c>
      <c r="L4075">
        <v>62.6</v>
      </c>
      <c r="M4075">
        <v>65.38</v>
      </c>
      <c r="N4075">
        <v>16</v>
      </c>
      <c r="O4075">
        <v>1</v>
      </c>
      <c r="P4075">
        <f>MOD(DAY(datos_siembra[[#This Row],[Date]]),7)</f>
        <v>2</v>
      </c>
      <c r="Q4075" t="str">
        <f>CHOOSE(WEEKDAY(datos_siembra[[#This Row],[Date]],2),"L","M","X","J","V","S","D")</f>
        <v>X</v>
      </c>
      <c r="R4075">
        <f>WEEKNUM(datos_siembra[[#This Row],[Date]],2)-WEEKNUM(DATE(YEAR(datos_siembra[[#This Row],[Date]]),MONTH(datos_siembra[[#This Row],[Date]]),1))+1</f>
        <v>3</v>
      </c>
      <c r="S4075">
        <f>MONTH(datos_siembra[[#This Row],[Date]])</f>
        <v>10</v>
      </c>
      <c r="T4075" t="str" cm="1">
        <f t="array" ref="T4075">_xlfn.IFS(AND(N4075&lt;= 22, S4075=9), "SOWING",AND(N4075&lt;= 28, S4075=9), "COVERAGE",AND(N4075&lt;= 30, S4075=9), "FLUSH",AND(N4075&lt;= 11, S4075=10), "FLUSH",AND(N4075&lt;= 21, S4075=10), "PRODUCTION")</f>
        <v>PRODUCTION</v>
      </c>
      <c r="U4075">
        <f>HOUR(datos_siembra[[#This Row],[Hour]])</f>
        <v>23</v>
      </c>
      <c r="V4075" cm="1">
        <f t="array" ref="V4075">_xlfn.IFS(AND(N4075&lt;= 22, S4075=9), N4075-7,AND(N4075&lt;= 28, S4075=9), N4075-25,AND(N4075&lt;= 30, S4075=9), N4075-28,AND(N4075&lt;= 11, S4075=10), N4075+2,AND(N4075&lt;= 21, S4075=10), N4075-11)</f>
        <v>5</v>
      </c>
    </row>
    <row r="4076" spans="1:22" x14ac:dyDescent="0.35">
      <c r="A4076" s="4">
        <v>45581</v>
      </c>
      <c r="B4076" s="5">
        <v>0.97559027777777774</v>
      </c>
      <c r="C4076">
        <v>65.2</v>
      </c>
      <c r="D4076">
        <v>65.8</v>
      </c>
      <c r="E4076">
        <v>65.2</v>
      </c>
      <c r="F4076">
        <v>65.5</v>
      </c>
      <c r="G4076">
        <v>0</v>
      </c>
      <c r="H4076">
        <v>0</v>
      </c>
      <c r="I4076">
        <v>0</v>
      </c>
      <c r="J4076">
        <v>0</v>
      </c>
      <c r="K4076">
        <v>62.2</v>
      </c>
      <c r="L4076">
        <v>62.5</v>
      </c>
      <c r="M4076">
        <v>65.41</v>
      </c>
      <c r="N4076">
        <v>16</v>
      </c>
      <c r="O4076">
        <v>1</v>
      </c>
      <c r="P4076">
        <f>MOD(DAY(datos_siembra[[#This Row],[Date]]),7)</f>
        <v>2</v>
      </c>
      <c r="Q4076" t="str">
        <f>CHOOSE(WEEKDAY(datos_siembra[[#This Row],[Date]],2),"L","M","X","J","V","S","D")</f>
        <v>X</v>
      </c>
      <c r="R4076">
        <f>WEEKNUM(datos_siembra[[#This Row],[Date]],2)-WEEKNUM(DATE(YEAR(datos_siembra[[#This Row],[Date]]),MONTH(datos_siembra[[#This Row],[Date]]),1))+1</f>
        <v>3</v>
      </c>
      <c r="S4076">
        <f>MONTH(datos_siembra[[#This Row],[Date]])</f>
        <v>10</v>
      </c>
      <c r="T4076" t="str" cm="1">
        <f t="array" ref="T4076">_xlfn.IFS(AND(N4076&lt;= 22, S4076=9), "SOWING",AND(N4076&lt;= 28, S4076=9), "COVERAGE",AND(N4076&lt;= 30, S4076=9), "FLUSH",AND(N4076&lt;= 11, S4076=10), "FLUSH",AND(N4076&lt;= 21, S4076=10), "PRODUCTION")</f>
        <v>PRODUCTION</v>
      </c>
      <c r="U4076">
        <f>HOUR(datos_siembra[[#This Row],[Hour]])</f>
        <v>23</v>
      </c>
      <c r="V4076" cm="1">
        <f t="array" ref="V4076">_xlfn.IFS(AND(N4076&lt;= 22, S4076=9), N4076-7,AND(N4076&lt;= 28, S4076=9), N4076-25,AND(N4076&lt;= 30, S4076=9), N4076-28,AND(N4076&lt;= 11, S4076=10), N4076+2,AND(N4076&lt;= 21, S4076=10), N4076-11)</f>
        <v>5</v>
      </c>
    </row>
    <row r="4077" spans="1:22" x14ac:dyDescent="0.35">
      <c r="A4077" s="4">
        <v>45581</v>
      </c>
      <c r="B4077" s="5">
        <v>0.98254629629629631</v>
      </c>
      <c r="C4077">
        <v>65.099999999999994</v>
      </c>
      <c r="D4077">
        <v>65.8</v>
      </c>
      <c r="E4077">
        <v>65.3</v>
      </c>
      <c r="F4077">
        <v>65.5</v>
      </c>
      <c r="G4077">
        <v>0</v>
      </c>
      <c r="H4077">
        <v>0</v>
      </c>
      <c r="I4077">
        <v>0</v>
      </c>
      <c r="J4077">
        <v>0</v>
      </c>
      <c r="K4077">
        <v>62.3</v>
      </c>
      <c r="L4077">
        <v>62.6</v>
      </c>
      <c r="M4077">
        <v>65.44</v>
      </c>
      <c r="N4077">
        <v>16</v>
      </c>
      <c r="O4077">
        <v>1</v>
      </c>
      <c r="P4077">
        <f>MOD(DAY(datos_siembra[[#This Row],[Date]]),7)</f>
        <v>2</v>
      </c>
      <c r="Q4077" t="str">
        <f>CHOOSE(WEEKDAY(datos_siembra[[#This Row],[Date]],2),"L","M","X","J","V","S","D")</f>
        <v>X</v>
      </c>
      <c r="R4077">
        <f>WEEKNUM(datos_siembra[[#This Row],[Date]],2)-WEEKNUM(DATE(YEAR(datos_siembra[[#This Row],[Date]]),MONTH(datos_siembra[[#This Row],[Date]]),1))+1</f>
        <v>3</v>
      </c>
      <c r="S4077">
        <f>MONTH(datos_siembra[[#This Row],[Date]])</f>
        <v>10</v>
      </c>
      <c r="T4077" t="str" cm="1">
        <f t="array" ref="T4077">_xlfn.IFS(AND(N4077&lt;= 22, S4077=9), "SOWING",AND(N4077&lt;= 28, S4077=9), "COVERAGE",AND(N4077&lt;= 30, S4077=9), "FLUSH",AND(N4077&lt;= 11, S4077=10), "FLUSH",AND(N4077&lt;= 21, S4077=10), "PRODUCTION")</f>
        <v>PRODUCTION</v>
      </c>
      <c r="U4077">
        <f>HOUR(datos_siembra[[#This Row],[Hour]])</f>
        <v>23</v>
      </c>
      <c r="V4077" cm="1">
        <f t="array" ref="V4077">_xlfn.IFS(AND(N4077&lt;= 22, S4077=9), N4077-7,AND(N4077&lt;= 28, S4077=9), N4077-25,AND(N4077&lt;= 30, S4077=9), N4077-28,AND(N4077&lt;= 11, S4077=10), N4077+2,AND(N4077&lt;= 21, S4077=10), N4077-11)</f>
        <v>5</v>
      </c>
    </row>
    <row r="4078" spans="1:22" x14ac:dyDescent="0.35">
      <c r="A4078" s="4">
        <v>45581</v>
      </c>
      <c r="B4078" s="5">
        <v>0.98949074074074073</v>
      </c>
      <c r="C4078">
        <v>65.2</v>
      </c>
      <c r="D4078">
        <v>65.8</v>
      </c>
      <c r="E4078">
        <v>65.3</v>
      </c>
      <c r="F4078">
        <v>65.5</v>
      </c>
      <c r="G4078">
        <v>0</v>
      </c>
      <c r="H4078">
        <v>0</v>
      </c>
      <c r="I4078">
        <v>0</v>
      </c>
      <c r="J4078">
        <v>0</v>
      </c>
      <c r="K4078">
        <v>62.3</v>
      </c>
      <c r="L4078">
        <v>62.5</v>
      </c>
      <c r="M4078">
        <v>65.47</v>
      </c>
      <c r="N4078">
        <v>16</v>
      </c>
      <c r="O4078">
        <v>1</v>
      </c>
      <c r="P4078">
        <f>MOD(DAY(datos_siembra[[#This Row],[Date]]),7)</f>
        <v>2</v>
      </c>
      <c r="Q4078" t="str">
        <f>CHOOSE(WEEKDAY(datos_siembra[[#This Row],[Date]],2),"L","M","X","J","V","S","D")</f>
        <v>X</v>
      </c>
      <c r="R4078">
        <f>WEEKNUM(datos_siembra[[#This Row],[Date]],2)-WEEKNUM(DATE(YEAR(datos_siembra[[#This Row],[Date]]),MONTH(datos_siembra[[#This Row],[Date]]),1))+1</f>
        <v>3</v>
      </c>
      <c r="S4078">
        <f>MONTH(datos_siembra[[#This Row],[Date]])</f>
        <v>10</v>
      </c>
      <c r="T4078" t="str" cm="1">
        <f t="array" ref="T4078">_xlfn.IFS(AND(N4078&lt;= 22, S4078=9), "SOWING",AND(N4078&lt;= 28, S4078=9), "COVERAGE",AND(N4078&lt;= 30, S4078=9), "FLUSH",AND(N4078&lt;= 11, S4078=10), "FLUSH",AND(N4078&lt;= 21, S4078=10), "PRODUCTION")</f>
        <v>PRODUCTION</v>
      </c>
      <c r="U4078">
        <f>HOUR(datos_siembra[[#This Row],[Hour]])</f>
        <v>23</v>
      </c>
      <c r="V4078" cm="1">
        <f t="array" ref="V4078">_xlfn.IFS(AND(N4078&lt;= 22, S4078=9), N4078-7,AND(N4078&lt;= 28, S4078=9), N4078-25,AND(N4078&lt;= 30, S4078=9), N4078-28,AND(N4078&lt;= 11, S4078=10), N4078+2,AND(N4078&lt;= 21, S4078=10), N4078-11)</f>
        <v>5</v>
      </c>
    </row>
    <row r="4079" spans="1:22" x14ac:dyDescent="0.35">
      <c r="A4079" s="4">
        <v>45581</v>
      </c>
      <c r="B4079" s="5">
        <v>0.99643518518518515</v>
      </c>
      <c r="C4079">
        <v>65.2</v>
      </c>
      <c r="D4079">
        <v>65.8</v>
      </c>
      <c r="E4079">
        <v>65.3</v>
      </c>
      <c r="F4079">
        <v>65.8</v>
      </c>
      <c r="G4079">
        <v>0</v>
      </c>
      <c r="H4079">
        <v>0</v>
      </c>
      <c r="I4079">
        <v>0</v>
      </c>
      <c r="J4079">
        <v>0</v>
      </c>
      <c r="K4079">
        <v>62.2</v>
      </c>
      <c r="L4079">
        <v>62.6</v>
      </c>
      <c r="M4079">
        <v>65.38</v>
      </c>
      <c r="N4079">
        <v>16</v>
      </c>
      <c r="O4079">
        <v>1</v>
      </c>
      <c r="P4079">
        <f>MOD(DAY(datos_siembra[[#This Row],[Date]]),7)</f>
        <v>2</v>
      </c>
      <c r="Q4079" t="str">
        <f>CHOOSE(WEEKDAY(datos_siembra[[#This Row],[Date]],2),"L","M","X","J","V","S","D")</f>
        <v>X</v>
      </c>
      <c r="R4079">
        <f>WEEKNUM(datos_siembra[[#This Row],[Date]],2)-WEEKNUM(DATE(YEAR(datos_siembra[[#This Row],[Date]]),MONTH(datos_siembra[[#This Row],[Date]]),1))+1</f>
        <v>3</v>
      </c>
      <c r="S4079">
        <f>MONTH(datos_siembra[[#This Row],[Date]])</f>
        <v>10</v>
      </c>
      <c r="T4079" t="str" cm="1">
        <f t="array" ref="T4079">_xlfn.IFS(AND(N4079&lt;= 22, S4079=9), "SOWING",AND(N4079&lt;= 28, S4079=9), "COVERAGE",AND(N4079&lt;= 30, S4079=9), "FLUSH",AND(N4079&lt;= 11, S4079=10), "FLUSH",AND(N4079&lt;= 21, S4079=10), "PRODUCTION")</f>
        <v>PRODUCTION</v>
      </c>
      <c r="U4079">
        <f>HOUR(datos_siembra[[#This Row],[Hour]])</f>
        <v>23</v>
      </c>
      <c r="V4079" cm="1">
        <f t="array" ref="V4079">_xlfn.IFS(AND(N4079&lt;= 22, S4079=9), N4079-7,AND(N4079&lt;= 28, S4079=9), N4079-25,AND(N4079&lt;= 30, S4079=9), N4079-28,AND(N4079&lt;= 11, S4079=10), N4079+2,AND(N4079&lt;= 21, S4079=10), N4079-11)</f>
        <v>5</v>
      </c>
    </row>
    <row r="4080" spans="1:22" x14ac:dyDescent="0.35">
      <c r="A4080" s="4">
        <v>45582</v>
      </c>
      <c r="B4080" s="5">
        <v>3.3796296296296296E-3</v>
      </c>
      <c r="C4080">
        <v>65.400000000000006</v>
      </c>
      <c r="D4080">
        <v>65.8</v>
      </c>
      <c r="E4080">
        <v>65.3</v>
      </c>
      <c r="F4080">
        <v>65.599999999999994</v>
      </c>
      <c r="G4080">
        <v>0</v>
      </c>
      <c r="H4080">
        <v>0</v>
      </c>
      <c r="I4080">
        <v>0</v>
      </c>
      <c r="J4080">
        <v>0</v>
      </c>
      <c r="K4080">
        <v>62.2</v>
      </c>
      <c r="L4080">
        <v>62.7</v>
      </c>
      <c r="M4080">
        <v>65.5</v>
      </c>
      <c r="N4080">
        <v>17</v>
      </c>
      <c r="O4080">
        <v>2</v>
      </c>
      <c r="P4080">
        <f>MOD(DAY(datos_siembra[[#This Row],[Date]]),7)</f>
        <v>3</v>
      </c>
      <c r="Q4080" t="str">
        <f>CHOOSE(WEEKDAY(datos_siembra[[#This Row],[Date]],2),"L","M","X","J","V","S","D")</f>
        <v>J</v>
      </c>
      <c r="R4080">
        <f>WEEKNUM(datos_siembra[[#This Row],[Date]],2)-WEEKNUM(DATE(YEAR(datos_siembra[[#This Row],[Date]]),MONTH(datos_siembra[[#This Row],[Date]]),1))+1</f>
        <v>3</v>
      </c>
      <c r="S4080">
        <f>MONTH(datos_siembra[[#This Row],[Date]])</f>
        <v>10</v>
      </c>
      <c r="T4080" t="str" cm="1">
        <f t="array" ref="T4080">_xlfn.IFS(AND(N4080&lt;= 22, S4080=9), "SOWING",AND(N4080&lt;= 28, S4080=9), "COVERAGE",AND(N4080&lt;= 30, S4080=9), "FLUSH",AND(N4080&lt;= 11, S4080=10), "FLUSH",AND(N4080&lt;= 21, S4080=10), "PRODUCTION")</f>
        <v>PRODUCTION</v>
      </c>
      <c r="U4080">
        <f>HOUR(datos_siembra[[#This Row],[Hour]])</f>
        <v>0</v>
      </c>
      <c r="V4080" cm="1">
        <f t="array" ref="V4080">_xlfn.IFS(AND(N4080&lt;= 22, S4080=9), N4080-7,AND(N4080&lt;= 28, S4080=9), N4080-25,AND(N4080&lt;= 30, S4080=9), N4080-28,AND(N4080&lt;= 11, S4080=10), N4080+2,AND(N4080&lt;= 21, S4080=10), N4080-11)</f>
        <v>6</v>
      </c>
    </row>
    <row r="4081" spans="1:22" x14ac:dyDescent="0.35">
      <c r="A4081" s="4">
        <v>45582</v>
      </c>
      <c r="B4081" s="5">
        <v>1.0335648148148148E-2</v>
      </c>
      <c r="C4081">
        <v>65.400000000000006</v>
      </c>
      <c r="D4081">
        <v>65.599999999999994</v>
      </c>
      <c r="E4081">
        <v>65.3</v>
      </c>
      <c r="F4081">
        <v>65.599999999999994</v>
      </c>
      <c r="G4081">
        <v>0</v>
      </c>
      <c r="H4081">
        <v>0</v>
      </c>
      <c r="I4081">
        <v>0</v>
      </c>
      <c r="J4081">
        <v>0</v>
      </c>
      <c r="K4081">
        <v>62.2</v>
      </c>
      <c r="L4081">
        <v>62.5</v>
      </c>
      <c r="M4081">
        <v>65.58</v>
      </c>
      <c r="N4081">
        <v>17</v>
      </c>
      <c r="O4081">
        <v>2</v>
      </c>
      <c r="P4081">
        <f>MOD(DAY(datos_siembra[[#This Row],[Date]]),7)</f>
        <v>3</v>
      </c>
      <c r="Q4081" t="str">
        <f>CHOOSE(WEEKDAY(datos_siembra[[#This Row],[Date]],2),"L","M","X","J","V","S","D")</f>
        <v>J</v>
      </c>
      <c r="R4081">
        <f>WEEKNUM(datos_siembra[[#This Row],[Date]],2)-WEEKNUM(DATE(YEAR(datos_siembra[[#This Row],[Date]]),MONTH(datos_siembra[[#This Row],[Date]]),1))+1</f>
        <v>3</v>
      </c>
      <c r="S4081">
        <f>MONTH(datos_siembra[[#This Row],[Date]])</f>
        <v>10</v>
      </c>
      <c r="T4081" t="str" cm="1">
        <f t="array" ref="T4081">_xlfn.IFS(AND(N4081&lt;= 22, S4081=9), "SOWING",AND(N4081&lt;= 28, S4081=9), "COVERAGE",AND(N4081&lt;= 30, S4081=9), "FLUSH",AND(N4081&lt;= 11, S4081=10), "FLUSH",AND(N4081&lt;= 21, S4081=10), "PRODUCTION")</f>
        <v>PRODUCTION</v>
      </c>
      <c r="U4081">
        <f>HOUR(datos_siembra[[#This Row],[Hour]])</f>
        <v>0</v>
      </c>
      <c r="V4081" cm="1">
        <f t="array" ref="V4081">_xlfn.IFS(AND(N4081&lt;= 22, S4081=9), N4081-7,AND(N4081&lt;= 28, S4081=9), N4081-25,AND(N4081&lt;= 30, S4081=9), N4081-28,AND(N4081&lt;= 11, S4081=10), N4081+2,AND(N4081&lt;= 21, S4081=10), N4081-11)</f>
        <v>6</v>
      </c>
    </row>
    <row r="4082" spans="1:22" x14ac:dyDescent="0.35">
      <c r="A4082" s="4">
        <v>45582</v>
      </c>
      <c r="B4082" s="5">
        <v>1.7280092592592593E-2</v>
      </c>
      <c r="C4082">
        <v>65.400000000000006</v>
      </c>
      <c r="D4082">
        <v>65.599999999999994</v>
      </c>
      <c r="E4082">
        <v>65.400000000000006</v>
      </c>
      <c r="F4082">
        <v>65.599999999999994</v>
      </c>
      <c r="G4082">
        <v>0</v>
      </c>
      <c r="H4082">
        <v>0</v>
      </c>
      <c r="I4082">
        <v>0</v>
      </c>
      <c r="J4082">
        <v>0</v>
      </c>
      <c r="K4082">
        <v>61.9</v>
      </c>
      <c r="L4082">
        <v>62.4</v>
      </c>
      <c r="M4082">
        <v>65.44</v>
      </c>
      <c r="N4082">
        <v>17</v>
      </c>
      <c r="O4082">
        <v>2</v>
      </c>
      <c r="P4082">
        <f>MOD(DAY(datos_siembra[[#This Row],[Date]]),7)</f>
        <v>3</v>
      </c>
      <c r="Q4082" t="str">
        <f>CHOOSE(WEEKDAY(datos_siembra[[#This Row],[Date]],2),"L","M","X","J","V","S","D")</f>
        <v>J</v>
      </c>
      <c r="R4082">
        <f>WEEKNUM(datos_siembra[[#This Row],[Date]],2)-WEEKNUM(DATE(YEAR(datos_siembra[[#This Row],[Date]]),MONTH(datos_siembra[[#This Row],[Date]]),1))+1</f>
        <v>3</v>
      </c>
      <c r="S4082">
        <f>MONTH(datos_siembra[[#This Row],[Date]])</f>
        <v>10</v>
      </c>
      <c r="T4082" t="str" cm="1">
        <f t="array" ref="T4082">_xlfn.IFS(AND(N4082&lt;= 22, S4082=9), "SOWING",AND(N4082&lt;= 28, S4082=9), "COVERAGE",AND(N4082&lt;= 30, S4082=9), "FLUSH",AND(N4082&lt;= 11, S4082=10), "FLUSH",AND(N4082&lt;= 21, S4082=10), "PRODUCTION")</f>
        <v>PRODUCTION</v>
      </c>
      <c r="U4082">
        <f>HOUR(datos_siembra[[#This Row],[Hour]])</f>
        <v>0</v>
      </c>
      <c r="V4082" cm="1">
        <f t="array" ref="V4082">_xlfn.IFS(AND(N4082&lt;= 22, S4082=9), N4082-7,AND(N4082&lt;= 28, S4082=9), N4082-25,AND(N4082&lt;= 30, S4082=9), N4082-28,AND(N4082&lt;= 11, S4082=10), N4082+2,AND(N4082&lt;= 21, S4082=10), N4082-11)</f>
        <v>6</v>
      </c>
    </row>
    <row r="4083" spans="1:22" x14ac:dyDescent="0.35">
      <c r="A4083" s="4">
        <v>45582</v>
      </c>
      <c r="B4083" s="5">
        <v>2.4224537037037037E-2</v>
      </c>
      <c r="C4083">
        <v>65.400000000000006</v>
      </c>
      <c r="D4083">
        <v>65.900000000000006</v>
      </c>
      <c r="E4083">
        <v>65.3</v>
      </c>
      <c r="F4083">
        <v>65.599999999999994</v>
      </c>
      <c r="G4083">
        <v>0</v>
      </c>
      <c r="H4083">
        <v>0</v>
      </c>
      <c r="I4083">
        <v>0</v>
      </c>
      <c r="J4083">
        <v>0</v>
      </c>
      <c r="K4083">
        <v>62</v>
      </c>
      <c r="L4083">
        <v>62.4</v>
      </c>
      <c r="M4083">
        <v>65.5</v>
      </c>
      <c r="N4083">
        <v>17</v>
      </c>
      <c r="O4083">
        <v>2</v>
      </c>
      <c r="P4083">
        <f>MOD(DAY(datos_siembra[[#This Row],[Date]]),7)</f>
        <v>3</v>
      </c>
      <c r="Q4083" t="str">
        <f>CHOOSE(WEEKDAY(datos_siembra[[#This Row],[Date]],2),"L","M","X","J","V","S","D")</f>
        <v>J</v>
      </c>
      <c r="R4083">
        <f>WEEKNUM(datos_siembra[[#This Row],[Date]],2)-WEEKNUM(DATE(YEAR(datos_siembra[[#This Row],[Date]]),MONTH(datos_siembra[[#This Row],[Date]]),1))+1</f>
        <v>3</v>
      </c>
      <c r="S4083">
        <f>MONTH(datos_siembra[[#This Row],[Date]])</f>
        <v>10</v>
      </c>
      <c r="T4083" t="str" cm="1">
        <f t="array" ref="T4083">_xlfn.IFS(AND(N4083&lt;= 22, S4083=9), "SOWING",AND(N4083&lt;= 28, S4083=9), "COVERAGE",AND(N4083&lt;= 30, S4083=9), "FLUSH",AND(N4083&lt;= 11, S4083=10), "FLUSH",AND(N4083&lt;= 21, S4083=10), "PRODUCTION")</f>
        <v>PRODUCTION</v>
      </c>
      <c r="U4083">
        <f>HOUR(datos_siembra[[#This Row],[Hour]])</f>
        <v>0</v>
      </c>
      <c r="V4083" cm="1">
        <f t="array" ref="V4083">_xlfn.IFS(AND(N4083&lt;= 22, S4083=9), N4083-7,AND(N4083&lt;= 28, S4083=9), N4083-25,AND(N4083&lt;= 30, S4083=9), N4083-28,AND(N4083&lt;= 11, S4083=10), N4083+2,AND(N4083&lt;= 21, S4083=10), N4083-11)</f>
        <v>6</v>
      </c>
    </row>
    <row r="4084" spans="1:22" x14ac:dyDescent="0.35">
      <c r="A4084" s="4">
        <v>45582</v>
      </c>
      <c r="B4084" s="5">
        <v>3.1168981481481482E-2</v>
      </c>
      <c r="C4084">
        <v>65.400000000000006</v>
      </c>
      <c r="D4084">
        <v>65.5</v>
      </c>
      <c r="E4084">
        <v>65.599999999999994</v>
      </c>
      <c r="F4084">
        <v>65.599999999999994</v>
      </c>
      <c r="G4084">
        <v>0</v>
      </c>
      <c r="H4084">
        <v>0</v>
      </c>
      <c r="I4084">
        <v>0</v>
      </c>
      <c r="J4084">
        <v>0</v>
      </c>
      <c r="K4084">
        <v>62.2</v>
      </c>
      <c r="L4084">
        <v>62.3</v>
      </c>
      <c r="M4084">
        <v>65.61</v>
      </c>
      <c r="N4084">
        <v>17</v>
      </c>
      <c r="O4084">
        <v>2</v>
      </c>
      <c r="P4084">
        <f>MOD(DAY(datos_siembra[[#This Row],[Date]]),7)</f>
        <v>3</v>
      </c>
      <c r="Q4084" t="str">
        <f>CHOOSE(WEEKDAY(datos_siembra[[#This Row],[Date]],2),"L","M","X","J","V","S","D")</f>
        <v>J</v>
      </c>
      <c r="R4084">
        <f>WEEKNUM(datos_siembra[[#This Row],[Date]],2)-WEEKNUM(DATE(YEAR(datos_siembra[[#This Row],[Date]]),MONTH(datos_siembra[[#This Row],[Date]]),1))+1</f>
        <v>3</v>
      </c>
      <c r="S4084">
        <f>MONTH(datos_siembra[[#This Row],[Date]])</f>
        <v>10</v>
      </c>
      <c r="T4084" t="str" cm="1">
        <f t="array" ref="T4084">_xlfn.IFS(AND(N4084&lt;= 22, S4084=9), "SOWING",AND(N4084&lt;= 28, S4084=9), "COVERAGE",AND(N4084&lt;= 30, S4084=9), "FLUSH",AND(N4084&lt;= 11, S4084=10), "FLUSH",AND(N4084&lt;= 21, S4084=10), "PRODUCTION")</f>
        <v>PRODUCTION</v>
      </c>
      <c r="U4084">
        <f>HOUR(datos_siembra[[#This Row],[Hour]])</f>
        <v>0</v>
      </c>
      <c r="V4084" cm="1">
        <f t="array" ref="V4084">_xlfn.IFS(AND(N4084&lt;= 22, S4084=9), N4084-7,AND(N4084&lt;= 28, S4084=9), N4084-25,AND(N4084&lt;= 30, S4084=9), N4084-28,AND(N4084&lt;= 11, S4084=10), N4084+2,AND(N4084&lt;= 21, S4084=10), N4084-11)</f>
        <v>6</v>
      </c>
    </row>
    <row r="4085" spans="1:22" x14ac:dyDescent="0.35">
      <c r="A4085" s="4">
        <v>45582</v>
      </c>
      <c r="B4085" s="5">
        <v>3.8124999999999999E-2</v>
      </c>
      <c r="C4085">
        <v>65.5</v>
      </c>
      <c r="D4085">
        <v>65.900000000000006</v>
      </c>
      <c r="E4085">
        <v>65.400000000000006</v>
      </c>
      <c r="F4085">
        <v>65.599999999999994</v>
      </c>
      <c r="G4085">
        <v>0</v>
      </c>
      <c r="H4085">
        <v>0</v>
      </c>
      <c r="I4085">
        <v>0</v>
      </c>
      <c r="J4085">
        <v>0</v>
      </c>
      <c r="K4085">
        <v>62</v>
      </c>
      <c r="L4085">
        <v>62.4</v>
      </c>
      <c r="M4085">
        <v>65.52</v>
      </c>
      <c r="N4085">
        <v>17</v>
      </c>
      <c r="O4085">
        <v>2</v>
      </c>
      <c r="P4085">
        <f>MOD(DAY(datos_siembra[[#This Row],[Date]]),7)</f>
        <v>3</v>
      </c>
      <c r="Q4085" t="str">
        <f>CHOOSE(WEEKDAY(datos_siembra[[#This Row],[Date]],2),"L","M","X","J","V","S","D")</f>
        <v>J</v>
      </c>
      <c r="R4085">
        <f>WEEKNUM(datos_siembra[[#This Row],[Date]],2)-WEEKNUM(DATE(YEAR(datos_siembra[[#This Row],[Date]]),MONTH(datos_siembra[[#This Row],[Date]]),1))+1</f>
        <v>3</v>
      </c>
      <c r="S4085">
        <f>MONTH(datos_siembra[[#This Row],[Date]])</f>
        <v>10</v>
      </c>
      <c r="T4085" t="str" cm="1">
        <f t="array" ref="T4085">_xlfn.IFS(AND(N4085&lt;= 22, S4085=9), "SOWING",AND(N4085&lt;= 28, S4085=9), "COVERAGE",AND(N4085&lt;= 30, S4085=9), "FLUSH",AND(N4085&lt;= 11, S4085=10), "FLUSH",AND(N4085&lt;= 21, S4085=10), "PRODUCTION")</f>
        <v>PRODUCTION</v>
      </c>
      <c r="U4085">
        <f>HOUR(datos_siembra[[#This Row],[Hour]])</f>
        <v>0</v>
      </c>
      <c r="V4085" cm="1">
        <f t="array" ref="V4085">_xlfn.IFS(AND(N4085&lt;= 22, S4085=9), N4085-7,AND(N4085&lt;= 28, S4085=9), N4085-25,AND(N4085&lt;= 30, S4085=9), N4085-28,AND(N4085&lt;= 11, S4085=10), N4085+2,AND(N4085&lt;= 21, S4085=10), N4085-11)</f>
        <v>6</v>
      </c>
    </row>
    <row r="4086" spans="1:22" x14ac:dyDescent="0.35">
      <c r="A4086" s="4">
        <v>45582</v>
      </c>
      <c r="B4086" s="5">
        <v>4.5069444444444447E-2</v>
      </c>
      <c r="C4086">
        <v>65.400000000000006</v>
      </c>
      <c r="D4086">
        <v>65.8</v>
      </c>
      <c r="E4086">
        <v>65.3</v>
      </c>
      <c r="F4086">
        <v>65.5</v>
      </c>
      <c r="G4086">
        <v>0</v>
      </c>
      <c r="H4086">
        <v>0</v>
      </c>
      <c r="I4086">
        <v>0</v>
      </c>
      <c r="J4086">
        <v>0</v>
      </c>
      <c r="K4086">
        <v>61.8</v>
      </c>
      <c r="L4086">
        <v>62.3</v>
      </c>
      <c r="M4086">
        <v>65.5</v>
      </c>
      <c r="N4086">
        <v>17</v>
      </c>
      <c r="O4086">
        <v>2</v>
      </c>
      <c r="P4086">
        <f>MOD(DAY(datos_siembra[[#This Row],[Date]]),7)</f>
        <v>3</v>
      </c>
      <c r="Q4086" t="str">
        <f>CHOOSE(WEEKDAY(datos_siembra[[#This Row],[Date]],2),"L","M","X","J","V","S","D")</f>
        <v>J</v>
      </c>
      <c r="R4086">
        <f>WEEKNUM(datos_siembra[[#This Row],[Date]],2)-WEEKNUM(DATE(YEAR(datos_siembra[[#This Row],[Date]]),MONTH(datos_siembra[[#This Row],[Date]]),1))+1</f>
        <v>3</v>
      </c>
      <c r="S4086">
        <f>MONTH(datos_siembra[[#This Row],[Date]])</f>
        <v>10</v>
      </c>
      <c r="T4086" t="str" cm="1">
        <f t="array" ref="T4086">_xlfn.IFS(AND(N4086&lt;= 22, S4086=9), "SOWING",AND(N4086&lt;= 28, S4086=9), "COVERAGE",AND(N4086&lt;= 30, S4086=9), "FLUSH",AND(N4086&lt;= 11, S4086=10), "FLUSH",AND(N4086&lt;= 21, S4086=10), "PRODUCTION")</f>
        <v>PRODUCTION</v>
      </c>
      <c r="U4086">
        <f>HOUR(datos_siembra[[#This Row],[Hour]])</f>
        <v>1</v>
      </c>
      <c r="V4086" cm="1">
        <f t="array" ref="V4086">_xlfn.IFS(AND(N4086&lt;= 22, S4086=9), N4086-7,AND(N4086&lt;= 28, S4086=9), N4086-25,AND(N4086&lt;= 30, S4086=9), N4086-28,AND(N4086&lt;= 11, S4086=10), N4086+2,AND(N4086&lt;= 21, S4086=10), N4086-11)</f>
        <v>6</v>
      </c>
    </row>
    <row r="4087" spans="1:22" x14ac:dyDescent="0.35">
      <c r="A4087" s="4">
        <v>45582</v>
      </c>
      <c r="B4087" s="5">
        <v>5.2013888888888887E-2</v>
      </c>
      <c r="C4087">
        <v>65.400000000000006</v>
      </c>
      <c r="D4087">
        <v>65.599999999999994</v>
      </c>
      <c r="E4087">
        <v>65.400000000000006</v>
      </c>
      <c r="F4087">
        <v>65.400000000000006</v>
      </c>
      <c r="G4087">
        <v>0</v>
      </c>
      <c r="H4087">
        <v>0</v>
      </c>
      <c r="I4087">
        <v>0</v>
      </c>
      <c r="J4087">
        <v>0</v>
      </c>
      <c r="K4087">
        <v>61.9</v>
      </c>
      <c r="L4087">
        <v>62.3</v>
      </c>
      <c r="M4087">
        <v>65.47</v>
      </c>
      <c r="N4087">
        <v>17</v>
      </c>
      <c r="O4087">
        <v>2</v>
      </c>
      <c r="P4087">
        <f>MOD(DAY(datos_siembra[[#This Row],[Date]]),7)</f>
        <v>3</v>
      </c>
      <c r="Q4087" t="str">
        <f>CHOOSE(WEEKDAY(datos_siembra[[#This Row],[Date]],2),"L","M","X","J","V","S","D")</f>
        <v>J</v>
      </c>
      <c r="R4087">
        <f>WEEKNUM(datos_siembra[[#This Row],[Date]],2)-WEEKNUM(DATE(YEAR(datos_siembra[[#This Row],[Date]]),MONTH(datos_siembra[[#This Row],[Date]]),1))+1</f>
        <v>3</v>
      </c>
      <c r="S4087">
        <f>MONTH(datos_siembra[[#This Row],[Date]])</f>
        <v>10</v>
      </c>
      <c r="T4087" t="str" cm="1">
        <f t="array" ref="T4087">_xlfn.IFS(AND(N4087&lt;= 22, S4087=9), "SOWING",AND(N4087&lt;= 28, S4087=9), "COVERAGE",AND(N4087&lt;= 30, S4087=9), "FLUSH",AND(N4087&lt;= 11, S4087=10), "FLUSH",AND(N4087&lt;= 21, S4087=10), "PRODUCTION")</f>
        <v>PRODUCTION</v>
      </c>
      <c r="U4087">
        <f>HOUR(datos_siembra[[#This Row],[Hour]])</f>
        <v>1</v>
      </c>
      <c r="V4087" cm="1">
        <f t="array" ref="V4087">_xlfn.IFS(AND(N4087&lt;= 22, S4087=9), N4087-7,AND(N4087&lt;= 28, S4087=9), N4087-25,AND(N4087&lt;= 30, S4087=9), N4087-28,AND(N4087&lt;= 11, S4087=10), N4087+2,AND(N4087&lt;= 21, S4087=10), N4087-11)</f>
        <v>6</v>
      </c>
    </row>
    <row r="4088" spans="1:22" x14ac:dyDescent="0.35">
      <c r="A4088" s="4">
        <v>45582</v>
      </c>
      <c r="B4088" s="5">
        <v>5.8969907407407408E-2</v>
      </c>
      <c r="C4088">
        <v>65.3</v>
      </c>
      <c r="D4088">
        <v>65.8</v>
      </c>
      <c r="E4088">
        <v>65.3</v>
      </c>
      <c r="F4088">
        <v>65.599999999999994</v>
      </c>
      <c r="G4088">
        <v>0</v>
      </c>
      <c r="H4088">
        <v>0</v>
      </c>
      <c r="I4088">
        <v>0</v>
      </c>
      <c r="J4088">
        <v>0</v>
      </c>
      <c r="K4088">
        <v>61.8</v>
      </c>
      <c r="L4088">
        <v>62.2</v>
      </c>
      <c r="M4088">
        <v>65.55</v>
      </c>
      <c r="N4088">
        <v>17</v>
      </c>
      <c r="O4088">
        <v>2</v>
      </c>
      <c r="P4088">
        <f>MOD(DAY(datos_siembra[[#This Row],[Date]]),7)</f>
        <v>3</v>
      </c>
      <c r="Q4088" t="str">
        <f>CHOOSE(WEEKDAY(datos_siembra[[#This Row],[Date]],2),"L","M","X","J","V","S","D")</f>
        <v>J</v>
      </c>
      <c r="R4088">
        <f>WEEKNUM(datos_siembra[[#This Row],[Date]],2)-WEEKNUM(DATE(YEAR(datos_siembra[[#This Row],[Date]]),MONTH(datos_siembra[[#This Row],[Date]]),1))+1</f>
        <v>3</v>
      </c>
      <c r="S4088">
        <f>MONTH(datos_siembra[[#This Row],[Date]])</f>
        <v>10</v>
      </c>
      <c r="T4088" t="str" cm="1">
        <f t="array" ref="T4088">_xlfn.IFS(AND(N4088&lt;= 22, S4088=9), "SOWING",AND(N4088&lt;= 28, S4088=9), "COVERAGE",AND(N4088&lt;= 30, S4088=9), "FLUSH",AND(N4088&lt;= 11, S4088=10), "FLUSH",AND(N4088&lt;= 21, S4088=10), "PRODUCTION")</f>
        <v>PRODUCTION</v>
      </c>
      <c r="U4088">
        <f>HOUR(datos_siembra[[#This Row],[Hour]])</f>
        <v>1</v>
      </c>
      <c r="V4088" cm="1">
        <f t="array" ref="V4088">_xlfn.IFS(AND(N4088&lt;= 22, S4088=9), N4088-7,AND(N4088&lt;= 28, S4088=9), N4088-25,AND(N4088&lt;= 30, S4088=9), N4088-28,AND(N4088&lt;= 11, S4088=10), N4088+2,AND(N4088&lt;= 21, S4088=10), N4088-11)</f>
        <v>6</v>
      </c>
    </row>
    <row r="4089" spans="1:22" x14ac:dyDescent="0.35">
      <c r="A4089" s="4">
        <v>45582</v>
      </c>
      <c r="B4089" s="5">
        <v>6.5914351851851849E-2</v>
      </c>
      <c r="C4089">
        <v>65.400000000000006</v>
      </c>
      <c r="D4089">
        <v>65.8</v>
      </c>
      <c r="E4089">
        <v>65.2</v>
      </c>
      <c r="F4089">
        <v>65.5</v>
      </c>
      <c r="G4089">
        <v>0</v>
      </c>
      <c r="H4089">
        <v>0</v>
      </c>
      <c r="I4089">
        <v>0</v>
      </c>
      <c r="J4089">
        <v>0</v>
      </c>
      <c r="K4089">
        <v>61.8</v>
      </c>
      <c r="L4089">
        <v>62.3</v>
      </c>
      <c r="M4089">
        <v>65.5</v>
      </c>
      <c r="N4089">
        <v>17</v>
      </c>
      <c r="O4089">
        <v>2</v>
      </c>
      <c r="P4089">
        <f>MOD(DAY(datos_siembra[[#This Row],[Date]]),7)</f>
        <v>3</v>
      </c>
      <c r="Q4089" t="str">
        <f>CHOOSE(WEEKDAY(datos_siembra[[#This Row],[Date]],2),"L","M","X","J","V","S","D")</f>
        <v>J</v>
      </c>
      <c r="R4089">
        <f>WEEKNUM(datos_siembra[[#This Row],[Date]],2)-WEEKNUM(DATE(YEAR(datos_siembra[[#This Row],[Date]]),MONTH(datos_siembra[[#This Row],[Date]]),1))+1</f>
        <v>3</v>
      </c>
      <c r="S4089">
        <f>MONTH(datos_siembra[[#This Row],[Date]])</f>
        <v>10</v>
      </c>
      <c r="T4089" t="str" cm="1">
        <f t="array" ref="T4089">_xlfn.IFS(AND(N4089&lt;= 22, S4089=9), "SOWING",AND(N4089&lt;= 28, S4089=9), "COVERAGE",AND(N4089&lt;= 30, S4089=9), "FLUSH",AND(N4089&lt;= 11, S4089=10), "FLUSH",AND(N4089&lt;= 21, S4089=10), "PRODUCTION")</f>
        <v>PRODUCTION</v>
      </c>
      <c r="U4089">
        <f>HOUR(datos_siembra[[#This Row],[Hour]])</f>
        <v>1</v>
      </c>
      <c r="V4089" cm="1">
        <f t="array" ref="V4089">_xlfn.IFS(AND(N4089&lt;= 22, S4089=9), N4089-7,AND(N4089&lt;= 28, S4089=9), N4089-25,AND(N4089&lt;= 30, S4089=9), N4089-28,AND(N4089&lt;= 11, S4089=10), N4089+2,AND(N4089&lt;= 21, S4089=10), N4089-11)</f>
        <v>6</v>
      </c>
    </row>
    <row r="4090" spans="1:22" x14ac:dyDescent="0.35">
      <c r="A4090" s="4">
        <v>45582</v>
      </c>
      <c r="B4090" s="5">
        <v>7.2858796296296297E-2</v>
      </c>
      <c r="C4090">
        <v>65.3</v>
      </c>
      <c r="D4090">
        <v>65.8</v>
      </c>
      <c r="E4090">
        <v>65.3</v>
      </c>
      <c r="F4090">
        <v>65.8</v>
      </c>
      <c r="G4090">
        <v>0</v>
      </c>
      <c r="H4090">
        <v>0</v>
      </c>
      <c r="I4090">
        <v>0</v>
      </c>
      <c r="J4090">
        <v>0</v>
      </c>
      <c r="K4090">
        <v>61.7</v>
      </c>
      <c r="L4090">
        <v>62.2</v>
      </c>
      <c r="M4090">
        <v>65.52</v>
      </c>
      <c r="N4090">
        <v>17</v>
      </c>
      <c r="O4090">
        <v>2</v>
      </c>
      <c r="P4090">
        <f>MOD(DAY(datos_siembra[[#This Row],[Date]]),7)</f>
        <v>3</v>
      </c>
      <c r="Q4090" t="str">
        <f>CHOOSE(WEEKDAY(datos_siembra[[#This Row],[Date]],2),"L","M","X","J","V","S","D")</f>
        <v>J</v>
      </c>
      <c r="R4090">
        <f>WEEKNUM(datos_siembra[[#This Row],[Date]],2)-WEEKNUM(DATE(YEAR(datos_siembra[[#This Row],[Date]]),MONTH(datos_siembra[[#This Row],[Date]]),1))+1</f>
        <v>3</v>
      </c>
      <c r="S4090">
        <f>MONTH(datos_siembra[[#This Row],[Date]])</f>
        <v>10</v>
      </c>
      <c r="T4090" t="str" cm="1">
        <f t="array" ref="T4090">_xlfn.IFS(AND(N4090&lt;= 22, S4090=9), "SOWING",AND(N4090&lt;= 28, S4090=9), "COVERAGE",AND(N4090&lt;= 30, S4090=9), "FLUSH",AND(N4090&lt;= 11, S4090=10), "FLUSH",AND(N4090&lt;= 21, S4090=10), "PRODUCTION")</f>
        <v>PRODUCTION</v>
      </c>
      <c r="U4090">
        <f>HOUR(datos_siembra[[#This Row],[Hour]])</f>
        <v>1</v>
      </c>
      <c r="V4090" cm="1">
        <f t="array" ref="V4090">_xlfn.IFS(AND(N4090&lt;= 22, S4090=9), N4090-7,AND(N4090&lt;= 28, S4090=9), N4090-25,AND(N4090&lt;= 30, S4090=9), N4090-28,AND(N4090&lt;= 11, S4090=10), N4090+2,AND(N4090&lt;= 21, S4090=10), N4090-11)</f>
        <v>6</v>
      </c>
    </row>
    <row r="4091" spans="1:22" x14ac:dyDescent="0.35">
      <c r="A4091" s="4">
        <v>45582</v>
      </c>
      <c r="B4091" s="5">
        <v>7.9803240740740744E-2</v>
      </c>
      <c r="C4091">
        <v>65.3</v>
      </c>
      <c r="D4091">
        <v>65.599999999999994</v>
      </c>
      <c r="E4091">
        <v>65.3</v>
      </c>
      <c r="F4091">
        <v>65.8</v>
      </c>
      <c r="G4091">
        <v>0</v>
      </c>
      <c r="H4091">
        <v>0</v>
      </c>
      <c r="I4091">
        <v>0</v>
      </c>
      <c r="J4091">
        <v>0</v>
      </c>
      <c r="K4091">
        <v>61.7</v>
      </c>
      <c r="L4091">
        <v>62.2</v>
      </c>
      <c r="M4091">
        <v>65.58</v>
      </c>
      <c r="N4091">
        <v>17</v>
      </c>
      <c r="O4091">
        <v>2</v>
      </c>
      <c r="P4091">
        <f>MOD(DAY(datos_siembra[[#This Row],[Date]]),7)</f>
        <v>3</v>
      </c>
      <c r="Q4091" t="str">
        <f>CHOOSE(WEEKDAY(datos_siembra[[#This Row],[Date]],2),"L","M","X","J","V","S","D")</f>
        <v>J</v>
      </c>
      <c r="R4091">
        <f>WEEKNUM(datos_siembra[[#This Row],[Date]],2)-WEEKNUM(DATE(YEAR(datos_siembra[[#This Row],[Date]]),MONTH(datos_siembra[[#This Row],[Date]]),1))+1</f>
        <v>3</v>
      </c>
      <c r="S4091">
        <f>MONTH(datos_siembra[[#This Row],[Date]])</f>
        <v>10</v>
      </c>
      <c r="T4091" t="str" cm="1">
        <f t="array" ref="T4091">_xlfn.IFS(AND(N4091&lt;= 22, S4091=9), "SOWING",AND(N4091&lt;= 28, S4091=9), "COVERAGE",AND(N4091&lt;= 30, S4091=9), "FLUSH",AND(N4091&lt;= 11, S4091=10), "FLUSH",AND(N4091&lt;= 21, S4091=10), "PRODUCTION")</f>
        <v>PRODUCTION</v>
      </c>
      <c r="U4091">
        <f>HOUR(datos_siembra[[#This Row],[Hour]])</f>
        <v>1</v>
      </c>
      <c r="V4091" cm="1">
        <f t="array" ref="V4091">_xlfn.IFS(AND(N4091&lt;= 22, S4091=9), N4091-7,AND(N4091&lt;= 28, S4091=9), N4091-25,AND(N4091&lt;= 30, S4091=9), N4091-28,AND(N4091&lt;= 11, S4091=10), N4091+2,AND(N4091&lt;= 21, S4091=10), N4091-11)</f>
        <v>6</v>
      </c>
    </row>
    <row r="4092" spans="1:22" x14ac:dyDescent="0.35">
      <c r="A4092" s="4">
        <v>45582</v>
      </c>
      <c r="B4092" s="5">
        <v>8.6759259259259258E-2</v>
      </c>
      <c r="C4092">
        <v>65.400000000000006</v>
      </c>
      <c r="D4092">
        <v>65.8</v>
      </c>
      <c r="E4092">
        <v>65.400000000000006</v>
      </c>
      <c r="F4092">
        <v>65.5</v>
      </c>
      <c r="G4092">
        <v>0</v>
      </c>
      <c r="H4092">
        <v>0</v>
      </c>
      <c r="I4092">
        <v>0</v>
      </c>
      <c r="J4092">
        <v>0</v>
      </c>
      <c r="K4092">
        <v>61.6</v>
      </c>
      <c r="L4092">
        <v>62</v>
      </c>
      <c r="M4092">
        <v>65.55</v>
      </c>
      <c r="N4092">
        <v>17</v>
      </c>
      <c r="O4092">
        <v>2</v>
      </c>
      <c r="P4092">
        <f>MOD(DAY(datos_siembra[[#This Row],[Date]]),7)</f>
        <v>3</v>
      </c>
      <c r="Q4092" t="str">
        <f>CHOOSE(WEEKDAY(datos_siembra[[#This Row],[Date]],2),"L","M","X","J","V","S","D")</f>
        <v>J</v>
      </c>
      <c r="R4092">
        <f>WEEKNUM(datos_siembra[[#This Row],[Date]],2)-WEEKNUM(DATE(YEAR(datos_siembra[[#This Row],[Date]]),MONTH(datos_siembra[[#This Row],[Date]]),1))+1</f>
        <v>3</v>
      </c>
      <c r="S4092">
        <f>MONTH(datos_siembra[[#This Row],[Date]])</f>
        <v>10</v>
      </c>
      <c r="T4092" t="str" cm="1">
        <f t="array" ref="T4092">_xlfn.IFS(AND(N4092&lt;= 22, S4092=9), "SOWING",AND(N4092&lt;= 28, S4092=9), "COVERAGE",AND(N4092&lt;= 30, S4092=9), "FLUSH",AND(N4092&lt;= 11, S4092=10), "FLUSH",AND(N4092&lt;= 21, S4092=10), "PRODUCTION")</f>
        <v>PRODUCTION</v>
      </c>
      <c r="U4092">
        <f>HOUR(datos_siembra[[#This Row],[Hour]])</f>
        <v>2</v>
      </c>
      <c r="V4092" cm="1">
        <f t="array" ref="V4092">_xlfn.IFS(AND(N4092&lt;= 22, S4092=9), N4092-7,AND(N4092&lt;= 28, S4092=9), N4092-25,AND(N4092&lt;= 30, S4092=9), N4092-28,AND(N4092&lt;= 11, S4092=10), N4092+2,AND(N4092&lt;= 21, S4092=10), N4092-11)</f>
        <v>6</v>
      </c>
    </row>
    <row r="4093" spans="1:22" x14ac:dyDescent="0.35">
      <c r="A4093" s="4">
        <v>45582</v>
      </c>
      <c r="B4093" s="5">
        <v>9.3703703703703706E-2</v>
      </c>
      <c r="C4093">
        <v>65.400000000000006</v>
      </c>
      <c r="D4093">
        <v>65.900000000000006</v>
      </c>
      <c r="E4093">
        <v>65.400000000000006</v>
      </c>
      <c r="F4093">
        <v>65.8</v>
      </c>
      <c r="G4093">
        <v>0</v>
      </c>
      <c r="H4093">
        <v>0</v>
      </c>
      <c r="I4093">
        <v>0</v>
      </c>
      <c r="J4093">
        <v>0</v>
      </c>
      <c r="K4093">
        <v>61.6</v>
      </c>
      <c r="L4093">
        <v>62</v>
      </c>
      <c r="M4093">
        <v>65.52</v>
      </c>
      <c r="N4093">
        <v>17</v>
      </c>
      <c r="O4093">
        <v>2</v>
      </c>
      <c r="P4093">
        <f>MOD(DAY(datos_siembra[[#This Row],[Date]]),7)</f>
        <v>3</v>
      </c>
      <c r="Q4093" t="str">
        <f>CHOOSE(WEEKDAY(datos_siembra[[#This Row],[Date]],2),"L","M","X","J","V","S","D")</f>
        <v>J</v>
      </c>
      <c r="R4093">
        <f>WEEKNUM(datos_siembra[[#This Row],[Date]],2)-WEEKNUM(DATE(YEAR(datos_siembra[[#This Row],[Date]]),MONTH(datos_siembra[[#This Row],[Date]]),1))+1</f>
        <v>3</v>
      </c>
      <c r="S4093">
        <f>MONTH(datos_siembra[[#This Row],[Date]])</f>
        <v>10</v>
      </c>
      <c r="T4093" t="str" cm="1">
        <f t="array" ref="T4093">_xlfn.IFS(AND(N4093&lt;= 22, S4093=9), "SOWING",AND(N4093&lt;= 28, S4093=9), "COVERAGE",AND(N4093&lt;= 30, S4093=9), "FLUSH",AND(N4093&lt;= 11, S4093=10), "FLUSH",AND(N4093&lt;= 21, S4093=10), "PRODUCTION")</f>
        <v>PRODUCTION</v>
      </c>
      <c r="U4093">
        <f>HOUR(datos_siembra[[#This Row],[Hour]])</f>
        <v>2</v>
      </c>
      <c r="V4093" cm="1">
        <f t="array" ref="V4093">_xlfn.IFS(AND(N4093&lt;= 22, S4093=9), N4093-7,AND(N4093&lt;= 28, S4093=9), N4093-25,AND(N4093&lt;= 30, S4093=9), N4093-28,AND(N4093&lt;= 11, S4093=10), N4093+2,AND(N4093&lt;= 21, S4093=10), N4093-11)</f>
        <v>6</v>
      </c>
    </row>
    <row r="4094" spans="1:22" x14ac:dyDescent="0.35">
      <c r="A4094" s="4">
        <v>45582</v>
      </c>
      <c r="B4094" s="5">
        <v>0.10064814814814815</v>
      </c>
      <c r="C4094">
        <v>65.400000000000006</v>
      </c>
      <c r="D4094">
        <v>65.599999999999994</v>
      </c>
      <c r="E4094">
        <v>65.400000000000006</v>
      </c>
      <c r="F4094">
        <v>65.5</v>
      </c>
      <c r="G4094">
        <v>0</v>
      </c>
      <c r="H4094">
        <v>0</v>
      </c>
      <c r="I4094">
        <v>0</v>
      </c>
      <c r="J4094">
        <v>0</v>
      </c>
      <c r="K4094">
        <v>61.4</v>
      </c>
      <c r="L4094">
        <v>61.9</v>
      </c>
      <c r="M4094">
        <v>65.55</v>
      </c>
      <c r="N4094">
        <v>17</v>
      </c>
      <c r="O4094">
        <v>2</v>
      </c>
      <c r="P4094">
        <f>MOD(DAY(datos_siembra[[#This Row],[Date]]),7)</f>
        <v>3</v>
      </c>
      <c r="Q4094" t="str">
        <f>CHOOSE(WEEKDAY(datos_siembra[[#This Row],[Date]],2),"L","M","X","J","V","S","D")</f>
        <v>J</v>
      </c>
      <c r="R4094">
        <f>WEEKNUM(datos_siembra[[#This Row],[Date]],2)-WEEKNUM(DATE(YEAR(datos_siembra[[#This Row],[Date]]),MONTH(datos_siembra[[#This Row],[Date]]),1))+1</f>
        <v>3</v>
      </c>
      <c r="S4094">
        <f>MONTH(datos_siembra[[#This Row],[Date]])</f>
        <v>10</v>
      </c>
      <c r="T4094" t="str" cm="1">
        <f t="array" ref="T4094">_xlfn.IFS(AND(N4094&lt;= 22, S4094=9), "SOWING",AND(N4094&lt;= 28, S4094=9), "COVERAGE",AND(N4094&lt;= 30, S4094=9), "FLUSH",AND(N4094&lt;= 11, S4094=10), "FLUSH",AND(N4094&lt;= 21, S4094=10), "PRODUCTION")</f>
        <v>PRODUCTION</v>
      </c>
      <c r="U4094">
        <f>HOUR(datos_siembra[[#This Row],[Hour]])</f>
        <v>2</v>
      </c>
      <c r="V4094" cm="1">
        <f t="array" ref="V4094">_xlfn.IFS(AND(N4094&lt;= 22, S4094=9), N4094-7,AND(N4094&lt;= 28, S4094=9), N4094-25,AND(N4094&lt;= 30, S4094=9), N4094-28,AND(N4094&lt;= 11, S4094=10), N4094+2,AND(N4094&lt;= 21, S4094=10), N4094-11)</f>
        <v>6</v>
      </c>
    </row>
    <row r="4095" spans="1:22" x14ac:dyDescent="0.35">
      <c r="A4095" s="4">
        <v>45582</v>
      </c>
      <c r="B4095" s="5">
        <v>0.10760416666666667</v>
      </c>
      <c r="C4095">
        <v>65.400000000000006</v>
      </c>
      <c r="D4095">
        <v>65.8</v>
      </c>
      <c r="E4095">
        <v>65.400000000000006</v>
      </c>
      <c r="F4095">
        <v>65.5</v>
      </c>
      <c r="G4095">
        <v>0</v>
      </c>
      <c r="H4095">
        <v>0</v>
      </c>
      <c r="I4095">
        <v>0</v>
      </c>
      <c r="J4095">
        <v>0</v>
      </c>
      <c r="K4095">
        <v>61.4</v>
      </c>
      <c r="L4095">
        <v>61.8</v>
      </c>
      <c r="M4095">
        <v>65.52</v>
      </c>
      <c r="N4095">
        <v>17</v>
      </c>
      <c r="O4095">
        <v>2</v>
      </c>
      <c r="P4095">
        <f>MOD(DAY(datos_siembra[[#This Row],[Date]]),7)</f>
        <v>3</v>
      </c>
      <c r="Q4095" t="str">
        <f>CHOOSE(WEEKDAY(datos_siembra[[#This Row],[Date]],2),"L","M","X","J","V","S","D")</f>
        <v>J</v>
      </c>
      <c r="R4095">
        <f>WEEKNUM(datos_siembra[[#This Row],[Date]],2)-WEEKNUM(DATE(YEAR(datos_siembra[[#This Row],[Date]]),MONTH(datos_siembra[[#This Row],[Date]]),1))+1</f>
        <v>3</v>
      </c>
      <c r="S4095">
        <f>MONTH(datos_siembra[[#This Row],[Date]])</f>
        <v>10</v>
      </c>
      <c r="T4095" t="str" cm="1">
        <f t="array" ref="T4095">_xlfn.IFS(AND(N4095&lt;= 22, S4095=9), "SOWING",AND(N4095&lt;= 28, S4095=9), "COVERAGE",AND(N4095&lt;= 30, S4095=9), "FLUSH",AND(N4095&lt;= 11, S4095=10), "FLUSH",AND(N4095&lt;= 21, S4095=10), "PRODUCTION")</f>
        <v>PRODUCTION</v>
      </c>
      <c r="U4095">
        <f>HOUR(datos_siembra[[#This Row],[Hour]])</f>
        <v>2</v>
      </c>
      <c r="V4095" cm="1">
        <f t="array" ref="V4095">_xlfn.IFS(AND(N4095&lt;= 22, S4095=9), N4095-7,AND(N4095&lt;= 28, S4095=9), N4095-25,AND(N4095&lt;= 30, S4095=9), N4095-28,AND(N4095&lt;= 11, S4095=10), N4095+2,AND(N4095&lt;= 21, S4095=10), N4095-11)</f>
        <v>6</v>
      </c>
    </row>
    <row r="4096" spans="1:22" x14ac:dyDescent="0.35">
      <c r="A4096" s="4">
        <v>45582</v>
      </c>
      <c r="B4096" s="5">
        <v>0.11454861111111111</v>
      </c>
      <c r="C4096">
        <v>65.400000000000006</v>
      </c>
      <c r="D4096">
        <v>65.599999999999994</v>
      </c>
      <c r="E4096">
        <v>65.3</v>
      </c>
      <c r="F4096">
        <v>65.599999999999994</v>
      </c>
      <c r="G4096">
        <v>0</v>
      </c>
      <c r="H4096">
        <v>0</v>
      </c>
      <c r="I4096">
        <v>0</v>
      </c>
      <c r="J4096">
        <v>0</v>
      </c>
      <c r="K4096">
        <v>61.2</v>
      </c>
      <c r="L4096">
        <v>61.7</v>
      </c>
      <c r="M4096">
        <v>65.58</v>
      </c>
      <c r="N4096">
        <v>17</v>
      </c>
      <c r="O4096">
        <v>2</v>
      </c>
      <c r="P4096">
        <f>MOD(DAY(datos_siembra[[#This Row],[Date]]),7)</f>
        <v>3</v>
      </c>
      <c r="Q4096" t="str">
        <f>CHOOSE(WEEKDAY(datos_siembra[[#This Row],[Date]],2),"L","M","X","J","V","S","D")</f>
        <v>J</v>
      </c>
      <c r="R4096">
        <f>WEEKNUM(datos_siembra[[#This Row],[Date]],2)-WEEKNUM(DATE(YEAR(datos_siembra[[#This Row],[Date]]),MONTH(datos_siembra[[#This Row],[Date]]),1))+1</f>
        <v>3</v>
      </c>
      <c r="S4096">
        <f>MONTH(datos_siembra[[#This Row],[Date]])</f>
        <v>10</v>
      </c>
      <c r="T4096" t="str" cm="1">
        <f t="array" ref="T4096">_xlfn.IFS(AND(N4096&lt;= 22, S4096=9), "SOWING",AND(N4096&lt;= 28, S4096=9), "COVERAGE",AND(N4096&lt;= 30, S4096=9), "FLUSH",AND(N4096&lt;= 11, S4096=10), "FLUSH",AND(N4096&lt;= 21, S4096=10), "PRODUCTION")</f>
        <v>PRODUCTION</v>
      </c>
      <c r="U4096">
        <f>HOUR(datos_siembra[[#This Row],[Hour]])</f>
        <v>2</v>
      </c>
      <c r="V4096" cm="1">
        <f t="array" ref="V4096">_xlfn.IFS(AND(N4096&lt;= 22, S4096=9), N4096-7,AND(N4096&lt;= 28, S4096=9), N4096-25,AND(N4096&lt;= 30, S4096=9), N4096-28,AND(N4096&lt;= 11, S4096=10), N4096+2,AND(N4096&lt;= 21, S4096=10), N4096-11)</f>
        <v>6</v>
      </c>
    </row>
    <row r="4097" spans="1:22" x14ac:dyDescent="0.35">
      <c r="A4097" s="4">
        <v>45582</v>
      </c>
      <c r="B4097" s="5">
        <v>0.12149305555555556</v>
      </c>
      <c r="C4097">
        <v>65.3</v>
      </c>
      <c r="D4097">
        <v>65.900000000000006</v>
      </c>
      <c r="E4097">
        <v>65.3</v>
      </c>
      <c r="F4097">
        <v>65.599999999999994</v>
      </c>
      <c r="G4097">
        <v>0</v>
      </c>
      <c r="H4097">
        <v>0</v>
      </c>
      <c r="I4097">
        <v>0</v>
      </c>
      <c r="J4097">
        <v>0</v>
      </c>
      <c r="K4097">
        <v>61.1</v>
      </c>
      <c r="L4097">
        <v>61.7</v>
      </c>
      <c r="M4097">
        <v>65.52</v>
      </c>
      <c r="N4097">
        <v>17</v>
      </c>
      <c r="O4097">
        <v>2</v>
      </c>
      <c r="P4097">
        <f>MOD(DAY(datos_siembra[[#This Row],[Date]]),7)</f>
        <v>3</v>
      </c>
      <c r="Q4097" t="str">
        <f>CHOOSE(WEEKDAY(datos_siembra[[#This Row],[Date]],2),"L","M","X","J","V","S","D")</f>
        <v>J</v>
      </c>
      <c r="R4097">
        <f>WEEKNUM(datos_siembra[[#This Row],[Date]],2)-WEEKNUM(DATE(YEAR(datos_siembra[[#This Row],[Date]]),MONTH(datos_siembra[[#This Row],[Date]]),1))+1</f>
        <v>3</v>
      </c>
      <c r="S4097">
        <f>MONTH(datos_siembra[[#This Row],[Date]])</f>
        <v>10</v>
      </c>
      <c r="T4097" t="str" cm="1">
        <f t="array" ref="T4097">_xlfn.IFS(AND(N4097&lt;= 22, S4097=9), "SOWING",AND(N4097&lt;= 28, S4097=9), "COVERAGE",AND(N4097&lt;= 30, S4097=9), "FLUSH",AND(N4097&lt;= 11, S4097=10), "FLUSH",AND(N4097&lt;= 21, S4097=10), "PRODUCTION")</f>
        <v>PRODUCTION</v>
      </c>
      <c r="U4097">
        <f>HOUR(datos_siembra[[#This Row],[Hour]])</f>
        <v>2</v>
      </c>
      <c r="V4097" cm="1">
        <f t="array" ref="V4097">_xlfn.IFS(AND(N4097&lt;= 22, S4097=9), N4097-7,AND(N4097&lt;= 28, S4097=9), N4097-25,AND(N4097&lt;= 30, S4097=9), N4097-28,AND(N4097&lt;= 11, S4097=10), N4097+2,AND(N4097&lt;= 21, S4097=10), N4097-11)</f>
        <v>6</v>
      </c>
    </row>
    <row r="4098" spans="1:22" x14ac:dyDescent="0.35">
      <c r="A4098" s="4">
        <v>45582</v>
      </c>
      <c r="B4098" s="5">
        <v>0.12843750000000001</v>
      </c>
      <c r="C4098">
        <v>65.5</v>
      </c>
      <c r="D4098">
        <v>65.8</v>
      </c>
      <c r="E4098">
        <v>65.3</v>
      </c>
      <c r="F4098">
        <v>65.599999999999994</v>
      </c>
      <c r="G4098">
        <v>0</v>
      </c>
      <c r="H4098">
        <v>0</v>
      </c>
      <c r="I4098">
        <v>0</v>
      </c>
      <c r="J4098">
        <v>0</v>
      </c>
      <c r="K4098">
        <v>61</v>
      </c>
      <c r="L4098">
        <v>61.6</v>
      </c>
      <c r="M4098">
        <v>65.5</v>
      </c>
      <c r="N4098">
        <v>17</v>
      </c>
      <c r="O4098">
        <v>2</v>
      </c>
      <c r="P4098">
        <f>MOD(DAY(datos_siembra[[#This Row],[Date]]),7)</f>
        <v>3</v>
      </c>
      <c r="Q4098" t="str">
        <f>CHOOSE(WEEKDAY(datos_siembra[[#This Row],[Date]],2),"L","M","X","J","V","S","D")</f>
        <v>J</v>
      </c>
      <c r="R4098">
        <f>WEEKNUM(datos_siembra[[#This Row],[Date]],2)-WEEKNUM(DATE(YEAR(datos_siembra[[#This Row],[Date]]),MONTH(datos_siembra[[#This Row],[Date]]),1))+1</f>
        <v>3</v>
      </c>
      <c r="S4098">
        <f>MONTH(datos_siembra[[#This Row],[Date]])</f>
        <v>10</v>
      </c>
      <c r="T4098" t="str" cm="1">
        <f t="array" ref="T4098">_xlfn.IFS(AND(N4098&lt;= 22, S4098=9), "SOWING",AND(N4098&lt;= 28, S4098=9), "COVERAGE",AND(N4098&lt;= 30, S4098=9), "FLUSH",AND(N4098&lt;= 11, S4098=10), "FLUSH",AND(N4098&lt;= 21, S4098=10), "PRODUCTION")</f>
        <v>PRODUCTION</v>
      </c>
      <c r="U4098">
        <f>HOUR(datos_siembra[[#This Row],[Hour]])</f>
        <v>3</v>
      </c>
      <c r="V4098" cm="1">
        <f t="array" ref="V4098">_xlfn.IFS(AND(N4098&lt;= 22, S4098=9), N4098-7,AND(N4098&lt;= 28, S4098=9), N4098-25,AND(N4098&lt;= 30, S4098=9), N4098-28,AND(N4098&lt;= 11, S4098=10), N4098+2,AND(N4098&lt;= 21, S4098=10), N4098-11)</f>
        <v>6</v>
      </c>
    </row>
    <row r="4099" spans="1:22" x14ac:dyDescent="0.35">
      <c r="A4099" s="4">
        <v>45582</v>
      </c>
      <c r="B4099" s="5">
        <v>0.13539351851851852</v>
      </c>
      <c r="C4099">
        <v>65.3</v>
      </c>
      <c r="D4099">
        <v>65.8</v>
      </c>
      <c r="E4099">
        <v>65.400000000000006</v>
      </c>
      <c r="F4099">
        <v>65.5</v>
      </c>
      <c r="G4099">
        <v>0</v>
      </c>
      <c r="H4099">
        <v>0</v>
      </c>
      <c r="I4099">
        <v>0</v>
      </c>
      <c r="J4099">
        <v>0</v>
      </c>
      <c r="K4099">
        <v>61</v>
      </c>
      <c r="L4099">
        <v>61.7</v>
      </c>
      <c r="M4099">
        <v>65.5</v>
      </c>
      <c r="N4099">
        <v>17</v>
      </c>
      <c r="O4099">
        <v>2</v>
      </c>
      <c r="P4099">
        <f>MOD(DAY(datos_siembra[[#This Row],[Date]]),7)</f>
        <v>3</v>
      </c>
      <c r="Q4099" t="str">
        <f>CHOOSE(WEEKDAY(datos_siembra[[#This Row],[Date]],2),"L","M","X","J","V","S","D")</f>
        <v>J</v>
      </c>
      <c r="R4099">
        <f>WEEKNUM(datos_siembra[[#This Row],[Date]],2)-WEEKNUM(DATE(YEAR(datos_siembra[[#This Row],[Date]]),MONTH(datos_siembra[[#This Row],[Date]]),1))+1</f>
        <v>3</v>
      </c>
      <c r="S4099">
        <f>MONTH(datos_siembra[[#This Row],[Date]])</f>
        <v>10</v>
      </c>
      <c r="T4099" t="str" cm="1">
        <f t="array" ref="T4099">_xlfn.IFS(AND(N4099&lt;= 22, S4099=9), "SOWING",AND(N4099&lt;= 28, S4099=9), "COVERAGE",AND(N4099&lt;= 30, S4099=9), "FLUSH",AND(N4099&lt;= 11, S4099=10), "FLUSH",AND(N4099&lt;= 21, S4099=10), "PRODUCTION")</f>
        <v>PRODUCTION</v>
      </c>
      <c r="U4099">
        <f>HOUR(datos_siembra[[#This Row],[Hour]])</f>
        <v>3</v>
      </c>
      <c r="V4099" cm="1">
        <f t="array" ref="V4099">_xlfn.IFS(AND(N4099&lt;= 22, S4099=9), N4099-7,AND(N4099&lt;= 28, S4099=9), N4099-25,AND(N4099&lt;= 30, S4099=9), N4099-28,AND(N4099&lt;= 11, S4099=10), N4099+2,AND(N4099&lt;= 21, S4099=10), N4099-11)</f>
        <v>6</v>
      </c>
    </row>
    <row r="4100" spans="1:22" x14ac:dyDescent="0.35">
      <c r="A4100" s="4">
        <v>45582</v>
      </c>
      <c r="B4100" s="5">
        <v>0.14233796296296297</v>
      </c>
      <c r="C4100">
        <v>65.5</v>
      </c>
      <c r="D4100">
        <v>66</v>
      </c>
      <c r="E4100">
        <v>65.400000000000006</v>
      </c>
      <c r="F4100">
        <v>65.599999999999994</v>
      </c>
      <c r="G4100">
        <v>0</v>
      </c>
      <c r="H4100">
        <v>0</v>
      </c>
      <c r="I4100">
        <v>0</v>
      </c>
      <c r="J4100">
        <v>0</v>
      </c>
      <c r="K4100">
        <v>61</v>
      </c>
      <c r="L4100">
        <v>61.7</v>
      </c>
      <c r="M4100">
        <v>65.47</v>
      </c>
      <c r="N4100">
        <v>17</v>
      </c>
      <c r="O4100">
        <v>2</v>
      </c>
      <c r="P4100">
        <f>MOD(DAY(datos_siembra[[#This Row],[Date]]),7)</f>
        <v>3</v>
      </c>
      <c r="Q4100" t="str">
        <f>CHOOSE(WEEKDAY(datos_siembra[[#This Row],[Date]],2),"L","M","X","J","V","S","D")</f>
        <v>J</v>
      </c>
      <c r="R4100">
        <f>WEEKNUM(datos_siembra[[#This Row],[Date]],2)-WEEKNUM(DATE(YEAR(datos_siembra[[#This Row],[Date]]),MONTH(datos_siembra[[#This Row],[Date]]),1))+1</f>
        <v>3</v>
      </c>
      <c r="S4100">
        <f>MONTH(datos_siembra[[#This Row],[Date]])</f>
        <v>10</v>
      </c>
      <c r="T4100" t="str" cm="1">
        <f t="array" ref="T4100">_xlfn.IFS(AND(N4100&lt;= 22, S4100=9), "SOWING",AND(N4100&lt;= 28, S4100=9), "COVERAGE",AND(N4100&lt;= 30, S4100=9), "FLUSH",AND(N4100&lt;= 11, S4100=10), "FLUSH",AND(N4100&lt;= 21, S4100=10), "PRODUCTION")</f>
        <v>PRODUCTION</v>
      </c>
      <c r="U4100">
        <f>HOUR(datos_siembra[[#This Row],[Hour]])</f>
        <v>3</v>
      </c>
      <c r="V4100" cm="1">
        <f t="array" ref="V4100">_xlfn.IFS(AND(N4100&lt;= 22, S4100=9), N4100-7,AND(N4100&lt;= 28, S4100=9), N4100-25,AND(N4100&lt;= 30, S4100=9), N4100-28,AND(N4100&lt;= 11, S4100=10), N4100+2,AND(N4100&lt;= 21, S4100=10), N4100-11)</f>
        <v>6</v>
      </c>
    </row>
    <row r="4101" spans="1:22" x14ac:dyDescent="0.35">
      <c r="A4101" s="4">
        <v>45582</v>
      </c>
      <c r="B4101" s="5">
        <v>0.14928240740740742</v>
      </c>
      <c r="C4101">
        <v>65.3</v>
      </c>
      <c r="D4101">
        <v>65.8</v>
      </c>
      <c r="E4101">
        <v>65.3</v>
      </c>
      <c r="F4101">
        <v>65.599999999999994</v>
      </c>
      <c r="G4101">
        <v>0</v>
      </c>
      <c r="H4101">
        <v>0</v>
      </c>
      <c r="I4101">
        <v>0</v>
      </c>
      <c r="J4101">
        <v>0</v>
      </c>
      <c r="K4101">
        <v>60.9</v>
      </c>
      <c r="L4101">
        <v>61.6</v>
      </c>
      <c r="M4101">
        <v>65.52</v>
      </c>
      <c r="N4101">
        <v>17</v>
      </c>
      <c r="O4101">
        <v>2</v>
      </c>
      <c r="P4101">
        <f>MOD(DAY(datos_siembra[[#This Row],[Date]]),7)</f>
        <v>3</v>
      </c>
      <c r="Q4101" t="str">
        <f>CHOOSE(WEEKDAY(datos_siembra[[#This Row],[Date]],2),"L","M","X","J","V","S","D")</f>
        <v>J</v>
      </c>
      <c r="R4101">
        <f>WEEKNUM(datos_siembra[[#This Row],[Date]],2)-WEEKNUM(DATE(YEAR(datos_siembra[[#This Row],[Date]]),MONTH(datos_siembra[[#This Row],[Date]]),1))+1</f>
        <v>3</v>
      </c>
      <c r="S4101">
        <f>MONTH(datos_siembra[[#This Row],[Date]])</f>
        <v>10</v>
      </c>
      <c r="T4101" t="str" cm="1">
        <f t="array" ref="T4101">_xlfn.IFS(AND(N4101&lt;= 22, S4101=9), "SOWING",AND(N4101&lt;= 28, S4101=9), "COVERAGE",AND(N4101&lt;= 30, S4101=9), "FLUSH",AND(N4101&lt;= 11, S4101=10), "FLUSH",AND(N4101&lt;= 21, S4101=10), "PRODUCTION")</f>
        <v>PRODUCTION</v>
      </c>
      <c r="U4101">
        <f>HOUR(datos_siembra[[#This Row],[Hour]])</f>
        <v>3</v>
      </c>
      <c r="V4101" cm="1">
        <f t="array" ref="V4101">_xlfn.IFS(AND(N4101&lt;= 22, S4101=9), N4101-7,AND(N4101&lt;= 28, S4101=9), N4101-25,AND(N4101&lt;= 30, S4101=9), N4101-28,AND(N4101&lt;= 11, S4101=10), N4101+2,AND(N4101&lt;= 21, S4101=10), N4101-11)</f>
        <v>6</v>
      </c>
    </row>
    <row r="4102" spans="1:22" x14ac:dyDescent="0.35">
      <c r="A4102" s="4">
        <v>45582</v>
      </c>
      <c r="B4102" s="5">
        <v>0.15622685185185184</v>
      </c>
      <c r="C4102">
        <v>65.3</v>
      </c>
      <c r="D4102">
        <v>65.900000000000006</v>
      </c>
      <c r="E4102">
        <v>65.400000000000006</v>
      </c>
      <c r="F4102">
        <v>65.599999999999994</v>
      </c>
      <c r="G4102">
        <v>0</v>
      </c>
      <c r="H4102">
        <v>0</v>
      </c>
      <c r="I4102">
        <v>0</v>
      </c>
      <c r="J4102">
        <v>0</v>
      </c>
      <c r="K4102">
        <v>60.9</v>
      </c>
      <c r="L4102">
        <v>61.6</v>
      </c>
      <c r="M4102">
        <v>65.55</v>
      </c>
      <c r="N4102">
        <v>17</v>
      </c>
      <c r="O4102">
        <v>2</v>
      </c>
      <c r="P4102">
        <f>MOD(DAY(datos_siembra[[#This Row],[Date]]),7)</f>
        <v>3</v>
      </c>
      <c r="Q4102" t="str">
        <f>CHOOSE(WEEKDAY(datos_siembra[[#This Row],[Date]],2),"L","M","X","J","V","S","D")</f>
        <v>J</v>
      </c>
      <c r="R4102">
        <f>WEEKNUM(datos_siembra[[#This Row],[Date]],2)-WEEKNUM(DATE(YEAR(datos_siembra[[#This Row],[Date]]),MONTH(datos_siembra[[#This Row],[Date]]),1))+1</f>
        <v>3</v>
      </c>
      <c r="S4102">
        <f>MONTH(datos_siembra[[#This Row],[Date]])</f>
        <v>10</v>
      </c>
      <c r="T4102" t="str" cm="1">
        <f t="array" ref="T4102">_xlfn.IFS(AND(N4102&lt;= 22, S4102=9), "SOWING",AND(N4102&lt;= 28, S4102=9), "COVERAGE",AND(N4102&lt;= 30, S4102=9), "FLUSH",AND(N4102&lt;= 11, S4102=10), "FLUSH",AND(N4102&lt;= 21, S4102=10), "PRODUCTION")</f>
        <v>PRODUCTION</v>
      </c>
      <c r="U4102">
        <f>HOUR(datos_siembra[[#This Row],[Hour]])</f>
        <v>3</v>
      </c>
      <c r="V4102" cm="1">
        <f t="array" ref="V4102">_xlfn.IFS(AND(N4102&lt;= 22, S4102=9), N4102-7,AND(N4102&lt;= 28, S4102=9), N4102-25,AND(N4102&lt;= 30, S4102=9), N4102-28,AND(N4102&lt;= 11, S4102=10), N4102+2,AND(N4102&lt;= 21, S4102=10), N4102-11)</f>
        <v>6</v>
      </c>
    </row>
    <row r="4103" spans="1:22" x14ac:dyDescent="0.35">
      <c r="A4103" s="4">
        <v>45582</v>
      </c>
      <c r="B4103" s="5">
        <v>0.16318287037037038</v>
      </c>
      <c r="C4103">
        <v>65.3</v>
      </c>
      <c r="D4103">
        <v>65.900000000000006</v>
      </c>
      <c r="E4103">
        <v>65.400000000000006</v>
      </c>
      <c r="F4103">
        <v>65.599999999999994</v>
      </c>
      <c r="G4103">
        <v>0</v>
      </c>
      <c r="H4103">
        <v>0</v>
      </c>
      <c r="I4103">
        <v>0</v>
      </c>
      <c r="J4103">
        <v>0</v>
      </c>
      <c r="K4103">
        <v>60.9</v>
      </c>
      <c r="L4103">
        <v>61.6</v>
      </c>
      <c r="M4103">
        <v>65.55</v>
      </c>
      <c r="N4103">
        <v>17</v>
      </c>
      <c r="O4103">
        <v>2</v>
      </c>
      <c r="P4103">
        <f>MOD(DAY(datos_siembra[[#This Row],[Date]]),7)</f>
        <v>3</v>
      </c>
      <c r="Q4103" t="str">
        <f>CHOOSE(WEEKDAY(datos_siembra[[#This Row],[Date]],2),"L","M","X","J","V","S","D")</f>
        <v>J</v>
      </c>
      <c r="R4103">
        <f>WEEKNUM(datos_siembra[[#This Row],[Date]],2)-WEEKNUM(DATE(YEAR(datos_siembra[[#This Row],[Date]]),MONTH(datos_siembra[[#This Row],[Date]]),1))+1</f>
        <v>3</v>
      </c>
      <c r="S4103">
        <f>MONTH(datos_siembra[[#This Row],[Date]])</f>
        <v>10</v>
      </c>
      <c r="T4103" t="str" cm="1">
        <f t="array" ref="T4103">_xlfn.IFS(AND(N4103&lt;= 22, S4103=9), "SOWING",AND(N4103&lt;= 28, S4103=9), "COVERAGE",AND(N4103&lt;= 30, S4103=9), "FLUSH",AND(N4103&lt;= 11, S4103=10), "FLUSH",AND(N4103&lt;= 21, S4103=10), "PRODUCTION")</f>
        <v>PRODUCTION</v>
      </c>
      <c r="U4103">
        <f>HOUR(datos_siembra[[#This Row],[Hour]])</f>
        <v>3</v>
      </c>
      <c r="V4103" cm="1">
        <f t="array" ref="V4103">_xlfn.IFS(AND(N4103&lt;= 22, S4103=9), N4103-7,AND(N4103&lt;= 28, S4103=9), N4103-25,AND(N4103&lt;= 30, S4103=9), N4103-28,AND(N4103&lt;= 11, S4103=10), N4103+2,AND(N4103&lt;= 21, S4103=10), N4103-11)</f>
        <v>6</v>
      </c>
    </row>
    <row r="4104" spans="1:22" x14ac:dyDescent="0.35">
      <c r="A4104" s="4">
        <v>45582</v>
      </c>
      <c r="B4104" s="5">
        <v>0.17012731481481483</v>
      </c>
      <c r="C4104">
        <v>65.400000000000006</v>
      </c>
      <c r="D4104">
        <v>65.900000000000006</v>
      </c>
      <c r="E4104">
        <v>65.3</v>
      </c>
      <c r="F4104">
        <v>65.3</v>
      </c>
      <c r="G4104">
        <v>0</v>
      </c>
      <c r="H4104">
        <v>0</v>
      </c>
      <c r="I4104">
        <v>0</v>
      </c>
      <c r="J4104">
        <v>0</v>
      </c>
      <c r="K4104">
        <v>60.8</v>
      </c>
      <c r="L4104">
        <v>61.5</v>
      </c>
      <c r="M4104">
        <v>65.5</v>
      </c>
      <c r="N4104">
        <v>17</v>
      </c>
      <c r="O4104">
        <v>2</v>
      </c>
      <c r="P4104">
        <f>MOD(DAY(datos_siembra[[#This Row],[Date]]),7)</f>
        <v>3</v>
      </c>
      <c r="Q4104" t="str">
        <f>CHOOSE(WEEKDAY(datos_siembra[[#This Row],[Date]],2),"L","M","X","J","V","S","D")</f>
        <v>J</v>
      </c>
      <c r="R4104">
        <f>WEEKNUM(datos_siembra[[#This Row],[Date]],2)-WEEKNUM(DATE(YEAR(datos_siembra[[#This Row],[Date]]),MONTH(datos_siembra[[#This Row],[Date]]),1))+1</f>
        <v>3</v>
      </c>
      <c r="S4104">
        <f>MONTH(datos_siembra[[#This Row],[Date]])</f>
        <v>10</v>
      </c>
      <c r="T4104" t="str" cm="1">
        <f t="array" ref="T4104">_xlfn.IFS(AND(N4104&lt;= 22, S4104=9), "SOWING",AND(N4104&lt;= 28, S4104=9), "COVERAGE",AND(N4104&lt;= 30, S4104=9), "FLUSH",AND(N4104&lt;= 11, S4104=10), "FLUSH",AND(N4104&lt;= 21, S4104=10), "PRODUCTION")</f>
        <v>PRODUCTION</v>
      </c>
      <c r="U4104">
        <f>HOUR(datos_siembra[[#This Row],[Hour]])</f>
        <v>4</v>
      </c>
      <c r="V4104" cm="1">
        <f t="array" ref="V4104">_xlfn.IFS(AND(N4104&lt;= 22, S4104=9), N4104-7,AND(N4104&lt;= 28, S4104=9), N4104-25,AND(N4104&lt;= 30, S4104=9), N4104-28,AND(N4104&lt;= 11, S4104=10), N4104+2,AND(N4104&lt;= 21, S4104=10), N4104-11)</f>
        <v>6</v>
      </c>
    </row>
    <row r="4105" spans="1:22" x14ac:dyDescent="0.35">
      <c r="A4105" s="4">
        <v>45582</v>
      </c>
      <c r="B4105" s="5">
        <v>0.17707175925925925</v>
      </c>
      <c r="C4105">
        <v>65.3</v>
      </c>
      <c r="D4105">
        <v>65.8</v>
      </c>
      <c r="E4105">
        <v>65.400000000000006</v>
      </c>
      <c r="F4105">
        <v>65.599999999999994</v>
      </c>
      <c r="G4105">
        <v>0</v>
      </c>
      <c r="H4105">
        <v>0</v>
      </c>
      <c r="I4105">
        <v>0</v>
      </c>
      <c r="J4105">
        <v>0</v>
      </c>
      <c r="K4105">
        <v>60.8</v>
      </c>
      <c r="L4105">
        <v>61.5</v>
      </c>
      <c r="M4105">
        <v>65.52</v>
      </c>
      <c r="N4105">
        <v>17</v>
      </c>
      <c r="O4105">
        <v>2</v>
      </c>
      <c r="P4105">
        <f>MOD(DAY(datos_siembra[[#This Row],[Date]]),7)</f>
        <v>3</v>
      </c>
      <c r="Q4105" t="str">
        <f>CHOOSE(WEEKDAY(datos_siembra[[#This Row],[Date]],2),"L","M","X","J","V","S","D")</f>
        <v>J</v>
      </c>
      <c r="R4105">
        <f>WEEKNUM(datos_siembra[[#This Row],[Date]],2)-WEEKNUM(DATE(YEAR(datos_siembra[[#This Row],[Date]]),MONTH(datos_siembra[[#This Row],[Date]]),1))+1</f>
        <v>3</v>
      </c>
      <c r="S4105">
        <f>MONTH(datos_siembra[[#This Row],[Date]])</f>
        <v>10</v>
      </c>
      <c r="T4105" t="str" cm="1">
        <f t="array" ref="T4105">_xlfn.IFS(AND(N4105&lt;= 22, S4105=9), "SOWING",AND(N4105&lt;= 28, S4105=9), "COVERAGE",AND(N4105&lt;= 30, S4105=9), "FLUSH",AND(N4105&lt;= 11, S4105=10), "FLUSH",AND(N4105&lt;= 21, S4105=10), "PRODUCTION")</f>
        <v>PRODUCTION</v>
      </c>
      <c r="U4105">
        <f>HOUR(datos_siembra[[#This Row],[Hour]])</f>
        <v>4</v>
      </c>
      <c r="V4105" cm="1">
        <f t="array" ref="V4105">_xlfn.IFS(AND(N4105&lt;= 22, S4105=9), N4105-7,AND(N4105&lt;= 28, S4105=9), N4105-25,AND(N4105&lt;= 30, S4105=9), N4105-28,AND(N4105&lt;= 11, S4105=10), N4105+2,AND(N4105&lt;= 21, S4105=10), N4105-11)</f>
        <v>6</v>
      </c>
    </row>
    <row r="4106" spans="1:22" x14ac:dyDescent="0.35">
      <c r="A4106" s="4">
        <v>45582</v>
      </c>
      <c r="B4106" s="5">
        <v>0.18402777777777779</v>
      </c>
      <c r="C4106">
        <v>65.400000000000006</v>
      </c>
      <c r="D4106">
        <v>65.599999999999994</v>
      </c>
      <c r="E4106">
        <v>65.3</v>
      </c>
      <c r="F4106">
        <v>65.599999999999994</v>
      </c>
      <c r="G4106">
        <v>0</v>
      </c>
      <c r="H4106">
        <v>0</v>
      </c>
      <c r="I4106">
        <v>0</v>
      </c>
      <c r="J4106">
        <v>0</v>
      </c>
      <c r="K4106">
        <v>60.7</v>
      </c>
      <c r="L4106">
        <v>61.4</v>
      </c>
      <c r="M4106">
        <v>65.47</v>
      </c>
      <c r="N4106">
        <v>17</v>
      </c>
      <c r="O4106">
        <v>2</v>
      </c>
      <c r="P4106">
        <f>MOD(DAY(datos_siembra[[#This Row],[Date]]),7)</f>
        <v>3</v>
      </c>
      <c r="Q4106" t="str">
        <f>CHOOSE(WEEKDAY(datos_siembra[[#This Row],[Date]],2),"L","M","X","J","V","S","D")</f>
        <v>J</v>
      </c>
      <c r="R4106">
        <f>WEEKNUM(datos_siembra[[#This Row],[Date]],2)-WEEKNUM(DATE(YEAR(datos_siembra[[#This Row],[Date]]),MONTH(datos_siembra[[#This Row],[Date]]),1))+1</f>
        <v>3</v>
      </c>
      <c r="S4106">
        <f>MONTH(datos_siembra[[#This Row],[Date]])</f>
        <v>10</v>
      </c>
      <c r="T4106" t="str" cm="1">
        <f t="array" ref="T4106">_xlfn.IFS(AND(N4106&lt;= 22, S4106=9), "SOWING",AND(N4106&lt;= 28, S4106=9), "COVERAGE",AND(N4106&lt;= 30, S4106=9), "FLUSH",AND(N4106&lt;= 11, S4106=10), "FLUSH",AND(N4106&lt;= 21, S4106=10), "PRODUCTION")</f>
        <v>PRODUCTION</v>
      </c>
      <c r="U4106">
        <f>HOUR(datos_siembra[[#This Row],[Hour]])</f>
        <v>4</v>
      </c>
      <c r="V4106" cm="1">
        <f t="array" ref="V4106">_xlfn.IFS(AND(N4106&lt;= 22, S4106=9), N4106-7,AND(N4106&lt;= 28, S4106=9), N4106-25,AND(N4106&lt;= 30, S4106=9), N4106-28,AND(N4106&lt;= 11, S4106=10), N4106+2,AND(N4106&lt;= 21, S4106=10), N4106-11)</f>
        <v>6</v>
      </c>
    </row>
    <row r="4107" spans="1:22" x14ac:dyDescent="0.35">
      <c r="A4107" s="4">
        <v>45582</v>
      </c>
      <c r="B4107" s="5">
        <v>0.19097222222222221</v>
      </c>
      <c r="C4107">
        <v>65.400000000000006</v>
      </c>
      <c r="D4107">
        <v>65.900000000000006</v>
      </c>
      <c r="E4107">
        <v>65.400000000000006</v>
      </c>
      <c r="F4107">
        <v>65.400000000000006</v>
      </c>
      <c r="G4107">
        <v>0</v>
      </c>
      <c r="H4107">
        <v>0</v>
      </c>
      <c r="I4107">
        <v>0</v>
      </c>
      <c r="J4107">
        <v>0</v>
      </c>
      <c r="K4107">
        <v>60.7</v>
      </c>
      <c r="L4107">
        <v>61.4</v>
      </c>
      <c r="M4107">
        <v>65.52</v>
      </c>
      <c r="N4107">
        <v>17</v>
      </c>
      <c r="O4107">
        <v>2</v>
      </c>
      <c r="P4107">
        <f>MOD(DAY(datos_siembra[[#This Row],[Date]]),7)</f>
        <v>3</v>
      </c>
      <c r="Q4107" t="str">
        <f>CHOOSE(WEEKDAY(datos_siembra[[#This Row],[Date]],2),"L","M","X","J","V","S","D")</f>
        <v>J</v>
      </c>
      <c r="R4107">
        <f>WEEKNUM(datos_siembra[[#This Row],[Date]],2)-WEEKNUM(DATE(YEAR(datos_siembra[[#This Row],[Date]]),MONTH(datos_siembra[[#This Row],[Date]]),1))+1</f>
        <v>3</v>
      </c>
      <c r="S4107">
        <f>MONTH(datos_siembra[[#This Row],[Date]])</f>
        <v>10</v>
      </c>
      <c r="T4107" t="str" cm="1">
        <f t="array" ref="T4107">_xlfn.IFS(AND(N4107&lt;= 22, S4107=9), "SOWING",AND(N4107&lt;= 28, S4107=9), "COVERAGE",AND(N4107&lt;= 30, S4107=9), "FLUSH",AND(N4107&lt;= 11, S4107=10), "FLUSH",AND(N4107&lt;= 21, S4107=10), "PRODUCTION")</f>
        <v>PRODUCTION</v>
      </c>
      <c r="U4107">
        <f>HOUR(datos_siembra[[#This Row],[Hour]])</f>
        <v>4</v>
      </c>
      <c r="V4107" cm="1">
        <f t="array" ref="V4107">_xlfn.IFS(AND(N4107&lt;= 22, S4107=9), N4107-7,AND(N4107&lt;= 28, S4107=9), N4107-25,AND(N4107&lt;= 30, S4107=9), N4107-28,AND(N4107&lt;= 11, S4107=10), N4107+2,AND(N4107&lt;= 21, S4107=10), N4107-11)</f>
        <v>6</v>
      </c>
    </row>
    <row r="4108" spans="1:22" x14ac:dyDescent="0.35">
      <c r="A4108" s="4">
        <v>45582</v>
      </c>
      <c r="B4108" s="5">
        <v>0.19791666666666666</v>
      </c>
      <c r="C4108">
        <v>65.3</v>
      </c>
      <c r="D4108">
        <v>65.900000000000006</v>
      </c>
      <c r="E4108">
        <v>65.2</v>
      </c>
      <c r="F4108">
        <v>65.5</v>
      </c>
      <c r="G4108">
        <v>0</v>
      </c>
      <c r="H4108">
        <v>0</v>
      </c>
      <c r="I4108">
        <v>0</v>
      </c>
      <c r="J4108">
        <v>0</v>
      </c>
      <c r="K4108">
        <v>60.6</v>
      </c>
      <c r="L4108">
        <v>61.4</v>
      </c>
      <c r="M4108">
        <v>65.55</v>
      </c>
      <c r="N4108">
        <v>17</v>
      </c>
      <c r="O4108">
        <v>2</v>
      </c>
      <c r="P4108">
        <f>MOD(DAY(datos_siembra[[#This Row],[Date]]),7)</f>
        <v>3</v>
      </c>
      <c r="Q4108" t="str">
        <f>CHOOSE(WEEKDAY(datos_siembra[[#This Row],[Date]],2),"L","M","X","J","V","S","D")</f>
        <v>J</v>
      </c>
      <c r="R4108">
        <f>WEEKNUM(datos_siembra[[#This Row],[Date]],2)-WEEKNUM(DATE(YEAR(datos_siembra[[#This Row],[Date]]),MONTH(datos_siembra[[#This Row],[Date]]),1))+1</f>
        <v>3</v>
      </c>
      <c r="S4108">
        <f>MONTH(datos_siembra[[#This Row],[Date]])</f>
        <v>10</v>
      </c>
      <c r="T4108" t="str" cm="1">
        <f t="array" ref="T4108">_xlfn.IFS(AND(N4108&lt;= 22, S4108=9), "SOWING",AND(N4108&lt;= 28, S4108=9), "COVERAGE",AND(N4108&lt;= 30, S4108=9), "FLUSH",AND(N4108&lt;= 11, S4108=10), "FLUSH",AND(N4108&lt;= 21, S4108=10), "PRODUCTION")</f>
        <v>PRODUCTION</v>
      </c>
      <c r="U4108">
        <f>HOUR(datos_siembra[[#This Row],[Hour]])</f>
        <v>4</v>
      </c>
      <c r="V4108" cm="1">
        <f t="array" ref="V4108">_xlfn.IFS(AND(N4108&lt;= 22, S4108=9), N4108-7,AND(N4108&lt;= 28, S4108=9), N4108-25,AND(N4108&lt;= 30, S4108=9), N4108-28,AND(N4108&lt;= 11, S4108=10), N4108+2,AND(N4108&lt;= 21, S4108=10), N4108-11)</f>
        <v>6</v>
      </c>
    </row>
    <row r="4109" spans="1:22" x14ac:dyDescent="0.35">
      <c r="A4109" s="4">
        <v>45582</v>
      </c>
      <c r="B4109" s="5">
        <v>0.2048611111111111</v>
      </c>
      <c r="C4109">
        <v>65.400000000000006</v>
      </c>
      <c r="D4109">
        <v>65.900000000000006</v>
      </c>
      <c r="E4109">
        <v>65.3</v>
      </c>
      <c r="F4109">
        <v>65.5</v>
      </c>
      <c r="G4109">
        <v>0</v>
      </c>
      <c r="H4109">
        <v>0</v>
      </c>
      <c r="I4109">
        <v>0</v>
      </c>
      <c r="J4109">
        <v>0</v>
      </c>
      <c r="K4109">
        <v>60.5</v>
      </c>
      <c r="L4109">
        <v>61.2</v>
      </c>
      <c r="M4109">
        <v>65.52</v>
      </c>
      <c r="N4109">
        <v>17</v>
      </c>
      <c r="O4109">
        <v>2</v>
      </c>
      <c r="P4109">
        <f>MOD(DAY(datos_siembra[[#This Row],[Date]]),7)</f>
        <v>3</v>
      </c>
      <c r="Q4109" t="str">
        <f>CHOOSE(WEEKDAY(datos_siembra[[#This Row],[Date]],2),"L","M","X","J","V","S","D")</f>
        <v>J</v>
      </c>
      <c r="R4109">
        <f>WEEKNUM(datos_siembra[[#This Row],[Date]],2)-WEEKNUM(DATE(YEAR(datos_siembra[[#This Row],[Date]]),MONTH(datos_siembra[[#This Row],[Date]]),1))+1</f>
        <v>3</v>
      </c>
      <c r="S4109">
        <f>MONTH(datos_siembra[[#This Row],[Date]])</f>
        <v>10</v>
      </c>
      <c r="T4109" t="str" cm="1">
        <f t="array" ref="T4109">_xlfn.IFS(AND(N4109&lt;= 22, S4109=9), "SOWING",AND(N4109&lt;= 28, S4109=9), "COVERAGE",AND(N4109&lt;= 30, S4109=9), "FLUSH",AND(N4109&lt;= 11, S4109=10), "FLUSH",AND(N4109&lt;= 21, S4109=10), "PRODUCTION")</f>
        <v>PRODUCTION</v>
      </c>
      <c r="U4109">
        <f>HOUR(datos_siembra[[#This Row],[Hour]])</f>
        <v>4</v>
      </c>
      <c r="V4109" cm="1">
        <f t="array" ref="V4109">_xlfn.IFS(AND(N4109&lt;= 22, S4109=9), N4109-7,AND(N4109&lt;= 28, S4109=9), N4109-25,AND(N4109&lt;= 30, S4109=9), N4109-28,AND(N4109&lt;= 11, S4109=10), N4109+2,AND(N4109&lt;= 21, S4109=10), N4109-11)</f>
        <v>6</v>
      </c>
    </row>
    <row r="4110" spans="1:22" x14ac:dyDescent="0.35">
      <c r="A4110" s="4">
        <v>45582</v>
      </c>
      <c r="B4110" s="5">
        <v>0.21181712962962962</v>
      </c>
      <c r="C4110">
        <v>65.3</v>
      </c>
      <c r="D4110">
        <v>65.900000000000006</v>
      </c>
      <c r="E4110">
        <v>65.3</v>
      </c>
      <c r="F4110">
        <v>65.3</v>
      </c>
      <c r="G4110">
        <v>0</v>
      </c>
      <c r="H4110">
        <v>0</v>
      </c>
      <c r="I4110">
        <v>0</v>
      </c>
      <c r="J4110">
        <v>0</v>
      </c>
      <c r="K4110">
        <v>60.3</v>
      </c>
      <c r="L4110">
        <v>61.1</v>
      </c>
      <c r="M4110">
        <v>65.47</v>
      </c>
      <c r="N4110">
        <v>17</v>
      </c>
      <c r="O4110">
        <v>2</v>
      </c>
      <c r="P4110">
        <f>MOD(DAY(datos_siembra[[#This Row],[Date]]),7)</f>
        <v>3</v>
      </c>
      <c r="Q4110" t="str">
        <f>CHOOSE(WEEKDAY(datos_siembra[[#This Row],[Date]],2),"L","M","X","J","V","S","D")</f>
        <v>J</v>
      </c>
      <c r="R4110">
        <f>WEEKNUM(datos_siembra[[#This Row],[Date]],2)-WEEKNUM(DATE(YEAR(datos_siembra[[#This Row],[Date]]),MONTH(datos_siembra[[#This Row],[Date]]),1))+1</f>
        <v>3</v>
      </c>
      <c r="S4110">
        <f>MONTH(datos_siembra[[#This Row],[Date]])</f>
        <v>10</v>
      </c>
      <c r="T4110" t="str" cm="1">
        <f t="array" ref="T4110">_xlfn.IFS(AND(N4110&lt;= 22, S4110=9), "SOWING",AND(N4110&lt;= 28, S4110=9), "COVERAGE",AND(N4110&lt;= 30, S4110=9), "FLUSH",AND(N4110&lt;= 11, S4110=10), "FLUSH",AND(N4110&lt;= 21, S4110=10), "PRODUCTION")</f>
        <v>PRODUCTION</v>
      </c>
      <c r="U4110">
        <f>HOUR(datos_siembra[[#This Row],[Hour]])</f>
        <v>5</v>
      </c>
      <c r="V4110" cm="1">
        <f t="array" ref="V4110">_xlfn.IFS(AND(N4110&lt;= 22, S4110=9), N4110-7,AND(N4110&lt;= 28, S4110=9), N4110-25,AND(N4110&lt;= 30, S4110=9), N4110-28,AND(N4110&lt;= 11, S4110=10), N4110+2,AND(N4110&lt;= 21, S4110=10), N4110-11)</f>
        <v>6</v>
      </c>
    </row>
    <row r="4111" spans="1:22" x14ac:dyDescent="0.35">
      <c r="A4111" s="4">
        <v>45582</v>
      </c>
      <c r="B4111" s="5">
        <v>0.21876157407407407</v>
      </c>
      <c r="C4111">
        <v>65.3</v>
      </c>
      <c r="D4111">
        <v>65.8</v>
      </c>
      <c r="E4111">
        <v>65.3</v>
      </c>
      <c r="F4111">
        <v>65.2</v>
      </c>
      <c r="G4111">
        <v>0</v>
      </c>
      <c r="H4111">
        <v>0</v>
      </c>
      <c r="I4111">
        <v>0</v>
      </c>
      <c r="J4111">
        <v>0</v>
      </c>
      <c r="K4111">
        <v>60.2</v>
      </c>
      <c r="L4111">
        <v>61.1</v>
      </c>
      <c r="M4111">
        <v>65.47</v>
      </c>
      <c r="N4111">
        <v>17</v>
      </c>
      <c r="O4111">
        <v>2</v>
      </c>
      <c r="P4111">
        <f>MOD(DAY(datos_siembra[[#This Row],[Date]]),7)</f>
        <v>3</v>
      </c>
      <c r="Q4111" t="str">
        <f>CHOOSE(WEEKDAY(datos_siembra[[#This Row],[Date]],2),"L","M","X","J","V","S","D")</f>
        <v>J</v>
      </c>
      <c r="R4111">
        <f>WEEKNUM(datos_siembra[[#This Row],[Date]],2)-WEEKNUM(DATE(YEAR(datos_siembra[[#This Row],[Date]]),MONTH(datos_siembra[[#This Row],[Date]]),1))+1</f>
        <v>3</v>
      </c>
      <c r="S4111">
        <f>MONTH(datos_siembra[[#This Row],[Date]])</f>
        <v>10</v>
      </c>
      <c r="T4111" t="str" cm="1">
        <f t="array" ref="T4111">_xlfn.IFS(AND(N4111&lt;= 22, S4111=9), "SOWING",AND(N4111&lt;= 28, S4111=9), "COVERAGE",AND(N4111&lt;= 30, S4111=9), "FLUSH",AND(N4111&lt;= 11, S4111=10), "FLUSH",AND(N4111&lt;= 21, S4111=10), "PRODUCTION")</f>
        <v>PRODUCTION</v>
      </c>
      <c r="U4111">
        <f>HOUR(datos_siembra[[#This Row],[Hour]])</f>
        <v>5</v>
      </c>
      <c r="V4111" cm="1">
        <f t="array" ref="V4111">_xlfn.IFS(AND(N4111&lt;= 22, S4111=9), N4111-7,AND(N4111&lt;= 28, S4111=9), N4111-25,AND(N4111&lt;= 30, S4111=9), N4111-28,AND(N4111&lt;= 11, S4111=10), N4111+2,AND(N4111&lt;= 21, S4111=10), N4111-11)</f>
        <v>6</v>
      </c>
    </row>
    <row r="4112" spans="1:22" x14ac:dyDescent="0.35">
      <c r="A4112" s="4">
        <v>45582</v>
      </c>
      <c r="B4112" s="5">
        <v>0.22570601851851851</v>
      </c>
      <c r="C4112">
        <v>65.400000000000006</v>
      </c>
      <c r="D4112">
        <v>65.900000000000006</v>
      </c>
      <c r="E4112">
        <v>65.2</v>
      </c>
      <c r="F4112">
        <v>65.400000000000006</v>
      </c>
      <c r="G4112">
        <v>0</v>
      </c>
      <c r="H4112">
        <v>0</v>
      </c>
      <c r="I4112">
        <v>0</v>
      </c>
      <c r="J4112">
        <v>0</v>
      </c>
      <c r="K4112">
        <v>60.2</v>
      </c>
      <c r="L4112">
        <v>61</v>
      </c>
      <c r="M4112">
        <v>65.47</v>
      </c>
      <c r="N4112">
        <v>17</v>
      </c>
      <c r="O4112">
        <v>2</v>
      </c>
      <c r="P4112">
        <f>MOD(DAY(datos_siembra[[#This Row],[Date]]),7)</f>
        <v>3</v>
      </c>
      <c r="Q4112" t="str">
        <f>CHOOSE(WEEKDAY(datos_siembra[[#This Row],[Date]],2),"L","M","X","J","V","S","D")</f>
        <v>J</v>
      </c>
      <c r="R4112">
        <f>WEEKNUM(datos_siembra[[#This Row],[Date]],2)-WEEKNUM(DATE(YEAR(datos_siembra[[#This Row],[Date]]),MONTH(datos_siembra[[#This Row],[Date]]),1))+1</f>
        <v>3</v>
      </c>
      <c r="S4112">
        <f>MONTH(datos_siembra[[#This Row],[Date]])</f>
        <v>10</v>
      </c>
      <c r="T4112" t="str" cm="1">
        <f t="array" ref="T4112">_xlfn.IFS(AND(N4112&lt;= 22, S4112=9), "SOWING",AND(N4112&lt;= 28, S4112=9), "COVERAGE",AND(N4112&lt;= 30, S4112=9), "FLUSH",AND(N4112&lt;= 11, S4112=10), "FLUSH",AND(N4112&lt;= 21, S4112=10), "PRODUCTION")</f>
        <v>PRODUCTION</v>
      </c>
      <c r="U4112">
        <f>HOUR(datos_siembra[[#This Row],[Hour]])</f>
        <v>5</v>
      </c>
      <c r="V4112" cm="1">
        <f t="array" ref="V4112">_xlfn.IFS(AND(N4112&lt;= 22, S4112=9), N4112-7,AND(N4112&lt;= 28, S4112=9), N4112-25,AND(N4112&lt;= 30, S4112=9), N4112-28,AND(N4112&lt;= 11, S4112=10), N4112+2,AND(N4112&lt;= 21, S4112=10), N4112-11)</f>
        <v>6</v>
      </c>
    </row>
    <row r="4113" spans="1:22" x14ac:dyDescent="0.35">
      <c r="A4113" s="4">
        <v>45582</v>
      </c>
      <c r="B4113" s="5">
        <v>0.23265046296296296</v>
      </c>
      <c r="C4113">
        <v>65.3</v>
      </c>
      <c r="D4113">
        <v>65.900000000000006</v>
      </c>
      <c r="E4113">
        <v>65.2</v>
      </c>
      <c r="F4113">
        <v>65.3</v>
      </c>
      <c r="G4113">
        <v>0</v>
      </c>
      <c r="H4113">
        <v>0</v>
      </c>
      <c r="I4113">
        <v>0</v>
      </c>
      <c r="J4113">
        <v>0</v>
      </c>
      <c r="K4113">
        <v>60.1</v>
      </c>
      <c r="L4113">
        <v>60.9</v>
      </c>
      <c r="M4113">
        <v>65.41</v>
      </c>
      <c r="N4113">
        <v>17</v>
      </c>
      <c r="O4113">
        <v>2</v>
      </c>
      <c r="P4113">
        <f>MOD(DAY(datos_siembra[[#This Row],[Date]]),7)</f>
        <v>3</v>
      </c>
      <c r="Q4113" t="str">
        <f>CHOOSE(WEEKDAY(datos_siembra[[#This Row],[Date]],2),"L","M","X","J","V","S","D")</f>
        <v>J</v>
      </c>
      <c r="R4113">
        <f>WEEKNUM(datos_siembra[[#This Row],[Date]],2)-WEEKNUM(DATE(YEAR(datos_siembra[[#This Row],[Date]]),MONTH(datos_siembra[[#This Row],[Date]]),1))+1</f>
        <v>3</v>
      </c>
      <c r="S4113">
        <f>MONTH(datos_siembra[[#This Row],[Date]])</f>
        <v>10</v>
      </c>
      <c r="T4113" t="str" cm="1">
        <f t="array" ref="T4113">_xlfn.IFS(AND(N4113&lt;= 22, S4113=9), "SOWING",AND(N4113&lt;= 28, S4113=9), "COVERAGE",AND(N4113&lt;= 30, S4113=9), "FLUSH",AND(N4113&lt;= 11, S4113=10), "FLUSH",AND(N4113&lt;= 21, S4113=10), "PRODUCTION")</f>
        <v>PRODUCTION</v>
      </c>
      <c r="U4113">
        <f>HOUR(datos_siembra[[#This Row],[Hour]])</f>
        <v>5</v>
      </c>
      <c r="V4113" cm="1">
        <f t="array" ref="V4113">_xlfn.IFS(AND(N4113&lt;= 22, S4113=9), N4113-7,AND(N4113&lt;= 28, S4113=9), N4113-25,AND(N4113&lt;= 30, S4113=9), N4113-28,AND(N4113&lt;= 11, S4113=10), N4113+2,AND(N4113&lt;= 21, S4113=10), N4113-11)</f>
        <v>6</v>
      </c>
    </row>
    <row r="4114" spans="1:22" x14ac:dyDescent="0.35">
      <c r="A4114" s="4">
        <v>45582</v>
      </c>
      <c r="B4114" s="5">
        <v>0.23960648148148148</v>
      </c>
      <c r="C4114">
        <v>65.3</v>
      </c>
      <c r="D4114">
        <v>65.900000000000006</v>
      </c>
      <c r="E4114">
        <v>65.2</v>
      </c>
      <c r="F4114">
        <v>65.3</v>
      </c>
      <c r="G4114">
        <v>0</v>
      </c>
      <c r="H4114">
        <v>0</v>
      </c>
      <c r="I4114">
        <v>0</v>
      </c>
      <c r="J4114">
        <v>0</v>
      </c>
      <c r="K4114">
        <v>60.1</v>
      </c>
      <c r="L4114">
        <v>61</v>
      </c>
      <c r="M4114">
        <v>65.5</v>
      </c>
      <c r="N4114">
        <v>17</v>
      </c>
      <c r="O4114">
        <v>2</v>
      </c>
      <c r="P4114">
        <f>MOD(DAY(datos_siembra[[#This Row],[Date]]),7)</f>
        <v>3</v>
      </c>
      <c r="Q4114" t="str">
        <f>CHOOSE(WEEKDAY(datos_siembra[[#This Row],[Date]],2),"L","M","X","J","V","S","D")</f>
        <v>J</v>
      </c>
      <c r="R4114">
        <f>WEEKNUM(datos_siembra[[#This Row],[Date]],2)-WEEKNUM(DATE(YEAR(datos_siembra[[#This Row],[Date]]),MONTH(datos_siembra[[#This Row],[Date]]),1))+1</f>
        <v>3</v>
      </c>
      <c r="S4114">
        <f>MONTH(datos_siembra[[#This Row],[Date]])</f>
        <v>10</v>
      </c>
      <c r="T4114" t="str" cm="1">
        <f t="array" ref="T4114">_xlfn.IFS(AND(N4114&lt;= 22, S4114=9), "SOWING",AND(N4114&lt;= 28, S4114=9), "COVERAGE",AND(N4114&lt;= 30, S4114=9), "FLUSH",AND(N4114&lt;= 11, S4114=10), "FLUSH",AND(N4114&lt;= 21, S4114=10), "PRODUCTION")</f>
        <v>PRODUCTION</v>
      </c>
      <c r="U4114">
        <f>HOUR(datos_siembra[[#This Row],[Hour]])</f>
        <v>5</v>
      </c>
      <c r="V4114" cm="1">
        <f t="array" ref="V4114">_xlfn.IFS(AND(N4114&lt;= 22, S4114=9), N4114-7,AND(N4114&lt;= 28, S4114=9), N4114-25,AND(N4114&lt;= 30, S4114=9), N4114-28,AND(N4114&lt;= 11, S4114=10), N4114+2,AND(N4114&lt;= 21, S4114=10), N4114-11)</f>
        <v>6</v>
      </c>
    </row>
    <row r="4115" spans="1:22" x14ac:dyDescent="0.35">
      <c r="A4115" s="4">
        <v>45582</v>
      </c>
      <c r="B4115" s="5">
        <v>0.24655092592592592</v>
      </c>
      <c r="C4115">
        <v>65.2</v>
      </c>
      <c r="D4115">
        <v>65.900000000000006</v>
      </c>
      <c r="E4115">
        <v>65.3</v>
      </c>
      <c r="F4115">
        <v>65.400000000000006</v>
      </c>
      <c r="G4115">
        <v>0</v>
      </c>
      <c r="H4115">
        <v>0</v>
      </c>
      <c r="I4115">
        <v>0</v>
      </c>
      <c r="J4115">
        <v>0</v>
      </c>
      <c r="K4115">
        <v>60</v>
      </c>
      <c r="L4115">
        <v>60.9</v>
      </c>
      <c r="M4115">
        <v>65.44</v>
      </c>
      <c r="N4115">
        <v>17</v>
      </c>
      <c r="O4115">
        <v>2</v>
      </c>
      <c r="P4115">
        <f>MOD(DAY(datos_siembra[[#This Row],[Date]]),7)</f>
        <v>3</v>
      </c>
      <c r="Q4115" t="str">
        <f>CHOOSE(WEEKDAY(datos_siembra[[#This Row],[Date]],2),"L","M","X","J","V","S","D")</f>
        <v>J</v>
      </c>
      <c r="R4115">
        <f>WEEKNUM(datos_siembra[[#This Row],[Date]],2)-WEEKNUM(DATE(YEAR(datos_siembra[[#This Row],[Date]]),MONTH(datos_siembra[[#This Row],[Date]]),1))+1</f>
        <v>3</v>
      </c>
      <c r="S4115">
        <f>MONTH(datos_siembra[[#This Row],[Date]])</f>
        <v>10</v>
      </c>
      <c r="T4115" t="str" cm="1">
        <f t="array" ref="T4115">_xlfn.IFS(AND(N4115&lt;= 22, S4115=9), "SOWING",AND(N4115&lt;= 28, S4115=9), "COVERAGE",AND(N4115&lt;= 30, S4115=9), "FLUSH",AND(N4115&lt;= 11, S4115=10), "FLUSH",AND(N4115&lt;= 21, S4115=10), "PRODUCTION")</f>
        <v>PRODUCTION</v>
      </c>
      <c r="U4115">
        <f>HOUR(datos_siembra[[#This Row],[Hour]])</f>
        <v>5</v>
      </c>
      <c r="V4115" cm="1">
        <f t="array" ref="V4115">_xlfn.IFS(AND(N4115&lt;= 22, S4115=9), N4115-7,AND(N4115&lt;= 28, S4115=9), N4115-25,AND(N4115&lt;= 30, S4115=9), N4115-28,AND(N4115&lt;= 11, S4115=10), N4115+2,AND(N4115&lt;= 21, S4115=10), N4115-11)</f>
        <v>6</v>
      </c>
    </row>
    <row r="4116" spans="1:22" x14ac:dyDescent="0.35">
      <c r="A4116" s="4">
        <v>45582</v>
      </c>
      <c r="B4116" s="5">
        <v>0.25349537037037034</v>
      </c>
      <c r="C4116">
        <v>65.3</v>
      </c>
      <c r="D4116">
        <v>66.099999999999994</v>
      </c>
      <c r="E4116">
        <v>65.2</v>
      </c>
      <c r="F4116">
        <v>65.3</v>
      </c>
      <c r="G4116">
        <v>0</v>
      </c>
      <c r="H4116">
        <v>0</v>
      </c>
      <c r="I4116">
        <v>0</v>
      </c>
      <c r="J4116">
        <v>0</v>
      </c>
      <c r="K4116">
        <v>59.7</v>
      </c>
      <c r="L4116">
        <v>60.9</v>
      </c>
      <c r="M4116">
        <v>65.38</v>
      </c>
      <c r="N4116">
        <v>17</v>
      </c>
      <c r="O4116">
        <v>2</v>
      </c>
      <c r="P4116">
        <f>MOD(DAY(datos_siembra[[#This Row],[Date]]),7)</f>
        <v>3</v>
      </c>
      <c r="Q4116" t="str">
        <f>CHOOSE(WEEKDAY(datos_siembra[[#This Row],[Date]],2),"L","M","X","J","V","S","D")</f>
        <v>J</v>
      </c>
      <c r="R4116">
        <f>WEEKNUM(datos_siembra[[#This Row],[Date]],2)-WEEKNUM(DATE(YEAR(datos_siembra[[#This Row],[Date]]),MONTH(datos_siembra[[#This Row],[Date]]),1))+1</f>
        <v>3</v>
      </c>
      <c r="S4116">
        <f>MONTH(datos_siembra[[#This Row],[Date]])</f>
        <v>10</v>
      </c>
      <c r="T4116" t="str" cm="1">
        <f t="array" ref="T4116">_xlfn.IFS(AND(N4116&lt;= 22, S4116=9), "SOWING",AND(N4116&lt;= 28, S4116=9), "COVERAGE",AND(N4116&lt;= 30, S4116=9), "FLUSH",AND(N4116&lt;= 11, S4116=10), "FLUSH",AND(N4116&lt;= 21, S4116=10), "PRODUCTION")</f>
        <v>PRODUCTION</v>
      </c>
      <c r="U4116">
        <f>HOUR(datos_siembra[[#This Row],[Hour]])</f>
        <v>6</v>
      </c>
      <c r="V4116" cm="1">
        <f t="array" ref="V4116">_xlfn.IFS(AND(N4116&lt;= 22, S4116=9), N4116-7,AND(N4116&lt;= 28, S4116=9), N4116-25,AND(N4116&lt;= 30, S4116=9), N4116-28,AND(N4116&lt;= 11, S4116=10), N4116+2,AND(N4116&lt;= 21, S4116=10), N4116-11)</f>
        <v>6</v>
      </c>
    </row>
    <row r="4117" spans="1:22" x14ac:dyDescent="0.35">
      <c r="A4117" s="4">
        <v>45582</v>
      </c>
      <c r="B4117" s="5">
        <v>0.26045138888888891</v>
      </c>
      <c r="C4117">
        <v>65.2</v>
      </c>
      <c r="D4117">
        <v>65.900000000000006</v>
      </c>
      <c r="E4117">
        <v>65.2</v>
      </c>
      <c r="F4117">
        <v>65.400000000000006</v>
      </c>
      <c r="G4117">
        <v>0</v>
      </c>
      <c r="H4117">
        <v>0</v>
      </c>
      <c r="I4117">
        <v>0</v>
      </c>
      <c r="J4117">
        <v>0</v>
      </c>
      <c r="K4117">
        <v>60</v>
      </c>
      <c r="L4117">
        <v>60.8</v>
      </c>
      <c r="M4117">
        <v>65.41</v>
      </c>
      <c r="N4117">
        <v>17</v>
      </c>
      <c r="O4117">
        <v>2</v>
      </c>
      <c r="P4117">
        <f>MOD(DAY(datos_siembra[[#This Row],[Date]]),7)</f>
        <v>3</v>
      </c>
      <c r="Q4117" t="str">
        <f>CHOOSE(WEEKDAY(datos_siembra[[#This Row],[Date]],2),"L","M","X","J","V","S","D")</f>
        <v>J</v>
      </c>
      <c r="R4117">
        <f>WEEKNUM(datos_siembra[[#This Row],[Date]],2)-WEEKNUM(DATE(YEAR(datos_siembra[[#This Row],[Date]]),MONTH(datos_siembra[[#This Row],[Date]]),1))+1</f>
        <v>3</v>
      </c>
      <c r="S4117">
        <f>MONTH(datos_siembra[[#This Row],[Date]])</f>
        <v>10</v>
      </c>
      <c r="T4117" t="str" cm="1">
        <f t="array" ref="T4117">_xlfn.IFS(AND(N4117&lt;= 22, S4117=9), "SOWING",AND(N4117&lt;= 28, S4117=9), "COVERAGE",AND(N4117&lt;= 30, S4117=9), "FLUSH",AND(N4117&lt;= 11, S4117=10), "FLUSH",AND(N4117&lt;= 21, S4117=10), "PRODUCTION")</f>
        <v>PRODUCTION</v>
      </c>
      <c r="U4117">
        <f>HOUR(datos_siembra[[#This Row],[Hour]])</f>
        <v>6</v>
      </c>
      <c r="V4117" cm="1">
        <f t="array" ref="V4117">_xlfn.IFS(AND(N4117&lt;= 22, S4117=9), N4117-7,AND(N4117&lt;= 28, S4117=9), N4117-25,AND(N4117&lt;= 30, S4117=9), N4117-28,AND(N4117&lt;= 11, S4117=10), N4117+2,AND(N4117&lt;= 21, S4117=10), N4117-11)</f>
        <v>6</v>
      </c>
    </row>
    <row r="4118" spans="1:22" x14ac:dyDescent="0.35">
      <c r="A4118" s="4">
        <v>45582</v>
      </c>
      <c r="B4118" s="5">
        <v>0.26739583333333333</v>
      </c>
      <c r="C4118">
        <v>65.2</v>
      </c>
      <c r="D4118">
        <v>65.900000000000006</v>
      </c>
      <c r="E4118">
        <v>65.2</v>
      </c>
      <c r="F4118">
        <v>65.400000000000006</v>
      </c>
      <c r="G4118">
        <v>0</v>
      </c>
      <c r="H4118">
        <v>0</v>
      </c>
      <c r="I4118">
        <v>0</v>
      </c>
      <c r="J4118">
        <v>0</v>
      </c>
      <c r="K4118">
        <v>60</v>
      </c>
      <c r="L4118">
        <v>60.9</v>
      </c>
      <c r="M4118">
        <v>65.33</v>
      </c>
      <c r="N4118">
        <v>17</v>
      </c>
      <c r="O4118">
        <v>2</v>
      </c>
      <c r="P4118">
        <f>MOD(DAY(datos_siembra[[#This Row],[Date]]),7)</f>
        <v>3</v>
      </c>
      <c r="Q4118" t="str">
        <f>CHOOSE(WEEKDAY(datos_siembra[[#This Row],[Date]],2),"L","M","X","J","V","S","D")</f>
        <v>J</v>
      </c>
      <c r="R4118">
        <f>WEEKNUM(datos_siembra[[#This Row],[Date]],2)-WEEKNUM(DATE(YEAR(datos_siembra[[#This Row],[Date]]),MONTH(datos_siembra[[#This Row],[Date]]),1))+1</f>
        <v>3</v>
      </c>
      <c r="S4118">
        <f>MONTH(datos_siembra[[#This Row],[Date]])</f>
        <v>10</v>
      </c>
      <c r="T4118" t="str" cm="1">
        <f t="array" ref="T4118">_xlfn.IFS(AND(N4118&lt;= 22, S4118=9), "SOWING",AND(N4118&lt;= 28, S4118=9), "COVERAGE",AND(N4118&lt;= 30, S4118=9), "FLUSH",AND(N4118&lt;= 11, S4118=10), "FLUSH",AND(N4118&lt;= 21, S4118=10), "PRODUCTION")</f>
        <v>PRODUCTION</v>
      </c>
      <c r="U4118">
        <f>HOUR(datos_siembra[[#This Row],[Hour]])</f>
        <v>6</v>
      </c>
      <c r="V4118" cm="1">
        <f t="array" ref="V4118">_xlfn.IFS(AND(N4118&lt;= 22, S4118=9), N4118-7,AND(N4118&lt;= 28, S4118=9), N4118-25,AND(N4118&lt;= 30, S4118=9), N4118-28,AND(N4118&lt;= 11, S4118=10), N4118+2,AND(N4118&lt;= 21, S4118=10), N4118-11)</f>
        <v>6</v>
      </c>
    </row>
    <row r="4119" spans="1:22" x14ac:dyDescent="0.35">
      <c r="A4119" s="4">
        <v>45582</v>
      </c>
      <c r="B4119" s="5">
        <v>0.27434027777777775</v>
      </c>
      <c r="C4119">
        <v>65.2</v>
      </c>
      <c r="D4119">
        <v>65.8</v>
      </c>
      <c r="E4119">
        <v>65.2</v>
      </c>
      <c r="F4119">
        <v>65.400000000000006</v>
      </c>
      <c r="G4119">
        <v>0</v>
      </c>
      <c r="H4119">
        <v>0</v>
      </c>
      <c r="I4119">
        <v>0</v>
      </c>
      <c r="J4119">
        <v>0</v>
      </c>
      <c r="K4119">
        <v>60</v>
      </c>
      <c r="L4119">
        <v>60.8</v>
      </c>
      <c r="M4119">
        <v>65.41</v>
      </c>
      <c r="N4119">
        <v>17</v>
      </c>
      <c r="O4119">
        <v>2</v>
      </c>
      <c r="P4119">
        <f>MOD(DAY(datos_siembra[[#This Row],[Date]]),7)</f>
        <v>3</v>
      </c>
      <c r="Q4119" t="str">
        <f>CHOOSE(WEEKDAY(datos_siembra[[#This Row],[Date]],2),"L","M","X","J","V","S","D")</f>
        <v>J</v>
      </c>
      <c r="R4119">
        <f>WEEKNUM(datos_siembra[[#This Row],[Date]],2)-WEEKNUM(DATE(YEAR(datos_siembra[[#This Row],[Date]]),MONTH(datos_siembra[[#This Row],[Date]]),1))+1</f>
        <v>3</v>
      </c>
      <c r="S4119">
        <f>MONTH(datos_siembra[[#This Row],[Date]])</f>
        <v>10</v>
      </c>
      <c r="T4119" t="str" cm="1">
        <f t="array" ref="T4119">_xlfn.IFS(AND(N4119&lt;= 22, S4119=9), "SOWING",AND(N4119&lt;= 28, S4119=9), "COVERAGE",AND(N4119&lt;= 30, S4119=9), "FLUSH",AND(N4119&lt;= 11, S4119=10), "FLUSH",AND(N4119&lt;= 21, S4119=10), "PRODUCTION")</f>
        <v>PRODUCTION</v>
      </c>
      <c r="U4119">
        <f>HOUR(datos_siembra[[#This Row],[Hour]])</f>
        <v>6</v>
      </c>
      <c r="V4119" cm="1">
        <f t="array" ref="V4119">_xlfn.IFS(AND(N4119&lt;= 22, S4119=9), N4119-7,AND(N4119&lt;= 28, S4119=9), N4119-25,AND(N4119&lt;= 30, S4119=9), N4119-28,AND(N4119&lt;= 11, S4119=10), N4119+2,AND(N4119&lt;= 21, S4119=10), N4119-11)</f>
        <v>6</v>
      </c>
    </row>
    <row r="4120" spans="1:22" x14ac:dyDescent="0.35">
      <c r="A4120" s="4">
        <v>45582</v>
      </c>
      <c r="B4120" s="5">
        <v>0.28128472222222223</v>
      </c>
      <c r="C4120">
        <v>65.3</v>
      </c>
      <c r="D4120">
        <v>66</v>
      </c>
      <c r="E4120">
        <v>65</v>
      </c>
      <c r="F4120">
        <v>65.400000000000006</v>
      </c>
      <c r="G4120">
        <v>0</v>
      </c>
      <c r="H4120">
        <v>0</v>
      </c>
      <c r="I4120">
        <v>0</v>
      </c>
      <c r="J4120">
        <v>0</v>
      </c>
      <c r="K4120">
        <v>60</v>
      </c>
      <c r="L4120">
        <v>60.9</v>
      </c>
      <c r="M4120">
        <v>65.41</v>
      </c>
      <c r="N4120">
        <v>17</v>
      </c>
      <c r="O4120">
        <v>2</v>
      </c>
      <c r="P4120">
        <f>MOD(DAY(datos_siembra[[#This Row],[Date]]),7)</f>
        <v>3</v>
      </c>
      <c r="Q4120" t="str">
        <f>CHOOSE(WEEKDAY(datos_siembra[[#This Row],[Date]],2),"L","M","X","J","V","S","D")</f>
        <v>J</v>
      </c>
      <c r="R4120">
        <f>WEEKNUM(datos_siembra[[#This Row],[Date]],2)-WEEKNUM(DATE(YEAR(datos_siembra[[#This Row],[Date]]),MONTH(datos_siembra[[#This Row],[Date]]),1))+1</f>
        <v>3</v>
      </c>
      <c r="S4120">
        <f>MONTH(datos_siembra[[#This Row],[Date]])</f>
        <v>10</v>
      </c>
      <c r="T4120" t="str" cm="1">
        <f t="array" ref="T4120">_xlfn.IFS(AND(N4120&lt;= 22, S4120=9), "SOWING",AND(N4120&lt;= 28, S4120=9), "COVERAGE",AND(N4120&lt;= 30, S4120=9), "FLUSH",AND(N4120&lt;= 11, S4120=10), "FLUSH",AND(N4120&lt;= 21, S4120=10), "PRODUCTION")</f>
        <v>PRODUCTION</v>
      </c>
      <c r="U4120">
        <f>HOUR(datos_siembra[[#This Row],[Hour]])</f>
        <v>6</v>
      </c>
      <c r="V4120" cm="1">
        <f t="array" ref="V4120">_xlfn.IFS(AND(N4120&lt;= 22, S4120=9), N4120-7,AND(N4120&lt;= 28, S4120=9), N4120-25,AND(N4120&lt;= 30, S4120=9), N4120-28,AND(N4120&lt;= 11, S4120=10), N4120+2,AND(N4120&lt;= 21, S4120=10), N4120-11)</f>
        <v>6</v>
      </c>
    </row>
    <row r="4121" spans="1:22" x14ac:dyDescent="0.35">
      <c r="A4121" s="4">
        <v>45582</v>
      </c>
      <c r="B4121" s="5">
        <v>0.28824074074074074</v>
      </c>
      <c r="C4121">
        <v>65.3</v>
      </c>
      <c r="D4121">
        <v>66</v>
      </c>
      <c r="E4121">
        <v>65.099999999999994</v>
      </c>
      <c r="F4121">
        <v>65.2</v>
      </c>
      <c r="G4121">
        <v>0</v>
      </c>
      <c r="H4121">
        <v>0</v>
      </c>
      <c r="I4121">
        <v>0</v>
      </c>
      <c r="J4121">
        <v>0</v>
      </c>
      <c r="K4121">
        <v>60</v>
      </c>
      <c r="L4121">
        <v>60.9</v>
      </c>
      <c r="M4121">
        <v>65.33</v>
      </c>
      <c r="N4121">
        <v>17</v>
      </c>
      <c r="O4121">
        <v>2</v>
      </c>
      <c r="P4121">
        <f>MOD(DAY(datos_siembra[[#This Row],[Date]]),7)</f>
        <v>3</v>
      </c>
      <c r="Q4121" t="str">
        <f>CHOOSE(WEEKDAY(datos_siembra[[#This Row],[Date]],2),"L","M","X","J","V","S","D")</f>
        <v>J</v>
      </c>
      <c r="R4121">
        <f>WEEKNUM(datos_siembra[[#This Row],[Date]],2)-WEEKNUM(DATE(YEAR(datos_siembra[[#This Row],[Date]]),MONTH(datos_siembra[[#This Row],[Date]]),1))+1</f>
        <v>3</v>
      </c>
      <c r="S4121">
        <f>MONTH(datos_siembra[[#This Row],[Date]])</f>
        <v>10</v>
      </c>
      <c r="T4121" t="str" cm="1">
        <f t="array" ref="T4121">_xlfn.IFS(AND(N4121&lt;= 22, S4121=9), "SOWING",AND(N4121&lt;= 28, S4121=9), "COVERAGE",AND(N4121&lt;= 30, S4121=9), "FLUSH",AND(N4121&lt;= 11, S4121=10), "FLUSH",AND(N4121&lt;= 21, S4121=10), "PRODUCTION")</f>
        <v>PRODUCTION</v>
      </c>
      <c r="U4121">
        <f>HOUR(datos_siembra[[#This Row],[Hour]])</f>
        <v>6</v>
      </c>
      <c r="V4121" cm="1">
        <f t="array" ref="V4121">_xlfn.IFS(AND(N4121&lt;= 22, S4121=9), N4121-7,AND(N4121&lt;= 28, S4121=9), N4121-25,AND(N4121&lt;= 30, S4121=9), N4121-28,AND(N4121&lt;= 11, S4121=10), N4121+2,AND(N4121&lt;= 21, S4121=10), N4121-11)</f>
        <v>6</v>
      </c>
    </row>
    <row r="4122" spans="1:22" x14ac:dyDescent="0.35">
      <c r="A4122" s="4">
        <v>45582</v>
      </c>
      <c r="B4122" s="5">
        <v>0.29518518518518516</v>
      </c>
      <c r="C4122">
        <v>65.2</v>
      </c>
      <c r="D4122">
        <v>66</v>
      </c>
      <c r="E4122">
        <v>65.099999999999994</v>
      </c>
      <c r="F4122">
        <v>65.099999999999994</v>
      </c>
      <c r="G4122">
        <v>0</v>
      </c>
      <c r="H4122">
        <v>0</v>
      </c>
      <c r="I4122">
        <v>0</v>
      </c>
      <c r="J4122">
        <v>0</v>
      </c>
      <c r="K4122">
        <v>60.1</v>
      </c>
      <c r="L4122">
        <v>61</v>
      </c>
      <c r="M4122">
        <v>65.33</v>
      </c>
      <c r="N4122">
        <v>17</v>
      </c>
      <c r="O4122">
        <v>2</v>
      </c>
      <c r="P4122">
        <f>MOD(DAY(datos_siembra[[#This Row],[Date]]),7)</f>
        <v>3</v>
      </c>
      <c r="Q4122" t="str">
        <f>CHOOSE(WEEKDAY(datos_siembra[[#This Row],[Date]],2),"L","M","X","J","V","S","D")</f>
        <v>J</v>
      </c>
      <c r="R4122">
        <f>WEEKNUM(datos_siembra[[#This Row],[Date]],2)-WEEKNUM(DATE(YEAR(datos_siembra[[#This Row],[Date]]),MONTH(datos_siembra[[#This Row],[Date]]),1))+1</f>
        <v>3</v>
      </c>
      <c r="S4122">
        <f>MONTH(datos_siembra[[#This Row],[Date]])</f>
        <v>10</v>
      </c>
      <c r="T4122" t="str" cm="1">
        <f t="array" ref="T4122">_xlfn.IFS(AND(N4122&lt;= 22, S4122=9), "SOWING",AND(N4122&lt;= 28, S4122=9), "COVERAGE",AND(N4122&lt;= 30, S4122=9), "FLUSH",AND(N4122&lt;= 11, S4122=10), "FLUSH",AND(N4122&lt;= 21, S4122=10), "PRODUCTION")</f>
        <v>PRODUCTION</v>
      </c>
      <c r="U4122">
        <f>HOUR(datos_siembra[[#This Row],[Hour]])</f>
        <v>7</v>
      </c>
      <c r="V4122" cm="1">
        <f t="array" ref="V4122">_xlfn.IFS(AND(N4122&lt;= 22, S4122=9), N4122-7,AND(N4122&lt;= 28, S4122=9), N4122-25,AND(N4122&lt;= 30, S4122=9), N4122-28,AND(N4122&lt;= 11, S4122=10), N4122+2,AND(N4122&lt;= 21, S4122=10), N4122-11)</f>
        <v>6</v>
      </c>
    </row>
    <row r="4123" spans="1:22" x14ac:dyDescent="0.35">
      <c r="A4123" s="4">
        <v>45582</v>
      </c>
      <c r="B4123" s="5">
        <v>0.30212962962962964</v>
      </c>
      <c r="C4123">
        <v>65.3</v>
      </c>
      <c r="D4123">
        <v>65.900000000000006</v>
      </c>
      <c r="E4123">
        <v>65.099999999999994</v>
      </c>
      <c r="F4123">
        <v>65.2</v>
      </c>
      <c r="G4123">
        <v>0</v>
      </c>
      <c r="H4123">
        <v>0</v>
      </c>
      <c r="I4123">
        <v>0</v>
      </c>
      <c r="J4123">
        <v>0</v>
      </c>
      <c r="K4123">
        <v>60.3</v>
      </c>
      <c r="L4123">
        <v>61.1</v>
      </c>
      <c r="M4123">
        <v>65.3</v>
      </c>
      <c r="N4123">
        <v>17</v>
      </c>
      <c r="O4123">
        <v>2</v>
      </c>
      <c r="P4123">
        <f>MOD(DAY(datos_siembra[[#This Row],[Date]]),7)</f>
        <v>3</v>
      </c>
      <c r="Q4123" t="str">
        <f>CHOOSE(WEEKDAY(datos_siembra[[#This Row],[Date]],2),"L","M","X","J","V","S","D")</f>
        <v>J</v>
      </c>
      <c r="R4123">
        <f>WEEKNUM(datos_siembra[[#This Row],[Date]],2)-WEEKNUM(DATE(YEAR(datos_siembra[[#This Row],[Date]]),MONTH(datos_siembra[[#This Row],[Date]]),1))+1</f>
        <v>3</v>
      </c>
      <c r="S4123">
        <f>MONTH(datos_siembra[[#This Row],[Date]])</f>
        <v>10</v>
      </c>
      <c r="T4123" t="str" cm="1">
        <f t="array" ref="T4123">_xlfn.IFS(AND(N4123&lt;= 22, S4123=9), "SOWING",AND(N4123&lt;= 28, S4123=9), "COVERAGE",AND(N4123&lt;= 30, S4123=9), "FLUSH",AND(N4123&lt;= 11, S4123=10), "FLUSH",AND(N4123&lt;= 21, S4123=10), "PRODUCTION")</f>
        <v>PRODUCTION</v>
      </c>
      <c r="U4123">
        <f>HOUR(datos_siembra[[#This Row],[Hour]])</f>
        <v>7</v>
      </c>
      <c r="V4123" cm="1">
        <f t="array" ref="V4123">_xlfn.IFS(AND(N4123&lt;= 22, S4123=9), N4123-7,AND(N4123&lt;= 28, S4123=9), N4123-25,AND(N4123&lt;= 30, S4123=9), N4123-28,AND(N4123&lt;= 11, S4123=10), N4123+2,AND(N4123&lt;= 21, S4123=10), N4123-11)</f>
        <v>6</v>
      </c>
    </row>
    <row r="4124" spans="1:22" x14ac:dyDescent="0.35">
      <c r="A4124" s="4">
        <v>45582</v>
      </c>
      <c r="B4124" s="5">
        <v>0.30907407407407406</v>
      </c>
      <c r="C4124">
        <v>65.2</v>
      </c>
      <c r="D4124">
        <v>66</v>
      </c>
      <c r="E4124">
        <v>65</v>
      </c>
      <c r="F4124">
        <v>65.2</v>
      </c>
      <c r="G4124">
        <v>0</v>
      </c>
      <c r="H4124">
        <v>0</v>
      </c>
      <c r="I4124">
        <v>0</v>
      </c>
      <c r="J4124">
        <v>0</v>
      </c>
      <c r="K4124">
        <v>60.5</v>
      </c>
      <c r="L4124">
        <v>61.1</v>
      </c>
      <c r="M4124">
        <v>65.239999999999995</v>
      </c>
      <c r="N4124">
        <v>17</v>
      </c>
      <c r="O4124">
        <v>2</v>
      </c>
      <c r="P4124">
        <f>MOD(DAY(datos_siembra[[#This Row],[Date]]),7)</f>
        <v>3</v>
      </c>
      <c r="Q4124" t="str">
        <f>CHOOSE(WEEKDAY(datos_siembra[[#This Row],[Date]],2),"L","M","X","J","V","S","D")</f>
        <v>J</v>
      </c>
      <c r="R4124">
        <f>WEEKNUM(datos_siembra[[#This Row],[Date]],2)-WEEKNUM(DATE(YEAR(datos_siembra[[#This Row],[Date]]),MONTH(datos_siembra[[#This Row],[Date]]),1))+1</f>
        <v>3</v>
      </c>
      <c r="S4124">
        <f>MONTH(datos_siembra[[#This Row],[Date]])</f>
        <v>10</v>
      </c>
      <c r="T4124" t="str" cm="1">
        <f t="array" ref="T4124">_xlfn.IFS(AND(N4124&lt;= 22, S4124=9), "SOWING",AND(N4124&lt;= 28, S4124=9), "COVERAGE",AND(N4124&lt;= 30, S4124=9), "FLUSH",AND(N4124&lt;= 11, S4124=10), "FLUSH",AND(N4124&lt;= 21, S4124=10), "PRODUCTION")</f>
        <v>PRODUCTION</v>
      </c>
      <c r="U4124">
        <f>HOUR(datos_siembra[[#This Row],[Hour]])</f>
        <v>7</v>
      </c>
      <c r="V4124" cm="1">
        <f t="array" ref="V4124">_xlfn.IFS(AND(N4124&lt;= 22, S4124=9), N4124-7,AND(N4124&lt;= 28, S4124=9), N4124-25,AND(N4124&lt;= 30, S4124=9), N4124-28,AND(N4124&lt;= 11, S4124=10), N4124+2,AND(N4124&lt;= 21, S4124=10), N4124-11)</f>
        <v>6</v>
      </c>
    </row>
    <row r="4125" spans="1:22" x14ac:dyDescent="0.35">
      <c r="A4125" s="4">
        <v>45582</v>
      </c>
      <c r="B4125" s="5">
        <v>0.31744212962962964</v>
      </c>
      <c r="C4125">
        <v>65.3</v>
      </c>
      <c r="D4125">
        <v>65.8</v>
      </c>
      <c r="E4125">
        <v>64.900000000000006</v>
      </c>
      <c r="F4125">
        <v>65.099999999999994</v>
      </c>
      <c r="G4125">
        <v>0</v>
      </c>
      <c r="H4125">
        <v>0</v>
      </c>
      <c r="I4125">
        <v>0</v>
      </c>
      <c r="J4125">
        <v>0</v>
      </c>
      <c r="K4125">
        <v>60.5</v>
      </c>
      <c r="L4125">
        <v>61.2</v>
      </c>
      <c r="M4125">
        <v>65.239999999999995</v>
      </c>
      <c r="N4125">
        <v>17</v>
      </c>
      <c r="O4125">
        <v>2</v>
      </c>
      <c r="P4125">
        <f>MOD(DAY(datos_siembra[[#This Row],[Date]]),7)</f>
        <v>3</v>
      </c>
      <c r="Q4125" t="str">
        <f>CHOOSE(WEEKDAY(datos_siembra[[#This Row],[Date]],2),"L","M","X","J","V","S","D")</f>
        <v>J</v>
      </c>
      <c r="R4125">
        <f>WEEKNUM(datos_siembra[[#This Row],[Date]],2)-WEEKNUM(DATE(YEAR(datos_siembra[[#This Row],[Date]]),MONTH(datos_siembra[[#This Row],[Date]]),1))+1</f>
        <v>3</v>
      </c>
      <c r="S4125">
        <f>MONTH(datos_siembra[[#This Row],[Date]])</f>
        <v>10</v>
      </c>
      <c r="T4125" t="str" cm="1">
        <f t="array" ref="T4125">_xlfn.IFS(AND(N4125&lt;= 22, S4125=9), "SOWING",AND(N4125&lt;= 28, S4125=9), "COVERAGE",AND(N4125&lt;= 30, S4125=9), "FLUSH",AND(N4125&lt;= 11, S4125=10), "FLUSH",AND(N4125&lt;= 21, S4125=10), "PRODUCTION")</f>
        <v>PRODUCTION</v>
      </c>
      <c r="U4125">
        <f>HOUR(datos_siembra[[#This Row],[Hour]])</f>
        <v>7</v>
      </c>
      <c r="V4125" cm="1">
        <f t="array" ref="V4125">_xlfn.IFS(AND(N4125&lt;= 22, S4125=9), N4125-7,AND(N4125&lt;= 28, S4125=9), N4125-25,AND(N4125&lt;= 30, S4125=9), N4125-28,AND(N4125&lt;= 11, S4125=10), N4125+2,AND(N4125&lt;= 21, S4125=10), N4125-11)</f>
        <v>6</v>
      </c>
    </row>
    <row r="4126" spans="1:22" x14ac:dyDescent="0.35">
      <c r="A4126" s="4">
        <v>45582</v>
      </c>
      <c r="B4126" s="5">
        <v>0.32424768518518521</v>
      </c>
      <c r="C4126">
        <v>65.2</v>
      </c>
      <c r="D4126">
        <v>65.8</v>
      </c>
      <c r="E4126">
        <v>64.7</v>
      </c>
      <c r="F4126">
        <v>65.099999999999994</v>
      </c>
      <c r="G4126">
        <v>0</v>
      </c>
      <c r="H4126">
        <v>0</v>
      </c>
      <c r="I4126">
        <v>0</v>
      </c>
      <c r="J4126">
        <v>0</v>
      </c>
      <c r="K4126">
        <v>60.7</v>
      </c>
      <c r="L4126">
        <v>61.2</v>
      </c>
      <c r="M4126">
        <v>65.19</v>
      </c>
      <c r="N4126">
        <v>17</v>
      </c>
      <c r="O4126">
        <v>2</v>
      </c>
      <c r="P4126">
        <f>MOD(DAY(datos_siembra[[#This Row],[Date]]),7)</f>
        <v>3</v>
      </c>
      <c r="Q4126" t="str">
        <f>CHOOSE(WEEKDAY(datos_siembra[[#This Row],[Date]],2),"L","M","X","J","V","S","D")</f>
        <v>J</v>
      </c>
      <c r="R4126">
        <f>WEEKNUM(datos_siembra[[#This Row],[Date]],2)-WEEKNUM(DATE(YEAR(datos_siembra[[#This Row],[Date]]),MONTH(datos_siembra[[#This Row],[Date]]),1))+1</f>
        <v>3</v>
      </c>
      <c r="S4126">
        <f>MONTH(datos_siembra[[#This Row],[Date]])</f>
        <v>10</v>
      </c>
      <c r="T4126" t="str" cm="1">
        <f t="array" ref="T4126">_xlfn.IFS(AND(N4126&lt;= 22, S4126=9), "SOWING",AND(N4126&lt;= 28, S4126=9), "COVERAGE",AND(N4126&lt;= 30, S4126=9), "FLUSH",AND(N4126&lt;= 11, S4126=10), "FLUSH",AND(N4126&lt;= 21, S4126=10), "PRODUCTION")</f>
        <v>PRODUCTION</v>
      </c>
      <c r="U4126">
        <f>HOUR(datos_siembra[[#This Row],[Hour]])</f>
        <v>7</v>
      </c>
      <c r="V4126" cm="1">
        <f t="array" ref="V4126">_xlfn.IFS(AND(N4126&lt;= 22, S4126=9), N4126-7,AND(N4126&lt;= 28, S4126=9), N4126-25,AND(N4126&lt;= 30, S4126=9), N4126-28,AND(N4126&lt;= 11, S4126=10), N4126+2,AND(N4126&lt;= 21, S4126=10), N4126-11)</f>
        <v>6</v>
      </c>
    </row>
    <row r="4127" spans="1:22" x14ac:dyDescent="0.35">
      <c r="A4127" s="4">
        <v>45582</v>
      </c>
      <c r="B4127" s="5">
        <v>0.33120370370370372</v>
      </c>
      <c r="C4127">
        <v>65.2</v>
      </c>
      <c r="D4127">
        <v>65.8</v>
      </c>
      <c r="E4127">
        <v>64.900000000000006</v>
      </c>
      <c r="F4127">
        <v>64.900000000000006</v>
      </c>
      <c r="G4127">
        <v>0</v>
      </c>
      <c r="H4127">
        <v>0</v>
      </c>
      <c r="I4127">
        <v>0</v>
      </c>
      <c r="J4127">
        <v>0</v>
      </c>
      <c r="K4127">
        <v>60.7</v>
      </c>
      <c r="L4127">
        <v>61.2</v>
      </c>
      <c r="M4127">
        <v>65.16</v>
      </c>
      <c r="N4127">
        <v>17</v>
      </c>
      <c r="O4127">
        <v>2</v>
      </c>
      <c r="P4127">
        <f>MOD(DAY(datos_siembra[[#This Row],[Date]]),7)</f>
        <v>3</v>
      </c>
      <c r="Q4127" t="str">
        <f>CHOOSE(WEEKDAY(datos_siembra[[#This Row],[Date]],2),"L","M","X","J","V","S","D")</f>
        <v>J</v>
      </c>
      <c r="R4127">
        <f>WEEKNUM(datos_siembra[[#This Row],[Date]],2)-WEEKNUM(DATE(YEAR(datos_siembra[[#This Row],[Date]]),MONTH(datos_siembra[[#This Row],[Date]]),1))+1</f>
        <v>3</v>
      </c>
      <c r="S4127">
        <f>MONTH(datos_siembra[[#This Row],[Date]])</f>
        <v>10</v>
      </c>
      <c r="T4127" t="str" cm="1">
        <f t="array" ref="T4127">_xlfn.IFS(AND(N4127&lt;= 22, S4127=9), "SOWING",AND(N4127&lt;= 28, S4127=9), "COVERAGE",AND(N4127&lt;= 30, S4127=9), "FLUSH",AND(N4127&lt;= 11, S4127=10), "FLUSH",AND(N4127&lt;= 21, S4127=10), "PRODUCTION")</f>
        <v>PRODUCTION</v>
      </c>
      <c r="U4127">
        <f>HOUR(datos_siembra[[#This Row],[Hour]])</f>
        <v>7</v>
      </c>
      <c r="V4127" cm="1">
        <f t="array" ref="V4127">_xlfn.IFS(AND(N4127&lt;= 22, S4127=9), N4127-7,AND(N4127&lt;= 28, S4127=9), N4127-25,AND(N4127&lt;= 30, S4127=9), N4127-28,AND(N4127&lt;= 11, S4127=10), N4127+2,AND(N4127&lt;= 21, S4127=10), N4127-11)</f>
        <v>6</v>
      </c>
    </row>
    <row r="4128" spans="1:22" x14ac:dyDescent="0.35">
      <c r="A4128" s="4">
        <v>45582</v>
      </c>
      <c r="B4128" s="5">
        <v>0.33814814814814814</v>
      </c>
      <c r="C4128">
        <v>65.2</v>
      </c>
      <c r="D4128">
        <v>65.8</v>
      </c>
      <c r="E4128">
        <v>64.7</v>
      </c>
      <c r="F4128">
        <v>65.099999999999994</v>
      </c>
      <c r="G4128">
        <v>0</v>
      </c>
      <c r="H4128">
        <v>0</v>
      </c>
      <c r="I4128">
        <v>0</v>
      </c>
      <c r="J4128">
        <v>0</v>
      </c>
      <c r="K4128">
        <v>60.8</v>
      </c>
      <c r="L4128">
        <v>61.4</v>
      </c>
      <c r="M4128">
        <v>65.13</v>
      </c>
      <c r="N4128">
        <v>17</v>
      </c>
      <c r="O4128">
        <v>2</v>
      </c>
      <c r="P4128">
        <f>MOD(DAY(datos_siembra[[#This Row],[Date]]),7)</f>
        <v>3</v>
      </c>
      <c r="Q4128" t="str">
        <f>CHOOSE(WEEKDAY(datos_siembra[[#This Row],[Date]],2),"L","M","X","J","V","S","D")</f>
        <v>J</v>
      </c>
      <c r="R4128">
        <f>WEEKNUM(datos_siembra[[#This Row],[Date]],2)-WEEKNUM(DATE(YEAR(datos_siembra[[#This Row],[Date]]),MONTH(datos_siembra[[#This Row],[Date]]),1))+1</f>
        <v>3</v>
      </c>
      <c r="S4128">
        <f>MONTH(datos_siembra[[#This Row],[Date]])</f>
        <v>10</v>
      </c>
      <c r="T4128" t="str" cm="1">
        <f t="array" ref="T4128">_xlfn.IFS(AND(N4128&lt;= 22, S4128=9), "SOWING",AND(N4128&lt;= 28, S4128=9), "COVERAGE",AND(N4128&lt;= 30, S4128=9), "FLUSH",AND(N4128&lt;= 11, S4128=10), "FLUSH",AND(N4128&lt;= 21, S4128=10), "PRODUCTION")</f>
        <v>PRODUCTION</v>
      </c>
      <c r="U4128">
        <f>HOUR(datos_siembra[[#This Row],[Hour]])</f>
        <v>8</v>
      </c>
      <c r="V4128" cm="1">
        <f t="array" ref="V4128">_xlfn.IFS(AND(N4128&lt;= 22, S4128=9), N4128-7,AND(N4128&lt;= 28, S4128=9), N4128-25,AND(N4128&lt;= 30, S4128=9), N4128-28,AND(N4128&lt;= 11, S4128=10), N4128+2,AND(N4128&lt;= 21, S4128=10), N4128-11)</f>
        <v>6</v>
      </c>
    </row>
    <row r="4129" spans="1:22" x14ac:dyDescent="0.35">
      <c r="A4129" s="4">
        <v>45582</v>
      </c>
      <c r="B4129" s="5">
        <v>0.34509259259259262</v>
      </c>
      <c r="C4129">
        <v>65.2</v>
      </c>
      <c r="D4129">
        <v>65.900000000000006</v>
      </c>
      <c r="E4129">
        <v>65</v>
      </c>
      <c r="F4129">
        <v>65.099999999999994</v>
      </c>
      <c r="G4129">
        <v>0</v>
      </c>
      <c r="H4129">
        <v>0</v>
      </c>
      <c r="I4129">
        <v>0</v>
      </c>
      <c r="J4129">
        <v>0</v>
      </c>
      <c r="K4129">
        <v>60.9</v>
      </c>
      <c r="L4129">
        <v>61.5</v>
      </c>
      <c r="M4129">
        <v>65.239999999999995</v>
      </c>
      <c r="N4129">
        <v>17</v>
      </c>
      <c r="O4129">
        <v>2</v>
      </c>
      <c r="P4129">
        <f>MOD(DAY(datos_siembra[[#This Row],[Date]]),7)</f>
        <v>3</v>
      </c>
      <c r="Q4129" t="str">
        <f>CHOOSE(WEEKDAY(datos_siembra[[#This Row],[Date]],2),"L","M","X","J","V","S","D")</f>
        <v>J</v>
      </c>
      <c r="R4129">
        <f>WEEKNUM(datos_siembra[[#This Row],[Date]],2)-WEEKNUM(DATE(YEAR(datos_siembra[[#This Row],[Date]]),MONTH(datos_siembra[[#This Row],[Date]]),1))+1</f>
        <v>3</v>
      </c>
      <c r="S4129">
        <f>MONTH(datos_siembra[[#This Row],[Date]])</f>
        <v>10</v>
      </c>
      <c r="T4129" t="str" cm="1">
        <f t="array" ref="T4129">_xlfn.IFS(AND(N4129&lt;= 22, S4129=9), "SOWING",AND(N4129&lt;= 28, S4129=9), "COVERAGE",AND(N4129&lt;= 30, S4129=9), "FLUSH",AND(N4129&lt;= 11, S4129=10), "FLUSH",AND(N4129&lt;= 21, S4129=10), "PRODUCTION")</f>
        <v>PRODUCTION</v>
      </c>
      <c r="U4129">
        <f>HOUR(datos_siembra[[#This Row],[Hour]])</f>
        <v>8</v>
      </c>
      <c r="V4129" cm="1">
        <f t="array" ref="V4129">_xlfn.IFS(AND(N4129&lt;= 22, S4129=9), N4129-7,AND(N4129&lt;= 28, S4129=9), N4129-25,AND(N4129&lt;= 30, S4129=9), N4129-28,AND(N4129&lt;= 11, S4129=10), N4129+2,AND(N4129&lt;= 21, S4129=10), N4129-11)</f>
        <v>6</v>
      </c>
    </row>
    <row r="4130" spans="1:22" x14ac:dyDescent="0.35">
      <c r="A4130" s="4">
        <v>45582</v>
      </c>
      <c r="B4130" s="5">
        <v>0.35203703703703704</v>
      </c>
      <c r="C4130">
        <v>65.2</v>
      </c>
      <c r="D4130">
        <v>65.8</v>
      </c>
      <c r="E4130">
        <v>64.7</v>
      </c>
      <c r="F4130">
        <v>65</v>
      </c>
      <c r="G4130">
        <v>0</v>
      </c>
      <c r="H4130">
        <v>0</v>
      </c>
      <c r="I4130">
        <v>0</v>
      </c>
      <c r="J4130">
        <v>0</v>
      </c>
      <c r="K4130">
        <v>61.1</v>
      </c>
      <c r="L4130">
        <v>61.8</v>
      </c>
      <c r="M4130">
        <v>65.239999999999995</v>
      </c>
      <c r="N4130">
        <v>17</v>
      </c>
      <c r="O4130">
        <v>2</v>
      </c>
      <c r="P4130">
        <f>MOD(DAY(datos_siembra[[#This Row],[Date]]),7)</f>
        <v>3</v>
      </c>
      <c r="Q4130" t="str">
        <f>CHOOSE(WEEKDAY(datos_siembra[[#This Row],[Date]],2),"L","M","X","J","V","S","D")</f>
        <v>J</v>
      </c>
      <c r="R4130">
        <f>WEEKNUM(datos_siembra[[#This Row],[Date]],2)-WEEKNUM(DATE(YEAR(datos_siembra[[#This Row],[Date]]),MONTH(datos_siembra[[#This Row],[Date]]),1))+1</f>
        <v>3</v>
      </c>
      <c r="S4130">
        <f>MONTH(datos_siembra[[#This Row],[Date]])</f>
        <v>10</v>
      </c>
      <c r="T4130" t="str" cm="1">
        <f t="array" ref="T4130">_xlfn.IFS(AND(N4130&lt;= 22, S4130=9), "SOWING",AND(N4130&lt;= 28, S4130=9), "COVERAGE",AND(N4130&lt;= 30, S4130=9), "FLUSH",AND(N4130&lt;= 11, S4130=10), "FLUSH",AND(N4130&lt;= 21, S4130=10), "PRODUCTION")</f>
        <v>PRODUCTION</v>
      </c>
      <c r="U4130">
        <f>HOUR(datos_siembra[[#This Row],[Hour]])</f>
        <v>8</v>
      </c>
      <c r="V4130" cm="1">
        <f t="array" ref="V4130">_xlfn.IFS(AND(N4130&lt;= 22, S4130=9), N4130-7,AND(N4130&lt;= 28, S4130=9), N4130-25,AND(N4130&lt;= 30, S4130=9), N4130-28,AND(N4130&lt;= 11, S4130=10), N4130+2,AND(N4130&lt;= 21, S4130=10), N4130-11)</f>
        <v>6</v>
      </c>
    </row>
    <row r="4131" spans="1:22" x14ac:dyDescent="0.35">
      <c r="A4131" s="4">
        <v>45582</v>
      </c>
      <c r="B4131" s="5">
        <v>0.35899305555555555</v>
      </c>
      <c r="C4131">
        <v>65.2</v>
      </c>
      <c r="D4131">
        <v>65.8</v>
      </c>
      <c r="E4131">
        <v>64.900000000000006</v>
      </c>
      <c r="F4131">
        <v>65</v>
      </c>
      <c r="G4131">
        <v>0</v>
      </c>
      <c r="H4131">
        <v>0</v>
      </c>
      <c r="I4131">
        <v>0</v>
      </c>
      <c r="J4131">
        <v>0</v>
      </c>
      <c r="K4131">
        <v>61.2</v>
      </c>
      <c r="L4131">
        <v>61.8</v>
      </c>
      <c r="M4131">
        <v>65.22</v>
      </c>
      <c r="N4131">
        <v>17</v>
      </c>
      <c r="O4131">
        <v>2</v>
      </c>
      <c r="P4131">
        <f>MOD(DAY(datos_siembra[[#This Row],[Date]]),7)</f>
        <v>3</v>
      </c>
      <c r="Q4131" t="str">
        <f>CHOOSE(WEEKDAY(datos_siembra[[#This Row],[Date]],2),"L","M","X","J","V","S","D")</f>
        <v>J</v>
      </c>
      <c r="R4131">
        <f>WEEKNUM(datos_siembra[[#This Row],[Date]],2)-WEEKNUM(DATE(YEAR(datos_siembra[[#This Row],[Date]]),MONTH(datos_siembra[[#This Row],[Date]]),1))+1</f>
        <v>3</v>
      </c>
      <c r="S4131">
        <f>MONTH(datos_siembra[[#This Row],[Date]])</f>
        <v>10</v>
      </c>
      <c r="T4131" t="str" cm="1">
        <f t="array" ref="T4131">_xlfn.IFS(AND(N4131&lt;= 22, S4131=9), "SOWING",AND(N4131&lt;= 28, S4131=9), "COVERAGE",AND(N4131&lt;= 30, S4131=9), "FLUSH",AND(N4131&lt;= 11, S4131=10), "FLUSH",AND(N4131&lt;= 21, S4131=10), "PRODUCTION")</f>
        <v>PRODUCTION</v>
      </c>
      <c r="U4131">
        <f>HOUR(datos_siembra[[#This Row],[Hour]])</f>
        <v>8</v>
      </c>
      <c r="V4131" cm="1">
        <f t="array" ref="V4131">_xlfn.IFS(AND(N4131&lt;= 22, S4131=9), N4131-7,AND(N4131&lt;= 28, S4131=9), N4131-25,AND(N4131&lt;= 30, S4131=9), N4131-28,AND(N4131&lt;= 11, S4131=10), N4131+2,AND(N4131&lt;= 21, S4131=10), N4131-11)</f>
        <v>6</v>
      </c>
    </row>
    <row r="4132" spans="1:22" x14ac:dyDescent="0.35">
      <c r="A4132" s="4">
        <v>45582</v>
      </c>
      <c r="B4132" s="5">
        <v>0.36593750000000003</v>
      </c>
      <c r="C4132">
        <v>65.099999999999994</v>
      </c>
      <c r="D4132">
        <v>65.900000000000006</v>
      </c>
      <c r="E4132">
        <v>64.900000000000006</v>
      </c>
      <c r="F4132">
        <v>64.900000000000006</v>
      </c>
      <c r="G4132">
        <v>0</v>
      </c>
      <c r="H4132">
        <v>0</v>
      </c>
      <c r="I4132">
        <v>0</v>
      </c>
      <c r="J4132">
        <v>0</v>
      </c>
      <c r="K4132">
        <v>61.5</v>
      </c>
      <c r="L4132">
        <v>62.2</v>
      </c>
      <c r="M4132">
        <v>65.27</v>
      </c>
      <c r="N4132">
        <v>17</v>
      </c>
      <c r="O4132">
        <v>2</v>
      </c>
      <c r="P4132">
        <f>MOD(DAY(datos_siembra[[#This Row],[Date]]),7)</f>
        <v>3</v>
      </c>
      <c r="Q4132" t="str">
        <f>CHOOSE(WEEKDAY(datos_siembra[[#This Row],[Date]],2),"L","M","X","J","V","S","D")</f>
        <v>J</v>
      </c>
      <c r="R4132">
        <f>WEEKNUM(datos_siembra[[#This Row],[Date]],2)-WEEKNUM(DATE(YEAR(datos_siembra[[#This Row],[Date]]),MONTH(datos_siembra[[#This Row],[Date]]),1))+1</f>
        <v>3</v>
      </c>
      <c r="S4132">
        <f>MONTH(datos_siembra[[#This Row],[Date]])</f>
        <v>10</v>
      </c>
      <c r="T4132" t="str" cm="1">
        <f t="array" ref="T4132">_xlfn.IFS(AND(N4132&lt;= 22, S4132=9), "SOWING",AND(N4132&lt;= 28, S4132=9), "COVERAGE",AND(N4132&lt;= 30, S4132=9), "FLUSH",AND(N4132&lt;= 11, S4132=10), "FLUSH",AND(N4132&lt;= 21, S4132=10), "PRODUCTION")</f>
        <v>PRODUCTION</v>
      </c>
      <c r="U4132">
        <f>HOUR(datos_siembra[[#This Row],[Hour]])</f>
        <v>8</v>
      </c>
      <c r="V4132" cm="1">
        <f t="array" ref="V4132">_xlfn.IFS(AND(N4132&lt;= 22, S4132=9), N4132-7,AND(N4132&lt;= 28, S4132=9), N4132-25,AND(N4132&lt;= 30, S4132=9), N4132-28,AND(N4132&lt;= 11, S4132=10), N4132+2,AND(N4132&lt;= 21, S4132=10), N4132-11)</f>
        <v>6</v>
      </c>
    </row>
    <row r="4133" spans="1:22" x14ac:dyDescent="0.35">
      <c r="A4133" s="4">
        <v>45582</v>
      </c>
      <c r="B4133" s="5">
        <v>0.37288194444444445</v>
      </c>
      <c r="C4133">
        <v>65.2</v>
      </c>
      <c r="D4133">
        <v>65.8</v>
      </c>
      <c r="E4133">
        <v>64.900000000000006</v>
      </c>
      <c r="F4133">
        <v>64.900000000000006</v>
      </c>
      <c r="G4133">
        <v>0</v>
      </c>
      <c r="H4133">
        <v>0</v>
      </c>
      <c r="I4133">
        <v>0</v>
      </c>
      <c r="J4133">
        <v>0</v>
      </c>
      <c r="K4133">
        <v>61.6</v>
      </c>
      <c r="L4133">
        <v>62.2</v>
      </c>
      <c r="M4133">
        <v>65.05</v>
      </c>
      <c r="N4133">
        <v>17</v>
      </c>
      <c r="O4133">
        <v>2</v>
      </c>
      <c r="P4133">
        <f>MOD(DAY(datos_siembra[[#This Row],[Date]]),7)</f>
        <v>3</v>
      </c>
      <c r="Q4133" t="str">
        <f>CHOOSE(WEEKDAY(datos_siembra[[#This Row],[Date]],2),"L","M","X","J","V","S","D")</f>
        <v>J</v>
      </c>
      <c r="R4133">
        <f>WEEKNUM(datos_siembra[[#This Row],[Date]],2)-WEEKNUM(DATE(YEAR(datos_siembra[[#This Row],[Date]]),MONTH(datos_siembra[[#This Row],[Date]]),1))+1</f>
        <v>3</v>
      </c>
      <c r="S4133">
        <f>MONTH(datos_siembra[[#This Row],[Date]])</f>
        <v>10</v>
      </c>
      <c r="T4133" t="str" cm="1">
        <f t="array" ref="T4133">_xlfn.IFS(AND(N4133&lt;= 22, S4133=9), "SOWING",AND(N4133&lt;= 28, S4133=9), "COVERAGE",AND(N4133&lt;= 30, S4133=9), "FLUSH",AND(N4133&lt;= 11, S4133=10), "FLUSH",AND(N4133&lt;= 21, S4133=10), "PRODUCTION")</f>
        <v>PRODUCTION</v>
      </c>
      <c r="U4133">
        <f>HOUR(datos_siembra[[#This Row],[Hour]])</f>
        <v>8</v>
      </c>
      <c r="V4133" cm="1">
        <f t="array" ref="V4133">_xlfn.IFS(AND(N4133&lt;= 22, S4133=9), N4133-7,AND(N4133&lt;= 28, S4133=9), N4133-25,AND(N4133&lt;= 30, S4133=9), N4133-28,AND(N4133&lt;= 11, S4133=10), N4133+2,AND(N4133&lt;= 21, S4133=10), N4133-11)</f>
        <v>6</v>
      </c>
    </row>
    <row r="4134" spans="1:22" x14ac:dyDescent="0.35">
      <c r="A4134" s="4">
        <v>45582</v>
      </c>
      <c r="B4134" s="5">
        <v>0.37983796296296296</v>
      </c>
      <c r="C4134">
        <v>65</v>
      </c>
      <c r="D4134">
        <v>65.900000000000006</v>
      </c>
      <c r="E4134">
        <v>64.7</v>
      </c>
      <c r="F4134">
        <v>64.900000000000006</v>
      </c>
      <c r="G4134">
        <v>0</v>
      </c>
      <c r="H4134">
        <v>0</v>
      </c>
      <c r="I4134">
        <v>0</v>
      </c>
      <c r="J4134">
        <v>0</v>
      </c>
      <c r="K4134">
        <v>61.7</v>
      </c>
      <c r="L4134">
        <v>62.4</v>
      </c>
      <c r="M4134">
        <v>65.099999999999994</v>
      </c>
      <c r="N4134">
        <v>17</v>
      </c>
      <c r="O4134">
        <v>2</v>
      </c>
      <c r="P4134">
        <f>MOD(DAY(datos_siembra[[#This Row],[Date]]),7)</f>
        <v>3</v>
      </c>
      <c r="Q4134" t="str">
        <f>CHOOSE(WEEKDAY(datos_siembra[[#This Row],[Date]],2),"L","M","X","J","V","S","D")</f>
        <v>J</v>
      </c>
      <c r="R4134">
        <f>WEEKNUM(datos_siembra[[#This Row],[Date]],2)-WEEKNUM(DATE(YEAR(datos_siembra[[#This Row],[Date]]),MONTH(datos_siembra[[#This Row],[Date]]),1))+1</f>
        <v>3</v>
      </c>
      <c r="S4134">
        <f>MONTH(datos_siembra[[#This Row],[Date]])</f>
        <v>10</v>
      </c>
      <c r="T4134" t="str" cm="1">
        <f t="array" ref="T4134">_xlfn.IFS(AND(N4134&lt;= 22, S4134=9), "SOWING",AND(N4134&lt;= 28, S4134=9), "COVERAGE",AND(N4134&lt;= 30, S4134=9), "FLUSH",AND(N4134&lt;= 11, S4134=10), "FLUSH",AND(N4134&lt;= 21, S4134=10), "PRODUCTION")</f>
        <v>PRODUCTION</v>
      </c>
      <c r="U4134">
        <f>HOUR(datos_siembra[[#This Row],[Hour]])</f>
        <v>9</v>
      </c>
      <c r="V4134" cm="1">
        <f t="array" ref="V4134">_xlfn.IFS(AND(N4134&lt;= 22, S4134=9), N4134-7,AND(N4134&lt;= 28, S4134=9), N4134-25,AND(N4134&lt;= 30, S4134=9), N4134-28,AND(N4134&lt;= 11, S4134=10), N4134+2,AND(N4134&lt;= 21, S4134=10), N4134-11)</f>
        <v>6</v>
      </c>
    </row>
    <row r="4135" spans="1:22" x14ac:dyDescent="0.35">
      <c r="A4135" s="4">
        <v>45582</v>
      </c>
      <c r="B4135" s="5">
        <v>0.38678240740740738</v>
      </c>
      <c r="C4135">
        <v>65.099999999999994</v>
      </c>
      <c r="D4135">
        <v>65.900000000000006</v>
      </c>
      <c r="E4135">
        <v>64.900000000000006</v>
      </c>
      <c r="F4135">
        <v>64.900000000000006</v>
      </c>
      <c r="G4135">
        <v>0</v>
      </c>
      <c r="H4135">
        <v>0</v>
      </c>
      <c r="I4135">
        <v>0</v>
      </c>
      <c r="J4135">
        <v>0</v>
      </c>
      <c r="K4135">
        <v>61.8</v>
      </c>
      <c r="L4135">
        <v>62.4</v>
      </c>
      <c r="M4135">
        <v>65.16</v>
      </c>
      <c r="N4135">
        <v>17</v>
      </c>
      <c r="O4135">
        <v>2</v>
      </c>
      <c r="P4135">
        <f>MOD(DAY(datos_siembra[[#This Row],[Date]]),7)</f>
        <v>3</v>
      </c>
      <c r="Q4135" t="str">
        <f>CHOOSE(WEEKDAY(datos_siembra[[#This Row],[Date]],2),"L","M","X","J","V","S","D")</f>
        <v>J</v>
      </c>
      <c r="R4135">
        <f>WEEKNUM(datos_siembra[[#This Row],[Date]],2)-WEEKNUM(DATE(YEAR(datos_siembra[[#This Row],[Date]]),MONTH(datos_siembra[[#This Row],[Date]]),1))+1</f>
        <v>3</v>
      </c>
      <c r="S4135">
        <f>MONTH(datos_siembra[[#This Row],[Date]])</f>
        <v>10</v>
      </c>
      <c r="T4135" t="str" cm="1">
        <f t="array" ref="T4135">_xlfn.IFS(AND(N4135&lt;= 22, S4135=9), "SOWING",AND(N4135&lt;= 28, S4135=9), "COVERAGE",AND(N4135&lt;= 30, S4135=9), "FLUSH",AND(N4135&lt;= 11, S4135=10), "FLUSH",AND(N4135&lt;= 21, S4135=10), "PRODUCTION")</f>
        <v>PRODUCTION</v>
      </c>
      <c r="U4135">
        <f>HOUR(datos_siembra[[#This Row],[Hour]])</f>
        <v>9</v>
      </c>
      <c r="V4135" cm="1">
        <f t="array" ref="V4135">_xlfn.IFS(AND(N4135&lt;= 22, S4135=9), N4135-7,AND(N4135&lt;= 28, S4135=9), N4135-25,AND(N4135&lt;= 30, S4135=9), N4135-28,AND(N4135&lt;= 11, S4135=10), N4135+2,AND(N4135&lt;= 21, S4135=10), N4135-11)</f>
        <v>6</v>
      </c>
    </row>
    <row r="4136" spans="1:22" x14ac:dyDescent="0.35">
      <c r="A4136" s="4">
        <v>45582</v>
      </c>
      <c r="B4136" s="5">
        <v>0.39372685185185186</v>
      </c>
      <c r="C4136">
        <v>65.099999999999994</v>
      </c>
      <c r="D4136">
        <v>65.8</v>
      </c>
      <c r="E4136">
        <v>64.599999999999994</v>
      </c>
      <c r="F4136">
        <v>64.7</v>
      </c>
      <c r="G4136">
        <v>0</v>
      </c>
      <c r="H4136">
        <v>0</v>
      </c>
      <c r="I4136">
        <v>0</v>
      </c>
      <c r="J4136">
        <v>0</v>
      </c>
      <c r="K4136">
        <v>62</v>
      </c>
      <c r="L4136">
        <v>62.3</v>
      </c>
      <c r="M4136">
        <v>65.069999999999993</v>
      </c>
      <c r="N4136">
        <v>17</v>
      </c>
      <c r="O4136">
        <v>2</v>
      </c>
      <c r="P4136">
        <f>MOD(DAY(datos_siembra[[#This Row],[Date]]),7)</f>
        <v>3</v>
      </c>
      <c r="Q4136" t="str">
        <f>CHOOSE(WEEKDAY(datos_siembra[[#This Row],[Date]],2),"L","M","X","J","V","S","D")</f>
        <v>J</v>
      </c>
      <c r="R4136">
        <f>WEEKNUM(datos_siembra[[#This Row],[Date]],2)-WEEKNUM(DATE(YEAR(datos_siembra[[#This Row],[Date]]),MONTH(datos_siembra[[#This Row],[Date]]),1))+1</f>
        <v>3</v>
      </c>
      <c r="S4136">
        <f>MONTH(datos_siembra[[#This Row],[Date]])</f>
        <v>10</v>
      </c>
      <c r="T4136" t="str" cm="1">
        <f t="array" ref="T4136">_xlfn.IFS(AND(N4136&lt;= 22, S4136=9), "SOWING",AND(N4136&lt;= 28, S4136=9), "COVERAGE",AND(N4136&lt;= 30, S4136=9), "FLUSH",AND(N4136&lt;= 11, S4136=10), "FLUSH",AND(N4136&lt;= 21, S4136=10), "PRODUCTION")</f>
        <v>PRODUCTION</v>
      </c>
      <c r="U4136">
        <f>HOUR(datos_siembra[[#This Row],[Hour]])</f>
        <v>9</v>
      </c>
      <c r="V4136" cm="1">
        <f t="array" ref="V4136">_xlfn.IFS(AND(N4136&lt;= 22, S4136=9), N4136-7,AND(N4136&lt;= 28, S4136=9), N4136-25,AND(N4136&lt;= 30, S4136=9), N4136-28,AND(N4136&lt;= 11, S4136=10), N4136+2,AND(N4136&lt;= 21, S4136=10), N4136-11)</f>
        <v>6</v>
      </c>
    </row>
    <row r="4137" spans="1:22" x14ac:dyDescent="0.35">
      <c r="A4137" s="4">
        <v>45582</v>
      </c>
      <c r="B4137" s="5">
        <v>0.40067129629629628</v>
      </c>
      <c r="C4137">
        <v>65.2</v>
      </c>
      <c r="D4137">
        <v>65.8</v>
      </c>
      <c r="E4137">
        <v>64.599999999999994</v>
      </c>
      <c r="F4137">
        <v>64.7</v>
      </c>
      <c r="G4137">
        <v>0</v>
      </c>
      <c r="H4137">
        <v>0</v>
      </c>
      <c r="I4137">
        <v>0</v>
      </c>
      <c r="J4137">
        <v>0</v>
      </c>
      <c r="K4137">
        <v>62</v>
      </c>
      <c r="L4137">
        <v>62.2</v>
      </c>
      <c r="M4137">
        <v>65.13</v>
      </c>
      <c r="N4137">
        <v>17</v>
      </c>
      <c r="O4137">
        <v>2</v>
      </c>
      <c r="P4137">
        <f>MOD(DAY(datos_siembra[[#This Row],[Date]]),7)</f>
        <v>3</v>
      </c>
      <c r="Q4137" t="str">
        <f>CHOOSE(WEEKDAY(datos_siembra[[#This Row],[Date]],2),"L","M","X","J","V","S","D")</f>
        <v>J</v>
      </c>
      <c r="R4137">
        <f>WEEKNUM(datos_siembra[[#This Row],[Date]],2)-WEEKNUM(DATE(YEAR(datos_siembra[[#This Row],[Date]]),MONTH(datos_siembra[[#This Row],[Date]]),1))+1</f>
        <v>3</v>
      </c>
      <c r="S4137">
        <f>MONTH(datos_siembra[[#This Row],[Date]])</f>
        <v>10</v>
      </c>
      <c r="T4137" t="str" cm="1">
        <f t="array" ref="T4137">_xlfn.IFS(AND(N4137&lt;= 22, S4137=9), "SOWING",AND(N4137&lt;= 28, S4137=9), "COVERAGE",AND(N4137&lt;= 30, S4137=9), "FLUSH",AND(N4137&lt;= 11, S4137=10), "FLUSH",AND(N4137&lt;= 21, S4137=10), "PRODUCTION")</f>
        <v>PRODUCTION</v>
      </c>
      <c r="U4137">
        <f>HOUR(datos_siembra[[#This Row],[Hour]])</f>
        <v>9</v>
      </c>
      <c r="V4137" cm="1">
        <f t="array" ref="V4137">_xlfn.IFS(AND(N4137&lt;= 22, S4137=9), N4137-7,AND(N4137&lt;= 28, S4137=9), N4137-25,AND(N4137&lt;= 30, S4137=9), N4137-28,AND(N4137&lt;= 11, S4137=10), N4137+2,AND(N4137&lt;= 21, S4137=10), N4137-11)</f>
        <v>6</v>
      </c>
    </row>
    <row r="4138" spans="1:22" x14ac:dyDescent="0.35">
      <c r="A4138" s="4">
        <v>45582</v>
      </c>
      <c r="B4138" s="5">
        <v>0.40762731481481479</v>
      </c>
      <c r="C4138">
        <v>65.099999999999994</v>
      </c>
      <c r="D4138">
        <v>65.8</v>
      </c>
      <c r="E4138">
        <v>64.599999999999994</v>
      </c>
      <c r="F4138">
        <v>64.900000000000006</v>
      </c>
      <c r="G4138">
        <v>0</v>
      </c>
      <c r="H4138">
        <v>0</v>
      </c>
      <c r="I4138">
        <v>0</v>
      </c>
      <c r="J4138">
        <v>0</v>
      </c>
      <c r="K4138">
        <v>62.2</v>
      </c>
      <c r="L4138">
        <v>62.3</v>
      </c>
      <c r="M4138">
        <v>65.069999999999993</v>
      </c>
      <c r="N4138">
        <v>17</v>
      </c>
      <c r="O4138">
        <v>2</v>
      </c>
      <c r="P4138">
        <f>MOD(DAY(datos_siembra[[#This Row],[Date]]),7)</f>
        <v>3</v>
      </c>
      <c r="Q4138" t="str">
        <f>CHOOSE(WEEKDAY(datos_siembra[[#This Row],[Date]],2),"L","M","X","J","V","S","D")</f>
        <v>J</v>
      </c>
      <c r="R4138">
        <f>WEEKNUM(datos_siembra[[#This Row],[Date]],2)-WEEKNUM(DATE(YEAR(datos_siembra[[#This Row],[Date]]),MONTH(datos_siembra[[#This Row],[Date]]),1))+1</f>
        <v>3</v>
      </c>
      <c r="S4138">
        <f>MONTH(datos_siembra[[#This Row],[Date]])</f>
        <v>10</v>
      </c>
      <c r="T4138" t="str" cm="1">
        <f t="array" ref="T4138">_xlfn.IFS(AND(N4138&lt;= 22, S4138=9), "SOWING",AND(N4138&lt;= 28, S4138=9), "COVERAGE",AND(N4138&lt;= 30, S4138=9), "FLUSH",AND(N4138&lt;= 11, S4138=10), "FLUSH",AND(N4138&lt;= 21, S4138=10), "PRODUCTION")</f>
        <v>PRODUCTION</v>
      </c>
      <c r="U4138">
        <f>HOUR(datos_siembra[[#This Row],[Hour]])</f>
        <v>9</v>
      </c>
      <c r="V4138" cm="1">
        <f t="array" ref="V4138">_xlfn.IFS(AND(N4138&lt;= 22, S4138=9), N4138-7,AND(N4138&lt;= 28, S4138=9), N4138-25,AND(N4138&lt;= 30, S4138=9), N4138-28,AND(N4138&lt;= 11, S4138=10), N4138+2,AND(N4138&lt;= 21, S4138=10), N4138-11)</f>
        <v>6</v>
      </c>
    </row>
    <row r="4139" spans="1:22" x14ac:dyDescent="0.35">
      <c r="A4139" s="4">
        <v>45582</v>
      </c>
      <c r="B4139" s="5">
        <v>0.41457175925925926</v>
      </c>
      <c r="C4139">
        <v>65</v>
      </c>
      <c r="D4139">
        <v>66</v>
      </c>
      <c r="E4139">
        <v>64.7</v>
      </c>
      <c r="F4139">
        <v>64.7</v>
      </c>
      <c r="G4139">
        <v>0</v>
      </c>
      <c r="H4139">
        <v>0</v>
      </c>
      <c r="I4139">
        <v>0</v>
      </c>
      <c r="J4139">
        <v>0</v>
      </c>
      <c r="K4139">
        <v>62</v>
      </c>
      <c r="L4139">
        <v>62.6</v>
      </c>
      <c r="M4139">
        <v>65.099999999999994</v>
      </c>
      <c r="N4139">
        <v>17</v>
      </c>
      <c r="O4139">
        <v>2</v>
      </c>
      <c r="P4139">
        <f>MOD(DAY(datos_siembra[[#This Row],[Date]]),7)</f>
        <v>3</v>
      </c>
      <c r="Q4139" t="str">
        <f>CHOOSE(WEEKDAY(datos_siembra[[#This Row],[Date]],2),"L","M","X","J","V","S","D")</f>
        <v>J</v>
      </c>
      <c r="R4139">
        <f>WEEKNUM(datos_siembra[[#This Row],[Date]],2)-WEEKNUM(DATE(YEAR(datos_siembra[[#This Row],[Date]]),MONTH(datos_siembra[[#This Row],[Date]]),1))+1</f>
        <v>3</v>
      </c>
      <c r="S4139">
        <f>MONTH(datos_siembra[[#This Row],[Date]])</f>
        <v>10</v>
      </c>
      <c r="T4139" t="str" cm="1">
        <f t="array" ref="T4139">_xlfn.IFS(AND(N4139&lt;= 22, S4139=9), "SOWING",AND(N4139&lt;= 28, S4139=9), "COVERAGE",AND(N4139&lt;= 30, S4139=9), "FLUSH",AND(N4139&lt;= 11, S4139=10), "FLUSH",AND(N4139&lt;= 21, S4139=10), "PRODUCTION")</f>
        <v>PRODUCTION</v>
      </c>
      <c r="U4139">
        <f>HOUR(datos_siembra[[#This Row],[Hour]])</f>
        <v>9</v>
      </c>
      <c r="V4139" cm="1">
        <f t="array" ref="V4139">_xlfn.IFS(AND(N4139&lt;= 22, S4139=9), N4139-7,AND(N4139&lt;= 28, S4139=9), N4139-25,AND(N4139&lt;= 30, S4139=9), N4139-28,AND(N4139&lt;= 11, S4139=10), N4139+2,AND(N4139&lt;= 21, S4139=10), N4139-11)</f>
        <v>6</v>
      </c>
    </row>
    <row r="4140" spans="1:22" x14ac:dyDescent="0.35">
      <c r="A4140" s="4">
        <v>45582</v>
      </c>
      <c r="B4140" s="5">
        <v>0.42151620370370368</v>
      </c>
      <c r="C4140">
        <v>65.099999999999994</v>
      </c>
      <c r="D4140">
        <v>65.900000000000006</v>
      </c>
      <c r="E4140">
        <v>64.7</v>
      </c>
      <c r="F4140">
        <v>64.7</v>
      </c>
      <c r="G4140">
        <v>0</v>
      </c>
      <c r="H4140">
        <v>0</v>
      </c>
      <c r="I4140">
        <v>0</v>
      </c>
      <c r="J4140">
        <v>0</v>
      </c>
      <c r="K4140">
        <v>62.3</v>
      </c>
      <c r="L4140">
        <v>62.8</v>
      </c>
      <c r="M4140">
        <v>65.069999999999993</v>
      </c>
      <c r="N4140">
        <v>17</v>
      </c>
      <c r="O4140">
        <v>2</v>
      </c>
      <c r="P4140">
        <f>MOD(DAY(datos_siembra[[#This Row],[Date]]),7)</f>
        <v>3</v>
      </c>
      <c r="Q4140" t="str">
        <f>CHOOSE(WEEKDAY(datos_siembra[[#This Row],[Date]],2),"L","M","X","J","V","S","D")</f>
        <v>J</v>
      </c>
      <c r="R4140">
        <f>WEEKNUM(datos_siembra[[#This Row],[Date]],2)-WEEKNUM(DATE(YEAR(datos_siembra[[#This Row],[Date]]),MONTH(datos_siembra[[#This Row],[Date]]),1))+1</f>
        <v>3</v>
      </c>
      <c r="S4140">
        <f>MONTH(datos_siembra[[#This Row],[Date]])</f>
        <v>10</v>
      </c>
      <c r="T4140" t="str" cm="1">
        <f t="array" ref="T4140">_xlfn.IFS(AND(N4140&lt;= 22, S4140=9), "SOWING",AND(N4140&lt;= 28, S4140=9), "COVERAGE",AND(N4140&lt;= 30, S4140=9), "FLUSH",AND(N4140&lt;= 11, S4140=10), "FLUSH",AND(N4140&lt;= 21, S4140=10), "PRODUCTION")</f>
        <v>PRODUCTION</v>
      </c>
      <c r="U4140">
        <f>HOUR(datos_siembra[[#This Row],[Hour]])</f>
        <v>10</v>
      </c>
      <c r="V4140" cm="1">
        <f t="array" ref="V4140">_xlfn.IFS(AND(N4140&lt;= 22, S4140=9), N4140-7,AND(N4140&lt;= 28, S4140=9), N4140-25,AND(N4140&lt;= 30, S4140=9), N4140-28,AND(N4140&lt;= 11, S4140=10), N4140+2,AND(N4140&lt;= 21, S4140=10), N4140-11)</f>
        <v>6</v>
      </c>
    </row>
    <row r="4141" spans="1:22" x14ac:dyDescent="0.35">
      <c r="A4141" s="4">
        <v>45582</v>
      </c>
      <c r="B4141" s="5">
        <v>0.4284722222222222</v>
      </c>
      <c r="C4141">
        <v>65</v>
      </c>
      <c r="D4141">
        <v>65.8</v>
      </c>
      <c r="E4141">
        <v>64.599999999999994</v>
      </c>
      <c r="F4141">
        <v>64.900000000000006</v>
      </c>
      <c r="G4141">
        <v>0</v>
      </c>
      <c r="H4141">
        <v>0</v>
      </c>
      <c r="I4141">
        <v>0</v>
      </c>
      <c r="J4141">
        <v>0</v>
      </c>
      <c r="K4141">
        <v>62.4</v>
      </c>
      <c r="L4141">
        <v>62.8</v>
      </c>
      <c r="M4141">
        <v>65.05</v>
      </c>
      <c r="N4141">
        <v>17</v>
      </c>
      <c r="O4141">
        <v>2</v>
      </c>
      <c r="P4141">
        <f>MOD(DAY(datos_siembra[[#This Row],[Date]]),7)</f>
        <v>3</v>
      </c>
      <c r="Q4141" t="str">
        <f>CHOOSE(WEEKDAY(datos_siembra[[#This Row],[Date]],2),"L","M","X","J","V","S","D")</f>
        <v>J</v>
      </c>
      <c r="R4141">
        <f>WEEKNUM(datos_siembra[[#This Row],[Date]],2)-WEEKNUM(DATE(YEAR(datos_siembra[[#This Row],[Date]]),MONTH(datos_siembra[[#This Row],[Date]]),1))+1</f>
        <v>3</v>
      </c>
      <c r="S4141">
        <f>MONTH(datos_siembra[[#This Row],[Date]])</f>
        <v>10</v>
      </c>
      <c r="T4141" t="str" cm="1">
        <f t="array" ref="T4141">_xlfn.IFS(AND(N4141&lt;= 22, S4141=9), "SOWING",AND(N4141&lt;= 28, S4141=9), "COVERAGE",AND(N4141&lt;= 30, S4141=9), "FLUSH",AND(N4141&lt;= 11, S4141=10), "FLUSH",AND(N4141&lt;= 21, S4141=10), "PRODUCTION")</f>
        <v>PRODUCTION</v>
      </c>
      <c r="U4141">
        <f>HOUR(datos_siembra[[#This Row],[Hour]])</f>
        <v>10</v>
      </c>
      <c r="V4141" cm="1">
        <f t="array" ref="V4141">_xlfn.IFS(AND(N4141&lt;= 22, S4141=9), N4141-7,AND(N4141&lt;= 28, S4141=9), N4141-25,AND(N4141&lt;= 30, S4141=9), N4141-28,AND(N4141&lt;= 11, S4141=10), N4141+2,AND(N4141&lt;= 21, S4141=10), N4141-11)</f>
        <v>6</v>
      </c>
    </row>
    <row r="4142" spans="1:22" x14ac:dyDescent="0.35">
      <c r="A4142" s="4">
        <v>45582</v>
      </c>
      <c r="B4142" s="5">
        <v>0.43541666666666667</v>
      </c>
      <c r="C4142">
        <v>65.099999999999994</v>
      </c>
      <c r="D4142">
        <v>65.8</v>
      </c>
      <c r="E4142">
        <v>64.7</v>
      </c>
      <c r="F4142">
        <v>64.7</v>
      </c>
      <c r="G4142">
        <v>0</v>
      </c>
      <c r="H4142">
        <v>0</v>
      </c>
      <c r="I4142">
        <v>0</v>
      </c>
      <c r="J4142">
        <v>0</v>
      </c>
      <c r="K4142">
        <v>62.4</v>
      </c>
      <c r="L4142">
        <v>63</v>
      </c>
      <c r="M4142">
        <v>64.989999999999995</v>
      </c>
      <c r="N4142">
        <v>17</v>
      </c>
      <c r="O4142">
        <v>2</v>
      </c>
      <c r="P4142">
        <f>MOD(DAY(datos_siembra[[#This Row],[Date]]),7)</f>
        <v>3</v>
      </c>
      <c r="Q4142" t="str">
        <f>CHOOSE(WEEKDAY(datos_siembra[[#This Row],[Date]],2),"L","M","X","J","V","S","D")</f>
        <v>J</v>
      </c>
      <c r="R4142">
        <f>WEEKNUM(datos_siembra[[#This Row],[Date]],2)-WEEKNUM(DATE(YEAR(datos_siembra[[#This Row],[Date]]),MONTH(datos_siembra[[#This Row],[Date]]),1))+1</f>
        <v>3</v>
      </c>
      <c r="S4142">
        <f>MONTH(datos_siembra[[#This Row],[Date]])</f>
        <v>10</v>
      </c>
      <c r="T4142" t="str" cm="1">
        <f t="array" ref="T4142">_xlfn.IFS(AND(N4142&lt;= 22, S4142=9), "SOWING",AND(N4142&lt;= 28, S4142=9), "COVERAGE",AND(N4142&lt;= 30, S4142=9), "FLUSH",AND(N4142&lt;= 11, S4142=10), "FLUSH",AND(N4142&lt;= 21, S4142=10), "PRODUCTION")</f>
        <v>PRODUCTION</v>
      </c>
      <c r="U4142">
        <f>HOUR(datos_siembra[[#This Row],[Hour]])</f>
        <v>10</v>
      </c>
      <c r="V4142" cm="1">
        <f t="array" ref="V4142">_xlfn.IFS(AND(N4142&lt;= 22, S4142=9), N4142-7,AND(N4142&lt;= 28, S4142=9), N4142-25,AND(N4142&lt;= 30, S4142=9), N4142-28,AND(N4142&lt;= 11, S4142=10), N4142+2,AND(N4142&lt;= 21, S4142=10), N4142-11)</f>
        <v>6</v>
      </c>
    </row>
    <row r="4143" spans="1:22" x14ac:dyDescent="0.35">
      <c r="A4143" s="4">
        <v>45582</v>
      </c>
      <c r="B4143" s="5">
        <v>0.44236111111111109</v>
      </c>
      <c r="C4143">
        <v>65.099999999999994</v>
      </c>
      <c r="D4143">
        <v>65.900000000000006</v>
      </c>
      <c r="E4143">
        <v>64.599999999999994</v>
      </c>
      <c r="F4143">
        <v>64.599999999999994</v>
      </c>
      <c r="G4143">
        <v>0</v>
      </c>
      <c r="H4143">
        <v>0</v>
      </c>
      <c r="I4143">
        <v>0</v>
      </c>
      <c r="J4143">
        <v>0</v>
      </c>
      <c r="K4143">
        <v>62.5</v>
      </c>
      <c r="L4143">
        <v>63</v>
      </c>
      <c r="M4143">
        <v>65.069999999999993</v>
      </c>
      <c r="N4143">
        <v>17</v>
      </c>
      <c r="O4143">
        <v>2</v>
      </c>
      <c r="P4143">
        <f>MOD(DAY(datos_siembra[[#This Row],[Date]]),7)</f>
        <v>3</v>
      </c>
      <c r="Q4143" t="str">
        <f>CHOOSE(WEEKDAY(datos_siembra[[#This Row],[Date]],2),"L","M","X","J","V","S","D")</f>
        <v>J</v>
      </c>
      <c r="R4143">
        <f>WEEKNUM(datos_siembra[[#This Row],[Date]],2)-WEEKNUM(DATE(YEAR(datos_siembra[[#This Row],[Date]]),MONTH(datos_siembra[[#This Row],[Date]]),1))+1</f>
        <v>3</v>
      </c>
      <c r="S4143">
        <f>MONTH(datos_siembra[[#This Row],[Date]])</f>
        <v>10</v>
      </c>
      <c r="T4143" t="str" cm="1">
        <f t="array" ref="T4143">_xlfn.IFS(AND(N4143&lt;= 22, S4143=9), "SOWING",AND(N4143&lt;= 28, S4143=9), "COVERAGE",AND(N4143&lt;= 30, S4143=9), "FLUSH",AND(N4143&lt;= 11, S4143=10), "FLUSH",AND(N4143&lt;= 21, S4143=10), "PRODUCTION")</f>
        <v>PRODUCTION</v>
      </c>
      <c r="U4143">
        <f>HOUR(datos_siembra[[#This Row],[Hour]])</f>
        <v>10</v>
      </c>
      <c r="V4143" cm="1">
        <f t="array" ref="V4143">_xlfn.IFS(AND(N4143&lt;= 22, S4143=9), N4143-7,AND(N4143&lt;= 28, S4143=9), N4143-25,AND(N4143&lt;= 30, S4143=9), N4143-28,AND(N4143&lt;= 11, S4143=10), N4143+2,AND(N4143&lt;= 21, S4143=10), N4143-11)</f>
        <v>6</v>
      </c>
    </row>
    <row r="4144" spans="1:22" x14ac:dyDescent="0.35">
      <c r="A4144" s="4">
        <v>45582</v>
      </c>
      <c r="B4144" s="5">
        <v>0.44931712962962961</v>
      </c>
      <c r="C4144">
        <v>65</v>
      </c>
      <c r="D4144">
        <v>65.8</v>
      </c>
      <c r="E4144">
        <v>64.599999999999994</v>
      </c>
      <c r="F4144">
        <v>64.7</v>
      </c>
      <c r="G4144">
        <v>0</v>
      </c>
      <c r="H4144">
        <v>0</v>
      </c>
      <c r="I4144">
        <v>0</v>
      </c>
      <c r="J4144">
        <v>0</v>
      </c>
      <c r="K4144">
        <v>62.9</v>
      </c>
      <c r="L4144">
        <v>63.4</v>
      </c>
      <c r="M4144">
        <v>65.069999999999993</v>
      </c>
      <c r="N4144">
        <v>17</v>
      </c>
      <c r="O4144">
        <v>2</v>
      </c>
      <c r="P4144">
        <f>MOD(DAY(datos_siembra[[#This Row],[Date]]),7)</f>
        <v>3</v>
      </c>
      <c r="Q4144" t="str">
        <f>CHOOSE(WEEKDAY(datos_siembra[[#This Row],[Date]],2),"L","M","X","J","V","S","D")</f>
        <v>J</v>
      </c>
      <c r="R4144">
        <f>WEEKNUM(datos_siembra[[#This Row],[Date]],2)-WEEKNUM(DATE(YEAR(datos_siembra[[#This Row],[Date]]),MONTH(datos_siembra[[#This Row],[Date]]),1))+1</f>
        <v>3</v>
      </c>
      <c r="S4144">
        <f>MONTH(datos_siembra[[#This Row],[Date]])</f>
        <v>10</v>
      </c>
      <c r="T4144" t="str" cm="1">
        <f t="array" ref="T4144">_xlfn.IFS(AND(N4144&lt;= 22, S4144=9), "SOWING",AND(N4144&lt;= 28, S4144=9), "COVERAGE",AND(N4144&lt;= 30, S4144=9), "FLUSH",AND(N4144&lt;= 11, S4144=10), "FLUSH",AND(N4144&lt;= 21, S4144=10), "PRODUCTION")</f>
        <v>PRODUCTION</v>
      </c>
      <c r="U4144">
        <f>HOUR(datos_siembra[[#This Row],[Hour]])</f>
        <v>10</v>
      </c>
      <c r="V4144" cm="1">
        <f t="array" ref="V4144">_xlfn.IFS(AND(N4144&lt;= 22, S4144=9), N4144-7,AND(N4144&lt;= 28, S4144=9), N4144-25,AND(N4144&lt;= 30, S4144=9), N4144-28,AND(N4144&lt;= 11, S4144=10), N4144+2,AND(N4144&lt;= 21, S4144=10), N4144-11)</f>
        <v>6</v>
      </c>
    </row>
    <row r="4145" spans="1:22" x14ac:dyDescent="0.35">
      <c r="A4145" s="4">
        <v>45582</v>
      </c>
      <c r="B4145" s="5">
        <v>0.45626157407407408</v>
      </c>
      <c r="C4145">
        <v>65</v>
      </c>
      <c r="D4145">
        <v>65.900000000000006</v>
      </c>
      <c r="E4145">
        <v>64.599999999999994</v>
      </c>
      <c r="F4145">
        <v>64.599999999999994</v>
      </c>
      <c r="G4145">
        <v>0</v>
      </c>
      <c r="H4145">
        <v>0</v>
      </c>
      <c r="I4145">
        <v>0</v>
      </c>
      <c r="J4145">
        <v>0</v>
      </c>
      <c r="K4145">
        <v>62.9</v>
      </c>
      <c r="L4145">
        <v>63.5</v>
      </c>
      <c r="M4145">
        <v>65.05</v>
      </c>
      <c r="N4145">
        <v>17</v>
      </c>
      <c r="O4145">
        <v>2</v>
      </c>
      <c r="P4145">
        <f>MOD(DAY(datos_siembra[[#This Row],[Date]]),7)</f>
        <v>3</v>
      </c>
      <c r="Q4145" t="str">
        <f>CHOOSE(WEEKDAY(datos_siembra[[#This Row],[Date]],2),"L","M","X","J","V","S","D")</f>
        <v>J</v>
      </c>
      <c r="R4145">
        <f>WEEKNUM(datos_siembra[[#This Row],[Date]],2)-WEEKNUM(DATE(YEAR(datos_siembra[[#This Row],[Date]]),MONTH(datos_siembra[[#This Row],[Date]]),1))+1</f>
        <v>3</v>
      </c>
      <c r="S4145">
        <f>MONTH(datos_siembra[[#This Row],[Date]])</f>
        <v>10</v>
      </c>
      <c r="T4145" t="str" cm="1">
        <f t="array" ref="T4145">_xlfn.IFS(AND(N4145&lt;= 22, S4145=9), "SOWING",AND(N4145&lt;= 28, S4145=9), "COVERAGE",AND(N4145&lt;= 30, S4145=9), "FLUSH",AND(N4145&lt;= 11, S4145=10), "FLUSH",AND(N4145&lt;= 21, S4145=10), "PRODUCTION")</f>
        <v>PRODUCTION</v>
      </c>
      <c r="U4145">
        <f>HOUR(datos_siembra[[#This Row],[Hour]])</f>
        <v>10</v>
      </c>
      <c r="V4145" cm="1">
        <f t="array" ref="V4145">_xlfn.IFS(AND(N4145&lt;= 22, S4145=9), N4145-7,AND(N4145&lt;= 28, S4145=9), N4145-25,AND(N4145&lt;= 30, S4145=9), N4145-28,AND(N4145&lt;= 11, S4145=10), N4145+2,AND(N4145&lt;= 21, S4145=10), N4145-11)</f>
        <v>6</v>
      </c>
    </row>
    <row r="4146" spans="1:22" x14ac:dyDescent="0.35">
      <c r="A4146" s="4">
        <v>45582</v>
      </c>
      <c r="B4146" s="5">
        <v>0.4632060185185185</v>
      </c>
      <c r="C4146">
        <v>65</v>
      </c>
      <c r="D4146">
        <v>65.900000000000006</v>
      </c>
      <c r="E4146">
        <v>64.599999999999994</v>
      </c>
      <c r="F4146">
        <v>64.7</v>
      </c>
      <c r="G4146">
        <v>0</v>
      </c>
      <c r="H4146">
        <v>0</v>
      </c>
      <c r="I4146">
        <v>0</v>
      </c>
      <c r="J4146">
        <v>0</v>
      </c>
      <c r="K4146">
        <v>63</v>
      </c>
      <c r="L4146">
        <v>63.7</v>
      </c>
      <c r="M4146">
        <v>65.02</v>
      </c>
      <c r="N4146">
        <v>17</v>
      </c>
      <c r="O4146">
        <v>2</v>
      </c>
      <c r="P4146">
        <f>MOD(DAY(datos_siembra[[#This Row],[Date]]),7)</f>
        <v>3</v>
      </c>
      <c r="Q4146" t="str">
        <f>CHOOSE(WEEKDAY(datos_siembra[[#This Row],[Date]],2),"L","M","X","J","V","S","D")</f>
        <v>J</v>
      </c>
      <c r="R4146">
        <f>WEEKNUM(datos_siembra[[#This Row],[Date]],2)-WEEKNUM(DATE(YEAR(datos_siembra[[#This Row],[Date]]),MONTH(datos_siembra[[#This Row],[Date]]),1))+1</f>
        <v>3</v>
      </c>
      <c r="S4146">
        <f>MONTH(datos_siembra[[#This Row],[Date]])</f>
        <v>10</v>
      </c>
      <c r="T4146" t="str" cm="1">
        <f t="array" ref="T4146">_xlfn.IFS(AND(N4146&lt;= 22, S4146=9), "SOWING",AND(N4146&lt;= 28, S4146=9), "COVERAGE",AND(N4146&lt;= 30, S4146=9), "FLUSH",AND(N4146&lt;= 11, S4146=10), "FLUSH",AND(N4146&lt;= 21, S4146=10), "PRODUCTION")</f>
        <v>PRODUCTION</v>
      </c>
      <c r="U4146">
        <f>HOUR(datos_siembra[[#This Row],[Hour]])</f>
        <v>11</v>
      </c>
      <c r="V4146" cm="1">
        <f t="array" ref="V4146">_xlfn.IFS(AND(N4146&lt;= 22, S4146=9), N4146-7,AND(N4146&lt;= 28, S4146=9), N4146-25,AND(N4146&lt;= 30, S4146=9), N4146-28,AND(N4146&lt;= 11, S4146=10), N4146+2,AND(N4146&lt;= 21, S4146=10), N4146-11)</f>
        <v>6</v>
      </c>
    </row>
    <row r="4147" spans="1:22" x14ac:dyDescent="0.35">
      <c r="A4147" s="4">
        <v>45582</v>
      </c>
      <c r="B4147" s="5">
        <v>0.47015046296296298</v>
      </c>
      <c r="C4147">
        <v>65.099999999999994</v>
      </c>
      <c r="D4147">
        <v>65.8</v>
      </c>
      <c r="E4147">
        <v>64.5</v>
      </c>
      <c r="F4147">
        <v>64.599999999999994</v>
      </c>
      <c r="G4147">
        <v>0</v>
      </c>
      <c r="H4147">
        <v>0</v>
      </c>
      <c r="I4147">
        <v>0</v>
      </c>
      <c r="J4147">
        <v>0</v>
      </c>
      <c r="K4147">
        <v>63.2</v>
      </c>
      <c r="L4147">
        <v>63.7</v>
      </c>
      <c r="M4147">
        <v>65.02</v>
      </c>
      <c r="N4147">
        <v>17</v>
      </c>
      <c r="O4147">
        <v>2</v>
      </c>
      <c r="P4147">
        <f>MOD(DAY(datos_siembra[[#This Row],[Date]]),7)</f>
        <v>3</v>
      </c>
      <c r="Q4147" t="str">
        <f>CHOOSE(WEEKDAY(datos_siembra[[#This Row],[Date]],2),"L","M","X","J","V","S","D")</f>
        <v>J</v>
      </c>
      <c r="R4147">
        <f>WEEKNUM(datos_siembra[[#This Row],[Date]],2)-WEEKNUM(DATE(YEAR(datos_siembra[[#This Row],[Date]]),MONTH(datos_siembra[[#This Row],[Date]]),1))+1</f>
        <v>3</v>
      </c>
      <c r="S4147">
        <f>MONTH(datos_siembra[[#This Row],[Date]])</f>
        <v>10</v>
      </c>
      <c r="T4147" t="str" cm="1">
        <f t="array" ref="T4147">_xlfn.IFS(AND(N4147&lt;= 22, S4147=9), "SOWING",AND(N4147&lt;= 28, S4147=9), "COVERAGE",AND(N4147&lt;= 30, S4147=9), "FLUSH",AND(N4147&lt;= 11, S4147=10), "FLUSH",AND(N4147&lt;= 21, S4147=10), "PRODUCTION")</f>
        <v>PRODUCTION</v>
      </c>
      <c r="U4147">
        <f>HOUR(datos_siembra[[#This Row],[Hour]])</f>
        <v>11</v>
      </c>
      <c r="V4147" cm="1">
        <f t="array" ref="V4147">_xlfn.IFS(AND(N4147&lt;= 22, S4147=9), N4147-7,AND(N4147&lt;= 28, S4147=9), N4147-25,AND(N4147&lt;= 30, S4147=9), N4147-28,AND(N4147&lt;= 11, S4147=10), N4147+2,AND(N4147&lt;= 21, S4147=10), N4147-11)</f>
        <v>6</v>
      </c>
    </row>
    <row r="4148" spans="1:22" x14ac:dyDescent="0.35">
      <c r="A4148" s="4">
        <v>45582</v>
      </c>
      <c r="B4148" s="5">
        <v>0.47710648148148149</v>
      </c>
      <c r="C4148">
        <v>65</v>
      </c>
      <c r="D4148">
        <v>65.900000000000006</v>
      </c>
      <c r="E4148">
        <v>64.599999999999994</v>
      </c>
      <c r="F4148">
        <v>64.599999999999994</v>
      </c>
      <c r="G4148">
        <v>0</v>
      </c>
      <c r="H4148">
        <v>0</v>
      </c>
      <c r="I4148">
        <v>0</v>
      </c>
      <c r="J4148">
        <v>0</v>
      </c>
      <c r="K4148">
        <v>63.4</v>
      </c>
      <c r="L4148">
        <v>63.9</v>
      </c>
      <c r="M4148">
        <v>65.069999999999993</v>
      </c>
      <c r="N4148">
        <v>17</v>
      </c>
      <c r="O4148">
        <v>2</v>
      </c>
      <c r="P4148">
        <f>MOD(DAY(datos_siembra[[#This Row],[Date]]),7)</f>
        <v>3</v>
      </c>
      <c r="Q4148" t="str">
        <f>CHOOSE(WEEKDAY(datos_siembra[[#This Row],[Date]],2),"L","M","X","J","V","S","D")</f>
        <v>J</v>
      </c>
      <c r="R4148">
        <f>WEEKNUM(datos_siembra[[#This Row],[Date]],2)-WEEKNUM(DATE(YEAR(datos_siembra[[#This Row],[Date]]),MONTH(datos_siembra[[#This Row],[Date]]),1))+1</f>
        <v>3</v>
      </c>
      <c r="S4148">
        <f>MONTH(datos_siembra[[#This Row],[Date]])</f>
        <v>10</v>
      </c>
      <c r="T4148" t="str" cm="1">
        <f t="array" ref="T4148">_xlfn.IFS(AND(N4148&lt;= 22, S4148=9), "SOWING",AND(N4148&lt;= 28, S4148=9), "COVERAGE",AND(N4148&lt;= 30, S4148=9), "FLUSH",AND(N4148&lt;= 11, S4148=10), "FLUSH",AND(N4148&lt;= 21, S4148=10), "PRODUCTION")</f>
        <v>PRODUCTION</v>
      </c>
      <c r="U4148">
        <f>HOUR(datos_siembra[[#This Row],[Hour]])</f>
        <v>11</v>
      </c>
      <c r="V4148" cm="1">
        <f t="array" ref="V4148">_xlfn.IFS(AND(N4148&lt;= 22, S4148=9), N4148-7,AND(N4148&lt;= 28, S4148=9), N4148-25,AND(N4148&lt;= 30, S4148=9), N4148-28,AND(N4148&lt;= 11, S4148=10), N4148+2,AND(N4148&lt;= 21, S4148=10), N4148-11)</f>
        <v>6</v>
      </c>
    </row>
    <row r="4149" spans="1:22" x14ac:dyDescent="0.35">
      <c r="A4149" s="4">
        <v>45582</v>
      </c>
      <c r="B4149" s="5">
        <v>0.48405092592592591</v>
      </c>
      <c r="C4149">
        <v>65</v>
      </c>
      <c r="D4149">
        <v>65.8</v>
      </c>
      <c r="E4149">
        <v>64.599999999999994</v>
      </c>
      <c r="F4149">
        <v>64.900000000000006</v>
      </c>
      <c r="G4149">
        <v>0</v>
      </c>
      <c r="H4149">
        <v>0</v>
      </c>
      <c r="I4149">
        <v>0</v>
      </c>
      <c r="J4149">
        <v>0</v>
      </c>
      <c r="K4149">
        <v>63.4</v>
      </c>
      <c r="L4149">
        <v>64.099999999999994</v>
      </c>
      <c r="M4149">
        <v>65.05</v>
      </c>
      <c r="N4149">
        <v>17</v>
      </c>
      <c r="O4149">
        <v>2</v>
      </c>
      <c r="P4149">
        <f>MOD(DAY(datos_siembra[[#This Row],[Date]]),7)</f>
        <v>3</v>
      </c>
      <c r="Q4149" t="str">
        <f>CHOOSE(WEEKDAY(datos_siembra[[#This Row],[Date]],2),"L","M","X","J","V","S","D")</f>
        <v>J</v>
      </c>
      <c r="R4149">
        <f>WEEKNUM(datos_siembra[[#This Row],[Date]],2)-WEEKNUM(DATE(YEAR(datos_siembra[[#This Row],[Date]]),MONTH(datos_siembra[[#This Row],[Date]]),1))+1</f>
        <v>3</v>
      </c>
      <c r="S4149">
        <f>MONTH(datos_siembra[[#This Row],[Date]])</f>
        <v>10</v>
      </c>
      <c r="T4149" t="str" cm="1">
        <f t="array" ref="T4149">_xlfn.IFS(AND(N4149&lt;= 22, S4149=9), "SOWING",AND(N4149&lt;= 28, S4149=9), "COVERAGE",AND(N4149&lt;= 30, S4149=9), "FLUSH",AND(N4149&lt;= 11, S4149=10), "FLUSH",AND(N4149&lt;= 21, S4149=10), "PRODUCTION")</f>
        <v>PRODUCTION</v>
      </c>
      <c r="U4149">
        <f>HOUR(datos_siembra[[#This Row],[Hour]])</f>
        <v>11</v>
      </c>
      <c r="V4149" cm="1">
        <f t="array" ref="V4149">_xlfn.IFS(AND(N4149&lt;= 22, S4149=9), N4149-7,AND(N4149&lt;= 28, S4149=9), N4149-25,AND(N4149&lt;= 30, S4149=9), N4149-28,AND(N4149&lt;= 11, S4149=10), N4149+2,AND(N4149&lt;= 21, S4149=10), N4149-11)</f>
        <v>6</v>
      </c>
    </row>
    <row r="4150" spans="1:22" x14ac:dyDescent="0.35">
      <c r="A4150" s="4">
        <v>45582</v>
      </c>
      <c r="B4150" s="5">
        <v>0.49099537037037039</v>
      </c>
      <c r="C4150">
        <v>65</v>
      </c>
      <c r="D4150">
        <v>65.900000000000006</v>
      </c>
      <c r="E4150">
        <v>64.599999999999994</v>
      </c>
      <c r="F4150">
        <v>64.900000000000006</v>
      </c>
      <c r="G4150">
        <v>0</v>
      </c>
      <c r="H4150">
        <v>0</v>
      </c>
      <c r="I4150">
        <v>0</v>
      </c>
      <c r="J4150">
        <v>0</v>
      </c>
      <c r="K4150">
        <v>63.7</v>
      </c>
      <c r="L4150">
        <v>64.3</v>
      </c>
      <c r="M4150">
        <v>65.02</v>
      </c>
      <c r="N4150">
        <v>17</v>
      </c>
      <c r="O4150">
        <v>2</v>
      </c>
      <c r="P4150">
        <f>MOD(DAY(datos_siembra[[#This Row],[Date]]),7)</f>
        <v>3</v>
      </c>
      <c r="Q4150" t="str">
        <f>CHOOSE(WEEKDAY(datos_siembra[[#This Row],[Date]],2),"L","M","X","J","V","S","D")</f>
        <v>J</v>
      </c>
      <c r="R4150">
        <f>WEEKNUM(datos_siembra[[#This Row],[Date]],2)-WEEKNUM(DATE(YEAR(datos_siembra[[#This Row],[Date]]),MONTH(datos_siembra[[#This Row],[Date]]),1))+1</f>
        <v>3</v>
      </c>
      <c r="S4150">
        <f>MONTH(datos_siembra[[#This Row],[Date]])</f>
        <v>10</v>
      </c>
      <c r="T4150" t="str" cm="1">
        <f t="array" ref="T4150">_xlfn.IFS(AND(N4150&lt;= 22, S4150=9), "SOWING",AND(N4150&lt;= 28, S4150=9), "COVERAGE",AND(N4150&lt;= 30, S4150=9), "FLUSH",AND(N4150&lt;= 11, S4150=10), "FLUSH",AND(N4150&lt;= 21, S4150=10), "PRODUCTION")</f>
        <v>PRODUCTION</v>
      </c>
      <c r="U4150">
        <f>HOUR(datos_siembra[[#This Row],[Hour]])</f>
        <v>11</v>
      </c>
      <c r="V4150" cm="1">
        <f t="array" ref="V4150">_xlfn.IFS(AND(N4150&lt;= 22, S4150=9), N4150-7,AND(N4150&lt;= 28, S4150=9), N4150-25,AND(N4150&lt;= 30, S4150=9), N4150-28,AND(N4150&lt;= 11, S4150=10), N4150+2,AND(N4150&lt;= 21, S4150=10), N4150-11)</f>
        <v>6</v>
      </c>
    </row>
    <row r="4151" spans="1:22" x14ac:dyDescent="0.35">
      <c r="A4151" s="4">
        <v>45582</v>
      </c>
      <c r="B4151" s="5">
        <v>0.4979513888888889</v>
      </c>
      <c r="C4151">
        <v>65.099999999999994</v>
      </c>
      <c r="D4151">
        <v>65.900000000000006</v>
      </c>
      <c r="E4151">
        <v>64.599999999999994</v>
      </c>
      <c r="F4151">
        <v>64.599999999999994</v>
      </c>
      <c r="G4151">
        <v>0</v>
      </c>
      <c r="H4151">
        <v>0</v>
      </c>
      <c r="I4151">
        <v>0</v>
      </c>
      <c r="J4151">
        <v>0</v>
      </c>
      <c r="K4151">
        <v>63.8</v>
      </c>
      <c r="L4151">
        <v>64.5</v>
      </c>
      <c r="M4151">
        <v>65.05</v>
      </c>
      <c r="N4151">
        <v>17</v>
      </c>
      <c r="O4151">
        <v>2</v>
      </c>
      <c r="P4151">
        <f>MOD(DAY(datos_siembra[[#This Row],[Date]]),7)</f>
        <v>3</v>
      </c>
      <c r="Q4151" t="str">
        <f>CHOOSE(WEEKDAY(datos_siembra[[#This Row],[Date]],2),"L","M","X","J","V","S","D")</f>
        <v>J</v>
      </c>
      <c r="R4151">
        <f>WEEKNUM(datos_siembra[[#This Row],[Date]],2)-WEEKNUM(DATE(YEAR(datos_siembra[[#This Row],[Date]]),MONTH(datos_siembra[[#This Row],[Date]]),1))+1</f>
        <v>3</v>
      </c>
      <c r="S4151">
        <f>MONTH(datos_siembra[[#This Row],[Date]])</f>
        <v>10</v>
      </c>
      <c r="T4151" t="str" cm="1">
        <f t="array" ref="T4151">_xlfn.IFS(AND(N4151&lt;= 22, S4151=9), "SOWING",AND(N4151&lt;= 28, S4151=9), "COVERAGE",AND(N4151&lt;= 30, S4151=9), "FLUSH",AND(N4151&lt;= 11, S4151=10), "FLUSH",AND(N4151&lt;= 21, S4151=10), "PRODUCTION")</f>
        <v>PRODUCTION</v>
      </c>
      <c r="U4151">
        <f>HOUR(datos_siembra[[#This Row],[Hour]])</f>
        <v>11</v>
      </c>
      <c r="V4151" cm="1">
        <f t="array" ref="V4151">_xlfn.IFS(AND(N4151&lt;= 22, S4151=9), N4151-7,AND(N4151&lt;= 28, S4151=9), N4151-25,AND(N4151&lt;= 30, S4151=9), N4151-28,AND(N4151&lt;= 11, S4151=10), N4151+2,AND(N4151&lt;= 21, S4151=10), N4151-11)</f>
        <v>6</v>
      </c>
    </row>
    <row r="4152" spans="1:22" x14ac:dyDescent="0.35">
      <c r="A4152" s="4">
        <v>45582</v>
      </c>
      <c r="B4152" s="5">
        <v>0.50489583333333332</v>
      </c>
      <c r="C4152">
        <v>65.099999999999994</v>
      </c>
      <c r="D4152">
        <v>66.099999999999994</v>
      </c>
      <c r="E4152">
        <v>64.599999999999994</v>
      </c>
      <c r="F4152">
        <v>64.599999999999994</v>
      </c>
      <c r="G4152">
        <v>0</v>
      </c>
      <c r="H4152">
        <v>0</v>
      </c>
      <c r="I4152">
        <v>0</v>
      </c>
      <c r="J4152">
        <v>0</v>
      </c>
      <c r="K4152">
        <v>64.099999999999994</v>
      </c>
      <c r="L4152">
        <v>64.7</v>
      </c>
      <c r="M4152">
        <v>65.02</v>
      </c>
      <c r="N4152">
        <v>17</v>
      </c>
      <c r="O4152">
        <v>2</v>
      </c>
      <c r="P4152">
        <f>MOD(DAY(datos_siembra[[#This Row],[Date]]),7)</f>
        <v>3</v>
      </c>
      <c r="Q4152" t="str">
        <f>CHOOSE(WEEKDAY(datos_siembra[[#This Row],[Date]],2),"L","M","X","J","V","S","D")</f>
        <v>J</v>
      </c>
      <c r="R4152">
        <f>WEEKNUM(datos_siembra[[#This Row],[Date]],2)-WEEKNUM(DATE(YEAR(datos_siembra[[#This Row],[Date]]),MONTH(datos_siembra[[#This Row],[Date]]),1))+1</f>
        <v>3</v>
      </c>
      <c r="S4152">
        <f>MONTH(datos_siembra[[#This Row],[Date]])</f>
        <v>10</v>
      </c>
      <c r="T4152" t="str" cm="1">
        <f t="array" ref="T4152">_xlfn.IFS(AND(N4152&lt;= 22, S4152=9), "SOWING",AND(N4152&lt;= 28, S4152=9), "COVERAGE",AND(N4152&lt;= 30, S4152=9), "FLUSH",AND(N4152&lt;= 11, S4152=10), "FLUSH",AND(N4152&lt;= 21, S4152=10), "PRODUCTION")</f>
        <v>PRODUCTION</v>
      </c>
      <c r="U4152">
        <f>HOUR(datos_siembra[[#This Row],[Hour]])</f>
        <v>12</v>
      </c>
      <c r="V4152" cm="1">
        <f t="array" ref="V4152">_xlfn.IFS(AND(N4152&lt;= 22, S4152=9), N4152-7,AND(N4152&lt;= 28, S4152=9), N4152-25,AND(N4152&lt;= 30, S4152=9), N4152-28,AND(N4152&lt;= 11, S4152=10), N4152+2,AND(N4152&lt;= 21, S4152=10), N4152-11)</f>
        <v>6</v>
      </c>
    </row>
    <row r="4153" spans="1:22" x14ac:dyDescent="0.35">
      <c r="A4153" s="4">
        <v>45582</v>
      </c>
      <c r="B4153" s="5">
        <v>0.51184027777777774</v>
      </c>
      <c r="C4153">
        <v>65.099999999999994</v>
      </c>
      <c r="D4153">
        <v>65.900000000000006</v>
      </c>
      <c r="E4153">
        <v>64.7</v>
      </c>
      <c r="F4153">
        <v>64.900000000000006</v>
      </c>
      <c r="G4153">
        <v>0</v>
      </c>
      <c r="H4153">
        <v>0</v>
      </c>
      <c r="I4153">
        <v>0</v>
      </c>
      <c r="J4153">
        <v>0</v>
      </c>
      <c r="K4153">
        <v>64.099999999999994</v>
      </c>
      <c r="L4153">
        <v>64.7</v>
      </c>
      <c r="M4153">
        <v>65.02</v>
      </c>
      <c r="N4153">
        <v>17</v>
      </c>
      <c r="O4153">
        <v>2</v>
      </c>
      <c r="P4153">
        <f>MOD(DAY(datos_siembra[[#This Row],[Date]]),7)</f>
        <v>3</v>
      </c>
      <c r="Q4153" t="str">
        <f>CHOOSE(WEEKDAY(datos_siembra[[#This Row],[Date]],2),"L","M","X","J","V","S","D")</f>
        <v>J</v>
      </c>
      <c r="R4153">
        <f>WEEKNUM(datos_siembra[[#This Row],[Date]],2)-WEEKNUM(DATE(YEAR(datos_siembra[[#This Row],[Date]]),MONTH(datos_siembra[[#This Row],[Date]]),1))+1</f>
        <v>3</v>
      </c>
      <c r="S4153">
        <f>MONTH(datos_siembra[[#This Row],[Date]])</f>
        <v>10</v>
      </c>
      <c r="T4153" t="str" cm="1">
        <f t="array" ref="T4153">_xlfn.IFS(AND(N4153&lt;= 22, S4153=9), "SOWING",AND(N4153&lt;= 28, S4153=9), "COVERAGE",AND(N4153&lt;= 30, S4153=9), "FLUSH",AND(N4153&lt;= 11, S4153=10), "FLUSH",AND(N4153&lt;= 21, S4153=10), "PRODUCTION")</f>
        <v>PRODUCTION</v>
      </c>
      <c r="U4153">
        <f>HOUR(datos_siembra[[#This Row],[Hour]])</f>
        <v>12</v>
      </c>
      <c r="V4153" cm="1">
        <f t="array" ref="V4153">_xlfn.IFS(AND(N4153&lt;= 22, S4153=9), N4153-7,AND(N4153&lt;= 28, S4153=9), N4153-25,AND(N4153&lt;= 30, S4153=9), N4153-28,AND(N4153&lt;= 11, S4153=10), N4153+2,AND(N4153&lt;= 21, S4153=10), N4153-11)</f>
        <v>6</v>
      </c>
    </row>
    <row r="4154" spans="1:22" x14ac:dyDescent="0.35">
      <c r="A4154" s="4">
        <v>45582</v>
      </c>
      <c r="B4154" s="5">
        <v>0.51879629629629631</v>
      </c>
      <c r="C4154">
        <v>65.2</v>
      </c>
      <c r="D4154">
        <v>65.900000000000006</v>
      </c>
      <c r="E4154">
        <v>64.599999999999994</v>
      </c>
      <c r="F4154">
        <v>64.7</v>
      </c>
      <c r="G4154">
        <v>0</v>
      </c>
      <c r="H4154">
        <v>0</v>
      </c>
      <c r="I4154">
        <v>0</v>
      </c>
      <c r="J4154">
        <v>0</v>
      </c>
      <c r="K4154">
        <v>64.2</v>
      </c>
      <c r="L4154">
        <v>65</v>
      </c>
      <c r="M4154">
        <v>65.069999999999993</v>
      </c>
      <c r="N4154">
        <v>17</v>
      </c>
      <c r="O4154">
        <v>2</v>
      </c>
      <c r="P4154">
        <f>MOD(DAY(datos_siembra[[#This Row],[Date]]),7)</f>
        <v>3</v>
      </c>
      <c r="Q4154" t="str">
        <f>CHOOSE(WEEKDAY(datos_siembra[[#This Row],[Date]],2),"L","M","X","J","V","S","D")</f>
        <v>J</v>
      </c>
      <c r="R4154">
        <f>WEEKNUM(datos_siembra[[#This Row],[Date]],2)-WEEKNUM(DATE(YEAR(datos_siembra[[#This Row],[Date]]),MONTH(datos_siembra[[#This Row],[Date]]),1))+1</f>
        <v>3</v>
      </c>
      <c r="S4154">
        <f>MONTH(datos_siembra[[#This Row],[Date]])</f>
        <v>10</v>
      </c>
      <c r="T4154" t="str" cm="1">
        <f t="array" ref="T4154">_xlfn.IFS(AND(N4154&lt;= 22, S4154=9), "SOWING",AND(N4154&lt;= 28, S4154=9), "COVERAGE",AND(N4154&lt;= 30, S4154=9), "FLUSH",AND(N4154&lt;= 11, S4154=10), "FLUSH",AND(N4154&lt;= 21, S4154=10), "PRODUCTION")</f>
        <v>PRODUCTION</v>
      </c>
      <c r="U4154">
        <f>HOUR(datos_siembra[[#This Row],[Hour]])</f>
        <v>12</v>
      </c>
      <c r="V4154" cm="1">
        <f t="array" ref="V4154">_xlfn.IFS(AND(N4154&lt;= 22, S4154=9), N4154-7,AND(N4154&lt;= 28, S4154=9), N4154-25,AND(N4154&lt;= 30, S4154=9), N4154-28,AND(N4154&lt;= 11, S4154=10), N4154+2,AND(N4154&lt;= 21, S4154=10), N4154-11)</f>
        <v>6</v>
      </c>
    </row>
    <row r="4155" spans="1:22" x14ac:dyDescent="0.35">
      <c r="A4155" s="4">
        <v>45582</v>
      </c>
      <c r="B4155" s="5">
        <v>0.52574074074074073</v>
      </c>
      <c r="C4155">
        <v>65.099999999999994</v>
      </c>
      <c r="D4155">
        <v>65.900000000000006</v>
      </c>
      <c r="E4155">
        <v>64.7</v>
      </c>
      <c r="F4155">
        <v>64.7</v>
      </c>
      <c r="G4155">
        <v>0</v>
      </c>
      <c r="H4155">
        <v>0</v>
      </c>
      <c r="I4155">
        <v>0</v>
      </c>
      <c r="J4155">
        <v>0</v>
      </c>
      <c r="K4155">
        <v>64.2</v>
      </c>
      <c r="L4155">
        <v>65</v>
      </c>
      <c r="M4155">
        <v>65.13</v>
      </c>
      <c r="N4155">
        <v>17</v>
      </c>
      <c r="O4155">
        <v>2</v>
      </c>
      <c r="P4155">
        <f>MOD(DAY(datos_siembra[[#This Row],[Date]]),7)</f>
        <v>3</v>
      </c>
      <c r="Q4155" t="str">
        <f>CHOOSE(WEEKDAY(datos_siembra[[#This Row],[Date]],2),"L","M","X","J","V","S","D")</f>
        <v>J</v>
      </c>
      <c r="R4155">
        <f>WEEKNUM(datos_siembra[[#This Row],[Date]],2)-WEEKNUM(DATE(YEAR(datos_siembra[[#This Row],[Date]]),MONTH(datos_siembra[[#This Row],[Date]]),1))+1</f>
        <v>3</v>
      </c>
      <c r="S4155">
        <f>MONTH(datos_siembra[[#This Row],[Date]])</f>
        <v>10</v>
      </c>
      <c r="T4155" t="str" cm="1">
        <f t="array" ref="T4155">_xlfn.IFS(AND(N4155&lt;= 22, S4155=9), "SOWING",AND(N4155&lt;= 28, S4155=9), "COVERAGE",AND(N4155&lt;= 30, S4155=9), "FLUSH",AND(N4155&lt;= 11, S4155=10), "FLUSH",AND(N4155&lt;= 21, S4155=10), "PRODUCTION")</f>
        <v>PRODUCTION</v>
      </c>
      <c r="U4155">
        <f>HOUR(datos_siembra[[#This Row],[Hour]])</f>
        <v>12</v>
      </c>
      <c r="V4155" cm="1">
        <f t="array" ref="V4155">_xlfn.IFS(AND(N4155&lt;= 22, S4155=9), N4155-7,AND(N4155&lt;= 28, S4155=9), N4155-25,AND(N4155&lt;= 30, S4155=9), N4155-28,AND(N4155&lt;= 11, S4155=10), N4155+2,AND(N4155&lt;= 21, S4155=10), N4155-11)</f>
        <v>6</v>
      </c>
    </row>
    <row r="4156" spans="1:22" x14ac:dyDescent="0.35">
      <c r="A4156" s="4">
        <v>45582</v>
      </c>
      <c r="B4156" s="5">
        <v>0.53268518518518515</v>
      </c>
      <c r="C4156">
        <v>65.099999999999994</v>
      </c>
      <c r="D4156">
        <v>66</v>
      </c>
      <c r="E4156">
        <v>64.7</v>
      </c>
      <c r="F4156">
        <v>64.599999999999994</v>
      </c>
      <c r="G4156">
        <v>0</v>
      </c>
      <c r="H4156">
        <v>0</v>
      </c>
      <c r="I4156">
        <v>0</v>
      </c>
      <c r="J4156">
        <v>0</v>
      </c>
      <c r="K4156">
        <v>64.400000000000006</v>
      </c>
      <c r="L4156">
        <v>65.2</v>
      </c>
      <c r="M4156">
        <v>65.099999999999994</v>
      </c>
      <c r="N4156">
        <v>17</v>
      </c>
      <c r="O4156">
        <v>2</v>
      </c>
      <c r="P4156">
        <f>MOD(DAY(datos_siembra[[#This Row],[Date]]),7)</f>
        <v>3</v>
      </c>
      <c r="Q4156" t="str">
        <f>CHOOSE(WEEKDAY(datos_siembra[[#This Row],[Date]],2),"L","M","X","J","V","S","D")</f>
        <v>J</v>
      </c>
      <c r="R4156">
        <f>WEEKNUM(datos_siembra[[#This Row],[Date]],2)-WEEKNUM(DATE(YEAR(datos_siembra[[#This Row],[Date]]),MONTH(datos_siembra[[#This Row],[Date]]),1))+1</f>
        <v>3</v>
      </c>
      <c r="S4156">
        <f>MONTH(datos_siembra[[#This Row],[Date]])</f>
        <v>10</v>
      </c>
      <c r="T4156" t="str" cm="1">
        <f t="array" ref="T4156">_xlfn.IFS(AND(N4156&lt;= 22, S4156=9), "SOWING",AND(N4156&lt;= 28, S4156=9), "COVERAGE",AND(N4156&lt;= 30, S4156=9), "FLUSH",AND(N4156&lt;= 11, S4156=10), "FLUSH",AND(N4156&lt;= 21, S4156=10), "PRODUCTION")</f>
        <v>PRODUCTION</v>
      </c>
      <c r="U4156">
        <f>HOUR(datos_siembra[[#This Row],[Hour]])</f>
        <v>12</v>
      </c>
      <c r="V4156" cm="1">
        <f t="array" ref="V4156">_xlfn.IFS(AND(N4156&lt;= 22, S4156=9), N4156-7,AND(N4156&lt;= 28, S4156=9), N4156-25,AND(N4156&lt;= 30, S4156=9), N4156-28,AND(N4156&lt;= 11, S4156=10), N4156+2,AND(N4156&lt;= 21, S4156=10), N4156-11)</f>
        <v>6</v>
      </c>
    </row>
    <row r="4157" spans="1:22" x14ac:dyDescent="0.35">
      <c r="A4157" s="4">
        <v>45582</v>
      </c>
      <c r="B4157" s="5">
        <v>0.53962962962962968</v>
      </c>
      <c r="C4157">
        <v>65.099999999999994</v>
      </c>
      <c r="D4157">
        <v>66</v>
      </c>
      <c r="E4157">
        <v>64.7</v>
      </c>
      <c r="F4157">
        <v>64.7</v>
      </c>
      <c r="G4157">
        <v>0</v>
      </c>
      <c r="H4157">
        <v>0</v>
      </c>
      <c r="I4157">
        <v>0</v>
      </c>
      <c r="J4157">
        <v>0</v>
      </c>
      <c r="K4157">
        <v>64.400000000000006</v>
      </c>
      <c r="L4157">
        <v>65.099999999999994</v>
      </c>
      <c r="M4157">
        <v>65.099999999999994</v>
      </c>
      <c r="N4157">
        <v>17</v>
      </c>
      <c r="O4157">
        <v>2</v>
      </c>
      <c r="P4157">
        <f>MOD(DAY(datos_siembra[[#This Row],[Date]]),7)</f>
        <v>3</v>
      </c>
      <c r="Q4157" t="str">
        <f>CHOOSE(WEEKDAY(datos_siembra[[#This Row],[Date]],2),"L","M","X","J","V","S","D")</f>
        <v>J</v>
      </c>
      <c r="R4157">
        <f>WEEKNUM(datos_siembra[[#This Row],[Date]],2)-WEEKNUM(DATE(YEAR(datos_siembra[[#This Row],[Date]]),MONTH(datos_siembra[[#This Row],[Date]]),1))+1</f>
        <v>3</v>
      </c>
      <c r="S4157">
        <f>MONTH(datos_siembra[[#This Row],[Date]])</f>
        <v>10</v>
      </c>
      <c r="T4157" t="str" cm="1">
        <f t="array" ref="T4157">_xlfn.IFS(AND(N4157&lt;= 22, S4157=9), "SOWING",AND(N4157&lt;= 28, S4157=9), "COVERAGE",AND(N4157&lt;= 30, S4157=9), "FLUSH",AND(N4157&lt;= 11, S4157=10), "FLUSH",AND(N4157&lt;= 21, S4157=10), "PRODUCTION")</f>
        <v>PRODUCTION</v>
      </c>
      <c r="U4157">
        <f>HOUR(datos_siembra[[#This Row],[Hour]])</f>
        <v>12</v>
      </c>
      <c r="V4157" cm="1">
        <f t="array" ref="V4157">_xlfn.IFS(AND(N4157&lt;= 22, S4157=9), N4157-7,AND(N4157&lt;= 28, S4157=9), N4157-25,AND(N4157&lt;= 30, S4157=9), N4157-28,AND(N4157&lt;= 11, S4157=10), N4157+2,AND(N4157&lt;= 21, S4157=10), N4157-11)</f>
        <v>6</v>
      </c>
    </row>
    <row r="4158" spans="1:22" x14ac:dyDescent="0.35">
      <c r="A4158" s="4">
        <v>45582</v>
      </c>
      <c r="B4158" s="5">
        <v>0.54658564814814814</v>
      </c>
      <c r="C4158">
        <v>65.099999999999994</v>
      </c>
      <c r="D4158">
        <v>65.8</v>
      </c>
      <c r="E4158">
        <v>64.5</v>
      </c>
      <c r="F4158">
        <v>64.7</v>
      </c>
      <c r="G4158">
        <v>0</v>
      </c>
      <c r="H4158">
        <v>0</v>
      </c>
      <c r="I4158">
        <v>0</v>
      </c>
      <c r="J4158">
        <v>0</v>
      </c>
      <c r="K4158">
        <v>64.099999999999994</v>
      </c>
      <c r="L4158">
        <v>64.7</v>
      </c>
      <c r="M4158">
        <v>65.05</v>
      </c>
      <c r="N4158">
        <v>17</v>
      </c>
      <c r="O4158">
        <v>2</v>
      </c>
      <c r="P4158">
        <f>MOD(DAY(datos_siembra[[#This Row],[Date]]),7)</f>
        <v>3</v>
      </c>
      <c r="Q4158" t="str">
        <f>CHOOSE(WEEKDAY(datos_siembra[[#This Row],[Date]],2),"L","M","X","J","V","S","D")</f>
        <v>J</v>
      </c>
      <c r="R4158">
        <f>WEEKNUM(datos_siembra[[#This Row],[Date]],2)-WEEKNUM(DATE(YEAR(datos_siembra[[#This Row],[Date]]),MONTH(datos_siembra[[#This Row],[Date]]),1))+1</f>
        <v>3</v>
      </c>
      <c r="S4158">
        <f>MONTH(datos_siembra[[#This Row],[Date]])</f>
        <v>10</v>
      </c>
      <c r="T4158" t="str" cm="1">
        <f t="array" ref="T4158">_xlfn.IFS(AND(N4158&lt;= 22, S4158=9), "SOWING",AND(N4158&lt;= 28, S4158=9), "COVERAGE",AND(N4158&lt;= 30, S4158=9), "FLUSH",AND(N4158&lt;= 11, S4158=10), "FLUSH",AND(N4158&lt;= 21, S4158=10), "PRODUCTION")</f>
        <v>PRODUCTION</v>
      </c>
      <c r="U4158">
        <f>HOUR(datos_siembra[[#This Row],[Hour]])</f>
        <v>13</v>
      </c>
      <c r="V4158" cm="1">
        <f t="array" ref="V4158">_xlfn.IFS(AND(N4158&lt;= 22, S4158=9), N4158-7,AND(N4158&lt;= 28, S4158=9), N4158-25,AND(N4158&lt;= 30, S4158=9), N4158-28,AND(N4158&lt;= 11, S4158=10), N4158+2,AND(N4158&lt;= 21, S4158=10), N4158-11)</f>
        <v>6</v>
      </c>
    </row>
    <row r="4159" spans="1:22" x14ac:dyDescent="0.35">
      <c r="A4159" s="4">
        <v>45582</v>
      </c>
      <c r="B4159" s="5">
        <v>0.55353009259259256</v>
      </c>
      <c r="C4159">
        <v>65</v>
      </c>
      <c r="D4159">
        <v>65.8</v>
      </c>
      <c r="E4159">
        <v>64.7</v>
      </c>
      <c r="F4159">
        <v>64.7</v>
      </c>
      <c r="G4159">
        <v>0</v>
      </c>
      <c r="H4159">
        <v>0</v>
      </c>
      <c r="I4159">
        <v>0</v>
      </c>
      <c r="J4159">
        <v>0</v>
      </c>
      <c r="K4159">
        <v>64.2</v>
      </c>
      <c r="L4159">
        <v>64.7</v>
      </c>
      <c r="M4159">
        <v>65.069999999999993</v>
      </c>
      <c r="N4159">
        <v>17</v>
      </c>
      <c r="O4159">
        <v>2</v>
      </c>
      <c r="P4159">
        <f>MOD(DAY(datos_siembra[[#This Row],[Date]]),7)</f>
        <v>3</v>
      </c>
      <c r="Q4159" t="str">
        <f>CHOOSE(WEEKDAY(datos_siembra[[#This Row],[Date]],2),"L","M","X","J","V","S","D")</f>
        <v>J</v>
      </c>
      <c r="R4159">
        <f>WEEKNUM(datos_siembra[[#This Row],[Date]],2)-WEEKNUM(DATE(YEAR(datos_siembra[[#This Row],[Date]]),MONTH(datos_siembra[[#This Row],[Date]]),1))+1</f>
        <v>3</v>
      </c>
      <c r="S4159">
        <f>MONTH(datos_siembra[[#This Row],[Date]])</f>
        <v>10</v>
      </c>
      <c r="T4159" t="str" cm="1">
        <f t="array" ref="T4159">_xlfn.IFS(AND(N4159&lt;= 22, S4159=9), "SOWING",AND(N4159&lt;= 28, S4159=9), "COVERAGE",AND(N4159&lt;= 30, S4159=9), "FLUSH",AND(N4159&lt;= 11, S4159=10), "FLUSH",AND(N4159&lt;= 21, S4159=10), "PRODUCTION")</f>
        <v>PRODUCTION</v>
      </c>
      <c r="U4159">
        <f>HOUR(datos_siembra[[#This Row],[Hour]])</f>
        <v>13</v>
      </c>
      <c r="V4159" cm="1">
        <f t="array" ref="V4159">_xlfn.IFS(AND(N4159&lt;= 22, S4159=9), N4159-7,AND(N4159&lt;= 28, S4159=9), N4159-25,AND(N4159&lt;= 30, S4159=9), N4159-28,AND(N4159&lt;= 11, S4159=10), N4159+2,AND(N4159&lt;= 21, S4159=10), N4159-11)</f>
        <v>6</v>
      </c>
    </row>
    <row r="4160" spans="1:22" x14ac:dyDescent="0.35">
      <c r="A4160" s="4">
        <v>45582</v>
      </c>
      <c r="B4160" s="5">
        <v>0.56047453703703709</v>
      </c>
      <c r="C4160">
        <v>65.099999999999994</v>
      </c>
      <c r="D4160">
        <v>65.8</v>
      </c>
      <c r="E4160">
        <v>64.7</v>
      </c>
      <c r="F4160">
        <v>64.599999999999994</v>
      </c>
      <c r="G4160">
        <v>0</v>
      </c>
      <c r="H4160">
        <v>0</v>
      </c>
      <c r="I4160">
        <v>0</v>
      </c>
      <c r="J4160">
        <v>0</v>
      </c>
      <c r="K4160">
        <v>64.099999999999994</v>
      </c>
      <c r="L4160">
        <v>64.599999999999994</v>
      </c>
      <c r="M4160">
        <v>65.05</v>
      </c>
      <c r="N4160">
        <v>17</v>
      </c>
      <c r="O4160">
        <v>2</v>
      </c>
      <c r="P4160">
        <f>MOD(DAY(datos_siembra[[#This Row],[Date]]),7)</f>
        <v>3</v>
      </c>
      <c r="Q4160" t="str">
        <f>CHOOSE(WEEKDAY(datos_siembra[[#This Row],[Date]],2),"L","M","X","J","V","S","D")</f>
        <v>J</v>
      </c>
      <c r="R4160">
        <f>WEEKNUM(datos_siembra[[#This Row],[Date]],2)-WEEKNUM(DATE(YEAR(datos_siembra[[#This Row],[Date]]),MONTH(datos_siembra[[#This Row],[Date]]),1))+1</f>
        <v>3</v>
      </c>
      <c r="S4160">
        <f>MONTH(datos_siembra[[#This Row],[Date]])</f>
        <v>10</v>
      </c>
      <c r="T4160" t="str" cm="1">
        <f t="array" ref="T4160">_xlfn.IFS(AND(N4160&lt;= 22, S4160=9), "SOWING",AND(N4160&lt;= 28, S4160=9), "COVERAGE",AND(N4160&lt;= 30, S4160=9), "FLUSH",AND(N4160&lt;= 11, S4160=10), "FLUSH",AND(N4160&lt;= 21, S4160=10), "PRODUCTION")</f>
        <v>PRODUCTION</v>
      </c>
      <c r="U4160">
        <f>HOUR(datos_siembra[[#This Row],[Hour]])</f>
        <v>13</v>
      </c>
      <c r="V4160" cm="1">
        <f t="array" ref="V4160">_xlfn.IFS(AND(N4160&lt;= 22, S4160=9), N4160-7,AND(N4160&lt;= 28, S4160=9), N4160-25,AND(N4160&lt;= 30, S4160=9), N4160-28,AND(N4160&lt;= 11, S4160=10), N4160+2,AND(N4160&lt;= 21, S4160=10), N4160-11)</f>
        <v>6</v>
      </c>
    </row>
    <row r="4161" spans="1:22" x14ac:dyDescent="0.35">
      <c r="A4161" s="4">
        <v>45582</v>
      </c>
      <c r="B4161" s="5">
        <v>0.56743055555555555</v>
      </c>
      <c r="C4161">
        <v>65</v>
      </c>
      <c r="D4161">
        <v>66</v>
      </c>
      <c r="E4161">
        <v>64.900000000000006</v>
      </c>
      <c r="F4161">
        <v>64.599999999999994</v>
      </c>
      <c r="G4161">
        <v>0</v>
      </c>
      <c r="H4161">
        <v>0</v>
      </c>
      <c r="I4161">
        <v>0</v>
      </c>
      <c r="J4161">
        <v>0</v>
      </c>
      <c r="K4161">
        <v>64.099999999999994</v>
      </c>
      <c r="L4161">
        <v>64.400000000000006</v>
      </c>
      <c r="M4161">
        <v>65.069999999999993</v>
      </c>
      <c r="N4161">
        <v>17</v>
      </c>
      <c r="O4161">
        <v>2</v>
      </c>
      <c r="P4161">
        <f>MOD(DAY(datos_siembra[[#This Row],[Date]]),7)</f>
        <v>3</v>
      </c>
      <c r="Q4161" t="str">
        <f>CHOOSE(WEEKDAY(datos_siembra[[#This Row],[Date]],2),"L","M","X","J","V","S","D")</f>
        <v>J</v>
      </c>
      <c r="R4161">
        <f>WEEKNUM(datos_siembra[[#This Row],[Date]],2)-WEEKNUM(DATE(YEAR(datos_siembra[[#This Row],[Date]]),MONTH(datos_siembra[[#This Row],[Date]]),1))+1</f>
        <v>3</v>
      </c>
      <c r="S4161">
        <f>MONTH(datos_siembra[[#This Row],[Date]])</f>
        <v>10</v>
      </c>
      <c r="T4161" t="str" cm="1">
        <f t="array" ref="T4161">_xlfn.IFS(AND(N4161&lt;= 22, S4161=9), "SOWING",AND(N4161&lt;= 28, S4161=9), "COVERAGE",AND(N4161&lt;= 30, S4161=9), "FLUSH",AND(N4161&lt;= 11, S4161=10), "FLUSH",AND(N4161&lt;= 21, S4161=10), "PRODUCTION")</f>
        <v>PRODUCTION</v>
      </c>
      <c r="U4161">
        <f>HOUR(datos_siembra[[#This Row],[Hour]])</f>
        <v>13</v>
      </c>
      <c r="V4161" cm="1">
        <f t="array" ref="V4161">_xlfn.IFS(AND(N4161&lt;= 22, S4161=9), N4161-7,AND(N4161&lt;= 28, S4161=9), N4161-25,AND(N4161&lt;= 30, S4161=9), N4161-28,AND(N4161&lt;= 11, S4161=10), N4161+2,AND(N4161&lt;= 21, S4161=10), N4161-11)</f>
        <v>6</v>
      </c>
    </row>
    <row r="4162" spans="1:22" x14ac:dyDescent="0.35">
      <c r="A4162" s="4">
        <v>45582</v>
      </c>
      <c r="B4162" s="5">
        <v>0.57437499999999997</v>
      </c>
      <c r="C4162">
        <v>65.099999999999994</v>
      </c>
      <c r="D4162">
        <v>65.900000000000006</v>
      </c>
      <c r="E4162">
        <v>64.599999999999994</v>
      </c>
      <c r="F4162">
        <v>64.7</v>
      </c>
      <c r="G4162">
        <v>0</v>
      </c>
      <c r="H4162">
        <v>0</v>
      </c>
      <c r="I4162">
        <v>0</v>
      </c>
      <c r="J4162">
        <v>0</v>
      </c>
      <c r="K4162">
        <v>63.7</v>
      </c>
      <c r="L4162">
        <v>64.099999999999994</v>
      </c>
      <c r="M4162">
        <v>65.13</v>
      </c>
      <c r="N4162">
        <v>17</v>
      </c>
      <c r="O4162">
        <v>2</v>
      </c>
      <c r="P4162">
        <f>MOD(DAY(datos_siembra[[#This Row],[Date]]),7)</f>
        <v>3</v>
      </c>
      <c r="Q4162" t="str">
        <f>CHOOSE(WEEKDAY(datos_siembra[[#This Row],[Date]],2),"L","M","X","J","V","S","D")</f>
        <v>J</v>
      </c>
      <c r="R4162">
        <f>WEEKNUM(datos_siembra[[#This Row],[Date]],2)-WEEKNUM(DATE(YEAR(datos_siembra[[#This Row],[Date]]),MONTH(datos_siembra[[#This Row],[Date]]),1))+1</f>
        <v>3</v>
      </c>
      <c r="S4162">
        <f>MONTH(datos_siembra[[#This Row],[Date]])</f>
        <v>10</v>
      </c>
      <c r="T4162" t="str" cm="1">
        <f t="array" ref="T4162">_xlfn.IFS(AND(N4162&lt;= 22, S4162=9), "SOWING",AND(N4162&lt;= 28, S4162=9), "COVERAGE",AND(N4162&lt;= 30, S4162=9), "FLUSH",AND(N4162&lt;= 11, S4162=10), "FLUSH",AND(N4162&lt;= 21, S4162=10), "PRODUCTION")</f>
        <v>PRODUCTION</v>
      </c>
      <c r="U4162">
        <f>HOUR(datos_siembra[[#This Row],[Hour]])</f>
        <v>13</v>
      </c>
      <c r="V4162" cm="1">
        <f t="array" ref="V4162">_xlfn.IFS(AND(N4162&lt;= 22, S4162=9), N4162-7,AND(N4162&lt;= 28, S4162=9), N4162-25,AND(N4162&lt;= 30, S4162=9), N4162-28,AND(N4162&lt;= 11, S4162=10), N4162+2,AND(N4162&lt;= 21, S4162=10), N4162-11)</f>
        <v>6</v>
      </c>
    </row>
    <row r="4163" spans="1:22" x14ac:dyDescent="0.35">
      <c r="A4163" s="4">
        <v>45582</v>
      </c>
      <c r="B4163" s="5">
        <v>0.5813194444444445</v>
      </c>
      <c r="C4163">
        <v>65.099999999999994</v>
      </c>
      <c r="D4163">
        <v>65.900000000000006</v>
      </c>
      <c r="E4163">
        <v>64.7</v>
      </c>
      <c r="F4163">
        <v>64.7</v>
      </c>
      <c r="G4163">
        <v>0</v>
      </c>
      <c r="H4163">
        <v>0</v>
      </c>
      <c r="I4163">
        <v>0</v>
      </c>
      <c r="J4163">
        <v>0</v>
      </c>
      <c r="K4163">
        <v>63.7</v>
      </c>
      <c r="L4163">
        <v>64.2</v>
      </c>
      <c r="M4163">
        <v>65.05</v>
      </c>
      <c r="N4163">
        <v>17</v>
      </c>
      <c r="O4163">
        <v>2</v>
      </c>
      <c r="P4163">
        <f>MOD(DAY(datos_siembra[[#This Row],[Date]]),7)</f>
        <v>3</v>
      </c>
      <c r="Q4163" t="str">
        <f>CHOOSE(WEEKDAY(datos_siembra[[#This Row],[Date]],2),"L","M","X","J","V","S","D")</f>
        <v>J</v>
      </c>
      <c r="R4163">
        <f>WEEKNUM(datos_siembra[[#This Row],[Date]],2)-WEEKNUM(DATE(YEAR(datos_siembra[[#This Row],[Date]]),MONTH(datos_siembra[[#This Row],[Date]]),1))+1</f>
        <v>3</v>
      </c>
      <c r="S4163">
        <f>MONTH(datos_siembra[[#This Row],[Date]])</f>
        <v>10</v>
      </c>
      <c r="T4163" t="str" cm="1">
        <f t="array" ref="T4163">_xlfn.IFS(AND(N4163&lt;= 22, S4163=9), "SOWING",AND(N4163&lt;= 28, S4163=9), "COVERAGE",AND(N4163&lt;= 30, S4163=9), "FLUSH",AND(N4163&lt;= 11, S4163=10), "FLUSH",AND(N4163&lt;= 21, S4163=10), "PRODUCTION")</f>
        <v>PRODUCTION</v>
      </c>
      <c r="U4163">
        <f>HOUR(datos_siembra[[#This Row],[Hour]])</f>
        <v>13</v>
      </c>
      <c r="V4163" cm="1">
        <f t="array" ref="V4163">_xlfn.IFS(AND(N4163&lt;= 22, S4163=9), N4163-7,AND(N4163&lt;= 28, S4163=9), N4163-25,AND(N4163&lt;= 30, S4163=9), N4163-28,AND(N4163&lt;= 11, S4163=10), N4163+2,AND(N4163&lt;= 21, S4163=10), N4163-11)</f>
        <v>6</v>
      </c>
    </row>
    <row r="4164" spans="1:22" x14ac:dyDescent="0.35">
      <c r="A4164" s="4">
        <v>45582</v>
      </c>
      <c r="B4164" s="5">
        <v>0.58827546296296296</v>
      </c>
      <c r="C4164">
        <v>65</v>
      </c>
      <c r="D4164">
        <v>65.900000000000006</v>
      </c>
      <c r="E4164">
        <v>64.7</v>
      </c>
      <c r="F4164">
        <v>64.7</v>
      </c>
      <c r="G4164">
        <v>0</v>
      </c>
      <c r="H4164">
        <v>0</v>
      </c>
      <c r="I4164">
        <v>0</v>
      </c>
      <c r="J4164">
        <v>0</v>
      </c>
      <c r="K4164">
        <v>63.6</v>
      </c>
      <c r="L4164">
        <v>64.099999999999994</v>
      </c>
      <c r="M4164">
        <v>65.069999999999993</v>
      </c>
      <c r="N4164">
        <v>17</v>
      </c>
      <c r="O4164">
        <v>2</v>
      </c>
      <c r="P4164">
        <f>MOD(DAY(datos_siembra[[#This Row],[Date]]),7)</f>
        <v>3</v>
      </c>
      <c r="Q4164" t="str">
        <f>CHOOSE(WEEKDAY(datos_siembra[[#This Row],[Date]],2),"L","M","X","J","V","S","D")</f>
        <v>J</v>
      </c>
      <c r="R4164">
        <f>WEEKNUM(datos_siembra[[#This Row],[Date]],2)-WEEKNUM(DATE(YEAR(datos_siembra[[#This Row],[Date]]),MONTH(datos_siembra[[#This Row],[Date]]),1))+1</f>
        <v>3</v>
      </c>
      <c r="S4164">
        <f>MONTH(datos_siembra[[#This Row],[Date]])</f>
        <v>10</v>
      </c>
      <c r="T4164" t="str" cm="1">
        <f t="array" ref="T4164">_xlfn.IFS(AND(N4164&lt;= 22, S4164=9), "SOWING",AND(N4164&lt;= 28, S4164=9), "COVERAGE",AND(N4164&lt;= 30, S4164=9), "FLUSH",AND(N4164&lt;= 11, S4164=10), "FLUSH",AND(N4164&lt;= 21, S4164=10), "PRODUCTION")</f>
        <v>PRODUCTION</v>
      </c>
      <c r="U4164">
        <f>HOUR(datos_siembra[[#This Row],[Hour]])</f>
        <v>14</v>
      </c>
      <c r="V4164" cm="1">
        <f t="array" ref="V4164">_xlfn.IFS(AND(N4164&lt;= 22, S4164=9), N4164-7,AND(N4164&lt;= 28, S4164=9), N4164-25,AND(N4164&lt;= 30, S4164=9), N4164-28,AND(N4164&lt;= 11, S4164=10), N4164+2,AND(N4164&lt;= 21, S4164=10), N4164-11)</f>
        <v>6</v>
      </c>
    </row>
    <row r="4165" spans="1:22" x14ac:dyDescent="0.35">
      <c r="A4165" s="4">
        <v>45582</v>
      </c>
      <c r="B4165" s="5">
        <v>0.59521990740740738</v>
      </c>
      <c r="C4165">
        <v>65.099999999999994</v>
      </c>
      <c r="D4165">
        <v>65.8</v>
      </c>
      <c r="E4165">
        <v>64.900000000000006</v>
      </c>
      <c r="F4165">
        <v>64.900000000000006</v>
      </c>
      <c r="G4165">
        <v>0</v>
      </c>
      <c r="H4165">
        <v>0</v>
      </c>
      <c r="I4165">
        <v>0</v>
      </c>
      <c r="J4165">
        <v>0</v>
      </c>
      <c r="K4165">
        <v>63.7</v>
      </c>
      <c r="L4165">
        <v>64.2</v>
      </c>
      <c r="M4165">
        <v>65.069999999999993</v>
      </c>
      <c r="N4165">
        <v>17</v>
      </c>
      <c r="O4165">
        <v>2</v>
      </c>
      <c r="P4165">
        <f>MOD(DAY(datos_siembra[[#This Row],[Date]]),7)</f>
        <v>3</v>
      </c>
      <c r="Q4165" t="str">
        <f>CHOOSE(WEEKDAY(datos_siembra[[#This Row],[Date]],2),"L","M","X","J","V","S","D")</f>
        <v>J</v>
      </c>
      <c r="R4165">
        <f>WEEKNUM(datos_siembra[[#This Row],[Date]],2)-WEEKNUM(DATE(YEAR(datos_siembra[[#This Row],[Date]]),MONTH(datos_siembra[[#This Row],[Date]]),1))+1</f>
        <v>3</v>
      </c>
      <c r="S4165">
        <f>MONTH(datos_siembra[[#This Row],[Date]])</f>
        <v>10</v>
      </c>
      <c r="T4165" t="str" cm="1">
        <f t="array" ref="T4165">_xlfn.IFS(AND(N4165&lt;= 22, S4165=9), "SOWING",AND(N4165&lt;= 28, S4165=9), "COVERAGE",AND(N4165&lt;= 30, S4165=9), "FLUSH",AND(N4165&lt;= 11, S4165=10), "FLUSH",AND(N4165&lt;= 21, S4165=10), "PRODUCTION")</f>
        <v>PRODUCTION</v>
      </c>
      <c r="U4165">
        <f>HOUR(datos_siembra[[#This Row],[Hour]])</f>
        <v>14</v>
      </c>
      <c r="V4165" cm="1">
        <f t="array" ref="V4165">_xlfn.IFS(AND(N4165&lt;= 22, S4165=9), N4165-7,AND(N4165&lt;= 28, S4165=9), N4165-25,AND(N4165&lt;= 30, S4165=9), N4165-28,AND(N4165&lt;= 11, S4165=10), N4165+2,AND(N4165&lt;= 21, S4165=10), N4165-11)</f>
        <v>6</v>
      </c>
    </row>
    <row r="4166" spans="1:22" x14ac:dyDescent="0.35">
      <c r="A4166" s="4">
        <v>45582</v>
      </c>
      <c r="B4166" s="5">
        <v>0.6021643518518518</v>
      </c>
      <c r="C4166">
        <v>65</v>
      </c>
      <c r="D4166">
        <v>65.8</v>
      </c>
      <c r="E4166">
        <v>64.7</v>
      </c>
      <c r="F4166">
        <v>64.900000000000006</v>
      </c>
      <c r="G4166">
        <v>0</v>
      </c>
      <c r="H4166">
        <v>0</v>
      </c>
      <c r="I4166">
        <v>0</v>
      </c>
      <c r="J4166">
        <v>0</v>
      </c>
      <c r="K4166">
        <v>63.7</v>
      </c>
      <c r="L4166">
        <v>64.099999999999994</v>
      </c>
      <c r="M4166">
        <v>64.989999999999995</v>
      </c>
      <c r="N4166">
        <v>17</v>
      </c>
      <c r="O4166">
        <v>2</v>
      </c>
      <c r="P4166">
        <f>MOD(DAY(datos_siembra[[#This Row],[Date]]),7)</f>
        <v>3</v>
      </c>
      <c r="Q4166" t="str">
        <f>CHOOSE(WEEKDAY(datos_siembra[[#This Row],[Date]],2),"L","M","X","J","V","S","D")</f>
        <v>J</v>
      </c>
      <c r="R4166">
        <f>WEEKNUM(datos_siembra[[#This Row],[Date]],2)-WEEKNUM(DATE(YEAR(datos_siembra[[#This Row],[Date]]),MONTH(datos_siembra[[#This Row],[Date]]),1))+1</f>
        <v>3</v>
      </c>
      <c r="S4166">
        <f>MONTH(datos_siembra[[#This Row],[Date]])</f>
        <v>10</v>
      </c>
      <c r="T4166" t="str" cm="1">
        <f t="array" ref="T4166">_xlfn.IFS(AND(N4166&lt;= 22, S4166=9), "SOWING",AND(N4166&lt;= 28, S4166=9), "COVERAGE",AND(N4166&lt;= 30, S4166=9), "FLUSH",AND(N4166&lt;= 11, S4166=10), "FLUSH",AND(N4166&lt;= 21, S4166=10), "PRODUCTION")</f>
        <v>PRODUCTION</v>
      </c>
      <c r="U4166">
        <f>HOUR(datos_siembra[[#This Row],[Hour]])</f>
        <v>14</v>
      </c>
      <c r="V4166" cm="1">
        <f t="array" ref="V4166">_xlfn.IFS(AND(N4166&lt;= 22, S4166=9), N4166-7,AND(N4166&lt;= 28, S4166=9), N4166-25,AND(N4166&lt;= 30, S4166=9), N4166-28,AND(N4166&lt;= 11, S4166=10), N4166+2,AND(N4166&lt;= 21, S4166=10), N4166-11)</f>
        <v>6</v>
      </c>
    </row>
    <row r="4167" spans="1:22" x14ac:dyDescent="0.35">
      <c r="A4167" s="4">
        <v>45582</v>
      </c>
      <c r="B4167" s="5">
        <v>0.60910879629629633</v>
      </c>
      <c r="C4167">
        <v>65</v>
      </c>
      <c r="D4167">
        <v>65.900000000000006</v>
      </c>
      <c r="E4167">
        <v>64.900000000000006</v>
      </c>
      <c r="F4167">
        <v>64.7</v>
      </c>
      <c r="G4167">
        <v>0</v>
      </c>
      <c r="H4167">
        <v>0</v>
      </c>
      <c r="I4167">
        <v>0</v>
      </c>
      <c r="J4167">
        <v>0</v>
      </c>
      <c r="K4167">
        <v>63.8</v>
      </c>
      <c r="L4167">
        <v>64.3</v>
      </c>
      <c r="M4167">
        <v>65.069999999999993</v>
      </c>
      <c r="N4167">
        <v>17</v>
      </c>
      <c r="O4167">
        <v>2</v>
      </c>
      <c r="P4167">
        <f>MOD(DAY(datos_siembra[[#This Row],[Date]]),7)</f>
        <v>3</v>
      </c>
      <c r="Q4167" t="str">
        <f>CHOOSE(WEEKDAY(datos_siembra[[#This Row],[Date]],2),"L","M","X","J","V","S","D")</f>
        <v>J</v>
      </c>
      <c r="R4167">
        <f>WEEKNUM(datos_siembra[[#This Row],[Date]],2)-WEEKNUM(DATE(YEAR(datos_siembra[[#This Row],[Date]]),MONTH(datos_siembra[[#This Row],[Date]]),1))+1</f>
        <v>3</v>
      </c>
      <c r="S4167">
        <f>MONTH(datos_siembra[[#This Row],[Date]])</f>
        <v>10</v>
      </c>
      <c r="T4167" t="str" cm="1">
        <f t="array" ref="T4167">_xlfn.IFS(AND(N4167&lt;= 22, S4167=9), "SOWING",AND(N4167&lt;= 28, S4167=9), "COVERAGE",AND(N4167&lt;= 30, S4167=9), "FLUSH",AND(N4167&lt;= 11, S4167=10), "FLUSH",AND(N4167&lt;= 21, S4167=10), "PRODUCTION")</f>
        <v>PRODUCTION</v>
      </c>
      <c r="U4167">
        <f>HOUR(datos_siembra[[#This Row],[Hour]])</f>
        <v>14</v>
      </c>
      <c r="V4167" cm="1">
        <f t="array" ref="V4167">_xlfn.IFS(AND(N4167&lt;= 22, S4167=9), N4167-7,AND(N4167&lt;= 28, S4167=9), N4167-25,AND(N4167&lt;= 30, S4167=9), N4167-28,AND(N4167&lt;= 11, S4167=10), N4167+2,AND(N4167&lt;= 21, S4167=10), N4167-11)</f>
        <v>6</v>
      </c>
    </row>
    <row r="4168" spans="1:22" x14ac:dyDescent="0.35">
      <c r="A4168" s="4">
        <v>45582</v>
      </c>
      <c r="B4168" s="5">
        <v>0.61606481481481479</v>
      </c>
      <c r="C4168">
        <v>65</v>
      </c>
      <c r="D4168">
        <v>65.8</v>
      </c>
      <c r="E4168">
        <v>64.7</v>
      </c>
      <c r="F4168">
        <v>64.900000000000006</v>
      </c>
      <c r="G4168">
        <v>0</v>
      </c>
      <c r="H4168">
        <v>0</v>
      </c>
      <c r="I4168">
        <v>0</v>
      </c>
      <c r="J4168">
        <v>0</v>
      </c>
      <c r="K4168">
        <v>63.6</v>
      </c>
      <c r="L4168">
        <v>64.099999999999994</v>
      </c>
      <c r="M4168">
        <v>65.069999999999993</v>
      </c>
      <c r="N4168">
        <v>17</v>
      </c>
      <c r="O4168">
        <v>2</v>
      </c>
      <c r="P4168">
        <f>MOD(DAY(datos_siembra[[#This Row],[Date]]),7)</f>
        <v>3</v>
      </c>
      <c r="Q4168" t="str">
        <f>CHOOSE(WEEKDAY(datos_siembra[[#This Row],[Date]],2),"L","M","X","J","V","S","D")</f>
        <v>J</v>
      </c>
      <c r="R4168">
        <f>WEEKNUM(datos_siembra[[#This Row],[Date]],2)-WEEKNUM(DATE(YEAR(datos_siembra[[#This Row],[Date]]),MONTH(datos_siembra[[#This Row],[Date]]),1))+1</f>
        <v>3</v>
      </c>
      <c r="S4168">
        <f>MONTH(datos_siembra[[#This Row],[Date]])</f>
        <v>10</v>
      </c>
      <c r="T4168" t="str" cm="1">
        <f t="array" ref="T4168">_xlfn.IFS(AND(N4168&lt;= 22, S4168=9), "SOWING",AND(N4168&lt;= 28, S4168=9), "COVERAGE",AND(N4168&lt;= 30, S4168=9), "FLUSH",AND(N4168&lt;= 11, S4168=10), "FLUSH",AND(N4168&lt;= 21, S4168=10), "PRODUCTION")</f>
        <v>PRODUCTION</v>
      </c>
      <c r="U4168">
        <f>HOUR(datos_siembra[[#This Row],[Hour]])</f>
        <v>14</v>
      </c>
      <c r="V4168" cm="1">
        <f t="array" ref="V4168">_xlfn.IFS(AND(N4168&lt;= 22, S4168=9), N4168-7,AND(N4168&lt;= 28, S4168=9), N4168-25,AND(N4168&lt;= 30, S4168=9), N4168-28,AND(N4168&lt;= 11, S4168=10), N4168+2,AND(N4168&lt;= 21, S4168=10), N4168-11)</f>
        <v>6</v>
      </c>
    </row>
    <row r="4169" spans="1:22" x14ac:dyDescent="0.35">
      <c r="A4169" s="4">
        <v>45582</v>
      </c>
      <c r="B4169" s="5">
        <v>0.62300925925925921</v>
      </c>
      <c r="C4169">
        <v>65</v>
      </c>
      <c r="D4169">
        <v>66</v>
      </c>
      <c r="E4169">
        <v>64.599999999999994</v>
      </c>
      <c r="F4169">
        <v>64.7</v>
      </c>
      <c r="G4169">
        <v>0</v>
      </c>
      <c r="H4169">
        <v>0</v>
      </c>
      <c r="I4169">
        <v>0</v>
      </c>
      <c r="J4169">
        <v>0</v>
      </c>
      <c r="K4169">
        <v>63.8</v>
      </c>
      <c r="L4169">
        <v>64.2</v>
      </c>
      <c r="M4169">
        <v>65.099999999999994</v>
      </c>
      <c r="N4169">
        <v>17</v>
      </c>
      <c r="O4169">
        <v>2</v>
      </c>
      <c r="P4169">
        <f>MOD(DAY(datos_siembra[[#This Row],[Date]]),7)</f>
        <v>3</v>
      </c>
      <c r="Q4169" t="str">
        <f>CHOOSE(WEEKDAY(datos_siembra[[#This Row],[Date]],2),"L","M","X","J","V","S","D")</f>
        <v>J</v>
      </c>
      <c r="R4169">
        <f>WEEKNUM(datos_siembra[[#This Row],[Date]],2)-WEEKNUM(DATE(YEAR(datos_siembra[[#This Row],[Date]]),MONTH(datos_siembra[[#This Row],[Date]]),1))+1</f>
        <v>3</v>
      </c>
      <c r="S4169">
        <f>MONTH(datos_siembra[[#This Row],[Date]])</f>
        <v>10</v>
      </c>
      <c r="T4169" t="str" cm="1">
        <f t="array" ref="T4169">_xlfn.IFS(AND(N4169&lt;= 22, S4169=9), "SOWING",AND(N4169&lt;= 28, S4169=9), "COVERAGE",AND(N4169&lt;= 30, S4169=9), "FLUSH",AND(N4169&lt;= 11, S4169=10), "FLUSH",AND(N4169&lt;= 21, S4169=10), "PRODUCTION")</f>
        <v>PRODUCTION</v>
      </c>
      <c r="U4169">
        <f>HOUR(datos_siembra[[#This Row],[Hour]])</f>
        <v>14</v>
      </c>
      <c r="V4169" cm="1">
        <f t="array" ref="V4169">_xlfn.IFS(AND(N4169&lt;= 22, S4169=9), N4169-7,AND(N4169&lt;= 28, S4169=9), N4169-25,AND(N4169&lt;= 30, S4169=9), N4169-28,AND(N4169&lt;= 11, S4169=10), N4169+2,AND(N4169&lt;= 21, S4169=10), N4169-11)</f>
        <v>6</v>
      </c>
    </row>
    <row r="4170" spans="1:22" x14ac:dyDescent="0.35">
      <c r="A4170" s="4">
        <v>45582</v>
      </c>
      <c r="B4170" s="5">
        <v>0.62995370370370374</v>
      </c>
      <c r="C4170">
        <v>65.099999999999994</v>
      </c>
      <c r="D4170">
        <v>65.900000000000006</v>
      </c>
      <c r="E4170">
        <v>64.900000000000006</v>
      </c>
      <c r="F4170">
        <v>64.900000000000006</v>
      </c>
      <c r="G4170">
        <v>0</v>
      </c>
      <c r="H4170">
        <v>0</v>
      </c>
      <c r="I4170">
        <v>0</v>
      </c>
      <c r="J4170">
        <v>0</v>
      </c>
      <c r="K4170">
        <v>63.6</v>
      </c>
      <c r="L4170">
        <v>63.9</v>
      </c>
      <c r="M4170">
        <v>65.099999999999994</v>
      </c>
      <c r="N4170">
        <v>17</v>
      </c>
      <c r="O4170">
        <v>2</v>
      </c>
      <c r="P4170">
        <f>MOD(DAY(datos_siembra[[#This Row],[Date]]),7)</f>
        <v>3</v>
      </c>
      <c r="Q4170" t="str">
        <f>CHOOSE(WEEKDAY(datos_siembra[[#This Row],[Date]],2),"L","M","X","J","V","S","D")</f>
        <v>J</v>
      </c>
      <c r="R4170">
        <f>WEEKNUM(datos_siembra[[#This Row],[Date]],2)-WEEKNUM(DATE(YEAR(datos_siembra[[#This Row],[Date]]),MONTH(datos_siembra[[#This Row],[Date]]),1))+1</f>
        <v>3</v>
      </c>
      <c r="S4170">
        <f>MONTH(datos_siembra[[#This Row],[Date]])</f>
        <v>10</v>
      </c>
      <c r="T4170" t="str" cm="1">
        <f t="array" ref="T4170">_xlfn.IFS(AND(N4170&lt;= 22, S4170=9), "SOWING",AND(N4170&lt;= 28, S4170=9), "COVERAGE",AND(N4170&lt;= 30, S4170=9), "FLUSH",AND(N4170&lt;= 11, S4170=10), "FLUSH",AND(N4170&lt;= 21, S4170=10), "PRODUCTION")</f>
        <v>PRODUCTION</v>
      </c>
      <c r="U4170">
        <f>HOUR(datos_siembra[[#This Row],[Hour]])</f>
        <v>15</v>
      </c>
      <c r="V4170" cm="1">
        <f t="array" ref="V4170">_xlfn.IFS(AND(N4170&lt;= 22, S4170=9), N4170-7,AND(N4170&lt;= 28, S4170=9), N4170-25,AND(N4170&lt;= 30, S4170=9), N4170-28,AND(N4170&lt;= 11, S4170=10), N4170+2,AND(N4170&lt;= 21, S4170=10), N4170-11)</f>
        <v>6</v>
      </c>
    </row>
    <row r="4171" spans="1:22" x14ac:dyDescent="0.35">
      <c r="A4171" s="4">
        <v>45582</v>
      </c>
      <c r="B4171" s="5">
        <v>0.6369097222222222</v>
      </c>
      <c r="C4171">
        <v>65.099999999999994</v>
      </c>
      <c r="D4171">
        <v>65.900000000000006</v>
      </c>
      <c r="E4171">
        <v>64.7</v>
      </c>
      <c r="F4171">
        <v>64.7</v>
      </c>
      <c r="G4171">
        <v>0</v>
      </c>
      <c r="H4171">
        <v>0</v>
      </c>
      <c r="I4171">
        <v>0</v>
      </c>
      <c r="J4171">
        <v>0</v>
      </c>
      <c r="K4171">
        <v>63.4</v>
      </c>
      <c r="L4171">
        <v>63.7</v>
      </c>
      <c r="M4171">
        <v>65.13</v>
      </c>
      <c r="N4171">
        <v>17</v>
      </c>
      <c r="O4171">
        <v>2</v>
      </c>
      <c r="P4171">
        <f>MOD(DAY(datos_siembra[[#This Row],[Date]]),7)</f>
        <v>3</v>
      </c>
      <c r="Q4171" t="str">
        <f>CHOOSE(WEEKDAY(datos_siembra[[#This Row],[Date]],2),"L","M","X","J","V","S","D")</f>
        <v>J</v>
      </c>
      <c r="R4171">
        <f>WEEKNUM(datos_siembra[[#This Row],[Date]],2)-WEEKNUM(DATE(YEAR(datos_siembra[[#This Row],[Date]]),MONTH(datos_siembra[[#This Row],[Date]]),1))+1</f>
        <v>3</v>
      </c>
      <c r="S4171">
        <f>MONTH(datos_siembra[[#This Row],[Date]])</f>
        <v>10</v>
      </c>
      <c r="T4171" t="str" cm="1">
        <f t="array" ref="T4171">_xlfn.IFS(AND(N4171&lt;= 22, S4171=9), "SOWING",AND(N4171&lt;= 28, S4171=9), "COVERAGE",AND(N4171&lt;= 30, S4171=9), "FLUSH",AND(N4171&lt;= 11, S4171=10), "FLUSH",AND(N4171&lt;= 21, S4171=10), "PRODUCTION")</f>
        <v>PRODUCTION</v>
      </c>
      <c r="U4171">
        <f>HOUR(datos_siembra[[#This Row],[Hour]])</f>
        <v>15</v>
      </c>
      <c r="V4171" cm="1">
        <f t="array" ref="V4171">_xlfn.IFS(AND(N4171&lt;= 22, S4171=9), N4171-7,AND(N4171&lt;= 28, S4171=9), N4171-25,AND(N4171&lt;= 30, S4171=9), N4171-28,AND(N4171&lt;= 11, S4171=10), N4171+2,AND(N4171&lt;= 21, S4171=10), N4171-11)</f>
        <v>6</v>
      </c>
    </row>
    <row r="4172" spans="1:22" x14ac:dyDescent="0.35">
      <c r="A4172" s="4">
        <v>45582</v>
      </c>
      <c r="B4172" s="5">
        <v>0.64385416666666662</v>
      </c>
      <c r="C4172">
        <v>65.099999999999994</v>
      </c>
      <c r="D4172">
        <v>65.900000000000006</v>
      </c>
      <c r="E4172">
        <v>64.900000000000006</v>
      </c>
      <c r="F4172">
        <v>65</v>
      </c>
      <c r="G4172">
        <v>0</v>
      </c>
      <c r="H4172">
        <v>0</v>
      </c>
      <c r="I4172">
        <v>0</v>
      </c>
      <c r="J4172">
        <v>0</v>
      </c>
      <c r="K4172">
        <v>63.3</v>
      </c>
      <c r="L4172">
        <v>63.5</v>
      </c>
      <c r="M4172">
        <v>65.099999999999994</v>
      </c>
      <c r="N4172">
        <v>17</v>
      </c>
      <c r="O4172">
        <v>2</v>
      </c>
      <c r="P4172">
        <f>MOD(DAY(datos_siembra[[#This Row],[Date]]),7)</f>
        <v>3</v>
      </c>
      <c r="Q4172" t="str">
        <f>CHOOSE(WEEKDAY(datos_siembra[[#This Row],[Date]],2),"L","M","X","J","V","S","D")</f>
        <v>J</v>
      </c>
      <c r="R4172">
        <f>WEEKNUM(datos_siembra[[#This Row],[Date]],2)-WEEKNUM(DATE(YEAR(datos_siembra[[#This Row],[Date]]),MONTH(datos_siembra[[#This Row],[Date]]),1))+1</f>
        <v>3</v>
      </c>
      <c r="S4172">
        <f>MONTH(datos_siembra[[#This Row],[Date]])</f>
        <v>10</v>
      </c>
      <c r="T4172" t="str" cm="1">
        <f t="array" ref="T4172">_xlfn.IFS(AND(N4172&lt;= 22, S4172=9), "SOWING",AND(N4172&lt;= 28, S4172=9), "COVERAGE",AND(N4172&lt;= 30, S4172=9), "FLUSH",AND(N4172&lt;= 11, S4172=10), "FLUSH",AND(N4172&lt;= 21, S4172=10), "PRODUCTION")</f>
        <v>PRODUCTION</v>
      </c>
      <c r="U4172">
        <f>HOUR(datos_siembra[[#This Row],[Hour]])</f>
        <v>15</v>
      </c>
      <c r="V4172" cm="1">
        <f t="array" ref="V4172">_xlfn.IFS(AND(N4172&lt;= 22, S4172=9), N4172-7,AND(N4172&lt;= 28, S4172=9), N4172-25,AND(N4172&lt;= 30, S4172=9), N4172-28,AND(N4172&lt;= 11, S4172=10), N4172+2,AND(N4172&lt;= 21, S4172=10), N4172-11)</f>
        <v>6</v>
      </c>
    </row>
    <row r="4173" spans="1:22" x14ac:dyDescent="0.35">
      <c r="A4173" s="4">
        <v>45582</v>
      </c>
      <c r="B4173" s="5">
        <v>0.65079861111111115</v>
      </c>
      <c r="C4173">
        <v>65.099999999999994</v>
      </c>
      <c r="D4173">
        <v>65.8</v>
      </c>
      <c r="E4173">
        <v>64.900000000000006</v>
      </c>
      <c r="F4173">
        <v>64.599999999999994</v>
      </c>
      <c r="G4173">
        <v>0</v>
      </c>
      <c r="H4173">
        <v>0</v>
      </c>
      <c r="I4173">
        <v>0</v>
      </c>
      <c r="J4173">
        <v>0</v>
      </c>
      <c r="K4173">
        <v>63.3</v>
      </c>
      <c r="L4173">
        <v>63.5</v>
      </c>
      <c r="M4173">
        <v>65.16</v>
      </c>
      <c r="N4173">
        <v>17</v>
      </c>
      <c r="O4173">
        <v>2</v>
      </c>
      <c r="P4173">
        <f>MOD(DAY(datos_siembra[[#This Row],[Date]]),7)</f>
        <v>3</v>
      </c>
      <c r="Q4173" t="str">
        <f>CHOOSE(WEEKDAY(datos_siembra[[#This Row],[Date]],2),"L","M","X","J","V","S","D")</f>
        <v>J</v>
      </c>
      <c r="R4173">
        <f>WEEKNUM(datos_siembra[[#This Row],[Date]],2)-WEEKNUM(DATE(YEAR(datos_siembra[[#This Row],[Date]]),MONTH(datos_siembra[[#This Row],[Date]]),1))+1</f>
        <v>3</v>
      </c>
      <c r="S4173">
        <f>MONTH(datos_siembra[[#This Row],[Date]])</f>
        <v>10</v>
      </c>
      <c r="T4173" t="str" cm="1">
        <f t="array" ref="T4173">_xlfn.IFS(AND(N4173&lt;= 22, S4173=9), "SOWING",AND(N4173&lt;= 28, S4173=9), "COVERAGE",AND(N4173&lt;= 30, S4173=9), "FLUSH",AND(N4173&lt;= 11, S4173=10), "FLUSH",AND(N4173&lt;= 21, S4173=10), "PRODUCTION")</f>
        <v>PRODUCTION</v>
      </c>
      <c r="U4173">
        <f>HOUR(datos_siembra[[#This Row],[Hour]])</f>
        <v>15</v>
      </c>
      <c r="V4173" cm="1">
        <f t="array" ref="V4173">_xlfn.IFS(AND(N4173&lt;= 22, S4173=9), N4173-7,AND(N4173&lt;= 28, S4173=9), N4173-25,AND(N4173&lt;= 30, S4173=9), N4173-28,AND(N4173&lt;= 11, S4173=10), N4173+2,AND(N4173&lt;= 21, S4173=10), N4173-11)</f>
        <v>6</v>
      </c>
    </row>
    <row r="4174" spans="1:22" x14ac:dyDescent="0.35">
      <c r="A4174" s="4">
        <v>45582</v>
      </c>
      <c r="B4174" s="5">
        <v>0.65774305555555557</v>
      </c>
      <c r="C4174">
        <v>64.900000000000006</v>
      </c>
      <c r="D4174">
        <v>65.8</v>
      </c>
      <c r="E4174">
        <v>65</v>
      </c>
      <c r="F4174">
        <v>64.7</v>
      </c>
      <c r="G4174">
        <v>0</v>
      </c>
      <c r="H4174">
        <v>0</v>
      </c>
      <c r="I4174">
        <v>0</v>
      </c>
      <c r="J4174">
        <v>0</v>
      </c>
      <c r="K4174">
        <v>63</v>
      </c>
      <c r="L4174">
        <v>63.4</v>
      </c>
      <c r="M4174">
        <v>65.19</v>
      </c>
      <c r="N4174">
        <v>17</v>
      </c>
      <c r="O4174">
        <v>2</v>
      </c>
      <c r="P4174">
        <f>MOD(DAY(datos_siembra[[#This Row],[Date]]),7)</f>
        <v>3</v>
      </c>
      <c r="Q4174" t="str">
        <f>CHOOSE(WEEKDAY(datos_siembra[[#This Row],[Date]],2),"L","M","X","J","V","S","D")</f>
        <v>J</v>
      </c>
      <c r="R4174">
        <f>WEEKNUM(datos_siembra[[#This Row],[Date]],2)-WEEKNUM(DATE(YEAR(datos_siembra[[#This Row],[Date]]),MONTH(datos_siembra[[#This Row],[Date]]),1))+1</f>
        <v>3</v>
      </c>
      <c r="S4174">
        <f>MONTH(datos_siembra[[#This Row],[Date]])</f>
        <v>10</v>
      </c>
      <c r="T4174" t="str" cm="1">
        <f t="array" ref="T4174">_xlfn.IFS(AND(N4174&lt;= 22, S4174=9), "SOWING",AND(N4174&lt;= 28, S4174=9), "COVERAGE",AND(N4174&lt;= 30, S4174=9), "FLUSH",AND(N4174&lt;= 11, S4174=10), "FLUSH",AND(N4174&lt;= 21, S4174=10), "PRODUCTION")</f>
        <v>PRODUCTION</v>
      </c>
      <c r="U4174">
        <f>HOUR(datos_siembra[[#This Row],[Hour]])</f>
        <v>15</v>
      </c>
      <c r="V4174" cm="1">
        <f t="array" ref="V4174">_xlfn.IFS(AND(N4174&lt;= 22, S4174=9), N4174-7,AND(N4174&lt;= 28, S4174=9), N4174-25,AND(N4174&lt;= 30, S4174=9), N4174-28,AND(N4174&lt;= 11, S4174=10), N4174+2,AND(N4174&lt;= 21, S4174=10), N4174-11)</f>
        <v>6</v>
      </c>
    </row>
    <row r="4175" spans="1:22" x14ac:dyDescent="0.35">
      <c r="A4175" s="4">
        <v>45582</v>
      </c>
      <c r="B4175" s="5">
        <v>0.66469907407407403</v>
      </c>
      <c r="C4175">
        <v>65</v>
      </c>
      <c r="D4175">
        <v>65.900000000000006</v>
      </c>
      <c r="E4175">
        <v>65</v>
      </c>
      <c r="F4175">
        <v>64.900000000000006</v>
      </c>
      <c r="G4175">
        <v>0</v>
      </c>
      <c r="H4175">
        <v>0</v>
      </c>
      <c r="I4175">
        <v>0</v>
      </c>
      <c r="J4175">
        <v>0</v>
      </c>
      <c r="K4175">
        <v>63</v>
      </c>
      <c r="L4175">
        <v>63.4</v>
      </c>
      <c r="M4175">
        <v>65.16</v>
      </c>
      <c r="N4175">
        <v>17</v>
      </c>
      <c r="O4175">
        <v>2</v>
      </c>
      <c r="P4175">
        <f>MOD(DAY(datos_siembra[[#This Row],[Date]]),7)</f>
        <v>3</v>
      </c>
      <c r="Q4175" t="str">
        <f>CHOOSE(WEEKDAY(datos_siembra[[#This Row],[Date]],2),"L","M","X","J","V","S","D")</f>
        <v>J</v>
      </c>
      <c r="R4175">
        <f>WEEKNUM(datos_siembra[[#This Row],[Date]],2)-WEEKNUM(DATE(YEAR(datos_siembra[[#This Row],[Date]]),MONTH(datos_siembra[[#This Row],[Date]]),1))+1</f>
        <v>3</v>
      </c>
      <c r="S4175">
        <f>MONTH(datos_siembra[[#This Row],[Date]])</f>
        <v>10</v>
      </c>
      <c r="T4175" t="str" cm="1">
        <f t="array" ref="T4175">_xlfn.IFS(AND(N4175&lt;= 22, S4175=9), "SOWING",AND(N4175&lt;= 28, S4175=9), "COVERAGE",AND(N4175&lt;= 30, S4175=9), "FLUSH",AND(N4175&lt;= 11, S4175=10), "FLUSH",AND(N4175&lt;= 21, S4175=10), "PRODUCTION")</f>
        <v>PRODUCTION</v>
      </c>
      <c r="U4175">
        <f>HOUR(datos_siembra[[#This Row],[Hour]])</f>
        <v>15</v>
      </c>
      <c r="V4175" cm="1">
        <f t="array" ref="V4175">_xlfn.IFS(AND(N4175&lt;= 22, S4175=9), N4175-7,AND(N4175&lt;= 28, S4175=9), N4175-25,AND(N4175&lt;= 30, S4175=9), N4175-28,AND(N4175&lt;= 11, S4175=10), N4175+2,AND(N4175&lt;= 21, S4175=10), N4175-11)</f>
        <v>6</v>
      </c>
    </row>
    <row r="4176" spans="1:22" x14ac:dyDescent="0.35">
      <c r="A4176" s="4">
        <v>45582</v>
      </c>
      <c r="B4176" s="5">
        <v>0.67164351851851856</v>
      </c>
      <c r="C4176">
        <v>65.099999999999994</v>
      </c>
      <c r="D4176">
        <v>65.8</v>
      </c>
      <c r="E4176">
        <v>65</v>
      </c>
      <c r="F4176">
        <v>64.7</v>
      </c>
      <c r="G4176">
        <v>0</v>
      </c>
      <c r="H4176">
        <v>0</v>
      </c>
      <c r="I4176">
        <v>0</v>
      </c>
      <c r="J4176">
        <v>0</v>
      </c>
      <c r="K4176">
        <v>62.8</v>
      </c>
      <c r="L4176">
        <v>63.2</v>
      </c>
      <c r="M4176">
        <v>65.22</v>
      </c>
      <c r="N4176">
        <v>17</v>
      </c>
      <c r="O4176">
        <v>2</v>
      </c>
      <c r="P4176">
        <f>MOD(DAY(datos_siembra[[#This Row],[Date]]),7)</f>
        <v>3</v>
      </c>
      <c r="Q4176" t="str">
        <f>CHOOSE(WEEKDAY(datos_siembra[[#This Row],[Date]],2),"L","M","X","J","V","S","D")</f>
        <v>J</v>
      </c>
      <c r="R4176">
        <f>WEEKNUM(datos_siembra[[#This Row],[Date]],2)-WEEKNUM(DATE(YEAR(datos_siembra[[#This Row],[Date]]),MONTH(datos_siembra[[#This Row],[Date]]),1))+1</f>
        <v>3</v>
      </c>
      <c r="S4176">
        <f>MONTH(datos_siembra[[#This Row],[Date]])</f>
        <v>10</v>
      </c>
      <c r="T4176" t="str" cm="1">
        <f t="array" ref="T4176">_xlfn.IFS(AND(N4176&lt;= 22, S4176=9), "SOWING",AND(N4176&lt;= 28, S4176=9), "COVERAGE",AND(N4176&lt;= 30, S4176=9), "FLUSH",AND(N4176&lt;= 11, S4176=10), "FLUSH",AND(N4176&lt;= 21, S4176=10), "PRODUCTION")</f>
        <v>PRODUCTION</v>
      </c>
      <c r="U4176">
        <f>HOUR(datos_siembra[[#This Row],[Hour]])</f>
        <v>16</v>
      </c>
      <c r="V4176" cm="1">
        <f t="array" ref="V4176">_xlfn.IFS(AND(N4176&lt;= 22, S4176=9), N4176-7,AND(N4176&lt;= 28, S4176=9), N4176-25,AND(N4176&lt;= 30, S4176=9), N4176-28,AND(N4176&lt;= 11, S4176=10), N4176+2,AND(N4176&lt;= 21, S4176=10), N4176-11)</f>
        <v>6</v>
      </c>
    </row>
    <row r="4177" spans="1:22" x14ac:dyDescent="0.35">
      <c r="A4177" s="4">
        <v>45582</v>
      </c>
      <c r="B4177" s="5">
        <v>0.67858796296296298</v>
      </c>
      <c r="C4177">
        <v>65.099999999999994</v>
      </c>
      <c r="D4177">
        <v>65.900000000000006</v>
      </c>
      <c r="E4177">
        <v>64.900000000000006</v>
      </c>
      <c r="F4177">
        <v>65</v>
      </c>
      <c r="G4177">
        <v>0</v>
      </c>
      <c r="H4177">
        <v>0</v>
      </c>
      <c r="I4177">
        <v>0</v>
      </c>
      <c r="J4177">
        <v>0</v>
      </c>
      <c r="K4177">
        <v>62.9</v>
      </c>
      <c r="L4177">
        <v>63.2</v>
      </c>
      <c r="M4177">
        <v>65.19</v>
      </c>
      <c r="N4177">
        <v>17</v>
      </c>
      <c r="O4177">
        <v>2</v>
      </c>
      <c r="P4177">
        <f>MOD(DAY(datos_siembra[[#This Row],[Date]]),7)</f>
        <v>3</v>
      </c>
      <c r="Q4177" t="str">
        <f>CHOOSE(WEEKDAY(datos_siembra[[#This Row],[Date]],2),"L","M","X","J","V","S","D")</f>
        <v>J</v>
      </c>
      <c r="R4177">
        <f>WEEKNUM(datos_siembra[[#This Row],[Date]],2)-WEEKNUM(DATE(YEAR(datos_siembra[[#This Row],[Date]]),MONTH(datos_siembra[[#This Row],[Date]]),1))+1</f>
        <v>3</v>
      </c>
      <c r="S4177">
        <f>MONTH(datos_siembra[[#This Row],[Date]])</f>
        <v>10</v>
      </c>
      <c r="T4177" t="str" cm="1">
        <f t="array" ref="T4177">_xlfn.IFS(AND(N4177&lt;= 22, S4177=9), "SOWING",AND(N4177&lt;= 28, S4177=9), "COVERAGE",AND(N4177&lt;= 30, S4177=9), "FLUSH",AND(N4177&lt;= 11, S4177=10), "FLUSH",AND(N4177&lt;= 21, S4177=10), "PRODUCTION")</f>
        <v>PRODUCTION</v>
      </c>
      <c r="U4177">
        <f>HOUR(datos_siembra[[#This Row],[Hour]])</f>
        <v>16</v>
      </c>
      <c r="V4177" cm="1">
        <f t="array" ref="V4177">_xlfn.IFS(AND(N4177&lt;= 22, S4177=9), N4177-7,AND(N4177&lt;= 28, S4177=9), N4177-25,AND(N4177&lt;= 30, S4177=9), N4177-28,AND(N4177&lt;= 11, S4177=10), N4177+2,AND(N4177&lt;= 21, S4177=10), N4177-11)</f>
        <v>6</v>
      </c>
    </row>
    <row r="4178" spans="1:22" x14ac:dyDescent="0.35">
      <c r="A4178" s="4">
        <v>45582</v>
      </c>
      <c r="B4178" s="5">
        <v>0.68554398148148143</v>
      </c>
      <c r="C4178">
        <v>65</v>
      </c>
      <c r="D4178">
        <v>66</v>
      </c>
      <c r="E4178">
        <v>64.900000000000006</v>
      </c>
      <c r="F4178">
        <v>64.900000000000006</v>
      </c>
      <c r="G4178">
        <v>0</v>
      </c>
      <c r="H4178">
        <v>0</v>
      </c>
      <c r="I4178">
        <v>0</v>
      </c>
      <c r="J4178">
        <v>0</v>
      </c>
      <c r="K4178">
        <v>62.9</v>
      </c>
      <c r="L4178">
        <v>63.2</v>
      </c>
      <c r="M4178">
        <v>65.22</v>
      </c>
      <c r="N4178">
        <v>17</v>
      </c>
      <c r="O4178">
        <v>2</v>
      </c>
      <c r="P4178">
        <f>MOD(DAY(datos_siembra[[#This Row],[Date]]),7)</f>
        <v>3</v>
      </c>
      <c r="Q4178" t="str">
        <f>CHOOSE(WEEKDAY(datos_siembra[[#This Row],[Date]],2),"L","M","X","J","V","S","D")</f>
        <v>J</v>
      </c>
      <c r="R4178">
        <f>WEEKNUM(datos_siembra[[#This Row],[Date]],2)-WEEKNUM(DATE(YEAR(datos_siembra[[#This Row],[Date]]),MONTH(datos_siembra[[#This Row],[Date]]),1))+1</f>
        <v>3</v>
      </c>
      <c r="S4178">
        <f>MONTH(datos_siembra[[#This Row],[Date]])</f>
        <v>10</v>
      </c>
      <c r="T4178" t="str" cm="1">
        <f t="array" ref="T4178">_xlfn.IFS(AND(N4178&lt;= 22, S4178=9), "SOWING",AND(N4178&lt;= 28, S4178=9), "COVERAGE",AND(N4178&lt;= 30, S4178=9), "FLUSH",AND(N4178&lt;= 11, S4178=10), "FLUSH",AND(N4178&lt;= 21, S4178=10), "PRODUCTION")</f>
        <v>PRODUCTION</v>
      </c>
      <c r="U4178">
        <f>HOUR(datos_siembra[[#This Row],[Hour]])</f>
        <v>16</v>
      </c>
      <c r="V4178" cm="1">
        <f t="array" ref="V4178">_xlfn.IFS(AND(N4178&lt;= 22, S4178=9), N4178-7,AND(N4178&lt;= 28, S4178=9), N4178-25,AND(N4178&lt;= 30, S4178=9), N4178-28,AND(N4178&lt;= 11, S4178=10), N4178+2,AND(N4178&lt;= 21, S4178=10), N4178-11)</f>
        <v>6</v>
      </c>
    </row>
    <row r="4179" spans="1:22" x14ac:dyDescent="0.35">
      <c r="A4179" s="4">
        <v>45582</v>
      </c>
      <c r="B4179" s="5">
        <v>0.69248842592592597</v>
      </c>
      <c r="C4179">
        <v>65.099999999999994</v>
      </c>
      <c r="D4179">
        <v>66</v>
      </c>
      <c r="E4179">
        <v>64.900000000000006</v>
      </c>
      <c r="F4179">
        <v>65</v>
      </c>
      <c r="G4179">
        <v>0</v>
      </c>
      <c r="H4179">
        <v>0</v>
      </c>
      <c r="I4179">
        <v>0</v>
      </c>
      <c r="J4179">
        <v>0</v>
      </c>
      <c r="K4179">
        <v>62.9</v>
      </c>
      <c r="L4179">
        <v>63.3</v>
      </c>
      <c r="M4179">
        <v>65.239999999999995</v>
      </c>
      <c r="N4179">
        <v>17</v>
      </c>
      <c r="O4179">
        <v>2</v>
      </c>
      <c r="P4179">
        <f>MOD(DAY(datos_siembra[[#This Row],[Date]]),7)</f>
        <v>3</v>
      </c>
      <c r="Q4179" t="str">
        <f>CHOOSE(WEEKDAY(datos_siembra[[#This Row],[Date]],2),"L","M","X","J","V","S","D")</f>
        <v>J</v>
      </c>
      <c r="R4179">
        <f>WEEKNUM(datos_siembra[[#This Row],[Date]],2)-WEEKNUM(DATE(YEAR(datos_siembra[[#This Row],[Date]]),MONTH(datos_siembra[[#This Row],[Date]]),1))+1</f>
        <v>3</v>
      </c>
      <c r="S4179">
        <f>MONTH(datos_siembra[[#This Row],[Date]])</f>
        <v>10</v>
      </c>
      <c r="T4179" t="str" cm="1">
        <f t="array" ref="T4179">_xlfn.IFS(AND(N4179&lt;= 22, S4179=9), "SOWING",AND(N4179&lt;= 28, S4179=9), "COVERAGE",AND(N4179&lt;= 30, S4179=9), "FLUSH",AND(N4179&lt;= 11, S4179=10), "FLUSH",AND(N4179&lt;= 21, S4179=10), "PRODUCTION")</f>
        <v>PRODUCTION</v>
      </c>
      <c r="U4179">
        <f>HOUR(datos_siembra[[#This Row],[Hour]])</f>
        <v>16</v>
      </c>
      <c r="V4179" cm="1">
        <f t="array" ref="V4179">_xlfn.IFS(AND(N4179&lt;= 22, S4179=9), N4179-7,AND(N4179&lt;= 28, S4179=9), N4179-25,AND(N4179&lt;= 30, S4179=9), N4179-28,AND(N4179&lt;= 11, S4179=10), N4179+2,AND(N4179&lt;= 21, S4179=10), N4179-11)</f>
        <v>6</v>
      </c>
    </row>
    <row r="4180" spans="1:22" x14ac:dyDescent="0.35">
      <c r="A4180" s="4">
        <v>45582</v>
      </c>
      <c r="B4180" s="5">
        <v>0.69943287037037039</v>
      </c>
      <c r="C4180">
        <v>65.2</v>
      </c>
      <c r="D4180">
        <v>66.099999999999994</v>
      </c>
      <c r="E4180">
        <v>65</v>
      </c>
      <c r="F4180">
        <v>65</v>
      </c>
      <c r="G4180">
        <v>0</v>
      </c>
      <c r="H4180">
        <v>0</v>
      </c>
      <c r="I4180">
        <v>0</v>
      </c>
      <c r="J4180">
        <v>0</v>
      </c>
      <c r="K4180">
        <v>62.9</v>
      </c>
      <c r="L4180">
        <v>63.2</v>
      </c>
      <c r="M4180">
        <v>65.19</v>
      </c>
      <c r="N4180">
        <v>17</v>
      </c>
      <c r="O4180">
        <v>2</v>
      </c>
      <c r="P4180">
        <f>MOD(DAY(datos_siembra[[#This Row],[Date]]),7)</f>
        <v>3</v>
      </c>
      <c r="Q4180" t="str">
        <f>CHOOSE(WEEKDAY(datos_siembra[[#This Row],[Date]],2),"L","M","X","J","V","S","D")</f>
        <v>J</v>
      </c>
      <c r="R4180">
        <f>WEEKNUM(datos_siembra[[#This Row],[Date]],2)-WEEKNUM(DATE(YEAR(datos_siembra[[#This Row],[Date]]),MONTH(datos_siembra[[#This Row],[Date]]),1))+1</f>
        <v>3</v>
      </c>
      <c r="S4180">
        <f>MONTH(datos_siembra[[#This Row],[Date]])</f>
        <v>10</v>
      </c>
      <c r="T4180" t="str" cm="1">
        <f t="array" ref="T4180">_xlfn.IFS(AND(N4180&lt;= 22, S4180=9), "SOWING",AND(N4180&lt;= 28, S4180=9), "COVERAGE",AND(N4180&lt;= 30, S4180=9), "FLUSH",AND(N4180&lt;= 11, S4180=10), "FLUSH",AND(N4180&lt;= 21, S4180=10), "PRODUCTION")</f>
        <v>PRODUCTION</v>
      </c>
      <c r="U4180">
        <f>HOUR(datos_siembra[[#This Row],[Hour]])</f>
        <v>16</v>
      </c>
      <c r="V4180" cm="1">
        <f t="array" ref="V4180">_xlfn.IFS(AND(N4180&lt;= 22, S4180=9), N4180-7,AND(N4180&lt;= 28, S4180=9), N4180-25,AND(N4180&lt;= 30, S4180=9), N4180-28,AND(N4180&lt;= 11, S4180=10), N4180+2,AND(N4180&lt;= 21, S4180=10), N4180-11)</f>
        <v>6</v>
      </c>
    </row>
    <row r="4181" spans="1:22" x14ac:dyDescent="0.35">
      <c r="A4181" s="4">
        <v>45582</v>
      </c>
      <c r="B4181" s="5">
        <v>0.70637731481481481</v>
      </c>
      <c r="C4181">
        <v>65.099999999999994</v>
      </c>
      <c r="D4181">
        <v>65.8</v>
      </c>
      <c r="E4181">
        <v>65.099999999999994</v>
      </c>
      <c r="F4181">
        <v>65</v>
      </c>
      <c r="G4181">
        <v>0</v>
      </c>
      <c r="H4181">
        <v>0</v>
      </c>
      <c r="I4181">
        <v>0</v>
      </c>
      <c r="J4181">
        <v>0</v>
      </c>
      <c r="K4181">
        <v>62.9</v>
      </c>
      <c r="L4181">
        <v>63.2</v>
      </c>
      <c r="M4181">
        <v>65.22</v>
      </c>
      <c r="N4181">
        <v>17</v>
      </c>
      <c r="O4181">
        <v>2</v>
      </c>
      <c r="P4181">
        <f>MOD(DAY(datos_siembra[[#This Row],[Date]]),7)</f>
        <v>3</v>
      </c>
      <c r="Q4181" t="str">
        <f>CHOOSE(WEEKDAY(datos_siembra[[#This Row],[Date]],2),"L","M","X","J","V","S","D")</f>
        <v>J</v>
      </c>
      <c r="R4181">
        <f>WEEKNUM(datos_siembra[[#This Row],[Date]],2)-WEEKNUM(DATE(YEAR(datos_siembra[[#This Row],[Date]]),MONTH(datos_siembra[[#This Row],[Date]]),1))+1</f>
        <v>3</v>
      </c>
      <c r="S4181">
        <f>MONTH(datos_siembra[[#This Row],[Date]])</f>
        <v>10</v>
      </c>
      <c r="T4181" t="str" cm="1">
        <f t="array" ref="T4181">_xlfn.IFS(AND(N4181&lt;= 22, S4181=9), "SOWING",AND(N4181&lt;= 28, S4181=9), "COVERAGE",AND(N4181&lt;= 30, S4181=9), "FLUSH",AND(N4181&lt;= 11, S4181=10), "FLUSH",AND(N4181&lt;= 21, S4181=10), "PRODUCTION")</f>
        <v>PRODUCTION</v>
      </c>
      <c r="U4181">
        <f>HOUR(datos_siembra[[#This Row],[Hour]])</f>
        <v>16</v>
      </c>
      <c r="V4181" cm="1">
        <f t="array" ref="V4181">_xlfn.IFS(AND(N4181&lt;= 22, S4181=9), N4181-7,AND(N4181&lt;= 28, S4181=9), N4181-25,AND(N4181&lt;= 30, S4181=9), N4181-28,AND(N4181&lt;= 11, S4181=10), N4181+2,AND(N4181&lt;= 21, S4181=10), N4181-11)</f>
        <v>6</v>
      </c>
    </row>
    <row r="4182" spans="1:22" x14ac:dyDescent="0.35">
      <c r="A4182" s="4">
        <v>45582</v>
      </c>
      <c r="B4182" s="5">
        <v>0.71333333333333337</v>
      </c>
      <c r="C4182">
        <v>65.099999999999994</v>
      </c>
      <c r="D4182">
        <v>65.900000000000006</v>
      </c>
      <c r="E4182">
        <v>65.099999999999994</v>
      </c>
      <c r="F4182">
        <v>65</v>
      </c>
      <c r="G4182">
        <v>0</v>
      </c>
      <c r="H4182">
        <v>0</v>
      </c>
      <c r="I4182">
        <v>0</v>
      </c>
      <c r="J4182">
        <v>0</v>
      </c>
      <c r="K4182">
        <v>62.8</v>
      </c>
      <c r="L4182">
        <v>63.2</v>
      </c>
      <c r="M4182">
        <v>65.27</v>
      </c>
      <c r="N4182">
        <v>17</v>
      </c>
      <c r="O4182">
        <v>2</v>
      </c>
      <c r="P4182">
        <f>MOD(DAY(datos_siembra[[#This Row],[Date]]),7)</f>
        <v>3</v>
      </c>
      <c r="Q4182" t="str">
        <f>CHOOSE(WEEKDAY(datos_siembra[[#This Row],[Date]],2),"L","M","X","J","V","S","D")</f>
        <v>J</v>
      </c>
      <c r="R4182">
        <f>WEEKNUM(datos_siembra[[#This Row],[Date]],2)-WEEKNUM(DATE(YEAR(datos_siembra[[#This Row],[Date]]),MONTH(datos_siembra[[#This Row],[Date]]),1))+1</f>
        <v>3</v>
      </c>
      <c r="S4182">
        <f>MONTH(datos_siembra[[#This Row],[Date]])</f>
        <v>10</v>
      </c>
      <c r="T4182" t="str" cm="1">
        <f t="array" ref="T4182">_xlfn.IFS(AND(N4182&lt;= 22, S4182=9), "SOWING",AND(N4182&lt;= 28, S4182=9), "COVERAGE",AND(N4182&lt;= 30, S4182=9), "FLUSH",AND(N4182&lt;= 11, S4182=10), "FLUSH",AND(N4182&lt;= 21, S4182=10), "PRODUCTION")</f>
        <v>PRODUCTION</v>
      </c>
      <c r="U4182">
        <f>HOUR(datos_siembra[[#This Row],[Hour]])</f>
        <v>17</v>
      </c>
      <c r="V4182" cm="1">
        <f t="array" ref="V4182">_xlfn.IFS(AND(N4182&lt;= 22, S4182=9), N4182-7,AND(N4182&lt;= 28, S4182=9), N4182-25,AND(N4182&lt;= 30, S4182=9), N4182-28,AND(N4182&lt;= 11, S4182=10), N4182+2,AND(N4182&lt;= 21, S4182=10), N4182-11)</f>
        <v>6</v>
      </c>
    </row>
    <row r="4183" spans="1:22" x14ac:dyDescent="0.35">
      <c r="A4183" s="4">
        <v>45582</v>
      </c>
      <c r="B4183" s="5">
        <v>0.72027777777777779</v>
      </c>
      <c r="C4183">
        <v>65.099999999999994</v>
      </c>
      <c r="D4183">
        <v>66.099999999999994</v>
      </c>
      <c r="E4183">
        <v>65.099999999999994</v>
      </c>
      <c r="F4183">
        <v>65.099999999999994</v>
      </c>
      <c r="G4183">
        <v>0</v>
      </c>
      <c r="H4183">
        <v>0</v>
      </c>
      <c r="I4183">
        <v>0</v>
      </c>
      <c r="J4183">
        <v>0</v>
      </c>
      <c r="K4183">
        <v>62.9</v>
      </c>
      <c r="L4183">
        <v>63.2</v>
      </c>
      <c r="M4183">
        <v>65.239999999999995</v>
      </c>
      <c r="N4183">
        <v>17</v>
      </c>
      <c r="O4183">
        <v>2</v>
      </c>
      <c r="P4183">
        <f>MOD(DAY(datos_siembra[[#This Row],[Date]]),7)</f>
        <v>3</v>
      </c>
      <c r="Q4183" t="str">
        <f>CHOOSE(WEEKDAY(datos_siembra[[#This Row],[Date]],2),"L","M","X","J","V","S","D")</f>
        <v>J</v>
      </c>
      <c r="R4183">
        <f>WEEKNUM(datos_siembra[[#This Row],[Date]],2)-WEEKNUM(DATE(YEAR(datos_siembra[[#This Row],[Date]]),MONTH(datos_siembra[[#This Row],[Date]]),1))+1</f>
        <v>3</v>
      </c>
      <c r="S4183">
        <f>MONTH(datos_siembra[[#This Row],[Date]])</f>
        <v>10</v>
      </c>
      <c r="T4183" t="str" cm="1">
        <f t="array" ref="T4183">_xlfn.IFS(AND(N4183&lt;= 22, S4183=9), "SOWING",AND(N4183&lt;= 28, S4183=9), "COVERAGE",AND(N4183&lt;= 30, S4183=9), "FLUSH",AND(N4183&lt;= 11, S4183=10), "FLUSH",AND(N4183&lt;= 21, S4183=10), "PRODUCTION")</f>
        <v>PRODUCTION</v>
      </c>
      <c r="U4183">
        <f>HOUR(datos_siembra[[#This Row],[Hour]])</f>
        <v>17</v>
      </c>
      <c r="V4183" cm="1">
        <f t="array" ref="V4183">_xlfn.IFS(AND(N4183&lt;= 22, S4183=9), N4183-7,AND(N4183&lt;= 28, S4183=9), N4183-25,AND(N4183&lt;= 30, S4183=9), N4183-28,AND(N4183&lt;= 11, S4183=10), N4183+2,AND(N4183&lt;= 21, S4183=10), N4183-11)</f>
        <v>6</v>
      </c>
    </row>
    <row r="4184" spans="1:22" x14ac:dyDescent="0.35">
      <c r="A4184" s="4">
        <v>45582</v>
      </c>
      <c r="B4184" s="5">
        <v>0.72722222222222221</v>
      </c>
      <c r="C4184">
        <v>65.099999999999994</v>
      </c>
      <c r="D4184">
        <v>65.900000000000006</v>
      </c>
      <c r="E4184">
        <v>65</v>
      </c>
      <c r="F4184">
        <v>65</v>
      </c>
      <c r="G4184">
        <v>0</v>
      </c>
      <c r="H4184">
        <v>0</v>
      </c>
      <c r="I4184">
        <v>0</v>
      </c>
      <c r="J4184">
        <v>0</v>
      </c>
      <c r="K4184">
        <v>62.7</v>
      </c>
      <c r="L4184">
        <v>63</v>
      </c>
      <c r="M4184">
        <v>65.22</v>
      </c>
      <c r="N4184">
        <v>17</v>
      </c>
      <c r="O4184">
        <v>2</v>
      </c>
      <c r="P4184">
        <f>MOD(DAY(datos_siembra[[#This Row],[Date]]),7)</f>
        <v>3</v>
      </c>
      <c r="Q4184" t="str">
        <f>CHOOSE(WEEKDAY(datos_siembra[[#This Row],[Date]],2),"L","M","X","J","V","S","D")</f>
        <v>J</v>
      </c>
      <c r="R4184">
        <f>WEEKNUM(datos_siembra[[#This Row],[Date]],2)-WEEKNUM(DATE(YEAR(datos_siembra[[#This Row],[Date]]),MONTH(datos_siembra[[#This Row],[Date]]),1))+1</f>
        <v>3</v>
      </c>
      <c r="S4184">
        <f>MONTH(datos_siembra[[#This Row],[Date]])</f>
        <v>10</v>
      </c>
      <c r="T4184" t="str" cm="1">
        <f t="array" ref="T4184">_xlfn.IFS(AND(N4184&lt;= 22, S4184=9), "SOWING",AND(N4184&lt;= 28, S4184=9), "COVERAGE",AND(N4184&lt;= 30, S4184=9), "FLUSH",AND(N4184&lt;= 11, S4184=10), "FLUSH",AND(N4184&lt;= 21, S4184=10), "PRODUCTION")</f>
        <v>PRODUCTION</v>
      </c>
      <c r="U4184">
        <f>HOUR(datos_siembra[[#This Row],[Hour]])</f>
        <v>17</v>
      </c>
      <c r="V4184" cm="1">
        <f t="array" ref="V4184">_xlfn.IFS(AND(N4184&lt;= 22, S4184=9), N4184-7,AND(N4184&lt;= 28, S4184=9), N4184-25,AND(N4184&lt;= 30, S4184=9), N4184-28,AND(N4184&lt;= 11, S4184=10), N4184+2,AND(N4184&lt;= 21, S4184=10), N4184-11)</f>
        <v>6</v>
      </c>
    </row>
    <row r="4185" spans="1:22" x14ac:dyDescent="0.35">
      <c r="A4185" s="4">
        <v>45582</v>
      </c>
      <c r="B4185" s="5">
        <v>0.73417824074074078</v>
      </c>
      <c r="C4185">
        <v>65.099999999999994</v>
      </c>
      <c r="D4185">
        <v>65.900000000000006</v>
      </c>
      <c r="E4185">
        <v>65.099999999999994</v>
      </c>
      <c r="F4185">
        <v>65.2</v>
      </c>
      <c r="G4185">
        <v>0</v>
      </c>
      <c r="H4185">
        <v>0</v>
      </c>
      <c r="I4185">
        <v>0</v>
      </c>
      <c r="J4185">
        <v>0</v>
      </c>
      <c r="K4185">
        <v>62.8</v>
      </c>
      <c r="L4185">
        <v>63</v>
      </c>
      <c r="M4185">
        <v>65.22</v>
      </c>
      <c r="N4185">
        <v>17</v>
      </c>
      <c r="O4185">
        <v>2</v>
      </c>
      <c r="P4185">
        <f>MOD(DAY(datos_siembra[[#This Row],[Date]]),7)</f>
        <v>3</v>
      </c>
      <c r="Q4185" t="str">
        <f>CHOOSE(WEEKDAY(datos_siembra[[#This Row],[Date]],2),"L","M","X","J","V","S","D")</f>
        <v>J</v>
      </c>
      <c r="R4185">
        <f>WEEKNUM(datos_siembra[[#This Row],[Date]],2)-WEEKNUM(DATE(YEAR(datos_siembra[[#This Row],[Date]]),MONTH(datos_siembra[[#This Row],[Date]]),1))+1</f>
        <v>3</v>
      </c>
      <c r="S4185">
        <f>MONTH(datos_siembra[[#This Row],[Date]])</f>
        <v>10</v>
      </c>
      <c r="T4185" t="str" cm="1">
        <f t="array" ref="T4185">_xlfn.IFS(AND(N4185&lt;= 22, S4185=9), "SOWING",AND(N4185&lt;= 28, S4185=9), "COVERAGE",AND(N4185&lt;= 30, S4185=9), "FLUSH",AND(N4185&lt;= 11, S4185=10), "FLUSH",AND(N4185&lt;= 21, S4185=10), "PRODUCTION")</f>
        <v>PRODUCTION</v>
      </c>
      <c r="U4185">
        <f>HOUR(datos_siembra[[#This Row],[Hour]])</f>
        <v>17</v>
      </c>
      <c r="V4185" cm="1">
        <f t="array" ref="V4185">_xlfn.IFS(AND(N4185&lt;= 22, S4185=9), N4185-7,AND(N4185&lt;= 28, S4185=9), N4185-25,AND(N4185&lt;= 30, S4185=9), N4185-28,AND(N4185&lt;= 11, S4185=10), N4185+2,AND(N4185&lt;= 21, S4185=10), N4185-11)</f>
        <v>6</v>
      </c>
    </row>
    <row r="4186" spans="1:22" x14ac:dyDescent="0.35">
      <c r="A4186" s="4">
        <v>45582</v>
      </c>
      <c r="B4186" s="5">
        <v>0.7411226851851852</v>
      </c>
      <c r="C4186">
        <v>65.099999999999994</v>
      </c>
      <c r="D4186">
        <v>66.099999999999994</v>
      </c>
      <c r="E4186">
        <v>65.2</v>
      </c>
      <c r="F4186">
        <v>65</v>
      </c>
      <c r="G4186">
        <v>0</v>
      </c>
      <c r="H4186">
        <v>0</v>
      </c>
      <c r="I4186">
        <v>0</v>
      </c>
      <c r="J4186">
        <v>0</v>
      </c>
      <c r="K4186">
        <v>62.6</v>
      </c>
      <c r="L4186">
        <v>62.8</v>
      </c>
      <c r="M4186">
        <v>65.33</v>
      </c>
      <c r="N4186">
        <v>17</v>
      </c>
      <c r="O4186">
        <v>2</v>
      </c>
      <c r="P4186">
        <f>MOD(DAY(datos_siembra[[#This Row],[Date]]),7)</f>
        <v>3</v>
      </c>
      <c r="Q4186" t="str">
        <f>CHOOSE(WEEKDAY(datos_siembra[[#This Row],[Date]],2),"L","M","X","J","V","S","D")</f>
        <v>J</v>
      </c>
      <c r="R4186">
        <f>WEEKNUM(datos_siembra[[#This Row],[Date]],2)-WEEKNUM(DATE(YEAR(datos_siembra[[#This Row],[Date]]),MONTH(datos_siembra[[#This Row],[Date]]),1))+1</f>
        <v>3</v>
      </c>
      <c r="S4186">
        <f>MONTH(datos_siembra[[#This Row],[Date]])</f>
        <v>10</v>
      </c>
      <c r="T4186" t="str" cm="1">
        <f t="array" ref="T4186">_xlfn.IFS(AND(N4186&lt;= 22, S4186=9), "SOWING",AND(N4186&lt;= 28, S4186=9), "COVERAGE",AND(N4186&lt;= 30, S4186=9), "FLUSH",AND(N4186&lt;= 11, S4186=10), "FLUSH",AND(N4186&lt;= 21, S4186=10), "PRODUCTION")</f>
        <v>PRODUCTION</v>
      </c>
      <c r="U4186">
        <f>HOUR(datos_siembra[[#This Row],[Hour]])</f>
        <v>17</v>
      </c>
      <c r="V4186" cm="1">
        <f t="array" ref="V4186">_xlfn.IFS(AND(N4186&lt;= 22, S4186=9), N4186-7,AND(N4186&lt;= 28, S4186=9), N4186-25,AND(N4186&lt;= 30, S4186=9), N4186-28,AND(N4186&lt;= 11, S4186=10), N4186+2,AND(N4186&lt;= 21, S4186=10), N4186-11)</f>
        <v>6</v>
      </c>
    </row>
    <row r="4187" spans="1:22" x14ac:dyDescent="0.35">
      <c r="A4187" s="4">
        <v>45582</v>
      </c>
      <c r="B4187" s="5">
        <v>0.74806712962962962</v>
      </c>
      <c r="C4187">
        <v>65.099999999999994</v>
      </c>
      <c r="D4187">
        <v>65.900000000000006</v>
      </c>
      <c r="E4187">
        <v>64.900000000000006</v>
      </c>
      <c r="F4187">
        <v>65</v>
      </c>
      <c r="G4187">
        <v>0</v>
      </c>
      <c r="H4187">
        <v>0</v>
      </c>
      <c r="I4187">
        <v>0</v>
      </c>
      <c r="J4187">
        <v>0</v>
      </c>
      <c r="K4187">
        <v>62.7</v>
      </c>
      <c r="L4187">
        <v>62.9</v>
      </c>
      <c r="M4187">
        <v>65.3</v>
      </c>
      <c r="N4187">
        <v>17</v>
      </c>
      <c r="O4187">
        <v>2</v>
      </c>
      <c r="P4187">
        <f>MOD(DAY(datos_siembra[[#This Row],[Date]]),7)</f>
        <v>3</v>
      </c>
      <c r="Q4187" t="str">
        <f>CHOOSE(WEEKDAY(datos_siembra[[#This Row],[Date]],2),"L","M","X","J","V","S","D")</f>
        <v>J</v>
      </c>
      <c r="R4187">
        <f>WEEKNUM(datos_siembra[[#This Row],[Date]],2)-WEEKNUM(DATE(YEAR(datos_siembra[[#This Row],[Date]]),MONTH(datos_siembra[[#This Row],[Date]]),1))+1</f>
        <v>3</v>
      </c>
      <c r="S4187">
        <f>MONTH(datos_siembra[[#This Row],[Date]])</f>
        <v>10</v>
      </c>
      <c r="T4187" t="str" cm="1">
        <f t="array" ref="T4187">_xlfn.IFS(AND(N4187&lt;= 22, S4187=9), "SOWING",AND(N4187&lt;= 28, S4187=9), "COVERAGE",AND(N4187&lt;= 30, S4187=9), "FLUSH",AND(N4187&lt;= 11, S4187=10), "FLUSH",AND(N4187&lt;= 21, S4187=10), "PRODUCTION")</f>
        <v>PRODUCTION</v>
      </c>
      <c r="U4187">
        <f>HOUR(datos_siembra[[#This Row],[Hour]])</f>
        <v>17</v>
      </c>
      <c r="V4187" cm="1">
        <f t="array" ref="V4187">_xlfn.IFS(AND(N4187&lt;= 22, S4187=9), N4187-7,AND(N4187&lt;= 28, S4187=9), N4187-25,AND(N4187&lt;= 30, S4187=9), N4187-28,AND(N4187&lt;= 11, S4187=10), N4187+2,AND(N4187&lt;= 21, S4187=10), N4187-11)</f>
        <v>6</v>
      </c>
    </row>
    <row r="4188" spans="1:22" x14ac:dyDescent="0.35">
      <c r="A4188" s="4">
        <v>45582</v>
      </c>
      <c r="B4188" s="5">
        <v>0.75501157407407404</v>
      </c>
      <c r="C4188">
        <v>65.099999999999994</v>
      </c>
      <c r="D4188">
        <v>66</v>
      </c>
      <c r="E4188">
        <v>65.2</v>
      </c>
      <c r="F4188">
        <v>65.2</v>
      </c>
      <c r="G4188">
        <v>0</v>
      </c>
      <c r="H4188">
        <v>0</v>
      </c>
      <c r="I4188">
        <v>0</v>
      </c>
      <c r="J4188">
        <v>0</v>
      </c>
      <c r="K4188">
        <v>62.7</v>
      </c>
      <c r="L4188">
        <v>62.8</v>
      </c>
      <c r="M4188">
        <v>65.3</v>
      </c>
      <c r="N4188">
        <v>17</v>
      </c>
      <c r="O4188">
        <v>2</v>
      </c>
      <c r="P4188">
        <f>MOD(DAY(datos_siembra[[#This Row],[Date]]),7)</f>
        <v>3</v>
      </c>
      <c r="Q4188" t="str">
        <f>CHOOSE(WEEKDAY(datos_siembra[[#This Row],[Date]],2),"L","M","X","J","V","S","D")</f>
        <v>J</v>
      </c>
      <c r="R4188">
        <f>WEEKNUM(datos_siembra[[#This Row],[Date]],2)-WEEKNUM(DATE(YEAR(datos_siembra[[#This Row],[Date]]),MONTH(datos_siembra[[#This Row],[Date]]),1))+1</f>
        <v>3</v>
      </c>
      <c r="S4188">
        <f>MONTH(datos_siembra[[#This Row],[Date]])</f>
        <v>10</v>
      </c>
      <c r="T4188" t="str" cm="1">
        <f t="array" ref="T4188">_xlfn.IFS(AND(N4188&lt;= 22, S4188=9), "SOWING",AND(N4188&lt;= 28, S4188=9), "COVERAGE",AND(N4188&lt;= 30, S4188=9), "FLUSH",AND(N4188&lt;= 11, S4188=10), "FLUSH",AND(N4188&lt;= 21, S4188=10), "PRODUCTION")</f>
        <v>PRODUCTION</v>
      </c>
      <c r="U4188">
        <f>HOUR(datos_siembra[[#This Row],[Hour]])</f>
        <v>18</v>
      </c>
      <c r="V4188" cm="1">
        <f t="array" ref="V4188">_xlfn.IFS(AND(N4188&lt;= 22, S4188=9), N4188-7,AND(N4188&lt;= 28, S4188=9), N4188-25,AND(N4188&lt;= 30, S4188=9), N4188-28,AND(N4188&lt;= 11, S4188=10), N4188+2,AND(N4188&lt;= 21, S4188=10), N4188-11)</f>
        <v>6</v>
      </c>
    </row>
    <row r="4189" spans="1:22" x14ac:dyDescent="0.35">
      <c r="A4189" s="4">
        <v>45582</v>
      </c>
      <c r="B4189" s="5">
        <v>0.76196759259259261</v>
      </c>
      <c r="C4189">
        <v>65.2</v>
      </c>
      <c r="D4189">
        <v>66</v>
      </c>
      <c r="E4189">
        <v>65.099999999999994</v>
      </c>
      <c r="F4189">
        <v>65.2</v>
      </c>
      <c r="G4189">
        <v>0</v>
      </c>
      <c r="H4189">
        <v>0</v>
      </c>
      <c r="I4189">
        <v>0</v>
      </c>
      <c r="J4189">
        <v>0</v>
      </c>
      <c r="K4189">
        <v>62.7</v>
      </c>
      <c r="L4189">
        <v>62.9</v>
      </c>
      <c r="M4189">
        <v>65.33</v>
      </c>
      <c r="N4189">
        <v>17</v>
      </c>
      <c r="O4189">
        <v>2</v>
      </c>
      <c r="P4189">
        <f>MOD(DAY(datos_siembra[[#This Row],[Date]]),7)</f>
        <v>3</v>
      </c>
      <c r="Q4189" t="str">
        <f>CHOOSE(WEEKDAY(datos_siembra[[#This Row],[Date]],2),"L","M","X","J","V","S","D")</f>
        <v>J</v>
      </c>
      <c r="R4189">
        <f>WEEKNUM(datos_siembra[[#This Row],[Date]],2)-WEEKNUM(DATE(YEAR(datos_siembra[[#This Row],[Date]]),MONTH(datos_siembra[[#This Row],[Date]]),1))+1</f>
        <v>3</v>
      </c>
      <c r="S4189">
        <f>MONTH(datos_siembra[[#This Row],[Date]])</f>
        <v>10</v>
      </c>
      <c r="T4189" t="str" cm="1">
        <f t="array" ref="T4189">_xlfn.IFS(AND(N4189&lt;= 22, S4189=9), "SOWING",AND(N4189&lt;= 28, S4189=9), "COVERAGE",AND(N4189&lt;= 30, S4189=9), "FLUSH",AND(N4189&lt;= 11, S4189=10), "FLUSH",AND(N4189&lt;= 21, S4189=10), "PRODUCTION")</f>
        <v>PRODUCTION</v>
      </c>
      <c r="U4189">
        <f>HOUR(datos_siembra[[#This Row],[Hour]])</f>
        <v>18</v>
      </c>
      <c r="V4189" cm="1">
        <f t="array" ref="V4189">_xlfn.IFS(AND(N4189&lt;= 22, S4189=9), N4189-7,AND(N4189&lt;= 28, S4189=9), N4189-25,AND(N4189&lt;= 30, S4189=9), N4189-28,AND(N4189&lt;= 11, S4189=10), N4189+2,AND(N4189&lt;= 21, S4189=10), N4189-11)</f>
        <v>6</v>
      </c>
    </row>
    <row r="4190" spans="1:22" x14ac:dyDescent="0.35">
      <c r="A4190" s="4">
        <v>45582</v>
      </c>
      <c r="B4190" s="5">
        <v>0.76891203703703703</v>
      </c>
      <c r="C4190">
        <v>65.2</v>
      </c>
      <c r="D4190">
        <v>66</v>
      </c>
      <c r="E4190">
        <v>65.2</v>
      </c>
      <c r="F4190">
        <v>65.2</v>
      </c>
      <c r="G4190">
        <v>0</v>
      </c>
      <c r="H4190">
        <v>0</v>
      </c>
      <c r="I4190">
        <v>0</v>
      </c>
      <c r="J4190">
        <v>0</v>
      </c>
      <c r="K4190">
        <v>62.6</v>
      </c>
      <c r="L4190">
        <v>62.7</v>
      </c>
      <c r="M4190">
        <v>65.38</v>
      </c>
      <c r="N4190">
        <v>17</v>
      </c>
      <c r="O4190">
        <v>2</v>
      </c>
      <c r="P4190">
        <f>MOD(DAY(datos_siembra[[#This Row],[Date]]),7)</f>
        <v>3</v>
      </c>
      <c r="Q4190" t="str">
        <f>CHOOSE(WEEKDAY(datos_siembra[[#This Row],[Date]],2),"L","M","X","J","V","S","D")</f>
        <v>J</v>
      </c>
      <c r="R4190">
        <f>WEEKNUM(datos_siembra[[#This Row],[Date]],2)-WEEKNUM(DATE(YEAR(datos_siembra[[#This Row],[Date]]),MONTH(datos_siembra[[#This Row],[Date]]),1))+1</f>
        <v>3</v>
      </c>
      <c r="S4190">
        <f>MONTH(datos_siembra[[#This Row],[Date]])</f>
        <v>10</v>
      </c>
      <c r="T4190" t="str" cm="1">
        <f t="array" ref="T4190">_xlfn.IFS(AND(N4190&lt;= 22, S4190=9), "SOWING",AND(N4190&lt;= 28, S4190=9), "COVERAGE",AND(N4190&lt;= 30, S4190=9), "FLUSH",AND(N4190&lt;= 11, S4190=10), "FLUSH",AND(N4190&lt;= 21, S4190=10), "PRODUCTION")</f>
        <v>PRODUCTION</v>
      </c>
      <c r="U4190">
        <f>HOUR(datos_siembra[[#This Row],[Hour]])</f>
        <v>18</v>
      </c>
      <c r="V4190" cm="1">
        <f t="array" ref="V4190">_xlfn.IFS(AND(N4190&lt;= 22, S4190=9), N4190-7,AND(N4190&lt;= 28, S4190=9), N4190-25,AND(N4190&lt;= 30, S4190=9), N4190-28,AND(N4190&lt;= 11, S4190=10), N4190+2,AND(N4190&lt;= 21, S4190=10), N4190-11)</f>
        <v>6</v>
      </c>
    </row>
    <row r="4191" spans="1:22" x14ac:dyDescent="0.35">
      <c r="A4191" s="4">
        <v>45582</v>
      </c>
      <c r="B4191" s="5">
        <v>0.77585648148148145</v>
      </c>
      <c r="C4191">
        <v>65.3</v>
      </c>
      <c r="D4191">
        <v>66.099999999999994</v>
      </c>
      <c r="E4191">
        <v>65.400000000000006</v>
      </c>
      <c r="F4191">
        <v>65.2</v>
      </c>
      <c r="G4191">
        <v>0</v>
      </c>
      <c r="H4191">
        <v>0</v>
      </c>
      <c r="I4191">
        <v>0</v>
      </c>
      <c r="J4191">
        <v>0</v>
      </c>
      <c r="K4191">
        <v>62.5</v>
      </c>
      <c r="L4191">
        <v>62.8</v>
      </c>
      <c r="M4191">
        <v>65.41</v>
      </c>
      <c r="N4191">
        <v>17</v>
      </c>
      <c r="O4191">
        <v>2</v>
      </c>
      <c r="P4191">
        <f>MOD(DAY(datos_siembra[[#This Row],[Date]]),7)</f>
        <v>3</v>
      </c>
      <c r="Q4191" t="str">
        <f>CHOOSE(WEEKDAY(datos_siembra[[#This Row],[Date]],2),"L","M","X","J","V","S","D")</f>
        <v>J</v>
      </c>
      <c r="R4191">
        <f>WEEKNUM(datos_siembra[[#This Row],[Date]],2)-WEEKNUM(DATE(YEAR(datos_siembra[[#This Row],[Date]]),MONTH(datos_siembra[[#This Row],[Date]]),1))+1</f>
        <v>3</v>
      </c>
      <c r="S4191">
        <f>MONTH(datos_siembra[[#This Row],[Date]])</f>
        <v>10</v>
      </c>
      <c r="T4191" t="str" cm="1">
        <f t="array" ref="T4191">_xlfn.IFS(AND(N4191&lt;= 22, S4191=9), "SOWING",AND(N4191&lt;= 28, S4191=9), "COVERAGE",AND(N4191&lt;= 30, S4191=9), "FLUSH",AND(N4191&lt;= 11, S4191=10), "FLUSH",AND(N4191&lt;= 21, S4191=10), "PRODUCTION")</f>
        <v>PRODUCTION</v>
      </c>
      <c r="U4191">
        <f>HOUR(datos_siembra[[#This Row],[Hour]])</f>
        <v>18</v>
      </c>
      <c r="V4191" cm="1">
        <f t="array" ref="V4191">_xlfn.IFS(AND(N4191&lt;= 22, S4191=9), N4191-7,AND(N4191&lt;= 28, S4191=9), N4191-25,AND(N4191&lt;= 30, S4191=9), N4191-28,AND(N4191&lt;= 11, S4191=10), N4191+2,AND(N4191&lt;= 21, S4191=10), N4191-11)</f>
        <v>6</v>
      </c>
    </row>
    <row r="4192" spans="1:22" x14ac:dyDescent="0.35">
      <c r="A4192" s="4">
        <v>45582</v>
      </c>
      <c r="B4192" s="5">
        <v>0.78281250000000002</v>
      </c>
      <c r="C4192">
        <v>65.099999999999994</v>
      </c>
      <c r="D4192">
        <v>66</v>
      </c>
      <c r="E4192">
        <v>65.400000000000006</v>
      </c>
      <c r="F4192">
        <v>65.099999999999994</v>
      </c>
      <c r="G4192">
        <v>0</v>
      </c>
      <c r="H4192">
        <v>0</v>
      </c>
      <c r="I4192">
        <v>0</v>
      </c>
      <c r="J4192">
        <v>0</v>
      </c>
      <c r="K4192">
        <v>62.5</v>
      </c>
      <c r="L4192">
        <v>62.7</v>
      </c>
      <c r="M4192">
        <v>65.5</v>
      </c>
      <c r="N4192">
        <v>17</v>
      </c>
      <c r="O4192">
        <v>2</v>
      </c>
      <c r="P4192">
        <f>MOD(DAY(datos_siembra[[#This Row],[Date]]),7)</f>
        <v>3</v>
      </c>
      <c r="Q4192" t="str">
        <f>CHOOSE(WEEKDAY(datos_siembra[[#This Row],[Date]],2),"L","M","X","J","V","S","D")</f>
        <v>J</v>
      </c>
      <c r="R4192">
        <f>WEEKNUM(datos_siembra[[#This Row],[Date]],2)-WEEKNUM(DATE(YEAR(datos_siembra[[#This Row],[Date]]),MONTH(datos_siembra[[#This Row],[Date]]),1))+1</f>
        <v>3</v>
      </c>
      <c r="S4192">
        <f>MONTH(datos_siembra[[#This Row],[Date]])</f>
        <v>10</v>
      </c>
      <c r="T4192" t="str" cm="1">
        <f t="array" ref="T4192">_xlfn.IFS(AND(N4192&lt;= 22, S4192=9), "SOWING",AND(N4192&lt;= 28, S4192=9), "COVERAGE",AND(N4192&lt;= 30, S4192=9), "FLUSH",AND(N4192&lt;= 11, S4192=10), "FLUSH",AND(N4192&lt;= 21, S4192=10), "PRODUCTION")</f>
        <v>PRODUCTION</v>
      </c>
      <c r="U4192">
        <f>HOUR(datos_siembra[[#This Row],[Hour]])</f>
        <v>18</v>
      </c>
      <c r="V4192" cm="1">
        <f t="array" ref="V4192">_xlfn.IFS(AND(N4192&lt;= 22, S4192=9), N4192-7,AND(N4192&lt;= 28, S4192=9), N4192-25,AND(N4192&lt;= 30, S4192=9), N4192-28,AND(N4192&lt;= 11, S4192=10), N4192+2,AND(N4192&lt;= 21, S4192=10), N4192-11)</f>
        <v>6</v>
      </c>
    </row>
    <row r="4193" spans="1:22" x14ac:dyDescent="0.35">
      <c r="A4193" s="4">
        <v>45582</v>
      </c>
      <c r="B4193" s="5">
        <v>0.78975694444444444</v>
      </c>
      <c r="C4193">
        <v>65.2</v>
      </c>
      <c r="D4193">
        <v>65.900000000000006</v>
      </c>
      <c r="E4193">
        <v>65.3</v>
      </c>
      <c r="F4193">
        <v>65.2</v>
      </c>
      <c r="G4193">
        <v>0</v>
      </c>
      <c r="H4193">
        <v>0</v>
      </c>
      <c r="I4193">
        <v>0</v>
      </c>
      <c r="J4193">
        <v>0</v>
      </c>
      <c r="K4193">
        <v>62.5</v>
      </c>
      <c r="L4193">
        <v>62.7</v>
      </c>
      <c r="M4193">
        <v>65.41</v>
      </c>
      <c r="N4193">
        <v>17</v>
      </c>
      <c r="O4193">
        <v>2</v>
      </c>
      <c r="P4193">
        <f>MOD(DAY(datos_siembra[[#This Row],[Date]]),7)</f>
        <v>3</v>
      </c>
      <c r="Q4193" t="str">
        <f>CHOOSE(WEEKDAY(datos_siembra[[#This Row],[Date]],2),"L","M","X","J","V","S","D")</f>
        <v>J</v>
      </c>
      <c r="R4193">
        <f>WEEKNUM(datos_siembra[[#This Row],[Date]],2)-WEEKNUM(DATE(YEAR(datos_siembra[[#This Row],[Date]]),MONTH(datos_siembra[[#This Row],[Date]]),1))+1</f>
        <v>3</v>
      </c>
      <c r="S4193">
        <f>MONTH(datos_siembra[[#This Row],[Date]])</f>
        <v>10</v>
      </c>
      <c r="T4193" t="str" cm="1">
        <f t="array" ref="T4193">_xlfn.IFS(AND(N4193&lt;= 22, S4193=9), "SOWING",AND(N4193&lt;= 28, S4193=9), "COVERAGE",AND(N4193&lt;= 30, S4193=9), "FLUSH",AND(N4193&lt;= 11, S4193=10), "FLUSH",AND(N4193&lt;= 21, S4193=10), "PRODUCTION")</f>
        <v>PRODUCTION</v>
      </c>
      <c r="U4193">
        <f>HOUR(datos_siembra[[#This Row],[Hour]])</f>
        <v>18</v>
      </c>
      <c r="V4193" cm="1">
        <f t="array" ref="V4193">_xlfn.IFS(AND(N4193&lt;= 22, S4193=9), N4193-7,AND(N4193&lt;= 28, S4193=9), N4193-25,AND(N4193&lt;= 30, S4193=9), N4193-28,AND(N4193&lt;= 11, S4193=10), N4193+2,AND(N4193&lt;= 21, S4193=10), N4193-11)</f>
        <v>6</v>
      </c>
    </row>
    <row r="4194" spans="1:22" x14ac:dyDescent="0.35">
      <c r="A4194" s="4">
        <v>45582</v>
      </c>
      <c r="B4194" s="5">
        <v>0.79670138888888886</v>
      </c>
      <c r="C4194">
        <v>65.2</v>
      </c>
      <c r="D4194">
        <v>66</v>
      </c>
      <c r="E4194">
        <v>65.3</v>
      </c>
      <c r="F4194">
        <v>65.2</v>
      </c>
      <c r="G4194">
        <v>0</v>
      </c>
      <c r="H4194">
        <v>0</v>
      </c>
      <c r="I4194">
        <v>0</v>
      </c>
      <c r="J4194">
        <v>0</v>
      </c>
      <c r="K4194">
        <v>62.4</v>
      </c>
      <c r="L4194">
        <v>62.6</v>
      </c>
      <c r="M4194">
        <v>65.41</v>
      </c>
      <c r="N4194">
        <v>17</v>
      </c>
      <c r="O4194">
        <v>2</v>
      </c>
      <c r="P4194">
        <f>MOD(DAY(datos_siembra[[#This Row],[Date]]),7)</f>
        <v>3</v>
      </c>
      <c r="Q4194" t="str">
        <f>CHOOSE(WEEKDAY(datos_siembra[[#This Row],[Date]],2),"L","M","X","J","V","S","D")</f>
        <v>J</v>
      </c>
      <c r="R4194">
        <f>WEEKNUM(datos_siembra[[#This Row],[Date]],2)-WEEKNUM(DATE(YEAR(datos_siembra[[#This Row],[Date]]),MONTH(datos_siembra[[#This Row],[Date]]),1))+1</f>
        <v>3</v>
      </c>
      <c r="S4194">
        <f>MONTH(datos_siembra[[#This Row],[Date]])</f>
        <v>10</v>
      </c>
      <c r="T4194" t="str" cm="1">
        <f t="array" ref="T4194">_xlfn.IFS(AND(N4194&lt;= 22, S4194=9), "SOWING",AND(N4194&lt;= 28, S4194=9), "COVERAGE",AND(N4194&lt;= 30, S4194=9), "FLUSH",AND(N4194&lt;= 11, S4194=10), "FLUSH",AND(N4194&lt;= 21, S4194=10), "PRODUCTION")</f>
        <v>PRODUCTION</v>
      </c>
      <c r="U4194">
        <f>HOUR(datos_siembra[[#This Row],[Hour]])</f>
        <v>19</v>
      </c>
      <c r="V4194" cm="1">
        <f t="array" ref="V4194">_xlfn.IFS(AND(N4194&lt;= 22, S4194=9), N4194-7,AND(N4194&lt;= 28, S4194=9), N4194-25,AND(N4194&lt;= 30, S4194=9), N4194-28,AND(N4194&lt;= 11, S4194=10), N4194+2,AND(N4194&lt;= 21, S4194=10), N4194-11)</f>
        <v>6</v>
      </c>
    </row>
    <row r="4195" spans="1:22" x14ac:dyDescent="0.35">
      <c r="A4195" s="4">
        <v>45582</v>
      </c>
      <c r="B4195" s="5">
        <v>0.80364583333333328</v>
      </c>
      <c r="C4195">
        <v>65.2</v>
      </c>
      <c r="D4195">
        <v>65.900000000000006</v>
      </c>
      <c r="E4195">
        <v>65.400000000000006</v>
      </c>
      <c r="F4195">
        <v>65.099999999999994</v>
      </c>
      <c r="G4195">
        <v>0</v>
      </c>
      <c r="H4195">
        <v>0</v>
      </c>
      <c r="I4195">
        <v>0</v>
      </c>
      <c r="J4195">
        <v>0</v>
      </c>
      <c r="K4195">
        <v>62.5</v>
      </c>
      <c r="L4195">
        <v>62.7</v>
      </c>
      <c r="M4195">
        <v>65.38</v>
      </c>
      <c r="N4195">
        <v>17</v>
      </c>
      <c r="O4195">
        <v>2</v>
      </c>
      <c r="P4195">
        <f>MOD(DAY(datos_siembra[[#This Row],[Date]]),7)</f>
        <v>3</v>
      </c>
      <c r="Q4195" t="str">
        <f>CHOOSE(WEEKDAY(datos_siembra[[#This Row],[Date]],2),"L","M","X","J","V","S","D")</f>
        <v>J</v>
      </c>
      <c r="R4195">
        <f>WEEKNUM(datos_siembra[[#This Row],[Date]],2)-WEEKNUM(DATE(YEAR(datos_siembra[[#This Row],[Date]]),MONTH(datos_siembra[[#This Row],[Date]]),1))+1</f>
        <v>3</v>
      </c>
      <c r="S4195">
        <f>MONTH(datos_siembra[[#This Row],[Date]])</f>
        <v>10</v>
      </c>
      <c r="T4195" t="str" cm="1">
        <f t="array" ref="T4195">_xlfn.IFS(AND(N4195&lt;= 22, S4195=9), "SOWING",AND(N4195&lt;= 28, S4195=9), "COVERAGE",AND(N4195&lt;= 30, S4195=9), "FLUSH",AND(N4195&lt;= 11, S4195=10), "FLUSH",AND(N4195&lt;= 21, S4195=10), "PRODUCTION")</f>
        <v>PRODUCTION</v>
      </c>
      <c r="U4195">
        <f>HOUR(datos_siembra[[#This Row],[Hour]])</f>
        <v>19</v>
      </c>
      <c r="V4195" cm="1">
        <f t="array" ref="V4195">_xlfn.IFS(AND(N4195&lt;= 22, S4195=9), N4195-7,AND(N4195&lt;= 28, S4195=9), N4195-25,AND(N4195&lt;= 30, S4195=9), N4195-28,AND(N4195&lt;= 11, S4195=10), N4195+2,AND(N4195&lt;= 21, S4195=10), N4195-11)</f>
        <v>6</v>
      </c>
    </row>
    <row r="4196" spans="1:22" x14ac:dyDescent="0.35">
      <c r="A4196" s="4">
        <v>45582</v>
      </c>
      <c r="B4196" s="5">
        <v>0.81060185185185185</v>
      </c>
      <c r="C4196">
        <v>65.099999999999994</v>
      </c>
      <c r="D4196">
        <v>66</v>
      </c>
      <c r="E4196">
        <v>65.5</v>
      </c>
      <c r="F4196">
        <v>65.099999999999994</v>
      </c>
      <c r="G4196">
        <v>0</v>
      </c>
      <c r="H4196">
        <v>0</v>
      </c>
      <c r="I4196">
        <v>0</v>
      </c>
      <c r="J4196">
        <v>0</v>
      </c>
      <c r="K4196">
        <v>62.3</v>
      </c>
      <c r="L4196">
        <v>62.5</v>
      </c>
      <c r="M4196">
        <v>65.44</v>
      </c>
      <c r="N4196">
        <v>17</v>
      </c>
      <c r="O4196">
        <v>2</v>
      </c>
      <c r="P4196">
        <f>MOD(DAY(datos_siembra[[#This Row],[Date]]),7)</f>
        <v>3</v>
      </c>
      <c r="Q4196" t="str">
        <f>CHOOSE(WEEKDAY(datos_siembra[[#This Row],[Date]],2),"L","M","X","J","V","S","D")</f>
        <v>J</v>
      </c>
      <c r="R4196">
        <f>WEEKNUM(datos_siembra[[#This Row],[Date]],2)-WEEKNUM(DATE(YEAR(datos_siembra[[#This Row],[Date]]),MONTH(datos_siembra[[#This Row],[Date]]),1))+1</f>
        <v>3</v>
      </c>
      <c r="S4196">
        <f>MONTH(datos_siembra[[#This Row],[Date]])</f>
        <v>10</v>
      </c>
      <c r="T4196" t="str" cm="1">
        <f t="array" ref="T4196">_xlfn.IFS(AND(N4196&lt;= 22, S4196=9), "SOWING",AND(N4196&lt;= 28, S4196=9), "COVERAGE",AND(N4196&lt;= 30, S4196=9), "FLUSH",AND(N4196&lt;= 11, S4196=10), "FLUSH",AND(N4196&lt;= 21, S4196=10), "PRODUCTION")</f>
        <v>PRODUCTION</v>
      </c>
      <c r="U4196">
        <f>HOUR(datos_siembra[[#This Row],[Hour]])</f>
        <v>19</v>
      </c>
      <c r="V4196" cm="1">
        <f t="array" ref="V4196">_xlfn.IFS(AND(N4196&lt;= 22, S4196=9), N4196-7,AND(N4196&lt;= 28, S4196=9), N4196-25,AND(N4196&lt;= 30, S4196=9), N4196-28,AND(N4196&lt;= 11, S4196=10), N4196+2,AND(N4196&lt;= 21, S4196=10), N4196-11)</f>
        <v>6</v>
      </c>
    </row>
    <row r="4197" spans="1:22" x14ac:dyDescent="0.35">
      <c r="A4197" s="4">
        <v>45582</v>
      </c>
      <c r="B4197" s="5">
        <v>0.81754629629629627</v>
      </c>
      <c r="C4197">
        <v>65.099999999999994</v>
      </c>
      <c r="D4197">
        <v>66</v>
      </c>
      <c r="E4197">
        <v>65.400000000000006</v>
      </c>
      <c r="F4197">
        <v>65.2</v>
      </c>
      <c r="G4197">
        <v>0</v>
      </c>
      <c r="H4197">
        <v>0</v>
      </c>
      <c r="I4197">
        <v>0</v>
      </c>
      <c r="J4197">
        <v>0</v>
      </c>
      <c r="K4197">
        <v>62.3</v>
      </c>
      <c r="L4197">
        <v>62.6</v>
      </c>
      <c r="M4197">
        <v>65.41</v>
      </c>
      <c r="N4197">
        <v>17</v>
      </c>
      <c r="O4197">
        <v>2</v>
      </c>
      <c r="P4197">
        <f>MOD(DAY(datos_siembra[[#This Row],[Date]]),7)</f>
        <v>3</v>
      </c>
      <c r="Q4197" t="str">
        <f>CHOOSE(WEEKDAY(datos_siembra[[#This Row],[Date]],2),"L","M","X","J","V","S","D")</f>
        <v>J</v>
      </c>
      <c r="R4197">
        <f>WEEKNUM(datos_siembra[[#This Row],[Date]],2)-WEEKNUM(DATE(YEAR(datos_siembra[[#This Row],[Date]]),MONTH(datos_siembra[[#This Row],[Date]]),1))+1</f>
        <v>3</v>
      </c>
      <c r="S4197">
        <f>MONTH(datos_siembra[[#This Row],[Date]])</f>
        <v>10</v>
      </c>
      <c r="T4197" t="str" cm="1">
        <f t="array" ref="T4197">_xlfn.IFS(AND(N4197&lt;= 22, S4197=9), "SOWING",AND(N4197&lt;= 28, S4197=9), "COVERAGE",AND(N4197&lt;= 30, S4197=9), "FLUSH",AND(N4197&lt;= 11, S4197=10), "FLUSH",AND(N4197&lt;= 21, S4197=10), "PRODUCTION")</f>
        <v>PRODUCTION</v>
      </c>
      <c r="U4197">
        <f>HOUR(datos_siembra[[#This Row],[Hour]])</f>
        <v>19</v>
      </c>
      <c r="V4197" cm="1">
        <f t="array" ref="V4197">_xlfn.IFS(AND(N4197&lt;= 22, S4197=9), N4197-7,AND(N4197&lt;= 28, S4197=9), N4197-25,AND(N4197&lt;= 30, S4197=9), N4197-28,AND(N4197&lt;= 11, S4197=10), N4197+2,AND(N4197&lt;= 21, S4197=10), N4197-11)</f>
        <v>6</v>
      </c>
    </row>
    <row r="4198" spans="1:22" x14ac:dyDescent="0.35">
      <c r="A4198" s="4">
        <v>45582</v>
      </c>
      <c r="B4198" s="5">
        <v>0.82449074074074069</v>
      </c>
      <c r="C4198">
        <v>65.2</v>
      </c>
      <c r="D4198">
        <v>66</v>
      </c>
      <c r="E4198">
        <v>65.2</v>
      </c>
      <c r="F4198">
        <v>65.3</v>
      </c>
      <c r="G4198">
        <v>0</v>
      </c>
      <c r="H4198">
        <v>0</v>
      </c>
      <c r="I4198">
        <v>0</v>
      </c>
      <c r="J4198">
        <v>0</v>
      </c>
      <c r="K4198">
        <v>62.2</v>
      </c>
      <c r="L4198">
        <v>62.4</v>
      </c>
      <c r="M4198">
        <v>65.44</v>
      </c>
      <c r="N4198">
        <v>17</v>
      </c>
      <c r="O4198">
        <v>2</v>
      </c>
      <c r="P4198">
        <f>MOD(DAY(datos_siembra[[#This Row],[Date]]),7)</f>
        <v>3</v>
      </c>
      <c r="Q4198" t="str">
        <f>CHOOSE(WEEKDAY(datos_siembra[[#This Row],[Date]],2),"L","M","X","J","V","S","D")</f>
        <v>J</v>
      </c>
      <c r="R4198">
        <f>WEEKNUM(datos_siembra[[#This Row],[Date]],2)-WEEKNUM(DATE(YEAR(datos_siembra[[#This Row],[Date]]),MONTH(datos_siembra[[#This Row],[Date]]),1))+1</f>
        <v>3</v>
      </c>
      <c r="S4198">
        <f>MONTH(datos_siembra[[#This Row],[Date]])</f>
        <v>10</v>
      </c>
      <c r="T4198" t="str" cm="1">
        <f t="array" ref="T4198">_xlfn.IFS(AND(N4198&lt;= 22, S4198=9), "SOWING",AND(N4198&lt;= 28, S4198=9), "COVERAGE",AND(N4198&lt;= 30, S4198=9), "FLUSH",AND(N4198&lt;= 11, S4198=10), "FLUSH",AND(N4198&lt;= 21, S4198=10), "PRODUCTION")</f>
        <v>PRODUCTION</v>
      </c>
      <c r="U4198">
        <f>HOUR(datos_siembra[[#This Row],[Hour]])</f>
        <v>19</v>
      </c>
      <c r="V4198" cm="1">
        <f t="array" ref="V4198">_xlfn.IFS(AND(N4198&lt;= 22, S4198=9), N4198-7,AND(N4198&lt;= 28, S4198=9), N4198-25,AND(N4198&lt;= 30, S4198=9), N4198-28,AND(N4198&lt;= 11, S4198=10), N4198+2,AND(N4198&lt;= 21, S4198=10), N4198-11)</f>
        <v>6</v>
      </c>
    </row>
    <row r="4199" spans="1:22" x14ac:dyDescent="0.35">
      <c r="A4199" s="4">
        <v>45582</v>
      </c>
      <c r="B4199" s="5">
        <v>0.83144675925925926</v>
      </c>
      <c r="C4199">
        <v>65.2</v>
      </c>
      <c r="D4199">
        <v>66</v>
      </c>
      <c r="E4199">
        <v>65.3</v>
      </c>
      <c r="F4199">
        <v>65.099999999999994</v>
      </c>
      <c r="G4199">
        <v>0</v>
      </c>
      <c r="H4199">
        <v>0</v>
      </c>
      <c r="I4199">
        <v>0</v>
      </c>
      <c r="J4199">
        <v>0</v>
      </c>
      <c r="K4199">
        <v>62.2</v>
      </c>
      <c r="L4199">
        <v>62.4</v>
      </c>
      <c r="M4199">
        <v>65.41</v>
      </c>
      <c r="N4199">
        <v>17</v>
      </c>
      <c r="O4199">
        <v>2</v>
      </c>
      <c r="P4199">
        <f>MOD(DAY(datos_siembra[[#This Row],[Date]]),7)</f>
        <v>3</v>
      </c>
      <c r="Q4199" t="str">
        <f>CHOOSE(WEEKDAY(datos_siembra[[#This Row],[Date]],2),"L","M","X","J","V","S","D")</f>
        <v>J</v>
      </c>
      <c r="R4199">
        <f>WEEKNUM(datos_siembra[[#This Row],[Date]],2)-WEEKNUM(DATE(YEAR(datos_siembra[[#This Row],[Date]]),MONTH(datos_siembra[[#This Row],[Date]]),1))+1</f>
        <v>3</v>
      </c>
      <c r="S4199">
        <f>MONTH(datos_siembra[[#This Row],[Date]])</f>
        <v>10</v>
      </c>
      <c r="T4199" t="str" cm="1">
        <f t="array" ref="T4199">_xlfn.IFS(AND(N4199&lt;= 22, S4199=9), "SOWING",AND(N4199&lt;= 28, S4199=9), "COVERAGE",AND(N4199&lt;= 30, S4199=9), "FLUSH",AND(N4199&lt;= 11, S4199=10), "FLUSH",AND(N4199&lt;= 21, S4199=10), "PRODUCTION")</f>
        <v>PRODUCTION</v>
      </c>
      <c r="U4199">
        <f>HOUR(datos_siembra[[#This Row],[Hour]])</f>
        <v>19</v>
      </c>
      <c r="V4199" cm="1">
        <f t="array" ref="V4199">_xlfn.IFS(AND(N4199&lt;= 22, S4199=9), N4199-7,AND(N4199&lt;= 28, S4199=9), N4199-25,AND(N4199&lt;= 30, S4199=9), N4199-28,AND(N4199&lt;= 11, S4199=10), N4199+2,AND(N4199&lt;= 21, S4199=10), N4199-11)</f>
        <v>6</v>
      </c>
    </row>
    <row r="4200" spans="1:22" x14ac:dyDescent="0.35">
      <c r="A4200" s="4">
        <v>45582</v>
      </c>
      <c r="B4200" s="5">
        <v>0.83839120370370368</v>
      </c>
      <c r="C4200">
        <v>65.3</v>
      </c>
      <c r="D4200">
        <v>66.099999999999994</v>
      </c>
      <c r="E4200">
        <v>65.5</v>
      </c>
      <c r="F4200">
        <v>65.2</v>
      </c>
      <c r="G4200">
        <v>0</v>
      </c>
      <c r="H4200">
        <v>0</v>
      </c>
      <c r="I4200">
        <v>0</v>
      </c>
      <c r="J4200">
        <v>0</v>
      </c>
      <c r="K4200">
        <v>62</v>
      </c>
      <c r="L4200">
        <v>62.2</v>
      </c>
      <c r="M4200">
        <v>65.47</v>
      </c>
      <c r="N4200">
        <v>17</v>
      </c>
      <c r="O4200">
        <v>2</v>
      </c>
      <c r="P4200">
        <f>MOD(DAY(datos_siembra[[#This Row],[Date]]),7)</f>
        <v>3</v>
      </c>
      <c r="Q4200" t="str">
        <f>CHOOSE(WEEKDAY(datos_siembra[[#This Row],[Date]],2),"L","M","X","J","V","S","D")</f>
        <v>J</v>
      </c>
      <c r="R4200">
        <f>WEEKNUM(datos_siembra[[#This Row],[Date]],2)-WEEKNUM(DATE(YEAR(datos_siembra[[#This Row],[Date]]),MONTH(datos_siembra[[#This Row],[Date]]),1))+1</f>
        <v>3</v>
      </c>
      <c r="S4200">
        <f>MONTH(datos_siembra[[#This Row],[Date]])</f>
        <v>10</v>
      </c>
      <c r="T4200" t="str" cm="1">
        <f t="array" ref="T4200">_xlfn.IFS(AND(N4200&lt;= 22, S4200=9), "SOWING",AND(N4200&lt;= 28, S4200=9), "COVERAGE",AND(N4200&lt;= 30, S4200=9), "FLUSH",AND(N4200&lt;= 11, S4200=10), "FLUSH",AND(N4200&lt;= 21, S4200=10), "PRODUCTION")</f>
        <v>PRODUCTION</v>
      </c>
      <c r="U4200">
        <f>HOUR(datos_siembra[[#This Row],[Hour]])</f>
        <v>20</v>
      </c>
      <c r="V4200" cm="1">
        <f t="array" ref="V4200">_xlfn.IFS(AND(N4200&lt;= 22, S4200=9), N4200-7,AND(N4200&lt;= 28, S4200=9), N4200-25,AND(N4200&lt;= 30, S4200=9), N4200-28,AND(N4200&lt;= 11, S4200=10), N4200+2,AND(N4200&lt;= 21, S4200=10), N4200-11)</f>
        <v>6</v>
      </c>
    </row>
    <row r="4201" spans="1:22" x14ac:dyDescent="0.35">
      <c r="A4201" s="4">
        <v>45582</v>
      </c>
      <c r="B4201" s="5">
        <v>0.8453356481481481</v>
      </c>
      <c r="C4201">
        <v>65.3</v>
      </c>
      <c r="D4201">
        <v>66</v>
      </c>
      <c r="E4201">
        <v>65.400000000000006</v>
      </c>
      <c r="F4201">
        <v>65.2</v>
      </c>
      <c r="G4201">
        <v>0</v>
      </c>
      <c r="H4201">
        <v>0</v>
      </c>
      <c r="I4201">
        <v>0</v>
      </c>
      <c r="J4201">
        <v>0</v>
      </c>
      <c r="K4201">
        <v>61.9</v>
      </c>
      <c r="L4201">
        <v>62.2</v>
      </c>
      <c r="M4201">
        <v>65.38</v>
      </c>
      <c r="N4201">
        <v>17</v>
      </c>
      <c r="O4201">
        <v>2</v>
      </c>
      <c r="P4201">
        <f>MOD(DAY(datos_siembra[[#This Row],[Date]]),7)</f>
        <v>3</v>
      </c>
      <c r="Q4201" t="str">
        <f>CHOOSE(WEEKDAY(datos_siembra[[#This Row],[Date]],2),"L","M","X","J","V","S","D")</f>
        <v>J</v>
      </c>
      <c r="R4201">
        <f>WEEKNUM(datos_siembra[[#This Row],[Date]],2)-WEEKNUM(DATE(YEAR(datos_siembra[[#This Row],[Date]]),MONTH(datos_siembra[[#This Row],[Date]]),1))+1</f>
        <v>3</v>
      </c>
      <c r="S4201">
        <f>MONTH(datos_siembra[[#This Row],[Date]])</f>
        <v>10</v>
      </c>
      <c r="T4201" t="str" cm="1">
        <f t="array" ref="T4201">_xlfn.IFS(AND(N4201&lt;= 22, S4201=9), "SOWING",AND(N4201&lt;= 28, S4201=9), "COVERAGE",AND(N4201&lt;= 30, S4201=9), "FLUSH",AND(N4201&lt;= 11, S4201=10), "FLUSH",AND(N4201&lt;= 21, S4201=10), "PRODUCTION")</f>
        <v>PRODUCTION</v>
      </c>
      <c r="U4201">
        <f>HOUR(datos_siembra[[#This Row],[Hour]])</f>
        <v>20</v>
      </c>
      <c r="V4201" cm="1">
        <f t="array" ref="V4201">_xlfn.IFS(AND(N4201&lt;= 22, S4201=9), N4201-7,AND(N4201&lt;= 28, S4201=9), N4201-25,AND(N4201&lt;= 30, S4201=9), N4201-28,AND(N4201&lt;= 11, S4201=10), N4201+2,AND(N4201&lt;= 21, S4201=10), N4201-11)</f>
        <v>6</v>
      </c>
    </row>
    <row r="4202" spans="1:22" x14ac:dyDescent="0.35">
      <c r="A4202" s="4">
        <v>45582</v>
      </c>
      <c r="B4202" s="5">
        <v>0.85228009259259263</v>
      </c>
      <c r="C4202">
        <v>65.3</v>
      </c>
      <c r="D4202">
        <v>66.099999999999994</v>
      </c>
      <c r="E4202">
        <v>65.400000000000006</v>
      </c>
      <c r="F4202">
        <v>65.2</v>
      </c>
      <c r="G4202">
        <v>0</v>
      </c>
      <c r="H4202">
        <v>0</v>
      </c>
      <c r="I4202">
        <v>0</v>
      </c>
      <c r="J4202">
        <v>0</v>
      </c>
      <c r="K4202">
        <v>61.9</v>
      </c>
      <c r="L4202">
        <v>62</v>
      </c>
      <c r="M4202">
        <v>65.44</v>
      </c>
      <c r="N4202">
        <v>17</v>
      </c>
      <c r="O4202">
        <v>2</v>
      </c>
      <c r="P4202">
        <f>MOD(DAY(datos_siembra[[#This Row],[Date]]),7)</f>
        <v>3</v>
      </c>
      <c r="Q4202" t="str">
        <f>CHOOSE(WEEKDAY(datos_siembra[[#This Row],[Date]],2),"L","M","X","J","V","S","D")</f>
        <v>J</v>
      </c>
      <c r="R4202">
        <f>WEEKNUM(datos_siembra[[#This Row],[Date]],2)-WEEKNUM(DATE(YEAR(datos_siembra[[#This Row],[Date]]),MONTH(datos_siembra[[#This Row],[Date]]),1))+1</f>
        <v>3</v>
      </c>
      <c r="S4202">
        <f>MONTH(datos_siembra[[#This Row],[Date]])</f>
        <v>10</v>
      </c>
      <c r="T4202" t="str" cm="1">
        <f t="array" ref="T4202">_xlfn.IFS(AND(N4202&lt;= 22, S4202=9), "SOWING",AND(N4202&lt;= 28, S4202=9), "COVERAGE",AND(N4202&lt;= 30, S4202=9), "FLUSH",AND(N4202&lt;= 11, S4202=10), "FLUSH",AND(N4202&lt;= 21, S4202=10), "PRODUCTION")</f>
        <v>PRODUCTION</v>
      </c>
      <c r="U4202">
        <f>HOUR(datos_siembra[[#This Row],[Hour]])</f>
        <v>20</v>
      </c>
      <c r="V4202" cm="1">
        <f t="array" ref="V4202">_xlfn.IFS(AND(N4202&lt;= 22, S4202=9), N4202-7,AND(N4202&lt;= 28, S4202=9), N4202-25,AND(N4202&lt;= 30, S4202=9), N4202-28,AND(N4202&lt;= 11, S4202=10), N4202+2,AND(N4202&lt;= 21, S4202=10), N4202-11)</f>
        <v>6</v>
      </c>
    </row>
    <row r="4203" spans="1:22" x14ac:dyDescent="0.35">
      <c r="A4203" s="4">
        <v>45582</v>
      </c>
      <c r="B4203" s="5">
        <v>0.85923611111111109</v>
      </c>
      <c r="C4203">
        <v>65.2</v>
      </c>
      <c r="D4203">
        <v>66.099999999999994</v>
      </c>
      <c r="E4203">
        <v>65.400000000000006</v>
      </c>
      <c r="F4203">
        <v>65.3</v>
      </c>
      <c r="G4203">
        <v>0</v>
      </c>
      <c r="H4203">
        <v>0</v>
      </c>
      <c r="I4203">
        <v>0</v>
      </c>
      <c r="J4203">
        <v>0</v>
      </c>
      <c r="K4203">
        <v>61.8</v>
      </c>
      <c r="L4203">
        <v>62</v>
      </c>
      <c r="M4203">
        <v>65.5</v>
      </c>
      <c r="N4203">
        <v>17</v>
      </c>
      <c r="O4203">
        <v>2</v>
      </c>
      <c r="P4203">
        <f>MOD(DAY(datos_siembra[[#This Row],[Date]]),7)</f>
        <v>3</v>
      </c>
      <c r="Q4203" t="str">
        <f>CHOOSE(WEEKDAY(datos_siembra[[#This Row],[Date]],2),"L","M","X","J","V","S","D")</f>
        <v>J</v>
      </c>
      <c r="R4203">
        <f>WEEKNUM(datos_siembra[[#This Row],[Date]],2)-WEEKNUM(DATE(YEAR(datos_siembra[[#This Row],[Date]]),MONTH(datos_siembra[[#This Row],[Date]]),1))+1</f>
        <v>3</v>
      </c>
      <c r="S4203">
        <f>MONTH(datos_siembra[[#This Row],[Date]])</f>
        <v>10</v>
      </c>
      <c r="T4203" t="str" cm="1">
        <f t="array" ref="T4203">_xlfn.IFS(AND(N4203&lt;= 22, S4203=9), "SOWING",AND(N4203&lt;= 28, S4203=9), "COVERAGE",AND(N4203&lt;= 30, S4203=9), "FLUSH",AND(N4203&lt;= 11, S4203=10), "FLUSH",AND(N4203&lt;= 21, S4203=10), "PRODUCTION")</f>
        <v>PRODUCTION</v>
      </c>
      <c r="U4203">
        <f>HOUR(datos_siembra[[#This Row],[Hour]])</f>
        <v>20</v>
      </c>
      <c r="V4203" cm="1">
        <f t="array" ref="V4203">_xlfn.IFS(AND(N4203&lt;= 22, S4203=9), N4203-7,AND(N4203&lt;= 28, S4203=9), N4203-25,AND(N4203&lt;= 30, S4203=9), N4203-28,AND(N4203&lt;= 11, S4203=10), N4203+2,AND(N4203&lt;= 21, S4203=10), N4203-11)</f>
        <v>6</v>
      </c>
    </row>
    <row r="4204" spans="1:22" x14ac:dyDescent="0.35">
      <c r="A4204" s="4">
        <v>45582</v>
      </c>
      <c r="B4204" s="5">
        <v>0.86618055555555551</v>
      </c>
      <c r="C4204">
        <v>65.2</v>
      </c>
      <c r="D4204">
        <v>65.900000000000006</v>
      </c>
      <c r="E4204">
        <v>65.400000000000006</v>
      </c>
      <c r="F4204">
        <v>65.3</v>
      </c>
      <c r="G4204">
        <v>0</v>
      </c>
      <c r="H4204">
        <v>0</v>
      </c>
      <c r="I4204">
        <v>0</v>
      </c>
      <c r="J4204">
        <v>0</v>
      </c>
      <c r="K4204">
        <v>61.7</v>
      </c>
      <c r="L4204">
        <v>61.8</v>
      </c>
      <c r="M4204">
        <v>65.5</v>
      </c>
      <c r="N4204">
        <v>17</v>
      </c>
      <c r="O4204">
        <v>2</v>
      </c>
      <c r="P4204">
        <f>MOD(DAY(datos_siembra[[#This Row],[Date]]),7)</f>
        <v>3</v>
      </c>
      <c r="Q4204" t="str">
        <f>CHOOSE(WEEKDAY(datos_siembra[[#This Row],[Date]],2),"L","M","X","J","V","S","D")</f>
        <v>J</v>
      </c>
      <c r="R4204">
        <f>WEEKNUM(datos_siembra[[#This Row],[Date]],2)-WEEKNUM(DATE(YEAR(datos_siembra[[#This Row],[Date]]),MONTH(datos_siembra[[#This Row],[Date]]),1))+1</f>
        <v>3</v>
      </c>
      <c r="S4204">
        <f>MONTH(datos_siembra[[#This Row],[Date]])</f>
        <v>10</v>
      </c>
      <c r="T4204" t="str" cm="1">
        <f t="array" ref="T4204">_xlfn.IFS(AND(N4204&lt;= 22, S4204=9), "SOWING",AND(N4204&lt;= 28, S4204=9), "COVERAGE",AND(N4204&lt;= 30, S4204=9), "FLUSH",AND(N4204&lt;= 11, S4204=10), "FLUSH",AND(N4204&lt;= 21, S4204=10), "PRODUCTION")</f>
        <v>PRODUCTION</v>
      </c>
      <c r="U4204">
        <f>HOUR(datos_siembra[[#This Row],[Hour]])</f>
        <v>20</v>
      </c>
      <c r="V4204" cm="1">
        <f t="array" ref="V4204">_xlfn.IFS(AND(N4204&lt;= 22, S4204=9), N4204-7,AND(N4204&lt;= 28, S4204=9), N4204-25,AND(N4204&lt;= 30, S4204=9), N4204-28,AND(N4204&lt;= 11, S4204=10), N4204+2,AND(N4204&lt;= 21, S4204=10), N4204-11)</f>
        <v>6</v>
      </c>
    </row>
    <row r="4205" spans="1:22" x14ac:dyDescent="0.35">
      <c r="A4205" s="4">
        <v>45582</v>
      </c>
      <c r="B4205" s="5">
        <v>0.87312500000000004</v>
      </c>
      <c r="C4205">
        <v>65.099999999999994</v>
      </c>
      <c r="D4205">
        <v>66</v>
      </c>
      <c r="E4205">
        <v>65.400000000000006</v>
      </c>
      <c r="F4205">
        <v>65.3</v>
      </c>
      <c r="G4205">
        <v>0</v>
      </c>
      <c r="H4205">
        <v>0</v>
      </c>
      <c r="I4205">
        <v>0</v>
      </c>
      <c r="J4205">
        <v>0</v>
      </c>
      <c r="K4205">
        <v>61.7</v>
      </c>
      <c r="L4205">
        <v>61.9</v>
      </c>
      <c r="M4205">
        <v>65.52</v>
      </c>
      <c r="N4205">
        <v>17</v>
      </c>
      <c r="O4205">
        <v>2</v>
      </c>
      <c r="P4205">
        <f>MOD(DAY(datos_siembra[[#This Row],[Date]]),7)</f>
        <v>3</v>
      </c>
      <c r="Q4205" t="str">
        <f>CHOOSE(WEEKDAY(datos_siembra[[#This Row],[Date]],2),"L","M","X","J","V","S","D")</f>
        <v>J</v>
      </c>
      <c r="R4205">
        <f>WEEKNUM(datos_siembra[[#This Row],[Date]],2)-WEEKNUM(DATE(YEAR(datos_siembra[[#This Row],[Date]]),MONTH(datos_siembra[[#This Row],[Date]]),1))+1</f>
        <v>3</v>
      </c>
      <c r="S4205">
        <f>MONTH(datos_siembra[[#This Row],[Date]])</f>
        <v>10</v>
      </c>
      <c r="T4205" t="str" cm="1">
        <f t="array" ref="T4205">_xlfn.IFS(AND(N4205&lt;= 22, S4205=9), "SOWING",AND(N4205&lt;= 28, S4205=9), "COVERAGE",AND(N4205&lt;= 30, S4205=9), "FLUSH",AND(N4205&lt;= 11, S4205=10), "FLUSH",AND(N4205&lt;= 21, S4205=10), "PRODUCTION")</f>
        <v>PRODUCTION</v>
      </c>
      <c r="U4205">
        <f>HOUR(datos_siembra[[#This Row],[Hour]])</f>
        <v>20</v>
      </c>
      <c r="V4205" cm="1">
        <f t="array" ref="V4205">_xlfn.IFS(AND(N4205&lt;= 22, S4205=9), N4205-7,AND(N4205&lt;= 28, S4205=9), N4205-25,AND(N4205&lt;= 30, S4205=9), N4205-28,AND(N4205&lt;= 11, S4205=10), N4205+2,AND(N4205&lt;= 21, S4205=10), N4205-11)</f>
        <v>6</v>
      </c>
    </row>
    <row r="4206" spans="1:22" x14ac:dyDescent="0.35">
      <c r="A4206" s="4">
        <v>45582</v>
      </c>
      <c r="B4206" s="5">
        <v>0.8800810185185185</v>
      </c>
      <c r="C4206">
        <v>65.2</v>
      </c>
      <c r="D4206">
        <v>66</v>
      </c>
      <c r="E4206">
        <v>65.5</v>
      </c>
      <c r="F4206">
        <v>65.3</v>
      </c>
      <c r="G4206">
        <v>0</v>
      </c>
      <c r="H4206">
        <v>0</v>
      </c>
      <c r="I4206">
        <v>0</v>
      </c>
      <c r="J4206">
        <v>0</v>
      </c>
      <c r="K4206">
        <v>61.6</v>
      </c>
      <c r="L4206">
        <v>61.7</v>
      </c>
      <c r="M4206">
        <v>65.52</v>
      </c>
      <c r="N4206">
        <v>17</v>
      </c>
      <c r="O4206">
        <v>2</v>
      </c>
      <c r="P4206">
        <f>MOD(DAY(datos_siembra[[#This Row],[Date]]),7)</f>
        <v>3</v>
      </c>
      <c r="Q4206" t="str">
        <f>CHOOSE(WEEKDAY(datos_siembra[[#This Row],[Date]],2),"L","M","X","J","V","S","D")</f>
        <v>J</v>
      </c>
      <c r="R4206">
        <f>WEEKNUM(datos_siembra[[#This Row],[Date]],2)-WEEKNUM(DATE(YEAR(datos_siembra[[#This Row],[Date]]),MONTH(datos_siembra[[#This Row],[Date]]),1))+1</f>
        <v>3</v>
      </c>
      <c r="S4206">
        <f>MONTH(datos_siembra[[#This Row],[Date]])</f>
        <v>10</v>
      </c>
      <c r="T4206" t="str" cm="1">
        <f t="array" ref="T4206">_xlfn.IFS(AND(N4206&lt;= 22, S4206=9), "SOWING",AND(N4206&lt;= 28, S4206=9), "COVERAGE",AND(N4206&lt;= 30, S4206=9), "FLUSH",AND(N4206&lt;= 11, S4206=10), "FLUSH",AND(N4206&lt;= 21, S4206=10), "PRODUCTION")</f>
        <v>PRODUCTION</v>
      </c>
      <c r="U4206">
        <f>HOUR(datos_siembra[[#This Row],[Hour]])</f>
        <v>21</v>
      </c>
      <c r="V4206" cm="1">
        <f t="array" ref="V4206">_xlfn.IFS(AND(N4206&lt;= 22, S4206=9), N4206-7,AND(N4206&lt;= 28, S4206=9), N4206-25,AND(N4206&lt;= 30, S4206=9), N4206-28,AND(N4206&lt;= 11, S4206=10), N4206+2,AND(N4206&lt;= 21, S4206=10), N4206-11)</f>
        <v>6</v>
      </c>
    </row>
    <row r="4207" spans="1:22" x14ac:dyDescent="0.35">
      <c r="A4207" s="4">
        <v>45582</v>
      </c>
      <c r="B4207" s="5">
        <v>0.88702546296296292</v>
      </c>
      <c r="C4207">
        <v>65.2</v>
      </c>
      <c r="D4207">
        <v>66</v>
      </c>
      <c r="E4207">
        <v>65.400000000000006</v>
      </c>
      <c r="F4207">
        <v>65.2</v>
      </c>
      <c r="G4207">
        <v>0</v>
      </c>
      <c r="H4207">
        <v>0</v>
      </c>
      <c r="I4207">
        <v>0</v>
      </c>
      <c r="J4207">
        <v>0</v>
      </c>
      <c r="K4207">
        <v>61.6</v>
      </c>
      <c r="L4207">
        <v>61.7</v>
      </c>
      <c r="M4207">
        <v>65.41</v>
      </c>
      <c r="N4207">
        <v>17</v>
      </c>
      <c r="O4207">
        <v>2</v>
      </c>
      <c r="P4207">
        <f>MOD(DAY(datos_siembra[[#This Row],[Date]]),7)</f>
        <v>3</v>
      </c>
      <c r="Q4207" t="str">
        <f>CHOOSE(WEEKDAY(datos_siembra[[#This Row],[Date]],2),"L","M","X","J","V","S","D")</f>
        <v>J</v>
      </c>
      <c r="R4207">
        <f>WEEKNUM(datos_siembra[[#This Row],[Date]],2)-WEEKNUM(DATE(YEAR(datos_siembra[[#This Row],[Date]]),MONTH(datos_siembra[[#This Row],[Date]]),1))+1</f>
        <v>3</v>
      </c>
      <c r="S4207">
        <f>MONTH(datos_siembra[[#This Row],[Date]])</f>
        <v>10</v>
      </c>
      <c r="T4207" t="str" cm="1">
        <f t="array" ref="T4207">_xlfn.IFS(AND(N4207&lt;= 22, S4207=9), "SOWING",AND(N4207&lt;= 28, S4207=9), "COVERAGE",AND(N4207&lt;= 30, S4207=9), "FLUSH",AND(N4207&lt;= 11, S4207=10), "FLUSH",AND(N4207&lt;= 21, S4207=10), "PRODUCTION")</f>
        <v>PRODUCTION</v>
      </c>
      <c r="U4207">
        <f>HOUR(datos_siembra[[#This Row],[Hour]])</f>
        <v>21</v>
      </c>
      <c r="V4207" cm="1">
        <f t="array" ref="V4207">_xlfn.IFS(AND(N4207&lt;= 22, S4207=9), N4207-7,AND(N4207&lt;= 28, S4207=9), N4207-25,AND(N4207&lt;= 30, S4207=9), N4207-28,AND(N4207&lt;= 11, S4207=10), N4207+2,AND(N4207&lt;= 21, S4207=10), N4207-11)</f>
        <v>6</v>
      </c>
    </row>
    <row r="4208" spans="1:22" x14ac:dyDescent="0.35">
      <c r="A4208" s="4">
        <v>45582</v>
      </c>
      <c r="B4208" s="5">
        <v>0.89396990740740745</v>
      </c>
      <c r="C4208">
        <v>65.2</v>
      </c>
      <c r="D4208">
        <v>66.099999999999994</v>
      </c>
      <c r="E4208">
        <v>65.5</v>
      </c>
      <c r="F4208">
        <v>65.2</v>
      </c>
      <c r="G4208">
        <v>0</v>
      </c>
      <c r="H4208">
        <v>0</v>
      </c>
      <c r="I4208">
        <v>0</v>
      </c>
      <c r="J4208">
        <v>0</v>
      </c>
      <c r="K4208">
        <v>61.6</v>
      </c>
      <c r="L4208">
        <v>61.6</v>
      </c>
      <c r="M4208">
        <v>65.44</v>
      </c>
      <c r="N4208">
        <v>17</v>
      </c>
      <c r="O4208">
        <v>2</v>
      </c>
      <c r="P4208">
        <f>MOD(DAY(datos_siembra[[#This Row],[Date]]),7)</f>
        <v>3</v>
      </c>
      <c r="Q4208" t="str">
        <f>CHOOSE(WEEKDAY(datos_siembra[[#This Row],[Date]],2),"L","M","X","J","V","S","D")</f>
        <v>J</v>
      </c>
      <c r="R4208">
        <f>WEEKNUM(datos_siembra[[#This Row],[Date]],2)-WEEKNUM(DATE(YEAR(datos_siembra[[#This Row],[Date]]),MONTH(datos_siembra[[#This Row],[Date]]),1))+1</f>
        <v>3</v>
      </c>
      <c r="S4208">
        <f>MONTH(datos_siembra[[#This Row],[Date]])</f>
        <v>10</v>
      </c>
      <c r="T4208" t="str" cm="1">
        <f t="array" ref="T4208">_xlfn.IFS(AND(N4208&lt;= 22, S4208=9), "SOWING",AND(N4208&lt;= 28, S4208=9), "COVERAGE",AND(N4208&lt;= 30, S4208=9), "FLUSH",AND(N4208&lt;= 11, S4208=10), "FLUSH",AND(N4208&lt;= 21, S4208=10), "PRODUCTION")</f>
        <v>PRODUCTION</v>
      </c>
      <c r="U4208">
        <f>HOUR(datos_siembra[[#This Row],[Hour]])</f>
        <v>21</v>
      </c>
      <c r="V4208" cm="1">
        <f t="array" ref="V4208">_xlfn.IFS(AND(N4208&lt;= 22, S4208=9), N4208-7,AND(N4208&lt;= 28, S4208=9), N4208-25,AND(N4208&lt;= 30, S4208=9), N4208-28,AND(N4208&lt;= 11, S4208=10), N4208+2,AND(N4208&lt;= 21, S4208=10), N4208-11)</f>
        <v>6</v>
      </c>
    </row>
    <row r="4209" spans="1:22" x14ac:dyDescent="0.35">
      <c r="A4209" s="4">
        <v>45582</v>
      </c>
      <c r="B4209" s="5">
        <v>0.90091435185185187</v>
      </c>
      <c r="C4209">
        <v>65.2</v>
      </c>
      <c r="D4209">
        <v>66</v>
      </c>
      <c r="E4209">
        <v>65.5</v>
      </c>
      <c r="F4209">
        <v>65.3</v>
      </c>
      <c r="G4209">
        <v>0</v>
      </c>
      <c r="H4209">
        <v>0</v>
      </c>
      <c r="I4209">
        <v>0</v>
      </c>
      <c r="J4209">
        <v>0</v>
      </c>
      <c r="K4209">
        <v>61.5</v>
      </c>
      <c r="L4209">
        <v>61.6</v>
      </c>
      <c r="M4209">
        <v>65.52</v>
      </c>
      <c r="N4209">
        <v>17</v>
      </c>
      <c r="O4209">
        <v>2</v>
      </c>
      <c r="P4209">
        <f>MOD(DAY(datos_siembra[[#This Row],[Date]]),7)</f>
        <v>3</v>
      </c>
      <c r="Q4209" t="str">
        <f>CHOOSE(WEEKDAY(datos_siembra[[#This Row],[Date]],2),"L","M","X","J","V","S","D")</f>
        <v>J</v>
      </c>
      <c r="R4209">
        <f>WEEKNUM(datos_siembra[[#This Row],[Date]],2)-WEEKNUM(DATE(YEAR(datos_siembra[[#This Row],[Date]]),MONTH(datos_siembra[[#This Row],[Date]]),1))+1</f>
        <v>3</v>
      </c>
      <c r="S4209">
        <f>MONTH(datos_siembra[[#This Row],[Date]])</f>
        <v>10</v>
      </c>
      <c r="T4209" t="str" cm="1">
        <f t="array" ref="T4209">_xlfn.IFS(AND(N4209&lt;= 22, S4209=9), "SOWING",AND(N4209&lt;= 28, S4209=9), "COVERAGE",AND(N4209&lt;= 30, S4209=9), "FLUSH",AND(N4209&lt;= 11, S4209=10), "FLUSH",AND(N4209&lt;= 21, S4209=10), "PRODUCTION")</f>
        <v>PRODUCTION</v>
      </c>
      <c r="U4209">
        <f>HOUR(datos_siembra[[#This Row],[Hour]])</f>
        <v>21</v>
      </c>
      <c r="V4209" cm="1">
        <f t="array" ref="V4209">_xlfn.IFS(AND(N4209&lt;= 22, S4209=9), N4209-7,AND(N4209&lt;= 28, S4209=9), N4209-25,AND(N4209&lt;= 30, S4209=9), N4209-28,AND(N4209&lt;= 11, S4209=10), N4209+2,AND(N4209&lt;= 21, S4209=10), N4209-11)</f>
        <v>6</v>
      </c>
    </row>
    <row r="4210" spans="1:22" x14ac:dyDescent="0.35">
      <c r="A4210" s="4">
        <v>45582</v>
      </c>
      <c r="B4210" s="5">
        <v>0.90787037037037033</v>
      </c>
      <c r="C4210">
        <v>65.3</v>
      </c>
      <c r="D4210">
        <v>66</v>
      </c>
      <c r="E4210">
        <v>65.5</v>
      </c>
      <c r="F4210">
        <v>65.3</v>
      </c>
      <c r="G4210">
        <v>0</v>
      </c>
      <c r="H4210">
        <v>0</v>
      </c>
      <c r="I4210">
        <v>0</v>
      </c>
      <c r="J4210">
        <v>0</v>
      </c>
      <c r="K4210">
        <v>61.4</v>
      </c>
      <c r="L4210">
        <v>61.5</v>
      </c>
      <c r="M4210">
        <v>65.52</v>
      </c>
      <c r="N4210">
        <v>17</v>
      </c>
      <c r="O4210">
        <v>2</v>
      </c>
      <c r="P4210">
        <f>MOD(DAY(datos_siembra[[#This Row],[Date]]),7)</f>
        <v>3</v>
      </c>
      <c r="Q4210" t="str">
        <f>CHOOSE(WEEKDAY(datos_siembra[[#This Row],[Date]],2),"L","M","X","J","V","S","D")</f>
        <v>J</v>
      </c>
      <c r="R4210">
        <f>WEEKNUM(datos_siembra[[#This Row],[Date]],2)-WEEKNUM(DATE(YEAR(datos_siembra[[#This Row],[Date]]),MONTH(datos_siembra[[#This Row],[Date]]),1))+1</f>
        <v>3</v>
      </c>
      <c r="S4210">
        <f>MONTH(datos_siembra[[#This Row],[Date]])</f>
        <v>10</v>
      </c>
      <c r="T4210" t="str" cm="1">
        <f t="array" ref="T4210">_xlfn.IFS(AND(N4210&lt;= 22, S4210=9), "SOWING",AND(N4210&lt;= 28, S4210=9), "COVERAGE",AND(N4210&lt;= 30, S4210=9), "FLUSH",AND(N4210&lt;= 11, S4210=10), "FLUSH",AND(N4210&lt;= 21, S4210=10), "PRODUCTION")</f>
        <v>PRODUCTION</v>
      </c>
      <c r="U4210">
        <f>HOUR(datos_siembra[[#This Row],[Hour]])</f>
        <v>21</v>
      </c>
      <c r="V4210" cm="1">
        <f t="array" ref="V4210">_xlfn.IFS(AND(N4210&lt;= 22, S4210=9), N4210-7,AND(N4210&lt;= 28, S4210=9), N4210-25,AND(N4210&lt;= 30, S4210=9), N4210-28,AND(N4210&lt;= 11, S4210=10), N4210+2,AND(N4210&lt;= 21, S4210=10), N4210-11)</f>
        <v>6</v>
      </c>
    </row>
    <row r="4211" spans="1:22" x14ac:dyDescent="0.35">
      <c r="A4211" s="4">
        <v>45582</v>
      </c>
      <c r="B4211" s="5">
        <v>0.91481481481481486</v>
      </c>
      <c r="C4211">
        <v>65.3</v>
      </c>
      <c r="D4211">
        <v>66</v>
      </c>
      <c r="E4211">
        <v>65.8</v>
      </c>
      <c r="F4211">
        <v>65.2</v>
      </c>
      <c r="G4211">
        <v>0</v>
      </c>
      <c r="H4211">
        <v>0</v>
      </c>
      <c r="I4211">
        <v>0</v>
      </c>
      <c r="J4211">
        <v>0</v>
      </c>
      <c r="K4211">
        <v>61.4</v>
      </c>
      <c r="L4211">
        <v>61.5</v>
      </c>
      <c r="M4211">
        <v>65.52</v>
      </c>
      <c r="N4211">
        <v>17</v>
      </c>
      <c r="O4211">
        <v>2</v>
      </c>
      <c r="P4211">
        <f>MOD(DAY(datos_siembra[[#This Row],[Date]]),7)</f>
        <v>3</v>
      </c>
      <c r="Q4211" t="str">
        <f>CHOOSE(WEEKDAY(datos_siembra[[#This Row],[Date]],2),"L","M","X","J","V","S","D")</f>
        <v>J</v>
      </c>
      <c r="R4211">
        <f>WEEKNUM(datos_siembra[[#This Row],[Date]],2)-WEEKNUM(DATE(YEAR(datos_siembra[[#This Row],[Date]]),MONTH(datos_siembra[[#This Row],[Date]]),1))+1</f>
        <v>3</v>
      </c>
      <c r="S4211">
        <f>MONTH(datos_siembra[[#This Row],[Date]])</f>
        <v>10</v>
      </c>
      <c r="T4211" t="str" cm="1">
        <f t="array" ref="T4211">_xlfn.IFS(AND(N4211&lt;= 22, S4211=9), "SOWING",AND(N4211&lt;= 28, S4211=9), "COVERAGE",AND(N4211&lt;= 30, S4211=9), "FLUSH",AND(N4211&lt;= 11, S4211=10), "FLUSH",AND(N4211&lt;= 21, S4211=10), "PRODUCTION")</f>
        <v>PRODUCTION</v>
      </c>
      <c r="U4211">
        <f>HOUR(datos_siembra[[#This Row],[Hour]])</f>
        <v>21</v>
      </c>
      <c r="V4211" cm="1">
        <f t="array" ref="V4211">_xlfn.IFS(AND(N4211&lt;= 22, S4211=9), N4211-7,AND(N4211&lt;= 28, S4211=9), N4211-25,AND(N4211&lt;= 30, S4211=9), N4211-28,AND(N4211&lt;= 11, S4211=10), N4211+2,AND(N4211&lt;= 21, S4211=10), N4211-11)</f>
        <v>6</v>
      </c>
    </row>
    <row r="4212" spans="1:22" x14ac:dyDescent="0.35">
      <c r="A4212" s="4">
        <v>45582</v>
      </c>
      <c r="B4212" s="5">
        <v>0.92175925925925928</v>
      </c>
      <c r="C4212">
        <v>65.3</v>
      </c>
      <c r="D4212">
        <v>65.900000000000006</v>
      </c>
      <c r="E4212">
        <v>65.5</v>
      </c>
      <c r="F4212">
        <v>65.2</v>
      </c>
      <c r="G4212">
        <v>0</v>
      </c>
      <c r="H4212">
        <v>0</v>
      </c>
      <c r="I4212">
        <v>0</v>
      </c>
      <c r="J4212">
        <v>0</v>
      </c>
      <c r="K4212">
        <v>61.4</v>
      </c>
      <c r="L4212">
        <v>61.5</v>
      </c>
      <c r="M4212">
        <v>65.55</v>
      </c>
      <c r="N4212">
        <v>17</v>
      </c>
      <c r="O4212">
        <v>2</v>
      </c>
      <c r="P4212">
        <f>MOD(DAY(datos_siembra[[#This Row],[Date]]),7)</f>
        <v>3</v>
      </c>
      <c r="Q4212" t="str">
        <f>CHOOSE(WEEKDAY(datos_siembra[[#This Row],[Date]],2),"L","M","X","J","V","S","D")</f>
        <v>J</v>
      </c>
      <c r="R4212">
        <f>WEEKNUM(datos_siembra[[#This Row],[Date]],2)-WEEKNUM(DATE(YEAR(datos_siembra[[#This Row],[Date]]),MONTH(datos_siembra[[#This Row],[Date]]),1))+1</f>
        <v>3</v>
      </c>
      <c r="S4212">
        <f>MONTH(datos_siembra[[#This Row],[Date]])</f>
        <v>10</v>
      </c>
      <c r="T4212" t="str" cm="1">
        <f t="array" ref="T4212">_xlfn.IFS(AND(N4212&lt;= 22, S4212=9), "SOWING",AND(N4212&lt;= 28, S4212=9), "COVERAGE",AND(N4212&lt;= 30, S4212=9), "FLUSH",AND(N4212&lt;= 11, S4212=10), "FLUSH",AND(N4212&lt;= 21, S4212=10), "PRODUCTION")</f>
        <v>PRODUCTION</v>
      </c>
      <c r="U4212">
        <f>HOUR(datos_siembra[[#This Row],[Hour]])</f>
        <v>22</v>
      </c>
      <c r="V4212" cm="1">
        <f t="array" ref="V4212">_xlfn.IFS(AND(N4212&lt;= 22, S4212=9), N4212-7,AND(N4212&lt;= 28, S4212=9), N4212-25,AND(N4212&lt;= 30, S4212=9), N4212-28,AND(N4212&lt;= 11, S4212=10), N4212+2,AND(N4212&lt;= 21, S4212=10), N4212-11)</f>
        <v>6</v>
      </c>
    </row>
    <row r="4213" spans="1:22" x14ac:dyDescent="0.35">
      <c r="A4213" s="4">
        <v>45582</v>
      </c>
      <c r="B4213" s="5">
        <v>0.92871527777777774</v>
      </c>
      <c r="C4213">
        <v>65.2</v>
      </c>
      <c r="D4213">
        <v>66</v>
      </c>
      <c r="E4213">
        <v>65.5</v>
      </c>
      <c r="F4213">
        <v>65.400000000000006</v>
      </c>
      <c r="G4213">
        <v>0</v>
      </c>
      <c r="H4213">
        <v>0</v>
      </c>
      <c r="I4213">
        <v>0</v>
      </c>
      <c r="J4213">
        <v>0</v>
      </c>
      <c r="K4213">
        <v>61.4</v>
      </c>
      <c r="L4213">
        <v>61.5</v>
      </c>
      <c r="M4213">
        <v>65.5</v>
      </c>
      <c r="N4213">
        <v>17</v>
      </c>
      <c r="O4213">
        <v>2</v>
      </c>
      <c r="P4213">
        <f>MOD(DAY(datos_siembra[[#This Row],[Date]]),7)</f>
        <v>3</v>
      </c>
      <c r="Q4213" t="str">
        <f>CHOOSE(WEEKDAY(datos_siembra[[#This Row],[Date]],2),"L","M","X","J","V","S","D")</f>
        <v>J</v>
      </c>
      <c r="R4213">
        <f>WEEKNUM(datos_siembra[[#This Row],[Date]],2)-WEEKNUM(DATE(YEAR(datos_siembra[[#This Row],[Date]]),MONTH(datos_siembra[[#This Row],[Date]]),1))+1</f>
        <v>3</v>
      </c>
      <c r="S4213">
        <f>MONTH(datos_siembra[[#This Row],[Date]])</f>
        <v>10</v>
      </c>
      <c r="T4213" t="str" cm="1">
        <f t="array" ref="T4213">_xlfn.IFS(AND(N4213&lt;= 22, S4213=9), "SOWING",AND(N4213&lt;= 28, S4213=9), "COVERAGE",AND(N4213&lt;= 30, S4213=9), "FLUSH",AND(N4213&lt;= 11, S4213=10), "FLUSH",AND(N4213&lt;= 21, S4213=10), "PRODUCTION")</f>
        <v>PRODUCTION</v>
      </c>
      <c r="U4213">
        <f>HOUR(datos_siembra[[#This Row],[Hour]])</f>
        <v>22</v>
      </c>
      <c r="V4213" cm="1">
        <f t="array" ref="V4213">_xlfn.IFS(AND(N4213&lt;= 22, S4213=9), N4213-7,AND(N4213&lt;= 28, S4213=9), N4213-25,AND(N4213&lt;= 30, S4213=9), N4213-28,AND(N4213&lt;= 11, S4213=10), N4213+2,AND(N4213&lt;= 21, S4213=10), N4213-11)</f>
        <v>6</v>
      </c>
    </row>
    <row r="4214" spans="1:22" x14ac:dyDescent="0.35">
      <c r="A4214" s="4">
        <v>45582</v>
      </c>
      <c r="B4214" s="5">
        <v>0.93565972222222227</v>
      </c>
      <c r="C4214">
        <v>65.3</v>
      </c>
      <c r="D4214">
        <v>66</v>
      </c>
      <c r="E4214">
        <v>65.5</v>
      </c>
      <c r="F4214">
        <v>65.3</v>
      </c>
      <c r="G4214">
        <v>0</v>
      </c>
      <c r="H4214">
        <v>0</v>
      </c>
      <c r="I4214">
        <v>0</v>
      </c>
      <c r="J4214">
        <v>0</v>
      </c>
      <c r="K4214">
        <v>61.4</v>
      </c>
      <c r="L4214">
        <v>61.4</v>
      </c>
      <c r="M4214">
        <v>65.5</v>
      </c>
      <c r="N4214">
        <v>17</v>
      </c>
      <c r="O4214">
        <v>2</v>
      </c>
      <c r="P4214">
        <f>MOD(DAY(datos_siembra[[#This Row],[Date]]),7)</f>
        <v>3</v>
      </c>
      <c r="Q4214" t="str">
        <f>CHOOSE(WEEKDAY(datos_siembra[[#This Row],[Date]],2),"L","M","X","J","V","S","D")</f>
        <v>J</v>
      </c>
      <c r="R4214">
        <f>WEEKNUM(datos_siembra[[#This Row],[Date]],2)-WEEKNUM(DATE(YEAR(datos_siembra[[#This Row],[Date]]),MONTH(datos_siembra[[#This Row],[Date]]),1))+1</f>
        <v>3</v>
      </c>
      <c r="S4214">
        <f>MONTH(datos_siembra[[#This Row],[Date]])</f>
        <v>10</v>
      </c>
      <c r="T4214" t="str" cm="1">
        <f t="array" ref="T4214">_xlfn.IFS(AND(N4214&lt;= 22, S4214=9), "SOWING",AND(N4214&lt;= 28, S4214=9), "COVERAGE",AND(N4214&lt;= 30, S4214=9), "FLUSH",AND(N4214&lt;= 11, S4214=10), "FLUSH",AND(N4214&lt;= 21, S4214=10), "PRODUCTION")</f>
        <v>PRODUCTION</v>
      </c>
      <c r="U4214">
        <f>HOUR(datos_siembra[[#This Row],[Hour]])</f>
        <v>22</v>
      </c>
      <c r="V4214" cm="1">
        <f t="array" ref="V4214">_xlfn.IFS(AND(N4214&lt;= 22, S4214=9), N4214-7,AND(N4214&lt;= 28, S4214=9), N4214-25,AND(N4214&lt;= 30, S4214=9), N4214-28,AND(N4214&lt;= 11, S4214=10), N4214+2,AND(N4214&lt;= 21, S4214=10), N4214-11)</f>
        <v>6</v>
      </c>
    </row>
    <row r="4215" spans="1:22" x14ac:dyDescent="0.35">
      <c r="A4215" s="4">
        <v>45582</v>
      </c>
      <c r="B4215" s="5">
        <v>0.94260416666666669</v>
      </c>
      <c r="C4215">
        <v>65.2</v>
      </c>
      <c r="D4215">
        <v>66</v>
      </c>
      <c r="E4215">
        <v>65.5</v>
      </c>
      <c r="F4215">
        <v>65.3</v>
      </c>
      <c r="G4215">
        <v>0</v>
      </c>
      <c r="H4215">
        <v>0</v>
      </c>
      <c r="I4215">
        <v>0</v>
      </c>
      <c r="J4215">
        <v>0</v>
      </c>
      <c r="K4215">
        <v>61.4</v>
      </c>
      <c r="L4215">
        <v>61.5</v>
      </c>
      <c r="M4215">
        <v>65.44</v>
      </c>
      <c r="N4215">
        <v>17</v>
      </c>
      <c r="O4215">
        <v>2</v>
      </c>
      <c r="P4215">
        <f>MOD(DAY(datos_siembra[[#This Row],[Date]]),7)</f>
        <v>3</v>
      </c>
      <c r="Q4215" t="str">
        <f>CHOOSE(WEEKDAY(datos_siembra[[#This Row],[Date]],2),"L","M","X","J","V","S","D")</f>
        <v>J</v>
      </c>
      <c r="R4215">
        <f>WEEKNUM(datos_siembra[[#This Row],[Date]],2)-WEEKNUM(DATE(YEAR(datos_siembra[[#This Row],[Date]]),MONTH(datos_siembra[[#This Row],[Date]]),1))+1</f>
        <v>3</v>
      </c>
      <c r="S4215">
        <f>MONTH(datos_siembra[[#This Row],[Date]])</f>
        <v>10</v>
      </c>
      <c r="T4215" t="str" cm="1">
        <f t="array" ref="T4215">_xlfn.IFS(AND(N4215&lt;= 22, S4215=9), "SOWING",AND(N4215&lt;= 28, S4215=9), "COVERAGE",AND(N4215&lt;= 30, S4215=9), "FLUSH",AND(N4215&lt;= 11, S4215=10), "FLUSH",AND(N4215&lt;= 21, S4215=10), "PRODUCTION")</f>
        <v>PRODUCTION</v>
      </c>
      <c r="U4215">
        <f>HOUR(datos_siembra[[#This Row],[Hour]])</f>
        <v>22</v>
      </c>
      <c r="V4215" cm="1">
        <f t="array" ref="V4215">_xlfn.IFS(AND(N4215&lt;= 22, S4215=9), N4215-7,AND(N4215&lt;= 28, S4215=9), N4215-25,AND(N4215&lt;= 30, S4215=9), N4215-28,AND(N4215&lt;= 11, S4215=10), N4215+2,AND(N4215&lt;= 21, S4215=10), N4215-11)</f>
        <v>6</v>
      </c>
    </row>
    <row r="4216" spans="1:22" x14ac:dyDescent="0.35">
      <c r="A4216" s="4">
        <v>45582</v>
      </c>
      <c r="B4216" s="5">
        <v>0.94954861111111111</v>
      </c>
      <c r="C4216">
        <v>65.3</v>
      </c>
      <c r="D4216">
        <v>66</v>
      </c>
      <c r="E4216">
        <v>65.5</v>
      </c>
      <c r="F4216">
        <v>65.400000000000006</v>
      </c>
      <c r="G4216">
        <v>0</v>
      </c>
      <c r="H4216">
        <v>0</v>
      </c>
      <c r="I4216">
        <v>0</v>
      </c>
      <c r="J4216">
        <v>0</v>
      </c>
      <c r="K4216">
        <v>61.5</v>
      </c>
      <c r="L4216">
        <v>61.6</v>
      </c>
      <c r="M4216">
        <v>65.55</v>
      </c>
      <c r="N4216">
        <v>17</v>
      </c>
      <c r="O4216">
        <v>2</v>
      </c>
      <c r="P4216">
        <f>MOD(DAY(datos_siembra[[#This Row],[Date]]),7)</f>
        <v>3</v>
      </c>
      <c r="Q4216" t="str">
        <f>CHOOSE(WEEKDAY(datos_siembra[[#This Row],[Date]],2),"L","M","X","J","V","S","D")</f>
        <v>J</v>
      </c>
      <c r="R4216">
        <f>WEEKNUM(datos_siembra[[#This Row],[Date]],2)-WEEKNUM(DATE(YEAR(datos_siembra[[#This Row],[Date]]),MONTH(datos_siembra[[#This Row],[Date]]),1))+1</f>
        <v>3</v>
      </c>
      <c r="S4216">
        <f>MONTH(datos_siembra[[#This Row],[Date]])</f>
        <v>10</v>
      </c>
      <c r="T4216" t="str" cm="1">
        <f t="array" ref="T4216">_xlfn.IFS(AND(N4216&lt;= 22, S4216=9), "SOWING",AND(N4216&lt;= 28, S4216=9), "COVERAGE",AND(N4216&lt;= 30, S4216=9), "FLUSH",AND(N4216&lt;= 11, S4216=10), "FLUSH",AND(N4216&lt;= 21, S4216=10), "PRODUCTION")</f>
        <v>PRODUCTION</v>
      </c>
      <c r="U4216">
        <f>HOUR(datos_siembra[[#This Row],[Hour]])</f>
        <v>22</v>
      </c>
      <c r="V4216" cm="1">
        <f t="array" ref="V4216">_xlfn.IFS(AND(N4216&lt;= 22, S4216=9), N4216-7,AND(N4216&lt;= 28, S4216=9), N4216-25,AND(N4216&lt;= 30, S4216=9), N4216-28,AND(N4216&lt;= 11, S4216=10), N4216+2,AND(N4216&lt;= 21, S4216=10), N4216-11)</f>
        <v>6</v>
      </c>
    </row>
    <row r="4217" spans="1:22" x14ac:dyDescent="0.35">
      <c r="A4217" s="4">
        <v>45582</v>
      </c>
      <c r="B4217" s="5">
        <v>0.95650462962962968</v>
      </c>
      <c r="C4217">
        <v>65.2</v>
      </c>
      <c r="D4217">
        <v>65.900000000000006</v>
      </c>
      <c r="E4217">
        <v>65.900000000000006</v>
      </c>
      <c r="F4217">
        <v>65.400000000000006</v>
      </c>
      <c r="G4217">
        <v>0</v>
      </c>
      <c r="H4217">
        <v>0</v>
      </c>
      <c r="I4217">
        <v>0</v>
      </c>
      <c r="J4217">
        <v>0</v>
      </c>
      <c r="K4217">
        <v>61.5</v>
      </c>
      <c r="L4217">
        <v>61.6</v>
      </c>
      <c r="M4217">
        <v>65.5</v>
      </c>
      <c r="N4217">
        <v>17</v>
      </c>
      <c r="O4217">
        <v>2</v>
      </c>
      <c r="P4217">
        <f>MOD(DAY(datos_siembra[[#This Row],[Date]]),7)</f>
        <v>3</v>
      </c>
      <c r="Q4217" t="str">
        <f>CHOOSE(WEEKDAY(datos_siembra[[#This Row],[Date]],2),"L","M","X","J","V","S","D")</f>
        <v>J</v>
      </c>
      <c r="R4217">
        <f>WEEKNUM(datos_siembra[[#This Row],[Date]],2)-WEEKNUM(DATE(YEAR(datos_siembra[[#This Row],[Date]]),MONTH(datos_siembra[[#This Row],[Date]]),1))+1</f>
        <v>3</v>
      </c>
      <c r="S4217">
        <f>MONTH(datos_siembra[[#This Row],[Date]])</f>
        <v>10</v>
      </c>
      <c r="T4217" t="str" cm="1">
        <f t="array" ref="T4217">_xlfn.IFS(AND(N4217&lt;= 22, S4217=9), "SOWING",AND(N4217&lt;= 28, S4217=9), "COVERAGE",AND(N4217&lt;= 30, S4217=9), "FLUSH",AND(N4217&lt;= 11, S4217=10), "FLUSH",AND(N4217&lt;= 21, S4217=10), "PRODUCTION")</f>
        <v>PRODUCTION</v>
      </c>
      <c r="U4217">
        <f>HOUR(datos_siembra[[#This Row],[Hour]])</f>
        <v>22</v>
      </c>
      <c r="V4217" cm="1">
        <f t="array" ref="V4217">_xlfn.IFS(AND(N4217&lt;= 22, S4217=9), N4217-7,AND(N4217&lt;= 28, S4217=9), N4217-25,AND(N4217&lt;= 30, S4217=9), N4217-28,AND(N4217&lt;= 11, S4217=10), N4217+2,AND(N4217&lt;= 21, S4217=10), N4217-11)</f>
        <v>6</v>
      </c>
    </row>
    <row r="4218" spans="1:22" x14ac:dyDescent="0.35">
      <c r="A4218" s="4">
        <v>45582</v>
      </c>
      <c r="B4218" s="5">
        <v>0.9634490740740741</v>
      </c>
      <c r="C4218">
        <v>65.2</v>
      </c>
      <c r="D4218">
        <v>65.900000000000006</v>
      </c>
      <c r="E4218">
        <v>65.5</v>
      </c>
      <c r="F4218">
        <v>65.400000000000006</v>
      </c>
      <c r="G4218">
        <v>0</v>
      </c>
      <c r="H4218">
        <v>0</v>
      </c>
      <c r="I4218">
        <v>0</v>
      </c>
      <c r="J4218">
        <v>0</v>
      </c>
      <c r="K4218">
        <v>61.4</v>
      </c>
      <c r="L4218">
        <v>61.6</v>
      </c>
      <c r="M4218">
        <v>65.52</v>
      </c>
      <c r="N4218">
        <v>17</v>
      </c>
      <c r="O4218">
        <v>2</v>
      </c>
      <c r="P4218">
        <f>MOD(DAY(datos_siembra[[#This Row],[Date]]),7)</f>
        <v>3</v>
      </c>
      <c r="Q4218" t="str">
        <f>CHOOSE(WEEKDAY(datos_siembra[[#This Row],[Date]],2),"L","M","X","J","V","S","D")</f>
        <v>J</v>
      </c>
      <c r="R4218">
        <f>WEEKNUM(datos_siembra[[#This Row],[Date]],2)-WEEKNUM(DATE(YEAR(datos_siembra[[#This Row],[Date]]),MONTH(datos_siembra[[#This Row],[Date]]),1))+1</f>
        <v>3</v>
      </c>
      <c r="S4218">
        <f>MONTH(datos_siembra[[#This Row],[Date]])</f>
        <v>10</v>
      </c>
      <c r="T4218" t="str" cm="1">
        <f t="array" ref="T4218">_xlfn.IFS(AND(N4218&lt;= 22, S4218=9), "SOWING",AND(N4218&lt;= 28, S4218=9), "COVERAGE",AND(N4218&lt;= 30, S4218=9), "FLUSH",AND(N4218&lt;= 11, S4218=10), "FLUSH",AND(N4218&lt;= 21, S4218=10), "PRODUCTION")</f>
        <v>PRODUCTION</v>
      </c>
      <c r="U4218">
        <f>HOUR(datos_siembra[[#This Row],[Hour]])</f>
        <v>23</v>
      </c>
      <c r="V4218" cm="1">
        <f t="array" ref="V4218">_xlfn.IFS(AND(N4218&lt;= 22, S4218=9), N4218-7,AND(N4218&lt;= 28, S4218=9), N4218-25,AND(N4218&lt;= 30, S4218=9), N4218-28,AND(N4218&lt;= 11, S4218=10), N4218+2,AND(N4218&lt;= 21, S4218=10), N4218-11)</f>
        <v>6</v>
      </c>
    </row>
    <row r="4219" spans="1:22" x14ac:dyDescent="0.35">
      <c r="A4219" s="4">
        <v>45582</v>
      </c>
      <c r="B4219" s="5">
        <v>0.97039351851851852</v>
      </c>
      <c r="C4219">
        <v>65.2</v>
      </c>
      <c r="D4219">
        <v>65.900000000000006</v>
      </c>
      <c r="E4219">
        <v>65.8</v>
      </c>
      <c r="F4219">
        <v>65.3</v>
      </c>
      <c r="G4219">
        <v>0</v>
      </c>
      <c r="H4219">
        <v>0</v>
      </c>
      <c r="I4219">
        <v>0</v>
      </c>
      <c r="J4219">
        <v>0</v>
      </c>
      <c r="K4219">
        <v>61.4</v>
      </c>
      <c r="L4219">
        <v>61.6</v>
      </c>
      <c r="M4219">
        <v>65.47</v>
      </c>
      <c r="N4219">
        <v>17</v>
      </c>
      <c r="O4219">
        <v>2</v>
      </c>
      <c r="P4219">
        <f>MOD(DAY(datos_siembra[[#This Row],[Date]]),7)</f>
        <v>3</v>
      </c>
      <c r="Q4219" t="str">
        <f>CHOOSE(WEEKDAY(datos_siembra[[#This Row],[Date]],2),"L","M","X","J","V","S","D")</f>
        <v>J</v>
      </c>
      <c r="R4219">
        <f>WEEKNUM(datos_siembra[[#This Row],[Date]],2)-WEEKNUM(DATE(YEAR(datos_siembra[[#This Row],[Date]]),MONTH(datos_siembra[[#This Row],[Date]]),1))+1</f>
        <v>3</v>
      </c>
      <c r="S4219">
        <f>MONTH(datos_siembra[[#This Row],[Date]])</f>
        <v>10</v>
      </c>
      <c r="T4219" t="str" cm="1">
        <f t="array" ref="T4219">_xlfn.IFS(AND(N4219&lt;= 22, S4219=9), "SOWING",AND(N4219&lt;= 28, S4219=9), "COVERAGE",AND(N4219&lt;= 30, S4219=9), "FLUSH",AND(N4219&lt;= 11, S4219=10), "FLUSH",AND(N4219&lt;= 21, S4219=10), "PRODUCTION")</f>
        <v>PRODUCTION</v>
      </c>
      <c r="U4219">
        <f>HOUR(datos_siembra[[#This Row],[Hour]])</f>
        <v>23</v>
      </c>
      <c r="V4219" cm="1">
        <f t="array" ref="V4219">_xlfn.IFS(AND(N4219&lt;= 22, S4219=9), N4219-7,AND(N4219&lt;= 28, S4219=9), N4219-25,AND(N4219&lt;= 30, S4219=9), N4219-28,AND(N4219&lt;= 11, S4219=10), N4219+2,AND(N4219&lt;= 21, S4219=10), N4219-11)</f>
        <v>6</v>
      </c>
    </row>
    <row r="4220" spans="1:22" x14ac:dyDescent="0.35">
      <c r="A4220" s="4">
        <v>45583</v>
      </c>
      <c r="B4220" s="5">
        <v>0.3200115740740741</v>
      </c>
      <c r="C4220">
        <v>65.2</v>
      </c>
      <c r="D4220">
        <v>65.8</v>
      </c>
      <c r="E4220">
        <v>65.3</v>
      </c>
      <c r="F4220">
        <v>62.5</v>
      </c>
      <c r="G4220">
        <v>0</v>
      </c>
      <c r="H4220">
        <v>0</v>
      </c>
      <c r="I4220">
        <v>0</v>
      </c>
      <c r="J4220">
        <v>0</v>
      </c>
      <c r="K4220">
        <v>60.1</v>
      </c>
      <c r="L4220">
        <v>60.6</v>
      </c>
      <c r="M4220">
        <v>64.680000000000007</v>
      </c>
      <c r="N4220">
        <v>18</v>
      </c>
      <c r="O4220">
        <v>3</v>
      </c>
      <c r="P4220">
        <f>MOD(DAY(datos_siembra[[#This Row],[Date]]),7)</f>
        <v>4</v>
      </c>
      <c r="Q4220" t="str">
        <f>CHOOSE(WEEKDAY(datos_siembra[[#This Row],[Date]],2),"L","M","X","J","V","S","D")</f>
        <v>V</v>
      </c>
      <c r="R4220">
        <f>WEEKNUM(datos_siembra[[#This Row],[Date]],2)-WEEKNUM(DATE(YEAR(datos_siembra[[#This Row],[Date]]),MONTH(datos_siembra[[#This Row],[Date]]),1))+1</f>
        <v>3</v>
      </c>
      <c r="S4220">
        <f>MONTH(datos_siembra[[#This Row],[Date]])</f>
        <v>10</v>
      </c>
      <c r="T4220" t="str" cm="1">
        <f t="array" ref="T4220">_xlfn.IFS(AND(N4220&lt;= 22, S4220=9), "SOWING",AND(N4220&lt;= 28, S4220=9), "COVERAGE",AND(N4220&lt;= 30, S4220=9), "FLUSH",AND(N4220&lt;= 11, S4220=10), "FLUSH",AND(N4220&lt;= 21, S4220=10), "PRODUCTION")</f>
        <v>PRODUCTION</v>
      </c>
      <c r="U4220">
        <f>HOUR(datos_siembra[[#This Row],[Hour]])</f>
        <v>7</v>
      </c>
      <c r="V4220" cm="1">
        <f t="array" ref="V4220">_xlfn.IFS(AND(N4220&lt;= 22, S4220=9), N4220-7,AND(N4220&lt;= 28, S4220=9), N4220-25,AND(N4220&lt;= 30, S4220=9), N4220-28,AND(N4220&lt;= 11, S4220=10), N4220+2,AND(N4220&lt;= 21, S4220=10), N4220-11)</f>
        <v>7</v>
      </c>
    </row>
    <row r="4221" spans="1:22" x14ac:dyDescent="0.35">
      <c r="A4221" s="4">
        <v>45583</v>
      </c>
      <c r="B4221" s="5">
        <v>0.3268287037037037</v>
      </c>
      <c r="C4221">
        <v>65.099999999999994</v>
      </c>
      <c r="D4221">
        <v>65.8</v>
      </c>
      <c r="E4221">
        <v>65.2</v>
      </c>
      <c r="F4221">
        <v>62.5</v>
      </c>
      <c r="G4221">
        <v>0</v>
      </c>
      <c r="H4221">
        <v>0</v>
      </c>
      <c r="I4221">
        <v>0</v>
      </c>
      <c r="J4221">
        <v>0</v>
      </c>
      <c r="K4221">
        <v>60.2</v>
      </c>
      <c r="L4221">
        <v>60.7</v>
      </c>
      <c r="M4221">
        <v>64.709999999999994</v>
      </c>
      <c r="N4221">
        <v>18</v>
      </c>
      <c r="O4221">
        <v>3</v>
      </c>
      <c r="P4221">
        <f>MOD(DAY(datos_siembra[[#This Row],[Date]]),7)</f>
        <v>4</v>
      </c>
      <c r="Q4221" t="str">
        <f>CHOOSE(WEEKDAY(datos_siembra[[#This Row],[Date]],2),"L","M","X","J","V","S","D")</f>
        <v>V</v>
      </c>
      <c r="R4221">
        <f>WEEKNUM(datos_siembra[[#This Row],[Date]],2)-WEEKNUM(DATE(YEAR(datos_siembra[[#This Row],[Date]]),MONTH(datos_siembra[[#This Row],[Date]]),1))+1</f>
        <v>3</v>
      </c>
      <c r="S4221">
        <f>MONTH(datos_siembra[[#This Row],[Date]])</f>
        <v>10</v>
      </c>
      <c r="T4221" t="str" cm="1">
        <f t="array" ref="T4221">_xlfn.IFS(AND(N4221&lt;= 22, S4221=9), "SOWING",AND(N4221&lt;= 28, S4221=9), "COVERAGE",AND(N4221&lt;= 30, S4221=9), "FLUSH",AND(N4221&lt;= 11, S4221=10), "FLUSH",AND(N4221&lt;= 21, S4221=10), "PRODUCTION")</f>
        <v>PRODUCTION</v>
      </c>
      <c r="U4221">
        <f>HOUR(datos_siembra[[#This Row],[Hour]])</f>
        <v>7</v>
      </c>
      <c r="V4221" cm="1">
        <f t="array" ref="V4221">_xlfn.IFS(AND(N4221&lt;= 22, S4221=9), N4221-7,AND(N4221&lt;= 28, S4221=9), N4221-25,AND(N4221&lt;= 30, S4221=9), N4221-28,AND(N4221&lt;= 11, S4221=10), N4221+2,AND(N4221&lt;= 21, S4221=10), N4221-11)</f>
        <v>7</v>
      </c>
    </row>
    <row r="4222" spans="1:22" x14ac:dyDescent="0.35">
      <c r="A4222" s="4">
        <v>45583</v>
      </c>
      <c r="B4222" s="5">
        <v>0.33377314814814812</v>
      </c>
      <c r="C4222">
        <v>65.2</v>
      </c>
      <c r="D4222">
        <v>65.900000000000006</v>
      </c>
      <c r="E4222">
        <v>65.2</v>
      </c>
      <c r="F4222">
        <v>62.6</v>
      </c>
      <c r="G4222">
        <v>0</v>
      </c>
      <c r="H4222">
        <v>0</v>
      </c>
      <c r="I4222">
        <v>0</v>
      </c>
      <c r="J4222">
        <v>0</v>
      </c>
      <c r="K4222">
        <v>60.5</v>
      </c>
      <c r="L4222">
        <v>61</v>
      </c>
      <c r="M4222">
        <v>64.569999999999993</v>
      </c>
      <c r="N4222">
        <v>18</v>
      </c>
      <c r="O4222">
        <v>3</v>
      </c>
      <c r="P4222">
        <f>MOD(DAY(datos_siembra[[#This Row],[Date]]),7)</f>
        <v>4</v>
      </c>
      <c r="Q4222" t="str">
        <f>CHOOSE(WEEKDAY(datos_siembra[[#This Row],[Date]],2),"L","M","X","J","V","S","D")</f>
        <v>V</v>
      </c>
      <c r="R4222">
        <f>WEEKNUM(datos_siembra[[#This Row],[Date]],2)-WEEKNUM(DATE(YEAR(datos_siembra[[#This Row],[Date]]),MONTH(datos_siembra[[#This Row],[Date]]),1))+1</f>
        <v>3</v>
      </c>
      <c r="S4222">
        <f>MONTH(datos_siembra[[#This Row],[Date]])</f>
        <v>10</v>
      </c>
      <c r="T4222" t="str" cm="1">
        <f t="array" ref="T4222">_xlfn.IFS(AND(N4222&lt;= 22, S4222=9), "SOWING",AND(N4222&lt;= 28, S4222=9), "COVERAGE",AND(N4222&lt;= 30, S4222=9), "FLUSH",AND(N4222&lt;= 11, S4222=10), "FLUSH",AND(N4222&lt;= 21, S4222=10), "PRODUCTION")</f>
        <v>PRODUCTION</v>
      </c>
      <c r="U4222">
        <f>HOUR(datos_siembra[[#This Row],[Hour]])</f>
        <v>8</v>
      </c>
      <c r="V4222" cm="1">
        <f t="array" ref="V4222">_xlfn.IFS(AND(N4222&lt;= 22, S4222=9), N4222-7,AND(N4222&lt;= 28, S4222=9), N4222-25,AND(N4222&lt;= 30, S4222=9), N4222-28,AND(N4222&lt;= 11, S4222=10), N4222+2,AND(N4222&lt;= 21, S4222=10), N4222-11)</f>
        <v>7</v>
      </c>
    </row>
    <row r="4223" spans="1:22" x14ac:dyDescent="0.35">
      <c r="A4223" s="4">
        <v>45583</v>
      </c>
      <c r="B4223" s="5">
        <v>0.3407175925925926</v>
      </c>
      <c r="C4223">
        <v>65.2</v>
      </c>
      <c r="D4223">
        <v>65.900000000000006</v>
      </c>
      <c r="E4223">
        <v>65.2</v>
      </c>
      <c r="F4223">
        <v>62.5</v>
      </c>
      <c r="G4223">
        <v>0</v>
      </c>
      <c r="H4223">
        <v>0</v>
      </c>
      <c r="I4223">
        <v>0</v>
      </c>
      <c r="J4223">
        <v>0</v>
      </c>
      <c r="K4223">
        <v>60.6</v>
      </c>
      <c r="L4223">
        <v>61</v>
      </c>
      <c r="M4223">
        <v>64.569999999999993</v>
      </c>
      <c r="N4223">
        <v>18</v>
      </c>
      <c r="O4223">
        <v>3</v>
      </c>
      <c r="P4223">
        <f>MOD(DAY(datos_siembra[[#This Row],[Date]]),7)</f>
        <v>4</v>
      </c>
      <c r="Q4223" t="str">
        <f>CHOOSE(WEEKDAY(datos_siembra[[#This Row],[Date]],2),"L","M","X","J","V","S","D")</f>
        <v>V</v>
      </c>
      <c r="R4223">
        <f>WEEKNUM(datos_siembra[[#This Row],[Date]],2)-WEEKNUM(DATE(YEAR(datos_siembra[[#This Row],[Date]]),MONTH(datos_siembra[[#This Row],[Date]]),1))+1</f>
        <v>3</v>
      </c>
      <c r="S4223">
        <f>MONTH(datos_siembra[[#This Row],[Date]])</f>
        <v>10</v>
      </c>
      <c r="T4223" t="str" cm="1">
        <f t="array" ref="T4223">_xlfn.IFS(AND(N4223&lt;= 22, S4223=9), "SOWING",AND(N4223&lt;= 28, S4223=9), "COVERAGE",AND(N4223&lt;= 30, S4223=9), "FLUSH",AND(N4223&lt;= 11, S4223=10), "FLUSH",AND(N4223&lt;= 21, S4223=10), "PRODUCTION")</f>
        <v>PRODUCTION</v>
      </c>
      <c r="U4223">
        <f>HOUR(datos_siembra[[#This Row],[Hour]])</f>
        <v>8</v>
      </c>
      <c r="V4223" cm="1">
        <f t="array" ref="V4223">_xlfn.IFS(AND(N4223&lt;= 22, S4223=9), N4223-7,AND(N4223&lt;= 28, S4223=9), N4223-25,AND(N4223&lt;= 30, S4223=9), N4223-28,AND(N4223&lt;= 11, S4223=10), N4223+2,AND(N4223&lt;= 21, S4223=10), N4223-11)</f>
        <v>7</v>
      </c>
    </row>
    <row r="4224" spans="1:22" x14ac:dyDescent="0.35">
      <c r="A4224" s="4">
        <v>45583</v>
      </c>
      <c r="B4224" s="5">
        <v>0.34767361111111111</v>
      </c>
      <c r="C4224">
        <v>65.099999999999994</v>
      </c>
      <c r="D4224">
        <v>65.8</v>
      </c>
      <c r="E4224">
        <v>65.099999999999994</v>
      </c>
      <c r="F4224">
        <v>62.4</v>
      </c>
      <c r="G4224">
        <v>0</v>
      </c>
      <c r="H4224">
        <v>0</v>
      </c>
      <c r="I4224">
        <v>0</v>
      </c>
      <c r="J4224">
        <v>0</v>
      </c>
      <c r="K4224">
        <v>60.8</v>
      </c>
      <c r="L4224">
        <v>61.1</v>
      </c>
      <c r="M4224">
        <v>64.62</v>
      </c>
      <c r="N4224">
        <v>18</v>
      </c>
      <c r="O4224">
        <v>3</v>
      </c>
      <c r="P4224">
        <f>MOD(DAY(datos_siembra[[#This Row],[Date]]),7)</f>
        <v>4</v>
      </c>
      <c r="Q4224" t="str">
        <f>CHOOSE(WEEKDAY(datos_siembra[[#This Row],[Date]],2),"L","M","X","J","V","S","D")</f>
        <v>V</v>
      </c>
      <c r="R4224">
        <f>WEEKNUM(datos_siembra[[#This Row],[Date]],2)-WEEKNUM(DATE(YEAR(datos_siembra[[#This Row],[Date]]),MONTH(datos_siembra[[#This Row],[Date]]),1))+1</f>
        <v>3</v>
      </c>
      <c r="S4224">
        <f>MONTH(datos_siembra[[#This Row],[Date]])</f>
        <v>10</v>
      </c>
      <c r="T4224" t="str" cm="1">
        <f t="array" ref="T4224">_xlfn.IFS(AND(N4224&lt;= 22, S4224=9), "SOWING",AND(N4224&lt;= 28, S4224=9), "COVERAGE",AND(N4224&lt;= 30, S4224=9), "FLUSH",AND(N4224&lt;= 11, S4224=10), "FLUSH",AND(N4224&lt;= 21, S4224=10), "PRODUCTION")</f>
        <v>PRODUCTION</v>
      </c>
      <c r="U4224">
        <f>HOUR(datos_siembra[[#This Row],[Hour]])</f>
        <v>8</v>
      </c>
      <c r="V4224" cm="1">
        <f t="array" ref="V4224">_xlfn.IFS(AND(N4224&lt;= 22, S4224=9), N4224-7,AND(N4224&lt;= 28, S4224=9), N4224-25,AND(N4224&lt;= 30, S4224=9), N4224-28,AND(N4224&lt;= 11, S4224=10), N4224+2,AND(N4224&lt;= 21, S4224=10), N4224-11)</f>
        <v>7</v>
      </c>
    </row>
    <row r="4225" spans="1:22" x14ac:dyDescent="0.35">
      <c r="A4225" s="4">
        <v>45583</v>
      </c>
      <c r="B4225" s="5">
        <v>0.35461805555555553</v>
      </c>
      <c r="C4225">
        <v>65.2</v>
      </c>
      <c r="D4225">
        <v>66</v>
      </c>
      <c r="E4225">
        <v>65</v>
      </c>
      <c r="F4225">
        <v>62.5</v>
      </c>
      <c r="G4225">
        <v>0</v>
      </c>
      <c r="H4225">
        <v>0</v>
      </c>
      <c r="I4225">
        <v>0</v>
      </c>
      <c r="J4225">
        <v>0</v>
      </c>
      <c r="K4225">
        <v>60.9</v>
      </c>
      <c r="L4225">
        <v>61.1</v>
      </c>
      <c r="M4225">
        <v>64.62</v>
      </c>
      <c r="N4225">
        <v>18</v>
      </c>
      <c r="O4225">
        <v>3</v>
      </c>
      <c r="P4225">
        <f>MOD(DAY(datos_siembra[[#This Row],[Date]]),7)</f>
        <v>4</v>
      </c>
      <c r="Q4225" t="str">
        <f>CHOOSE(WEEKDAY(datos_siembra[[#This Row],[Date]],2),"L","M","X","J","V","S","D")</f>
        <v>V</v>
      </c>
      <c r="R4225">
        <f>WEEKNUM(datos_siembra[[#This Row],[Date]],2)-WEEKNUM(DATE(YEAR(datos_siembra[[#This Row],[Date]]),MONTH(datos_siembra[[#This Row],[Date]]),1))+1</f>
        <v>3</v>
      </c>
      <c r="S4225">
        <f>MONTH(datos_siembra[[#This Row],[Date]])</f>
        <v>10</v>
      </c>
      <c r="T4225" t="str" cm="1">
        <f t="array" ref="T4225">_xlfn.IFS(AND(N4225&lt;= 22, S4225=9), "SOWING",AND(N4225&lt;= 28, S4225=9), "COVERAGE",AND(N4225&lt;= 30, S4225=9), "FLUSH",AND(N4225&lt;= 11, S4225=10), "FLUSH",AND(N4225&lt;= 21, S4225=10), "PRODUCTION")</f>
        <v>PRODUCTION</v>
      </c>
      <c r="U4225">
        <f>HOUR(datos_siembra[[#This Row],[Hour]])</f>
        <v>8</v>
      </c>
      <c r="V4225" cm="1">
        <f t="array" ref="V4225">_xlfn.IFS(AND(N4225&lt;= 22, S4225=9), N4225-7,AND(N4225&lt;= 28, S4225=9), N4225-25,AND(N4225&lt;= 30, S4225=9), N4225-28,AND(N4225&lt;= 11, S4225=10), N4225+2,AND(N4225&lt;= 21, S4225=10), N4225-11)</f>
        <v>7</v>
      </c>
    </row>
    <row r="4226" spans="1:22" x14ac:dyDescent="0.35">
      <c r="A4226" s="4">
        <v>45583</v>
      </c>
      <c r="B4226" s="5">
        <v>0.36156250000000001</v>
      </c>
      <c r="C4226">
        <v>65.3</v>
      </c>
      <c r="D4226">
        <v>65.900000000000006</v>
      </c>
      <c r="E4226">
        <v>65.2</v>
      </c>
      <c r="F4226">
        <v>62.5</v>
      </c>
      <c r="G4226">
        <v>0</v>
      </c>
      <c r="H4226">
        <v>0</v>
      </c>
      <c r="I4226">
        <v>0</v>
      </c>
      <c r="J4226">
        <v>0</v>
      </c>
      <c r="K4226">
        <v>61</v>
      </c>
      <c r="L4226">
        <v>61.2</v>
      </c>
      <c r="M4226">
        <v>64.739999999999995</v>
      </c>
      <c r="N4226">
        <v>18</v>
      </c>
      <c r="O4226">
        <v>3</v>
      </c>
      <c r="P4226">
        <f>MOD(DAY(datos_siembra[[#This Row],[Date]]),7)</f>
        <v>4</v>
      </c>
      <c r="Q4226" t="str">
        <f>CHOOSE(WEEKDAY(datos_siembra[[#This Row],[Date]],2),"L","M","X","J","V","S","D")</f>
        <v>V</v>
      </c>
      <c r="R4226">
        <f>WEEKNUM(datos_siembra[[#This Row],[Date]],2)-WEEKNUM(DATE(YEAR(datos_siembra[[#This Row],[Date]]),MONTH(datos_siembra[[#This Row],[Date]]),1))+1</f>
        <v>3</v>
      </c>
      <c r="S4226">
        <f>MONTH(datos_siembra[[#This Row],[Date]])</f>
        <v>10</v>
      </c>
      <c r="T4226" t="str" cm="1">
        <f t="array" ref="T4226">_xlfn.IFS(AND(N4226&lt;= 22, S4226=9), "SOWING",AND(N4226&lt;= 28, S4226=9), "COVERAGE",AND(N4226&lt;= 30, S4226=9), "FLUSH",AND(N4226&lt;= 11, S4226=10), "FLUSH",AND(N4226&lt;= 21, S4226=10), "PRODUCTION")</f>
        <v>PRODUCTION</v>
      </c>
      <c r="U4226">
        <f>HOUR(datos_siembra[[#This Row],[Hour]])</f>
        <v>8</v>
      </c>
      <c r="V4226" cm="1">
        <f t="array" ref="V4226">_xlfn.IFS(AND(N4226&lt;= 22, S4226=9), N4226-7,AND(N4226&lt;= 28, S4226=9), N4226-25,AND(N4226&lt;= 30, S4226=9), N4226-28,AND(N4226&lt;= 11, S4226=10), N4226+2,AND(N4226&lt;= 21, S4226=10), N4226-11)</f>
        <v>7</v>
      </c>
    </row>
    <row r="4227" spans="1:22" x14ac:dyDescent="0.35">
      <c r="A4227" s="4">
        <v>45583</v>
      </c>
      <c r="B4227" s="5">
        <v>0.36850694444444443</v>
      </c>
      <c r="C4227">
        <v>65.3</v>
      </c>
      <c r="D4227">
        <v>66</v>
      </c>
      <c r="E4227">
        <v>65</v>
      </c>
      <c r="F4227">
        <v>62.7</v>
      </c>
      <c r="G4227">
        <v>0</v>
      </c>
      <c r="H4227">
        <v>0</v>
      </c>
      <c r="I4227">
        <v>0</v>
      </c>
      <c r="J4227">
        <v>0</v>
      </c>
      <c r="K4227">
        <v>61.2</v>
      </c>
      <c r="L4227">
        <v>61.2</v>
      </c>
      <c r="M4227">
        <v>64.790000000000006</v>
      </c>
      <c r="N4227">
        <v>18</v>
      </c>
      <c r="O4227">
        <v>3</v>
      </c>
      <c r="P4227">
        <f>MOD(DAY(datos_siembra[[#This Row],[Date]]),7)</f>
        <v>4</v>
      </c>
      <c r="Q4227" t="str">
        <f>CHOOSE(WEEKDAY(datos_siembra[[#This Row],[Date]],2),"L","M","X","J","V","S","D")</f>
        <v>V</v>
      </c>
      <c r="R4227">
        <f>WEEKNUM(datos_siembra[[#This Row],[Date]],2)-WEEKNUM(DATE(YEAR(datos_siembra[[#This Row],[Date]]),MONTH(datos_siembra[[#This Row],[Date]]),1))+1</f>
        <v>3</v>
      </c>
      <c r="S4227">
        <f>MONTH(datos_siembra[[#This Row],[Date]])</f>
        <v>10</v>
      </c>
      <c r="T4227" t="str" cm="1">
        <f t="array" ref="T4227">_xlfn.IFS(AND(N4227&lt;= 22, S4227=9), "SOWING",AND(N4227&lt;= 28, S4227=9), "COVERAGE",AND(N4227&lt;= 30, S4227=9), "FLUSH",AND(N4227&lt;= 11, S4227=10), "FLUSH",AND(N4227&lt;= 21, S4227=10), "PRODUCTION")</f>
        <v>PRODUCTION</v>
      </c>
      <c r="U4227">
        <f>HOUR(datos_siembra[[#This Row],[Hour]])</f>
        <v>8</v>
      </c>
      <c r="V4227" cm="1">
        <f t="array" ref="V4227">_xlfn.IFS(AND(N4227&lt;= 22, S4227=9), N4227-7,AND(N4227&lt;= 28, S4227=9), N4227-25,AND(N4227&lt;= 30, S4227=9), N4227-28,AND(N4227&lt;= 11, S4227=10), N4227+2,AND(N4227&lt;= 21, S4227=10), N4227-11)</f>
        <v>7</v>
      </c>
    </row>
    <row r="4228" spans="1:22" x14ac:dyDescent="0.35">
      <c r="A4228" s="4">
        <v>45583</v>
      </c>
      <c r="B4228" s="5">
        <v>0.37546296296296294</v>
      </c>
      <c r="C4228">
        <v>65.2</v>
      </c>
      <c r="D4228">
        <v>65.900000000000006</v>
      </c>
      <c r="E4228">
        <v>64.900000000000006</v>
      </c>
      <c r="F4228">
        <v>62.6</v>
      </c>
      <c r="G4228">
        <v>0</v>
      </c>
      <c r="H4228">
        <v>0</v>
      </c>
      <c r="I4228">
        <v>0</v>
      </c>
      <c r="J4228">
        <v>0</v>
      </c>
      <c r="K4228">
        <v>61.2</v>
      </c>
      <c r="L4228">
        <v>61.4</v>
      </c>
      <c r="M4228">
        <v>64.599999999999994</v>
      </c>
      <c r="N4228">
        <v>18</v>
      </c>
      <c r="O4228">
        <v>3</v>
      </c>
      <c r="P4228">
        <f>MOD(DAY(datos_siembra[[#This Row],[Date]]),7)</f>
        <v>4</v>
      </c>
      <c r="Q4228" t="str">
        <f>CHOOSE(WEEKDAY(datos_siembra[[#This Row],[Date]],2),"L","M","X","J","V","S","D")</f>
        <v>V</v>
      </c>
      <c r="R4228">
        <f>WEEKNUM(datos_siembra[[#This Row],[Date]],2)-WEEKNUM(DATE(YEAR(datos_siembra[[#This Row],[Date]]),MONTH(datos_siembra[[#This Row],[Date]]),1))+1</f>
        <v>3</v>
      </c>
      <c r="S4228">
        <f>MONTH(datos_siembra[[#This Row],[Date]])</f>
        <v>10</v>
      </c>
      <c r="T4228" t="str" cm="1">
        <f t="array" ref="T4228">_xlfn.IFS(AND(N4228&lt;= 22, S4228=9), "SOWING",AND(N4228&lt;= 28, S4228=9), "COVERAGE",AND(N4228&lt;= 30, S4228=9), "FLUSH",AND(N4228&lt;= 11, S4228=10), "FLUSH",AND(N4228&lt;= 21, S4228=10), "PRODUCTION")</f>
        <v>PRODUCTION</v>
      </c>
      <c r="U4228">
        <f>HOUR(datos_siembra[[#This Row],[Hour]])</f>
        <v>9</v>
      </c>
      <c r="V4228" cm="1">
        <f t="array" ref="V4228">_xlfn.IFS(AND(N4228&lt;= 22, S4228=9), N4228-7,AND(N4228&lt;= 28, S4228=9), N4228-25,AND(N4228&lt;= 30, S4228=9), N4228-28,AND(N4228&lt;= 11, S4228=10), N4228+2,AND(N4228&lt;= 21, S4228=10), N4228-11)</f>
        <v>7</v>
      </c>
    </row>
    <row r="4229" spans="1:22" x14ac:dyDescent="0.35">
      <c r="A4229" s="4">
        <v>45583</v>
      </c>
      <c r="B4229" s="5">
        <v>0.38240740740740742</v>
      </c>
      <c r="C4229">
        <v>65.2</v>
      </c>
      <c r="D4229">
        <v>65.900000000000006</v>
      </c>
      <c r="E4229">
        <v>65</v>
      </c>
      <c r="F4229">
        <v>62.6</v>
      </c>
      <c r="G4229">
        <v>0</v>
      </c>
      <c r="H4229">
        <v>0</v>
      </c>
      <c r="I4229">
        <v>0</v>
      </c>
      <c r="J4229">
        <v>0</v>
      </c>
      <c r="K4229">
        <v>61.5</v>
      </c>
      <c r="L4229">
        <v>61.5</v>
      </c>
      <c r="M4229">
        <v>64.650000000000006</v>
      </c>
      <c r="N4229">
        <v>18</v>
      </c>
      <c r="O4229">
        <v>3</v>
      </c>
      <c r="P4229">
        <f>MOD(DAY(datos_siembra[[#This Row],[Date]]),7)</f>
        <v>4</v>
      </c>
      <c r="Q4229" t="str">
        <f>CHOOSE(WEEKDAY(datos_siembra[[#This Row],[Date]],2),"L","M","X","J","V","S","D")</f>
        <v>V</v>
      </c>
      <c r="R4229">
        <f>WEEKNUM(datos_siembra[[#This Row],[Date]],2)-WEEKNUM(DATE(YEAR(datos_siembra[[#This Row],[Date]]),MONTH(datos_siembra[[#This Row],[Date]]),1))+1</f>
        <v>3</v>
      </c>
      <c r="S4229">
        <f>MONTH(datos_siembra[[#This Row],[Date]])</f>
        <v>10</v>
      </c>
      <c r="T4229" t="str" cm="1">
        <f t="array" ref="T4229">_xlfn.IFS(AND(N4229&lt;= 22, S4229=9), "SOWING",AND(N4229&lt;= 28, S4229=9), "COVERAGE",AND(N4229&lt;= 30, S4229=9), "FLUSH",AND(N4229&lt;= 11, S4229=10), "FLUSH",AND(N4229&lt;= 21, S4229=10), "PRODUCTION")</f>
        <v>PRODUCTION</v>
      </c>
      <c r="U4229">
        <f>HOUR(datos_siembra[[#This Row],[Hour]])</f>
        <v>9</v>
      </c>
      <c r="V4229" cm="1">
        <f t="array" ref="V4229">_xlfn.IFS(AND(N4229&lt;= 22, S4229=9), N4229-7,AND(N4229&lt;= 28, S4229=9), N4229-25,AND(N4229&lt;= 30, S4229=9), N4229-28,AND(N4229&lt;= 11, S4229=10), N4229+2,AND(N4229&lt;= 21, S4229=10), N4229-11)</f>
        <v>7</v>
      </c>
    </row>
    <row r="4230" spans="1:22" x14ac:dyDescent="0.35">
      <c r="A4230" s="4">
        <v>45583</v>
      </c>
      <c r="B4230" s="5">
        <v>0.38935185185185184</v>
      </c>
      <c r="C4230">
        <v>65.2</v>
      </c>
      <c r="D4230">
        <v>66</v>
      </c>
      <c r="E4230">
        <v>65.099999999999994</v>
      </c>
      <c r="F4230">
        <v>62.6</v>
      </c>
      <c r="G4230">
        <v>0</v>
      </c>
      <c r="H4230">
        <v>0</v>
      </c>
      <c r="I4230">
        <v>0</v>
      </c>
      <c r="J4230">
        <v>0</v>
      </c>
      <c r="K4230">
        <v>61.6</v>
      </c>
      <c r="L4230">
        <v>61.6</v>
      </c>
      <c r="M4230">
        <v>64.62</v>
      </c>
      <c r="N4230">
        <v>18</v>
      </c>
      <c r="O4230">
        <v>3</v>
      </c>
      <c r="P4230">
        <f>MOD(DAY(datos_siembra[[#This Row],[Date]]),7)</f>
        <v>4</v>
      </c>
      <c r="Q4230" t="str">
        <f>CHOOSE(WEEKDAY(datos_siembra[[#This Row],[Date]],2),"L","M","X","J","V","S","D")</f>
        <v>V</v>
      </c>
      <c r="R4230">
        <f>WEEKNUM(datos_siembra[[#This Row],[Date]],2)-WEEKNUM(DATE(YEAR(datos_siembra[[#This Row],[Date]]),MONTH(datos_siembra[[#This Row],[Date]]),1))+1</f>
        <v>3</v>
      </c>
      <c r="S4230">
        <f>MONTH(datos_siembra[[#This Row],[Date]])</f>
        <v>10</v>
      </c>
      <c r="T4230" t="str" cm="1">
        <f t="array" ref="T4230">_xlfn.IFS(AND(N4230&lt;= 22, S4230=9), "SOWING",AND(N4230&lt;= 28, S4230=9), "COVERAGE",AND(N4230&lt;= 30, S4230=9), "FLUSH",AND(N4230&lt;= 11, S4230=10), "FLUSH",AND(N4230&lt;= 21, S4230=10), "PRODUCTION")</f>
        <v>PRODUCTION</v>
      </c>
      <c r="U4230">
        <f>HOUR(datos_siembra[[#This Row],[Hour]])</f>
        <v>9</v>
      </c>
      <c r="V4230" cm="1">
        <f t="array" ref="V4230">_xlfn.IFS(AND(N4230&lt;= 22, S4230=9), N4230-7,AND(N4230&lt;= 28, S4230=9), N4230-25,AND(N4230&lt;= 30, S4230=9), N4230-28,AND(N4230&lt;= 11, S4230=10), N4230+2,AND(N4230&lt;= 21, S4230=10), N4230-11)</f>
        <v>7</v>
      </c>
    </row>
    <row r="4231" spans="1:22" x14ac:dyDescent="0.35">
      <c r="A4231" s="4">
        <v>45583</v>
      </c>
      <c r="B4231" s="5">
        <v>0.39630787037037035</v>
      </c>
      <c r="C4231">
        <v>65.2</v>
      </c>
      <c r="D4231">
        <v>65.900000000000006</v>
      </c>
      <c r="E4231">
        <v>64.900000000000006</v>
      </c>
      <c r="F4231">
        <v>62.5</v>
      </c>
      <c r="G4231">
        <v>0</v>
      </c>
      <c r="H4231">
        <v>0</v>
      </c>
      <c r="I4231">
        <v>0</v>
      </c>
      <c r="J4231">
        <v>0</v>
      </c>
      <c r="K4231">
        <v>61.9</v>
      </c>
      <c r="L4231">
        <v>61.9</v>
      </c>
      <c r="M4231">
        <v>64.599999999999994</v>
      </c>
      <c r="N4231">
        <v>18</v>
      </c>
      <c r="O4231">
        <v>3</v>
      </c>
      <c r="P4231">
        <f>MOD(DAY(datos_siembra[[#This Row],[Date]]),7)</f>
        <v>4</v>
      </c>
      <c r="Q4231" t="str">
        <f>CHOOSE(WEEKDAY(datos_siembra[[#This Row],[Date]],2),"L","M","X","J","V","S","D")</f>
        <v>V</v>
      </c>
      <c r="R4231">
        <f>WEEKNUM(datos_siembra[[#This Row],[Date]],2)-WEEKNUM(DATE(YEAR(datos_siembra[[#This Row],[Date]]),MONTH(datos_siembra[[#This Row],[Date]]),1))+1</f>
        <v>3</v>
      </c>
      <c r="S4231">
        <f>MONTH(datos_siembra[[#This Row],[Date]])</f>
        <v>10</v>
      </c>
      <c r="T4231" t="str" cm="1">
        <f t="array" ref="T4231">_xlfn.IFS(AND(N4231&lt;= 22, S4231=9), "SOWING",AND(N4231&lt;= 28, S4231=9), "COVERAGE",AND(N4231&lt;= 30, S4231=9), "FLUSH",AND(N4231&lt;= 11, S4231=10), "FLUSH",AND(N4231&lt;= 21, S4231=10), "PRODUCTION")</f>
        <v>PRODUCTION</v>
      </c>
      <c r="U4231">
        <f>HOUR(datos_siembra[[#This Row],[Hour]])</f>
        <v>9</v>
      </c>
      <c r="V4231" cm="1">
        <f t="array" ref="V4231">_xlfn.IFS(AND(N4231&lt;= 22, S4231=9), N4231-7,AND(N4231&lt;= 28, S4231=9), N4231-25,AND(N4231&lt;= 30, S4231=9), N4231-28,AND(N4231&lt;= 11, S4231=10), N4231+2,AND(N4231&lt;= 21, S4231=10), N4231-11)</f>
        <v>7</v>
      </c>
    </row>
    <row r="4232" spans="1:22" x14ac:dyDescent="0.35">
      <c r="A4232" s="4">
        <v>45583</v>
      </c>
      <c r="B4232" s="5">
        <v>0.40325231481481483</v>
      </c>
      <c r="C4232">
        <v>65.2</v>
      </c>
      <c r="D4232">
        <v>65.8</v>
      </c>
      <c r="E4232">
        <v>64.900000000000006</v>
      </c>
      <c r="F4232">
        <v>62.5</v>
      </c>
      <c r="G4232">
        <v>0</v>
      </c>
      <c r="H4232">
        <v>0</v>
      </c>
      <c r="I4232">
        <v>0</v>
      </c>
      <c r="J4232">
        <v>0</v>
      </c>
      <c r="K4232">
        <v>61.7</v>
      </c>
      <c r="L4232">
        <v>61.8</v>
      </c>
      <c r="M4232">
        <v>64.599999999999994</v>
      </c>
      <c r="N4232">
        <v>18</v>
      </c>
      <c r="O4232">
        <v>3</v>
      </c>
      <c r="P4232">
        <f>MOD(DAY(datos_siembra[[#This Row],[Date]]),7)</f>
        <v>4</v>
      </c>
      <c r="Q4232" t="str">
        <f>CHOOSE(WEEKDAY(datos_siembra[[#This Row],[Date]],2),"L","M","X","J","V","S","D")</f>
        <v>V</v>
      </c>
      <c r="R4232">
        <f>WEEKNUM(datos_siembra[[#This Row],[Date]],2)-WEEKNUM(DATE(YEAR(datos_siembra[[#This Row],[Date]]),MONTH(datos_siembra[[#This Row],[Date]]),1))+1</f>
        <v>3</v>
      </c>
      <c r="S4232">
        <f>MONTH(datos_siembra[[#This Row],[Date]])</f>
        <v>10</v>
      </c>
      <c r="T4232" t="str" cm="1">
        <f t="array" ref="T4232">_xlfn.IFS(AND(N4232&lt;= 22, S4232=9), "SOWING",AND(N4232&lt;= 28, S4232=9), "COVERAGE",AND(N4232&lt;= 30, S4232=9), "FLUSH",AND(N4232&lt;= 11, S4232=10), "FLUSH",AND(N4232&lt;= 21, S4232=10), "PRODUCTION")</f>
        <v>PRODUCTION</v>
      </c>
      <c r="U4232">
        <f>HOUR(datos_siembra[[#This Row],[Hour]])</f>
        <v>9</v>
      </c>
      <c r="V4232" cm="1">
        <f t="array" ref="V4232">_xlfn.IFS(AND(N4232&lt;= 22, S4232=9), N4232-7,AND(N4232&lt;= 28, S4232=9), N4232-25,AND(N4232&lt;= 30, S4232=9), N4232-28,AND(N4232&lt;= 11, S4232=10), N4232+2,AND(N4232&lt;= 21, S4232=10), N4232-11)</f>
        <v>7</v>
      </c>
    </row>
    <row r="4233" spans="1:22" x14ac:dyDescent="0.35">
      <c r="A4233" s="4">
        <v>45583</v>
      </c>
      <c r="B4233" s="5">
        <v>0.41019675925925925</v>
      </c>
      <c r="C4233">
        <v>65.099999999999994</v>
      </c>
      <c r="D4233">
        <v>65.900000000000006</v>
      </c>
      <c r="E4233">
        <v>65</v>
      </c>
      <c r="F4233">
        <v>62.6</v>
      </c>
      <c r="G4233">
        <v>0</v>
      </c>
      <c r="H4233">
        <v>0</v>
      </c>
      <c r="I4233">
        <v>0</v>
      </c>
      <c r="J4233">
        <v>0</v>
      </c>
      <c r="K4233">
        <v>61.9</v>
      </c>
      <c r="L4233">
        <v>62</v>
      </c>
      <c r="M4233">
        <v>64.62</v>
      </c>
      <c r="N4233">
        <v>18</v>
      </c>
      <c r="O4233">
        <v>3</v>
      </c>
      <c r="P4233">
        <f>MOD(DAY(datos_siembra[[#This Row],[Date]]),7)</f>
        <v>4</v>
      </c>
      <c r="Q4233" t="str">
        <f>CHOOSE(WEEKDAY(datos_siembra[[#This Row],[Date]],2),"L","M","X","J","V","S","D")</f>
        <v>V</v>
      </c>
      <c r="R4233">
        <f>WEEKNUM(datos_siembra[[#This Row],[Date]],2)-WEEKNUM(DATE(YEAR(datos_siembra[[#This Row],[Date]]),MONTH(datos_siembra[[#This Row],[Date]]),1))+1</f>
        <v>3</v>
      </c>
      <c r="S4233">
        <f>MONTH(datos_siembra[[#This Row],[Date]])</f>
        <v>10</v>
      </c>
      <c r="T4233" t="str" cm="1">
        <f t="array" ref="T4233">_xlfn.IFS(AND(N4233&lt;= 22, S4233=9), "SOWING",AND(N4233&lt;= 28, S4233=9), "COVERAGE",AND(N4233&lt;= 30, S4233=9), "FLUSH",AND(N4233&lt;= 11, S4233=10), "FLUSH",AND(N4233&lt;= 21, S4233=10), "PRODUCTION")</f>
        <v>PRODUCTION</v>
      </c>
      <c r="U4233">
        <f>HOUR(datos_siembra[[#This Row],[Hour]])</f>
        <v>9</v>
      </c>
      <c r="V4233" cm="1">
        <f t="array" ref="V4233">_xlfn.IFS(AND(N4233&lt;= 22, S4233=9), N4233-7,AND(N4233&lt;= 28, S4233=9), N4233-25,AND(N4233&lt;= 30, S4233=9), N4233-28,AND(N4233&lt;= 11, S4233=10), N4233+2,AND(N4233&lt;= 21, S4233=10), N4233-11)</f>
        <v>7</v>
      </c>
    </row>
    <row r="4234" spans="1:22" x14ac:dyDescent="0.35">
      <c r="A4234" s="4">
        <v>45583</v>
      </c>
      <c r="B4234" s="5">
        <v>0.41714120370370372</v>
      </c>
      <c r="C4234">
        <v>65.099999999999994</v>
      </c>
      <c r="D4234">
        <v>65.900000000000006</v>
      </c>
      <c r="E4234">
        <v>65</v>
      </c>
      <c r="F4234">
        <v>62.8</v>
      </c>
      <c r="G4234">
        <v>0</v>
      </c>
      <c r="H4234">
        <v>0</v>
      </c>
      <c r="I4234">
        <v>0</v>
      </c>
      <c r="J4234">
        <v>0</v>
      </c>
      <c r="K4234">
        <v>62</v>
      </c>
      <c r="L4234">
        <v>62</v>
      </c>
      <c r="M4234">
        <v>64.569999999999993</v>
      </c>
      <c r="N4234">
        <v>18</v>
      </c>
      <c r="O4234">
        <v>3</v>
      </c>
      <c r="P4234">
        <f>MOD(DAY(datos_siembra[[#This Row],[Date]]),7)</f>
        <v>4</v>
      </c>
      <c r="Q4234" t="str">
        <f>CHOOSE(WEEKDAY(datos_siembra[[#This Row],[Date]],2),"L","M","X","J","V","S","D")</f>
        <v>V</v>
      </c>
      <c r="R4234">
        <f>WEEKNUM(datos_siembra[[#This Row],[Date]],2)-WEEKNUM(DATE(YEAR(datos_siembra[[#This Row],[Date]]),MONTH(datos_siembra[[#This Row],[Date]]),1))+1</f>
        <v>3</v>
      </c>
      <c r="S4234">
        <f>MONTH(datos_siembra[[#This Row],[Date]])</f>
        <v>10</v>
      </c>
      <c r="T4234" t="str" cm="1">
        <f t="array" ref="T4234">_xlfn.IFS(AND(N4234&lt;= 22, S4234=9), "SOWING",AND(N4234&lt;= 28, S4234=9), "COVERAGE",AND(N4234&lt;= 30, S4234=9), "FLUSH",AND(N4234&lt;= 11, S4234=10), "FLUSH",AND(N4234&lt;= 21, S4234=10), "PRODUCTION")</f>
        <v>PRODUCTION</v>
      </c>
      <c r="U4234">
        <f>HOUR(datos_siembra[[#This Row],[Hour]])</f>
        <v>10</v>
      </c>
      <c r="V4234" cm="1">
        <f t="array" ref="V4234">_xlfn.IFS(AND(N4234&lt;= 22, S4234=9), N4234-7,AND(N4234&lt;= 28, S4234=9), N4234-25,AND(N4234&lt;= 30, S4234=9), N4234-28,AND(N4234&lt;= 11, S4234=10), N4234+2,AND(N4234&lt;= 21, S4234=10), N4234-11)</f>
        <v>7</v>
      </c>
    </row>
    <row r="4235" spans="1:22" x14ac:dyDescent="0.35">
      <c r="A4235" s="4">
        <v>45583</v>
      </c>
      <c r="B4235" s="5">
        <v>0.42409722222222224</v>
      </c>
      <c r="C4235">
        <v>65.2</v>
      </c>
      <c r="D4235">
        <v>65.900000000000006</v>
      </c>
      <c r="E4235">
        <v>64.900000000000006</v>
      </c>
      <c r="F4235">
        <v>62.6</v>
      </c>
      <c r="G4235">
        <v>0</v>
      </c>
      <c r="H4235">
        <v>0</v>
      </c>
      <c r="I4235">
        <v>0</v>
      </c>
      <c r="J4235">
        <v>0</v>
      </c>
      <c r="K4235">
        <v>62.3</v>
      </c>
      <c r="L4235">
        <v>62.3</v>
      </c>
      <c r="M4235">
        <v>64.569999999999993</v>
      </c>
      <c r="N4235">
        <v>18</v>
      </c>
      <c r="O4235">
        <v>3</v>
      </c>
      <c r="P4235">
        <f>MOD(DAY(datos_siembra[[#This Row],[Date]]),7)</f>
        <v>4</v>
      </c>
      <c r="Q4235" t="str">
        <f>CHOOSE(WEEKDAY(datos_siembra[[#This Row],[Date]],2),"L","M","X","J","V","S","D")</f>
        <v>V</v>
      </c>
      <c r="R4235">
        <f>WEEKNUM(datos_siembra[[#This Row],[Date]],2)-WEEKNUM(DATE(YEAR(datos_siembra[[#This Row],[Date]]),MONTH(datos_siembra[[#This Row],[Date]]),1))+1</f>
        <v>3</v>
      </c>
      <c r="S4235">
        <f>MONTH(datos_siembra[[#This Row],[Date]])</f>
        <v>10</v>
      </c>
      <c r="T4235" t="str" cm="1">
        <f t="array" ref="T4235">_xlfn.IFS(AND(N4235&lt;= 22, S4235=9), "SOWING",AND(N4235&lt;= 28, S4235=9), "COVERAGE",AND(N4235&lt;= 30, S4235=9), "FLUSH",AND(N4235&lt;= 11, S4235=10), "FLUSH",AND(N4235&lt;= 21, S4235=10), "PRODUCTION")</f>
        <v>PRODUCTION</v>
      </c>
      <c r="U4235">
        <f>HOUR(datos_siembra[[#This Row],[Hour]])</f>
        <v>10</v>
      </c>
      <c r="V4235" cm="1">
        <f t="array" ref="V4235">_xlfn.IFS(AND(N4235&lt;= 22, S4235=9), N4235-7,AND(N4235&lt;= 28, S4235=9), N4235-25,AND(N4235&lt;= 30, S4235=9), N4235-28,AND(N4235&lt;= 11, S4235=10), N4235+2,AND(N4235&lt;= 21, S4235=10), N4235-11)</f>
        <v>7</v>
      </c>
    </row>
    <row r="4236" spans="1:22" x14ac:dyDescent="0.35">
      <c r="A4236" s="4">
        <v>45583</v>
      </c>
      <c r="B4236" s="5">
        <v>0.43104166666666666</v>
      </c>
      <c r="C4236">
        <v>65</v>
      </c>
      <c r="D4236">
        <v>65.900000000000006</v>
      </c>
      <c r="E4236">
        <v>64.900000000000006</v>
      </c>
      <c r="F4236">
        <v>62.7</v>
      </c>
      <c r="G4236">
        <v>0</v>
      </c>
      <c r="H4236">
        <v>0</v>
      </c>
      <c r="I4236">
        <v>0</v>
      </c>
      <c r="J4236">
        <v>0</v>
      </c>
      <c r="K4236">
        <v>62.2</v>
      </c>
      <c r="L4236">
        <v>62.2</v>
      </c>
      <c r="M4236">
        <v>64.62</v>
      </c>
      <c r="N4236">
        <v>18</v>
      </c>
      <c r="O4236">
        <v>3</v>
      </c>
      <c r="P4236">
        <f>MOD(DAY(datos_siembra[[#This Row],[Date]]),7)</f>
        <v>4</v>
      </c>
      <c r="Q4236" t="str">
        <f>CHOOSE(WEEKDAY(datos_siembra[[#This Row],[Date]],2),"L","M","X","J","V","S","D")</f>
        <v>V</v>
      </c>
      <c r="R4236">
        <f>WEEKNUM(datos_siembra[[#This Row],[Date]],2)-WEEKNUM(DATE(YEAR(datos_siembra[[#This Row],[Date]]),MONTH(datos_siembra[[#This Row],[Date]]),1))+1</f>
        <v>3</v>
      </c>
      <c r="S4236">
        <f>MONTH(datos_siembra[[#This Row],[Date]])</f>
        <v>10</v>
      </c>
      <c r="T4236" t="str" cm="1">
        <f t="array" ref="T4236">_xlfn.IFS(AND(N4236&lt;= 22, S4236=9), "SOWING",AND(N4236&lt;= 28, S4236=9), "COVERAGE",AND(N4236&lt;= 30, S4236=9), "FLUSH",AND(N4236&lt;= 11, S4236=10), "FLUSH",AND(N4236&lt;= 21, S4236=10), "PRODUCTION")</f>
        <v>PRODUCTION</v>
      </c>
      <c r="U4236">
        <f>HOUR(datos_siembra[[#This Row],[Hour]])</f>
        <v>10</v>
      </c>
      <c r="V4236" cm="1">
        <f t="array" ref="V4236">_xlfn.IFS(AND(N4236&lt;= 22, S4236=9), N4236-7,AND(N4236&lt;= 28, S4236=9), N4236-25,AND(N4236&lt;= 30, S4236=9), N4236-28,AND(N4236&lt;= 11, S4236=10), N4236+2,AND(N4236&lt;= 21, S4236=10), N4236-11)</f>
        <v>7</v>
      </c>
    </row>
    <row r="4237" spans="1:22" x14ac:dyDescent="0.35">
      <c r="A4237" s="4">
        <v>45583</v>
      </c>
      <c r="B4237" s="5">
        <v>0.43798611111111113</v>
      </c>
      <c r="C4237">
        <v>65.2</v>
      </c>
      <c r="D4237">
        <v>65.900000000000006</v>
      </c>
      <c r="E4237">
        <v>64.7</v>
      </c>
      <c r="F4237">
        <v>62.5</v>
      </c>
      <c r="G4237">
        <v>0</v>
      </c>
      <c r="H4237">
        <v>0</v>
      </c>
      <c r="I4237">
        <v>0</v>
      </c>
      <c r="J4237">
        <v>0</v>
      </c>
      <c r="K4237">
        <v>62.3</v>
      </c>
      <c r="L4237">
        <v>62.2</v>
      </c>
      <c r="M4237">
        <v>64.599999999999994</v>
      </c>
      <c r="N4237">
        <v>18</v>
      </c>
      <c r="O4237">
        <v>3</v>
      </c>
      <c r="P4237">
        <f>MOD(DAY(datos_siembra[[#This Row],[Date]]),7)</f>
        <v>4</v>
      </c>
      <c r="Q4237" t="str">
        <f>CHOOSE(WEEKDAY(datos_siembra[[#This Row],[Date]],2),"L","M","X","J","V","S","D")</f>
        <v>V</v>
      </c>
      <c r="R4237">
        <f>WEEKNUM(datos_siembra[[#This Row],[Date]],2)-WEEKNUM(DATE(YEAR(datos_siembra[[#This Row],[Date]]),MONTH(datos_siembra[[#This Row],[Date]]),1))+1</f>
        <v>3</v>
      </c>
      <c r="S4237">
        <f>MONTH(datos_siembra[[#This Row],[Date]])</f>
        <v>10</v>
      </c>
      <c r="T4237" t="str" cm="1">
        <f t="array" ref="T4237">_xlfn.IFS(AND(N4237&lt;= 22, S4237=9), "SOWING",AND(N4237&lt;= 28, S4237=9), "COVERAGE",AND(N4237&lt;= 30, S4237=9), "FLUSH",AND(N4237&lt;= 11, S4237=10), "FLUSH",AND(N4237&lt;= 21, S4237=10), "PRODUCTION")</f>
        <v>PRODUCTION</v>
      </c>
      <c r="U4237">
        <f>HOUR(datos_siembra[[#This Row],[Hour]])</f>
        <v>10</v>
      </c>
      <c r="V4237" cm="1">
        <f t="array" ref="V4237">_xlfn.IFS(AND(N4237&lt;= 22, S4237=9), N4237-7,AND(N4237&lt;= 28, S4237=9), N4237-25,AND(N4237&lt;= 30, S4237=9), N4237-28,AND(N4237&lt;= 11, S4237=10), N4237+2,AND(N4237&lt;= 21, S4237=10), N4237-11)</f>
        <v>7</v>
      </c>
    </row>
    <row r="4238" spans="1:22" x14ac:dyDescent="0.35">
      <c r="A4238" s="4">
        <v>45583</v>
      </c>
      <c r="B4238" s="5">
        <v>0.44494212962962965</v>
      </c>
      <c r="C4238">
        <v>65.099999999999994</v>
      </c>
      <c r="D4238">
        <v>65.900000000000006</v>
      </c>
      <c r="E4238">
        <v>64.7</v>
      </c>
      <c r="F4238">
        <v>62.5</v>
      </c>
      <c r="G4238">
        <v>0</v>
      </c>
      <c r="H4238">
        <v>0</v>
      </c>
      <c r="I4238">
        <v>0</v>
      </c>
      <c r="J4238">
        <v>0</v>
      </c>
      <c r="K4238">
        <v>62.2</v>
      </c>
      <c r="L4238">
        <v>62.2</v>
      </c>
      <c r="M4238">
        <v>64.459999999999994</v>
      </c>
      <c r="N4238">
        <v>18</v>
      </c>
      <c r="O4238">
        <v>3</v>
      </c>
      <c r="P4238">
        <f>MOD(DAY(datos_siembra[[#This Row],[Date]]),7)</f>
        <v>4</v>
      </c>
      <c r="Q4238" t="str">
        <f>CHOOSE(WEEKDAY(datos_siembra[[#This Row],[Date]],2),"L","M","X","J","V","S","D")</f>
        <v>V</v>
      </c>
      <c r="R4238">
        <f>WEEKNUM(datos_siembra[[#This Row],[Date]],2)-WEEKNUM(DATE(YEAR(datos_siembra[[#This Row],[Date]]),MONTH(datos_siembra[[#This Row],[Date]]),1))+1</f>
        <v>3</v>
      </c>
      <c r="S4238">
        <f>MONTH(datos_siembra[[#This Row],[Date]])</f>
        <v>10</v>
      </c>
      <c r="T4238" t="str" cm="1">
        <f t="array" ref="T4238">_xlfn.IFS(AND(N4238&lt;= 22, S4238=9), "SOWING",AND(N4238&lt;= 28, S4238=9), "COVERAGE",AND(N4238&lt;= 30, S4238=9), "FLUSH",AND(N4238&lt;= 11, S4238=10), "FLUSH",AND(N4238&lt;= 21, S4238=10), "PRODUCTION")</f>
        <v>PRODUCTION</v>
      </c>
      <c r="U4238">
        <f>HOUR(datos_siembra[[#This Row],[Hour]])</f>
        <v>10</v>
      </c>
      <c r="V4238" cm="1">
        <f t="array" ref="V4238">_xlfn.IFS(AND(N4238&lt;= 22, S4238=9), N4238-7,AND(N4238&lt;= 28, S4238=9), N4238-25,AND(N4238&lt;= 30, S4238=9), N4238-28,AND(N4238&lt;= 11, S4238=10), N4238+2,AND(N4238&lt;= 21, S4238=10), N4238-11)</f>
        <v>7</v>
      </c>
    </row>
    <row r="4239" spans="1:22" x14ac:dyDescent="0.35">
      <c r="A4239" s="4">
        <v>45583</v>
      </c>
      <c r="B4239" s="5">
        <v>0.45188657407407407</v>
      </c>
      <c r="C4239">
        <v>65.099999999999994</v>
      </c>
      <c r="D4239">
        <v>65.900000000000006</v>
      </c>
      <c r="E4239">
        <v>64.900000000000006</v>
      </c>
      <c r="F4239">
        <v>62.7</v>
      </c>
      <c r="G4239">
        <v>0</v>
      </c>
      <c r="H4239">
        <v>0</v>
      </c>
      <c r="I4239">
        <v>0</v>
      </c>
      <c r="J4239">
        <v>0</v>
      </c>
      <c r="K4239">
        <v>62.4</v>
      </c>
      <c r="L4239">
        <v>62.3</v>
      </c>
      <c r="M4239">
        <v>64.569999999999993</v>
      </c>
      <c r="N4239">
        <v>18</v>
      </c>
      <c r="O4239">
        <v>3</v>
      </c>
      <c r="P4239">
        <f>MOD(DAY(datos_siembra[[#This Row],[Date]]),7)</f>
        <v>4</v>
      </c>
      <c r="Q4239" t="str">
        <f>CHOOSE(WEEKDAY(datos_siembra[[#This Row],[Date]],2),"L","M","X","J","V","S","D")</f>
        <v>V</v>
      </c>
      <c r="R4239">
        <f>WEEKNUM(datos_siembra[[#This Row],[Date]],2)-WEEKNUM(DATE(YEAR(datos_siembra[[#This Row],[Date]]),MONTH(datos_siembra[[#This Row],[Date]]),1))+1</f>
        <v>3</v>
      </c>
      <c r="S4239">
        <f>MONTH(datos_siembra[[#This Row],[Date]])</f>
        <v>10</v>
      </c>
      <c r="T4239" t="str" cm="1">
        <f t="array" ref="T4239">_xlfn.IFS(AND(N4239&lt;= 22, S4239=9), "SOWING",AND(N4239&lt;= 28, S4239=9), "COVERAGE",AND(N4239&lt;= 30, S4239=9), "FLUSH",AND(N4239&lt;= 11, S4239=10), "FLUSH",AND(N4239&lt;= 21, S4239=10), "PRODUCTION")</f>
        <v>PRODUCTION</v>
      </c>
      <c r="U4239">
        <f>HOUR(datos_siembra[[#This Row],[Hour]])</f>
        <v>10</v>
      </c>
      <c r="V4239" cm="1">
        <f t="array" ref="V4239">_xlfn.IFS(AND(N4239&lt;= 22, S4239=9), N4239-7,AND(N4239&lt;= 28, S4239=9), N4239-25,AND(N4239&lt;= 30, S4239=9), N4239-28,AND(N4239&lt;= 11, S4239=10), N4239+2,AND(N4239&lt;= 21, S4239=10), N4239-11)</f>
        <v>7</v>
      </c>
    </row>
    <row r="4240" spans="1:22" x14ac:dyDescent="0.35">
      <c r="A4240" s="4">
        <v>45583</v>
      </c>
      <c r="B4240" s="5">
        <v>0.45883101851851854</v>
      </c>
      <c r="C4240">
        <v>65.099999999999994</v>
      </c>
      <c r="D4240">
        <v>66</v>
      </c>
      <c r="E4240">
        <v>64.7</v>
      </c>
      <c r="F4240">
        <v>62.6</v>
      </c>
      <c r="G4240">
        <v>0</v>
      </c>
      <c r="H4240">
        <v>0</v>
      </c>
      <c r="I4240">
        <v>0</v>
      </c>
      <c r="J4240">
        <v>0</v>
      </c>
      <c r="K4240">
        <v>62.5</v>
      </c>
      <c r="L4240">
        <v>62.4</v>
      </c>
      <c r="M4240">
        <v>64.569999999999993</v>
      </c>
      <c r="N4240">
        <v>18</v>
      </c>
      <c r="O4240">
        <v>3</v>
      </c>
      <c r="P4240">
        <f>MOD(DAY(datos_siembra[[#This Row],[Date]]),7)</f>
        <v>4</v>
      </c>
      <c r="Q4240" t="str">
        <f>CHOOSE(WEEKDAY(datos_siembra[[#This Row],[Date]],2),"L","M","X","J","V","S","D")</f>
        <v>V</v>
      </c>
      <c r="R4240">
        <f>WEEKNUM(datos_siembra[[#This Row],[Date]],2)-WEEKNUM(DATE(YEAR(datos_siembra[[#This Row],[Date]]),MONTH(datos_siembra[[#This Row],[Date]]),1))+1</f>
        <v>3</v>
      </c>
      <c r="S4240">
        <f>MONTH(datos_siembra[[#This Row],[Date]])</f>
        <v>10</v>
      </c>
      <c r="T4240" t="str" cm="1">
        <f t="array" ref="T4240">_xlfn.IFS(AND(N4240&lt;= 22, S4240=9), "SOWING",AND(N4240&lt;= 28, S4240=9), "COVERAGE",AND(N4240&lt;= 30, S4240=9), "FLUSH",AND(N4240&lt;= 11, S4240=10), "FLUSH",AND(N4240&lt;= 21, S4240=10), "PRODUCTION")</f>
        <v>PRODUCTION</v>
      </c>
      <c r="U4240">
        <f>HOUR(datos_siembra[[#This Row],[Hour]])</f>
        <v>11</v>
      </c>
      <c r="V4240" cm="1">
        <f t="array" ref="V4240">_xlfn.IFS(AND(N4240&lt;= 22, S4240=9), N4240-7,AND(N4240&lt;= 28, S4240=9), N4240-25,AND(N4240&lt;= 30, S4240=9), N4240-28,AND(N4240&lt;= 11, S4240=10), N4240+2,AND(N4240&lt;= 21, S4240=10), N4240-11)</f>
        <v>7</v>
      </c>
    </row>
    <row r="4241" spans="1:22" x14ac:dyDescent="0.35">
      <c r="A4241" s="4">
        <v>45583</v>
      </c>
      <c r="B4241" s="5">
        <v>0.46577546296296296</v>
      </c>
      <c r="C4241">
        <v>65.099999999999994</v>
      </c>
      <c r="D4241">
        <v>65.900000000000006</v>
      </c>
      <c r="E4241">
        <v>64.7</v>
      </c>
      <c r="F4241">
        <v>62.6</v>
      </c>
      <c r="G4241">
        <v>0</v>
      </c>
      <c r="H4241">
        <v>0</v>
      </c>
      <c r="I4241">
        <v>0</v>
      </c>
      <c r="J4241">
        <v>0</v>
      </c>
      <c r="K4241">
        <v>62.8</v>
      </c>
      <c r="L4241">
        <v>62.6</v>
      </c>
      <c r="M4241">
        <v>64.510000000000005</v>
      </c>
      <c r="N4241">
        <v>18</v>
      </c>
      <c r="O4241">
        <v>3</v>
      </c>
      <c r="P4241">
        <f>MOD(DAY(datos_siembra[[#This Row],[Date]]),7)</f>
        <v>4</v>
      </c>
      <c r="Q4241" t="str">
        <f>CHOOSE(WEEKDAY(datos_siembra[[#This Row],[Date]],2),"L","M","X","J","V","S","D")</f>
        <v>V</v>
      </c>
      <c r="R4241">
        <f>WEEKNUM(datos_siembra[[#This Row],[Date]],2)-WEEKNUM(DATE(YEAR(datos_siembra[[#This Row],[Date]]),MONTH(datos_siembra[[#This Row],[Date]]),1))+1</f>
        <v>3</v>
      </c>
      <c r="S4241">
        <f>MONTH(datos_siembra[[#This Row],[Date]])</f>
        <v>10</v>
      </c>
      <c r="T4241" t="str" cm="1">
        <f t="array" ref="T4241">_xlfn.IFS(AND(N4241&lt;= 22, S4241=9), "SOWING",AND(N4241&lt;= 28, S4241=9), "COVERAGE",AND(N4241&lt;= 30, S4241=9), "FLUSH",AND(N4241&lt;= 11, S4241=10), "FLUSH",AND(N4241&lt;= 21, S4241=10), "PRODUCTION")</f>
        <v>PRODUCTION</v>
      </c>
      <c r="U4241">
        <f>HOUR(datos_siembra[[#This Row],[Hour]])</f>
        <v>11</v>
      </c>
      <c r="V4241" cm="1">
        <f t="array" ref="V4241">_xlfn.IFS(AND(N4241&lt;= 22, S4241=9), N4241-7,AND(N4241&lt;= 28, S4241=9), N4241-25,AND(N4241&lt;= 30, S4241=9), N4241-28,AND(N4241&lt;= 11, S4241=10), N4241+2,AND(N4241&lt;= 21, S4241=10), N4241-11)</f>
        <v>7</v>
      </c>
    </row>
    <row r="4242" spans="1:22" x14ac:dyDescent="0.35">
      <c r="A4242" s="4">
        <v>45583</v>
      </c>
      <c r="B4242" s="5">
        <v>0.47273148148148147</v>
      </c>
      <c r="C4242">
        <v>65.099999999999994</v>
      </c>
      <c r="D4242">
        <v>66</v>
      </c>
      <c r="E4242">
        <v>64.599999999999994</v>
      </c>
      <c r="F4242">
        <v>62.7</v>
      </c>
      <c r="G4242">
        <v>0</v>
      </c>
      <c r="H4242">
        <v>0</v>
      </c>
      <c r="I4242">
        <v>0</v>
      </c>
      <c r="J4242">
        <v>0</v>
      </c>
      <c r="K4242">
        <v>62.7</v>
      </c>
      <c r="L4242">
        <v>62.6</v>
      </c>
      <c r="M4242">
        <v>64.569999999999993</v>
      </c>
      <c r="N4242">
        <v>18</v>
      </c>
      <c r="O4242">
        <v>3</v>
      </c>
      <c r="P4242">
        <f>MOD(DAY(datos_siembra[[#This Row],[Date]]),7)</f>
        <v>4</v>
      </c>
      <c r="Q4242" t="str">
        <f>CHOOSE(WEEKDAY(datos_siembra[[#This Row],[Date]],2),"L","M","X","J","V","S","D")</f>
        <v>V</v>
      </c>
      <c r="R4242">
        <f>WEEKNUM(datos_siembra[[#This Row],[Date]],2)-WEEKNUM(DATE(YEAR(datos_siembra[[#This Row],[Date]]),MONTH(datos_siembra[[#This Row],[Date]]),1))+1</f>
        <v>3</v>
      </c>
      <c r="S4242">
        <f>MONTH(datos_siembra[[#This Row],[Date]])</f>
        <v>10</v>
      </c>
      <c r="T4242" t="str" cm="1">
        <f t="array" ref="T4242">_xlfn.IFS(AND(N4242&lt;= 22, S4242=9), "SOWING",AND(N4242&lt;= 28, S4242=9), "COVERAGE",AND(N4242&lt;= 30, S4242=9), "FLUSH",AND(N4242&lt;= 11, S4242=10), "FLUSH",AND(N4242&lt;= 21, S4242=10), "PRODUCTION")</f>
        <v>PRODUCTION</v>
      </c>
      <c r="U4242">
        <f>HOUR(datos_siembra[[#This Row],[Hour]])</f>
        <v>11</v>
      </c>
      <c r="V4242" cm="1">
        <f t="array" ref="V4242">_xlfn.IFS(AND(N4242&lt;= 22, S4242=9), N4242-7,AND(N4242&lt;= 28, S4242=9), N4242-25,AND(N4242&lt;= 30, S4242=9), N4242-28,AND(N4242&lt;= 11, S4242=10), N4242+2,AND(N4242&lt;= 21, S4242=10), N4242-11)</f>
        <v>7</v>
      </c>
    </row>
    <row r="4243" spans="1:22" x14ac:dyDescent="0.35">
      <c r="A4243" s="4">
        <v>45583</v>
      </c>
      <c r="B4243" s="5">
        <v>0.47967592592592595</v>
      </c>
      <c r="C4243">
        <v>65</v>
      </c>
      <c r="D4243">
        <v>66</v>
      </c>
      <c r="E4243">
        <v>64.7</v>
      </c>
      <c r="F4243">
        <v>62.6</v>
      </c>
      <c r="G4243">
        <v>0</v>
      </c>
      <c r="H4243">
        <v>0</v>
      </c>
      <c r="I4243">
        <v>0</v>
      </c>
      <c r="J4243">
        <v>0</v>
      </c>
      <c r="K4243">
        <v>62.8</v>
      </c>
      <c r="L4243">
        <v>62.7</v>
      </c>
      <c r="M4243">
        <v>64.569999999999993</v>
      </c>
      <c r="N4243">
        <v>18</v>
      </c>
      <c r="O4243">
        <v>3</v>
      </c>
      <c r="P4243">
        <f>MOD(DAY(datos_siembra[[#This Row],[Date]]),7)</f>
        <v>4</v>
      </c>
      <c r="Q4243" t="str">
        <f>CHOOSE(WEEKDAY(datos_siembra[[#This Row],[Date]],2),"L","M","X","J","V","S","D")</f>
        <v>V</v>
      </c>
      <c r="R4243">
        <f>WEEKNUM(datos_siembra[[#This Row],[Date]],2)-WEEKNUM(DATE(YEAR(datos_siembra[[#This Row],[Date]]),MONTH(datos_siembra[[#This Row],[Date]]),1))+1</f>
        <v>3</v>
      </c>
      <c r="S4243">
        <f>MONTH(datos_siembra[[#This Row],[Date]])</f>
        <v>10</v>
      </c>
      <c r="T4243" t="str" cm="1">
        <f t="array" ref="T4243">_xlfn.IFS(AND(N4243&lt;= 22, S4243=9), "SOWING",AND(N4243&lt;= 28, S4243=9), "COVERAGE",AND(N4243&lt;= 30, S4243=9), "FLUSH",AND(N4243&lt;= 11, S4243=10), "FLUSH",AND(N4243&lt;= 21, S4243=10), "PRODUCTION")</f>
        <v>PRODUCTION</v>
      </c>
      <c r="U4243">
        <f>HOUR(datos_siembra[[#This Row],[Hour]])</f>
        <v>11</v>
      </c>
      <c r="V4243" cm="1">
        <f t="array" ref="V4243">_xlfn.IFS(AND(N4243&lt;= 22, S4243=9), N4243-7,AND(N4243&lt;= 28, S4243=9), N4243-25,AND(N4243&lt;= 30, S4243=9), N4243-28,AND(N4243&lt;= 11, S4243=10), N4243+2,AND(N4243&lt;= 21, S4243=10), N4243-11)</f>
        <v>7</v>
      </c>
    </row>
    <row r="4244" spans="1:22" x14ac:dyDescent="0.35">
      <c r="A4244" s="4">
        <v>45583</v>
      </c>
      <c r="B4244" s="5">
        <v>0.48662037037037037</v>
      </c>
      <c r="C4244">
        <v>65</v>
      </c>
      <c r="D4244">
        <v>66</v>
      </c>
      <c r="E4244">
        <v>64.7</v>
      </c>
      <c r="F4244">
        <v>62.6</v>
      </c>
      <c r="G4244">
        <v>0</v>
      </c>
      <c r="H4244">
        <v>0</v>
      </c>
      <c r="I4244">
        <v>0</v>
      </c>
      <c r="J4244">
        <v>0</v>
      </c>
      <c r="K4244">
        <v>62.8</v>
      </c>
      <c r="L4244">
        <v>62.7</v>
      </c>
      <c r="M4244">
        <v>64.569999999999993</v>
      </c>
      <c r="N4244">
        <v>18</v>
      </c>
      <c r="O4244">
        <v>3</v>
      </c>
      <c r="P4244">
        <f>MOD(DAY(datos_siembra[[#This Row],[Date]]),7)</f>
        <v>4</v>
      </c>
      <c r="Q4244" t="str">
        <f>CHOOSE(WEEKDAY(datos_siembra[[#This Row],[Date]],2),"L","M","X","J","V","S","D")</f>
        <v>V</v>
      </c>
      <c r="R4244">
        <f>WEEKNUM(datos_siembra[[#This Row],[Date]],2)-WEEKNUM(DATE(YEAR(datos_siembra[[#This Row],[Date]]),MONTH(datos_siembra[[#This Row],[Date]]),1))+1</f>
        <v>3</v>
      </c>
      <c r="S4244">
        <f>MONTH(datos_siembra[[#This Row],[Date]])</f>
        <v>10</v>
      </c>
      <c r="T4244" t="str" cm="1">
        <f t="array" ref="T4244">_xlfn.IFS(AND(N4244&lt;= 22, S4244=9), "SOWING",AND(N4244&lt;= 28, S4244=9), "COVERAGE",AND(N4244&lt;= 30, S4244=9), "FLUSH",AND(N4244&lt;= 11, S4244=10), "FLUSH",AND(N4244&lt;= 21, S4244=10), "PRODUCTION")</f>
        <v>PRODUCTION</v>
      </c>
      <c r="U4244">
        <f>HOUR(datos_siembra[[#This Row],[Hour]])</f>
        <v>11</v>
      </c>
      <c r="V4244" cm="1">
        <f t="array" ref="V4244">_xlfn.IFS(AND(N4244&lt;= 22, S4244=9), N4244-7,AND(N4244&lt;= 28, S4244=9), N4244-25,AND(N4244&lt;= 30, S4244=9), N4244-28,AND(N4244&lt;= 11, S4244=10), N4244+2,AND(N4244&lt;= 21, S4244=10), N4244-11)</f>
        <v>7</v>
      </c>
    </row>
    <row r="4245" spans="1:22" x14ac:dyDescent="0.35">
      <c r="A4245" s="4">
        <v>45583</v>
      </c>
      <c r="B4245" s="5">
        <v>0.49357638888888888</v>
      </c>
      <c r="C4245">
        <v>65.099999999999994</v>
      </c>
      <c r="D4245">
        <v>65.900000000000006</v>
      </c>
      <c r="E4245">
        <v>64.599999999999994</v>
      </c>
      <c r="F4245">
        <v>62.7</v>
      </c>
      <c r="G4245">
        <v>0</v>
      </c>
      <c r="H4245">
        <v>0</v>
      </c>
      <c r="I4245">
        <v>0</v>
      </c>
      <c r="J4245">
        <v>0</v>
      </c>
      <c r="K4245">
        <v>62.8</v>
      </c>
      <c r="L4245">
        <v>62.8</v>
      </c>
      <c r="M4245">
        <v>64.510000000000005</v>
      </c>
      <c r="N4245">
        <v>18</v>
      </c>
      <c r="O4245">
        <v>3</v>
      </c>
      <c r="P4245">
        <f>MOD(DAY(datos_siembra[[#This Row],[Date]]),7)</f>
        <v>4</v>
      </c>
      <c r="Q4245" t="str">
        <f>CHOOSE(WEEKDAY(datos_siembra[[#This Row],[Date]],2),"L","M","X","J","V","S","D")</f>
        <v>V</v>
      </c>
      <c r="R4245">
        <f>WEEKNUM(datos_siembra[[#This Row],[Date]],2)-WEEKNUM(DATE(YEAR(datos_siembra[[#This Row],[Date]]),MONTH(datos_siembra[[#This Row],[Date]]),1))+1</f>
        <v>3</v>
      </c>
      <c r="S4245">
        <f>MONTH(datos_siembra[[#This Row],[Date]])</f>
        <v>10</v>
      </c>
      <c r="T4245" t="str" cm="1">
        <f t="array" ref="T4245">_xlfn.IFS(AND(N4245&lt;= 22, S4245=9), "SOWING",AND(N4245&lt;= 28, S4245=9), "COVERAGE",AND(N4245&lt;= 30, S4245=9), "FLUSH",AND(N4245&lt;= 11, S4245=10), "FLUSH",AND(N4245&lt;= 21, S4245=10), "PRODUCTION")</f>
        <v>PRODUCTION</v>
      </c>
      <c r="U4245">
        <f>HOUR(datos_siembra[[#This Row],[Hour]])</f>
        <v>11</v>
      </c>
      <c r="V4245" cm="1">
        <f t="array" ref="V4245">_xlfn.IFS(AND(N4245&lt;= 22, S4245=9), N4245-7,AND(N4245&lt;= 28, S4245=9), N4245-25,AND(N4245&lt;= 30, S4245=9), N4245-28,AND(N4245&lt;= 11, S4245=10), N4245+2,AND(N4245&lt;= 21, S4245=10), N4245-11)</f>
        <v>7</v>
      </c>
    </row>
    <row r="4246" spans="1:22" x14ac:dyDescent="0.35">
      <c r="A4246" s="4">
        <v>45583</v>
      </c>
      <c r="B4246" s="5">
        <v>0.5005208333333333</v>
      </c>
      <c r="C4246">
        <v>64.900000000000006</v>
      </c>
      <c r="D4246">
        <v>65.900000000000006</v>
      </c>
      <c r="E4246">
        <v>64.5</v>
      </c>
      <c r="F4246">
        <v>62.6</v>
      </c>
      <c r="G4246">
        <v>0</v>
      </c>
      <c r="H4246">
        <v>0</v>
      </c>
      <c r="I4246">
        <v>0</v>
      </c>
      <c r="J4246">
        <v>0</v>
      </c>
      <c r="K4246">
        <v>62.7</v>
      </c>
      <c r="L4246">
        <v>62.7</v>
      </c>
      <c r="M4246">
        <v>64.459999999999994</v>
      </c>
      <c r="N4246">
        <v>18</v>
      </c>
      <c r="O4246">
        <v>3</v>
      </c>
      <c r="P4246">
        <f>MOD(DAY(datos_siembra[[#This Row],[Date]]),7)</f>
        <v>4</v>
      </c>
      <c r="Q4246" t="str">
        <f>CHOOSE(WEEKDAY(datos_siembra[[#This Row],[Date]],2),"L","M","X","J","V","S","D")</f>
        <v>V</v>
      </c>
      <c r="R4246">
        <f>WEEKNUM(datos_siembra[[#This Row],[Date]],2)-WEEKNUM(DATE(YEAR(datos_siembra[[#This Row],[Date]]),MONTH(datos_siembra[[#This Row],[Date]]),1))+1</f>
        <v>3</v>
      </c>
      <c r="S4246">
        <f>MONTH(datos_siembra[[#This Row],[Date]])</f>
        <v>10</v>
      </c>
      <c r="T4246" t="str" cm="1">
        <f t="array" ref="T4246">_xlfn.IFS(AND(N4246&lt;= 22, S4246=9), "SOWING",AND(N4246&lt;= 28, S4246=9), "COVERAGE",AND(N4246&lt;= 30, S4246=9), "FLUSH",AND(N4246&lt;= 11, S4246=10), "FLUSH",AND(N4246&lt;= 21, S4246=10), "PRODUCTION")</f>
        <v>PRODUCTION</v>
      </c>
      <c r="U4246">
        <f>HOUR(datos_siembra[[#This Row],[Hour]])</f>
        <v>12</v>
      </c>
      <c r="V4246" cm="1">
        <f t="array" ref="V4246">_xlfn.IFS(AND(N4246&lt;= 22, S4246=9), N4246-7,AND(N4246&lt;= 28, S4246=9), N4246-25,AND(N4246&lt;= 30, S4246=9), N4246-28,AND(N4246&lt;= 11, S4246=10), N4246+2,AND(N4246&lt;= 21, S4246=10), N4246-11)</f>
        <v>7</v>
      </c>
    </row>
    <row r="4247" spans="1:22" x14ac:dyDescent="0.35">
      <c r="A4247" s="4">
        <v>45583</v>
      </c>
      <c r="B4247" s="5">
        <v>0.50746527777777772</v>
      </c>
      <c r="C4247">
        <v>65.099999999999994</v>
      </c>
      <c r="D4247">
        <v>65.900000000000006</v>
      </c>
      <c r="E4247">
        <v>64.599999999999994</v>
      </c>
      <c r="F4247">
        <v>62.6</v>
      </c>
      <c r="G4247">
        <v>0</v>
      </c>
      <c r="H4247">
        <v>0</v>
      </c>
      <c r="I4247">
        <v>0</v>
      </c>
      <c r="J4247">
        <v>0</v>
      </c>
      <c r="K4247">
        <v>62.7</v>
      </c>
      <c r="L4247">
        <v>62.7</v>
      </c>
      <c r="M4247">
        <v>64.599999999999994</v>
      </c>
      <c r="N4247">
        <v>18</v>
      </c>
      <c r="O4247">
        <v>3</v>
      </c>
      <c r="P4247">
        <f>MOD(DAY(datos_siembra[[#This Row],[Date]]),7)</f>
        <v>4</v>
      </c>
      <c r="Q4247" t="str">
        <f>CHOOSE(WEEKDAY(datos_siembra[[#This Row],[Date]],2),"L","M","X","J","V","S","D")</f>
        <v>V</v>
      </c>
      <c r="R4247">
        <f>WEEKNUM(datos_siembra[[#This Row],[Date]],2)-WEEKNUM(DATE(YEAR(datos_siembra[[#This Row],[Date]]),MONTH(datos_siembra[[#This Row],[Date]]),1))+1</f>
        <v>3</v>
      </c>
      <c r="S4247">
        <f>MONTH(datos_siembra[[#This Row],[Date]])</f>
        <v>10</v>
      </c>
      <c r="T4247" t="str" cm="1">
        <f t="array" ref="T4247">_xlfn.IFS(AND(N4247&lt;= 22, S4247=9), "SOWING",AND(N4247&lt;= 28, S4247=9), "COVERAGE",AND(N4247&lt;= 30, S4247=9), "FLUSH",AND(N4247&lt;= 11, S4247=10), "FLUSH",AND(N4247&lt;= 21, S4247=10), "PRODUCTION")</f>
        <v>PRODUCTION</v>
      </c>
      <c r="U4247">
        <f>HOUR(datos_siembra[[#This Row],[Hour]])</f>
        <v>12</v>
      </c>
      <c r="V4247" cm="1">
        <f t="array" ref="V4247">_xlfn.IFS(AND(N4247&lt;= 22, S4247=9), N4247-7,AND(N4247&lt;= 28, S4247=9), N4247-25,AND(N4247&lt;= 30, S4247=9), N4247-28,AND(N4247&lt;= 11, S4247=10), N4247+2,AND(N4247&lt;= 21, S4247=10), N4247-11)</f>
        <v>7</v>
      </c>
    </row>
    <row r="4248" spans="1:22" x14ac:dyDescent="0.35">
      <c r="A4248" s="4">
        <v>45583</v>
      </c>
      <c r="B4248" s="5">
        <v>0.51440972222222225</v>
      </c>
      <c r="C4248">
        <v>65.099999999999994</v>
      </c>
      <c r="D4248">
        <v>66</v>
      </c>
      <c r="E4248">
        <v>64.5</v>
      </c>
      <c r="F4248">
        <v>62.8</v>
      </c>
      <c r="G4248">
        <v>0</v>
      </c>
      <c r="H4248">
        <v>0</v>
      </c>
      <c r="I4248">
        <v>0</v>
      </c>
      <c r="J4248">
        <v>0</v>
      </c>
      <c r="K4248">
        <v>62.8</v>
      </c>
      <c r="L4248">
        <v>62.7</v>
      </c>
      <c r="M4248">
        <v>64.540000000000006</v>
      </c>
      <c r="N4248">
        <v>18</v>
      </c>
      <c r="O4248">
        <v>3</v>
      </c>
      <c r="P4248">
        <f>MOD(DAY(datos_siembra[[#This Row],[Date]]),7)</f>
        <v>4</v>
      </c>
      <c r="Q4248" t="str">
        <f>CHOOSE(WEEKDAY(datos_siembra[[#This Row],[Date]],2),"L","M","X","J","V","S","D")</f>
        <v>V</v>
      </c>
      <c r="R4248">
        <f>WEEKNUM(datos_siembra[[#This Row],[Date]],2)-WEEKNUM(DATE(YEAR(datos_siembra[[#This Row],[Date]]),MONTH(datos_siembra[[#This Row],[Date]]),1))+1</f>
        <v>3</v>
      </c>
      <c r="S4248">
        <f>MONTH(datos_siembra[[#This Row],[Date]])</f>
        <v>10</v>
      </c>
      <c r="T4248" t="str" cm="1">
        <f t="array" ref="T4248">_xlfn.IFS(AND(N4248&lt;= 22, S4248=9), "SOWING",AND(N4248&lt;= 28, S4248=9), "COVERAGE",AND(N4248&lt;= 30, S4248=9), "FLUSH",AND(N4248&lt;= 11, S4248=10), "FLUSH",AND(N4248&lt;= 21, S4248=10), "PRODUCTION")</f>
        <v>PRODUCTION</v>
      </c>
      <c r="U4248">
        <f>HOUR(datos_siembra[[#This Row],[Hour]])</f>
        <v>12</v>
      </c>
      <c r="V4248" cm="1">
        <f t="array" ref="V4248">_xlfn.IFS(AND(N4248&lt;= 22, S4248=9), N4248-7,AND(N4248&lt;= 28, S4248=9), N4248-25,AND(N4248&lt;= 30, S4248=9), N4248-28,AND(N4248&lt;= 11, S4248=10), N4248+2,AND(N4248&lt;= 21, S4248=10), N4248-11)</f>
        <v>7</v>
      </c>
    </row>
    <row r="4249" spans="1:22" x14ac:dyDescent="0.35">
      <c r="A4249" s="4">
        <v>45583</v>
      </c>
      <c r="B4249" s="5">
        <v>0.52136574074074071</v>
      </c>
      <c r="C4249">
        <v>65</v>
      </c>
      <c r="D4249">
        <v>66</v>
      </c>
      <c r="E4249">
        <v>64.5</v>
      </c>
      <c r="F4249">
        <v>62.8</v>
      </c>
      <c r="G4249">
        <v>0</v>
      </c>
      <c r="H4249">
        <v>0</v>
      </c>
      <c r="I4249">
        <v>0</v>
      </c>
      <c r="J4249">
        <v>0</v>
      </c>
      <c r="K4249">
        <v>62.9</v>
      </c>
      <c r="L4249">
        <v>62.9</v>
      </c>
      <c r="M4249">
        <v>64.599999999999994</v>
      </c>
      <c r="N4249">
        <v>18</v>
      </c>
      <c r="O4249">
        <v>3</v>
      </c>
      <c r="P4249">
        <f>MOD(DAY(datos_siembra[[#This Row],[Date]]),7)</f>
        <v>4</v>
      </c>
      <c r="Q4249" t="str">
        <f>CHOOSE(WEEKDAY(datos_siembra[[#This Row],[Date]],2),"L","M","X","J","V","S","D")</f>
        <v>V</v>
      </c>
      <c r="R4249">
        <f>WEEKNUM(datos_siembra[[#This Row],[Date]],2)-WEEKNUM(DATE(YEAR(datos_siembra[[#This Row],[Date]]),MONTH(datos_siembra[[#This Row],[Date]]),1))+1</f>
        <v>3</v>
      </c>
      <c r="S4249">
        <f>MONTH(datos_siembra[[#This Row],[Date]])</f>
        <v>10</v>
      </c>
      <c r="T4249" t="str" cm="1">
        <f t="array" ref="T4249">_xlfn.IFS(AND(N4249&lt;= 22, S4249=9), "SOWING",AND(N4249&lt;= 28, S4249=9), "COVERAGE",AND(N4249&lt;= 30, S4249=9), "FLUSH",AND(N4249&lt;= 11, S4249=10), "FLUSH",AND(N4249&lt;= 21, S4249=10), "PRODUCTION")</f>
        <v>PRODUCTION</v>
      </c>
      <c r="U4249">
        <f>HOUR(datos_siembra[[#This Row],[Hour]])</f>
        <v>12</v>
      </c>
      <c r="V4249" cm="1">
        <f t="array" ref="V4249">_xlfn.IFS(AND(N4249&lt;= 22, S4249=9), N4249-7,AND(N4249&lt;= 28, S4249=9), N4249-25,AND(N4249&lt;= 30, S4249=9), N4249-28,AND(N4249&lt;= 11, S4249=10), N4249+2,AND(N4249&lt;= 21, S4249=10), N4249-11)</f>
        <v>7</v>
      </c>
    </row>
    <row r="4250" spans="1:22" x14ac:dyDescent="0.35">
      <c r="A4250" s="4">
        <v>45583</v>
      </c>
      <c r="B4250" s="5">
        <v>0.52831018518518513</v>
      </c>
      <c r="C4250">
        <v>65</v>
      </c>
      <c r="D4250">
        <v>65.8</v>
      </c>
      <c r="E4250">
        <v>64.599999999999994</v>
      </c>
      <c r="F4250">
        <v>62.9</v>
      </c>
      <c r="G4250">
        <v>0</v>
      </c>
      <c r="H4250">
        <v>0</v>
      </c>
      <c r="I4250">
        <v>0</v>
      </c>
      <c r="J4250">
        <v>0</v>
      </c>
      <c r="K4250">
        <v>62.8</v>
      </c>
      <c r="L4250">
        <v>62.8</v>
      </c>
      <c r="M4250">
        <v>64.569999999999993</v>
      </c>
      <c r="N4250">
        <v>18</v>
      </c>
      <c r="O4250">
        <v>3</v>
      </c>
      <c r="P4250">
        <f>MOD(DAY(datos_siembra[[#This Row],[Date]]),7)</f>
        <v>4</v>
      </c>
      <c r="Q4250" t="str">
        <f>CHOOSE(WEEKDAY(datos_siembra[[#This Row],[Date]],2),"L","M","X","J","V","S","D")</f>
        <v>V</v>
      </c>
      <c r="R4250">
        <f>WEEKNUM(datos_siembra[[#This Row],[Date]],2)-WEEKNUM(DATE(YEAR(datos_siembra[[#This Row],[Date]]),MONTH(datos_siembra[[#This Row],[Date]]),1))+1</f>
        <v>3</v>
      </c>
      <c r="S4250">
        <f>MONTH(datos_siembra[[#This Row],[Date]])</f>
        <v>10</v>
      </c>
      <c r="T4250" t="str" cm="1">
        <f t="array" ref="T4250">_xlfn.IFS(AND(N4250&lt;= 22, S4250=9), "SOWING",AND(N4250&lt;= 28, S4250=9), "COVERAGE",AND(N4250&lt;= 30, S4250=9), "FLUSH",AND(N4250&lt;= 11, S4250=10), "FLUSH",AND(N4250&lt;= 21, S4250=10), "PRODUCTION")</f>
        <v>PRODUCTION</v>
      </c>
      <c r="U4250">
        <f>HOUR(datos_siembra[[#This Row],[Hour]])</f>
        <v>12</v>
      </c>
      <c r="V4250" cm="1">
        <f t="array" ref="V4250">_xlfn.IFS(AND(N4250&lt;= 22, S4250=9), N4250-7,AND(N4250&lt;= 28, S4250=9), N4250-25,AND(N4250&lt;= 30, S4250=9), N4250-28,AND(N4250&lt;= 11, S4250=10), N4250+2,AND(N4250&lt;= 21, S4250=10), N4250-11)</f>
        <v>7</v>
      </c>
    </row>
    <row r="4251" spans="1:22" x14ac:dyDescent="0.35">
      <c r="A4251" s="4">
        <v>45583</v>
      </c>
      <c r="B4251" s="5">
        <v>0.53525462962962966</v>
      </c>
      <c r="C4251">
        <v>64.900000000000006</v>
      </c>
      <c r="D4251">
        <v>65.900000000000006</v>
      </c>
      <c r="E4251">
        <v>64.5</v>
      </c>
      <c r="F4251">
        <v>62.8</v>
      </c>
      <c r="G4251">
        <v>0</v>
      </c>
      <c r="H4251">
        <v>0</v>
      </c>
      <c r="I4251">
        <v>0</v>
      </c>
      <c r="J4251">
        <v>0</v>
      </c>
      <c r="K4251">
        <v>62.9</v>
      </c>
      <c r="L4251">
        <v>63</v>
      </c>
      <c r="M4251">
        <v>64.62</v>
      </c>
      <c r="N4251">
        <v>18</v>
      </c>
      <c r="O4251">
        <v>3</v>
      </c>
      <c r="P4251">
        <f>MOD(DAY(datos_siembra[[#This Row],[Date]]),7)</f>
        <v>4</v>
      </c>
      <c r="Q4251" t="str">
        <f>CHOOSE(WEEKDAY(datos_siembra[[#This Row],[Date]],2),"L","M","X","J","V","S","D")</f>
        <v>V</v>
      </c>
      <c r="R4251">
        <f>WEEKNUM(datos_siembra[[#This Row],[Date]],2)-WEEKNUM(DATE(YEAR(datos_siembra[[#This Row],[Date]]),MONTH(datos_siembra[[#This Row],[Date]]),1))+1</f>
        <v>3</v>
      </c>
      <c r="S4251">
        <f>MONTH(datos_siembra[[#This Row],[Date]])</f>
        <v>10</v>
      </c>
      <c r="T4251" t="str" cm="1">
        <f t="array" ref="T4251">_xlfn.IFS(AND(N4251&lt;= 22, S4251=9), "SOWING",AND(N4251&lt;= 28, S4251=9), "COVERAGE",AND(N4251&lt;= 30, S4251=9), "FLUSH",AND(N4251&lt;= 11, S4251=10), "FLUSH",AND(N4251&lt;= 21, S4251=10), "PRODUCTION")</f>
        <v>PRODUCTION</v>
      </c>
      <c r="U4251">
        <f>HOUR(datos_siembra[[#This Row],[Hour]])</f>
        <v>12</v>
      </c>
      <c r="V4251" cm="1">
        <f t="array" ref="V4251">_xlfn.IFS(AND(N4251&lt;= 22, S4251=9), N4251-7,AND(N4251&lt;= 28, S4251=9), N4251-25,AND(N4251&lt;= 30, S4251=9), N4251-28,AND(N4251&lt;= 11, S4251=10), N4251+2,AND(N4251&lt;= 21, S4251=10), N4251-11)</f>
        <v>7</v>
      </c>
    </row>
    <row r="4252" spans="1:22" x14ac:dyDescent="0.35">
      <c r="A4252" s="4">
        <v>45583</v>
      </c>
      <c r="B4252" s="5">
        <v>0.54221064814814812</v>
      </c>
      <c r="C4252">
        <v>65</v>
      </c>
      <c r="D4252">
        <v>66</v>
      </c>
      <c r="E4252">
        <v>64.5</v>
      </c>
      <c r="F4252">
        <v>62.9</v>
      </c>
      <c r="G4252">
        <v>0</v>
      </c>
      <c r="H4252">
        <v>0</v>
      </c>
      <c r="I4252">
        <v>0</v>
      </c>
      <c r="J4252">
        <v>0</v>
      </c>
      <c r="K4252">
        <v>63</v>
      </c>
      <c r="L4252">
        <v>63</v>
      </c>
      <c r="M4252">
        <v>64.62</v>
      </c>
      <c r="N4252">
        <v>18</v>
      </c>
      <c r="O4252">
        <v>3</v>
      </c>
      <c r="P4252">
        <f>MOD(DAY(datos_siembra[[#This Row],[Date]]),7)</f>
        <v>4</v>
      </c>
      <c r="Q4252" t="str">
        <f>CHOOSE(WEEKDAY(datos_siembra[[#This Row],[Date]],2),"L","M","X","J","V","S","D")</f>
        <v>V</v>
      </c>
      <c r="R4252">
        <f>WEEKNUM(datos_siembra[[#This Row],[Date]],2)-WEEKNUM(DATE(YEAR(datos_siembra[[#This Row],[Date]]),MONTH(datos_siembra[[#This Row],[Date]]),1))+1</f>
        <v>3</v>
      </c>
      <c r="S4252">
        <f>MONTH(datos_siembra[[#This Row],[Date]])</f>
        <v>10</v>
      </c>
      <c r="T4252" t="str" cm="1">
        <f t="array" ref="T4252">_xlfn.IFS(AND(N4252&lt;= 22, S4252=9), "SOWING",AND(N4252&lt;= 28, S4252=9), "COVERAGE",AND(N4252&lt;= 30, S4252=9), "FLUSH",AND(N4252&lt;= 11, S4252=10), "FLUSH",AND(N4252&lt;= 21, S4252=10), "PRODUCTION")</f>
        <v>PRODUCTION</v>
      </c>
      <c r="U4252">
        <f>HOUR(datos_siembra[[#This Row],[Hour]])</f>
        <v>13</v>
      </c>
      <c r="V4252" cm="1">
        <f t="array" ref="V4252">_xlfn.IFS(AND(N4252&lt;= 22, S4252=9), N4252-7,AND(N4252&lt;= 28, S4252=9), N4252-25,AND(N4252&lt;= 30, S4252=9), N4252-28,AND(N4252&lt;= 11, S4252=10), N4252+2,AND(N4252&lt;= 21, S4252=10), N4252-11)</f>
        <v>7</v>
      </c>
    </row>
    <row r="4253" spans="1:22" x14ac:dyDescent="0.35">
      <c r="A4253" s="4">
        <v>45583</v>
      </c>
      <c r="B4253" s="5">
        <v>0.54915509259259254</v>
      </c>
      <c r="C4253">
        <v>65</v>
      </c>
      <c r="D4253">
        <v>66</v>
      </c>
      <c r="E4253">
        <v>64.599999999999994</v>
      </c>
      <c r="F4253">
        <v>62.8</v>
      </c>
      <c r="G4253">
        <v>0</v>
      </c>
      <c r="H4253">
        <v>0</v>
      </c>
      <c r="I4253">
        <v>0</v>
      </c>
      <c r="J4253">
        <v>0</v>
      </c>
      <c r="K4253">
        <v>63.3</v>
      </c>
      <c r="L4253">
        <v>63.3</v>
      </c>
      <c r="M4253">
        <v>64.599999999999994</v>
      </c>
      <c r="N4253">
        <v>18</v>
      </c>
      <c r="O4253">
        <v>3</v>
      </c>
      <c r="P4253">
        <f>MOD(DAY(datos_siembra[[#This Row],[Date]]),7)</f>
        <v>4</v>
      </c>
      <c r="Q4253" t="str">
        <f>CHOOSE(WEEKDAY(datos_siembra[[#This Row],[Date]],2),"L","M","X","J","V","S","D")</f>
        <v>V</v>
      </c>
      <c r="R4253">
        <f>WEEKNUM(datos_siembra[[#This Row],[Date]],2)-WEEKNUM(DATE(YEAR(datos_siembra[[#This Row],[Date]]),MONTH(datos_siembra[[#This Row],[Date]]),1))+1</f>
        <v>3</v>
      </c>
      <c r="S4253">
        <f>MONTH(datos_siembra[[#This Row],[Date]])</f>
        <v>10</v>
      </c>
      <c r="T4253" t="str" cm="1">
        <f t="array" ref="T4253">_xlfn.IFS(AND(N4253&lt;= 22, S4253=9), "SOWING",AND(N4253&lt;= 28, S4253=9), "COVERAGE",AND(N4253&lt;= 30, S4253=9), "FLUSH",AND(N4253&lt;= 11, S4253=10), "FLUSH",AND(N4253&lt;= 21, S4253=10), "PRODUCTION")</f>
        <v>PRODUCTION</v>
      </c>
      <c r="U4253">
        <f>HOUR(datos_siembra[[#This Row],[Hour]])</f>
        <v>13</v>
      </c>
      <c r="V4253" cm="1">
        <f t="array" ref="V4253">_xlfn.IFS(AND(N4253&lt;= 22, S4253=9), N4253-7,AND(N4253&lt;= 28, S4253=9), N4253-25,AND(N4253&lt;= 30, S4253=9), N4253-28,AND(N4253&lt;= 11, S4253=10), N4253+2,AND(N4253&lt;= 21, S4253=10), N4253-11)</f>
        <v>7</v>
      </c>
    </row>
    <row r="4254" spans="1:22" x14ac:dyDescent="0.35">
      <c r="A4254" s="4">
        <v>45583</v>
      </c>
      <c r="B4254" s="5">
        <v>0.55609953703703707</v>
      </c>
      <c r="C4254">
        <v>65</v>
      </c>
      <c r="D4254">
        <v>66.099999999999994</v>
      </c>
      <c r="E4254">
        <v>64.599999999999994</v>
      </c>
      <c r="F4254">
        <v>62.6</v>
      </c>
      <c r="G4254">
        <v>0</v>
      </c>
      <c r="H4254">
        <v>0</v>
      </c>
      <c r="I4254">
        <v>0</v>
      </c>
      <c r="J4254">
        <v>0</v>
      </c>
      <c r="K4254">
        <v>63.3</v>
      </c>
      <c r="L4254">
        <v>63.3</v>
      </c>
      <c r="M4254">
        <v>64.62</v>
      </c>
      <c r="N4254">
        <v>18</v>
      </c>
      <c r="O4254">
        <v>3</v>
      </c>
      <c r="P4254">
        <f>MOD(DAY(datos_siembra[[#This Row],[Date]]),7)</f>
        <v>4</v>
      </c>
      <c r="Q4254" t="str">
        <f>CHOOSE(WEEKDAY(datos_siembra[[#This Row],[Date]],2),"L","M","X","J","V","S","D")</f>
        <v>V</v>
      </c>
      <c r="R4254">
        <f>WEEKNUM(datos_siembra[[#This Row],[Date]],2)-WEEKNUM(DATE(YEAR(datos_siembra[[#This Row],[Date]]),MONTH(datos_siembra[[#This Row],[Date]]),1))+1</f>
        <v>3</v>
      </c>
      <c r="S4254">
        <f>MONTH(datos_siembra[[#This Row],[Date]])</f>
        <v>10</v>
      </c>
      <c r="T4254" t="str" cm="1">
        <f t="array" ref="T4254">_xlfn.IFS(AND(N4254&lt;= 22, S4254=9), "SOWING",AND(N4254&lt;= 28, S4254=9), "COVERAGE",AND(N4254&lt;= 30, S4254=9), "FLUSH",AND(N4254&lt;= 11, S4254=10), "FLUSH",AND(N4254&lt;= 21, S4254=10), "PRODUCTION")</f>
        <v>PRODUCTION</v>
      </c>
      <c r="U4254">
        <f>HOUR(datos_siembra[[#This Row],[Hour]])</f>
        <v>13</v>
      </c>
      <c r="V4254" cm="1">
        <f t="array" ref="V4254">_xlfn.IFS(AND(N4254&lt;= 22, S4254=9), N4254-7,AND(N4254&lt;= 28, S4254=9), N4254-25,AND(N4254&lt;= 30, S4254=9), N4254-28,AND(N4254&lt;= 11, S4254=10), N4254+2,AND(N4254&lt;= 21, S4254=10), N4254-11)</f>
        <v>7</v>
      </c>
    </row>
    <row r="4255" spans="1:22" x14ac:dyDescent="0.35">
      <c r="A4255" s="4">
        <v>45583</v>
      </c>
      <c r="B4255" s="5">
        <v>0.56304398148148149</v>
      </c>
      <c r="C4255">
        <v>65</v>
      </c>
      <c r="D4255">
        <v>66.099999999999994</v>
      </c>
      <c r="E4255">
        <v>64.5</v>
      </c>
      <c r="F4255">
        <v>62.9</v>
      </c>
      <c r="G4255">
        <v>0</v>
      </c>
      <c r="H4255">
        <v>0</v>
      </c>
      <c r="I4255">
        <v>0</v>
      </c>
      <c r="J4255">
        <v>0</v>
      </c>
      <c r="K4255">
        <v>63.4</v>
      </c>
      <c r="L4255">
        <v>63.5</v>
      </c>
      <c r="M4255">
        <v>64.62</v>
      </c>
      <c r="N4255">
        <v>18</v>
      </c>
      <c r="O4255">
        <v>3</v>
      </c>
      <c r="P4255">
        <f>MOD(DAY(datos_siembra[[#This Row],[Date]]),7)</f>
        <v>4</v>
      </c>
      <c r="Q4255" t="str">
        <f>CHOOSE(WEEKDAY(datos_siembra[[#This Row],[Date]],2),"L","M","X","J","V","S","D")</f>
        <v>V</v>
      </c>
      <c r="R4255">
        <f>WEEKNUM(datos_siembra[[#This Row],[Date]],2)-WEEKNUM(DATE(YEAR(datos_siembra[[#This Row],[Date]]),MONTH(datos_siembra[[#This Row],[Date]]),1))+1</f>
        <v>3</v>
      </c>
      <c r="S4255">
        <f>MONTH(datos_siembra[[#This Row],[Date]])</f>
        <v>10</v>
      </c>
      <c r="T4255" t="str" cm="1">
        <f t="array" ref="T4255">_xlfn.IFS(AND(N4255&lt;= 22, S4255=9), "SOWING",AND(N4255&lt;= 28, S4255=9), "COVERAGE",AND(N4255&lt;= 30, S4255=9), "FLUSH",AND(N4255&lt;= 11, S4255=10), "FLUSH",AND(N4255&lt;= 21, S4255=10), "PRODUCTION")</f>
        <v>PRODUCTION</v>
      </c>
      <c r="U4255">
        <f>HOUR(datos_siembra[[#This Row],[Hour]])</f>
        <v>13</v>
      </c>
      <c r="V4255" cm="1">
        <f t="array" ref="V4255">_xlfn.IFS(AND(N4255&lt;= 22, S4255=9), N4255-7,AND(N4255&lt;= 28, S4255=9), N4255-25,AND(N4255&lt;= 30, S4255=9), N4255-28,AND(N4255&lt;= 11, S4255=10), N4255+2,AND(N4255&lt;= 21, S4255=10), N4255-11)</f>
        <v>7</v>
      </c>
    </row>
    <row r="4256" spans="1:22" x14ac:dyDescent="0.35">
      <c r="A4256" s="4">
        <v>45583</v>
      </c>
      <c r="B4256" s="5">
        <v>0.56999999999999995</v>
      </c>
      <c r="C4256">
        <v>65.099999999999994</v>
      </c>
      <c r="D4256">
        <v>66</v>
      </c>
      <c r="E4256">
        <v>64.5</v>
      </c>
      <c r="F4256">
        <v>62.9</v>
      </c>
      <c r="G4256">
        <v>0</v>
      </c>
      <c r="H4256">
        <v>0</v>
      </c>
      <c r="I4256">
        <v>0</v>
      </c>
      <c r="J4256">
        <v>0</v>
      </c>
      <c r="K4256">
        <v>63.4</v>
      </c>
      <c r="L4256">
        <v>63.4</v>
      </c>
      <c r="M4256">
        <v>64.650000000000006</v>
      </c>
      <c r="N4256">
        <v>18</v>
      </c>
      <c r="O4256">
        <v>3</v>
      </c>
      <c r="P4256">
        <f>MOD(DAY(datos_siembra[[#This Row],[Date]]),7)</f>
        <v>4</v>
      </c>
      <c r="Q4256" t="str">
        <f>CHOOSE(WEEKDAY(datos_siembra[[#This Row],[Date]],2),"L","M","X","J","V","S","D")</f>
        <v>V</v>
      </c>
      <c r="R4256">
        <f>WEEKNUM(datos_siembra[[#This Row],[Date]],2)-WEEKNUM(DATE(YEAR(datos_siembra[[#This Row],[Date]]),MONTH(datos_siembra[[#This Row],[Date]]),1))+1</f>
        <v>3</v>
      </c>
      <c r="S4256">
        <f>MONTH(datos_siembra[[#This Row],[Date]])</f>
        <v>10</v>
      </c>
      <c r="T4256" t="str" cm="1">
        <f t="array" ref="T4256">_xlfn.IFS(AND(N4256&lt;= 22, S4256=9), "SOWING",AND(N4256&lt;= 28, S4256=9), "COVERAGE",AND(N4256&lt;= 30, S4256=9), "FLUSH",AND(N4256&lt;= 11, S4256=10), "FLUSH",AND(N4256&lt;= 21, S4256=10), "PRODUCTION")</f>
        <v>PRODUCTION</v>
      </c>
      <c r="U4256">
        <f>HOUR(datos_siembra[[#This Row],[Hour]])</f>
        <v>13</v>
      </c>
      <c r="V4256" cm="1">
        <f t="array" ref="V4256">_xlfn.IFS(AND(N4256&lt;= 22, S4256=9), N4256-7,AND(N4256&lt;= 28, S4256=9), N4256-25,AND(N4256&lt;= 30, S4256=9), N4256-28,AND(N4256&lt;= 11, S4256=10), N4256+2,AND(N4256&lt;= 21, S4256=10), N4256-11)</f>
        <v>7</v>
      </c>
    </row>
    <row r="4257" spans="1:22" x14ac:dyDescent="0.35">
      <c r="A4257" s="4">
        <v>45583</v>
      </c>
      <c r="B4257" s="5">
        <v>0.57694444444444448</v>
      </c>
      <c r="C4257">
        <v>65</v>
      </c>
      <c r="D4257">
        <v>66</v>
      </c>
      <c r="E4257">
        <v>64.5</v>
      </c>
      <c r="F4257">
        <v>62.9</v>
      </c>
      <c r="G4257">
        <v>0</v>
      </c>
      <c r="H4257">
        <v>0</v>
      </c>
      <c r="I4257">
        <v>0</v>
      </c>
      <c r="J4257">
        <v>0</v>
      </c>
      <c r="K4257">
        <v>63.3</v>
      </c>
      <c r="L4257">
        <v>63.4</v>
      </c>
      <c r="M4257">
        <v>64.650000000000006</v>
      </c>
      <c r="N4257">
        <v>18</v>
      </c>
      <c r="O4257">
        <v>3</v>
      </c>
      <c r="P4257">
        <f>MOD(DAY(datos_siembra[[#This Row],[Date]]),7)</f>
        <v>4</v>
      </c>
      <c r="Q4257" t="str">
        <f>CHOOSE(WEEKDAY(datos_siembra[[#This Row],[Date]],2),"L","M","X","J","V","S","D")</f>
        <v>V</v>
      </c>
      <c r="R4257">
        <f>WEEKNUM(datos_siembra[[#This Row],[Date]],2)-WEEKNUM(DATE(YEAR(datos_siembra[[#This Row],[Date]]),MONTH(datos_siembra[[#This Row],[Date]]),1))+1</f>
        <v>3</v>
      </c>
      <c r="S4257">
        <f>MONTH(datos_siembra[[#This Row],[Date]])</f>
        <v>10</v>
      </c>
      <c r="T4257" t="str" cm="1">
        <f t="array" ref="T4257">_xlfn.IFS(AND(N4257&lt;= 22, S4257=9), "SOWING",AND(N4257&lt;= 28, S4257=9), "COVERAGE",AND(N4257&lt;= 30, S4257=9), "FLUSH",AND(N4257&lt;= 11, S4257=10), "FLUSH",AND(N4257&lt;= 21, S4257=10), "PRODUCTION")</f>
        <v>PRODUCTION</v>
      </c>
      <c r="U4257">
        <f>HOUR(datos_siembra[[#This Row],[Hour]])</f>
        <v>13</v>
      </c>
      <c r="V4257" cm="1">
        <f t="array" ref="V4257">_xlfn.IFS(AND(N4257&lt;= 22, S4257=9), N4257-7,AND(N4257&lt;= 28, S4257=9), N4257-25,AND(N4257&lt;= 30, S4257=9), N4257-28,AND(N4257&lt;= 11, S4257=10), N4257+2,AND(N4257&lt;= 21, S4257=10), N4257-11)</f>
        <v>7</v>
      </c>
    </row>
    <row r="4258" spans="1:22" x14ac:dyDescent="0.35">
      <c r="A4258" s="4">
        <v>45583</v>
      </c>
      <c r="B4258" s="5">
        <v>0.5838888888888889</v>
      </c>
      <c r="C4258">
        <v>65.099999999999994</v>
      </c>
      <c r="D4258">
        <v>66.099999999999994</v>
      </c>
      <c r="E4258">
        <v>64.5</v>
      </c>
      <c r="F4258">
        <v>63</v>
      </c>
      <c r="G4258">
        <v>0</v>
      </c>
      <c r="H4258">
        <v>0</v>
      </c>
      <c r="I4258">
        <v>0</v>
      </c>
      <c r="J4258">
        <v>0</v>
      </c>
      <c r="K4258">
        <v>63.3</v>
      </c>
      <c r="L4258">
        <v>63.3</v>
      </c>
      <c r="M4258">
        <v>64.599999999999994</v>
      </c>
      <c r="N4258">
        <v>18</v>
      </c>
      <c r="O4258">
        <v>3</v>
      </c>
      <c r="P4258">
        <f>MOD(DAY(datos_siembra[[#This Row],[Date]]),7)</f>
        <v>4</v>
      </c>
      <c r="Q4258" t="str">
        <f>CHOOSE(WEEKDAY(datos_siembra[[#This Row],[Date]],2),"L","M","X","J","V","S","D")</f>
        <v>V</v>
      </c>
      <c r="R4258">
        <f>WEEKNUM(datos_siembra[[#This Row],[Date]],2)-WEEKNUM(DATE(YEAR(datos_siembra[[#This Row],[Date]]),MONTH(datos_siembra[[#This Row],[Date]]),1))+1</f>
        <v>3</v>
      </c>
      <c r="S4258">
        <f>MONTH(datos_siembra[[#This Row],[Date]])</f>
        <v>10</v>
      </c>
      <c r="T4258" t="str" cm="1">
        <f t="array" ref="T4258">_xlfn.IFS(AND(N4258&lt;= 22, S4258=9), "SOWING",AND(N4258&lt;= 28, S4258=9), "COVERAGE",AND(N4258&lt;= 30, S4258=9), "FLUSH",AND(N4258&lt;= 11, S4258=10), "FLUSH",AND(N4258&lt;= 21, S4258=10), "PRODUCTION")</f>
        <v>PRODUCTION</v>
      </c>
      <c r="U4258">
        <f>HOUR(datos_siembra[[#This Row],[Hour]])</f>
        <v>14</v>
      </c>
      <c r="V4258" cm="1">
        <f t="array" ref="V4258">_xlfn.IFS(AND(N4258&lt;= 22, S4258=9), N4258-7,AND(N4258&lt;= 28, S4258=9), N4258-25,AND(N4258&lt;= 30, S4258=9), N4258-28,AND(N4258&lt;= 11, S4258=10), N4258+2,AND(N4258&lt;= 21, S4258=10), N4258-11)</f>
        <v>7</v>
      </c>
    </row>
    <row r="4259" spans="1:22" x14ac:dyDescent="0.35">
      <c r="A4259" s="4">
        <v>45583</v>
      </c>
      <c r="B4259" s="5">
        <v>0.59084490740740736</v>
      </c>
      <c r="C4259">
        <v>65</v>
      </c>
      <c r="D4259">
        <v>66</v>
      </c>
      <c r="E4259">
        <v>64.599999999999994</v>
      </c>
      <c r="F4259">
        <v>63</v>
      </c>
      <c r="G4259">
        <v>0</v>
      </c>
      <c r="H4259">
        <v>0</v>
      </c>
      <c r="I4259">
        <v>0</v>
      </c>
      <c r="J4259">
        <v>0</v>
      </c>
      <c r="K4259">
        <v>63.3</v>
      </c>
      <c r="L4259">
        <v>63.4</v>
      </c>
      <c r="M4259">
        <v>64.650000000000006</v>
      </c>
      <c r="N4259">
        <v>18</v>
      </c>
      <c r="O4259">
        <v>3</v>
      </c>
      <c r="P4259">
        <f>MOD(DAY(datos_siembra[[#This Row],[Date]]),7)</f>
        <v>4</v>
      </c>
      <c r="Q4259" t="str">
        <f>CHOOSE(WEEKDAY(datos_siembra[[#This Row],[Date]],2),"L","M","X","J","V","S","D")</f>
        <v>V</v>
      </c>
      <c r="R4259">
        <f>WEEKNUM(datos_siembra[[#This Row],[Date]],2)-WEEKNUM(DATE(YEAR(datos_siembra[[#This Row],[Date]]),MONTH(datos_siembra[[#This Row],[Date]]),1))+1</f>
        <v>3</v>
      </c>
      <c r="S4259">
        <f>MONTH(datos_siembra[[#This Row],[Date]])</f>
        <v>10</v>
      </c>
      <c r="T4259" t="str" cm="1">
        <f t="array" ref="T4259">_xlfn.IFS(AND(N4259&lt;= 22, S4259=9), "SOWING",AND(N4259&lt;= 28, S4259=9), "COVERAGE",AND(N4259&lt;= 30, S4259=9), "FLUSH",AND(N4259&lt;= 11, S4259=10), "FLUSH",AND(N4259&lt;= 21, S4259=10), "PRODUCTION")</f>
        <v>PRODUCTION</v>
      </c>
      <c r="U4259">
        <f>HOUR(datos_siembra[[#This Row],[Hour]])</f>
        <v>14</v>
      </c>
      <c r="V4259" cm="1">
        <f t="array" ref="V4259">_xlfn.IFS(AND(N4259&lt;= 22, S4259=9), N4259-7,AND(N4259&lt;= 28, S4259=9), N4259-25,AND(N4259&lt;= 30, S4259=9), N4259-28,AND(N4259&lt;= 11, S4259=10), N4259+2,AND(N4259&lt;= 21, S4259=10), N4259-11)</f>
        <v>7</v>
      </c>
    </row>
    <row r="4260" spans="1:22" x14ac:dyDescent="0.35">
      <c r="A4260" s="4">
        <v>45583</v>
      </c>
      <c r="B4260" s="5">
        <v>0.59778935185185189</v>
      </c>
      <c r="C4260">
        <v>65</v>
      </c>
      <c r="D4260">
        <v>66</v>
      </c>
      <c r="E4260">
        <v>64.7</v>
      </c>
      <c r="F4260">
        <v>63</v>
      </c>
      <c r="G4260">
        <v>0</v>
      </c>
      <c r="H4260">
        <v>0</v>
      </c>
      <c r="I4260">
        <v>0</v>
      </c>
      <c r="J4260">
        <v>0</v>
      </c>
      <c r="K4260">
        <v>63.3</v>
      </c>
      <c r="L4260">
        <v>63.3</v>
      </c>
      <c r="M4260">
        <v>64.680000000000007</v>
      </c>
      <c r="N4260">
        <v>18</v>
      </c>
      <c r="O4260">
        <v>3</v>
      </c>
      <c r="P4260">
        <f>MOD(DAY(datos_siembra[[#This Row],[Date]]),7)</f>
        <v>4</v>
      </c>
      <c r="Q4260" t="str">
        <f>CHOOSE(WEEKDAY(datos_siembra[[#This Row],[Date]],2),"L","M","X","J","V","S","D")</f>
        <v>V</v>
      </c>
      <c r="R4260">
        <f>WEEKNUM(datos_siembra[[#This Row],[Date]],2)-WEEKNUM(DATE(YEAR(datos_siembra[[#This Row],[Date]]),MONTH(datos_siembra[[#This Row],[Date]]),1))+1</f>
        <v>3</v>
      </c>
      <c r="S4260">
        <f>MONTH(datos_siembra[[#This Row],[Date]])</f>
        <v>10</v>
      </c>
      <c r="T4260" t="str" cm="1">
        <f t="array" ref="T4260">_xlfn.IFS(AND(N4260&lt;= 22, S4260=9), "SOWING",AND(N4260&lt;= 28, S4260=9), "COVERAGE",AND(N4260&lt;= 30, S4260=9), "FLUSH",AND(N4260&lt;= 11, S4260=10), "FLUSH",AND(N4260&lt;= 21, S4260=10), "PRODUCTION")</f>
        <v>PRODUCTION</v>
      </c>
      <c r="U4260">
        <f>HOUR(datos_siembra[[#This Row],[Hour]])</f>
        <v>14</v>
      </c>
      <c r="V4260" cm="1">
        <f t="array" ref="V4260">_xlfn.IFS(AND(N4260&lt;= 22, S4260=9), N4260-7,AND(N4260&lt;= 28, S4260=9), N4260-25,AND(N4260&lt;= 30, S4260=9), N4260-28,AND(N4260&lt;= 11, S4260=10), N4260+2,AND(N4260&lt;= 21, S4260=10), N4260-11)</f>
        <v>7</v>
      </c>
    </row>
    <row r="4261" spans="1:22" x14ac:dyDescent="0.35">
      <c r="A4261" s="4">
        <v>45583</v>
      </c>
      <c r="B4261" s="5">
        <v>0.60473379629629631</v>
      </c>
      <c r="C4261">
        <v>65</v>
      </c>
      <c r="D4261">
        <v>66.099999999999994</v>
      </c>
      <c r="E4261">
        <v>64.599999999999994</v>
      </c>
      <c r="F4261">
        <v>63.2</v>
      </c>
      <c r="G4261">
        <v>0</v>
      </c>
      <c r="H4261">
        <v>0</v>
      </c>
      <c r="I4261">
        <v>0</v>
      </c>
      <c r="J4261">
        <v>0</v>
      </c>
      <c r="K4261">
        <v>63.4</v>
      </c>
      <c r="L4261">
        <v>63.5</v>
      </c>
      <c r="M4261">
        <v>64.739999999999995</v>
      </c>
      <c r="N4261">
        <v>18</v>
      </c>
      <c r="O4261">
        <v>3</v>
      </c>
      <c r="P4261">
        <f>MOD(DAY(datos_siembra[[#This Row],[Date]]),7)</f>
        <v>4</v>
      </c>
      <c r="Q4261" t="str">
        <f>CHOOSE(WEEKDAY(datos_siembra[[#This Row],[Date]],2),"L","M","X","J","V","S","D")</f>
        <v>V</v>
      </c>
      <c r="R4261">
        <f>WEEKNUM(datos_siembra[[#This Row],[Date]],2)-WEEKNUM(DATE(YEAR(datos_siembra[[#This Row],[Date]]),MONTH(datos_siembra[[#This Row],[Date]]),1))+1</f>
        <v>3</v>
      </c>
      <c r="S4261">
        <f>MONTH(datos_siembra[[#This Row],[Date]])</f>
        <v>10</v>
      </c>
      <c r="T4261" t="str" cm="1">
        <f t="array" ref="T4261">_xlfn.IFS(AND(N4261&lt;= 22, S4261=9), "SOWING",AND(N4261&lt;= 28, S4261=9), "COVERAGE",AND(N4261&lt;= 30, S4261=9), "FLUSH",AND(N4261&lt;= 11, S4261=10), "FLUSH",AND(N4261&lt;= 21, S4261=10), "PRODUCTION")</f>
        <v>PRODUCTION</v>
      </c>
      <c r="U4261">
        <f>HOUR(datos_siembra[[#This Row],[Hour]])</f>
        <v>14</v>
      </c>
      <c r="V4261" cm="1">
        <f t="array" ref="V4261">_xlfn.IFS(AND(N4261&lt;= 22, S4261=9), N4261-7,AND(N4261&lt;= 28, S4261=9), N4261-25,AND(N4261&lt;= 30, S4261=9), N4261-28,AND(N4261&lt;= 11, S4261=10), N4261+2,AND(N4261&lt;= 21, S4261=10), N4261-11)</f>
        <v>7</v>
      </c>
    </row>
    <row r="4262" spans="1:22" x14ac:dyDescent="0.35">
      <c r="A4262" s="4">
        <v>45583</v>
      </c>
      <c r="B4262" s="5">
        <v>0.61168981481481477</v>
      </c>
      <c r="C4262">
        <v>65.099999999999994</v>
      </c>
      <c r="D4262">
        <v>66.099999999999994</v>
      </c>
      <c r="E4262">
        <v>64.5</v>
      </c>
      <c r="F4262">
        <v>63</v>
      </c>
      <c r="G4262">
        <v>0</v>
      </c>
      <c r="H4262">
        <v>0</v>
      </c>
      <c r="I4262">
        <v>0</v>
      </c>
      <c r="J4262">
        <v>0</v>
      </c>
      <c r="K4262">
        <v>63.5</v>
      </c>
      <c r="L4262">
        <v>63.4</v>
      </c>
      <c r="M4262">
        <v>64.709999999999994</v>
      </c>
      <c r="N4262">
        <v>18</v>
      </c>
      <c r="O4262">
        <v>3</v>
      </c>
      <c r="P4262">
        <f>MOD(DAY(datos_siembra[[#This Row],[Date]]),7)</f>
        <v>4</v>
      </c>
      <c r="Q4262" t="str">
        <f>CHOOSE(WEEKDAY(datos_siembra[[#This Row],[Date]],2),"L","M","X","J","V","S","D")</f>
        <v>V</v>
      </c>
      <c r="R4262">
        <f>WEEKNUM(datos_siembra[[#This Row],[Date]],2)-WEEKNUM(DATE(YEAR(datos_siembra[[#This Row],[Date]]),MONTH(datos_siembra[[#This Row],[Date]]),1))+1</f>
        <v>3</v>
      </c>
      <c r="S4262">
        <f>MONTH(datos_siembra[[#This Row],[Date]])</f>
        <v>10</v>
      </c>
      <c r="T4262" t="str" cm="1">
        <f t="array" ref="T4262">_xlfn.IFS(AND(N4262&lt;= 22, S4262=9), "SOWING",AND(N4262&lt;= 28, S4262=9), "COVERAGE",AND(N4262&lt;= 30, S4262=9), "FLUSH",AND(N4262&lt;= 11, S4262=10), "FLUSH",AND(N4262&lt;= 21, S4262=10), "PRODUCTION")</f>
        <v>PRODUCTION</v>
      </c>
      <c r="U4262">
        <f>HOUR(datos_siembra[[#This Row],[Hour]])</f>
        <v>14</v>
      </c>
      <c r="V4262" cm="1">
        <f t="array" ref="V4262">_xlfn.IFS(AND(N4262&lt;= 22, S4262=9), N4262-7,AND(N4262&lt;= 28, S4262=9), N4262-25,AND(N4262&lt;= 30, S4262=9), N4262-28,AND(N4262&lt;= 11, S4262=10), N4262+2,AND(N4262&lt;= 21, S4262=10), N4262-11)</f>
        <v>7</v>
      </c>
    </row>
    <row r="4263" spans="1:22" x14ac:dyDescent="0.35">
      <c r="A4263" s="4">
        <v>45583</v>
      </c>
      <c r="B4263" s="5">
        <v>0.6186342592592593</v>
      </c>
      <c r="C4263">
        <v>65</v>
      </c>
      <c r="D4263">
        <v>66.099999999999994</v>
      </c>
      <c r="E4263">
        <v>64.599999999999994</v>
      </c>
      <c r="F4263">
        <v>63</v>
      </c>
      <c r="G4263">
        <v>0</v>
      </c>
      <c r="H4263">
        <v>0</v>
      </c>
      <c r="I4263">
        <v>0</v>
      </c>
      <c r="J4263">
        <v>0</v>
      </c>
      <c r="K4263">
        <v>63.7</v>
      </c>
      <c r="L4263">
        <v>63.6</v>
      </c>
      <c r="M4263">
        <v>64.790000000000006</v>
      </c>
      <c r="N4263">
        <v>18</v>
      </c>
      <c r="O4263">
        <v>3</v>
      </c>
      <c r="P4263">
        <f>MOD(DAY(datos_siembra[[#This Row],[Date]]),7)</f>
        <v>4</v>
      </c>
      <c r="Q4263" t="str">
        <f>CHOOSE(WEEKDAY(datos_siembra[[#This Row],[Date]],2),"L","M","X","J","V","S","D")</f>
        <v>V</v>
      </c>
      <c r="R4263">
        <f>WEEKNUM(datos_siembra[[#This Row],[Date]],2)-WEEKNUM(DATE(YEAR(datos_siembra[[#This Row],[Date]]),MONTH(datos_siembra[[#This Row],[Date]]),1))+1</f>
        <v>3</v>
      </c>
      <c r="S4263">
        <f>MONTH(datos_siembra[[#This Row],[Date]])</f>
        <v>10</v>
      </c>
      <c r="T4263" t="str" cm="1">
        <f t="array" ref="T4263">_xlfn.IFS(AND(N4263&lt;= 22, S4263=9), "SOWING",AND(N4263&lt;= 28, S4263=9), "COVERAGE",AND(N4263&lt;= 30, S4263=9), "FLUSH",AND(N4263&lt;= 11, S4263=10), "FLUSH",AND(N4263&lt;= 21, S4263=10), "PRODUCTION")</f>
        <v>PRODUCTION</v>
      </c>
      <c r="U4263">
        <f>HOUR(datos_siembra[[#This Row],[Hour]])</f>
        <v>14</v>
      </c>
      <c r="V4263" cm="1">
        <f t="array" ref="V4263">_xlfn.IFS(AND(N4263&lt;= 22, S4263=9), N4263-7,AND(N4263&lt;= 28, S4263=9), N4263-25,AND(N4263&lt;= 30, S4263=9), N4263-28,AND(N4263&lt;= 11, S4263=10), N4263+2,AND(N4263&lt;= 21, S4263=10), N4263-11)</f>
        <v>7</v>
      </c>
    </row>
    <row r="4264" spans="1:22" x14ac:dyDescent="0.35">
      <c r="A4264" s="4">
        <v>45583</v>
      </c>
      <c r="B4264" s="5">
        <v>0.62557870370370372</v>
      </c>
      <c r="C4264">
        <v>65</v>
      </c>
      <c r="D4264">
        <v>66.2</v>
      </c>
      <c r="E4264">
        <v>64.599999999999994</v>
      </c>
      <c r="F4264">
        <v>63.2</v>
      </c>
      <c r="G4264">
        <v>0</v>
      </c>
      <c r="H4264">
        <v>0</v>
      </c>
      <c r="I4264">
        <v>0</v>
      </c>
      <c r="J4264">
        <v>0</v>
      </c>
      <c r="K4264">
        <v>64.2</v>
      </c>
      <c r="L4264">
        <v>64.099999999999994</v>
      </c>
      <c r="M4264">
        <v>64.650000000000006</v>
      </c>
      <c r="N4264">
        <v>18</v>
      </c>
      <c r="O4264">
        <v>3</v>
      </c>
      <c r="P4264">
        <f>MOD(DAY(datos_siembra[[#This Row],[Date]]),7)</f>
        <v>4</v>
      </c>
      <c r="Q4264" t="str">
        <f>CHOOSE(WEEKDAY(datos_siembra[[#This Row],[Date]],2),"L","M","X","J","V","S","D")</f>
        <v>V</v>
      </c>
      <c r="R4264">
        <f>WEEKNUM(datos_siembra[[#This Row],[Date]],2)-WEEKNUM(DATE(YEAR(datos_siembra[[#This Row],[Date]]),MONTH(datos_siembra[[#This Row],[Date]]),1))+1</f>
        <v>3</v>
      </c>
      <c r="S4264">
        <f>MONTH(datos_siembra[[#This Row],[Date]])</f>
        <v>10</v>
      </c>
      <c r="T4264" t="str" cm="1">
        <f t="array" ref="T4264">_xlfn.IFS(AND(N4264&lt;= 22, S4264=9), "SOWING",AND(N4264&lt;= 28, S4264=9), "COVERAGE",AND(N4264&lt;= 30, S4264=9), "FLUSH",AND(N4264&lt;= 11, S4264=10), "FLUSH",AND(N4264&lt;= 21, S4264=10), "PRODUCTION")</f>
        <v>PRODUCTION</v>
      </c>
      <c r="U4264">
        <f>HOUR(datos_siembra[[#This Row],[Hour]])</f>
        <v>15</v>
      </c>
      <c r="V4264" cm="1">
        <f t="array" ref="V4264">_xlfn.IFS(AND(N4264&lt;= 22, S4264=9), N4264-7,AND(N4264&lt;= 28, S4264=9), N4264-25,AND(N4264&lt;= 30, S4264=9), N4264-28,AND(N4264&lt;= 11, S4264=10), N4264+2,AND(N4264&lt;= 21, S4264=10), N4264-11)</f>
        <v>7</v>
      </c>
    </row>
    <row r="4265" spans="1:22" x14ac:dyDescent="0.35">
      <c r="A4265" s="4">
        <v>45583</v>
      </c>
      <c r="B4265" s="5">
        <v>0.63252314814814814</v>
      </c>
      <c r="C4265">
        <v>65.099999999999994</v>
      </c>
      <c r="D4265">
        <v>66.099999999999994</v>
      </c>
      <c r="E4265">
        <v>64.7</v>
      </c>
      <c r="F4265">
        <v>63.3</v>
      </c>
      <c r="G4265">
        <v>0</v>
      </c>
      <c r="H4265">
        <v>0</v>
      </c>
      <c r="I4265">
        <v>0</v>
      </c>
      <c r="J4265">
        <v>0</v>
      </c>
      <c r="K4265">
        <v>64.2</v>
      </c>
      <c r="L4265">
        <v>64.2</v>
      </c>
      <c r="M4265">
        <v>64.739999999999995</v>
      </c>
      <c r="N4265">
        <v>18</v>
      </c>
      <c r="O4265">
        <v>3</v>
      </c>
      <c r="P4265">
        <f>MOD(DAY(datos_siembra[[#This Row],[Date]]),7)</f>
        <v>4</v>
      </c>
      <c r="Q4265" t="str">
        <f>CHOOSE(WEEKDAY(datos_siembra[[#This Row],[Date]],2),"L","M","X","J","V","S","D")</f>
        <v>V</v>
      </c>
      <c r="R4265">
        <f>WEEKNUM(datos_siembra[[#This Row],[Date]],2)-WEEKNUM(DATE(YEAR(datos_siembra[[#This Row],[Date]]),MONTH(datos_siembra[[#This Row],[Date]]),1))+1</f>
        <v>3</v>
      </c>
      <c r="S4265">
        <f>MONTH(datos_siembra[[#This Row],[Date]])</f>
        <v>10</v>
      </c>
      <c r="T4265" t="str" cm="1">
        <f t="array" ref="T4265">_xlfn.IFS(AND(N4265&lt;= 22, S4265=9), "SOWING",AND(N4265&lt;= 28, S4265=9), "COVERAGE",AND(N4265&lt;= 30, S4265=9), "FLUSH",AND(N4265&lt;= 11, S4265=10), "FLUSH",AND(N4265&lt;= 21, S4265=10), "PRODUCTION")</f>
        <v>PRODUCTION</v>
      </c>
      <c r="U4265">
        <f>HOUR(datos_siembra[[#This Row],[Hour]])</f>
        <v>15</v>
      </c>
      <c r="V4265" cm="1">
        <f t="array" ref="V4265">_xlfn.IFS(AND(N4265&lt;= 22, S4265=9), N4265-7,AND(N4265&lt;= 28, S4265=9), N4265-25,AND(N4265&lt;= 30, S4265=9), N4265-28,AND(N4265&lt;= 11, S4265=10), N4265+2,AND(N4265&lt;= 21, S4265=10), N4265-11)</f>
        <v>7</v>
      </c>
    </row>
    <row r="4266" spans="1:22" x14ac:dyDescent="0.35">
      <c r="A4266" s="4">
        <v>45583</v>
      </c>
      <c r="B4266" s="5">
        <v>0.63947916666666671</v>
      </c>
      <c r="C4266">
        <v>65</v>
      </c>
      <c r="D4266">
        <v>66.2</v>
      </c>
      <c r="E4266">
        <v>64.599999999999994</v>
      </c>
      <c r="F4266">
        <v>63.2</v>
      </c>
      <c r="G4266">
        <v>0</v>
      </c>
      <c r="H4266">
        <v>0</v>
      </c>
      <c r="I4266">
        <v>0</v>
      </c>
      <c r="J4266">
        <v>0</v>
      </c>
      <c r="K4266">
        <v>64.5</v>
      </c>
      <c r="L4266">
        <v>64.400000000000006</v>
      </c>
      <c r="M4266">
        <v>64.739999999999995</v>
      </c>
      <c r="N4266">
        <v>18</v>
      </c>
      <c r="O4266">
        <v>3</v>
      </c>
      <c r="P4266">
        <f>MOD(DAY(datos_siembra[[#This Row],[Date]]),7)</f>
        <v>4</v>
      </c>
      <c r="Q4266" t="str">
        <f>CHOOSE(WEEKDAY(datos_siembra[[#This Row],[Date]],2),"L","M","X","J","V","S","D")</f>
        <v>V</v>
      </c>
      <c r="R4266">
        <f>WEEKNUM(datos_siembra[[#This Row],[Date]],2)-WEEKNUM(DATE(YEAR(datos_siembra[[#This Row],[Date]]),MONTH(datos_siembra[[#This Row],[Date]]),1))+1</f>
        <v>3</v>
      </c>
      <c r="S4266">
        <f>MONTH(datos_siembra[[#This Row],[Date]])</f>
        <v>10</v>
      </c>
      <c r="T4266" t="str" cm="1">
        <f t="array" ref="T4266">_xlfn.IFS(AND(N4266&lt;= 22, S4266=9), "SOWING",AND(N4266&lt;= 28, S4266=9), "COVERAGE",AND(N4266&lt;= 30, S4266=9), "FLUSH",AND(N4266&lt;= 11, S4266=10), "FLUSH",AND(N4266&lt;= 21, S4266=10), "PRODUCTION")</f>
        <v>PRODUCTION</v>
      </c>
      <c r="U4266">
        <f>HOUR(datos_siembra[[#This Row],[Hour]])</f>
        <v>15</v>
      </c>
      <c r="V4266" cm="1">
        <f t="array" ref="V4266">_xlfn.IFS(AND(N4266&lt;= 22, S4266=9), N4266-7,AND(N4266&lt;= 28, S4266=9), N4266-25,AND(N4266&lt;= 30, S4266=9), N4266-28,AND(N4266&lt;= 11, S4266=10), N4266+2,AND(N4266&lt;= 21, S4266=10), N4266-11)</f>
        <v>7</v>
      </c>
    </row>
    <row r="4267" spans="1:22" x14ac:dyDescent="0.35">
      <c r="A4267" s="4">
        <v>45583</v>
      </c>
      <c r="B4267" s="5">
        <v>0.64642361111111113</v>
      </c>
      <c r="C4267">
        <v>65</v>
      </c>
      <c r="D4267">
        <v>66.2</v>
      </c>
      <c r="E4267">
        <v>64.599999999999994</v>
      </c>
      <c r="F4267">
        <v>63.3</v>
      </c>
      <c r="G4267">
        <v>0</v>
      </c>
      <c r="H4267">
        <v>0</v>
      </c>
      <c r="I4267">
        <v>0</v>
      </c>
      <c r="J4267">
        <v>0</v>
      </c>
      <c r="K4267">
        <v>64.7</v>
      </c>
      <c r="L4267">
        <v>64.7</v>
      </c>
      <c r="M4267">
        <v>64.739999999999995</v>
      </c>
      <c r="N4267">
        <v>18</v>
      </c>
      <c r="O4267">
        <v>3</v>
      </c>
      <c r="P4267">
        <f>MOD(DAY(datos_siembra[[#This Row],[Date]]),7)</f>
        <v>4</v>
      </c>
      <c r="Q4267" t="str">
        <f>CHOOSE(WEEKDAY(datos_siembra[[#This Row],[Date]],2),"L","M","X","J","V","S","D")</f>
        <v>V</v>
      </c>
      <c r="R4267">
        <f>WEEKNUM(datos_siembra[[#This Row],[Date]],2)-WEEKNUM(DATE(YEAR(datos_siembra[[#This Row],[Date]]),MONTH(datos_siembra[[#This Row],[Date]]),1))+1</f>
        <v>3</v>
      </c>
      <c r="S4267">
        <f>MONTH(datos_siembra[[#This Row],[Date]])</f>
        <v>10</v>
      </c>
      <c r="T4267" t="str" cm="1">
        <f t="array" ref="T4267">_xlfn.IFS(AND(N4267&lt;= 22, S4267=9), "SOWING",AND(N4267&lt;= 28, S4267=9), "COVERAGE",AND(N4267&lt;= 30, S4267=9), "FLUSH",AND(N4267&lt;= 11, S4267=10), "FLUSH",AND(N4267&lt;= 21, S4267=10), "PRODUCTION")</f>
        <v>PRODUCTION</v>
      </c>
      <c r="U4267">
        <f>HOUR(datos_siembra[[#This Row],[Hour]])</f>
        <v>15</v>
      </c>
      <c r="V4267" cm="1">
        <f t="array" ref="V4267">_xlfn.IFS(AND(N4267&lt;= 22, S4267=9), N4267-7,AND(N4267&lt;= 28, S4267=9), N4267-25,AND(N4267&lt;= 30, S4267=9), N4267-28,AND(N4267&lt;= 11, S4267=10), N4267+2,AND(N4267&lt;= 21, S4267=10), N4267-11)</f>
        <v>7</v>
      </c>
    </row>
    <row r="4268" spans="1:22" x14ac:dyDescent="0.35">
      <c r="A4268" s="4">
        <v>45583</v>
      </c>
      <c r="B4268" s="5">
        <v>0.65336805555555555</v>
      </c>
      <c r="C4268">
        <v>65</v>
      </c>
      <c r="D4268">
        <v>66.2</v>
      </c>
      <c r="E4268">
        <v>64.7</v>
      </c>
      <c r="F4268">
        <v>63.4</v>
      </c>
      <c r="G4268">
        <v>0</v>
      </c>
      <c r="H4268">
        <v>0</v>
      </c>
      <c r="I4268">
        <v>0</v>
      </c>
      <c r="J4268">
        <v>0</v>
      </c>
      <c r="K4268">
        <v>64.7</v>
      </c>
      <c r="L4268">
        <v>64.5</v>
      </c>
      <c r="M4268">
        <v>64.790000000000006</v>
      </c>
      <c r="N4268">
        <v>18</v>
      </c>
      <c r="O4268">
        <v>3</v>
      </c>
      <c r="P4268">
        <f>MOD(DAY(datos_siembra[[#This Row],[Date]]),7)</f>
        <v>4</v>
      </c>
      <c r="Q4268" t="str">
        <f>CHOOSE(WEEKDAY(datos_siembra[[#This Row],[Date]],2),"L","M","X","J","V","S","D")</f>
        <v>V</v>
      </c>
      <c r="R4268">
        <f>WEEKNUM(datos_siembra[[#This Row],[Date]],2)-WEEKNUM(DATE(YEAR(datos_siembra[[#This Row],[Date]]),MONTH(datos_siembra[[#This Row],[Date]]),1))+1</f>
        <v>3</v>
      </c>
      <c r="S4268">
        <f>MONTH(datos_siembra[[#This Row],[Date]])</f>
        <v>10</v>
      </c>
      <c r="T4268" t="str" cm="1">
        <f t="array" ref="T4268">_xlfn.IFS(AND(N4268&lt;= 22, S4268=9), "SOWING",AND(N4268&lt;= 28, S4268=9), "COVERAGE",AND(N4268&lt;= 30, S4268=9), "FLUSH",AND(N4268&lt;= 11, S4268=10), "FLUSH",AND(N4268&lt;= 21, S4268=10), "PRODUCTION")</f>
        <v>PRODUCTION</v>
      </c>
      <c r="U4268">
        <f>HOUR(datos_siembra[[#This Row],[Hour]])</f>
        <v>15</v>
      </c>
      <c r="V4268" cm="1">
        <f t="array" ref="V4268">_xlfn.IFS(AND(N4268&lt;= 22, S4268=9), N4268-7,AND(N4268&lt;= 28, S4268=9), N4268-25,AND(N4268&lt;= 30, S4268=9), N4268-28,AND(N4268&lt;= 11, S4268=10), N4268+2,AND(N4268&lt;= 21, S4268=10), N4268-11)</f>
        <v>7</v>
      </c>
    </row>
    <row r="4269" spans="1:22" x14ac:dyDescent="0.35">
      <c r="A4269" s="4">
        <v>45583</v>
      </c>
      <c r="B4269" s="5">
        <v>0.66032407407407412</v>
      </c>
      <c r="C4269">
        <v>65</v>
      </c>
      <c r="D4269">
        <v>66.2</v>
      </c>
      <c r="E4269">
        <v>64.599999999999994</v>
      </c>
      <c r="F4269">
        <v>63.3</v>
      </c>
      <c r="G4269">
        <v>0</v>
      </c>
      <c r="H4269">
        <v>0</v>
      </c>
      <c r="I4269">
        <v>0</v>
      </c>
      <c r="J4269">
        <v>0</v>
      </c>
      <c r="K4269">
        <v>64.2</v>
      </c>
      <c r="L4269">
        <v>64.3</v>
      </c>
      <c r="M4269">
        <v>64.819999999999993</v>
      </c>
      <c r="N4269">
        <v>18</v>
      </c>
      <c r="O4269">
        <v>3</v>
      </c>
      <c r="P4269">
        <f>MOD(DAY(datos_siembra[[#This Row],[Date]]),7)</f>
        <v>4</v>
      </c>
      <c r="Q4269" t="str">
        <f>CHOOSE(WEEKDAY(datos_siembra[[#This Row],[Date]],2),"L","M","X","J","V","S","D")</f>
        <v>V</v>
      </c>
      <c r="R4269">
        <f>WEEKNUM(datos_siembra[[#This Row],[Date]],2)-WEEKNUM(DATE(YEAR(datos_siembra[[#This Row],[Date]]),MONTH(datos_siembra[[#This Row],[Date]]),1))+1</f>
        <v>3</v>
      </c>
      <c r="S4269">
        <f>MONTH(datos_siembra[[#This Row],[Date]])</f>
        <v>10</v>
      </c>
      <c r="T4269" t="str" cm="1">
        <f t="array" ref="T4269">_xlfn.IFS(AND(N4269&lt;= 22, S4269=9), "SOWING",AND(N4269&lt;= 28, S4269=9), "COVERAGE",AND(N4269&lt;= 30, S4269=9), "FLUSH",AND(N4269&lt;= 11, S4269=10), "FLUSH",AND(N4269&lt;= 21, S4269=10), "PRODUCTION")</f>
        <v>PRODUCTION</v>
      </c>
      <c r="U4269">
        <f>HOUR(datos_siembra[[#This Row],[Hour]])</f>
        <v>15</v>
      </c>
      <c r="V4269" cm="1">
        <f t="array" ref="V4269">_xlfn.IFS(AND(N4269&lt;= 22, S4269=9), N4269-7,AND(N4269&lt;= 28, S4269=9), N4269-25,AND(N4269&lt;= 30, S4269=9), N4269-28,AND(N4269&lt;= 11, S4269=10), N4269+2,AND(N4269&lt;= 21, S4269=10), N4269-11)</f>
        <v>7</v>
      </c>
    </row>
    <row r="4270" spans="1:22" x14ac:dyDescent="0.35">
      <c r="A4270" s="4">
        <v>45583</v>
      </c>
      <c r="B4270" s="5">
        <v>0.66726851851851854</v>
      </c>
      <c r="C4270">
        <v>65.2</v>
      </c>
      <c r="D4270">
        <v>66.2</v>
      </c>
      <c r="E4270">
        <v>64.7</v>
      </c>
      <c r="F4270">
        <v>63.4</v>
      </c>
      <c r="G4270">
        <v>0</v>
      </c>
      <c r="H4270">
        <v>0</v>
      </c>
      <c r="I4270">
        <v>0</v>
      </c>
      <c r="J4270">
        <v>0</v>
      </c>
      <c r="K4270">
        <v>64.099999999999994</v>
      </c>
      <c r="L4270">
        <v>64.3</v>
      </c>
      <c r="M4270">
        <v>64.88</v>
      </c>
      <c r="N4270">
        <v>18</v>
      </c>
      <c r="O4270">
        <v>3</v>
      </c>
      <c r="P4270">
        <f>MOD(DAY(datos_siembra[[#This Row],[Date]]),7)</f>
        <v>4</v>
      </c>
      <c r="Q4270" t="str">
        <f>CHOOSE(WEEKDAY(datos_siembra[[#This Row],[Date]],2),"L","M","X","J","V","S","D")</f>
        <v>V</v>
      </c>
      <c r="R4270">
        <f>WEEKNUM(datos_siembra[[#This Row],[Date]],2)-WEEKNUM(DATE(YEAR(datos_siembra[[#This Row],[Date]]),MONTH(datos_siembra[[#This Row],[Date]]),1))+1</f>
        <v>3</v>
      </c>
      <c r="S4270">
        <f>MONTH(datos_siembra[[#This Row],[Date]])</f>
        <v>10</v>
      </c>
      <c r="T4270" t="str" cm="1">
        <f t="array" ref="T4270">_xlfn.IFS(AND(N4270&lt;= 22, S4270=9), "SOWING",AND(N4270&lt;= 28, S4270=9), "COVERAGE",AND(N4270&lt;= 30, S4270=9), "FLUSH",AND(N4270&lt;= 11, S4270=10), "FLUSH",AND(N4270&lt;= 21, S4270=10), "PRODUCTION")</f>
        <v>PRODUCTION</v>
      </c>
      <c r="U4270">
        <f>HOUR(datos_siembra[[#This Row],[Hour]])</f>
        <v>16</v>
      </c>
      <c r="V4270" cm="1">
        <f t="array" ref="V4270">_xlfn.IFS(AND(N4270&lt;= 22, S4270=9), N4270-7,AND(N4270&lt;= 28, S4270=9), N4270-25,AND(N4270&lt;= 30, S4270=9), N4270-28,AND(N4270&lt;= 11, S4270=10), N4270+2,AND(N4270&lt;= 21, S4270=10), N4270-11)</f>
        <v>7</v>
      </c>
    </row>
    <row r="4271" spans="1:22" x14ac:dyDescent="0.35">
      <c r="A4271" s="4">
        <v>45583</v>
      </c>
      <c r="B4271" s="5">
        <v>0.67421296296296296</v>
      </c>
      <c r="C4271">
        <v>65</v>
      </c>
      <c r="D4271">
        <v>66.2</v>
      </c>
      <c r="E4271">
        <v>64.7</v>
      </c>
      <c r="F4271">
        <v>63.3</v>
      </c>
      <c r="G4271">
        <v>0</v>
      </c>
      <c r="H4271">
        <v>0</v>
      </c>
      <c r="I4271">
        <v>0</v>
      </c>
      <c r="J4271">
        <v>0</v>
      </c>
      <c r="K4271">
        <v>63.9</v>
      </c>
      <c r="L4271">
        <v>64.2</v>
      </c>
      <c r="M4271">
        <v>64.790000000000006</v>
      </c>
      <c r="N4271">
        <v>18</v>
      </c>
      <c r="O4271">
        <v>3</v>
      </c>
      <c r="P4271">
        <f>MOD(DAY(datos_siembra[[#This Row],[Date]]),7)</f>
        <v>4</v>
      </c>
      <c r="Q4271" t="str">
        <f>CHOOSE(WEEKDAY(datos_siembra[[#This Row],[Date]],2),"L","M","X","J","V","S","D")</f>
        <v>V</v>
      </c>
      <c r="R4271">
        <f>WEEKNUM(datos_siembra[[#This Row],[Date]],2)-WEEKNUM(DATE(YEAR(datos_siembra[[#This Row],[Date]]),MONTH(datos_siembra[[#This Row],[Date]]),1))+1</f>
        <v>3</v>
      </c>
      <c r="S4271">
        <f>MONTH(datos_siembra[[#This Row],[Date]])</f>
        <v>10</v>
      </c>
      <c r="T4271" t="str" cm="1">
        <f t="array" ref="T4271">_xlfn.IFS(AND(N4271&lt;= 22, S4271=9), "SOWING",AND(N4271&lt;= 28, S4271=9), "COVERAGE",AND(N4271&lt;= 30, S4271=9), "FLUSH",AND(N4271&lt;= 11, S4271=10), "FLUSH",AND(N4271&lt;= 21, S4271=10), "PRODUCTION")</f>
        <v>PRODUCTION</v>
      </c>
      <c r="U4271">
        <f>HOUR(datos_siembra[[#This Row],[Hour]])</f>
        <v>16</v>
      </c>
      <c r="V4271" cm="1">
        <f t="array" ref="V4271">_xlfn.IFS(AND(N4271&lt;= 22, S4271=9), N4271-7,AND(N4271&lt;= 28, S4271=9), N4271-25,AND(N4271&lt;= 30, S4271=9), N4271-28,AND(N4271&lt;= 11, S4271=10), N4271+2,AND(N4271&lt;= 21, S4271=10), N4271-11)</f>
        <v>7</v>
      </c>
    </row>
    <row r="4272" spans="1:22" x14ac:dyDescent="0.35">
      <c r="A4272" s="4">
        <v>45583</v>
      </c>
      <c r="B4272" s="5">
        <v>0.68116898148148153</v>
      </c>
      <c r="C4272">
        <v>65.099999999999994</v>
      </c>
      <c r="D4272">
        <v>66.3</v>
      </c>
      <c r="E4272">
        <v>64.599999999999994</v>
      </c>
      <c r="F4272">
        <v>63.3</v>
      </c>
      <c r="G4272">
        <v>0</v>
      </c>
      <c r="H4272">
        <v>0</v>
      </c>
      <c r="I4272">
        <v>0</v>
      </c>
      <c r="J4272">
        <v>0</v>
      </c>
      <c r="K4272">
        <v>63.8</v>
      </c>
      <c r="L4272">
        <v>64.099999999999994</v>
      </c>
      <c r="M4272">
        <v>64.819999999999993</v>
      </c>
      <c r="N4272">
        <v>18</v>
      </c>
      <c r="O4272">
        <v>3</v>
      </c>
      <c r="P4272">
        <f>MOD(DAY(datos_siembra[[#This Row],[Date]]),7)</f>
        <v>4</v>
      </c>
      <c r="Q4272" t="str">
        <f>CHOOSE(WEEKDAY(datos_siembra[[#This Row],[Date]],2),"L","M","X","J","V","S","D")</f>
        <v>V</v>
      </c>
      <c r="R4272">
        <f>WEEKNUM(datos_siembra[[#This Row],[Date]],2)-WEEKNUM(DATE(YEAR(datos_siembra[[#This Row],[Date]]),MONTH(datos_siembra[[#This Row],[Date]]),1))+1</f>
        <v>3</v>
      </c>
      <c r="S4272">
        <f>MONTH(datos_siembra[[#This Row],[Date]])</f>
        <v>10</v>
      </c>
      <c r="T4272" t="str" cm="1">
        <f t="array" ref="T4272">_xlfn.IFS(AND(N4272&lt;= 22, S4272=9), "SOWING",AND(N4272&lt;= 28, S4272=9), "COVERAGE",AND(N4272&lt;= 30, S4272=9), "FLUSH",AND(N4272&lt;= 11, S4272=10), "FLUSH",AND(N4272&lt;= 21, S4272=10), "PRODUCTION")</f>
        <v>PRODUCTION</v>
      </c>
      <c r="U4272">
        <f>HOUR(datos_siembra[[#This Row],[Hour]])</f>
        <v>16</v>
      </c>
      <c r="V4272" cm="1">
        <f t="array" ref="V4272">_xlfn.IFS(AND(N4272&lt;= 22, S4272=9), N4272-7,AND(N4272&lt;= 28, S4272=9), N4272-25,AND(N4272&lt;= 30, S4272=9), N4272-28,AND(N4272&lt;= 11, S4272=10), N4272+2,AND(N4272&lt;= 21, S4272=10), N4272-11)</f>
        <v>7</v>
      </c>
    </row>
    <row r="4273" spans="1:22" x14ac:dyDescent="0.35">
      <c r="A4273" s="4">
        <v>45583</v>
      </c>
      <c r="B4273" s="5">
        <v>0.68811342592592595</v>
      </c>
      <c r="C4273">
        <v>65.099999999999994</v>
      </c>
      <c r="D4273">
        <v>66.2</v>
      </c>
      <c r="E4273">
        <v>64.599999999999994</v>
      </c>
      <c r="F4273">
        <v>63.4</v>
      </c>
      <c r="G4273">
        <v>0</v>
      </c>
      <c r="H4273">
        <v>0</v>
      </c>
      <c r="I4273">
        <v>0</v>
      </c>
      <c r="J4273">
        <v>0</v>
      </c>
      <c r="K4273">
        <v>63.7</v>
      </c>
      <c r="L4273">
        <v>63.8</v>
      </c>
      <c r="M4273">
        <v>64.91</v>
      </c>
      <c r="N4273">
        <v>18</v>
      </c>
      <c r="O4273">
        <v>3</v>
      </c>
      <c r="P4273">
        <f>MOD(DAY(datos_siembra[[#This Row],[Date]]),7)</f>
        <v>4</v>
      </c>
      <c r="Q4273" t="str">
        <f>CHOOSE(WEEKDAY(datos_siembra[[#This Row],[Date]],2),"L","M","X","J","V","S","D")</f>
        <v>V</v>
      </c>
      <c r="R4273">
        <f>WEEKNUM(datos_siembra[[#This Row],[Date]],2)-WEEKNUM(DATE(YEAR(datos_siembra[[#This Row],[Date]]),MONTH(datos_siembra[[#This Row],[Date]]),1))+1</f>
        <v>3</v>
      </c>
      <c r="S4273">
        <f>MONTH(datos_siembra[[#This Row],[Date]])</f>
        <v>10</v>
      </c>
      <c r="T4273" t="str" cm="1">
        <f t="array" ref="T4273">_xlfn.IFS(AND(N4273&lt;= 22, S4273=9), "SOWING",AND(N4273&lt;= 28, S4273=9), "COVERAGE",AND(N4273&lt;= 30, S4273=9), "FLUSH",AND(N4273&lt;= 11, S4273=10), "FLUSH",AND(N4273&lt;= 21, S4273=10), "PRODUCTION")</f>
        <v>PRODUCTION</v>
      </c>
      <c r="U4273">
        <f>HOUR(datos_siembra[[#This Row],[Hour]])</f>
        <v>16</v>
      </c>
      <c r="V4273" cm="1">
        <f t="array" ref="V4273">_xlfn.IFS(AND(N4273&lt;= 22, S4273=9), N4273-7,AND(N4273&lt;= 28, S4273=9), N4273-25,AND(N4273&lt;= 30, S4273=9), N4273-28,AND(N4273&lt;= 11, S4273=10), N4273+2,AND(N4273&lt;= 21, S4273=10), N4273-11)</f>
        <v>7</v>
      </c>
    </row>
    <row r="4274" spans="1:22" x14ac:dyDescent="0.35">
      <c r="A4274" s="4">
        <v>45583</v>
      </c>
      <c r="B4274" s="5">
        <v>0.69505787037037037</v>
      </c>
      <c r="C4274">
        <v>65.2</v>
      </c>
      <c r="D4274">
        <v>66.2</v>
      </c>
      <c r="E4274">
        <v>64.900000000000006</v>
      </c>
      <c r="F4274">
        <v>63.4</v>
      </c>
      <c r="G4274">
        <v>0</v>
      </c>
      <c r="H4274">
        <v>0</v>
      </c>
      <c r="I4274">
        <v>0</v>
      </c>
      <c r="J4274">
        <v>0</v>
      </c>
      <c r="K4274">
        <v>63.7</v>
      </c>
      <c r="L4274">
        <v>63.9</v>
      </c>
      <c r="M4274">
        <v>64.88</v>
      </c>
      <c r="N4274">
        <v>18</v>
      </c>
      <c r="O4274">
        <v>3</v>
      </c>
      <c r="P4274">
        <f>MOD(DAY(datos_siembra[[#This Row],[Date]]),7)</f>
        <v>4</v>
      </c>
      <c r="Q4274" t="str">
        <f>CHOOSE(WEEKDAY(datos_siembra[[#This Row],[Date]],2),"L","M","X","J","V","S","D")</f>
        <v>V</v>
      </c>
      <c r="R4274">
        <f>WEEKNUM(datos_siembra[[#This Row],[Date]],2)-WEEKNUM(DATE(YEAR(datos_siembra[[#This Row],[Date]]),MONTH(datos_siembra[[#This Row],[Date]]),1))+1</f>
        <v>3</v>
      </c>
      <c r="S4274">
        <f>MONTH(datos_siembra[[#This Row],[Date]])</f>
        <v>10</v>
      </c>
      <c r="T4274" t="str" cm="1">
        <f t="array" ref="T4274">_xlfn.IFS(AND(N4274&lt;= 22, S4274=9), "SOWING",AND(N4274&lt;= 28, S4274=9), "COVERAGE",AND(N4274&lt;= 30, S4274=9), "FLUSH",AND(N4274&lt;= 11, S4274=10), "FLUSH",AND(N4274&lt;= 21, S4274=10), "PRODUCTION")</f>
        <v>PRODUCTION</v>
      </c>
      <c r="U4274">
        <f>HOUR(datos_siembra[[#This Row],[Hour]])</f>
        <v>16</v>
      </c>
      <c r="V4274" cm="1">
        <f t="array" ref="V4274">_xlfn.IFS(AND(N4274&lt;= 22, S4274=9), N4274-7,AND(N4274&lt;= 28, S4274=9), N4274-25,AND(N4274&lt;= 30, S4274=9), N4274-28,AND(N4274&lt;= 11, S4274=10), N4274+2,AND(N4274&lt;= 21, S4274=10), N4274-11)</f>
        <v>7</v>
      </c>
    </row>
    <row r="4275" spans="1:22" x14ac:dyDescent="0.35">
      <c r="A4275" s="4">
        <v>45583</v>
      </c>
      <c r="B4275" s="5">
        <v>0.70200231481481479</v>
      </c>
      <c r="C4275">
        <v>65.2</v>
      </c>
      <c r="D4275">
        <v>66.3</v>
      </c>
      <c r="E4275">
        <v>64.7</v>
      </c>
      <c r="F4275">
        <v>63.4</v>
      </c>
      <c r="G4275">
        <v>0</v>
      </c>
      <c r="H4275">
        <v>0</v>
      </c>
      <c r="I4275">
        <v>0</v>
      </c>
      <c r="J4275">
        <v>0</v>
      </c>
      <c r="K4275">
        <v>63.8</v>
      </c>
      <c r="L4275">
        <v>63.9</v>
      </c>
      <c r="M4275">
        <v>64.91</v>
      </c>
      <c r="N4275">
        <v>18</v>
      </c>
      <c r="O4275">
        <v>3</v>
      </c>
      <c r="P4275">
        <f>MOD(DAY(datos_siembra[[#This Row],[Date]]),7)</f>
        <v>4</v>
      </c>
      <c r="Q4275" t="str">
        <f>CHOOSE(WEEKDAY(datos_siembra[[#This Row],[Date]],2),"L","M","X","J","V","S","D")</f>
        <v>V</v>
      </c>
      <c r="R4275">
        <f>WEEKNUM(datos_siembra[[#This Row],[Date]],2)-WEEKNUM(DATE(YEAR(datos_siembra[[#This Row],[Date]]),MONTH(datos_siembra[[#This Row],[Date]]),1))+1</f>
        <v>3</v>
      </c>
      <c r="S4275">
        <f>MONTH(datos_siembra[[#This Row],[Date]])</f>
        <v>10</v>
      </c>
      <c r="T4275" t="str" cm="1">
        <f t="array" ref="T4275">_xlfn.IFS(AND(N4275&lt;= 22, S4275=9), "SOWING",AND(N4275&lt;= 28, S4275=9), "COVERAGE",AND(N4275&lt;= 30, S4275=9), "FLUSH",AND(N4275&lt;= 11, S4275=10), "FLUSH",AND(N4275&lt;= 21, S4275=10), "PRODUCTION")</f>
        <v>PRODUCTION</v>
      </c>
      <c r="U4275">
        <f>HOUR(datos_siembra[[#This Row],[Hour]])</f>
        <v>16</v>
      </c>
      <c r="V4275" cm="1">
        <f t="array" ref="V4275">_xlfn.IFS(AND(N4275&lt;= 22, S4275=9), N4275-7,AND(N4275&lt;= 28, S4275=9), N4275-25,AND(N4275&lt;= 30, S4275=9), N4275-28,AND(N4275&lt;= 11, S4275=10), N4275+2,AND(N4275&lt;= 21, S4275=10), N4275-11)</f>
        <v>7</v>
      </c>
    </row>
    <row r="4276" spans="1:22" x14ac:dyDescent="0.35">
      <c r="A4276" s="4">
        <v>45583</v>
      </c>
      <c r="B4276" s="5">
        <v>0.70895833333333336</v>
      </c>
      <c r="C4276">
        <v>65.2</v>
      </c>
      <c r="D4276">
        <v>66.2</v>
      </c>
      <c r="E4276">
        <v>64.900000000000006</v>
      </c>
      <c r="F4276">
        <v>63.5</v>
      </c>
      <c r="G4276">
        <v>0</v>
      </c>
      <c r="H4276">
        <v>0</v>
      </c>
      <c r="I4276">
        <v>0</v>
      </c>
      <c r="J4276">
        <v>0</v>
      </c>
      <c r="K4276">
        <v>63.8</v>
      </c>
      <c r="L4276">
        <v>63.9</v>
      </c>
      <c r="M4276">
        <v>64.989999999999995</v>
      </c>
      <c r="N4276">
        <v>18</v>
      </c>
      <c r="O4276">
        <v>3</v>
      </c>
      <c r="P4276">
        <f>MOD(DAY(datos_siembra[[#This Row],[Date]]),7)</f>
        <v>4</v>
      </c>
      <c r="Q4276" t="str">
        <f>CHOOSE(WEEKDAY(datos_siembra[[#This Row],[Date]],2),"L","M","X","J","V","S","D")</f>
        <v>V</v>
      </c>
      <c r="R4276">
        <f>WEEKNUM(datos_siembra[[#This Row],[Date]],2)-WEEKNUM(DATE(YEAR(datos_siembra[[#This Row],[Date]]),MONTH(datos_siembra[[#This Row],[Date]]),1))+1</f>
        <v>3</v>
      </c>
      <c r="S4276">
        <f>MONTH(datos_siembra[[#This Row],[Date]])</f>
        <v>10</v>
      </c>
      <c r="T4276" t="str" cm="1">
        <f t="array" ref="T4276">_xlfn.IFS(AND(N4276&lt;= 22, S4276=9), "SOWING",AND(N4276&lt;= 28, S4276=9), "COVERAGE",AND(N4276&lt;= 30, S4276=9), "FLUSH",AND(N4276&lt;= 11, S4276=10), "FLUSH",AND(N4276&lt;= 21, S4276=10), "PRODUCTION")</f>
        <v>PRODUCTION</v>
      </c>
      <c r="U4276">
        <f>HOUR(datos_siembra[[#This Row],[Hour]])</f>
        <v>17</v>
      </c>
      <c r="V4276" cm="1">
        <f t="array" ref="V4276">_xlfn.IFS(AND(N4276&lt;= 22, S4276=9), N4276-7,AND(N4276&lt;= 28, S4276=9), N4276-25,AND(N4276&lt;= 30, S4276=9), N4276-28,AND(N4276&lt;= 11, S4276=10), N4276+2,AND(N4276&lt;= 21, S4276=10), N4276-11)</f>
        <v>7</v>
      </c>
    </row>
    <row r="4277" spans="1:22" x14ac:dyDescent="0.35">
      <c r="A4277" s="4">
        <v>45583</v>
      </c>
      <c r="B4277" s="5">
        <v>0.71590277777777778</v>
      </c>
      <c r="C4277">
        <v>65.2</v>
      </c>
      <c r="D4277">
        <v>66.400000000000006</v>
      </c>
      <c r="E4277">
        <v>65</v>
      </c>
      <c r="F4277">
        <v>63.7</v>
      </c>
      <c r="G4277">
        <v>0</v>
      </c>
      <c r="H4277">
        <v>0</v>
      </c>
      <c r="I4277">
        <v>0</v>
      </c>
      <c r="J4277">
        <v>0</v>
      </c>
      <c r="K4277">
        <v>63.4</v>
      </c>
      <c r="L4277">
        <v>63.4</v>
      </c>
      <c r="M4277">
        <v>65.02</v>
      </c>
      <c r="N4277">
        <v>18</v>
      </c>
      <c r="O4277">
        <v>3</v>
      </c>
      <c r="P4277">
        <f>MOD(DAY(datos_siembra[[#This Row],[Date]]),7)</f>
        <v>4</v>
      </c>
      <c r="Q4277" t="str">
        <f>CHOOSE(WEEKDAY(datos_siembra[[#This Row],[Date]],2),"L","M","X","J","V","S","D")</f>
        <v>V</v>
      </c>
      <c r="R4277">
        <f>WEEKNUM(datos_siembra[[#This Row],[Date]],2)-WEEKNUM(DATE(YEAR(datos_siembra[[#This Row],[Date]]),MONTH(datos_siembra[[#This Row],[Date]]),1))+1</f>
        <v>3</v>
      </c>
      <c r="S4277">
        <f>MONTH(datos_siembra[[#This Row],[Date]])</f>
        <v>10</v>
      </c>
      <c r="T4277" t="str" cm="1">
        <f t="array" ref="T4277">_xlfn.IFS(AND(N4277&lt;= 22, S4277=9), "SOWING",AND(N4277&lt;= 28, S4277=9), "COVERAGE",AND(N4277&lt;= 30, S4277=9), "FLUSH",AND(N4277&lt;= 11, S4277=10), "FLUSH",AND(N4277&lt;= 21, S4277=10), "PRODUCTION")</f>
        <v>PRODUCTION</v>
      </c>
      <c r="U4277">
        <f>HOUR(datos_siembra[[#This Row],[Hour]])</f>
        <v>17</v>
      </c>
      <c r="V4277" cm="1">
        <f t="array" ref="V4277">_xlfn.IFS(AND(N4277&lt;= 22, S4277=9), N4277-7,AND(N4277&lt;= 28, S4277=9), N4277-25,AND(N4277&lt;= 30, S4277=9), N4277-28,AND(N4277&lt;= 11, S4277=10), N4277+2,AND(N4277&lt;= 21, S4277=10), N4277-11)</f>
        <v>7</v>
      </c>
    </row>
    <row r="4278" spans="1:22" x14ac:dyDescent="0.35">
      <c r="A4278" s="4">
        <v>45583</v>
      </c>
      <c r="B4278" s="5">
        <v>0.7228472222222222</v>
      </c>
      <c r="C4278">
        <v>65.2</v>
      </c>
      <c r="D4278">
        <v>66.5</v>
      </c>
      <c r="E4278">
        <v>64.7</v>
      </c>
      <c r="F4278">
        <v>63.5</v>
      </c>
      <c r="G4278">
        <v>0</v>
      </c>
      <c r="H4278">
        <v>0</v>
      </c>
      <c r="I4278">
        <v>0</v>
      </c>
      <c r="J4278">
        <v>0</v>
      </c>
      <c r="K4278">
        <v>63.2</v>
      </c>
      <c r="L4278">
        <v>63.2</v>
      </c>
      <c r="M4278">
        <v>64.959999999999994</v>
      </c>
      <c r="N4278">
        <v>18</v>
      </c>
      <c r="O4278">
        <v>3</v>
      </c>
      <c r="P4278">
        <f>MOD(DAY(datos_siembra[[#This Row],[Date]]),7)</f>
        <v>4</v>
      </c>
      <c r="Q4278" t="str">
        <f>CHOOSE(WEEKDAY(datos_siembra[[#This Row],[Date]],2),"L","M","X","J","V","S","D")</f>
        <v>V</v>
      </c>
      <c r="R4278">
        <f>WEEKNUM(datos_siembra[[#This Row],[Date]],2)-WEEKNUM(DATE(YEAR(datos_siembra[[#This Row],[Date]]),MONTH(datos_siembra[[#This Row],[Date]]),1))+1</f>
        <v>3</v>
      </c>
      <c r="S4278">
        <f>MONTH(datos_siembra[[#This Row],[Date]])</f>
        <v>10</v>
      </c>
      <c r="T4278" t="str" cm="1">
        <f t="array" ref="T4278">_xlfn.IFS(AND(N4278&lt;= 22, S4278=9), "SOWING",AND(N4278&lt;= 28, S4278=9), "COVERAGE",AND(N4278&lt;= 30, S4278=9), "FLUSH",AND(N4278&lt;= 11, S4278=10), "FLUSH",AND(N4278&lt;= 21, S4278=10), "PRODUCTION")</f>
        <v>PRODUCTION</v>
      </c>
      <c r="U4278">
        <f>HOUR(datos_siembra[[#This Row],[Hour]])</f>
        <v>17</v>
      </c>
      <c r="V4278" cm="1">
        <f t="array" ref="V4278">_xlfn.IFS(AND(N4278&lt;= 22, S4278=9), N4278-7,AND(N4278&lt;= 28, S4278=9), N4278-25,AND(N4278&lt;= 30, S4278=9), N4278-28,AND(N4278&lt;= 11, S4278=10), N4278+2,AND(N4278&lt;= 21, S4278=10), N4278-11)</f>
        <v>7</v>
      </c>
    </row>
    <row r="4279" spans="1:22" x14ac:dyDescent="0.35">
      <c r="A4279" s="4">
        <v>45583</v>
      </c>
      <c r="B4279" s="5">
        <v>0.72979166666666662</v>
      </c>
      <c r="C4279">
        <v>65.2</v>
      </c>
      <c r="D4279">
        <v>66.400000000000006</v>
      </c>
      <c r="E4279">
        <v>64.900000000000006</v>
      </c>
      <c r="F4279">
        <v>63.7</v>
      </c>
      <c r="G4279">
        <v>0</v>
      </c>
      <c r="H4279">
        <v>0</v>
      </c>
      <c r="I4279">
        <v>0</v>
      </c>
      <c r="J4279">
        <v>0</v>
      </c>
      <c r="K4279">
        <v>63</v>
      </c>
      <c r="L4279">
        <v>63</v>
      </c>
      <c r="M4279">
        <v>65.02</v>
      </c>
      <c r="N4279">
        <v>18</v>
      </c>
      <c r="O4279">
        <v>3</v>
      </c>
      <c r="P4279">
        <f>MOD(DAY(datos_siembra[[#This Row],[Date]]),7)</f>
        <v>4</v>
      </c>
      <c r="Q4279" t="str">
        <f>CHOOSE(WEEKDAY(datos_siembra[[#This Row],[Date]],2),"L","M","X","J","V","S","D")</f>
        <v>V</v>
      </c>
      <c r="R4279">
        <f>WEEKNUM(datos_siembra[[#This Row],[Date]],2)-WEEKNUM(DATE(YEAR(datos_siembra[[#This Row],[Date]]),MONTH(datos_siembra[[#This Row],[Date]]),1))+1</f>
        <v>3</v>
      </c>
      <c r="S4279">
        <f>MONTH(datos_siembra[[#This Row],[Date]])</f>
        <v>10</v>
      </c>
      <c r="T4279" t="str" cm="1">
        <f t="array" ref="T4279">_xlfn.IFS(AND(N4279&lt;= 22, S4279=9), "SOWING",AND(N4279&lt;= 28, S4279=9), "COVERAGE",AND(N4279&lt;= 30, S4279=9), "FLUSH",AND(N4279&lt;= 11, S4279=10), "FLUSH",AND(N4279&lt;= 21, S4279=10), "PRODUCTION")</f>
        <v>PRODUCTION</v>
      </c>
      <c r="U4279">
        <f>HOUR(datos_siembra[[#This Row],[Hour]])</f>
        <v>17</v>
      </c>
      <c r="V4279" cm="1">
        <f t="array" ref="V4279">_xlfn.IFS(AND(N4279&lt;= 22, S4279=9), N4279-7,AND(N4279&lt;= 28, S4279=9), N4279-25,AND(N4279&lt;= 30, S4279=9), N4279-28,AND(N4279&lt;= 11, S4279=10), N4279+2,AND(N4279&lt;= 21, S4279=10), N4279-11)</f>
        <v>7</v>
      </c>
    </row>
    <row r="4280" spans="1:22" x14ac:dyDescent="0.35">
      <c r="A4280" s="4">
        <v>45583</v>
      </c>
      <c r="B4280" s="5">
        <v>0.73674768518518519</v>
      </c>
      <c r="C4280">
        <v>65.099999999999994</v>
      </c>
      <c r="D4280">
        <v>66.5</v>
      </c>
      <c r="E4280">
        <v>64.900000000000006</v>
      </c>
      <c r="F4280">
        <v>63.7</v>
      </c>
      <c r="G4280">
        <v>0</v>
      </c>
      <c r="H4280">
        <v>0</v>
      </c>
      <c r="I4280">
        <v>0</v>
      </c>
      <c r="J4280">
        <v>0</v>
      </c>
      <c r="K4280">
        <v>62.9</v>
      </c>
      <c r="L4280">
        <v>62.8</v>
      </c>
      <c r="M4280">
        <v>65.05</v>
      </c>
      <c r="N4280">
        <v>18</v>
      </c>
      <c r="O4280">
        <v>3</v>
      </c>
      <c r="P4280">
        <f>MOD(DAY(datos_siembra[[#This Row],[Date]]),7)</f>
        <v>4</v>
      </c>
      <c r="Q4280" t="str">
        <f>CHOOSE(WEEKDAY(datos_siembra[[#This Row],[Date]],2),"L","M","X","J","V","S","D")</f>
        <v>V</v>
      </c>
      <c r="R4280">
        <f>WEEKNUM(datos_siembra[[#This Row],[Date]],2)-WEEKNUM(DATE(YEAR(datos_siembra[[#This Row],[Date]]),MONTH(datos_siembra[[#This Row],[Date]]),1))+1</f>
        <v>3</v>
      </c>
      <c r="S4280">
        <f>MONTH(datos_siembra[[#This Row],[Date]])</f>
        <v>10</v>
      </c>
      <c r="T4280" t="str" cm="1">
        <f t="array" ref="T4280">_xlfn.IFS(AND(N4280&lt;= 22, S4280=9), "SOWING",AND(N4280&lt;= 28, S4280=9), "COVERAGE",AND(N4280&lt;= 30, S4280=9), "FLUSH",AND(N4280&lt;= 11, S4280=10), "FLUSH",AND(N4280&lt;= 21, S4280=10), "PRODUCTION")</f>
        <v>PRODUCTION</v>
      </c>
      <c r="U4280">
        <f>HOUR(datos_siembra[[#This Row],[Hour]])</f>
        <v>17</v>
      </c>
      <c r="V4280" cm="1">
        <f t="array" ref="V4280">_xlfn.IFS(AND(N4280&lt;= 22, S4280=9), N4280-7,AND(N4280&lt;= 28, S4280=9), N4280-25,AND(N4280&lt;= 30, S4280=9), N4280-28,AND(N4280&lt;= 11, S4280=10), N4280+2,AND(N4280&lt;= 21, S4280=10), N4280-11)</f>
        <v>7</v>
      </c>
    </row>
    <row r="4281" spans="1:22" x14ac:dyDescent="0.35">
      <c r="A4281" s="4">
        <v>45583</v>
      </c>
      <c r="B4281" s="5">
        <v>0.74369212962962961</v>
      </c>
      <c r="C4281">
        <v>65.2</v>
      </c>
      <c r="D4281">
        <v>66.400000000000006</v>
      </c>
      <c r="E4281">
        <v>65</v>
      </c>
      <c r="F4281">
        <v>63.7</v>
      </c>
      <c r="G4281">
        <v>0</v>
      </c>
      <c r="H4281">
        <v>0</v>
      </c>
      <c r="I4281">
        <v>0</v>
      </c>
      <c r="J4281">
        <v>0</v>
      </c>
      <c r="K4281">
        <v>62.7</v>
      </c>
      <c r="L4281">
        <v>62.7</v>
      </c>
      <c r="M4281">
        <v>64.989999999999995</v>
      </c>
      <c r="N4281">
        <v>18</v>
      </c>
      <c r="O4281">
        <v>3</v>
      </c>
      <c r="P4281">
        <f>MOD(DAY(datos_siembra[[#This Row],[Date]]),7)</f>
        <v>4</v>
      </c>
      <c r="Q4281" t="str">
        <f>CHOOSE(WEEKDAY(datos_siembra[[#This Row],[Date]],2),"L","M","X","J","V","S","D")</f>
        <v>V</v>
      </c>
      <c r="R4281">
        <f>WEEKNUM(datos_siembra[[#This Row],[Date]],2)-WEEKNUM(DATE(YEAR(datos_siembra[[#This Row],[Date]]),MONTH(datos_siembra[[#This Row],[Date]]),1))+1</f>
        <v>3</v>
      </c>
      <c r="S4281">
        <f>MONTH(datos_siembra[[#This Row],[Date]])</f>
        <v>10</v>
      </c>
      <c r="T4281" t="str" cm="1">
        <f t="array" ref="T4281">_xlfn.IFS(AND(N4281&lt;= 22, S4281=9), "SOWING",AND(N4281&lt;= 28, S4281=9), "COVERAGE",AND(N4281&lt;= 30, S4281=9), "FLUSH",AND(N4281&lt;= 11, S4281=10), "FLUSH",AND(N4281&lt;= 21, S4281=10), "PRODUCTION")</f>
        <v>PRODUCTION</v>
      </c>
      <c r="U4281">
        <f>HOUR(datos_siembra[[#This Row],[Hour]])</f>
        <v>17</v>
      </c>
      <c r="V4281" cm="1">
        <f t="array" ref="V4281">_xlfn.IFS(AND(N4281&lt;= 22, S4281=9), N4281-7,AND(N4281&lt;= 28, S4281=9), N4281-25,AND(N4281&lt;= 30, S4281=9), N4281-28,AND(N4281&lt;= 11, S4281=10), N4281+2,AND(N4281&lt;= 21, S4281=10), N4281-11)</f>
        <v>7</v>
      </c>
    </row>
    <row r="4282" spans="1:22" x14ac:dyDescent="0.35">
      <c r="A4282" s="4">
        <v>45583</v>
      </c>
      <c r="B4282" s="5">
        <v>0.75063657407407403</v>
      </c>
      <c r="C4282">
        <v>65.2</v>
      </c>
      <c r="D4282">
        <v>66.3</v>
      </c>
      <c r="E4282">
        <v>65</v>
      </c>
      <c r="F4282">
        <v>63.7</v>
      </c>
      <c r="G4282">
        <v>0</v>
      </c>
      <c r="H4282">
        <v>0</v>
      </c>
      <c r="I4282">
        <v>0</v>
      </c>
      <c r="J4282">
        <v>0</v>
      </c>
      <c r="K4282">
        <v>62.6</v>
      </c>
      <c r="L4282">
        <v>62.6</v>
      </c>
      <c r="M4282">
        <v>64.989999999999995</v>
      </c>
      <c r="N4282">
        <v>18</v>
      </c>
      <c r="O4282">
        <v>3</v>
      </c>
      <c r="P4282">
        <f>MOD(DAY(datos_siembra[[#This Row],[Date]]),7)</f>
        <v>4</v>
      </c>
      <c r="Q4282" t="str">
        <f>CHOOSE(WEEKDAY(datos_siembra[[#This Row],[Date]],2),"L","M","X","J","V","S","D")</f>
        <v>V</v>
      </c>
      <c r="R4282">
        <f>WEEKNUM(datos_siembra[[#This Row],[Date]],2)-WEEKNUM(DATE(YEAR(datos_siembra[[#This Row],[Date]]),MONTH(datos_siembra[[#This Row],[Date]]),1))+1</f>
        <v>3</v>
      </c>
      <c r="S4282">
        <f>MONTH(datos_siembra[[#This Row],[Date]])</f>
        <v>10</v>
      </c>
      <c r="T4282" t="str" cm="1">
        <f t="array" ref="T4282">_xlfn.IFS(AND(N4282&lt;= 22, S4282=9), "SOWING",AND(N4282&lt;= 28, S4282=9), "COVERAGE",AND(N4282&lt;= 30, S4282=9), "FLUSH",AND(N4282&lt;= 11, S4282=10), "FLUSH",AND(N4282&lt;= 21, S4282=10), "PRODUCTION")</f>
        <v>PRODUCTION</v>
      </c>
      <c r="U4282">
        <f>HOUR(datos_siembra[[#This Row],[Hour]])</f>
        <v>18</v>
      </c>
      <c r="V4282" cm="1">
        <f t="array" ref="V4282">_xlfn.IFS(AND(N4282&lt;= 22, S4282=9), N4282-7,AND(N4282&lt;= 28, S4282=9), N4282-25,AND(N4282&lt;= 30, S4282=9), N4282-28,AND(N4282&lt;= 11, S4282=10), N4282+2,AND(N4282&lt;= 21, S4282=10), N4282-11)</f>
        <v>7</v>
      </c>
    </row>
    <row r="4283" spans="1:22" x14ac:dyDescent="0.35">
      <c r="A4283" s="4">
        <v>45583</v>
      </c>
      <c r="B4283" s="5">
        <v>0.7575925925925926</v>
      </c>
      <c r="C4283">
        <v>65.2</v>
      </c>
      <c r="D4283">
        <v>66.400000000000006</v>
      </c>
      <c r="E4283">
        <v>65</v>
      </c>
      <c r="F4283">
        <v>63.6</v>
      </c>
      <c r="G4283">
        <v>0</v>
      </c>
      <c r="H4283">
        <v>0</v>
      </c>
      <c r="I4283">
        <v>0</v>
      </c>
      <c r="J4283">
        <v>0</v>
      </c>
      <c r="K4283">
        <v>62.5</v>
      </c>
      <c r="L4283">
        <v>62.4</v>
      </c>
      <c r="M4283">
        <v>65.069999999999993</v>
      </c>
      <c r="N4283">
        <v>18</v>
      </c>
      <c r="O4283">
        <v>3</v>
      </c>
      <c r="P4283">
        <f>MOD(DAY(datos_siembra[[#This Row],[Date]]),7)</f>
        <v>4</v>
      </c>
      <c r="Q4283" t="str">
        <f>CHOOSE(WEEKDAY(datos_siembra[[#This Row],[Date]],2),"L","M","X","J","V","S","D")</f>
        <v>V</v>
      </c>
      <c r="R4283">
        <f>WEEKNUM(datos_siembra[[#This Row],[Date]],2)-WEEKNUM(DATE(YEAR(datos_siembra[[#This Row],[Date]]),MONTH(datos_siembra[[#This Row],[Date]]),1))+1</f>
        <v>3</v>
      </c>
      <c r="S4283">
        <f>MONTH(datos_siembra[[#This Row],[Date]])</f>
        <v>10</v>
      </c>
      <c r="T4283" t="str" cm="1">
        <f t="array" ref="T4283">_xlfn.IFS(AND(N4283&lt;= 22, S4283=9), "SOWING",AND(N4283&lt;= 28, S4283=9), "COVERAGE",AND(N4283&lt;= 30, S4283=9), "FLUSH",AND(N4283&lt;= 11, S4283=10), "FLUSH",AND(N4283&lt;= 21, S4283=10), "PRODUCTION")</f>
        <v>PRODUCTION</v>
      </c>
      <c r="U4283">
        <f>HOUR(datos_siembra[[#This Row],[Hour]])</f>
        <v>18</v>
      </c>
      <c r="V4283" cm="1">
        <f t="array" ref="V4283">_xlfn.IFS(AND(N4283&lt;= 22, S4283=9), N4283-7,AND(N4283&lt;= 28, S4283=9), N4283-25,AND(N4283&lt;= 30, S4283=9), N4283-28,AND(N4283&lt;= 11, S4283=10), N4283+2,AND(N4283&lt;= 21, S4283=10), N4283-11)</f>
        <v>7</v>
      </c>
    </row>
    <row r="4284" spans="1:22" x14ac:dyDescent="0.35">
      <c r="A4284" s="4">
        <v>45583</v>
      </c>
      <c r="B4284" s="5">
        <v>0.76453703703703701</v>
      </c>
      <c r="C4284">
        <v>65.2</v>
      </c>
      <c r="D4284">
        <v>66.400000000000006</v>
      </c>
      <c r="E4284">
        <v>65</v>
      </c>
      <c r="F4284">
        <v>63.8</v>
      </c>
      <c r="G4284">
        <v>0</v>
      </c>
      <c r="H4284">
        <v>0</v>
      </c>
      <c r="I4284">
        <v>0</v>
      </c>
      <c r="J4284">
        <v>0</v>
      </c>
      <c r="K4284">
        <v>62.3</v>
      </c>
      <c r="L4284">
        <v>62.3</v>
      </c>
      <c r="M4284">
        <v>65.05</v>
      </c>
      <c r="N4284">
        <v>18</v>
      </c>
      <c r="O4284">
        <v>3</v>
      </c>
      <c r="P4284">
        <f>MOD(DAY(datos_siembra[[#This Row],[Date]]),7)</f>
        <v>4</v>
      </c>
      <c r="Q4284" t="str">
        <f>CHOOSE(WEEKDAY(datos_siembra[[#This Row],[Date]],2),"L","M","X","J","V","S","D")</f>
        <v>V</v>
      </c>
      <c r="R4284">
        <f>WEEKNUM(datos_siembra[[#This Row],[Date]],2)-WEEKNUM(DATE(YEAR(datos_siembra[[#This Row],[Date]]),MONTH(datos_siembra[[#This Row],[Date]]),1))+1</f>
        <v>3</v>
      </c>
      <c r="S4284">
        <f>MONTH(datos_siembra[[#This Row],[Date]])</f>
        <v>10</v>
      </c>
      <c r="T4284" t="str" cm="1">
        <f t="array" ref="T4284">_xlfn.IFS(AND(N4284&lt;= 22, S4284=9), "SOWING",AND(N4284&lt;= 28, S4284=9), "COVERAGE",AND(N4284&lt;= 30, S4284=9), "FLUSH",AND(N4284&lt;= 11, S4284=10), "FLUSH",AND(N4284&lt;= 21, S4284=10), "PRODUCTION")</f>
        <v>PRODUCTION</v>
      </c>
      <c r="U4284">
        <f>HOUR(datos_siembra[[#This Row],[Hour]])</f>
        <v>18</v>
      </c>
      <c r="V4284" cm="1">
        <f t="array" ref="V4284">_xlfn.IFS(AND(N4284&lt;= 22, S4284=9), N4284-7,AND(N4284&lt;= 28, S4284=9), N4284-25,AND(N4284&lt;= 30, S4284=9), N4284-28,AND(N4284&lt;= 11, S4284=10), N4284+2,AND(N4284&lt;= 21, S4284=10), N4284-11)</f>
        <v>7</v>
      </c>
    </row>
    <row r="4285" spans="1:22" x14ac:dyDescent="0.35">
      <c r="A4285" s="4">
        <v>45583</v>
      </c>
      <c r="B4285" s="5">
        <v>0.77148148148148143</v>
      </c>
      <c r="C4285">
        <v>65.2</v>
      </c>
      <c r="D4285">
        <v>66.3</v>
      </c>
      <c r="E4285">
        <v>65.099999999999994</v>
      </c>
      <c r="F4285">
        <v>63.9</v>
      </c>
      <c r="G4285">
        <v>0</v>
      </c>
      <c r="H4285">
        <v>0</v>
      </c>
      <c r="I4285">
        <v>0</v>
      </c>
      <c r="J4285">
        <v>0</v>
      </c>
      <c r="K4285">
        <v>62.3</v>
      </c>
      <c r="L4285">
        <v>62.2</v>
      </c>
      <c r="M4285">
        <v>65.13</v>
      </c>
      <c r="N4285">
        <v>18</v>
      </c>
      <c r="O4285">
        <v>3</v>
      </c>
      <c r="P4285">
        <f>MOD(DAY(datos_siembra[[#This Row],[Date]]),7)</f>
        <v>4</v>
      </c>
      <c r="Q4285" t="str">
        <f>CHOOSE(WEEKDAY(datos_siembra[[#This Row],[Date]],2),"L","M","X","J","V","S","D")</f>
        <v>V</v>
      </c>
      <c r="R4285">
        <f>WEEKNUM(datos_siembra[[#This Row],[Date]],2)-WEEKNUM(DATE(YEAR(datos_siembra[[#This Row],[Date]]),MONTH(datos_siembra[[#This Row],[Date]]),1))+1</f>
        <v>3</v>
      </c>
      <c r="S4285">
        <f>MONTH(datos_siembra[[#This Row],[Date]])</f>
        <v>10</v>
      </c>
      <c r="T4285" t="str" cm="1">
        <f t="array" ref="T4285">_xlfn.IFS(AND(N4285&lt;= 22, S4285=9), "SOWING",AND(N4285&lt;= 28, S4285=9), "COVERAGE",AND(N4285&lt;= 30, S4285=9), "FLUSH",AND(N4285&lt;= 11, S4285=10), "FLUSH",AND(N4285&lt;= 21, S4285=10), "PRODUCTION")</f>
        <v>PRODUCTION</v>
      </c>
      <c r="U4285">
        <f>HOUR(datos_siembra[[#This Row],[Hour]])</f>
        <v>18</v>
      </c>
      <c r="V4285" cm="1">
        <f t="array" ref="V4285">_xlfn.IFS(AND(N4285&lt;= 22, S4285=9), N4285-7,AND(N4285&lt;= 28, S4285=9), N4285-25,AND(N4285&lt;= 30, S4285=9), N4285-28,AND(N4285&lt;= 11, S4285=10), N4285+2,AND(N4285&lt;= 21, S4285=10), N4285-11)</f>
        <v>7</v>
      </c>
    </row>
    <row r="4286" spans="1:22" x14ac:dyDescent="0.35">
      <c r="A4286" s="4">
        <v>45583</v>
      </c>
      <c r="B4286" s="5">
        <v>0.77842592592592597</v>
      </c>
      <c r="C4286">
        <v>65.2</v>
      </c>
      <c r="D4286">
        <v>66.3</v>
      </c>
      <c r="E4286">
        <v>65</v>
      </c>
      <c r="F4286">
        <v>63.8</v>
      </c>
      <c r="G4286">
        <v>0</v>
      </c>
      <c r="H4286">
        <v>0</v>
      </c>
      <c r="I4286">
        <v>0</v>
      </c>
      <c r="J4286">
        <v>0</v>
      </c>
      <c r="K4286">
        <v>62.3</v>
      </c>
      <c r="L4286">
        <v>62.2</v>
      </c>
      <c r="M4286">
        <v>65.099999999999994</v>
      </c>
      <c r="N4286">
        <v>18</v>
      </c>
      <c r="O4286">
        <v>3</v>
      </c>
      <c r="P4286">
        <f>MOD(DAY(datos_siembra[[#This Row],[Date]]),7)</f>
        <v>4</v>
      </c>
      <c r="Q4286" t="str">
        <f>CHOOSE(WEEKDAY(datos_siembra[[#This Row],[Date]],2),"L","M","X","J","V","S","D")</f>
        <v>V</v>
      </c>
      <c r="R4286">
        <f>WEEKNUM(datos_siembra[[#This Row],[Date]],2)-WEEKNUM(DATE(YEAR(datos_siembra[[#This Row],[Date]]),MONTH(datos_siembra[[#This Row],[Date]]),1))+1</f>
        <v>3</v>
      </c>
      <c r="S4286">
        <f>MONTH(datos_siembra[[#This Row],[Date]])</f>
        <v>10</v>
      </c>
      <c r="T4286" t="str" cm="1">
        <f t="array" ref="T4286">_xlfn.IFS(AND(N4286&lt;= 22, S4286=9), "SOWING",AND(N4286&lt;= 28, S4286=9), "COVERAGE",AND(N4286&lt;= 30, S4286=9), "FLUSH",AND(N4286&lt;= 11, S4286=10), "FLUSH",AND(N4286&lt;= 21, S4286=10), "PRODUCTION")</f>
        <v>PRODUCTION</v>
      </c>
      <c r="U4286">
        <f>HOUR(datos_siembra[[#This Row],[Hour]])</f>
        <v>18</v>
      </c>
      <c r="V4286" cm="1">
        <f t="array" ref="V4286">_xlfn.IFS(AND(N4286&lt;= 22, S4286=9), N4286-7,AND(N4286&lt;= 28, S4286=9), N4286-25,AND(N4286&lt;= 30, S4286=9), N4286-28,AND(N4286&lt;= 11, S4286=10), N4286+2,AND(N4286&lt;= 21, S4286=10), N4286-11)</f>
        <v>7</v>
      </c>
    </row>
    <row r="4287" spans="1:22" x14ac:dyDescent="0.35">
      <c r="A4287" s="4">
        <v>45583</v>
      </c>
      <c r="B4287" s="5">
        <v>0.78538194444444442</v>
      </c>
      <c r="C4287">
        <v>65.099999999999994</v>
      </c>
      <c r="D4287">
        <v>66.400000000000006</v>
      </c>
      <c r="E4287">
        <v>65</v>
      </c>
      <c r="F4287">
        <v>63.7</v>
      </c>
      <c r="G4287">
        <v>0</v>
      </c>
      <c r="H4287">
        <v>0</v>
      </c>
      <c r="I4287">
        <v>0</v>
      </c>
      <c r="J4287">
        <v>0</v>
      </c>
      <c r="K4287">
        <v>62.2</v>
      </c>
      <c r="L4287">
        <v>62.2</v>
      </c>
      <c r="M4287">
        <v>65.16</v>
      </c>
      <c r="N4287">
        <v>18</v>
      </c>
      <c r="O4287">
        <v>3</v>
      </c>
      <c r="P4287">
        <f>MOD(DAY(datos_siembra[[#This Row],[Date]]),7)</f>
        <v>4</v>
      </c>
      <c r="Q4287" t="str">
        <f>CHOOSE(WEEKDAY(datos_siembra[[#This Row],[Date]],2),"L","M","X","J","V","S","D")</f>
        <v>V</v>
      </c>
      <c r="R4287">
        <f>WEEKNUM(datos_siembra[[#This Row],[Date]],2)-WEEKNUM(DATE(YEAR(datos_siembra[[#This Row],[Date]]),MONTH(datos_siembra[[#This Row],[Date]]),1))+1</f>
        <v>3</v>
      </c>
      <c r="S4287">
        <f>MONTH(datos_siembra[[#This Row],[Date]])</f>
        <v>10</v>
      </c>
      <c r="T4287" t="str" cm="1">
        <f t="array" ref="T4287">_xlfn.IFS(AND(N4287&lt;= 22, S4287=9), "SOWING",AND(N4287&lt;= 28, S4287=9), "COVERAGE",AND(N4287&lt;= 30, S4287=9), "FLUSH",AND(N4287&lt;= 11, S4287=10), "FLUSH",AND(N4287&lt;= 21, S4287=10), "PRODUCTION")</f>
        <v>PRODUCTION</v>
      </c>
      <c r="U4287">
        <f>HOUR(datos_siembra[[#This Row],[Hour]])</f>
        <v>18</v>
      </c>
      <c r="V4287" cm="1">
        <f t="array" ref="V4287">_xlfn.IFS(AND(N4287&lt;= 22, S4287=9), N4287-7,AND(N4287&lt;= 28, S4287=9), N4287-25,AND(N4287&lt;= 30, S4287=9), N4287-28,AND(N4287&lt;= 11, S4287=10), N4287+2,AND(N4287&lt;= 21, S4287=10), N4287-11)</f>
        <v>7</v>
      </c>
    </row>
    <row r="4288" spans="1:22" x14ac:dyDescent="0.35">
      <c r="A4288" s="4">
        <v>45583</v>
      </c>
      <c r="B4288" s="5">
        <v>0.79232638888888884</v>
      </c>
      <c r="C4288">
        <v>65.2</v>
      </c>
      <c r="D4288">
        <v>66.400000000000006</v>
      </c>
      <c r="E4288">
        <v>65.2</v>
      </c>
      <c r="F4288">
        <v>63.8</v>
      </c>
      <c r="G4288">
        <v>0</v>
      </c>
      <c r="H4288">
        <v>0</v>
      </c>
      <c r="I4288">
        <v>0</v>
      </c>
      <c r="J4288">
        <v>0</v>
      </c>
      <c r="K4288">
        <v>62</v>
      </c>
      <c r="L4288">
        <v>62</v>
      </c>
      <c r="M4288">
        <v>65.099999999999994</v>
      </c>
      <c r="N4288">
        <v>18</v>
      </c>
      <c r="O4288">
        <v>3</v>
      </c>
      <c r="P4288">
        <f>MOD(DAY(datos_siembra[[#This Row],[Date]]),7)</f>
        <v>4</v>
      </c>
      <c r="Q4288" t="str">
        <f>CHOOSE(WEEKDAY(datos_siembra[[#This Row],[Date]],2),"L","M","X","J","V","S","D")</f>
        <v>V</v>
      </c>
      <c r="R4288">
        <f>WEEKNUM(datos_siembra[[#This Row],[Date]],2)-WEEKNUM(DATE(YEAR(datos_siembra[[#This Row],[Date]]),MONTH(datos_siembra[[#This Row],[Date]]),1))+1</f>
        <v>3</v>
      </c>
      <c r="S4288">
        <f>MONTH(datos_siembra[[#This Row],[Date]])</f>
        <v>10</v>
      </c>
      <c r="T4288" t="str" cm="1">
        <f t="array" ref="T4288">_xlfn.IFS(AND(N4288&lt;= 22, S4288=9), "SOWING",AND(N4288&lt;= 28, S4288=9), "COVERAGE",AND(N4288&lt;= 30, S4288=9), "FLUSH",AND(N4288&lt;= 11, S4288=10), "FLUSH",AND(N4288&lt;= 21, S4288=10), "PRODUCTION")</f>
        <v>PRODUCTION</v>
      </c>
      <c r="U4288">
        <f>HOUR(datos_siembra[[#This Row],[Hour]])</f>
        <v>19</v>
      </c>
      <c r="V4288" cm="1">
        <f t="array" ref="V4288">_xlfn.IFS(AND(N4288&lt;= 22, S4288=9), N4288-7,AND(N4288&lt;= 28, S4288=9), N4288-25,AND(N4288&lt;= 30, S4288=9), N4288-28,AND(N4288&lt;= 11, S4288=10), N4288+2,AND(N4288&lt;= 21, S4288=10), N4288-11)</f>
        <v>7</v>
      </c>
    </row>
    <row r="4289" spans="1:22" x14ac:dyDescent="0.35">
      <c r="A4289" s="4">
        <v>45583</v>
      </c>
      <c r="B4289" s="5">
        <v>0.79927083333333337</v>
      </c>
      <c r="C4289">
        <v>65.2</v>
      </c>
      <c r="D4289">
        <v>66.400000000000006</v>
      </c>
      <c r="E4289">
        <v>65.3</v>
      </c>
      <c r="F4289">
        <v>63.9</v>
      </c>
      <c r="G4289">
        <v>0</v>
      </c>
      <c r="H4289">
        <v>0</v>
      </c>
      <c r="I4289">
        <v>0</v>
      </c>
      <c r="J4289">
        <v>0</v>
      </c>
      <c r="K4289">
        <v>62.5</v>
      </c>
      <c r="L4289">
        <v>61.9</v>
      </c>
      <c r="M4289">
        <v>65.099999999999994</v>
      </c>
      <c r="N4289">
        <v>18</v>
      </c>
      <c r="O4289">
        <v>3</v>
      </c>
      <c r="P4289">
        <f>MOD(DAY(datos_siembra[[#This Row],[Date]]),7)</f>
        <v>4</v>
      </c>
      <c r="Q4289" t="str">
        <f>CHOOSE(WEEKDAY(datos_siembra[[#This Row],[Date]],2),"L","M","X","J","V","S","D")</f>
        <v>V</v>
      </c>
      <c r="R4289">
        <f>WEEKNUM(datos_siembra[[#This Row],[Date]],2)-WEEKNUM(DATE(YEAR(datos_siembra[[#This Row],[Date]]),MONTH(datos_siembra[[#This Row],[Date]]),1))+1</f>
        <v>3</v>
      </c>
      <c r="S4289">
        <f>MONTH(datos_siembra[[#This Row],[Date]])</f>
        <v>10</v>
      </c>
      <c r="T4289" t="str" cm="1">
        <f t="array" ref="T4289">_xlfn.IFS(AND(N4289&lt;= 22, S4289=9), "SOWING",AND(N4289&lt;= 28, S4289=9), "COVERAGE",AND(N4289&lt;= 30, S4289=9), "FLUSH",AND(N4289&lt;= 11, S4289=10), "FLUSH",AND(N4289&lt;= 21, S4289=10), "PRODUCTION")</f>
        <v>PRODUCTION</v>
      </c>
      <c r="U4289">
        <f>HOUR(datos_siembra[[#This Row],[Hour]])</f>
        <v>19</v>
      </c>
      <c r="V4289" cm="1">
        <f t="array" ref="V4289">_xlfn.IFS(AND(N4289&lt;= 22, S4289=9), N4289-7,AND(N4289&lt;= 28, S4289=9), N4289-25,AND(N4289&lt;= 30, S4289=9), N4289-28,AND(N4289&lt;= 11, S4289=10), N4289+2,AND(N4289&lt;= 21, S4289=10), N4289-11)</f>
        <v>7</v>
      </c>
    </row>
    <row r="4290" spans="1:22" x14ac:dyDescent="0.35">
      <c r="A4290" s="4">
        <v>45583</v>
      </c>
      <c r="B4290" s="5">
        <v>0.80622685185185183</v>
      </c>
      <c r="C4290">
        <v>65.2</v>
      </c>
      <c r="D4290">
        <v>66.400000000000006</v>
      </c>
      <c r="E4290">
        <v>65.2</v>
      </c>
      <c r="F4290">
        <v>63.7</v>
      </c>
      <c r="G4290">
        <v>0</v>
      </c>
      <c r="H4290">
        <v>0</v>
      </c>
      <c r="I4290">
        <v>0</v>
      </c>
      <c r="J4290">
        <v>0</v>
      </c>
      <c r="K4290">
        <v>61.9</v>
      </c>
      <c r="L4290">
        <v>61.8</v>
      </c>
      <c r="M4290">
        <v>65.13</v>
      </c>
      <c r="N4290">
        <v>18</v>
      </c>
      <c r="O4290">
        <v>3</v>
      </c>
      <c r="P4290">
        <f>MOD(DAY(datos_siembra[[#This Row],[Date]]),7)</f>
        <v>4</v>
      </c>
      <c r="Q4290" t="str">
        <f>CHOOSE(WEEKDAY(datos_siembra[[#This Row],[Date]],2),"L","M","X","J","V","S","D")</f>
        <v>V</v>
      </c>
      <c r="R4290">
        <f>WEEKNUM(datos_siembra[[#This Row],[Date]],2)-WEEKNUM(DATE(YEAR(datos_siembra[[#This Row],[Date]]),MONTH(datos_siembra[[#This Row],[Date]]),1))+1</f>
        <v>3</v>
      </c>
      <c r="S4290">
        <f>MONTH(datos_siembra[[#This Row],[Date]])</f>
        <v>10</v>
      </c>
      <c r="T4290" t="str" cm="1">
        <f t="array" ref="T4290">_xlfn.IFS(AND(N4290&lt;= 22, S4290=9), "SOWING",AND(N4290&lt;= 28, S4290=9), "COVERAGE",AND(N4290&lt;= 30, S4290=9), "FLUSH",AND(N4290&lt;= 11, S4290=10), "FLUSH",AND(N4290&lt;= 21, S4290=10), "PRODUCTION")</f>
        <v>PRODUCTION</v>
      </c>
      <c r="U4290">
        <f>HOUR(datos_siembra[[#This Row],[Hour]])</f>
        <v>19</v>
      </c>
      <c r="V4290" cm="1">
        <f t="array" ref="V4290">_xlfn.IFS(AND(N4290&lt;= 22, S4290=9), N4290-7,AND(N4290&lt;= 28, S4290=9), N4290-25,AND(N4290&lt;= 30, S4290=9), N4290-28,AND(N4290&lt;= 11, S4290=10), N4290+2,AND(N4290&lt;= 21, S4290=10), N4290-11)</f>
        <v>7</v>
      </c>
    </row>
    <row r="4291" spans="1:22" x14ac:dyDescent="0.35">
      <c r="A4291" s="4">
        <v>45583</v>
      </c>
      <c r="B4291" s="5">
        <v>0.81317129629629625</v>
      </c>
      <c r="C4291">
        <v>65.3</v>
      </c>
      <c r="D4291">
        <v>66.400000000000006</v>
      </c>
      <c r="E4291">
        <v>65.2</v>
      </c>
      <c r="F4291">
        <v>63.9</v>
      </c>
      <c r="G4291">
        <v>0</v>
      </c>
      <c r="H4291">
        <v>0</v>
      </c>
      <c r="I4291">
        <v>0</v>
      </c>
      <c r="J4291">
        <v>0</v>
      </c>
      <c r="K4291">
        <v>61.8</v>
      </c>
      <c r="L4291">
        <v>61.7</v>
      </c>
      <c r="M4291">
        <v>65.22</v>
      </c>
      <c r="N4291">
        <v>18</v>
      </c>
      <c r="O4291">
        <v>3</v>
      </c>
      <c r="P4291">
        <f>MOD(DAY(datos_siembra[[#This Row],[Date]]),7)</f>
        <v>4</v>
      </c>
      <c r="Q4291" t="str">
        <f>CHOOSE(WEEKDAY(datos_siembra[[#This Row],[Date]],2),"L","M","X","J","V","S","D")</f>
        <v>V</v>
      </c>
      <c r="R4291">
        <f>WEEKNUM(datos_siembra[[#This Row],[Date]],2)-WEEKNUM(DATE(YEAR(datos_siembra[[#This Row],[Date]]),MONTH(datos_siembra[[#This Row],[Date]]),1))+1</f>
        <v>3</v>
      </c>
      <c r="S4291">
        <f>MONTH(datos_siembra[[#This Row],[Date]])</f>
        <v>10</v>
      </c>
      <c r="T4291" t="str" cm="1">
        <f t="array" ref="T4291">_xlfn.IFS(AND(N4291&lt;= 22, S4291=9), "SOWING",AND(N4291&lt;= 28, S4291=9), "COVERAGE",AND(N4291&lt;= 30, S4291=9), "FLUSH",AND(N4291&lt;= 11, S4291=10), "FLUSH",AND(N4291&lt;= 21, S4291=10), "PRODUCTION")</f>
        <v>PRODUCTION</v>
      </c>
      <c r="U4291">
        <f>HOUR(datos_siembra[[#This Row],[Hour]])</f>
        <v>19</v>
      </c>
      <c r="V4291" cm="1">
        <f t="array" ref="V4291">_xlfn.IFS(AND(N4291&lt;= 22, S4291=9), N4291-7,AND(N4291&lt;= 28, S4291=9), N4291-25,AND(N4291&lt;= 30, S4291=9), N4291-28,AND(N4291&lt;= 11, S4291=10), N4291+2,AND(N4291&lt;= 21, S4291=10), N4291-11)</f>
        <v>7</v>
      </c>
    </row>
    <row r="4292" spans="1:22" x14ac:dyDescent="0.35">
      <c r="A4292" s="4">
        <v>45583</v>
      </c>
      <c r="B4292" s="5">
        <v>0.82011574074074078</v>
      </c>
      <c r="C4292">
        <v>65.3</v>
      </c>
      <c r="D4292">
        <v>66.400000000000006</v>
      </c>
      <c r="E4292">
        <v>65.3</v>
      </c>
      <c r="F4292">
        <v>63.9</v>
      </c>
      <c r="G4292">
        <v>0</v>
      </c>
      <c r="H4292">
        <v>0</v>
      </c>
      <c r="I4292">
        <v>0</v>
      </c>
      <c r="J4292">
        <v>0</v>
      </c>
      <c r="K4292">
        <v>61.8</v>
      </c>
      <c r="L4292">
        <v>61.7</v>
      </c>
      <c r="M4292">
        <v>65.27</v>
      </c>
      <c r="N4292">
        <v>18</v>
      </c>
      <c r="O4292">
        <v>3</v>
      </c>
      <c r="P4292">
        <f>MOD(DAY(datos_siembra[[#This Row],[Date]]),7)</f>
        <v>4</v>
      </c>
      <c r="Q4292" t="str">
        <f>CHOOSE(WEEKDAY(datos_siembra[[#This Row],[Date]],2),"L","M","X","J","V","S","D")</f>
        <v>V</v>
      </c>
      <c r="R4292">
        <f>WEEKNUM(datos_siembra[[#This Row],[Date]],2)-WEEKNUM(DATE(YEAR(datos_siembra[[#This Row],[Date]]),MONTH(datos_siembra[[#This Row],[Date]]),1))+1</f>
        <v>3</v>
      </c>
      <c r="S4292">
        <f>MONTH(datos_siembra[[#This Row],[Date]])</f>
        <v>10</v>
      </c>
      <c r="T4292" t="str" cm="1">
        <f t="array" ref="T4292">_xlfn.IFS(AND(N4292&lt;= 22, S4292=9), "SOWING",AND(N4292&lt;= 28, S4292=9), "COVERAGE",AND(N4292&lt;= 30, S4292=9), "FLUSH",AND(N4292&lt;= 11, S4292=10), "FLUSH",AND(N4292&lt;= 21, S4292=10), "PRODUCTION")</f>
        <v>PRODUCTION</v>
      </c>
      <c r="U4292">
        <f>HOUR(datos_siembra[[#This Row],[Hour]])</f>
        <v>19</v>
      </c>
      <c r="V4292" cm="1">
        <f t="array" ref="V4292">_xlfn.IFS(AND(N4292&lt;= 22, S4292=9), N4292-7,AND(N4292&lt;= 28, S4292=9), N4292-25,AND(N4292&lt;= 30, S4292=9), N4292-28,AND(N4292&lt;= 11, S4292=10), N4292+2,AND(N4292&lt;= 21, S4292=10), N4292-11)</f>
        <v>7</v>
      </c>
    </row>
    <row r="4293" spans="1:22" x14ac:dyDescent="0.35">
      <c r="A4293" s="4">
        <v>45583</v>
      </c>
      <c r="B4293" s="5">
        <v>0.8270601851851852</v>
      </c>
      <c r="C4293">
        <v>65.400000000000006</v>
      </c>
      <c r="D4293">
        <v>66.400000000000006</v>
      </c>
      <c r="E4293">
        <v>65.3</v>
      </c>
      <c r="F4293">
        <v>63.7</v>
      </c>
      <c r="G4293">
        <v>0</v>
      </c>
      <c r="H4293">
        <v>0</v>
      </c>
      <c r="I4293">
        <v>0</v>
      </c>
      <c r="J4293">
        <v>0</v>
      </c>
      <c r="K4293">
        <v>61.7</v>
      </c>
      <c r="L4293">
        <v>61.6</v>
      </c>
      <c r="M4293">
        <v>65.13</v>
      </c>
      <c r="N4293">
        <v>18</v>
      </c>
      <c r="O4293">
        <v>3</v>
      </c>
      <c r="P4293">
        <f>MOD(DAY(datos_siembra[[#This Row],[Date]]),7)</f>
        <v>4</v>
      </c>
      <c r="Q4293" t="str">
        <f>CHOOSE(WEEKDAY(datos_siembra[[#This Row],[Date]],2),"L","M","X","J","V","S","D")</f>
        <v>V</v>
      </c>
      <c r="R4293">
        <f>WEEKNUM(datos_siembra[[#This Row],[Date]],2)-WEEKNUM(DATE(YEAR(datos_siembra[[#This Row],[Date]]),MONTH(datos_siembra[[#This Row],[Date]]),1))+1</f>
        <v>3</v>
      </c>
      <c r="S4293">
        <f>MONTH(datos_siembra[[#This Row],[Date]])</f>
        <v>10</v>
      </c>
      <c r="T4293" t="str" cm="1">
        <f t="array" ref="T4293">_xlfn.IFS(AND(N4293&lt;= 22, S4293=9), "SOWING",AND(N4293&lt;= 28, S4293=9), "COVERAGE",AND(N4293&lt;= 30, S4293=9), "FLUSH",AND(N4293&lt;= 11, S4293=10), "FLUSH",AND(N4293&lt;= 21, S4293=10), "PRODUCTION")</f>
        <v>PRODUCTION</v>
      </c>
      <c r="U4293">
        <f>HOUR(datos_siembra[[#This Row],[Hour]])</f>
        <v>19</v>
      </c>
      <c r="V4293" cm="1">
        <f t="array" ref="V4293">_xlfn.IFS(AND(N4293&lt;= 22, S4293=9), N4293-7,AND(N4293&lt;= 28, S4293=9), N4293-25,AND(N4293&lt;= 30, S4293=9), N4293-28,AND(N4293&lt;= 11, S4293=10), N4293+2,AND(N4293&lt;= 21, S4293=10), N4293-11)</f>
        <v>7</v>
      </c>
    </row>
    <row r="4294" spans="1:22" x14ac:dyDescent="0.35">
      <c r="A4294" s="4">
        <v>45583</v>
      </c>
      <c r="B4294" s="5">
        <v>0.83401620370370366</v>
      </c>
      <c r="C4294">
        <v>65.3</v>
      </c>
      <c r="D4294">
        <v>66.3</v>
      </c>
      <c r="E4294">
        <v>65.3</v>
      </c>
      <c r="F4294">
        <v>63.9</v>
      </c>
      <c r="G4294">
        <v>0</v>
      </c>
      <c r="H4294">
        <v>0</v>
      </c>
      <c r="I4294">
        <v>0</v>
      </c>
      <c r="J4294">
        <v>0</v>
      </c>
      <c r="K4294">
        <v>61.6</v>
      </c>
      <c r="L4294">
        <v>61.5</v>
      </c>
      <c r="M4294">
        <v>65.22</v>
      </c>
      <c r="N4294">
        <v>18</v>
      </c>
      <c r="O4294">
        <v>3</v>
      </c>
      <c r="P4294">
        <f>MOD(DAY(datos_siembra[[#This Row],[Date]]),7)</f>
        <v>4</v>
      </c>
      <c r="Q4294" t="str">
        <f>CHOOSE(WEEKDAY(datos_siembra[[#This Row],[Date]],2),"L","M","X","J","V","S","D")</f>
        <v>V</v>
      </c>
      <c r="R4294">
        <f>WEEKNUM(datos_siembra[[#This Row],[Date]],2)-WEEKNUM(DATE(YEAR(datos_siembra[[#This Row],[Date]]),MONTH(datos_siembra[[#This Row],[Date]]),1))+1</f>
        <v>3</v>
      </c>
      <c r="S4294">
        <f>MONTH(datos_siembra[[#This Row],[Date]])</f>
        <v>10</v>
      </c>
      <c r="T4294" t="str" cm="1">
        <f t="array" ref="T4294">_xlfn.IFS(AND(N4294&lt;= 22, S4294=9), "SOWING",AND(N4294&lt;= 28, S4294=9), "COVERAGE",AND(N4294&lt;= 30, S4294=9), "FLUSH",AND(N4294&lt;= 11, S4294=10), "FLUSH",AND(N4294&lt;= 21, S4294=10), "PRODUCTION")</f>
        <v>PRODUCTION</v>
      </c>
      <c r="U4294">
        <f>HOUR(datos_siembra[[#This Row],[Hour]])</f>
        <v>20</v>
      </c>
      <c r="V4294" cm="1">
        <f t="array" ref="V4294">_xlfn.IFS(AND(N4294&lt;= 22, S4294=9), N4294-7,AND(N4294&lt;= 28, S4294=9), N4294-25,AND(N4294&lt;= 30, S4294=9), N4294-28,AND(N4294&lt;= 11, S4294=10), N4294+2,AND(N4294&lt;= 21, S4294=10), N4294-11)</f>
        <v>7</v>
      </c>
    </row>
    <row r="4295" spans="1:22" x14ac:dyDescent="0.35">
      <c r="A4295" s="4">
        <v>45583</v>
      </c>
      <c r="B4295" s="5">
        <v>0.84096064814814819</v>
      </c>
      <c r="C4295">
        <v>65.3</v>
      </c>
      <c r="D4295">
        <v>66.400000000000006</v>
      </c>
      <c r="E4295">
        <v>65.2</v>
      </c>
      <c r="F4295">
        <v>63.9</v>
      </c>
      <c r="G4295">
        <v>0</v>
      </c>
      <c r="H4295">
        <v>0</v>
      </c>
      <c r="I4295">
        <v>0</v>
      </c>
      <c r="J4295">
        <v>0</v>
      </c>
      <c r="K4295">
        <v>61.6</v>
      </c>
      <c r="L4295">
        <v>61.4</v>
      </c>
      <c r="M4295">
        <v>65.19</v>
      </c>
      <c r="N4295">
        <v>18</v>
      </c>
      <c r="O4295">
        <v>3</v>
      </c>
      <c r="P4295">
        <f>MOD(DAY(datos_siembra[[#This Row],[Date]]),7)</f>
        <v>4</v>
      </c>
      <c r="Q4295" t="str">
        <f>CHOOSE(WEEKDAY(datos_siembra[[#This Row],[Date]],2),"L","M","X","J","V","S","D")</f>
        <v>V</v>
      </c>
      <c r="R4295">
        <f>WEEKNUM(datos_siembra[[#This Row],[Date]],2)-WEEKNUM(DATE(YEAR(datos_siembra[[#This Row],[Date]]),MONTH(datos_siembra[[#This Row],[Date]]),1))+1</f>
        <v>3</v>
      </c>
      <c r="S4295">
        <f>MONTH(datos_siembra[[#This Row],[Date]])</f>
        <v>10</v>
      </c>
      <c r="T4295" t="str" cm="1">
        <f t="array" ref="T4295">_xlfn.IFS(AND(N4295&lt;= 22, S4295=9), "SOWING",AND(N4295&lt;= 28, S4295=9), "COVERAGE",AND(N4295&lt;= 30, S4295=9), "FLUSH",AND(N4295&lt;= 11, S4295=10), "FLUSH",AND(N4295&lt;= 21, S4295=10), "PRODUCTION")</f>
        <v>PRODUCTION</v>
      </c>
      <c r="U4295">
        <f>HOUR(datos_siembra[[#This Row],[Hour]])</f>
        <v>20</v>
      </c>
      <c r="V4295" cm="1">
        <f t="array" ref="V4295">_xlfn.IFS(AND(N4295&lt;= 22, S4295=9), N4295-7,AND(N4295&lt;= 28, S4295=9), N4295-25,AND(N4295&lt;= 30, S4295=9), N4295-28,AND(N4295&lt;= 11, S4295=10), N4295+2,AND(N4295&lt;= 21, S4295=10), N4295-11)</f>
        <v>7</v>
      </c>
    </row>
    <row r="4296" spans="1:22" x14ac:dyDescent="0.35">
      <c r="A4296" s="4">
        <v>45583</v>
      </c>
      <c r="B4296" s="5">
        <v>0.84790509259259261</v>
      </c>
      <c r="C4296">
        <v>65.3</v>
      </c>
      <c r="D4296">
        <v>66.400000000000006</v>
      </c>
      <c r="E4296">
        <v>65.2</v>
      </c>
      <c r="F4296">
        <v>63.9</v>
      </c>
      <c r="G4296">
        <v>0</v>
      </c>
      <c r="H4296">
        <v>0</v>
      </c>
      <c r="I4296">
        <v>0</v>
      </c>
      <c r="J4296">
        <v>0</v>
      </c>
      <c r="K4296">
        <v>61.5</v>
      </c>
      <c r="L4296">
        <v>61.4</v>
      </c>
      <c r="M4296">
        <v>65.239999999999995</v>
      </c>
      <c r="N4296">
        <v>18</v>
      </c>
      <c r="O4296">
        <v>3</v>
      </c>
      <c r="P4296">
        <f>MOD(DAY(datos_siembra[[#This Row],[Date]]),7)</f>
        <v>4</v>
      </c>
      <c r="Q4296" t="str">
        <f>CHOOSE(WEEKDAY(datos_siembra[[#This Row],[Date]],2),"L","M","X","J","V","S","D")</f>
        <v>V</v>
      </c>
      <c r="R4296">
        <f>WEEKNUM(datos_siembra[[#This Row],[Date]],2)-WEEKNUM(DATE(YEAR(datos_siembra[[#This Row],[Date]]),MONTH(datos_siembra[[#This Row],[Date]]),1))+1</f>
        <v>3</v>
      </c>
      <c r="S4296">
        <f>MONTH(datos_siembra[[#This Row],[Date]])</f>
        <v>10</v>
      </c>
      <c r="T4296" t="str" cm="1">
        <f t="array" ref="T4296">_xlfn.IFS(AND(N4296&lt;= 22, S4296=9), "SOWING",AND(N4296&lt;= 28, S4296=9), "COVERAGE",AND(N4296&lt;= 30, S4296=9), "FLUSH",AND(N4296&lt;= 11, S4296=10), "FLUSH",AND(N4296&lt;= 21, S4296=10), "PRODUCTION")</f>
        <v>PRODUCTION</v>
      </c>
      <c r="U4296">
        <f>HOUR(datos_siembra[[#This Row],[Hour]])</f>
        <v>20</v>
      </c>
      <c r="V4296" cm="1">
        <f t="array" ref="V4296">_xlfn.IFS(AND(N4296&lt;= 22, S4296=9), N4296-7,AND(N4296&lt;= 28, S4296=9), N4296-25,AND(N4296&lt;= 30, S4296=9), N4296-28,AND(N4296&lt;= 11, S4296=10), N4296+2,AND(N4296&lt;= 21, S4296=10), N4296-11)</f>
        <v>7</v>
      </c>
    </row>
    <row r="4297" spans="1:22" x14ac:dyDescent="0.35">
      <c r="A4297" s="4">
        <v>45583</v>
      </c>
      <c r="B4297" s="5">
        <v>0.85484953703703703</v>
      </c>
      <c r="C4297">
        <v>65.3</v>
      </c>
      <c r="D4297">
        <v>66.400000000000006</v>
      </c>
      <c r="E4297">
        <v>65.3</v>
      </c>
      <c r="F4297">
        <v>63.9</v>
      </c>
      <c r="G4297">
        <v>0</v>
      </c>
      <c r="H4297">
        <v>0</v>
      </c>
      <c r="I4297">
        <v>0</v>
      </c>
      <c r="J4297">
        <v>0</v>
      </c>
      <c r="K4297">
        <v>61.4</v>
      </c>
      <c r="L4297">
        <v>61.4</v>
      </c>
      <c r="M4297">
        <v>65.19</v>
      </c>
      <c r="N4297">
        <v>18</v>
      </c>
      <c r="O4297">
        <v>3</v>
      </c>
      <c r="P4297">
        <f>MOD(DAY(datos_siembra[[#This Row],[Date]]),7)</f>
        <v>4</v>
      </c>
      <c r="Q4297" t="str">
        <f>CHOOSE(WEEKDAY(datos_siembra[[#This Row],[Date]],2),"L","M","X","J","V","S","D")</f>
        <v>V</v>
      </c>
      <c r="R4297">
        <f>WEEKNUM(datos_siembra[[#This Row],[Date]],2)-WEEKNUM(DATE(YEAR(datos_siembra[[#This Row],[Date]]),MONTH(datos_siembra[[#This Row],[Date]]),1))+1</f>
        <v>3</v>
      </c>
      <c r="S4297">
        <f>MONTH(datos_siembra[[#This Row],[Date]])</f>
        <v>10</v>
      </c>
      <c r="T4297" t="str" cm="1">
        <f t="array" ref="T4297">_xlfn.IFS(AND(N4297&lt;= 22, S4297=9), "SOWING",AND(N4297&lt;= 28, S4297=9), "COVERAGE",AND(N4297&lt;= 30, S4297=9), "FLUSH",AND(N4297&lt;= 11, S4297=10), "FLUSH",AND(N4297&lt;= 21, S4297=10), "PRODUCTION")</f>
        <v>PRODUCTION</v>
      </c>
      <c r="U4297">
        <f>HOUR(datos_siembra[[#This Row],[Hour]])</f>
        <v>20</v>
      </c>
      <c r="V4297" cm="1">
        <f t="array" ref="V4297">_xlfn.IFS(AND(N4297&lt;= 22, S4297=9), N4297-7,AND(N4297&lt;= 28, S4297=9), N4297-25,AND(N4297&lt;= 30, S4297=9), N4297-28,AND(N4297&lt;= 11, S4297=10), N4297+2,AND(N4297&lt;= 21, S4297=10), N4297-11)</f>
        <v>7</v>
      </c>
    </row>
    <row r="4298" spans="1:22" x14ac:dyDescent="0.35">
      <c r="A4298" s="4">
        <v>45583</v>
      </c>
      <c r="B4298" s="5">
        <v>0.8618055555555556</v>
      </c>
      <c r="C4298">
        <v>65.3</v>
      </c>
      <c r="D4298">
        <v>66.400000000000006</v>
      </c>
      <c r="E4298">
        <v>65.3</v>
      </c>
      <c r="F4298">
        <v>63.9</v>
      </c>
      <c r="G4298">
        <v>0</v>
      </c>
      <c r="H4298">
        <v>0</v>
      </c>
      <c r="I4298">
        <v>0</v>
      </c>
      <c r="J4298">
        <v>0</v>
      </c>
      <c r="K4298">
        <v>61.4</v>
      </c>
      <c r="L4298">
        <v>61.1</v>
      </c>
      <c r="M4298">
        <v>65.239999999999995</v>
      </c>
      <c r="N4298">
        <v>18</v>
      </c>
      <c r="O4298">
        <v>3</v>
      </c>
      <c r="P4298">
        <f>MOD(DAY(datos_siembra[[#This Row],[Date]]),7)</f>
        <v>4</v>
      </c>
      <c r="Q4298" t="str">
        <f>CHOOSE(WEEKDAY(datos_siembra[[#This Row],[Date]],2),"L","M","X","J","V","S","D")</f>
        <v>V</v>
      </c>
      <c r="R4298">
        <f>WEEKNUM(datos_siembra[[#This Row],[Date]],2)-WEEKNUM(DATE(YEAR(datos_siembra[[#This Row],[Date]]),MONTH(datos_siembra[[#This Row],[Date]]),1))+1</f>
        <v>3</v>
      </c>
      <c r="S4298">
        <f>MONTH(datos_siembra[[#This Row],[Date]])</f>
        <v>10</v>
      </c>
      <c r="T4298" t="str" cm="1">
        <f t="array" ref="T4298">_xlfn.IFS(AND(N4298&lt;= 22, S4298=9), "SOWING",AND(N4298&lt;= 28, S4298=9), "COVERAGE",AND(N4298&lt;= 30, S4298=9), "FLUSH",AND(N4298&lt;= 11, S4298=10), "FLUSH",AND(N4298&lt;= 21, S4298=10), "PRODUCTION")</f>
        <v>PRODUCTION</v>
      </c>
      <c r="U4298">
        <f>HOUR(datos_siembra[[#This Row],[Hour]])</f>
        <v>20</v>
      </c>
      <c r="V4298" cm="1">
        <f t="array" ref="V4298">_xlfn.IFS(AND(N4298&lt;= 22, S4298=9), N4298-7,AND(N4298&lt;= 28, S4298=9), N4298-25,AND(N4298&lt;= 30, S4298=9), N4298-28,AND(N4298&lt;= 11, S4298=10), N4298+2,AND(N4298&lt;= 21, S4298=10), N4298-11)</f>
        <v>7</v>
      </c>
    </row>
    <row r="4299" spans="1:22" x14ac:dyDescent="0.35">
      <c r="A4299" s="4">
        <v>45583</v>
      </c>
      <c r="B4299" s="5">
        <v>0.86875000000000002</v>
      </c>
      <c r="C4299">
        <v>65.3</v>
      </c>
      <c r="D4299">
        <v>66.400000000000006</v>
      </c>
      <c r="E4299">
        <v>65.3</v>
      </c>
      <c r="F4299">
        <v>63.9</v>
      </c>
      <c r="G4299">
        <v>0</v>
      </c>
      <c r="H4299">
        <v>0</v>
      </c>
      <c r="I4299">
        <v>0</v>
      </c>
      <c r="J4299">
        <v>0</v>
      </c>
      <c r="K4299">
        <v>61.2</v>
      </c>
      <c r="L4299">
        <v>61.1</v>
      </c>
      <c r="M4299">
        <v>65.22</v>
      </c>
      <c r="N4299">
        <v>18</v>
      </c>
      <c r="O4299">
        <v>3</v>
      </c>
      <c r="P4299">
        <f>MOD(DAY(datos_siembra[[#This Row],[Date]]),7)</f>
        <v>4</v>
      </c>
      <c r="Q4299" t="str">
        <f>CHOOSE(WEEKDAY(datos_siembra[[#This Row],[Date]],2),"L","M","X","J","V","S","D")</f>
        <v>V</v>
      </c>
      <c r="R4299">
        <f>WEEKNUM(datos_siembra[[#This Row],[Date]],2)-WEEKNUM(DATE(YEAR(datos_siembra[[#This Row],[Date]]),MONTH(datos_siembra[[#This Row],[Date]]),1))+1</f>
        <v>3</v>
      </c>
      <c r="S4299">
        <f>MONTH(datos_siembra[[#This Row],[Date]])</f>
        <v>10</v>
      </c>
      <c r="T4299" t="str" cm="1">
        <f t="array" ref="T4299">_xlfn.IFS(AND(N4299&lt;= 22, S4299=9), "SOWING",AND(N4299&lt;= 28, S4299=9), "COVERAGE",AND(N4299&lt;= 30, S4299=9), "FLUSH",AND(N4299&lt;= 11, S4299=10), "FLUSH",AND(N4299&lt;= 21, S4299=10), "PRODUCTION")</f>
        <v>PRODUCTION</v>
      </c>
      <c r="U4299">
        <f>HOUR(datos_siembra[[#This Row],[Hour]])</f>
        <v>20</v>
      </c>
      <c r="V4299" cm="1">
        <f t="array" ref="V4299">_xlfn.IFS(AND(N4299&lt;= 22, S4299=9), N4299-7,AND(N4299&lt;= 28, S4299=9), N4299-25,AND(N4299&lt;= 30, S4299=9), N4299-28,AND(N4299&lt;= 11, S4299=10), N4299+2,AND(N4299&lt;= 21, S4299=10), N4299-11)</f>
        <v>7</v>
      </c>
    </row>
    <row r="4300" spans="1:22" x14ac:dyDescent="0.35">
      <c r="A4300" s="4">
        <v>45583</v>
      </c>
      <c r="B4300" s="5">
        <v>0.87569444444444444</v>
      </c>
      <c r="C4300">
        <v>65.3</v>
      </c>
      <c r="D4300">
        <v>66.5</v>
      </c>
      <c r="E4300">
        <v>65.400000000000006</v>
      </c>
      <c r="F4300">
        <v>64.099999999999994</v>
      </c>
      <c r="G4300">
        <v>0</v>
      </c>
      <c r="H4300">
        <v>0</v>
      </c>
      <c r="I4300">
        <v>0</v>
      </c>
      <c r="J4300">
        <v>0</v>
      </c>
      <c r="K4300">
        <v>61.1</v>
      </c>
      <c r="L4300">
        <v>61</v>
      </c>
      <c r="M4300">
        <v>65.27</v>
      </c>
      <c r="N4300">
        <v>18</v>
      </c>
      <c r="O4300">
        <v>3</v>
      </c>
      <c r="P4300">
        <f>MOD(DAY(datos_siembra[[#This Row],[Date]]),7)</f>
        <v>4</v>
      </c>
      <c r="Q4300" t="str">
        <f>CHOOSE(WEEKDAY(datos_siembra[[#This Row],[Date]],2),"L","M","X","J","V","S","D")</f>
        <v>V</v>
      </c>
      <c r="R4300">
        <f>WEEKNUM(datos_siembra[[#This Row],[Date]],2)-WEEKNUM(DATE(YEAR(datos_siembra[[#This Row],[Date]]),MONTH(datos_siembra[[#This Row],[Date]]),1))+1</f>
        <v>3</v>
      </c>
      <c r="S4300">
        <f>MONTH(datos_siembra[[#This Row],[Date]])</f>
        <v>10</v>
      </c>
      <c r="T4300" t="str" cm="1">
        <f t="array" ref="T4300">_xlfn.IFS(AND(N4300&lt;= 22, S4300=9), "SOWING",AND(N4300&lt;= 28, S4300=9), "COVERAGE",AND(N4300&lt;= 30, S4300=9), "FLUSH",AND(N4300&lt;= 11, S4300=10), "FLUSH",AND(N4300&lt;= 21, S4300=10), "PRODUCTION")</f>
        <v>PRODUCTION</v>
      </c>
      <c r="U4300">
        <f>HOUR(datos_siembra[[#This Row],[Hour]])</f>
        <v>21</v>
      </c>
      <c r="V4300" cm="1">
        <f t="array" ref="V4300">_xlfn.IFS(AND(N4300&lt;= 22, S4300=9), N4300-7,AND(N4300&lt;= 28, S4300=9), N4300-25,AND(N4300&lt;= 30, S4300=9), N4300-28,AND(N4300&lt;= 11, S4300=10), N4300+2,AND(N4300&lt;= 21, S4300=10), N4300-11)</f>
        <v>7</v>
      </c>
    </row>
    <row r="4301" spans="1:22" x14ac:dyDescent="0.35">
      <c r="A4301" s="4">
        <v>45583</v>
      </c>
      <c r="B4301" s="5">
        <v>0.88265046296296301</v>
      </c>
      <c r="C4301">
        <v>65.3</v>
      </c>
      <c r="D4301">
        <v>66.3</v>
      </c>
      <c r="E4301">
        <v>65.400000000000006</v>
      </c>
      <c r="F4301">
        <v>63.8</v>
      </c>
      <c r="G4301">
        <v>0</v>
      </c>
      <c r="H4301">
        <v>0</v>
      </c>
      <c r="I4301">
        <v>0</v>
      </c>
      <c r="J4301">
        <v>0</v>
      </c>
      <c r="K4301">
        <v>60.9</v>
      </c>
      <c r="L4301">
        <v>60.9</v>
      </c>
      <c r="M4301">
        <v>65.27</v>
      </c>
      <c r="N4301">
        <v>18</v>
      </c>
      <c r="O4301">
        <v>3</v>
      </c>
      <c r="P4301">
        <f>MOD(DAY(datos_siembra[[#This Row],[Date]]),7)</f>
        <v>4</v>
      </c>
      <c r="Q4301" t="str">
        <f>CHOOSE(WEEKDAY(datos_siembra[[#This Row],[Date]],2),"L","M","X","J","V","S","D")</f>
        <v>V</v>
      </c>
      <c r="R4301">
        <f>WEEKNUM(datos_siembra[[#This Row],[Date]],2)-WEEKNUM(DATE(YEAR(datos_siembra[[#This Row],[Date]]),MONTH(datos_siembra[[#This Row],[Date]]),1))+1</f>
        <v>3</v>
      </c>
      <c r="S4301">
        <f>MONTH(datos_siembra[[#This Row],[Date]])</f>
        <v>10</v>
      </c>
      <c r="T4301" t="str" cm="1">
        <f t="array" ref="T4301">_xlfn.IFS(AND(N4301&lt;= 22, S4301=9), "SOWING",AND(N4301&lt;= 28, S4301=9), "COVERAGE",AND(N4301&lt;= 30, S4301=9), "FLUSH",AND(N4301&lt;= 11, S4301=10), "FLUSH",AND(N4301&lt;= 21, S4301=10), "PRODUCTION")</f>
        <v>PRODUCTION</v>
      </c>
      <c r="U4301">
        <f>HOUR(datos_siembra[[#This Row],[Hour]])</f>
        <v>21</v>
      </c>
      <c r="V4301" cm="1">
        <f t="array" ref="V4301">_xlfn.IFS(AND(N4301&lt;= 22, S4301=9), N4301-7,AND(N4301&lt;= 28, S4301=9), N4301-25,AND(N4301&lt;= 30, S4301=9), N4301-28,AND(N4301&lt;= 11, S4301=10), N4301+2,AND(N4301&lt;= 21, S4301=10), N4301-11)</f>
        <v>7</v>
      </c>
    </row>
    <row r="4302" spans="1:22" x14ac:dyDescent="0.35">
      <c r="A4302" s="4">
        <v>45583</v>
      </c>
      <c r="B4302" s="5">
        <v>0.88959490740740743</v>
      </c>
      <c r="C4302">
        <v>65.3</v>
      </c>
      <c r="D4302">
        <v>66.400000000000006</v>
      </c>
      <c r="E4302">
        <v>65.3</v>
      </c>
      <c r="F4302">
        <v>63.9</v>
      </c>
      <c r="G4302">
        <v>0</v>
      </c>
      <c r="H4302">
        <v>0</v>
      </c>
      <c r="I4302">
        <v>0</v>
      </c>
      <c r="J4302">
        <v>0</v>
      </c>
      <c r="K4302">
        <v>61</v>
      </c>
      <c r="L4302">
        <v>60.9</v>
      </c>
      <c r="M4302">
        <v>65.3</v>
      </c>
      <c r="N4302">
        <v>18</v>
      </c>
      <c r="O4302">
        <v>3</v>
      </c>
      <c r="P4302">
        <f>MOD(DAY(datos_siembra[[#This Row],[Date]]),7)</f>
        <v>4</v>
      </c>
      <c r="Q4302" t="str">
        <f>CHOOSE(WEEKDAY(datos_siembra[[#This Row],[Date]],2),"L","M","X","J","V","S","D")</f>
        <v>V</v>
      </c>
      <c r="R4302">
        <f>WEEKNUM(datos_siembra[[#This Row],[Date]],2)-WEEKNUM(DATE(YEAR(datos_siembra[[#This Row],[Date]]),MONTH(datos_siembra[[#This Row],[Date]]),1))+1</f>
        <v>3</v>
      </c>
      <c r="S4302">
        <f>MONTH(datos_siembra[[#This Row],[Date]])</f>
        <v>10</v>
      </c>
      <c r="T4302" t="str" cm="1">
        <f t="array" ref="T4302">_xlfn.IFS(AND(N4302&lt;= 22, S4302=9), "SOWING",AND(N4302&lt;= 28, S4302=9), "COVERAGE",AND(N4302&lt;= 30, S4302=9), "FLUSH",AND(N4302&lt;= 11, S4302=10), "FLUSH",AND(N4302&lt;= 21, S4302=10), "PRODUCTION")</f>
        <v>PRODUCTION</v>
      </c>
      <c r="U4302">
        <f>HOUR(datos_siembra[[#This Row],[Hour]])</f>
        <v>21</v>
      </c>
      <c r="V4302" cm="1">
        <f t="array" ref="V4302">_xlfn.IFS(AND(N4302&lt;= 22, S4302=9), N4302-7,AND(N4302&lt;= 28, S4302=9), N4302-25,AND(N4302&lt;= 30, S4302=9), N4302-28,AND(N4302&lt;= 11, S4302=10), N4302+2,AND(N4302&lt;= 21, S4302=10), N4302-11)</f>
        <v>7</v>
      </c>
    </row>
    <row r="4303" spans="1:22" x14ac:dyDescent="0.35">
      <c r="A4303" s="4">
        <v>45583</v>
      </c>
      <c r="B4303" s="5">
        <v>0.89653935185185185</v>
      </c>
      <c r="C4303">
        <v>65.400000000000006</v>
      </c>
      <c r="D4303">
        <v>66.3</v>
      </c>
      <c r="E4303">
        <v>65.3</v>
      </c>
      <c r="F4303">
        <v>64.099999999999994</v>
      </c>
      <c r="G4303">
        <v>0</v>
      </c>
      <c r="H4303">
        <v>0</v>
      </c>
      <c r="I4303">
        <v>0</v>
      </c>
      <c r="J4303">
        <v>0</v>
      </c>
      <c r="K4303">
        <v>61</v>
      </c>
      <c r="L4303">
        <v>60.8</v>
      </c>
      <c r="M4303">
        <v>65.3</v>
      </c>
      <c r="N4303">
        <v>18</v>
      </c>
      <c r="O4303">
        <v>3</v>
      </c>
      <c r="P4303">
        <f>MOD(DAY(datos_siembra[[#This Row],[Date]]),7)</f>
        <v>4</v>
      </c>
      <c r="Q4303" t="str">
        <f>CHOOSE(WEEKDAY(datos_siembra[[#This Row],[Date]],2),"L","M","X","J","V","S","D")</f>
        <v>V</v>
      </c>
      <c r="R4303">
        <f>WEEKNUM(datos_siembra[[#This Row],[Date]],2)-WEEKNUM(DATE(YEAR(datos_siembra[[#This Row],[Date]]),MONTH(datos_siembra[[#This Row],[Date]]),1))+1</f>
        <v>3</v>
      </c>
      <c r="S4303">
        <f>MONTH(datos_siembra[[#This Row],[Date]])</f>
        <v>10</v>
      </c>
      <c r="T4303" t="str" cm="1">
        <f t="array" ref="T4303">_xlfn.IFS(AND(N4303&lt;= 22, S4303=9), "SOWING",AND(N4303&lt;= 28, S4303=9), "COVERAGE",AND(N4303&lt;= 30, S4303=9), "FLUSH",AND(N4303&lt;= 11, S4303=10), "FLUSH",AND(N4303&lt;= 21, S4303=10), "PRODUCTION")</f>
        <v>PRODUCTION</v>
      </c>
      <c r="U4303">
        <f>HOUR(datos_siembra[[#This Row],[Hour]])</f>
        <v>21</v>
      </c>
      <c r="V4303" cm="1">
        <f t="array" ref="V4303">_xlfn.IFS(AND(N4303&lt;= 22, S4303=9), N4303-7,AND(N4303&lt;= 28, S4303=9), N4303-25,AND(N4303&lt;= 30, S4303=9), N4303-28,AND(N4303&lt;= 11, S4303=10), N4303+2,AND(N4303&lt;= 21, S4303=10), N4303-11)</f>
        <v>7</v>
      </c>
    </row>
    <row r="4304" spans="1:22" x14ac:dyDescent="0.35">
      <c r="A4304" s="4">
        <v>45583</v>
      </c>
      <c r="B4304" s="5">
        <v>0.90348379629629627</v>
      </c>
      <c r="C4304">
        <v>65.3</v>
      </c>
      <c r="D4304">
        <v>66.5</v>
      </c>
      <c r="E4304">
        <v>65.5</v>
      </c>
      <c r="F4304">
        <v>63.9</v>
      </c>
      <c r="G4304">
        <v>0</v>
      </c>
      <c r="H4304">
        <v>0</v>
      </c>
      <c r="I4304">
        <v>0</v>
      </c>
      <c r="J4304">
        <v>0</v>
      </c>
      <c r="K4304">
        <v>60.9</v>
      </c>
      <c r="L4304">
        <v>60.8</v>
      </c>
      <c r="M4304">
        <v>65.27</v>
      </c>
      <c r="N4304">
        <v>18</v>
      </c>
      <c r="O4304">
        <v>3</v>
      </c>
      <c r="P4304">
        <f>MOD(DAY(datos_siembra[[#This Row],[Date]]),7)</f>
        <v>4</v>
      </c>
      <c r="Q4304" t="str">
        <f>CHOOSE(WEEKDAY(datos_siembra[[#This Row],[Date]],2),"L","M","X","J","V","S","D")</f>
        <v>V</v>
      </c>
      <c r="R4304">
        <f>WEEKNUM(datos_siembra[[#This Row],[Date]],2)-WEEKNUM(DATE(YEAR(datos_siembra[[#This Row],[Date]]),MONTH(datos_siembra[[#This Row],[Date]]),1))+1</f>
        <v>3</v>
      </c>
      <c r="S4304">
        <f>MONTH(datos_siembra[[#This Row],[Date]])</f>
        <v>10</v>
      </c>
      <c r="T4304" t="str" cm="1">
        <f t="array" ref="T4304">_xlfn.IFS(AND(N4304&lt;= 22, S4304=9), "SOWING",AND(N4304&lt;= 28, S4304=9), "COVERAGE",AND(N4304&lt;= 30, S4304=9), "FLUSH",AND(N4304&lt;= 11, S4304=10), "FLUSH",AND(N4304&lt;= 21, S4304=10), "PRODUCTION")</f>
        <v>PRODUCTION</v>
      </c>
      <c r="U4304">
        <f>HOUR(datos_siembra[[#This Row],[Hour]])</f>
        <v>21</v>
      </c>
      <c r="V4304" cm="1">
        <f t="array" ref="V4304">_xlfn.IFS(AND(N4304&lt;= 22, S4304=9), N4304-7,AND(N4304&lt;= 28, S4304=9), N4304-25,AND(N4304&lt;= 30, S4304=9), N4304-28,AND(N4304&lt;= 11, S4304=10), N4304+2,AND(N4304&lt;= 21, S4304=10), N4304-11)</f>
        <v>7</v>
      </c>
    </row>
    <row r="4305" spans="1:22" x14ac:dyDescent="0.35">
      <c r="A4305" s="4">
        <v>45583</v>
      </c>
      <c r="B4305" s="5">
        <v>0.91043981481481484</v>
      </c>
      <c r="C4305">
        <v>65.3</v>
      </c>
      <c r="D4305">
        <v>66.3</v>
      </c>
      <c r="E4305">
        <v>65.3</v>
      </c>
      <c r="F4305">
        <v>63.9</v>
      </c>
      <c r="G4305">
        <v>0</v>
      </c>
      <c r="H4305">
        <v>0</v>
      </c>
      <c r="I4305">
        <v>0</v>
      </c>
      <c r="J4305">
        <v>0</v>
      </c>
      <c r="K4305">
        <v>60.9</v>
      </c>
      <c r="L4305">
        <v>60.7</v>
      </c>
      <c r="M4305">
        <v>65.33</v>
      </c>
      <c r="N4305">
        <v>18</v>
      </c>
      <c r="O4305">
        <v>3</v>
      </c>
      <c r="P4305">
        <f>MOD(DAY(datos_siembra[[#This Row],[Date]]),7)</f>
        <v>4</v>
      </c>
      <c r="Q4305" t="str">
        <f>CHOOSE(WEEKDAY(datos_siembra[[#This Row],[Date]],2),"L","M","X","J","V","S","D")</f>
        <v>V</v>
      </c>
      <c r="R4305">
        <f>WEEKNUM(datos_siembra[[#This Row],[Date]],2)-WEEKNUM(DATE(YEAR(datos_siembra[[#This Row],[Date]]),MONTH(datos_siembra[[#This Row],[Date]]),1))+1</f>
        <v>3</v>
      </c>
      <c r="S4305">
        <f>MONTH(datos_siembra[[#This Row],[Date]])</f>
        <v>10</v>
      </c>
      <c r="T4305" t="str" cm="1">
        <f t="array" ref="T4305">_xlfn.IFS(AND(N4305&lt;= 22, S4305=9), "SOWING",AND(N4305&lt;= 28, S4305=9), "COVERAGE",AND(N4305&lt;= 30, S4305=9), "FLUSH",AND(N4305&lt;= 11, S4305=10), "FLUSH",AND(N4305&lt;= 21, S4305=10), "PRODUCTION")</f>
        <v>PRODUCTION</v>
      </c>
      <c r="U4305">
        <f>HOUR(datos_siembra[[#This Row],[Hour]])</f>
        <v>21</v>
      </c>
      <c r="V4305" cm="1">
        <f t="array" ref="V4305">_xlfn.IFS(AND(N4305&lt;= 22, S4305=9), N4305-7,AND(N4305&lt;= 28, S4305=9), N4305-25,AND(N4305&lt;= 30, S4305=9), N4305-28,AND(N4305&lt;= 11, S4305=10), N4305+2,AND(N4305&lt;= 21, S4305=10), N4305-11)</f>
        <v>7</v>
      </c>
    </row>
    <row r="4306" spans="1:22" x14ac:dyDescent="0.35">
      <c r="A4306" s="4">
        <v>45583</v>
      </c>
      <c r="B4306" s="5">
        <v>0.91738425925925926</v>
      </c>
      <c r="C4306">
        <v>65.2</v>
      </c>
      <c r="D4306">
        <v>66.400000000000006</v>
      </c>
      <c r="E4306">
        <v>65.400000000000006</v>
      </c>
      <c r="F4306">
        <v>63.9</v>
      </c>
      <c r="G4306">
        <v>0</v>
      </c>
      <c r="H4306">
        <v>0</v>
      </c>
      <c r="I4306">
        <v>0</v>
      </c>
      <c r="J4306">
        <v>0</v>
      </c>
      <c r="K4306">
        <v>60.9</v>
      </c>
      <c r="L4306">
        <v>60.7</v>
      </c>
      <c r="M4306">
        <v>65.27</v>
      </c>
      <c r="N4306">
        <v>18</v>
      </c>
      <c r="O4306">
        <v>3</v>
      </c>
      <c r="P4306">
        <f>MOD(DAY(datos_siembra[[#This Row],[Date]]),7)</f>
        <v>4</v>
      </c>
      <c r="Q4306" t="str">
        <f>CHOOSE(WEEKDAY(datos_siembra[[#This Row],[Date]],2),"L","M","X","J","V","S","D")</f>
        <v>V</v>
      </c>
      <c r="R4306">
        <f>WEEKNUM(datos_siembra[[#This Row],[Date]],2)-WEEKNUM(DATE(YEAR(datos_siembra[[#This Row],[Date]]),MONTH(datos_siembra[[#This Row],[Date]]),1))+1</f>
        <v>3</v>
      </c>
      <c r="S4306">
        <f>MONTH(datos_siembra[[#This Row],[Date]])</f>
        <v>10</v>
      </c>
      <c r="T4306" t="str" cm="1">
        <f t="array" ref="T4306">_xlfn.IFS(AND(N4306&lt;= 22, S4306=9), "SOWING",AND(N4306&lt;= 28, S4306=9), "COVERAGE",AND(N4306&lt;= 30, S4306=9), "FLUSH",AND(N4306&lt;= 11, S4306=10), "FLUSH",AND(N4306&lt;= 21, S4306=10), "PRODUCTION")</f>
        <v>PRODUCTION</v>
      </c>
      <c r="U4306">
        <f>HOUR(datos_siembra[[#This Row],[Hour]])</f>
        <v>22</v>
      </c>
      <c r="V4306" cm="1">
        <f t="array" ref="V4306">_xlfn.IFS(AND(N4306&lt;= 22, S4306=9), N4306-7,AND(N4306&lt;= 28, S4306=9), N4306-25,AND(N4306&lt;= 30, S4306=9), N4306-28,AND(N4306&lt;= 11, S4306=10), N4306+2,AND(N4306&lt;= 21, S4306=10), N4306-11)</f>
        <v>7</v>
      </c>
    </row>
    <row r="4307" spans="1:22" x14ac:dyDescent="0.35">
      <c r="A4307" s="4">
        <v>45583</v>
      </c>
      <c r="B4307" s="5">
        <v>0.92432870370370368</v>
      </c>
      <c r="C4307">
        <v>65.2</v>
      </c>
      <c r="D4307">
        <v>66.400000000000006</v>
      </c>
      <c r="E4307">
        <v>65.5</v>
      </c>
      <c r="F4307">
        <v>63.9</v>
      </c>
      <c r="G4307">
        <v>0</v>
      </c>
      <c r="H4307">
        <v>0</v>
      </c>
      <c r="I4307">
        <v>0</v>
      </c>
      <c r="J4307">
        <v>0</v>
      </c>
      <c r="K4307">
        <v>60.8</v>
      </c>
      <c r="L4307">
        <v>60.6</v>
      </c>
      <c r="M4307">
        <v>65.27</v>
      </c>
      <c r="N4307">
        <v>18</v>
      </c>
      <c r="O4307">
        <v>3</v>
      </c>
      <c r="P4307">
        <f>MOD(DAY(datos_siembra[[#This Row],[Date]]),7)</f>
        <v>4</v>
      </c>
      <c r="Q4307" t="str">
        <f>CHOOSE(WEEKDAY(datos_siembra[[#This Row],[Date]],2),"L","M","X","J","V","S","D")</f>
        <v>V</v>
      </c>
      <c r="R4307">
        <f>WEEKNUM(datos_siembra[[#This Row],[Date]],2)-WEEKNUM(DATE(YEAR(datos_siembra[[#This Row],[Date]]),MONTH(datos_siembra[[#This Row],[Date]]),1))+1</f>
        <v>3</v>
      </c>
      <c r="S4307">
        <f>MONTH(datos_siembra[[#This Row],[Date]])</f>
        <v>10</v>
      </c>
      <c r="T4307" t="str" cm="1">
        <f t="array" ref="T4307">_xlfn.IFS(AND(N4307&lt;= 22, S4307=9), "SOWING",AND(N4307&lt;= 28, S4307=9), "COVERAGE",AND(N4307&lt;= 30, S4307=9), "FLUSH",AND(N4307&lt;= 11, S4307=10), "FLUSH",AND(N4307&lt;= 21, S4307=10), "PRODUCTION")</f>
        <v>PRODUCTION</v>
      </c>
      <c r="U4307">
        <f>HOUR(datos_siembra[[#This Row],[Hour]])</f>
        <v>22</v>
      </c>
      <c r="V4307" cm="1">
        <f t="array" ref="V4307">_xlfn.IFS(AND(N4307&lt;= 22, S4307=9), N4307-7,AND(N4307&lt;= 28, S4307=9), N4307-25,AND(N4307&lt;= 30, S4307=9), N4307-28,AND(N4307&lt;= 11, S4307=10), N4307+2,AND(N4307&lt;= 21, S4307=10), N4307-11)</f>
        <v>7</v>
      </c>
    </row>
    <row r="4308" spans="1:22" x14ac:dyDescent="0.35">
      <c r="A4308" s="4">
        <v>45583</v>
      </c>
      <c r="B4308" s="5">
        <v>0.9312731481481481</v>
      </c>
      <c r="C4308">
        <v>65.3</v>
      </c>
      <c r="D4308">
        <v>66.3</v>
      </c>
      <c r="E4308">
        <v>65.400000000000006</v>
      </c>
      <c r="F4308">
        <v>64.099999999999994</v>
      </c>
      <c r="G4308">
        <v>0</v>
      </c>
      <c r="H4308">
        <v>0</v>
      </c>
      <c r="I4308">
        <v>0</v>
      </c>
      <c r="J4308">
        <v>0</v>
      </c>
      <c r="K4308">
        <v>60.7</v>
      </c>
      <c r="L4308">
        <v>60.5</v>
      </c>
      <c r="M4308">
        <v>65.27</v>
      </c>
      <c r="N4308">
        <v>18</v>
      </c>
      <c r="O4308">
        <v>3</v>
      </c>
      <c r="P4308">
        <f>MOD(DAY(datos_siembra[[#This Row],[Date]]),7)</f>
        <v>4</v>
      </c>
      <c r="Q4308" t="str">
        <f>CHOOSE(WEEKDAY(datos_siembra[[#This Row],[Date]],2),"L","M","X","J","V","S","D")</f>
        <v>V</v>
      </c>
      <c r="R4308">
        <f>WEEKNUM(datos_siembra[[#This Row],[Date]],2)-WEEKNUM(DATE(YEAR(datos_siembra[[#This Row],[Date]]),MONTH(datos_siembra[[#This Row],[Date]]),1))+1</f>
        <v>3</v>
      </c>
      <c r="S4308">
        <f>MONTH(datos_siembra[[#This Row],[Date]])</f>
        <v>10</v>
      </c>
      <c r="T4308" t="str" cm="1">
        <f t="array" ref="T4308">_xlfn.IFS(AND(N4308&lt;= 22, S4308=9), "SOWING",AND(N4308&lt;= 28, S4308=9), "COVERAGE",AND(N4308&lt;= 30, S4308=9), "FLUSH",AND(N4308&lt;= 11, S4308=10), "FLUSH",AND(N4308&lt;= 21, S4308=10), "PRODUCTION")</f>
        <v>PRODUCTION</v>
      </c>
      <c r="U4308">
        <f>HOUR(datos_siembra[[#This Row],[Hour]])</f>
        <v>22</v>
      </c>
      <c r="V4308" cm="1">
        <f t="array" ref="V4308">_xlfn.IFS(AND(N4308&lt;= 22, S4308=9), N4308-7,AND(N4308&lt;= 28, S4308=9), N4308-25,AND(N4308&lt;= 30, S4308=9), N4308-28,AND(N4308&lt;= 11, S4308=10), N4308+2,AND(N4308&lt;= 21, S4308=10), N4308-11)</f>
        <v>7</v>
      </c>
    </row>
    <row r="4309" spans="1:22" x14ac:dyDescent="0.35">
      <c r="A4309" s="4">
        <v>45583</v>
      </c>
      <c r="B4309" s="5">
        <v>0.93822916666666667</v>
      </c>
      <c r="C4309">
        <v>65.400000000000006</v>
      </c>
      <c r="D4309">
        <v>66.3</v>
      </c>
      <c r="E4309">
        <v>65.5</v>
      </c>
      <c r="F4309">
        <v>63.9</v>
      </c>
      <c r="G4309">
        <v>0</v>
      </c>
      <c r="H4309">
        <v>0</v>
      </c>
      <c r="I4309">
        <v>0</v>
      </c>
      <c r="J4309">
        <v>0</v>
      </c>
      <c r="K4309">
        <v>60.6</v>
      </c>
      <c r="L4309">
        <v>60.7</v>
      </c>
      <c r="M4309">
        <v>65.27</v>
      </c>
      <c r="N4309">
        <v>18</v>
      </c>
      <c r="O4309">
        <v>3</v>
      </c>
      <c r="P4309">
        <f>MOD(DAY(datos_siembra[[#This Row],[Date]]),7)</f>
        <v>4</v>
      </c>
      <c r="Q4309" t="str">
        <f>CHOOSE(WEEKDAY(datos_siembra[[#This Row],[Date]],2),"L","M","X","J","V","S","D")</f>
        <v>V</v>
      </c>
      <c r="R4309">
        <f>WEEKNUM(datos_siembra[[#This Row],[Date]],2)-WEEKNUM(DATE(YEAR(datos_siembra[[#This Row],[Date]]),MONTH(datos_siembra[[#This Row],[Date]]),1))+1</f>
        <v>3</v>
      </c>
      <c r="S4309">
        <f>MONTH(datos_siembra[[#This Row],[Date]])</f>
        <v>10</v>
      </c>
      <c r="T4309" t="str" cm="1">
        <f t="array" ref="T4309">_xlfn.IFS(AND(N4309&lt;= 22, S4309=9), "SOWING",AND(N4309&lt;= 28, S4309=9), "COVERAGE",AND(N4309&lt;= 30, S4309=9), "FLUSH",AND(N4309&lt;= 11, S4309=10), "FLUSH",AND(N4309&lt;= 21, S4309=10), "PRODUCTION")</f>
        <v>PRODUCTION</v>
      </c>
      <c r="U4309">
        <f>HOUR(datos_siembra[[#This Row],[Hour]])</f>
        <v>22</v>
      </c>
      <c r="V4309" cm="1">
        <f t="array" ref="V4309">_xlfn.IFS(AND(N4309&lt;= 22, S4309=9), N4309-7,AND(N4309&lt;= 28, S4309=9), N4309-25,AND(N4309&lt;= 30, S4309=9), N4309-28,AND(N4309&lt;= 11, S4309=10), N4309+2,AND(N4309&lt;= 21, S4309=10), N4309-11)</f>
        <v>7</v>
      </c>
    </row>
    <row r="4310" spans="1:22" x14ac:dyDescent="0.35">
      <c r="A4310" s="4">
        <v>45583</v>
      </c>
      <c r="B4310" s="5">
        <v>0.94517361111111109</v>
      </c>
      <c r="C4310">
        <v>65.3</v>
      </c>
      <c r="D4310">
        <v>66.400000000000006</v>
      </c>
      <c r="E4310">
        <v>65.5</v>
      </c>
      <c r="F4310">
        <v>64.099999999999994</v>
      </c>
      <c r="G4310">
        <v>0</v>
      </c>
      <c r="H4310">
        <v>0</v>
      </c>
      <c r="I4310">
        <v>0</v>
      </c>
      <c r="J4310">
        <v>0</v>
      </c>
      <c r="K4310">
        <v>61</v>
      </c>
      <c r="L4310">
        <v>61.1</v>
      </c>
      <c r="M4310">
        <v>65.3</v>
      </c>
      <c r="N4310">
        <v>18</v>
      </c>
      <c r="O4310">
        <v>3</v>
      </c>
      <c r="P4310">
        <f>MOD(DAY(datos_siembra[[#This Row],[Date]]),7)</f>
        <v>4</v>
      </c>
      <c r="Q4310" t="str">
        <f>CHOOSE(WEEKDAY(datos_siembra[[#This Row],[Date]],2),"L","M","X","J","V","S","D")</f>
        <v>V</v>
      </c>
      <c r="R4310">
        <f>WEEKNUM(datos_siembra[[#This Row],[Date]],2)-WEEKNUM(DATE(YEAR(datos_siembra[[#This Row],[Date]]),MONTH(datos_siembra[[#This Row],[Date]]),1))+1</f>
        <v>3</v>
      </c>
      <c r="S4310">
        <f>MONTH(datos_siembra[[#This Row],[Date]])</f>
        <v>10</v>
      </c>
      <c r="T4310" t="str" cm="1">
        <f t="array" ref="T4310">_xlfn.IFS(AND(N4310&lt;= 22, S4310=9), "SOWING",AND(N4310&lt;= 28, S4310=9), "COVERAGE",AND(N4310&lt;= 30, S4310=9), "FLUSH",AND(N4310&lt;= 11, S4310=10), "FLUSH",AND(N4310&lt;= 21, S4310=10), "PRODUCTION")</f>
        <v>PRODUCTION</v>
      </c>
      <c r="U4310">
        <f>HOUR(datos_siembra[[#This Row],[Hour]])</f>
        <v>22</v>
      </c>
      <c r="V4310" cm="1">
        <f t="array" ref="V4310">_xlfn.IFS(AND(N4310&lt;= 22, S4310=9), N4310-7,AND(N4310&lt;= 28, S4310=9), N4310-25,AND(N4310&lt;= 30, S4310=9), N4310-28,AND(N4310&lt;= 11, S4310=10), N4310+2,AND(N4310&lt;= 21, S4310=10), N4310-11)</f>
        <v>7</v>
      </c>
    </row>
    <row r="4311" spans="1:22" x14ac:dyDescent="0.35">
      <c r="A4311" s="4">
        <v>45583</v>
      </c>
      <c r="B4311" s="5">
        <v>0.95211805555555551</v>
      </c>
      <c r="C4311">
        <v>65.2</v>
      </c>
      <c r="D4311">
        <v>66.5</v>
      </c>
      <c r="E4311">
        <v>65.5</v>
      </c>
      <c r="F4311">
        <v>63.9</v>
      </c>
      <c r="G4311">
        <v>0</v>
      </c>
      <c r="H4311">
        <v>0</v>
      </c>
      <c r="I4311">
        <v>0</v>
      </c>
      <c r="J4311">
        <v>0</v>
      </c>
      <c r="K4311">
        <v>61</v>
      </c>
      <c r="L4311">
        <v>61.2</v>
      </c>
      <c r="M4311">
        <v>65.3</v>
      </c>
      <c r="N4311">
        <v>18</v>
      </c>
      <c r="O4311">
        <v>3</v>
      </c>
      <c r="P4311">
        <f>MOD(DAY(datos_siembra[[#This Row],[Date]]),7)</f>
        <v>4</v>
      </c>
      <c r="Q4311" t="str">
        <f>CHOOSE(WEEKDAY(datos_siembra[[#This Row],[Date]],2),"L","M","X","J","V","S","D")</f>
        <v>V</v>
      </c>
      <c r="R4311">
        <f>WEEKNUM(datos_siembra[[#This Row],[Date]],2)-WEEKNUM(DATE(YEAR(datos_siembra[[#This Row],[Date]]),MONTH(datos_siembra[[#This Row],[Date]]),1))+1</f>
        <v>3</v>
      </c>
      <c r="S4311">
        <f>MONTH(datos_siembra[[#This Row],[Date]])</f>
        <v>10</v>
      </c>
      <c r="T4311" t="str" cm="1">
        <f t="array" ref="T4311">_xlfn.IFS(AND(N4311&lt;= 22, S4311=9), "SOWING",AND(N4311&lt;= 28, S4311=9), "COVERAGE",AND(N4311&lt;= 30, S4311=9), "FLUSH",AND(N4311&lt;= 11, S4311=10), "FLUSH",AND(N4311&lt;= 21, S4311=10), "PRODUCTION")</f>
        <v>PRODUCTION</v>
      </c>
      <c r="U4311">
        <f>HOUR(datos_siembra[[#This Row],[Hour]])</f>
        <v>22</v>
      </c>
      <c r="V4311" cm="1">
        <f t="array" ref="V4311">_xlfn.IFS(AND(N4311&lt;= 22, S4311=9), N4311-7,AND(N4311&lt;= 28, S4311=9), N4311-25,AND(N4311&lt;= 30, S4311=9), N4311-28,AND(N4311&lt;= 11, S4311=10), N4311+2,AND(N4311&lt;= 21, S4311=10), N4311-11)</f>
        <v>7</v>
      </c>
    </row>
    <row r="4312" spans="1:22" x14ac:dyDescent="0.35">
      <c r="A4312" s="4">
        <v>45583</v>
      </c>
      <c r="B4312" s="5">
        <v>0.95907407407407408</v>
      </c>
      <c r="C4312">
        <v>65.3</v>
      </c>
      <c r="D4312">
        <v>66.3</v>
      </c>
      <c r="E4312">
        <v>65.599999999999994</v>
      </c>
      <c r="F4312">
        <v>63.8</v>
      </c>
      <c r="G4312">
        <v>0</v>
      </c>
      <c r="H4312">
        <v>0</v>
      </c>
      <c r="I4312">
        <v>0</v>
      </c>
      <c r="J4312">
        <v>0</v>
      </c>
      <c r="K4312">
        <v>61</v>
      </c>
      <c r="L4312">
        <v>61.2</v>
      </c>
      <c r="M4312">
        <v>65.33</v>
      </c>
      <c r="N4312">
        <v>18</v>
      </c>
      <c r="O4312">
        <v>3</v>
      </c>
      <c r="P4312">
        <f>MOD(DAY(datos_siembra[[#This Row],[Date]]),7)</f>
        <v>4</v>
      </c>
      <c r="Q4312" t="str">
        <f>CHOOSE(WEEKDAY(datos_siembra[[#This Row],[Date]],2),"L","M","X","J","V","S","D")</f>
        <v>V</v>
      </c>
      <c r="R4312">
        <f>WEEKNUM(datos_siembra[[#This Row],[Date]],2)-WEEKNUM(DATE(YEAR(datos_siembra[[#This Row],[Date]]),MONTH(datos_siembra[[#This Row],[Date]]),1))+1</f>
        <v>3</v>
      </c>
      <c r="S4312">
        <f>MONTH(datos_siembra[[#This Row],[Date]])</f>
        <v>10</v>
      </c>
      <c r="T4312" t="str" cm="1">
        <f t="array" ref="T4312">_xlfn.IFS(AND(N4312&lt;= 22, S4312=9), "SOWING",AND(N4312&lt;= 28, S4312=9), "COVERAGE",AND(N4312&lt;= 30, S4312=9), "FLUSH",AND(N4312&lt;= 11, S4312=10), "FLUSH",AND(N4312&lt;= 21, S4312=10), "PRODUCTION")</f>
        <v>PRODUCTION</v>
      </c>
      <c r="U4312">
        <f>HOUR(datos_siembra[[#This Row],[Hour]])</f>
        <v>23</v>
      </c>
      <c r="V4312" cm="1">
        <f t="array" ref="V4312">_xlfn.IFS(AND(N4312&lt;= 22, S4312=9), N4312-7,AND(N4312&lt;= 28, S4312=9), N4312-25,AND(N4312&lt;= 30, S4312=9), N4312-28,AND(N4312&lt;= 11, S4312=10), N4312+2,AND(N4312&lt;= 21, S4312=10), N4312-11)</f>
        <v>7</v>
      </c>
    </row>
    <row r="4313" spans="1:22" x14ac:dyDescent="0.35">
      <c r="A4313" s="4">
        <v>45583</v>
      </c>
      <c r="B4313" s="5">
        <v>0.9660185185185185</v>
      </c>
      <c r="C4313">
        <v>65.3</v>
      </c>
      <c r="D4313">
        <v>66.400000000000006</v>
      </c>
      <c r="E4313">
        <v>65.400000000000006</v>
      </c>
      <c r="F4313">
        <v>63.9</v>
      </c>
      <c r="G4313">
        <v>0</v>
      </c>
      <c r="H4313">
        <v>0</v>
      </c>
      <c r="I4313">
        <v>0</v>
      </c>
      <c r="J4313">
        <v>0</v>
      </c>
      <c r="K4313">
        <v>60.9</v>
      </c>
      <c r="L4313">
        <v>61.1</v>
      </c>
      <c r="M4313">
        <v>65.3</v>
      </c>
      <c r="N4313">
        <v>18</v>
      </c>
      <c r="O4313">
        <v>3</v>
      </c>
      <c r="P4313">
        <f>MOD(DAY(datos_siembra[[#This Row],[Date]]),7)</f>
        <v>4</v>
      </c>
      <c r="Q4313" t="str">
        <f>CHOOSE(WEEKDAY(datos_siembra[[#This Row],[Date]],2),"L","M","X","J","V","S","D")</f>
        <v>V</v>
      </c>
      <c r="R4313">
        <f>WEEKNUM(datos_siembra[[#This Row],[Date]],2)-WEEKNUM(DATE(YEAR(datos_siembra[[#This Row],[Date]]),MONTH(datos_siembra[[#This Row],[Date]]),1))+1</f>
        <v>3</v>
      </c>
      <c r="S4313">
        <f>MONTH(datos_siembra[[#This Row],[Date]])</f>
        <v>10</v>
      </c>
      <c r="T4313" t="str" cm="1">
        <f t="array" ref="T4313">_xlfn.IFS(AND(N4313&lt;= 22, S4313=9), "SOWING",AND(N4313&lt;= 28, S4313=9), "COVERAGE",AND(N4313&lt;= 30, S4313=9), "FLUSH",AND(N4313&lt;= 11, S4313=10), "FLUSH",AND(N4313&lt;= 21, S4313=10), "PRODUCTION")</f>
        <v>PRODUCTION</v>
      </c>
      <c r="U4313">
        <f>HOUR(datos_siembra[[#This Row],[Hour]])</f>
        <v>23</v>
      </c>
      <c r="V4313" cm="1">
        <f t="array" ref="V4313">_xlfn.IFS(AND(N4313&lt;= 22, S4313=9), N4313-7,AND(N4313&lt;= 28, S4313=9), N4313-25,AND(N4313&lt;= 30, S4313=9), N4313-28,AND(N4313&lt;= 11, S4313=10), N4313+2,AND(N4313&lt;= 21, S4313=10), N4313-11)</f>
        <v>7</v>
      </c>
    </row>
    <row r="4314" spans="1:22" x14ac:dyDescent="0.35">
      <c r="A4314" s="4">
        <v>45583</v>
      </c>
      <c r="B4314" s="5">
        <v>0.97296296296296292</v>
      </c>
      <c r="C4314">
        <v>65.3</v>
      </c>
      <c r="D4314">
        <v>66.3</v>
      </c>
      <c r="E4314">
        <v>65.599999999999994</v>
      </c>
      <c r="F4314">
        <v>63.8</v>
      </c>
      <c r="G4314">
        <v>0</v>
      </c>
      <c r="H4314">
        <v>0</v>
      </c>
      <c r="I4314">
        <v>0</v>
      </c>
      <c r="J4314">
        <v>0</v>
      </c>
      <c r="K4314">
        <v>61</v>
      </c>
      <c r="L4314">
        <v>61.2</v>
      </c>
      <c r="M4314">
        <v>65.239999999999995</v>
      </c>
      <c r="N4314">
        <v>18</v>
      </c>
      <c r="O4314">
        <v>3</v>
      </c>
      <c r="P4314">
        <f>MOD(DAY(datos_siembra[[#This Row],[Date]]),7)</f>
        <v>4</v>
      </c>
      <c r="Q4314" t="str">
        <f>CHOOSE(WEEKDAY(datos_siembra[[#This Row],[Date]],2),"L","M","X","J","V","S","D")</f>
        <v>V</v>
      </c>
      <c r="R4314">
        <f>WEEKNUM(datos_siembra[[#This Row],[Date]],2)-WEEKNUM(DATE(YEAR(datos_siembra[[#This Row],[Date]]),MONTH(datos_siembra[[#This Row],[Date]]),1))+1</f>
        <v>3</v>
      </c>
      <c r="S4314">
        <f>MONTH(datos_siembra[[#This Row],[Date]])</f>
        <v>10</v>
      </c>
      <c r="T4314" t="str" cm="1">
        <f t="array" ref="T4314">_xlfn.IFS(AND(N4314&lt;= 22, S4314=9), "SOWING",AND(N4314&lt;= 28, S4314=9), "COVERAGE",AND(N4314&lt;= 30, S4314=9), "FLUSH",AND(N4314&lt;= 11, S4314=10), "FLUSH",AND(N4314&lt;= 21, S4314=10), "PRODUCTION")</f>
        <v>PRODUCTION</v>
      </c>
      <c r="U4314">
        <f>HOUR(datos_siembra[[#This Row],[Hour]])</f>
        <v>23</v>
      </c>
      <c r="V4314" cm="1">
        <f t="array" ref="V4314">_xlfn.IFS(AND(N4314&lt;= 22, S4314=9), N4314-7,AND(N4314&lt;= 28, S4314=9), N4314-25,AND(N4314&lt;= 30, S4314=9), N4314-28,AND(N4314&lt;= 11, S4314=10), N4314+2,AND(N4314&lt;= 21, S4314=10), N4314-11)</f>
        <v>7</v>
      </c>
    </row>
    <row r="4315" spans="1:22" x14ac:dyDescent="0.35">
      <c r="A4315" s="4">
        <v>45583</v>
      </c>
      <c r="B4315" s="5">
        <v>0.97990740740740745</v>
      </c>
      <c r="C4315">
        <v>65.3</v>
      </c>
      <c r="D4315">
        <v>66.400000000000006</v>
      </c>
      <c r="E4315">
        <v>65.8</v>
      </c>
      <c r="F4315">
        <v>63.9</v>
      </c>
      <c r="G4315">
        <v>0</v>
      </c>
      <c r="H4315">
        <v>0</v>
      </c>
      <c r="I4315">
        <v>0</v>
      </c>
      <c r="J4315">
        <v>0</v>
      </c>
      <c r="K4315">
        <v>60.9</v>
      </c>
      <c r="L4315">
        <v>61</v>
      </c>
      <c r="M4315">
        <v>65.33</v>
      </c>
      <c r="N4315">
        <v>18</v>
      </c>
      <c r="O4315">
        <v>3</v>
      </c>
      <c r="P4315">
        <f>MOD(DAY(datos_siembra[[#This Row],[Date]]),7)</f>
        <v>4</v>
      </c>
      <c r="Q4315" t="str">
        <f>CHOOSE(WEEKDAY(datos_siembra[[#This Row],[Date]],2),"L","M","X","J","V","S","D")</f>
        <v>V</v>
      </c>
      <c r="R4315">
        <f>WEEKNUM(datos_siembra[[#This Row],[Date]],2)-WEEKNUM(DATE(YEAR(datos_siembra[[#This Row],[Date]]),MONTH(datos_siembra[[#This Row],[Date]]),1))+1</f>
        <v>3</v>
      </c>
      <c r="S4315">
        <f>MONTH(datos_siembra[[#This Row],[Date]])</f>
        <v>10</v>
      </c>
      <c r="T4315" t="str" cm="1">
        <f t="array" ref="T4315">_xlfn.IFS(AND(N4315&lt;= 22, S4315=9), "SOWING",AND(N4315&lt;= 28, S4315=9), "COVERAGE",AND(N4315&lt;= 30, S4315=9), "FLUSH",AND(N4315&lt;= 11, S4315=10), "FLUSH",AND(N4315&lt;= 21, S4315=10), "PRODUCTION")</f>
        <v>PRODUCTION</v>
      </c>
      <c r="U4315">
        <f>HOUR(datos_siembra[[#This Row],[Hour]])</f>
        <v>23</v>
      </c>
      <c r="V4315" cm="1">
        <f t="array" ref="V4315">_xlfn.IFS(AND(N4315&lt;= 22, S4315=9), N4315-7,AND(N4315&lt;= 28, S4315=9), N4315-25,AND(N4315&lt;= 30, S4315=9), N4315-28,AND(N4315&lt;= 11, S4315=10), N4315+2,AND(N4315&lt;= 21, S4315=10), N4315-11)</f>
        <v>7</v>
      </c>
    </row>
    <row r="4316" spans="1:22" x14ac:dyDescent="0.35">
      <c r="A4316" s="4">
        <v>45583</v>
      </c>
      <c r="B4316" s="5">
        <v>0.98686342592592591</v>
      </c>
      <c r="C4316">
        <v>65.3</v>
      </c>
      <c r="D4316">
        <v>66.099999999999994</v>
      </c>
      <c r="E4316">
        <v>65.599999999999994</v>
      </c>
      <c r="F4316">
        <v>63.8</v>
      </c>
      <c r="G4316">
        <v>0</v>
      </c>
      <c r="H4316">
        <v>0</v>
      </c>
      <c r="I4316">
        <v>0</v>
      </c>
      <c r="J4316">
        <v>0</v>
      </c>
      <c r="K4316">
        <v>60.9</v>
      </c>
      <c r="L4316">
        <v>61.2</v>
      </c>
      <c r="M4316">
        <v>65.3</v>
      </c>
      <c r="N4316">
        <v>18</v>
      </c>
      <c r="O4316">
        <v>3</v>
      </c>
      <c r="P4316">
        <f>MOD(DAY(datos_siembra[[#This Row],[Date]]),7)</f>
        <v>4</v>
      </c>
      <c r="Q4316" t="str">
        <f>CHOOSE(WEEKDAY(datos_siembra[[#This Row],[Date]],2),"L","M","X","J","V","S","D")</f>
        <v>V</v>
      </c>
      <c r="R4316">
        <f>WEEKNUM(datos_siembra[[#This Row],[Date]],2)-WEEKNUM(DATE(YEAR(datos_siembra[[#This Row],[Date]]),MONTH(datos_siembra[[#This Row],[Date]]),1))+1</f>
        <v>3</v>
      </c>
      <c r="S4316">
        <f>MONTH(datos_siembra[[#This Row],[Date]])</f>
        <v>10</v>
      </c>
      <c r="T4316" t="str" cm="1">
        <f t="array" ref="T4316">_xlfn.IFS(AND(N4316&lt;= 22, S4316=9), "SOWING",AND(N4316&lt;= 28, S4316=9), "COVERAGE",AND(N4316&lt;= 30, S4316=9), "FLUSH",AND(N4316&lt;= 11, S4316=10), "FLUSH",AND(N4316&lt;= 21, S4316=10), "PRODUCTION")</f>
        <v>PRODUCTION</v>
      </c>
      <c r="U4316">
        <f>HOUR(datos_siembra[[#This Row],[Hour]])</f>
        <v>23</v>
      </c>
      <c r="V4316" cm="1">
        <f t="array" ref="V4316">_xlfn.IFS(AND(N4316&lt;= 22, S4316=9), N4316-7,AND(N4316&lt;= 28, S4316=9), N4316-25,AND(N4316&lt;= 30, S4316=9), N4316-28,AND(N4316&lt;= 11, S4316=10), N4316+2,AND(N4316&lt;= 21, S4316=10), N4316-11)</f>
        <v>7</v>
      </c>
    </row>
    <row r="4317" spans="1:22" x14ac:dyDescent="0.35">
      <c r="A4317" s="4">
        <v>45583</v>
      </c>
      <c r="B4317" s="5">
        <v>0.99380787037037033</v>
      </c>
      <c r="C4317">
        <v>65.3</v>
      </c>
      <c r="D4317">
        <v>66.2</v>
      </c>
      <c r="E4317">
        <v>65.599999999999994</v>
      </c>
      <c r="F4317">
        <v>63.7</v>
      </c>
      <c r="G4317">
        <v>0</v>
      </c>
      <c r="H4317">
        <v>0</v>
      </c>
      <c r="I4317">
        <v>0</v>
      </c>
      <c r="J4317">
        <v>0</v>
      </c>
      <c r="K4317">
        <v>60.8</v>
      </c>
      <c r="L4317">
        <v>61</v>
      </c>
      <c r="M4317">
        <v>65.33</v>
      </c>
      <c r="N4317">
        <v>18</v>
      </c>
      <c r="O4317">
        <v>3</v>
      </c>
      <c r="P4317">
        <f>MOD(DAY(datos_siembra[[#This Row],[Date]]),7)</f>
        <v>4</v>
      </c>
      <c r="Q4317" t="str">
        <f>CHOOSE(WEEKDAY(datos_siembra[[#This Row],[Date]],2),"L","M","X","J","V","S","D")</f>
        <v>V</v>
      </c>
      <c r="R4317">
        <f>WEEKNUM(datos_siembra[[#This Row],[Date]],2)-WEEKNUM(DATE(YEAR(datos_siembra[[#This Row],[Date]]),MONTH(datos_siembra[[#This Row],[Date]]),1))+1</f>
        <v>3</v>
      </c>
      <c r="S4317">
        <f>MONTH(datos_siembra[[#This Row],[Date]])</f>
        <v>10</v>
      </c>
      <c r="T4317" t="str" cm="1">
        <f t="array" ref="T4317">_xlfn.IFS(AND(N4317&lt;= 22, S4317=9), "SOWING",AND(N4317&lt;= 28, S4317=9), "COVERAGE",AND(N4317&lt;= 30, S4317=9), "FLUSH",AND(N4317&lt;= 11, S4317=10), "FLUSH",AND(N4317&lt;= 21, S4317=10), "PRODUCTION")</f>
        <v>PRODUCTION</v>
      </c>
      <c r="U4317">
        <f>HOUR(datos_siembra[[#This Row],[Hour]])</f>
        <v>23</v>
      </c>
      <c r="V4317" cm="1">
        <f t="array" ref="V4317">_xlfn.IFS(AND(N4317&lt;= 22, S4317=9), N4317-7,AND(N4317&lt;= 28, S4317=9), N4317-25,AND(N4317&lt;= 30, S4317=9), N4317-28,AND(N4317&lt;= 11, S4317=10), N4317+2,AND(N4317&lt;= 21, S4317=10), N4317-11)</f>
        <v>7</v>
      </c>
    </row>
    <row r="4318" spans="1:22" x14ac:dyDescent="0.35">
      <c r="A4318" s="4">
        <v>45584</v>
      </c>
      <c r="B4318" s="5">
        <v>7.5231481481481482E-4</v>
      </c>
      <c r="C4318">
        <v>65.400000000000006</v>
      </c>
      <c r="D4318">
        <v>66.2</v>
      </c>
      <c r="E4318">
        <v>65.8</v>
      </c>
      <c r="F4318">
        <v>63.8</v>
      </c>
      <c r="G4318">
        <v>0</v>
      </c>
      <c r="H4318">
        <v>0</v>
      </c>
      <c r="I4318">
        <v>0</v>
      </c>
      <c r="J4318">
        <v>0</v>
      </c>
      <c r="K4318">
        <v>60.9</v>
      </c>
      <c r="L4318">
        <v>61.1</v>
      </c>
      <c r="M4318">
        <v>65.27</v>
      </c>
      <c r="N4318">
        <v>19</v>
      </c>
      <c r="O4318">
        <v>4</v>
      </c>
      <c r="P4318">
        <f>MOD(DAY(datos_siembra[[#This Row],[Date]]),7)</f>
        <v>5</v>
      </c>
      <c r="Q4318" t="str">
        <f>CHOOSE(WEEKDAY(datos_siembra[[#This Row],[Date]],2),"L","M","X","J","V","S","D")</f>
        <v>S</v>
      </c>
      <c r="R4318">
        <f>WEEKNUM(datos_siembra[[#This Row],[Date]],2)-WEEKNUM(DATE(YEAR(datos_siembra[[#This Row],[Date]]),MONTH(datos_siembra[[#This Row],[Date]]),1))+1</f>
        <v>3</v>
      </c>
      <c r="S4318">
        <f>MONTH(datos_siembra[[#This Row],[Date]])</f>
        <v>10</v>
      </c>
      <c r="T4318" t="str" cm="1">
        <f t="array" ref="T4318">_xlfn.IFS(AND(N4318&lt;= 22, S4318=9), "SOWING",AND(N4318&lt;= 28, S4318=9), "COVERAGE",AND(N4318&lt;= 30, S4318=9), "FLUSH",AND(N4318&lt;= 11, S4318=10), "FLUSH",AND(N4318&lt;= 21, S4318=10), "PRODUCTION")</f>
        <v>PRODUCTION</v>
      </c>
      <c r="U4318">
        <f>HOUR(datos_siembra[[#This Row],[Hour]])</f>
        <v>0</v>
      </c>
      <c r="V4318" cm="1">
        <f t="array" ref="V4318">_xlfn.IFS(AND(N4318&lt;= 22, S4318=9), N4318-7,AND(N4318&lt;= 28, S4318=9), N4318-25,AND(N4318&lt;= 30, S4318=9), N4318-28,AND(N4318&lt;= 11, S4318=10), N4318+2,AND(N4318&lt;= 21, S4318=10), N4318-11)</f>
        <v>8</v>
      </c>
    </row>
    <row r="4319" spans="1:22" x14ac:dyDescent="0.35">
      <c r="A4319" s="4">
        <v>45584</v>
      </c>
      <c r="B4319" s="5">
        <v>7.6967592592592591E-3</v>
      </c>
      <c r="C4319">
        <v>65.3</v>
      </c>
      <c r="D4319">
        <v>66.2</v>
      </c>
      <c r="E4319">
        <v>65.8</v>
      </c>
      <c r="F4319">
        <v>63.9</v>
      </c>
      <c r="G4319">
        <v>0</v>
      </c>
      <c r="H4319">
        <v>0</v>
      </c>
      <c r="I4319">
        <v>0</v>
      </c>
      <c r="J4319">
        <v>0</v>
      </c>
      <c r="K4319">
        <v>60.8</v>
      </c>
      <c r="L4319">
        <v>61</v>
      </c>
      <c r="M4319">
        <v>65.239999999999995</v>
      </c>
      <c r="N4319">
        <v>19</v>
      </c>
      <c r="O4319">
        <v>4</v>
      </c>
      <c r="P4319">
        <f>MOD(DAY(datos_siembra[[#This Row],[Date]]),7)</f>
        <v>5</v>
      </c>
      <c r="Q4319" t="str">
        <f>CHOOSE(WEEKDAY(datos_siembra[[#This Row],[Date]],2),"L","M","X","J","V","S","D")</f>
        <v>S</v>
      </c>
      <c r="R4319">
        <f>WEEKNUM(datos_siembra[[#This Row],[Date]],2)-WEEKNUM(DATE(YEAR(datos_siembra[[#This Row],[Date]]),MONTH(datos_siembra[[#This Row],[Date]]),1))+1</f>
        <v>3</v>
      </c>
      <c r="S4319">
        <f>MONTH(datos_siembra[[#This Row],[Date]])</f>
        <v>10</v>
      </c>
      <c r="T4319" t="str" cm="1">
        <f t="array" ref="T4319">_xlfn.IFS(AND(N4319&lt;= 22, S4319=9), "SOWING",AND(N4319&lt;= 28, S4319=9), "COVERAGE",AND(N4319&lt;= 30, S4319=9), "FLUSH",AND(N4319&lt;= 11, S4319=10), "FLUSH",AND(N4319&lt;= 21, S4319=10), "PRODUCTION")</f>
        <v>PRODUCTION</v>
      </c>
      <c r="U4319">
        <f>HOUR(datos_siembra[[#This Row],[Hour]])</f>
        <v>0</v>
      </c>
      <c r="V4319" cm="1">
        <f t="array" ref="V4319">_xlfn.IFS(AND(N4319&lt;= 22, S4319=9), N4319-7,AND(N4319&lt;= 28, S4319=9), N4319-25,AND(N4319&lt;= 30, S4319=9), N4319-28,AND(N4319&lt;= 11, S4319=10), N4319+2,AND(N4319&lt;= 21, S4319=10), N4319-11)</f>
        <v>8</v>
      </c>
    </row>
    <row r="4320" spans="1:22" x14ac:dyDescent="0.35">
      <c r="A4320" s="4">
        <v>45584</v>
      </c>
      <c r="B4320" s="5">
        <v>1.4652777777777778E-2</v>
      </c>
      <c r="C4320">
        <v>65.3</v>
      </c>
      <c r="D4320">
        <v>66.2</v>
      </c>
      <c r="E4320">
        <v>65.5</v>
      </c>
      <c r="F4320">
        <v>63.9</v>
      </c>
      <c r="G4320">
        <v>0</v>
      </c>
      <c r="H4320">
        <v>0</v>
      </c>
      <c r="I4320">
        <v>0</v>
      </c>
      <c r="J4320">
        <v>0</v>
      </c>
      <c r="K4320">
        <v>60.8</v>
      </c>
      <c r="L4320">
        <v>61.1</v>
      </c>
      <c r="M4320">
        <v>65.27</v>
      </c>
      <c r="N4320">
        <v>19</v>
      </c>
      <c r="O4320">
        <v>4</v>
      </c>
      <c r="P4320">
        <f>MOD(DAY(datos_siembra[[#This Row],[Date]]),7)</f>
        <v>5</v>
      </c>
      <c r="Q4320" t="str">
        <f>CHOOSE(WEEKDAY(datos_siembra[[#This Row],[Date]],2),"L","M","X","J","V","S","D")</f>
        <v>S</v>
      </c>
      <c r="R4320">
        <f>WEEKNUM(datos_siembra[[#This Row],[Date]],2)-WEEKNUM(DATE(YEAR(datos_siembra[[#This Row],[Date]]),MONTH(datos_siembra[[#This Row],[Date]]),1))+1</f>
        <v>3</v>
      </c>
      <c r="S4320">
        <f>MONTH(datos_siembra[[#This Row],[Date]])</f>
        <v>10</v>
      </c>
      <c r="T4320" t="str" cm="1">
        <f t="array" ref="T4320">_xlfn.IFS(AND(N4320&lt;= 22, S4320=9), "SOWING",AND(N4320&lt;= 28, S4320=9), "COVERAGE",AND(N4320&lt;= 30, S4320=9), "FLUSH",AND(N4320&lt;= 11, S4320=10), "FLUSH",AND(N4320&lt;= 21, S4320=10), "PRODUCTION")</f>
        <v>PRODUCTION</v>
      </c>
      <c r="U4320">
        <f>HOUR(datos_siembra[[#This Row],[Hour]])</f>
        <v>0</v>
      </c>
      <c r="V4320" cm="1">
        <f t="array" ref="V4320">_xlfn.IFS(AND(N4320&lt;= 22, S4320=9), N4320-7,AND(N4320&lt;= 28, S4320=9), N4320-25,AND(N4320&lt;= 30, S4320=9), N4320-28,AND(N4320&lt;= 11, S4320=10), N4320+2,AND(N4320&lt;= 21, S4320=10), N4320-11)</f>
        <v>8</v>
      </c>
    </row>
    <row r="4321" spans="1:22" x14ac:dyDescent="0.35">
      <c r="A4321" s="4">
        <v>45584</v>
      </c>
      <c r="B4321" s="5">
        <v>2.1597222222222223E-2</v>
      </c>
      <c r="C4321">
        <v>65.3</v>
      </c>
      <c r="D4321">
        <v>66.3</v>
      </c>
      <c r="E4321">
        <v>65.900000000000006</v>
      </c>
      <c r="F4321">
        <v>63.8</v>
      </c>
      <c r="G4321">
        <v>0</v>
      </c>
      <c r="H4321">
        <v>0</v>
      </c>
      <c r="I4321">
        <v>0</v>
      </c>
      <c r="J4321">
        <v>0</v>
      </c>
      <c r="K4321">
        <v>60.7</v>
      </c>
      <c r="L4321">
        <v>61</v>
      </c>
      <c r="M4321">
        <v>65.3</v>
      </c>
      <c r="N4321">
        <v>19</v>
      </c>
      <c r="O4321">
        <v>4</v>
      </c>
      <c r="P4321">
        <f>MOD(DAY(datos_siembra[[#This Row],[Date]]),7)</f>
        <v>5</v>
      </c>
      <c r="Q4321" t="str">
        <f>CHOOSE(WEEKDAY(datos_siembra[[#This Row],[Date]],2),"L","M","X","J","V","S","D")</f>
        <v>S</v>
      </c>
      <c r="R4321">
        <f>WEEKNUM(datos_siembra[[#This Row],[Date]],2)-WEEKNUM(DATE(YEAR(datos_siembra[[#This Row],[Date]]),MONTH(datos_siembra[[#This Row],[Date]]),1))+1</f>
        <v>3</v>
      </c>
      <c r="S4321">
        <f>MONTH(datos_siembra[[#This Row],[Date]])</f>
        <v>10</v>
      </c>
      <c r="T4321" t="str" cm="1">
        <f t="array" ref="T4321">_xlfn.IFS(AND(N4321&lt;= 22, S4321=9), "SOWING",AND(N4321&lt;= 28, S4321=9), "COVERAGE",AND(N4321&lt;= 30, S4321=9), "FLUSH",AND(N4321&lt;= 11, S4321=10), "FLUSH",AND(N4321&lt;= 21, S4321=10), "PRODUCTION")</f>
        <v>PRODUCTION</v>
      </c>
      <c r="U4321">
        <f>HOUR(datos_siembra[[#This Row],[Hour]])</f>
        <v>0</v>
      </c>
      <c r="V4321" cm="1">
        <f t="array" ref="V4321">_xlfn.IFS(AND(N4321&lt;= 22, S4321=9), N4321-7,AND(N4321&lt;= 28, S4321=9), N4321-25,AND(N4321&lt;= 30, S4321=9), N4321-28,AND(N4321&lt;= 11, S4321=10), N4321+2,AND(N4321&lt;= 21, S4321=10), N4321-11)</f>
        <v>8</v>
      </c>
    </row>
    <row r="4322" spans="1:22" x14ac:dyDescent="0.35">
      <c r="A4322" s="4">
        <v>45584</v>
      </c>
      <c r="B4322" s="5">
        <v>2.8541666666666667E-2</v>
      </c>
      <c r="C4322">
        <v>65.400000000000006</v>
      </c>
      <c r="D4322">
        <v>66.099999999999994</v>
      </c>
      <c r="E4322">
        <v>65.599999999999994</v>
      </c>
      <c r="F4322">
        <v>64.099999999999994</v>
      </c>
      <c r="G4322">
        <v>0</v>
      </c>
      <c r="H4322">
        <v>0</v>
      </c>
      <c r="I4322">
        <v>0</v>
      </c>
      <c r="J4322">
        <v>0</v>
      </c>
      <c r="K4322">
        <v>60.8</v>
      </c>
      <c r="L4322">
        <v>61.1</v>
      </c>
      <c r="M4322">
        <v>65.22</v>
      </c>
      <c r="N4322">
        <v>19</v>
      </c>
      <c r="O4322">
        <v>4</v>
      </c>
      <c r="P4322">
        <f>MOD(DAY(datos_siembra[[#This Row],[Date]]),7)</f>
        <v>5</v>
      </c>
      <c r="Q4322" t="str">
        <f>CHOOSE(WEEKDAY(datos_siembra[[#This Row],[Date]],2),"L","M","X","J","V","S","D")</f>
        <v>S</v>
      </c>
      <c r="R4322">
        <f>WEEKNUM(datos_siembra[[#This Row],[Date]],2)-WEEKNUM(DATE(YEAR(datos_siembra[[#This Row],[Date]]),MONTH(datos_siembra[[#This Row],[Date]]),1))+1</f>
        <v>3</v>
      </c>
      <c r="S4322">
        <f>MONTH(datos_siembra[[#This Row],[Date]])</f>
        <v>10</v>
      </c>
      <c r="T4322" t="str" cm="1">
        <f t="array" ref="T4322">_xlfn.IFS(AND(N4322&lt;= 22, S4322=9), "SOWING",AND(N4322&lt;= 28, S4322=9), "COVERAGE",AND(N4322&lt;= 30, S4322=9), "FLUSH",AND(N4322&lt;= 11, S4322=10), "FLUSH",AND(N4322&lt;= 21, S4322=10), "PRODUCTION")</f>
        <v>PRODUCTION</v>
      </c>
      <c r="U4322">
        <f>HOUR(datos_siembra[[#This Row],[Hour]])</f>
        <v>0</v>
      </c>
      <c r="V4322" cm="1">
        <f t="array" ref="V4322">_xlfn.IFS(AND(N4322&lt;= 22, S4322=9), N4322-7,AND(N4322&lt;= 28, S4322=9), N4322-25,AND(N4322&lt;= 30, S4322=9), N4322-28,AND(N4322&lt;= 11, S4322=10), N4322+2,AND(N4322&lt;= 21, S4322=10), N4322-11)</f>
        <v>8</v>
      </c>
    </row>
    <row r="4323" spans="1:22" x14ac:dyDescent="0.35">
      <c r="A4323" s="4">
        <v>45584</v>
      </c>
      <c r="B4323" s="5">
        <v>3.5497685185185188E-2</v>
      </c>
      <c r="C4323">
        <v>65.2</v>
      </c>
      <c r="D4323">
        <v>66.2</v>
      </c>
      <c r="E4323">
        <v>65.5</v>
      </c>
      <c r="F4323">
        <v>64.099999999999994</v>
      </c>
      <c r="G4323">
        <v>0</v>
      </c>
      <c r="H4323">
        <v>0</v>
      </c>
      <c r="I4323">
        <v>0</v>
      </c>
      <c r="J4323">
        <v>0</v>
      </c>
      <c r="K4323">
        <v>60.8</v>
      </c>
      <c r="L4323">
        <v>60.9</v>
      </c>
      <c r="M4323">
        <v>65.3</v>
      </c>
      <c r="N4323">
        <v>19</v>
      </c>
      <c r="O4323">
        <v>4</v>
      </c>
      <c r="P4323">
        <f>MOD(DAY(datos_siembra[[#This Row],[Date]]),7)</f>
        <v>5</v>
      </c>
      <c r="Q4323" t="str">
        <f>CHOOSE(WEEKDAY(datos_siembra[[#This Row],[Date]],2),"L","M","X","J","V","S","D")</f>
        <v>S</v>
      </c>
      <c r="R4323">
        <f>WEEKNUM(datos_siembra[[#This Row],[Date]],2)-WEEKNUM(DATE(YEAR(datos_siembra[[#This Row],[Date]]),MONTH(datos_siembra[[#This Row],[Date]]),1))+1</f>
        <v>3</v>
      </c>
      <c r="S4323">
        <f>MONTH(datos_siembra[[#This Row],[Date]])</f>
        <v>10</v>
      </c>
      <c r="T4323" t="str" cm="1">
        <f t="array" ref="T4323">_xlfn.IFS(AND(N4323&lt;= 22, S4323=9), "SOWING",AND(N4323&lt;= 28, S4323=9), "COVERAGE",AND(N4323&lt;= 30, S4323=9), "FLUSH",AND(N4323&lt;= 11, S4323=10), "FLUSH",AND(N4323&lt;= 21, S4323=10), "PRODUCTION")</f>
        <v>PRODUCTION</v>
      </c>
      <c r="U4323">
        <f>HOUR(datos_siembra[[#This Row],[Hour]])</f>
        <v>0</v>
      </c>
      <c r="V4323" cm="1">
        <f t="array" ref="V4323">_xlfn.IFS(AND(N4323&lt;= 22, S4323=9), N4323-7,AND(N4323&lt;= 28, S4323=9), N4323-25,AND(N4323&lt;= 30, S4323=9), N4323-28,AND(N4323&lt;= 11, S4323=10), N4323+2,AND(N4323&lt;= 21, S4323=10), N4323-11)</f>
        <v>8</v>
      </c>
    </row>
    <row r="4324" spans="1:22" x14ac:dyDescent="0.35">
      <c r="A4324" s="4">
        <v>45584</v>
      </c>
      <c r="B4324" s="5">
        <v>4.2442129629629628E-2</v>
      </c>
      <c r="C4324">
        <v>65.3</v>
      </c>
      <c r="D4324">
        <v>66.099999999999994</v>
      </c>
      <c r="E4324">
        <v>65.599999999999994</v>
      </c>
      <c r="F4324">
        <v>63.9</v>
      </c>
      <c r="G4324">
        <v>0</v>
      </c>
      <c r="H4324">
        <v>0</v>
      </c>
      <c r="I4324">
        <v>0</v>
      </c>
      <c r="J4324">
        <v>0</v>
      </c>
      <c r="K4324">
        <v>60.8</v>
      </c>
      <c r="L4324">
        <v>61</v>
      </c>
      <c r="M4324">
        <v>65.239999999999995</v>
      </c>
      <c r="N4324">
        <v>19</v>
      </c>
      <c r="O4324">
        <v>4</v>
      </c>
      <c r="P4324">
        <f>MOD(DAY(datos_siembra[[#This Row],[Date]]),7)</f>
        <v>5</v>
      </c>
      <c r="Q4324" t="str">
        <f>CHOOSE(WEEKDAY(datos_siembra[[#This Row],[Date]],2),"L","M","X","J","V","S","D")</f>
        <v>S</v>
      </c>
      <c r="R4324">
        <f>WEEKNUM(datos_siembra[[#This Row],[Date]],2)-WEEKNUM(DATE(YEAR(datos_siembra[[#This Row],[Date]]),MONTH(datos_siembra[[#This Row],[Date]]),1))+1</f>
        <v>3</v>
      </c>
      <c r="S4324">
        <f>MONTH(datos_siembra[[#This Row],[Date]])</f>
        <v>10</v>
      </c>
      <c r="T4324" t="str" cm="1">
        <f t="array" ref="T4324">_xlfn.IFS(AND(N4324&lt;= 22, S4324=9), "SOWING",AND(N4324&lt;= 28, S4324=9), "COVERAGE",AND(N4324&lt;= 30, S4324=9), "FLUSH",AND(N4324&lt;= 11, S4324=10), "FLUSH",AND(N4324&lt;= 21, S4324=10), "PRODUCTION")</f>
        <v>PRODUCTION</v>
      </c>
      <c r="U4324">
        <f>HOUR(datos_siembra[[#This Row],[Hour]])</f>
        <v>1</v>
      </c>
      <c r="V4324" cm="1">
        <f t="array" ref="V4324">_xlfn.IFS(AND(N4324&lt;= 22, S4324=9), N4324-7,AND(N4324&lt;= 28, S4324=9), N4324-25,AND(N4324&lt;= 30, S4324=9), N4324-28,AND(N4324&lt;= 11, S4324=10), N4324+2,AND(N4324&lt;= 21, S4324=10), N4324-11)</f>
        <v>8</v>
      </c>
    </row>
    <row r="4325" spans="1:22" x14ac:dyDescent="0.35">
      <c r="A4325" s="4">
        <v>45584</v>
      </c>
      <c r="B4325" s="5">
        <v>4.9386574074074076E-2</v>
      </c>
      <c r="C4325">
        <v>65.2</v>
      </c>
      <c r="D4325">
        <v>66.2</v>
      </c>
      <c r="E4325">
        <v>65.599999999999994</v>
      </c>
      <c r="F4325">
        <v>63.9</v>
      </c>
      <c r="G4325">
        <v>0</v>
      </c>
      <c r="H4325">
        <v>0</v>
      </c>
      <c r="I4325">
        <v>0</v>
      </c>
      <c r="J4325">
        <v>0</v>
      </c>
      <c r="K4325">
        <v>60.7</v>
      </c>
      <c r="L4325">
        <v>60.9</v>
      </c>
      <c r="M4325">
        <v>65.22</v>
      </c>
      <c r="N4325">
        <v>19</v>
      </c>
      <c r="O4325">
        <v>4</v>
      </c>
      <c r="P4325">
        <f>MOD(DAY(datos_siembra[[#This Row],[Date]]),7)</f>
        <v>5</v>
      </c>
      <c r="Q4325" t="str">
        <f>CHOOSE(WEEKDAY(datos_siembra[[#This Row],[Date]],2),"L","M","X","J","V","S","D")</f>
        <v>S</v>
      </c>
      <c r="R4325">
        <f>WEEKNUM(datos_siembra[[#This Row],[Date]],2)-WEEKNUM(DATE(YEAR(datos_siembra[[#This Row],[Date]]),MONTH(datos_siembra[[#This Row],[Date]]),1))+1</f>
        <v>3</v>
      </c>
      <c r="S4325">
        <f>MONTH(datos_siembra[[#This Row],[Date]])</f>
        <v>10</v>
      </c>
      <c r="T4325" t="str" cm="1">
        <f t="array" ref="T4325">_xlfn.IFS(AND(N4325&lt;= 22, S4325=9), "SOWING",AND(N4325&lt;= 28, S4325=9), "COVERAGE",AND(N4325&lt;= 30, S4325=9), "FLUSH",AND(N4325&lt;= 11, S4325=10), "FLUSH",AND(N4325&lt;= 21, S4325=10), "PRODUCTION")</f>
        <v>PRODUCTION</v>
      </c>
      <c r="U4325">
        <f>HOUR(datos_siembra[[#This Row],[Hour]])</f>
        <v>1</v>
      </c>
      <c r="V4325" cm="1">
        <f t="array" ref="V4325">_xlfn.IFS(AND(N4325&lt;= 22, S4325=9), N4325-7,AND(N4325&lt;= 28, S4325=9), N4325-25,AND(N4325&lt;= 30, S4325=9), N4325-28,AND(N4325&lt;= 11, S4325=10), N4325+2,AND(N4325&lt;= 21, S4325=10), N4325-11)</f>
        <v>8</v>
      </c>
    </row>
    <row r="4326" spans="1:22" x14ac:dyDescent="0.35">
      <c r="A4326" s="4">
        <v>45584</v>
      </c>
      <c r="B4326" s="5">
        <v>5.6331018518518516E-2</v>
      </c>
      <c r="C4326">
        <v>65.2</v>
      </c>
      <c r="D4326">
        <v>66.2</v>
      </c>
      <c r="E4326">
        <v>65.900000000000006</v>
      </c>
      <c r="F4326">
        <v>64.099999999999994</v>
      </c>
      <c r="G4326">
        <v>0</v>
      </c>
      <c r="H4326">
        <v>0</v>
      </c>
      <c r="I4326">
        <v>0</v>
      </c>
      <c r="J4326">
        <v>0</v>
      </c>
      <c r="K4326">
        <v>60.7</v>
      </c>
      <c r="L4326">
        <v>60.9</v>
      </c>
      <c r="M4326">
        <v>65.27</v>
      </c>
      <c r="N4326">
        <v>19</v>
      </c>
      <c r="O4326">
        <v>4</v>
      </c>
      <c r="P4326">
        <f>MOD(DAY(datos_siembra[[#This Row],[Date]]),7)</f>
        <v>5</v>
      </c>
      <c r="Q4326" t="str">
        <f>CHOOSE(WEEKDAY(datos_siembra[[#This Row],[Date]],2),"L","M","X","J","V","S","D")</f>
        <v>S</v>
      </c>
      <c r="R4326">
        <f>WEEKNUM(datos_siembra[[#This Row],[Date]],2)-WEEKNUM(DATE(YEAR(datos_siembra[[#This Row],[Date]]),MONTH(datos_siembra[[#This Row],[Date]]),1))+1</f>
        <v>3</v>
      </c>
      <c r="S4326">
        <f>MONTH(datos_siembra[[#This Row],[Date]])</f>
        <v>10</v>
      </c>
      <c r="T4326" t="str" cm="1">
        <f t="array" ref="T4326">_xlfn.IFS(AND(N4326&lt;= 22, S4326=9), "SOWING",AND(N4326&lt;= 28, S4326=9), "COVERAGE",AND(N4326&lt;= 30, S4326=9), "FLUSH",AND(N4326&lt;= 11, S4326=10), "FLUSH",AND(N4326&lt;= 21, S4326=10), "PRODUCTION")</f>
        <v>PRODUCTION</v>
      </c>
      <c r="U4326">
        <f>HOUR(datos_siembra[[#This Row],[Hour]])</f>
        <v>1</v>
      </c>
      <c r="V4326" cm="1">
        <f t="array" ref="V4326">_xlfn.IFS(AND(N4326&lt;= 22, S4326=9), N4326-7,AND(N4326&lt;= 28, S4326=9), N4326-25,AND(N4326&lt;= 30, S4326=9), N4326-28,AND(N4326&lt;= 11, S4326=10), N4326+2,AND(N4326&lt;= 21, S4326=10), N4326-11)</f>
        <v>8</v>
      </c>
    </row>
    <row r="4327" spans="1:22" x14ac:dyDescent="0.35">
      <c r="A4327" s="4">
        <v>45584</v>
      </c>
      <c r="B4327" s="5">
        <v>6.3287037037037031E-2</v>
      </c>
      <c r="C4327">
        <v>65.3</v>
      </c>
      <c r="D4327">
        <v>66.2</v>
      </c>
      <c r="E4327">
        <v>65.599999999999994</v>
      </c>
      <c r="F4327">
        <v>63.9</v>
      </c>
      <c r="G4327">
        <v>0</v>
      </c>
      <c r="H4327">
        <v>0</v>
      </c>
      <c r="I4327">
        <v>0</v>
      </c>
      <c r="J4327">
        <v>0</v>
      </c>
      <c r="K4327">
        <v>60.6</v>
      </c>
      <c r="L4327">
        <v>60.8</v>
      </c>
      <c r="M4327">
        <v>65.33</v>
      </c>
      <c r="N4327">
        <v>19</v>
      </c>
      <c r="O4327">
        <v>4</v>
      </c>
      <c r="P4327">
        <f>MOD(DAY(datos_siembra[[#This Row],[Date]]),7)</f>
        <v>5</v>
      </c>
      <c r="Q4327" t="str">
        <f>CHOOSE(WEEKDAY(datos_siembra[[#This Row],[Date]],2),"L","M","X","J","V","S","D")</f>
        <v>S</v>
      </c>
      <c r="R4327">
        <f>WEEKNUM(datos_siembra[[#This Row],[Date]],2)-WEEKNUM(DATE(YEAR(datos_siembra[[#This Row],[Date]]),MONTH(datos_siembra[[#This Row],[Date]]),1))+1</f>
        <v>3</v>
      </c>
      <c r="S4327">
        <f>MONTH(datos_siembra[[#This Row],[Date]])</f>
        <v>10</v>
      </c>
      <c r="T4327" t="str" cm="1">
        <f t="array" ref="T4327">_xlfn.IFS(AND(N4327&lt;= 22, S4327=9), "SOWING",AND(N4327&lt;= 28, S4327=9), "COVERAGE",AND(N4327&lt;= 30, S4327=9), "FLUSH",AND(N4327&lt;= 11, S4327=10), "FLUSH",AND(N4327&lt;= 21, S4327=10), "PRODUCTION")</f>
        <v>PRODUCTION</v>
      </c>
      <c r="U4327">
        <f>HOUR(datos_siembra[[#This Row],[Hour]])</f>
        <v>1</v>
      </c>
      <c r="V4327" cm="1">
        <f t="array" ref="V4327">_xlfn.IFS(AND(N4327&lt;= 22, S4327=9), N4327-7,AND(N4327&lt;= 28, S4327=9), N4327-25,AND(N4327&lt;= 30, S4327=9), N4327-28,AND(N4327&lt;= 11, S4327=10), N4327+2,AND(N4327&lt;= 21, S4327=10), N4327-11)</f>
        <v>8</v>
      </c>
    </row>
    <row r="4328" spans="1:22" x14ac:dyDescent="0.35">
      <c r="A4328" s="4">
        <v>45584</v>
      </c>
      <c r="B4328" s="5">
        <v>7.0231481481481478E-2</v>
      </c>
      <c r="C4328">
        <v>65.3</v>
      </c>
      <c r="D4328">
        <v>66.099999999999994</v>
      </c>
      <c r="E4328">
        <v>65.8</v>
      </c>
      <c r="F4328">
        <v>63.9</v>
      </c>
      <c r="G4328">
        <v>0</v>
      </c>
      <c r="H4328">
        <v>0</v>
      </c>
      <c r="I4328">
        <v>0</v>
      </c>
      <c r="J4328">
        <v>0</v>
      </c>
      <c r="K4328">
        <v>60.7</v>
      </c>
      <c r="L4328">
        <v>60.9</v>
      </c>
      <c r="M4328">
        <v>65.22</v>
      </c>
      <c r="N4328">
        <v>19</v>
      </c>
      <c r="O4328">
        <v>4</v>
      </c>
      <c r="P4328">
        <f>MOD(DAY(datos_siembra[[#This Row],[Date]]),7)</f>
        <v>5</v>
      </c>
      <c r="Q4328" t="str">
        <f>CHOOSE(WEEKDAY(datos_siembra[[#This Row],[Date]],2),"L","M","X","J","V","S","D")</f>
        <v>S</v>
      </c>
      <c r="R4328">
        <f>WEEKNUM(datos_siembra[[#This Row],[Date]],2)-WEEKNUM(DATE(YEAR(datos_siembra[[#This Row],[Date]]),MONTH(datos_siembra[[#This Row],[Date]]),1))+1</f>
        <v>3</v>
      </c>
      <c r="S4328">
        <f>MONTH(datos_siembra[[#This Row],[Date]])</f>
        <v>10</v>
      </c>
      <c r="T4328" t="str" cm="1">
        <f t="array" ref="T4328">_xlfn.IFS(AND(N4328&lt;= 22, S4328=9), "SOWING",AND(N4328&lt;= 28, S4328=9), "COVERAGE",AND(N4328&lt;= 30, S4328=9), "FLUSH",AND(N4328&lt;= 11, S4328=10), "FLUSH",AND(N4328&lt;= 21, S4328=10), "PRODUCTION")</f>
        <v>PRODUCTION</v>
      </c>
      <c r="U4328">
        <f>HOUR(datos_siembra[[#This Row],[Hour]])</f>
        <v>1</v>
      </c>
      <c r="V4328" cm="1">
        <f t="array" ref="V4328">_xlfn.IFS(AND(N4328&lt;= 22, S4328=9), N4328-7,AND(N4328&lt;= 28, S4328=9), N4328-25,AND(N4328&lt;= 30, S4328=9), N4328-28,AND(N4328&lt;= 11, S4328=10), N4328+2,AND(N4328&lt;= 21, S4328=10), N4328-11)</f>
        <v>8</v>
      </c>
    </row>
    <row r="4329" spans="1:22" x14ac:dyDescent="0.35">
      <c r="A4329" s="4">
        <v>45584</v>
      </c>
      <c r="B4329" s="5">
        <v>7.7175925925925926E-2</v>
      </c>
      <c r="C4329">
        <v>65.400000000000006</v>
      </c>
      <c r="D4329">
        <v>66.2</v>
      </c>
      <c r="E4329">
        <v>65.599999999999994</v>
      </c>
      <c r="F4329">
        <v>64.099999999999994</v>
      </c>
      <c r="G4329">
        <v>0</v>
      </c>
      <c r="H4329">
        <v>0</v>
      </c>
      <c r="I4329">
        <v>0</v>
      </c>
      <c r="J4329">
        <v>0</v>
      </c>
      <c r="K4329">
        <v>60.6</v>
      </c>
      <c r="L4329">
        <v>60.8</v>
      </c>
      <c r="M4329">
        <v>65.22</v>
      </c>
      <c r="N4329">
        <v>19</v>
      </c>
      <c r="O4329">
        <v>4</v>
      </c>
      <c r="P4329">
        <f>MOD(DAY(datos_siembra[[#This Row],[Date]]),7)</f>
        <v>5</v>
      </c>
      <c r="Q4329" t="str">
        <f>CHOOSE(WEEKDAY(datos_siembra[[#This Row],[Date]],2),"L","M","X","J","V","S","D")</f>
        <v>S</v>
      </c>
      <c r="R4329">
        <f>WEEKNUM(datos_siembra[[#This Row],[Date]],2)-WEEKNUM(DATE(YEAR(datos_siembra[[#This Row],[Date]]),MONTH(datos_siembra[[#This Row],[Date]]),1))+1</f>
        <v>3</v>
      </c>
      <c r="S4329">
        <f>MONTH(datos_siembra[[#This Row],[Date]])</f>
        <v>10</v>
      </c>
      <c r="T4329" t="str" cm="1">
        <f t="array" ref="T4329">_xlfn.IFS(AND(N4329&lt;= 22, S4329=9), "SOWING",AND(N4329&lt;= 28, S4329=9), "COVERAGE",AND(N4329&lt;= 30, S4329=9), "FLUSH",AND(N4329&lt;= 11, S4329=10), "FLUSH",AND(N4329&lt;= 21, S4329=10), "PRODUCTION")</f>
        <v>PRODUCTION</v>
      </c>
      <c r="U4329">
        <f>HOUR(datos_siembra[[#This Row],[Hour]])</f>
        <v>1</v>
      </c>
      <c r="V4329" cm="1">
        <f t="array" ref="V4329">_xlfn.IFS(AND(N4329&lt;= 22, S4329=9), N4329-7,AND(N4329&lt;= 28, S4329=9), N4329-25,AND(N4329&lt;= 30, S4329=9), N4329-28,AND(N4329&lt;= 11, S4329=10), N4329+2,AND(N4329&lt;= 21, S4329=10), N4329-11)</f>
        <v>8</v>
      </c>
    </row>
    <row r="4330" spans="1:22" x14ac:dyDescent="0.35">
      <c r="A4330" s="4">
        <v>45584</v>
      </c>
      <c r="B4330" s="5">
        <v>8.4120370370370373E-2</v>
      </c>
      <c r="C4330">
        <v>65.2</v>
      </c>
      <c r="D4330">
        <v>66.099999999999994</v>
      </c>
      <c r="E4330">
        <v>65.599999999999994</v>
      </c>
      <c r="F4330">
        <v>64.099999999999994</v>
      </c>
      <c r="G4330">
        <v>0</v>
      </c>
      <c r="H4330">
        <v>0</v>
      </c>
      <c r="I4330">
        <v>0</v>
      </c>
      <c r="J4330">
        <v>0</v>
      </c>
      <c r="K4330">
        <v>60.7</v>
      </c>
      <c r="L4330">
        <v>61</v>
      </c>
      <c r="M4330">
        <v>65.239999999999995</v>
      </c>
      <c r="N4330">
        <v>19</v>
      </c>
      <c r="O4330">
        <v>4</v>
      </c>
      <c r="P4330">
        <f>MOD(DAY(datos_siembra[[#This Row],[Date]]),7)</f>
        <v>5</v>
      </c>
      <c r="Q4330" t="str">
        <f>CHOOSE(WEEKDAY(datos_siembra[[#This Row],[Date]],2),"L","M","X","J","V","S","D")</f>
        <v>S</v>
      </c>
      <c r="R4330">
        <f>WEEKNUM(datos_siembra[[#This Row],[Date]],2)-WEEKNUM(DATE(YEAR(datos_siembra[[#This Row],[Date]]),MONTH(datos_siembra[[#This Row],[Date]]),1))+1</f>
        <v>3</v>
      </c>
      <c r="S4330">
        <f>MONTH(datos_siembra[[#This Row],[Date]])</f>
        <v>10</v>
      </c>
      <c r="T4330" t="str" cm="1">
        <f t="array" ref="T4330">_xlfn.IFS(AND(N4330&lt;= 22, S4330=9), "SOWING",AND(N4330&lt;= 28, S4330=9), "COVERAGE",AND(N4330&lt;= 30, S4330=9), "FLUSH",AND(N4330&lt;= 11, S4330=10), "FLUSH",AND(N4330&lt;= 21, S4330=10), "PRODUCTION")</f>
        <v>PRODUCTION</v>
      </c>
      <c r="U4330">
        <f>HOUR(datos_siembra[[#This Row],[Hour]])</f>
        <v>2</v>
      </c>
      <c r="V4330" cm="1">
        <f t="array" ref="V4330">_xlfn.IFS(AND(N4330&lt;= 22, S4330=9), N4330-7,AND(N4330&lt;= 28, S4330=9), N4330-25,AND(N4330&lt;= 30, S4330=9), N4330-28,AND(N4330&lt;= 11, S4330=10), N4330+2,AND(N4330&lt;= 21, S4330=10), N4330-11)</f>
        <v>8</v>
      </c>
    </row>
    <row r="4331" spans="1:22" x14ac:dyDescent="0.35">
      <c r="A4331" s="4">
        <v>45584</v>
      </c>
      <c r="B4331" s="5">
        <v>9.1076388888888887E-2</v>
      </c>
      <c r="C4331">
        <v>65.3</v>
      </c>
      <c r="D4331">
        <v>66.2</v>
      </c>
      <c r="E4331">
        <v>65.599999999999994</v>
      </c>
      <c r="F4331">
        <v>63.8</v>
      </c>
      <c r="G4331">
        <v>0</v>
      </c>
      <c r="H4331">
        <v>0</v>
      </c>
      <c r="I4331">
        <v>0</v>
      </c>
      <c r="J4331">
        <v>0</v>
      </c>
      <c r="K4331">
        <v>60.6</v>
      </c>
      <c r="L4331">
        <v>60.9</v>
      </c>
      <c r="M4331">
        <v>65.239999999999995</v>
      </c>
      <c r="N4331">
        <v>19</v>
      </c>
      <c r="O4331">
        <v>4</v>
      </c>
      <c r="P4331">
        <f>MOD(DAY(datos_siembra[[#This Row],[Date]]),7)</f>
        <v>5</v>
      </c>
      <c r="Q4331" t="str">
        <f>CHOOSE(WEEKDAY(datos_siembra[[#This Row],[Date]],2),"L","M","X","J","V","S","D")</f>
        <v>S</v>
      </c>
      <c r="R4331">
        <f>WEEKNUM(datos_siembra[[#This Row],[Date]],2)-WEEKNUM(DATE(YEAR(datos_siembra[[#This Row],[Date]]),MONTH(datos_siembra[[#This Row],[Date]]),1))+1</f>
        <v>3</v>
      </c>
      <c r="S4331">
        <f>MONTH(datos_siembra[[#This Row],[Date]])</f>
        <v>10</v>
      </c>
      <c r="T4331" t="str" cm="1">
        <f t="array" ref="T4331">_xlfn.IFS(AND(N4331&lt;= 22, S4331=9), "SOWING",AND(N4331&lt;= 28, S4331=9), "COVERAGE",AND(N4331&lt;= 30, S4331=9), "FLUSH",AND(N4331&lt;= 11, S4331=10), "FLUSH",AND(N4331&lt;= 21, S4331=10), "PRODUCTION")</f>
        <v>PRODUCTION</v>
      </c>
      <c r="U4331">
        <f>HOUR(datos_siembra[[#This Row],[Hour]])</f>
        <v>2</v>
      </c>
      <c r="V4331" cm="1">
        <f t="array" ref="V4331">_xlfn.IFS(AND(N4331&lt;= 22, S4331=9), N4331-7,AND(N4331&lt;= 28, S4331=9), N4331-25,AND(N4331&lt;= 30, S4331=9), N4331-28,AND(N4331&lt;= 11, S4331=10), N4331+2,AND(N4331&lt;= 21, S4331=10), N4331-11)</f>
        <v>8</v>
      </c>
    </row>
    <row r="4332" spans="1:22" x14ac:dyDescent="0.35">
      <c r="A4332" s="4">
        <v>45584</v>
      </c>
      <c r="B4332" s="5">
        <v>9.8020833333333335E-2</v>
      </c>
      <c r="C4332">
        <v>65.3</v>
      </c>
      <c r="D4332">
        <v>66.2</v>
      </c>
      <c r="E4332">
        <v>65.8</v>
      </c>
      <c r="F4332">
        <v>63.8</v>
      </c>
      <c r="G4332">
        <v>0</v>
      </c>
      <c r="H4332">
        <v>0</v>
      </c>
      <c r="I4332">
        <v>0</v>
      </c>
      <c r="J4332">
        <v>0</v>
      </c>
      <c r="K4332">
        <v>60.7</v>
      </c>
      <c r="L4332">
        <v>60.9</v>
      </c>
      <c r="M4332">
        <v>65.239999999999995</v>
      </c>
      <c r="N4332">
        <v>19</v>
      </c>
      <c r="O4332">
        <v>4</v>
      </c>
      <c r="P4332">
        <f>MOD(DAY(datos_siembra[[#This Row],[Date]]),7)</f>
        <v>5</v>
      </c>
      <c r="Q4332" t="str">
        <f>CHOOSE(WEEKDAY(datos_siembra[[#This Row],[Date]],2),"L","M","X","J","V","S","D")</f>
        <v>S</v>
      </c>
      <c r="R4332">
        <f>WEEKNUM(datos_siembra[[#This Row],[Date]],2)-WEEKNUM(DATE(YEAR(datos_siembra[[#This Row],[Date]]),MONTH(datos_siembra[[#This Row],[Date]]),1))+1</f>
        <v>3</v>
      </c>
      <c r="S4332">
        <f>MONTH(datos_siembra[[#This Row],[Date]])</f>
        <v>10</v>
      </c>
      <c r="T4332" t="str" cm="1">
        <f t="array" ref="T4332">_xlfn.IFS(AND(N4332&lt;= 22, S4332=9), "SOWING",AND(N4332&lt;= 28, S4332=9), "COVERAGE",AND(N4332&lt;= 30, S4332=9), "FLUSH",AND(N4332&lt;= 11, S4332=10), "FLUSH",AND(N4332&lt;= 21, S4332=10), "PRODUCTION")</f>
        <v>PRODUCTION</v>
      </c>
      <c r="U4332">
        <f>HOUR(datos_siembra[[#This Row],[Hour]])</f>
        <v>2</v>
      </c>
      <c r="V4332" cm="1">
        <f t="array" ref="V4332">_xlfn.IFS(AND(N4332&lt;= 22, S4332=9), N4332-7,AND(N4332&lt;= 28, S4332=9), N4332-25,AND(N4332&lt;= 30, S4332=9), N4332-28,AND(N4332&lt;= 11, S4332=10), N4332+2,AND(N4332&lt;= 21, S4332=10), N4332-11)</f>
        <v>8</v>
      </c>
    </row>
    <row r="4333" spans="1:22" x14ac:dyDescent="0.35">
      <c r="A4333" s="4">
        <v>45584</v>
      </c>
      <c r="B4333" s="5">
        <v>0.10496527777777778</v>
      </c>
      <c r="C4333">
        <v>65.400000000000006</v>
      </c>
      <c r="D4333">
        <v>66.099999999999994</v>
      </c>
      <c r="E4333">
        <v>65.5</v>
      </c>
      <c r="F4333">
        <v>63.9</v>
      </c>
      <c r="G4333">
        <v>0</v>
      </c>
      <c r="H4333">
        <v>0</v>
      </c>
      <c r="I4333">
        <v>0</v>
      </c>
      <c r="J4333">
        <v>0</v>
      </c>
      <c r="K4333">
        <v>60.7</v>
      </c>
      <c r="L4333">
        <v>60.9</v>
      </c>
      <c r="M4333">
        <v>65.33</v>
      </c>
      <c r="N4333">
        <v>19</v>
      </c>
      <c r="O4333">
        <v>4</v>
      </c>
      <c r="P4333">
        <f>MOD(DAY(datos_siembra[[#This Row],[Date]]),7)</f>
        <v>5</v>
      </c>
      <c r="Q4333" t="str">
        <f>CHOOSE(WEEKDAY(datos_siembra[[#This Row],[Date]],2),"L","M","X","J","V","S","D")</f>
        <v>S</v>
      </c>
      <c r="R4333">
        <f>WEEKNUM(datos_siembra[[#This Row],[Date]],2)-WEEKNUM(DATE(YEAR(datos_siembra[[#This Row],[Date]]),MONTH(datos_siembra[[#This Row],[Date]]),1))+1</f>
        <v>3</v>
      </c>
      <c r="S4333">
        <f>MONTH(datos_siembra[[#This Row],[Date]])</f>
        <v>10</v>
      </c>
      <c r="T4333" t="str" cm="1">
        <f t="array" ref="T4333">_xlfn.IFS(AND(N4333&lt;= 22, S4333=9), "SOWING",AND(N4333&lt;= 28, S4333=9), "COVERAGE",AND(N4333&lt;= 30, S4333=9), "FLUSH",AND(N4333&lt;= 11, S4333=10), "FLUSH",AND(N4333&lt;= 21, S4333=10), "PRODUCTION")</f>
        <v>PRODUCTION</v>
      </c>
      <c r="U4333">
        <f>HOUR(datos_siembra[[#This Row],[Hour]])</f>
        <v>2</v>
      </c>
      <c r="V4333" cm="1">
        <f t="array" ref="V4333">_xlfn.IFS(AND(N4333&lt;= 22, S4333=9), N4333-7,AND(N4333&lt;= 28, S4333=9), N4333-25,AND(N4333&lt;= 30, S4333=9), N4333-28,AND(N4333&lt;= 11, S4333=10), N4333+2,AND(N4333&lt;= 21, S4333=10), N4333-11)</f>
        <v>8</v>
      </c>
    </row>
    <row r="4334" spans="1:22" x14ac:dyDescent="0.35">
      <c r="A4334" s="4">
        <v>45584</v>
      </c>
      <c r="B4334" s="5">
        <v>0.1119212962962963</v>
      </c>
      <c r="C4334">
        <v>65.3</v>
      </c>
      <c r="D4334">
        <v>66.099999999999994</v>
      </c>
      <c r="E4334">
        <v>65.8</v>
      </c>
      <c r="F4334">
        <v>63.9</v>
      </c>
      <c r="G4334">
        <v>0</v>
      </c>
      <c r="H4334">
        <v>0</v>
      </c>
      <c r="I4334">
        <v>0</v>
      </c>
      <c r="J4334">
        <v>0</v>
      </c>
      <c r="K4334">
        <v>60.6</v>
      </c>
      <c r="L4334">
        <v>60.9</v>
      </c>
      <c r="M4334">
        <v>65.19</v>
      </c>
      <c r="N4334">
        <v>19</v>
      </c>
      <c r="O4334">
        <v>4</v>
      </c>
      <c r="P4334">
        <f>MOD(DAY(datos_siembra[[#This Row],[Date]]),7)</f>
        <v>5</v>
      </c>
      <c r="Q4334" t="str">
        <f>CHOOSE(WEEKDAY(datos_siembra[[#This Row],[Date]],2),"L","M","X","J","V","S","D")</f>
        <v>S</v>
      </c>
      <c r="R4334">
        <f>WEEKNUM(datos_siembra[[#This Row],[Date]],2)-WEEKNUM(DATE(YEAR(datos_siembra[[#This Row],[Date]]),MONTH(datos_siembra[[#This Row],[Date]]),1))+1</f>
        <v>3</v>
      </c>
      <c r="S4334">
        <f>MONTH(datos_siembra[[#This Row],[Date]])</f>
        <v>10</v>
      </c>
      <c r="T4334" t="str" cm="1">
        <f t="array" ref="T4334">_xlfn.IFS(AND(N4334&lt;= 22, S4334=9), "SOWING",AND(N4334&lt;= 28, S4334=9), "COVERAGE",AND(N4334&lt;= 30, S4334=9), "FLUSH",AND(N4334&lt;= 11, S4334=10), "FLUSH",AND(N4334&lt;= 21, S4334=10), "PRODUCTION")</f>
        <v>PRODUCTION</v>
      </c>
      <c r="U4334">
        <f>HOUR(datos_siembra[[#This Row],[Hour]])</f>
        <v>2</v>
      </c>
      <c r="V4334" cm="1">
        <f t="array" ref="V4334">_xlfn.IFS(AND(N4334&lt;= 22, S4334=9), N4334-7,AND(N4334&lt;= 28, S4334=9), N4334-25,AND(N4334&lt;= 30, S4334=9), N4334-28,AND(N4334&lt;= 11, S4334=10), N4334+2,AND(N4334&lt;= 21, S4334=10), N4334-11)</f>
        <v>8</v>
      </c>
    </row>
    <row r="4335" spans="1:22" x14ac:dyDescent="0.35">
      <c r="A4335" s="4">
        <v>45584</v>
      </c>
      <c r="B4335" s="5">
        <v>0.11886574074074074</v>
      </c>
      <c r="C4335">
        <v>65.400000000000006</v>
      </c>
      <c r="D4335">
        <v>66.099999999999994</v>
      </c>
      <c r="E4335">
        <v>65.599999999999994</v>
      </c>
      <c r="F4335">
        <v>63.8</v>
      </c>
      <c r="G4335">
        <v>0</v>
      </c>
      <c r="H4335">
        <v>0</v>
      </c>
      <c r="I4335">
        <v>0</v>
      </c>
      <c r="J4335">
        <v>0</v>
      </c>
      <c r="K4335">
        <v>60.5</v>
      </c>
      <c r="L4335">
        <v>60.9</v>
      </c>
      <c r="M4335">
        <v>65.27</v>
      </c>
      <c r="N4335">
        <v>19</v>
      </c>
      <c r="O4335">
        <v>4</v>
      </c>
      <c r="P4335">
        <f>MOD(DAY(datos_siembra[[#This Row],[Date]]),7)</f>
        <v>5</v>
      </c>
      <c r="Q4335" t="str">
        <f>CHOOSE(WEEKDAY(datos_siembra[[#This Row],[Date]],2),"L","M","X","J","V","S","D")</f>
        <v>S</v>
      </c>
      <c r="R4335">
        <f>WEEKNUM(datos_siembra[[#This Row],[Date]],2)-WEEKNUM(DATE(YEAR(datos_siembra[[#This Row],[Date]]),MONTH(datos_siembra[[#This Row],[Date]]),1))+1</f>
        <v>3</v>
      </c>
      <c r="S4335">
        <f>MONTH(datos_siembra[[#This Row],[Date]])</f>
        <v>10</v>
      </c>
      <c r="T4335" t="str" cm="1">
        <f t="array" ref="T4335">_xlfn.IFS(AND(N4335&lt;= 22, S4335=9), "SOWING",AND(N4335&lt;= 28, S4335=9), "COVERAGE",AND(N4335&lt;= 30, S4335=9), "FLUSH",AND(N4335&lt;= 11, S4335=10), "FLUSH",AND(N4335&lt;= 21, S4335=10), "PRODUCTION")</f>
        <v>PRODUCTION</v>
      </c>
      <c r="U4335">
        <f>HOUR(datos_siembra[[#This Row],[Hour]])</f>
        <v>2</v>
      </c>
      <c r="V4335" cm="1">
        <f t="array" ref="V4335">_xlfn.IFS(AND(N4335&lt;= 22, S4335=9), N4335-7,AND(N4335&lt;= 28, S4335=9), N4335-25,AND(N4335&lt;= 30, S4335=9), N4335-28,AND(N4335&lt;= 11, S4335=10), N4335+2,AND(N4335&lt;= 21, S4335=10), N4335-11)</f>
        <v>8</v>
      </c>
    </row>
    <row r="4336" spans="1:22" x14ac:dyDescent="0.35">
      <c r="A4336" s="4">
        <v>45584</v>
      </c>
      <c r="B4336" s="5">
        <v>0.12581018518518519</v>
      </c>
      <c r="C4336">
        <v>65.3</v>
      </c>
      <c r="D4336">
        <v>66.099999999999994</v>
      </c>
      <c r="E4336">
        <v>65.599999999999994</v>
      </c>
      <c r="F4336">
        <v>63.9</v>
      </c>
      <c r="G4336">
        <v>0</v>
      </c>
      <c r="H4336">
        <v>0</v>
      </c>
      <c r="I4336">
        <v>0</v>
      </c>
      <c r="J4336">
        <v>0</v>
      </c>
      <c r="K4336">
        <v>60.6</v>
      </c>
      <c r="L4336">
        <v>61.1</v>
      </c>
      <c r="M4336">
        <v>65.239999999999995</v>
      </c>
      <c r="N4336">
        <v>19</v>
      </c>
      <c r="O4336">
        <v>4</v>
      </c>
      <c r="P4336">
        <f>MOD(DAY(datos_siembra[[#This Row],[Date]]),7)</f>
        <v>5</v>
      </c>
      <c r="Q4336" t="str">
        <f>CHOOSE(WEEKDAY(datos_siembra[[#This Row],[Date]],2),"L","M","X","J","V","S","D")</f>
        <v>S</v>
      </c>
      <c r="R4336">
        <f>WEEKNUM(datos_siembra[[#This Row],[Date]],2)-WEEKNUM(DATE(YEAR(datos_siembra[[#This Row],[Date]]),MONTH(datos_siembra[[#This Row],[Date]]),1))+1</f>
        <v>3</v>
      </c>
      <c r="S4336">
        <f>MONTH(datos_siembra[[#This Row],[Date]])</f>
        <v>10</v>
      </c>
      <c r="T4336" t="str" cm="1">
        <f t="array" ref="T4336">_xlfn.IFS(AND(N4336&lt;= 22, S4336=9), "SOWING",AND(N4336&lt;= 28, S4336=9), "COVERAGE",AND(N4336&lt;= 30, S4336=9), "FLUSH",AND(N4336&lt;= 11, S4336=10), "FLUSH",AND(N4336&lt;= 21, S4336=10), "PRODUCTION")</f>
        <v>PRODUCTION</v>
      </c>
      <c r="U4336">
        <f>HOUR(datos_siembra[[#This Row],[Hour]])</f>
        <v>3</v>
      </c>
      <c r="V4336" cm="1">
        <f t="array" ref="V4336">_xlfn.IFS(AND(N4336&lt;= 22, S4336=9), N4336-7,AND(N4336&lt;= 28, S4336=9), N4336-25,AND(N4336&lt;= 30, S4336=9), N4336-28,AND(N4336&lt;= 11, S4336=10), N4336+2,AND(N4336&lt;= 21, S4336=10), N4336-11)</f>
        <v>8</v>
      </c>
    </row>
    <row r="4337" spans="1:22" x14ac:dyDescent="0.35">
      <c r="A4337" s="4">
        <v>45584</v>
      </c>
      <c r="B4337" s="5">
        <v>0.13275462962962964</v>
      </c>
      <c r="C4337">
        <v>64.900000000000006</v>
      </c>
      <c r="D4337">
        <v>66.099999999999994</v>
      </c>
      <c r="E4337">
        <v>65.8</v>
      </c>
      <c r="F4337">
        <v>63.9</v>
      </c>
      <c r="G4337">
        <v>0</v>
      </c>
      <c r="H4337">
        <v>0</v>
      </c>
      <c r="I4337">
        <v>0</v>
      </c>
      <c r="J4337">
        <v>0</v>
      </c>
      <c r="K4337">
        <v>60.5</v>
      </c>
      <c r="L4337">
        <v>61</v>
      </c>
      <c r="M4337">
        <v>65.16</v>
      </c>
      <c r="N4337">
        <v>19</v>
      </c>
      <c r="O4337">
        <v>4</v>
      </c>
      <c r="P4337">
        <f>MOD(DAY(datos_siembra[[#This Row],[Date]]),7)</f>
        <v>5</v>
      </c>
      <c r="Q4337" t="str">
        <f>CHOOSE(WEEKDAY(datos_siembra[[#This Row],[Date]],2),"L","M","X","J","V","S","D")</f>
        <v>S</v>
      </c>
      <c r="R4337">
        <f>WEEKNUM(datos_siembra[[#This Row],[Date]],2)-WEEKNUM(DATE(YEAR(datos_siembra[[#This Row],[Date]]),MONTH(datos_siembra[[#This Row],[Date]]),1))+1</f>
        <v>3</v>
      </c>
      <c r="S4337">
        <f>MONTH(datos_siembra[[#This Row],[Date]])</f>
        <v>10</v>
      </c>
      <c r="T4337" t="str" cm="1">
        <f t="array" ref="T4337">_xlfn.IFS(AND(N4337&lt;= 22, S4337=9), "SOWING",AND(N4337&lt;= 28, S4337=9), "COVERAGE",AND(N4337&lt;= 30, S4337=9), "FLUSH",AND(N4337&lt;= 11, S4337=10), "FLUSH",AND(N4337&lt;= 21, S4337=10), "PRODUCTION")</f>
        <v>PRODUCTION</v>
      </c>
      <c r="U4337">
        <f>HOUR(datos_siembra[[#This Row],[Hour]])</f>
        <v>3</v>
      </c>
      <c r="V4337" cm="1">
        <f t="array" ref="V4337">_xlfn.IFS(AND(N4337&lt;= 22, S4337=9), N4337-7,AND(N4337&lt;= 28, S4337=9), N4337-25,AND(N4337&lt;= 30, S4337=9), N4337-28,AND(N4337&lt;= 11, S4337=10), N4337+2,AND(N4337&lt;= 21, S4337=10), N4337-11)</f>
        <v>8</v>
      </c>
    </row>
    <row r="4338" spans="1:22" x14ac:dyDescent="0.35">
      <c r="A4338" s="4">
        <v>45584</v>
      </c>
      <c r="B4338" s="5">
        <v>0.13971064814814815</v>
      </c>
      <c r="C4338">
        <v>64.599999999999994</v>
      </c>
      <c r="D4338">
        <v>66</v>
      </c>
      <c r="E4338">
        <v>65.8</v>
      </c>
      <c r="F4338">
        <v>63.7</v>
      </c>
      <c r="G4338">
        <v>0</v>
      </c>
      <c r="H4338">
        <v>0</v>
      </c>
      <c r="I4338">
        <v>0</v>
      </c>
      <c r="J4338">
        <v>0</v>
      </c>
      <c r="K4338">
        <v>60.3</v>
      </c>
      <c r="L4338">
        <v>60.9</v>
      </c>
      <c r="M4338">
        <v>65.069999999999993</v>
      </c>
      <c r="N4338">
        <v>19</v>
      </c>
      <c r="O4338">
        <v>4</v>
      </c>
      <c r="P4338">
        <f>MOD(DAY(datos_siembra[[#This Row],[Date]]),7)</f>
        <v>5</v>
      </c>
      <c r="Q4338" t="str">
        <f>CHOOSE(WEEKDAY(datos_siembra[[#This Row],[Date]],2),"L","M","X","J","V","S","D")</f>
        <v>S</v>
      </c>
      <c r="R4338">
        <f>WEEKNUM(datos_siembra[[#This Row],[Date]],2)-WEEKNUM(DATE(YEAR(datos_siembra[[#This Row],[Date]]),MONTH(datos_siembra[[#This Row],[Date]]),1))+1</f>
        <v>3</v>
      </c>
      <c r="S4338">
        <f>MONTH(datos_siembra[[#This Row],[Date]])</f>
        <v>10</v>
      </c>
      <c r="T4338" t="str" cm="1">
        <f t="array" ref="T4338">_xlfn.IFS(AND(N4338&lt;= 22, S4338=9), "SOWING",AND(N4338&lt;= 28, S4338=9), "COVERAGE",AND(N4338&lt;= 30, S4338=9), "FLUSH",AND(N4338&lt;= 11, S4338=10), "FLUSH",AND(N4338&lt;= 21, S4338=10), "PRODUCTION")</f>
        <v>PRODUCTION</v>
      </c>
      <c r="U4338">
        <f>HOUR(datos_siembra[[#This Row],[Hour]])</f>
        <v>3</v>
      </c>
      <c r="V4338" cm="1">
        <f t="array" ref="V4338">_xlfn.IFS(AND(N4338&lt;= 22, S4338=9), N4338-7,AND(N4338&lt;= 28, S4338=9), N4338-25,AND(N4338&lt;= 30, S4338=9), N4338-28,AND(N4338&lt;= 11, S4338=10), N4338+2,AND(N4338&lt;= 21, S4338=10), N4338-11)</f>
        <v>8</v>
      </c>
    </row>
    <row r="4339" spans="1:22" x14ac:dyDescent="0.35">
      <c r="A4339" s="4">
        <v>45584</v>
      </c>
      <c r="B4339" s="5">
        <v>0.1466550925925926</v>
      </c>
      <c r="C4339">
        <v>64.7</v>
      </c>
      <c r="D4339">
        <v>66</v>
      </c>
      <c r="E4339">
        <v>65.8</v>
      </c>
      <c r="F4339">
        <v>64.099999999999994</v>
      </c>
      <c r="G4339">
        <v>0</v>
      </c>
      <c r="H4339">
        <v>0</v>
      </c>
      <c r="I4339">
        <v>0</v>
      </c>
      <c r="J4339">
        <v>0</v>
      </c>
      <c r="K4339">
        <v>60.5</v>
      </c>
      <c r="L4339">
        <v>60.8</v>
      </c>
      <c r="M4339">
        <v>65.069999999999993</v>
      </c>
      <c r="N4339">
        <v>19</v>
      </c>
      <c r="O4339">
        <v>4</v>
      </c>
      <c r="P4339">
        <f>MOD(DAY(datos_siembra[[#This Row],[Date]]),7)</f>
        <v>5</v>
      </c>
      <c r="Q4339" t="str">
        <f>CHOOSE(WEEKDAY(datos_siembra[[#This Row],[Date]],2),"L","M","X","J","V","S","D")</f>
        <v>S</v>
      </c>
      <c r="R4339">
        <f>WEEKNUM(datos_siembra[[#This Row],[Date]],2)-WEEKNUM(DATE(YEAR(datos_siembra[[#This Row],[Date]]),MONTH(datos_siembra[[#This Row],[Date]]),1))+1</f>
        <v>3</v>
      </c>
      <c r="S4339">
        <f>MONTH(datos_siembra[[#This Row],[Date]])</f>
        <v>10</v>
      </c>
      <c r="T4339" t="str" cm="1">
        <f t="array" ref="T4339">_xlfn.IFS(AND(N4339&lt;= 22, S4339=9), "SOWING",AND(N4339&lt;= 28, S4339=9), "COVERAGE",AND(N4339&lt;= 30, S4339=9), "FLUSH",AND(N4339&lt;= 11, S4339=10), "FLUSH",AND(N4339&lt;= 21, S4339=10), "PRODUCTION")</f>
        <v>PRODUCTION</v>
      </c>
      <c r="U4339">
        <f>HOUR(datos_siembra[[#This Row],[Hour]])</f>
        <v>3</v>
      </c>
      <c r="V4339" cm="1">
        <f t="array" ref="V4339">_xlfn.IFS(AND(N4339&lt;= 22, S4339=9), N4339-7,AND(N4339&lt;= 28, S4339=9), N4339-25,AND(N4339&lt;= 30, S4339=9), N4339-28,AND(N4339&lt;= 11, S4339=10), N4339+2,AND(N4339&lt;= 21, S4339=10), N4339-11)</f>
        <v>8</v>
      </c>
    </row>
    <row r="4340" spans="1:22" x14ac:dyDescent="0.35">
      <c r="A4340" s="4">
        <v>45584</v>
      </c>
      <c r="B4340" s="5">
        <v>0.15359953703703705</v>
      </c>
      <c r="C4340">
        <v>64.599999999999994</v>
      </c>
      <c r="D4340">
        <v>66</v>
      </c>
      <c r="E4340">
        <v>65.8</v>
      </c>
      <c r="F4340">
        <v>63.6</v>
      </c>
      <c r="G4340">
        <v>0</v>
      </c>
      <c r="H4340">
        <v>0</v>
      </c>
      <c r="I4340">
        <v>0</v>
      </c>
      <c r="J4340">
        <v>0</v>
      </c>
      <c r="K4340">
        <v>60.3</v>
      </c>
      <c r="L4340">
        <v>60.9</v>
      </c>
      <c r="M4340">
        <v>65.02</v>
      </c>
      <c r="N4340">
        <v>19</v>
      </c>
      <c r="O4340">
        <v>4</v>
      </c>
      <c r="P4340">
        <f>MOD(DAY(datos_siembra[[#This Row],[Date]]),7)</f>
        <v>5</v>
      </c>
      <c r="Q4340" t="str">
        <f>CHOOSE(WEEKDAY(datos_siembra[[#This Row],[Date]],2),"L","M","X","J","V","S","D")</f>
        <v>S</v>
      </c>
      <c r="R4340">
        <f>WEEKNUM(datos_siembra[[#This Row],[Date]],2)-WEEKNUM(DATE(YEAR(datos_siembra[[#This Row],[Date]]),MONTH(datos_siembra[[#This Row],[Date]]),1))+1</f>
        <v>3</v>
      </c>
      <c r="S4340">
        <f>MONTH(datos_siembra[[#This Row],[Date]])</f>
        <v>10</v>
      </c>
      <c r="T4340" t="str" cm="1">
        <f t="array" ref="T4340">_xlfn.IFS(AND(N4340&lt;= 22, S4340=9), "SOWING",AND(N4340&lt;= 28, S4340=9), "COVERAGE",AND(N4340&lt;= 30, S4340=9), "FLUSH",AND(N4340&lt;= 11, S4340=10), "FLUSH",AND(N4340&lt;= 21, S4340=10), "PRODUCTION")</f>
        <v>PRODUCTION</v>
      </c>
      <c r="U4340">
        <f>HOUR(datos_siembra[[#This Row],[Hour]])</f>
        <v>3</v>
      </c>
      <c r="V4340" cm="1">
        <f t="array" ref="V4340">_xlfn.IFS(AND(N4340&lt;= 22, S4340=9), N4340-7,AND(N4340&lt;= 28, S4340=9), N4340-25,AND(N4340&lt;= 30, S4340=9), N4340-28,AND(N4340&lt;= 11, S4340=10), N4340+2,AND(N4340&lt;= 21, S4340=10), N4340-11)</f>
        <v>8</v>
      </c>
    </row>
    <row r="4341" spans="1:22" x14ac:dyDescent="0.35">
      <c r="A4341" s="4">
        <v>45584</v>
      </c>
      <c r="B4341" s="5">
        <v>0.16054398148148147</v>
      </c>
      <c r="C4341">
        <v>64.599999999999994</v>
      </c>
      <c r="D4341">
        <v>66</v>
      </c>
      <c r="E4341">
        <v>65.8</v>
      </c>
      <c r="F4341">
        <v>63.6</v>
      </c>
      <c r="G4341">
        <v>0</v>
      </c>
      <c r="H4341">
        <v>0</v>
      </c>
      <c r="I4341">
        <v>0</v>
      </c>
      <c r="J4341">
        <v>0</v>
      </c>
      <c r="K4341">
        <v>60.3</v>
      </c>
      <c r="L4341">
        <v>60.9</v>
      </c>
      <c r="M4341">
        <v>64.959999999999994</v>
      </c>
      <c r="N4341">
        <v>19</v>
      </c>
      <c r="O4341">
        <v>4</v>
      </c>
      <c r="P4341">
        <f>MOD(DAY(datos_siembra[[#This Row],[Date]]),7)</f>
        <v>5</v>
      </c>
      <c r="Q4341" t="str">
        <f>CHOOSE(WEEKDAY(datos_siembra[[#This Row],[Date]],2),"L","M","X","J","V","S","D")</f>
        <v>S</v>
      </c>
      <c r="R4341">
        <f>WEEKNUM(datos_siembra[[#This Row],[Date]],2)-WEEKNUM(DATE(YEAR(datos_siembra[[#This Row],[Date]]),MONTH(datos_siembra[[#This Row],[Date]]),1))+1</f>
        <v>3</v>
      </c>
      <c r="S4341">
        <f>MONTH(datos_siembra[[#This Row],[Date]])</f>
        <v>10</v>
      </c>
      <c r="T4341" t="str" cm="1">
        <f t="array" ref="T4341">_xlfn.IFS(AND(N4341&lt;= 22, S4341=9), "SOWING",AND(N4341&lt;= 28, S4341=9), "COVERAGE",AND(N4341&lt;= 30, S4341=9), "FLUSH",AND(N4341&lt;= 11, S4341=10), "FLUSH",AND(N4341&lt;= 21, S4341=10), "PRODUCTION")</f>
        <v>PRODUCTION</v>
      </c>
      <c r="U4341">
        <f>HOUR(datos_siembra[[#This Row],[Hour]])</f>
        <v>3</v>
      </c>
      <c r="V4341" cm="1">
        <f t="array" ref="V4341">_xlfn.IFS(AND(N4341&lt;= 22, S4341=9), N4341-7,AND(N4341&lt;= 28, S4341=9), N4341-25,AND(N4341&lt;= 30, S4341=9), N4341-28,AND(N4341&lt;= 11, S4341=10), N4341+2,AND(N4341&lt;= 21, S4341=10), N4341-11)</f>
        <v>8</v>
      </c>
    </row>
    <row r="4342" spans="1:22" x14ac:dyDescent="0.35">
      <c r="A4342" s="4">
        <v>45584</v>
      </c>
      <c r="B4342" s="5">
        <v>0.16750000000000001</v>
      </c>
      <c r="C4342">
        <v>64.599999999999994</v>
      </c>
      <c r="D4342">
        <v>66.099999999999994</v>
      </c>
      <c r="E4342">
        <v>65.8</v>
      </c>
      <c r="F4342">
        <v>63.7</v>
      </c>
      <c r="G4342">
        <v>0</v>
      </c>
      <c r="H4342">
        <v>0</v>
      </c>
      <c r="I4342">
        <v>0</v>
      </c>
      <c r="J4342">
        <v>0</v>
      </c>
      <c r="K4342">
        <v>60.3</v>
      </c>
      <c r="L4342">
        <v>61</v>
      </c>
      <c r="M4342">
        <v>65.02</v>
      </c>
      <c r="N4342">
        <v>19</v>
      </c>
      <c r="O4342">
        <v>4</v>
      </c>
      <c r="P4342">
        <f>MOD(DAY(datos_siembra[[#This Row],[Date]]),7)</f>
        <v>5</v>
      </c>
      <c r="Q4342" t="str">
        <f>CHOOSE(WEEKDAY(datos_siembra[[#This Row],[Date]],2),"L","M","X","J","V","S","D")</f>
        <v>S</v>
      </c>
      <c r="R4342">
        <f>WEEKNUM(datos_siembra[[#This Row],[Date]],2)-WEEKNUM(DATE(YEAR(datos_siembra[[#This Row],[Date]]),MONTH(datos_siembra[[#This Row],[Date]]),1))+1</f>
        <v>3</v>
      </c>
      <c r="S4342">
        <f>MONTH(datos_siembra[[#This Row],[Date]])</f>
        <v>10</v>
      </c>
      <c r="T4342" t="str" cm="1">
        <f t="array" ref="T4342">_xlfn.IFS(AND(N4342&lt;= 22, S4342=9), "SOWING",AND(N4342&lt;= 28, S4342=9), "COVERAGE",AND(N4342&lt;= 30, S4342=9), "FLUSH",AND(N4342&lt;= 11, S4342=10), "FLUSH",AND(N4342&lt;= 21, S4342=10), "PRODUCTION")</f>
        <v>PRODUCTION</v>
      </c>
      <c r="U4342">
        <f>HOUR(datos_siembra[[#This Row],[Hour]])</f>
        <v>4</v>
      </c>
      <c r="V4342" cm="1">
        <f t="array" ref="V4342">_xlfn.IFS(AND(N4342&lt;= 22, S4342=9), N4342-7,AND(N4342&lt;= 28, S4342=9), N4342-25,AND(N4342&lt;= 30, S4342=9), N4342-28,AND(N4342&lt;= 11, S4342=10), N4342+2,AND(N4342&lt;= 21, S4342=10), N4342-11)</f>
        <v>8</v>
      </c>
    </row>
    <row r="4343" spans="1:22" x14ac:dyDescent="0.35">
      <c r="A4343" s="4">
        <v>45584</v>
      </c>
      <c r="B4343" s="5">
        <v>0.17444444444444446</v>
      </c>
      <c r="C4343">
        <v>64.599999999999994</v>
      </c>
      <c r="D4343">
        <v>66.2</v>
      </c>
      <c r="E4343">
        <v>65.8</v>
      </c>
      <c r="F4343">
        <v>63.6</v>
      </c>
      <c r="G4343">
        <v>0</v>
      </c>
      <c r="H4343">
        <v>0</v>
      </c>
      <c r="I4343">
        <v>0</v>
      </c>
      <c r="J4343">
        <v>0</v>
      </c>
      <c r="K4343">
        <v>60.2</v>
      </c>
      <c r="L4343">
        <v>61</v>
      </c>
      <c r="M4343">
        <v>64.930000000000007</v>
      </c>
      <c r="N4343">
        <v>19</v>
      </c>
      <c r="O4343">
        <v>4</v>
      </c>
      <c r="P4343">
        <f>MOD(DAY(datos_siembra[[#This Row],[Date]]),7)</f>
        <v>5</v>
      </c>
      <c r="Q4343" t="str">
        <f>CHOOSE(WEEKDAY(datos_siembra[[#This Row],[Date]],2),"L","M","X","J","V","S","D")</f>
        <v>S</v>
      </c>
      <c r="R4343">
        <f>WEEKNUM(datos_siembra[[#This Row],[Date]],2)-WEEKNUM(DATE(YEAR(datos_siembra[[#This Row],[Date]]),MONTH(datos_siembra[[#This Row],[Date]]),1))+1</f>
        <v>3</v>
      </c>
      <c r="S4343">
        <f>MONTH(datos_siembra[[#This Row],[Date]])</f>
        <v>10</v>
      </c>
      <c r="T4343" t="str" cm="1">
        <f t="array" ref="T4343">_xlfn.IFS(AND(N4343&lt;= 22, S4343=9), "SOWING",AND(N4343&lt;= 28, S4343=9), "COVERAGE",AND(N4343&lt;= 30, S4343=9), "FLUSH",AND(N4343&lt;= 11, S4343=10), "FLUSH",AND(N4343&lt;= 21, S4343=10), "PRODUCTION")</f>
        <v>PRODUCTION</v>
      </c>
      <c r="U4343">
        <f>HOUR(datos_siembra[[#This Row],[Hour]])</f>
        <v>4</v>
      </c>
      <c r="V4343" cm="1">
        <f t="array" ref="V4343">_xlfn.IFS(AND(N4343&lt;= 22, S4343=9), N4343-7,AND(N4343&lt;= 28, S4343=9), N4343-25,AND(N4343&lt;= 30, S4343=9), N4343-28,AND(N4343&lt;= 11, S4343=10), N4343+2,AND(N4343&lt;= 21, S4343=10), N4343-11)</f>
        <v>8</v>
      </c>
    </row>
    <row r="4344" spans="1:22" x14ac:dyDescent="0.35">
      <c r="A4344" s="4">
        <v>45584</v>
      </c>
      <c r="B4344" s="5">
        <v>0.18138888888888888</v>
      </c>
      <c r="C4344">
        <v>64.599999999999994</v>
      </c>
      <c r="D4344">
        <v>66</v>
      </c>
      <c r="E4344">
        <v>65.8</v>
      </c>
      <c r="F4344">
        <v>63.5</v>
      </c>
      <c r="G4344">
        <v>0</v>
      </c>
      <c r="H4344">
        <v>0</v>
      </c>
      <c r="I4344">
        <v>0</v>
      </c>
      <c r="J4344">
        <v>0</v>
      </c>
      <c r="K4344">
        <v>60.2</v>
      </c>
      <c r="L4344">
        <v>61</v>
      </c>
      <c r="M4344">
        <v>64.930000000000007</v>
      </c>
      <c r="N4344">
        <v>19</v>
      </c>
      <c r="O4344">
        <v>4</v>
      </c>
      <c r="P4344">
        <f>MOD(DAY(datos_siembra[[#This Row],[Date]]),7)</f>
        <v>5</v>
      </c>
      <c r="Q4344" t="str">
        <f>CHOOSE(WEEKDAY(datos_siembra[[#This Row],[Date]],2),"L","M","X","J","V","S","D")</f>
        <v>S</v>
      </c>
      <c r="R4344">
        <f>WEEKNUM(datos_siembra[[#This Row],[Date]],2)-WEEKNUM(DATE(YEAR(datos_siembra[[#This Row],[Date]]),MONTH(datos_siembra[[#This Row],[Date]]),1))+1</f>
        <v>3</v>
      </c>
      <c r="S4344">
        <f>MONTH(datos_siembra[[#This Row],[Date]])</f>
        <v>10</v>
      </c>
      <c r="T4344" t="str" cm="1">
        <f t="array" ref="T4344">_xlfn.IFS(AND(N4344&lt;= 22, S4344=9), "SOWING",AND(N4344&lt;= 28, S4344=9), "COVERAGE",AND(N4344&lt;= 30, S4344=9), "FLUSH",AND(N4344&lt;= 11, S4344=10), "FLUSH",AND(N4344&lt;= 21, S4344=10), "PRODUCTION")</f>
        <v>PRODUCTION</v>
      </c>
      <c r="U4344">
        <f>HOUR(datos_siembra[[#This Row],[Hour]])</f>
        <v>4</v>
      </c>
      <c r="V4344" cm="1">
        <f t="array" ref="V4344">_xlfn.IFS(AND(N4344&lt;= 22, S4344=9), N4344-7,AND(N4344&lt;= 28, S4344=9), N4344-25,AND(N4344&lt;= 30, S4344=9), N4344-28,AND(N4344&lt;= 11, S4344=10), N4344+2,AND(N4344&lt;= 21, S4344=10), N4344-11)</f>
        <v>8</v>
      </c>
    </row>
    <row r="4345" spans="1:22" x14ac:dyDescent="0.35">
      <c r="A4345" s="4">
        <v>45584</v>
      </c>
      <c r="B4345" s="5">
        <v>0.18834490740740742</v>
      </c>
      <c r="C4345">
        <v>64.5</v>
      </c>
      <c r="D4345">
        <v>66</v>
      </c>
      <c r="E4345">
        <v>65.599999999999994</v>
      </c>
      <c r="F4345">
        <v>63.4</v>
      </c>
      <c r="G4345">
        <v>0</v>
      </c>
      <c r="H4345">
        <v>0</v>
      </c>
      <c r="I4345">
        <v>0</v>
      </c>
      <c r="J4345">
        <v>0</v>
      </c>
      <c r="K4345">
        <v>60.3</v>
      </c>
      <c r="L4345">
        <v>61.1</v>
      </c>
      <c r="M4345">
        <v>64.989999999999995</v>
      </c>
      <c r="N4345">
        <v>19</v>
      </c>
      <c r="O4345">
        <v>4</v>
      </c>
      <c r="P4345">
        <f>MOD(DAY(datos_siembra[[#This Row],[Date]]),7)</f>
        <v>5</v>
      </c>
      <c r="Q4345" t="str">
        <f>CHOOSE(WEEKDAY(datos_siembra[[#This Row],[Date]],2),"L","M","X","J","V","S","D")</f>
        <v>S</v>
      </c>
      <c r="R4345">
        <f>WEEKNUM(datos_siembra[[#This Row],[Date]],2)-WEEKNUM(DATE(YEAR(datos_siembra[[#This Row],[Date]]),MONTH(datos_siembra[[#This Row],[Date]]),1))+1</f>
        <v>3</v>
      </c>
      <c r="S4345">
        <f>MONTH(datos_siembra[[#This Row],[Date]])</f>
        <v>10</v>
      </c>
      <c r="T4345" t="str" cm="1">
        <f t="array" ref="T4345">_xlfn.IFS(AND(N4345&lt;= 22, S4345=9), "SOWING",AND(N4345&lt;= 28, S4345=9), "COVERAGE",AND(N4345&lt;= 30, S4345=9), "FLUSH",AND(N4345&lt;= 11, S4345=10), "FLUSH",AND(N4345&lt;= 21, S4345=10), "PRODUCTION")</f>
        <v>PRODUCTION</v>
      </c>
      <c r="U4345">
        <f>HOUR(datos_siembra[[#This Row],[Hour]])</f>
        <v>4</v>
      </c>
      <c r="V4345" cm="1">
        <f t="array" ref="V4345">_xlfn.IFS(AND(N4345&lt;= 22, S4345=9), N4345-7,AND(N4345&lt;= 28, S4345=9), N4345-25,AND(N4345&lt;= 30, S4345=9), N4345-28,AND(N4345&lt;= 11, S4345=10), N4345+2,AND(N4345&lt;= 21, S4345=10), N4345-11)</f>
        <v>8</v>
      </c>
    </row>
    <row r="4346" spans="1:22" x14ac:dyDescent="0.35">
      <c r="A4346" s="4">
        <v>45584</v>
      </c>
      <c r="B4346" s="5">
        <v>0.19528935185185184</v>
      </c>
      <c r="C4346">
        <v>64.5</v>
      </c>
      <c r="D4346">
        <v>66.2</v>
      </c>
      <c r="E4346">
        <v>65.8</v>
      </c>
      <c r="F4346">
        <v>63.5</v>
      </c>
      <c r="G4346">
        <v>0</v>
      </c>
      <c r="H4346">
        <v>0</v>
      </c>
      <c r="I4346">
        <v>0</v>
      </c>
      <c r="J4346">
        <v>0</v>
      </c>
      <c r="K4346">
        <v>60.3</v>
      </c>
      <c r="L4346">
        <v>61</v>
      </c>
      <c r="M4346">
        <v>64.91</v>
      </c>
      <c r="N4346">
        <v>19</v>
      </c>
      <c r="O4346">
        <v>4</v>
      </c>
      <c r="P4346">
        <f>MOD(DAY(datos_siembra[[#This Row],[Date]]),7)</f>
        <v>5</v>
      </c>
      <c r="Q4346" t="str">
        <f>CHOOSE(WEEKDAY(datos_siembra[[#This Row],[Date]],2),"L","M","X","J","V","S","D")</f>
        <v>S</v>
      </c>
      <c r="R4346">
        <f>WEEKNUM(datos_siembra[[#This Row],[Date]],2)-WEEKNUM(DATE(YEAR(datos_siembra[[#This Row],[Date]]),MONTH(datos_siembra[[#This Row],[Date]]),1))+1</f>
        <v>3</v>
      </c>
      <c r="S4346">
        <f>MONTH(datos_siembra[[#This Row],[Date]])</f>
        <v>10</v>
      </c>
      <c r="T4346" t="str" cm="1">
        <f t="array" ref="T4346">_xlfn.IFS(AND(N4346&lt;= 22, S4346=9), "SOWING",AND(N4346&lt;= 28, S4346=9), "COVERAGE",AND(N4346&lt;= 30, S4346=9), "FLUSH",AND(N4346&lt;= 11, S4346=10), "FLUSH",AND(N4346&lt;= 21, S4346=10), "PRODUCTION")</f>
        <v>PRODUCTION</v>
      </c>
      <c r="U4346">
        <f>HOUR(datos_siembra[[#This Row],[Hour]])</f>
        <v>4</v>
      </c>
      <c r="V4346" cm="1">
        <f t="array" ref="V4346">_xlfn.IFS(AND(N4346&lt;= 22, S4346=9), N4346-7,AND(N4346&lt;= 28, S4346=9), N4346-25,AND(N4346&lt;= 30, S4346=9), N4346-28,AND(N4346&lt;= 11, S4346=10), N4346+2,AND(N4346&lt;= 21, S4346=10), N4346-11)</f>
        <v>8</v>
      </c>
    </row>
    <row r="4347" spans="1:22" x14ac:dyDescent="0.35">
      <c r="A4347" s="4">
        <v>45584</v>
      </c>
      <c r="B4347" s="5">
        <v>0.20223379629629629</v>
      </c>
      <c r="C4347">
        <v>64.5</v>
      </c>
      <c r="D4347">
        <v>66.099999999999994</v>
      </c>
      <c r="E4347">
        <v>65.8</v>
      </c>
      <c r="F4347">
        <v>63.5</v>
      </c>
      <c r="G4347">
        <v>0</v>
      </c>
      <c r="H4347">
        <v>0</v>
      </c>
      <c r="I4347">
        <v>0</v>
      </c>
      <c r="J4347">
        <v>0</v>
      </c>
      <c r="K4347">
        <v>60.2</v>
      </c>
      <c r="L4347">
        <v>61.1</v>
      </c>
      <c r="M4347">
        <v>64.91</v>
      </c>
      <c r="N4347">
        <v>19</v>
      </c>
      <c r="O4347">
        <v>4</v>
      </c>
      <c r="P4347">
        <f>MOD(DAY(datos_siembra[[#This Row],[Date]]),7)</f>
        <v>5</v>
      </c>
      <c r="Q4347" t="str">
        <f>CHOOSE(WEEKDAY(datos_siembra[[#This Row],[Date]],2),"L","M","X","J","V","S","D")</f>
        <v>S</v>
      </c>
      <c r="R4347">
        <f>WEEKNUM(datos_siembra[[#This Row],[Date]],2)-WEEKNUM(DATE(YEAR(datos_siembra[[#This Row],[Date]]),MONTH(datos_siembra[[#This Row],[Date]]),1))+1</f>
        <v>3</v>
      </c>
      <c r="S4347">
        <f>MONTH(datos_siembra[[#This Row],[Date]])</f>
        <v>10</v>
      </c>
      <c r="T4347" t="str" cm="1">
        <f t="array" ref="T4347">_xlfn.IFS(AND(N4347&lt;= 22, S4347=9), "SOWING",AND(N4347&lt;= 28, S4347=9), "COVERAGE",AND(N4347&lt;= 30, S4347=9), "FLUSH",AND(N4347&lt;= 11, S4347=10), "FLUSH",AND(N4347&lt;= 21, S4347=10), "PRODUCTION")</f>
        <v>PRODUCTION</v>
      </c>
      <c r="U4347">
        <f>HOUR(datos_siembra[[#This Row],[Hour]])</f>
        <v>4</v>
      </c>
      <c r="V4347" cm="1">
        <f t="array" ref="V4347">_xlfn.IFS(AND(N4347&lt;= 22, S4347=9), N4347-7,AND(N4347&lt;= 28, S4347=9), N4347-25,AND(N4347&lt;= 30, S4347=9), N4347-28,AND(N4347&lt;= 11, S4347=10), N4347+2,AND(N4347&lt;= 21, S4347=10), N4347-11)</f>
        <v>8</v>
      </c>
    </row>
    <row r="4348" spans="1:22" x14ac:dyDescent="0.35">
      <c r="A4348" s="4">
        <v>45584</v>
      </c>
      <c r="B4348" s="5">
        <v>0.20917824074074073</v>
      </c>
      <c r="C4348">
        <v>64.5</v>
      </c>
      <c r="D4348">
        <v>66.099999999999994</v>
      </c>
      <c r="E4348">
        <v>65.599999999999994</v>
      </c>
      <c r="F4348">
        <v>63.5</v>
      </c>
      <c r="G4348">
        <v>0</v>
      </c>
      <c r="H4348">
        <v>0</v>
      </c>
      <c r="I4348">
        <v>0</v>
      </c>
      <c r="J4348">
        <v>0</v>
      </c>
      <c r="K4348">
        <v>60.3</v>
      </c>
      <c r="L4348">
        <v>61.1</v>
      </c>
      <c r="M4348">
        <v>64.819999999999993</v>
      </c>
      <c r="N4348">
        <v>19</v>
      </c>
      <c r="O4348">
        <v>4</v>
      </c>
      <c r="P4348">
        <f>MOD(DAY(datos_siembra[[#This Row],[Date]]),7)</f>
        <v>5</v>
      </c>
      <c r="Q4348" t="str">
        <f>CHOOSE(WEEKDAY(datos_siembra[[#This Row],[Date]],2),"L","M","X","J","V","S","D")</f>
        <v>S</v>
      </c>
      <c r="R4348">
        <f>WEEKNUM(datos_siembra[[#This Row],[Date]],2)-WEEKNUM(DATE(YEAR(datos_siembra[[#This Row],[Date]]),MONTH(datos_siembra[[#This Row],[Date]]),1))+1</f>
        <v>3</v>
      </c>
      <c r="S4348">
        <f>MONTH(datos_siembra[[#This Row],[Date]])</f>
        <v>10</v>
      </c>
      <c r="T4348" t="str" cm="1">
        <f t="array" ref="T4348">_xlfn.IFS(AND(N4348&lt;= 22, S4348=9), "SOWING",AND(N4348&lt;= 28, S4348=9), "COVERAGE",AND(N4348&lt;= 30, S4348=9), "FLUSH",AND(N4348&lt;= 11, S4348=10), "FLUSH",AND(N4348&lt;= 21, S4348=10), "PRODUCTION")</f>
        <v>PRODUCTION</v>
      </c>
      <c r="U4348">
        <f>HOUR(datos_siembra[[#This Row],[Hour]])</f>
        <v>5</v>
      </c>
      <c r="V4348" cm="1">
        <f t="array" ref="V4348">_xlfn.IFS(AND(N4348&lt;= 22, S4348=9), N4348-7,AND(N4348&lt;= 28, S4348=9), N4348-25,AND(N4348&lt;= 30, S4348=9), N4348-28,AND(N4348&lt;= 11, S4348=10), N4348+2,AND(N4348&lt;= 21, S4348=10), N4348-11)</f>
        <v>8</v>
      </c>
    </row>
    <row r="4349" spans="1:22" x14ac:dyDescent="0.35">
      <c r="A4349" s="4">
        <v>45584</v>
      </c>
      <c r="B4349" s="5">
        <v>0.21613425925925925</v>
      </c>
      <c r="C4349">
        <v>64.5</v>
      </c>
      <c r="D4349">
        <v>66.099999999999994</v>
      </c>
      <c r="E4349">
        <v>65.8</v>
      </c>
      <c r="F4349">
        <v>63.5</v>
      </c>
      <c r="G4349">
        <v>0</v>
      </c>
      <c r="H4349">
        <v>0</v>
      </c>
      <c r="I4349">
        <v>0</v>
      </c>
      <c r="J4349">
        <v>0</v>
      </c>
      <c r="K4349">
        <v>60.2</v>
      </c>
      <c r="L4349">
        <v>60.8</v>
      </c>
      <c r="M4349">
        <v>64.91</v>
      </c>
      <c r="N4349">
        <v>19</v>
      </c>
      <c r="O4349">
        <v>4</v>
      </c>
      <c r="P4349">
        <f>MOD(DAY(datos_siembra[[#This Row],[Date]]),7)</f>
        <v>5</v>
      </c>
      <c r="Q4349" t="str">
        <f>CHOOSE(WEEKDAY(datos_siembra[[#This Row],[Date]],2),"L","M","X","J","V","S","D")</f>
        <v>S</v>
      </c>
      <c r="R4349">
        <f>WEEKNUM(datos_siembra[[#This Row],[Date]],2)-WEEKNUM(DATE(YEAR(datos_siembra[[#This Row],[Date]]),MONTH(datos_siembra[[#This Row],[Date]]),1))+1</f>
        <v>3</v>
      </c>
      <c r="S4349">
        <f>MONTH(datos_siembra[[#This Row],[Date]])</f>
        <v>10</v>
      </c>
      <c r="T4349" t="str" cm="1">
        <f t="array" ref="T4349">_xlfn.IFS(AND(N4349&lt;= 22, S4349=9), "SOWING",AND(N4349&lt;= 28, S4349=9), "COVERAGE",AND(N4349&lt;= 30, S4349=9), "FLUSH",AND(N4349&lt;= 11, S4349=10), "FLUSH",AND(N4349&lt;= 21, S4349=10), "PRODUCTION")</f>
        <v>PRODUCTION</v>
      </c>
      <c r="U4349">
        <f>HOUR(datos_siembra[[#This Row],[Hour]])</f>
        <v>5</v>
      </c>
      <c r="V4349" cm="1">
        <f t="array" ref="V4349">_xlfn.IFS(AND(N4349&lt;= 22, S4349=9), N4349-7,AND(N4349&lt;= 28, S4349=9), N4349-25,AND(N4349&lt;= 30, S4349=9), N4349-28,AND(N4349&lt;= 11, S4349=10), N4349+2,AND(N4349&lt;= 21, S4349=10), N4349-11)</f>
        <v>8</v>
      </c>
    </row>
    <row r="4350" spans="1:22" x14ac:dyDescent="0.35">
      <c r="A4350" s="4">
        <v>45584</v>
      </c>
      <c r="B4350" s="5">
        <v>0.2230787037037037</v>
      </c>
      <c r="C4350">
        <v>64.3</v>
      </c>
      <c r="D4350">
        <v>66</v>
      </c>
      <c r="E4350">
        <v>65.5</v>
      </c>
      <c r="F4350">
        <v>63.3</v>
      </c>
      <c r="G4350">
        <v>0</v>
      </c>
      <c r="H4350">
        <v>0</v>
      </c>
      <c r="I4350">
        <v>0</v>
      </c>
      <c r="J4350">
        <v>0</v>
      </c>
      <c r="K4350">
        <v>60.2</v>
      </c>
      <c r="L4350">
        <v>60.9</v>
      </c>
      <c r="M4350">
        <v>64.77</v>
      </c>
      <c r="N4350">
        <v>19</v>
      </c>
      <c r="O4350">
        <v>4</v>
      </c>
      <c r="P4350">
        <f>MOD(DAY(datos_siembra[[#This Row],[Date]]),7)</f>
        <v>5</v>
      </c>
      <c r="Q4350" t="str">
        <f>CHOOSE(WEEKDAY(datos_siembra[[#This Row],[Date]],2),"L","M","X","J","V","S","D")</f>
        <v>S</v>
      </c>
      <c r="R4350">
        <f>WEEKNUM(datos_siembra[[#This Row],[Date]],2)-WEEKNUM(DATE(YEAR(datos_siembra[[#This Row],[Date]]),MONTH(datos_siembra[[#This Row],[Date]]),1))+1</f>
        <v>3</v>
      </c>
      <c r="S4350">
        <f>MONTH(datos_siembra[[#This Row],[Date]])</f>
        <v>10</v>
      </c>
      <c r="T4350" t="str" cm="1">
        <f t="array" ref="T4350">_xlfn.IFS(AND(N4350&lt;= 22, S4350=9), "SOWING",AND(N4350&lt;= 28, S4350=9), "COVERAGE",AND(N4350&lt;= 30, S4350=9), "FLUSH",AND(N4350&lt;= 11, S4350=10), "FLUSH",AND(N4350&lt;= 21, S4350=10), "PRODUCTION")</f>
        <v>PRODUCTION</v>
      </c>
      <c r="U4350">
        <f>HOUR(datos_siembra[[#This Row],[Hour]])</f>
        <v>5</v>
      </c>
      <c r="V4350" cm="1">
        <f t="array" ref="V4350">_xlfn.IFS(AND(N4350&lt;= 22, S4350=9), N4350-7,AND(N4350&lt;= 28, S4350=9), N4350-25,AND(N4350&lt;= 30, S4350=9), N4350-28,AND(N4350&lt;= 11, S4350=10), N4350+2,AND(N4350&lt;= 21, S4350=10), N4350-11)</f>
        <v>8</v>
      </c>
    </row>
    <row r="4351" spans="1:22" x14ac:dyDescent="0.35">
      <c r="A4351" s="4">
        <v>45584</v>
      </c>
      <c r="B4351" s="5">
        <v>0.23002314814814814</v>
      </c>
      <c r="C4351">
        <v>64.5</v>
      </c>
      <c r="D4351">
        <v>66</v>
      </c>
      <c r="E4351">
        <v>65.5</v>
      </c>
      <c r="F4351">
        <v>63.4</v>
      </c>
      <c r="G4351">
        <v>0</v>
      </c>
      <c r="H4351">
        <v>0</v>
      </c>
      <c r="I4351">
        <v>0</v>
      </c>
      <c r="J4351">
        <v>0</v>
      </c>
      <c r="K4351">
        <v>60.1</v>
      </c>
      <c r="L4351">
        <v>60.9</v>
      </c>
      <c r="M4351">
        <v>64.849999999999994</v>
      </c>
      <c r="N4351">
        <v>19</v>
      </c>
      <c r="O4351">
        <v>4</v>
      </c>
      <c r="P4351">
        <f>MOD(DAY(datos_siembra[[#This Row],[Date]]),7)</f>
        <v>5</v>
      </c>
      <c r="Q4351" t="str">
        <f>CHOOSE(WEEKDAY(datos_siembra[[#This Row],[Date]],2),"L","M","X","J","V","S","D")</f>
        <v>S</v>
      </c>
      <c r="R4351">
        <f>WEEKNUM(datos_siembra[[#This Row],[Date]],2)-WEEKNUM(DATE(YEAR(datos_siembra[[#This Row],[Date]]),MONTH(datos_siembra[[#This Row],[Date]]),1))+1</f>
        <v>3</v>
      </c>
      <c r="S4351">
        <f>MONTH(datos_siembra[[#This Row],[Date]])</f>
        <v>10</v>
      </c>
      <c r="T4351" t="str" cm="1">
        <f t="array" ref="T4351">_xlfn.IFS(AND(N4351&lt;= 22, S4351=9), "SOWING",AND(N4351&lt;= 28, S4351=9), "COVERAGE",AND(N4351&lt;= 30, S4351=9), "FLUSH",AND(N4351&lt;= 11, S4351=10), "FLUSH",AND(N4351&lt;= 21, S4351=10), "PRODUCTION")</f>
        <v>PRODUCTION</v>
      </c>
      <c r="U4351">
        <f>HOUR(datos_siembra[[#This Row],[Hour]])</f>
        <v>5</v>
      </c>
      <c r="V4351" cm="1">
        <f t="array" ref="V4351">_xlfn.IFS(AND(N4351&lt;= 22, S4351=9), N4351-7,AND(N4351&lt;= 28, S4351=9), N4351-25,AND(N4351&lt;= 30, S4351=9), N4351-28,AND(N4351&lt;= 11, S4351=10), N4351+2,AND(N4351&lt;= 21, S4351=10), N4351-11)</f>
        <v>8</v>
      </c>
    </row>
    <row r="4352" spans="1:22" x14ac:dyDescent="0.35">
      <c r="A4352" s="4">
        <v>45584</v>
      </c>
      <c r="B4352" s="5">
        <v>0.23696759259259259</v>
      </c>
      <c r="C4352">
        <v>64.400000000000006</v>
      </c>
      <c r="D4352">
        <v>66</v>
      </c>
      <c r="E4352">
        <v>65.599999999999994</v>
      </c>
      <c r="F4352">
        <v>63.4</v>
      </c>
      <c r="G4352">
        <v>0</v>
      </c>
      <c r="H4352">
        <v>0</v>
      </c>
      <c r="I4352">
        <v>0</v>
      </c>
      <c r="J4352">
        <v>0</v>
      </c>
      <c r="K4352">
        <v>60.1</v>
      </c>
      <c r="L4352">
        <v>60.9</v>
      </c>
      <c r="M4352">
        <v>64.849999999999994</v>
      </c>
      <c r="N4352">
        <v>19</v>
      </c>
      <c r="O4352">
        <v>4</v>
      </c>
      <c r="P4352">
        <f>MOD(DAY(datos_siembra[[#This Row],[Date]]),7)</f>
        <v>5</v>
      </c>
      <c r="Q4352" t="str">
        <f>CHOOSE(WEEKDAY(datos_siembra[[#This Row],[Date]],2),"L","M","X","J","V","S","D")</f>
        <v>S</v>
      </c>
      <c r="R4352">
        <f>WEEKNUM(datos_siembra[[#This Row],[Date]],2)-WEEKNUM(DATE(YEAR(datos_siembra[[#This Row],[Date]]),MONTH(datos_siembra[[#This Row],[Date]]),1))+1</f>
        <v>3</v>
      </c>
      <c r="S4352">
        <f>MONTH(datos_siembra[[#This Row],[Date]])</f>
        <v>10</v>
      </c>
      <c r="T4352" t="str" cm="1">
        <f t="array" ref="T4352">_xlfn.IFS(AND(N4352&lt;= 22, S4352=9), "SOWING",AND(N4352&lt;= 28, S4352=9), "COVERAGE",AND(N4352&lt;= 30, S4352=9), "FLUSH",AND(N4352&lt;= 11, S4352=10), "FLUSH",AND(N4352&lt;= 21, S4352=10), "PRODUCTION")</f>
        <v>PRODUCTION</v>
      </c>
      <c r="U4352">
        <f>HOUR(datos_siembra[[#This Row],[Hour]])</f>
        <v>5</v>
      </c>
      <c r="V4352" cm="1">
        <f t="array" ref="V4352">_xlfn.IFS(AND(N4352&lt;= 22, S4352=9), N4352-7,AND(N4352&lt;= 28, S4352=9), N4352-25,AND(N4352&lt;= 30, S4352=9), N4352-28,AND(N4352&lt;= 11, S4352=10), N4352+2,AND(N4352&lt;= 21, S4352=10), N4352-11)</f>
        <v>8</v>
      </c>
    </row>
    <row r="4353" spans="1:22" x14ac:dyDescent="0.35">
      <c r="A4353" s="4">
        <v>45584</v>
      </c>
      <c r="B4353" s="5">
        <v>0.2439236111111111</v>
      </c>
      <c r="C4353">
        <v>64.3</v>
      </c>
      <c r="D4353">
        <v>66.099999999999994</v>
      </c>
      <c r="E4353">
        <v>65.5</v>
      </c>
      <c r="F4353">
        <v>63.3</v>
      </c>
      <c r="G4353">
        <v>0</v>
      </c>
      <c r="H4353">
        <v>0</v>
      </c>
      <c r="I4353">
        <v>0</v>
      </c>
      <c r="J4353">
        <v>0</v>
      </c>
      <c r="K4353">
        <v>60.2</v>
      </c>
      <c r="L4353">
        <v>60.7</v>
      </c>
      <c r="M4353">
        <v>64.88</v>
      </c>
      <c r="N4353">
        <v>19</v>
      </c>
      <c r="O4353">
        <v>4</v>
      </c>
      <c r="P4353">
        <f>MOD(DAY(datos_siembra[[#This Row],[Date]]),7)</f>
        <v>5</v>
      </c>
      <c r="Q4353" t="str">
        <f>CHOOSE(WEEKDAY(datos_siembra[[#This Row],[Date]],2),"L","M","X","J","V","S","D")</f>
        <v>S</v>
      </c>
      <c r="R4353">
        <f>WEEKNUM(datos_siembra[[#This Row],[Date]],2)-WEEKNUM(DATE(YEAR(datos_siembra[[#This Row],[Date]]),MONTH(datos_siembra[[#This Row],[Date]]),1))+1</f>
        <v>3</v>
      </c>
      <c r="S4353">
        <f>MONTH(datos_siembra[[#This Row],[Date]])</f>
        <v>10</v>
      </c>
      <c r="T4353" t="str" cm="1">
        <f t="array" ref="T4353">_xlfn.IFS(AND(N4353&lt;= 22, S4353=9), "SOWING",AND(N4353&lt;= 28, S4353=9), "COVERAGE",AND(N4353&lt;= 30, S4353=9), "FLUSH",AND(N4353&lt;= 11, S4353=10), "FLUSH",AND(N4353&lt;= 21, S4353=10), "PRODUCTION")</f>
        <v>PRODUCTION</v>
      </c>
      <c r="U4353">
        <f>HOUR(datos_siembra[[#This Row],[Hour]])</f>
        <v>5</v>
      </c>
      <c r="V4353" cm="1">
        <f t="array" ref="V4353">_xlfn.IFS(AND(N4353&lt;= 22, S4353=9), N4353-7,AND(N4353&lt;= 28, S4353=9), N4353-25,AND(N4353&lt;= 30, S4353=9), N4353-28,AND(N4353&lt;= 11, S4353=10), N4353+2,AND(N4353&lt;= 21, S4353=10), N4353-11)</f>
        <v>8</v>
      </c>
    </row>
    <row r="4354" spans="1:22" x14ac:dyDescent="0.35">
      <c r="A4354" s="4">
        <v>45584</v>
      </c>
      <c r="B4354" s="5">
        <v>0.25086805555555558</v>
      </c>
      <c r="C4354">
        <v>64.5</v>
      </c>
      <c r="D4354">
        <v>66.099999999999994</v>
      </c>
      <c r="E4354">
        <v>65.599999999999994</v>
      </c>
      <c r="F4354">
        <v>63.5</v>
      </c>
      <c r="G4354">
        <v>0</v>
      </c>
      <c r="H4354">
        <v>0</v>
      </c>
      <c r="I4354">
        <v>0</v>
      </c>
      <c r="J4354">
        <v>0</v>
      </c>
      <c r="K4354">
        <v>60.1</v>
      </c>
      <c r="L4354">
        <v>61</v>
      </c>
      <c r="M4354">
        <v>64.819999999999993</v>
      </c>
      <c r="N4354">
        <v>19</v>
      </c>
      <c r="O4354">
        <v>4</v>
      </c>
      <c r="P4354">
        <f>MOD(DAY(datos_siembra[[#This Row],[Date]]),7)</f>
        <v>5</v>
      </c>
      <c r="Q4354" t="str">
        <f>CHOOSE(WEEKDAY(datos_siembra[[#This Row],[Date]],2),"L","M","X","J","V","S","D")</f>
        <v>S</v>
      </c>
      <c r="R4354">
        <f>WEEKNUM(datos_siembra[[#This Row],[Date]],2)-WEEKNUM(DATE(YEAR(datos_siembra[[#This Row],[Date]]),MONTH(datos_siembra[[#This Row],[Date]]),1))+1</f>
        <v>3</v>
      </c>
      <c r="S4354">
        <f>MONTH(datos_siembra[[#This Row],[Date]])</f>
        <v>10</v>
      </c>
      <c r="T4354" t="str" cm="1">
        <f t="array" ref="T4354">_xlfn.IFS(AND(N4354&lt;= 22, S4354=9), "SOWING",AND(N4354&lt;= 28, S4354=9), "COVERAGE",AND(N4354&lt;= 30, S4354=9), "FLUSH",AND(N4354&lt;= 11, S4354=10), "FLUSH",AND(N4354&lt;= 21, S4354=10), "PRODUCTION")</f>
        <v>PRODUCTION</v>
      </c>
      <c r="U4354">
        <f>HOUR(datos_siembra[[#This Row],[Hour]])</f>
        <v>6</v>
      </c>
      <c r="V4354" cm="1">
        <f t="array" ref="V4354">_xlfn.IFS(AND(N4354&lt;= 22, S4354=9), N4354-7,AND(N4354&lt;= 28, S4354=9), N4354-25,AND(N4354&lt;= 30, S4354=9), N4354-28,AND(N4354&lt;= 11, S4354=10), N4354+2,AND(N4354&lt;= 21, S4354=10), N4354-11)</f>
        <v>8</v>
      </c>
    </row>
    <row r="4355" spans="1:22" x14ac:dyDescent="0.35">
      <c r="A4355" s="4">
        <v>45584</v>
      </c>
      <c r="B4355" s="5">
        <v>0.2578125</v>
      </c>
      <c r="C4355">
        <v>64.5</v>
      </c>
      <c r="D4355">
        <v>66</v>
      </c>
      <c r="E4355">
        <v>65.599999999999994</v>
      </c>
      <c r="F4355">
        <v>63.3</v>
      </c>
      <c r="G4355">
        <v>0</v>
      </c>
      <c r="H4355">
        <v>0</v>
      </c>
      <c r="I4355">
        <v>0</v>
      </c>
      <c r="J4355">
        <v>0</v>
      </c>
      <c r="K4355">
        <v>60</v>
      </c>
      <c r="L4355">
        <v>61.1</v>
      </c>
      <c r="M4355">
        <v>64.819999999999993</v>
      </c>
      <c r="N4355">
        <v>19</v>
      </c>
      <c r="O4355">
        <v>4</v>
      </c>
      <c r="P4355">
        <f>MOD(DAY(datos_siembra[[#This Row],[Date]]),7)</f>
        <v>5</v>
      </c>
      <c r="Q4355" t="str">
        <f>CHOOSE(WEEKDAY(datos_siembra[[#This Row],[Date]],2),"L","M","X","J","V","S","D")</f>
        <v>S</v>
      </c>
      <c r="R4355">
        <f>WEEKNUM(datos_siembra[[#This Row],[Date]],2)-WEEKNUM(DATE(YEAR(datos_siembra[[#This Row],[Date]]),MONTH(datos_siembra[[#This Row],[Date]]),1))+1</f>
        <v>3</v>
      </c>
      <c r="S4355">
        <f>MONTH(datos_siembra[[#This Row],[Date]])</f>
        <v>10</v>
      </c>
      <c r="T4355" t="str" cm="1">
        <f t="array" ref="T4355">_xlfn.IFS(AND(N4355&lt;= 22, S4355=9), "SOWING",AND(N4355&lt;= 28, S4355=9), "COVERAGE",AND(N4355&lt;= 30, S4355=9), "FLUSH",AND(N4355&lt;= 11, S4355=10), "FLUSH",AND(N4355&lt;= 21, S4355=10), "PRODUCTION")</f>
        <v>PRODUCTION</v>
      </c>
      <c r="U4355">
        <f>HOUR(datos_siembra[[#This Row],[Hour]])</f>
        <v>6</v>
      </c>
      <c r="V4355" cm="1">
        <f t="array" ref="V4355">_xlfn.IFS(AND(N4355&lt;= 22, S4355=9), N4355-7,AND(N4355&lt;= 28, S4355=9), N4355-25,AND(N4355&lt;= 30, S4355=9), N4355-28,AND(N4355&lt;= 11, S4355=10), N4355+2,AND(N4355&lt;= 21, S4355=10), N4355-11)</f>
        <v>8</v>
      </c>
    </row>
    <row r="4356" spans="1:22" x14ac:dyDescent="0.35">
      <c r="A4356" s="4">
        <v>45584</v>
      </c>
      <c r="B4356" s="5">
        <v>0.26475694444444442</v>
      </c>
      <c r="C4356">
        <v>64.5</v>
      </c>
      <c r="D4356">
        <v>66.099999999999994</v>
      </c>
      <c r="E4356">
        <v>65.5</v>
      </c>
      <c r="F4356">
        <v>63.2</v>
      </c>
      <c r="G4356">
        <v>0</v>
      </c>
      <c r="H4356">
        <v>0</v>
      </c>
      <c r="I4356">
        <v>0</v>
      </c>
      <c r="J4356">
        <v>0</v>
      </c>
      <c r="K4356">
        <v>60.1</v>
      </c>
      <c r="L4356">
        <v>60.9</v>
      </c>
      <c r="M4356">
        <v>64.790000000000006</v>
      </c>
      <c r="N4356">
        <v>19</v>
      </c>
      <c r="O4356">
        <v>4</v>
      </c>
      <c r="P4356">
        <f>MOD(DAY(datos_siembra[[#This Row],[Date]]),7)</f>
        <v>5</v>
      </c>
      <c r="Q4356" t="str">
        <f>CHOOSE(WEEKDAY(datos_siembra[[#This Row],[Date]],2),"L","M","X","J","V","S","D")</f>
        <v>S</v>
      </c>
      <c r="R4356">
        <f>WEEKNUM(datos_siembra[[#This Row],[Date]],2)-WEEKNUM(DATE(YEAR(datos_siembra[[#This Row],[Date]]),MONTH(datos_siembra[[#This Row],[Date]]),1))+1</f>
        <v>3</v>
      </c>
      <c r="S4356">
        <f>MONTH(datos_siembra[[#This Row],[Date]])</f>
        <v>10</v>
      </c>
      <c r="T4356" t="str" cm="1">
        <f t="array" ref="T4356">_xlfn.IFS(AND(N4356&lt;= 22, S4356=9), "SOWING",AND(N4356&lt;= 28, S4356=9), "COVERAGE",AND(N4356&lt;= 30, S4356=9), "FLUSH",AND(N4356&lt;= 11, S4356=10), "FLUSH",AND(N4356&lt;= 21, S4356=10), "PRODUCTION")</f>
        <v>PRODUCTION</v>
      </c>
      <c r="U4356">
        <f>HOUR(datos_siembra[[#This Row],[Hour]])</f>
        <v>6</v>
      </c>
      <c r="V4356" cm="1">
        <f t="array" ref="V4356">_xlfn.IFS(AND(N4356&lt;= 22, S4356=9), N4356-7,AND(N4356&lt;= 28, S4356=9), N4356-25,AND(N4356&lt;= 30, S4356=9), N4356-28,AND(N4356&lt;= 11, S4356=10), N4356+2,AND(N4356&lt;= 21, S4356=10), N4356-11)</f>
        <v>8</v>
      </c>
    </row>
    <row r="4357" spans="1:22" x14ac:dyDescent="0.35">
      <c r="A4357" s="4">
        <v>45584</v>
      </c>
      <c r="B4357" s="5">
        <v>0.27171296296296299</v>
      </c>
      <c r="C4357">
        <v>64.599999999999994</v>
      </c>
      <c r="D4357">
        <v>66.099999999999994</v>
      </c>
      <c r="E4357">
        <v>65.599999999999994</v>
      </c>
      <c r="F4357">
        <v>63.2</v>
      </c>
      <c r="G4357">
        <v>0</v>
      </c>
      <c r="H4357">
        <v>0</v>
      </c>
      <c r="I4357">
        <v>0</v>
      </c>
      <c r="J4357">
        <v>0</v>
      </c>
      <c r="K4357">
        <v>60</v>
      </c>
      <c r="L4357">
        <v>61</v>
      </c>
      <c r="M4357">
        <v>64.849999999999994</v>
      </c>
      <c r="N4357">
        <v>19</v>
      </c>
      <c r="O4357">
        <v>4</v>
      </c>
      <c r="P4357">
        <f>MOD(DAY(datos_siembra[[#This Row],[Date]]),7)</f>
        <v>5</v>
      </c>
      <c r="Q4357" t="str">
        <f>CHOOSE(WEEKDAY(datos_siembra[[#This Row],[Date]],2),"L","M","X","J","V","S","D")</f>
        <v>S</v>
      </c>
      <c r="R4357">
        <f>WEEKNUM(datos_siembra[[#This Row],[Date]],2)-WEEKNUM(DATE(YEAR(datos_siembra[[#This Row],[Date]]),MONTH(datos_siembra[[#This Row],[Date]]),1))+1</f>
        <v>3</v>
      </c>
      <c r="S4357">
        <f>MONTH(datos_siembra[[#This Row],[Date]])</f>
        <v>10</v>
      </c>
      <c r="T4357" t="str" cm="1">
        <f t="array" ref="T4357">_xlfn.IFS(AND(N4357&lt;= 22, S4357=9), "SOWING",AND(N4357&lt;= 28, S4357=9), "COVERAGE",AND(N4357&lt;= 30, S4357=9), "FLUSH",AND(N4357&lt;= 11, S4357=10), "FLUSH",AND(N4357&lt;= 21, S4357=10), "PRODUCTION")</f>
        <v>PRODUCTION</v>
      </c>
      <c r="U4357">
        <f>HOUR(datos_siembra[[#This Row],[Hour]])</f>
        <v>6</v>
      </c>
      <c r="V4357" cm="1">
        <f t="array" ref="V4357">_xlfn.IFS(AND(N4357&lt;= 22, S4357=9), N4357-7,AND(N4357&lt;= 28, S4357=9), N4357-25,AND(N4357&lt;= 30, S4357=9), N4357-28,AND(N4357&lt;= 11, S4357=10), N4357+2,AND(N4357&lt;= 21, S4357=10), N4357-11)</f>
        <v>8</v>
      </c>
    </row>
    <row r="4358" spans="1:22" x14ac:dyDescent="0.35">
      <c r="A4358" s="4">
        <v>45584</v>
      </c>
      <c r="B4358" s="5">
        <v>0.27865740740740741</v>
      </c>
      <c r="C4358">
        <v>64.5</v>
      </c>
      <c r="D4358">
        <v>66</v>
      </c>
      <c r="E4358">
        <v>65.5</v>
      </c>
      <c r="F4358">
        <v>63.2</v>
      </c>
      <c r="G4358">
        <v>0</v>
      </c>
      <c r="H4358">
        <v>0</v>
      </c>
      <c r="I4358">
        <v>0</v>
      </c>
      <c r="J4358">
        <v>0</v>
      </c>
      <c r="K4358">
        <v>60.2</v>
      </c>
      <c r="L4358">
        <v>61.4</v>
      </c>
      <c r="M4358">
        <v>64.790000000000006</v>
      </c>
      <c r="N4358">
        <v>19</v>
      </c>
      <c r="O4358">
        <v>4</v>
      </c>
      <c r="P4358">
        <f>MOD(DAY(datos_siembra[[#This Row],[Date]]),7)</f>
        <v>5</v>
      </c>
      <c r="Q4358" t="str">
        <f>CHOOSE(WEEKDAY(datos_siembra[[#This Row],[Date]],2),"L","M","X","J","V","S","D")</f>
        <v>S</v>
      </c>
      <c r="R4358">
        <f>WEEKNUM(datos_siembra[[#This Row],[Date]],2)-WEEKNUM(DATE(YEAR(datos_siembra[[#This Row],[Date]]),MONTH(datos_siembra[[#This Row],[Date]]),1))+1</f>
        <v>3</v>
      </c>
      <c r="S4358">
        <f>MONTH(datos_siembra[[#This Row],[Date]])</f>
        <v>10</v>
      </c>
      <c r="T4358" t="str" cm="1">
        <f t="array" ref="T4358">_xlfn.IFS(AND(N4358&lt;= 22, S4358=9), "SOWING",AND(N4358&lt;= 28, S4358=9), "COVERAGE",AND(N4358&lt;= 30, S4358=9), "FLUSH",AND(N4358&lt;= 11, S4358=10), "FLUSH",AND(N4358&lt;= 21, S4358=10), "PRODUCTION")</f>
        <v>PRODUCTION</v>
      </c>
      <c r="U4358">
        <f>HOUR(datos_siembra[[#This Row],[Hour]])</f>
        <v>6</v>
      </c>
      <c r="V4358" cm="1">
        <f t="array" ref="V4358">_xlfn.IFS(AND(N4358&lt;= 22, S4358=9), N4358-7,AND(N4358&lt;= 28, S4358=9), N4358-25,AND(N4358&lt;= 30, S4358=9), N4358-28,AND(N4358&lt;= 11, S4358=10), N4358+2,AND(N4358&lt;= 21, S4358=10), N4358-11)</f>
        <v>8</v>
      </c>
    </row>
    <row r="4359" spans="1:22" x14ac:dyDescent="0.35">
      <c r="A4359" s="4">
        <v>45584</v>
      </c>
      <c r="B4359" s="5">
        <v>0.28560185185185183</v>
      </c>
      <c r="C4359">
        <v>64.3</v>
      </c>
      <c r="D4359">
        <v>66</v>
      </c>
      <c r="E4359">
        <v>65.400000000000006</v>
      </c>
      <c r="F4359">
        <v>63.3</v>
      </c>
      <c r="G4359">
        <v>0</v>
      </c>
      <c r="H4359">
        <v>0</v>
      </c>
      <c r="I4359">
        <v>0</v>
      </c>
      <c r="J4359">
        <v>0</v>
      </c>
      <c r="K4359">
        <v>60.5</v>
      </c>
      <c r="L4359">
        <v>61.2</v>
      </c>
      <c r="M4359">
        <v>64.739999999999995</v>
      </c>
      <c r="N4359">
        <v>19</v>
      </c>
      <c r="O4359">
        <v>4</v>
      </c>
      <c r="P4359">
        <f>MOD(DAY(datos_siembra[[#This Row],[Date]]),7)</f>
        <v>5</v>
      </c>
      <c r="Q4359" t="str">
        <f>CHOOSE(WEEKDAY(datos_siembra[[#This Row],[Date]],2),"L","M","X","J","V","S","D")</f>
        <v>S</v>
      </c>
      <c r="R4359">
        <f>WEEKNUM(datos_siembra[[#This Row],[Date]],2)-WEEKNUM(DATE(YEAR(datos_siembra[[#This Row],[Date]]),MONTH(datos_siembra[[#This Row],[Date]]),1))+1</f>
        <v>3</v>
      </c>
      <c r="S4359">
        <f>MONTH(datos_siembra[[#This Row],[Date]])</f>
        <v>10</v>
      </c>
      <c r="T4359" t="str" cm="1">
        <f t="array" ref="T4359">_xlfn.IFS(AND(N4359&lt;= 22, S4359=9), "SOWING",AND(N4359&lt;= 28, S4359=9), "COVERAGE",AND(N4359&lt;= 30, S4359=9), "FLUSH",AND(N4359&lt;= 11, S4359=10), "FLUSH",AND(N4359&lt;= 21, S4359=10), "PRODUCTION")</f>
        <v>PRODUCTION</v>
      </c>
      <c r="U4359">
        <f>HOUR(datos_siembra[[#This Row],[Hour]])</f>
        <v>6</v>
      </c>
      <c r="V4359" cm="1">
        <f t="array" ref="V4359">_xlfn.IFS(AND(N4359&lt;= 22, S4359=9), N4359-7,AND(N4359&lt;= 28, S4359=9), N4359-25,AND(N4359&lt;= 30, S4359=9), N4359-28,AND(N4359&lt;= 11, S4359=10), N4359+2,AND(N4359&lt;= 21, S4359=10), N4359-11)</f>
        <v>8</v>
      </c>
    </row>
    <row r="4360" spans="1:22" x14ac:dyDescent="0.35">
      <c r="A4360" s="4">
        <v>45584</v>
      </c>
      <c r="B4360" s="5">
        <v>0.29255787037037034</v>
      </c>
      <c r="C4360">
        <v>64.5</v>
      </c>
      <c r="D4360">
        <v>66.099999999999994</v>
      </c>
      <c r="E4360">
        <v>65.5</v>
      </c>
      <c r="F4360">
        <v>63</v>
      </c>
      <c r="G4360">
        <v>0</v>
      </c>
      <c r="H4360">
        <v>0</v>
      </c>
      <c r="I4360">
        <v>0</v>
      </c>
      <c r="J4360">
        <v>0</v>
      </c>
      <c r="K4360">
        <v>60.6</v>
      </c>
      <c r="L4360">
        <v>61.4</v>
      </c>
      <c r="M4360">
        <v>64.77</v>
      </c>
      <c r="N4360">
        <v>19</v>
      </c>
      <c r="O4360">
        <v>4</v>
      </c>
      <c r="P4360">
        <f>MOD(DAY(datos_siembra[[#This Row],[Date]]),7)</f>
        <v>5</v>
      </c>
      <c r="Q4360" t="str">
        <f>CHOOSE(WEEKDAY(datos_siembra[[#This Row],[Date]],2),"L","M","X","J","V","S","D")</f>
        <v>S</v>
      </c>
      <c r="R4360">
        <f>WEEKNUM(datos_siembra[[#This Row],[Date]],2)-WEEKNUM(DATE(YEAR(datos_siembra[[#This Row],[Date]]),MONTH(datos_siembra[[#This Row],[Date]]),1))+1</f>
        <v>3</v>
      </c>
      <c r="S4360">
        <f>MONTH(datos_siembra[[#This Row],[Date]])</f>
        <v>10</v>
      </c>
      <c r="T4360" t="str" cm="1">
        <f t="array" ref="T4360">_xlfn.IFS(AND(N4360&lt;= 22, S4360=9), "SOWING",AND(N4360&lt;= 28, S4360=9), "COVERAGE",AND(N4360&lt;= 30, S4360=9), "FLUSH",AND(N4360&lt;= 11, S4360=10), "FLUSH",AND(N4360&lt;= 21, S4360=10), "PRODUCTION")</f>
        <v>PRODUCTION</v>
      </c>
      <c r="U4360">
        <f>HOUR(datos_siembra[[#This Row],[Hour]])</f>
        <v>7</v>
      </c>
      <c r="V4360" cm="1">
        <f t="array" ref="V4360">_xlfn.IFS(AND(N4360&lt;= 22, S4360=9), N4360-7,AND(N4360&lt;= 28, S4360=9), N4360-25,AND(N4360&lt;= 30, S4360=9), N4360-28,AND(N4360&lt;= 11, S4360=10), N4360+2,AND(N4360&lt;= 21, S4360=10), N4360-11)</f>
        <v>8</v>
      </c>
    </row>
    <row r="4361" spans="1:22" x14ac:dyDescent="0.35">
      <c r="A4361" s="4">
        <v>45584</v>
      </c>
      <c r="B4361" s="5">
        <v>0.29950231481481482</v>
      </c>
      <c r="C4361">
        <v>64.5</v>
      </c>
      <c r="D4361">
        <v>66</v>
      </c>
      <c r="E4361">
        <v>65.3</v>
      </c>
      <c r="F4361">
        <v>63.2</v>
      </c>
      <c r="G4361">
        <v>0</v>
      </c>
      <c r="H4361">
        <v>0</v>
      </c>
      <c r="I4361">
        <v>0</v>
      </c>
      <c r="J4361">
        <v>0</v>
      </c>
      <c r="K4361">
        <v>60.6</v>
      </c>
      <c r="L4361">
        <v>61.5</v>
      </c>
      <c r="M4361">
        <v>64.709999999999994</v>
      </c>
      <c r="N4361">
        <v>19</v>
      </c>
      <c r="O4361">
        <v>4</v>
      </c>
      <c r="P4361">
        <f>MOD(DAY(datos_siembra[[#This Row],[Date]]),7)</f>
        <v>5</v>
      </c>
      <c r="Q4361" t="str">
        <f>CHOOSE(WEEKDAY(datos_siembra[[#This Row],[Date]],2),"L","M","X","J","V","S","D")</f>
        <v>S</v>
      </c>
      <c r="R4361">
        <f>WEEKNUM(datos_siembra[[#This Row],[Date]],2)-WEEKNUM(DATE(YEAR(datos_siembra[[#This Row],[Date]]),MONTH(datos_siembra[[#This Row],[Date]]),1))+1</f>
        <v>3</v>
      </c>
      <c r="S4361">
        <f>MONTH(datos_siembra[[#This Row],[Date]])</f>
        <v>10</v>
      </c>
      <c r="T4361" t="str" cm="1">
        <f t="array" ref="T4361">_xlfn.IFS(AND(N4361&lt;= 22, S4361=9), "SOWING",AND(N4361&lt;= 28, S4361=9), "COVERAGE",AND(N4361&lt;= 30, S4361=9), "FLUSH",AND(N4361&lt;= 11, S4361=10), "FLUSH",AND(N4361&lt;= 21, S4361=10), "PRODUCTION")</f>
        <v>PRODUCTION</v>
      </c>
      <c r="U4361">
        <f>HOUR(datos_siembra[[#This Row],[Hour]])</f>
        <v>7</v>
      </c>
      <c r="V4361" cm="1">
        <f t="array" ref="V4361">_xlfn.IFS(AND(N4361&lt;= 22, S4361=9), N4361-7,AND(N4361&lt;= 28, S4361=9), N4361-25,AND(N4361&lt;= 30, S4361=9), N4361-28,AND(N4361&lt;= 11, S4361=10), N4361+2,AND(N4361&lt;= 21, S4361=10), N4361-11)</f>
        <v>8</v>
      </c>
    </row>
    <row r="4362" spans="1:22" x14ac:dyDescent="0.35">
      <c r="A4362" s="4">
        <v>45584</v>
      </c>
      <c r="B4362" s="5">
        <v>0.30644675925925924</v>
      </c>
      <c r="C4362">
        <v>64.400000000000006</v>
      </c>
      <c r="D4362">
        <v>66.099999999999994</v>
      </c>
      <c r="E4362">
        <v>65.3</v>
      </c>
      <c r="F4362">
        <v>62.9</v>
      </c>
      <c r="G4362">
        <v>0</v>
      </c>
      <c r="H4362">
        <v>0</v>
      </c>
      <c r="I4362">
        <v>0</v>
      </c>
      <c r="J4362">
        <v>0</v>
      </c>
      <c r="K4362">
        <v>60.7</v>
      </c>
      <c r="L4362">
        <v>61.4</v>
      </c>
      <c r="M4362">
        <v>64.680000000000007</v>
      </c>
      <c r="N4362">
        <v>19</v>
      </c>
      <c r="O4362">
        <v>4</v>
      </c>
      <c r="P4362">
        <f>MOD(DAY(datos_siembra[[#This Row],[Date]]),7)</f>
        <v>5</v>
      </c>
      <c r="Q4362" t="str">
        <f>CHOOSE(WEEKDAY(datos_siembra[[#This Row],[Date]],2),"L","M","X","J","V","S","D")</f>
        <v>S</v>
      </c>
      <c r="R4362">
        <f>WEEKNUM(datos_siembra[[#This Row],[Date]],2)-WEEKNUM(DATE(YEAR(datos_siembra[[#This Row],[Date]]),MONTH(datos_siembra[[#This Row],[Date]]),1))+1</f>
        <v>3</v>
      </c>
      <c r="S4362">
        <f>MONTH(datos_siembra[[#This Row],[Date]])</f>
        <v>10</v>
      </c>
      <c r="T4362" t="str" cm="1">
        <f t="array" ref="T4362">_xlfn.IFS(AND(N4362&lt;= 22, S4362=9), "SOWING",AND(N4362&lt;= 28, S4362=9), "COVERAGE",AND(N4362&lt;= 30, S4362=9), "FLUSH",AND(N4362&lt;= 11, S4362=10), "FLUSH",AND(N4362&lt;= 21, S4362=10), "PRODUCTION")</f>
        <v>PRODUCTION</v>
      </c>
      <c r="U4362">
        <f>HOUR(datos_siembra[[#This Row],[Hour]])</f>
        <v>7</v>
      </c>
      <c r="V4362" cm="1">
        <f t="array" ref="V4362">_xlfn.IFS(AND(N4362&lt;= 22, S4362=9), N4362-7,AND(N4362&lt;= 28, S4362=9), N4362-25,AND(N4362&lt;= 30, S4362=9), N4362-28,AND(N4362&lt;= 11, S4362=10), N4362+2,AND(N4362&lt;= 21, S4362=10), N4362-11)</f>
        <v>8</v>
      </c>
    </row>
    <row r="4363" spans="1:22" x14ac:dyDescent="0.35">
      <c r="A4363" s="4">
        <v>45584</v>
      </c>
      <c r="B4363" s="5">
        <v>0.31339120370370371</v>
      </c>
      <c r="C4363">
        <v>64.3</v>
      </c>
      <c r="D4363">
        <v>66</v>
      </c>
      <c r="E4363">
        <v>65.3</v>
      </c>
      <c r="F4363">
        <v>63</v>
      </c>
      <c r="G4363">
        <v>0</v>
      </c>
      <c r="H4363">
        <v>0</v>
      </c>
      <c r="I4363">
        <v>0</v>
      </c>
      <c r="J4363">
        <v>0</v>
      </c>
      <c r="K4363">
        <v>60.8</v>
      </c>
      <c r="L4363">
        <v>61.5</v>
      </c>
      <c r="M4363">
        <v>64.650000000000006</v>
      </c>
      <c r="N4363">
        <v>19</v>
      </c>
      <c r="O4363">
        <v>4</v>
      </c>
      <c r="P4363">
        <f>MOD(DAY(datos_siembra[[#This Row],[Date]]),7)</f>
        <v>5</v>
      </c>
      <c r="Q4363" t="str">
        <f>CHOOSE(WEEKDAY(datos_siembra[[#This Row],[Date]],2),"L","M","X","J","V","S","D")</f>
        <v>S</v>
      </c>
      <c r="R4363">
        <f>WEEKNUM(datos_siembra[[#This Row],[Date]],2)-WEEKNUM(DATE(YEAR(datos_siembra[[#This Row],[Date]]),MONTH(datos_siembra[[#This Row],[Date]]),1))+1</f>
        <v>3</v>
      </c>
      <c r="S4363">
        <f>MONTH(datos_siembra[[#This Row],[Date]])</f>
        <v>10</v>
      </c>
      <c r="T4363" t="str" cm="1">
        <f t="array" ref="T4363">_xlfn.IFS(AND(N4363&lt;= 22, S4363=9), "SOWING",AND(N4363&lt;= 28, S4363=9), "COVERAGE",AND(N4363&lt;= 30, S4363=9), "FLUSH",AND(N4363&lt;= 11, S4363=10), "FLUSH",AND(N4363&lt;= 21, S4363=10), "PRODUCTION")</f>
        <v>PRODUCTION</v>
      </c>
      <c r="U4363">
        <f>HOUR(datos_siembra[[#This Row],[Hour]])</f>
        <v>7</v>
      </c>
      <c r="V4363" cm="1">
        <f t="array" ref="V4363">_xlfn.IFS(AND(N4363&lt;= 22, S4363=9), N4363-7,AND(N4363&lt;= 28, S4363=9), N4363-25,AND(N4363&lt;= 30, S4363=9), N4363-28,AND(N4363&lt;= 11, S4363=10), N4363+2,AND(N4363&lt;= 21, S4363=10), N4363-11)</f>
        <v>8</v>
      </c>
    </row>
    <row r="4364" spans="1:22" x14ac:dyDescent="0.35">
      <c r="A4364" s="4">
        <v>45584</v>
      </c>
      <c r="B4364" s="5">
        <v>0.32034722222222223</v>
      </c>
      <c r="C4364">
        <v>64.400000000000006</v>
      </c>
      <c r="D4364">
        <v>66.099999999999994</v>
      </c>
      <c r="E4364">
        <v>65.2</v>
      </c>
      <c r="F4364">
        <v>63</v>
      </c>
      <c r="G4364">
        <v>0</v>
      </c>
      <c r="H4364">
        <v>0</v>
      </c>
      <c r="I4364">
        <v>0</v>
      </c>
      <c r="J4364">
        <v>0</v>
      </c>
      <c r="K4364">
        <v>60.9</v>
      </c>
      <c r="L4364">
        <v>61.6</v>
      </c>
      <c r="M4364">
        <v>64.790000000000006</v>
      </c>
      <c r="N4364">
        <v>19</v>
      </c>
      <c r="O4364">
        <v>4</v>
      </c>
      <c r="P4364">
        <f>MOD(DAY(datos_siembra[[#This Row],[Date]]),7)</f>
        <v>5</v>
      </c>
      <c r="Q4364" t="str">
        <f>CHOOSE(WEEKDAY(datos_siembra[[#This Row],[Date]],2),"L","M","X","J","V","S","D")</f>
        <v>S</v>
      </c>
      <c r="R4364">
        <f>WEEKNUM(datos_siembra[[#This Row],[Date]],2)-WEEKNUM(DATE(YEAR(datos_siembra[[#This Row],[Date]]),MONTH(datos_siembra[[#This Row],[Date]]),1))+1</f>
        <v>3</v>
      </c>
      <c r="S4364">
        <f>MONTH(datos_siembra[[#This Row],[Date]])</f>
        <v>10</v>
      </c>
      <c r="T4364" t="str" cm="1">
        <f t="array" ref="T4364">_xlfn.IFS(AND(N4364&lt;= 22, S4364=9), "SOWING",AND(N4364&lt;= 28, S4364=9), "COVERAGE",AND(N4364&lt;= 30, S4364=9), "FLUSH",AND(N4364&lt;= 11, S4364=10), "FLUSH",AND(N4364&lt;= 21, S4364=10), "PRODUCTION")</f>
        <v>PRODUCTION</v>
      </c>
      <c r="U4364">
        <f>HOUR(datos_siembra[[#This Row],[Hour]])</f>
        <v>7</v>
      </c>
      <c r="V4364" cm="1">
        <f t="array" ref="V4364">_xlfn.IFS(AND(N4364&lt;= 22, S4364=9), N4364-7,AND(N4364&lt;= 28, S4364=9), N4364-25,AND(N4364&lt;= 30, S4364=9), N4364-28,AND(N4364&lt;= 11, S4364=10), N4364+2,AND(N4364&lt;= 21, S4364=10), N4364-11)</f>
        <v>8</v>
      </c>
    </row>
    <row r="4365" spans="1:22" x14ac:dyDescent="0.35">
      <c r="A4365" s="4">
        <v>45584</v>
      </c>
      <c r="B4365" s="5">
        <v>0.3243287037037037</v>
      </c>
      <c r="C4365">
        <v>64.3</v>
      </c>
      <c r="D4365">
        <v>66.099999999999994</v>
      </c>
      <c r="E4365">
        <v>65.2</v>
      </c>
      <c r="F4365">
        <v>63</v>
      </c>
      <c r="G4365">
        <v>0</v>
      </c>
      <c r="H4365">
        <v>0</v>
      </c>
      <c r="I4365">
        <v>0</v>
      </c>
      <c r="J4365">
        <v>0</v>
      </c>
      <c r="K4365">
        <v>61.4</v>
      </c>
      <c r="L4365">
        <v>61.5</v>
      </c>
      <c r="M4365">
        <v>64.650000000000006</v>
      </c>
      <c r="N4365">
        <v>19</v>
      </c>
      <c r="O4365">
        <v>4</v>
      </c>
      <c r="P4365">
        <f>MOD(DAY(datos_siembra[[#This Row],[Date]]),7)</f>
        <v>5</v>
      </c>
      <c r="Q4365" t="str">
        <f>CHOOSE(WEEKDAY(datos_siembra[[#This Row],[Date]],2),"L","M","X","J","V","S","D")</f>
        <v>S</v>
      </c>
      <c r="R4365">
        <f>WEEKNUM(datos_siembra[[#This Row],[Date]],2)-WEEKNUM(DATE(YEAR(datos_siembra[[#This Row],[Date]]),MONTH(datos_siembra[[#This Row],[Date]]),1))+1</f>
        <v>3</v>
      </c>
      <c r="S4365">
        <f>MONTH(datos_siembra[[#This Row],[Date]])</f>
        <v>10</v>
      </c>
      <c r="T4365" t="str" cm="1">
        <f t="array" ref="T4365">_xlfn.IFS(AND(N4365&lt;= 22, S4365=9), "SOWING",AND(N4365&lt;= 28, S4365=9), "COVERAGE",AND(N4365&lt;= 30, S4365=9), "FLUSH",AND(N4365&lt;= 11, S4365=10), "FLUSH",AND(N4365&lt;= 21, S4365=10), "PRODUCTION")</f>
        <v>PRODUCTION</v>
      </c>
      <c r="U4365">
        <f>HOUR(datos_siembra[[#This Row],[Hour]])</f>
        <v>7</v>
      </c>
      <c r="V4365" cm="1">
        <f t="array" ref="V4365">_xlfn.IFS(AND(N4365&lt;= 22, S4365=9), N4365-7,AND(N4365&lt;= 28, S4365=9), N4365-25,AND(N4365&lt;= 30, S4365=9), N4365-28,AND(N4365&lt;= 11, S4365=10), N4365+2,AND(N4365&lt;= 21, S4365=10), N4365-11)</f>
        <v>8</v>
      </c>
    </row>
    <row r="4366" spans="1:22" x14ac:dyDescent="0.35">
      <c r="A4366" s="4">
        <v>45584</v>
      </c>
      <c r="B4366" s="5">
        <v>0.33114583333333331</v>
      </c>
      <c r="C4366">
        <v>64.2</v>
      </c>
      <c r="D4366">
        <v>66.099999999999994</v>
      </c>
      <c r="E4366">
        <v>64.2</v>
      </c>
      <c r="F4366">
        <v>62.8</v>
      </c>
      <c r="G4366">
        <v>0</v>
      </c>
      <c r="H4366">
        <v>0</v>
      </c>
      <c r="I4366">
        <v>0</v>
      </c>
      <c r="J4366">
        <v>0</v>
      </c>
      <c r="K4366">
        <v>61.6</v>
      </c>
      <c r="L4366">
        <v>61.5</v>
      </c>
      <c r="M4366">
        <v>64.37</v>
      </c>
      <c r="N4366">
        <v>19</v>
      </c>
      <c r="O4366">
        <v>4</v>
      </c>
      <c r="P4366">
        <f>MOD(DAY(datos_siembra[[#This Row],[Date]]),7)</f>
        <v>5</v>
      </c>
      <c r="Q4366" t="str">
        <f>CHOOSE(WEEKDAY(datos_siembra[[#This Row],[Date]],2),"L","M","X","J","V","S","D")</f>
        <v>S</v>
      </c>
      <c r="R4366">
        <f>WEEKNUM(datos_siembra[[#This Row],[Date]],2)-WEEKNUM(DATE(YEAR(datos_siembra[[#This Row],[Date]]),MONTH(datos_siembra[[#This Row],[Date]]),1))+1</f>
        <v>3</v>
      </c>
      <c r="S4366">
        <f>MONTH(datos_siembra[[#This Row],[Date]])</f>
        <v>10</v>
      </c>
      <c r="T4366" t="str" cm="1">
        <f t="array" ref="T4366">_xlfn.IFS(AND(N4366&lt;= 22, S4366=9), "SOWING",AND(N4366&lt;= 28, S4366=9), "COVERAGE",AND(N4366&lt;= 30, S4366=9), "FLUSH",AND(N4366&lt;= 11, S4366=10), "FLUSH",AND(N4366&lt;= 21, S4366=10), "PRODUCTION")</f>
        <v>PRODUCTION</v>
      </c>
      <c r="U4366">
        <f>HOUR(datos_siembra[[#This Row],[Hour]])</f>
        <v>7</v>
      </c>
      <c r="V4366" cm="1">
        <f t="array" ref="V4366">_xlfn.IFS(AND(N4366&lt;= 22, S4366=9), N4366-7,AND(N4366&lt;= 28, S4366=9), N4366-25,AND(N4366&lt;= 30, S4366=9), N4366-28,AND(N4366&lt;= 11, S4366=10), N4366+2,AND(N4366&lt;= 21, S4366=10), N4366-11)</f>
        <v>8</v>
      </c>
    </row>
    <row r="4367" spans="1:22" x14ac:dyDescent="0.35">
      <c r="A4367" s="4">
        <v>45584</v>
      </c>
      <c r="B4367" s="5">
        <v>0.33809027777777778</v>
      </c>
      <c r="C4367">
        <v>64.3</v>
      </c>
      <c r="D4367">
        <v>66.099999999999994</v>
      </c>
      <c r="E4367">
        <v>64.099999999999994</v>
      </c>
      <c r="F4367">
        <v>62.8</v>
      </c>
      <c r="G4367">
        <v>0</v>
      </c>
      <c r="H4367">
        <v>0</v>
      </c>
      <c r="I4367">
        <v>0</v>
      </c>
      <c r="J4367">
        <v>0</v>
      </c>
      <c r="K4367">
        <v>61.7</v>
      </c>
      <c r="L4367">
        <v>61.5</v>
      </c>
      <c r="M4367">
        <v>64.290000000000006</v>
      </c>
      <c r="N4367">
        <v>19</v>
      </c>
      <c r="O4367">
        <v>4</v>
      </c>
      <c r="P4367">
        <f>MOD(DAY(datos_siembra[[#This Row],[Date]]),7)</f>
        <v>5</v>
      </c>
      <c r="Q4367" t="str">
        <f>CHOOSE(WEEKDAY(datos_siembra[[#This Row],[Date]],2),"L","M","X","J","V","S","D")</f>
        <v>S</v>
      </c>
      <c r="R4367">
        <f>WEEKNUM(datos_siembra[[#This Row],[Date]],2)-WEEKNUM(DATE(YEAR(datos_siembra[[#This Row],[Date]]),MONTH(datos_siembra[[#This Row],[Date]]),1))+1</f>
        <v>3</v>
      </c>
      <c r="S4367">
        <f>MONTH(datos_siembra[[#This Row],[Date]])</f>
        <v>10</v>
      </c>
      <c r="T4367" t="str" cm="1">
        <f t="array" ref="T4367">_xlfn.IFS(AND(N4367&lt;= 22, S4367=9), "SOWING",AND(N4367&lt;= 28, S4367=9), "COVERAGE",AND(N4367&lt;= 30, S4367=9), "FLUSH",AND(N4367&lt;= 11, S4367=10), "FLUSH",AND(N4367&lt;= 21, S4367=10), "PRODUCTION")</f>
        <v>PRODUCTION</v>
      </c>
      <c r="U4367">
        <f>HOUR(datos_siembra[[#This Row],[Hour]])</f>
        <v>8</v>
      </c>
      <c r="V4367" cm="1">
        <f t="array" ref="V4367">_xlfn.IFS(AND(N4367&lt;= 22, S4367=9), N4367-7,AND(N4367&lt;= 28, S4367=9), N4367-25,AND(N4367&lt;= 30, S4367=9), N4367-28,AND(N4367&lt;= 11, S4367=10), N4367+2,AND(N4367&lt;= 21, S4367=10), N4367-11)</f>
        <v>8</v>
      </c>
    </row>
    <row r="4368" spans="1:22" x14ac:dyDescent="0.35">
      <c r="A4368" s="4">
        <v>45584</v>
      </c>
      <c r="B4368" s="5">
        <v>0.3450462962962963</v>
      </c>
      <c r="C4368">
        <v>64.2</v>
      </c>
      <c r="D4368">
        <v>66</v>
      </c>
      <c r="E4368">
        <v>64.099999999999994</v>
      </c>
      <c r="F4368">
        <v>63</v>
      </c>
      <c r="G4368">
        <v>0</v>
      </c>
      <c r="H4368">
        <v>0</v>
      </c>
      <c r="I4368">
        <v>0</v>
      </c>
      <c r="J4368">
        <v>0</v>
      </c>
      <c r="K4368">
        <v>61.1</v>
      </c>
      <c r="L4368">
        <v>61.1</v>
      </c>
      <c r="M4368">
        <v>64.319999999999993</v>
      </c>
      <c r="N4368">
        <v>19</v>
      </c>
      <c r="O4368">
        <v>4</v>
      </c>
      <c r="P4368">
        <f>MOD(DAY(datos_siembra[[#This Row],[Date]]),7)</f>
        <v>5</v>
      </c>
      <c r="Q4368" t="str">
        <f>CHOOSE(WEEKDAY(datos_siembra[[#This Row],[Date]],2),"L","M","X","J","V","S","D")</f>
        <v>S</v>
      </c>
      <c r="R4368">
        <f>WEEKNUM(datos_siembra[[#This Row],[Date]],2)-WEEKNUM(DATE(YEAR(datos_siembra[[#This Row],[Date]]),MONTH(datos_siembra[[#This Row],[Date]]),1))+1</f>
        <v>3</v>
      </c>
      <c r="S4368">
        <f>MONTH(datos_siembra[[#This Row],[Date]])</f>
        <v>10</v>
      </c>
      <c r="T4368" t="str" cm="1">
        <f t="array" ref="T4368">_xlfn.IFS(AND(N4368&lt;= 22, S4368=9), "SOWING",AND(N4368&lt;= 28, S4368=9), "COVERAGE",AND(N4368&lt;= 30, S4368=9), "FLUSH",AND(N4368&lt;= 11, S4368=10), "FLUSH",AND(N4368&lt;= 21, S4368=10), "PRODUCTION")</f>
        <v>PRODUCTION</v>
      </c>
      <c r="U4368">
        <f>HOUR(datos_siembra[[#This Row],[Hour]])</f>
        <v>8</v>
      </c>
      <c r="V4368" cm="1">
        <f t="array" ref="V4368">_xlfn.IFS(AND(N4368&lt;= 22, S4368=9), N4368-7,AND(N4368&lt;= 28, S4368=9), N4368-25,AND(N4368&lt;= 30, S4368=9), N4368-28,AND(N4368&lt;= 11, S4368=10), N4368+2,AND(N4368&lt;= 21, S4368=10), N4368-11)</f>
        <v>8</v>
      </c>
    </row>
    <row r="4369" spans="1:22" x14ac:dyDescent="0.35">
      <c r="A4369" s="4">
        <v>45584</v>
      </c>
      <c r="B4369" s="5">
        <v>0.35199074074074072</v>
      </c>
      <c r="C4369">
        <v>64.2</v>
      </c>
      <c r="D4369">
        <v>66</v>
      </c>
      <c r="E4369">
        <v>63.9</v>
      </c>
      <c r="F4369">
        <v>62.9</v>
      </c>
      <c r="G4369">
        <v>0</v>
      </c>
      <c r="H4369">
        <v>0</v>
      </c>
      <c r="I4369">
        <v>0</v>
      </c>
      <c r="J4369">
        <v>0</v>
      </c>
      <c r="K4369">
        <v>60.9</v>
      </c>
      <c r="L4369">
        <v>61.2</v>
      </c>
      <c r="M4369">
        <v>64.23</v>
      </c>
      <c r="N4369">
        <v>19</v>
      </c>
      <c r="O4369">
        <v>4</v>
      </c>
      <c r="P4369">
        <f>MOD(DAY(datos_siembra[[#This Row],[Date]]),7)</f>
        <v>5</v>
      </c>
      <c r="Q4369" t="str">
        <f>CHOOSE(WEEKDAY(datos_siembra[[#This Row],[Date]],2),"L","M","X","J","V","S","D")</f>
        <v>S</v>
      </c>
      <c r="R4369">
        <f>WEEKNUM(datos_siembra[[#This Row],[Date]],2)-WEEKNUM(DATE(YEAR(datos_siembra[[#This Row],[Date]]),MONTH(datos_siembra[[#This Row],[Date]]),1))+1</f>
        <v>3</v>
      </c>
      <c r="S4369">
        <f>MONTH(datos_siembra[[#This Row],[Date]])</f>
        <v>10</v>
      </c>
      <c r="T4369" t="str" cm="1">
        <f t="array" ref="T4369">_xlfn.IFS(AND(N4369&lt;= 22, S4369=9), "SOWING",AND(N4369&lt;= 28, S4369=9), "COVERAGE",AND(N4369&lt;= 30, S4369=9), "FLUSH",AND(N4369&lt;= 11, S4369=10), "FLUSH",AND(N4369&lt;= 21, S4369=10), "PRODUCTION")</f>
        <v>PRODUCTION</v>
      </c>
      <c r="U4369">
        <f>HOUR(datos_siembra[[#This Row],[Hour]])</f>
        <v>8</v>
      </c>
      <c r="V4369" cm="1">
        <f t="array" ref="V4369">_xlfn.IFS(AND(N4369&lt;= 22, S4369=9), N4369-7,AND(N4369&lt;= 28, S4369=9), N4369-25,AND(N4369&lt;= 30, S4369=9), N4369-28,AND(N4369&lt;= 11, S4369=10), N4369+2,AND(N4369&lt;= 21, S4369=10), N4369-11)</f>
        <v>8</v>
      </c>
    </row>
    <row r="4370" spans="1:22" x14ac:dyDescent="0.35">
      <c r="A4370" s="4">
        <v>45584</v>
      </c>
      <c r="B4370" s="5">
        <v>0.35893518518518519</v>
      </c>
      <c r="C4370">
        <v>64.3</v>
      </c>
      <c r="D4370">
        <v>66</v>
      </c>
      <c r="E4370">
        <v>63.7</v>
      </c>
      <c r="F4370">
        <v>62.8</v>
      </c>
      <c r="G4370">
        <v>0</v>
      </c>
      <c r="H4370">
        <v>0</v>
      </c>
      <c r="I4370">
        <v>0</v>
      </c>
      <c r="J4370">
        <v>0</v>
      </c>
      <c r="K4370">
        <v>60.9</v>
      </c>
      <c r="L4370">
        <v>61.4</v>
      </c>
      <c r="M4370">
        <v>64.260000000000005</v>
      </c>
      <c r="N4370">
        <v>19</v>
      </c>
      <c r="O4370">
        <v>4</v>
      </c>
      <c r="P4370">
        <f>MOD(DAY(datos_siembra[[#This Row],[Date]]),7)</f>
        <v>5</v>
      </c>
      <c r="Q4370" t="str">
        <f>CHOOSE(WEEKDAY(datos_siembra[[#This Row],[Date]],2),"L","M","X","J","V","S","D")</f>
        <v>S</v>
      </c>
      <c r="R4370">
        <f>WEEKNUM(datos_siembra[[#This Row],[Date]],2)-WEEKNUM(DATE(YEAR(datos_siembra[[#This Row],[Date]]),MONTH(datos_siembra[[#This Row],[Date]]),1))+1</f>
        <v>3</v>
      </c>
      <c r="S4370">
        <f>MONTH(datos_siembra[[#This Row],[Date]])</f>
        <v>10</v>
      </c>
      <c r="T4370" t="str" cm="1">
        <f t="array" ref="T4370">_xlfn.IFS(AND(N4370&lt;= 22, S4370=9), "SOWING",AND(N4370&lt;= 28, S4370=9), "COVERAGE",AND(N4370&lt;= 30, S4370=9), "FLUSH",AND(N4370&lt;= 11, S4370=10), "FLUSH",AND(N4370&lt;= 21, S4370=10), "PRODUCTION")</f>
        <v>PRODUCTION</v>
      </c>
      <c r="U4370">
        <f>HOUR(datos_siembra[[#This Row],[Hour]])</f>
        <v>8</v>
      </c>
      <c r="V4370" cm="1">
        <f t="array" ref="V4370">_xlfn.IFS(AND(N4370&lt;= 22, S4370=9), N4370-7,AND(N4370&lt;= 28, S4370=9), N4370-25,AND(N4370&lt;= 30, S4370=9), N4370-28,AND(N4370&lt;= 11, S4370=10), N4370+2,AND(N4370&lt;= 21, S4370=10), N4370-11)</f>
        <v>8</v>
      </c>
    </row>
    <row r="4371" spans="1:22" x14ac:dyDescent="0.35">
      <c r="A4371" s="4">
        <v>45584</v>
      </c>
      <c r="B4371" s="5">
        <v>0.36587962962962961</v>
      </c>
      <c r="C4371">
        <v>64.2</v>
      </c>
      <c r="D4371">
        <v>66</v>
      </c>
      <c r="E4371">
        <v>63.8</v>
      </c>
      <c r="F4371">
        <v>62.6</v>
      </c>
      <c r="G4371">
        <v>0</v>
      </c>
      <c r="H4371">
        <v>0</v>
      </c>
      <c r="I4371">
        <v>0</v>
      </c>
      <c r="J4371">
        <v>0</v>
      </c>
      <c r="K4371">
        <v>60.9</v>
      </c>
      <c r="L4371">
        <v>61.4</v>
      </c>
      <c r="M4371">
        <v>64.23</v>
      </c>
      <c r="N4371">
        <v>19</v>
      </c>
      <c r="O4371">
        <v>4</v>
      </c>
      <c r="P4371">
        <f>MOD(DAY(datos_siembra[[#This Row],[Date]]),7)</f>
        <v>5</v>
      </c>
      <c r="Q4371" t="str">
        <f>CHOOSE(WEEKDAY(datos_siembra[[#This Row],[Date]],2),"L","M","X","J","V","S","D")</f>
        <v>S</v>
      </c>
      <c r="R4371">
        <f>WEEKNUM(datos_siembra[[#This Row],[Date]],2)-WEEKNUM(DATE(YEAR(datos_siembra[[#This Row],[Date]]),MONTH(datos_siembra[[#This Row],[Date]]),1))+1</f>
        <v>3</v>
      </c>
      <c r="S4371">
        <f>MONTH(datos_siembra[[#This Row],[Date]])</f>
        <v>10</v>
      </c>
      <c r="T4371" t="str" cm="1">
        <f t="array" ref="T4371">_xlfn.IFS(AND(N4371&lt;= 22, S4371=9), "SOWING",AND(N4371&lt;= 28, S4371=9), "COVERAGE",AND(N4371&lt;= 30, S4371=9), "FLUSH",AND(N4371&lt;= 11, S4371=10), "FLUSH",AND(N4371&lt;= 21, S4371=10), "PRODUCTION")</f>
        <v>PRODUCTION</v>
      </c>
      <c r="U4371">
        <f>HOUR(datos_siembra[[#This Row],[Hour]])</f>
        <v>8</v>
      </c>
      <c r="V4371" cm="1">
        <f t="array" ref="V4371">_xlfn.IFS(AND(N4371&lt;= 22, S4371=9), N4371-7,AND(N4371&lt;= 28, S4371=9), N4371-25,AND(N4371&lt;= 30, S4371=9), N4371-28,AND(N4371&lt;= 11, S4371=10), N4371+2,AND(N4371&lt;= 21, S4371=10), N4371-11)</f>
        <v>8</v>
      </c>
    </row>
    <row r="4372" spans="1:22" x14ac:dyDescent="0.35">
      <c r="A4372" s="4">
        <v>45584</v>
      </c>
      <c r="B4372" s="5">
        <v>0.37283564814814812</v>
      </c>
      <c r="C4372">
        <v>64.3</v>
      </c>
      <c r="D4372">
        <v>65.900000000000006</v>
      </c>
      <c r="E4372">
        <v>63.9</v>
      </c>
      <c r="F4372">
        <v>62.9</v>
      </c>
      <c r="G4372">
        <v>0</v>
      </c>
      <c r="H4372">
        <v>0</v>
      </c>
      <c r="I4372">
        <v>0</v>
      </c>
      <c r="J4372">
        <v>0</v>
      </c>
      <c r="K4372">
        <v>61</v>
      </c>
      <c r="L4372">
        <v>61.2</v>
      </c>
      <c r="M4372">
        <v>64.260000000000005</v>
      </c>
      <c r="N4372">
        <v>19</v>
      </c>
      <c r="O4372">
        <v>4</v>
      </c>
      <c r="P4372">
        <f>MOD(DAY(datos_siembra[[#This Row],[Date]]),7)</f>
        <v>5</v>
      </c>
      <c r="Q4372" t="str">
        <f>CHOOSE(WEEKDAY(datos_siembra[[#This Row],[Date]],2),"L","M","X","J","V","S","D")</f>
        <v>S</v>
      </c>
      <c r="R4372">
        <f>WEEKNUM(datos_siembra[[#This Row],[Date]],2)-WEEKNUM(DATE(YEAR(datos_siembra[[#This Row],[Date]]),MONTH(datos_siembra[[#This Row],[Date]]),1))+1</f>
        <v>3</v>
      </c>
      <c r="S4372">
        <f>MONTH(datos_siembra[[#This Row],[Date]])</f>
        <v>10</v>
      </c>
      <c r="T4372" t="str" cm="1">
        <f t="array" ref="T4372">_xlfn.IFS(AND(N4372&lt;= 22, S4372=9), "SOWING",AND(N4372&lt;= 28, S4372=9), "COVERAGE",AND(N4372&lt;= 30, S4372=9), "FLUSH",AND(N4372&lt;= 11, S4372=10), "FLUSH",AND(N4372&lt;= 21, S4372=10), "PRODUCTION")</f>
        <v>PRODUCTION</v>
      </c>
      <c r="U4372">
        <f>HOUR(datos_siembra[[#This Row],[Hour]])</f>
        <v>8</v>
      </c>
      <c r="V4372" cm="1">
        <f t="array" ref="V4372">_xlfn.IFS(AND(N4372&lt;= 22, S4372=9), N4372-7,AND(N4372&lt;= 28, S4372=9), N4372-25,AND(N4372&lt;= 30, S4372=9), N4372-28,AND(N4372&lt;= 11, S4372=10), N4372+2,AND(N4372&lt;= 21, S4372=10), N4372-11)</f>
        <v>8</v>
      </c>
    </row>
    <row r="4373" spans="1:22" x14ac:dyDescent="0.35">
      <c r="A4373" s="4">
        <v>45584</v>
      </c>
      <c r="B4373" s="5">
        <v>0.3797800925925926</v>
      </c>
      <c r="C4373">
        <v>64.3</v>
      </c>
      <c r="D4373">
        <v>65.900000000000006</v>
      </c>
      <c r="E4373">
        <v>63.8</v>
      </c>
      <c r="F4373">
        <v>62.7</v>
      </c>
      <c r="G4373">
        <v>0</v>
      </c>
      <c r="H4373">
        <v>0</v>
      </c>
      <c r="I4373">
        <v>0</v>
      </c>
      <c r="J4373">
        <v>0</v>
      </c>
      <c r="K4373">
        <v>61</v>
      </c>
      <c r="L4373">
        <v>61.1</v>
      </c>
      <c r="M4373">
        <v>64.17</v>
      </c>
      <c r="N4373">
        <v>19</v>
      </c>
      <c r="O4373">
        <v>4</v>
      </c>
      <c r="P4373">
        <f>MOD(DAY(datos_siembra[[#This Row],[Date]]),7)</f>
        <v>5</v>
      </c>
      <c r="Q4373" t="str">
        <f>CHOOSE(WEEKDAY(datos_siembra[[#This Row],[Date]],2),"L","M","X","J","V","S","D")</f>
        <v>S</v>
      </c>
      <c r="R4373">
        <f>WEEKNUM(datos_siembra[[#This Row],[Date]],2)-WEEKNUM(DATE(YEAR(datos_siembra[[#This Row],[Date]]),MONTH(datos_siembra[[#This Row],[Date]]),1))+1</f>
        <v>3</v>
      </c>
      <c r="S4373">
        <f>MONTH(datos_siembra[[#This Row],[Date]])</f>
        <v>10</v>
      </c>
      <c r="T4373" t="str" cm="1">
        <f t="array" ref="T4373">_xlfn.IFS(AND(N4373&lt;= 22, S4373=9), "SOWING",AND(N4373&lt;= 28, S4373=9), "COVERAGE",AND(N4373&lt;= 30, S4373=9), "FLUSH",AND(N4373&lt;= 11, S4373=10), "FLUSH",AND(N4373&lt;= 21, S4373=10), "PRODUCTION")</f>
        <v>PRODUCTION</v>
      </c>
      <c r="U4373">
        <f>HOUR(datos_siembra[[#This Row],[Hour]])</f>
        <v>9</v>
      </c>
      <c r="V4373" cm="1">
        <f t="array" ref="V4373">_xlfn.IFS(AND(N4373&lt;= 22, S4373=9), N4373-7,AND(N4373&lt;= 28, S4373=9), N4373-25,AND(N4373&lt;= 30, S4373=9), N4373-28,AND(N4373&lt;= 11, S4373=10), N4373+2,AND(N4373&lt;= 21, S4373=10), N4373-11)</f>
        <v>8</v>
      </c>
    </row>
    <row r="4374" spans="1:22" x14ac:dyDescent="0.35">
      <c r="A4374" s="4">
        <v>45584</v>
      </c>
      <c r="B4374" s="5">
        <v>0.38672453703703702</v>
      </c>
      <c r="C4374">
        <v>64.2</v>
      </c>
      <c r="D4374">
        <v>65.900000000000006</v>
      </c>
      <c r="E4374">
        <v>63.6</v>
      </c>
      <c r="F4374">
        <v>62.7</v>
      </c>
      <c r="G4374">
        <v>0</v>
      </c>
      <c r="H4374">
        <v>0</v>
      </c>
      <c r="I4374">
        <v>0</v>
      </c>
      <c r="J4374">
        <v>0</v>
      </c>
      <c r="K4374">
        <v>60.9</v>
      </c>
      <c r="L4374">
        <v>61</v>
      </c>
      <c r="M4374">
        <v>64.150000000000006</v>
      </c>
      <c r="N4374">
        <v>19</v>
      </c>
      <c r="O4374">
        <v>4</v>
      </c>
      <c r="P4374">
        <f>MOD(DAY(datos_siembra[[#This Row],[Date]]),7)</f>
        <v>5</v>
      </c>
      <c r="Q4374" t="str">
        <f>CHOOSE(WEEKDAY(datos_siembra[[#This Row],[Date]],2),"L","M","X","J","V","S","D")</f>
        <v>S</v>
      </c>
      <c r="R4374">
        <f>WEEKNUM(datos_siembra[[#This Row],[Date]],2)-WEEKNUM(DATE(YEAR(datos_siembra[[#This Row],[Date]]),MONTH(datos_siembra[[#This Row],[Date]]),1))+1</f>
        <v>3</v>
      </c>
      <c r="S4374">
        <f>MONTH(datos_siembra[[#This Row],[Date]])</f>
        <v>10</v>
      </c>
      <c r="T4374" t="str" cm="1">
        <f t="array" ref="T4374">_xlfn.IFS(AND(N4374&lt;= 22, S4374=9), "SOWING",AND(N4374&lt;= 28, S4374=9), "COVERAGE",AND(N4374&lt;= 30, S4374=9), "FLUSH",AND(N4374&lt;= 11, S4374=10), "FLUSH",AND(N4374&lt;= 21, S4374=10), "PRODUCTION")</f>
        <v>PRODUCTION</v>
      </c>
      <c r="U4374">
        <f>HOUR(datos_siembra[[#This Row],[Hour]])</f>
        <v>9</v>
      </c>
      <c r="V4374" cm="1">
        <f t="array" ref="V4374">_xlfn.IFS(AND(N4374&lt;= 22, S4374=9), N4374-7,AND(N4374&lt;= 28, S4374=9), N4374-25,AND(N4374&lt;= 30, S4374=9), N4374-28,AND(N4374&lt;= 11, S4374=10), N4374+2,AND(N4374&lt;= 21, S4374=10), N4374-11)</f>
        <v>8</v>
      </c>
    </row>
    <row r="4375" spans="1:22" x14ac:dyDescent="0.35">
      <c r="A4375" s="4">
        <v>45584</v>
      </c>
      <c r="B4375" s="5">
        <v>0.39368055555555553</v>
      </c>
      <c r="C4375">
        <v>64.3</v>
      </c>
      <c r="D4375">
        <v>65.8</v>
      </c>
      <c r="E4375">
        <v>63.7</v>
      </c>
      <c r="F4375">
        <v>62.8</v>
      </c>
      <c r="G4375">
        <v>0</v>
      </c>
      <c r="H4375">
        <v>0</v>
      </c>
      <c r="I4375">
        <v>0</v>
      </c>
      <c r="J4375">
        <v>0</v>
      </c>
      <c r="K4375">
        <v>61</v>
      </c>
      <c r="L4375">
        <v>61</v>
      </c>
      <c r="M4375">
        <v>64.12</v>
      </c>
      <c r="N4375">
        <v>19</v>
      </c>
      <c r="O4375">
        <v>4</v>
      </c>
      <c r="P4375">
        <f>MOD(DAY(datos_siembra[[#This Row],[Date]]),7)</f>
        <v>5</v>
      </c>
      <c r="Q4375" t="str">
        <f>CHOOSE(WEEKDAY(datos_siembra[[#This Row],[Date]],2),"L","M","X","J","V","S","D")</f>
        <v>S</v>
      </c>
      <c r="R4375">
        <f>WEEKNUM(datos_siembra[[#This Row],[Date]],2)-WEEKNUM(DATE(YEAR(datos_siembra[[#This Row],[Date]]),MONTH(datos_siembra[[#This Row],[Date]]),1))+1</f>
        <v>3</v>
      </c>
      <c r="S4375">
        <f>MONTH(datos_siembra[[#This Row],[Date]])</f>
        <v>10</v>
      </c>
      <c r="T4375" t="str" cm="1">
        <f t="array" ref="T4375">_xlfn.IFS(AND(N4375&lt;= 22, S4375=9), "SOWING",AND(N4375&lt;= 28, S4375=9), "COVERAGE",AND(N4375&lt;= 30, S4375=9), "FLUSH",AND(N4375&lt;= 11, S4375=10), "FLUSH",AND(N4375&lt;= 21, S4375=10), "PRODUCTION")</f>
        <v>PRODUCTION</v>
      </c>
      <c r="U4375">
        <f>HOUR(datos_siembra[[#This Row],[Hour]])</f>
        <v>9</v>
      </c>
      <c r="V4375" cm="1">
        <f t="array" ref="V4375">_xlfn.IFS(AND(N4375&lt;= 22, S4375=9), N4375-7,AND(N4375&lt;= 28, S4375=9), N4375-25,AND(N4375&lt;= 30, S4375=9), N4375-28,AND(N4375&lt;= 11, S4375=10), N4375+2,AND(N4375&lt;= 21, S4375=10), N4375-11)</f>
        <v>8</v>
      </c>
    </row>
    <row r="4376" spans="1:22" x14ac:dyDescent="0.35">
      <c r="A4376" s="4">
        <v>45584</v>
      </c>
      <c r="B4376" s="5">
        <v>0.40062500000000001</v>
      </c>
      <c r="C4376">
        <v>64.2</v>
      </c>
      <c r="D4376">
        <v>65.900000000000006</v>
      </c>
      <c r="E4376">
        <v>63.5</v>
      </c>
      <c r="F4376">
        <v>62.7</v>
      </c>
      <c r="G4376">
        <v>0</v>
      </c>
      <c r="H4376">
        <v>0</v>
      </c>
      <c r="I4376">
        <v>0</v>
      </c>
      <c r="J4376">
        <v>0</v>
      </c>
      <c r="K4376">
        <v>61.1</v>
      </c>
      <c r="L4376">
        <v>61.1</v>
      </c>
      <c r="M4376">
        <v>64.12</v>
      </c>
      <c r="N4376">
        <v>19</v>
      </c>
      <c r="O4376">
        <v>4</v>
      </c>
      <c r="P4376">
        <f>MOD(DAY(datos_siembra[[#This Row],[Date]]),7)</f>
        <v>5</v>
      </c>
      <c r="Q4376" t="str">
        <f>CHOOSE(WEEKDAY(datos_siembra[[#This Row],[Date]],2),"L","M","X","J","V","S","D")</f>
        <v>S</v>
      </c>
      <c r="R4376">
        <f>WEEKNUM(datos_siembra[[#This Row],[Date]],2)-WEEKNUM(DATE(YEAR(datos_siembra[[#This Row],[Date]]),MONTH(datos_siembra[[#This Row],[Date]]),1))+1</f>
        <v>3</v>
      </c>
      <c r="S4376">
        <f>MONTH(datos_siembra[[#This Row],[Date]])</f>
        <v>10</v>
      </c>
      <c r="T4376" t="str" cm="1">
        <f t="array" ref="T4376">_xlfn.IFS(AND(N4376&lt;= 22, S4376=9), "SOWING",AND(N4376&lt;= 28, S4376=9), "COVERAGE",AND(N4376&lt;= 30, S4376=9), "FLUSH",AND(N4376&lt;= 11, S4376=10), "FLUSH",AND(N4376&lt;= 21, S4376=10), "PRODUCTION")</f>
        <v>PRODUCTION</v>
      </c>
      <c r="U4376">
        <f>HOUR(datos_siembra[[#This Row],[Hour]])</f>
        <v>9</v>
      </c>
      <c r="V4376" cm="1">
        <f t="array" ref="V4376">_xlfn.IFS(AND(N4376&lt;= 22, S4376=9), N4376-7,AND(N4376&lt;= 28, S4376=9), N4376-25,AND(N4376&lt;= 30, S4376=9), N4376-28,AND(N4376&lt;= 11, S4376=10), N4376+2,AND(N4376&lt;= 21, S4376=10), N4376-11)</f>
        <v>8</v>
      </c>
    </row>
    <row r="4377" spans="1:22" x14ac:dyDescent="0.35">
      <c r="A4377" s="4">
        <v>45584</v>
      </c>
      <c r="B4377" s="5">
        <v>0.40756944444444443</v>
      </c>
      <c r="C4377">
        <v>64.099999999999994</v>
      </c>
      <c r="D4377">
        <v>65.900000000000006</v>
      </c>
      <c r="E4377">
        <v>63.6</v>
      </c>
      <c r="F4377">
        <v>62.8</v>
      </c>
      <c r="G4377">
        <v>0</v>
      </c>
      <c r="H4377">
        <v>0</v>
      </c>
      <c r="I4377">
        <v>0</v>
      </c>
      <c r="J4377">
        <v>0</v>
      </c>
      <c r="K4377">
        <v>61.1</v>
      </c>
      <c r="L4377">
        <v>61.1</v>
      </c>
      <c r="M4377">
        <v>64.03</v>
      </c>
      <c r="N4377">
        <v>19</v>
      </c>
      <c r="O4377">
        <v>4</v>
      </c>
      <c r="P4377">
        <f>MOD(DAY(datos_siembra[[#This Row],[Date]]),7)</f>
        <v>5</v>
      </c>
      <c r="Q4377" t="str">
        <f>CHOOSE(WEEKDAY(datos_siembra[[#This Row],[Date]],2),"L","M","X","J","V","S","D")</f>
        <v>S</v>
      </c>
      <c r="R4377">
        <f>WEEKNUM(datos_siembra[[#This Row],[Date]],2)-WEEKNUM(DATE(YEAR(datos_siembra[[#This Row],[Date]]),MONTH(datos_siembra[[#This Row],[Date]]),1))+1</f>
        <v>3</v>
      </c>
      <c r="S4377">
        <f>MONTH(datos_siembra[[#This Row],[Date]])</f>
        <v>10</v>
      </c>
      <c r="T4377" t="str" cm="1">
        <f t="array" ref="T4377">_xlfn.IFS(AND(N4377&lt;= 22, S4377=9), "SOWING",AND(N4377&lt;= 28, S4377=9), "COVERAGE",AND(N4377&lt;= 30, S4377=9), "FLUSH",AND(N4377&lt;= 11, S4377=10), "FLUSH",AND(N4377&lt;= 21, S4377=10), "PRODUCTION")</f>
        <v>PRODUCTION</v>
      </c>
      <c r="U4377">
        <f>HOUR(datos_siembra[[#This Row],[Hour]])</f>
        <v>9</v>
      </c>
      <c r="V4377" cm="1">
        <f t="array" ref="V4377">_xlfn.IFS(AND(N4377&lt;= 22, S4377=9), N4377-7,AND(N4377&lt;= 28, S4377=9), N4377-25,AND(N4377&lt;= 30, S4377=9), N4377-28,AND(N4377&lt;= 11, S4377=10), N4377+2,AND(N4377&lt;= 21, S4377=10), N4377-11)</f>
        <v>8</v>
      </c>
    </row>
    <row r="4378" spans="1:22" x14ac:dyDescent="0.35">
      <c r="A4378" s="4">
        <v>45584</v>
      </c>
      <c r="B4378" s="5">
        <v>0.41452546296296294</v>
      </c>
      <c r="C4378">
        <v>64.2</v>
      </c>
      <c r="D4378">
        <v>65.900000000000006</v>
      </c>
      <c r="E4378">
        <v>63.6</v>
      </c>
      <c r="F4378">
        <v>62.8</v>
      </c>
      <c r="G4378">
        <v>0</v>
      </c>
      <c r="H4378">
        <v>0</v>
      </c>
      <c r="I4378">
        <v>0</v>
      </c>
      <c r="J4378">
        <v>0</v>
      </c>
      <c r="K4378">
        <v>61.1</v>
      </c>
      <c r="L4378">
        <v>61.1</v>
      </c>
      <c r="M4378">
        <v>64.12</v>
      </c>
      <c r="N4378">
        <v>19</v>
      </c>
      <c r="O4378">
        <v>4</v>
      </c>
      <c r="P4378">
        <f>MOD(DAY(datos_siembra[[#This Row],[Date]]),7)</f>
        <v>5</v>
      </c>
      <c r="Q4378" t="str">
        <f>CHOOSE(WEEKDAY(datos_siembra[[#This Row],[Date]],2),"L","M","X","J","V","S","D")</f>
        <v>S</v>
      </c>
      <c r="R4378">
        <f>WEEKNUM(datos_siembra[[#This Row],[Date]],2)-WEEKNUM(DATE(YEAR(datos_siembra[[#This Row],[Date]]),MONTH(datos_siembra[[#This Row],[Date]]),1))+1</f>
        <v>3</v>
      </c>
      <c r="S4378">
        <f>MONTH(datos_siembra[[#This Row],[Date]])</f>
        <v>10</v>
      </c>
      <c r="T4378" t="str" cm="1">
        <f t="array" ref="T4378">_xlfn.IFS(AND(N4378&lt;= 22, S4378=9), "SOWING",AND(N4378&lt;= 28, S4378=9), "COVERAGE",AND(N4378&lt;= 30, S4378=9), "FLUSH",AND(N4378&lt;= 11, S4378=10), "FLUSH",AND(N4378&lt;= 21, S4378=10), "PRODUCTION")</f>
        <v>PRODUCTION</v>
      </c>
      <c r="U4378">
        <f>HOUR(datos_siembra[[#This Row],[Hour]])</f>
        <v>9</v>
      </c>
      <c r="V4378" cm="1">
        <f t="array" ref="V4378">_xlfn.IFS(AND(N4378&lt;= 22, S4378=9), N4378-7,AND(N4378&lt;= 28, S4378=9), N4378-25,AND(N4378&lt;= 30, S4378=9), N4378-28,AND(N4378&lt;= 11, S4378=10), N4378+2,AND(N4378&lt;= 21, S4378=10), N4378-11)</f>
        <v>8</v>
      </c>
    </row>
    <row r="4379" spans="1:22" x14ac:dyDescent="0.35">
      <c r="A4379" s="4">
        <v>45584</v>
      </c>
      <c r="B4379" s="5">
        <v>0.42146990740740742</v>
      </c>
      <c r="C4379">
        <v>64.099999999999994</v>
      </c>
      <c r="D4379">
        <v>65.8</v>
      </c>
      <c r="E4379">
        <v>63.6</v>
      </c>
      <c r="F4379">
        <v>62.7</v>
      </c>
      <c r="G4379">
        <v>0</v>
      </c>
      <c r="H4379">
        <v>0</v>
      </c>
      <c r="I4379">
        <v>0</v>
      </c>
      <c r="J4379">
        <v>0</v>
      </c>
      <c r="K4379">
        <v>61.4</v>
      </c>
      <c r="L4379">
        <v>61.2</v>
      </c>
      <c r="M4379">
        <v>64.12</v>
      </c>
      <c r="N4379">
        <v>19</v>
      </c>
      <c r="O4379">
        <v>4</v>
      </c>
      <c r="P4379">
        <f>MOD(DAY(datos_siembra[[#This Row],[Date]]),7)</f>
        <v>5</v>
      </c>
      <c r="Q4379" t="str">
        <f>CHOOSE(WEEKDAY(datos_siembra[[#This Row],[Date]],2),"L","M","X","J","V","S","D")</f>
        <v>S</v>
      </c>
      <c r="R4379">
        <f>WEEKNUM(datos_siembra[[#This Row],[Date]],2)-WEEKNUM(DATE(YEAR(datos_siembra[[#This Row],[Date]]),MONTH(datos_siembra[[#This Row],[Date]]),1))+1</f>
        <v>3</v>
      </c>
      <c r="S4379">
        <f>MONTH(datos_siembra[[#This Row],[Date]])</f>
        <v>10</v>
      </c>
      <c r="T4379" t="str" cm="1">
        <f t="array" ref="T4379">_xlfn.IFS(AND(N4379&lt;= 22, S4379=9), "SOWING",AND(N4379&lt;= 28, S4379=9), "COVERAGE",AND(N4379&lt;= 30, S4379=9), "FLUSH",AND(N4379&lt;= 11, S4379=10), "FLUSH",AND(N4379&lt;= 21, S4379=10), "PRODUCTION")</f>
        <v>PRODUCTION</v>
      </c>
      <c r="U4379">
        <f>HOUR(datos_siembra[[#This Row],[Hour]])</f>
        <v>10</v>
      </c>
      <c r="V4379" cm="1">
        <f t="array" ref="V4379">_xlfn.IFS(AND(N4379&lt;= 22, S4379=9), N4379-7,AND(N4379&lt;= 28, S4379=9), N4379-25,AND(N4379&lt;= 30, S4379=9), N4379-28,AND(N4379&lt;= 11, S4379=10), N4379+2,AND(N4379&lt;= 21, S4379=10), N4379-11)</f>
        <v>8</v>
      </c>
    </row>
    <row r="4380" spans="1:22" x14ac:dyDescent="0.35">
      <c r="A4380" s="4">
        <v>45584</v>
      </c>
      <c r="B4380" s="5">
        <v>0.42841435185185184</v>
      </c>
      <c r="C4380">
        <v>64.3</v>
      </c>
      <c r="D4380">
        <v>65.900000000000006</v>
      </c>
      <c r="E4380">
        <v>63.5</v>
      </c>
      <c r="F4380">
        <v>62.7</v>
      </c>
      <c r="G4380">
        <v>0</v>
      </c>
      <c r="H4380">
        <v>0</v>
      </c>
      <c r="I4380">
        <v>0</v>
      </c>
      <c r="J4380">
        <v>0</v>
      </c>
      <c r="K4380">
        <v>61.4</v>
      </c>
      <c r="L4380">
        <v>61.2</v>
      </c>
      <c r="M4380">
        <v>64.010000000000005</v>
      </c>
      <c r="N4380">
        <v>19</v>
      </c>
      <c r="O4380">
        <v>4</v>
      </c>
      <c r="P4380">
        <f>MOD(DAY(datos_siembra[[#This Row],[Date]]),7)</f>
        <v>5</v>
      </c>
      <c r="Q4380" t="str">
        <f>CHOOSE(WEEKDAY(datos_siembra[[#This Row],[Date]],2),"L","M","X","J","V","S","D")</f>
        <v>S</v>
      </c>
      <c r="R4380">
        <f>WEEKNUM(datos_siembra[[#This Row],[Date]],2)-WEEKNUM(DATE(YEAR(datos_siembra[[#This Row],[Date]]),MONTH(datos_siembra[[#This Row],[Date]]),1))+1</f>
        <v>3</v>
      </c>
      <c r="S4380">
        <f>MONTH(datos_siembra[[#This Row],[Date]])</f>
        <v>10</v>
      </c>
      <c r="T4380" t="str" cm="1">
        <f t="array" ref="T4380">_xlfn.IFS(AND(N4380&lt;= 22, S4380=9), "SOWING",AND(N4380&lt;= 28, S4380=9), "COVERAGE",AND(N4380&lt;= 30, S4380=9), "FLUSH",AND(N4380&lt;= 11, S4380=10), "FLUSH",AND(N4380&lt;= 21, S4380=10), "PRODUCTION")</f>
        <v>PRODUCTION</v>
      </c>
      <c r="U4380">
        <f>HOUR(datos_siembra[[#This Row],[Hour]])</f>
        <v>10</v>
      </c>
      <c r="V4380" cm="1">
        <f t="array" ref="V4380">_xlfn.IFS(AND(N4380&lt;= 22, S4380=9), N4380-7,AND(N4380&lt;= 28, S4380=9), N4380-25,AND(N4380&lt;= 30, S4380=9), N4380-28,AND(N4380&lt;= 11, S4380=10), N4380+2,AND(N4380&lt;= 21, S4380=10), N4380-11)</f>
        <v>8</v>
      </c>
    </row>
    <row r="4381" spans="1:22" x14ac:dyDescent="0.35">
      <c r="A4381" s="4">
        <v>45584</v>
      </c>
      <c r="B4381" s="5">
        <v>0.43535879629629631</v>
      </c>
      <c r="C4381">
        <v>64.099999999999994</v>
      </c>
      <c r="D4381">
        <v>65.900000000000006</v>
      </c>
      <c r="E4381">
        <v>63.5</v>
      </c>
      <c r="F4381">
        <v>62.7</v>
      </c>
      <c r="G4381">
        <v>0</v>
      </c>
      <c r="H4381">
        <v>0</v>
      </c>
      <c r="I4381">
        <v>0</v>
      </c>
      <c r="J4381">
        <v>0</v>
      </c>
      <c r="K4381">
        <v>61.4</v>
      </c>
      <c r="L4381">
        <v>61.4</v>
      </c>
      <c r="M4381">
        <v>63.92</v>
      </c>
      <c r="N4381">
        <v>19</v>
      </c>
      <c r="O4381">
        <v>4</v>
      </c>
      <c r="P4381">
        <f>MOD(DAY(datos_siembra[[#This Row],[Date]]),7)</f>
        <v>5</v>
      </c>
      <c r="Q4381" t="str">
        <f>CHOOSE(WEEKDAY(datos_siembra[[#This Row],[Date]],2),"L","M","X","J","V","S","D")</f>
        <v>S</v>
      </c>
      <c r="R4381">
        <f>WEEKNUM(datos_siembra[[#This Row],[Date]],2)-WEEKNUM(DATE(YEAR(datos_siembra[[#This Row],[Date]]),MONTH(datos_siembra[[#This Row],[Date]]),1))+1</f>
        <v>3</v>
      </c>
      <c r="S4381">
        <f>MONTH(datos_siembra[[#This Row],[Date]])</f>
        <v>10</v>
      </c>
      <c r="T4381" t="str" cm="1">
        <f t="array" ref="T4381">_xlfn.IFS(AND(N4381&lt;= 22, S4381=9), "SOWING",AND(N4381&lt;= 28, S4381=9), "COVERAGE",AND(N4381&lt;= 30, S4381=9), "FLUSH",AND(N4381&lt;= 11, S4381=10), "FLUSH",AND(N4381&lt;= 21, S4381=10), "PRODUCTION")</f>
        <v>PRODUCTION</v>
      </c>
      <c r="U4381">
        <f>HOUR(datos_siembra[[#This Row],[Hour]])</f>
        <v>10</v>
      </c>
      <c r="V4381" cm="1">
        <f t="array" ref="V4381">_xlfn.IFS(AND(N4381&lt;= 22, S4381=9), N4381-7,AND(N4381&lt;= 28, S4381=9), N4381-25,AND(N4381&lt;= 30, S4381=9), N4381-28,AND(N4381&lt;= 11, S4381=10), N4381+2,AND(N4381&lt;= 21, S4381=10), N4381-11)</f>
        <v>8</v>
      </c>
    </row>
    <row r="4382" spans="1:22" x14ac:dyDescent="0.35">
      <c r="A4382" s="4">
        <v>45584</v>
      </c>
      <c r="B4382" s="5">
        <v>0.44231481481481483</v>
      </c>
      <c r="C4382">
        <v>64.099999999999994</v>
      </c>
      <c r="D4382">
        <v>66</v>
      </c>
      <c r="E4382">
        <v>63.4</v>
      </c>
      <c r="F4382">
        <v>62.8</v>
      </c>
      <c r="G4382">
        <v>0</v>
      </c>
      <c r="H4382">
        <v>0</v>
      </c>
      <c r="I4382">
        <v>0</v>
      </c>
      <c r="J4382">
        <v>0</v>
      </c>
      <c r="K4382">
        <v>61.5</v>
      </c>
      <c r="L4382">
        <v>61.4</v>
      </c>
      <c r="M4382">
        <v>63.98</v>
      </c>
      <c r="N4382">
        <v>19</v>
      </c>
      <c r="O4382">
        <v>4</v>
      </c>
      <c r="P4382">
        <f>MOD(DAY(datos_siembra[[#This Row],[Date]]),7)</f>
        <v>5</v>
      </c>
      <c r="Q4382" t="str">
        <f>CHOOSE(WEEKDAY(datos_siembra[[#This Row],[Date]],2),"L","M","X","J","V","S","D")</f>
        <v>S</v>
      </c>
      <c r="R4382">
        <f>WEEKNUM(datos_siembra[[#This Row],[Date]],2)-WEEKNUM(DATE(YEAR(datos_siembra[[#This Row],[Date]]),MONTH(datos_siembra[[#This Row],[Date]]),1))+1</f>
        <v>3</v>
      </c>
      <c r="S4382">
        <f>MONTH(datos_siembra[[#This Row],[Date]])</f>
        <v>10</v>
      </c>
      <c r="T4382" t="str" cm="1">
        <f t="array" ref="T4382">_xlfn.IFS(AND(N4382&lt;= 22, S4382=9), "SOWING",AND(N4382&lt;= 28, S4382=9), "COVERAGE",AND(N4382&lt;= 30, S4382=9), "FLUSH",AND(N4382&lt;= 11, S4382=10), "FLUSH",AND(N4382&lt;= 21, S4382=10), "PRODUCTION")</f>
        <v>PRODUCTION</v>
      </c>
      <c r="U4382">
        <f>HOUR(datos_siembra[[#This Row],[Hour]])</f>
        <v>10</v>
      </c>
      <c r="V4382" cm="1">
        <f t="array" ref="V4382">_xlfn.IFS(AND(N4382&lt;= 22, S4382=9), N4382-7,AND(N4382&lt;= 28, S4382=9), N4382-25,AND(N4382&lt;= 30, S4382=9), N4382-28,AND(N4382&lt;= 11, S4382=10), N4382+2,AND(N4382&lt;= 21, S4382=10), N4382-11)</f>
        <v>8</v>
      </c>
    </row>
    <row r="4383" spans="1:22" x14ac:dyDescent="0.35">
      <c r="A4383" s="4">
        <v>45584</v>
      </c>
      <c r="B4383" s="5">
        <v>0.44925925925925925</v>
      </c>
      <c r="C4383">
        <v>64.099999999999994</v>
      </c>
      <c r="D4383">
        <v>65.900000000000006</v>
      </c>
      <c r="E4383">
        <v>63.4</v>
      </c>
      <c r="F4383">
        <v>62.8</v>
      </c>
      <c r="G4383">
        <v>0</v>
      </c>
      <c r="H4383">
        <v>0</v>
      </c>
      <c r="I4383">
        <v>0</v>
      </c>
      <c r="J4383">
        <v>0</v>
      </c>
      <c r="K4383">
        <v>61.5</v>
      </c>
      <c r="L4383">
        <v>61.5</v>
      </c>
      <c r="M4383">
        <v>64.010000000000005</v>
      </c>
      <c r="N4383">
        <v>19</v>
      </c>
      <c r="O4383">
        <v>4</v>
      </c>
      <c r="P4383">
        <f>MOD(DAY(datos_siembra[[#This Row],[Date]]),7)</f>
        <v>5</v>
      </c>
      <c r="Q4383" t="str">
        <f>CHOOSE(WEEKDAY(datos_siembra[[#This Row],[Date]],2),"L","M","X","J","V","S","D")</f>
        <v>S</v>
      </c>
      <c r="R4383">
        <f>WEEKNUM(datos_siembra[[#This Row],[Date]],2)-WEEKNUM(DATE(YEAR(datos_siembra[[#This Row],[Date]]),MONTH(datos_siembra[[#This Row],[Date]]),1))+1</f>
        <v>3</v>
      </c>
      <c r="S4383">
        <f>MONTH(datos_siembra[[#This Row],[Date]])</f>
        <v>10</v>
      </c>
      <c r="T4383" t="str" cm="1">
        <f t="array" ref="T4383">_xlfn.IFS(AND(N4383&lt;= 22, S4383=9), "SOWING",AND(N4383&lt;= 28, S4383=9), "COVERAGE",AND(N4383&lt;= 30, S4383=9), "FLUSH",AND(N4383&lt;= 11, S4383=10), "FLUSH",AND(N4383&lt;= 21, S4383=10), "PRODUCTION")</f>
        <v>PRODUCTION</v>
      </c>
      <c r="U4383">
        <f>HOUR(datos_siembra[[#This Row],[Hour]])</f>
        <v>10</v>
      </c>
      <c r="V4383" cm="1">
        <f t="array" ref="V4383">_xlfn.IFS(AND(N4383&lt;= 22, S4383=9), N4383-7,AND(N4383&lt;= 28, S4383=9), N4383-25,AND(N4383&lt;= 30, S4383=9), N4383-28,AND(N4383&lt;= 11, S4383=10), N4383+2,AND(N4383&lt;= 21, S4383=10), N4383-11)</f>
        <v>8</v>
      </c>
    </row>
    <row r="4384" spans="1:22" x14ac:dyDescent="0.35">
      <c r="A4384" s="4">
        <v>45584</v>
      </c>
      <c r="B4384" s="5">
        <v>0.45620370370370372</v>
      </c>
      <c r="C4384">
        <v>64.2</v>
      </c>
      <c r="D4384">
        <v>65.900000000000006</v>
      </c>
      <c r="E4384">
        <v>63.3</v>
      </c>
      <c r="F4384">
        <v>62.7</v>
      </c>
      <c r="G4384">
        <v>0</v>
      </c>
      <c r="H4384">
        <v>0</v>
      </c>
      <c r="I4384">
        <v>0</v>
      </c>
      <c r="J4384">
        <v>0</v>
      </c>
      <c r="K4384">
        <v>61.6</v>
      </c>
      <c r="L4384">
        <v>61.5</v>
      </c>
      <c r="M4384">
        <v>63.89</v>
      </c>
      <c r="N4384">
        <v>19</v>
      </c>
      <c r="O4384">
        <v>4</v>
      </c>
      <c r="P4384">
        <f>MOD(DAY(datos_siembra[[#This Row],[Date]]),7)</f>
        <v>5</v>
      </c>
      <c r="Q4384" t="str">
        <f>CHOOSE(WEEKDAY(datos_siembra[[#This Row],[Date]],2),"L","M","X","J","V","S","D")</f>
        <v>S</v>
      </c>
      <c r="R4384">
        <f>WEEKNUM(datos_siembra[[#This Row],[Date]],2)-WEEKNUM(DATE(YEAR(datos_siembra[[#This Row],[Date]]),MONTH(datos_siembra[[#This Row],[Date]]),1))+1</f>
        <v>3</v>
      </c>
      <c r="S4384">
        <f>MONTH(datos_siembra[[#This Row],[Date]])</f>
        <v>10</v>
      </c>
      <c r="T4384" t="str" cm="1">
        <f t="array" ref="T4384">_xlfn.IFS(AND(N4384&lt;= 22, S4384=9), "SOWING",AND(N4384&lt;= 28, S4384=9), "COVERAGE",AND(N4384&lt;= 30, S4384=9), "FLUSH",AND(N4384&lt;= 11, S4384=10), "FLUSH",AND(N4384&lt;= 21, S4384=10), "PRODUCTION")</f>
        <v>PRODUCTION</v>
      </c>
      <c r="U4384">
        <f>HOUR(datos_siembra[[#This Row],[Hour]])</f>
        <v>10</v>
      </c>
      <c r="V4384" cm="1">
        <f t="array" ref="V4384">_xlfn.IFS(AND(N4384&lt;= 22, S4384=9), N4384-7,AND(N4384&lt;= 28, S4384=9), N4384-25,AND(N4384&lt;= 30, S4384=9), N4384-28,AND(N4384&lt;= 11, S4384=10), N4384+2,AND(N4384&lt;= 21, S4384=10), N4384-11)</f>
        <v>8</v>
      </c>
    </row>
    <row r="4385" spans="1:22" x14ac:dyDescent="0.35">
      <c r="A4385" s="4">
        <v>45584</v>
      </c>
      <c r="B4385" s="5">
        <v>0.46314814814814814</v>
      </c>
      <c r="C4385">
        <v>64.2</v>
      </c>
      <c r="D4385">
        <v>65.8</v>
      </c>
      <c r="E4385">
        <v>63.4</v>
      </c>
      <c r="F4385">
        <v>62.6</v>
      </c>
      <c r="G4385">
        <v>0</v>
      </c>
      <c r="H4385">
        <v>0</v>
      </c>
      <c r="I4385">
        <v>0</v>
      </c>
      <c r="J4385">
        <v>0</v>
      </c>
      <c r="K4385">
        <v>61.7</v>
      </c>
      <c r="L4385">
        <v>61.7</v>
      </c>
      <c r="M4385">
        <v>63.98</v>
      </c>
      <c r="N4385">
        <v>19</v>
      </c>
      <c r="O4385">
        <v>4</v>
      </c>
      <c r="P4385">
        <f>MOD(DAY(datos_siembra[[#This Row],[Date]]),7)</f>
        <v>5</v>
      </c>
      <c r="Q4385" t="str">
        <f>CHOOSE(WEEKDAY(datos_siembra[[#This Row],[Date]],2),"L","M","X","J","V","S","D")</f>
        <v>S</v>
      </c>
      <c r="R4385">
        <f>WEEKNUM(datos_siembra[[#This Row],[Date]],2)-WEEKNUM(DATE(YEAR(datos_siembra[[#This Row],[Date]]),MONTH(datos_siembra[[#This Row],[Date]]),1))+1</f>
        <v>3</v>
      </c>
      <c r="S4385">
        <f>MONTH(datos_siembra[[#This Row],[Date]])</f>
        <v>10</v>
      </c>
      <c r="T4385" t="str" cm="1">
        <f t="array" ref="T4385">_xlfn.IFS(AND(N4385&lt;= 22, S4385=9), "SOWING",AND(N4385&lt;= 28, S4385=9), "COVERAGE",AND(N4385&lt;= 30, S4385=9), "FLUSH",AND(N4385&lt;= 11, S4385=10), "FLUSH",AND(N4385&lt;= 21, S4385=10), "PRODUCTION")</f>
        <v>PRODUCTION</v>
      </c>
      <c r="U4385">
        <f>HOUR(datos_siembra[[#This Row],[Hour]])</f>
        <v>11</v>
      </c>
      <c r="V4385" cm="1">
        <f t="array" ref="V4385">_xlfn.IFS(AND(N4385&lt;= 22, S4385=9), N4385-7,AND(N4385&lt;= 28, S4385=9), N4385-25,AND(N4385&lt;= 30, S4385=9), N4385-28,AND(N4385&lt;= 11, S4385=10), N4385+2,AND(N4385&lt;= 21, S4385=10), N4385-11)</f>
        <v>8</v>
      </c>
    </row>
    <row r="4386" spans="1:22" x14ac:dyDescent="0.35">
      <c r="A4386" s="4">
        <v>45584</v>
      </c>
      <c r="B4386" s="5">
        <v>0.47010416666666666</v>
      </c>
      <c r="C4386">
        <v>64.2</v>
      </c>
      <c r="D4386">
        <v>65.8</v>
      </c>
      <c r="E4386">
        <v>63.4</v>
      </c>
      <c r="F4386">
        <v>62.9</v>
      </c>
      <c r="G4386">
        <v>0</v>
      </c>
      <c r="H4386">
        <v>0</v>
      </c>
      <c r="I4386">
        <v>0</v>
      </c>
      <c r="J4386">
        <v>0</v>
      </c>
      <c r="K4386">
        <v>61.9</v>
      </c>
      <c r="L4386">
        <v>61.8</v>
      </c>
      <c r="M4386">
        <v>63.98</v>
      </c>
      <c r="N4386">
        <v>19</v>
      </c>
      <c r="O4386">
        <v>4</v>
      </c>
      <c r="P4386">
        <f>MOD(DAY(datos_siembra[[#This Row],[Date]]),7)</f>
        <v>5</v>
      </c>
      <c r="Q4386" t="str">
        <f>CHOOSE(WEEKDAY(datos_siembra[[#This Row],[Date]],2),"L","M","X","J","V","S","D")</f>
        <v>S</v>
      </c>
      <c r="R4386">
        <f>WEEKNUM(datos_siembra[[#This Row],[Date]],2)-WEEKNUM(DATE(YEAR(datos_siembra[[#This Row],[Date]]),MONTH(datos_siembra[[#This Row],[Date]]),1))+1</f>
        <v>3</v>
      </c>
      <c r="S4386">
        <f>MONTH(datos_siembra[[#This Row],[Date]])</f>
        <v>10</v>
      </c>
      <c r="T4386" t="str" cm="1">
        <f t="array" ref="T4386">_xlfn.IFS(AND(N4386&lt;= 22, S4386=9), "SOWING",AND(N4386&lt;= 28, S4386=9), "COVERAGE",AND(N4386&lt;= 30, S4386=9), "FLUSH",AND(N4386&lt;= 11, S4386=10), "FLUSH",AND(N4386&lt;= 21, S4386=10), "PRODUCTION")</f>
        <v>PRODUCTION</v>
      </c>
      <c r="U4386">
        <f>HOUR(datos_siembra[[#This Row],[Hour]])</f>
        <v>11</v>
      </c>
      <c r="V4386" cm="1">
        <f t="array" ref="V4386">_xlfn.IFS(AND(N4386&lt;= 22, S4386=9), N4386-7,AND(N4386&lt;= 28, S4386=9), N4386-25,AND(N4386&lt;= 30, S4386=9), N4386-28,AND(N4386&lt;= 11, S4386=10), N4386+2,AND(N4386&lt;= 21, S4386=10), N4386-11)</f>
        <v>8</v>
      </c>
    </row>
    <row r="4387" spans="1:22" x14ac:dyDescent="0.35">
      <c r="A4387" s="4">
        <v>45584</v>
      </c>
      <c r="B4387" s="5">
        <v>0.47704861111111113</v>
      </c>
      <c r="C4387">
        <v>64.099999999999994</v>
      </c>
      <c r="D4387">
        <v>65.900000000000006</v>
      </c>
      <c r="E4387">
        <v>63.4</v>
      </c>
      <c r="F4387">
        <v>62.8</v>
      </c>
      <c r="G4387">
        <v>0</v>
      </c>
      <c r="H4387">
        <v>0</v>
      </c>
      <c r="I4387">
        <v>0</v>
      </c>
      <c r="J4387">
        <v>0</v>
      </c>
      <c r="K4387">
        <v>62</v>
      </c>
      <c r="L4387">
        <v>61.8</v>
      </c>
      <c r="M4387">
        <v>63.98</v>
      </c>
      <c r="N4387">
        <v>19</v>
      </c>
      <c r="O4387">
        <v>4</v>
      </c>
      <c r="P4387">
        <f>MOD(DAY(datos_siembra[[#This Row],[Date]]),7)</f>
        <v>5</v>
      </c>
      <c r="Q4387" t="str">
        <f>CHOOSE(WEEKDAY(datos_siembra[[#This Row],[Date]],2),"L","M","X","J","V","S","D")</f>
        <v>S</v>
      </c>
      <c r="R4387">
        <f>WEEKNUM(datos_siembra[[#This Row],[Date]],2)-WEEKNUM(DATE(YEAR(datos_siembra[[#This Row],[Date]]),MONTH(datos_siembra[[#This Row],[Date]]),1))+1</f>
        <v>3</v>
      </c>
      <c r="S4387">
        <f>MONTH(datos_siembra[[#This Row],[Date]])</f>
        <v>10</v>
      </c>
      <c r="T4387" t="str" cm="1">
        <f t="array" ref="T4387">_xlfn.IFS(AND(N4387&lt;= 22, S4387=9), "SOWING",AND(N4387&lt;= 28, S4387=9), "COVERAGE",AND(N4387&lt;= 30, S4387=9), "FLUSH",AND(N4387&lt;= 11, S4387=10), "FLUSH",AND(N4387&lt;= 21, S4387=10), "PRODUCTION")</f>
        <v>PRODUCTION</v>
      </c>
      <c r="U4387">
        <f>HOUR(datos_siembra[[#This Row],[Hour]])</f>
        <v>11</v>
      </c>
      <c r="V4387" cm="1">
        <f t="array" ref="V4387">_xlfn.IFS(AND(N4387&lt;= 22, S4387=9), N4387-7,AND(N4387&lt;= 28, S4387=9), N4387-25,AND(N4387&lt;= 30, S4387=9), N4387-28,AND(N4387&lt;= 11, S4387=10), N4387+2,AND(N4387&lt;= 21, S4387=10), N4387-11)</f>
        <v>8</v>
      </c>
    </row>
    <row r="4388" spans="1:22" x14ac:dyDescent="0.35">
      <c r="A4388" s="4">
        <v>45584</v>
      </c>
      <c r="B4388" s="5">
        <v>0.48399305555555555</v>
      </c>
      <c r="C4388">
        <v>63.9</v>
      </c>
      <c r="D4388">
        <v>65.8</v>
      </c>
      <c r="E4388">
        <v>63.4</v>
      </c>
      <c r="F4388">
        <v>62.8</v>
      </c>
      <c r="G4388">
        <v>0</v>
      </c>
      <c r="H4388">
        <v>0</v>
      </c>
      <c r="I4388">
        <v>0</v>
      </c>
      <c r="J4388">
        <v>0</v>
      </c>
      <c r="K4388">
        <v>62</v>
      </c>
      <c r="L4388">
        <v>61.9</v>
      </c>
      <c r="M4388">
        <v>63.98</v>
      </c>
      <c r="N4388">
        <v>19</v>
      </c>
      <c r="O4388">
        <v>4</v>
      </c>
      <c r="P4388">
        <f>MOD(DAY(datos_siembra[[#This Row],[Date]]),7)</f>
        <v>5</v>
      </c>
      <c r="Q4388" t="str">
        <f>CHOOSE(WEEKDAY(datos_siembra[[#This Row],[Date]],2),"L","M","X","J","V","S","D")</f>
        <v>S</v>
      </c>
      <c r="R4388">
        <f>WEEKNUM(datos_siembra[[#This Row],[Date]],2)-WEEKNUM(DATE(YEAR(datos_siembra[[#This Row],[Date]]),MONTH(datos_siembra[[#This Row],[Date]]),1))+1</f>
        <v>3</v>
      </c>
      <c r="S4388">
        <f>MONTH(datos_siembra[[#This Row],[Date]])</f>
        <v>10</v>
      </c>
      <c r="T4388" t="str" cm="1">
        <f t="array" ref="T4388">_xlfn.IFS(AND(N4388&lt;= 22, S4388=9), "SOWING",AND(N4388&lt;= 28, S4388=9), "COVERAGE",AND(N4388&lt;= 30, S4388=9), "FLUSH",AND(N4388&lt;= 11, S4388=10), "FLUSH",AND(N4388&lt;= 21, S4388=10), "PRODUCTION")</f>
        <v>PRODUCTION</v>
      </c>
      <c r="U4388">
        <f>HOUR(datos_siembra[[#This Row],[Hour]])</f>
        <v>11</v>
      </c>
      <c r="V4388" cm="1">
        <f t="array" ref="V4388">_xlfn.IFS(AND(N4388&lt;= 22, S4388=9), N4388-7,AND(N4388&lt;= 28, S4388=9), N4388-25,AND(N4388&lt;= 30, S4388=9), N4388-28,AND(N4388&lt;= 11, S4388=10), N4388+2,AND(N4388&lt;= 21, S4388=10), N4388-11)</f>
        <v>8</v>
      </c>
    </row>
    <row r="4389" spans="1:22" x14ac:dyDescent="0.35">
      <c r="A4389" s="4">
        <v>45584</v>
      </c>
      <c r="B4389" s="5">
        <v>0.49094907407407407</v>
      </c>
      <c r="C4389">
        <v>63.9</v>
      </c>
      <c r="D4389">
        <v>65.8</v>
      </c>
      <c r="E4389">
        <v>63.4</v>
      </c>
      <c r="F4389">
        <v>62.6</v>
      </c>
      <c r="G4389">
        <v>0</v>
      </c>
      <c r="H4389">
        <v>0</v>
      </c>
      <c r="I4389">
        <v>0</v>
      </c>
      <c r="J4389">
        <v>0</v>
      </c>
      <c r="K4389">
        <v>62.3</v>
      </c>
      <c r="L4389">
        <v>62.2</v>
      </c>
      <c r="M4389">
        <v>64.010000000000005</v>
      </c>
      <c r="N4389">
        <v>19</v>
      </c>
      <c r="O4389">
        <v>4</v>
      </c>
      <c r="P4389">
        <f>MOD(DAY(datos_siembra[[#This Row],[Date]]),7)</f>
        <v>5</v>
      </c>
      <c r="Q4389" t="str">
        <f>CHOOSE(WEEKDAY(datos_siembra[[#This Row],[Date]],2),"L","M","X","J","V","S","D")</f>
        <v>S</v>
      </c>
      <c r="R4389">
        <f>WEEKNUM(datos_siembra[[#This Row],[Date]],2)-WEEKNUM(DATE(YEAR(datos_siembra[[#This Row],[Date]]),MONTH(datos_siembra[[#This Row],[Date]]),1))+1</f>
        <v>3</v>
      </c>
      <c r="S4389">
        <f>MONTH(datos_siembra[[#This Row],[Date]])</f>
        <v>10</v>
      </c>
      <c r="T4389" t="str" cm="1">
        <f t="array" ref="T4389">_xlfn.IFS(AND(N4389&lt;= 22, S4389=9), "SOWING",AND(N4389&lt;= 28, S4389=9), "COVERAGE",AND(N4389&lt;= 30, S4389=9), "FLUSH",AND(N4389&lt;= 11, S4389=10), "FLUSH",AND(N4389&lt;= 21, S4389=10), "PRODUCTION")</f>
        <v>PRODUCTION</v>
      </c>
      <c r="U4389">
        <f>HOUR(datos_siembra[[#This Row],[Hour]])</f>
        <v>11</v>
      </c>
      <c r="V4389" cm="1">
        <f t="array" ref="V4389">_xlfn.IFS(AND(N4389&lt;= 22, S4389=9), N4389-7,AND(N4389&lt;= 28, S4389=9), N4389-25,AND(N4389&lt;= 30, S4389=9), N4389-28,AND(N4389&lt;= 11, S4389=10), N4389+2,AND(N4389&lt;= 21, S4389=10), N4389-11)</f>
        <v>8</v>
      </c>
    </row>
    <row r="4390" spans="1:22" x14ac:dyDescent="0.35">
      <c r="A4390" s="4">
        <v>45584</v>
      </c>
      <c r="B4390" s="5">
        <v>0.49789351851851854</v>
      </c>
      <c r="C4390">
        <v>64.099999999999994</v>
      </c>
      <c r="D4390">
        <v>65.599999999999994</v>
      </c>
      <c r="E4390">
        <v>63.4</v>
      </c>
      <c r="F4390">
        <v>62.8</v>
      </c>
      <c r="G4390">
        <v>0</v>
      </c>
      <c r="H4390">
        <v>0</v>
      </c>
      <c r="I4390">
        <v>0</v>
      </c>
      <c r="J4390">
        <v>0</v>
      </c>
      <c r="K4390">
        <v>62.4</v>
      </c>
      <c r="L4390">
        <v>62.2</v>
      </c>
      <c r="M4390">
        <v>63.92</v>
      </c>
      <c r="N4390">
        <v>19</v>
      </c>
      <c r="O4390">
        <v>4</v>
      </c>
      <c r="P4390">
        <f>MOD(DAY(datos_siembra[[#This Row],[Date]]),7)</f>
        <v>5</v>
      </c>
      <c r="Q4390" t="str">
        <f>CHOOSE(WEEKDAY(datos_siembra[[#This Row],[Date]],2),"L","M","X","J","V","S","D")</f>
        <v>S</v>
      </c>
      <c r="R4390">
        <f>WEEKNUM(datos_siembra[[#This Row],[Date]],2)-WEEKNUM(DATE(YEAR(datos_siembra[[#This Row],[Date]]),MONTH(datos_siembra[[#This Row],[Date]]),1))+1</f>
        <v>3</v>
      </c>
      <c r="S4390">
        <f>MONTH(datos_siembra[[#This Row],[Date]])</f>
        <v>10</v>
      </c>
      <c r="T4390" t="str" cm="1">
        <f t="array" ref="T4390">_xlfn.IFS(AND(N4390&lt;= 22, S4390=9), "SOWING",AND(N4390&lt;= 28, S4390=9), "COVERAGE",AND(N4390&lt;= 30, S4390=9), "FLUSH",AND(N4390&lt;= 11, S4390=10), "FLUSH",AND(N4390&lt;= 21, S4390=10), "PRODUCTION")</f>
        <v>PRODUCTION</v>
      </c>
      <c r="U4390">
        <f>HOUR(datos_siembra[[#This Row],[Hour]])</f>
        <v>11</v>
      </c>
      <c r="V4390" cm="1">
        <f t="array" ref="V4390">_xlfn.IFS(AND(N4390&lt;= 22, S4390=9), N4390-7,AND(N4390&lt;= 28, S4390=9), N4390-25,AND(N4390&lt;= 30, S4390=9), N4390-28,AND(N4390&lt;= 11, S4390=10), N4390+2,AND(N4390&lt;= 21, S4390=10), N4390-11)</f>
        <v>8</v>
      </c>
    </row>
    <row r="4391" spans="1:22" x14ac:dyDescent="0.35">
      <c r="A4391" s="4">
        <v>45584</v>
      </c>
      <c r="B4391" s="5">
        <v>0.50483796296296302</v>
      </c>
      <c r="C4391">
        <v>64.2</v>
      </c>
      <c r="D4391">
        <v>65.900000000000006</v>
      </c>
      <c r="E4391">
        <v>63.4</v>
      </c>
      <c r="F4391">
        <v>62.7</v>
      </c>
      <c r="G4391">
        <v>0</v>
      </c>
      <c r="H4391">
        <v>0</v>
      </c>
      <c r="I4391">
        <v>0</v>
      </c>
      <c r="J4391">
        <v>0</v>
      </c>
      <c r="K4391">
        <v>62.4</v>
      </c>
      <c r="L4391">
        <v>62</v>
      </c>
      <c r="M4391">
        <v>64.03</v>
      </c>
      <c r="N4391">
        <v>19</v>
      </c>
      <c r="O4391">
        <v>4</v>
      </c>
      <c r="P4391">
        <f>MOD(DAY(datos_siembra[[#This Row],[Date]]),7)</f>
        <v>5</v>
      </c>
      <c r="Q4391" t="str">
        <f>CHOOSE(WEEKDAY(datos_siembra[[#This Row],[Date]],2),"L","M","X","J","V","S","D")</f>
        <v>S</v>
      </c>
      <c r="R4391">
        <f>WEEKNUM(datos_siembra[[#This Row],[Date]],2)-WEEKNUM(DATE(YEAR(datos_siembra[[#This Row],[Date]]),MONTH(datos_siembra[[#This Row],[Date]]),1))+1</f>
        <v>3</v>
      </c>
      <c r="S4391">
        <f>MONTH(datos_siembra[[#This Row],[Date]])</f>
        <v>10</v>
      </c>
      <c r="T4391" t="str" cm="1">
        <f t="array" ref="T4391">_xlfn.IFS(AND(N4391&lt;= 22, S4391=9), "SOWING",AND(N4391&lt;= 28, S4391=9), "COVERAGE",AND(N4391&lt;= 30, S4391=9), "FLUSH",AND(N4391&lt;= 11, S4391=10), "FLUSH",AND(N4391&lt;= 21, S4391=10), "PRODUCTION")</f>
        <v>PRODUCTION</v>
      </c>
      <c r="U4391">
        <f>HOUR(datos_siembra[[#This Row],[Hour]])</f>
        <v>12</v>
      </c>
      <c r="V4391" cm="1">
        <f t="array" ref="V4391">_xlfn.IFS(AND(N4391&lt;= 22, S4391=9), N4391-7,AND(N4391&lt;= 28, S4391=9), N4391-25,AND(N4391&lt;= 30, S4391=9), N4391-28,AND(N4391&lt;= 11, S4391=10), N4391+2,AND(N4391&lt;= 21, S4391=10), N4391-11)</f>
        <v>8</v>
      </c>
    </row>
    <row r="4392" spans="1:22" x14ac:dyDescent="0.35">
      <c r="A4392" s="4">
        <v>45584</v>
      </c>
      <c r="B4392" s="5">
        <v>0.51178240740740744</v>
      </c>
      <c r="C4392">
        <v>64.3</v>
      </c>
      <c r="D4392">
        <v>65.900000000000006</v>
      </c>
      <c r="E4392">
        <v>63.5</v>
      </c>
      <c r="F4392">
        <v>62.9</v>
      </c>
      <c r="G4392">
        <v>0</v>
      </c>
      <c r="H4392">
        <v>0</v>
      </c>
      <c r="I4392">
        <v>0</v>
      </c>
      <c r="J4392">
        <v>0</v>
      </c>
      <c r="K4392">
        <v>62.6</v>
      </c>
      <c r="L4392">
        <v>62.4</v>
      </c>
      <c r="M4392">
        <v>64.06</v>
      </c>
      <c r="N4392">
        <v>19</v>
      </c>
      <c r="O4392">
        <v>4</v>
      </c>
      <c r="P4392">
        <f>MOD(DAY(datos_siembra[[#This Row],[Date]]),7)</f>
        <v>5</v>
      </c>
      <c r="Q4392" t="str">
        <f>CHOOSE(WEEKDAY(datos_siembra[[#This Row],[Date]],2),"L","M","X","J","V","S","D")</f>
        <v>S</v>
      </c>
      <c r="R4392">
        <f>WEEKNUM(datos_siembra[[#This Row],[Date]],2)-WEEKNUM(DATE(YEAR(datos_siembra[[#This Row],[Date]]),MONTH(datos_siembra[[#This Row],[Date]]),1))+1</f>
        <v>3</v>
      </c>
      <c r="S4392">
        <f>MONTH(datos_siembra[[#This Row],[Date]])</f>
        <v>10</v>
      </c>
      <c r="T4392" t="str" cm="1">
        <f t="array" ref="T4392">_xlfn.IFS(AND(N4392&lt;= 22, S4392=9), "SOWING",AND(N4392&lt;= 28, S4392=9), "COVERAGE",AND(N4392&lt;= 30, S4392=9), "FLUSH",AND(N4392&lt;= 11, S4392=10), "FLUSH",AND(N4392&lt;= 21, S4392=10), "PRODUCTION")</f>
        <v>PRODUCTION</v>
      </c>
      <c r="U4392">
        <f>HOUR(datos_siembra[[#This Row],[Hour]])</f>
        <v>12</v>
      </c>
      <c r="V4392" cm="1">
        <f t="array" ref="V4392">_xlfn.IFS(AND(N4392&lt;= 22, S4392=9), N4392-7,AND(N4392&lt;= 28, S4392=9), N4392-25,AND(N4392&lt;= 30, S4392=9), N4392-28,AND(N4392&lt;= 11, S4392=10), N4392+2,AND(N4392&lt;= 21, S4392=10), N4392-11)</f>
        <v>8</v>
      </c>
    </row>
    <row r="4393" spans="1:22" x14ac:dyDescent="0.35">
      <c r="A4393" s="4">
        <v>45584</v>
      </c>
      <c r="B4393" s="5">
        <v>0.51873842592592589</v>
      </c>
      <c r="C4393">
        <v>64.2</v>
      </c>
      <c r="D4393">
        <v>65.900000000000006</v>
      </c>
      <c r="E4393">
        <v>63.4</v>
      </c>
      <c r="F4393">
        <v>62.9</v>
      </c>
      <c r="G4393">
        <v>0</v>
      </c>
      <c r="H4393">
        <v>0</v>
      </c>
      <c r="I4393">
        <v>0</v>
      </c>
      <c r="J4393">
        <v>0</v>
      </c>
      <c r="K4393">
        <v>62.8</v>
      </c>
      <c r="L4393">
        <v>62.6</v>
      </c>
      <c r="M4393">
        <v>64.150000000000006</v>
      </c>
      <c r="N4393">
        <v>19</v>
      </c>
      <c r="O4393">
        <v>4</v>
      </c>
      <c r="P4393">
        <f>MOD(DAY(datos_siembra[[#This Row],[Date]]),7)</f>
        <v>5</v>
      </c>
      <c r="Q4393" t="str">
        <f>CHOOSE(WEEKDAY(datos_siembra[[#This Row],[Date]],2),"L","M","X","J","V","S","D")</f>
        <v>S</v>
      </c>
      <c r="R4393">
        <f>WEEKNUM(datos_siembra[[#This Row],[Date]],2)-WEEKNUM(DATE(YEAR(datos_siembra[[#This Row],[Date]]),MONTH(datos_siembra[[#This Row],[Date]]),1))+1</f>
        <v>3</v>
      </c>
      <c r="S4393">
        <f>MONTH(datos_siembra[[#This Row],[Date]])</f>
        <v>10</v>
      </c>
      <c r="T4393" t="str" cm="1">
        <f t="array" ref="T4393">_xlfn.IFS(AND(N4393&lt;= 22, S4393=9), "SOWING",AND(N4393&lt;= 28, S4393=9), "COVERAGE",AND(N4393&lt;= 30, S4393=9), "FLUSH",AND(N4393&lt;= 11, S4393=10), "FLUSH",AND(N4393&lt;= 21, S4393=10), "PRODUCTION")</f>
        <v>PRODUCTION</v>
      </c>
      <c r="U4393">
        <f>HOUR(datos_siembra[[#This Row],[Hour]])</f>
        <v>12</v>
      </c>
      <c r="V4393" cm="1">
        <f t="array" ref="V4393">_xlfn.IFS(AND(N4393&lt;= 22, S4393=9), N4393-7,AND(N4393&lt;= 28, S4393=9), N4393-25,AND(N4393&lt;= 30, S4393=9), N4393-28,AND(N4393&lt;= 11, S4393=10), N4393+2,AND(N4393&lt;= 21, S4393=10), N4393-11)</f>
        <v>8</v>
      </c>
    </row>
    <row r="4394" spans="1:22" x14ac:dyDescent="0.35">
      <c r="A4394" s="4">
        <v>45584</v>
      </c>
      <c r="B4394" s="5">
        <v>0.52568287037037043</v>
      </c>
      <c r="C4394">
        <v>64.2</v>
      </c>
      <c r="D4394">
        <v>65.900000000000006</v>
      </c>
      <c r="E4394">
        <v>63.4</v>
      </c>
      <c r="F4394">
        <v>62.8</v>
      </c>
      <c r="G4394">
        <v>0</v>
      </c>
      <c r="H4394">
        <v>0</v>
      </c>
      <c r="I4394">
        <v>0</v>
      </c>
      <c r="J4394">
        <v>0</v>
      </c>
      <c r="K4394">
        <v>62.9</v>
      </c>
      <c r="L4394">
        <v>62.5</v>
      </c>
      <c r="M4394">
        <v>64.06</v>
      </c>
      <c r="N4394">
        <v>19</v>
      </c>
      <c r="O4394">
        <v>4</v>
      </c>
      <c r="P4394">
        <f>MOD(DAY(datos_siembra[[#This Row],[Date]]),7)</f>
        <v>5</v>
      </c>
      <c r="Q4394" t="str">
        <f>CHOOSE(WEEKDAY(datos_siembra[[#This Row],[Date]],2),"L","M","X","J","V","S","D")</f>
        <v>S</v>
      </c>
      <c r="R4394">
        <f>WEEKNUM(datos_siembra[[#This Row],[Date]],2)-WEEKNUM(DATE(YEAR(datos_siembra[[#This Row],[Date]]),MONTH(datos_siembra[[#This Row],[Date]]),1))+1</f>
        <v>3</v>
      </c>
      <c r="S4394">
        <f>MONTH(datos_siembra[[#This Row],[Date]])</f>
        <v>10</v>
      </c>
      <c r="T4394" t="str" cm="1">
        <f t="array" ref="T4394">_xlfn.IFS(AND(N4394&lt;= 22, S4394=9), "SOWING",AND(N4394&lt;= 28, S4394=9), "COVERAGE",AND(N4394&lt;= 30, S4394=9), "FLUSH",AND(N4394&lt;= 11, S4394=10), "FLUSH",AND(N4394&lt;= 21, S4394=10), "PRODUCTION")</f>
        <v>PRODUCTION</v>
      </c>
      <c r="U4394">
        <f>HOUR(datos_siembra[[#This Row],[Hour]])</f>
        <v>12</v>
      </c>
      <c r="V4394" cm="1">
        <f t="array" ref="V4394">_xlfn.IFS(AND(N4394&lt;= 22, S4394=9), N4394-7,AND(N4394&lt;= 28, S4394=9), N4394-25,AND(N4394&lt;= 30, S4394=9), N4394-28,AND(N4394&lt;= 11, S4394=10), N4394+2,AND(N4394&lt;= 21, S4394=10), N4394-11)</f>
        <v>8</v>
      </c>
    </row>
    <row r="4395" spans="1:22" x14ac:dyDescent="0.35">
      <c r="A4395" s="4">
        <v>45584</v>
      </c>
      <c r="B4395" s="5">
        <v>0.53262731481481485</v>
      </c>
      <c r="C4395">
        <v>64.2</v>
      </c>
      <c r="D4395">
        <v>65.8</v>
      </c>
      <c r="E4395">
        <v>63.4</v>
      </c>
      <c r="F4395">
        <v>62.8</v>
      </c>
      <c r="G4395">
        <v>0</v>
      </c>
      <c r="H4395">
        <v>0</v>
      </c>
      <c r="I4395">
        <v>0</v>
      </c>
      <c r="J4395">
        <v>0</v>
      </c>
      <c r="K4395">
        <v>63</v>
      </c>
      <c r="L4395">
        <v>62.8</v>
      </c>
      <c r="M4395">
        <v>64.03</v>
      </c>
      <c r="N4395">
        <v>19</v>
      </c>
      <c r="O4395">
        <v>4</v>
      </c>
      <c r="P4395">
        <f>MOD(DAY(datos_siembra[[#This Row],[Date]]),7)</f>
        <v>5</v>
      </c>
      <c r="Q4395" t="str">
        <f>CHOOSE(WEEKDAY(datos_siembra[[#This Row],[Date]],2),"L","M","X","J","V","S","D")</f>
        <v>S</v>
      </c>
      <c r="R4395">
        <f>WEEKNUM(datos_siembra[[#This Row],[Date]],2)-WEEKNUM(DATE(YEAR(datos_siembra[[#This Row],[Date]]),MONTH(datos_siembra[[#This Row],[Date]]),1))+1</f>
        <v>3</v>
      </c>
      <c r="S4395">
        <f>MONTH(datos_siembra[[#This Row],[Date]])</f>
        <v>10</v>
      </c>
      <c r="T4395" t="str" cm="1">
        <f t="array" ref="T4395">_xlfn.IFS(AND(N4395&lt;= 22, S4395=9), "SOWING",AND(N4395&lt;= 28, S4395=9), "COVERAGE",AND(N4395&lt;= 30, S4395=9), "FLUSH",AND(N4395&lt;= 11, S4395=10), "FLUSH",AND(N4395&lt;= 21, S4395=10), "PRODUCTION")</f>
        <v>PRODUCTION</v>
      </c>
      <c r="U4395">
        <f>HOUR(datos_siembra[[#This Row],[Hour]])</f>
        <v>12</v>
      </c>
      <c r="V4395" cm="1">
        <f t="array" ref="V4395">_xlfn.IFS(AND(N4395&lt;= 22, S4395=9), N4395-7,AND(N4395&lt;= 28, S4395=9), N4395-25,AND(N4395&lt;= 30, S4395=9), N4395-28,AND(N4395&lt;= 11, S4395=10), N4395+2,AND(N4395&lt;= 21, S4395=10), N4395-11)</f>
        <v>8</v>
      </c>
    </row>
    <row r="4396" spans="1:22" x14ac:dyDescent="0.35">
      <c r="A4396" s="4">
        <v>45584</v>
      </c>
      <c r="B4396" s="5">
        <v>0.5395833333333333</v>
      </c>
      <c r="C4396">
        <v>64.2</v>
      </c>
      <c r="D4396">
        <v>65.8</v>
      </c>
      <c r="E4396">
        <v>63.4</v>
      </c>
      <c r="F4396">
        <v>62.7</v>
      </c>
      <c r="G4396">
        <v>0</v>
      </c>
      <c r="H4396">
        <v>0</v>
      </c>
      <c r="I4396">
        <v>0</v>
      </c>
      <c r="J4396">
        <v>0</v>
      </c>
      <c r="K4396">
        <v>63.3</v>
      </c>
      <c r="L4396">
        <v>62.9</v>
      </c>
      <c r="M4396">
        <v>64.03</v>
      </c>
      <c r="N4396">
        <v>19</v>
      </c>
      <c r="O4396">
        <v>4</v>
      </c>
      <c r="P4396">
        <f>MOD(DAY(datos_siembra[[#This Row],[Date]]),7)</f>
        <v>5</v>
      </c>
      <c r="Q4396" t="str">
        <f>CHOOSE(WEEKDAY(datos_siembra[[#This Row],[Date]],2),"L","M","X","J","V","S","D")</f>
        <v>S</v>
      </c>
      <c r="R4396">
        <f>WEEKNUM(datos_siembra[[#This Row],[Date]],2)-WEEKNUM(DATE(YEAR(datos_siembra[[#This Row],[Date]]),MONTH(datos_siembra[[#This Row],[Date]]),1))+1</f>
        <v>3</v>
      </c>
      <c r="S4396">
        <f>MONTH(datos_siembra[[#This Row],[Date]])</f>
        <v>10</v>
      </c>
      <c r="T4396" t="str" cm="1">
        <f t="array" ref="T4396">_xlfn.IFS(AND(N4396&lt;= 22, S4396=9), "SOWING",AND(N4396&lt;= 28, S4396=9), "COVERAGE",AND(N4396&lt;= 30, S4396=9), "FLUSH",AND(N4396&lt;= 11, S4396=10), "FLUSH",AND(N4396&lt;= 21, S4396=10), "PRODUCTION")</f>
        <v>PRODUCTION</v>
      </c>
      <c r="U4396">
        <f>HOUR(datos_siembra[[#This Row],[Hour]])</f>
        <v>12</v>
      </c>
      <c r="V4396" cm="1">
        <f t="array" ref="V4396">_xlfn.IFS(AND(N4396&lt;= 22, S4396=9), N4396-7,AND(N4396&lt;= 28, S4396=9), N4396-25,AND(N4396&lt;= 30, S4396=9), N4396-28,AND(N4396&lt;= 11, S4396=10), N4396+2,AND(N4396&lt;= 21, S4396=10), N4396-11)</f>
        <v>8</v>
      </c>
    </row>
    <row r="4397" spans="1:22" x14ac:dyDescent="0.35">
      <c r="A4397" s="4">
        <v>45584</v>
      </c>
      <c r="B4397" s="5">
        <v>0.54652777777777772</v>
      </c>
      <c r="C4397">
        <v>64.2</v>
      </c>
      <c r="D4397">
        <v>65.8</v>
      </c>
      <c r="E4397">
        <v>63.3</v>
      </c>
      <c r="F4397">
        <v>62.8</v>
      </c>
      <c r="G4397">
        <v>0</v>
      </c>
      <c r="H4397">
        <v>0</v>
      </c>
      <c r="I4397">
        <v>0</v>
      </c>
      <c r="J4397">
        <v>0</v>
      </c>
      <c r="K4397">
        <v>63.6</v>
      </c>
      <c r="L4397">
        <v>63.3</v>
      </c>
      <c r="M4397">
        <v>63.98</v>
      </c>
      <c r="N4397">
        <v>19</v>
      </c>
      <c r="O4397">
        <v>4</v>
      </c>
      <c r="P4397">
        <f>MOD(DAY(datos_siembra[[#This Row],[Date]]),7)</f>
        <v>5</v>
      </c>
      <c r="Q4397" t="str">
        <f>CHOOSE(WEEKDAY(datos_siembra[[#This Row],[Date]],2),"L","M","X","J","V","S","D")</f>
        <v>S</v>
      </c>
      <c r="R4397">
        <f>WEEKNUM(datos_siembra[[#This Row],[Date]],2)-WEEKNUM(DATE(YEAR(datos_siembra[[#This Row],[Date]]),MONTH(datos_siembra[[#This Row],[Date]]),1))+1</f>
        <v>3</v>
      </c>
      <c r="S4397">
        <f>MONTH(datos_siembra[[#This Row],[Date]])</f>
        <v>10</v>
      </c>
      <c r="T4397" t="str" cm="1">
        <f t="array" ref="T4397">_xlfn.IFS(AND(N4397&lt;= 22, S4397=9), "SOWING",AND(N4397&lt;= 28, S4397=9), "COVERAGE",AND(N4397&lt;= 30, S4397=9), "FLUSH",AND(N4397&lt;= 11, S4397=10), "FLUSH",AND(N4397&lt;= 21, S4397=10), "PRODUCTION")</f>
        <v>PRODUCTION</v>
      </c>
      <c r="U4397">
        <f>HOUR(datos_siembra[[#This Row],[Hour]])</f>
        <v>13</v>
      </c>
      <c r="V4397" cm="1">
        <f t="array" ref="V4397">_xlfn.IFS(AND(N4397&lt;= 22, S4397=9), N4397-7,AND(N4397&lt;= 28, S4397=9), N4397-25,AND(N4397&lt;= 30, S4397=9), N4397-28,AND(N4397&lt;= 11, S4397=10), N4397+2,AND(N4397&lt;= 21, S4397=10), N4397-11)</f>
        <v>8</v>
      </c>
    </row>
    <row r="4398" spans="1:22" x14ac:dyDescent="0.35">
      <c r="A4398" s="4">
        <v>45584</v>
      </c>
      <c r="B4398" s="5">
        <v>0.55347222222222225</v>
      </c>
      <c r="C4398">
        <v>64.3</v>
      </c>
      <c r="D4398">
        <v>65.599999999999994</v>
      </c>
      <c r="E4398">
        <v>63.4</v>
      </c>
      <c r="F4398">
        <v>62.8</v>
      </c>
      <c r="G4398">
        <v>0</v>
      </c>
      <c r="H4398">
        <v>0</v>
      </c>
      <c r="I4398">
        <v>0</v>
      </c>
      <c r="J4398">
        <v>0</v>
      </c>
      <c r="K4398">
        <v>63.5</v>
      </c>
      <c r="L4398">
        <v>63.2</v>
      </c>
      <c r="M4398">
        <v>64.03</v>
      </c>
      <c r="N4398">
        <v>19</v>
      </c>
      <c r="O4398">
        <v>4</v>
      </c>
      <c r="P4398">
        <f>MOD(DAY(datos_siembra[[#This Row],[Date]]),7)</f>
        <v>5</v>
      </c>
      <c r="Q4398" t="str">
        <f>CHOOSE(WEEKDAY(datos_siembra[[#This Row],[Date]],2),"L","M","X","J","V","S","D")</f>
        <v>S</v>
      </c>
      <c r="R4398">
        <f>WEEKNUM(datos_siembra[[#This Row],[Date]],2)-WEEKNUM(DATE(YEAR(datos_siembra[[#This Row],[Date]]),MONTH(datos_siembra[[#This Row],[Date]]),1))+1</f>
        <v>3</v>
      </c>
      <c r="S4398">
        <f>MONTH(datos_siembra[[#This Row],[Date]])</f>
        <v>10</v>
      </c>
      <c r="T4398" t="str" cm="1">
        <f t="array" ref="T4398">_xlfn.IFS(AND(N4398&lt;= 22, S4398=9), "SOWING",AND(N4398&lt;= 28, S4398=9), "COVERAGE",AND(N4398&lt;= 30, S4398=9), "FLUSH",AND(N4398&lt;= 11, S4398=10), "FLUSH",AND(N4398&lt;= 21, S4398=10), "PRODUCTION")</f>
        <v>PRODUCTION</v>
      </c>
      <c r="U4398">
        <f>HOUR(datos_siembra[[#This Row],[Hour]])</f>
        <v>13</v>
      </c>
      <c r="V4398" cm="1">
        <f t="array" ref="V4398">_xlfn.IFS(AND(N4398&lt;= 22, S4398=9), N4398-7,AND(N4398&lt;= 28, S4398=9), N4398-25,AND(N4398&lt;= 30, S4398=9), N4398-28,AND(N4398&lt;= 11, S4398=10), N4398+2,AND(N4398&lt;= 21, S4398=10), N4398-11)</f>
        <v>8</v>
      </c>
    </row>
    <row r="4399" spans="1:22" x14ac:dyDescent="0.35">
      <c r="A4399" s="4">
        <v>45584</v>
      </c>
      <c r="B4399" s="5">
        <v>0.56042824074074071</v>
      </c>
      <c r="C4399">
        <v>64.2</v>
      </c>
      <c r="D4399">
        <v>65.8</v>
      </c>
      <c r="E4399">
        <v>63.3</v>
      </c>
      <c r="F4399">
        <v>63</v>
      </c>
      <c r="G4399">
        <v>0</v>
      </c>
      <c r="H4399">
        <v>0</v>
      </c>
      <c r="I4399">
        <v>0</v>
      </c>
      <c r="J4399">
        <v>0</v>
      </c>
      <c r="K4399">
        <v>63.4</v>
      </c>
      <c r="L4399">
        <v>63</v>
      </c>
      <c r="M4399">
        <v>64.06</v>
      </c>
      <c r="N4399">
        <v>19</v>
      </c>
      <c r="O4399">
        <v>4</v>
      </c>
      <c r="P4399">
        <f>MOD(DAY(datos_siembra[[#This Row],[Date]]),7)</f>
        <v>5</v>
      </c>
      <c r="Q4399" t="str">
        <f>CHOOSE(WEEKDAY(datos_siembra[[#This Row],[Date]],2),"L","M","X","J","V","S","D")</f>
        <v>S</v>
      </c>
      <c r="R4399">
        <f>WEEKNUM(datos_siembra[[#This Row],[Date]],2)-WEEKNUM(DATE(YEAR(datos_siembra[[#This Row],[Date]]),MONTH(datos_siembra[[#This Row],[Date]]),1))+1</f>
        <v>3</v>
      </c>
      <c r="S4399">
        <f>MONTH(datos_siembra[[#This Row],[Date]])</f>
        <v>10</v>
      </c>
      <c r="T4399" t="str" cm="1">
        <f t="array" ref="T4399">_xlfn.IFS(AND(N4399&lt;= 22, S4399=9), "SOWING",AND(N4399&lt;= 28, S4399=9), "COVERAGE",AND(N4399&lt;= 30, S4399=9), "FLUSH",AND(N4399&lt;= 11, S4399=10), "FLUSH",AND(N4399&lt;= 21, S4399=10), "PRODUCTION")</f>
        <v>PRODUCTION</v>
      </c>
      <c r="U4399">
        <f>HOUR(datos_siembra[[#This Row],[Hour]])</f>
        <v>13</v>
      </c>
      <c r="V4399" cm="1">
        <f t="array" ref="V4399">_xlfn.IFS(AND(N4399&lt;= 22, S4399=9), N4399-7,AND(N4399&lt;= 28, S4399=9), N4399-25,AND(N4399&lt;= 30, S4399=9), N4399-28,AND(N4399&lt;= 11, S4399=10), N4399+2,AND(N4399&lt;= 21, S4399=10), N4399-11)</f>
        <v>8</v>
      </c>
    </row>
    <row r="4400" spans="1:22" x14ac:dyDescent="0.35">
      <c r="A4400" s="4">
        <v>45584</v>
      </c>
      <c r="B4400" s="5">
        <v>0.56737268518518513</v>
      </c>
      <c r="C4400">
        <v>64.2</v>
      </c>
      <c r="D4400">
        <v>65.8</v>
      </c>
      <c r="E4400">
        <v>63.3</v>
      </c>
      <c r="F4400">
        <v>63</v>
      </c>
      <c r="G4400">
        <v>0</v>
      </c>
      <c r="H4400">
        <v>0</v>
      </c>
      <c r="I4400">
        <v>0</v>
      </c>
      <c r="J4400">
        <v>0</v>
      </c>
      <c r="K4400">
        <v>63.4</v>
      </c>
      <c r="L4400">
        <v>63.2</v>
      </c>
      <c r="M4400">
        <v>64.010000000000005</v>
      </c>
      <c r="N4400">
        <v>19</v>
      </c>
      <c r="O4400">
        <v>4</v>
      </c>
      <c r="P4400">
        <f>MOD(DAY(datos_siembra[[#This Row],[Date]]),7)</f>
        <v>5</v>
      </c>
      <c r="Q4400" t="str">
        <f>CHOOSE(WEEKDAY(datos_siembra[[#This Row],[Date]],2),"L","M","X","J","V","S","D")</f>
        <v>S</v>
      </c>
      <c r="R4400">
        <f>WEEKNUM(datos_siembra[[#This Row],[Date]],2)-WEEKNUM(DATE(YEAR(datos_siembra[[#This Row],[Date]]),MONTH(datos_siembra[[#This Row],[Date]]),1))+1</f>
        <v>3</v>
      </c>
      <c r="S4400">
        <f>MONTH(datos_siembra[[#This Row],[Date]])</f>
        <v>10</v>
      </c>
      <c r="T4400" t="str" cm="1">
        <f t="array" ref="T4400">_xlfn.IFS(AND(N4400&lt;= 22, S4400=9), "SOWING",AND(N4400&lt;= 28, S4400=9), "COVERAGE",AND(N4400&lt;= 30, S4400=9), "FLUSH",AND(N4400&lt;= 11, S4400=10), "FLUSH",AND(N4400&lt;= 21, S4400=10), "PRODUCTION")</f>
        <v>PRODUCTION</v>
      </c>
      <c r="U4400">
        <f>HOUR(datos_siembra[[#This Row],[Hour]])</f>
        <v>13</v>
      </c>
      <c r="V4400" cm="1">
        <f t="array" ref="V4400">_xlfn.IFS(AND(N4400&lt;= 22, S4400=9), N4400-7,AND(N4400&lt;= 28, S4400=9), N4400-25,AND(N4400&lt;= 30, S4400=9), N4400-28,AND(N4400&lt;= 11, S4400=10), N4400+2,AND(N4400&lt;= 21, S4400=10), N4400-11)</f>
        <v>8</v>
      </c>
    </row>
    <row r="4401" spans="1:22" x14ac:dyDescent="0.35">
      <c r="A4401" s="4">
        <v>45584</v>
      </c>
      <c r="B4401" s="5">
        <v>0.57431712962962966</v>
      </c>
      <c r="C4401">
        <v>64.2</v>
      </c>
      <c r="D4401">
        <v>65.8</v>
      </c>
      <c r="E4401">
        <v>63.3</v>
      </c>
      <c r="F4401">
        <v>62.9</v>
      </c>
      <c r="G4401">
        <v>0</v>
      </c>
      <c r="H4401">
        <v>0</v>
      </c>
      <c r="I4401">
        <v>0</v>
      </c>
      <c r="J4401">
        <v>0</v>
      </c>
      <c r="K4401">
        <v>63.4</v>
      </c>
      <c r="L4401">
        <v>63.2</v>
      </c>
      <c r="M4401">
        <v>64.010000000000005</v>
      </c>
      <c r="N4401">
        <v>19</v>
      </c>
      <c r="O4401">
        <v>4</v>
      </c>
      <c r="P4401">
        <f>MOD(DAY(datos_siembra[[#This Row],[Date]]),7)</f>
        <v>5</v>
      </c>
      <c r="Q4401" t="str">
        <f>CHOOSE(WEEKDAY(datos_siembra[[#This Row],[Date]],2),"L","M","X","J","V","S","D")</f>
        <v>S</v>
      </c>
      <c r="R4401">
        <f>WEEKNUM(datos_siembra[[#This Row],[Date]],2)-WEEKNUM(DATE(YEAR(datos_siembra[[#This Row],[Date]]),MONTH(datos_siembra[[#This Row],[Date]]),1))+1</f>
        <v>3</v>
      </c>
      <c r="S4401">
        <f>MONTH(datos_siembra[[#This Row],[Date]])</f>
        <v>10</v>
      </c>
      <c r="T4401" t="str" cm="1">
        <f t="array" ref="T4401">_xlfn.IFS(AND(N4401&lt;= 22, S4401=9), "SOWING",AND(N4401&lt;= 28, S4401=9), "COVERAGE",AND(N4401&lt;= 30, S4401=9), "FLUSH",AND(N4401&lt;= 11, S4401=10), "FLUSH",AND(N4401&lt;= 21, S4401=10), "PRODUCTION")</f>
        <v>PRODUCTION</v>
      </c>
      <c r="U4401">
        <f>HOUR(datos_siembra[[#This Row],[Hour]])</f>
        <v>13</v>
      </c>
      <c r="V4401" cm="1">
        <f t="array" ref="V4401">_xlfn.IFS(AND(N4401&lt;= 22, S4401=9), N4401-7,AND(N4401&lt;= 28, S4401=9), N4401-25,AND(N4401&lt;= 30, S4401=9), N4401-28,AND(N4401&lt;= 11, S4401=10), N4401+2,AND(N4401&lt;= 21, S4401=10), N4401-11)</f>
        <v>8</v>
      </c>
    </row>
    <row r="4402" spans="1:22" x14ac:dyDescent="0.35">
      <c r="A4402" s="4">
        <v>45584</v>
      </c>
      <c r="B4402" s="5">
        <v>0.58126157407407408</v>
      </c>
      <c r="C4402">
        <v>64.099999999999994</v>
      </c>
      <c r="D4402">
        <v>65.8</v>
      </c>
      <c r="E4402">
        <v>63.3</v>
      </c>
      <c r="F4402">
        <v>63.2</v>
      </c>
      <c r="G4402">
        <v>0</v>
      </c>
      <c r="H4402">
        <v>0</v>
      </c>
      <c r="I4402">
        <v>0</v>
      </c>
      <c r="J4402">
        <v>0</v>
      </c>
      <c r="K4402">
        <v>63.4</v>
      </c>
      <c r="L4402">
        <v>63.3</v>
      </c>
      <c r="M4402">
        <v>63.98</v>
      </c>
      <c r="N4402">
        <v>19</v>
      </c>
      <c r="O4402">
        <v>4</v>
      </c>
      <c r="P4402">
        <f>MOD(DAY(datos_siembra[[#This Row],[Date]]),7)</f>
        <v>5</v>
      </c>
      <c r="Q4402" t="str">
        <f>CHOOSE(WEEKDAY(datos_siembra[[#This Row],[Date]],2),"L","M","X","J","V","S","D")</f>
        <v>S</v>
      </c>
      <c r="R4402">
        <f>WEEKNUM(datos_siembra[[#This Row],[Date]],2)-WEEKNUM(DATE(YEAR(datos_siembra[[#This Row],[Date]]),MONTH(datos_siembra[[#This Row],[Date]]),1))+1</f>
        <v>3</v>
      </c>
      <c r="S4402">
        <f>MONTH(datos_siembra[[#This Row],[Date]])</f>
        <v>10</v>
      </c>
      <c r="T4402" t="str" cm="1">
        <f t="array" ref="T4402">_xlfn.IFS(AND(N4402&lt;= 22, S4402=9), "SOWING",AND(N4402&lt;= 28, S4402=9), "COVERAGE",AND(N4402&lt;= 30, S4402=9), "FLUSH",AND(N4402&lt;= 11, S4402=10), "FLUSH",AND(N4402&lt;= 21, S4402=10), "PRODUCTION")</f>
        <v>PRODUCTION</v>
      </c>
      <c r="U4402">
        <f>HOUR(datos_siembra[[#This Row],[Hour]])</f>
        <v>13</v>
      </c>
      <c r="V4402" cm="1">
        <f t="array" ref="V4402">_xlfn.IFS(AND(N4402&lt;= 22, S4402=9), N4402-7,AND(N4402&lt;= 28, S4402=9), N4402-25,AND(N4402&lt;= 30, S4402=9), N4402-28,AND(N4402&lt;= 11, S4402=10), N4402+2,AND(N4402&lt;= 21, S4402=10), N4402-11)</f>
        <v>8</v>
      </c>
    </row>
    <row r="4403" spans="1:22" x14ac:dyDescent="0.35">
      <c r="A4403" s="4">
        <v>45584</v>
      </c>
      <c r="B4403" s="5">
        <v>0.58821759259259254</v>
      </c>
      <c r="C4403">
        <v>64.2</v>
      </c>
      <c r="D4403">
        <v>65.8</v>
      </c>
      <c r="E4403">
        <v>63.4</v>
      </c>
      <c r="F4403">
        <v>62.8</v>
      </c>
      <c r="G4403">
        <v>0</v>
      </c>
      <c r="H4403">
        <v>0</v>
      </c>
      <c r="I4403">
        <v>0</v>
      </c>
      <c r="J4403">
        <v>0</v>
      </c>
      <c r="K4403">
        <v>63.2</v>
      </c>
      <c r="L4403">
        <v>63.2</v>
      </c>
      <c r="M4403">
        <v>64.03</v>
      </c>
      <c r="N4403">
        <v>19</v>
      </c>
      <c r="O4403">
        <v>4</v>
      </c>
      <c r="P4403">
        <f>MOD(DAY(datos_siembra[[#This Row],[Date]]),7)</f>
        <v>5</v>
      </c>
      <c r="Q4403" t="str">
        <f>CHOOSE(WEEKDAY(datos_siembra[[#This Row],[Date]],2),"L","M","X","J","V","S","D")</f>
        <v>S</v>
      </c>
      <c r="R4403">
        <f>WEEKNUM(datos_siembra[[#This Row],[Date]],2)-WEEKNUM(DATE(YEAR(datos_siembra[[#This Row],[Date]]),MONTH(datos_siembra[[#This Row],[Date]]),1))+1</f>
        <v>3</v>
      </c>
      <c r="S4403">
        <f>MONTH(datos_siembra[[#This Row],[Date]])</f>
        <v>10</v>
      </c>
      <c r="T4403" t="str" cm="1">
        <f t="array" ref="T4403">_xlfn.IFS(AND(N4403&lt;= 22, S4403=9), "SOWING",AND(N4403&lt;= 28, S4403=9), "COVERAGE",AND(N4403&lt;= 30, S4403=9), "FLUSH",AND(N4403&lt;= 11, S4403=10), "FLUSH",AND(N4403&lt;= 21, S4403=10), "PRODUCTION")</f>
        <v>PRODUCTION</v>
      </c>
      <c r="U4403">
        <f>HOUR(datos_siembra[[#This Row],[Hour]])</f>
        <v>14</v>
      </c>
      <c r="V4403" cm="1">
        <f t="array" ref="V4403">_xlfn.IFS(AND(N4403&lt;= 22, S4403=9), N4403-7,AND(N4403&lt;= 28, S4403=9), N4403-25,AND(N4403&lt;= 30, S4403=9), N4403-28,AND(N4403&lt;= 11, S4403=10), N4403+2,AND(N4403&lt;= 21, S4403=10), N4403-11)</f>
        <v>8</v>
      </c>
    </row>
    <row r="4404" spans="1:22" x14ac:dyDescent="0.35">
      <c r="A4404" s="4">
        <v>45584</v>
      </c>
      <c r="B4404" s="5">
        <v>0.59516203703703707</v>
      </c>
      <c r="C4404">
        <v>64.099999999999994</v>
      </c>
      <c r="D4404">
        <v>65.8</v>
      </c>
      <c r="E4404">
        <v>63.5</v>
      </c>
      <c r="F4404">
        <v>63.2</v>
      </c>
      <c r="G4404">
        <v>0</v>
      </c>
      <c r="H4404">
        <v>0</v>
      </c>
      <c r="I4404">
        <v>0</v>
      </c>
      <c r="J4404">
        <v>0</v>
      </c>
      <c r="K4404">
        <v>63</v>
      </c>
      <c r="L4404">
        <v>62.9</v>
      </c>
      <c r="M4404">
        <v>64.12</v>
      </c>
      <c r="N4404">
        <v>19</v>
      </c>
      <c r="O4404">
        <v>4</v>
      </c>
      <c r="P4404">
        <f>MOD(DAY(datos_siembra[[#This Row],[Date]]),7)</f>
        <v>5</v>
      </c>
      <c r="Q4404" t="str">
        <f>CHOOSE(WEEKDAY(datos_siembra[[#This Row],[Date]],2),"L","M","X","J","V","S","D")</f>
        <v>S</v>
      </c>
      <c r="R4404">
        <f>WEEKNUM(datos_siembra[[#This Row],[Date]],2)-WEEKNUM(DATE(YEAR(datos_siembra[[#This Row],[Date]]),MONTH(datos_siembra[[#This Row],[Date]]),1))+1</f>
        <v>3</v>
      </c>
      <c r="S4404">
        <f>MONTH(datos_siembra[[#This Row],[Date]])</f>
        <v>10</v>
      </c>
      <c r="T4404" t="str" cm="1">
        <f t="array" ref="T4404">_xlfn.IFS(AND(N4404&lt;= 22, S4404=9), "SOWING",AND(N4404&lt;= 28, S4404=9), "COVERAGE",AND(N4404&lt;= 30, S4404=9), "FLUSH",AND(N4404&lt;= 11, S4404=10), "FLUSH",AND(N4404&lt;= 21, S4404=10), "PRODUCTION")</f>
        <v>PRODUCTION</v>
      </c>
      <c r="U4404">
        <f>HOUR(datos_siembra[[#This Row],[Hour]])</f>
        <v>14</v>
      </c>
      <c r="V4404" cm="1">
        <f t="array" ref="V4404">_xlfn.IFS(AND(N4404&lt;= 22, S4404=9), N4404-7,AND(N4404&lt;= 28, S4404=9), N4404-25,AND(N4404&lt;= 30, S4404=9), N4404-28,AND(N4404&lt;= 11, S4404=10), N4404+2,AND(N4404&lt;= 21, S4404=10), N4404-11)</f>
        <v>8</v>
      </c>
    </row>
    <row r="4405" spans="1:22" x14ac:dyDescent="0.35">
      <c r="A4405" s="4">
        <v>45584</v>
      </c>
      <c r="B4405" s="5">
        <v>0.60210648148148149</v>
      </c>
      <c r="C4405">
        <v>64.099999999999994</v>
      </c>
      <c r="D4405">
        <v>65.900000000000006</v>
      </c>
      <c r="E4405">
        <v>63.4</v>
      </c>
      <c r="F4405">
        <v>62.9</v>
      </c>
      <c r="G4405">
        <v>0</v>
      </c>
      <c r="H4405">
        <v>0</v>
      </c>
      <c r="I4405">
        <v>0</v>
      </c>
      <c r="J4405">
        <v>0</v>
      </c>
      <c r="K4405">
        <v>63</v>
      </c>
      <c r="L4405">
        <v>62.9</v>
      </c>
      <c r="M4405">
        <v>64.09</v>
      </c>
      <c r="N4405">
        <v>19</v>
      </c>
      <c r="O4405">
        <v>4</v>
      </c>
      <c r="P4405">
        <f>MOD(DAY(datos_siembra[[#This Row],[Date]]),7)</f>
        <v>5</v>
      </c>
      <c r="Q4405" t="str">
        <f>CHOOSE(WEEKDAY(datos_siembra[[#This Row],[Date]],2),"L","M","X","J","V","S","D")</f>
        <v>S</v>
      </c>
      <c r="R4405">
        <f>WEEKNUM(datos_siembra[[#This Row],[Date]],2)-WEEKNUM(DATE(YEAR(datos_siembra[[#This Row],[Date]]),MONTH(datos_siembra[[#This Row],[Date]]),1))+1</f>
        <v>3</v>
      </c>
      <c r="S4405">
        <f>MONTH(datos_siembra[[#This Row],[Date]])</f>
        <v>10</v>
      </c>
      <c r="T4405" t="str" cm="1">
        <f t="array" ref="T4405">_xlfn.IFS(AND(N4405&lt;= 22, S4405=9), "SOWING",AND(N4405&lt;= 28, S4405=9), "COVERAGE",AND(N4405&lt;= 30, S4405=9), "FLUSH",AND(N4405&lt;= 11, S4405=10), "FLUSH",AND(N4405&lt;= 21, S4405=10), "PRODUCTION")</f>
        <v>PRODUCTION</v>
      </c>
      <c r="U4405">
        <f>HOUR(datos_siembra[[#This Row],[Hour]])</f>
        <v>14</v>
      </c>
      <c r="V4405" cm="1">
        <f t="array" ref="V4405">_xlfn.IFS(AND(N4405&lt;= 22, S4405=9), N4405-7,AND(N4405&lt;= 28, S4405=9), N4405-25,AND(N4405&lt;= 30, S4405=9), N4405-28,AND(N4405&lt;= 11, S4405=10), N4405+2,AND(N4405&lt;= 21, S4405=10), N4405-11)</f>
        <v>8</v>
      </c>
    </row>
    <row r="4406" spans="1:22" x14ac:dyDescent="0.35">
      <c r="A4406" s="4">
        <v>45584</v>
      </c>
      <c r="B4406" s="5">
        <v>0.60906249999999995</v>
      </c>
      <c r="C4406">
        <v>64.2</v>
      </c>
      <c r="D4406">
        <v>65.8</v>
      </c>
      <c r="E4406">
        <v>63.4</v>
      </c>
      <c r="F4406">
        <v>63</v>
      </c>
      <c r="G4406">
        <v>0</v>
      </c>
      <c r="H4406">
        <v>0</v>
      </c>
      <c r="I4406">
        <v>0</v>
      </c>
      <c r="J4406">
        <v>0</v>
      </c>
      <c r="K4406">
        <v>63.8</v>
      </c>
      <c r="L4406">
        <v>63.7</v>
      </c>
      <c r="M4406">
        <v>64.03</v>
      </c>
      <c r="N4406">
        <v>19</v>
      </c>
      <c r="O4406">
        <v>4</v>
      </c>
      <c r="P4406">
        <f>MOD(DAY(datos_siembra[[#This Row],[Date]]),7)</f>
        <v>5</v>
      </c>
      <c r="Q4406" t="str">
        <f>CHOOSE(WEEKDAY(datos_siembra[[#This Row],[Date]],2),"L","M","X","J","V","S","D")</f>
        <v>S</v>
      </c>
      <c r="R4406">
        <f>WEEKNUM(datos_siembra[[#This Row],[Date]],2)-WEEKNUM(DATE(YEAR(datos_siembra[[#This Row],[Date]]),MONTH(datos_siembra[[#This Row],[Date]]),1))+1</f>
        <v>3</v>
      </c>
      <c r="S4406">
        <f>MONTH(datos_siembra[[#This Row],[Date]])</f>
        <v>10</v>
      </c>
      <c r="T4406" t="str" cm="1">
        <f t="array" ref="T4406">_xlfn.IFS(AND(N4406&lt;= 22, S4406=9), "SOWING",AND(N4406&lt;= 28, S4406=9), "COVERAGE",AND(N4406&lt;= 30, S4406=9), "FLUSH",AND(N4406&lt;= 11, S4406=10), "FLUSH",AND(N4406&lt;= 21, S4406=10), "PRODUCTION")</f>
        <v>PRODUCTION</v>
      </c>
      <c r="U4406">
        <f>HOUR(datos_siembra[[#This Row],[Hour]])</f>
        <v>14</v>
      </c>
      <c r="V4406" cm="1">
        <f t="array" ref="V4406">_xlfn.IFS(AND(N4406&lt;= 22, S4406=9), N4406-7,AND(N4406&lt;= 28, S4406=9), N4406-25,AND(N4406&lt;= 30, S4406=9), N4406-28,AND(N4406&lt;= 11, S4406=10), N4406+2,AND(N4406&lt;= 21, S4406=10), N4406-11)</f>
        <v>8</v>
      </c>
    </row>
    <row r="4407" spans="1:22" x14ac:dyDescent="0.35">
      <c r="A4407" s="4">
        <v>45584</v>
      </c>
      <c r="B4407" s="5">
        <v>0.61600694444444448</v>
      </c>
      <c r="C4407">
        <v>64.099999999999994</v>
      </c>
      <c r="D4407">
        <v>65.400000000000006</v>
      </c>
      <c r="E4407">
        <v>63.3</v>
      </c>
      <c r="F4407">
        <v>62.9</v>
      </c>
      <c r="G4407">
        <v>0</v>
      </c>
      <c r="H4407">
        <v>0</v>
      </c>
      <c r="I4407">
        <v>0</v>
      </c>
      <c r="J4407">
        <v>0</v>
      </c>
      <c r="K4407">
        <v>63.9</v>
      </c>
      <c r="L4407">
        <v>63.9</v>
      </c>
      <c r="M4407">
        <v>63.98</v>
      </c>
      <c r="N4407">
        <v>19</v>
      </c>
      <c r="O4407">
        <v>4</v>
      </c>
      <c r="P4407">
        <f>MOD(DAY(datos_siembra[[#This Row],[Date]]),7)</f>
        <v>5</v>
      </c>
      <c r="Q4407" t="str">
        <f>CHOOSE(WEEKDAY(datos_siembra[[#This Row],[Date]],2),"L","M","X","J","V","S","D")</f>
        <v>S</v>
      </c>
      <c r="R4407">
        <f>WEEKNUM(datos_siembra[[#This Row],[Date]],2)-WEEKNUM(DATE(YEAR(datos_siembra[[#This Row],[Date]]),MONTH(datos_siembra[[#This Row],[Date]]),1))+1</f>
        <v>3</v>
      </c>
      <c r="S4407">
        <f>MONTH(datos_siembra[[#This Row],[Date]])</f>
        <v>10</v>
      </c>
      <c r="T4407" t="str" cm="1">
        <f t="array" ref="T4407">_xlfn.IFS(AND(N4407&lt;= 22, S4407=9), "SOWING",AND(N4407&lt;= 28, S4407=9), "COVERAGE",AND(N4407&lt;= 30, S4407=9), "FLUSH",AND(N4407&lt;= 11, S4407=10), "FLUSH",AND(N4407&lt;= 21, S4407=10), "PRODUCTION")</f>
        <v>PRODUCTION</v>
      </c>
      <c r="U4407">
        <f>HOUR(datos_siembra[[#This Row],[Hour]])</f>
        <v>14</v>
      </c>
      <c r="V4407" cm="1">
        <f t="array" ref="V4407">_xlfn.IFS(AND(N4407&lt;= 22, S4407=9), N4407-7,AND(N4407&lt;= 28, S4407=9), N4407-25,AND(N4407&lt;= 30, S4407=9), N4407-28,AND(N4407&lt;= 11, S4407=10), N4407+2,AND(N4407&lt;= 21, S4407=10), N4407-11)</f>
        <v>8</v>
      </c>
    </row>
    <row r="4408" spans="1:22" x14ac:dyDescent="0.35">
      <c r="A4408" s="4">
        <v>45584</v>
      </c>
      <c r="B4408" s="5">
        <v>0.6229513888888889</v>
      </c>
      <c r="C4408">
        <v>64.099999999999994</v>
      </c>
      <c r="D4408">
        <v>65.599999999999994</v>
      </c>
      <c r="E4408">
        <v>63.4</v>
      </c>
      <c r="F4408">
        <v>62.8</v>
      </c>
      <c r="G4408">
        <v>0</v>
      </c>
      <c r="H4408">
        <v>0</v>
      </c>
      <c r="I4408">
        <v>0</v>
      </c>
      <c r="J4408">
        <v>0</v>
      </c>
      <c r="K4408">
        <v>63.6</v>
      </c>
      <c r="L4408">
        <v>63.5</v>
      </c>
      <c r="M4408">
        <v>63.98</v>
      </c>
      <c r="N4408">
        <v>19</v>
      </c>
      <c r="O4408">
        <v>4</v>
      </c>
      <c r="P4408">
        <f>MOD(DAY(datos_siembra[[#This Row],[Date]]),7)</f>
        <v>5</v>
      </c>
      <c r="Q4408" t="str">
        <f>CHOOSE(WEEKDAY(datos_siembra[[#This Row],[Date]],2),"L","M","X","J","V","S","D")</f>
        <v>S</v>
      </c>
      <c r="R4408">
        <f>WEEKNUM(datos_siembra[[#This Row],[Date]],2)-WEEKNUM(DATE(YEAR(datos_siembra[[#This Row],[Date]]),MONTH(datos_siembra[[#This Row],[Date]]),1))+1</f>
        <v>3</v>
      </c>
      <c r="S4408">
        <f>MONTH(datos_siembra[[#This Row],[Date]])</f>
        <v>10</v>
      </c>
      <c r="T4408" t="str" cm="1">
        <f t="array" ref="T4408">_xlfn.IFS(AND(N4408&lt;= 22, S4408=9), "SOWING",AND(N4408&lt;= 28, S4408=9), "COVERAGE",AND(N4408&lt;= 30, S4408=9), "FLUSH",AND(N4408&lt;= 11, S4408=10), "FLUSH",AND(N4408&lt;= 21, S4408=10), "PRODUCTION")</f>
        <v>PRODUCTION</v>
      </c>
      <c r="U4408">
        <f>HOUR(datos_siembra[[#This Row],[Hour]])</f>
        <v>14</v>
      </c>
      <c r="V4408" cm="1">
        <f t="array" ref="V4408">_xlfn.IFS(AND(N4408&lt;= 22, S4408=9), N4408-7,AND(N4408&lt;= 28, S4408=9), N4408-25,AND(N4408&lt;= 30, S4408=9), N4408-28,AND(N4408&lt;= 11, S4408=10), N4408+2,AND(N4408&lt;= 21, S4408=10), N4408-11)</f>
        <v>8</v>
      </c>
    </row>
    <row r="4409" spans="1:22" x14ac:dyDescent="0.35">
      <c r="A4409" s="4">
        <v>45584</v>
      </c>
      <c r="B4409" s="5">
        <v>0.62990740740740736</v>
      </c>
      <c r="C4409">
        <v>64.2</v>
      </c>
      <c r="D4409">
        <v>65.5</v>
      </c>
      <c r="E4409">
        <v>63.4</v>
      </c>
      <c r="F4409">
        <v>62.9</v>
      </c>
      <c r="G4409">
        <v>0</v>
      </c>
      <c r="H4409">
        <v>0</v>
      </c>
      <c r="I4409">
        <v>0</v>
      </c>
      <c r="J4409">
        <v>0</v>
      </c>
      <c r="K4409">
        <v>63.4</v>
      </c>
      <c r="L4409">
        <v>63.3</v>
      </c>
      <c r="M4409">
        <v>64.010000000000005</v>
      </c>
      <c r="N4409">
        <v>19</v>
      </c>
      <c r="O4409">
        <v>4</v>
      </c>
      <c r="P4409">
        <f>MOD(DAY(datos_siembra[[#This Row],[Date]]),7)</f>
        <v>5</v>
      </c>
      <c r="Q4409" t="str">
        <f>CHOOSE(WEEKDAY(datos_siembra[[#This Row],[Date]],2),"L","M","X","J","V","S","D")</f>
        <v>S</v>
      </c>
      <c r="R4409">
        <f>WEEKNUM(datos_siembra[[#This Row],[Date]],2)-WEEKNUM(DATE(YEAR(datos_siembra[[#This Row],[Date]]),MONTH(datos_siembra[[#This Row],[Date]]),1))+1</f>
        <v>3</v>
      </c>
      <c r="S4409">
        <f>MONTH(datos_siembra[[#This Row],[Date]])</f>
        <v>10</v>
      </c>
      <c r="T4409" t="str" cm="1">
        <f t="array" ref="T4409">_xlfn.IFS(AND(N4409&lt;= 22, S4409=9), "SOWING",AND(N4409&lt;= 28, S4409=9), "COVERAGE",AND(N4409&lt;= 30, S4409=9), "FLUSH",AND(N4409&lt;= 11, S4409=10), "FLUSH",AND(N4409&lt;= 21, S4409=10), "PRODUCTION")</f>
        <v>PRODUCTION</v>
      </c>
      <c r="U4409">
        <f>HOUR(datos_siembra[[#This Row],[Hour]])</f>
        <v>15</v>
      </c>
      <c r="V4409" cm="1">
        <f t="array" ref="V4409">_xlfn.IFS(AND(N4409&lt;= 22, S4409=9), N4409-7,AND(N4409&lt;= 28, S4409=9), N4409-25,AND(N4409&lt;= 30, S4409=9), N4409-28,AND(N4409&lt;= 11, S4409=10), N4409+2,AND(N4409&lt;= 21, S4409=10), N4409-11)</f>
        <v>8</v>
      </c>
    </row>
    <row r="4410" spans="1:22" x14ac:dyDescent="0.35">
      <c r="A4410" s="4">
        <v>45584</v>
      </c>
      <c r="B4410" s="5">
        <v>0.63685185185185189</v>
      </c>
      <c r="C4410">
        <v>63.9</v>
      </c>
      <c r="D4410">
        <v>65.5</v>
      </c>
      <c r="E4410">
        <v>63.4</v>
      </c>
      <c r="F4410">
        <v>63.2</v>
      </c>
      <c r="G4410">
        <v>0</v>
      </c>
      <c r="H4410">
        <v>0</v>
      </c>
      <c r="I4410">
        <v>0</v>
      </c>
      <c r="J4410">
        <v>0</v>
      </c>
      <c r="K4410">
        <v>63.3</v>
      </c>
      <c r="L4410">
        <v>63.3</v>
      </c>
      <c r="M4410">
        <v>64.09</v>
      </c>
      <c r="N4410">
        <v>19</v>
      </c>
      <c r="O4410">
        <v>4</v>
      </c>
      <c r="P4410">
        <f>MOD(DAY(datos_siembra[[#This Row],[Date]]),7)</f>
        <v>5</v>
      </c>
      <c r="Q4410" t="str">
        <f>CHOOSE(WEEKDAY(datos_siembra[[#This Row],[Date]],2),"L","M","X","J","V","S","D")</f>
        <v>S</v>
      </c>
      <c r="R4410">
        <f>WEEKNUM(datos_siembra[[#This Row],[Date]],2)-WEEKNUM(DATE(YEAR(datos_siembra[[#This Row],[Date]]),MONTH(datos_siembra[[#This Row],[Date]]),1))+1</f>
        <v>3</v>
      </c>
      <c r="S4410">
        <f>MONTH(datos_siembra[[#This Row],[Date]])</f>
        <v>10</v>
      </c>
      <c r="T4410" t="str" cm="1">
        <f t="array" ref="T4410">_xlfn.IFS(AND(N4410&lt;= 22, S4410=9), "SOWING",AND(N4410&lt;= 28, S4410=9), "COVERAGE",AND(N4410&lt;= 30, S4410=9), "FLUSH",AND(N4410&lt;= 11, S4410=10), "FLUSH",AND(N4410&lt;= 21, S4410=10), "PRODUCTION")</f>
        <v>PRODUCTION</v>
      </c>
      <c r="U4410">
        <f>HOUR(datos_siembra[[#This Row],[Hour]])</f>
        <v>15</v>
      </c>
      <c r="V4410" cm="1">
        <f t="array" ref="V4410">_xlfn.IFS(AND(N4410&lt;= 22, S4410=9), N4410-7,AND(N4410&lt;= 28, S4410=9), N4410-25,AND(N4410&lt;= 30, S4410=9), N4410-28,AND(N4410&lt;= 11, S4410=10), N4410+2,AND(N4410&lt;= 21, S4410=10), N4410-11)</f>
        <v>8</v>
      </c>
    </row>
    <row r="4411" spans="1:22" x14ac:dyDescent="0.35">
      <c r="A4411" s="4">
        <v>45584</v>
      </c>
      <c r="B4411" s="5">
        <v>0.64379629629629631</v>
      </c>
      <c r="C4411">
        <v>64.2</v>
      </c>
      <c r="D4411">
        <v>65.599999999999994</v>
      </c>
      <c r="E4411">
        <v>63.3</v>
      </c>
      <c r="F4411">
        <v>62.9</v>
      </c>
      <c r="G4411">
        <v>0</v>
      </c>
      <c r="H4411">
        <v>0</v>
      </c>
      <c r="I4411">
        <v>0</v>
      </c>
      <c r="J4411">
        <v>0</v>
      </c>
      <c r="K4411">
        <v>63.2</v>
      </c>
      <c r="L4411">
        <v>62.9</v>
      </c>
      <c r="M4411">
        <v>64.06</v>
      </c>
      <c r="N4411">
        <v>19</v>
      </c>
      <c r="O4411">
        <v>4</v>
      </c>
      <c r="P4411">
        <f>MOD(DAY(datos_siembra[[#This Row],[Date]]),7)</f>
        <v>5</v>
      </c>
      <c r="Q4411" t="str">
        <f>CHOOSE(WEEKDAY(datos_siembra[[#This Row],[Date]],2),"L","M","X","J","V","S","D")</f>
        <v>S</v>
      </c>
      <c r="R4411">
        <f>WEEKNUM(datos_siembra[[#This Row],[Date]],2)-WEEKNUM(DATE(YEAR(datos_siembra[[#This Row],[Date]]),MONTH(datos_siembra[[#This Row],[Date]]),1))+1</f>
        <v>3</v>
      </c>
      <c r="S4411">
        <f>MONTH(datos_siembra[[#This Row],[Date]])</f>
        <v>10</v>
      </c>
      <c r="T4411" t="str" cm="1">
        <f t="array" ref="T4411">_xlfn.IFS(AND(N4411&lt;= 22, S4411=9), "SOWING",AND(N4411&lt;= 28, S4411=9), "COVERAGE",AND(N4411&lt;= 30, S4411=9), "FLUSH",AND(N4411&lt;= 11, S4411=10), "FLUSH",AND(N4411&lt;= 21, S4411=10), "PRODUCTION")</f>
        <v>PRODUCTION</v>
      </c>
      <c r="U4411">
        <f>HOUR(datos_siembra[[#This Row],[Hour]])</f>
        <v>15</v>
      </c>
      <c r="V4411" cm="1">
        <f t="array" ref="V4411">_xlfn.IFS(AND(N4411&lt;= 22, S4411=9), N4411-7,AND(N4411&lt;= 28, S4411=9), N4411-25,AND(N4411&lt;= 30, S4411=9), N4411-28,AND(N4411&lt;= 11, S4411=10), N4411+2,AND(N4411&lt;= 21, S4411=10), N4411-11)</f>
        <v>8</v>
      </c>
    </row>
    <row r="4412" spans="1:22" x14ac:dyDescent="0.35">
      <c r="A4412" s="4">
        <v>45584</v>
      </c>
      <c r="B4412" s="5">
        <v>0.65074074074074073</v>
      </c>
      <c r="C4412">
        <v>64.2</v>
      </c>
      <c r="D4412">
        <v>65.5</v>
      </c>
      <c r="E4412">
        <v>63.4</v>
      </c>
      <c r="F4412">
        <v>62.9</v>
      </c>
      <c r="G4412">
        <v>0</v>
      </c>
      <c r="H4412">
        <v>0</v>
      </c>
      <c r="I4412">
        <v>0</v>
      </c>
      <c r="J4412">
        <v>0</v>
      </c>
      <c r="K4412">
        <v>63</v>
      </c>
      <c r="L4412">
        <v>62.9</v>
      </c>
      <c r="M4412">
        <v>64.06</v>
      </c>
      <c r="N4412">
        <v>19</v>
      </c>
      <c r="O4412">
        <v>4</v>
      </c>
      <c r="P4412">
        <f>MOD(DAY(datos_siembra[[#This Row],[Date]]),7)</f>
        <v>5</v>
      </c>
      <c r="Q4412" t="str">
        <f>CHOOSE(WEEKDAY(datos_siembra[[#This Row],[Date]],2),"L","M","X","J","V","S","D")</f>
        <v>S</v>
      </c>
      <c r="R4412">
        <f>WEEKNUM(datos_siembra[[#This Row],[Date]],2)-WEEKNUM(DATE(YEAR(datos_siembra[[#This Row],[Date]]),MONTH(datos_siembra[[#This Row],[Date]]),1))+1</f>
        <v>3</v>
      </c>
      <c r="S4412">
        <f>MONTH(datos_siembra[[#This Row],[Date]])</f>
        <v>10</v>
      </c>
      <c r="T4412" t="str" cm="1">
        <f t="array" ref="T4412">_xlfn.IFS(AND(N4412&lt;= 22, S4412=9), "SOWING",AND(N4412&lt;= 28, S4412=9), "COVERAGE",AND(N4412&lt;= 30, S4412=9), "FLUSH",AND(N4412&lt;= 11, S4412=10), "FLUSH",AND(N4412&lt;= 21, S4412=10), "PRODUCTION")</f>
        <v>PRODUCTION</v>
      </c>
      <c r="U4412">
        <f>HOUR(datos_siembra[[#This Row],[Hour]])</f>
        <v>15</v>
      </c>
      <c r="V4412" cm="1">
        <f t="array" ref="V4412">_xlfn.IFS(AND(N4412&lt;= 22, S4412=9), N4412-7,AND(N4412&lt;= 28, S4412=9), N4412-25,AND(N4412&lt;= 30, S4412=9), N4412-28,AND(N4412&lt;= 11, S4412=10), N4412+2,AND(N4412&lt;= 21, S4412=10), N4412-11)</f>
        <v>8</v>
      </c>
    </row>
    <row r="4413" spans="1:22" x14ac:dyDescent="0.35">
      <c r="A4413" s="4">
        <v>45584</v>
      </c>
      <c r="B4413" s="5">
        <v>0.6576967592592593</v>
      </c>
      <c r="C4413">
        <v>64.2</v>
      </c>
      <c r="D4413">
        <v>65.5</v>
      </c>
      <c r="E4413">
        <v>63.3</v>
      </c>
      <c r="F4413">
        <v>63.2</v>
      </c>
      <c r="G4413">
        <v>0</v>
      </c>
      <c r="H4413">
        <v>0</v>
      </c>
      <c r="I4413">
        <v>0</v>
      </c>
      <c r="J4413">
        <v>0</v>
      </c>
      <c r="K4413">
        <v>63.2</v>
      </c>
      <c r="L4413">
        <v>62.8</v>
      </c>
      <c r="M4413">
        <v>64.010000000000005</v>
      </c>
      <c r="N4413">
        <v>19</v>
      </c>
      <c r="O4413">
        <v>4</v>
      </c>
      <c r="P4413">
        <f>MOD(DAY(datos_siembra[[#This Row],[Date]]),7)</f>
        <v>5</v>
      </c>
      <c r="Q4413" t="str">
        <f>CHOOSE(WEEKDAY(datos_siembra[[#This Row],[Date]],2),"L","M","X","J","V","S","D")</f>
        <v>S</v>
      </c>
      <c r="R4413">
        <f>WEEKNUM(datos_siembra[[#This Row],[Date]],2)-WEEKNUM(DATE(YEAR(datos_siembra[[#This Row],[Date]]),MONTH(datos_siembra[[#This Row],[Date]]),1))+1</f>
        <v>3</v>
      </c>
      <c r="S4413">
        <f>MONTH(datos_siembra[[#This Row],[Date]])</f>
        <v>10</v>
      </c>
      <c r="T4413" t="str" cm="1">
        <f t="array" ref="T4413">_xlfn.IFS(AND(N4413&lt;= 22, S4413=9), "SOWING",AND(N4413&lt;= 28, S4413=9), "COVERAGE",AND(N4413&lt;= 30, S4413=9), "FLUSH",AND(N4413&lt;= 11, S4413=10), "FLUSH",AND(N4413&lt;= 21, S4413=10), "PRODUCTION")</f>
        <v>PRODUCTION</v>
      </c>
      <c r="U4413">
        <f>HOUR(datos_siembra[[#This Row],[Hour]])</f>
        <v>15</v>
      </c>
      <c r="V4413" cm="1">
        <f t="array" ref="V4413">_xlfn.IFS(AND(N4413&lt;= 22, S4413=9), N4413-7,AND(N4413&lt;= 28, S4413=9), N4413-25,AND(N4413&lt;= 30, S4413=9), N4413-28,AND(N4413&lt;= 11, S4413=10), N4413+2,AND(N4413&lt;= 21, S4413=10), N4413-11)</f>
        <v>8</v>
      </c>
    </row>
    <row r="4414" spans="1:22" x14ac:dyDescent="0.35">
      <c r="A4414" s="4">
        <v>45584</v>
      </c>
      <c r="B4414" s="5">
        <v>0.66464120370370372</v>
      </c>
      <c r="C4414">
        <v>64.3</v>
      </c>
      <c r="D4414">
        <v>65.599999999999994</v>
      </c>
      <c r="E4414">
        <v>63.4</v>
      </c>
      <c r="F4414">
        <v>63</v>
      </c>
      <c r="G4414">
        <v>0</v>
      </c>
      <c r="H4414">
        <v>0</v>
      </c>
      <c r="I4414">
        <v>0</v>
      </c>
      <c r="J4414">
        <v>0</v>
      </c>
      <c r="K4414">
        <v>63</v>
      </c>
      <c r="L4414">
        <v>62.7</v>
      </c>
      <c r="M4414">
        <v>64.06</v>
      </c>
      <c r="N4414">
        <v>19</v>
      </c>
      <c r="O4414">
        <v>4</v>
      </c>
      <c r="P4414">
        <f>MOD(DAY(datos_siembra[[#This Row],[Date]]),7)</f>
        <v>5</v>
      </c>
      <c r="Q4414" t="str">
        <f>CHOOSE(WEEKDAY(datos_siembra[[#This Row],[Date]],2),"L","M","X","J","V","S","D")</f>
        <v>S</v>
      </c>
      <c r="R4414">
        <f>WEEKNUM(datos_siembra[[#This Row],[Date]],2)-WEEKNUM(DATE(YEAR(datos_siembra[[#This Row],[Date]]),MONTH(datos_siembra[[#This Row],[Date]]),1))+1</f>
        <v>3</v>
      </c>
      <c r="S4414">
        <f>MONTH(datos_siembra[[#This Row],[Date]])</f>
        <v>10</v>
      </c>
      <c r="T4414" t="str" cm="1">
        <f t="array" ref="T4414">_xlfn.IFS(AND(N4414&lt;= 22, S4414=9), "SOWING",AND(N4414&lt;= 28, S4414=9), "COVERAGE",AND(N4414&lt;= 30, S4414=9), "FLUSH",AND(N4414&lt;= 11, S4414=10), "FLUSH",AND(N4414&lt;= 21, S4414=10), "PRODUCTION")</f>
        <v>PRODUCTION</v>
      </c>
      <c r="U4414">
        <f>HOUR(datos_siembra[[#This Row],[Hour]])</f>
        <v>15</v>
      </c>
      <c r="V4414" cm="1">
        <f t="array" ref="V4414">_xlfn.IFS(AND(N4414&lt;= 22, S4414=9), N4414-7,AND(N4414&lt;= 28, S4414=9), N4414-25,AND(N4414&lt;= 30, S4414=9), N4414-28,AND(N4414&lt;= 11, S4414=10), N4414+2,AND(N4414&lt;= 21, S4414=10), N4414-11)</f>
        <v>8</v>
      </c>
    </row>
    <row r="4415" spans="1:22" x14ac:dyDescent="0.35">
      <c r="A4415" s="4">
        <v>45584</v>
      </c>
      <c r="B4415" s="5">
        <v>0.67158564814814814</v>
      </c>
      <c r="C4415">
        <v>64.2</v>
      </c>
      <c r="D4415">
        <v>65.599999999999994</v>
      </c>
      <c r="E4415">
        <v>63.4</v>
      </c>
      <c r="F4415">
        <v>63</v>
      </c>
      <c r="G4415">
        <v>0</v>
      </c>
      <c r="H4415">
        <v>0</v>
      </c>
      <c r="I4415">
        <v>0</v>
      </c>
      <c r="J4415">
        <v>0</v>
      </c>
      <c r="K4415">
        <v>62.8</v>
      </c>
      <c r="L4415">
        <v>62.7</v>
      </c>
      <c r="M4415">
        <v>64.06</v>
      </c>
      <c r="N4415">
        <v>19</v>
      </c>
      <c r="O4415">
        <v>4</v>
      </c>
      <c r="P4415">
        <f>MOD(DAY(datos_siembra[[#This Row],[Date]]),7)</f>
        <v>5</v>
      </c>
      <c r="Q4415" t="str">
        <f>CHOOSE(WEEKDAY(datos_siembra[[#This Row],[Date]],2),"L","M","X","J","V","S","D")</f>
        <v>S</v>
      </c>
      <c r="R4415">
        <f>WEEKNUM(datos_siembra[[#This Row],[Date]],2)-WEEKNUM(DATE(YEAR(datos_siembra[[#This Row],[Date]]),MONTH(datos_siembra[[#This Row],[Date]]),1))+1</f>
        <v>3</v>
      </c>
      <c r="S4415">
        <f>MONTH(datos_siembra[[#This Row],[Date]])</f>
        <v>10</v>
      </c>
      <c r="T4415" t="str" cm="1">
        <f t="array" ref="T4415">_xlfn.IFS(AND(N4415&lt;= 22, S4415=9), "SOWING",AND(N4415&lt;= 28, S4415=9), "COVERAGE",AND(N4415&lt;= 30, S4415=9), "FLUSH",AND(N4415&lt;= 11, S4415=10), "FLUSH",AND(N4415&lt;= 21, S4415=10), "PRODUCTION")</f>
        <v>PRODUCTION</v>
      </c>
      <c r="U4415">
        <f>HOUR(datos_siembra[[#This Row],[Hour]])</f>
        <v>16</v>
      </c>
      <c r="V4415" cm="1">
        <f t="array" ref="V4415">_xlfn.IFS(AND(N4415&lt;= 22, S4415=9), N4415-7,AND(N4415&lt;= 28, S4415=9), N4415-25,AND(N4415&lt;= 30, S4415=9), N4415-28,AND(N4415&lt;= 11, S4415=10), N4415+2,AND(N4415&lt;= 21, S4415=10), N4415-11)</f>
        <v>8</v>
      </c>
    </row>
    <row r="4416" spans="1:22" x14ac:dyDescent="0.35">
      <c r="A4416" s="4">
        <v>45584</v>
      </c>
      <c r="B4416" s="5">
        <v>0.67854166666666671</v>
      </c>
      <c r="C4416">
        <v>64.3</v>
      </c>
      <c r="D4416">
        <v>65.599999999999994</v>
      </c>
      <c r="E4416">
        <v>63.4</v>
      </c>
      <c r="F4416">
        <v>63.2</v>
      </c>
      <c r="G4416">
        <v>0</v>
      </c>
      <c r="H4416">
        <v>0</v>
      </c>
      <c r="I4416">
        <v>0</v>
      </c>
      <c r="J4416">
        <v>0</v>
      </c>
      <c r="K4416">
        <v>62.8</v>
      </c>
      <c r="L4416">
        <v>62.8</v>
      </c>
      <c r="M4416">
        <v>64.03</v>
      </c>
      <c r="N4416">
        <v>19</v>
      </c>
      <c r="O4416">
        <v>4</v>
      </c>
      <c r="P4416">
        <f>MOD(DAY(datos_siembra[[#This Row],[Date]]),7)</f>
        <v>5</v>
      </c>
      <c r="Q4416" t="str">
        <f>CHOOSE(WEEKDAY(datos_siembra[[#This Row],[Date]],2),"L","M","X","J","V","S","D")</f>
        <v>S</v>
      </c>
      <c r="R4416">
        <f>WEEKNUM(datos_siembra[[#This Row],[Date]],2)-WEEKNUM(DATE(YEAR(datos_siembra[[#This Row],[Date]]),MONTH(datos_siembra[[#This Row],[Date]]),1))+1</f>
        <v>3</v>
      </c>
      <c r="S4416">
        <f>MONTH(datos_siembra[[#This Row],[Date]])</f>
        <v>10</v>
      </c>
      <c r="T4416" t="str" cm="1">
        <f t="array" ref="T4416">_xlfn.IFS(AND(N4416&lt;= 22, S4416=9), "SOWING",AND(N4416&lt;= 28, S4416=9), "COVERAGE",AND(N4416&lt;= 30, S4416=9), "FLUSH",AND(N4416&lt;= 11, S4416=10), "FLUSH",AND(N4416&lt;= 21, S4416=10), "PRODUCTION")</f>
        <v>PRODUCTION</v>
      </c>
      <c r="U4416">
        <f>HOUR(datos_siembra[[#This Row],[Hour]])</f>
        <v>16</v>
      </c>
      <c r="V4416" cm="1">
        <f t="array" ref="V4416">_xlfn.IFS(AND(N4416&lt;= 22, S4416=9), N4416-7,AND(N4416&lt;= 28, S4416=9), N4416-25,AND(N4416&lt;= 30, S4416=9), N4416-28,AND(N4416&lt;= 11, S4416=10), N4416+2,AND(N4416&lt;= 21, S4416=10), N4416-11)</f>
        <v>8</v>
      </c>
    </row>
    <row r="4417" spans="1:22" x14ac:dyDescent="0.35">
      <c r="A4417" s="4">
        <v>45584</v>
      </c>
      <c r="B4417" s="5">
        <v>0.68548611111111113</v>
      </c>
      <c r="C4417">
        <v>64.099999999999994</v>
      </c>
      <c r="D4417">
        <v>65.599999999999994</v>
      </c>
      <c r="E4417">
        <v>63.6</v>
      </c>
      <c r="F4417">
        <v>63.2</v>
      </c>
      <c r="G4417">
        <v>0</v>
      </c>
      <c r="H4417">
        <v>0</v>
      </c>
      <c r="I4417">
        <v>0</v>
      </c>
      <c r="J4417">
        <v>0</v>
      </c>
      <c r="K4417">
        <v>62.7</v>
      </c>
      <c r="L4417">
        <v>62.9</v>
      </c>
      <c r="M4417">
        <v>64.12</v>
      </c>
      <c r="N4417">
        <v>19</v>
      </c>
      <c r="O4417">
        <v>4</v>
      </c>
      <c r="P4417">
        <f>MOD(DAY(datos_siembra[[#This Row],[Date]]),7)</f>
        <v>5</v>
      </c>
      <c r="Q4417" t="str">
        <f>CHOOSE(WEEKDAY(datos_siembra[[#This Row],[Date]],2),"L","M","X","J","V","S","D")</f>
        <v>S</v>
      </c>
      <c r="R4417">
        <f>WEEKNUM(datos_siembra[[#This Row],[Date]],2)-WEEKNUM(DATE(YEAR(datos_siembra[[#This Row],[Date]]),MONTH(datos_siembra[[#This Row],[Date]]),1))+1</f>
        <v>3</v>
      </c>
      <c r="S4417">
        <f>MONTH(datos_siembra[[#This Row],[Date]])</f>
        <v>10</v>
      </c>
      <c r="T4417" t="str" cm="1">
        <f t="array" ref="T4417">_xlfn.IFS(AND(N4417&lt;= 22, S4417=9), "SOWING",AND(N4417&lt;= 28, S4417=9), "COVERAGE",AND(N4417&lt;= 30, S4417=9), "FLUSH",AND(N4417&lt;= 11, S4417=10), "FLUSH",AND(N4417&lt;= 21, S4417=10), "PRODUCTION")</f>
        <v>PRODUCTION</v>
      </c>
      <c r="U4417">
        <f>HOUR(datos_siembra[[#This Row],[Hour]])</f>
        <v>16</v>
      </c>
      <c r="V4417" cm="1">
        <f t="array" ref="V4417">_xlfn.IFS(AND(N4417&lt;= 22, S4417=9), N4417-7,AND(N4417&lt;= 28, S4417=9), N4417-25,AND(N4417&lt;= 30, S4417=9), N4417-28,AND(N4417&lt;= 11, S4417=10), N4417+2,AND(N4417&lt;= 21, S4417=10), N4417-11)</f>
        <v>8</v>
      </c>
    </row>
    <row r="4418" spans="1:22" x14ac:dyDescent="0.35">
      <c r="A4418" s="4">
        <v>45584</v>
      </c>
      <c r="B4418" s="5">
        <v>0.69243055555555555</v>
      </c>
      <c r="C4418">
        <v>64.2</v>
      </c>
      <c r="D4418">
        <v>65.599999999999994</v>
      </c>
      <c r="E4418">
        <v>63.5</v>
      </c>
      <c r="F4418">
        <v>63.3</v>
      </c>
      <c r="G4418">
        <v>0</v>
      </c>
      <c r="H4418">
        <v>0</v>
      </c>
      <c r="I4418">
        <v>0</v>
      </c>
      <c r="J4418">
        <v>0</v>
      </c>
      <c r="K4418">
        <v>62.8</v>
      </c>
      <c r="L4418">
        <v>62.8</v>
      </c>
      <c r="M4418">
        <v>64.09</v>
      </c>
      <c r="N4418">
        <v>19</v>
      </c>
      <c r="O4418">
        <v>4</v>
      </c>
      <c r="P4418">
        <f>MOD(DAY(datos_siembra[[#This Row],[Date]]),7)</f>
        <v>5</v>
      </c>
      <c r="Q4418" t="str">
        <f>CHOOSE(WEEKDAY(datos_siembra[[#This Row],[Date]],2),"L","M","X","J","V","S","D")</f>
        <v>S</v>
      </c>
      <c r="R4418">
        <f>WEEKNUM(datos_siembra[[#This Row],[Date]],2)-WEEKNUM(DATE(YEAR(datos_siembra[[#This Row],[Date]]),MONTH(datos_siembra[[#This Row],[Date]]),1))+1</f>
        <v>3</v>
      </c>
      <c r="S4418">
        <f>MONTH(datos_siembra[[#This Row],[Date]])</f>
        <v>10</v>
      </c>
      <c r="T4418" t="str" cm="1">
        <f t="array" ref="T4418">_xlfn.IFS(AND(N4418&lt;= 22, S4418=9), "SOWING",AND(N4418&lt;= 28, S4418=9), "COVERAGE",AND(N4418&lt;= 30, S4418=9), "FLUSH",AND(N4418&lt;= 11, S4418=10), "FLUSH",AND(N4418&lt;= 21, S4418=10), "PRODUCTION")</f>
        <v>PRODUCTION</v>
      </c>
      <c r="U4418">
        <f>HOUR(datos_siembra[[#This Row],[Hour]])</f>
        <v>16</v>
      </c>
      <c r="V4418" cm="1">
        <f t="array" ref="V4418">_xlfn.IFS(AND(N4418&lt;= 22, S4418=9), N4418-7,AND(N4418&lt;= 28, S4418=9), N4418-25,AND(N4418&lt;= 30, S4418=9), N4418-28,AND(N4418&lt;= 11, S4418=10), N4418+2,AND(N4418&lt;= 21, S4418=10), N4418-11)</f>
        <v>8</v>
      </c>
    </row>
    <row r="4419" spans="1:22" x14ac:dyDescent="0.35">
      <c r="A4419" s="4">
        <v>45584</v>
      </c>
      <c r="B4419" s="5">
        <v>0.69937499999999997</v>
      </c>
      <c r="C4419">
        <v>64.400000000000006</v>
      </c>
      <c r="D4419">
        <v>65.599999999999994</v>
      </c>
      <c r="E4419">
        <v>63.5</v>
      </c>
      <c r="F4419">
        <v>62.9</v>
      </c>
      <c r="G4419">
        <v>0</v>
      </c>
      <c r="H4419">
        <v>0</v>
      </c>
      <c r="I4419">
        <v>0</v>
      </c>
      <c r="J4419">
        <v>0</v>
      </c>
      <c r="K4419">
        <v>62.8</v>
      </c>
      <c r="L4419">
        <v>62.8</v>
      </c>
      <c r="M4419">
        <v>64.150000000000006</v>
      </c>
      <c r="N4419">
        <v>19</v>
      </c>
      <c r="O4419">
        <v>4</v>
      </c>
      <c r="P4419">
        <f>MOD(DAY(datos_siembra[[#This Row],[Date]]),7)</f>
        <v>5</v>
      </c>
      <c r="Q4419" t="str">
        <f>CHOOSE(WEEKDAY(datos_siembra[[#This Row],[Date]],2),"L","M","X","J","V","S","D")</f>
        <v>S</v>
      </c>
      <c r="R4419">
        <f>WEEKNUM(datos_siembra[[#This Row],[Date]],2)-WEEKNUM(DATE(YEAR(datos_siembra[[#This Row],[Date]]),MONTH(datos_siembra[[#This Row],[Date]]),1))+1</f>
        <v>3</v>
      </c>
      <c r="S4419">
        <f>MONTH(datos_siembra[[#This Row],[Date]])</f>
        <v>10</v>
      </c>
      <c r="T4419" t="str" cm="1">
        <f t="array" ref="T4419">_xlfn.IFS(AND(N4419&lt;= 22, S4419=9), "SOWING",AND(N4419&lt;= 28, S4419=9), "COVERAGE",AND(N4419&lt;= 30, S4419=9), "FLUSH",AND(N4419&lt;= 11, S4419=10), "FLUSH",AND(N4419&lt;= 21, S4419=10), "PRODUCTION")</f>
        <v>PRODUCTION</v>
      </c>
      <c r="U4419">
        <f>HOUR(datos_siembra[[#This Row],[Hour]])</f>
        <v>16</v>
      </c>
      <c r="V4419" cm="1">
        <f t="array" ref="V4419">_xlfn.IFS(AND(N4419&lt;= 22, S4419=9), N4419-7,AND(N4419&lt;= 28, S4419=9), N4419-25,AND(N4419&lt;= 30, S4419=9), N4419-28,AND(N4419&lt;= 11, S4419=10), N4419+2,AND(N4419&lt;= 21, S4419=10), N4419-11)</f>
        <v>8</v>
      </c>
    </row>
    <row r="4420" spans="1:22" x14ac:dyDescent="0.35">
      <c r="A4420" s="4">
        <v>45584</v>
      </c>
      <c r="B4420" s="5">
        <v>0.70633101851851854</v>
      </c>
      <c r="C4420">
        <v>64.2</v>
      </c>
      <c r="D4420">
        <v>65.5</v>
      </c>
      <c r="E4420">
        <v>63.5</v>
      </c>
      <c r="F4420">
        <v>63.3</v>
      </c>
      <c r="G4420">
        <v>0</v>
      </c>
      <c r="H4420">
        <v>0</v>
      </c>
      <c r="I4420">
        <v>0</v>
      </c>
      <c r="J4420">
        <v>0</v>
      </c>
      <c r="K4420">
        <v>62.8</v>
      </c>
      <c r="L4420">
        <v>62.9</v>
      </c>
      <c r="M4420">
        <v>64.06</v>
      </c>
      <c r="N4420">
        <v>19</v>
      </c>
      <c r="O4420">
        <v>4</v>
      </c>
      <c r="P4420">
        <f>MOD(DAY(datos_siembra[[#This Row],[Date]]),7)</f>
        <v>5</v>
      </c>
      <c r="Q4420" t="str">
        <f>CHOOSE(WEEKDAY(datos_siembra[[#This Row],[Date]],2),"L","M","X","J","V","S","D")</f>
        <v>S</v>
      </c>
      <c r="R4420">
        <f>WEEKNUM(datos_siembra[[#This Row],[Date]],2)-WEEKNUM(DATE(YEAR(datos_siembra[[#This Row],[Date]]),MONTH(datos_siembra[[#This Row],[Date]]),1))+1</f>
        <v>3</v>
      </c>
      <c r="S4420">
        <f>MONTH(datos_siembra[[#This Row],[Date]])</f>
        <v>10</v>
      </c>
      <c r="T4420" t="str" cm="1">
        <f t="array" ref="T4420">_xlfn.IFS(AND(N4420&lt;= 22, S4420=9), "SOWING",AND(N4420&lt;= 28, S4420=9), "COVERAGE",AND(N4420&lt;= 30, S4420=9), "FLUSH",AND(N4420&lt;= 11, S4420=10), "FLUSH",AND(N4420&lt;= 21, S4420=10), "PRODUCTION")</f>
        <v>PRODUCTION</v>
      </c>
      <c r="U4420">
        <f>HOUR(datos_siembra[[#This Row],[Hour]])</f>
        <v>16</v>
      </c>
      <c r="V4420" cm="1">
        <f t="array" ref="V4420">_xlfn.IFS(AND(N4420&lt;= 22, S4420=9), N4420-7,AND(N4420&lt;= 28, S4420=9), N4420-25,AND(N4420&lt;= 30, S4420=9), N4420-28,AND(N4420&lt;= 11, S4420=10), N4420+2,AND(N4420&lt;= 21, S4420=10), N4420-11)</f>
        <v>8</v>
      </c>
    </row>
    <row r="4421" spans="1:22" x14ac:dyDescent="0.35">
      <c r="A4421" s="4">
        <v>45584</v>
      </c>
      <c r="B4421" s="5">
        <v>0.71327546296296296</v>
      </c>
      <c r="C4421">
        <v>64.2</v>
      </c>
      <c r="D4421">
        <v>65.5</v>
      </c>
      <c r="E4421">
        <v>63.6</v>
      </c>
      <c r="F4421">
        <v>63.2</v>
      </c>
      <c r="G4421">
        <v>0</v>
      </c>
      <c r="H4421">
        <v>0</v>
      </c>
      <c r="I4421">
        <v>0</v>
      </c>
      <c r="J4421">
        <v>0</v>
      </c>
      <c r="K4421">
        <v>62.8</v>
      </c>
      <c r="L4421">
        <v>62.7</v>
      </c>
      <c r="M4421">
        <v>64.12</v>
      </c>
      <c r="N4421">
        <v>19</v>
      </c>
      <c r="O4421">
        <v>4</v>
      </c>
      <c r="P4421">
        <f>MOD(DAY(datos_siembra[[#This Row],[Date]]),7)</f>
        <v>5</v>
      </c>
      <c r="Q4421" t="str">
        <f>CHOOSE(WEEKDAY(datos_siembra[[#This Row],[Date]],2),"L","M","X","J","V","S","D")</f>
        <v>S</v>
      </c>
      <c r="R4421">
        <f>WEEKNUM(datos_siembra[[#This Row],[Date]],2)-WEEKNUM(DATE(YEAR(datos_siembra[[#This Row],[Date]]),MONTH(datos_siembra[[#This Row],[Date]]),1))+1</f>
        <v>3</v>
      </c>
      <c r="S4421">
        <f>MONTH(datos_siembra[[#This Row],[Date]])</f>
        <v>10</v>
      </c>
      <c r="T4421" t="str" cm="1">
        <f t="array" ref="T4421">_xlfn.IFS(AND(N4421&lt;= 22, S4421=9), "SOWING",AND(N4421&lt;= 28, S4421=9), "COVERAGE",AND(N4421&lt;= 30, S4421=9), "FLUSH",AND(N4421&lt;= 11, S4421=10), "FLUSH",AND(N4421&lt;= 21, S4421=10), "PRODUCTION")</f>
        <v>PRODUCTION</v>
      </c>
      <c r="U4421">
        <f>HOUR(datos_siembra[[#This Row],[Hour]])</f>
        <v>17</v>
      </c>
      <c r="V4421" cm="1">
        <f t="array" ref="V4421">_xlfn.IFS(AND(N4421&lt;= 22, S4421=9), N4421-7,AND(N4421&lt;= 28, S4421=9), N4421-25,AND(N4421&lt;= 30, S4421=9), N4421-28,AND(N4421&lt;= 11, S4421=10), N4421+2,AND(N4421&lt;= 21, S4421=10), N4421-11)</f>
        <v>8</v>
      </c>
    </row>
    <row r="4422" spans="1:22" x14ac:dyDescent="0.35">
      <c r="A4422" s="4">
        <v>45584</v>
      </c>
      <c r="B4422" s="5">
        <v>0.72021990740740738</v>
      </c>
      <c r="C4422">
        <v>64.3</v>
      </c>
      <c r="D4422">
        <v>65.599999999999994</v>
      </c>
      <c r="E4422">
        <v>63.4</v>
      </c>
      <c r="F4422">
        <v>63</v>
      </c>
      <c r="G4422">
        <v>0</v>
      </c>
      <c r="H4422">
        <v>0</v>
      </c>
      <c r="I4422">
        <v>0</v>
      </c>
      <c r="J4422">
        <v>0</v>
      </c>
      <c r="K4422">
        <v>62.6</v>
      </c>
      <c r="L4422">
        <v>62.7</v>
      </c>
      <c r="M4422">
        <v>64.2</v>
      </c>
      <c r="N4422">
        <v>19</v>
      </c>
      <c r="O4422">
        <v>4</v>
      </c>
      <c r="P4422">
        <f>MOD(DAY(datos_siembra[[#This Row],[Date]]),7)</f>
        <v>5</v>
      </c>
      <c r="Q4422" t="str">
        <f>CHOOSE(WEEKDAY(datos_siembra[[#This Row],[Date]],2),"L","M","X","J","V","S","D")</f>
        <v>S</v>
      </c>
      <c r="R4422">
        <f>WEEKNUM(datos_siembra[[#This Row],[Date]],2)-WEEKNUM(DATE(YEAR(datos_siembra[[#This Row],[Date]]),MONTH(datos_siembra[[#This Row],[Date]]),1))+1</f>
        <v>3</v>
      </c>
      <c r="S4422">
        <f>MONTH(datos_siembra[[#This Row],[Date]])</f>
        <v>10</v>
      </c>
      <c r="T4422" t="str" cm="1">
        <f t="array" ref="T4422">_xlfn.IFS(AND(N4422&lt;= 22, S4422=9), "SOWING",AND(N4422&lt;= 28, S4422=9), "COVERAGE",AND(N4422&lt;= 30, S4422=9), "FLUSH",AND(N4422&lt;= 11, S4422=10), "FLUSH",AND(N4422&lt;= 21, S4422=10), "PRODUCTION")</f>
        <v>PRODUCTION</v>
      </c>
      <c r="U4422">
        <f>HOUR(datos_siembra[[#This Row],[Hour]])</f>
        <v>17</v>
      </c>
      <c r="V4422" cm="1">
        <f t="array" ref="V4422">_xlfn.IFS(AND(N4422&lt;= 22, S4422=9), N4422-7,AND(N4422&lt;= 28, S4422=9), N4422-25,AND(N4422&lt;= 30, S4422=9), N4422-28,AND(N4422&lt;= 11, S4422=10), N4422+2,AND(N4422&lt;= 21, S4422=10), N4422-11)</f>
        <v>8</v>
      </c>
    </row>
    <row r="4423" spans="1:22" x14ac:dyDescent="0.35">
      <c r="A4423" s="4">
        <v>45584</v>
      </c>
      <c r="B4423" s="5">
        <v>0.72717592592592595</v>
      </c>
      <c r="C4423">
        <v>64.3</v>
      </c>
      <c r="D4423">
        <v>65.8</v>
      </c>
      <c r="E4423">
        <v>63.5</v>
      </c>
      <c r="F4423">
        <v>63.3</v>
      </c>
      <c r="G4423">
        <v>0</v>
      </c>
      <c r="H4423">
        <v>0</v>
      </c>
      <c r="I4423">
        <v>0</v>
      </c>
      <c r="J4423">
        <v>0</v>
      </c>
      <c r="K4423">
        <v>62.6</v>
      </c>
      <c r="L4423">
        <v>62.6</v>
      </c>
      <c r="M4423">
        <v>64.17</v>
      </c>
      <c r="N4423">
        <v>19</v>
      </c>
      <c r="O4423">
        <v>4</v>
      </c>
      <c r="P4423">
        <f>MOD(DAY(datos_siembra[[#This Row],[Date]]),7)</f>
        <v>5</v>
      </c>
      <c r="Q4423" t="str">
        <f>CHOOSE(WEEKDAY(datos_siembra[[#This Row],[Date]],2),"L","M","X","J","V","S","D")</f>
        <v>S</v>
      </c>
      <c r="R4423">
        <f>WEEKNUM(datos_siembra[[#This Row],[Date]],2)-WEEKNUM(DATE(YEAR(datos_siembra[[#This Row],[Date]]),MONTH(datos_siembra[[#This Row],[Date]]),1))+1</f>
        <v>3</v>
      </c>
      <c r="S4423">
        <f>MONTH(datos_siembra[[#This Row],[Date]])</f>
        <v>10</v>
      </c>
      <c r="T4423" t="str" cm="1">
        <f t="array" ref="T4423">_xlfn.IFS(AND(N4423&lt;= 22, S4423=9), "SOWING",AND(N4423&lt;= 28, S4423=9), "COVERAGE",AND(N4423&lt;= 30, S4423=9), "FLUSH",AND(N4423&lt;= 11, S4423=10), "FLUSH",AND(N4423&lt;= 21, S4423=10), "PRODUCTION")</f>
        <v>PRODUCTION</v>
      </c>
      <c r="U4423">
        <f>HOUR(datos_siembra[[#This Row],[Hour]])</f>
        <v>17</v>
      </c>
      <c r="V4423" cm="1">
        <f t="array" ref="V4423">_xlfn.IFS(AND(N4423&lt;= 22, S4423=9), N4423-7,AND(N4423&lt;= 28, S4423=9), N4423-25,AND(N4423&lt;= 30, S4423=9), N4423-28,AND(N4423&lt;= 11, S4423=10), N4423+2,AND(N4423&lt;= 21, S4423=10), N4423-11)</f>
        <v>8</v>
      </c>
    </row>
    <row r="4424" spans="1:22" x14ac:dyDescent="0.35">
      <c r="A4424" s="4">
        <v>45584</v>
      </c>
      <c r="B4424" s="5">
        <v>0.73412037037037037</v>
      </c>
      <c r="C4424">
        <v>64.099999999999994</v>
      </c>
      <c r="D4424">
        <v>65.5</v>
      </c>
      <c r="E4424">
        <v>63.5</v>
      </c>
      <c r="F4424">
        <v>63.3</v>
      </c>
      <c r="G4424">
        <v>0</v>
      </c>
      <c r="H4424">
        <v>0</v>
      </c>
      <c r="I4424">
        <v>0</v>
      </c>
      <c r="J4424">
        <v>0</v>
      </c>
      <c r="K4424">
        <v>62.5</v>
      </c>
      <c r="L4424">
        <v>62.6</v>
      </c>
      <c r="M4424">
        <v>64.150000000000006</v>
      </c>
      <c r="N4424">
        <v>19</v>
      </c>
      <c r="O4424">
        <v>4</v>
      </c>
      <c r="P4424">
        <f>MOD(DAY(datos_siembra[[#This Row],[Date]]),7)</f>
        <v>5</v>
      </c>
      <c r="Q4424" t="str">
        <f>CHOOSE(WEEKDAY(datos_siembra[[#This Row],[Date]],2),"L","M","X","J","V","S","D")</f>
        <v>S</v>
      </c>
      <c r="R4424">
        <f>WEEKNUM(datos_siembra[[#This Row],[Date]],2)-WEEKNUM(DATE(YEAR(datos_siembra[[#This Row],[Date]]),MONTH(datos_siembra[[#This Row],[Date]]),1))+1</f>
        <v>3</v>
      </c>
      <c r="S4424">
        <f>MONTH(datos_siembra[[#This Row],[Date]])</f>
        <v>10</v>
      </c>
      <c r="T4424" t="str" cm="1">
        <f t="array" ref="T4424">_xlfn.IFS(AND(N4424&lt;= 22, S4424=9), "SOWING",AND(N4424&lt;= 28, S4424=9), "COVERAGE",AND(N4424&lt;= 30, S4424=9), "FLUSH",AND(N4424&lt;= 11, S4424=10), "FLUSH",AND(N4424&lt;= 21, S4424=10), "PRODUCTION")</f>
        <v>PRODUCTION</v>
      </c>
      <c r="U4424">
        <f>HOUR(datos_siembra[[#This Row],[Hour]])</f>
        <v>17</v>
      </c>
      <c r="V4424" cm="1">
        <f t="array" ref="V4424">_xlfn.IFS(AND(N4424&lt;= 22, S4424=9), N4424-7,AND(N4424&lt;= 28, S4424=9), N4424-25,AND(N4424&lt;= 30, S4424=9), N4424-28,AND(N4424&lt;= 11, S4424=10), N4424+2,AND(N4424&lt;= 21, S4424=10), N4424-11)</f>
        <v>8</v>
      </c>
    </row>
    <row r="4425" spans="1:22" x14ac:dyDescent="0.35">
      <c r="A4425" s="4">
        <v>45584</v>
      </c>
      <c r="B4425" s="5">
        <v>0.74106481481481479</v>
      </c>
      <c r="C4425">
        <v>64.2</v>
      </c>
      <c r="D4425">
        <v>65.5</v>
      </c>
      <c r="E4425">
        <v>63.7</v>
      </c>
      <c r="F4425">
        <v>63.3</v>
      </c>
      <c r="G4425">
        <v>0</v>
      </c>
      <c r="H4425">
        <v>0</v>
      </c>
      <c r="I4425">
        <v>0</v>
      </c>
      <c r="J4425">
        <v>0</v>
      </c>
      <c r="K4425">
        <v>62.5</v>
      </c>
      <c r="L4425">
        <v>62.5</v>
      </c>
      <c r="M4425">
        <v>64.180000000000007</v>
      </c>
      <c r="N4425">
        <v>19</v>
      </c>
      <c r="O4425">
        <v>4</v>
      </c>
      <c r="P4425">
        <f>MOD(DAY(datos_siembra[[#This Row],[Date]]),7)</f>
        <v>5</v>
      </c>
      <c r="Q4425" t="str">
        <f>CHOOSE(WEEKDAY(datos_siembra[[#This Row],[Date]],2),"L","M","X","J","V","S","D")</f>
        <v>S</v>
      </c>
      <c r="R4425">
        <f>WEEKNUM(datos_siembra[[#This Row],[Date]],2)-WEEKNUM(DATE(YEAR(datos_siembra[[#This Row],[Date]]),MONTH(datos_siembra[[#This Row],[Date]]),1))+1</f>
        <v>3</v>
      </c>
      <c r="S4425">
        <f>MONTH(datos_siembra[[#This Row],[Date]])</f>
        <v>10</v>
      </c>
      <c r="T4425" t="str" cm="1">
        <f t="array" ref="T4425">_xlfn.IFS(AND(N4425&lt;= 22, S4425=9), "SOWING",AND(N4425&lt;= 28, S4425=9), "COVERAGE",AND(N4425&lt;= 30, S4425=9), "FLUSH",AND(N4425&lt;= 11, S4425=10), "FLUSH",AND(N4425&lt;= 21, S4425=10), "PRODUCTION")</f>
        <v>PRODUCTION</v>
      </c>
      <c r="U4425">
        <f>HOUR(datos_siembra[[#This Row],[Hour]])</f>
        <v>17</v>
      </c>
      <c r="V4425" cm="1">
        <f t="array" ref="V4425">_xlfn.IFS(AND(N4425&lt;= 22, S4425=9), N4425-7,AND(N4425&lt;= 28, S4425=9), N4425-25,AND(N4425&lt;= 30, S4425=9), N4425-28,AND(N4425&lt;= 11, S4425=10), N4425+2,AND(N4425&lt;= 21, S4425=10), N4425-11)</f>
        <v>8</v>
      </c>
    </row>
    <row r="4426" spans="1:22" x14ac:dyDescent="0.35">
      <c r="A4426" s="4">
        <v>45584</v>
      </c>
      <c r="B4426" s="5">
        <v>0.74800925925925921</v>
      </c>
      <c r="C4426">
        <v>64.3</v>
      </c>
      <c r="D4426">
        <v>65.5</v>
      </c>
      <c r="E4426">
        <v>63.6</v>
      </c>
      <c r="F4426">
        <v>63.3</v>
      </c>
      <c r="G4426">
        <v>0</v>
      </c>
      <c r="H4426">
        <v>0</v>
      </c>
      <c r="I4426">
        <v>0</v>
      </c>
      <c r="J4426">
        <v>0</v>
      </c>
      <c r="K4426">
        <v>62.6</v>
      </c>
      <c r="L4426">
        <v>62.5</v>
      </c>
      <c r="M4426">
        <v>64.260000000000005</v>
      </c>
      <c r="N4426">
        <v>19</v>
      </c>
      <c r="O4426">
        <v>4</v>
      </c>
      <c r="P4426">
        <f>MOD(DAY(datos_siembra[[#This Row],[Date]]),7)</f>
        <v>5</v>
      </c>
      <c r="Q4426" t="str">
        <f>CHOOSE(WEEKDAY(datos_siembra[[#This Row],[Date]],2),"L","M","X","J","V","S","D")</f>
        <v>S</v>
      </c>
      <c r="R4426">
        <f>WEEKNUM(datos_siembra[[#This Row],[Date]],2)-WEEKNUM(DATE(YEAR(datos_siembra[[#This Row],[Date]]),MONTH(datos_siembra[[#This Row],[Date]]),1))+1</f>
        <v>3</v>
      </c>
      <c r="S4426">
        <f>MONTH(datos_siembra[[#This Row],[Date]])</f>
        <v>10</v>
      </c>
      <c r="T4426" t="str" cm="1">
        <f t="array" ref="T4426">_xlfn.IFS(AND(N4426&lt;= 22, S4426=9), "SOWING",AND(N4426&lt;= 28, S4426=9), "COVERAGE",AND(N4426&lt;= 30, S4426=9), "FLUSH",AND(N4426&lt;= 11, S4426=10), "FLUSH",AND(N4426&lt;= 21, S4426=10), "PRODUCTION")</f>
        <v>PRODUCTION</v>
      </c>
      <c r="U4426">
        <f>HOUR(datos_siembra[[#This Row],[Hour]])</f>
        <v>17</v>
      </c>
      <c r="V4426" cm="1">
        <f t="array" ref="V4426">_xlfn.IFS(AND(N4426&lt;= 22, S4426=9), N4426-7,AND(N4426&lt;= 28, S4426=9), N4426-25,AND(N4426&lt;= 30, S4426=9), N4426-28,AND(N4426&lt;= 11, S4426=10), N4426+2,AND(N4426&lt;= 21, S4426=10), N4426-11)</f>
        <v>8</v>
      </c>
    </row>
    <row r="4427" spans="1:22" x14ac:dyDescent="0.35">
      <c r="A4427" s="4">
        <v>45584</v>
      </c>
      <c r="B4427" s="5">
        <v>0.75496527777777778</v>
      </c>
      <c r="C4427">
        <v>64.3</v>
      </c>
      <c r="D4427">
        <v>65.5</v>
      </c>
      <c r="E4427">
        <v>63.7</v>
      </c>
      <c r="F4427">
        <v>63.3</v>
      </c>
      <c r="G4427">
        <v>0</v>
      </c>
      <c r="H4427">
        <v>0</v>
      </c>
      <c r="I4427">
        <v>0</v>
      </c>
      <c r="J4427">
        <v>0</v>
      </c>
      <c r="K4427">
        <v>62.5</v>
      </c>
      <c r="L4427">
        <v>62.4</v>
      </c>
      <c r="M4427">
        <v>64.23</v>
      </c>
      <c r="N4427">
        <v>19</v>
      </c>
      <c r="O4427">
        <v>4</v>
      </c>
      <c r="P4427">
        <f>MOD(DAY(datos_siembra[[#This Row],[Date]]),7)</f>
        <v>5</v>
      </c>
      <c r="Q4427" t="str">
        <f>CHOOSE(WEEKDAY(datos_siembra[[#This Row],[Date]],2),"L","M","X","J","V","S","D")</f>
        <v>S</v>
      </c>
      <c r="R4427">
        <f>WEEKNUM(datos_siembra[[#This Row],[Date]],2)-WEEKNUM(DATE(YEAR(datos_siembra[[#This Row],[Date]]),MONTH(datos_siembra[[#This Row],[Date]]),1))+1</f>
        <v>3</v>
      </c>
      <c r="S4427">
        <f>MONTH(datos_siembra[[#This Row],[Date]])</f>
        <v>10</v>
      </c>
      <c r="T4427" t="str" cm="1">
        <f t="array" ref="T4427">_xlfn.IFS(AND(N4427&lt;= 22, S4427=9), "SOWING",AND(N4427&lt;= 28, S4427=9), "COVERAGE",AND(N4427&lt;= 30, S4427=9), "FLUSH",AND(N4427&lt;= 11, S4427=10), "FLUSH",AND(N4427&lt;= 21, S4427=10), "PRODUCTION")</f>
        <v>PRODUCTION</v>
      </c>
      <c r="U4427">
        <f>HOUR(datos_siembra[[#This Row],[Hour]])</f>
        <v>18</v>
      </c>
      <c r="V4427" cm="1">
        <f t="array" ref="V4427">_xlfn.IFS(AND(N4427&lt;= 22, S4427=9), N4427-7,AND(N4427&lt;= 28, S4427=9), N4427-25,AND(N4427&lt;= 30, S4427=9), N4427-28,AND(N4427&lt;= 11, S4427=10), N4427+2,AND(N4427&lt;= 21, S4427=10), N4427-11)</f>
        <v>8</v>
      </c>
    </row>
    <row r="4428" spans="1:22" x14ac:dyDescent="0.35">
      <c r="A4428" s="4">
        <v>45584</v>
      </c>
      <c r="B4428" s="5">
        <v>0.7619097222222222</v>
      </c>
      <c r="C4428">
        <v>64.3</v>
      </c>
      <c r="D4428">
        <v>65.5</v>
      </c>
      <c r="E4428">
        <v>63.7</v>
      </c>
      <c r="F4428">
        <v>63.4</v>
      </c>
      <c r="G4428">
        <v>0</v>
      </c>
      <c r="H4428">
        <v>0</v>
      </c>
      <c r="I4428">
        <v>0</v>
      </c>
      <c r="J4428">
        <v>0</v>
      </c>
      <c r="K4428">
        <v>62.5</v>
      </c>
      <c r="L4428">
        <v>62.4</v>
      </c>
      <c r="M4428">
        <v>64.12</v>
      </c>
      <c r="N4428">
        <v>19</v>
      </c>
      <c r="O4428">
        <v>4</v>
      </c>
      <c r="P4428">
        <f>MOD(DAY(datos_siembra[[#This Row],[Date]]),7)</f>
        <v>5</v>
      </c>
      <c r="Q4428" t="str">
        <f>CHOOSE(WEEKDAY(datos_siembra[[#This Row],[Date]],2),"L","M","X","J","V","S","D")</f>
        <v>S</v>
      </c>
      <c r="R4428">
        <f>WEEKNUM(datos_siembra[[#This Row],[Date]],2)-WEEKNUM(DATE(YEAR(datos_siembra[[#This Row],[Date]]),MONTH(datos_siembra[[#This Row],[Date]]),1))+1</f>
        <v>3</v>
      </c>
      <c r="S4428">
        <f>MONTH(datos_siembra[[#This Row],[Date]])</f>
        <v>10</v>
      </c>
      <c r="T4428" t="str" cm="1">
        <f t="array" ref="T4428">_xlfn.IFS(AND(N4428&lt;= 22, S4428=9), "SOWING",AND(N4428&lt;= 28, S4428=9), "COVERAGE",AND(N4428&lt;= 30, S4428=9), "FLUSH",AND(N4428&lt;= 11, S4428=10), "FLUSH",AND(N4428&lt;= 21, S4428=10), "PRODUCTION")</f>
        <v>PRODUCTION</v>
      </c>
      <c r="U4428">
        <f>HOUR(datos_siembra[[#This Row],[Hour]])</f>
        <v>18</v>
      </c>
      <c r="V4428" cm="1">
        <f t="array" ref="V4428">_xlfn.IFS(AND(N4428&lt;= 22, S4428=9), N4428-7,AND(N4428&lt;= 28, S4428=9), N4428-25,AND(N4428&lt;= 30, S4428=9), N4428-28,AND(N4428&lt;= 11, S4428=10), N4428+2,AND(N4428&lt;= 21, S4428=10), N4428-11)</f>
        <v>8</v>
      </c>
    </row>
    <row r="4429" spans="1:22" x14ac:dyDescent="0.35">
      <c r="A4429" s="4">
        <v>45584</v>
      </c>
      <c r="B4429" s="5">
        <v>0.76885416666666662</v>
      </c>
      <c r="C4429">
        <v>64.2</v>
      </c>
      <c r="D4429">
        <v>65.5</v>
      </c>
      <c r="E4429">
        <v>63.6</v>
      </c>
      <c r="F4429">
        <v>63.3</v>
      </c>
      <c r="G4429">
        <v>0</v>
      </c>
      <c r="H4429">
        <v>0</v>
      </c>
      <c r="I4429">
        <v>0</v>
      </c>
      <c r="J4429">
        <v>0</v>
      </c>
      <c r="K4429">
        <v>62.3</v>
      </c>
      <c r="L4429">
        <v>62.3</v>
      </c>
      <c r="M4429">
        <v>64.180000000000007</v>
      </c>
      <c r="N4429">
        <v>19</v>
      </c>
      <c r="O4429">
        <v>4</v>
      </c>
      <c r="P4429">
        <f>MOD(DAY(datos_siembra[[#This Row],[Date]]),7)</f>
        <v>5</v>
      </c>
      <c r="Q4429" t="str">
        <f>CHOOSE(WEEKDAY(datos_siembra[[#This Row],[Date]],2),"L","M","X","J","V","S","D")</f>
        <v>S</v>
      </c>
      <c r="R4429">
        <f>WEEKNUM(datos_siembra[[#This Row],[Date]],2)-WEEKNUM(DATE(YEAR(datos_siembra[[#This Row],[Date]]),MONTH(datos_siembra[[#This Row],[Date]]),1))+1</f>
        <v>3</v>
      </c>
      <c r="S4429">
        <f>MONTH(datos_siembra[[#This Row],[Date]])</f>
        <v>10</v>
      </c>
      <c r="T4429" t="str" cm="1">
        <f t="array" ref="T4429">_xlfn.IFS(AND(N4429&lt;= 22, S4429=9), "SOWING",AND(N4429&lt;= 28, S4429=9), "COVERAGE",AND(N4429&lt;= 30, S4429=9), "FLUSH",AND(N4429&lt;= 11, S4429=10), "FLUSH",AND(N4429&lt;= 21, S4429=10), "PRODUCTION")</f>
        <v>PRODUCTION</v>
      </c>
      <c r="U4429">
        <f>HOUR(datos_siembra[[#This Row],[Hour]])</f>
        <v>18</v>
      </c>
      <c r="V4429" cm="1">
        <f t="array" ref="V4429">_xlfn.IFS(AND(N4429&lt;= 22, S4429=9), N4429-7,AND(N4429&lt;= 28, S4429=9), N4429-25,AND(N4429&lt;= 30, S4429=9), N4429-28,AND(N4429&lt;= 11, S4429=10), N4429+2,AND(N4429&lt;= 21, S4429=10), N4429-11)</f>
        <v>8</v>
      </c>
    </row>
    <row r="4430" spans="1:22" x14ac:dyDescent="0.35">
      <c r="A4430" s="4">
        <v>45584</v>
      </c>
      <c r="B4430" s="5">
        <v>0.77581018518518519</v>
      </c>
      <c r="C4430">
        <v>64.3</v>
      </c>
      <c r="D4430">
        <v>65.599999999999994</v>
      </c>
      <c r="E4430">
        <v>63.8</v>
      </c>
      <c r="F4430">
        <v>63.3</v>
      </c>
      <c r="G4430">
        <v>0</v>
      </c>
      <c r="H4430">
        <v>0</v>
      </c>
      <c r="I4430">
        <v>0</v>
      </c>
      <c r="J4430">
        <v>0</v>
      </c>
      <c r="K4430">
        <v>62.4</v>
      </c>
      <c r="L4430">
        <v>62.3</v>
      </c>
      <c r="M4430">
        <v>64.260000000000005</v>
      </c>
      <c r="N4430">
        <v>19</v>
      </c>
      <c r="O4430">
        <v>4</v>
      </c>
      <c r="P4430">
        <f>MOD(DAY(datos_siembra[[#This Row],[Date]]),7)</f>
        <v>5</v>
      </c>
      <c r="Q4430" t="str">
        <f>CHOOSE(WEEKDAY(datos_siembra[[#This Row],[Date]],2),"L","M","X","J","V","S","D")</f>
        <v>S</v>
      </c>
      <c r="R4430">
        <f>WEEKNUM(datos_siembra[[#This Row],[Date]],2)-WEEKNUM(DATE(YEAR(datos_siembra[[#This Row],[Date]]),MONTH(datos_siembra[[#This Row],[Date]]),1))+1</f>
        <v>3</v>
      </c>
      <c r="S4430">
        <f>MONTH(datos_siembra[[#This Row],[Date]])</f>
        <v>10</v>
      </c>
      <c r="T4430" t="str" cm="1">
        <f t="array" ref="T4430">_xlfn.IFS(AND(N4430&lt;= 22, S4430=9), "SOWING",AND(N4430&lt;= 28, S4430=9), "COVERAGE",AND(N4430&lt;= 30, S4430=9), "FLUSH",AND(N4430&lt;= 11, S4430=10), "FLUSH",AND(N4430&lt;= 21, S4430=10), "PRODUCTION")</f>
        <v>PRODUCTION</v>
      </c>
      <c r="U4430">
        <f>HOUR(datos_siembra[[#This Row],[Hour]])</f>
        <v>18</v>
      </c>
      <c r="V4430" cm="1">
        <f t="array" ref="V4430">_xlfn.IFS(AND(N4430&lt;= 22, S4430=9), N4430-7,AND(N4430&lt;= 28, S4430=9), N4430-25,AND(N4430&lt;= 30, S4430=9), N4430-28,AND(N4430&lt;= 11, S4430=10), N4430+2,AND(N4430&lt;= 21, S4430=10), N4430-11)</f>
        <v>8</v>
      </c>
    </row>
    <row r="4431" spans="1:22" x14ac:dyDescent="0.35">
      <c r="A4431" s="4">
        <v>45584</v>
      </c>
      <c r="B4431" s="5">
        <v>0.78275462962962961</v>
      </c>
      <c r="C4431">
        <v>64.3</v>
      </c>
      <c r="D4431">
        <v>65.5</v>
      </c>
      <c r="E4431">
        <v>63.6</v>
      </c>
      <c r="F4431">
        <v>63.4</v>
      </c>
      <c r="G4431">
        <v>0</v>
      </c>
      <c r="H4431">
        <v>0</v>
      </c>
      <c r="I4431">
        <v>0</v>
      </c>
      <c r="J4431">
        <v>0</v>
      </c>
      <c r="K4431">
        <v>62.2</v>
      </c>
      <c r="L4431">
        <v>62.2</v>
      </c>
      <c r="M4431">
        <v>64.150000000000006</v>
      </c>
      <c r="N4431">
        <v>19</v>
      </c>
      <c r="O4431">
        <v>4</v>
      </c>
      <c r="P4431">
        <f>MOD(DAY(datos_siembra[[#This Row],[Date]]),7)</f>
        <v>5</v>
      </c>
      <c r="Q4431" t="str">
        <f>CHOOSE(WEEKDAY(datos_siembra[[#This Row],[Date]],2),"L","M","X","J","V","S","D")</f>
        <v>S</v>
      </c>
      <c r="R4431">
        <f>WEEKNUM(datos_siembra[[#This Row],[Date]],2)-WEEKNUM(DATE(YEAR(datos_siembra[[#This Row],[Date]]),MONTH(datos_siembra[[#This Row],[Date]]),1))+1</f>
        <v>3</v>
      </c>
      <c r="S4431">
        <f>MONTH(datos_siembra[[#This Row],[Date]])</f>
        <v>10</v>
      </c>
      <c r="T4431" t="str" cm="1">
        <f t="array" ref="T4431">_xlfn.IFS(AND(N4431&lt;= 22, S4431=9), "SOWING",AND(N4431&lt;= 28, S4431=9), "COVERAGE",AND(N4431&lt;= 30, S4431=9), "FLUSH",AND(N4431&lt;= 11, S4431=10), "FLUSH",AND(N4431&lt;= 21, S4431=10), "PRODUCTION")</f>
        <v>PRODUCTION</v>
      </c>
      <c r="U4431">
        <f>HOUR(datos_siembra[[#This Row],[Hour]])</f>
        <v>18</v>
      </c>
      <c r="V4431" cm="1">
        <f t="array" ref="V4431">_xlfn.IFS(AND(N4431&lt;= 22, S4431=9), N4431-7,AND(N4431&lt;= 28, S4431=9), N4431-25,AND(N4431&lt;= 30, S4431=9), N4431-28,AND(N4431&lt;= 11, S4431=10), N4431+2,AND(N4431&lt;= 21, S4431=10), N4431-11)</f>
        <v>8</v>
      </c>
    </row>
    <row r="4432" spans="1:22" x14ac:dyDescent="0.35">
      <c r="A4432" s="4">
        <v>45584</v>
      </c>
      <c r="B4432" s="5">
        <v>0.78969907407407403</v>
      </c>
      <c r="C4432">
        <v>64.3</v>
      </c>
      <c r="D4432">
        <v>65.5</v>
      </c>
      <c r="E4432">
        <v>63.7</v>
      </c>
      <c r="F4432">
        <v>63.3</v>
      </c>
      <c r="G4432">
        <v>0</v>
      </c>
      <c r="H4432">
        <v>0</v>
      </c>
      <c r="I4432">
        <v>0</v>
      </c>
      <c r="J4432">
        <v>0</v>
      </c>
      <c r="K4432">
        <v>62.3</v>
      </c>
      <c r="L4432">
        <v>62.2</v>
      </c>
      <c r="M4432">
        <v>64.260000000000005</v>
      </c>
      <c r="N4432">
        <v>19</v>
      </c>
      <c r="O4432">
        <v>4</v>
      </c>
      <c r="P4432">
        <f>MOD(DAY(datos_siembra[[#This Row],[Date]]),7)</f>
        <v>5</v>
      </c>
      <c r="Q4432" t="str">
        <f>CHOOSE(WEEKDAY(datos_siembra[[#This Row],[Date]],2),"L","M","X","J","V","S","D")</f>
        <v>S</v>
      </c>
      <c r="R4432">
        <f>WEEKNUM(datos_siembra[[#This Row],[Date]],2)-WEEKNUM(DATE(YEAR(datos_siembra[[#This Row],[Date]]),MONTH(datos_siembra[[#This Row],[Date]]),1))+1</f>
        <v>3</v>
      </c>
      <c r="S4432">
        <f>MONTH(datos_siembra[[#This Row],[Date]])</f>
        <v>10</v>
      </c>
      <c r="T4432" t="str" cm="1">
        <f t="array" ref="T4432">_xlfn.IFS(AND(N4432&lt;= 22, S4432=9), "SOWING",AND(N4432&lt;= 28, S4432=9), "COVERAGE",AND(N4432&lt;= 30, S4432=9), "FLUSH",AND(N4432&lt;= 11, S4432=10), "FLUSH",AND(N4432&lt;= 21, S4432=10), "PRODUCTION")</f>
        <v>PRODUCTION</v>
      </c>
      <c r="U4432">
        <f>HOUR(datos_siembra[[#This Row],[Hour]])</f>
        <v>18</v>
      </c>
      <c r="V4432" cm="1">
        <f t="array" ref="V4432">_xlfn.IFS(AND(N4432&lt;= 22, S4432=9), N4432-7,AND(N4432&lt;= 28, S4432=9), N4432-25,AND(N4432&lt;= 30, S4432=9), N4432-28,AND(N4432&lt;= 11, S4432=10), N4432+2,AND(N4432&lt;= 21, S4432=10), N4432-11)</f>
        <v>8</v>
      </c>
    </row>
    <row r="4433" spans="1:22" x14ac:dyDescent="0.35">
      <c r="A4433" s="4">
        <v>45584</v>
      </c>
      <c r="B4433" s="5">
        <v>0.79664351851851856</v>
      </c>
      <c r="C4433">
        <v>64.3</v>
      </c>
      <c r="D4433">
        <v>65.599999999999994</v>
      </c>
      <c r="E4433">
        <v>63.6</v>
      </c>
      <c r="F4433">
        <v>63.4</v>
      </c>
      <c r="G4433">
        <v>0</v>
      </c>
      <c r="H4433">
        <v>0</v>
      </c>
      <c r="I4433">
        <v>0</v>
      </c>
      <c r="J4433">
        <v>0</v>
      </c>
      <c r="K4433">
        <v>62.3</v>
      </c>
      <c r="L4433">
        <v>62</v>
      </c>
      <c r="M4433">
        <v>64.23</v>
      </c>
      <c r="N4433">
        <v>19</v>
      </c>
      <c r="O4433">
        <v>4</v>
      </c>
      <c r="P4433">
        <f>MOD(DAY(datos_siembra[[#This Row],[Date]]),7)</f>
        <v>5</v>
      </c>
      <c r="Q4433" t="str">
        <f>CHOOSE(WEEKDAY(datos_siembra[[#This Row],[Date]],2),"L","M","X","J","V","S","D")</f>
        <v>S</v>
      </c>
      <c r="R4433">
        <f>WEEKNUM(datos_siembra[[#This Row],[Date]],2)-WEEKNUM(DATE(YEAR(datos_siembra[[#This Row],[Date]]),MONTH(datos_siembra[[#This Row],[Date]]),1))+1</f>
        <v>3</v>
      </c>
      <c r="S4433">
        <f>MONTH(datos_siembra[[#This Row],[Date]])</f>
        <v>10</v>
      </c>
      <c r="T4433" t="str" cm="1">
        <f t="array" ref="T4433">_xlfn.IFS(AND(N4433&lt;= 22, S4433=9), "SOWING",AND(N4433&lt;= 28, S4433=9), "COVERAGE",AND(N4433&lt;= 30, S4433=9), "FLUSH",AND(N4433&lt;= 11, S4433=10), "FLUSH",AND(N4433&lt;= 21, S4433=10), "PRODUCTION")</f>
        <v>PRODUCTION</v>
      </c>
      <c r="U4433">
        <f>HOUR(datos_siembra[[#This Row],[Hour]])</f>
        <v>19</v>
      </c>
      <c r="V4433" cm="1">
        <f t="array" ref="V4433">_xlfn.IFS(AND(N4433&lt;= 22, S4433=9), N4433-7,AND(N4433&lt;= 28, S4433=9), N4433-25,AND(N4433&lt;= 30, S4433=9), N4433-28,AND(N4433&lt;= 11, S4433=10), N4433+2,AND(N4433&lt;= 21, S4433=10), N4433-11)</f>
        <v>8</v>
      </c>
    </row>
    <row r="4434" spans="1:22" x14ac:dyDescent="0.35">
      <c r="A4434" s="4">
        <v>45584</v>
      </c>
      <c r="B4434" s="5">
        <v>0.80359953703703701</v>
      </c>
      <c r="C4434">
        <v>64.3</v>
      </c>
      <c r="D4434">
        <v>65.599999999999994</v>
      </c>
      <c r="E4434">
        <v>63.7</v>
      </c>
      <c r="F4434">
        <v>63.4</v>
      </c>
      <c r="G4434">
        <v>0</v>
      </c>
      <c r="H4434">
        <v>0</v>
      </c>
      <c r="I4434">
        <v>0</v>
      </c>
      <c r="J4434">
        <v>0</v>
      </c>
      <c r="K4434">
        <v>62.2</v>
      </c>
      <c r="L4434">
        <v>62</v>
      </c>
      <c r="M4434">
        <v>64.290000000000006</v>
      </c>
      <c r="N4434">
        <v>19</v>
      </c>
      <c r="O4434">
        <v>4</v>
      </c>
      <c r="P4434">
        <f>MOD(DAY(datos_siembra[[#This Row],[Date]]),7)</f>
        <v>5</v>
      </c>
      <c r="Q4434" t="str">
        <f>CHOOSE(WEEKDAY(datos_siembra[[#This Row],[Date]],2),"L","M","X","J","V","S","D")</f>
        <v>S</v>
      </c>
      <c r="R4434">
        <f>WEEKNUM(datos_siembra[[#This Row],[Date]],2)-WEEKNUM(DATE(YEAR(datos_siembra[[#This Row],[Date]]),MONTH(datos_siembra[[#This Row],[Date]]),1))+1</f>
        <v>3</v>
      </c>
      <c r="S4434">
        <f>MONTH(datos_siembra[[#This Row],[Date]])</f>
        <v>10</v>
      </c>
      <c r="T4434" t="str" cm="1">
        <f t="array" ref="T4434">_xlfn.IFS(AND(N4434&lt;= 22, S4434=9), "SOWING",AND(N4434&lt;= 28, S4434=9), "COVERAGE",AND(N4434&lt;= 30, S4434=9), "FLUSH",AND(N4434&lt;= 11, S4434=10), "FLUSH",AND(N4434&lt;= 21, S4434=10), "PRODUCTION")</f>
        <v>PRODUCTION</v>
      </c>
      <c r="U4434">
        <f>HOUR(datos_siembra[[#This Row],[Hour]])</f>
        <v>19</v>
      </c>
      <c r="V4434" cm="1">
        <f t="array" ref="V4434">_xlfn.IFS(AND(N4434&lt;= 22, S4434=9), N4434-7,AND(N4434&lt;= 28, S4434=9), N4434-25,AND(N4434&lt;= 30, S4434=9), N4434-28,AND(N4434&lt;= 11, S4434=10), N4434+2,AND(N4434&lt;= 21, S4434=10), N4434-11)</f>
        <v>8</v>
      </c>
    </row>
    <row r="4435" spans="1:22" x14ac:dyDescent="0.35">
      <c r="A4435" s="4">
        <v>45584</v>
      </c>
      <c r="B4435" s="5">
        <v>0.81054398148148143</v>
      </c>
      <c r="C4435">
        <v>64.2</v>
      </c>
      <c r="D4435">
        <v>65.8</v>
      </c>
      <c r="E4435">
        <v>63.8</v>
      </c>
      <c r="F4435">
        <v>63.4</v>
      </c>
      <c r="G4435">
        <v>0</v>
      </c>
      <c r="H4435">
        <v>0</v>
      </c>
      <c r="I4435">
        <v>0</v>
      </c>
      <c r="J4435">
        <v>0</v>
      </c>
      <c r="K4435">
        <v>62.2</v>
      </c>
      <c r="L4435">
        <v>61.9</v>
      </c>
      <c r="M4435">
        <v>64.290000000000006</v>
      </c>
      <c r="N4435">
        <v>19</v>
      </c>
      <c r="O4435">
        <v>4</v>
      </c>
      <c r="P4435">
        <f>MOD(DAY(datos_siembra[[#This Row],[Date]]),7)</f>
        <v>5</v>
      </c>
      <c r="Q4435" t="str">
        <f>CHOOSE(WEEKDAY(datos_siembra[[#This Row],[Date]],2),"L","M","X","J","V","S","D")</f>
        <v>S</v>
      </c>
      <c r="R4435">
        <f>WEEKNUM(datos_siembra[[#This Row],[Date]],2)-WEEKNUM(DATE(YEAR(datos_siembra[[#This Row],[Date]]),MONTH(datos_siembra[[#This Row],[Date]]),1))+1</f>
        <v>3</v>
      </c>
      <c r="S4435">
        <f>MONTH(datos_siembra[[#This Row],[Date]])</f>
        <v>10</v>
      </c>
      <c r="T4435" t="str" cm="1">
        <f t="array" ref="T4435">_xlfn.IFS(AND(N4435&lt;= 22, S4435=9), "SOWING",AND(N4435&lt;= 28, S4435=9), "COVERAGE",AND(N4435&lt;= 30, S4435=9), "FLUSH",AND(N4435&lt;= 11, S4435=10), "FLUSH",AND(N4435&lt;= 21, S4435=10), "PRODUCTION")</f>
        <v>PRODUCTION</v>
      </c>
      <c r="U4435">
        <f>HOUR(datos_siembra[[#This Row],[Hour]])</f>
        <v>19</v>
      </c>
      <c r="V4435" cm="1">
        <f t="array" ref="V4435">_xlfn.IFS(AND(N4435&lt;= 22, S4435=9), N4435-7,AND(N4435&lt;= 28, S4435=9), N4435-25,AND(N4435&lt;= 30, S4435=9), N4435-28,AND(N4435&lt;= 11, S4435=10), N4435+2,AND(N4435&lt;= 21, S4435=10), N4435-11)</f>
        <v>8</v>
      </c>
    </row>
    <row r="4436" spans="1:22" x14ac:dyDescent="0.35">
      <c r="A4436" s="4">
        <v>45584</v>
      </c>
      <c r="B4436" s="5">
        <v>0.81748842592592597</v>
      </c>
      <c r="C4436">
        <v>64.400000000000006</v>
      </c>
      <c r="D4436">
        <v>65.5</v>
      </c>
      <c r="E4436">
        <v>63.8</v>
      </c>
      <c r="F4436">
        <v>63.3</v>
      </c>
      <c r="G4436">
        <v>0</v>
      </c>
      <c r="H4436">
        <v>0</v>
      </c>
      <c r="I4436">
        <v>0</v>
      </c>
      <c r="J4436">
        <v>0</v>
      </c>
      <c r="K4436">
        <v>62</v>
      </c>
      <c r="L4436">
        <v>61.9</v>
      </c>
      <c r="M4436">
        <v>64.2</v>
      </c>
      <c r="N4436">
        <v>19</v>
      </c>
      <c r="O4436">
        <v>4</v>
      </c>
      <c r="P4436">
        <f>MOD(DAY(datos_siembra[[#This Row],[Date]]),7)</f>
        <v>5</v>
      </c>
      <c r="Q4436" t="str">
        <f>CHOOSE(WEEKDAY(datos_siembra[[#This Row],[Date]],2),"L","M","X","J","V","S","D")</f>
        <v>S</v>
      </c>
      <c r="R4436">
        <f>WEEKNUM(datos_siembra[[#This Row],[Date]],2)-WEEKNUM(DATE(YEAR(datos_siembra[[#This Row],[Date]]),MONTH(datos_siembra[[#This Row],[Date]]),1))+1</f>
        <v>3</v>
      </c>
      <c r="S4436">
        <f>MONTH(datos_siembra[[#This Row],[Date]])</f>
        <v>10</v>
      </c>
      <c r="T4436" t="str" cm="1">
        <f t="array" ref="T4436">_xlfn.IFS(AND(N4436&lt;= 22, S4436=9), "SOWING",AND(N4436&lt;= 28, S4436=9), "COVERAGE",AND(N4436&lt;= 30, S4436=9), "FLUSH",AND(N4436&lt;= 11, S4436=10), "FLUSH",AND(N4436&lt;= 21, S4436=10), "PRODUCTION")</f>
        <v>PRODUCTION</v>
      </c>
      <c r="U4436">
        <f>HOUR(datos_siembra[[#This Row],[Hour]])</f>
        <v>19</v>
      </c>
      <c r="V4436" cm="1">
        <f t="array" ref="V4436">_xlfn.IFS(AND(N4436&lt;= 22, S4436=9), N4436-7,AND(N4436&lt;= 28, S4436=9), N4436-25,AND(N4436&lt;= 30, S4436=9), N4436-28,AND(N4436&lt;= 11, S4436=10), N4436+2,AND(N4436&lt;= 21, S4436=10), N4436-11)</f>
        <v>8</v>
      </c>
    </row>
    <row r="4437" spans="1:22" x14ac:dyDescent="0.35">
      <c r="A4437" s="4">
        <v>45584</v>
      </c>
      <c r="B4437" s="5">
        <v>0.82444444444444442</v>
      </c>
      <c r="C4437">
        <v>64.2</v>
      </c>
      <c r="D4437">
        <v>65.599999999999994</v>
      </c>
      <c r="E4437">
        <v>63.9</v>
      </c>
      <c r="F4437">
        <v>63.3</v>
      </c>
      <c r="G4437">
        <v>0</v>
      </c>
      <c r="H4437">
        <v>0</v>
      </c>
      <c r="I4437">
        <v>0</v>
      </c>
      <c r="J4437">
        <v>0</v>
      </c>
      <c r="K4437">
        <v>62</v>
      </c>
      <c r="L4437">
        <v>61.8</v>
      </c>
      <c r="M4437">
        <v>64.23</v>
      </c>
      <c r="N4437">
        <v>19</v>
      </c>
      <c r="O4437">
        <v>4</v>
      </c>
      <c r="P4437">
        <f>MOD(DAY(datos_siembra[[#This Row],[Date]]),7)</f>
        <v>5</v>
      </c>
      <c r="Q4437" t="str">
        <f>CHOOSE(WEEKDAY(datos_siembra[[#This Row],[Date]],2),"L","M","X","J","V","S","D")</f>
        <v>S</v>
      </c>
      <c r="R4437">
        <f>WEEKNUM(datos_siembra[[#This Row],[Date]],2)-WEEKNUM(DATE(YEAR(datos_siembra[[#This Row],[Date]]),MONTH(datos_siembra[[#This Row],[Date]]),1))+1</f>
        <v>3</v>
      </c>
      <c r="S4437">
        <f>MONTH(datos_siembra[[#This Row],[Date]])</f>
        <v>10</v>
      </c>
      <c r="T4437" t="str" cm="1">
        <f t="array" ref="T4437">_xlfn.IFS(AND(N4437&lt;= 22, S4437=9), "SOWING",AND(N4437&lt;= 28, S4437=9), "COVERAGE",AND(N4437&lt;= 30, S4437=9), "FLUSH",AND(N4437&lt;= 11, S4437=10), "FLUSH",AND(N4437&lt;= 21, S4437=10), "PRODUCTION")</f>
        <v>PRODUCTION</v>
      </c>
      <c r="U4437">
        <f>HOUR(datos_siembra[[#This Row],[Hour]])</f>
        <v>19</v>
      </c>
      <c r="V4437" cm="1">
        <f t="array" ref="V4437">_xlfn.IFS(AND(N4437&lt;= 22, S4437=9), N4437-7,AND(N4437&lt;= 28, S4437=9), N4437-25,AND(N4437&lt;= 30, S4437=9), N4437-28,AND(N4437&lt;= 11, S4437=10), N4437+2,AND(N4437&lt;= 21, S4437=10), N4437-11)</f>
        <v>8</v>
      </c>
    </row>
    <row r="4438" spans="1:22" x14ac:dyDescent="0.35">
      <c r="A4438" s="4">
        <v>45584</v>
      </c>
      <c r="B4438" s="5">
        <v>0.83138888888888884</v>
      </c>
      <c r="C4438">
        <v>64.400000000000006</v>
      </c>
      <c r="D4438">
        <v>65.5</v>
      </c>
      <c r="E4438">
        <v>63.9</v>
      </c>
      <c r="F4438">
        <v>63.4</v>
      </c>
      <c r="G4438">
        <v>0</v>
      </c>
      <c r="H4438">
        <v>0</v>
      </c>
      <c r="I4438">
        <v>0</v>
      </c>
      <c r="J4438">
        <v>0</v>
      </c>
      <c r="K4438">
        <v>62</v>
      </c>
      <c r="L4438">
        <v>61.8</v>
      </c>
      <c r="M4438">
        <v>64.290000000000006</v>
      </c>
      <c r="N4438">
        <v>19</v>
      </c>
      <c r="O4438">
        <v>4</v>
      </c>
      <c r="P4438">
        <f>MOD(DAY(datos_siembra[[#This Row],[Date]]),7)</f>
        <v>5</v>
      </c>
      <c r="Q4438" t="str">
        <f>CHOOSE(WEEKDAY(datos_siembra[[#This Row],[Date]],2),"L","M","X","J","V","S","D")</f>
        <v>S</v>
      </c>
      <c r="R4438">
        <f>WEEKNUM(datos_siembra[[#This Row],[Date]],2)-WEEKNUM(DATE(YEAR(datos_siembra[[#This Row],[Date]]),MONTH(datos_siembra[[#This Row],[Date]]),1))+1</f>
        <v>3</v>
      </c>
      <c r="S4438">
        <f>MONTH(datos_siembra[[#This Row],[Date]])</f>
        <v>10</v>
      </c>
      <c r="T4438" t="str" cm="1">
        <f t="array" ref="T4438">_xlfn.IFS(AND(N4438&lt;= 22, S4438=9), "SOWING",AND(N4438&lt;= 28, S4438=9), "COVERAGE",AND(N4438&lt;= 30, S4438=9), "FLUSH",AND(N4438&lt;= 11, S4438=10), "FLUSH",AND(N4438&lt;= 21, S4438=10), "PRODUCTION")</f>
        <v>PRODUCTION</v>
      </c>
      <c r="U4438">
        <f>HOUR(datos_siembra[[#This Row],[Hour]])</f>
        <v>19</v>
      </c>
      <c r="V4438" cm="1">
        <f t="array" ref="V4438">_xlfn.IFS(AND(N4438&lt;= 22, S4438=9), N4438-7,AND(N4438&lt;= 28, S4438=9), N4438-25,AND(N4438&lt;= 30, S4438=9), N4438-28,AND(N4438&lt;= 11, S4438=10), N4438+2,AND(N4438&lt;= 21, S4438=10), N4438-11)</f>
        <v>8</v>
      </c>
    </row>
    <row r="4439" spans="1:22" x14ac:dyDescent="0.35">
      <c r="A4439" s="4">
        <v>45584</v>
      </c>
      <c r="B4439" s="5">
        <v>0.83833333333333337</v>
      </c>
      <c r="C4439">
        <v>64.3</v>
      </c>
      <c r="D4439">
        <v>65.5</v>
      </c>
      <c r="E4439">
        <v>63.8</v>
      </c>
      <c r="F4439">
        <v>63.4</v>
      </c>
      <c r="G4439">
        <v>0</v>
      </c>
      <c r="H4439">
        <v>0</v>
      </c>
      <c r="I4439">
        <v>0</v>
      </c>
      <c r="J4439">
        <v>0</v>
      </c>
      <c r="K4439">
        <v>61.9</v>
      </c>
      <c r="L4439">
        <v>61.7</v>
      </c>
      <c r="M4439">
        <v>64.260000000000005</v>
      </c>
      <c r="N4439">
        <v>19</v>
      </c>
      <c r="O4439">
        <v>4</v>
      </c>
      <c r="P4439">
        <f>MOD(DAY(datos_siembra[[#This Row],[Date]]),7)</f>
        <v>5</v>
      </c>
      <c r="Q4439" t="str">
        <f>CHOOSE(WEEKDAY(datos_siembra[[#This Row],[Date]],2),"L","M","X","J","V","S","D")</f>
        <v>S</v>
      </c>
      <c r="R4439">
        <f>WEEKNUM(datos_siembra[[#This Row],[Date]],2)-WEEKNUM(DATE(YEAR(datos_siembra[[#This Row],[Date]]),MONTH(datos_siembra[[#This Row],[Date]]),1))+1</f>
        <v>3</v>
      </c>
      <c r="S4439">
        <f>MONTH(datos_siembra[[#This Row],[Date]])</f>
        <v>10</v>
      </c>
      <c r="T4439" t="str" cm="1">
        <f t="array" ref="T4439">_xlfn.IFS(AND(N4439&lt;= 22, S4439=9), "SOWING",AND(N4439&lt;= 28, S4439=9), "COVERAGE",AND(N4439&lt;= 30, S4439=9), "FLUSH",AND(N4439&lt;= 11, S4439=10), "FLUSH",AND(N4439&lt;= 21, S4439=10), "PRODUCTION")</f>
        <v>PRODUCTION</v>
      </c>
      <c r="U4439">
        <f>HOUR(datos_siembra[[#This Row],[Hour]])</f>
        <v>20</v>
      </c>
      <c r="V4439" cm="1">
        <f t="array" ref="V4439">_xlfn.IFS(AND(N4439&lt;= 22, S4439=9), N4439-7,AND(N4439&lt;= 28, S4439=9), N4439-25,AND(N4439&lt;= 30, S4439=9), N4439-28,AND(N4439&lt;= 11, S4439=10), N4439+2,AND(N4439&lt;= 21, S4439=10), N4439-11)</f>
        <v>8</v>
      </c>
    </row>
    <row r="4440" spans="1:22" x14ac:dyDescent="0.35">
      <c r="A4440" s="4">
        <v>45584</v>
      </c>
      <c r="B4440" s="5">
        <v>0.84527777777777779</v>
      </c>
      <c r="C4440">
        <v>64.2</v>
      </c>
      <c r="D4440">
        <v>65.400000000000006</v>
      </c>
      <c r="E4440">
        <v>63.9</v>
      </c>
      <c r="F4440">
        <v>63.3</v>
      </c>
      <c r="G4440">
        <v>0</v>
      </c>
      <c r="H4440">
        <v>0</v>
      </c>
      <c r="I4440">
        <v>0</v>
      </c>
      <c r="J4440">
        <v>0</v>
      </c>
      <c r="K4440">
        <v>61.8</v>
      </c>
      <c r="L4440">
        <v>61.7</v>
      </c>
      <c r="M4440">
        <v>64.23</v>
      </c>
      <c r="N4440">
        <v>19</v>
      </c>
      <c r="O4440">
        <v>4</v>
      </c>
      <c r="P4440">
        <f>MOD(DAY(datos_siembra[[#This Row],[Date]]),7)</f>
        <v>5</v>
      </c>
      <c r="Q4440" t="str">
        <f>CHOOSE(WEEKDAY(datos_siembra[[#This Row],[Date]],2),"L","M","X","J","V","S","D")</f>
        <v>S</v>
      </c>
      <c r="R4440">
        <f>WEEKNUM(datos_siembra[[#This Row],[Date]],2)-WEEKNUM(DATE(YEAR(datos_siembra[[#This Row],[Date]]),MONTH(datos_siembra[[#This Row],[Date]]),1))+1</f>
        <v>3</v>
      </c>
      <c r="S4440">
        <f>MONTH(datos_siembra[[#This Row],[Date]])</f>
        <v>10</v>
      </c>
      <c r="T4440" t="str" cm="1">
        <f t="array" ref="T4440">_xlfn.IFS(AND(N4440&lt;= 22, S4440=9), "SOWING",AND(N4440&lt;= 28, S4440=9), "COVERAGE",AND(N4440&lt;= 30, S4440=9), "FLUSH",AND(N4440&lt;= 11, S4440=10), "FLUSH",AND(N4440&lt;= 21, S4440=10), "PRODUCTION")</f>
        <v>PRODUCTION</v>
      </c>
      <c r="U4440">
        <f>HOUR(datos_siembra[[#This Row],[Hour]])</f>
        <v>20</v>
      </c>
      <c r="V4440" cm="1">
        <f t="array" ref="V4440">_xlfn.IFS(AND(N4440&lt;= 22, S4440=9), N4440-7,AND(N4440&lt;= 28, S4440=9), N4440-25,AND(N4440&lt;= 30, S4440=9), N4440-28,AND(N4440&lt;= 11, S4440=10), N4440+2,AND(N4440&lt;= 21, S4440=10), N4440-11)</f>
        <v>8</v>
      </c>
    </row>
    <row r="4441" spans="1:22" x14ac:dyDescent="0.35">
      <c r="A4441" s="4">
        <v>45584</v>
      </c>
      <c r="B4441" s="5">
        <v>0.85223379629629625</v>
      </c>
      <c r="C4441">
        <v>64.2</v>
      </c>
      <c r="D4441">
        <v>65.5</v>
      </c>
      <c r="E4441">
        <v>63.9</v>
      </c>
      <c r="F4441">
        <v>63.4</v>
      </c>
      <c r="G4441">
        <v>0</v>
      </c>
      <c r="H4441">
        <v>0</v>
      </c>
      <c r="I4441">
        <v>0</v>
      </c>
      <c r="J4441">
        <v>0</v>
      </c>
      <c r="K4441">
        <v>61.8</v>
      </c>
      <c r="L4441">
        <v>61.6</v>
      </c>
      <c r="M4441">
        <v>64.150000000000006</v>
      </c>
      <c r="N4441">
        <v>19</v>
      </c>
      <c r="O4441">
        <v>4</v>
      </c>
      <c r="P4441">
        <f>MOD(DAY(datos_siembra[[#This Row],[Date]]),7)</f>
        <v>5</v>
      </c>
      <c r="Q4441" t="str">
        <f>CHOOSE(WEEKDAY(datos_siembra[[#This Row],[Date]],2),"L","M","X","J","V","S","D")</f>
        <v>S</v>
      </c>
      <c r="R4441">
        <f>WEEKNUM(datos_siembra[[#This Row],[Date]],2)-WEEKNUM(DATE(YEAR(datos_siembra[[#This Row],[Date]]),MONTH(datos_siembra[[#This Row],[Date]]),1))+1</f>
        <v>3</v>
      </c>
      <c r="S4441">
        <f>MONTH(datos_siembra[[#This Row],[Date]])</f>
        <v>10</v>
      </c>
      <c r="T4441" t="str" cm="1">
        <f t="array" ref="T4441">_xlfn.IFS(AND(N4441&lt;= 22, S4441=9), "SOWING",AND(N4441&lt;= 28, S4441=9), "COVERAGE",AND(N4441&lt;= 30, S4441=9), "FLUSH",AND(N4441&lt;= 11, S4441=10), "FLUSH",AND(N4441&lt;= 21, S4441=10), "PRODUCTION")</f>
        <v>PRODUCTION</v>
      </c>
      <c r="U4441">
        <f>HOUR(datos_siembra[[#This Row],[Hour]])</f>
        <v>20</v>
      </c>
      <c r="V4441" cm="1">
        <f t="array" ref="V4441">_xlfn.IFS(AND(N4441&lt;= 22, S4441=9), N4441-7,AND(N4441&lt;= 28, S4441=9), N4441-25,AND(N4441&lt;= 30, S4441=9), N4441-28,AND(N4441&lt;= 11, S4441=10), N4441+2,AND(N4441&lt;= 21, S4441=10), N4441-11)</f>
        <v>8</v>
      </c>
    </row>
    <row r="4442" spans="1:22" x14ac:dyDescent="0.35">
      <c r="A4442" s="4">
        <v>45584</v>
      </c>
      <c r="B4442" s="5">
        <v>0.85917824074074078</v>
      </c>
      <c r="C4442">
        <v>64.3</v>
      </c>
      <c r="D4442">
        <v>65.400000000000006</v>
      </c>
      <c r="E4442">
        <v>63.9</v>
      </c>
      <c r="F4442">
        <v>63.4</v>
      </c>
      <c r="G4442">
        <v>0</v>
      </c>
      <c r="H4442">
        <v>0</v>
      </c>
      <c r="I4442">
        <v>0</v>
      </c>
      <c r="J4442">
        <v>0</v>
      </c>
      <c r="K4442">
        <v>61.8</v>
      </c>
      <c r="L4442">
        <v>61.5</v>
      </c>
      <c r="M4442">
        <v>64.260000000000005</v>
      </c>
      <c r="N4442">
        <v>19</v>
      </c>
      <c r="O4442">
        <v>4</v>
      </c>
      <c r="P4442">
        <f>MOD(DAY(datos_siembra[[#This Row],[Date]]),7)</f>
        <v>5</v>
      </c>
      <c r="Q4442" t="str">
        <f>CHOOSE(WEEKDAY(datos_siembra[[#This Row],[Date]],2),"L","M","X","J","V","S","D")</f>
        <v>S</v>
      </c>
      <c r="R4442">
        <f>WEEKNUM(datos_siembra[[#This Row],[Date]],2)-WEEKNUM(DATE(YEAR(datos_siembra[[#This Row],[Date]]),MONTH(datos_siembra[[#This Row],[Date]]),1))+1</f>
        <v>3</v>
      </c>
      <c r="S4442">
        <f>MONTH(datos_siembra[[#This Row],[Date]])</f>
        <v>10</v>
      </c>
      <c r="T4442" t="str" cm="1">
        <f t="array" ref="T4442">_xlfn.IFS(AND(N4442&lt;= 22, S4442=9), "SOWING",AND(N4442&lt;= 28, S4442=9), "COVERAGE",AND(N4442&lt;= 30, S4442=9), "FLUSH",AND(N4442&lt;= 11, S4442=10), "FLUSH",AND(N4442&lt;= 21, S4442=10), "PRODUCTION")</f>
        <v>PRODUCTION</v>
      </c>
      <c r="U4442">
        <f>HOUR(datos_siembra[[#This Row],[Hour]])</f>
        <v>20</v>
      </c>
      <c r="V4442" cm="1">
        <f t="array" ref="V4442">_xlfn.IFS(AND(N4442&lt;= 22, S4442=9), N4442-7,AND(N4442&lt;= 28, S4442=9), N4442-25,AND(N4442&lt;= 30, S4442=9), N4442-28,AND(N4442&lt;= 11, S4442=10), N4442+2,AND(N4442&lt;= 21, S4442=10), N4442-11)</f>
        <v>8</v>
      </c>
    </row>
    <row r="4443" spans="1:22" x14ac:dyDescent="0.35">
      <c r="A4443" s="4">
        <v>45584</v>
      </c>
      <c r="B4443" s="5">
        <v>0.8661226851851852</v>
      </c>
      <c r="C4443">
        <v>64.3</v>
      </c>
      <c r="D4443">
        <v>65.5</v>
      </c>
      <c r="E4443">
        <v>63.9</v>
      </c>
      <c r="F4443">
        <v>63.4</v>
      </c>
      <c r="G4443">
        <v>0</v>
      </c>
      <c r="H4443">
        <v>0</v>
      </c>
      <c r="I4443">
        <v>0</v>
      </c>
      <c r="J4443">
        <v>0</v>
      </c>
      <c r="K4443">
        <v>61.7</v>
      </c>
      <c r="L4443">
        <v>61.5</v>
      </c>
      <c r="M4443">
        <v>64.290000000000006</v>
      </c>
      <c r="N4443">
        <v>19</v>
      </c>
      <c r="O4443">
        <v>4</v>
      </c>
      <c r="P4443">
        <f>MOD(DAY(datos_siembra[[#This Row],[Date]]),7)</f>
        <v>5</v>
      </c>
      <c r="Q4443" t="str">
        <f>CHOOSE(WEEKDAY(datos_siembra[[#This Row],[Date]],2),"L","M","X","J","V","S","D")</f>
        <v>S</v>
      </c>
      <c r="R4443">
        <f>WEEKNUM(datos_siembra[[#This Row],[Date]],2)-WEEKNUM(DATE(YEAR(datos_siembra[[#This Row],[Date]]),MONTH(datos_siembra[[#This Row],[Date]]),1))+1</f>
        <v>3</v>
      </c>
      <c r="S4443">
        <f>MONTH(datos_siembra[[#This Row],[Date]])</f>
        <v>10</v>
      </c>
      <c r="T4443" t="str" cm="1">
        <f t="array" ref="T4443">_xlfn.IFS(AND(N4443&lt;= 22, S4443=9), "SOWING",AND(N4443&lt;= 28, S4443=9), "COVERAGE",AND(N4443&lt;= 30, S4443=9), "FLUSH",AND(N4443&lt;= 11, S4443=10), "FLUSH",AND(N4443&lt;= 21, S4443=10), "PRODUCTION")</f>
        <v>PRODUCTION</v>
      </c>
      <c r="U4443">
        <f>HOUR(datos_siembra[[#This Row],[Hour]])</f>
        <v>20</v>
      </c>
      <c r="V4443" cm="1">
        <f t="array" ref="V4443">_xlfn.IFS(AND(N4443&lt;= 22, S4443=9), N4443-7,AND(N4443&lt;= 28, S4443=9), N4443-25,AND(N4443&lt;= 30, S4443=9), N4443-28,AND(N4443&lt;= 11, S4443=10), N4443+2,AND(N4443&lt;= 21, S4443=10), N4443-11)</f>
        <v>8</v>
      </c>
    </row>
    <row r="4444" spans="1:22" x14ac:dyDescent="0.35">
      <c r="A4444" s="4">
        <v>45584</v>
      </c>
      <c r="B4444" s="5">
        <v>0.87307870370370366</v>
      </c>
      <c r="C4444">
        <v>64.400000000000006</v>
      </c>
      <c r="D4444">
        <v>65.400000000000006</v>
      </c>
      <c r="E4444">
        <v>63.8</v>
      </c>
      <c r="F4444">
        <v>63.4</v>
      </c>
      <c r="G4444">
        <v>0</v>
      </c>
      <c r="H4444">
        <v>0</v>
      </c>
      <c r="I4444">
        <v>0</v>
      </c>
      <c r="J4444">
        <v>0</v>
      </c>
      <c r="K4444">
        <v>61.9</v>
      </c>
      <c r="L4444">
        <v>62.2</v>
      </c>
      <c r="M4444">
        <v>64.34</v>
      </c>
      <c r="N4444">
        <v>19</v>
      </c>
      <c r="O4444">
        <v>4</v>
      </c>
      <c r="P4444">
        <f>MOD(DAY(datos_siembra[[#This Row],[Date]]),7)</f>
        <v>5</v>
      </c>
      <c r="Q4444" t="str">
        <f>CHOOSE(WEEKDAY(datos_siembra[[#This Row],[Date]],2),"L","M","X","J","V","S","D")</f>
        <v>S</v>
      </c>
      <c r="R4444">
        <f>WEEKNUM(datos_siembra[[#This Row],[Date]],2)-WEEKNUM(DATE(YEAR(datos_siembra[[#This Row],[Date]]),MONTH(datos_siembra[[#This Row],[Date]]),1))+1</f>
        <v>3</v>
      </c>
      <c r="S4444">
        <f>MONTH(datos_siembra[[#This Row],[Date]])</f>
        <v>10</v>
      </c>
      <c r="T4444" t="str" cm="1">
        <f t="array" ref="T4444">_xlfn.IFS(AND(N4444&lt;= 22, S4444=9), "SOWING",AND(N4444&lt;= 28, S4444=9), "COVERAGE",AND(N4444&lt;= 30, S4444=9), "FLUSH",AND(N4444&lt;= 11, S4444=10), "FLUSH",AND(N4444&lt;= 21, S4444=10), "PRODUCTION")</f>
        <v>PRODUCTION</v>
      </c>
      <c r="U4444">
        <f>HOUR(datos_siembra[[#This Row],[Hour]])</f>
        <v>20</v>
      </c>
      <c r="V4444" cm="1">
        <f t="array" ref="V4444">_xlfn.IFS(AND(N4444&lt;= 22, S4444=9), N4444-7,AND(N4444&lt;= 28, S4444=9), N4444-25,AND(N4444&lt;= 30, S4444=9), N4444-28,AND(N4444&lt;= 11, S4444=10), N4444+2,AND(N4444&lt;= 21, S4444=10), N4444-11)</f>
        <v>8</v>
      </c>
    </row>
    <row r="4445" spans="1:22" x14ac:dyDescent="0.35">
      <c r="A4445" s="4">
        <v>45584</v>
      </c>
      <c r="B4445" s="5">
        <v>0.88002314814814819</v>
      </c>
      <c r="C4445">
        <v>64.3</v>
      </c>
      <c r="D4445">
        <v>65.5</v>
      </c>
      <c r="E4445">
        <v>63.8</v>
      </c>
      <c r="F4445">
        <v>63.5</v>
      </c>
      <c r="G4445">
        <v>0</v>
      </c>
      <c r="H4445">
        <v>0</v>
      </c>
      <c r="I4445">
        <v>0</v>
      </c>
      <c r="J4445">
        <v>0</v>
      </c>
      <c r="K4445">
        <v>62.2</v>
      </c>
      <c r="L4445">
        <v>62.4</v>
      </c>
      <c r="M4445">
        <v>64.2</v>
      </c>
      <c r="N4445">
        <v>19</v>
      </c>
      <c r="O4445">
        <v>4</v>
      </c>
      <c r="P4445">
        <f>MOD(DAY(datos_siembra[[#This Row],[Date]]),7)</f>
        <v>5</v>
      </c>
      <c r="Q4445" t="str">
        <f>CHOOSE(WEEKDAY(datos_siembra[[#This Row],[Date]],2),"L","M","X","J","V","S","D")</f>
        <v>S</v>
      </c>
      <c r="R4445">
        <f>WEEKNUM(datos_siembra[[#This Row],[Date]],2)-WEEKNUM(DATE(YEAR(datos_siembra[[#This Row],[Date]]),MONTH(datos_siembra[[#This Row],[Date]]),1))+1</f>
        <v>3</v>
      </c>
      <c r="S4445">
        <f>MONTH(datos_siembra[[#This Row],[Date]])</f>
        <v>10</v>
      </c>
      <c r="T4445" t="str" cm="1">
        <f t="array" ref="T4445">_xlfn.IFS(AND(N4445&lt;= 22, S4445=9), "SOWING",AND(N4445&lt;= 28, S4445=9), "COVERAGE",AND(N4445&lt;= 30, S4445=9), "FLUSH",AND(N4445&lt;= 11, S4445=10), "FLUSH",AND(N4445&lt;= 21, S4445=10), "PRODUCTION")</f>
        <v>PRODUCTION</v>
      </c>
      <c r="U4445">
        <f>HOUR(datos_siembra[[#This Row],[Hour]])</f>
        <v>21</v>
      </c>
      <c r="V4445" cm="1">
        <f t="array" ref="V4445">_xlfn.IFS(AND(N4445&lt;= 22, S4445=9), N4445-7,AND(N4445&lt;= 28, S4445=9), N4445-25,AND(N4445&lt;= 30, S4445=9), N4445-28,AND(N4445&lt;= 11, S4445=10), N4445+2,AND(N4445&lt;= 21, S4445=10), N4445-11)</f>
        <v>8</v>
      </c>
    </row>
    <row r="4446" spans="1:22" x14ac:dyDescent="0.35">
      <c r="A4446" s="4">
        <v>45584</v>
      </c>
      <c r="B4446" s="5">
        <v>0.88696759259259261</v>
      </c>
      <c r="C4446">
        <v>64.2</v>
      </c>
      <c r="D4446">
        <v>65.400000000000006</v>
      </c>
      <c r="E4446">
        <v>63.9</v>
      </c>
      <c r="F4446">
        <v>63.4</v>
      </c>
      <c r="G4446">
        <v>0</v>
      </c>
      <c r="H4446">
        <v>0</v>
      </c>
      <c r="I4446">
        <v>0</v>
      </c>
      <c r="J4446">
        <v>0</v>
      </c>
      <c r="K4446">
        <v>62</v>
      </c>
      <c r="L4446">
        <v>62.3</v>
      </c>
      <c r="M4446">
        <v>64.23</v>
      </c>
      <c r="N4446">
        <v>19</v>
      </c>
      <c r="O4446">
        <v>4</v>
      </c>
      <c r="P4446">
        <f>MOD(DAY(datos_siembra[[#This Row],[Date]]),7)</f>
        <v>5</v>
      </c>
      <c r="Q4446" t="str">
        <f>CHOOSE(WEEKDAY(datos_siembra[[#This Row],[Date]],2),"L","M","X","J","V","S","D")</f>
        <v>S</v>
      </c>
      <c r="R4446">
        <f>WEEKNUM(datos_siembra[[#This Row],[Date]],2)-WEEKNUM(DATE(YEAR(datos_siembra[[#This Row],[Date]]),MONTH(datos_siembra[[#This Row],[Date]]),1))+1</f>
        <v>3</v>
      </c>
      <c r="S4446">
        <f>MONTH(datos_siembra[[#This Row],[Date]])</f>
        <v>10</v>
      </c>
      <c r="T4446" t="str" cm="1">
        <f t="array" ref="T4446">_xlfn.IFS(AND(N4446&lt;= 22, S4446=9), "SOWING",AND(N4446&lt;= 28, S4446=9), "COVERAGE",AND(N4446&lt;= 30, S4446=9), "FLUSH",AND(N4446&lt;= 11, S4446=10), "FLUSH",AND(N4446&lt;= 21, S4446=10), "PRODUCTION")</f>
        <v>PRODUCTION</v>
      </c>
      <c r="U4446">
        <f>HOUR(datos_siembra[[#This Row],[Hour]])</f>
        <v>21</v>
      </c>
      <c r="V4446" cm="1">
        <f t="array" ref="V4446">_xlfn.IFS(AND(N4446&lt;= 22, S4446=9), N4446-7,AND(N4446&lt;= 28, S4446=9), N4446-25,AND(N4446&lt;= 30, S4446=9), N4446-28,AND(N4446&lt;= 11, S4446=10), N4446+2,AND(N4446&lt;= 21, S4446=10), N4446-11)</f>
        <v>8</v>
      </c>
    </row>
    <row r="4447" spans="1:22" x14ac:dyDescent="0.35">
      <c r="A4447" s="4">
        <v>45584</v>
      </c>
      <c r="B4447" s="5">
        <v>0.89391203703703703</v>
      </c>
      <c r="C4447">
        <v>64.3</v>
      </c>
      <c r="D4447">
        <v>65.400000000000006</v>
      </c>
      <c r="E4447">
        <v>64.099999999999994</v>
      </c>
      <c r="F4447">
        <v>63.5</v>
      </c>
      <c r="G4447">
        <v>0</v>
      </c>
      <c r="H4447">
        <v>0</v>
      </c>
      <c r="I4447">
        <v>0</v>
      </c>
      <c r="J4447">
        <v>0</v>
      </c>
      <c r="K4447">
        <v>62</v>
      </c>
      <c r="L4447">
        <v>62.4</v>
      </c>
      <c r="M4447">
        <v>64.290000000000006</v>
      </c>
      <c r="N4447">
        <v>19</v>
      </c>
      <c r="O4447">
        <v>4</v>
      </c>
      <c r="P4447">
        <f>MOD(DAY(datos_siembra[[#This Row],[Date]]),7)</f>
        <v>5</v>
      </c>
      <c r="Q4447" t="str">
        <f>CHOOSE(WEEKDAY(datos_siembra[[#This Row],[Date]],2),"L","M","X","J","V","S","D")</f>
        <v>S</v>
      </c>
      <c r="R4447">
        <f>WEEKNUM(datos_siembra[[#This Row],[Date]],2)-WEEKNUM(DATE(YEAR(datos_siembra[[#This Row],[Date]]),MONTH(datos_siembra[[#This Row],[Date]]),1))+1</f>
        <v>3</v>
      </c>
      <c r="S4447">
        <f>MONTH(datos_siembra[[#This Row],[Date]])</f>
        <v>10</v>
      </c>
      <c r="T4447" t="str" cm="1">
        <f t="array" ref="T4447">_xlfn.IFS(AND(N4447&lt;= 22, S4447=9), "SOWING",AND(N4447&lt;= 28, S4447=9), "COVERAGE",AND(N4447&lt;= 30, S4447=9), "FLUSH",AND(N4447&lt;= 11, S4447=10), "FLUSH",AND(N4447&lt;= 21, S4447=10), "PRODUCTION")</f>
        <v>PRODUCTION</v>
      </c>
      <c r="U4447">
        <f>HOUR(datos_siembra[[#This Row],[Hour]])</f>
        <v>21</v>
      </c>
      <c r="V4447" cm="1">
        <f t="array" ref="V4447">_xlfn.IFS(AND(N4447&lt;= 22, S4447=9), N4447-7,AND(N4447&lt;= 28, S4447=9), N4447-25,AND(N4447&lt;= 30, S4447=9), N4447-28,AND(N4447&lt;= 11, S4447=10), N4447+2,AND(N4447&lt;= 21, S4447=10), N4447-11)</f>
        <v>8</v>
      </c>
    </row>
    <row r="4448" spans="1:22" x14ac:dyDescent="0.35">
      <c r="A4448" s="4">
        <v>45584</v>
      </c>
      <c r="B4448" s="5">
        <v>0.9008680555555556</v>
      </c>
      <c r="C4448">
        <v>64.3</v>
      </c>
      <c r="D4448">
        <v>65.5</v>
      </c>
      <c r="E4448">
        <v>63.8</v>
      </c>
      <c r="F4448">
        <v>63.5</v>
      </c>
      <c r="G4448">
        <v>0</v>
      </c>
      <c r="H4448">
        <v>0</v>
      </c>
      <c r="I4448">
        <v>0</v>
      </c>
      <c r="J4448">
        <v>0</v>
      </c>
      <c r="K4448">
        <v>61.9</v>
      </c>
      <c r="L4448">
        <v>62.2</v>
      </c>
      <c r="M4448">
        <v>64.23</v>
      </c>
      <c r="N4448">
        <v>19</v>
      </c>
      <c r="O4448">
        <v>4</v>
      </c>
      <c r="P4448">
        <f>MOD(DAY(datos_siembra[[#This Row],[Date]]),7)</f>
        <v>5</v>
      </c>
      <c r="Q4448" t="str">
        <f>CHOOSE(WEEKDAY(datos_siembra[[#This Row],[Date]],2),"L","M","X","J","V","S","D")</f>
        <v>S</v>
      </c>
      <c r="R4448">
        <f>WEEKNUM(datos_siembra[[#This Row],[Date]],2)-WEEKNUM(DATE(YEAR(datos_siembra[[#This Row],[Date]]),MONTH(datos_siembra[[#This Row],[Date]]),1))+1</f>
        <v>3</v>
      </c>
      <c r="S4448">
        <f>MONTH(datos_siembra[[#This Row],[Date]])</f>
        <v>10</v>
      </c>
      <c r="T4448" t="str" cm="1">
        <f t="array" ref="T4448">_xlfn.IFS(AND(N4448&lt;= 22, S4448=9), "SOWING",AND(N4448&lt;= 28, S4448=9), "COVERAGE",AND(N4448&lt;= 30, S4448=9), "FLUSH",AND(N4448&lt;= 11, S4448=10), "FLUSH",AND(N4448&lt;= 21, S4448=10), "PRODUCTION")</f>
        <v>PRODUCTION</v>
      </c>
      <c r="U4448">
        <f>HOUR(datos_siembra[[#This Row],[Hour]])</f>
        <v>21</v>
      </c>
      <c r="V4448" cm="1">
        <f t="array" ref="V4448">_xlfn.IFS(AND(N4448&lt;= 22, S4448=9), N4448-7,AND(N4448&lt;= 28, S4448=9), N4448-25,AND(N4448&lt;= 30, S4448=9), N4448-28,AND(N4448&lt;= 11, S4448=10), N4448+2,AND(N4448&lt;= 21, S4448=10), N4448-11)</f>
        <v>8</v>
      </c>
    </row>
    <row r="4449" spans="1:22" x14ac:dyDescent="0.35">
      <c r="A4449" s="4">
        <v>45584</v>
      </c>
      <c r="B4449" s="5">
        <v>0.90781250000000002</v>
      </c>
      <c r="C4449">
        <v>64.2</v>
      </c>
      <c r="D4449">
        <v>65.5</v>
      </c>
      <c r="E4449">
        <v>63.9</v>
      </c>
      <c r="F4449">
        <v>63.4</v>
      </c>
      <c r="G4449">
        <v>0</v>
      </c>
      <c r="H4449">
        <v>0</v>
      </c>
      <c r="I4449">
        <v>0</v>
      </c>
      <c r="J4449">
        <v>0</v>
      </c>
      <c r="K4449">
        <v>62</v>
      </c>
      <c r="L4449">
        <v>62.4</v>
      </c>
      <c r="M4449">
        <v>64.290000000000006</v>
      </c>
      <c r="N4449">
        <v>19</v>
      </c>
      <c r="O4449">
        <v>4</v>
      </c>
      <c r="P4449">
        <f>MOD(DAY(datos_siembra[[#This Row],[Date]]),7)</f>
        <v>5</v>
      </c>
      <c r="Q4449" t="str">
        <f>CHOOSE(WEEKDAY(datos_siembra[[#This Row],[Date]],2),"L","M","X","J","V","S","D")</f>
        <v>S</v>
      </c>
      <c r="R4449">
        <f>WEEKNUM(datos_siembra[[#This Row],[Date]],2)-WEEKNUM(DATE(YEAR(datos_siembra[[#This Row],[Date]]),MONTH(datos_siembra[[#This Row],[Date]]),1))+1</f>
        <v>3</v>
      </c>
      <c r="S4449">
        <f>MONTH(datos_siembra[[#This Row],[Date]])</f>
        <v>10</v>
      </c>
      <c r="T4449" t="str" cm="1">
        <f t="array" ref="T4449">_xlfn.IFS(AND(N4449&lt;= 22, S4449=9), "SOWING",AND(N4449&lt;= 28, S4449=9), "COVERAGE",AND(N4449&lt;= 30, S4449=9), "FLUSH",AND(N4449&lt;= 11, S4449=10), "FLUSH",AND(N4449&lt;= 21, S4449=10), "PRODUCTION")</f>
        <v>PRODUCTION</v>
      </c>
      <c r="U4449">
        <f>HOUR(datos_siembra[[#This Row],[Hour]])</f>
        <v>21</v>
      </c>
      <c r="V4449" cm="1">
        <f t="array" ref="V4449">_xlfn.IFS(AND(N4449&lt;= 22, S4449=9), N4449-7,AND(N4449&lt;= 28, S4449=9), N4449-25,AND(N4449&lt;= 30, S4449=9), N4449-28,AND(N4449&lt;= 11, S4449=10), N4449+2,AND(N4449&lt;= 21, S4449=10), N4449-11)</f>
        <v>8</v>
      </c>
    </row>
    <row r="4450" spans="1:22" x14ac:dyDescent="0.35">
      <c r="A4450" s="4">
        <v>45584</v>
      </c>
      <c r="B4450" s="5">
        <v>0.91475694444444444</v>
      </c>
      <c r="C4450">
        <v>64.2</v>
      </c>
      <c r="D4450">
        <v>65.2</v>
      </c>
      <c r="E4450">
        <v>63.9</v>
      </c>
      <c r="F4450">
        <v>63.3</v>
      </c>
      <c r="G4450">
        <v>0</v>
      </c>
      <c r="H4450">
        <v>0</v>
      </c>
      <c r="I4450">
        <v>0</v>
      </c>
      <c r="J4450">
        <v>0</v>
      </c>
      <c r="K4450">
        <v>61.9</v>
      </c>
      <c r="L4450">
        <v>62</v>
      </c>
      <c r="M4450">
        <v>64.23</v>
      </c>
      <c r="N4450">
        <v>19</v>
      </c>
      <c r="O4450">
        <v>4</v>
      </c>
      <c r="P4450">
        <f>MOD(DAY(datos_siembra[[#This Row],[Date]]),7)</f>
        <v>5</v>
      </c>
      <c r="Q4450" t="str">
        <f>CHOOSE(WEEKDAY(datos_siembra[[#This Row],[Date]],2),"L","M","X","J","V","S","D")</f>
        <v>S</v>
      </c>
      <c r="R4450">
        <f>WEEKNUM(datos_siembra[[#This Row],[Date]],2)-WEEKNUM(DATE(YEAR(datos_siembra[[#This Row],[Date]]),MONTH(datos_siembra[[#This Row],[Date]]),1))+1</f>
        <v>3</v>
      </c>
      <c r="S4450">
        <f>MONTH(datos_siembra[[#This Row],[Date]])</f>
        <v>10</v>
      </c>
      <c r="T4450" t="str" cm="1">
        <f t="array" ref="T4450">_xlfn.IFS(AND(N4450&lt;= 22, S4450=9), "SOWING",AND(N4450&lt;= 28, S4450=9), "COVERAGE",AND(N4450&lt;= 30, S4450=9), "FLUSH",AND(N4450&lt;= 11, S4450=10), "FLUSH",AND(N4450&lt;= 21, S4450=10), "PRODUCTION")</f>
        <v>PRODUCTION</v>
      </c>
      <c r="U4450">
        <f>HOUR(datos_siembra[[#This Row],[Hour]])</f>
        <v>21</v>
      </c>
      <c r="V4450" cm="1">
        <f t="array" ref="V4450">_xlfn.IFS(AND(N4450&lt;= 22, S4450=9), N4450-7,AND(N4450&lt;= 28, S4450=9), N4450-25,AND(N4450&lt;= 30, S4450=9), N4450-28,AND(N4450&lt;= 11, S4450=10), N4450+2,AND(N4450&lt;= 21, S4450=10), N4450-11)</f>
        <v>8</v>
      </c>
    </row>
    <row r="4451" spans="1:22" x14ac:dyDescent="0.35">
      <c r="A4451" s="4">
        <v>45584</v>
      </c>
      <c r="B4451" s="5">
        <v>0.92170138888888886</v>
      </c>
      <c r="C4451">
        <v>64.2</v>
      </c>
      <c r="D4451">
        <v>65.400000000000006</v>
      </c>
      <c r="E4451">
        <v>63.8</v>
      </c>
      <c r="F4451">
        <v>63.3</v>
      </c>
      <c r="G4451">
        <v>0</v>
      </c>
      <c r="H4451">
        <v>0</v>
      </c>
      <c r="I4451">
        <v>0</v>
      </c>
      <c r="J4451">
        <v>0</v>
      </c>
      <c r="K4451">
        <v>62</v>
      </c>
      <c r="L4451">
        <v>62.3</v>
      </c>
      <c r="M4451">
        <v>64.150000000000006</v>
      </c>
      <c r="N4451">
        <v>19</v>
      </c>
      <c r="O4451">
        <v>4</v>
      </c>
      <c r="P4451">
        <f>MOD(DAY(datos_siembra[[#This Row],[Date]]),7)</f>
        <v>5</v>
      </c>
      <c r="Q4451" t="str">
        <f>CHOOSE(WEEKDAY(datos_siembra[[#This Row],[Date]],2),"L","M","X","J","V","S","D")</f>
        <v>S</v>
      </c>
      <c r="R4451">
        <f>WEEKNUM(datos_siembra[[#This Row],[Date]],2)-WEEKNUM(DATE(YEAR(datos_siembra[[#This Row],[Date]]),MONTH(datos_siembra[[#This Row],[Date]]),1))+1</f>
        <v>3</v>
      </c>
      <c r="S4451">
        <f>MONTH(datos_siembra[[#This Row],[Date]])</f>
        <v>10</v>
      </c>
      <c r="T4451" t="str" cm="1">
        <f t="array" ref="T4451">_xlfn.IFS(AND(N4451&lt;= 22, S4451=9), "SOWING",AND(N4451&lt;= 28, S4451=9), "COVERAGE",AND(N4451&lt;= 30, S4451=9), "FLUSH",AND(N4451&lt;= 11, S4451=10), "FLUSH",AND(N4451&lt;= 21, S4451=10), "PRODUCTION")</f>
        <v>PRODUCTION</v>
      </c>
      <c r="U4451">
        <f>HOUR(datos_siembra[[#This Row],[Hour]])</f>
        <v>22</v>
      </c>
      <c r="V4451" cm="1">
        <f t="array" ref="V4451">_xlfn.IFS(AND(N4451&lt;= 22, S4451=9), N4451-7,AND(N4451&lt;= 28, S4451=9), N4451-25,AND(N4451&lt;= 30, S4451=9), N4451-28,AND(N4451&lt;= 11, S4451=10), N4451+2,AND(N4451&lt;= 21, S4451=10), N4451-11)</f>
        <v>8</v>
      </c>
    </row>
    <row r="4452" spans="1:22" x14ac:dyDescent="0.35">
      <c r="A4452" s="4">
        <v>45584</v>
      </c>
      <c r="B4452" s="5">
        <v>0.92865740740740743</v>
      </c>
      <c r="C4452">
        <v>64.2</v>
      </c>
      <c r="D4452">
        <v>65.2</v>
      </c>
      <c r="E4452">
        <v>63.8</v>
      </c>
      <c r="F4452">
        <v>63.3</v>
      </c>
      <c r="G4452">
        <v>0</v>
      </c>
      <c r="H4452">
        <v>0</v>
      </c>
      <c r="I4452">
        <v>0</v>
      </c>
      <c r="J4452">
        <v>0</v>
      </c>
      <c r="K4452">
        <v>61.8</v>
      </c>
      <c r="L4452">
        <v>62</v>
      </c>
      <c r="M4452">
        <v>64.150000000000006</v>
      </c>
      <c r="N4452">
        <v>19</v>
      </c>
      <c r="O4452">
        <v>4</v>
      </c>
      <c r="P4452">
        <f>MOD(DAY(datos_siembra[[#This Row],[Date]]),7)</f>
        <v>5</v>
      </c>
      <c r="Q4452" t="str">
        <f>CHOOSE(WEEKDAY(datos_siembra[[#This Row],[Date]],2),"L","M","X","J","V","S","D")</f>
        <v>S</v>
      </c>
      <c r="R4452">
        <f>WEEKNUM(datos_siembra[[#This Row],[Date]],2)-WEEKNUM(DATE(YEAR(datos_siembra[[#This Row],[Date]]),MONTH(datos_siembra[[#This Row],[Date]]),1))+1</f>
        <v>3</v>
      </c>
      <c r="S4452">
        <f>MONTH(datos_siembra[[#This Row],[Date]])</f>
        <v>10</v>
      </c>
      <c r="T4452" t="str" cm="1">
        <f t="array" ref="T4452">_xlfn.IFS(AND(N4452&lt;= 22, S4452=9), "SOWING",AND(N4452&lt;= 28, S4452=9), "COVERAGE",AND(N4452&lt;= 30, S4452=9), "FLUSH",AND(N4452&lt;= 11, S4452=10), "FLUSH",AND(N4452&lt;= 21, S4452=10), "PRODUCTION")</f>
        <v>PRODUCTION</v>
      </c>
      <c r="U4452">
        <f>HOUR(datos_siembra[[#This Row],[Hour]])</f>
        <v>22</v>
      </c>
      <c r="V4452" cm="1">
        <f t="array" ref="V4452">_xlfn.IFS(AND(N4452&lt;= 22, S4452=9), N4452-7,AND(N4452&lt;= 28, S4452=9), N4452-25,AND(N4452&lt;= 30, S4452=9), N4452-28,AND(N4452&lt;= 11, S4452=10), N4452+2,AND(N4452&lt;= 21, S4452=10), N4452-11)</f>
        <v>8</v>
      </c>
    </row>
    <row r="4453" spans="1:22" x14ac:dyDescent="0.35">
      <c r="A4453" s="4">
        <v>45584</v>
      </c>
      <c r="B4453" s="5">
        <v>0.93560185185185185</v>
      </c>
      <c r="C4453">
        <v>64.2</v>
      </c>
      <c r="D4453">
        <v>65.3</v>
      </c>
      <c r="E4453">
        <v>63.9</v>
      </c>
      <c r="F4453">
        <v>63.4</v>
      </c>
      <c r="G4453">
        <v>0</v>
      </c>
      <c r="H4453">
        <v>0</v>
      </c>
      <c r="I4453">
        <v>0</v>
      </c>
      <c r="J4453">
        <v>0</v>
      </c>
      <c r="K4453">
        <v>61.8</v>
      </c>
      <c r="L4453">
        <v>62</v>
      </c>
      <c r="M4453">
        <v>64.12</v>
      </c>
      <c r="N4453">
        <v>19</v>
      </c>
      <c r="O4453">
        <v>4</v>
      </c>
      <c r="P4453">
        <f>MOD(DAY(datos_siembra[[#This Row],[Date]]),7)</f>
        <v>5</v>
      </c>
      <c r="Q4453" t="str">
        <f>CHOOSE(WEEKDAY(datos_siembra[[#This Row],[Date]],2),"L","M","X","J","V","S","D")</f>
        <v>S</v>
      </c>
      <c r="R4453">
        <f>WEEKNUM(datos_siembra[[#This Row],[Date]],2)-WEEKNUM(DATE(YEAR(datos_siembra[[#This Row],[Date]]),MONTH(datos_siembra[[#This Row],[Date]]),1))+1</f>
        <v>3</v>
      </c>
      <c r="S4453">
        <f>MONTH(datos_siembra[[#This Row],[Date]])</f>
        <v>10</v>
      </c>
      <c r="T4453" t="str" cm="1">
        <f t="array" ref="T4453">_xlfn.IFS(AND(N4453&lt;= 22, S4453=9), "SOWING",AND(N4453&lt;= 28, S4453=9), "COVERAGE",AND(N4453&lt;= 30, S4453=9), "FLUSH",AND(N4453&lt;= 11, S4453=10), "FLUSH",AND(N4453&lt;= 21, S4453=10), "PRODUCTION")</f>
        <v>PRODUCTION</v>
      </c>
      <c r="U4453">
        <f>HOUR(datos_siembra[[#This Row],[Hour]])</f>
        <v>22</v>
      </c>
      <c r="V4453" cm="1">
        <f t="array" ref="V4453">_xlfn.IFS(AND(N4453&lt;= 22, S4453=9), N4453-7,AND(N4453&lt;= 28, S4453=9), N4453-25,AND(N4453&lt;= 30, S4453=9), N4453-28,AND(N4453&lt;= 11, S4453=10), N4453+2,AND(N4453&lt;= 21, S4453=10), N4453-11)</f>
        <v>8</v>
      </c>
    </row>
    <row r="4454" spans="1:22" x14ac:dyDescent="0.35">
      <c r="A4454" s="4">
        <v>45584</v>
      </c>
      <c r="B4454" s="5">
        <v>0.94254629629629627</v>
      </c>
      <c r="C4454">
        <v>64.2</v>
      </c>
      <c r="D4454">
        <v>65.2</v>
      </c>
      <c r="E4454">
        <v>63.8</v>
      </c>
      <c r="F4454">
        <v>63.3</v>
      </c>
      <c r="G4454">
        <v>0</v>
      </c>
      <c r="H4454">
        <v>0</v>
      </c>
      <c r="I4454">
        <v>0</v>
      </c>
      <c r="J4454">
        <v>0</v>
      </c>
      <c r="K4454">
        <v>61.7</v>
      </c>
      <c r="L4454">
        <v>61.8</v>
      </c>
      <c r="M4454">
        <v>64.17</v>
      </c>
      <c r="N4454">
        <v>19</v>
      </c>
      <c r="O4454">
        <v>4</v>
      </c>
      <c r="P4454">
        <f>MOD(DAY(datos_siembra[[#This Row],[Date]]),7)</f>
        <v>5</v>
      </c>
      <c r="Q4454" t="str">
        <f>CHOOSE(WEEKDAY(datos_siembra[[#This Row],[Date]],2),"L","M","X","J","V","S","D")</f>
        <v>S</v>
      </c>
      <c r="R4454">
        <f>WEEKNUM(datos_siembra[[#This Row],[Date]],2)-WEEKNUM(DATE(YEAR(datos_siembra[[#This Row],[Date]]),MONTH(datos_siembra[[#This Row],[Date]]),1))+1</f>
        <v>3</v>
      </c>
      <c r="S4454">
        <f>MONTH(datos_siembra[[#This Row],[Date]])</f>
        <v>10</v>
      </c>
      <c r="T4454" t="str" cm="1">
        <f t="array" ref="T4454">_xlfn.IFS(AND(N4454&lt;= 22, S4454=9), "SOWING",AND(N4454&lt;= 28, S4454=9), "COVERAGE",AND(N4454&lt;= 30, S4454=9), "FLUSH",AND(N4454&lt;= 11, S4454=10), "FLUSH",AND(N4454&lt;= 21, S4454=10), "PRODUCTION")</f>
        <v>PRODUCTION</v>
      </c>
      <c r="U4454">
        <f>HOUR(datos_siembra[[#This Row],[Hour]])</f>
        <v>22</v>
      </c>
      <c r="V4454" cm="1">
        <f t="array" ref="V4454">_xlfn.IFS(AND(N4454&lt;= 22, S4454=9), N4454-7,AND(N4454&lt;= 28, S4454=9), N4454-25,AND(N4454&lt;= 30, S4454=9), N4454-28,AND(N4454&lt;= 11, S4454=10), N4454+2,AND(N4454&lt;= 21, S4454=10), N4454-11)</f>
        <v>8</v>
      </c>
    </row>
    <row r="4455" spans="1:22" x14ac:dyDescent="0.35">
      <c r="A4455" s="4">
        <v>45584</v>
      </c>
      <c r="B4455" s="5">
        <v>0.94950231481481484</v>
      </c>
      <c r="C4455">
        <v>64.2</v>
      </c>
      <c r="D4455">
        <v>65.3</v>
      </c>
      <c r="E4455">
        <v>63.8</v>
      </c>
      <c r="F4455">
        <v>63.4</v>
      </c>
      <c r="G4455">
        <v>0</v>
      </c>
      <c r="H4455">
        <v>0</v>
      </c>
      <c r="I4455">
        <v>0</v>
      </c>
      <c r="J4455">
        <v>0</v>
      </c>
      <c r="K4455">
        <v>61.6</v>
      </c>
      <c r="L4455">
        <v>61.8</v>
      </c>
      <c r="M4455">
        <v>64.180000000000007</v>
      </c>
      <c r="N4455">
        <v>19</v>
      </c>
      <c r="O4455">
        <v>4</v>
      </c>
      <c r="P4455">
        <f>MOD(DAY(datos_siembra[[#This Row],[Date]]),7)</f>
        <v>5</v>
      </c>
      <c r="Q4455" t="str">
        <f>CHOOSE(WEEKDAY(datos_siembra[[#This Row],[Date]],2),"L","M","X","J","V","S","D")</f>
        <v>S</v>
      </c>
      <c r="R4455">
        <f>WEEKNUM(datos_siembra[[#This Row],[Date]],2)-WEEKNUM(DATE(YEAR(datos_siembra[[#This Row],[Date]]),MONTH(datos_siembra[[#This Row],[Date]]),1))+1</f>
        <v>3</v>
      </c>
      <c r="S4455">
        <f>MONTH(datos_siembra[[#This Row],[Date]])</f>
        <v>10</v>
      </c>
      <c r="T4455" t="str" cm="1">
        <f t="array" ref="T4455">_xlfn.IFS(AND(N4455&lt;= 22, S4455=9), "SOWING",AND(N4455&lt;= 28, S4455=9), "COVERAGE",AND(N4455&lt;= 30, S4455=9), "FLUSH",AND(N4455&lt;= 11, S4455=10), "FLUSH",AND(N4455&lt;= 21, S4455=10), "PRODUCTION")</f>
        <v>PRODUCTION</v>
      </c>
      <c r="U4455">
        <f>HOUR(datos_siembra[[#This Row],[Hour]])</f>
        <v>22</v>
      </c>
      <c r="V4455" cm="1">
        <f t="array" ref="V4455">_xlfn.IFS(AND(N4455&lt;= 22, S4455=9), N4455-7,AND(N4455&lt;= 28, S4455=9), N4455-25,AND(N4455&lt;= 30, S4455=9), N4455-28,AND(N4455&lt;= 11, S4455=10), N4455+2,AND(N4455&lt;= 21, S4455=10), N4455-11)</f>
        <v>8</v>
      </c>
    </row>
    <row r="4456" spans="1:22" x14ac:dyDescent="0.35">
      <c r="A4456" s="4">
        <v>45584</v>
      </c>
      <c r="B4456" s="5">
        <v>0.95644675925925926</v>
      </c>
      <c r="C4456">
        <v>64.3</v>
      </c>
      <c r="D4456">
        <v>65.2</v>
      </c>
      <c r="E4456">
        <v>63.9</v>
      </c>
      <c r="F4456">
        <v>63.3</v>
      </c>
      <c r="G4456">
        <v>0</v>
      </c>
      <c r="H4456">
        <v>0</v>
      </c>
      <c r="I4456">
        <v>0</v>
      </c>
      <c r="J4456">
        <v>0</v>
      </c>
      <c r="K4456">
        <v>61.5</v>
      </c>
      <c r="L4456">
        <v>61.6</v>
      </c>
      <c r="M4456">
        <v>64.180000000000007</v>
      </c>
      <c r="N4456">
        <v>19</v>
      </c>
      <c r="O4456">
        <v>4</v>
      </c>
      <c r="P4456">
        <f>MOD(DAY(datos_siembra[[#This Row],[Date]]),7)</f>
        <v>5</v>
      </c>
      <c r="Q4456" t="str">
        <f>CHOOSE(WEEKDAY(datos_siembra[[#This Row],[Date]],2),"L","M","X","J","V","S","D")</f>
        <v>S</v>
      </c>
      <c r="R4456">
        <f>WEEKNUM(datos_siembra[[#This Row],[Date]],2)-WEEKNUM(DATE(YEAR(datos_siembra[[#This Row],[Date]]),MONTH(datos_siembra[[#This Row],[Date]]),1))+1</f>
        <v>3</v>
      </c>
      <c r="S4456">
        <f>MONTH(datos_siembra[[#This Row],[Date]])</f>
        <v>10</v>
      </c>
      <c r="T4456" t="str" cm="1">
        <f t="array" ref="T4456">_xlfn.IFS(AND(N4456&lt;= 22, S4456=9), "SOWING",AND(N4456&lt;= 28, S4456=9), "COVERAGE",AND(N4456&lt;= 30, S4456=9), "FLUSH",AND(N4456&lt;= 11, S4456=10), "FLUSH",AND(N4456&lt;= 21, S4456=10), "PRODUCTION")</f>
        <v>PRODUCTION</v>
      </c>
      <c r="U4456">
        <f>HOUR(datos_siembra[[#This Row],[Hour]])</f>
        <v>22</v>
      </c>
      <c r="V4456" cm="1">
        <f t="array" ref="V4456">_xlfn.IFS(AND(N4456&lt;= 22, S4456=9), N4456-7,AND(N4456&lt;= 28, S4456=9), N4456-25,AND(N4456&lt;= 30, S4456=9), N4456-28,AND(N4456&lt;= 11, S4456=10), N4456+2,AND(N4456&lt;= 21, S4456=10), N4456-11)</f>
        <v>8</v>
      </c>
    </row>
    <row r="4457" spans="1:22" x14ac:dyDescent="0.35">
      <c r="A4457" s="4">
        <v>45584</v>
      </c>
      <c r="B4457" s="5">
        <v>0.96339120370370368</v>
      </c>
      <c r="C4457">
        <v>64.2</v>
      </c>
      <c r="D4457">
        <v>65.3</v>
      </c>
      <c r="E4457">
        <v>63.9</v>
      </c>
      <c r="F4457">
        <v>63.4</v>
      </c>
      <c r="G4457">
        <v>0</v>
      </c>
      <c r="H4457">
        <v>0</v>
      </c>
      <c r="I4457">
        <v>0</v>
      </c>
      <c r="J4457">
        <v>0</v>
      </c>
      <c r="K4457">
        <v>61.4</v>
      </c>
      <c r="L4457">
        <v>61.6</v>
      </c>
      <c r="M4457">
        <v>64.2</v>
      </c>
      <c r="N4457">
        <v>19</v>
      </c>
      <c r="O4457">
        <v>4</v>
      </c>
      <c r="P4457">
        <f>MOD(DAY(datos_siembra[[#This Row],[Date]]),7)</f>
        <v>5</v>
      </c>
      <c r="Q4457" t="str">
        <f>CHOOSE(WEEKDAY(datos_siembra[[#This Row],[Date]],2),"L","M","X","J","V","S","D")</f>
        <v>S</v>
      </c>
      <c r="R4457">
        <f>WEEKNUM(datos_siembra[[#This Row],[Date]],2)-WEEKNUM(DATE(YEAR(datos_siembra[[#This Row],[Date]]),MONTH(datos_siembra[[#This Row],[Date]]),1))+1</f>
        <v>3</v>
      </c>
      <c r="S4457">
        <f>MONTH(datos_siembra[[#This Row],[Date]])</f>
        <v>10</v>
      </c>
      <c r="T4457" t="str" cm="1">
        <f t="array" ref="T4457">_xlfn.IFS(AND(N4457&lt;= 22, S4457=9), "SOWING",AND(N4457&lt;= 28, S4457=9), "COVERAGE",AND(N4457&lt;= 30, S4457=9), "FLUSH",AND(N4457&lt;= 11, S4457=10), "FLUSH",AND(N4457&lt;= 21, S4457=10), "PRODUCTION")</f>
        <v>PRODUCTION</v>
      </c>
      <c r="U4457">
        <f>HOUR(datos_siembra[[#This Row],[Hour]])</f>
        <v>23</v>
      </c>
      <c r="V4457" cm="1">
        <f t="array" ref="V4457">_xlfn.IFS(AND(N4457&lt;= 22, S4457=9), N4457-7,AND(N4457&lt;= 28, S4457=9), N4457-25,AND(N4457&lt;= 30, S4457=9), N4457-28,AND(N4457&lt;= 11, S4457=10), N4457+2,AND(N4457&lt;= 21, S4457=10), N4457-11)</f>
        <v>8</v>
      </c>
    </row>
    <row r="4458" spans="1:22" x14ac:dyDescent="0.35">
      <c r="A4458" s="4">
        <v>45584</v>
      </c>
      <c r="B4458" s="5">
        <v>0.9703356481481481</v>
      </c>
      <c r="C4458">
        <v>64.2</v>
      </c>
      <c r="D4458">
        <v>65.099999999999994</v>
      </c>
      <c r="E4458">
        <v>63.7</v>
      </c>
      <c r="F4458">
        <v>63.3</v>
      </c>
      <c r="G4458">
        <v>0</v>
      </c>
      <c r="H4458">
        <v>0</v>
      </c>
      <c r="I4458">
        <v>0</v>
      </c>
      <c r="J4458">
        <v>0</v>
      </c>
      <c r="K4458">
        <v>61.2</v>
      </c>
      <c r="L4458">
        <v>61.4</v>
      </c>
      <c r="M4458">
        <v>64.2</v>
      </c>
      <c r="N4458">
        <v>19</v>
      </c>
      <c r="O4458">
        <v>4</v>
      </c>
      <c r="P4458">
        <f>MOD(DAY(datos_siembra[[#This Row],[Date]]),7)</f>
        <v>5</v>
      </c>
      <c r="Q4458" t="str">
        <f>CHOOSE(WEEKDAY(datos_siembra[[#This Row],[Date]],2),"L","M","X","J","V","S","D")</f>
        <v>S</v>
      </c>
      <c r="R4458">
        <f>WEEKNUM(datos_siembra[[#This Row],[Date]],2)-WEEKNUM(DATE(YEAR(datos_siembra[[#This Row],[Date]]),MONTH(datos_siembra[[#This Row],[Date]]),1))+1</f>
        <v>3</v>
      </c>
      <c r="S4458">
        <f>MONTH(datos_siembra[[#This Row],[Date]])</f>
        <v>10</v>
      </c>
      <c r="T4458" t="str" cm="1">
        <f t="array" ref="T4458">_xlfn.IFS(AND(N4458&lt;= 22, S4458=9), "SOWING",AND(N4458&lt;= 28, S4458=9), "COVERAGE",AND(N4458&lt;= 30, S4458=9), "FLUSH",AND(N4458&lt;= 11, S4458=10), "FLUSH",AND(N4458&lt;= 21, S4458=10), "PRODUCTION")</f>
        <v>PRODUCTION</v>
      </c>
      <c r="U4458">
        <f>HOUR(datos_siembra[[#This Row],[Hour]])</f>
        <v>23</v>
      </c>
      <c r="V4458" cm="1">
        <f t="array" ref="V4458">_xlfn.IFS(AND(N4458&lt;= 22, S4458=9), N4458-7,AND(N4458&lt;= 28, S4458=9), N4458-25,AND(N4458&lt;= 30, S4458=9), N4458-28,AND(N4458&lt;= 11, S4458=10), N4458+2,AND(N4458&lt;= 21, S4458=10), N4458-11)</f>
        <v>8</v>
      </c>
    </row>
    <row r="4459" spans="1:22" x14ac:dyDescent="0.35">
      <c r="A4459" s="4">
        <v>45584</v>
      </c>
      <c r="B4459" s="5">
        <v>0.97729166666666667</v>
      </c>
      <c r="C4459">
        <v>64.3</v>
      </c>
      <c r="D4459">
        <v>65.2</v>
      </c>
      <c r="E4459">
        <v>63.9</v>
      </c>
      <c r="F4459">
        <v>63.5</v>
      </c>
      <c r="G4459">
        <v>0</v>
      </c>
      <c r="H4459">
        <v>0</v>
      </c>
      <c r="I4459">
        <v>0</v>
      </c>
      <c r="J4459">
        <v>0</v>
      </c>
      <c r="K4459">
        <v>61.1</v>
      </c>
      <c r="L4459">
        <v>61.4</v>
      </c>
      <c r="M4459">
        <v>64.2</v>
      </c>
      <c r="N4459">
        <v>19</v>
      </c>
      <c r="O4459">
        <v>4</v>
      </c>
      <c r="P4459">
        <f>MOD(DAY(datos_siembra[[#This Row],[Date]]),7)</f>
        <v>5</v>
      </c>
      <c r="Q4459" t="str">
        <f>CHOOSE(WEEKDAY(datos_siembra[[#This Row],[Date]],2),"L","M","X","J","V","S","D")</f>
        <v>S</v>
      </c>
      <c r="R4459">
        <f>WEEKNUM(datos_siembra[[#This Row],[Date]],2)-WEEKNUM(DATE(YEAR(datos_siembra[[#This Row],[Date]]),MONTH(datos_siembra[[#This Row],[Date]]),1))+1</f>
        <v>3</v>
      </c>
      <c r="S4459">
        <f>MONTH(datos_siembra[[#This Row],[Date]])</f>
        <v>10</v>
      </c>
      <c r="T4459" t="str" cm="1">
        <f t="array" ref="T4459">_xlfn.IFS(AND(N4459&lt;= 22, S4459=9), "SOWING",AND(N4459&lt;= 28, S4459=9), "COVERAGE",AND(N4459&lt;= 30, S4459=9), "FLUSH",AND(N4459&lt;= 11, S4459=10), "FLUSH",AND(N4459&lt;= 21, S4459=10), "PRODUCTION")</f>
        <v>PRODUCTION</v>
      </c>
      <c r="U4459">
        <f>HOUR(datos_siembra[[#This Row],[Hour]])</f>
        <v>23</v>
      </c>
      <c r="V4459" cm="1">
        <f t="array" ref="V4459">_xlfn.IFS(AND(N4459&lt;= 22, S4459=9), N4459-7,AND(N4459&lt;= 28, S4459=9), N4459-25,AND(N4459&lt;= 30, S4459=9), N4459-28,AND(N4459&lt;= 11, S4459=10), N4459+2,AND(N4459&lt;= 21, S4459=10), N4459-11)</f>
        <v>8</v>
      </c>
    </row>
    <row r="4460" spans="1:22" x14ac:dyDescent="0.35">
      <c r="A4460" s="4">
        <v>45584</v>
      </c>
      <c r="B4460" s="5">
        <v>0.98423611111111109</v>
      </c>
      <c r="C4460">
        <v>64.2</v>
      </c>
      <c r="D4460">
        <v>65.2</v>
      </c>
      <c r="E4460">
        <v>63.8</v>
      </c>
      <c r="F4460">
        <v>63.3</v>
      </c>
      <c r="G4460">
        <v>0</v>
      </c>
      <c r="H4460">
        <v>0</v>
      </c>
      <c r="I4460">
        <v>0</v>
      </c>
      <c r="J4460">
        <v>0</v>
      </c>
      <c r="K4460">
        <v>61</v>
      </c>
      <c r="L4460">
        <v>61.1</v>
      </c>
      <c r="M4460">
        <v>64.2</v>
      </c>
      <c r="N4460">
        <v>19</v>
      </c>
      <c r="O4460">
        <v>4</v>
      </c>
      <c r="P4460">
        <f>MOD(DAY(datos_siembra[[#This Row],[Date]]),7)</f>
        <v>5</v>
      </c>
      <c r="Q4460" t="str">
        <f>CHOOSE(WEEKDAY(datos_siembra[[#This Row],[Date]],2),"L","M","X","J","V","S","D")</f>
        <v>S</v>
      </c>
      <c r="R4460">
        <f>WEEKNUM(datos_siembra[[#This Row],[Date]],2)-WEEKNUM(DATE(YEAR(datos_siembra[[#This Row],[Date]]),MONTH(datos_siembra[[#This Row],[Date]]),1))+1</f>
        <v>3</v>
      </c>
      <c r="S4460">
        <f>MONTH(datos_siembra[[#This Row],[Date]])</f>
        <v>10</v>
      </c>
      <c r="T4460" t="str" cm="1">
        <f t="array" ref="T4460">_xlfn.IFS(AND(N4460&lt;= 22, S4460=9), "SOWING",AND(N4460&lt;= 28, S4460=9), "COVERAGE",AND(N4460&lt;= 30, S4460=9), "FLUSH",AND(N4460&lt;= 11, S4460=10), "FLUSH",AND(N4460&lt;= 21, S4460=10), "PRODUCTION")</f>
        <v>PRODUCTION</v>
      </c>
      <c r="U4460">
        <f>HOUR(datos_siembra[[#This Row],[Hour]])</f>
        <v>23</v>
      </c>
      <c r="V4460" cm="1">
        <f t="array" ref="V4460">_xlfn.IFS(AND(N4460&lt;= 22, S4460=9), N4460-7,AND(N4460&lt;= 28, S4460=9), N4460-25,AND(N4460&lt;= 30, S4460=9), N4460-28,AND(N4460&lt;= 11, S4460=10), N4460+2,AND(N4460&lt;= 21, S4460=10), N4460-11)</f>
        <v>8</v>
      </c>
    </row>
    <row r="4461" spans="1:22" x14ac:dyDescent="0.35">
      <c r="A4461" s="4">
        <v>45584</v>
      </c>
      <c r="B4461" s="5">
        <v>0.99118055555555551</v>
      </c>
      <c r="C4461">
        <v>64.2</v>
      </c>
      <c r="D4461">
        <v>65.2</v>
      </c>
      <c r="E4461">
        <v>63.8</v>
      </c>
      <c r="F4461">
        <v>63.2</v>
      </c>
      <c r="G4461">
        <v>0</v>
      </c>
      <c r="H4461">
        <v>0</v>
      </c>
      <c r="I4461">
        <v>0</v>
      </c>
      <c r="J4461">
        <v>0</v>
      </c>
      <c r="K4461">
        <v>60.9</v>
      </c>
      <c r="L4461">
        <v>61.1</v>
      </c>
      <c r="M4461">
        <v>64.150000000000006</v>
      </c>
      <c r="N4461">
        <v>19</v>
      </c>
      <c r="O4461">
        <v>4</v>
      </c>
      <c r="P4461">
        <f>MOD(DAY(datos_siembra[[#This Row],[Date]]),7)</f>
        <v>5</v>
      </c>
      <c r="Q4461" t="str">
        <f>CHOOSE(WEEKDAY(datos_siembra[[#This Row],[Date]],2),"L","M","X","J","V","S","D")</f>
        <v>S</v>
      </c>
      <c r="R4461">
        <f>WEEKNUM(datos_siembra[[#This Row],[Date]],2)-WEEKNUM(DATE(YEAR(datos_siembra[[#This Row],[Date]]),MONTH(datos_siembra[[#This Row],[Date]]),1))+1</f>
        <v>3</v>
      </c>
      <c r="S4461">
        <f>MONTH(datos_siembra[[#This Row],[Date]])</f>
        <v>10</v>
      </c>
      <c r="T4461" t="str" cm="1">
        <f t="array" ref="T4461">_xlfn.IFS(AND(N4461&lt;= 22, S4461=9), "SOWING",AND(N4461&lt;= 28, S4461=9), "COVERAGE",AND(N4461&lt;= 30, S4461=9), "FLUSH",AND(N4461&lt;= 11, S4461=10), "FLUSH",AND(N4461&lt;= 21, S4461=10), "PRODUCTION")</f>
        <v>PRODUCTION</v>
      </c>
      <c r="U4461">
        <f>HOUR(datos_siembra[[#This Row],[Hour]])</f>
        <v>23</v>
      </c>
      <c r="V4461" cm="1">
        <f t="array" ref="V4461">_xlfn.IFS(AND(N4461&lt;= 22, S4461=9), N4461-7,AND(N4461&lt;= 28, S4461=9), N4461-25,AND(N4461&lt;= 30, S4461=9), N4461-28,AND(N4461&lt;= 11, S4461=10), N4461+2,AND(N4461&lt;= 21, S4461=10), N4461-11)</f>
        <v>8</v>
      </c>
    </row>
    <row r="4462" spans="1:22" x14ac:dyDescent="0.35">
      <c r="A4462" s="4">
        <v>45584</v>
      </c>
      <c r="B4462" s="5">
        <v>0.99813657407407408</v>
      </c>
      <c r="C4462">
        <v>64.099999999999994</v>
      </c>
      <c r="D4462">
        <v>65.2</v>
      </c>
      <c r="E4462">
        <v>63.8</v>
      </c>
      <c r="F4462">
        <v>63.2</v>
      </c>
      <c r="G4462">
        <v>0</v>
      </c>
      <c r="H4462">
        <v>0</v>
      </c>
      <c r="I4462">
        <v>0</v>
      </c>
      <c r="J4462">
        <v>0</v>
      </c>
      <c r="K4462">
        <v>60.8</v>
      </c>
      <c r="L4462">
        <v>61</v>
      </c>
      <c r="M4462">
        <v>64.12</v>
      </c>
      <c r="N4462">
        <v>19</v>
      </c>
      <c r="O4462">
        <v>4</v>
      </c>
      <c r="P4462">
        <f>MOD(DAY(datos_siembra[[#This Row],[Date]]),7)</f>
        <v>5</v>
      </c>
      <c r="Q4462" t="str">
        <f>CHOOSE(WEEKDAY(datos_siembra[[#This Row],[Date]],2),"L","M","X","J","V","S","D")</f>
        <v>S</v>
      </c>
      <c r="R4462">
        <f>WEEKNUM(datos_siembra[[#This Row],[Date]],2)-WEEKNUM(DATE(YEAR(datos_siembra[[#This Row],[Date]]),MONTH(datos_siembra[[#This Row],[Date]]),1))+1</f>
        <v>3</v>
      </c>
      <c r="S4462">
        <f>MONTH(datos_siembra[[#This Row],[Date]])</f>
        <v>10</v>
      </c>
      <c r="T4462" t="str" cm="1">
        <f t="array" ref="T4462">_xlfn.IFS(AND(N4462&lt;= 22, S4462=9), "SOWING",AND(N4462&lt;= 28, S4462=9), "COVERAGE",AND(N4462&lt;= 30, S4462=9), "FLUSH",AND(N4462&lt;= 11, S4462=10), "FLUSH",AND(N4462&lt;= 21, S4462=10), "PRODUCTION")</f>
        <v>PRODUCTION</v>
      </c>
      <c r="U4462">
        <f>HOUR(datos_siembra[[#This Row],[Hour]])</f>
        <v>23</v>
      </c>
      <c r="V4462" cm="1">
        <f t="array" ref="V4462">_xlfn.IFS(AND(N4462&lt;= 22, S4462=9), N4462-7,AND(N4462&lt;= 28, S4462=9), N4462-25,AND(N4462&lt;= 30, S4462=9), N4462-28,AND(N4462&lt;= 11, S4462=10), N4462+2,AND(N4462&lt;= 21, S4462=10), N4462-11)</f>
        <v>8</v>
      </c>
    </row>
    <row r="4463" spans="1:22" x14ac:dyDescent="0.35">
      <c r="A4463" s="4">
        <v>45585</v>
      </c>
      <c r="B4463" s="5">
        <v>5.0810185185185186E-3</v>
      </c>
      <c r="C4463">
        <v>64.099999999999994</v>
      </c>
      <c r="D4463">
        <v>65.099999999999994</v>
      </c>
      <c r="E4463">
        <v>63.6</v>
      </c>
      <c r="F4463">
        <v>63.2</v>
      </c>
      <c r="G4463">
        <v>0</v>
      </c>
      <c r="H4463">
        <v>0</v>
      </c>
      <c r="I4463">
        <v>0</v>
      </c>
      <c r="J4463">
        <v>0</v>
      </c>
      <c r="K4463">
        <v>60.9</v>
      </c>
      <c r="L4463">
        <v>60.9</v>
      </c>
      <c r="M4463">
        <v>64.010000000000005</v>
      </c>
      <c r="N4463">
        <v>20</v>
      </c>
      <c r="O4463">
        <v>5</v>
      </c>
      <c r="P4463">
        <f>MOD(DAY(datos_siembra[[#This Row],[Date]]),7)</f>
        <v>6</v>
      </c>
      <c r="Q4463" t="str">
        <f>CHOOSE(WEEKDAY(datos_siembra[[#This Row],[Date]],2),"L","M","X","J","V","S","D")</f>
        <v>D</v>
      </c>
      <c r="R4463">
        <f>WEEKNUM(datos_siembra[[#This Row],[Date]],2)-WEEKNUM(DATE(YEAR(datos_siembra[[#This Row],[Date]]),MONTH(datos_siembra[[#This Row],[Date]]),1))+1</f>
        <v>3</v>
      </c>
      <c r="S4463">
        <f>MONTH(datos_siembra[[#This Row],[Date]])</f>
        <v>10</v>
      </c>
      <c r="T4463" t="str" cm="1">
        <f t="array" ref="T4463">_xlfn.IFS(AND(N4463&lt;= 22, S4463=9), "SOWING",AND(N4463&lt;= 28, S4463=9), "COVERAGE",AND(N4463&lt;= 30, S4463=9), "FLUSH",AND(N4463&lt;= 11, S4463=10), "FLUSH",AND(N4463&lt;= 21, S4463=10), "PRODUCTION")</f>
        <v>PRODUCTION</v>
      </c>
      <c r="U4463">
        <f>HOUR(datos_siembra[[#This Row],[Hour]])</f>
        <v>0</v>
      </c>
      <c r="V4463" cm="1">
        <f t="array" ref="V4463">_xlfn.IFS(AND(N4463&lt;= 22, S4463=9), N4463-7,AND(N4463&lt;= 28, S4463=9), N4463-25,AND(N4463&lt;= 30, S4463=9), N4463-28,AND(N4463&lt;= 11, S4463=10), N4463+2,AND(N4463&lt;= 21, S4463=10), N4463-11)</f>
        <v>9</v>
      </c>
    </row>
    <row r="4464" spans="1:22" x14ac:dyDescent="0.35">
      <c r="A4464" s="4">
        <v>45585</v>
      </c>
      <c r="B4464" s="5">
        <v>1.2025462962962963E-2</v>
      </c>
      <c r="C4464">
        <v>64.2</v>
      </c>
      <c r="D4464">
        <v>65.2</v>
      </c>
      <c r="E4464">
        <v>63.8</v>
      </c>
      <c r="F4464">
        <v>63.3</v>
      </c>
      <c r="G4464">
        <v>0</v>
      </c>
      <c r="H4464">
        <v>0</v>
      </c>
      <c r="I4464">
        <v>0</v>
      </c>
      <c r="J4464">
        <v>0</v>
      </c>
      <c r="K4464">
        <v>60.7</v>
      </c>
      <c r="L4464">
        <v>60.8</v>
      </c>
      <c r="M4464">
        <v>64.09</v>
      </c>
      <c r="N4464">
        <v>20</v>
      </c>
      <c r="O4464">
        <v>5</v>
      </c>
      <c r="P4464">
        <f>MOD(DAY(datos_siembra[[#This Row],[Date]]),7)</f>
        <v>6</v>
      </c>
      <c r="Q4464" t="str">
        <f>CHOOSE(WEEKDAY(datos_siembra[[#This Row],[Date]],2),"L","M","X","J","V","S","D")</f>
        <v>D</v>
      </c>
      <c r="R4464">
        <f>WEEKNUM(datos_siembra[[#This Row],[Date]],2)-WEEKNUM(DATE(YEAR(datos_siembra[[#This Row],[Date]]),MONTH(datos_siembra[[#This Row],[Date]]),1))+1</f>
        <v>3</v>
      </c>
      <c r="S4464">
        <f>MONTH(datos_siembra[[#This Row],[Date]])</f>
        <v>10</v>
      </c>
      <c r="T4464" t="str" cm="1">
        <f t="array" ref="T4464">_xlfn.IFS(AND(N4464&lt;= 22, S4464=9), "SOWING",AND(N4464&lt;= 28, S4464=9), "COVERAGE",AND(N4464&lt;= 30, S4464=9), "FLUSH",AND(N4464&lt;= 11, S4464=10), "FLUSH",AND(N4464&lt;= 21, S4464=10), "PRODUCTION")</f>
        <v>PRODUCTION</v>
      </c>
      <c r="U4464">
        <f>HOUR(datos_siembra[[#This Row],[Hour]])</f>
        <v>0</v>
      </c>
      <c r="V4464" cm="1">
        <f t="array" ref="V4464">_xlfn.IFS(AND(N4464&lt;= 22, S4464=9), N4464-7,AND(N4464&lt;= 28, S4464=9), N4464-25,AND(N4464&lt;= 30, S4464=9), N4464-28,AND(N4464&lt;= 11, S4464=10), N4464+2,AND(N4464&lt;= 21, S4464=10), N4464-11)</f>
        <v>9</v>
      </c>
    </row>
    <row r="4465" spans="1:22" x14ac:dyDescent="0.35">
      <c r="A4465" s="4">
        <v>45585</v>
      </c>
      <c r="B4465" s="5">
        <v>1.8969907407407408E-2</v>
      </c>
      <c r="C4465">
        <v>64.2</v>
      </c>
      <c r="D4465">
        <v>64.900000000000006</v>
      </c>
      <c r="E4465">
        <v>63.8</v>
      </c>
      <c r="F4465">
        <v>63</v>
      </c>
      <c r="G4465">
        <v>0</v>
      </c>
      <c r="H4465">
        <v>0</v>
      </c>
      <c r="I4465">
        <v>0</v>
      </c>
      <c r="J4465">
        <v>0</v>
      </c>
      <c r="K4465">
        <v>60.7</v>
      </c>
      <c r="L4465">
        <v>60.9</v>
      </c>
      <c r="M4465">
        <v>63.95</v>
      </c>
      <c r="N4465">
        <v>20</v>
      </c>
      <c r="O4465">
        <v>5</v>
      </c>
      <c r="P4465">
        <f>MOD(DAY(datos_siembra[[#This Row],[Date]]),7)</f>
        <v>6</v>
      </c>
      <c r="Q4465" t="str">
        <f>CHOOSE(WEEKDAY(datos_siembra[[#This Row],[Date]],2),"L","M","X","J","V","S","D")</f>
        <v>D</v>
      </c>
      <c r="R4465">
        <f>WEEKNUM(datos_siembra[[#This Row],[Date]],2)-WEEKNUM(DATE(YEAR(datos_siembra[[#This Row],[Date]]),MONTH(datos_siembra[[#This Row],[Date]]),1))+1</f>
        <v>3</v>
      </c>
      <c r="S4465">
        <f>MONTH(datos_siembra[[#This Row],[Date]])</f>
        <v>10</v>
      </c>
      <c r="T4465" t="str" cm="1">
        <f t="array" ref="T4465">_xlfn.IFS(AND(N4465&lt;= 22, S4465=9), "SOWING",AND(N4465&lt;= 28, S4465=9), "COVERAGE",AND(N4465&lt;= 30, S4465=9), "FLUSH",AND(N4465&lt;= 11, S4465=10), "FLUSH",AND(N4465&lt;= 21, S4465=10), "PRODUCTION")</f>
        <v>PRODUCTION</v>
      </c>
      <c r="U4465">
        <f>HOUR(datos_siembra[[#This Row],[Hour]])</f>
        <v>0</v>
      </c>
      <c r="V4465" cm="1">
        <f t="array" ref="V4465">_xlfn.IFS(AND(N4465&lt;= 22, S4465=9), N4465-7,AND(N4465&lt;= 28, S4465=9), N4465-25,AND(N4465&lt;= 30, S4465=9), N4465-28,AND(N4465&lt;= 11, S4465=10), N4465+2,AND(N4465&lt;= 21, S4465=10), N4465-11)</f>
        <v>9</v>
      </c>
    </row>
    <row r="4466" spans="1:22" x14ac:dyDescent="0.35">
      <c r="A4466" s="4">
        <v>45585</v>
      </c>
      <c r="B4466" s="5">
        <v>2.5925925925925925E-2</v>
      </c>
      <c r="C4466">
        <v>64.099999999999994</v>
      </c>
      <c r="D4466">
        <v>65</v>
      </c>
      <c r="E4466">
        <v>63.8</v>
      </c>
      <c r="F4466">
        <v>63.3</v>
      </c>
      <c r="G4466">
        <v>0</v>
      </c>
      <c r="H4466">
        <v>0</v>
      </c>
      <c r="I4466">
        <v>0</v>
      </c>
      <c r="J4466">
        <v>0</v>
      </c>
      <c r="K4466">
        <v>60.6</v>
      </c>
      <c r="L4466">
        <v>60.7</v>
      </c>
      <c r="M4466">
        <v>64.010000000000005</v>
      </c>
      <c r="N4466">
        <v>20</v>
      </c>
      <c r="O4466">
        <v>5</v>
      </c>
      <c r="P4466">
        <f>MOD(DAY(datos_siembra[[#This Row],[Date]]),7)</f>
        <v>6</v>
      </c>
      <c r="Q4466" t="str">
        <f>CHOOSE(WEEKDAY(datos_siembra[[#This Row],[Date]],2),"L","M","X","J","V","S","D")</f>
        <v>D</v>
      </c>
      <c r="R4466">
        <f>WEEKNUM(datos_siembra[[#This Row],[Date]],2)-WEEKNUM(DATE(YEAR(datos_siembra[[#This Row],[Date]]),MONTH(datos_siembra[[#This Row],[Date]]),1))+1</f>
        <v>3</v>
      </c>
      <c r="S4466">
        <f>MONTH(datos_siembra[[#This Row],[Date]])</f>
        <v>10</v>
      </c>
      <c r="T4466" t="str" cm="1">
        <f t="array" ref="T4466">_xlfn.IFS(AND(N4466&lt;= 22, S4466=9), "SOWING",AND(N4466&lt;= 28, S4466=9), "COVERAGE",AND(N4466&lt;= 30, S4466=9), "FLUSH",AND(N4466&lt;= 11, S4466=10), "FLUSH",AND(N4466&lt;= 21, S4466=10), "PRODUCTION")</f>
        <v>PRODUCTION</v>
      </c>
      <c r="U4466">
        <f>HOUR(datos_siembra[[#This Row],[Hour]])</f>
        <v>0</v>
      </c>
      <c r="V4466" cm="1">
        <f t="array" ref="V4466">_xlfn.IFS(AND(N4466&lt;= 22, S4466=9), N4466-7,AND(N4466&lt;= 28, S4466=9), N4466-25,AND(N4466&lt;= 30, S4466=9), N4466-28,AND(N4466&lt;= 11, S4466=10), N4466+2,AND(N4466&lt;= 21, S4466=10), N4466-11)</f>
        <v>9</v>
      </c>
    </row>
    <row r="4467" spans="1:22" x14ac:dyDescent="0.35">
      <c r="A4467" s="4">
        <v>45585</v>
      </c>
      <c r="B4467" s="5">
        <v>3.2870370370370369E-2</v>
      </c>
      <c r="C4467">
        <v>64.2</v>
      </c>
      <c r="D4467">
        <v>65.099999999999994</v>
      </c>
      <c r="E4467">
        <v>63.7</v>
      </c>
      <c r="F4467">
        <v>62.9</v>
      </c>
      <c r="G4467">
        <v>0</v>
      </c>
      <c r="H4467">
        <v>0</v>
      </c>
      <c r="I4467">
        <v>0</v>
      </c>
      <c r="J4467">
        <v>0</v>
      </c>
      <c r="K4467">
        <v>60.5</v>
      </c>
      <c r="L4467">
        <v>60.6</v>
      </c>
      <c r="M4467">
        <v>64.010000000000005</v>
      </c>
      <c r="N4467">
        <v>20</v>
      </c>
      <c r="O4467">
        <v>5</v>
      </c>
      <c r="P4467">
        <f>MOD(DAY(datos_siembra[[#This Row],[Date]]),7)</f>
        <v>6</v>
      </c>
      <c r="Q4467" t="str">
        <f>CHOOSE(WEEKDAY(datos_siembra[[#This Row],[Date]],2),"L","M","X","J","V","S","D")</f>
        <v>D</v>
      </c>
      <c r="R4467">
        <f>WEEKNUM(datos_siembra[[#This Row],[Date]],2)-WEEKNUM(DATE(YEAR(datos_siembra[[#This Row],[Date]]),MONTH(datos_siembra[[#This Row],[Date]]),1))+1</f>
        <v>3</v>
      </c>
      <c r="S4467">
        <f>MONTH(datos_siembra[[#This Row],[Date]])</f>
        <v>10</v>
      </c>
      <c r="T4467" t="str" cm="1">
        <f t="array" ref="T4467">_xlfn.IFS(AND(N4467&lt;= 22, S4467=9), "SOWING",AND(N4467&lt;= 28, S4467=9), "COVERAGE",AND(N4467&lt;= 30, S4467=9), "FLUSH",AND(N4467&lt;= 11, S4467=10), "FLUSH",AND(N4467&lt;= 21, S4467=10), "PRODUCTION")</f>
        <v>PRODUCTION</v>
      </c>
      <c r="U4467">
        <f>HOUR(datos_siembra[[#This Row],[Hour]])</f>
        <v>0</v>
      </c>
      <c r="V4467" cm="1">
        <f t="array" ref="V4467">_xlfn.IFS(AND(N4467&lt;= 22, S4467=9), N4467-7,AND(N4467&lt;= 28, S4467=9), N4467-25,AND(N4467&lt;= 30, S4467=9), N4467-28,AND(N4467&lt;= 11, S4467=10), N4467+2,AND(N4467&lt;= 21, S4467=10), N4467-11)</f>
        <v>9</v>
      </c>
    </row>
    <row r="4468" spans="1:22" x14ac:dyDescent="0.35">
      <c r="A4468" s="4">
        <v>45585</v>
      </c>
      <c r="B4468" s="5">
        <v>3.9814814814814817E-2</v>
      </c>
      <c r="C4468">
        <v>64.3</v>
      </c>
      <c r="D4468">
        <v>65</v>
      </c>
      <c r="E4468">
        <v>63.8</v>
      </c>
      <c r="F4468">
        <v>63</v>
      </c>
      <c r="G4468">
        <v>0</v>
      </c>
      <c r="H4468">
        <v>0</v>
      </c>
      <c r="I4468">
        <v>0</v>
      </c>
      <c r="J4468">
        <v>0</v>
      </c>
      <c r="K4468">
        <v>60.3</v>
      </c>
      <c r="L4468">
        <v>60.5</v>
      </c>
      <c r="M4468">
        <v>64.010000000000005</v>
      </c>
      <c r="N4468">
        <v>20</v>
      </c>
      <c r="O4468">
        <v>5</v>
      </c>
      <c r="P4468">
        <f>MOD(DAY(datos_siembra[[#This Row],[Date]]),7)</f>
        <v>6</v>
      </c>
      <c r="Q4468" t="str">
        <f>CHOOSE(WEEKDAY(datos_siembra[[#This Row],[Date]],2),"L","M","X","J","V","S","D")</f>
        <v>D</v>
      </c>
      <c r="R4468">
        <f>WEEKNUM(datos_siembra[[#This Row],[Date]],2)-WEEKNUM(DATE(YEAR(datos_siembra[[#This Row],[Date]]),MONTH(datos_siembra[[#This Row],[Date]]),1))+1</f>
        <v>3</v>
      </c>
      <c r="S4468">
        <f>MONTH(datos_siembra[[#This Row],[Date]])</f>
        <v>10</v>
      </c>
      <c r="T4468" t="str" cm="1">
        <f t="array" ref="T4468">_xlfn.IFS(AND(N4468&lt;= 22, S4468=9), "SOWING",AND(N4468&lt;= 28, S4468=9), "COVERAGE",AND(N4468&lt;= 30, S4468=9), "FLUSH",AND(N4468&lt;= 11, S4468=10), "FLUSH",AND(N4468&lt;= 21, S4468=10), "PRODUCTION")</f>
        <v>PRODUCTION</v>
      </c>
      <c r="U4468">
        <f>HOUR(datos_siembra[[#This Row],[Hour]])</f>
        <v>0</v>
      </c>
      <c r="V4468" cm="1">
        <f t="array" ref="V4468">_xlfn.IFS(AND(N4468&lt;= 22, S4468=9), N4468-7,AND(N4468&lt;= 28, S4468=9), N4468-25,AND(N4468&lt;= 30, S4468=9), N4468-28,AND(N4468&lt;= 11, S4468=10), N4468+2,AND(N4468&lt;= 21, S4468=10), N4468-11)</f>
        <v>9</v>
      </c>
    </row>
    <row r="4469" spans="1:22" x14ac:dyDescent="0.35">
      <c r="A4469" s="4">
        <v>45585</v>
      </c>
      <c r="B4469" s="5">
        <v>4.6770833333333331E-2</v>
      </c>
      <c r="C4469">
        <v>64.2</v>
      </c>
      <c r="D4469">
        <v>65</v>
      </c>
      <c r="E4469">
        <v>63.7</v>
      </c>
      <c r="F4469">
        <v>63</v>
      </c>
      <c r="G4469">
        <v>0</v>
      </c>
      <c r="H4469">
        <v>0</v>
      </c>
      <c r="I4469">
        <v>0</v>
      </c>
      <c r="J4469">
        <v>0</v>
      </c>
      <c r="K4469">
        <v>60.3</v>
      </c>
      <c r="L4469">
        <v>60.5</v>
      </c>
      <c r="M4469">
        <v>63.98</v>
      </c>
      <c r="N4469">
        <v>20</v>
      </c>
      <c r="O4469">
        <v>5</v>
      </c>
      <c r="P4469">
        <f>MOD(DAY(datos_siembra[[#This Row],[Date]]),7)</f>
        <v>6</v>
      </c>
      <c r="Q4469" t="str">
        <f>CHOOSE(WEEKDAY(datos_siembra[[#This Row],[Date]],2),"L","M","X","J","V","S","D")</f>
        <v>D</v>
      </c>
      <c r="R4469">
        <f>WEEKNUM(datos_siembra[[#This Row],[Date]],2)-WEEKNUM(DATE(YEAR(datos_siembra[[#This Row],[Date]]),MONTH(datos_siembra[[#This Row],[Date]]),1))+1</f>
        <v>3</v>
      </c>
      <c r="S4469">
        <f>MONTH(datos_siembra[[#This Row],[Date]])</f>
        <v>10</v>
      </c>
      <c r="T4469" t="str" cm="1">
        <f t="array" ref="T4469">_xlfn.IFS(AND(N4469&lt;= 22, S4469=9), "SOWING",AND(N4469&lt;= 28, S4469=9), "COVERAGE",AND(N4469&lt;= 30, S4469=9), "FLUSH",AND(N4469&lt;= 11, S4469=10), "FLUSH",AND(N4469&lt;= 21, S4469=10), "PRODUCTION")</f>
        <v>PRODUCTION</v>
      </c>
      <c r="U4469">
        <f>HOUR(datos_siembra[[#This Row],[Hour]])</f>
        <v>1</v>
      </c>
      <c r="V4469" cm="1">
        <f t="array" ref="V4469">_xlfn.IFS(AND(N4469&lt;= 22, S4469=9), N4469-7,AND(N4469&lt;= 28, S4469=9), N4469-25,AND(N4469&lt;= 30, S4469=9), N4469-28,AND(N4469&lt;= 11, S4469=10), N4469+2,AND(N4469&lt;= 21, S4469=10), N4469-11)</f>
        <v>9</v>
      </c>
    </row>
    <row r="4470" spans="1:22" x14ac:dyDescent="0.35">
      <c r="A4470" s="4">
        <v>45585</v>
      </c>
      <c r="B4470" s="5">
        <v>5.3715277777777778E-2</v>
      </c>
      <c r="C4470">
        <v>64.099999999999994</v>
      </c>
      <c r="D4470">
        <v>65.099999999999994</v>
      </c>
      <c r="E4470">
        <v>63.7</v>
      </c>
      <c r="F4470">
        <v>63</v>
      </c>
      <c r="G4470">
        <v>0</v>
      </c>
      <c r="H4470">
        <v>0</v>
      </c>
      <c r="I4470">
        <v>0</v>
      </c>
      <c r="J4470">
        <v>0</v>
      </c>
      <c r="K4470">
        <v>60.2</v>
      </c>
      <c r="L4470">
        <v>60.3</v>
      </c>
      <c r="M4470">
        <v>63.95</v>
      </c>
      <c r="N4470">
        <v>20</v>
      </c>
      <c r="O4470">
        <v>5</v>
      </c>
      <c r="P4470">
        <f>MOD(DAY(datos_siembra[[#This Row],[Date]]),7)</f>
        <v>6</v>
      </c>
      <c r="Q4470" t="str">
        <f>CHOOSE(WEEKDAY(datos_siembra[[#This Row],[Date]],2),"L","M","X","J","V","S","D")</f>
        <v>D</v>
      </c>
      <c r="R4470">
        <f>WEEKNUM(datos_siembra[[#This Row],[Date]],2)-WEEKNUM(DATE(YEAR(datos_siembra[[#This Row],[Date]]),MONTH(datos_siembra[[#This Row],[Date]]),1))+1</f>
        <v>3</v>
      </c>
      <c r="S4470">
        <f>MONTH(datos_siembra[[#This Row],[Date]])</f>
        <v>10</v>
      </c>
      <c r="T4470" t="str" cm="1">
        <f t="array" ref="T4470">_xlfn.IFS(AND(N4470&lt;= 22, S4470=9), "SOWING",AND(N4470&lt;= 28, S4470=9), "COVERAGE",AND(N4470&lt;= 30, S4470=9), "FLUSH",AND(N4470&lt;= 11, S4470=10), "FLUSH",AND(N4470&lt;= 21, S4470=10), "PRODUCTION")</f>
        <v>PRODUCTION</v>
      </c>
      <c r="U4470">
        <f>HOUR(datos_siembra[[#This Row],[Hour]])</f>
        <v>1</v>
      </c>
      <c r="V4470" cm="1">
        <f t="array" ref="V4470">_xlfn.IFS(AND(N4470&lt;= 22, S4470=9), N4470-7,AND(N4470&lt;= 28, S4470=9), N4470-25,AND(N4470&lt;= 30, S4470=9), N4470-28,AND(N4470&lt;= 11, S4470=10), N4470+2,AND(N4470&lt;= 21, S4470=10), N4470-11)</f>
        <v>9</v>
      </c>
    </row>
    <row r="4471" spans="1:22" x14ac:dyDescent="0.35">
      <c r="A4471" s="4">
        <v>45585</v>
      </c>
      <c r="B4471" s="5">
        <v>6.0659722222222219E-2</v>
      </c>
      <c r="C4471">
        <v>64.099999999999994</v>
      </c>
      <c r="D4471">
        <v>65.099999999999994</v>
      </c>
      <c r="E4471">
        <v>63.7</v>
      </c>
      <c r="F4471">
        <v>62.8</v>
      </c>
      <c r="G4471">
        <v>0</v>
      </c>
      <c r="H4471">
        <v>0</v>
      </c>
      <c r="I4471">
        <v>0</v>
      </c>
      <c r="J4471">
        <v>0</v>
      </c>
      <c r="K4471">
        <v>60.1</v>
      </c>
      <c r="L4471">
        <v>60.3</v>
      </c>
      <c r="M4471">
        <v>63.98</v>
      </c>
      <c r="N4471">
        <v>20</v>
      </c>
      <c r="O4471">
        <v>5</v>
      </c>
      <c r="P4471">
        <f>MOD(DAY(datos_siembra[[#This Row],[Date]]),7)</f>
        <v>6</v>
      </c>
      <c r="Q4471" t="str">
        <f>CHOOSE(WEEKDAY(datos_siembra[[#This Row],[Date]],2),"L","M","X","J","V","S","D")</f>
        <v>D</v>
      </c>
      <c r="R4471">
        <f>WEEKNUM(datos_siembra[[#This Row],[Date]],2)-WEEKNUM(DATE(YEAR(datos_siembra[[#This Row],[Date]]),MONTH(datos_siembra[[#This Row],[Date]]),1))+1</f>
        <v>3</v>
      </c>
      <c r="S4471">
        <f>MONTH(datos_siembra[[#This Row],[Date]])</f>
        <v>10</v>
      </c>
      <c r="T4471" t="str" cm="1">
        <f t="array" ref="T4471">_xlfn.IFS(AND(N4471&lt;= 22, S4471=9), "SOWING",AND(N4471&lt;= 28, S4471=9), "COVERAGE",AND(N4471&lt;= 30, S4471=9), "FLUSH",AND(N4471&lt;= 11, S4471=10), "FLUSH",AND(N4471&lt;= 21, S4471=10), "PRODUCTION")</f>
        <v>PRODUCTION</v>
      </c>
      <c r="U4471">
        <f>HOUR(datos_siembra[[#This Row],[Hour]])</f>
        <v>1</v>
      </c>
      <c r="V4471" cm="1">
        <f t="array" ref="V4471">_xlfn.IFS(AND(N4471&lt;= 22, S4471=9), N4471-7,AND(N4471&lt;= 28, S4471=9), N4471-25,AND(N4471&lt;= 30, S4471=9), N4471-28,AND(N4471&lt;= 11, S4471=10), N4471+2,AND(N4471&lt;= 21, S4471=10), N4471-11)</f>
        <v>9</v>
      </c>
    </row>
    <row r="4472" spans="1:22" x14ac:dyDescent="0.35">
      <c r="A4472" s="4">
        <v>45585</v>
      </c>
      <c r="B4472" s="5">
        <v>6.7604166666666674E-2</v>
      </c>
      <c r="C4472">
        <v>64.099999999999994</v>
      </c>
      <c r="D4472">
        <v>64.900000000000006</v>
      </c>
      <c r="E4472">
        <v>63.7</v>
      </c>
      <c r="F4472">
        <v>62.9</v>
      </c>
      <c r="G4472">
        <v>0</v>
      </c>
      <c r="H4472">
        <v>0</v>
      </c>
      <c r="I4472">
        <v>0</v>
      </c>
      <c r="J4472">
        <v>0</v>
      </c>
      <c r="K4472">
        <v>60.1</v>
      </c>
      <c r="L4472">
        <v>60.2</v>
      </c>
      <c r="M4472">
        <v>63.89</v>
      </c>
      <c r="N4472">
        <v>20</v>
      </c>
      <c r="O4472">
        <v>5</v>
      </c>
      <c r="P4472">
        <f>MOD(DAY(datos_siembra[[#This Row],[Date]]),7)</f>
        <v>6</v>
      </c>
      <c r="Q4472" t="str">
        <f>CHOOSE(WEEKDAY(datos_siembra[[#This Row],[Date]],2),"L","M","X","J","V","S","D")</f>
        <v>D</v>
      </c>
      <c r="R4472">
        <f>WEEKNUM(datos_siembra[[#This Row],[Date]],2)-WEEKNUM(DATE(YEAR(datos_siembra[[#This Row],[Date]]),MONTH(datos_siembra[[#This Row],[Date]]),1))+1</f>
        <v>3</v>
      </c>
      <c r="S4472">
        <f>MONTH(datos_siembra[[#This Row],[Date]])</f>
        <v>10</v>
      </c>
      <c r="T4472" t="str" cm="1">
        <f t="array" ref="T4472">_xlfn.IFS(AND(N4472&lt;= 22, S4472=9), "SOWING",AND(N4472&lt;= 28, S4472=9), "COVERAGE",AND(N4472&lt;= 30, S4472=9), "FLUSH",AND(N4472&lt;= 11, S4472=10), "FLUSH",AND(N4472&lt;= 21, S4472=10), "PRODUCTION")</f>
        <v>PRODUCTION</v>
      </c>
      <c r="U4472">
        <f>HOUR(datos_siembra[[#This Row],[Hour]])</f>
        <v>1</v>
      </c>
      <c r="V4472" cm="1">
        <f t="array" ref="V4472">_xlfn.IFS(AND(N4472&lt;= 22, S4472=9), N4472-7,AND(N4472&lt;= 28, S4472=9), N4472-25,AND(N4472&lt;= 30, S4472=9), N4472-28,AND(N4472&lt;= 11, S4472=10), N4472+2,AND(N4472&lt;= 21, S4472=10), N4472-11)</f>
        <v>9</v>
      </c>
    </row>
    <row r="4473" spans="1:22" x14ac:dyDescent="0.35">
      <c r="A4473" s="4">
        <v>45585</v>
      </c>
      <c r="B4473" s="5">
        <v>7.4560185185185188E-2</v>
      </c>
      <c r="C4473">
        <v>64.099999999999994</v>
      </c>
      <c r="D4473">
        <v>65</v>
      </c>
      <c r="E4473">
        <v>63.6</v>
      </c>
      <c r="F4473">
        <v>62.9</v>
      </c>
      <c r="G4473">
        <v>0</v>
      </c>
      <c r="H4473">
        <v>0</v>
      </c>
      <c r="I4473">
        <v>0</v>
      </c>
      <c r="J4473">
        <v>0</v>
      </c>
      <c r="K4473">
        <v>60.2</v>
      </c>
      <c r="L4473">
        <v>60.2</v>
      </c>
      <c r="M4473">
        <v>63.92</v>
      </c>
      <c r="N4473">
        <v>20</v>
      </c>
      <c r="O4473">
        <v>5</v>
      </c>
      <c r="P4473">
        <f>MOD(DAY(datos_siembra[[#This Row],[Date]]),7)</f>
        <v>6</v>
      </c>
      <c r="Q4473" t="str">
        <f>CHOOSE(WEEKDAY(datos_siembra[[#This Row],[Date]],2),"L","M","X","J","V","S","D")</f>
        <v>D</v>
      </c>
      <c r="R4473">
        <f>WEEKNUM(datos_siembra[[#This Row],[Date]],2)-WEEKNUM(DATE(YEAR(datos_siembra[[#This Row],[Date]]),MONTH(datos_siembra[[#This Row],[Date]]),1))+1</f>
        <v>3</v>
      </c>
      <c r="S4473">
        <f>MONTH(datos_siembra[[#This Row],[Date]])</f>
        <v>10</v>
      </c>
      <c r="T4473" t="str" cm="1">
        <f t="array" ref="T4473">_xlfn.IFS(AND(N4473&lt;= 22, S4473=9), "SOWING",AND(N4473&lt;= 28, S4473=9), "COVERAGE",AND(N4473&lt;= 30, S4473=9), "FLUSH",AND(N4473&lt;= 11, S4473=10), "FLUSH",AND(N4473&lt;= 21, S4473=10), "PRODUCTION")</f>
        <v>PRODUCTION</v>
      </c>
      <c r="U4473">
        <f>HOUR(datos_siembra[[#This Row],[Hour]])</f>
        <v>1</v>
      </c>
      <c r="V4473" cm="1">
        <f t="array" ref="V4473">_xlfn.IFS(AND(N4473&lt;= 22, S4473=9), N4473-7,AND(N4473&lt;= 28, S4473=9), N4473-25,AND(N4473&lt;= 30, S4473=9), N4473-28,AND(N4473&lt;= 11, S4473=10), N4473+2,AND(N4473&lt;= 21, S4473=10), N4473-11)</f>
        <v>9</v>
      </c>
    </row>
    <row r="4474" spans="1:22" x14ac:dyDescent="0.35">
      <c r="A4474" s="4">
        <v>45585</v>
      </c>
      <c r="B4474" s="5">
        <v>8.1504629629629635E-2</v>
      </c>
      <c r="C4474">
        <v>63.9</v>
      </c>
      <c r="D4474">
        <v>64.900000000000006</v>
      </c>
      <c r="E4474">
        <v>63.6</v>
      </c>
      <c r="F4474">
        <v>62.9</v>
      </c>
      <c r="G4474">
        <v>0</v>
      </c>
      <c r="H4474">
        <v>0</v>
      </c>
      <c r="I4474">
        <v>0</v>
      </c>
      <c r="J4474">
        <v>0</v>
      </c>
      <c r="K4474">
        <v>59.9</v>
      </c>
      <c r="L4474">
        <v>60</v>
      </c>
      <c r="M4474">
        <v>63.84</v>
      </c>
      <c r="N4474">
        <v>20</v>
      </c>
      <c r="O4474">
        <v>5</v>
      </c>
      <c r="P4474">
        <f>MOD(DAY(datos_siembra[[#This Row],[Date]]),7)</f>
        <v>6</v>
      </c>
      <c r="Q4474" t="str">
        <f>CHOOSE(WEEKDAY(datos_siembra[[#This Row],[Date]],2),"L","M","X","J","V","S","D")</f>
        <v>D</v>
      </c>
      <c r="R4474">
        <f>WEEKNUM(datos_siembra[[#This Row],[Date]],2)-WEEKNUM(DATE(YEAR(datos_siembra[[#This Row],[Date]]),MONTH(datos_siembra[[#This Row],[Date]]),1))+1</f>
        <v>3</v>
      </c>
      <c r="S4474">
        <f>MONTH(datos_siembra[[#This Row],[Date]])</f>
        <v>10</v>
      </c>
      <c r="T4474" t="str" cm="1">
        <f t="array" ref="T4474">_xlfn.IFS(AND(N4474&lt;= 22, S4474=9), "SOWING",AND(N4474&lt;= 28, S4474=9), "COVERAGE",AND(N4474&lt;= 30, S4474=9), "FLUSH",AND(N4474&lt;= 11, S4474=10), "FLUSH",AND(N4474&lt;= 21, S4474=10), "PRODUCTION")</f>
        <v>PRODUCTION</v>
      </c>
      <c r="U4474">
        <f>HOUR(datos_siembra[[#This Row],[Hour]])</f>
        <v>1</v>
      </c>
      <c r="V4474" cm="1">
        <f t="array" ref="V4474">_xlfn.IFS(AND(N4474&lt;= 22, S4474=9), N4474-7,AND(N4474&lt;= 28, S4474=9), N4474-25,AND(N4474&lt;= 30, S4474=9), N4474-28,AND(N4474&lt;= 11, S4474=10), N4474+2,AND(N4474&lt;= 21, S4474=10), N4474-11)</f>
        <v>9</v>
      </c>
    </row>
    <row r="4475" spans="1:22" x14ac:dyDescent="0.35">
      <c r="A4475" s="4">
        <v>45585</v>
      </c>
      <c r="B4475" s="5">
        <v>8.8449074074074069E-2</v>
      </c>
      <c r="C4475">
        <v>64.099999999999994</v>
      </c>
      <c r="D4475">
        <v>64.7</v>
      </c>
      <c r="E4475">
        <v>63.6</v>
      </c>
      <c r="F4475">
        <v>62.9</v>
      </c>
      <c r="G4475">
        <v>0</v>
      </c>
      <c r="H4475">
        <v>0</v>
      </c>
      <c r="I4475">
        <v>0</v>
      </c>
      <c r="J4475">
        <v>0</v>
      </c>
      <c r="K4475">
        <v>60</v>
      </c>
      <c r="L4475">
        <v>60.1</v>
      </c>
      <c r="M4475">
        <v>63.84</v>
      </c>
      <c r="N4475">
        <v>20</v>
      </c>
      <c r="O4475">
        <v>5</v>
      </c>
      <c r="P4475">
        <f>MOD(DAY(datos_siembra[[#This Row],[Date]]),7)</f>
        <v>6</v>
      </c>
      <c r="Q4475" t="str">
        <f>CHOOSE(WEEKDAY(datos_siembra[[#This Row],[Date]],2),"L","M","X","J","V","S","D")</f>
        <v>D</v>
      </c>
      <c r="R4475">
        <f>WEEKNUM(datos_siembra[[#This Row],[Date]],2)-WEEKNUM(DATE(YEAR(datos_siembra[[#This Row],[Date]]),MONTH(datos_siembra[[#This Row],[Date]]),1))+1</f>
        <v>3</v>
      </c>
      <c r="S4475">
        <f>MONTH(datos_siembra[[#This Row],[Date]])</f>
        <v>10</v>
      </c>
      <c r="T4475" t="str" cm="1">
        <f t="array" ref="T4475">_xlfn.IFS(AND(N4475&lt;= 22, S4475=9), "SOWING",AND(N4475&lt;= 28, S4475=9), "COVERAGE",AND(N4475&lt;= 30, S4475=9), "FLUSH",AND(N4475&lt;= 11, S4475=10), "FLUSH",AND(N4475&lt;= 21, S4475=10), "PRODUCTION")</f>
        <v>PRODUCTION</v>
      </c>
      <c r="U4475">
        <f>HOUR(datos_siembra[[#This Row],[Hour]])</f>
        <v>2</v>
      </c>
      <c r="V4475" cm="1">
        <f t="array" ref="V4475">_xlfn.IFS(AND(N4475&lt;= 22, S4475=9), N4475-7,AND(N4475&lt;= 28, S4475=9), N4475-25,AND(N4475&lt;= 30, S4475=9), N4475-28,AND(N4475&lt;= 11, S4475=10), N4475+2,AND(N4475&lt;= 21, S4475=10), N4475-11)</f>
        <v>9</v>
      </c>
    </row>
    <row r="4476" spans="1:22" x14ac:dyDescent="0.35">
      <c r="A4476" s="4">
        <v>45585</v>
      </c>
      <c r="B4476" s="5">
        <v>9.5393518518518516E-2</v>
      </c>
      <c r="C4476">
        <v>64.099999999999994</v>
      </c>
      <c r="D4476">
        <v>64.900000000000006</v>
      </c>
      <c r="E4476">
        <v>63.6</v>
      </c>
      <c r="F4476">
        <v>62.7</v>
      </c>
      <c r="G4476">
        <v>0</v>
      </c>
      <c r="H4476">
        <v>0</v>
      </c>
      <c r="I4476">
        <v>0</v>
      </c>
      <c r="J4476">
        <v>0</v>
      </c>
      <c r="K4476">
        <v>59.9</v>
      </c>
      <c r="L4476">
        <v>60</v>
      </c>
      <c r="M4476">
        <v>63.84</v>
      </c>
      <c r="N4476">
        <v>20</v>
      </c>
      <c r="O4476">
        <v>5</v>
      </c>
      <c r="P4476">
        <f>MOD(DAY(datos_siembra[[#This Row],[Date]]),7)</f>
        <v>6</v>
      </c>
      <c r="Q4476" t="str">
        <f>CHOOSE(WEEKDAY(datos_siembra[[#This Row],[Date]],2),"L","M","X","J","V","S","D")</f>
        <v>D</v>
      </c>
      <c r="R4476">
        <f>WEEKNUM(datos_siembra[[#This Row],[Date]],2)-WEEKNUM(DATE(YEAR(datos_siembra[[#This Row],[Date]]),MONTH(datos_siembra[[#This Row],[Date]]),1))+1</f>
        <v>3</v>
      </c>
      <c r="S4476">
        <f>MONTH(datos_siembra[[#This Row],[Date]])</f>
        <v>10</v>
      </c>
      <c r="T4476" t="str" cm="1">
        <f t="array" ref="T4476">_xlfn.IFS(AND(N4476&lt;= 22, S4476=9), "SOWING",AND(N4476&lt;= 28, S4476=9), "COVERAGE",AND(N4476&lt;= 30, S4476=9), "FLUSH",AND(N4476&lt;= 11, S4476=10), "FLUSH",AND(N4476&lt;= 21, S4476=10), "PRODUCTION")</f>
        <v>PRODUCTION</v>
      </c>
      <c r="U4476">
        <f>HOUR(datos_siembra[[#This Row],[Hour]])</f>
        <v>2</v>
      </c>
      <c r="V4476" cm="1">
        <f t="array" ref="V4476">_xlfn.IFS(AND(N4476&lt;= 22, S4476=9), N4476-7,AND(N4476&lt;= 28, S4476=9), N4476-25,AND(N4476&lt;= 30, S4476=9), N4476-28,AND(N4476&lt;= 11, S4476=10), N4476+2,AND(N4476&lt;= 21, S4476=10), N4476-11)</f>
        <v>9</v>
      </c>
    </row>
    <row r="4477" spans="1:22" x14ac:dyDescent="0.35">
      <c r="A4477" s="4">
        <v>45585</v>
      </c>
      <c r="B4477" s="5">
        <v>0.10234953703703703</v>
      </c>
      <c r="C4477">
        <v>63.9</v>
      </c>
      <c r="D4477">
        <v>64.7</v>
      </c>
      <c r="E4477">
        <v>63.6</v>
      </c>
      <c r="F4477">
        <v>62.7</v>
      </c>
      <c r="G4477">
        <v>0</v>
      </c>
      <c r="H4477">
        <v>0</v>
      </c>
      <c r="I4477">
        <v>0</v>
      </c>
      <c r="J4477">
        <v>0</v>
      </c>
      <c r="K4477">
        <v>59.8</v>
      </c>
      <c r="L4477">
        <v>59.9</v>
      </c>
      <c r="M4477">
        <v>63.75</v>
      </c>
      <c r="N4477">
        <v>20</v>
      </c>
      <c r="O4477">
        <v>5</v>
      </c>
      <c r="P4477">
        <f>MOD(DAY(datos_siembra[[#This Row],[Date]]),7)</f>
        <v>6</v>
      </c>
      <c r="Q4477" t="str">
        <f>CHOOSE(WEEKDAY(datos_siembra[[#This Row],[Date]],2),"L","M","X","J","V","S","D")</f>
        <v>D</v>
      </c>
      <c r="R4477">
        <f>WEEKNUM(datos_siembra[[#This Row],[Date]],2)-WEEKNUM(DATE(YEAR(datos_siembra[[#This Row],[Date]]),MONTH(datos_siembra[[#This Row],[Date]]),1))+1</f>
        <v>3</v>
      </c>
      <c r="S4477">
        <f>MONTH(datos_siembra[[#This Row],[Date]])</f>
        <v>10</v>
      </c>
      <c r="T4477" t="str" cm="1">
        <f t="array" ref="T4477">_xlfn.IFS(AND(N4477&lt;= 22, S4477=9), "SOWING",AND(N4477&lt;= 28, S4477=9), "COVERAGE",AND(N4477&lt;= 30, S4477=9), "FLUSH",AND(N4477&lt;= 11, S4477=10), "FLUSH",AND(N4477&lt;= 21, S4477=10), "PRODUCTION")</f>
        <v>PRODUCTION</v>
      </c>
      <c r="U4477">
        <f>HOUR(datos_siembra[[#This Row],[Hour]])</f>
        <v>2</v>
      </c>
      <c r="V4477" cm="1">
        <f t="array" ref="V4477">_xlfn.IFS(AND(N4477&lt;= 22, S4477=9), N4477-7,AND(N4477&lt;= 28, S4477=9), N4477-25,AND(N4477&lt;= 30, S4477=9), N4477-28,AND(N4477&lt;= 11, S4477=10), N4477+2,AND(N4477&lt;= 21, S4477=10), N4477-11)</f>
        <v>9</v>
      </c>
    </row>
    <row r="4478" spans="1:22" x14ac:dyDescent="0.35">
      <c r="A4478" s="4">
        <v>45585</v>
      </c>
      <c r="B4478" s="5">
        <v>0.10929398148148148</v>
      </c>
      <c r="C4478">
        <v>63.9</v>
      </c>
      <c r="D4478">
        <v>64.900000000000006</v>
      </c>
      <c r="E4478">
        <v>63.6</v>
      </c>
      <c r="F4478">
        <v>62.8</v>
      </c>
      <c r="G4478">
        <v>0</v>
      </c>
      <c r="H4478">
        <v>0</v>
      </c>
      <c r="I4478">
        <v>0</v>
      </c>
      <c r="J4478">
        <v>0</v>
      </c>
      <c r="K4478">
        <v>59.8</v>
      </c>
      <c r="L4478">
        <v>59.8</v>
      </c>
      <c r="M4478">
        <v>63.84</v>
      </c>
      <c r="N4478">
        <v>20</v>
      </c>
      <c r="O4478">
        <v>5</v>
      </c>
      <c r="P4478">
        <f>MOD(DAY(datos_siembra[[#This Row],[Date]]),7)</f>
        <v>6</v>
      </c>
      <c r="Q4478" t="str">
        <f>CHOOSE(WEEKDAY(datos_siembra[[#This Row],[Date]],2),"L","M","X","J","V","S","D")</f>
        <v>D</v>
      </c>
      <c r="R4478">
        <f>WEEKNUM(datos_siembra[[#This Row],[Date]],2)-WEEKNUM(DATE(YEAR(datos_siembra[[#This Row],[Date]]),MONTH(datos_siembra[[#This Row],[Date]]),1))+1</f>
        <v>3</v>
      </c>
      <c r="S4478">
        <f>MONTH(datos_siembra[[#This Row],[Date]])</f>
        <v>10</v>
      </c>
      <c r="T4478" t="str" cm="1">
        <f t="array" ref="T4478">_xlfn.IFS(AND(N4478&lt;= 22, S4478=9), "SOWING",AND(N4478&lt;= 28, S4478=9), "COVERAGE",AND(N4478&lt;= 30, S4478=9), "FLUSH",AND(N4478&lt;= 11, S4478=10), "FLUSH",AND(N4478&lt;= 21, S4478=10), "PRODUCTION")</f>
        <v>PRODUCTION</v>
      </c>
      <c r="U4478">
        <f>HOUR(datos_siembra[[#This Row],[Hour]])</f>
        <v>2</v>
      </c>
      <c r="V4478" cm="1">
        <f t="array" ref="V4478">_xlfn.IFS(AND(N4478&lt;= 22, S4478=9), N4478-7,AND(N4478&lt;= 28, S4478=9), N4478-25,AND(N4478&lt;= 30, S4478=9), N4478-28,AND(N4478&lt;= 11, S4478=10), N4478+2,AND(N4478&lt;= 21, S4478=10), N4478-11)</f>
        <v>9</v>
      </c>
    </row>
    <row r="4479" spans="1:22" x14ac:dyDescent="0.35">
      <c r="A4479" s="4">
        <v>45585</v>
      </c>
      <c r="B4479" s="5">
        <v>0.11623842592592593</v>
      </c>
      <c r="C4479">
        <v>64.099999999999994</v>
      </c>
      <c r="D4479">
        <v>64.900000000000006</v>
      </c>
      <c r="E4479">
        <v>63.6</v>
      </c>
      <c r="F4479">
        <v>62.7</v>
      </c>
      <c r="G4479">
        <v>0</v>
      </c>
      <c r="H4479">
        <v>0</v>
      </c>
      <c r="I4479">
        <v>0</v>
      </c>
      <c r="J4479">
        <v>0</v>
      </c>
      <c r="K4479">
        <v>59.8</v>
      </c>
      <c r="L4479">
        <v>59.9</v>
      </c>
      <c r="M4479">
        <v>63.87</v>
      </c>
      <c r="N4479">
        <v>20</v>
      </c>
      <c r="O4479">
        <v>5</v>
      </c>
      <c r="P4479">
        <f>MOD(DAY(datos_siembra[[#This Row],[Date]]),7)</f>
        <v>6</v>
      </c>
      <c r="Q4479" t="str">
        <f>CHOOSE(WEEKDAY(datos_siembra[[#This Row],[Date]],2),"L","M","X","J","V","S","D")</f>
        <v>D</v>
      </c>
      <c r="R4479">
        <f>WEEKNUM(datos_siembra[[#This Row],[Date]],2)-WEEKNUM(DATE(YEAR(datos_siembra[[#This Row],[Date]]),MONTH(datos_siembra[[#This Row],[Date]]),1))+1</f>
        <v>3</v>
      </c>
      <c r="S4479">
        <f>MONTH(datos_siembra[[#This Row],[Date]])</f>
        <v>10</v>
      </c>
      <c r="T4479" t="str" cm="1">
        <f t="array" ref="T4479">_xlfn.IFS(AND(N4479&lt;= 22, S4479=9), "SOWING",AND(N4479&lt;= 28, S4479=9), "COVERAGE",AND(N4479&lt;= 30, S4479=9), "FLUSH",AND(N4479&lt;= 11, S4479=10), "FLUSH",AND(N4479&lt;= 21, S4479=10), "PRODUCTION")</f>
        <v>PRODUCTION</v>
      </c>
      <c r="U4479">
        <f>HOUR(datos_siembra[[#This Row],[Hour]])</f>
        <v>2</v>
      </c>
      <c r="V4479" cm="1">
        <f t="array" ref="V4479">_xlfn.IFS(AND(N4479&lt;= 22, S4479=9), N4479-7,AND(N4479&lt;= 28, S4479=9), N4479-25,AND(N4479&lt;= 30, S4479=9), N4479-28,AND(N4479&lt;= 11, S4479=10), N4479+2,AND(N4479&lt;= 21, S4479=10), N4479-11)</f>
        <v>9</v>
      </c>
    </row>
    <row r="4480" spans="1:22" x14ac:dyDescent="0.35">
      <c r="A4480" s="4">
        <v>45585</v>
      </c>
      <c r="B4480" s="5">
        <v>0.12318287037037037</v>
      </c>
      <c r="C4480">
        <v>64.099999999999994</v>
      </c>
      <c r="D4480">
        <v>64.7</v>
      </c>
      <c r="E4480">
        <v>63.6</v>
      </c>
      <c r="F4480">
        <v>62.7</v>
      </c>
      <c r="G4480">
        <v>0</v>
      </c>
      <c r="H4480">
        <v>0</v>
      </c>
      <c r="I4480">
        <v>0</v>
      </c>
      <c r="J4480">
        <v>0</v>
      </c>
      <c r="K4480">
        <v>59.8</v>
      </c>
      <c r="L4480">
        <v>59.9</v>
      </c>
      <c r="M4480">
        <v>63.75</v>
      </c>
      <c r="N4480">
        <v>20</v>
      </c>
      <c r="O4480">
        <v>5</v>
      </c>
      <c r="P4480">
        <f>MOD(DAY(datos_siembra[[#This Row],[Date]]),7)</f>
        <v>6</v>
      </c>
      <c r="Q4480" t="str">
        <f>CHOOSE(WEEKDAY(datos_siembra[[#This Row],[Date]],2),"L","M","X","J","V","S","D")</f>
        <v>D</v>
      </c>
      <c r="R4480">
        <f>WEEKNUM(datos_siembra[[#This Row],[Date]],2)-WEEKNUM(DATE(YEAR(datos_siembra[[#This Row],[Date]]),MONTH(datos_siembra[[#This Row],[Date]]),1))+1</f>
        <v>3</v>
      </c>
      <c r="S4480">
        <f>MONTH(datos_siembra[[#This Row],[Date]])</f>
        <v>10</v>
      </c>
      <c r="T4480" t="str" cm="1">
        <f t="array" ref="T4480">_xlfn.IFS(AND(N4480&lt;= 22, S4480=9), "SOWING",AND(N4480&lt;= 28, S4480=9), "COVERAGE",AND(N4480&lt;= 30, S4480=9), "FLUSH",AND(N4480&lt;= 11, S4480=10), "FLUSH",AND(N4480&lt;= 21, S4480=10), "PRODUCTION")</f>
        <v>PRODUCTION</v>
      </c>
      <c r="U4480">
        <f>HOUR(datos_siembra[[#This Row],[Hour]])</f>
        <v>2</v>
      </c>
      <c r="V4480" cm="1">
        <f t="array" ref="V4480">_xlfn.IFS(AND(N4480&lt;= 22, S4480=9), N4480-7,AND(N4480&lt;= 28, S4480=9), N4480-25,AND(N4480&lt;= 30, S4480=9), N4480-28,AND(N4480&lt;= 11, S4480=10), N4480+2,AND(N4480&lt;= 21, S4480=10), N4480-11)</f>
        <v>9</v>
      </c>
    </row>
    <row r="4481" spans="1:22" x14ac:dyDescent="0.35">
      <c r="A4481" s="4">
        <v>45585</v>
      </c>
      <c r="B4481" s="5">
        <v>0.13013888888888889</v>
      </c>
      <c r="C4481">
        <v>63.9</v>
      </c>
      <c r="D4481">
        <v>64.7</v>
      </c>
      <c r="E4481">
        <v>63.5</v>
      </c>
      <c r="F4481">
        <v>62.6</v>
      </c>
      <c r="G4481">
        <v>0</v>
      </c>
      <c r="H4481">
        <v>0</v>
      </c>
      <c r="I4481">
        <v>0</v>
      </c>
      <c r="J4481">
        <v>0</v>
      </c>
      <c r="K4481">
        <v>59.7</v>
      </c>
      <c r="L4481">
        <v>60</v>
      </c>
      <c r="M4481">
        <v>63.7</v>
      </c>
      <c r="N4481">
        <v>20</v>
      </c>
      <c r="O4481">
        <v>5</v>
      </c>
      <c r="P4481">
        <f>MOD(DAY(datos_siembra[[#This Row],[Date]]),7)</f>
        <v>6</v>
      </c>
      <c r="Q4481" t="str">
        <f>CHOOSE(WEEKDAY(datos_siembra[[#This Row],[Date]],2),"L","M","X","J","V","S","D")</f>
        <v>D</v>
      </c>
      <c r="R4481">
        <f>WEEKNUM(datos_siembra[[#This Row],[Date]],2)-WEEKNUM(DATE(YEAR(datos_siembra[[#This Row],[Date]]),MONTH(datos_siembra[[#This Row],[Date]]),1))+1</f>
        <v>3</v>
      </c>
      <c r="S4481">
        <f>MONTH(datos_siembra[[#This Row],[Date]])</f>
        <v>10</v>
      </c>
      <c r="T4481" t="str" cm="1">
        <f t="array" ref="T4481">_xlfn.IFS(AND(N4481&lt;= 22, S4481=9), "SOWING",AND(N4481&lt;= 28, S4481=9), "COVERAGE",AND(N4481&lt;= 30, S4481=9), "FLUSH",AND(N4481&lt;= 11, S4481=10), "FLUSH",AND(N4481&lt;= 21, S4481=10), "PRODUCTION")</f>
        <v>PRODUCTION</v>
      </c>
      <c r="U4481">
        <f>HOUR(datos_siembra[[#This Row],[Hour]])</f>
        <v>3</v>
      </c>
      <c r="V4481" cm="1">
        <f t="array" ref="V4481">_xlfn.IFS(AND(N4481&lt;= 22, S4481=9), N4481-7,AND(N4481&lt;= 28, S4481=9), N4481-25,AND(N4481&lt;= 30, S4481=9), N4481-28,AND(N4481&lt;= 11, S4481=10), N4481+2,AND(N4481&lt;= 21, S4481=10), N4481-11)</f>
        <v>9</v>
      </c>
    </row>
    <row r="4482" spans="1:22" x14ac:dyDescent="0.35">
      <c r="A4482" s="4">
        <v>45585</v>
      </c>
      <c r="B4482" s="5">
        <v>0.13708333333333333</v>
      </c>
      <c r="C4482">
        <v>63.8</v>
      </c>
      <c r="D4482">
        <v>64.5</v>
      </c>
      <c r="E4482">
        <v>63.4</v>
      </c>
      <c r="F4482">
        <v>62.6</v>
      </c>
      <c r="G4482">
        <v>0</v>
      </c>
      <c r="H4482">
        <v>0</v>
      </c>
      <c r="I4482">
        <v>0</v>
      </c>
      <c r="J4482">
        <v>0</v>
      </c>
      <c r="K4482">
        <v>59.8</v>
      </c>
      <c r="L4482">
        <v>59.9</v>
      </c>
      <c r="M4482">
        <v>63.58</v>
      </c>
      <c r="N4482">
        <v>20</v>
      </c>
      <c r="O4482">
        <v>5</v>
      </c>
      <c r="P4482">
        <f>MOD(DAY(datos_siembra[[#This Row],[Date]]),7)</f>
        <v>6</v>
      </c>
      <c r="Q4482" t="str">
        <f>CHOOSE(WEEKDAY(datos_siembra[[#This Row],[Date]],2),"L","M","X","J","V","S","D")</f>
        <v>D</v>
      </c>
      <c r="R4482">
        <f>WEEKNUM(datos_siembra[[#This Row],[Date]],2)-WEEKNUM(DATE(YEAR(datos_siembra[[#This Row],[Date]]),MONTH(datos_siembra[[#This Row],[Date]]),1))+1</f>
        <v>3</v>
      </c>
      <c r="S4482">
        <f>MONTH(datos_siembra[[#This Row],[Date]])</f>
        <v>10</v>
      </c>
      <c r="T4482" t="str" cm="1">
        <f t="array" ref="T4482">_xlfn.IFS(AND(N4482&lt;= 22, S4482=9), "SOWING",AND(N4482&lt;= 28, S4482=9), "COVERAGE",AND(N4482&lt;= 30, S4482=9), "FLUSH",AND(N4482&lt;= 11, S4482=10), "FLUSH",AND(N4482&lt;= 21, S4482=10), "PRODUCTION")</f>
        <v>PRODUCTION</v>
      </c>
      <c r="U4482">
        <f>HOUR(datos_siembra[[#This Row],[Hour]])</f>
        <v>3</v>
      </c>
      <c r="V4482" cm="1">
        <f t="array" ref="V4482">_xlfn.IFS(AND(N4482&lt;= 22, S4482=9), N4482-7,AND(N4482&lt;= 28, S4482=9), N4482-25,AND(N4482&lt;= 30, S4482=9), N4482-28,AND(N4482&lt;= 11, S4482=10), N4482+2,AND(N4482&lt;= 21, S4482=10), N4482-11)</f>
        <v>9</v>
      </c>
    </row>
    <row r="4483" spans="1:22" x14ac:dyDescent="0.35">
      <c r="A4483" s="4">
        <v>45585</v>
      </c>
      <c r="B4483" s="5">
        <v>0.14402777777777778</v>
      </c>
      <c r="C4483">
        <v>63.9</v>
      </c>
      <c r="D4483">
        <v>64.599999999999994</v>
      </c>
      <c r="E4483">
        <v>63.5</v>
      </c>
      <c r="F4483">
        <v>62.5</v>
      </c>
      <c r="G4483">
        <v>0</v>
      </c>
      <c r="H4483">
        <v>0</v>
      </c>
      <c r="I4483">
        <v>0</v>
      </c>
      <c r="J4483">
        <v>0</v>
      </c>
      <c r="K4483">
        <v>59.7</v>
      </c>
      <c r="L4483">
        <v>59.8</v>
      </c>
      <c r="M4483">
        <v>63.58</v>
      </c>
      <c r="N4483">
        <v>20</v>
      </c>
      <c r="O4483">
        <v>5</v>
      </c>
      <c r="P4483">
        <f>MOD(DAY(datos_siembra[[#This Row],[Date]]),7)</f>
        <v>6</v>
      </c>
      <c r="Q4483" t="str">
        <f>CHOOSE(WEEKDAY(datos_siembra[[#This Row],[Date]],2),"L","M","X","J","V","S","D")</f>
        <v>D</v>
      </c>
      <c r="R4483">
        <f>WEEKNUM(datos_siembra[[#This Row],[Date]],2)-WEEKNUM(DATE(YEAR(datos_siembra[[#This Row],[Date]]),MONTH(datos_siembra[[#This Row],[Date]]),1))+1</f>
        <v>3</v>
      </c>
      <c r="S4483">
        <f>MONTH(datos_siembra[[#This Row],[Date]])</f>
        <v>10</v>
      </c>
      <c r="T4483" t="str" cm="1">
        <f t="array" ref="T4483">_xlfn.IFS(AND(N4483&lt;= 22, S4483=9), "SOWING",AND(N4483&lt;= 28, S4483=9), "COVERAGE",AND(N4483&lt;= 30, S4483=9), "FLUSH",AND(N4483&lt;= 11, S4483=10), "FLUSH",AND(N4483&lt;= 21, S4483=10), "PRODUCTION")</f>
        <v>PRODUCTION</v>
      </c>
      <c r="U4483">
        <f>HOUR(datos_siembra[[#This Row],[Hour]])</f>
        <v>3</v>
      </c>
      <c r="V4483" cm="1">
        <f t="array" ref="V4483">_xlfn.IFS(AND(N4483&lt;= 22, S4483=9), N4483-7,AND(N4483&lt;= 28, S4483=9), N4483-25,AND(N4483&lt;= 30, S4483=9), N4483-28,AND(N4483&lt;= 11, S4483=10), N4483+2,AND(N4483&lt;= 21, S4483=10), N4483-11)</f>
        <v>9</v>
      </c>
    </row>
    <row r="4484" spans="1:22" x14ac:dyDescent="0.35">
      <c r="A4484" s="4">
        <v>45585</v>
      </c>
      <c r="B4484" s="5">
        <v>0.1509837962962963</v>
      </c>
      <c r="C4484">
        <v>63.8</v>
      </c>
      <c r="D4484">
        <v>64.5</v>
      </c>
      <c r="E4484">
        <v>63.3</v>
      </c>
      <c r="F4484">
        <v>62.5</v>
      </c>
      <c r="G4484">
        <v>0</v>
      </c>
      <c r="H4484">
        <v>0</v>
      </c>
      <c r="I4484">
        <v>0</v>
      </c>
      <c r="J4484">
        <v>0</v>
      </c>
      <c r="K4484">
        <v>59.8</v>
      </c>
      <c r="L4484">
        <v>59.9</v>
      </c>
      <c r="M4484">
        <v>63.58</v>
      </c>
      <c r="N4484">
        <v>20</v>
      </c>
      <c r="O4484">
        <v>5</v>
      </c>
      <c r="P4484">
        <f>MOD(DAY(datos_siembra[[#This Row],[Date]]),7)</f>
        <v>6</v>
      </c>
      <c r="Q4484" t="str">
        <f>CHOOSE(WEEKDAY(datos_siembra[[#This Row],[Date]],2),"L","M","X","J","V","S","D")</f>
        <v>D</v>
      </c>
      <c r="R4484">
        <f>WEEKNUM(datos_siembra[[#This Row],[Date]],2)-WEEKNUM(DATE(YEAR(datos_siembra[[#This Row],[Date]]),MONTH(datos_siembra[[#This Row],[Date]]),1))+1</f>
        <v>3</v>
      </c>
      <c r="S4484">
        <f>MONTH(datos_siembra[[#This Row],[Date]])</f>
        <v>10</v>
      </c>
      <c r="T4484" t="str" cm="1">
        <f t="array" ref="T4484">_xlfn.IFS(AND(N4484&lt;= 22, S4484=9), "SOWING",AND(N4484&lt;= 28, S4484=9), "COVERAGE",AND(N4484&lt;= 30, S4484=9), "FLUSH",AND(N4484&lt;= 11, S4484=10), "FLUSH",AND(N4484&lt;= 21, S4484=10), "PRODUCTION")</f>
        <v>PRODUCTION</v>
      </c>
      <c r="U4484">
        <f>HOUR(datos_siembra[[#This Row],[Hour]])</f>
        <v>3</v>
      </c>
      <c r="V4484" cm="1">
        <f t="array" ref="V4484">_xlfn.IFS(AND(N4484&lt;= 22, S4484=9), N4484-7,AND(N4484&lt;= 28, S4484=9), N4484-25,AND(N4484&lt;= 30, S4484=9), N4484-28,AND(N4484&lt;= 11, S4484=10), N4484+2,AND(N4484&lt;= 21, S4484=10), N4484-11)</f>
        <v>9</v>
      </c>
    </row>
    <row r="4485" spans="1:22" x14ac:dyDescent="0.35">
      <c r="A4485" s="4">
        <v>45585</v>
      </c>
      <c r="B4485" s="5">
        <v>0.15792824074074074</v>
      </c>
      <c r="C4485">
        <v>63.9</v>
      </c>
      <c r="D4485">
        <v>64.5</v>
      </c>
      <c r="E4485">
        <v>63.4</v>
      </c>
      <c r="F4485">
        <v>62.5</v>
      </c>
      <c r="G4485">
        <v>0</v>
      </c>
      <c r="H4485">
        <v>0</v>
      </c>
      <c r="I4485">
        <v>0</v>
      </c>
      <c r="J4485">
        <v>0</v>
      </c>
      <c r="K4485">
        <v>59.8</v>
      </c>
      <c r="L4485">
        <v>60</v>
      </c>
      <c r="M4485">
        <v>63.61</v>
      </c>
      <c r="N4485">
        <v>20</v>
      </c>
      <c r="O4485">
        <v>5</v>
      </c>
      <c r="P4485">
        <f>MOD(DAY(datos_siembra[[#This Row],[Date]]),7)</f>
        <v>6</v>
      </c>
      <c r="Q4485" t="str">
        <f>CHOOSE(WEEKDAY(datos_siembra[[#This Row],[Date]],2),"L","M","X","J","V","S","D")</f>
        <v>D</v>
      </c>
      <c r="R4485">
        <f>WEEKNUM(datos_siembra[[#This Row],[Date]],2)-WEEKNUM(DATE(YEAR(datos_siembra[[#This Row],[Date]]),MONTH(datos_siembra[[#This Row],[Date]]),1))+1</f>
        <v>3</v>
      </c>
      <c r="S4485">
        <f>MONTH(datos_siembra[[#This Row],[Date]])</f>
        <v>10</v>
      </c>
      <c r="T4485" t="str" cm="1">
        <f t="array" ref="T4485">_xlfn.IFS(AND(N4485&lt;= 22, S4485=9), "SOWING",AND(N4485&lt;= 28, S4485=9), "COVERAGE",AND(N4485&lt;= 30, S4485=9), "FLUSH",AND(N4485&lt;= 11, S4485=10), "FLUSH",AND(N4485&lt;= 21, S4485=10), "PRODUCTION")</f>
        <v>PRODUCTION</v>
      </c>
      <c r="U4485">
        <f>HOUR(datos_siembra[[#This Row],[Hour]])</f>
        <v>3</v>
      </c>
      <c r="V4485" cm="1">
        <f t="array" ref="V4485">_xlfn.IFS(AND(N4485&lt;= 22, S4485=9), N4485-7,AND(N4485&lt;= 28, S4485=9), N4485-25,AND(N4485&lt;= 30, S4485=9), N4485-28,AND(N4485&lt;= 11, S4485=10), N4485+2,AND(N4485&lt;= 21, S4485=10), N4485-11)</f>
        <v>9</v>
      </c>
    </row>
    <row r="4486" spans="1:22" x14ac:dyDescent="0.35">
      <c r="A4486" s="4">
        <v>45585</v>
      </c>
      <c r="B4486" s="5">
        <v>0.16487268518518519</v>
      </c>
      <c r="C4486">
        <v>64.099999999999994</v>
      </c>
      <c r="D4486">
        <v>64.5</v>
      </c>
      <c r="E4486">
        <v>63.4</v>
      </c>
      <c r="F4486">
        <v>62.5</v>
      </c>
      <c r="G4486">
        <v>0</v>
      </c>
      <c r="H4486">
        <v>0</v>
      </c>
      <c r="I4486">
        <v>0</v>
      </c>
      <c r="J4486">
        <v>0</v>
      </c>
      <c r="K4486">
        <v>59.8</v>
      </c>
      <c r="L4486">
        <v>60</v>
      </c>
      <c r="M4486">
        <v>63.58</v>
      </c>
      <c r="N4486">
        <v>20</v>
      </c>
      <c r="O4486">
        <v>5</v>
      </c>
      <c r="P4486">
        <f>MOD(DAY(datos_siembra[[#This Row],[Date]]),7)</f>
        <v>6</v>
      </c>
      <c r="Q4486" t="str">
        <f>CHOOSE(WEEKDAY(datos_siembra[[#This Row],[Date]],2),"L","M","X","J","V","S","D")</f>
        <v>D</v>
      </c>
      <c r="R4486">
        <f>WEEKNUM(datos_siembra[[#This Row],[Date]],2)-WEEKNUM(DATE(YEAR(datos_siembra[[#This Row],[Date]]),MONTH(datos_siembra[[#This Row],[Date]]),1))+1</f>
        <v>3</v>
      </c>
      <c r="S4486">
        <f>MONTH(datos_siembra[[#This Row],[Date]])</f>
        <v>10</v>
      </c>
      <c r="T4486" t="str" cm="1">
        <f t="array" ref="T4486">_xlfn.IFS(AND(N4486&lt;= 22, S4486=9), "SOWING",AND(N4486&lt;= 28, S4486=9), "COVERAGE",AND(N4486&lt;= 30, S4486=9), "FLUSH",AND(N4486&lt;= 11, S4486=10), "FLUSH",AND(N4486&lt;= 21, S4486=10), "PRODUCTION")</f>
        <v>PRODUCTION</v>
      </c>
      <c r="U4486">
        <f>HOUR(datos_siembra[[#This Row],[Hour]])</f>
        <v>3</v>
      </c>
      <c r="V4486" cm="1">
        <f t="array" ref="V4486">_xlfn.IFS(AND(N4486&lt;= 22, S4486=9), N4486-7,AND(N4486&lt;= 28, S4486=9), N4486-25,AND(N4486&lt;= 30, S4486=9), N4486-28,AND(N4486&lt;= 11, S4486=10), N4486+2,AND(N4486&lt;= 21, S4486=10), N4486-11)</f>
        <v>9</v>
      </c>
    </row>
    <row r="4487" spans="1:22" x14ac:dyDescent="0.35">
      <c r="A4487" s="4">
        <v>45585</v>
      </c>
      <c r="B4487" s="5">
        <v>0.17181712962962964</v>
      </c>
      <c r="C4487">
        <v>63.8</v>
      </c>
      <c r="D4487">
        <v>64.400000000000006</v>
      </c>
      <c r="E4487">
        <v>63.4</v>
      </c>
      <c r="F4487">
        <v>62.4</v>
      </c>
      <c r="G4487">
        <v>0</v>
      </c>
      <c r="H4487">
        <v>0</v>
      </c>
      <c r="I4487">
        <v>0</v>
      </c>
      <c r="J4487">
        <v>0</v>
      </c>
      <c r="K4487">
        <v>59.8</v>
      </c>
      <c r="L4487">
        <v>60.1</v>
      </c>
      <c r="M4487">
        <v>63.53</v>
      </c>
      <c r="N4487">
        <v>20</v>
      </c>
      <c r="O4487">
        <v>5</v>
      </c>
      <c r="P4487">
        <f>MOD(DAY(datos_siembra[[#This Row],[Date]]),7)</f>
        <v>6</v>
      </c>
      <c r="Q4487" t="str">
        <f>CHOOSE(WEEKDAY(datos_siembra[[#This Row],[Date]],2),"L","M","X","J","V","S","D")</f>
        <v>D</v>
      </c>
      <c r="R4487">
        <f>WEEKNUM(datos_siembra[[#This Row],[Date]],2)-WEEKNUM(DATE(YEAR(datos_siembra[[#This Row],[Date]]),MONTH(datos_siembra[[#This Row],[Date]]),1))+1</f>
        <v>3</v>
      </c>
      <c r="S4487">
        <f>MONTH(datos_siembra[[#This Row],[Date]])</f>
        <v>10</v>
      </c>
      <c r="T4487" t="str" cm="1">
        <f t="array" ref="T4487">_xlfn.IFS(AND(N4487&lt;= 22, S4487=9), "SOWING",AND(N4487&lt;= 28, S4487=9), "COVERAGE",AND(N4487&lt;= 30, S4487=9), "FLUSH",AND(N4487&lt;= 11, S4487=10), "FLUSH",AND(N4487&lt;= 21, S4487=10), "PRODUCTION")</f>
        <v>PRODUCTION</v>
      </c>
      <c r="U4487">
        <f>HOUR(datos_siembra[[#This Row],[Hour]])</f>
        <v>4</v>
      </c>
      <c r="V4487" cm="1">
        <f t="array" ref="V4487">_xlfn.IFS(AND(N4487&lt;= 22, S4487=9), N4487-7,AND(N4487&lt;= 28, S4487=9), N4487-25,AND(N4487&lt;= 30, S4487=9), N4487-28,AND(N4487&lt;= 11, S4487=10), N4487+2,AND(N4487&lt;= 21, S4487=10), N4487-11)</f>
        <v>9</v>
      </c>
    </row>
    <row r="4488" spans="1:22" x14ac:dyDescent="0.35">
      <c r="A4488" s="4">
        <v>45585</v>
      </c>
      <c r="B4488" s="5">
        <v>0.17877314814814815</v>
      </c>
      <c r="C4488">
        <v>63.8</v>
      </c>
      <c r="D4488">
        <v>64.400000000000006</v>
      </c>
      <c r="E4488">
        <v>63.3</v>
      </c>
      <c r="F4488">
        <v>62.5</v>
      </c>
      <c r="G4488">
        <v>0</v>
      </c>
      <c r="H4488">
        <v>0</v>
      </c>
      <c r="I4488">
        <v>0</v>
      </c>
      <c r="J4488">
        <v>0</v>
      </c>
      <c r="K4488">
        <v>60</v>
      </c>
      <c r="L4488">
        <v>60.2</v>
      </c>
      <c r="M4488">
        <v>63.5</v>
      </c>
      <c r="N4488">
        <v>20</v>
      </c>
      <c r="O4488">
        <v>5</v>
      </c>
      <c r="P4488">
        <f>MOD(DAY(datos_siembra[[#This Row],[Date]]),7)</f>
        <v>6</v>
      </c>
      <c r="Q4488" t="str">
        <f>CHOOSE(WEEKDAY(datos_siembra[[#This Row],[Date]],2),"L","M","X","J","V","S","D")</f>
        <v>D</v>
      </c>
      <c r="R4488">
        <f>WEEKNUM(datos_siembra[[#This Row],[Date]],2)-WEEKNUM(DATE(YEAR(datos_siembra[[#This Row],[Date]]),MONTH(datos_siembra[[#This Row],[Date]]),1))+1</f>
        <v>3</v>
      </c>
      <c r="S4488">
        <f>MONTH(datos_siembra[[#This Row],[Date]])</f>
        <v>10</v>
      </c>
      <c r="T4488" t="str" cm="1">
        <f t="array" ref="T4488">_xlfn.IFS(AND(N4488&lt;= 22, S4488=9), "SOWING",AND(N4488&lt;= 28, S4488=9), "COVERAGE",AND(N4488&lt;= 30, S4488=9), "FLUSH",AND(N4488&lt;= 11, S4488=10), "FLUSH",AND(N4488&lt;= 21, S4488=10), "PRODUCTION")</f>
        <v>PRODUCTION</v>
      </c>
      <c r="U4488">
        <f>HOUR(datos_siembra[[#This Row],[Hour]])</f>
        <v>4</v>
      </c>
      <c r="V4488" cm="1">
        <f t="array" ref="V4488">_xlfn.IFS(AND(N4488&lt;= 22, S4488=9), N4488-7,AND(N4488&lt;= 28, S4488=9), N4488-25,AND(N4488&lt;= 30, S4488=9), N4488-28,AND(N4488&lt;= 11, S4488=10), N4488+2,AND(N4488&lt;= 21, S4488=10), N4488-11)</f>
        <v>9</v>
      </c>
    </row>
    <row r="4489" spans="1:22" x14ac:dyDescent="0.35">
      <c r="A4489" s="4">
        <v>45585</v>
      </c>
      <c r="B4489" s="5">
        <v>0.1857175925925926</v>
      </c>
      <c r="C4489">
        <v>63.9</v>
      </c>
      <c r="D4489">
        <v>64.400000000000006</v>
      </c>
      <c r="E4489">
        <v>63.4</v>
      </c>
      <c r="F4489">
        <v>62.3</v>
      </c>
      <c r="G4489">
        <v>0</v>
      </c>
      <c r="H4489">
        <v>0</v>
      </c>
      <c r="I4489">
        <v>0</v>
      </c>
      <c r="J4489">
        <v>0</v>
      </c>
      <c r="K4489">
        <v>60</v>
      </c>
      <c r="L4489">
        <v>60.1</v>
      </c>
      <c r="M4489">
        <v>63.44</v>
      </c>
      <c r="N4489">
        <v>20</v>
      </c>
      <c r="O4489">
        <v>5</v>
      </c>
      <c r="P4489">
        <f>MOD(DAY(datos_siembra[[#This Row],[Date]]),7)</f>
        <v>6</v>
      </c>
      <c r="Q4489" t="str">
        <f>CHOOSE(WEEKDAY(datos_siembra[[#This Row],[Date]],2),"L","M","X","J","V","S","D")</f>
        <v>D</v>
      </c>
      <c r="R4489">
        <f>WEEKNUM(datos_siembra[[#This Row],[Date]],2)-WEEKNUM(DATE(YEAR(datos_siembra[[#This Row],[Date]]),MONTH(datos_siembra[[#This Row],[Date]]),1))+1</f>
        <v>3</v>
      </c>
      <c r="S4489">
        <f>MONTH(datos_siembra[[#This Row],[Date]])</f>
        <v>10</v>
      </c>
      <c r="T4489" t="str" cm="1">
        <f t="array" ref="T4489">_xlfn.IFS(AND(N4489&lt;= 22, S4489=9), "SOWING",AND(N4489&lt;= 28, S4489=9), "COVERAGE",AND(N4489&lt;= 30, S4489=9), "FLUSH",AND(N4489&lt;= 11, S4489=10), "FLUSH",AND(N4489&lt;= 21, S4489=10), "PRODUCTION")</f>
        <v>PRODUCTION</v>
      </c>
      <c r="U4489">
        <f>HOUR(datos_siembra[[#This Row],[Hour]])</f>
        <v>4</v>
      </c>
      <c r="V4489" cm="1">
        <f t="array" ref="V4489">_xlfn.IFS(AND(N4489&lt;= 22, S4489=9), N4489-7,AND(N4489&lt;= 28, S4489=9), N4489-25,AND(N4489&lt;= 30, S4489=9), N4489-28,AND(N4489&lt;= 11, S4489=10), N4489+2,AND(N4489&lt;= 21, S4489=10), N4489-11)</f>
        <v>9</v>
      </c>
    </row>
    <row r="4490" spans="1:22" x14ac:dyDescent="0.35">
      <c r="A4490" s="4">
        <v>45585</v>
      </c>
      <c r="B4490" s="5">
        <v>0.19266203703703705</v>
      </c>
      <c r="C4490">
        <v>63.9</v>
      </c>
      <c r="D4490">
        <v>64.5</v>
      </c>
      <c r="E4490">
        <v>63.2</v>
      </c>
      <c r="F4490">
        <v>62.3</v>
      </c>
      <c r="G4490">
        <v>0</v>
      </c>
      <c r="H4490">
        <v>0</v>
      </c>
      <c r="I4490">
        <v>0</v>
      </c>
      <c r="J4490">
        <v>0</v>
      </c>
      <c r="K4490">
        <v>60</v>
      </c>
      <c r="L4490">
        <v>60.6</v>
      </c>
      <c r="M4490">
        <v>63.39</v>
      </c>
      <c r="N4490">
        <v>20</v>
      </c>
      <c r="O4490">
        <v>5</v>
      </c>
      <c r="P4490">
        <f>MOD(DAY(datos_siembra[[#This Row],[Date]]),7)</f>
        <v>6</v>
      </c>
      <c r="Q4490" t="str">
        <f>CHOOSE(WEEKDAY(datos_siembra[[#This Row],[Date]],2),"L","M","X","J","V","S","D")</f>
        <v>D</v>
      </c>
      <c r="R4490">
        <f>WEEKNUM(datos_siembra[[#This Row],[Date]],2)-WEEKNUM(DATE(YEAR(datos_siembra[[#This Row],[Date]]),MONTH(datos_siembra[[#This Row],[Date]]),1))+1</f>
        <v>3</v>
      </c>
      <c r="S4490">
        <f>MONTH(datos_siembra[[#This Row],[Date]])</f>
        <v>10</v>
      </c>
      <c r="T4490" t="str" cm="1">
        <f t="array" ref="T4490">_xlfn.IFS(AND(N4490&lt;= 22, S4490=9), "SOWING",AND(N4490&lt;= 28, S4490=9), "COVERAGE",AND(N4490&lt;= 30, S4490=9), "FLUSH",AND(N4490&lt;= 11, S4490=10), "FLUSH",AND(N4490&lt;= 21, S4490=10), "PRODUCTION")</f>
        <v>PRODUCTION</v>
      </c>
      <c r="U4490">
        <f>HOUR(datos_siembra[[#This Row],[Hour]])</f>
        <v>4</v>
      </c>
      <c r="V4490" cm="1">
        <f t="array" ref="V4490">_xlfn.IFS(AND(N4490&lt;= 22, S4490=9), N4490-7,AND(N4490&lt;= 28, S4490=9), N4490-25,AND(N4490&lt;= 30, S4490=9), N4490-28,AND(N4490&lt;= 11, S4490=10), N4490+2,AND(N4490&lt;= 21, S4490=10), N4490-11)</f>
        <v>9</v>
      </c>
    </row>
    <row r="4491" spans="1:22" x14ac:dyDescent="0.35">
      <c r="A4491" s="4">
        <v>45585</v>
      </c>
      <c r="B4491" s="5">
        <v>0.19960648148148147</v>
      </c>
      <c r="C4491">
        <v>63.7</v>
      </c>
      <c r="D4491">
        <v>64.3</v>
      </c>
      <c r="E4491">
        <v>63.3</v>
      </c>
      <c r="F4491">
        <v>62</v>
      </c>
      <c r="G4491">
        <v>0</v>
      </c>
      <c r="H4491">
        <v>0</v>
      </c>
      <c r="I4491">
        <v>0</v>
      </c>
      <c r="J4491">
        <v>0</v>
      </c>
      <c r="K4491">
        <v>60</v>
      </c>
      <c r="L4491">
        <v>60.6</v>
      </c>
      <c r="M4491">
        <v>63.39</v>
      </c>
      <c r="N4491">
        <v>20</v>
      </c>
      <c r="O4491">
        <v>5</v>
      </c>
      <c r="P4491">
        <f>MOD(DAY(datos_siembra[[#This Row],[Date]]),7)</f>
        <v>6</v>
      </c>
      <c r="Q4491" t="str">
        <f>CHOOSE(WEEKDAY(datos_siembra[[#This Row],[Date]],2),"L","M","X","J","V","S","D")</f>
        <v>D</v>
      </c>
      <c r="R4491">
        <f>WEEKNUM(datos_siembra[[#This Row],[Date]],2)-WEEKNUM(DATE(YEAR(datos_siembra[[#This Row],[Date]]),MONTH(datos_siembra[[#This Row],[Date]]),1))+1</f>
        <v>3</v>
      </c>
      <c r="S4491">
        <f>MONTH(datos_siembra[[#This Row],[Date]])</f>
        <v>10</v>
      </c>
      <c r="T4491" t="str" cm="1">
        <f t="array" ref="T4491">_xlfn.IFS(AND(N4491&lt;= 22, S4491=9), "SOWING",AND(N4491&lt;= 28, S4491=9), "COVERAGE",AND(N4491&lt;= 30, S4491=9), "FLUSH",AND(N4491&lt;= 11, S4491=10), "FLUSH",AND(N4491&lt;= 21, S4491=10), "PRODUCTION")</f>
        <v>PRODUCTION</v>
      </c>
      <c r="U4491">
        <f>HOUR(datos_siembra[[#This Row],[Hour]])</f>
        <v>4</v>
      </c>
      <c r="V4491" cm="1">
        <f t="array" ref="V4491">_xlfn.IFS(AND(N4491&lt;= 22, S4491=9), N4491-7,AND(N4491&lt;= 28, S4491=9), N4491-25,AND(N4491&lt;= 30, S4491=9), N4491-28,AND(N4491&lt;= 11, S4491=10), N4491+2,AND(N4491&lt;= 21, S4491=10), N4491-11)</f>
        <v>9</v>
      </c>
    </row>
    <row r="4492" spans="1:22" x14ac:dyDescent="0.35">
      <c r="A4492" s="4">
        <v>45585</v>
      </c>
      <c r="B4492" s="5">
        <v>0.20656250000000001</v>
      </c>
      <c r="C4492">
        <v>63.7</v>
      </c>
      <c r="D4492">
        <v>64.400000000000006</v>
      </c>
      <c r="E4492">
        <v>63</v>
      </c>
      <c r="F4492">
        <v>62</v>
      </c>
      <c r="G4492">
        <v>0</v>
      </c>
      <c r="H4492">
        <v>0</v>
      </c>
      <c r="I4492">
        <v>0</v>
      </c>
      <c r="J4492">
        <v>0</v>
      </c>
      <c r="K4492">
        <v>59.9</v>
      </c>
      <c r="L4492">
        <v>60.5</v>
      </c>
      <c r="M4492">
        <v>63.39</v>
      </c>
      <c r="N4492">
        <v>20</v>
      </c>
      <c r="O4492">
        <v>5</v>
      </c>
      <c r="P4492">
        <f>MOD(DAY(datos_siembra[[#This Row],[Date]]),7)</f>
        <v>6</v>
      </c>
      <c r="Q4492" t="str">
        <f>CHOOSE(WEEKDAY(datos_siembra[[#This Row],[Date]],2),"L","M","X","J","V","S","D")</f>
        <v>D</v>
      </c>
      <c r="R4492">
        <f>WEEKNUM(datos_siembra[[#This Row],[Date]],2)-WEEKNUM(DATE(YEAR(datos_siembra[[#This Row],[Date]]),MONTH(datos_siembra[[#This Row],[Date]]),1))+1</f>
        <v>3</v>
      </c>
      <c r="S4492">
        <f>MONTH(datos_siembra[[#This Row],[Date]])</f>
        <v>10</v>
      </c>
      <c r="T4492" t="str" cm="1">
        <f t="array" ref="T4492">_xlfn.IFS(AND(N4492&lt;= 22, S4492=9), "SOWING",AND(N4492&lt;= 28, S4492=9), "COVERAGE",AND(N4492&lt;= 30, S4492=9), "FLUSH",AND(N4492&lt;= 11, S4492=10), "FLUSH",AND(N4492&lt;= 21, S4492=10), "PRODUCTION")</f>
        <v>PRODUCTION</v>
      </c>
      <c r="U4492">
        <f>HOUR(datos_siembra[[#This Row],[Hour]])</f>
        <v>4</v>
      </c>
      <c r="V4492" cm="1">
        <f t="array" ref="V4492">_xlfn.IFS(AND(N4492&lt;= 22, S4492=9), N4492-7,AND(N4492&lt;= 28, S4492=9), N4492-25,AND(N4492&lt;= 30, S4492=9), N4492-28,AND(N4492&lt;= 11, S4492=10), N4492+2,AND(N4492&lt;= 21, S4492=10), N4492-11)</f>
        <v>9</v>
      </c>
    </row>
    <row r="4493" spans="1:22" x14ac:dyDescent="0.35">
      <c r="A4493" s="4">
        <v>45585</v>
      </c>
      <c r="B4493" s="5">
        <v>0.21350694444444446</v>
      </c>
      <c r="C4493">
        <v>63.8</v>
      </c>
      <c r="D4493">
        <v>64.5</v>
      </c>
      <c r="E4493">
        <v>63.2</v>
      </c>
      <c r="F4493">
        <v>62</v>
      </c>
      <c r="G4493">
        <v>0</v>
      </c>
      <c r="H4493">
        <v>0</v>
      </c>
      <c r="I4493">
        <v>0</v>
      </c>
      <c r="J4493">
        <v>0</v>
      </c>
      <c r="K4493">
        <v>59.9</v>
      </c>
      <c r="L4493">
        <v>60.5</v>
      </c>
      <c r="M4493">
        <v>63.39</v>
      </c>
      <c r="N4493">
        <v>20</v>
      </c>
      <c r="O4493">
        <v>5</v>
      </c>
      <c r="P4493">
        <f>MOD(DAY(datos_siembra[[#This Row],[Date]]),7)</f>
        <v>6</v>
      </c>
      <c r="Q4493" t="str">
        <f>CHOOSE(WEEKDAY(datos_siembra[[#This Row],[Date]],2),"L","M","X","J","V","S","D")</f>
        <v>D</v>
      </c>
      <c r="R4493">
        <f>WEEKNUM(datos_siembra[[#This Row],[Date]],2)-WEEKNUM(DATE(YEAR(datos_siembra[[#This Row],[Date]]),MONTH(datos_siembra[[#This Row],[Date]]),1))+1</f>
        <v>3</v>
      </c>
      <c r="S4493">
        <f>MONTH(datos_siembra[[#This Row],[Date]])</f>
        <v>10</v>
      </c>
      <c r="T4493" t="str" cm="1">
        <f t="array" ref="T4493">_xlfn.IFS(AND(N4493&lt;= 22, S4493=9), "SOWING",AND(N4493&lt;= 28, S4493=9), "COVERAGE",AND(N4493&lt;= 30, S4493=9), "FLUSH",AND(N4493&lt;= 11, S4493=10), "FLUSH",AND(N4493&lt;= 21, S4493=10), "PRODUCTION")</f>
        <v>PRODUCTION</v>
      </c>
      <c r="U4493">
        <f>HOUR(datos_siembra[[#This Row],[Hour]])</f>
        <v>5</v>
      </c>
      <c r="V4493" cm="1">
        <f t="array" ref="V4493">_xlfn.IFS(AND(N4493&lt;= 22, S4493=9), N4493-7,AND(N4493&lt;= 28, S4493=9), N4493-25,AND(N4493&lt;= 30, S4493=9), N4493-28,AND(N4493&lt;= 11, S4493=10), N4493+2,AND(N4493&lt;= 21, S4493=10), N4493-11)</f>
        <v>9</v>
      </c>
    </row>
    <row r="4494" spans="1:22" x14ac:dyDescent="0.35">
      <c r="A4494" s="4">
        <v>45585</v>
      </c>
      <c r="B4494" s="5">
        <v>0.22045138888888888</v>
      </c>
      <c r="C4494">
        <v>64.2</v>
      </c>
      <c r="D4494">
        <v>64.5</v>
      </c>
      <c r="E4494">
        <v>63</v>
      </c>
      <c r="F4494">
        <v>62.2</v>
      </c>
      <c r="G4494">
        <v>0</v>
      </c>
      <c r="H4494">
        <v>0</v>
      </c>
      <c r="I4494">
        <v>0</v>
      </c>
      <c r="J4494">
        <v>0</v>
      </c>
      <c r="K4494">
        <v>60.1</v>
      </c>
      <c r="L4494">
        <v>63.4</v>
      </c>
      <c r="M4494">
        <v>63.44</v>
      </c>
      <c r="N4494">
        <v>20</v>
      </c>
      <c r="O4494">
        <v>5</v>
      </c>
      <c r="P4494">
        <f>MOD(DAY(datos_siembra[[#This Row],[Date]]),7)</f>
        <v>6</v>
      </c>
      <c r="Q4494" t="str">
        <f>CHOOSE(WEEKDAY(datos_siembra[[#This Row],[Date]],2),"L","M","X","J","V","S","D")</f>
        <v>D</v>
      </c>
      <c r="R4494">
        <f>WEEKNUM(datos_siembra[[#This Row],[Date]],2)-WEEKNUM(DATE(YEAR(datos_siembra[[#This Row],[Date]]),MONTH(datos_siembra[[#This Row],[Date]]),1))+1</f>
        <v>3</v>
      </c>
      <c r="S4494">
        <f>MONTH(datos_siembra[[#This Row],[Date]])</f>
        <v>10</v>
      </c>
      <c r="T4494" t="str" cm="1">
        <f t="array" ref="T4494">_xlfn.IFS(AND(N4494&lt;= 22, S4494=9), "SOWING",AND(N4494&lt;= 28, S4494=9), "COVERAGE",AND(N4494&lt;= 30, S4494=9), "FLUSH",AND(N4494&lt;= 11, S4494=10), "FLUSH",AND(N4494&lt;= 21, S4494=10), "PRODUCTION")</f>
        <v>PRODUCTION</v>
      </c>
      <c r="U4494">
        <f>HOUR(datos_siembra[[#This Row],[Hour]])</f>
        <v>5</v>
      </c>
      <c r="V4494" cm="1">
        <f t="array" ref="V4494">_xlfn.IFS(AND(N4494&lt;= 22, S4494=9), N4494-7,AND(N4494&lt;= 28, S4494=9), N4494-25,AND(N4494&lt;= 30, S4494=9), N4494-28,AND(N4494&lt;= 11, S4494=10), N4494+2,AND(N4494&lt;= 21, S4494=10), N4494-11)</f>
        <v>9</v>
      </c>
    </row>
    <row r="4495" spans="1:22" x14ac:dyDescent="0.35">
      <c r="A4495" s="4">
        <v>45585</v>
      </c>
      <c r="B4495" s="5">
        <v>0.22740740740740742</v>
      </c>
      <c r="C4495">
        <v>63.8</v>
      </c>
      <c r="D4495">
        <v>64.3</v>
      </c>
      <c r="E4495">
        <v>62.9</v>
      </c>
      <c r="F4495">
        <v>61.9</v>
      </c>
      <c r="G4495">
        <v>0</v>
      </c>
      <c r="H4495">
        <v>0</v>
      </c>
      <c r="I4495">
        <v>0</v>
      </c>
      <c r="J4495">
        <v>0</v>
      </c>
      <c r="K4495">
        <v>60</v>
      </c>
      <c r="L4495">
        <v>60.6</v>
      </c>
      <c r="M4495">
        <v>63.25</v>
      </c>
      <c r="N4495">
        <v>20</v>
      </c>
      <c r="O4495">
        <v>5</v>
      </c>
      <c r="P4495">
        <f>MOD(DAY(datos_siembra[[#This Row],[Date]]),7)</f>
        <v>6</v>
      </c>
      <c r="Q4495" t="str">
        <f>CHOOSE(WEEKDAY(datos_siembra[[#This Row],[Date]],2),"L","M","X","J","V","S","D")</f>
        <v>D</v>
      </c>
      <c r="R4495">
        <f>WEEKNUM(datos_siembra[[#This Row],[Date]],2)-WEEKNUM(DATE(YEAR(datos_siembra[[#This Row],[Date]]),MONTH(datos_siembra[[#This Row],[Date]]),1))+1</f>
        <v>3</v>
      </c>
      <c r="S4495">
        <f>MONTH(datos_siembra[[#This Row],[Date]])</f>
        <v>10</v>
      </c>
      <c r="T4495" t="str" cm="1">
        <f t="array" ref="T4495">_xlfn.IFS(AND(N4495&lt;= 22, S4495=9), "SOWING",AND(N4495&lt;= 28, S4495=9), "COVERAGE",AND(N4495&lt;= 30, S4495=9), "FLUSH",AND(N4495&lt;= 11, S4495=10), "FLUSH",AND(N4495&lt;= 21, S4495=10), "PRODUCTION")</f>
        <v>PRODUCTION</v>
      </c>
      <c r="U4495">
        <f>HOUR(datos_siembra[[#This Row],[Hour]])</f>
        <v>5</v>
      </c>
      <c r="V4495" cm="1">
        <f t="array" ref="V4495">_xlfn.IFS(AND(N4495&lt;= 22, S4495=9), N4495-7,AND(N4495&lt;= 28, S4495=9), N4495-25,AND(N4495&lt;= 30, S4495=9), N4495-28,AND(N4495&lt;= 11, S4495=10), N4495+2,AND(N4495&lt;= 21, S4495=10), N4495-11)</f>
        <v>9</v>
      </c>
    </row>
    <row r="4496" spans="1:22" x14ac:dyDescent="0.35">
      <c r="A4496" s="4">
        <v>45585</v>
      </c>
      <c r="B4496" s="5">
        <v>0.23435185185185184</v>
      </c>
      <c r="C4496">
        <v>64.099999999999994</v>
      </c>
      <c r="D4496">
        <v>64.3</v>
      </c>
      <c r="E4496">
        <v>63</v>
      </c>
      <c r="F4496">
        <v>61.8</v>
      </c>
      <c r="G4496">
        <v>0</v>
      </c>
      <c r="H4496">
        <v>0</v>
      </c>
      <c r="I4496">
        <v>0</v>
      </c>
      <c r="J4496">
        <v>0</v>
      </c>
      <c r="K4496">
        <v>60</v>
      </c>
      <c r="L4496">
        <v>60.5</v>
      </c>
      <c r="M4496">
        <v>63.25</v>
      </c>
      <c r="N4496">
        <v>20</v>
      </c>
      <c r="O4496">
        <v>5</v>
      </c>
      <c r="P4496">
        <f>MOD(DAY(datos_siembra[[#This Row],[Date]]),7)</f>
        <v>6</v>
      </c>
      <c r="Q4496" t="str">
        <f>CHOOSE(WEEKDAY(datos_siembra[[#This Row],[Date]],2),"L","M","X","J","V","S","D")</f>
        <v>D</v>
      </c>
      <c r="R4496">
        <f>WEEKNUM(datos_siembra[[#This Row],[Date]],2)-WEEKNUM(DATE(YEAR(datos_siembra[[#This Row],[Date]]),MONTH(datos_siembra[[#This Row],[Date]]),1))+1</f>
        <v>3</v>
      </c>
      <c r="S4496">
        <f>MONTH(datos_siembra[[#This Row],[Date]])</f>
        <v>10</v>
      </c>
      <c r="T4496" t="str" cm="1">
        <f t="array" ref="T4496">_xlfn.IFS(AND(N4496&lt;= 22, S4496=9), "SOWING",AND(N4496&lt;= 28, S4496=9), "COVERAGE",AND(N4496&lt;= 30, S4496=9), "FLUSH",AND(N4496&lt;= 11, S4496=10), "FLUSH",AND(N4496&lt;= 21, S4496=10), "PRODUCTION")</f>
        <v>PRODUCTION</v>
      </c>
      <c r="U4496">
        <f>HOUR(datos_siembra[[#This Row],[Hour]])</f>
        <v>5</v>
      </c>
      <c r="V4496" cm="1">
        <f t="array" ref="V4496">_xlfn.IFS(AND(N4496&lt;= 22, S4496=9), N4496-7,AND(N4496&lt;= 28, S4496=9), N4496-25,AND(N4496&lt;= 30, S4496=9), N4496-28,AND(N4496&lt;= 11, S4496=10), N4496+2,AND(N4496&lt;= 21, S4496=10), N4496-11)</f>
        <v>9</v>
      </c>
    </row>
    <row r="4497" spans="1:22" x14ac:dyDescent="0.35">
      <c r="A4497" s="4">
        <v>45585</v>
      </c>
      <c r="B4497" s="5">
        <v>0.24129629629629629</v>
      </c>
      <c r="C4497">
        <v>63.8</v>
      </c>
      <c r="D4497">
        <v>64.400000000000006</v>
      </c>
      <c r="E4497">
        <v>62.9</v>
      </c>
      <c r="F4497">
        <v>61.9</v>
      </c>
      <c r="G4497">
        <v>0</v>
      </c>
      <c r="H4497">
        <v>0</v>
      </c>
      <c r="I4497">
        <v>0</v>
      </c>
      <c r="J4497">
        <v>0</v>
      </c>
      <c r="K4497">
        <v>60</v>
      </c>
      <c r="L4497">
        <v>60.5</v>
      </c>
      <c r="M4497">
        <v>63.3</v>
      </c>
      <c r="N4497">
        <v>20</v>
      </c>
      <c r="O4497">
        <v>5</v>
      </c>
      <c r="P4497">
        <f>MOD(DAY(datos_siembra[[#This Row],[Date]]),7)</f>
        <v>6</v>
      </c>
      <c r="Q4497" t="str">
        <f>CHOOSE(WEEKDAY(datos_siembra[[#This Row],[Date]],2),"L","M","X","J","V","S","D")</f>
        <v>D</v>
      </c>
      <c r="R4497">
        <f>WEEKNUM(datos_siembra[[#This Row],[Date]],2)-WEEKNUM(DATE(YEAR(datos_siembra[[#This Row],[Date]]),MONTH(datos_siembra[[#This Row],[Date]]),1))+1</f>
        <v>3</v>
      </c>
      <c r="S4497">
        <f>MONTH(datos_siembra[[#This Row],[Date]])</f>
        <v>10</v>
      </c>
      <c r="T4497" t="str" cm="1">
        <f t="array" ref="T4497">_xlfn.IFS(AND(N4497&lt;= 22, S4497=9), "SOWING",AND(N4497&lt;= 28, S4497=9), "COVERAGE",AND(N4497&lt;= 30, S4497=9), "FLUSH",AND(N4497&lt;= 11, S4497=10), "FLUSH",AND(N4497&lt;= 21, S4497=10), "PRODUCTION")</f>
        <v>PRODUCTION</v>
      </c>
      <c r="U4497">
        <f>HOUR(datos_siembra[[#This Row],[Hour]])</f>
        <v>5</v>
      </c>
      <c r="V4497" cm="1">
        <f t="array" ref="V4497">_xlfn.IFS(AND(N4497&lt;= 22, S4497=9), N4497-7,AND(N4497&lt;= 28, S4497=9), N4497-25,AND(N4497&lt;= 30, S4497=9), N4497-28,AND(N4497&lt;= 11, S4497=10), N4497+2,AND(N4497&lt;= 21, S4497=10), N4497-11)</f>
        <v>9</v>
      </c>
    </row>
    <row r="4498" spans="1:22" x14ac:dyDescent="0.35">
      <c r="A4498" s="4">
        <v>45585</v>
      </c>
      <c r="B4498" s="5">
        <v>0.24824074074074073</v>
      </c>
      <c r="C4498">
        <v>63.9</v>
      </c>
      <c r="D4498">
        <v>64.3</v>
      </c>
      <c r="E4498">
        <v>62.8</v>
      </c>
      <c r="F4498">
        <v>61.9</v>
      </c>
      <c r="G4498">
        <v>0</v>
      </c>
      <c r="H4498">
        <v>0</v>
      </c>
      <c r="I4498">
        <v>0</v>
      </c>
      <c r="J4498">
        <v>0</v>
      </c>
      <c r="K4498">
        <v>60.1</v>
      </c>
      <c r="L4498">
        <v>60.6</v>
      </c>
      <c r="M4498">
        <v>63.25</v>
      </c>
      <c r="N4498">
        <v>20</v>
      </c>
      <c r="O4498">
        <v>5</v>
      </c>
      <c r="P4498">
        <f>MOD(DAY(datos_siembra[[#This Row],[Date]]),7)</f>
        <v>6</v>
      </c>
      <c r="Q4498" t="str">
        <f>CHOOSE(WEEKDAY(datos_siembra[[#This Row],[Date]],2),"L","M","X","J","V","S","D")</f>
        <v>D</v>
      </c>
      <c r="R4498">
        <f>WEEKNUM(datos_siembra[[#This Row],[Date]],2)-WEEKNUM(DATE(YEAR(datos_siembra[[#This Row],[Date]]),MONTH(datos_siembra[[#This Row],[Date]]),1))+1</f>
        <v>3</v>
      </c>
      <c r="S4498">
        <f>MONTH(datos_siembra[[#This Row],[Date]])</f>
        <v>10</v>
      </c>
      <c r="T4498" t="str" cm="1">
        <f t="array" ref="T4498">_xlfn.IFS(AND(N4498&lt;= 22, S4498=9), "SOWING",AND(N4498&lt;= 28, S4498=9), "COVERAGE",AND(N4498&lt;= 30, S4498=9), "FLUSH",AND(N4498&lt;= 11, S4498=10), "FLUSH",AND(N4498&lt;= 21, S4498=10), "PRODUCTION")</f>
        <v>PRODUCTION</v>
      </c>
      <c r="U4498">
        <f>HOUR(datos_siembra[[#This Row],[Hour]])</f>
        <v>5</v>
      </c>
      <c r="V4498" cm="1">
        <f t="array" ref="V4498">_xlfn.IFS(AND(N4498&lt;= 22, S4498=9), N4498-7,AND(N4498&lt;= 28, S4498=9), N4498-25,AND(N4498&lt;= 30, S4498=9), N4498-28,AND(N4498&lt;= 11, S4498=10), N4498+2,AND(N4498&lt;= 21, S4498=10), N4498-11)</f>
        <v>9</v>
      </c>
    </row>
    <row r="4499" spans="1:22" x14ac:dyDescent="0.35">
      <c r="A4499" s="4">
        <v>45585</v>
      </c>
      <c r="B4499" s="5">
        <v>0.25519675925925928</v>
      </c>
      <c r="C4499">
        <v>63.9</v>
      </c>
      <c r="D4499">
        <v>64.3</v>
      </c>
      <c r="E4499">
        <v>62.9</v>
      </c>
      <c r="F4499">
        <v>61.7</v>
      </c>
      <c r="G4499">
        <v>0</v>
      </c>
      <c r="H4499">
        <v>0</v>
      </c>
      <c r="I4499">
        <v>0</v>
      </c>
      <c r="J4499">
        <v>0</v>
      </c>
      <c r="K4499">
        <v>60</v>
      </c>
      <c r="L4499">
        <v>60.5</v>
      </c>
      <c r="M4499">
        <v>63.25</v>
      </c>
      <c r="N4499">
        <v>20</v>
      </c>
      <c r="O4499">
        <v>5</v>
      </c>
      <c r="P4499">
        <f>MOD(DAY(datos_siembra[[#This Row],[Date]]),7)</f>
        <v>6</v>
      </c>
      <c r="Q4499" t="str">
        <f>CHOOSE(WEEKDAY(datos_siembra[[#This Row],[Date]],2),"L","M","X","J","V","S","D")</f>
        <v>D</v>
      </c>
      <c r="R4499">
        <f>WEEKNUM(datos_siembra[[#This Row],[Date]],2)-WEEKNUM(DATE(YEAR(datos_siembra[[#This Row],[Date]]),MONTH(datos_siembra[[#This Row],[Date]]),1))+1</f>
        <v>3</v>
      </c>
      <c r="S4499">
        <f>MONTH(datos_siembra[[#This Row],[Date]])</f>
        <v>10</v>
      </c>
      <c r="T4499" t="str" cm="1">
        <f t="array" ref="T4499">_xlfn.IFS(AND(N4499&lt;= 22, S4499=9), "SOWING",AND(N4499&lt;= 28, S4499=9), "COVERAGE",AND(N4499&lt;= 30, S4499=9), "FLUSH",AND(N4499&lt;= 11, S4499=10), "FLUSH",AND(N4499&lt;= 21, S4499=10), "PRODUCTION")</f>
        <v>PRODUCTION</v>
      </c>
      <c r="U4499">
        <f>HOUR(datos_siembra[[#This Row],[Hour]])</f>
        <v>6</v>
      </c>
      <c r="V4499" cm="1">
        <f t="array" ref="V4499">_xlfn.IFS(AND(N4499&lt;= 22, S4499=9), N4499-7,AND(N4499&lt;= 28, S4499=9), N4499-25,AND(N4499&lt;= 30, S4499=9), N4499-28,AND(N4499&lt;= 11, S4499=10), N4499+2,AND(N4499&lt;= 21, S4499=10), N4499-11)</f>
        <v>9</v>
      </c>
    </row>
    <row r="4500" spans="1:22" x14ac:dyDescent="0.35">
      <c r="A4500" s="4">
        <v>45585</v>
      </c>
      <c r="B4500" s="5">
        <v>0.2621412037037037</v>
      </c>
      <c r="C4500">
        <v>63.8</v>
      </c>
      <c r="D4500">
        <v>64.3</v>
      </c>
      <c r="E4500">
        <v>62.8</v>
      </c>
      <c r="F4500">
        <v>61.8</v>
      </c>
      <c r="G4500">
        <v>0</v>
      </c>
      <c r="H4500">
        <v>0</v>
      </c>
      <c r="I4500">
        <v>0</v>
      </c>
      <c r="J4500">
        <v>0</v>
      </c>
      <c r="K4500">
        <v>60</v>
      </c>
      <c r="L4500">
        <v>60.3</v>
      </c>
      <c r="M4500">
        <v>63.25</v>
      </c>
      <c r="N4500">
        <v>20</v>
      </c>
      <c r="O4500">
        <v>5</v>
      </c>
      <c r="P4500">
        <f>MOD(DAY(datos_siembra[[#This Row],[Date]]),7)</f>
        <v>6</v>
      </c>
      <c r="Q4500" t="str">
        <f>CHOOSE(WEEKDAY(datos_siembra[[#This Row],[Date]],2),"L","M","X","J","V","S","D")</f>
        <v>D</v>
      </c>
      <c r="R4500">
        <f>WEEKNUM(datos_siembra[[#This Row],[Date]],2)-WEEKNUM(DATE(YEAR(datos_siembra[[#This Row],[Date]]),MONTH(datos_siembra[[#This Row],[Date]]),1))+1</f>
        <v>3</v>
      </c>
      <c r="S4500">
        <f>MONTH(datos_siembra[[#This Row],[Date]])</f>
        <v>10</v>
      </c>
      <c r="T4500" t="str" cm="1">
        <f t="array" ref="T4500">_xlfn.IFS(AND(N4500&lt;= 22, S4500=9), "SOWING",AND(N4500&lt;= 28, S4500=9), "COVERAGE",AND(N4500&lt;= 30, S4500=9), "FLUSH",AND(N4500&lt;= 11, S4500=10), "FLUSH",AND(N4500&lt;= 21, S4500=10), "PRODUCTION")</f>
        <v>PRODUCTION</v>
      </c>
      <c r="U4500">
        <f>HOUR(datos_siembra[[#This Row],[Hour]])</f>
        <v>6</v>
      </c>
      <c r="V4500" cm="1">
        <f t="array" ref="V4500">_xlfn.IFS(AND(N4500&lt;= 22, S4500=9), N4500-7,AND(N4500&lt;= 28, S4500=9), N4500-25,AND(N4500&lt;= 30, S4500=9), N4500-28,AND(N4500&lt;= 11, S4500=10), N4500+2,AND(N4500&lt;= 21, S4500=10), N4500-11)</f>
        <v>9</v>
      </c>
    </row>
    <row r="4501" spans="1:22" x14ac:dyDescent="0.35">
      <c r="A4501" s="4">
        <v>45585</v>
      </c>
      <c r="B4501" s="5">
        <v>0.26908564814814817</v>
      </c>
      <c r="C4501">
        <v>63.8</v>
      </c>
      <c r="D4501">
        <v>64.3</v>
      </c>
      <c r="E4501">
        <v>62.6</v>
      </c>
      <c r="F4501">
        <v>61.6</v>
      </c>
      <c r="G4501">
        <v>0</v>
      </c>
      <c r="H4501">
        <v>0</v>
      </c>
      <c r="I4501">
        <v>0</v>
      </c>
      <c r="J4501">
        <v>0</v>
      </c>
      <c r="K4501">
        <v>60</v>
      </c>
      <c r="L4501">
        <v>60.5</v>
      </c>
      <c r="M4501">
        <v>63.19</v>
      </c>
      <c r="N4501">
        <v>20</v>
      </c>
      <c r="O4501">
        <v>5</v>
      </c>
      <c r="P4501">
        <f>MOD(DAY(datos_siembra[[#This Row],[Date]]),7)</f>
        <v>6</v>
      </c>
      <c r="Q4501" t="str">
        <f>CHOOSE(WEEKDAY(datos_siembra[[#This Row],[Date]],2),"L","M","X","J","V","S","D")</f>
        <v>D</v>
      </c>
      <c r="R4501">
        <f>WEEKNUM(datos_siembra[[#This Row],[Date]],2)-WEEKNUM(DATE(YEAR(datos_siembra[[#This Row],[Date]]),MONTH(datos_siembra[[#This Row],[Date]]),1))+1</f>
        <v>3</v>
      </c>
      <c r="S4501">
        <f>MONTH(datos_siembra[[#This Row],[Date]])</f>
        <v>10</v>
      </c>
      <c r="T4501" t="str" cm="1">
        <f t="array" ref="T4501">_xlfn.IFS(AND(N4501&lt;= 22, S4501=9), "SOWING",AND(N4501&lt;= 28, S4501=9), "COVERAGE",AND(N4501&lt;= 30, S4501=9), "FLUSH",AND(N4501&lt;= 11, S4501=10), "FLUSH",AND(N4501&lt;= 21, S4501=10), "PRODUCTION")</f>
        <v>PRODUCTION</v>
      </c>
      <c r="U4501">
        <f>HOUR(datos_siembra[[#This Row],[Hour]])</f>
        <v>6</v>
      </c>
      <c r="V4501" cm="1">
        <f t="array" ref="V4501">_xlfn.IFS(AND(N4501&lt;= 22, S4501=9), N4501-7,AND(N4501&lt;= 28, S4501=9), N4501-25,AND(N4501&lt;= 30, S4501=9), N4501-28,AND(N4501&lt;= 11, S4501=10), N4501+2,AND(N4501&lt;= 21, S4501=10), N4501-11)</f>
        <v>9</v>
      </c>
    </row>
    <row r="4502" spans="1:22" x14ac:dyDescent="0.35">
      <c r="A4502" s="4">
        <v>45585</v>
      </c>
      <c r="B4502" s="5">
        <v>0.27603009259259259</v>
      </c>
      <c r="C4502">
        <v>63.8</v>
      </c>
      <c r="D4502">
        <v>64.3</v>
      </c>
      <c r="E4502">
        <v>62.6</v>
      </c>
      <c r="F4502">
        <v>61.8</v>
      </c>
      <c r="G4502">
        <v>0</v>
      </c>
      <c r="H4502">
        <v>0</v>
      </c>
      <c r="I4502">
        <v>0</v>
      </c>
      <c r="J4502">
        <v>0</v>
      </c>
      <c r="K4502">
        <v>59.9</v>
      </c>
      <c r="L4502">
        <v>60.3</v>
      </c>
      <c r="M4502">
        <v>63.11</v>
      </c>
      <c r="N4502">
        <v>20</v>
      </c>
      <c r="O4502">
        <v>5</v>
      </c>
      <c r="P4502">
        <f>MOD(DAY(datos_siembra[[#This Row],[Date]]),7)</f>
        <v>6</v>
      </c>
      <c r="Q4502" t="str">
        <f>CHOOSE(WEEKDAY(datos_siembra[[#This Row],[Date]],2),"L","M","X","J","V","S","D")</f>
        <v>D</v>
      </c>
      <c r="R4502">
        <f>WEEKNUM(datos_siembra[[#This Row],[Date]],2)-WEEKNUM(DATE(YEAR(datos_siembra[[#This Row],[Date]]),MONTH(datos_siembra[[#This Row],[Date]]),1))+1</f>
        <v>3</v>
      </c>
      <c r="S4502">
        <f>MONTH(datos_siembra[[#This Row],[Date]])</f>
        <v>10</v>
      </c>
      <c r="T4502" t="str" cm="1">
        <f t="array" ref="T4502">_xlfn.IFS(AND(N4502&lt;= 22, S4502=9), "SOWING",AND(N4502&lt;= 28, S4502=9), "COVERAGE",AND(N4502&lt;= 30, S4502=9), "FLUSH",AND(N4502&lt;= 11, S4502=10), "FLUSH",AND(N4502&lt;= 21, S4502=10), "PRODUCTION")</f>
        <v>PRODUCTION</v>
      </c>
      <c r="U4502">
        <f>HOUR(datos_siembra[[#This Row],[Hour]])</f>
        <v>6</v>
      </c>
      <c r="V4502" cm="1">
        <f t="array" ref="V4502">_xlfn.IFS(AND(N4502&lt;= 22, S4502=9), N4502-7,AND(N4502&lt;= 28, S4502=9), N4502-25,AND(N4502&lt;= 30, S4502=9), N4502-28,AND(N4502&lt;= 11, S4502=10), N4502+2,AND(N4502&lt;= 21, S4502=10), N4502-11)</f>
        <v>9</v>
      </c>
    </row>
    <row r="4503" spans="1:22" x14ac:dyDescent="0.35">
      <c r="A4503" s="4">
        <v>45585</v>
      </c>
      <c r="B4503" s="5">
        <v>0.2829861111111111</v>
      </c>
      <c r="C4503">
        <v>63.9</v>
      </c>
      <c r="D4503">
        <v>64.2</v>
      </c>
      <c r="E4503">
        <v>62.7</v>
      </c>
      <c r="F4503">
        <v>61.7</v>
      </c>
      <c r="G4503">
        <v>0</v>
      </c>
      <c r="H4503">
        <v>0</v>
      </c>
      <c r="I4503">
        <v>0</v>
      </c>
      <c r="J4503">
        <v>0</v>
      </c>
      <c r="K4503">
        <v>59.9</v>
      </c>
      <c r="L4503">
        <v>60.3</v>
      </c>
      <c r="M4503">
        <v>63.16</v>
      </c>
      <c r="N4503">
        <v>20</v>
      </c>
      <c r="O4503">
        <v>5</v>
      </c>
      <c r="P4503">
        <f>MOD(DAY(datos_siembra[[#This Row],[Date]]),7)</f>
        <v>6</v>
      </c>
      <c r="Q4503" t="str">
        <f>CHOOSE(WEEKDAY(datos_siembra[[#This Row],[Date]],2),"L","M","X","J","V","S","D")</f>
        <v>D</v>
      </c>
      <c r="R4503">
        <f>WEEKNUM(datos_siembra[[#This Row],[Date]],2)-WEEKNUM(DATE(YEAR(datos_siembra[[#This Row],[Date]]),MONTH(datos_siembra[[#This Row],[Date]]),1))+1</f>
        <v>3</v>
      </c>
      <c r="S4503">
        <f>MONTH(datos_siembra[[#This Row],[Date]])</f>
        <v>10</v>
      </c>
      <c r="T4503" t="str" cm="1">
        <f t="array" ref="T4503">_xlfn.IFS(AND(N4503&lt;= 22, S4503=9), "SOWING",AND(N4503&lt;= 28, S4503=9), "COVERAGE",AND(N4503&lt;= 30, S4503=9), "FLUSH",AND(N4503&lt;= 11, S4503=10), "FLUSH",AND(N4503&lt;= 21, S4503=10), "PRODUCTION")</f>
        <v>PRODUCTION</v>
      </c>
      <c r="U4503">
        <f>HOUR(datos_siembra[[#This Row],[Hour]])</f>
        <v>6</v>
      </c>
      <c r="V4503" cm="1">
        <f t="array" ref="V4503">_xlfn.IFS(AND(N4503&lt;= 22, S4503=9), N4503-7,AND(N4503&lt;= 28, S4503=9), N4503-25,AND(N4503&lt;= 30, S4503=9), N4503-28,AND(N4503&lt;= 11, S4503=10), N4503+2,AND(N4503&lt;= 21, S4503=10), N4503-11)</f>
        <v>9</v>
      </c>
    </row>
    <row r="4504" spans="1:22" x14ac:dyDescent="0.35">
      <c r="A4504" s="4">
        <v>45585</v>
      </c>
      <c r="B4504" s="5">
        <v>0.28993055555555558</v>
      </c>
      <c r="C4504">
        <v>63.6</v>
      </c>
      <c r="D4504">
        <v>64.3</v>
      </c>
      <c r="E4504">
        <v>62.8</v>
      </c>
      <c r="F4504">
        <v>61.8</v>
      </c>
      <c r="G4504">
        <v>0</v>
      </c>
      <c r="H4504">
        <v>0</v>
      </c>
      <c r="I4504">
        <v>0</v>
      </c>
      <c r="J4504">
        <v>0</v>
      </c>
      <c r="K4504">
        <v>59.7</v>
      </c>
      <c r="L4504">
        <v>60.5</v>
      </c>
      <c r="M4504">
        <v>63.16</v>
      </c>
      <c r="N4504">
        <v>20</v>
      </c>
      <c r="O4504">
        <v>5</v>
      </c>
      <c r="P4504">
        <f>MOD(DAY(datos_siembra[[#This Row],[Date]]),7)</f>
        <v>6</v>
      </c>
      <c r="Q4504" t="str">
        <f>CHOOSE(WEEKDAY(datos_siembra[[#This Row],[Date]],2),"L","M","X","J","V","S","D")</f>
        <v>D</v>
      </c>
      <c r="R4504">
        <f>WEEKNUM(datos_siembra[[#This Row],[Date]],2)-WEEKNUM(DATE(YEAR(datos_siembra[[#This Row],[Date]]),MONTH(datos_siembra[[#This Row],[Date]]),1))+1</f>
        <v>3</v>
      </c>
      <c r="S4504">
        <f>MONTH(datos_siembra[[#This Row],[Date]])</f>
        <v>10</v>
      </c>
      <c r="T4504" t="str" cm="1">
        <f t="array" ref="T4504">_xlfn.IFS(AND(N4504&lt;= 22, S4504=9), "SOWING",AND(N4504&lt;= 28, S4504=9), "COVERAGE",AND(N4504&lt;= 30, S4504=9), "FLUSH",AND(N4504&lt;= 11, S4504=10), "FLUSH",AND(N4504&lt;= 21, S4504=10), "PRODUCTION")</f>
        <v>PRODUCTION</v>
      </c>
      <c r="U4504">
        <f>HOUR(datos_siembra[[#This Row],[Hour]])</f>
        <v>6</v>
      </c>
      <c r="V4504" cm="1">
        <f t="array" ref="V4504">_xlfn.IFS(AND(N4504&lt;= 22, S4504=9), N4504-7,AND(N4504&lt;= 28, S4504=9), N4504-25,AND(N4504&lt;= 30, S4504=9), N4504-28,AND(N4504&lt;= 11, S4504=10), N4504+2,AND(N4504&lt;= 21, S4504=10), N4504-11)</f>
        <v>9</v>
      </c>
    </row>
    <row r="4505" spans="1:22" x14ac:dyDescent="0.35">
      <c r="A4505" s="4">
        <v>45585</v>
      </c>
      <c r="B4505" s="5">
        <v>0.296875</v>
      </c>
      <c r="C4505">
        <v>64.099999999999994</v>
      </c>
      <c r="D4505">
        <v>64.900000000000006</v>
      </c>
      <c r="E4505">
        <v>63.7</v>
      </c>
      <c r="F4505">
        <v>62.2</v>
      </c>
      <c r="G4505">
        <v>0</v>
      </c>
      <c r="H4505">
        <v>0</v>
      </c>
      <c r="I4505">
        <v>0</v>
      </c>
      <c r="J4505">
        <v>0</v>
      </c>
      <c r="K4505">
        <v>59.8</v>
      </c>
      <c r="L4505">
        <v>60.5</v>
      </c>
      <c r="M4505">
        <v>63.61</v>
      </c>
      <c r="N4505">
        <v>20</v>
      </c>
      <c r="O4505">
        <v>5</v>
      </c>
      <c r="P4505">
        <f>MOD(DAY(datos_siembra[[#This Row],[Date]]),7)</f>
        <v>6</v>
      </c>
      <c r="Q4505" t="str">
        <f>CHOOSE(WEEKDAY(datos_siembra[[#This Row],[Date]],2),"L","M","X","J","V","S","D")</f>
        <v>D</v>
      </c>
      <c r="R4505">
        <f>WEEKNUM(datos_siembra[[#This Row],[Date]],2)-WEEKNUM(DATE(YEAR(datos_siembra[[#This Row],[Date]]),MONTH(datos_siembra[[#This Row],[Date]]),1))+1</f>
        <v>3</v>
      </c>
      <c r="S4505">
        <f>MONTH(datos_siembra[[#This Row],[Date]])</f>
        <v>10</v>
      </c>
      <c r="T4505" t="str" cm="1">
        <f t="array" ref="T4505">_xlfn.IFS(AND(N4505&lt;= 22, S4505=9), "SOWING",AND(N4505&lt;= 28, S4505=9), "COVERAGE",AND(N4505&lt;= 30, S4505=9), "FLUSH",AND(N4505&lt;= 11, S4505=10), "FLUSH",AND(N4505&lt;= 21, S4505=10), "PRODUCTION")</f>
        <v>PRODUCTION</v>
      </c>
      <c r="U4505">
        <f>HOUR(datos_siembra[[#This Row],[Hour]])</f>
        <v>7</v>
      </c>
      <c r="V4505" cm="1">
        <f t="array" ref="V4505">_xlfn.IFS(AND(N4505&lt;= 22, S4505=9), N4505-7,AND(N4505&lt;= 28, S4505=9), N4505-25,AND(N4505&lt;= 30, S4505=9), N4505-28,AND(N4505&lt;= 11, S4505=10), N4505+2,AND(N4505&lt;= 21, S4505=10), N4505-11)</f>
        <v>9</v>
      </c>
    </row>
    <row r="4506" spans="1:22" x14ac:dyDescent="0.35">
      <c r="A4506" s="4">
        <v>45585</v>
      </c>
      <c r="B4506" s="5">
        <v>0.30381944444444442</v>
      </c>
      <c r="C4506">
        <v>63.7</v>
      </c>
      <c r="D4506">
        <v>64.3</v>
      </c>
      <c r="E4506">
        <v>62.7</v>
      </c>
      <c r="F4506">
        <v>61.8</v>
      </c>
      <c r="G4506">
        <v>0</v>
      </c>
      <c r="H4506">
        <v>0</v>
      </c>
      <c r="I4506">
        <v>0</v>
      </c>
      <c r="J4506">
        <v>0</v>
      </c>
      <c r="K4506">
        <v>60.7</v>
      </c>
      <c r="L4506">
        <v>60.8</v>
      </c>
      <c r="M4506">
        <v>63.25</v>
      </c>
      <c r="N4506">
        <v>20</v>
      </c>
      <c r="O4506">
        <v>5</v>
      </c>
      <c r="P4506">
        <f>MOD(DAY(datos_siembra[[#This Row],[Date]]),7)</f>
        <v>6</v>
      </c>
      <c r="Q4506" t="str">
        <f>CHOOSE(WEEKDAY(datos_siembra[[#This Row],[Date]],2),"L","M","X","J","V","S","D")</f>
        <v>D</v>
      </c>
      <c r="R4506">
        <f>WEEKNUM(datos_siembra[[#This Row],[Date]],2)-WEEKNUM(DATE(YEAR(datos_siembra[[#This Row],[Date]]),MONTH(datos_siembra[[#This Row],[Date]]),1))+1</f>
        <v>3</v>
      </c>
      <c r="S4506">
        <f>MONTH(datos_siembra[[#This Row],[Date]])</f>
        <v>10</v>
      </c>
      <c r="T4506" t="str" cm="1">
        <f t="array" ref="T4506">_xlfn.IFS(AND(N4506&lt;= 22, S4506=9), "SOWING",AND(N4506&lt;= 28, S4506=9), "COVERAGE",AND(N4506&lt;= 30, S4506=9), "FLUSH",AND(N4506&lt;= 11, S4506=10), "FLUSH",AND(N4506&lt;= 21, S4506=10), "PRODUCTION")</f>
        <v>PRODUCTION</v>
      </c>
      <c r="U4506">
        <f>HOUR(datos_siembra[[#This Row],[Hour]])</f>
        <v>7</v>
      </c>
      <c r="V4506" cm="1">
        <f t="array" ref="V4506">_xlfn.IFS(AND(N4506&lt;= 22, S4506=9), N4506-7,AND(N4506&lt;= 28, S4506=9), N4506-25,AND(N4506&lt;= 30, S4506=9), N4506-28,AND(N4506&lt;= 11, S4506=10), N4506+2,AND(N4506&lt;= 21, S4506=10), N4506-11)</f>
        <v>9</v>
      </c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2F1C-907D-43E8-921D-5E9B984453C6}">
  <dimension ref="A1:K55"/>
  <sheetViews>
    <sheetView workbookViewId="0">
      <pane ySplit="1" topLeftCell="A2" activePane="bottomLeft" state="frozen"/>
      <selection pane="bottomLeft" activeCell="G2" sqref="G2"/>
    </sheetView>
  </sheetViews>
  <sheetFormatPr baseColWidth="10" defaultRowHeight="14.5" x14ac:dyDescent="0.35"/>
  <cols>
    <col min="1" max="1" width="13.1796875" customWidth="1"/>
    <col min="2" max="15" width="9.6328125" customWidth="1"/>
  </cols>
  <sheetData>
    <row r="1" spans="1:11" x14ac:dyDescent="0.35">
      <c r="A1" t="s">
        <v>28</v>
      </c>
      <c r="B1" t="s">
        <v>29</v>
      </c>
      <c r="C1" t="s">
        <v>0</v>
      </c>
      <c r="D1" t="s">
        <v>1</v>
      </c>
      <c r="E1" t="s">
        <v>2</v>
      </c>
      <c r="F1" t="s">
        <v>3</v>
      </c>
      <c r="G1" t="s">
        <v>32</v>
      </c>
      <c r="H1" t="s">
        <v>4</v>
      </c>
      <c r="I1" t="s">
        <v>5</v>
      </c>
      <c r="J1" t="s">
        <v>30</v>
      </c>
      <c r="K1" t="s">
        <v>31</v>
      </c>
    </row>
    <row r="2" spans="1:11" x14ac:dyDescent="0.35">
      <c r="A2" s="1">
        <v>45540</v>
      </c>
      <c r="B2" s="2">
        <v>0.57638888888888895</v>
      </c>
      <c r="C2">
        <v>78</v>
      </c>
      <c r="D2">
        <v>76</v>
      </c>
      <c r="E2">
        <v>73</v>
      </c>
      <c r="F2">
        <v>73</v>
      </c>
      <c r="G2">
        <v>75</v>
      </c>
      <c r="H2">
        <v>67</v>
      </c>
      <c r="I2">
        <v>67</v>
      </c>
      <c r="J2">
        <f>HOUR(Tabla2[[#This Row],[HOUR]])</f>
        <v>13</v>
      </c>
      <c r="K2">
        <f>DAY(Tabla2[[#This Row],[DATE]])</f>
        <v>5</v>
      </c>
    </row>
    <row r="3" spans="1:11" x14ac:dyDescent="0.35">
      <c r="A3" s="1">
        <v>45540</v>
      </c>
      <c r="B3" s="2">
        <v>0.83333333333333337</v>
      </c>
      <c r="C3">
        <v>79</v>
      </c>
      <c r="D3">
        <v>76</v>
      </c>
      <c r="E3">
        <v>73</v>
      </c>
      <c r="F3">
        <v>73</v>
      </c>
      <c r="G3">
        <v>75.3</v>
      </c>
      <c r="H3">
        <v>68</v>
      </c>
      <c r="I3">
        <v>68</v>
      </c>
      <c r="J3">
        <f>HOUR(Tabla2[[#This Row],[HOUR]])</f>
        <v>20</v>
      </c>
      <c r="K3">
        <f>DAY(Tabla2[[#This Row],[DATE]])</f>
        <v>5</v>
      </c>
    </row>
    <row r="4" spans="1:11" x14ac:dyDescent="0.35">
      <c r="A4" s="1">
        <v>45541</v>
      </c>
      <c r="B4" s="2">
        <v>0.22222222222222221</v>
      </c>
      <c r="C4">
        <v>80</v>
      </c>
      <c r="D4">
        <v>79</v>
      </c>
      <c r="E4">
        <v>76</v>
      </c>
      <c r="F4">
        <v>76</v>
      </c>
      <c r="G4">
        <v>77.8</v>
      </c>
      <c r="H4">
        <v>72</v>
      </c>
      <c r="I4">
        <v>70</v>
      </c>
      <c r="J4">
        <f>HOUR(Tabla2[[#This Row],[HOUR]])</f>
        <v>5</v>
      </c>
      <c r="K4">
        <f>DAY(Tabla2[[#This Row],[DATE]])</f>
        <v>6</v>
      </c>
    </row>
    <row r="5" spans="1:11" x14ac:dyDescent="0.35">
      <c r="A5" s="1">
        <v>45541</v>
      </c>
      <c r="B5" s="2">
        <v>0.54513888888888895</v>
      </c>
      <c r="C5">
        <v>80</v>
      </c>
      <c r="D5">
        <v>79</v>
      </c>
      <c r="E5">
        <v>79</v>
      </c>
      <c r="F5">
        <v>78</v>
      </c>
      <c r="G5">
        <v>78</v>
      </c>
      <c r="H5">
        <v>72</v>
      </c>
      <c r="I5">
        <v>71</v>
      </c>
      <c r="J5">
        <f>HOUR(Tabla2[[#This Row],[HOUR]])</f>
        <v>13</v>
      </c>
      <c r="K5">
        <f>DAY(Tabla2[[#This Row],[DATE]])</f>
        <v>6</v>
      </c>
    </row>
    <row r="6" spans="1:11" x14ac:dyDescent="0.35">
      <c r="A6" s="1">
        <v>45541</v>
      </c>
      <c r="B6" s="2">
        <v>0.84375</v>
      </c>
      <c r="C6">
        <v>80</v>
      </c>
      <c r="D6">
        <v>79</v>
      </c>
      <c r="E6">
        <v>77</v>
      </c>
      <c r="F6">
        <v>76</v>
      </c>
      <c r="G6">
        <v>78</v>
      </c>
      <c r="H6">
        <v>71</v>
      </c>
      <c r="I6">
        <v>71</v>
      </c>
      <c r="J6">
        <f>HOUR(Tabla2[[#This Row],[HOUR]])</f>
        <v>20</v>
      </c>
      <c r="K6">
        <f>DAY(Tabla2[[#This Row],[DATE]])</f>
        <v>6</v>
      </c>
    </row>
    <row r="7" spans="1:11" x14ac:dyDescent="0.35">
      <c r="A7" s="1">
        <v>45542</v>
      </c>
      <c r="B7" s="2">
        <v>0.28472222222222221</v>
      </c>
      <c r="C7">
        <v>82</v>
      </c>
      <c r="D7">
        <v>83</v>
      </c>
      <c r="E7">
        <v>81</v>
      </c>
      <c r="F7">
        <v>79</v>
      </c>
      <c r="G7">
        <v>81.3</v>
      </c>
      <c r="H7">
        <v>73</v>
      </c>
      <c r="I7">
        <v>71</v>
      </c>
      <c r="J7">
        <f>HOUR(Tabla2[[#This Row],[HOUR]])</f>
        <v>6</v>
      </c>
      <c r="K7">
        <f>DAY(Tabla2[[#This Row],[DATE]])</f>
        <v>7</v>
      </c>
    </row>
    <row r="8" spans="1:11" x14ac:dyDescent="0.35">
      <c r="A8" s="1">
        <v>45542</v>
      </c>
      <c r="B8" s="2">
        <v>0.5625</v>
      </c>
      <c r="C8">
        <v>83</v>
      </c>
      <c r="D8">
        <v>82</v>
      </c>
      <c r="E8">
        <v>80</v>
      </c>
      <c r="F8">
        <v>79</v>
      </c>
      <c r="G8">
        <v>81</v>
      </c>
      <c r="H8">
        <v>71</v>
      </c>
      <c r="I8">
        <v>70</v>
      </c>
      <c r="J8">
        <f>HOUR(Tabla2[[#This Row],[HOUR]])</f>
        <v>13</v>
      </c>
      <c r="K8">
        <f>DAY(Tabla2[[#This Row],[DATE]])</f>
        <v>7</v>
      </c>
    </row>
    <row r="9" spans="1:11" x14ac:dyDescent="0.35">
      <c r="A9" s="1">
        <v>45542</v>
      </c>
      <c r="B9" s="2">
        <v>0.84722222222222221</v>
      </c>
      <c r="C9">
        <v>82</v>
      </c>
      <c r="D9">
        <v>82</v>
      </c>
      <c r="E9">
        <v>80</v>
      </c>
      <c r="F9">
        <v>79</v>
      </c>
      <c r="G9">
        <v>80.7</v>
      </c>
      <c r="H9">
        <v>71</v>
      </c>
      <c r="I9">
        <v>70</v>
      </c>
      <c r="J9">
        <f>HOUR(Tabla2[[#This Row],[HOUR]])</f>
        <v>20</v>
      </c>
      <c r="K9">
        <f>DAY(Tabla2[[#This Row],[DATE]])</f>
        <v>7</v>
      </c>
    </row>
    <row r="10" spans="1:11" x14ac:dyDescent="0.35">
      <c r="A10" s="1">
        <v>45543</v>
      </c>
      <c r="B10" s="2">
        <v>0.3263888888888889</v>
      </c>
      <c r="C10">
        <v>81</v>
      </c>
      <c r="D10">
        <v>82</v>
      </c>
      <c r="E10">
        <v>80</v>
      </c>
      <c r="F10">
        <v>79</v>
      </c>
      <c r="G10">
        <v>80.5</v>
      </c>
      <c r="H10">
        <v>70</v>
      </c>
      <c r="I10">
        <v>67</v>
      </c>
      <c r="J10">
        <f>HOUR(Tabla2[[#This Row],[HOUR]])</f>
        <v>7</v>
      </c>
      <c r="K10">
        <f>DAY(Tabla2[[#This Row],[DATE]])</f>
        <v>8</v>
      </c>
    </row>
    <row r="11" spans="1:11" x14ac:dyDescent="0.35">
      <c r="A11" s="1">
        <v>45543</v>
      </c>
      <c r="B11" s="2">
        <v>0.55555555555555558</v>
      </c>
      <c r="C11">
        <v>81</v>
      </c>
      <c r="D11">
        <v>83</v>
      </c>
      <c r="E11">
        <v>80</v>
      </c>
      <c r="F11">
        <v>80</v>
      </c>
      <c r="G11">
        <v>81</v>
      </c>
      <c r="H11">
        <v>71</v>
      </c>
      <c r="I11">
        <v>70</v>
      </c>
      <c r="J11">
        <f>HOUR(Tabla2[[#This Row],[HOUR]])</f>
        <v>13</v>
      </c>
      <c r="K11">
        <f>DAY(Tabla2[[#This Row],[DATE]])</f>
        <v>8</v>
      </c>
    </row>
    <row r="12" spans="1:11" x14ac:dyDescent="0.35">
      <c r="A12" s="1">
        <v>45543</v>
      </c>
      <c r="B12" s="2">
        <v>0.83680555555555547</v>
      </c>
      <c r="C12">
        <v>80.7</v>
      </c>
      <c r="D12">
        <v>82.4</v>
      </c>
      <c r="E12">
        <v>81.099999999999994</v>
      </c>
      <c r="F12">
        <v>79.5</v>
      </c>
      <c r="G12">
        <v>80.5</v>
      </c>
      <c r="H12">
        <v>67.599999999999994</v>
      </c>
      <c r="I12">
        <v>67.400000000000006</v>
      </c>
      <c r="J12">
        <f>HOUR(Tabla2[[#This Row],[HOUR]])</f>
        <v>20</v>
      </c>
      <c r="K12">
        <f>DAY(Tabla2[[#This Row],[DATE]])</f>
        <v>8</v>
      </c>
    </row>
    <row r="13" spans="1:11" x14ac:dyDescent="0.35">
      <c r="A13" s="1">
        <v>45544</v>
      </c>
      <c r="B13" s="2">
        <v>0.27777777777777779</v>
      </c>
      <c r="C13">
        <v>80</v>
      </c>
      <c r="D13">
        <v>83</v>
      </c>
      <c r="E13">
        <v>80</v>
      </c>
      <c r="F13">
        <v>79</v>
      </c>
      <c r="G13">
        <v>80.5</v>
      </c>
      <c r="H13">
        <v>68</v>
      </c>
      <c r="I13">
        <v>67</v>
      </c>
      <c r="J13">
        <f>HOUR(Tabla2[[#This Row],[HOUR]])</f>
        <v>6</v>
      </c>
      <c r="K13">
        <f>DAY(Tabla2[[#This Row],[DATE]])</f>
        <v>9</v>
      </c>
    </row>
    <row r="14" spans="1:11" x14ac:dyDescent="0.35">
      <c r="A14" s="1">
        <v>45544</v>
      </c>
      <c r="B14" s="2">
        <v>0.55555555555555558</v>
      </c>
      <c r="C14">
        <v>81</v>
      </c>
      <c r="D14">
        <v>83</v>
      </c>
      <c r="E14">
        <v>80</v>
      </c>
      <c r="F14">
        <v>79</v>
      </c>
      <c r="G14">
        <v>80.8</v>
      </c>
      <c r="H14">
        <v>67</v>
      </c>
      <c r="I14">
        <v>67</v>
      </c>
      <c r="J14">
        <f>HOUR(Tabla2[[#This Row],[HOUR]])</f>
        <v>13</v>
      </c>
      <c r="K14">
        <f>DAY(Tabla2[[#This Row],[DATE]])</f>
        <v>9</v>
      </c>
    </row>
    <row r="15" spans="1:11" x14ac:dyDescent="0.35">
      <c r="A15" s="1">
        <v>45544</v>
      </c>
      <c r="B15" s="2">
        <v>0.84375</v>
      </c>
      <c r="C15">
        <v>81</v>
      </c>
      <c r="D15">
        <v>84</v>
      </c>
      <c r="E15">
        <v>82</v>
      </c>
      <c r="F15">
        <v>80</v>
      </c>
      <c r="G15">
        <v>81.7</v>
      </c>
      <c r="H15">
        <v>68</v>
      </c>
      <c r="I15">
        <v>67</v>
      </c>
      <c r="J15">
        <f>HOUR(Tabla2[[#This Row],[HOUR]])</f>
        <v>20</v>
      </c>
      <c r="K15">
        <f>DAY(Tabla2[[#This Row],[DATE]])</f>
        <v>9</v>
      </c>
    </row>
    <row r="16" spans="1:11" x14ac:dyDescent="0.35">
      <c r="A16" s="1">
        <v>45545</v>
      </c>
      <c r="B16" s="2">
        <v>0.27083333333333331</v>
      </c>
      <c r="C16">
        <v>82</v>
      </c>
      <c r="D16">
        <v>84</v>
      </c>
      <c r="E16">
        <v>84</v>
      </c>
      <c r="F16">
        <v>81</v>
      </c>
      <c r="G16">
        <v>82.8</v>
      </c>
      <c r="H16">
        <v>67</v>
      </c>
      <c r="I16">
        <v>66</v>
      </c>
      <c r="J16">
        <f>HOUR(Tabla2[[#This Row],[HOUR]])</f>
        <v>6</v>
      </c>
      <c r="K16">
        <f>DAY(Tabla2[[#This Row],[DATE]])</f>
        <v>10</v>
      </c>
    </row>
    <row r="17" spans="1:11" x14ac:dyDescent="0.35">
      <c r="A17" s="1">
        <v>45545</v>
      </c>
      <c r="B17" s="2">
        <v>0.59722222222222221</v>
      </c>
      <c r="C17">
        <v>82</v>
      </c>
      <c r="D17">
        <v>85</v>
      </c>
      <c r="E17">
        <v>84</v>
      </c>
      <c r="F17">
        <v>81</v>
      </c>
      <c r="G17">
        <v>83</v>
      </c>
      <c r="H17">
        <v>65</v>
      </c>
      <c r="I17">
        <v>64</v>
      </c>
      <c r="J17">
        <f>HOUR(Tabla2[[#This Row],[HOUR]])</f>
        <v>14</v>
      </c>
      <c r="K17">
        <f>DAY(Tabla2[[#This Row],[DATE]])</f>
        <v>10</v>
      </c>
    </row>
    <row r="18" spans="1:11" x14ac:dyDescent="0.35">
      <c r="A18" s="1">
        <v>45545</v>
      </c>
      <c r="B18" s="2">
        <v>0.83680555555555547</v>
      </c>
      <c r="C18">
        <v>82</v>
      </c>
      <c r="D18">
        <v>86</v>
      </c>
      <c r="E18">
        <v>84</v>
      </c>
      <c r="F18">
        <v>82</v>
      </c>
      <c r="G18">
        <v>83.5</v>
      </c>
      <c r="H18">
        <v>62</v>
      </c>
      <c r="I18">
        <v>62</v>
      </c>
      <c r="J18">
        <f>HOUR(Tabla2[[#This Row],[HOUR]])</f>
        <v>20</v>
      </c>
      <c r="K18">
        <f>DAY(Tabla2[[#This Row],[DATE]])</f>
        <v>10</v>
      </c>
    </row>
    <row r="19" spans="1:11" x14ac:dyDescent="0.35">
      <c r="A19" s="1">
        <v>45546</v>
      </c>
      <c r="B19" s="2">
        <v>0.21527777777777779</v>
      </c>
      <c r="C19">
        <v>83</v>
      </c>
      <c r="D19">
        <v>85</v>
      </c>
      <c r="E19">
        <v>85</v>
      </c>
      <c r="F19">
        <v>83</v>
      </c>
      <c r="G19">
        <v>84</v>
      </c>
      <c r="H19">
        <v>64</v>
      </c>
      <c r="I19">
        <v>64</v>
      </c>
      <c r="J19">
        <f>HOUR(Tabla2[[#This Row],[HOUR]])</f>
        <v>5</v>
      </c>
      <c r="K19">
        <f>DAY(Tabla2[[#This Row],[DATE]])</f>
        <v>11</v>
      </c>
    </row>
    <row r="20" spans="1:11" x14ac:dyDescent="0.35">
      <c r="A20" s="1">
        <v>45546</v>
      </c>
      <c r="B20" s="2">
        <v>0.56944444444444442</v>
      </c>
      <c r="C20">
        <v>83</v>
      </c>
      <c r="D20">
        <v>83</v>
      </c>
      <c r="E20">
        <v>85</v>
      </c>
      <c r="F20">
        <v>84</v>
      </c>
      <c r="G20">
        <v>83.8</v>
      </c>
      <c r="H20">
        <v>63</v>
      </c>
      <c r="I20">
        <v>63</v>
      </c>
      <c r="J20">
        <f>HOUR(Tabla2[[#This Row],[HOUR]])</f>
        <v>13</v>
      </c>
      <c r="K20">
        <f>DAY(Tabla2[[#This Row],[DATE]])</f>
        <v>11</v>
      </c>
    </row>
    <row r="21" spans="1:11" x14ac:dyDescent="0.35">
      <c r="A21" s="1">
        <v>45546</v>
      </c>
      <c r="B21" s="2">
        <v>0.83680555555555547</v>
      </c>
      <c r="C21">
        <v>83</v>
      </c>
      <c r="D21">
        <v>84</v>
      </c>
      <c r="E21">
        <v>86</v>
      </c>
      <c r="F21">
        <v>85</v>
      </c>
      <c r="G21">
        <v>84.5</v>
      </c>
      <c r="H21">
        <v>63</v>
      </c>
      <c r="I21">
        <v>62</v>
      </c>
      <c r="J21">
        <f>HOUR(Tabla2[[#This Row],[HOUR]])</f>
        <v>20</v>
      </c>
      <c r="K21">
        <f>DAY(Tabla2[[#This Row],[DATE]])</f>
        <v>11</v>
      </c>
    </row>
    <row r="22" spans="1:11" x14ac:dyDescent="0.35">
      <c r="A22" s="1">
        <v>45547</v>
      </c>
      <c r="B22" s="2">
        <v>0.3611111111111111</v>
      </c>
      <c r="C22">
        <v>84</v>
      </c>
      <c r="D22">
        <v>84</v>
      </c>
      <c r="E22">
        <v>85</v>
      </c>
      <c r="F22">
        <v>84</v>
      </c>
      <c r="G22">
        <v>84.2</v>
      </c>
      <c r="H22">
        <v>63</v>
      </c>
      <c r="I22">
        <v>62</v>
      </c>
      <c r="J22">
        <f>HOUR(Tabla2[[#This Row],[HOUR]])</f>
        <v>8</v>
      </c>
      <c r="K22">
        <f>DAY(Tabla2[[#This Row],[DATE]])</f>
        <v>12</v>
      </c>
    </row>
    <row r="23" spans="1:11" x14ac:dyDescent="0.35">
      <c r="A23" s="1">
        <v>45547</v>
      </c>
      <c r="B23" s="2">
        <v>0.55555555555555558</v>
      </c>
      <c r="C23">
        <v>84</v>
      </c>
      <c r="D23">
        <v>85</v>
      </c>
      <c r="E23">
        <v>85</v>
      </c>
      <c r="F23">
        <v>84</v>
      </c>
      <c r="G23">
        <v>84.5</v>
      </c>
      <c r="H23">
        <v>63</v>
      </c>
      <c r="I23">
        <v>63</v>
      </c>
      <c r="J23">
        <f>HOUR(Tabla2[[#This Row],[HOUR]])</f>
        <v>13</v>
      </c>
      <c r="K23">
        <f>DAY(Tabla2[[#This Row],[DATE]])</f>
        <v>12</v>
      </c>
    </row>
    <row r="24" spans="1:11" x14ac:dyDescent="0.35">
      <c r="A24" s="1">
        <v>45547</v>
      </c>
      <c r="B24" s="2">
        <v>0.84722222222222221</v>
      </c>
      <c r="C24">
        <v>84</v>
      </c>
      <c r="D24">
        <v>83</v>
      </c>
      <c r="E24">
        <v>85</v>
      </c>
      <c r="F24">
        <v>84</v>
      </c>
      <c r="G24">
        <v>84</v>
      </c>
      <c r="H24">
        <v>62</v>
      </c>
      <c r="I24">
        <v>62</v>
      </c>
      <c r="J24">
        <f>HOUR(Tabla2[[#This Row],[HOUR]])</f>
        <v>20</v>
      </c>
      <c r="K24">
        <f>DAY(Tabla2[[#This Row],[DATE]])</f>
        <v>12</v>
      </c>
    </row>
    <row r="25" spans="1:11" x14ac:dyDescent="0.35">
      <c r="A25" s="1">
        <v>45548</v>
      </c>
      <c r="B25" s="2">
        <v>0.34375</v>
      </c>
      <c r="C25">
        <v>85</v>
      </c>
      <c r="D25">
        <v>82</v>
      </c>
      <c r="E25">
        <v>84</v>
      </c>
      <c r="F25">
        <v>84</v>
      </c>
      <c r="G25">
        <v>83.7</v>
      </c>
      <c r="H25">
        <v>62</v>
      </c>
      <c r="I25">
        <v>62</v>
      </c>
      <c r="J25">
        <f>HOUR(Tabla2[[#This Row],[HOUR]])</f>
        <v>8</v>
      </c>
      <c r="K25">
        <f>DAY(Tabla2[[#This Row],[DATE]])</f>
        <v>13</v>
      </c>
    </row>
    <row r="26" spans="1:11" x14ac:dyDescent="0.35">
      <c r="A26" s="1">
        <v>45548</v>
      </c>
      <c r="B26" s="2">
        <v>0.59027777777777779</v>
      </c>
      <c r="C26">
        <v>85</v>
      </c>
      <c r="D26">
        <v>82</v>
      </c>
      <c r="E26">
        <v>84</v>
      </c>
      <c r="F26">
        <v>84</v>
      </c>
      <c r="G26">
        <v>83.7</v>
      </c>
      <c r="H26">
        <v>64</v>
      </c>
      <c r="I26">
        <v>63</v>
      </c>
      <c r="J26">
        <f>HOUR(Tabla2[[#This Row],[HOUR]])</f>
        <v>14</v>
      </c>
      <c r="K26">
        <f>DAY(Tabla2[[#This Row],[DATE]])</f>
        <v>13</v>
      </c>
    </row>
    <row r="27" spans="1:11" x14ac:dyDescent="0.35">
      <c r="A27" s="1">
        <v>45548</v>
      </c>
      <c r="B27" s="2">
        <v>0.84375</v>
      </c>
      <c r="C27">
        <v>85</v>
      </c>
      <c r="D27">
        <v>82</v>
      </c>
      <c r="E27">
        <v>84</v>
      </c>
      <c r="F27">
        <v>84</v>
      </c>
      <c r="G27">
        <v>83.7</v>
      </c>
      <c r="H27">
        <v>61</v>
      </c>
      <c r="I27">
        <v>62</v>
      </c>
      <c r="J27">
        <f>HOUR(Tabla2[[#This Row],[HOUR]])</f>
        <v>20</v>
      </c>
      <c r="K27">
        <f>DAY(Tabla2[[#This Row],[DATE]])</f>
        <v>13</v>
      </c>
    </row>
    <row r="28" spans="1:11" x14ac:dyDescent="0.35">
      <c r="A28" s="1">
        <v>45549</v>
      </c>
      <c r="B28" s="2">
        <v>0.21527777777777779</v>
      </c>
      <c r="C28">
        <v>84</v>
      </c>
      <c r="D28">
        <v>81</v>
      </c>
      <c r="E28">
        <v>83</v>
      </c>
      <c r="F28">
        <v>84</v>
      </c>
      <c r="G28">
        <v>83</v>
      </c>
      <c r="H28">
        <v>59</v>
      </c>
      <c r="I28">
        <v>61</v>
      </c>
      <c r="J28">
        <f>HOUR(Tabla2[[#This Row],[HOUR]])</f>
        <v>5</v>
      </c>
      <c r="K28">
        <f>DAY(Tabla2[[#This Row],[DATE]])</f>
        <v>14</v>
      </c>
    </row>
    <row r="29" spans="1:11" x14ac:dyDescent="0.35">
      <c r="A29" s="1">
        <v>45549</v>
      </c>
      <c r="B29" s="2">
        <v>0.58680555555555558</v>
      </c>
      <c r="C29">
        <v>82</v>
      </c>
      <c r="D29">
        <v>81</v>
      </c>
      <c r="E29">
        <v>81</v>
      </c>
      <c r="F29">
        <v>82</v>
      </c>
      <c r="G29">
        <v>81.5</v>
      </c>
      <c r="H29">
        <v>62</v>
      </c>
      <c r="I29">
        <v>62</v>
      </c>
      <c r="J29">
        <f>HOUR(Tabla2[[#This Row],[HOUR]])</f>
        <v>14</v>
      </c>
      <c r="K29">
        <f>DAY(Tabla2[[#This Row],[DATE]])</f>
        <v>14</v>
      </c>
    </row>
    <row r="30" spans="1:11" x14ac:dyDescent="0.35">
      <c r="A30" s="1">
        <v>45549</v>
      </c>
      <c r="B30" s="2">
        <v>0.85763888888888884</v>
      </c>
      <c r="C30">
        <v>83</v>
      </c>
      <c r="D30">
        <v>80</v>
      </c>
      <c r="E30">
        <v>81</v>
      </c>
      <c r="F30">
        <v>82</v>
      </c>
      <c r="G30">
        <v>81.5</v>
      </c>
      <c r="H30">
        <v>61</v>
      </c>
      <c r="I30">
        <v>61</v>
      </c>
      <c r="J30">
        <f>HOUR(Tabla2[[#This Row],[HOUR]])</f>
        <v>20</v>
      </c>
      <c r="K30">
        <f>DAY(Tabla2[[#This Row],[DATE]])</f>
        <v>14</v>
      </c>
    </row>
    <row r="31" spans="1:11" x14ac:dyDescent="0.35">
      <c r="A31" s="1">
        <v>45550</v>
      </c>
      <c r="B31" s="2">
        <v>0.3611111111111111</v>
      </c>
      <c r="C31">
        <v>81</v>
      </c>
      <c r="D31">
        <v>78</v>
      </c>
      <c r="E31">
        <v>81</v>
      </c>
      <c r="F31">
        <v>81</v>
      </c>
      <c r="G31">
        <v>80.2</v>
      </c>
      <c r="H31">
        <v>60</v>
      </c>
      <c r="I31">
        <v>61</v>
      </c>
      <c r="J31">
        <f>HOUR(Tabla2[[#This Row],[HOUR]])</f>
        <v>8</v>
      </c>
      <c r="K31">
        <f>DAY(Tabla2[[#This Row],[DATE]])</f>
        <v>15</v>
      </c>
    </row>
    <row r="32" spans="1:11" x14ac:dyDescent="0.35">
      <c r="A32" s="1">
        <v>45550</v>
      </c>
      <c r="B32" s="2">
        <v>0.58680555555555558</v>
      </c>
      <c r="C32">
        <v>81</v>
      </c>
      <c r="D32">
        <v>79</v>
      </c>
      <c r="E32">
        <v>81</v>
      </c>
      <c r="F32">
        <v>81</v>
      </c>
      <c r="G32">
        <v>80.5</v>
      </c>
      <c r="H32">
        <v>62</v>
      </c>
      <c r="I32">
        <v>63</v>
      </c>
      <c r="J32">
        <f>HOUR(Tabla2[[#This Row],[HOUR]])</f>
        <v>14</v>
      </c>
      <c r="K32">
        <f>DAY(Tabla2[[#This Row],[DATE]])</f>
        <v>15</v>
      </c>
    </row>
    <row r="33" spans="1:11" x14ac:dyDescent="0.35">
      <c r="A33" s="1">
        <v>45550</v>
      </c>
      <c r="B33" s="2">
        <v>0.88888888888888884</v>
      </c>
      <c r="C33">
        <v>81</v>
      </c>
      <c r="D33">
        <v>79</v>
      </c>
      <c r="E33">
        <v>81</v>
      </c>
      <c r="F33">
        <v>81</v>
      </c>
      <c r="G33">
        <v>80.5</v>
      </c>
      <c r="H33">
        <v>63</v>
      </c>
      <c r="I33">
        <v>62</v>
      </c>
      <c r="J33">
        <f>HOUR(Tabla2[[#This Row],[HOUR]])</f>
        <v>21</v>
      </c>
      <c r="K33">
        <f>DAY(Tabla2[[#This Row],[DATE]])</f>
        <v>15</v>
      </c>
    </row>
    <row r="34" spans="1:11" x14ac:dyDescent="0.35">
      <c r="A34" s="1">
        <v>45551</v>
      </c>
      <c r="B34" s="2">
        <v>0.30208333333333331</v>
      </c>
      <c r="C34">
        <v>80</v>
      </c>
      <c r="D34">
        <v>76</v>
      </c>
      <c r="E34">
        <v>78</v>
      </c>
      <c r="F34">
        <v>79</v>
      </c>
      <c r="G34">
        <v>78.2</v>
      </c>
      <c r="H34">
        <v>62</v>
      </c>
      <c r="I34">
        <v>63</v>
      </c>
      <c r="J34">
        <f>HOUR(Tabla2[[#This Row],[HOUR]])</f>
        <v>7</v>
      </c>
      <c r="K34">
        <f>DAY(Tabla2[[#This Row],[DATE]])</f>
        <v>16</v>
      </c>
    </row>
    <row r="35" spans="1:11" x14ac:dyDescent="0.35">
      <c r="A35" s="1">
        <v>45551</v>
      </c>
      <c r="B35" s="2">
        <v>0.59375</v>
      </c>
      <c r="C35">
        <v>81</v>
      </c>
      <c r="D35">
        <v>79</v>
      </c>
      <c r="E35">
        <v>79</v>
      </c>
      <c r="F35">
        <v>78</v>
      </c>
      <c r="G35">
        <v>79</v>
      </c>
      <c r="H35">
        <v>64</v>
      </c>
      <c r="I35">
        <v>64</v>
      </c>
      <c r="J35">
        <f>HOUR(Tabla2[[#This Row],[HOUR]])</f>
        <v>14</v>
      </c>
      <c r="K35">
        <f>DAY(Tabla2[[#This Row],[DATE]])</f>
        <v>16</v>
      </c>
    </row>
    <row r="36" spans="1:11" x14ac:dyDescent="0.35">
      <c r="A36" s="1">
        <v>45551</v>
      </c>
      <c r="B36" s="2">
        <v>0.84027777777777779</v>
      </c>
      <c r="C36">
        <v>80</v>
      </c>
      <c r="D36">
        <v>79</v>
      </c>
      <c r="E36">
        <v>79</v>
      </c>
      <c r="F36">
        <v>79</v>
      </c>
      <c r="G36">
        <v>79.3</v>
      </c>
      <c r="H36">
        <v>64</v>
      </c>
      <c r="I36">
        <v>64</v>
      </c>
      <c r="J36">
        <f>HOUR(Tabla2[[#This Row],[HOUR]])</f>
        <v>20</v>
      </c>
      <c r="K36">
        <f>DAY(Tabla2[[#This Row],[DATE]])</f>
        <v>16</v>
      </c>
    </row>
    <row r="37" spans="1:11" x14ac:dyDescent="0.35">
      <c r="A37" s="1">
        <v>45552</v>
      </c>
      <c r="B37" s="2">
        <v>0.2986111111111111</v>
      </c>
      <c r="C37">
        <v>79</v>
      </c>
      <c r="D37">
        <v>78</v>
      </c>
      <c r="E37">
        <v>80</v>
      </c>
      <c r="F37">
        <v>78</v>
      </c>
      <c r="G37">
        <v>78.8</v>
      </c>
      <c r="H37">
        <v>63</v>
      </c>
      <c r="I37">
        <v>64</v>
      </c>
      <c r="J37">
        <f>HOUR(Tabla2[[#This Row],[HOUR]])</f>
        <v>7</v>
      </c>
      <c r="K37">
        <f>DAY(Tabla2[[#This Row],[DATE]])</f>
        <v>17</v>
      </c>
    </row>
    <row r="38" spans="1:11" x14ac:dyDescent="0.35">
      <c r="A38" s="1">
        <v>45552</v>
      </c>
      <c r="B38" s="2">
        <v>0.59027777777777779</v>
      </c>
      <c r="C38">
        <v>79</v>
      </c>
      <c r="D38">
        <v>77</v>
      </c>
      <c r="E38">
        <v>80</v>
      </c>
      <c r="F38">
        <v>79</v>
      </c>
      <c r="G38">
        <v>78.7</v>
      </c>
      <c r="H38">
        <v>64</v>
      </c>
      <c r="I38">
        <v>65</v>
      </c>
      <c r="J38">
        <f>HOUR(Tabla2[[#This Row],[HOUR]])</f>
        <v>14</v>
      </c>
      <c r="K38">
        <f>DAY(Tabla2[[#This Row],[DATE]])</f>
        <v>17</v>
      </c>
    </row>
    <row r="39" spans="1:11" x14ac:dyDescent="0.35">
      <c r="A39" s="1">
        <v>45552</v>
      </c>
      <c r="B39" s="2">
        <v>0.84027777777777779</v>
      </c>
      <c r="C39">
        <v>79</v>
      </c>
      <c r="D39">
        <v>77</v>
      </c>
      <c r="E39">
        <v>80</v>
      </c>
      <c r="F39">
        <v>79</v>
      </c>
      <c r="G39">
        <v>78.7</v>
      </c>
      <c r="H39">
        <v>65</v>
      </c>
      <c r="I39">
        <v>65</v>
      </c>
      <c r="J39">
        <f>HOUR(Tabla2[[#This Row],[HOUR]])</f>
        <v>20</v>
      </c>
      <c r="K39">
        <f>DAY(Tabla2[[#This Row],[DATE]])</f>
        <v>17</v>
      </c>
    </row>
    <row r="40" spans="1:11" x14ac:dyDescent="0.35">
      <c r="A40" s="1">
        <v>45553</v>
      </c>
      <c r="B40" s="2">
        <v>0.27430555555555552</v>
      </c>
      <c r="C40">
        <v>81</v>
      </c>
      <c r="D40">
        <v>77</v>
      </c>
      <c r="E40">
        <v>79</v>
      </c>
      <c r="F40">
        <v>80</v>
      </c>
      <c r="G40">
        <v>79.3</v>
      </c>
      <c r="H40">
        <v>67</v>
      </c>
      <c r="I40">
        <v>67</v>
      </c>
      <c r="J40">
        <f>HOUR(Tabla2[[#This Row],[HOUR]])</f>
        <v>6</v>
      </c>
      <c r="K40">
        <f>DAY(Tabla2[[#This Row],[DATE]])</f>
        <v>18</v>
      </c>
    </row>
    <row r="41" spans="1:11" x14ac:dyDescent="0.35">
      <c r="A41" s="1">
        <v>45553</v>
      </c>
      <c r="B41" s="2">
        <v>0.54861111111111105</v>
      </c>
      <c r="C41">
        <v>81</v>
      </c>
      <c r="D41">
        <v>77</v>
      </c>
      <c r="E41">
        <v>79</v>
      </c>
      <c r="F41">
        <v>80</v>
      </c>
      <c r="G41">
        <v>79.3</v>
      </c>
      <c r="H41">
        <v>69</v>
      </c>
      <c r="I41">
        <v>69</v>
      </c>
      <c r="J41">
        <f>HOUR(Tabla2[[#This Row],[HOUR]])</f>
        <v>13</v>
      </c>
      <c r="K41">
        <f>DAY(Tabla2[[#This Row],[DATE]])</f>
        <v>18</v>
      </c>
    </row>
    <row r="42" spans="1:11" x14ac:dyDescent="0.35">
      <c r="A42" s="1">
        <v>45553</v>
      </c>
      <c r="B42" s="2">
        <v>0.85069444444444453</v>
      </c>
      <c r="C42">
        <v>81</v>
      </c>
      <c r="D42">
        <v>80</v>
      </c>
      <c r="E42">
        <v>80</v>
      </c>
      <c r="F42">
        <v>80</v>
      </c>
      <c r="G42">
        <v>80.3</v>
      </c>
      <c r="H42">
        <v>69</v>
      </c>
      <c r="I42">
        <v>70</v>
      </c>
      <c r="J42">
        <f>HOUR(Tabla2[[#This Row],[HOUR]])</f>
        <v>20</v>
      </c>
      <c r="K42">
        <f>DAY(Tabla2[[#This Row],[DATE]])</f>
        <v>18</v>
      </c>
    </row>
    <row r="43" spans="1:11" x14ac:dyDescent="0.35">
      <c r="A43" s="1">
        <v>45554</v>
      </c>
      <c r="B43" s="2">
        <v>0.17361111111111113</v>
      </c>
      <c r="C43">
        <v>82</v>
      </c>
      <c r="D43">
        <v>80</v>
      </c>
      <c r="E43">
        <v>83</v>
      </c>
      <c r="F43">
        <v>81</v>
      </c>
      <c r="G43">
        <v>81.5</v>
      </c>
      <c r="H43">
        <v>67</v>
      </c>
      <c r="I43">
        <v>69</v>
      </c>
      <c r="J43">
        <f>HOUR(Tabla2[[#This Row],[HOUR]])</f>
        <v>4</v>
      </c>
      <c r="K43">
        <f>DAY(Tabla2[[#This Row],[DATE]])</f>
        <v>19</v>
      </c>
    </row>
    <row r="44" spans="1:11" x14ac:dyDescent="0.35">
      <c r="A44" s="1">
        <v>45554</v>
      </c>
      <c r="B44" s="2">
        <v>0.31944444444444448</v>
      </c>
      <c r="C44">
        <v>82</v>
      </c>
      <c r="D44">
        <v>80</v>
      </c>
      <c r="E44">
        <v>84</v>
      </c>
      <c r="F44">
        <v>81</v>
      </c>
      <c r="G44">
        <v>81.7</v>
      </c>
      <c r="H44">
        <v>68</v>
      </c>
      <c r="I44">
        <v>68</v>
      </c>
      <c r="J44">
        <f>HOUR(Tabla2[[#This Row],[HOUR]])</f>
        <v>7</v>
      </c>
      <c r="K44">
        <f>DAY(Tabla2[[#This Row],[DATE]])</f>
        <v>19</v>
      </c>
    </row>
    <row r="45" spans="1:11" x14ac:dyDescent="0.35">
      <c r="A45" s="1">
        <v>45554</v>
      </c>
      <c r="B45" s="2">
        <v>0.59027777777777779</v>
      </c>
      <c r="C45">
        <v>82</v>
      </c>
      <c r="D45">
        <v>81</v>
      </c>
      <c r="E45">
        <v>84</v>
      </c>
      <c r="F45">
        <v>81</v>
      </c>
      <c r="G45">
        <v>82</v>
      </c>
      <c r="H45">
        <v>67</v>
      </c>
      <c r="I45">
        <v>68</v>
      </c>
      <c r="J45">
        <f>HOUR(Tabla2[[#This Row],[HOUR]])</f>
        <v>14</v>
      </c>
      <c r="K45">
        <f>DAY(Tabla2[[#This Row],[DATE]])</f>
        <v>19</v>
      </c>
    </row>
    <row r="46" spans="1:11" x14ac:dyDescent="0.35">
      <c r="A46" s="1">
        <v>45554</v>
      </c>
      <c r="B46" s="2">
        <v>0.85416666666666663</v>
      </c>
      <c r="C46">
        <v>82</v>
      </c>
      <c r="D46">
        <v>79</v>
      </c>
      <c r="E46">
        <v>82</v>
      </c>
      <c r="F46">
        <v>84</v>
      </c>
      <c r="G46">
        <v>81.7</v>
      </c>
      <c r="H46">
        <v>66</v>
      </c>
      <c r="I46">
        <v>67</v>
      </c>
      <c r="J46">
        <f>HOUR(Tabla2[[#This Row],[HOUR]])</f>
        <v>20</v>
      </c>
      <c r="K46">
        <f>DAY(Tabla2[[#This Row],[DATE]])</f>
        <v>19</v>
      </c>
    </row>
    <row r="47" spans="1:11" x14ac:dyDescent="0.35">
      <c r="A47" s="1">
        <v>45555</v>
      </c>
      <c r="B47" s="2">
        <v>0.18055555555555555</v>
      </c>
      <c r="C47">
        <v>83</v>
      </c>
      <c r="D47">
        <v>79</v>
      </c>
      <c r="E47">
        <v>81</v>
      </c>
      <c r="F47">
        <v>82</v>
      </c>
      <c r="G47">
        <v>81.2</v>
      </c>
      <c r="H47">
        <v>67</v>
      </c>
      <c r="I47">
        <v>67</v>
      </c>
      <c r="J47">
        <f>HOUR(Tabla2[[#This Row],[HOUR]])</f>
        <v>4</v>
      </c>
      <c r="K47">
        <f>DAY(Tabla2[[#This Row],[DATE]])</f>
        <v>20</v>
      </c>
    </row>
    <row r="48" spans="1:11" x14ac:dyDescent="0.35">
      <c r="A48" s="1">
        <v>45555</v>
      </c>
      <c r="B48" s="2">
        <v>0.3263888888888889</v>
      </c>
      <c r="C48">
        <v>84</v>
      </c>
      <c r="D48">
        <v>80</v>
      </c>
      <c r="E48">
        <v>81</v>
      </c>
      <c r="F48">
        <v>81</v>
      </c>
      <c r="G48">
        <v>81.5</v>
      </c>
      <c r="H48">
        <v>69</v>
      </c>
      <c r="I48">
        <v>68</v>
      </c>
      <c r="J48">
        <f>HOUR(Tabla2[[#This Row],[HOUR]])</f>
        <v>7</v>
      </c>
      <c r="K48">
        <f>DAY(Tabla2[[#This Row],[DATE]])</f>
        <v>20</v>
      </c>
    </row>
    <row r="49" spans="1:11" x14ac:dyDescent="0.35">
      <c r="A49" s="1">
        <v>45555</v>
      </c>
      <c r="B49" s="2">
        <v>0.625</v>
      </c>
      <c r="C49">
        <v>84</v>
      </c>
      <c r="D49">
        <v>81</v>
      </c>
      <c r="E49">
        <v>81</v>
      </c>
      <c r="F49">
        <v>80</v>
      </c>
      <c r="G49">
        <v>81.7</v>
      </c>
      <c r="H49">
        <v>67</v>
      </c>
      <c r="I49">
        <v>67</v>
      </c>
      <c r="J49">
        <f>HOUR(Tabla2[[#This Row],[HOUR]])</f>
        <v>15</v>
      </c>
      <c r="K49">
        <f>DAY(Tabla2[[#This Row],[DATE]])</f>
        <v>20</v>
      </c>
    </row>
    <row r="50" spans="1:11" x14ac:dyDescent="0.35">
      <c r="A50" s="1">
        <v>45555</v>
      </c>
      <c r="B50" s="2">
        <v>0.84722222222222221</v>
      </c>
      <c r="C50">
        <v>83</v>
      </c>
      <c r="D50">
        <v>79</v>
      </c>
      <c r="E50">
        <v>80</v>
      </c>
      <c r="F50">
        <v>80</v>
      </c>
      <c r="G50">
        <v>80.5</v>
      </c>
      <c r="H50">
        <v>68</v>
      </c>
      <c r="I50">
        <v>68</v>
      </c>
      <c r="J50">
        <f>HOUR(Tabla2[[#This Row],[HOUR]])</f>
        <v>20</v>
      </c>
      <c r="K50">
        <f>DAY(Tabla2[[#This Row],[DATE]])</f>
        <v>20</v>
      </c>
    </row>
    <row r="51" spans="1:11" x14ac:dyDescent="0.35">
      <c r="A51" s="1">
        <v>45556</v>
      </c>
      <c r="B51" s="2">
        <v>0.15277777777777776</v>
      </c>
      <c r="C51">
        <v>83</v>
      </c>
      <c r="D51">
        <v>80</v>
      </c>
      <c r="E51">
        <v>81</v>
      </c>
      <c r="F51">
        <v>80</v>
      </c>
      <c r="G51">
        <v>81</v>
      </c>
      <c r="H51">
        <v>69</v>
      </c>
      <c r="I51">
        <v>68</v>
      </c>
      <c r="J51">
        <f>HOUR(Tabla2[[#This Row],[HOUR]])</f>
        <v>3</v>
      </c>
      <c r="K51">
        <f>DAY(Tabla2[[#This Row],[DATE]])</f>
        <v>21</v>
      </c>
    </row>
    <row r="52" spans="1:11" x14ac:dyDescent="0.35">
      <c r="A52" s="1">
        <v>45556</v>
      </c>
      <c r="B52" s="2">
        <v>0.3125</v>
      </c>
      <c r="C52">
        <v>82</v>
      </c>
      <c r="D52">
        <v>80</v>
      </c>
      <c r="E52">
        <v>81</v>
      </c>
      <c r="F52">
        <v>81</v>
      </c>
      <c r="G52">
        <v>81</v>
      </c>
      <c r="H52">
        <v>67</v>
      </c>
      <c r="I52">
        <v>67</v>
      </c>
      <c r="J52">
        <f>HOUR(Tabla2[[#This Row],[HOUR]])</f>
        <v>7</v>
      </c>
      <c r="K52">
        <f>DAY(Tabla2[[#This Row],[DATE]])</f>
        <v>21</v>
      </c>
    </row>
    <row r="53" spans="1:11" x14ac:dyDescent="0.35">
      <c r="A53" s="1">
        <v>45556</v>
      </c>
      <c r="B53" s="2">
        <v>0.59722222222222221</v>
      </c>
      <c r="C53">
        <v>81</v>
      </c>
      <c r="D53">
        <v>79</v>
      </c>
      <c r="E53">
        <v>80</v>
      </c>
      <c r="F53">
        <v>80</v>
      </c>
      <c r="G53">
        <v>80</v>
      </c>
      <c r="H53">
        <v>67</v>
      </c>
      <c r="I53">
        <v>67</v>
      </c>
      <c r="J53">
        <f>HOUR(Tabla2[[#This Row],[HOUR]])</f>
        <v>14</v>
      </c>
      <c r="K53">
        <f>DAY(Tabla2[[#This Row],[DATE]])</f>
        <v>21</v>
      </c>
    </row>
    <row r="54" spans="1:11" x14ac:dyDescent="0.35">
      <c r="A54" s="1">
        <v>45556</v>
      </c>
      <c r="B54" s="2">
        <v>0.84375</v>
      </c>
      <c r="C54">
        <v>82</v>
      </c>
      <c r="D54">
        <v>79</v>
      </c>
      <c r="E54">
        <v>80</v>
      </c>
      <c r="F54">
        <v>80</v>
      </c>
      <c r="G54">
        <v>80.3</v>
      </c>
      <c r="H54">
        <v>67</v>
      </c>
      <c r="I54">
        <v>67</v>
      </c>
      <c r="J54">
        <f>HOUR(Tabla2[[#This Row],[HOUR]])</f>
        <v>20</v>
      </c>
      <c r="K54">
        <f>DAY(Tabla2[[#This Row],[DATE]])</f>
        <v>21</v>
      </c>
    </row>
    <row r="55" spans="1:11" x14ac:dyDescent="0.35">
      <c r="A55" s="1">
        <v>45557</v>
      </c>
      <c r="B55" s="3">
        <v>0.15972222222222224</v>
      </c>
      <c r="C55">
        <v>82</v>
      </c>
      <c r="D55">
        <v>78</v>
      </c>
      <c r="E55">
        <v>80</v>
      </c>
      <c r="F55">
        <v>81</v>
      </c>
      <c r="G55">
        <v>80.3</v>
      </c>
      <c r="H55">
        <v>68</v>
      </c>
      <c r="I55">
        <v>67</v>
      </c>
      <c r="J55">
        <f>HOUR(Tabla2[[#This Row],[HOUR]])</f>
        <v>3</v>
      </c>
      <c r="K55">
        <f>DAY(Tabla2[[#This Row],[DATE]])</f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C3CE8A929F4B46B9DE18A165C71D49" ma:contentTypeVersion="8" ma:contentTypeDescription="Crear nuevo documento." ma:contentTypeScope="" ma:versionID="51c76497125c53c198b0b459e8c3edfa">
  <xsd:schema xmlns:xsd="http://www.w3.org/2001/XMLSchema" xmlns:xs="http://www.w3.org/2001/XMLSchema" xmlns:p="http://schemas.microsoft.com/office/2006/metadata/properties" xmlns:ns3="111c1045-48df-49a4-9aed-725a1fb162c7" targetNamespace="http://schemas.microsoft.com/office/2006/metadata/properties" ma:root="true" ma:fieldsID="15be6112722427438a8c840467ed364a" ns3:_="">
    <xsd:import namespace="111c1045-48df-49a4-9aed-725a1fb162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c1045-48df-49a4-9aed-725a1fb16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1c1045-48df-49a4-9aed-725a1fb162c7" xsi:nil="true"/>
  </documentManagement>
</p:properties>
</file>

<file path=customXml/itemProps1.xml><?xml version="1.0" encoding="utf-8"?>
<ds:datastoreItem xmlns:ds="http://schemas.openxmlformats.org/officeDocument/2006/customXml" ds:itemID="{1405DB55-7285-4138-883C-982C02AB664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AEA7FB8-A18D-49AA-ADDA-B3CB6ABC31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c1045-48df-49a4-9aed-725a1fb16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C82A83-63D5-4461-8789-2A2B00637FC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8233A29-C53E-41C5-BB84-CD924624050C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111c1045-48df-49a4-9aed-725a1fb162c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20</vt:i4>
      </vt:variant>
    </vt:vector>
  </HeadingPairs>
  <TitlesOfParts>
    <vt:vector size="22" baseType="lpstr">
      <vt:lpstr>sowing_data</vt:lpstr>
      <vt:lpstr>manual_data</vt:lpstr>
      <vt:lpstr>_C1</vt:lpstr>
      <vt:lpstr>_C2</vt:lpstr>
      <vt:lpstr>_C3</vt:lpstr>
      <vt:lpstr>_C4</vt:lpstr>
      <vt:lpstr>_C5</vt:lpstr>
      <vt:lpstr>_C6</vt:lpstr>
      <vt:lpstr>_C7</vt:lpstr>
      <vt:lpstr>_C8</vt:lpstr>
      <vt:lpstr>A1_</vt:lpstr>
      <vt:lpstr>A2_</vt:lpstr>
      <vt:lpstr>datos_Hojas</vt:lpstr>
      <vt:lpstr>Día_de_la_semana</vt:lpstr>
      <vt:lpstr>Día_del_mes</vt:lpstr>
      <vt:lpstr>Fecha</vt:lpstr>
      <vt:lpstr>Hora</vt:lpstr>
      <vt:lpstr>Hora_completa</vt:lpstr>
      <vt:lpstr>Mes</vt:lpstr>
      <vt:lpstr>Proceso</vt:lpstr>
      <vt:lpstr>Promedio</vt:lpstr>
      <vt:lpstr>Semana_del_mes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Est. Andre Patricio Chiguano Rojas</dc:creator>
  <cp:lastModifiedBy>Diego Fernando Vallejo Huanga</cp:lastModifiedBy>
  <dcterms:created xsi:type="dcterms:W3CDTF">2025-05-09T20:10:27Z</dcterms:created>
  <dcterms:modified xsi:type="dcterms:W3CDTF">2026-06-16T20:54:54Z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0x010100A9C3CE8A929F4B46B9DE18A165C71D49</vt:lpwstr>
  </property>
</Properties>
</file>